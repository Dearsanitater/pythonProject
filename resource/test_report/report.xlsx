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7945" windowHeight="12255" tabRatio="877" firstSheet="1" activeTab="3" autoFilterDateGrouping="1"/>
  </bookViews>
  <sheets>
    <sheet name="Sheet1" sheetId="1" state="visible" r:id="rId1"/>
    <sheet name="2026051515sqlserver0" sheetId="2" state="visible" r:id="rId2"/>
    <sheet name="2026051815sqlserver0" sheetId="3" state="visible" r:id="rId3"/>
    <sheet name="2026051816sqlserver0" sheetId="4" state="visible" r:id="rId4"/>
    <sheet name="2026051816sqlserver1" sheetId="5" state="visible" r:id="rId5"/>
    <sheet name="2026051816mysql0" sheetId="6" state="visible" r:id="rId6"/>
    <sheet name="2026051816mysql1" sheetId="7" state="visible" r:id="rId7"/>
    <sheet name="2026051816mysql2" sheetId="8" state="visible" r:id="rId8"/>
    <sheet name="2026052610mysql0" sheetId="9" state="visible" r:id="rId9"/>
  </sheets>
  <definedNames>
    <definedName name="_xlnm._FilterDatabase" localSheetId="1" hidden="1">'2026051515sqlserver0'!$A$2:$X$67</definedName>
    <definedName name="_xlnm._FilterDatabase" localSheetId="2" hidden="1">'2026051815sqlserver0'!$A$2:$X$2023</definedName>
    <definedName name="_xlnm._FilterDatabase" localSheetId="4" hidden="1">'2026051816sqlserver1'!$A$2:$X$2023</definedName>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宋体"/>
      <charset val="134"/>
      <sz val="11"/>
      <scheme val="minor"/>
    </font>
    <font>
      <name val="宋体"/>
      <charset val="134"/>
      <color theme="4" tint="0.6"/>
      <sz val="11"/>
      <scheme val="minor"/>
    </font>
    <font>
      <name val="宋体"/>
      <charset val="134"/>
      <color theme="9"/>
      <sz val="11"/>
      <scheme val="minor"/>
    </font>
    <font>
      <name val="宋体"/>
      <charset val="134"/>
      <b val="1"/>
      <color theme="1"/>
      <sz val="11"/>
      <scheme val="minor"/>
    </font>
    <font>
      <name val="Courier New"/>
      <charset val="134"/>
      <color rgb="FF008000"/>
      <sz val="10"/>
    </font>
    <font>
      <name val="Arial"/>
      <charset val="134"/>
      <color rgb="FF4F4F4F"/>
      <sz val="10.5"/>
    </font>
    <font>
      <name val="宋体"/>
      <charset val="134"/>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color rgb="000000FF"/>
    </font>
  </fonts>
  <fills count="36">
    <fill>
      <patternFill/>
    </fill>
    <fill>
      <patternFill patternType="gray125"/>
    </fill>
    <fill>
      <patternFill patternType="solid">
        <fgColor theme="9" tint="0.8"/>
        <bgColor indexed="64"/>
      </patternFill>
    </fill>
    <fill>
      <patternFill patternType="solid">
        <fgColor theme="4"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5" borderId="1"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2" applyAlignment="1">
      <alignment vertical="center"/>
    </xf>
    <xf numFmtId="0" fontId="14" fillId="0" borderId="2" applyAlignment="1">
      <alignment vertical="center"/>
    </xf>
    <xf numFmtId="0" fontId="15" fillId="0" borderId="3" applyAlignment="1">
      <alignment vertical="center"/>
    </xf>
    <xf numFmtId="0" fontId="15" fillId="0" borderId="0" applyAlignment="1">
      <alignment vertical="center"/>
    </xf>
    <xf numFmtId="0" fontId="16" fillId="6" borderId="4" applyAlignment="1">
      <alignment vertical="center"/>
    </xf>
    <xf numFmtId="0" fontId="17" fillId="7" borderId="5" applyAlignment="1">
      <alignment vertical="center"/>
    </xf>
    <xf numFmtId="0" fontId="18" fillId="7" borderId="4" applyAlignment="1">
      <alignment vertical="center"/>
    </xf>
    <xf numFmtId="0" fontId="19" fillId="8" borderId="6" applyAlignment="1">
      <alignment vertical="center"/>
    </xf>
    <xf numFmtId="0" fontId="20" fillId="0" borderId="7" applyAlignment="1">
      <alignment vertical="center"/>
    </xf>
    <xf numFmtId="0" fontId="21" fillId="0" borderId="8"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5" fillId="12" borderId="0" applyAlignment="1">
      <alignment vertical="center"/>
    </xf>
    <xf numFmtId="0" fontId="26" fillId="13" borderId="0" applyAlignment="1">
      <alignment vertical="center"/>
    </xf>
    <xf numFmtId="0" fontId="26" fillId="14" borderId="0" applyAlignment="1">
      <alignment vertical="center"/>
    </xf>
    <xf numFmtId="0" fontId="25" fillId="15" borderId="0" applyAlignment="1">
      <alignment vertical="center"/>
    </xf>
    <xf numFmtId="0" fontId="25" fillId="16" borderId="0" applyAlignment="1">
      <alignment vertical="center"/>
    </xf>
    <xf numFmtId="0" fontId="26" fillId="17" borderId="0" applyAlignment="1">
      <alignment vertical="center"/>
    </xf>
    <xf numFmtId="0" fontId="26" fillId="18" borderId="0" applyAlignment="1">
      <alignment vertical="center"/>
    </xf>
    <xf numFmtId="0" fontId="25" fillId="19" borderId="0" applyAlignment="1">
      <alignment vertical="center"/>
    </xf>
    <xf numFmtId="0" fontId="25" fillId="20" borderId="0" applyAlignment="1">
      <alignment vertical="center"/>
    </xf>
    <xf numFmtId="0" fontId="26" fillId="21" borderId="0" applyAlignment="1">
      <alignment vertical="center"/>
    </xf>
    <xf numFmtId="0" fontId="26" fillId="22" borderId="0" applyAlignment="1">
      <alignment vertical="center"/>
    </xf>
    <xf numFmtId="0" fontId="25" fillId="23" borderId="0" applyAlignment="1">
      <alignment vertical="center"/>
    </xf>
    <xf numFmtId="0" fontId="25" fillId="24" borderId="0" applyAlignment="1">
      <alignment vertical="center"/>
    </xf>
    <xf numFmtId="0" fontId="26" fillId="25" borderId="0" applyAlignment="1">
      <alignment vertical="center"/>
    </xf>
    <xf numFmtId="0" fontId="26" fillId="26" borderId="0" applyAlignment="1">
      <alignment vertical="center"/>
    </xf>
    <xf numFmtId="0" fontId="25" fillId="27" borderId="0" applyAlignment="1">
      <alignment vertical="center"/>
    </xf>
    <xf numFmtId="0" fontId="25" fillId="28" borderId="0" applyAlignment="1">
      <alignment vertical="center"/>
    </xf>
    <xf numFmtId="0" fontId="26" fillId="29" borderId="0" applyAlignment="1">
      <alignment vertical="center"/>
    </xf>
    <xf numFmtId="0" fontId="26" fillId="30" borderId="0" applyAlignment="1">
      <alignment vertical="center"/>
    </xf>
    <xf numFmtId="0" fontId="25" fillId="31" borderId="0" applyAlignment="1">
      <alignment vertical="center"/>
    </xf>
    <xf numFmtId="0" fontId="25" fillId="32" borderId="0" applyAlignment="1">
      <alignment vertical="center"/>
    </xf>
    <xf numFmtId="0" fontId="26" fillId="33" borderId="0" applyAlignment="1">
      <alignment vertical="center"/>
    </xf>
    <xf numFmtId="0" fontId="26" fillId="34" borderId="0" applyAlignment="1">
      <alignment vertical="center"/>
    </xf>
    <xf numFmtId="0" fontId="25" fillId="35" borderId="0" applyAlignment="1">
      <alignment vertical="center"/>
    </xf>
  </cellStyleXfs>
  <cellXfs count="16">
    <xf numFmtId="0" fontId="0" fillId="0" borderId="0" applyAlignment="1" pivotButton="0" quotePrefix="0" xfId="0">
      <alignment vertical="center"/>
    </xf>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horizontal="center" vertical="center"/>
    </xf>
    <xf numFmtId="49" fontId="0" fillId="0" borderId="0" pivotButton="0" quotePrefix="0" xfId="0"/>
    <xf numFmtId="0" fontId="5" fillId="0" borderId="0" applyAlignment="1" pivotButton="0" quotePrefix="0" xfId="0">
      <alignment vertical="center" wrapText="1"/>
    </xf>
    <xf numFmtId="0" fontId="0" fillId="0" borderId="0" applyAlignment="1" pivotButton="0" quotePrefix="0" xfId="0">
      <alignment horizontal="left" vertical="center" wrapText="1"/>
    </xf>
    <xf numFmtId="0" fontId="6" fillId="0" borderId="0" applyAlignment="1" pivotButton="0" quotePrefix="0" xfId="0">
      <alignment vertical="center"/>
    </xf>
    <xf numFmtId="0" fontId="0" fillId="0" borderId="0" applyAlignment="1" pivotButton="0" quotePrefix="0" xfId="0">
      <alignment wrapText="1"/>
    </xf>
    <xf numFmtId="0" fontId="7" fillId="0" borderId="0" applyAlignment="1" pivotButton="0" quotePrefix="0" xfId="0">
      <alignment vertical="center"/>
    </xf>
    <xf numFmtId="0" fontId="27"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L87"/>
  <sheetViews>
    <sheetView topLeftCell="A61" workbookViewId="0">
      <selection activeCell="C84" sqref="C84:C87"/>
    </sheetView>
  </sheetViews>
  <sheetFormatPr baseColWidth="8" defaultColWidth="9" defaultRowHeight="13.5"/>
  <cols>
    <col width="29.125" customWidth="1" style="1" min="1" max="1"/>
    <col width="49.875" customWidth="1" style="1" min="2" max="2"/>
    <col width="29.125" customWidth="1" style="1" min="3" max="3"/>
    <col width="24.875" customWidth="1" style="1" min="5" max="5"/>
    <col width="26.125" customWidth="1" style="1" min="6" max="6"/>
    <col width="41.625" customWidth="1" style="1" min="12" max="12"/>
  </cols>
  <sheetData>
    <row r="1">
      <c r="C1" s="0" t="inlineStr">
        <is>
          <t>utf8</t>
        </is>
      </c>
      <c r="D1" s="0" t="inlineStr">
        <is>
          <t>gb18030</t>
        </is>
      </c>
      <c r="E1" s="0" t="inlineStr">
        <is>
          <t>gbk</t>
        </is>
      </c>
    </row>
    <row r="2">
      <c r="A2" s="0" t="inlineStr">
        <is>
          <t>oracle</t>
        </is>
      </c>
      <c r="B2" s="0" t="inlineStr">
        <is>
          <t>char表索引比对不对</t>
        </is>
      </c>
      <c r="F2" s="0" t="inlineStr">
        <is>
          <t>sqlserver目前的问题：</t>
        </is>
      </c>
    </row>
    <row r="3">
      <c r="A3" s="0" t="inlineStr">
        <is>
          <t>postgre</t>
        </is>
      </c>
      <c r="B3" s="0" t="n"/>
      <c r="C3" s="0" t="inlineStr">
        <is>
          <t>ok</t>
        </is>
      </c>
      <c r="D3" s="0" t="inlineStr">
        <is>
          <t>不支持</t>
        </is>
      </c>
      <c r="E3" s="0" t="n">
        <v>1</v>
      </c>
      <c r="F3" s="2" t="inlineStr">
        <is>
          <t>科学计数法</t>
        </is>
      </c>
    </row>
    <row r="4">
      <c r="B4" s="3" t="inlineStr">
        <is>
          <t>索引类型、复合索引区分不明确</t>
        </is>
      </c>
      <c r="E4" s="0" t="n">
        <v>2</v>
      </c>
      <c r="F4" s="2" t="inlineStr">
        <is>
          <t>二进制-string</t>
        </is>
      </c>
    </row>
    <row r="5">
      <c r="A5" s="0" t="inlineStr">
        <is>
          <t>mysql</t>
        </is>
      </c>
      <c r="B5" s="3" t="inlineStr">
        <is>
          <t>所有约束、索引貌似没有获取到，断点调试没反应</t>
        </is>
      </c>
      <c r="E5" s="0" t="n">
        <v>3</v>
      </c>
      <c r="F5" s="2" t="inlineStr">
        <is>
          <t>时间戳-string</t>
        </is>
      </c>
    </row>
    <row r="6">
      <c r="E6" s="0" t="n">
        <v>4</v>
      </c>
      <c r="F6" s="2" t="inlineStr">
        <is>
          <t>布尔类型-true、false字符串</t>
        </is>
      </c>
    </row>
    <row r="7">
      <c r="A7" s="0" t="inlineStr">
        <is>
          <t>ob_mysql</t>
        </is>
      </c>
    </row>
    <row r="8">
      <c r="A8" s="0" t="inlineStr">
        <is>
          <t>ob_oracle</t>
        </is>
      </c>
    </row>
    <row r="9">
      <c r="A9" s="4" t="inlineStr">
        <is>
          <t>opengauss</t>
        </is>
      </c>
    </row>
    <row r="10">
      <c r="A10" s="0" t="inlineStr">
        <is>
          <t>tdsql_postgre</t>
        </is>
      </c>
    </row>
    <row r="11">
      <c r="A11" s="0" t="inlineStr">
        <is>
          <t>tdsql_mysql</t>
        </is>
      </c>
    </row>
    <row r="12">
      <c r="A12" s="0" t="inlineStr">
        <is>
          <t>dws</t>
        </is>
      </c>
    </row>
    <row r="14">
      <c r="A14" s="0" t="inlineStr">
        <is>
          <t>msssql</t>
        </is>
      </c>
      <c r="B14" s="0" t="inlineStr">
        <is>
          <t>datetime2 毫秒位进位问题</t>
        </is>
      </c>
      <c r="E14" s="0" t="inlineStr">
        <is>
          <t>备库gbk获取报错</t>
        </is>
      </c>
    </row>
    <row r="15">
      <c r="B15" s="0" t="inlineStr">
        <is>
          <t>sqlserver查询转码位字符串解决</t>
        </is>
      </c>
    </row>
    <row r="16">
      <c r="B16" s="0" t="inlineStr">
        <is>
          <t>python限制fetch参数</t>
        </is>
      </c>
    </row>
    <row r="19">
      <c r="B19" s="0" t="inlineStr">
        <is>
          <t>timestamp 二进制转码问题</t>
        </is>
      </c>
    </row>
    <row r="20">
      <c r="B20" s="5" t="inlineStr">
        <is>
          <t>unique列获取有误</t>
        </is>
      </c>
      <c r="E20" s="6" t="inlineStr">
        <is>
          <t>mysql</t>
        </is>
      </c>
      <c r="F20" s="6" t="inlineStr">
        <is>
          <t>oracle</t>
        </is>
      </c>
      <c r="G20" s="6" t="inlineStr">
        <is>
          <t>pg</t>
        </is>
      </c>
      <c r="H20" s="6" t="inlineStr">
        <is>
          <t>opengauss</t>
        </is>
      </c>
      <c r="I20" s="6" t="inlineStr">
        <is>
          <t>dws</t>
        </is>
      </c>
      <c r="J20" s="7" t="inlineStr">
        <is>
          <t>kafka</t>
        </is>
      </c>
      <c r="K20" s="0" t="n">
        <v>1</v>
      </c>
      <c r="L20" s="0" t="inlineStr">
        <is>
          <t>time009 日期类型建表自带默认值字段部分丢失</t>
        </is>
      </c>
    </row>
    <row r="21">
      <c r="B21" s="0" t="inlineStr">
        <is>
          <t>备库gbk获取报错</t>
        </is>
      </c>
      <c r="K21" s="0" t="n">
        <v>2</v>
      </c>
      <c r="L21" s="0" t="inlineStr">
        <is>
          <t>默认值为空</t>
        </is>
      </c>
    </row>
    <row r="22">
      <c r="A22" s="0" t="inlineStr">
        <is>
          <t>sql-oracle</t>
        </is>
      </c>
      <c r="K22" s="0" t="n">
        <v>3</v>
      </c>
      <c r="L22" s="0" t="inlineStr">
        <is>
          <t>date-date(timestamp without time zone</t>
        </is>
      </c>
    </row>
    <row r="23">
      <c r="A23" s="0" t="inlineStr">
        <is>
          <t>空字符串处理为null</t>
        </is>
      </c>
      <c r="B23" s="0" t="inlineStr">
        <is>
          <t>更换loader解决</t>
        </is>
      </c>
      <c r="K23" s="0" t="n">
        <v>4</v>
      </c>
      <c r="L23" s="0" t="inlineStr">
        <is>
          <t>bit-boolean(numric</t>
        </is>
      </c>
    </row>
    <row r="24">
      <c r="A24" s="0" t="n"/>
      <c r="K24" s="0" t="n">
        <v>5</v>
      </c>
    </row>
    <row r="25">
      <c r="A25" s="0" t="inlineStr">
        <is>
          <t>虚拟列</t>
        </is>
      </c>
      <c r="B25" s="0" t="inlineStr">
        <is>
          <t>正在解决</t>
        </is>
      </c>
      <c r="K25" s="0" t="n">
        <v>6</v>
      </c>
    </row>
    <row r="26">
      <c r="A26" s="0" t="inlineStr">
        <is>
          <t>汉字表名添加约束报错标识列过长</t>
        </is>
      </c>
    </row>
    <row r="28">
      <c r="A28" s="8" t="inlineStr">
        <is>
          <t>sql-oracle</t>
        </is>
      </c>
      <c r="C28" s="8" t="inlineStr">
        <is>
          <t>_pg</t>
        </is>
      </c>
      <c r="D28" s="0" t="inlineStr">
        <is>
          <t xml:space="preserve">variant </t>
        </is>
      </c>
      <c r="E28" s="0" t="inlineStr">
        <is>
          <t>time</t>
        </is>
      </c>
      <c r="F28" s="0" t="inlineStr">
        <is>
          <t>text</t>
        </is>
      </c>
      <c r="G28" s="0" t="inlineStr">
        <is>
          <t>geom</t>
        </is>
      </c>
      <c r="H28" s="0" t="inlineStr">
        <is>
          <t>binary</t>
        </is>
      </c>
    </row>
    <row r="29">
      <c r="A29" s="0" t="inlineStr">
        <is>
          <t>空字符串处理为null</t>
        </is>
      </c>
      <c r="B29" s="0" t="inlineStr">
        <is>
          <t>更换loader解决</t>
        </is>
      </c>
      <c r="C29" s="0" t="inlineStr">
        <is>
          <t>yuangonggongzibiao</t>
        </is>
      </c>
    </row>
    <row r="30">
      <c r="A30" s="0" t="inlineStr">
        <is>
          <t>虚拟列</t>
        </is>
      </c>
      <c r="B30" s="0" t="inlineStr">
        <is>
          <t>正在解决</t>
        </is>
      </c>
      <c r="C30" s="0" t="inlineStr">
        <is>
          <t>bt1空字元</t>
        </is>
      </c>
    </row>
    <row r="31">
      <c r="A31" s="0" t="inlineStr">
        <is>
          <t>汉字表名添加约束报错标识列过长</t>
        </is>
      </c>
    </row>
    <row r="32">
      <c r="A32" s="0" t="inlineStr">
        <is>
          <t>check英文大小写问题</t>
        </is>
      </c>
    </row>
    <row r="33">
      <c r="A33" s="0" t="inlineStr">
        <is>
          <t>char3000转为clob</t>
        </is>
      </c>
    </row>
    <row r="35">
      <c r="A35" s="0" t="inlineStr">
        <is>
          <t>loader</t>
        </is>
      </c>
      <c r="B35" s="0" t="inlineStr">
        <is>
          <t>\\172.20.64.7\i2soft\i2soft\i2soft\i2stream\loader\loader-rdbms\feature\rdbms-loader\i2stream-loader-7.1.77.23091621.rdbms.tar.gz</t>
        </is>
      </c>
    </row>
    <row r="36">
      <c r="A36" s="0" t="inlineStr">
        <is>
          <t>mssnode</t>
        </is>
      </c>
      <c r="B36" s="9" t="inlineStr">
        <is>
          <t>7.1.74.23082816</t>
        </is>
      </c>
    </row>
    <row r="37">
      <c r="A37" s="0" t="inlineStr">
        <is>
          <t>monitor</t>
        </is>
      </c>
      <c r="B37" s="0" t="inlineStr">
        <is>
          <t>\\172.20.64.7\i2soft\i2soft\i2soft\i2stream\monitor\monitor-all\iastream-monitor-7.1.75.23091210.tar.gz</t>
        </is>
      </c>
    </row>
    <row r="38">
      <c r="A38" s="0" t="inlineStr">
        <is>
          <t>备端helper</t>
        </is>
      </c>
      <c r="B38" s="0" t="inlineStr">
        <is>
          <t xml:space="preserve"> 7.1.74.23091317</t>
        </is>
      </c>
    </row>
    <row r="39">
      <c r="B39" s="0" t="n"/>
      <c r="F39" s="0" t="inlineStr">
        <is>
          <t>sqlserver-dm</t>
        </is>
      </c>
      <c r="H39" s="0" t="inlineStr">
        <is>
          <t>全</t>
        </is>
      </c>
      <c r="I39" s="0" t="inlineStr">
        <is>
          <t>增</t>
        </is>
      </c>
    </row>
    <row r="40">
      <c r="A40" s="0" t="inlineStr">
        <is>
          <t>./i2stream/loader-rdbms/bin/launch client.sh -list db mapping</t>
        </is>
      </c>
      <c r="C40" s="0" t="inlineStr">
        <is>
          <t>sglserver-&gt;mysql</t>
        </is>
      </c>
      <c r="D40" s="0" t="inlineStr">
        <is>
          <t>sqlserver</t>
        </is>
      </c>
      <c r="G40" s="0" t="inlineStr">
        <is>
          <t>time009</t>
        </is>
      </c>
      <c r="H40" s="0" t="inlineStr">
        <is>
          <t>def丢失</t>
        </is>
      </c>
    </row>
    <row r="41">
      <c r="A41" s="0" t="inlineStr">
        <is>
          <t>oceanbase oracle-&gt;oracle</t>
        </is>
      </c>
      <c r="B41" s="9" t="n"/>
      <c r="C41" s="0" t="inlineStr">
        <is>
          <t>sglserver-oracle</t>
        </is>
      </c>
      <c r="D41" s="0" t="inlineStr">
        <is>
          <t>mysql</t>
        </is>
      </c>
      <c r="G41" s="0" t="inlineStr">
        <is>
          <t>i2no011</t>
        </is>
      </c>
      <c r="J41" s="0" t="inlineStr">
        <is>
          <t>达梦中负值带括号</t>
        </is>
      </c>
    </row>
    <row r="42">
      <c r="A42" s="0" t="inlineStr">
        <is>
          <t>oceanbase oracle-&gt;lightdb</t>
        </is>
      </c>
      <c r="C42" s="0" t="inlineStr">
        <is>
          <t>sglserver-&gt;postgresgl</t>
        </is>
      </c>
      <c r="D42" s="0" t="inlineStr">
        <is>
          <t>oracle</t>
        </is>
      </c>
      <c r="G42" s="10" t="inlineStr">
        <is>
          <t>I2_NO010</t>
        </is>
      </c>
      <c r="J42" s="0" t="inlineStr">
        <is>
          <t>复合主键聚合索引</t>
        </is>
      </c>
    </row>
    <row r="43">
      <c r="A43" s="0" t="inlineStr">
        <is>
          <t>oceanbase oracle-&gt;oceanbase oracle</t>
        </is>
      </c>
      <c r="C43" s="0" t="inlineStr">
        <is>
          <t>sglserver-&gt;opengauss</t>
        </is>
      </c>
      <c r="D43" s="0" t="inlineStr">
        <is>
          <t>postgre</t>
        </is>
      </c>
    </row>
    <row r="44">
      <c r="A44" s="0" t="inlineStr">
        <is>
          <t>oceanbase mysql-&gt;oceanbase mysql</t>
        </is>
      </c>
      <c r="D44" s="0" t="inlineStr">
        <is>
          <t>db2</t>
        </is>
      </c>
    </row>
    <row r="45">
      <c r="A45" s="0" t="inlineStr">
        <is>
          <t>oceanbase mysql-&gt;mysgl</t>
        </is>
      </c>
      <c r="C45" s="0" t="inlineStr">
        <is>
          <t>sglserver-&gt;oceanbase mysql</t>
        </is>
      </c>
      <c r="D45" s="0" t="inlineStr">
        <is>
          <t>dm</t>
        </is>
      </c>
    </row>
    <row r="46">
      <c r="C46" s="0" t="inlineStr">
        <is>
          <t>sglserver-&gt;oceanbase oracle</t>
        </is>
      </c>
    </row>
    <row r="47">
      <c r="C47" s="0" t="inlineStr">
        <is>
          <t>sqlserver-&gt;dm8</t>
        </is>
      </c>
    </row>
    <row r="49">
      <c r="B49" s="0" t="inlineStr">
        <is>
          <t>oracle：</t>
        </is>
      </c>
      <c r="C49" s="0" t="n"/>
    </row>
    <row r="50" ht="130" customHeight="1" s="1">
      <c r="B50" s="11" t="inlineStr">
        <is>
          <t>通常数据库设置主键时会自动建立系统命名索引导致源备索引名大概率不同，对于同一字段，双方都存在主键与索引时，不比较索引名，认为该索引存在合理
主键不存在：建立唯一键自动建立同名唯一索引，unique、index同时存在时，视为只有唯一键约束
主键存在：添加主键自动建立唯一索引+唯一键，视为仅有唯一索引；</t>
        </is>
      </c>
      <c r="C50" s="0" t="inlineStr">
        <is>
          <t>oracle可在null列上增加主键</t>
        </is>
      </c>
    </row>
    <row r="51">
      <c r="A51" s="0" t="inlineStr">
        <is>
          <t>oracle-&gt;db2</t>
        </is>
      </c>
      <c r="B51" s="0" t="inlineStr">
        <is>
          <t>集成开发</t>
        </is>
      </c>
    </row>
    <row r="52">
      <c r="A52" s="0" t="inlineStr">
        <is>
          <t>oracle-&gt;mysql</t>
        </is>
      </c>
      <c r="B52" s="0" t="inlineStr">
        <is>
          <t>以数据为中心</t>
        </is>
      </c>
      <c r="C52" s="0" t="inlineStr">
        <is>
          <t>拓展性：语法检查、解释执行</t>
        </is>
      </c>
    </row>
    <row r="53">
      <c r="A53" s="0" t="inlineStr">
        <is>
          <t>oracle-&gt;oracle</t>
        </is>
      </c>
      <c r="C53" s="0" t="inlineStr">
        <is>
          <t>用户交互：断点、编辑、调试、替换、配置</t>
        </is>
      </c>
    </row>
    <row r="54">
      <c r="A54" s="0" t="inlineStr">
        <is>
          <t>oracle-&gt;postgresql</t>
        </is>
      </c>
      <c r="C54" s="0" t="inlineStr">
        <is>
          <t>数据管理：脚本语言、语法树、可视模型、调试编译信息</t>
        </is>
      </c>
    </row>
    <row r="55">
      <c r="A55" s="0" t="inlineStr">
        <is>
          <t>oracle-&gt;tdsgl mysal</t>
        </is>
      </c>
      <c r="B55" s="0" t="inlineStr">
        <is>
          <t>进程通信风格</t>
        </is>
      </c>
    </row>
    <row r="56">
      <c r="A56" s="0" t="inlineStr">
        <is>
          <t>oracle-&gt;tdsql postgresql</t>
        </is>
      </c>
      <c r="B56" s="12" t="inlineStr">
        <is>
          <t>构件是独立的过程，连接件是消息传递。构件通常是命名过程，消息传递的方式可以是点对点、异步或同步方式，以及远程过程(方法）调用等。</t>
        </is>
      </c>
    </row>
    <row r="57">
      <c r="A57" s="0" t="inlineStr">
        <is>
          <t>oracle-&gt;dm</t>
        </is>
      </c>
      <c r="B57" s="0" t="inlineStr">
        <is>
          <t>数据库访问方式</t>
        </is>
      </c>
      <c r="C57" s="0" t="inlineStr">
        <is>
          <t>在线访问</t>
        </is>
      </c>
    </row>
    <row r="58">
      <c r="A58" s="0" t="inlineStr">
        <is>
          <t>oracle-&gt;opengauss</t>
        </is>
      </c>
      <c r="C58" s="0" t="inlineStr">
        <is>
          <t>dao</t>
        </is>
      </c>
    </row>
    <row r="59">
      <c r="A59" s="0" t="inlineStr">
        <is>
          <t>oracle-&gt;gaussdb t</t>
        </is>
      </c>
      <c r="C59" s="0" t="inlineStr">
        <is>
          <t>dto</t>
        </is>
      </c>
    </row>
    <row r="60">
      <c r="A60" s="0" t="inlineStr">
        <is>
          <t>oracle-&gt;gianbase</t>
        </is>
      </c>
      <c r="C60" s="0" t="inlineStr">
        <is>
          <t>orm对象关系映射，平台</t>
        </is>
      </c>
    </row>
    <row r="61" ht="175.5" customHeight="1" s="1">
      <c r="A61" s="0" t="inlineStr">
        <is>
          <t>oracle-&gt;qianbase xtp</t>
        </is>
      </c>
      <c r="C61" s="13" t="inlineStr">
        <is>
          <t xml:space="preserve">①:数据流图中的处理过程可并行;流程图在某个时间点只能处于一个处理过程。
②:数据流图展现系统的数据流;流程图展现系统的控制流。
③:数据流图展现全局的处理过程，过程之间遵循不同的计时标准;流程图中处理过程遵循一致的计时标准。
④:数据流图适用于系统分析中的逻辑建模阶段;流程图适用于系统设计中的物理建模阶段。
</t>
        </is>
      </c>
    </row>
    <row r="62">
      <c r="A62" s="0" t="inlineStr">
        <is>
          <t>oracle-&gt;oceanbase oracle</t>
        </is>
      </c>
      <c r="B62" s="0" t="inlineStr">
        <is>
          <t>数据流：由一组成分确定的数据构成</t>
        </is>
      </c>
      <c r="C62" s="0" t="inlineStr">
        <is>
          <t>数据流图和流程图区别：</t>
        </is>
      </c>
    </row>
    <row r="63">
      <c r="A63" s="0" t="inlineStr">
        <is>
          <t>oracle-&gt;tidb</t>
        </is>
      </c>
      <c r="B63" s="0" t="inlineStr">
        <is>
          <t>外部实体：人、物</t>
        </is>
      </c>
      <c r="C63" s="0" t="inlineStr">
        <is>
          <t>数据流图可以并行表示程序，流程图只能同时表示一个</t>
        </is>
      </c>
    </row>
    <row r="64">
      <c r="A64" s="0" t="inlineStr">
        <is>
          <t>oracle-&gt;sundb</t>
        </is>
      </c>
      <c r="B64" s="0" t="inlineStr">
        <is>
          <t>架构：处理数据的单元，接受数据并输出</t>
        </is>
      </c>
      <c r="C64" s="0" t="inlineStr">
        <is>
          <t>数据流图表示数据流，流程图表示控制流</t>
        </is>
      </c>
    </row>
    <row r="65">
      <c r="A65" s="0" t="inlineStr">
        <is>
          <t>oracle-&gt;informix</t>
        </is>
      </c>
      <c r="B65" s="0" t="inlineStr">
        <is>
          <t>数据存储：静态存储：文件、数据库</t>
        </is>
      </c>
      <c r="C65" s="0" t="inlineStr">
        <is>
          <t>流图中程序遵循的时钟可以不同，流程图必须遵循一个时钟</t>
        </is>
      </c>
    </row>
    <row r="66">
      <c r="A66" s="0" t="inlineStr">
        <is>
          <t>oracle-&gt;stonedb</t>
        </is>
      </c>
      <c r="C66" s="0" t="inlineStr">
        <is>
          <t>流图：逻辑建模，流程图：物理建模</t>
        </is>
      </c>
    </row>
    <row r="67">
      <c r="A67" s="0" t="inlineStr">
        <is>
          <t>oracle-&gt;lightdb</t>
        </is>
      </c>
    </row>
    <row r="68">
      <c r="C68" s="0" t="inlineStr">
        <is>
          <t>25/10.27</t>
        </is>
      </c>
    </row>
    <row r="69">
      <c r="A69" s="0" t="inlineStr">
        <is>
          <t>dm-&gt;mysgl</t>
        </is>
      </c>
      <c r="C69" s="0" t="inlineStr">
        <is>
          <t>info_binary_dml_single_pk</t>
        </is>
      </c>
      <c r="D69" s="0" t="inlineStr">
        <is>
          <t>序号</t>
        </is>
      </c>
      <c r="E69" s="0" t="inlineStr">
        <is>
          <t>问题</t>
        </is>
      </c>
      <c r="F69" s="0" t="inlineStr">
        <is>
          <t>方案</t>
        </is>
      </c>
    </row>
    <row r="70">
      <c r="A70" s="0" t="inlineStr">
        <is>
          <t>dm-&gt;goldendb</t>
        </is>
      </c>
      <c r="D70" s="0" t="n">
        <v>1</v>
      </c>
      <c r="E70" s="0" t="inlineStr">
        <is>
          <t>XML备端多了location标签</t>
        </is>
      </c>
      <c r="F70" s="14" t="inlineStr">
        <is>
          <t>1、xml转为xml对象，locaton标签对xml对象无影响</t>
        </is>
      </c>
    </row>
    <row r="71">
      <c r="A71" s="0" t="inlineStr">
        <is>
          <t>dm-&gt;oracle</t>
        </is>
      </c>
      <c r="F71" s="0" t="inlineStr">
        <is>
          <t>2、正则去掉备端字符串中的location标签</t>
        </is>
      </c>
    </row>
    <row r="72">
      <c r="A72" s="0" t="inlineStr">
        <is>
          <t>dm-&gt;postgresgl</t>
        </is>
      </c>
      <c r="D72" s="0" t="n">
        <v>2</v>
      </c>
      <c r="E72" s="0" t="inlineStr">
        <is>
          <t>源端二进制备端字符串，只有源端进行了转换</t>
        </is>
      </c>
      <c r="F72" s="0" t="inlineStr">
        <is>
          <t>1、备端字符串前加0x，转为二进制对象对比</t>
        </is>
      </c>
    </row>
    <row r="73">
      <c r="A73" s="0" t="n"/>
      <c r="F73" s="0" t="inlineStr">
        <is>
          <t>2、源端先不转成</t>
        </is>
      </c>
    </row>
    <row r="74">
      <c r="A74" s="0" t="inlineStr">
        <is>
          <t>dm-&gt;tdsgl postgresql</t>
        </is>
      </c>
      <c r="D74" s="0" t="n">
        <v>3</v>
      </c>
      <c r="E74" s="0" t="inlineStr">
        <is>
          <t>浮点/real精度问题</t>
        </is>
      </c>
      <c r="F74" s="0" t="inlineStr">
        <is>
          <t>1、源端查询时获取字符串</t>
        </is>
      </c>
    </row>
    <row r="75">
      <c r="A75" s="0" t="inlineStr">
        <is>
          <t>dm-vdm</t>
        </is>
      </c>
      <c r="F75" s="0" t="inlineStr">
        <is>
          <t>2、模糊匹配</t>
        </is>
      </c>
    </row>
    <row r="76">
      <c r="A76" s="0" t="inlineStr">
        <is>
          <t>dm-&gt;opengauss</t>
        </is>
      </c>
    </row>
    <row r="77">
      <c r="A77" s="0" t="inlineStr">
        <is>
          <t>dm-&gt;oceanbase oracle</t>
        </is>
      </c>
    </row>
    <row r="79">
      <c r="A79" s="0" t="inlineStr">
        <is>
          <t>db2-&gt;db2</t>
        </is>
      </c>
    </row>
    <row r="80">
      <c r="A80" s="0" t="inlineStr">
        <is>
          <t>db2-&gt;mysql</t>
        </is>
      </c>
    </row>
    <row r="81">
      <c r="A81" s="0" t="inlineStr">
        <is>
          <t>db2-&gt;oracle</t>
        </is>
      </c>
    </row>
    <row r="82">
      <c r="A82" s="0" t="inlineStr">
        <is>
          <t>db2-&gt;postgresgl</t>
        </is>
      </c>
    </row>
    <row r="83">
      <c r="A83" s="0" t="inlineStr">
        <is>
          <t>db2-&gt;dm</t>
        </is>
      </c>
    </row>
    <row r="84">
      <c r="A84" s="0" t="inlineStr">
        <is>
          <t>db2-&gt;opengauss</t>
        </is>
      </c>
      <c r="C84" s="0" t="inlineStr">
        <is>
          <t>tgt行 ['1', '2020-02-29', '2026-04-20 23:59:59.999999', '2046-05-11 14:30:45.123456', '1971-05-11 00:00:00.000000+14:00', '0', '-32768', '-2147483648', '2023-10-01 14:30:00', '-3.4e+38', '-922337203685477.5808', '9999-12-30 23:59:59.997000', '-1.79e+308', '0', '-1000000000000000', 'A7B0C3D4-E8F9-4A5B-6C7D-8E9F0A1B2C3D', '2026-04-20 21:47:48.364800', '-9223372036854775808', '0x3132333435363738393031323334353637383930', '$TooLong英255Val方&amp;', '0xBAA3D3A2B7BDC8EDBCFEB9C9B7DDB9ABCBBE', '$TooLong英255Val方&amp; ', '$TooLong英255Val方&amp;', '$TooLo英255V方&amp;       ']列，源：None 备：2a5cd0551de7491cea04dd8f6d40b5d9</t>
        </is>
      </c>
    </row>
    <row r="85">
      <c r="A85" s="0" t="inlineStr">
        <is>
          <t>db2-&gt;oceanbase oracle</t>
        </is>
      </c>
      <c r="C85" s="0" t="inlineStr">
        <is>
          <t>tgt行 ['2', '2020-02-29', '2026-04-20 23:59:59.999999', '2046-05-11 14:30:45.123456', '1971-05-11 00:00:00.000000+14:00', '0', '-32768', '-2147483648', '2023-10-01 14:30:00', '-3.4e+38', '-922337203685477.5808', '9999-12-30 23:59:59.997000', '-1.79e+308', '0', '-1000000000000000', 'A7B0C3D4-E8F9-4A5B-6C7D-8E9F0A1B2C3D', '2026-04-20 21:47:48.364800', '-9223372036854775808', '0x3132333435363738393031323334353637383930', '$TooLong英255Val方&amp;', '0xBAA3D3A2B7BDC8EDBCFEB9C9B7DDB9ABCBBE', '$TooLong英255Val方&amp; ', '$TooLong英255Val方&amp;', '$TooLo英255V方&amp;       ']列，源：None 备：35c7638aaac7659fe8fe35b6c2dda265</t>
        </is>
      </c>
    </row>
    <row r="86">
      <c r="C86" s="0" t="inlineStr">
        <is>
          <t>src行 ['1', '2020-02-29 00:00:00.000000', '2026-04-20 23:59:00.000000', '2046-05-11 14:30:00.000000', '1971-05-11 00:00:00.000000+14:00', '0', '-32768', '-2147483648', '2023-10-01 14:30:00.000000', '-3.4e+038', '-922337203685477.58', '9999-12-30 23:59:00.000000', '-1.79e+308', '0', '-1000000000000000', 'A7B0C3D4-E8F9-4A5B-6C7D-8E9F0A1B2C3D', '2026-04-20 21:47:48.360000', '-9223372036854775808', '0x3132333435363738393031323334353637383930', '$TooLong英255Val方&amp;', '0xC9CFBAA3D3A2B7BDC8EDBCFEB9C9B7DDB9ABCBBE', '$TooLong英255Val方&amp; ', '$TooLong英255Val方&amp;', '$TooLo英255V方&amp;       ']列，源：efc96f8536c63c82c9a07499c7490aff 备：None</t>
        </is>
      </c>
    </row>
    <row r="87">
      <c r="C87" s="0" t="inlineStr">
        <is>
          <t>src行 ['2', '2020-02-29 00:00:00.000000', '2026-04-20 23:59:00.000000', '2046-05-11 14:30:00.000000', '1971-05-11 00:00:00.000000+14:00', '0', '-32768', '-2147483648', '2023-10-01 14:30:00.000000', '-3.4e+038', '-922337203685477.58', '9999-12-30 23:59:00.000000', '-1.79e+308', '0', '-1000000000000000', 'A7B0C3D4-E8F9-4A5B-6C7D-8E9F0A1B2C3D', '2026-04-20 21:47:48.360000', '-9223372036854775808', '0x3132333435363738393031323334353637383930', '$TooLong英255Val方&amp;', '0xC9CFBAA3D3A2B7BDC8EDBCFEB9C9B7DDB9ABCBBE', '$TooLong英255Val方&amp; ', '$TooLong英255Val方&amp;', '$TooLo英255V方&amp;       ']列，源：8db5bff66bef012fc12266ec4510883d 备：None</t>
        </is>
      </c>
    </row>
  </sheetData>
  <mergeCells count="3">
    <mergeCell ref="B36:E36"/>
    <mergeCell ref="B35:E35"/>
    <mergeCell ref="B37:E37"/>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X67"/>
  <sheetViews>
    <sheetView topLeftCell="A22" workbookViewId="0">
      <selection activeCell="S19" sqref="S19"/>
    </sheetView>
  </sheetViews>
  <sheetFormatPr baseColWidth="8" defaultColWidth="9" defaultRowHeight="13.5"/>
  <cols>
    <col width="19" customWidth="1" style="1" min="23" max="23"/>
  </cols>
  <sheetData>
    <row r="1">
      <c r="A1" s="0" t="inlineStr">
        <is>
          <t>sqlserver -- 2026051515sqlserver</t>
        </is>
      </c>
      <c r="E1" s="0" t="inlineStr">
        <is>
          <t>源端共计 12个表，备端共计 12个表</t>
        </is>
      </c>
    </row>
    <row r="2">
      <c r="A2" s="0" t="inlineStr">
        <is>
          <t>表名</t>
        </is>
      </c>
      <c r="B2" s="0" t="inlineStr">
        <is>
          <t>pk</t>
        </is>
      </c>
      <c r="C2" s="0" t="inlineStr">
        <is>
          <t>default</t>
        </is>
      </c>
      <c r="D2" s="0" t="inlineStr">
        <is>
          <t>唯一</t>
        </is>
      </c>
      <c r="E2" s="0" t="inlineStr">
        <is>
          <t>复合唯一</t>
        </is>
      </c>
      <c r="F2" s="0" t="inlineStr">
        <is>
          <t>check</t>
        </is>
      </c>
      <c r="G2" s="0" t="inlineStr">
        <is>
          <t>源ck_def</t>
        </is>
      </c>
      <c r="H2" s="0" t="inlineStr">
        <is>
          <t>备check</t>
        </is>
      </c>
      <c r="I2" s="0" t="inlineStr">
        <is>
          <t>索引</t>
        </is>
      </c>
      <c r="J2" s="0" t="inlineStr">
        <is>
          <t>复合索引</t>
        </is>
      </c>
      <c r="K2" s="0" t="inlineStr">
        <is>
          <t>状态</t>
        </is>
      </c>
      <c r="W2" s="0" t="inlineStr">
        <is>
          <t>表内容</t>
        </is>
      </c>
    </row>
    <row r="3">
      <c r="A3" s="0" t="inlineStr">
        <is>
          <t>info_binary_dml_single_nopk</t>
        </is>
      </c>
      <c r="K3" s="0" t="inlineStr">
        <is>
          <t>[0;34m info_binary_dml_single_nopk [0m源备字段数相同，源端字段：4 	备端字段4</t>
        </is>
      </c>
      <c r="W3" s="0" t="inlineStr">
        <is>
          <t>YES 源备无差异</t>
        </is>
      </c>
      <c r="X3" s="0">
        <f>A3</f>
        <v/>
      </c>
    </row>
    <row r="4">
      <c r="B4" s="0" t="inlineStr">
        <is>
          <t>NULL</t>
        </is>
      </c>
      <c r="C4" s="0" t="inlineStr">
        <is>
          <t>NULL</t>
        </is>
      </c>
      <c r="D4" s="0" t="inlineStr">
        <is>
          <t>NULL</t>
        </is>
      </c>
      <c r="E4" s="0" t="inlineStr">
        <is>
          <t>NULL</t>
        </is>
      </c>
      <c r="F4" s="0" t="inlineStr">
        <is>
          <t>NULL</t>
        </is>
      </c>
      <c r="G4" s="0" t="inlineStr">
        <is>
          <t>NULL</t>
        </is>
      </c>
      <c r="H4" s="0" t="inlineStr">
        <is>
          <t>NULL</t>
        </is>
      </c>
      <c r="I4" s="0" t="inlineStr">
        <is>
          <t>NULL</t>
        </is>
      </c>
      <c r="J4" s="0" t="inlineStr">
        <is>
          <t>NULL</t>
        </is>
      </c>
      <c r="K4" s="0" t="inlineStr">
        <is>
          <t>YES! 	 id列源备映射正确，源端为int None位	期望更改为int	实际备端为int None位</t>
        </is>
      </c>
    </row>
    <row r="5">
      <c r="B5" s="0" t="inlineStr">
        <is>
          <t>NULL</t>
        </is>
      </c>
      <c r="C5" s="0" t="inlineStr">
        <is>
          <t>NULL</t>
        </is>
      </c>
      <c r="D5" s="0" t="inlineStr">
        <is>
          <t>NULL</t>
        </is>
      </c>
      <c r="E5" s="0" t="inlineStr">
        <is>
          <t>NULL</t>
        </is>
      </c>
      <c r="F5" s="0" t="inlineStr">
        <is>
          <t>NULL</t>
        </is>
      </c>
      <c r="G5" s="0" t="inlineStr">
        <is>
          <t>NULL</t>
        </is>
      </c>
      <c r="H5" s="0" t="inlineStr">
        <is>
          <t>NULL</t>
        </is>
      </c>
      <c r="I5" s="0" t="inlineStr">
        <is>
          <t>NULL</t>
        </is>
      </c>
      <c r="J5" s="0" t="inlineStr">
        <is>
          <t>NULL</t>
        </is>
      </c>
      <c r="K5" s="0" t="inlineStr">
        <is>
          <t>YES! 	 c_binary列源备映射正确，源端为binary 1位	期望更改为binary(n)	实际备端为binary 1位</t>
        </is>
      </c>
    </row>
    <row r="6">
      <c r="B6" s="0" t="inlineStr">
        <is>
          <t>NULL</t>
        </is>
      </c>
      <c r="C6" s="0" t="inlineStr">
        <is>
          <t>NULL</t>
        </is>
      </c>
      <c r="D6" s="0" t="inlineStr">
        <is>
          <t>NULL</t>
        </is>
      </c>
      <c r="E6" s="0" t="inlineStr">
        <is>
          <t>NULL</t>
        </is>
      </c>
      <c r="F6" s="0" t="inlineStr">
        <is>
          <t>NULL</t>
        </is>
      </c>
      <c r="G6" s="0" t="inlineStr">
        <is>
          <t>NULL</t>
        </is>
      </c>
      <c r="H6" s="0" t="inlineStr">
        <is>
          <t>NULL</t>
        </is>
      </c>
      <c r="I6" s="0" t="inlineStr">
        <is>
          <t>NULL</t>
        </is>
      </c>
      <c r="J6" s="0" t="inlineStr">
        <is>
          <t>NULL</t>
        </is>
      </c>
      <c r="K6" s="0" t="inlineStr">
        <is>
          <t>YES! 	 c_binary_20列源备映射正确，源端为binary 20位	期望更改为binary(n)	实际备端为binary 20位</t>
        </is>
      </c>
    </row>
    <row r="7">
      <c r="B7" s="0" t="inlineStr">
        <is>
          <t>NULL</t>
        </is>
      </c>
      <c r="C7" s="0" t="inlineStr">
        <is>
          <t>NULL</t>
        </is>
      </c>
      <c r="D7" s="0" t="inlineStr">
        <is>
          <t>NULL</t>
        </is>
      </c>
      <c r="E7" s="0" t="inlineStr">
        <is>
          <t>NULL</t>
        </is>
      </c>
      <c r="F7" s="0" t="inlineStr">
        <is>
          <t>NULL</t>
        </is>
      </c>
      <c r="G7" s="0" t="inlineStr">
        <is>
          <t>NULL</t>
        </is>
      </c>
      <c r="H7" s="0" t="inlineStr">
        <is>
          <t>NULL</t>
        </is>
      </c>
      <c r="I7" s="0" t="inlineStr">
        <is>
          <t>NULL</t>
        </is>
      </c>
      <c r="J7" s="0" t="inlineStr">
        <is>
          <t>NULL</t>
        </is>
      </c>
      <c r="K7" s="0" t="inlineStr">
        <is>
          <t>YES! 	 c_binary_8000列源备映射正确，源端为binary 8000位	期望更改为binary(n)	实际备端为binary 8000位</t>
        </is>
      </c>
    </row>
    <row r="8">
      <c r="A8" s="0" t="inlineStr">
        <is>
          <t>info_binary_dml_single_nopk_drp</t>
        </is>
      </c>
      <c r="K8" s="0" t="inlineStr">
        <is>
          <t>[0;34m info_binary_dml_single_nopk_drp [0m源备字段数相同，源端字段：4 	备端字段4</t>
        </is>
      </c>
      <c r="W8" s="0" t="inlineStr">
        <is>
          <t>YES 源备无差异</t>
        </is>
      </c>
      <c r="X8" s="0">
        <f>A8</f>
        <v/>
      </c>
    </row>
    <row r="9">
      <c r="B9" s="0" t="inlineStr">
        <is>
          <t>NULL</t>
        </is>
      </c>
      <c r="C9" s="0" t="inlineStr">
        <is>
          <t>NULL</t>
        </is>
      </c>
      <c r="D9" s="0" t="inlineStr">
        <is>
          <t>NULL</t>
        </is>
      </c>
      <c r="E9" s="0" t="inlineStr">
        <is>
          <t>NULL</t>
        </is>
      </c>
      <c r="F9" s="0" t="inlineStr">
        <is>
          <t>NULL</t>
        </is>
      </c>
      <c r="G9" s="0" t="inlineStr">
        <is>
          <t>NULL</t>
        </is>
      </c>
      <c r="H9" s="0" t="inlineStr">
        <is>
          <t>NULL</t>
        </is>
      </c>
      <c r="I9" s="0" t="inlineStr">
        <is>
          <t>NULL</t>
        </is>
      </c>
      <c r="J9" s="0" t="inlineStr">
        <is>
          <t>NULL</t>
        </is>
      </c>
      <c r="K9" s="0" t="inlineStr">
        <is>
          <t>YES! 	 id列源备映射正确，源端为int None位	期望更改为int	实际备端为int None位</t>
        </is>
      </c>
    </row>
    <row r="10">
      <c r="B10" s="0" t="inlineStr">
        <is>
          <t>NULL</t>
        </is>
      </c>
      <c r="C10" s="0" t="inlineStr">
        <is>
          <t>NULL</t>
        </is>
      </c>
      <c r="D10" s="0" t="inlineStr">
        <is>
          <t>NULL</t>
        </is>
      </c>
      <c r="E10" s="0" t="inlineStr">
        <is>
          <t>NULL</t>
        </is>
      </c>
      <c r="F10" s="0" t="inlineStr">
        <is>
          <t>NULL</t>
        </is>
      </c>
      <c r="G10" s="0" t="inlineStr">
        <is>
          <t>NULL</t>
        </is>
      </c>
      <c r="H10" s="0" t="inlineStr">
        <is>
          <t>NULL</t>
        </is>
      </c>
      <c r="I10" s="0" t="inlineStr">
        <is>
          <t>NULL</t>
        </is>
      </c>
      <c r="J10" s="0" t="inlineStr">
        <is>
          <t>NULL</t>
        </is>
      </c>
      <c r="K10" s="0" t="inlineStr">
        <is>
          <t>YES! 	 c_binary列源备映射正确，源端为binary 1位	期望更改为binary(n)	实际备端为binary 1位</t>
        </is>
      </c>
    </row>
    <row r="11">
      <c r="B11" s="0" t="inlineStr">
        <is>
          <t>NULL</t>
        </is>
      </c>
      <c r="C11" s="0" t="inlineStr">
        <is>
          <t>NULL</t>
        </is>
      </c>
      <c r="D11" s="0" t="inlineStr">
        <is>
          <t>NULL</t>
        </is>
      </c>
      <c r="E11" s="0" t="inlineStr">
        <is>
          <t>NULL</t>
        </is>
      </c>
      <c r="F11" s="0" t="inlineStr">
        <is>
          <t>NULL</t>
        </is>
      </c>
      <c r="G11" s="0" t="inlineStr">
        <is>
          <t>NULL</t>
        </is>
      </c>
      <c r="H11" s="0" t="inlineStr">
        <is>
          <t>NULL</t>
        </is>
      </c>
      <c r="I11" s="0" t="inlineStr">
        <is>
          <t>NULL</t>
        </is>
      </c>
      <c r="J11" s="0" t="inlineStr">
        <is>
          <t>NULL</t>
        </is>
      </c>
      <c r="K11" s="0" t="inlineStr">
        <is>
          <t>YES! 	 c_binary_20列源备映射正确，源端为binary 20位	期望更改为binary(n)	实际备端为binary 20位</t>
        </is>
      </c>
    </row>
    <row r="12">
      <c r="B12" s="0" t="inlineStr">
        <is>
          <t>NULL</t>
        </is>
      </c>
      <c r="C12" s="0" t="inlineStr">
        <is>
          <t>NULL</t>
        </is>
      </c>
      <c r="D12" s="0" t="inlineStr">
        <is>
          <t>NULL</t>
        </is>
      </c>
      <c r="E12" s="0" t="inlineStr">
        <is>
          <t>NULL</t>
        </is>
      </c>
      <c r="F12" s="0" t="inlineStr">
        <is>
          <t>NULL</t>
        </is>
      </c>
      <c r="G12" s="0" t="inlineStr">
        <is>
          <t>NULL</t>
        </is>
      </c>
      <c r="H12" s="0" t="inlineStr">
        <is>
          <t>NULL</t>
        </is>
      </c>
      <c r="I12" s="0" t="inlineStr">
        <is>
          <t>NULL</t>
        </is>
      </c>
      <c r="J12" s="0" t="inlineStr">
        <is>
          <t>NULL</t>
        </is>
      </c>
      <c r="K12" s="0" t="inlineStr">
        <is>
          <t>YES! 	 c_binary_8000列源备映射正确，源端为binary 8000位	期望更改为binary(n)	实际备端为binary 8000位</t>
        </is>
      </c>
    </row>
    <row r="13">
      <c r="A13" s="0" t="inlineStr">
        <is>
          <t>info_binary_dml_single_nopk_urp</t>
        </is>
      </c>
      <c r="K13" s="0" t="inlineStr">
        <is>
          <t>[0;34m info_binary_dml_single_nopk_urp [0m源备字段数相同，源端字段：4 	备端字段4</t>
        </is>
      </c>
      <c r="W13" s="0" t="inlineStr">
        <is>
          <t>YES 源备无差异</t>
        </is>
      </c>
      <c r="X13" s="0">
        <f>A13</f>
        <v/>
      </c>
    </row>
    <row r="14">
      <c r="B14" s="0" t="inlineStr">
        <is>
          <t>NULL</t>
        </is>
      </c>
      <c r="C14" s="0" t="inlineStr">
        <is>
          <t>NULL</t>
        </is>
      </c>
      <c r="D14" s="0" t="inlineStr">
        <is>
          <t>NULL</t>
        </is>
      </c>
      <c r="E14" s="0" t="inlineStr">
        <is>
          <t>NULL</t>
        </is>
      </c>
      <c r="F14" s="0" t="inlineStr">
        <is>
          <t>NULL</t>
        </is>
      </c>
      <c r="G14" s="0" t="inlineStr">
        <is>
          <t>NULL</t>
        </is>
      </c>
      <c r="H14" s="0" t="inlineStr">
        <is>
          <t>NULL</t>
        </is>
      </c>
      <c r="I14" s="0" t="inlineStr">
        <is>
          <t>NULL</t>
        </is>
      </c>
      <c r="J14" s="0" t="inlineStr">
        <is>
          <t>NULL</t>
        </is>
      </c>
      <c r="K14" s="0" t="inlineStr">
        <is>
          <t>YES! 	 id列源备映射正确，源端为int None位	期望更改为int	实际备端为int None位</t>
        </is>
      </c>
    </row>
    <row r="15">
      <c r="B15" s="0" t="inlineStr">
        <is>
          <t>NULL</t>
        </is>
      </c>
      <c r="C15" s="0" t="inlineStr">
        <is>
          <t>NULL</t>
        </is>
      </c>
      <c r="D15" s="0" t="inlineStr">
        <is>
          <t>NULL</t>
        </is>
      </c>
      <c r="E15" s="0" t="inlineStr">
        <is>
          <t>NULL</t>
        </is>
      </c>
      <c r="F15" s="0" t="inlineStr">
        <is>
          <t>NULL</t>
        </is>
      </c>
      <c r="G15" s="0" t="inlineStr">
        <is>
          <t>NULL</t>
        </is>
      </c>
      <c r="H15" s="0" t="inlineStr">
        <is>
          <t>NULL</t>
        </is>
      </c>
      <c r="I15" s="0" t="inlineStr">
        <is>
          <t>NULL</t>
        </is>
      </c>
      <c r="J15" s="0" t="inlineStr">
        <is>
          <t>NULL</t>
        </is>
      </c>
      <c r="K15" s="0" t="inlineStr">
        <is>
          <t>YES! 	 c_binary列源备映射正确，源端为binary 1位	期望更改为binary(n)	实际备端为binary 1位</t>
        </is>
      </c>
    </row>
    <row r="16">
      <c r="B16" s="0" t="inlineStr">
        <is>
          <t>NULL</t>
        </is>
      </c>
      <c r="C16" s="0" t="inlineStr">
        <is>
          <t>NULL</t>
        </is>
      </c>
      <c r="D16" s="0" t="inlineStr">
        <is>
          <t>NULL</t>
        </is>
      </c>
      <c r="E16" s="0" t="inlineStr">
        <is>
          <t>NULL</t>
        </is>
      </c>
      <c r="F16" s="0" t="inlineStr">
        <is>
          <t>NULL</t>
        </is>
      </c>
      <c r="G16" s="0" t="inlineStr">
        <is>
          <t>NULL</t>
        </is>
      </c>
      <c r="H16" s="0" t="inlineStr">
        <is>
          <t>NULL</t>
        </is>
      </c>
      <c r="I16" s="0" t="inlineStr">
        <is>
          <t>NULL</t>
        </is>
      </c>
      <c r="J16" s="0" t="inlineStr">
        <is>
          <t>NULL</t>
        </is>
      </c>
      <c r="K16" s="0" t="inlineStr">
        <is>
          <t>YES! 	 c_binary_20列源备映射正确，源端为binary 20位	期望更改为binary(n)	实际备端为binary 20位</t>
        </is>
      </c>
    </row>
    <row r="17">
      <c r="B17" s="0" t="inlineStr">
        <is>
          <t>NULL</t>
        </is>
      </c>
      <c r="C17" s="0" t="inlineStr">
        <is>
          <t>NULL</t>
        </is>
      </c>
      <c r="D17" s="0" t="inlineStr">
        <is>
          <t>NULL</t>
        </is>
      </c>
      <c r="E17" s="0" t="inlineStr">
        <is>
          <t>NULL</t>
        </is>
      </c>
      <c r="F17" s="0" t="inlineStr">
        <is>
          <t>NULL</t>
        </is>
      </c>
      <c r="G17" s="0" t="inlineStr">
        <is>
          <t>NULL</t>
        </is>
      </c>
      <c r="H17" s="0" t="inlineStr">
        <is>
          <t>NULL</t>
        </is>
      </c>
      <c r="I17" s="0" t="inlineStr">
        <is>
          <t>NULL</t>
        </is>
      </c>
      <c r="J17" s="0" t="inlineStr">
        <is>
          <t>NULL</t>
        </is>
      </c>
      <c r="K17" s="0" t="inlineStr">
        <is>
          <t>YES! 	 c_binary_8000列源备映射正确，源端为binary 8000位	期望更改为binary(n)	实际备端为binary 8000位</t>
        </is>
      </c>
    </row>
    <row r="18">
      <c r="A18" s="0" t="inlineStr">
        <is>
          <t>info_binary_dml_single_nopk_irp</t>
        </is>
      </c>
      <c r="K18" s="0" t="inlineStr">
        <is>
          <t>[0;34m info_binary_dml_single_nopk_irp [0m源备字段数相同，源端字段：4 	备端字段4</t>
        </is>
      </c>
      <c r="W18" s="0" t="inlineStr">
        <is>
          <t>YES 源备无差异</t>
        </is>
      </c>
      <c r="X18" s="0">
        <f>A18</f>
        <v/>
      </c>
    </row>
    <row r="19">
      <c r="B19" s="0" t="inlineStr">
        <is>
          <t>NULL</t>
        </is>
      </c>
      <c r="C19" s="0" t="inlineStr">
        <is>
          <t>NULL</t>
        </is>
      </c>
      <c r="D19" s="0" t="inlineStr">
        <is>
          <t>NULL</t>
        </is>
      </c>
      <c r="E19" s="0" t="inlineStr">
        <is>
          <t>NULL</t>
        </is>
      </c>
      <c r="F19" s="0" t="inlineStr">
        <is>
          <t>NULL</t>
        </is>
      </c>
      <c r="G19" s="0" t="inlineStr">
        <is>
          <t>NULL</t>
        </is>
      </c>
      <c r="H19" s="0" t="inlineStr">
        <is>
          <t>NULL</t>
        </is>
      </c>
      <c r="I19" s="0" t="inlineStr">
        <is>
          <t>NULL</t>
        </is>
      </c>
      <c r="J19" s="0" t="inlineStr">
        <is>
          <t>NULL</t>
        </is>
      </c>
      <c r="K19" s="0" t="inlineStr">
        <is>
          <t>YES! 	 id列源备映射正确，源端为int None位	期望更改为int	实际备端为int None位</t>
        </is>
      </c>
    </row>
    <row r="20">
      <c r="B20" s="0" t="inlineStr">
        <is>
          <t>NULL</t>
        </is>
      </c>
      <c r="C20" s="0" t="inlineStr">
        <is>
          <t>NULL</t>
        </is>
      </c>
      <c r="D20" s="0" t="inlineStr">
        <is>
          <t>NULL</t>
        </is>
      </c>
      <c r="E20" s="0" t="inlineStr">
        <is>
          <t>NULL</t>
        </is>
      </c>
      <c r="F20" s="0" t="inlineStr">
        <is>
          <t>NULL</t>
        </is>
      </c>
      <c r="G20" s="0" t="inlineStr">
        <is>
          <t>NULL</t>
        </is>
      </c>
      <c r="H20" s="0" t="inlineStr">
        <is>
          <t>NULL</t>
        </is>
      </c>
      <c r="I20" s="0" t="inlineStr">
        <is>
          <t>NULL</t>
        </is>
      </c>
      <c r="J20" s="0" t="inlineStr">
        <is>
          <t>NULL</t>
        </is>
      </c>
      <c r="K20" s="0" t="inlineStr">
        <is>
          <t>YES! 	 c_binary列源备映射正确，源端为binary 1位	期望更改为binary(n)	实际备端为binary 1位</t>
        </is>
      </c>
    </row>
    <row r="21">
      <c r="B21" s="0" t="inlineStr">
        <is>
          <t>NULL</t>
        </is>
      </c>
      <c r="C21" s="0" t="inlineStr">
        <is>
          <t>NULL</t>
        </is>
      </c>
      <c r="D21" s="0" t="inlineStr">
        <is>
          <t>NULL</t>
        </is>
      </c>
      <c r="E21" s="0" t="inlineStr">
        <is>
          <t>NULL</t>
        </is>
      </c>
      <c r="F21" s="0" t="inlineStr">
        <is>
          <t>NULL</t>
        </is>
      </c>
      <c r="G21" s="0" t="inlineStr">
        <is>
          <t>NULL</t>
        </is>
      </c>
      <c r="H21" s="0" t="inlineStr">
        <is>
          <t>NULL</t>
        </is>
      </c>
      <c r="I21" s="0" t="inlineStr">
        <is>
          <t>NULL</t>
        </is>
      </c>
      <c r="J21" s="0" t="inlineStr">
        <is>
          <t>NULL</t>
        </is>
      </c>
      <c r="K21" s="0" t="inlineStr">
        <is>
          <t>YES! 	 c_binary_20列源备映射正确，源端为binary 20位	期望更改为binary(n)	实际备端为binary 20位</t>
        </is>
      </c>
    </row>
    <row r="22">
      <c r="B22" s="0" t="inlineStr">
        <is>
          <t>NULL</t>
        </is>
      </c>
      <c r="C22" s="0" t="inlineStr">
        <is>
          <t>NULL</t>
        </is>
      </c>
      <c r="D22" s="0" t="inlineStr">
        <is>
          <t>NULL</t>
        </is>
      </c>
      <c r="E22" s="0" t="inlineStr">
        <is>
          <t>NULL</t>
        </is>
      </c>
      <c r="F22" s="0" t="inlineStr">
        <is>
          <t>NULL</t>
        </is>
      </c>
      <c r="G22" s="0" t="inlineStr">
        <is>
          <t>NULL</t>
        </is>
      </c>
      <c r="H22" s="0" t="inlineStr">
        <is>
          <t>NULL</t>
        </is>
      </c>
      <c r="I22" s="0" t="inlineStr">
        <is>
          <t>NULL</t>
        </is>
      </c>
      <c r="J22" s="0" t="inlineStr">
        <is>
          <t>NULL</t>
        </is>
      </c>
      <c r="K22" s="0" t="inlineStr">
        <is>
          <t>YES! 	 c_binary_8000列源备映射正确，源端为binary 8000位	期望更改为binary(n)	实际备端为binary 8000位</t>
        </is>
      </c>
    </row>
    <row r="23">
      <c r="A23" s="0" t="inlineStr">
        <is>
          <t>info_varbinary_dml_single_nopk</t>
        </is>
      </c>
      <c r="K23" s="0" t="inlineStr">
        <is>
          <t>[0;34m info_varbinary_dml_single_nopk [0m源备字段数相同，源端字段：4 	备端字段4</t>
        </is>
      </c>
      <c r="W23" s="0" t="inlineStr">
        <is>
          <t>YES 源备无差异</t>
        </is>
      </c>
      <c r="X23" s="0">
        <f>A23</f>
        <v/>
      </c>
    </row>
    <row r="24">
      <c r="B24" s="0" t="inlineStr">
        <is>
          <t>NULL</t>
        </is>
      </c>
      <c r="C24" s="0" t="inlineStr">
        <is>
          <t>NULL</t>
        </is>
      </c>
      <c r="D24" s="0" t="inlineStr">
        <is>
          <t>NULL</t>
        </is>
      </c>
      <c r="E24" s="0" t="inlineStr">
        <is>
          <t>NULL</t>
        </is>
      </c>
      <c r="F24" s="0" t="inlineStr">
        <is>
          <t>NULL</t>
        </is>
      </c>
      <c r="G24" s="0" t="inlineStr">
        <is>
          <t>NULL</t>
        </is>
      </c>
      <c r="H24" s="0" t="inlineStr">
        <is>
          <t>NULL</t>
        </is>
      </c>
      <c r="I24" s="0" t="inlineStr">
        <is>
          <t>NULL</t>
        </is>
      </c>
      <c r="J24" s="0" t="inlineStr">
        <is>
          <t>NULL</t>
        </is>
      </c>
      <c r="K24" s="0" t="inlineStr">
        <is>
          <t>YES! 	 id列源备映射正确，源端为int None位	期望更改为int	实际备端为int None位</t>
        </is>
      </c>
    </row>
    <row r="25">
      <c r="B25" s="0" t="inlineStr">
        <is>
          <t>NULL</t>
        </is>
      </c>
      <c r="C25" s="0" t="inlineStr">
        <is>
          <t>NULL</t>
        </is>
      </c>
      <c r="D25" s="0" t="inlineStr">
        <is>
          <t>NULL</t>
        </is>
      </c>
      <c r="E25" s="0" t="inlineStr">
        <is>
          <t>NULL</t>
        </is>
      </c>
      <c r="F25" s="0" t="inlineStr">
        <is>
          <t>NULL</t>
        </is>
      </c>
      <c r="G25" s="0" t="inlineStr">
        <is>
          <t>NULL</t>
        </is>
      </c>
      <c r="H25" s="0" t="inlineStr">
        <is>
          <t>NULL</t>
        </is>
      </c>
      <c r="I25" s="0" t="inlineStr">
        <is>
          <t>NULL</t>
        </is>
      </c>
      <c r="J25" s="0" t="inlineStr">
        <is>
          <t>NULL</t>
        </is>
      </c>
      <c r="K25" s="0" t="inlineStr">
        <is>
          <t>YES! 	 c_varbinary列源备映射正确，源端为varbinary 1位	期望更改为varbinary(n)	实际备端为varbinary 1位</t>
        </is>
      </c>
    </row>
    <row r="26">
      <c r="B26" s="0" t="inlineStr">
        <is>
          <t>NULL</t>
        </is>
      </c>
      <c r="C26" s="0" t="inlineStr">
        <is>
          <t>NULL</t>
        </is>
      </c>
      <c r="D26" s="0" t="inlineStr">
        <is>
          <t>NULL</t>
        </is>
      </c>
      <c r="E26" s="0" t="inlineStr">
        <is>
          <t>NULL</t>
        </is>
      </c>
      <c r="F26" s="0" t="inlineStr">
        <is>
          <t>NULL</t>
        </is>
      </c>
      <c r="G26" s="0" t="inlineStr">
        <is>
          <t>NULL</t>
        </is>
      </c>
      <c r="H26" s="0" t="inlineStr">
        <is>
          <t>NULL</t>
        </is>
      </c>
      <c r="I26" s="0" t="inlineStr">
        <is>
          <t>NULL</t>
        </is>
      </c>
      <c r="J26" s="0" t="inlineStr">
        <is>
          <t>NULL</t>
        </is>
      </c>
      <c r="K26" s="0" t="inlineStr">
        <is>
          <t>YES! 	 c_varbinary_100列源备映射正确，源端为varbinary 20位	期望更改为varbinary(n)	实际备端为varbinary 20位</t>
        </is>
      </c>
    </row>
    <row r="27">
      <c r="B27" s="0" t="inlineStr">
        <is>
          <t>NULL</t>
        </is>
      </c>
      <c r="C27" s="0" t="inlineStr">
        <is>
          <t>NULL</t>
        </is>
      </c>
      <c r="D27" s="0" t="inlineStr">
        <is>
          <t>NULL</t>
        </is>
      </c>
      <c r="E27" s="0" t="inlineStr">
        <is>
          <t>NULL</t>
        </is>
      </c>
      <c r="F27" s="0" t="inlineStr">
        <is>
          <t>NULL</t>
        </is>
      </c>
      <c r="G27" s="0" t="inlineStr">
        <is>
          <t>NULL</t>
        </is>
      </c>
      <c r="H27" s="0" t="inlineStr">
        <is>
          <t>NULL</t>
        </is>
      </c>
      <c r="I27" s="0" t="inlineStr">
        <is>
          <t>NULL</t>
        </is>
      </c>
      <c r="J27" s="0" t="inlineStr">
        <is>
          <t>NULL</t>
        </is>
      </c>
      <c r="K27" s="0" t="inlineStr">
        <is>
          <t>YES! 	 c_varbinary_8000列源备映射正确，源端为varbinary 8000位	期望更改为varbinary(n)	实际备端为varbinary 8000位</t>
        </is>
      </c>
    </row>
    <row r="28">
      <c r="K28" s="0" t="inlineStr">
        <is>
          <t>~ 空表</t>
        </is>
      </c>
    </row>
    <row r="29">
      <c r="A29" s="0" t="inlineStr">
        <is>
          <t>info_varbinary_dml_single_nopk_urp</t>
        </is>
      </c>
      <c r="K29" s="0" t="inlineStr">
        <is>
          <t>[0;34m info_varbinary_dml_single_nopk_urp [0m源备字段数相同，源端字段：4 	备端字段4</t>
        </is>
      </c>
      <c r="W29" s="0" t="inlineStr">
        <is>
          <t>YES 源备无差异</t>
        </is>
      </c>
      <c r="X29" s="0">
        <f>A29</f>
        <v/>
      </c>
    </row>
    <row r="30">
      <c r="B30" s="0" t="inlineStr">
        <is>
          <t>NULL</t>
        </is>
      </c>
      <c r="C30" s="0" t="inlineStr">
        <is>
          <t>NULL</t>
        </is>
      </c>
      <c r="D30" s="0" t="inlineStr">
        <is>
          <t>NULL</t>
        </is>
      </c>
      <c r="E30" s="0" t="inlineStr">
        <is>
          <t>NULL</t>
        </is>
      </c>
      <c r="F30" s="0" t="inlineStr">
        <is>
          <t>NULL</t>
        </is>
      </c>
      <c r="G30" s="0" t="inlineStr">
        <is>
          <t>NULL</t>
        </is>
      </c>
      <c r="H30" s="0" t="inlineStr">
        <is>
          <t>NULL</t>
        </is>
      </c>
      <c r="I30" s="0" t="inlineStr">
        <is>
          <t>NULL</t>
        </is>
      </c>
      <c r="J30" s="0" t="inlineStr">
        <is>
          <t>NULL</t>
        </is>
      </c>
      <c r="K30" s="0" t="inlineStr">
        <is>
          <t>YES! 	 id列源备映射正确，源端为int None位	期望更改为int	实际备端为int None位</t>
        </is>
      </c>
    </row>
    <row r="31">
      <c r="B31" s="0" t="inlineStr">
        <is>
          <t>NULL</t>
        </is>
      </c>
      <c r="C31" s="0" t="inlineStr">
        <is>
          <t>NULL</t>
        </is>
      </c>
      <c r="D31" s="0" t="inlineStr">
        <is>
          <t>NULL</t>
        </is>
      </c>
      <c r="E31" s="0" t="inlineStr">
        <is>
          <t>NULL</t>
        </is>
      </c>
      <c r="F31" s="0" t="inlineStr">
        <is>
          <t>NULL</t>
        </is>
      </c>
      <c r="G31" s="0" t="inlineStr">
        <is>
          <t>NULL</t>
        </is>
      </c>
      <c r="H31" s="0" t="inlineStr">
        <is>
          <t>NULL</t>
        </is>
      </c>
      <c r="I31" s="0" t="inlineStr">
        <is>
          <t>NULL</t>
        </is>
      </c>
      <c r="J31" s="0" t="inlineStr">
        <is>
          <t>NULL</t>
        </is>
      </c>
      <c r="K31" s="0" t="inlineStr">
        <is>
          <t>YES! 	 c_varbinary列源备映射正确，源端为varbinary 1位	期望更改为varbinary(n)	实际备端为varbinary 1位</t>
        </is>
      </c>
    </row>
    <row r="32">
      <c r="B32" s="0" t="inlineStr">
        <is>
          <t>NULL</t>
        </is>
      </c>
      <c r="C32" s="0" t="inlineStr">
        <is>
          <t>NULL</t>
        </is>
      </c>
      <c r="D32" s="0" t="inlineStr">
        <is>
          <t>NULL</t>
        </is>
      </c>
      <c r="E32" s="0" t="inlineStr">
        <is>
          <t>NULL</t>
        </is>
      </c>
      <c r="F32" s="0" t="inlineStr">
        <is>
          <t>NULL</t>
        </is>
      </c>
      <c r="G32" s="0" t="inlineStr">
        <is>
          <t>NULL</t>
        </is>
      </c>
      <c r="H32" s="0" t="inlineStr">
        <is>
          <t>NULL</t>
        </is>
      </c>
      <c r="I32" s="0" t="inlineStr">
        <is>
          <t>NULL</t>
        </is>
      </c>
      <c r="J32" s="0" t="inlineStr">
        <is>
          <t>NULL</t>
        </is>
      </c>
      <c r="K32" s="0" t="inlineStr">
        <is>
          <t>YES! 	 c_varbinary_100列源备映射正确，源端为varbinary 100位	期望更改为varbinary(n)	实际备端为varbinary 100位</t>
        </is>
      </c>
    </row>
    <row r="33">
      <c r="B33" s="0" t="inlineStr">
        <is>
          <t>NULL</t>
        </is>
      </c>
      <c r="C33" s="0" t="inlineStr">
        <is>
          <t>NULL</t>
        </is>
      </c>
      <c r="D33" s="0" t="inlineStr">
        <is>
          <t>NULL</t>
        </is>
      </c>
      <c r="E33" s="0" t="inlineStr">
        <is>
          <t>NULL</t>
        </is>
      </c>
      <c r="F33" s="0" t="inlineStr">
        <is>
          <t>NULL</t>
        </is>
      </c>
      <c r="G33" s="0" t="inlineStr">
        <is>
          <t>NULL</t>
        </is>
      </c>
      <c r="H33" s="0" t="inlineStr">
        <is>
          <t>NULL</t>
        </is>
      </c>
      <c r="I33" s="0" t="inlineStr">
        <is>
          <t>NULL</t>
        </is>
      </c>
      <c r="J33" s="0" t="inlineStr">
        <is>
          <t>NULL</t>
        </is>
      </c>
      <c r="K33" s="0" t="inlineStr">
        <is>
          <t>YES! 	 c_varbinary_8000列源备映射正确，源端为varbinary 8000位	期望更改为varbinary(n)	实际备端为varbinary 8000位</t>
        </is>
      </c>
    </row>
    <row r="34">
      <c r="A34" s="0" t="inlineStr">
        <is>
          <t>info_varbinary_max_dml_single_nopk_irp</t>
        </is>
      </c>
      <c r="K34" s="0" t="inlineStr">
        <is>
          <t>[0;34m info_varbinary_max_dml_single_nopk_irp [0m源备字段数相同，源端字段：4 	备端字段4</t>
        </is>
      </c>
      <c r="W34" s="0" t="inlineStr">
        <is>
          <t>YES 源备无差异</t>
        </is>
      </c>
      <c r="X34" s="0">
        <f>A34</f>
        <v/>
      </c>
    </row>
    <row r="35">
      <c r="B35" s="0" t="inlineStr">
        <is>
          <t>NULL</t>
        </is>
      </c>
      <c r="C35" s="0" t="inlineStr">
        <is>
          <t>NULL</t>
        </is>
      </c>
      <c r="D35" s="0" t="inlineStr">
        <is>
          <t>NULL</t>
        </is>
      </c>
      <c r="E35" s="0" t="inlineStr">
        <is>
          <t>NULL</t>
        </is>
      </c>
      <c r="F35" s="0" t="inlineStr">
        <is>
          <t>NULL</t>
        </is>
      </c>
      <c r="G35" s="0" t="inlineStr">
        <is>
          <t>NULL</t>
        </is>
      </c>
      <c r="H35" s="0" t="inlineStr">
        <is>
          <t>NULL</t>
        </is>
      </c>
      <c r="I35" s="0" t="inlineStr">
        <is>
          <t>NULL</t>
        </is>
      </c>
      <c r="J35" s="0" t="inlineStr">
        <is>
          <t>NULL</t>
        </is>
      </c>
      <c r="K35" s="0" t="inlineStr">
        <is>
          <t>YES! 	 id列源备映射正确，源端为int None位	期望更改为int	实际备端为int None位</t>
        </is>
      </c>
    </row>
    <row r="36">
      <c r="B36" s="0" t="inlineStr">
        <is>
          <t>NULL</t>
        </is>
      </c>
      <c r="C36" s="0" t="inlineStr">
        <is>
          <t>NULL</t>
        </is>
      </c>
      <c r="D36" s="0" t="inlineStr">
        <is>
          <t>NULL</t>
        </is>
      </c>
      <c r="E36" s="0" t="inlineStr">
        <is>
          <t>NULL</t>
        </is>
      </c>
      <c r="F36" s="0" t="inlineStr">
        <is>
          <t>NULL</t>
        </is>
      </c>
      <c r="G36" s="0" t="inlineStr">
        <is>
          <t>NULL</t>
        </is>
      </c>
      <c r="H36" s="0" t="inlineStr">
        <is>
          <t>NULL</t>
        </is>
      </c>
      <c r="I36" s="0" t="inlineStr">
        <is>
          <t>NULL</t>
        </is>
      </c>
      <c r="J36" s="0" t="inlineStr">
        <is>
          <t>NULL</t>
        </is>
      </c>
      <c r="K36" s="0" t="inlineStr">
        <is>
          <t>YES! 	 c_varbinary_max1列源备映射正确，源端为varbinary -1位	期望更改为varbinary(n)	实际备端为varbinary -1位</t>
        </is>
      </c>
    </row>
    <row r="37">
      <c r="B37" s="0" t="inlineStr">
        <is>
          <t>NULL</t>
        </is>
      </c>
      <c r="C37" s="0" t="inlineStr">
        <is>
          <t>NULL</t>
        </is>
      </c>
      <c r="D37" s="0" t="inlineStr">
        <is>
          <t>NULL</t>
        </is>
      </c>
      <c r="E37" s="0" t="inlineStr">
        <is>
          <t>NULL</t>
        </is>
      </c>
      <c r="F37" s="0" t="inlineStr">
        <is>
          <t>NULL</t>
        </is>
      </c>
      <c r="G37" s="0" t="inlineStr">
        <is>
          <t>NULL</t>
        </is>
      </c>
      <c r="H37" s="0" t="inlineStr">
        <is>
          <t>NULL</t>
        </is>
      </c>
      <c r="I37" s="0" t="inlineStr">
        <is>
          <t>NULL</t>
        </is>
      </c>
      <c r="J37" s="0" t="inlineStr">
        <is>
          <t>NULL</t>
        </is>
      </c>
      <c r="K37" s="0" t="inlineStr">
        <is>
          <t>YES! 	 c_varbinary_max2列源备映射正确，源端为varbinary -1位	期望更改为varbinary(n)	实际备端为varbinary -1位</t>
        </is>
      </c>
    </row>
    <row r="38">
      <c r="B38" s="0" t="inlineStr">
        <is>
          <t>NULL</t>
        </is>
      </c>
      <c r="C38" s="0" t="inlineStr">
        <is>
          <t>NULL</t>
        </is>
      </c>
      <c r="D38" s="0" t="inlineStr">
        <is>
          <t>NULL</t>
        </is>
      </c>
      <c r="E38" s="0" t="inlineStr">
        <is>
          <t>NULL</t>
        </is>
      </c>
      <c r="F38" s="0" t="inlineStr">
        <is>
          <t>NULL</t>
        </is>
      </c>
      <c r="G38" s="0" t="inlineStr">
        <is>
          <t>NULL</t>
        </is>
      </c>
      <c r="H38" s="0" t="inlineStr">
        <is>
          <t>NULL</t>
        </is>
      </c>
      <c r="I38" s="0" t="inlineStr">
        <is>
          <t>NULL</t>
        </is>
      </c>
      <c r="J38" s="0" t="inlineStr">
        <is>
          <t>NULL</t>
        </is>
      </c>
      <c r="K38" s="0" t="inlineStr">
        <is>
          <t>YES! 	 c_image3列源备映射正确，源端为image 2147483647位	期望更改为image	实际备端为image 2147483647位</t>
        </is>
      </c>
    </row>
    <row r="39">
      <c r="K39" s="0" t="inlineStr">
        <is>
          <t>~ 空表</t>
        </is>
      </c>
    </row>
    <row r="40">
      <c r="A40" s="0" t="inlineStr">
        <is>
          <t>info_varbinary_dml_single_nopk_drp</t>
        </is>
      </c>
      <c r="K40" s="0" t="inlineStr">
        <is>
          <t>[0;34m info_varbinary_dml_single_nopk_drp [0m源备字段数相同，源端字段：4 	备端字段4</t>
        </is>
      </c>
      <c r="W40" s="0" t="inlineStr">
        <is>
          <t>YES 源备无差异</t>
        </is>
      </c>
      <c r="X40" s="0">
        <f>A40</f>
        <v/>
      </c>
    </row>
    <row r="41">
      <c r="B41" s="0" t="inlineStr">
        <is>
          <t>NULL</t>
        </is>
      </c>
      <c r="C41" s="0" t="inlineStr">
        <is>
          <t>NULL</t>
        </is>
      </c>
      <c r="D41" s="0" t="inlineStr">
        <is>
          <t>NULL</t>
        </is>
      </c>
      <c r="E41" s="0" t="inlineStr">
        <is>
          <t>NULL</t>
        </is>
      </c>
      <c r="F41" s="0" t="inlineStr">
        <is>
          <t>NULL</t>
        </is>
      </c>
      <c r="G41" s="0" t="inlineStr">
        <is>
          <t>NULL</t>
        </is>
      </c>
      <c r="H41" s="0" t="inlineStr">
        <is>
          <t>NULL</t>
        </is>
      </c>
      <c r="I41" s="0" t="inlineStr">
        <is>
          <t>NULL</t>
        </is>
      </c>
      <c r="J41" s="0" t="inlineStr">
        <is>
          <t>NULL</t>
        </is>
      </c>
      <c r="K41" s="0" t="inlineStr">
        <is>
          <t>YES! 	 id列源备映射正确，源端为int None位	期望更改为int	实际备端为int None位</t>
        </is>
      </c>
    </row>
    <row r="42">
      <c r="B42" s="0" t="inlineStr">
        <is>
          <t>NULL</t>
        </is>
      </c>
      <c r="C42" s="0" t="inlineStr">
        <is>
          <t>NULL</t>
        </is>
      </c>
      <c r="D42" s="0" t="inlineStr">
        <is>
          <t>NULL</t>
        </is>
      </c>
      <c r="E42" s="0" t="inlineStr">
        <is>
          <t>NULL</t>
        </is>
      </c>
      <c r="F42" s="0" t="inlineStr">
        <is>
          <t>NULL</t>
        </is>
      </c>
      <c r="G42" s="0" t="inlineStr">
        <is>
          <t>NULL</t>
        </is>
      </c>
      <c r="H42" s="0" t="inlineStr">
        <is>
          <t>NULL</t>
        </is>
      </c>
      <c r="I42" s="0" t="inlineStr">
        <is>
          <t>NULL</t>
        </is>
      </c>
      <c r="J42" s="0" t="inlineStr">
        <is>
          <t>NULL</t>
        </is>
      </c>
      <c r="K42" s="0" t="inlineStr">
        <is>
          <t>YES! 	 c_varbinary列源备映射正确，源端为varbinary 1位	期望更改为varbinary(n)	实际备端为varbinary 1位</t>
        </is>
      </c>
    </row>
    <row r="43">
      <c r="B43" s="0" t="inlineStr">
        <is>
          <t>NULL</t>
        </is>
      </c>
      <c r="C43" s="0" t="inlineStr">
        <is>
          <t>NULL</t>
        </is>
      </c>
      <c r="D43" s="0" t="inlineStr">
        <is>
          <t>NULL</t>
        </is>
      </c>
      <c r="E43" s="0" t="inlineStr">
        <is>
          <t>NULL</t>
        </is>
      </c>
      <c r="F43" s="0" t="inlineStr">
        <is>
          <t>NULL</t>
        </is>
      </c>
      <c r="G43" s="0" t="inlineStr">
        <is>
          <t>NULL</t>
        </is>
      </c>
      <c r="H43" s="0" t="inlineStr">
        <is>
          <t>NULL</t>
        </is>
      </c>
      <c r="I43" s="0" t="inlineStr">
        <is>
          <t>NULL</t>
        </is>
      </c>
      <c r="J43" s="0" t="inlineStr">
        <is>
          <t>NULL</t>
        </is>
      </c>
      <c r="K43" s="0" t="inlineStr">
        <is>
          <t>YES! 	 c_varbinary_100列源备映射正确，源端为varbinary 100位	期望更改为varbinary(n)	实际备端为varbinary 100位</t>
        </is>
      </c>
    </row>
    <row r="44">
      <c r="B44" s="0" t="inlineStr">
        <is>
          <t>NULL</t>
        </is>
      </c>
      <c r="C44" s="0" t="inlineStr">
        <is>
          <t>NULL</t>
        </is>
      </c>
      <c r="D44" s="0" t="inlineStr">
        <is>
          <t>NULL</t>
        </is>
      </c>
      <c r="E44" s="0" t="inlineStr">
        <is>
          <t>NULL</t>
        </is>
      </c>
      <c r="F44" s="0" t="inlineStr">
        <is>
          <t>NULL</t>
        </is>
      </c>
      <c r="G44" s="0" t="inlineStr">
        <is>
          <t>NULL</t>
        </is>
      </c>
      <c r="H44" s="0" t="inlineStr">
        <is>
          <t>NULL</t>
        </is>
      </c>
      <c r="I44" s="0" t="inlineStr">
        <is>
          <t>NULL</t>
        </is>
      </c>
      <c r="J44" s="0" t="inlineStr">
        <is>
          <t>NULL</t>
        </is>
      </c>
      <c r="K44" s="0" t="inlineStr">
        <is>
          <t>YES! 	 c_varbinary_8000列源备映射正确，源端为varbinary 8000位	期望更改为varbinary(n)	实际备端为varbinary 8000位</t>
        </is>
      </c>
    </row>
    <row r="45">
      <c r="A45" s="0" t="inlineStr">
        <is>
          <t>info_varbinary_max_dml_single_nopk_urp</t>
        </is>
      </c>
      <c r="K45" s="0" t="inlineStr">
        <is>
          <t>[0;34m info_varbinary_max_dml_single_nopk_urp [0m源备字段数相同，源端字段：4 	备端字段4</t>
        </is>
      </c>
      <c r="W45" s="0" t="inlineStr">
        <is>
          <t>YES 源备无差异</t>
        </is>
      </c>
      <c r="X45" s="0">
        <f>A45</f>
        <v/>
      </c>
    </row>
    <row r="46">
      <c r="B46" s="0" t="inlineStr">
        <is>
          <t>NULL</t>
        </is>
      </c>
      <c r="C46" s="0" t="inlineStr">
        <is>
          <t>NULL</t>
        </is>
      </c>
      <c r="D46" s="0" t="inlineStr">
        <is>
          <t>NULL</t>
        </is>
      </c>
      <c r="E46" s="0" t="inlineStr">
        <is>
          <t>NULL</t>
        </is>
      </c>
      <c r="F46" s="0" t="inlineStr">
        <is>
          <t>NULL</t>
        </is>
      </c>
      <c r="G46" s="0" t="inlineStr">
        <is>
          <t>NULL</t>
        </is>
      </c>
      <c r="H46" s="0" t="inlineStr">
        <is>
          <t>NULL</t>
        </is>
      </c>
      <c r="I46" s="0" t="inlineStr">
        <is>
          <t>NULL</t>
        </is>
      </c>
      <c r="J46" s="0" t="inlineStr">
        <is>
          <t>NULL</t>
        </is>
      </c>
      <c r="K46" s="0" t="inlineStr">
        <is>
          <t>YES! 	 id列源备映射正确，源端为int None位	期望更改为int	实际备端为int None位</t>
        </is>
      </c>
    </row>
    <row r="47">
      <c r="B47" s="0" t="inlineStr">
        <is>
          <t>NULL</t>
        </is>
      </c>
      <c r="C47" s="0" t="inlineStr">
        <is>
          <t>NULL</t>
        </is>
      </c>
      <c r="D47" s="0" t="inlineStr">
        <is>
          <t>NULL</t>
        </is>
      </c>
      <c r="E47" s="0" t="inlineStr">
        <is>
          <t>NULL</t>
        </is>
      </c>
      <c r="F47" s="0" t="inlineStr">
        <is>
          <t>NULL</t>
        </is>
      </c>
      <c r="G47" s="0" t="inlineStr">
        <is>
          <t>NULL</t>
        </is>
      </c>
      <c r="H47" s="0" t="inlineStr">
        <is>
          <t>NULL</t>
        </is>
      </c>
      <c r="I47" s="0" t="inlineStr">
        <is>
          <t>NULL</t>
        </is>
      </c>
      <c r="J47" s="0" t="inlineStr">
        <is>
          <t>NULL</t>
        </is>
      </c>
      <c r="K47" s="0" t="inlineStr">
        <is>
          <t>YES! 	 c_varbinary_max1列源备映射正确，源端为varbinary -1位	期望更改为varbinary(n)	实际备端为varbinary -1位</t>
        </is>
      </c>
    </row>
    <row r="48">
      <c r="B48" s="0" t="inlineStr">
        <is>
          <t>NULL</t>
        </is>
      </c>
      <c r="C48" s="0" t="inlineStr">
        <is>
          <t>NULL</t>
        </is>
      </c>
      <c r="D48" s="0" t="inlineStr">
        <is>
          <t>NULL</t>
        </is>
      </c>
      <c r="E48" s="0" t="inlineStr">
        <is>
          <t>NULL</t>
        </is>
      </c>
      <c r="F48" s="0" t="inlineStr">
        <is>
          <t>NULL</t>
        </is>
      </c>
      <c r="G48" s="0" t="inlineStr">
        <is>
          <t>NULL</t>
        </is>
      </c>
      <c r="H48" s="0" t="inlineStr">
        <is>
          <t>NULL</t>
        </is>
      </c>
      <c r="I48" s="0" t="inlineStr">
        <is>
          <t>NULL</t>
        </is>
      </c>
      <c r="J48" s="0" t="inlineStr">
        <is>
          <t>NULL</t>
        </is>
      </c>
      <c r="K48" s="0" t="inlineStr">
        <is>
          <t>YES! 	 c_varbinary_max2列源备映射正确，源端为varbinary -1位	期望更改为varbinary(n)	实际备端为varbinary -1位</t>
        </is>
      </c>
    </row>
    <row r="49">
      <c r="B49" s="0" t="inlineStr">
        <is>
          <t>NULL</t>
        </is>
      </c>
      <c r="C49" s="0" t="inlineStr">
        <is>
          <t>NULL</t>
        </is>
      </c>
      <c r="D49" s="0" t="inlineStr">
        <is>
          <t>NULL</t>
        </is>
      </c>
      <c r="E49" s="0" t="inlineStr">
        <is>
          <t>NULL</t>
        </is>
      </c>
      <c r="F49" s="0" t="inlineStr">
        <is>
          <t>NULL</t>
        </is>
      </c>
      <c r="G49" s="0" t="inlineStr">
        <is>
          <t>NULL</t>
        </is>
      </c>
      <c r="H49" s="0" t="inlineStr">
        <is>
          <t>NULL</t>
        </is>
      </c>
      <c r="I49" s="0" t="inlineStr">
        <is>
          <t>NULL</t>
        </is>
      </c>
      <c r="J49" s="0" t="inlineStr">
        <is>
          <t>NULL</t>
        </is>
      </c>
      <c r="K49" s="0" t="inlineStr">
        <is>
          <t>YES! 	 c_image3列源备映射正确，源端为image 2147483647位	期望更改为image	实际备端为image 2147483647位</t>
        </is>
      </c>
    </row>
    <row r="50">
      <c r="K50" s="0" t="inlineStr">
        <is>
          <t>~ 空表</t>
        </is>
      </c>
    </row>
    <row r="51">
      <c r="A51" s="0" t="inlineStr">
        <is>
          <t>info_varbinary_max_dml_single_nopk_drp</t>
        </is>
      </c>
      <c r="K51" s="0" t="inlineStr">
        <is>
          <t>[0;34m info_varbinary_max_dml_single_nopk_drp [0m源备字段数相同，源端字段：4 	备端字段4</t>
        </is>
      </c>
      <c r="W51" s="0" t="inlineStr">
        <is>
          <t>YES 源备无差异</t>
        </is>
      </c>
      <c r="X51" s="0">
        <f>A51</f>
        <v/>
      </c>
    </row>
    <row r="52">
      <c r="B52" s="0" t="inlineStr">
        <is>
          <t>NULL</t>
        </is>
      </c>
      <c r="C52" s="0" t="inlineStr">
        <is>
          <t>NULL</t>
        </is>
      </c>
      <c r="D52" s="0" t="inlineStr">
        <is>
          <t>NULL</t>
        </is>
      </c>
      <c r="E52" s="0" t="inlineStr">
        <is>
          <t>NULL</t>
        </is>
      </c>
      <c r="F52" s="0" t="inlineStr">
        <is>
          <t>NULL</t>
        </is>
      </c>
      <c r="G52" s="0" t="inlineStr">
        <is>
          <t>NULL</t>
        </is>
      </c>
      <c r="H52" s="0" t="inlineStr">
        <is>
          <t>NULL</t>
        </is>
      </c>
      <c r="I52" s="0" t="inlineStr">
        <is>
          <t>NULL</t>
        </is>
      </c>
      <c r="J52" s="0" t="inlineStr">
        <is>
          <t>NULL</t>
        </is>
      </c>
      <c r="K52" s="0" t="inlineStr">
        <is>
          <t>YES! 	 id列源备映射正确，源端为int None位	期望更改为int	实际备端为int None位</t>
        </is>
      </c>
    </row>
    <row r="53">
      <c r="B53" s="0" t="inlineStr">
        <is>
          <t>NULL</t>
        </is>
      </c>
      <c r="C53" s="0" t="inlineStr">
        <is>
          <t>NULL</t>
        </is>
      </c>
      <c r="D53" s="0" t="inlineStr">
        <is>
          <t>NULL</t>
        </is>
      </c>
      <c r="E53" s="0" t="inlineStr">
        <is>
          <t>NULL</t>
        </is>
      </c>
      <c r="F53" s="0" t="inlineStr">
        <is>
          <t>NULL</t>
        </is>
      </c>
      <c r="G53" s="0" t="inlineStr">
        <is>
          <t>NULL</t>
        </is>
      </c>
      <c r="H53" s="0" t="inlineStr">
        <is>
          <t>NULL</t>
        </is>
      </c>
      <c r="I53" s="0" t="inlineStr">
        <is>
          <t>NULL</t>
        </is>
      </c>
      <c r="J53" s="0" t="inlineStr">
        <is>
          <t>NULL</t>
        </is>
      </c>
      <c r="K53" s="0" t="inlineStr">
        <is>
          <t>YES! 	 c_varbinary_max1列源备映射正确，源端为varbinary -1位	期望更改为varbinary(n)	实际备端为varbinary -1位</t>
        </is>
      </c>
    </row>
    <row r="54">
      <c r="B54" s="0" t="inlineStr">
        <is>
          <t>NULL</t>
        </is>
      </c>
      <c r="C54" s="0" t="inlineStr">
        <is>
          <t>NULL</t>
        </is>
      </c>
      <c r="D54" s="0" t="inlineStr">
        <is>
          <t>NULL</t>
        </is>
      </c>
      <c r="E54" s="0" t="inlineStr">
        <is>
          <t>NULL</t>
        </is>
      </c>
      <c r="F54" s="0" t="inlineStr">
        <is>
          <t>NULL</t>
        </is>
      </c>
      <c r="G54" s="0" t="inlineStr">
        <is>
          <t>NULL</t>
        </is>
      </c>
      <c r="H54" s="0" t="inlineStr">
        <is>
          <t>NULL</t>
        </is>
      </c>
      <c r="I54" s="0" t="inlineStr">
        <is>
          <t>NULL</t>
        </is>
      </c>
      <c r="J54" s="0" t="inlineStr">
        <is>
          <t>NULL</t>
        </is>
      </c>
      <c r="K54" s="0" t="inlineStr">
        <is>
          <t>YES! 	 c_varbinary_max2列源备映射正确，源端为varbinary -1位	期望更改为varbinary(n)	实际备端为varbinary -1位</t>
        </is>
      </c>
    </row>
    <row r="55">
      <c r="B55" s="0" t="inlineStr">
        <is>
          <t>NULL</t>
        </is>
      </c>
      <c r="C55" s="0" t="inlineStr">
        <is>
          <t>NULL</t>
        </is>
      </c>
      <c r="D55" s="0" t="inlineStr">
        <is>
          <t>NULL</t>
        </is>
      </c>
      <c r="E55" s="0" t="inlineStr">
        <is>
          <t>NULL</t>
        </is>
      </c>
      <c r="F55" s="0" t="inlineStr">
        <is>
          <t>NULL</t>
        </is>
      </c>
      <c r="G55" s="0" t="inlineStr">
        <is>
          <t>NULL</t>
        </is>
      </c>
      <c r="H55" s="0" t="inlineStr">
        <is>
          <t>NULL</t>
        </is>
      </c>
      <c r="I55" s="0" t="inlineStr">
        <is>
          <t>NULL</t>
        </is>
      </c>
      <c r="J55" s="0" t="inlineStr">
        <is>
          <t>NULL</t>
        </is>
      </c>
      <c r="K55" s="0" t="inlineStr">
        <is>
          <t>YES! 	 c_image3列源备映射正确，源端为image 2147483647位	期望更改为image	实际备端为image 2147483647位</t>
        </is>
      </c>
    </row>
    <row r="56">
      <c r="K56" s="0" t="inlineStr">
        <is>
          <t>~ 空表</t>
        </is>
      </c>
    </row>
    <row r="57">
      <c r="A57" s="0" t="inlineStr">
        <is>
          <t>info_varbinary_dml_single_nopk_irp</t>
        </is>
      </c>
      <c r="K57" s="0" t="inlineStr">
        <is>
          <t>[0;34m info_varbinary_dml_single_nopk_irp [0m源备字段数相同，源端字段：4 	备端字段4</t>
        </is>
      </c>
      <c r="W57" s="0" t="inlineStr">
        <is>
          <t>YES 源备无差异</t>
        </is>
      </c>
      <c r="X57" s="0">
        <f>A57</f>
        <v/>
      </c>
    </row>
    <row r="58">
      <c r="B58" s="0" t="inlineStr">
        <is>
          <t>NULL</t>
        </is>
      </c>
      <c r="C58" s="0" t="inlineStr">
        <is>
          <t>NULL</t>
        </is>
      </c>
      <c r="D58" s="0" t="inlineStr">
        <is>
          <t>NULL</t>
        </is>
      </c>
      <c r="E58" s="0" t="inlineStr">
        <is>
          <t>NULL</t>
        </is>
      </c>
      <c r="F58" s="0" t="inlineStr">
        <is>
          <t>NULL</t>
        </is>
      </c>
      <c r="G58" s="0" t="inlineStr">
        <is>
          <t>NULL</t>
        </is>
      </c>
      <c r="H58" s="0" t="inlineStr">
        <is>
          <t>NULL</t>
        </is>
      </c>
      <c r="I58" s="0" t="inlineStr">
        <is>
          <t>NULL</t>
        </is>
      </c>
      <c r="J58" s="0" t="inlineStr">
        <is>
          <t>NULL</t>
        </is>
      </c>
      <c r="K58" s="0" t="inlineStr">
        <is>
          <t>YES! 	 id列源备映射正确，源端为int None位	期望更改为int	实际备端为int None位</t>
        </is>
      </c>
    </row>
    <row r="59">
      <c r="B59" s="0" t="inlineStr">
        <is>
          <t>NULL</t>
        </is>
      </c>
      <c r="C59" s="0" t="inlineStr">
        <is>
          <t>NULL</t>
        </is>
      </c>
      <c r="D59" s="0" t="inlineStr">
        <is>
          <t>NULL</t>
        </is>
      </c>
      <c r="E59" s="0" t="inlineStr">
        <is>
          <t>NULL</t>
        </is>
      </c>
      <c r="F59" s="0" t="inlineStr">
        <is>
          <t>NULL</t>
        </is>
      </c>
      <c r="G59" s="0" t="inlineStr">
        <is>
          <t>NULL</t>
        </is>
      </c>
      <c r="H59" s="0" t="inlineStr">
        <is>
          <t>NULL</t>
        </is>
      </c>
      <c r="I59" s="0" t="inlineStr">
        <is>
          <t>NULL</t>
        </is>
      </c>
      <c r="J59" s="0" t="inlineStr">
        <is>
          <t>NULL</t>
        </is>
      </c>
      <c r="K59" s="0" t="inlineStr">
        <is>
          <t>YES! 	 c_varbinary列源备映射正确，源端为varbinary 1位	期望更改为varbinary(n)	实际备端为varbinary 1位</t>
        </is>
      </c>
    </row>
    <row r="60">
      <c r="B60" s="0" t="inlineStr">
        <is>
          <t>NULL</t>
        </is>
      </c>
      <c r="C60" s="0" t="inlineStr">
        <is>
          <t>NULL</t>
        </is>
      </c>
      <c r="D60" s="0" t="inlineStr">
        <is>
          <t>NULL</t>
        </is>
      </c>
      <c r="E60" s="0" t="inlineStr">
        <is>
          <t>NULL</t>
        </is>
      </c>
      <c r="F60" s="0" t="inlineStr">
        <is>
          <t>NULL</t>
        </is>
      </c>
      <c r="G60" s="0" t="inlineStr">
        <is>
          <t>NULL</t>
        </is>
      </c>
      <c r="H60" s="0" t="inlineStr">
        <is>
          <t>NULL</t>
        </is>
      </c>
      <c r="I60" s="0" t="inlineStr">
        <is>
          <t>NULL</t>
        </is>
      </c>
      <c r="J60" s="0" t="inlineStr">
        <is>
          <t>NULL</t>
        </is>
      </c>
      <c r="K60" s="0" t="inlineStr">
        <is>
          <t>YES! 	 c_varbinary_100列源备映射正确，源端为varbinary 100位	期望更改为varbinary(n)	实际备端为varbinary 100位</t>
        </is>
      </c>
    </row>
    <row r="61">
      <c r="B61" s="0" t="inlineStr">
        <is>
          <t>NULL</t>
        </is>
      </c>
      <c r="C61" s="0" t="inlineStr">
        <is>
          <t>NULL</t>
        </is>
      </c>
      <c r="D61" s="0" t="inlineStr">
        <is>
          <t>NULL</t>
        </is>
      </c>
      <c r="E61" s="0" t="inlineStr">
        <is>
          <t>NULL</t>
        </is>
      </c>
      <c r="F61" s="0" t="inlineStr">
        <is>
          <t>NULL</t>
        </is>
      </c>
      <c r="G61" s="0" t="inlineStr">
        <is>
          <t>NULL</t>
        </is>
      </c>
      <c r="H61" s="0" t="inlineStr">
        <is>
          <t>NULL</t>
        </is>
      </c>
      <c r="I61" s="0" t="inlineStr">
        <is>
          <t>NULL</t>
        </is>
      </c>
      <c r="J61" s="0" t="inlineStr">
        <is>
          <t>NULL</t>
        </is>
      </c>
      <c r="K61" s="0" t="inlineStr">
        <is>
          <t>YES! 	 c_varbinary_8000列源备映射正确，源端为varbinary 8000位	期望更改为varbinary(n)	实际备端为varbinary 8000位</t>
        </is>
      </c>
    </row>
    <row r="62">
      <c r="A62" s="0" t="inlineStr">
        <is>
          <t>info_varbinary_max_dml_single_nopk</t>
        </is>
      </c>
      <c r="K62" s="0" t="inlineStr">
        <is>
          <t>[0;34m info_varbinary_max_dml_single_nopk [0m源备字段数相同，源端字段：4 	备端字段4</t>
        </is>
      </c>
      <c r="W62" s="0" t="inlineStr">
        <is>
          <t>YES 源备无差异</t>
        </is>
      </c>
      <c r="X62" s="0">
        <f>A62</f>
        <v/>
      </c>
    </row>
    <row r="63">
      <c r="B63" s="0" t="inlineStr">
        <is>
          <t>NULL</t>
        </is>
      </c>
      <c r="C63" s="0" t="inlineStr">
        <is>
          <t>NULL</t>
        </is>
      </c>
      <c r="D63" s="0" t="inlineStr">
        <is>
          <t>NULL</t>
        </is>
      </c>
      <c r="E63" s="0" t="inlineStr">
        <is>
          <t>NULL</t>
        </is>
      </c>
      <c r="F63" s="0" t="inlineStr">
        <is>
          <t>NULL</t>
        </is>
      </c>
      <c r="G63" s="0" t="inlineStr">
        <is>
          <t>NULL</t>
        </is>
      </c>
      <c r="H63" s="0" t="inlineStr">
        <is>
          <t>NULL</t>
        </is>
      </c>
      <c r="I63" s="0" t="inlineStr">
        <is>
          <t>NULL</t>
        </is>
      </c>
      <c r="J63" s="0" t="inlineStr">
        <is>
          <t>NULL</t>
        </is>
      </c>
      <c r="K63" s="0" t="inlineStr">
        <is>
          <t>YES! 	 id列源备映射正确，源端为int None位	期望更改为int	实际备端为int None位</t>
        </is>
      </c>
    </row>
    <row r="64">
      <c r="B64" s="0" t="inlineStr">
        <is>
          <t>NULL</t>
        </is>
      </c>
      <c r="C64" s="0" t="inlineStr">
        <is>
          <t>NULL</t>
        </is>
      </c>
      <c r="D64" s="0" t="inlineStr">
        <is>
          <t>NULL</t>
        </is>
      </c>
      <c r="E64" s="0" t="inlineStr">
        <is>
          <t>NULL</t>
        </is>
      </c>
      <c r="F64" s="0" t="inlineStr">
        <is>
          <t>NULL</t>
        </is>
      </c>
      <c r="G64" s="0" t="inlineStr">
        <is>
          <t>NULL</t>
        </is>
      </c>
      <c r="H64" s="0" t="inlineStr">
        <is>
          <t>NULL</t>
        </is>
      </c>
      <c r="I64" s="0" t="inlineStr">
        <is>
          <t>NULL</t>
        </is>
      </c>
      <c r="J64" s="0" t="inlineStr">
        <is>
          <t>NULL</t>
        </is>
      </c>
      <c r="K64" s="0" t="inlineStr">
        <is>
          <t>YES! 	 c_varbinary_max1列源备映射正确，源端为varbinary -1位	期望更改为varbinary(n)	实际备端为varbinary -1位</t>
        </is>
      </c>
    </row>
    <row r="65">
      <c r="B65" s="0" t="inlineStr">
        <is>
          <t>NULL</t>
        </is>
      </c>
      <c r="C65" s="0" t="inlineStr">
        <is>
          <t>NULL</t>
        </is>
      </c>
      <c r="D65" s="0" t="inlineStr">
        <is>
          <t>NULL</t>
        </is>
      </c>
      <c r="E65" s="0" t="inlineStr">
        <is>
          <t>NULL</t>
        </is>
      </c>
      <c r="F65" s="0" t="inlineStr">
        <is>
          <t>NULL</t>
        </is>
      </c>
      <c r="G65" s="0" t="inlineStr">
        <is>
          <t>NULL</t>
        </is>
      </c>
      <c r="H65" s="0" t="inlineStr">
        <is>
          <t>NULL</t>
        </is>
      </c>
      <c r="I65" s="0" t="inlineStr">
        <is>
          <t>NULL</t>
        </is>
      </c>
      <c r="J65" s="0" t="inlineStr">
        <is>
          <t>NULL</t>
        </is>
      </c>
      <c r="K65" s="0" t="inlineStr">
        <is>
          <t>YES! 	 c_varbinary_max2列源备映射正确，源端为varbinary -1位	期望更改为varbinary(n)	实际备端为varbinary -1位</t>
        </is>
      </c>
    </row>
    <row r="66">
      <c r="B66" s="0" t="inlineStr">
        <is>
          <t>NULL</t>
        </is>
      </c>
      <c r="C66" s="0" t="inlineStr">
        <is>
          <t>NULL</t>
        </is>
      </c>
      <c r="D66" s="0" t="inlineStr">
        <is>
          <t>NULL</t>
        </is>
      </c>
      <c r="E66" s="0" t="inlineStr">
        <is>
          <t>NULL</t>
        </is>
      </c>
      <c r="F66" s="0" t="inlineStr">
        <is>
          <t>NULL</t>
        </is>
      </c>
      <c r="G66" s="0" t="inlineStr">
        <is>
          <t>NULL</t>
        </is>
      </c>
      <c r="H66" s="0" t="inlineStr">
        <is>
          <t>NULL</t>
        </is>
      </c>
      <c r="I66" s="0" t="inlineStr">
        <is>
          <t>NULL</t>
        </is>
      </c>
      <c r="J66" s="0" t="inlineStr">
        <is>
          <t>NULL</t>
        </is>
      </c>
      <c r="K66" s="0" t="inlineStr">
        <is>
          <t>YES! 	 c_image3列源备映射正确，源端为image 2147483647位	期望更改为image	实际备端为image 2147483647位</t>
        </is>
      </c>
    </row>
    <row r="67">
      <c r="K67" s="0" t="inlineStr">
        <is>
          <t>~ 空表</t>
        </is>
      </c>
    </row>
  </sheetData>
  <autoFilter ref="A2:X67"/>
  <mergeCells count="12">
    <mergeCell ref="A40:A44"/>
    <mergeCell ref="A18:A22"/>
    <mergeCell ref="A29:A33"/>
    <mergeCell ref="A8:A12"/>
    <mergeCell ref="A45:A50"/>
    <mergeCell ref="A57:A61"/>
    <mergeCell ref="A34:A39"/>
    <mergeCell ref="A51:A56"/>
    <mergeCell ref="A3:A7"/>
    <mergeCell ref="A13:A17"/>
    <mergeCell ref="A23:A28"/>
    <mergeCell ref="A62:A6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023"/>
  <sheetViews>
    <sheetView topLeftCell="A1970" workbookViewId="0">
      <selection activeCell="L18" sqref="L18"/>
    </sheetView>
  </sheetViews>
  <sheetFormatPr baseColWidth="8" defaultColWidth="9" defaultRowHeight="13.5"/>
  <sheetData>
    <row r="1">
      <c r="A1" s="0" t="inlineStr">
        <is>
          <t>sqlserver -- 2026051815sqlserver</t>
        </is>
      </c>
      <c r="E1" s="0" t="inlineStr">
        <is>
          <t>源端共计 303个表，备端共计 303个表</t>
        </is>
      </c>
    </row>
    <row r="2">
      <c r="A2" s="0" t="inlineStr">
        <is>
          <t>表名</t>
        </is>
      </c>
      <c r="B2" s="0" t="inlineStr">
        <is>
          <t>pk</t>
        </is>
      </c>
      <c r="C2" s="0" t="inlineStr">
        <is>
          <t>default</t>
        </is>
      </c>
      <c r="D2" s="0" t="inlineStr">
        <is>
          <t>唯一</t>
        </is>
      </c>
      <c r="E2" s="0" t="inlineStr">
        <is>
          <t>复合唯一</t>
        </is>
      </c>
      <c r="F2" s="0" t="inlineStr">
        <is>
          <t>check</t>
        </is>
      </c>
      <c r="G2" s="0" t="inlineStr">
        <is>
          <t>源ck_def</t>
        </is>
      </c>
      <c r="H2" s="0" t="inlineStr">
        <is>
          <t>备check</t>
        </is>
      </c>
      <c r="I2" s="0" t="inlineStr">
        <is>
          <t>索引</t>
        </is>
      </c>
      <c r="J2" s="0" t="inlineStr">
        <is>
          <t>复合索引</t>
        </is>
      </c>
      <c r="K2" s="0" t="inlineStr">
        <is>
          <t>状态</t>
        </is>
      </c>
      <c r="W2" s="0" t="inlineStr">
        <is>
          <t>表内容</t>
        </is>
      </c>
    </row>
    <row r="3">
      <c r="A3" s="0" t="inlineStr">
        <is>
          <t>info_time_dml_batch1_pk_irp2</t>
        </is>
      </c>
      <c r="K3" s="0" t="inlineStr">
        <is>
          <t>[0;34m info_time_dml_batch1_pk_irp2 [0m源备字段数相同，源端字段：9 	备端字段9</t>
        </is>
      </c>
      <c r="W3" s="0" t="inlineStr">
        <is>
          <t>YES 源备无差异</t>
        </is>
      </c>
      <c r="X3" s="0">
        <f>A3</f>
        <v/>
      </c>
    </row>
    <row r="4">
      <c r="B4" s="0" t="inlineStr">
        <is>
          <t>YES</t>
        </is>
      </c>
      <c r="C4" s="0" t="inlineStr">
        <is>
          <t>NULL</t>
        </is>
      </c>
      <c r="D4" s="0" t="inlineStr">
        <is>
          <t>NULL</t>
        </is>
      </c>
      <c r="E4" s="0" t="inlineStr">
        <is>
          <t>NULL</t>
        </is>
      </c>
      <c r="F4" s="0" t="inlineStr">
        <is>
          <t>NULL</t>
        </is>
      </c>
      <c r="G4" s="0" t="inlineStr">
        <is>
          <t>NULL</t>
        </is>
      </c>
      <c r="H4" s="0" t="inlineStr">
        <is>
          <t>NULL</t>
        </is>
      </c>
      <c r="I4" s="0" t="inlineStr">
        <is>
          <t>YES!PK__info_tim__3213E83F6B8886E9</t>
        </is>
      </c>
      <c r="J4" s="0" t="inlineStr">
        <is>
          <t>YES! 主键相关索引</t>
        </is>
      </c>
      <c r="K4" s="0" t="inlineStr">
        <is>
          <t>YES! 	 id列源备映射正确，源端为int None位	期望更改为int	实际备端为int None位</t>
        </is>
      </c>
    </row>
    <row r="5">
      <c r="B5" s="0" t="inlineStr">
        <is>
          <t>NULL</t>
        </is>
      </c>
      <c r="C5" s="0" t="inlineStr">
        <is>
          <t>NULL</t>
        </is>
      </c>
      <c r="D5" s="0" t="inlineStr">
        <is>
          <t>NULL</t>
        </is>
      </c>
      <c r="E5" s="0" t="inlineStr">
        <is>
          <t>NULL</t>
        </is>
      </c>
      <c r="F5" s="0" t="inlineStr">
        <is>
          <t>NULL</t>
        </is>
      </c>
      <c r="G5" s="0" t="inlineStr">
        <is>
          <t>NULL</t>
        </is>
      </c>
      <c r="H5" s="0" t="inlineStr">
        <is>
          <t>NULL</t>
        </is>
      </c>
      <c r="I5" s="0" t="inlineStr">
        <is>
          <t>NULL</t>
        </is>
      </c>
      <c r="J5" s="0" t="inlineStr">
        <is>
          <t>NULL</t>
        </is>
      </c>
      <c r="K5" s="0" t="inlineStr">
        <is>
          <t>no,len不存在</t>
        </is>
      </c>
    </row>
    <row r="6">
      <c r="B6" s="0" t="inlineStr">
        <is>
          <t>NULL</t>
        </is>
      </c>
      <c r="C6" s="0" t="inlineStr">
        <is>
          <t>NULL</t>
        </is>
      </c>
      <c r="D6" s="0" t="inlineStr">
        <is>
          <t>NULL</t>
        </is>
      </c>
      <c r="E6" s="0" t="inlineStr">
        <is>
          <t>NULL</t>
        </is>
      </c>
      <c r="F6" s="0" t="inlineStr">
        <is>
          <t>NULL</t>
        </is>
      </c>
      <c r="G6" s="0" t="inlineStr">
        <is>
          <t>NULL</t>
        </is>
      </c>
      <c r="H6" s="0" t="inlineStr">
        <is>
          <t>NULL</t>
        </is>
      </c>
      <c r="I6" s="0" t="inlineStr">
        <is>
          <t>NULL</t>
        </is>
      </c>
      <c r="J6" s="0" t="inlineStr">
        <is>
          <t>NULL</t>
        </is>
      </c>
      <c r="K6" s="0" t="inlineStr">
        <is>
          <t>YES! 	 c_time1列源备映射正确，源端为time None位	期望更改为time(n)	实际备端为time None位</t>
        </is>
      </c>
    </row>
    <row r="7">
      <c r="B7" s="0" t="inlineStr">
        <is>
          <t>NULL</t>
        </is>
      </c>
      <c r="C7" s="0" t="inlineStr">
        <is>
          <t>NULL</t>
        </is>
      </c>
      <c r="D7" s="0" t="inlineStr">
        <is>
          <t>NULL</t>
        </is>
      </c>
      <c r="E7" s="0" t="inlineStr">
        <is>
          <t>NULL</t>
        </is>
      </c>
      <c r="F7" s="0" t="inlineStr">
        <is>
          <t>NULL</t>
        </is>
      </c>
      <c r="G7" s="0" t="inlineStr">
        <is>
          <t>NULL</t>
        </is>
      </c>
      <c r="H7" s="0" t="inlineStr">
        <is>
          <t>NULL</t>
        </is>
      </c>
      <c r="I7" s="0" t="inlineStr">
        <is>
          <t>NULL</t>
        </is>
      </c>
      <c r="J7" s="0" t="inlineStr">
        <is>
          <t>NULL</t>
        </is>
      </c>
      <c r="K7" s="0" t="inlineStr">
        <is>
          <t>YES! 	 c_time2列源备映射正确，源端为time None位	期望更改为time(n)	实际备端为time None位</t>
        </is>
      </c>
    </row>
    <row r="8">
      <c r="B8" s="0" t="inlineStr">
        <is>
          <t>NULL</t>
        </is>
      </c>
      <c r="C8" s="0" t="inlineStr">
        <is>
          <t>NULL</t>
        </is>
      </c>
      <c r="D8" s="0" t="inlineStr">
        <is>
          <t>NULL</t>
        </is>
      </c>
      <c r="E8" s="0" t="inlineStr">
        <is>
          <t>NULL</t>
        </is>
      </c>
      <c r="F8" s="0" t="inlineStr">
        <is>
          <t>NULL</t>
        </is>
      </c>
      <c r="G8" s="0" t="inlineStr">
        <is>
          <t>NULL</t>
        </is>
      </c>
      <c r="H8" s="0" t="inlineStr">
        <is>
          <t>NULL</t>
        </is>
      </c>
      <c r="I8" s="0" t="inlineStr">
        <is>
          <t>NULL</t>
        </is>
      </c>
      <c r="J8" s="0" t="inlineStr">
        <is>
          <t>NULL</t>
        </is>
      </c>
      <c r="K8" s="0" t="inlineStr">
        <is>
          <t>YES! 	 c_time3列源备映射正确，源端为time None位	期望更改为time(n)	实际备端为time None位</t>
        </is>
      </c>
    </row>
    <row r="9">
      <c r="B9" s="0" t="inlineStr">
        <is>
          <t>NULL</t>
        </is>
      </c>
      <c r="C9" s="0" t="inlineStr">
        <is>
          <t>NULL</t>
        </is>
      </c>
      <c r="D9" s="0" t="inlineStr">
        <is>
          <t>NULL</t>
        </is>
      </c>
      <c r="E9" s="0" t="inlineStr">
        <is>
          <t>NULL</t>
        </is>
      </c>
      <c r="F9" s="0" t="inlineStr">
        <is>
          <t>NULL</t>
        </is>
      </c>
      <c r="G9" s="0" t="inlineStr">
        <is>
          <t>NULL</t>
        </is>
      </c>
      <c r="H9" s="0" t="inlineStr">
        <is>
          <t>NULL</t>
        </is>
      </c>
      <c r="I9" s="0" t="inlineStr">
        <is>
          <t>NULL</t>
        </is>
      </c>
      <c r="J9" s="0" t="inlineStr">
        <is>
          <t>NULL</t>
        </is>
      </c>
      <c r="K9" s="0" t="inlineStr">
        <is>
          <t>YES! 	 c_time4列源备映射正确，源端为time None位	期望更改为time(n)	实际备端为time None位</t>
        </is>
      </c>
    </row>
    <row r="10">
      <c r="B10" s="0" t="inlineStr">
        <is>
          <t>NULL</t>
        </is>
      </c>
      <c r="C10" s="0" t="inlineStr">
        <is>
          <t>NULL</t>
        </is>
      </c>
      <c r="D10" s="0" t="inlineStr">
        <is>
          <t>NULL</t>
        </is>
      </c>
      <c r="E10" s="0" t="inlineStr">
        <is>
          <t>NULL</t>
        </is>
      </c>
      <c r="F10" s="0" t="inlineStr">
        <is>
          <t>NULL</t>
        </is>
      </c>
      <c r="G10" s="0" t="inlineStr">
        <is>
          <t>NULL</t>
        </is>
      </c>
      <c r="H10" s="0" t="inlineStr">
        <is>
          <t>NULL</t>
        </is>
      </c>
      <c r="I10" s="0" t="inlineStr">
        <is>
          <t>NULL</t>
        </is>
      </c>
      <c r="J10" s="0" t="inlineStr">
        <is>
          <t>NULL</t>
        </is>
      </c>
      <c r="K10" s="0" t="inlineStr">
        <is>
          <t>YES! 	 c_time5列源备映射正确，源端为time None位	期望更改为time(n)	实际备端为time None位</t>
        </is>
      </c>
    </row>
    <row r="11">
      <c r="B11" s="0" t="inlineStr">
        <is>
          <t>NULL</t>
        </is>
      </c>
      <c r="C11" s="0" t="inlineStr">
        <is>
          <t>NULL</t>
        </is>
      </c>
      <c r="D11" s="0" t="inlineStr">
        <is>
          <t>NULL</t>
        </is>
      </c>
      <c r="E11" s="0" t="inlineStr">
        <is>
          <t>NULL</t>
        </is>
      </c>
      <c r="F11" s="0" t="inlineStr">
        <is>
          <t>NULL</t>
        </is>
      </c>
      <c r="G11" s="0" t="inlineStr">
        <is>
          <t>NULL</t>
        </is>
      </c>
      <c r="H11" s="0" t="inlineStr">
        <is>
          <t>NULL</t>
        </is>
      </c>
      <c r="I11" s="0" t="inlineStr">
        <is>
          <t>NULL</t>
        </is>
      </c>
      <c r="J11" s="0" t="inlineStr">
        <is>
          <t>NULL</t>
        </is>
      </c>
      <c r="K11" s="0" t="inlineStr">
        <is>
          <t>YES! 	 c_time6列源备映射正确，源端为time None位	期望更改为time(n)	实际备端为time None位</t>
        </is>
      </c>
    </row>
    <row r="12">
      <c r="B12" s="0" t="inlineStr">
        <is>
          <t>NULL</t>
        </is>
      </c>
      <c r="C12" s="0" t="inlineStr">
        <is>
          <t>NULL</t>
        </is>
      </c>
      <c r="D12" s="0" t="inlineStr">
        <is>
          <t>NULL</t>
        </is>
      </c>
      <c r="E12" s="0" t="inlineStr">
        <is>
          <t>NULL</t>
        </is>
      </c>
      <c r="F12" s="0" t="inlineStr">
        <is>
          <t>NULL</t>
        </is>
      </c>
      <c r="G12" s="0" t="inlineStr">
        <is>
          <t>NULL</t>
        </is>
      </c>
      <c r="H12" s="0" t="inlineStr">
        <is>
          <t>NULL</t>
        </is>
      </c>
      <c r="I12" s="0" t="inlineStr">
        <is>
          <t>NULL</t>
        </is>
      </c>
      <c r="J12" s="0" t="inlineStr">
        <is>
          <t>NULL</t>
        </is>
      </c>
      <c r="K12" s="0" t="inlineStr">
        <is>
          <t>YES! 	 c_time列源备映射正确，源端为time None位	期望更改为time(n)	实际备端为time None位</t>
        </is>
      </c>
    </row>
    <row r="13">
      <c r="A13" s="0" t="inlineStr">
        <is>
          <t>info_varbinary_dml_batch2_pk_irp2</t>
        </is>
      </c>
      <c r="K13" s="0" t="inlineStr">
        <is>
          <t>[0;34m info_varbinary_dml_batch2_pk_irp2 [0m源备字段数相同，源端字段：4 	备端字段4</t>
        </is>
      </c>
      <c r="W13" s="0" t="inlineStr">
        <is>
          <t>YES 源备无差异</t>
        </is>
      </c>
      <c r="X13" s="0">
        <f>A13</f>
        <v/>
      </c>
    </row>
    <row r="14">
      <c r="B14" s="0" t="inlineStr">
        <is>
          <t>YES</t>
        </is>
      </c>
      <c r="C14" s="0" t="inlineStr">
        <is>
          <t>NULL</t>
        </is>
      </c>
      <c r="D14" s="0" t="inlineStr">
        <is>
          <t>NULL</t>
        </is>
      </c>
      <c r="E14" s="0" t="inlineStr">
        <is>
          <t>NULL</t>
        </is>
      </c>
      <c r="F14" s="0" t="inlineStr">
        <is>
          <t>NULL</t>
        </is>
      </c>
      <c r="G14" s="0" t="inlineStr">
        <is>
          <t>NULL</t>
        </is>
      </c>
      <c r="H14" s="0" t="inlineStr">
        <is>
          <t>NULL</t>
        </is>
      </c>
      <c r="I14" s="0" t="inlineStr">
        <is>
          <t>YES!PK__info_var__3213E83F61D7EA8F</t>
        </is>
      </c>
      <c r="J14" s="0" t="inlineStr">
        <is>
          <t>YES! 主键相关索引</t>
        </is>
      </c>
      <c r="K14" s="0" t="inlineStr">
        <is>
          <t>YES! 	 id列源备映射正确，源端为int None位	期望更改为int	实际备端为int None位</t>
        </is>
      </c>
    </row>
    <row r="15">
      <c r="B15" s="0" t="inlineStr">
        <is>
          <t>NULL</t>
        </is>
      </c>
      <c r="C15" s="0" t="inlineStr">
        <is>
          <t>NULL</t>
        </is>
      </c>
      <c r="D15" s="0" t="inlineStr">
        <is>
          <t>NULL</t>
        </is>
      </c>
      <c r="E15" s="0" t="inlineStr">
        <is>
          <t>NULL</t>
        </is>
      </c>
      <c r="F15" s="0" t="inlineStr">
        <is>
          <t>NULL</t>
        </is>
      </c>
      <c r="G15" s="0" t="inlineStr">
        <is>
          <t>NULL</t>
        </is>
      </c>
      <c r="H15" s="0" t="inlineStr">
        <is>
          <t>NULL</t>
        </is>
      </c>
      <c r="I15" s="0" t="inlineStr">
        <is>
          <t>NULL</t>
        </is>
      </c>
      <c r="J15" s="0" t="inlineStr">
        <is>
          <t>NULL</t>
        </is>
      </c>
      <c r="K15" s="0" t="inlineStr">
        <is>
          <t>YES! 	 c_varbinary列源备映射正确，源端为varbinary 1位	期望更改为varbinary(n)	实际备端为varbinary 1位</t>
        </is>
      </c>
    </row>
    <row r="16">
      <c r="B16" s="0" t="inlineStr">
        <is>
          <t>NULL</t>
        </is>
      </c>
      <c r="C16" s="0" t="inlineStr">
        <is>
          <t>NULL</t>
        </is>
      </c>
      <c r="D16" s="0" t="inlineStr">
        <is>
          <t>NULL</t>
        </is>
      </c>
      <c r="E16" s="0" t="inlineStr">
        <is>
          <t>NULL</t>
        </is>
      </c>
      <c r="F16" s="0" t="inlineStr">
        <is>
          <t>NULL</t>
        </is>
      </c>
      <c r="G16" s="0" t="inlineStr">
        <is>
          <t>NULL</t>
        </is>
      </c>
      <c r="H16" s="0" t="inlineStr">
        <is>
          <t>NULL</t>
        </is>
      </c>
      <c r="I16" s="0" t="inlineStr">
        <is>
          <t>NULL</t>
        </is>
      </c>
      <c r="J16" s="0" t="inlineStr">
        <is>
          <t>NULL</t>
        </is>
      </c>
      <c r="K16" s="0" t="inlineStr">
        <is>
          <t>YES! 	 c_varbinary_100列源备映射正确，源端为varbinary 100位	期望更改为varbinary(n)	实际备端为varbinary 100位</t>
        </is>
      </c>
    </row>
    <row r="17">
      <c r="B17" s="0" t="inlineStr">
        <is>
          <t>NULL</t>
        </is>
      </c>
      <c r="C17" s="0" t="inlineStr">
        <is>
          <t>NULL</t>
        </is>
      </c>
      <c r="D17" s="0" t="inlineStr">
        <is>
          <t>NULL</t>
        </is>
      </c>
      <c r="E17" s="0" t="inlineStr">
        <is>
          <t>NULL</t>
        </is>
      </c>
      <c r="F17" s="0" t="inlineStr">
        <is>
          <t>NULL</t>
        </is>
      </c>
      <c r="G17" s="0" t="inlineStr">
        <is>
          <t>NULL</t>
        </is>
      </c>
      <c r="H17" s="0" t="inlineStr">
        <is>
          <t>NULL</t>
        </is>
      </c>
      <c r="I17" s="0" t="inlineStr">
        <is>
          <t>NULL</t>
        </is>
      </c>
      <c r="J17" s="0" t="inlineStr">
        <is>
          <t>NULL</t>
        </is>
      </c>
      <c r="K17" s="0" t="inlineStr">
        <is>
          <t>YES! 	 c_varbinary_8000列源备映射正确，源端为varbinary 8000位	期望更改为varbinary(n)	实际备端为varbinary 8000位</t>
        </is>
      </c>
    </row>
    <row r="18">
      <c r="A18" s="0" t="inlineStr">
        <is>
          <t>info_char_dml_single_nopk_irp</t>
        </is>
      </c>
      <c r="K18" s="0" t="inlineStr">
        <is>
          <t>[0;34m info_char_dml_single_nopk_irp [0m源备字段数相同，源端字段：4 	备端字段4</t>
        </is>
      </c>
      <c r="W18" s="0" t="inlineStr">
        <is>
          <t>YES 源备无差异</t>
        </is>
      </c>
      <c r="X18" s="0">
        <f>A18</f>
        <v/>
      </c>
    </row>
    <row r="19">
      <c r="B19" s="0" t="inlineStr">
        <is>
          <t>NULL</t>
        </is>
      </c>
      <c r="C19" s="0" t="inlineStr">
        <is>
          <t>NULL</t>
        </is>
      </c>
      <c r="D19" s="0" t="inlineStr">
        <is>
          <t>NULL</t>
        </is>
      </c>
      <c r="E19" s="0" t="inlineStr">
        <is>
          <t>NULL</t>
        </is>
      </c>
      <c r="F19" s="0" t="inlineStr">
        <is>
          <t>NULL</t>
        </is>
      </c>
      <c r="G19" s="0" t="inlineStr">
        <is>
          <t>NULL</t>
        </is>
      </c>
      <c r="H19" s="0" t="inlineStr">
        <is>
          <t>NULL</t>
        </is>
      </c>
      <c r="I19" s="0" t="inlineStr">
        <is>
          <t>NULL</t>
        </is>
      </c>
      <c r="J19" s="0" t="inlineStr">
        <is>
          <t>NULL</t>
        </is>
      </c>
      <c r="K19" s="0" t="inlineStr">
        <is>
          <t>YES! 	 id列源备映射正确，源端为int None位	期望更改为int	实际备端为int None位</t>
        </is>
      </c>
    </row>
    <row r="20">
      <c r="B20" s="0" t="inlineStr">
        <is>
          <t>NULL</t>
        </is>
      </c>
      <c r="C20" s="0" t="inlineStr">
        <is>
          <t>NULL</t>
        </is>
      </c>
      <c r="D20" s="0" t="inlineStr">
        <is>
          <t>NULL</t>
        </is>
      </c>
      <c r="E20" s="0" t="inlineStr">
        <is>
          <t>NULL</t>
        </is>
      </c>
      <c r="F20" s="0" t="inlineStr">
        <is>
          <t>NULL</t>
        </is>
      </c>
      <c r="G20" s="0" t="inlineStr">
        <is>
          <t>NULL</t>
        </is>
      </c>
      <c r="H20" s="0" t="inlineStr">
        <is>
          <t>NULL</t>
        </is>
      </c>
      <c r="I20" s="0" t="inlineStr">
        <is>
          <t>NULL</t>
        </is>
      </c>
      <c r="J20" s="0" t="inlineStr">
        <is>
          <t>NULL</t>
        </is>
      </c>
      <c r="K20" s="0" t="inlineStr">
        <is>
          <t>YES! 	 c_char列源备映射正确，源端为char 1位	期望更改为char(n)	实际备端为char 1位</t>
        </is>
      </c>
    </row>
    <row r="21">
      <c r="B21" s="0" t="inlineStr">
        <is>
          <t>NULL</t>
        </is>
      </c>
      <c r="C21" s="0" t="inlineStr">
        <is>
          <t>NULL</t>
        </is>
      </c>
      <c r="D21" s="0" t="inlineStr">
        <is>
          <t>NULL</t>
        </is>
      </c>
      <c r="E21" s="0" t="inlineStr">
        <is>
          <t>NULL</t>
        </is>
      </c>
      <c r="F21" s="0" t="inlineStr">
        <is>
          <t>NULL</t>
        </is>
      </c>
      <c r="G21" s="0" t="inlineStr">
        <is>
          <t>NULL</t>
        </is>
      </c>
      <c r="H21" s="0" t="inlineStr">
        <is>
          <t>NULL</t>
        </is>
      </c>
      <c r="I21" s="0" t="inlineStr">
        <is>
          <t>NULL</t>
        </is>
      </c>
      <c r="J21" s="0" t="inlineStr">
        <is>
          <t>NULL</t>
        </is>
      </c>
      <c r="K21" s="0" t="inlineStr">
        <is>
          <t>YES! 	 c_char20列源备映射正确，源端为char 20位	期望更改为char(n)	实际备端为char 20位</t>
        </is>
      </c>
    </row>
    <row r="22">
      <c r="B22" s="0" t="inlineStr">
        <is>
          <t>NULL</t>
        </is>
      </c>
      <c r="C22" s="0" t="inlineStr">
        <is>
          <t>NULL</t>
        </is>
      </c>
      <c r="D22" s="0" t="inlineStr">
        <is>
          <t>NULL</t>
        </is>
      </c>
      <c r="E22" s="0" t="inlineStr">
        <is>
          <t>NULL</t>
        </is>
      </c>
      <c r="F22" s="0" t="inlineStr">
        <is>
          <t>NULL</t>
        </is>
      </c>
      <c r="G22" s="0" t="inlineStr">
        <is>
          <t>NULL</t>
        </is>
      </c>
      <c r="H22" s="0" t="inlineStr">
        <is>
          <t>NULL</t>
        </is>
      </c>
      <c r="I22" s="0" t="inlineStr">
        <is>
          <t>NULL</t>
        </is>
      </c>
      <c r="J22" s="0" t="inlineStr">
        <is>
          <t>NULL</t>
        </is>
      </c>
      <c r="K22" s="0" t="inlineStr">
        <is>
          <t>YES! 	 c_char8000列源备映射正确，源端为char 8000位	期望更改为char(n)	实际备端为char 8000位</t>
        </is>
      </c>
    </row>
    <row r="23">
      <c r="A23" s="0" t="inlineStr">
        <is>
          <t>info_geometry_dml_single_pk_urp</t>
        </is>
      </c>
      <c r="K23" s="0" t="inlineStr">
        <is>
          <t>[0;34m info_geometry_dml_single_pk_urp [0m源备字段数相同，源端字段：2 	备端字段2</t>
        </is>
      </c>
      <c r="W23" s="0" t="inlineStr">
        <is>
          <t>YES 源备无差异</t>
        </is>
      </c>
      <c r="X23" s="0">
        <f>A23</f>
        <v/>
      </c>
    </row>
    <row r="24">
      <c r="B24" s="0" t="inlineStr">
        <is>
          <t>YES</t>
        </is>
      </c>
      <c r="C24" s="0" t="inlineStr">
        <is>
          <t>NULL</t>
        </is>
      </c>
      <c r="D24" s="0" t="inlineStr">
        <is>
          <t>NULL</t>
        </is>
      </c>
      <c r="E24" s="0" t="inlineStr">
        <is>
          <t>NULL</t>
        </is>
      </c>
      <c r="F24" s="0" t="inlineStr">
        <is>
          <t>NULL</t>
        </is>
      </c>
      <c r="G24" s="0" t="inlineStr">
        <is>
          <t>NULL</t>
        </is>
      </c>
      <c r="H24" s="0" t="inlineStr">
        <is>
          <t>NULL</t>
        </is>
      </c>
      <c r="I24" s="0" t="inlineStr">
        <is>
          <t>YES!PK__info_geo__3213E83F295FBDD4</t>
        </is>
      </c>
      <c r="J24" s="0" t="inlineStr">
        <is>
          <t>YES! 主键相关索引</t>
        </is>
      </c>
      <c r="K24" s="0" t="inlineStr">
        <is>
          <t>YES! 	 id列源备映射正确，源端为int None位	期望更改为int	实际备端为int None位</t>
        </is>
      </c>
    </row>
    <row r="25">
      <c r="B25" s="0" t="inlineStr">
        <is>
          <t>NULL</t>
        </is>
      </c>
      <c r="C25" s="0" t="inlineStr">
        <is>
          <t>NULL</t>
        </is>
      </c>
      <c r="D25" s="0" t="inlineStr">
        <is>
          <t>NULL</t>
        </is>
      </c>
      <c r="E25" s="0" t="inlineStr">
        <is>
          <t>NULL</t>
        </is>
      </c>
      <c r="F25" s="0" t="inlineStr">
        <is>
          <t>NULL</t>
        </is>
      </c>
      <c r="G25" s="0" t="inlineStr">
        <is>
          <t>NULL</t>
        </is>
      </c>
      <c r="H25" s="0" t="inlineStr">
        <is>
          <t>NULL</t>
        </is>
      </c>
      <c r="I25" s="0" t="inlineStr">
        <is>
          <t>NULL</t>
        </is>
      </c>
      <c r="J25" s="0" t="inlineStr">
        <is>
          <t>NULL</t>
        </is>
      </c>
      <c r="K25" s="0" t="inlineStr">
        <is>
          <t>YES! 	 c_geometry列源备映射正确，源端为geometry -1位	期望更改为geometry	实际备端为geometry -1位</t>
        </is>
      </c>
    </row>
    <row r="26">
      <c r="A26" s="0" t="inlineStr">
        <is>
          <t>info_geometry_dml_single_pk_drp</t>
        </is>
      </c>
      <c r="K26" s="0" t="inlineStr">
        <is>
          <t>[0;34m info_geometry_dml_single_pk_drp [0m源备字段数相同，源端字段：2 	备端字段2</t>
        </is>
      </c>
      <c r="W26" s="0" t="inlineStr">
        <is>
          <t>YES 源备无差异</t>
        </is>
      </c>
      <c r="X26" s="0">
        <f>A26</f>
        <v/>
      </c>
    </row>
    <row r="27">
      <c r="B27" s="0" t="inlineStr">
        <is>
          <t>YES</t>
        </is>
      </c>
      <c r="C27" s="0" t="inlineStr">
        <is>
          <t>NULL</t>
        </is>
      </c>
      <c r="D27" s="0" t="inlineStr">
        <is>
          <t>NULL</t>
        </is>
      </c>
      <c r="E27" s="0" t="inlineStr">
        <is>
          <t>NULL</t>
        </is>
      </c>
      <c r="F27" s="0" t="inlineStr">
        <is>
          <t>NULL</t>
        </is>
      </c>
      <c r="G27" s="0" t="inlineStr">
        <is>
          <t>NULL</t>
        </is>
      </c>
      <c r="H27" s="0" t="inlineStr">
        <is>
          <t>NULL</t>
        </is>
      </c>
      <c r="I27" s="0" t="inlineStr">
        <is>
          <t>YES!PK__info_geo__3213E83FD0AD5C3B</t>
        </is>
      </c>
      <c r="J27" s="0" t="inlineStr">
        <is>
          <t>YES! 主键相关索引</t>
        </is>
      </c>
      <c r="K27" s="0" t="inlineStr">
        <is>
          <t>YES! 	 id列源备映射正确，源端为int None位	期望更改为int	实际备端为int None位</t>
        </is>
      </c>
    </row>
    <row r="28">
      <c r="B28" s="0" t="inlineStr">
        <is>
          <t>NULL</t>
        </is>
      </c>
      <c r="C28" s="0" t="inlineStr">
        <is>
          <t>NULL</t>
        </is>
      </c>
      <c r="D28" s="0" t="inlineStr">
        <is>
          <t>NULL</t>
        </is>
      </c>
      <c r="E28" s="0" t="inlineStr">
        <is>
          <t>NULL</t>
        </is>
      </c>
      <c r="F28" s="0" t="inlineStr">
        <is>
          <t>NULL</t>
        </is>
      </c>
      <c r="G28" s="0" t="inlineStr">
        <is>
          <t>NULL</t>
        </is>
      </c>
      <c r="H28" s="0" t="inlineStr">
        <is>
          <t>NULL</t>
        </is>
      </c>
      <c r="I28" s="0" t="inlineStr">
        <is>
          <t>NULL</t>
        </is>
      </c>
      <c r="J28" s="0" t="inlineStr">
        <is>
          <t>NULL</t>
        </is>
      </c>
      <c r="K28" s="0" t="inlineStr">
        <is>
          <t>YES! 	 c_geometry列源备映射正确，源端为geometry -1位	期望更改为geometry	实际备端为geometry -1位</t>
        </is>
      </c>
    </row>
    <row r="29">
      <c r="A29" s="0" t="inlineStr">
        <is>
          <t>info_time_dml_batch2_pk_irp1</t>
        </is>
      </c>
      <c r="K29" s="0" t="inlineStr">
        <is>
          <t>[0;34m info_time_dml_batch2_pk_irp1 [0m源备字段数相同，源端字段：9 	备端字段9</t>
        </is>
      </c>
      <c r="W29" s="0" t="inlineStr">
        <is>
          <t>YES 源备无差异</t>
        </is>
      </c>
      <c r="X29" s="0">
        <f>A29</f>
        <v/>
      </c>
    </row>
    <row r="30">
      <c r="B30" s="0" t="inlineStr">
        <is>
          <t>YES</t>
        </is>
      </c>
      <c r="C30" s="0" t="inlineStr">
        <is>
          <t>NULL</t>
        </is>
      </c>
      <c r="D30" s="0" t="inlineStr">
        <is>
          <t>NULL</t>
        </is>
      </c>
      <c r="E30" s="0" t="inlineStr">
        <is>
          <t>NULL</t>
        </is>
      </c>
      <c r="F30" s="0" t="inlineStr">
        <is>
          <t>NULL</t>
        </is>
      </c>
      <c r="G30" s="0" t="inlineStr">
        <is>
          <t>NULL</t>
        </is>
      </c>
      <c r="H30" s="0" t="inlineStr">
        <is>
          <t>NULL</t>
        </is>
      </c>
      <c r="I30" s="0" t="inlineStr">
        <is>
          <t>YES!PK__info_tim__3213E83FCA93B547</t>
        </is>
      </c>
      <c r="J30" s="0" t="inlineStr">
        <is>
          <t>YES! 主键相关索引</t>
        </is>
      </c>
      <c r="K30" s="0" t="inlineStr">
        <is>
          <t>YES! 	 id列源备映射正确，源端为int None位	期望更改为int	实际备端为int None位</t>
        </is>
      </c>
    </row>
    <row r="31">
      <c r="B31" s="0" t="inlineStr">
        <is>
          <t>NULL</t>
        </is>
      </c>
      <c r="C31" s="0" t="inlineStr">
        <is>
          <t>NULL</t>
        </is>
      </c>
      <c r="D31" s="0" t="inlineStr">
        <is>
          <t>NULL</t>
        </is>
      </c>
      <c r="E31" s="0" t="inlineStr">
        <is>
          <t>NULL</t>
        </is>
      </c>
      <c r="F31" s="0" t="inlineStr">
        <is>
          <t>NULL</t>
        </is>
      </c>
      <c r="G31" s="0" t="inlineStr">
        <is>
          <t>NULL</t>
        </is>
      </c>
      <c r="H31" s="0" t="inlineStr">
        <is>
          <t>NULL</t>
        </is>
      </c>
      <c r="I31" s="0" t="inlineStr">
        <is>
          <t>NULL</t>
        </is>
      </c>
      <c r="J31" s="0" t="inlineStr">
        <is>
          <t>NULL</t>
        </is>
      </c>
      <c r="K31" s="0" t="inlineStr">
        <is>
          <t>no,len不存在</t>
        </is>
      </c>
    </row>
    <row r="32">
      <c r="B32" s="0" t="inlineStr">
        <is>
          <t>NULL</t>
        </is>
      </c>
      <c r="C32" s="0" t="inlineStr">
        <is>
          <t>NULL</t>
        </is>
      </c>
      <c r="D32" s="0" t="inlineStr">
        <is>
          <t>NULL</t>
        </is>
      </c>
      <c r="E32" s="0" t="inlineStr">
        <is>
          <t>NULL</t>
        </is>
      </c>
      <c r="F32" s="0" t="inlineStr">
        <is>
          <t>NULL</t>
        </is>
      </c>
      <c r="G32" s="0" t="inlineStr">
        <is>
          <t>NULL</t>
        </is>
      </c>
      <c r="H32" s="0" t="inlineStr">
        <is>
          <t>NULL</t>
        </is>
      </c>
      <c r="I32" s="0" t="inlineStr">
        <is>
          <t>NULL</t>
        </is>
      </c>
      <c r="J32" s="0" t="inlineStr">
        <is>
          <t>NULL</t>
        </is>
      </c>
      <c r="K32" s="0" t="inlineStr">
        <is>
          <t>YES! 	 c_time1列源备映射正确，源端为time None位	期望更改为time(n)	实际备端为time None位</t>
        </is>
      </c>
    </row>
    <row r="33">
      <c r="B33" s="0" t="inlineStr">
        <is>
          <t>NULL</t>
        </is>
      </c>
      <c r="C33" s="0" t="inlineStr">
        <is>
          <t>NULL</t>
        </is>
      </c>
      <c r="D33" s="0" t="inlineStr">
        <is>
          <t>NULL</t>
        </is>
      </c>
      <c r="E33" s="0" t="inlineStr">
        <is>
          <t>NULL</t>
        </is>
      </c>
      <c r="F33" s="0" t="inlineStr">
        <is>
          <t>NULL</t>
        </is>
      </c>
      <c r="G33" s="0" t="inlineStr">
        <is>
          <t>NULL</t>
        </is>
      </c>
      <c r="H33" s="0" t="inlineStr">
        <is>
          <t>NULL</t>
        </is>
      </c>
      <c r="I33" s="0" t="inlineStr">
        <is>
          <t>NULL</t>
        </is>
      </c>
      <c r="J33" s="0" t="inlineStr">
        <is>
          <t>NULL</t>
        </is>
      </c>
      <c r="K33" s="0" t="inlineStr">
        <is>
          <t>YES! 	 c_time2列源备映射正确，源端为time None位	期望更改为time(n)	实际备端为time None位</t>
        </is>
      </c>
    </row>
    <row r="34">
      <c r="B34" s="0" t="inlineStr">
        <is>
          <t>NULL</t>
        </is>
      </c>
      <c r="C34" s="0" t="inlineStr">
        <is>
          <t>NULL</t>
        </is>
      </c>
      <c r="D34" s="0" t="inlineStr">
        <is>
          <t>NULL</t>
        </is>
      </c>
      <c r="E34" s="0" t="inlineStr">
        <is>
          <t>NULL</t>
        </is>
      </c>
      <c r="F34" s="0" t="inlineStr">
        <is>
          <t>NULL</t>
        </is>
      </c>
      <c r="G34" s="0" t="inlineStr">
        <is>
          <t>NULL</t>
        </is>
      </c>
      <c r="H34" s="0" t="inlineStr">
        <is>
          <t>NULL</t>
        </is>
      </c>
      <c r="I34" s="0" t="inlineStr">
        <is>
          <t>NULL</t>
        </is>
      </c>
      <c r="J34" s="0" t="inlineStr">
        <is>
          <t>NULL</t>
        </is>
      </c>
      <c r="K34" s="0" t="inlineStr">
        <is>
          <t>YES! 	 c_time3列源备映射正确，源端为time None位	期望更改为time(n)	实际备端为time None位</t>
        </is>
      </c>
    </row>
    <row r="35">
      <c r="B35" s="0" t="inlineStr">
        <is>
          <t>NULL</t>
        </is>
      </c>
      <c r="C35" s="0" t="inlineStr">
        <is>
          <t>NULL</t>
        </is>
      </c>
      <c r="D35" s="0" t="inlineStr">
        <is>
          <t>NULL</t>
        </is>
      </c>
      <c r="E35" s="0" t="inlineStr">
        <is>
          <t>NULL</t>
        </is>
      </c>
      <c r="F35" s="0" t="inlineStr">
        <is>
          <t>NULL</t>
        </is>
      </c>
      <c r="G35" s="0" t="inlineStr">
        <is>
          <t>NULL</t>
        </is>
      </c>
      <c r="H35" s="0" t="inlineStr">
        <is>
          <t>NULL</t>
        </is>
      </c>
      <c r="I35" s="0" t="inlineStr">
        <is>
          <t>NULL</t>
        </is>
      </c>
      <c r="J35" s="0" t="inlineStr">
        <is>
          <t>NULL</t>
        </is>
      </c>
      <c r="K35" s="0" t="inlineStr">
        <is>
          <t>YES! 	 c_time4列源备映射正确，源端为time None位	期望更改为time(n)	实际备端为time None位</t>
        </is>
      </c>
    </row>
    <row r="36">
      <c r="B36" s="0" t="inlineStr">
        <is>
          <t>NULL</t>
        </is>
      </c>
      <c r="C36" s="0" t="inlineStr">
        <is>
          <t>NULL</t>
        </is>
      </c>
      <c r="D36" s="0" t="inlineStr">
        <is>
          <t>NULL</t>
        </is>
      </c>
      <c r="E36" s="0" t="inlineStr">
        <is>
          <t>NULL</t>
        </is>
      </c>
      <c r="F36" s="0" t="inlineStr">
        <is>
          <t>NULL</t>
        </is>
      </c>
      <c r="G36" s="0" t="inlineStr">
        <is>
          <t>NULL</t>
        </is>
      </c>
      <c r="H36" s="0" t="inlineStr">
        <is>
          <t>NULL</t>
        </is>
      </c>
      <c r="I36" s="0" t="inlineStr">
        <is>
          <t>NULL</t>
        </is>
      </c>
      <c r="J36" s="0" t="inlineStr">
        <is>
          <t>NULL</t>
        </is>
      </c>
      <c r="K36" s="0" t="inlineStr">
        <is>
          <t>YES! 	 c_time5列源备映射正确，源端为time None位	期望更改为time(n)	实际备端为time None位</t>
        </is>
      </c>
    </row>
    <row r="37">
      <c r="B37" s="0" t="inlineStr">
        <is>
          <t>NULL</t>
        </is>
      </c>
      <c r="C37" s="0" t="inlineStr">
        <is>
          <t>NULL</t>
        </is>
      </c>
      <c r="D37" s="0" t="inlineStr">
        <is>
          <t>NULL</t>
        </is>
      </c>
      <c r="E37" s="0" t="inlineStr">
        <is>
          <t>NULL</t>
        </is>
      </c>
      <c r="F37" s="0" t="inlineStr">
        <is>
          <t>NULL</t>
        </is>
      </c>
      <c r="G37" s="0" t="inlineStr">
        <is>
          <t>NULL</t>
        </is>
      </c>
      <c r="H37" s="0" t="inlineStr">
        <is>
          <t>NULL</t>
        </is>
      </c>
      <c r="I37" s="0" t="inlineStr">
        <is>
          <t>NULL</t>
        </is>
      </c>
      <c r="J37" s="0" t="inlineStr">
        <is>
          <t>NULL</t>
        </is>
      </c>
      <c r="K37" s="0" t="inlineStr">
        <is>
          <t>YES! 	 c_time6列源备映射正确，源端为time None位	期望更改为time(n)	实际备端为time None位</t>
        </is>
      </c>
    </row>
    <row r="38">
      <c r="B38" s="0" t="inlineStr">
        <is>
          <t>NULL</t>
        </is>
      </c>
      <c r="C38" s="0" t="inlineStr">
        <is>
          <t>NULL</t>
        </is>
      </c>
      <c r="D38" s="0" t="inlineStr">
        <is>
          <t>NULL</t>
        </is>
      </c>
      <c r="E38" s="0" t="inlineStr">
        <is>
          <t>NULL</t>
        </is>
      </c>
      <c r="F38" s="0" t="inlineStr">
        <is>
          <t>NULL</t>
        </is>
      </c>
      <c r="G38" s="0" t="inlineStr">
        <is>
          <t>NULL</t>
        </is>
      </c>
      <c r="H38" s="0" t="inlineStr">
        <is>
          <t>NULL</t>
        </is>
      </c>
      <c r="I38" s="0" t="inlineStr">
        <is>
          <t>NULL</t>
        </is>
      </c>
      <c r="J38" s="0" t="inlineStr">
        <is>
          <t>NULL</t>
        </is>
      </c>
      <c r="K38" s="0" t="inlineStr">
        <is>
          <t>YES! 	 c_time列源备映射正确，源端为time None位	期望更改为time(n)	实际备端为time None位</t>
        </is>
      </c>
    </row>
    <row r="39">
      <c r="A39" s="0" t="inlineStr">
        <is>
          <t>info_char_dml_single_nopk_drp</t>
        </is>
      </c>
      <c r="K39" s="0" t="inlineStr">
        <is>
          <t>[0;34m info_char_dml_single_nopk_drp [0m源备字段数相同，源端字段：4 	备端字段4</t>
        </is>
      </c>
      <c r="W39" s="0" t="inlineStr">
        <is>
          <t>YES 源备无差异</t>
        </is>
      </c>
      <c r="X39" s="0">
        <f>A39</f>
        <v/>
      </c>
    </row>
    <row r="40">
      <c r="B40" s="0" t="inlineStr">
        <is>
          <t>NULL</t>
        </is>
      </c>
      <c r="C40" s="0" t="inlineStr">
        <is>
          <t>NULL</t>
        </is>
      </c>
      <c r="D40" s="0" t="inlineStr">
        <is>
          <t>NULL</t>
        </is>
      </c>
      <c r="E40" s="0" t="inlineStr">
        <is>
          <t>NULL</t>
        </is>
      </c>
      <c r="F40" s="0" t="inlineStr">
        <is>
          <t>NULL</t>
        </is>
      </c>
      <c r="G40" s="0" t="inlineStr">
        <is>
          <t>NULL</t>
        </is>
      </c>
      <c r="H40" s="0" t="inlineStr">
        <is>
          <t>NULL</t>
        </is>
      </c>
      <c r="I40" s="0" t="inlineStr">
        <is>
          <t>NULL</t>
        </is>
      </c>
      <c r="J40" s="0" t="inlineStr">
        <is>
          <t>NULL</t>
        </is>
      </c>
      <c r="K40" s="0" t="inlineStr">
        <is>
          <t>YES! 	 id列源备映射正确，源端为int None位	期望更改为int	实际备端为int None位</t>
        </is>
      </c>
    </row>
    <row r="41">
      <c r="B41" s="0" t="inlineStr">
        <is>
          <t>NULL</t>
        </is>
      </c>
      <c r="C41" s="0" t="inlineStr">
        <is>
          <t>NULL</t>
        </is>
      </c>
      <c r="D41" s="0" t="inlineStr">
        <is>
          <t>NULL</t>
        </is>
      </c>
      <c r="E41" s="0" t="inlineStr">
        <is>
          <t>NULL</t>
        </is>
      </c>
      <c r="F41" s="0" t="inlineStr">
        <is>
          <t>NULL</t>
        </is>
      </c>
      <c r="G41" s="0" t="inlineStr">
        <is>
          <t>NULL</t>
        </is>
      </c>
      <c r="H41" s="0" t="inlineStr">
        <is>
          <t>NULL</t>
        </is>
      </c>
      <c r="I41" s="0" t="inlineStr">
        <is>
          <t>NULL</t>
        </is>
      </c>
      <c r="J41" s="0" t="inlineStr">
        <is>
          <t>NULL</t>
        </is>
      </c>
      <c r="K41" s="0" t="inlineStr">
        <is>
          <t>YES! 	 c_char列源备映射正确，源端为char 1位	期望更改为char(n)	实际备端为char 1位</t>
        </is>
      </c>
    </row>
    <row r="42">
      <c r="B42" s="0" t="inlineStr">
        <is>
          <t>NULL</t>
        </is>
      </c>
      <c r="C42" s="0" t="inlineStr">
        <is>
          <t>NULL</t>
        </is>
      </c>
      <c r="D42" s="0" t="inlineStr">
        <is>
          <t>NULL</t>
        </is>
      </c>
      <c r="E42" s="0" t="inlineStr">
        <is>
          <t>NULL</t>
        </is>
      </c>
      <c r="F42" s="0" t="inlineStr">
        <is>
          <t>NULL</t>
        </is>
      </c>
      <c r="G42" s="0" t="inlineStr">
        <is>
          <t>NULL</t>
        </is>
      </c>
      <c r="H42" s="0" t="inlineStr">
        <is>
          <t>NULL</t>
        </is>
      </c>
      <c r="I42" s="0" t="inlineStr">
        <is>
          <t>NULL</t>
        </is>
      </c>
      <c r="J42" s="0" t="inlineStr">
        <is>
          <t>NULL</t>
        </is>
      </c>
      <c r="K42" s="0" t="inlineStr">
        <is>
          <t>YES! 	 c_char20列源备映射正确，源端为char 20位	期望更改为char(n)	实际备端为char 20位</t>
        </is>
      </c>
    </row>
    <row r="43">
      <c r="B43" s="0" t="inlineStr">
        <is>
          <t>NULL</t>
        </is>
      </c>
      <c r="C43" s="0" t="inlineStr">
        <is>
          <t>NULL</t>
        </is>
      </c>
      <c r="D43" s="0" t="inlineStr">
        <is>
          <t>NULL</t>
        </is>
      </c>
      <c r="E43" s="0" t="inlineStr">
        <is>
          <t>NULL</t>
        </is>
      </c>
      <c r="F43" s="0" t="inlineStr">
        <is>
          <t>NULL</t>
        </is>
      </c>
      <c r="G43" s="0" t="inlineStr">
        <is>
          <t>NULL</t>
        </is>
      </c>
      <c r="H43" s="0" t="inlineStr">
        <is>
          <t>NULL</t>
        </is>
      </c>
      <c r="I43" s="0" t="inlineStr">
        <is>
          <t>NULL</t>
        </is>
      </c>
      <c r="J43" s="0" t="inlineStr">
        <is>
          <t>NULL</t>
        </is>
      </c>
      <c r="K43" s="0" t="inlineStr">
        <is>
          <t>YES! 	 c_char7000列源备映射正确，源端为char 7000位	期望更改为char(n)	实际备端为char 7000位</t>
        </is>
      </c>
    </row>
    <row r="44">
      <c r="A44" s="0" t="inlineStr">
        <is>
          <t>info_char_dml_single_nopk_urp</t>
        </is>
      </c>
      <c r="K44" s="0" t="inlineStr">
        <is>
          <t>[0;34m info_char_dml_single_nopk_urp [0m源备字段数相同，源端字段：4 	备端字段4</t>
        </is>
      </c>
      <c r="W44" s="0" t="inlineStr">
        <is>
          <t>YES 源备无差异</t>
        </is>
      </c>
      <c r="X44" s="0">
        <f>A44</f>
        <v/>
      </c>
    </row>
    <row r="45">
      <c r="B45" s="0" t="inlineStr">
        <is>
          <t>NULL</t>
        </is>
      </c>
      <c r="C45" s="0" t="inlineStr">
        <is>
          <t>NULL</t>
        </is>
      </c>
      <c r="D45" s="0" t="inlineStr">
        <is>
          <t>NULL</t>
        </is>
      </c>
      <c r="E45" s="0" t="inlineStr">
        <is>
          <t>NULL</t>
        </is>
      </c>
      <c r="F45" s="0" t="inlineStr">
        <is>
          <t>NULL</t>
        </is>
      </c>
      <c r="G45" s="0" t="inlineStr">
        <is>
          <t>NULL</t>
        </is>
      </c>
      <c r="H45" s="0" t="inlineStr">
        <is>
          <t>NULL</t>
        </is>
      </c>
      <c r="I45" s="0" t="inlineStr">
        <is>
          <t>NULL</t>
        </is>
      </c>
      <c r="J45" s="0" t="inlineStr">
        <is>
          <t>NULL</t>
        </is>
      </c>
      <c r="K45" s="0" t="inlineStr">
        <is>
          <t>YES! 	 id列源备映射正确，源端为int None位	期望更改为int	实际备端为int None位</t>
        </is>
      </c>
    </row>
    <row r="46">
      <c r="B46" s="0" t="inlineStr">
        <is>
          <t>NULL</t>
        </is>
      </c>
      <c r="C46" s="0" t="inlineStr">
        <is>
          <t>NULL</t>
        </is>
      </c>
      <c r="D46" s="0" t="inlineStr">
        <is>
          <t>NULL</t>
        </is>
      </c>
      <c r="E46" s="0" t="inlineStr">
        <is>
          <t>NULL</t>
        </is>
      </c>
      <c r="F46" s="0" t="inlineStr">
        <is>
          <t>NULL</t>
        </is>
      </c>
      <c r="G46" s="0" t="inlineStr">
        <is>
          <t>NULL</t>
        </is>
      </c>
      <c r="H46" s="0" t="inlineStr">
        <is>
          <t>NULL</t>
        </is>
      </c>
      <c r="I46" s="0" t="inlineStr">
        <is>
          <t>NULL</t>
        </is>
      </c>
      <c r="J46" s="0" t="inlineStr">
        <is>
          <t>NULL</t>
        </is>
      </c>
      <c r="K46" s="0" t="inlineStr">
        <is>
          <t>YES! 	 c_char列源备映射正确，源端为char 1位	期望更改为char(n)	实际备端为char 1位</t>
        </is>
      </c>
    </row>
    <row r="47">
      <c r="B47" s="0" t="inlineStr">
        <is>
          <t>NULL</t>
        </is>
      </c>
      <c r="C47" s="0" t="inlineStr">
        <is>
          <t>NULL</t>
        </is>
      </c>
      <c r="D47" s="0" t="inlineStr">
        <is>
          <t>NULL</t>
        </is>
      </c>
      <c r="E47" s="0" t="inlineStr">
        <is>
          <t>NULL</t>
        </is>
      </c>
      <c r="F47" s="0" t="inlineStr">
        <is>
          <t>NULL</t>
        </is>
      </c>
      <c r="G47" s="0" t="inlineStr">
        <is>
          <t>NULL</t>
        </is>
      </c>
      <c r="H47" s="0" t="inlineStr">
        <is>
          <t>NULL</t>
        </is>
      </c>
      <c r="I47" s="0" t="inlineStr">
        <is>
          <t>NULL</t>
        </is>
      </c>
      <c r="J47" s="0" t="inlineStr">
        <is>
          <t>NULL</t>
        </is>
      </c>
      <c r="K47" s="0" t="inlineStr">
        <is>
          <t>YES! 	 c_char20列源备映射正确，源端为char 20位	期望更改为char(n)	实际备端为char 20位</t>
        </is>
      </c>
    </row>
    <row r="48">
      <c r="B48" s="0" t="inlineStr">
        <is>
          <t>NULL</t>
        </is>
      </c>
      <c r="C48" s="0" t="inlineStr">
        <is>
          <t>NULL</t>
        </is>
      </c>
      <c r="D48" s="0" t="inlineStr">
        <is>
          <t>NULL</t>
        </is>
      </c>
      <c r="E48" s="0" t="inlineStr">
        <is>
          <t>NULL</t>
        </is>
      </c>
      <c r="F48" s="0" t="inlineStr">
        <is>
          <t>NULL</t>
        </is>
      </c>
      <c r="G48" s="0" t="inlineStr">
        <is>
          <t>NULL</t>
        </is>
      </c>
      <c r="H48" s="0" t="inlineStr">
        <is>
          <t>NULL</t>
        </is>
      </c>
      <c r="I48" s="0" t="inlineStr">
        <is>
          <t>NULL</t>
        </is>
      </c>
      <c r="J48" s="0" t="inlineStr">
        <is>
          <t>NULL</t>
        </is>
      </c>
      <c r="K48" s="0" t="inlineStr">
        <is>
          <t>YES! 	 c_char7000列源备映射正确，源端为char 7000位	期望更改为char(n)	实际备端为char 7000位</t>
        </is>
      </c>
    </row>
    <row r="49">
      <c r="A49" s="0" t="inlineStr">
        <is>
          <t>info_varbinary_dml_batch1_pk_urp1</t>
        </is>
      </c>
      <c r="K49" s="0" t="inlineStr">
        <is>
          <t>[0;34m info_varbinary_dml_batch1_pk_urp1 [0m源备字段数相同，源端字段：4 	备端字段4</t>
        </is>
      </c>
      <c r="W49" s="0" t="inlineStr">
        <is>
          <t>YES 源备无差异</t>
        </is>
      </c>
      <c r="X49" s="0">
        <f>A49</f>
        <v/>
      </c>
    </row>
    <row r="50">
      <c r="B50" s="0" t="inlineStr">
        <is>
          <t>YES</t>
        </is>
      </c>
      <c r="C50" s="0" t="inlineStr">
        <is>
          <t>NULL</t>
        </is>
      </c>
      <c r="D50" s="0" t="inlineStr">
        <is>
          <t>NULL</t>
        </is>
      </c>
      <c r="E50" s="0" t="inlineStr">
        <is>
          <t>NULL</t>
        </is>
      </c>
      <c r="F50" s="0" t="inlineStr">
        <is>
          <t>NULL</t>
        </is>
      </c>
      <c r="G50" s="0" t="inlineStr">
        <is>
          <t>NULL</t>
        </is>
      </c>
      <c r="H50" s="0" t="inlineStr">
        <is>
          <t>NULL</t>
        </is>
      </c>
      <c r="I50" s="0" t="inlineStr">
        <is>
          <t>YES!PK__info_var__3213E83F21F585F3</t>
        </is>
      </c>
      <c r="J50" s="0" t="inlineStr">
        <is>
          <t>YES! 主键相关索引</t>
        </is>
      </c>
      <c r="K50" s="0" t="inlineStr">
        <is>
          <t>YES! 	 id列源备映射正确，源端为int None位	期望更改为int	实际备端为int None位</t>
        </is>
      </c>
    </row>
    <row r="51">
      <c r="B51" s="0" t="inlineStr">
        <is>
          <t>NULL</t>
        </is>
      </c>
      <c r="C51" s="0" t="inlineStr">
        <is>
          <t>NULL</t>
        </is>
      </c>
      <c r="D51" s="0" t="inlineStr">
        <is>
          <t>NULL</t>
        </is>
      </c>
      <c r="E51" s="0" t="inlineStr">
        <is>
          <t>NULL</t>
        </is>
      </c>
      <c r="F51" s="0" t="inlineStr">
        <is>
          <t>NULL</t>
        </is>
      </c>
      <c r="G51" s="0" t="inlineStr">
        <is>
          <t>NULL</t>
        </is>
      </c>
      <c r="H51" s="0" t="inlineStr">
        <is>
          <t>NULL</t>
        </is>
      </c>
      <c r="I51" s="0" t="inlineStr">
        <is>
          <t>NULL</t>
        </is>
      </c>
      <c r="J51" s="0" t="inlineStr">
        <is>
          <t>NULL</t>
        </is>
      </c>
      <c r="K51" s="0" t="inlineStr">
        <is>
          <t>YES! 	 c_varbinary列源备映射正确，源端为varbinary 1位	期望更改为varbinary(n)	实际备端为varbinary 1位</t>
        </is>
      </c>
    </row>
    <row r="52">
      <c r="B52" s="0" t="inlineStr">
        <is>
          <t>NULL</t>
        </is>
      </c>
      <c r="C52" s="0" t="inlineStr">
        <is>
          <t>NULL</t>
        </is>
      </c>
      <c r="D52" s="0" t="inlineStr">
        <is>
          <t>NULL</t>
        </is>
      </c>
      <c r="E52" s="0" t="inlineStr">
        <is>
          <t>NULL</t>
        </is>
      </c>
      <c r="F52" s="0" t="inlineStr">
        <is>
          <t>NULL</t>
        </is>
      </c>
      <c r="G52" s="0" t="inlineStr">
        <is>
          <t>NULL</t>
        </is>
      </c>
      <c r="H52" s="0" t="inlineStr">
        <is>
          <t>NULL</t>
        </is>
      </c>
      <c r="I52" s="0" t="inlineStr">
        <is>
          <t>NULL</t>
        </is>
      </c>
      <c r="J52" s="0" t="inlineStr">
        <is>
          <t>NULL</t>
        </is>
      </c>
      <c r="K52" s="0" t="inlineStr">
        <is>
          <t>YES! 	 c_varbinary_100列源备映射正确，源端为varbinary 100位	期望更改为varbinary(n)	实际备端为varbinary 100位</t>
        </is>
      </c>
    </row>
    <row r="53">
      <c r="B53" s="0" t="inlineStr">
        <is>
          <t>NULL</t>
        </is>
      </c>
      <c r="C53" s="0" t="inlineStr">
        <is>
          <t>NULL</t>
        </is>
      </c>
      <c r="D53" s="0" t="inlineStr">
        <is>
          <t>NULL</t>
        </is>
      </c>
      <c r="E53" s="0" t="inlineStr">
        <is>
          <t>NULL</t>
        </is>
      </c>
      <c r="F53" s="0" t="inlineStr">
        <is>
          <t>NULL</t>
        </is>
      </c>
      <c r="G53" s="0" t="inlineStr">
        <is>
          <t>NULL</t>
        </is>
      </c>
      <c r="H53" s="0" t="inlineStr">
        <is>
          <t>NULL</t>
        </is>
      </c>
      <c r="I53" s="0" t="inlineStr">
        <is>
          <t>NULL</t>
        </is>
      </c>
      <c r="J53" s="0" t="inlineStr">
        <is>
          <t>NULL</t>
        </is>
      </c>
      <c r="K53" s="0" t="inlineStr">
        <is>
          <t>YES! 	 c_varbinary_8000列源备映射正确，源端为varbinary 8000位	期望更改为varbinary(n)	实际备端为varbinary 8000位</t>
        </is>
      </c>
    </row>
    <row r="54">
      <c r="A54" s="0" t="inlineStr">
        <is>
          <t>info_geometry_dml_single_pk</t>
        </is>
      </c>
      <c r="K54" s="0" t="inlineStr">
        <is>
          <t>[0;34m info_geometry_dml_single_pk [0m源备字段数相同，源端字段：2 	备端字段2</t>
        </is>
      </c>
      <c r="W54" s="0" t="inlineStr">
        <is>
          <t>YES 源备无差异</t>
        </is>
      </c>
      <c r="X54" s="0">
        <f>A54</f>
        <v/>
      </c>
    </row>
    <row r="55">
      <c r="B55" s="0" t="inlineStr">
        <is>
          <t>YES</t>
        </is>
      </c>
      <c r="C55" s="0" t="inlineStr">
        <is>
          <t>NULL</t>
        </is>
      </c>
      <c r="D55" s="0" t="inlineStr">
        <is>
          <t>NULL</t>
        </is>
      </c>
      <c r="E55" s="0" t="inlineStr">
        <is>
          <t>NULL</t>
        </is>
      </c>
      <c r="F55" s="0" t="inlineStr">
        <is>
          <t>NULL</t>
        </is>
      </c>
      <c r="G55" s="0" t="inlineStr">
        <is>
          <t>NULL</t>
        </is>
      </c>
      <c r="H55" s="0" t="inlineStr">
        <is>
          <t>NULL</t>
        </is>
      </c>
      <c r="I55" s="0" t="inlineStr">
        <is>
          <t>YES!PK__info_geo__3213E83FC1F51764</t>
        </is>
      </c>
      <c r="J55" s="0" t="inlineStr">
        <is>
          <t>YES! 主键相关索引</t>
        </is>
      </c>
      <c r="K55" s="0" t="inlineStr">
        <is>
          <t>YES! 	 id列源备映射正确，源端为int None位	期望更改为int	实际备端为int None位</t>
        </is>
      </c>
    </row>
    <row r="56">
      <c r="B56" s="0" t="inlineStr">
        <is>
          <t>NULL</t>
        </is>
      </c>
      <c r="C56" s="0" t="inlineStr">
        <is>
          <t>NULL</t>
        </is>
      </c>
      <c r="D56" s="0" t="inlineStr">
        <is>
          <t>NULL</t>
        </is>
      </c>
      <c r="E56" s="0" t="inlineStr">
        <is>
          <t>NULL</t>
        </is>
      </c>
      <c r="F56" s="0" t="inlineStr">
        <is>
          <t>NULL</t>
        </is>
      </c>
      <c r="G56" s="0" t="inlineStr">
        <is>
          <t>NULL</t>
        </is>
      </c>
      <c r="H56" s="0" t="inlineStr">
        <is>
          <t>NULL</t>
        </is>
      </c>
      <c r="I56" s="0" t="inlineStr">
        <is>
          <t>NULL</t>
        </is>
      </c>
      <c r="J56" s="0" t="inlineStr">
        <is>
          <t>NULL</t>
        </is>
      </c>
      <c r="K56" s="0" t="inlineStr">
        <is>
          <t>YES! 	 c_geometry列源备映射正确，源端为geometry -1位	期望更改为geometry	实际备端为geometry -1位</t>
        </is>
      </c>
    </row>
    <row r="57">
      <c r="A57" s="0" t="inlineStr">
        <is>
          <t>info_char_dml_single_nopk</t>
        </is>
      </c>
      <c r="K57" s="0" t="inlineStr">
        <is>
          <t>[0;34m info_char_dml_single_nopk [0m源备字段数相同，源端字段：4 	备端字段4</t>
        </is>
      </c>
      <c r="W57" s="0" t="inlineStr">
        <is>
          <t>YES 源备无差异</t>
        </is>
      </c>
      <c r="X57" s="0">
        <f>A57</f>
        <v/>
      </c>
    </row>
    <row r="58">
      <c r="B58" s="0" t="inlineStr">
        <is>
          <t>NULL</t>
        </is>
      </c>
      <c r="C58" s="0" t="inlineStr">
        <is>
          <t>NULL</t>
        </is>
      </c>
      <c r="D58" s="0" t="inlineStr">
        <is>
          <t>NULL</t>
        </is>
      </c>
      <c r="E58" s="0" t="inlineStr">
        <is>
          <t>NULL</t>
        </is>
      </c>
      <c r="F58" s="0" t="inlineStr">
        <is>
          <t>NULL</t>
        </is>
      </c>
      <c r="G58" s="0" t="inlineStr">
        <is>
          <t>NULL</t>
        </is>
      </c>
      <c r="H58" s="0" t="inlineStr">
        <is>
          <t>NULL</t>
        </is>
      </c>
      <c r="I58" s="0" t="inlineStr">
        <is>
          <t>NULL</t>
        </is>
      </c>
      <c r="J58" s="0" t="inlineStr">
        <is>
          <t>NULL</t>
        </is>
      </c>
      <c r="K58" s="0" t="inlineStr">
        <is>
          <t>YES! 	 id列源备映射正确，源端为int None位	期望更改为int	实际备端为int None位</t>
        </is>
      </c>
    </row>
    <row r="59">
      <c r="B59" s="0" t="inlineStr">
        <is>
          <t>NULL</t>
        </is>
      </c>
      <c r="C59" s="0" t="inlineStr">
        <is>
          <t>NULL</t>
        </is>
      </c>
      <c r="D59" s="0" t="inlineStr">
        <is>
          <t>NULL</t>
        </is>
      </c>
      <c r="E59" s="0" t="inlineStr">
        <is>
          <t>NULL</t>
        </is>
      </c>
      <c r="F59" s="0" t="inlineStr">
        <is>
          <t>NULL</t>
        </is>
      </c>
      <c r="G59" s="0" t="inlineStr">
        <is>
          <t>NULL</t>
        </is>
      </c>
      <c r="H59" s="0" t="inlineStr">
        <is>
          <t>NULL</t>
        </is>
      </c>
      <c r="I59" s="0" t="inlineStr">
        <is>
          <t>NULL</t>
        </is>
      </c>
      <c r="J59" s="0" t="inlineStr">
        <is>
          <t>NULL</t>
        </is>
      </c>
      <c r="K59" s="0" t="inlineStr">
        <is>
          <t>YES! 	 c_char列源备映射正确，源端为char 1位	期望更改为char(n)	实际备端为char 1位</t>
        </is>
      </c>
    </row>
    <row r="60">
      <c r="B60" s="0" t="inlineStr">
        <is>
          <t>NULL</t>
        </is>
      </c>
      <c r="C60" s="0" t="inlineStr">
        <is>
          <t>NULL</t>
        </is>
      </c>
      <c r="D60" s="0" t="inlineStr">
        <is>
          <t>NULL</t>
        </is>
      </c>
      <c r="E60" s="0" t="inlineStr">
        <is>
          <t>NULL</t>
        </is>
      </c>
      <c r="F60" s="0" t="inlineStr">
        <is>
          <t>NULL</t>
        </is>
      </c>
      <c r="G60" s="0" t="inlineStr">
        <is>
          <t>NULL</t>
        </is>
      </c>
      <c r="H60" s="0" t="inlineStr">
        <is>
          <t>NULL</t>
        </is>
      </c>
      <c r="I60" s="0" t="inlineStr">
        <is>
          <t>NULL</t>
        </is>
      </c>
      <c r="J60" s="0" t="inlineStr">
        <is>
          <t>NULL</t>
        </is>
      </c>
      <c r="K60" s="0" t="inlineStr">
        <is>
          <t>YES! 	 c_char20列源备映射正确，源端为char 20位	期望更改为char(n)	实际备端为char 20位</t>
        </is>
      </c>
    </row>
    <row r="61">
      <c r="B61" s="0" t="inlineStr">
        <is>
          <t>NULL</t>
        </is>
      </c>
      <c r="C61" s="0" t="inlineStr">
        <is>
          <t>NULL</t>
        </is>
      </c>
      <c r="D61" s="0" t="inlineStr">
        <is>
          <t>NULL</t>
        </is>
      </c>
      <c r="E61" s="0" t="inlineStr">
        <is>
          <t>NULL</t>
        </is>
      </c>
      <c r="F61" s="0" t="inlineStr">
        <is>
          <t>NULL</t>
        </is>
      </c>
      <c r="G61" s="0" t="inlineStr">
        <is>
          <t>NULL</t>
        </is>
      </c>
      <c r="H61" s="0" t="inlineStr">
        <is>
          <t>NULL</t>
        </is>
      </c>
      <c r="I61" s="0" t="inlineStr">
        <is>
          <t>NULL</t>
        </is>
      </c>
      <c r="J61" s="0" t="inlineStr">
        <is>
          <t>NULL</t>
        </is>
      </c>
      <c r="K61" s="0" t="inlineStr">
        <is>
          <t>YES! 	 c_char7000列源备映射正确，源端为char 7000位	期望更改为char(n)	实际备端为char 7000位</t>
        </is>
      </c>
    </row>
    <row r="62">
      <c r="A62" s="0" t="inlineStr">
        <is>
          <t>info_time_dml_batch2_pk_irp2</t>
        </is>
      </c>
      <c r="K62" s="0" t="inlineStr">
        <is>
          <t>[0;34m info_time_dml_batch2_pk_irp2 [0m源备字段数相同，源端字段：9 	备端字段9</t>
        </is>
      </c>
      <c r="W62" s="0" t="inlineStr">
        <is>
          <t>YES 源备无差异</t>
        </is>
      </c>
      <c r="X62" s="0">
        <f>A62</f>
        <v/>
      </c>
    </row>
    <row r="63">
      <c r="B63" s="0" t="inlineStr">
        <is>
          <t>YES</t>
        </is>
      </c>
      <c r="C63" s="0" t="inlineStr">
        <is>
          <t>NULL</t>
        </is>
      </c>
      <c r="D63" s="0" t="inlineStr">
        <is>
          <t>NULL</t>
        </is>
      </c>
      <c r="E63" s="0" t="inlineStr">
        <is>
          <t>NULL</t>
        </is>
      </c>
      <c r="F63" s="0" t="inlineStr">
        <is>
          <t>NULL</t>
        </is>
      </c>
      <c r="G63" s="0" t="inlineStr">
        <is>
          <t>NULL</t>
        </is>
      </c>
      <c r="H63" s="0" t="inlineStr">
        <is>
          <t>NULL</t>
        </is>
      </c>
      <c r="I63" s="0" t="inlineStr">
        <is>
          <t>YES!PK__info_tim__3213E83F0736C131</t>
        </is>
      </c>
      <c r="J63" s="0" t="inlineStr">
        <is>
          <t>YES! 主键相关索引</t>
        </is>
      </c>
      <c r="K63" s="0" t="inlineStr">
        <is>
          <t>YES! 	 id列源备映射正确，源端为int None位	期望更改为int	实际备端为int None位</t>
        </is>
      </c>
    </row>
    <row r="64">
      <c r="B64" s="0" t="inlineStr">
        <is>
          <t>NULL</t>
        </is>
      </c>
      <c r="C64" s="0" t="inlineStr">
        <is>
          <t>NULL</t>
        </is>
      </c>
      <c r="D64" s="0" t="inlineStr">
        <is>
          <t>NULL</t>
        </is>
      </c>
      <c r="E64" s="0" t="inlineStr">
        <is>
          <t>NULL</t>
        </is>
      </c>
      <c r="F64" s="0" t="inlineStr">
        <is>
          <t>NULL</t>
        </is>
      </c>
      <c r="G64" s="0" t="inlineStr">
        <is>
          <t>NULL</t>
        </is>
      </c>
      <c r="H64" s="0" t="inlineStr">
        <is>
          <t>NULL</t>
        </is>
      </c>
      <c r="I64" s="0" t="inlineStr">
        <is>
          <t>NULL</t>
        </is>
      </c>
      <c r="J64" s="0" t="inlineStr">
        <is>
          <t>NULL</t>
        </is>
      </c>
      <c r="K64" s="0" t="inlineStr">
        <is>
          <t>no,len不存在</t>
        </is>
      </c>
    </row>
    <row r="65">
      <c r="B65" s="0" t="inlineStr">
        <is>
          <t>NULL</t>
        </is>
      </c>
      <c r="C65" s="0" t="inlineStr">
        <is>
          <t>NULL</t>
        </is>
      </c>
      <c r="D65" s="0" t="inlineStr">
        <is>
          <t>NULL</t>
        </is>
      </c>
      <c r="E65" s="0" t="inlineStr">
        <is>
          <t>NULL</t>
        </is>
      </c>
      <c r="F65" s="0" t="inlineStr">
        <is>
          <t>NULL</t>
        </is>
      </c>
      <c r="G65" s="0" t="inlineStr">
        <is>
          <t>NULL</t>
        </is>
      </c>
      <c r="H65" s="0" t="inlineStr">
        <is>
          <t>NULL</t>
        </is>
      </c>
      <c r="I65" s="0" t="inlineStr">
        <is>
          <t>NULL</t>
        </is>
      </c>
      <c r="J65" s="0" t="inlineStr">
        <is>
          <t>NULL</t>
        </is>
      </c>
      <c r="K65" s="0" t="inlineStr">
        <is>
          <t>YES! 	 c_time1列源备映射正确，源端为time None位	期望更改为time(n)	实际备端为time None位</t>
        </is>
      </c>
    </row>
    <row r="66">
      <c r="B66" s="0" t="inlineStr">
        <is>
          <t>NULL</t>
        </is>
      </c>
      <c r="C66" s="0" t="inlineStr">
        <is>
          <t>NULL</t>
        </is>
      </c>
      <c r="D66" s="0" t="inlineStr">
        <is>
          <t>NULL</t>
        </is>
      </c>
      <c r="E66" s="0" t="inlineStr">
        <is>
          <t>NULL</t>
        </is>
      </c>
      <c r="F66" s="0" t="inlineStr">
        <is>
          <t>NULL</t>
        </is>
      </c>
      <c r="G66" s="0" t="inlineStr">
        <is>
          <t>NULL</t>
        </is>
      </c>
      <c r="H66" s="0" t="inlineStr">
        <is>
          <t>NULL</t>
        </is>
      </c>
      <c r="I66" s="0" t="inlineStr">
        <is>
          <t>NULL</t>
        </is>
      </c>
      <c r="J66" s="0" t="inlineStr">
        <is>
          <t>NULL</t>
        </is>
      </c>
      <c r="K66" s="0" t="inlineStr">
        <is>
          <t>YES! 	 c_time2列源备映射正确，源端为time None位	期望更改为time(n)	实际备端为time None位</t>
        </is>
      </c>
    </row>
    <row r="67">
      <c r="B67" s="0" t="inlineStr">
        <is>
          <t>NULL</t>
        </is>
      </c>
      <c r="C67" s="0" t="inlineStr">
        <is>
          <t>NULL</t>
        </is>
      </c>
      <c r="D67" s="0" t="inlineStr">
        <is>
          <t>NULL</t>
        </is>
      </c>
      <c r="E67" s="0" t="inlineStr">
        <is>
          <t>NULL</t>
        </is>
      </c>
      <c r="F67" s="0" t="inlineStr">
        <is>
          <t>NULL</t>
        </is>
      </c>
      <c r="G67" s="0" t="inlineStr">
        <is>
          <t>NULL</t>
        </is>
      </c>
      <c r="H67" s="0" t="inlineStr">
        <is>
          <t>NULL</t>
        </is>
      </c>
      <c r="I67" s="0" t="inlineStr">
        <is>
          <t>NULL</t>
        </is>
      </c>
      <c r="J67" s="0" t="inlineStr">
        <is>
          <t>NULL</t>
        </is>
      </c>
      <c r="K67" s="0" t="inlineStr">
        <is>
          <t>YES! 	 c_time3列源备映射正确，源端为time None位	期望更改为time(n)	实际备端为time None位</t>
        </is>
      </c>
    </row>
    <row r="68">
      <c r="B68" s="0" t="inlineStr">
        <is>
          <t>NULL</t>
        </is>
      </c>
      <c r="C68" s="0" t="inlineStr">
        <is>
          <t>NULL</t>
        </is>
      </c>
      <c r="D68" s="0" t="inlineStr">
        <is>
          <t>NULL</t>
        </is>
      </c>
      <c r="E68" s="0" t="inlineStr">
        <is>
          <t>NULL</t>
        </is>
      </c>
      <c r="F68" s="0" t="inlineStr">
        <is>
          <t>NULL</t>
        </is>
      </c>
      <c r="G68" s="0" t="inlineStr">
        <is>
          <t>NULL</t>
        </is>
      </c>
      <c r="H68" s="0" t="inlineStr">
        <is>
          <t>NULL</t>
        </is>
      </c>
      <c r="I68" s="0" t="inlineStr">
        <is>
          <t>NULL</t>
        </is>
      </c>
      <c r="J68" s="0" t="inlineStr">
        <is>
          <t>NULL</t>
        </is>
      </c>
      <c r="K68" s="0" t="inlineStr">
        <is>
          <t>YES! 	 c_time4列源备映射正确，源端为time None位	期望更改为time(n)	实际备端为time None位</t>
        </is>
      </c>
    </row>
    <row r="69">
      <c r="B69" s="0" t="inlineStr">
        <is>
          <t>NULL</t>
        </is>
      </c>
      <c r="C69" s="0" t="inlineStr">
        <is>
          <t>NULL</t>
        </is>
      </c>
      <c r="D69" s="0" t="inlineStr">
        <is>
          <t>NULL</t>
        </is>
      </c>
      <c r="E69" s="0" t="inlineStr">
        <is>
          <t>NULL</t>
        </is>
      </c>
      <c r="F69" s="0" t="inlineStr">
        <is>
          <t>NULL</t>
        </is>
      </c>
      <c r="G69" s="0" t="inlineStr">
        <is>
          <t>NULL</t>
        </is>
      </c>
      <c r="H69" s="0" t="inlineStr">
        <is>
          <t>NULL</t>
        </is>
      </c>
      <c r="I69" s="0" t="inlineStr">
        <is>
          <t>NULL</t>
        </is>
      </c>
      <c r="J69" s="0" t="inlineStr">
        <is>
          <t>NULL</t>
        </is>
      </c>
      <c r="K69" s="0" t="inlineStr">
        <is>
          <t>YES! 	 c_time5列源备映射正确，源端为time None位	期望更改为time(n)	实际备端为time None位</t>
        </is>
      </c>
    </row>
    <row r="70">
      <c r="B70" s="0" t="inlineStr">
        <is>
          <t>NULL</t>
        </is>
      </c>
      <c r="C70" s="0" t="inlineStr">
        <is>
          <t>NULL</t>
        </is>
      </c>
      <c r="D70" s="0" t="inlineStr">
        <is>
          <t>NULL</t>
        </is>
      </c>
      <c r="E70" s="0" t="inlineStr">
        <is>
          <t>NULL</t>
        </is>
      </c>
      <c r="F70" s="0" t="inlineStr">
        <is>
          <t>NULL</t>
        </is>
      </c>
      <c r="G70" s="0" t="inlineStr">
        <is>
          <t>NULL</t>
        </is>
      </c>
      <c r="H70" s="0" t="inlineStr">
        <is>
          <t>NULL</t>
        </is>
      </c>
      <c r="I70" s="0" t="inlineStr">
        <is>
          <t>NULL</t>
        </is>
      </c>
      <c r="J70" s="0" t="inlineStr">
        <is>
          <t>NULL</t>
        </is>
      </c>
      <c r="K70" s="0" t="inlineStr">
        <is>
          <t>YES! 	 c_time6列源备映射正确，源端为time None位	期望更改为time(n)	实际备端为time None位</t>
        </is>
      </c>
    </row>
    <row r="71">
      <c r="B71" s="0" t="inlineStr">
        <is>
          <t>NULL</t>
        </is>
      </c>
      <c r="C71" s="0" t="inlineStr">
        <is>
          <t>NULL</t>
        </is>
      </c>
      <c r="D71" s="0" t="inlineStr">
        <is>
          <t>NULL</t>
        </is>
      </c>
      <c r="E71" s="0" t="inlineStr">
        <is>
          <t>NULL</t>
        </is>
      </c>
      <c r="F71" s="0" t="inlineStr">
        <is>
          <t>NULL</t>
        </is>
      </c>
      <c r="G71" s="0" t="inlineStr">
        <is>
          <t>NULL</t>
        </is>
      </c>
      <c r="H71" s="0" t="inlineStr">
        <is>
          <t>NULL</t>
        </is>
      </c>
      <c r="I71" s="0" t="inlineStr">
        <is>
          <t>NULL</t>
        </is>
      </c>
      <c r="J71" s="0" t="inlineStr">
        <is>
          <t>NULL</t>
        </is>
      </c>
      <c r="K71" s="0" t="inlineStr">
        <is>
          <t>YES! 	 c_time列源备映射正确，源端为time None位	期望更改为time(n)	实际备端为time None位</t>
        </is>
      </c>
    </row>
    <row r="72">
      <c r="A72" s="0" t="inlineStr">
        <is>
          <t>info_time_dml_batch1_pk_urp1</t>
        </is>
      </c>
      <c r="K72" s="0" t="inlineStr">
        <is>
          <t>[0;34m info_time_dml_batch1_pk_urp1 [0m源备字段数相同，源端字段：9 	备端字段9</t>
        </is>
      </c>
      <c r="W72" s="0" t="inlineStr">
        <is>
          <t>YES 源备无差异</t>
        </is>
      </c>
      <c r="X72" s="0">
        <f>A72</f>
        <v/>
      </c>
    </row>
    <row r="73">
      <c r="B73" s="0" t="inlineStr">
        <is>
          <t>YES</t>
        </is>
      </c>
      <c r="C73" s="0" t="inlineStr">
        <is>
          <t>NULL</t>
        </is>
      </c>
      <c r="D73" s="0" t="inlineStr">
        <is>
          <t>NULL</t>
        </is>
      </c>
      <c r="E73" s="0" t="inlineStr">
        <is>
          <t>NULL</t>
        </is>
      </c>
      <c r="F73" s="0" t="inlineStr">
        <is>
          <t>NULL</t>
        </is>
      </c>
      <c r="G73" s="0" t="inlineStr">
        <is>
          <t>NULL</t>
        </is>
      </c>
      <c r="H73" s="0" t="inlineStr">
        <is>
          <t>NULL</t>
        </is>
      </c>
      <c r="I73" s="0" t="inlineStr">
        <is>
          <t>YES!PK__info_tim__3213E83FB7AFA254</t>
        </is>
      </c>
      <c r="J73" s="0" t="inlineStr">
        <is>
          <t>YES! 主键相关索引</t>
        </is>
      </c>
      <c r="K73" s="0" t="inlineStr">
        <is>
          <t>YES! 	 id列源备映射正确，源端为int None位	期望更改为int	实际备端为int None位</t>
        </is>
      </c>
    </row>
    <row r="74">
      <c r="B74" s="0" t="inlineStr">
        <is>
          <t>NULL</t>
        </is>
      </c>
      <c r="C74" s="0" t="inlineStr">
        <is>
          <t>NULL</t>
        </is>
      </c>
      <c r="D74" s="0" t="inlineStr">
        <is>
          <t>NULL</t>
        </is>
      </c>
      <c r="E74" s="0" t="inlineStr">
        <is>
          <t>NULL</t>
        </is>
      </c>
      <c r="F74" s="0" t="inlineStr">
        <is>
          <t>NULL</t>
        </is>
      </c>
      <c r="G74" s="0" t="inlineStr">
        <is>
          <t>NULL</t>
        </is>
      </c>
      <c r="H74" s="0" t="inlineStr">
        <is>
          <t>NULL</t>
        </is>
      </c>
      <c r="I74" s="0" t="inlineStr">
        <is>
          <t>NULL</t>
        </is>
      </c>
      <c r="J74" s="0" t="inlineStr">
        <is>
          <t>NULL</t>
        </is>
      </c>
      <c r="K74" s="0" t="inlineStr">
        <is>
          <t>no,len不存在</t>
        </is>
      </c>
    </row>
    <row r="75">
      <c r="B75" s="0" t="inlineStr">
        <is>
          <t>NULL</t>
        </is>
      </c>
      <c r="C75" s="0" t="inlineStr">
        <is>
          <t>NULL</t>
        </is>
      </c>
      <c r="D75" s="0" t="inlineStr">
        <is>
          <t>NULL</t>
        </is>
      </c>
      <c r="E75" s="0" t="inlineStr">
        <is>
          <t>NULL</t>
        </is>
      </c>
      <c r="F75" s="0" t="inlineStr">
        <is>
          <t>NULL</t>
        </is>
      </c>
      <c r="G75" s="0" t="inlineStr">
        <is>
          <t>NULL</t>
        </is>
      </c>
      <c r="H75" s="0" t="inlineStr">
        <is>
          <t>NULL</t>
        </is>
      </c>
      <c r="I75" s="0" t="inlineStr">
        <is>
          <t>NULL</t>
        </is>
      </c>
      <c r="J75" s="0" t="inlineStr">
        <is>
          <t>NULL</t>
        </is>
      </c>
      <c r="K75" s="0" t="inlineStr">
        <is>
          <t>YES! 	 c_time1列源备映射正确，源端为time None位	期望更改为time(n)	实际备端为time None位</t>
        </is>
      </c>
    </row>
    <row r="76">
      <c r="B76" s="0" t="inlineStr">
        <is>
          <t>NULL</t>
        </is>
      </c>
      <c r="C76" s="0" t="inlineStr">
        <is>
          <t>NULL</t>
        </is>
      </c>
      <c r="D76" s="0" t="inlineStr">
        <is>
          <t>NULL</t>
        </is>
      </c>
      <c r="E76" s="0" t="inlineStr">
        <is>
          <t>NULL</t>
        </is>
      </c>
      <c r="F76" s="0" t="inlineStr">
        <is>
          <t>NULL</t>
        </is>
      </c>
      <c r="G76" s="0" t="inlineStr">
        <is>
          <t>NULL</t>
        </is>
      </c>
      <c r="H76" s="0" t="inlineStr">
        <is>
          <t>NULL</t>
        </is>
      </c>
      <c r="I76" s="0" t="inlineStr">
        <is>
          <t>NULL</t>
        </is>
      </c>
      <c r="J76" s="0" t="inlineStr">
        <is>
          <t>NULL</t>
        </is>
      </c>
      <c r="K76" s="0" t="inlineStr">
        <is>
          <t>YES! 	 c_time2列源备映射正确，源端为time None位	期望更改为time(n)	实际备端为time None位</t>
        </is>
      </c>
    </row>
    <row r="77">
      <c r="B77" s="0" t="inlineStr">
        <is>
          <t>NULL</t>
        </is>
      </c>
      <c r="C77" s="0" t="inlineStr">
        <is>
          <t>NULL</t>
        </is>
      </c>
      <c r="D77" s="0" t="inlineStr">
        <is>
          <t>NULL</t>
        </is>
      </c>
      <c r="E77" s="0" t="inlineStr">
        <is>
          <t>NULL</t>
        </is>
      </c>
      <c r="F77" s="0" t="inlineStr">
        <is>
          <t>NULL</t>
        </is>
      </c>
      <c r="G77" s="0" t="inlineStr">
        <is>
          <t>NULL</t>
        </is>
      </c>
      <c r="H77" s="0" t="inlineStr">
        <is>
          <t>NULL</t>
        </is>
      </c>
      <c r="I77" s="0" t="inlineStr">
        <is>
          <t>NULL</t>
        </is>
      </c>
      <c r="J77" s="0" t="inlineStr">
        <is>
          <t>NULL</t>
        </is>
      </c>
      <c r="K77" s="0" t="inlineStr">
        <is>
          <t>YES! 	 c_time3列源备映射正确，源端为time None位	期望更改为time(n)	实际备端为time None位</t>
        </is>
      </c>
    </row>
    <row r="78">
      <c r="B78" s="0" t="inlineStr">
        <is>
          <t>NULL</t>
        </is>
      </c>
      <c r="C78" s="0" t="inlineStr">
        <is>
          <t>NULL</t>
        </is>
      </c>
      <c r="D78" s="0" t="inlineStr">
        <is>
          <t>NULL</t>
        </is>
      </c>
      <c r="E78" s="0" t="inlineStr">
        <is>
          <t>NULL</t>
        </is>
      </c>
      <c r="F78" s="0" t="inlineStr">
        <is>
          <t>NULL</t>
        </is>
      </c>
      <c r="G78" s="0" t="inlineStr">
        <is>
          <t>NULL</t>
        </is>
      </c>
      <c r="H78" s="0" t="inlineStr">
        <is>
          <t>NULL</t>
        </is>
      </c>
      <c r="I78" s="0" t="inlineStr">
        <is>
          <t>NULL</t>
        </is>
      </c>
      <c r="J78" s="0" t="inlineStr">
        <is>
          <t>NULL</t>
        </is>
      </c>
      <c r="K78" s="0" t="inlineStr">
        <is>
          <t>YES! 	 c_time4列源备映射正确，源端为time None位	期望更改为time(n)	实际备端为time None位</t>
        </is>
      </c>
    </row>
    <row r="79">
      <c r="B79" s="0" t="inlineStr">
        <is>
          <t>NULL</t>
        </is>
      </c>
      <c r="C79" s="0" t="inlineStr">
        <is>
          <t>NULL</t>
        </is>
      </c>
      <c r="D79" s="0" t="inlineStr">
        <is>
          <t>NULL</t>
        </is>
      </c>
      <c r="E79" s="0" t="inlineStr">
        <is>
          <t>NULL</t>
        </is>
      </c>
      <c r="F79" s="0" t="inlineStr">
        <is>
          <t>NULL</t>
        </is>
      </c>
      <c r="G79" s="0" t="inlineStr">
        <is>
          <t>NULL</t>
        </is>
      </c>
      <c r="H79" s="0" t="inlineStr">
        <is>
          <t>NULL</t>
        </is>
      </c>
      <c r="I79" s="0" t="inlineStr">
        <is>
          <t>NULL</t>
        </is>
      </c>
      <c r="J79" s="0" t="inlineStr">
        <is>
          <t>NULL</t>
        </is>
      </c>
      <c r="K79" s="0" t="inlineStr">
        <is>
          <t>YES! 	 c_time5列源备映射正确，源端为time None位	期望更改为time(n)	实际备端为time None位</t>
        </is>
      </c>
    </row>
    <row r="80">
      <c r="B80" s="0" t="inlineStr">
        <is>
          <t>NULL</t>
        </is>
      </c>
      <c r="C80" s="0" t="inlineStr">
        <is>
          <t>NULL</t>
        </is>
      </c>
      <c r="D80" s="0" t="inlineStr">
        <is>
          <t>NULL</t>
        </is>
      </c>
      <c r="E80" s="0" t="inlineStr">
        <is>
          <t>NULL</t>
        </is>
      </c>
      <c r="F80" s="0" t="inlineStr">
        <is>
          <t>NULL</t>
        </is>
      </c>
      <c r="G80" s="0" t="inlineStr">
        <is>
          <t>NULL</t>
        </is>
      </c>
      <c r="H80" s="0" t="inlineStr">
        <is>
          <t>NULL</t>
        </is>
      </c>
      <c r="I80" s="0" t="inlineStr">
        <is>
          <t>NULL</t>
        </is>
      </c>
      <c r="J80" s="0" t="inlineStr">
        <is>
          <t>NULL</t>
        </is>
      </c>
      <c r="K80" s="0" t="inlineStr">
        <is>
          <t>YES! 	 c_time6列源备映射正确，源端为time None位	期望更改为time(n)	实际备端为time None位</t>
        </is>
      </c>
    </row>
    <row r="81">
      <c r="B81" s="0" t="inlineStr">
        <is>
          <t>NULL</t>
        </is>
      </c>
      <c r="C81" s="0" t="inlineStr">
        <is>
          <t>NULL</t>
        </is>
      </c>
      <c r="D81" s="0" t="inlineStr">
        <is>
          <t>NULL</t>
        </is>
      </c>
      <c r="E81" s="0" t="inlineStr">
        <is>
          <t>NULL</t>
        </is>
      </c>
      <c r="F81" s="0" t="inlineStr">
        <is>
          <t>NULL</t>
        </is>
      </c>
      <c r="G81" s="0" t="inlineStr">
        <is>
          <t>NULL</t>
        </is>
      </c>
      <c r="H81" s="0" t="inlineStr">
        <is>
          <t>NULL</t>
        </is>
      </c>
      <c r="I81" s="0" t="inlineStr">
        <is>
          <t>NULL</t>
        </is>
      </c>
      <c r="J81" s="0" t="inlineStr">
        <is>
          <t>NULL</t>
        </is>
      </c>
      <c r="K81" s="0" t="inlineStr">
        <is>
          <t>YES! 	 c_time列源备映射正确，源端为time None位	期望更改为time(n)	实际备端为time None位</t>
        </is>
      </c>
    </row>
    <row r="82">
      <c r="A82" s="0" t="inlineStr">
        <is>
          <t>info_varbinary_dml_batch1_pk_urp2</t>
        </is>
      </c>
      <c r="K82" s="0" t="inlineStr">
        <is>
          <t>[0;34m info_varbinary_dml_batch1_pk_urp2 [0m源备字段数相同，源端字段：4 	备端字段4</t>
        </is>
      </c>
      <c r="W82" s="0" t="inlineStr">
        <is>
          <t>YES 源备无差异</t>
        </is>
      </c>
      <c r="X82" s="0">
        <f>A82</f>
        <v/>
      </c>
    </row>
    <row r="83">
      <c r="B83" s="0" t="inlineStr">
        <is>
          <t>YES</t>
        </is>
      </c>
      <c r="C83" s="0" t="inlineStr">
        <is>
          <t>NULL</t>
        </is>
      </c>
      <c r="D83" s="0" t="inlineStr">
        <is>
          <t>NULL</t>
        </is>
      </c>
      <c r="E83" s="0" t="inlineStr">
        <is>
          <t>NULL</t>
        </is>
      </c>
      <c r="F83" s="0" t="inlineStr">
        <is>
          <t>NULL</t>
        </is>
      </c>
      <c r="G83" s="0" t="inlineStr">
        <is>
          <t>NULL</t>
        </is>
      </c>
      <c r="H83" s="0" t="inlineStr">
        <is>
          <t>NULL</t>
        </is>
      </c>
      <c r="I83" s="0" t="inlineStr">
        <is>
          <t>YES!PK__info_var__3213E83F13B34F30</t>
        </is>
      </c>
      <c r="J83" s="0" t="inlineStr">
        <is>
          <t>YES! 主键相关索引</t>
        </is>
      </c>
      <c r="K83" s="0" t="inlineStr">
        <is>
          <t>YES! 	 id列源备映射正确，源端为int None位	期望更改为int	实际备端为int None位</t>
        </is>
      </c>
    </row>
    <row r="84">
      <c r="B84" s="0" t="inlineStr">
        <is>
          <t>NULL</t>
        </is>
      </c>
      <c r="C84" s="0" t="inlineStr">
        <is>
          <t>NULL</t>
        </is>
      </c>
      <c r="D84" s="0" t="inlineStr">
        <is>
          <t>NULL</t>
        </is>
      </c>
      <c r="E84" s="0" t="inlineStr">
        <is>
          <t>NULL</t>
        </is>
      </c>
      <c r="F84" s="0" t="inlineStr">
        <is>
          <t>NULL</t>
        </is>
      </c>
      <c r="G84" s="0" t="inlineStr">
        <is>
          <t>NULL</t>
        </is>
      </c>
      <c r="H84" s="0" t="inlineStr">
        <is>
          <t>NULL</t>
        </is>
      </c>
      <c r="I84" s="0" t="inlineStr">
        <is>
          <t>NULL</t>
        </is>
      </c>
      <c r="J84" s="0" t="inlineStr">
        <is>
          <t>NULL</t>
        </is>
      </c>
      <c r="K84" s="0" t="inlineStr">
        <is>
          <t>YES! 	 c_varbinary列源备映射正确，源端为varbinary 1位	期望更改为varbinary(n)	实际备端为varbinary 1位</t>
        </is>
      </c>
    </row>
    <row r="85">
      <c r="B85" s="0" t="inlineStr">
        <is>
          <t>NULL</t>
        </is>
      </c>
      <c r="C85" s="0" t="inlineStr">
        <is>
          <t>NULL</t>
        </is>
      </c>
      <c r="D85" s="0" t="inlineStr">
        <is>
          <t>NULL</t>
        </is>
      </c>
      <c r="E85" s="0" t="inlineStr">
        <is>
          <t>NULL</t>
        </is>
      </c>
      <c r="F85" s="0" t="inlineStr">
        <is>
          <t>NULL</t>
        </is>
      </c>
      <c r="G85" s="0" t="inlineStr">
        <is>
          <t>NULL</t>
        </is>
      </c>
      <c r="H85" s="0" t="inlineStr">
        <is>
          <t>NULL</t>
        </is>
      </c>
      <c r="I85" s="0" t="inlineStr">
        <is>
          <t>NULL</t>
        </is>
      </c>
      <c r="J85" s="0" t="inlineStr">
        <is>
          <t>NULL</t>
        </is>
      </c>
      <c r="K85" s="0" t="inlineStr">
        <is>
          <t>YES! 	 c_varbinary_100列源备映射正确，源端为varbinary 100位	期望更改为varbinary(n)	实际备端为varbinary 100位</t>
        </is>
      </c>
    </row>
    <row r="86">
      <c r="B86" s="0" t="inlineStr">
        <is>
          <t>NULL</t>
        </is>
      </c>
      <c r="C86" s="0" t="inlineStr">
        <is>
          <t>NULL</t>
        </is>
      </c>
      <c r="D86" s="0" t="inlineStr">
        <is>
          <t>NULL</t>
        </is>
      </c>
      <c r="E86" s="0" t="inlineStr">
        <is>
          <t>NULL</t>
        </is>
      </c>
      <c r="F86" s="0" t="inlineStr">
        <is>
          <t>NULL</t>
        </is>
      </c>
      <c r="G86" s="0" t="inlineStr">
        <is>
          <t>NULL</t>
        </is>
      </c>
      <c r="H86" s="0" t="inlineStr">
        <is>
          <t>NULL</t>
        </is>
      </c>
      <c r="I86" s="0" t="inlineStr">
        <is>
          <t>NULL</t>
        </is>
      </c>
      <c r="J86" s="0" t="inlineStr">
        <is>
          <t>NULL</t>
        </is>
      </c>
      <c r="K86" s="0" t="inlineStr">
        <is>
          <t>YES! 	 c_varbinary_8000列源备映射正确，源端为varbinary 8000位	期望更改为varbinary(n)	实际备端为varbinary 8000位</t>
        </is>
      </c>
    </row>
    <row r="87">
      <c r="A87" s="0" t="inlineStr">
        <is>
          <t>info_time_dml_batch1_pk_urp2</t>
        </is>
      </c>
      <c r="K87" s="0" t="inlineStr">
        <is>
          <t>[0;34m info_time_dml_batch1_pk_urp2 [0m源备字段数相同，源端字段：9 	备端字段9</t>
        </is>
      </c>
      <c r="W87" s="0" t="inlineStr">
        <is>
          <t>YES 源备无差异</t>
        </is>
      </c>
      <c r="X87" s="0">
        <f>A87</f>
        <v/>
      </c>
    </row>
    <row r="88">
      <c r="B88" s="0" t="inlineStr">
        <is>
          <t>YES</t>
        </is>
      </c>
      <c r="C88" s="0" t="inlineStr">
        <is>
          <t>NULL</t>
        </is>
      </c>
      <c r="D88" s="0" t="inlineStr">
        <is>
          <t>NULL</t>
        </is>
      </c>
      <c r="E88" s="0" t="inlineStr">
        <is>
          <t>NULL</t>
        </is>
      </c>
      <c r="F88" s="0" t="inlineStr">
        <is>
          <t>NULL</t>
        </is>
      </c>
      <c r="G88" s="0" t="inlineStr">
        <is>
          <t>NULL</t>
        </is>
      </c>
      <c r="H88" s="0" t="inlineStr">
        <is>
          <t>NULL</t>
        </is>
      </c>
      <c r="I88" s="0" t="inlineStr">
        <is>
          <t>YES!PK__info_tim__3213E83F7BBC653D</t>
        </is>
      </c>
      <c r="J88" s="0" t="inlineStr">
        <is>
          <t>YES! 主键相关索引</t>
        </is>
      </c>
      <c r="K88" s="0" t="inlineStr">
        <is>
          <t>YES! 	 id列源备映射正确，源端为int None位	期望更改为int	实际备端为int None位</t>
        </is>
      </c>
    </row>
    <row r="89">
      <c r="B89" s="0" t="inlineStr">
        <is>
          <t>NULL</t>
        </is>
      </c>
      <c r="C89" s="0" t="inlineStr">
        <is>
          <t>NULL</t>
        </is>
      </c>
      <c r="D89" s="0" t="inlineStr">
        <is>
          <t>NULL</t>
        </is>
      </c>
      <c r="E89" s="0" t="inlineStr">
        <is>
          <t>NULL</t>
        </is>
      </c>
      <c r="F89" s="0" t="inlineStr">
        <is>
          <t>NULL</t>
        </is>
      </c>
      <c r="G89" s="0" t="inlineStr">
        <is>
          <t>NULL</t>
        </is>
      </c>
      <c r="H89" s="0" t="inlineStr">
        <is>
          <t>NULL</t>
        </is>
      </c>
      <c r="I89" s="0" t="inlineStr">
        <is>
          <t>NULL</t>
        </is>
      </c>
      <c r="J89" s="0" t="inlineStr">
        <is>
          <t>NULL</t>
        </is>
      </c>
      <c r="K89" s="0" t="inlineStr">
        <is>
          <t>no,len不存在</t>
        </is>
      </c>
    </row>
    <row r="90">
      <c r="B90" s="0" t="inlineStr">
        <is>
          <t>NULL</t>
        </is>
      </c>
      <c r="C90" s="0" t="inlineStr">
        <is>
          <t>NULL</t>
        </is>
      </c>
      <c r="D90" s="0" t="inlineStr">
        <is>
          <t>NULL</t>
        </is>
      </c>
      <c r="E90" s="0" t="inlineStr">
        <is>
          <t>NULL</t>
        </is>
      </c>
      <c r="F90" s="0" t="inlineStr">
        <is>
          <t>NULL</t>
        </is>
      </c>
      <c r="G90" s="0" t="inlineStr">
        <is>
          <t>NULL</t>
        </is>
      </c>
      <c r="H90" s="0" t="inlineStr">
        <is>
          <t>NULL</t>
        </is>
      </c>
      <c r="I90" s="0" t="inlineStr">
        <is>
          <t>NULL</t>
        </is>
      </c>
      <c r="J90" s="0" t="inlineStr">
        <is>
          <t>NULL</t>
        </is>
      </c>
      <c r="K90" s="0" t="inlineStr">
        <is>
          <t>YES! 	 c_time1列源备映射正确，源端为time None位	期望更改为time(n)	实际备端为time None位</t>
        </is>
      </c>
    </row>
    <row r="91">
      <c r="B91" s="0" t="inlineStr">
        <is>
          <t>NULL</t>
        </is>
      </c>
      <c r="C91" s="0" t="inlineStr">
        <is>
          <t>NULL</t>
        </is>
      </c>
      <c r="D91" s="0" t="inlineStr">
        <is>
          <t>NULL</t>
        </is>
      </c>
      <c r="E91" s="0" t="inlineStr">
        <is>
          <t>NULL</t>
        </is>
      </c>
      <c r="F91" s="0" t="inlineStr">
        <is>
          <t>NULL</t>
        </is>
      </c>
      <c r="G91" s="0" t="inlineStr">
        <is>
          <t>NULL</t>
        </is>
      </c>
      <c r="H91" s="0" t="inlineStr">
        <is>
          <t>NULL</t>
        </is>
      </c>
      <c r="I91" s="0" t="inlineStr">
        <is>
          <t>NULL</t>
        </is>
      </c>
      <c r="J91" s="0" t="inlineStr">
        <is>
          <t>NULL</t>
        </is>
      </c>
      <c r="K91" s="0" t="inlineStr">
        <is>
          <t>YES! 	 c_time2列源备映射正确，源端为time None位	期望更改为time(n)	实际备端为time None位</t>
        </is>
      </c>
    </row>
    <row r="92">
      <c r="B92" s="0" t="inlineStr">
        <is>
          <t>NULL</t>
        </is>
      </c>
      <c r="C92" s="0" t="inlineStr">
        <is>
          <t>NULL</t>
        </is>
      </c>
      <c r="D92" s="0" t="inlineStr">
        <is>
          <t>NULL</t>
        </is>
      </c>
      <c r="E92" s="0" t="inlineStr">
        <is>
          <t>NULL</t>
        </is>
      </c>
      <c r="F92" s="0" t="inlineStr">
        <is>
          <t>NULL</t>
        </is>
      </c>
      <c r="G92" s="0" t="inlineStr">
        <is>
          <t>NULL</t>
        </is>
      </c>
      <c r="H92" s="0" t="inlineStr">
        <is>
          <t>NULL</t>
        </is>
      </c>
      <c r="I92" s="0" t="inlineStr">
        <is>
          <t>NULL</t>
        </is>
      </c>
      <c r="J92" s="0" t="inlineStr">
        <is>
          <t>NULL</t>
        </is>
      </c>
      <c r="K92" s="0" t="inlineStr">
        <is>
          <t>YES! 	 c_time3列源备映射正确，源端为time None位	期望更改为time(n)	实际备端为time None位</t>
        </is>
      </c>
    </row>
    <row r="93">
      <c r="B93" s="0" t="inlineStr">
        <is>
          <t>NULL</t>
        </is>
      </c>
      <c r="C93" s="0" t="inlineStr">
        <is>
          <t>NULL</t>
        </is>
      </c>
      <c r="D93" s="0" t="inlineStr">
        <is>
          <t>NULL</t>
        </is>
      </c>
      <c r="E93" s="0" t="inlineStr">
        <is>
          <t>NULL</t>
        </is>
      </c>
      <c r="F93" s="0" t="inlineStr">
        <is>
          <t>NULL</t>
        </is>
      </c>
      <c r="G93" s="0" t="inlineStr">
        <is>
          <t>NULL</t>
        </is>
      </c>
      <c r="H93" s="0" t="inlineStr">
        <is>
          <t>NULL</t>
        </is>
      </c>
      <c r="I93" s="0" t="inlineStr">
        <is>
          <t>NULL</t>
        </is>
      </c>
      <c r="J93" s="0" t="inlineStr">
        <is>
          <t>NULL</t>
        </is>
      </c>
      <c r="K93" s="0" t="inlineStr">
        <is>
          <t>YES! 	 c_time4列源备映射正确，源端为time None位	期望更改为time(n)	实际备端为time None位</t>
        </is>
      </c>
    </row>
    <row r="94">
      <c r="B94" s="0" t="inlineStr">
        <is>
          <t>NULL</t>
        </is>
      </c>
      <c r="C94" s="0" t="inlineStr">
        <is>
          <t>NULL</t>
        </is>
      </c>
      <c r="D94" s="0" t="inlineStr">
        <is>
          <t>NULL</t>
        </is>
      </c>
      <c r="E94" s="0" t="inlineStr">
        <is>
          <t>NULL</t>
        </is>
      </c>
      <c r="F94" s="0" t="inlineStr">
        <is>
          <t>NULL</t>
        </is>
      </c>
      <c r="G94" s="0" t="inlineStr">
        <is>
          <t>NULL</t>
        </is>
      </c>
      <c r="H94" s="0" t="inlineStr">
        <is>
          <t>NULL</t>
        </is>
      </c>
      <c r="I94" s="0" t="inlineStr">
        <is>
          <t>NULL</t>
        </is>
      </c>
      <c r="J94" s="0" t="inlineStr">
        <is>
          <t>NULL</t>
        </is>
      </c>
      <c r="K94" s="0" t="inlineStr">
        <is>
          <t>YES! 	 c_time5列源备映射正确，源端为time None位	期望更改为time(n)	实际备端为time None位</t>
        </is>
      </c>
    </row>
    <row r="95">
      <c r="B95" s="0" t="inlineStr">
        <is>
          <t>NULL</t>
        </is>
      </c>
      <c r="C95" s="0" t="inlineStr">
        <is>
          <t>NULL</t>
        </is>
      </c>
      <c r="D95" s="0" t="inlineStr">
        <is>
          <t>NULL</t>
        </is>
      </c>
      <c r="E95" s="0" t="inlineStr">
        <is>
          <t>NULL</t>
        </is>
      </c>
      <c r="F95" s="0" t="inlineStr">
        <is>
          <t>NULL</t>
        </is>
      </c>
      <c r="G95" s="0" t="inlineStr">
        <is>
          <t>NULL</t>
        </is>
      </c>
      <c r="H95" s="0" t="inlineStr">
        <is>
          <t>NULL</t>
        </is>
      </c>
      <c r="I95" s="0" t="inlineStr">
        <is>
          <t>NULL</t>
        </is>
      </c>
      <c r="J95" s="0" t="inlineStr">
        <is>
          <t>NULL</t>
        </is>
      </c>
      <c r="K95" s="0" t="inlineStr">
        <is>
          <t>YES! 	 c_time6列源备映射正确，源端为time None位	期望更改为time(n)	实际备端为time None位</t>
        </is>
      </c>
    </row>
    <row r="96">
      <c r="B96" s="0" t="inlineStr">
        <is>
          <t>NULL</t>
        </is>
      </c>
      <c r="C96" s="0" t="inlineStr">
        <is>
          <t>NULL</t>
        </is>
      </c>
      <c r="D96" s="0" t="inlineStr">
        <is>
          <t>NULL</t>
        </is>
      </c>
      <c r="E96" s="0" t="inlineStr">
        <is>
          <t>NULL</t>
        </is>
      </c>
      <c r="F96" s="0" t="inlineStr">
        <is>
          <t>NULL</t>
        </is>
      </c>
      <c r="G96" s="0" t="inlineStr">
        <is>
          <t>NULL</t>
        </is>
      </c>
      <c r="H96" s="0" t="inlineStr">
        <is>
          <t>NULL</t>
        </is>
      </c>
      <c r="I96" s="0" t="inlineStr">
        <is>
          <t>NULL</t>
        </is>
      </c>
      <c r="J96" s="0" t="inlineStr">
        <is>
          <t>NULL</t>
        </is>
      </c>
      <c r="K96" s="0" t="inlineStr">
        <is>
          <t>YES! 	 c_time列源备映射正确，源端为time None位	期望更改为time(n)	实际备端为time None位</t>
        </is>
      </c>
    </row>
    <row r="97">
      <c r="A97" s="0" t="inlineStr">
        <is>
          <t>info_hierarchyid_dml_single_nopk_irp</t>
        </is>
      </c>
      <c r="K97" s="0" t="inlineStr">
        <is>
          <t>[0;34m info_hierarchyid_dml_single_nopk_irp [0m源备字段数相同，源端字段：2 	备端字段2</t>
        </is>
      </c>
      <c r="W97" s="0" t="inlineStr">
        <is>
          <t>YES 源备无差异</t>
        </is>
      </c>
      <c r="X97" s="0">
        <f>A97</f>
        <v/>
      </c>
    </row>
    <row r="98">
      <c r="B98" s="0" t="inlineStr">
        <is>
          <t>NULL</t>
        </is>
      </c>
      <c r="C98" s="0" t="inlineStr">
        <is>
          <t>NULL</t>
        </is>
      </c>
      <c r="D98" s="0" t="inlineStr">
        <is>
          <t>NULL</t>
        </is>
      </c>
      <c r="E98" s="0" t="inlineStr">
        <is>
          <t>NULL</t>
        </is>
      </c>
      <c r="F98" s="0" t="inlineStr">
        <is>
          <t>NULL</t>
        </is>
      </c>
      <c r="G98" s="0" t="inlineStr">
        <is>
          <t>NULL</t>
        </is>
      </c>
      <c r="H98" s="0" t="inlineStr">
        <is>
          <t>NULL</t>
        </is>
      </c>
      <c r="I98" s="0" t="inlineStr">
        <is>
          <t>NULL</t>
        </is>
      </c>
      <c r="J98" s="0" t="inlineStr">
        <is>
          <t>NULL</t>
        </is>
      </c>
      <c r="K98" s="0" t="inlineStr">
        <is>
          <t>YES! 	 id列源备映射正确，源端为int None位	期望更改为int	实际备端为int None位</t>
        </is>
      </c>
    </row>
    <row r="99">
      <c r="B99" s="0" t="inlineStr">
        <is>
          <t>NULL</t>
        </is>
      </c>
      <c r="C99" s="0" t="inlineStr">
        <is>
          <t>NULL</t>
        </is>
      </c>
      <c r="D99" s="0" t="inlineStr">
        <is>
          <t>NULL</t>
        </is>
      </c>
      <c r="E99" s="0" t="inlineStr">
        <is>
          <t>NULL</t>
        </is>
      </c>
      <c r="F99" s="0" t="inlineStr">
        <is>
          <t>NULL</t>
        </is>
      </c>
      <c r="G99" s="0" t="inlineStr">
        <is>
          <t>NULL</t>
        </is>
      </c>
      <c r="H99" s="0" t="inlineStr">
        <is>
          <t>NULL</t>
        </is>
      </c>
      <c r="I99" s="0" t="inlineStr">
        <is>
          <t>NULL</t>
        </is>
      </c>
      <c r="J99" s="0" t="inlineStr">
        <is>
          <t>NULL</t>
        </is>
      </c>
      <c r="K99" s="0" t="inlineStr">
        <is>
          <t>YES! 	 c_hierarchyid列源备映射正确，源端为hierarchyid 892位	期望更改为hierarchyid	实际备端为hierarchyid 892位</t>
        </is>
      </c>
    </row>
    <row r="100">
      <c r="A100" s="0" t="inlineStr">
        <is>
          <t>info_char_dml_batch1_pk_irp1</t>
        </is>
      </c>
      <c r="K100" s="0" t="inlineStr">
        <is>
          <t>[0;34m info_char_dml_batch1_pk_irp1 [0m源备字段数相同，源端字段：4 	备端字段4</t>
        </is>
      </c>
      <c r="W100" s="0" t="inlineStr">
        <is>
          <t>YES 源备无差异</t>
        </is>
      </c>
      <c r="X100" s="0">
        <f>A100</f>
        <v/>
      </c>
    </row>
    <row r="101">
      <c r="B101" s="0" t="inlineStr">
        <is>
          <t>YES</t>
        </is>
      </c>
      <c r="C101" s="0" t="inlineStr">
        <is>
          <t>NULL</t>
        </is>
      </c>
      <c r="D101" s="0" t="inlineStr">
        <is>
          <t>NULL</t>
        </is>
      </c>
      <c r="E101" s="0" t="inlineStr">
        <is>
          <t>NULL</t>
        </is>
      </c>
      <c r="F101" s="0" t="inlineStr">
        <is>
          <t>NULL</t>
        </is>
      </c>
      <c r="G101" s="0" t="inlineStr">
        <is>
          <t>NULL</t>
        </is>
      </c>
      <c r="H101" s="0" t="inlineStr">
        <is>
          <t>NULL</t>
        </is>
      </c>
      <c r="I101" s="0" t="inlineStr">
        <is>
          <t>YES!PK__info_cha__3213E83F0B0734D3</t>
        </is>
      </c>
      <c r="J101" s="0" t="inlineStr">
        <is>
          <t>YES! 主键相关索引</t>
        </is>
      </c>
      <c r="K101" s="0" t="inlineStr">
        <is>
          <t>YES! 	 id列源备映射正确，源端为int None位	期望更改为int	实际备端为int None位</t>
        </is>
      </c>
    </row>
    <row r="102">
      <c r="B102" s="0" t="inlineStr">
        <is>
          <t>NULL</t>
        </is>
      </c>
      <c r="C102" s="0" t="inlineStr">
        <is>
          <t>NULL</t>
        </is>
      </c>
      <c r="D102" s="0" t="inlineStr">
        <is>
          <t>NULL</t>
        </is>
      </c>
      <c r="E102" s="0" t="inlineStr">
        <is>
          <t>NULL</t>
        </is>
      </c>
      <c r="F102" s="0" t="inlineStr">
        <is>
          <t>NULL</t>
        </is>
      </c>
      <c r="G102" s="0" t="inlineStr">
        <is>
          <t>NULL</t>
        </is>
      </c>
      <c r="H102" s="0" t="inlineStr">
        <is>
          <t>NULL</t>
        </is>
      </c>
      <c r="I102" s="0" t="inlineStr">
        <is>
          <t>NULL</t>
        </is>
      </c>
      <c r="J102" s="0" t="inlineStr">
        <is>
          <t>NULL</t>
        </is>
      </c>
      <c r="K102" s="0" t="inlineStr">
        <is>
          <t>YES! 	 c_char列源备映射正确，源端为char 1位	期望更改为char(n)	实际备端为char 1位</t>
        </is>
      </c>
    </row>
    <row r="103">
      <c r="B103" s="0" t="inlineStr">
        <is>
          <t>NULL</t>
        </is>
      </c>
      <c r="C103" s="0" t="inlineStr">
        <is>
          <t>NULL</t>
        </is>
      </c>
      <c r="D103" s="0" t="inlineStr">
        <is>
          <t>NULL</t>
        </is>
      </c>
      <c r="E103" s="0" t="inlineStr">
        <is>
          <t>NULL</t>
        </is>
      </c>
      <c r="F103" s="0" t="inlineStr">
        <is>
          <t>NULL</t>
        </is>
      </c>
      <c r="G103" s="0" t="inlineStr">
        <is>
          <t>NULL</t>
        </is>
      </c>
      <c r="H103" s="0" t="inlineStr">
        <is>
          <t>NULL</t>
        </is>
      </c>
      <c r="I103" s="0" t="inlineStr">
        <is>
          <t>NULL</t>
        </is>
      </c>
      <c r="J103" s="0" t="inlineStr">
        <is>
          <t>NULL</t>
        </is>
      </c>
      <c r="K103" s="0" t="inlineStr">
        <is>
          <t>YES! 	 c_char20列源备映射正确，源端为char 20位	期望更改为char(n)	实际备端为char 20位</t>
        </is>
      </c>
    </row>
    <row r="104">
      <c r="B104" s="0" t="inlineStr">
        <is>
          <t>NULL</t>
        </is>
      </c>
      <c r="C104" s="0" t="inlineStr">
        <is>
          <t>NULL</t>
        </is>
      </c>
      <c r="D104" s="0" t="inlineStr">
        <is>
          <t>NULL</t>
        </is>
      </c>
      <c r="E104" s="0" t="inlineStr">
        <is>
          <t>NULL</t>
        </is>
      </c>
      <c r="F104" s="0" t="inlineStr">
        <is>
          <t>NULL</t>
        </is>
      </c>
      <c r="G104" s="0" t="inlineStr">
        <is>
          <t>NULL</t>
        </is>
      </c>
      <c r="H104" s="0" t="inlineStr">
        <is>
          <t>NULL</t>
        </is>
      </c>
      <c r="I104" s="0" t="inlineStr">
        <is>
          <t>NULL</t>
        </is>
      </c>
      <c r="J104" s="0" t="inlineStr">
        <is>
          <t>NULL</t>
        </is>
      </c>
      <c r="K104" s="0" t="inlineStr">
        <is>
          <t>YES! 	 c_char8000列源备映射正确，源端为char 8000位	期望更改为char(n)	实际备端为char 8000位</t>
        </is>
      </c>
    </row>
    <row r="105">
      <c r="A105" s="0" t="inlineStr">
        <is>
          <t>info_varchar_dml_single_nopk_irp</t>
        </is>
      </c>
      <c r="K105" s="0" t="inlineStr">
        <is>
          <t>[0;34m info_varchar_dml_single_nopk_irp [0m源备字段数相同，源端字段：4 	备端字段4</t>
        </is>
      </c>
      <c r="W105" s="0" t="inlineStr">
        <is>
          <t>YES 源备无差异</t>
        </is>
      </c>
      <c r="X105" s="0">
        <f>A105</f>
        <v/>
      </c>
    </row>
    <row r="106">
      <c r="B106" s="0" t="inlineStr">
        <is>
          <t>NULL</t>
        </is>
      </c>
      <c r="C106" s="0" t="inlineStr">
        <is>
          <t>NULL</t>
        </is>
      </c>
      <c r="D106" s="0" t="inlineStr">
        <is>
          <t>NULL</t>
        </is>
      </c>
      <c r="E106" s="0" t="inlineStr">
        <is>
          <t>NULL</t>
        </is>
      </c>
      <c r="F106" s="0" t="inlineStr">
        <is>
          <t>NULL</t>
        </is>
      </c>
      <c r="G106" s="0" t="inlineStr">
        <is>
          <t>NULL</t>
        </is>
      </c>
      <c r="H106" s="0" t="inlineStr">
        <is>
          <t>NULL</t>
        </is>
      </c>
      <c r="I106" s="0" t="inlineStr">
        <is>
          <t>NULL</t>
        </is>
      </c>
      <c r="J106" s="0" t="inlineStr">
        <is>
          <t>NULL</t>
        </is>
      </c>
      <c r="K106" s="0" t="inlineStr">
        <is>
          <t>YES! 	 id列源备映射正确，源端为int None位	期望更改为int	实际备端为int None位</t>
        </is>
      </c>
    </row>
    <row r="107">
      <c r="B107" s="0" t="inlineStr">
        <is>
          <t>NULL</t>
        </is>
      </c>
      <c r="C107" s="0" t="inlineStr">
        <is>
          <t>NULL</t>
        </is>
      </c>
      <c r="D107" s="0" t="inlineStr">
        <is>
          <t>NULL</t>
        </is>
      </c>
      <c r="E107" s="0" t="inlineStr">
        <is>
          <t>NULL</t>
        </is>
      </c>
      <c r="F107" s="0" t="inlineStr">
        <is>
          <t>NULL</t>
        </is>
      </c>
      <c r="G107" s="0" t="inlineStr">
        <is>
          <t>NULL</t>
        </is>
      </c>
      <c r="H107" s="0" t="inlineStr">
        <is>
          <t>NULL</t>
        </is>
      </c>
      <c r="I107" s="0" t="inlineStr">
        <is>
          <t>NULL</t>
        </is>
      </c>
      <c r="J107" s="0" t="inlineStr">
        <is>
          <t>NULL</t>
        </is>
      </c>
      <c r="K107" s="0" t="inlineStr">
        <is>
          <t>YES! 	 c_varchar列源备映射正确，源端为varchar 1位	期望更改为varchar(n)	实际备端为varchar 1位</t>
        </is>
      </c>
    </row>
    <row r="108">
      <c r="B108" s="0" t="inlineStr">
        <is>
          <t>NULL</t>
        </is>
      </c>
      <c r="C108" s="0" t="inlineStr">
        <is>
          <t>NULL</t>
        </is>
      </c>
      <c r="D108" s="0" t="inlineStr">
        <is>
          <t>NULL</t>
        </is>
      </c>
      <c r="E108" s="0" t="inlineStr">
        <is>
          <t>NULL</t>
        </is>
      </c>
      <c r="F108" s="0" t="inlineStr">
        <is>
          <t>NULL</t>
        </is>
      </c>
      <c r="G108" s="0" t="inlineStr">
        <is>
          <t>NULL</t>
        </is>
      </c>
      <c r="H108" s="0" t="inlineStr">
        <is>
          <t>NULL</t>
        </is>
      </c>
      <c r="I108" s="0" t="inlineStr">
        <is>
          <t>NULL</t>
        </is>
      </c>
      <c r="J108" s="0" t="inlineStr">
        <is>
          <t>NULL</t>
        </is>
      </c>
      <c r="K108" s="0" t="inlineStr">
        <is>
          <t>YES! 	 c_varchar50列源备映射正确，源端为varchar 50位	期望更改为varchar(n)	实际备端为varchar 50位</t>
        </is>
      </c>
    </row>
    <row r="109">
      <c r="B109" s="0" t="inlineStr">
        <is>
          <t>NULL</t>
        </is>
      </c>
      <c r="C109" s="0" t="inlineStr">
        <is>
          <t>NULL</t>
        </is>
      </c>
      <c r="D109" s="0" t="inlineStr">
        <is>
          <t>NULL</t>
        </is>
      </c>
      <c r="E109" s="0" t="inlineStr">
        <is>
          <t>NULL</t>
        </is>
      </c>
      <c r="F109" s="0" t="inlineStr">
        <is>
          <t>NULL</t>
        </is>
      </c>
      <c r="G109" s="0" t="inlineStr">
        <is>
          <t>NULL</t>
        </is>
      </c>
      <c r="H109" s="0" t="inlineStr">
        <is>
          <t>NULL</t>
        </is>
      </c>
      <c r="I109" s="0" t="inlineStr">
        <is>
          <t>NULL</t>
        </is>
      </c>
      <c r="J109" s="0" t="inlineStr">
        <is>
          <t>NULL</t>
        </is>
      </c>
      <c r="K109" s="0" t="inlineStr">
        <is>
          <t>YES! 	 c_varchar8000列源备映射正确，源端为varchar 8000位	期望更改为varchar(n)	实际备端为varchar 8000位</t>
        </is>
      </c>
    </row>
    <row r="110">
      <c r="A110" s="0" t="inlineStr">
        <is>
          <t>info_hierarchyid_dml_single_nopk_urp</t>
        </is>
      </c>
      <c r="K110" s="0" t="inlineStr">
        <is>
          <t>[0;34m info_hierarchyid_dml_single_nopk_urp [0m源备字段数相同，源端字段：2 	备端字段2</t>
        </is>
      </c>
      <c r="W110" s="0" t="inlineStr">
        <is>
          <t>YES 源备无差异</t>
        </is>
      </c>
      <c r="X110" s="0">
        <f>A110</f>
        <v/>
      </c>
    </row>
    <row r="111">
      <c r="B111" s="0" t="inlineStr">
        <is>
          <t>NULL</t>
        </is>
      </c>
      <c r="C111" s="0" t="inlineStr">
        <is>
          <t>NULL</t>
        </is>
      </c>
      <c r="D111" s="0" t="inlineStr">
        <is>
          <t>NULL</t>
        </is>
      </c>
      <c r="E111" s="0" t="inlineStr">
        <is>
          <t>NULL</t>
        </is>
      </c>
      <c r="F111" s="0" t="inlineStr">
        <is>
          <t>NULL</t>
        </is>
      </c>
      <c r="G111" s="0" t="inlineStr">
        <is>
          <t>NULL</t>
        </is>
      </c>
      <c r="H111" s="0" t="inlineStr">
        <is>
          <t>NULL</t>
        </is>
      </c>
      <c r="I111" s="0" t="inlineStr">
        <is>
          <t>NULL</t>
        </is>
      </c>
      <c r="J111" s="0" t="inlineStr">
        <is>
          <t>NULL</t>
        </is>
      </c>
      <c r="K111" s="0" t="inlineStr">
        <is>
          <t>YES! 	 id列源备映射正确，源端为int None位	期望更改为int	实际备端为int None位</t>
        </is>
      </c>
    </row>
    <row r="112">
      <c r="B112" s="0" t="inlineStr">
        <is>
          <t>NULL</t>
        </is>
      </c>
      <c r="C112" s="0" t="inlineStr">
        <is>
          <t>NULL</t>
        </is>
      </c>
      <c r="D112" s="0" t="inlineStr">
        <is>
          <t>NULL</t>
        </is>
      </c>
      <c r="E112" s="0" t="inlineStr">
        <is>
          <t>NULL</t>
        </is>
      </c>
      <c r="F112" s="0" t="inlineStr">
        <is>
          <t>NULL</t>
        </is>
      </c>
      <c r="G112" s="0" t="inlineStr">
        <is>
          <t>NULL</t>
        </is>
      </c>
      <c r="H112" s="0" t="inlineStr">
        <is>
          <t>NULL</t>
        </is>
      </c>
      <c r="I112" s="0" t="inlineStr">
        <is>
          <t>NULL</t>
        </is>
      </c>
      <c r="J112" s="0" t="inlineStr">
        <is>
          <t>NULL</t>
        </is>
      </c>
      <c r="K112" s="0" t="inlineStr">
        <is>
          <t>YES! 	 c_hierarchyid列源备映射正确，源端为hierarchyid 892位	期望更改为hierarchyid	实际备端为hierarchyid 892位</t>
        </is>
      </c>
    </row>
    <row r="113">
      <c r="A113" s="0" t="inlineStr">
        <is>
          <t>info_time_dml_batch1_pk_drp1</t>
        </is>
      </c>
      <c r="K113" s="0" t="inlineStr">
        <is>
          <t>[0;34m info_time_dml_batch1_pk_drp1 [0m源备字段数相同，源端字段：9 	备端字段9</t>
        </is>
      </c>
      <c r="W113" s="0" t="inlineStr">
        <is>
          <t>YES 源备无差异</t>
        </is>
      </c>
      <c r="X113" s="0">
        <f>A113</f>
        <v/>
      </c>
    </row>
    <row r="114">
      <c r="B114" s="0" t="inlineStr">
        <is>
          <t>YES</t>
        </is>
      </c>
      <c r="C114" s="0" t="inlineStr">
        <is>
          <t>NULL</t>
        </is>
      </c>
      <c r="D114" s="0" t="inlineStr">
        <is>
          <t>NULL</t>
        </is>
      </c>
      <c r="E114" s="0" t="inlineStr">
        <is>
          <t>NULL</t>
        </is>
      </c>
      <c r="F114" s="0" t="inlineStr">
        <is>
          <t>NULL</t>
        </is>
      </c>
      <c r="G114" s="0" t="inlineStr">
        <is>
          <t>NULL</t>
        </is>
      </c>
      <c r="H114" s="0" t="inlineStr">
        <is>
          <t>NULL</t>
        </is>
      </c>
      <c r="I114" s="0" t="inlineStr">
        <is>
          <t>YES!PK__info_tim__3213E83F046A3DFB</t>
        </is>
      </c>
      <c r="J114" s="0" t="inlineStr">
        <is>
          <t>YES! 主键相关索引</t>
        </is>
      </c>
      <c r="K114" s="0" t="inlineStr">
        <is>
          <t>YES! 	 id列源备映射正确，源端为int None位	期望更改为int	实际备端为int None位</t>
        </is>
      </c>
    </row>
    <row r="115">
      <c r="B115" s="0" t="inlineStr">
        <is>
          <t>NULL</t>
        </is>
      </c>
      <c r="C115" s="0" t="inlineStr">
        <is>
          <t>NULL</t>
        </is>
      </c>
      <c r="D115" s="0" t="inlineStr">
        <is>
          <t>NULL</t>
        </is>
      </c>
      <c r="E115" s="0" t="inlineStr">
        <is>
          <t>NULL</t>
        </is>
      </c>
      <c r="F115" s="0" t="inlineStr">
        <is>
          <t>NULL</t>
        </is>
      </c>
      <c r="G115" s="0" t="inlineStr">
        <is>
          <t>NULL</t>
        </is>
      </c>
      <c r="H115" s="0" t="inlineStr">
        <is>
          <t>NULL</t>
        </is>
      </c>
      <c r="I115" s="0" t="inlineStr">
        <is>
          <t>NULL</t>
        </is>
      </c>
      <c r="J115" s="0" t="inlineStr">
        <is>
          <t>NULL</t>
        </is>
      </c>
      <c r="K115" s="0" t="inlineStr">
        <is>
          <t>no,len不存在</t>
        </is>
      </c>
    </row>
    <row r="116">
      <c r="B116" s="0" t="inlineStr">
        <is>
          <t>NULL</t>
        </is>
      </c>
      <c r="C116" s="0" t="inlineStr">
        <is>
          <t>NULL</t>
        </is>
      </c>
      <c r="D116" s="0" t="inlineStr">
        <is>
          <t>NULL</t>
        </is>
      </c>
      <c r="E116" s="0" t="inlineStr">
        <is>
          <t>NULL</t>
        </is>
      </c>
      <c r="F116" s="0" t="inlineStr">
        <is>
          <t>NULL</t>
        </is>
      </c>
      <c r="G116" s="0" t="inlineStr">
        <is>
          <t>NULL</t>
        </is>
      </c>
      <c r="H116" s="0" t="inlineStr">
        <is>
          <t>NULL</t>
        </is>
      </c>
      <c r="I116" s="0" t="inlineStr">
        <is>
          <t>NULL</t>
        </is>
      </c>
      <c r="J116" s="0" t="inlineStr">
        <is>
          <t>NULL</t>
        </is>
      </c>
      <c r="K116" s="0" t="inlineStr">
        <is>
          <t>YES! 	 c_time1列源备映射正确，源端为time None位	期望更改为time(n)	实际备端为time None位</t>
        </is>
      </c>
    </row>
    <row r="117">
      <c r="B117" s="0" t="inlineStr">
        <is>
          <t>NULL</t>
        </is>
      </c>
      <c r="C117" s="0" t="inlineStr">
        <is>
          <t>NULL</t>
        </is>
      </c>
      <c r="D117" s="0" t="inlineStr">
        <is>
          <t>NULL</t>
        </is>
      </c>
      <c r="E117" s="0" t="inlineStr">
        <is>
          <t>NULL</t>
        </is>
      </c>
      <c r="F117" s="0" t="inlineStr">
        <is>
          <t>NULL</t>
        </is>
      </c>
      <c r="G117" s="0" t="inlineStr">
        <is>
          <t>NULL</t>
        </is>
      </c>
      <c r="H117" s="0" t="inlineStr">
        <is>
          <t>NULL</t>
        </is>
      </c>
      <c r="I117" s="0" t="inlineStr">
        <is>
          <t>NULL</t>
        </is>
      </c>
      <c r="J117" s="0" t="inlineStr">
        <is>
          <t>NULL</t>
        </is>
      </c>
      <c r="K117" s="0" t="inlineStr">
        <is>
          <t>YES! 	 c_time2列源备映射正确，源端为time None位	期望更改为time(n)	实际备端为time None位</t>
        </is>
      </c>
    </row>
    <row r="118">
      <c r="B118" s="0" t="inlineStr">
        <is>
          <t>NULL</t>
        </is>
      </c>
      <c r="C118" s="0" t="inlineStr">
        <is>
          <t>NULL</t>
        </is>
      </c>
      <c r="D118" s="0" t="inlineStr">
        <is>
          <t>NULL</t>
        </is>
      </c>
      <c r="E118" s="0" t="inlineStr">
        <is>
          <t>NULL</t>
        </is>
      </c>
      <c r="F118" s="0" t="inlineStr">
        <is>
          <t>NULL</t>
        </is>
      </c>
      <c r="G118" s="0" t="inlineStr">
        <is>
          <t>NULL</t>
        </is>
      </c>
      <c r="H118" s="0" t="inlineStr">
        <is>
          <t>NULL</t>
        </is>
      </c>
      <c r="I118" s="0" t="inlineStr">
        <is>
          <t>NULL</t>
        </is>
      </c>
      <c r="J118" s="0" t="inlineStr">
        <is>
          <t>NULL</t>
        </is>
      </c>
      <c r="K118" s="0" t="inlineStr">
        <is>
          <t>YES! 	 c_time3列源备映射正确，源端为time None位	期望更改为time(n)	实际备端为time None位</t>
        </is>
      </c>
    </row>
    <row r="119">
      <c r="B119" s="0" t="inlineStr">
        <is>
          <t>NULL</t>
        </is>
      </c>
      <c r="C119" s="0" t="inlineStr">
        <is>
          <t>NULL</t>
        </is>
      </c>
      <c r="D119" s="0" t="inlineStr">
        <is>
          <t>NULL</t>
        </is>
      </c>
      <c r="E119" s="0" t="inlineStr">
        <is>
          <t>NULL</t>
        </is>
      </c>
      <c r="F119" s="0" t="inlineStr">
        <is>
          <t>NULL</t>
        </is>
      </c>
      <c r="G119" s="0" t="inlineStr">
        <is>
          <t>NULL</t>
        </is>
      </c>
      <c r="H119" s="0" t="inlineStr">
        <is>
          <t>NULL</t>
        </is>
      </c>
      <c r="I119" s="0" t="inlineStr">
        <is>
          <t>NULL</t>
        </is>
      </c>
      <c r="J119" s="0" t="inlineStr">
        <is>
          <t>NULL</t>
        </is>
      </c>
      <c r="K119" s="0" t="inlineStr">
        <is>
          <t>YES! 	 c_time4列源备映射正确，源端为time None位	期望更改为time(n)	实际备端为time None位</t>
        </is>
      </c>
    </row>
    <row r="120">
      <c r="B120" s="0" t="inlineStr">
        <is>
          <t>NULL</t>
        </is>
      </c>
      <c r="C120" s="0" t="inlineStr">
        <is>
          <t>NULL</t>
        </is>
      </c>
      <c r="D120" s="0" t="inlineStr">
        <is>
          <t>NULL</t>
        </is>
      </c>
      <c r="E120" s="0" t="inlineStr">
        <is>
          <t>NULL</t>
        </is>
      </c>
      <c r="F120" s="0" t="inlineStr">
        <is>
          <t>NULL</t>
        </is>
      </c>
      <c r="G120" s="0" t="inlineStr">
        <is>
          <t>NULL</t>
        </is>
      </c>
      <c r="H120" s="0" t="inlineStr">
        <is>
          <t>NULL</t>
        </is>
      </c>
      <c r="I120" s="0" t="inlineStr">
        <is>
          <t>NULL</t>
        </is>
      </c>
      <c r="J120" s="0" t="inlineStr">
        <is>
          <t>NULL</t>
        </is>
      </c>
      <c r="K120" s="0" t="inlineStr">
        <is>
          <t>YES! 	 c_time5列源备映射正确，源端为time None位	期望更改为time(n)	实际备端为time None位</t>
        </is>
      </c>
    </row>
    <row r="121">
      <c r="B121" s="0" t="inlineStr">
        <is>
          <t>NULL</t>
        </is>
      </c>
      <c r="C121" s="0" t="inlineStr">
        <is>
          <t>NULL</t>
        </is>
      </c>
      <c r="D121" s="0" t="inlineStr">
        <is>
          <t>NULL</t>
        </is>
      </c>
      <c r="E121" s="0" t="inlineStr">
        <is>
          <t>NULL</t>
        </is>
      </c>
      <c r="F121" s="0" t="inlineStr">
        <is>
          <t>NULL</t>
        </is>
      </c>
      <c r="G121" s="0" t="inlineStr">
        <is>
          <t>NULL</t>
        </is>
      </c>
      <c r="H121" s="0" t="inlineStr">
        <is>
          <t>NULL</t>
        </is>
      </c>
      <c r="I121" s="0" t="inlineStr">
        <is>
          <t>NULL</t>
        </is>
      </c>
      <c r="J121" s="0" t="inlineStr">
        <is>
          <t>NULL</t>
        </is>
      </c>
      <c r="K121" s="0" t="inlineStr">
        <is>
          <t>YES! 	 c_time6列源备映射正确，源端为time None位	期望更改为time(n)	实际备端为time None位</t>
        </is>
      </c>
    </row>
    <row r="122">
      <c r="B122" s="0" t="inlineStr">
        <is>
          <t>NULL</t>
        </is>
      </c>
      <c r="C122" s="0" t="inlineStr">
        <is>
          <t>NULL</t>
        </is>
      </c>
      <c r="D122" s="0" t="inlineStr">
        <is>
          <t>NULL</t>
        </is>
      </c>
      <c r="E122" s="0" t="inlineStr">
        <is>
          <t>NULL</t>
        </is>
      </c>
      <c r="F122" s="0" t="inlineStr">
        <is>
          <t>NULL</t>
        </is>
      </c>
      <c r="G122" s="0" t="inlineStr">
        <is>
          <t>NULL</t>
        </is>
      </c>
      <c r="H122" s="0" t="inlineStr">
        <is>
          <t>NULL</t>
        </is>
      </c>
      <c r="I122" s="0" t="inlineStr">
        <is>
          <t>NULL</t>
        </is>
      </c>
      <c r="J122" s="0" t="inlineStr">
        <is>
          <t>NULL</t>
        </is>
      </c>
      <c r="K122" s="0" t="inlineStr">
        <is>
          <t>YES! 	 c_time列源备映射正确，源端为time None位	期望更改为time(n)	实际备端为time None位</t>
        </is>
      </c>
    </row>
    <row r="123">
      <c r="K123" s="0" t="inlineStr">
        <is>
          <t>~ 空表</t>
        </is>
      </c>
    </row>
    <row r="124">
      <c r="A124" s="0" t="inlineStr">
        <is>
          <t>info_hierarchyid_dml_single_nopk_drp</t>
        </is>
      </c>
      <c r="K124" s="0" t="inlineStr">
        <is>
          <t>[0;34m info_hierarchyid_dml_single_nopk_drp [0m源备字段数相同，源端字段：2 	备端字段2</t>
        </is>
      </c>
      <c r="W124" s="0" t="inlineStr">
        <is>
          <t>YES 源备无差异</t>
        </is>
      </c>
      <c r="X124" s="0">
        <f>A124</f>
        <v/>
      </c>
    </row>
    <row r="125">
      <c r="B125" s="0" t="inlineStr">
        <is>
          <t>NULL</t>
        </is>
      </c>
      <c r="C125" s="0" t="inlineStr">
        <is>
          <t>NULL</t>
        </is>
      </c>
      <c r="D125" s="0" t="inlineStr">
        <is>
          <t>NULL</t>
        </is>
      </c>
      <c r="E125" s="0" t="inlineStr">
        <is>
          <t>NULL</t>
        </is>
      </c>
      <c r="F125" s="0" t="inlineStr">
        <is>
          <t>NULL</t>
        </is>
      </c>
      <c r="G125" s="0" t="inlineStr">
        <is>
          <t>NULL</t>
        </is>
      </c>
      <c r="H125" s="0" t="inlineStr">
        <is>
          <t>NULL</t>
        </is>
      </c>
      <c r="I125" s="0" t="inlineStr">
        <is>
          <t>NULL</t>
        </is>
      </c>
      <c r="J125" s="0" t="inlineStr">
        <is>
          <t>NULL</t>
        </is>
      </c>
      <c r="K125" s="0" t="inlineStr">
        <is>
          <t>YES! 	 id列源备映射正确，源端为int None位	期望更改为int	实际备端为int None位</t>
        </is>
      </c>
    </row>
    <row r="126">
      <c r="B126" s="0" t="inlineStr">
        <is>
          <t>NULL</t>
        </is>
      </c>
      <c r="C126" s="0" t="inlineStr">
        <is>
          <t>NULL</t>
        </is>
      </c>
      <c r="D126" s="0" t="inlineStr">
        <is>
          <t>NULL</t>
        </is>
      </c>
      <c r="E126" s="0" t="inlineStr">
        <is>
          <t>NULL</t>
        </is>
      </c>
      <c r="F126" s="0" t="inlineStr">
        <is>
          <t>NULL</t>
        </is>
      </c>
      <c r="G126" s="0" t="inlineStr">
        <is>
          <t>NULL</t>
        </is>
      </c>
      <c r="H126" s="0" t="inlineStr">
        <is>
          <t>NULL</t>
        </is>
      </c>
      <c r="I126" s="0" t="inlineStr">
        <is>
          <t>NULL</t>
        </is>
      </c>
      <c r="J126" s="0" t="inlineStr">
        <is>
          <t>NULL</t>
        </is>
      </c>
      <c r="K126" s="0" t="inlineStr">
        <is>
          <t>YES! 	 c_hierarchyid列源备映射正确，源端为hierarchyid 892位	期望更改为hierarchyid	实际备端为hierarchyid 892位</t>
        </is>
      </c>
    </row>
    <row r="127">
      <c r="A127" s="0" t="inlineStr">
        <is>
          <t>info_varchar_dml_single_nopk_urp</t>
        </is>
      </c>
      <c r="K127" s="0" t="inlineStr">
        <is>
          <t>[0;34m info_varchar_dml_single_nopk_urp [0m源备字段数相同，源端字段：4 	备端字段4</t>
        </is>
      </c>
      <c r="W127" s="0" t="inlineStr">
        <is>
          <t>YES 源备无差异</t>
        </is>
      </c>
      <c r="X127" s="0">
        <f>A127</f>
        <v/>
      </c>
    </row>
    <row r="128">
      <c r="B128" s="0" t="inlineStr">
        <is>
          <t>NULL</t>
        </is>
      </c>
      <c r="C128" s="0" t="inlineStr">
        <is>
          <t>NULL</t>
        </is>
      </c>
      <c r="D128" s="0" t="inlineStr">
        <is>
          <t>NULL</t>
        </is>
      </c>
      <c r="E128" s="0" t="inlineStr">
        <is>
          <t>NULL</t>
        </is>
      </c>
      <c r="F128" s="0" t="inlineStr">
        <is>
          <t>NULL</t>
        </is>
      </c>
      <c r="G128" s="0" t="inlineStr">
        <is>
          <t>NULL</t>
        </is>
      </c>
      <c r="H128" s="0" t="inlineStr">
        <is>
          <t>NULL</t>
        </is>
      </c>
      <c r="I128" s="0" t="inlineStr">
        <is>
          <t>NULL</t>
        </is>
      </c>
      <c r="J128" s="0" t="inlineStr">
        <is>
          <t>NULL</t>
        </is>
      </c>
      <c r="K128" s="0" t="inlineStr">
        <is>
          <t>YES! 	 id列源备映射正确，源端为int None位	期望更改为int	实际备端为int None位</t>
        </is>
      </c>
    </row>
    <row r="129">
      <c r="B129" s="0" t="inlineStr">
        <is>
          <t>NULL</t>
        </is>
      </c>
      <c r="C129" s="0" t="inlineStr">
        <is>
          <t>NULL</t>
        </is>
      </c>
      <c r="D129" s="0" t="inlineStr">
        <is>
          <t>NULL</t>
        </is>
      </c>
      <c r="E129" s="0" t="inlineStr">
        <is>
          <t>NULL</t>
        </is>
      </c>
      <c r="F129" s="0" t="inlineStr">
        <is>
          <t>NULL</t>
        </is>
      </c>
      <c r="G129" s="0" t="inlineStr">
        <is>
          <t>NULL</t>
        </is>
      </c>
      <c r="H129" s="0" t="inlineStr">
        <is>
          <t>NULL</t>
        </is>
      </c>
      <c r="I129" s="0" t="inlineStr">
        <is>
          <t>NULL</t>
        </is>
      </c>
      <c r="J129" s="0" t="inlineStr">
        <is>
          <t>NULL</t>
        </is>
      </c>
      <c r="K129" s="0" t="inlineStr">
        <is>
          <t>YES! 	 c_varchar列源备映射正确，源端为varchar 1位	期望更改为varchar(n)	实际备端为varchar 1位</t>
        </is>
      </c>
    </row>
    <row r="130">
      <c r="B130" s="0" t="inlineStr">
        <is>
          <t>NULL</t>
        </is>
      </c>
      <c r="C130" s="0" t="inlineStr">
        <is>
          <t>NULL</t>
        </is>
      </c>
      <c r="D130" s="0" t="inlineStr">
        <is>
          <t>NULL</t>
        </is>
      </c>
      <c r="E130" s="0" t="inlineStr">
        <is>
          <t>NULL</t>
        </is>
      </c>
      <c r="F130" s="0" t="inlineStr">
        <is>
          <t>NULL</t>
        </is>
      </c>
      <c r="G130" s="0" t="inlineStr">
        <is>
          <t>NULL</t>
        </is>
      </c>
      <c r="H130" s="0" t="inlineStr">
        <is>
          <t>NULL</t>
        </is>
      </c>
      <c r="I130" s="0" t="inlineStr">
        <is>
          <t>NULL</t>
        </is>
      </c>
      <c r="J130" s="0" t="inlineStr">
        <is>
          <t>NULL</t>
        </is>
      </c>
      <c r="K130" s="0" t="inlineStr">
        <is>
          <t>YES! 	 c_varchar50列源备映射正确，源端为varchar 50位	期望更改为varchar(n)	实际备端为varchar 50位</t>
        </is>
      </c>
    </row>
    <row r="131">
      <c r="B131" s="0" t="inlineStr">
        <is>
          <t>NULL</t>
        </is>
      </c>
      <c r="C131" s="0" t="inlineStr">
        <is>
          <t>NULL</t>
        </is>
      </c>
      <c r="D131" s="0" t="inlineStr">
        <is>
          <t>NULL</t>
        </is>
      </c>
      <c r="E131" s="0" t="inlineStr">
        <is>
          <t>NULL</t>
        </is>
      </c>
      <c r="F131" s="0" t="inlineStr">
        <is>
          <t>NULL</t>
        </is>
      </c>
      <c r="G131" s="0" t="inlineStr">
        <is>
          <t>NULL</t>
        </is>
      </c>
      <c r="H131" s="0" t="inlineStr">
        <is>
          <t>NULL</t>
        </is>
      </c>
      <c r="I131" s="0" t="inlineStr">
        <is>
          <t>NULL</t>
        </is>
      </c>
      <c r="J131" s="0" t="inlineStr">
        <is>
          <t>NULL</t>
        </is>
      </c>
      <c r="K131" s="0" t="inlineStr">
        <is>
          <t>YES! 	 c_varchar8000列源备映射正确，源端为varchar 8000位	期望更改为varchar(n)	实际备端为varchar 8000位</t>
        </is>
      </c>
    </row>
    <row r="132">
      <c r="A132" s="0" t="inlineStr">
        <is>
          <t>info_char_dml_single_pk_irp</t>
        </is>
      </c>
      <c r="K132" s="0" t="inlineStr">
        <is>
          <t>[0;34m info_char_dml_single_pk_irp [0m源备字段数相同，源端字段：4 	备端字段4</t>
        </is>
      </c>
      <c r="W132" s="0" t="inlineStr">
        <is>
          <t>YES 源备无差异</t>
        </is>
      </c>
      <c r="X132" s="0">
        <f>A132</f>
        <v/>
      </c>
    </row>
    <row r="133">
      <c r="B133" s="0" t="inlineStr">
        <is>
          <t>YES</t>
        </is>
      </c>
      <c r="C133" s="0" t="inlineStr">
        <is>
          <t>NULL</t>
        </is>
      </c>
      <c r="D133" s="0" t="inlineStr">
        <is>
          <t>NULL</t>
        </is>
      </c>
      <c r="E133" s="0" t="inlineStr">
        <is>
          <t>NULL</t>
        </is>
      </c>
      <c r="F133" s="0" t="inlineStr">
        <is>
          <t>NULL</t>
        </is>
      </c>
      <c r="G133" s="0" t="inlineStr">
        <is>
          <t>NULL</t>
        </is>
      </c>
      <c r="H133" s="0" t="inlineStr">
        <is>
          <t>NULL</t>
        </is>
      </c>
      <c r="I133" s="0" t="inlineStr">
        <is>
          <t>YES!PK__info_cha__3213E83FD6236BC6</t>
        </is>
      </c>
      <c r="J133" s="0" t="inlineStr">
        <is>
          <t>YES! 主键相关索引</t>
        </is>
      </c>
      <c r="K133" s="0" t="inlineStr">
        <is>
          <t>YES! 	 id列源备映射正确，源端为int None位	期望更改为int	实际备端为int None位</t>
        </is>
      </c>
    </row>
    <row r="134">
      <c r="B134" s="0" t="inlineStr">
        <is>
          <t>NULL</t>
        </is>
      </c>
      <c r="C134" s="0" t="inlineStr">
        <is>
          <t>NULL</t>
        </is>
      </c>
      <c r="D134" s="0" t="inlineStr">
        <is>
          <t>NULL</t>
        </is>
      </c>
      <c r="E134" s="0" t="inlineStr">
        <is>
          <t>NULL</t>
        </is>
      </c>
      <c r="F134" s="0" t="inlineStr">
        <is>
          <t>NULL</t>
        </is>
      </c>
      <c r="G134" s="0" t="inlineStr">
        <is>
          <t>NULL</t>
        </is>
      </c>
      <c r="H134" s="0" t="inlineStr">
        <is>
          <t>NULL</t>
        </is>
      </c>
      <c r="I134" s="0" t="inlineStr">
        <is>
          <t>NULL</t>
        </is>
      </c>
      <c r="J134" s="0" t="inlineStr">
        <is>
          <t>NULL</t>
        </is>
      </c>
      <c r="K134" s="0" t="inlineStr">
        <is>
          <t>YES! 	 c_CHAR列源备映射正确，源端为char 1位	期望更改为char(n)	实际备端为char 1位</t>
        </is>
      </c>
    </row>
    <row r="135">
      <c r="B135" s="0" t="inlineStr">
        <is>
          <t>NULL</t>
        </is>
      </c>
      <c r="C135" s="0" t="inlineStr">
        <is>
          <t>NULL</t>
        </is>
      </c>
      <c r="D135" s="0" t="inlineStr">
        <is>
          <t>NULL</t>
        </is>
      </c>
      <c r="E135" s="0" t="inlineStr">
        <is>
          <t>NULL</t>
        </is>
      </c>
      <c r="F135" s="0" t="inlineStr">
        <is>
          <t>NULL</t>
        </is>
      </c>
      <c r="G135" s="0" t="inlineStr">
        <is>
          <t>NULL</t>
        </is>
      </c>
      <c r="H135" s="0" t="inlineStr">
        <is>
          <t>NULL</t>
        </is>
      </c>
      <c r="I135" s="0" t="inlineStr">
        <is>
          <t>NULL</t>
        </is>
      </c>
      <c r="J135" s="0" t="inlineStr">
        <is>
          <t>NULL</t>
        </is>
      </c>
      <c r="K135" s="0" t="inlineStr">
        <is>
          <t>YES! 	 c_char20列源备映射正确，源端为char 20位	期望更改为char(n)	实际备端为char 20位</t>
        </is>
      </c>
    </row>
    <row r="136">
      <c r="B136" s="0" t="inlineStr">
        <is>
          <t>NULL</t>
        </is>
      </c>
      <c r="C136" s="0" t="inlineStr">
        <is>
          <t>NULL</t>
        </is>
      </c>
      <c r="D136" s="0" t="inlineStr">
        <is>
          <t>NULL</t>
        </is>
      </c>
      <c r="E136" s="0" t="inlineStr">
        <is>
          <t>NULL</t>
        </is>
      </c>
      <c r="F136" s="0" t="inlineStr">
        <is>
          <t>NULL</t>
        </is>
      </c>
      <c r="G136" s="0" t="inlineStr">
        <is>
          <t>NULL</t>
        </is>
      </c>
      <c r="H136" s="0" t="inlineStr">
        <is>
          <t>NULL</t>
        </is>
      </c>
      <c r="I136" s="0" t="inlineStr">
        <is>
          <t>NULL</t>
        </is>
      </c>
      <c r="J136" s="0" t="inlineStr">
        <is>
          <t>NULL</t>
        </is>
      </c>
      <c r="K136" s="0" t="inlineStr">
        <is>
          <t>YES! 	 c_char8000列源备映射正确，源端为char 8000位	期望更改为char(n)	实际备端为char 8000位</t>
        </is>
      </c>
    </row>
    <row r="137">
      <c r="A137" s="0" t="inlineStr">
        <is>
          <t>info_varchar_dml_single_nopk_drp</t>
        </is>
      </c>
      <c r="K137" s="0" t="inlineStr">
        <is>
          <t>[0;34m info_varchar_dml_single_nopk_drp [0m源备字段数相同，源端字段：4 	备端字段4</t>
        </is>
      </c>
      <c r="W137" s="0" t="inlineStr">
        <is>
          <t>YES 源备无差异</t>
        </is>
      </c>
      <c r="X137" s="0">
        <f>A137</f>
        <v/>
      </c>
    </row>
    <row r="138">
      <c r="B138" s="0" t="inlineStr">
        <is>
          <t>NULL</t>
        </is>
      </c>
      <c r="C138" s="0" t="inlineStr">
        <is>
          <t>NULL</t>
        </is>
      </c>
      <c r="D138" s="0" t="inlineStr">
        <is>
          <t>NULL</t>
        </is>
      </c>
      <c r="E138" s="0" t="inlineStr">
        <is>
          <t>NULL</t>
        </is>
      </c>
      <c r="F138" s="0" t="inlineStr">
        <is>
          <t>NULL</t>
        </is>
      </c>
      <c r="G138" s="0" t="inlineStr">
        <is>
          <t>NULL</t>
        </is>
      </c>
      <c r="H138" s="0" t="inlineStr">
        <is>
          <t>NULL</t>
        </is>
      </c>
      <c r="I138" s="0" t="inlineStr">
        <is>
          <t>NULL</t>
        </is>
      </c>
      <c r="J138" s="0" t="inlineStr">
        <is>
          <t>NULL</t>
        </is>
      </c>
      <c r="K138" s="0" t="inlineStr">
        <is>
          <t>YES! 	 id列源备映射正确，源端为int None位	期望更改为int	实际备端为int None位</t>
        </is>
      </c>
    </row>
    <row r="139">
      <c r="B139" s="0" t="inlineStr">
        <is>
          <t>NULL</t>
        </is>
      </c>
      <c r="C139" s="0" t="inlineStr">
        <is>
          <t>NULL</t>
        </is>
      </c>
      <c r="D139" s="0" t="inlineStr">
        <is>
          <t>NULL</t>
        </is>
      </c>
      <c r="E139" s="0" t="inlineStr">
        <is>
          <t>NULL</t>
        </is>
      </c>
      <c r="F139" s="0" t="inlineStr">
        <is>
          <t>NULL</t>
        </is>
      </c>
      <c r="G139" s="0" t="inlineStr">
        <is>
          <t>NULL</t>
        </is>
      </c>
      <c r="H139" s="0" t="inlineStr">
        <is>
          <t>NULL</t>
        </is>
      </c>
      <c r="I139" s="0" t="inlineStr">
        <is>
          <t>NULL</t>
        </is>
      </c>
      <c r="J139" s="0" t="inlineStr">
        <is>
          <t>NULL</t>
        </is>
      </c>
      <c r="K139" s="0" t="inlineStr">
        <is>
          <t>YES! 	 c_varchar列源备映射正确，源端为varchar 1位	期望更改为varchar(n)	实际备端为varchar 1位</t>
        </is>
      </c>
    </row>
    <row r="140">
      <c r="B140" s="0" t="inlineStr">
        <is>
          <t>NULL</t>
        </is>
      </c>
      <c r="C140" s="0" t="inlineStr">
        <is>
          <t>NULL</t>
        </is>
      </c>
      <c r="D140" s="0" t="inlineStr">
        <is>
          <t>NULL</t>
        </is>
      </c>
      <c r="E140" s="0" t="inlineStr">
        <is>
          <t>NULL</t>
        </is>
      </c>
      <c r="F140" s="0" t="inlineStr">
        <is>
          <t>NULL</t>
        </is>
      </c>
      <c r="G140" s="0" t="inlineStr">
        <is>
          <t>NULL</t>
        </is>
      </c>
      <c r="H140" s="0" t="inlineStr">
        <is>
          <t>NULL</t>
        </is>
      </c>
      <c r="I140" s="0" t="inlineStr">
        <is>
          <t>NULL</t>
        </is>
      </c>
      <c r="J140" s="0" t="inlineStr">
        <is>
          <t>NULL</t>
        </is>
      </c>
      <c r="K140" s="0" t="inlineStr">
        <is>
          <t>YES! 	 c_varchar50列源备映射正确，源端为varchar 50位	期望更改为varchar(n)	实际备端为varchar 50位</t>
        </is>
      </c>
    </row>
    <row r="141">
      <c r="B141" s="0" t="inlineStr">
        <is>
          <t>NULL</t>
        </is>
      </c>
      <c r="C141" s="0" t="inlineStr">
        <is>
          <t>NULL</t>
        </is>
      </c>
      <c r="D141" s="0" t="inlineStr">
        <is>
          <t>NULL</t>
        </is>
      </c>
      <c r="E141" s="0" t="inlineStr">
        <is>
          <t>NULL</t>
        </is>
      </c>
      <c r="F141" s="0" t="inlineStr">
        <is>
          <t>NULL</t>
        </is>
      </c>
      <c r="G141" s="0" t="inlineStr">
        <is>
          <t>NULL</t>
        </is>
      </c>
      <c r="H141" s="0" t="inlineStr">
        <is>
          <t>NULL</t>
        </is>
      </c>
      <c r="I141" s="0" t="inlineStr">
        <is>
          <t>NULL</t>
        </is>
      </c>
      <c r="J141" s="0" t="inlineStr">
        <is>
          <t>NULL</t>
        </is>
      </c>
      <c r="K141" s="0" t="inlineStr">
        <is>
          <t>YES! 	 c_varchar8000列源备映射正确，源端为varchar 8000位	期望更改为varchar(n)	实际备端为varchar 8000位</t>
        </is>
      </c>
    </row>
    <row r="142">
      <c r="A142" s="0" t="inlineStr">
        <is>
          <t>info_char_dml_batch2_pk_irp1</t>
        </is>
      </c>
      <c r="K142" s="0" t="inlineStr">
        <is>
          <t>[0;34m info_char_dml_batch2_pk_irp1 [0m源备字段数相同，源端字段：4 	备端字段4</t>
        </is>
      </c>
      <c r="W142" s="0" t="inlineStr">
        <is>
          <t>YES 源备无差异</t>
        </is>
      </c>
      <c r="X142" s="0">
        <f>A142</f>
        <v/>
      </c>
    </row>
    <row r="143">
      <c r="B143" s="0" t="inlineStr">
        <is>
          <t>YES</t>
        </is>
      </c>
      <c r="C143" s="0" t="inlineStr">
        <is>
          <t>NULL</t>
        </is>
      </c>
      <c r="D143" s="0" t="inlineStr">
        <is>
          <t>NULL</t>
        </is>
      </c>
      <c r="E143" s="0" t="inlineStr">
        <is>
          <t>NULL</t>
        </is>
      </c>
      <c r="F143" s="0" t="inlineStr">
        <is>
          <t>NULL</t>
        </is>
      </c>
      <c r="G143" s="0" t="inlineStr">
        <is>
          <t>NULL</t>
        </is>
      </c>
      <c r="H143" s="0" t="inlineStr">
        <is>
          <t>NULL</t>
        </is>
      </c>
      <c r="I143" s="0" t="inlineStr">
        <is>
          <t>YES!PK__info_cha__3213E83F491E4A05</t>
        </is>
      </c>
      <c r="J143" s="0" t="inlineStr">
        <is>
          <t>YES! 主键相关索引</t>
        </is>
      </c>
      <c r="K143" s="0" t="inlineStr">
        <is>
          <t>YES! 	 id列源备映射正确，源端为int None位	期望更改为int	实际备端为int None位</t>
        </is>
      </c>
    </row>
    <row r="144">
      <c r="B144" s="0" t="inlineStr">
        <is>
          <t>NULL</t>
        </is>
      </c>
      <c r="C144" s="0" t="inlineStr">
        <is>
          <t>NULL</t>
        </is>
      </c>
      <c r="D144" s="0" t="inlineStr">
        <is>
          <t>NULL</t>
        </is>
      </c>
      <c r="E144" s="0" t="inlineStr">
        <is>
          <t>NULL</t>
        </is>
      </c>
      <c r="F144" s="0" t="inlineStr">
        <is>
          <t>NULL</t>
        </is>
      </c>
      <c r="G144" s="0" t="inlineStr">
        <is>
          <t>NULL</t>
        </is>
      </c>
      <c r="H144" s="0" t="inlineStr">
        <is>
          <t>NULL</t>
        </is>
      </c>
      <c r="I144" s="0" t="inlineStr">
        <is>
          <t>NULL</t>
        </is>
      </c>
      <c r="J144" s="0" t="inlineStr">
        <is>
          <t>NULL</t>
        </is>
      </c>
      <c r="K144" s="0" t="inlineStr">
        <is>
          <t>YES! 	 c_char列源备映射正确，源端为char 1位	期望更改为char(n)	实际备端为char 1位</t>
        </is>
      </c>
    </row>
    <row r="145">
      <c r="B145" s="0" t="inlineStr">
        <is>
          <t>NULL</t>
        </is>
      </c>
      <c r="C145" s="0" t="inlineStr">
        <is>
          <t>NULL</t>
        </is>
      </c>
      <c r="D145" s="0" t="inlineStr">
        <is>
          <t>NULL</t>
        </is>
      </c>
      <c r="E145" s="0" t="inlineStr">
        <is>
          <t>NULL</t>
        </is>
      </c>
      <c r="F145" s="0" t="inlineStr">
        <is>
          <t>NULL</t>
        </is>
      </c>
      <c r="G145" s="0" t="inlineStr">
        <is>
          <t>NULL</t>
        </is>
      </c>
      <c r="H145" s="0" t="inlineStr">
        <is>
          <t>NULL</t>
        </is>
      </c>
      <c r="I145" s="0" t="inlineStr">
        <is>
          <t>NULL</t>
        </is>
      </c>
      <c r="J145" s="0" t="inlineStr">
        <is>
          <t>NULL</t>
        </is>
      </c>
      <c r="K145" s="0" t="inlineStr">
        <is>
          <t>YES! 	 c_char20列源备映射正确，源端为char 20位	期望更改为char(n)	实际备端为char 20位</t>
        </is>
      </c>
    </row>
    <row r="146">
      <c r="B146" s="0" t="inlineStr">
        <is>
          <t>NULL</t>
        </is>
      </c>
      <c r="C146" s="0" t="inlineStr">
        <is>
          <t>NULL</t>
        </is>
      </c>
      <c r="D146" s="0" t="inlineStr">
        <is>
          <t>NULL</t>
        </is>
      </c>
      <c r="E146" s="0" t="inlineStr">
        <is>
          <t>NULL</t>
        </is>
      </c>
      <c r="F146" s="0" t="inlineStr">
        <is>
          <t>NULL</t>
        </is>
      </c>
      <c r="G146" s="0" t="inlineStr">
        <is>
          <t>NULL</t>
        </is>
      </c>
      <c r="H146" s="0" t="inlineStr">
        <is>
          <t>NULL</t>
        </is>
      </c>
      <c r="I146" s="0" t="inlineStr">
        <is>
          <t>NULL</t>
        </is>
      </c>
      <c r="J146" s="0" t="inlineStr">
        <is>
          <t>NULL</t>
        </is>
      </c>
      <c r="K146" s="0" t="inlineStr">
        <is>
          <t>YES! 	 c_char8000列源备映射正确，源端为char 8000位	期望更改为char(n)	实际备端为char 8000位</t>
        </is>
      </c>
    </row>
    <row r="147">
      <c r="A147" s="0" t="inlineStr">
        <is>
          <t>info_char_dml_batch1_pk_irp2</t>
        </is>
      </c>
      <c r="K147" s="0" t="inlineStr">
        <is>
          <t>[0;34m info_char_dml_batch1_pk_irp2 [0m源备字段数相同，源端字段：4 	备端字段4</t>
        </is>
      </c>
      <c r="W147" s="0" t="inlineStr">
        <is>
          <t>YES 源备无差异</t>
        </is>
      </c>
      <c r="X147" s="0">
        <f>A147</f>
        <v/>
      </c>
    </row>
    <row r="148">
      <c r="B148" s="0" t="inlineStr">
        <is>
          <t>YES</t>
        </is>
      </c>
      <c r="C148" s="0" t="inlineStr">
        <is>
          <t>NULL</t>
        </is>
      </c>
      <c r="D148" s="0" t="inlineStr">
        <is>
          <t>NULL</t>
        </is>
      </c>
      <c r="E148" s="0" t="inlineStr">
        <is>
          <t>NULL</t>
        </is>
      </c>
      <c r="F148" s="0" t="inlineStr">
        <is>
          <t>NULL</t>
        </is>
      </c>
      <c r="G148" s="0" t="inlineStr">
        <is>
          <t>NULL</t>
        </is>
      </c>
      <c r="H148" s="0" t="inlineStr">
        <is>
          <t>NULL</t>
        </is>
      </c>
      <c r="I148" s="0" t="inlineStr">
        <is>
          <t>YES!PK__info_cha__3213E83FC0741F30</t>
        </is>
      </c>
      <c r="J148" s="0" t="inlineStr">
        <is>
          <t>YES! 主键相关索引</t>
        </is>
      </c>
      <c r="K148" s="0" t="inlineStr">
        <is>
          <t>YES! 	 id列源备映射正确，源端为int None位	期望更改为int	实际备端为int None位</t>
        </is>
      </c>
    </row>
    <row r="149">
      <c r="B149" s="0" t="inlineStr">
        <is>
          <t>NULL</t>
        </is>
      </c>
      <c r="C149" s="0" t="inlineStr">
        <is>
          <t>NULL</t>
        </is>
      </c>
      <c r="D149" s="0" t="inlineStr">
        <is>
          <t>NULL</t>
        </is>
      </c>
      <c r="E149" s="0" t="inlineStr">
        <is>
          <t>NULL</t>
        </is>
      </c>
      <c r="F149" s="0" t="inlineStr">
        <is>
          <t>NULL</t>
        </is>
      </c>
      <c r="G149" s="0" t="inlineStr">
        <is>
          <t>NULL</t>
        </is>
      </c>
      <c r="H149" s="0" t="inlineStr">
        <is>
          <t>NULL</t>
        </is>
      </c>
      <c r="I149" s="0" t="inlineStr">
        <is>
          <t>NULL</t>
        </is>
      </c>
      <c r="J149" s="0" t="inlineStr">
        <is>
          <t>NULL</t>
        </is>
      </c>
      <c r="K149" s="0" t="inlineStr">
        <is>
          <t>YES! 	 c_char列源备映射正确，源端为char 1位	期望更改为char(n)	实际备端为char 1位</t>
        </is>
      </c>
    </row>
    <row r="150">
      <c r="B150" s="0" t="inlineStr">
        <is>
          <t>NULL</t>
        </is>
      </c>
      <c r="C150" s="0" t="inlineStr">
        <is>
          <t>NULL</t>
        </is>
      </c>
      <c r="D150" s="0" t="inlineStr">
        <is>
          <t>NULL</t>
        </is>
      </c>
      <c r="E150" s="0" t="inlineStr">
        <is>
          <t>NULL</t>
        </is>
      </c>
      <c r="F150" s="0" t="inlineStr">
        <is>
          <t>NULL</t>
        </is>
      </c>
      <c r="G150" s="0" t="inlineStr">
        <is>
          <t>NULL</t>
        </is>
      </c>
      <c r="H150" s="0" t="inlineStr">
        <is>
          <t>NULL</t>
        </is>
      </c>
      <c r="I150" s="0" t="inlineStr">
        <is>
          <t>NULL</t>
        </is>
      </c>
      <c r="J150" s="0" t="inlineStr">
        <is>
          <t>NULL</t>
        </is>
      </c>
      <c r="K150" s="0" t="inlineStr">
        <is>
          <t>YES! 	 c_char20列源备映射正确，源端为char 20位	期望更改为char(n)	实际备端为char 20位</t>
        </is>
      </c>
    </row>
    <row r="151">
      <c r="B151" s="0" t="inlineStr">
        <is>
          <t>NULL</t>
        </is>
      </c>
      <c r="C151" s="0" t="inlineStr">
        <is>
          <t>NULL</t>
        </is>
      </c>
      <c r="D151" s="0" t="inlineStr">
        <is>
          <t>NULL</t>
        </is>
      </c>
      <c r="E151" s="0" t="inlineStr">
        <is>
          <t>NULL</t>
        </is>
      </c>
      <c r="F151" s="0" t="inlineStr">
        <is>
          <t>NULL</t>
        </is>
      </c>
      <c r="G151" s="0" t="inlineStr">
        <is>
          <t>NULL</t>
        </is>
      </c>
      <c r="H151" s="0" t="inlineStr">
        <is>
          <t>NULL</t>
        </is>
      </c>
      <c r="I151" s="0" t="inlineStr">
        <is>
          <t>NULL</t>
        </is>
      </c>
      <c r="J151" s="0" t="inlineStr">
        <is>
          <t>NULL</t>
        </is>
      </c>
      <c r="K151" s="0" t="inlineStr">
        <is>
          <t>YES! 	 c_char8000列源备映射正确，源端为char 8000位	期望更改为char(n)	实际备端为char 8000位</t>
        </is>
      </c>
    </row>
    <row r="152">
      <c r="A152" s="0" t="inlineStr">
        <is>
          <t>info_hierarchyid_dml_single_pk_irp</t>
        </is>
      </c>
      <c r="K152" s="0" t="inlineStr">
        <is>
          <t>[0;34m info_hierarchyid_dml_single_pk_irp [0m源备字段数相同，源端字段：2 	备端字段2</t>
        </is>
      </c>
      <c r="W152" s="0" t="inlineStr">
        <is>
          <t>YES 源备无差异</t>
        </is>
      </c>
      <c r="X152" s="0">
        <f>A152</f>
        <v/>
      </c>
    </row>
    <row r="153">
      <c r="B153" s="0" t="inlineStr">
        <is>
          <t>YES</t>
        </is>
      </c>
      <c r="C153" s="0" t="inlineStr">
        <is>
          <t>NULL</t>
        </is>
      </c>
      <c r="D153" s="0" t="inlineStr">
        <is>
          <t>NULL</t>
        </is>
      </c>
      <c r="E153" s="0" t="inlineStr">
        <is>
          <t>NULL</t>
        </is>
      </c>
      <c r="F153" s="0" t="inlineStr">
        <is>
          <t>NULL</t>
        </is>
      </c>
      <c r="G153" s="0" t="inlineStr">
        <is>
          <t>NULL</t>
        </is>
      </c>
      <c r="H153" s="0" t="inlineStr">
        <is>
          <t>NULL</t>
        </is>
      </c>
      <c r="I153" s="0" t="inlineStr">
        <is>
          <t>YES!PK__info_hie__3213E83FDEFBB5DB</t>
        </is>
      </c>
      <c r="J153" s="0" t="inlineStr">
        <is>
          <t>YES! 主键相关索引</t>
        </is>
      </c>
      <c r="K153" s="0" t="inlineStr">
        <is>
          <t>YES! 	 id列源备映射正确，源端为int None位	期望更改为int	实际备端为int None位</t>
        </is>
      </c>
    </row>
    <row r="154">
      <c r="B154" s="0" t="inlineStr">
        <is>
          <t>NULL</t>
        </is>
      </c>
      <c r="C154" s="0" t="inlineStr">
        <is>
          <t>NULL</t>
        </is>
      </c>
      <c r="D154" s="0" t="inlineStr">
        <is>
          <t>NULL</t>
        </is>
      </c>
      <c r="E154" s="0" t="inlineStr">
        <is>
          <t>NULL</t>
        </is>
      </c>
      <c r="F154" s="0" t="inlineStr">
        <is>
          <t>NULL</t>
        </is>
      </c>
      <c r="G154" s="0" t="inlineStr">
        <is>
          <t>NULL</t>
        </is>
      </c>
      <c r="H154" s="0" t="inlineStr">
        <is>
          <t>NULL</t>
        </is>
      </c>
      <c r="I154" s="0" t="inlineStr">
        <is>
          <t>NULL</t>
        </is>
      </c>
      <c r="J154" s="0" t="inlineStr">
        <is>
          <t>NULL</t>
        </is>
      </c>
      <c r="K154" s="0" t="inlineStr">
        <is>
          <t>YES! 	 c_hierarchyid列源备映射正确，源端为hierarchyid 892位	期望更改为hierarchyid	实际备端为hierarchyid 892位</t>
        </is>
      </c>
    </row>
    <row r="155">
      <c r="A155" s="0" t="inlineStr">
        <is>
          <t>info_hierarchyid_dml_single_nopk</t>
        </is>
      </c>
      <c r="K155" s="0" t="inlineStr">
        <is>
          <t>[0;34m info_hierarchyid_dml_single_nopk [0m源备字段数相同，源端字段：2 	备端字段2</t>
        </is>
      </c>
      <c r="W155" s="0" t="inlineStr">
        <is>
          <t>YES 源备无差异</t>
        </is>
      </c>
      <c r="X155" s="0">
        <f>A155</f>
        <v/>
      </c>
    </row>
    <row r="156">
      <c r="B156" s="0" t="inlineStr">
        <is>
          <t>NULL</t>
        </is>
      </c>
      <c r="C156" s="0" t="inlineStr">
        <is>
          <t>NULL</t>
        </is>
      </c>
      <c r="D156" s="0" t="inlineStr">
        <is>
          <t>NULL</t>
        </is>
      </c>
      <c r="E156" s="0" t="inlineStr">
        <is>
          <t>NULL</t>
        </is>
      </c>
      <c r="F156" s="0" t="inlineStr">
        <is>
          <t>NULL</t>
        </is>
      </c>
      <c r="G156" s="0" t="inlineStr">
        <is>
          <t>NULL</t>
        </is>
      </c>
      <c r="H156" s="0" t="inlineStr">
        <is>
          <t>NULL</t>
        </is>
      </c>
      <c r="I156" s="0" t="inlineStr">
        <is>
          <t>NULL</t>
        </is>
      </c>
      <c r="J156" s="0" t="inlineStr">
        <is>
          <t>NULL</t>
        </is>
      </c>
      <c r="K156" s="0" t="inlineStr">
        <is>
          <t>YES! 	 id列源备映射正确，源端为int None位	期望更改为int	实际备端为int None位</t>
        </is>
      </c>
    </row>
    <row r="157">
      <c r="B157" s="0" t="inlineStr">
        <is>
          <t>NULL</t>
        </is>
      </c>
      <c r="C157" s="0" t="inlineStr">
        <is>
          <t>NULL</t>
        </is>
      </c>
      <c r="D157" s="0" t="inlineStr">
        <is>
          <t>NULL</t>
        </is>
      </c>
      <c r="E157" s="0" t="inlineStr">
        <is>
          <t>NULL</t>
        </is>
      </c>
      <c r="F157" s="0" t="inlineStr">
        <is>
          <t>NULL</t>
        </is>
      </c>
      <c r="G157" s="0" t="inlineStr">
        <is>
          <t>NULL</t>
        </is>
      </c>
      <c r="H157" s="0" t="inlineStr">
        <is>
          <t>NULL</t>
        </is>
      </c>
      <c r="I157" s="0" t="inlineStr">
        <is>
          <t>NULL</t>
        </is>
      </c>
      <c r="J157" s="0" t="inlineStr">
        <is>
          <t>NULL</t>
        </is>
      </c>
      <c r="K157" s="0" t="inlineStr">
        <is>
          <t>YES! 	 c_hierarchyid列源备映射正确，源端为hierarchyid 892位	期望更改为hierarchyid	实际备端为hierarchyid 892位</t>
        </is>
      </c>
    </row>
    <row r="158">
      <c r="A158" s="0" t="inlineStr">
        <is>
          <t>info_time_dml_batch1_pk_drp2</t>
        </is>
      </c>
      <c r="K158" s="0" t="inlineStr">
        <is>
          <t>[0;34m info_time_dml_batch1_pk_drp2 [0m源备字段数相同，源端字段：9 	备端字段9</t>
        </is>
      </c>
      <c r="W158" s="0" t="inlineStr">
        <is>
          <t>YES 源备无差异</t>
        </is>
      </c>
      <c r="X158" s="0">
        <f>A158</f>
        <v/>
      </c>
    </row>
    <row r="159">
      <c r="B159" s="0" t="inlineStr">
        <is>
          <t>YES</t>
        </is>
      </c>
      <c r="C159" s="0" t="inlineStr">
        <is>
          <t>NULL</t>
        </is>
      </c>
      <c r="D159" s="0" t="inlineStr">
        <is>
          <t>NULL</t>
        </is>
      </c>
      <c r="E159" s="0" t="inlineStr">
        <is>
          <t>NULL</t>
        </is>
      </c>
      <c r="F159" s="0" t="inlineStr">
        <is>
          <t>NULL</t>
        </is>
      </c>
      <c r="G159" s="0" t="inlineStr">
        <is>
          <t>NULL</t>
        </is>
      </c>
      <c r="H159" s="0" t="inlineStr">
        <is>
          <t>NULL</t>
        </is>
      </c>
      <c r="I159" s="0" t="inlineStr">
        <is>
          <t>YES!PK__info_tim__3213E83FA75E52F7</t>
        </is>
      </c>
      <c r="J159" s="0" t="inlineStr">
        <is>
          <t>YES! 主键相关索引</t>
        </is>
      </c>
      <c r="K159" s="0" t="inlineStr">
        <is>
          <t>YES! 	 id列源备映射正确，源端为int None位	期望更改为int	实际备端为int None位</t>
        </is>
      </c>
    </row>
    <row r="160">
      <c r="B160" s="0" t="inlineStr">
        <is>
          <t>NULL</t>
        </is>
      </c>
      <c r="C160" s="0" t="inlineStr">
        <is>
          <t>NULL</t>
        </is>
      </c>
      <c r="D160" s="0" t="inlineStr">
        <is>
          <t>NULL</t>
        </is>
      </c>
      <c r="E160" s="0" t="inlineStr">
        <is>
          <t>NULL</t>
        </is>
      </c>
      <c r="F160" s="0" t="inlineStr">
        <is>
          <t>NULL</t>
        </is>
      </c>
      <c r="G160" s="0" t="inlineStr">
        <is>
          <t>NULL</t>
        </is>
      </c>
      <c r="H160" s="0" t="inlineStr">
        <is>
          <t>NULL</t>
        </is>
      </c>
      <c r="I160" s="0" t="inlineStr">
        <is>
          <t>NULL</t>
        </is>
      </c>
      <c r="J160" s="0" t="inlineStr">
        <is>
          <t>NULL</t>
        </is>
      </c>
      <c r="K160" s="0" t="inlineStr">
        <is>
          <t>no,len不存在</t>
        </is>
      </c>
    </row>
    <row r="161">
      <c r="B161" s="0" t="inlineStr">
        <is>
          <t>NULL</t>
        </is>
      </c>
      <c r="C161" s="0" t="inlineStr">
        <is>
          <t>NULL</t>
        </is>
      </c>
      <c r="D161" s="0" t="inlineStr">
        <is>
          <t>NULL</t>
        </is>
      </c>
      <c r="E161" s="0" t="inlineStr">
        <is>
          <t>NULL</t>
        </is>
      </c>
      <c r="F161" s="0" t="inlineStr">
        <is>
          <t>NULL</t>
        </is>
      </c>
      <c r="G161" s="0" t="inlineStr">
        <is>
          <t>NULL</t>
        </is>
      </c>
      <c r="H161" s="0" t="inlineStr">
        <is>
          <t>NULL</t>
        </is>
      </c>
      <c r="I161" s="0" t="inlineStr">
        <is>
          <t>NULL</t>
        </is>
      </c>
      <c r="J161" s="0" t="inlineStr">
        <is>
          <t>NULL</t>
        </is>
      </c>
      <c r="K161" s="0" t="inlineStr">
        <is>
          <t>YES! 	 c_time1列源备映射正确，源端为time None位	期望更改为time(n)	实际备端为time None位</t>
        </is>
      </c>
    </row>
    <row r="162">
      <c r="B162" s="0" t="inlineStr">
        <is>
          <t>NULL</t>
        </is>
      </c>
      <c r="C162" s="0" t="inlineStr">
        <is>
          <t>NULL</t>
        </is>
      </c>
      <c r="D162" s="0" t="inlineStr">
        <is>
          <t>NULL</t>
        </is>
      </c>
      <c r="E162" s="0" t="inlineStr">
        <is>
          <t>NULL</t>
        </is>
      </c>
      <c r="F162" s="0" t="inlineStr">
        <is>
          <t>NULL</t>
        </is>
      </c>
      <c r="G162" s="0" t="inlineStr">
        <is>
          <t>NULL</t>
        </is>
      </c>
      <c r="H162" s="0" t="inlineStr">
        <is>
          <t>NULL</t>
        </is>
      </c>
      <c r="I162" s="0" t="inlineStr">
        <is>
          <t>NULL</t>
        </is>
      </c>
      <c r="J162" s="0" t="inlineStr">
        <is>
          <t>NULL</t>
        </is>
      </c>
      <c r="K162" s="0" t="inlineStr">
        <is>
          <t>YES! 	 c_time2列源备映射正确，源端为time None位	期望更改为time(n)	实际备端为time None位</t>
        </is>
      </c>
    </row>
    <row r="163">
      <c r="B163" s="0" t="inlineStr">
        <is>
          <t>NULL</t>
        </is>
      </c>
      <c r="C163" s="0" t="inlineStr">
        <is>
          <t>NULL</t>
        </is>
      </c>
      <c r="D163" s="0" t="inlineStr">
        <is>
          <t>NULL</t>
        </is>
      </c>
      <c r="E163" s="0" t="inlineStr">
        <is>
          <t>NULL</t>
        </is>
      </c>
      <c r="F163" s="0" t="inlineStr">
        <is>
          <t>NULL</t>
        </is>
      </c>
      <c r="G163" s="0" t="inlineStr">
        <is>
          <t>NULL</t>
        </is>
      </c>
      <c r="H163" s="0" t="inlineStr">
        <is>
          <t>NULL</t>
        </is>
      </c>
      <c r="I163" s="0" t="inlineStr">
        <is>
          <t>NULL</t>
        </is>
      </c>
      <c r="J163" s="0" t="inlineStr">
        <is>
          <t>NULL</t>
        </is>
      </c>
      <c r="K163" s="0" t="inlineStr">
        <is>
          <t>YES! 	 c_time3列源备映射正确，源端为time None位	期望更改为time(n)	实际备端为time None位</t>
        </is>
      </c>
    </row>
    <row r="164">
      <c r="B164" s="0" t="inlineStr">
        <is>
          <t>NULL</t>
        </is>
      </c>
      <c r="C164" s="0" t="inlineStr">
        <is>
          <t>NULL</t>
        </is>
      </c>
      <c r="D164" s="0" t="inlineStr">
        <is>
          <t>NULL</t>
        </is>
      </c>
      <c r="E164" s="0" t="inlineStr">
        <is>
          <t>NULL</t>
        </is>
      </c>
      <c r="F164" s="0" t="inlineStr">
        <is>
          <t>NULL</t>
        </is>
      </c>
      <c r="G164" s="0" t="inlineStr">
        <is>
          <t>NULL</t>
        </is>
      </c>
      <c r="H164" s="0" t="inlineStr">
        <is>
          <t>NULL</t>
        </is>
      </c>
      <c r="I164" s="0" t="inlineStr">
        <is>
          <t>NULL</t>
        </is>
      </c>
      <c r="J164" s="0" t="inlineStr">
        <is>
          <t>NULL</t>
        </is>
      </c>
      <c r="K164" s="0" t="inlineStr">
        <is>
          <t>YES! 	 c_time4列源备映射正确，源端为time None位	期望更改为time(n)	实际备端为time None位</t>
        </is>
      </c>
    </row>
    <row r="165">
      <c r="B165" s="0" t="inlineStr">
        <is>
          <t>NULL</t>
        </is>
      </c>
      <c r="C165" s="0" t="inlineStr">
        <is>
          <t>NULL</t>
        </is>
      </c>
      <c r="D165" s="0" t="inlineStr">
        <is>
          <t>NULL</t>
        </is>
      </c>
      <c r="E165" s="0" t="inlineStr">
        <is>
          <t>NULL</t>
        </is>
      </c>
      <c r="F165" s="0" t="inlineStr">
        <is>
          <t>NULL</t>
        </is>
      </c>
      <c r="G165" s="0" t="inlineStr">
        <is>
          <t>NULL</t>
        </is>
      </c>
      <c r="H165" s="0" t="inlineStr">
        <is>
          <t>NULL</t>
        </is>
      </c>
      <c r="I165" s="0" t="inlineStr">
        <is>
          <t>NULL</t>
        </is>
      </c>
      <c r="J165" s="0" t="inlineStr">
        <is>
          <t>NULL</t>
        </is>
      </c>
      <c r="K165" s="0" t="inlineStr">
        <is>
          <t>YES! 	 c_time5列源备映射正确，源端为time None位	期望更改为time(n)	实际备端为time None位</t>
        </is>
      </c>
    </row>
    <row r="166">
      <c r="B166" s="0" t="inlineStr">
        <is>
          <t>NULL</t>
        </is>
      </c>
      <c r="C166" s="0" t="inlineStr">
        <is>
          <t>NULL</t>
        </is>
      </c>
      <c r="D166" s="0" t="inlineStr">
        <is>
          <t>NULL</t>
        </is>
      </c>
      <c r="E166" s="0" t="inlineStr">
        <is>
          <t>NULL</t>
        </is>
      </c>
      <c r="F166" s="0" t="inlineStr">
        <is>
          <t>NULL</t>
        </is>
      </c>
      <c r="G166" s="0" t="inlineStr">
        <is>
          <t>NULL</t>
        </is>
      </c>
      <c r="H166" s="0" t="inlineStr">
        <is>
          <t>NULL</t>
        </is>
      </c>
      <c r="I166" s="0" t="inlineStr">
        <is>
          <t>NULL</t>
        </is>
      </c>
      <c r="J166" s="0" t="inlineStr">
        <is>
          <t>NULL</t>
        </is>
      </c>
      <c r="K166" s="0" t="inlineStr">
        <is>
          <t>YES! 	 c_time6列源备映射正确，源端为time None位	期望更改为time(n)	实际备端为time None位</t>
        </is>
      </c>
    </row>
    <row r="167">
      <c r="B167" s="0" t="inlineStr">
        <is>
          <t>NULL</t>
        </is>
      </c>
      <c r="C167" s="0" t="inlineStr">
        <is>
          <t>NULL</t>
        </is>
      </c>
      <c r="D167" s="0" t="inlineStr">
        <is>
          <t>NULL</t>
        </is>
      </c>
      <c r="E167" s="0" t="inlineStr">
        <is>
          <t>NULL</t>
        </is>
      </c>
      <c r="F167" s="0" t="inlineStr">
        <is>
          <t>NULL</t>
        </is>
      </c>
      <c r="G167" s="0" t="inlineStr">
        <is>
          <t>NULL</t>
        </is>
      </c>
      <c r="H167" s="0" t="inlineStr">
        <is>
          <t>NULL</t>
        </is>
      </c>
      <c r="I167" s="0" t="inlineStr">
        <is>
          <t>NULL</t>
        </is>
      </c>
      <c r="J167" s="0" t="inlineStr">
        <is>
          <t>NULL</t>
        </is>
      </c>
      <c r="K167" s="0" t="inlineStr">
        <is>
          <t>YES! 	 c_time列源备映射正确，源端为time None位	期望更改为time(n)	实际备端为time None位</t>
        </is>
      </c>
    </row>
    <row r="168">
      <c r="A168" s="0" t="inlineStr">
        <is>
          <t>info_hierarchyid_dml_single_pk_urp</t>
        </is>
      </c>
      <c r="K168" s="0" t="inlineStr">
        <is>
          <t>[0;34m info_hierarchyid_dml_single_pk_urp [0m源备字段数相同，源端字段：2 	备端字段2</t>
        </is>
      </c>
      <c r="W168" s="0" t="inlineStr">
        <is>
          <t>YES 源备无差异</t>
        </is>
      </c>
      <c r="X168" s="0">
        <f>A168</f>
        <v/>
      </c>
    </row>
    <row r="169">
      <c r="B169" s="0" t="inlineStr">
        <is>
          <t>YES</t>
        </is>
      </c>
      <c r="C169" s="0" t="inlineStr">
        <is>
          <t>NULL</t>
        </is>
      </c>
      <c r="D169" s="0" t="inlineStr">
        <is>
          <t>NULL</t>
        </is>
      </c>
      <c r="E169" s="0" t="inlineStr">
        <is>
          <t>NULL</t>
        </is>
      </c>
      <c r="F169" s="0" t="inlineStr">
        <is>
          <t>NULL</t>
        </is>
      </c>
      <c r="G169" s="0" t="inlineStr">
        <is>
          <t>NULL</t>
        </is>
      </c>
      <c r="H169" s="0" t="inlineStr">
        <is>
          <t>NULL</t>
        </is>
      </c>
      <c r="I169" s="0" t="inlineStr">
        <is>
          <t>YES!PK__info_hie__3213E83F2943E668</t>
        </is>
      </c>
      <c r="J169" s="0" t="inlineStr">
        <is>
          <t>YES! 主键相关索引</t>
        </is>
      </c>
      <c r="K169" s="0" t="inlineStr">
        <is>
          <t>YES! 	 id列源备映射正确，源端为int None位	期望更改为int	实际备端为int None位</t>
        </is>
      </c>
    </row>
    <row r="170">
      <c r="B170" s="0" t="inlineStr">
        <is>
          <t>NULL</t>
        </is>
      </c>
      <c r="C170" s="0" t="inlineStr">
        <is>
          <t>NULL</t>
        </is>
      </c>
      <c r="D170" s="0" t="inlineStr">
        <is>
          <t>NULL</t>
        </is>
      </c>
      <c r="E170" s="0" t="inlineStr">
        <is>
          <t>NULL</t>
        </is>
      </c>
      <c r="F170" s="0" t="inlineStr">
        <is>
          <t>NULL</t>
        </is>
      </c>
      <c r="G170" s="0" t="inlineStr">
        <is>
          <t>NULL</t>
        </is>
      </c>
      <c r="H170" s="0" t="inlineStr">
        <is>
          <t>NULL</t>
        </is>
      </c>
      <c r="I170" s="0" t="inlineStr">
        <is>
          <t>NULL</t>
        </is>
      </c>
      <c r="J170" s="0" t="inlineStr">
        <is>
          <t>NULL</t>
        </is>
      </c>
      <c r="K170" s="0" t="inlineStr">
        <is>
          <t>YES! 	 c_hierarchyid列源备映射正确，源端为hierarchyid 892位	期望更改为hierarchyid	实际备端为hierarchyid 892位</t>
        </is>
      </c>
    </row>
    <row r="171">
      <c r="A171" s="0" t="inlineStr">
        <is>
          <t>info_char_dml_single_pk_urp</t>
        </is>
      </c>
      <c r="K171" s="0" t="inlineStr">
        <is>
          <t>[0;34m info_char_dml_single_pk_urp [0m源备字段数相同，源端字段：4 	备端字段4</t>
        </is>
      </c>
      <c r="W171" s="0" t="inlineStr">
        <is>
          <t>YES 源备无差异</t>
        </is>
      </c>
      <c r="X171" s="0">
        <f>A171</f>
        <v/>
      </c>
    </row>
    <row r="172">
      <c r="B172" s="0" t="inlineStr">
        <is>
          <t>YES</t>
        </is>
      </c>
      <c r="C172" s="0" t="inlineStr">
        <is>
          <t>NULL</t>
        </is>
      </c>
      <c r="D172" s="0" t="inlineStr">
        <is>
          <t>NULL</t>
        </is>
      </c>
      <c r="E172" s="0" t="inlineStr">
        <is>
          <t>NULL</t>
        </is>
      </c>
      <c r="F172" s="0" t="inlineStr">
        <is>
          <t>NULL</t>
        </is>
      </c>
      <c r="G172" s="0" t="inlineStr">
        <is>
          <t>NULL</t>
        </is>
      </c>
      <c r="H172" s="0" t="inlineStr">
        <is>
          <t>NULL</t>
        </is>
      </c>
      <c r="I172" s="0" t="inlineStr">
        <is>
          <t>YES!PK__info_cha__3213E83FD6E1F870</t>
        </is>
      </c>
      <c r="J172" s="0" t="inlineStr">
        <is>
          <t>YES! 主键相关索引</t>
        </is>
      </c>
      <c r="K172" s="0" t="inlineStr">
        <is>
          <t>YES! 	 id列源备映射正确，源端为int None位	期望更改为int	实际备端为int None位</t>
        </is>
      </c>
    </row>
    <row r="173">
      <c r="B173" s="0" t="inlineStr">
        <is>
          <t>NULL</t>
        </is>
      </c>
      <c r="C173" s="0" t="inlineStr">
        <is>
          <t>NULL</t>
        </is>
      </c>
      <c r="D173" s="0" t="inlineStr">
        <is>
          <t>NULL</t>
        </is>
      </c>
      <c r="E173" s="0" t="inlineStr">
        <is>
          <t>NULL</t>
        </is>
      </c>
      <c r="F173" s="0" t="inlineStr">
        <is>
          <t>NULL</t>
        </is>
      </c>
      <c r="G173" s="0" t="inlineStr">
        <is>
          <t>NULL</t>
        </is>
      </c>
      <c r="H173" s="0" t="inlineStr">
        <is>
          <t>NULL</t>
        </is>
      </c>
      <c r="I173" s="0" t="inlineStr">
        <is>
          <t>NULL</t>
        </is>
      </c>
      <c r="J173" s="0" t="inlineStr">
        <is>
          <t>NULL</t>
        </is>
      </c>
      <c r="K173" s="0" t="inlineStr">
        <is>
          <t>YES! 	 c_char列源备映射正确，源端为char 1位	期望更改为char(n)	实际备端为char 1位</t>
        </is>
      </c>
    </row>
    <row r="174">
      <c r="B174" s="0" t="inlineStr">
        <is>
          <t>NULL</t>
        </is>
      </c>
      <c r="C174" s="0" t="inlineStr">
        <is>
          <t>NULL</t>
        </is>
      </c>
      <c r="D174" s="0" t="inlineStr">
        <is>
          <t>NULL</t>
        </is>
      </c>
      <c r="E174" s="0" t="inlineStr">
        <is>
          <t>NULL</t>
        </is>
      </c>
      <c r="F174" s="0" t="inlineStr">
        <is>
          <t>NULL</t>
        </is>
      </c>
      <c r="G174" s="0" t="inlineStr">
        <is>
          <t>NULL</t>
        </is>
      </c>
      <c r="H174" s="0" t="inlineStr">
        <is>
          <t>NULL</t>
        </is>
      </c>
      <c r="I174" s="0" t="inlineStr">
        <is>
          <t>NULL</t>
        </is>
      </c>
      <c r="J174" s="0" t="inlineStr">
        <is>
          <t>NULL</t>
        </is>
      </c>
      <c r="K174" s="0" t="inlineStr">
        <is>
          <t>YES! 	 c_char20列源备映射正确，源端为char 20位	期望更改为char(n)	实际备端为char 20位</t>
        </is>
      </c>
    </row>
    <row r="175">
      <c r="B175" s="0" t="inlineStr">
        <is>
          <t>NULL</t>
        </is>
      </c>
      <c r="C175" s="0" t="inlineStr">
        <is>
          <t>NULL</t>
        </is>
      </c>
      <c r="D175" s="0" t="inlineStr">
        <is>
          <t>NULL</t>
        </is>
      </c>
      <c r="E175" s="0" t="inlineStr">
        <is>
          <t>NULL</t>
        </is>
      </c>
      <c r="F175" s="0" t="inlineStr">
        <is>
          <t>NULL</t>
        </is>
      </c>
      <c r="G175" s="0" t="inlineStr">
        <is>
          <t>NULL</t>
        </is>
      </c>
      <c r="H175" s="0" t="inlineStr">
        <is>
          <t>NULL</t>
        </is>
      </c>
      <c r="I175" s="0" t="inlineStr">
        <is>
          <t>NULL</t>
        </is>
      </c>
      <c r="J175" s="0" t="inlineStr">
        <is>
          <t>NULL</t>
        </is>
      </c>
      <c r="K175" s="0" t="inlineStr">
        <is>
          <t>YES! 	 c_char7000列源备映射正确，源端为char 7000位	期望更改为char(n)	实际备端为char 7000位</t>
        </is>
      </c>
    </row>
    <row r="176">
      <c r="A176" s="0" t="inlineStr">
        <is>
          <t>info_char_dml_single_pk_drp</t>
        </is>
      </c>
      <c r="K176" s="0" t="inlineStr">
        <is>
          <t>[0;34m info_char_dml_single_pk_drp [0m源备字段数相同，源端字段：4 	备端字段4</t>
        </is>
      </c>
      <c r="W176" s="0" t="inlineStr">
        <is>
          <t>YES 源备无差异</t>
        </is>
      </c>
      <c r="X176" s="0">
        <f>A176</f>
        <v/>
      </c>
    </row>
    <row r="177">
      <c r="B177" s="0" t="inlineStr">
        <is>
          <t>YES</t>
        </is>
      </c>
      <c r="C177" s="0" t="inlineStr">
        <is>
          <t>NULL</t>
        </is>
      </c>
      <c r="D177" s="0" t="inlineStr">
        <is>
          <t>NULL</t>
        </is>
      </c>
      <c r="E177" s="0" t="inlineStr">
        <is>
          <t>NULL</t>
        </is>
      </c>
      <c r="F177" s="0" t="inlineStr">
        <is>
          <t>NULL</t>
        </is>
      </c>
      <c r="G177" s="0" t="inlineStr">
        <is>
          <t>NULL</t>
        </is>
      </c>
      <c r="H177" s="0" t="inlineStr">
        <is>
          <t>NULL</t>
        </is>
      </c>
      <c r="I177" s="0" t="inlineStr">
        <is>
          <t>YES!PK__info_cha__3213E83F737F950F</t>
        </is>
      </c>
      <c r="J177" s="0" t="inlineStr">
        <is>
          <t>YES! 主键相关索引</t>
        </is>
      </c>
      <c r="K177" s="0" t="inlineStr">
        <is>
          <t>YES! 	 id列源备映射正确，源端为int None位	期望更改为int	实际备端为int None位</t>
        </is>
      </c>
    </row>
    <row r="178">
      <c r="B178" s="0" t="inlineStr">
        <is>
          <t>NULL</t>
        </is>
      </c>
      <c r="C178" s="0" t="inlineStr">
        <is>
          <t>NULL</t>
        </is>
      </c>
      <c r="D178" s="0" t="inlineStr">
        <is>
          <t>NULL</t>
        </is>
      </c>
      <c r="E178" s="0" t="inlineStr">
        <is>
          <t>NULL</t>
        </is>
      </c>
      <c r="F178" s="0" t="inlineStr">
        <is>
          <t>NULL</t>
        </is>
      </c>
      <c r="G178" s="0" t="inlineStr">
        <is>
          <t>NULL</t>
        </is>
      </c>
      <c r="H178" s="0" t="inlineStr">
        <is>
          <t>NULL</t>
        </is>
      </c>
      <c r="I178" s="0" t="inlineStr">
        <is>
          <t>NULL</t>
        </is>
      </c>
      <c r="J178" s="0" t="inlineStr">
        <is>
          <t>NULL</t>
        </is>
      </c>
      <c r="K178" s="0" t="inlineStr">
        <is>
          <t>YES! 	 c_char列源备映射正确，源端为char 1位	期望更改为char(n)	实际备端为char 1位</t>
        </is>
      </c>
    </row>
    <row r="179">
      <c r="B179" s="0" t="inlineStr">
        <is>
          <t>NULL</t>
        </is>
      </c>
      <c r="C179" s="0" t="inlineStr">
        <is>
          <t>NULL</t>
        </is>
      </c>
      <c r="D179" s="0" t="inlineStr">
        <is>
          <t>NULL</t>
        </is>
      </c>
      <c r="E179" s="0" t="inlineStr">
        <is>
          <t>NULL</t>
        </is>
      </c>
      <c r="F179" s="0" t="inlineStr">
        <is>
          <t>NULL</t>
        </is>
      </c>
      <c r="G179" s="0" t="inlineStr">
        <is>
          <t>NULL</t>
        </is>
      </c>
      <c r="H179" s="0" t="inlineStr">
        <is>
          <t>NULL</t>
        </is>
      </c>
      <c r="I179" s="0" t="inlineStr">
        <is>
          <t>NULL</t>
        </is>
      </c>
      <c r="J179" s="0" t="inlineStr">
        <is>
          <t>NULL</t>
        </is>
      </c>
      <c r="K179" s="0" t="inlineStr">
        <is>
          <t>YES! 	 c_char20列源备映射正确，源端为char 20位	期望更改为char(n)	实际备端为char 20位</t>
        </is>
      </c>
    </row>
    <row r="180">
      <c r="B180" s="0" t="inlineStr">
        <is>
          <t>NULL</t>
        </is>
      </c>
      <c r="C180" s="0" t="inlineStr">
        <is>
          <t>NULL</t>
        </is>
      </c>
      <c r="D180" s="0" t="inlineStr">
        <is>
          <t>NULL</t>
        </is>
      </c>
      <c r="E180" s="0" t="inlineStr">
        <is>
          <t>NULL</t>
        </is>
      </c>
      <c r="F180" s="0" t="inlineStr">
        <is>
          <t>NULL</t>
        </is>
      </c>
      <c r="G180" s="0" t="inlineStr">
        <is>
          <t>NULL</t>
        </is>
      </c>
      <c r="H180" s="0" t="inlineStr">
        <is>
          <t>NULL</t>
        </is>
      </c>
      <c r="I180" s="0" t="inlineStr">
        <is>
          <t>NULL</t>
        </is>
      </c>
      <c r="J180" s="0" t="inlineStr">
        <is>
          <t>NULL</t>
        </is>
      </c>
      <c r="K180" s="0" t="inlineStr">
        <is>
          <t>YES! 	 c_char7000列源备映射正确，源端为char 7000位	期望更改为char(n)	实际备端为char 7000位</t>
        </is>
      </c>
    </row>
    <row r="181">
      <c r="A181" s="0" t="inlineStr">
        <is>
          <t>info_time_dml_batch1_pk</t>
        </is>
      </c>
      <c r="K181" s="0" t="inlineStr">
        <is>
          <t>[0;34m info_time_dml_batch1_pk [0m源备字段数相同，源端字段：9 	备端字段9</t>
        </is>
      </c>
      <c r="W181" s="0" t="inlineStr">
        <is>
          <t>YES 源备无差异</t>
        </is>
      </c>
      <c r="X181" s="0">
        <f>A181</f>
        <v/>
      </c>
    </row>
    <row r="182">
      <c r="B182" s="0" t="inlineStr">
        <is>
          <t>YES</t>
        </is>
      </c>
      <c r="C182" s="0" t="inlineStr">
        <is>
          <t>NULL</t>
        </is>
      </c>
      <c r="D182" s="0" t="inlineStr">
        <is>
          <t>NULL</t>
        </is>
      </c>
      <c r="E182" s="0" t="inlineStr">
        <is>
          <t>NULL</t>
        </is>
      </c>
      <c r="F182" s="0" t="inlineStr">
        <is>
          <t>NULL</t>
        </is>
      </c>
      <c r="G182" s="0" t="inlineStr">
        <is>
          <t>NULL</t>
        </is>
      </c>
      <c r="H182" s="0" t="inlineStr">
        <is>
          <t>NULL</t>
        </is>
      </c>
      <c r="I182" s="0" t="inlineStr">
        <is>
          <t>YES!PK__info_tim__3213E83F7708C811</t>
        </is>
      </c>
      <c r="J182" s="0" t="inlineStr">
        <is>
          <t>YES! 主键相关索引</t>
        </is>
      </c>
      <c r="K182" s="0" t="inlineStr">
        <is>
          <t>YES! 	 id列源备映射正确，源端为int None位	期望更改为int	实际备端为int None位</t>
        </is>
      </c>
    </row>
    <row r="183">
      <c r="B183" s="0" t="inlineStr">
        <is>
          <t>NULL</t>
        </is>
      </c>
      <c r="C183" s="0" t="inlineStr">
        <is>
          <t>NULL</t>
        </is>
      </c>
      <c r="D183" s="0" t="inlineStr">
        <is>
          <t>NULL</t>
        </is>
      </c>
      <c r="E183" s="0" t="inlineStr">
        <is>
          <t>NULL</t>
        </is>
      </c>
      <c r="F183" s="0" t="inlineStr">
        <is>
          <t>NULL</t>
        </is>
      </c>
      <c r="G183" s="0" t="inlineStr">
        <is>
          <t>NULL</t>
        </is>
      </c>
      <c r="H183" s="0" t="inlineStr">
        <is>
          <t>NULL</t>
        </is>
      </c>
      <c r="I183" s="0" t="inlineStr">
        <is>
          <t>NULL</t>
        </is>
      </c>
      <c r="J183" s="0" t="inlineStr">
        <is>
          <t>NULL</t>
        </is>
      </c>
      <c r="K183" s="0" t="inlineStr">
        <is>
          <t>no,len不存在</t>
        </is>
      </c>
    </row>
    <row r="184">
      <c r="B184" s="0" t="inlineStr">
        <is>
          <t>NULL</t>
        </is>
      </c>
      <c r="C184" s="0" t="inlineStr">
        <is>
          <t>NULL</t>
        </is>
      </c>
      <c r="D184" s="0" t="inlineStr">
        <is>
          <t>NULL</t>
        </is>
      </c>
      <c r="E184" s="0" t="inlineStr">
        <is>
          <t>NULL</t>
        </is>
      </c>
      <c r="F184" s="0" t="inlineStr">
        <is>
          <t>NULL</t>
        </is>
      </c>
      <c r="G184" s="0" t="inlineStr">
        <is>
          <t>NULL</t>
        </is>
      </c>
      <c r="H184" s="0" t="inlineStr">
        <is>
          <t>NULL</t>
        </is>
      </c>
      <c r="I184" s="0" t="inlineStr">
        <is>
          <t>NULL</t>
        </is>
      </c>
      <c r="J184" s="0" t="inlineStr">
        <is>
          <t>NULL</t>
        </is>
      </c>
      <c r="K184" s="0" t="inlineStr">
        <is>
          <t>YES! 	 c_time1列源备映射正确，源端为time None位	期望更改为time(n)	实际备端为time None位</t>
        </is>
      </c>
    </row>
    <row r="185">
      <c r="B185" s="0" t="inlineStr">
        <is>
          <t>NULL</t>
        </is>
      </c>
      <c r="C185" s="0" t="inlineStr">
        <is>
          <t>NULL</t>
        </is>
      </c>
      <c r="D185" s="0" t="inlineStr">
        <is>
          <t>NULL</t>
        </is>
      </c>
      <c r="E185" s="0" t="inlineStr">
        <is>
          <t>NULL</t>
        </is>
      </c>
      <c r="F185" s="0" t="inlineStr">
        <is>
          <t>NULL</t>
        </is>
      </c>
      <c r="G185" s="0" t="inlineStr">
        <is>
          <t>NULL</t>
        </is>
      </c>
      <c r="H185" s="0" t="inlineStr">
        <is>
          <t>NULL</t>
        </is>
      </c>
      <c r="I185" s="0" t="inlineStr">
        <is>
          <t>NULL</t>
        </is>
      </c>
      <c r="J185" s="0" t="inlineStr">
        <is>
          <t>NULL</t>
        </is>
      </c>
      <c r="K185" s="0" t="inlineStr">
        <is>
          <t>YES! 	 c_time2列源备映射正确，源端为time None位	期望更改为time(n)	实际备端为time None位</t>
        </is>
      </c>
    </row>
    <row r="186">
      <c r="B186" s="0" t="inlineStr">
        <is>
          <t>NULL</t>
        </is>
      </c>
      <c r="C186" s="0" t="inlineStr">
        <is>
          <t>NULL</t>
        </is>
      </c>
      <c r="D186" s="0" t="inlineStr">
        <is>
          <t>NULL</t>
        </is>
      </c>
      <c r="E186" s="0" t="inlineStr">
        <is>
          <t>NULL</t>
        </is>
      </c>
      <c r="F186" s="0" t="inlineStr">
        <is>
          <t>NULL</t>
        </is>
      </c>
      <c r="G186" s="0" t="inlineStr">
        <is>
          <t>NULL</t>
        </is>
      </c>
      <c r="H186" s="0" t="inlineStr">
        <is>
          <t>NULL</t>
        </is>
      </c>
      <c r="I186" s="0" t="inlineStr">
        <is>
          <t>NULL</t>
        </is>
      </c>
      <c r="J186" s="0" t="inlineStr">
        <is>
          <t>NULL</t>
        </is>
      </c>
      <c r="K186" s="0" t="inlineStr">
        <is>
          <t>YES! 	 c_time3列源备映射正确，源端为time None位	期望更改为time(n)	实际备端为time None位</t>
        </is>
      </c>
    </row>
    <row r="187">
      <c r="B187" s="0" t="inlineStr">
        <is>
          <t>NULL</t>
        </is>
      </c>
      <c r="C187" s="0" t="inlineStr">
        <is>
          <t>NULL</t>
        </is>
      </c>
      <c r="D187" s="0" t="inlineStr">
        <is>
          <t>NULL</t>
        </is>
      </c>
      <c r="E187" s="0" t="inlineStr">
        <is>
          <t>NULL</t>
        </is>
      </c>
      <c r="F187" s="0" t="inlineStr">
        <is>
          <t>NULL</t>
        </is>
      </c>
      <c r="G187" s="0" t="inlineStr">
        <is>
          <t>NULL</t>
        </is>
      </c>
      <c r="H187" s="0" t="inlineStr">
        <is>
          <t>NULL</t>
        </is>
      </c>
      <c r="I187" s="0" t="inlineStr">
        <is>
          <t>NULL</t>
        </is>
      </c>
      <c r="J187" s="0" t="inlineStr">
        <is>
          <t>NULL</t>
        </is>
      </c>
      <c r="K187" s="0" t="inlineStr">
        <is>
          <t>YES! 	 c_time4列源备映射正确，源端为time None位	期望更改为time(n)	实际备端为time None位</t>
        </is>
      </c>
    </row>
    <row r="188">
      <c r="B188" s="0" t="inlineStr">
        <is>
          <t>NULL</t>
        </is>
      </c>
      <c r="C188" s="0" t="inlineStr">
        <is>
          <t>NULL</t>
        </is>
      </c>
      <c r="D188" s="0" t="inlineStr">
        <is>
          <t>NULL</t>
        </is>
      </c>
      <c r="E188" s="0" t="inlineStr">
        <is>
          <t>NULL</t>
        </is>
      </c>
      <c r="F188" s="0" t="inlineStr">
        <is>
          <t>NULL</t>
        </is>
      </c>
      <c r="G188" s="0" t="inlineStr">
        <is>
          <t>NULL</t>
        </is>
      </c>
      <c r="H188" s="0" t="inlineStr">
        <is>
          <t>NULL</t>
        </is>
      </c>
      <c r="I188" s="0" t="inlineStr">
        <is>
          <t>NULL</t>
        </is>
      </c>
      <c r="J188" s="0" t="inlineStr">
        <is>
          <t>NULL</t>
        </is>
      </c>
      <c r="K188" s="0" t="inlineStr">
        <is>
          <t>YES! 	 c_time5列源备映射正确，源端为time None位	期望更改为time(n)	实际备端为time None位</t>
        </is>
      </c>
    </row>
    <row r="189">
      <c r="B189" s="0" t="inlineStr">
        <is>
          <t>NULL</t>
        </is>
      </c>
      <c r="C189" s="0" t="inlineStr">
        <is>
          <t>NULL</t>
        </is>
      </c>
      <c r="D189" s="0" t="inlineStr">
        <is>
          <t>NULL</t>
        </is>
      </c>
      <c r="E189" s="0" t="inlineStr">
        <is>
          <t>NULL</t>
        </is>
      </c>
      <c r="F189" s="0" t="inlineStr">
        <is>
          <t>NULL</t>
        </is>
      </c>
      <c r="G189" s="0" t="inlineStr">
        <is>
          <t>NULL</t>
        </is>
      </c>
      <c r="H189" s="0" t="inlineStr">
        <is>
          <t>NULL</t>
        </is>
      </c>
      <c r="I189" s="0" t="inlineStr">
        <is>
          <t>NULL</t>
        </is>
      </c>
      <c r="J189" s="0" t="inlineStr">
        <is>
          <t>NULL</t>
        </is>
      </c>
      <c r="K189" s="0" t="inlineStr">
        <is>
          <t>YES! 	 c_time6列源备映射正确，源端为time None位	期望更改为time(n)	实际备端为time None位</t>
        </is>
      </c>
    </row>
    <row r="190">
      <c r="B190" s="0" t="inlineStr">
        <is>
          <t>NULL</t>
        </is>
      </c>
      <c r="C190" s="0" t="inlineStr">
        <is>
          <t>NULL</t>
        </is>
      </c>
      <c r="D190" s="0" t="inlineStr">
        <is>
          <t>NULL</t>
        </is>
      </c>
      <c r="E190" s="0" t="inlineStr">
        <is>
          <t>NULL</t>
        </is>
      </c>
      <c r="F190" s="0" t="inlineStr">
        <is>
          <t>NULL</t>
        </is>
      </c>
      <c r="G190" s="0" t="inlineStr">
        <is>
          <t>NULL</t>
        </is>
      </c>
      <c r="H190" s="0" t="inlineStr">
        <is>
          <t>NULL</t>
        </is>
      </c>
      <c r="I190" s="0" t="inlineStr">
        <is>
          <t>NULL</t>
        </is>
      </c>
      <c r="J190" s="0" t="inlineStr">
        <is>
          <t>NULL</t>
        </is>
      </c>
      <c r="K190" s="0" t="inlineStr">
        <is>
          <t>YES! 	 c_time列源备映射正确，源端为time None位	期望更改为time(n)	实际备端为time None位</t>
        </is>
      </c>
    </row>
    <row r="191">
      <c r="A191" s="0" t="inlineStr">
        <is>
          <t>info_char_dml_batch2_pk_irp2</t>
        </is>
      </c>
      <c r="K191" s="0" t="inlineStr">
        <is>
          <t>[0;34m info_char_dml_batch2_pk_irp2 [0m源备字段数相同，源端字段：4 	备端字段4</t>
        </is>
      </c>
      <c r="W191" s="0" t="inlineStr">
        <is>
          <t>YES 源备无差异</t>
        </is>
      </c>
      <c r="X191" s="0">
        <f>A191</f>
        <v/>
      </c>
    </row>
    <row r="192">
      <c r="B192" s="0" t="inlineStr">
        <is>
          <t>YES</t>
        </is>
      </c>
      <c r="C192" s="0" t="inlineStr">
        <is>
          <t>NULL</t>
        </is>
      </c>
      <c r="D192" s="0" t="inlineStr">
        <is>
          <t>NULL</t>
        </is>
      </c>
      <c r="E192" s="0" t="inlineStr">
        <is>
          <t>NULL</t>
        </is>
      </c>
      <c r="F192" s="0" t="inlineStr">
        <is>
          <t>NULL</t>
        </is>
      </c>
      <c r="G192" s="0" t="inlineStr">
        <is>
          <t>NULL</t>
        </is>
      </c>
      <c r="H192" s="0" t="inlineStr">
        <is>
          <t>NULL</t>
        </is>
      </c>
      <c r="I192" s="0" t="inlineStr">
        <is>
          <t>YES!PK__info_cha__3213E83F17ECD9F4</t>
        </is>
      </c>
      <c r="J192" s="0" t="inlineStr">
        <is>
          <t>YES! 主键相关索引</t>
        </is>
      </c>
      <c r="K192" s="0" t="inlineStr">
        <is>
          <t>YES! 	 id列源备映射正确，源端为int None位	期望更改为int	实际备端为int None位</t>
        </is>
      </c>
    </row>
    <row r="193">
      <c r="B193" s="0" t="inlineStr">
        <is>
          <t>NULL</t>
        </is>
      </c>
      <c r="C193" s="0" t="inlineStr">
        <is>
          <t>NULL</t>
        </is>
      </c>
      <c r="D193" s="0" t="inlineStr">
        <is>
          <t>NULL</t>
        </is>
      </c>
      <c r="E193" s="0" t="inlineStr">
        <is>
          <t>NULL</t>
        </is>
      </c>
      <c r="F193" s="0" t="inlineStr">
        <is>
          <t>NULL</t>
        </is>
      </c>
      <c r="G193" s="0" t="inlineStr">
        <is>
          <t>NULL</t>
        </is>
      </c>
      <c r="H193" s="0" t="inlineStr">
        <is>
          <t>NULL</t>
        </is>
      </c>
      <c r="I193" s="0" t="inlineStr">
        <is>
          <t>NULL</t>
        </is>
      </c>
      <c r="J193" s="0" t="inlineStr">
        <is>
          <t>NULL</t>
        </is>
      </c>
      <c r="K193" s="0" t="inlineStr">
        <is>
          <t>YES! 	 c_char列源备映射正确，源端为char 1位	期望更改为char(n)	实际备端为char 1位</t>
        </is>
      </c>
    </row>
    <row r="194">
      <c r="B194" s="0" t="inlineStr">
        <is>
          <t>NULL</t>
        </is>
      </c>
      <c r="C194" s="0" t="inlineStr">
        <is>
          <t>NULL</t>
        </is>
      </c>
      <c r="D194" s="0" t="inlineStr">
        <is>
          <t>NULL</t>
        </is>
      </c>
      <c r="E194" s="0" t="inlineStr">
        <is>
          <t>NULL</t>
        </is>
      </c>
      <c r="F194" s="0" t="inlineStr">
        <is>
          <t>NULL</t>
        </is>
      </c>
      <c r="G194" s="0" t="inlineStr">
        <is>
          <t>NULL</t>
        </is>
      </c>
      <c r="H194" s="0" t="inlineStr">
        <is>
          <t>NULL</t>
        </is>
      </c>
      <c r="I194" s="0" t="inlineStr">
        <is>
          <t>NULL</t>
        </is>
      </c>
      <c r="J194" s="0" t="inlineStr">
        <is>
          <t>NULL</t>
        </is>
      </c>
      <c r="K194" s="0" t="inlineStr">
        <is>
          <t>YES! 	 c_char20列源备映射正确，源端为char 20位	期望更改为char(n)	实际备端为char 20位</t>
        </is>
      </c>
    </row>
    <row r="195">
      <c r="B195" s="0" t="inlineStr">
        <is>
          <t>NULL</t>
        </is>
      </c>
      <c r="C195" s="0" t="inlineStr">
        <is>
          <t>NULL</t>
        </is>
      </c>
      <c r="D195" s="0" t="inlineStr">
        <is>
          <t>NULL</t>
        </is>
      </c>
      <c r="E195" s="0" t="inlineStr">
        <is>
          <t>NULL</t>
        </is>
      </c>
      <c r="F195" s="0" t="inlineStr">
        <is>
          <t>NULL</t>
        </is>
      </c>
      <c r="G195" s="0" t="inlineStr">
        <is>
          <t>NULL</t>
        </is>
      </c>
      <c r="H195" s="0" t="inlineStr">
        <is>
          <t>NULL</t>
        </is>
      </c>
      <c r="I195" s="0" t="inlineStr">
        <is>
          <t>NULL</t>
        </is>
      </c>
      <c r="J195" s="0" t="inlineStr">
        <is>
          <t>NULL</t>
        </is>
      </c>
      <c r="K195" s="0" t="inlineStr">
        <is>
          <t>YES! 	 c_char8000列源备映射正确，源端为char 8000位	期望更改为char(n)	实际备端为char 8000位</t>
        </is>
      </c>
    </row>
    <row r="196">
      <c r="A196" s="0" t="inlineStr">
        <is>
          <t>info_hierarchyid_dml_single_pk_drp</t>
        </is>
      </c>
      <c r="K196" s="0" t="inlineStr">
        <is>
          <t>[0;34m info_hierarchyid_dml_single_pk_drp [0m源备字段数相同，源端字段：2 	备端字段2</t>
        </is>
      </c>
      <c r="W196" s="0" t="inlineStr">
        <is>
          <t>YES 源备无差异</t>
        </is>
      </c>
      <c r="X196" s="0">
        <f>A196</f>
        <v/>
      </c>
    </row>
    <row r="197">
      <c r="B197" s="0" t="inlineStr">
        <is>
          <t>YES</t>
        </is>
      </c>
      <c r="C197" s="0" t="inlineStr">
        <is>
          <t>NULL</t>
        </is>
      </c>
      <c r="D197" s="0" t="inlineStr">
        <is>
          <t>NULL</t>
        </is>
      </c>
      <c r="E197" s="0" t="inlineStr">
        <is>
          <t>NULL</t>
        </is>
      </c>
      <c r="F197" s="0" t="inlineStr">
        <is>
          <t>NULL</t>
        </is>
      </c>
      <c r="G197" s="0" t="inlineStr">
        <is>
          <t>NULL</t>
        </is>
      </c>
      <c r="H197" s="0" t="inlineStr">
        <is>
          <t>NULL</t>
        </is>
      </c>
      <c r="I197" s="0" t="inlineStr">
        <is>
          <t>YES!PK__info_hie__3213E83F1847B547</t>
        </is>
      </c>
      <c r="J197" s="0" t="inlineStr">
        <is>
          <t>YES! 主键相关索引</t>
        </is>
      </c>
      <c r="K197" s="0" t="inlineStr">
        <is>
          <t>YES! 	 id列源备映射正确，源端为int None位	期望更改为int	实际备端为int None位</t>
        </is>
      </c>
    </row>
    <row r="198">
      <c r="B198" s="0" t="inlineStr">
        <is>
          <t>NULL</t>
        </is>
      </c>
      <c r="C198" s="0" t="inlineStr">
        <is>
          <t>NULL</t>
        </is>
      </c>
      <c r="D198" s="0" t="inlineStr">
        <is>
          <t>NULL</t>
        </is>
      </c>
      <c r="E198" s="0" t="inlineStr">
        <is>
          <t>NULL</t>
        </is>
      </c>
      <c r="F198" s="0" t="inlineStr">
        <is>
          <t>NULL</t>
        </is>
      </c>
      <c r="G198" s="0" t="inlineStr">
        <is>
          <t>NULL</t>
        </is>
      </c>
      <c r="H198" s="0" t="inlineStr">
        <is>
          <t>NULL</t>
        </is>
      </c>
      <c r="I198" s="0" t="inlineStr">
        <is>
          <t>NULL</t>
        </is>
      </c>
      <c r="J198" s="0" t="inlineStr">
        <is>
          <t>NULL</t>
        </is>
      </c>
      <c r="K198" s="0" t="inlineStr">
        <is>
          <t>YES! 	 c_hierarchyid列源备映射正确，源端为hierarchyid 892位	期望更改为hierarchyid	实际备端为hierarchyid 892位</t>
        </is>
      </c>
    </row>
    <row r="199">
      <c r="A199" s="0" t="inlineStr">
        <is>
          <t>info_char_dml_batch1_pk_urp1</t>
        </is>
      </c>
      <c r="K199" s="0" t="inlineStr">
        <is>
          <t>[0;34m info_char_dml_batch1_pk_urp1 [0m源备字段数相同，源端字段：4 	备端字段4</t>
        </is>
      </c>
      <c r="W199" s="0" t="inlineStr">
        <is>
          <t>YES 源备无差异</t>
        </is>
      </c>
      <c r="X199" s="0">
        <f>A199</f>
        <v/>
      </c>
    </row>
    <row r="200">
      <c r="B200" s="0" t="inlineStr">
        <is>
          <t>YES</t>
        </is>
      </c>
      <c r="C200" s="0" t="inlineStr">
        <is>
          <t>NULL</t>
        </is>
      </c>
      <c r="D200" s="0" t="inlineStr">
        <is>
          <t>NULL</t>
        </is>
      </c>
      <c r="E200" s="0" t="inlineStr">
        <is>
          <t>NULL</t>
        </is>
      </c>
      <c r="F200" s="0" t="inlineStr">
        <is>
          <t>NULL</t>
        </is>
      </c>
      <c r="G200" s="0" t="inlineStr">
        <is>
          <t>NULL</t>
        </is>
      </c>
      <c r="H200" s="0" t="inlineStr">
        <is>
          <t>NULL</t>
        </is>
      </c>
      <c r="I200" s="0" t="inlineStr">
        <is>
          <t>YES!PK__info_cha__3213E83F919F0F13</t>
        </is>
      </c>
      <c r="J200" s="0" t="inlineStr">
        <is>
          <t>YES! 主键相关索引</t>
        </is>
      </c>
      <c r="K200" s="0" t="inlineStr">
        <is>
          <t>YES! 	 id列源备映射正确，源端为int None位	期望更改为int	实际备端为int None位</t>
        </is>
      </c>
    </row>
    <row r="201">
      <c r="B201" s="0" t="inlineStr">
        <is>
          <t>NULL</t>
        </is>
      </c>
      <c r="C201" s="0" t="inlineStr">
        <is>
          <t>NULL</t>
        </is>
      </c>
      <c r="D201" s="0" t="inlineStr">
        <is>
          <t>NULL</t>
        </is>
      </c>
      <c r="E201" s="0" t="inlineStr">
        <is>
          <t>NULL</t>
        </is>
      </c>
      <c r="F201" s="0" t="inlineStr">
        <is>
          <t>NULL</t>
        </is>
      </c>
      <c r="G201" s="0" t="inlineStr">
        <is>
          <t>NULL</t>
        </is>
      </c>
      <c r="H201" s="0" t="inlineStr">
        <is>
          <t>NULL</t>
        </is>
      </c>
      <c r="I201" s="0" t="inlineStr">
        <is>
          <t>NULL</t>
        </is>
      </c>
      <c r="J201" s="0" t="inlineStr">
        <is>
          <t>NULL</t>
        </is>
      </c>
      <c r="K201" s="0" t="inlineStr">
        <is>
          <t>YES! 	 c_char列源备映射正确，源端为char 1位	期望更改为char(n)	实际备端为char 1位</t>
        </is>
      </c>
    </row>
    <row r="202">
      <c r="B202" s="0" t="inlineStr">
        <is>
          <t>NULL</t>
        </is>
      </c>
      <c r="C202" s="0" t="inlineStr">
        <is>
          <t>NULL</t>
        </is>
      </c>
      <c r="D202" s="0" t="inlineStr">
        <is>
          <t>NULL</t>
        </is>
      </c>
      <c r="E202" s="0" t="inlineStr">
        <is>
          <t>NULL</t>
        </is>
      </c>
      <c r="F202" s="0" t="inlineStr">
        <is>
          <t>NULL</t>
        </is>
      </c>
      <c r="G202" s="0" t="inlineStr">
        <is>
          <t>NULL</t>
        </is>
      </c>
      <c r="H202" s="0" t="inlineStr">
        <is>
          <t>NULL</t>
        </is>
      </c>
      <c r="I202" s="0" t="inlineStr">
        <is>
          <t>NULL</t>
        </is>
      </c>
      <c r="J202" s="0" t="inlineStr">
        <is>
          <t>NULL</t>
        </is>
      </c>
      <c r="K202" s="0" t="inlineStr">
        <is>
          <t>YES! 	 c_char20列源备映射正确，源端为char 20位	期望更改为char(n)	实际备端为char 20位</t>
        </is>
      </c>
    </row>
    <row r="203">
      <c r="B203" s="0" t="inlineStr">
        <is>
          <t>NULL</t>
        </is>
      </c>
      <c r="C203" s="0" t="inlineStr">
        <is>
          <t>NULL</t>
        </is>
      </c>
      <c r="D203" s="0" t="inlineStr">
        <is>
          <t>NULL</t>
        </is>
      </c>
      <c r="E203" s="0" t="inlineStr">
        <is>
          <t>NULL</t>
        </is>
      </c>
      <c r="F203" s="0" t="inlineStr">
        <is>
          <t>NULL</t>
        </is>
      </c>
      <c r="G203" s="0" t="inlineStr">
        <is>
          <t>NULL</t>
        </is>
      </c>
      <c r="H203" s="0" t="inlineStr">
        <is>
          <t>NULL</t>
        </is>
      </c>
      <c r="I203" s="0" t="inlineStr">
        <is>
          <t>NULL</t>
        </is>
      </c>
      <c r="J203" s="0" t="inlineStr">
        <is>
          <t>NULL</t>
        </is>
      </c>
      <c r="K203" s="0" t="inlineStr">
        <is>
          <t>YES! 	 c_char7000列源备映射正确，源端为char 7000位	期望更改为char(n)	实际备端为char 7000位</t>
        </is>
      </c>
    </row>
    <row r="204">
      <c r="A204" s="0" t="inlineStr">
        <is>
          <t>info_varchar_dml_single_nopk</t>
        </is>
      </c>
      <c r="K204" s="0" t="inlineStr">
        <is>
          <t>[0;34m info_varchar_dml_single_nopk [0m源备字段数相同，源端字段：4 	备端字段4</t>
        </is>
      </c>
      <c r="W204" s="0" t="inlineStr">
        <is>
          <t>YES 源备无差异</t>
        </is>
      </c>
      <c r="X204" s="0">
        <f>A204</f>
        <v/>
      </c>
    </row>
    <row r="205">
      <c r="B205" s="0" t="inlineStr">
        <is>
          <t>NULL</t>
        </is>
      </c>
      <c r="C205" s="0" t="inlineStr">
        <is>
          <t>NULL</t>
        </is>
      </c>
      <c r="D205" s="0" t="inlineStr">
        <is>
          <t>NULL</t>
        </is>
      </c>
      <c r="E205" s="0" t="inlineStr">
        <is>
          <t>NULL</t>
        </is>
      </c>
      <c r="F205" s="0" t="inlineStr">
        <is>
          <t>NULL</t>
        </is>
      </c>
      <c r="G205" s="0" t="inlineStr">
        <is>
          <t>NULL</t>
        </is>
      </c>
      <c r="H205" s="0" t="inlineStr">
        <is>
          <t>NULL</t>
        </is>
      </c>
      <c r="I205" s="0" t="inlineStr">
        <is>
          <t>NULL</t>
        </is>
      </c>
      <c r="J205" s="0" t="inlineStr">
        <is>
          <t>NULL</t>
        </is>
      </c>
      <c r="K205" s="0" t="inlineStr">
        <is>
          <t>YES! 	 id列源备映射正确，源端为int None位	期望更改为int	实际备端为int None位</t>
        </is>
      </c>
    </row>
    <row r="206">
      <c r="B206" s="0" t="inlineStr">
        <is>
          <t>NULL</t>
        </is>
      </c>
      <c r="C206" s="0" t="inlineStr">
        <is>
          <t>NULL</t>
        </is>
      </c>
      <c r="D206" s="0" t="inlineStr">
        <is>
          <t>NULL</t>
        </is>
      </c>
      <c r="E206" s="0" t="inlineStr">
        <is>
          <t>NULL</t>
        </is>
      </c>
      <c r="F206" s="0" t="inlineStr">
        <is>
          <t>NULL</t>
        </is>
      </c>
      <c r="G206" s="0" t="inlineStr">
        <is>
          <t>NULL</t>
        </is>
      </c>
      <c r="H206" s="0" t="inlineStr">
        <is>
          <t>NULL</t>
        </is>
      </c>
      <c r="I206" s="0" t="inlineStr">
        <is>
          <t>NULL</t>
        </is>
      </c>
      <c r="J206" s="0" t="inlineStr">
        <is>
          <t>NULL</t>
        </is>
      </c>
      <c r="K206" s="0" t="inlineStr">
        <is>
          <t>YES! 	 c_varchar列源备映射正确，源端为varchar 1位	期望更改为varchar(n)	实际备端为varchar 1位</t>
        </is>
      </c>
    </row>
    <row r="207">
      <c r="B207" s="0" t="inlineStr">
        <is>
          <t>NULL</t>
        </is>
      </c>
      <c r="C207" s="0" t="inlineStr">
        <is>
          <t>NULL</t>
        </is>
      </c>
      <c r="D207" s="0" t="inlineStr">
        <is>
          <t>NULL</t>
        </is>
      </c>
      <c r="E207" s="0" t="inlineStr">
        <is>
          <t>NULL</t>
        </is>
      </c>
      <c r="F207" s="0" t="inlineStr">
        <is>
          <t>NULL</t>
        </is>
      </c>
      <c r="G207" s="0" t="inlineStr">
        <is>
          <t>NULL</t>
        </is>
      </c>
      <c r="H207" s="0" t="inlineStr">
        <is>
          <t>NULL</t>
        </is>
      </c>
      <c r="I207" s="0" t="inlineStr">
        <is>
          <t>NULL</t>
        </is>
      </c>
      <c r="J207" s="0" t="inlineStr">
        <is>
          <t>NULL</t>
        </is>
      </c>
      <c r="K207" s="0" t="inlineStr">
        <is>
          <t>YES! 	 c_varchar50列源备映射正确，源端为varchar 50位	期望更改为varchar(n)	实际备端为varchar 50位</t>
        </is>
      </c>
    </row>
    <row r="208">
      <c r="B208" s="0" t="inlineStr">
        <is>
          <t>NULL</t>
        </is>
      </c>
      <c r="C208" s="0" t="inlineStr">
        <is>
          <t>NULL</t>
        </is>
      </c>
      <c r="D208" s="0" t="inlineStr">
        <is>
          <t>NULL</t>
        </is>
      </c>
      <c r="E208" s="0" t="inlineStr">
        <is>
          <t>NULL</t>
        </is>
      </c>
      <c r="F208" s="0" t="inlineStr">
        <is>
          <t>NULL</t>
        </is>
      </c>
      <c r="G208" s="0" t="inlineStr">
        <is>
          <t>NULL</t>
        </is>
      </c>
      <c r="H208" s="0" t="inlineStr">
        <is>
          <t>NULL</t>
        </is>
      </c>
      <c r="I208" s="0" t="inlineStr">
        <is>
          <t>NULL</t>
        </is>
      </c>
      <c r="J208" s="0" t="inlineStr">
        <is>
          <t>NULL</t>
        </is>
      </c>
      <c r="K208" s="0" t="inlineStr">
        <is>
          <t>YES! 	 c_varchar8000列源备映射正确，源端为varchar 8000位	期望更改为varchar(n)	实际备端为varchar 8000位</t>
        </is>
      </c>
    </row>
    <row r="209">
      <c r="A209" s="0" t="inlineStr">
        <is>
          <t>info_char_dml_single_pk</t>
        </is>
      </c>
      <c r="K209" s="0" t="inlineStr">
        <is>
          <t>[0;34m info_char_dml_single_pk [0m源备字段数相同，源端字段：4 	备端字段4</t>
        </is>
      </c>
      <c r="W209" s="0" t="inlineStr">
        <is>
          <t>YES 源备无差异</t>
        </is>
      </c>
      <c r="X209" s="0">
        <f>A209</f>
        <v/>
      </c>
    </row>
    <row r="210">
      <c r="B210" s="0" t="inlineStr">
        <is>
          <t>YES</t>
        </is>
      </c>
      <c r="C210" s="0" t="inlineStr">
        <is>
          <t>NULL</t>
        </is>
      </c>
      <c r="D210" s="0" t="inlineStr">
        <is>
          <t>NULL</t>
        </is>
      </c>
      <c r="E210" s="0" t="inlineStr">
        <is>
          <t>NULL</t>
        </is>
      </c>
      <c r="F210" s="0" t="inlineStr">
        <is>
          <t>NULL</t>
        </is>
      </c>
      <c r="G210" s="0" t="inlineStr">
        <is>
          <t>NULL</t>
        </is>
      </c>
      <c r="H210" s="0" t="inlineStr">
        <is>
          <t>NULL</t>
        </is>
      </c>
      <c r="I210" s="0" t="inlineStr">
        <is>
          <t>YES!PK__info_cha__3213E83FE0B552FC</t>
        </is>
      </c>
      <c r="J210" s="0" t="inlineStr">
        <is>
          <t>YES! 主键相关索引</t>
        </is>
      </c>
      <c r="K210" s="0" t="inlineStr">
        <is>
          <t>YES! 	 id列源备映射正确，源端为int None位	期望更改为int	实际备端为int None位</t>
        </is>
      </c>
    </row>
    <row r="211">
      <c r="B211" s="0" t="inlineStr">
        <is>
          <t>NULL</t>
        </is>
      </c>
      <c r="C211" s="0" t="inlineStr">
        <is>
          <t>NULL</t>
        </is>
      </c>
      <c r="D211" s="0" t="inlineStr">
        <is>
          <t>NULL</t>
        </is>
      </c>
      <c r="E211" s="0" t="inlineStr">
        <is>
          <t>NULL</t>
        </is>
      </c>
      <c r="F211" s="0" t="inlineStr">
        <is>
          <t>NULL</t>
        </is>
      </c>
      <c r="G211" s="0" t="inlineStr">
        <is>
          <t>NULL</t>
        </is>
      </c>
      <c r="H211" s="0" t="inlineStr">
        <is>
          <t>NULL</t>
        </is>
      </c>
      <c r="I211" s="0" t="inlineStr">
        <is>
          <t>NULL</t>
        </is>
      </c>
      <c r="J211" s="0" t="inlineStr">
        <is>
          <t>NULL</t>
        </is>
      </c>
      <c r="K211" s="0" t="inlineStr">
        <is>
          <t>YES! 	 c_char列源备映射正确，源端为char 1位	期望更改为char(n)	实际备端为char 1位</t>
        </is>
      </c>
    </row>
    <row r="212">
      <c r="B212" s="0" t="inlineStr">
        <is>
          <t>NULL</t>
        </is>
      </c>
      <c r="C212" s="0" t="inlineStr">
        <is>
          <t>NULL</t>
        </is>
      </c>
      <c r="D212" s="0" t="inlineStr">
        <is>
          <t>NULL</t>
        </is>
      </c>
      <c r="E212" s="0" t="inlineStr">
        <is>
          <t>NULL</t>
        </is>
      </c>
      <c r="F212" s="0" t="inlineStr">
        <is>
          <t>NULL</t>
        </is>
      </c>
      <c r="G212" s="0" t="inlineStr">
        <is>
          <t>NULL</t>
        </is>
      </c>
      <c r="H212" s="0" t="inlineStr">
        <is>
          <t>NULL</t>
        </is>
      </c>
      <c r="I212" s="0" t="inlineStr">
        <is>
          <t>NULL</t>
        </is>
      </c>
      <c r="J212" s="0" t="inlineStr">
        <is>
          <t>NULL</t>
        </is>
      </c>
      <c r="K212" s="0" t="inlineStr">
        <is>
          <t>YES! 	 c_char20列源备映射正确，源端为char 20位	期望更改为char(n)	实际备端为char 20位</t>
        </is>
      </c>
    </row>
    <row r="213">
      <c r="B213" s="0" t="inlineStr">
        <is>
          <t>NULL</t>
        </is>
      </c>
      <c r="C213" s="0" t="inlineStr">
        <is>
          <t>NULL</t>
        </is>
      </c>
      <c r="D213" s="0" t="inlineStr">
        <is>
          <t>NULL</t>
        </is>
      </c>
      <c r="E213" s="0" t="inlineStr">
        <is>
          <t>NULL</t>
        </is>
      </c>
      <c r="F213" s="0" t="inlineStr">
        <is>
          <t>NULL</t>
        </is>
      </c>
      <c r="G213" s="0" t="inlineStr">
        <is>
          <t>NULL</t>
        </is>
      </c>
      <c r="H213" s="0" t="inlineStr">
        <is>
          <t>NULL</t>
        </is>
      </c>
      <c r="I213" s="0" t="inlineStr">
        <is>
          <t>NULL</t>
        </is>
      </c>
      <c r="J213" s="0" t="inlineStr">
        <is>
          <t>NULL</t>
        </is>
      </c>
      <c r="K213" s="0" t="inlineStr">
        <is>
          <t>YES! 	 c_char7000列源备映射正确，源端为char 7000位	期望更改为char(n)	实际备端为char 7000位</t>
        </is>
      </c>
    </row>
    <row r="214">
      <c r="A214" s="0" t="inlineStr">
        <is>
          <t>info_sdt_dml_batch1_pk_irp1</t>
        </is>
      </c>
      <c r="K214" s="0" t="inlineStr">
        <is>
          <t>[0;34m info_sdt_dml_batch1_pk_irp1 [0m源备字段数相同，源端字段：2 	备端字段2</t>
        </is>
      </c>
      <c r="W214" s="0" t="inlineStr">
        <is>
          <t>YES 源备无差异</t>
        </is>
      </c>
      <c r="X214" s="0">
        <f>A214</f>
        <v/>
      </c>
    </row>
    <row r="215">
      <c r="B215" s="0" t="inlineStr">
        <is>
          <t>YES</t>
        </is>
      </c>
      <c r="C215" s="0" t="inlineStr">
        <is>
          <t>NULL</t>
        </is>
      </c>
      <c r="D215" s="0" t="inlineStr">
        <is>
          <t>NULL</t>
        </is>
      </c>
      <c r="E215" s="0" t="inlineStr">
        <is>
          <t>NULL</t>
        </is>
      </c>
      <c r="F215" s="0" t="inlineStr">
        <is>
          <t>NULL</t>
        </is>
      </c>
      <c r="G215" s="0" t="inlineStr">
        <is>
          <t>NULL</t>
        </is>
      </c>
      <c r="H215" s="0" t="inlineStr">
        <is>
          <t>NULL</t>
        </is>
      </c>
      <c r="I215" s="0" t="inlineStr">
        <is>
          <t>YES!PK__info_sdt__3213E83F1B06488F</t>
        </is>
      </c>
      <c r="J215" s="0" t="inlineStr">
        <is>
          <t>YES! 主键相关索引</t>
        </is>
      </c>
      <c r="K215" s="0" t="inlineStr">
        <is>
          <t>YES! 	 id列源备映射正确，源端为int None位	期望更改为int	实际备端为int None位</t>
        </is>
      </c>
    </row>
    <row r="216">
      <c r="B216" s="0" t="inlineStr">
        <is>
          <t>NULL</t>
        </is>
      </c>
      <c r="C216" s="0" t="inlineStr">
        <is>
          <t>NULL</t>
        </is>
      </c>
      <c r="D216" s="0" t="inlineStr">
        <is>
          <t>NULL</t>
        </is>
      </c>
      <c r="E216" s="0" t="inlineStr">
        <is>
          <t>NULL</t>
        </is>
      </c>
      <c r="F216" s="0" t="inlineStr">
        <is>
          <t>NULL</t>
        </is>
      </c>
      <c r="G216" s="0" t="inlineStr">
        <is>
          <t>NULL</t>
        </is>
      </c>
      <c r="H216" s="0" t="inlineStr">
        <is>
          <t>NULL</t>
        </is>
      </c>
      <c r="I216" s="0" t="inlineStr">
        <is>
          <t>NULL</t>
        </is>
      </c>
      <c r="J216" s="0" t="inlineStr">
        <is>
          <t>NULL</t>
        </is>
      </c>
      <c r="K216" s="0" t="inlineStr">
        <is>
          <t>YES! 	 c_sdt列源备映射正确，源端为smalldatetime None位	期望更改为smalldatetime	实际备端为smalldatetime None位</t>
        </is>
      </c>
    </row>
    <row r="217">
      <c r="A217" s="0" t="inlineStr">
        <is>
          <t>info_char_dml_batch1_pk_urp2</t>
        </is>
      </c>
      <c r="K217" s="0" t="inlineStr">
        <is>
          <t>[0;34m info_char_dml_batch1_pk_urp2 [0m源备字段数相同，源端字段：4 	备端字段4</t>
        </is>
      </c>
      <c r="W217" s="0" t="inlineStr">
        <is>
          <t>YES 源备无差异</t>
        </is>
      </c>
      <c r="X217" s="0">
        <f>A217</f>
        <v/>
      </c>
    </row>
    <row r="218">
      <c r="B218" s="0" t="inlineStr">
        <is>
          <t>YES</t>
        </is>
      </c>
      <c r="C218" s="0" t="inlineStr">
        <is>
          <t>NULL</t>
        </is>
      </c>
      <c r="D218" s="0" t="inlineStr">
        <is>
          <t>NULL</t>
        </is>
      </c>
      <c r="E218" s="0" t="inlineStr">
        <is>
          <t>NULL</t>
        </is>
      </c>
      <c r="F218" s="0" t="inlineStr">
        <is>
          <t>NULL</t>
        </is>
      </c>
      <c r="G218" s="0" t="inlineStr">
        <is>
          <t>NULL</t>
        </is>
      </c>
      <c r="H218" s="0" t="inlineStr">
        <is>
          <t>NULL</t>
        </is>
      </c>
      <c r="I218" s="0" t="inlineStr">
        <is>
          <t>YES!PK__info_cha__3213E83FEA22634D</t>
        </is>
      </c>
      <c r="J218" s="0" t="inlineStr">
        <is>
          <t>YES! 主键相关索引</t>
        </is>
      </c>
      <c r="K218" s="0" t="inlineStr">
        <is>
          <t>YES! 	 id列源备映射正确，源端为int None位	期望更改为int	实际备端为int None位</t>
        </is>
      </c>
    </row>
    <row r="219">
      <c r="B219" s="0" t="inlineStr">
        <is>
          <t>NULL</t>
        </is>
      </c>
      <c r="C219" s="0" t="inlineStr">
        <is>
          <t>NULL</t>
        </is>
      </c>
      <c r="D219" s="0" t="inlineStr">
        <is>
          <t>NULL</t>
        </is>
      </c>
      <c r="E219" s="0" t="inlineStr">
        <is>
          <t>NULL</t>
        </is>
      </c>
      <c r="F219" s="0" t="inlineStr">
        <is>
          <t>NULL</t>
        </is>
      </c>
      <c r="G219" s="0" t="inlineStr">
        <is>
          <t>NULL</t>
        </is>
      </c>
      <c r="H219" s="0" t="inlineStr">
        <is>
          <t>NULL</t>
        </is>
      </c>
      <c r="I219" s="0" t="inlineStr">
        <is>
          <t>NULL</t>
        </is>
      </c>
      <c r="J219" s="0" t="inlineStr">
        <is>
          <t>NULL</t>
        </is>
      </c>
      <c r="K219" s="0" t="inlineStr">
        <is>
          <t>YES! 	 c_char列源备映射正确，源端为char 1位	期望更改为char(n)	实际备端为char 1位</t>
        </is>
      </c>
    </row>
    <row r="220">
      <c r="B220" s="0" t="inlineStr">
        <is>
          <t>NULL</t>
        </is>
      </c>
      <c r="C220" s="0" t="inlineStr">
        <is>
          <t>NULL</t>
        </is>
      </c>
      <c r="D220" s="0" t="inlineStr">
        <is>
          <t>NULL</t>
        </is>
      </c>
      <c r="E220" s="0" t="inlineStr">
        <is>
          <t>NULL</t>
        </is>
      </c>
      <c r="F220" s="0" t="inlineStr">
        <is>
          <t>NULL</t>
        </is>
      </c>
      <c r="G220" s="0" t="inlineStr">
        <is>
          <t>NULL</t>
        </is>
      </c>
      <c r="H220" s="0" t="inlineStr">
        <is>
          <t>NULL</t>
        </is>
      </c>
      <c r="I220" s="0" t="inlineStr">
        <is>
          <t>NULL</t>
        </is>
      </c>
      <c r="J220" s="0" t="inlineStr">
        <is>
          <t>NULL</t>
        </is>
      </c>
      <c r="K220" s="0" t="inlineStr">
        <is>
          <t>YES! 	 c_char20列源备映射正确，源端为char 20位	期望更改为char(n)	实际备端为char 20位</t>
        </is>
      </c>
    </row>
    <row r="221">
      <c r="B221" s="0" t="inlineStr">
        <is>
          <t>NULL</t>
        </is>
      </c>
      <c r="C221" s="0" t="inlineStr">
        <is>
          <t>NULL</t>
        </is>
      </c>
      <c r="D221" s="0" t="inlineStr">
        <is>
          <t>NULL</t>
        </is>
      </c>
      <c r="E221" s="0" t="inlineStr">
        <is>
          <t>NULL</t>
        </is>
      </c>
      <c r="F221" s="0" t="inlineStr">
        <is>
          <t>NULL</t>
        </is>
      </c>
      <c r="G221" s="0" t="inlineStr">
        <is>
          <t>NULL</t>
        </is>
      </c>
      <c r="H221" s="0" t="inlineStr">
        <is>
          <t>NULL</t>
        </is>
      </c>
      <c r="I221" s="0" t="inlineStr">
        <is>
          <t>NULL</t>
        </is>
      </c>
      <c r="J221" s="0" t="inlineStr">
        <is>
          <t>NULL</t>
        </is>
      </c>
      <c r="K221" s="0" t="inlineStr">
        <is>
          <t>YES! 	 c_char7000列源备映射正确，源端为char 7000位	期望更改为char(n)	实际备端为char 7000位</t>
        </is>
      </c>
    </row>
    <row r="222">
      <c r="A222" s="0" t="inlineStr">
        <is>
          <t>info_hierarchyid_dml_single_pk</t>
        </is>
      </c>
      <c r="K222" s="0" t="inlineStr">
        <is>
          <t>[0;34m info_hierarchyid_dml_single_pk [0m源备字段数相同，源端字段：2 	备端字段2</t>
        </is>
      </c>
      <c r="W222" s="0" t="inlineStr">
        <is>
          <t>YES 源备无差异</t>
        </is>
      </c>
      <c r="X222" s="0">
        <f>A222</f>
        <v/>
      </c>
    </row>
    <row r="223">
      <c r="B223" s="0" t="inlineStr">
        <is>
          <t>YES</t>
        </is>
      </c>
      <c r="C223" s="0" t="inlineStr">
        <is>
          <t>NULL</t>
        </is>
      </c>
      <c r="D223" s="0" t="inlineStr">
        <is>
          <t>NULL</t>
        </is>
      </c>
      <c r="E223" s="0" t="inlineStr">
        <is>
          <t>NULL</t>
        </is>
      </c>
      <c r="F223" s="0" t="inlineStr">
        <is>
          <t>NULL</t>
        </is>
      </c>
      <c r="G223" s="0" t="inlineStr">
        <is>
          <t>NULL</t>
        </is>
      </c>
      <c r="H223" s="0" t="inlineStr">
        <is>
          <t>NULL</t>
        </is>
      </c>
      <c r="I223" s="0" t="inlineStr">
        <is>
          <t>YES!PK__info_hie__3213E83F2067C9E4</t>
        </is>
      </c>
      <c r="J223" s="0" t="inlineStr">
        <is>
          <t>YES! 主键相关索引</t>
        </is>
      </c>
      <c r="K223" s="0" t="inlineStr">
        <is>
          <t>YES! 	 id列源备映射正确，源端为int None位	期望更改为int	实际备端为int None位</t>
        </is>
      </c>
    </row>
    <row r="224">
      <c r="B224" s="0" t="inlineStr">
        <is>
          <t>NULL</t>
        </is>
      </c>
      <c r="C224" s="0" t="inlineStr">
        <is>
          <t>NULL</t>
        </is>
      </c>
      <c r="D224" s="0" t="inlineStr">
        <is>
          <t>NULL</t>
        </is>
      </c>
      <c r="E224" s="0" t="inlineStr">
        <is>
          <t>NULL</t>
        </is>
      </c>
      <c r="F224" s="0" t="inlineStr">
        <is>
          <t>NULL</t>
        </is>
      </c>
      <c r="G224" s="0" t="inlineStr">
        <is>
          <t>NULL</t>
        </is>
      </c>
      <c r="H224" s="0" t="inlineStr">
        <is>
          <t>NULL</t>
        </is>
      </c>
      <c r="I224" s="0" t="inlineStr">
        <is>
          <t>NULL</t>
        </is>
      </c>
      <c r="J224" s="0" t="inlineStr">
        <is>
          <t>NULL</t>
        </is>
      </c>
      <c r="K224" s="0" t="inlineStr">
        <is>
          <t>YES! 	 c_hierarchyid列源备映射正确，源端为hierarchyid 892位	期望更改为hierarchyid	实际备端为hierarchyid 892位</t>
        </is>
      </c>
    </row>
    <row r="225">
      <c r="A225" s="0" t="inlineStr">
        <is>
          <t>info_varchar_dml_single_pk_irp</t>
        </is>
      </c>
      <c r="K225" s="0" t="inlineStr">
        <is>
          <t>[0;34m info_varchar_dml_single_pk_irp [0m源备字段数相同，源端字段：4 	备端字段4</t>
        </is>
      </c>
      <c r="W225" s="0" t="inlineStr">
        <is>
          <t>YES 源备无差异</t>
        </is>
      </c>
      <c r="X225" s="0">
        <f>A225</f>
        <v/>
      </c>
    </row>
    <row r="226">
      <c r="B226" s="0" t="inlineStr">
        <is>
          <t>YES</t>
        </is>
      </c>
      <c r="C226" s="0" t="inlineStr">
        <is>
          <t>NULL</t>
        </is>
      </c>
      <c r="D226" s="0" t="inlineStr">
        <is>
          <t>NULL</t>
        </is>
      </c>
      <c r="E226" s="0" t="inlineStr">
        <is>
          <t>NULL</t>
        </is>
      </c>
      <c r="F226" s="0" t="inlineStr">
        <is>
          <t>NULL</t>
        </is>
      </c>
      <c r="G226" s="0" t="inlineStr">
        <is>
          <t>NULL</t>
        </is>
      </c>
      <c r="H226" s="0" t="inlineStr">
        <is>
          <t>NULL</t>
        </is>
      </c>
      <c r="I226" s="0" t="inlineStr">
        <is>
          <t>YES!PK__info_var__3213E83F6E448EB5</t>
        </is>
      </c>
      <c r="J226" s="0" t="inlineStr">
        <is>
          <t>YES! 主键相关索引</t>
        </is>
      </c>
      <c r="K226" s="0" t="inlineStr">
        <is>
          <t>YES! 	 id列源备映射正确，源端为int None位	期望更改为int	实际备端为int None位</t>
        </is>
      </c>
    </row>
    <row r="227">
      <c r="B227" s="0" t="inlineStr">
        <is>
          <t>NULL</t>
        </is>
      </c>
      <c r="C227" s="0" t="inlineStr">
        <is>
          <t>NULL</t>
        </is>
      </c>
      <c r="D227" s="0" t="inlineStr">
        <is>
          <t>NULL</t>
        </is>
      </c>
      <c r="E227" s="0" t="inlineStr">
        <is>
          <t>NULL</t>
        </is>
      </c>
      <c r="F227" s="0" t="inlineStr">
        <is>
          <t>NULL</t>
        </is>
      </c>
      <c r="G227" s="0" t="inlineStr">
        <is>
          <t>NULL</t>
        </is>
      </c>
      <c r="H227" s="0" t="inlineStr">
        <is>
          <t>NULL</t>
        </is>
      </c>
      <c r="I227" s="0" t="inlineStr">
        <is>
          <t>NULL</t>
        </is>
      </c>
      <c r="J227" s="0" t="inlineStr">
        <is>
          <t>NULL</t>
        </is>
      </c>
      <c r="K227" s="0" t="inlineStr">
        <is>
          <t>YES! 	 c_varchar列源备映射正确，源端为varchar 1位	期望更改为varchar(n)	实际备端为varchar 1位</t>
        </is>
      </c>
    </row>
    <row r="228">
      <c r="B228" s="0" t="inlineStr">
        <is>
          <t>NULL</t>
        </is>
      </c>
      <c r="C228" s="0" t="inlineStr">
        <is>
          <t>NULL</t>
        </is>
      </c>
      <c r="D228" s="0" t="inlineStr">
        <is>
          <t>NULL</t>
        </is>
      </c>
      <c r="E228" s="0" t="inlineStr">
        <is>
          <t>NULL</t>
        </is>
      </c>
      <c r="F228" s="0" t="inlineStr">
        <is>
          <t>NULL</t>
        </is>
      </c>
      <c r="G228" s="0" t="inlineStr">
        <is>
          <t>NULL</t>
        </is>
      </c>
      <c r="H228" s="0" t="inlineStr">
        <is>
          <t>NULL</t>
        </is>
      </c>
      <c r="I228" s="0" t="inlineStr">
        <is>
          <t>NULL</t>
        </is>
      </c>
      <c r="J228" s="0" t="inlineStr">
        <is>
          <t>NULL</t>
        </is>
      </c>
      <c r="K228" s="0" t="inlineStr">
        <is>
          <t>YES! 	 c_varchar50列源备映射正确，源端为varchar 50位	期望更改为varchar(n)	实际备端为varchar 50位</t>
        </is>
      </c>
    </row>
    <row r="229">
      <c r="B229" s="0" t="inlineStr">
        <is>
          <t>NULL</t>
        </is>
      </c>
      <c r="C229" s="0" t="inlineStr">
        <is>
          <t>NULL</t>
        </is>
      </c>
      <c r="D229" s="0" t="inlineStr">
        <is>
          <t>NULL</t>
        </is>
      </c>
      <c r="E229" s="0" t="inlineStr">
        <is>
          <t>NULL</t>
        </is>
      </c>
      <c r="F229" s="0" t="inlineStr">
        <is>
          <t>NULL</t>
        </is>
      </c>
      <c r="G229" s="0" t="inlineStr">
        <is>
          <t>NULL</t>
        </is>
      </c>
      <c r="H229" s="0" t="inlineStr">
        <is>
          <t>NULL</t>
        </is>
      </c>
      <c r="I229" s="0" t="inlineStr">
        <is>
          <t>NULL</t>
        </is>
      </c>
      <c r="J229" s="0" t="inlineStr">
        <is>
          <t>NULL</t>
        </is>
      </c>
      <c r="K229" s="0" t="inlineStr">
        <is>
          <t>YES! 	 c_varchar8000列源备映射正确，源端为varchar 8000位	期望更改为varchar(n)	实际备端为varchar 8000位</t>
        </is>
      </c>
    </row>
    <row r="230">
      <c r="A230" s="0" t="inlineStr">
        <is>
          <t>info_nchar_dml_single_nopk_irp</t>
        </is>
      </c>
      <c r="K230" s="0" t="inlineStr">
        <is>
          <t>[0;34m info_nchar_dml_single_nopk_irp [0m源备字段数相同，源端字段：4 	备端字段4</t>
        </is>
      </c>
      <c r="W230" s="0" t="inlineStr">
        <is>
          <t>YES 源备无差异</t>
        </is>
      </c>
      <c r="X230" s="0">
        <f>A230</f>
        <v/>
      </c>
    </row>
    <row r="231">
      <c r="B231" s="0" t="inlineStr">
        <is>
          <t>NULL</t>
        </is>
      </c>
      <c r="C231" s="0" t="inlineStr">
        <is>
          <t>NULL</t>
        </is>
      </c>
      <c r="D231" s="0" t="inlineStr">
        <is>
          <t>NULL</t>
        </is>
      </c>
      <c r="E231" s="0" t="inlineStr">
        <is>
          <t>NULL</t>
        </is>
      </c>
      <c r="F231" s="0" t="inlineStr">
        <is>
          <t>NULL</t>
        </is>
      </c>
      <c r="G231" s="0" t="inlineStr">
        <is>
          <t>NULL</t>
        </is>
      </c>
      <c r="H231" s="0" t="inlineStr">
        <is>
          <t>NULL</t>
        </is>
      </c>
      <c r="I231" s="0" t="inlineStr">
        <is>
          <t>NULL</t>
        </is>
      </c>
      <c r="J231" s="0" t="inlineStr">
        <is>
          <t>NULL</t>
        </is>
      </c>
      <c r="K231" s="0" t="inlineStr">
        <is>
          <t>YES! 	 id列源备映射正确，源端为int None位	期望更改为int	实际备端为int None位</t>
        </is>
      </c>
    </row>
    <row r="232">
      <c r="B232" s="0" t="inlineStr">
        <is>
          <t>NULL</t>
        </is>
      </c>
      <c r="C232" s="0" t="inlineStr">
        <is>
          <t>NULL</t>
        </is>
      </c>
      <c r="D232" s="0" t="inlineStr">
        <is>
          <t>NULL</t>
        </is>
      </c>
      <c r="E232" s="0" t="inlineStr">
        <is>
          <t>NULL</t>
        </is>
      </c>
      <c r="F232" s="0" t="inlineStr">
        <is>
          <t>NULL</t>
        </is>
      </c>
      <c r="G232" s="0" t="inlineStr">
        <is>
          <t>NULL</t>
        </is>
      </c>
      <c r="H232" s="0" t="inlineStr">
        <is>
          <t>NULL</t>
        </is>
      </c>
      <c r="I232" s="0" t="inlineStr">
        <is>
          <t>NULL</t>
        </is>
      </c>
      <c r="J232" s="0" t="inlineStr">
        <is>
          <t>NULL</t>
        </is>
      </c>
      <c r="K232" s="0" t="inlineStr">
        <is>
          <t>YES! 	 c_nchar列源备映射正确，源端为nchar 2位	期望更改为nchar(n)	实际备端为nchar 2位</t>
        </is>
      </c>
    </row>
    <row r="233">
      <c r="B233" s="0" t="inlineStr">
        <is>
          <t>NULL</t>
        </is>
      </c>
      <c r="C233" s="0" t="inlineStr">
        <is>
          <t>NULL</t>
        </is>
      </c>
      <c r="D233" s="0" t="inlineStr">
        <is>
          <t>NULL</t>
        </is>
      </c>
      <c r="E233" s="0" t="inlineStr">
        <is>
          <t>NULL</t>
        </is>
      </c>
      <c r="F233" s="0" t="inlineStr">
        <is>
          <t>NULL</t>
        </is>
      </c>
      <c r="G233" s="0" t="inlineStr">
        <is>
          <t>NULL</t>
        </is>
      </c>
      <c r="H233" s="0" t="inlineStr">
        <is>
          <t>NULL</t>
        </is>
      </c>
      <c r="I233" s="0" t="inlineStr">
        <is>
          <t>NULL</t>
        </is>
      </c>
      <c r="J233" s="0" t="inlineStr">
        <is>
          <t>NULL</t>
        </is>
      </c>
      <c r="K233" s="0" t="inlineStr">
        <is>
          <t>YES! 	 c_nchar20列源备映射正确，源端为nchar 40位	期望更改为nchar(n)	实际备端为nchar 40位</t>
        </is>
      </c>
    </row>
    <row r="234">
      <c r="B234" s="0" t="inlineStr">
        <is>
          <t>NULL</t>
        </is>
      </c>
      <c r="C234" s="0" t="inlineStr">
        <is>
          <t>NULL</t>
        </is>
      </c>
      <c r="D234" s="0" t="inlineStr">
        <is>
          <t>NULL</t>
        </is>
      </c>
      <c r="E234" s="0" t="inlineStr">
        <is>
          <t>NULL</t>
        </is>
      </c>
      <c r="F234" s="0" t="inlineStr">
        <is>
          <t>NULL</t>
        </is>
      </c>
      <c r="G234" s="0" t="inlineStr">
        <is>
          <t>NULL</t>
        </is>
      </c>
      <c r="H234" s="0" t="inlineStr">
        <is>
          <t>NULL</t>
        </is>
      </c>
      <c r="I234" s="0" t="inlineStr">
        <is>
          <t>NULL</t>
        </is>
      </c>
      <c r="J234" s="0" t="inlineStr">
        <is>
          <t>NULL</t>
        </is>
      </c>
      <c r="K234" s="0" t="inlineStr">
        <is>
          <t>YES! 	 c_nchar4000列源备映射正确，源端为nchar 8000位	期望更改为nchar(n)	实际备端为nchar 8000位</t>
        </is>
      </c>
    </row>
    <row r="235">
      <c r="A235" s="0" t="inlineStr">
        <is>
          <t>info_sdt_dml_batch1_pk_irp2</t>
        </is>
      </c>
      <c r="K235" s="0" t="inlineStr">
        <is>
          <t>[0;34m info_sdt_dml_batch1_pk_irp2 [0m源备字段数相同，源端字段：2 	备端字段2</t>
        </is>
      </c>
      <c r="W235" s="0" t="inlineStr">
        <is>
          <t>YES 源备无差异</t>
        </is>
      </c>
      <c r="X235" s="0">
        <f>A235</f>
        <v/>
      </c>
    </row>
    <row r="236">
      <c r="B236" s="0" t="inlineStr">
        <is>
          <t>YES</t>
        </is>
      </c>
      <c r="C236" s="0" t="inlineStr">
        <is>
          <t>NULL</t>
        </is>
      </c>
      <c r="D236" s="0" t="inlineStr">
        <is>
          <t>NULL</t>
        </is>
      </c>
      <c r="E236" s="0" t="inlineStr">
        <is>
          <t>NULL</t>
        </is>
      </c>
      <c r="F236" s="0" t="inlineStr">
        <is>
          <t>NULL</t>
        </is>
      </c>
      <c r="G236" s="0" t="inlineStr">
        <is>
          <t>NULL</t>
        </is>
      </c>
      <c r="H236" s="0" t="inlineStr">
        <is>
          <t>NULL</t>
        </is>
      </c>
      <c r="I236" s="0" t="inlineStr">
        <is>
          <t>YES!PK__info_sdt__3213E83F0A3BD479</t>
        </is>
      </c>
      <c r="J236" s="0" t="inlineStr">
        <is>
          <t>YES! 主键相关索引</t>
        </is>
      </c>
      <c r="K236" s="0" t="inlineStr">
        <is>
          <t>YES! 	 id列源备映射正确，源端为int None位	期望更改为int	实际备端为int None位</t>
        </is>
      </c>
    </row>
    <row r="237">
      <c r="B237" s="0" t="inlineStr">
        <is>
          <t>NULL</t>
        </is>
      </c>
      <c r="C237" s="0" t="inlineStr">
        <is>
          <t>NULL</t>
        </is>
      </c>
      <c r="D237" s="0" t="inlineStr">
        <is>
          <t>NULL</t>
        </is>
      </c>
      <c r="E237" s="0" t="inlineStr">
        <is>
          <t>NULL</t>
        </is>
      </c>
      <c r="F237" s="0" t="inlineStr">
        <is>
          <t>NULL</t>
        </is>
      </c>
      <c r="G237" s="0" t="inlineStr">
        <is>
          <t>NULL</t>
        </is>
      </c>
      <c r="H237" s="0" t="inlineStr">
        <is>
          <t>NULL</t>
        </is>
      </c>
      <c r="I237" s="0" t="inlineStr">
        <is>
          <t>NULL</t>
        </is>
      </c>
      <c r="J237" s="0" t="inlineStr">
        <is>
          <t>NULL</t>
        </is>
      </c>
      <c r="K237" s="0" t="inlineStr">
        <is>
          <t>YES! 	 c_sdt列源备映射正确，源端为smalldatetime None位	期望更改为smalldatetime	实际备端为smalldatetime None位</t>
        </is>
      </c>
    </row>
    <row r="238">
      <c r="A238" s="0" t="inlineStr">
        <is>
          <t>info_char_dml_batch1_pk_drp1</t>
        </is>
      </c>
      <c r="K238" s="0" t="inlineStr">
        <is>
          <t>[0;34m info_char_dml_batch1_pk_drp1 [0m源备字段数相同，源端字段：4 	备端字段4</t>
        </is>
      </c>
      <c r="W238" s="0" t="inlineStr">
        <is>
          <t>YES 源备无差异</t>
        </is>
      </c>
      <c r="X238" s="0">
        <f>A238</f>
        <v/>
      </c>
    </row>
    <row r="239">
      <c r="B239" s="0" t="inlineStr">
        <is>
          <t>YES</t>
        </is>
      </c>
      <c r="C239" s="0" t="inlineStr">
        <is>
          <t>NULL</t>
        </is>
      </c>
      <c r="D239" s="0" t="inlineStr">
        <is>
          <t>NULL</t>
        </is>
      </c>
      <c r="E239" s="0" t="inlineStr">
        <is>
          <t>NULL</t>
        </is>
      </c>
      <c r="F239" s="0" t="inlineStr">
        <is>
          <t>NULL</t>
        </is>
      </c>
      <c r="G239" s="0" t="inlineStr">
        <is>
          <t>NULL</t>
        </is>
      </c>
      <c r="H239" s="0" t="inlineStr">
        <is>
          <t>NULL</t>
        </is>
      </c>
      <c r="I239" s="0" t="inlineStr">
        <is>
          <t>YES!PK__info_cha__3213E83F784E87B3</t>
        </is>
      </c>
      <c r="J239" s="0" t="inlineStr">
        <is>
          <t>YES! 主键相关索引</t>
        </is>
      </c>
      <c r="K239" s="0" t="inlineStr">
        <is>
          <t>YES! 	 id列源备映射正确，源端为int None位	期望更改为int	实际备端为int None位</t>
        </is>
      </c>
    </row>
    <row r="240">
      <c r="B240" s="0" t="inlineStr">
        <is>
          <t>NULL</t>
        </is>
      </c>
      <c r="C240" s="0" t="inlineStr">
        <is>
          <t>NULL</t>
        </is>
      </c>
      <c r="D240" s="0" t="inlineStr">
        <is>
          <t>NULL</t>
        </is>
      </c>
      <c r="E240" s="0" t="inlineStr">
        <is>
          <t>NULL</t>
        </is>
      </c>
      <c r="F240" s="0" t="inlineStr">
        <is>
          <t>NULL</t>
        </is>
      </c>
      <c r="G240" s="0" t="inlineStr">
        <is>
          <t>NULL</t>
        </is>
      </c>
      <c r="H240" s="0" t="inlineStr">
        <is>
          <t>NULL</t>
        </is>
      </c>
      <c r="I240" s="0" t="inlineStr">
        <is>
          <t>NULL</t>
        </is>
      </c>
      <c r="J240" s="0" t="inlineStr">
        <is>
          <t>NULL</t>
        </is>
      </c>
      <c r="K240" s="0" t="inlineStr">
        <is>
          <t>YES! 	 c_char列源备映射正确，源端为char 1位	期望更改为char(n)	实际备端为char 1位</t>
        </is>
      </c>
    </row>
    <row r="241">
      <c r="B241" s="0" t="inlineStr">
        <is>
          <t>NULL</t>
        </is>
      </c>
      <c r="C241" s="0" t="inlineStr">
        <is>
          <t>NULL</t>
        </is>
      </c>
      <c r="D241" s="0" t="inlineStr">
        <is>
          <t>NULL</t>
        </is>
      </c>
      <c r="E241" s="0" t="inlineStr">
        <is>
          <t>NULL</t>
        </is>
      </c>
      <c r="F241" s="0" t="inlineStr">
        <is>
          <t>NULL</t>
        </is>
      </c>
      <c r="G241" s="0" t="inlineStr">
        <is>
          <t>NULL</t>
        </is>
      </c>
      <c r="H241" s="0" t="inlineStr">
        <is>
          <t>NULL</t>
        </is>
      </c>
      <c r="I241" s="0" t="inlineStr">
        <is>
          <t>NULL</t>
        </is>
      </c>
      <c r="J241" s="0" t="inlineStr">
        <is>
          <t>NULL</t>
        </is>
      </c>
      <c r="K241" s="0" t="inlineStr">
        <is>
          <t>YES! 	 c_char20列源备映射正确，源端为char 20位	期望更改为char(n)	实际备端为char 20位</t>
        </is>
      </c>
    </row>
    <row r="242">
      <c r="B242" s="0" t="inlineStr">
        <is>
          <t>NULL</t>
        </is>
      </c>
      <c r="C242" s="0" t="inlineStr">
        <is>
          <t>NULL</t>
        </is>
      </c>
      <c r="D242" s="0" t="inlineStr">
        <is>
          <t>NULL</t>
        </is>
      </c>
      <c r="E242" s="0" t="inlineStr">
        <is>
          <t>NULL</t>
        </is>
      </c>
      <c r="F242" s="0" t="inlineStr">
        <is>
          <t>NULL</t>
        </is>
      </c>
      <c r="G242" s="0" t="inlineStr">
        <is>
          <t>NULL</t>
        </is>
      </c>
      <c r="H242" s="0" t="inlineStr">
        <is>
          <t>NULL</t>
        </is>
      </c>
      <c r="I242" s="0" t="inlineStr">
        <is>
          <t>NULL</t>
        </is>
      </c>
      <c r="J242" s="0" t="inlineStr">
        <is>
          <t>NULL</t>
        </is>
      </c>
      <c r="K242" s="0" t="inlineStr">
        <is>
          <t>YES! 	 c_char7000列源备映射正确，源端为char 7000位	期望更改为char(n)	实际备端为char 7000位</t>
        </is>
      </c>
    </row>
    <row r="243">
      <c r="K243" s="0" t="inlineStr">
        <is>
          <t>~ 空表</t>
        </is>
      </c>
    </row>
    <row r="244">
      <c r="A244" s="0" t="inlineStr">
        <is>
          <t>info_int_dml_single_pk_irp</t>
        </is>
      </c>
      <c r="K244" s="0" t="inlineStr">
        <is>
          <t>[0;34m info_int_dml_single_pk_irp [0m源备字段数相同，源端字段：20 	备端字段20</t>
        </is>
      </c>
      <c r="W244" s="0" t="inlineStr">
        <is>
          <t>YES 源备无差异</t>
        </is>
      </c>
      <c r="X244" s="0">
        <f>A244</f>
        <v/>
      </c>
    </row>
    <row r="245">
      <c r="B245" s="0" t="inlineStr">
        <is>
          <t>YES</t>
        </is>
      </c>
      <c r="C245" s="0" t="inlineStr">
        <is>
          <t>NULL</t>
        </is>
      </c>
      <c r="D245" s="0" t="inlineStr">
        <is>
          <t>NULL</t>
        </is>
      </c>
      <c r="E245" s="0" t="inlineStr">
        <is>
          <t>NULL</t>
        </is>
      </c>
      <c r="F245" s="0" t="inlineStr">
        <is>
          <t>NULL</t>
        </is>
      </c>
      <c r="G245" s="0" t="inlineStr">
        <is>
          <t>NULL</t>
        </is>
      </c>
      <c r="H245" s="0" t="inlineStr">
        <is>
          <t>NULL</t>
        </is>
      </c>
      <c r="I245" s="0" t="inlineStr">
        <is>
          <t>YES!PK__info_int__3213E83FB01EAE8E</t>
        </is>
      </c>
      <c r="J245" s="0" t="inlineStr">
        <is>
          <t>YES! 主键相关索引</t>
        </is>
      </c>
      <c r="K245" s="0" t="inlineStr">
        <is>
          <t>YES! 	 id列源备映射正确，源端为int None位	期望更改为int	实际备端为int None位</t>
        </is>
      </c>
    </row>
    <row r="246">
      <c r="B246" s="0" t="inlineStr">
        <is>
          <t>NULL</t>
        </is>
      </c>
      <c r="C246" s="0" t="inlineStr">
        <is>
          <t>NULL</t>
        </is>
      </c>
      <c r="D246" s="0" t="inlineStr">
        <is>
          <t>NULL</t>
        </is>
      </c>
      <c r="E246" s="0" t="inlineStr">
        <is>
          <t>NULL</t>
        </is>
      </c>
      <c r="F246" s="0" t="inlineStr">
        <is>
          <t>NULL</t>
        </is>
      </c>
      <c r="G246" s="0" t="inlineStr">
        <is>
          <t>NULL</t>
        </is>
      </c>
      <c r="H246" s="0" t="inlineStr">
        <is>
          <t>NULL</t>
        </is>
      </c>
      <c r="I246" s="0" t="inlineStr">
        <is>
          <t>NULL</t>
        </is>
      </c>
      <c r="J246" s="0" t="inlineStr">
        <is>
          <t>NULL</t>
        </is>
      </c>
      <c r="K246" s="0" t="inlineStr">
        <is>
          <t>YES! 	 c_tinyint列源备映射正确，源端为tinyint None位	期望更改为tinyint	实际备端为tinyint None位</t>
        </is>
      </c>
    </row>
    <row r="247">
      <c r="B247" s="0" t="inlineStr">
        <is>
          <t>NULL</t>
        </is>
      </c>
      <c r="C247" s="0" t="inlineStr">
        <is>
          <t>NULL</t>
        </is>
      </c>
      <c r="D247" s="0" t="inlineStr">
        <is>
          <t>NULL</t>
        </is>
      </c>
      <c r="E247" s="0" t="inlineStr">
        <is>
          <t>NULL</t>
        </is>
      </c>
      <c r="F247" s="0" t="inlineStr">
        <is>
          <t>NULL</t>
        </is>
      </c>
      <c r="G247" s="0" t="inlineStr">
        <is>
          <t>NULL</t>
        </is>
      </c>
      <c r="H247" s="0" t="inlineStr">
        <is>
          <t>NULL</t>
        </is>
      </c>
      <c r="I247" s="0" t="inlineStr">
        <is>
          <t>NULL</t>
        </is>
      </c>
      <c r="J247" s="0" t="inlineStr">
        <is>
          <t>NULL</t>
        </is>
      </c>
      <c r="K247" s="0" t="inlineStr">
        <is>
          <t>YES! 	 c_smallint列源备映射正确，源端为smallint None位	期望更改为smallint	实际备端为smallint None位</t>
        </is>
      </c>
    </row>
    <row r="248">
      <c r="B248" s="0" t="inlineStr">
        <is>
          <t>NULL</t>
        </is>
      </c>
      <c r="C248" s="0" t="inlineStr">
        <is>
          <t>NULL</t>
        </is>
      </c>
      <c r="D248" s="0" t="inlineStr">
        <is>
          <t>NULL</t>
        </is>
      </c>
      <c r="E248" s="0" t="inlineStr">
        <is>
          <t>NULL</t>
        </is>
      </c>
      <c r="F248" s="0" t="inlineStr">
        <is>
          <t>NULL</t>
        </is>
      </c>
      <c r="G248" s="0" t="inlineStr">
        <is>
          <t>NULL</t>
        </is>
      </c>
      <c r="H248" s="0" t="inlineStr">
        <is>
          <t>NULL</t>
        </is>
      </c>
      <c r="I248" s="0" t="inlineStr">
        <is>
          <t>NULL</t>
        </is>
      </c>
      <c r="J248" s="0" t="inlineStr">
        <is>
          <t>NULL</t>
        </is>
      </c>
      <c r="K248" s="0" t="inlineStr">
        <is>
          <t>YES! 	 c_int列源备映射正确，源端为int None位	期望更改为int	实际备端为int None位</t>
        </is>
      </c>
    </row>
    <row r="249">
      <c r="B249" s="0" t="inlineStr">
        <is>
          <t>NULL</t>
        </is>
      </c>
      <c r="C249" s="0" t="inlineStr">
        <is>
          <t>NULL</t>
        </is>
      </c>
      <c r="D249" s="0" t="inlineStr">
        <is>
          <t>NULL</t>
        </is>
      </c>
      <c r="E249" s="0" t="inlineStr">
        <is>
          <t>NULL</t>
        </is>
      </c>
      <c r="F249" s="0" t="inlineStr">
        <is>
          <t>NULL</t>
        </is>
      </c>
      <c r="G249" s="0" t="inlineStr">
        <is>
          <t>NULL</t>
        </is>
      </c>
      <c r="H249" s="0" t="inlineStr">
        <is>
          <t>NULL</t>
        </is>
      </c>
      <c r="I249" s="0" t="inlineStr">
        <is>
          <t>NULL</t>
        </is>
      </c>
      <c r="J249" s="0" t="inlineStr">
        <is>
          <t>NULL</t>
        </is>
      </c>
      <c r="K249" s="0" t="inlineStr">
        <is>
          <t>YES! 	 c_bigint列源备映射正确，源端为bigint None位	期望更改为bigint	实际备端为bigint None位</t>
        </is>
      </c>
    </row>
    <row r="250">
      <c r="B250" s="0" t="inlineStr">
        <is>
          <t>NULL</t>
        </is>
      </c>
      <c r="C250" s="0" t="inlineStr">
        <is>
          <t>NULL</t>
        </is>
      </c>
      <c r="D250" s="0" t="inlineStr">
        <is>
          <t>NULL</t>
        </is>
      </c>
      <c r="E250" s="0" t="inlineStr">
        <is>
          <t>NULL</t>
        </is>
      </c>
      <c r="F250" s="0" t="inlineStr">
        <is>
          <t>NULL</t>
        </is>
      </c>
      <c r="G250" s="0" t="inlineStr">
        <is>
          <t>NULL</t>
        </is>
      </c>
      <c r="H250" s="0" t="inlineStr">
        <is>
          <t>NULL</t>
        </is>
      </c>
      <c r="I250" s="0" t="inlineStr">
        <is>
          <t>NULL</t>
        </is>
      </c>
      <c r="J250" s="0" t="inlineStr">
        <is>
          <t>NULL</t>
        </is>
      </c>
      <c r="K250" s="0" t="inlineStr">
        <is>
          <t>YES! 	 c_decimal列源备映射正确，源端为decimal None位	期望更改为decimal(p,s)	实际备端为decimal None位</t>
        </is>
      </c>
    </row>
    <row r="251">
      <c r="B251" s="0" t="inlineStr">
        <is>
          <t>NULL</t>
        </is>
      </c>
      <c r="C251" s="0" t="inlineStr">
        <is>
          <t>NULL</t>
        </is>
      </c>
      <c r="D251" s="0" t="inlineStr">
        <is>
          <t>NULL</t>
        </is>
      </c>
      <c r="E251" s="0" t="inlineStr">
        <is>
          <t>NULL</t>
        </is>
      </c>
      <c r="F251" s="0" t="inlineStr">
        <is>
          <t>NULL</t>
        </is>
      </c>
      <c r="G251" s="0" t="inlineStr">
        <is>
          <t>NULL</t>
        </is>
      </c>
      <c r="H251" s="0" t="inlineStr">
        <is>
          <t>NULL</t>
        </is>
      </c>
      <c r="I251" s="0" t="inlineStr">
        <is>
          <t>NULL</t>
        </is>
      </c>
      <c r="J251" s="0" t="inlineStr">
        <is>
          <t>NULL</t>
        </is>
      </c>
      <c r="K251" s="0" t="inlineStr">
        <is>
          <t>YES! 	 c_decimal38列源备映射正确，源端为decimal None位	期望更改为decimal(p,s)	实际备端为decimal None位</t>
        </is>
      </c>
    </row>
    <row r="252">
      <c r="B252" s="0" t="inlineStr">
        <is>
          <t>NULL</t>
        </is>
      </c>
      <c r="C252" s="0" t="inlineStr">
        <is>
          <t>NULL</t>
        </is>
      </c>
      <c r="D252" s="0" t="inlineStr">
        <is>
          <t>NULL</t>
        </is>
      </c>
      <c r="E252" s="0" t="inlineStr">
        <is>
          <t>NULL</t>
        </is>
      </c>
      <c r="F252" s="0" t="inlineStr">
        <is>
          <t>NULL</t>
        </is>
      </c>
      <c r="G252" s="0" t="inlineStr">
        <is>
          <t>NULL</t>
        </is>
      </c>
      <c r="H252" s="0" t="inlineStr">
        <is>
          <t>NULL</t>
        </is>
      </c>
      <c r="I252" s="0" t="inlineStr">
        <is>
          <t>NULL</t>
        </is>
      </c>
      <c r="J252" s="0" t="inlineStr">
        <is>
          <t>NULL</t>
        </is>
      </c>
      <c r="K252" s="0" t="inlineStr">
        <is>
          <t>YES! 	 c_decimal38_38列源备映射正确，源端为decimal None位	期望更改为decimal(p,s)	实际备端为decimal None位</t>
        </is>
      </c>
    </row>
    <row r="253">
      <c r="B253" s="0" t="inlineStr">
        <is>
          <t>NULL</t>
        </is>
      </c>
      <c r="C253" s="0" t="inlineStr">
        <is>
          <t>NULL</t>
        </is>
      </c>
      <c r="D253" s="0" t="inlineStr">
        <is>
          <t>NULL</t>
        </is>
      </c>
      <c r="E253" s="0" t="inlineStr">
        <is>
          <t>NULL</t>
        </is>
      </c>
      <c r="F253" s="0" t="inlineStr">
        <is>
          <t>NULL</t>
        </is>
      </c>
      <c r="G253" s="0" t="inlineStr">
        <is>
          <t>NULL</t>
        </is>
      </c>
      <c r="H253" s="0" t="inlineStr">
        <is>
          <t>NULL</t>
        </is>
      </c>
      <c r="I253" s="0" t="inlineStr">
        <is>
          <t>NULL</t>
        </is>
      </c>
      <c r="J253" s="0" t="inlineStr">
        <is>
          <t>NULL</t>
        </is>
      </c>
      <c r="K253" s="0" t="inlineStr">
        <is>
          <t>YES! 	 c_decimal38_10列源备映射正确，源端为decimal None位	期望更改为decimal(p,s)	实际备端为decimal None位</t>
        </is>
      </c>
    </row>
    <row r="254">
      <c r="B254" s="0" t="inlineStr">
        <is>
          <t>NULL</t>
        </is>
      </c>
      <c r="C254" s="0" t="inlineStr">
        <is>
          <t>NULL</t>
        </is>
      </c>
      <c r="D254" s="0" t="inlineStr">
        <is>
          <t>NULL</t>
        </is>
      </c>
      <c r="E254" s="0" t="inlineStr">
        <is>
          <t>NULL</t>
        </is>
      </c>
      <c r="F254" s="0" t="inlineStr">
        <is>
          <t>NULL</t>
        </is>
      </c>
      <c r="G254" s="0" t="inlineStr">
        <is>
          <t>NULL</t>
        </is>
      </c>
      <c r="H254" s="0" t="inlineStr">
        <is>
          <t>NULL</t>
        </is>
      </c>
      <c r="I254" s="0" t="inlineStr">
        <is>
          <t>NULL</t>
        </is>
      </c>
      <c r="J254" s="0" t="inlineStr">
        <is>
          <t>NULL</t>
        </is>
      </c>
      <c r="K254" s="0" t="inlineStr">
        <is>
          <t>YES! 	 c_decimal19_4列源备映射正确，源端为decimal None位	期望更改为decimal(p,s)	实际备端为decimal None位</t>
        </is>
      </c>
    </row>
    <row r="255">
      <c r="B255" s="0" t="inlineStr">
        <is>
          <t>NULL</t>
        </is>
      </c>
      <c r="C255" s="0" t="inlineStr">
        <is>
          <t>NULL</t>
        </is>
      </c>
      <c r="D255" s="0" t="inlineStr">
        <is>
          <t>NULL</t>
        </is>
      </c>
      <c r="E255" s="0" t="inlineStr">
        <is>
          <t>NULL</t>
        </is>
      </c>
      <c r="F255" s="0" t="inlineStr">
        <is>
          <t>NULL</t>
        </is>
      </c>
      <c r="G255" s="0" t="inlineStr">
        <is>
          <t>NULL</t>
        </is>
      </c>
      <c r="H255" s="0" t="inlineStr">
        <is>
          <t>NULL</t>
        </is>
      </c>
      <c r="I255" s="0" t="inlineStr">
        <is>
          <t>NULL</t>
        </is>
      </c>
      <c r="J255" s="0" t="inlineStr">
        <is>
          <t>NULL</t>
        </is>
      </c>
      <c r="K255" s="0" t="inlineStr">
        <is>
          <t>YES! 	 c_numeric列源备映射正确，源端为numeric None位	期望更改为numeric(p,s)	实际备端为numeric None位</t>
        </is>
      </c>
    </row>
    <row r="256">
      <c r="B256" s="0" t="inlineStr">
        <is>
          <t>NULL</t>
        </is>
      </c>
      <c r="C256" s="0" t="inlineStr">
        <is>
          <t>NULL</t>
        </is>
      </c>
      <c r="D256" s="0" t="inlineStr">
        <is>
          <t>NULL</t>
        </is>
      </c>
      <c r="E256" s="0" t="inlineStr">
        <is>
          <t>NULL</t>
        </is>
      </c>
      <c r="F256" s="0" t="inlineStr">
        <is>
          <t>NULL</t>
        </is>
      </c>
      <c r="G256" s="0" t="inlineStr">
        <is>
          <t>NULL</t>
        </is>
      </c>
      <c r="H256" s="0" t="inlineStr">
        <is>
          <t>NULL</t>
        </is>
      </c>
      <c r="I256" s="0" t="inlineStr">
        <is>
          <t>NULL</t>
        </is>
      </c>
      <c r="J256" s="0" t="inlineStr">
        <is>
          <t>NULL</t>
        </is>
      </c>
      <c r="K256" s="0" t="inlineStr">
        <is>
          <t>YES! 	 c_numeric38列源备映射正确，源端为numeric None位	期望更改为numeric(p,s)	实际备端为numeric None位</t>
        </is>
      </c>
    </row>
    <row r="257">
      <c r="B257" s="0" t="inlineStr">
        <is>
          <t>NULL</t>
        </is>
      </c>
      <c r="C257" s="0" t="inlineStr">
        <is>
          <t>NULL</t>
        </is>
      </c>
      <c r="D257" s="0" t="inlineStr">
        <is>
          <t>NULL</t>
        </is>
      </c>
      <c r="E257" s="0" t="inlineStr">
        <is>
          <t>NULL</t>
        </is>
      </c>
      <c r="F257" s="0" t="inlineStr">
        <is>
          <t>NULL</t>
        </is>
      </c>
      <c r="G257" s="0" t="inlineStr">
        <is>
          <t>NULL</t>
        </is>
      </c>
      <c r="H257" s="0" t="inlineStr">
        <is>
          <t>NULL</t>
        </is>
      </c>
      <c r="I257" s="0" t="inlineStr">
        <is>
          <t>NULL</t>
        </is>
      </c>
      <c r="J257" s="0" t="inlineStr">
        <is>
          <t>NULL</t>
        </is>
      </c>
      <c r="K257" s="0" t="inlineStr">
        <is>
          <t>YES! 	 c_numeric38_38列源备映射正确，源端为numeric None位	期望更改为numeric(p,s)	实际备端为numeric None位</t>
        </is>
      </c>
    </row>
    <row r="258">
      <c r="B258" s="0" t="inlineStr">
        <is>
          <t>NULL</t>
        </is>
      </c>
      <c r="C258" s="0" t="inlineStr">
        <is>
          <t>NULL</t>
        </is>
      </c>
      <c r="D258" s="0" t="inlineStr">
        <is>
          <t>NULL</t>
        </is>
      </c>
      <c r="E258" s="0" t="inlineStr">
        <is>
          <t>NULL</t>
        </is>
      </c>
      <c r="F258" s="0" t="inlineStr">
        <is>
          <t>NULL</t>
        </is>
      </c>
      <c r="G258" s="0" t="inlineStr">
        <is>
          <t>NULL</t>
        </is>
      </c>
      <c r="H258" s="0" t="inlineStr">
        <is>
          <t>NULL</t>
        </is>
      </c>
      <c r="I258" s="0" t="inlineStr">
        <is>
          <t>NULL</t>
        </is>
      </c>
      <c r="J258" s="0" t="inlineStr">
        <is>
          <t>NULL</t>
        </is>
      </c>
      <c r="K258" s="0" t="inlineStr">
        <is>
          <t>YES! 	 c_numeric38_10列源备映射正确，源端为numeric None位	期望更改为numeric(p,s)	实际备端为numeric None位</t>
        </is>
      </c>
    </row>
    <row r="259">
      <c r="B259" s="0" t="inlineStr">
        <is>
          <t>NULL</t>
        </is>
      </c>
      <c r="C259" s="0" t="inlineStr">
        <is>
          <t>NULL</t>
        </is>
      </c>
      <c r="D259" s="0" t="inlineStr">
        <is>
          <t>NULL</t>
        </is>
      </c>
      <c r="E259" s="0" t="inlineStr">
        <is>
          <t>NULL</t>
        </is>
      </c>
      <c r="F259" s="0" t="inlineStr">
        <is>
          <t>NULL</t>
        </is>
      </c>
      <c r="G259" s="0" t="inlineStr">
        <is>
          <t>NULL</t>
        </is>
      </c>
      <c r="H259" s="0" t="inlineStr">
        <is>
          <t>NULL</t>
        </is>
      </c>
      <c r="I259" s="0" t="inlineStr">
        <is>
          <t>NULL</t>
        </is>
      </c>
      <c r="J259" s="0" t="inlineStr">
        <is>
          <t>NULL</t>
        </is>
      </c>
      <c r="K259" s="0" t="inlineStr">
        <is>
          <t>YES! 	 c_numeric18_2列源备映射正确，源端为numeric None位	期望更改为numeric(p,s)	实际备端为numeric None位</t>
        </is>
      </c>
    </row>
    <row r="260">
      <c r="B260" s="0" t="inlineStr">
        <is>
          <t>NULL</t>
        </is>
      </c>
      <c r="C260" s="0" t="inlineStr">
        <is>
          <t>NULL</t>
        </is>
      </c>
      <c r="D260" s="0" t="inlineStr">
        <is>
          <t>NULL</t>
        </is>
      </c>
      <c r="E260" s="0" t="inlineStr">
        <is>
          <t>NULL</t>
        </is>
      </c>
      <c r="F260" s="0" t="inlineStr">
        <is>
          <t>NULL</t>
        </is>
      </c>
      <c r="G260" s="0" t="inlineStr">
        <is>
          <t>NULL</t>
        </is>
      </c>
      <c r="H260" s="0" t="inlineStr">
        <is>
          <t>NULL</t>
        </is>
      </c>
      <c r="I260" s="0" t="inlineStr">
        <is>
          <t>NULL</t>
        </is>
      </c>
      <c r="J260" s="0" t="inlineStr">
        <is>
          <t>NULL</t>
        </is>
      </c>
      <c r="K260" s="0" t="inlineStr">
        <is>
          <t>YES! 	 c_float列源备映射正确，源端为float None位	期望更改为float	实际备端为float None位</t>
        </is>
      </c>
    </row>
    <row r="261">
      <c r="B261" s="0" t="inlineStr">
        <is>
          <t>NULL</t>
        </is>
      </c>
      <c r="C261" s="0" t="inlineStr">
        <is>
          <t>NULL</t>
        </is>
      </c>
      <c r="D261" s="0" t="inlineStr">
        <is>
          <t>NULL</t>
        </is>
      </c>
      <c r="E261" s="0" t="inlineStr">
        <is>
          <t>NULL</t>
        </is>
      </c>
      <c r="F261" s="0" t="inlineStr">
        <is>
          <t>NULL</t>
        </is>
      </c>
      <c r="G261" s="0" t="inlineStr">
        <is>
          <t>NULL</t>
        </is>
      </c>
      <c r="H261" s="0" t="inlineStr">
        <is>
          <t>NULL</t>
        </is>
      </c>
      <c r="I261" s="0" t="inlineStr">
        <is>
          <t>NULL</t>
        </is>
      </c>
      <c r="J261" s="0" t="inlineStr">
        <is>
          <t>NULL</t>
        </is>
      </c>
      <c r="K261" s="0" t="inlineStr">
        <is>
          <t>YES! 	 c_real列源备映射正确，源端为real None位	期望更改为real	实际备端为real None位</t>
        </is>
      </c>
    </row>
    <row r="262">
      <c r="B262" s="0" t="inlineStr">
        <is>
          <t>NULL</t>
        </is>
      </c>
      <c r="C262" s="0" t="inlineStr">
        <is>
          <t>NULL</t>
        </is>
      </c>
      <c r="D262" s="0" t="inlineStr">
        <is>
          <t>NULL</t>
        </is>
      </c>
      <c r="E262" s="0" t="inlineStr">
        <is>
          <t>NULL</t>
        </is>
      </c>
      <c r="F262" s="0" t="inlineStr">
        <is>
          <t>NULL</t>
        </is>
      </c>
      <c r="G262" s="0" t="inlineStr">
        <is>
          <t>NULL</t>
        </is>
      </c>
      <c r="H262" s="0" t="inlineStr">
        <is>
          <t>NULL</t>
        </is>
      </c>
      <c r="I262" s="0" t="inlineStr">
        <is>
          <t>NULL</t>
        </is>
      </c>
      <c r="J262" s="0" t="inlineStr">
        <is>
          <t>NULL</t>
        </is>
      </c>
      <c r="K262" s="0" t="inlineStr">
        <is>
          <t>YES! 	 c_money列源备映射正确，源端为money None位	期望更改为money	实际备端为money None位</t>
        </is>
      </c>
    </row>
    <row r="263">
      <c r="B263" s="0" t="inlineStr">
        <is>
          <t>NULL</t>
        </is>
      </c>
      <c r="C263" s="0" t="inlineStr">
        <is>
          <t>NULL</t>
        </is>
      </c>
      <c r="D263" s="0" t="inlineStr">
        <is>
          <t>NULL</t>
        </is>
      </c>
      <c r="E263" s="0" t="inlineStr">
        <is>
          <t>NULL</t>
        </is>
      </c>
      <c r="F263" s="0" t="inlineStr">
        <is>
          <t>NULL</t>
        </is>
      </c>
      <c r="G263" s="0" t="inlineStr">
        <is>
          <t>NULL</t>
        </is>
      </c>
      <c r="H263" s="0" t="inlineStr">
        <is>
          <t>NULL</t>
        </is>
      </c>
      <c r="I263" s="0" t="inlineStr">
        <is>
          <t>NULL</t>
        </is>
      </c>
      <c r="J263" s="0" t="inlineStr">
        <is>
          <t>NULL</t>
        </is>
      </c>
      <c r="K263" s="0" t="inlineStr">
        <is>
          <t>YES! 	 c_smallmoney列源备映射正确，源端为smallmoney None位	期望更改为smallmoney	实际备端为smallmoney None位</t>
        </is>
      </c>
    </row>
    <row r="264">
      <c r="B264" s="0" t="inlineStr">
        <is>
          <t>NULL</t>
        </is>
      </c>
      <c r="C264" s="0" t="inlineStr">
        <is>
          <t>NULL</t>
        </is>
      </c>
      <c r="D264" s="0" t="inlineStr">
        <is>
          <t>NULL</t>
        </is>
      </c>
      <c r="E264" s="0" t="inlineStr">
        <is>
          <t>NULL</t>
        </is>
      </c>
      <c r="F264" s="0" t="inlineStr">
        <is>
          <t>NULL</t>
        </is>
      </c>
      <c r="G264" s="0" t="inlineStr">
        <is>
          <t>NULL</t>
        </is>
      </c>
      <c r="H264" s="0" t="inlineStr">
        <is>
          <t>NULL</t>
        </is>
      </c>
      <c r="I264" s="0" t="inlineStr">
        <is>
          <t>NULL</t>
        </is>
      </c>
      <c r="J264" s="0" t="inlineStr">
        <is>
          <t>NULL</t>
        </is>
      </c>
      <c r="K264" s="0" t="inlineStr">
        <is>
          <t>YES! 	 c_bit列源备映射正确，源端为bit None位	期望更改为bit	实际备端为bit None位</t>
        </is>
      </c>
    </row>
    <row r="265">
      <c r="A265" s="0" t="inlineStr">
        <is>
          <t>info_varchar_dml_single_pk_urp</t>
        </is>
      </c>
      <c r="K265" s="0" t="inlineStr">
        <is>
          <t>[0;34m info_varchar_dml_single_pk_urp [0m源备字段数相同，源端字段：4 	备端字段4</t>
        </is>
      </c>
      <c r="W265" s="0" t="inlineStr">
        <is>
          <t>YES 源备无差异</t>
        </is>
      </c>
      <c r="X265" s="0">
        <f>A265</f>
        <v/>
      </c>
    </row>
    <row r="266">
      <c r="B266" s="0" t="inlineStr">
        <is>
          <t>YES</t>
        </is>
      </c>
      <c r="C266" s="0" t="inlineStr">
        <is>
          <t>NULL</t>
        </is>
      </c>
      <c r="D266" s="0" t="inlineStr">
        <is>
          <t>NULL</t>
        </is>
      </c>
      <c r="E266" s="0" t="inlineStr">
        <is>
          <t>NULL</t>
        </is>
      </c>
      <c r="F266" s="0" t="inlineStr">
        <is>
          <t>NULL</t>
        </is>
      </c>
      <c r="G266" s="0" t="inlineStr">
        <is>
          <t>NULL</t>
        </is>
      </c>
      <c r="H266" s="0" t="inlineStr">
        <is>
          <t>NULL</t>
        </is>
      </c>
      <c r="I266" s="0" t="inlineStr">
        <is>
          <t>YES!PK__info_var__3213E83F339AEA58</t>
        </is>
      </c>
      <c r="J266" s="0" t="inlineStr">
        <is>
          <t>YES! 主键相关索引</t>
        </is>
      </c>
      <c r="K266" s="0" t="inlineStr">
        <is>
          <t>YES! 	 id列源备映射正确，源端为int None位	期望更改为int	实际备端为int None位</t>
        </is>
      </c>
    </row>
    <row r="267">
      <c r="B267" s="0" t="inlineStr">
        <is>
          <t>NULL</t>
        </is>
      </c>
      <c r="C267" s="0" t="inlineStr">
        <is>
          <t>NULL</t>
        </is>
      </c>
      <c r="D267" s="0" t="inlineStr">
        <is>
          <t>NULL</t>
        </is>
      </c>
      <c r="E267" s="0" t="inlineStr">
        <is>
          <t>NULL</t>
        </is>
      </c>
      <c r="F267" s="0" t="inlineStr">
        <is>
          <t>NULL</t>
        </is>
      </c>
      <c r="G267" s="0" t="inlineStr">
        <is>
          <t>NULL</t>
        </is>
      </c>
      <c r="H267" s="0" t="inlineStr">
        <is>
          <t>NULL</t>
        </is>
      </c>
      <c r="I267" s="0" t="inlineStr">
        <is>
          <t>NULL</t>
        </is>
      </c>
      <c r="J267" s="0" t="inlineStr">
        <is>
          <t>NULL</t>
        </is>
      </c>
      <c r="K267" s="0" t="inlineStr">
        <is>
          <t>YES! 	 c_varchar列源备映射正确，源端为varchar 1位	期望更改为varchar(n)	实际备端为varchar 1位</t>
        </is>
      </c>
    </row>
    <row r="268">
      <c r="B268" s="0" t="inlineStr">
        <is>
          <t>NULL</t>
        </is>
      </c>
      <c r="C268" s="0" t="inlineStr">
        <is>
          <t>NULL</t>
        </is>
      </c>
      <c r="D268" s="0" t="inlineStr">
        <is>
          <t>NULL</t>
        </is>
      </c>
      <c r="E268" s="0" t="inlineStr">
        <is>
          <t>NULL</t>
        </is>
      </c>
      <c r="F268" s="0" t="inlineStr">
        <is>
          <t>NULL</t>
        </is>
      </c>
      <c r="G268" s="0" t="inlineStr">
        <is>
          <t>NULL</t>
        </is>
      </c>
      <c r="H268" s="0" t="inlineStr">
        <is>
          <t>NULL</t>
        </is>
      </c>
      <c r="I268" s="0" t="inlineStr">
        <is>
          <t>NULL</t>
        </is>
      </c>
      <c r="J268" s="0" t="inlineStr">
        <is>
          <t>NULL</t>
        </is>
      </c>
      <c r="K268" s="0" t="inlineStr">
        <is>
          <t>YES! 	 c_varchar50列源备映射正确，源端为varchar 50位	期望更改为varchar(n)	实际备端为varchar 50位</t>
        </is>
      </c>
    </row>
    <row r="269">
      <c r="B269" s="0" t="inlineStr">
        <is>
          <t>NULL</t>
        </is>
      </c>
      <c r="C269" s="0" t="inlineStr">
        <is>
          <t>NULL</t>
        </is>
      </c>
      <c r="D269" s="0" t="inlineStr">
        <is>
          <t>NULL</t>
        </is>
      </c>
      <c r="E269" s="0" t="inlineStr">
        <is>
          <t>NULL</t>
        </is>
      </c>
      <c r="F269" s="0" t="inlineStr">
        <is>
          <t>NULL</t>
        </is>
      </c>
      <c r="G269" s="0" t="inlineStr">
        <is>
          <t>NULL</t>
        </is>
      </c>
      <c r="H269" s="0" t="inlineStr">
        <is>
          <t>NULL</t>
        </is>
      </c>
      <c r="I269" s="0" t="inlineStr">
        <is>
          <t>NULL</t>
        </is>
      </c>
      <c r="J269" s="0" t="inlineStr">
        <is>
          <t>NULL</t>
        </is>
      </c>
      <c r="K269" s="0" t="inlineStr">
        <is>
          <t>YES! 	 c_varchar8000列源备映射正确，源端为varchar 8000位	期望更改为varchar(n)	实际备端为varchar 8000位</t>
        </is>
      </c>
    </row>
    <row r="270">
      <c r="A270" s="0" t="inlineStr">
        <is>
          <t>info_sdt_dml_batch2_pk_irp1</t>
        </is>
      </c>
      <c r="K270" s="0" t="inlineStr">
        <is>
          <t>[0;34m info_sdt_dml_batch2_pk_irp1 [0m源备字段数相同，源端字段：2 	备端字段2</t>
        </is>
      </c>
      <c r="W270" s="0" t="inlineStr">
        <is>
          <t>YES 源备无差异</t>
        </is>
      </c>
      <c r="X270" s="0">
        <f>A270</f>
        <v/>
      </c>
    </row>
    <row r="271">
      <c r="B271" s="0" t="inlineStr">
        <is>
          <t>YES</t>
        </is>
      </c>
      <c r="C271" s="0" t="inlineStr">
        <is>
          <t>NULL</t>
        </is>
      </c>
      <c r="D271" s="0" t="inlineStr">
        <is>
          <t>NULL</t>
        </is>
      </c>
      <c r="E271" s="0" t="inlineStr">
        <is>
          <t>NULL</t>
        </is>
      </c>
      <c r="F271" s="0" t="inlineStr">
        <is>
          <t>NULL</t>
        </is>
      </c>
      <c r="G271" s="0" t="inlineStr">
        <is>
          <t>NULL</t>
        </is>
      </c>
      <c r="H271" s="0" t="inlineStr">
        <is>
          <t>NULL</t>
        </is>
      </c>
      <c r="I271" s="0" t="inlineStr">
        <is>
          <t>YES!PK__info_sdt__3213E83F3D82C417</t>
        </is>
      </c>
      <c r="J271" s="0" t="inlineStr">
        <is>
          <t>YES! 主键相关索引</t>
        </is>
      </c>
      <c r="K271" s="0" t="inlineStr">
        <is>
          <t>YES! 	 id列源备映射正确，源端为int None位	期望更改为int	实际备端为int None位</t>
        </is>
      </c>
    </row>
    <row r="272">
      <c r="B272" s="0" t="inlineStr">
        <is>
          <t>NULL</t>
        </is>
      </c>
      <c r="C272" s="0" t="inlineStr">
        <is>
          <t>NULL</t>
        </is>
      </c>
      <c r="D272" s="0" t="inlineStr">
        <is>
          <t>NULL</t>
        </is>
      </c>
      <c r="E272" s="0" t="inlineStr">
        <is>
          <t>NULL</t>
        </is>
      </c>
      <c r="F272" s="0" t="inlineStr">
        <is>
          <t>NULL</t>
        </is>
      </c>
      <c r="G272" s="0" t="inlineStr">
        <is>
          <t>NULL</t>
        </is>
      </c>
      <c r="H272" s="0" t="inlineStr">
        <is>
          <t>NULL</t>
        </is>
      </c>
      <c r="I272" s="0" t="inlineStr">
        <is>
          <t>NULL</t>
        </is>
      </c>
      <c r="J272" s="0" t="inlineStr">
        <is>
          <t>NULL</t>
        </is>
      </c>
      <c r="K272" s="0" t="inlineStr">
        <is>
          <t>YES! 	 c_sdt列源备映射正确，源端为smalldatetime None位	期望更改为smalldatetime	实际备端为smalldatetime None位</t>
        </is>
      </c>
    </row>
    <row r="273">
      <c r="A273" s="0" t="inlineStr">
        <is>
          <t>info_int_dml_single_pk_urp</t>
        </is>
      </c>
      <c r="K273" s="0" t="inlineStr">
        <is>
          <t>[0;34m info_int_dml_single_pk_urp [0m源备字段数相同，源端字段：20 	备端字段20</t>
        </is>
      </c>
      <c r="W273" s="0" t="inlineStr">
        <is>
          <t>YES 源备无差异</t>
        </is>
      </c>
      <c r="X273" s="0">
        <f>A273</f>
        <v/>
      </c>
    </row>
    <row r="274">
      <c r="B274" s="0" t="inlineStr">
        <is>
          <t>YES</t>
        </is>
      </c>
      <c r="C274" s="0" t="inlineStr">
        <is>
          <t>NULL</t>
        </is>
      </c>
      <c r="D274" s="0" t="inlineStr">
        <is>
          <t>NULL</t>
        </is>
      </c>
      <c r="E274" s="0" t="inlineStr">
        <is>
          <t>NULL</t>
        </is>
      </c>
      <c r="F274" s="0" t="inlineStr">
        <is>
          <t>NULL</t>
        </is>
      </c>
      <c r="G274" s="0" t="inlineStr">
        <is>
          <t>NULL</t>
        </is>
      </c>
      <c r="H274" s="0" t="inlineStr">
        <is>
          <t>NULL</t>
        </is>
      </c>
      <c r="I274" s="0" t="inlineStr">
        <is>
          <t>YES!PK__info_int__3213E83FF3C9ADF2</t>
        </is>
      </c>
      <c r="J274" s="0" t="inlineStr">
        <is>
          <t>YES! 主键相关索引</t>
        </is>
      </c>
      <c r="K274" s="0" t="inlineStr">
        <is>
          <t>YES! 	 id列源备映射正确，源端为int None位	期望更改为int	实际备端为int None位</t>
        </is>
      </c>
    </row>
    <row r="275">
      <c r="B275" s="0" t="inlineStr">
        <is>
          <t>NULL</t>
        </is>
      </c>
      <c r="C275" s="0" t="inlineStr">
        <is>
          <t>NULL</t>
        </is>
      </c>
      <c r="D275" s="0" t="inlineStr">
        <is>
          <t>NULL</t>
        </is>
      </c>
      <c r="E275" s="0" t="inlineStr">
        <is>
          <t>NULL</t>
        </is>
      </c>
      <c r="F275" s="0" t="inlineStr">
        <is>
          <t>NULL</t>
        </is>
      </c>
      <c r="G275" s="0" t="inlineStr">
        <is>
          <t>NULL</t>
        </is>
      </c>
      <c r="H275" s="0" t="inlineStr">
        <is>
          <t>NULL</t>
        </is>
      </c>
      <c r="I275" s="0" t="inlineStr">
        <is>
          <t>NULL</t>
        </is>
      </c>
      <c r="J275" s="0" t="inlineStr">
        <is>
          <t>NULL</t>
        </is>
      </c>
      <c r="K275" s="0" t="inlineStr">
        <is>
          <t>YES! 	 c_tinyint列源备映射正确，源端为tinyint None位	期望更改为tinyint	实际备端为tinyint None位</t>
        </is>
      </c>
    </row>
    <row r="276">
      <c r="B276" s="0" t="inlineStr">
        <is>
          <t>NULL</t>
        </is>
      </c>
      <c r="C276" s="0" t="inlineStr">
        <is>
          <t>NULL</t>
        </is>
      </c>
      <c r="D276" s="0" t="inlineStr">
        <is>
          <t>NULL</t>
        </is>
      </c>
      <c r="E276" s="0" t="inlineStr">
        <is>
          <t>NULL</t>
        </is>
      </c>
      <c r="F276" s="0" t="inlineStr">
        <is>
          <t>NULL</t>
        </is>
      </c>
      <c r="G276" s="0" t="inlineStr">
        <is>
          <t>NULL</t>
        </is>
      </c>
      <c r="H276" s="0" t="inlineStr">
        <is>
          <t>NULL</t>
        </is>
      </c>
      <c r="I276" s="0" t="inlineStr">
        <is>
          <t>NULL</t>
        </is>
      </c>
      <c r="J276" s="0" t="inlineStr">
        <is>
          <t>NULL</t>
        </is>
      </c>
      <c r="K276" s="0" t="inlineStr">
        <is>
          <t>YES! 	 c_smallint列源备映射正确，源端为smallint None位	期望更改为smallint	实际备端为smallint None位</t>
        </is>
      </c>
    </row>
    <row r="277">
      <c r="B277" s="0" t="inlineStr">
        <is>
          <t>NULL</t>
        </is>
      </c>
      <c r="C277" s="0" t="inlineStr">
        <is>
          <t>NULL</t>
        </is>
      </c>
      <c r="D277" s="0" t="inlineStr">
        <is>
          <t>NULL</t>
        </is>
      </c>
      <c r="E277" s="0" t="inlineStr">
        <is>
          <t>NULL</t>
        </is>
      </c>
      <c r="F277" s="0" t="inlineStr">
        <is>
          <t>NULL</t>
        </is>
      </c>
      <c r="G277" s="0" t="inlineStr">
        <is>
          <t>NULL</t>
        </is>
      </c>
      <c r="H277" s="0" t="inlineStr">
        <is>
          <t>NULL</t>
        </is>
      </c>
      <c r="I277" s="0" t="inlineStr">
        <is>
          <t>NULL</t>
        </is>
      </c>
      <c r="J277" s="0" t="inlineStr">
        <is>
          <t>NULL</t>
        </is>
      </c>
      <c r="K277" s="0" t="inlineStr">
        <is>
          <t>YES! 	 c_int列源备映射正确，源端为int None位	期望更改为int	实际备端为int None位</t>
        </is>
      </c>
    </row>
    <row r="278">
      <c r="B278" s="0" t="inlineStr">
        <is>
          <t>NULL</t>
        </is>
      </c>
      <c r="C278" s="0" t="inlineStr">
        <is>
          <t>NULL</t>
        </is>
      </c>
      <c r="D278" s="0" t="inlineStr">
        <is>
          <t>NULL</t>
        </is>
      </c>
      <c r="E278" s="0" t="inlineStr">
        <is>
          <t>NULL</t>
        </is>
      </c>
      <c r="F278" s="0" t="inlineStr">
        <is>
          <t>NULL</t>
        </is>
      </c>
      <c r="G278" s="0" t="inlineStr">
        <is>
          <t>NULL</t>
        </is>
      </c>
      <c r="H278" s="0" t="inlineStr">
        <is>
          <t>NULL</t>
        </is>
      </c>
      <c r="I278" s="0" t="inlineStr">
        <is>
          <t>NULL</t>
        </is>
      </c>
      <c r="J278" s="0" t="inlineStr">
        <is>
          <t>NULL</t>
        </is>
      </c>
      <c r="K278" s="0" t="inlineStr">
        <is>
          <t>YES! 	 c_bigint列源备映射正确，源端为bigint None位	期望更改为bigint	实际备端为bigint None位</t>
        </is>
      </c>
    </row>
    <row r="279">
      <c r="B279" s="0" t="inlineStr">
        <is>
          <t>NULL</t>
        </is>
      </c>
      <c r="C279" s="0" t="inlineStr">
        <is>
          <t>NULL</t>
        </is>
      </c>
      <c r="D279" s="0" t="inlineStr">
        <is>
          <t>NULL</t>
        </is>
      </c>
      <c r="E279" s="0" t="inlineStr">
        <is>
          <t>NULL</t>
        </is>
      </c>
      <c r="F279" s="0" t="inlineStr">
        <is>
          <t>NULL</t>
        </is>
      </c>
      <c r="G279" s="0" t="inlineStr">
        <is>
          <t>NULL</t>
        </is>
      </c>
      <c r="H279" s="0" t="inlineStr">
        <is>
          <t>NULL</t>
        </is>
      </c>
      <c r="I279" s="0" t="inlineStr">
        <is>
          <t>NULL</t>
        </is>
      </c>
      <c r="J279" s="0" t="inlineStr">
        <is>
          <t>NULL</t>
        </is>
      </c>
      <c r="K279" s="0" t="inlineStr">
        <is>
          <t>YES! 	 c_decimal列源备映射正确，源端为decimal None位	期望更改为decimal(p,s)	实际备端为decimal None位</t>
        </is>
      </c>
    </row>
    <row r="280">
      <c r="B280" s="0" t="inlineStr">
        <is>
          <t>NULL</t>
        </is>
      </c>
      <c r="C280" s="0" t="inlineStr">
        <is>
          <t>NULL</t>
        </is>
      </c>
      <c r="D280" s="0" t="inlineStr">
        <is>
          <t>NULL</t>
        </is>
      </c>
      <c r="E280" s="0" t="inlineStr">
        <is>
          <t>NULL</t>
        </is>
      </c>
      <c r="F280" s="0" t="inlineStr">
        <is>
          <t>NULL</t>
        </is>
      </c>
      <c r="G280" s="0" t="inlineStr">
        <is>
          <t>NULL</t>
        </is>
      </c>
      <c r="H280" s="0" t="inlineStr">
        <is>
          <t>NULL</t>
        </is>
      </c>
      <c r="I280" s="0" t="inlineStr">
        <is>
          <t>NULL</t>
        </is>
      </c>
      <c r="J280" s="0" t="inlineStr">
        <is>
          <t>NULL</t>
        </is>
      </c>
      <c r="K280" s="0" t="inlineStr">
        <is>
          <t>YES! 	 c_decimal38列源备映射正确，源端为decimal None位	期望更改为decimal(p,s)	实际备端为decimal None位</t>
        </is>
      </c>
    </row>
    <row r="281">
      <c r="B281" s="0" t="inlineStr">
        <is>
          <t>NULL</t>
        </is>
      </c>
      <c r="C281" s="0" t="inlineStr">
        <is>
          <t>NULL</t>
        </is>
      </c>
      <c r="D281" s="0" t="inlineStr">
        <is>
          <t>NULL</t>
        </is>
      </c>
      <c r="E281" s="0" t="inlineStr">
        <is>
          <t>NULL</t>
        </is>
      </c>
      <c r="F281" s="0" t="inlineStr">
        <is>
          <t>NULL</t>
        </is>
      </c>
      <c r="G281" s="0" t="inlineStr">
        <is>
          <t>NULL</t>
        </is>
      </c>
      <c r="H281" s="0" t="inlineStr">
        <is>
          <t>NULL</t>
        </is>
      </c>
      <c r="I281" s="0" t="inlineStr">
        <is>
          <t>NULL</t>
        </is>
      </c>
      <c r="J281" s="0" t="inlineStr">
        <is>
          <t>NULL</t>
        </is>
      </c>
      <c r="K281" s="0" t="inlineStr">
        <is>
          <t>YES! 	 c_decimal38_38列源备映射正确，源端为decimal None位	期望更改为decimal(p,s)	实际备端为decimal None位</t>
        </is>
      </c>
    </row>
    <row r="282">
      <c r="B282" s="0" t="inlineStr">
        <is>
          <t>NULL</t>
        </is>
      </c>
      <c r="C282" s="0" t="inlineStr">
        <is>
          <t>NULL</t>
        </is>
      </c>
      <c r="D282" s="0" t="inlineStr">
        <is>
          <t>NULL</t>
        </is>
      </c>
      <c r="E282" s="0" t="inlineStr">
        <is>
          <t>NULL</t>
        </is>
      </c>
      <c r="F282" s="0" t="inlineStr">
        <is>
          <t>NULL</t>
        </is>
      </c>
      <c r="G282" s="0" t="inlineStr">
        <is>
          <t>NULL</t>
        </is>
      </c>
      <c r="H282" s="0" t="inlineStr">
        <is>
          <t>NULL</t>
        </is>
      </c>
      <c r="I282" s="0" t="inlineStr">
        <is>
          <t>NULL</t>
        </is>
      </c>
      <c r="J282" s="0" t="inlineStr">
        <is>
          <t>NULL</t>
        </is>
      </c>
      <c r="K282" s="0" t="inlineStr">
        <is>
          <t>YES! 	 c_decimal38_10列源备映射正确，源端为decimal None位	期望更改为decimal(p,s)	实际备端为decimal None位</t>
        </is>
      </c>
    </row>
    <row r="283">
      <c r="B283" s="0" t="inlineStr">
        <is>
          <t>NULL</t>
        </is>
      </c>
      <c r="C283" s="0" t="inlineStr">
        <is>
          <t>NULL</t>
        </is>
      </c>
      <c r="D283" s="0" t="inlineStr">
        <is>
          <t>NULL</t>
        </is>
      </c>
      <c r="E283" s="0" t="inlineStr">
        <is>
          <t>NULL</t>
        </is>
      </c>
      <c r="F283" s="0" t="inlineStr">
        <is>
          <t>NULL</t>
        </is>
      </c>
      <c r="G283" s="0" t="inlineStr">
        <is>
          <t>NULL</t>
        </is>
      </c>
      <c r="H283" s="0" t="inlineStr">
        <is>
          <t>NULL</t>
        </is>
      </c>
      <c r="I283" s="0" t="inlineStr">
        <is>
          <t>NULL</t>
        </is>
      </c>
      <c r="J283" s="0" t="inlineStr">
        <is>
          <t>NULL</t>
        </is>
      </c>
      <c r="K283" s="0" t="inlineStr">
        <is>
          <t>YES! 	 c_decimal19_4列源备映射正确，源端为decimal None位	期望更改为decimal(p,s)	实际备端为decimal None位</t>
        </is>
      </c>
    </row>
    <row r="284">
      <c r="B284" s="0" t="inlineStr">
        <is>
          <t>NULL</t>
        </is>
      </c>
      <c r="C284" s="0" t="inlineStr">
        <is>
          <t>NULL</t>
        </is>
      </c>
      <c r="D284" s="0" t="inlineStr">
        <is>
          <t>NULL</t>
        </is>
      </c>
      <c r="E284" s="0" t="inlineStr">
        <is>
          <t>NULL</t>
        </is>
      </c>
      <c r="F284" s="0" t="inlineStr">
        <is>
          <t>NULL</t>
        </is>
      </c>
      <c r="G284" s="0" t="inlineStr">
        <is>
          <t>NULL</t>
        </is>
      </c>
      <c r="H284" s="0" t="inlineStr">
        <is>
          <t>NULL</t>
        </is>
      </c>
      <c r="I284" s="0" t="inlineStr">
        <is>
          <t>NULL</t>
        </is>
      </c>
      <c r="J284" s="0" t="inlineStr">
        <is>
          <t>NULL</t>
        </is>
      </c>
      <c r="K284" s="0" t="inlineStr">
        <is>
          <t>YES! 	 c_numeric列源备映射正确，源端为numeric None位	期望更改为numeric(p,s)	实际备端为numeric None位</t>
        </is>
      </c>
    </row>
    <row r="285">
      <c r="B285" s="0" t="inlineStr">
        <is>
          <t>NULL</t>
        </is>
      </c>
      <c r="C285" s="0" t="inlineStr">
        <is>
          <t>NULL</t>
        </is>
      </c>
      <c r="D285" s="0" t="inlineStr">
        <is>
          <t>NULL</t>
        </is>
      </c>
      <c r="E285" s="0" t="inlineStr">
        <is>
          <t>NULL</t>
        </is>
      </c>
      <c r="F285" s="0" t="inlineStr">
        <is>
          <t>NULL</t>
        </is>
      </c>
      <c r="G285" s="0" t="inlineStr">
        <is>
          <t>NULL</t>
        </is>
      </c>
      <c r="H285" s="0" t="inlineStr">
        <is>
          <t>NULL</t>
        </is>
      </c>
      <c r="I285" s="0" t="inlineStr">
        <is>
          <t>NULL</t>
        </is>
      </c>
      <c r="J285" s="0" t="inlineStr">
        <is>
          <t>NULL</t>
        </is>
      </c>
      <c r="K285" s="0" t="inlineStr">
        <is>
          <t>YES! 	 c_numeric38列源备映射正确，源端为numeric None位	期望更改为numeric(p,s)	实际备端为numeric None位</t>
        </is>
      </c>
    </row>
    <row r="286">
      <c r="B286" s="0" t="inlineStr">
        <is>
          <t>NULL</t>
        </is>
      </c>
      <c r="C286" s="0" t="inlineStr">
        <is>
          <t>NULL</t>
        </is>
      </c>
      <c r="D286" s="0" t="inlineStr">
        <is>
          <t>NULL</t>
        </is>
      </c>
      <c r="E286" s="0" t="inlineStr">
        <is>
          <t>NULL</t>
        </is>
      </c>
      <c r="F286" s="0" t="inlineStr">
        <is>
          <t>NULL</t>
        </is>
      </c>
      <c r="G286" s="0" t="inlineStr">
        <is>
          <t>NULL</t>
        </is>
      </c>
      <c r="H286" s="0" t="inlineStr">
        <is>
          <t>NULL</t>
        </is>
      </c>
      <c r="I286" s="0" t="inlineStr">
        <is>
          <t>NULL</t>
        </is>
      </c>
      <c r="J286" s="0" t="inlineStr">
        <is>
          <t>NULL</t>
        </is>
      </c>
      <c r="K286" s="0" t="inlineStr">
        <is>
          <t>YES! 	 c_numeric38_38列源备映射正确，源端为numeric None位	期望更改为numeric(p,s)	实际备端为numeric None位</t>
        </is>
      </c>
    </row>
    <row r="287">
      <c r="B287" s="0" t="inlineStr">
        <is>
          <t>NULL</t>
        </is>
      </c>
      <c r="C287" s="0" t="inlineStr">
        <is>
          <t>NULL</t>
        </is>
      </c>
      <c r="D287" s="0" t="inlineStr">
        <is>
          <t>NULL</t>
        </is>
      </c>
      <c r="E287" s="0" t="inlineStr">
        <is>
          <t>NULL</t>
        </is>
      </c>
      <c r="F287" s="0" t="inlineStr">
        <is>
          <t>NULL</t>
        </is>
      </c>
      <c r="G287" s="0" t="inlineStr">
        <is>
          <t>NULL</t>
        </is>
      </c>
      <c r="H287" s="0" t="inlineStr">
        <is>
          <t>NULL</t>
        </is>
      </c>
      <c r="I287" s="0" t="inlineStr">
        <is>
          <t>NULL</t>
        </is>
      </c>
      <c r="J287" s="0" t="inlineStr">
        <is>
          <t>NULL</t>
        </is>
      </c>
      <c r="K287" s="0" t="inlineStr">
        <is>
          <t>YES! 	 c_numeric38_10列源备映射正确，源端为numeric None位	期望更改为numeric(p,s)	实际备端为numeric None位</t>
        </is>
      </c>
    </row>
    <row r="288">
      <c r="B288" s="0" t="inlineStr">
        <is>
          <t>NULL</t>
        </is>
      </c>
      <c r="C288" s="0" t="inlineStr">
        <is>
          <t>NULL</t>
        </is>
      </c>
      <c r="D288" s="0" t="inlineStr">
        <is>
          <t>NULL</t>
        </is>
      </c>
      <c r="E288" s="0" t="inlineStr">
        <is>
          <t>NULL</t>
        </is>
      </c>
      <c r="F288" s="0" t="inlineStr">
        <is>
          <t>NULL</t>
        </is>
      </c>
      <c r="G288" s="0" t="inlineStr">
        <is>
          <t>NULL</t>
        </is>
      </c>
      <c r="H288" s="0" t="inlineStr">
        <is>
          <t>NULL</t>
        </is>
      </c>
      <c r="I288" s="0" t="inlineStr">
        <is>
          <t>NULL</t>
        </is>
      </c>
      <c r="J288" s="0" t="inlineStr">
        <is>
          <t>NULL</t>
        </is>
      </c>
      <c r="K288" s="0" t="inlineStr">
        <is>
          <t>YES! 	 c_numeric18_2列源备映射正确，源端为numeric None位	期望更改为numeric(p,s)	实际备端为numeric None位</t>
        </is>
      </c>
    </row>
    <row r="289">
      <c r="B289" s="0" t="inlineStr">
        <is>
          <t>NULL</t>
        </is>
      </c>
      <c r="C289" s="0" t="inlineStr">
        <is>
          <t>NULL</t>
        </is>
      </c>
      <c r="D289" s="0" t="inlineStr">
        <is>
          <t>NULL</t>
        </is>
      </c>
      <c r="E289" s="0" t="inlineStr">
        <is>
          <t>NULL</t>
        </is>
      </c>
      <c r="F289" s="0" t="inlineStr">
        <is>
          <t>NULL</t>
        </is>
      </c>
      <c r="G289" s="0" t="inlineStr">
        <is>
          <t>NULL</t>
        </is>
      </c>
      <c r="H289" s="0" t="inlineStr">
        <is>
          <t>NULL</t>
        </is>
      </c>
      <c r="I289" s="0" t="inlineStr">
        <is>
          <t>NULL</t>
        </is>
      </c>
      <c r="J289" s="0" t="inlineStr">
        <is>
          <t>NULL</t>
        </is>
      </c>
      <c r="K289" s="0" t="inlineStr">
        <is>
          <t>YES! 	 c_float列源备映射正确，源端为float None位	期望更改为float	实际备端为float None位</t>
        </is>
      </c>
    </row>
    <row r="290">
      <c r="B290" s="0" t="inlineStr">
        <is>
          <t>NULL</t>
        </is>
      </c>
      <c r="C290" s="0" t="inlineStr">
        <is>
          <t>NULL</t>
        </is>
      </c>
      <c r="D290" s="0" t="inlineStr">
        <is>
          <t>NULL</t>
        </is>
      </c>
      <c r="E290" s="0" t="inlineStr">
        <is>
          <t>NULL</t>
        </is>
      </c>
      <c r="F290" s="0" t="inlineStr">
        <is>
          <t>NULL</t>
        </is>
      </c>
      <c r="G290" s="0" t="inlineStr">
        <is>
          <t>NULL</t>
        </is>
      </c>
      <c r="H290" s="0" t="inlineStr">
        <is>
          <t>NULL</t>
        </is>
      </c>
      <c r="I290" s="0" t="inlineStr">
        <is>
          <t>NULL</t>
        </is>
      </c>
      <c r="J290" s="0" t="inlineStr">
        <is>
          <t>NULL</t>
        </is>
      </c>
      <c r="K290" s="0" t="inlineStr">
        <is>
          <t>YES! 	 c_real列源备映射正确，源端为real None位	期望更改为real	实际备端为real None位</t>
        </is>
      </c>
    </row>
    <row r="291">
      <c r="B291" s="0" t="inlineStr">
        <is>
          <t>NULL</t>
        </is>
      </c>
      <c r="C291" s="0" t="inlineStr">
        <is>
          <t>NULL</t>
        </is>
      </c>
      <c r="D291" s="0" t="inlineStr">
        <is>
          <t>NULL</t>
        </is>
      </c>
      <c r="E291" s="0" t="inlineStr">
        <is>
          <t>NULL</t>
        </is>
      </c>
      <c r="F291" s="0" t="inlineStr">
        <is>
          <t>NULL</t>
        </is>
      </c>
      <c r="G291" s="0" t="inlineStr">
        <is>
          <t>NULL</t>
        </is>
      </c>
      <c r="H291" s="0" t="inlineStr">
        <is>
          <t>NULL</t>
        </is>
      </c>
      <c r="I291" s="0" t="inlineStr">
        <is>
          <t>NULL</t>
        </is>
      </c>
      <c r="J291" s="0" t="inlineStr">
        <is>
          <t>NULL</t>
        </is>
      </c>
      <c r="K291" s="0" t="inlineStr">
        <is>
          <t>YES! 	 c_money列源备映射正确，源端为money None位	期望更改为money	实际备端为money None位</t>
        </is>
      </c>
    </row>
    <row r="292">
      <c r="B292" s="0" t="inlineStr">
        <is>
          <t>NULL</t>
        </is>
      </c>
      <c r="C292" s="0" t="inlineStr">
        <is>
          <t>NULL</t>
        </is>
      </c>
      <c r="D292" s="0" t="inlineStr">
        <is>
          <t>NULL</t>
        </is>
      </c>
      <c r="E292" s="0" t="inlineStr">
        <is>
          <t>NULL</t>
        </is>
      </c>
      <c r="F292" s="0" t="inlineStr">
        <is>
          <t>NULL</t>
        </is>
      </c>
      <c r="G292" s="0" t="inlineStr">
        <is>
          <t>NULL</t>
        </is>
      </c>
      <c r="H292" s="0" t="inlineStr">
        <is>
          <t>NULL</t>
        </is>
      </c>
      <c r="I292" s="0" t="inlineStr">
        <is>
          <t>NULL</t>
        </is>
      </c>
      <c r="J292" s="0" t="inlineStr">
        <is>
          <t>NULL</t>
        </is>
      </c>
      <c r="K292" s="0" t="inlineStr">
        <is>
          <t>YES! 	 c_smallmoney列源备映射正确，源端为smallmoney None位	期望更改为smallmoney	实际备端为smallmoney None位</t>
        </is>
      </c>
    </row>
    <row r="293">
      <c r="B293" s="0" t="inlineStr">
        <is>
          <t>NULL</t>
        </is>
      </c>
      <c r="C293" s="0" t="inlineStr">
        <is>
          <t>NULL</t>
        </is>
      </c>
      <c r="D293" s="0" t="inlineStr">
        <is>
          <t>NULL</t>
        </is>
      </c>
      <c r="E293" s="0" t="inlineStr">
        <is>
          <t>NULL</t>
        </is>
      </c>
      <c r="F293" s="0" t="inlineStr">
        <is>
          <t>NULL</t>
        </is>
      </c>
      <c r="G293" s="0" t="inlineStr">
        <is>
          <t>NULL</t>
        </is>
      </c>
      <c r="H293" s="0" t="inlineStr">
        <is>
          <t>NULL</t>
        </is>
      </c>
      <c r="I293" s="0" t="inlineStr">
        <is>
          <t>NULL</t>
        </is>
      </c>
      <c r="J293" s="0" t="inlineStr">
        <is>
          <t>NULL</t>
        </is>
      </c>
      <c r="K293" s="0" t="inlineStr">
        <is>
          <t>YES! 	 c_bit列源备映射正确，源端为bit None位	期望更改为bit	实际备端为bit None位</t>
        </is>
      </c>
    </row>
    <row r="294">
      <c r="A294" s="0" t="inlineStr">
        <is>
          <t>info_varchar_dml_single_pk_drp</t>
        </is>
      </c>
      <c r="K294" s="0" t="inlineStr">
        <is>
          <t>[0;34m info_varchar_dml_single_pk_drp [0m源备字段数相同，源端字段：4 	备端字段4</t>
        </is>
      </c>
      <c r="W294" s="0" t="inlineStr">
        <is>
          <t>YES 源备无差异</t>
        </is>
      </c>
      <c r="X294" s="0">
        <f>A294</f>
        <v/>
      </c>
    </row>
    <row r="295">
      <c r="B295" s="0" t="inlineStr">
        <is>
          <t>YES</t>
        </is>
      </c>
      <c r="C295" s="0" t="inlineStr">
        <is>
          <t>NULL</t>
        </is>
      </c>
      <c r="D295" s="0" t="inlineStr">
        <is>
          <t>NULL</t>
        </is>
      </c>
      <c r="E295" s="0" t="inlineStr">
        <is>
          <t>NULL</t>
        </is>
      </c>
      <c r="F295" s="0" t="inlineStr">
        <is>
          <t>NULL</t>
        </is>
      </c>
      <c r="G295" s="0" t="inlineStr">
        <is>
          <t>NULL</t>
        </is>
      </c>
      <c r="H295" s="0" t="inlineStr">
        <is>
          <t>NULL</t>
        </is>
      </c>
      <c r="I295" s="0" t="inlineStr">
        <is>
          <t>YES!PK__info_var__3213E83FEE4FC36C</t>
        </is>
      </c>
      <c r="J295" s="0" t="inlineStr">
        <is>
          <t>YES! 主键相关索引</t>
        </is>
      </c>
      <c r="K295" s="0" t="inlineStr">
        <is>
          <t>YES! 	 id列源备映射正确，源端为int None位	期望更改为int	实际备端为int None位</t>
        </is>
      </c>
    </row>
    <row r="296">
      <c r="B296" s="0" t="inlineStr">
        <is>
          <t>NULL</t>
        </is>
      </c>
      <c r="C296" s="0" t="inlineStr">
        <is>
          <t>NULL</t>
        </is>
      </c>
      <c r="D296" s="0" t="inlineStr">
        <is>
          <t>NULL</t>
        </is>
      </c>
      <c r="E296" s="0" t="inlineStr">
        <is>
          <t>NULL</t>
        </is>
      </c>
      <c r="F296" s="0" t="inlineStr">
        <is>
          <t>NULL</t>
        </is>
      </c>
      <c r="G296" s="0" t="inlineStr">
        <is>
          <t>NULL</t>
        </is>
      </c>
      <c r="H296" s="0" t="inlineStr">
        <is>
          <t>NULL</t>
        </is>
      </c>
      <c r="I296" s="0" t="inlineStr">
        <is>
          <t>NULL</t>
        </is>
      </c>
      <c r="J296" s="0" t="inlineStr">
        <is>
          <t>NULL</t>
        </is>
      </c>
      <c r="K296" s="0" t="inlineStr">
        <is>
          <t>YES! 	 c_varchar列源备映射正确，源端为varchar 1位	期望更改为varchar(n)	实际备端为varchar 1位</t>
        </is>
      </c>
    </row>
    <row r="297">
      <c r="B297" s="0" t="inlineStr">
        <is>
          <t>NULL</t>
        </is>
      </c>
      <c r="C297" s="0" t="inlineStr">
        <is>
          <t>NULL</t>
        </is>
      </c>
      <c r="D297" s="0" t="inlineStr">
        <is>
          <t>NULL</t>
        </is>
      </c>
      <c r="E297" s="0" t="inlineStr">
        <is>
          <t>NULL</t>
        </is>
      </c>
      <c r="F297" s="0" t="inlineStr">
        <is>
          <t>NULL</t>
        </is>
      </c>
      <c r="G297" s="0" t="inlineStr">
        <is>
          <t>NULL</t>
        </is>
      </c>
      <c r="H297" s="0" t="inlineStr">
        <is>
          <t>NULL</t>
        </is>
      </c>
      <c r="I297" s="0" t="inlineStr">
        <is>
          <t>NULL</t>
        </is>
      </c>
      <c r="J297" s="0" t="inlineStr">
        <is>
          <t>NULL</t>
        </is>
      </c>
      <c r="K297" s="0" t="inlineStr">
        <is>
          <t>YES! 	 c_varchar50列源备映射正确，源端为varchar 50位	期望更改为varchar(n)	实际备端为varchar 50位</t>
        </is>
      </c>
    </row>
    <row r="298">
      <c r="B298" s="0" t="inlineStr">
        <is>
          <t>NULL</t>
        </is>
      </c>
      <c r="C298" s="0" t="inlineStr">
        <is>
          <t>NULL</t>
        </is>
      </c>
      <c r="D298" s="0" t="inlineStr">
        <is>
          <t>NULL</t>
        </is>
      </c>
      <c r="E298" s="0" t="inlineStr">
        <is>
          <t>NULL</t>
        </is>
      </c>
      <c r="F298" s="0" t="inlineStr">
        <is>
          <t>NULL</t>
        </is>
      </c>
      <c r="G298" s="0" t="inlineStr">
        <is>
          <t>NULL</t>
        </is>
      </c>
      <c r="H298" s="0" t="inlineStr">
        <is>
          <t>NULL</t>
        </is>
      </c>
      <c r="I298" s="0" t="inlineStr">
        <is>
          <t>NULL</t>
        </is>
      </c>
      <c r="J298" s="0" t="inlineStr">
        <is>
          <t>NULL</t>
        </is>
      </c>
      <c r="K298" s="0" t="inlineStr">
        <is>
          <t>YES! 	 c_varchar8000列源备映射正确，源端为varchar 8000位	期望更改为varchar(n)	实际备端为varchar 8000位</t>
        </is>
      </c>
    </row>
    <row r="299">
      <c r="A299" s="0" t="inlineStr">
        <is>
          <t>info_sdt_dml_batch2_pk_irp2</t>
        </is>
      </c>
      <c r="K299" s="0" t="inlineStr">
        <is>
          <t>[0;34m info_sdt_dml_batch2_pk_irp2 [0m源备字段数相同，源端字段：2 	备端字段2</t>
        </is>
      </c>
      <c r="W299" s="0" t="inlineStr">
        <is>
          <t>YES 源备无差异</t>
        </is>
      </c>
      <c r="X299" s="0">
        <f>A299</f>
        <v/>
      </c>
    </row>
    <row r="300">
      <c r="B300" s="0" t="inlineStr">
        <is>
          <t>YES</t>
        </is>
      </c>
      <c r="C300" s="0" t="inlineStr">
        <is>
          <t>NULL</t>
        </is>
      </c>
      <c r="D300" s="0" t="inlineStr">
        <is>
          <t>NULL</t>
        </is>
      </c>
      <c r="E300" s="0" t="inlineStr">
        <is>
          <t>NULL</t>
        </is>
      </c>
      <c r="F300" s="0" t="inlineStr">
        <is>
          <t>NULL</t>
        </is>
      </c>
      <c r="G300" s="0" t="inlineStr">
        <is>
          <t>NULL</t>
        </is>
      </c>
      <c r="H300" s="0" t="inlineStr">
        <is>
          <t>NULL</t>
        </is>
      </c>
      <c r="I300" s="0" t="inlineStr">
        <is>
          <t>YES!PK__info_sdt__3213E83F8FF1A01C</t>
        </is>
      </c>
      <c r="J300" s="0" t="inlineStr">
        <is>
          <t>YES! 主键相关索引</t>
        </is>
      </c>
      <c r="K300" s="0" t="inlineStr">
        <is>
          <t>YES! 	 id列源备映射正确，源端为int None位	期望更改为int	实际备端为int None位</t>
        </is>
      </c>
    </row>
    <row r="301">
      <c r="B301" s="0" t="inlineStr">
        <is>
          <t>NULL</t>
        </is>
      </c>
      <c r="C301" s="0" t="inlineStr">
        <is>
          <t>NULL</t>
        </is>
      </c>
      <c r="D301" s="0" t="inlineStr">
        <is>
          <t>NULL</t>
        </is>
      </c>
      <c r="E301" s="0" t="inlineStr">
        <is>
          <t>NULL</t>
        </is>
      </c>
      <c r="F301" s="0" t="inlineStr">
        <is>
          <t>NULL</t>
        </is>
      </c>
      <c r="G301" s="0" t="inlineStr">
        <is>
          <t>NULL</t>
        </is>
      </c>
      <c r="H301" s="0" t="inlineStr">
        <is>
          <t>NULL</t>
        </is>
      </c>
      <c r="I301" s="0" t="inlineStr">
        <is>
          <t>NULL</t>
        </is>
      </c>
      <c r="J301" s="0" t="inlineStr">
        <is>
          <t>NULL</t>
        </is>
      </c>
      <c r="K301" s="0" t="inlineStr">
        <is>
          <t>YES! 	 c_sdt列源备映射正确，源端为smalldatetime None位	期望更改为smalldatetime	实际备端为smalldatetime None位</t>
        </is>
      </c>
    </row>
    <row r="302">
      <c r="A302" s="0" t="inlineStr">
        <is>
          <t>info_char_dml_batch1_pk</t>
        </is>
      </c>
      <c r="K302" s="0" t="inlineStr">
        <is>
          <t>[0;34m info_char_dml_batch1_pk [0m源备字段数相同，源端字段：4 	备端字段4</t>
        </is>
      </c>
      <c r="W302" s="0" t="inlineStr">
        <is>
          <t>YES 源备无差异</t>
        </is>
      </c>
      <c r="X302" s="0">
        <f>A302</f>
        <v/>
      </c>
    </row>
    <row r="303">
      <c r="B303" s="0" t="inlineStr">
        <is>
          <t>YES</t>
        </is>
      </c>
      <c r="C303" s="0" t="inlineStr">
        <is>
          <t>NULL</t>
        </is>
      </c>
      <c r="D303" s="0" t="inlineStr">
        <is>
          <t>NULL</t>
        </is>
      </c>
      <c r="E303" s="0" t="inlineStr">
        <is>
          <t>NULL</t>
        </is>
      </c>
      <c r="F303" s="0" t="inlineStr">
        <is>
          <t>NULL</t>
        </is>
      </c>
      <c r="G303" s="0" t="inlineStr">
        <is>
          <t>NULL</t>
        </is>
      </c>
      <c r="H303" s="0" t="inlineStr">
        <is>
          <t>NULL</t>
        </is>
      </c>
      <c r="I303" s="0" t="inlineStr">
        <is>
          <t>YES!PK__info_cha__3213E83F5CF1C334</t>
        </is>
      </c>
      <c r="J303" s="0" t="inlineStr">
        <is>
          <t>YES! 主键相关索引</t>
        </is>
      </c>
      <c r="K303" s="0" t="inlineStr">
        <is>
          <t>YES! 	 id列源备映射正确，源端为int None位	期望更改为int	实际备端为int None位</t>
        </is>
      </c>
    </row>
    <row r="304">
      <c r="B304" s="0" t="inlineStr">
        <is>
          <t>NULL</t>
        </is>
      </c>
      <c r="C304" s="0" t="inlineStr">
        <is>
          <t>NULL</t>
        </is>
      </c>
      <c r="D304" s="0" t="inlineStr">
        <is>
          <t>NULL</t>
        </is>
      </c>
      <c r="E304" s="0" t="inlineStr">
        <is>
          <t>NULL</t>
        </is>
      </c>
      <c r="F304" s="0" t="inlineStr">
        <is>
          <t>NULL</t>
        </is>
      </c>
      <c r="G304" s="0" t="inlineStr">
        <is>
          <t>NULL</t>
        </is>
      </c>
      <c r="H304" s="0" t="inlineStr">
        <is>
          <t>NULL</t>
        </is>
      </c>
      <c r="I304" s="0" t="inlineStr">
        <is>
          <t>NULL</t>
        </is>
      </c>
      <c r="J304" s="0" t="inlineStr">
        <is>
          <t>NULL</t>
        </is>
      </c>
      <c r="K304" s="0" t="inlineStr">
        <is>
          <t>YES! 	 c_char列源备映射正确，源端为char 1位	期望更改为char(n)	实际备端为char 1位</t>
        </is>
      </c>
    </row>
    <row r="305">
      <c r="B305" s="0" t="inlineStr">
        <is>
          <t>NULL</t>
        </is>
      </c>
      <c r="C305" s="0" t="inlineStr">
        <is>
          <t>NULL</t>
        </is>
      </c>
      <c r="D305" s="0" t="inlineStr">
        <is>
          <t>NULL</t>
        </is>
      </c>
      <c r="E305" s="0" t="inlineStr">
        <is>
          <t>NULL</t>
        </is>
      </c>
      <c r="F305" s="0" t="inlineStr">
        <is>
          <t>NULL</t>
        </is>
      </c>
      <c r="G305" s="0" t="inlineStr">
        <is>
          <t>NULL</t>
        </is>
      </c>
      <c r="H305" s="0" t="inlineStr">
        <is>
          <t>NULL</t>
        </is>
      </c>
      <c r="I305" s="0" t="inlineStr">
        <is>
          <t>NULL</t>
        </is>
      </c>
      <c r="J305" s="0" t="inlineStr">
        <is>
          <t>NULL</t>
        </is>
      </c>
      <c r="K305" s="0" t="inlineStr">
        <is>
          <t>YES! 	 c_char20列源备映射正确，源端为char 20位	期望更改为char(n)	实际备端为char 20位</t>
        </is>
      </c>
    </row>
    <row r="306">
      <c r="B306" s="0" t="inlineStr">
        <is>
          <t>NULL</t>
        </is>
      </c>
      <c r="C306" s="0" t="inlineStr">
        <is>
          <t>NULL</t>
        </is>
      </c>
      <c r="D306" s="0" t="inlineStr">
        <is>
          <t>NULL</t>
        </is>
      </c>
      <c r="E306" s="0" t="inlineStr">
        <is>
          <t>NULL</t>
        </is>
      </c>
      <c r="F306" s="0" t="inlineStr">
        <is>
          <t>NULL</t>
        </is>
      </c>
      <c r="G306" s="0" t="inlineStr">
        <is>
          <t>NULL</t>
        </is>
      </c>
      <c r="H306" s="0" t="inlineStr">
        <is>
          <t>NULL</t>
        </is>
      </c>
      <c r="I306" s="0" t="inlineStr">
        <is>
          <t>NULL</t>
        </is>
      </c>
      <c r="J306" s="0" t="inlineStr">
        <is>
          <t>NULL</t>
        </is>
      </c>
      <c r="K306" s="0" t="inlineStr">
        <is>
          <t>YES! 	 c_char7000列源备映射正确，源端为char 7000位	期望更改为char(n)	实际备端为char 7000位</t>
        </is>
      </c>
    </row>
    <row r="307">
      <c r="A307" s="0" t="inlineStr">
        <is>
          <t>info_char_dml_batch1_pk_drp2</t>
        </is>
      </c>
      <c r="K307" s="0" t="inlineStr">
        <is>
          <t>[0;34m info_char_dml_batch1_pk_drp2 [0m源备字段数相同，源端字段：4 	备端字段4</t>
        </is>
      </c>
      <c r="W307" s="0" t="inlineStr">
        <is>
          <t>YES 源备无差异</t>
        </is>
      </c>
      <c r="X307" s="0">
        <f>A307</f>
        <v/>
      </c>
    </row>
    <row r="308">
      <c r="B308" s="0" t="inlineStr">
        <is>
          <t>YES</t>
        </is>
      </c>
      <c r="C308" s="0" t="inlineStr">
        <is>
          <t>NULL</t>
        </is>
      </c>
      <c r="D308" s="0" t="inlineStr">
        <is>
          <t>NULL</t>
        </is>
      </c>
      <c r="E308" s="0" t="inlineStr">
        <is>
          <t>NULL</t>
        </is>
      </c>
      <c r="F308" s="0" t="inlineStr">
        <is>
          <t>NULL</t>
        </is>
      </c>
      <c r="G308" s="0" t="inlineStr">
        <is>
          <t>NULL</t>
        </is>
      </c>
      <c r="H308" s="0" t="inlineStr">
        <is>
          <t>NULL</t>
        </is>
      </c>
      <c r="I308" s="0" t="inlineStr">
        <is>
          <t>YES!PK__info_cha__3213E83FE351DA10</t>
        </is>
      </c>
      <c r="J308" s="0" t="inlineStr">
        <is>
          <t>YES! 主键相关索引</t>
        </is>
      </c>
      <c r="K308" s="0" t="inlineStr">
        <is>
          <t>YES! 	 id列源备映射正确，源端为int None位	期望更改为int	实际备端为int None位</t>
        </is>
      </c>
    </row>
    <row r="309">
      <c r="B309" s="0" t="inlineStr">
        <is>
          <t>NULL</t>
        </is>
      </c>
      <c r="C309" s="0" t="inlineStr">
        <is>
          <t>NULL</t>
        </is>
      </c>
      <c r="D309" s="0" t="inlineStr">
        <is>
          <t>NULL</t>
        </is>
      </c>
      <c r="E309" s="0" t="inlineStr">
        <is>
          <t>NULL</t>
        </is>
      </c>
      <c r="F309" s="0" t="inlineStr">
        <is>
          <t>NULL</t>
        </is>
      </c>
      <c r="G309" s="0" t="inlineStr">
        <is>
          <t>NULL</t>
        </is>
      </c>
      <c r="H309" s="0" t="inlineStr">
        <is>
          <t>NULL</t>
        </is>
      </c>
      <c r="I309" s="0" t="inlineStr">
        <is>
          <t>NULL</t>
        </is>
      </c>
      <c r="J309" s="0" t="inlineStr">
        <is>
          <t>NULL</t>
        </is>
      </c>
      <c r="K309" s="0" t="inlineStr">
        <is>
          <t>YES! 	 c_char列源备映射正确，源端为char 1位	期望更改为char(n)	实际备端为char 1位</t>
        </is>
      </c>
    </row>
    <row r="310">
      <c r="B310" s="0" t="inlineStr">
        <is>
          <t>NULL</t>
        </is>
      </c>
      <c r="C310" s="0" t="inlineStr">
        <is>
          <t>NULL</t>
        </is>
      </c>
      <c r="D310" s="0" t="inlineStr">
        <is>
          <t>NULL</t>
        </is>
      </c>
      <c r="E310" s="0" t="inlineStr">
        <is>
          <t>NULL</t>
        </is>
      </c>
      <c r="F310" s="0" t="inlineStr">
        <is>
          <t>NULL</t>
        </is>
      </c>
      <c r="G310" s="0" t="inlineStr">
        <is>
          <t>NULL</t>
        </is>
      </c>
      <c r="H310" s="0" t="inlineStr">
        <is>
          <t>NULL</t>
        </is>
      </c>
      <c r="I310" s="0" t="inlineStr">
        <is>
          <t>NULL</t>
        </is>
      </c>
      <c r="J310" s="0" t="inlineStr">
        <is>
          <t>NULL</t>
        </is>
      </c>
      <c r="K310" s="0" t="inlineStr">
        <is>
          <t>YES! 	 c_char20列源备映射正确，源端为char 20位	期望更改为char(n)	实际备端为char 20位</t>
        </is>
      </c>
    </row>
    <row r="311">
      <c r="B311" s="0" t="inlineStr">
        <is>
          <t>NULL</t>
        </is>
      </c>
      <c r="C311" s="0" t="inlineStr">
        <is>
          <t>NULL</t>
        </is>
      </c>
      <c r="D311" s="0" t="inlineStr">
        <is>
          <t>NULL</t>
        </is>
      </c>
      <c r="E311" s="0" t="inlineStr">
        <is>
          <t>NULL</t>
        </is>
      </c>
      <c r="F311" s="0" t="inlineStr">
        <is>
          <t>NULL</t>
        </is>
      </c>
      <c r="G311" s="0" t="inlineStr">
        <is>
          <t>NULL</t>
        </is>
      </c>
      <c r="H311" s="0" t="inlineStr">
        <is>
          <t>NULL</t>
        </is>
      </c>
      <c r="I311" s="0" t="inlineStr">
        <is>
          <t>NULL</t>
        </is>
      </c>
      <c r="J311" s="0" t="inlineStr">
        <is>
          <t>NULL</t>
        </is>
      </c>
      <c r="K311" s="0" t="inlineStr">
        <is>
          <t>YES! 	 c_char7000列源备映射正确，源端为char 7000位	期望更改为char(n)	实际备端为char 7000位</t>
        </is>
      </c>
    </row>
    <row r="312">
      <c r="A312" s="0" t="inlineStr">
        <is>
          <t>info_int_dml_single_pk_drp</t>
        </is>
      </c>
      <c r="K312" s="0" t="inlineStr">
        <is>
          <t>[0;34m info_int_dml_single_pk_drp [0m源备字段数相同，源端字段：20 	备端字段20</t>
        </is>
      </c>
      <c r="W312" s="0" t="inlineStr">
        <is>
          <t>YES 源备无差异</t>
        </is>
      </c>
      <c r="X312" s="0">
        <f>A312</f>
        <v/>
      </c>
    </row>
    <row r="313">
      <c r="B313" s="0" t="inlineStr">
        <is>
          <t>YES</t>
        </is>
      </c>
      <c r="C313" s="0" t="inlineStr">
        <is>
          <t>NULL</t>
        </is>
      </c>
      <c r="D313" s="0" t="inlineStr">
        <is>
          <t>NULL</t>
        </is>
      </c>
      <c r="E313" s="0" t="inlineStr">
        <is>
          <t>NULL</t>
        </is>
      </c>
      <c r="F313" s="0" t="inlineStr">
        <is>
          <t>NULL</t>
        </is>
      </c>
      <c r="G313" s="0" t="inlineStr">
        <is>
          <t>NULL</t>
        </is>
      </c>
      <c r="H313" s="0" t="inlineStr">
        <is>
          <t>NULL</t>
        </is>
      </c>
      <c r="I313" s="0" t="inlineStr">
        <is>
          <t>YES!PK__info_int__3213E83FD0B3ADA3</t>
        </is>
      </c>
      <c r="J313" s="0" t="inlineStr">
        <is>
          <t>YES! 主键相关索引</t>
        </is>
      </c>
      <c r="K313" s="0" t="inlineStr">
        <is>
          <t>YES! 	 id列源备映射正确，源端为int None位	期望更改为int	实际备端为int None位</t>
        </is>
      </c>
    </row>
    <row r="314">
      <c r="B314" s="0" t="inlineStr">
        <is>
          <t>NULL</t>
        </is>
      </c>
      <c r="C314" s="0" t="inlineStr">
        <is>
          <t>NULL</t>
        </is>
      </c>
      <c r="D314" s="0" t="inlineStr">
        <is>
          <t>NULL</t>
        </is>
      </c>
      <c r="E314" s="0" t="inlineStr">
        <is>
          <t>NULL</t>
        </is>
      </c>
      <c r="F314" s="0" t="inlineStr">
        <is>
          <t>NULL</t>
        </is>
      </c>
      <c r="G314" s="0" t="inlineStr">
        <is>
          <t>NULL</t>
        </is>
      </c>
      <c r="H314" s="0" t="inlineStr">
        <is>
          <t>NULL</t>
        </is>
      </c>
      <c r="I314" s="0" t="inlineStr">
        <is>
          <t>NULL</t>
        </is>
      </c>
      <c r="J314" s="0" t="inlineStr">
        <is>
          <t>NULL</t>
        </is>
      </c>
      <c r="K314" s="0" t="inlineStr">
        <is>
          <t>YES! 	 c_tinyint列源备映射正确，源端为tinyint None位	期望更改为tinyint	实际备端为tinyint None位</t>
        </is>
      </c>
    </row>
    <row r="315">
      <c r="B315" s="0" t="inlineStr">
        <is>
          <t>NULL</t>
        </is>
      </c>
      <c r="C315" s="0" t="inlineStr">
        <is>
          <t>NULL</t>
        </is>
      </c>
      <c r="D315" s="0" t="inlineStr">
        <is>
          <t>NULL</t>
        </is>
      </c>
      <c r="E315" s="0" t="inlineStr">
        <is>
          <t>NULL</t>
        </is>
      </c>
      <c r="F315" s="0" t="inlineStr">
        <is>
          <t>NULL</t>
        </is>
      </c>
      <c r="G315" s="0" t="inlineStr">
        <is>
          <t>NULL</t>
        </is>
      </c>
      <c r="H315" s="0" t="inlineStr">
        <is>
          <t>NULL</t>
        </is>
      </c>
      <c r="I315" s="0" t="inlineStr">
        <is>
          <t>NULL</t>
        </is>
      </c>
      <c r="J315" s="0" t="inlineStr">
        <is>
          <t>NULL</t>
        </is>
      </c>
      <c r="K315" s="0" t="inlineStr">
        <is>
          <t>YES! 	 c_smallint列源备映射正确，源端为smallint None位	期望更改为smallint	实际备端为smallint None位</t>
        </is>
      </c>
    </row>
    <row r="316">
      <c r="B316" s="0" t="inlineStr">
        <is>
          <t>NULL</t>
        </is>
      </c>
      <c r="C316" s="0" t="inlineStr">
        <is>
          <t>NULL</t>
        </is>
      </c>
      <c r="D316" s="0" t="inlineStr">
        <is>
          <t>NULL</t>
        </is>
      </c>
      <c r="E316" s="0" t="inlineStr">
        <is>
          <t>NULL</t>
        </is>
      </c>
      <c r="F316" s="0" t="inlineStr">
        <is>
          <t>NULL</t>
        </is>
      </c>
      <c r="G316" s="0" t="inlineStr">
        <is>
          <t>NULL</t>
        </is>
      </c>
      <c r="H316" s="0" t="inlineStr">
        <is>
          <t>NULL</t>
        </is>
      </c>
      <c r="I316" s="0" t="inlineStr">
        <is>
          <t>NULL</t>
        </is>
      </c>
      <c r="J316" s="0" t="inlineStr">
        <is>
          <t>NULL</t>
        </is>
      </c>
      <c r="K316" s="0" t="inlineStr">
        <is>
          <t>YES! 	 c_int列源备映射正确，源端为int None位	期望更改为int	实际备端为int None位</t>
        </is>
      </c>
    </row>
    <row r="317">
      <c r="B317" s="0" t="inlineStr">
        <is>
          <t>NULL</t>
        </is>
      </c>
      <c r="C317" s="0" t="inlineStr">
        <is>
          <t>NULL</t>
        </is>
      </c>
      <c r="D317" s="0" t="inlineStr">
        <is>
          <t>NULL</t>
        </is>
      </c>
      <c r="E317" s="0" t="inlineStr">
        <is>
          <t>NULL</t>
        </is>
      </c>
      <c r="F317" s="0" t="inlineStr">
        <is>
          <t>NULL</t>
        </is>
      </c>
      <c r="G317" s="0" t="inlineStr">
        <is>
          <t>NULL</t>
        </is>
      </c>
      <c r="H317" s="0" t="inlineStr">
        <is>
          <t>NULL</t>
        </is>
      </c>
      <c r="I317" s="0" t="inlineStr">
        <is>
          <t>NULL</t>
        </is>
      </c>
      <c r="J317" s="0" t="inlineStr">
        <is>
          <t>NULL</t>
        </is>
      </c>
      <c r="K317" s="0" t="inlineStr">
        <is>
          <t>YES! 	 c_bigint列源备映射正确，源端为bigint None位	期望更改为bigint	实际备端为bigint None位</t>
        </is>
      </c>
    </row>
    <row r="318">
      <c r="B318" s="0" t="inlineStr">
        <is>
          <t>NULL</t>
        </is>
      </c>
      <c r="C318" s="0" t="inlineStr">
        <is>
          <t>NULL</t>
        </is>
      </c>
      <c r="D318" s="0" t="inlineStr">
        <is>
          <t>NULL</t>
        </is>
      </c>
      <c r="E318" s="0" t="inlineStr">
        <is>
          <t>NULL</t>
        </is>
      </c>
      <c r="F318" s="0" t="inlineStr">
        <is>
          <t>NULL</t>
        </is>
      </c>
      <c r="G318" s="0" t="inlineStr">
        <is>
          <t>NULL</t>
        </is>
      </c>
      <c r="H318" s="0" t="inlineStr">
        <is>
          <t>NULL</t>
        </is>
      </c>
      <c r="I318" s="0" t="inlineStr">
        <is>
          <t>NULL</t>
        </is>
      </c>
      <c r="J318" s="0" t="inlineStr">
        <is>
          <t>NULL</t>
        </is>
      </c>
      <c r="K318" s="0" t="inlineStr">
        <is>
          <t>YES! 	 c_decimal列源备映射正确，源端为decimal None位	期望更改为decimal(p,s)	实际备端为decimal None位</t>
        </is>
      </c>
    </row>
    <row r="319">
      <c r="B319" s="0" t="inlineStr">
        <is>
          <t>NULL</t>
        </is>
      </c>
      <c r="C319" s="0" t="inlineStr">
        <is>
          <t>NULL</t>
        </is>
      </c>
      <c r="D319" s="0" t="inlineStr">
        <is>
          <t>NULL</t>
        </is>
      </c>
      <c r="E319" s="0" t="inlineStr">
        <is>
          <t>NULL</t>
        </is>
      </c>
      <c r="F319" s="0" t="inlineStr">
        <is>
          <t>NULL</t>
        </is>
      </c>
      <c r="G319" s="0" t="inlineStr">
        <is>
          <t>NULL</t>
        </is>
      </c>
      <c r="H319" s="0" t="inlineStr">
        <is>
          <t>NULL</t>
        </is>
      </c>
      <c r="I319" s="0" t="inlineStr">
        <is>
          <t>NULL</t>
        </is>
      </c>
      <c r="J319" s="0" t="inlineStr">
        <is>
          <t>NULL</t>
        </is>
      </c>
      <c r="K319" s="0" t="inlineStr">
        <is>
          <t>YES! 	 c_decimal38列源备映射正确，源端为decimal None位	期望更改为decimal(p,s)	实际备端为decimal None位</t>
        </is>
      </c>
    </row>
    <row r="320">
      <c r="B320" s="0" t="inlineStr">
        <is>
          <t>NULL</t>
        </is>
      </c>
      <c r="C320" s="0" t="inlineStr">
        <is>
          <t>NULL</t>
        </is>
      </c>
      <c r="D320" s="0" t="inlineStr">
        <is>
          <t>NULL</t>
        </is>
      </c>
      <c r="E320" s="0" t="inlineStr">
        <is>
          <t>NULL</t>
        </is>
      </c>
      <c r="F320" s="0" t="inlineStr">
        <is>
          <t>NULL</t>
        </is>
      </c>
      <c r="G320" s="0" t="inlineStr">
        <is>
          <t>NULL</t>
        </is>
      </c>
      <c r="H320" s="0" t="inlineStr">
        <is>
          <t>NULL</t>
        </is>
      </c>
      <c r="I320" s="0" t="inlineStr">
        <is>
          <t>NULL</t>
        </is>
      </c>
      <c r="J320" s="0" t="inlineStr">
        <is>
          <t>NULL</t>
        </is>
      </c>
      <c r="K320" s="0" t="inlineStr">
        <is>
          <t>YES! 	 c_decimal38_38列源备映射正确，源端为decimal None位	期望更改为decimal(p,s)	实际备端为decimal None位</t>
        </is>
      </c>
    </row>
    <row r="321">
      <c r="B321" s="0" t="inlineStr">
        <is>
          <t>NULL</t>
        </is>
      </c>
      <c r="C321" s="0" t="inlineStr">
        <is>
          <t>NULL</t>
        </is>
      </c>
      <c r="D321" s="0" t="inlineStr">
        <is>
          <t>NULL</t>
        </is>
      </c>
      <c r="E321" s="0" t="inlineStr">
        <is>
          <t>NULL</t>
        </is>
      </c>
      <c r="F321" s="0" t="inlineStr">
        <is>
          <t>NULL</t>
        </is>
      </c>
      <c r="G321" s="0" t="inlineStr">
        <is>
          <t>NULL</t>
        </is>
      </c>
      <c r="H321" s="0" t="inlineStr">
        <is>
          <t>NULL</t>
        </is>
      </c>
      <c r="I321" s="0" t="inlineStr">
        <is>
          <t>NULL</t>
        </is>
      </c>
      <c r="J321" s="0" t="inlineStr">
        <is>
          <t>NULL</t>
        </is>
      </c>
      <c r="K321" s="0" t="inlineStr">
        <is>
          <t>YES! 	 c_decimal38_10列源备映射正确，源端为decimal None位	期望更改为decimal(p,s)	实际备端为decimal None位</t>
        </is>
      </c>
    </row>
    <row r="322">
      <c r="B322" s="0" t="inlineStr">
        <is>
          <t>NULL</t>
        </is>
      </c>
      <c r="C322" s="0" t="inlineStr">
        <is>
          <t>NULL</t>
        </is>
      </c>
      <c r="D322" s="0" t="inlineStr">
        <is>
          <t>NULL</t>
        </is>
      </c>
      <c r="E322" s="0" t="inlineStr">
        <is>
          <t>NULL</t>
        </is>
      </c>
      <c r="F322" s="0" t="inlineStr">
        <is>
          <t>NULL</t>
        </is>
      </c>
      <c r="G322" s="0" t="inlineStr">
        <is>
          <t>NULL</t>
        </is>
      </c>
      <c r="H322" s="0" t="inlineStr">
        <is>
          <t>NULL</t>
        </is>
      </c>
      <c r="I322" s="0" t="inlineStr">
        <is>
          <t>NULL</t>
        </is>
      </c>
      <c r="J322" s="0" t="inlineStr">
        <is>
          <t>NULL</t>
        </is>
      </c>
      <c r="K322" s="0" t="inlineStr">
        <is>
          <t>YES! 	 c_decimal19_4列源备映射正确，源端为decimal None位	期望更改为decimal(p,s)	实际备端为decimal None位</t>
        </is>
      </c>
    </row>
    <row r="323">
      <c r="B323" s="0" t="inlineStr">
        <is>
          <t>NULL</t>
        </is>
      </c>
      <c r="C323" s="0" t="inlineStr">
        <is>
          <t>NULL</t>
        </is>
      </c>
      <c r="D323" s="0" t="inlineStr">
        <is>
          <t>NULL</t>
        </is>
      </c>
      <c r="E323" s="0" t="inlineStr">
        <is>
          <t>NULL</t>
        </is>
      </c>
      <c r="F323" s="0" t="inlineStr">
        <is>
          <t>NULL</t>
        </is>
      </c>
      <c r="G323" s="0" t="inlineStr">
        <is>
          <t>NULL</t>
        </is>
      </c>
      <c r="H323" s="0" t="inlineStr">
        <is>
          <t>NULL</t>
        </is>
      </c>
      <c r="I323" s="0" t="inlineStr">
        <is>
          <t>NULL</t>
        </is>
      </c>
      <c r="J323" s="0" t="inlineStr">
        <is>
          <t>NULL</t>
        </is>
      </c>
      <c r="K323" s="0" t="inlineStr">
        <is>
          <t>YES! 	 c_numeric列源备映射正确，源端为numeric None位	期望更改为numeric(p,s)	实际备端为numeric None位</t>
        </is>
      </c>
    </row>
    <row r="324">
      <c r="B324" s="0" t="inlineStr">
        <is>
          <t>NULL</t>
        </is>
      </c>
      <c r="C324" s="0" t="inlineStr">
        <is>
          <t>NULL</t>
        </is>
      </c>
      <c r="D324" s="0" t="inlineStr">
        <is>
          <t>NULL</t>
        </is>
      </c>
      <c r="E324" s="0" t="inlineStr">
        <is>
          <t>NULL</t>
        </is>
      </c>
      <c r="F324" s="0" t="inlineStr">
        <is>
          <t>NULL</t>
        </is>
      </c>
      <c r="G324" s="0" t="inlineStr">
        <is>
          <t>NULL</t>
        </is>
      </c>
      <c r="H324" s="0" t="inlineStr">
        <is>
          <t>NULL</t>
        </is>
      </c>
      <c r="I324" s="0" t="inlineStr">
        <is>
          <t>NULL</t>
        </is>
      </c>
      <c r="J324" s="0" t="inlineStr">
        <is>
          <t>NULL</t>
        </is>
      </c>
      <c r="K324" s="0" t="inlineStr">
        <is>
          <t>YES! 	 c_numeric38列源备映射正确，源端为numeric None位	期望更改为numeric(p,s)	实际备端为numeric None位</t>
        </is>
      </c>
    </row>
    <row r="325">
      <c r="B325" s="0" t="inlineStr">
        <is>
          <t>NULL</t>
        </is>
      </c>
      <c r="C325" s="0" t="inlineStr">
        <is>
          <t>NULL</t>
        </is>
      </c>
      <c r="D325" s="0" t="inlineStr">
        <is>
          <t>NULL</t>
        </is>
      </c>
      <c r="E325" s="0" t="inlineStr">
        <is>
          <t>NULL</t>
        </is>
      </c>
      <c r="F325" s="0" t="inlineStr">
        <is>
          <t>NULL</t>
        </is>
      </c>
      <c r="G325" s="0" t="inlineStr">
        <is>
          <t>NULL</t>
        </is>
      </c>
      <c r="H325" s="0" t="inlineStr">
        <is>
          <t>NULL</t>
        </is>
      </c>
      <c r="I325" s="0" t="inlineStr">
        <is>
          <t>NULL</t>
        </is>
      </c>
      <c r="J325" s="0" t="inlineStr">
        <is>
          <t>NULL</t>
        </is>
      </c>
      <c r="K325" s="0" t="inlineStr">
        <is>
          <t>YES! 	 c_numeric38_38列源备映射正确，源端为numeric None位	期望更改为numeric(p,s)	实际备端为numeric None位</t>
        </is>
      </c>
    </row>
    <row r="326">
      <c r="B326" s="0" t="inlineStr">
        <is>
          <t>NULL</t>
        </is>
      </c>
      <c r="C326" s="0" t="inlineStr">
        <is>
          <t>NULL</t>
        </is>
      </c>
      <c r="D326" s="0" t="inlineStr">
        <is>
          <t>NULL</t>
        </is>
      </c>
      <c r="E326" s="0" t="inlineStr">
        <is>
          <t>NULL</t>
        </is>
      </c>
      <c r="F326" s="0" t="inlineStr">
        <is>
          <t>NULL</t>
        </is>
      </c>
      <c r="G326" s="0" t="inlineStr">
        <is>
          <t>NULL</t>
        </is>
      </c>
      <c r="H326" s="0" t="inlineStr">
        <is>
          <t>NULL</t>
        </is>
      </c>
      <c r="I326" s="0" t="inlineStr">
        <is>
          <t>NULL</t>
        </is>
      </c>
      <c r="J326" s="0" t="inlineStr">
        <is>
          <t>NULL</t>
        </is>
      </c>
      <c r="K326" s="0" t="inlineStr">
        <is>
          <t>YES! 	 c_numeric38_10列源备映射正确，源端为numeric None位	期望更改为numeric(p,s)	实际备端为numeric None位</t>
        </is>
      </c>
    </row>
    <row r="327">
      <c r="B327" s="0" t="inlineStr">
        <is>
          <t>NULL</t>
        </is>
      </c>
      <c r="C327" s="0" t="inlineStr">
        <is>
          <t>NULL</t>
        </is>
      </c>
      <c r="D327" s="0" t="inlineStr">
        <is>
          <t>NULL</t>
        </is>
      </c>
      <c r="E327" s="0" t="inlineStr">
        <is>
          <t>NULL</t>
        </is>
      </c>
      <c r="F327" s="0" t="inlineStr">
        <is>
          <t>NULL</t>
        </is>
      </c>
      <c r="G327" s="0" t="inlineStr">
        <is>
          <t>NULL</t>
        </is>
      </c>
      <c r="H327" s="0" t="inlineStr">
        <is>
          <t>NULL</t>
        </is>
      </c>
      <c r="I327" s="0" t="inlineStr">
        <is>
          <t>NULL</t>
        </is>
      </c>
      <c r="J327" s="0" t="inlineStr">
        <is>
          <t>NULL</t>
        </is>
      </c>
      <c r="K327" s="0" t="inlineStr">
        <is>
          <t>YES! 	 c_numeric18_2列源备映射正确，源端为numeric None位	期望更改为numeric(p,s)	实际备端为numeric None位</t>
        </is>
      </c>
    </row>
    <row r="328">
      <c r="B328" s="0" t="inlineStr">
        <is>
          <t>NULL</t>
        </is>
      </c>
      <c r="C328" s="0" t="inlineStr">
        <is>
          <t>NULL</t>
        </is>
      </c>
      <c r="D328" s="0" t="inlineStr">
        <is>
          <t>NULL</t>
        </is>
      </c>
      <c r="E328" s="0" t="inlineStr">
        <is>
          <t>NULL</t>
        </is>
      </c>
      <c r="F328" s="0" t="inlineStr">
        <is>
          <t>NULL</t>
        </is>
      </c>
      <c r="G328" s="0" t="inlineStr">
        <is>
          <t>NULL</t>
        </is>
      </c>
      <c r="H328" s="0" t="inlineStr">
        <is>
          <t>NULL</t>
        </is>
      </c>
      <c r="I328" s="0" t="inlineStr">
        <is>
          <t>NULL</t>
        </is>
      </c>
      <c r="J328" s="0" t="inlineStr">
        <is>
          <t>NULL</t>
        </is>
      </c>
      <c r="K328" s="0" t="inlineStr">
        <is>
          <t>YES! 	 c_float列源备映射正确，源端为float None位	期望更改为float	实际备端为float None位</t>
        </is>
      </c>
    </row>
    <row r="329">
      <c r="B329" s="0" t="inlineStr">
        <is>
          <t>NULL</t>
        </is>
      </c>
      <c r="C329" s="0" t="inlineStr">
        <is>
          <t>NULL</t>
        </is>
      </c>
      <c r="D329" s="0" t="inlineStr">
        <is>
          <t>NULL</t>
        </is>
      </c>
      <c r="E329" s="0" t="inlineStr">
        <is>
          <t>NULL</t>
        </is>
      </c>
      <c r="F329" s="0" t="inlineStr">
        <is>
          <t>NULL</t>
        </is>
      </c>
      <c r="G329" s="0" t="inlineStr">
        <is>
          <t>NULL</t>
        </is>
      </c>
      <c r="H329" s="0" t="inlineStr">
        <is>
          <t>NULL</t>
        </is>
      </c>
      <c r="I329" s="0" t="inlineStr">
        <is>
          <t>NULL</t>
        </is>
      </c>
      <c r="J329" s="0" t="inlineStr">
        <is>
          <t>NULL</t>
        </is>
      </c>
      <c r="K329" s="0" t="inlineStr">
        <is>
          <t>YES! 	 c_real列源备映射正确，源端为real None位	期望更改为real	实际备端为real None位</t>
        </is>
      </c>
    </row>
    <row r="330">
      <c r="B330" s="0" t="inlineStr">
        <is>
          <t>NULL</t>
        </is>
      </c>
      <c r="C330" s="0" t="inlineStr">
        <is>
          <t>NULL</t>
        </is>
      </c>
      <c r="D330" s="0" t="inlineStr">
        <is>
          <t>NULL</t>
        </is>
      </c>
      <c r="E330" s="0" t="inlineStr">
        <is>
          <t>NULL</t>
        </is>
      </c>
      <c r="F330" s="0" t="inlineStr">
        <is>
          <t>NULL</t>
        </is>
      </c>
      <c r="G330" s="0" t="inlineStr">
        <is>
          <t>NULL</t>
        </is>
      </c>
      <c r="H330" s="0" t="inlineStr">
        <is>
          <t>NULL</t>
        </is>
      </c>
      <c r="I330" s="0" t="inlineStr">
        <is>
          <t>NULL</t>
        </is>
      </c>
      <c r="J330" s="0" t="inlineStr">
        <is>
          <t>NULL</t>
        </is>
      </c>
      <c r="K330" s="0" t="inlineStr">
        <is>
          <t>YES! 	 c_money列源备映射正确，源端为money None位	期望更改为money	实际备端为money None位</t>
        </is>
      </c>
    </row>
    <row r="331">
      <c r="B331" s="0" t="inlineStr">
        <is>
          <t>NULL</t>
        </is>
      </c>
      <c r="C331" s="0" t="inlineStr">
        <is>
          <t>NULL</t>
        </is>
      </c>
      <c r="D331" s="0" t="inlineStr">
        <is>
          <t>NULL</t>
        </is>
      </c>
      <c r="E331" s="0" t="inlineStr">
        <is>
          <t>NULL</t>
        </is>
      </c>
      <c r="F331" s="0" t="inlineStr">
        <is>
          <t>NULL</t>
        </is>
      </c>
      <c r="G331" s="0" t="inlineStr">
        <is>
          <t>NULL</t>
        </is>
      </c>
      <c r="H331" s="0" t="inlineStr">
        <is>
          <t>NULL</t>
        </is>
      </c>
      <c r="I331" s="0" t="inlineStr">
        <is>
          <t>NULL</t>
        </is>
      </c>
      <c r="J331" s="0" t="inlineStr">
        <is>
          <t>NULL</t>
        </is>
      </c>
      <c r="K331" s="0" t="inlineStr">
        <is>
          <t>YES! 	 c_smallmoney列源备映射正确，源端为smallmoney None位	期望更改为smallmoney	实际备端为smallmoney None位</t>
        </is>
      </c>
    </row>
    <row r="332">
      <c r="B332" s="0" t="inlineStr">
        <is>
          <t>NULL</t>
        </is>
      </c>
      <c r="C332" s="0" t="inlineStr">
        <is>
          <t>NULL</t>
        </is>
      </c>
      <c r="D332" s="0" t="inlineStr">
        <is>
          <t>NULL</t>
        </is>
      </c>
      <c r="E332" s="0" t="inlineStr">
        <is>
          <t>NULL</t>
        </is>
      </c>
      <c r="F332" s="0" t="inlineStr">
        <is>
          <t>NULL</t>
        </is>
      </c>
      <c r="G332" s="0" t="inlineStr">
        <is>
          <t>NULL</t>
        </is>
      </c>
      <c r="H332" s="0" t="inlineStr">
        <is>
          <t>NULL</t>
        </is>
      </c>
      <c r="I332" s="0" t="inlineStr">
        <is>
          <t>NULL</t>
        </is>
      </c>
      <c r="J332" s="0" t="inlineStr">
        <is>
          <t>NULL</t>
        </is>
      </c>
      <c r="K332" s="0" t="inlineStr">
        <is>
          <t>YES! 	 c_bit列源备映射正确，源端为bit None位	期望更改为bit	实际备端为bit None位</t>
        </is>
      </c>
    </row>
    <row r="333">
      <c r="A333" s="0" t="inlineStr">
        <is>
          <t>info_sdt_dml_batch1_pk_urp1</t>
        </is>
      </c>
      <c r="K333" s="0" t="inlineStr">
        <is>
          <t>[0;34m info_sdt_dml_batch1_pk_urp1 [0m源备字段数相同，源端字段：2 	备端字段2</t>
        </is>
      </c>
      <c r="W333" s="0" t="inlineStr">
        <is>
          <t>YES 源备无差异</t>
        </is>
      </c>
      <c r="X333" s="0">
        <f>A333</f>
        <v/>
      </c>
    </row>
    <row r="334">
      <c r="B334" s="0" t="inlineStr">
        <is>
          <t>YES</t>
        </is>
      </c>
      <c r="C334" s="0" t="inlineStr">
        <is>
          <t>NULL</t>
        </is>
      </c>
      <c r="D334" s="0" t="inlineStr">
        <is>
          <t>NULL</t>
        </is>
      </c>
      <c r="E334" s="0" t="inlineStr">
        <is>
          <t>NULL</t>
        </is>
      </c>
      <c r="F334" s="0" t="inlineStr">
        <is>
          <t>NULL</t>
        </is>
      </c>
      <c r="G334" s="0" t="inlineStr">
        <is>
          <t>NULL</t>
        </is>
      </c>
      <c r="H334" s="0" t="inlineStr">
        <is>
          <t>NULL</t>
        </is>
      </c>
      <c r="I334" s="0" t="inlineStr">
        <is>
          <t>YES!PK__info_sdt__3213E83FC4043C95</t>
        </is>
      </c>
      <c r="J334" s="0" t="inlineStr">
        <is>
          <t>YES! 主键相关索引</t>
        </is>
      </c>
      <c r="K334" s="0" t="inlineStr">
        <is>
          <t>YES! 	 id列源备映射正确，源端为int None位	期望更改为int	实际备端为int None位</t>
        </is>
      </c>
    </row>
    <row r="335">
      <c r="B335" s="0" t="inlineStr">
        <is>
          <t>NULL</t>
        </is>
      </c>
      <c r="C335" s="0" t="inlineStr">
        <is>
          <t>NULL</t>
        </is>
      </c>
      <c r="D335" s="0" t="inlineStr">
        <is>
          <t>NULL</t>
        </is>
      </c>
      <c r="E335" s="0" t="inlineStr">
        <is>
          <t>NULL</t>
        </is>
      </c>
      <c r="F335" s="0" t="inlineStr">
        <is>
          <t>NULL</t>
        </is>
      </c>
      <c r="G335" s="0" t="inlineStr">
        <is>
          <t>NULL</t>
        </is>
      </c>
      <c r="H335" s="0" t="inlineStr">
        <is>
          <t>NULL</t>
        </is>
      </c>
      <c r="I335" s="0" t="inlineStr">
        <is>
          <t>NULL</t>
        </is>
      </c>
      <c r="J335" s="0" t="inlineStr">
        <is>
          <t>NULL</t>
        </is>
      </c>
      <c r="K335" s="0" t="inlineStr">
        <is>
          <t>YES! 	 c_sdt列源备映射正确，源端为smalldatetime None位	期望更改为smalldatetime	实际备端为smalldatetime None位</t>
        </is>
      </c>
    </row>
    <row r="336">
      <c r="A336" s="0" t="inlineStr">
        <is>
          <t>info_nchar_dml_single_nopk_drp</t>
        </is>
      </c>
      <c r="K336" s="0" t="inlineStr">
        <is>
          <t>[0;34m info_nchar_dml_single_nopk_drp [0m源备字段数相同，源端字段：4 	备端字段4</t>
        </is>
      </c>
      <c r="W336" s="0" t="inlineStr">
        <is>
          <t>YES 源备无差异</t>
        </is>
      </c>
      <c r="X336" s="0">
        <f>A336</f>
        <v/>
      </c>
    </row>
    <row r="337">
      <c r="B337" s="0" t="inlineStr">
        <is>
          <t>NULL</t>
        </is>
      </c>
      <c r="C337" s="0" t="inlineStr">
        <is>
          <t>NULL</t>
        </is>
      </c>
      <c r="D337" s="0" t="inlineStr">
        <is>
          <t>NULL</t>
        </is>
      </c>
      <c r="E337" s="0" t="inlineStr">
        <is>
          <t>NULL</t>
        </is>
      </c>
      <c r="F337" s="0" t="inlineStr">
        <is>
          <t>NULL</t>
        </is>
      </c>
      <c r="G337" s="0" t="inlineStr">
        <is>
          <t>NULL</t>
        </is>
      </c>
      <c r="H337" s="0" t="inlineStr">
        <is>
          <t>NULL</t>
        </is>
      </c>
      <c r="I337" s="0" t="inlineStr">
        <is>
          <t>NULL</t>
        </is>
      </c>
      <c r="J337" s="0" t="inlineStr">
        <is>
          <t>NULL</t>
        </is>
      </c>
      <c r="K337" s="0" t="inlineStr">
        <is>
          <t>YES! 	 id列源备映射正确，源端为int None位	期望更改为int	实际备端为int None位</t>
        </is>
      </c>
    </row>
    <row r="338">
      <c r="B338" s="0" t="inlineStr">
        <is>
          <t>NULL</t>
        </is>
      </c>
      <c r="C338" s="0" t="inlineStr">
        <is>
          <t>NULL</t>
        </is>
      </c>
      <c r="D338" s="0" t="inlineStr">
        <is>
          <t>NULL</t>
        </is>
      </c>
      <c r="E338" s="0" t="inlineStr">
        <is>
          <t>NULL</t>
        </is>
      </c>
      <c r="F338" s="0" t="inlineStr">
        <is>
          <t>NULL</t>
        </is>
      </c>
      <c r="G338" s="0" t="inlineStr">
        <is>
          <t>NULL</t>
        </is>
      </c>
      <c r="H338" s="0" t="inlineStr">
        <is>
          <t>NULL</t>
        </is>
      </c>
      <c r="I338" s="0" t="inlineStr">
        <is>
          <t>NULL</t>
        </is>
      </c>
      <c r="J338" s="0" t="inlineStr">
        <is>
          <t>NULL</t>
        </is>
      </c>
      <c r="K338" s="0" t="inlineStr">
        <is>
          <t>YES! 	 c_nchar列源备映射正确，源端为nchar 2位	期望更改为nchar(n)	实际备端为nchar 2位</t>
        </is>
      </c>
    </row>
    <row r="339">
      <c r="B339" s="0" t="inlineStr">
        <is>
          <t>NULL</t>
        </is>
      </c>
      <c r="C339" s="0" t="inlineStr">
        <is>
          <t>NULL</t>
        </is>
      </c>
      <c r="D339" s="0" t="inlineStr">
        <is>
          <t>NULL</t>
        </is>
      </c>
      <c r="E339" s="0" t="inlineStr">
        <is>
          <t>NULL</t>
        </is>
      </c>
      <c r="F339" s="0" t="inlineStr">
        <is>
          <t>NULL</t>
        </is>
      </c>
      <c r="G339" s="0" t="inlineStr">
        <is>
          <t>NULL</t>
        </is>
      </c>
      <c r="H339" s="0" t="inlineStr">
        <is>
          <t>NULL</t>
        </is>
      </c>
      <c r="I339" s="0" t="inlineStr">
        <is>
          <t>NULL</t>
        </is>
      </c>
      <c r="J339" s="0" t="inlineStr">
        <is>
          <t>NULL</t>
        </is>
      </c>
      <c r="K339" s="0" t="inlineStr">
        <is>
          <t>YES! 	 c_nchar20列源备映射正确，源端为nchar 40位	期望更改为nchar(n)	实际备端为nchar 40位</t>
        </is>
      </c>
    </row>
    <row r="340">
      <c r="B340" s="0" t="inlineStr">
        <is>
          <t>NULL</t>
        </is>
      </c>
      <c r="C340" s="0" t="inlineStr">
        <is>
          <t>NULL</t>
        </is>
      </c>
      <c r="D340" s="0" t="inlineStr">
        <is>
          <t>NULL</t>
        </is>
      </c>
      <c r="E340" s="0" t="inlineStr">
        <is>
          <t>NULL</t>
        </is>
      </c>
      <c r="F340" s="0" t="inlineStr">
        <is>
          <t>NULL</t>
        </is>
      </c>
      <c r="G340" s="0" t="inlineStr">
        <is>
          <t>NULL</t>
        </is>
      </c>
      <c r="H340" s="0" t="inlineStr">
        <is>
          <t>NULL</t>
        </is>
      </c>
      <c r="I340" s="0" t="inlineStr">
        <is>
          <t>NULL</t>
        </is>
      </c>
      <c r="J340" s="0" t="inlineStr">
        <is>
          <t>NULL</t>
        </is>
      </c>
      <c r="K340" s="0" t="inlineStr">
        <is>
          <t>YES! 	 c_nchar3500列源备映射正确，源端为nchar 7000位	期望更改为nchar(n)	实际备端为nchar 7000位</t>
        </is>
      </c>
    </row>
    <row r="341">
      <c r="A341" s="0" t="inlineStr">
        <is>
          <t>info_varchar_dml_single_pk</t>
        </is>
      </c>
      <c r="K341" s="0" t="inlineStr">
        <is>
          <t>[0;34m info_varchar_dml_single_pk [0m源备字段数相同，源端字段：4 	备端字段4</t>
        </is>
      </c>
      <c r="W341" s="0" t="inlineStr">
        <is>
          <t>YES 源备无差异</t>
        </is>
      </c>
      <c r="X341" s="0">
        <f>A341</f>
        <v/>
      </c>
    </row>
    <row r="342">
      <c r="B342" s="0" t="inlineStr">
        <is>
          <t>YES</t>
        </is>
      </c>
      <c r="C342" s="0" t="inlineStr">
        <is>
          <t>NULL</t>
        </is>
      </c>
      <c r="D342" s="0" t="inlineStr">
        <is>
          <t>NULL</t>
        </is>
      </c>
      <c r="E342" s="0" t="inlineStr">
        <is>
          <t>NULL</t>
        </is>
      </c>
      <c r="F342" s="0" t="inlineStr">
        <is>
          <t>NULL</t>
        </is>
      </c>
      <c r="G342" s="0" t="inlineStr">
        <is>
          <t>NULL</t>
        </is>
      </c>
      <c r="H342" s="0" t="inlineStr">
        <is>
          <t>NULL</t>
        </is>
      </c>
      <c r="I342" s="0" t="inlineStr">
        <is>
          <t>YES!PK__info_var__3213E83F455A32E8</t>
        </is>
      </c>
      <c r="J342" s="0" t="inlineStr">
        <is>
          <t>YES! 主键相关索引</t>
        </is>
      </c>
      <c r="K342" s="0" t="inlineStr">
        <is>
          <t>YES! 	 id列源备映射正确，源端为int None位	期望更改为int	实际备端为int None位</t>
        </is>
      </c>
    </row>
    <row r="343">
      <c r="B343" s="0" t="inlineStr">
        <is>
          <t>NULL</t>
        </is>
      </c>
      <c r="C343" s="0" t="inlineStr">
        <is>
          <t>NULL</t>
        </is>
      </c>
      <c r="D343" s="0" t="inlineStr">
        <is>
          <t>NULL</t>
        </is>
      </c>
      <c r="E343" s="0" t="inlineStr">
        <is>
          <t>NULL</t>
        </is>
      </c>
      <c r="F343" s="0" t="inlineStr">
        <is>
          <t>NULL</t>
        </is>
      </c>
      <c r="G343" s="0" t="inlineStr">
        <is>
          <t>NULL</t>
        </is>
      </c>
      <c r="H343" s="0" t="inlineStr">
        <is>
          <t>NULL</t>
        </is>
      </c>
      <c r="I343" s="0" t="inlineStr">
        <is>
          <t>NULL</t>
        </is>
      </c>
      <c r="J343" s="0" t="inlineStr">
        <is>
          <t>NULL</t>
        </is>
      </c>
      <c r="K343" s="0" t="inlineStr">
        <is>
          <t>YES! 	 c_varchar列源备映射正确，源端为varchar 1位	期望更改为varchar(n)	实际备端为varchar 1位</t>
        </is>
      </c>
    </row>
    <row r="344">
      <c r="B344" s="0" t="inlineStr">
        <is>
          <t>NULL</t>
        </is>
      </c>
      <c r="C344" s="0" t="inlineStr">
        <is>
          <t>NULL</t>
        </is>
      </c>
      <c r="D344" s="0" t="inlineStr">
        <is>
          <t>NULL</t>
        </is>
      </c>
      <c r="E344" s="0" t="inlineStr">
        <is>
          <t>NULL</t>
        </is>
      </c>
      <c r="F344" s="0" t="inlineStr">
        <is>
          <t>NULL</t>
        </is>
      </c>
      <c r="G344" s="0" t="inlineStr">
        <is>
          <t>NULL</t>
        </is>
      </c>
      <c r="H344" s="0" t="inlineStr">
        <is>
          <t>NULL</t>
        </is>
      </c>
      <c r="I344" s="0" t="inlineStr">
        <is>
          <t>NULL</t>
        </is>
      </c>
      <c r="J344" s="0" t="inlineStr">
        <is>
          <t>NULL</t>
        </is>
      </c>
      <c r="K344" s="0" t="inlineStr">
        <is>
          <t>YES! 	 c_varchar50列源备映射正确，源端为varchar 50位	期望更改为varchar(n)	实际备端为varchar 50位</t>
        </is>
      </c>
    </row>
    <row r="345">
      <c r="B345" s="0" t="inlineStr">
        <is>
          <t>NULL</t>
        </is>
      </c>
      <c r="C345" s="0" t="inlineStr">
        <is>
          <t>NULL</t>
        </is>
      </c>
      <c r="D345" s="0" t="inlineStr">
        <is>
          <t>NULL</t>
        </is>
      </c>
      <c r="E345" s="0" t="inlineStr">
        <is>
          <t>NULL</t>
        </is>
      </c>
      <c r="F345" s="0" t="inlineStr">
        <is>
          <t>NULL</t>
        </is>
      </c>
      <c r="G345" s="0" t="inlineStr">
        <is>
          <t>NULL</t>
        </is>
      </c>
      <c r="H345" s="0" t="inlineStr">
        <is>
          <t>NULL</t>
        </is>
      </c>
      <c r="I345" s="0" t="inlineStr">
        <is>
          <t>NULL</t>
        </is>
      </c>
      <c r="J345" s="0" t="inlineStr">
        <is>
          <t>NULL</t>
        </is>
      </c>
      <c r="K345" s="0" t="inlineStr">
        <is>
          <t>YES! 	 c_varchar8000列源备映射正确，源端为varchar 8000位	期望更改为varchar(n)	实际备端为varchar 8000位</t>
        </is>
      </c>
    </row>
    <row r="346">
      <c r="A346" s="0" t="inlineStr">
        <is>
          <t>info_int_dml_single_pk</t>
        </is>
      </c>
      <c r="K346" s="0" t="inlineStr">
        <is>
          <t>[0;34m info_int_dml_single_pk [0m源备字段数相同，源端字段：20 	备端字段20</t>
        </is>
      </c>
      <c r="W346" s="0" t="inlineStr">
        <is>
          <t>YES 源备无差异</t>
        </is>
      </c>
      <c r="X346" s="0">
        <f>A346</f>
        <v/>
      </c>
    </row>
    <row r="347">
      <c r="B347" s="0" t="inlineStr">
        <is>
          <t>YES</t>
        </is>
      </c>
      <c r="C347" s="0" t="inlineStr">
        <is>
          <t>NULL</t>
        </is>
      </c>
      <c r="D347" s="0" t="inlineStr">
        <is>
          <t>NULL</t>
        </is>
      </c>
      <c r="E347" s="0" t="inlineStr">
        <is>
          <t>NULL</t>
        </is>
      </c>
      <c r="F347" s="0" t="inlineStr">
        <is>
          <t>NULL</t>
        </is>
      </c>
      <c r="G347" s="0" t="inlineStr">
        <is>
          <t>NULL</t>
        </is>
      </c>
      <c r="H347" s="0" t="inlineStr">
        <is>
          <t>NULL</t>
        </is>
      </c>
      <c r="I347" s="0" t="inlineStr">
        <is>
          <t>YES!PK__info_int__3213E83F5D7987FF</t>
        </is>
      </c>
      <c r="J347" s="0" t="inlineStr">
        <is>
          <t>YES! 主键相关索引</t>
        </is>
      </c>
      <c r="K347" s="0" t="inlineStr">
        <is>
          <t>YES! 	 id列源备映射正确，源端为int None位	期望更改为int	实际备端为int None位</t>
        </is>
      </c>
    </row>
    <row r="348">
      <c r="B348" s="0" t="inlineStr">
        <is>
          <t>NULL</t>
        </is>
      </c>
      <c r="C348" s="0" t="inlineStr">
        <is>
          <t>NULL</t>
        </is>
      </c>
      <c r="D348" s="0" t="inlineStr">
        <is>
          <t>NULL</t>
        </is>
      </c>
      <c r="E348" s="0" t="inlineStr">
        <is>
          <t>NULL</t>
        </is>
      </c>
      <c r="F348" s="0" t="inlineStr">
        <is>
          <t>NULL</t>
        </is>
      </c>
      <c r="G348" s="0" t="inlineStr">
        <is>
          <t>NULL</t>
        </is>
      </c>
      <c r="H348" s="0" t="inlineStr">
        <is>
          <t>NULL</t>
        </is>
      </c>
      <c r="I348" s="0" t="inlineStr">
        <is>
          <t>NULL</t>
        </is>
      </c>
      <c r="J348" s="0" t="inlineStr">
        <is>
          <t>NULL</t>
        </is>
      </c>
      <c r="K348" s="0" t="inlineStr">
        <is>
          <t>YES! 	 c_tinyint列源备映射正确，源端为tinyint None位	期望更改为tinyint	实际备端为tinyint None位</t>
        </is>
      </c>
    </row>
    <row r="349">
      <c r="B349" s="0" t="inlineStr">
        <is>
          <t>NULL</t>
        </is>
      </c>
      <c r="C349" s="0" t="inlineStr">
        <is>
          <t>NULL</t>
        </is>
      </c>
      <c r="D349" s="0" t="inlineStr">
        <is>
          <t>NULL</t>
        </is>
      </c>
      <c r="E349" s="0" t="inlineStr">
        <is>
          <t>NULL</t>
        </is>
      </c>
      <c r="F349" s="0" t="inlineStr">
        <is>
          <t>NULL</t>
        </is>
      </c>
      <c r="G349" s="0" t="inlineStr">
        <is>
          <t>NULL</t>
        </is>
      </c>
      <c r="H349" s="0" t="inlineStr">
        <is>
          <t>NULL</t>
        </is>
      </c>
      <c r="I349" s="0" t="inlineStr">
        <is>
          <t>NULL</t>
        </is>
      </c>
      <c r="J349" s="0" t="inlineStr">
        <is>
          <t>NULL</t>
        </is>
      </c>
      <c r="K349" s="0" t="inlineStr">
        <is>
          <t>YES! 	 c_smallint列源备映射正确，源端为smallint None位	期望更改为smallint	实际备端为smallint None位</t>
        </is>
      </c>
    </row>
    <row r="350">
      <c r="B350" s="0" t="inlineStr">
        <is>
          <t>NULL</t>
        </is>
      </c>
      <c r="C350" s="0" t="inlineStr">
        <is>
          <t>NULL</t>
        </is>
      </c>
      <c r="D350" s="0" t="inlineStr">
        <is>
          <t>NULL</t>
        </is>
      </c>
      <c r="E350" s="0" t="inlineStr">
        <is>
          <t>NULL</t>
        </is>
      </c>
      <c r="F350" s="0" t="inlineStr">
        <is>
          <t>NULL</t>
        </is>
      </c>
      <c r="G350" s="0" t="inlineStr">
        <is>
          <t>NULL</t>
        </is>
      </c>
      <c r="H350" s="0" t="inlineStr">
        <is>
          <t>NULL</t>
        </is>
      </c>
      <c r="I350" s="0" t="inlineStr">
        <is>
          <t>NULL</t>
        </is>
      </c>
      <c r="J350" s="0" t="inlineStr">
        <is>
          <t>NULL</t>
        </is>
      </c>
      <c r="K350" s="0" t="inlineStr">
        <is>
          <t>YES! 	 c_int列源备映射正确，源端为int None位	期望更改为int	实际备端为int None位</t>
        </is>
      </c>
    </row>
    <row r="351">
      <c r="B351" s="0" t="inlineStr">
        <is>
          <t>NULL</t>
        </is>
      </c>
      <c r="C351" s="0" t="inlineStr">
        <is>
          <t>NULL</t>
        </is>
      </c>
      <c r="D351" s="0" t="inlineStr">
        <is>
          <t>NULL</t>
        </is>
      </c>
      <c r="E351" s="0" t="inlineStr">
        <is>
          <t>NULL</t>
        </is>
      </c>
      <c r="F351" s="0" t="inlineStr">
        <is>
          <t>NULL</t>
        </is>
      </c>
      <c r="G351" s="0" t="inlineStr">
        <is>
          <t>NULL</t>
        </is>
      </c>
      <c r="H351" s="0" t="inlineStr">
        <is>
          <t>NULL</t>
        </is>
      </c>
      <c r="I351" s="0" t="inlineStr">
        <is>
          <t>NULL</t>
        </is>
      </c>
      <c r="J351" s="0" t="inlineStr">
        <is>
          <t>NULL</t>
        </is>
      </c>
      <c r="K351" s="0" t="inlineStr">
        <is>
          <t>YES! 	 c_bigint列源备映射正确，源端为bigint None位	期望更改为bigint	实际备端为bigint None位</t>
        </is>
      </c>
    </row>
    <row r="352">
      <c r="B352" s="0" t="inlineStr">
        <is>
          <t>NULL</t>
        </is>
      </c>
      <c r="C352" s="0" t="inlineStr">
        <is>
          <t>NULL</t>
        </is>
      </c>
      <c r="D352" s="0" t="inlineStr">
        <is>
          <t>NULL</t>
        </is>
      </c>
      <c r="E352" s="0" t="inlineStr">
        <is>
          <t>NULL</t>
        </is>
      </c>
      <c r="F352" s="0" t="inlineStr">
        <is>
          <t>NULL</t>
        </is>
      </c>
      <c r="G352" s="0" t="inlineStr">
        <is>
          <t>NULL</t>
        </is>
      </c>
      <c r="H352" s="0" t="inlineStr">
        <is>
          <t>NULL</t>
        </is>
      </c>
      <c r="I352" s="0" t="inlineStr">
        <is>
          <t>NULL</t>
        </is>
      </c>
      <c r="J352" s="0" t="inlineStr">
        <is>
          <t>NULL</t>
        </is>
      </c>
      <c r="K352" s="0" t="inlineStr">
        <is>
          <t>YES! 	 c_decimal列源备映射正确，源端为decimal None位	期望更改为decimal(p,s)	实际备端为decimal None位</t>
        </is>
      </c>
    </row>
    <row r="353">
      <c r="B353" s="0" t="inlineStr">
        <is>
          <t>NULL</t>
        </is>
      </c>
      <c r="C353" s="0" t="inlineStr">
        <is>
          <t>NULL</t>
        </is>
      </c>
      <c r="D353" s="0" t="inlineStr">
        <is>
          <t>NULL</t>
        </is>
      </c>
      <c r="E353" s="0" t="inlineStr">
        <is>
          <t>NULL</t>
        </is>
      </c>
      <c r="F353" s="0" t="inlineStr">
        <is>
          <t>NULL</t>
        </is>
      </c>
      <c r="G353" s="0" t="inlineStr">
        <is>
          <t>NULL</t>
        </is>
      </c>
      <c r="H353" s="0" t="inlineStr">
        <is>
          <t>NULL</t>
        </is>
      </c>
      <c r="I353" s="0" t="inlineStr">
        <is>
          <t>NULL</t>
        </is>
      </c>
      <c r="J353" s="0" t="inlineStr">
        <is>
          <t>NULL</t>
        </is>
      </c>
      <c r="K353" s="0" t="inlineStr">
        <is>
          <t>YES! 	 c_decimal38列源备映射正确，源端为decimal None位	期望更改为decimal(p,s)	实际备端为decimal None位</t>
        </is>
      </c>
    </row>
    <row r="354">
      <c r="B354" s="0" t="inlineStr">
        <is>
          <t>NULL</t>
        </is>
      </c>
      <c r="C354" s="0" t="inlineStr">
        <is>
          <t>NULL</t>
        </is>
      </c>
      <c r="D354" s="0" t="inlineStr">
        <is>
          <t>NULL</t>
        </is>
      </c>
      <c r="E354" s="0" t="inlineStr">
        <is>
          <t>NULL</t>
        </is>
      </c>
      <c r="F354" s="0" t="inlineStr">
        <is>
          <t>NULL</t>
        </is>
      </c>
      <c r="G354" s="0" t="inlineStr">
        <is>
          <t>NULL</t>
        </is>
      </c>
      <c r="H354" s="0" t="inlineStr">
        <is>
          <t>NULL</t>
        </is>
      </c>
      <c r="I354" s="0" t="inlineStr">
        <is>
          <t>NULL</t>
        </is>
      </c>
      <c r="J354" s="0" t="inlineStr">
        <is>
          <t>NULL</t>
        </is>
      </c>
      <c r="K354" s="0" t="inlineStr">
        <is>
          <t>YES! 	 c_decimal38_38列源备映射正确，源端为decimal None位	期望更改为decimal(p,s)	实际备端为decimal None位</t>
        </is>
      </c>
    </row>
    <row r="355">
      <c r="B355" s="0" t="inlineStr">
        <is>
          <t>NULL</t>
        </is>
      </c>
      <c r="C355" s="0" t="inlineStr">
        <is>
          <t>NULL</t>
        </is>
      </c>
      <c r="D355" s="0" t="inlineStr">
        <is>
          <t>NULL</t>
        </is>
      </c>
      <c r="E355" s="0" t="inlineStr">
        <is>
          <t>NULL</t>
        </is>
      </c>
      <c r="F355" s="0" t="inlineStr">
        <is>
          <t>NULL</t>
        </is>
      </c>
      <c r="G355" s="0" t="inlineStr">
        <is>
          <t>NULL</t>
        </is>
      </c>
      <c r="H355" s="0" t="inlineStr">
        <is>
          <t>NULL</t>
        </is>
      </c>
      <c r="I355" s="0" t="inlineStr">
        <is>
          <t>NULL</t>
        </is>
      </c>
      <c r="J355" s="0" t="inlineStr">
        <is>
          <t>NULL</t>
        </is>
      </c>
      <c r="K355" s="0" t="inlineStr">
        <is>
          <t>YES! 	 c_decimal38_10列源备映射正确，源端为decimal None位	期望更改为decimal(p,s)	实际备端为decimal None位</t>
        </is>
      </c>
    </row>
    <row r="356">
      <c r="B356" s="0" t="inlineStr">
        <is>
          <t>NULL</t>
        </is>
      </c>
      <c r="C356" s="0" t="inlineStr">
        <is>
          <t>NULL</t>
        </is>
      </c>
      <c r="D356" s="0" t="inlineStr">
        <is>
          <t>NULL</t>
        </is>
      </c>
      <c r="E356" s="0" t="inlineStr">
        <is>
          <t>NULL</t>
        </is>
      </c>
      <c r="F356" s="0" t="inlineStr">
        <is>
          <t>NULL</t>
        </is>
      </c>
      <c r="G356" s="0" t="inlineStr">
        <is>
          <t>NULL</t>
        </is>
      </c>
      <c r="H356" s="0" t="inlineStr">
        <is>
          <t>NULL</t>
        </is>
      </c>
      <c r="I356" s="0" t="inlineStr">
        <is>
          <t>NULL</t>
        </is>
      </c>
      <c r="J356" s="0" t="inlineStr">
        <is>
          <t>NULL</t>
        </is>
      </c>
      <c r="K356" s="0" t="inlineStr">
        <is>
          <t>YES! 	 c_decimal19_4列源备映射正确，源端为decimal None位	期望更改为decimal(p,s)	实际备端为decimal None位</t>
        </is>
      </c>
    </row>
    <row r="357">
      <c r="B357" s="0" t="inlineStr">
        <is>
          <t>NULL</t>
        </is>
      </c>
      <c r="C357" s="0" t="inlineStr">
        <is>
          <t>NULL</t>
        </is>
      </c>
      <c r="D357" s="0" t="inlineStr">
        <is>
          <t>NULL</t>
        </is>
      </c>
      <c r="E357" s="0" t="inlineStr">
        <is>
          <t>NULL</t>
        </is>
      </c>
      <c r="F357" s="0" t="inlineStr">
        <is>
          <t>NULL</t>
        </is>
      </c>
      <c r="G357" s="0" t="inlineStr">
        <is>
          <t>NULL</t>
        </is>
      </c>
      <c r="H357" s="0" t="inlineStr">
        <is>
          <t>NULL</t>
        </is>
      </c>
      <c r="I357" s="0" t="inlineStr">
        <is>
          <t>NULL</t>
        </is>
      </c>
      <c r="J357" s="0" t="inlineStr">
        <is>
          <t>NULL</t>
        </is>
      </c>
      <c r="K357" s="0" t="inlineStr">
        <is>
          <t>YES! 	 c_numeric列源备映射正确，源端为numeric None位	期望更改为numeric(p,s)	实际备端为numeric None位</t>
        </is>
      </c>
    </row>
    <row r="358">
      <c r="B358" s="0" t="inlineStr">
        <is>
          <t>NULL</t>
        </is>
      </c>
      <c r="C358" s="0" t="inlineStr">
        <is>
          <t>NULL</t>
        </is>
      </c>
      <c r="D358" s="0" t="inlineStr">
        <is>
          <t>NULL</t>
        </is>
      </c>
      <c r="E358" s="0" t="inlineStr">
        <is>
          <t>NULL</t>
        </is>
      </c>
      <c r="F358" s="0" t="inlineStr">
        <is>
          <t>NULL</t>
        </is>
      </c>
      <c r="G358" s="0" t="inlineStr">
        <is>
          <t>NULL</t>
        </is>
      </c>
      <c r="H358" s="0" t="inlineStr">
        <is>
          <t>NULL</t>
        </is>
      </c>
      <c r="I358" s="0" t="inlineStr">
        <is>
          <t>NULL</t>
        </is>
      </c>
      <c r="J358" s="0" t="inlineStr">
        <is>
          <t>NULL</t>
        </is>
      </c>
      <c r="K358" s="0" t="inlineStr">
        <is>
          <t>YES! 	 c_numeric38列源备映射正确，源端为numeric None位	期望更改为numeric(p,s)	实际备端为numeric None位</t>
        </is>
      </c>
    </row>
    <row r="359">
      <c r="B359" s="0" t="inlineStr">
        <is>
          <t>NULL</t>
        </is>
      </c>
      <c r="C359" s="0" t="inlineStr">
        <is>
          <t>NULL</t>
        </is>
      </c>
      <c r="D359" s="0" t="inlineStr">
        <is>
          <t>NULL</t>
        </is>
      </c>
      <c r="E359" s="0" t="inlineStr">
        <is>
          <t>NULL</t>
        </is>
      </c>
      <c r="F359" s="0" t="inlineStr">
        <is>
          <t>NULL</t>
        </is>
      </c>
      <c r="G359" s="0" t="inlineStr">
        <is>
          <t>NULL</t>
        </is>
      </c>
      <c r="H359" s="0" t="inlineStr">
        <is>
          <t>NULL</t>
        </is>
      </c>
      <c r="I359" s="0" t="inlineStr">
        <is>
          <t>NULL</t>
        </is>
      </c>
      <c r="J359" s="0" t="inlineStr">
        <is>
          <t>NULL</t>
        </is>
      </c>
      <c r="K359" s="0" t="inlineStr">
        <is>
          <t>YES! 	 c_numeric38_38列源备映射正确，源端为numeric None位	期望更改为numeric(p,s)	实际备端为numeric None位</t>
        </is>
      </c>
    </row>
    <row r="360">
      <c r="B360" s="0" t="inlineStr">
        <is>
          <t>NULL</t>
        </is>
      </c>
      <c r="C360" s="0" t="inlineStr">
        <is>
          <t>NULL</t>
        </is>
      </c>
      <c r="D360" s="0" t="inlineStr">
        <is>
          <t>NULL</t>
        </is>
      </c>
      <c r="E360" s="0" t="inlineStr">
        <is>
          <t>NULL</t>
        </is>
      </c>
      <c r="F360" s="0" t="inlineStr">
        <is>
          <t>NULL</t>
        </is>
      </c>
      <c r="G360" s="0" t="inlineStr">
        <is>
          <t>NULL</t>
        </is>
      </c>
      <c r="H360" s="0" t="inlineStr">
        <is>
          <t>NULL</t>
        </is>
      </c>
      <c r="I360" s="0" t="inlineStr">
        <is>
          <t>NULL</t>
        </is>
      </c>
      <c r="J360" s="0" t="inlineStr">
        <is>
          <t>NULL</t>
        </is>
      </c>
      <c r="K360" s="0" t="inlineStr">
        <is>
          <t>YES! 	 c_numeric38_10列源备映射正确，源端为numeric None位	期望更改为numeric(p,s)	实际备端为numeric None位</t>
        </is>
      </c>
    </row>
    <row r="361">
      <c r="B361" s="0" t="inlineStr">
        <is>
          <t>NULL</t>
        </is>
      </c>
      <c r="C361" s="0" t="inlineStr">
        <is>
          <t>NULL</t>
        </is>
      </c>
      <c r="D361" s="0" t="inlineStr">
        <is>
          <t>NULL</t>
        </is>
      </c>
      <c r="E361" s="0" t="inlineStr">
        <is>
          <t>NULL</t>
        </is>
      </c>
      <c r="F361" s="0" t="inlineStr">
        <is>
          <t>NULL</t>
        </is>
      </c>
      <c r="G361" s="0" t="inlineStr">
        <is>
          <t>NULL</t>
        </is>
      </c>
      <c r="H361" s="0" t="inlineStr">
        <is>
          <t>NULL</t>
        </is>
      </c>
      <c r="I361" s="0" t="inlineStr">
        <is>
          <t>NULL</t>
        </is>
      </c>
      <c r="J361" s="0" t="inlineStr">
        <is>
          <t>NULL</t>
        </is>
      </c>
      <c r="K361" s="0" t="inlineStr">
        <is>
          <t>YES! 	 c_numeric18_2列源备映射正确，源端为numeric None位	期望更改为numeric(p,s)	实际备端为numeric None位</t>
        </is>
      </c>
    </row>
    <row r="362">
      <c r="B362" s="0" t="inlineStr">
        <is>
          <t>NULL</t>
        </is>
      </c>
      <c r="C362" s="0" t="inlineStr">
        <is>
          <t>NULL</t>
        </is>
      </c>
      <c r="D362" s="0" t="inlineStr">
        <is>
          <t>NULL</t>
        </is>
      </c>
      <c r="E362" s="0" t="inlineStr">
        <is>
          <t>NULL</t>
        </is>
      </c>
      <c r="F362" s="0" t="inlineStr">
        <is>
          <t>NULL</t>
        </is>
      </c>
      <c r="G362" s="0" t="inlineStr">
        <is>
          <t>NULL</t>
        </is>
      </c>
      <c r="H362" s="0" t="inlineStr">
        <is>
          <t>NULL</t>
        </is>
      </c>
      <c r="I362" s="0" t="inlineStr">
        <is>
          <t>NULL</t>
        </is>
      </c>
      <c r="J362" s="0" t="inlineStr">
        <is>
          <t>NULL</t>
        </is>
      </c>
      <c r="K362" s="0" t="inlineStr">
        <is>
          <t>YES! 	 c_float列源备映射正确，源端为float None位	期望更改为float	实际备端为float None位</t>
        </is>
      </c>
    </row>
    <row r="363">
      <c r="B363" s="0" t="inlineStr">
        <is>
          <t>NULL</t>
        </is>
      </c>
      <c r="C363" s="0" t="inlineStr">
        <is>
          <t>NULL</t>
        </is>
      </c>
      <c r="D363" s="0" t="inlineStr">
        <is>
          <t>NULL</t>
        </is>
      </c>
      <c r="E363" s="0" t="inlineStr">
        <is>
          <t>NULL</t>
        </is>
      </c>
      <c r="F363" s="0" t="inlineStr">
        <is>
          <t>NULL</t>
        </is>
      </c>
      <c r="G363" s="0" t="inlineStr">
        <is>
          <t>NULL</t>
        </is>
      </c>
      <c r="H363" s="0" t="inlineStr">
        <is>
          <t>NULL</t>
        </is>
      </c>
      <c r="I363" s="0" t="inlineStr">
        <is>
          <t>NULL</t>
        </is>
      </c>
      <c r="J363" s="0" t="inlineStr">
        <is>
          <t>NULL</t>
        </is>
      </c>
      <c r="K363" s="0" t="inlineStr">
        <is>
          <t>YES! 	 c_real列源备映射正确，源端为real None位	期望更改为real	实际备端为real None位</t>
        </is>
      </c>
    </row>
    <row r="364">
      <c r="B364" s="0" t="inlineStr">
        <is>
          <t>NULL</t>
        </is>
      </c>
      <c r="C364" s="0" t="inlineStr">
        <is>
          <t>NULL</t>
        </is>
      </c>
      <c r="D364" s="0" t="inlineStr">
        <is>
          <t>NULL</t>
        </is>
      </c>
      <c r="E364" s="0" t="inlineStr">
        <is>
          <t>NULL</t>
        </is>
      </c>
      <c r="F364" s="0" t="inlineStr">
        <is>
          <t>NULL</t>
        </is>
      </c>
      <c r="G364" s="0" t="inlineStr">
        <is>
          <t>NULL</t>
        </is>
      </c>
      <c r="H364" s="0" t="inlineStr">
        <is>
          <t>NULL</t>
        </is>
      </c>
      <c r="I364" s="0" t="inlineStr">
        <is>
          <t>NULL</t>
        </is>
      </c>
      <c r="J364" s="0" t="inlineStr">
        <is>
          <t>NULL</t>
        </is>
      </c>
      <c r="K364" s="0" t="inlineStr">
        <is>
          <t>YES! 	 c_money列源备映射正确，源端为money None位	期望更改为money	实际备端为money None位</t>
        </is>
      </c>
    </row>
    <row r="365">
      <c r="B365" s="0" t="inlineStr">
        <is>
          <t>NULL</t>
        </is>
      </c>
      <c r="C365" s="0" t="inlineStr">
        <is>
          <t>NULL</t>
        </is>
      </c>
      <c r="D365" s="0" t="inlineStr">
        <is>
          <t>NULL</t>
        </is>
      </c>
      <c r="E365" s="0" t="inlineStr">
        <is>
          <t>NULL</t>
        </is>
      </c>
      <c r="F365" s="0" t="inlineStr">
        <is>
          <t>NULL</t>
        </is>
      </c>
      <c r="G365" s="0" t="inlineStr">
        <is>
          <t>NULL</t>
        </is>
      </c>
      <c r="H365" s="0" t="inlineStr">
        <is>
          <t>NULL</t>
        </is>
      </c>
      <c r="I365" s="0" t="inlineStr">
        <is>
          <t>NULL</t>
        </is>
      </c>
      <c r="J365" s="0" t="inlineStr">
        <is>
          <t>NULL</t>
        </is>
      </c>
      <c r="K365" s="0" t="inlineStr">
        <is>
          <t>YES! 	 c_smallmoney列源备映射正确，源端为smallmoney None位	期望更改为smallmoney	实际备端为smallmoney None位</t>
        </is>
      </c>
    </row>
    <row r="366">
      <c r="B366" s="0" t="inlineStr">
        <is>
          <t>NULL</t>
        </is>
      </c>
      <c r="C366" s="0" t="inlineStr">
        <is>
          <t>NULL</t>
        </is>
      </c>
      <c r="D366" s="0" t="inlineStr">
        <is>
          <t>NULL</t>
        </is>
      </c>
      <c r="E366" s="0" t="inlineStr">
        <is>
          <t>NULL</t>
        </is>
      </c>
      <c r="F366" s="0" t="inlineStr">
        <is>
          <t>NULL</t>
        </is>
      </c>
      <c r="G366" s="0" t="inlineStr">
        <is>
          <t>NULL</t>
        </is>
      </c>
      <c r="H366" s="0" t="inlineStr">
        <is>
          <t>NULL</t>
        </is>
      </c>
      <c r="I366" s="0" t="inlineStr">
        <is>
          <t>NULL</t>
        </is>
      </c>
      <c r="J366" s="0" t="inlineStr">
        <is>
          <t>NULL</t>
        </is>
      </c>
      <c r="K366" s="0" t="inlineStr">
        <is>
          <t>YES! 	 c_bit列源备映射正确，源端为bit None位	期望更改为bit	实际备端为bit None位</t>
        </is>
      </c>
    </row>
    <row r="367">
      <c r="A367" s="0" t="inlineStr">
        <is>
          <t>info_sdt_dml_batch1_pk_urp2</t>
        </is>
      </c>
      <c r="K367" s="0" t="inlineStr">
        <is>
          <t>[0;34m info_sdt_dml_batch1_pk_urp2 [0m源备字段数相同，源端字段：2 	备端字段2</t>
        </is>
      </c>
      <c r="W367" s="0" t="inlineStr">
        <is>
          <t>YES 源备无差异</t>
        </is>
      </c>
      <c r="X367" s="0">
        <f>A367</f>
        <v/>
      </c>
    </row>
    <row r="368">
      <c r="B368" s="0" t="inlineStr">
        <is>
          <t>YES</t>
        </is>
      </c>
      <c r="C368" s="0" t="inlineStr">
        <is>
          <t>NULL</t>
        </is>
      </c>
      <c r="D368" s="0" t="inlineStr">
        <is>
          <t>NULL</t>
        </is>
      </c>
      <c r="E368" s="0" t="inlineStr">
        <is>
          <t>NULL</t>
        </is>
      </c>
      <c r="F368" s="0" t="inlineStr">
        <is>
          <t>NULL</t>
        </is>
      </c>
      <c r="G368" s="0" t="inlineStr">
        <is>
          <t>NULL</t>
        </is>
      </c>
      <c r="H368" s="0" t="inlineStr">
        <is>
          <t>NULL</t>
        </is>
      </c>
      <c r="I368" s="0" t="inlineStr">
        <is>
          <t>YES!PK__info_sdt__3213E83F9232A2E1</t>
        </is>
      </c>
      <c r="J368" s="0" t="inlineStr">
        <is>
          <t>YES! 主键相关索引</t>
        </is>
      </c>
      <c r="K368" s="0" t="inlineStr">
        <is>
          <t>YES! 	 id列源备映射正确，源端为int None位	期望更改为int	实际备端为int None位</t>
        </is>
      </c>
    </row>
    <row r="369">
      <c r="B369" s="0" t="inlineStr">
        <is>
          <t>NULL</t>
        </is>
      </c>
      <c r="C369" s="0" t="inlineStr">
        <is>
          <t>NULL</t>
        </is>
      </c>
      <c r="D369" s="0" t="inlineStr">
        <is>
          <t>NULL</t>
        </is>
      </c>
      <c r="E369" s="0" t="inlineStr">
        <is>
          <t>NULL</t>
        </is>
      </c>
      <c r="F369" s="0" t="inlineStr">
        <is>
          <t>NULL</t>
        </is>
      </c>
      <c r="G369" s="0" t="inlineStr">
        <is>
          <t>NULL</t>
        </is>
      </c>
      <c r="H369" s="0" t="inlineStr">
        <is>
          <t>NULL</t>
        </is>
      </c>
      <c r="I369" s="0" t="inlineStr">
        <is>
          <t>NULL</t>
        </is>
      </c>
      <c r="J369" s="0" t="inlineStr">
        <is>
          <t>NULL</t>
        </is>
      </c>
      <c r="K369" s="0" t="inlineStr">
        <is>
          <t>YES! 	 c_sdt列源备映射正确，源端为smalldatetime None位	期望更改为smalldatetime	实际备端为smalldatetime None位</t>
        </is>
      </c>
    </row>
    <row r="370">
      <c r="A370" s="0" t="inlineStr">
        <is>
          <t>info_varchar_dml_batch1_pk_irp1</t>
        </is>
      </c>
      <c r="K370" s="0" t="inlineStr">
        <is>
          <t>[0;34m info_varchar_dml_batch1_pk_irp1 [0m源备字段数相同，源端字段：4 	备端字段4</t>
        </is>
      </c>
      <c r="W370" s="0" t="inlineStr">
        <is>
          <t>YES 源备无差异</t>
        </is>
      </c>
      <c r="X370" s="0">
        <f>A370</f>
        <v/>
      </c>
    </row>
    <row r="371">
      <c r="B371" s="0" t="inlineStr">
        <is>
          <t>YES</t>
        </is>
      </c>
      <c r="C371" s="0" t="inlineStr">
        <is>
          <t>NULL</t>
        </is>
      </c>
      <c r="D371" s="0" t="inlineStr">
        <is>
          <t>NULL</t>
        </is>
      </c>
      <c r="E371" s="0" t="inlineStr">
        <is>
          <t>NULL</t>
        </is>
      </c>
      <c r="F371" s="0" t="inlineStr">
        <is>
          <t>NULL</t>
        </is>
      </c>
      <c r="G371" s="0" t="inlineStr">
        <is>
          <t>NULL</t>
        </is>
      </c>
      <c r="H371" s="0" t="inlineStr">
        <is>
          <t>NULL</t>
        </is>
      </c>
      <c r="I371" s="0" t="inlineStr">
        <is>
          <t>YES!PK__info_var__3213E83F369F1F96</t>
        </is>
      </c>
      <c r="J371" s="0" t="inlineStr">
        <is>
          <t>YES! 主键相关索引</t>
        </is>
      </c>
      <c r="K371" s="0" t="inlineStr">
        <is>
          <t>YES! 	 id列源备映射正确，源端为int None位	期望更改为int	实际备端为int None位</t>
        </is>
      </c>
    </row>
    <row r="372">
      <c r="B372" s="0" t="inlineStr">
        <is>
          <t>NULL</t>
        </is>
      </c>
      <c r="C372" s="0" t="inlineStr">
        <is>
          <t>NULL</t>
        </is>
      </c>
      <c r="D372" s="0" t="inlineStr">
        <is>
          <t>NULL</t>
        </is>
      </c>
      <c r="E372" s="0" t="inlineStr">
        <is>
          <t>NULL</t>
        </is>
      </c>
      <c r="F372" s="0" t="inlineStr">
        <is>
          <t>NULL</t>
        </is>
      </c>
      <c r="G372" s="0" t="inlineStr">
        <is>
          <t>NULL</t>
        </is>
      </c>
      <c r="H372" s="0" t="inlineStr">
        <is>
          <t>NULL</t>
        </is>
      </c>
      <c r="I372" s="0" t="inlineStr">
        <is>
          <t>NULL</t>
        </is>
      </c>
      <c r="J372" s="0" t="inlineStr">
        <is>
          <t>NULL</t>
        </is>
      </c>
      <c r="K372" s="0" t="inlineStr">
        <is>
          <t>YES! 	 c_varchar列源备映射正确，源端为varchar 1位	期望更改为varchar(n)	实际备端为varchar 1位</t>
        </is>
      </c>
    </row>
    <row r="373">
      <c r="B373" s="0" t="inlineStr">
        <is>
          <t>NULL</t>
        </is>
      </c>
      <c r="C373" s="0" t="inlineStr">
        <is>
          <t>NULL</t>
        </is>
      </c>
      <c r="D373" s="0" t="inlineStr">
        <is>
          <t>NULL</t>
        </is>
      </c>
      <c r="E373" s="0" t="inlineStr">
        <is>
          <t>NULL</t>
        </is>
      </c>
      <c r="F373" s="0" t="inlineStr">
        <is>
          <t>NULL</t>
        </is>
      </c>
      <c r="G373" s="0" t="inlineStr">
        <is>
          <t>NULL</t>
        </is>
      </c>
      <c r="H373" s="0" t="inlineStr">
        <is>
          <t>NULL</t>
        </is>
      </c>
      <c r="I373" s="0" t="inlineStr">
        <is>
          <t>NULL</t>
        </is>
      </c>
      <c r="J373" s="0" t="inlineStr">
        <is>
          <t>NULL</t>
        </is>
      </c>
      <c r="K373" s="0" t="inlineStr">
        <is>
          <t>YES! 	 c_varchar20列源备映射正确，源端为varchar 20位	期望更改为varchar(n)	实际备端为varchar 20位</t>
        </is>
      </c>
    </row>
    <row r="374">
      <c r="B374" s="0" t="inlineStr">
        <is>
          <t>NULL</t>
        </is>
      </c>
      <c r="C374" s="0" t="inlineStr">
        <is>
          <t>NULL</t>
        </is>
      </c>
      <c r="D374" s="0" t="inlineStr">
        <is>
          <t>NULL</t>
        </is>
      </c>
      <c r="E374" s="0" t="inlineStr">
        <is>
          <t>NULL</t>
        </is>
      </c>
      <c r="F374" s="0" t="inlineStr">
        <is>
          <t>NULL</t>
        </is>
      </c>
      <c r="G374" s="0" t="inlineStr">
        <is>
          <t>NULL</t>
        </is>
      </c>
      <c r="H374" s="0" t="inlineStr">
        <is>
          <t>NULL</t>
        </is>
      </c>
      <c r="I374" s="0" t="inlineStr">
        <is>
          <t>NULL</t>
        </is>
      </c>
      <c r="J374" s="0" t="inlineStr">
        <is>
          <t>NULL</t>
        </is>
      </c>
      <c r="K374" s="0" t="inlineStr">
        <is>
          <t>YES! 	 c_varchar8000列源备映射正确，源端为varchar 8000位	期望更改为varchar(n)	实际备端为varchar 8000位</t>
        </is>
      </c>
    </row>
    <row r="375">
      <c r="A375" s="0" t="inlineStr">
        <is>
          <t>info_nchar_dml_single_nopk</t>
        </is>
      </c>
      <c r="K375" s="0" t="inlineStr">
        <is>
          <t>[0;34m info_nchar_dml_single_nopk [0m源备字段数相同，源端字段：4 	备端字段4</t>
        </is>
      </c>
      <c r="W375" s="0" t="inlineStr">
        <is>
          <t>YES 源备无差异</t>
        </is>
      </c>
      <c r="X375" s="0">
        <f>A375</f>
        <v/>
      </c>
    </row>
    <row r="376">
      <c r="B376" s="0" t="inlineStr">
        <is>
          <t>NULL</t>
        </is>
      </c>
      <c r="C376" s="0" t="inlineStr">
        <is>
          <t>NULL</t>
        </is>
      </c>
      <c r="D376" s="0" t="inlineStr">
        <is>
          <t>NULL</t>
        </is>
      </c>
      <c r="E376" s="0" t="inlineStr">
        <is>
          <t>NULL</t>
        </is>
      </c>
      <c r="F376" s="0" t="inlineStr">
        <is>
          <t>NULL</t>
        </is>
      </c>
      <c r="G376" s="0" t="inlineStr">
        <is>
          <t>NULL</t>
        </is>
      </c>
      <c r="H376" s="0" t="inlineStr">
        <is>
          <t>NULL</t>
        </is>
      </c>
      <c r="I376" s="0" t="inlineStr">
        <is>
          <t>NULL</t>
        </is>
      </c>
      <c r="J376" s="0" t="inlineStr">
        <is>
          <t>NULL</t>
        </is>
      </c>
      <c r="K376" s="0" t="inlineStr">
        <is>
          <t>YES! 	 id列源备映射正确，源端为int None位	期望更改为int	实际备端为int None位</t>
        </is>
      </c>
    </row>
    <row r="377">
      <c r="B377" s="0" t="inlineStr">
        <is>
          <t>NULL</t>
        </is>
      </c>
      <c r="C377" s="0" t="inlineStr">
        <is>
          <t>NULL</t>
        </is>
      </c>
      <c r="D377" s="0" t="inlineStr">
        <is>
          <t>NULL</t>
        </is>
      </c>
      <c r="E377" s="0" t="inlineStr">
        <is>
          <t>NULL</t>
        </is>
      </c>
      <c r="F377" s="0" t="inlineStr">
        <is>
          <t>NULL</t>
        </is>
      </c>
      <c r="G377" s="0" t="inlineStr">
        <is>
          <t>NULL</t>
        </is>
      </c>
      <c r="H377" s="0" t="inlineStr">
        <is>
          <t>NULL</t>
        </is>
      </c>
      <c r="I377" s="0" t="inlineStr">
        <is>
          <t>NULL</t>
        </is>
      </c>
      <c r="J377" s="0" t="inlineStr">
        <is>
          <t>NULL</t>
        </is>
      </c>
      <c r="K377" s="0" t="inlineStr">
        <is>
          <t>YES! 	 c_nchar列源备映射正确，源端为nchar 2位	期望更改为nchar(n)	实际备端为nchar 2位</t>
        </is>
      </c>
    </row>
    <row r="378">
      <c r="B378" s="0" t="inlineStr">
        <is>
          <t>NULL</t>
        </is>
      </c>
      <c r="C378" s="0" t="inlineStr">
        <is>
          <t>NULL</t>
        </is>
      </c>
      <c r="D378" s="0" t="inlineStr">
        <is>
          <t>NULL</t>
        </is>
      </c>
      <c r="E378" s="0" t="inlineStr">
        <is>
          <t>NULL</t>
        </is>
      </c>
      <c r="F378" s="0" t="inlineStr">
        <is>
          <t>NULL</t>
        </is>
      </c>
      <c r="G378" s="0" t="inlineStr">
        <is>
          <t>NULL</t>
        </is>
      </c>
      <c r="H378" s="0" t="inlineStr">
        <is>
          <t>NULL</t>
        </is>
      </c>
      <c r="I378" s="0" t="inlineStr">
        <is>
          <t>NULL</t>
        </is>
      </c>
      <c r="J378" s="0" t="inlineStr">
        <is>
          <t>NULL</t>
        </is>
      </c>
      <c r="K378" s="0" t="inlineStr">
        <is>
          <t>YES! 	 c_nchar20列源备映射正确，源端为nchar 40位	期望更改为nchar(n)	实际备端为nchar 40位</t>
        </is>
      </c>
    </row>
    <row r="379">
      <c r="B379" s="0" t="inlineStr">
        <is>
          <t>NULL</t>
        </is>
      </c>
      <c r="C379" s="0" t="inlineStr">
        <is>
          <t>NULL</t>
        </is>
      </c>
      <c r="D379" s="0" t="inlineStr">
        <is>
          <t>NULL</t>
        </is>
      </c>
      <c r="E379" s="0" t="inlineStr">
        <is>
          <t>NULL</t>
        </is>
      </c>
      <c r="F379" s="0" t="inlineStr">
        <is>
          <t>NULL</t>
        </is>
      </c>
      <c r="G379" s="0" t="inlineStr">
        <is>
          <t>NULL</t>
        </is>
      </c>
      <c r="H379" s="0" t="inlineStr">
        <is>
          <t>NULL</t>
        </is>
      </c>
      <c r="I379" s="0" t="inlineStr">
        <is>
          <t>NULL</t>
        </is>
      </c>
      <c r="J379" s="0" t="inlineStr">
        <is>
          <t>NULL</t>
        </is>
      </c>
      <c r="K379" s="0" t="inlineStr">
        <is>
          <t>YES! 	 c_nchar3500列源备映射正确，源端为nchar 7000位	期望更改为nchar(n)	实际备端为nchar 7000位</t>
        </is>
      </c>
    </row>
    <row r="380">
      <c r="A380" s="0" t="inlineStr">
        <is>
          <t>info_sql_variant_dml_single_pk_irp</t>
        </is>
      </c>
      <c r="K380" s="0" t="inlineStr">
        <is>
          <t>[0;34m info_sql_variant_dml_single_pk_irp [0m源备字段数相同，源端字段：25 	备端字段25</t>
        </is>
      </c>
      <c r="W380" s="0" t="inlineStr">
        <is>
          <t>YES 源备无差异</t>
        </is>
      </c>
      <c r="X380" s="0">
        <f>A380</f>
        <v/>
      </c>
    </row>
    <row r="381">
      <c r="B381" s="0" t="inlineStr">
        <is>
          <t>YES</t>
        </is>
      </c>
      <c r="C381" s="0" t="inlineStr">
        <is>
          <t>NULL</t>
        </is>
      </c>
      <c r="D381" s="0" t="inlineStr">
        <is>
          <t>NULL</t>
        </is>
      </c>
      <c r="E381" s="0" t="inlineStr">
        <is>
          <t>NULL</t>
        </is>
      </c>
      <c r="F381" s="0" t="inlineStr">
        <is>
          <t>NULL</t>
        </is>
      </c>
      <c r="G381" s="0" t="inlineStr">
        <is>
          <t>NULL</t>
        </is>
      </c>
      <c r="H381" s="0" t="inlineStr">
        <is>
          <t>NULL</t>
        </is>
      </c>
      <c r="I381" s="0" t="inlineStr">
        <is>
          <t>YES!PK__info_sql__3213E83F8AA9C4B2</t>
        </is>
      </c>
      <c r="J381" s="0" t="inlineStr">
        <is>
          <t>YES! 主键相关索引</t>
        </is>
      </c>
      <c r="K381" s="0" t="inlineStr">
        <is>
          <t>YES! 	 id列源备映射正确，源端为int None位	期望更改为int	实际备端为int None位</t>
        </is>
      </c>
    </row>
    <row r="382">
      <c r="B382" s="0" t="inlineStr">
        <is>
          <t>NULL</t>
        </is>
      </c>
      <c r="C382" s="0" t="inlineStr">
        <is>
          <t>NULL</t>
        </is>
      </c>
      <c r="D382" s="0" t="inlineStr">
        <is>
          <t>NULL</t>
        </is>
      </c>
      <c r="E382" s="0" t="inlineStr">
        <is>
          <t>NULL</t>
        </is>
      </c>
      <c r="F382" s="0" t="inlineStr">
        <is>
          <t>NULL</t>
        </is>
      </c>
      <c r="G382" s="0" t="inlineStr">
        <is>
          <t>NULL</t>
        </is>
      </c>
      <c r="H382" s="0" t="inlineStr">
        <is>
          <t>NULL</t>
        </is>
      </c>
      <c r="I382" s="0" t="inlineStr">
        <is>
          <t>NULL</t>
        </is>
      </c>
      <c r="J382" s="0" t="inlineStr">
        <is>
          <t>NULL</t>
        </is>
      </c>
      <c r="K382" s="0" t="inlineStr">
        <is>
          <t>YES! 	 c_date列源备映射正确，源端为sql_variant 0位	期望更改为sql_variant	实际备端为sql_variant 0位</t>
        </is>
      </c>
    </row>
    <row r="383">
      <c r="B383" s="0" t="inlineStr">
        <is>
          <t>NULL</t>
        </is>
      </c>
      <c r="C383" s="0" t="inlineStr">
        <is>
          <t>NULL</t>
        </is>
      </c>
      <c r="D383" s="0" t="inlineStr">
        <is>
          <t>NULL</t>
        </is>
      </c>
      <c r="E383" s="0" t="inlineStr">
        <is>
          <t>NULL</t>
        </is>
      </c>
      <c r="F383" s="0" t="inlineStr">
        <is>
          <t>NULL</t>
        </is>
      </c>
      <c r="G383" s="0" t="inlineStr">
        <is>
          <t>NULL</t>
        </is>
      </c>
      <c r="H383" s="0" t="inlineStr">
        <is>
          <t>NULL</t>
        </is>
      </c>
      <c r="I383" s="0" t="inlineStr">
        <is>
          <t>NULL</t>
        </is>
      </c>
      <c r="J383" s="0" t="inlineStr">
        <is>
          <t>NULL</t>
        </is>
      </c>
      <c r="K383" s="0" t="inlineStr">
        <is>
          <t>YES! 	 c_time列源备映射正确，源端为sql_variant 0位	期望更改为sql_variant	实际备端为sql_variant 0位</t>
        </is>
      </c>
    </row>
    <row r="384">
      <c r="B384" s="0" t="inlineStr">
        <is>
          <t>NULL</t>
        </is>
      </c>
      <c r="C384" s="0" t="inlineStr">
        <is>
          <t>NULL</t>
        </is>
      </c>
      <c r="D384" s="0" t="inlineStr">
        <is>
          <t>NULL</t>
        </is>
      </c>
      <c r="E384" s="0" t="inlineStr">
        <is>
          <t>NULL</t>
        </is>
      </c>
      <c r="F384" s="0" t="inlineStr">
        <is>
          <t>NULL</t>
        </is>
      </c>
      <c r="G384" s="0" t="inlineStr">
        <is>
          <t>NULL</t>
        </is>
      </c>
      <c r="H384" s="0" t="inlineStr">
        <is>
          <t>NULL</t>
        </is>
      </c>
      <c r="I384" s="0" t="inlineStr">
        <is>
          <t>NULL</t>
        </is>
      </c>
      <c r="J384" s="0" t="inlineStr">
        <is>
          <t>NULL</t>
        </is>
      </c>
      <c r="K384" s="0" t="inlineStr">
        <is>
          <t>YES! 	 c_datetime2列源备映射正确，源端为sql_variant 0位	期望更改为sql_variant	实际备端为sql_variant 0位</t>
        </is>
      </c>
    </row>
    <row r="385">
      <c r="B385" s="0" t="inlineStr">
        <is>
          <t>NULL</t>
        </is>
      </c>
      <c r="C385" s="0" t="inlineStr">
        <is>
          <t>NULL</t>
        </is>
      </c>
      <c r="D385" s="0" t="inlineStr">
        <is>
          <t>NULL</t>
        </is>
      </c>
      <c r="E385" s="0" t="inlineStr">
        <is>
          <t>NULL</t>
        </is>
      </c>
      <c r="F385" s="0" t="inlineStr">
        <is>
          <t>NULL</t>
        </is>
      </c>
      <c r="G385" s="0" t="inlineStr">
        <is>
          <t>NULL</t>
        </is>
      </c>
      <c r="H385" s="0" t="inlineStr">
        <is>
          <t>NULL</t>
        </is>
      </c>
      <c r="I385" s="0" t="inlineStr">
        <is>
          <t>NULL</t>
        </is>
      </c>
      <c r="J385" s="0" t="inlineStr">
        <is>
          <t>NULL</t>
        </is>
      </c>
      <c r="K385" s="0" t="inlineStr">
        <is>
          <t>YES! 	 c_datetimeoffset列源备映射正确，源端为sql_variant 0位	期望更改为sql_variant	实际备端为sql_variant 0位</t>
        </is>
      </c>
    </row>
    <row r="386">
      <c r="B386" s="0" t="inlineStr">
        <is>
          <t>NULL</t>
        </is>
      </c>
      <c r="C386" s="0" t="inlineStr">
        <is>
          <t>NULL</t>
        </is>
      </c>
      <c r="D386" s="0" t="inlineStr">
        <is>
          <t>NULL</t>
        </is>
      </c>
      <c r="E386" s="0" t="inlineStr">
        <is>
          <t>NULL</t>
        </is>
      </c>
      <c r="F386" s="0" t="inlineStr">
        <is>
          <t>NULL</t>
        </is>
      </c>
      <c r="G386" s="0" t="inlineStr">
        <is>
          <t>NULL</t>
        </is>
      </c>
      <c r="H386" s="0" t="inlineStr">
        <is>
          <t>NULL</t>
        </is>
      </c>
      <c r="I386" s="0" t="inlineStr">
        <is>
          <t>NULL</t>
        </is>
      </c>
      <c r="J386" s="0" t="inlineStr">
        <is>
          <t>NULL</t>
        </is>
      </c>
      <c r="K386" s="0" t="inlineStr">
        <is>
          <t>YES! 	 c_tinyint列源备映射正确，源端为sql_variant 0位	期望更改为sql_variant	实际备端为sql_variant 0位</t>
        </is>
      </c>
    </row>
    <row r="387">
      <c r="B387" s="0" t="inlineStr">
        <is>
          <t>NULL</t>
        </is>
      </c>
      <c r="C387" s="0" t="inlineStr">
        <is>
          <t>NULL</t>
        </is>
      </c>
      <c r="D387" s="0" t="inlineStr">
        <is>
          <t>NULL</t>
        </is>
      </c>
      <c r="E387" s="0" t="inlineStr">
        <is>
          <t>NULL</t>
        </is>
      </c>
      <c r="F387" s="0" t="inlineStr">
        <is>
          <t>NULL</t>
        </is>
      </c>
      <c r="G387" s="0" t="inlineStr">
        <is>
          <t>NULL</t>
        </is>
      </c>
      <c r="H387" s="0" t="inlineStr">
        <is>
          <t>NULL</t>
        </is>
      </c>
      <c r="I387" s="0" t="inlineStr">
        <is>
          <t>NULL</t>
        </is>
      </c>
      <c r="J387" s="0" t="inlineStr">
        <is>
          <t>NULL</t>
        </is>
      </c>
      <c r="K387" s="0" t="inlineStr">
        <is>
          <t>YES! 	 c_smallint列源备映射正确，源端为sql_variant 0位	期望更改为sql_variant	实际备端为sql_variant 0位</t>
        </is>
      </c>
    </row>
    <row r="388">
      <c r="B388" s="0" t="inlineStr">
        <is>
          <t>NULL</t>
        </is>
      </c>
      <c r="C388" s="0" t="inlineStr">
        <is>
          <t>NULL</t>
        </is>
      </c>
      <c r="D388" s="0" t="inlineStr">
        <is>
          <t>NULL</t>
        </is>
      </c>
      <c r="E388" s="0" t="inlineStr">
        <is>
          <t>NULL</t>
        </is>
      </c>
      <c r="F388" s="0" t="inlineStr">
        <is>
          <t>NULL</t>
        </is>
      </c>
      <c r="G388" s="0" t="inlineStr">
        <is>
          <t>NULL</t>
        </is>
      </c>
      <c r="H388" s="0" t="inlineStr">
        <is>
          <t>NULL</t>
        </is>
      </c>
      <c r="I388" s="0" t="inlineStr">
        <is>
          <t>NULL</t>
        </is>
      </c>
      <c r="J388" s="0" t="inlineStr">
        <is>
          <t>NULL</t>
        </is>
      </c>
      <c r="K388" s="0" t="inlineStr">
        <is>
          <t>YES! 	 c_int列源备映射正确，源端为sql_variant 0位	期望更改为sql_variant	实际备端为sql_variant 0位</t>
        </is>
      </c>
    </row>
    <row r="389">
      <c r="B389" s="0" t="inlineStr">
        <is>
          <t>NULL</t>
        </is>
      </c>
      <c r="C389" s="0" t="inlineStr">
        <is>
          <t>NULL</t>
        </is>
      </c>
      <c r="D389" s="0" t="inlineStr">
        <is>
          <t>NULL</t>
        </is>
      </c>
      <c r="E389" s="0" t="inlineStr">
        <is>
          <t>NULL</t>
        </is>
      </c>
      <c r="F389" s="0" t="inlineStr">
        <is>
          <t>NULL</t>
        </is>
      </c>
      <c r="G389" s="0" t="inlineStr">
        <is>
          <t>NULL</t>
        </is>
      </c>
      <c r="H389" s="0" t="inlineStr">
        <is>
          <t>NULL</t>
        </is>
      </c>
      <c r="I389" s="0" t="inlineStr">
        <is>
          <t>NULL</t>
        </is>
      </c>
      <c r="J389" s="0" t="inlineStr">
        <is>
          <t>NULL</t>
        </is>
      </c>
      <c r="K389" s="0" t="inlineStr">
        <is>
          <t>YES! 	 c_sdt列源备映射正确，源端为sql_variant 0位	期望更改为sql_variant	实际备端为sql_variant 0位</t>
        </is>
      </c>
    </row>
    <row r="390">
      <c r="B390" s="0" t="inlineStr">
        <is>
          <t>NULL</t>
        </is>
      </c>
      <c r="C390" s="0" t="inlineStr">
        <is>
          <t>NULL</t>
        </is>
      </c>
      <c r="D390" s="0" t="inlineStr">
        <is>
          <t>NULL</t>
        </is>
      </c>
      <c r="E390" s="0" t="inlineStr">
        <is>
          <t>NULL</t>
        </is>
      </c>
      <c r="F390" s="0" t="inlineStr">
        <is>
          <t>NULL</t>
        </is>
      </c>
      <c r="G390" s="0" t="inlineStr">
        <is>
          <t>NULL</t>
        </is>
      </c>
      <c r="H390" s="0" t="inlineStr">
        <is>
          <t>NULL</t>
        </is>
      </c>
      <c r="I390" s="0" t="inlineStr">
        <is>
          <t>NULL</t>
        </is>
      </c>
      <c r="J390" s="0" t="inlineStr">
        <is>
          <t>NULL</t>
        </is>
      </c>
      <c r="K390" s="0" t="inlineStr">
        <is>
          <t>YES! 	 c_real列源备映射正确，源端为sql_variant 0位	期望更改为sql_variant	实际备端为sql_variant 0位</t>
        </is>
      </c>
    </row>
    <row r="391">
      <c r="B391" s="0" t="inlineStr">
        <is>
          <t>NULL</t>
        </is>
      </c>
      <c r="C391" s="0" t="inlineStr">
        <is>
          <t>NULL</t>
        </is>
      </c>
      <c r="D391" s="0" t="inlineStr">
        <is>
          <t>NULL</t>
        </is>
      </c>
      <c r="E391" s="0" t="inlineStr">
        <is>
          <t>NULL</t>
        </is>
      </c>
      <c r="F391" s="0" t="inlineStr">
        <is>
          <t>NULL</t>
        </is>
      </c>
      <c r="G391" s="0" t="inlineStr">
        <is>
          <t>NULL</t>
        </is>
      </c>
      <c r="H391" s="0" t="inlineStr">
        <is>
          <t>NULL</t>
        </is>
      </c>
      <c r="I391" s="0" t="inlineStr">
        <is>
          <t>NULL</t>
        </is>
      </c>
      <c r="J391" s="0" t="inlineStr">
        <is>
          <t>NULL</t>
        </is>
      </c>
      <c r="K391" s="0" t="inlineStr">
        <is>
          <t>YES! 	 c_money列源备映射正确，源端为sql_variant 0位	期望更改为sql_variant	实际备端为sql_variant 0位</t>
        </is>
      </c>
    </row>
    <row r="392">
      <c r="B392" s="0" t="inlineStr">
        <is>
          <t>NULL</t>
        </is>
      </c>
      <c r="C392" s="0" t="inlineStr">
        <is>
          <t>NULL</t>
        </is>
      </c>
      <c r="D392" s="0" t="inlineStr">
        <is>
          <t>NULL</t>
        </is>
      </c>
      <c r="E392" s="0" t="inlineStr">
        <is>
          <t>NULL</t>
        </is>
      </c>
      <c r="F392" s="0" t="inlineStr">
        <is>
          <t>NULL</t>
        </is>
      </c>
      <c r="G392" s="0" t="inlineStr">
        <is>
          <t>NULL</t>
        </is>
      </c>
      <c r="H392" s="0" t="inlineStr">
        <is>
          <t>NULL</t>
        </is>
      </c>
      <c r="I392" s="0" t="inlineStr">
        <is>
          <t>NULL</t>
        </is>
      </c>
      <c r="J392" s="0" t="inlineStr">
        <is>
          <t>NULL</t>
        </is>
      </c>
      <c r="K392" s="0" t="inlineStr">
        <is>
          <t>YES! 	 c_datetime列源备映射正确，源端为sql_variant 0位	期望更改为sql_variant	实际备端为sql_variant 0位</t>
        </is>
      </c>
    </row>
    <row r="393">
      <c r="B393" s="0" t="inlineStr">
        <is>
          <t>NULL</t>
        </is>
      </c>
      <c r="C393" s="0" t="inlineStr">
        <is>
          <t>NULL</t>
        </is>
      </c>
      <c r="D393" s="0" t="inlineStr">
        <is>
          <t>NULL</t>
        </is>
      </c>
      <c r="E393" s="0" t="inlineStr">
        <is>
          <t>NULL</t>
        </is>
      </c>
      <c r="F393" s="0" t="inlineStr">
        <is>
          <t>NULL</t>
        </is>
      </c>
      <c r="G393" s="0" t="inlineStr">
        <is>
          <t>NULL</t>
        </is>
      </c>
      <c r="H393" s="0" t="inlineStr">
        <is>
          <t>NULL</t>
        </is>
      </c>
      <c r="I393" s="0" t="inlineStr">
        <is>
          <t>NULL</t>
        </is>
      </c>
      <c r="J393" s="0" t="inlineStr">
        <is>
          <t>NULL</t>
        </is>
      </c>
      <c r="K393" s="0" t="inlineStr">
        <is>
          <t>YES! 	 c_float列源备映射正确，源端为sql_variant 0位	期望更改为sql_variant	实际备端为sql_variant 0位</t>
        </is>
      </c>
    </row>
    <row r="394">
      <c r="B394" s="0" t="inlineStr">
        <is>
          <t>NULL</t>
        </is>
      </c>
      <c r="C394" s="0" t="inlineStr">
        <is>
          <t>NULL</t>
        </is>
      </c>
      <c r="D394" s="0" t="inlineStr">
        <is>
          <t>NULL</t>
        </is>
      </c>
      <c r="E394" s="0" t="inlineStr">
        <is>
          <t>NULL</t>
        </is>
      </c>
      <c r="F394" s="0" t="inlineStr">
        <is>
          <t>NULL</t>
        </is>
      </c>
      <c r="G394" s="0" t="inlineStr">
        <is>
          <t>NULL</t>
        </is>
      </c>
      <c r="H394" s="0" t="inlineStr">
        <is>
          <t>NULL</t>
        </is>
      </c>
      <c r="I394" s="0" t="inlineStr">
        <is>
          <t>NULL</t>
        </is>
      </c>
      <c r="J394" s="0" t="inlineStr">
        <is>
          <t>NULL</t>
        </is>
      </c>
      <c r="K394" s="0" t="inlineStr">
        <is>
          <t>YES! 	 c_bit列源备映射正确，源端为sql_variant 0位	期望更改为sql_variant	实际备端为sql_variant 0位</t>
        </is>
      </c>
    </row>
    <row r="395">
      <c r="B395" s="0" t="inlineStr">
        <is>
          <t>NULL</t>
        </is>
      </c>
      <c r="C395" s="0" t="inlineStr">
        <is>
          <t>NULL</t>
        </is>
      </c>
      <c r="D395" s="0" t="inlineStr">
        <is>
          <t>NULL</t>
        </is>
      </c>
      <c r="E395" s="0" t="inlineStr">
        <is>
          <t>NULL</t>
        </is>
      </c>
      <c r="F395" s="0" t="inlineStr">
        <is>
          <t>NULL</t>
        </is>
      </c>
      <c r="G395" s="0" t="inlineStr">
        <is>
          <t>NULL</t>
        </is>
      </c>
      <c r="H395" s="0" t="inlineStr">
        <is>
          <t>NULL</t>
        </is>
      </c>
      <c r="I395" s="0" t="inlineStr">
        <is>
          <t>NULL</t>
        </is>
      </c>
      <c r="J395" s="0" t="inlineStr">
        <is>
          <t>NULL</t>
        </is>
      </c>
      <c r="K395" s="0" t="inlineStr">
        <is>
          <t>YES! 	 c_decimal列源备映射正确，源端为sql_variant 0位	期望更改为sql_variant	实际备端为sql_variant 0位</t>
        </is>
      </c>
    </row>
    <row r="396">
      <c r="B396" s="0" t="inlineStr">
        <is>
          <t>NULL</t>
        </is>
      </c>
      <c r="C396" s="0" t="inlineStr">
        <is>
          <t>NULL</t>
        </is>
      </c>
      <c r="D396" s="0" t="inlineStr">
        <is>
          <t>NULL</t>
        </is>
      </c>
      <c r="E396" s="0" t="inlineStr">
        <is>
          <t>NULL</t>
        </is>
      </c>
      <c r="F396" s="0" t="inlineStr">
        <is>
          <t>NULL</t>
        </is>
      </c>
      <c r="G396" s="0" t="inlineStr">
        <is>
          <t>NULL</t>
        </is>
      </c>
      <c r="H396" s="0" t="inlineStr">
        <is>
          <t>NULL</t>
        </is>
      </c>
      <c r="I396" s="0" t="inlineStr">
        <is>
          <t>NULL</t>
        </is>
      </c>
      <c r="J396" s="0" t="inlineStr">
        <is>
          <t>NULL</t>
        </is>
      </c>
      <c r="K396" s="0" t="inlineStr">
        <is>
          <t>YES! 	 c_uniqueidentifier列源备映射正确，源端为sql_variant 0位	期望更改为sql_variant	实际备端为sql_variant 0位</t>
        </is>
      </c>
    </row>
    <row r="397">
      <c r="B397" s="0" t="inlineStr">
        <is>
          <t>NULL</t>
        </is>
      </c>
      <c r="C397" s="0" t="inlineStr">
        <is>
          <t>NULL</t>
        </is>
      </c>
      <c r="D397" s="0" t="inlineStr">
        <is>
          <t>NULL</t>
        </is>
      </c>
      <c r="E397" s="0" t="inlineStr">
        <is>
          <t>NULL</t>
        </is>
      </c>
      <c r="F397" s="0" t="inlineStr">
        <is>
          <t>NULL</t>
        </is>
      </c>
      <c r="G397" s="0" t="inlineStr">
        <is>
          <t>NULL</t>
        </is>
      </c>
      <c r="H397" s="0" t="inlineStr">
        <is>
          <t>NULL</t>
        </is>
      </c>
      <c r="I397" s="0" t="inlineStr">
        <is>
          <t>NULL</t>
        </is>
      </c>
      <c r="J397" s="0" t="inlineStr">
        <is>
          <t>NULL</t>
        </is>
      </c>
      <c r="K397" s="0" t="inlineStr">
        <is>
          <t>YES! 	 c_smallmoney列源备映射正确，源端为sql_variant 0位	期望更改为sql_variant	实际备端为sql_variant 0位</t>
        </is>
      </c>
    </row>
    <row r="398">
      <c r="B398" s="0" t="inlineStr">
        <is>
          <t>NULL</t>
        </is>
      </c>
      <c r="C398" s="0" t="inlineStr">
        <is>
          <t>NULL</t>
        </is>
      </c>
      <c r="D398" s="0" t="inlineStr">
        <is>
          <t>NULL</t>
        </is>
      </c>
      <c r="E398" s="0" t="inlineStr">
        <is>
          <t>NULL</t>
        </is>
      </c>
      <c r="F398" s="0" t="inlineStr">
        <is>
          <t>NULL</t>
        </is>
      </c>
      <c r="G398" s="0" t="inlineStr">
        <is>
          <t>NULL</t>
        </is>
      </c>
      <c r="H398" s="0" t="inlineStr">
        <is>
          <t>NULL</t>
        </is>
      </c>
      <c r="I398" s="0" t="inlineStr">
        <is>
          <t>NULL</t>
        </is>
      </c>
      <c r="J398" s="0" t="inlineStr">
        <is>
          <t>NULL</t>
        </is>
      </c>
      <c r="K398" s="0" t="inlineStr">
        <is>
          <t>YES! 	 c_bigint列源备映射正确，源端为sql_variant 0位	期望更改为sql_variant	实际备端为sql_variant 0位</t>
        </is>
      </c>
    </row>
    <row r="399">
      <c r="B399" s="0" t="inlineStr">
        <is>
          <t>NULL</t>
        </is>
      </c>
      <c r="C399" s="0" t="inlineStr">
        <is>
          <t>NULL</t>
        </is>
      </c>
      <c r="D399" s="0" t="inlineStr">
        <is>
          <t>NULL</t>
        </is>
      </c>
      <c r="E399" s="0" t="inlineStr">
        <is>
          <t>NULL</t>
        </is>
      </c>
      <c r="F399" s="0" t="inlineStr">
        <is>
          <t>NULL</t>
        </is>
      </c>
      <c r="G399" s="0" t="inlineStr">
        <is>
          <t>NULL</t>
        </is>
      </c>
      <c r="H399" s="0" t="inlineStr">
        <is>
          <t>NULL</t>
        </is>
      </c>
      <c r="I399" s="0" t="inlineStr">
        <is>
          <t>NULL</t>
        </is>
      </c>
      <c r="J399" s="0" t="inlineStr">
        <is>
          <t>NULL</t>
        </is>
      </c>
      <c r="K399" s="0" t="inlineStr">
        <is>
          <t>YES! 	 c_varbinary_20列源备映射正确，源端为sql_variant 0位	期望更改为sql_variant	实际备端为sql_variant 0位</t>
        </is>
      </c>
    </row>
    <row r="400">
      <c r="B400" s="0" t="inlineStr">
        <is>
          <t>NULL</t>
        </is>
      </c>
      <c r="C400" s="0" t="inlineStr">
        <is>
          <t>NULL</t>
        </is>
      </c>
      <c r="D400" s="0" t="inlineStr">
        <is>
          <t>NULL</t>
        </is>
      </c>
      <c r="E400" s="0" t="inlineStr">
        <is>
          <t>NULL</t>
        </is>
      </c>
      <c r="F400" s="0" t="inlineStr">
        <is>
          <t>NULL</t>
        </is>
      </c>
      <c r="G400" s="0" t="inlineStr">
        <is>
          <t>NULL</t>
        </is>
      </c>
      <c r="H400" s="0" t="inlineStr">
        <is>
          <t>NULL</t>
        </is>
      </c>
      <c r="I400" s="0" t="inlineStr">
        <is>
          <t>NULL</t>
        </is>
      </c>
      <c r="J400" s="0" t="inlineStr">
        <is>
          <t>NULL</t>
        </is>
      </c>
      <c r="K400" s="0" t="inlineStr">
        <is>
          <t>YES! 	 c_varchar_20列源备映射正确，源端为sql_variant 0位	期望更改为sql_variant	实际备端为sql_variant 0位</t>
        </is>
      </c>
    </row>
    <row r="401">
      <c r="B401" s="0" t="inlineStr">
        <is>
          <t>NULL</t>
        </is>
      </c>
      <c r="C401" s="0" t="inlineStr">
        <is>
          <t>NULL</t>
        </is>
      </c>
      <c r="D401" s="0" t="inlineStr">
        <is>
          <t>NULL</t>
        </is>
      </c>
      <c r="E401" s="0" t="inlineStr">
        <is>
          <t>NULL</t>
        </is>
      </c>
      <c r="F401" s="0" t="inlineStr">
        <is>
          <t>NULL</t>
        </is>
      </c>
      <c r="G401" s="0" t="inlineStr">
        <is>
          <t>NULL</t>
        </is>
      </c>
      <c r="H401" s="0" t="inlineStr">
        <is>
          <t>NULL</t>
        </is>
      </c>
      <c r="I401" s="0" t="inlineStr">
        <is>
          <t>NULL</t>
        </is>
      </c>
      <c r="J401" s="0" t="inlineStr">
        <is>
          <t>NULL</t>
        </is>
      </c>
      <c r="K401" s="0" t="inlineStr">
        <is>
          <t>YES! 	 c_binary_20列源备映射正确，源端为sql_variant 0位	期望更改为sql_variant	实际备端为sql_variant 0位</t>
        </is>
      </c>
    </row>
    <row r="402">
      <c r="B402" s="0" t="inlineStr">
        <is>
          <t>NULL</t>
        </is>
      </c>
      <c r="C402" s="0" t="inlineStr">
        <is>
          <t>NULL</t>
        </is>
      </c>
      <c r="D402" s="0" t="inlineStr">
        <is>
          <t>NULL</t>
        </is>
      </c>
      <c r="E402" s="0" t="inlineStr">
        <is>
          <t>NULL</t>
        </is>
      </c>
      <c r="F402" s="0" t="inlineStr">
        <is>
          <t>NULL</t>
        </is>
      </c>
      <c r="G402" s="0" t="inlineStr">
        <is>
          <t>NULL</t>
        </is>
      </c>
      <c r="H402" s="0" t="inlineStr">
        <is>
          <t>NULL</t>
        </is>
      </c>
      <c r="I402" s="0" t="inlineStr">
        <is>
          <t>NULL</t>
        </is>
      </c>
      <c r="J402" s="0" t="inlineStr">
        <is>
          <t>NULL</t>
        </is>
      </c>
      <c r="K402" s="0" t="inlineStr">
        <is>
          <t>YES! 	 c_char_20列源备映射正确，源端为sql_variant 0位	期望更改为sql_variant	实际备端为sql_variant 0位</t>
        </is>
      </c>
    </row>
    <row r="403">
      <c r="B403" s="0" t="inlineStr">
        <is>
          <t>NULL</t>
        </is>
      </c>
      <c r="C403" s="0" t="inlineStr">
        <is>
          <t>NULL</t>
        </is>
      </c>
      <c r="D403" s="0" t="inlineStr">
        <is>
          <t>NULL</t>
        </is>
      </c>
      <c r="E403" s="0" t="inlineStr">
        <is>
          <t>NULL</t>
        </is>
      </c>
      <c r="F403" s="0" t="inlineStr">
        <is>
          <t>NULL</t>
        </is>
      </c>
      <c r="G403" s="0" t="inlineStr">
        <is>
          <t>NULL</t>
        </is>
      </c>
      <c r="H403" s="0" t="inlineStr">
        <is>
          <t>NULL</t>
        </is>
      </c>
      <c r="I403" s="0" t="inlineStr">
        <is>
          <t>NULL</t>
        </is>
      </c>
      <c r="J403" s="0" t="inlineStr">
        <is>
          <t>NULL</t>
        </is>
      </c>
      <c r="K403" s="0" t="inlineStr">
        <is>
          <t>YES! 	 c_nvarchar_20列源备映射正确，源端为sql_variant 0位	期望更改为sql_variant	实际备端为sql_variant 0位</t>
        </is>
      </c>
    </row>
    <row r="404">
      <c r="B404" s="0" t="inlineStr">
        <is>
          <t>NULL</t>
        </is>
      </c>
      <c r="C404" s="0" t="inlineStr">
        <is>
          <t>NULL</t>
        </is>
      </c>
      <c r="D404" s="0" t="inlineStr">
        <is>
          <t>NULL</t>
        </is>
      </c>
      <c r="E404" s="0" t="inlineStr">
        <is>
          <t>NULL</t>
        </is>
      </c>
      <c r="F404" s="0" t="inlineStr">
        <is>
          <t>NULL</t>
        </is>
      </c>
      <c r="G404" s="0" t="inlineStr">
        <is>
          <t>NULL</t>
        </is>
      </c>
      <c r="H404" s="0" t="inlineStr">
        <is>
          <t>NULL</t>
        </is>
      </c>
      <c r="I404" s="0" t="inlineStr">
        <is>
          <t>NULL</t>
        </is>
      </c>
      <c r="J404" s="0" t="inlineStr">
        <is>
          <t>NULL</t>
        </is>
      </c>
      <c r="K404" s="0" t="inlineStr">
        <is>
          <t>YES! 	 c_nchar_20列源备映射正确，源端为sql_variant 0位	期望更改为sql_variant	实际备端为sql_variant 0位</t>
        </is>
      </c>
    </row>
    <row r="405">
      <c r="B405" s="0" t="inlineStr">
        <is>
          <t>NULL</t>
        </is>
      </c>
      <c r="C405" s="0" t="inlineStr">
        <is>
          <t>NULL</t>
        </is>
      </c>
      <c r="D405" s="0" t="inlineStr">
        <is>
          <t>NULL</t>
        </is>
      </c>
      <c r="E405" s="0" t="inlineStr">
        <is>
          <t>NULL</t>
        </is>
      </c>
      <c r="F405" s="0" t="inlineStr">
        <is>
          <t>NULL</t>
        </is>
      </c>
      <c r="G405" s="0" t="inlineStr">
        <is>
          <t>NULL</t>
        </is>
      </c>
      <c r="H405" s="0" t="inlineStr">
        <is>
          <t>NULL</t>
        </is>
      </c>
      <c r="I405" s="0" t="inlineStr">
        <is>
          <t>NULL</t>
        </is>
      </c>
      <c r="J405" s="0" t="inlineStr">
        <is>
          <t>NULL</t>
        </is>
      </c>
      <c r="K405" s="0" t="inlineStr">
        <is>
          <t>YES! 	 c_timestamp列源备映射正确，源端为timestamp None位	期望更改为timestamp	实际备端为timestamp None位</t>
        </is>
      </c>
    </row>
    <row r="406">
      <c r="A406" s="0" t="inlineStr">
        <is>
          <t>info_nchar_dml_single_nopk_urp</t>
        </is>
      </c>
      <c r="K406" s="0" t="inlineStr">
        <is>
          <t>[0;34m info_nchar_dml_single_nopk_urp [0m源备字段数相同，源端字段：4 	备端字段4</t>
        </is>
      </c>
      <c r="W406" s="0" t="inlineStr">
        <is>
          <t>YES 源备无差异</t>
        </is>
      </c>
      <c r="X406" s="0">
        <f>A406</f>
        <v/>
      </c>
    </row>
    <row r="407">
      <c r="B407" s="0" t="inlineStr">
        <is>
          <t>NULL</t>
        </is>
      </c>
      <c r="C407" s="0" t="inlineStr">
        <is>
          <t>NULL</t>
        </is>
      </c>
      <c r="D407" s="0" t="inlineStr">
        <is>
          <t>NULL</t>
        </is>
      </c>
      <c r="E407" s="0" t="inlineStr">
        <is>
          <t>NULL</t>
        </is>
      </c>
      <c r="F407" s="0" t="inlineStr">
        <is>
          <t>NULL</t>
        </is>
      </c>
      <c r="G407" s="0" t="inlineStr">
        <is>
          <t>NULL</t>
        </is>
      </c>
      <c r="H407" s="0" t="inlineStr">
        <is>
          <t>NULL</t>
        </is>
      </c>
      <c r="I407" s="0" t="inlineStr">
        <is>
          <t>NULL</t>
        </is>
      </c>
      <c r="J407" s="0" t="inlineStr">
        <is>
          <t>NULL</t>
        </is>
      </c>
      <c r="K407" s="0" t="inlineStr">
        <is>
          <t>YES! 	 id列源备映射正确，源端为int None位	期望更改为int	实际备端为int None位</t>
        </is>
      </c>
    </row>
    <row r="408">
      <c r="B408" s="0" t="inlineStr">
        <is>
          <t>NULL</t>
        </is>
      </c>
      <c r="C408" s="0" t="inlineStr">
        <is>
          <t>NULL</t>
        </is>
      </c>
      <c r="D408" s="0" t="inlineStr">
        <is>
          <t>NULL</t>
        </is>
      </c>
      <c r="E408" s="0" t="inlineStr">
        <is>
          <t>NULL</t>
        </is>
      </c>
      <c r="F408" s="0" t="inlineStr">
        <is>
          <t>NULL</t>
        </is>
      </c>
      <c r="G408" s="0" t="inlineStr">
        <is>
          <t>NULL</t>
        </is>
      </c>
      <c r="H408" s="0" t="inlineStr">
        <is>
          <t>NULL</t>
        </is>
      </c>
      <c r="I408" s="0" t="inlineStr">
        <is>
          <t>NULL</t>
        </is>
      </c>
      <c r="J408" s="0" t="inlineStr">
        <is>
          <t>NULL</t>
        </is>
      </c>
      <c r="K408" s="0" t="inlineStr">
        <is>
          <t>YES! 	 c_nchar列源备映射正确，源端为nchar 2位	期望更改为nchar(n)	实际备端为nchar 2位</t>
        </is>
      </c>
    </row>
    <row r="409">
      <c r="B409" s="0" t="inlineStr">
        <is>
          <t>NULL</t>
        </is>
      </c>
      <c r="C409" s="0" t="inlineStr">
        <is>
          <t>NULL</t>
        </is>
      </c>
      <c r="D409" s="0" t="inlineStr">
        <is>
          <t>NULL</t>
        </is>
      </c>
      <c r="E409" s="0" t="inlineStr">
        <is>
          <t>NULL</t>
        </is>
      </c>
      <c r="F409" s="0" t="inlineStr">
        <is>
          <t>NULL</t>
        </is>
      </c>
      <c r="G409" s="0" t="inlineStr">
        <is>
          <t>NULL</t>
        </is>
      </c>
      <c r="H409" s="0" t="inlineStr">
        <is>
          <t>NULL</t>
        </is>
      </c>
      <c r="I409" s="0" t="inlineStr">
        <is>
          <t>NULL</t>
        </is>
      </c>
      <c r="J409" s="0" t="inlineStr">
        <is>
          <t>NULL</t>
        </is>
      </c>
      <c r="K409" s="0" t="inlineStr">
        <is>
          <t>YES! 	 c_nchar20列源备映射正确，源端为nchar 40位	期望更改为nchar(n)	实际备端为nchar 40位</t>
        </is>
      </c>
    </row>
    <row r="410">
      <c r="B410" s="0" t="inlineStr">
        <is>
          <t>NULL</t>
        </is>
      </c>
      <c r="C410" s="0" t="inlineStr">
        <is>
          <t>NULL</t>
        </is>
      </c>
      <c r="D410" s="0" t="inlineStr">
        <is>
          <t>NULL</t>
        </is>
      </c>
      <c r="E410" s="0" t="inlineStr">
        <is>
          <t>NULL</t>
        </is>
      </c>
      <c r="F410" s="0" t="inlineStr">
        <is>
          <t>NULL</t>
        </is>
      </c>
      <c r="G410" s="0" t="inlineStr">
        <is>
          <t>NULL</t>
        </is>
      </c>
      <c r="H410" s="0" t="inlineStr">
        <is>
          <t>NULL</t>
        </is>
      </c>
      <c r="I410" s="0" t="inlineStr">
        <is>
          <t>NULL</t>
        </is>
      </c>
      <c r="J410" s="0" t="inlineStr">
        <is>
          <t>NULL</t>
        </is>
      </c>
      <c r="K410" s="0" t="inlineStr">
        <is>
          <t>YES! 	 c_nchar3500列源备映射正确，源端为nchar 7000位	期望更改为nchar(n)	实际备端为nchar 7000位</t>
        </is>
      </c>
    </row>
    <row r="411">
      <c r="A411" s="0" t="inlineStr">
        <is>
          <t>info_nchar_dml_single_pk_urp</t>
        </is>
      </c>
      <c r="K411" s="0" t="inlineStr">
        <is>
          <t>[0;34m info_nchar_dml_single_pk_urp [0m源备字段数相同，源端字段：4 	备端字段4</t>
        </is>
      </c>
      <c r="W411" s="0" t="inlineStr">
        <is>
          <t>YES 源备无差异</t>
        </is>
      </c>
      <c r="X411" s="0">
        <f>A411</f>
        <v/>
      </c>
    </row>
    <row r="412">
      <c r="B412" s="0" t="inlineStr">
        <is>
          <t>YES</t>
        </is>
      </c>
      <c r="C412" s="0" t="inlineStr">
        <is>
          <t>NULL</t>
        </is>
      </c>
      <c r="D412" s="0" t="inlineStr">
        <is>
          <t>NULL</t>
        </is>
      </c>
      <c r="E412" s="0" t="inlineStr">
        <is>
          <t>NULL</t>
        </is>
      </c>
      <c r="F412" s="0" t="inlineStr">
        <is>
          <t>NULL</t>
        </is>
      </c>
      <c r="G412" s="0" t="inlineStr">
        <is>
          <t>NULL</t>
        </is>
      </c>
      <c r="H412" s="0" t="inlineStr">
        <is>
          <t>NULL</t>
        </is>
      </c>
      <c r="I412" s="0" t="inlineStr">
        <is>
          <t>YES!PK__info_nch__3213E83FF1080D2F</t>
        </is>
      </c>
      <c r="J412" s="0" t="inlineStr">
        <is>
          <t>YES! 主键相关索引</t>
        </is>
      </c>
      <c r="K412" s="0" t="inlineStr">
        <is>
          <t>YES! 	 id列源备映射正确，源端为int None位	期望更改为int	实际备端为int None位</t>
        </is>
      </c>
    </row>
    <row r="413">
      <c r="B413" s="0" t="inlineStr">
        <is>
          <t>NULL</t>
        </is>
      </c>
      <c r="C413" s="0" t="inlineStr">
        <is>
          <t>NULL</t>
        </is>
      </c>
      <c r="D413" s="0" t="inlineStr">
        <is>
          <t>NULL</t>
        </is>
      </c>
      <c r="E413" s="0" t="inlineStr">
        <is>
          <t>NULL</t>
        </is>
      </c>
      <c r="F413" s="0" t="inlineStr">
        <is>
          <t>NULL</t>
        </is>
      </c>
      <c r="G413" s="0" t="inlineStr">
        <is>
          <t>NULL</t>
        </is>
      </c>
      <c r="H413" s="0" t="inlineStr">
        <is>
          <t>NULL</t>
        </is>
      </c>
      <c r="I413" s="0" t="inlineStr">
        <is>
          <t>NULL</t>
        </is>
      </c>
      <c r="J413" s="0" t="inlineStr">
        <is>
          <t>NULL</t>
        </is>
      </c>
      <c r="K413" s="0" t="inlineStr">
        <is>
          <t>YES! 	 c_nchar列源备映射正确，源端为nchar 2位	期望更改为nchar(n)	实际备端为nchar 2位</t>
        </is>
      </c>
    </row>
    <row r="414">
      <c r="B414" s="0" t="inlineStr">
        <is>
          <t>NULL</t>
        </is>
      </c>
      <c r="C414" s="0" t="inlineStr">
        <is>
          <t>NULL</t>
        </is>
      </c>
      <c r="D414" s="0" t="inlineStr">
        <is>
          <t>NULL</t>
        </is>
      </c>
      <c r="E414" s="0" t="inlineStr">
        <is>
          <t>NULL</t>
        </is>
      </c>
      <c r="F414" s="0" t="inlineStr">
        <is>
          <t>NULL</t>
        </is>
      </c>
      <c r="G414" s="0" t="inlineStr">
        <is>
          <t>NULL</t>
        </is>
      </c>
      <c r="H414" s="0" t="inlineStr">
        <is>
          <t>NULL</t>
        </is>
      </c>
      <c r="I414" s="0" t="inlineStr">
        <is>
          <t>NULL</t>
        </is>
      </c>
      <c r="J414" s="0" t="inlineStr">
        <is>
          <t>NULL</t>
        </is>
      </c>
      <c r="K414" s="0" t="inlineStr">
        <is>
          <t>YES! 	 c_nchar20列源备映射正确，源端为nchar 40位	期望更改为nchar(n)	实际备端为nchar 40位</t>
        </is>
      </c>
    </row>
    <row r="415">
      <c r="B415" s="0" t="inlineStr">
        <is>
          <t>NULL</t>
        </is>
      </c>
      <c r="C415" s="0" t="inlineStr">
        <is>
          <t>NULL</t>
        </is>
      </c>
      <c r="D415" s="0" t="inlineStr">
        <is>
          <t>NULL</t>
        </is>
      </c>
      <c r="E415" s="0" t="inlineStr">
        <is>
          <t>NULL</t>
        </is>
      </c>
      <c r="F415" s="0" t="inlineStr">
        <is>
          <t>NULL</t>
        </is>
      </c>
      <c r="G415" s="0" t="inlineStr">
        <is>
          <t>NULL</t>
        </is>
      </c>
      <c r="H415" s="0" t="inlineStr">
        <is>
          <t>NULL</t>
        </is>
      </c>
      <c r="I415" s="0" t="inlineStr">
        <is>
          <t>NULL</t>
        </is>
      </c>
      <c r="J415" s="0" t="inlineStr">
        <is>
          <t>NULL</t>
        </is>
      </c>
      <c r="K415" s="0" t="inlineStr">
        <is>
          <t>YES! 	 c_nchar3500列源备映射正确，源端为nchar 7000位	期望更改为nchar(n)	实际备端为nchar 7000位</t>
        </is>
      </c>
    </row>
    <row r="416">
      <c r="A416" s="0" t="inlineStr">
        <is>
          <t>info_int_dml_single_nopk_irp</t>
        </is>
      </c>
      <c r="K416" s="0" t="inlineStr">
        <is>
          <t>[0;34m info_int_dml_single_nopk_irp [0m源备字段数相同，源端字段：20 	备端字段20</t>
        </is>
      </c>
      <c r="W416" s="0" t="inlineStr">
        <is>
          <t>YES 源备无差异</t>
        </is>
      </c>
      <c r="X416" s="0">
        <f>A416</f>
        <v/>
      </c>
    </row>
    <row r="417">
      <c r="B417" s="0" t="inlineStr">
        <is>
          <t>NULL</t>
        </is>
      </c>
      <c r="C417" s="0" t="inlineStr">
        <is>
          <t>NULL</t>
        </is>
      </c>
      <c r="D417" s="0" t="inlineStr">
        <is>
          <t>NULL</t>
        </is>
      </c>
      <c r="E417" s="0" t="inlineStr">
        <is>
          <t>NULL</t>
        </is>
      </c>
      <c r="F417" s="0" t="inlineStr">
        <is>
          <t>NULL</t>
        </is>
      </c>
      <c r="G417" s="0" t="inlineStr">
        <is>
          <t>NULL</t>
        </is>
      </c>
      <c r="H417" s="0" t="inlineStr">
        <is>
          <t>NULL</t>
        </is>
      </c>
      <c r="I417" s="0" t="inlineStr">
        <is>
          <t>NULL</t>
        </is>
      </c>
      <c r="J417" s="0" t="inlineStr">
        <is>
          <t>NULL</t>
        </is>
      </c>
      <c r="K417" s="0" t="inlineStr">
        <is>
          <t>YES! 	 id列源备映射正确，源端为int None位	期望更改为int	实际备端为int None位</t>
        </is>
      </c>
    </row>
    <row r="418">
      <c r="B418" s="0" t="inlineStr">
        <is>
          <t>NULL</t>
        </is>
      </c>
      <c r="C418" s="0" t="inlineStr">
        <is>
          <t>NULL</t>
        </is>
      </c>
      <c r="D418" s="0" t="inlineStr">
        <is>
          <t>NULL</t>
        </is>
      </c>
      <c r="E418" s="0" t="inlineStr">
        <is>
          <t>NULL</t>
        </is>
      </c>
      <c r="F418" s="0" t="inlineStr">
        <is>
          <t>NULL</t>
        </is>
      </c>
      <c r="G418" s="0" t="inlineStr">
        <is>
          <t>NULL</t>
        </is>
      </c>
      <c r="H418" s="0" t="inlineStr">
        <is>
          <t>NULL</t>
        </is>
      </c>
      <c r="I418" s="0" t="inlineStr">
        <is>
          <t>NULL</t>
        </is>
      </c>
      <c r="J418" s="0" t="inlineStr">
        <is>
          <t>NULL</t>
        </is>
      </c>
      <c r="K418" s="0" t="inlineStr">
        <is>
          <t>YES! 	 c_tinyint列源备映射正确，源端为tinyint None位	期望更改为tinyint	实际备端为tinyint None位</t>
        </is>
      </c>
    </row>
    <row r="419">
      <c r="B419" s="0" t="inlineStr">
        <is>
          <t>NULL</t>
        </is>
      </c>
      <c r="C419" s="0" t="inlineStr">
        <is>
          <t>NULL</t>
        </is>
      </c>
      <c r="D419" s="0" t="inlineStr">
        <is>
          <t>NULL</t>
        </is>
      </c>
      <c r="E419" s="0" t="inlineStr">
        <is>
          <t>NULL</t>
        </is>
      </c>
      <c r="F419" s="0" t="inlineStr">
        <is>
          <t>NULL</t>
        </is>
      </c>
      <c r="G419" s="0" t="inlineStr">
        <is>
          <t>NULL</t>
        </is>
      </c>
      <c r="H419" s="0" t="inlineStr">
        <is>
          <t>NULL</t>
        </is>
      </c>
      <c r="I419" s="0" t="inlineStr">
        <is>
          <t>NULL</t>
        </is>
      </c>
      <c r="J419" s="0" t="inlineStr">
        <is>
          <t>NULL</t>
        </is>
      </c>
      <c r="K419" s="0" t="inlineStr">
        <is>
          <t>YES! 	 c_smallint列源备映射正确，源端为smallint None位	期望更改为smallint	实际备端为smallint None位</t>
        </is>
      </c>
    </row>
    <row r="420">
      <c r="B420" s="0" t="inlineStr">
        <is>
          <t>NULL</t>
        </is>
      </c>
      <c r="C420" s="0" t="inlineStr">
        <is>
          <t>NULL</t>
        </is>
      </c>
      <c r="D420" s="0" t="inlineStr">
        <is>
          <t>NULL</t>
        </is>
      </c>
      <c r="E420" s="0" t="inlineStr">
        <is>
          <t>NULL</t>
        </is>
      </c>
      <c r="F420" s="0" t="inlineStr">
        <is>
          <t>NULL</t>
        </is>
      </c>
      <c r="G420" s="0" t="inlineStr">
        <is>
          <t>NULL</t>
        </is>
      </c>
      <c r="H420" s="0" t="inlineStr">
        <is>
          <t>NULL</t>
        </is>
      </c>
      <c r="I420" s="0" t="inlineStr">
        <is>
          <t>NULL</t>
        </is>
      </c>
      <c r="J420" s="0" t="inlineStr">
        <is>
          <t>NULL</t>
        </is>
      </c>
      <c r="K420" s="0" t="inlineStr">
        <is>
          <t>YES! 	 c_int列源备映射正确，源端为int None位	期望更改为int	实际备端为int None位</t>
        </is>
      </c>
    </row>
    <row r="421">
      <c r="B421" s="0" t="inlineStr">
        <is>
          <t>NULL</t>
        </is>
      </c>
      <c r="C421" s="0" t="inlineStr">
        <is>
          <t>NULL</t>
        </is>
      </c>
      <c r="D421" s="0" t="inlineStr">
        <is>
          <t>NULL</t>
        </is>
      </c>
      <c r="E421" s="0" t="inlineStr">
        <is>
          <t>NULL</t>
        </is>
      </c>
      <c r="F421" s="0" t="inlineStr">
        <is>
          <t>NULL</t>
        </is>
      </c>
      <c r="G421" s="0" t="inlineStr">
        <is>
          <t>NULL</t>
        </is>
      </c>
      <c r="H421" s="0" t="inlineStr">
        <is>
          <t>NULL</t>
        </is>
      </c>
      <c r="I421" s="0" t="inlineStr">
        <is>
          <t>NULL</t>
        </is>
      </c>
      <c r="J421" s="0" t="inlineStr">
        <is>
          <t>NULL</t>
        </is>
      </c>
      <c r="K421" s="0" t="inlineStr">
        <is>
          <t>YES! 	 c_bigint列源备映射正确，源端为bigint None位	期望更改为bigint	实际备端为bigint None位</t>
        </is>
      </c>
    </row>
    <row r="422">
      <c r="B422" s="0" t="inlineStr">
        <is>
          <t>NULL</t>
        </is>
      </c>
      <c r="C422" s="0" t="inlineStr">
        <is>
          <t>NULL</t>
        </is>
      </c>
      <c r="D422" s="0" t="inlineStr">
        <is>
          <t>NULL</t>
        </is>
      </c>
      <c r="E422" s="0" t="inlineStr">
        <is>
          <t>NULL</t>
        </is>
      </c>
      <c r="F422" s="0" t="inlineStr">
        <is>
          <t>NULL</t>
        </is>
      </c>
      <c r="G422" s="0" t="inlineStr">
        <is>
          <t>NULL</t>
        </is>
      </c>
      <c r="H422" s="0" t="inlineStr">
        <is>
          <t>NULL</t>
        </is>
      </c>
      <c r="I422" s="0" t="inlineStr">
        <is>
          <t>NULL</t>
        </is>
      </c>
      <c r="J422" s="0" t="inlineStr">
        <is>
          <t>NULL</t>
        </is>
      </c>
      <c r="K422" s="0" t="inlineStr">
        <is>
          <t>YES! 	 c_decimal列源备映射正确，源端为decimal None位	期望更改为decimal(p,s)	实际备端为decimal None位</t>
        </is>
      </c>
    </row>
    <row r="423">
      <c r="B423" s="0" t="inlineStr">
        <is>
          <t>NULL</t>
        </is>
      </c>
      <c r="C423" s="0" t="inlineStr">
        <is>
          <t>NULL</t>
        </is>
      </c>
      <c r="D423" s="0" t="inlineStr">
        <is>
          <t>NULL</t>
        </is>
      </c>
      <c r="E423" s="0" t="inlineStr">
        <is>
          <t>NULL</t>
        </is>
      </c>
      <c r="F423" s="0" t="inlineStr">
        <is>
          <t>NULL</t>
        </is>
      </c>
      <c r="G423" s="0" t="inlineStr">
        <is>
          <t>NULL</t>
        </is>
      </c>
      <c r="H423" s="0" t="inlineStr">
        <is>
          <t>NULL</t>
        </is>
      </c>
      <c r="I423" s="0" t="inlineStr">
        <is>
          <t>NULL</t>
        </is>
      </c>
      <c r="J423" s="0" t="inlineStr">
        <is>
          <t>NULL</t>
        </is>
      </c>
      <c r="K423" s="0" t="inlineStr">
        <is>
          <t>YES! 	 c_decimal38列源备映射正确，源端为decimal None位	期望更改为decimal(p,s)	实际备端为decimal None位</t>
        </is>
      </c>
    </row>
    <row r="424">
      <c r="B424" s="0" t="inlineStr">
        <is>
          <t>NULL</t>
        </is>
      </c>
      <c r="C424" s="0" t="inlineStr">
        <is>
          <t>NULL</t>
        </is>
      </c>
      <c r="D424" s="0" t="inlineStr">
        <is>
          <t>NULL</t>
        </is>
      </c>
      <c r="E424" s="0" t="inlineStr">
        <is>
          <t>NULL</t>
        </is>
      </c>
      <c r="F424" s="0" t="inlineStr">
        <is>
          <t>NULL</t>
        </is>
      </c>
      <c r="G424" s="0" t="inlineStr">
        <is>
          <t>NULL</t>
        </is>
      </c>
      <c r="H424" s="0" t="inlineStr">
        <is>
          <t>NULL</t>
        </is>
      </c>
      <c r="I424" s="0" t="inlineStr">
        <is>
          <t>NULL</t>
        </is>
      </c>
      <c r="J424" s="0" t="inlineStr">
        <is>
          <t>NULL</t>
        </is>
      </c>
      <c r="K424" s="0" t="inlineStr">
        <is>
          <t>YES! 	 c_decimal38_38列源备映射正确，源端为decimal None位	期望更改为decimal(p,s)	实际备端为decimal None位</t>
        </is>
      </c>
    </row>
    <row r="425">
      <c r="B425" s="0" t="inlineStr">
        <is>
          <t>NULL</t>
        </is>
      </c>
      <c r="C425" s="0" t="inlineStr">
        <is>
          <t>NULL</t>
        </is>
      </c>
      <c r="D425" s="0" t="inlineStr">
        <is>
          <t>NULL</t>
        </is>
      </c>
      <c r="E425" s="0" t="inlineStr">
        <is>
          <t>NULL</t>
        </is>
      </c>
      <c r="F425" s="0" t="inlineStr">
        <is>
          <t>NULL</t>
        </is>
      </c>
      <c r="G425" s="0" t="inlineStr">
        <is>
          <t>NULL</t>
        </is>
      </c>
      <c r="H425" s="0" t="inlineStr">
        <is>
          <t>NULL</t>
        </is>
      </c>
      <c r="I425" s="0" t="inlineStr">
        <is>
          <t>NULL</t>
        </is>
      </c>
      <c r="J425" s="0" t="inlineStr">
        <is>
          <t>NULL</t>
        </is>
      </c>
      <c r="K425" s="0" t="inlineStr">
        <is>
          <t>YES! 	 c_decimal38_10列源备映射正确，源端为decimal None位	期望更改为decimal(p,s)	实际备端为decimal None位</t>
        </is>
      </c>
    </row>
    <row r="426">
      <c r="B426" s="0" t="inlineStr">
        <is>
          <t>NULL</t>
        </is>
      </c>
      <c r="C426" s="0" t="inlineStr">
        <is>
          <t>NULL</t>
        </is>
      </c>
      <c r="D426" s="0" t="inlineStr">
        <is>
          <t>NULL</t>
        </is>
      </c>
      <c r="E426" s="0" t="inlineStr">
        <is>
          <t>NULL</t>
        </is>
      </c>
      <c r="F426" s="0" t="inlineStr">
        <is>
          <t>NULL</t>
        </is>
      </c>
      <c r="G426" s="0" t="inlineStr">
        <is>
          <t>NULL</t>
        </is>
      </c>
      <c r="H426" s="0" t="inlineStr">
        <is>
          <t>NULL</t>
        </is>
      </c>
      <c r="I426" s="0" t="inlineStr">
        <is>
          <t>NULL</t>
        </is>
      </c>
      <c r="J426" s="0" t="inlineStr">
        <is>
          <t>NULL</t>
        </is>
      </c>
      <c r="K426" s="0" t="inlineStr">
        <is>
          <t>YES! 	 c_decimal19_4列源备映射正确，源端为decimal None位	期望更改为decimal(p,s)	实际备端为decimal None位</t>
        </is>
      </c>
    </row>
    <row r="427">
      <c r="B427" s="0" t="inlineStr">
        <is>
          <t>NULL</t>
        </is>
      </c>
      <c r="C427" s="0" t="inlineStr">
        <is>
          <t>NULL</t>
        </is>
      </c>
      <c r="D427" s="0" t="inlineStr">
        <is>
          <t>NULL</t>
        </is>
      </c>
      <c r="E427" s="0" t="inlineStr">
        <is>
          <t>NULL</t>
        </is>
      </c>
      <c r="F427" s="0" t="inlineStr">
        <is>
          <t>NULL</t>
        </is>
      </c>
      <c r="G427" s="0" t="inlineStr">
        <is>
          <t>NULL</t>
        </is>
      </c>
      <c r="H427" s="0" t="inlineStr">
        <is>
          <t>NULL</t>
        </is>
      </c>
      <c r="I427" s="0" t="inlineStr">
        <is>
          <t>NULL</t>
        </is>
      </c>
      <c r="J427" s="0" t="inlineStr">
        <is>
          <t>NULL</t>
        </is>
      </c>
      <c r="K427" s="0" t="inlineStr">
        <is>
          <t>YES! 	 c_numeric列源备映射正确，源端为numeric None位	期望更改为numeric(p,s)	实际备端为numeric None位</t>
        </is>
      </c>
    </row>
    <row r="428">
      <c r="B428" s="0" t="inlineStr">
        <is>
          <t>NULL</t>
        </is>
      </c>
      <c r="C428" s="0" t="inlineStr">
        <is>
          <t>NULL</t>
        </is>
      </c>
      <c r="D428" s="0" t="inlineStr">
        <is>
          <t>NULL</t>
        </is>
      </c>
      <c r="E428" s="0" t="inlineStr">
        <is>
          <t>NULL</t>
        </is>
      </c>
      <c r="F428" s="0" t="inlineStr">
        <is>
          <t>NULL</t>
        </is>
      </c>
      <c r="G428" s="0" t="inlineStr">
        <is>
          <t>NULL</t>
        </is>
      </c>
      <c r="H428" s="0" t="inlineStr">
        <is>
          <t>NULL</t>
        </is>
      </c>
      <c r="I428" s="0" t="inlineStr">
        <is>
          <t>NULL</t>
        </is>
      </c>
      <c r="J428" s="0" t="inlineStr">
        <is>
          <t>NULL</t>
        </is>
      </c>
      <c r="K428" s="0" t="inlineStr">
        <is>
          <t>YES! 	 c_numeric38列源备映射正确，源端为numeric None位	期望更改为numeric(p,s)	实际备端为numeric None位</t>
        </is>
      </c>
    </row>
    <row r="429">
      <c r="B429" s="0" t="inlineStr">
        <is>
          <t>NULL</t>
        </is>
      </c>
      <c r="C429" s="0" t="inlineStr">
        <is>
          <t>NULL</t>
        </is>
      </c>
      <c r="D429" s="0" t="inlineStr">
        <is>
          <t>NULL</t>
        </is>
      </c>
      <c r="E429" s="0" t="inlineStr">
        <is>
          <t>NULL</t>
        </is>
      </c>
      <c r="F429" s="0" t="inlineStr">
        <is>
          <t>NULL</t>
        </is>
      </c>
      <c r="G429" s="0" t="inlineStr">
        <is>
          <t>NULL</t>
        </is>
      </c>
      <c r="H429" s="0" t="inlineStr">
        <is>
          <t>NULL</t>
        </is>
      </c>
      <c r="I429" s="0" t="inlineStr">
        <is>
          <t>NULL</t>
        </is>
      </c>
      <c r="J429" s="0" t="inlineStr">
        <is>
          <t>NULL</t>
        </is>
      </c>
      <c r="K429" s="0" t="inlineStr">
        <is>
          <t>YES! 	 c_numeric38_38列源备映射正确，源端为numeric None位	期望更改为numeric(p,s)	实际备端为numeric None位</t>
        </is>
      </c>
    </row>
    <row r="430">
      <c r="B430" s="0" t="inlineStr">
        <is>
          <t>NULL</t>
        </is>
      </c>
      <c r="C430" s="0" t="inlineStr">
        <is>
          <t>NULL</t>
        </is>
      </c>
      <c r="D430" s="0" t="inlineStr">
        <is>
          <t>NULL</t>
        </is>
      </c>
      <c r="E430" s="0" t="inlineStr">
        <is>
          <t>NULL</t>
        </is>
      </c>
      <c r="F430" s="0" t="inlineStr">
        <is>
          <t>NULL</t>
        </is>
      </c>
      <c r="G430" s="0" t="inlineStr">
        <is>
          <t>NULL</t>
        </is>
      </c>
      <c r="H430" s="0" t="inlineStr">
        <is>
          <t>NULL</t>
        </is>
      </c>
      <c r="I430" s="0" t="inlineStr">
        <is>
          <t>NULL</t>
        </is>
      </c>
      <c r="J430" s="0" t="inlineStr">
        <is>
          <t>NULL</t>
        </is>
      </c>
      <c r="K430" s="0" t="inlineStr">
        <is>
          <t>YES! 	 c_numeric38_10列源备映射正确，源端为numeric None位	期望更改为numeric(p,s)	实际备端为numeric None位</t>
        </is>
      </c>
    </row>
    <row r="431">
      <c r="B431" s="0" t="inlineStr">
        <is>
          <t>NULL</t>
        </is>
      </c>
      <c r="C431" s="0" t="inlineStr">
        <is>
          <t>NULL</t>
        </is>
      </c>
      <c r="D431" s="0" t="inlineStr">
        <is>
          <t>NULL</t>
        </is>
      </c>
      <c r="E431" s="0" t="inlineStr">
        <is>
          <t>NULL</t>
        </is>
      </c>
      <c r="F431" s="0" t="inlineStr">
        <is>
          <t>NULL</t>
        </is>
      </c>
      <c r="G431" s="0" t="inlineStr">
        <is>
          <t>NULL</t>
        </is>
      </c>
      <c r="H431" s="0" t="inlineStr">
        <is>
          <t>NULL</t>
        </is>
      </c>
      <c r="I431" s="0" t="inlineStr">
        <is>
          <t>NULL</t>
        </is>
      </c>
      <c r="J431" s="0" t="inlineStr">
        <is>
          <t>NULL</t>
        </is>
      </c>
      <c r="K431" s="0" t="inlineStr">
        <is>
          <t>YES! 	 c_numeric18_2列源备映射正确，源端为numeric None位	期望更改为numeric(p,s)	实际备端为numeric None位</t>
        </is>
      </c>
    </row>
    <row r="432">
      <c r="B432" s="0" t="inlineStr">
        <is>
          <t>NULL</t>
        </is>
      </c>
      <c r="C432" s="0" t="inlineStr">
        <is>
          <t>NULL</t>
        </is>
      </c>
      <c r="D432" s="0" t="inlineStr">
        <is>
          <t>NULL</t>
        </is>
      </c>
      <c r="E432" s="0" t="inlineStr">
        <is>
          <t>NULL</t>
        </is>
      </c>
      <c r="F432" s="0" t="inlineStr">
        <is>
          <t>NULL</t>
        </is>
      </c>
      <c r="G432" s="0" t="inlineStr">
        <is>
          <t>NULL</t>
        </is>
      </c>
      <c r="H432" s="0" t="inlineStr">
        <is>
          <t>NULL</t>
        </is>
      </c>
      <c r="I432" s="0" t="inlineStr">
        <is>
          <t>NULL</t>
        </is>
      </c>
      <c r="J432" s="0" t="inlineStr">
        <is>
          <t>NULL</t>
        </is>
      </c>
      <c r="K432" s="0" t="inlineStr">
        <is>
          <t>YES! 	 c_float列源备映射正确，源端为float None位	期望更改为float	实际备端为float None位</t>
        </is>
      </c>
    </row>
    <row r="433">
      <c r="B433" s="0" t="inlineStr">
        <is>
          <t>NULL</t>
        </is>
      </c>
      <c r="C433" s="0" t="inlineStr">
        <is>
          <t>NULL</t>
        </is>
      </c>
      <c r="D433" s="0" t="inlineStr">
        <is>
          <t>NULL</t>
        </is>
      </c>
      <c r="E433" s="0" t="inlineStr">
        <is>
          <t>NULL</t>
        </is>
      </c>
      <c r="F433" s="0" t="inlineStr">
        <is>
          <t>NULL</t>
        </is>
      </c>
      <c r="G433" s="0" t="inlineStr">
        <is>
          <t>NULL</t>
        </is>
      </c>
      <c r="H433" s="0" t="inlineStr">
        <is>
          <t>NULL</t>
        </is>
      </c>
      <c r="I433" s="0" t="inlineStr">
        <is>
          <t>NULL</t>
        </is>
      </c>
      <c r="J433" s="0" t="inlineStr">
        <is>
          <t>NULL</t>
        </is>
      </c>
      <c r="K433" s="0" t="inlineStr">
        <is>
          <t>YES! 	 c_real列源备映射正确，源端为real None位	期望更改为real	实际备端为real None位</t>
        </is>
      </c>
    </row>
    <row r="434">
      <c r="B434" s="0" t="inlineStr">
        <is>
          <t>NULL</t>
        </is>
      </c>
      <c r="C434" s="0" t="inlineStr">
        <is>
          <t>NULL</t>
        </is>
      </c>
      <c r="D434" s="0" t="inlineStr">
        <is>
          <t>NULL</t>
        </is>
      </c>
      <c r="E434" s="0" t="inlineStr">
        <is>
          <t>NULL</t>
        </is>
      </c>
      <c r="F434" s="0" t="inlineStr">
        <is>
          <t>NULL</t>
        </is>
      </c>
      <c r="G434" s="0" t="inlineStr">
        <is>
          <t>NULL</t>
        </is>
      </c>
      <c r="H434" s="0" t="inlineStr">
        <is>
          <t>NULL</t>
        </is>
      </c>
      <c r="I434" s="0" t="inlineStr">
        <is>
          <t>NULL</t>
        </is>
      </c>
      <c r="J434" s="0" t="inlineStr">
        <is>
          <t>NULL</t>
        </is>
      </c>
      <c r="K434" s="0" t="inlineStr">
        <is>
          <t>YES! 	 c_money列源备映射正确，源端为money None位	期望更改为money	实际备端为money None位</t>
        </is>
      </c>
    </row>
    <row r="435">
      <c r="B435" s="0" t="inlineStr">
        <is>
          <t>NULL</t>
        </is>
      </c>
      <c r="C435" s="0" t="inlineStr">
        <is>
          <t>NULL</t>
        </is>
      </c>
      <c r="D435" s="0" t="inlineStr">
        <is>
          <t>NULL</t>
        </is>
      </c>
      <c r="E435" s="0" t="inlineStr">
        <is>
          <t>NULL</t>
        </is>
      </c>
      <c r="F435" s="0" t="inlineStr">
        <is>
          <t>NULL</t>
        </is>
      </c>
      <c r="G435" s="0" t="inlineStr">
        <is>
          <t>NULL</t>
        </is>
      </c>
      <c r="H435" s="0" t="inlineStr">
        <is>
          <t>NULL</t>
        </is>
      </c>
      <c r="I435" s="0" t="inlineStr">
        <is>
          <t>NULL</t>
        </is>
      </c>
      <c r="J435" s="0" t="inlineStr">
        <is>
          <t>NULL</t>
        </is>
      </c>
      <c r="K435" s="0" t="inlineStr">
        <is>
          <t>YES! 	 c_smallmoney列源备映射正确，源端为smallmoney None位	期望更改为smallmoney	实际备端为smallmoney None位</t>
        </is>
      </c>
    </row>
    <row r="436">
      <c r="B436" s="0" t="inlineStr">
        <is>
          <t>NULL</t>
        </is>
      </c>
      <c r="C436" s="0" t="inlineStr">
        <is>
          <t>NULL</t>
        </is>
      </c>
      <c r="D436" s="0" t="inlineStr">
        <is>
          <t>NULL</t>
        </is>
      </c>
      <c r="E436" s="0" t="inlineStr">
        <is>
          <t>NULL</t>
        </is>
      </c>
      <c r="F436" s="0" t="inlineStr">
        <is>
          <t>NULL</t>
        </is>
      </c>
      <c r="G436" s="0" t="inlineStr">
        <is>
          <t>NULL</t>
        </is>
      </c>
      <c r="H436" s="0" t="inlineStr">
        <is>
          <t>NULL</t>
        </is>
      </c>
      <c r="I436" s="0" t="inlineStr">
        <is>
          <t>NULL</t>
        </is>
      </c>
      <c r="J436" s="0" t="inlineStr">
        <is>
          <t>NULL</t>
        </is>
      </c>
      <c r="K436" s="0" t="inlineStr">
        <is>
          <t>YES! 	 c_bit列源备映射正确，源端为bit None位	期望更改为bit	实际备端为bit None位</t>
        </is>
      </c>
    </row>
    <row r="437">
      <c r="A437" s="0" t="inlineStr">
        <is>
          <t>info_nchar_dml_single_pk_irp</t>
        </is>
      </c>
      <c r="K437" s="0" t="inlineStr">
        <is>
          <t>[0;34m info_nchar_dml_single_pk_irp [0m源备字段数相同，源端字段：4 	备端字段4</t>
        </is>
      </c>
      <c r="W437" s="0" t="inlineStr">
        <is>
          <t>YES 源备无差异</t>
        </is>
      </c>
      <c r="X437" s="0">
        <f>A437</f>
        <v/>
      </c>
    </row>
    <row r="438">
      <c r="B438" s="0" t="inlineStr">
        <is>
          <t>YES</t>
        </is>
      </c>
      <c r="C438" s="0" t="inlineStr">
        <is>
          <t>NULL</t>
        </is>
      </c>
      <c r="D438" s="0" t="inlineStr">
        <is>
          <t>NULL</t>
        </is>
      </c>
      <c r="E438" s="0" t="inlineStr">
        <is>
          <t>NULL</t>
        </is>
      </c>
      <c r="F438" s="0" t="inlineStr">
        <is>
          <t>NULL</t>
        </is>
      </c>
      <c r="G438" s="0" t="inlineStr">
        <is>
          <t>NULL</t>
        </is>
      </c>
      <c r="H438" s="0" t="inlineStr">
        <is>
          <t>NULL</t>
        </is>
      </c>
      <c r="I438" s="0" t="inlineStr">
        <is>
          <t>YES!PK__info_nch__3213E83F5EB3C382</t>
        </is>
      </c>
      <c r="J438" s="0" t="inlineStr">
        <is>
          <t>YES! 主键相关索引</t>
        </is>
      </c>
      <c r="K438" s="0" t="inlineStr">
        <is>
          <t>YES! 	 id列源备映射正确，源端为int None位	期望更改为int	实际备端为int None位</t>
        </is>
      </c>
    </row>
    <row r="439">
      <c r="B439" s="0" t="inlineStr">
        <is>
          <t>NULL</t>
        </is>
      </c>
      <c r="C439" s="0" t="inlineStr">
        <is>
          <t>NULL</t>
        </is>
      </c>
      <c r="D439" s="0" t="inlineStr">
        <is>
          <t>NULL</t>
        </is>
      </c>
      <c r="E439" s="0" t="inlineStr">
        <is>
          <t>NULL</t>
        </is>
      </c>
      <c r="F439" s="0" t="inlineStr">
        <is>
          <t>NULL</t>
        </is>
      </c>
      <c r="G439" s="0" t="inlineStr">
        <is>
          <t>NULL</t>
        </is>
      </c>
      <c r="H439" s="0" t="inlineStr">
        <is>
          <t>NULL</t>
        </is>
      </c>
      <c r="I439" s="0" t="inlineStr">
        <is>
          <t>NULL</t>
        </is>
      </c>
      <c r="J439" s="0" t="inlineStr">
        <is>
          <t>NULL</t>
        </is>
      </c>
      <c r="K439" s="0" t="inlineStr">
        <is>
          <t>YES! 	 c_nchar列源备映射正确，源端为nchar 2位	期望更改为nchar(n)	实际备端为nchar 2位</t>
        </is>
      </c>
    </row>
    <row r="440">
      <c r="B440" s="0" t="inlineStr">
        <is>
          <t>NULL</t>
        </is>
      </c>
      <c r="C440" s="0" t="inlineStr">
        <is>
          <t>NULL</t>
        </is>
      </c>
      <c r="D440" s="0" t="inlineStr">
        <is>
          <t>NULL</t>
        </is>
      </c>
      <c r="E440" s="0" t="inlineStr">
        <is>
          <t>NULL</t>
        </is>
      </c>
      <c r="F440" s="0" t="inlineStr">
        <is>
          <t>NULL</t>
        </is>
      </c>
      <c r="G440" s="0" t="inlineStr">
        <is>
          <t>NULL</t>
        </is>
      </c>
      <c r="H440" s="0" t="inlineStr">
        <is>
          <t>NULL</t>
        </is>
      </c>
      <c r="I440" s="0" t="inlineStr">
        <is>
          <t>NULL</t>
        </is>
      </c>
      <c r="J440" s="0" t="inlineStr">
        <is>
          <t>NULL</t>
        </is>
      </c>
      <c r="K440" s="0" t="inlineStr">
        <is>
          <t>YES! 	 c_nchar20列源备映射正确，源端为nchar 40位	期望更改为nchar(n)	实际备端为nchar 40位</t>
        </is>
      </c>
    </row>
    <row r="441">
      <c r="B441" s="0" t="inlineStr">
        <is>
          <t>NULL</t>
        </is>
      </c>
      <c r="C441" s="0" t="inlineStr">
        <is>
          <t>NULL</t>
        </is>
      </c>
      <c r="D441" s="0" t="inlineStr">
        <is>
          <t>NULL</t>
        </is>
      </c>
      <c r="E441" s="0" t="inlineStr">
        <is>
          <t>NULL</t>
        </is>
      </c>
      <c r="F441" s="0" t="inlineStr">
        <is>
          <t>NULL</t>
        </is>
      </c>
      <c r="G441" s="0" t="inlineStr">
        <is>
          <t>NULL</t>
        </is>
      </c>
      <c r="H441" s="0" t="inlineStr">
        <is>
          <t>NULL</t>
        </is>
      </c>
      <c r="I441" s="0" t="inlineStr">
        <is>
          <t>NULL</t>
        </is>
      </c>
      <c r="J441" s="0" t="inlineStr">
        <is>
          <t>NULL</t>
        </is>
      </c>
      <c r="K441" s="0" t="inlineStr">
        <is>
          <t>YES! 	 c_nchar4000列源备映射正确，源端为nchar 8000位	期望更改为nchar(n)	实际备端为nchar 8000位</t>
        </is>
      </c>
    </row>
    <row r="442">
      <c r="A442" s="0" t="inlineStr">
        <is>
          <t>info_sdt_dml_batch1_pk_drp1</t>
        </is>
      </c>
      <c r="K442" s="0" t="inlineStr">
        <is>
          <t>[0;34m info_sdt_dml_batch1_pk_drp1 [0m源备字段数相同，源端字段：2 	备端字段2</t>
        </is>
      </c>
      <c r="W442" s="0" t="inlineStr">
        <is>
          <t>YES 源备无差异</t>
        </is>
      </c>
      <c r="X442" s="0">
        <f>A442</f>
        <v/>
      </c>
    </row>
    <row r="443">
      <c r="B443" s="0" t="inlineStr">
        <is>
          <t>YES</t>
        </is>
      </c>
      <c r="C443" s="0" t="inlineStr">
        <is>
          <t>NULL</t>
        </is>
      </c>
      <c r="D443" s="0" t="inlineStr">
        <is>
          <t>NULL</t>
        </is>
      </c>
      <c r="E443" s="0" t="inlineStr">
        <is>
          <t>NULL</t>
        </is>
      </c>
      <c r="F443" s="0" t="inlineStr">
        <is>
          <t>NULL</t>
        </is>
      </c>
      <c r="G443" s="0" t="inlineStr">
        <is>
          <t>NULL</t>
        </is>
      </c>
      <c r="H443" s="0" t="inlineStr">
        <is>
          <t>NULL</t>
        </is>
      </c>
      <c r="I443" s="0" t="inlineStr">
        <is>
          <t>YES!PK__info_sdt__3213E83F8E7E5405</t>
        </is>
      </c>
      <c r="J443" s="0" t="inlineStr">
        <is>
          <t>YES! 主键相关索引</t>
        </is>
      </c>
      <c r="K443" s="0" t="inlineStr">
        <is>
          <t>YES! 	 id列源备映射正确，源端为int None位	期望更改为int	实际备端为int None位</t>
        </is>
      </c>
    </row>
    <row r="444">
      <c r="B444" s="0" t="inlineStr">
        <is>
          <t>NULL</t>
        </is>
      </c>
      <c r="C444" s="0" t="inlineStr">
        <is>
          <t>NULL</t>
        </is>
      </c>
      <c r="D444" s="0" t="inlineStr">
        <is>
          <t>NULL</t>
        </is>
      </c>
      <c r="E444" s="0" t="inlineStr">
        <is>
          <t>NULL</t>
        </is>
      </c>
      <c r="F444" s="0" t="inlineStr">
        <is>
          <t>NULL</t>
        </is>
      </c>
      <c r="G444" s="0" t="inlineStr">
        <is>
          <t>NULL</t>
        </is>
      </c>
      <c r="H444" s="0" t="inlineStr">
        <is>
          <t>NULL</t>
        </is>
      </c>
      <c r="I444" s="0" t="inlineStr">
        <is>
          <t>NULL</t>
        </is>
      </c>
      <c r="J444" s="0" t="inlineStr">
        <is>
          <t>NULL</t>
        </is>
      </c>
      <c r="K444" s="0" t="inlineStr">
        <is>
          <t>YES! 	 c_sdt列源备映射正确，源端为smalldatetime None位	期望更改为smalldatetime	实际备端为smalldatetime None位</t>
        </is>
      </c>
    </row>
    <row r="445">
      <c r="K445" s="0" t="inlineStr">
        <is>
          <t>~ 空表</t>
        </is>
      </c>
    </row>
    <row r="446">
      <c r="A446" s="0" t="inlineStr">
        <is>
          <t>info_varchar_dml_batch1_pk_irp2</t>
        </is>
      </c>
      <c r="K446" s="0" t="inlineStr">
        <is>
          <t>[0;34m info_varchar_dml_batch1_pk_irp2 [0m源备字段数相同，源端字段：4 	备端字段4</t>
        </is>
      </c>
      <c r="W446" s="0" t="inlineStr">
        <is>
          <t>YES 源备无差异</t>
        </is>
      </c>
      <c r="X446" s="0">
        <f>A446</f>
        <v/>
      </c>
    </row>
    <row r="447">
      <c r="B447" s="0" t="inlineStr">
        <is>
          <t>YES</t>
        </is>
      </c>
      <c r="C447" s="0" t="inlineStr">
        <is>
          <t>NULL</t>
        </is>
      </c>
      <c r="D447" s="0" t="inlineStr">
        <is>
          <t>NULL</t>
        </is>
      </c>
      <c r="E447" s="0" t="inlineStr">
        <is>
          <t>NULL</t>
        </is>
      </c>
      <c r="F447" s="0" t="inlineStr">
        <is>
          <t>NULL</t>
        </is>
      </c>
      <c r="G447" s="0" t="inlineStr">
        <is>
          <t>NULL</t>
        </is>
      </c>
      <c r="H447" s="0" t="inlineStr">
        <is>
          <t>NULL</t>
        </is>
      </c>
      <c r="I447" s="0" t="inlineStr">
        <is>
          <t>YES!PK__info_var__3213E83FA0841A50</t>
        </is>
      </c>
      <c r="J447" s="0" t="inlineStr">
        <is>
          <t>YES! 主键相关索引</t>
        </is>
      </c>
      <c r="K447" s="0" t="inlineStr">
        <is>
          <t>YES! 	 id列源备映射正确，源端为int None位	期望更改为int	实际备端为int None位</t>
        </is>
      </c>
    </row>
    <row r="448">
      <c r="B448" s="0" t="inlineStr">
        <is>
          <t>NULL</t>
        </is>
      </c>
      <c r="C448" s="0" t="inlineStr">
        <is>
          <t>NULL</t>
        </is>
      </c>
      <c r="D448" s="0" t="inlineStr">
        <is>
          <t>NULL</t>
        </is>
      </c>
      <c r="E448" s="0" t="inlineStr">
        <is>
          <t>NULL</t>
        </is>
      </c>
      <c r="F448" s="0" t="inlineStr">
        <is>
          <t>NULL</t>
        </is>
      </c>
      <c r="G448" s="0" t="inlineStr">
        <is>
          <t>NULL</t>
        </is>
      </c>
      <c r="H448" s="0" t="inlineStr">
        <is>
          <t>NULL</t>
        </is>
      </c>
      <c r="I448" s="0" t="inlineStr">
        <is>
          <t>NULL</t>
        </is>
      </c>
      <c r="J448" s="0" t="inlineStr">
        <is>
          <t>NULL</t>
        </is>
      </c>
      <c r="K448" s="0" t="inlineStr">
        <is>
          <t>YES! 	 c_varchar列源备映射正确，源端为varchar 1位	期望更改为varchar(n)	实际备端为varchar 1位</t>
        </is>
      </c>
    </row>
    <row r="449">
      <c r="B449" s="0" t="inlineStr">
        <is>
          <t>NULL</t>
        </is>
      </c>
      <c r="C449" s="0" t="inlineStr">
        <is>
          <t>NULL</t>
        </is>
      </c>
      <c r="D449" s="0" t="inlineStr">
        <is>
          <t>NULL</t>
        </is>
      </c>
      <c r="E449" s="0" t="inlineStr">
        <is>
          <t>NULL</t>
        </is>
      </c>
      <c r="F449" s="0" t="inlineStr">
        <is>
          <t>NULL</t>
        </is>
      </c>
      <c r="G449" s="0" t="inlineStr">
        <is>
          <t>NULL</t>
        </is>
      </c>
      <c r="H449" s="0" t="inlineStr">
        <is>
          <t>NULL</t>
        </is>
      </c>
      <c r="I449" s="0" t="inlineStr">
        <is>
          <t>NULL</t>
        </is>
      </c>
      <c r="J449" s="0" t="inlineStr">
        <is>
          <t>NULL</t>
        </is>
      </c>
      <c r="K449" s="0" t="inlineStr">
        <is>
          <t>YES! 	 c_varchar20列源备映射正确，源端为varchar 20位	期望更改为varchar(n)	实际备端为varchar 20位</t>
        </is>
      </c>
    </row>
    <row r="450">
      <c r="B450" s="0" t="inlineStr">
        <is>
          <t>NULL</t>
        </is>
      </c>
      <c r="C450" s="0" t="inlineStr">
        <is>
          <t>NULL</t>
        </is>
      </c>
      <c r="D450" s="0" t="inlineStr">
        <is>
          <t>NULL</t>
        </is>
      </c>
      <c r="E450" s="0" t="inlineStr">
        <is>
          <t>NULL</t>
        </is>
      </c>
      <c r="F450" s="0" t="inlineStr">
        <is>
          <t>NULL</t>
        </is>
      </c>
      <c r="G450" s="0" t="inlineStr">
        <is>
          <t>NULL</t>
        </is>
      </c>
      <c r="H450" s="0" t="inlineStr">
        <is>
          <t>NULL</t>
        </is>
      </c>
      <c r="I450" s="0" t="inlineStr">
        <is>
          <t>NULL</t>
        </is>
      </c>
      <c r="J450" s="0" t="inlineStr">
        <is>
          <t>NULL</t>
        </is>
      </c>
      <c r="K450" s="0" t="inlineStr">
        <is>
          <t>YES! 	 c_varchar8000列源备映射正确，源端为varchar 8000位	期望更改为varchar(n)	实际备端为varchar 8000位</t>
        </is>
      </c>
    </row>
    <row r="451">
      <c r="A451" s="0" t="inlineStr">
        <is>
          <t>info_int_dml_single_nopk_urp</t>
        </is>
      </c>
      <c r="K451" s="0" t="inlineStr">
        <is>
          <t>[0;34m info_int_dml_single_nopk_urp [0m源备字段数相同，源端字段：20 	备端字段20</t>
        </is>
      </c>
      <c r="W451" s="0" t="inlineStr">
        <is>
          <t>YES 源备无差异</t>
        </is>
      </c>
      <c r="X451" s="0">
        <f>A451</f>
        <v/>
      </c>
    </row>
    <row r="452">
      <c r="B452" s="0" t="inlineStr">
        <is>
          <t>NULL</t>
        </is>
      </c>
      <c r="C452" s="0" t="inlineStr">
        <is>
          <t>NULL</t>
        </is>
      </c>
      <c r="D452" s="0" t="inlineStr">
        <is>
          <t>NULL</t>
        </is>
      </c>
      <c r="E452" s="0" t="inlineStr">
        <is>
          <t>NULL</t>
        </is>
      </c>
      <c r="F452" s="0" t="inlineStr">
        <is>
          <t>NULL</t>
        </is>
      </c>
      <c r="G452" s="0" t="inlineStr">
        <is>
          <t>NULL</t>
        </is>
      </c>
      <c r="H452" s="0" t="inlineStr">
        <is>
          <t>NULL</t>
        </is>
      </c>
      <c r="I452" s="0" t="inlineStr">
        <is>
          <t>NULL</t>
        </is>
      </c>
      <c r="J452" s="0" t="inlineStr">
        <is>
          <t>NULL</t>
        </is>
      </c>
      <c r="K452" s="0" t="inlineStr">
        <is>
          <t>YES! 	 id列源备映射正确，源端为int None位	期望更改为int	实际备端为int None位</t>
        </is>
      </c>
    </row>
    <row r="453">
      <c r="B453" s="0" t="inlineStr">
        <is>
          <t>NULL</t>
        </is>
      </c>
      <c r="C453" s="0" t="inlineStr">
        <is>
          <t>NULL</t>
        </is>
      </c>
      <c r="D453" s="0" t="inlineStr">
        <is>
          <t>NULL</t>
        </is>
      </c>
      <c r="E453" s="0" t="inlineStr">
        <is>
          <t>NULL</t>
        </is>
      </c>
      <c r="F453" s="0" t="inlineStr">
        <is>
          <t>NULL</t>
        </is>
      </c>
      <c r="G453" s="0" t="inlineStr">
        <is>
          <t>NULL</t>
        </is>
      </c>
      <c r="H453" s="0" t="inlineStr">
        <is>
          <t>NULL</t>
        </is>
      </c>
      <c r="I453" s="0" t="inlineStr">
        <is>
          <t>NULL</t>
        </is>
      </c>
      <c r="J453" s="0" t="inlineStr">
        <is>
          <t>NULL</t>
        </is>
      </c>
      <c r="K453" s="0" t="inlineStr">
        <is>
          <t>YES! 	 c_tinyint列源备映射正确，源端为tinyint None位	期望更改为tinyint	实际备端为tinyint None位</t>
        </is>
      </c>
    </row>
    <row r="454">
      <c r="B454" s="0" t="inlineStr">
        <is>
          <t>NULL</t>
        </is>
      </c>
      <c r="C454" s="0" t="inlineStr">
        <is>
          <t>NULL</t>
        </is>
      </c>
      <c r="D454" s="0" t="inlineStr">
        <is>
          <t>NULL</t>
        </is>
      </c>
      <c r="E454" s="0" t="inlineStr">
        <is>
          <t>NULL</t>
        </is>
      </c>
      <c r="F454" s="0" t="inlineStr">
        <is>
          <t>NULL</t>
        </is>
      </c>
      <c r="G454" s="0" t="inlineStr">
        <is>
          <t>NULL</t>
        </is>
      </c>
      <c r="H454" s="0" t="inlineStr">
        <is>
          <t>NULL</t>
        </is>
      </c>
      <c r="I454" s="0" t="inlineStr">
        <is>
          <t>NULL</t>
        </is>
      </c>
      <c r="J454" s="0" t="inlineStr">
        <is>
          <t>NULL</t>
        </is>
      </c>
      <c r="K454" s="0" t="inlineStr">
        <is>
          <t>YES! 	 c_smallint列源备映射正确，源端为smallint None位	期望更改为smallint	实际备端为smallint None位</t>
        </is>
      </c>
    </row>
    <row r="455">
      <c r="B455" s="0" t="inlineStr">
        <is>
          <t>NULL</t>
        </is>
      </c>
      <c r="C455" s="0" t="inlineStr">
        <is>
          <t>NULL</t>
        </is>
      </c>
      <c r="D455" s="0" t="inlineStr">
        <is>
          <t>NULL</t>
        </is>
      </c>
      <c r="E455" s="0" t="inlineStr">
        <is>
          <t>NULL</t>
        </is>
      </c>
      <c r="F455" s="0" t="inlineStr">
        <is>
          <t>NULL</t>
        </is>
      </c>
      <c r="G455" s="0" t="inlineStr">
        <is>
          <t>NULL</t>
        </is>
      </c>
      <c r="H455" s="0" t="inlineStr">
        <is>
          <t>NULL</t>
        </is>
      </c>
      <c r="I455" s="0" t="inlineStr">
        <is>
          <t>NULL</t>
        </is>
      </c>
      <c r="J455" s="0" t="inlineStr">
        <is>
          <t>NULL</t>
        </is>
      </c>
      <c r="K455" s="0" t="inlineStr">
        <is>
          <t>YES! 	 c_int列源备映射正确，源端为int None位	期望更改为int	实际备端为int None位</t>
        </is>
      </c>
    </row>
    <row r="456">
      <c r="B456" s="0" t="inlineStr">
        <is>
          <t>NULL</t>
        </is>
      </c>
      <c r="C456" s="0" t="inlineStr">
        <is>
          <t>NULL</t>
        </is>
      </c>
      <c r="D456" s="0" t="inlineStr">
        <is>
          <t>NULL</t>
        </is>
      </c>
      <c r="E456" s="0" t="inlineStr">
        <is>
          <t>NULL</t>
        </is>
      </c>
      <c r="F456" s="0" t="inlineStr">
        <is>
          <t>NULL</t>
        </is>
      </c>
      <c r="G456" s="0" t="inlineStr">
        <is>
          <t>NULL</t>
        </is>
      </c>
      <c r="H456" s="0" t="inlineStr">
        <is>
          <t>NULL</t>
        </is>
      </c>
      <c r="I456" s="0" t="inlineStr">
        <is>
          <t>NULL</t>
        </is>
      </c>
      <c r="J456" s="0" t="inlineStr">
        <is>
          <t>NULL</t>
        </is>
      </c>
      <c r="K456" s="0" t="inlineStr">
        <is>
          <t>YES! 	 c_bigint列源备映射正确，源端为bigint None位	期望更改为bigint	实际备端为bigint None位</t>
        </is>
      </c>
    </row>
    <row r="457">
      <c r="B457" s="0" t="inlineStr">
        <is>
          <t>NULL</t>
        </is>
      </c>
      <c r="C457" s="0" t="inlineStr">
        <is>
          <t>NULL</t>
        </is>
      </c>
      <c r="D457" s="0" t="inlineStr">
        <is>
          <t>NULL</t>
        </is>
      </c>
      <c r="E457" s="0" t="inlineStr">
        <is>
          <t>NULL</t>
        </is>
      </c>
      <c r="F457" s="0" t="inlineStr">
        <is>
          <t>NULL</t>
        </is>
      </c>
      <c r="G457" s="0" t="inlineStr">
        <is>
          <t>NULL</t>
        </is>
      </c>
      <c r="H457" s="0" t="inlineStr">
        <is>
          <t>NULL</t>
        </is>
      </c>
      <c r="I457" s="0" t="inlineStr">
        <is>
          <t>NULL</t>
        </is>
      </c>
      <c r="J457" s="0" t="inlineStr">
        <is>
          <t>NULL</t>
        </is>
      </c>
      <c r="K457" s="0" t="inlineStr">
        <is>
          <t>YES! 	 c_decimal列源备映射正确，源端为decimal None位	期望更改为decimal(p,s)	实际备端为decimal None位</t>
        </is>
      </c>
    </row>
    <row r="458">
      <c r="B458" s="0" t="inlineStr">
        <is>
          <t>NULL</t>
        </is>
      </c>
      <c r="C458" s="0" t="inlineStr">
        <is>
          <t>NULL</t>
        </is>
      </c>
      <c r="D458" s="0" t="inlineStr">
        <is>
          <t>NULL</t>
        </is>
      </c>
      <c r="E458" s="0" t="inlineStr">
        <is>
          <t>NULL</t>
        </is>
      </c>
      <c r="F458" s="0" t="inlineStr">
        <is>
          <t>NULL</t>
        </is>
      </c>
      <c r="G458" s="0" t="inlineStr">
        <is>
          <t>NULL</t>
        </is>
      </c>
      <c r="H458" s="0" t="inlineStr">
        <is>
          <t>NULL</t>
        </is>
      </c>
      <c r="I458" s="0" t="inlineStr">
        <is>
          <t>NULL</t>
        </is>
      </c>
      <c r="J458" s="0" t="inlineStr">
        <is>
          <t>NULL</t>
        </is>
      </c>
      <c r="K458" s="0" t="inlineStr">
        <is>
          <t>YES! 	 c_decimal38列源备映射正确，源端为decimal None位	期望更改为decimal(p,s)	实际备端为decimal None位</t>
        </is>
      </c>
    </row>
    <row r="459">
      <c r="B459" s="0" t="inlineStr">
        <is>
          <t>NULL</t>
        </is>
      </c>
      <c r="C459" s="0" t="inlineStr">
        <is>
          <t>NULL</t>
        </is>
      </c>
      <c r="D459" s="0" t="inlineStr">
        <is>
          <t>NULL</t>
        </is>
      </c>
      <c r="E459" s="0" t="inlineStr">
        <is>
          <t>NULL</t>
        </is>
      </c>
      <c r="F459" s="0" t="inlineStr">
        <is>
          <t>NULL</t>
        </is>
      </c>
      <c r="G459" s="0" t="inlineStr">
        <is>
          <t>NULL</t>
        </is>
      </c>
      <c r="H459" s="0" t="inlineStr">
        <is>
          <t>NULL</t>
        </is>
      </c>
      <c r="I459" s="0" t="inlineStr">
        <is>
          <t>NULL</t>
        </is>
      </c>
      <c r="J459" s="0" t="inlineStr">
        <is>
          <t>NULL</t>
        </is>
      </c>
      <c r="K459" s="0" t="inlineStr">
        <is>
          <t>YES! 	 c_decimal38_38列源备映射正确，源端为decimal None位	期望更改为decimal(p,s)	实际备端为decimal None位</t>
        </is>
      </c>
    </row>
    <row r="460">
      <c r="B460" s="0" t="inlineStr">
        <is>
          <t>NULL</t>
        </is>
      </c>
      <c r="C460" s="0" t="inlineStr">
        <is>
          <t>NULL</t>
        </is>
      </c>
      <c r="D460" s="0" t="inlineStr">
        <is>
          <t>NULL</t>
        </is>
      </c>
      <c r="E460" s="0" t="inlineStr">
        <is>
          <t>NULL</t>
        </is>
      </c>
      <c r="F460" s="0" t="inlineStr">
        <is>
          <t>NULL</t>
        </is>
      </c>
      <c r="G460" s="0" t="inlineStr">
        <is>
          <t>NULL</t>
        </is>
      </c>
      <c r="H460" s="0" t="inlineStr">
        <is>
          <t>NULL</t>
        </is>
      </c>
      <c r="I460" s="0" t="inlineStr">
        <is>
          <t>NULL</t>
        </is>
      </c>
      <c r="J460" s="0" t="inlineStr">
        <is>
          <t>NULL</t>
        </is>
      </c>
      <c r="K460" s="0" t="inlineStr">
        <is>
          <t>YES! 	 c_decimal38_10列源备映射正确，源端为decimal None位	期望更改为decimal(p,s)	实际备端为decimal None位</t>
        </is>
      </c>
    </row>
    <row r="461">
      <c r="B461" s="0" t="inlineStr">
        <is>
          <t>NULL</t>
        </is>
      </c>
      <c r="C461" s="0" t="inlineStr">
        <is>
          <t>NULL</t>
        </is>
      </c>
      <c r="D461" s="0" t="inlineStr">
        <is>
          <t>NULL</t>
        </is>
      </c>
      <c r="E461" s="0" t="inlineStr">
        <is>
          <t>NULL</t>
        </is>
      </c>
      <c r="F461" s="0" t="inlineStr">
        <is>
          <t>NULL</t>
        </is>
      </c>
      <c r="G461" s="0" t="inlineStr">
        <is>
          <t>NULL</t>
        </is>
      </c>
      <c r="H461" s="0" t="inlineStr">
        <is>
          <t>NULL</t>
        </is>
      </c>
      <c r="I461" s="0" t="inlineStr">
        <is>
          <t>NULL</t>
        </is>
      </c>
      <c r="J461" s="0" t="inlineStr">
        <is>
          <t>NULL</t>
        </is>
      </c>
      <c r="K461" s="0" t="inlineStr">
        <is>
          <t>YES! 	 c_decimal19_4列源备映射正确，源端为decimal None位	期望更改为decimal(p,s)	实际备端为decimal None位</t>
        </is>
      </c>
    </row>
    <row r="462">
      <c r="B462" s="0" t="inlineStr">
        <is>
          <t>NULL</t>
        </is>
      </c>
      <c r="C462" s="0" t="inlineStr">
        <is>
          <t>NULL</t>
        </is>
      </c>
      <c r="D462" s="0" t="inlineStr">
        <is>
          <t>NULL</t>
        </is>
      </c>
      <c r="E462" s="0" t="inlineStr">
        <is>
          <t>NULL</t>
        </is>
      </c>
      <c r="F462" s="0" t="inlineStr">
        <is>
          <t>NULL</t>
        </is>
      </c>
      <c r="G462" s="0" t="inlineStr">
        <is>
          <t>NULL</t>
        </is>
      </c>
      <c r="H462" s="0" t="inlineStr">
        <is>
          <t>NULL</t>
        </is>
      </c>
      <c r="I462" s="0" t="inlineStr">
        <is>
          <t>NULL</t>
        </is>
      </c>
      <c r="J462" s="0" t="inlineStr">
        <is>
          <t>NULL</t>
        </is>
      </c>
      <c r="K462" s="0" t="inlineStr">
        <is>
          <t>YES! 	 c_numeric列源备映射正确，源端为numeric None位	期望更改为numeric(p,s)	实际备端为numeric None位</t>
        </is>
      </c>
    </row>
    <row r="463">
      <c r="B463" s="0" t="inlineStr">
        <is>
          <t>NULL</t>
        </is>
      </c>
      <c r="C463" s="0" t="inlineStr">
        <is>
          <t>NULL</t>
        </is>
      </c>
      <c r="D463" s="0" t="inlineStr">
        <is>
          <t>NULL</t>
        </is>
      </c>
      <c r="E463" s="0" t="inlineStr">
        <is>
          <t>NULL</t>
        </is>
      </c>
      <c r="F463" s="0" t="inlineStr">
        <is>
          <t>NULL</t>
        </is>
      </c>
      <c r="G463" s="0" t="inlineStr">
        <is>
          <t>NULL</t>
        </is>
      </c>
      <c r="H463" s="0" t="inlineStr">
        <is>
          <t>NULL</t>
        </is>
      </c>
      <c r="I463" s="0" t="inlineStr">
        <is>
          <t>NULL</t>
        </is>
      </c>
      <c r="J463" s="0" t="inlineStr">
        <is>
          <t>NULL</t>
        </is>
      </c>
      <c r="K463" s="0" t="inlineStr">
        <is>
          <t>YES! 	 c_numeric38列源备映射正确，源端为numeric None位	期望更改为numeric(p,s)	实际备端为numeric None位</t>
        </is>
      </c>
    </row>
    <row r="464">
      <c r="B464" s="0" t="inlineStr">
        <is>
          <t>NULL</t>
        </is>
      </c>
      <c r="C464" s="0" t="inlineStr">
        <is>
          <t>NULL</t>
        </is>
      </c>
      <c r="D464" s="0" t="inlineStr">
        <is>
          <t>NULL</t>
        </is>
      </c>
      <c r="E464" s="0" t="inlineStr">
        <is>
          <t>NULL</t>
        </is>
      </c>
      <c r="F464" s="0" t="inlineStr">
        <is>
          <t>NULL</t>
        </is>
      </c>
      <c r="G464" s="0" t="inlineStr">
        <is>
          <t>NULL</t>
        </is>
      </c>
      <c r="H464" s="0" t="inlineStr">
        <is>
          <t>NULL</t>
        </is>
      </c>
      <c r="I464" s="0" t="inlineStr">
        <is>
          <t>NULL</t>
        </is>
      </c>
      <c r="J464" s="0" t="inlineStr">
        <is>
          <t>NULL</t>
        </is>
      </c>
      <c r="K464" s="0" t="inlineStr">
        <is>
          <t>YES! 	 c_numeric38_38列源备映射正确，源端为numeric None位	期望更改为numeric(p,s)	实际备端为numeric None位</t>
        </is>
      </c>
    </row>
    <row r="465">
      <c r="B465" s="0" t="inlineStr">
        <is>
          <t>NULL</t>
        </is>
      </c>
      <c r="C465" s="0" t="inlineStr">
        <is>
          <t>NULL</t>
        </is>
      </c>
      <c r="D465" s="0" t="inlineStr">
        <is>
          <t>NULL</t>
        </is>
      </c>
      <c r="E465" s="0" t="inlineStr">
        <is>
          <t>NULL</t>
        </is>
      </c>
      <c r="F465" s="0" t="inlineStr">
        <is>
          <t>NULL</t>
        </is>
      </c>
      <c r="G465" s="0" t="inlineStr">
        <is>
          <t>NULL</t>
        </is>
      </c>
      <c r="H465" s="0" t="inlineStr">
        <is>
          <t>NULL</t>
        </is>
      </c>
      <c r="I465" s="0" t="inlineStr">
        <is>
          <t>NULL</t>
        </is>
      </c>
      <c r="J465" s="0" t="inlineStr">
        <is>
          <t>NULL</t>
        </is>
      </c>
      <c r="K465" s="0" t="inlineStr">
        <is>
          <t>YES! 	 c_numeric38_10列源备映射正确，源端为numeric None位	期望更改为numeric(p,s)	实际备端为numeric None位</t>
        </is>
      </c>
    </row>
    <row r="466">
      <c r="B466" s="0" t="inlineStr">
        <is>
          <t>NULL</t>
        </is>
      </c>
      <c r="C466" s="0" t="inlineStr">
        <is>
          <t>NULL</t>
        </is>
      </c>
      <c r="D466" s="0" t="inlineStr">
        <is>
          <t>NULL</t>
        </is>
      </c>
      <c r="E466" s="0" t="inlineStr">
        <is>
          <t>NULL</t>
        </is>
      </c>
      <c r="F466" s="0" t="inlineStr">
        <is>
          <t>NULL</t>
        </is>
      </c>
      <c r="G466" s="0" t="inlineStr">
        <is>
          <t>NULL</t>
        </is>
      </c>
      <c r="H466" s="0" t="inlineStr">
        <is>
          <t>NULL</t>
        </is>
      </c>
      <c r="I466" s="0" t="inlineStr">
        <is>
          <t>NULL</t>
        </is>
      </c>
      <c r="J466" s="0" t="inlineStr">
        <is>
          <t>NULL</t>
        </is>
      </c>
      <c r="K466" s="0" t="inlineStr">
        <is>
          <t>YES! 	 c_numeric18_2列源备映射正确，源端为numeric None位	期望更改为numeric(p,s)	实际备端为numeric None位</t>
        </is>
      </c>
    </row>
    <row r="467">
      <c r="B467" s="0" t="inlineStr">
        <is>
          <t>NULL</t>
        </is>
      </c>
      <c r="C467" s="0" t="inlineStr">
        <is>
          <t>NULL</t>
        </is>
      </c>
      <c r="D467" s="0" t="inlineStr">
        <is>
          <t>NULL</t>
        </is>
      </c>
      <c r="E467" s="0" t="inlineStr">
        <is>
          <t>NULL</t>
        </is>
      </c>
      <c r="F467" s="0" t="inlineStr">
        <is>
          <t>NULL</t>
        </is>
      </c>
      <c r="G467" s="0" t="inlineStr">
        <is>
          <t>NULL</t>
        </is>
      </c>
      <c r="H467" s="0" t="inlineStr">
        <is>
          <t>NULL</t>
        </is>
      </c>
      <c r="I467" s="0" t="inlineStr">
        <is>
          <t>NULL</t>
        </is>
      </c>
      <c r="J467" s="0" t="inlineStr">
        <is>
          <t>NULL</t>
        </is>
      </c>
      <c r="K467" s="0" t="inlineStr">
        <is>
          <t>YES! 	 c_float列源备映射正确，源端为float None位	期望更改为float	实际备端为float None位</t>
        </is>
      </c>
    </row>
    <row r="468">
      <c r="B468" s="0" t="inlineStr">
        <is>
          <t>NULL</t>
        </is>
      </c>
      <c r="C468" s="0" t="inlineStr">
        <is>
          <t>NULL</t>
        </is>
      </c>
      <c r="D468" s="0" t="inlineStr">
        <is>
          <t>NULL</t>
        </is>
      </c>
      <c r="E468" s="0" t="inlineStr">
        <is>
          <t>NULL</t>
        </is>
      </c>
      <c r="F468" s="0" t="inlineStr">
        <is>
          <t>NULL</t>
        </is>
      </c>
      <c r="G468" s="0" t="inlineStr">
        <is>
          <t>NULL</t>
        </is>
      </c>
      <c r="H468" s="0" t="inlineStr">
        <is>
          <t>NULL</t>
        </is>
      </c>
      <c r="I468" s="0" t="inlineStr">
        <is>
          <t>NULL</t>
        </is>
      </c>
      <c r="J468" s="0" t="inlineStr">
        <is>
          <t>NULL</t>
        </is>
      </c>
      <c r="K468" s="0" t="inlineStr">
        <is>
          <t>YES! 	 c_real列源备映射正确，源端为real None位	期望更改为real	实际备端为real None位</t>
        </is>
      </c>
    </row>
    <row r="469">
      <c r="B469" s="0" t="inlineStr">
        <is>
          <t>NULL</t>
        </is>
      </c>
      <c r="C469" s="0" t="inlineStr">
        <is>
          <t>NULL</t>
        </is>
      </c>
      <c r="D469" s="0" t="inlineStr">
        <is>
          <t>NULL</t>
        </is>
      </c>
      <c r="E469" s="0" t="inlineStr">
        <is>
          <t>NULL</t>
        </is>
      </c>
      <c r="F469" s="0" t="inlineStr">
        <is>
          <t>NULL</t>
        </is>
      </c>
      <c r="G469" s="0" t="inlineStr">
        <is>
          <t>NULL</t>
        </is>
      </c>
      <c r="H469" s="0" t="inlineStr">
        <is>
          <t>NULL</t>
        </is>
      </c>
      <c r="I469" s="0" t="inlineStr">
        <is>
          <t>NULL</t>
        </is>
      </c>
      <c r="J469" s="0" t="inlineStr">
        <is>
          <t>NULL</t>
        </is>
      </c>
      <c r="K469" s="0" t="inlineStr">
        <is>
          <t>YES! 	 c_money列源备映射正确，源端为money None位	期望更改为money	实际备端为money None位</t>
        </is>
      </c>
    </row>
    <row r="470">
      <c r="B470" s="0" t="inlineStr">
        <is>
          <t>NULL</t>
        </is>
      </c>
      <c r="C470" s="0" t="inlineStr">
        <is>
          <t>NULL</t>
        </is>
      </c>
      <c r="D470" s="0" t="inlineStr">
        <is>
          <t>NULL</t>
        </is>
      </c>
      <c r="E470" s="0" t="inlineStr">
        <is>
          <t>NULL</t>
        </is>
      </c>
      <c r="F470" s="0" t="inlineStr">
        <is>
          <t>NULL</t>
        </is>
      </c>
      <c r="G470" s="0" t="inlineStr">
        <is>
          <t>NULL</t>
        </is>
      </c>
      <c r="H470" s="0" t="inlineStr">
        <is>
          <t>NULL</t>
        </is>
      </c>
      <c r="I470" s="0" t="inlineStr">
        <is>
          <t>NULL</t>
        </is>
      </c>
      <c r="J470" s="0" t="inlineStr">
        <is>
          <t>NULL</t>
        </is>
      </c>
      <c r="K470" s="0" t="inlineStr">
        <is>
          <t>YES! 	 c_smallmoney列源备映射正确，源端为smallmoney None位	期望更改为smallmoney	实际备端为smallmoney None位</t>
        </is>
      </c>
    </row>
    <row r="471">
      <c r="B471" s="0" t="inlineStr">
        <is>
          <t>NULL</t>
        </is>
      </c>
      <c r="C471" s="0" t="inlineStr">
        <is>
          <t>NULL</t>
        </is>
      </c>
      <c r="D471" s="0" t="inlineStr">
        <is>
          <t>NULL</t>
        </is>
      </c>
      <c r="E471" s="0" t="inlineStr">
        <is>
          <t>NULL</t>
        </is>
      </c>
      <c r="F471" s="0" t="inlineStr">
        <is>
          <t>NULL</t>
        </is>
      </c>
      <c r="G471" s="0" t="inlineStr">
        <is>
          <t>NULL</t>
        </is>
      </c>
      <c r="H471" s="0" t="inlineStr">
        <is>
          <t>NULL</t>
        </is>
      </c>
      <c r="I471" s="0" t="inlineStr">
        <is>
          <t>NULL</t>
        </is>
      </c>
      <c r="J471" s="0" t="inlineStr">
        <is>
          <t>NULL</t>
        </is>
      </c>
      <c r="K471" s="0" t="inlineStr">
        <is>
          <t>YES! 	 c_bit列源备映射正确，源端为bit None位	期望更改为bit	实际备端为bit None位</t>
        </is>
      </c>
    </row>
    <row r="472">
      <c r="A472" s="0" t="inlineStr">
        <is>
          <t>info_varchar_dml_batch2_pk_irp1</t>
        </is>
      </c>
      <c r="K472" s="0" t="inlineStr">
        <is>
          <t>[0;34m info_varchar_dml_batch2_pk_irp1 [0m源备字段数相同，源端字段：4 	备端字段4</t>
        </is>
      </c>
      <c r="W472" s="0" t="inlineStr">
        <is>
          <t>YES 源备无差异</t>
        </is>
      </c>
      <c r="X472" s="0">
        <f>A472</f>
        <v/>
      </c>
    </row>
    <row r="473">
      <c r="B473" s="0" t="inlineStr">
        <is>
          <t>YES</t>
        </is>
      </c>
      <c r="C473" s="0" t="inlineStr">
        <is>
          <t>NULL</t>
        </is>
      </c>
      <c r="D473" s="0" t="inlineStr">
        <is>
          <t>NULL</t>
        </is>
      </c>
      <c r="E473" s="0" t="inlineStr">
        <is>
          <t>NULL</t>
        </is>
      </c>
      <c r="F473" s="0" t="inlineStr">
        <is>
          <t>NULL</t>
        </is>
      </c>
      <c r="G473" s="0" t="inlineStr">
        <is>
          <t>NULL</t>
        </is>
      </c>
      <c r="H473" s="0" t="inlineStr">
        <is>
          <t>NULL</t>
        </is>
      </c>
      <c r="I473" s="0" t="inlineStr">
        <is>
          <t>YES!PK__info_var__3213E83FAC523603</t>
        </is>
      </c>
      <c r="J473" s="0" t="inlineStr">
        <is>
          <t>YES! 主键相关索引</t>
        </is>
      </c>
      <c r="K473" s="0" t="inlineStr">
        <is>
          <t>YES! 	 id列源备映射正确，源端为int None位	期望更改为int	实际备端为int None位</t>
        </is>
      </c>
    </row>
    <row r="474">
      <c r="B474" s="0" t="inlineStr">
        <is>
          <t>NULL</t>
        </is>
      </c>
      <c r="C474" s="0" t="inlineStr">
        <is>
          <t>NULL</t>
        </is>
      </c>
      <c r="D474" s="0" t="inlineStr">
        <is>
          <t>NULL</t>
        </is>
      </c>
      <c r="E474" s="0" t="inlineStr">
        <is>
          <t>NULL</t>
        </is>
      </c>
      <c r="F474" s="0" t="inlineStr">
        <is>
          <t>NULL</t>
        </is>
      </c>
      <c r="G474" s="0" t="inlineStr">
        <is>
          <t>NULL</t>
        </is>
      </c>
      <c r="H474" s="0" t="inlineStr">
        <is>
          <t>NULL</t>
        </is>
      </c>
      <c r="I474" s="0" t="inlineStr">
        <is>
          <t>NULL</t>
        </is>
      </c>
      <c r="J474" s="0" t="inlineStr">
        <is>
          <t>NULL</t>
        </is>
      </c>
      <c r="K474" s="0" t="inlineStr">
        <is>
          <t>YES! 	 c_varchar列源备映射正确，源端为varchar 1位	期望更改为varchar(n)	实际备端为varchar 1位</t>
        </is>
      </c>
    </row>
    <row r="475">
      <c r="B475" s="0" t="inlineStr">
        <is>
          <t>NULL</t>
        </is>
      </c>
      <c r="C475" s="0" t="inlineStr">
        <is>
          <t>NULL</t>
        </is>
      </c>
      <c r="D475" s="0" t="inlineStr">
        <is>
          <t>NULL</t>
        </is>
      </c>
      <c r="E475" s="0" t="inlineStr">
        <is>
          <t>NULL</t>
        </is>
      </c>
      <c r="F475" s="0" t="inlineStr">
        <is>
          <t>NULL</t>
        </is>
      </c>
      <c r="G475" s="0" t="inlineStr">
        <is>
          <t>NULL</t>
        </is>
      </c>
      <c r="H475" s="0" t="inlineStr">
        <is>
          <t>NULL</t>
        </is>
      </c>
      <c r="I475" s="0" t="inlineStr">
        <is>
          <t>NULL</t>
        </is>
      </c>
      <c r="J475" s="0" t="inlineStr">
        <is>
          <t>NULL</t>
        </is>
      </c>
      <c r="K475" s="0" t="inlineStr">
        <is>
          <t>YES! 	 c_varchar20列源备映射正确，源端为varchar 20位	期望更改为varchar(n)	实际备端为varchar 20位</t>
        </is>
      </c>
    </row>
    <row r="476">
      <c r="B476" s="0" t="inlineStr">
        <is>
          <t>NULL</t>
        </is>
      </c>
      <c r="C476" s="0" t="inlineStr">
        <is>
          <t>NULL</t>
        </is>
      </c>
      <c r="D476" s="0" t="inlineStr">
        <is>
          <t>NULL</t>
        </is>
      </c>
      <c r="E476" s="0" t="inlineStr">
        <is>
          <t>NULL</t>
        </is>
      </c>
      <c r="F476" s="0" t="inlineStr">
        <is>
          <t>NULL</t>
        </is>
      </c>
      <c r="G476" s="0" t="inlineStr">
        <is>
          <t>NULL</t>
        </is>
      </c>
      <c r="H476" s="0" t="inlineStr">
        <is>
          <t>NULL</t>
        </is>
      </c>
      <c r="I476" s="0" t="inlineStr">
        <is>
          <t>NULL</t>
        </is>
      </c>
      <c r="J476" s="0" t="inlineStr">
        <is>
          <t>NULL</t>
        </is>
      </c>
      <c r="K476" s="0" t="inlineStr">
        <is>
          <t>YES! 	 c_varchar8000列源备映射正确，源端为varchar 8000位	期望更改为varchar(n)	实际备端为varchar 8000位</t>
        </is>
      </c>
    </row>
    <row r="477">
      <c r="A477" s="0" t="inlineStr">
        <is>
          <t>info_int_dml_single_nopk_drp</t>
        </is>
      </c>
      <c r="K477" s="0" t="inlineStr">
        <is>
          <t>[0;34m info_int_dml_single_nopk_drp [0m源备字段数相同，源端字段：20 	备端字段20</t>
        </is>
      </c>
      <c r="W477" s="0" t="inlineStr">
        <is>
          <t>YES 源备无差异</t>
        </is>
      </c>
      <c r="X477" s="0">
        <f>A477</f>
        <v/>
      </c>
    </row>
    <row r="478">
      <c r="B478" s="0" t="inlineStr">
        <is>
          <t>NULL</t>
        </is>
      </c>
      <c r="C478" s="0" t="inlineStr">
        <is>
          <t>NULL</t>
        </is>
      </c>
      <c r="D478" s="0" t="inlineStr">
        <is>
          <t>NULL</t>
        </is>
      </c>
      <c r="E478" s="0" t="inlineStr">
        <is>
          <t>NULL</t>
        </is>
      </c>
      <c r="F478" s="0" t="inlineStr">
        <is>
          <t>NULL</t>
        </is>
      </c>
      <c r="G478" s="0" t="inlineStr">
        <is>
          <t>NULL</t>
        </is>
      </c>
      <c r="H478" s="0" t="inlineStr">
        <is>
          <t>NULL</t>
        </is>
      </c>
      <c r="I478" s="0" t="inlineStr">
        <is>
          <t>NULL</t>
        </is>
      </c>
      <c r="J478" s="0" t="inlineStr">
        <is>
          <t>NULL</t>
        </is>
      </c>
      <c r="K478" s="0" t="inlineStr">
        <is>
          <t>YES! 	 id列源备映射正确，源端为int None位	期望更改为int	实际备端为int None位</t>
        </is>
      </c>
    </row>
    <row r="479">
      <c r="B479" s="0" t="inlineStr">
        <is>
          <t>NULL</t>
        </is>
      </c>
      <c r="C479" s="0" t="inlineStr">
        <is>
          <t>NULL</t>
        </is>
      </c>
      <c r="D479" s="0" t="inlineStr">
        <is>
          <t>NULL</t>
        </is>
      </c>
      <c r="E479" s="0" t="inlineStr">
        <is>
          <t>NULL</t>
        </is>
      </c>
      <c r="F479" s="0" t="inlineStr">
        <is>
          <t>NULL</t>
        </is>
      </c>
      <c r="G479" s="0" t="inlineStr">
        <is>
          <t>NULL</t>
        </is>
      </c>
      <c r="H479" s="0" t="inlineStr">
        <is>
          <t>NULL</t>
        </is>
      </c>
      <c r="I479" s="0" t="inlineStr">
        <is>
          <t>NULL</t>
        </is>
      </c>
      <c r="J479" s="0" t="inlineStr">
        <is>
          <t>NULL</t>
        </is>
      </c>
      <c r="K479" s="0" t="inlineStr">
        <is>
          <t>YES! 	 c_tinyint列源备映射正确，源端为tinyint None位	期望更改为tinyint	实际备端为tinyint None位</t>
        </is>
      </c>
    </row>
    <row r="480">
      <c r="B480" s="0" t="inlineStr">
        <is>
          <t>NULL</t>
        </is>
      </c>
      <c r="C480" s="0" t="inlineStr">
        <is>
          <t>NULL</t>
        </is>
      </c>
      <c r="D480" s="0" t="inlineStr">
        <is>
          <t>NULL</t>
        </is>
      </c>
      <c r="E480" s="0" t="inlineStr">
        <is>
          <t>NULL</t>
        </is>
      </c>
      <c r="F480" s="0" t="inlineStr">
        <is>
          <t>NULL</t>
        </is>
      </c>
      <c r="G480" s="0" t="inlineStr">
        <is>
          <t>NULL</t>
        </is>
      </c>
      <c r="H480" s="0" t="inlineStr">
        <is>
          <t>NULL</t>
        </is>
      </c>
      <c r="I480" s="0" t="inlineStr">
        <is>
          <t>NULL</t>
        </is>
      </c>
      <c r="J480" s="0" t="inlineStr">
        <is>
          <t>NULL</t>
        </is>
      </c>
      <c r="K480" s="0" t="inlineStr">
        <is>
          <t>YES! 	 c_smallint列源备映射正确，源端为smallint None位	期望更改为smallint	实际备端为smallint None位</t>
        </is>
      </c>
    </row>
    <row r="481">
      <c r="B481" s="0" t="inlineStr">
        <is>
          <t>NULL</t>
        </is>
      </c>
      <c r="C481" s="0" t="inlineStr">
        <is>
          <t>NULL</t>
        </is>
      </c>
      <c r="D481" s="0" t="inlineStr">
        <is>
          <t>NULL</t>
        </is>
      </c>
      <c r="E481" s="0" t="inlineStr">
        <is>
          <t>NULL</t>
        </is>
      </c>
      <c r="F481" s="0" t="inlineStr">
        <is>
          <t>NULL</t>
        </is>
      </c>
      <c r="G481" s="0" t="inlineStr">
        <is>
          <t>NULL</t>
        </is>
      </c>
      <c r="H481" s="0" t="inlineStr">
        <is>
          <t>NULL</t>
        </is>
      </c>
      <c r="I481" s="0" t="inlineStr">
        <is>
          <t>NULL</t>
        </is>
      </c>
      <c r="J481" s="0" t="inlineStr">
        <is>
          <t>NULL</t>
        </is>
      </c>
      <c r="K481" s="0" t="inlineStr">
        <is>
          <t>YES! 	 c_int列源备映射正确，源端为int None位	期望更改为int	实际备端为int None位</t>
        </is>
      </c>
    </row>
    <row r="482">
      <c r="B482" s="0" t="inlineStr">
        <is>
          <t>NULL</t>
        </is>
      </c>
      <c r="C482" s="0" t="inlineStr">
        <is>
          <t>NULL</t>
        </is>
      </c>
      <c r="D482" s="0" t="inlineStr">
        <is>
          <t>NULL</t>
        </is>
      </c>
      <c r="E482" s="0" t="inlineStr">
        <is>
          <t>NULL</t>
        </is>
      </c>
      <c r="F482" s="0" t="inlineStr">
        <is>
          <t>NULL</t>
        </is>
      </c>
      <c r="G482" s="0" t="inlineStr">
        <is>
          <t>NULL</t>
        </is>
      </c>
      <c r="H482" s="0" t="inlineStr">
        <is>
          <t>NULL</t>
        </is>
      </c>
      <c r="I482" s="0" t="inlineStr">
        <is>
          <t>NULL</t>
        </is>
      </c>
      <c r="J482" s="0" t="inlineStr">
        <is>
          <t>NULL</t>
        </is>
      </c>
      <c r="K482" s="0" t="inlineStr">
        <is>
          <t>YES! 	 c_bigint列源备映射正确，源端为bigint None位	期望更改为bigint	实际备端为bigint None位</t>
        </is>
      </c>
    </row>
    <row r="483">
      <c r="B483" s="0" t="inlineStr">
        <is>
          <t>NULL</t>
        </is>
      </c>
      <c r="C483" s="0" t="inlineStr">
        <is>
          <t>NULL</t>
        </is>
      </c>
      <c r="D483" s="0" t="inlineStr">
        <is>
          <t>NULL</t>
        </is>
      </c>
      <c r="E483" s="0" t="inlineStr">
        <is>
          <t>NULL</t>
        </is>
      </c>
      <c r="F483" s="0" t="inlineStr">
        <is>
          <t>NULL</t>
        </is>
      </c>
      <c r="G483" s="0" t="inlineStr">
        <is>
          <t>NULL</t>
        </is>
      </c>
      <c r="H483" s="0" t="inlineStr">
        <is>
          <t>NULL</t>
        </is>
      </c>
      <c r="I483" s="0" t="inlineStr">
        <is>
          <t>NULL</t>
        </is>
      </c>
      <c r="J483" s="0" t="inlineStr">
        <is>
          <t>NULL</t>
        </is>
      </c>
      <c r="K483" s="0" t="inlineStr">
        <is>
          <t>YES! 	 c_decimal列源备映射正确，源端为decimal None位	期望更改为decimal(p,s)	实际备端为decimal None位</t>
        </is>
      </c>
    </row>
    <row r="484">
      <c r="B484" s="0" t="inlineStr">
        <is>
          <t>NULL</t>
        </is>
      </c>
      <c r="C484" s="0" t="inlineStr">
        <is>
          <t>NULL</t>
        </is>
      </c>
      <c r="D484" s="0" t="inlineStr">
        <is>
          <t>NULL</t>
        </is>
      </c>
      <c r="E484" s="0" t="inlineStr">
        <is>
          <t>NULL</t>
        </is>
      </c>
      <c r="F484" s="0" t="inlineStr">
        <is>
          <t>NULL</t>
        </is>
      </c>
      <c r="G484" s="0" t="inlineStr">
        <is>
          <t>NULL</t>
        </is>
      </c>
      <c r="H484" s="0" t="inlineStr">
        <is>
          <t>NULL</t>
        </is>
      </c>
      <c r="I484" s="0" t="inlineStr">
        <is>
          <t>NULL</t>
        </is>
      </c>
      <c r="J484" s="0" t="inlineStr">
        <is>
          <t>NULL</t>
        </is>
      </c>
      <c r="K484" s="0" t="inlineStr">
        <is>
          <t>YES! 	 c_decimal38列源备映射正确，源端为decimal None位	期望更改为decimal(p,s)	实际备端为decimal None位</t>
        </is>
      </c>
    </row>
    <row r="485">
      <c r="B485" s="0" t="inlineStr">
        <is>
          <t>NULL</t>
        </is>
      </c>
      <c r="C485" s="0" t="inlineStr">
        <is>
          <t>NULL</t>
        </is>
      </c>
      <c r="D485" s="0" t="inlineStr">
        <is>
          <t>NULL</t>
        </is>
      </c>
      <c r="E485" s="0" t="inlineStr">
        <is>
          <t>NULL</t>
        </is>
      </c>
      <c r="F485" s="0" t="inlineStr">
        <is>
          <t>NULL</t>
        </is>
      </c>
      <c r="G485" s="0" t="inlineStr">
        <is>
          <t>NULL</t>
        </is>
      </c>
      <c r="H485" s="0" t="inlineStr">
        <is>
          <t>NULL</t>
        </is>
      </c>
      <c r="I485" s="0" t="inlineStr">
        <is>
          <t>NULL</t>
        </is>
      </c>
      <c r="J485" s="0" t="inlineStr">
        <is>
          <t>NULL</t>
        </is>
      </c>
      <c r="K485" s="0" t="inlineStr">
        <is>
          <t>YES! 	 c_decimal38_38列源备映射正确，源端为decimal None位	期望更改为decimal(p,s)	实际备端为decimal None位</t>
        </is>
      </c>
    </row>
    <row r="486">
      <c r="B486" s="0" t="inlineStr">
        <is>
          <t>NULL</t>
        </is>
      </c>
      <c r="C486" s="0" t="inlineStr">
        <is>
          <t>NULL</t>
        </is>
      </c>
      <c r="D486" s="0" t="inlineStr">
        <is>
          <t>NULL</t>
        </is>
      </c>
      <c r="E486" s="0" t="inlineStr">
        <is>
          <t>NULL</t>
        </is>
      </c>
      <c r="F486" s="0" t="inlineStr">
        <is>
          <t>NULL</t>
        </is>
      </c>
      <c r="G486" s="0" t="inlineStr">
        <is>
          <t>NULL</t>
        </is>
      </c>
      <c r="H486" s="0" t="inlineStr">
        <is>
          <t>NULL</t>
        </is>
      </c>
      <c r="I486" s="0" t="inlineStr">
        <is>
          <t>NULL</t>
        </is>
      </c>
      <c r="J486" s="0" t="inlineStr">
        <is>
          <t>NULL</t>
        </is>
      </c>
      <c r="K486" s="0" t="inlineStr">
        <is>
          <t>YES! 	 c_decimal38_10列源备映射正确，源端为decimal None位	期望更改为decimal(p,s)	实际备端为decimal None位</t>
        </is>
      </c>
    </row>
    <row r="487">
      <c r="B487" s="0" t="inlineStr">
        <is>
          <t>NULL</t>
        </is>
      </c>
      <c r="C487" s="0" t="inlineStr">
        <is>
          <t>NULL</t>
        </is>
      </c>
      <c r="D487" s="0" t="inlineStr">
        <is>
          <t>NULL</t>
        </is>
      </c>
      <c r="E487" s="0" t="inlineStr">
        <is>
          <t>NULL</t>
        </is>
      </c>
      <c r="F487" s="0" t="inlineStr">
        <is>
          <t>NULL</t>
        </is>
      </c>
      <c r="G487" s="0" t="inlineStr">
        <is>
          <t>NULL</t>
        </is>
      </c>
      <c r="H487" s="0" t="inlineStr">
        <is>
          <t>NULL</t>
        </is>
      </c>
      <c r="I487" s="0" t="inlineStr">
        <is>
          <t>NULL</t>
        </is>
      </c>
      <c r="J487" s="0" t="inlineStr">
        <is>
          <t>NULL</t>
        </is>
      </c>
      <c r="K487" s="0" t="inlineStr">
        <is>
          <t>YES! 	 c_decimal19_4列源备映射正确，源端为decimal None位	期望更改为decimal(p,s)	实际备端为decimal None位</t>
        </is>
      </c>
    </row>
    <row r="488">
      <c r="B488" s="0" t="inlineStr">
        <is>
          <t>NULL</t>
        </is>
      </c>
      <c r="C488" s="0" t="inlineStr">
        <is>
          <t>NULL</t>
        </is>
      </c>
      <c r="D488" s="0" t="inlineStr">
        <is>
          <t>NULL</t>
        </is>
      </c>
      <c r="E488" s="0" t="inlineStr">
        <is>
          <t>NULL</t>
        </is>
      </c>
      <c r="F488" s="0" t="inlineStr">
        <is>
          <t>NULL</t>
        </is>
      </c>
      <c r="G488" s="0" t="inlineStr">
        <is>
          <t>NULL</t>
        </is>
      </c>
      <c r="H488" s="0" t="inlineStr">
        <is>
          <t>NULL</t>
        </is>
      </c>
      <c r="I488" s="0" t="inlineStr">
        <is>
          <t>NULL</t>
        </is>
      </c>
      <c r="J488" s="0" t="inlineStr">
        <is>
          <t>NULL</t>
        </is>
      </c>
      <c r="K488" s="0" t="inlineStr">
        <is>
          <t>YES! 	 c_numeric列源备映射正确，源端为numeric None位	期望更改为numeric(p,s)	实际备端为numeric None位</t>
        </is>
      </c>
    </row>
    <row r="489">
      <c r="B489" s="0" t="inlineStr">
        <is>
          <t>NULL</t>
        </is>
      </c>
      <c r="C489" s="0" t="inlineStr">
        <is>
          <t>NULL</t>
        </is>
      </c>
      <c r="D489" s="0" t="inlineStr">
        <is>
          <t>NULL</t>
        </is>
      </c>
      <c r="E489" s="0" t="inlineStr">
        <is>
          <t>NULL</t>
        </is>
      </c>
      <c r="F489" s="0" t="inlineStr">
        <is>
          <t>NULL</t>
        </is>
      </c>
      <c r="G489" s="0" t="inlineStr">
        <is>
          <t>NULL</t>
        </is>
      </c>
      <c r="H489" s="0" t="inlineStr">
        <is>
          <t>NULL</t>
        </is>
      </c>
      <c r="I489" s="0" t="inlineStr">
        <is>
          <t>NULL</t>
        </is>
      </c>
      <c r="J489" s="0" t="inlineStr">
        <is>
          <t>NULL</t>
        </is>
      </c>
      <c r="K489" s="0" t="inlineStr">
        <is>
          <t>YES! 	 c_numeric38列源备映射正确，源端为numeric None位	期望更改为numeric(p,s)	实际备端为numeric None位</t>
        </is>
      </c>
    </row>
    <row r="490">
      <c r="B490" s="0" t="inlineStr">
        <is>
          <t>NULL</t>
        </is>
      </c>
      <c r="C490" s="0" t="inlineStr">
        <is>
          <t>NULL</t>
        </is>
      </c>
      <c r="D490" s="0" t="inlineStr">
        <is>
          <t>NULL</t>
        </is>
      </c>
      <c r="E490" s="0" t="inlineStr">
        <is>
          <t>NULL</t>
        </is>
      </c>
      <c r="F490" s="0" t="inlineStr">
        <is>
          <t>NULL</t>
        </is>
      </c>
      <c r="G490" s="0" t="inlineStr">
        <is>
          <t>NULL</t>
        </is>
      </c>
      <c r="H490" s="0" t="inlineStr">
        <is>
          <t>NULL</t>
        </is>
      </c>
      <c r="I490" s="0" t="inlineStr">
        <is>
          <t>NULL</t>
        </is>
      </c>
      <c r="J490" s="0" t="inlineStr">
        <is>
          <t>NULL</t>
        </is>
      </c>
      <c r="K490" s="0" t="inlineStr">
        <is>
          <t>YES! 	 c_numeric38_38列源备映射正确，源端为numeric None位	期望更改为numeric(p,s)	实际备端为numeric None位</t>
        </is>
      </c>
    </row>
    <row r="491">
      <c r="B491" s="0" t="inlineStr">
        <is>
          <t>NULL</t>
        </is>
      </c>
      <c r="C491" s="0" t="inlineStr">
        <is>
          <t>NULL</t>
        </is>
      </c>
      <c r="D491" s="0" t="inlineStr">
        <is>
          <t>NULL</t>
        </is>
      </c>
      <c r="E491" s="0" t="inlineStr">
        <is>
          <t>NULL</t>
        </is>
      </c>
      <c r="F491" s="0" t="inlineStr">
        <is>
          <t>NULL</t>
        </is>
      </c>
      <c r="G491" s="0" t="inlineStr">
        <is>
          <t>NULL</t>
        </is>
      </c>
      <c r="H491" s="0" t="inlineStr">
        <is>
          <t>NULL</t>
        </is>
      </c>
      <c r="I491" s="0" t="inlineStr">
        <is>
          <t>NULL</t>
        </is>
      </c>
      <c r="J491" s="0" t="inlineStr">
        <is>
          <t>NULL</t>
        </is>
      </c>
      <c r="K491" s="0" t="inlineStr">
        <is>
          <t>YES! 	 c_numeric38_10列源备映射正确，源端为numeric None位	期望更改为numeric(p,s)	实际备端为numeric None位</t>
        </is>
      </c>
    </row>
    <row r="492">
      <c r="B492" s="0" t="inlineStr">
        <is>
          <t>NULL</t>
        </is>
      </c>
      <c r="C492" s="0" t="inlineStr">
        <is>
          <t>NULL</t>
        </is>
      </c>
      <c r="D492" s="0" t="inlineStr">
        <is>
          <t>NULL</t>
        </is>
      </c>
      <c r="E492" s="0" t="inlineStr">
        <is>
          <t>NULL</t>
        </is>
      </c>
      <c r="F492" s="0" t="inlineStr">
        <is>
          <t>NULL</t>
        </is>
      </c>
      <c r="G492" s="0" t="inlineStr">
        <is>
          <t>NULL</t>
        </is>
      </c>
      <c r="H492" s="0" t="inlineStr">
        <is>
          <t>NULL</t>
        </is>
      </c>
      <c r="I492" s="0" t="inlineStr">
        <is>
          <t>NULL</t>
        </is>
      </c>
      <c r="J492" s="0" t="inlineStr">
        <is>
          <t>NULL</t>
        </is>
      </c>
      <c r="K492" s="0" t="inlineStr">
        <is>
          <t>YES! 	 c_numeric18_2列源备映射正确，源端为numeric None位	期望更改为numeric(p,s)	实际备端为numeric None位</t>
        </is>
      </c>
    </row>
    <row r="493">
      <c r="B493" s="0" t="inlineStr">
        <is>
          <t>NULL</t>
        </is>
      </c>
      <c r="C493" s="0" t="inlineStr">
        <is>
          <t>NULL</t>
        </is>
      </c>
      <c r="D493" s="0" t="inlineStr">
        <is>
          <t>NULL</t>
        </is>
      </c>
      <c r="E493" s="0" t="inlineStr">
        <is>
          <t>NULL</t>
        </is>
      </c>
      <c r="F493" s="0" t="inlineStr">
        <is>
          <t>NULL</t>
        </is>
      </c>
      <c r="G493" s="0" t="inlineStr">
        <is>
          <t>NULL</t>
        </is>
      </c>
      <c r="H493" s="0" t="inlineStr">
        <is>
          <t>NULL</t>
        </is>
      </c>
      <c r="I493" s="0" t="inlineStr">
        <is>
          <t>NULL</t>
        </is>
      </c>
      <c r="J493" s="0" t="inlineStr">
        <is>
          <t>NULL</t>
        </is>
      </c>
      <c r="K493" s="0" t="inlineStr">
        <is>
          <t>YES! 	 c_float列源备映射正确，源端为float None位	期望更改为float	实际备端为float None位</t>
        </is>
      </c>
    </row>
    <row r="494">
      <c r="B494" s="0" t="inlineStr">
        <is>
          <t>NULL</t>
        </is>
      </c>
      <c r="C494" s="0" t="inlineStr">
        <is>
          <t>NULL</t>
        </is>
      </c>
      <c r="D494" s="0" t="inlineStr">
        <is>
          <t>NULL</t>
        </is>
      </c>
      <c r="E494" s="0" t="inlineStr">
        <is>
          <t>NULL</t>
        </is>
      </c>
      <c r="F494" s="0" t="inlineStr">
        <is>
          <t>NULL</t>
        </is>
      </c>
      <c r="G494" s="0" t="inlineStr">
        <is>
          <t>NULL</t>
        </is>
      </c>
      <c r="H494" s="0" t="inlineStr">
        <is>
          <t>NULL</t>
        </is>
      </c>
      <c r="I494" s="0" t="inlineStr">
        <is>
          <t>NULL</t>
        </is>
      </c>
      <c r="J494" s="0" t="inlineStr">
        <is>
          <t>NULL</t>
        </is>
      </c>
      <c r="K494" s="0" t="inlineStr">
        <is>
          <t>YES! 	 c_real列源备映射正确，源端为real None位	期望更改为real	实际备端为real None位</t>
        </is>
      </c>
    </row>
    <row r="495">
      <c r="B495" s="0" t="inlineStr">
        <is>
          <t>NULL</t>
        </is>
      </c>
      <c r="C495" s="0" t="inlineStr">
        <is>
          <t>NULL</t>
        </is>
      </c>
      <c r="D495" s="0" t="inlineStr">
        <is>
          <t>NULL</t>
        </is>
      </c>
      <c r="E495" s="0" t="inlineStr">
        <is>
          <t>NULL</t>
        </is>
      </c>
      <c r="F495" s="0" t="inlineStr">
        <is>
          <t>NULL</t>
        </is>
      </c>
      <c r="G495" s="0" t="inlineStr">
        <is>
          <t>NULL</t>
        </is>
      </c>
      <c r="H495" s="0" t="inlineStr">
        <is>
          <t>NULL</t>
        </is>
      </c>
      <c r="I495" s="0" t="inlineStr">
        <is>
          <t>NULL</t>
        </is>
      </c>
      <c r="J495" s="0" t="inlineStr">
        <is>
          <t>NULL</t>
        </is>
      </c>
      <c r="K495" s="0" t="inlineStr">
        <is>
          <t>YES! 	 c_money列源备映射正确，源端为money None位	期望更改为money	实际备端为money None位</t>
        </is>
      </c>
    </row>
    <row r="496">
      <c r="B496" s="0" t="inlineStr">
        <is>
          <t>NULL</t>
        </is>
      </c>
      <c r="C496" s="0" t="inlineStr">
        <is>
          <t>NULL</t>
        </is>
      </c>
      <c r="D496" s="0" t="inlineStr">
        <is>
          <t>NULL</t>
        </is>
      </c>
      <c r="E496" s="0" t="inlineStr">
        <is>
          <t>NULL</t>
        </is>
      </c>
      <c r="F496" s="0" t="inlineStr">
        <is>
          <t>NULL</t>
        </is>
      </c>
      <c r="G496" s="0" t="inlineStr">
        <is>
          <t>NULL</t>
        </is>
      </c>
      <c r="H496" s="0" t="inlineStr">
        <is>
          <t>NULL</t>
        </is>
      </c>
      <c r="I496" s="0" t="inlineStr">
        <is>
          <t>NULL</t>
        </is>
      </c>
      <c r="J496" s="0" t="inlineStr">
        <is>
          <t>NULL</t>
        </is>
      </c>
      <c r="K496" s="0" t="inlineStr">
        <is>
          <t>YES! 	 c_smallmoney列源备映射正确，源端为smallmoney None位	期望更改为smallmoney	实际备端为smallmoney None位</t>
        </is>
      </c>
    </row>
    <row r="497">
      <c r="B497" s="0" t="inlineStr">
        <is>
          <t>NULL</t>
        </is>
      </c>
      <c r="C497" s="0" t="inlineStr">
        <is>
          <t>NULL</t>
        </is>
      </c>
      <c r="D497" s="0" t="inlineStr">
        <is>
          <t>NULL</t>
        </is>
      </c>
      <c r="E497" s="0" t="inlineStr">
        <is>
          <t>NULL</t>
        </is>
      </c>
      <c r="F497" s="0" t="inlineStr">
        <is>
          <t>NULL</t>
        </is>
      </c>
      <c r="G497" s="0" t="inlineStr">
        <is>
          <t>NULL</t>
        </is>
      </c>
      <c r="H497" s="0" t="inlineStr">
        <is>
          <t>NULL</t>
        </is>
      </c>
      <c r="I497" s="0" t="inlineStr">
        <is>
          <t>NULL</t>
        </is>
      </c>
      <c r="J497" s="0" t="inlineStr">
        <is>
          <t>NULL</t>
        </is>
      </c>
      <c r="K497" s="0" t="inlineStr">
        <is>
          <t>YES! 	 c_bit列源备映射正确，源端为bit None位	期望更改为bit	实际备端为bit None位</t>
        </is>
      </c>
    </row>
    <row r="498">
      <c r="A498" s="0" t="inlineStr">
        <is>
          <t>info_nchar_dml_single_pk_drp</t>
        </is>
      </c>
      <c r="K498" s="0" t="inlineStr">
        <is>
          <t>[0;34m info_nchar_dml_single_pk_drp [0m源备字段数相同，源端字段：4 	备端字段4</t>
        </is>
      </c>
      <c r="W498" s="0" t="inlineStr">
        <is>
          <t>YES 源备无差异</t>
        </is>
      </c>
      <c r="X498" s="0">
        <f>A498</f>
        <v/>
      </c>
    </row>
    <row r="499">
      <c r="B499" s="0" t="inlineStr">
        <is>
          <t>YES</t>
        </is>
      </c>
      <c r="C499" s="0" t="inlineStr">
        <is>
          <t>NULL</t>
        </is>
      </c>
      <c r="D499" s="0" t="inlineStr">
        <is>
          <t>NULL</t>
        </is>
      </c>
      <c r="E499" s="0" t="inlineStr">
        <is>
          <t>NULL</t>
        </is>
      </c>
      <c r="F499" s="0" t="inlineStr">
        <is>
          <t>NULL</t>
        </is>
      </c>
      <c r="G499" s="0" t="inlineStr">
        <is>
          <t>NULL</t>
        </is>
      </c>
      <c r="H499" s="0" t="inlineStr">
        <is>
          <t>NULL</t>
        </is>
      </c>
      <c r="I499" s="0" t="inlineStr">
        <is>
          <t>YES!PK__info_nch__3213E83FFD93D76F</t>
        </is>
      </c>
      <c r="J499" s="0" t="inlineStr">
        <is>
          <t>YES! 主键相关索引</t>
        </is>
      </c>
      <c r="K499" s="0" t="inlineStr">
        <is>
          <t>YES! 	 id列源备映射正确，源端为int None位	期望更改为int	实际备端为int None位</t>
        </is>
      </c>
    </row>
    <row r="500">
      <c r="B500" s="0" t="inlineStr">
        <is>
          <t>NULL</t>
        </is>
      </c>
      <c r="C500" s="0" t="inlineStr">
        <is>
          <t>NULL</t>
        </is>
      </c>
      <c r="D500" s="0" t="inlineStr">
        <is>
          <t>NULL</t>
        </is>
      </c>
      <c r="E500" s="0" t="inlineStr">
        <is>
          <t>NULL</t>
        </is>
      </c>
      <c r="F500" s="0" t="inlineStr">
        <is>
          <t>NULL</t>
        </is>
      </c>
      <c r="G500" s="0" t="inlineStr">
        <is>
          <t>NULL</t>
        </is>
      </c>
      <c r="H500" s="0" t="inlineStr">
        <is>
          <t>NULL</t>
        </is>
      </c>
      <c r="I500" s="0" t="inlineStr">
        <is>
          <t>NULL</t>
        </is>
      </c>
      <c r="J500" s="0" t="inlineStr">
        <is>
          <t>NULL</t>
        </is>
      </c>
      <c r="K500" s="0" t="inlineStr">
        <is>
          <t>YES! 	 c_nchar列源备映射正确，源端为nchar 2位	期望更改为nchar(n)	实际备端为nchar 2位</t>
        </is>
      </c>
    </row>
    <row r="501">
      <c r="B501" s="0" t="inlineStr">
        <is>
          <t>NULL</t>
        </is>
      </c>
      <c r="C501" s="0" t="inlineStr">
        <is>
          <t>NULL</t>
        </is>
      </c>
      <c r="D501" s="0" t="inlineStr">
        <is>
          <t>NULL</t>
        </is>
      </c>
      <c r="E501" s="0" t="inlineStr">
        <is>
          <t>NULL</t>
        </is>
      </c>
      <c r="F501" s="0" t="inlineStr">
        <is>
          <t>NULL</t>
        </is>
      </c>
      <c r="G501" s="0" t="inlineStr">
        <is>
          <t>NULL</t>
        </is>
      </c>
      <c r="H501" s="0" t="inlineStr">
        <is>
          <t>NULL</t>
        </is>
      </c>
      <c r="I501" s="0" t="inlineStr">
        <is>
          <t>NULL</t>
        </is>
      </c>
      <c r="J501" s="0" t="inlineStr">
        <is>
          <t>NULL</t>
        </is>
      </c>
      <c r="K501" s="0" t="inlineStr">
        <is>
          <t>YES! 	 c_nchar20列源备映射正确，源端为nchar 40位	期望更改为nchar(n)	实际备端为nchar 40位</t>
        </is>
      </c>
    </row>
    <row r="502">
      <c r="B502" s="0" t="inlineStr">
        <is>
          <t>NULL</t>
        </is>
      </c>
      <c r="C502" s="0" t="inlineStr">
        <is>
          <t>NULL</t>
        </is>
      </c>
      <c r="D502" s="0" t="inlineStr">
        <is>
          <t>NULL</t>
        </is>
      </c>
      <c r="E502" s="0" t="inlineStr">
        <is>
          <t>NULL</t>
        </is>
      </c>
      <c r="F502" s="0" t="inlineStr">
        <is>
          <t>NULL</t>
        </is>
      </c>
      <c r="G502" s="0" t="inlineStr">
        <is>
          <t>NULL</t>
        </is>
      </c>
      <c r="H502" s="0" t="inlineStr">
        <is>
          <t>NULL</t>
        </is>
      </c>
      <c r="I502" s="0" t="inlineStr">
        <is>
          <t>NULL</t>
        </is>
      </c>
      <c r="J502" s="0" t="inlineStr">
        <is>
          <t>NULL</t>
        </is>
      </c>
      <c r="K502" s="0" t="inlineStr">
        <is>
          <t>YES! 	 c_nchar3500列源备映射正确，源端为nchar 7000位	期望更改为nchar(n)	实际备端为nchar 7000位</t>
        </is>
      </c>
    </row>
    <row r="503">
      <c r="A503" s="0" t="inlineStr">
        <is>
          <t>info_sdt_dml_batch1_pk_drp2</t>
        </is>
      </c>
      <c r="K503" s="0" t="inlineStr">
        <is>
          <t>[0;34m info_sdt_dml_batch1_pk_drp2 [0m源备字段数相同，源端字段：2 	备端字段2</t>
        </is>
      </c>
      <c r="W503" s="0" t="inlineStr">
        <is>
          <t>YES 源备无差异</t>
        </is>
      </c>
      <c r="X503" s="0">
        <f>A503</f>
        <v/>
      </c>
    </row>
    <row r="504">
      <c r="B504" s="0" t="inlineStr">
        <is>
          <t>YES</t>
        </is>
      </c>
      <c r="C504" s="0" t="inlineStr">
        <is>
          <t>NULL</t>
        </is>
      </c>
      <c r="D504" s="0" t="inlineStr">
        <is>
          <t>NULL</t>
        </is>
      </c>
      <c r="E504" s="0" t="inlineStr">
        <is>
          <t>NULL</t>
        </is>
      </c>
      <c r="F504" s="0" t="inlineStr">
        <is>
          <t>NULL</t>
        </is>
      </c>
      <c r="G504" s="0" t="inlineStr">
        <is>
          <t>NULL</t>
        </is>
      </c>
      <c r="H504" s="0" t="inlineStr">
        <is>
          <t>NULL</t>
        </is>
      </c>
      <c r="I504" s="0" t="inlineStr">
        <is>
          <t>YES!PK__info_sdt__3213E83FFF98C716</t>
        </is>
      </c>
      <c r="J504" s="0" t="inlineStr">
        <is>
          <t>YES! 主键相关索引</t>
        </is>
      </c>
      <c r="K504" s="0" t="inlineStr">
        <is>
          <t>YES! 	 id列源备映射正确，源端为int None位	期望更改为int	实际备端为int None位</t>
        </is>
      </c>
    </row>
    <row r="505">
      <c r="B505" s="0" t="inlineStr">
        <is>
          <t>NULL</t>
        </is>
      </c>
      <c r="C505" s="0" t="inlineStr">
        <is>
          <t>NULL</t>
        </is>
      </c>
      <c r="D505" s="0" t="inlineStr">
        <is>
          <t>NULL</t>
        </is>
      </c>
      <c r="E505" s="0" t="inlineStr">
        <is>
          <t>NULL</t>
        </is>
      </c>
      <c r="F505" s="0" t="inlineStr">
        <is>
          <t>NULL</t>
        </is>
      </c>
      <c r="G505" s="0" t="inlineStr">
        <is>
          <t>NULL</t>
        </is>
      </c>
      <c r="H505" s="0" t="inlineStr">
        <is>
          <t>NULL</t>
        </is>
      </c>
      <c r="I505" s="0" t="inlineStr">
        <is>
          <t>NULL</t>
        </is>
      </c>
      <c r="J505" s="0" t="inlineStr">
        <is>
          <t>NULL</t>
        </is>
      </c>
      <c r="K505" s="0" t="inlineStr">
        <is>
          <t>YES! 	 c_sdt列源备映射正确，源端为smalldatetime None位	期望更改为smalldatetime	实际备端为smalldatetime None位</t>
        </is>
      </c>
    </row>
    <row r="506">
      <c r="A506" s="0" t="inlineStr">
        <is>
          <t>info_int_dml_single_nopk</t>
        </is>
      </c>
      <c r="K506" s="0" t="inlineStr">
        <is>
          <t>[0;34m info_int_dml_single_nopk [0m源备字段数相同，源端字段：20 	备端字段20</t>
        </is>
      </c>
      <c r="W506" s="0" t="inlineStr">
        <is>
          <t>YES 源备无差异</t>
        </is>
      </c>
      <c r="X506" s="0">
        <f>A506</f>
        <v/>
      </c>
    </row>
    <row r="507">
      <c r="B507" s="0" t="inlineStr">
        <is>
          <t>NULL</t>
        </is>
      </c>
      <c r="C507" s="0" t="inlineStr">
        <is>
          <t>NULL</t>
        </is>
      </c>
      <c r="D507" s="0" t="inlineStr">
        <is>
          <t>NULL</t>
        </is>
      </c>
      <c r="E507" s="0" t="inlineStr">
        <is>
          <t>NULL</t>
        </is>
      </c>
      <c r="F507" s="0" t="inlineStr">
        <is>
          <t>NULL</t>
        </is>
      </c>
      <c r="G507" s="0" t="inlineStr">
        <is>
          <t>NULL</t>
        </is>
      </c>
      <c r="H507" s="0" t="inlineStr">
        <is>
          <t>NULL</t>
        </is>
      </c>
      <c r="I507" s="0" t="inlineStr">
        <is>
          <t>NULL</t>
        </is>
      </c>
      <c r="J507" s="0" t="inlineStr">
        <is>
          <t>NULL</t>
        </is>
      </c>
      <c r="K507" s="0" t="inlineStr">
        <is>
          <t>YES! 	 id列源备映射正确，源端为int None位	期望更改为int	实际备端为int None位</t>
        </is>
      </c>
    </row>
    <row r="508">
      <c r="B508" s="0" t="inlineStr">
        <is>
          <t>NULL</t>
        </is>
      </c>
      <c r="C508" s="0" t="inlineStr">
        <is>
          <t>NULL</t>
        </is>
      </c>
      <c r="D508" s="0" t="inlineStr">
        <is>
          <t>NULL</t>
        </is>
      </c>
      <c r="E508" s="0" t="inlineStr">
        <is>
          <t>NULL</t>
        </is>
      </c>
      <c r="F508" s="0" t="inlineStr">
        <is>
          <t>NULL</t>
        </is>
      </c>
      <c r="G508" s="0" t="inlineStr">
        <is>
          <t>NULL</t>
        </is>
      </c>
      <c r="H508" s="0" t="inlineStr">
        <is>
          <t>NULL</t>
        </is>
      </c>
      <c r="I508" s="0" t="inlineStr">
        <is>
          <t>NULL</t>
        </is>
      </c>
      <c r="J508" s="0" t="inlineStr">
        <is>
          <t>NULL</t>
        </is>
      </c>
      <c r="K508" s="0" t="inlineStr">
        <is>
          <t>YES! 	 c_tinyint列源备映射正确，源端为tinyint None位	期望更改为tinyint	实际备端为tinyint None位</t>
        </is>
      </c>
    </row>
    <row r="509">
      <c r="B509" s="0" t="inlineStr">
        <is>
          <t>NULL</t>
        </is>
      </c>
      <c r="C509" s="0" t="inlineStr">
        <is>
          <t>NULL</t>
        </is>
      </c>
      <c r="D509" s="0" t="inlineStr">
        <is>
          <t>NULL</t>
        </is>
      </c>
      <c r="E509" s="0" t="inlineStr">
        <is>
          <t>NULL</t>
        </is>
      </c>
      <c r="F509" s="0" t="inlineStr">
        <is>
          <t>NULL</t>
        </is>
      </c>
      <c r="G509" s="0" t="inlineStr">
        <is>
          <t>NULL</t>
        </is>
      </c>
      <c r="H509" s="0" t="inlineStr">
        <is>
          <t>NULL</t>
        </is>
      </c>
      <c r="I509" s="0" t="inlineStr">
        <is>
          <t>NULL</t>
        </is>
      </c>
      <c r="J509" s="0" t="inlineStr">
        <is>
          <t>NULL</t>
        </is>
      </c>
      <c r="K509" s="0" t="inlineStr">
        <is>
          <t>YES! 	 c_smallint列源备映射正确，源端为smallint None位	期望更改为smallint	实际备端为smallint None位</t>
        </is>
      </c>
    </row>
    <row r="510">
      <c r="B510" s="0" t="inlineStr">
        <is>
          <t>NULL</t>
        </is>
      </c>
      <c r="C510" s="0" t="inlineStr">
        <is>
          <t>NULL</t>
        </is>
      </c>
      <c r="D510" s="0" t="inlineStr">
        <is>
          <t>NULL</t>
        </is>
      </c>
      <c r="E510" s="0" t="inlineStr">
        <is>
          <t>NULL</t>
        </is>
      </c>
      <c r="F510" s="0" t="inlineStr">
        <is>
          <t>NULL</t>
        </is>
      </c>
      <c r="G510" s="0" t="inlineStr">
        <is>
          <t>NULL</t>
        </is>
      </c>
      <c r="H510" s="0" t="inlineStr">
        <is>
          <t>NULL</t>
        </is>
      </c>
      <c r="I510" s="0" t="inlineStr">
        <is>
          <t>NULL</t>
        </is>
      </c>
      <c r="J510" s="0" t="inlineStr">
        <is>
          <t>NULL</t>
        </is>
      </c>
      <c r="K510" s="0" t="inlineStr">
        <is>
          <t>YES! 	 c_int列源备映射正确，源端为int None位	期望更改为int	实际备端为int None位</t>
        </is>
      </c>
    </row>
    <row r="511">
      <c r="B511" s="0" t="inlineStr">
        <is>
          <t>NULL</t>
        </is>
      </c>
      <c r="C511" s="0" t="inlineStr">
        <is>
          <t>NULL</t>
        </is>
      </c>
      <c r="D511" s="0" t="inlineStr">
        <is>
          <t>NULL</t>
        </is>
      </c>
      <c r="E511" s="0" t="inlineStr">
        <is>
          <t>NULL</t>
        </is>
      </c>
      <c r="F511" s="0" t="inlineStr">
        <is>
          <t>NULL</t>
        </is>
      </c>
      <c r="G511" s="0" t="inlineStr">
        <is>
          <t>NULL</t>
        </is>
      </c>
      <c r="H511" s="0" t="inlineStr">
        <is>
          <t>NULL</t>
        </is>
      </c>
      <c r="I511" s="0" t="inlineStr">
        <is>
          <t>NULL</t>
        </is>
      </c>
      <c r="J511" s="0" t="inlineStr">
        <is>
          <t>NULL</t>
        </is>
      </c>
      <c r="K511" s="0" t="inlineStr">
        <is>
          <t>YES! 	 c_bigint列源备映射正确，源端为bigint None位	期望更改为bigint	实际备端为bigint None位</t>
        </is>
      </c>
    </row>
    <row r="512">
      <c r="B512" s="0" t="inlineStr">
        <is>
          <t>NULL</t>
        </is>
      </c>
      <c r="C512" s="0" t="inlineStr">
        <is>
          <t>NULL</t>
        </is>
      </c>
      <c r="D512" s="0" t="inlineStr">
        <is>
          <t>NULL</t>
        </is>
      </c>
      <c r="E512" s="0" t="inlineStr">
        <is>
          <t>NULL</t>
        </is>
      </c>
      <c r="F512" s="0" t="inlineStr">
        <is>
          <t>NULL</t>
        </is>
      </c>
      <c r="G512" s="0" t="inlineStr">
        <is>
          <t>NULL</t>
        </is>
      </c>
      <c r="H512" s="0" t="inlineStr">
        <is>
          <t>NULL</t>
        </is>
      </c>
      <c r="I512" s="0" t="inlineStr">
        <is>
          <t>NULL</t>
        </is>
      </c>
      <c r="J512" s="0" t="inlineStr">
        <is>
          <t>NULL</t>
        </is>
      </c>
      <c r="K512" s="0" t="inlineStr">
        <is>
          <t>YES! 	 c_decimal列源备映射正确，源端为decimal None位	期望更改为decimal(p,s)	实际备端为decimal None位</t>
        </is>
      </c>
    </row>
    <row r="513">
      <c r="B513" s="0" t="inlineStr">
        <is>
          <t>NULL</t>
        </is>
      </c>
      <c r="C513" s="0" t="inlineStr">
        <is>
          <t>NULL</t>
        </is>
      </c>
      <c r="D513" s="0" t="inlineStr">
        <is>
          <t>NULL</t>
        </is>
      </c>
      <c r="E513" s="0" t="inlineStr">
        <is>
          <t>NULL</t>
        </is>
      </c>
      <c r="F513" s="0" t="inlineStr">
        <is>
          <t>NULL</t>
        </is>
      </c>
      <c r="G513" s="0" t="inlineStr">
        <is>
          <t>NULL</t>
        </is>
      </c>
      <c r="H513" s="0" t="inlineStr">
        <is>
          <t>NULL</t>
        </is>
      </c>
      <c r="I513" s="0" t="inlineStr">
        <is>
          <t>NULL</t>
        </is>
      </c>
      <c r="J513" s="0" t="inlineStr">
        <is>
          <t>NULL</t>
        </is>
      </c>
      <c r="K513" s="0" t="inlineStr">
        <is>
          <t>YES! 	 c_decimal38列源备映射正确，源端为decimal None位	期望更改为decimal(p,s)	实际备端为decimal None位</t>
        </is>
      </c>
    </row>
    <row r="514">
      <c r="B514" s="0" t="inlineStr">
        <is>
          <t>NULL</t>
        </is>
      </c>
      <c r="C514" s="0" t="inlineStr">
        <is>
          <t>NULL</t>
        </is>
      </c>
      <c r="D514" s="0" t="inlineStr">
        <is>
          <t>NULL</t>
        </is>
      </c>
      <c r="E514" s="0" t="inlineStr">
        <is>
          <t>NULL</t>
        </is>
      </c>
      <c r="F514" s="0" t="inlineStr">
        <is>
          <t>NULL</t>
        </is>
      </c>
      <c r="G514" s="0" t="inlineStr">
        <is>
          <t>NULL</t>
        </is>
      </c>
      <c r="H514" s="0" t="inlineStr">
        <is>
          <t>NULL</t>
        </is>
      </c>
      <c r="I514" s="0" t="inlineStr">
        <is>
          <t>NULL</t>
        </is>
      </c>
      <c r="J514" s="0" t="inlineStr">
        <is>
          <t>NULL</t>
        </is>
      </c>
      <c r="K514" s="0" t="inlineStr">
        <is>
          <t>YES! 	 c_decimal38_38列源备映射正确，源端为decimal None位	期望更改为decimal(p,s)	实际备端为decimal None位</t>
        </is>
      </c>
    </row>
    <row r="515">
      <c r="B515" s="0" t="inlineStr">
        <is>
          <t>NULL</t>
        </is>
      </c>
      <c r="C515" s="0" t="inlineStr">
        <is>
          <t>NULL</t>
        </is>
      </c>
      <c r="D515" s="0" t="inlineStr">
        <is>
          <t>NULL</t>
        </is>
      </c>
      <c r="E515" s="0" t="inlineStr">
        <is>
          <t>NULL</t>
        </is>
      </c>
      <c r="F515" s="0" t="inlineStr">
        <is>
          <t>NULL</t>
        </is>
      </c>
      <c r="G515" s="0" t="inlineStr">
        <is>
          <t>NULL</t>
        </is>
      </c>
      <c r="H515" s="0" t="inlineStr">
        <is>
          <t>NULL</t>
        </is>
      </c>
      <c r="I515" s="0" t="inlineStr">
        <is>
          <t>NULL</t>
        </is>
      </c>
      <c r="J515" s="0" t="inlineStr">
        <is>
          <t>NULL</t>
        </is>
      </c>
      <c r="K515" s="0" t="inlineStr">
        <is>
          <t>YES! 	 c_decimal38_10列源备映射正确，源端为decimal None位	期望更改为decimal(p,s)	实际备端为decimal None位</t>
        </is>
      </c>
    </row>
    <row r="516">
      <c r="B516" s="0" t="inlineStr">
        <is>
          <t>NULL</t>
        </is>
      </c>
      <c r="C516" s="0" t="inlineStr">
        <is>
          <t>NULL</t>
        </is>
      </c>
      <c r="D516" s="0" t="inlineStr">
        <is>
          <t>NULL</t>
        </is>
      </c>
      <c r="E516" s="0" t="inlineStr">
        <is>
          <t>NULL</t>
        </is>
      </c>
      <c r="F516" s="0" t="inlineStr">
        <is>
          <t>NULL</t>
        </is>
      </c>
      <c r="G516" s="0" t="inlineStr">
        <is>
          <t>NULL</t>
        </is>
      </c>
      <c r="H516" s="0" t="inlineStr">
        <is>
          <t>NULL</t>
        </is>
      </c>
      <c r="I516" s="0" t="inlineStr">
        <is>
          <t>NULL</t>
        </is>
      </c>
      <c r="J516" s="0" t="inlineStr">
        <is>
          <t>NULL</t>
        </is>
      </c>
      <c r="K516" s="0" t="inlineStr">
        <is>
          <t>YES! 	 c_decimal19_4列源备映射正确，源端为decimal None位	期望更改为decimal(p,s)	实际备端为decimal None位</t>
        </is>
      </c>
    </row>
    <row r="517">
      <c r="B517" s="0" t="inlineStr">
        <is>
          <t>NULL</t>
        </is>
      </c>
      <c r="C517" s="0" t="inlineStr">
        <is>
          <t>NULL</t>
        </is>
      </c>
      <c r="D517" s="0" t="inlineStr">
        <is>
          <t>NULL</t>
        </is>
      </c>
      <c r="E517" s="0" t="inlineStr">
        <is>
          <t>NULL</t>
        </is>
      </c>
      <c r="F517" s="0" t="inlineStr">
        <is>
          <t>NULL</t>
        </is>
      </c>
      <c r="G517" s="0" t="inlineStr">
        <is>
          <t>NULL</t>
        </is>
      </c>
      <c r="H517" s="0" t="inlineStr">
        <is>
          <t>NULL</t>
        </is>
      </c>
      <c r="I517" s="0" t="inlineStr">
        <is>
          <t>NULL</t>
        </is>
      </c>
      <c r="J517" s="0" t="inlineStr">
        <is>
          <t>NULL</t>
        </is>
      </c>
      <c r="K517" s="0" t="inlineStr">
        <is>
          <t>YES! 	 c_numeric列源备映射正确，源端为numeric None位	期望更改为numeric(p,s)	实际备端为numeric None位</t>
        </is>
      </c>
    </row>
    <row r="518">
      <c r="B518" s="0" t="inlineStr">
        <is>
          <t>NULL</t>
        </is>
      </c>
      <c r="C518" s="0" t="inlineStr">
        <is>
          <t>NULL</t>
        </is>
      </c>
      <c r="D518" s="0" t="inlineStr">
        <is>
          <t>NULL</t>
        </is>
      </c>
      <c r="E518" s="0" t="inlineStr">
        <is>
          <t>NULL</t>
        </is>
      </c>
      <c r="F518" s="0" t="inlineStr">
        <is>
          <t>NULL</t>
        </is>
      </c>
      <c r="G518" s="0" t="inlineStr">
        <is>
          <t>NULL</t>
        </is>
      </c>
      <c r="H518" s="0" t="inlineStr">
        <is>
          <t>NULL</t>
        </is>
      </c>
      <c r="I518" s="0" t="inlineStr">
        <is>
          <t>NULL</t>
        </is>
      </c>
      <c r="J518" s="0" t="inlineStr">
        <is>
          <t>NULL</t>
        </is>
      </c>
      <c r="K518" s="0" t="inlineStr">
        <is>
          <t>YES! 	 c_numeric38列源备映射正确，源端为numeric None位	期望更改为numeric(p,s)	实际备端为numeric None位</t>
        </is>
      </c>
    </row>
    <row r="519">
      <c r="B519" s="0" t="inlineStr">
        <is>
          <t>NULL</t>
        </is>
      </c>
      <c r="C519" s="0" t="inlineStr">
        <is>
          <t>NULL</t>
        </is>
      </c>
      <c r="D519" s="0" t="inlineStr">
        <is>
          <t>NULL</t>
        </is>
      </c>
      <c r="E519" s="0" t="inlineStr">
        <is>
          <t>NULL</t>
        </is>
      </c>
      <c r="F519" s="0" t="inlineStr">
        <is>
          <t>NULL</t>
        </is>
      </c>
      <c r="G519" s="0" t="inlineStr">
        <is>
          <t>NULL</t>
        </is>
      </c>
      <c r="H519" s="0" t="inlineStr">
        <is>
          <t>NULL</t>
        </is>
      </c>
      <c r="I519" s="0" t="inlineStr">
        <is>
          <t>NULL</t>
        </is>
      </c>
      <c r="J519" s="0" t="inlineStr">
        <is>
          <t>NULL</t>
        </is>
      </c>
      <c r="K519" s="0" t="inlineStr">
        <is>
          <t>YES! 	 c_numeric38_38列源备映射正确，源端为numeric None位	期望更改为numeric(p,s)	实际备端为numeric None位</t>
        </is>
      </c>
    </row>
    <row r="520">
      <c r="B520" s="0" t="inlineStr">
        <is>
          <t>NULL</t>
        </is>
      </c>
      <c r="C520" s="0" t="inlineStr">
        <is>
          <t>NULL</t>
        </is>
      </c>
      <c r="D520" s="0" t="inlineStr">
        <is>
          <t>NULL</t>
        </is>
      </c>
      <c r="E520" s="0" t="inlineStr">
        <is>
          <t>NULL</t>
        </is>
      </c>
      <c r="F520" s="0" t="inlineStr">
        <is>
          <t>NULL</t>
        </is>
      </c>
      <c r="G520" s="0" t="inlineStr">
        <is>
          <t>NULL</t>
        </is>
      </c>
      <c r="H520" s="0" t="inlineStr">
        <is>
          <t>NULL</t>
        </is>
      </c>
      <c r="I520" s="0" t="inlineStr">
        <is>
          <t>NULL</t>
        </is>
      </c>
      <c r="J520" s="0" t="inlineStr">
        <is>
          <t>NULL</t>
        </is>
      </c>
      <c r="K520" s="0" t="inlineStr">
        <is>
          <t>YES! 	 c_numeric38_10列源备映射正确，源端为numeric None位	期望更改为numeric(p,s)	实际备端为numeric None位</t>
        </is>
      </c>
    </row>
    <row r="521">
      <c r="B521" s="0" t="inlineStr">
        <is>
          <t>NULL</t>
        </is>
      </c>
      <c r="C521" s="0" t="inlineStr">
        <is>
          <t>NULL</t>
        </is>
      </c>
      <c r="D521" s="0" t="inlineStr">
        <is>
          <t>NULL</t>
        </is>
      </c>
      <c r="E521" s="0" t="inlineStr">
        <is>
          <t>NULL</t>
        </is>
      </c>
      <c r="F521" s="0" t="inlineStr">
        <is>
          <t>NULL</t>
        </is>
      </c>
      <c r="G521" s="0" t="inlineStr">
        <is>
          <t>NULL</t>
        </is>
      </c>
      <c r="H521" s="0" t="inlineStr">
        <is>
          <t>NULL</t>
        </is>
      </c>
      <c r="I521" s="0" t="inlineStr">
        <is>
          <t>NULL</t>
        </is>
      </c>
      <c r="J521" s="0" t="inlineStr">
        <is>
          <t>NULL</t>
        </is>
      </c>
      <c r="K521" s="0" t="inlineStr">
        <is>
          <t>YES! 	 c_numeric18_2列源备映射正确，源端为numeric None位	期望更改为numeric(p,s)	实际备端为numeric None位</t>
        </is>
      </c>
    </row>
    <row r="522">
      <c r="B522" s="0" t="inlineStr">
        <is>
          <t>NULL</t>
        </is>
      </c>
      <c r="C522" s="0" t="inlineStr">
        <is>
          <t>NULL</t>
        </is>
      </c>
      <c r="D522" s="0" t="inlineStr">
        <is>
          <t>NULL</t>
        </is>
      </c>
      <c r="E522" s="0" t="inlineStr">
        <is>
          <t>NULL</t>
        </is>
      </c>
      <c r="F522" s="0" t="inlineStr">
        <is>
          <t>NULL</t>
        </is>
      </c>
      <c r="G522" s="0" t="inlineStr">
        <is>
          <t>NULL</t>
        </is>
      </c>
      <c r="H522" s="0" t="inlineStr">
        <is>
          <t>NULL</t>
        </is>
      </c>
      <c r="I522" s="0" t="inlineStr">
        <is>
          <t>NULL</t>
        </is>
      </c>
      <c r="J522" s="0" t="inlineStr">
        <is>
          <t>NULL</t>
        </is>
      </c>
      <c r="K522" s="0" t="inlineStr">
        <is>
          <t>YES! 	 c_float列源备映射正确，源端为float None位	期望更改为float	实际备端为float None位</t>
        </is>
      </c>
    </row>
    <row r="523">
      <c r="B523" s="0" t="inlineStr">
        <is>
          <t>NULL</t>
        </is>
      </c>
      <c r="C523" s="0" t="inlineStr">
        <is>
          <t>NULL</t>
        </is>
      </c>
      <c r="D523" s="0" t="inlineStr">
        <is>
          <t>NULL</t>
        </is>
      </c>
      <c r="E523" s="0" t="inlineStr">
        <is>
          <t>NULL</t>
        </is>
      </c>
      <c r="F523" s="0" t="inlineStr">
        <is>
          <t>NULL</t>
        </is>
      </c>
      <c r="G523" s="0" t="inlineStr">
        <is>
          <t>NULL</t>
        </is>
      </c>
      <c r="H523" s="0" t="inlineStr">
        <is>
          <t>NULL</t>
        </is>
      </c>
      <c r="I523" s="0" t="inlineStr">
        <is>
          <t>NULL</t>
        </is>
      </c>
      <c r="J523" s="0" t="inlineStr">
        <is>
          <t>NULL</t>
        </is>
      </c>
      <c r="K523" s="0" t="inlineStr">
        <is>
          <t>YES! 	 c_real列源备映射正确，源端为real None位	期望更改为real	实际备端为real None位</t>
        </is>
      </c>
    </row>
    <row r="524">
      <c r="B524" s="0" t="inlineStr">
        <is>
          <t>NULL</t>
        </is>
      </c>
      <c r="C524" s="0" t="inlineStr">
        <is>
          <t>NULL</t>
        </is>
      </c>
      <c r="D524" s="0" t="inlineStr">
        <is>
          <t>NULL</t>
        </is>
      </c>
      <c r="E524" s="0" t="inlineStr">
        <is>
          <t>NULL</t>
        </is>
      </c>
      <c r="F524" s="0" t="inlineStr">
        <is>
          <t>NULL</t>
        </is>
      </c>
      <c r="G524" s="0" t="inlineStr">
        <is>
          <t>NULL</t>
        </is>
      </c>
      <c r="H524" s="0" t="inlineStr">
        <is>
          <t>NULL</t>
        </is>
      </c>
      <c r="I524" s="0" t="inlineStr">
        <is>
          <t>NULL</t>
        </is>
      </c>
      <c r="J524" s="0" t="inlineStr">
        <is>
          <t>NULL</t>
        </is>
      </c>
      <c r="K524" s="0" t="inlineStr">
        <is>
          <t>YES! 	 c_money列源备映射正确，源端为money None位	期望更改为money	实际备端为money None位</t>
        </is>
      </c>
    </row>
    <row r="525">
      <c r="B525" s="0" t="inlineStr">
        <is>
          <t>NULL</t>
        </is>
      </c>
      <c r="C525" s="0" t="inlineStr">
        <is>
          <t>NULL</t>
        </is>
      </c>
      <c r="D525" s="0" t="inlineStr">
        <is>
          <t>NULL</t>
        </is>
      </c>
      <c r="E525" s="0" t="inlineStr">
        <is>
          <t>NULL</t>
        </is>
      </c>
      <c r="F525" s="0" t="inlineStr">
        <is>
          <t>NULL</t>
        </is>
      </c>
      <c r="G525" s="0" t="inlineStr">
        <is>
          <t>NULL</t>
        </is>
      </c>
      <c r="H525" s="0" t="inlineStr">
        <is>
          <t>NULL</t>
        </is>
      </c>
      <c r="I525" s="0" t="inlineStr">
        <is>
          <t>NULL</t>
        </is>
      </c>
      <c r="J525" s="0" t="inlineStr">
        <is>
          <t>NULL</t>
        </is>
      </c>
      <c r="K525" s="0" t="inlineStr">
        <is>
          <t>YES! 	 c_smallmoney列源备映射正确，源端为smallmoney None位	期望更改为smallmoney	实际备端为smallmoney None位</t>
        </is>
      </c>
    </row>
    <row r="526">
      <c r="B526" s="0" t="inlineStr">
        <is>
          <t>NULL</t>
        </is>
      </c>
      <c r="C526" s="0" t="inlineStr">
        <is>
          <t>NULL</t>
        </is>
      </c>
      <c r="D526" s="0" t="inlineStr">
        <is>
          <t>NULL</t>
        </is>
      </c>
      <c r="E526" s="0" t="inlineStr">
        <is>
          <t>NULL</t>
        </is>
      </c>
      <c r="F526" s="0" t="inlineStr">
        <is>
          <t>NULL</t>
        </is>
      </c>
      <c r="G526" s="0" t="inlineStr">
        <is>
          <t>NULL</t>
        </is>
      </c>
      <c r="H526" s="0" t="inlineStr">
        <is>
          <t>NULL</t>
        </is>
      </c>
      <c r="I526" s="0" t="inlineStr">
        <is>
          <t>NULL</t>
        </is>
      </c>
      <c r="J526" s="0" t="inlineStr">
        <is>
          <t>NULL</t>
        </is>
      </c>
      <c r="K526" s="0" t="inlineStr">
        <is>
          <t>YES! 	 c_bit列源备映射正确，源端为bit None位	期望更改为bit	实际备端为bit None位</t>
        </is>
      </c>
    </row>
    <row r="527">
      <c r="A527" s="0" t="inlineStr">
        <is>
          <t>info_sql_variant_dml_single_pk_drp</t>
        </is>
      </c>
      <c r="K527" s="0" t="inlineStr">
        <is>
          <t>[0;34m info_sql_variant_dml_single_pk_drp [0m源备字段数相同，源端字段：25 	备端字段25</t>
        </is>
      </c>
      <c r="W527" s="0" t="inlineStr">
        <is>
          <t>YES 源备无差异</t>
        </is>
      </c>
      <c r="X527" s="0">
        <f>A527</f>
        <v/>
      </c>
    </row>
    <row r="528">
      <c r="B528" s="0" t="inlineStr">
        <is>
          <t>YES</t>
        </is>
      </c>
      <c r="C528" s="0" t="inlineStr">
        <is>
          <t>NULL</t>
        </is>
      </c>
      <c r="D528" s="0" t="inlineStr">
        <is>
          <t>NULL</t>
        </is>
      </c>
      <c r="E528" s="0" t="inlineStr">
        <is>
          <t>NULL</t>
        </is>
      </c>
      <c r="F528" s="0" t="inlineStr">
        <is>
          <t>NULL</t>
        </is>
      </c>
      <c r="G528" s="0" t="inlineStr">
        <is>
          <t>NULL</t>
        </is>
      </c>
      <c r="H528" s="0" t="inlineStr">
        <is>
          <t>NULL</t>
        </is>
      </c>
      <c r="I528" s="0" t="inlineStr">
        <is>
          <t>YES!PK__info_sql__3213E83FE63D4520</t>
        </is>
      </c>
      <c r="J528" s="0" t="inlineStr">
        <is>
          <t>YES! 主键相关索引</t>
        </is>
      </c>
      <c r="K528" s="0" t="inlineStr">
        <is>
          <t>YES! 	 id列源备映射正确，源端为int None位	期望更改为int	实际备端为int None位</t>
        </is>
      </c>
    </row>
    <row r="529">
      <c r="B529" s="0" t="inlineStr">
        <is>
          <t>NULL</t>
        </is>
      </c>
      <c r="C529" s="0" t="inlineStr">
        <is>
          <t>NULL</t>
        </is>
      </c>
      <c r="D529" s="0" t="inlineStr">
        <is>
          <t>NULL</t>
        </is>
      </c>
      <c r="E529" s="0" t="inlineStr">
        <is>
          <t>NULL</t>
        </is>
      </c>
      <c r="F529" s="0" t="inlineStr">
        <is>
          <t>NULL</t>
        </is>
      </c>
      <c r="G529" s="0" t="inlineStr">
        <is>
          <t>NULL</t>
        </is>
      </c>
      <c r="H529" s="0" t="inlineStr">
        <is>
          <t>NULL</t>
        </is>
      </c>
      <c r="I529" s="0" t="inlineStr">
        <is>
          <t>NULL</t>
        </is>
      </c>
      <c r="J529" s="0" t="inlineStr">
        <is>
          <t>NULL</t>
        </is>
      </c>
      <c r="K529" s="0" t="inlineStr">
        <is>
          <t>YES! 	 c_date列源备映射正确，源端为sql_variant 0位	期望更改为sql_variant	实际备端为sql_variant 0位</t>
        </is>
      </c>
    </row>
    <row r="530">
      <c r="B530" s="0" t="inlineStr">
        <is>
          <t>NULL</t>
        </is>
      </c>
      <c r="C530" s="0" t="inlineStr">
        <is>
          <t>NULL</t>
        </is>
      </c>
      <c r="D530" s="0" t="inlineStr">
        <is>
          <t>NULL</t>
        </is>
      </c>
      <c r="E530" s="0" t="inlineStr">
        <is>
          <t>NULL</t>
        </is>
      </c>
      <c r="F530" s="0" t="inlineStr">
        <is>
          <t>NULL</t>
        </is>
      </c>
      <c r="G530" s="0" t="inlineStr">
        <is>
          <t>NULL</t>
        </is>
      </c>
      <c r="H530" s="0" t="inlineStr">
        <is>
          <t>NULL</t>
        </is>
      </c>
      <c r="I530" s="0" t="inlineStr">
        <is>
          <t>NULL</t>
        </is>
      </c>
      <c r="J530" s="0" t="inlineStr">
        <is>
          <t>NULL</t>
        </is>
      </c>
      <c r="K530" s="0" t="inlineStr">
        <is>
          <t>YES! 	 c_time列源备映射正确，源端为sql_variant 0位	期望更改为sql_variant	实际备端为sql_variant 0位</t>
        </is>
      </c>
    </row>
    <row r="531">
      <c r="B531" s="0" t="inlineStr">
        <is>
          <t>NULL</t>
        </is>
      </c>
      <c r="C531" s="0" t="inlineStr">
        <is>
          <t>NULL</t>
        </is>
      </c>
      <c r="D531" s="0" t="inlineStr">
        <is>
          <t>NULL</t>
        </is>
      </c>
      <c r="E531" s="0" t="inlineStr">
        <is>
          <t>NULL</t>
        </is>
      </c>
      <c r="F531" s="0" t="inlineStr">
        <is>
          <t>NULL</t>
        </is>
      </c>
      <c r="G531" s="0" t="inlineStr">
        <is>
          <t>NULL</t>
        </is>
      </c>
      <c r="H531" s="0" t="inlineStr">
        <is>
          <t>NULL</t>
        </is>
      </c>
      <c r="I531" s="0" t="inlineStr">
        <is>
          <t>NULL</t>
        </is>
      </c>
      <c r="J531" s="0" t="inlineStr">
        <is>
          <t>NULL</t>
        </is>
      </c>
      <c r="K531" s="0" t="inlineStr">
        <is>
          <t>YES! 	 c_datetime2列源备映射正确，源端为sql_variant 0位	期望更改为sql_variant	实际备端为sql_variant 0位</t>
        </is>
      </c>
    </row>
    <row r="532">
      <c r="B532" s="0" t="inlineStr">
        <is>
          <t>NULL</t>
        </is>
      </c>
      <c r="C532" s="0" t="inlineStr">
        <is>
          <t>NULL</t>
        </is>
      </c>
      <c r="D532" s="0" t="inlineStr">
        <is>
          <t>NULL</t>
        </is>
      </c>
      <c r="E532" s="0" t="inlineStr">
        <is>
          <t>NULL</t>
        </is>
      </c>
      <c r="F532" s="0" t="inlineStr">
        <is>
          <t>NULL</t>
        </is>
      </c>
      <c r="G532" s="0" t="inlineStr">
        <is>
          <t>NULL</t>
        </is>
      </c>
      <c r="H532" s="0" t="inlineStr">
        <is>
          <t>NULL</t>
        </is>
      </c>
      <c r="I532" s="0" t="inlineStr">
        <is>
          <t>NULL</t>
        </is>
      </c>
      <c r="J532" s="0" t="inlineStr">
        <is>
          <t>NULL</t>
        </is>
      </c>
      <c r="K532" s="0" t="inlineStr">
        <is>
          <t>YES! 	 c_datetimeoffset列源备映射正确，源端为sql_variant 0位	期望更改为sql_variant	实际备端为sql_variant 0位</t>
        </is>
      </c>
    </row>
    <row r="533">
      <c r="B533" s="0" t="inlineStr">
        <is>
          <t>NULL</t>
        </is>
      </c>
      <c r="C533" s="0" t="inlineStr">
        <is>
          <t>NULL</t>
        </is>
      </c>
      <c r="D533" s="0" t="inlineStr">
        <is>
          <t>NULL</t>
        </is>
      </c>
      <c r="E533" s="0" t="inlineStr">
        <is>
          <t>NULL</t>
        </is>
      </c>
      <c r="F533" s="0" t="inlineStr">
        <is>
          <t>NULL</t>
        </is>
      </c>
      <c r="G533" s="0" t="inlineStr">
        <is>
          <t>NULL</t>
        </is>
      </c>
      <c r="H533" s="0" t="inlineStr">
        <is>
          <t>NULL</t>
        </is>
      </c>
      <c r="I533" s="0" t="inlineStr">
        <is>
          <t>NULL</t>
        </is>
      </c>
      <c r="J533" s="0" t="inlineStr">
        <is>
          <t>NULL</t>
        </is>
      </c>
      <c r="K533" s="0" t="inlineStr">
        <is>
          <t>YES! 	 c_tinyint列源备映射正确，源端为sql_variant 0位	期望更改为sql_variant	实际备端为sql_variant 0位</t>
        </is>
      </c>
    </row>
    <row r="534">
      <c r="B534" s="0" t="inlineStr">
        <is>
          <t>NULL</t>
        </is>
      </c>
      <c r="C534" s="0" t="inlineStr">
        <is>
          <t>NULL</t>
        </is>
      </c>
      <c r="D534" s="0" t="inlineStr">
        <is>
          <t>NULL</t>
        </is>
      </c>
      <c r="E534" s="0" t="inlineStr">
        <is>
          <t>NULL</t>
        </is>
      </c>
      <c r="F534" s="0" t="inlineStr">
        <is>
          <t>NULL</t>
        </is>
      </c>
      <c r="G534" s="0" t="inlineStr">
        <is>
          <t>NULL</t>
        </is>
      </c>
      <c r="H534" s="0" t="inlineStr">
        <is>
          <t>NULL</t>
        </is>
      </c>
      <c r="I534" s="0" t="inlineStr">
        <is>
          <t>NULL</t>
        </is>
      </c>
      <c r="J534" s="0" t="inlineStr">
        <is>
          <t>NULL</t>
        </is>
      </c>
      <c r="K534" s="0" t="inlineStr">
        <is>
          <t>YES! 	 c_smallint列源备映射正确，源端为sql_variant 0位	期望更改为sql_variant	实际备端为sql_variant 0位</t>
        </is>
      </c>
    </row>
    <row r="535">
      <c r="B535" s="0" t="inlineStr">
        <is>
          <t>NULL</t>
        </is>
      </c>
      <c r="C535" s="0" t="inlineStr">
        <is>
          <t>NULL</t>
        </is>
      </c>
      <c r="D535" s="0" t="inlineStr">
        <is>
          <t>NULL</t>
        </is>
      </c>
      <c r="E535" s="0" t="inlineStr">
        <is>
          <t>NULL</t>
        </is>
      </c>
      <c r="F535" s="0" t="inlineStr">
        <is>
          <t>NULL</t>
        </is>
      </c>
      <c r="G535" s="0" t="inlineStr">
        <is>
          <t>NULL</t>
        </is>
      </c>
      <c r="H535" s="0" t="inlineStr">
        <is>
          <t>NULL</t>
        </is>
      </c>
      <c r="I535" s="0" t="inlineStr">
        <is>
          <t>NULL</t>
        </is>
      </c>
      <c r="J535" s="0" t="inlineStr">
        <is>
          <t>NULL</t>
        </is>
      </c>
      <c r="K535" s="0" t="inlineStr">
        <is>
          <t>YES! 	 c_int列源备映射正确，源端为sql_variant 0位	期望更改为sql_variant	实际备端为sql_variant 0位</t>
        </is>
      </c>
    </row>
    <row r="536">
      <c r="B536" s="0" t="inlineStr">
        <is>
          <t>NULL</t>
        </is>
      </c>
      <c r="C536" s="0" t="inlineStr">
        <is>
          <t>NULL</t>
        </is>
      </c>
      <c r="D536" s="0" t="inlineStr">
        <is>
          <t>NULL</t>
        </is>
      </c>
      <c r="E536" s="0" t="inlineStr">
        <is>
          <t>NULL</t>
        </is>
      </c>
      <c r="F536" s="0" t="inlineStr">
        <is>
          <t>NULL</t>
        </is>
      </c>
      <c r="G536" s="0" t="inlineStr">
        <is>
          <t>NULL</t>
        </is>
      </c>
      <c r="H536" s="0" t="inlineStr">
        <is>
          <t>NULL</t>
        </is>
      </c>
      <c r="I536" s="0" t="inlineStr">
        <is>
          <t>NULL</t>
        </is>
      </c>
      <c r="J536" s="0" t="inlineStr">
        <is>
          <t>NULL</t>
        </is>
      </c>
      <c r="K536" s="0" t="inlineStr">
        <is>
          <t>YES! 	 c_sdt列源备映射正确，源端为sql_variant 0位	期望更改为sql_variant	实际备端为sql_variant 0位</t>
        </is>
      </c>
    </row>
    <row r="537">
      <c r="B537" s="0" t="inlineStr">
        <is>
          <t>NULL</t>
        </is>
      </c>
      <c r="C537" s="0" t="inlineStr">
        <is>
          <t>NULL</t>
        </is>
      </c>
      <c r="D537" s="0" t="inlineStr">
        <is>
          <t>NULL</t>
        </is>
      </c>
      <c r="E537" s="0" t="inlineStr">
        <is>
          <t>NULL</t>
        </is>
      </c>
      <c r="F537" s="0" t="inlineStr">
        <is>
          <t>NULL</t>
        </is>
      </c>
      <c r="G537" s="0" t="inlineStr">
        <is>
          <t>NULL</t>
        </is>
      </c>
      <c r="H537" s="0" t="inlineStr">
        <is>
          <t>NULL</t>
        </is>
      </c>
      <c r="I537" s="0" t="inlineStr">
        <is>
          <t>NULL</t>
        </is>
      </c>
      <c r="J537" s="0" t="inlineStr">
        <is>
          <t>NULL</t>
        </is>
      </c>
      <c r="K537" s="0" t="inlineStr">
        <is>
          <t>YES! 	 c_real列源备映射正确，源端为sql_variant 0位	期望更改为sql_variant	实际备端为sql_variant 0位</t>
        </is>
      </c>
    </row>
    <row r="538">
      <c r="B538" s="0" t="inlineStr">
        <is>
          <t>NULL</t>
        </is>
      </c>
      <c r="C538" s="0" t="inlineStr">
        <is>
          <t>NULL</t>
        </is>
      </c>
      <c r="D538" s="0" t="inlineStr">
        <is>
          <t>NULL</t>
        </is>
      </c>
      <c r="E538" s="0" t="inlineStr">
        <is>
          <t>NULL</t>
        </is>
      </c>
      <c r="F538" s="0" t="inlineStr">
        <is>
          <t>NULL</t>
        </is>
      </c>
      <c r="G538" s="0" t="inlineStr">
        <is>
          <t>NULL</t>
        </is>
      </c>
      <c r="H538" s="0" t="inlineStr">
        <is>
          <t>NULL</t>
        </is>
      </c>
      <c r="I538" s="0" t="inlineStr">
        <is>
          <t>NULL</t>
        </is>
      </c>
      <c r="J538" s="0" t="inlineStr">
        <is>
          <t>NULL</t>
        </is>
      </c>
      <c r="K538" s="0" t="inlineStr">
        <is>
          <t>YES! 	 c_money列源备映射正确，源端为sql_variant 0位	期望更改为sql_variant	实际备端为sql_variant 0位</t>
        </is>
      </c>
    </row>
    <row r="539">
      <c r="B539" s="0" t="inlineStr">
        <is>
          <t>NULL</t>
        </is>
      </c>
      <c r="C539" s="0" t="inlineStr">
        <is>
          <t>NULL</t>
        </is>
      </c>
      <c r="D539" s="0" t="inlineStr">
        <is>
          <t>NULL</t>
        </is>
      </c>
      <c r="E539" s="0" t="inlineStr">
        <is>
          <t>NULL</t>
        </is>
      </c>
      <c r="F539" s="0" t="inlineStr">
        <is>
          <t>NULL</t>
        </is>
      </c>
      <c r="G539" s="0" t="inlineStr">
        <is>
          <t>NULL</t>
        </is>
      </c>
      <c r="H539" s="0" t="inlineStr">
        <is>
          <t>NULL</t>
        </is>
      </c>
      <c r="I539" s="0" t="inlineStr">
        <is>
          <t>NULL</t>
        </is>
      </c>
      <c r="J539" s="0" t="inlineStr">
        <is>
          <t>NULL</t>
        </is>
      </c>
      <c r="K539" s="0" t="inlineStr">
        <is>
          <t>YES! 	 c_datetime列源备映射正确，源端为sql_variant 0位	期望更改为sql_variant	实际备端为sql_variant 0位</t>
        </is>
      </c>
    </row>
    <row r="540">
      <c r="B540" s="0" t="inlineStr">
        <is>
          <t>NULL</t>
        </is>
      </c>
      <c r="C540" s="0" t="inlineStr">
        <is>
          <t>NULL</t>
        </is>
      </c>
      <c r="D540" s="0" t="inlineStr">
        <is>
          <t>NULL</t>
        </is>
      </c>
      <c r="E540" s="0" t="inlineStr">
        <is>
          <t>NULL</t>
        </is>
      </c>
      <c r="F540" s="0" t="inlineStr">
        <is>
          <t>NULL</t>
        </is>
      </c>
      <c r="G540" s="0" t="inlineStr">
        <is>
          <t>NULL</t>
        </is>
      </c>
      <c r="H540" s="0" t="inlineStr">
        <is>
          <t>NULL</t>
        </is>
      </c>
      <c r="I540" s="0" t="inlineStr">
        <is>
          <t>NULL</t>
        </is>
      </c>
      <c r="J540" s="0" t="inlineStr">
        <is>
          <t>NULL</t>
        </is>
      </c>
      <c r="K540" s="0" t="inlineStr">
        <is>
          <t>YES! 	 c_float列源备映射正确，源端为sql_variant 0位	期望更改为sql_variant	实际备端为sql_variant 0位</t>
        </is>
      </c>
    </row>
    <row r="541">
      <c r="B541" s="0" t="inlineStr">
        <is>
          <t>NULL</t>
        </is>
      </c>
      <c r="C541" s="0" t="inlineStr">
        <is>
          <t>NULL</t>
        </is>
      </c>
      <c r="D541" s="0" t="inlineStr">
        <is>
          <t>NULL</t>
        </is>
      </c>
      <c r="E541" s="0" t="inlineStr">
        <is>
          <t>NULL</t>
        </is>
      </c>
      <c r="F541" s="0" t="inlineStr">
        <is>
          <t>NULL</t>
        </is>
      </c>
      <c r="G541" s="0" t="inlineStr">
        <is>
          <t>NULL</t>
        </is>
      </c>
      <c r="H541" s="0" t="inlineStr">
        <is>
          <t>NULL</t>
        </is>
      </c>
      <c r="I541" s="0" t="inlineStr">
        <is>
          <t>NULL</t>
        </is>
      </c>
      <c r="J541" s="0" t="inlineStr">
        <is>
          <t>NULL</t>
        </is>
      </c>
      <c r="K541" s="0" t="inlineStr">
        <is>
          <t>YES! 	 c_bit列源备映射正确，源端为sql_variant 0位	期望更改为sql_variant	实际备端为sql_variant 0位</t>
        </is>
      </c>
    </row>
    <row r="542">
      <c r="B542" s="0" t="inlineStr">
        <is>
          <t>NULL</t>
        </is>
      </c>
      <c r="C542" s="0" t="inlineStr">
        <is>
          <t>NULL</t>
        </is>
      </c>
      <c r="D542" s="0" t="inlineStr">
        <is>
          <t>NULL</t>
        </is>
      </c>
      <c r="E542" s="0" t="inlineStr">
        <is>
          <t>NULL</t>
        </is>
      </c>
      <c r="F542" s="0" t="inlineStr">
        <is>
          <t>NULL</t>
        </is>
      </c>
      <c r="G542" s="0" t="inlineStr">
        <is>
          <t>NULL</t>
        </is>
      </c>
      <c r="H542" s="0" t="inlineStr">
        <is>
          <t>NULL</t>
        </is>
      </c>
      <c r="I542" s="0" t="inlineStr">
        <is>
          <t>NULL</t>
        </is>
      </c>
      <c r="J542" s="0" t="inlineStr">
        <is>
          <t>NULL</t>
        </is>
      </c>
      <c r="K542" s="0" t="inlineStr">
        <is>
          <t>YES! 	 c_decimal列源备映射正确，源端为sql_variant 0位	期望更改为sql_variant	实际备端为sql_variant 0位</t>
        </is>
      </c>
    </row>
    <row r="543">
      <c r="B543" s="0" t="inlineStr">
        <is>
          <t>NULL</t>
        </is>
      </c>
      <c r="C543" s="0" t="inlineStr">
        <is>
          <t>NULL</t>
        </is>
      </c>
      <c r="D543" s="0" t="inlineStr">
        <is>
          <t>NULL</t>
        </is>
      </c>
      <c r="E543" s="0" t="inlineStr">
        <is>
          <t>NULL</t>
        </is>
      </c>
      <c r="F543" s="0" t="inlineStr">
        <is>
          <t>NULL</t>
        </is>
      </c>
      <c r="G543" s="0" t="inlineStr">
        <is>
          <t>NULL</t>
        </is>
      </c>
      <c r="H543" s="0" t="inlineStr">
        <is>
          <t>NULL</t>
        </is>
      </c>
      <c r="I543" s="0" t="inlineStr">
        <is>
          <t>NULL</t>
        </is>
      </c>
      <c r="J543" s="0" t="inlineStr">
        <is>
          <t>NULL</t>
        </is>
      </c>
      <c r="K543" s="0" t="inlineStr">
        <is>
          <t>YES! 	 c_uniqueidentifier列源备映射正确，源端为sql_variant 0位	期望更改为sql_variant	实际备端为sql_variant 0位</t>
        </is>
      </c>
    </row>
    <row r="544">
      <c r="B544" s="0" t="inlineStr">
        <is>
          <t>NULL</t>
        </is>
      </c>
      <c r="C544" s="0" t="inlineStr">
        <is>
          <t>NULL</t>
        </is>
      </c>
      <c r="D544" s="0" t="inlineStr">
        <is>
          <t>NULL</t>
        </is>
      </c>
      <c r="E544" s="0" t="inlineStr">
        <is>
          <t>NULL</t>
        </is>
      </c>
      <c r="F544" s="0" t="inlineStr">
        <is>
          <t>NULL</t>
        </is>
      </c>
      <c r="G544" s="0" t="inlineStr">
        <is>
          <t>NULL</t>
        </is>
      </c>
      <c r="H544" s="0" t="inlineStr">
        <is>
          <t>NULL</t>
        </is>
      </c>
      <c r="I544" s="0" t="inlineStr">
        <is>
          <t>NULL</t>
        </is>
      </c>
      <c r="J544" s="0" t="inlineStr">
        <is>
          <t>NULL</t>
        </is>
      </c>
      <c r="K544" s="0" t="inlineStr">
        <is>
          <t>YES! 	 c_smallmoney列源备映射正确，源端为sql_variant 0位	期望更改为sql_variant	实际备端为sql_variant 0位</t>
        </is>
      </c>
    </row>
    <row r="545">
      <c r="B545" s="0" t="inlineStr">
        <is>
          <t>NULL</t>
        </is>
      </c>
      <c r="C545" s="0" t="inlineStr">
        <is>
          <t>NULL</t>
        </is>
      </c>
      <c r="D545" s="0" t="inlineStr">
        <is>
          <t>NULL</t>
        </is>
      </c>
      <c r="E545" s="0" t="inlineStr">
        <is>
          <t>NULL</t>
        </is>
      </c>
      <c r="F545" s="0" t="inlineStr">
        <is>
          <t>NULL</t>
        </is>
      </c>
      <c r="G545" s="0" t="inlineStr">
        <is>
          <t>NULL</t>
        </is>
      </c>
      <c r="H545" s="0" t="inlineStr">
        <is>
          <t>NULL</t>
        </is>
      </c>
      <c r="I545" s="0" t="inlineStr">
        <is>
          <t>NULL</t>
        </is>
      </c>
      <c r="J545" s="0" t="inlineStr">
        <is>
          <t>NULL</t>
        </is>
      </c>
      <c r="K545" s="0" t="inlineStr">
        <is>
          <t>YES! 	 c_bigint列源备映射正确，源端为sql_variant 0位	期望更改为sql_variant	实际备端为sql_variant 0位</t>
        </is>
      </c>
    </row>
    <row r="546">
      <c r="B546" s="0" t="inlineStr">
        <is>
          <t>NULL</t>
        </is>
      </c>
      <c r="C546" s="0" t="inlineStr">
        <is>
          <t>NULL</t>
        </is>
      </c>
      <c r="D546" s="0" t="inlineStr">
        <is>
          <t>NULL</t>
        </is>
      </c>
      <c r="E546" s="0" t="inlineStr">
        <is>
          <t>NULL</t>
        </is>
      </c>
      <c r="F546" s="0" t="inlineStr">
        <is>
          <t>NULL</t>
        </is>
      </c>
      <c r="G546" s="0" t="inlineStr">
        <is>
          <t>NULL</t>
        </is>
      </c>
      <c r="H546" s="0" t="inlineStr">
        <is>
          <t>NULL</t>
        </is>
      </c>
      <c r="I546" s="0" t="inlineStr">
        <is>
          <t>NULL</t>
        </is>
      </c>
      <c r="J546" s="0" t="inlineStr">
        <is>
          <t>NULL</t>
        </is>
      </c>
      <c r="K546" s="0" t="inlineStr">
        <is>
          <t>YES! 	 c_varbinary_20列源备映射正确，源端为sql_variant 0位	期望更改为sql_variant	实际备端为sql_variant 0位</t>
        </is>
      </c>
    </row>
    <row r="547">
      <c r="B547" s="0" t="inlineStr">
        <is>
          <t>NULL</t>
        </is>
      </c>
      <c r="C547" s="0" t="inlineStr">
        <is>
          <t>NULL</t>
        </is>
      </c>
      <c r="D547" s="0" t="inlineStr">
        <is>
          <t>NULL</t>
        </is>
      </c>
      <c r="E547" s="0" t="inlineStr">
        <is>
          <t>NULL</t>
        </is>
      </c>
      <c r="F547" s="0" t="inlineStr">
        <is>
          <t>NULL</t>
        </is>
      </c>
      <c r="G547" s="0" t="inlineStr">
        <is>
          <t>NULL</t>
        </is>
      </c>
      <c r="H547" s="0" t="inlineStr">
        <is>
          <t>NULL</t>
        </is>
      </c>
      <c r="I547" s="0" t="inlineStr">
        <is>
          <t>NULL</t>
        </is>
      </c>
      <c r="J547" s="0" t="inlineStr">
        <is>
          <t>NULL</t>
        </is>
      </c>
      <c r="K547" s="0" t="inlineStr">
        <is>
          <t>YES! 	 c_varchar_20列源备映射正确，源端为sql_variant 0位	期望更改为sql_variant	实际备端为sql_variant 0位</t>
        </is>
      </c>
    </row>
    <row r="548">
      <c r="B548" s="0" t="inlineStr">
        <is>
          <t>NULL</t>
        </is>
      </c>
      <c r="C548" s="0" t="inlineStr">
        <is>
          <t>NULL</t>
        </is>
      </c>
      <c r="D548" s="0" t="inlineStr">
        <is>
          <t>NULL</t>
        </is>
      </c>
      <c r="E548" s="0" t="inlineStr">
        <is>
          <t>NULL</t>
        </is>
      </c>
      <c r="F548" s="0" t="inlineStr">
        <is>
          <t>NULL</t>
        </is>
      </c>
      <c r="G548" s="0" t="inlineStr">
        <is>
          <t>NULL</t>
        </is>
      </c>
      <c r="H548" s="0" t="inlineStr">
        <is>
          <t>NULL</t>
        </is>
      </c>
      <c r="I548" s="0" t="inlineStr">
        <is>
          <t>NULL</t>
        </is>
      </c>
      <c r="J548" s="0" t="inlineStr">
        <is>
          <t>NULL</t>
        </is>
      </c>
      <c r="K548" s="0" t="inlineStr">
        <is>
          <t>YES! 	 c_binary_20列源备映射正确，源端为sql_variant 0位	期望更改为sql_variant	实际备端为sql_variant 0位</t>
        </is>
      </c>
    </row>
    <row r="549">
      <c r="B549" s="0" t="inlineStr">
        <is>
          <t>NULL</t>
        </is>
      </c>
      <c r="C549" s="0" t="inlineStr">
        <is>
          <t>NULL</t>
        </is>
      </c>
      <c r="D549" s="0" t="inlineStr">
        <is>
          <t>NULL</t>
        </is>
      </c>
      <c r="E549" s="0" t="inlineStr">
        <is>
          <t>NULL</t>
        </is>
      </c>
      <c r="F549" s="0" t="inlineStr">
        <is>
          <t>NULL</t>
        </is>
      </c>
      <c r="G549" s="0" t="inlineStr">
        <is>
          <t>NULL</t>
        </is>
      </c>
      <c r="H549" s="0" t="inlineStr">
        <is>
          <t>NULL</t>
        </is>
      </c>
      <c r="I549" s="0" t="inlineStr">
        <is>
          <t>NULL</t>
        </is>
      </c>
      <c r="J549" s="0" t="inlineStr">
        <is>
          <t>NULL</t>
        </is>
      </c>
      <c r="K549" s="0" t="inlineStr">
        <is>
          <t>YES! 	 c_char_20列源备映射正确，源端为sql_variant 0位	期望更改为sql_variant	实际备端为sql_variant 0位</t>
        </is>
      </c>
    </row>
    <row r="550">
      <c r="B550" s="0" t="inlineStr">
        <is>
          <t>NULL</t>
        </is>
      </c>
      <c r="C550" s="0" t="inlineStr">
        <is>
          <t>NULL</t>
        </is>
      </c>
      <c r="D550" s="0" t="inlineStr">
        <is>
          <t>NULL</t>
        </is>
      </c>
      <c r="E550" s="0" t="inlineStr">
        <is>
          <t>NULL</t>
        </is>
      </c>
      <c r="F550" s="0" t="inlineStr">
        <is>
          <t>NULL</t>
        </is>
      </c>
      <c r="G550" s="0" t="inlineStr">
        <is>
          <t>NULL</t>
        </is>
      </c>
      <c r="H550" s="0" t="inlineStr">
        <is>
          <t>NULL</t>
        </is>
      </c>
      <c r="I550" s="0" t="inlineStr">
        <is>
          <t>NULL</t>
        </is>
      </c>
      <c r="J550" s="0" t="inlineStr">
        <is>
          <t>NULL</t>
        </is>
      </c>
      <c r="K550" s="0" t="inlineStr">
        <is>
          <t>YES! 	 c_nvarchar_20列源备映射正确，源端为sql_variant 0位	期望更改为sql_variant	实际备端为sql_variant 0位</t>
        </is>
      </c>
    </row>
    <row r="551">
      <c r="B551" s="0" t="inlineStr">
        <is>
          <t>NULL</t>
        </is>
      </c>
      <c r="C551" s="0" t="inlineStr">
        <is>
          <t>NULL</t>
        </is>
      </c>
      <c r="D551" s="0" t="inlineStr">
        <is>
          <t>NULL</t>
        </is>
      </c>
      <c r="E551" s="0" t="inlineStr">
        <is>
          <t>NULL</t>
        </is>
      </c>
      <c r="F551" s="0" t="inlineStr">
        <is>
          <t>NULL</t>
        </is>
      </c>
      <c r="G551" s="0" t="inlineStr">
        <is>
          <t>NULL</t>
        </is>
      </c>
      <c r="H551" s="0" t="inlineStr">
        <is>
          <t>NULL</t>
        </is>
      </c>
      <c r="I551" s="0" t="inlineStr">
        <is>
          <t>NULL</t>
        </is>
      </c>
      <c r="J551" s="0" t="inlineStr">
        <is>
          <t>NULL</t>
        </is>
      </c>
      <c r="K551" s="0" t="inlineStr">
        <is>
          <t>YES! 	 c_nchar_20列源备映射正确，源端为sql_variant 0位	期望更改为sql_variant	实际备端为sql_variant 0位</t>
        </is>
      </c>
    </row>
    <row r="552">
      <c r="B552" s="0" t="inlineStr">
        <is>
          <t>NULL</t>
        </is>
      </c>
      <c r="C552" s="0" t="inlineStr">
        <is>
          <t>NULL</t>
        </is>
      </c>
      <c r="D552" s="0" t="inlineStr">
        <is>
          <t>NULL</t>
        </is>
      </c>
      <c r="E552" s="0" t="inlineStr">
        <is>
          <t>NULL</t>
        </is>
      </c>
      <c r="F552" s="0" t="inlineStr">
        <is>
          <t>NULL</t>
        </is>
      </c>
      <c r="G552" s="0" t="inlineStr">
        <is>
          <t>NULL</t>
        </is>
      </c>
      <c r="H552" s="0" t="inlineStr">
        <is>
          <t>NULL</t>
        </is>
      </c>
      <c r="I552" s="0" t="inlineStr">
        <is>
          <t>NULL</t>
        </is>
      </c>
      <c r="J552" s="0" t="inlineStr">
        <is>
          <t>NULL</t>
        </is>
      </c>
      <c r="K552" s="0" t="inlineStr">
        <is>
          <t>YES! 	 c_timestamp列源备映射正确，源端为timestamp None位	期望更改为timestamp	实际备端为timestamp None位</t>
        </is>
      </c>
    </row>
    <row r="553">
      <c r="A553" s="0" t="inlineStr">
        <is>
          <t>info_varchar_dml_batch2_pk_irp2</t>
        </is>
      </c>
      <c r="K553" s="0" t="inlineStr">
        <is>
          <t>[0;34m info_varchar_dml_batch2_pk_irp2 [0m源备字段数相同，源端字段：4 	备端字段4</t>
        </is>
      </c>
      <c r="W553" s="0" t="inlineStr">
        <is>
          <t>YES 源备无差异</t>
        </is>
      </c>
      <c r="X553" s="0">
        <f>A553</f>
        <v/>
      </c>
    </row>
    <row r="554">
      <c r="B554" s="0" t="inlineStr">
        <is>
          <t>YES</t>
        </is>
      </c>
      <c r="C554" s="0" t="inlineStr">
        <is>
          <t>NULL</t>
        </is>
      </c>
      <c r="D554" s="0" t="inlineStr">
        <is>
          <t>NULL</t>
        </is>
      </c>
      <c r="E554" s="0" t="inlineStr">
        <is>
          <t>NULL</t>
        </is>
      </c>
      <c r="F554" s="0" t="inlineStr">
        <is>
          <t>NULL</t>
        </is>
      </c>
      <c r="G554" s="0" t="inlineStr">
        <is>
          <t>NULL</t>
        </is>
      </c>
      <c r="H554" s="0" t="inlineStr">
        <is>
          <t>NULL</t>
        </is>
      </c>
      <c r="I554" s="0" t="inlineStr">
        <is>
          <t>YES!PK__info_var__3213E83F3FF2B9DE</t>
        </is>
      </c>
      <c r="J554" s="0" t="inlineStr">
        <is>
          <t>YES! 主键相关索引</t>
        </is>
      </c>
      <c r="K554" s="0" t="inlineStr">
        <is>
          <t>YES! 	 id列源备映射正确，源端为int None位	期望更改为int	实际备端为int None位</t>
        </is>
      </c>
    </row>
    <row r="555">
      <c r="B555" s="0" t="inlineStr">
        <is>
          <t>NULL</t>
        </is>
      </c>
      <c r="C555" s="0" t="inlineStr">
        <is>
          <t>NULL</t>
        </is>
      </c>
      <c r="D555" s="0" t="inlineStr">
        <is>
          <t>NULL</t>
        </is>
      </c>
      <c r="E555" s="0" t="inlineStr">
        <is>
          <t>NULL</t>
        </is>
      </c>
      <c r="F555" s="0" t="inlineStr">
        <is>
          <t>NULL</t>
        </is>
      </c>
      <c r="G555" s="0" t="inlineStr">
        <is>
          <t>NULL</t>
        </is>
      </c>
      <c r="H555" s="0" t="inlineStr">
        <is>
          <t>NULL</t>
        </is>
      </c>
      <c r="I555" s="0" t="inlineStr">
        <is>
          <t>NULL</t>
        </is>
      </c>
      <c r="J555" s="0" t="inlineStr">
        <is>
          <t>NULL</t>
        </is>
      </c>
      <c r="K555" s="0" t="inlineStr">
        <is>
          <t>YES! 	 c_varchar列源备映射正确，源端为varchar 1位	期望更改为varchar(n)	实际备端为varchar 1位</t>
        </is>
      </c>
    </row>
    <row r="556">
      <c r="B556" s="0" t="inlineStr">
        <is>
          <t>NULL</t>
        </is>
      </c>
      <c r="C556" s="0" t="inlineStr">
        <is>
          <t>NULL</t>
        </is>
      </c>
      <c r="D556" s="0" t="inlineStr">
        <is>
          <t>NULL</t>
        </is>
      </c>
      <c r="E556" s="0" t="inlineStr">
        <is>
          <t>NULL</t>
        </is>
      </c>
      <c r="F556" s="0" t="inlineStr">
        <is>
          <t>NULL</t>
        </is>
      </c>
      <c r="G556" s="0" t="inlineStr">
        <is>
          <t>NULL</t>
        </is>
      </c>
      <c r="H556" s="0" t="inlineStr">
        <is>
          <t>NULL</t>
        </is>
      </c>
      <c r="I556" s="0" t="inlineStr">
        <is>
          <t>NULL</t>
        </is>
      </c>
      <c r="J556" s="0" t="inlineStr">
        <is>
          <t>NULL</t>
        </is>
      </c>
      <c r="K556" s="0" t="inlineStr">
        <is>
          <t>YES! 	 c_varchar20列源备映射正确，源端为varchar 20位	期望更改为varchar(n)	实际备端为varchar 20位</t>
        </is>
      </c>
    </row>
    <row r="557">
      <c r="B557" s="0" t="inlineStr">
        <is>
          <t>NULL</t>
        </is>
      </c>
      <c r="C557" s="0" t="inlineStr">
        <is>
          <t>NULL</t>
        </is>
      </c>
      <c r="D557" s="0" t="inlineStr">
        <is>
          <t>NULL</t>
        </is>
      </c>
      <c r="E557" s="0" t="inlineStr">
        <is>
          <t>NULL</t>
        </is>
      </c>
      <c r="F557" s="0" t="inlineStr">
        <is>
          <t>NULL</t>
        </is>
      </c>
      <c r="G557" s="0" t="inlineStr">
        <is>
          <t>NULL</t>
        </is>
      </c>
      <c r="H557" s="0" t="inlineStr">
        <is>
          <t>NULL</t>
        </is>
      </c>
      <c r="I557" s="0" t="inlineStr">
        <is>
          <t>NULL</t>
        </is>
      </c>
      <c r="J557" s="0" t="inlineStr">
        <is>
          <t>NULL</t>
        </is>
      </c>
      <c r="K557" s="0" t="inlineStr">
        <is>
          <t>YES! 	 c_varchar8000列源备映射正确，源端为varchar 8000位	期望更改为varchar(n)	实际备端为varchar 8000位</t>
        </is>
      </c>
    </row>
    <row r="558">
      <c r="A558" s="0" t="inlineStr">
        <is>
          <t>info_nchar_dml_single_pk</t>
        </is>
      </c>
      <c r="K558" s="0" t="inlineStr">
        <is>
          <t>[0;34m info_nchar_dml_single_pk [0m源备字段数相同，源端字段：4 	备端字段4</t>
        </is>
      </c>
      <c r="W558" s="0" t="inlineStr">
        <is>
          <t>YES 源备无差异</t>
        </is>
      </c>
      <c r="X558" s="0">
        <f>A558</f>
        <v/>
      </c>
    </row>
    <row r="559">
      <c r="B559" s="0" t="inlineStr">
        <is>
          <t>YES</t>
        </is>
      </c>
      <c r="C559" s="0" t="inlineStr">
        <is>
          <t>NULL</t>
        </is>
      </c>
      <c r="D559" s="0" t="inlineStr">
        <is>
          <t>NULL</t>
        </is>
      </c>
      <c r="E559" s="0" t="inlineStr">
        <is>
          <t>NULL</t>
        </is>
      </c>
      <c r="F559" s="0" t="inlineStr">
        <is>
          <t>NULL</t>
        </is>
      </c>
      <c r="G559" s="0" t="inlineStr">
        <is>
          <t>NULL</t>
        </is>
      </c>
      <c r="H559" s="0" t="inlineStr">
        <is>
          <t>NULL</t>
        </is>
      </c>
      <c r="I559" s="0" t="inlineStr">
        <is>
          <t>YES!PK__info_nch__3213E83F0FC1BC65</t>
        </is>
      </c>
      <c r="J559" s="0" t="inlineStr">
        <is>
          <t>YES! 主键相关索引</t>
        </is>
      </c>
      <c r="K559" s="0" t="inlineStr">
        <is>
          <t>YES! 	 id列源备映射正确，源端为int None位	期望更改为int	实际备端为int None位</t>
        </is>
      </c>
    </row>
    <row r="560">
      <c r="B560" s="0" t="inlineStr">
        <is>
          <t>NULL</t>
        </is>
      </c>
      <c r="C560" s="0" t="inlineStr">
        <is>
          <t>NULL</t>
        </is>
      </c>
      <c r="D560" s="0" t="inlineStr">
        <is>
          <t>NULL</t>
        </is>
      </c>
      <c r="E560" s="0" t="inlineStr">
        <is>
          <t>NULL</t>
        </is>
      </c>
      <c r="F560" s="0" t="inlineStr">
        <is>
          <t>NULL</t>
        </is>
      </c>
      <c r="G560" s="0" t="inlineStr">
        <is>
          <t>NULL</t>
        </is>
      </c>
      <c r="H560" s="0" t="inlineStr">
        <is>
          <t>NULL</t>
        </is>
      </c>
      <c r="I560" s="0" t="inlineStr">
        <is>
          <t>NULL</t>
        </is>
      </c>
      <c r="J560" s="0" t="inlineStr">
        <is>
          <t>NULL</t>
        </is>
      </c>
      <c r="K560" s="0" t="inlineStr">
        <is>
          <t>YES! 	 c_nchar列源备映射正确，源端为nchar 2位	期望更改为nchar(n)	实际备端为nchar 2位</t>
        </is>
      </c>
    </row>
    <row r="561">
      <c r="B561" s="0" t="inlineStr">
        <is>
          <t>NULL</t>
        </is>
      </c>
      <c r="C561" s="0" t="inlineStr">
        <is>
          <t>NULL</t>
        </is>
      </c>
      <c r="D561" s="0" t="inlineStr">
        <is>
          <t>NULL</t>
        </is>
      </c>
      <c r="E561" s="0" t="inlineStr">
        <is>
          <t>NULL</t>
        </is>
      </c>
      <c r="F561" s="0" t="inlineStr">
        <is>
          <t>NULL</t>
        </is>
      </c>
      <c r="G561" s="0" t="inlineStr">
        <is>
          <t>NULL</t>
        </is>
      </c>
      <c r="H561" s="0" t="inlineStr">
        <is>
          <t>NULL</t>
        </is>
      </c>
      <c r="I561" s="0" t="inlineStr">
        <is>
          <t>NULL</t>
        </is>
      </c>
      <c r="J561" s="0" t="inlineStr">
        <is>
          <t>NULL</t>
        </is>
      </c>
      <c r="K561" s="0" t="inlineStr">
        <is>
          <t>YES! 	 c_nchar20列源备映射正确，源端为nchar 40位	期望更改为nchar(n)	实际备端为nchar 40位</t>
        </is>
      </c>
    </row>
    <row r="562">
      <c r="B562" s="0" t="inlineStr">
        <is>
          <t>NULL</t>
        </is>
      </c>
      <c r="C562" s="0" t="inlineStr">
        <is>
          <t>NULL</t>
        </is>
      </c>
      <c r="D562" s="0" t="inlineStr">
        <is>
          <t>NULL</t>
        </is>
      </c>
      <c r="E562" s="0" t="inlineStr">
        <is>
          <t>NULL</t>
        </is>
      </c>
      <c r="F562" s="0" t="inlineStr">
        <is>
          <t>NULL</t>
        </is>
      </c>
      <c r="G562" s="0" t="inlineStr">
        <is>
          <t>NULL</t>
        </is>
      </c>
      <c r="H562" s="0" t="inlineStr">
        <is>
          <t>NULL</t>
        </is>
      </c>
      <c r="I562" s="0" t="inlineStr">
        <is>
          <t>NULL</t>
        </is>
      </c>
      <c r="J562" s="0" t="inlineStr">
        <is>
          <t>NULL</t>
        </is>
      </c>
      <c r="K562" s="0" t="inlineStr">
        <is>
          <t>YES! 	 c_nchar3500列源备映射正确，源端为nchar 7000位	期望更改为nchar(n)	实际备端为nchar 7000位</t>
        </is>
      </c>
    </row>
    <row r="563">
      <c r="A563" s="0" t="inlineStr">
        <is>
          <t>info_sql_variant_dml_single_pk_urp</t>
        </is>
      </c>
      <c r="K563" s="0" t="inlineStr">
        <is>
          <t>[0;34m info_sql_variant_dml_single_pk_urp [0m源备字段数相同，源端字段：25 	备端字段25</t>
        </is>
      </c>
      <c r="W563" s="0" t="inlineStr">
        <is>
          <t>YES 源备无差异</t>
        </is>
      </c>
      <c r="X563" s="0">
        <f>A563</f>
        <v/>
      </c>
    </row>
    <row r="564">
      <c r="B564" s="0" t="inlineStr">
        <is>
          <t>YES</t>
        </is>
      </c>
      <c r="C564" s="0" t="inlineStr">
        <is>
          <t>NULL</t>
        </is>
      </c>
      <c r="D564" s="0" t="inlineStr">
        <is>
          <t>NULL</t>
        </is>
      </c>
      <c r="E564" s="0" t="inlineStr">
        <is>
          <t>NULL</t>
        </is>
      </c>
      <c r="F564" s="0" t="inlineStr">
        <is>
          <t>NULL</t>
        </is>
      </c>
      <c r="G564" s="0" t="inlineStr">
        <is>
          <t>NULL</t>
        </is>
      </c>
      <c r="H564" s="0" t="inlineStr">
        <is>
          <t>NULL</t>
        </is>
      </c>
      <c r="I564" s="0" t="inlineStr">
        <is>
          <t>YES!PK__info_sql__3213E83F919861E2</t>
        </is>
      </c>
      <c r="J564" s="0" t="inlineStr">
        <is>
          <t>YES! 主键相关索引</t>
        </is>
      </c>
      <c r="K564" s="0" t="inlineStr">
        <is>
          <t>YES! 	 id列源备映射正确，源端为int None位	期望更改为int	实际备端为int None位</t>
        </is>
      </c>
    </row>
    <row r="565">
      <c r="B565" s="0" t="inlineStr">
        <is>
          <t>NULL</t>
        </is>
      </c>
      <c r="C565" s="0" t="inlineStr">
        <is>
          <t>NULL</t>
        </is>
      </c>
      <c r="D565" s="0" t="inlineStr">
        <is>
          <t>NULL</t>
        </is>
      </c>
      <c r="E565" s="0" t="inlineStr">
        <is>
          <t>NULL</t>
        </is>
      </c>
      <c r="F565" s="0" t="inlineStr">
        <is>
          <t>NULL</t>
        </is>
      </c>
      <c r="G565" s="0" t="inlineStr">
        <is>
          <t>NULL</t>
        </is>
      </c>
      <c r="H565" s="0" t="inlineStr">
        <is>
          <t>NULL</t>
        </is>
      </c>
      <c r="I565" s="0" t="inlineStr">
        <is>
          <t>NULL</t>
        </is>
      </c>
      <c r="J565" s="0" t="inlineStr">
        <is>
          <t>NULL</t>
        </is>
      </c>
      <c r="K565" s="0" t="inlineStr">
        <is>
          <t>YES! 	 c_date列源备映射正确，源端为sql_variant 0位	期望更改为sql_variant	实际备端为sql_variant 0位</t>
        </is>
      </c>
    </row>
    <row r="566">
      <c r="B566" s="0" t="inlineStr">
        <is>
          <t>NULL</t>
        </is>
      </c>
      <c r="C566" s="0" t="inlineStr">
        <is>
          <t>NULL</t>
        </is>
      </c>
      <c r="D566" s="0" t="inlineStr">
        <is>
          <t>NULL</t>
        </is>
      </c>
      <c r="E566" s="0" t="inlineStr">
        <is>
          <t>NULL</t>
        </is>
      </c>
      <c r="F566" s="0" t="inlineStr">
        <is>
          <t>NULL</t>
        </is>
      </c>
      <c r="G566" s="0" t="inlineStr">
        <is>
          <t>NULL</t>
        </is>
      </c>
      <c r="H566" s="0" t="inlineStr">
        <is>
          <t>NULL</t>
        </is>
      </c>
      <c r="I566" s="0" t="inlineStr">
        <is>
          <t>NULL</t>
        </is>
      </c>
      <c r="J566" s="0" t="inlineStr">
        <is>
          <t>NULL</t>
        </is>
      </c>
      <c r="K566" s="0" t="inlineStr">
        <is>
          <t>YES! 	 c_time列源备映射正确，源端为sql_variant 0位	期望更改为sql_variant	实际备端为sql_variant 0位</t>
        </is>
      </c>
    </row>
    <row r="567">
      <c r="B567" s="0" t="inlineStr">
        <is>
          <t>NULL</t>
        </is>
      </c>
      <c r="C567" s="0" t="inlineStr">
        <is>
          <t>NULL</t>
        </is>
      </c>
      <c r="D567" s="0" t="inlineStr">
        <is>
          <t>NULL</t>
        </is>
      </c>
      <c r="E567" s="0" t="inlineStr">
        <is>
          <t>NULL</t>
        </is>
      </c>
      <c r="F567" s="0" t="inlineStr">
        <is>
          <t>NULL</t>
        </is>
      </c>
      <c r="G567" s="0" t="inlineStr">
        <is>
          <t>NULL</t>
        </is>
      </c>
      <c r="H567" s="0" t="inlineStr">
        <is>
          <t>NULL</t>
        </is>
      </c>
      <c r="I567" s="0" t="inlineStr">
        <is>
          <t>NULL</t>
        </is>
      </c>
      <c r="J567" s="0" t="inlineStr">
        <is>
          <t>NULL</t>
        </is>
      </c>
      <c r="K567" s="0" t="inlineStr">
        <is>
          <t>YES! 	 c_datetime2列源备映射正确，源端为sql_variant 0位	期望更改为sql_variant	实际备端为sql_variant 0位</t>
        </is>
      </c>
    </row>
    <row r="568">
      <c r="B568" s="0" t="inlineStr">
        <is>
          <t>NULL</t>
        </is>
      </c>
      <c r="C568" s="0" t="inlineStr">
        <is>
          <t>NULL</t>
        </is>
      </c>
      <c r="D568" s="0" t="inlineStr">
        <is>
          <t>NULL</t>
        </is>
      </c>
      <c r="E568" s="0" t="inlineStr">
        <is>
          <t>NULL</t>
        </is>
      </c>
      <c r="F568" s="0" t="inlineStr">
        <is>
          <t>NULL</t>
        </is>
      </c>
      <c r="G568" s="0" t="inlineStr">
        <is>
          <t>NULL</t>
        </is>
      </c>
      <c r="H568" s="0" t="inlineStr">
        <is>
          <t>NULL</t>
        </is>
      </c>
      <c r="I568" s="0" t="inlineStr">
        <is>
          <t>NULL</t>
        </is>
      </c>
      <c r="J568" s="0" t="inlineStr">
        <is>
          <t>NULL</t>
        </is>
      </c>
      <c r="K568" s="0" t="inlineStr">
        <is>
          <t>YES! 	 c_datetimeoffset列源备映射正确，源端为sql_variant 0位	期望更改为sql_variant	实际备端为sql_variant 0位</t>
        </is>
      </c>
    </row>
    <row r="569">
      <c r="B569" s="0" t="inlineStr">
        <is>
          <t>NULL</t>
        </is>
      </c>
      <c r="C569" s="0" t="inlineStr">
        <is>
          <t>NULL</t>
        </is>
      </c>
      <c r="D569" s="0" t="inlineStr">
        <is>
          <t>NULL</t>
        </is>
      </c>
      <c r="E569" s="0" t="inlineStr">
        <is>
          <t>NULL</t>
        </is>
      </c>
      <c r="F569" s="0" t="inlineStr">
        <is>
          <t>NULL</t>
        </is>
      </c>
      <c r="G569" s="0" t="inlineStr">
        <is>
          <t>NULL</t>
        </is>
      </c>
      <c r="H569" s="0" t="inlineStr">
        <is>
          <t>NULL</t>
        </is>
      </c>
      <c r="I569" s="0" t="inlineStr">
        <is>
          <t>NULL</t>
        </is>
      </c>
      <c r="J569" s="0" t="inlineStr">
        <is>
          <t>NULL</t>
        </is>
      </c>
      <c r="K569" s="0" t="inlineStr">
        <is>
          <t>YES! 	 c_tinyint列源备映射正确，源端为sql_variant 0位	期望更改为sql_variant	实际备端为sql_variant 0位</t>
        </is>
      </c>
    </row>
    <row r="570">
      <c r="B570" s="0" t="inlineStr">
        <is>
          <t>NULL</t>
        </is>
      </c>
      <c r="C570" s="0" t="inlineStr">
        <is>
          <t>NULL</t>
        </is>
      </c>
      <c r="D570" s="0" t="inlineStr">
        <is>
          <t>NULL</t>
        </is>
      </c>
      <c r="E570" s="0" t="inlineStr">
        <is>
          <t>NULL</t>
        </is>
      </c>
      <c r="F570" s="0" t="inlineStr">
        <is>
          <t>NULL</t>
        </is>
      </c>
      <c r="G570" s="0" t="inlineStr">
        <is>
          <t>NULL</t>
        </is>
      </c>
      <c r="H570" s="0" t="inlineStr">
        <is>
          <t>NULL</t>
        </is>
      </c>
      <c r="I570" s="0" t="inlineStr">
        <is>
          <t>NULL</t>
        </is>
      </c>
      <c r="J570" s="0" t="inlineStr">
        <is>
          <t>NULL</t>
        </is>
      </c>
      <c r="K570" s="0" t="inlineStr">
        <is>
          <t>YES! 	 c_smallint列源备映射正确，源端为sql_variant 0位	期望更改为sql_variant	实际备端为sql_variant 0位</t>
        </is>
      </c>
    </row>
    <row r="571">
      <c r="B571" s="0" t="inlineStr">
        <is>
          <t>NULL</t>
        </is>
      </c>
      <c r="C571" s="0" t="inlineStr">
        <is>
          <t>NULL</t>
        </is>
      </c>
      <c r="D571" s="0" t="inlineStr">
        <is>
          <t>NULL</t>
        </is>
      </c>
      <c r="E571" s="0" t="inlineStr">
        <is>
          <t>NULL</t>
        </is>
      </c>
      <c r="F571" s="0" t="inlineStr">
        <is>
          <t>NULL</t>
        </is>
      </c>
      <c r="G571" s="0" t="inlineStr">
        <is>
          <t>NULL</t>
        </is>
      </c>
      <c r="H571" s="0" t="inlineStr">
        <is>
          <t>NULL</t>
        </is>
      </c>
      <c r="I571" s="0" t="inlineStr">
        <is>
          <t>NULL</t>
        </is>
      </c>
      <c r="J571" s="0" t="inlineStr">
        <is>
          <t>NULL</t>
        </is>
      </c>
      <c r="K571" s="0" t="inlineStr">
        <is>
          <t>YES! 	 c_int列源备映射正确，源端为sql_variant 0位	期望更改为sql_variant	实际备端为sql_variant 0位</t>
        </is>
      </c>
    </row>
    <row r="572">
      <c r="B572" s="0" t="inlineStr">
        <is>
          <t>NULL</t>
        </is>
      </c>
      <c r="C572" s="0" t="inlineStr">
        <is>
          <t>NULL</t>
        </is>
      </c>
      <c r="D572" s="0" t="inlineStr">
        <is>
          <t>NULL</t>
        </is>
      </c>
      <c r="E572" s="0" t="inlineStr">
        <is>
          <t>NULL</t>
        </is>
      </c>
      <c r="F572" s="0" t="inlineStr">
        <is>
          <t>NULL</t>
        </is>
      </c>
      <c r="G572" s="0" t="inlineStr">
        <is>
          <t>NULL</t>
        </is>
      </c>
      <c r="H572" s="0" t="inlineStr">
        <is>
          <t>NULL</t>
        </is>
      </c>
      <c r="I572" s="0" t="inlineStr">
        <is>
          <t>NULL</t>
        </is>
      </c>
      <c r="J572" s="0" t="inlineStr">
        <is>
          <t>NULL</t>
        </is>
      </c>
      <c r="K572" s="0" t="inlineStr">
        <is>
          <t>YES! 	 c_sdt列源备映射正确，源端为sql_variant 0位	期望更改为sql_variant	实际备端为sql_variant 0位</t>
        </is>
      </c>
    </row>
    <row r="573">
      <c r="B573" s="0" t="inlineStr">
        <is>
          <t>NULL</t>
        </is>
      </c>
      <c r="C573" s="0" t="inlineStr">
        <is>
          <t>NULL</t>
        </is>
      </c>
      <c r="D573" s="0" t="inlineStr">
        <is>
          <t>NULL</t>
        </is>
      </c>
      <c r="E573" s="0" t="inlineStr">
        <is>
          <t>NULL</t>
        </is>
      </c>
      <c r="F573" s="0" t="inlineStr">
        <is>
          <t>NULL</t>
        </is>
      </c>
      <c r="G573" s="0" t="inlineStr">
        <is>
          <t>NULL</t>
        </is>
      </c>
      <c r="H573" s="0" t="inlineStr">
        <is>
          <t>NULL</t>
        </is>
      </c>
      <c r="I573" s="0" t="inlineStr">
        <is>
          <t>NULL</t>
        </is>
      </c>
      <c r="J573" s="0" t="inlineStr">
        <is>
          <t>NULL</t>
        </is>
      </c>
      <c r="K573" s="0" t="inlineStr">
        <is>
          <t>YES! 	 c_real列源备映射正确，源端为sql_variant 0位	期望更改为sql_variant	实际备端为sql_variant 0位</t>
        </is>
      </c>
    </row>
    <row r="574">
      <c r="B574" s="0" t="inlineStr">
        <is>
          <t>NULL</t>
        </is>
      </c>
      <c r="C574" s="0" t="inlineStr">
        <is>
          <t>NULL</t>
        </is>
      </c>
      <c r="D574" s="0" t="inlineStr">
        <is>
          <t>NULL</t>
        </is>
      </c>
      <c r="E574" s="0" t="inlineStr">
        <is>
          <t>NULL</t>
        </is>
      </c>
      <c r="F574" s="0" t="inlineStr">
        <is>
          <t>NULL</t>
        </is>
      </c>
      <c r="G574" s="0" t="inlineStr">
        <is>
          <t>NULL</t>
        </is>
      </c>
      <c r="H574" s="0" t="inlineStr">
        <is>
          <t>NULL</t>
        </is>
      </c>
      <c r="I574" s="0" t="inlineStr">
        <is>
          <t>NULL</t>
        </is>
      </c>
      <c r="J574" s="0" t="inlineStr">
        <is>
          <t>NULL</t>
        </is>
      </c>
      <c r="K574" s="0" t="inlineStr">
        <is>
          <t>YES! 	 c_money列源备映射正确，源端为sql_variant 0位	期望更改为sql_variant	实际备端为sql_variant 0位</t>
        </is>
      </c>
    </row>
    <row r="575">
      <c r="B575" s="0" t="inlineStr">
        <is>
          <t>NULL</t>
        </is>
      </c>
      <c r="C575" s="0" t="inlineStr">
        <is>
          <t>NULL</t>
        </is>
      </c>
      <c r="D575" s="0" t="inlineStr">
        <is>
          <t>NULL</t>
        </is>
      </c>
      <c r="E575" s="0" t="inlineStr">
        <is>
          <t>NULL</t>
        </is>
      </c>
      <c r="F575" s="0" t="inlineStr">
        <is>
          <t>NULL</t>
        </is>
      </c>
      <c r="G575" s="0" t="inlineStr">
        <is>
          <t>NULL</t>
        </is>
      </c>
      <c r="H575" s="0" t="inlineStr">
        <is>
          <t>NULL</t>
        </is>
      </c>
      <c r="I575" s="0" t="inlineStr">
        <is>
          <t>NULL</t>
        </is>
      </c>
      <c r="J575" s="0" t="inlineStr">
        <is>
          <t>NULL</t>
        </is>
      </c>
      <c r="K575" s="0" t="inlineStr">
        <is>
          <t>YES! 	 c_datetime列源备映射正确，源端为sql_variant 0位	期望更改为sql_variant	实际备端为sql_variant 0位</t>
        </is>
      </c>
    </row>
    <row r="576">
      <c r="B576" s="0" t="inlineStr">
        <is>
          <t>NULL</t>
        </is>
      </c>
      <c r="C576" s="0" t="inlineStr">
        <is>
          <t>NULL</t>
        </is>
      </c>
      <c r="D576" s="0" t="inlineStr">
        <is>
          <t>NULL</t>
        </is>
      </c>
      <c r="E576" s="0" t="inlineStr">
        <is>
          <t>NULL</t>
        </is>
      </c>
      <c r="F576" s="0" t="inlineStr">
        <is>
          <t>NULL</t>
        </is>
      </c>
      <c r="G576" s="0" t="inlineStr">
        <is>
          <t>NULL</t>
        </is>
      </c>
      <c r="H576" s="0" t="inlineStr">
        <is>
          <t>NULL</t>
        </is>
      </c>
      <c r="I576" s="0" t="inlineStr">
        <is>
          <t>NULL</t>
        </is>
      </c>
      <c r="J576" s="0" t="inlineStr">
        <is>
          <t>NULL</t>
        </is>
      </c>
      <c r="K576" s="0" t="inlineStr">
        <is>
          <t>YES! 	 c_float列源备映射正确，源端为sql_variant 0位	期望更改为sql_variant	实际备端为sql_variant 0位</t>
        </is>
      </c>
    </row>
    <row r="577">
      <c r="B577" s="0" t="inlineStr">
        <is>
          <t>NULL</t>
        </is>
      </c>
      <c r="C577" s="0" t="inlineStr">
        <is>
          <t>NULL</t>
        </is>
      </c>
      <c r="D577" s="0" t="inlineStr">
        <is>
          <t>NULL</t>
        </is>
      </c>
      <c r="E577" s="0" t="inlineStr">
        <is>
          <t>NULL</t>
        </is>
      </c>
      <c r="F577" s="0" t="inlineStr">
        <is>
          <t>NULL</t>
        </is>
      </c>
      <c r="G577" s="0" t="inlineStr">
        <is>
          <t>NULL</t>
        </is>
      </c>
      <c r="H577" s="0" t="inlineStr">
        <is>
          <t>NULL</t>
        </is>
      </c>
      <c r="I577" s="0" t="inlineStr">
        <is>
          <t>NULL</t>
        </is>
      </c>
      <c r="J577" s="0" t="inlineStr">
        <is>
          <t>NULL</t>
        </is>
      </c>
      <c r="K577" s="0" t="inlineStr">
        <is>
          <t>YES! 	 c_bit列源备映射正确，源端为sql_variant 0位	期望更改为sql_variant	实际备端为sql_variant 0位</t>
        </is>
      </c>
    </row>
    <row r="578">
      <c r="B578" s="0" t="inlineStr">
        <is>
          <t>NULL</t>
        </is>
      </c>
      <c r="C578" s="0" t="inlineStr">
        <is>
          <t>NULL</t>
        </is>
      </c>
      <c r="D578" s="0" t="inlineStr">
        <is>
          <t>NULL</t>
        </is>
      </c>
      <c r="E578" s="0" t="inlineStr">
        <is>
          <t>NULL</t>
        </is>
      </c>
      <c r="F578" s="0" t="inlineStr">
        <is>
          <t>NULL</t>
        </is>
      </c>
      <c r="G578" s="0" t="inlineStr">
        <is>
          <t>NULL</t>
        </is>
      </c>
      <c r="H578" s="0" t="inlineStr">
        <is>
          <t>NULL</t>
        </is>
      </c>
      <c r="I578" s="0" t="inlineStr">
        <is>
          <t>NULL</t>
        </is>
      </c>
      <c r="J578" s="0" t="inlineStr">
        <is>
          <t>NULL</t>
        </is>
      </c>
      <c r="K578" s="0" t="inlineStr">
        <is>
          <t>YES! 	 c_decimal列源备映射正确，源端为sql_variant 0位	期望更改为sql_variant	实际备端为sql_variant 0位</t>
        </is>
      </c>
    </row>
    <row r="579">
      <c r="B579" s="0" t="inlineStr">
        <is>
          <t>NULL</t>
        </is>
      </c>
      <c r="C579" s="0" t="inlineStr">
        <is>
          <t>NULL</t>
        </is>
      </c>
      <c r="D579" s="0" t="inlineStr">
        <is>
          <t>NULL</t>
        </is>
      </c>
      <c r="E579" s="0" t="inlineStr">
        <is>
          <t>NULL</t>
        </is>
      </c>
      <c r="F579" s="0" t="inlineStr">
        <is>
          <t>NULL</t>
        </is>
      </c>
      <c r="G579" s="0" t="inlineStr">
        <is>
          <t>NULL</t>
        </is>
      </c>
      <c r="H579" s="0" t="inlineStr">
        <is>
          <t>NULL</t>
        </is>
      </c>
      <c r="I579" s="0" t="inlineStr">
        <is>
          <t>NULL</t>
        </is>
      </c>
      <c r="J579" s="0" t="inlineStr">
        <is>
          <t>NULL</t>
        </is>
      </c>
      <c r="K579" s="0" t="inlineStr">
        <is>
          <t>YES! 	 c_uniqueidentifier列源备映射正确，源端为sql_variant 0位	期望更改为sql_variant	实际备端为sql_variant 0位</t>
        </is>
      </c>
    </row>
    <row r="580">
      <c r="B580" s="0" t="inlineStr">
        <is>
          <t>NULL</t>
        </is>
      </c>
      <c r="C580" s="0" t="inlineStr">
        <is>
          <t>NULL</t>
        </is>
      </c>
      <c r="D580" s="0" t="inlineStr">
        <is>
          <t>NULL</t>
        </is>
      </c>
      <c r="E580" s="0" t="inlineStr">
        <is>
          <t>NULL</t>
        </is>
      </c>
      <c r="F580" s="0" t="inlineStr">
        <is>
          <t>NULL</t>
        </is>
      </c>
      <c r="G580" s="0" t="inlineStr">
        <is>
          <t>NULL</t>
        </is>
      </c>
      <c r="H580" s="0" t="inlineStr">
        <is>
          <t>NULL</t>
        </is>
      </c>
      <c r="I580" s="0" t="inlineStr">
        <is>
          <t>NULL</t>
        </is>
      </c>
      <c r="J580" s="0" t="inlineStr">
        <is>
          <t>NULL</t>
        </is>
      </c>
      <c r="K580" s="0" t="inlineStr">
        <is>
          <t>YES! 	 c_smallmoney列源备映射正确，源端为sql_variant 0位	期望更改为sql_variant	实际备端为sql_variant 0位</t>
        </is>
      </c>
    </row>
    <row r="581">
      <c r="B581" s="0" t="inlineStr">
        <is>
          <t>NULL</t>
        </is>
      </c>
      <c r="C581" s="0" t="inlineStr">
        <is>
          <t>NULL</t>
        </is>
      </c>
      <c r="D581" s="0" t="inlineStr">
        <is>
          <t>NULL</t>
        </is>
      </c>
      <c r="E581" s="0" t="inlineStr">
        <is>
          <t>NULL</t>
        </is>
      </c>
      <c r="F581" s="0" t="inlineStr">
        <is>
          <t>NULL</t>
        </is>
      </c>
      <c r="G581" s="0" t="inlineStr">
        <is>
          <t>NULL</t>
        </is>
      </c>
      <c r="H581" s="0" t="inlineStr">
        <is>
          <t>NULL</t>
        </is>
      </c>
      <c r="I581" s="0" t="inlineStr">
        <is>
          <t>NULL</t>
        </is>
      </c>
      <c r="J581" s="0" t="inlineStr">
        <is>
          <t>NULL</t>
        </is>
      </c>
      <c r="K581" s="0" t="inlineStr">
        <is>
          <t>YES! 	 c_bigint列源备映射正确，源端为sql_variant 0位	期望更改为sql_variant	实际备端为sql_variant 0位</t>
        </is>
      </c>
    </row>
    <row r="582">
      <c r="B582" s="0" t="inlineStr">
        <is>
          <t>NULL</t>
        </is>
      </c>
      <c r="C582" s="0" t="inlineStr">
        <is>
          <t>NULL</t>
        </is>
      </c>
      <c r="D582" s="0" t="inlineStr">
        <is>
          <t>NULL</t>
        </is>
      </c>
      <c r="E582" s="0" t="inlineStr">
        <is>
          <t>NULL</t>
        </is>
      </c>
      <c r="F582" s="0" t="inlineStr">
        <is>
          <t>NULL</t>
        </is>
      </c>
      <c r="G582" s="0" t="inlineStr">
        <is>
          <t>NULL</t>
        </is>
      </c>
      <c r="H582" s="0" t="inlineStr">
        <is>
          <t>NULL</t>
        </is>
      </c>
      <c r="I582" s="0" t="inlineStr">
        <is>
          <t>NULL</t>
        </is>
      </c>
      <c r="J582" s="0" t="inlineStr">
        <is>
          <t>NULL</t>
        </is>
      </c>
      <c r="K582" s="0" t="inlineStr">
        <is>
          <t>YES! 	 c_varbinary_20列源备映射正确，源端为sql_variant 0位	期望更改为sql_variant	实际备端为sql_variant 0位</t>
        </is>
      </c>
    </row>
    <row r="583">
      <c r="B583" s="0" t="inlineStr">
        <is>
          <t>NULL</t>
        </is>
      </c>
      <c r="C583" s="0" t="inlineStr">
        <is>
          <t>NULL</t>
        </is>
      </c>
      <c r="D583" s="0" t="inlineStr">
        <is>
          <t>NULL</t>
        </is>
      </c>
      <c r="E583" s="0" t="inlineStr">
        <is>
          <t>NULL</t>
        </is>
      </c>
      <c r="F583" s="0" t="inlineStr">
        <is>
          <t>NULL</t>
        </is>
      </c>
      <c r="G583" s="0" t="inlineStr">
        <is>
          <t>NULL</t>
        </is>
      </c>
      <c r="H583" s="0" t="inlineStr">
        <is>
          <t>NULL</t>
        </is>
      </c>
      <c r="I583" s="0" t="inlineStr">
        <is>
          <t>NULL</t>
        </is>
      </c>
      <c r="J583" s="0" t="inlineStr">
        <is>
          <t>NULL</t>
        </is>
      </c>
      <c r="K583" s="0" t="inlineStr">
        <is>
          <t>YES! 	 c_varchar_20列源备映射正确，源端为sql_variant 0位	期望更改为sql_variant	实际备端为sql_variant 0位</t>
        </is>
      </c>
    </row>
    <row r="584">
      <c r="B584" s="0" t="inlineStr">
        <is>
          <t>NULL</t>
        </is>
      </c>
      <c r="C584" s="0" t="inlineStr">
        <is>
          <t>NULL</t>
        </is>
      </c>
      <c r="D584" s="0" t="inlineStr">
        <is>
          <t>NULL</t>
        </is>
      </c>
      <c r="E584" s="0" t="inlineStr">
        <is>
          <t>NULL</t>
        </is>
      </c>
      <c r="F584" s="0" t="inlineStr">
        <is>
          <t>NULL</t>
        </is>
      </c>
      <c r="G584" s="0" t="inlineStr">
        <is>
          <t>NULL</t>
        </is>
      </c>
      <c r="H584" s="0" t="inlineStr">
        <is>
          <t>NULL</t>
        </is>
      </c>
      <c r="I584" s="0" t="inlineStr">
        <is>
          <t>NULL</t>
        </is>
      </c>
      <c r="J584" s="0" t="inlineStr">
        <is>
          <t>NULL</t>
        </is>
      </c>
      <c r="K584" s="0" t="inlineStr">
        <is>
          <t>YES! 	 c_binary_20列源备映射正确，源端为sql_variant 0位	期望更改为sql_variant	实际备端为sql_variant 0位</t>
        </is>
      </c>
    </row>
    <row r="585">
      <c r="B585" s="0" t="inlineStr">
        <is>
          <t>NULL</t>
        </is>
      </c>
      <c r="C585" s="0" t="inlineStr">
        <is>
          <t>NULL</t>
        </is>
      </c>
      <c r="D585" s="0" t="inlineStr">
        <is>
          <t>NULL</t>
        </is>
      </c>
      <c r="E585" s="0" t="inlineStr">
        <is>
          <t>NULL</t>
        </is>
      </c>
      <c r="F585" s="0" t="inlineStr">
        <is>
          <t>NULL</t>
        </is>
      </c>
      <c r="G585" s="0" t="inlineStr">
        <is>
          <t>NULL</t>
        </is>
      </c>
      <c r="H585" s="0" t="inlineStr">
        <is>
          <t>NULL</t>
        </is>
      </c>
      <c r="I585" s="0" t="inlineStr">
        <is>
          <t>NULL</t>
        </is>
      </c>
      <c r="J585" s="0" t="inlineStr">
        <is>
          <t>NULL</t>
        </is>
      </c>
      <c r="K585" s="0" t="inlineStr">
        <is>
          <t>YES! 	 c_char_20列源备映射正确，源端为sql_variant 0位	期望更改为sql_variant	实际备端为sql_variant 0位</t>
        </is>
      </c>
    </row>
    <row r="586">
      <c r="B586" s="0" t="inlineStr">
        <is>
          <t>NULL</t>
        </is>
      </c>
      <c r="C586" s="0" t="inlineStr">
        <is>
          <t>NULL</t>
        </is>
      </c>
      <c r="D586" s="0" t="inlineStr">
        <is>
          <t>NULL</t>
        </is>
      </c>
      <c r="E586" s="0" t="inlineStr">
        <is>
          <t>NULL</t>
        </is>
      </c>
      <c r="F586" s="0" t="inlineStr">
        <is>
          <t>NULL</t>
        </is>
      </c>
      <c r="G586" s="0" t="inlineStr">
        <is>
          <t>NULL</t>
        </is>
      </c>
      <c r="H586" s="0" t="inlineStr">
        <is>
          <t>NULL</t>
        </is>
      </c>
      <c r="I586" s="0" t="inlineStr">
        <is>
          <t>NULL</t>
        </is>
      </c>
      <c r="J586" s="0" t="inlineStr">
        <is>
          <t>NULL</t>
        </is>
      </c>
      <c r="K586" s="0" t="inlineStr">
        <is>
          <t>YES! 	 c_nvarchar_20列源备映射正确，源端为sql_variant 0位	期望更改为sql_variant	实际备端为sql_variant 0位</t>
        </is>
      </c>
    </row>
    <row r="587">
      <c r="B587" s="0" t="inlineStr">
        <is>
          <t>NULL</t>
        </is>
      </c>
      <c r="C587" s="0" t="inlineStr">
        <is>
          <t>NULL</t>
        </is>
      </c>
      <c r="D587" s="0" t="inlineStr">
        <is>
          <t>NULL</t>
        </is>
      </c>
      <c r="E587" s="0" t="inlineStr">
        <is>
          <t>NULL</t>
        </is>
      </c>
      <c r="F587" s="0" t="inlineStr">
        <is>
          <t>NULL</t>
        </is>
      </c>
      <c r="G587" s="0" t="inlineStr">
        <is>
          <t>NULL</t>
        </is>
      </c>
      <c r="H587" s="0" t="inlineStr">
        <is>
          <t>NULL</t>
        </is>
      </c>
      <c r="I587" s="0" t="inlineStr">
        <is>
          <t>NULL</t>
        </is>
      </c>
      <c r="J587" s="0" t="inlineStr">
        <is>
          <t>NULL</t>
        </is>
      </c>
      <c r="K587" s="0" t="inlineStr">
        <is>
          <t>YES! 	 c_nchar_20列源备映射正确，源端为sql_variant 0位	期望更改为sql_variant	实际备端为sql_variant 0位</t>
        </is>
      </c>
    </row>
    <row r="588">
      <c r="B588" s="0" t="inlineStr">
        <is>
          <t>NULL</t>
        </is>
      </c>
      <c r="C588" s="0" t="inlineStr">
        <is>
          <t>NULL</t>
        </is>
      </c>
      <c r="D588" s="0" t="inlineStr">
        <is>
          <t>NULL</t>
        </is>
      </c>
      <c r="E588" s="0" t="inlineStr">
        <is>
          <t>NULL</t>
        </is>
      </c>
      <c r="F588" s="0" t="inlineStr">
        <is>
          <t>NULL</t>
        </is>
      </c>
      <c r="G588" s="0" t="inlineStr">
        <is>
          <t>NULL</t>
        </is>
      </c>
      <c r="H588" s="0" t="inlineStr">
        <is>
          <t>NULL</t>
        </is>
      </c>
      <c r="I588" s="0" t="inlineStr">
        <is>
          <t>NULL</t>
        </is>
      </c>
      <c r="J588" s="0" t="inlineStr">
        <is>
          <t>NULL</t>
        </is>
      </c>
      <c r="K588" s="0" t="inlineStr">
        <is>
          <t>YES! 	 c_timestamp列源备映射正确，源端为timestamp None位	期望更改为timestamp	实际备端为timestamp None位</t>
        </is>
      </c>
    </row>
    <row r="589">
      <c r="A589" s="0" t="inlineStr">
        <is>
          <t>info_sdt_dml_batch1_pk</t>
        </is>
      </c>
      <c r="K589" s="0" t="inlineStr">
        <is>
          <t>[0;34m info_sdt_dml_batch1_pk [0m源备字段数相同，源端字段：2 	备端字段2</t>
        </is>
      </c>
      <c r="W589" s="0" t="inlineStr">
        <is>
          <t>YES 源备无差异</t>
        </is>
      </c>
      <c r="X589" s="0">
        <f>A589</f>
        <v/>
      </c>
    </row>
    <row r="590">
      <c r="B590" s="0" t="inlineStr">
        <is>
          <t>YES</t>
        </is>
      </c>
      <c r="C590" s="0" t="inlineStr">
        <is>
          <t>NULL</t>
        </is>
      </c>
      <c r="D590" s="0" t="inlineStr">
        <is>
          <t>NULL</t>
        </is>
      </c>
      <c r="E590" s="0" t="inlineStr">
        <is>
          <t>NULL</t>
        </is>
      </c>
      <c r="F590" s="0" t="inlineStr">
        <is>
          <t>NULL</t>
        </is>
      </c>
      <c r="G590" s="0" t="inlineStr">
        <is>
          <t>NULL</t>
        </is>
      </c>
      <c r="H590" s="0" t="inlineStr">
        <is>
          <t>NULL</t>
        </is>
      </c>
      <c r="I590" s="0" t="inlineStr">
        <is>
          <t>YES!PK__info_sdt__3213E83FA1971A79</t>
        </is>
      </c>
      <c r="J590" s="0" t="inlineStr">
        <is>
          <t>YES! 主键相关索引</t>
        </is>
      </c>
      <c r="K590" s="0" t="inlineStr">
        <is>
          <t>YES! 	 id列源备映射正确，源端为int None位	期望更改为int	实际备端为int None位</t>
        </is>
      </c>
    </row>
    <row r="591">
      <c r="B591" s="0" t="inlineStr">
        <is>
          <t>NULL</t>
        </is>
      </c>
      <c r="C591" s="0" t="inlineStr">
        <is>
          <t>NULL</t>
        </is>
      </c>
      <c r="D591" s="0" t="inlineStr">
        <is>
          <t>NULL</t>
        </is>
      </c>
      <c r="E591" s="0" t="inlineStr">
        <is>
          <t>NULL</t>
        </is>
      </c>
      <c r="F591" s="0" t="inlineStr">
        <is>
          <t>NULL</t>
        </is>
      </c>
      <c r="G591" s="0" t="inlineStr">
        <is>
          <t>NULL</t>
        </is>
      </c>
      <c r="H591" s="0" t="inlineStr">
        <is>
          <t>NULL</t>
        </is>
      </c>
      <c r="I591" s="0" t="inlineStr">
        <is>
          <t>NULL</t>
        </is>
      </c>
      <c r="J591" s="0" t="inlineStr">
        <is>
          <t>NULL</t>
        </is>
      </c>
      <c r="K591" s="0" t="inlineStr">
        <is>
          <t>YES! 	 c_sdt列源备映射正确，源端为smalldatetime None位	期望更改为smalldatetime	实际备端为smalldatetime None位</t>
        </is>
      </c>
    </row>
    <row r="592">
      <c r="A592" s="0" t="inlineStr">
        <is>
          <t>info_nvarchar_dml_single_nopk_irp</t>
        </is>
      </c>
      <c r="K592" s="0" t="inlineStr">
        <is>
          <t>[0;34m info_nvarchar_dml_single_nopk_irp [0m源备字段数相同，源端字段：4 	备端字段4</t>
        </is>
      </c>
      <c r="W592" s="0" t="inlineStr">
        <is>
          <t>YES 源备无差异</t>
        </is>
      </c>
      <c r="X592" s="0">
        <f>A592</f>
        <v/>
      </c>
    </row>
    <row r="593">
      <c r="B593" s="0" t="inlineStr">
        <is>
          <t>NULL</t>
        </is>
      </c>
      <c r="C593" s="0" t="inlineStr">
        <is>
          <t>NULL</t>
        </is>
      </c>
      <c r="D593" s="0" t="inlineStr">
        <is>
          <t>NULL</t>
        </is>
      </c>
      <c r="E593" s="0" t="inlineStr">
        <is>
          <t>NULL</t>
        </is>
      </c>
      <c r="F593" s="0" t="inlineStr">
        <is>
          <t>NULL</t>
        </is>
      </c>
      <c r="G593" s="0" t="inlineStr">
        <is>
          <t>NULL</t>
        </is>
      </c>
      <c r="H593" s="0" t="inlineStr">
        <is>
          <t>NULL</t>
        </is>
      </c>
      <c r="I593" s="0" t="inlineStr">
        <is>
          <t>NULL</t>
        </is>
      </c>
      <c r="J593" s="0" t="inlineStr">
        <is>
          <t>NULL</t>
        </is>
      </c>
      <c r="K593" s="0" t="inlineStr">
        <is>
          <t>YES! 	 id列源备映射正确，源端为int None位	期望更改为int	实际备端为int None位</t>
        </is>
      </c>
    </row>
    <row r="594">
      <c r="B594" s="0" t="inlineStr">
        <is>
          <t>NULL</t>
        </is>
      </c>
      <c r="C594" s="0" t="inlineStr">
        <is>
          <t>NULL</t>
        </is>
      </c>
      <c r="D594" s="0" t="inlineStr">
        <is>
          <t>NULL</t>
        </is>
      </c>
      <c r="E594" s="0" t="inlineStr">
        <is>
          <t>NULL</t>
        </is>
      </c>
      <c r="F594" s="0" t="inlineStr">
        <is>
          <t>NULL</t>
        </is>
      </c>
      <c r="G594" s="0" t="inlineStr">
        <is>
          <t>NULL</t>
        </is>
      </c>
      <c r="H594" s="0" t="inlineStr">
        <is>
          <t>NULL</t>
        </is>
      </c>
      <c r="I594" s="0" t="inlineStr">
        <is>
          <t>NULL</t>
        </is>
      </c>
      <c r="J594" s="0" t="inlineStr">
        <is>
          <t>NULL</t>
        </is>
      </c>
      <c r="K594" s="0" t="inlineStr">
        <is>
          <t>YES! 	 c_nvarchar列源备映射正确，源端为nvarchar 2位	期望更改为nvarchar(n)	实际备端为nvarchar 2位</t>
        </is>
      </c>
    </row>
    <row r="595">
      <c r="B595" s="0" t="inlineStr">
        <is>
          <t>NULL</t>
        </is>
      </c>
      <c r="C595" s="0" t="inlineStr">
        <is>
          <t>NULL</t>
        </is>
      </c>
      <c r="D595" s="0" t="inlineStr">
        <is>
          <t>NULL</t>
        </is>
      </c>
      <c r="E595" s="0" t="inlineStr">
        <is>
          <t>NULL</t>
        </is>
      </c>
      <c r="F595" s="0" t="inlineStr">
        <is>
          <t>NULL</t>
        </is>
      </c>
      <c r="G595" s="0" t="inlineStr">
        <is>
          <t>NULL</t>
        </is>
      </c>
      <c r="H595" s="0" t="inlineStr">
        <is>
          <t>NULL</t>
        </is>
      </c>
      <c r="I595" s="0" t="inlineStr">
        <is>
          <t>NULL</t>
        </is>
      </c>
      <c r="J595" s="0" t="inlineStr">
        <is>
          <t>NULL</t>
        </is>
      </c>
      <c r="K595" s="0" t="inlineStr">
        <is>
          <t>YES! 	 c_nvarchar20列源备映射正确，源端为nvarchar 40位	期望更改为nvarchar(n)	实际备端为nvarchar 40位</t>
        </is>
      </c>
    </row>
    <row r="596">
      <c r="B596" s="0" t="inlineStr">
        <is>
          <t>NULL</t>
        </is>
      </c>
      <c r="C596" s="0" t="inlineStr">
        <is>
          <t>NULL</t>
        </is>
      </c>
      <c r="D596" s="0" t="inlineStr">
        <is>
          <t>NULL</t>
        </is>
      </c>
      <c r="E596" s="0" t="inlineStr">
        <is>
          <t>NULL</t>
        </is>
      </c>
      <c r="F596" s="0" t="inlineStr">
        <is>
          <t>NULL</t>
        </is>
      </c>
      <c r="G596" s="0" t="inlineStr">
        <is>
          <t>NULL</t>
        </is>
      </c>
      <c r="H596" s="0" t="inlineStr">
        <is>
          <t>NULL</t>
        </is>
      </c>
      <c r="I596" s="0" t="inlineStr">
        <is>
          <t>NULL</t>
        </is>
      </c>
      <c r="J596" s="0" t="inlineStr">
        <is>
          <t>NULL</t>
        </is>
      </c>
      <c r="K596" s="0" t="inlineStr">
        <is>
          <t>YES! 	 c_nvarchar4000列源备映射正确，源端为nvarchar 8000位	期望更改为nvarchar(n)	实际备端为nvarchar 8000位</t>
        </is>
      </c>
    </row>
    <row r="597">
      <c r="A597" s="0" t="inlineStr">
        <is>
          <t>info_varchar_dml_batch1_pk_urp1</t>
        </is>
      </c>
      <c r="K597" s="0" t="inlineStr">
        <is>
          <t>[0;34m info_varchar_dml_batch1_pk_urp1 [0m源备字段数相同，源端字段：4 	备端字段4</t>
        </is>
      </c>
      <c r="W597" s="0" t="inlineStr">
        <is>
          <t>YES 源备无差异</t>
        </is>
      </c>
      <c r="X597" s="0">
        <f>A597</f>
        <v/>
      </c>
    </row>
    <row r="598">
      <c r="B598" s="0" t="inlineStr">
        <is>
          <t>YES</t>
        </is>
      </c>
      <c r="C598" s="0" t="inlineStr">
        <is>
          <t>NULL</t>
        </is>
      </c>
      <c r="D598" s="0" t="inlineStr">
        <is>
          <t>NULL</t>
        </is>
      </c>
      <c r="E598" s="0" t="inlineStr">
        <is>
          <t>NULL</t>
        </is>
      </c>
      <c r="F598" s="0" t="inlineStr">
        <is>
          <t>NULL</t>
        </is>
      </c>
      <c r="G598" s="0" t="inlineStr">
        <is>
          <t>NULL</t>
        </is>
      </c>
      <c r="H598" s="0" t="inlineStr">
        <is>
          <t>NULL</t>
        </is>
      </c>
      <c r="I598" s="0" t="inlineStr">
        <is>
          <t>YES!PK__info_var__3213E83F95050969</t>
        </is>
      </c>
      <c r="J598" s="0" t="inlineStr">
        <is>
          <t>YES! 主键相关索引</t>
        </is>
      </c>
      <c r="K598" s="0" t="inlineStr">
        <is>
          <t>YES! 	 id列源备映射正确，源端为int None位	期望更改为int	实际备端为int None位</t>
        </is>
      </c>
    </row>
    <row r="599">
      <c r="B599" s="0" t="inlineStr">
        <is>
          <t>NULL</t>
        </is>
      </c>
      <c r="C599" s="0" t="inlineStr">
        <is>
          <t>NULL</t>
        </is>
      </c>
      <c r="D599" s="0" t="inlineStr">
        <is>
          <t>NULL</t>
        </is>
      </c>
      <c r="E599" s="0" t="inlineStr">
        <is>
          <t>NULL</t>
        </is>
      </c>
      <c r="F599" s="0" t="inlineStr">
        <is>
          <t>NULL</t>
        </is>
      </c>
      <c r="G599" s="0" t="inlineStr">
        <is>
          <t>NULL</t>
        </is>
      </c>
      <c r="H599" s="0" t="inlineStr">
        <is>
          <t>NULL</t>
        </is>
      </c>
      <c r="I599" s="0" t="inlineStr">
        <is>
          <t>NULL</t>
        </is>
      </c>
      <c r="J599" s="0" t="inlineStr">
        <is>
          <t>NULL</t>
        </is>
      </c>
      <c r="K599" s="0" t="inlineStr">
        <is>
          <t>YES! 	 c_varchar列源备映射正确，源端为varchar 1位	期望更改为varchar(n)	实际备端为varchar 1位</t>
        </is>
      </c>
    </row>
    <row r="600">
      <c r="B600" s="0" t="inlineStr">
        <is>
          <t>NULL</t>
        </is>
      </c>
      <c r="C600" s="0" t="inlineStr">
        <is>
          <t>NULL</t>
        </is>
      </c>
      <c r="D600" s="0" t="inlineStr">
        <is>
          <t>NULL</t>
        </is>
      </c>
      <c r="E600" s="0" t="inlineStr">
        <is>
          <t>NULL</t>
        </is>
      </c>
      <c r="F600" s="0" t="inlineStr">
        <is>
          <t>NULL</t>
        </is>
      </c>
      <c r="G600" s="0" t="inlineStr">
        <is>
          <t>NULL</t>
        </is>
      </c>
      <c r="H600" s="0" t="inlineStr">
        <is>
          <t>NULL</t>
        </is>
      </c>
      <c r="I600" s="0" t="inlineStr">
        <is>
          <t>NULL</t>
        </is>
      </c>
      <c r="J600" s="0" t="inlineStr">
        <is>
          <t>NULL</t>
        </is>
      </c>
      <c r="K600" s="0" t="inlineStr">
        <is>
          <t>YES! 	 c_varchar20列源备映射正确，源端为varchar 20位	期望更改为varchar(n)	实际备端为varchar 20位</t>
        </is>
      </c>
    </row>
    <row r="601">
      <c r="B601" s="0" t="inlineStr">
        <is>
          <t>NULL</t>
        </is>
      </c>
      <c r="C601" s="0" t="inlineStr">
        <is>
          <t>NULL</t>
        </is>
      </c>
      <c r="D601" s="0" t="inlineStr">
        <is>
          <t>NULL</t>
        </is>
      </c>
      <c r="E601" s="0" t="inlineStr">
        <is>
          <t>NULL</t>
        </is>
      </c>
      <c r="F601" s="0" t="inlineStr">
        <is>
          <t>NULL</t>
        </is>
      </c>
      <c r="G601" s="0" t="inlineStr">
        <is>
          <t>NULL</t>
        </is>
      </c>
      <c r="H601" s="0" t="inlineStr">
        <is>
          <t>NULL</t>
        </is>
      </c>
      <c r="I601" s="0" t="inlineStr">
        <is>
          <t>NULL</t>
        </is>
      </c>
      <c r="J601" s="0" t="inlineStr">
        <is>
          <t>NULL</t>
        </is>
      </c>
      <c r="K601" s="0" t="inlineStr">
        <is>
          <t>YES! 	 c_varchar7000列源备映射正确，源端为varchar 7000位	期望更改为varchar(n)	实际备端为varchar 7000位</t>
        </is>
      </c>
    </row>
    <row r="602">
      <c r="A602" s="0" t="inlineStr">
        <is>
          <t>info_sql_variant_dml_single_pk</t>
        </is>
      </c>
      <c r="K602" s="0" t="inlineStr">
        <is>
          <t>[0;34m info_sql_variant_dml_single_pk [0m源备字段数相同，源端字段：25 	备端字段25</t>
        </is>
      </c>
      <c r="W602" s="0" t="inlineStr">
        <is>
          <t>YES 源备无差异</t>
        </is>
      </c>
      <c r="X602" s="0">
        <f>A602</f>
        <v/>
      </c>
    </row>
    <row r="603">
      <c r="B603" s="0" t="inlineStr">
        <is>
          <t>YES</t>
        </is>
      </c>
      <c r="C603" s="0" t="inlineStr">
        <is>
          <t>NULL</t>
        </is>
      </c>
      <c r="D603" s="0" t="inlineStr">
        <is>
          <t>NULL</t>
        </is>
      </c>
      <c r="E603" s="0" t="inlineStr">
        <is>
          <t>NULL</t>
        </is>
      </c>
      <c r="F603" s="0" t="inlineStr">
        <is>
          <t>NULL</t>
        </is>
      </c>
      <c r="G603" s="0" t="inlineStr">
        <is>
          <t>NULL</t>
        </is>
      </c>
      <c r="H603" s="0" t="inlineStr">
        <is>
          <t>NULL</t>
        </is>
      </c>
      <c r="I603" s="0" t="inlineStr">
        <is>
          <t>YES!PK__info_sql__3213E83F0AEFC72B</t>
        </is>
      </c>
      <c r="J603" s="0" t="inlineStr">
        <is>
          <t>YES! 主键相关索引</t>
        </is>
      </c>
      <c r="K603" s="0" t="inlineStr">
        <is>
          <t>YES! 	 id列源备映射正确，源端为int None位	期望更改为int	实际备端为int None位</t>
        </is>
      </c>
    </row>
    <row r="604">
      <c r="B604" s="0" t="inlineStr">
        <is>
          <t>NULL</t>
        </is>
      </c>
      <c r="C604" s="0" t="inlineStr">
        <is>
          <t>NULL</t>
        </is>
      </c>
      <c r="D604" s="0" t="inlineStr">
        <is>
          <t>NULL</t>
        </is>
      </c>
      <c r="E604" s="0" t="inlineStr">
        <is>
          <t>NULL</t>
        </is>
      </c>
      <c r="F604" s="0" t="inlineStr">
        <is>
          <t>NULL</t>
        </is>
      </c>
      <c r="G604" s="0" t="inlineStr">
        <is>
          <t>NULL</t>
        </is>
      </c>
      <c r="H604" s="0" t="inlineStr">
        <is>
          <t>NULL</t>
        </is>
      </c>
      <c r="I604" s="0" t="inlineStr">
        <is>
          <t>NULL</t>
        </is>
      </c>
      <c r="J604" s="0" t="inlineStr">
        <is>
          <t>NULL</t>
        </is>
      </c>
      <c r="K604" s="0" t="inlineStr">
        <is>
          <t>YES! 	 c_date列源备映射正确，源端为sql_variant 0位	期望更改为sql_variant	实际备端为sql_variant 0位</t>
        </is>
      </c>
    </row>
    <row r="605">
      <c r="B605" s="0" t="inlineStr">
        <is>
          <t>NULL</t>
        </is>
      </c>
      <c r="C605" s="0" t="inlineStr">
        <is>
          <t>NULL</t>
        </is>
      </c>
      <c r="D605" s="0" t="inlineStr">
        <is>
          <t>NULL</t>
        </is>
      </c>
      <c r="E605" s="0" t="inlineStr">
        <is>
          <t>NULL</t>
        </is>
      </c>
      <c r="F605" s="0" t="inlineStr">
        <is>
          <t>NULL</t>
        </is>
      </c>
      <c r="G605" s="0" t="inlineStr">
        <is>
          <t>NULL</t>
        </is>
      </c>
      <c r="H605" s="0" t="inlineStr">
        <is>
          <t>NULL</t>
        </is>
      </c>
      <c r="I605" s="0" t="inlineStr">
        <is>
          <t>NULL</t>
        </is>
      </c>
      <c r="J605" s="0" t="inlineStr">
        <is>
          <t>NULL</t>
        </is>
      </c>
      <c r="K605" s="0" t="inlineStr">
        <is>
          <t>YES! 	 c_time列源备映射正确，源端为sql_variant 0位	期望更改为sql_variant	实际备端为sql_variant 0位</t>
        </is>
      </c>
    </row>
    <row r="606">
      <c r="B606" s="0" t="inlineStr">
        <is>
          <t>NULL</t>
        </is>
      </c>
      <c r="C606" s="0" t="inlineStr">
        <is>
          <t>NULL</t>
        </is>
      </c>
      <c r="D606" s="0" t="inlineStr">
        <is>
          <t>NULL</t>
        </is>
      </c>
      <c r="E606" s="0" t="inlineStr">
        <is>
          <t>NULL</t>
        </is>
      </c>
      <c r="F606" s="0" t="inlineStr">
        <is>
          <t>NULL</t>
        </is>
      </c>
      <c r="G606" s="0" t="inlineStr">
        <is>
          <t>NULL</t>
        </is>
      </c>
      <c r="H606" s="0" t="inlineStr">
        <is>
          <t>NULL</t>
        </is>
      </c>
      <c r="I606" s="0" t="inlineStr">
        <is>
          <t>NULL</t>
        </is>
      </c>
      <c r="J606" s="0" t="inlineStr">
        <is>
          <t>NULL</t>
        </is>
      </c>
      <c r="K606" s="0" t="inlineStr">
        <is>
          <t>YES! 	 c_datetime2列源备映射正确，源端为sql_variant 0位	期望更改为sql_variant	实际备端为sql_variant 0位</t>
        </is>
      </c>
    </row>
    <row r="607">
      <c r="B607" s="0" t="inlineStr">
        <is>
          <t>NULL</t>
        </is>
      </c>
      <c r="C607" s="0" t="inlineStr">
        <is>
          <t>NULL</t>
        </is>
      </c>
      <c r="D607" s="0" t="inlineStr">
        <is>
          <t>NULL</t>
        </is>
      </c>
      <c r="E607" s="0" t="inlineStr">
        <is>
          <t>NULL</t>
        </is>
      </c>
      <c r="F607" s="0" t="inlineStr">
        <is>
          <t>NULL</t>
        </is>
      </c>
      <c r="G607" s="0" t="inlineStr">
        <is>
          <t>NULL</t>
        </is>
      </c>
      <c r="H607" s="0" t="inlineStr">
        <is>
          <t>NULL</t>
        </is>
      </c>
      <c r="I607" s="0" t="inlineStr">
        <is>
          <t>NULL</t>
        </is>
      </c>
      <c r="J607" s="0" t="inlineStr">
        <is>
          <t>NULL</t>
        </is>
      </c>
      <c r="K607" s="0" t="inlineStr">
        <is>
          <t>YES! 	 c_datetimeoffset列源备映射正确，源端为sql_variant 0位	期望更改为sql_variant	实际备端为sql_variant 0位</t>
        </is>
      </c>
    </row>
    <row r="608">
      <c r="B608" s="0" t="inlineStr">
        <is>
          <t>NULL</t>
        </is>
      </c>
      <c r="C608" s="0" t="inlineStr">
        <is>
          <t>NULL</t>
        </is>
      </c>
      <c r="D608" s="0" t="inlineStr">
        <is>
          <t>NULL</t>
        </is>
      </c>
      <c r="E608" s="0" t="inlineStr">
        <is>
          <t>NULL</t>
        </is>
      </c>
      <c r="F608" s="0" t="inlineStr">
        <is>
          <t>NULL</t>
        </is>
      </c>
      <c r="G608" s="0" t="inlineStr">
        <is>
          <t>NULL</t>
        </is>
      </c>
      <c r="H608" s="0" t="inlineStr">
        <is>
          <t>NULL</t>
        </is>
      </c>
      <c r="I608" s="0" t="inlineStr">
        <is>
          <t>NULL</t>
        </is>
      </c>
      <c r="J608" s="0" t="inlineStr">
        <is>
          <t>NULL</t>
        </is>
      </c>
      <c r="K608" s="0" t="inlineStr">
        <is>
          <t>YES! 	 c_tinyint列源备映射正确，源端为sql_variant 0位	期望更改为sql_variant	实际备端为sql_variant 0位</t>
        </is>
      </c>
    </row>
    <row r="609">
      <c r="B609" s="0" t="inlineStr">
        <is>
          <t>NULL</t>
        </is>
      </c>
      <c r="C609" s="0" t="inlineStr">
        <is>
          <t>NULL</t>
        </is>
      </c>
      <c r="D609" s="0" t="inlineStr">
        <is>
          <t>NULL</t>
        </is>
      </c>
      <c r="E609" s="0" t="inlineStr">
        <is>
          <t>NULL</t>
        </is>
      </c>
      <c r="F609" s="0" t="inlineStr">
        <is>
          <t>NULL</t>
        </is>
      </c>
      <c r="G609" s="0" t="inlineStr">
        <is>
          <t>NULL</t>
        </is>
      </c>
      <c r="H609" s="0" t="inlineStr">
        <is>
          <t>NULL</t>
        </is>
      </c>
      <c r="I609" s="0" t="inlineStr">
        <is>
          <t>NULL</t>
        </is>
      </c>
      <c r="J609" s="0" t="inlineStr">
        <is>
          <t>NULL</t>
        </is>
      </c>
      <c r="K609" s="0" t="inlineStr">
        <is>
          <t>YES! 	 c_smallint列源备映射正确，源端为sql_variant 0位	期望更改为sql_variant	实际备端为sql_variant 0位</t>
        </is>
      </c>
    </row>
    <row r="610">
      <c r="B610" s="0" t="inlineStr">
        <is>
          <t>NULL</t>
        </is>
      </c>
      <c r="C610" s="0" t="inlineStr">
        <is>
          <t>NULL</t>
        </is>
      </c>
      <c r="D610" s="0" t="inlineStr">
        <is>
          <t>NULL</t>
        </is>
      </c>
      <c r="E610" s="0" t="inlineStr">
        <is>
          <t>NULL</t>
        </is>
      </c>
      <c r="F610" s="0" t="inlineStr">
        <is>
          <t>NULL</t>
        </is>
      </c>
      <c r="G610" s="0" t="inlineStr">
        <is>
          <t>NULL</t>
        </is>
      </c>
      <c r="H610" s="0" t="inlineStr">
        <is>
          <t>NULL</t>
        </is>
      </c>
      <c r="I610" s="0" t="inlineStr">
        <is>
          <t>NULL</t>
        </is>
      </c>
      <c r="J610" s="0" t="inlineStr">
        <is>
          <t>NULL</t>
        </is>
      </c>
      <c r="K610" s="0" t="inlineStr">
        <is>
          <t>YES! 	 c_int列源备映射正确，源端为sql_variant 0位	期望更改为sql_variant	实际备端为sql_variant 0位</t>
        </is>
      </c>
    </row>
    <row r="611">
      <c r="B611" s="0" t="inlineStr">
        <is>
          <t>NULL</t>
        </is>
      </c>
      <c r="C611" s="0" t="inlineStr">
        <is>
          <t>NULL</t>
        </is>
      </c>
      <c r="D611" s="0" t="inlineStr">
        <is>
          <t>NULL</t>
        </is>
      </c>
      <c r="E611" s="0" t="inlineStr">
        <is>
          <t>NULL</t>
        </is>
      </c>
      <c r="F611" s="0" t="inlineStr">
        <is>
          <t>NULL</t>
        </is>
      </c>
      <c r="G611" s="0" t="inlineStr">
        <is>
          <t>NULL</t>
        </is>
      </c>
      <c r="H611" s="0" t="inlineStr">
        <is>
          <t>NULL</t>
        </is>
      </c>
      <c r="I611" s="0" t="inlineStr">
        <is>
          <t>NULL</t>
        </is>
      </c>
      <c r="J611" s="0" t="inlineStr">
        <is>
          <t>NULL</t>
        </is>
      </c>
      <c r="K611" s="0" t="inlineStr">
        <is>
          <t>YES! 	 c_sdt列源备映射正确，源端为sql_variant 0位	期望更改为sql_variant	实际备端为sql_variant 0位</t>
        </is>
      </c>
    </row>
    <row r="612">
      <c r="B612" s="0" t="inlineStr">
        <is>
          <t>NULL</t>
        </is>
      </c>
      <c r="C612" s="0" t="inlineStr">
        <is>
          <t>NULL</t>
        </is>
      </c>
      <c r="D612" s="0" t="inlineStr">
        <is>
          <t>NULL</t>
        </is>
      </c>
      <c r="E612" s="0" t="inlineStr">
        <is>
          <t>NULL</t>
        </is>
      </c>
      <c r="F612" s="0" t="inlineStr">
        <is>
          <t>NULL</t>
        </is>
      </c>
      <c r="G612" s="0" t="inlineStr">
        <is>
          <t>NULL</t>
        </is>
      </c>
      <c r="H612" s="0" t="inlineStr">
        <is>
          <t>NULL</t>
        </is>
      </c>
      <c r="I612" s="0" t="inlineStr">
        <is>
          <t>NULL</t>
        </is>
      </c>
      <c r="J612" s="0" t="inlineStr">
        <is>
          <t>NULL</t>
        </is>
      </c>
      <c r="K612" s="0" t="inlineStr">
        <is>
          <t>YES! 	 c_real列源备映射正确，源端为sql_variant 0位	期望更改为sql_variant	实际备端为sql_variant 0位</t>
        </is>
      </c>
    </row>
    <row r="613">
      <c r="B613" s="0" t="inlineStr">
        <is>
          <t>NULL</t>
        </is>
      </c>
      <c r="C613" s="0" t="inlineStr">
        <is>
          <t>NULL</t>
        </is>
      </c>
      <c r="D613" s="0" t="inlineStr">
        <is>
          <t>NULL</t>
        </is>
      </c>
      <c r="E613" s="0" t="inlineStr">
        <is>
          <t>NULL</t>
        </is>
      </c>
      <c r="F613" s="0" t="inlineStr">
        <is>
          <t>NULL</t>
        </is>
      </c>
      <c r="G613" s="0" t="inlineStr">
        <is>
          <t>NULL</t>
        </is>
      </c>
      <c r="H613" s="0" t="inlineStr">
        <is>
          <t>NULL</t>
        </is>
      </c>
      <c r="I613" s="0" t="inlineStr">
        <is>
          <t>NULL</t>
        </is>
      </c>
      <c r="J613" s="0" t="inlineStr">
        <is>
          <t>NULL</t>
        </is>
      </c>
      <c r="K613" s="0" t="inlineStr">
        <is>
          <t>YES! 	 c_money列源备映射正确，源端为sql_variant 0位	期望更改为sql_variant	实际备端为sql_variant 0位</t>
        </is>
      </c>
    </row>
    <row r="614">
      <c r="B614" s="0" t="inlineStr">
        <is>
          <t>NULL</t>
        </is>
      </c>
      <c r="C614" s="0" t="inlineStr">
        <is>
          <t>NULL</t>
        </is>
      </c>
      <c r="D614" s="0" t="inlineStr">
        <is>
          <t>NULL</t>
        </is>
      </c>
      <c r="E614" s="0" t="inlineStr">
        <is>
          <t>NULL</t>
        </is>
      </c>
      <c r="F614" s="0" t="inlineStr">
        <is>
          <t>NULL</t>
        </is>
      </c>
      <c r="G614" s="0" t="inlineStr">
        <is>
          <t>NULL</t>
        </is>
      </c>
      <c r="H614" s="0" t="inlineStr">
        <is>
          <t>NULL</t>
        </is>
      </c>
      <c r="I614" s="0" t="inlineStr">
        <is>
          <t>NULL</t>
        </is>
      </c>
      <c r="J614" s="0" t="inlineStr">
        <is>
          <t>NULL</t>
        </is>
      </c>
      <c r="K614" s="0" t="inlineStr">
        <is>
          <t>YES! 	 c_datetime列源备映射正确，源端为sql_variant 0位	期望更改为sql_variant	实际备端为sql_variant 0位</t>
        </is>
      </c>
    </row>
    <row r="615">
      <c r="B615" s="0" t="inlineStr">
        <is>
          <t>NULL</t>
        </is>
      </c>
      <c r="C615" s="0" t="inlineStr">
        <is>
          <t>NULL</t>
        </is>
      </c>
      <c r="D615" s="0" t="inlineStr">
        <is>
          <t>NULL</t>
        </is>
      </c>
      <c r="E615" s="0" t="inlineStr">
        <is>
          <t>NULL</t>
        </is>
      </c>
      <c r="F615" s="0" t="inlineStr">
        <is>
          <t>NULL</t>
        </is>
      </c>
      <c r="G615" s="0" t="inlineStr">
        <is>
          <t>NULL</t>
        </is>
      </c>
      <c r="H615" s="0" t="inlineStr">
        <is>
          <t>NULL</t>
        </is>
      </c>
      <c r="I615" s="0" t="inlineStr">
        <is>
          <t>NULL</t>
        </is>
      </c>
      <c r="J615" s="0" t="inlineStr">
        <is>
          <t>NULL</t>
        </is>
      </c>
      <c r="K615" s="0" t="inlineStr">
        <is>
          <t>YES! 	 c_float列源备映射正确，源端为sql_variant 0位	期望更改为sql_variant	实际备端为sql_variant 0位</t>
        </is>
      </c>
    </row>
    <row r="616">
      <c r="B616" s="0" t="inlineStr">
        <is>
          <t>NULL</t>
        </is>
      </c>
      <c r="C616" s="0" t="inlineStr">
        <is>
          <t>NULL</t>
        </is>
      </c>
      <c r="D616" s="0" t="inlineStr">
        <is>
          <t>NULL</t>
        </is>
      </c>
      <c r="E616" s="0" t="inlineStr">
        <is>
          <t>NULL</t>
        </is>
      </c>
      <c r="F616" s="0" t="inlineStr">
        <is>
          <t>NULL</t>
        </is>
      </c>
      <c r="G616" s="0" t="inlineStr">
        <is>
          <t>NULL</t>
        </is>
      </c>
      <c r="H616" s="0" t="inlineStr">
        <is>
          <t>NULL</t>
        </is>
      </c>
      <c r="I616" s="0" t="inlineStr">
        <is>
          <t>NULL</t>
        </is>
      </c>
      <c r="J616" s="0" t="inlineStr">
        <is>
          <t>NULL</t>
        </is>
      </c>
      <c r="K616" s="0" t="inlineStr">
        <is>
          <t>YES! 	 c_bit列源备映射正确，源端为sql_variant 0位	期望更改为sql_variant	实际备端为sql_variant 0位</t>
        </is>
      </c>
    </row>
    <row r="617">
      <c r="B617" s="0" t="inlineStr">
        <is>
          <t>NULL</t>
        </is>
      </c>
      <c r="C617" s="0" t="inlineStr">
        <is>
          <t>NULL</t>
        </is>
      </c>
      <c r="D617" s="0" t="inlineStr">
        <is>
          <t>NULL</t>
        </is>
      </c>
      <c r="E617" s="0" t="inlineStr">
        <is>
          <t>NULL</t>
        </is>
      </c>
      <c r="F617" s="0" t="inlineStr">
        <is>
          <t>NULL</t>
        </is>
      </c>
      <c r="G617" s="0" t="inlineStr">
        <is>
          <t>NULL</t>
        </is>
      </c>
      <c r="H617" s="0" t="inlineStr">
        <is>
          <t>NULL</t>
        </is>
      </c>
      <c r="I617" s="0" t="inlineStr">
        <is>
          <t>NULL</t>
        </is>
      </c>
      <c r="J617" s="0" t="inlineStr">
        <is>
          <t>NULL</t>
        </is>
      </c>
      <c r="K617" s="0" t="inlineStr">
        <is>
          <t>YES! 	 c_decimal列源备映射正确，源端为sql_variant 0位	期望更改为sql_variant	实际备端为sql_variant 0位</t>
        </is>
      </c>
    </row>
    <row r="618">
      <c r="B618" s="0" t="inlineStr">
        <is>
          <t>NULL</t>
        </is>
      </c>
      <c r="C618" s="0" t="inlineStr">
        <is>
          <t>NULL</t>
        </is>
      </c>
      <c r="D618" s="0" t="inlineStr">
        <is>
          <t>NULL</t>
        </is>
      </c>
      <c r="E618" s="0" t="inlineStr">
        <is>
          <t>NULL</t>
        </is>
      </c>
      <c r="F618" s="0" t="inlineStr">
        <is>
          <t>NULL</t>
        </is>
      </c>
      <c r="G618" s="0" t="inlineStr">
        <is>
          <t>NULL</t>
        </is>
      </c>
      <c r="H618" s="0" t="inlineStr">
        <is>
          <t>NULL</t>
        </is>
      </c>
      <c r="I618" s="0" t="inlineStr">
        <is>
          <t>NULL</t>
        </is>
      </c>
      <c r="J618" s="0" t="inlineStr">
        <is>
          <t>NULL</t>
        </is>
      </c>
      <c r="K618" s="0" t="inlineStr">
        <is>
          <t>YES! 	 c_uniqueidentifier列源备映射正确，源端为sql_variant 0位	期望更改为sql_variant	实际备端为sql_variant 0位</t>
        </is>
      </c>
    </row>
    <row r="619">
      <c r="B619" s="0" t="inlineStr">
        <is>
          <t>NULL</t>
        </is>
      </c>
      <c r="C619" s="0" t="inlineStr">
        <is>
          <t>NULL</t>
        </is>
      </c>
      <c r="D619" s="0" t="inlineStr">
        <is>
          <t>NULL</t>
        </is>
      </c>
      <c r="E619" s="0" t="inlineStr">
        <is>
          <t>NULL</t>
        </is>
      </c>
      <c r="F619" s="0" t="inlineStr">
        <is>
          <t>NULL</t>
        </is>
      </c>
      <c r="G619" s="0" t="inlineStr">
        <is>
          <t>NULL</t>
        </is>
      </c>
      <c r="H619" s="0" t="inlineStr">
        <is>
          <t>NULL</t>
        </is>
      </c>
      <c r="I619" s="0" t="inlineStr">
        <is>
          <t>NULL</t>
        </is>
      </c>
      <c r="J619" s="0" t="inlineStr">
        <is>
          <t>NULL</t>
        </is>
      </c>
      <c r="K619" s="0" t="inlineStr">
        <is>
          <t>YES! 	 c_smallmoney列源备映射正确，源端为sql_variant 0位	期望更改为sql_variant	实际备端为sql_variant 0位</t>
        </is>
      </c>
    </row>
    <row r="620">
      <c r="B620" s="0" t="inlineStr">
        <is>
          <t>NULL</t>
        </is>
      </c>
      <c r="C620" s="0" t="inlineStr">
        <is>
          <t>NULL</t>
        </is>
      </c>
      <c r="D620" s="0" t="inlineStr">
        <is>
          <t>NULL</t>
        </is>
      </c>
      <c r="E620" s="0" t="inlineStr">
        <is>
          <t>NULL</t>
        </is>
      </c>
      <c r="F620" s="0" t="inlineStr">
        <is>
          <t>NULL</t>
        </is>
      </c>
      <c r="G620" s="0" t="inlineStr">
        <is>
          <t>NULL</t>
        </is>
      </c>
      <c r="H620" s="0" t="inlineStr">
        <is>
          <t>NULL</t>
        </is>
      </c>
      <c r="I620" s="0" t="inlineStr">
        <is>
          <t>NULL</t>
        </is>
      </c>
      <c r="J620" s="0" t="inlineStr">
        <is>
          <t>NULL</t>
        </is>
      </c>
      <c r="K620" s="0" t="inlineStr">
        <is>
          <t>YES! 	 c_bigint列源备映射正确，源端为sql_variant 0位	期望更改为sql_variant	实际备端为sql_variant 0位</t>
        </is>
      </c>
    </row>
    <row r="621">
      <c r="B621" s="0" t="inlineStr">
        <is>
          <t>NULL</t>
        </is>
      </c>
      <c r="C621" s="0" t="inlineStr">
        <is>
          <t>NULL</t>
        </is>
      </c>
      <c r="D621" s="0" t="inlineStr">
        <is>
          <t>NULL</t>
        </is>
      </c>
      <c r="E621" s="0" t="inlineStr">
        <is>
          <t>NULL</t>
        </is>
      </c>
      <c r="F621" s="0" t="inlineStr">
        <is>
          <t>NULL</t>
        </is>
      </c>
      <c r="G621" s="0" t="inlineStr">
        <is>
          <t>NULL</t>
        </is>
      </c>
      <c r="H621" s="0" t="inlineStr">
        <is>
          <t>NULL</t>
        </is>
      </c>
      <c r="I621" s="0" t="inlineStr">
        <is>
          <t>NULL</t>
        </is>
      </c>
      <c r="J621" s="0" t="inlineStr">
        <is>
          <t>NULL</t>
        </is>
      </c>
      <c r="K621" s="0" t="inlineStr">
        <is>
          <t>YES! 	 c_varbinary_20列源备映射正确，源端为sql_variant 0位	期望更改为sql_variant	实际备端为sql_variant 0位</t>
        </is>
      </c>
    </row>
    <row r="622">
      <c r="B622" s="0" t="inlineStr">
        <is>
          <t>NULL</t>
        </is>
      </c>
      <c r="C622" s="0" t="inlineStr">
        <is>
          <t>NULL</t>
        </is>
      </c>
      <c r="D622" s="0" t="inlineStr">
        <is>
          <t>NULL</t>
        </is>
      </c>
      <c r="E622" s="0" t="inlineStr">
        <is>
          <t>NULL</t>
        </is>
      </c>
      <c r="F622" s="0" t="inlineStr">
        <is>
          <t>NULL</t>
        </is>
      </c>
      <c r="G622" s="0" t="inlineStr">
        <is>
          <t>NULL</t>
        </is>
      </c>
      <c r="H622" s="0" t="inlineStr">
        <is>
          <t>NULL</t>
        </is>
      </c>
      <c r="I622" s="0" t="inlineStr">
        <is>
          <t>NULL</t>
        </is>
      </c>
      <c r="J622" s="0" t="inlineStr">
        <is>
          <t>NULL</t>
        </is>
      </c>
      <c r="K622" s="0" t="inlineStr">
        <is>
          <t>YES! 	 c_varchar_20列源备映射正确，源端为sql_variant 0位	期望更改为sql_variant	实际备端为sql_variant 0位</t>
        </is>
      </c>
    </row>
    <row r="623">
      <c r="B623" s="0" t="inlineStr">
        <is>
          <t>NULL</t>
        </is>
      </c>
      <c r="C623" s="0" t="inlineStr">
        <is>
          <t>NULL</t>
        </is>
      </c>
      <c r="D623" s="0" t="inlineStr">
        <is>
          <t>NULL</t>
        </is>
      </c>
      <c r="E623" s="0" t="inlineStr">
        <is>
          <t>NULL</t>
        </is>
      </c>
      <c r="F623" s="0" t="inlineStr">
        <is>
          <t>NULL</t>
        </is>
      </c>
      <c r="G623" s="0" t="inlineStr">
        <is>
          <t>NULL</t>
        </is>
      </c>
      <c r="H623" s="0" t="inlineStr">
        <is>
          <t>NULL</t>
        </is>
      </c>
      <c r="I623" s="0" t="inlineStr">
        <is>
          <t>NULL</t>
        </is>
      </c>
      <c r="J623" s="0" t="inlineStr">
        <is>
          <t>NULL</t>
        </is>
      </c>
      <c r="K623" s="0" t="inlineStr">
        <is>
          <t>YES! 	 c_binary_20列源备映射正确，源端为sql_variant 0位	期望更改为sql_variant	实际备端为sql_variant 0位</t>
        </is>
      </c>
    </row>
    <row r="624">
      <c r="B624" s="0" t="inlineStr">
        <is>
          <t>NULL</t>
        </is>
      </c>
      <c r="C624" s="0" t="inlineStr">
        <is>
          <t>NULL</t>
        </is>
      </c>
      <c r="D624" s="0" t="inlineStr">
        <is>
          <t>NULL</t>
        </is>
      </c>
      <c r="E624" s="0" t="inlineStr">
        <is>
          <t>NULL</t>
        </is>
      </c>
      <c r="F624" s="0" t="inlineStr">
        <is>
          <t>NULL</t>
        </is>
      </c>
      <c r="G624" s="0" t="inlineStr">
        <is>
          <t>NULL</t>
        </is>
      </c>
      <c r="H624" s="0" t="inlineStr">
        <is>
          <t>NULL</t>
        </is>
      </c>
      <c r="I624" s="0" t="inlineStr">
        <is>
          <t>NULL</t>
        </is>
      </c>
      <c r="J624" s="0" t="inlineStr">
        <is>
          <t>NULL</t>
        </is>
      </c>
      <c r="K624" s="0" t="inlineStr">
        <is>
          <t>YES! 	 c_char_20列源备映射正确，源端为sql_variant 0位	期望更改为sql_variant	实际备端为sql_variant 0位</t>
        </is>
      </c>
    </row>
    <row r="625">
      <c r="B625" s="0" t="inlineStr">
        <is>
          <t>NULL</t>
        </is>
      </c>
      <c r="C625" s="0" t="inlineStr">
        <is>
          <t>NULL</t>
        </is>
      </c>
      <c r="D625" s="0" t="inlineStr">
        <is>
          <t>NULL</t>
        </is>
      </c>
      <c r="E625" s="0" t="inlineStr">
        <is>
          <t>NULL</t>
        </is>
      </c>
      <c r="F625" s="0" t="inlineStr">
        <is>
          <t>NULL</t>
        </is>
      </c>
      <c r="G625" s="0" t="inlineStr">
        <is>
          <t>NULL</t>
        </is>
      </c>
      <c r="H625" s="0" t="inlineStr">
        <is>
          <t>NULL</t>
        </is>
      </c>
      <c r="I625" s="0" t="inlineStr">
        <is>
          <t>NULL</t>
        </is>
      </c>
      <c r="J625" s="0" t="inlineStr">
        <is>
          <t>NULL</t>
        </is>
      </c>
      <c r="K625" s="0" t="inlineStr">
        <is>
          <t>YES! 	 c_nvarchar_20列源备映射正确，源端为sql_variant 0位	期望更改为sql_variant	实际备端为sql_variant 0位</t>
        </is>
      </c>
    </row>
    <row r="626">
      <c r="B626" s="0" t="inlineStr">
        <is>
          <t>NULL</t>
        </is>
      </c>
      <c r="C626" s="0" t="inlineStr">
        <is>
          <t>NULL</t>
        </is>
      </c>
      <c r="D626" s="0" t="inlineStr">
        <is>
          <t>NULL</t>
        </is>
      </c>
      <c r="E626" s="0" t="inlineStr">
        <is>
          <t>NULL</t>
        </is>
      </c>
      <c r="F626" s="0" t="inlineStr">
        <is>
          <t>NULL</t>
        </is>
      </c>
      <c r="G626" s="0" t="inlineStr">
        <is>
          <t>NULL</t>
        </is>
      </c>
      <c r="H626" s="0" t="inlineStr">
        <is>
          <t>NULL</t>
        </is>
      </c>
      <c r="I626" s="0" t="inlineStr">
        <is>
          <t>NULL</t>
        </is>
      </c>
      <c r="J626" s="0" t="inlineStr">
        <is>
          <t>NULL</t>
        </is>
      </c>
      <c r="K626" s="0" t="inlineStr">
        <is>
          <t>YES! 	 c_nchar_20列源备映射正确，源端为sql_variant 0位	期望更改为sql_variant	实际备端为sql_variant 0位</t>
        </is>
      </c>
    </row>
    <row r="627">
      <c r="B627" s="0" t="inlineStr">
        <is>
          <t>NULL</t>
        </is>
      </c>
      <c r="C627" s="0" t="inlineStr">
        <is>
          <t>NULL</t>
        </is>
      </c>
      <c r="D627" s="0" t="inlineStr">
        <is>
          <t>NULL</t>
        </is>
      </c>
      <c r="E627" s="0" t="inlineStr">
        <is>
          <t>NULL</t>
        </is>
      </c>
      <c r="F627" s="0" t="inlineStr">
        <is>
          <t>NULL</t>
        </is>
      </c>
      <c r="G627" s="0" t="inlineStr">
        <is>
          <t>NULL</t>
        </is>
      </c>
      <c r="H627" s="0" t="inlineStr">
        <is>
          <t>NULL</t>
        </is>
      </c>
      <c r="I627" s="0" t="inlineStr">
        <is>
          <t>NULL</t>
        </is>
      </c>
      <c r="J627" s="0" t="inlineStr">
        <is>
          <t>NULL</t>
        </is>
      </c>
      <c r="K627" s="0" t="inlineStr">
        <is>
          <t>YES! 	 c_timestamp列源备映射正确，源端为timestamp None位	期望更改为timestamp	实际备端为timestamp None位</t>
        </is>
      </c>
    </row>
    <row r="628">
      <c r="A628" s="0" t="inlineStr">
        <is>
          <t>info_datetime_dml_batch1_pk_irp1</t>
        </is>
      </c>
      <c r="K628" s="0" t="inlineStr">
        <is>
          <t>[0;34m info_datetime_dml_batch1_pk_irp1 [0m源备字段数相同，源端字段：2 	备端字段2</t>
        </is>
      </c>
      <c r="W628" s="0" t="inlineStr">
        <is>
          <t>YES 源备无差异</t>
        </is>
      </c>
      <c r="X628" s="0">
        <f>A628</f>
        <v/>
      </c>
    </row>
    <row r="629">
      <c r="B629" s="0" t="inlineStr">
        <is>
          <t>YES</t>
        </is>
      </c>
      <c r="C629" s="0" t="inlineStr">
        <is>
          <t>NULL</t>
        </is>
      </c>
      <c r="D629" s="0" t="inlineStr">
        <is>
          <t>NULL</t>
        </is>
      </c>
      <c r="E629" s="0" t="inlineStr">
        <is>
          <t>NULL</t>
        </is>
      </c>
      <c r="F629" s="0" t="inlineStr">
        <is>
          <t>NULL</t>
        </is>
      </c>
      <c r="G629" s="0" t="inlineStr">
        <is>
          <t>NULL</t>
        </is>
      </c>
      <c r="H629" s="0" t="inlineStr">
        <is>
          <t>NULL</t>
        </is>
      </c>
      <c r="I629" s="0" t="inlineStr">
        <is>
          <t>YES!PK__info_dat__3213E83F68737736</t>
        </is>
      </c>
      <c r="J629" s="0" t="inlineStr">
        <is>
          <t>YES! 主键相关索引</t>
        </is>
      </c>
      <c r="K629" s="0" t="inlineStr">
        <is>
          <t>YES! 	 id列源备映射正确，源端为int None位	期望更改为int	实际备端为int None位</t>
        </is>
      </c>
    </row>
    <row r="630">
      <c r="B630" s="0" t="inlineStr">
        <is>
          <t>NULL</t>
        </is>
      </c>
      <c r="C630" s="0" t="inlineStr">
        <is>
          <t>NULL</t>
        </is>
      </c>
      <c r="D630" s="0" t="inlineStr">
        <is>
          <t>NULL</t>
        </is>
      </c>
      <c r="E630" s="0" t="inlineStr">
        <is>
          <t>NULL</t>
        </is>
      </c>
      <c r="F630" s="0" t="inlineStr">
        <is>
          <t>NULL</t>
        </is>
      </c>
      <c r="G630" s="0" t="inlineStr">
        <is>
          <t>NULL</t>
        </is>
      </c>
      <c r="H630" s="0" t="inlineStr">
        <is>
          <t>NULL</t>
        </is>
      </c>
      <c r="I630" s="0" t="inlineStr">
        <is>
          <t>NULL</t>
        </is>
      </c>
      <c r="J630" s="0" t="inlineStr">
        <is>
          <t>NULL</t>
        </is>
      </c>
      <c r="K630" s="0" t="inlineStr">
        <is>
          <t>YES! 	 c_datetime列源备映射正确，源端为datetime None位	期望更改为datetime	实际备端为datetime None位</t>
        </is>
      </c>
    </row>
    <row r="631">
      <c r="A631" s="0" t="inlineStr">
        <is>
          <t>info_varchar_dml_batch1_pk_urp2</t>
        </is>
      </c>
      <c r="K631" s="0" t="inlineStr">
        <is>
          <t>[0;34m info_varchar_dml_batch1_pk_urp2 [0m源备字段数相同，源端字段：4 	备端字段4</t>
        </is>
      </c>
      <c r="W631" s="0" t="inlineStr">
        <is>
          <t>YES 源备无差异</t>
        </is>
      </c>
      <c r="X631" s="0">
        <f>A631</f>
        <v/>
      </c>
    </row>
    <row r="632">
      <c r="B632" s="0" t="inlineStr">
        <is>
          <t>YES</t>
        </is>
      </c>
      <c r="C632" s="0" t="inlineStr">
        <is>
          <t>NULL</t>
        </is>
      </c>
      <c r="D632" s="0" t="inlineStr">
        <is>
          <t>NULL</t>
        </is>
      </c>
      <c r="E632" s="0" t="inlineStr">
        <is>
          <t>NULL</t>
        </is>
      </c>
      <c r="F632" s="0" t="inlineStr">
        <is>
          <t>NULL</t>
        </is>
      </c>
      <c r="G632" s="0" t="inlineStr">
        <is>
          <t>NULL</t>
        </is>
      </c>
      <c r="H632" s="0" t="inlineStr">
        <is>
          <t>NULL</t>
        </is>
      </c>
      <c r="I632" s="0" t="inlineStr">
        <is>
          <t>YES!PK__info_var__3213E83F4CFCFE42</t>
        </is>
      </c>
      <c r="J632" s="0" t="inlineStr">
        <is>
          <t>YES! 主键相关索引</t>
        </is>
      </c>
      <c r="K632" s="0" t="inlineStr">
        <is>
          <t>YES! 	 id列源备映射正确，源端为int None位	期望更改为int	实际备端为int None位</t>
        </is>
      </c>
    </row>
    <row r="633">
      <c r="B633" s="0" t="inlineStr">
        <is>
          <t>NULL</t>
        </is>
      </c>
      <c r="C633" s="0" t="inlineStr">
        <is>
          <t>NULL</t>
        </is>
      </c>
      <c r="D633" s="0" t="inlineStr">
        <is>
          <t>NULL</t>
        </is>
      </c>
      <c r="E633" s="0" t="inlineStr">
        <is>
          <t>NULL</t>
        </is>
      </c>
      <c r="F633" s="0" t="inlineStr">
        <is>
          <t>NULL</t>
        </is>
      </c>
      <c r="G633" s="0" t="inlineStr">
        <is>
          <t>NULL</t>
        </is>
      </c>
      <c r="H633" s="0" t="inlineStr">
        <is>
          <t>NULL</t>
        </is>
      </c>
      <c r="I633" s="0" t="inlineStr">
        <is>
          <t>NULL</t>
        </is>
      </c>
      <c r="J633" s="0" t="inlineStr">
        <is>
          <t>NULL</t>
        </is>
      </c>
      <c r="K633" s="0" t="inlineStr">
        <is>
          <t>YES! 	 c_varchar列源备映射正确，源端为varchar 1位	期望更改为varchar(n)	实际备端为varchar 1位</t>
        </is>
      </c>
    </row>
    <row r="634">
      <c r="B634" s="0" t="inlineStr">
        <is>
          <t>NULL</t>
        </is>
      </c>
      <c r="C634" s="0" t="inlineStr">
        <is>
          <t>NULL</t>
        </is>
      </c>
      <c r="D634" s="0" t="inlineStr">
        <is>
          <t>NULL</t>
        </is>
      </c>
      <c r="E634" s="0" t="inlineStr">
        <is>
          <t>NULL</t>
        </is>
      </c>
      <c r="F634" s="0" t="inlineStr">
        <is>
          <t>NULL</t>
        </is>
      </c>
      <c r="G634" s="0" t="inlineStr">
        <is>
          <t>NULL</t>
        </is>
      </c>
      <c r="H634" s="0" t="inlineStr">
        <is>
          <t>NULL</t>
        </is>
      </c>
      <c r="I634" s="0" t="inlineStr">
        <is>
          <t>NULL</t>
        </is>
      </c>
      <c r="J634" s="0" t="inlineStr">
        <is>
          <t>NULL</t>
        </is>
      </c>
      <c r="K634" s="0" t="inlineStr">
        <is>
          <t>YES! 	 c_varchar20列源备映射正确，源端为varchar 20位	期望更改为varchar(n)	实际备端为varchar 20位</t>
        </is>
      </c>
    </row>
    <row r="635">
      <c r="B635" s="0" t="inlineStr">
        <is>
          <t>NULL</t>
        </is>
      </c>
      <c r="C635" s="0" t="inlineStr">
        <is>
          <t>NULL</t>
        </is>
      </c>
      <c r="D635" s="0" t="inlineStr">
        <is>
          <t>NULL</t>
        </is>
      </c>
      <c r="E635" s="0" t="inlineStr">
        <is>
          <t>NULL</t>
        </is>
      </c>
      <c r="F635" s="0" t="inlineStr">
        <is>
          <t>NULL</t>
        </is>
      </c>
      <c r="G635" s="0" t="inlineStr">
        <is>
          <t>NULL</t>
        </is>
      </c>
      <c r="H635" s="0" t="inlineStr">
        <is>
          <t>NULL</t>
        </is>
      </c>
      <c r="I635" s="0" t="inlineStr">
        <is>
          <t>NULL</t>
        </is>
      </c>
      <c r="J635" s="0" t="inlineStr">
        <is>
          <t>NULL</t>
        </is>
      </c>
      <c r="K635" s="0" t="inlineStr">
        <is>
          <t>YES! 	 c_varchar7000列源备映射正确，源端为varchar 7000位	期望更改为varchar(n)	实际备端为varchar 7000位</t>
        </is>
      </c>
    </row>
    <row r="636">
      <c r="A636" s="0" t="inlineStr">
        <is>
          <t>info_nvarchar_dml_single_pk_irp</t>
        </is>
      </c>
      <c r="K636" s="0" t="inlineStr">
        <is>
          <t>[0;34m info_nvarchar_dml_single_pk_irp [0m源备字段数相同，源端字段：4 	备端字段4</t>
        </is>
      </c>
      <c r="W636" s="0" t="inlineStr">
        <is>
          <t>YES 源备无差异</t>
        </is>
      </c>
      <c r="X636" s="0">
        <f>A636</f>
        <v/>
      </c>
    </row>
    <row r="637">
      <c r="B637" s="0" t="inlineStr">
        <is>
          <t>YES</t>
        </is>
      </c>
      <c r="C637" s="0" t="inlineStr">
        <is>
          <t>NULL</t>
        </is>
      </c>
      <c r="D637" s="0" t="inlineStr">
        <is>
          <t>NULL</t>
        </is>
      </c>
      <c r="E637" s="0" t="inlineStr">
        <is>
          <t>NULL</t>
        </is>
      </c>
      <c r="F637" s="0" t="inlineStr">
        <is>
          <t>NULL</t>
        </is>
      </c>
      <c r="G637" s="0" t="inlineStr">
        <is>
          <t>NULL</t>
        </is>
      </c>
      <c r="H637" s="0" t="inlineStr">
        <is>
          <t>NULL</t>
        </is>
      </c>
      <c r="I637" s="0" t="inlineStr">
        <is>
          <t>YES!PK__info_nva__3213E83F20750FC0</t>
        </is>
      </c>
      <c r="J637" s="0" t="inlineStr">
        <is>
          <t>YES! 主键相关索引</t>
        </is>
      </c>
      <c r="K637" s="0" t="inlineStr">
        <is>
          <t>YES! 	 id列源备映射正确，源端为int None位	期望更改为int	实际备端为int None位</t>
        </is>
      </c>
    </row>
    <row r="638">
      <c r="B638" s="0" t="inlineStr">
        <is>
          <t>NULL</t>
        </is>
      </c>
      <c r="C638" s="0" t="inlineStr">
        <is>
          <t>NULL</t>
        </is>
      </c>
      <c r="D638" s="0" t="inlineStr">
        <is>
          <t>NULL</t>
        </is>
      </c>
      <c r="E638" s="0" t="inlineStr">
        <is>
          <t>NULL</t>
        </is>
      </c>
      <c r="F638" s="0" t="inlineStr">
        <is>
          <t>NULL</t>
        </is>
      </c>
      <c r="G638" s="0" t="inlineStr">
        <is>
          <t>NULL</t>
        </is>
      </c>
      <c r="H638" s="0" t="inlineStr">
        <is>
          <t>NULL</t>
        </is>
      </c>
      <c r="I638" s="0" t="inlineStr">
        <is>
          <t>NULL</t>
        </is>
      </c>
      <c r="J638" s="0" t="inlineStr">
        <is>
          <t>NULL</t>
        </is>
      </c>
      <c r="K638" s="0" t="inlineStr">
        <is>
          <t>YES! 	 c_nvarchar列源备映射正确，源端为nvarchar 2位	期望更改为nvarchar(n)	实际备端为nvarchar 2位</t>
        </is>
      </c>
    </row>
    <row r="639">
      <c r="B639" s="0" t="inlineStr">
        <is>
          <t>NULL</t>
        </is>
      </c>
      <c r="C639" s="0" t="inlineStr">
        <is>
          <t>NULL</t>
        </is>
      </c>
      <c r="D639" s="0" t="inlineStr">
        <is>
          <t>NULL</t>
        </is>
      </c>
      <c r="E639" s="0" t="inlineStr">
        <is>
          <t>NULL</t>
        </is>
      </c>
      <c r="F639" s="0" t="inlineStr">
        <is>
          <t>NULL</t>
        </is>
      </c>
      <c r="G639" s="0" t="inlineStr">
        <is>
          <t>NULL</t>
        </is>
      </c>
      <c r="H639" s="0" t="inlineStr">
        <is>
          <t>NULL</t>
        </is>
      </c>
      <c r="I639" s="0" t="inlineStr">
        <is>
          <t>NULL</t>
        </is>
      </c>
      <c r="J639" s="0" t="inlineStr">
        <is>
          <t>NULL</t>
        </is>
      </c>
      <c r="K639" s="0" t="inlineStr">
        <is>
          <t>YES! 	 c_nvarchar20列源备映射正确，源端为nvarchar 40位	期望更改为nvarchar(n)	实际备端为nvarchar 40位</t>
        </is>
      </c>
    </row>
    <row r="640">
      <c r="B640" s="0" t="inlineStr">
        <is>
          <t>NULL</t>
        </is>
      </c>
      <c r="C640" s="0" t="inlineStr">
        <is>
          <t>NULL</t>
        </is>
      </c>
      <c r="D640" s="0" t="inlineStr">
        <is>
          <t>NULL</t>
        </is>
      </c>
      <c r="E640" s="0" t="inlineStr">
        <is>
          <t>NULL</t>
        </is>
      </c>
      <c r="F640" s="0" t="inlineStr">
        <is>
          <t>NULL</t>
        </is>
      </c>
      <c r="G640" s="0" t="inlineStr">
        <is>
          <t>NULL</t>
        </is>
      </c>
      <c r="H640" s="0" t="inlineStr">
        <is>
          <t>NULL</t>
        </is>
      </c>
      <c r="I640" s="0" t="inlineStr">
        <is>
          <t>NULL</t>
        </is>
      </c>
      <c r="J640" s="0" t="inlineStr">
        <is>
          <t>NULL</t>
        </is>
      </c>
      <c r="K640" s="0" t="inlineStr">
        <is>
          <t>YES! 	 c_nvarchar4000列源备映射正确，源端为nvarchar 8000位	期望更改为nvarchar(n)	实际备端为nvarchar 8000位</t>
        </is>
      </c>
    </row>
    <row r="641">
      <c r="A641" s="0" t="inlineStr">
        <is>
          <t>info_text_dml_single_pk_irp</t>
        </is>
      </c>
      <c r="K641" s="0" t="inlineStr">
        <is>
          <t>[0;34m info_text_dml_single_pk_irp [0m源备字段数相同，源端字段：3 	备端字段3</t>
        </is>
      </c>
      <c r="W641" s="0" t="inlineStr">
        <is>
          <t>YES 源备无差异</t>
        </is>
      </c>
      <c r="X641" s="0">
        <f>A641</f>
        <v/>
      </c>
    </row>
    <row r="642">
      <c r="B642" s="0" t="inlineStr">
        <is>
          <t>YES</t>
        </is>
      </c>
      <c r="C642" s="0" t="inlineStr">
        <is>
          <t>NULL</t>
        </is>
      </c>
      <c r="D642" s="0" t="inlineStr">
        <is>
          <t>NULL</t>
        </is>
      </c>
      <c r="E642" s="0" t="inlineStr">
        <is>
          <t>NULL</t>
        </is>
      </c>
      <c r="F642" s="0" t="inlineStr">
        <is>
          <t>NULL</t>
        </is>
      </c>
      <c r="G642" s="0" t="inlineStr">
        <is>
          <t>NULL</t>
        </is>
      </c>
      <c r="H642" s="0" t="inlineStr">
        <is>
          <t>NULL</t>
        </is>
      </c>
      <c r="I642" s="0" t="inlineStr">
        <is>
          <t>YES!PK__info_tex__3213E83F50700C1A</t>
        </is>
      </c>
      <c r="J642" s="0" t="inlineStr">
        <is>
          <t>YES! 主键相关索引</t>
        </is>
      </c>
      <c r="K642" s="0" t="inlineStr">
        <is>
          <t>YES! 	 id列源备映射正确，源端为int None位	期望更改为int	实际备端为int None位</t>
        </is>
      </c>
    </row>
    <row r="643">
      <c r="B643" s="0" t="inlineStr">
        <is>
          <t>NULL</t>
        </is>
      </c>
      <c r="C643" s="0" t="inlineStr">
        <is>
          <t>NULL</t>
        </is>
      </c>
      <c r="D643" s="0" t="inlineStr">
        <is>
          <t>NULL</t>
        </is>
      </c>
      <c r="E643" s="0" t="inlineStr">
        <is>
          <t>NULL</t>
        </is>
      </c>
      <c r="F643" s="0" t="inlineStr">
        <is>
          <t>NULL</t>
        </is>
      </c>
      <c r="G643" s="0" t="inlineStr">
        <is>
          <t>NULL</t>
        </is>
      </c>
      <c r="H643" s="0" t="inlineStr">
        <is>
          <t>NULL</t>
        </is>
      </c>
      <c r="I643" s="0" t="inlineStr">
        <is>
          <t>NULL</t>
        </is>
      </c>
      <c r="J643" s="0" t="inlineStr">
        <is>
          <t>NULL</t>
        </is>
      </c>
      <c r="K643" s="0" t="inlineStr">
        <is>
          <t>YES! 	 c_text列源备映射正确，源端为text 2147483647位	期望更改为text	实际备端为text 2147483647位</t>
        </is>
      </c>
    </row>
    <row r="644">
      <c r="B644" s="0" t="inlineStr">
        <is>
          <t>NULL</t>
        </is>
      </c>
      <c r="C644" s="0" t="inlineStr">
        <is>
          <t>NULL</t>
        </is>
      </c>
      <c r="D644" s="0" t="inlineStr">
        <is>
          <t>NULL</t>
        </is>
      </c>
      <c r="E644" s="0" t="inlineStr">
        <is>
          <t>NULL</t>
        </is>
      </c>
      <c r="F644" s="0" t="inlineStr">
        <is>
          <t>NULL</t>
        </is>
      </c>
      <c r="G644" s="0" t="inlineStr">
        <is>
          <t>NULL</t>
        </is>
      </c>
      <c r="H644" s="0" t="inlineStr">
        <is>
          <t>NULL</t>
        </is>
      </c>
      <c r="I644" s="0" t="inlineStr">
        <is>
          <t>NULL</t>
        </is>
      </c>
      <c r="J644" s="0" t="inlineStr">
        <is>
          <t>NULL</t>
        </is>
      </c>
      <c r="K644" s="0" t="inlineStr">
        <is>
          <t>YES! 	 c_ntext列源备映射正确，源端为ntext 2147483646位	期望更改为ntext	实际备端为ntext 2147483646位</t>
        </is>
      </c>
    </row>
    <row r="645">
      <c r="A645" s="0" t="inlineStr">
        <is>
          <t>info_nvarchar_dml_single_pk_urp</t>
        </is>
      </c>
      <c r="K645" s="0" t="inlineStr">
        <is>
          <t>[0;34m info_nvarchar_dml_single_pk_urp [0m源备字段数相同，源端字段：4 	备端字段4</t>
        </is>
      </c>
      <c r="W645" s="0" t="inlineStr">
        <is>
          <t>YES 源备无差异</t>
        </is>
      </c>
      <c r="X645" s="0">
        <f>A645</f>
        <v/>
      </c>
    </row>
    <row r="646">
      <c r="B646" s="0" t="inlineStr">
        <is>
          <t>YES</t>
        </is>
      </c>
      <c r="C646" s="0" t="inlineStr">
        <is>
          <t>NULL</t>
        </is>
      </c>
      <c r="D646" s="0" t="inlineStr">
        <is>
          <t>NULL</t>
        </is>
      </c>
      <c r="E646" s="0" t="inlineStr">
        <is>
          <t>NULL</t>
        </is>
      </c>
      <c r="F646" s="0" t="inlineStr">
        <is>
          <t>NULL</t>
        </is>
      </c>
      <c r="G646" s="0" t="inlineStr">
        <is>
          <t>NULL</t>
        </is>
      </c>
      <c r="H646" s="0" t="inlineStr">
        <is>
          <t>NULL</t>
        </is>
      </c>
      <c r="I646" s="0" t="inlineStr">
        <is>
          <t>YES!PK__info_nva__3213E83F53891649</t>
        </is>
      </c>
      <c r="J646" s="0" t="inlineStr">
        <is>
          <t>YES! 主键相关索引</t>
        </is>
      </c>
      <c r="K646" s="0" t="inlineStr">
        <is>
          <t>YES! 	 id列源备映射正确，源端为int None位	期望更改为int	实际备端为int None位</t>
        </is>
      </c>
    </row>
    <row r="647">
      <c r="B647" s="0" t="inlineStr">
        <is>
          <t>NULL</t>
        </is>
      </c>
      <c r="C647" s="0" t="inlineStr">
        <is>
          <t>NULL</t>
        </is>
      </c>
      <c r="D647" s="0" t="inlineStr">
        <is>
          <t>NULL</t>
        </is>
      </c>
      <c r="E647" s="0" t="inlineStr">
        <is>
          <t>NULL</t>
        </is>
      </c>
      <c r="F647" s="0" t="inlineStr">
        <is>
          <t>NULL</t>
        </is>
      </c>
      <c r="G647" s="0" t="inlineStr">
        <is>
          <t>NULL</t>
        </is>
      </c>
      <c r="H647" s="0" t="inlineStr">
        <is>
          <t>NULL</t>
        </is>
      </c>
      <c r="I647" s="0" t="inlineStr">
        <is>
          <t>NULL</t>
        </is>
      </c>
      <c r="J647" s="0" t="inlineStr">
        <is>
          <t>NULL</t>
        </is>
      </c>
      <c r="K647" s="0" t="inlineStr">
        <is>
          <t>YES! 	 c_nvarchar列源备映射正确，源端为nvarchar 2位	期望更改为nvarchar(n)	实际备端为nvarchar 2位</t>
        </is>
      </c>
    </row>
    <row r="648">
      <c r="B648" s="0" t="inlineStr">
        <is>
          <t>NULL</t>
        </is>
      </c>
      <c r="C648" s="0" t="inlineStr">
        <is>
          <t>NULL</t>
        </is>
      </c>
      <c r="D648" s="0" t="inlineStr">
        <is>
          <t>NULL</t>
        </is>
      </c>
      <c r="E648" s="0" t="inlineStr">
        <is>
          <t>NULL</t>
        </is>
      </c>
      <c r="F648" s="0" t="inlineStr">
        <is>
          <t>NULL</t>
        </is>
      </c>
      <c r="G648" s="0" t="inlineStr">
        <is>
          <t>NULL</t>
        </is>
      </c>
      <c r="H648" s="0" t="inlineStr">
        <is>
          <t>NULL</t>
        </is>
      </c>
      <c r="I648" s="0" t="inlineStr">
        <is>
          <t>NULL</t>
        </is>
      </c>
      <c r="J648" s="0" t="inlineStr">
        <is>
          <t>NULL</t>
        </is>
      </c>
      <c r="K648" s="0" t="inlineStr">
        <is>
          <t>YES! 	 c_nvarchar20列源备映射正确，源端为nvarchar 40位	期望更改为nvarchar(n)	实际备端为nvarchar 40位</t>
        </is>
      </c>
    </row>
    <row r="649">
      <c r="B649" s="0" t="inlineStr">
        <is>
          <t>NULL</t>
        </is>
      </c>
      <c r="C649" s="0" t="inlineStr">
        <is>
          <t>NULL</t>
        </is>
      </c>
      <c r="D649" s="0" t="inlineStr">
        <is>
          <t>NULL</t>
        </is>
      </c>
      <c r="E649" s="0" t="inlineStr">
        <is>
          <t>NULL</t>
        </is>
      </c>
      <c r="F649" s="0" t="inlineStr">
        <is>
          <t>NULL</t>
        </is>
      </c>
      <c r="G649" s="0" t="inlineStr">
        <is>
          <t>NULL</t>
        </is>
      </c>
      <c r="H649" s="0" t="inlineStr">
        <is>
          <t>NULL</t>
        </is>
      </c>
      <c r="I649" s="0" t="inlineStr">
        <is>
          <t>NULL</t>
        </is>
      </c>
      <c r="J649" s="0" t="inlineStr">
        <is>
          <t>NULL</t>
        </is>
      </c>
      <c r="K649" s="0" t="inlineStr">
        <is>
          <t>YES! 	 c_nvarchar4000列源备映射正确，源端为nvarchar 8000位	期望更改为nvarchar(n)	实际备端为nvarchar 8000位</t>
        </is>
      </c>
    </row>
    <row r="650">
      <c r="A650" s="0" t="inlineStr">
        <is>
          <t>info_datetime_dml_batch1_pk_irp2</t>
        </is>
      </c>
      <c r="K650" s="0" t="inlineStr">
        <is>
          <t>[0;34m info_datetime_dml_batch1_pk_irp2 [0m源备字段数相同，源端字段：2 	备端字段2</t>
        </is>
      </c>
      <c r="W650" s="0" t="inlineStr">
        <is>
          <t>YES 源备无差异</t>
        </is>
      </c>
      <c r="X650" s="0">
        <f>A650</f>
        <v/>
      </c>
    </row>
    <row r="651">
      <c r="B651" s="0" t="inlineStr">
        <is>
          <t>YES</t>
        </is>
      </c>
      <c r="C651" s="0" t="inlineStr">
        <is>
          <t>NULL</t>
        </is>
      </c>
      <c r="D651" s="0" t="inlineStr">
        <is>
          <t>NULL</t>
        </is>
      </c>
      <c r="E651" s="0" t="inlineStr">
        <is>
          <t>NULL</t>
        </is>
      </c>
      <c r="F651" s="0" t="inlineStr">
        <is>
          <t>NULL</t>
        </is>
      </c>
      <c r="G651" s="0" t="inlineStr">
        <is>
          <t>NULL</t>
        </is>
      </c>
      <c r="H651" s="0" t="inlineStr">
        <is>
          <t>NULL</t>
        </is>
      </c>
      <c r="I651" s="0" t="inlineStr">
        <is>
          <t>YES!PK__info_dat__3213E83F21CD4C86</t>
        </is>
      </c>
      <c r="J651" s="0" t="inlineStr">
        <is>
          <t>YES! 主键相关索引</t>
        </is>
      </c>
      <c r="K651" s="0" t="inlineStr">
        <is>
          <t>YES! 	 id列源备映射正确，源端为int None位	期望更改为int	实际备端为int None位</t>
        </is>
      </c>
    </row>
    <row r="652">
      <c r="B652" s="0" t="inlineStr">
        <is>
          <t>NULL</t>
        </is>
      </c>
      <c r="C652" s="0" t="inlineStr">
        <is>
          <t>NULL</t>
        </is>
      </c>
      <c r="D652" s="0" t="inlineStr">
        <is>
          <t>NULL</t>
        </is>
      </c>
      <c r="E652" s="0" t="inlineStr">
        <is>
          <t>NULL</t>
        </is>
      </c>
      <c r="F652" s="0" t="inlineStr">
        <is>
          <t>NULL</t>
        </is>
      </c>
      <c r="G652" s="0" t="inlineStr">
        <is>
          <t>NULL</t>
        </is>
      </c>
      <c r="H652" s="0" t="inlineStr">
        <is>
          <t>NULL</t>
        </is>
      </c>
      <c r="I652" s="0" t="inlineStr">
        <is>
          <t>NULL</t>
        </is>
      </c>
      <c r="J652" s="0" t="inlineStr">
        <is>
          <t>NULL</t>
        </is>
      </c>
      <c r="K652" s="0" t="inlineStr">
        <is>
          <t>YES! 	 c_datetime列源备映射正确，源端为datetime None位	期望更改为datetime	实际备端为datetime None位</t>
        </is>
      </c>
    </row>
    <row r="653">
      <c r="A653" s="0" t="inlineStr">
        <is>
          <t>info_varchar_dml_batch1_pk_drp1</t>
        </is>
      </c>
      <c r="K653" s="0" t="inlineStr">
        <is>
          <t>[0;34m info_varchar_dml_batch1_pk_drp1 [0m源备字段数相同，源端字段：4 	备端字段4</t>
        </is>
      </c>
      <c r="W653" s="0" t="inlineStr">
        <is>
          <t>YES 源备无差异</t>
        </is>
      </c>
      <c r="X653" s="0">
        <f>A653</f>
        <v/>
      </c>
    </row>
    <row r="654">
      <c r="B654" s="0" t="inlineStr">
        <is>
          <t>YES</t>
        </is>
      </c>
      <c r="C654" s="0" t="inlineStr">
        <is>
          <t>NULL</t>
        </is>
      </c>
      <c r="D654" s="0" t="inlineStr">
        <is>
          <t>NULL</t>
        </is>
      </c>
      <c r="E654" s="0" t="inlineStr">
        <is>
          <t>NULL</t>
        </is>
      </c>
      <c r="F654" s="0" t="inlineStr">
        <is>
          <t>NULL</t>
        </is>
      </c>
      <c r="G654" s="0" t="inlineStr">
        <is>
          <t>NULL</t>
        </is>
      </c>
      <c r="H654" s="0" t="inlineStr">
        <is>
          <t>NULL</t>
        </is>
      </c>
      <c r="I654" s="0" t="inlineStr">
        <is>
          <t>YES!PK__info_var__3213E83F0FF499FE</t>
        </is>
      </c>
      <c r="J654" s="0" t="inlineStr">
        <is>
          <t>YES! 主键相关索引</t>
        </is>
      </c>
      <c r="K654" s="0" t="inlineStr">
        <is>
          <t>YES! 	 id列源备映射正确，源端为int None位	期望更改为int	实际备端为int None位</t>
        </is>
      </c>
    </row>
    <row r="655">
      <c r="B655" s="0" t="inlineStr">
        <is>
          <t>NULL</t>
        </is>
      </c>
      <c r="C655" s="0" t="inlineStr">
        <is>
          <t>NULL</t>
        </is>
      </c>
      <c r="D655" s="0" t="inlineStr">
        <is>
          <t>NULL</t>
        </is>
      </c>
      <c r="E655" s="0" t="inlineStr">
        <is>
          <t>NULL</t>
        </is>
      </c>
      <c r="F655" s="0" t="inlineStr">
        <is>
          <t>NULL</t>
        </is>
      </c>
      <c r="G655" s="0" t="inlineStr">
        <is>
          <t>NULL</t>
        </is>
      </c>
      <c r="H655" s="0" t="inlineStr">
        <is>
          <t>NULL</t>
        </is>
      </c>
      <c r="I655" s="0" t="inlineStr">
        <is>
          <t>NULL</t>
        </is>
      </c>
      <c r="J655" s="0" t="inlineStr">
        <is>
          <t>NULL</t>
        </is>
      </c>
      <c r="K655" s="0" t="inlineStr">
        <is>
          <t>YES! 	 c_varchar列源备映射正确，源端为varchar 1位	期望更改为varchar(n)	实际备端为varchar 1位</t>
        </is>
      </c>
    </row>
    <row r="656">
      <c r="B656" s="0" t="inlineStr">
        <is>
          <t>NULL</t>
        </is>
      </c>
      <c r="C656" s="0" t="inlineStr">
        <is>
          <t>NULL</t>
        </is>
      </c>
      <c r="D656" s="0" t="inlineStr">
        <is>
          <t>NULL</t>
        </is>
      </c>
      <c r="E656" s="0" t="inlineStr">
        <is>
          <t>NULL</t>
        </is>
      </c>
      <c r="F656" s="0" t="inlineStr">
        <is>
          <t>NULL</t>
        </is>
      </c>
      <c r="G656" s="0" t="inlineStr">
        <is>
          <t>NULL</t>
        </is>
      </c>
      <c r="H656" s="0" t="inlineStr">
        <is>
          <t>NULL</t>
        </is>
      </c>
      <c r="I656" s="0" t="inlineStr">
        <is>
          <t>NULL</t>
        </is>
      </c>
      <c r="J656" s="0" t="inlineStr">
        <is>
          <t>NULL</t>
        </is>
      </c>
      <c r="K656" s="0" t="inlineStr">
        <is>
          <t>YES! 	 c_varchar20列源备映射正确，源端为varchar 20位	期望更改为varchar(n)	实际备端为varchar 20位</t>
        </is>
      </c>
    </row>
    <row r="657">
      <c r="B657" s="0" t="inlineStr">
        <is>
          <t>NULL</t>
        </is>
      </c>
      <c r="C657" s="0" t="inlineStr">
        <is>
          <t>NULL</t>
        </is>
      </c>
      <c r="D657" s="0" t="inlineStr">
        <is>
          <t>NULL</t>
        </is>
      </c>
      <c r="E657" s="0" t="inlineStr">
        <is>
          <t>NULL</t>
        </is>
      </c>
      <c r="F657" s="0" t="inlineStr">
        <is>
          <t>NULL</t>
        </is>
      </c>
      <c r="G657" s="0" t="inlineStr">
        <is>
          <t>NULL</t>
        </is>
      </c>
      <c r="H657" s="0" t="inlineStr">
        <is>
          <t>NULL</t>
        </is>
      </c>
      <c r="I657" s="0" t="inlineStr">
        <is>
          <t>NULL</t>
        </is>
      </c>
      <c r="J657" s="0" t="inlineStr">
        <is>
          <t>NULL</t>
        </is>
      </c>
      <c r="K657" s="0" t="inlineStr">
        <is>
          <t>YES! 	 c_varchar7000列源备映射正确，源端为varchar 7000位	期望更改为varchar(n)	实际备端为varchar 7000位</t>
        </is>
      </c>
    </row>
    <row r="658">
      <c r="K658" s="0" t="inlineStr">
        <is>
          <t>~ 空表</t>
        </is>
      </c>
    </row>
    <row r="659">
      <c r="A659" s="0" t="inlineStr">
        <is>
          <t>info_text_dml_single_pk_urp</t>
        </is>
      </c>
      <c r="K659" s="0" t="inlineStr">
        <is>
          <t>[0;34m info_text_dml_single_pk_urp [0m源备字段数相同，源端字段：3 	备端字段3</t>
        </is>
      </c>
      <c r="W659" s="0" t="inlineStr">
        <is>
          <t>YES 源备无差异</t>
        </is>
      </c>
      <c r="X659" s="0">
        <f>A659</f>
        <v/>
      </c>
    </row>
    <row r="660">
      <c r="B660" s="0" t="inlineStr">
        <is>
          <t>YES</t>
        </is>
      </c>
      <c r="C660" s="0" t="inlineStr">
        <is>
          <t>NULL</t>
        </is>
      </c>
      <c r="D660" s="0" t="inlineStr">
        <is>
          <t>NULL</t>
        </is>
      </c>
      <c r="E660" s="0" t="inlineStr">
        <is>
          <t>NULL</t>
        </is>
      </c>
      <c r="F660" s="0" t="inlineStr">
        <is>
          <t>NULL</t>
        </is>
      </c>
      <c r="G660" s="0" t="inlineStr">
        <is>
          <t>NULL</t>
        </is>
      </c>
      <c r="H660" s="0" t="inlineStr">
        <is>
          <t>NULL</t>
        </is>
      </c>
      <c r="I660" s="0" t="inlineStr">
        <is>
          <t>YES!PK__info_tex__3213E83FEE1A52C4</t>
        </is>
      </c>
      <c r="J660" s="0" t="inlineStr">
        <is>
          <t>YES! 主键相关索引</t>
        </is>
      </c>
      <c r="K660" s="0" t="inlineStr">
        <is>
          <t>YES! 	 id列源备映射正确，源端为int None位	期望更改为int	实际备端为int None位</t>
        </is>
      </c>
    </row>
    <row r="661">
      <c r="B661" s="0" t="inlineStr">
        <is>
          <t>NULL</t>
        </is>
      </c>
      <c r="C661" s="0" t="inlineStr">
        <is>
          <t>NULL</t>
        </is>
      </c>
      <c r="D661" s="0" t="inlineStr">
        <is>
          <t>NULL</t>
        </is>
      </c>
      <c r="E661" s="0" t="inlineStr">
        <is>
          <t>NULL</t>
        </is>
      </c>
      <c r="F661" s="0" t="inlineStr">
        <is>
          <t>NULL</t>
        </is>
      </c>
      <c r="G661" s="0" t="inlineStr">
        <is>
          <t>NULL</t>
        </is>
      </c>
      <c r="H661" s="0" t="inlineStr">
        <is>
          <t>NULL</t>
        </is>
      </c>
      <c r="I661" s="0" t="inlineStr">
        <is>
          <t>NULL</t>
        </is>
      </c>
      <c r="J661" s="0" t="inlineStr">
        <is>
          <t>NULL</t>
        </is>
      </c>
      <c r="K661" s="0" t="inlineStr">
        <is>
          <t>YES! 	 c_text列源备映射正确，源端为text 2147483647位	期望更改为text	实际备端为text 2147483647位</t>
        </is>
      </c>
    </row>
    <row r="662">
      <c r="B662" s="0" t="inlineStr">
        <is>
          <t>NULL</t>
        </is>
      </c>
      <c r="C662" s="0" t="inlineStr">
        <is>
          <t>NULL</t>
        </is>
      </c>
      <c r="D662" s="0" t="inlineStr">
        <is>
          <t>NULL</t>
        </is>
      </c>
      <c r="E662" s="0" t="inlineStr">
        <is>
          <t>NULL</t>
        </is>
      </c>
      <c r="F662" s="0" t="inlineStr">
        <is>
          <t>NULL</t>
        </is>
      </c>
      <c r="G662" s="0" t="inlineStr">
        <is>
          <t>NULL</t>
        </is>
      </c>
      <c r="H662" s="0" t="inlineStr">
        <is>
          <t>NULL</t>
        </is>
      </c>
      <c r="I662" s="0" t="inlineStr">
        <is>
          <t>NULL</t>
        </is>
      </c>
      <c r="J662" s="0" t="inlineStr">
        <is>
          <t>NULL</t>
        </is>
      </c>
      <c r="K662" s="0" t="inlineStr">
        <is>
          <t>YES! 	 c_ntext列源备映射正确，源端为ntext 2147483646位	期望更改为ntext	实际备端为ntext 2147483646位</t>
        </is>
      </c>
    </row>
    <row r="663">
      <c r="A663" s="0" t="inlineStr">
        <is>
          <t>info_datetime_dml_batch2_pk_irp1</t>
        </is>
      </c>
      <c r="K663" s="0" t="inlineStr">
        <is>
          <t>[0;34m info_datetime_dml_batch2_pk_irp1 [0m源备字段数相同，源端字段：2 	备端字段2</t>
        </is>
      </c>
      <c r="W663" s="0" t="inlineStr">
        <is>
          <t>YES 源备无差异</t>
        </is>
      </c>
      <c r="X663" s="0">
        <f>A663</f>
        <v/>
      </c>
    </row>
    <row r="664">
      <c r="B664" s="0" t="inlineStr">
        <is>
          <t>YES</t>
        </is>
      </c>
      <c r="C664" s="0" t="inlineStr">
        <is>
          <t>NULL</t>
        </is>
      </c>
      <c r="D664" s="0" t="inlineStr">
        <is>
          <t>NULL</t>
        </is>
      </c>
      <c r="E664" s="0" t="inlineStr">
        <is>
          <t>NULL</t>
        </is>
      </c>
      <c r="F664" s="0" t="inlineStr">
        <is>
          <t>NULL</t>
        </is>
      </c>
      <c r="G664" s="0" t="inlineStr">
        <is>
          <t>NULL</t>
        </is>
      </c>
      <c r="H664" s="0" t="inlineStr">
        <is>
          <t>NULL</t>
        </is>
      </c>
      <c r="I664" s="0" t="inlineStr">
        <is>
          <t>YES!PK__info_dat__3213E83F87685DE4</t>
        </is>
      </c>
      <c r="J664" s="0" t="inlineStr">
        <is>
          <t>YES! 主键相关索引</t>
        </is>
      </c>
      <c r="K664" s="0" t="inlineStr">
        <is>
          <t>YES! 	 id列源备映射正确，源端为int None位	期望更改为int	实际备端为int None位</t>
        </is>
      </c>
    </row>
    <row r="665">
      <c r="B665" s="0" t="inlineStr">
        <is>
          <t>NULL</t>
        </is>
      </c>
      <c r="C665" s="0" t="inlineStr">
        <is>
          <t>NULL</t>
        </is>
      </c>
      <c r="D665" s="0" t="inlineStr">
        <is>
          <t>NULL</t>
        </is>
      </c>
      <c r="E665" s="0" t="inlineStr">
        <is>
          <t>NULL</t>
        </is>
      </c>
      <c r="F665" s="0" t="inlineStr">
        <is>
          <t>NULL</t>
        </is>
      </c>
      <c r="G665" s="0" t="inlineStr">
        <is>
          <t>NULL</t>
        </is>
      </c>
      <c r="H665" s="0" t="inlineStr">
        <is>
          <t>NULL</t>
        </is>
      </c>
      <c r="I665" s="0" t="inlineStr">
        <is>
          <t>NULL</t>
        </is>
      </c>
      <c r="J665" s="0" t="inlineStr">
        <is>
          <t>NULL</t>
        </is>
      </c>
      <c r="K665" s="0" t="inlineStr">
        <is>
          <t>YES! 	 c_datetime列源备映射正确，源端为datetime None位	期望更改为datetime	实际备端为datetime None位</t>
        </is>
      </c>
    </row>
    <row r="666">
      <c r="A666" s="0" t="inlineStr">
        <is>
          <t>info_varchar_dml_batch1_pk_drp2</t>
        </is>
      </c>
      <c r="K666" s="0" t="inlineStr">
        <is>
          <t>[0;34m info_varchar_dml_batch1_pk_drp2 [0m源备字段数相同，源端字段：4 	备端字段4</t>
        </is>
      </c>
      <c r="W666" s="0" t="inlineStr">
        <is>
          <t>YES 源备无差异</t>
        </is>
      </c>
      <c r="X666" s="0">
        <f>A666</f>
        <v/>
      </c>
    </row>
    <row r="667">
      <c r="B667" s="0" t="inlineStr">
        <is>
          <t>YES</t>
        </is>
      </c>
      <c r="C667" s="0" t="inlineStr">
        <is>
          <t>NULL</t>
        </is>
      </c>
      <c r="D667" s="0" t="inlineStr">
        <is>
          <t>NULL</t>
        </is>
      </c>
      <c r="E667" s="0" t="inlineStr">
        <is>
          <t>NULL</t>
        </is>
      </c>
      <c r="F667" s="0" t="inlineStr">
        <is>
          <t>NULL</t>
        </is>
      </c>
      <c r="G667" s="0" t="inlineStr">
        <is>
          <t>NULL</t>
        </is>
      </c>
      <c r="H667" s="0" t="inlineStr">
        <is>
          <t>NULL</t>
        </is>
      </c>
      <c r="I667" s="0" t="inlineStr">
        <is>
          <t>YES!PK__info_var__3213E83F35EFE402</t>
        </is>
      </c>
      <c r="J667" s="0" t="inlineStr">
        <is>
          <t>YES! 主键相关索引</t>
        </is>
      </c>
      <c r="K667" s="0" t="inlineStr">
        <is>
          <t>YES! 	 id列源备映射正确，源端为int None位	期望更改为int	实际备端为int None位</t>
        </is>
      </c>
    </row>
    <row r="668">
      <c r="B668" s="0" t="inlineStr">
        <is>
          <t>NULL</t>
        </is>
      </c>
      <c r="C668" s="0" t="inlineStr">
        <is>
          <t>NULL</t>
        </is>
      </c>
      <c r="D668" s="0" t="inlineStr">
        <is>
          <t>NULL</t>
        </is>
      </c>
      <c r="E668" s="0" t="inlineStr">
        <is>
          <t>NULL</t>
        </is>
      </c>
      <c r="F668" s="0" t="inlineStr">
        <is>
          <t>NULL</t>
        </is>
      </c>
      <c r="G668" s="0" t="inlineStr">
        <is>
          <t>NULL</t>
        </is>
      </c>
      <c r="H668" s="0" t="inlineStr">
        <is>
          <t>NULL</t>
        </is>
      </c>
      <c r="I668" s="0" t="inlineStr">
        <is>
          <t>NULL</t>
        </is>
      </c>
      <c r="J668" s="0" t="inlineStr">
        <is>
          <t>NULL</t>
        </is>
      </c>
      <c r="K668" s="0" t="inlineStr">
        <is>
          <t>YES! 	 c_varchar列源备映射正确，源端为varchar 1位	期望更改为varchar(n)	实际备端为varchar 1位</t>
        </is>
      </c>
    </row>
    <row r="669">
      <c r="B669" s="0" t="inlineStr">
        <is>
          <t>NULL</t>
        </is>
      </c>
      <c r="C669" s="0" t="inlineStr">
        <is>
          <t>NULL</t>
        </is>
      </c>
      <c r="D669" s="0" t="inlineStr">
        <is>
          <t>NULL</t>
        </is>
      </c>
      <c r="E669" s="0" t="inlineStr">
        <is>
          <t>NULL</t>
        </is>
      </c>
      <c r="F669" s="0" t="inlineStr">
        <is>
          <t>NULL</t>
        </is>
      </c>
      <c r="G669" s="0" t="inlineStr">
        <is>
          <t>NULL</t>
        </is>
      </c>
      <c r="H669" s="0" t="inlineStr">
        <is>
          <t>NULL</t>
        </is>
      </c>
      <c r="I669" s="0" t="inlineStr">
        <is>
          <t>NULL</t>
        </is>
      </c>
      <c r="J669" s="0" t="inlineStr">
        <is>
          <t>NULL</t>
        </is>
      </c>
      <c r="K669" s="0" t="inlineStr">
        <is>
          <t>YES! 	 c_varchar20列源备映射正确，源端为varchar 20位	期望更改为varchar(n)	实际备端为varchar 20位</t>
        </is>
      </c>
    </row>
    <row r="670">
      <c r="B670" s="0" t="inlineStr">
        <is>
          <t>NULL</t>
        </is>
      </c>
      <c r="C670" s="0" t="inlineStr">
        <is>
          <t>NULL</t>
        </is>
      </c>
      <c r="D670" s="0" t="inlineStr">
        <is>
          <t>NULL</t>
        </is>
      </c>
      <c r="E670" s="0" t="inlineStr">
        <is>
          <t>NULL</t>
        </is>
      </c>
      <c r="F670" s="0" t="inlineStr">
        <is>
          <t>NULL</t>
        </is>
      </c>
      <c r="G670" s="0" t="inlineStr">
        <is>
          <t>NULL</t>
        </is>
      </c>
      <c r="H670" s="0" t="inlineStr">
        <is>
          <t>NULL</t>
        </is>
      </c>
      <c r="I670" s="0" t="inlineStr">
        <is>
          <t>NULL</t>
        </is>
      </c>
      <c r="J670" s="0" t="inlineStr">
        <is>
          <t>NULL</t>
        </is>
      </c>
      <c r="K670" s="0" t="inlineStr">
        <is>
          <t>YES! 	 c_varchar7000列源备映射正确，源端为varchar 7000位	期望更改为varchar(n)	实际备端为varchar 7000位</t>
        </is>
      </c>
    </row>
    <row r="671">
      <c r="A671" s="0" t="inlineStr">
        <is>
          <t>info_nvarchar_dml_single_nopk_drp</t>
        </is>
      </c>
      <c r="K671" s="0" t="inlineStr">
        <is>
          <t>[0;34m info_nvarchar_dml_single_nopk_drp [0m源备字段数相同，源端字段：4 	备端字段4</t>
        </is>
      </c>
      <c r="W671" s="0" t="inlineStr">
        <is>
          <t>YES 源备无差异</t>
        </is>
      </c>
      <c r="X671" s="0">
        <f>A671</f>
        <v/>
      </c>
    </row>
    <row r="672">
      <c r="B672" s="0" t="inlineStr">
        <is>
          <t>NULL</t>
        </is>
      </c>
      <c r="C672" s="0" t="inlineStr">
        <is>
          <t>NULL</t>
        </is>
      </c>
      <c r="D672" s="0" t="inlineStr">
        <is>
          <t>NULL</t>
        </is>
      </c>
      <c r="E672" s="0" t="inlineStr">
        <is>
          <t>NULL</t>
        </is>
      </c>
      <c r="F672" s="0" t="inlineStr">
        <is>
          <t>NULL</t>
        </is>
      </c>
      <c r="G672" s="0" t="inlineStr">
        <is>
          <t>NULL</t>
        </is>
      </c>
      <c r="H672" s="0" t="inlineStr">
        <is>
          <t>NULL</t>
        </is>
      </c>
      <c r="I672" s="0" t="inlineStr">
        <is>
          <t>NULL</t>
        </is>
      </c>
      <c r="J672" s="0" t="inlineStr">
        <is>
          <t>NULL</t>
        </is>
      </c>
      <c r="K672" s="0" t="inlineStr">
        <is>
          <t>YES! 	 id列源备映射正确，源端为int None位	期望更改为int	实际备端为int None位</t>
        </is>
      </c>
    </row>
    <row r="673">
      <c r="B673" s="0" t="inlineStr">
        <is>
          <t>NULL</t>
        </is>
      </c>
      <c r="C673" s="0" t="inlineStr">
        <is>
          <t>NULL</t>
        </is>
      </c>
      <c r="D673" s="0" t="inlineStr">
        <is>
          <t>NULL</t>
        </is>
      </c>
      <c r="E673" s="0" t="inlineStr">
        <is>
          <t>NULL</t>
        </is>
      </c>
      <c r="F673" s="0" t="inlineStr">
        <is>
          <t>NULL</t>
        </is>
      </c>
      <c r="G673" s="0" t="inlineStr">
        <is>
          <t>NULL</t>
        </is>
      </c>
      <c r="H673" s="0" t="inlineStr">
        <is>
          <t>NULL</t>
        </is>
      </c>
      <c r="I673" s="0" t="inlineStr">
        <is>
          <t>NULL</t>
        </is>
      </c>
      <c r="J673" s="0" t="inlineStr">
        <is>
          <t>NULL</t>
        </is>
      </c>
      <c r="K673" s="0" t="inlineStr">
        <is>
          <t>YES! 	 c_nvarchar列源备映射正确，源端为nvarchar 2位	期望更改为nvarchar(n)	实际备端为nvarchar 2位</t>
        </is>
      </c>
    </row>
    <row r="674">
      <c r="B674" s="0" t="inlineStr">
        <is>
          <t>NULL</t>
        </is>
      </c>
      <c r="C674" s="0" t="inlineStr">
        <is>
          <t>NULL</t>
        </is>
      </c>
      <c r="D674" s="0" t="inlineStr">
        <is>
          <t>NULL</t>
        </is>
      </c>
      <c r="E674" s="0" t="inlineStr">
        <is>
          <t>NULL</t>
        </is>
      </c>
      <c r="F674" s="0" t="inlineStr">
        <is>
          <t>NULL</t>
        </is>
      </c>
      <c r="G674" s="0" t="inlineStr">
        <is>
          <t>NULL</t>
        </is>
      </c>
      <c r="H674" s="0" t="inlineStr">
        <is>
          <t>NULL</t>
        </is>
      </c>
      <c r="I674" s="0" t="inlineStr">
        <is>
          <t>NULL</t>
        </is>
      </c>
      <c r="J674" s="0" t="inlineStr">
        <is>
          <t>NULL</t>
        </is>
      </c>
      <c r="K674" s="0" t="inlineStr">
        <is>
          <t>YES! 	 c_nvarchar20列源备映射正确，源端为nvarchar 40位	期望更改为nvarchar(n)	实际备端为nvarchar 40位</t>
        </is>
      </c>
    </row>
    <row r="675">
      <c r="B675" s="0" t="inlineStr">
        <is>
          <t>NULL</t>
        </is>
      </c>
      <c r="C675" s="0" t="inlineStr">
        <is>
          <t>NULL</t>
        </is>
      </c>
      <c r="D675" s="0" t="inlineStr">
        <is>
          <t>NULL</t>
        </is>
      </c>
      <c r="E675" s="0" t="inlineStr">
        <is>
          <t>NULL</t>
        </is>
      </c>
      <c r="F675" s="0" t="inlineStr">
        <is>
          <t>NULL</t>
        </is>
      </c>
      <c r="G675" s="0" t="inlineStr">
        <is>
          <t>NULL</t>
        </is>
      </c>
      <c r="H675" s="0" t="inlineStr">
        <is>
          <t>NULL</t>
        </is>
      </c>
      <c r="I675" s="0" t="inlineStr">
        <is>
          <t>NULL</t>
        </is>
      </c>
      <c r="J675" s="0" t="inlineStr">
        <is>
          <t>NULL</t>
        </is>
      </c>
      <c r="K675" s="0" t="inlineStr">
        <is>
          <t>YES! 	 c_nvarchar4000列源备映射正确，源端为nvarchar 8000位	期望更改为nvarchar(n)	实际备端为nvarchar 8000位</t>
        </is>
      </c>
    </row>
    <row r="676">
      <c r="A676" s="0" t="inlineStr">
        <is>
          <t>info_nvarchar_dml_single_pk_drp</t>
        </is>
      </c>
      <c r="K676" s="0" t="inlineStr">
        <is>
          <t>[0;34m info_nvarchar_dml_single_pk_drp [0m源备字段数相同，源端字段：4 	备端字段4</t>
        </is>
      </c>
      <c r="W676" s="0" t="inlineStr">
        <is>
          <t>YES 源备无差异</t>
        </is>
      </c>
      <c r="X676" s="0">
        <f>A676</f>
        <v/>
      </c>
    </row>
    <row r="677">
      <c r="B677" s="0" t="inlineStr">
        <is>
          <t>YES</t>
        </is>
      </c>
      <c r="C677" s="0" t="inlineStr">
        <is>
          <t>NULL</t>
        </is>
      </c>
      <c r="D677" s="0" t="inlineStr">
        <is>
          <t>NULL</t>
        </is>
      </c>
      <c r="E677" s="0" t="inlineStr">
        <is>
          <t>NULL</t>
        </is>
      </c>
      <c r="F677" s="0" t="inlineStr">
        <is>
          <t>NULL</t>
        </is>
      </c>
      <c r="G677" s="0" t="inlineStr">
        <is>
          <t>NULL</t>
        </is>
      </c>
      <c r="H677" s="0" t="inlineStr">
        <is>
          <t>NULL</t>
        </is>
      </c>
      <c r="I677" s="0" t="inlineStr">
        <is>
          <t>YES!PK__info_nva__3213E83FA5AB5E4B</t>
        </is>
      </c>
      <c r="J677" s="0" t="inlineStr">
        <is>
          <t>YES! 主键相关索引</t>
        </is>
      </c>
      <c r="K677" s="0" t="inlineStr">
        <is>
          <t>YES! 	 id列源备映射正确，源端为int None位	期望更改为int	实际备端为int None位</t>
        </is>
      </c>
    </row>
    <row r="678">
      <c r="B678" s="0" t="inlineStr">
        <is>
          <t>NULL</t>
        </is>
      </c>
      <c r="C678" s="0" t="inlineStr">
        <is>
          <t>NULL</t>
        </is>
      </c>
      <c r="D678" s="0" t="inlineStr">
        <is>
          <t>NULL</t>
        </is>
      </c>
      <c r="E678" s="0" t="inlineStr">
        <is>
          <t>NULL</t>
        </is>
      </c>
      <c r="F678" s="0" t="inlineStr">
        <is>
          <t>NULL</t>
        </is>
      </c>
      <c r="G678" s="0" t="inlineStr">
        <is>
          <t>NULL</t>
        </is>
      </c>
      <c r="H678" s="0" t="inlineStr">
        <is>
          <t>NULL</t>
        </is>
      </c>
      <c r="I678" s="0" t="inlineStr">
        <is>
          <t>NULL</t>
        </is>
      </c>
      <c r="J678" s="0" t="inlineStr">
        <is>
          <t>NULL</t>
        </is>
      </c>
      <c r="K678" s="0" t="inlineStr">
        <is>
          <t>YES! 	 c_nvarchar列源备映射正确，源端为nvarchar 2位	期望更改为nvarchar(n)	实际备端为nvarchar 2位</t>
        </is>
      </c>
    </row>
    <row r="679">
      <c r="B679" s="0" t="inlineStr">
        <is>
          <t>NULL</t>
        </is>
      </c>
      <c r="C679" s="0" t="inlineStr">
        <is>
          <t>NULL</t>
        </is>
      </c>
      <c r="D679" s="0" t="inlineStr">
        <is>
          <t>NULL</t>
        </is>
      </c>
      <c r="E679" s="0" t="inlineStr">
        <is>
          <t>NULL</t>
        </is>
      </c>
      <c r="F679" s="0" t="inlineStr">
        <is>
          <t>NULL</t>
        </is>
      </c>
      <c r="G679" s="0" t="inlineStr">
        <is>
          <t>NULL</t>
        </is>
      </c>
      <c r="H679" s="0" t="inlineStr">
        <is>
          <t>NULL</t>
        </is>
      </c>
      <c r="I679" s="0" t="inlineStr">
        <is>
          <t>NULL</t>
        </is>
      </c>
      <c r="J679" s="0" t="inlineStr">
        <is>
          <t>NULL</t>
        </is>
      </c>
      <c r="K679" s="0" t="inlineStr">
        <is>
          <t>YES! 	 c_nvarchar20列源备映射正确，源端为nvarchar 40位	期望更改为nvarchar(n)	实际备端为nvarchar 40位</t>
        </is>
      </c>
    </row>
    <row r="680">
      <c r="B680" s="0" t="inlineStr">
        <is>
          <t>NULL</t>
        </is>
      </c>
      <c r="C680" s="0" t="inlineStr">
        <is>
          <t>NULL</t>
        </is>
      </c>
      <c r="D680" s="0" t="inlineStr">
        <is>
          <t>NULL</t>
        </is>
      </c>
      <c r="E680" s="0" t="inlineStr">
        <is>
          <t>NULL</t>
        </is>
      </c>
      <c r="F680" s="0" t="inlineStr">
        <is>
          <t>NULL</t>
        </is>
      </c>
      <c r="G680" s="0" t="inlineStr">
        <is>
          <t>NULL</t>
        </is>
      </c>
      <c r="H680" s="0" t="inlineStr">
        <is>
          <t>NULL</t>
        </is>
      </c>
      <c r="I680" s="0" t="inlineStr">
        <is>
          <t>NULL</t>
        </is>
      </c>
      <c r="J680" s="0" t="inlineStr">
        <is>
          <t>NULL</t>
        </is>
      </c>
      <c r="K680" s="0" t="inlineStr">
        <is>
          <t>YES! 	 c_nvarchar4000列源备映射正确，源端为nvarchar 8000位	期望更改为nvarchar(n)	实际备端为nvarchar 8000位</t>
        </is>
      </c>
    </row>
    <row r="681">
      <c r="A681" s="0" t="inlineStr">
        <is>
          <t>info_nvarchar_dml_single_nopk_urp</t>
        </is>
      </c>
      <c r="K681" s="0" t="inlineStr">
        <is>
          <t>[0;34m info_nvarchar_dml_single_nopk_urp [0m源备字段数相同，源端字段：4 	备端字段4</t>
        </is>
      </c>
      <c r="W681" s="0" t="inlineStr">
        <is>
          <t>YES 源备无差异</t>
        </is>
      </c>
      <c r="X681" s="0">
        <f>A681</f>
        <v/>
      </c>
    </row>
    <row r="682">
      <c r="B682" s="0" t="inlineStr">
        <is>
          <t>NULL</t>
        </is>
      </c>
      <c r="C682" s="0" t="inlineStr">
        <is>
          <t>NULL</t>
        </is>
      </c>
      <c r="D682" s="0" t="inlineStr">
        <is>
          <t>NULL</t>
        </is>
      </c>
      <c r="E682" s="0" t="inlineStr">
        <is>
          <t>NULL</t>
        </is>
      </c>
      <c r="F682" s="0" t="inlineStr">
        <is>
          <t>NULL</t>
        </is>
      </c>
      <c r="G682" s="0" t="inlineStr">
        <is>
          <t>NULL</t>
        </is>
      </c>
      <c r="H682" s="0" t="inlineStr">
        <is>
          <t>NULL</t>
        </is>
      </c>
      <c r="I682" s="0" t="inlineStr">
        <is>
          <t>NULL</t>
        </is>
      </c>
      <c r="J682" s="0" t="inlineStr">
        <is>
          <t>NULL</t>
        </is>
      </c>
      <c r="K682" s="0" t="inlineStr">
        <is>
          <t>YES! 	 id列源备映射正确，源端为int None位	期望更改为int	实际备端为int None位</t>
        </is>
      </c>
    </row>
    <row r="683">
      <c r="B683" s="0" t="inlineStr">
        <is>
          <t>NULL</t>
        </is>
      </c>
      <c r="C683" s="0" t="inlineStr">
        <is>
          <t>NULL</t>
        </is>
      </c>
      <c r="D683" s="0" t="inlineStr">
        <is>
          <t>NULL</t>
        </is>
      </c>
      <c r="E683" s="0" t="inlineStr">
        <is>
          <t>NULL</t>
        </is>
      </c>
      <c r="F683" s="0" t="inlineStr">
        <is>
          <t>NULL</t>
        </is>
      </c>
      <c r="G683" s="0" t="inlineStr">
        <is>
          <t>NULL</t>
        </is>
      </c>
      <c r="H683" s="0" t="inlineStr">
        <is>
          <t>NULL</t>
        </is>
      </c>
      <c r="I683" s="0" t="inlineStr">
        <is>
          <t>NULL</t>
        </is>
      </c>
      <c r="J683" s="0" t="inlineStr">
        <is>
          <t>NULL</t>
        </is>
      </c>
      <c r="K683" s="0" t="inlineStr">
        <is>
          <t>YES! 	 c_nvarchar列源备映射正确，源端为nvarchar 2位	期望更改为nvarchar(n)	实际备端为nvarchar 2位</t>
        </is>
      </c>
    </row>
    <row r="684">
      <c r="B684" s="0" t="inlineStr">
        <is>
          <t>NULL</t>
        </is>
      </c>
      <c r="C684" s="0" t="inlineStr">
        <is>
          <t>NULL</t>
        </is>
      </c>
      <c r="D684" s="0" t="inlineStr">
        <is>
          <t>NULL</t>
        </is>
      </c>
      <c r="E684" s="0" t="inlineStr">
        <is>
          <t>NULL</t>
        </is>
      </c>
      <c r="F684" s="0" t="inlineStr">
        <is>
          <t>NULL</t>
        </is>
      </c>
      <c r="G684" s="0" t="inlineStr">
        <is>
          <t>NULL</t>
        </is>
      </c>
      <c r="H684" s="0" t="inlineStr">
        <is>
          <t>NULL</t>
        </is>
      </c>
      <c r="I684" s="0" t="inlineStr">
        <is>
          <t>NULL</t>
        </is>
      </c>
      <c r="J684" s="0" t="inlineStr">
        <is>
          <t>NULL</t>
        </is>
      </c>
      <c r="K684" s="0" t="inlineStr">
        <is>
          <t>YES! 	 c_nvarchar20列源备映射正确，源端为nvarchar 40位	期望更改为nvarchar(n)	实际备端为nvarchar 40位</t>
        </is>
      </c>
    </row>
    <row r="685">
      <c r="B685" s="0" t="inlineStr">
        <is>
          <t>NULL</t>
        </is>
      </c>
      <c r="C685" s="0" t="inlineStr">
        <is>
          <t>NULL</t>
        </is>
      </c>
      <c r="D685" s="0" t="inlineStr">
        <is>
          <t>NULL</t>
        </is>
      </c>
      <c r="E685" s="0" t="inlineStr">
        <is>
          <t>NULL</t>
        </is>
      </c>
      <c r="F685" s="0" t="inlineStr">
        <is>
          <t>NULL</t>
        </is>
      </c>
      <c r="G685" s="0" t="inlineStr">
        <is>
          <t>NULL</t>
        </is>
      </c>
      <c r="H685" s="0" t="inlineStr">
        <is>
          <t>NULL</t>
        </is>
      </c>
      <c r="I685" s="0" t="inlineStr">
        <is>
          <t>NULL</t>
        </is>
      </c>
      <c r="J685" s="0" t="inlineStr">
        <is>
          <t>NULL</t>
        </is>
      </c>
      <c r="K685" s="0" t="inlineStr">
        <is>
          <t>YES! 	 c_nvarchar4000列源备映射正确，源端为nvarchar 8000位	期望更改为nvarchar(n)	实际备端为nvarchar 8000位</t>
        </is>
      </c>
    </row>
    <row r="686">
      <c r="A686" s="0" t="inlineStr">
        <is>
          <t>info_text_dml_single_pk_drp</t>
        </is>
      </c>
      <c r="K686" s="0" t="inlineStr">
        <is>
          <t>[0;34m info_text_dml_single_pk_drp [0m源备字段数相同，源端字段：3 	备端字段3</t>
        </is>
      </c>
      <c r="W686" s="0" t="inlineStr">
        <is>
          <t>YES 源备无差异</t>
        </is>
      </c>
      <c r="X686" s="0">
        <f>A686</f>
        <v/>
      </c>
    </row>
    <row r="687">
      <c r="B687" s="0" t="inlineStr">
        <is>
          <t>YES</t>
        </is>
      </c>
      <c r="C687" s="0" t="inlineStr">
        <is>
          <t>NULL</t>
        </is>
      </c>
      <c r="D687" s="0" t="inlineStr">
        <is>
          <t>NULL</t>
        </is>
      </c>
      <c r="E687" s="0" t="inlineStr">
        <is>
          <t>NULL</t>
        </is>
      </c>
      <c r="F687" s="0" t="inlineStr">
        <is>
          <t>NULL</t>
        </is>
      </c>
      <c r="G687" s="0" t="inlineStr">
        <is>
          <t>NULL</t>
        </is>
      </c>
      <c r="H687" s="0" t="inlineStr">
        <is>
          <t>NULL</t>
        </is>
      </c>
      <c r="I687" s="0" t="inlineStr">
        <is>
          <t>YES!PK__info_tex__3213E83FEC81611A</t>
        </is>
      </c>
      <c r="J687" s="0" t="inlineStr">
        <is>
          <t>YES! 主键相关索引</t>
        </is>
      </c>
      <c r="K687" s="0" t="inlineStr">
        <is>
          <t>YES! 	 id列源备映射正确，源端为int None位	期望更改为int	实际备端为int None位</t>
        </is>
      </c>
    </row>
    <row r="688">
      <c r="B688" s="0" t="inlineStr">
        <is>
          <t>NULL</t>
        </is>
      </c>
      <c r="C688" s="0" t="inlineStr">
        <is>
          <t>NULL</t>
        </is>
      </c>
      <c r="D688" s="0" t="inlineStr">
        <is>
          <t>NULL</t>
        </is>
      </c>
      <c r="E688" s="0" t="inlineStr">
        <is>
          <t>NULL</t>
        </is>
      </c>
      <c r="F688" s="0" t="inlineStr">
        <is>
          <t>NULL</t>
        </is>
      </c>
      <c r="G688" s="0" t="inlineStr">
        <is>
          <t>NULL</t>
        </is>
      </c>
      <c r="H688" s="0" t="inlineStr">
        <is>
          <t>NULL</t>
        </is>
      </c>
      <c r="I688" s="0" t="inlineStr">
        <is>
          <t>NULL</t>
        </is>
      </c>
      <c r="J688" s="0" t="inlineStr">
        <is>
          <t>NULL</t>
        </is>
      </c>
      <c r="K688" s="0" t="inlineStr">
        <is>
          <t>YES! 	 c_text列源备映射正确，源端为text 2147483647位	期望更改为text	实际备端为text 2147483647位</t>
        </is>
      </c>
    </row>
    <row r="689">
      <c r="B689" s="0" t="inlineStr">
        <is>
          <t>NULL</t>
        </is>
      </c>
      <c r="C689" s="0" t="inlineStr">
        <is>
          <t>NULL</t>
        </is>
      </c>
      <c r="D689" s="0" t="inlineStr">
        <is>
          <t>NULL</t>
        </is>
      </c>
      <c r="E689" s="0" t="inlineStr">
        <is>
          <t>NULL</t>
        </is>
      </c>
      <c r="F689" s="0" t="inlineStr">
        <is>
          <t>NULL</t>
        </is>
      </c>
      <c r="G689" s="0" t="inlineStr">
        <is>
          <t>NULL</t>
        </is>
      </c>
      <c r="H689" s="0" t="inlineStr">
        <is>
          <t>NULL</t>
        </is>
      </c>
      <c r="I689" s="0" t="inlineStr">
        <is>
          <t>NULL</t>
        </is>
      </c>
      <c r="J689" s="0" t="inlineStr">
        <is>
          <t>NULL</t>
        </is>
      </c>
      <c r="K689" s="0" t="inlineStr">
        <is>
          <t>YES! 	 c_ntext列源备映射正确，源端为ntext 2147483646位	期望更改为ntext	实际备端为ntext 2147483646位</t>
        </is>
      </c>
    </row>
    <row r="690">
      <c r="A690" s="0" t="inlineStr">
        <is>
          <t>info_nvarchar_dml_single_pk</t>
        </is>
      </c>
      <c r="K690" s="0" t="inlineStr">
        <is>
          <t>[0;34m info_nvarchar_dml_single_pk [0m源备字段数相同，源端字段：4 	备端字段4</t>
        </is>
      </c>
      <c r="W690" s="0" t="inlineStr">
        <is>
          <t>YES 源备无差异</t>
        </is>
      </c>
      <c r="X690" s="0">
        <f>A690</f>
        <v/>
      </c>
    </row>
    <row r="691">
      <c r="B691" s="0" t="inlineStr">
        <is>
          <t>YES</t>
        </is>
      </c>
      <c r="C691" s="0" t="inlineStr">
        <is>
          <t>NULL</t>
        </is>
      </c>
      <c r="D691" s="0" t="inlineStr">
        <is>
          <t>NULL</t>
        </is>
      </c>
      <c r="E691" s="0" t="inlineStr">
        <is>
          <t>NULL</t>
        </is>
      </c>
      <c r="F691" s="0" t="inlineStr">
        <is>
          <t>NULL</t>
        </is>
      </c>
      <c r="G691" s="0" t="inlineStr">
        <is>
          <t>NULL</t>
        </is>
      </c>
      <c r="H691" s="0" t="inlineStr">
        <is>
          <t>NULL</t>
        </is>
      </c>
      <c r="I691" s="0" t="inlineStr">
        <is>
          <t>YES!PK__info_nva__3213E83F88384AD8</t>
        </is>
      </c>
      <c r="J691" s="0" t="inlineStr">
        <is>
          <t>YES! 主键相关索引</t>
        </is>
      </c>
      <c r="K691" s="0" t="inlineStr">
        <is>
          <t>YES! 	 id列源备映射正确，源端为int None位	期望更改为int	实际备端为int None位</t>
        </is>
      </c>
    </row>
    <row r="692">
      <c r="B692" s="0" t="inlineStr">
        <is>
          <t>NULL</t>
        </is>
      </c>
      <c r="C692" s="0" t="inlineStr">
        <is>
          <t>NULL</t>
        </is>
      </c>
      <c r="D692" s="0" t="inlineStr">
        <is>
          <t>NULL</t>
        </is>
      </c>
      <c r="E692" s="0" t="inlineStr">
        <is>
          <t>NULL</t>
        </is>
      </c>
      <c r="F692" s="0" t="inlineStr">
        <is>
          <t>NULL</t>
        </is>
      </c>
      <c r="G692" s="0" t="inlineStr">
        <is>
          <t>NULL</t>
        </is>
      </c>
      <c r="H692" s="0" t="inlineStr">
        <is>
          <t>NULL</t>
        </is>
      </c>
      <c r="I692" s="0" t="inlineStr">
        <is>
          <t>NULL</t>
        </is>
      </c>
      <c r="J692" s="0" t="inlineStr">
        <is>
          <t>NULL</t>
        </is>
      </c>
      <c r="K692" s="0" t="inlineStr">
        <is>
          <t>YES! 	 c_nvarchar列源备映射正确，源端为nvarchar 2位	期望更改为nvarchar(n)	实际备端为nvarchar 2位</t>
        </is>
      </c>
    </row>
    <row r="693">
      <c r="B693" s="0" t="inlineStr">
        <is>
          <t>NULL</t>
        </is>
      </c>
      <c r="C693" s="0" t="inlineStr">
        <is>
          <t>NULL</t>
        </is>
      </c>
      <c r="D693" s="0" t="inlineStr">
        <is>
          <t>NULL</t>
        </is>
      </c>
      <c r="E693" s="0" t="inlineStr">
        <is>
          <t>NULL</t>
        </is>
      </c>
      <c r="F693" s="0" t="inlineStr">
        <is>
          <t>NULL</t>
        </is>
      </c>
      <c r="G693" s="0" t="inlineStr">
        <is>
          <t>NULL</t>
        </is>
      </c>
      <c r="H693" s="0" t="inlineStr">
        <is>
          <t>NULL</t>
        </is>
      </c>
      <c r="I693" s="0" t="inlineStr">
        <is>
          <t>NULL</t>
        </is>
      </c>
      <c r="J693" s="0" t="inlineStr">
        <is>
          <t>NULL</t>
        </is>
      </c>
      <c r="K693" s="0" t="inlineStr">
        <is>
          <t>YES! 	 c_nvarchar20列源备映射正确，源端为nvarchar 40位	期望更改为nvarchar(n)	实际备端为nvarchar 40位</t>
        </is>
      </c>
    </row>
    <row r="694">
      <c r="B694" s="0" t="inlineStr">
        <is>
          <t>NULL</t>
        </is>
      </c>
      <c r="C694" s="0" t="inlineStr">
        <is>
          <t>NULL</t>
        </is>
      </c>
      <c r="D694" s="0" t="inlineStr">
        <is>
          <t>NULL</t>
        </is>
      </c>
      <c r="E694" s="0" t="inlineStr">
        <is>
          <t>NULL</t>
        </is>
      </c>
      <c r="F694" s="0" t="inlineStr">
        <is>
          <t>NULL</t>
        </is>
      </c>
      <c r="G694" s="0" t="inlineStr">
        <is>
          <t>NULL</t>
        </is>
      </c>
      <c r="H694" s="0" t="inlineStr">
        <is>
          <t>NULL</t>
        </is>
      </c>
      <c r="I694" s="0" t="inlineStr">
        <is>
          <t>NULL</t>
        </is>
      </c>
      <c r="J694" s="0" t="inlineStr">
        <is>
          <t>NULL</t>
        </is>
      </c>
      <c r="K694" s="0" t="inlineStr">
        <is>
          <t>YES! 	 c_nvarchar4000列源备映射正确，源端为nvarchar 8000位	期望更改为nvarchar(n)	实际备端为nvarchar 8000位</t>
        </is>
      </c>
    </row>
    <row r="695">
      <c r="A695" s="0" t="inlineStr">
        <is>
          <t>info_datetime_dml_batch2_pk_irp2</t>
        </is>
      </c>
      <c r="K695" s="0" t="inlineStr">
        <is>
          <t>[0;34m info_datetime_dml_batch2_pk_irp2 [0m源备字段数相同，源端字段：2 	备端字段2</t>
        </is>
      </c>
      <c r="W695" s="0" t="inlineStr">
        <is>
          <t>YES 源备无差异</t>
        </is>
      </c>
      <c r="X695" s="0">
        <f>A695</f>
        <v/>
      </c>
    </row>
    <row r="696">
      <c r="B696" s="0" t="inlineStr">
        <is>
          <t>YES</t>
        </is>
      </c>
      <c r="C696" s="0" t="inlineStr">
        <is>
          <t>NULL</t>
        </is>
      </c>
      <c r="D696" s="0" t="inlineStr">
        <is>
          <t>NULL</t>
        </is>
      </c>
      <c r="E696" s="0" t="inlineStr">
        <is>
          <t>NULL</t>
        </is>
      </c>
      <c r="F696" s="0" t="inlineStr">
        <is>
          <t>NULL</t>
        </is>
      </c>
      <c r="G696" s="0" t="inlineStr">
        <is>
          <t>NULL</t>
        </is>
      </c>
      <c r="H696" s="0" t="inlineStr">
        <is>
          <t>NULL</t>
        </is>
      </c>
      <c r="I696" s="0" t="inlineStr">
        <is>
          <t>YES!PK__info_dat__3213E83F297599A4</t>
        </is>
      </c>
      <c r="J696" s="0" t="inlineStr">
        <is>
          <t>YES! 主键相关索引</t>
        </is>
      </c>
      <c r="K696" s="0" t="inlineStr">
        <is>
          <t>YES! 	 id列源备映射正确，源端为int None位	期望更改为int	实际备端为int None位</t>
        </is>
      </c>
    </row>
    <row r="697">
      <c r="B697" s="0" t="inlineStr">
        <is>
          <t>NULL</t>
        </is>
      </c>
      <c r="C697" s="0" t="inlineStr">
        <is>
          <t>NULL</t>
        </is>
      </c>
      <c r="D697" s="0" t="inlineStr">
        <is>
          <t>NULL</t>
        </is>
      </c>
      <c r="E697" s="0" t="inlineStr">
        <is>
          <t>NULL</t>
        </is>
      </c>
      <c r="F697" s="0" t="inlineStr">
        <is>
          <t>NULL</t>
        </is>
      </c>
      <c r="G697" s="0" t="inlineStr">
        <is>
          <t>NULL</t>
        </is>
      </c>
      <c r="H697" s="0" t="inlineStr">
        <is>
          <t>NULL</t>
        </is>
      </c>
      <c r="I697" s="0" t="inlineStr">
        <is>
          <t>NULL</t>
        </is>
      </c>
      <c r="J697" s="0" t="inlineStr">
        <is>
          <t>NULL</t>
        </is>
      </c>
      <c r="K697" s="0" t="inlineStr">
        <is>
          <t>YES! 	 c_datetime列源备映射正确，源端为datetime None位	期望更改为datetime	实际备端为datetime None位</t>
        </is>
      </c>
    </row>
    <row r="698">
      <c r="A698" s="0" t="inlineStr">
        <is>
          <t>info_varchar_dml_batch1_pk</t>
        </is>
      </c>
      <c r="K698" s="0" t="inlineStr">
        <is>
          <t>[0;34m info_varchar_dml_batch1_pk [0m源备字段数相同，源端字段：4 	备端字段4</t>
        </is>
      </c>
      <c r="W698" s="0" t="inlineStr">
        <is>
          <t>YES 源备无差异</t>
        </is>
      </c>
      <c r="X698" s="0">
        <f>A698</f>
        <v/>
      </c>
    </row>
    <row r="699">
      <c r="B699" s="0" t="inlineStr">
        <is>
          <t>YES</t>
        </is>
      </c>
      <c r="C699" s="0" t="inlineStr">
        <is>
          <t>NULL</t>
        </is>
      </c>
      <c r="D699" s="0" t="inlineStr">
        <is>
          <t>NULL</t>
        </is>
      </c>
      <c r="E699" s="0" t="inlineStr">
        <is>
          <t>NULL</t>
        </is>
      </c>
      <c r="F699" s="0" t="inlineStr">
        <is>
          <t>NULL</t>
        </is>
      </c>
      <c r="G699" s="0" t="inlineStr">
        <is>
          <t>NULL</t>
        </is>
      </c>
      <c r="H699" s="0" t="inlineStr">
        <is>
          <t>NULL</t>
        </is>
      </c>
      <c r="I699" s="0" t="inlineStr">
        <is>
          <t>YES!PK__info_var__3213E83FFA843D84</t>
        </is>
      </c>
      <c r="J699" s="0" t="inlineStr">
        <is>
          <t>YES! 主键相关索引</t>
        </is>
      </c>
      <c r="K699" s="0" t="inlineStr">
        <is>
          <t>YES! 	 id列源备映射正确，源端为int None位	期望更改为int	实际备端为int None位</t>
        </is>
      </c>
    </row>
    <row r="700">
      <c r="B700" s="0" t="inlineStr">
        <is>
          <t>NULL</t>
        </is>
      </c>
      <c r="C700" s="0" t="inlineStr">
        <is>
          <t>NULL</t>
        </is>
      </c>
      <c r="D700" s="0" t="inlineStr">
        <is>
          <t>NULL</t>
        </is>
      </c>
      <c r="E700" s="0" t="inlineStr">
        <is>
          <t>NULL</t>
        </is>
      </c>
      <c r="F700" s="0" t="inlineStr">
        <is>
          <t>NULL</t>
        </is>
      </c>
      <c r="G700" s="0" t="inlineStr">
        <is>
          <t>NULL</t>
        </is>
      </c>
      <c r="H700" s="0" t="inlineStr">
        <is>
          <t>NULL</t>
        </is>
      </c>
      <c r="I700" s="0" t="inlineStr">
        <is>
          <t>NULL</t>
        </is>
      </c>
      <c r="J700" s="0" t="inlineStr">
        <is>
          <t>NULL</t>
        </is>
      </c>
      <c r="K700" s="0" t="inlineStr">
        <is>
          <t>YES! 	 c_varchar列源备映射正确，源端为varchar 1位	期望更改为varchar(n)	实际备端为varchar 1位</t>
        </is>
      </c>
    </row>
    <row r="701">
      <c r="B701" s="0" t="inlineStr">
        <is>
          <t>NULL</t>
        </is>
      </c>
      <c r="C701" s="0" t="inlineStr">
        <is>
          <t>NULL</t>
        </is>
      </c>
      <c r="D701" s="0" t="inlineStr">
        <is>
          <t>NULL</t>
        </is>
      </c>
      <c r="E701" s="0" t="inlineStr">
        <is>
          <t>NULL</t>
        </is>
      </c>
      <c r="F701" s="0" t="inlineStr">
        <is>
          <t>NULL</t>
        </is>
      </c>
      <c r="G701" s="0" t="inlineStr">
        <is>
          <t>NULL</t>
        </is>
      </c>
      <c r="H701" s="0" t="inlineStr">
        <is>
          <t>NULL</t>
        </is>
      </c>
      <c r="I701" s="0" t="inlineStr">
        <is>
          <t>NULL</t>
        </is>
      </c>
      <c r="J701" s="0" t="inlineStr">
        <is>
          <t>NULL</t>
        </is>
      </c>
      <c r="K701" s="0" t="inlineStr">
        <is>
          <t>YES! 	 c_varchar20列源备映射正确，源端为varchar 20位	期望更改为varchar(n)	实际备端为varchar 20位</t>
        </is>
      </c>
    </row>
    <row r="702">
      <c r="B702" s="0" t="inlineStr">
        <is>
          <t>NULL</t>
        </is>
      </c>
      <c r="C702" s="0" t="inlineStr">
        <is>
          <t>NULL</t>
        </is>
      </c>
      <c r="D702" s="0" t="inlineStr">
        <is>
          <t>NULL</t>
        </is>
      </c>
      <c r="E702" s="0" t="inlineStr">
        <is>
          <t>NULL</t>
        </is>
      </c>
      <c r="F702" s="0" t="inlineStr">
        <is>
          <t>NULL</t>
        </is>
      </c>
      <c r="G702" s="0" t="inlineStr">
        <is>
          <t>NULL</t>
        </is>
      </c>
      <c r="H702" s="0" t="inlineStr">
        <is>
          <t>NULL</t>
        </is>
      </c>
      <c r="I702" s="0" t="inlineStr">
        <is>
          <t>NULL</t>
        </is>
      </c>
      <c r="J702" s="0" t="inlineStr">
        <is>
          <t>NULL</t>
        </is>
      </c>
      <c r="K702" s="0" t="inlineStr">
        <is>
          <t>YES! 	 c_varchar7000列源备映射正确，源端为varchar 7000位	期望更改为varchar(n)	实际备端为varchar 7000位</t>
        </is>
      </c>
    </row>
    <row r="703">
      <c r="A703" s="0" t="inlineStr">
        <is>
          <t>info_text_dml_single_pk</t>
        </is>
      </c>
      <c r="K703" s="0" t="inlineStr">
        <is>
          <t>[0;34m info_text_dml_single_pk [0m源备字段数相同，源端字段：3 	备端字段3</t>
        </is>
      </c>
      <c r="W703" s="0" t="inlineStr">
        <is>
          <t>YES 源备无差异</t>
        </is>
      </c>
      <c r="X703" s="0">
        <f>A703</f>
        <v/>
      </c>
    </row>
    <row r="704">
      <c r="B704" s="0" t="inlineStr">
        <is>
          <t>YES</t>
        </is>
      </c>
      <c r="C704" s="0" t="inlineStr">
        <is>
          <t>NULL</t>
        </is>
      </c>
      <c r="D704" s="0" t="inlineStr">
        <is>
          <t>NULL</t>
        </is>
      </c>
      <c r="E704" s="0" t="inlineStr">
        <is>
          <t>NULL</t>
        </is>
      </c>
      <c r="F704" s="0" t="inlineStr">
        <is>
          <t>NULL</t>
        </is>
      </c>
      <c r="G704" s="0" t="inlineStr">
        <is>
          <t>NULL</t>
        </is>
      </c>
      <c r="H704" s="0" t="inlineStr">
        <is>
          <t>NULL</t>
        </is>
      </c>
      <c r="I704" s="0" t="inlineStr">
        <is>
          <t>YES!PK__info_tex__3213E83F041B8173</t>
        </is>
      </c>
      <c r="J704" s="0" t="inlineStr">
        <is>
          <t>YES! 主键相关索引</t>
        </is>
      </c>
      <c r="K704" s="0" t="inlineStr">
        <is>
          <t>YES! 	 id列源备映射正确，源端为int None位	期望更改为int	实际备端为int None位</t>
        </is>
      </c>
    </row>
    <row r="705">
      <c r="B705" s="0" t="inlineStr">
        <is>
          <t>NULL</t>
        </is>
      </c>
      <c r="C705" s="0" t="inlineStr">
        <is>
          <t>NULL</t>
        </is>
      </c>
      <c r="D705" s="0" t="inlineStr">
        <is>
          <t>NULL</t>
        </is>
      </c>
      <c r="E705" s="0" t="inlineStr">
        <is>
          <t>NULL</t>
        </is>
      </c>
      <c r="F705" s="0" t="inlineStr">
        <is>
          <t>NULL</t>
        </is>
      </c>
      <c r="G705" s="0" t="inlineStr">
        <is>
          <t>NULL</t>
        </is>
      </c>
      <c r="H705" s="0" t="inlineStr">
        <is>
          <t>NULL</t>
        </is>
      </c>
      <c r="I705" s="0" t="inlineStr">
        <is>
          <t>NULL</t>
        </is>
      </c>
      <c r="J705" s="0" t="inlineStr">
        <is>
          <t>NULL</t>
        </is>
      </c>
      <c r="K705" s="0" t="inlineStr">
        <is>
          <t>YES! 	 c_text列源备映射正确，源端为text 2147483647位	期望更改为text	实际备端为text 2147483647位</t>
        </is>
      </c>
    </row>
    <row r="706">
      <c r="B706" s="0" t="inlineStr">
        <is>
          <t>NULL</t>
        </is>
      </c>
      <c r="C706" s="0" t="inlineStr">
        <is>
          <t>NULL</t>
        </is>
      </c>
      <c r="D706" s="0" t="inlineStr">
        <is>
          <t>NULL</t>
        </is>
      </c>
      <c r="E706" s="0" t="inlineStr">
        <is>
          <t>NULL</t>
        </is>
      </c>
      <c r="F706" s="0" t="inlineStr">
        <is>
          <t>NULL</t>
        </is>
      </c>
      <c r="G706" s="0" t="inlineStr">
        <is>
          <t>NULL</t>
        </is>
      </c>
      <c r="H706" s="0" t="inlineStr">
        <is>
          <t>NULL</t>
        </is>
      </c>
      <c r="I706" s="0" t="inlineStr">
        <is>
          <t>NULL</t>
        </is>
      </c>
      <c r="J706" s="0" t="inlineStr">
        <is>
          <t>NULL</t>
        </is>
      </c>
      <c r="K706" s="0" t="inlineStr">
        <is>
          <t>YES! 	 c_ntext列源备映射正确，源端为ntext 2147483646位	期望更改为ntext	实际备端为ntext 2147483646位</t>
        </is>
      </c>
    </row>
    <row r="707">
      <c r="K707" s="0" t="inlineStr">
        <is>
          <t>~ 空表</t>
        </is>
      </c>
    </row>
    <row r="708">
      <c r="A708" s="0" t="inlineStr">
        <is>
          <t>info_varcharmax_dml_single_pk_irp</t>
        </is>
      </c>
      <c r="K708" s="0" t="inlineStr">
        <is>
          <t>[0;34m info_varcharmax_dml_single_pk_irp [0m源备字段数相同，源端字段：3 	备端字段3</t>
        </is>
      </c>
      <c r="W708" s="0" t="inlineStr">
        <is>
          <t>YES 源备无差异</t>
        </is>
      </c>
      <c r="X708" s="0">
        <f>A708</f>
        <v/>
      </c>
    </row>
    <row r="709">
      <c r="B709" s="0" t="inlineStr">
        <is>
          <t>YES</t>
        </is>
      </c>
      <c r="C709" s="0" t="inlineStr">
        <is>
          <t>NULL</t>
        </is>
      </c>
      <c r="D709" s="0" t="inlineStr">
        <is>
          <t>NULL</t>
        </is>
      </c>
      <c r="E709" s="0" t="inlineStr">
        <is>
          <t>NULL</t>
        </is>
      </c>
      <c r="F709" s="0" t="inlineStr">
        <is>
          <t>NULL</t>
        </is>
      </c>
      <c r="G709" s="0" t="inlineStr">
        <is>
          <t>NULL</t>
        </is>
      </c>
      <c r="H709" s="0" t="inlineStr">
        <is>
          <t>NULL</t>
        </is>
      </c>
      <c r="I709" s="0" t="inlineStr">
        <is>
          <t>YES!PK__info_var__3213E83F850C6496</t>
        </is>
      </c>
      <c r="J709" s="0" t="inlineStr">
        <is>
          <t>YES! 主键相关索引</t>
        </is>
      </c>
      <c r="K709" s="0" t="inlineStr">
        <is>
          <t>YES! 	 id列源备映射正确，源端为int None位	期望更改为int	实际备端为int None位</t>
        </is>
      </c>
    </row>
    <row r="710">
      <c r="B710" s="0" t="inlineStr">
        <is>
          <t>NULL</t>
        </is>
      </c>
      <c r="C710" s="0" t="inlineStr">
        <is>
          <t>NULL</t>
        </is>
      </c>
      <c r="D710" s="0" t="inlineStr">
        <is>
          <t>NULL</t>
        </is>
      </c>
      <c r="E710" s="0" t="inlineStr">
        <is>
          <t>NULL</t>
        </is>
      </c>
      <c r="F710" s="0" t="inlineStr">
        <is>
          <t>NULL</t>
        </is>
      </c>
      <c r="G710" s="0" t="inlineStr">
        <is>
          <t>NULL</t>
        </is>
      </c>
      <c r="H710" s="0" t="inlineStr">
        <is>
          <t>NULL</t>
        </is>
      </c>
      <c r="I710" s="0" t="inlineStr">
        <is>
          <t>NULL</t>
        </is>
      </c>
      <c r="J710" s="0" t="inlineStr">
        <is>
          <t>NULL</t>
        </is>
      </c>
      <c r="K710" s="0" t="inlineStr">
        <is>
          <t>YES! 	 c_varchar_max列源备映射正确，源端为varchar -1位	期望更改为varchar(n)	实际备端为varchar -1位</t>
        </is>
      </c>
    </row>
    <row r="711">
      <c r="B711" s="0" t="inlineStr">
        <is>
          <t>NULL</t>
        </is>
      </c>
      <c r="C711" s="0" t="inlineStr">
        <is>
          <t>NULL</t>
        </is>
      </c>
      <c r="D711" s="0" t="inlineStr">
        <is>
          <t>NULL</t>
        </is>
      </c>
      <c r="E711" s="0" t="inlineStr">
        <is>
          <t>NULL</t>
        </is>
      </c>
      <c r="F711" s="0" t="inlineStr">
        <is>
          <t>NULL</t>
        </is>
      </c>
      <c r="G711" s="0" t="inlineStr">
        <is>
          <t>NULL</t>
        </is>
      </c>
      <c r="H711" s="0" t="inlineStr">
        <is>
          <t>NULL</t>
        </is>
      </c>
      <c r="I711" s="0" t="inlineStr">
        <is>
          <t>NULL</t>
        </is>
      </c>
      <c r="J711" s="0" t="inlineStr">
        <is>
          <t>NULL</t>
        </is>
      </c>
      <c r="K711" s="0" t="inlineStr">
        <is>
          <t>YES! 	 c_nvarchar_max列源备映射正确，源端为nvarchar -1位	期望更改为nvarchar(n)	实际备端为nvarchar -1位</t>
        </is>
      </c>
    </row>
    <row r="712">
      <c r="A712" s="0" t="inlineStr">
        <is>
          <t>info_datetime_dml_batch1_pk_urp1</t>
        </is>
      </c>
      <c r="K712" s="0" t="inlineStr">
        <is>
          <t>[0;34m info_datetime_dml_batch1_pk_urp1 [0m源备字段数相同，源端字段：2 	备端字段2</t>
        </is>
      </c>
      <c r="W712" s="0" t="inlineStr">
        <is>
          <t>YES 源备无差异</t>
        </is>
      </c>
      <c r="X712" s="0">
        <f>A712</f>
        <v/>
      </c>
    </row>
    <row r="713">
      <c r="B713" s="0" t="inlineStr">
        <is>
          <t>YES</t>
        </is>
      </c>
      <c r="C713" s="0" t="inlineStr">
        <is>
          <t>NULL</t>
        </is>
      </c>
      <c r="D713" s="0" t="inlineStr">
        <is>
          <t>NULL</t>
        </is>
      </c>
      <c r="E713" s="0" t="inlineStr">
        <is>
          <t>NULL</t>
        </is>
      </c>
      <c r="F713" s="0" t="inlineStr">
        <is>
          <t>NULL</t>
        </is>
      </c>
      <c r="G713" s="0" t="inlineStr">
        <is>
          <t>NULL</t>
        </is>
      </c>
      <c r="H713" s="0" t="inlineStr">
        <is>
          <t>NULL</t>
        </is>
      </c>
      <c r="I713" s="0" t="inlineStr">
        <is>
          <t>YES!PK__info_dat__3213E83FFC5CACE2</t>
        </is>
      </c>
      <c r="J713" s="0" t="inlineStr">
        <is>
          <t>YES! 主键相关索引</t>
        </is>
      </c>
      <c r="K713" s="0" t="inlineStr">
        <is>
          <t>YES! 	 id列源备映射正确，源端为int None位	期望更改为int	实际备端为int None位</t>
        </is>
      </c>
    </row>
    <row r="714">
      <c r="B714" s="0" t="inlineStr">
        <is>
          <t>NULL</t>
        </is>
      </c>
      <c r="C714" s="0" t="inlineStr">
        <is>
          <t>NULL</t>
        </is>
      </c>
      <c r="D714" s="0" t="inlineStr">
        <is>
          <t>NULL</t>
        </is>
      </c>
      <c r="E714" s="0" t="inlineStr">
        <is>
          <t>NULL</t>
        </is>
      </c>
      <c r="F714" s="0" t="inlineStr">
        <is>
          <t>NULL</t>
        </is>
      </c>
      <c r="G714" s="0" t="inlineStr">
        <is>
          <t>NULL</t>
        </is>
      </c>
      <c r="H714" s="0" t="inlineStr">
        <is>
          <t>NULL</t>
        </is>
      </c>
      <c r="I714" s="0" t="inlineStr">
        <is>
          <t>NULL</t>
        </is>
      </c>
      <c r="J714" s="0" t="inlineStr">
        <is>
          <t>NULL</t>
        </is>
      </c>
      <c r="K714" s="0" t="inlineStr">
        <is>
          <t>YES! 	 c_datetime列源备映射正确，源端为datetime None位	期望更改为datetime	实际备端为datetime None位</t>
        </is>
      </c>
    </row>
    <row r="715">
      <c r="A715" s="0" t="inlineStr">
        <is>
          <t>info_date_dml_single_pk_irp</t>
        </is>
      </c>
      <c r="K715" s="0" t="inlineStr">
        <is>
          <t>[0;34m info_date_dml_single_pk_irp [0m源备字段数相同，源端字段：2 	备端字段2</t>
        </is>
      </c>
      <c r="W715" s="0" t="inlineStr">
        <is>
          <t>YES 源备无差异</t>
        </is>
      </c>
      <c r="X715" s="0">
        <f>A715</f>
        <v/>
      </c>
    </row>
    <row r="716">
      <c r="B716" s="0" t="inlineStr">
        <is>
          <t>YES</t>
        </is>
      </c>
      <c r="C716" s="0" t="inlineStr">
        <is>
          <t>NULL</t>
        </is>
      </c>
      <c r="D716" s="0" t="inlineStr">
        <is>
          <t>NULL</t>
        </is>
      </c>
      <c r="E716" s="0" t="inlineStr">
        <is>
          <t>NULL</t>
        </is>
      </c>
      <c r="F716" s="0" t="inlineStr">
        <is>
          <t>NULL</t>
        </is>
      </c>
      <c r="G716" s="0" t="inlineStr">
        <is>
          <t>NULL</t>
        </is>
      </c>
      <c r="H716" s="0" t="inlineStr">
        <is>
          <t>NULL</t>
        </is>
      </c>
      <c r="I716" s="0" t="inlineStr">
        <is>
          <t>YES!PK__info_dat__3213E83FA4D0597A</t>
        </is>
      </c>
      <c r="J716" s="0" t="inlineStr">
        <is>
          <t>YES! 主键相关索引</t>
        </is>
      </c>
      <c r="K716" s="0" t="inlineStr">
        <is>
          <t>YES! 	 id列源备映射正确，源端为int None位	期望更改为int	实际备端为int None位</t>
        </is>
      </c>
    </row>
    <row r="717">
      <c r="B717" s="0" t="inlineStr">
        <is>
          <t>NULL</t>
        </is>
      </c>
      <c r="C717" s="0" t="inlineStr">
        <is>
          <t>NULL</t>
        </is>
      </c>
      <c r="D717" s="0" t="inlineStr">
        <is>
          <t>NULL</t>
        </is>
      </c>
      <c r="E717" s="0" t="inlineStr">
        <is>
          <t>NULL</t>
        </is>
      </c>
      <c r="F717" s="0" t="inlineStr">
        <is>
          <t>NULL</t>
        </is>
      </c>
      <c r="G717" s="0" t="inlineStr">
        <is>
          <t>NULL</t>
        </is>
      </c>
      <c r="H717" s="0" t="inlineStr">
        <is>
          <t>NULL</t>
        </is>
      </c>
      <c r="I717" s="0" t="inlineStr">
        <is>
          <t>NULL</t>
        </is>
      </c>
      <c r="J717" s="0" t="inlineStr">
        <is>
          <t>NULL</t>
        </is>
      </c>
      <c r="K717" s="0" t="inlineStr">
        <is>
          <t>YES! 	 c_date列源备映射正确，源端为date None位	期望更改为date	实际备端为date None位</t>
        </is>
      </c>
    </row>
    <row r="718">
      <c r="A718" s="0" t="inlineStr">
        <is>
          <t>info_nchar_dml_batch1_pk_irp1</t>
        </is>
      </c>
      <c r="K718" s="0" t="inlineStr">
        <is>
          <t>[0;34m info_nchar_dml_batch1_pk_irp1 [0m源备字段数相同，源端字段：4 	备端字段4</t>
        </is>
      </c>
      <c r="W718" s="0" t="inlineStr">
        <is>
          <t>YES 源备无差异</t>
        </is>
      </c>
      <c r="X718" s="0">
        <f>A718</f>
        <v/>
      </c>
    </row>
    <row r="719">
      <c r="B719" s="0" t="inlineStr">
        <is>
          <t>YES</t>
        </is>
      </c>
      <c r="C719" s="0" t="inlineStr">
        <is>
          <t>NULL</t>
        </is>
      </c>
      <c r="D719" s="0" t="inlineStr">
        <is>
          <t>NULL</t>
        </is>
      </c>
      <c r="E719" s="0" t="inlineStr">
        <is>
          <t>NULL</t>
        </is>
      </c>
      <c r="F719" s="0" t="inlineStr">
        <is>
          <t>NULL</t>
        </is>
      </c>
      <c r="G719" s="0" t="inlineStr">
        <is>
          <t>NULL</t>
        </is>
      </c>
      <c r="H719" s="0" t="inlineStr">
        <is>
          <t>NULL</t>
        </is>
      </c>
      <c r="I719" s="0" t="inlineStr">
        <is>
          <t>YES!PK__info_nch__3213E83F3F983448</t>
        </is>
      </c>
      <c r="J719" s="0" t="inlineStr">
        <is>
          <t>YES! 主键相关索引</t>
        </is>
      </c>
      <c r="K719" s="0" t="inlineStr">
        <is>
          <t>YES! 	 id列源备映射正确，源端为int None位	期望更改为int	实际备端为int None位</t>
        </is>
      </c>
    </row>
    <row r="720">
      <c r="B720" s="0" t="inlineStr">
        <is>
          <t>NULL</t>
        </is>
      </c>
      <c r="C720" s="0" t="inlineStr">
        <is>
          <t>NULL</t>
        </is>
      </c>
      <c r="D720" s="0" t="inlineStr">
        <is>
          <t>NULL</t>
        </is>
      </c>
      <c r="E720" s="0" t="inlineStr">
        <is>
          <t>NULL</t>
        </is>
      </c>
      <c r="F720" s="0" t="inlineStr">
        <is>
          <t>NULL</t>
        </is>
      </c>
      <c r="G720" s="0" t="inlineStr">
        <is>
          <t>NULL</t>
        </is>
      </c>
      <c r="H720" s="0" t="inlineStr">
        <is>
          <t>NULL</t>
        </is>
      </c>
      <c r="I720" s="0" t="inlineStr">
        <is>
          <t>NULL</t>
        </is>
      </c>
      <c r="J720" s="0" t="inlineStr">
        <is>
          <t>NULL</t>
        </is>
      </c>
      <c r="K720" s="0" t="inlineStr">
        <is>
          <t>YES! 	 c_nchar列源备映射正确，源端为nchar 2位	期望更改为nchar(n)	实际备端为nchar 2位</t>
        </is>
      </c>
    </row>
    <row r="721">
      <c r="B721" s="0" t="inlineStr">
        <is>
          <t>NULL</t>
        </is>
      </c>
      <c r="C721" s="0" t="inlineStr">
        <is>
          <t>NULL</t>
        </is>
      </c>
      <c r="D721" s="0" t="inlineStr">
        <is>
          <t>NULL</t>
        </is>
      </c>
      <c r="E721" s="0" t="inlineStr">
        <is>
          <t>NULL</t>
        </is>
      </c>
      <c r="F721" s="0" t="inlineStr">
        <is>
          <t>NULL</t>
        </is>
      </c>
      <c r="G721" s="0" t="inlineStr">
        <is>
          <t>NULL</t>
        </is>
      </c>
      <c r="H721" s="0" t="inlineStr">
        <is>
          <t>NULL</t>
        </is>
      </c>
      <c r="I721" s="0" t="inlineStr">
        <is>
          <t>NULL</t>
        </is>
      </c>
      <c r="J721" s="0" t="inlineStr">
        <is>
          <t>NULL</t>
        </is>
      </c>
      <c r="K721" s="0" t="inlineStr">
        <is>
          <t>YES! 	 c_nchar20列源备映射正确，源端为nchar 40位	期望更改为nchar(n)	实际备端为nchar 40位</t>
        </is>
      </c>
    </row>
    <row r="722">
      <c r="B722" s="0" t="inlineStr">
        <is>
          <t>NULL</t>
        </is>
      </c>
      <c r="C722" s="0" t="inlineStr">
        <is>
          <t>NULL</t>
        </is>
      </c>
      <c r="D722" s="0" t="inlineStr">
        <is>
          <t>NULL</t>
        </is>
      </c>
      <c r="E722" s="0" t="inlineStr">
        <is>
          <t>NULL</t>
        </is>
      </c>
      <c r="F722" s="0" t="inlineStr">
        <is>
          <t>NULL</t>
        </is>
      </c>
      <c r="G722" s="0" t="inlineStr">
        <is>
          <t>NULL</t>
        </is>
      </c>
      <c r="H722" s="0" t="inlineStr">
        <is>
          <t>NULL</t>
        </is>
      </c>
      <c r="I722" s="0" t="inlineStr">
        <is>
          <t>NULL</t>
        </is>
      </c>
      <c r="J722" s="0" t="inlineStr">
        <is>
          <t>NULL</t>
        </is>
      </c>
      <c r="K722" s="0" t="inlineStr">
        <is>
          <t>YES! 	 c_nchar4000列源备映射正确，源端为nchar 8000位	期望更改为nchar(n)	实际备端为nchar 8000位</t>
        </is>
      </c>
    </row>
    <row r="723">
      <c r="A723" s="0" t="inlineStr">
        <is>
          <t>info_varcharmax_dml_single_pk_urp</t>
        </is>
      </c>
      <c r="K723" s="0" t="inlineStr">
        <is>
          <t>[0;34m info_varcharmax_dml_single_pk_urp [0m源备字段数相同，源端字段：3 	备端字段3</t>
        </is>
      </c>
      <c r="W723" s="0" t="inlineStr">
        <is>
          <t>YES 源备无差异</t>
        </is>
      </c>
      <c r="X723" s="0">
        <f>A723</f>
        <v/>
      </c>
    </row>
    <row r="724">
      <c r="B724" s="0" t="inlineStr">
        <is>
          <t>YES</t>
        </is>
      </c>
      <c r="C724" s="0" t="inlineStr">
        <is>
          <t>NULL</t>
        </is>
      </c>
      <c r="D724" s="0" t="inlineStr">
        <is>
          <t>NULL</t>
        </is>
      </c>
      <c r="E724" s="0" t="inlineStr">
        <is>
          <t>NULL</t>
        </is>
      </c>
      <c r="F724" s="0" t="inlineStr">
        <is>
          <t>NULL</t>
        </is>
      </c>
      <c r="G724" s="0" t="inlineStr">
        <is>
          <t>NULL</t>
        </is>
      </c>
      <c r="H724" s="0" t="inlineStr">
        <is>
          <t>NULL</t>
        </is>
      </c>
      <c r="I724" s="0" t="inlineStr">
        <is>
          <t>YES!PK__info_var__3213E83FDD33FE7B</t>
        </is>
      </c>
      <c r="J724" s="0" t="inlineStr">
        <is>
          <t>YES! 主键相关索引</t>
        </is>
      </c>
      <c r="K724" s="0" t="inlineStr">
        <is>
          <t>YES! 	 id列源备映射正确，源端为int None位	期望更改为int	实际备端为int None位</t>
        </is>
      </c>
    </row>
    <row r="725">
      <c r="B725" s="0" t="inlineStr">
        <is>
          <t>NULL</t>
        </is>
      </c>
      <c r="C725" s="0" t="inlineStr">
        <is>
          <t>NULL</t>
        </is>
      </c>
      <c r="D725" s="0" t="inlineStr">
        <is>
          <t>NULL</t>
        </is>
      </c>
      <c r="E725" s="0" t="inlineStr">
        <is>
          <t>NULL</t>
        </is>
      </c>
      <c r="F725" s="0" t="inlineStr">
        <is>
          <t>NULL</t>
        </is>
      </c>
      <c r="G725" s="0" t="inlineStr">
        <is>
          <t>NULL</t>
        </is>
      </c>
      <c r="H725" s="0" t="inlineStr">
        <is>
          <t>NULL</t>
        </is>
      </c>
      <c r="I725" s="0" t="inlineStr">
        <is>
          <t>NULL</t>
        </is>
      </c>
      <c r="J725" s="0" t="inlineStr">
        <is>
          <t>NULL</t>
        </is>
      </c>
      <c r="K725" s="0" t="inlineStr">
        <is>
          <t>YES! 	 c_varchar_max列源备映射正确，源端为varchar -1位	期望更改为varchar(n)	实际备端为varchar -1位</t>
        </is>
      </c>
    </row>
    <row r="726">
      <c r="B726" s="0" t="inlineStr">
        <is>
          <t>NULL</t>
        </is>
      </c>
      <c r="C726" s="0" t="inlineStr">
        <is>
          <t>NULL</t>
        </is>
      </c>
      <c r="D726" s="0" t="inlineStr">
        <is>
          <t>NULL</t>
        </is>
      </c>
      <c r="E726" s="0" t="inlineStr">
        <is>
          <t>NULL</t>
        </is>
      </c>
      <c r="F726" s="0" t="inlineStr">
        <is>
          <t>NULL</t>
        </is>
      </c>
      <c r="G726" s="0" t="inlineStr">
        <is>
          <t>NULL</t>
        </is>
      </c>
      <c r="H726" s="0" t="inlineStr">
        <is>
          <t>NULL</t>
        </is>
      </c>
      <c r="I726" s="0" t="inlineStr">
        <is>
          <t>NULL</t>
        </is>
      </c>
      <c r="J726" s="0" t="inlineStr">
        <is>
          <t>NULL</t>
        </is>
      </c>
      <c r="K726" s="0" t="inlineStr">
        <is>
          <t>YES! 	 c_nvarchar_max列源备映射正确，源端为nvarchar -1位	期望更改为nvarchar(n)	实际备端为nvarchar -1位</t>
        </is>
      </c>
    </row>
    <row r="727">
      <c r="A727" s="0" t="inlineStr">
        <is>
          <t>info_datetime_dml_batch1_pk_urp2</t>
        </is>
      </c>
      <c r="K727" s="0" t="inlineStr">
        <is>
          <t>[0;34m info_datetime_dml_batch1_pk_urp2 [0m源备字段数相同，源端字段：2 	备端字段2</t>
        </is>
      </c>
      <c r="W727" s="0" t="inlineStr">
        <is>
          <t>YES 源备无差异</t>
        </is>
      </c>
      <c r="X727" s="0">
        <f>A727</f>
        <v/>
      </c>
    </row>
    <row r="728">
      <c r="B728" s="0" t="inlineStr">
        <is>
          <t>YES</t>
        </is>
      </c>
      <c r="C728" s="0" t="inlineStr">
        <is>
          <t>NULL</t>
        </is>
      </c>
      <c r="D728" s="0" t="inlineStr">
        <is>
          <t>NULL</t>
        </is>
      </c>
      <c r="E728" s="0" t="inlineStr">
        <is>
          <t>NULL</t>
        </is>
      </c>
      <c r="F728" s="0" t="inlineStr">
        <is>
          <t>NULL</t>
        </is>
      </c>
      <c r="G728" s="0" t="inlineStr">
        <is>
          <t>NULL</t>
        </is>
      </c>
      <c r="H728" s="0" t="inlineStr">
        <is>
          <t>NULL</t>
        </is>
      </c>
      <c r="I728" s="0" t="inlineStr">
        <is>
          <t>YES!PK__info_dat__3213E83F3FB40563</t>
        </is>
      </c>
      <c r="J728" s="0" t="inlineStr">
        <is>
          <t>YES! 主键相关索引</t>
        </is>
      </c>
      <c r="K728" s="0" t="inlineStr">
        <is>
          <t>YES! 	 id列源备映射正确，源端为int None位	期望更改为int	实际备端为int None位</t>
        </is>
      </c>
    </row>
    <row r="729">
      <c r="B729" s="0" t="inlineStr">
        <is>
          <t>NULL</t>
        </is>
      </c>
      <c r="C729" s="0" t="inlineStr">
        <is>
          <t>NULL</t>
        </is>
      </c>
      <c r="D729" s="0" t="inlineStr">
        <is>
          <t>NULL</t>
        </is>
      </c>
      <c r="E729" s="0" t="inlineStr">
        <is>
          <t>NULL</t>
        </is>
      </c>
      <c r="F729" s="0" t="inlineStr">
        <is>
          <t>NULL</t>
        </is>
      </c>
      <c r="G729" s="0" t="inlineStr">
        <is>
          <t>NULL</t>
        </is>
      </c>
      <c r="H729" s="0" t="inlineStr">
        <is>
          <t>NULL</t>
        </is>
      </c>
      <c r="I729" s="0" t="inlineStr">
        <is>
          <t>NULL</t>
        </is>
      </c>
      <c r="J729" s="0" t="inlineStr">
        <is>
          <t>NULL</t>
        </is>
      </c>
      <c r="K729" s="0" t="inlineStr">
        <is>
          <t>YES! 	 c_datetime列源备映射正确，源端为datetime None位	期望更改为datetime	实际备端为datetime None位</t>
        </is>
      </c>
    </row>
    <row r="730">
      <c r="A730" s="0" t="inlineStr">
        <is>
          <t>info_nvarchar_dml_single_nopk</t>
        </is>
      </c>
      <c r="K730" s="0" t="inlineStr">
        <is>
          <t>[0;34m info_nvarchar_dml_single_nopk [0m源备字段数相同，源端字段：4 	备端字段4</t>
        </is>
      </c>
      <c r="W730" s="0" t="inlineStr">
        <is>
          <t>YES 源备无差异</t>
        </is>
      </c>
      <c r="X730" s="0">
        <f>A730</f>
        <v/>
      </c>
    </row>
    <row r="731">
      <c r="B731" s="0" t="inlineStr">
        <is>
          <t>NULL</t>
        </is>
      </c>
      <c r="C731" s="0" t="inlineStr">
        <is>
          <t>NULL</t>
        </is>
      </c>
      <c r="D731" s="0" t="inlineStr">
        <is>
          <t>NULL</t>
        </is>
      </c>
      <c r="E731" s="0" t="inlineStr">
        <is>
          <t>NULL</t>
        </is>
      </c>
      <c r="F731" s="0" t="inlineStr">
        <is>
          <t>NULL</t>
        </is>
      </c>
      <c r="G731" s="0" t="inlineStr">
        <is>
          <t>NULL</t>
        </is>
      </c>
      <c r="H731" s="0" t="inlineStr">
        <is>
          <t>NULL</t>
        </is>
      </c>
      <c r="I731" s="0" t="inlineStr">
        <is>
          <t>NULL</t>
        </is>
      </c>
      <c r="J731" s="0" t="inlineStr">
        <is>
          <t>NULL</t>
        </is>
      </c>
      <c r="K731" s="0" t="inlineStr">
        <is>
          <t>YES! 	 id列源备映射正确，源端为int None位	期望更改为int	实际备端为int None位</t>
        </is>
      </c>
    </row>
    <row r="732">
      <c r="B732" s="0" t="inlineStr">
        <is>
          <t>NULL</t>
        </is>
      </c>
      <c r="C732" s="0" t="inlineStr">
        <is>
          <t>NULL</t>
        </is>
      </c>
      <c r="D732" s="0" t="inlineStr">
        <is>
          <t>NULL</t>
        </is>
      </c>
      <c r="E732" s="0" t="inlineStr">
        <is>
          <t>NULL</t>
        </is>
      </c>
      <c r="F732" s="0" t="inlineStr">
        <is>
          <t>NULL</t>
        </is>
      </c>
      <c r="G732" s="0" t="inlineStr">
        <is>
          <t>NULL</t>
        </is>
      </c>
      <c r="H732" s="0" t="inlineStr">
        <is>
          <t>NULL</t>
        </is>
      </c>
      <c r="I732" s="0" t="inlineStr">
        <is>
          <t>NULL</t>
        </is>
      </c>
      <c r="J732" s="0" t="inlineStr">
        <is>
          <t>NULL</t>
        </is>
      </c>
      <c r="K732" s="0" t="inlineStr">
        <is>
          <t>YES! 	 c_nvarchar列源备映射正确，源端为nvarchar 2位	期望更改为nvarchar(n)	实际备端为nvarchar 2位</t>
        </is>
      </c>
    </row>
    <row r="733">
      <c r="B733" s="0" t="inlineStr">
        <is>
          <t>NULL</t>
        </is>
      </c>
      <c r="C733" s="0" t="inlineStr">
        <is>
          <t>NULL</t>
        </is>
      </c>
      <c r="D733" s="0" t="inlineStr">
        <is>
          <t>NULL</t>
        </is>
      </c>
      <c r="E733" s="0" t="inlineStr">
        <is>
          <t>NULL</t>
        </is>
      </c>
      <c r="F733" s="0" t="inlineStr">
        <is>
          <t>NULL</t>
        </is>
      </c>
      <c r="G733" s="0" t="inlineStr">
        <is>
          <t>NULL</t>
        </is>
      </c>
      <c r="H733" s="0" t="inlineStr">
        <is>
          <t>NULL</t>
        </is>
      </c>
      <c r="I733" s="0" t="inlineStr">
        <is>
          <t>NULL</t>
        </is>
      </c>
      <c r="J733" s="0" t="inlineStr">
        <is>
          <t>NULL</t>
        </is>
      </c>
      <c r="K733" s="0" t="inlineStr">
        <is>
          <t>YES! 	 c_nvarchar20列源备映射正确，源端为nvarchar 40位	期望更改为nvarchar(n)	实际备端为nvarchar 40位</t>
        </is>
      </c>
    </row>
    <row r="734">
      <c r="B734" s="0" t="inlineStr">
        <is>
          <t>NULL</t>
        </is>
      </c>
      <c r="C734" s="0" t="inlineStr">
        <is>
          <t>NULL</t>
        </is>
      </c>
      <c r="D734" s="0" t="inlineStr">
        <is>
          <t>NULL</t>
        </is>
      </c>
      <c r="E734" s="0" t="inlineStr">
        <is>
          <t>NULL</t>
        </is>
      </c>
      <c r="F734" s="0" t="inlineStr">
        <is>
          <t>NULL</t>
        </is>
      </c>
      <c r="G734" s="0" t="inlineStr">
        <is>
          <t>NULL</t>
        </is>
      </c>
      <c r="H734" s="0" t="inlineStr">
        <is>
          <t>NULL</t>
        </is>
      </c>
      <c r="I734" s="0" t="inlineStr">
        <is>
          <t>NULL</t>
        </is>
      </c>
      <c r="J734" s="0" t="inlineStr">
        <is>
          <t>NULL</t>
        </is>
      </c>
      <c r="K734" s="0" t="inlineStr">
        <is>
          <t>YES! 	 c_nvarchar4000列源备映射正确，源端为nvarchar 8000位	期望更改为nvarchar(n)	实际备端为nvarchar 8000位</t>
        </is>
      </c>
    </row>
    <row r="735">
      <c r="A735" s="0" t="inlineStr">
        <is>
          <t>info_date_dml_single_pk_urp</t>
        </is>
      </c>
      <c r="K735" s="0" t="inlineStr">
        <is>
          <t>[0;34m info_date_dml_single_pk_urp [0m源备字段数相同，源端字段：2 	备端字段2</t>
        </is>
      </c>
      <c r="W735" s="0" t="inlineStr">
        <is>
          <t>YES 源备无差异</t>
        </is>
      </c>
      <c r="X735" s="0">
        <f>A735</f>
        <v/>
      </c>
    </row>
    <row r="736">
      <c r="B736" s="0" t="inlineStr">
        <is>
          <t>YES</t>
        </is>
      </c>
      <c r="C736" s="0" t="inlineStr">
        <is>
          <t>NULL</t>
        </is>
      </c>
      <c r="D736" s="0" t="inlineStr">
        <is>
          <t>NULL</t>
        </is>
      </c>
      <c r="E736" s="0" t="inlineStr">
        <is>
          <t>NULL</t>
        </is>
      </c>
      <c r="F736" s="0" t="inlineStr">
        <is>
          <t>NULL</t>
        </is>
      </c>
      <c r="G736" s="0" t="inlineStr">
        <is>
          <t>NULL</t>
        </is>
      </c>
      <c r="H736" s="0" t="inlineStr">
        <is>
          <t>NULL</t>
        </is>
      </c>
      <c r="I736" s="0" t="inlineStr">
        <is>
          <t>YES!PK__info_dat__3213E83F54C67E83</t>
        </is>
      </c>
      <c r="J736" s="0" t="inlineStr">
        <is>
          <t>YES! 主键相关索引</t>
        </is>
      </c>
      <c r="K736" s="0" t="inlineStr">
        <is>
          <t>YES! 	 id列源备映射正确，源端为int None位	期望更改为int	实际备端为int None位</t>
        </is>
      </c>
    </row>
    <row r="737">
      <c r="B737" s="0" t="inlineStr">
        <is>
          <t>NULL</t>
        </is>
      </c>
      <c r="C737" s="0" t="inlineStr">
        <is>
          <t>NULL</t>
        </is>
      </c>
      <c r="D737" s="0" t="inlineStr">
        <is>
          <t>NULL</t>
        </is>
      </c>
      <c r="E737" s="0" t="inlineStr">
        <is>
          <t>NULL</t>
        </is>
      </c>
      <c r="F737" s="0" t="inlineStr">
        <is>
          <t>NULL</t>
        </is>
      </c>
      <c r="G737" s="0" t="inlineStr">
        <is>
          <t>NULL</t>
        </is>
      </c>
      <c r="H737" s="0" t="inlineStr">
        <is>
          <t>NULL</t>
        </is>
      </c>
      <c r="I737" s="0" t="inlineStr">
        <is>
          <t>NULL</t>
        </is>
      </c>
      <c r="J737" s="0" t="inlineStr">
        <is>
          <t>NULL</t>
        </is>
      </c>
      <c r="K737" s="0" t="inlineStr">
        <is>
          <t>YES! 	 c_date列源备映射正确，源端为date None位	期望更改为date	实际备端为date None位</t>
        </is>
      </c>
    </row>
    <row r="738">
      <c r="A738" s="0" t="inlineStr">
        <is>
          <t>info_varcharmax_dml_single_pk_drp</t>
        </is>
      </c>
      <c r="K738" s="0" t="inlineStr">
        <is>
          <t>[0;34m info_varcharmax_dml_single_pk_drp [0m源备字段数相同，源端字段：3 	备端字段3</t>
        </is>
      </c>
      <c r="W738" s="0" t="inlineStr">
        <is>
          <t>YES 源备无差异</t>
        </is>
      </c>
      <c r="X738" s="0">
        <f>A738</f>
        <v/>
      </c>
    </row>
    <row r="739">
      <c r="B739" s="0" t="inlineStr">
        <is>
          <t>YES</t>
        </is>
      </c>
      <c r="C739" s="0" t="inlineStr">
        <is>
          <t>NULL</t>
        </is>
      </c>
      <c r="D739" s="0" t="inlineStr">
        <is>
          <t>NULL</t>
        </is>
      </c>
      <c r="E739" s="0" t="inlineStr">
        <is>
          <t>NULL</t>
        </is>
      </c>
      <c r="F739" s="0" t="inlineStr">
        <is>
          <t>NULL</t>
        </is>
      </c>
      <c r="G739" s="0" t="inlineStr">
        <is>
          <t>NULL</t>
        </is>
      </c>
      <c r="H739" s="0" t="inlineStr">
        <is>
          <t>NULL</t>
        </is>
      </c>
      <c r="I739" s="0" t="inlineStr">
        <is>
          <t>YES!PK__info_var__3213E83FA49B8609</t>
        </is>
      </c>
      <c r="J739" s="0" t="inlineStr">
        <is>
          <t>YES! 主键相关索引</t>
        </is>
      </c>
      <c r="K739" s="0" t="inlineStr">
        <is>
          <t>YES! 	 id列源备映射正确，源端为int None位	期望更改为int	实际备端为int None位</t>
        </is>
      </c>
    </row>
    <row r="740">
      <c r="B740" s="0" t="inlineStr">
        <is>
          <t>NULL</t>
        </is>
      </c>
      <c r="C740" s="0" t="inlineStr">
        <is>
          <t>NULL</t>
        </is>
      </c>
      <c r="D740" s="0" t="inlineStr">
        <is>
          <t>NULL</t>
        </is>
      </c>
      <c r="E740" s="0" t="inlineStr">
        <is>
          <t>NULL</t>
        </is>
      </c>
      <c r="F740" s="0" t="inlineStr">
        <is>
          <t>NULL</t>
        </is>
      </c>
      <c r="G740" s="0" t="inlineStr">
        <is>
          <t>NULL</t>
        </is>
      </c>
      <c r="H740" s="0" t="inlineStr">
        <is>
          <t>NULL</t>
        </is>
      </c>
      <c r="I740" s="0" t="inlineStr">
        <is>
          <t>NULL</t>
        </is>
      </c>
      <c r="J740" s="0" t="inlineStr">
        <is>
          <t>NULL</t>
        </is>
      </c>
      <c r="K740" s="0" t="inlineStr">
        <is>
          <t>YES! 	 c_varchar_max列源备映射正确，源端为varchar -1位	期望更改为varchar(n)	实际备端为varchar -1位</t>
        </is>
      </c>
    </row>
    <row r="741">
      <c r="B741" s="0" t="inlineStr">
        <is>
          <t>NULL</t>
        </is>
      </c>
      <c r="C741" s="0" t="inlineStr">
        <is>
          <t>NULL</t>
        </is>
      </c>
      <c r="D741" s="0" t="inlineStr">
        <is>
          <t>NULL</t>
        </is>
      </c>
      <c r="E741" s="0" t="inlineStr">
        <is>
          <t>NULL</t>
        </is>
      </c>
      <c r="F741" s="0" t="inlineStr">
        <is>
          <t>NULL</t>
        </is>
      </c>
      <c r="G741" s="0" t="inlineStr">
        <is>
          <t>NULL</t>
        </is>
      </c>
      <c r="H741" s="0" t="inlineStr">
        <is>
          <t>NULL</t>
        </is>
      </c>
      <c r="I741" s="0" t="inlineStr">
        <is>
          <t>NULL</t>
        </is>
      </c>
      <c r="J741" s="0" t="inlineStr">
        <is>
          <t>NULL</t>
        </is>
      </c>
      <c r="K741" s="0" t="inlineStr">
        <is>
          <t>YES! 	 c_nvarchar_max列源备映射正确，源端为nvarchar -1位	期望更改为nvarchar(n)	实际备端为nvarchar -1位</t>
        </is>
      </c>
    </row>
    <row r="742">
      <c r="A742" s="0" t="inlineStr">
        <is>
          <t>info_nchar_dml_batch1_pk_irp2</t>
        </is>
      </c>
      <c r="K742" s="0" t="inlineStr">
        <is>
          <t>[0;34m info_nchar_dml_batch1_pk_irp2 [0m源备字段数相同，源端字段：4 	备端字段4</t>
        </is>
      </c>
      <c r="W742" s="0" t="inlineStr">
        <is>
          <t>YES 源备无差异</t>
        </is>
      </c>
      <c r="X742" s="0">
        <f>A742</f>
        <v/>
      </c>
    </row>
    <row r="743">
      <c r="B743" s="0" t="inlineStr">
        <is>
          <t>YES</t>
        </is>
      </c>
      <c r="C743" s="0" t="inlineStr">
        <is>
          <t>NULL</t>
        </is>
      </c>
      <c r="D743" s="0" t="inlineStr">
        <is>
          <t>NULL</t>
        </is>
      </c>
      <c r="E743" s="0" t="inlineStr">
        <is>
          <t>NULL</t>
        </is>
      </c>
      <c r="F743" s="0" t="inlineStr">
        <is>
          <t>NULL</t>
        </is>
      </c>
      <c r="G743" s="0" t="inlineStr">
        <is>
          <t>NULL</t>
        </is>
      </c>
      <c r="H743" s="0" t="inlineStr">
        <is>
          <t>NULL</t>
        </is>
      </c>
      <c r="I743" s="0" t="inlineStr">
        <is>
          <t>YES!PK__info_nch__3213E83F8697A893</t>
        </is>
      </c>
      <c r="J743" s="0" t="inlineStr">
        <is>
          <t>YES! 主键相关索引</t>
        </is>
      </c>
      <c r="K743" s="0" t="inlineStr">
        <is>
          <t>YES! 	 id列源备映射正确，源端为int None位	期望更改为int	实际备端为int None位</t>
        </is>
      </c>
    </row>
    <row r="744">
      <c r="B744" s="0" t="inlineStr">
        <is>
          <t>NULL</t>
        </is>
      </c>
      <c r="C744" s="0" t="inlineStr">
        <is>
          <t>NULL</t>
        </is>
      </c>
      <c r="D744" s="0" t="inlineStr">
        <is>
          <t>NULL</t>
        </is>
      </c>
      <c r="E744" s="0" t="inlineStr">
        <is>
          <t>NULL</t>
        </is>
      </c>
      <c r="F744" s="0" t="inlineStr">
        <is>
          <t>NULL</t>
        </is>
      </c>
      <c r="G744" s="0" t="inlineStr">
        <is>
          <t>NULL</t>
        </is>
      </c>
      <c r="H744" s="0" t="inlineStr">
        <is>
          <t>NULL</t>
        </is>
      </c>
      <c r="I744" s="0" t="inlineStr">
        <is>
          <t>NULL</t>
        </is>
      </c>
      <c r="J744" s="0" t="inlineStr">
        <is>
          <t>NULL</t>
        </is>
      </c>
      <c r="K744" s="0" t="inlineStr">
        <is>
          <t>YES! 	 c_nchar列源备映射正确，源端为nchar 2位	期望更改为nchar(n)	实际备端为nchar 2位</t>
        </is>
      </c>
    </row>
    <row r="745">
      <c r="B745" s="0" t="inlineStr">
        <is>
          <t>NULL</t>
        </is>
      </c>
      <c r="C745" s="0" t="inlineStr">
        <is>
          <t>NULL</t>
        </is>
      </c>
      <c r="D745" s="0" t="inlineStr">
        <is>
          <t>NULL</t>
        </is>
      </c>
      <c r="E745" s="0" t="inlineStr">
        <is>
          <t>NULL</t>
        </is>
      </c>
      <c r="F745" s="0" t="inlineStr">
        <is>
          <t>NULL</t>
        </is>
      </c>
      <c r="G745" s="0" t="inlineStr">
        <is>
          <t>NULL</t>
        </is>
      </c>
      <c r="H745" s="0" t="inlineStr">
        <is>
          <t>NULL</t>
        </is>
      </c>
      <c r="I745" s="0" t="inlineStr">
        <is>
          <t>NULL</t>
        </is>
      </c>
      <c r="J745" s="0" t="inlineStr">
        <is>
          <t>NULL</t>
        </is>
      </c>
      <c r="K745" s="0" t="inlineStr">
        <is>
          <t>YES! 	 c_nchar20列源备映射正确，源端为nchar 40位	期望更改为nchar(n)	实际备端为nchar 40位</t>
        </is>
      </c>
    </row>
    <row r="746">
      <c r="B746" s="0" t="inlineStr">
        <is>
          <t>NULL</t>
        </is>
      </c>
      <c r="C746" s="0" t="inlineStr">
        <is>
          <t>NULL</t>
        </is>
      </c>
      <c r="D746" s="0" t="inlineStr">
        <is>
          <t>NULL</t>
        </is>
      </c>
      <c r="E746" s="0" t="inlineStr">
        <is>
          <t>NULL</t>
        </is>
      </c>
      <c r="F746" s="0" t="inlineStr">
        <is>
          <t>NULL</t>
        </is>
      </c>
      <c r="G746" s="0" t="inlineStr">
        <is>
          <t>NULL</t>
        </is>
      </c>
      <c r="H746" s="0" t="inlineStr">
        <is>
          <t>NULL</t>
        </is>
      </c>
      <c r="I746" s="0" t="inlineStr">
        <is>
          <t>NULL</t>
        </is>
      </c>
      <c r="J746" s="0" t="inlineStr">
        <is>
          <t>NULL</t>
        </is>
      </c>
      <c r="K746" s="0" t="inlineStr">
        <is>
          <t>YES! 	 c_nchar3500列源备映射正确，源端为nchar 7000位	期望更改为nchar(n)	实际备端为nchar 7000位</t>
        </is>
      </c>
    </row>
    <row r="747">
      <c r="A747" s="0" t="inlineStr">
        <is>
          <t>info_varcharmax_dml_single_nopk_irp</t>
        </is>
      </c>
      <c r="K747" s="0" t="inlineStr">
        <is>
          <t>[0;34m info_varcharmax_dml_single_nopk_irp [0m源备字段数相同，源端字段：3 	备端字段3</t>
        </is>
      </c>
      <c r="W747" s="0" t="inlineStr">
        <is>
          <t>YES 源备无差异</t>
        </is>
      </c>
      <c r="X747" s="0">
        <f>A747</f>
        <v/>
      </c>
    </row>
    <row r="748">
      <c r="B748" s="0" t="inlineStr">
        <is>
          <t>NULL</t>
        </is>
      </c>
      <c r="C748" s="0" t="inlineStr">
        <is>
          <t>NULL</t>
        </is>
      </c>
      <c r="D748" s="0" t="inlineStr">
        <is>
          <t>NULL</t>
        </is>
      </c>
      <c r="E748" s="0" t="inlineStr">
        <is>
          <t>NULL</t>
        </is>
      </c>
      <c r="F748" s="0" t="inlineStr">
        <is>
          <t>NULL</t>
        </is>
      </c>
      <c r="G748" s="0" t="inlineStr">
        <is>
          <t>NULL</t>
        </is>
      </c>
      <c r="H748" s="0" t="inlineStr">
        <is>
          <t>NULL</t>
        </is>
      </c>
      <c r="I748" s="0" t="inlineStr">
        <is>
          <t>NULL</t>
        </is>
      </c>
      <c r="J748" s="0" t="inlineStr">
        <is>
          <t>NULL</t>
        </is>
      </c>
      <c r="K748" s="0" t="inlineStr">
        <is>
          <t>YES! 	 id列源备映射正确，源端为int None位	期望更改为int	实际备端为int None位</t>
        </is>
      </c>
    </row>
    <row r="749">
      <c r="B749" s="0" t="inlineStr">
        <is>
          <t>NULL</t>
        </is>
      </c>
      <c r="C749" s="0" t="inlineStr">
        <is>
          <t>NULL</t>
        </is>
      </c>
      <c r="D749" s="0" t="inlineStr">
        <is>
          <t>NULL</t>
        </is>
      </c>
      <c r="E749" s="0" t="inlineStr">
        <is>
          <t>NULL</t>
        </is>
      </c>
      <c r="F749" s="0" t="inlineStr">
        <is>
          <t>NULL</t>
        </is>
      </c>
      <c r="G749" s="0" t="inlineStr">
        <is>
          <t>NULL</t>
        </is>
      </c>
      <c r="H749" s="0" t="inlineStr">
        <is>
          <t>NULL</t>
        </is>
      </c>
      <c r="I749" s="0" t="inlineStr">
        <is>
          <t>NULL</t>
        </is>
      </c>
      <c r="J749" s="0" t="inlineStr">
        <is>
          <t>NULL</t>
        </is>
      </c>
      <c r="K749" s="0" t="inlineStr">
        <is>
          <t>YES! 	 c_varchar_max列源备映射正确，源端为varchar -1位	期望更改为varchar(n)	实际备端为varchar -1位</t>
        </is>
      </c>
    </row>
    <row r="750">
      <c r="B750" s="0" t="inlineStr">
        <is>
          <t>NULL</t>
        </is>
      </c>
      <c r="C750" s="0" t="inlineStr">
        <is>
          <t>NULL</t>
        </is>
      </c>
      <c r="D750" s="0" t="inlineStr">
        <is>
          <t>NULL</t>
        </is>
      </c>
      <c r="E750" s="0" t="inlineStr">
        <is>
          <t>NULL</t>
        </is>
      </c>
      <c r="F750" s="0" t="inlineStr">
        <is>
          <t>NULL</t>
        </is>
      </c>
      <c r="G750" s="0" t="inlineStr">
        <is>
          <t>NULL</t>
        </is>
      </c>
      <c r="H750" s="0" t="inlineStr">
        <is>
          <t>NULL</t>
        </is>
      </c>
      <c r="I750" s="0" t="inlineStr">
        <is>
          <t>NULL</t>
        </is>
      </c>
      <c r="J750" s="0" t="inlineStr">
        <is>
          <t>NULL</t>
        </is>
      </c>
      <c r="K750" s="0" t="inlineStr">
        <is>
          <t>YES! 	 c_nvarchar_max列源备映射正确，源端为nvarchar -1位	期望更改为nvarchar(n)	实际备端为nvarchar -1位</t>
        </is>
      </c>
    </row>
    <row r="751">
      <c r="A751" s="0" t="inlineStr">
        <is>
          <t>info_datetime_dml_batch1_pk_drp1</t>
        </is>
      </c>
      <c r="K751" s="0" t="inlineStr">
        <is>
          <t>[0;34m info_datetime_dml_batch1_pk_drp1 [0m源备字段数相同，源端字段：2 	备端字段2</t>
        </is>
      </c>
      <c r="W751" s="0" t="inlineStr">
        <is>
          <t>YES 源备无差异</t>
        </is>
      </c>
      <c r="X751" s="0">
        <f>A751</f>
        <v/>
      </c>
    </row>
    <row r="752">
      <c r="B752" s="0" t="inlineStr">
        <is>
          <t>YES</t>
        </is>
      </c>
      <c r="C752" s="0" t="inlineStr">
        <is>
          <t>NULL</t>
        </is>
      </c>
      <c r="D752" s="0" t="inlineStr">
        <is>
          <t>NULL</t>
        </is>
      </c>
      <c r="E752" s="0" t="inlineStr">
        <is>
          <t>NULL</t>
        </is>
      </c>
      <c r="F752" s="0" t="inlineStr">
        <is>
          <t>NULL</t>
        </is>
      </c>
      <c r="G752" s="0" t="inlineStr">
        <is>
          <t>NULL</t>
        </is>
      </c>
      <c r="H752" s="0" t="inlineStr">
        <is>
          <t>NULL</t>
        </is>
      </c>
      <c r="I752" s="0" t="inlineStr">
        <is>
          <t>YES!PK__info_dat__3213E83F32B4DE99</t>
        </is>
      </c>
      <c r="J752" s="0" t="inlineStr">
        <is>
          <t>YES! 主键相关索引</t>
        </is>
      </c>
      <c r="K752" s="0" t="inlineStr">
        <is>
          <t>YES! 	 id列源备映射正确，源端为int None位	期望更改为int	实际备端为int None位</t>
        </is>
      </c>
    </row>
    <row r="753">
      <c r="B753" s="0" t="inlineStr">
        <is>
          <t>NULL</t>
        </is>
      </c>
      <c r="C753" s="0" t="inlineStr">
        <is>
          <t>NULL</t>
        </is>
      </c>
      <c r="D753" s="0" t="inlineStr">
        <is>
          <t>NULL</t>
        </is>
      </c>
      <c r="E753" s="0" t="inlineStr">
        <is>
          <t>NULL</t>
        </is>
      </c>
      <c r="F753" s="0" t="inlineStr">
        <is>
          <t>NULL</t>
        </is>
      </c>
      <c r="G753" s="0" t="inlineStr">
        <is>
          <t>NULL</t>
        </is>
      </c>
      <c r="H753" s="0" t="inlineStr">
        <is>
          <t>NULL</t>
        </is>
      </c>
      <c r="I753" s="0" t="inlineStr">
        <is>
          <t>NULL</t>
        </is>
      </c>
      <c r="J753" s="0" t="inlineStr">
        <is>
          <t>NULL</t>
        </is>
      </c>
      <c r="K753" s="0" t="inlineStr">
        <is>
          <t>YES! 	 c_datetime列源备映射正确，源端为datetime None位	期望更改为datetime	实际备端为datetime None位</t>
        </is>
      </c>
    </row>
    <row r="754">
      <c r="K754" s="0" t="inlineStr">
        <is>
          <t>~ 空表</t>
        </is>
      </c>
    </row>
    <row r="755">
      <c r="A755" s="0" t="inlineStr">
        <is>
          <t>info_sql_variant_dml_single_nopk_irp</t>
        </is>
      </c>
      <c r="K755" s="0" t="inlineStr">
        <is>
          <t>[0;34m info_sql_variant_dml_single_nopk_irp [0m源备字段数相同，源端字段：25 	备端字段25</t>
        </is>
      </c>
      <c r="W755" s="0" t="inlineStr">
        <is>
          <t>YES 源备无差异</t>
        </is>
      </c>
      <c r="X755" s="0">
        <f>A755</f>
        <v/>
      </c>
    </row>
    <row r="756">
      <c r="B756" s="0" t="inlineStr">
        <is>
          <t>NULL</t>
        </is>
      </c>
      <c r="C756" s="0" t="inlineStr">
        <is>
          <t>NULL</t>
        </is>
      </c>
      <c r="D756" s="0" t="inlineStr">
        <is>
          <t>NULL</t>
        </is>
      </c>
      <c r="E756" s="0" t="inlineStr">
        <is>
          <t>NULL</t>
        </is>
      </c>
      <c r="F756" s="0" t="inlineStr">
        <is>
          <t>NULL</t>
        </is>
      </c>
      <c r="G756" s="0" t="inlineStr">
        <is>
          <t>NULL</t>
        </is>
      </c>
      <c r="H756" s="0" t="inlineStr">
        <is>
          <t>NULL</t>
        </is>
      </c>
      <c r="I756" s="0" t="inlineStr">
        <is>
          <t>NULL</t>
        </is>
      </c>
      <c r="J756" s="0" t="inlineStr">
        <is>
          <t>NULL</t>
        </is>
      </c>
      <c r="K756" s="0" t="inlineStr">
        <is>
          <t>YES! 	 id列源备映射正确，源端为int None位	期望更改为int	实际备端为int None位</t>
        </is>
      </c>
    </row>
    <row r="757">
      <c r="B757" s="0" t="inlineStr">
        <is>
          <t>NULL</t>
        </is>
      </c>
      <c r="C757" s="0" t="inlineStr">
        <is>
          <t>NULL</t>
        </is>
      </c>
      <c r="D757" s="0" t="inlineStr">
        <is>
          <t>NULL</t>
        </is>
      </c>
      <c r="E757" s="0" t="inlineStr">
        <is>
          <t>NULL</t>
        </is>
      </c>
      <c r="F757" s="0" t="inlineStr">
        <is>
          <t>NULL</t>
        </is>
      </c>
      <c r="G757" s="0" t="inlineStr">
        <is>
          <t>NULL</t>
        </is>
      </c>
      <c r="H757" s="0" t="inlineStr">
        <is>
          <t>NULL</t>
        </is>
      </c>
      <c r="I757" s="0" t="inlineStr">
        <is>
          <t>NULL</t>
        </is>
      </c>
      <c r="J757" s="0" t="inlineStr">
        <is>
          <t>NULL</t>
        </is>
      </c>
      <c r="K757" s="0" t="inlineStr">
        <is>
          <t>YES! 	 c_date列源备映射正确，源端为sql_variant 0位	期望更改为sql_variant	实际备端为sql_variant 0位</t>
        </is>
      </c>
    </row>
    <row r="758">
      <c r="B758" s="0" t="inlineStr">
        <is>
          <t>NULL</t>
        </is>
      </c>
      <c r="C758" s="0" t="inlineStr">
        <is>
          <t>NULL</t>
        </is>
      </c>
      <c r="D758" s="0" t="inlineStr">
        <is>
          <t>NULL</t>
        </is>
      </c>
      <c r="E758" s="0" t="inlineStr">
        <is>
          <t>NULL</t>
        </is>
      </c>
      <c r="F758" s="0" t="inlineStr">
        <is>
          <t>NULL</t>
        </is>
      </c>
      <c r="G758" s="0" t="inlineStr">
        <is>
          <t>NULL</t>
        </is>
      </c>
      <c r="H758" s="0" t="inlineStr">
        <is>
          <t>NULL</t>
        </is>
      </c>
      <c r="I758" s="0" t="inlineStr">
        <is>
          <t>NULL</t>
        </is>
      </c>
      <c r="J758" s="0" t="inlineStr">
        <is>
          <t>NULL</t>
        </is>
      </c>
      <c r="K758" s="0" t="inlineStr">
        <is>
          <t>YES! 	 c_time列源备映射正确，源端为sql_variant 0位	期望更改为sql_variant	实际备端为sql_variant 0位</t>
        </is>
      </c>
    </row>
    <row r="759">
      <c r="B759" s="0" t="inlineStr">
        <is>
          <t>NULL</t>
        </is>
      </c>
      <c r="C759" s="0" t="inlineStr">
        <is>
          <t>NULL</t>
        </is>
      </c>
      <c r="D759" s="0" t="inlineStr">
        <is>
          <t>NULL</t>
        </is>
      </c>
      <c r="E759" s="0" t="inlineStr">
        <is>
          <t>NULL</t>
        </is>
      </c>
      <c r="F759" s="0" t="inlineStr">
        <is>
          <t>NULL</t>
        </is>
      </c>
      <c r="G759" s="0" t="inlineStr">
        <is>
          <t>NULL</t>
        </is>
      </c>
      <c r="H759" s="0" t="inlineStr">
        <is>
          <t>NULL</t>
        </is>
      </c>
      <c r="I759" s="0" t="inlineStr">
        <is>
          <t>NULL</t>
        </is>
      </c>
      <c r="J759" s="0" t="inlineStr">
        <is>
          <t>NULL</t>
        </is>
      </c>
      <c r="K759" s="0" t="inlineStr">
        <is>
          <t>YES! 	 c_datetime2列源备映射正确，源端为sql_variant 0位	期望更改为sql_variant	实际备端为sql_variant 0位</t>
        </is>
      </c>
    </row>
    <row r="760">
      <c r="B760" s="0" t="inlineStr">
        <is>
          <t>NULL</t>
        </is>
      </c>
      <c r="C760" s="0" t="inlineStr">
        <is>
          <t>NULL</t>
        </is>
      </c>
      <c r="D760" s="0" t="inlineStr">
        <is>
          <t>NULL</t>
        </is>
      </c>
      <c r="E760" s="0" t="inlineStr">
        <is>
          <t>NULL</t>
        </is>
      </c>
      <c r="F760" s="0" t="inlineStr">
        <is>
          <t>NULL</t>
        </is>
      </c>
      <c r="G760" s="0" t="inlineStr">
        <is>
          <t>NULL</t>
        </is>
      </c>
      <c r="H760" s="0" t="inlineStr">
        <is>
          <t>NULL</t>
        </is>
      </c>
      <c r="I760" s="0" t="inlineStr">
        <is>
          <t>NULL</t>
        </is>
      </c>
      <c r="J760" s="0" t="inlineStr">
        <is>
          <t>NULL</t>
        </is>
      </c>
      <c r="K760" s="0" t="inlineStr">
        <is>
          <t>YES! 	 c_datetimeoffset列源备映射正确，源端为sql_variant 0位	期望更改为sql_variant	实际备端为sql_variant 0位</t>
        </is>
      </c>
    </row>
    <row r="761">
      <c r="B761" s="0" t="inlineStr">
        <is>
          <t>NULL</t>
        </is>
      </c>
      <c r="C761" s="0" t="inlineStr">
        <is>
          <t>NULL</t>
        </is>
      </c>
      <c r="D761" s="0" t="inlineStr">
        <is>
          <t>NULL</t>
        </is>
      </c>
      <c r="E761" s="0" t="inlineStr">
        <is>
          <t>NULL</t>
        </is>
      </c>
      <c r="F761" s="0" t="inlineStr">
        <is>
          <t>NULL</t>
        </is>
      </c>
      <c r="G761" s="0" t="inlineStr">
        <is>
          <t>NULL</t>
        </is>
      </c>
      <c r="H761" s="0" t="inlineStr">
        <is>
          <t>NULL</t>
        </is>
      </c>
      <c r="I761" s="0" t="inlineStr">
        <is>
          <t>NULL</t>
        </is>
      </c>
      <c r="J761" s="0" t="inlineStr">
        <is>
          <t>NULL</t>
        </is>
      </c>
      <c r="K761" s="0" t="inlineStr">
        <is>
          <t>YES! 	 c_tinyint列源备映射正确，源端为sql_variant 0位	期望更改为sql_variant	实际备端为sql_variant 0位</t>
        </is>
      </c>
    </row>
    <row r="762">
      <c r="B762" s="0" t="inlineStr">
        <is>
          <t>NULL</t>
        </is>
      </c>
      <c r="C762" s="0" t="inlineStr">
        <is>
          <t>NULL</t>
        </is>
      </c>
      <c r="D762" s="0" t="inlineStr">
        <is>
          <t>NULL</t>
        </is>
      </c>
      <c r="E762" s="0" t="inlineStr">
        <is>
          <t>NULL</t>
        </is>
      </c>
      <c r="F762" s="0" t="inlineStr">
        <is>
          <t>NULL</t>
        </is>
      </c>
      <c r="G762" s="0" t="inlineStr">
        <is>
          <t>NULL</t>
        </is>
      </c>
      <c r="H762" s="0" t="inlineStr">
        <is>
          <t>NULL</t>
        </is>
      </c>
      <c r="I762" s="0" t="inlineStr">
        <is>
          <t>NULL</t>
        </is>
      </c>
      <c r="J762" s="0" t="inlineStr">
        <is>
          <t>NULL</t>
        </is>
      </c>
      <c r="K762" s="0" t="inlineStr">
        <is>
          <t>YES! 	 c_smallint列源备映射正确，源端为sql_variant 0位	期望更改为sql_variant	实际备端为sql_variant 0位</t>
        </is>
      </c>
    </row>
    <row r="763">
      <c r="B763" s="0" t="inlineStr">
        <is>
          <t>NULL</t>
        </is>
      </c>
      <c r="C763" s="0" t="inlineStr">
        <is>
          <t>NULL</t>
        </is>
      </c>
      <c r="D763" s="0" t="inlineStr">
        <is>
          <t>NULL</t>
        </is>
      </c>
      <c r="E763" s="0" t="inlineStr">
        <is>
          <t>NULL</t>
        </is>
      </c>
      <c r="F763" s="0" t="inlineStr">
        <is>
          <t>NULL</t>
        </is>
      </c>
      <c r="G763" s="0" t="inlineStr">
        <is>
          <t>NULL</t>
        </is>
      </c>
      <c r="H763" s="0" t="inlineStr">
        <is>
          <t>NULL</t>
        </is>
      </c>
      <c r="I763" s="0" t="inlineStr">
        <is>
          <t>NULL</t>
        </is>
      </c>
      <c r="J763" s="0" t="inlineStr">
        <is>
          <t>NULL</t>
        </is>
      </c>
      <c r="K763" s="0" t="inlineStr">
        <is>
          <t>YES! 	 c_int列源备映射正确，源端为sql_variant 0位	期望更改为sql_variant	实际备端为sql_variant 0位</t>
        </is>
      </c>
    </row>
    <row r="764">
      <c r="B764" s="0" t="inlineStr">
        <is>
          <t>NULL</t>
        </is>
      </c>
      <c r="C764" s="0" t="inlineStr">
        <is>
          <t>NULL</t>
        </is>
      </c>
      <c r="D764" s="0" t="inlineStr">
        <is>
          <t>NULL</t>
        </is>
      </c>
      <c r="E764" s="0" t="inlineStr">
        <is>
          <t>NULL</t>
        </is>
      </c>
      <c r="F764" s="0" t="inlineStr">
        <is>
          <t>NULL</t>
        </is>
      </c>
      <c r="G764" s="0" t="inlineStr">
        <is>
          <t>NULL</t>
        </is>
      </c>
      <c r="H764" s="0" t="inlineStr">
        <is>
          <t>NULL</t>
        </is>
      </c>
      <c r="I764" s="0" t="inlineStr">
        <is>
          <t>NULL</t>
        </is>
      </c>
      <c r="J764" s="0" t="inlineStr">
        <is>
          <t>NULL</t>
        </is>
      </c>
      <c r="K764" s="0" t="inlineStr">
        <is>
          <t>YES! 	 c_sdt列源备映射正确，源端为sql_variant 0位	期望更改为sql_variant	实际备端为sql_variant 0位</t>
        </is>
      </c>
    </row>
    <row r="765">
      <c r="B765" s="0" t="inlineStr">
        <is>
          <t>NULL</t>
        </is>
      </c>
      <c r="C765" s="0" t="inlineStr">
        <is>
          <t>NULL</t>
        </is>
      </c>
      <c r="D765" s="0" t="inlineStr">
        <is>
          <t>NULL</t>
        </is>
      </c>
      <c r="E765" s="0" t="inlineStr">
        <is>
          <t>NULL</t>
        </is>
      </c>
      <c r="F765" s="0" t="inlineStr">
        <is>
          <t>NULL</t>
        </is>
      </c>
      <c r="G765" s="0" t="inlineStr">
        <is>
          <t>NULL</t>
        </is>
      </c>
      <c r="H765" s="0" t="inlineStr">
        <is>
          <t>NULL</t>
        </is>
      </c>
      <c r="I765" s="0" t="inlineStr">
        <is>
          <t>NULL</t>
        </is>
      </c>
      <c r="J765" s="0" t="inlineStr">
        <is>
          <t>NULL</t>
        </is>
      </c>
      <c r="K765" s="0" t="inlineStr">
        <is>
          <t>YES! 	 c_real列源备映射正确，源端为sql_variant 0位	期望更改为sql_variant	实际备端为sql_variant 0位</t>
        </is>
      </c>
    </row>
    <row r="766">
      <c r="B766" s="0" t="inlineStr">
        <is>
          <t>NULL</t>
        </is>
      </c>
      <c r="C766" s="0" t="inlineStr">
        <is>
          <t>NULL</t>
        </is>
      </c>
      <c r="D766" s="0" t="inlineStr">
        <is>
          <t>NULL</t>
        </is>
      </c>
      <c r="E766" s="0" t="inlineStr">
        <is>
          <t>NULL</t>
        </is>
      </c>
      <c r="F766" s="0" t="inlineStr">
        <is>
          <t>NULL</t>
        </is>
      </c>
      <c r="G766" s="0" t="inlineStr">
        <is>
          <t>NULL</t>
        </is>
      </c>
      <c r="H766" s="0" t="inlineStr">
        <is>
          <t>NULL</t>
        </is>
      </c>
      <c r="I766" s="0" t="inlineStr">
        <is>
          <t>NULL</t>
        </is>
      </c>
      <c r="J766" s="0" t="inlineStr">
        <is>
          <t>NULL</t>
        </is>
      </c>
      <c r="K766" s="0" t="inlineStr">
        <is>
          <t>YES! 	 c_money列源备映射正确，源端为sql_variant 0位	期望更改为sql_variant	实际备端为sql_variant 0位</t>
        </is>
      </c>
    </row>
    <row r="767">
      <c r="B767" s="0" t="inlineStr">
        <is>
          <t>NULL</t>
        </is>
      </c>
      <c r="C767" s="0" t="inlineStr">
        <is>
          <t>NULL</t>
        </is>
      </c>
      <c r="D767" s="0" t="inlineStr">
        <is>
          <t>NULL</t>
        </is>
      </c>
      <c r="E767" s="0" t="inlineStr">
        <is>
          <t>NULL</t>
        </is>
      </c>
      <c r="F767" s="0" t="inlineStr">
        <is>
          <t>NULL</t>
        </is>
      </c>
      <c r="G767" s="0" t="inlineStr">
        <is>
          <t>NULL</t>
        </is>
      </c>
      <c r="H767" s="0" t="inlineStr">
        <is>
          <t>NULL</t>
        </is>
      </c>
      <c r="I767" s="0" t="inlineStr">
        <is>
          <t>NULL</t>
        </is>
      </c>
      <c r="J767" s="0" t="inlineStr">
        <is>
          <t>NULL</t>
        </is>
      </c>
      <c r="K767" s="0" t="inlineStr">
        <is>
          <t>YES! 	 c_datetime列源备映射正确，源端为sql_variant 0位	期望更改为sql_variant	实际备端为sql_variant 0位</t>
        </is>
      </c>
    </row>
    <row r="768">
      <c r="B768" s="0" t="inlineStr">
        <is>
          <t>NULL</t>
        </is>
      </c>
      <c r="C768" s="0" t="inlineStr">
        <is>
          <t>NULL</t>
        </is>
      </c>
      <c r="D768" s="0" t="inlineStr">
        <is>
          <t>NULL</t>
        </is>
      </c>
      <c r="E768" s="0" t="inlineStr">
        <is>
          <t>NULL</t>
        </is>
      </c>
      <c r="F768" s="0" t="inlineStr">
        <is>
          <t>NULL</t>
        </is>
      </c>
      <c r="G768" s="0" t="inlineStr">
        <is>
          <t>NULL</t>
        </is>
      </c>
      <c r="H768" s="0" t="inlineStr">
        <is>
          <t>NULL</t>
        </is>
      </c>
      <c r="I768" s="0" t="inlineStr">
        <is>
          <t>NULL</t>
        </is>
      </c>
      <c r="J768" s="0" t="inlineStr">
        <is>
          <t>NULL</t>
        </is>
      </c>
      <c r="K768" s="0" t="inlineStr">
        <is>
          <t>YES! 	 c_float列源备映射正确，源端为sql_variant 0位	期望更改为sql_variant	实际备端为sql_variant 0位</t>
        </is>
      </c>
    </row>
    <row r="769">
      <c r="B769" s="0" t="inlineStr">
        <is>
          <t>NULL</t>
        </is>
      </c>
      <c r="C769" s="0" t="inlineStr">
        <is>
          <t>NULL</t>
        </is>
      </c>
      <c r="D769" s="0" t="inlineStr">
        <is>
          <t>NULL</t>
        </is>
      </c>
      <c r="E769" s="0" t="inlineStr">
        <is>
          <t>NULL</t>
        </is>
      </c>
      <c r="F769" s="0" t="inlineStr">
        <is>
          <t>NULL</t>
        </is>
      </c>
      <c r="G769" s="0" t="inlineStr">
        <is>
          <t>NULL</t>
        </is>
      </c>
      <c r="H769" s="0" t="inlineStr">
        <is>
          <t>NULL</t>
        </is>
      </c>
      <c r="I769" s="0" t="inlineStr">
        <is>
          <t>NULL</t>
        </is>
      </c>
      <c r="J769" s="0" t="inlineStr">
        <is>
          <t>NULL</t>
        </is>
      </c>
      <c r="K769" s="0" t="inlineStr">
        <is>
          <t>YES! 	 c_bit列源备映射正确，源端为sql_variant 0位	期望更改为sql_variant	实际备端为sql_variant 0位</t>
        </is>
      </c>
    </row>
    <row r="770">
      <c r="B770" s="0" t="inlineStr">
        <is>
          <t>NULL</t>
        </is>
      </c>
      <c r="C770" s="0" t="inlineStr">
        <is>
          <t>NULL</t>
        </is>
      </c>
      <c r="D770" s="0" t="inlineStr">
        <is>
          <t>NULL</t>
        </is>
      </c>
      <c r="E770" s="0" t="inlineStr">
        <is>
          <t>NULL</t>
        </is>
      </c>
      <c r="F770" s="0" t="inlineStr">
        <is>
          <t>NULL</t>
        </is>
      </c>
      <c r="G770" s="0" t="inlineStr">
        <is>
          <t>NULL</t>
        </is>
      </c>
      <c r="H770" s="0" t="inlineStr">
        <is>
          <t>NULL</t>
        </is>
      </c>
      <c r="I770" s="0" t="inlineStr">
        <is>
          <t>NULL</t>
        </is>
      </c>
      <c r="J770" s="0" t="inlineStr">
        <is>
          <t>NULL</t>
        </is>
      </c>
      <c r="K770" s="0" t="inlineStr">
        <is>
          <t>YES! 	 c_decimal列源备映射正确，源端为sql_variant 0位	期望更改为sql_variant	实际备端为sql_variant 0位</t>
        </is>
      </c>
    </row>
    <row r="771">
      <c r="B771" s="0" t="inlineStr">
        <is>
          <t>NULL</t>
        </is>
      </c>
      <c r="C771" s="0" t="inlineStr">
        <is>
          <t>NULL</t>
        </is>
      </c>
      <c r="D771" s="0" t="inlineStr">
        <is>
          <t>NULL</t>
        </is>
      </c>
      <c r="E771" s="0" t="inlineStr">
        <is>
          <t>NULL</t>
        </is>
      </c>
      <c r="F771" s="0" t="inlineStr">
        <is>
          <t>NULL</t>
        </is>
      </c>
      <c r="G771" s="0" t="inlineStr">
        <is>
          <t>NULL</t>
        </is>
      </c>
      <c r="H771" s="0" t="inlineStr">
        <is>
          <t>NULL</t>
        </is>
      </c>
      <c r="I771" s="0" t="inlineStr">
        <is>
          <t>NULL</t>
        </is>
      </c>
      <c r="J771" s="0" t="inlineStr">
        <is>
          <t>NULL</t>
        </is>
      </c>
      <c r="K771" s="0" t="inlineStr">
        <is>
          <t>YES! 	 c_uniqueidentifier列源备映射正确，源端为sql_variant 0位	期望更改为sql_variant	实际备端为sql_variant 0位</t>
        </is>
      </c>
    </row>
    <row r="772">
      <c r="B772" s="0" t="inlineStr">
        <is>
          <t>NULL</t>
        </is>
      </c>
      <c r="C772" s="0" t="inlineStr">
        <is>
          <t>NULL</t>
        </is>
      </c>
      <c r="D772" s="0" t="inlineStr">
        <is>
          <t>NULL</t>
        </is>
      </c>
      <c r="E772" s="0" t="inlineStr">
        <is>
          <t>NULL</t>
        </is>
      </c>
      <c r="F772" s="0" t="inlineStr">
        <is>
          <t>NULL</t>
        </is>
      </c>
      <c r="G772" s="0" t="inlineStr">
        <is>
          <t>NULL</t>
        </is>
      </c>
      <c r="H772" s="0" t="inlineStr">
        <is>
          <t>NULL</t>
        </is>
      </c>
      <c r="I772" s="0" t="inlineStr">
        <is>
          <t>NULL</t>
        </is>
      </c>
      <c r="J772" s="0" t="inlineStr">
        <is>
          <t>NULL</t>
        </is>
      </c>
      <c r="K772" s="0" t="inlineStr">
        <is>
          <t>YES! 	 c_smallmoney列源备映射正确，源端为sql_variant 0位	期望更改为sql_variant	实际备端为sql_variant 0位</t>
        </is>
      </c>
    </row>
    <row r="773">
      <c r="B773" s="0" t="inlineStr">
        <is>
          <t>NULL</t>
        </is>
      </c>
      <c r="C773" s="0" t="inlineStr">
        <is>
          <t>NULL</t>
        </is>
      </c>
      <c r="D773" s="0" t="inlineStr">
        <is>
          <t>NULL</t>
        </is>
      </c>
      <c r="E773" s="0" t="inlineStr">
        <is>
          <t>NULL</t>
        </is>
      </c>
      <c r="F773" s="0" t="inlineStr">
        <is>
          <t>NULL</t>
        </is>
      </c>
      <c r="G773" s="0" t="inlineStr">
        <is>
          <t>NULL</t>
        </is>
      </c>
      <c r="H773" s="0" t="inlineStr">
        <is>
          <t>NULL</t>
        </is>
      </c>
      <c r="I773" s="0" t="inlineStr">
        <is>
          <t>NULL</t>
        </is>
      </c>
      <c r="J773" s="0" t="inlineStr">
        <is>
          <t>NULL</t>
        </is>
      </c>
      <c r="K773" s="0" t="inlineStr">
        <is>
          <t>YES! 	 c_bigint列源备映射正确，源端为sql_variant 0位	期望更改为sql_variant	实际备端为sql_variant 0位</t>
        </is>
      </c>
    </row>
    <row r="774">
      <c r="B774" s="0" t="inlineStr">
        <is>
          <t>NULL</t>
        </is>
      </c>
      <c r="C774" s="0" t="inlineStr">
        <is>
          <t>NULL</t>
        </is>
      </c>
      <c r="D774" s="0" t="inlineStr">
        <is>
          <t>NULL</t>
        </is>
      </c>
      <c r="E774" s="0" t="inlineStr">
        <is>
          <t>NULL</t>
        </is>
      </c>
      <c r="F774" s="0" t="inlineStr">
        <is>
          <t>NULL</t>
        </is>
      </c>
      <c r="G774" s="0" t="inlineStr">
        <is>
          <t>NULL</t>
        </is>
      </c>
      <c r="H774" s="0" t="inlineStr">
        <is>
          <t>NULL</t>
        </is>
      </c>
      <c r="I774" s="0" t="inlineStr">
        <is>
          <t>NULL</t>
        </is>
      </c>
      <c r="J774" s="0" t="inlineStr">
        <is>
          <t>NULL</t>
        </is>
      </c>
      <c r="K774" s="0" t="inlineStr">
        <is>
          <t>YES! 	 c_varbinary_20列源备映射正确，源端为sql_variant 0位	期望更改为sql_variant	实际备端为sql_variant 0位</t>
        </is>
      </c>
    </row>
    <row r="775">
      <c r="B775" s="0" t="inlineStr">
        <is>
          <t>NULL</t>
        </is>
      </c>
      <c r="C775" s="0" t="inlineStr">
        <is>
          <t>NULL</t>
        </is>
      </c>
      <c r="D775" s="0" t="inlineStr">
        <is>
          <t>NULL</t>
        </is>
      </c>
      <c r="E775" s="0" t="inlineStr">
        <is>
          <t>NULL</t>
        </is>
      </c>
      <c r="F775" s="0" t="inlineStr">
        <is>
          <t>NULL</t>
        </is>
      </c>
      <c r="G775" s="0" t="inlineStr">
        <is>
          <t>NULL</t>
        </is>
      </c>
      <c r="H775" s="0" t="inlineStr">
        <is>
          <t>NULL</t>
        </is>
      </c>
      <c r="I775" s="0" t="inlineStr">
        <is>
          <t>NULL</t>
        </is>
      </c>
      <c r="J775" s="0" t="inlineStr">
        <is>
          <t>NULL</t>
        </is>
      </c>
      <c r="K775" s="0" t="inlineStr">
        <is>
          <t>YES! 	 c_varchar_20列源备映射正确，源端为sql_variant 0位	期望更改为sql_variant	实际备端为sql_variant 0位</t>
        </is>
      </c>
    </row>
    <row r="776">
      <c r="B776" s="0" t="inlineStr">
        <is>
          <t>NULL</t>
        </is>
      </c>
      <c r="C776" s="0" t="inlineStr">
        <is>
          <t>NULL</t>
        </is>
      </c>
      <c r="D776" s="0" t="inlineStr">
        <is>
          <t>NULL</t>
        </is>
      </c>
      <c r="E776" s="0" t="inlineStr">
        <is>
          <t>NULL</t>
        </is>
      </c>
      <c r="F776" s="0" t="inlineStr">
        <is>
          <t>NULL</t>
        </is>
      </c>
      <c r="G776" s="0" t="inlineStr">
        <is>
          <t>NULL</t>
        </is>
      </c>
      <c r="H776" s="0" t="inlineStr">
        <is>
          <t>NULL</t>
        </is>
      </c>
      <c r="I776" s="0" t="inlineStr">
        <is>
          <t>NULL</t>
        </is>
      </c>
      <c r="J776" s="0" t="inlineStr">
        <is>
          <t>NULL</t>
        </is>
      </c>
      <c r="K776" s="0" t="inlineStr">
        <is>
          <t>YES! 	 c_binary_20列源备映射正确，源端为sql_variant 0位	期望更改为sql_variant	实际备端为sql_variant 0位</t>
        </is>
      </c>
    </row>
    <row r="777">
      <c r="B777" s="0" t="inlineStr">
        <is>
          <t>NULL</t>
        </is>
      </c>
      <c r="C777" s="0" t="inlineStr">
        <is>
          <t>NULL</t>
        </is>
      </c>
      <c r="D777" s="0" t="inlineStr">
        <is>
          <t>NULL</t>
        </is>
      </c>
      <c r="E777" s="0" t="inlineStr">
        <is>
          <t>NULL</t>
        </is>
      </c>
      <c r="F777" s="0" t="inlineStr">
        <is>
          <t>NULL</t>
        </is>
      </c>
      <c r="G777" s="0" t="inlineStr">
        <is>
          <t>NULL</t>
        </is>
      </c>
      <c r="H777" s="0" t="inlineStr">
        <is>
          <t>NULL</t>
        </is>
      </c>
      <c r="I777" s="0" t="inlineStr">
        <is>
          <t>NULL</t>
        </is>
      </c>
      <c r="J777" s="0" t="inlineStr">
        <is>
          <t>NULL</t>
        </is>
      </c>
      <c r="K777" s="0" t="inlineStr">
        <is>
          <t>YES! 	 c_char_20列源备映射正确，源端为sql_variant 0位	期望更改为sql_variant	实际备端为sql_variant 0位</t>
        </is>
      </c>
    </row>
    <row r="778">
      <c r="B778" s="0" t="inlineStr">
        <is>
          <t>NULL</t>
        </is>
      </c>
      <c r="C778" s="0" t="inlineStr">
        <is>
          <t>NULL</t>
        </is>
      </c>
      <c r="D778" s="0" t="inlineStr">
        <is>
          <t>NULL</t>
        </is>
      </c>
      <c r="E778" s="0" t="inlineStr">
        <is>
          <t>NULL</t>
        </is>
      </c>
      <c r="F778" s="0" t="inlineStr">
        <is>
          <t>NULL</t>
        </is>
      </c>
      <c r="G778" s="0" t="inlineStr">
        <is>
          <t>NULL</t>
        </is>
      </c>
      <c r="H778" s="0" t="inlineStr">
        <is>
          <t>NULL</t>
        </is>
      </c>
      <c r="I778" s="0" t="inlineStr">
        <is>
          <t>NULL</t>
        </is>
      </c>
      <c r="J778" s="0" t="inlineStr">
        <is>
          <t>NULL</t>
        </is>
      </c>
      <c r="K778" s="0" t="inlineStr">
        <is>
          <t>YES! 	 c_nvarchar_20列源备映射正确，源端为sql_variant 0位	期望更改为sql_variant	实际备端为sql_variant 0位</t>
        </is>
      </c>
    </row>
    <row r="779">
      <c r="B779" s="0" t="inlineStr">
        <is>
          <t>NULL</t>
        </is>
      </c>
      <c r="C779" s="0" t="inlineStr">
        <is>
          <t>NULL</t>
        </is>
      </c>
      <c r="D779" s="0" t="inlineStr">
        <is>
          <t>NULL</t>
        </is>
      </c>
      <c r="E779" s="0" t="inlineStr">
        <is>
          <t>NULL</t>
        </is>
      </c>
      <c r="F779" s="0" t="inlineStr">
        <is>
          <t>NULL</t>
        </is>
      </c>
      <c r="G779" s="0" t="inlineStr">
        <is>
          <t>NULL</t>
        </is>
      </c>
      <c r="H779" s="0" t="inlineStr">
        <is>
          <t>NULL</t>
        </is>
      </c>
      <c r="I779" s="0" t="inlineStr">
        <is>
          <t>NULL</t>
        </is>
      </c>
      <c r="J779" s="0" t="inlineStr">
        <is>
          <t>NULL</t>
        </is>
      </c>
      <c r="K779" s="0" t="inlineStr">
        <is>
          <t>YES! 	 c_nchar_20列源备映射正确，源端为sql_variant 0位	期望更改为sql_variant	实际备端为sql_variant 0位</t>
        </is>
      </c>
    </row>
    <row r="780">
      <c r="B780" s="0" t="inlineStr">
        <is>
          <t>NULL</t>
        </is>
      </c>
      <c r="C780" s="0" t="inlineStr">
        <is>
          <t>NULL</t>
        </is>
      </c>
      <c r="D780" s="0" t="inlineStr">
        <is>
          <t>NULL</t>
        </is>
      </c>
      <c r="E780" s="0" t="inlineStr">
        <is>
          <t>NULL</t>
        </is>
      </c>
      <c r="F780" s="0" t="inlineStr">
        <is>
          <t>NULL</t>
        </is>
      </c>
      <c r="G780" s="0" t="inlineStr">
        <is>
          <t>NULL</t>
        </is>
      </c>
      <c r="H780" s="0" t="inlineStr">
        <is>
          <t>NULL</t>
        </is>
      </c>
      <c r="I780" s="0" t="inlineStr">
        <is>
          <t>NULL</t>
        </is>
      </c>
      <c r="J780" s="0" t="inlineStr">
        <is>
          <t>NULL</t>
        </is>
      </c>
      <c r="K780" s="0" t="inlineStr">
        <is>
          <t>YES! 	 c_timestamp列源备映射正确，源端为timestamp None位	期望更改为timestamp	实际备端为timestamp None位</t>
        </is>
      </c>
    </row>
    <row r="781">
      <c r="A781" s="0" t="inlineStr">
        <is>
          <t>info_date_dml_single_pk_drp</t>
        </is>
      </c>
      <c r="K781" s="0" t="inlineStr">
        <is>
          <t>[0;34m info_date_dml_single_pk_drp [0m源备字段数相同，源端字段：2 	备端字段2</t>
        </is>
      </c>
      <c r="W781" s="0" t="inlineStr">
        <is>
          <t>YES 源备无差异</t>
        </is>
      </c>
      <c r="X781" s="0">
        <f>A781</f>
        <v/>
      </c>
    </row>
    <row r="782">
      <c r="B782" s="0" t="inlineStr">
        <is>
          <t>YES</t>
        </is>
      </c>
      <c r="C782" s="0" t="inlineStr">
        <is>
          <t>NULL</t>
        </is>
      </c>
      <c r="D782" s="0" t="inlineStr">
        <is>
          <t>NULL</t>
        </is>
      </c>
      <c r="E782" s="0" t="inlineStr">
        <is>
          <t>NULL</t>
        </is>
      </c>
      <c r="F782" s="0" t="inlineStr">
        <is>
          <t>NULL</t>
        </is>
      </c>
      <c r="G782" s="0" t="inlineStr">
        <is>
          <t>NULL</t>
        </is>
      </c>
      <c r="H782" s="0" t="inlineStr">
        <is>
          <t>NULL</t>
        </is>
      </c>
      <c r="I782" s="0" t="inlineStr">
        <is>
          <t>YES!PK__info_dat__3213E83FC7ACFD5F</t>
        </is>
      </c>
      <c r="J782" s="0" t="inlineStr">
        <is>
          <t>YES! 主键相关索引</t>
        </is>
      </c>
      <c r="K782" s="0" t="inlineStr">
        <is>
          <t>YES! 	 id列源备映射正确，源端为int None位	期望更改为int	实际备端为int None位</t>
        </is>
      </c>
    </row>
    <row r="783">
      <c r="B783" s="0" t="inlineStr">
        <is>
          <t>NULL</t>
        </is>
      </c>
      <c r="C783" s="0" t="inlineStr">
        <is>
          <t>NULL</t>
        </is>
      </c>
      <c r="D783" s="0" t="inlineStr">
        <is>
          <t>NULL</t>
        </is>
      </c>
      <c r="E783" s="0" t="inlineStr">
        <is>
          <t>NULL</t>
        </is>
      </c>
      <c r="F783" s="0" t="inlineStr">
        <is>
          <t>NULL</t>
        </is>
      </c>
      <c r="G783" s="0" t="inlineStr">
        <is>
          <t>NULL</t>
        </is>
      </c>
      <c r="H783" s="0" t="inlineStr">
        <is>
          <t>NULL</t>
        </is>
      </c>
      <c r="I783" s="0" t="inlineStr">
        <is>
          <t>NULL</t>
        </is>
      </c>
      <c r="J783" s="0" t="inlineStr">
        <is>
          <t>NULL</t>
        </is>
      </c>
      <c r="K783" s="0" t="inlineStr">
        <is>
          <t>YES! 	 c_date列源备映射正确，源端为date None位	期望更改为date	实际备端为date None位</t>
        </is>
      </c>
    </row>
    <row r="784">
      <c r="A784" s="0" t="inlineStr">
        <is>
          <t>info_varcharmax_dml_single_pk</t>
        </is>
      </c>
      <c r="K784" s="0" t="inlineStr">
        <is>
          <t>[0;34m info_varcharmax_dml_single_pk [0m源备字段数相同，源端字段：3 	备端字段3</t>
        </is>
      </c>
      <c r="W784" s="0" t="inlineStr">
        <is>
          <t>YES 源备无差异</t>
        </is>
      </c>
      <c r="X784" s="0">
        <f>A784</f>
        <v/>
      </c>
    </row>
    <row r="785">
      <c r="B785" s="0" t="inlineStr">
        <is>
          <t>YES</t>
        </is>
      </c>
      <c r="C785" s="0" t="inlineStr">
        <is>
          <t>NULL</t>
        </is>
      </c>
      <c r="D785" s="0" t="inlineStr">
        <is>
          <t>NULL</t>
        </is>
      </c>
      <c r="E785" s="0" t="inlineStr">
        <is>
          <t>NULL</t>
        </is>
      </c>
      <c r="F785" s="0" t="inlineStr">
        <is>
          <t>NULL</t>
        </is>
      </c>
      <c r="G785" s="0" t="inlineStr">
        <is>
          <t>NULL</t>
        </is>
      </c>
      <c r="H785" s="0" t="inlineStr">
        <is>
          <t>NULL</t>
        </is>
      </c>
      <c r="I785" s="0" t="inlineStr">
        <is>
          <t>YES!PK__info_var__3213E83FAA8F1DB7</t>
        </is>
      </c>
      <c r="J785" s="0" t="inlineStr">
        <is>
          <t>YES! 主键相关索引</t>
        </is>
      </c>
      <c r="K785" s="0" t="inlineStr">
        <is>
          <t>YES! 	 id列源备映射正确，源端为int None位	期望更改为int	实际备端为int None位</t>
        </is>
      </c>
    </row>
    <row r="786">
      <c r="B786" s="0" t="inlineStr">
        <is>
          <t>NULL</t>
        </is>
      </c>
      <c r="C786" s="0" t="inlineStr">
        <is>
          <t>NULL</t>
        </is>
      </c>
      <c r="D786" s="0" t="inlineStr">
        <is>
          <t>NULL</t>
        </is>
      </c>
      <c r="E786" s="0" t="inlineStr">
        <is>
          <t>NULL</t>
        </is>
      </c>
      <c r="F786" s="0" t="inlineStr">
        <is>
          <t>NULL</t>
        </is>
      </c>
      <c r="G786" s="0" t="inlineStr">
        <is>
          <t>NULL</t>
        </is>
      </c>
      <c r="H786" s="0" t="inlineStr">
        <is>
          <t>NULL</t>
        </is>
      </c>
      <c r="I786" s="0" t="inlineStr">
        <is>
          <t>NULL</t>
        </is>
      </c>
      <c r="J786" s="0" t="inlineStr">
        <is>
          <t>NULL</t>
        </is>
      </c>
      <c r="K786" s="0" t="inlineStr">
        <is>
          <t>YES! 	 c_varchar_max列源备映射正确，源端为varchar -1位	期望更改为varchar(n)	实际备端为varchar -1位</t>
        </is>
      </c>
    </row>
    <row r="787">
      <c r="B787" s="0" t="inlineStr">
        <is>
          <t>NULL</t>
        </is>
      </c>
      <c r="C787" s="0" t="inlineStr">
        <is>
          <t>NULL</t>
        </is>
      </c>
      <c r="D787" s="0" t="inlineStr">
        <is>
          <t>NULL</t>
        </is>
      </c>
      <c r="E787" s="0" t="inlineStr">
        <is>
          <t>NULL</t>
        </is>
      </c>
      <c r="F787" s="0" t="inlineStr">
        <is>
          <t>NULL</t>
        </is>
      </c>
      <c r="G787" s="0" t="inlineStr">
        <is>
          <t>NULL</t>
        </is>
      </c>
      <c r="H787" s="0" t="inlineStr">
        <is>
          <t>NULL</t>
        </is>
      </c>
      <c r="I787" s="0" t="inlineStr">
        <is>
          <t>NULL</t>
        </is>
      </c>
      <c r="J787" s="0" t="inlineStr">
        <is>
          <t>NULL</t>
        </is>
      </c>
      <c r="K787" s="0" t="inlineStr">
        <is>
          <t>YES! 	 c_nvarchar_max列源备映射正确，源端为nvarchar -1位	期望更改为nvarchar(n)	实际备端为nvarchar -1位</t>
        </is>
      </c>
    </row>
    <row r="788">
      <c r="A788" s="0" t="inlineStr">
        <is>
          <t>info_sql_variant_dml_single_nopk_urp</t>
        </is>
      </c>
      <c r="K788" s="0" t="inlineStr">
        <is>
          <t>[0;34m info_sql_variant_dml_single_nopk_urp [0m源备字段数相同，源端字段：25 	备端字段25</t>
        </is>
      </c>
      <c r="W788" s="0" t="inlineStr">
        <is>
          <t>YES 源备无差异</t>
        </is>
      </c>
      <c r="X788" s="0">
        <f>A788</f>
        <v/>
      </c>
    </row>
    <row r="789">
      <c r="B789" s="0" t="inlineStr">
        <is>
          <t>NULL</t>
        </is>
      </c>
      <c r="C789" s="0" t="inlineStr">
        <is>
          <t>NULL</t>
        </is>
      </c>
      <c r="D789" s="0" t="inlineStr">
        <is>
          <t>NULL</t>
        </is>
      </c>
      <c r="E789" s="0" t="inlineStr">
        <is>
          <t>NULL</t>
        </is>
      </c>
      <c r="F789" s="0" t="inlineStr">
        <is>
          <t>NULL</t>
        </is>
      </c>
      <c r="G789" s="0" t="inlineStr">
        <is>
          <t>NULL</t>
        </is>
      </c>
      <c r="H789" s="0" t="inlineStr">
        <is>
          <t>NULL</t>
        </is>
      </c>
      <c r="I789" s="0" t="inlineStr">
        <is>
          <t>NULL</t>
        </is>
      </c>
      <c r="J789" s="0" t="inlineStr">
        <is>
          <t>NULL</t>
        </is>
      </c>
      <c r="K789" s="0" t="inlineStr">
        <is>
          <t>YES! 	 id列源备映射正确，源端为int None位	期望更改为int	实际备端为int None位</t>
        </is>
      </c>
    </row>
    <row r="790">
      <c r="B790" s="0" t="inlineStr">
        <is>
          <t>NULL</t>
        </is>
      </c>
      <c r="C790" s="0" t="inlineStr">
        <is>
          <t>NULL</t>
        </is>
      </c>
      <c r="D790" s="0" t="inlineStr">
        <is>
          <t>NULL</t>
        </is>
      </c>
      <c r="E790" s="0" t="inlineStr">
        <is>
          <t>NULL</t>
        </is>
      </c>
      <c r="F790" s="0" t="inlineStr">
        <is>
          <t>NULL</t>
        </is>
      </c>
      <c r="G790" s="0" t="inlineStr">
        <is>
          <t>NULL</t>
        </is>
      </c>
      <c r="H790" s="0" t="inlineStr">
        <is>
          <t>NULL</t>
        </is>
      </c>
      <c r="I790" s="0" t="inlineStr">
        <is>
          <t>NULL</t>
        </is>
      </c>
      <c r="J790" s="0" t="inlineStr">
        <is>
          <t>NULL</t>
        </is>
      </c>
      <c r="K790" s="0" t="inlineStr">
        <is>
          <t>YES! 	 c_date列源备映射正确，源端为sql_variant 0位	期望更改为sql_variant	实际备端为sql_variant 0位</t>
        </is>
      </c>
    </row>
    <row r="791">
      <c r="B791" s="0" t="inlineStr">
        <is>
          <t>NULL</t>
        </is>
      </c>
      <c r="C791" s="0" t="inlineStr">
        <is>
          <t>NULL</t>
        </is>
      </c>
      <c r="D791" s="0" t="inlineStr">
        <is>
          <t>NULL</t>
        </is>
      </c>
      <c r="E791" s="0" t="inlineStr">
        <is>
          <t>NULL</t>
        </is>
      </c>
      <c r="F791" s="0" t="inlineStr">
        <is>
          <t>NULL</t>
        </is>
      </c>
      <c r="G791" s="0" t="inlineStr">
        <is>
          <t>NULL</t>
        </is>
      </c>
      <c r="H791" s="0" t="inlineStr">
        <is>
          <t>NULL</t>
        </is>
      </c>
      <c r="I791" s="0" t="inlineStr">
        <is>
          <t>NULL</t>
        </is>
      </c>
      <c r="J791" s="0" t="inlineStr">
        <is>
          <t>NULL</t>
        </is>
      </c>
      <c r="K791" s="0" t="inlineStr">
        <is>
          <t>YES! 	 c_time列源备映射正确，源端为sql_variant 0位	期望更改为sql_variant	实际备端为sql_variant 0位</t>
        </is>
      </c>
    </row>
    <row r="792">
      <c r="B792" s="0" t="inlineStr">
        <is>
          <t>NULL</t>
        </is>
      </c>
      <c r="C792" s="0" t="inlineStr">
        <is>
          <t>NULL</t>
        </is>
      </c>
      <c r="D792" s="0" t="inlineStr">
        <is>
          <t>NULL</t>
        </is>
      </c>
      <c r="E792" s="0" t="inlineStr">
        <is>
          <t>NULL</t>
        </is>
      </c>
      <c r="F792" s="0" t="inlineStr">
        <is>
          <t>NULL</t>
        </is>
      </c>
      <c r="G792" s="0" t="inlineStr">
        <is>
          <t>NULL</t>
        </is>
      </c>
      <c r="H792" s="0" t="inlineStr">
        <is>
          <t>NULL</t>
        </is>
      </c>
      <c r="I792" s="0" t="inlineStr">
        <is>
          <t>NULL</t>
        </is>
      </c>
      <c r="J792" s="0" t="inlineStr">
        <is>
          <t>NULL</t>
        </is>
      </c>
      <c r="K792" s="0" t="inlineStr">
        <is>
          <t>YES! 	 c_datetime2列源备映射正确，源端为sql_variant 0位	期望更改为sql_variant	实际备端为sql_variant 0位</t>
        </is>
      </c>
    </row>
    <row r="793">
      <c r="B793" s="0" t="inlineStr">
        <is>
          <t>NULL</t>
        </is>
      </c>
      <c r="C793" s="0" t="inlineStr">
        <is>
          <t>NULL</t>
        </is>
      </c>
      <c r="D793" s="0" t="inlineStr">
        <is>
          <t>NULL</t>
        </is>
      </c>
      <c r="E793" s="0" t="inlineStr">
        <is>
          <t>NULL</t>
        </is>
      </c>
      <c r="F793" s="0" t="inlineStr">
        <is>
          <t>NULL</t>
        </is>
      </c>
      <c r="G793" s="0" t="inlineStr">
        <is>
          <t>NULL</t>
        </is>
      </c>
      <c r="H793" s="0" t="inlineStr">
        <is>
          <t>NULL</t>
        </is>
      </c>
      <c r="I793" s="0" t="inlineStr">
        <is>
          <t>NULL</t>
        </is>
      </c>
      <c r="J793" s="0" t="inlineStr">
        <is>
          <t>NULL</t>
        </is>
      </c>
      <c r="K793" s="0" t="inlineStr">
        <is>
          <t>YES! 	 c_datetimeoffset列源备映射正确，源端为sql_variant 0位	期望更改为sql_variant	实际备端为sql_variant 0位</t>
        </is>
      </c>
    </row>
    <row r="794">
      <c r="B794" s="0" t="inlineStr">
        <is>
          <t>NULL</t>
        </is>
      </c>
      <c r="C794" s="0" t="inlineStr">
        <is>
          <t>NULL</t>
        </is>
      </c>
      <c r="D794" s="0" t="inlineStr">
        <is>
          <t>NULL</t>
        </is>
      </c>
      <c r="E794" s="0" t="inlineStr">
        <is>
          <t>NULL</t>
        </is>
      </c>
      <c r="F794" s="0" t="inlineStr">
        <is>
          <t>NULL</t>
        </is>
      </c>
      <c r="G794" s="0" t="inlineStr">
        <is>
          <t>NULL</t>
        </is>
      </c>
      <c r="H794" s="0" t="inlineStr">
        <is>
          <t>NULL</t>
        </is>
      </c>
      <c r="I794" s="0" t="inlineStr">
        <is>
          <t>NULL</t>
        </is>
      </c>
      <c r="J794" s="0" t="inlineStr">
        <is>
          <t>NULL</t>
        </is>
      </c>
      <c r="K794" s="0" t="inlineStr">
        <is>
          <t>YES! 	 c_tinyint列源备映射正确，源端为sql_variant 0位	期望更改为sql_variant	实际备端为sql_variant 0位</t>
        </is>
      </c>
    </row>
    <row r="795">
      <c r="B795" s="0" t="inlineStr">
        <is>
          <t>NULL</t>
        </is>
      </c>
      <c r="C795" s="0" t="inlineStr">
        <is>
          <t>NULL</t>
        </is>
      </c>
      <c r="D795" s="0" t="inlineStr">
        <is>
          <t>NULL</t>
        </is>
      </c>
      <c r="E795" s="0" t="inlineStr">
        <is>
          <t>NULL</t>
        </is>
      </c>
      <c r="F795" s="0" t="inlineStr">
        <is>
          <t>NULL</t>
        </is>
      </c>
      <c r="G795" s="0" t="inlineStr">
        <is>
          <t>NULL</t>
        </is>
      </c>
      <c r="H795" s="0" t="inlineStr">
        <is>
          <t>NULL</t>
        </is>
      </c>
      <c r="I795" s="0" t="inlineStr">
        <is>
          <t>NULL</t>
        </is>
      </c>
      <c r="J795" s="0" t="inlineStr">
        <is>
          <t>NULL</t>
        </is>
      </c>
      <c r="K795" s="0" t="inlineStr">
        <is>
          <t>YES! 	 c_smallint列源备映射正确，源端为sql_variant 0位	期望更改为sql_variant	实际备端为sql_variant 0位</t>
        </is>
      </c>
    </row>
    <row r="796">
      <c r="B796" s="0" t="inlineStr">
        <is>
          <t>NULL</t>
        </is>
      </c>
      <c r="C796" s="0" t="inlineStr">
        <is>
          <t>NULL</t>
        </is>
      </c>
      <c r="D796" s="0" t="inlineStr">
        <is>
          <t>NULL</t>
        </is>
      </c>
      <c r="E796" s="0" t="inlineStr">
        <is>
          <t>NULL</t>
        </is>
      </c>
      <c r="F796" s="0" t="inlineStr">
        <is>
          <t>NULL</t>
        </is>
      </c>
      <c r="G796" s="0" t="inlineStr">
        <is>
          <t>NULL</t>
        </is>
      </c>
      <c r="H796" s="0" t="inlineStr">
        <is>
          <t>NULL</t>
        </is>
      </c>
      <c r="I796" s="0" t="inlineStr">
        <is>
          <t>NULL</t>
        </is>
      </c>
      <c r="J796" s="0" t="inlineStr">
        <is>
          <t>NULL</t>
        </is>
      </c>
      <c r="K796" s="0" t="inlineStr">
        <is>
          <t>YES! 	 c_int列源备映射正确，源端为sql_variant 0位	期望更改为sql_variant	实际备端为sql_variant 0位</t>
        </is>
      </c>
    </row>
    <row r="797">
      <c r="B797" s="0" t="inlineStr">
        <is>
          <t>NULL</t>
        </is>
      </c>
      <c r="C797" s="0" t="inlineStr">
        <is>
          <t>NULL</t>
        </is>
      </c>
      <c r="D797" s="0" t="inlineStr">
        <is>
          <t>NULL</t>
        </is>
      </c>
      <c r="E797" s="0" t="inlineStr">
        <is>
          <t>NULL</t>
        </is>
      </c>
      <c r="F797" s="0" t="inlineStr">
        <is>
          <t>NULL</t>
        </is>
      </c>
      <c r="G797" s="0" t="inlineStr">
        <is>
          <t>NULL</t>
        </is>
      </c>
      <c r="H797" s="0" t="inlineStr">
        <is>
          <t>NULL</t>
        </is>
      </c>
      <c r="I797" s="0" t="inlineStr">
        <is>
          <t>NULL</t>
        </is>
      </c>
      <c r="J797" s="0" t="inlineStr">
        <is>
          <t>NULL</t>
        </is>
      </c>
      <c r="K797" s="0" t="inlineStr">
        <is>
          <t>YES! 	 c_sdt列源备映射正确，源端为sql_variant 0位	期望更改为sql_variant	实际备端为sql_variant 0位</t>
        </is>
      </c>
    </row>
    <row r="798">
      <c r="B798" s="0" t="inlineStr">
        <is>
          <t>NULL</t>
        </is>
      </c>
      <c r="C798" s="0" t="inlineStr">
        <is>
          <t>NULL</t>
        </is>
      </c>
      <c r="D798" s="0" t="inlineStr">
        <is>
          <t>NULL</t>
        </is>
      </c>
      <c r="E798" s="0" t="inlineStr">
        <is>
          <t>NULL</t>
        </is>
      </c>
      <c r="F798" s="0" t="inlineStr">
        <is>
          <t>NULL</t>
        </is>
      </c>
      <c r="G798" s="0" t="inlineStr">
        <is>
          <t>NULL</t>
        </is>
      </c>
      <c r="H798" s="0" t="inlineStr">
        <is>
          <t>NULL</t>
        </is>
      </c>
      <c r="I798" s="0" t="inlineStr">
        <is>
          <t>NULL</t>
        </is>
      </c>
      <c r="J798" s="0" t="inlineStr">
        <is>
          <t>NULL</t>
        </is>
      </c>
      <c r="K798" s="0" t="inlineStr">
        <is>
          <t>YES! 	 c_real列源备映射正确，源端为sql_variant 0位	期望更改为sql_variant	实际备端为sql_variant 0位</t>
        </is>
      </c>
    </row>
    <row r="799">
      <c r="B799" s="0" t="inlineStr">
        <is>
          <t>NULL</t>
        </is>
      </c>
      <c r="C799" s="0" t="inlineStr">
        <is>
          <t>NULL</t>
        </is>
      </c>
      <c r="D799" s="0" t="inlineStr">
        <is>
          <t>NULL</t>
        </is>
      </c>
      <c r="E799" s="0" t="inlineStr">
        <is>
          <t>NULL</t>
        </is>
      </c>
      <c r="F799" s="0" t="inlineStr">
        <is>
          <t>NULL</t>
        </is>
      </c>
      <c r="G799" s="0" t="inlineStr">
        <is>
          <t>NULL</t>
        </is>
      </c>
      <c r="H799" s="0" t="inlineStr">
        <is>
          <t>NULL</t>
        </is>
      </c>
      <c r="I799" s="0" t="inlineStr">
        <is>
          <t>NULL</t>
        </is>
      </c>
      <c r="J799" s="0" t="inlineStr">
        <is>
          <t>NULL</t>
        </is>
      </c>
      <c r="K799" s="0" t="inlineStr">
        <is>
          <t>YES! 	 c_money列源备映射正确，源端为sql_variant 0位	期望更改为sql_variant	实际备端为sql_variant 0位</t>
        </is>
      </c>
    </row>
    <row r="800">
      <c r="B800" s="0" t="inlineStr">
        <is>
          <t>NULL</t>
        </is>
      </c>
      <c r="C800" s="0" t="inlineStr">
        <is>
          <t>NULL</t>
        </is>
      </c>
      <c r="D800" s="0" t="inlineStr">
        <is>
          <t>NULL</t>
        </is>
      </c>
      <c r="E800" s="0" t="inlineStr">
        <is>
          <t>NULL</t>
        </is>
      </c>
      <c r="F800" s="0" t="inlineStr">
        <is>
          <t>NULL</t>
        </is>
      </c>
      <c r="G800" s="0" t="inlineStr">
        <is>
          <t>NULL</t>
        </is>
      </c>
      <c r="H800" s="0" t="inlineStr">
        <is>
          <t>NULL</t>
        </is>
      </c>
      <c r="I800" s="0" t="inlineStr">
        <is>
          <t>NULL</t>
        </is>
      </c>
      <c r="J800" s="0" t="inlineStr">
        <is>
          <t>NULL</t>
        </is>
      </c>
      <c r="K800" s="0" t="inlineStr">
        <is>
          <t>YES! 	 c_datetime列源备映射正确，源端为sql_variant 0位	期望更改为sql_variant	实际备端为sql_variant 0位</t>
        </is>
      </c>
    </row>
    <row r="801">
      <c r="B801" s="0" t="inlineStr">
        <is>
          <t>NULL</t>
        </is>
      </c>
      <c r="C801" s="0" t="inlineStr">
        <is>
          <t>NULL</t>
        </is>
      </c>
      <c r="D801" s="0" t="inlineStr">
        <is>
          <t>NULL</t>
        </is>
      </c>
      <c r="E801" s="0" t="inlineStr">
        <is>
          <t>NULL</t>
        </is>
      </c>
      <c r="F801" s="0" t="inlineStr">
        <is>
          <t>NULL</t>
        </is>
      </c>
      <c r="G801" s="0" t="inlineStr">
        <is>
          <t>NULL</t>
        </is>
      </c>
      <c r="H801" s="0" t="inlineStr">
        <is>
          <t>NULL</t>
        </is>
      </c>
      <c r="I801" s="0" t="inlineStr">
        <is>
          <t>NULL</t>
        </is>
      </c>
      <c r="J801" s="0" t="inlineStr">
        <is>
          <t>NULL</t>
        </is>
      </c>
      <c r="K801" s="0" t="inlineStr">
        <is>
          <t>YES! 	 c_float列源备映射正确，源端为sql_variant 0位	期望更改为sql_variant	实际备端为sql_variant 0位</t>
        </is>
      </c>
    </row>
    <row r="802">
      <c r="B802" s="0" t="inlineStr">
        <is>
          <t>NULL</t>
        </is>
      </c>
      <c r="C802" s="0" t="inlineStr">
        <is>
          <t>NULL</t>
        </is>
      </c>
      <c r="D802" s="0" t="inlineStr">
        <is>
          <t>NULL</t>
        </is>
      </c>
      <c r="E802" s="0" t="inlineStr">
        <is>
          <t>NULL</t>
        </is>
      </c>
      <c r="F802" s="0" t="inlineStr">
        <is>
          <t>NULL</t>
        </is>
      </c>
      <c r="G802" s="0" t="inlineStr">
        <is>
          <t>NULL</t>
        </is>
      </c>
      <c r="H802" s="0" t="inlineStr">
        <is>
          <t>NULL</t>
        </is>
      </c>
      <c r="I802" s="0" t="inlineStr">
        <is>
          <t>NULL</t>
        </is>
      </c>
      <c r="J802" s="0" t="inlineStr">
        <is>
          <t>NULL</t>
        </is>
      </c>
      <c r="K802" s="0" t="inlineStr">
        <is>
          <t>YES! 	 c_bit列源备映射正确，源端为sql_variant 0位	期望更改为sql_variant	实际备端为sql_variant 0位</t>
        </is>
      </c>
    </row>
    <row r="803">
      <c r="B803" s="0" t="inlineStr">
        <is>
          <t>NULL</t>
        </is>
      </c>
      <c r="C803" s="0" t="inlineStr">
        <is>
          <t>NULL</t>
        </is>
      </c>
      <c r="D803" s="0" t="inlineStr">
        <is>
          <t>NULL</t>
        </is>
      </c>
      <c r="E803" s="0" t="inlineStr">
        <is>
          <t>NULL</t>
        </is>
      </c>
      <c r="F803" s="0" t="inlineStr">
        <is>
          <t>NULL</t>
        </is>
      </c>
      <c r="G803" s="0" t="inlineStr">
        <is>
          <t>NULL</t>
        </is>
      </c>
      <c r="H803" s="0" t="inlineStr">
        <is>
          <t>NULL</t>
        </is>
      </c>
      <c r="I803" s="0" t="inlineStr">
        <is>
          <t>NULL</t>
        </is>
      </c>
      <c r="J803" s="0" t="inlineStr">
        <is>
          <t>NULL</t>
        </is>
      </c>
      <c r="K803" s="0" t="inlineStr">
        <is>
          <t>YES! 	 c_decimal列源备映射正确，源端为sql_variant 0位	期望更改为sql_variant	实际备端为sql_variant 0位</t>
        </is>
      </c>
    </row>
    <row r="804">
      <c r="B804" s="0" t="inlineStr">
        <is>
          <t>NULL</t>
        </is>
      </c>
      <c r="C804" s="0" t="inlineStr">
        <is>
          <t>NULL</t>
        </is>
      </c>
      <c r="D804" s="0" t="inlineStr">
        <is>
          <t>NULL</t>
        </is>
      </c>
      <c r="E804" s="0" t="inlineStr">
        <is>
          <t>NULL</t>
        </is>
      </c>
      <c r="F804" s="0" t="inlineStr">
        <is>
          <t>NULL</t>
        </is>
      </c>
      <c r="G804" s="0" t="inlineStr">
        <is>
          <t>NULL</t>
        </is>
      </c>
      <c r="H804" s="0" t="inlineStr">
        <is>
          <t>NULL</t>
        </is>
      </c>
      <c r="I804" s="0" t="inlineStr">
        <is>
          <t>NULL</t>
        </is>
      </c>
      <c r="J804" s="0" t="inlineStr">
        <is>
          <t>NULL</t>
        </is>
      </c>
      <c r="K804" s="0" t="inlineStr">
        <is>
          <t>YES! 	 c_uniqueidentifier列源备映射正确，源端为sql_variant 0位	期望更改为sql_variant	实际备端为sql_variant 0位</t>
        </is>
      </c>
    </row>
    <row r="805">
      <c r="B805" s="0" t="inlineStr">
        <is>
          <t>NULL</t>
        </is>
      </c>
      <c r="C805" s="0" t="inlineStr">
        <is>
          <t>NULL</t>
        </is>
      </c>
      <c r="D805" s="0" t="inlineStr">
        <is>
          <t>NULL</t>
        </is>
      </c>
      <c r="E805" s="0" t="inlineStr">
        <is>
          <t>NULL</t>
        </is>
      </c>
      <c r="F805" s="0" t="inlineStr">
        <is>
          <t>NULL</t>
        </is>
      </c>
      <c r="G805" s="0" t="inlineStr">
        <is>
          <t>NULL</t>
        </is>
      </c>
      <c r="H805" s="0" t="inlineStr">
        <is>
          <t>NULL</t>
        </is>
      </c>
      <c r="I805" s="0" t="inlineStr">
        <is>
          <t>NULL</t>
        </is>
      </c>
      <c r="J805" s="0" t="inlineStr">
        <is>
          <t>NULL</t>
        </is>
      </c>
      <c r="K805" s="0" t="inlineStr">
        <is>
          <t>YES! 	 c_smallmoney列源备映射正确，源端为sql_variant 0位	期望更改为sql_variant	实际备端为sql_variant 0位</t>
        </is>
      </c>
    </row>
    <row r="806">
      <c r="B806" s="0" t="inlineStr">
        <is>
          <t>NULL</t>
        </is>
      </c>
      <c r="C806" s="0" t="inlineStr">
        <is>
          <t>NULL</t>
        </is>
      </c>
      <c r="D806" s="0" t="inlineStr">
        <is>
          <t>NULL</t>
        </is>
      </c>
      <c r="E806" s="0" t="inlineStr">
        <is>
          <t>NULL</t>
        </is>
      </c>
      <c r="F806" s="0" t="inlineStr">
        <is>
          <t>NULL</t>
        </is>
      </c>
      <c r="G806" s="0" t="inlineStr">
        <is>
          <t>NULL</t>
        </is>
      </c>
      <c r="H806" s="0" t="inlineStr">
        <is>
          <t>NULL</t>
        </is>
      </c>
      <c r="I806" s="0" t="inlineStr">
        <is>
          <t>NULL</t>
        </is>
      </c>
      <c r="J806" s="0" t="inlineStr">
        <is>
          <t>NULL</t>
        </is>
      </c>
      <c r="K806" s="0" t="inlineStr">
        <is>
          <t>YES! 	 c_bigint列源备映射正确，源端为sql_variant 0位	期望更改为sql_variant	实际备端为sql_variant 0位</t>
        </is>
      </c>
    </row>
    <row r="807">
      <c r="B807" s="0" t="inlineStr">
        <is>
          <t>NULL</t>
        </is>
      </c>
      <c r="C807" s="0" t="inlineStr">
        <is>
          <t>NULL</t>
        </is>
      </c>
      <c r="D807" s="0" t="inlineStr">
        <is>
          <t>NULL</t>
        </is>
      </c>
      <c r="E807" s="0" t="inlineStr">
        <is>
          <t>NULL</t>
        </is>
      </c>
      <c r="F807" s="0" t="inlineStr">
        <is>
          <t>NULL</t>
        </is>
      </c>
      <c r="G807" s="0" t="inlineStr">
        <is>
          <t>NULL</t>
        </is>
      </c>
      <c r="H807" s="0" t="inlineStr">
        <is>
          <t>NULL</t>
        </is>
      </c>
      <c r="I807" s="0" t="inlineStr">
        <is>
          <t>NULL</t>
        </is>
      </c>
      <c r="J807" s="0" t="inlineStr">
        <is>
          <t>NULL</t>
        </is>
      </c>
      <c r="K807" s="0" t="inlineStr">
        <is>
          <t>YES! 	 c_varbinary_20列源备映射正确，源端为sql_variant 0位	期望更改为sql_variant	实际备端为sql_variant 0位</t>
        </is>
      </c>
    </row>
    <row r="808">
      <c r="B808" s="0" t="inlineStr">
        <is>
          <t>NULL</t>
        </is>
      </c>
      <c r="C808" s="0" t="inlineStr">
        <is>
          <t>NULL</t>
        </is>
      </c>
      <c r="D808" s="0" t="inlineStr">
        <is>
          <t>NULL</t>
        </is>
      </c>
      <c r="E808" s="0" t="inlineStr">
        <is>
          <t>NULL</t>
        </is>
      </c>
      <c r="F808" s="0" t="inlineStr">
        <is>
          <t>NULL</t>
        </is>
      </c>
      <c r="G808" s="0" t="inlineStr">
        <is>
          <t>NULL</t>
        </is>
      </c>
      <c r="H808" s="0" t="inlineStr">
        <is>
          <t>NULL</t>
        </is>
      </c>
      <c r="I808" s="0" t="inlineStr">
        <is>
          <t>NULL</t>
        </is>
      </c>
      <c r="J808" s="0" t="inlineStr">
        <is>
          <t>NULL</t>
        </is>
      </c>
      <c r="K808" s="0" t="inlineStr">
        <is>
          <t>YES! 	 c_varchar_20列源备映射正确，源端为sql_variant 0位	期望更改为sql_variant	实际备端为sql_variant 0位</t>
        </is>
      </c>
    </row>
    <row r="809">
      <c r="B809" s="0" t="inlineStr">
        <is>
          <t>NULL</t>
        </is>
      </c>
      <c r="C809" s="0" t="inlineStr">
        <is>
          <t>NULL</t>
        </is>
      </c>
      <c r="D809" s="0" t="inlineStr">
        <is>
          <t>NULL</t>
        </is>
      </c>
      <c r="E809" s="0" t="inlineStr">
        <is>
          <t>NULL</t>
        </is>
      </c>
      <c r="F809" s="0" t="inlineStr">
        <is>
          <t>NULL</t>
        </is>
      </c>
      <c r="G809" s="0" t="inlineStr">
        <is>
          <t>NULL</t>
        </is>
      </c>
      <c r="H809" s="0" t="inlineStr">
        <is>
          <t>NULL</t>
        </is>
      </c>
      <c r="I809" s="0" t="inlineStr">
        <is>
          <t>NULL</t>
        </is>
      </c>
      <c r="J809" s="0" t="inlineStr">
        <is>
          <t>NULL</t>
        </is>
      </c>
      <c r="K809" s="0" t="inlineStr">
        <is>
          <t>YES! 	 c_binary_20列源备映射正确，源端为sql_variant 0位	期望更改为sql_variant	实际备端为sql_variant 0位</t>
        </is>
      </c>
    </row>
    <row r="810">
      <c r="B810" s="0" t="inlineStr">
        <is>
          <t>NULL</t>
        </is>
      </c>
      <c r="C810" s="0" t="inlineStr">
        <is>
          <t>NULL</t>
        </is>
      </c>
      <c r="D810" s="0" t="inlineStr">
        <is>
          <t>NULL</t>
        </is>
      </c>
      <c r="E810" s="0" t="inlineStr">
        <is>
          <t>NULL</t>
        </is>
      </c>
      <c r="F810" s="0" t="inlineStr">
        <is>
          <t>NULL</t>
        </is>
      </c>
      <c r="G810" s="0" t="inlineStr">
        <is>
          <t>NULL</t>
        </is>
      </c>
      <c r="H810" s="0" t="inlineStr">
        <is>
          <t>NULL</t>
        </is>
      </c>
      <c r="I810" s="0" t="inlineStr">
        <is>
          <t>NULL</t>
        </is>
      </c>
      <c r="J810" s="0" t="inlineStr">
        <is>
          <t>NULL</t>
        </is>
      </c>
      <c r="K810" s="0" t="inlineStr">
        <is>
          <t>YES! 	 c_char_20列源备映射正确，源端为sql_variant 0位	期望更改为sql_variant	实际备端为sql_variant 0位</t>
        </is>
      </c>
    </row>
    <row r="811">
      <c r="B811" s="0" t="inlineStr">
        <is>
          <t>NULL</t>
        </is>
      </c>
      <c r="C811" s="0" t="inlineStr">
        <is>
          <t>NULL</t>
        </is>
      </c>
      <c r="D811" s="0" t="inlineStr">
        <is>
          <t>NULL</t>
        </is>
      </c>
      <c r="E811" s="0" t="inlineStr">
        <is>
          <t>NULL</t>
        </is>
      </c>
      <c r="F811" s="0" t="inlineStr">
        <is>
          <t>NULL</t>
        </is>
      </c>
      <c r="G811" s="0" t="inlineStr">
        <is>
          <t>NULL</t>
        </is>
      </c>
      <c r="H811" s="0" t="inlineStr">
        <is>
          <t>NULL</t>
        </is>
      </c>
      <c r="I811" s="0" t="inlineStr">
        <is>
          <t>NULL</t>
        </is>
      </c>
      <c r="J811" s="0" t="inlineStr">
        <is>
          <t>NULL</t>
        </is>
      </c>
      <c r="K811" s="0" t="inlineStr">
        <is>
          <t>YES! 	 c_nvarchar_20列源备映射正确，源端为sql_variant 0位	期望更改为sql_variant	实际备端为sql_variant 0位</t>
        </is>
      </c>
    </row>
    <row r="812">
      <c r="B812" s="0" t="inlineStr">
        <is>
          <t>NULL</t>
        </is>
      </c>
      <c r="C812" s="0" t="inlineStr">
        <is>
          <t>NULL</t>
        </is>
      </c>
      <c r="D812" s="0" t="inlineStr">
        <is>
          <t>NULL</t>
        </is>
      </c>
      <c r="E812" s="0" t="inlineStr">
        <is>
          <t>NULL</t>
        </is>
      </c>
      <c r="F812" s="0" t="inlineStr">
        <is>
          <t>NULL</t>
        </is>
      </c>
      <c r="G812" s="0" t="inlineStr">
        <is>
          <t>NULL</t>
        </is>
      </c>
      <c r="H812" s="0" t="inlineStr">
        <is>
          <t>NULL</t>
        </is>
      </c>
      <c r="I812" s="0" t="inlineStr">
        <is>
          <t>NULL</t>
        </is>
      </c>
      <c r="J812" s="0" t="inlineStr">
        <is>
          <t>NULL</t>
        </is>
      </c>
      <c r="K812" s="0" t="inlineStr">
        <is>
          <t>YES! 	 c_nchar_20列源备映射正确，源端为sql_variant 0位	期望更改为sql_variant	实际备端为sql_variant 0位</t>
        </is>
      </c>
    </row>
    <row r="813">
      <c r="B813" s="0" t="inlineStr">
        <is>
          <t>NULL</t>
        </is>
      </c>
      <c r="C813" s="0" t="inlineStr">
        <is>
          <t>NULL</t>
        </is>
      </c>
      <c r="D813" s="0" t="inlineStr">
        <is>
          <t>NULL</t>
        </is>
      </c>
      <c r="E813" s="0" t="inlineStr">
        <is>
          <t>NULL</t>
        </is>
      </c>
      <c r="F813" s="0" t="inlineStr">
        <is>
          <t>NULL</t>
        </is>
      </c>
      <c r="G813" s="0" t="inlineStr">
        <is>
          <t>NULL</t>
        </is>
      </c>
      <c r="H813" s="0" t="inlineStr">
        <is>
          <t>NULL</t>
        </is>
      </c>
      <c r="I813" s="0" t="inlineStr">
        <is>
          <t>NULL</t>
        </is>
      </c>
      <c r="J813" s="0" t="inlineStr">
        <is>
          <t>NULL</t>
        </is>
      </c>
      <c r="K813" s="0" t="inlineStr">
        <is>
          <t>YES! 	 c_timestamp列源备映射正确，源端为timestamp None位	期望更改为timestamp	实际备端为timestamp None位</t>
        </is>
      </c>
    </row>
    <row r="814">
      <c r="A814" s="0" t="inlineStr">
        <is>
          <t>info_datetime_dml_batch1_pk_drp2</t>
        </is>
      </c>
      <c r="K814" s="0" t="inlineStr">
        <is>
          <t>[0;34m info_datetime_dml_batch1_pk_drp2 [0m源备字段数相同，源端字段：2 	备端字段2</t>
        </is>
      </c>
      <c r="W814" s="0" t="inlineStr">
        <is>
          <t>YES 源备无差异</t>
        </is>
      </c>
      <c r="X814" s="0">
        <f>A814</f>
        <v/>
      </c>
    </row>
    <row r="815">
      <c r="B815" s="0" t="inlineStr">
        <is>
          <t>YES</t>
        </is>
      </c>
      <c r="C815" s="0" t="inlineStr">
        <is>
          <t>NULL</t>
        </is>
      </c>
      <c r="D815" s="0" t="inlineStr">
        <is>
          <t>NULL</t>
        </is>
      </c>
      <c r="E815" s="0" t="inlineStr">
        <is>
          <t>NULL</t>
        </is>
      </c>
      <c r="F815" s="0" t="inlineStr">
        <is>
          <t>NULL</t>
        </is>
      </c>
      <c r="G815" s="0" t="inlineStr">
        <is>
          <t>NULL</t>
        </is>
      </c>
      <c r="H815" s="0" t="inlineStr">
        <is>
          <t>NULL</t>
        </is>
      </c>
      <c r="I815" s="0" t="inlineStr">
        <is>
          <t>YES!PK__info_dat__3213E83F0270B48C</t>
        </is>
      </c>
      <c r="J815" s="0" t="inlineStr">
        <is>
          <t>YES! 主键相关索引</t>
        </is>
      </c>
      <c r="K815" s="0" t="inlineStr">
        <is>
          <t>YES! 	 id列源备映射正确，源端为int None位	期望更改为int	实际备端为int None位</t>
        </is>
      </c>
    </row>
    <row r="816">
      <c r="B816" s="0" t="inlineStr">
        <is>
          <t>NULL</t>
        </is>
      </c>
      <c r="C816" s="0" t="inlineStr">
        <is>
          <t>NULL</t>
        </is>
      </c>
      <c r="D816" s="0" t="inlineStr">
        <is>
          <t>NULL</t>
        </is>
      </c>
      <c r="E816" s="0" t="inlineStr">
        <is>
          <t>NULL</t>
        </is>
      </c>
      <c r="F816" s="0" t="inlineStr">
        <is>
          <t>NULL</t>
        </is>
      </c>
      <c r="G816" s="0" t="inlineStr">
        <is>
          <t>NULL</t>
        </is>
      </c>
      <c r="H816" s="0" t="inlineStr">
        <is>
          <t>NULL</t>
        </is>
      </c>
      <c r="I816" s="0" t="inlineStr">
        <is>
          <t>NULL</t>
        </is>
      </c>
      <c r="J816" s="0" t="inlineStr">
        <is>
          <t>NULL</t>
        </is>
      </c>
      <c r="K816" s="0" t="inlineStr">
        <is>
          <t>YES! 	 c_datetime列源备映射正确，源端为datetime None位	期望更改为datetime	实际备端为datetime None位</t>
        </is>
      </c>
    </row>
    <row r="817">
      <c r="A817" s="0" t="inlineStr">
        <is>
          <t>info_sql_variant_dml_single_nopk_drp</t>
        </is>
      </c>
      <c r="K817" s="0" t="inlineStr">
        <is>
          <t>[0;34m info_sql_variant_dml_single_nopk_drp [0m源备字段数相同，源端字段：25 	备端字段25</t>
        </is>
      </c>
      <c r="W817" s="0" t="inlineStr">
        <is>
          <t>YES 源备无差异</t>
        </is>
      </c>
      <c r="X817" s="0">
        <f>A817</f>
        <v/>
      </c>
    </row>
    <row r="818">
      <c r="B818" s="0" t="inlineStr">
        <is>
          <t>NULL</t>
        </is>
      </c>
      <c r="C818" s="0" t="inlineStr">
        <is>
          <t>NULL</t>
        </is>
      </c>
      <c r="D818" s="0" t="inlineStr">
        <is>
          <t>NULL</t>
        </is>
      </c>
      <c r="E818" s="0" t="inlineStr">
        <is>
          <t>NULL</t>
        </is>
      </c>
      <c r="F818" s="0" t="inlineStr">
        <is>
          <t>NULL</t>
        </is>
      </c>
      <c r="G818" s="0" t="inlineStr">
        <is>
          <t>NULL</t>
        </is>
      </c>
      <c r="H818" s="0" t="inlineStr">
        <is>
          <t>NULL</t>
        </is>
      </c>
      <c r="I818" s="0" t="inlineStr">
        <is>
          <t>NULL</t>
        </is>
      </c>
      <c r="J818" s="0" t="inlineStr">
        <is>
          <t>NULL</t>
        </is>
      </c>
      <c r="K818" s="0" t="inlineStr">
        <is>
          <t>YES! 	 id列源备映射正确，源端为int None位	期望更改为int	实际备端为int None位</t>
        </is>
      </c>
    </row>
    <row r="819">
      <c r="B819" s="0" t="inlineStr">
        <is>
          <t>NULL</t>
        </is>
      </c>
      <c r="C819" s="0" t="inlineStr">
        <is>
          <t>NULL</t>
        </is>
      </c>
      <c r="D819" s="0" t="inlineStr">
        <is>
          <t>NULL</t>
        </is>
      </c>
      <c r="E819" s="0" t="inlineStr">
        <is>
          <t>NULL</t>
        </is>
      </c>
      <c r="F819" s="0" t="inlineStr">
        <is>
          <t>NULL</t>
        </is>
      </c>
      <c r="G819" s="0" t="inlineStr">
        <is>
          <t>NULL</t>
        </is>
      </c>
      <c r="H819" s="0" t="inlineStr">
        <is>
          <t>NULL</t>
        </is>
      </c>
      <c r="I819" s="0" t="inlineStr">
        <is>
          <t>NULL</t>
        </is>
      </c>
      <c r="J819" s="0" t="inlineStr">
        <is>
          <t>NULL</t>
        </is>
      </c>
      <c r="K819" s="0" t="inlineStr">
        <is>
          <t>YES! 	 c_date列源备映射正确，源端为sql_variant 0位	期望更改为sql_variant	实际备端为sql_variant 0位</t>
        </is>
      </c>
    </row>
    <row r="820">
      <c r="B820" s="0" t="inlineStr">
        <is>
          <t>NULL</t>
        </is>
      </c>
      <c r="C820" s="0" t="inlineStr">
        <is>
          <t>NULL</t>
        </is>
      </c>
      <c r="D820" s="0" t="inlineStr">
        <is>
          <t>NULL</t>
        </is>
      </c>
      <c r="E820" s="0" t="inlineStr">
        <is>
          <t>NULL</t>
        </is>
      </c>
      <c r="F820" s="0" t="inlineStr">
        <is>
          <t>NULL</t>
        </is>
      </c>
      <c r="G820" s="0" t="inlineStr">
        <is>
          <t>NULL</t>
        </is>
      </c>
      <c r="H820" s="0" t="inlineStr">
        <is>
          <t>NULL</t>
        </is>
      </c>
      <c r="I820" s="0" t="inlineStr">
        <is>
          <t>NULL</t>
        </is>
      </c>
      <c r="J820" s="0" t="inlineStr">
        <is>
          <t>NULL</t>
        </is>
      </c>
      <c r="K820" s="0" t="inlineStr">
        <is>
          <t>YES! 	 c_time列源备映射正确，源端为sql_variant 0位	期望更改为sql_variant	实际备端为sql_variant 0位</t>
        </is>
      </c>
    </row>
    <row r="821">
      <c r="B821" s="0" t="inlineStr">
        <is>
          <t>NULL</t>
        </is>
      </c>
      <c r="C821" s="0" t="inlineStr">
        <is>
          <t>NULL</t>
        </is>
      </c>
      <c r="D821" s="0" t="inlineStr">
        <is>
          <t>NULL</t>
        </is>
      </c>
      <c r="E821" s="0" t="inlineStr">
        <is>
          <t>NULL</t>
        </is>
      </c>
      <c r="F821" s="0" t="inlineStr">
        <is>
          <t>NULL</t>
        </is>
      </c>
      <c r="G821" s="0" t="inlineStr">
        <is>
          <t>NULL</t>
        </is>
      </c>
      <c r="H821" s="0" t="inlineStr">
        <is>
          <t>NULL</t>
        </is>
      </c>
      <c r="I821" s="0" t="inlineStr">
        <is>
          <t>NULL</t>
        </is>
      </c>
      <c r="J821" s="0" t="inlineStr">
        <is>
          <t>NULL</t>
        </is>
      </c>
      <c r="K821" s="0" t="inlineStr">
        <is>
          <t>YES! 	 c_datetime2列源备映射正确，源端为sql_variant 0位	期望更改为sql_variant	实际备端为sql_variant 0位</t>
        </is>
      </c>
    </row>
    <row r="822">
      <c r="B822" s="0" t="inlineStr">
        <is>
          <t>NULL</t>
        </is>
      </c>
      <c r="C822" s="0" t="inlineStr">
        <is>
          <t>NULL</t>
        </is>
      </c>
      <c r="D822" s="0" t="inlineStr">
        <is>
          <t>NULL</t>
        </is>
      </c>
      <c r="E822" s="0" t="inlineStr">
        <is>
          <t>NULL</t>
        </is>
      </c>
      <c r="F822" s="0" t="inlineStr">
        <is>
          <t>NULL</t>
        </is>
      </c>
      <c r="G822" s="0" t="inlineStr">
        <is>
          <t>NULL</t>
        </is>
      </c>
      <c r="H822" s="0" t="inlineStr">
        <is>
          <t>NULL</t>
        </is>
      </c>
      <c r="I822" s="0" t="inlineStr">
        <is>
          <t>NULL</t>
        </is>
      </c>
      <c r="J822" s="0" t="inlineStr">
        <is>
          <t>NULL</t>
        </is>
      </c>
      <c r="K822" s="0" t="inlineStr">
        <is>
          <t>YES! 	 c_datetimeoffset列源备映射正确，源端为sql_variant 0位	期望更改为sql_variant	实际备端为sql_variant 0位</t>
        </is>
      </c>
    </row>
    <row r="823">
      <c r="B823" s="0" t="inlineStr">
        <is>
          <t>NULL</t>
        </is>
      </c>
      <c r="C823" s="0" t="inlineStr">
        <is>
          <t>NULL</t>
        </is>
      </c>
      <c r="D823" s="0" t="inlineStr">
        <is>
          <t>NULL</t>
        </is>
      </c>
      <c r="E823" s="0" t="inlineStr">
        <is>
          <t>NULL</t>
        </is>
      </c>
      <c r="F823" s="0" t="inlineStr">
        <is>
          <t>NULL</t>
        </is>
      </c>
      <c r="G823" s="0" t="inlineStr">
        <is>
          <t>NULL</t>
        </is>
      </c>
      <c r="H823" s="0" t="inlineStr">
        <is>
          <t>NULL</t>
        </is>
      </c>
      <c r="I823" s="0" t="inlineStr">
        <is>
          <t>NULL</t>
        </is>
      </c>
      <c r="J823" s="0" t="inlineStr">
        <is>
          <t>NULL</t>
        </is>
      </c>
      <c r="K823" s="0" t="inlineStr">
        <is>
          <t>YES! 	 c_tinyint列源备映射正确，源端为sql_variant 0位	期望更改为sql_variant	实际备端为sql_variant 0位</t>
        </is>
      </c>
    </row>
    <row r="824">
      <c r="B824" s="0" t="inlineStr">
        <is>
          <t>NULL</t>
        </is>
      </c>
      <c r="C824" s="0" t="inlineStr">
        <is>
          <t>NULL</t>
        </is>
      </c>
      <c r="D824" s="0" t="inlineStr">
        <is>
          <t>NULL</t>
        </is>
      </c>
      <c r="E824" s="0" t="inlineStr">
        <is>
          <t>NULL</t>
        </is>
      </c>
      <c r="F824" s="0" t="inlineStr">
        <is>
          <t>NULL</t>
        </is>
      </c>
      <c r="G824" s="0" t="inlineStr">
        <is>
          <t>NULL</t>
        </is>
      </c>
      <c r="H824" s="0" t="inlineStr">
        <is>
          <t>NULL</t>
        </is>
      </c>
      <c r="I824" s="0" t="inlineStr">
        <is>
          <t>NULL</t>
        </is>
      </c>
      <c r="J824" s="0" t="inlineStr">
        <is>
          <t>NULL</t>
        </is>
      </c>
      <c r="K824" s="0" t="inlineStr">
        <is>
          <t>YES! 	 c_smallint列源备映射正确，源端为sql_variant 0位	期望更改为sql_variant	实际备端为sql_variant 0位</t>
        </is>
      </c>
    </row>
    <row r="825">
      <c r="B825" s="0" t="inlineStr">
        <is>
          <t>NULL</t>
        </is>
      </c>
      <c r="C825" s="0" t="inlineStr">
        <is>
          <t>NULL</t>
        </is>
      </c>
      <c r="D825" s="0" t="inlineStr">
        <is>
          <t>NULL</t>
        </is>
      </c>
      <c r="E825" s="0" t="inlineStr">
        <is>
          <t>NULL</t>
        </is>
      </c>
      <c r="F825" s="0" t="inlineStr">
        <is>
          <t>NULL</t>
        </is>
      </c>
      <c r="G825" s="0" t="inlineStr">
        <is>
          <t>NULL</t>
        </is>
      </c>
      <c r="H825" s="0" t="inlineStr">
        <is>
          <t>NULL</t>
        </is>
      </c>
      <c r="I825" s="0" t="inlineStr">
        <is>
          <t>NULL</t>
        </is>
      </c>
      <c r="J825" s="0" t="inlineStr">
        <is>
          <t>NULL</t>
        </is>
      </c>
      <c r="K825" s="0" t="inlineStr">
        <is>
          <t>YES! 	 c_int列源备映射正确，源端为sql_variant 0位	期望更改为sql_variant	实际备端为sql_variant 0位</t>
        </is>
      </c>
    </row>
    <row r="826">
      <c r="B826" s="0" t="inlineStr">
        <is>
          <t>NULL</t>
        </is>
      </c>
      <c r="C826" s="0" t="inlineStr">
        <is>
          <t>NULL</t>
        </is>
      </c>
      <c r="D826" s="0" t="inlineStr">
        <is>
          <t>NULL</t>
        </is>
      </c>
      <c r="E826" s="0" t="inlineStr">
        <is>
          <t>NULL</t>
        </is>
      </c>
      <c r="F826" s="0" t="inlineStr">
        <is>
          <t>NULL</t>
        </is>
      </c>
      <c r="G826" s="0" t="inlineStr">
        <is>
          <t>NULL</t>
        </is>
      </c>
      <c r="H826" s="0" t="inlineStr">
        <is>
          <t>NULL</t>
        </is>
      </c>
      <c r="I826" s="0" t="inlineStr">
        <is>
          <t>NULL</t>
        </is>
      </c>
      <c r="J826" s="0" t="inlineStr">
        <is>
          <t>NULL</t>
        </is>
      </c>
      <c r="K826" s="0" t="inlineStr">
        <is>
          <t>YES! 	 c_sdt列源备映射正确，源端为sql_variant 0位	期望更改为sql_variant	实际备端为sql_variant 0位</t>
        </is>
      </c>
    </row>
    <row r="827">
      <c r="B827" s="0" t="inlineStr">
        <is>
          <t>NULL</t>
        </is>
      </c>
      <c r="C827" s="0" t="inlineStr">
        <is>
          <t>NULL</t>
        </is>
      </c>
      <c r="D827" s="0" t="inlineStr">
        <is>
          <t>NULL</t>
        </is>
      </c>
      <c r="E827" s="0" t="inlineStr">
        <is>
          <t>NULL</t>
        </is>
      </c>
      <c r="F827" s="0" t="inlineStr">
        <is>
          <t>NULL</t>
        </is>
      </c>
      <c r="G827" s="0" t="inlineStr">
        <is>
          <t>NULL</t>
        </is>
      </c>
      <c r="H827" s="0" t="inlineStr">
        <is>
          <t>NULL</t>
        </is>
      </c>
      <c r="I827" s="0" t="inlineStr">
        <is>
          <t>NULL</t>
        </is>
      </c>
      <c r="J827" s="0" t="inlineStr">
        <is>
          <t>NULL</t>
        </is>
      </c>
      <c r="K827" s="0" t="inlineStr">
        <is>
          <t>YES! 	 c_real列源备映射正确，源端为sql_variant 0位	期望更改为sql_variant	实际备端为sql_variant 0位</t>
        </is>
      </c>
    </row>
    <row r="828">
      <c r="B828" s="0" t="inlineStr">
        <is>
          <t>NULL</t>
        </is>
      </c>
      <c r="C828" s="0" t="inlineStr">
        <is>
          <t>NULL</t>
        </is>
      </c>
      <c r="D828" s="0" t="inlineStr">
        <is>
          <t>NULL</t>
        </is>
      </c>
      <c r="E828" s="0" t="inlineStr">
        <is>
          <t>NULL</t>
        </is>
      </c>
      <c r="F828" s="0" t="inlineStr">
        <is>
          <t>NULL</t>
        </is>
      </c>
      <c r="G828" s="0" t="inlineStr">
        <is>
          <t>NULL</t>
        </is>
      </c>
      <c r="H828" s="0" t="inlineStr">
        <is>
          <t>NULL</t>
        </is>
      </c>
      <c r="I828" s="0" t="inlineStr">
        <is>
          <t>NULL</t>
        </is>
      </c>
      <c r="J828" s="0" t="inlineStr">
        <is>
          <t>NULL</t>
        </is>
      </c>
      <c r="K828" s="0" t="inlineStr">
        <is>
          <t>YES! 	 c_money列源备映射正确，源端为sql_variant 0位	期望更改为sql_variant	实际备端为sql_variant 0位</t>
        </is>
      </c>
    </row>
    <row r="829">
      <c r="B829" s="0" t="inlineStr">
        <is>
          <t>NULL</t>
        </is>
      </c>
      <c r="C829" s="0" t="inlineStr">
        <is>
          <t>NULL</t>
        </is>
      </c>
      <c r="D829" s="0" t="inlineStr">
        <is>
          <t>NULL</t>
        </is>
      </c>
      <c r="E829" s="0" t="inlineStr">
        <is>
          <t>NULL</t>
        </is>
      </c>
      <c r="F829" s="0" t="inlineStr">
        <is>
          <t>NULL</t>
        </is>
      </c>
      <c r="G829" s="0" t="inlineStr">
        <is>
          <t>NULL</t>
        </is>
      </c>
      <c r="H829" s="0" t="inlineStr">
        <is>
          <t>NULL</t>
        </is>
      </c>
      <c r="I829" s="0" t="inlineStr">
        <is>
          <t>NULL</t>
        </is>
      </c>
      <c r="J829" s="0" t="inlineStr">
        <is>
          <t>NULL</t>
        </is>
      </c>
      <c r="K829" s="0" t="inlineStr">
        <is>
          <t>YES! 	 c_datetime列源备映射正确，源端为sql_variant 0位	期望更改为sql_variant	实际备端为sql_variant 0位</t>
        </is>
      </c>
    </row>
    <row r="830">
      <c r="B830" s="0" t="inlineStr">
        <is>
          <t>NULL</t>
        </is>
      </c>
      <c r="C830" s="0" t="inlineStr">
        <is>
          <t>NULL</t>
        </is>
      </c>
      <c r="D830" s="0" t="inlineStr">
        <is>
          <t>NULL</t>
        </is>
      </c>
      <c r="E830" s="0" t="inlineStr">
        <is>
          <t>NULL</t>
        </is>
      </c>
      <c r="F830" s="0" t="inlineStr">
        <is>
          <t>NULL</t>
        </is>
      </c>
      <c r="G830" s="0" t="inlineStr">
        <is>
          <t>NULL</t>
        </is>
      </c>
      <c r="H830" s="0" t="inlineStr">
        <is>
          <t>NULL</t>
        </is>
      </c>
      <c r="I830" s="0" t="inlineStr">
        <is>
          <t>NULL</t>
        </is>
      </c>
      <c r="J830" s="0" t="inlineStr">
        <is>
          <t>NULL</t>
        </is>
      </c>
      <c r="K830" s="0" t="inlineStr">
        <is>
          <t>YES! 	 c_float列源备映射正确，源端为sql_variant 0位	期望更改为sql_variant	实际备端为sql_variant 0位</t>
        </is>
      </c>
    </row>
    <row r="831">
      <c r="B831" s="0" t="inlineStr">
        <is>
          <t>NULL</t>
        </is>
      </c>
      <c r="C831" s="0" t="inlineStr">
        <is>
          <t>NULL</t>
        </is>
      </c>
      <c r="D831" s="0" t="inlineStr">
        <is>
          <t>NULL</t>
        </is>
      </c>
      <c r="E831" s="0" t="inlineStr">
        <is>
          <t>NULL</t>
        </is>
      </c>
      <c r="F831" s="0" t="inlineStr">
        <is>
          <t>NULL</t>
        </is>
      </c>
      <c r="G831" s="0" t="inlineStr">
        <is>
          <t>NULL</t>
        </is>
      </c>
      <c r="H831" s="0" t="inlineStr">
        <is>
          <t>NULL</t>
        </is>
      </c>
      <c r="I831" s="0" t="inlineStr">
        <is>
          <t>NULL</t>
        </is>
      </c>
      <c r="J831" s="0" t="inlineStr">
        <is>
          <t>NULL</t>
        </is>
      </c>
      <c r="K831" s="0" t="inlineStr">
        <is>
          <t>YES! 	 c_bit列源备映射正确，源端为sql_variant 0位	期望更改为sql_variant	实际备端为sql_variant 0位</t>
        </is>
      </c>
    </row>
    <row r="832">
      <c r="B832" s="0" t="inlineStr">
        <is>
          <t>NULL</t>
        </is>
      </c>
      <c r="C832" s="0" t="inlineStr">
        <is>
          <t>NULL</t>
        </is>
      </c>
      <c r="D832" s="0" t="inlineStr">
        <is>
          <t>NULL</t>
        </is>
      </c>
      <c r="E832" s="0" t="inlineStr">
        <is>
          <t>NULL</t>
        </is>
      </c>
      <c r="F832" s="0" t="inlineStr">
        <is>
          <t>NULL</t>
        </is>
      </c>
      <c r="G832" s="0" t="inlineStr">
        <is>
          <t>NULL</t>
        </is>
      </c>
      <c r="H832" s="0" t="inlineStr">
        <is>
          <t>NULL</t>
        </is>
      </c>
      <c r="I832" s="0" t="inlineStr">
        <is>
          <t>NULL</t>
        </is>
      </c>
      <c r="J832" s="0" t="inlineStr">
        <is>
          <t>NULL</t>
        </is>
      </c>
      <c r="K832" s="0" t="inlineStr">
        <is>
          <t>YES! 	 c_decimal列源备映射正确，源端为sql_variant 0位	期望更改为sql_variant	实际备端为sql_variant 0位</t>
        </is>
      </c>
    </row>
    <row r="833">
      <c r="B833" s="0" t="inlineStr">
        <is>
          <t>NULL</t>
        </is>
      </c>
      <c r="C833" s="0" t="inlineStr">
        <is>
          <t>NULL</t>
        </is>
      </c>
      <c r="D833" s="0" t="inlineStr">
        <is>
          <t>NULL</t>
        </is>
      </c>
      <c r="E833" s="0" t="inlineStr">
        <is>
          <t>NULL</t>
        </is>
      </c>
      <c r="F833" s="0" t="inlineStr">
        <is>
          <t>NULL</t>
        </is>
      </c>
      <c r="G833" s="0" t="inlineStr">
        <is>
          <t>NULL</t>
        </is>
      </c>
      <c r="H833" s="0" t="inlineStr">
        <is>
          <t>NULL</t>
        </is>
      </c>
      <c r="I833" s="0" t="inlineStr">
        <is>
          <t>NULL</t>
        </is>
      </c>
      <c r="J833" s="0" t="inlineStr">
        <is>
          <t>NULL</t>
        </is>
      </c>
      <c r="K833" s="0" t="inlineStr">
        <is>
          <t>YES! 	 c_uniqueidentifier列源备映射正确，源端为sql_variant 0位	期望更改为sql_variant	实际备端为sql_variant 0位</t>
        </is>
      </c>
    </row>
    <row r="834">
      <c r="B834" s="0" t="inlineStr">
        <is>
          <t>NULL</t>
        </is>
      </c>
      <c r="C834" s="0" t="inlineStr">
        <is>
          <t>NULL</t>
        </is>
      </c>
      <c r="D834" s="0" t="inlineStr">
        <is>
          <t>NULL</t>
        </is>
      </c>
      <c r="E834" s="0" t="inlineStr">
        <is>
          <t>NULL</t>
        </is>
      </c>
      <c r="F834" s="0" t="inlineStr">
        <is>
          <t>NULL</t>
        </is>
      </c>
      <c r="G834" s="0" t="inlineStr">
        <is>
          <t>NULL</t>
        </is>
      </c>
      <c r="H834" s="0" t="inlineStr">
        <is>
          <t>NULL</t>
        </is>
      </c>
      <c r="I834" s="0" t="inlineStr">
        <is>
          <t>NULL</t>
        </is>
      </c>
      <c r="J834" s="0" t="inlineStr">
        <is>
          <t>NULL</t>
        </is>
      </c>
      <c r="K834" s="0" t="inlineStr">
        <is>
          <t>YES! 	 c_smallmoney列源备映射正确，源端为sql_variant 0位	期望更改为sql_variant	实际备端为sql_variant 0位</t>
        </is>
      </c>
    </row>
    <row r="835">
      <c r="B835" s="0" t="inlineStr">
        <is>
          <t>NULL</t>
        </is>
      </c>
      <c r="C835" s="0" t="inlineStr">
        <is>
          <t>NULL</t>
        </is>
      </c>
      <c r="D835" s="0" t="inlineStr">
        <is>
          <t>NULL</t>
        </is>
      </c>
      <c r="E835" s="0" t="inlineStr">
        <is>
          <t>NULL</t>
        </is>
      </c>
      <c r="F835" s="0" t="inlineStr">
        <is>
          <t>NULL</t>
        </is>
      </c>
      <c r="G835" s="0" t="inlineStr">
        <is>
          <t>NULL</t>
        </is>
      </c>
      <c r="H835" s="0" t="inlineStr">
        <is>
          <t>NULL</t>
        </is>
      </c>
      <c r="I835" s="0" t="inlineStr">
        <is>
          <t>NULL</t>
        </is>
      </c>
      <c r="J835" s="0" t="inlineStr">
        <is>
          <t>NULL</t>
        </is>
      </c>
      <c r="K835" s="0" t="inlineStr">
        <is>
          <t>YES! 	 c_bigint列源备映射正确，源端为sql_variant 0位	期望更改为sql_variant	实际备端为sql_variant 0位</t>
        </is>
      </c>
    </row>
    <row r="836">
      <c r="B836" s="0" t="inlineStr">
        <is>
          <t>NULL</t>
        </is>
      </c>
      <c r="C836" s="0" t="inlineStr">
        <is>
          <t>NULL</t>
        </is>
      </c>
      <c r="D836" s="0" t="inlineStr">
        <is>
          <t>NULL</t>
        </is>
      </c>
      <c r="E836" s="0" t="inlineStr">
        <is>
          <t>NULL</t>
        </is>
      </c>
      <c r="F836" s="0" t="inlineStr">
        <is>
          <t>NULL</t>
        </is>
      </c>
      <c r="G836" s="0" t="inlineStr">
        <is>
          <t>NULL</t>
        </is>
      </c>
      <c r="H836" s="0" t="inlineStr">
        <is>
          <t>NULL</t>
        </is>
      </c>
      <c r="I836" s="0" t="inlineStr">
        <is>
          <t>NULL</t>
        </is>
      </c>
      <c r="J836" s="0" t="inlineStr">
        <is>
          <t>NULL</t>
        </is>
      </c>
      <c r="K836" s="0" t="inlineStr">
        <is>
          <t>YES! 	 c_varbinary_20列源备映射正确，源端为sql_variant 0位	期望更改为sql_variant	实际备端为sql_variant 0位</t>
        </is>
      </c>
    </row>
    <row r="837">
      <c r="B837" s="0" t="inlineStr">
        <is>
          <t>NULL</t>
        </is>
      </c>
      <c r="C837" s="0" t="inlineStr">
        <is>
          <t>NULL</t>
        </is>
      </c>
      <c r="D837" s="0" t="inlineStr">
        <is>
          <t>NULL</t>
        </is>
      </c>
      <c r="E837" s="0" t="inlineStr">
        <is>
          <t>NULL</t>
        </is>
      </c>
      <c r="F837" s="0" t="inlineStr">
        <is>
          <t>NULL</t>
        </is>
      </c>
      <c r="G837" s="0" t="inlineStr">
        <is>
          <t>NULL</t>
        </is>
      </c>
      <c r="H837" s="0" t="inlineStr">
        <is>
          <t>NULL</t>
        </is>
      </c>
      <c r="I837" s="0" t="inlineStr">
        <is>
          <t>NULL</t>
        </is>
      </c>
      <c r="J837" s="0" t="inlineStr">
        <is>
          <t>NULL</t>
        </is>
      </c>
      <c r="K837" s="0" t="inlineStr">
        <is>
          <t>YES! 	 c_varchar_20列源备映射正确，源端为sql_variant 0位	期望更改为sql_variant	实际备端为sql_variant 0位</t>
        </is>
      </c>
    </row>
    <row r="838">
      <c r="B838" s="0" t="inlineStr">
        <is>
          <t>NULL</t>
        </is>
      </c>
      <c r="C838" s="0" t="inlineStr">
        <is>
          <t>NULL</t>
        </is>
      </c>
      <c r="D838" s="0" t="inlineStr">
        <is>
          <t>NULL</t>
        </is>
      </c>
      <c r="E838" s="0" t="inlineStr">
        <is>
          <t>NULL</t>
        </is>
      </c>
      <c r="F838" s="0" t="inlineStr">
        <is>
          <t>NULL</t>
        </is>
      </c>
      <c r="G838" s="0" t="inlineStr">
        <is>
          <t>NULL</t>
        </is>
      </c>
      <c r="H838" s="0" t="inlineStr">
        <is>
          <t>NULL</t>
        </is>
      </c>
      <c r="I838" s="0" t="inlineStr">
        <is>
          <t>NULL</t>
        </is>
      </c>
      <c r="J838" s="0" t="inlineStr">
        <is>
          <t>NULL</t>
        </is>
      </c>
      <c r="K838" s="0" t="inlineStr">
        <is>
          <t>YES! 	 c_binary_20列源备映射正确，源端为sql_variant 0位	期望更改为sql_variant	实际备端为sql_variant 0位</t>
        </is>
      </c>
    </row>
    <row r="839">
      <c r="B839" s="0" t="inlineStr">
        <is>
          <t>NULL</t>
        </is>
      </c>
      <c r="C839" s="0" t="inlineStr">
        <is>
          <t>NULL</t>
        </is>
      </c>
      <c r="D839" s="0" t="inlineStr">
        <is>
          <t>NULL</t>
        </is>
      </c>
      <c r="E839" s="0" t="inlineStr">
        <is>
          <t>NULL</t>
        </is>
      </c>
      <c r="F839" s="0" t="inlineStr">
        <is>
          <t>NULL</t>
        </is>
      </c>
      <c r="G839" s="0" t="inlineStr">
        <is>
          <t>NULL</t>
        </is>
      </c>
      <c r="H839" s="0" t="inlineStr">
        <is>
          <t>NULL</t>
        </is>
      </c>
      <c r="I839" s="0" t="inlineStr">
        <is>
          <t>NULL</t>
        </is>
      </c>
      <c r="J839" s="0" t="inlineStr">
        <is>
          <t>NULL</t>
        </is>
      </c>
      <c r="K839" s="0" t="inlineStr">
        <is>
          <t>YES! 	 c_char_20列源备映射正确，源端为sql_variant 0位	期望更改为sql_variant	实际备端为sql_variant 0位</t>
        </is>
      </c>
    </row>
    <row r="840">
      <c r="B840" s="0" t="inlineStr">
        <is>
          <t>NULL</t>
        </is>
      </c>
      <c r="C840" s="0" t="inlineStr">
        <is>
          <t>NULL</t>
        </is>
      </c>
      <c r="D840" s="0" t="inlineStr">
        <is>
          <t>NULL</t>
        </is>
      </c>
      <c r="E840" s="0" t="inlineStr">
        <is>
          <t>NULL</t>
        </is>
      </c>
      <c r="F840" s="0" t="inlineStr">
        <is>
          <t>NULL</t>
        </is>
      </c>
      <c r="G840" s="0" t="inlineStr">
        <is>
          <t>NULL</t>
        </is>
      </c>
      <c r="H840" s="0" t="inlineStr">
        <is>
          <t>NULL</t>
        </is>
      </c>
      <c r="I840" s="0" t="inlineStr">
        <is>
          <t>NULL</t>
        </is>
      </c>
      <c r="J840" s="0" t="inlineStr">
        <is>
          <t>NULL</t>
        </is>
      </c>
      <c r="K840" s="0" t="inlineStr">
        <is>
          <t>YES! 	 c_nvarchar_20列源备映射正确，源端为sql_variant 0位	期望更改为sql_variant	实际备端为sql_variant 0位</t>
        </is>
      </c>
    </row>
    <row r="841">
      <c r="B841" s="0" t="inlineStr">
        <is>
          <t>NULL</t>
        </is>
      </c>
      <c r="C841" s="0" t="inlineStr">
        <is>
          <t>NULL</t>
        </is>
      </c>
      <c r="D841" s="0" t="inlineStr">
        <is>
          <t>NULL</t>
        </is>
      </c>
      <c r="E841" s="0" t="inlineStr">
        <is>
          <t>NULL</t>
        </is>
      </c>
      <c r="F841" s="0" t="inlineStr">
        <is>
          <t>NULL</t>
        </is>
      </c>
      <c r="G841" s="0" t="inlineStr">
        <is>
          <t>NULL</t>
        </is>
      </c>
      <c r="H841" s="0" t="inlineStr">
        <is>
          <t>NULL</t>
        </is>
      </c>
      <c r="I841" s="0" t="inlineStr">
        <is>
          <t>NULL</t>
        </is>
      </c>
      <c r="J841" s="0" t="inlineStr">
        <is>
          <t>NULL</t>
        </is>
      </c>
      <c r="K841" s="0" t="inlineStr">
        <is>
          <t>YES! 	 c_nchar_20列源备映射正确，源端为sql_variant 0位	期望更改为sql_variant	实际备端为sql_variant 0位</t>
        </is>
      </c>
    </row>
    <row r="842">
      <c r="B842" s="0" t="inlineStr">
        <is>
          <t>NULL</t>
        </is>
      </c>
      <c r="C842" s="0" t="inlineStr">
        <is>
          <t>NULL</t>
        </is>
      </c>
      <c r="D842" s="0" t="inlineStr">
        <is>
          <t>NULL</t>
        </is>
      </c>
      <c r="E842" s="0" t="inlineStr">
        <is>
          <t>NULL</t>
        </is>
      </c>
      <c r="F842" s="0" t="inlineStr">
        <is>
          <t>NULL</t>
        </is>
      </c>
      <c r="G842" s="0" t="inlineStr">
        <is>
          <t>NULL</t>
        </is>
      </c>
      <c r="H842" s="0" t="inlineStr">
        <is>
          <t>NULL</t>
        </is>
      </c>
      <c r="I842" s="0" t="inlineStr">
        <is>
          <t>NULL</t>
        </is>
      </c>
      <c r="J842" s="0" t="inlineStr">
        <is>
          <t>NULL</t>
        </is>
      </c>
      <c r="K842" s="0" t="inlineStr">
        <is>
          <t>YES! 	 c_timestamp列源备映射正确，源端为timestamp None位	期望更改为timestamp	实际备端为timestamp None位</t>
        </is>
      </c>
    </row>
    <row r="843">
      <c r="A843" s="0" t="inlineStr">
        <is>
          <t>info_date_dml_single_pk</t>
        </is>
      </c>
      <c r="K843" s="0" t="inlineStr">
        <is>
          <t>[0;34m info_date_dml_single_pk [0m源备字段数相同，源端字段：2 	备端字段2</t>
        </is>
      </c>
      <c r="W843" s="0" t="inlineStr">
        <is>
          <t>YES 源备无差异</t>
        </is>
      </c>
      <c r="X843" s="0">
        <f>A843</f>
        <v/>
      </c>
    </row>
    <row r="844">
      <c r="B844" s="0" t="inlineStr">
        <is>
          <t>YES</t>
        </is>
      </c>
      <c r="C844" s="0" t="inlineStr">
        <is>
          <t>NULL</t>
        </is>
      </c>
      <c r="D844" s="0" t="inlineStr">
        <is>
          <t>NULL</t>
        </is>
      </c>
      <c r="E844" s="0" t="inlineStr">
        <is>
          <t>NULL</t>
        </is>
      </c>
      <c r="F844" s="0" t="inlineStr">
        <is>
          <t>NULL</t>
        </is>
      </c>
      <c r="G844" s="0" t="inlineStr">
        <is>
          <t>NULL</t>
        </is>
      </c>
      <c r="H844" s="0" t="inlineStr">
        <is>
          <t>NULL</t>
        </is>
      </c>
      <c r="I844" s="0" t="inlineStr">
        <is>
          <t>YES!PK__info_dat__3213E83FBC98E2C8</t>
        </is>
      </c>
      <c r="J844" s="0" t="inlineStr">
        <is>
          <t>YES! 主键相关索引</t>
        </is>
      </c>
      <c r="K844" s="0" t="inlineStr">
        <is>
          <t>YES! 	 id列源备映射正确，源端为int None位	期望更改为int	实际备端为int None位</t>
        </is>
      </c>
    </row>
    <row r="845">
      <c r="B845" s="0" t="inlineStr">
        <is>
          <t>NULL</t>
        </is>
      </c>
      <c r="C845" s="0" t="inlineStr">
        <is>
          <t>NULL</t>
        </is>
      </c>
      <c r="D845" s="0" t="inlineStr">
        <is>
          <t>NULL</t>
        </is>
      </c>
      <c r="E845" s="0" t="inlineStr">
        <is>
          <t>NULL</t>
        </is>
      </c>
      <c r="F845" s="0" t="inlineStr">
        <is>
          <t>NULL</t>
        </is>
      </c>
      <c r="G845" s="0" t="inlineStr">
        <is>
          <t>NULL</t>
        </is>
      </c>
      <c r="H845" s="0" t="inlineStr">
        <is>
          <t>NULL</t>
        </is>
      </c>
      <c r="I845" s="0" t="inlineStr">
        <is>
          <t>NULL</t>
        </is>
      </c>
      <c r="J845" s="0" t="inlineStr">
        <is>
          <t>NULL</t>
        </is>
      </c>
      <c r="K845" s="0" t="inlineStr">
        <is>
          <t>YES! 	 c_date列源备映射正确，源端为date None位	期望更改为date	实际备端为date None位</t>
        </is>
      </c>
    </row>
    <row r="846">
      <c r="A846" s="0" t="inlineStr">
        <is>
          <t>info_nchar_dml_batch2_pk_irp2</t>
        </is>
      </c>
      <c r="K846" s="0" t="inlineStr">
        <is>
          <t>[0;34m info_nchar_dml_batch2_pk_irp2 [0m源备字段数相同，源端字段：4 	备端字段4</t>
        </is>
      </c>
      <c r="W846" s="0" t="inlineStr">
        <is>
          <t>YES 源备无差异</t>
        </is>
      </c>
      <c r="X846" s="0">
        <f>A846</f>
        <v/>
      </c>
    </row>
    <row r="847">
      <c r="B847" s="0" t="inlineStr">
        <is>
          <t>YES</t>
        </is>
      </c>
      <c r="C847" s="0" t="inlineStr">
        <is>
          <t>NULL</t>
        </is>
      </c>
      <c r="D847" s="0" t="inlineStr">
        <is>
          <t>NULL</t>
        </is>
      </c>
      <c r="E847" s="0" t="inlineStr">
        <is>
          <t>NULL</t>
        </is>
      </c>
      <c r="F847" s="0" t="inlineStr">
        <is>
          <t>NULL</t>
        </is>
      </c>
      <c r="G847" s="0" t="inlineStr">
        <is>
          <t>NULL</t>
        </is>
      </c>
      <c r="H847" s="0" t="inlineStr">
        <is>
          <t>NULL</t>
        </is>
      </c>
      <c r="I847" s="0" t="inlineStr">
        <is>
          <t>YES!PK__info_nch__3213E83FAF7F0A51</t>
        </is>
      </c>
      <c r="J847" s="0" t="inlineStr">
        <is>
          <t>YES! 主键相关索引</t>
        </is>
      </c>
      <c r="K847" s="0" t="inlineStr">
        <is>
          <t>YES! 	 id列源备映射正确，源端为int None位	期望更改为int	实际备端为int None位</t>
        </is>
      </c>
    </row>
    <row r="848">
      <c r="B848" s="0" t="inlineStr">
        <is>
          <t>NULL</t>
        </is>
      </c>
      <c r="C848" s="0" t="inlineStr">
        <is>
          <t>NULL</t>
        </is>
      </c>
      <c r="D848" s="0" t="inlineStr">
        <is>
          <t>NULL</t>
        </is>
      </c>
      <c r="E848" s="0" t="inlineStr">
        <is>
          <t>NULL</t>
        </is>
      </c>
      <c r="F848" s="0" t="inlineStr">
        <is>
          <t>NULL</t>
        </is>
      </c>
      <c r="G848" s="0" t="inlineStr">
        <is>
          <t>NULL</t>
        </is>
      </c>
      <c r="H848" s="0" t="inlineStr">
        <is>
          <t>NULL</t>
        </is>
      </c>
      <c r="I848" s="0" t="inlineStr">
        <is>
          <t>NULL</t>
        </is>
      </c>
      <c r="J848" s="0" t="inlineStr">
        <is>
          <t>NULL</t>
        </is>
      </c>
      <c r="K848" s="0" t="inlineStr">
        <is>
          <t>YES! 	 c_nchar列源备映射正确，源端为nchar 2位	期望更改为nchar(n)	实际备端为nchar 2位</t>
        </is>
      </c>
    </row>
    <row r="849">
      <c r="B849" s="0" t="inlineStr">
        <is>
          <t>NULL</t>
        </is>
      </c>
      <c r="C849" s="0" t="inlineStr">
        <is>
          <t>NULL</t>
        </is>
      </c>
      <c r="D849" s="0" t="inlineStr">
        <is>
          <t>NULL</t>
        </is>
      </c>
      <c r="E849" s="0" t="inlineStr">
        <is>
          <t>NULL</t>
        </is>
      </c>
      <c r="F849" s="0" t="inlineStr">
        <is>
          <t>NULL</t>
        </is>
      </c>
      <c r="G849" s="0" t="inlineStr">
        <is>
          <t>NULL</t>
        </is>
      </c>
      <c r="H849" s="0" t="inlineStr">
        <is>
          <t>NULL</t>
        </is>
      </c>
      <c r="I849" s="0" t="inlineStr">
        <is>
          <t>NULL</t>
        </is>
      </c>
      <c r="J849" s="0" t="inlineStr">
        <is>
          <t>NULL</t>
        </is>
      </c>
      <c r="K849" s="0" t="inlineStr">
        <is>
          <t>YES! 	 c_nchar20列源备映射正确，源端为nchar 40位	期望更改为nchar(n)	实际备端为nchar 40位</t>
        </is>
      </c>
    </row>
    <row r="850">
      <c r="B850" s="0" t="inlineStr">
        <is>
          <t>NULL</t>
        </is>
      </c>
      <c r="C850" s="0" t="inlineStr">
        <is>
          <t>NULL</t>
        </is>
      </c>
      <c r="D850" s="0" t="inlineStr">
        <is>
          <t>NULL</t>
        </is>
      </c>
      <c r="E850" s="0" t="inlineStr">
        <is>
          <t>NULL</t>
        </is>
      </c>
      <c r="F850" s="0" t="inlineStr">
        <is>
          <t>NULL</t>
        </is>
      </c>
      <c r="G850" s="0" t="inlineStr">
        <is>
          <t>NULL</t>
        </is>
      </c>
      <c r="H850" s="0" t="inlineStr">
        <is>
          <t>NULL</t>
        </is>
      </c>
      <c r="I850" s="0" t="inlineStr">
        <is>
          <t>NULL</t>
        </is>
      </c>
      <c r="J850" s="0" t="inlineStr">
        <is>
          <t>NULL</t>
        </is>
      </c>
      <c r="K850" s="0" t="inlineStr">
        <is>
          <t>YES! 	 c_nchar3500列源备映射正确，源端为nchar 7000位	期望更改为nchar(n)	实际备端为nchar 7000位</t>
        </is>
      </c>
    </row>
    <row r="851">
      <c r="A851" s="0" t="inlineStr">
        <is>
          <t>info_timestamp_dml_single_nopk_irp</t>
        </is>
      </c>
      <c r="K851" s="0" t="inlineStr">
        <is>
          <t>[0;34m info_timestamp_dml_single_nopk_irp [0m源备字段数相同，源端字段：2 	备端字段2</t>
        </is>
      </c>
      <c r="W851" s="0" t="inlineStr">
        <is>
          <t>YES 源备无差异</t>
        </is>
      </c>
      <c r="X851" s="0">
        <f>A851</f>
        <v/>
      </c>
    </row>
    <row r="852">
      <c r="B852" s="0" t="inlineStr">
        <is>
          <t>NULL</t>
        </is>
      </c>
      <c r="C852" s="0" t="inlineStr">
        <is>
          <t>NULL</t>
        </is>
      </c>
      <c r="D852" s="0" t="inlineStr">
        <is>
          <t>NULL</t>
        </is>
      </c>
      <c r="E852" s="0" t="inlineStr">
        <is>
          <t>NULL</t>
        </is>
      </c>
      <c r="F852" s="0" t="inlineStr">
        <is>
          <t>NULL</t>
        </is>
      </c>
      <c r="G852" s="0" t="inlineStr">
        <is>
          <t>NULL</t>
        </is>
      </c>
      <c r="H852" s="0" t="inlineStr">
        <is>
          <t>NULL</t>
        </is>
      </c>
      <c r="I852" s="0" t="inlineStr">
        <is>
          <t>NULL</t>
        </is>
      </c>
      <c r="J852" s="0" t="inlineStr">
        <is>
          <t>NULL</t>
        </is>
      </c>
      <c r="K852" s="0" t="inlineStr">
        <is>
          <t>YES! 	 id列源备映射正确，源端为int None位	期望更改为int	实际备端为int None位</t>
        </is>
      </c>
    </row>
    <row r="853">
      <c r="B853" s="0" t="inlineStr">
        <is>
          <t>NULL</t>
        </is>
      </c>
      <c r="C853" s="0" t="inlineStr">
        <is>
          <t>NULL</t>
        </is>
      </c>
      <c r="D853" s="0" t="inlineStr">
        <is>
          <t>NULL</t>
        </is>
      </c>
      <c r="E853" s="0" t="inlineStr">
        <is>
          <t>NULL</t>
        </is>
      </c>
      <c r="F853" s="0" t="inlineStr">
        <is>
          <t>NULL</t>
        </is>
      </c>
      <c r="G853" s="0" t="inlineStr">
        <is>
          <t>NULL</t>
        </is>
      </c>
      <c r="H853" s="0" t="inlineStr">
        <is>
          <t>NULL</t>
        </is>
      </c>
      <c r="I853" s="0" t="inlineStr">
        <is>
          <t>NULL</t>
        </is>
      </c>
      <c r="J853" s="0" t="inlineStr">
        <is>
          <t>NULL</t>
        </is>
      </c>
      <c r="K853" s="0" t="inlineStr">
        <is>
          <t>YES! 	 c_tiemstamp列源备映射正确，源端为timestamp None位	期望更改为timestamp	实际备端为timestamp None位</t>
        </is>
      </c>
    </row>
    <row r="854">
      <c r="A854" s="0" t="inlineStr">
        <is>
          <t>info_timestamp_dml_single_nopk_drp</t>
        </is>
      </c>
      <c r="K854" s="0" t="inlineStr">
        <is>
          <t>[0;34m info_timestamp_dml_single_nopk_drp [0m源备字段数相同，源端字段：2 	备端字段2</t>
        </is>
      </c>
      <c r="W854" s="0" t="inlineStr">
        <is>
          <t>YES 源备无差异</t>
        </is>
      </c>
      <c r="X854" s="0">
        <f>A854</f>
        <v/>
      </c>
    </row>
    <row r="855">
      <c r="B855" s="0" t="inlineStr">
        <is>
          <t>NULL</t>
        </is>
      </c>
      <c r="C855" s="0" t="inlineStr">
        <is>
          <t>NULL</t>
        </is>
      </c>
      <c r="D855" s="0" t="inlineStr">
        <is>
          <t>NULL</t>
        </is>
      </c>
      <c r="E855" s="0" t="inlineStr">
        <is>
          <t>NULL</t>
        </is>
      </c>
      <c r="F855" s="0" t="inlineStr">
        <is>
          <t>NULL</t>
        </is>
      </c>
      <c r="G855" s="0" t="inlineStr">
        <is>
          <t>NULL</t>
        </is>
      </c>
      <c r="H855" s="0" t="inlineStr">
        <is>
          <t>NULL</t>
        </is>
      </c>
      <c r="I855" s="0" t="inlineStr">
        <is>
          <t>NULL</t>
        </is>
      </c>
      <c r="J855" s="0" t="inlineStr">
        <is>
          <t>NULL</t>
        </is>
      </c>
      <c r="K855" s="0" t="inlineStr">
        <is>
          <t>YES! 	 id列源备映射正确，源端为int None位	期望更改为int	实际备端为int None位</t>
        </is>
      </c>
    </row>
    <row r="856">
      <c r="B856" s="0" t="inlineStr">
        <is>
          <t>NULL</t>
        </is>
      </c>
      <c r="C856" s="0" t="inlineStr">
        <is>
          <t>NULL</t>
        </is>
      </c>
      <c r="D856" s="0" t="inlineStr">
        <is>
          <t>NULL</t>
        </is>
      </c>
      <c r="E856" s="0" t="inlineStr">
        <is>
          <t>NULL</t>
        </is>
      </c>
      <c r="F856" s="0" t="inlineStr">
        <is>
          <t>NULL</t>
        </is>
      </c>
      <c r="G856" s="0" t="inlineStr">
        <is>
          <t>NULL</t>
        </is>
      </c>
      <c r="H856" s="0" t="inlineStr">
        <is>
          <t>NULL</t>
        </is>
      </c>
      <c r="I856" s="0" t="inlineStr">
        <is>
          <t>NULL</t>
        </is>
      </c>
      <c r="J856" s="0" t="inlineStr">
        <is>
          <t>NULL</t>
        </is>
      </c>
      <c r="K856" s="0" t="inlineStr">
        <is>
          <t>YES! 	 c_tiemstamp列源备映射正确，源端为timestamp None位	期望更改为timestamp	实际备端为timestamp None位</t>
        </is>
      </c>
    </row>
    <row r="857">
      <c r="A857" s="0" t="inlineStr">
        <is>
          <t>info_nchar_dml_batch2_pk_irp1</t>
        </is>
      </c>
      <c r="K857" s="0" t="inlineStr">
        <is>
          <t>[0;34m info_nchar_dml_batch2_pk_irp1 [0m源备字段数相同，源端字段：4 	备端字段4</t>
        </is>
      </c>
      <c r="W857" s="0" t="inlineStr">
        <is>
          <t>YES 源备无差异</t>
        </is>
      </c>
      <c r="X857" s="0">
        <f>A857</f>
        <v/>
      </c>
    </row>
    <row r="858">
      <c r="B858" s="0" t="inlineStr">
        <is>
          <t>YES</t>
        </is>
      </c>
      <c r="C858" s="0" t="inlineStr">
        <is>
          <t>NULL</t>
        </is>
      </c>
      <c r="D858" s="0" t="inlineStr">
        <is>
          <t>NULL</t>
        </is>
      </c>
      <c r="E858" s="0" t="inlineStr">
        <is>
          <t>NULL</t>
        </is>
      </c>
      <c r="F858" s="0" t="inlineStr">
        <is>
          <t>NULL</t>
        </is>
      </c>
      <c r="G858" s="0" t="inlineStr">
        <is>
          <t>NULL</t>
        </is>
      </c>
      <c r="H858" s="0" t="inlineStr">
        <is>
          <t>NULL</t>
        </is>
      </c>
      <c r="I858" s="0" t="inlineStr">
        <is>
          <t>YES!PK__info_nch__3213E83F71E2BC7E</t>
        </is>
      </c>
      <c r="J858" s="0" t="inlineStr">
        <is>
          <t>YES! 主键相关索引</t>
        </is>
      </c>
      <c r="K858" s="0" t="inlineStr">
        <is>
          <t>YES! 	 id列源备映射正确，源端为int None位	期望更改为int	实际备端为int None位</t>
        </is>
      </c>
    </row>
    <row r="859">
      <c r="B859" s="0" t="inlineStr">
        <is>
          <t>NULL</t>
        </is>
      </c>
      <c r="C859" s="0" t="inlineStr">
        <is>
          <t>NULL</t>
        </is>
      </c>
      <c r="D859" s="0" t="inlineStr">
        <is>
          <t>NULL</t>
        </is>
      </c>
      <c r="E859" s="0" t="inlineStr">
        <is>
          <t>NULL</t>
        </is>
      </c>
      <c r="F859" s="0" t="inlineStr">
        <is>
          <t>NULL</t>
        </is>
      </c>
      <c r="G859" s="0" t="inlineStr">
        <is>
          <t>NULL</t>
        </is>
      </c>
      <c r="H859" s="0" t="inlineStr">
        <is>
          <t>NULL</t>
        </is>
      </c>
      <c r="I859" s="0" t="inlineStr">
        <is>
          <t>NULL</t>
        </is>
      </c>
      <c r="J859" s="0" t="inlineStr">
        <is>
          <t>NULL</t>
        </is>
      </c>
      <c r="K859" s="0" t="inlineStr">
        <is>
          <t>YES! 	 c_nchar列源备映射正确，源端为nchar 2位	期望更改为nchar(n)	实际备端为nchar 2位</t>
        </is>
      </c>
    </row>
    <row r="860">
      <c r="B860" s="0" t="inlineStr">
        <is>
          <t>NULL</t>
        </is>
      </c>
      <c r="C860" s="0" t="inlineStr">
        <is>
          <t>NULL</t>
        </is>
      </c>
      <c r="D860" s="0" t="inlineStr">
        <is>
          <t>NULL</t>
        </is>
      </c>
      <c r="E860" s="0" t="inlineStr">
        <is>
          <t>NULL</t>
        </is>
      </c>
      <c r="F860" s="0" t="inlineStr">
        <is>
          <t>NULL</t>
        </is>
      </c>
      <c r="G860" s="0" t="inlineStr">
        <is>
          <t>NULL</t>
        </is>
      </c>
      <c r="H860" s="0" t="inlineStr">
        <is>
          <t>NULL</t>
        </is>
      </c>
      <c r="I860" s="0" t="inlineStr">
        <is>
          <t>NULL</t>
        </is>
      </c>
      <c r="J860" s="0" t="inlineStr">
        <is>
          <t>NULL</t>
        </is>
      </c>
      <c r="K860" s="0" t="inlineStr">
        <is>
          <t>YES! 	 c_nchar20列源备映射正确，源端为nchar 40位	期望更改为nchar(n)	实际备端为nchar 40位</t>
        </is>
      </c>
    </row>
    <row r="861">
      <c r="B861" s="0" t="inlineStr">
        <is>
          <t>NULL</t>
        </is>
      </c>
      <c r="C861" s="0" t="inlineStr">
        <is>
          <t>NULL</t>
        </is>
      </c>
      <c r="D861" s="0" t="inlineStr">
        <is>
          <t>NULL</t>
        </is>
      </c>
      <c r="E861" s="0" t="inlineStr">
        <is>
          <t>NULL</t>
        </is>
      </c>
      <c r="F861" s="0" t="inlineStr">
        <is>
          <t>NULL</t>
        </is>
      </c>
      <c r="G861" s="0" t="inlineStr">
        <is>
          <t>NULL</t>
        </is>
      </c>
      <c r="H861" s="0" t="inlineStr">
        <is>
          <t>NULL</t>
        </is>
      </c>
      <c r="I861" s="0" t="inlineStr">
        <is>
          <t>NULL</t>
        </is>
      </c>
      <c r="J861" s="0" t="inlineStr">
        <is>
          <t>NULL</t>
        </is>
      </c>
      <c r="K861" s="0" t="inlineStr">
        <is>
          <t>YES! 	 c_nchar3500列源备映射正确，源端为nchar 7000位	期望更改为nchar(n)	实际备端为nchar 7000位</t>
        </is>
      </c>
    </row>
    <row r="862">
      <c r="A862" s="0" t="inlineStr">
        <is>
          <t>info_sql_variant_dml_single_nopk</t>
        </is>
      </c>
      <c r="K862" s="0" t="inlineStr">
        <is>
          <t>[0;34m info_sql_variant_dml_single_nopk [0m源备字段数相同，源端字段：25 	备端字段25</t>
        </is>
      </c>
      <c r="W862" s="0" t="inlineStr">
        <is>
          <t>YES 源备无差异</t>
        </is>
      </c>
      <c r="X862" s="0">
        <f>A862</f>
        <v/>
      </c>
    </row>
    <row r="863">
      <c r="B863" s="0" t="inlineStr">
        <is>
          <t>NULL</t>
        </is>
      </c>
      <c r="C863" s="0" t="inlineStr">
        <is>
          <t>NULL</t>
        </is>
      </c>
      <c r="D863" s="0" t="inlineStr">
        <is>
          <t>NULL</t>
        </is>
      </c>
      <c r="E863" s="0" t="inlineStr">
        <is>
          <t>NULL</t>
        </is>
      </c>
      <c r="F863" s="0" t="inlineStr">
        <is>
          <t>NULL</t>
        </is>
      </c>
      <c r="G863" s="0" t="inlineStr">
        <is>
          <t>NULL</t>
        </is>
      </c>
      <c r="H863" s="0" t="inlineStr">
        <is>
          <t>NULL</t>
        </is>
      </c>
      <c r="I863" s="0" t="inlineStr">
        <is>
          <t>NULL</t>
        </is>
      </c>
      <c r="J863" s="0" t="inlineStr">
        <is>
          <t>NULL</t>
        </is>
      </c>
      <c r="K863" s="0" t="inlineStr">
        <is>
          <t>YES! 	 id列源备映射正确，源端为int None位	期望更改为int	实际备端为int None位</t>
        </is>
      </c>
    </row>
    <row r="864">
      <c r="B864" s="0" t="inlineStr">
        <is>
          <t>NULL</t>
        </is>
      </c>
      <c r="C864" s="0" t="inlineStr">
        <is>
          <t>NULL</t>
        </is>
      </c>
      <c r="D864" s="0" t="inlineStr">
        <is>
          <t>NULL</t>
        </is>
      </c>
      <c r="E864" s="0" t="inlineStr">
        <is>
          <t>NULL</t>
        </is>
      </c>
      <c r="F864" s="0" t="inlineStr">
        <is>
          <t>NULL</t>
        </is>
      </c>
      <c r="G864" s="0" t="inlineStr">
        <is>
          <t>NULL</t>
        </is>
      </c>
      <c r="H864" s="0" t="inlineStr">
        <is>
          <t>NULL</t>
        </is>
      </c>
      <c r="I864" s="0" t="inlineStr">
        <is>
          <t>NULL</t>
        </is>
      </c>
      <c r="J864" s="0" t="inlineStr">
        <is>
          <t>NULL</t>
        </is>
      </c>
      <c r="K864" s="0" t="inlineStr">
        <is>
          <t>YES! 	 c_date列源备映射正确，源端为sql_variant 0位	期望更改为sql_variant	实际备端为sql_variant 0位</t>
        </is>
      </c>
    </row>
    <row r="865">
      <c r="B865" s="0" t="inlineStr">
        <is>
          <t>NULL</t>
        </is>
      </c>
      <c r="C865" s="0" t="inlineStr">
        <is>
          <t>NULL</t>
        </is>
      </c>
      <c r="D865" s="0" t="inlineStr">
        <is>
          <t>NULL</t>
        </is>
      </c>
      <c r="E865" s="0" t="inlineStr">
        <is>
          <t>NULL</t>
        </is>
      </c>
      <c r="F865" s="0" t="inlineStr">
        <is>
          <t>NULL</t>
        </is>
      </c>
      <c r="G865" s="0" t="inlineStr">
        <is>
          <t>NULL</t>
        </is>
      </c>
      <c r="H865" s="0" t="inlineStr">
        <is>
          <t>NULL</t>
        </is>
      </c>
      <c r="I865" s="0" t="inlineStr">
        <is>
          <t>NULL</t>
        </is>
      </c>
      <c r="J865" s="0" t="inlineStr">
        <is>
          <t>NULL</t>
        </is>
      </c>
      <c r="K865" s="0" t="inlineStr">
        <is>
          <t>YES! 	 c_time列源备映射正确，源端为sql_variant 0位	期望更改为sql_variant	实际备端为sql_variant 0位</t>
        </is>
      </c>
    </row>
    <row r="866">
      <c r="B866" s="0" t="inlineStr">
        <is>
          <t>NULL</t>
        </is>
      </c>
      <c r="C866" s="0" t="inlineStr">
        <is>
          <t>NULL</t>
        </is>
      </c>
      <c r="D866" s="0" t="inlineStr">
        <is>
          <t>NULL</t>
        </is>
      </c>
      <c r="E866" s="0" t="inlineStr">
        <is>
          <t>NULL</t>
        </is>
      </c>
      <c r="F866" s="0" t="inlineStr">
        <is>
          <t>NULL</t>
        </is>
      </c>
      <c r="G866" s="0" t="inlineStr">
        <is>
          <t>NULL</t>
        </is>
      </c>
      <c r="H866" s="0" t="inlineStr">
        <is>
          <t>NULL</t>
        </is>
      </c>
      <c r="I866" s="0" t="inlineStr">
        <is>
          <t>NULL</t>
        </is>
      </c>
      <c r="J866" s="0" t="inlineStr">
        <is>
          <t>NULL</t>
        </is>
      </c>
      <c r="K866" s="0" t="inlineStr">
        <is>
          <t>YES! 	 c_datetime2列源备映射正确，源端为sql_variant 0位	期望更改为sql_variant	实际备端为sql_variant 0位</t>
        </is>
      </c>
    </row>
    <row r="867">
      <c r="B867" s="0" t="inlineStr">
        <is>
          <t>NULL</t>
        </is>
      </c>
      <c r="C867" s="0" t="inlineStr">
        <is>
          <t>NULL</t>
        </is>
      </c>
      <c r="D867" s="0" t="inlineStr">
        <is>
          <t>NULL</t>
        </is>
      </c>
      <c r="E867" s="0" t="inlineStr">
        <is>
          <t>NULL</t>
        </is>
      </c>
      <c r="F867" s="0" t="inlineStr">
        <is>
          <t>NULL</t>
        </is>
      </c>
      <c r="G867" s="0" t="inlineStr">
        <is>
          <t>NULL</t>
        </is>
      </c>
      <c r="H867" s="0" t="inlineStr">
        <is>
          <t>NULL</t>
        </is>
      </c>
      <c r="I867" s="0" t="inlineStr">
        <is>
          <t>NULL</t>
        </is>
      </c>
      <c r="J867" s="0" t="inlineStr">
        <is>
          <t>NULL</t>
        </is>
      </c>
      <c r="K867" s="0" t="inlineStr">
        <is>
          <t>YES! 	 c_datetimeoffset列源备映射正确，源端为sql_variant 0位	期望更改为sql_variant	实际备端为sql_variant 0位</t>
        </is>
      </c>
    </row>
    <row r="868">
      <c r="B868" s="0" t="inlineStr">
        <is>
          <t>NULL</t>
        </is>
      </c>
      <c r="C868" s="0" t="inlineStr">
        <is>
          <t>NULL</t>
        </is>
      </c>
      <c r="D868" s="0" t="inlineStr">
        <is>
          <t>NULL</t>
        </is>
      </c>
      <c r="E868" s="0" t="inlineStr">
        <is>
          <t>NULL</t>
        </is>
      </c>
      <c r="F868" s="0" t="inlineStr">
        <is>
          <t>NULL</t>
        </is>
      </c>
      <c r="G868" s="0" t="inlineStr">
        <is>
          <t>NULL</t>
        </is>
      </c>
      <c r="H868" s="0" t="inlineStr">
        <is>
          <t>NULL</t>
        </is>
      </c>
      <c r="I868" s="0" t="inlineStr">
        <is>
          <t>NULL</t>
        </is>
      </c>
      <c r="J868" s="0" t="inlineStr">
        <is>
          <t>NULL</t>
        </is>
      </c>
      <c r="K868" s="0" t="inlineStr">
        <is>
          <t>YES! 	 c_tinyint列源备映射正确，源端为sql_variant 0位	期望更改为sql_variant	实际备端为sql_variant 0位</t>
        </is>
      </c>
    </row>
    <row r="869">
      <c r="B869" s="0" t="inlineStr">
        <is>
          <t>NULL</t>
        </is>
      </c>
      <c r="C869" s="0" t="inlineStr">
        <is>
          <t>NULL</t>
        </is>
      </c>
      <c r="D869" s="0" t="inlineStr">
        <is>
          <t>NULL</t>
        </is>
      </c>
      <c r="E869" s="0" t="inlineStr">
        <is>
          <t>NULL</t>
        </is>
      </c>
      <c r="F869" s="0" t="inlineStr">
        <is>
          <t>NULL</t>
        </is>
      </c>
      <c r="G869" s="0" t="inlineStr">
        <is>
          <t>NULL</t>
        </is>
      </c>
      <c r="H869" s="0" t="inlineStr">
        <is>
          <t>NULL</t>
        </is>
      </c>
      <c r="I869" s="0" t="inlineStr">
        <is>
          <t>NULL</t>
        </is>
      </c>
      <c r="J869" s="0" t="inlineStr">
        <is>
          <t>NULL</t>
        </is>
      </c>
      <c r="K869" s="0" t="inlineStr">
        <is>
          <t>YES! 	 c_smallint列源备映射正确，源端为sql_variant 0位	期望更改为sql_variant	实际备端为sql_variant 0位</t>
        </is>
      </c>
    </row>
    <row r="870">
      <c r="B870" s="0" t="inlineStr">
        <is>
          <t>NULL</t>
        </is>
      </c>
      <c r="C870" s="0" t="inlineStr">
        <is>
          <t>NULL</t>
        </is>
      </c>
      <c r="D870" s="0" t="inlineStr">
        <is>
          <t>NULL</t>
        </is>
      </c>
      <c r="E870" s="0" t="inlineStr">
        <is>
          <t>NULL</t>
        </is>
      </c>
      <c r="F870" s="0" t="inlineStr">
        <is>
          <t>NULL</t>
        </is>
      </c>
      <c r="G870" s="0" t="inlineStr">
        <is>
          <t>NULL</t>
        </is>
      </c>
      <c r="H870" s="0" t="inlineStr">
        <is>
          <t>NULL</t>
        </is>
      </c>
      <c r="I870" s="0" t="inlineStr">
        <is>
          <t>NULL</t>
        </is>
      </c>
      <c r="J870" s="0" t="inlineStr">
        <is>
          <t>NULL</t>
        </is>
      </c>
      <c r="K870" s="0" t="inlineStr">
        <is>
          <t>YES! 	 c_int列源备映射正确，源端为sql_variant 0位	期望更改为sql_variant	实际备端为sql_variant 0位</t>
        </is>
      </c>
    </row>
    <row r="871">
      <c r="B871" s="0" t="inlineStr">
        <is>
          <t>NULL</t>
        </is>
      </c>
      <c r="C871" s="0" t="inlineStr">
        <is>
          <t>NULL</t>
        </is>
      </c>
      <c r="D871" s="0" t="inlineStr">
        <is>
          <t>NULL</t>
        </is>
      </c>
      <c r="E871" s="0" t="inlineStr">
        <is>
          <t>NULL</t>
        </is>
      </c>
      <c r="F871" s="0" t="inlineStr">
        <is>
          <t>NULL</t>
        </is>
      </c>
      <c r="G871" s="0" t="inlineStr">
        <is>
          <t>NULL</t>
        </is>
      </c>
      <c r="H871" s="0" t="inlineStr">
        <is>
          <t>NULL</t>
        </is>
      </c>
      <c r="I871" s="0" t="inlineStr">
        <is>
          <t>NULL</t>
        </is>
      </c>
      <c r="J871" s="0" t="inlineStr">
        <is>
          <t>NULL</t>
        </is>
      </c>
      <c r="K871" s="0" t="inlineStr">
        <is>
          <t>YES! 	 c_sdt列源备映射正确，源端为sql_variant 0位	期望更改为sql_variant	实际备端为sql_variant 0位</t>
        </is>
      </c>
    </row>
    <row r="872">
      <c r="B872" s="0" t="inlineStr">
        <is>
          <t>NULL</t>
        </is>
      </c>
      <c r="C872" s="0" t="inlineStr">
        <is>
          <t>NULL</t>
        </is>
      </c>
      <c r="D872" s="0" t="inlineStr">
        <is>
          <t>NULL</t>
        </is>
      </c>
      <c r="E872" s="0" t="inlineStr">
        <is>
          <t>NULL</t>
        </is>
      </c>
      <c r="F872" s="0" t="inlineStr">
        <is>
          <t>NULL</t>
        </is>
      </c>
      <c r="G872" s="0" t="inlineStr">
        <is>
          <t>NULL</t>
        </is>
      </c>
      <c r="H872" s="0" t="inlineStr">
        <is>
          <t>NULL</t>
        </is>
      </c>
      <c r="I872" s="0" t="inlineStr">
        <is>
          <t>NULL</t>
        </is>
      </c>
      <c r="J872" s="0" t="inlineStr">
        <is>
          <t>NULL</t>
        </is>
      </c>
      <c r="K872" s="0" t="inlineStr">
        <is>
          <t>YES! 	 c_real列源备映射正确，源端为sql_variant 0位	期望更改为sql_variant	实际备端为sql_variant 0位</t>
        </is>
      </c>
    </row>
    <row r="873">
      <c r="B873" s="0" t="inlineStr">
        <is>
          <t>NULL</t>
        </is>
      </c>
      <c r="C873" s="0" t="inlineStr">
        <is>
          <t>NULL</t>
        </is>
      </c>
      <c r="D873" s="0" t="inlineStr">
        <is>
          <t>NULL</t>
        </is>
      </c>
      <c r="E873" s="0" t="inlineStr">
        <is>
          <t>NULL</t>
        </is>
      </c>
      <c r="F873" s="0" t="inlineStr">
        <is>
          <t>NULL</t>
        </is>
      </c>
      <c r="G873" s="0" t="inlineStr">
        <is>
          <t>NULL</t>
        </is>
      </c>
      <c r="H873" s="0" t="inlineStr">
        <is>
          <t>NULL</t>
        </is>
      </c>
      <c r="I873" s="0" t="inlineStr">
        <is>
          <t>NULL</t>
        </is>
      </c>
      <c r="J873" s="0" t="inlineStr">
        <is>
          <t>NULL</t>
        </is>
      </c>
      <c r="K873" s="0" t="inlineStr">
        <is>
          <t>YES! 	 c_money列源备映射正确，源端为sql_variant 0位	期望更改为sql_variant	实际备端为sql_variant 0位</t>
        </is>
      </c>
    </row>
    <row r="874">
      <c r="B874" s="0" t="inlineStr">
        <is>
          <t>NULL</t>
        </is>
      </c>
      <c r="C874" s="0" t="inlineStr">
        <is>
          <t>NULL</t>
        </is>
      </c>
      <c r="D874" s="0" t="inlineStr">
        <is>
          <t>NULL</t>
        </is>
      </c>
      <c r="E874" s="0" t="inlineStr">
        <is>
          <t>NULL</t>
        </is>
      </c>
      <c r="F874" s="0" t="inlineStr">
        <is>
          <t>NULL</t>
        </is>
      </c>
      <c r="G874" s="0" t="inlineStr">
        <is>
          <t>NULL</t>
        </is>
      </c>
      <c r="H874" s="0" t="inlineStr">
        <is>
          <t>NULL</t>
        </is>
      </c>
      <c r="I874" s="0" t="inlineStr">
        <is>
          <t>NULL</t>
        </is>
      </c>
      <c r="J874" s="0" t="inlineStr">
        <is>
          <t>NULL</t>
        </is>
      </c>
      <c r="K874" s="0" t="inlineStr">
        <is>
          <t>YES! 	 c_datetime列源备映射正确，源端为sql_variant 0位	期望更改为sql_variant	实际备端为sql_variant 0位</t>
        </is>
      </c>
    </row>
    <row r="875">
      <c r="B875" s="0" t="inlineStr">
        <is>
          <t>NULL</t>
        </is>
      </c>
      <c r="C875" s="0" t="inlineStr">
        <is>
          <t>NULL</t>
        </is>
      </c>
      <c r="D875" s="0" t="inlineStr">
        <is>
          <t>NULL</t>
        </is>
      </c>
      <c r="E875" s="0" t="inlineStr">
        <is>
          <t>NULL</t>
        </is>
      </c>
      <c r="F875" s="0" t="inlineStr">
        <is>
          <t>NULL</t>
        </is>
      </c>
      <c r="G875" s="0" t="inlineStr">
        <is>
          <t>NULL</t>
        </is>
      </c>
      <c r="H875" s="0" t="inlineStr">
        <is>
          <t>NULL</t>
        </is>
      </c>
      <c r="I875" s="0" t="inlineStr">
        <is>
          <t>NULL</t>
        </is>
      </c>
      <c r="J875" s="0" t="inlineStr">
        <is>
          <t>NULL</t>
        </is>
      </c>
      <c r="K875" s="0" t="inlineStr">
        <is>
          <t>YES! 	 c_float列源备映射正确，源端为sql_variant 0位	期望更改为sql_variant	实际备端为sql_variant 0位</t>
        </is>
      </c>
    </row>
    <row r="876">
      <c r="B876" s="0" t="inlineStr">
        <is>
          <t>NULL</t>
        </is>
      </c>
      <c r="C876" s="0" t="inlineStr">
        <is>
          <t>NULL</t>
        </is>
      </c>
      <c r="D876" s="0" t="inlineStr">
        <is>
          <t>NULL</t>
        </is>
      </c>
      <c r="E876" s="0" t="inlineStr">
        <is>
          <t>NULL</t>
        </is>
      </c>
      <c r="F876" s="0" t="inlineStr">
        <is>
          <t>NULL</t>
        </is>
      </c>
      <c r="G876" s="0" t="inlineStr">
        <is>
          <t>NULL</t>
        </is>
      </c>
      <c r="H876" s="0" t="inlineStr">
        <is>
          <t>NULL</t>
        </is>
      </c>
      <c r="I876" s="0" t="inlineStr">
        <is>
          <t>NULL</t>
        </is>
      </c>
      <c r="J876" s="0" t="inlineStr">
        <is>
          <t>NULL</t>
        </is>
      </c>
      <c r="K876" s="0" t="inlineStr">
        <is>
          <t>YES! 	 c_bit列源备映射正确，源端为sql_variant 0位	期望更改为sql_variant	实际备端为sql_variant 0位</t>
        </is>
      </c>
    </row>
    <row r="877">
      <c r="B877" s="0" t="inlineStr">
        <is>
          <t>NULL</t>
        </is>
      </c>
      <c r="C877" s="0" t="inlineStr">
        <is>
          <t>NULL</t>
        </is>
      </c>
      <c r="D877" s="0" t="inlineStr">
        <is>
          <t>NULL</t>
        </is>
      </c>
      <c r="E877" s="0" t="inlineStr">
        <is>
          <t>NULL</t>
        </is>
      </c>
      <c r="F877" s="0" t="inlineStr">
        <is>
          <t>NULL</t>
        </is>
      </c>
      <c r="G877" s="0" t="inlineStr">
        <is>
          <t>NULL</t>
        </is>
      </c>
      <c r="H877" s="0" t="inlineStr">
        <is>
          <t>NULL</t>
        </is>
      </c>
      <c r="I877" s="0" t="inlineStr">
        <is>
          <t>NULL</t>
        </is>
      </c>
      <c r="J877" s="0" t="inlineStr">
        <is>
          <t>NULL</t>
        </is>
      </c>
      <c r="K877" s="0" t="inlineStr">
        <is>
          <t>YES! 	 c_decimal列源备映射正确，源端为sql_variant 0位	期望更改为sql_variant	实际备端为sql_variant 0位</t>
        </is>
      </c>
    </row>
    <row r="878">
      <c r="B878" s="0" t="inlineStr">
        <is>
          <t>NULL</t>
        </is>
      </c>
      <c r="C878" s="0" t="inlineStr">
        <is>
          <t>NULL</t>
        </is>
      </c>
      <c r="D878" s="0" t="inlineStr">
        <is>
          <t>NULL</t>
        </is>
      </c>
      <c r="E878" s="0" t="inlineStr">
        <is>
          <t>NULL</t>
        </is>
      </c>
      <c r="F878" s="0" t="inlineStr">
        <is>
          <t>NULL</t>
        </is>
      </c>
      <c r="G878" s="0" t="inlineStr">
        <is>
          <t>NULL</t>
        </is>
      </c>
      <c r="H878" s="0" t="inlineStr">
        <is>
          <t>NULL</t>
        </is>
      </c>
      <c r="I878" s="0" t="inlineStr">
        <is>
          <t>NULL</t>
        </is>
      </c>
      <c r="J878" s="0" t="inlineStr">
        <is>
          <t>NULL</t>
        </is>
      </c>
      <c r="K878" s="0" t="inlineStr">
        <is>
          <t>YES! 	 c_uniqueidentifier列源备映射正确，源端为sql_variant 0位	期望更改为sql_variant	实际备端为sql_variant 0位</t>
        </is>
      </c>
    </row>
    <row r="879">
      <c r="B879" s="0" t="inlineStr">
        <is>
          <t>NULL</t>
        </is>
      </c>
      <c r="C879" s="0" t="inlineStr">
        <is>
          <t>NULL</t>
        </is>
      </c>
      <c r="D879" s="0" t="inlineStr">
        <is>
          <t>NULL</t>
        </is>
      </c>
      <c r="E879" s="0" t="inlineStr">
        <is>
          <t>NULL</t>
        </is>
      </c>
      <c r="F879" s="0" t="inlineStr">
        <is>
          <t>NULL</t>
        </is>
      </c>
      <c r="G879" s="0" t="inlineStr">
        <is>
          <t>NULL</t>
        </is>
      </c>
      <c r="H879" s="0" t="inlineStr">
        <is>
          <t>NULL</t>
        </is>
      </c>
      <c r="I879" s="0" t="inlineStr">
        <is>
          <t>NULL</t>
        </is>
      </c>
      <c r="J879" s="0" t="inlineStr">
        <is>
          <t>NULL</t>
        </is>
      </c>
      <c r="K879" s="0" t="inlineStr">
        <is>
          <t>YES! 	 c_smallmoney列源备映射正确，源端为sql_variant 0位	期望更改为sql_variant	实际备端为sql_variant 0位</t>
        </is>
      </c>
    </row>
    <row r="880">
      <c r="B880" s="0" t="inlineStr">
        <is>
          <t>NULL</t>
        </is>
      </c>
      <c r="C880" s="0" t="inlineStr">
        <is>
          <t>NULL</t>
        </is>
      </c>
      <c r="D880" s="0" t="inlineStr">
        <is>
          <t>NULL</t>
        </is>
      </c>
      <c r="E880" s="0" t="inlineStr">
        <is>
          <t>NULL</t>
        </is>
      </c>
      <c r="F880" s="0" t="inlineStr">
        <is>
          <t>NULL</t>
        </is>
      </c>
      <c r="G880" s="0" t="inlineStr">
        <is>
          <t>NULL</t>
        </is>
      </c>
      <c r="H880" s="0" t="inlineStr">
        <is>
          <t>NULL</t>
        </is>
      </c>
      <c r="I880" s="0" t="inlineStr">
        <is>
          <t>NULL</t>
        </is>
      </c>
      <c r="J880" s="0" t="inlineStr">
        <is>
          <t>NULL</t>
        </is>
      </c>
      <c r="K880" s="0" t="inlineStr">
        <is>
          <t>YES! 	 c_bigint列源备映射正确，源端为sql_variant 0位	期望更改为sql_variant	实际备端为sql_variant 0位</t>
        </is>
      </c>
    </row>
    <row r="881">
      <c r="B881" s="0" t="inlineStr">
        <is>
          <t>NULL</t>
        </is>
      </c>
      <c r="C881" s="0" t="inlineStr">
        <is>
          <t>NULL</t>
        </is>
      </c>
      <c r="D881" s="0" t="inlineStr">
        <is>
          <t>NULL</t>
        </is>
      </c>
      <c r="E881" s="0" t="inlineStr">
        <is>
          <t>NULL</t>
        </is>
      </c>
      <c r="F881" s="0" t="inlineStr">
        <is>
          <t>NULL</t>
        </is>
      </c>
      <c r="G881" s="0" t="inlineStr">
        <is>
          <t>NULL</t>
        </is>
      </c>
      <c r="H881" s="0" t="inlineStr">
        <is>
          <t>NULL</t>
        </is>
      </c>
      <c r="I881" s="0" t="inlineStr">
        <is>
          <t>NULL</t>
        </is>
      </c>
      <c r="J881" s="0" t="inlineStr">
        <is>
          <t>NULL</t>
        </is>
      </c>
      <c r="K881" s="0" t="inlineStr">
        <is>
          <t>YES! 	 c_varbinary_20列源备映射正确，源端为sql_variant 0位	期望更改为sql_variant	实际备端为sql_variant 0位</t>
        </is>
      </c>
    </row>
    <row r="882">
      <c r="B882" s="0" t="inlineStr">
        <is>
          <t>NULL</t>
        </is>
      </c>
      <c r="C882" s="0" t="inlineStr">
        <is>
          <t>NULL</t>
        </is>
      </c>
      <c r="D882" s="0" t="inlineStr">
        <is>
          <t>NULL</t>
        </is>
      </c>
      <c r="E882" s="0" t="inlineStr">
        <is>
          <t>NULL</t>
        </is>
      </c>
      <c r="F882" s="0" t="inlineStr">
        <is>
          <t>NULL</t>
        </is>
      </c>
      <c r="G882" s="0" t="inlineStr">
        <is>
          <t>NULL</t>
        </is>
      </c>
      <c r="H882" s="0" t="inlineStr">
        <is>
          <t>NULL</t>
        </is>
      </c>
      <c r="I882" s="0" t="inlineStr">
        <is>
          <t>NULL</t>
        </is>
      </c>
      <c r="J882" s="0" t="inlineStr">
        <is>
          <t>NULL</t>
        </is>
      </c>
      <c r="K882" s="0" t="inlineStr">
        <is>
          <t>YES! 	 c_varchar_20列源备映射正确，源端为sql_variant 0位	期望更改为sql_variant	实际备端为sql_variant 0位</t>
        </is>
      </c>
    </row>
    <row r="883">
      <c r="B883" s="0" t="inlineStr">
        <is>
          <t>NULL</t>
        </is>
      </c>
      <c r="C883" s="0" t="inlineStr">
        <is>
          <t>NULL</t>
        </is>
      </c>
      <c r="D883" s="0" t="inlineStr">
        <is>
          <t>NULL</t>
        </is>
      </c>
      <c r="E883" s="0" t="inlineStr">
        <is>
          <t>NULL</t>
        </is>
      </c>
      <c r="F883" s="0" t="inlineStr">
        <is>
          <t>NULL</t>
        </is>
      </c>
      <c r="G883" s="0" t="inlineStr">
        <is>
          <t>NULL</t>
        </is>
      </c>
      <c r="H883" s="0" t="inlineStr">
        <is>
          <t>NULL</t>
        </is>
      </c>
      <c r="I883" s="0" t="inlineStr">
        <is>
          <t>NULL</t>
        </is>
      </c>
      <c r="J883" s="0" t="inlineStr">
        <is>
          <t>NULL</t>
        </is>
      </c>
      <c r="K883" s="0" t="inlineStr">
        <is>
          <t>YES! 	 c_binary_20列源备映射正确，源端为sql_variant 0位	期望更改为sql_variant	实际备端为sql_variant 0位</t>
        </is>
      </c>
    </row>
    <row r="884">
      <c r="B884" s="0" t="inlineStr">
        <is>
          <t>NULL</t>
        </is>
      </c>
      <c r="C884" s="0" t="inlineStr">
        <is>
          <t>NULL</t>
        </is>
      </c>
      <c r="D884" s="0" t="inlineStr">
        <is>
          <t>NULL</t>
        </is>
      </c>
      <c r="E884" s="0" t="inlineStr">
        <is>
          <t>NULL</t>
        </is>
      </c>
      <c r="F884" s="0" t="inlineStr">
        <is>
          <t>NULL</t>
        </is>
      </c>
      <c r="G884" s="0" t="inlineStr">
        <is>
          <t>NULL</t>
        </is>
      </c>
      <c r="H884" s="0" t="inlineStr">
        <is>
          <t>NULL</t>
        </is>
      </c>
      <c r="I884" s="0" t="inlineStr">
        <is>
          <t>NULL</t>
        </is>
      </c>
      <c r="J884" s="0" t="inlineStr">
        <is>
          <t>NULL</t>
        </is>
      </c>
      <c r="K884" s="0" t="inlineStr">
        <is>
          <t>YES! 	 c_char_20列源备映射正确，源端为sql_variant 0位	期望更改为sql_variant	实际备端为sql_variant 0位</t>
        </is>
      </c>
    </row>
    <row r="885">
      <c r="B885" s="0" t="inlineStr">
        <is>
          <t>NULL</t>
        </is>
      </c>
      <c r="C885" s="0" t="inlineStr">
        <is>
          <t>NULL</t>
        </is>
      </c>
      <c r="D885" s="0" t="inlineStr">
        <is>
          <t>NULL</t>
        </is>
      </c>
      <c r="E885" s="0" t="inlineStr">
        <is>
          <t>NULL</t>
        </is>
      </c>
      <c r="F885" s="0" t="inlineStr">
        <is>
          <t>NULL</t>
        </is>
      </c>
      <c r="G885" s="0" t="inlineStr">
        <is>
          <t>NULL</t>
        </is>
      </c>
      <c r="H885" s="0" t="inlineStr">
        <is>
          <t>NULL</t>
        </is>
      </c>
      <c r="I885" s="0" t="inlineStr">
        <is>
          <t>NULL</t>
        </is>
      </c>
      <c r="J885" s="0" t="inlineStr">
        <is>
          <t>NULL</t>
        </is>
      </c>
      <c r="K885" s="0" t="inlineStr">
        <is>
          <t>YES! 	 c_nvarchar_20列源备映射正确，源端为sql_variant 0位	期望更改为sql_variant	实际备端为sql_variant 0位</t>
        </is>
      </c>
    </row>
    <row r="886">
      <c r="B886" s="0" t="inlineStr">
        <is>
          <t>NULL</t>
        </is>
      </c>
      <c r="C886" s="0" t="inlineStr">
        <is>
          <t>NULL</t>
        </is>
      </c>
      <c r="D886" s="0" t="inlineStr">
        <is>
          <t>NULL</t>
        </is>
      </c>
      <c r="E886" s="0" t="inlineStr">
        <is>
          <t>NULL</t>
        </is>
      </c>
      <c r="F886" s="0" t="inlineStr">
        <is>
          <t>NULL</t>
        </is>
      </c>
      <c r="G886" s="0" t="inlineStr">
        <is>
          <t>NULL</t>
        </is>
      </c>
      <c r="H886" s="0" t="inlineStr">
        <is>
          <t>NULL</t>
        </is>
      </c>
      <c r="I886" s="0" t="inlineStr">
        <is>
          <t>NULL</t>
        </is>
      </c>
      <c r="J886" s="0" t="inlineStr">
        <is>
          <t>NULL</t>
        </is>
      </c>
      <c r="K886" s="0" t="inlineStr">
        <is>
          <t>YES! 	 c_nchar_20列源备映射正确，源端为sql_variant 0位	期望更改为sql_variant	实际备端为sql_variant 0位</t>
        </is>
      </c>
    </row>
    <row r="887">
      <c r="B887" s="0" t="inlineStr">
        <is>
          <t>NULL</t>
        </is>
      </c>
      <c r="C887" s="0" t="inlineStr">
        <is>
          <t>NULL</t>
        </is>
      </c>
      <c r="D887" s="0" t="inlineStr">
        <is>
          <t>NULL</t>
        </is>
      </c>
      <c r="E887" s="0" t="inlineStr">
        <is>
          <t>NULL</t>
        </is>
      </c>
      <c r="F887" s="0" t="inlineStr">
        <is>
          <t>NULL</t>
        </is>
      </c>
      <c r="G887" s="0" t="inlineStr">
        <is>
          <t>NULL</t>
        </is>
      </c>
      <c r="H887" s="0" t="inlineStr">
        <is>
          <t>NULL</t>
        </is>
      </c>
      <c r="I887" s="0" t="inlineStr">
        <is>
          <t>NULL</t>
        </is>
      </c>
      <c r="J887" s="0" t="inlineStr">
        <is>
          <t>NULL</t>
        </is>
      </c>
      <c r="K887" s="0" t="inlineStr">
        <is>
          <t>YES! 	 c_timestamp列源备映射正确，源端为timestamp None位	期望更改为timestamp	实际备端为timestamp None位</t>
        </is>
      </c>
    </row>
    <row r="888">
      <c r="A888" s="0" t="inlineStr">
        <is>
          <t>info_datetime_dml_batch1_pk</t>
        </is>
      </c>
      <c r="K888" s="0" t="inlineStr">
        <is>
          <t>[0;34m info_datetime_dml_batch1_pk [0m源备字段数相同，源端字段：2 	备端字段2</t>
        </is>
      </c>
      <c r="W888" s="0" t="inlineStr">
        <is>
          <t>YES 源备无差异</t>
        </is>
      </c>
      <c r="X888" s="0">
        <f>A888</f>
        <v/>
      </c>
    </row>
    <row r="889">
      <c r="B889" s="0" t="inlineStr">
        <is>
          <t>YES</t>
        </is>
      </c>
      <c r="C889" s="0" t="inlineStr">
        <is>
          <t>NULL</t>
        </is>
      </c>
      <c r="D889" s="0" t="inlineStr">
        <is>
          <t>NULL</t>
        </is>
      </c>
      <c r="E889" s="0" t="inlineStr">
        <is>
          <t>NULL</t>
        </is>
      </c>
      <c r="F889" s="0" t="inlineStr">
        <is>
          <t>NULL</t>
        </is>
      </c>
      <c r="G889" s="0" t="inlineStr">
        <is>
          <t>NULL</t>
        </is>
      </c>
      <c r="H889" s="0" t="inlineStr">
        <is>
          <t>NULL</t>
        </is>
      </c>
      <c r="I889" s="0" t="inlineStr">
        <is>
          <t>YES!PK__info_dat__3213E83FF22C8314</t>
        </is>
      </c>
      <c r="J889" s="0" t="inlineStr">
        <is>
          <t>YES! 主键相关索引</t>
        </is>
      </c>
      <c r="K889" s="0" t="inlineStr">
        <is>
          <t>YES! 	 id列源备映射正确，源端为int None位	期望更改为int	实际备端为int None位</t>
        </is>
      </c>
    </row>
    <row r="890">
      <c r="B890" s="0" t="inlineStr">
        <is>
          <t>NULL</t>
        </is>
      </c>
      <c r="C890" s="0" t="inlineStr">
        <is>
          <t>NULL</t>
        </is>
      </c>
      <c r="D890" s="0" t="inlineStr">
        <is>
          <t>NULL</t>
        </is>
      </c>
      <c r="E890" s="0" t="inlineStr">
        <is>
          <t>NULL</t>
        </is>
      </c>
      <c r="F890" s="0" t="inlineStr">
        <is>
          <t>NULL</t>
        </is>
      </c>
      <c r="G890" s="0" t="inlineStr">
        <is>
          <t>NULL</t>
        </is>
      </c>
      <c r="H890" s="0" t="inlineStr">
        <is>
          <t>NULL</t>
        </is>
      </c>
      <c r="I890" s="0" t="inlineStr">
        <is>
          <t>NULL</t>
        </is>
      </c>
      <c r="J890" s="0" t="inlineStr">
        <is>
          <t>NULL</t>
        </is>
      </c>
      <c r="K890" s="0" t="inlineStr">
        <is>
          <t>YES! 	 c_datetime列源备映射正确，源端为datetime None位	期望更改为datetime	实际备端为datetime None位</t>
        </is>
      </c>
    </row>
    <row r="891">
      <c r="A891" s="0" t="inlineStr">
        <is>
          <t>info_nchar_dml_batch1_pk_urp1</t>
        </is>
      </c>
      <c r="K891" s="0" t="inlineStr">
        <is>
          <t>[0;34m info_nchar_dml_batch1_pk_urp1 [0m源备字段数相同，源端字段：4 	备端字段4</t>
        </is>
      </c>
      <c r="W891" s="0" t="inlineStr">
        <is>
          <t>YES 源备无差异</t>
        </is>
      </c>
      <c r="X891" s="0">
        <f>A891</f>
        <v/>
      </c>
    </row>
    <row r="892">
      <c r="B892" s="0" t="inlineStr">
        <is>
          <t>YES</t>
        </is>
      </c>
      <c r="C892" s="0" t="inlineStr">
        <is>
          <t>NULL</t>
        </is>
      </c>
      <c r="D892" s="0" t="inlineStr">
        <is>
          <t>NULL</t>
        </is>
      </c>
      <c r="E892" s="0" t="inlineStr">
        <is>
          <t>NULL</t>
        </is>
      </c>
      <c r="F892" s="0" t="inlineStr">
        <is>
          <t>NULL</t>
        </is>
      </c>
      <c r="G892" s="0" t="inlineStr">
        <is>
          <t>NULL</t>
        </is>
      </c>
      <c r="H892" s="0" t="inlineStr">
        <is>
          <t>NULL</t>
        </is>
      </c>
      <c r="I892" s="0" t="inlineStr">
        <is>
          <t>YES!PK__info_nch__3213E83F7342E96E</t>
        </is>
      </c>
      <c r="J892" s="0" t="inlineStr">
        <is>
          <t>YES! 主键相关索引</t>
        </is>
      </c>
      <c r="K892" s="0" t="inlineStr">
        <is>
          <t>YES! 	 id列源备映射正确，源端为int None位	期望更改为int	实际备端为int None位</t>
        </is>
      </c>
    </row>
    <row r="893">
      <c r="B893" s="0" t="inlineStr">
        <is>
          <t>NULL</t>
        </is>
      </c>
      <c r="C893" s="0" t="inlineStr">
        <is>
          <t>NULL</t>
        </is>
      </c>
      <c r="D893" s="0" t="inlineStr">
        <is>
          <t>NULL</t>
        </is>
      </c>
      <c r="E893" s="0" t="inlineStr">
        <is>
          <t>NULL</t>
        </is>
      </c>
      <c r="F893" s="0" t="inlineStr">
        <is>
          <t>NULL</t>
        </is>
      </c>
      <c r="G893" s="0" t="inlineStr">
        <is>
          <t>NULL</t>
        </is>
      </c>
      <c r="H893" s="0" t="inlineStr">
        <is>
          <t>NULL</t>
        </is>
      </c>
      <c r="I893" s="0" t="inlineStr">
        <is>
          <t>NULL</t>
        </is>
      </c>
      <c r="J893" s="0" t="inlineStr">
        <is>
          <t>NULL</t>
        </is>
      </c>
      <c r="K893" s="0" t="inlineStr">
        <is>
          <t>YES! 	 c_nchar列源备映射正确，源端为nchar 2位	期望更改为nchar(n)	实际备端为nchar 2位</t>
        </is>
      </c>
    </row>
    <row r="894">
      <c r="B894" s="0" t="inlineStr">
        <is>
          <t>NULL</t>
        </is>
      </c>
      <c r="C894" s="0" t="inlineStr">
        <is>
          <t>NULL</t>
        </is>
      </c>
      <c r="D894" s="0" t="inlineStr">
        <is>
          <t>NULL</t>
        </is>
      </c>
      <c r="E894" s="0" t="inlineStr">
        <is>
          <t>NULL</t>
        </is>
      </c>
      <c r="F894" s="0" t="inlineStr">
        <is>
          <t>NULL</t>
        </is>
      </c>
      <c r="G894" s="0" t="inlineStr">
        <is>
          <t>NULL</t>
        </is>
      </c>
      <c r="H894" s="0" t="inlineStr">
        <is>
          <t>NULL</t>
        </is>
      </c>
      <c r="I894" s="0" t="inlineStr">
        <is>
          <t>NULL</t>
        </is>
      </c>
      <c r="J894" s="0" t="inlineStr">
        <is>
          <t>NULL</t>
        </is>
      </c>
      <c r="K894" s="0" t="inlineStr">
        <is>
          <t>YES! 	 c_nchar20列源备映射正确，源端为nchar 40位	期望更改为nchar(n)	实际备端为nchar 40位</t>
        </is>
      </c>
    </row>
    <row r="895">
      <c r="B895" s="0" t="inlineStr">
        <is>
          <t>NULL</t>
        </is>
      </c>
      <c r="C895" s="0" t="inlineStr">
        <is>
          <t>NULL</t>
        </is>
      </c>
      <c r="D895" s="0" t="inlineStr">
        <is>
          <t>NULL</t>
        </is>
      </c>
      <c r="E895" s="0" t="inlineStr">
        <is>
          <t>NULL</t>
        </is>
      </c>
      <c r="F895" s="0" t="inlineStr">
        <is>
          <t>NULL</t>
        </is>
      </c>
      <c r="G895" s="0" t="inlineStr">
        <is>
          <t>NULL</t>
        </is>
      </c>
      <c r="H895" s="0" t="inlineStr">
        <is>
          <t>NULL</t>
        </is>
      </c>
      <c r="I895" s="0" t="inlineStr">
        <is>
          <t>NULL</t>
        </is>
      </c>
      <c r="J895" s="0" t="inlineStr">
        <is>
          <t>NULL</t>
        </is>
      </c>
      <c r="K895" s="0" t="inlineStr">
        <is>
          <t>YES! 	 c_nchar3500列源备映射正确，源端为nchar 7000位	期望更改为nchar(n)	实际备端为nchar 7000位</t>
        </is>
      </c>
    </row>
    <row r="896">
      <c r="A896" s="0" t="inlineStr">
        <is>
          <t>info_time_dml_single_pk_irp</t>
        </is>
      </c>
      <c r="K896" s="0" t="inlineStr">
        <is>
          <t>[0;34m info_time_dml_single_pk_irp [0m源备字段数相同，源端字段：9 	备端字段9</t>
        </is>
      </c>
      <c r="W896" s="0" t="inlineStr">
        <is>
          <t>YES 源备无差异</t>
        </is>
      </c>
      <c r="X896" s="0">
        <f>A896</f>
        <v/>
      </c>
    </row>
    <row r="897">
      <c r="B897" s="0" t="inlineStr">
        <is>
          <t>YES</t>
        </is>
      </c>
      <c r="C897" s="0" t="inlineStr">
        <is>
          <t>NULL</t>
        </is>
      </c>
      <c r="D897" s="0" t="inlineStr">
        <is>
          <t>NULL</t>
        </is>
      </c>
      <c r="E897" s="0" t="inlineStr">
        <is>
          <t>NULL</t>
        </is>
      </c>
      <c r="F897" s="0" t="inlineStr">
        <is>
          <t>NULL</t>
        </is>
      </c>
      <c r="G897" s="0" t="inlineStr">
        <is>
          <t>NULL</t>
        </is>
      </c>
      <c r="H897" s="0" t="inlineStr">
        <is>
          <t>NULL</t>
        </is>
      </c>
      <c r="I897" s="0" t="inlineStr">
        <is>
          <t>YES!PK__info_tim__3213E83F20F79211</t>
        </is>
      </c>
      <c r="J897" s="0" t="inlineStr">
        <is>
          <t>YES! 主键相关索引</t>
        </is>
      </c>
      <c r="K897" s="0" t="inlineStr">
        <is>
          <t>YES! 	 id列源备映射正确，源端为int None位	期望更改为int	实际备端为int None位</t>
        </is>
      </c>
    </row>
    <row r="898">
      <c r="B898" s="0" t="inlineStr">
        <is>
          <t>NULL</t>
        </is>
      </c>
      <c r="C898" s="0" t="inlineStr">
        <is>
          <t>NULL</t>
        </is>
      </c>
      <c r="D898" s="0" t="inlineStr">
        <is>
          <t>NULL</t>
        </is>
      </c>
      <c r="E898" s="0" t="inlineStr">
        <is>
          <t>NULL</t>
        </is>
      </c>
      <c r="F898" s="0" t="inlineStr">
        <is>
          <t>NULL</t>
        </is>
      </c>
      <c r="G898" s="0" t="inlineStr">
        <is>
          <t>NULL</t>
        </is>
      </c>
      <c r="H898" s="0" t="inlineStr">
        <is>
          <t>NULL</t>
        </is>
      </c>
      <c r="I898" s="0" t="inlineStr">
        <is>
          <t>NULL</t>
        </is>
      </c>
      <c r="J898" s="0" t="inlineStr">
        <is>
          <t>NULL</t>
        </is>
      </c>
      <c r="K898" s="0" t="inlineStr">
        <is>
          <t>no,len不存在</t>
        </is>
      </c>
    </row>
    <row r="899">
      <c r="B899" s="0" t="inlineStr">
        <is>
          <t>NULL</t>
        </is>
      </c>
      <c r="C899" s="0" t="inlineStr">
        <is>
          <t>NULL</t>
        </is>
      </c>
      <c r="D899" s="0" t="inlineStr">
        <is>
          <t>NULL</t>
        </is>
      </c>
      <c r="E899" s="0" t="inlineStr">
        <is>
          <t>NULL</t>
        </is>
      </c>
      <c r="F899" s="0" t="inlineStr">
        <is>
          <t>NULL</t>
        </is>
      </c>
      <c r="G899" s="0" t="inlineStr">
        <is>
          <t>NULL</t>
        </is>
      </c>
      <c r="H899" s="0" t="inlineStr">
        <is>
          <t>NULL</t>
        </is>
      </c>
      <c r="I899" s="0" t="inlineStr">
        <is>
          <t>NULL</t>
        </is>
      </c>
      <c r="J899" s="0" t="inlineStr">
        <is>
          <t>NULL</t>
        </is>
      </c>
      <c r="K899" s="0" t="inlineStr">
        <is>
          <t>YES! 	 c_time1列源备映射正确，源端为time None位	期望更改为time(n)	实际备端为time None位</t>
        </is>
      </c>
    </row>
    <row r="900">
      <c r="B900" s="0" t="inlineStr">
        <is>
          <t>NULL</t>
        </is>
      </c>
      <c r="C900" s="0" t="inlineStr">
        <is>
          <t>NULL</t>
        </is>
      </c>
      <c r="D900" s="0" t="inlineStr">
        <is>
          <t>NULL</t>
        </is>
      </c>
      <c r="E900" s="0" t="inlineStr">
        <is>
          <t>NULL</t>
        </is>
      </c>
      <c r="F900" s="0" t="inlineStr">
        <is>
          <t>NULL</t>
        </is>
      </c>
      <c r="G900" s="0" t="inlineStr">
        <is>
          <t>NULL</t>
        </is>
      </c>
      <c r="H900" s="0" t="inlineStr">
        <is>
          <t>NULL</t>
        </is>
      </c>
      <c r="I900" s="0" t="inlineStr">
        <is>
          <t>NULL</t>
        </is>
      </c>
      <c r="J900" s="0" t="inlineStr">
        <is>
          <t>NULL</t>
        </is>
      </c>
      <c r="K900" s="0" t="inlineStr">
        <is>
          <t>YES! 	 c_time2列源备映射正确，源端为time None位	期望更改为time(n)	实际备端为time None位</t>
        </is>
      </c>
    </row>
    <row r="901">
      <c r="B901" s="0" t="inlineStr">
        <is>
          <t>NULL</t>
        </is>
      </c>
      <c r="C901" s="0" t="inlineStr">
        <is>
          <t>NULL</t>
        </is>
      </c>
      <c r="D901" s="0" t="inlineStr">
        <is>
          <t>NULL</t>
        </is>
      </c>
      <c r="E901" s="0" t="inlineStr">
        <is>
          <t>NULL</t>
        </is>
      </c>
      <c r="F901" s="0" t="inlineStr">
        <is>
          <t>NULL</t>
        </is>
      </c>
      <c r="G901" s="0" t="inlineStr">
        <is>
          <t>NULL</t>
        </is>
      </c>
      <c r="H901" s="0" t="inlineStr">
        <is>
          <t>NULL</t>
        </is>
      </c>
      <c r="I901" s="0" t="inlineStr">
        <is>
          <t>NULL</t>
        </is>
      </c>
      <c r="J901" s="0" t="inlineStr">
        <is>
          <t>NULL</t>
        </is>
      </c>
      <c r="K901" s="0" t="inlineStr">
        <is>
          <t>YES! 	 c_time3列源备映射正确，源端为time None位	期望更改为time(n)	实际备端为time None位</t>
        </is>
      </c>
    </row>
    <row r="902">
      <c r="B902" s="0" t="inlineStr">
        <is>
          <t>NULL</t>
        </is>
      </c>
      <c r="C902" s="0" t="inlineStr">
        <is>
          <t>NULL</t>
        </is>
      </c>
      <c r="D902" s="0" t="inlineStr">
        <is>
          <t>NULL</t>
        </is>
      </c>
      <c r="E902" s="0" t="inlineStr">
        <is>
          <t>NULL</t>
        </is>
      </c>
      <c r="F902" s="0" t="inlineStr">
        <is>
          <t>NULL</t>
        </is>
      </c>
      <c r="G902" s="0" t="inlineStr">
        <is>
          <t>NULL</t>
        </is>
      </c>
      <c r="H902" s="0" t="inlineStr">
        <is>
          <t>NULL</t>
        </is>
      </c>
      <c r="I902" s="0" t="inlineStr">
        <is>
          <t>NULL</t>
        </is>
      </c>
      <c r="J902" s="0" t="inlineStr">
        <is>
          <t>NULL</t>
        </is>
      </c>
      <c r="K902" s="0" t="inlineStr">
        <is>
          <t>YES! 	 c_time4列源备映射正确，源端为time None位	期望更改为time(n)	实际备端为time None位</t>
        </is>
      </c>
    </row>
    <row r="903">
      <c r="B903" s="0" t="inlineStr">
        <is>
          <t>NULL</t>
        </is>
      </c>
      <c r="C903" s="0" t="inlineStr">
        <is>
          <t>NULL</t>
        </is>
      </c>
      <c r="D903" s="0" t="inlineStr">
        <is>
          <t>NULL</t>
        </is>
      </c>
      <c r="E903" s="0" t="inlineStr">
        <is>
          <t>NULL</t>
        </is>
      </c>
      <c r="F903" s="0" t="inlineStr">
        <is>
          <t>NULL</t>
        </is>
      </c>
      <c r="G903" s="0" t="inlineStr">
        <is>
          <t>NULL</t>
        </is>
      </c>
      <c r="H903" s="0" t="inlineStr">
        <is>
          <t>NULL</t>
        </is>
      </c>
      <c r="I903" s="0" t="inlineStr">
        <is>
          <t>NULL</t>
        </is>
      </c>
      <c r="J903" s="0" t="inlineStr">
        <is>
          <t>NULL</t>
        </is>
      </c>
      <c r="K903" s="0" t="inlineStr">
        <is>
          <t>YES! 	 c_time5列源备映射正确，源端为time None位	期望更改为time(n)	实际备端为time None位</t>
        </is>
      </c>
    </row>
    <row r="904">
      <c r="B904" s="0" t="inlineStr">
        <is>
          <t>NULL</t>
        </is>
      </c>
      <c r="C904" s="0" t="inlineStr">
        <is>
          <t>NULL</t>
        </is>
      </c>
      <c r="D904" s="0" t="inlineStr">
        <is>
          <t>NULL</t>
        </is>
      </c>
      <c r="E904" s="0" t="inlineStr">
        <is>
          <t>NULL</t>
        </is>
      </c>
      <c r="F904" s="0" t="inlineStr">
        <is>
          <t>NULL</t>
        </is>
      </c>
      <c r="G904" s="0" t="inlineStr">
        <is>
          <t>NULL</t>
        </is>
      </c>
      <c r="H904" s="0" t="inlineStr">
        <is>
          <t>NULL</t>
        </is>
      </c>
      <c r="I904" s="0" t="inlineStr">
        <is>
          <t>NULL</t>
        </is>
      </c>
      <c r="J904" s="0" t="inlineStr">
        <is>
          <t>NULL</t>
        </is>
      </c>
      <c r="K904" s="0" t="inlineStr">
        <is>
          <t>YES! 	 c_time6列源备映射正确，源端为time None位	期望更改为time(n)	实际备端为time None位</t>
        </is>
      </c>
    </row>
    <row r="905">
      <c r="B905" s="0" t="inlineStr">
        <is>
          <t>NULL</t>
        </is>
      </c>
      <c r="C905" s="0" t="inlineStr">
        <is>
          <t>NULL</t>
        </is>
      </c>
      <c r="D905" s="0" t="inlineStr">
        <is>
          <t>NULL</t>
        </is>
      </c>
      <c r="E905" s="0" t="inlineStr">
        <is>
          <t>NULL</t>
        </is>
      </c>
      <c r="F905" s="0" t="inlineStr">
        <is>
          <t>NULL</t>
        </is>
      </c>
      <c r="G905" s="0" t="inlineStr">
        <is>
          <t>NULL</t>
        </is>
      </c>
      <c r="H905" s="0" t="inlineStr">
        <is>
          <t>NULL</t>
        </is>
      </c>
      <c r="I905" s="0" t="inlineStr">
        <is>
          <t>NULL</t>
        </is>
      </c>
      <c r="J905" s="0" t="inlineStr">
        <is>
          <t>NULL</t>
        </is>
      </c>
      <c r="K905" s="0" t="inlineStr">
        <is>
          <t>YES! 	 c_time列源备映射正确，源端为time None位	期望更改为time(n)	实际备端为time None位</t>
        </is>
      </c>
    </row>
    <row r="906">
      <c r="A906" s="0" t="inlineStr">
        <is>
          <t>info_datetime2_dml_batch1_pk_irp1</t>
        </is>
      </c>
      <c r="K906" s="0" t="inlineStr">
        <is>
          <t>[0;34m info_datetime2_dml_batch1_pk_irp1 [0m源备字段数相同，源端字段：9 	备端字段9</t>
        </is>
      </c>
      <c r="W906" s="0" t="inlineStr">
        <is>
          <t>YES 源备无差异</t>
        </is>
      </c>
      <c r="X906" s="0">
        <f>A906</f>
        <v/>
      </c>
    </row>
    <row r="907">
      <c r="B907" s="0" t="inlineStr">
        <is>
          <t>YES</t>
        </is>
      </c>
      <c r="C907" s="0" t="inlineStr">
        <is>
          <t>NULL</t>
        </is>
      </c>
      <c r="D907" s="0" t="inlineStr">
        <is>
          <t>NULL</t>
        </is>
      </c>
      <c r="E907" s="0" t="inlineStr">
        <is>
          <t>NULL</t>
        </is>
      </c>
      <c r="F907" s="0" t="inlineStr">
        <is>
          <t>NULL</t>
        </is>
      </c>
      <c r="G907" s="0" t="inlineStr">
        <is>
          <t>NULL</t>
        </is>
      </c>
      <c r="H907" s="0" t="inlineStr">
        <is>
          <t>NULL</t>
        </is>
      </c>
      <c r="I907" s="0" t="inlineStr">
        <is>
          <t>YES!PK__info_dat__3213E83FC6B7B484</t>
        </is>
      </c>
      <c r="J907" s="0" t="inlineStr">
        <is>
          <t>YES! 主键相关索引</t>
        </is>
      </c>
      <c r="K907" s="0" t="inlineStr">
        <is>
          <t>YES! 	 id列源备映射正确，源端为int None位	期望更改为int	实际备端为int None位</t>
        </is>
      </c>
    </row>
    <row r="908">
      <c r="B908" s="0" t="inlineStr">
        <is>
          <t>NULL</t>
        </is>
      </c>
      <c r="C908" s="0" t="inlineStr">
        <is>
          <t>NULL</t>
        </is>
      </c>
      <c r="D908" s="0" t="inlineStr">
        <is>
          <t>NULL</t>
        </is>
      </c>
      <c r="E908" s="0" t="inlineStr">
        <is>
          <t>NULL</t>
        </is>
      </c>
      <c r="F908" s="0" t="inlineStr">
        <is>
          <t>NULL</t>
        </is>
      </c>
      <c r="G908" s="0" t="inlineStr">
        <is>
          <t>NULL</t>
        </is>
      </c>
      <c r="H908" s="0" t="inlineStr">
        <is>
          <t>NULL</t>
        </is>
      </c>
      <c r="I908" s="0" t="inlineStr">
        <is>
          <t>NULL</t>
        </is>
      </c>
      <c r="J908" s="0" t="inlineStr">
        <is>
          <t>NULL</t>
        </is>
      </c>
      <c r="K908" s="0" t="inlineStr">
        <is>
          <t>no,len不存在</t>
        </is>
      </c>
    </row>
    <row r="909">
      <c r="B909" s="0" t="inlineStr">
        <is>
          <t>NULL</t>
        </is>
      </c>
      <c r="C909" s="0" t="inlineStr">
        <is>
          <t>NULL</t>
        </is>
      </c>
      <c r="D909" s="0" t="inlineStr">
        <is>
          <t>NULL</t>
        </is>
      </c>
      <c r="E909" s="0" t="inlineStr">
        <is>
          <t>NULL</t>
        </is>
      </c>
      <c r="F909" s="0" t="inlineStr">
        <is>
          <t>NULL</t>
        </is>
      </c>
      <c r="G909" s="0" t="inlineStr">
        <is>
          <t>NULL</t>
        </is>
      </c>
      <c r="H909" s="0" t="inlineStr">
        <is>
          <t>NULL</t>
        </is>
      </c>
      <c r="I909" s="0" t="inlineStr">
        <is>
          <t>NULL</t>
        </is>
      </c>
      <c r="J909" s="0" t="inlineStr">
        <is>
          <t>NULL</t>
        </is>
      </c>
      <c r="K909" s="0" t="inlineStr">
        <is>
          <t>YES! 	 c_dt2_1列源备映射正确，源端为datetime2 None位	期望更改为datetime2(n)	实际备端为datetime2 None位</t>
        </is>
      </c>
    </row>
    <row r="910">
      <c r="B910" s="0" t="inlineStr">
        <is>
          <t>NULL</t>
        </is>
      </c>
      <c r="C910" s="0" t="inlineStr">
        <is>
          <t>NULL</t>
        </is>
      </c>
      <c r="D910" s="0" t="inlineStr">
        <is>
          <t>NULL</t>
        </is>
      </c>
      <c r="E910" s="0" t="inlineStr">
        <is>
          <t>NULL</t>
        </is>
      </c>
      <c r="F910" s="0" t="inlineStr">
        <is>
          <t>NULL</t>
        </is>
      </c>
      <c r="G910" s="0" t="inlineStr">
        <is>
          <t>NULL</t>
        </is>
      </c>
      <c r="H910" s="0" t="inlineStr">
        <is>
          <t>NULL</t>
        </is>
      </c>
      <c r="I910" s="0" t="inlineStr">
        <is>
          <t>NULL</t>
        </is>
      </c>
      <c r="J910" s="0" t="inlineStr">
        <is>
          <t>NULL</t>
        </is>
      </c>
      <c r="K910" s="0" t="inlineStr">
        <is>
          <t>YES! 	 c_dt2_2列源备映射正确，源端为datetime2 None位	期望更改为datetime2(n)	实际备端为datetime2 None位</t>
        </is>
      </c>
    </row>
    <row r="911">
      <c r="B911" s="0" t="inlineStr">
        <is>
          <t>NULL</t>
        </is>
      </c>
      <c r="C911" s="0" t="inlineStr">
        <is>
          <t>NULL</t>
        </is>
      </c>
      <c r="D911" s="0" t="inlineStr">
        <is>
          <t>NULL</t>
        </is>
      </c>
      <c r="E911" s="0" t="inlineStr">
        <is>
          <t>NULL</t>
        </is>
      </c>
      <c r="F911" s="0" t="inlineStr">
        <is>
          <t>NULL</t>
        </is>
      </c>
      <c r="G911" s="0" t="inlineStr">
        <is>
          <t>NULL</t>
        </is>
      </c>
      <c r="H911" s="0" t="inlineStr">
        <is>
          <t>NULL</t>
        </is>
      </c>
      <c r="I911" s="0" t="inlineStr">
        <is>
          <t>NULL</t>
        </is>
      </c>
      <c r="J911" s="0" t="inlineStr">
        <is>
          <t>NULL</t>
        </is>
      </c>
      <c r="K911" s="0" t="inlineStr">
        <is>
          <t>YES! 	 c_dt2_3列源备映射正确，源端为datetime2 None位	期望更改为datetime2(n)	实际备端为datetime2 None位</t>
        </is>
      </c>
    </row>
    <row r="912">
      <c r="B912" s="0" t="inlineStr">
        <is>
          <t>NULL</t>
        </is>
      </c>
      <c r="C912" s="0" t="inlineStr">
        <is>
          <t>NULL</t>
        </is>
      </c>
      <c r="D912" s="0" t="inlineStr">
        <is>
          <t>NULL</t>
        </is>
      </c>
      <c r="E912" s="0" t="inlineStr">
        <is>
          <t>NULL</t>
        </is>
      </c>
      <c r="F912" s="0" t="inlineStr">
        <is>
          <t>NULL</t>
        </is>
      </c>
      <c r="G912" s="0" t="inlineStr">
        <is>
          <t>NULL</t>
        </is>
      </c>
      <c r="H912" s="0" t="inlineStr">
        <is>
          <t>NULL</t>
        </is>
      </c>
      <c r="I912" s="0" t="inlineStr">
        <is>
          <t>NULL</t>
        </is>
      </c>
      <c r="J912" s="0" t="inlineStr">
        <is>
          <t>NULL</t>
        </is>
      </c>
      <c r="K912" s="0" t="inlineStr">
        <is>
          <t>YES! 	 c_dt2_4列源备映射正确，源端为datetime2 None位	期望更改为datetime2(n)	实际备端为datetime2 None位</t>
        </is>
      </c>
    </row>
    <row r="913">
      <c r="B913" s="0" t="inlineStr">
        <is>
          <t>NULL</t>
        </is>
      </c>
      <c r="C913" s="0" t="inlineStr">
        <is>
          <t>NULL</t>
        </is>
      </c>
      <c r="D913" s="0" t="inlineStr">
        <is>
          <t>NULL</t>
        </is>
      </c>
      <c r="E913" s="0" t="inlineStr">
        <is>
          <t>NULL</t>
        </is>
      </c>
      <c r="F913" s="0" t="inlineStr">
        <is>
          <t>NULL</t>
        </is>
      </c>
      <c r="G913" s="0" t="inlineStr">
        <is>
          <t>NULL</t>
        </is>
      </c>
      <c r="H913" s="0" t="inlineStr">
        <is>
          <t>NULL</t>
        </is>
      </c>
      <c r="I913" s="0" t="inlineStr">
        <is>
          <t>NULL</t>
        </is>
      </c>
      <c r="J913" s="0" t="inlineStr">
        <is>
          <t>NULL</t>
        </is>
      </c>
      <c r="K913" s="0" t="inlineStr">
        <is>
          <t>YES! 	 c_dt2_5列源备映射正确，源端为datetime2 None位	期望更改为datetime2(n)	实际备端为datetime2 None位</t>
        </is>
      </c>
    </row>
    <row r="914">
      <c r="B914" s="0" t="inlineStr">
        <is>
          <t>NULL</t>
        </is>
      </c>
      <c r="C914" s="0" t="inlineStr">
        <is>
          <t>NULL</t>
        </is>
      </c>
      <c r="D914" s="0" t="inlineStr">
        <is>
          <t>NULL</t>
        </is>
      </c>
      <c r="E914" s="0" t="inlineStr">
        <is>
          <t>NULL</t>
        </is>
      </c>
      <c r="F914" s="0" t="inlineStr">
        <is>
          <t>NULL</t>
        </is>
      </c>
      <c r="G914" s="0" t="inlineStr">
        <is>
          <t>NULL</t>
        </is>
      </c>
      <c r="H914" s="0" t="inlineStr">
        <is>
          <t>NULL</t>
        </is>
      </c>
      <c r="I914" s="0" t="inlineStr">
        <is>
          <t>NULL</t>
        </is>
      </c>
      <c r="J914" s="0" t="inlineStr">
        <is>
          <t>NULL</t>
        </is>
      </c>
      <c r="K914" s="0" t="inlineStr">
        <is>
          <t>YES! 	 c_dt2_6列源备映射正确，源端为datetime2 None位	期望更改为datetime2(n)	实际备端为datetime2 None位</t>
        </is>
      </c>
    </row>
    <row r="915">
      <c r="B915" s="0" t="inlineStr">
        <is>
          <t>NULL</t>
        </is>
      </c>
      <c r="C915" s="0" t="inlineStr">
        <is>
          <t>NULL</t>
        </is>
      </c>
      <c r="D915" s="0" t="inlineStr">
        <is>
          <t>NULL</t>
        </is>
      </c>
      <c r="E915" s="0" t="inlineStr">
        <is>
          <t>NULL</t>
        </is>
      </c>
      <c r="F915" s="0" t="inlineStr">
        <is>
          <t>NULL</t>
        </is>
      </c>
      <c r="G915" s="0" t="inlineStr">
        <is>
          <t>NULL</t>
        </is>
      </c>
      <c r="H915" s="0" t="inlineStr">
        <is>
          <t>NULL</t>
        </is>
      </c>
      <c r="I915" s="0" t="inlineStr">
        <is>
          <t>NULL</t>
        </is>
      </c>
      <c r="J915" s="0" t="inlineStr">
        <is>
          <t>NULL</t>
        </is>
      </c>
      <c r="K915" s="0" t="inlineStr">
        <is>
          <t>YES! 	 c_dt2列源备映射正确，源端为datetime2 None位	期望更改为datetime2(n)	实际备端为datetime2 None位</t>
        </is>
      </c>
    </row>
    <row r="916">
      <c r="A916" s="0" t="inlineStr">
        <is>
          <t>info_varcharmax_dml_single_nopk_urp</t>
        </is>
      </c>
      <c r="K916" s="0" t="inlineStr">
        <is>
          <t>[0;34m info_varcharmax_dml_single_nopk_urp [0m源备字段数相同，源端字段：3 	备端字段3</t>
        </is>
      </c>
      <c r="W916" s="0" t="inlineStr">
        <is>
          <t>YES 源备无差异</t>
        </is>
      </c>
      <c r="X916" s="0">
        <f>A916</f>
        <v/>
      </c>
    </row>
    <row r="917">
      <c r="B917" s="0" t="inlineStr">
        <is>
          <t>NULL</t>
        </is>
      </c>
      <c r="C917" s="0" t="inlineStr">
        <is>
          <t>NULL</t>
        </is>
      </c>
      <c r="D917" s="0" t="inlineStr">
        <is>
          <t>NULL</t>
        </is>
      </c>
      <c r="E917" s="0" t="inlineStr">
        <is>
          <t>NULL</t>
        </is>
      </c>
      <c r="F917" s="0" t="inlineStr">
        <is>
          <t>NULL</t>
        </is>
      </c>
      <c r="G917" s="0" t="inlineStr">
        <is>
          <t>NULL</t>
        </is>
      </c>
      <c r="H917" s="0" t="inlineStr">
        <is>
          <t>NULL</t>
        </is>
      </c>
      <c r="I917" s="0" t="inlineStr">
        <is>
          <t>NULL</t>
        </is>
      </c>
      <c r="J917" s="0" t="inlineStr">
        <is>
          <t>NULL</t>
        </is>
      </c>
      <c r="K917" s="0" t="inlineStr">
        <is>
          <t>YES! 	 id列源备映射正确，源端为int None位	期望更改为int	实际备端为int None位</t>
        </is>
      </c>
    </row>
    <row r="918">
      <c r="B918" s="0" t="inlineStr">
        <is>
          <t>NULL</t>
        </is>
      </c>
      <c r="C918" s="0" t="inlineStr">
        <is>
          <t>NULL</t>
        </is>
      </c>
      <c r="D918" s="0" t="inlineStr">
        <is>
          <t>NULL</t>
        </is>
      </c>
      <c r="E918" s="0" t="inlineStr">
        <is>
          <t>NULL</t>
        </is>
      </c>
      <c r="F918" s="0" t="inlineStr">
        <is>
          <t>NULL</t>
        </is>
      </c>
      <c r="G918" s="0" t="inlineStr">
        <is>
          <t>NULL</t>
        </is>
      </c>
      <c r="H918" s="0" t="inlineStr">
        <is>
          <t>NULL</t>
        </is>
      </c>
      <c r="I918" s="0" t="inlineStr">
        <is>
          <t>NULL</t>
        </is>
      </c>
      <c r="J918" s="0" t="inlineStr">
        <is>
          <t>NULL</t>
        </is>
      </c>
      <c r="K918" s="0" t="inlineStr">
        <is>
          <t>YES! 	 c_varchar_max列源备映射正确，源端为varchar -1位	期望更改为varchar(n)	实际备端为varchar -1位</t>
        </is>
      </c>
    </row>
    <row r="919">
      <c r="B919" s="0" t="inlineStr">
        <is>
          <t>NULL</t>
        </is>
      </c>
      <c r="C919" s="0" t="inlineStr">
        <is>
          <t>NULL</t>
        </is>
      </c>
      <c r="D919" s="0" t="inlineStr">
        <is>
          <t>NULL</t>
        </is>
      </c>
      <c r="E919" s="0" t="inlineStr">
        <is>
          <t>NULL</t>
        </is>
      </c>
      <c r="F919" s="0" t="inlineStr">
        <is>
          <t>NULL</t>
        </is>
      </c>
      <c r="G919" s="0" t="inlineStr">
        <is>
          <t>NULL</t>
        </is>
      </c>
      <c r="H919" s="0" t="inlineStr">
        <is>
          <t>NULL</t>
        </is>
      </c>
      <c r="I919" s="0" t="inlineStr">
        <is>
          <t>NULL</t>
        </is>
      </c>
      <c r="J919" s="0" t="inlineStr">
        <is>
          <t>NULL</t>
        </is>
      </c>
      <c r="K919" s="0" t="inlineStr">
        <is>
          <t>YES! 	 c_nvarchar_max列源备映射正确，源端为nvarchar -1位	期望更改为nvarchar(n)	实际备端为nvarchar -1位</t>
        </is>
      </c>
    </row>
    <row r="920">
      <c r="A920" s="0" t="inlineStr">
        <is>
          <t>info_nchar_dml_batch2_pk_urp2</t>
        </is>
      </c>
      <c r="K920" s="0" t="inlineStr">
        <is>
          <t>[0;34m info_nchar_dml_batch2_pk_urp2 [0m源备字段数相同，源端字段：4 	备端字段4</t>
        </is>
      </c>
      <c r="W920" s="0" t="inlineStr">
        <is>
          <t>YES 源备无差异</t>
        </is>
      </c>
      <c r="X920" s="0">
        <f>A920</f>
        <v/>
      </c>
    </row>
    <row r="921">
      <c r="B921" s="0" t="inlineStr">
        <is>
          <t>YES</t>
        </is>
      </c>
      <c r="C921" s="0" t="inlineStr">
        <is>
          <t>NULL</t>
        </is>
      </c>
      <c r="D921" s="0" t="inlineStr">
        <is>
          <t>NULL</t>
        </is>
      </c>
      <c r="E921" s="0" t="inlineStr">
        <is>
          <t>NULL</t>
        </is>
      </c>
      <c r="F921" s="0" t="inlineStr">
        <is>
          <t>NULL</t>
        </is>
      </c>
      <c r="G921" s="0" t="inlineStr">
        <is>
          <t>NULL</t>
        </is>
      </c>
      <c r="H921" s="0" t="inlineStr">
        <is>
          <t>NULL</t>
        </is>
      </c>
      <c r="I921" s="0" t="inlineStr">
        <is>
          <t>YES!PK__info_nch__3213E83F61A8127B</t>
        </is>
      </c>
      <c r="J921" s="0" t="inlineStr">
        <is>
          <t>YES! 主键相关索引</t>
        </is>
      </c>
      <c r="K921" s="0" t="inlineStr">
        <is>
          <t>YES! 	 id列源备映射正确，源端为int None位	期望更改为int	实际备端为int None位</t>
        </is>
      </c>
    </row>
    <row r="922">
      <c r="B922" s="0" t="inlineStr">
        <is>
          <t>NULL</t>
        </is>
      </c>
      <c r="C922" s="0" t="inlineStr">
        <is>
          <t>NULL</t>
        </is>
      </c>
      <c r="D922" s="0" t="inlineStr">
        <is>
          <t>NULL</t>
        </is>
      </c>
      <c r="E922" s="0" t="inlineStr">
        <is>
          <t>NULL</t>
        </is>
      </c>
      <c r="F922" s="0" t="inlineStr">
        <is>
          <t>NULL</t>
        </is>
      </c>
      <c r="G922" s="0" t="inlineStr">
        <is>
          <t>NULL</t>
        </is>
      </c>
      <c r="H922" s="0" t="inlineStr">
        <is>
          <t>NULL</t>
        </is>
      </c>
      <c r="I922" s="0" t="inlineStr">
        <is>
          <t>NULL</t>
        </is>
      </c>
      <c r="J922" s="0" t="inlineStr">
        <is>
          <t>NULL</t>
        </is>
      </c>
      <c r="K922" s="0" t="inlineStr">
        <is>
          <t>YES! 	 c_nchar列源备映射正确，源端为nchar 2位	期望更改为nchar(n)	实际备端为nchar 2位</t>
        </is>
      </c>
    </row>
    <row r="923">
      <c r="B923" s="0" t="inlineStr">
        <is>
          <t>NULL</t>
        </is>
      </c>
      <c r="C923" s="0" t="inlineStr">
        <is>
          <t>NULL</t>
        </is>
      </c>
      <c r="D923" s="0" t="inlineStr">
        <is>
          <t>NULL</t>
        </is>
      </c>
      <c r="E923" s="0" t="inlineStr">
        <is>
          <t>NULL</t>
        </is>
      </c>
      <c r="F923" s="0" t="inlineStr">
        <is>
          <t>NULL</t>
        </is>
      </c>
      <c r="G923" s="0" t="inlineStr">
        <is>
          <t>NULL</t>
        </is>
      </c>
      <c r="H923" s="0" t="inlineStr">
        <is>
          <t>NULL</t>
        </is>
      </c>
      <c r="I923" s="0" t="inlineStr">
        <is>
          <t>NULL</t>
        </is>
      </c>
      <c r="J923" s="0" t="inlineStr">
        <is>
          <t>NULL</t>
        </is>
      </c>
      <c r="K923" s="0" t="inlineStr">
        <is>
          <t>YES! 	 c_nchar20列源备映射正确，源端为nchar 40位	期望更改为nchar(n)	实际备端为nchar 40位</t>
        </is>
      </c>
    </row>
    <row r="924">
      <c r="B924" s="0" t="inlineStr">
        <is>
          <t>NULL</t>
        </is>
      </c>
      <c r="C924" s="0" t="inlineStr">
        <is>
          <t>NULL</t>
        </is>
      </c>
      <c r="D924" s="0" t="inlineStr">
        <is>
          <t>NULL</t>
        </is>
      </c>
      <c r="E924" s="0" t="inlineStr">
        <is>
          <t>NULL</t>
        </is>
      </c>
      <c r="F924" s="0" t="inlineStr">
        <is>
          <t>NULL</t>
        </is>
      </c>
      <c r="G924" s="0" t="inlineStr">
        <is>
          <t>NULL</t>
        </is>
      </c>
      <c r="H924" s="0" t="inlineStr">
        <is>
          <t>NULL</t>
        </is>
      </c>
      <c r="I924" s="0" t="inlineStr">
        <is>
          <t>NULL</t>
        </is>
      </c>
      <c r="J924" s="0" t="inlineStr">
        <is>
          <t>NULL</t>
        </is>
      </c>
      <c r="K924" s="0" t="inlineStr">
        <is>
          <t>YES! 	 c_nchar3500列源备映射正确，源端为nchar 7000位	期望更改为nchar(n)	实际备端为nchar 7000位</t>
        </is>
      </c>
    </row>
    <row r="925">
      <c r="A925" s="0" t="inlineStr">
        <is>
          <t>info_varcharmax_dml_single_nopk_drp</t>
        </is>
      </c>
      <c r="K925" s="0" t="inlineStr">
        <is>
          <t>[0;34m info_varcharmax_dml_single_nopk_drp [0m源备字段数相同，源端字段：3 	备端字段3</t>
        </is>
      </c>
      <c r="W925" s="0" t="inlineStr">
        <is>
          <t>YES 源备无差异</t>
        </is>
      </c>
      <c r="X925" s="0">
        <f>A925</f>
        <v/>
      </c>
    </row>
    <row r="926">
      <c r="B926" s="0" t="inlineStr">
        <is>
          <t>NULL</t>
        </is>
      </c>
      <c r="C926" s="0" t="inlineStr">
        <is>
          <t>NULL</t>
        </is>
      </c>
      <c r="D926" s="0" t="inlineStr">
        <is>
          <t>NULL</t>
        </is>
      </c>
      <c r="E926" s="0" t="inlineStr">
        <is>
          <t>NULL</t>
        </is>
      </c>
      <c r="F926" s="0" t="inlineStr">
        <is>
          <t>NULL</t>
        </is>
      </c>
      <c r="G926" s="0" t="inlineStr">
        <is>
          <t>NULL</t>
        </is>
      </c>
      <c r="H926" s="0" t="inlineStr">
        <is>
          <t>NULL</t>
        </is>
      </c>
      <c r="I926" s="0" t="inlineStr">
        <is>
          <t>NULL</t>
        </is>
      </c>
      <c r="J926" s="0" t="inlineStr">
        <is>
          <t>NULL</t>
        </is>
      </c>
      <c r="K926" s="0" t="inlineStr">
        <is>
          <t>YES! 	 id列源备映射正确，源端为int None位	期望更改为int	实际备端为int None位</t>
        </is>
      </c>
    </row>
    <row r="927">
      <c r="B927" s="0" t="inlineStr">
        <is>
          <t>NULL</t>
        </is>
      </c>
      <c r="C927" s="0" t="inlineStr">
        <is>
          <t>NULL</t>
        </is>
      </c>
      <c r="D927" s="0" t="inlineStr">
        <is>
          <t>NULL</t>
        </is>
      </c>
      <c r="E927" s="0" t="inlineStr">
        <is>
          <t>NULL</t>
        </is>
      </c>
      <c r="F927" s="0" t="inlineStr">
        <is>
          <t>NULL</t>
        </is>
      </c>
      <c r="G927" s="0" t="inlineStr">
        <is>
          <t>NULL</t>
        </is>
      </c>
      <c r="H927" s="0" t="inlineStr">
        <is>
          <t>NULL</t>
        </is>
      </c>
      <c r="I927" s="0" t="inlineStr">
        <is>
          <t>NULL</t>
        </is>
      </c>
      <c r="J927" s="0" t="inlineStr">
        <is>
          <t>NULL</t>
        </is>
      </c>
      <c r="K927" s="0" t="inlineStr">
        <is>
          <t>YES! 	 c_varchar_max列源备映射正确，源端为varchar -1位	期望更改为varchar(n)	实际备端为varchar -1位</t>
        </is>
      </c>
    </row>
    <row r="928">
      <c r="B928" s="0" t="inlineStr">
        <is>
          <t>NULL</t>
        </is>
      </c>
      <c r="C928" s="0" t="inlineStr">
        <is>
          <t>NULL</t>
        </is>
      </c>
      <c r="D928" s="0" t="inlineStr">
        <is>
          <t>NULL</t>
        </is>
      </c>
      <c r="E928" s="0" t="inlineStr">
        <is>
          <t>NULL</t>
        </is>
      </c>
      <c r="F928" s="0" t="inlineStr">
        <is>
          <t>NULL</t>
        </is>
      </c>
      <c r="G928" s="0" t="inlineStr">
        <is>
          <t>NULL</t>
        </is>
      </c>
      <c r="H928" s="0" t="inlineStr">
        <is>
          <t>NULL</t>
        </is>
      </c>
      <c r="I928" s="0" t="inlineStr">
        <is>
          <t>NULL</t>
        </is>
      </c>
      <c r="J928" s="0" t="inlineStr">
        <is>
          <t>NULL</t>
        </is>
      </c>
      <c r="K928" s="0" t="inlineStr">
        <is>
          <t>YES! 	 c_nvarchar_max列源备映射正确，源端为nvarchar -1位	期望更改为nvarchar(n)	实际备端为nvarchar -1位</t>
        </is>
      </c>
    </row>
    <row r="929">
      <c r="A929" s="0" t="inlineStr">
        <is>
          <t>info_time_dml_single_pk_urp</t>
        </is>
      </c>
      <c r="K929" s="0" t="inlineStr">
        <is>
          <t>[0;34m info_time_dml_single_pk_urp [0m源备字段数相同，源端字段：9 	备端字段9</t>
        </is>
      </c>
      <c r="W929" s="0" t="inlineStr">
        <is>
          <t>YES 源备无差异</t>
        </is>
      </c>
      <c r="X929" s="0">
        <f>A929</f>
        <v/>
      </c>
    </row>
    <row r="930">
      <c r="B930" s="0" t="inlineStr">
        <is>
          <t>YES</t>
        </is>
      </c>
      <c r="C930" s="0" t="inlineStr">
        <is>
          <t>NULL</t>
        </is>
      </c>
      <c r="D930" s="0" t="inlineStr">
        <is>
          <t>NULL</t>
        </is>
      </c>
      <c r="E930" s="0" t="inlineStr">
        <is>
          <t>NULL</t>
        </is>
      </c>
      <c r="F930" s="0" t="inlineStr">
        <is>
          <t>NULL</t>
        </is>
      </c>
      <c r="G930" s="0" t="inlineStr">
        <is>
          <t>NULL</t>
        </is>
      </c>
      <c r="H930" s="0" t="inlineStr">
        <is>
          <t>NULL</t>
        </is>
      </c>
      <c r="I930" s="0" t="inlineStr">
        <is>
          <t>YES!PK__info_tim__3213E83F1D372851</t>
        </is>
      </c>
      <c r="J930" s="0" t="inlineStr">
        <is>
          <t>YES! 主键相关索引</t>
        </is>
      </c>
      <c r="K930" s="0" t="inlineStr">
        <is>
          <t>YES! 	 id列源备映射正确，源端为int None位	期望更改为int	实际备端为int None位</t>
        </is>
      </c>
    </row>
    <row r="931">
      <c r="B931" s="0" t="inlineStr">
        <is>
          <t>NULL</t>
        </is>
      </c>
      <c r="C931" s="0" t="inlineStr">
        <is>
          <t>NULL</t>
        </is>
      </c>
      <c r="D931" s="0" t="inlineStr">
        <is>
          <t>NULL</t>
        </is>
      </c>
      <c r="E931" s="0" t="inlineStr">
        <is>
          <t>NULL</t>
        </is>
      </c>
      <c r="F931" s="0" t="inlineStr">
        <is>
          <t>NULL</t>
        </is>
      </c>
      <c r="G931" s="0" t="inlineStr">
        <is>
          <t>NULL</t>
        </is>
      </c>
      <c r="H931" s="0" t="inlineStr">
        <is>
          <t>NULL</t>
        </is>
      </c>
      <c r="I931" s="0" t="inlineStr">
        <is>
          <t>NULL</t>
        </is>
      </c>
      <c r="J931" s="0" t="inlineStr">
        <is>
          <t>NULL</t>
        </is>
      </c>
      <c r="K931" s="0" t="inlineStr">
        <is>
          <t>no,len不存在</t>
        </is>
      </c>
    </row>
    <row r="932">
      <c r="B932" s="0" t="inlineStr">
        <is>
          <t>NULL</t>
        </is>
      </c>
      <c r="C932" s="0" t="inlineStr">
        <is>
          <t>NULL</t>
        </is>
      </c>
      <c r="D932" s="0" t="inlineStr">
        <is>
          <t>NULL</t>
        </is>
      </c>
      <c r="E932" s="0" t="inlineStr">
        <is>
          <t>NULL</t>
        </is>
      </c>
      <c r="F932" s="0" t="inlineStr">
        <is>
          <t>NULL</t>
        </is>
      </c>
      <c r="G932" s="0" t="inlineStr">
        <is>
          <t>NULL</t>
        </is>
      </c>
      <c r="H932" s="0" t="inlineStr">
        <is>
          <t>NULL</t>
        </is>
      </c>
      <c r="I932" s="0" t="inlineStr">
        <is>
          <t>NULL</t>
        </is>
      </c>
      <c r="J932" s="0" t="inlineStr">
        <is>
          <t>NULL</t>
        </is>
      </c>
      <c r="K932" s="0" t="inlineStr">
        <is>
          <t>YES! 	 c_time1列源备映射正确，源端为time None位	期望更改为time(n)	实际备端为time None位</t>
        </is>
      </c>
    </row>
    <row r="933">
      <c r="B933" s="0" t="inlineStr">
        <is>
          <t>NULL</t>
        </is>
      </c>
      <c r="C933" s="0" t="inlineStr">
        <is>
          <t>NULL</t>
        </is>
      </c>
      <c r="D933" s="0" t="inlineStr">
        <is>
          <t>NULL</t>
        </is>
      </c>
      <c r="E933" s="0" t="inlineStr">
        <is>
          <t>NULL</t>
        </is>
      </c>
      <c r="F933" s="0" t="inlineStr">
        <is>
          <t>NULL</t>
        </is>
      </c>
      <c r="G933" s="0" t="inlineStr">
        <is>
          <t>NULL</t>
        </is>
      </c>
      <c r="H933" s="0" t="inlineStr">
        <is>
          <t>NULL</t>
        </is>
      </c>
      <c r="I933" s="0" t="inlineStr">
        <is>
          <t>NULL</t>
        </is>
      </c>
      <c r="J933" s="0" t="inlineStr">
        <is>
          <t>NULL</t>
        </is>
      </c>
      <c r="K933" s="0" t="inlineStr">
        <is>
          <t>YES! 	 c_time2列源备映射正确，源端为time None位	期望更改为time(n)	实际备端为time None位</t>
        </is>
      </c>
    </row>
    <row r="934">
      <c r="B934" s="0" t="inlineStr">
        <is>
          <t>NULL</t>
        </is>
      </c>
      <c r="C934" s="0" t="inlineStr">
        <is>
          <t>NULL</t>
        </is>
      </c>
      <c r="D934" s="0" t="inlineStr">
        <is>
          <t>NULL</t>
        </is>
      </c>
      <c r="E934" s="0" t="inlineStr">
        <is>
          <t>NULL</t>
        </is>
      </c>
      <c r="F934" s="0" t="inlineStr">
        <is>
          <t>NULL</t>
        </is>
      </c>
      <c r="G934" s="0" t="inlineStr">
        <is>
          <t>NULL</t>
        </is>
      </c>
      <c r="H934" s="0" t="inlineStr">
        <is>
          <t>NULL</t>
        </is>
      </c>
      <c r="I934" s="0" t="inlineStr">
        <is>
          <t>NULL</t>
        </is>
      </c>
      <c r="J934" s="0" t="inlineStr">
        <is>
          <t>NULL</t>
        </is>
      </c>
      <c r="K934" s="0" t="inlineStr">
        <is>
          <t>YES! 	 c_time3列源备映射正确，源端为time None位	期望更改为time(n)	实际备端为time None位</t>
        </is>
      </c>
    </row>
    <row r="935">
      <c r="B935" s="0" t="inlineStr">
        <is>
          <t>NULL</t>
        </is>
      </c>
      <c r="C935" s="0" t="inlineStr">
        <is>
          <t>NULL</t>
        </is>
      </c>
      <c r="D935" s="0" t="inlineStr">
        <is>
          <t>NULL</t>
        </is>
      </c>
      <c r="E935" s="0" t="inlineStr">
        <is>
          <t>NULL</t>
        </is>
      </c>
      <c r="F935" s="0" t="inlineStr">
        <is>
          <t>NULL</t>
        </is>
      </c>
      <c r="G935" s="0" t="inlineStr">
        <is>
          <t>NULL</t>
        </is>
      </c>
      <c r="H935" s="0" t="inlineStr">
        <is>
          <t>NULL</t>
        </is>
      </c>
      <c r="I935" s="0" t="inlineStr">
        <is>
          <t>NULL</t>
        </is>
      </c>
      <c r="J935" s="0" t="inlineStr">
        <is>
          <t>NULL</t>
        </is>
      </c>
      <c r="K935" s="0" t="inlineStr">
        <is>
          <t>YES! 	 c_time4列源备映射正确，源端为time None位	期望更改为time(n)	实际备端为time None位</t>
        </is>
      </c>
    </row>
    <row r="936">
      <c r="B936" s="0" t="inlineStr">
        <is>
          <t>NULL</t>
        </is>
      </c>
      <c r="C936" s="0" t="inlineStr">
        <is>
          <t>NULL</t>
        </is>
      </c>
      <c r="D936" s="0" t="inlineStr">
        <is>
          <t>NULL</t>
        </is>
      </c>
      <c r="E936" s="0" t="inlineStr">
        <is>
          <t>NULL</t>
        </is>
      </c>
      <c r="F936" s="0" t="inlineStr">
        <is>
          <t>NULL</t>
        </is>
      </c>
      <c r="G936" s="0" t="inlineStr">
        <is>
          <t>NULL</t>
        </is>
      </c>
      <c r="H936" s="0" t="inlineStr">
        <is>
          <t>NULL</t>
        </is>
      </c>
      <c r="I936" s="0" t="inlineStr">
        <is>
          <t>NULL</t>
        </is>
      </c>
      <c r="J936" s="0" t="inlineStr">
        <is>
          <t>NULL</t>
        </is>
      </c>
      <c r="K936" s="0" t="inlineStr">
        <is>
          <t>YES! 	 c_time5列源备映射正确，源端为time None位	期望更改为time(n)	实际备端为time None位</t>
        </is>
      </c>
    </row>
    <row r="937">
      <c r="B937" s="0" t="inlineStr">
        <is>
          <t>NULL</t>
        </is>
      </c>
      <c r="C937" s="0" t="inlineStr">
        <is>
          <t>NULL</t>
        </is>
      </c>
      <c r="D937" s="0" t="inlineStr">
        <is>
          <t>NULL</t>
        </is>
      </c>
      <c r="E937" s="0" t="inlineStr">
        <is>
          <t>NULL</t>
        </is>
      </c>
      <c r="F937" s="0" t="inlineStr">
        <is>
          <t>NULL</t>
        </is>
      </c>
      <c r="G937" s="0" t="inlineStr">
        <is>
          <t>NULL</t>
        </is>
      </c>
      <c r="H937" s="0" t="inlineStr">
        <is>
          <t>NULL</t>
        </is>
      </c>
      <c r="I937" s="0" t="inlineStr">
        <is>
          <t>NULL</t>
        </is>
      </c>
      <c r="J937" s="0" t="inlineStr">
        <is>
          <t>NULL</t>
        </is>
      </c>
      <c r="K937" s="0" t="inlineStr">
        <is>
          <t>YES! 	 c_time6列源备映射正确，源端为time None位	期望更改为time(n)	实际备端为time None位</t>
        </is>
      </c>
    </row>
    <row r="938">
      <c r="B938" s="0" t="inlineStr">
        <is>
          <t>NULL</t>
        </is>
      </c>
      <c r="C938" s="0" t="inlineStr">
        <is>
          <t>NULL</t>
        </is>
      </c>
      <c r="D938" s="0" t="inlineStr">
        <is>
          <t>NULL</t>
        </is>
      </c>
      <c r="E938" s="0" t="inlineStr">
        <is>
          <t>NULL</t>
        </is>
      </c>
      <c r="F938" s="0" t="inlineStr">
        <is>
          <t>NULL</t>
        </is>
      </c>
      <c r="G938" s="0" t="inlineStr">
        <is>
          <t>NULL</t>
        </is>
      </c>
      <c r="H938" s="0" t="inlineStr">
        <is>
          <t>NULL</t>
        </is>
      </c>
      <c r="I938" s="0" t="inlineStr">
        <is>
          <t>NULL</t>
        </is>
      </c>
      <c r="J938" s="0" t="inlineStr">
        <is>
          <t>NULL</t>
        </is>
      </c>
      <c r="K938" s="0" t="inlineStr">
        <is>
          <t>YES! 	 c_time列源备映射正确，源端为time None位	期望更改为time(n)	实际备端为time None位</t>
        </is>
      </c>
    </row>
    <row r="939">
      <c r="A939" s="0" t="inlineStr">
        <is>
          <t>info_datetime2_dml_batch1_pk_irp2</t>
        </is>
      </c>
      <c r="K939" s="0" t="inlineStr">
        <is>
          <t>[0;34m info_datetime2_dml_batch1_pk_irp2 [0m源备字段数相同，源端字段：9 	备端字段9</t>
        </is>
      </c>
      <c r="W939" s="0" t="inlineStr">
        <is>
          <t>YES 源备无差异</t>
        </is>
      </c>
      <c r="X939" s="0">
        <f>A939</f>
        <v/>
      </c>
    </row>
    <row r="940">
      <c r="B940" s="0" t="inlineStr">
        <is>
          <t>YES</t>
        </is>
      </c>
      <c r="C940" s="0" t="inlineStr">
        <is>
          <t>NULL</t>
        </is>
      </c>
      <c r="D940" s="0" t="inlineStr">
        <is>
          <t>NULL</t>
        </is>
      </c>
      <c r="E940" s="0" t="inlineStr">
        <is>
          <t>NULL</t>
        </is>
      </c>
      <c r="F940" s="0" t="inlineStr">
        <is>
          <t>NULL</t>
        </is>
      </c>
      <c r="G940" s="0" t="inlineStr">
        <is>
          <t>NULL</t>
        </is>
      </c>
      <c r="H940" s="0" t="inlineStr">
        <is>
          <t>NULL</t>
        </is>
      </c>
      <c r="I940" s="0" t="inlineStr">
        <is>
          <t>YES!PK__info_dat__3213E83F477FF471</t>
        </is>
      </c>
      <c r="J940" s="0" t="inlineStr">
        <is>
          <t>YES! 主键相关索引</t>
        </is>
      </c>
      <c r="K940" s="0" t="inlineStr">
        <is>
          <t>YES! 	 id列源备映射正确，源端为int None位	期望更改为int	实际备端为int None位</t>
        </is>
      </c>
    </row>
    <row r="941">
      <c r="B941" s="0" t="inlineStr">
        <is>
          <t>NULL</t>
        </is>
      </c>
      <c r="C941" s="0" t="inlineStr">
        <is>
          <t>NULL</t>
        </is>
      </c>
      <c r="D941" s="0" t="inlineStr">
        <is>
          <t>NULL</t>
        </is>
      </c>
      <c r="E941" s="0" t="inlineStr">
        <is>
          <t>NULL</t>
        </is>
      </c>
      <c r="F941" s="0" t="inlineStr">
        <is>
          <t>NULL</t>
        </is>
      </c>
      <c r="G941" s="0" t="inlineStr">
        <is>
          <t>NULL</t>
        </is>
      </c>
      <c r="H941" s="0" t="inlineStr">
        <is>
          <t>NULL</t>
        </is>
      </c>
      <c r="I941" s="0" t="inlineStr">
        <is>
          <t>NULL</t>
        </is>
      </c>
      <c r="J941" s="0" t="inlineStr">
        <is>
          <t>NULL</t>
        </is>
      </c>
      <c r="K941" s="0" t="inlineStr">
        <is>
          <t>no,len不存在</t>
        </is>
      </c>
    </row>
    <row r="942">
      <c r="B942" s="0" t="inlineStr">
        <is>
          <t>NULL</t>
        </is>
      </c>
      <c r="C942" s="0" t="inlineStr">
        <is>
          <t>NULL</t>
        </is>
      </c>
      <c r="D942" s="0" t="inlineStr">
        <is>
          <t>NULL</t>
        </is>
      </c>
      <c r="E942" s="0" t="inlineStr">
        <is>
          <t>NULL</t>
        </is>
      </c>
      <c r="F942" s="0" t="inlineStr">
        <is>
          <t>NULL</t>
        </is>
      </c>
      <c r="G942" s="0" t="inlineStr">
        <is>
          <t>NULL</t>
        </is>
      </c>
      <c r="H942" s="0" t="inlineStr">
        <is>
          <t>NULL</t>
        </is>
      </c>
      <c r="I942" s="0" t="inlineStr">
        <is>
          <t>NULL</t>
        </is>
      </c>
      <c r="J942" s="0" t="inlineStr">
        <is>
          <t>NULL</t>
        </is>
      </c>
      <c r="K942" s="0" t="inlineStr">
        <is>
          <t>YES! 	 c_dt2_1列源备映射正确，源端为datetime2 None位	期望更改为datetime2(n)	实际备端为datetime2 None位</t>
        </is>
      </c>
    </row>
    <row r="943">
      <c r="B943" s="0" t="inlineStr">
        <is>
          <t>NULL</t>
        </is>
      </c>
      <c r="C943" s="0" t="inlineStr">
        <is>
          <t>NULL</t>
        </is>
      </c>
      <c r="D943" s="0" t="inlineStr">
        <is>
          <t>NULL</t>
        </is>
      </c>
      <c r="E943" s="0" t="inlineStr">
        <is>
          <t>NULL</t>
        </is>
      </c>
      <c r="F943" s="0" t="inlineStr">
        <is>
          <t>NULL</t>
        </is>
      </c>
      <c r="G943" s="0" t="inlineStr">
        <is>
          <t>NULL</t>
        </is>
      </c>
      <c r="H943" s="0" t="inlineStr">
        <is>
          <t>NULL</t>
        </is>
      </c>
      <c r="I943" s="0" t="inlineStr">
        <is>
          <t>NULL</t>
        </is>
      </c>
      <c r="J943" s="0" t="inlineStr">
        <is>
          <t>NULL</t>
        </is>
      </c>
      <c r="K943" s="0" t="inlineStr">
        <is>
          <t>YES! 	 c_dt2_2列源备映射正确，源端为datetime2 None位	期望更改为datetime2(n)	实际备端为datetime2 None位</t>
        </is>
      </c>
    </row>
    <row r="944">
      <c r="B944" s="0" t="inlineStr">
        <is>
          <t>NULL</t>
        </is>
      </c>
      <c r="C944" s="0" t="inlineStr">
        <is>
          <t>NULL</t>
        </is>
      </c>
      <c r="D944" s="0" t="inlineStr">
        <is>
          <t>NULL</t>
        </is>
      </c>
      <c r="E944" s="0" t="inlineStr">
        <is>
          <t>NULL</t>
        </is>
      </c>
      <c r="F944" s="0" t="inlineStr">
        <is>
          <t>NULL</t>
        </is>
      </c>
      <c r="G944" s="0" t="inlineStr">
        <is>
          <t>NULL</t>
        </is>
      </c>
      <c r="H944" s="0" t="inlineStr">
        <is>
          <t>NULL</t>
        </is>
      </c>
      <c r="I944" s="0" t="inlineStr">
        <is>
          <t>NULL</t>
        </is>
      </c>
      <c r="J944" s="0" t="inlineStr">
        <is>
          <t>NULL</t>
        </is>
      </c>
      <c r="K944" s="0" t="inlineStr">
        <is>
          <t>YES! 	 c_dt2_3列源备映射正确，源端为datetime2 None位	期望更改为datetime2(n)	实际备端为datetime2 None位</t>
        </is>
      </c>
    </row>
    <row r="945">
      <c r="B945" s="0" t="inlineStr">
        <is>
          <t>NULL</t>
        </is>
      </c>
      <c r="C945" s="0" t="inlineStr">
        <is>
          <t>NULL</t>
        </is>
      </c>
      <c r="D945" s="0" t="inlineStr">
        <is>
          <t>NULL</t>
        </is>
      </c>
      <c r="E945" s="0" t="inlineStr">
        <is>
          <t>NULL</t>
        </is>
      </c>
      <c r="F945" s="0" t="inlineStr">
        <is>
          <t>NULL</t>
        </is>
      </c>
      <c r="G945" s="0" t="inlineStr">
        <is>
          <t>NULL</t>
        </is>
      </c>
      <c r="H945" s="0" t="inlineStr">
        <is>
          <t>NULL</t>
        </is>
      </c>
      <c r="I945" s="0" t="inlineStr">
        <is>
          <t>NULL</t>
        </is>
      </c>
      <c r="J945" s="0" t="inlineStr">
        <is>
          <t>NULL</t>
        </is>
      </c>
      <c r="K945" s="0" t="inlineStr">
        <is>
          <t>YES! 	 c_dt2_4列源备映射正确，源端为datetime2 None位	期望更改为datetime2(n)	实际备端为datetime2 None位</t>
        </is>
      </c>
    </row>
    <row r="946">
      <c r="B946" s="0" t="inlineStr">
        <is>
          <t>NULL</t>
        </is>
      </c>
      <c r="C946" s="0" t="inlineStr">
        <is>
          <t>NULL</t>
        </is>
      </c>
      <c r="D946" s="0" t="inlineStr">
        <is>
          <t>NULL</t>
        </is>
      </c>
      <c r="E946" s="0" t="inlineStr">
        <is>
          <t>NULL</t>
        </is>
      </c>
      <c r="F946" s="0" t="inlineStr">
        <is>
          <t>NULL</t>
        </is>
      </c>
      <c r="G946" s="0" t="inlineStr">
        <is>
          <t>NULL</t>
        </is>
      </c>
      <c r="H946" s="0" t="inlineStr">
        <is>
          <t>NULL</t>
        </is>
      </c>
      <c r="I946" s="0" t="inlineStr">
        <is>
          <t>NULL</t>
        </is>
      </c>
      <c r="J946" s="0" t="inlineStr">
        <is>
          <t>NULL</t>
        </is>
      </c>
      <c r="K946" s="0" t="inlineStr">
        <is>
          <t>YES! 	 c_dt2_5列源备映射正确，源端为datetime2 None位	期望更改为datetime2(n)	实际备端为datetime2 None位</t>
        </is>
      </c>
    </row>
    <row r="947">
      <c r="B947" s="0" t="inlineStr">
        <is>
          <t>NULL</t>
        </is>
      </c>
      <c r="C947" s="0" t="inlineStr">
        <is>
          <t>NULL</t>
        </is>
      </c>
      <c r="D947" s="0" t="inlineStr">
        <is>
          <t>NULL</t>
        </is>
      </c>
      <c r="E947" s="0" t="inlineStr">
        <is>
          <t>NULL</t>
        </is>
      </c>
      <c r="F947" s="0" t="inlineStr">
        <is>
          <t>NULL</t>
        </is>
      </c>
      <c r="G947" s="0" t="inlineStr">
        <is>
          <t>NULL</t>
        </is>
      </c>
      <c r="H947" s="0" t="inlineStr">
        <is>
          <t>NULL</t>
        </is>
      </c>
      <c r="I947" s="0" t="inlineStr">
        <is>
          <t>NULL</t>
        </is>
      </c>
      <c r="J947" s="0" t="inlineStr">
        <is>
          <t>NULL</t>
        </is>
      </c>
      <c r="K947" s="0" t="inlineStr">
        <is>
          <t>YES! 	 c_dt2_6列源备映射正确，源端为datetime2 None位	期望更改为datetime2(n)	实际备端为datetime2 None位</t>
        </is>
      </c>
    </row>
    <row r="948">
      <c r="B948" s="0" t="inlineStr">
        <is>
          <t>NULL</t>
        </is>
      </c>
      <c r="C948" s="0" t="inlineStr">
        <is>
          <t>NULL</t>
        </is>
      </c>
      <c r="D948" s="0" t="inlineStr">
        <is>
          <t>NULL</t>
        </is>
      </c>
      <c r="E948" s="0" t="inlineStr">
        <is>
          <t>NULL</t>
        </is>
      </c>
      <c r="F948" s="0" t="inlineStr">
        <is>
          <t>NULL</t>
        </is>
      </c>
      <c r="G948" s="0" t="inlineStr">
        <is>
          <t>NULL</t>
        </is>
      </c>
      <c r="H948" s="0" t="inlineStr">
        <is>
          <t>NULL</t>
        </is>
      </c>
      <c r="I948" s="0" t="inlineStr">
        <is>
          <t>NULL</t>
        </is>
      </c>
      <c r="J948" s="0" t="inlineStr">
        <is>
          <t>NULL</t>
        </is>
      </c>
      <c r="K948" s="0" t="inlineStr">
        <is>
          <t>YES! 	 c_dt2列源备映射正确，源端为datetime2 None位	期望更改为datetime2(n)	实际备端为datetime2 None位</t>
        </is>
      </c>
    </row>
    <row r="949">
      <c r="A949" s="0" t="inlineStr">
        <is>
          <t>info_nchar_dml_batch1_pk_drp1</t>
        </is>
      </c>
      <c r="K949" s="0" t="inlineStr">
        <is>
          <t>[0;34m info_nchar_dml_batch1_pk_drp1 [0m源备字段数相同，源端字段：4 	备端字段4</t>
        </is>
      </c>
      <c r="W949" s="0" t="inlineStr">
        <is>
          <t>YES 源备无差异</t>
        </is>
      </c>
      <c r="X949" s="0">
        <f>A949</f>
        <v/>
      </c>
    </row>
    <row r="950">
      <c r="B950" s="0" t="inlineStr">
        <is>
          <t>YES</t>
        </is>
      </c>
      <c r="C950" s="0" t="inlineStr">
        <is>
          <t>NULL</t>
        </is>
      </c>
      <c r="D950" s="0" t="inlineStr">
        <is>
          <t>NULL</t>
        </is>
      </c>
      <c r="E950" s="0" t="inlineStr">
        <is>
          <t>NULL</t>
        </is>
      </c>
      <c r="F950" s="0" t="inlineStr">
        <is>
          <t>NULL</t>
        </is>
      </c>
      <c r="G950" s="0" t="inlineStr">
        <is>
          <t>NULL</t>
        </is>
      </c>
      <c r="H950" s="0" t="inlineStr">
        <is>
          <t>NULL</t>
        </is>
      </c>
      <c r="I950" s="0" t="inlineStr">
        <is>
          <t>YES!PK__info_nch__3213E83F969B1219</t>
        </is>
      </c>
      <c r="J950" s="0" t="inlineStr">
        <is>
          <t>YES! 主键相关索引</t>
        </is>
      </c>
      <c r="K950" s="0" t="inlineStr">
        <is>
          <t>YES! 	 id列源备映射正确，源端为int None位	期望更改为int	实际备端为int None位</t>
        </is>
      </c>
    </row>
    <row r="951">
      <c r="B951" s="0" t="inlineStr">
        <is>
          <t>NULL</t>
        </is>
      </c>
      <c r="C951" s="0" t="inlineStr">
        <is>
          <t>NULL</t>
        </is>
      </c>
      <c r="D951" s="0" t="inlineStr">
        <is>
          <t>NULL</t>
        </is>
      </c>
      <c r="E951" s="0" t="inlineStr">
        <is>
          <t>NULL</t>
        </is>
      </c>
      <c r="F951" s="0" t="inlineStr">
        <is>
          <t>NULL</t>
        </is>
      </c>
      <c r="G951" s="0" t="inlineStr">
        <is>
          <t>NULL</t>
        </is>
      </c>
      <c r="H951" s="0" t="inlineStr">
        <is>
          <t>NULL</t>
        </is>
      </c>
      <c r="I951" s="0" t="inlineStr">
        <is>
          <t>NULL</t>
        </is>
      </c>
      <c r="J951" s="0" t="inlineStr">
        <is>
          <t>NULL</t>
        </is>
      </c>
      <c r="K951" s="0" t="inlineStr">
        <is>
          <t>YES! 	 c_nchar列源备映射正确，源端为nchar 2位	期望更改为nchar(n)	实际备端为nchar 2位</t>
        </is>
      </c>
    </row>
    <row r="952">
      <c r="B952" s="0" t="inlineStr">
        <is>
          <t>NULL</t>
        </is>
      </c>
      <c r="C952" s="0" t="inlineStr">
        <is>
          <t>NULL</t>
        </is>
      </c>
      <c r="D952" s="0" t="inlineStr">
        <is>
          <t>NULL</t>
        </is>
      </c>
      <c r="E952" s="0" t="inlineStr">
        <is>
          <t>NULL</t>
        </is>
      </c>
      <c r="F952" s="0" t="inlineStr">
        <is>
          <t>NULL</t>
        </is>
      </c>
      <c r="G952" s="0" t="inlineStr">
        <is>
          <t>NULL</t>
        </is>
      </c>
      <c r="H952" s="0" t="inlineStr">
        <is>
          <t>NULL</t>
        </is>
      </c>
      <c r="I952" s="0" t="inlineStr">
        <is>
          <t>NULL</t>
        </is>
      </c>
      <c r="J952" s="0" t="inlineStr">
        <is>
          <t>NULL</t>
        </is>
      </c>
      <c r="K952" s="0" t="inlineStr">
        <is>
          <t>YES! 	 c_nchar20列源备映射正确，源端为nchar 40位	期望更改为nchar(n)	实际备端为nchar 40位</t>
        </is>
      </c>
    </row>
    <row r="953">
      <c r="B953" s="0" t="inlineStr">
        <is>
          <t>NULL</t>
        </is>
      </c>
      <c r="C953" s="0" t="inlineStr">
        <is>
          <t>NULL</t>
        </is>
      </c>
      <c r="D953" s="0" t="inlineStr">
        <is>
          <t>NULL</t>
        </is>
      </c>
      <c r="E953" s="0" t="inlineStr">
        <is>
          <t>NULL</t>
        </is>
      </c>
      <c r="F953" s="0" t="inlineStr">
        <is>
          <t>NULL</t>
        </is>
      </c>
      <c r="G953" s="0" t="inlineStr">
        <is>
          <t>NULL</t>
        </is>
      </c>
      <c r="H953" s="0" t="inlineStr">
        <is>
          <t>NULL</t>
        </is>
      </c>
      <c r="I953" s="0" t="inlineStr">
        <is>
          <t>NULL</t>
        </is>
      </c>
      <c r="J953" s="0" t="inlineStr">
        <is>
          <t>NULL</t>
        </is>
      </c>
      <c r="K953" s="0" t="inlineStr">
        <is>
          <t>YES! 	 c_nchar3500列源备映射正确，源端为nchar 7000位	期望更改为nchar(n)	实际备端为nchar 7000位</t>
        </is>
      </c>
    </row>
    <row r="954">
      <c r="K954" s="0" t="inlineStr">
        <is>
          <t>~ 空表</t>
        </is>
      </c>
    </row>
    <row r="955">
      <c r="A955" s="0" t="inlineStr">
        <is>
          <t>info_time_dml_single_pk_drp</t>
        </is>
      </c>
      <c r="K955" s="0" t="inlineStr">
        <is>
          <t>[0;34m info_time_dml_single_pk_drp [0m源备字段数相同，源端字段：9 	备端字段9</t>
        </is>
      </c>
      <c r="W955" s="0" t="inlineStr">
        <is>
          <t>YES 源备无差异</t>
        </is>
      </c>
      <c r="X955" s="0">
        <f>A955</f>
        <v/>
      </c>
    </row>
    <row r="956">
      <c r="B956" s="0" t="inlineStr">
        <is>
          <t>YES</t>
        </is>
      </c>
      <c r="C956" s="0" t="inlineStr">
        <is>
          <t>NULL</t>
        </is>
      </c>
      <c r="D956" s="0" t="inlineStr">
        <is>
          <t>NULL</t>
        </is>
      </c>
      <c r="E956" s="0" t="inlineStr">
        <is>
          <t>NULL</t>
        </is>
      </c>
      <c r="F956" s="0" t="inlineStr">
        <is>
          <t>NULL</t>
        </is>
      </c>
      <c r="G956" s="0" t="inlineStr">
        <is>
          <t>NULL</t>
        </is>
      </c>
      <c r="H956" s="0" t="inlineStr">
        <is>
          <t>NULL</t>
        </is>
      </c>
      <c r="I956" s="0" t="inlineStr">
        <is>
          <t>YES!PK__info_tim__3213E83FC101F4AB</t>
        </is>
      </c>
      <c r="J956" s="0" t="inlineStr">
        <is>
          <t>YES! 主键相关索引</t>
        </is>
      </c>
      <c r="K956" s="0" t="inlineStr">
        <is>
          <t>YES! 	 id列源备映射正确，源端为int None位	期望更改为int	实际备端为int None位</t>
        </is>
      </c>
    </row>
    <row r="957">
      <c r="B957" s="0" t="inlineStr">
        <is>
          <t>NULL</t>
        </is>
      </c>
      <c r="C957" s="0" t="inlineStr">
        <is>
          <t>NULL</t>
        </is>
      </c>
      <c r="D957" s="0" t="inlineStr">
        <is>
          <t>NULL</t>
        </is>
      </c>
      <c r="E957" s="0" t="inlineStr">
        <is>
          <t>NULL</t>
        </is>
      </c>
      <c r="F957" s="0" t="inlineStr">
        <is>
          <t>NULL</t>
        </is>
      </c>
      <c r="G957" s="0" t="inlineStr">
        <is>
          <t>NULL</t>
        </is>
      </c>
      <c r="H957" s="0" t="inlineStr">
        <is>
          <t>NULL</t>
        </is>
      </c>
      <c r="I957" s="0" t="inlineStr">
        <is>
          <t>NULL</t>
        </is>
      </c>
      <c r="J957" s="0" t="inlineStr">
        <is>
          <t>NULL</t>
        </is>
      </c>
      <c r="K957" s="0" t="inlineStr">
        <is>
          <t>no,len不存在</t>
        </is>
      </c>
    </row>
    <row r="958">
      <c r="B958" s="0" t="inlineStr">
        <is>
          <t>NULL</t>
        </is>
      </c>
      <c r="C958" s="0" t="inlineStr">
        <is>
          <t>NULL</t>
        </is>
      </c>
      <c r="D958" s="0" t="inlineStr">
        <is>
          <t>NULL</t>
        </is>
      </c>
      <c r="E958" s="0" t="inlineStr">
        <is>
          <t>NULL</t>
        </is>
      </c>
      <c r="F958" s="0" t="inlineStr">
        <is>
          <t>NULL</t>
        </is>
      </c>
      <c r="G958" s="0" t="inlineStr">
        <is>
          <t>NULL</t>
        </is>
      </c>
      <c r="H958" s="0" t="inlineStr">
        <is>
          <t>NULL</t>
        </is>
      </c>
      <c r="I958" s="0" t="inlineStr">
        <is>
          <t>NULL</t>
        </is>
      </c>
      <c r="J958" s="0" t="inlineStr">
        <is>
          <t>NULL</t>
        </is>
      </c>
      <c r="K958" s="0" t="inlineStr">
        <is>
          <t>YES! 	 c_time1列源备映射正确，源端为time None位	期望更改为time(n)	实际备端为time None位</t>
        </is>
      </c>
    </row>
    <row r="959">
      <c r="B959" s="0" t="inlineStr">
        <is>
          <t>NULL</t>
        </is>
      </c>
      <c r="C959" s="0" t="inlineStr">
        <is>
          <t>NULL</t>
        </is>
      </c>
      <c r="D959" s="0" t="inlineStr">
        <is>
          <t>NULL</t>
        </is>
      </c>
      <c r="E959" s="0" t="inlineStr">
        <is>
          <t>NULL</t>
        </is>
      </c>
      <c r="F959" s="0" t="inlineStr">
        <is>
          <t>NULL</t>
        </is>
      </c>
      <c r="G959" s="0" t="inlineStr">
        <is>
          <t>NULL</t>
        </is>
      </c>
      <c r="H959" s="0" t="inlineStr">
        <is>
          <t>NULL</t>
        </is>
      </c>
      <c r="I959" s="0" t="inlineStr">
        <is>
          <t>NULL</t>
        </is>
      </c>
      <c r="J959" s="0" t="inlineStr">
        <is>
          <t>NULL</t>
        </is>
      </c>
      <c r="K959" s="0" t="inlineStr">
        <is>
          <t>YES! 	 c_time2列源备映射正确，源端为time None位	期望更改为time(n)	实际备端为time None位</t>
        </is>
      </c>
    </row>
    <row r="960">
      <c r="B960" s="0" t="inlineStr">
        <is>
          <t>NULL</t>
        </is>
      </c>
      <c r="C960" s="0" t="inlineStr">
        <is>
          <t>NULL</t>
        </is>
      </c>
      <c r="D960" s="0" t="inlineStr">
        <is>
          <t>NULL</t>
        </is>
      </c>
      <c r="E960" s="0" t="inlineStr">
        <is>
          <t>NULL</t>
        </is>
      </c>
      <c r="F960" s="0" t="inlineStr">
        <is>
          <t>NULL</t>
        </is>
      </c>
      <c r="G960" s="0" t="inlineStr">
        <is>
          <t>NULL</t>
        </is>
      </c>
      <c r="H960" s="0" t="inlineStr">
        <is>
          <t>NULL</t>
        </is>
      </c>
      <c r="I960" s="0" t="inlineStr">
        <is>
          <t>NULL</t>
        </is>
      </c>
      <c r="J960" s="0" t="inlineStr">
        <is>
          <t>NULL</t>
        </is>
      </c>
      <c r="K960" s="0" t="inlineStr">
        <is>
          <t>YES! 	 c_time3列源备映射正确，源端为time None位	期望更改为time(n)	实际备端为time None位</t>
        </is>
      </c>
    </row>
    <row r="961">
      <c r="B961" s="0" t="inlineStr">
        <is>
          <t>NULL</t>
        </is>
      </c>
      <c r="C961" s="0" t="inlineStr">
        <is>
          <t>NULL</t>
        </is>
      </c>
      <c r="D961" s="0" t="inlineStr">
        <is>
          <t>NULL</t>
        </is>
      </c>
      <c r="E961" s="0" t="inlineStr">
        <is>
          <t>NULL</t>
        </is>
      </c>
      <c r="F961" s="0" t="inlineStr">
        <is>
          <t>NULL</t>
        </is>
      </c>
      <c r="G961" s="0" t="inlineStr">
        <is>
          <t>NULL</t>
        </is>
      </c>
      <c r="H961" s="0" t="inlineStr">
        <is>
          <t>NULL</t>
        </is>
      </c>
      <c r="I961" s="0" t="inlineStr">
        <is>
          <t>NULL</t>
        </is>
      </c>
      <c r="J961" s="0" t="inlineStr">
        <is>
          <t>NULL</t>
        </is>
      </c>
      <c r="K961" s="0" t="inlineStr">
        <is>
          <t>YES! 	 c_time4列源备映射正确，源端为time None位	期望更改为time(n)	实际备端为time None位</t>
        </is>
      </c>
    </row>
    <row r="962">
      <c r="B962" s="0" t="inlineStr">
        <is>
          <t>NULL</t>
        </is>
      </c>
      <c r="C962" s="0" t="inlineStr">
        <is>
          <t>NULL</t>
        </is>
      </c>
      <c r="D962" s="0" t="inlineStr">
        <is>
          <t>NULL</t>
        </is>
      </c>
      <c r="E962" s="0" t="inlineStr">
        <is>
          <t>NULL</t>
        </is>
      </c>
      <c r="F962" s="0" t="inlineStr">
        <is>
          <t>NULL</t>
        </is>
      </c>
      <c r="G962" s="0" t="inlineStr">
        <is>
          <t>NULL</t>
        </is>
      </c>
      <c r="H962" s="0" t="inlineStr">
        <is>
          <t>NULL</t>
        </is>
      </c>
      <c r="I962" s="0" t="inlineStr">
        <is>
          <t>NULL</t>
        </is>
      </c>
      <c r="J962" s="0" t="inlineStr">
        <is>
          <t>NULL</t>
        </is>
      </c>
      <c r="K962" s="0" t="inlineStr">
        <is>
          <t>YES! 	 c_time5列源备映射正确，源端为time None位	期望更改为time(n)	实际备端为time None位</t>
        </is>
      </c>
    </row>
    <row r="963">
      <c r="B963" s="0" t="inlineStr">
        <is>
          <t>NULL</t>
        </is>
      </c>
      <c r="C963" s="0" t="inlineStr">
        <is>
          <t>NULL</t>
        </is>
      </c>
      <c r="D963" s="0" t="inlineStr">
        <is>
          <t>NULL</t>
        </is>
      </c>
      <c r="E963" s="0" t="inlineStr">
        <is>
          <t>NULL</t>
        </is>
      </c>
      <c r="F963" s="0" t="inlineStr">
        <is>
          <t>NULL</t>
        </is>
      </c>
      <c r="G963" s="0" t="inlineStr">
        <is>
          <t>NULL</t>
        </is>
      </c>
      <c r="H963" s="0" t="inlineStr">
        <is>
          <t>NULL</t>
        </is>
      </c>
      <c r="I963" s="0" t="inlineStr">
        <is>
          <t>NULL</t>
        </is>
      </c>
      <c r="J963" s="0" t="inlineStr">
        <is>
          <t>NULL</t>
        </is>
      </c>
      <c r="K963" s="0" t="inlineStr">
        <is>
          <t>YES! 	 c_time6列源备映射正确，源端为time None位	期望更改为time(n)	实际备端为time None位</t>
        </is>
      </c>
    </row>
    <row r="964">
      <c r="B964" s="0" t="inlineStr">
        <is>
          <t>NULL</t>
        </is>
      </c>
      <c r="C964" s="0" t="inlineStr">
        <is>
          <t>NULL</t>
        </is>
      </c>
      <c r="D964" s="0" t="inlineStr">
        <is>
          <t>NULL</t>
        </is>
      </c>
      <c r="E964" s="0" t="inlineStr">
        <is>
          <t>NULL</t>
        </is>
      </c>
      <c r="F964" s="0" t="inlineStr">
        <is>
          <t>NULL</t>
        </is>
      </c>
      <c r="G964" s="0" t="inlineStr">
        <is>
          <t>NULL</t>
        </is>
      </c>
      <c r="H964" s="0" t="inlineStr">
        <is>
          <t>NULL</t>
        </is>
      </c>
      <c r="I964" s="0" t="inlineStr">
        <is>
          <t>NULL</t>
        </is>
      </c>
      <c r="J964" s="0" t="inlineStr">
        <is>
          <t>NULL</t>
        </is>
      </c>
      <c r="K964" s="0" t="inlineStr">
        <is>
          <t>YES! 	 c_time列源备映射正确，源端为time None位	期望更改为time(n)	实际备端为time None位</t>
        </is>
      </c>
    </row>
    <row r="965">
      <c r="A965" s="0" t="inlineStr">
        <is>
          <t>info_text_dml_single_nopk_irp</t>
        </is>
      </c>
      <c r="K965" s="0" t="inlineStr">
        <is>
          <t>[0;34m info_text_dml_single_nopk_irp [0m源备字段数相同，源端字段：3 	备端字段3</t>
        </is>
      </c>
      <c r="W965" s="0" t="inlineStr">
        <is>
          <t>YES 源备无差异</t>
        </is>
      </c>
      <c r="X965" s="0">
        <f>A965</f>
        <v/>
      </c>
    </row>
    <row r="966">
      <c r="B966" s="0" t="inlineStr">
        <is>
          <t>NULL</t>
        </is>
      </c>
      <c r="C966" s="0" t="inlineStr">
        <is>
          <t>NULL</t>
        </is>
      </c>
      <c r="D966" s="0" t="inlineStr">
        <is>
          <t>NULL</t>
        </is>
      </c>
      <c r="E966" s="0" t="inlineStr">
        <is>
          <t>NULL</t>
        </is>
      </c>
      <c r="F966" s="0" t="inlineStr">
        <is>
          <t>NULL</t>
        </is>
      </c>
      <c r="G966" s="0" t="inlineStr">
        <is>
          <t>NULL</t>
        </is>
      </c>
      <c r="H966" s="0" t="inlineStr">
        <is>
          <t>NULL</t>
        </is>
      </c>
      <c r="I966" s="0" t="inlineStr">
        <is>
          <t>NULL</t>
        </is>
      </c>
      <c r="J966" s="0" t="inlineStr">
        <is>
          <t>NULL</t>
        </is>
      </c>
      <c r="K966" s="0" t="inlineStr">
        <is>
          <t>YES! 	 id列源备映射正确，源端为int None位	期望更改为int	实际备端为int None位</t>
        </is>
      </c>
    </row>
    <row r="967">
      <c r="B967" s="0" t="inlineStr">
        <is>
          <t>NULL</t>
        </is>
      </c>
      <c r="C967" s="0" t="inlineStr">
        <is>
          <t>NULL</t>
        </is>
      </c>
      <c r="D967" s="0" t="inlineStr">
        <is>
          <t>NULL</t>
        </is>
      </c>
      <c r="E967" s="0" t="inlineStr">
        <is>
          <t>NULL</t>
        </is>
      </c>
      <c r="F967" s="0" t="inlineStr">
        <is>
          <t>NULL</t>
        </is>
      </c>
      <c r="G967" s="0" t="inlineStr">
        <is>
          <t>NULL</t>
        </is>
      </c>
      <c r="H967" s="0" t="inlineStr">
        <is>
          <t>NULL</t>
        </is>
      </c>
      <c r="I967" s="0" t="inlineStr">
        <is>
          <t>NULL</t>
        </is>
      </c>
      <c r="J967" s="0" t="inlineStr">
        <is>
          <t>NULL</t>
        </is>
      </c>
      <c r="K967" s="0" t="inlineStr">
        <is>
          <t>YES! 	 c_text列源备映射正确，源端为text 2147483647位	期望更改为text	实际备端为text 2147483647位</t>
        </is>
      </c>
    </row>
    <row r="968">
      <c r="B968" s="0" t="inlineStr">
        <is>
          <t>NULL</t>
        </is>
      </c>
      <c r="C968" s="0" t="inlineStr">
        <is>
          <t>NULL</t>
        </is>
      </c>
      <c r="D968" s="0" t="inlineStr">
        <is>
          <t>NULL</t>
        </is>
      </c>
      <c r="E968" s="0" t="inlineStr">
        <is>
          <t>NULL</t>
        </is>
      </c>
      <c r="F968" s="0" t="inlineStr">
        <is>
          <t>NULL</t>
        </is>
      </c>
      <c r="G968" s="0" t="inlineStr">
        <is>
          <t>NULL</t>
        </is>
      </c>
      <c r="H968" s="0" t="inlineStr">
        <is>
          <t>NULL</t>
        </is>
      </c>
      <c r="I968" s="0" t="inlineStr">
        <is>
          <t>NULL</t>
        </is>
      </c>
      <c r="J968" s="0" t="inlineStr">
        <is>
          <t>NULL</t>
        </is>
      </c>
      <c r="K968" s="0" t="inlineStr">
        <is>
          <t>YES! 	 c_ntext列源备映射正确，源端为ntext 2147483646位	期望更改为ntext	实际备端为ntext 2147483646位</t>
        </is>
      </c>
    </row>
    <row r="969">
      <c r="A969" s="0" t="inlineStr">
        <is>
          <t>info_uniqueidentifier_dml_single_nopk_irp</t>
        </is>
      </c>
      <c r="K969" s="0" t="inlineStr">
        <is>
          <t>[0;34m info_uniqueidentifier_dml_single_nopk_irp [0m源备字段数相同，源端字段：2 	备端字段2</t>
        </is>
      </c>
      <c r="W969" s="0" t="inlineStr">
        <is>
          <t>YES 源备无差异</t>
        </is>
      </c>
      <c r="X969" s="0">
        <f>A969</f>
        <v/>
      </c>
    </row>
    <row r="970">
      <c r="B970" s="0" t="inlineStr">
        <is>
          <t>NULL</t>
        </is>
      </c>
      <c r="C970" s="0" t="inlineStr">
        <is>
          <t>NULL</t>
        </is>
      </c>
      <c r="D970" s="0" t="inlineStr">
        <is>
          <t>NULL</t>
        </is>
      </c>
      <c r="E970" s="0" t="inlineStr">
        <is>
          <t>NULL</t>
        </is>
      </c>
      <c r="F970" s="0" t="inlineStr">
        <is>
          <t>NULL</t>
        </is>
      </c>
      <c r="G970" s="0" t="inlineStr">
        <is>
          <t>NULL</t>
        </is>
      </c>
      <c r="H970" s="0" t="inlineStr">
        <is>
          <t>NULL</t>
        </is>
      </c>
      <c r="I970" s="0" t="inlineStr">
        <is>
          <t>NULL</t>
        </is>
      </c>
      <c r="J970" s="0" t="inlineStr">
        <is>
          <t>NULL</t>
        </is>
      </c>
      <c r="K970" s="0" t="inlineStr">
        <is>
          <t>YES! 	 id列源备映射正确，源端为int None位	期望更改为int	实际备端为int None位</t>
        </is>
      </c>
    </row>
    <row r="971">
      <c r="B971" s="0" t="inlineStr">
        <is>
          <t>NULL</t>
        </is>
      </c>
      <c r="C971" s="0" t="inlineStr">
        <is>
          <t>NULL</t>
        </is>
      </c>
      <c r="D971" s="0" t="inlineStr">
        <is>
          <t>NULL</t>
        </is>
      </c>
      <c r="E971" s="0" t="inlineStr">
        <is>
          <t>NULL</t>
        </is>
      </c>
      <c r="F971" s="0" t="inlineStr">
        <is>
          <t>NULL</t>
        </is>
      </c>
      <c r="G971" s="0" t="inlineStr">
        <is>
          <t>NULL</t>
        </is>
      </c>
      <c r="H971" s="0" t="inlineStr">
        <is>
          <t>NULL</t>
        </is>
      </c>
      <c r="I971" s="0" t="inlineStr">
        <is>
          <t>NULL</t>
        </is>
      </c>
      <c r="J971" s="0" t="inlineStr">
        <is>
          <t>NULL</t>
        </is>
      </c>
      <c r="K971" s="0" t="inlineStr">
        <is>
          <t>YES! 	 c_uniqueidentifier列源备映射正确，源端为uniqueidentifier None位	期望更改为uniqueidentifier	实际备端为uniqueidentifier None位</t>
        </is>
      </c>
    </row>
    <row r="972">
      <c r="A972" s="0" t="inlineStr">
        <is>
          <t>info_datetime2_dml_batch2_pk_irp1</t>
        </is>
      </c>
      <c r="K972" s="0" t="inlineStr">
        <is>
          <t>[0;34m info_datetime2_dml_batch2_pk_irp1 [0m源备字段数相同，源端字段：9 	备端字段9</t>
        </is>
      </c>
      <c r="W972" s="0" t="inlineStr">
        <is>
          <t>YES 源备无差异</t>
        </is>
      </c>
      <c r="X972" s="0">
        <f>A972</f>
        <v/>
      </c>
    </row>
    <row r="973">
      <c r="B973" s="0" t="inlineStr">
        <is>
          <t>YES</t>
        </is>
      </c>
      <c r="C973" s="0" t="inlineStr">
        <is>
          <t>NULL</t>
        </is>
      </c>
      <c r="D973" s="0" t="inlineStr">
        <is>
          <t>NULL</t>
        </is>
      </c>
      <c r="E973" s="0" t="inlineStr">
        <is>
          <t>NULL</t>
        </is>
      </c>
      <c r="F973" s="0" t="inlineStr">
        <is>
          <t>NULL</t>
        </is>
      </c>
      <c r="G973" s="0" t="inlineStr">
        <is>
          <t>NULL</t>
        </is>
      </c>
      <c r="H973" s="0" t="inlineStr">
        <is>
          <t>NULL</t>
        </is>
      </c>
      <c r="I973" s="0" t="inlineStr">
        <is>
          <t>YES!PK__info_dat__3213E83FD21814D0</t>
        </is>
      </c>
      <c r="J973" s="0" t="inlineStr">
        <is>
          <t>YES! 主键相关索引</t>
        </is>
      </c>
      <c r="K973" s="0" t="inlineStr">
        <is>
          <t>YES! 	 id列源备映射正确，源端为int None位	期望更改为int	实际备端为int None位</t>
        </is>
      </c>
    </row>
    <row r="974">
      <c r="B974" s="0" t="inlineStr">
        <is>
          <t>NULL</t>
        </is>
      </c>
      <c r="C974" s="0" t="inlineStr">
        <is>
          <t>NULL</t>
        </is>
      </c>
      <c r="D974" s="0" t="inlineStr">
        <is>
          <t>NULL</t>
        </is>
      </c>
      <c r="E974" s="0" t="inlineStr">
        <is>
          <t>NULL</t>
        </is>
      </c>
      <c r="F974" s="0" t="inlineStr">
        <is>
          <t>NULL</t>
        </is>
      </c>
      <c r="G974" s="0" t="inlineStr">
        <is>
          <t>NULL</t>
        </is>
      </c>
      <c r="H974" s="0" t="inlineStr">
        <is>
          <t>NULL</t>
        </is>
      </c>
      <c r="I974" s="0" t="inlineStr">
        <is>
          <t>NULL</t>
        </is>
      </c>
      <c r="J974" s="0" t="inlineStr">
        <is>
          <t>NULL</t>
        </is>
      </c>
      <c r="K974" s="0" t="inlineStr">
        <is>
          <t>no,len不存在</t>
        </is>
      </c>
    </row>
    <row r="975">
      <c r="B975" s="0" t="inlineStr">
        <is>
          <t>NULL</t>
        </is>
      </c>
      <c r="C975" s="0" t="inlineStr">
        <is>
          <t>NULL</t>
        </is>
      </c>
      <c r="D975" s="0" t="inlineStr">
        <is>
          <t>NULL</t>
        </is>
      </c>
      <c r="E975" s="0" t="inlineStr">
        <is>
          <t>NULL</t>
        </is>
      </c>
      <c r="F975" s="0" t="inlineStr">
        <is>
          <t>NULL</t>
        </is>
      </c>
      <c r="G975" s="0" t="inlineStr">
        <is>
          <t>NULL</t>
        </is>
      </c>
      <c r="H975" s="0" t="inlineStr">
        <is>
          <t>NULL</t>
        </is>
      </c>
      <c r="I975" s="0" t="inlineStr">
        <is>
          <t>NULL</t>
        </is>
      </c>
      <c r="J975" s="0" t="inlineStr">
        <is>
          <t>NULL</t>
        </is>
      </c>
      <c r="K975" s="0" t="inlineStr">
        <is>
          <t>YES! 	 c_dt2_1列源备映射正确，源端为datetime2 None位	期望更改为datetime2(n)	实际备端为datetime2 None位</t>
        </is>
      </c>
    </row>
    <row r="976">
      <c r="B976" s="0" t="inlineStr">
        <is>
          <t>NULL</t>
        </is>
      </c>
      <c r="C976" s="0" t="inlineStr">
        <is>
          <t>NULL</t>
        </is>
      </c>
      <c r="D976" s="0" t="inlineStr">
        <is>
          <t>NULL</t>
        </is>
      </c>
      <c r="E976" s="0" t="inlineStr">
        <is>
          <t>NULL</t>
        </is>
      </c>
      <c r="F976" s="0" t="inlineStr">
        <is>
          <t>NULL</t>
        </is>
      </c>
      <c r="G976" s="0" t="inlineStr">
        <is>
          <t>NULL</t>
        </is>
      </c>
      <c r="H976" s="0" t="inlineStr">
        <is>
          <t>NULL</t>
        </is>
      </c>
      <c r="I976" s="0" t="inlineStr">
        <is>
          <t>NULL</t>
        </is>
      </c>
      <c r="J976" s="0" t="inlineStr">
        <is>
          <t>NULL</t>
        </is>
      </c>
      <c r="K976" s="0" t="inlineStr">
        <is>
          <t>YES! 	 c_dt2_2列源备映射正确，源端为datetime2 None位	期望更改为datetime2(n)	实际备端为datetime2 None位</t>
        </is>
      </c>
    </row>
    <row r="977">
      <c r="B977" s="0" t="inlineStr">
        <is>
          <t>NULL</t>
        </is>
      </c>
      <c r="C977" s="0" t="inlineStr">
        <is>
          <t>NULL</t>
        </is>
      </c>
      <c r="D977" s="0" t="inlineStr">
        <is>
          <t>NULL</t>
        </is>
      </c>
      <c r="E977" s="0" t="inlineStr">
        <is>
          <t>NULL</t>
        </is>
      </c>
      <c r="F977" s="0" t="inlineStr">
        <is>
          <t>NULL</t>
        </is>
      </c>
      <c r="G977" s="0" t="inlineStr">
        <is>
          <t>NULL</t>
        </is>
      </c>
      <c r="H977" s="0" t="inlineStr">
        <is>
          <t>NULL</t>
        </is>
      </c>
      <c r="I977" s="0" t="inlineStr">
        <is>
          <t>NULL</t>
        </is>
      </c>
      <c r="J977" s="0" t="inlineStr">
        <is>
          <t>NULL</t>
        </is>
      </c>
      <c r="K977" s="0" t="inlineStr">
        <is>
          <t>YES! 	 c_dt2_3列源备映射正确，源端为datetime2 None位	期望更改为datetime2(n)	实际备端为datetime2 None位</t>
        </is>
      </c>
    </row>
    <row r="978">
      <c r="B978" s="0" t="inlineStr">
        <is>
          <t>NULL</t>
        </is>
      </c>
      <c r="C978" s="0" t="inlineStr">
        <is>
          <t>NULL</t>
        </is>
      </c>
      <c r="D978" s="0" t="inlineStr">
        <is>
          <t>NULL</t>
        </is>
      </c>
      <c r="E978" s="0" t="inlineStr">
        <is>
          <t>NULL</t>
        </is>
      </c>
      <c r="F978" s="0" t="inlineStr">
        <is>
          <t>NULL</t>
        </is>
      </c>
      <c r="G978" s="0" t="inlineStr">
        <is>
          <t>NULL</t>
        </is>
      </c>
      <c r="H978" s="0" t="inlineStr">
        <is>
          <t>NULL</t>
        </is>
      </c>
      <c r="I978" s="0" t="inlineStr">
        <is>
          <t>NULL</t>
        </is>
      </c>
      <c r="J978" s="0" t="inlineStr">
        <is>
          <t>NULL</t>
        </is>
      </c>
      <c r="K978" s="0" t="inlineStr">
        <is>
          <t>YES! 	 c_dt2_4列源备映射正确，源端为datetime2 None位	期望更改为datetime2(n)	实际备端为datetime2 None位</t>
        </is>
      </c>
    </row>
    <row r="979">
      <c r="B979" s="0" t="inlineStr">
        <is>
          <t>NULL</t>
        </is>
      </c>
      <c r="C979" s="0" t="inlineStr">
        <is>
          <t>NULL</t>
        </is>
      </c>
      <c r="D979" s="0" t="inlineStr">
        <is>
          <t>NULL</t>
        </is>
      </c>
      <c r="E979" s="0" t="inlineStr">
        <is>
          <t>NULL</t>
        </is>
      </c>
      <c r="F979" s="0" t="inlineStr">
        <is>
          <t>NULL</t>
        </is>
      </c>
      <c r="G979" s="0" t="inlineStr">
        <is>
          <t>NULL</t>
        </is>
      </c>
      <c r="H979" s="0" t="inlineStr">
        <is>
          <t>NULL</t>
        </is>
      </c>
      <c r="I979" s="0" t="inlineStr">
        <is>
          <t>NULL</t>
        </is>
      </c>
      <c r="J979" s="0" t="inlineStr">
        <is>
          <t>NULL</t>
        </is>
      </c>
      <c r="K979" s="0" t="inlineStr">
        <is>
          <t>YES! 	 c_dt2_5列源备映射正确，源端为datetime2 None位	期望更改为datetime2(n)	实际备端为datetime2 None位</t>
        </is>
      </c>
    </row>
    <row r="980">
      <c r="B980" s="0" t="inlineStr">
        <is>
          <t>NULL</t>
        </is>
      </c>
      <c r="C980" s="0" t="inlineStr">
        <is>
          <t>NULL</t>
        </is>
      </c>
      <c r="D980" s="0" t="inlineStr">
        <is>
          <t>NULL</t>
        </is>
      </c>
      <c r="E980" s="0" t="inlineStr">
        <is>
          <t>NULL</t>
        </is>
      </c>
      <c r="F980" s="0" t="inlineStr">
        <is>
          <t>NULL</t>
        </is>
      </c>
      <c r="G980" s="0" t="inlineStr">
        <is>
          <t>NULL</t>
        </is>
      </c>
      <c r="H980" s="0" t="inlineStr">
        <is>
          <t>NULL</t>
        </is>
      </c>
      <c r="I980" s="0" t="inlineStr">
        <is>
          <t>NULL</t>
        </is>
      </c>
      <c r="J980" s="0" t="inlineStr">
        <is>
          <t>NULL</t>
        </is>
      </c>
      <c r="K980" s="0" t="inlineStr">
        <is>
          <t>YES! 	 c_dt2_6列源备映射正确，源端为datetime2 None位	期望更改为datetime2(n)	实际备端为datetime2 None位</t>
        </is>
      </c>
    </row>
    <row r="981">
      <c r="B981" s="0" t="inlineStr">
        <is>
          <t>NULL</t>
        </is>
      </c>
      <c r="C981" s="0" t="inlineStr">
        <is>
          <t>NULL</t>
        </is>
      </c>
      <c r="D981" s="0" t="inlineStr">
        <is>
          <t>NULL</t>
        </is>
      </c>
      <c r="E981" s="0" t="inlineStr">
        <is>
          <t>NULL</t>
        </is>
      </c>
      <c r="F981" s="0" t="inlineStr">
        <is>
          <t>NULL</t>
        </is>
      </c>
      <c r="G981" s="0" t="inlineStr">
        <is>
          <t>NULL</t>
        </is>
      </c>
      <c r="H981" s="0" t="inlineStr">
        <is>
          <t>NULL</t>
        </is>
      </c>
      <c r="I981" s="0" t="inlineStr">
        <is>
          <t>NULL</t>
        </is>
      </c>
      <c r="J981" s="0" t="inlineStr">
        <is>
          <t>NULL</t>
        </is>
      </c>
      <c r="K981" s="0" t="inlineStr">
        <is>
          <t>YES! 	 c_dt2列源备映射正确，源端为datetime2 None位	期望更改为datetime2(n)	实际备端为datetime2 None位</t>
        </is>
      </c>
    </row>
    <row r="982">
      <c r="A982" s="0" t="inlineStr">
        <is>
          <t>info_text_dml_single_nopk_urp</t>
        </is>
      </c>
      <c r="K982" s="0" t="inlineStr">
        <is>
          <t>[0;34m info_text_dml_single_nopk_urp [0m源备字段数相同，源端字段：3 	备端字段3</t>
        </is>
      </c>
      <c r="W982" s="0" t="inlineStr">
        <is>
          <t>YES 源备无差异</t>
        </is>
      </c>
      <c r="X982" s="0">
        <f>A982</f>
        <v/>
      </c>
    </row>
    <row r="983">
      <c r="B983" s="0" t="inlineStr">
        <is>
          <t>NULL</t>
        </is>
      </c>
      <c r="C983" s="0" t="inlineStr">
        <is>
          <t>NULL</t>
        </is>
      </c>
      <c r="D983" s="0" t="inlineStr">
        <is>
          <t>NULL</t>
        </is>
      </c>
      <c r="E983" s="0" t="inlineStr">
        <is>
          <t>NULL</t>
        </is>
      </c>
      <c r="F983" s="0" t="inlineStr">
        <is>
          <t>NULL</t>
        </is>
      </c>
      <c r="G983" s="0" t="inlineStr">
        <is>
          <t>NULL</t>
        </is>
      </c>
      <c r="H983" s="0" t="inlineStr">
        <is>
          <t>NULL</t>
        </is>
      </c>
      <c r="I983" s="0" t="inlineStr">
        <is>
          <t>NULL</t>
        </is>
      </c>
      <c r="J983" s="0" t="inlineStr">
        <is>
          <t>NULL</t>
        </is>
      </c>
      <c r="K983" s="0" t="inlineStr">
        <is>
          <t>YES! 	 id列源备映射正确，源端为int None位	期望更改为int	实际备端为int None位</t>
        </is>
      </c>
    </row>
    <row r="984">
      <c r="B984" s="0" t="inlineStr">
        <is>
          <t>NULL</t>
        </is>
      </c>
      <c r="C984" s="0" t="inlineStr">
        <is>
          <t>NULL</t>
        </is>
      </c>
      <c r="D984" s="0" t="inlineStr">
        <is>
          <t>NULL</t>
        </is>
      </c>
      <c r="E984" s="0" t="inlineStr">
        <is>
          <t>NULL</t>
        </is>
      </c>
      <c r="F984" s="0" t="inlineStr">
        <is>
          <t>NULL</t>
        </is>
      </c>
      <c r="G984" s="0" t="inlineStr">
        <is>
          <t>NULL</t>
        </is>
      </c>
      <c r="H984" s="0" t="inlineStr">
        <is>
          <t>NULL</t>
        </is>
      </c>
      <c r="I984" s="0" t="inlineStr">
        <is>
          <t>NULL</t>
        </is>
      </c>
      <c r="J984" s="0" t="inlineStr">
        <is>
          <t>NULL</t>
        </is>
      </c>
      <c r="K984" s="0" t="inlineStr">
        <is>
          <t>YES! 	 c_text列源备映射正确，源端为text 2147483647位	期望更改为text	实际备端为text 2147483647位</t>
        </is>
      </c>
    </row>
    <row r="985">
      <c r="B985" s="0" t="inlineStr">
        <is>
          <t>NULL</t>
        </is>
      </c>
      <c r="C985" s="0" t="inlineStr">
        <is>
          <t>NULL</t>
        </is>
      </c>
      <c r="D985" s="0" t="inlineStr">
        <is>
          <t>NULL</t>
        </is>
      </c>
      <c r="E985" s="0" t="inlineStr">
        <is>
          <t>NULL</t>
        </is>
      </c>
      <c r="F985" s="0" t="inlineStr">
        <is>
          <t>NULL</t>
        </is>
      </c>
      <c r="G985" s="0" t="inlineStr">
        <is>
          <t>NULL</t>
        </is>
      </c>
      <c r="H985" s="0" t="inlineStr">
        <is>
          <t>NULL</t>
        </is>
      </c>
      <c r="I985" s="0" t="inlineStr">
        <is>
          <t>NULL</t>
        </is>
      </c>
      <c r="J985" s="0" t="inlineStr">
        <is>
          <t>NULL</t>
        </is>
      </c>
      <c r="K985" s="0" t="inlineStr">
        <is>
          <t>YES! 	 c_ntext列源备映射正确，源端为ntext 2147483646位	期望更改为ntext	实际备端为ntext 2147483646位</t>
        </is>
      </c>
    </row>
    <row r="986">
      <c r="A986" s="0" t="inlineStr">
        <is>
          <t>info_nchar_dml_batch1_pk_drp2</t>
        </is>
      </c>
      <c r="K986" s="0" t="inlineStr">
        <is>
          <t>[0;34m info_nchar_dml_batch1_pk_drp2 [0m源备字段数相同，源端字段：4 	备端字段4</t>
        </is>
      </c>
      <c r="W986" s="0" t="inlineStr">
        <is>
          <t>YES 源备无差异</t>
        </is>
      </c>
      <c r="X986" s="0">
        <f>A986</f>
        <v/>
      </c>
    </row>
    <row r="987">
      <c r="B987" s="0" t="inlineStr">
        <is>
          <t>YES</t>
        </is>
      </c>
      <c r="C987" s="0" t="inlineStr">
        <is>
          <t>NULL</t>
        </is>
      </c>
      <c r="D987" s="0" t="inlineStr">
        <is>
          <t>NULL</t>
        </is>
      </c>
      <c r="E987" s="0" t="inlineStr">
        <is>
          <t>NULL</t>
        </is>
      </c>
      <c r="F987" s="0" t="inlineStr">
        <is>
          <t>NULL</t>
        </is>
      </c>
      <c r="G987" s="0" t="inlineStr">
        <is>
          <t>NULL</t>
        </is>
      </c>
      <c r="H987" s="0" t="inlineStr">
        <is>
          <t>NULL</t>
        </is>
      </c>
      <c r="I987" s="0" t="inlineStr">
        <is>
          <t>YES!PK__info_nch__3213E83F73BB4B53</t>
        </is>
      </c>
      <c r="J987" s="0" t="inlineStr">
        <is>
          <t>YES! 主键相关索引</t>
        </is>
      </c>
      <c r="K987" s="0" t="inlineStr">
        <is>
          <t>YES! 	 id列源备映射正确，源端为int None位	期望更改为int	实际备端为int None位</t>
        </is>
      </c>
    </row>
    <row r="988">
      <c r="B988" s="0" t="inlineStr">
        <is>
          <t>NULL</t>
        </is>
      </c>
      <c r="C988" s="0" t="inlineStr">
        <is>
          <t>NULL</t>
        </is>
      </c>
      <c r="D988" s="0" t="inlineStr">
        <is>
          <t>NULL</t>
        </is>
      </c>
      <c r="E988" s="0" t="inlineStr">
        <is>
          <t>NULL</t>
        </is>
      </c>
      <c r="F988" s="0" t="inlineStr">
        <is>
          <t>NULL</t>
        </is>
      </c>
      <c r="G988" s="0" t="inlineStr">
        <is>
          <t>NULL</t>
        </is>
      </c>
      <c r="H988" s="0" t="inlineStr">
        <is>
          <t>NULL</t>
        </is>
      </c>
      <c r="I988" s="0" t="inlineStr">
        <is>
          <t>NULL</t>
        </is>
      </c>
      <c r="J988" s="0" t="inlineStr">
        <is>
          <t>NULL</t>
        </is>
      </c>
      <c r="K988" s="0" t="inlineStr">
        <is>
          <t>YES! 	 c_nchar列源备映射正确，源端为nchar 2位	期望更改为nchar(n)	实际备端为nchar 2位</t>
        </is>
      </c>
    </row>
    <row r="989">
      <c r="B989" s="0" t="inlineStr">
        <is>
          <t>NULL</t>
        </is>
      </c>
      <c r="C989" s="0" t="inlineStr">
        <is>
          <t>NULL</t>
        </is>
      </c>
      <c r="D989" s="0" t="inlineStr">
        <is>
          <t>NULL</t>
        </is>
      </c>
      <c r="E989" s="0" t="inlineStr">
        <is>
          <t>NULL</t>
        </is>
      </c>
      <c r="F989" s="0" t="inlineStr">
        <is>
          <t>NULL</t>
        </is>
      </c>
      <c r="G989" s="0" t="inlineStr">
        <is>
          <t>NULL</t>
        </is>
      </c>
      <c r="H989" s="0" t="inlineStr">
        <is>
          <t>NULL</t>
        </is>
      </c>
      <c r="I989" s="0" t="inlineStr">
        <is>
          <t>NULL</t>
        </is>
      </c>
      <c r="J989" s="0" t="inlineStr">
        <is>
          <t>NULL</t>
        </is>
      </c>
      <c r="K989" s="0" t="inlineStr">
        <is>
          <t>YES! 	 c_nchar20列源备映射正确，源端为nchar 40位	期望更改为nchar(n)	实际备端为nchar 40位</t>
        </is>
      </c>
    </row>
    <row r="990">
      <c r="B990" s="0" t="inlineStr">
        <is>
          <t>NULL</t>
        </is>
      </c>
      <c r="C990" s="0" t="inlineStr">
        <is>
          <t>NULL</t>
        </is>
      </c>
      <c r="D990" s="0" t="inlineStr">
        <is>
          <t>NULL</t>
        </is>
      </c>
      <c r="E990" s="0" t="inlineStr">
        <is>
          <t>NULL</t>
        </is>
      </c>
      <c r="F990" s="0" t="inlineStr">
        <is>
          <t>NULL</t>
        </is>
      </c>
      <c r="G990" s="0" t="inlineStr">
        <is>
          <t>NULL</t>
        </is>
      </c>
      <c r="H990" s="0" t="inlineStr">
        <is>
          <t>NULL</t>
        </is>
      </c>
      <c r="I990" s="0" t="inlineStr">
        <is>
          <t>NULL</t>
        </is>
      </c>
      <c r="J990" s="0" t="inlineStr">
        <is>
          <t>NULL</t>
        </is>
      </c>
      <c r="K990" s="0" t="inlineStr">
        <is>
          <t>YES! 	 c_nchar3500列源备映射正确，源端为nchar 7000位	期望更改为nchar(n)	实际备端为nchar 7000位</t>
        </is>
      </c>
    </row>
    <row r="991">
      <c r="A991" s="0" t="inlineStr">
        <is>
          <t>info_time_dml_single_pk</t>
        </is>
      </c>
      <c r="K991" s="0" t="inlineStr">
        <is>
          <t>[0;34m info_time_dml_single_pk [0m源备字段数相同，源端字段：9 	备端字段9</t>
        </is>
      </c>
      <c r="W991" s="0" t="inlineStr">
        <is>
          <t>YES 源备无差异</t>
        </is>
      </c>
      <c r="X991" s="0">
        <f>A991</f>
        <v/>
      </c>
    </row>
    <row r="992">
      <c r="B992" s="0" t="inlineStr">
        <is>
          <t>YES</t>
        </is>
      </c>
      <c r="C992" s="0" t="inlineStr">
        <is>
          <t>NULL</t>
        </is>
      </c>
      <c r="D992" s="0" t="inlineStr">
        <is>
          <t>NULL</t>
        </is>
      </c>
      <c r="E992" s="0" t="inlineStr">
        <is>
          <t>NULL</t>
        </is>
      </c>
      <c r="F992" s="0" t="inlineStr">
        <is>
          <t>NULL</t>
        </is>
      </c>
      <c r="G992" s="0" t="inlineStr">
        <is>
          <t>NULL</t>
        </is>
      </c>
      <c r="H992" s="0" t="inlineStr">
        <is>
          <t>NULL</t>
        </is>
      </c>
      <c r="I992" s="0" t="inlineStr">
        <is>
          <t>YES!PK__info_tim__3213E83F4F90D1A9</t>
        </is>
      </c>
      <c r="J992" s="0" t="inlineStr">
        <is>
          <t>YES! 主键相关索引</t>
        </is>
      </c>
      <c r="K992" s="0" t="inlineStr">
        <is>
          <t>YES! 	 id列源备映射正确，源端为int None位	期望更改为int	实际备端为int None位</t>
        </is>
      </c>
    </row>
    <row r="993">
      <c r="B993" s="0" t="inlineStr">
        <is>
          <t>NULL</t>
        </is>
      </c>
      <c r="C993" s="0" t="inlineStr">
        <is>
          <t>NULL</t>
        </is>
      </c>
      <c r="D993" s="0" t="inlineStr">
        <is>
          <t>NULL</t>
        </is>
      </c>
      <c r="E993" s="0" t="inlineStr">
        <is>
          <t>NULL</t>
        </is>
      </c>
      <c r="F993" s="0" t="inlineStr">
        <is>
          <t>NULL</t>
        </is>
      </c>
      <c r="G993" s="0" t="inlineStr">
        <is>
          <t>NULL</t>
        </is>
      </c>
      <c r="H993" s="0" t="inlineStr">
        <is>
          <t>NULL</t>
        </is>
      </c>
      <c r="I993" s="0" t="inlineStr">
        <is>
          <t>NULL</t>
        </is>
      </c>
      <c r="J993" s="0" t="inlineStr">
        <is>
          <t>NULL</t>
        </is>
      </c>
      <c r="K993" s="0" t="inlineStr">
        <is>
          <t>no,len不存在</t>
        </is>
      </c>
    </row>
    <row r="994">
      <c r="B994" s="0" t="inlineStr">
        <is>
          <t>NULL</t>
        </is>
      </c>
      <c r="C994" s="0" t="inlineStr">
        <is>
          <t>NULL</t>
        </is>
      </c>
      <c r="D994" s="0" t="inlineStr">
        <is>
          <t>NULL</t>
        </is>
      </c>
      <c r="E994" s="0" t="inlineStr">
        <is>
          <t>NULL</t>
        </is>
      </c>
      <c r="F994" s="0" t="inlineStr">
        <is>
          <t>NULL</t>
        </is>
      </c>
      <c r="G994" s="0" t="inlineStr">
        <is>
          <t>NULL</t>
        </is>
      </c>
      <c r="H994" s="0" t="inlineStr">
        <is>
          <t>NULL</t>
        </is>
      </c>
      <c r="I994" s="0" t="inlineStr">
        <is>
          <t>NULL</t>
        </is>
      </c>
      <c r="J994" s="0" t="inlineStr">
        <is>
          <t>NULL</t>
        </is>
      </c>
      <c r="K994" s="0" t="inlineStr">
        <is>
          <t>YES! 	 c_time1列源备映射正确，源端为time None位	期望更改为time(n)	实际备端为time None位</t>
        </is>
      </c>
    </row>
    <row r="995">
      <c r="B995" s="0" t="inlineStr">
        <is>
          <t>NULL</t>
        </is>
      </c>
      <c r="C995" s="0" t="inlineStr">
        <is>
          <t>NULL</t>
        </is>
      </c>
      <c r="D995" s="0" t="inlineStr">
        <is>
          <t>NULL</t>
        </is>
      </c>
      <c r="E995" s="0" t="inlineStr">
        <is>
          <t>NULL</t>
        </is>
      </c>
      <c r="F995" s="0" t="inlineStr">
        <is>
          <t>NULL</t>
        </is>
      </c>
      <c r="G995" s="0" t="inlineStr">
        <is>
          <t>NULL</t>
        </is>
      </c>
      <c r="H995" s="0" t="inlineStr">
        <is>
          <t>NULL</t>
        </is>
      </c>
      <c r="I995" s="0" t="inlineStr">
        <is>
          <t>NULL</t>
        </is>
      </c>
      <c r="J995" s="0" t="inlineStr">
        <is>
          <t>NULL</t>
        </is>
      </c>
      <c r="K995" s="0" t="inlineStr">
        <is>
          <t>YES! 	 c_time2列源备映射正确，源端为time None位	期望更改为time(n)	实际备端为time None位</t>
        </is>
      </c>
    </row>
    <row r="996">
      <c r="B996" s="0" t="inlineStr">
        <is>
          <t>NULL</t>
        </is>
      </c>
      <c r="C996" s="0" t="inlineStr">
        <is>
          <t>NULL</t>
        </is>
      </c>
      <c r="D996" s="0" t="inlineStr">
        <is>
          <t>NULL</t>
        </is>
      </c>
      <c r="E996" s="0" t="inlineStr">
        <is>
          <t>NULL</t>
        </is>
      </c>
      <c r="F996" s="0" t="inlineStr">
        <is>
          <t>NULL</t>
        </is>
      </c>
      <c r="G996" s="0" t="inlineStr">
        <is>
          <t>NULL</t>
        </is>
      </c>
      <c r="H996" s="0" t="inlineStr">
        <is>
          <t>NULL</t>
        </is>
      </c>
      <c r="I996" s="0" t="inlineStr">
        <is>
          <t>NULL</t>
        </is>
      </c>
      <c r="J996" s="0" t="inlineStr">
        <is>
          <t>NULL</t>
        </is>
      </c>
      <c r="K996" s="0" t="inlineStr">
        <is>
          <t>YES! 	 c_time3列源备映射正确，源端为time None位	期望更改为time(n)	实际备端为time None位</t>
        </is>
      </c>
    </row>
    <row r="997">
      <c r="B997" s="0" t="inlineStr">
        <is>
          <t>NULL</t>
        </is>
      </c>
      <c r="C997" s="0" t="inlineStr">
        <is>
          <t>NULL</t>
        </is>
      </c>
      <c r="D997" s="0" t="inlineStr">
        <is>
          <t>NULL</t>
        </is>
      </c>
      <c r="E997" s="0" t="inlineStr">
        <is>
          <t>NULL</t>
        </is>
      </c>
      <c r="F997" s="0" t="inlineStr">
        <is>
          <t>NULL</t>
        </is>
      </c>
      <c r="G997" s="0" t="inlineStr">
        <is>
          <t>NULL</t>
        </is>
      </c>
      <c r="H997" s="0" t="inlineStr">
        <is>
          <t>NULL</t>
        </is>
      </c>
      <c r="I997" s="0" t="inlineStr">
        <is>
          <t>NULL</t>
        </is>
      </c>
      <c r="J997" s="0" t="inlineStr">
        <is>
          <t>NULL</t>
        </is>
      </c>
      <c r="K997" s="0" t="inlineStr">
        <is>
          <t>YES! 	 c_time4列源备映射正确，源端为time None位	期望更改为time(n)	实际备端为time None位</t>
        </is>
      </c>
    </row>
    <row r="998">
      <c r="B998" s="0" t="inlineStr">
        <is>
          <t>NULL</t>
        </is>
      </c>
      <c r="C998" s="0" t="inlineStr">
        <is>
          <t>NULL</t>
        </is>
      </c>
      <c r="D998" s="0" t="inlineStr">
        <is>
          <t>NULL</t>
        </is>
      </c>
      <c r="E998" s="0" t="inlineStr">
        <is>
          <t>NULL</t>
        </is>
      </c>
      <c r="F998" s="0" t="inlineStr">
        <is>
          <t>NULL</t>
        </is>
      </c>
      <c r="G998" s="0" t="inlineStr">
        <is>
          <t>NULL</t>
        </is>
      </c>
      <c r="H998" s="0" t="inlineStr">
        <is>
          <t>NULL</t>
        </is>
      </c>
      <c r="I998" s="0" t="inlineStr">
        <is>
          <t>NULL</t>
        </is>
      </c>
      <c r="J998" s="0" t="inlineStr">
        <is>
          <t>NULL</t>
        </is>
      </c>
      <c r="K998" s="0" t="inlineStr">
        <is>
          <t>YES! 	 c_time5列源备映射正确，源端为time None位	期望更改为time(n)	实际备端为time None位</t>
        </is>
      </c>
    </row>
    <row r="999">
      <c r="B999" s="0" t="inlineStr">
        <is>
          <t>NULL</t>
        </is>
      </c>
      <c r="C999" s="0" t="inlineStr">
        <is>
          <t>NULL</t>
        </is>
      </c>
      <c r="D999" s="0" t="inlineStr">
        <is>
          <t>NULL</t>
        </is>
      </c>
      <c r="E999" s="0" t="inlineStr">
        <is>
          <t>NULL</t>
        </is>
      </c>
      <c r="F999" s="0" t="inlineStr">
        <is>
          <t>NULL</t>
        </is>
      </c>
      <c r="G999" s="0" t="inlineStr">
        <is>
          <t>NULL</t>
        </is>
      </c>
      <c r="H999" s="0" t="inlineStr">
        <is>
          <t>NULL</t>
        </is>
      </c>
      <c r="I999" s="0" t="inlineStr">
        <is>
          <t>NULL</t>
        </is>
      </c>
      <c r="J999" s="0" t="inlineStr">
        <is>
          <t>NULL</t>
        </is>
      </c>
      <c r="K999" s="0" t="inlineStr">
        <is>
          <t>YES! 	 c_time6列源备映射正确，源端为time None位	期望更改为time(n)	实际备端为time None位</t>
        </is>
      </c>
    </row>
    <row r="1000">
      <c r="B1000" s="0" t="inlineStr">
        <is>
          <t>NULL</t>
        </is>
      </c>
      <c r="C1000" s="0" t="inlineStr">
        <is>
          <t>NULL</t>
        </is>
      </c>
      <c r="D1000" s="0" t="inlineStr">
        <is>
          <t>NULL</t>
        </is>
      </c>
      <c r="E1000" s="0" t="inlineStr">
        <is>
          <t>NULL</t>
        </is>
      </c>
      <c r="F1000" s="0" t="inlineStr">
        <is>
          <t>NULL</t>
        </is>
      </c>
      <c r="G1000" s="0" t="inlineStr">
        <is>
          <t>NULL</t>
        </is>
      </c>
      <c r="H1000" s="0" t="inlineStr">
        <is>
          <t>NULL</t>
        </is>
      </c>
      <c r="I1000" s="0" t="inlineStr">
        <is>
          <t>NULL</t>
        </is>
      </c>
      <c r="J1000" s="0" t="inlineStr">
        <is>
          <t>NULL</t>
        </is>
      </c>
      <c r="K1000" s="0" t="inlineStr">
        <is>
          <t>YES! 	 c_time列源备映射正确，源端为time None位	期望更改为time(n)	实际备端为time None位</t>
        </is>
      </c>
    </row>
    <row r="1001">
      <c r="A1001" s="0" t="inlineStr">
        <is>
          <t>info_uniqueidentifier_dml_single_nopk_urp</t>
        </is>
      </c>
      <c r="K1001" s="0" t="inlineStr">
        <is>
          <t>[0;34m info_uniqueidentifier_dml_single_nopk_urp [0m源备字段数相同，源端字段：2 	备端字段2</t>
        </is>
      </c>
      <c r="W1001" s="0" t="inlineStr">
        <is>
          <t>YES 源备无差异</t>
        </is>
      </c>
      <c r="X1001" s="0">
        <f>A1001</f>
        <v/>
      </c>
    </row>
    <row r="1002">
      <c r="B1002" s="0" t="inlineStr">
        <is>
          <t>NULL</t>
        </is>
      </c>
      <c r="C1002" s="0" t="inlineStr">
        <is>
          <t>NULL</t>
        </is>
      </c>
      <c r="D1002" s="0" t="inlineStr">
        <is>
          <t>NULL</t>
        </is>
      </c>
      <c r="E1002" s="0" t="inlineStr">
        <is>
          <t>NULL</t>
        </is>
      </c>
      <c r="F1002" s="0" t="inlineStr">
        <is>
          <t>NULL</t>
        </is>
      </c>
      <c r="G1002" s="0" t="inlineStr">
        <is>
          <t>NULL</t>
        </is>
      </c>
      <c r="H1002" s="0" t="inlineStr">
        <is>
          <t>NULL</t>
        </is>
      </c>
      <c r="I1002" s="0" t="inlineStr">
        <is>
          <t>NULL</t>
        </is>
      </c>
      <c r="J1002" s="0" t="inlineStr">
        <is>
          <t>NULL</t>
        </is>
      </c>
      <c r="K1002" s="0" t="inlineStr">
        <is>
          <t>YES! 	 id列源备映射正确，源端为int None位	期望更改为int	实际备端为int None位</t>
        </is>
      </c>
    </row>
    <row r="1003">
      <c r="B1003" s="0" t="inlineStr">
        <is>
          <t>NULL</t>
        </is>
      </c>
      <c r="C1003" s="0" t="inlineStr">
        <is>
          <t>NULL</t>
        </is>
      </c>
      <c r="D1003" s="0" t="inlineStr">
        <is>
          <t>NULL</t>
        </is>
      </c>
      <c r="E1003" s="0" t="inlineStr">
        <is>
          <t>NULL</t>
        </is>
      </c>
      <c r="F1003" s="0" t="inlineStr">
        <is>
          <t>NULL</t>
        </is>
      </c>
      <c r="G1003" s="0" t="inlineStr">
        <is>
          <t>NULL</t>
        </is>
      </c>
      <c r="H1003" s="0" t="inlineStr">
        <is>
          <t>NULL</t>
        </is>
      </c>
      <c r="I1003" s="0" t="inlineStr">
        <is>
          <t>NULL</t>
        </is>
      </c>
      <c r="J1003" s="0" t="inlineStr">
        <is>
          <t>NULL</t>
        </is>
      </c>
      <c r="K1003" s="0" t="inlineStr">
        <is>
          <t>YES! 	 c_uniqueidentifier列源备映射正确，源端为uniqueidentifier None位	期望更改为uniqueidentifier	实际备端为uniqueidentifier None位</t>
        </is>
      </c>
    </row>
    <row r="1004">
      <c r="A1004" s="0" t="inlineStr">
        <is>
          <t>info_text_dml_single_nopk_drp</t>
        </is>
      </c>
      <c r="K1004" s="0" t="inlineStr">
        <is>
          <t>[0;34m info_text_dml_single_nopk_drp [0m源备字段数相同，源端字段：3 	备端字段3</t>
        </is>
      </c>
      <c r="W1004" s="0" t="inlineStr">
        <is>
          <t>YES 源备无差异</t>
        </is>
      </c>
      <c r="X1004" s="0">
        <f>A1004</f>
        <v/>
      </c>
    </row>
    <row r="1005">
      <c r="B1005" s="0" t="inlineStr">
        <is>
          <t>NULL</t>
        </is>
      </c>
      <c r="C1005" s="0" t="inlineStr">
        <is>
          <t>NULL</t>
        </is>
      </c>
      <c r="D1005" s="0" t="inlineStr">
        <is>
          <t>NULL</t>
        </is>
      </c>
      <c r="E1005" s="0" t="inlineStr">
        <is>
          <t>NULL</t>
        </is>
      </c>
      <c r="F1005" s="0" t="inlineStr">
        <is>
          <t>NULL</t>
        </is>
      </c>
      <c r="G1005" s="0" t="inlineStr">
        <is>
          <t>NULL</t>
        </is>
      </c>
      <c r="H1005" s="0" t="inlineStr">
        <is>
          <t>NULL</t>
        </is>
      </c>
      <c r="I1005" s="0" t="inlineStr">
        <is>
          <t>NULL</t>
        </is>
      </c>
      <c r="J1005" s="0" t="inlineStr">
        <is>
          <t>NULL</t>
        </is>
      </c>
      <c r="K1005" s="0" t="inlineStr">
        <is>
          <t>YES! 	 id列源备映射正确，源端为int None位	期望更改为int	实际备端为int None位</t>
        </is>
      </c>
    </row>
    <row r="1006">
      <c r="B1006" s="0" t="inlineStr">
        <is>
          <t>NULL</t>
        </is>
      </c>
      <c r="C1006" s="0" t="inlineStr">
        <is>
          <t>NULL</t>
        </is>
      </c>
      <c r="D1006" s="0" t="inlineStr">
        <is>
          <t>NULL</t>
        </is>
      </c>
      <c r="E1006" s="0" t="inlineStr">
        <is>
          <t>NULL</t>
        </is>
      </c>
      <c r="F1006" s="0" t="inlineStr">
        <is>
          <t>NULL</t>
        </is>
      </c>
      <c r="G1006" s="0" t="inlineStr">
        <is>
          <t>NULL</t>
        </is>
      </c>
      <c r="H1006" s="0" t="inlineStr">
        <is>
          <t>NULL</t>
        </is>
      </c>
      <c r="I1006" s="0" t="inlineStr">
        <is>
          <t>NULL</t>
        </is>
      </c>
      <c r="J1006" s="0" t="inlineStr">
        <is>
          <t>NULL</t>
        </is>
      </c>
      <c r="K1006" s="0" t="inlineStr">
        <is>
          <t>YES! 	 c_text列源备映射正确，源端为text 2147483647位	期望更改为text	实际备端为text 2147483647位</t>
        </is>
      </c>
    </row>
    <row r="1007">
      <c r="B1007" s="0" t="inlineStr">
        <is>
          <t>NULL</t>
        </is>
      </c>
      <c r="C1007" s="0" t="inlineStr">
        <is>
          <t>NULL</t>
        </is>
      </c>
      <c r="D1007" s="0" t="inlineStr">
        <is>
          <t>NULL</t>
        </is>
      </c>
      <c r="E1007" s="0" t="inlineStr">
        <is>
          <t>NULL</t>
        </is>
      </c>
      <c r="F1007" s="0" t="inlineStr">
        <is>
          <t>NULL</t>
        </is>
      </c>
      <c r="G1007" s="0" t="inlineStr">
        <is>
          <t>NULL</t>
        </is>
      </c>
      <c r="H1007" s="0" t="inlineStr">
        <is>
          <t>NULL</t>
        </is>
      </c>
      <c r="I1007" s="0" t="inlineStr">
        <is>
          <t>NULL</t>
        </is>
      </c>
      <c r="J1007" s="0" t="inlineStr">
        <is>
          <t>NULL</t>
        </is>
      </c>
      <c r="K1007" s="0" t="inlineStr">
        <is>
          <t>YES! 	 c_ntext列源备映射正确，源端为ntext 2147483646位	期望更改为ntext	实际备端为ntext 2147483646位</t>
        </is>
      </c>
    </row>
    <row r="1008">
      <c r="A1008" s="0" t="inlineStr">
        <is>
          <t>info_uniqueidentifier_dml_single_nopk_drp</t>
        </is>
      </c>
      <c r="K1008" s="0" t="inlineStr">
        <is>
          <t>[0;34m info_uniqueidentifier_dml_single_nopk_drp [0m源备字段数相同，源端字段：2 	备端字段2</t>
        </is>
      </c>
      <c r="W1008" s="0" t="inlineStr">
        <is>
          <t>YES 源备无差异</t>
        </is>
      </c>
      <c r="X1008" s="0">
        <f>A1008</f>
        <v/>
      </c>
    </row>
    <row r="1009">
      <c r="B1009" s="0" t="inlineStr">
        <is>
          <t>NULL</t>
        </is>
      </c>
      <c r="C1009" s="0" t="inlineStr">
        <is>
          <t>NULL</t>
        </is>
      </c>
      <c r="D1009" s="0" t="inlineStr">
        <is>
          <t>NULL</t>
        </is>
      </c>
      <c r="E1009" s="0" t="inlineStr">
        <is>
          <t>NULL</t>
        </is>
      </c>
      <c r="F1009" s="0" t="inlineStr">
        <is>
          <t>NULL</t>
        </is>
      </c>
      <c r="G1009" s="0" t="inlineStr">
        <is>
          <t>NULL</t>
        </is>
      </c>
      <c r="H1009" s="0" t="inlineStr">
        <is>
          <t>NULL</t>
        </is>
      </c>
      <c r="I1009" s="0" t="inlineStr">
        <is>
          <t>NULL</t>
        </is>
      </c>
      <c r="J1009" s="0" t="inlineStr">
        <is>
          <t>NULL</t>
        </is>
      </c>
      <c r="K1009" s="0" t="inlineStr">
        <is>
          <t>YES! 	 id列源备映射正确，源端为int None位	期望更改为int	实际备端为int None位</t>
        </is>
      </c>
    </row>
    <row r="1010">
      <c r="B1010" s="0" t="inlineStr">
        <is>
          <t>NULL</t>
        </is>
      </c>
      <c r="C1010" s="0" t="inlineStr">
        <is>
          <t>NULL</t>
        </is>
      </c>
      <c r="D1010" s="0" t="inlineStr">
        <is>
          <t>NULL</t>
        </is>
      </c>
      <c r="E1010" s="0" t="inlineStr">
        <is>
          <t>NULL</t>
        </is>
      </c>
      <c r="F1010" s="0" t="inlineStr">
        <is>
          <t>NULL</t>
        </is>
      </c>
      <c r="G1010" s="0" t="inlineStr">
        <is>
          <t>NULL</t>
        </is>
      </c>
      <c r="H1010" s="0" t="inlineStr">
        <is>
          <t>NULL</t>
        </is>
      </c>
      <c r="I1010" s="0" t="inlineStr">
        <is>
          <t>NULL</t>
        </is>
      </c>
      <c r="J1010" s="0" t="inlineStr">
        <is>
          <t>NULL</t>
        </is>
      </c>
      <c r="K1010" s="0" t="inlineStr">
        <is>
          <t>YES! 	 c_uniqueidentifier列源备映射正确，源端为uniqueidentifier None位	期望更改为uniqueidentifier	实际备端为uniqueidentifier None位</t>
        </is>
      </c>
    </row>
    <row r="1011">
      <c r="A1011" s="0" t="inlineStr">
        <is>
          <t>info_varcharmax_dml_single_nopk</t>
        </is>
      </c>
      <c r="K1011" s="0" t="inlineStr">
        <is>
          <t>[0;34m info_varcharmax_dml_single_nopk [0m源备字段数相同，源端字段：3 	备端字段3</t>
        </is>
      </c>
      <c r="W1011" s="0" t="inlineStr">
        <is>
          <t>YES 源备无差异</t>
        </is>
      </c>
      <c r="X1011" s="0">
        <f>A1011</f>
        <v/>
      </c>
    </row>
    <row r="1012">
      <c r="B1012" s="0" t="inlineStr">
        <is>
          <t>NULL</t>
        </is>
      </c>
      <c r="C1012" s="0" t="inlineStr">
        <is>
          <t>NULL</t>
        </is>
      </c>
      <c r="D1012" s="0" t="inlineStr">
        <is>
          <t>NULL</t>
        </is>
      </c>
      <c r="E1012" s="0" t="inlineStr">
        <is>
          <t>NULL</t>
        </is>
      </c>
      <c r="F1012" s="0" t="inlineStr">
        <is>
          <t>NULL</t>
        </is>
      </c>
      <c r="G1012" s="0" t="inlineStr">
        <is>
          <t>NULL</t>
        </is>
      </c>
      <c r="H1012" s="0" t="inlineStr">
        <is>
          <t>NULL</t>
        </is>
      </c>
      <c r="I1012" s="0" t="inlineStr">
        <is>
          <t>NULL</t>
        </is>
      </c>
      <c r="J1012" s="0" t="inlineStr">
        <is>
          <t>NULL</t>
        </is>
      </c>
      <c r="K1012" s="0" t="inlineStr">
        <is>
          <t>YES! 	 id列源备映射正确，源端为int None位	期望更改为int	实际备端为int None位</t>
        </is>
      </c>
    </row>
    <row r="1013">
      <c r="B1013" s="0" t="inlineStr">
        <is>
          <t>NULL</t>
        </is>
      </c>
      <c r="C1013" s="0" t="inlineStr">
        <is>
          <t>NULL</t>
        </is>
      </c>
      <c r="D1013" s="0" t="inlineStr">
        <is>
          <t>NULL</t>
        </is>
      </c>
      <c r="E1013" s="0" t="inlineStr">
        <is>
          <t>NULL</t>
        </is>
      </c>
      <c r="F1013" s="0" t="inlineStr">
        <is>
          <t>NULL</t>
        </is>
      </c>
      <c r="G1013" s="0" t="inlineStr">
        <is>
          <t>NULL</t>
        </is>
      </c>
      <c r="H1013" s="0" t="inlineStr">
        <is>
          <t>NULL</t>
        </is>
      </c>
      <c r="I1013" s="0" t="inlineStr">
        <is>
          <t>NULL</t>
        </is>
      </c>
      <c r="J1013" s="0" t="inlineStr">
        <is>
          <t>NULL</t>
        </is>
      </c>
      <c r="K1013" s="0" t="inlineStr">
        <is>
          <t>YES! 	 c_varchar_max列源备映射正确，源端为varchar -1位	期望更改为varchar(n)	实际备端为varchar -1位</t>
        </is>
      </c>
    </row>
    <row r="1014">
      <c r="B1014" s="0" t="inlineStr">
        <is>
          <t>NULL</t>
        </is>
      </c>
      <c r="C1014" s="0" t="inlineStr">
        <is>
          <t>NULL</t>
        </is>
      </c>
      <c r="D1014" s="0" t="inlineStr">
        <is>
          <t>NULL</t>
        </is>
      </c>
      <c r="E1014" s="0" t="inlineStr">
        <is>
          <t>NULL</t>
        </is>
      </c>
      <c r="F1014" s="0" t="inlineStr">
        <is>
          <t>NULL</t>
        </is>
      </c>
      <c r="G1014" s="0" t="inlineStr">
        <is>
          <t>NULL</t>
        </is>
      </c>
      <c r="H1014" s="0" t="inlineStr">
        <is>
          <t>NULL</t>
        </is>
      </c>
      <c r="I1014" s="0" t="inlineStr">
        <is>
          <t>NULL</t>
        </is>
      </c>
      <c r="J1014" s="0" t="inlineStr">
        <is>
          <t>NULL</t>
        </is>
      </c>
      <c r="K1014" s="0" t="inlineStr">
        <is>
          <t>YES! 	 c_nvarchar_max列源备映射正确，源端为nvarchar -1位	期望更改为nvarchar(n)	实际备端为nvarchar -1位</t>
        </is>
      </c>
    </row>
    <row r="1015">
      <c r="A1015" s="0" t="inlineStr">
        <is>
          <t>info_datetime2_dml_batch2_pk_irp2</t>
        </is>
      </c>
      <c r="K1015" s="0" t="inlineStr">
        <is>
          <t>[0;34m info_datetime2_dml_batch2_pk_irp2 [0m源备字段数相同，源端字段：9 	备端字段9</t>
        </is>
      </c>
      <c r="W1015" s="0" t="inlineStr">
        <is>
          <t>YES 源备无差异</t>
        </is>
      </c>
      <c r="X1015" s="0">
        <f>A1015</f>
        <v/>
      </c>
    </row>
    <row r="1016">
      <c r="B1016" s="0" t="inlineStr">
        <is>
          <t>YES</t>
        </is>
      </c>
      <c r="C1016" s="0" t="inlineStr">
        <is>
          <t>NULL</t>
        </is>
      </c>
      <c r="D1016" s="0" t="inlineStr">
        <is>
          <t>NULL</t>
        </is>
      </c>
      <c r="E1016" s="0" t="inlineStr">
        <is>
          <t>NULL</t>
        </is>
      </c>
      <c r="F1016" s="0" t="inlineStr">
        <is>
          <t>NULL</t>
        </is>
      </c>
      <c r="G1016" s="0" t="inlineStr">
        <is>
          <t>NULL</t>
        </is>
      </c>
      <c r="H1016" s="0" t="inlineStr">
        <is>
          <t>NULL</t>
        </is>
      </c>
      <c r="I1016" s="0" t="inlineStr">
        <is>
          <t>YES!PK__info_dat__3213E83FDFC319CF</t>
        </is>
      </c>
      <c r="J1016" s="0" t="inlineStr">
        <is>
          <t>YES! 主键相关索引</t>
        </is>
      </c>
      <c r="K1016" s="0" t="inlineStr">
        <is>
          <t>YES! 	 id列源备映射正确，源端为int None位	期望更改为int	实际备端为int None位</t>
        </is>
      </c>
    </row>
    <row r="1017">
      <c r="B1017" s="0" t="inlineStr">
        <is>
          <t>NULL</t>
        </is>
      </c>
      <c r="C1017" s="0" t="inlineStr">
        <is>
          <t>NULL</t>
        </is>
      </c>
      <c r="D1017" s="0" t="inlineStr">
        <is>
          <t>NULL</t>
        </is>
      </c>
      <c r="E1017" s="0" t="inlineStr">
        <is>
          <t>NULL</t>
        </is>
      </c>
      <c r="F1017" s="0" t="inlineStr">
        <is>
          <t>NULL</t>
        </is>
      </c>
      <c r="G1017" s="0" t="inlineStr">
        <is>
          <t>NULL</t>
        </is>
      </c>
      <c r="H1017" s="0" t="inlineStr">
        <is>
          <t>NULL</t>
        </is>
      </c>
      <c r="I1017" s="0" t="inlineStr">
        <is>
          <t>NULL</t>
        </is>
      </c>
      <c r="J1017" s="0" t="inlineStr">
        <is>
          <t>NULL</t>
        </is>
      </c>
      <c r="K1017" s="0" t="inlineStr">
        <is>
          <t>no,len不存在</t>
        </is>
      </c>
    </row>
    <row r="1018">
      <c r="B1018" s="0" t="inlineStr">
        <is>
          <t>NULL</t>
        </is>
      </c>
      <c r="C1018" s="0" t="inlineStr">
        <is>
          <t>NULL</t>
        </is>
      </c>
      <c r="D1018" s="0" t="inlineStr">
        <is>
          <t>NULL</t>
        </is>
      </c>
      <c r="E1018" s="0" t="inlineStr">
        <is>
          <t>NULL</t>
        </is>
      </c>
      <c r="F1018" s="0" t="inlineStr">
        <is>
          <t>NULL</t>
        </is>
      </c>
      <c r="G1018" s="0" t="inlineStr">
        <is>
          <t>NULL</t>
        </is>
      </c>
      <c r="H1018" s="0" t="inlineStr">
        <is>
          <t>NULL</t>
        </is>
      </c>
      <c r="I1018" s="0" t="inlineStr">
        <is>
          <t>NULL</t>
        </is>
      </c>
      <c r="J1018" s="0" t="inlineStr">
        <is>
          <t>NULL</t>
        </is>
      </c>
      <c r="K1018" s="0" t="inlineStr">
        <is>
          <t>YES! 	 c_dt2_1列源备映射正确，源端为datetime2 None位	期望更改为datetime2(n)	实际备端为datetime2 None位</t>
        </is>
      </c>
    </row>
    <row r="1019">
      <c r="B1019" s="0" t="inlineStr">
        <is>
          <t>NULL</t>
        </is>
      </c>
      <c r="C1019" s="0" t="inlineStr">
        <is>
          <t>NULL</t>
        </is>
      </c>
      <c r="D1019" s="0" t="inlineStr">
        <is>
          <t>NULL</t>
        </is>
      </c>
      <c r="E1019" s="0" t="inlineStr">
        <is>
          <t>NULL</t>
        </is>
      </c>
      <c r="F1019" s="0" t="inlineStr">
        <is>
          <t>NULL</t>
        </is>
      </c>
      <c r="G1019" s="0" t="inlineStr">
        <is>
          <t>NULL</t>
        </is>
      </c>
      <c r="H1019" s="0" t="inlineStr">
        <is>
          <t>NULL</t>
        </is>
      </c>
      <c r="I1019" s="0" t="inlineStr">
        <is>
          <t>NULL</t>
        </is>
      </c>
      <c r="J1019" s="0" t="inlineStr">
        <is>
          <t>NULL</t>
        </is>
      </c>
      <c r="K1019" s="0" t="inlineStr">
        <is>
          <t>YES! 	 c_dt2_2列源备映射正确，源端为datetime2 None位	期望更改为datetime2(n)	实际备端为datetime2 None位</t>
        </is>
      </c>
    </row>
    <row r="1020">
      <c r="B1020" s="0" t="inlineStr">
        <is>
          <t>NULL</t>
        </is>
      </c>
      <c r="C1020" s="0" t="inlineStr">
        <is>
          <t>NULL</t>
        </is>
      </c>
      <c r="D1020" s="0" t="inlineStr">
        <is>
          <t>NULL</t>
        </is>
      </c>
      <c r="E1020" s="0" t="inlineStr">
        <is>
          <t>NULL</t>
        </is>
      </c>
      <c r="F1020" s="0" t="inlineStr">
        <is>
          <t>NULL</t>
        </is>
      </c>
      <c r="G1020" s="0" t="inlineStr">
        <is>
          <t>NULL</t>
        </is>
      </c>
      <c r="H1020" s="0" t="inlineStr">
        <is>
          <t>NULL</t>
        </is>
      </c>
      <c r="I1020" s="0" t="inlineStr">
        <is>
          <t>NULL</t>
        </is>
      </c>
      <c r="J1020" s="0" t="inlineStr">
        <is>
          <t>NULL</t>
        </is>
      </c>
      <c r="K1020" s="0" t="inlineStr">
        <is>
          <t>YES! 	 c_dt2_3列源备映射正确，源端为datetime2 None位	期望更改为datetime2(n)	实际备端为datetime2 None位</t>
        </is>
      </c>
    </row>
    <row r="1021">
      <c r="B1021" s="0" t="inlineStr">
        <is>
          <t>NULL</t>
        </is>
      </c>
      <c r="C1021" s="0" t="inlineStr">
        <is>
          <t>NULL</t>
        </is>
      </c>
      <c r="D1021" s="0" t="inlineStr">
        <is>
          <t>NULL</t>
        </is>
      </c>
      <c r="E1021" s="0" t="inlineStr">
        <is>
          <t>NULL</t>
        </is>
      </c>
      <c r="F1021" s="0" t="inlineStr">
        <is>
          <t>NULL</t>
        </is>
      </c>
      <c r="G1021" s="0" t="inlineStr">
        <is>
          <t>NULL</t>
        </is>
      </c>
      <c r="H1021" s="0" t="inlineStr">
        <is>
          <t>NULL</t>
        </is>
      </c>
      <c r="I1021" s="0" t="inlineStr">
        <is>
          <t>NULL</t>
        </is>
      </c>
      <c r="J1021" s="0" t="inlineStr">
        <is>
          <t>NULL</t>
        </is>
      </c>
      <c r="K1021" s="0" t="inlineStr">
        <is>
          <t>YES! 	 c_dt2_4列源备映射正确，源端为datetime2 None位	期望更改为datetime2(n)	实际备端为datetime2 None位</t>
        </is>
      </c>
    </row>
    <row r="1022">
      <c r="B1022" s="0" t="inlineStr">
        <is>
          <t>NULL</t>
        </is>
      </c>
      <c r="C1022" s="0" t="inlineStr">
        <is>
          <t>NULL</t>
        </is>
      </c>
      <c r="D1022" s="0" t="inlineStr">
        <is>
          <t>NULL</t>
        </is>
      </c>
      <c r="E1022" s="0" t="inlineStr">
        <is>
          <t>NULL</t>
        </is>
      </c>
      <c r="F1022" s="0" t="inlineStr">
        <is>
          <t>NULL</t>
        </is>
      </c>
      <c r="G1022" s="0" t="inlineStr">
        <is>
          <t>NULL</t>
        </is>
      </c>
      <c r="H1022" s="0" t="inlineStr">
        <is>
          <t>NULL</t>
        </is>
      </c>
      <c r="I1022" s="0" t="inlineStr">
        <is>
          <t>NULL</t>
        </is>
      </c>
      <c r="J1022" s="0" t="inlineStr">
        <is>
          <t>NULL</t>
        </is>
      </c>
      <c r="K1022" s="0" t="inlineStr">
        <is>
          <t>YES! 	 c_dt2_5列源备映射正确，源端为datetime2 None位	期望更改为datetime2(n)	实际备端为datetime2 None位</t>
        </is>
      </c>
    </row>
    <row r="1023">
      <c r="B1023" s="0" t="inlineStr">
        <is>
          <t>NULL</t>
        </is>
      </c>
      <c r="C1023" s="0" t="inlineStr">
        <is>
          <t>NULL</t>
        </is>
      </c>
      <c r="D1023" s="0" t="inlineStr">
        <is>
          <t>NULL</t>
        </is>
      </c>
      <c r="E1023" s="0" t="inlineStr">
        <is>
          <t>NULL</t>
        </is>
      </c>
      <c r="F1023" s="0" t="inlineStr">
        <is>
          <t>NULL</t>
        </is>
      </c>
      <c r="G1023" s="0" t="inlineStr">
        <is>
          <t>NULL</t>
        </is>
      </c>
      <c r="H1023" s="0" t="inlineStr">
        <is>
          <t>NULL</t>
        </is>
      </c>
      <c r="I1023" s="0" t="inlineStr">
        <is>
          <t>NULL</t>
        </is>
      </c>
      <c r="J1023" s="0" t="inlineStr">
        <is>
          <t>NULL</t>
        </is>
      </c>
      <c r="K1023" s="0" t="inlineStr">
        <is>
          <t>YES! 	 c_dt2_6列源备映射正确，源端为datetime2 None位	期望更改为datetime2(n)	实际备端为datetime2 None位</t>
        </is>
      </c>
    </row>
    <row r="1024">
      <c r="B1024" s="0" t="inlineStr">
        <is>
          <t>NULL</t>
        </is>
      </c>
      <c r="C1024" s="0" t="inlineStr">
        <is>
          <t>NULL</t>
        </is>
      </c>
      <c r="D1024" s="0" t="inlineStr">
        <is>
          <t>NULL</t>
        </is>
      </c>
      <c r="E1024" s="0" t="inlineStr">
        <is>
          <t>NULL</t>
        </is>
      </c>
      <c r="F1024" s="0" t="inlineStr">
        <is>
          <t>NULL</t>
        </is>
      </c>
      <c r="G1024" s="0" t="inlineStr">
        <is>
          <t>NULL</t>
        </is>
      </c>
      <c r="H1024" s="0" t="inlineStr">
        <is>
          <t>NULL</t>
        </is>
      </c>
      <c r="I1024" s="0" t="inlineStr">
        <is>
          <t>NULL</t>
        </is>
      </c>
      <c r="J1024" s="0" t="inlineStr">
        <is>
          <t>NULL</t>
        </is>
      </c>
      <c r="K1024" s="0" t="inlineStr">
        <is>
          <t>YES! 	 c_dt2列源备映射正确，源端为datetime2 None位	期望更改为datetime2(n)	实际备端为datetime2 None位</t>
        </is>
      </c>
    </row>
    <row r="1025">
      <c r="A1025" s="0" t="inlineStr">
        <is>
          <t>info_text_dml_single_nopk</t>
        </is>
      </c>
      <c r="K1025" s="0" t="inlineStr">
        <is>
          <t>[0;34m info_text_dml_single_nopk [0m源备字段数相同，源端字段：3 	备端字段3</t>
        </is>
      </c>
      <c r="W1025" s="0" t="inlineStr">
        <is>
          <t>YES 源备无差异</t>
        </is>
      </c>
      <c r="X1025" s="0">
        <f>A1025</f>
        <v/>
      </c>
    </row>
    <row r="1026">
      <c r="B1026" s="0" t="inlineStr">
        <is>
          <t>NULL</t>
        </is>
      </c>
      <c r="C1026" s="0" t="inlineStr">
        <is>
          <t>NULL</t>
        </is>
      </c>
      <c r="D1026" s="0" t="inlineStr">
        <is>
          <t>NULL</t>
        </is>
      </c>
      <c r="E1026" s="0" t="inlineStr">
        <is>
          <t>NULL</t>
        </is>
      </c>
      <c r="F1026" s="0" t="inlineStr">
        <is>
          <t>NULL</t>
        </is>
      </c>
      <c r="G1026" s="0" t="inlineStr">
        <is>
          <t>NULL</t>
        </is>
      </c>
      <c r="H1026" s="0" t="inlineStr">
        <is>
          <t>NULL</t>
        </is>
      </c>
      <c r="I1026" s="0" t="inlineStr">
        <is>
          <t>NULL</t>
        </is>
      </c>
      <c r="J1026" s="0" t="inlineStr">
        <is>
          <t>NULL</t>
        </is>
      </c>
      <c r="K1026" s="0" t="inlineStr">
        <is>
          <t>YES! 	 id列源备映射正确，源端为int None位	期望更改为int	实际备端为int None位</t>
        </is>
      </c>
    </row>
    <row r="1027">
      <c r="B1027" s="0" t="inlineStr">
        <is>
          <t>NULL</t>
        </is>
      </c>
      <c r="C1027" s="0" t="inlineStr">
        <is>
          <t>NULL</t>
        </is>
      </c>
      <c r="D1027" s="0" t="inlineStr">
        <is>
          <t>NULL</t>
        </is>
      </c>
      <c r="E1027" s="0" t="inlineStr">
        <is>
          <t>NULL</t>
        </is>
      </c>
      <c r="F1027" s="0" t="inlineStr">
        <is>
          <t>NULL</t>
        </is>
      </c>
      <c r="G1027" s="0" t="inlineStr">
        <is>
          <t>NULL</t>
        </is>
      </c>
      <c r="H1027" s="0" t="inlineStr">
        <is>
          <t>NULL</t>
        </is>
      </c>
      <c r="I1027" s="0" t="inlineStr">
        <is>
          <t>NULL</t>
        </is>
      </c>
      <c r="J1027" s="0" t="inlineStr">
        <is>
          <t>NULL</t>
        </is>
      </c>
      <c r="K1027" s="0" t="inlineStr">
        <is>
          <t>YES! 	 c_text列源备映射正确，源端为text 2147483647位	期望更改为text	实际备端为text 2147483647位</t>
        </is>
      </c>
    </row>
    <row r="1028">
      <c r="B1028" s="0" t="inlineStr">
        <is>
          <t>NULL</t>
        </is>
      </c>
      <c r="C1028" s="0" t="inlineStr">
        <is>
          <t>NULL</t>
        </is>
      </c>
      <c r="D1028" s="0" t="inlineStr">
        <is>
          <t>NULL</t>
        </is>
      </c>
      <c r="E1028" s="0" t="inlineStr">
        <is>
          <t>NULL</t>
        </is>
      </c>
      <c r="F1028" s="0" t="inlineStr">
        <is>
          <t>NULL</t>
        </is>
      </c>
      <c r="G1028" s="0" t="inlineStr">
        <is>
          <t>NULL</t>
        </is>
      </c>
      <c r="H1028" s="0" t="inlineStr">
        <is>
          <t>NULL</t>
        </is>
      </c>
      <c r="I1028" s="0" t="inlineStr">
        <is>
          <t>NULL</t>
        </is>
      </c>
      <c r="J1028" s="0" t="inlineStr">
        <is>
          <t>NULL</t>
        </is>
      </c>
      <c r="K1028" s="0" t="inlineStr">
        <is>
          <t>YES! 	 c_ntext列源备映射正确，源端为ntext 2147483646位	期望更改为ntext	实际备端为ntext 2147483646位</t>
        </is>
      </c>
    </row>
    <row r="1029">
      <c r="K1029" s="0" t="inlineStr">
        <is>
          <t>~ 空表</t>
        </is>
      </c>
    </row>
    <row r="1030">
      <c r="A1030" s="0" t="inlineStr">
        <is>
          <t>info_sdt_dml_single_pk_irp</t>
        </is>
      </c>
      <c r="K1030" s="0" t="inlineStr">
        <is>
          <t>[0;34m info_sdt_dml_single_pk_irp [0m源备字段数相同，源端字段：2 	备端字段2</t>
        </is>
      </c>
      <c r="W1030" s="0" t="inlineStr">
        <is>
          <t>YES 源备无差异</t>
        </is>
      </c>
      <c r="X1030" s="0">
        <f>A1030</f>
        <v/>
      </c>
    </row>
    <row r="1031">
      <c r="B1031" s="0" t="inlineStr">
        <is>
          <t>YES</t>
        </is>
      </c>
      <c r="C1031" s="0" t="inlineStr">
        <is>
          <t>NULL</t>
        </is>
      </c>
      <c r="D1031" s="0" t="inlineStr">
        <is>
          <t>NULL</t>
        </is>
      </c>
      <c r="E1031" s="0" t="inlineStr">
        <is>
          <t>NULL</t>
        </is>
      </c>
      <c r="F1031" s="0" t="inlineStr">
        <is>
          <t>NULL</t>
        </is>
      </c>
      <c r="G1031" s="0" t="inlineStr">
        <is>
          <t>NULL</t>
        </is>
      </c>
      <c r="H1031" s="0" t="inlineStr">
        <is>
          <t>NULL</t>
        </is>
      </c>
      <c r="I1031" s="0" t="inlineStr">
        <is>
          <t>YES!PK__info_sdt__3213E83F63FCCC00</t>
        </is>
      </c>
      <c r="J1031" s="0" t="inlineStr">
        <is>
          <t>YES! 主键相关索引</t>
        </is>
      </c>
      <c r="K1031" s="0" t="inlineStr">
        <is>
          <t>YES! 	 id列源备映射正确，源端为int None位	期望更改为int	实际备端为int None位</t>
        </is>
      </c>
    </row>
    <row r="1032">
      <c r="B1032" s="0" t="inlineStr">
        <is>
          <t>NULL</t>
        </is>
      </c>
      <c r="C1032" s="0" t="inlineStr">
        <is>
          <t>NULL</t>
        </is>
      </c>
      <c r="D1032" s="0" t="inlineStr">
        <is>
          <t>NULL</t>
        </is>
      </c>
      <c r="E1032" s="0" t="inlineStr">
        <is>
          <t>NULL</t>
        </is>
      </c>
      <c r="F1032" s="0" t="inlineStr">
        <is>
          <t>NULL</t>
        </is>
      </c>
      <c r="G1032" s="0" t="inlineStr">
        <is>
          <t>NULL</t>
        </is>
      </c>
      <c r="H1032" s="0" t="inlineStr">
        <is>
          <t>NULL</t>
        </is>
      </c>
      <c r="I1032" s="0" t="inlineStr">
        <is>
          <t>NULL</t>
        </is>
      </c>
      <c r="J1032" s="0" t="inlineStr">
        <is>
          <t>NULL</t>
        </is>
      </c>
      <c r="K1032" s="0" t="inlineStr">
        <is>
          <t>YES! 	 c_sdt列源备映射正确，源端为smalldatetime None位	期望更改为smalldatetime	实际备端为smalldatetime None位</t>
        </is>
      </c>
    </row>
    <row r="1033">
      <c r="A1033" s="0" t="inlineStr">
        <is>
          <t>info_nchar_dml_batch1_pk</t>
        </is>
      </c>
      <c r="K1033" s="0" t="inlineStr">
        <is>
          <t>[0;34m info_nchar_dml_batch1_pk [0m源备字段数相同，源端字段：4 	备端字段4</t>
        </is>
      </c>
      <c r="W1033" s="0" t="inlineStr">
        <is>
          <t>YES 源备无差异</t>
        </is>
      </c>
      <c r="X1033" s="0">
        <f>A1033</f>
        <v/>
      </c>
    </row>
    <row r="1034">
      <c r="B1034" s="0" t="inlineStr">
        <is>
          <t>YES</t>
        </is>
      </c>
      <c r="C1034" s="0" t="inlineStr">
        <is>
          <t>NULL</t>
        </is>
      </c>
      <c r="D1034" s="0" t="inlineStr">
        <is>
          <t>NULL</t>
        </is>
      </c>
      <c r="E1034" s="0" t="inlineStr">
        <is>
          <t>NULL</t>
        </is>
      </c>
      <c r="F1034" s="0" t="inlineStr">
        <is>
          <t>NULL</t>
        </is>
      </c>
      <c r="G1034" s="0" t="inlineStr">
        <is>
          <t>NULL</t>
        </is>
      </c>
      <c r="H1034" s="0" t="inlineStr">
        <is>
          <t>NULL</t>
        </is>
      </c>
      <c r="I1034" s="0" t="inlineStr">
        <is>
          <t>YES!PK__info_nch__3213E83F565E5991</t>
        </is>
      </c>
      <c r="J1034" s="0" t="inlineStr">
        <is>
          <t>YES! 主键相关索引</t>
        </is>
      </c>
      <c r="K1034" s="0" t="inlineStr">
        <is>
          <t>YES! 	 id列源备映射正确，源端为int None位	期望更改为int	实际备端为int None位</t>
        </is>
      </c>
    </row>
    <row r="1035">
      <c r="B1035" s="0" t="inlineStr">
        <is>
          <t>NULL</t>
        </is>
      </c>
      <c r="C1035" s="0" t="inlineStr">
        <is>
          <t>NULL</t>
        </is>
      </c>
      <c r="D1035" s="0" t="inlineStr">
        <is>
          <t>NULL</t>
        </is>
      </c>
      <c r="E1035" s="0" t="inlineStr">
        <is>
          <t>NULL</t>
        </is>
      </c>
      <c r="F1035" s="0" t="inlineStr">
        <is>
          <t>NULL</t>
        </is>
      </c>
      <c r="G1035" s="0" t="inlineStr">
        <is>
          <t>NULL</t>
        </is>
      </c>
      <c r="H1035" s="0" t="inlineStr">
        <is>
          <t>NULL</t>
        </is>
      </c>
      <c r="I1035" s="0" t="inlineStr">
        <is>
          <t>NULL</t>
        </is>
      </c>
      <c r="J1035" s="0" t="inlineStr">
        <is>
          <t>NULL</t>
        </is>
      </c>
      <c r="K1035" s="0" t="inlineStr">
        <is>
          <t>YES! 	 c_nchar列源备映射正确，源端为nchar 2位	期望更改为nchar(n)	实际备端为nchar 2位</t>
        </is>
      </c>
    </row>
    <row r="1036">
      <c r="B1036" s="0" t="inlineStr">
        <is>
          <t>NULL</t>
        </is>
      </c>
      <c r="C1036" s="0" t="inlineStr">
        <is>
          <t>NULL</t>
        </is>
      </c>
      <c r="D1036" s="0" t="inlineStr">
        <is>
          <t>NULL</t>
        </is>
      </c>
      <c r="E1036" s="0" t="inlineStr">
        <is>
          <t>NULL</t>
        </is>
      </c>
      <c r="F1036" s="0" t="inlineStr">
        <is>
          <t>NULL</t>
        </is>
      </c>
      <c r="G1036" s="0" t="inlineStr">
        <is>
          <t>NULL</t>
        </is>
      </c>
      <c r="H1036" s="0" t="inlineStr">
        <is>
          <t>NULL</t>
        </is>
      </c>
      <c r="I1036" s="0" t="inlineStr">
        <is>
          <t>NULL</t>
        </is>
      </c>
      <c r="J1036" s="0" t="inlineStr">
        <is>
          <t>NULL</t>
        </is>
      </c>
      <c r="K1036" s="0" t="inlineStr">
        <is>
          <t>YES! 	 c_nchar20列源备映射正确，源端为nchar 40位	期望更改为nchar(n)	实际备端为nchar 40位</t>
        </is>
      </c>
    </row>
    <row r="1037">
      <c r="B1037" s="0" t="inlineStr">
        <is>
          <t>NULL</t>
        </is>
      </c>
      <c r="C1037" s="0" t="inlineStr">
        <is>
          <t>NULL</t>
        </is>
      </c>
      <c r="D1037" s="0" t="inlineStr">
        <is>
          <t>NULL</t>
        </is>
      </c>
      <c r="E1037" s="0" t="inlineStr">
        <is>
          <t>NULL</t>
        </is>
      </c>
      <c r="F1037" s="0" t="inlineStr">
        <is>
          <t>NULL</t>
        </is>
      </c>
      <c r="G1037" s="0" t="inlineStr">
        <is>
          <t>NULL</t>
        </is>
      </c>
      <c r="H1037" s="0" t="inlineStr">
        <is>
          <t>NULL</t>
        </is>
      </c>
      <c r="I1037" s="0" t="inlineStr">
        <is>
          <t>NULL</t>
        </is>
      </c>
      <c r="J1037" s="0" t="inlineStr">
        <is>
          <t>NULL</t>
        </is>
      </c>
      <c r="K1037" s="0" t="inlineStr">
        <is>
          <t>YES! 	 c_nchar3500列源备映射正确，源端为nchar 7000位	期望更改为nchar(n)	实际备端为nchar 7000位</t>
        </is>
      </c>
    </row>
    <row r="1038">
      <c r="A1038" s="0" t="inlineStr">
        <is>
          <t>info_uniqueidentifier_dml_single_nopk</t>
        </is>
      </c>
      <c r="K1038" s="0" t="inlineStr">
        <is>
          <t>[0;34m info_uniqueidentifier_dml_single_nopk [0m源备字段数相同，源端字段：2 	备端字段2</t>
        </is>
      </c>
      <c r="W1038" s="0" t="inlineStr">
        <is>
          <t>YES 源备无差异</t>
        </is>
      </c>
      <c r="X1038" s="0">
        <f>A1038</f>
        <v/>
      </c>
    </row>
    <row r="1039">
      <c r="B1039" s="0" t="inlineStr">
        <is>
          <t>NULL</t>
        </is>
      </c>
      <c r="C1039" s="0" t="inlineStr">
        <is>
          <t>NULL</t>
        </is>
      </c>
      <c r="D1039" s="0" t="inlineStr">
        <is>
          <t>NULL</t>
        </is>
      </c>
      <c r="E1039" s="0" t="inlineStr">
        <is>
          <t>NULL</t>
        </is>
      </c>
      <c r="F1039" s="0" t="inlineStr">
        <is>
          <t>NULL</t>
        </is>
      </c>
      <c r="G1039" s="0" t="inlineStr">
        <is>
          <t>NULL</t>
        </is>
      </c>
      <c r="H1039" s="0" t="inlineStr">
        <is>
          <t>NULL</t>
        </is>
      </c>
      <c r="I1039" s="0" t="inlineStr">
        <is>
          <t>NULL</t>
        </is>
      </c>
      <c r="J1039" s="0" t="inlineStr">
        <is>
          <t>NULL</t>
        </is>
      </c>
      <c r="K1039" s="0" t="inlineStr">
        <is>
          <t>YES! 	 id列源备映射正确，源端为int None位	期望更改为int	实际备端为int None位</t>
        </is>
      </c>
    </row>
    <row r="1040">
      <c r="B1040" s="0" t="inlineStr">
        <is>
          <t>NULL</t>
        </is>
      </c>
      <c r="C1040" s="0" t="inlineStr">
        <is>
          <t>NULL</t>
        </is>
      </c>
      <c r="D1040" s="0" t="inlineStr">
        <is>
          <t>NULL</t>
        </is>
      </c>
      <c r="E1040" s="0" t="inlineStr">
        <is>
          <t>NULL</t>
        </is>
      </c>
      <c r="F1040" s="0" t="inlineStr">
        <is>
          <t>NULL</t>
        </is>
      </c>
      <c r="G1040" s="0" t="inlineStr">
        <is>
          <t>NULL</t>
        </is>
      </c>
      <c r="H1040" s="0" t="inlineStr">
        <is>
          <t>NULL</t>
        </is>
      </c>
      <c r="I1040" s="0" t="inlineStr">
        <is>
          <t>NULL</t>
        </is>
      </c>
      <c r="J1040" s="0" t="inlineStr">
        <is>
          <t>NULL</t>
        </is>
      </c>
      <c r="K1040" s="0" t="inlineStr">
        <is>
          <t>YES! 	 c_uniqueidentifier列源备映射正确，源端为uniqueidentifier None位	期望更改为uniqueidentifier	实际备端为uniqueidentifier None位</t>
        </is>
      </c>
    </row>
    <row r="1041">
      <c r="A1041" s="0" t="inlineStr">
        <is>
          <t>info_datetime2_dml_batch1_pk_urp1</t>
        </is>
      </c>
      <c r="K1041" s="0" t="inlineStr">
        <is>
          <t>[0;34m info_datetime2_dml_batch1_pk_urp1 [0m源备字段数相同，源端字段：9 	备端字段9</t>
        </is>
      </c>
      <c r="W1041" s="0" t="inlineStr">
        <is>
          <t>YES 源备无差异</t>
        </is>
      </c>
      <c r="X1041" s="0">
        <f>A1041</f>
        <v/>
      </c>
    </row>
    <row r="1042">
      <c r="B1042" s="0" t="inlineStr">
        <is>
          <t>YES</t>
        </is>
      </c>
      <c r="C1042" s="0" t="inlineStr">
        <is>
          <t>NULL</t>
        </is>
      </c>
      <c r="D1042" s="0" t="inlineStr">
        <is>
          <t>NULL</t>
        </is>
      </c>
      <c r="E1042" s="0" t="inlineStr">
        <is>
          <t>NULL</t>
        </is>
      </c>
      <c r="F1042" s="0" t="inlineStr">
        <is>
          <t>NULL</t>
        </is>
      </c>
      <c r="G1042" s="0" t="inlineStr">
        <is>
          <t>NULL</t>
        </is>
      </c>
      <c r="H1042" s="0" t="inlineStr">
        <is>
          <t>NULL</t>
        </is>
      </c>
      <c r="I1042" s="0" t="inlineStr">
        <is>
          <t>YES!PK__info_dat__3213E83F0F515F5B</t>
        </is>
      </c>
      <c r="J1042" s="0" t="inlineStr">
        <is>
          <t>YES! 主键相关索引</t>
        </is>
      </c>
      <c r="K1042" s="0" t="inlineStr">
        <is>
          <t>YES! 	 id列源备映射正确，源端为int None位	期望更改为int	实际备端为int None位</t>
        </is>
      </c>
    </row>
    <row r="1043">
      <c r="B1043" s="0" t="inlineStr">
        <is>
          <t>NULL</t>
        </is>
      </c>
      <c r="C1043" s="0" t="inlineStr">
        <is>
          <t>NULL</t>
        </is>
      </c>
      <c r="D1043" s="0" t="inlineStr">
        <is>
          <t>NULL</t>
        </is>
      </c>
      <c r="E1043" s="0" t="inlineStr">
        <is>
          <t>NULL</t>
        </is>
      </c>
      <c r="F1043" s="0" t="inlineStr">
        <is>
          <t>NULL</t>
        </is>
      </c>
      <c r="G1043" s="0" t="inlineStr">
        <is>
          <t>NULL</t>
        </is>
      </c>
      <c r="H1043" s="0" t="inlineStr">
        <is>
          <t>NULL</t>
        </is>
      </c>
      <c r="I1043" s="0" t="inlineStr">
        <is>
          <t>NULL</t>
        </is>
      </c>
      <c r="J1043" s="0" t="inlineStr">
        <is>
          <t>NULL</t>
        </is>
      </c>
      <c r="K1043" s="0" t="inlineStr">
        <is>
          <t>no,len不存在</t>
        </is>
      </c>
    </row>
    <row r="1044">
      <c r="B1044" s="0" t="inlineStr">
        <is>
          <t>NULL</t>
        </is>
      </c>
      <c r="C1044" s="0" t="inlineStr">
        <is>
          <t>NULL</t>
        </is>
      </c>
      <c r="D1044" s="0" t="inlineStr">
        <is>
          <t>NULL</t>
        </is>
      </c>
      <c r="E1044" s="0" t="inlineStr">
        <is>
          <t>NULL</t>
        </is>
      </c>
      <c r="F1044" s="0" t="inlineStr">
        <is>
          <t>NULL</t>
        </is>
      </c>
      <c r="G1044" s="0" t="inlineStr">
        <is>
          <t>NULL</t>
        </is>
      </c>
      <c r="H1044" s="0" t="inlineStr">
        <is>
          <t>NULL</t>
        </is>
      </c>
      <c r="I1044" s="0" t="inlineStr">
        <is>
          <t>NULL</t>
        </is>
      </c>
      <c r="J1044" s="0" t="inlineStr">
        <is>
          <t>NULL</t>
        </is>
      </c>
      <c r="K1044" s="0" t="inlineStr">
        <is>
          <t>YES! 	 c_dt2_1列源备映射正确，源端为datetime2 None位	期望更改为datetime2(n)	实际备端为datetime2 None位</t>
        </is>
      </c>
    </row>
    <row r="1045">
      <c r="B1045" s="0" t="inlineStr">
        <is>
          <t>NULL</t>
        </is>
      </c>
      <c r="C1045" s="0" t="inlineStr">
        <is>
          <t>NULL</t>
        </is>
      </c>
      <c r="D1045" s="0" t="inlineStr">
        <is>
          <t>NULL</t>
        </is>
      </c>
      <c r="E1045" s="0" t="inlineStr">
        <is>
          <t>NULL</t>
        </is>
      </c>
      <c r="F1045" s="0" t="inlineStr">
        <is>
          <t>NULL</t>
        </is>
      </c>
      <c r="G1045" s="0" t="inlineStr">
        <is>
          <t>NULL</t>
        </is>
      </c>
      <c r="H1045" s="0" t="inlineStr">
        <is>
          <t>NULL</t>
        </is>
      </c>
      <c r="I1045" s="0" t="inlineStr">
        <is>
          <t>NULL</t>
        </is>
      </c>
      <c r="J1045" s="0" t="inlineStr">
        <is>
          <t>NULL</t>
        </is>
      </c>
      <c r="K1045" s="0" t="inlineStr">
        <is>
          <t>YES! 	 c_dt2_2列源备映射正确，源端为datetime2 None位	期望更改为datetime2(n)	实际备端为datetime2 None位</t>
        </is>
      </c>
    </row>
    <row r="1046">
      <c r="B1046" s="0" t="inlineStr">
        <is>
          <t>NULL</t>
        </is>
      </c>
      <c r="C1046" s="0" t="inlineStr">
        <is>
          <t>NULL</t>
        </is>
      </c>
      <c r="D1046" s="0" t="inlineStr">
        <is>
          <t>NULL</t>
        </is>
      </c>
      <c r="E1046" s="0" t="inlineStr">
        <is>
          <t>NULL</t>
        </is>
      </c>
      <c r="F1046" s="0" t="inlineStr">
        <is>
          <t>NULL</t>
        </is>
      </c>
      <c r="G1046" s="0" t="inlineStr">
        <is>
          <t>NULL</t>
        </is>
      </c>
      <c r="H1046" s="0" t="inlineStr">
        <is>
          <t>NULL</t>
        </is>
      </c>
      <c r="I1046" s="0" t="inlineStr">
        <is>
          <t>NULL</t>
        </is>
      </c>
      <c r="J1046" s="0" t="inlineStr">
        <is>
          <t>NULL</t>
        </is>
      </c>
      <c r="K1046" s="0" t="inlineStr">
        <is>
          <t>YES! 	 c_dt2_3列源备映射正确，源端为datetime2 None位	期望更改为datetime2(n)	实际备端为datetime2 None位</t>
        </is>
      </c>
    </row>
    <row r="1047">
      <c r="B1047" s="0" t="inlineStr">
        <is>
          <t>NULL</t>
        </is>
      </c>
      <c r="C1047" s="0" t="inlineStr">
        <is>
          <t>NULL</t>
        </is>
      </c>
      <c r="D1047" s="0" t="inlineStr">
        <is>
          <t>NULL</t>
        </is>
      </c>
      <c r="E1047" s="0" t="inlineStr">
        <is>
          <t>NULL</t>
        </is>
      </c>
      <c r="F1047" s="0" t="inlineStr">
        <is>
          <t>NULL</t>
        </is>
      </c>
      <c r="G1047" s="0" t="inlineStr">
        <is>
          <t>NULL</t>
        </is>
      </c>
      <c r="H1047" s="0" t="inlineStr">
        <is>
          <t>NULL</t>
        </is>
      </c>
      <c r="I1047" s="0" t="inlineStr">
        <is>
          <t>NULL</t>
        </is>
      </c>
      <c r="J1047" s="0" t="inlineStr">
        <is>
          <t>NULL</t>
        </is>
      </c>
      <c r="K1047" s="0" t="inlineStr">
        <is>
          <t>YES! 	 c_dt2_4列源备映射正确，源端为datetime2 None位	期望更改为datetime2(n)	实际备端为datetime2 None位</t>
        </is>
      </c>
    </row>
    <row r="1048">
      <c r="B1048" s="0" t="inlineStr">
        <is>
          <t>NULL</t>
        </is>
      </c>
      <c r="C1048" s="0" t="inlineStr">
        <is>
          <t>NULL</t>
        </is>
      </c>
      <c r="D1048" s="0" t="inlineStr">
        <is>
          <t>NULL</t>
        </is>
      </c>
      <c r="E1048" s="0" t="inlineStr">
        <is>
          <t>NULL</t>
        </is>
      </c>
      <c r="F1048" s="0" t="inlineStr">
        <is>
          <t>NULL</t>
        </is>
      </c>
      <c r="G1048" s="0" t="inlineStr">
        <is>
          <t>NULL</t>
        </is>
      </c>
      <c r="H1048" s="0" t="inlineStr">
        <is>
          <t>NULL</t>
        </is>
      </c>
      <c r="I1048" s="0" t="inlineStr">
        <is>
          <t>NULL</t>
        </is>
      </c>
      <c r="J1048" s="0" t="inlineStr">
        <is>
          <t>NULL</t>
        </is>
      </c>
      <c r="K1048" s="0" t="inlineStr">
        <is>
          <t>YES! 	 c_dt2_5列源备映射正确，源端为datetime2 None位	期望更改为datetime2(n)	实际备端为datetime2 None位</t>
        </is>
      </c>
    </row>
    <row r="1049">
      <c r="B1049" s="0" t="inlineStr">
        <is>
          <t>NULL</t>
        </is>
      </c>
      <c r="C1049" s="0" t="inlineStr">
        <is>
          <t>NULL</t>
        </is>
      </c>
      <c r="D1049" s="0" t="inlineStr">
        <is>
          <t>NULL</t>
        </is>
      </c>
      <c r="E1049" s="0" t="inlineStr">
        <is>
          <t>NULL</t>
        </is>
      </c>
      <c r="F1049" s="0" t="inlineStr">
        <is>
          <t>NULL</t>
        </is>
      </c>
      <c r="G1049" s="0" t="inlineStr">
        <is>
          <t>NULL</t>
        </is>
      </c>
      <c r="H1049" s="0" t="inlineStr">
        <is>
          <t>NULL</t>
        </is>
      </c>
      <c r="I1049" s="0" t="inlineStr">
        <is>
          <t>NULL</t>
        </is>
      </c>
      <c r="J1049" s="0" t="inlineStr">
        <is>
          <t>NULL</t>
        </is>
      </c>
      <c r="K1049" s="0" t="inlineStr">
        <is>
          <t>YES! 	 c_dt2_6列源备映射正确，源端为datetime2 None位	期望更改为datetime2(n)	实际备端为datetime2 None位</t>
        </is>
      </c>
    </row>
    <row r="1050">
      <c r="B1050" s="0" t="inlineStr">
        <is>
          <t>NULL</t>
        </is>
      </c>
      <c r="C1050" s="0" t="inlineStr">
        <is>
          <t>NULL</t>
        </is>
      </c>
      <c r="D1050" s="0" t="inlineStr">
        <is>
          <t>NULL</t>
        </is>
      </c>
      <c r="E1050" s="0" t="inlineStr">
        <is>
          <t>NULL</t>
        </is>
      </c>
      <c r="F1050" s="0" t="inlineStr">
        <is>
          <t>NULL</t>
        </is>
      </c>
      <c r="G1050" s="0" t="inlineStr">
        <is>
          <t>NULL</t>
        </is>
      </c>
      <c r="H1050" s="0" t="inlineStr">
        <is>
          <t>NULL</t>
        </is>
      </c>
      <c r="I1050" s="0" t="inlineStr">
        <is>
          <t>NULL</t>
        </is>
      </c>
      <c r="J1050" s="0" t="inlineStr">
        <is>
          <t>NULL</t>
        </is>
      </c>
      <c r="K1050" s="0" t="inlineStr">
        <is>
          <t>YES! 	 c_dt2列源备映射正确，源端为datetime2 None位	期望更改为datetime2(n)	实际备端为datetime2 None位</t>
        </is>
      </c>
    </row>
    <row r="1051">
      <c r="A1051" s="0" t="inlineStr">
        <is>
          <t>info_sdt_dml_single_pk_urp</t>
        </is>
      </c>
      <c r="K1051" s="0" t="inlineStr">
        <is>
          <t>[0;34m info_sdt_dml_single_pk_urp [0m源备字段数相同，源端字段：2 	备端字段2</t>
        </is>
      </c>
      <c r="W1051" s="0" t="inlineStr">
        <is>
          <t>YES 源备无差异</t>
        </is>
      </c>
      <c r="X1051" s="0">
        <f>A1051</f>
        <v/>
      </c>
    </row>
    <row r="1052">
      <c r="B1052" s="0" t="inlineStr">
        <is>
          <t>YES</t>
        </is>
      </c>
      <c r="C1052" s="0" t="inlineStr">
        <is>
          <t>NULL</t>
        </is>
      </c>
      <c r="D1052" s="0" t="inlineStr">
        <is>
          <t>NULL</t>
        </is>
      </c>
      <c r="E1052" s="0" t="inlineStr">
        <is>
          <t>NULL</t>
        </is>
      </c>
      <c r="F1052" s="0" t="inlineStr">
        <is>
          <t>NULL</t>
        </is>
      </c>
      <c r="G1052" s="0" t="inlineStr">
        <is>
          <t>NULL</t>
        </is>
      </c>
      <c r="H1052" s="0" t="inlineStr">
        <is>
          <t>NULL</t>
        </is>
      </c>
      <c r="I1052" s="0" t="inlineStr">
        <is>
          <t>YES!PK__info_sdt__3213E83F06D79574</t>
        </is>
      </c>
      <c r="J1052" s="0" t="inlineStr">
        <is>
          <t>YES! 主键相关索引</t>
        </is>
      </c>
      <c r="K1052" s="0" t="inlineStr">
        <is>
          <t>YES! 	 id列源备映射正确，源端为int None位	期望更改为int	实际备端为int None位</t>
        </is>
      </c>
    </row>
    <row r="1053">
      <c r="B1053" s="0" t="inlineStr">
        <is>
          <t>NULL</t>
        </is>
      </c>
      <c r="C1053" s="0" t="inlineStr">
        <is>
          <t>NULL</t>
        </is>
      </c>
      <c r="D1053" s="0" t="inlineStr">
        <is>
          <t>NULL</t>
        </is>
      </c>
      <c r="E1053" s="0" t="inlineStr">
        <is>
          <t>NULL</t>
        </is>
      </c>
      <c r="F1053" s="0" t="inlineStr">
        <is>
          <t>NULL</t>
        </is>
      </c>
      <c r="G1053" s="0" t="inlineStr">
        <is>
          <t>NULL</t>
        </is>
      </c>
      <c r="H1053" s="0" t="inlineStr">
        <is>
          <t>NULL</t>
        </is>
      </c>
      <c r="I1053" s="0" t="inlineStr">
        <is>
          <t>NULL</t>
        </is>
      </c>
      <c r="J1053" s="0" t="inlineStr">
        <is>
          <t>NULL</t>
        </is>
      </c>
      <c r="K1053" s="0" t="inlineStr">
        <is>
          <t>YES! 	 c_sdt列源备映射正确，源端为smalldatetime None位	期望更改为smalldatetime	实际备端为smalldatetime None位</t>
        </is>
      </c>
    </row>
    <row r="1054">
      <c r="A1054" s="0" t="inlineStr">
        <is>
          <t>info_nvarchar_dml_batch1_pk_irp1</t>
        </is>
      </c>
      <c r="K1054" s="0" t="inlineStr">
        <is>
          <t>[0;34m info_nvarchar_dml_batch1_pk_irp1 [0m源备字段数相同，源端字段：4 	备端字段4</t>
        </is>
      </c>
      <c r="W1054" s="0" t="inlineStr">
        <is>
          <t>YES 源备无差异</t>
        </is>
      </c>
      <c r="X1054" s="0">
        <f>A1054</f>
        <v/>
      </c>
    </row>
    <row r="1055">
      <c r="B1055" s="0" t="inlineStr">
        <is>
          <t>YES</t>
        </is>
      </c>
      <c r="C1055" s="0" t="inlineStr">
        <is>
          <t>NULL</t>
        </is>
      </c>
      <c r="D1055" s="0" t="inlineStr">
        <is>
          <t>NULL</t>
        </is>
      </c>
      <c r="E1055" s="0" t="inlineStr">
        <is>
          <t>NULL</t>
        </is>
      </c>
      <c r="F1055" s="0" t="inlineStr">
        <is>
          <t>NULL</t>
        </is>
      </c>
      <c r="G1055" s="0" t="inlineStr">
        <is>
          <t>NULL</t>
        </is>
      </c>
      <c r="H1055" s="0" t="inlineStr">
        <is>
          <t>NULL</t>
        </is>
      </c>
      <c r="I1055" s="0" t="inlineStr">
        <is>
          <t>YES!PK__info_nva__3213E83FD4B93CAE</t>
        </is>
      </c>
      <c r="J1055" s="0" t="inlineStr">
        <is>
          <t>YES! 主键相关索引</t>
        </is>
      </c>
      <c r="K1055" s="0" t="inlineStr">
        <is>
          <t>YES! 	 id列源备映射正确，源端为int None位	期望更改为int	实际备端为int None位</t>
        </is>
      </c>
    </row>
    <row r="1056">
      <c r="B1056" s="0" t="inlineStr">
        <is>
          <t>NULL</t>
        </is>
      </c>
      <c r="C1056" s="0" t="inlineStr">
        <is>
          <t>NULL</t>
        </is>
      </c>
      <c r="D1056" s="0" t="inlineStr">
        <is>
          <t>NULL</t>
        </is>
      </c>
      <c r="E1056" s="0" t="inlineStr">
        <is>
          <t>NULL</t>
        </is>
      </c>
      <c r="F1056" s="0" t="inlineStr">
        <is>
          <t>NULL</t>
        </is>
      </c>
      <c r="G1056" s="0" t="inlineStr">
        <is>
          <t>NULL</t>
        </is>
      </c>
      <c r="H1056" s="0" t="inlineStr">
        <is>
          <t>NULL</t>
        </is>
      </c>
      <c r="I1056" s="0" t="inlineStr">
        <is>
          <t>NULL</t>
        </is>
      </c>
      <c r="J1056" s="0" t="inlineStr">
        <is>
          <t>NULL</t>
        </is>
      </c>
      <c r="K1056" s="0" t="inlineStr">
        <is>
          <t>YES! 	 c_nvarchar列源备映射正确，源端为nvarchar 2位	期望更改为nvarchar(n)	实际备端为nvarchar 2位</t>
        </is>
      </c>
    </row>
    <row r="1057">
      <c r="B1057" s="0" t="inlineStr">
        <is>
          <t>NULL</t>
        </is>
      </c>
      <c r="C1057" s="0" t="inlineStr">
        <is>
          <t>NULL</t>
        </is>
      </c>
      <c r="D1057" s="0" t="inlineStr">
        <is>
          <t>NULL</t>
        </is>
      </c>
      <c r="E1057" s="0" t="inlineStr">
        <is>
          <t>NULL</t>
        </is>
      </c>
      <c r="F1057" s="0" t="inlineStr">
        <is>
          <t>NULL</t>
        </is>
      </c>
      <c r="G1057" s="0" t="inlineStr">
        <is>
          <t>NULL</t>
        </is>
      </c>
      <c r="H1057" s="0" t="inlineStr">
        <is>
          <t>NULL</t>
        </is>
      </c>
      <c r="I1057" s="0" t="inlineStr">
        <is>
          <t>NULL</t>
        </is>
      </c>
      <c r="J1057" s="0" t="inlineStr">
        <is>
          <t>NULL</t>
        </is>
      </c>
      <c r="K1057" s="0" t="inlineStr">
        <is>
          <t>YES! 	 c_nvarchar20列源备映射正确，源端为nvarchar 40位	期望更改为nvarchar(n)	实际备端为nvarchar 40位</t>
        </is>
      </c>
    </row>
    <row r="1058">
      <c r="B1058" s="0" t="inlineStr">
        <is>
          <t>NULL</t>
        </is>
      </c>
      <c r="C1058" s="0" t="inlineStr">
        <is>
          <t>NULL</t>
        </is>
      </c>
      <c r="D1058" s="0" t="inlineStr">
        <is>
          <t>NULL</t>
        </is>
      </c>
      <c r="E1058" s="0" t="inlineStr">
        <is>
          <t>NULL</t>
        </is>
      </c>
      <c r="F1058" s="0" t="inlineStr">
        <is>
          <t>NULL</t>
        </is>
      </c>
      <c r="G1058" s="0" t="inlineStr">
        <is>
          <t>NULL</t>
        </is>
      </c>
      <c r="H1058" s="0" t="inlineStr">
        <is>
          <t>NULL</t>
        </is>
      </c>
      <c r="I1058" s="0" t="inlineStr">
        <is>
          <t>NULL</t>
        </is>
      </c>
      <c r="J1058" s="0" t="inlineStr">
        <is>
          <t>NULL</t>
        </is>
      </c>
      <c r="K1058" s="0" t="inlineStr">
        <is>
          <t>YES! 	 c_nvarchar4000列源备映射正确，源端为nvarchar 8000位	期望更改为nvarchar(n)	实际备端为nvarchar 8000位</t>
        </is>
      </c>
    </row>
    <row r="1059">
      <c r="A1059" s="0" t="inlineStr">
        <is>
          <t>info_binary_dml_single_nopk_irp</t>
        </is>
      </c>
      <c r="K1059" s="0" t="inlineStr">
        <is>
          <t>[0;34m info_binary_dml_single_nopk_irp [0m源备字段数相同，源端字段：4 	备端字段4</t>
        </is>
      </c>
      <c r="W1059" s="0" t="inlineStr">
        <is>
          <t>YES 源备无差异</t>
        </is>
      </c>
      <c r="X1059" s="0">
        <f>A1059</f>
        <v/>
      </c>
    </row>
    <row r="1060">
      <c r="B1060" s="0" t="inlineStr">
        <is>
          <t>NULL</t>
        </is>
      </c>
      <c r="C1060" s="0" t="inlineStr">
        <is>
          <t>NULL</t>
        </is>
      </c>
      <c r="D1060" s="0" t="inlineStr">
        <is>
          <t>NULL</t>
        </is>
      </c>
      <c r="E1060" s="0" t="inlineStr">
        <is>
          <t>NULL</t>
        </is>
      </c>
      <c r="F1060" s="0" t="inlineStr">
        <is>
          <t>NULL</t>
        </is>
      </c>
      <c r="G1060" s="0" t="inlineStr">
        <is>
          <t>NULL</t>
        </is>
      </c>
      <c r="H1060" s="0" t="inlineStr">
        <is>
          <t>NULL</t>
        </is>
      </c>
      <c r="I1060" s="0" t="inlineStr">
        <is>
          <t>NULL</t>
        </is>
      </c>
      <c r="J1060" s="0" t="inlineStr">
        <is>
          <t>NULL</t>
        </is>
      </c>
      <c r="K1060" s="0" t="inlineStr">
        <is>
          <t>YES! 	 id列源备映射正确，源端为int None位	期望更改为int	实际备端为int None位</t>
        </is>
      </c>
    </row>
    <row r="1061">
      <c r="B1061" s="0" t="inlineStr">
        <is>
          <t>NULL</t>
        </is>
      </c>
      <c r="C1061" s="0" t="inlineStr">
        <is>
          <t>NULL</t>
        </is>
      </c>
      <c r="D1061" s="0" t="inlineStr">
        <is>
          <t>NULL</t>
        </is>
      </c>
      <c r="E1061" s="0" t="inlineStr">
        <is>
          <t>NULL</t>
        </is>
      </c>
      <c r="F1061" s="0" t="inlineStr">
        <is>
          <t>NULL</t>
        </is>
      </c>
      <c r="G1061" s="0" t="inlineStr">
        <is>
          <t>NULL</t>
        </is>
      </c>
      <c r="H1061" s="0" t="inlineStr">
        <is>
          <t>NULL</t>
        </is>
      </c>
      <c r="I1061" s="0" t="inlineStr">
        <is>
          <t>NULL</t>
        </is>
      </c>
      <c r="J1061" s="0" t="inlineStr">
        <is>
          <t>NULL</t>
        </is>
      </c>
      <c r="K1061" s="0" t="inlineStr">
        <is>
          <t>YES! 	 c_binary列源备映射正确，源端为binary 1位	期望更改为binary(n)	实际备端为binary 1位</t>
        </is>
      </c>
    </row>
    <row r="1062">
      <c r="B1062" s="0" t="inlineStr">
        <is>
          <t>NULL</t>
        </is>
      </c>
      <c r="C1062" s="0" t="inlineStr">
        <is>
          <t>NULL</t>
        </is>
      </c>
      <c r="D1062" s="0" t="inlineStr">
        <is>
          <t>NULL</t>
        </is>
      </c>
      <c r="E1062" s="0" t="inlineStr">
        <is>
          <t>NULL</t>
        </is>
      </c>
      <c r="F1062" s="0" t="inlineStr">
        <is>
          <t>NULL</t>
        </is>
      </c>
      <c r="G1062" s="0" t="inlineStr">
        <is>
          <t>NULL</t>
        </is>
      </c>
      <c r="H1062" s="0" t="inlineStr">
        <is>
          <t>NULL</t>
        </is>
      </c>
      <c r="I1062" s="0" t="inlineStr">
        <is>
          <t>NULL</t>
        </is>
      </c>
      <c r="J1062" s="0" t="inlineStr">
        <is>
          <t>NULL</t>
        </is>
      </c>
      <c r="K1062" s="0" t="inlineStr">
        <is>
          <t>YES! 	 c_binary_20列源备映射正确，源端为binary 20位	期望更改为binary(n)	实际备端为binary 20位</t>
        </is>
      </c>
    </row>
    <row r="1063">
      <c r="B1063" s="0" t="inlineStr">
        <is>
          <t>NULL</t>
        </is>
      </c>
      <c r="C1063" s="0" t="inlineStr">
        <is>
          <t>NULL</t>
        </is>
      </c>
      <c r="D1063" s="0" t="inlineStr">
        <is>
          <t>NULL</t>
        </is>
      </c>
      <c r="E1063" s="0" t="inlineStr">
        <is>
          <t>NULL</t>
        </is>
      </c>
      <c r="F1063" s="0" t="inlineStr">
        <is>
          <t>NULL</t>
        </is>
      </c>
      <c r="G1063" s="0" t="inlineStr">
        <is>
          <t>NULL</t>
        </is>
      </c>
      <c r="H1063" s="0" t="inlineStr">
        <is>
          <t>NULL</t>
        </is>
      </c>
      <c r="I1063" s="0" t="inlineStr">
        <is>
          <t>NULL</t>
        </is>
      </c>
      <c r="J1063" s="0" t="inlineStr">
        <is>
          <t>NULL</t>
        </is>
      </c>
      <c r="K1063" s="0" t="inlineStr">
        <is>
          <t>YES! 	 c_binary_8000列源备映射正确，源端为binary 8000位	期望更改为binary(n)	实际备端为binary 8000位</t>
        </is>
      </c>
    </row>
    <row r="1064">
      <c r="A1064" s="0" t="inlineStr">
        <is>
          <t>info_datetime2_dml_batch1_pk_urp2</t>
        </is>
      </c>
      <c r="K1064" s="0" t="inlineStr">
        <is>
          <t>[0;34m info_datetime2_dml_batch1_pk_urp2 [0m源备字段数相同，源端字段：9 	备端字段9</t>
        </is>
      </c>
      <c r="W1064" s="0" t="inlineStr">
        <is>
          <t>YES 源备无差异</t>
        </is>
      </c>
      <c r="X1064" s="0">
        <f>A1064</f>
        <v/>
      </c>
    </row>
    <row r="1065">
      <c r="B1065" s="0" t="inlineStr">
        <is>
          <t>YES</t>
        </is>
      </c>
      <c r="C1065" s="0" t="inlineStr">
        <is>
          <t>NULL</t>
        </is>
      </c>
      <c r="D1065" s="0" t="inlineStr">
        <is>
          <t>NULL</t>
        </is>
      </c>
      <c r="E1065" s="0" t="inlineStr">
        <is>
          <t>NULL</t>
        </is>
      </c>
      <c r="F1065" s="0" t="inlineStr">
        <is>
          <t>NULL</t>
        </is>
      </c>
      <c r="G1065" s="0" t="inlineStr">
        <is>
          <t>NULL</t>
        </is>
      </c>
      <c r="H1065" s="0" t="inlineStr">
        <is>
          <t>NULL</t>
        </is>
      </c>
      <c r="I1065" s="0" t="inlineStr">
        <is>
          <t>YES!PK__info_dat__3213E83FB73D9BC9</t>
        </is>
      </c>
      <c r="J1065" s="0" t="inlineStr">
        <is>
          <t>YES! 主键相关索引</t>
        </is>
      </c>
      <c r="K1065" s="0" t="inlineStr">
        <is>
          <t>YES! 	 id列源备映射正确，源端为int None位	期望更改为int	实际备端为int None位</t>
        </is>
      </c>
    </row>
    <row r="1066">
      <c r="B1066" s="0" t="inlineStr">
        <is>
          <t>NULL</t>
        </is>
      </c>
      <c r="C1066" s="0" t="inlineStr">
        <is>
          <t>NULL</t>
        </is>
      </c>
      <c r="D1066" s="0" t="inlineStr">
        <is>
          <t>NULL</t>
        </is>
      </c>
      <c r="E1066" s="0" t="inlineStr">
        <is>
          <t>NULL</t>
        </is>
      </c>
      <c r="F1066" s="0" t="inlineStr">
        <is>
          <t>NULL</t>
        </is>
      </c>
      <c r="G1066" s="0" t="inlineStr">
        <is>
          <t>NULL</t>
        </is>
      </c>
      <c r="H1066" s="0" t="inlineStr">
        <is>
          <t>NULL</t>
        </is>
      </c>
      <c r="I1066" s="0" t="inlineStr">
        <is>
          <t>NULL</t>
        </is>
      </c>
      <c r="J1066" s="0" t="inlineStr">
        <is>
          <t>NULL</t>
        </is>
      </c>
      <c r="K1066" s="0" t="inlineStr">
        <is>
          <t>no,len不存在</t>
        </is>
      </c>
    </row>
    <row r="1067">
      <c r="B1067" s="0" t="inlineStr">
        <is>
          <t>NULL</t>
        </is>
      </c>
      <c r="C1067" s="0" t="inlineStr">
        <is>
          <t>NULL</t>
        </is>
      </c>
      <c r="D1067" s="0" t="inlineStr">
        <is>
          <t>NULL</t>
        </is>
      </c>
      <c r="E1067" s="0" t="inlineStr">
        <is>
          <t>NULL</t>
        </is>
      </c>
      <c r="F1067" s="0" t="inlineStr">
        <is>
          <t>NULL</t>
        </is>
      </c>
      <c r="G1067" s="0" t="inlineStr">
        <is>
          <t>NULL</t>
        </is>
      </c>
      <c r="H1067" s="0" t="inlineStr">
        <is>
          <t>NULL</t>
        </is>
      </c>
      <c r="I1067" s="0" t="inlineStr">
        <is>
          <t>NULL</t>
        </is>
      </c>
      <c r="J1067" s="0" t="inlineStr">
        <is>
          <t>NULL</t>
        </is>
      </c>
      <c r="K1067" s="0" t="inlineStr">
        <is>
          <t>YES! 	 c_dt2_1列源备映射正确，源端为datetime2 None位	期望更改为datetime2(n)	实际备端为datetime2 None位</t>
        </is>
      </c>
    </row>
    <row r="1068">
      <c r="B1068" s="0" t="inlineStr">
        <is>
          <t>NULL</t>
        </is>
      </c>
      <c r="C1068" s="0" t="inlineStr">
        <is>
          <t>NULL</t>
        </is>
      </c>
      <c r="D1068" s="0" t="inlineStr">
        <is>
          <t>NULL</t>
        </is>
      </c>
      <c r="E1068" s="0" t="inlineStr">
        <is>
          <t>NULL</t>
        </is>
      </c>
      <c r="F1068" s="0" t="inlineStr">
        <is>
          <t>NULL</t>
        </is>
      </c>
      <c r="G1068" s="0" t="inlineStr">
        <is>
          <t>NULL</t>
        </is>
      </c>
      <c r="H1068" s="0" t="inlineStr">
        <is>
          <t>NULL</t>
        </is>
      </c>
      <c r="I1068" s="0" t="inlineStr">
        <is>
          <t>NULL</t>
        </is>
      </c>
      <c r="J1068" s="0" t="inlineStr">
        <is>
          <t>NULL</t>
        </is>
      </c>
      <c r="K1068" s="0" t="inlineStr">
        <is>
          <t>YES! 	 c_dt2_2列源备映射正确，源端为datetime2 None位	期望更改为datetime2(n)	实际备端为datetime2 None位</t>
        </is>
      </c>
    </row>
    <row r="1069">
      <c r="B1069" s="0" t="inlineStr">
        <is>
          <t>NULL</t>
        </is>
      </c>
      <c r="C1069" s="0" t="inlineStr">
        <is>
          <t>NULL</t>
        </is>
      </c>
      <c r="D1069" s="0" t="inlineStr">
        <is>
          <t>NULL</t>
        </is>
      </c>
      <c r="E1069" s="0" t="inlineStr">
        <is>
          <t>NULL</t>
        </is>
      </c>
      <c r="F1069" s="0" t="inlineStr">
        <is>
          <t>NULL</t>
        </is>
      </c>
      <c r="G1069" s="0" t="inlineStr">
        <is>
          <t>NULL</t>
        </is>
      </c>
      <c r="H1069" s="0" t="inlineStr">
        <is>
          <t>NULL</t>
        </is>
      </c>
      <c r="I1069" s="0" t="inlineStr">
        <is>
          <t>NULL</t>
        </is>
      </c>
      <c r="J1069" s="0" t="inlineStr">
        <is>
          <t>NULL</t>
        </is>
      </c>
      <c r="K1069" s="0" t="inlineStr">
        <is>
          <t>YES! 	 c_dt2_3列源备映射正确，源端为datetime2 None位	期望更改为datetime2(n)	实际备端为datetime2 None位</t>
        </is>
      </c>
    </row>
    <row r="1070">
      <c r="B1070" s="0" t="inlineStr">
        <is>
          <t>NULL</t>
        </is>
      </c>
      <c r="C1070" s="0" t="inlineStr">
        <is>
          <t>NULL</t>
        </is>
      </c>
      <c r="D1070" s="0" t="inlineStr">
        <is>
          <t>NULL</t>
        </is>
      </c>
      <c r="E1070" s="0" t="inlineStr">
        <is>
          <t>NULL</t>
        </is>
      </c>
      <c r="F1070" s="0" t="inlineStr">
        <is>
          <t>NULL</t>
        </is>
      </c>
      <c r="G1070" s="0" t="inlineStr">
        <is>
          <t>NULL</t>
        </is>
      </c>
      <c r="H1070" s="0" t="inlineStr">
        <is>
          <t>NULL</t>
        </is>
      </c>
      <c r="I1070" s="0" t="inlineStr">
        <is>
          <t>NULL</t>
        </is>
      </c>
      <c r="J1070" s="0" t="inlineStr">
        <is>
          <t>NULL</t>
        </is>
      </c>
      <c r="K1070" s="0" t="inlineStr">
        <is>
          <t>YES! 	 c_dt2_4列源备映射正确，源端为datetime2 None位	期望更改为datetime2(n)	实际备端为datetime2 None位</t>
        </is>
      </c>
    </row>
    <row r="1071">
      <c r="B1071" s="0" t="inlineStr">
        <is>
          <t>NULL</t>
        </is>
      </c>
      <c r="C1071" s="0" t="inlineStr">
        <is>
          <t>NULL</t>
        </is>
      </c>
      <c r="D1071" s="0" t="inlineStr">
        <is>
          <t>NULL</t>
        </is>
      </c>
      <c r="E1071" s="0" t="inlineStr">
        <is>
          <t>NULL</t>
        </is>
      </c>
      <c r="F1071" s="0" t="inlineStr">
        <is>
          <t>NULL</t>
        </is>
      </c>
      <c r="G1071" s="0" t="inlineStr">
        <is>
          <t>NULL</t>
        </is>
      </c>
      <c r="H1071" s="0" t="inlineStr">
        <is>
          <t>NULL</t>
        </is>
      </c>
      <c r="I1071" s="0" t="inlineStr">
        <is>
          <t>NULL</t>
        </is>
      </c>
      <c r="J1071" s="0" t="inlineStr">
        <is>
          <t>NULL</t>
        </is>
      </c>
      <c r="K1071" s="0" t="inlineStr">
        <is>
          <t>YES! 	 c_dt2_5列源备映射正确，源端为datetime2 None位	期望更改为datetime2(n)	实际备端为datetime2 None位</t>
        </is>
      </c>
    </row>
    <row r="1072">
      <c r="B1072" s="0" t="inlineStr">
        <is>
          <t>NULL</t>
        </is>
      </c>
      <c r="C1072" s="0" t="inlineStr">
        <is>
          <t>NULL</t>
        </is>
      </c>
      <c r="D1072" s="0" t="inlineStr">
        <is>
          <t>NULL</t>
        </is>
      </c>
      <c r="E1072" s="0" t="inlineStr">
        <is>
          <t>NULL</t>
        </is>
      </c>
      <c r="F1072" s="0" t="inlineStr">
        <is>
          <t>NULL</t>
        </is>
      </c>
      <c r="G1072" s="0" t="inlineStr">
        <is>
          <t>NULL</t>
        </is>
      </c>
      <c r="H1072" s="0" t="inlineStr">
        <is>
          <t>NULL</t>
        </is>
      </c>
      <c r="I1072" s="0" t="inlineStr">
        <is>
          <t>NULL</t>
        </is>
      </c>
      <c r="J1072" s="0" t="inlineStr">
        <is>
          <t>NULL</t>
        </is>
      </c>
      <c r="K1072" s="0" t="inlineStr">
        <is>
          <t>YES! 	 c_dt2_6列源备映射正确，源端为datetime2 None位	期望更改为datetime2(n)	实际备端为datetime2 None位</t>
        </is>
      </c>
    </row>
    <row r="1073">
      <c r="B1073" s="0" t="inlineStr">
        <is>
          <t>NULL</t>
        </is>
      </c>
      <c r="C1073" s="0" t="inlineStr">
        <is>
          <t>NULL</t>
        </is>
      </c>
      <c r="D1073" s="0" t="inlineStr">
        <is>
          <t>NULL</t>
        </is>
      </c>
      <c r="E1073" s="0" t="inlineStr">
        <is>
          <t>NULL</t>
        </is>
      </c>
      <c r="F1073" s="0" t="inlineStr">
        <is>
          <t>NULL</t>
        </is>
      </c>
      <c r="G1073" s="0" t="inlineStr">
        <is>
          <t>NULL</t>
        </is>
      </c>
      <c r="H1073" s="0" t="inlineStr">
        <is>
          <t>NULL</t>
        </is>
      </c>
      <c r="I1073" s="0" t="inlineStr">
        <is>
          <t>NULL</t>
        </is>
      </c>
      <c r="J1073" s="0" t="inlineStr">
        <is>
          <t>NULL</t>
        </is>
      </c>
      <c r="K1073" s="0" t="inlineStr">
        <is>
          <t>YES! 	 c_dt2列源备映射正确，源端为datetime2 None位	期望更改为datetime2(n)	实际备端为datetime2 None位</t>
        </is>
      </c>
    </row>
    <row r="1074">
      <c r="A1074" s="0" t="inlineStr">
        <is>
          <t>info_nvarchar_dml_batch1_pk_irp2</t>
        </is>
      </c>
      <c r="K1074" s="0" t="inlineStr">
        <is>
          <t>[0;34m info_nvarchar_dml_batch1_pk_irp2 [0m源备字段数相同，源端字段：4 	备端字段4</t>
        </is>
      </c>
      <c r="W1074" s="0" t="inlineStr">
        <is>
          <t>YES 源备无差异</t>
        </is>
      </c>
      <c r="X1074" s="0">
        <f>A1074</f>
        <v/>
      </c>
    </row>
    <row r="1075">
      <c r="B1075" s="0" t="inlineStr">
        <is>
          <t>YES</t>
        </is>
      </c>
      <c r="C1075" s="0" t="inlineStr">
        <is>
          <t>NULL</t>
        </is>
      </c>
      <c r="D1075" s="0" t="inlineStr">
        <is>
          <t>NULL</t>
        </is>
      </c>
      <c r="E1075" s="0" t="inlineStr">
        <is>
          <t>NULL</t>
        </is>
      </c>
      <c r="F1075" s="0" t="inlineStr">
        <is>
          <t>NULL</t>
        </is>
      </c>
      <c r="G1075" s="0" t="inlineStr">
        <is>
          <t>NULL</t>
        </is>
      </c>
      <c r="H1075" s="0" t="inlineStr">
        <is>
          <t>NULL</t>
        </is>
      </c>
      <c r="I1075" s="0" t="inlineStr">
        <is>
          <t>YES!PK__info_nva__3213E83FF8A54FF1</t>
        </is>
      </c>
      <c r="J1075" s="0" t="inlineStr">
        <is>
          <t>YES! 主键相关索引</t>
        </is>
      </c>
      <c r="K1075" s="0" t="inlineStr">
        <is>
          <t>YES! 	 id列源备映射正确，源端为int None位	期望更改为int	实际备端为int None位</t>
        </is>
      </c>
    </row>
    <row r="1076">
      <c r="B1076" s="0" t="inlineStr">
        <is>
          <t>NULL</t>
        </is>
      </c>
      <c r="C1076" s="0" t="inlineStr">
        <is>
          <t>NULL</t>
        </is>
      </c>
      <c r="D1076" s="0" t="inlineStr">
        <is>
          <t>NULL</t>
        </is>
      </c>
      <c r="E1076" s="0" t="inlineStr">
        <is>
          <t>NULL</t>
        </is>
      </c>
      <c r="F1076" s="0" t="inlineStr">
        <is>
          <t>NULL</t>
        </is>
      </c>
      <c r="G1076" s="0" t="inlineStr">
        <is>
          <t>NULL</t>
        </is>
      </c>
      <c r="H1076" s="0" t="inlineStr">
        <is>
          <t>NULL</t>
        </is>
      </c>
      <c r="I1076" s="0" t="inlineStr">
        <is>
          <t>NULL</t>
        </is>
      </c>
      <c r="J1076" s="0" t="inlineStr">
        <is>
          <t>NULL</t>
        </is>
      </c>
      <c r="K1076" s="0" t="inlineStr">
        <is>
          <t>YES! 	 c_nvarchar列源备映射正确，源端为nvarchar 2位	期望更改为nvarchar(n)	实际备端为nvarchar 2位</t>
        </is>
      </c>
    </row>
    <row r="1077">
      <c r="B1077" s="0" t="inlineStr">
        <is>
          <t>NULL</t>
        </is>
      </c>
      <c r="C1077" s="0" t="inlineStr">
        <is>
          <t>NULL</t>
        </is>
      </c>
      <c r="D1077" s="0" t="inlineStr">
        <is>
          <t>NULL</t>
        </is>
      </c>
      <c r="E1077" s="0" t="inlineStr">
        <is>
          <t>NULL</t>
        </is>
      </c>
      <c r="F1077" s="0" t="inlineStr">
        <is>
          <t>NULL</t>
        </is>
      </c>
      <c r="G1077" s="0" t="inlineStr">
        <is>
          <t>NULL</t>
        </is>
      </c>
      <c r="H1077" s="0" t="inlineStr">
        <is>
          <t>NULL</t>
        </is>
      </c>
      <c r="I1077" s="0" t="inlineStr">
        <is>
          <t>NULL</t>
        </is>
      </c>
      <c r="J1077" s="0" t="inlineStr">
        <is>
          <t>NULL</t>
        </is>
      </c>
      <c r="K1077" s="0" t="inlineStr">
        <is>
          <t>YES! 	 c_nvarchar20列源备映射正确，源端为nvarchar 40位	期望更改为nvarchar(n)	实际备端为nvarchar 40位</t>
        </is>
      </c>
    </row>
    <row r="1078">
      <c r="B1078" s="0" t="inlineStr">
        <is>
          <t>NULL</t>
        </is>
      </c>
      <c r="C1078" s="0" t="inlineStr">
        <is>
          <t>NULL</t>
        </is>
      </c>
      <c r="D1078" s="0" t="inlineStr">
        <is>
          <t>NULL</t>
        </is>
      </c>
      <c r="E1078" s="0" t="inlineStr">
        <is>
          <t>NULL</t>
        </is>
      </c>
      <c r="F1078" s="0" t="inlineStr">
        <is>
          <t>NULL</t>
        </is>
      </c>
      <c r="G1078" s="0" t="inlineStr">
        <is>
          <t>NULL</t>
        </is>
      </c>
      <c r="H1078" s="0" t="inlineStr">
        <is>
          <t>NULL</t>
        </is>
      </c>
      <c r="I1078" s="0" t="inlineStr">
        <is>
          <t>NULL</t>
        </is>
      </c>
      <c r="J1078" s="0" t="inlineStr">
        <is>
          <t>NULL</t>
        </is>
      </c>
      <c r="K1078" s="0" t="inlineStr">
        <is>
          <t>YES! 	 c_nvarchar3500列源备映射正确，源端为nvarchar 7000位	期望更改为nvarchar(n)	实际备端为nvarchar 7000位</t>
        </is>
      </c>
    </row>
    <row r="1079">
      <c r="A1079" s="0" t="inlineStr">
        <is>
          <t>info_sdt_dml_single_pk_drp</t>
        </is>
      </c>
      <c r="K1079" s="0" t="inlineStr">
        <is>
          <t>[0;34m info_sdt_dml_single_pk_drp [0m源备字段数相同，源端字段：2 	备端字段2</t>
        </is>
      </c>
      <c r="W1079" s="0" t="inlineStr">
        <is>
          <t>YES 源备无差异</t>
        </is>
      </c>
      <c r="X1079" s="0">
        <f>A1079</f>
        <v/>
      </c>
    </row>
    <row r="1080">
      <c r="B1080" s="0" t="inlineStr">
        <is>
          <t>YES</t>
        </is>
      </c>
      <c r="C1080" s="0" t="inlineStr">
        <is>
          <t>NULL</t>
        </is>
      </c>
      <c r="D1080" s="0" t="inlineStr">
        <is>
          <t>NULL</t>
        </is>
      </c>
      <c r="E1080" s="0" t="inlineStr">
        <is>
          <t>NULL</t>
        </is>
      </c>
      <c r="F1080" s="0" t="inlineStr">
        <is>
          <t>NULL</t>
        </is>
      </c>
      <c r="G1080" s="0" t="inlineStr">
        <is>
          <t>NULL</t>
        </is>
      </c>
      <c r="H1080" s="0" t="inlineStr">
        <is>
          <t>NULL</t>
        </is>
      </c>
      <c r="I1080" s="0" t="inlineStr">
        <is>
          <t>YES!PK__info_sdt__3213E83FD9FF0613</t>
        </is>
      </c>
      <c r="J1080" s="0" t="inlineStr">
        <is>
          <t>YES! 主键相关索引</t>
        </is>
      </c>
      <c r="K1080" s="0" t="inlineStr">
        <is>
          <t>YES! 	 id列源备映射正确，源端为int None位	期望更改为int	实际备端为int None位</t>
        </is>
      </c>
    </row>
    <row r="1081">
      <c r="B1081" s="0" t="inlineStr">
        <is>
          <t>NULL</t>
        </is>
      </c>
      <c r="C1081" s="0" t="inlineStr">
        <is>
          <t>NULL</t>
        </is>
      </c>
      <c r="D1081" s="0" t="inlineStr">
        <is>
          <t>NULL</t>
        </is>
      </c>
      <c r="E1081" s="0" t="inlineStr">
        <is>
          <t>NULL</t>
        </is>
      </c>
      <c r="F1081" s="0" t="inlineStr">
        <is>
          <t>NULL</t>
        </is>
      </c>
      <c r="G1081" s="0" t="inlineStr">
        <is>
          <t>NULL</t>
        </is>
      </c>
      <c r="H1081" s="0" t="inlineStr">
        <is>
          <t>NULL</t>
        </is>
      </c>
      <c r="I1081" s="0" t="inlineStr">
        <is>
          <t>NULL</t>
        </is>
      </c>
      <c r="J1081" s="0" t="inlineStr">
        <is>
          <t>NULL</t>
        </is>
      </c>
      <c r="K1081" s="0" t="inlineStr">
        <is>
          <t>YES! 	 c_sdt列源备映射正确，源端为smalldatetime None位	期望更改为smalldatetime	实际备端为smalldatetime None位</t>
        </is>
      </c>
    </row>
    <row r="1082">
      <c r="A1082" s="0" t="inlineStr">
        <is>
          <t>info_datetime2_dml_batch1_pk_drp1</t>
        </is>
      </c>
      <c r="K1082" s="0" t="inlineStr">
        <is>
          <t>[0;34m info_datetime2_dml_batch1_pk_drp1 [0m源备字段数相同，源端字段：9 	备端字段9</t>
        </is>
      </c>
      <c r="W1082" s="0" t="inlineStr">
        <is>
          <t>YES 源备无差异</t>
        </is>
      </c>
      <c r="X1082" s="0">
        <f>A1082</f>
        <v/>
      </c>
    </row>
    <row r="1083">
      <c r="B1083" s="0" t="inlineStr">
        <is>
          <t>YES</t>
        </is>
      </c>
      <c r="C1083" s="0" t="inlineStr">
        <is>
          <t>NULL</t>
        </is>
      </c>
      <c r="D1083" s="0" t="inlineStr">
        <is>
          <t>NULL</t>
        </is>
      </c>
      <c r="E1083" s="0" t="inlineStr">
        <is>
          <t>NULL</t>
        </is>
      </c>
      <c r="F1083" s="0" t="inlineStr">
        <is>
          <t>NULL</t>
        </is>
      </c>
      <c r="G1083" s="0" t="inlineStr">
        <is>
          <t>NULL</t>
        </is>
      </c>
      <c r="H1083" s="0" t="inlineStr">
        <is>
          <t>NULL</t>
        </is>
      </c>
      <c r="I1083" s="0" t="inlineStr">
        <is>
          <t>YES!PK__info_dat__3213E83F6849006D</t>
        </is>
      </c>
      <c r="J1083" s="0" t="inlineStr">
        <is>
          <t>YES! 主键相关索引</t>
        </is>
      </c>
      <c r="K1083" s="0" t="inlineStr">
        <is>
          <t>YES! 	 id列源备映射正确，源端为int None位	期望更改为int	实际备端为int None位</t>
        </is>
      </c>
    </row>
    <row r="1084">
      <c r="B1084" s="0" t="inlineStr">
        <is>
          <t>NULL</t>
        </is>
      </c>
      <c r="C1084" s="0" t="inlineStr">
        <is>
          <t>NULL</t>
        </is>
      </c>
      <c r="D1084" s="0" t="inlineStr">
        <is>
          <t>NULL</t>
        </is>
      </c>
      <c r="E1084" s="0" t="inlineStr">
        <is>
          <t>NULL</t>
        </is>
      </c>
      <c r="F1084" s="0" t="inlineStr">
        <is>
          <t>NULL</t>
        </is>
      </c>
      <c r="G1084" s="0" t="inlineStr">
        <is>
          <t>NULL</t>
        </is>
      </c>
      <c r="H1084" s="0" t="inlineStr">
        <is>
          <t>NULL</t>
        </is>
      </c>
      <c r="I1084" s="0" t="inlineStr">
        <is>
          <t>NULL</t>
        </is>
      </c>
      <c r="J1084" s="0" t="inlineStr">
        <is>
          <t>NULL</t>
        </is>
      </c>
      <c r="K1084" s="0" t="inlineStr">
        <is>
          <t>no,len不存在</t>
        </is>
      </c>
    </row>
    <row r="1085">
      <c r="B1085" s="0" t="inlineStr">
        <is>
          <t>NULL</t>
        </is>
      </c>
      <c r="C1085" s="0" t="inlineStr">
        <is>
          <t>NULL</t>
        </is>
      </c>
      <c r="D1085" s="0" t="inlineStr">
        <is>
          <t>NULL</t>
        </is>
      </c>
      <c r="E1085" s="0" t="inlineStr">
        <is>
          <t>NULL</t>
        </is>
      </c>
      <c r="F1085" s="0" t="inlineStr">
        <is>
          <t>NULL</t>
        </is>
      </c>
      <c r="G1085" s="0" t="inlineStr">
        <is>
          <t>NULL</t>
        </is>
      </c>
      <c r="H1085" s="0" t="inlineStr">
        <is>
          <t>NULL</t>
        </is>
      </c>
      <c r="I1085" s="0" t="inlineStr">
        <is>
          <t>NULL</t>
        </is>
      </c>
      <c r="J1085" s="0" t="inlineStr">
        <is>
          <t>NULL</t>
        </is>
      </c>
      <c r="K1085" s="0" t="inlineStr">
        <is>
          <t>YES! 	 c_dt2_1列源备映射正确，源端为datetime2 None位	期望更改为datetime2(n)	实际备端为datetime2 None位</t>
        </is>
      </c>
    </row>
    <row r="1086">
      <c r="B1086" s="0" t="inlineStr">
        <is>
          <t>NULL</t>
        </is>
      </c>
      <c r="C1086" s="0" t="inlineStr">
        <is>
          <t>NULL</t>
        </is>
      </c>
      <c r="D1086" s="0" t="inlineStr">
        <is>
          <t>NULL</t>
        </is>
      </c>
      <c r="E1086" s="0" t="inlineStr">
        <is>
          <t>NULL</t>
        </is>
      </c>
      <c r="F1086" s="0" t="inlineStr">
        <is>
          <t>NULL</t>
        </is>
      </c>
      <c r="G1086" s="0" t="inlineStr">
        <is>
          <t>NULL</t>
        </is>
      </c>
      <c r="H1086" s="0" t="inlineStr">
        <is>
          <t>NULL</t>
        </is>
      </c>
      <c r="I1086" s="0" t="inlineStr">
        <is>
          <t>NULL</t>
        </is>
      </c>
      <c r="J1086" s="0" t="inlineStr">
        <is>
          <t>NULL</t>
        </is>
      </c>
      <c r="K1086" s="0" t="inlineStr">
        <is>
          <t>YES! 	 c_dt2_2列源备映射正确，源端为datetime2 None位	期望更改为datetime2(n)	实际备端为datetime2 None位</t>
        </is>
      </c>
    </row>
    <row r="1087">
      <c r="B1087" s="0" t="inlineStr">
        <is>
          <t>NULL</t>
        </is>
      </c>
      <c r="C1087" s="0" t="inlineStr">
        <is>
          <t>NULL</t>
        </is>
      </c>
      <c r="D1087" s="0" t="inlineStr">
        <is>
          <t>NULL</t>
        </is>
      </c>
      <c r="E1087" s="0" t="inlineStr">
        <is>
          <t>NULL</t>
        </is>
      </c>
      <c r="F1087" s="0" t="inlineStr">
        <is>
          <t>NULL</t>
        </is>
      </c>
      <c r="G1087" s="0" t="inlineStr">
        <is>
          <t>NULL</t>
        </is>
      </c>
      <c r="H1087" s="0" t="inlineStr">
        <is>
          <t>NULL</t>
        </is>
      </c>
      <c r="I1087" s="0" t="inlineStr">
        <is>
          <t>NULL</t>
        </is>
      </c>
      <c r="J1087" s="0" t="inlineStr">
        <is>
          <t>NULL</t>
        </is>
      </c>
      <c r="K1087" s="0" t="inlineStr">
        <is>
          <t>YES! 	 c_dt2_3列源备映射正确，源端为datetime2 None位	期望更改为datetime2(n)	实际备端为datetime2 None位</t>
        </is>
      </c>
    </row>
    <row r="1088">
      <c r="B1088" s="0" t="inlineStr">
        <is>
          <t>NULL</t>
        </is>
      </c>
      <c r="C1088" s="0" t="inlineStr">
        <is>
          <t>NULL</t>
        </is>
      </c>
      <c r="D1088" s="0" t="inlineStr">
        <is>
          <t>NULL</t>
        </is>
      </c>
      <c r="E1088" s="0" t="inlineStr">
        <is>
          <t>NULL</t>
        </is>
      </c>
      <c r="F1088" s="0" t="inlineStr">
        <is>
          <t>NULL</t>
        </is>
      </c>
      <c r="G1088" s="0" t="inlineStr">
        <is>
          <t>NULL</t>
        </is>
      </c>
      <c r="H1088" s="0" t="inlineStr">
        <is>
          <t>NULL</t>
        </is>
      </c>
      <c r="I1088" s="0" t="inlineStr">
        <is>
          <t>NULL</t>
        </is>
      </c>
      <c r="J1088" s="0" t="inlineStr">
        <is>
          <t>NULL</t>
        </is>
      </c>
      <c r="K1088" s="0" t="inlineStr">
        <is>
          <t>YES! 	 c_dt2_4列源备映射正确，源端为datetime2 None位	期望更改为datetime2(n)	实际备端为datetime2 None位</t>
        </is>
      </c>
    </row>
    <row r="1089">
      <c r="B1089" s="0" t="inlineStr">
        <is>
          <t>NULL</t>
        </is>
      </c>
      <c r="C1089" s="0" t="inlineStr">
        <is>
          <t>NULL</t>
        </is>
      </c>
      <c r="D1089" s="0" t="inlineStr">
        <is>
          <t>NULL</t>
        </is>
      </c>
      <c r="E1089" s="0" t="inlineStr">
        <is>
          <t>NULL</t>
        </is>
      </c>
      <c r="F1089" s="0" t="inlineStr">
        <is>
          <t>NULL</t>
        </is>
      </c>
      <c r="G1089" s="0" t="inlineStr">
        <is>
          <t>NULL</t>
        </is>
      </c>
      <c r="H1089" s="0" t="inlineStr">
        <is>
          <t>NULL</t>
        </is>
      </c>
      <c r="I1089" s="0" t="inlineStr">
        <is>
          <t>NULL</t>
        </is>
      </c>
      <c r="J1089" s="0" t="inlineStr">
        <is>
          <t>NULL</t>
        </is>
      </c>
      <c r="K1089" s="0" t="inlineStr">
        <is>
          <t>YES! 	 c_dt2_5列源备映射正确，源端为datetime2 None位	期望更改为datetime2(n)	实际备端为datetime2 None位</t>
        </is>
      </c>
    </row>
    <row r="1090">
      <c r="B1090" s="0" t="inlineStr">
        <is>
          <t>NULL</t>
        </is>
      </c>
      <c r="C1090" s="0" t="inlineStr">
        <is>
          <t>NULL</t>
        </is>
      </c>
      <c r="D1090" s="0" t="inlineStr">
        <is>
          <t>NULL</t>
        </is>
      </c>
      <c r="E1090" s="0" t="inlineStr">
        <is>
          <t>NULL</t>
        </is>
      </c>
      <c r="F1090" s="0" t="inlineStr">
        <is>
          <t>NULL</t>
        </is>
      </c>
      <c r="G1090" s="0" t="inlineStr">
        <is>
          <t>NULL</t>
        </is>
      </c>
      <c r="H1090" s="0" t="inlineStr">
        <is>
          <t>NULL</t>
        </is>
      </c>
      <c r="I1090" s="0" t="inlineStr">
        <is>
          <t>NULL</t>
        </is>
      </c>
      <c r="J1090" s="0" t="inlineStr">
        <is>
          <t>NULL</t>
        </is>
      </c>
      <c r="K1090" s="0" t="inlineStr">
        <is>
          <t>YES! 	 c_dt2_6列源备映射正确，源端为datetime2 None位	期望更改为datetime2(n)	实际备端为datetime2 None位</t>
        </is>
      </c>
    </row>
    <row r="1091">
      <c r="B1091" s="0" t="inlineStr">
        <is>
          <t>NULL</t>
        </is>
      </c>
      <c r="C1091" s="0" t="inlineStr">
        <is>
          <t>NULL</t>
        </is>
      </c>
      <c r="D1091" s="0" t="inlineStr">
        <is>
          <t>NULL</t>
        </is>
      </c>
      <c r="E1091" s="0" t="inlineStr">
        <is>
          <t>NULL</t>
        </is>
      </c>
      <c r="F1091" s="0" t="inlineStr">
        <is>
          <t>NULL</t>
        </is>
      </c>
      <c r="G1091" s="0" t="inlineStr">
        <is>
          <t>NULL</t>
        </is>
      </c>
      <c r="H1091" s="0" t="inlineStr">
        <is>
          <t>NULL</t>
        </is>
      </c>
      <c r="I1091" s="0" t="inlineStr">
        <is>
          <t>NULL</t>
        </is>
      </c>
      <c r="J1091" s="0" t="inlineStr">
        <is>
          <t>NULL</t>
        </is>
      </c>
      <c r="K1091" s="0" t="inlineStr">
        <is>
          <t>YES! 	 c_dt2列源备映射正确，源端为datetime2 None位	期望更改为datetime2(n)	实际备端为datetime2 None位</t>
        </is>
      </c>
    </row>
    <row r="1092">
      <c r="K1092" s="0" t="inlineStr">
        <is>
          <t>~ 空表</t>
        </is>
      </c>
    </row>
    <row r="1093">
      <c r="A1093" s="0" t="inlineStr">
        <is>
          <t>info_nvarchar_dml_batch2_pk_irp1</t>
        </is>
      </c>
      <c r="K1093" s="0" t="inlineStr">
        <is>
          <t>[0;34m info_nvarchar_dml_batch2_pk_irp1 [0m源备字段数相同，源端字段：4 	备端字段4</t>
        </is>
      </c>
      <c r="W1093" s="0" t="inlineStr">
        <is>
          <t>YES 源备无差异</t>
        </is>
      </c>
      <c r="X1093" s="0">
        <f>A1093</f>
        <v/>
      </c>
    </row>
    <row r="1094">
      <c r="B1094" s="0" t="inlineStr">
        <is>
          <t>YES</t>
        </is>
      </c>
      <c r="C1094" s="0" t="inlineStr">
        <is>
          <t>NULL</t>
        </is>
      </c>
      <c r="D1094" s="0" t="inlineStr">
        <is>
          <t>NULL</t>
        </is>
      </c>
      <c r="E1094" s="0" t="inlineStr">
        <is>
          <t>NULL</t>
        </is>
      </c>
      <c r="F1094" s="0" t="inlineStr">
        <is>
          <t>NULL</t>
        </is>
      </c>
      <c r="G1094" s="0" t="inlineStr">
        <is>
          <t>NULL</t>
        </is>
      </c>
      <c r="H1094" s="0" t="inlineStr">
        <is>
          <t>NULL</t>
        </is>
      </c>
      <c r="I1094" s="0" t="inlineStr">
        <is>
          <t>YES!PK__info_nva__3213E83F98EA7D40</t>
        </is>
      </c>
      <c r="J1094" s="0" t="inlineStr">
        <is>
          <t>YES! 主键相关索引</t>
        </is>
      </c>
      <c r="K1094" s="0" t="inlineStr">
        <is>
          <t>YES! 	 id列源备映射正确，源端为int None位	期望更改为int	实际备端为int None位</t>
        </is>
      </c>
    </row>
    <row r="1095">
      <c r="B1095" s="0" t="inlineStr">
        <is>
          <t>NULL</t>
        </is>
      </c>
      <c r="C1095" s="0" t="inlineStr">
        <is>
          <t>NULL</t>
        </is>
      </c>
      <c r="D1095" s="0" t="inlineStr">
        <is>
          <t>NULL</t>
        </is>
      </c>
      <c r="E1095" s="0" t="inlineStr">
        <is>
          <t>NULL</t>
        </is>
      </c>
      <c r="F1095" s="0" t="inlineStr">
        <is>
          <t>NULL</t>
        </is>
      </c>
      <c r="G1095" s="0" t="inlineStr">
        <is>
          <t>NULL</t>
        </is>
      </c>
      <c r="H1095" s="0" t="inlineStr">
        <is>
          <t>NULL</t>
        </is>
      </c>
      <c r="I1095" s="0" t="inlineStr">
        <is>
          <t>NULL</t>
        </is>
      </c>
      <c r="J1095" s="0" t="inlineStr">
        <is>
          <t>NULL</t>
        </is>
      </c>
      <c r="K1095" s="0" t="inlineStr">
        <is>
          <t>YES! 	 c_nvarchar列源备映射正确，源端为nvarchar 2位	期望更改为nvarchar(n)	实际备端为nvarchar 2位</t>
        </is>
      </c>
    </row>
    <row r="1096">
      <c r="B1096" s="0" t="inlineStr">
        <is>
          <t>NULL</t>
        </is>
      </c>
      <c r="C1096" s="0" t="inlineStr">
        <is>
          <t>NULL</t>
        </is>
      </c>
      <c r="D1096" s="0" t="inlineStr">
        <is>
          <t>NULL</t>
        </is>
      </c>
      <c r="E1096" s="0" t="inlineStr">
        <is>
          <t>NULL</t>
        </is>
      </c>
      <c r="F1096" s="0" t="inlineStr">
        <is>
          <t>NULL</t>
        </is>
      </c>
      <c r="G1096" s="0" t="inlineStr">
        <is>
          <t>NULL</t>
        </is>
      </c>
      <c r="H1096" s="0" t="inlineStr">
        <is>
          <t>NULL</t>
        </is>
      </c>
      <c r="I1096" s="0" t="inlineStr">
        <is>
          <t>NULL</t>
        </is>
      </c>
      <c r="J1096" s="0" t="inlineStr">
        <is>
          <t>NULL</t>
        </is>
      </c>
      <c r="K1096" s="0" t="inlineStr">
        <is>
          <t>YES! 	 c_nvarchar20列源备映射正确，源端为nvarchar 40位	期望更改为nvarchar(n)	实际备端为nvarchar 40位</t>
        </is>
      </c>
    </row>
    <row r="1097">
      <c r="B1097" s="0" t="inlineStr">
        <is>
          <t>NULL</t>
        </is>
      </c>
      <c r="C1097" s="0" t="inlineStr">
        <is>
          <t>NULL</t>
        </is>
      </c>
      <c r="D1097" s="0" t="inlineStr">
        <is>
          <t>NULL</t>
        </is>
      </c>
      <c r="E1097" s="0" t="inlineStr">
        <is>
          <t>NULL</t>
        </is>
      </c>
      <c r="F1097" s="0" t="inlineStr">
        <is>
          <t>NULL</t>
        </is>
      </c>
      <c r="G1097" s="0" t="inlineStr">
        <is>
          <t>NULL</t>
        </is>
      </c>
      <c r="H1097" s="0" t="inlineStr">
        <is>
          <t>NULL</t>
        </is>
      </c>
      <c r="I1097" s="0" t="inlineStr">
        <is>
          <t>NULL</t>
        </is>
      </c>
      <c r="J1097" s="0" t="inlineStr">
        <is>
          <t>NULL</t>
        </is>
      </c>
      <c r="K1097" s="0" t="inlineStr">
        <is>
          <t>YES! 	 c_nvarchar3500列源备映射正确，源端为nvarchar 7000位	期望更改为nvarchar(n)	实际备端为nvarchar 7000位</t>
        </is>
      </c>
    </row>
    <row r="1098">
      <c r="A1098" s="0" t="inlineStr">
        <is>
          <t>info_xml_dml_single_nopk_irp</t>
        </is>
      </c>
      <c r="K1098" s="0" t="inlineStr">
        <is>
          <t>[0;34m info_xml_dml_single_nopk_irp [0m源备字段数相同，源端字段：2 	备端字段2</t>
        </is>
      </c>
      <c r="W1098" s="0" t="inlineStr">
        <is>
          <t>YES 源备无差异</t>
        </is>
      </c>
      <c r="X1098" s="0">
        <f>A1098</f>
        <v/>
      </c>
    </row>
    <row r="1099">
      <c r="B1099" s="0" t="inlineStr">
        <is>
          <t>NULL</t>
        </is>
      </c>
      <c r="C1099" s="0" t="inlineStr">
        <is>
          <t>NULL</t>
        </is>
      </c>
      <c r="D1099" s="0" t="inlineStr">
        <is>
          <t>NULL</t>
        </is>
      </c>
      <c r="E1099" s="0" t="inlineStr">
        <is>
          <t>NULL</t>
        </is>
      </c>
      <c r="F1099" s="0" t="inlineStr">
        <is>
          <t>NULL</t>
        </is>
      </c>
      <c r="G1099" s="0" t="inlineStr">
        <is>
          <t>NULL</t>
        </is>
      </c>
      <c r="H1099" s="0" t="inlineStr">
        <is>
          <t>NULL</t>
        </is>
      </c>
      <c r="I1099" s="0" t="inlineStr">
        <is>
          <t>NULL</t>
        </is>
      </c>
      <c r="J1099" s="0" t="inlineStr">
        <is>
          <t>NULL</t>
        </is>
      </c>
      <c r="K1099" s="0" t="inlineStr">
        <is>
          <t>YES! 	 id列源备映射正确，源端为int None位	期望更改为int	实际备端为int None位</t>
        </is>
      </c>
    </row>
    <row r="1100">
      <c r="B1100" s="0" t="inlineStr">
        <is>
          <t>NULL</t>
        </is>
      </c>
      <c r="C1100" s="0" t="inlineStr">
        <is>
          <t>NULL</t>
        </is>
      </c>
      <c r="D1100" s="0" t="inlineStr">
        <is>
          <t>NULL</t>
        </is>
      </c>
      <c r="E1100" s="0" t="inlineStr">
        <is>
          <t>NULL</t>
        </is>
      </c>
      <c r="F1100" s="0" t="inlineStr">
        <is>
          <t>NULL</t>
        </is>
      </c>
      <c r="G1100" s="0" t="inlineStr">
        <is>
          <t>NULL</t>
        </is>
      </c>
      <c r="H1100" s="0" t="inlineStr">
        <is>
          <t>NULL</t>
        </is>
      </c>
      <c r="I1100" s="0" t="inlineStr">
        <is>
          <t>NULL</t>
        </is>
      </c>
      <c r="J1100" s="0" t="inlineStr">
        <is>
          <t>NULL</t>
        </is>
      </c>
      <c r="K1100" s="0" t="inlineStr">
        <is>
          <t>YES! 	 c_xml列源备映射正确，源端为xml -1位	期望更改为xml	实际备端为xml -1位</t>
        </is>
      </c>
    </row>
    <row r="1101">
      <c r="A1101" s="0" t="inlineStr">
        <is>
          <t>info_sdt_dml_single_pk</t>
        </is>
      </c>
      <c r="K1101" s="0" t="inlineStr">
        <is>
          <t>[0;34m info_sdt_dml_single_pk [0m源备字段数相同，源端字段：2 	备端字段2</t>
        </is>
      </c>
      <c r="W1101" s="0" t="inlineStr">
        <is>
          <t>YES 源备无差异</t>
        </is>
      </c>
      <c r="X1101" s="0">
        <f>A1101</f>
        <v/>
      </c>
    </row>
    <row r="1102">
      <c r="B1102" s="0" t="inlineStr">
        <is>
          <t>YES</t>
        </is>
      </c>
      <c r="C1102" s="0" t="inlineStr">
        <is>
          <t>NULL</t>
        </is>
      </c>
      <c r="D1102" s="0" t="inlineStr">
        <is>
          <t>NULL</t>
        </is>
      </c>
      <c r="E1102" s="0" t="inlineStr">
        <is>
          <t>NULL</t>
        </is>
      </c>
      <c r="F1102" s="0" t="inlineStr">
        <is>
          <t>NULL</t>
        </is>
      </c>
      <c r="G1102" s="0" t="inlineStr">
        <is>
          <t>NULL</t>
        </is>
      </c>
      <c r="H1102" s="0" t="inlineStr">
        <is>
          <t>NULL</t>
        </is>
      </c>
      <c r="I1102" s="0" t="inlineStr">
        <is>
          <t>YES!PK__info_sdt__3213E83F38803C50</t>
        </is>
      </c>
      <c r="J1102" s="0" t="inlineStr">
        <is>
          <t>YES! 主键相关索引</t>
        </is>
      </c>
      <c r="K1102" s="0" t="inlineStr">
        <is>
          <t>YES! 	 id列源备映射正确，源端为int None位	期望更改为int	实际备端为int None位</t>
        </is>
      </c>
    </row>
    <row r="1103">
      <c r="B1103" s="0" t="inlineStr">
        <is>
          <t>NULL</t>
        </is>
      </c>
      <c r="C1103" s="0" t="inlineStr">
        <is>
          <t>NULL</t>
        </is>
      </c>
      <c r="D1103" s="0" t="inlineStr">
        <is>
          <t>NULL</t>
        </is>
      </c>
      <c r="E1103" s="0" t="inlineStr">
        <is>
          <t>NULL</t>
        </is>
      </c>
      <c r="F1103" s="0" t="inlineStr">
        <is>
          <t>NULL</t>
        </is>
      </c>
      <c r="G1103" s="0" t="inlineStr">
        <is>
          <t>NULL</t>
        </is>
      </c>
      <c r="H1103" s="0" t="inlineStr">
        <is>
          <t>NULL</t>
        </is>
      </c>
      <c r="I1103" s="0" t="inlineStr">
        <is>
          <t>NULL</t>
        </is>
      </c>
      <c r="J1103" s="0" t="inlineStr">
        <is>
          <t>NULL</t>
        </is>
      </c>
      <c r="K1103" s="0" t="inlineStr">
        <is>
          <t>YES! 	 c_sdt列源备映射正确，源端为smalldatetime None位	期望更改为smalldatetime	实际备端为smalldatetime None位</t>
        </is>
      </c>
    </row>
    <row r="1104">
      <c r="A1104" s="0" t="inlineStr">
        <is>
          <t>info_xml_dml_single_nopk_urp</t>
        </is>
      </c>
      <c r="K1104" s="0" t="inlineStr">
        <is>
          <t>[0;34m info_xml_dml_single_nopk_urp [0m源备字段数相同，源端字段：2 	备端字段2</t>
        </is>
      </c>
      <c r="W1104" s="0" t="inlineStr">
        <is>
          <t>YES 源备无差异</t>
        </is>
      </c>
      <c r="X1104" s="0">
        <f>A1104</f>
        <v/>
      </c>
    </row>
    <row r="1105">
      <c r="B1105" s="0" t="inlineStr">
        <is>
          <t>NULL</t>
        </is>
      </c>
      <c r="C1105" s="0" t="inlineStr">
        <is>
          <t>NULL</t>
        </is>
      </c>
      <c r="D1105" s="0" t="inlineStr">
        <is>
          <t>NULL</t>
        </is>
      </c>
      <c r="E1105" s="0" t="inlineStr">
        <is>
          <t>NULL</t>
        </is>
      </c>
      <c r="F1105" s="0" t="inlineStr">
        <is>
          <t>NULL</t>
        </is>
      </c>
      <c r="G1105" s="0" t="inlineStr">
        <is>
          <t>NULL</t>
        </is>
      </c>
      <c r="H1105" s="0" t="inlineStr">
        <is>
          <t>NULL</t>
        </is>
      </c>
      <c r="I1105" s="0" t="inlineStr">
        <is>
          <t>NULL</t>
        </is>
      </c>
      <c r="J1105" s="0" t="inlineStr">
        <is>
          <t>NULL</t>
        </is>
      </c>
      <c r="K1105" s="0" t="inlineStr">
        <is>
          <t>YES! 	 id列源备映射正确，源端为int None位	期望更改为int	实际备端为int None位</t>
        </is>
      </c>
    </row>
    <row r="1106">
      <c r="B1106" s="0" t="inlineStr">
        <is>
          <t>NULL</t>
        </is>
      </c>
      <c r="C1106" s="0" t="inlineStr">
        <is>
          <t>NULL</t>
        </is>
      </c>
      <c r="D1106" s="0" t="inlineStr">
        <is>
          <t>NULL</t>
        </is>
      </c>
      <c r="E1106" s="0" t="inlineStr">
        <is>
          <t>NULL</t>
        </is>
      </c>
      <c r="F1106" s="0" t="inlineStr">
        <is>
          <t>NULL</t>
        </is>
      </c>
      <c r="G1106" s="0" t="inlineStr">
        <is>
          <t>NULL</t>
        </is>
      </c>
      <c r="H1106" s="0" t="inlineStr">
        <is>
          <t>NULL</t>
        </is>
      </c>
      <c r="I1106" s="0" t="inlineStr">
        <is>
          <t>NULL</t>
        </is>
      </c>
      <c r="J1106" s="0" t="inlineStr">
        <is>
          <t>NULL</t>
        </is>
      </c>
      <c r="K1106" s="0" t="inlineStr">
        <is>
          <t>YES! 	 c_xml列源备映射正确，源端为xml -1位	期望更改为xml	实际备端为xml -1位</t>
        </is>
      </c>
    </row>
    <row r="1107">
      <c r="A1107" s="0" t="inlineStr">
        <is>
          <t>info_datetime2_dml_batch1_pk_drp2</t>
        </is>
      </c>
      <c r="K1107" s="0" t="inlineStr">
        <is>
          <t>[0;34m info_datetime2_dml_batch1_pk_drp2 [0m源备字段数相同，源端字段：9 	备端字段9</t>
        </is>
      </c>
      <c r="W1107" s="0" t="inlineStr">
        <is>
          <t>YES 源备无差异</t>
        </is>
      </c>
      <c r="X1107" s="0">
        <f>A1107</f>
        <v/>
      </c>
    </row>
    <row r="1108">
      <c r="B1108" s="0" t="inlineStr">
        <is>
          <t>YES</t>
        </is>
      </c>
      <c r="C1108" s="0" t="inlineStr">
        <is>
          <t>NULL</t>
        </is>
      </c>
      <c r="D1108" s="0" t="inlineStr">
        <is>
          <t>NULL</t>
        </is>
      </c>
      <c r="E1108" s="0" t="inlineStr">
        <is>
          <t>NULL</t>
        </is>
      </c>
      <c r="F1108" s="0" t="inlineStr">
        <is>
          <t>NULL</t>
        </is>
      </c>
      <c r="G1108" s="0" t="inlineStr">
        <is>
          <t>NULL</t>
        </is>
      </c>
      <c r="H1108" s="0" t="inlineStr">
        <is>
          <t>NULL</t>
        </is>
      </c>
      <c r="I1108" s="0" t="inlineStr">
        <is>
          <t>YES!PK__info_dat__3213E83F9BDAC31B</t>
        </is>
      </c>
      <c r="J1108" s="0" t="inlineStr">
        <is>
          <t>YES! 主键相关索引</t>
        </is>
      </c>
      <c r="K1108" s="0" t="inlineStr">
        <is>
          <t>YES! 	 id列源备映射正确，源端为int None位	期望更改为int	实际备端为int None位</t>
        </is>
      </c>
    </row>
    <row r="1109">
      <c r="B1109" s="0" t="inlineStr">
        <is>
          <t>NULL</t>
        </is>
      </c>
      <c r="C1109" s="0" t="inlineStr">
        <is>
          <t>NULL</t>
        </is>
      </c>
      <c r="D1109" s="0" t="inlineStr">
        <is>
          <t>NULL</t>
        </is>
      </c>
      <c r="E1109" s="0" t="inlineStr">
        <is>
          <t>NULL</t>
        </is>
      </c>
      <c r="F1109" s="0" t="inlineStr">
        <is>
          <t>NULL</t>
        </is>
      </c>
      <c r="G1109" s="0" t="inlineStr">
        <is>
          <t>NULL</t>
        </is>
      </c>
      <c r="H1109" s="0" t="inlineStr">
        <is>
          <t>NULL</t>
        </is>
      </c>
      <c r="I1109" s="0" t="inlineStr">
        <is>
          <t>NULL</t>
        </is>
      </c>
      <c r="J1109" s="0" t="inlineStr">
        <is>
          <t>NULL</t>
        </is>
      </c>
      <c r="K1109" s="0" t="inlineStr">
        <is>
          <t>no,len不存在</t>
        </is>
      </c>
    </row>
    <row r="1110">
      <c r="B1110" s="0" t="inlineStr">
        <is>
          <t>NULL</t>
        </is>
      </c>
      <c r="C1110" s="0" t="inlineStr">
        <is>
          <t>NULL</t>
        </is>
      </c>
      <c r="D1110" s="0" t="inlineStr">
        <is>
          <t>NULL</t>
        </is>
      </c>
      <c r="E1110" s="0" t="inlineStr">
        <is>
          <t>NULL</t>
        </is>
      </c>
      <c r="F1110" s="0" t="inlineStr">
        <is>
          <t>NULL</t>
        </is>
      </c>
      <c r="G1110" s="0" t="inlineStr">
        <is>
          <t>NULL</t>
        </is>
      </c>
      <c r="H1110" s="0" t="inlineStr">
        <is>
          <t>NULL</t>
        </is>
      </c>
      <c r="I1110" s="0" t="inlineStr">
        <is>
          <t>NULL</t>
        </is>
      </c>
      <c r="J1110" s="0" t="inlineStr">
        <is>
          <t>NULL</t>
        </is>
      </c>
      <c r="K1110" s="0" t="inlineStr">
        <is>
          <t>YES! 	 c_dt2_1列源备映射正确，源端为datetime2 None位	期望更改为datetime2(n)	实际备端为datetime2 None位</t>
        </is>
      </c>
    </row>
    <row r="1111">
      <c r="B1111" s="0" t="inlineStr">
        <is>
          <t>NULL</t>
        </is>
      </c>
      <c r="C1111" s="0" t="inlineStr">
        <is>
          <t>NULL</t>
        </is>
      </c>
      <c r="D1111" s="0" t="inlineStr">
        <is>
          <t>NULL</t>
        </is>
      </c>
      <c r="E1111" s="0" t="inlineStr">
        <is>
          <t>NULL</t>
        </is>
      </c>
      <c r="F1111" s="0" t="inlineStr">
        <is>
          <t>NULL</t>
        </is>
      </c>
      <c r="G1111" s="0" t="inlineStr">
        <is>
          <t>NULL</t>
        </is>
      </c>
      <c r="H1111" s="0" t="inlineStr">
        <is>
          <t>NULL</t>
        </is>
      </c>
      <c r="I1111" s="0" t="inlineStr">
        <is>
          <t>NULL</t>
        </is>
      </c>
      <c r="J1111" s="0" t="inlineStr">
        <is>
          <t>NULL</t>
        </is>
      </c>
      <c r="K1111" s="0" t="inlineStr">
        <is>
          <t>YES! 	 c_dt2_2列源备映射正确，源端为datetime2 None位	期望更改为datetime2(n)	实际备端为datetime2 None位</t>
        </is>
      </c>
    </row>
    <row r="1112">
      <c r="B1112" s="0" t="inlineStr">
        <is>
          <t>NULL</t>
        </is>
      </c>
      <c r="C1112" s="0" t="inlineStr">
        <is>
          <t>NULL</t>
        </is>
      </c>
      <c r="D1112" s="0" t="inlineStr">
        <is>
          <t>NULL</t>
        </is>
      </c>
      <c r="E1112" s="0" t="inlineStr">
        <is>
          <t>NULL</t>
        </is>
      </c>
      <c r="F1112" s="0" t="inlineStr">
        <is>
          <t>NULL</t>
        </is>
      </c>
      <c r="G1112" s="0" t="inlineStr">
        <is>
          <t>NULL</t>
        </is>
      </c>
      <c r="H1112" s="0" t="inlineStr">
        <is>
          <t>NULL</t>
        </is>
      </c>
      <c r="I1112" s="0" t="inlineStr">
        <is>
          <t>NULL</t>
        </is>
      </c>
      <c r="J1112" s="0" t="inlineStr">
        <is>
          <t>NULL</t>
        </is>
      </c>
      <c r="K1112" s="0" t="inlineStr">
        <is>
          <t>YES! 	 c_dt2_3列源备映射正确，源端为datetime2 None位	期望更改为datetime2(n)	实际备端为datetime2 None位</t>
        </is>
      </c>
    </row>
    <row r="1113">
      <c r="B1113" s="0" t="inlineStr">
        <is>
          <t>NULL</t>
        </is>
      </c>
      <c r="C1113" s="0" t="inlineStr">
        <is>
          <t>NULL</t>
        </is>
      </c>
      <c r="D1113" s="0" t="inlineStr">
        <is>
          <t>NULL</t>
        </is>
      </c>
      <c r="E1113" s="0" t="inlineStr">
        <is>
          <t>NULL</t>
        </is>
      </c>
      <c r="F1113" s="0" t="inlineStr">
        <is>
          <t>NULL</t>
        </is>
      </c>
      <c r="G1113" s="0" t="inlineStr">
        <is>
          <t>NULL</t>
        </is>
      </c>
      <c r="H1113" s="0" t="inlineStr">
        <is>
          <t>NULL</t>
        </is>
      </c>
      <c r="I1113" s="0" t="inlineStr">
        <is>
          <t>NULL</t>
        </is>
      </c>
      <c r="J1113" s="0" t="inlineStr">
        <is>
          <t>NULL</t>
        </is>
      </c>
      <c r="K1113" s="0" t="inlineStr">
        <is>
          <t>YES! 	 c_dt2_4列源备映射正确，源端为datetime2 None位	期望更改为datetime2(n)	实际备端为datetime2 None位</t>
        </is>
      </c>
    </row>
    <row r="1114">
      <c r="B1114" s="0" t="inlineStr">
        <is>
          <t>NULL</t>
        </is>
      </c>
      <c r="C1114" s="0" t="inlineStr">
        <is>
          <t>NULL</t>
        </is>
      </c>
      <c r="D1114" s="0" t="inlineStr">
        <is>
          <t>NULL</t>
        </is>
      </c>
      <c r="E1114" s="0" t="inlineStr">
        <is>
          <t>NULL</t>
        </is>
      </c>
      <c r="F1114" s="0" t="inlineStr">
        <is>
          <t>NULL</t>
        </is>
      </c>
      <c r="G1114" s="0" t="inlineStr">
        <is>
          <t>NULL</t>
        </is>
      </c>
      <c r="H1114" s="0" t="inlineStr">
        <is>
          <t>NULL</t>
        </is>
      </c>
      <c r="I1114" s="0" t="inlineStr">
        <is>
          <t>NULL</t>
        </is>
      </c>
      <c r="J1114" s="0" t="inlineStr">
        <is>
          <t>NULL</t>
        </is>
      </c>
      <c r="K1114" s="0" t="inlineStr">
        <is>
          <t>YES! 	 c_dt2_5列源备映射正确，源端为datetime2 None位	期望更改为datetime2(n)	实际备端为datetime2 None位</t>
        </is>
      </c>
    </row>
    <row r="1115">
      <c r="B1115" s="0" t="inlineStr">
        <is>
          <t>NULL</t>
        </is>
      </c>
      <c r="C1115" s="0" t="inlineStr">
        <is>
          <t>NULL</t>
        </is>
      </c>
      <c r="D1115" s="0" t="inlineStr">
        <is>
          <t>NULL</t>
        </is>
      </c>
      <c r="E1115" s="0" t="inlineStr">
        <is>
          <t>NULL</t>
        </is>
      </c>
      <c r="F1115" s="0" t="inlineStr">
        <is>
          <t>NULL</t>
        </is>
      </c>
      <c r="G1115" s="0" t="inlineStr">
        <is>
          <t>NULL</t>
        </is>
      </c>
      <c r="H1115" s="0" t="inlineStr">
        <is>
          <t>NULL</t>
        </is>
      </c>
      <c r="I1115" s="0" t="inlineStr">
        <is>
          <t>NULL</t>
        </is>
      </c>
      <c r="J1115" s="0" t="inlineStr">
        <is>
          <t>NULL</t>
        </is>
      </c>
      <c r="K1115" s="0" t="inlineStr">
        <is>
          <t>YES! 	 c_dt2_6列源备映射正确，源端为datetime2 None位	期望更改为datetime2(n)	实际备端为datetime2 None位</t>
        </is>
      </c>
    </row>
    <row r="1116">
      <c r="B1116" s="0" t="inlineStr">
        <is>
          <t>NULL</t>
        </is>
      </c>
      <c r="C1116" s="0" t="inlineStr">
        <is>
          <t>NULL</t>
        </is>
      </c>
      <c r="D1116" s="0" t="inlineStr">
        <is>
          <t>NULL</t>
        </is>
      </c>
      <c r="E1116" s="0" t="inlineStr">
        <is>
          <t>NULL</t>
        </is>
      </c>
      <c r="F1116" s="0" t="inlineStr">
        <is>
          <t>NULL</t>
        </is>
      </c>
      <c r="G1116" s="0" t="inlineStr">
        <is>
          <t>NULL</t>
        </is>
      </c>
      <c r="H1116" s="0" t="inlineStr">
        <is>
          <t>NULL</t>
        </is>
      </c>
      <c r="I1116" s="0" t="inlineStr">
        <is>
          <t>NULL</t>
        </is>
      </c>
      <c r="J1116" s="0" t="inlineStr">
        <is>
          <t>NULL</t>
        </is>
      </c>
      <c r="K1116" s="0" t="inlineStr">
        <is>
          <t>YES! 	 c_dt2列源备映射正确，源端为datetime2 None位	期望更改为datetime2(n)	实际备端为datetime2 None位</t>
        </is>
      </c>
    </row>
    <row r="1117">
      <c r="A1117" s="0" t="inlineStr">
        <is>
          <t>info_nvarchar_dml_batch2_pk_irp2</t>
        </is>
      </c>
      <c r="K1117" s="0" t="inlineStr">
        <is>
          <t>[0;34m info_nvarchar_dml_batch2_pk_irp2 [0m源备字段数相同，源端字段：4 	备端字段4</t>
        </is>
      </c>
      <c r="W1117" s="0" t="inlineStr">
        <is>
          <t>YES 源备无差异</t>
        </is>
      </c>
      <c r="X1117" s="0">
        <f>A1117</f>
        <v/>
      </c>
    </row>
    <row r="1118">
      <c r="B1118" s="0" t="inlineStr">
        <is>
          <t>YES</t>
        </is>
      </c>
      <c r="C1118" s="0" t="inlineStr">
        <is>
          <t>NULL</t>
        </is>
      </c>
      <c r="D1118" s="0" t="inlineStr">
        <is>
          <t>NULL</t>
        </is>
      </c>
      <c r="E1118" s="0" t="inlineStr">
        <is>
          <t>NULL</t>
        </is>
      </c>
      <c r="F1118" s="0" t="inlineStr">
        <is>
          <t>NULL</t>
        </is>
      </c>
      <c r="G1118" s="0" t="inlineStr">
        <is>
          <t>NULL</t>
        </is>
      </c>
      <c r="H1118" s="0" t="inlineStr">
        <is>
          <t>NULL</t>
        </is>
      </c>
      <c r="I1118" s="0" t="inlineStr">
        <is>
          <t>YES!PK__info_nva__3213E83F40A54535</t>
        </is>
      </c>
      <c r="J1118" s="0" t="inlineStr">
        <is>
          <t>YES! 主键相关索引</t>
        </is>
      </c>
      <c r="K1118" s="0" t="inlineStr">
        <is>
          <t>YES! 	 id列源备映射正确，源端为int None位	期望更改为int	实际备端为int None位</t>
        </is>
      </c>
    </row>
    <row r="1119">
      <c r="B1119" s="0" t="inlineStr">
        <is>
          <t>NULL</t>
        </is>
      </c>
      <c r="C1119" s="0" t="inlineStr">
        <is>
          <t>NULL</t>
        </is>
      </c>
      <c r="D1119" s="0" t="inlineStr">
        <is>
          <t>NULL</t>
        </is>
      </c>
      <c r="E1119" s="0" t="inlineStr">
        <is>
          <t>NULL</t>
        </is>
      </c>
      <c r="F1119" s="0" t="inlineStr">
        <is>
          <t>NULL</t>
        </is>
      </c>
      <c r="G1119" s="0" t="inlineStr">
        <is>
          <t>NULL</t>
        </is>
      </c>
      <c r="H1119" s="0" t="inlineStr">
        <is>
          <t>NULL</t>
        </is>
      </c>
      <c r="I1119" s="0" t="inlineStr">
        <is>
          <t>NULL</t>
        </is>
      </c>
      <c r="J1119" s="0" t="inlineStr">
        <is>
          <t>NULL</t>
        </is>
      </c>
      <c r="K1119" s="0" t="inlineStr">
        <is>
          <t>YES! 	 c_nvarchar列源备映射正确，源端为nvarchar 2位	期望更改为nvarchar(n)	实际备端为nvarchar 2位</t>
        </is>
      </c>
    </row>
    <row r="1120">
      <c r="B1120" s="0" t="inlineStr">
        <is>
          <t>NULL</t>
        </is>
      </c>
      <c r="C1120" s="0" t="inlineStr">
        <is>
          <t>NULL</t>
        </is>
      </c>
      <c r="D1120" s="0" t="inlineStr">
        <is>
          <t>NULL</t>
        </is>
      </c>
      <c r="E1120" s="0" t="inlineStr">
        <is>
          <t>NULL</t>
        </is>
      </c>
      <c r="F1120" s="0" t="inlineStr">
        <is>
          <t>NULL</t>
        </is>
      </c>
      <c r="G1120" s="0" t="inlineStr">
        <is>
          <t>NULL</t>
        </is>
      </c>
      <c r="H1120" s="0" t="inlineStr">
        <is>
          <t>NULL</t>
        </is>
      </c>
      <c r="I1120" s="0" t="inlineStr">
        <is>
          <t>NULL</t>
        </is>
      </c>
      <c r="J1120" s="0" t="inlineStr">
        <is>
          <t>NULL</t>
        </is>
      </c>
      <c r="K1120" s="0" t="inlineStr">
        <is>
          <t>YES! 	 c_nvarchar20列源备映射正确，源端为nvarchar 40位	期望更改为nvarchar(n)	实际备端为nvarchar 40位</t>
        </is>
      </c>
    </row>
    <row r="1121">
      <c r="B1121" s="0" t="inlineStr">
        <is>
          <t>NULL</t>
        </is>
      </c>
      <c r="C1121" s="0" t="inlineStr">
        <is>
          <t>NULL</t>
        </is>
      </c>
      <c r="D1121" s="0" t="inlineStr">
        <is>
          <t>NULL</t>
        </is>
      </c>
      <c r="E1121" s="0" t="inlineStr">
        <is>
          <t>NULL</t>
        </is>
      </c>
      <c r="F1121" s="0" t="inlineStr">
        <is>
          <t>NULL</t>
        </is>
      </c>
      <c r="G1121" s="0" t="inlineStr">
        <is>
          <t>NULL</t>
        </is>
      </c>
      <c r="H1121" s="0" t="inlineStr">
        <is>
          <t>NULL</t>
        </is>
      </c>
      <c r="I1121" s="0" t="inlineStr">
        <is>
          <t>NULL</t>
        </is>
      </c>
      <c r="J1121" s="0" t="inlineStr">
        <is>
          <t>NULL</t>
        </is>
      </c>
      <c r="K1121" s="0" t="inlineStr">
        <is>
          <t>YES! 	 c_nvarchar3500列源备映射正确，源端为nvarchar 7000位	期望更改为nvarchar(n)	实际备端为nvarchar 7000位</t>
        </is>
      </c>
    </row>
    <row r="1122">
      <c r="A1122" s="0" t="inlineStr">
        <is>
          <t>info_datetime_dml_single_pk_irp</t>
        </is>
      </c>
      <c r="K1122" s="0" t="inlineStr">
        <is>
          <t>[0;34m info_datetime_dml_single_pk_irp [0m源备字段数相同，源端字段：2 	备端字段2</t>
        </is>
      </c>
      <c r="W1122" s="0" t="inlineStr">
        <is>
          <t>YES 源备无差异</t>
        </is>
      </c>
      <c r="X1122" s="0">
        <f>A1122</f>
        <v/>
      </c>
    </row>
    <row r="1123">
      <c r="B1123" s="0" t="inlineStr">
        <is>
          <t>YES</t>
        </is>
      </c>
      <c r="C1123" s="0" t="inlineStr">
        <is>
          <t>NULL</t>
        </is>
      </c>
      <c r="D1123" s="0" t="inlineStr">
        <is>
          <t>NULL</t>
        </is>
      </c>
      <c r="E1123" s="0" t="inlineStr">
        <is>
          <t>NULL</t>
        </is>
      </c>
      <c r="F1123" s="0" t="inlineStr">
        <is>
          <t>NULL</t>
        </is>
      </c>
      <c r="G1123" s="0" t="inlineStr">
        <is>
          <t>NULL</t>
        </is>
      </c>
      <c r="H1123" s="0" t="inlineStr">
        <is>
          <t>NULL</t>
        </is>
      </c>
      <c r="I1123" s="0" t="inlineStr">
        <is>
          <t>YES!PK__info_dat__3213E83F9B704CC8</t>
        </is>
      </c>
      <c r="J1123" s="0" t="inlineStr">
        <is>
          <t>YES! 主键相关索引</t>
        </is>
      </c>
      <c r="K1123" s="0" t="inlineStr">
        <is>
          <t>YES! 	 id列源备映射正确，源端为int None位	期望更改为int	实际备端为int None位</t>
        </is>
      </c>
    </row>
    <row r="1124">
      <c r="B1124" s="0" t="inlineStr">
        <is>
          <t>NULL</t>
        </is>
      </c>
      <c r="C1124" s="0" t="inlineStr">
        <is>
          <t>NULL</t>
        </is>
      </c>
      <c r="D1124" s="0" t="inlineStr">
        <is>
          <t>NULL</t>
        </is>
      </c>
      <c r="E1124" s="0" t="inlineStr">
        <is>
          <t>NULL</t>
        </is>
      </c>
      <c r="F1124" s="0" t="inlineStr">
        <is>
          <t>NULL</t>
        </is>
      </c>
      <c r="G1124" s="0" t="inlineStr">
        <is>
          <t>NULL</t>
        </is>
      </c>
      <c r="H1124" s="0" t="inlineStr">
        <is>
          <t>NULL</t>
        </is>
      </c>
      <c r="I1124" s="0" t="inlineStr">
        <is>
          <t>NULL</t>
        </is>
      </c>
      <c r="J1124" s="0" t="inlineStr">
        <is>
          <t>NULL</t>
        </is>
      </c>
      <c r="K1124" s="0" t="inlineStr">
        <is>
          <t>YES! 	 c_datetime列源备映射正确，源端为datetime None位	期望更改为datetime	实际备端为datetime None位</t>
        </is>
      </c>
    </row>
    <row r="1125">
      <c r="A1125" s="0" t="inlineStr">
        <is>
          <t>info_binary_dml_single_nopk_urp</t>
        </is>
      </c>
      <c r="K1125" s="0" t="inlineStr">
        <is>
          <t>[0;34m info_binary_dml_single_nopk_urp [0m源备字段数相同，源端字段：4 	备端字段4</t>
        </is>
      </c>
      <c r="W1125" s="0" t="inlineStr">
        <is>
          <t>YES 源备无差异</t>
        </is>
      </c>
      <c r="X1125" s="0">
        <f>A1125</f>
        <v/>
      </c>
    </row>
    <row r="1126">
      <c r="B1126" s="0" t="inlineStr">
        <is>
          <t>NULL</t>
        </is>
      </c>
      <c r="C1126" s="0" t="inlineStr">
        <is>
          <t>NULL</t>
        </is>
      </c>
      <c r="D1126" s="0" t="inlineStr">
        <is>
          <t>NULL</t>
        </is>
      </c>
      <c r="E1126" s="0" t="inlineStr">
        <is>
          <t>NULL</t>
        </is>
      </c>
      <c r="F1126" s="0" t="inlineStr">
        <is>
          <t>NULL</t>
        </is>
      </c>
      <c r="G1126" s="0" t="inlineStr">
        <is>
          <t>NULL</t>
        </is>
      </c>
      <c r="H1126" s="0" t="inlineStr">
        <is>
          <t>NULL</t>
        </is>
      </c>
      <c r="I1126" s="0" t="inlineStr">
        <is>
          <t>NULL</t>
        </is>
      </c>
      <c r="J1126" s="0" t="inlineStr">
        <is>
          <t>NULL</t>
        </is>
      </c>
      <c r="K1126" s="0" t="inlineStr">
        <is>
          <t>YES! 	 id列源备映射正确，源端为int None位	期望更改为int	实际备端为int None位</t>
        </is>
      </c>
    </row>
    <row r="1127">
      <c r="B1127" s="0" t="inlineStr">
        <is>
          <t>NULL</t>
        </is>
      </c>
      <c r="C1127" s="0" t="inlineStr">
        <is>
          <t>NULL</t>
        </is>
      </c>
      <c r="D1127" s="0" t="inlineStr">
        <is>
          <t>NULL</t>
        </is>
      </c>
      <c r="E1127" s="0" t="inlineStr">
        <is>
          <t>NULL</t>
        </is>
      </c>
      <c r="F1127" s="0" t="inlineStr">
        <is>
          <t>NULL</t>
        </is>
      </c>
      <c r="G1127" s="0" t="inlineStr">
        <is>
          <t>NULL</t>
        </is>
      </c>
      <c r="H1127" s="0" t="inlineStr">
        <is>
          <t>NULL</t>
        </is>
      </c>
      <c r="I1127" s="0" t="inlineStr">
        <is>
          <t>NULL</t>
        </is>
      </c>
      <c r="J1127" s="0" t="inlineStr">
        <is>
          <t>NULL</t>
        </is>
      </c>
      <c r="K1127" s="0" t="inlineStr">
        <is>
          <t>YES! 	 c_binary列源备映射正确，源端为binary 1位	期望更改为binary(n)	实际备端为binary 1位</t>
        </is>
      </c>
    </row>
    <row r="1128">
      <c r="B1128" s="0" t="inlineStr">
        <is>
          <t>NULL</t>
        </is>
      </c>
      <c r="C1128" s="0" t="inlineStr">
        <is>
          <t>NULL</t>
        </is>
      </c>
      <c r="D1128" s="0" t="inlineStr">
        <is>
          <t>NULL</t>
        </is>
      </c>
      <c r="E1128" s="0" t="inlineStr">
        <is>
          <t>NULL</t>
        </is>
      </c>
      <c r="F1128" s="0" t="inlineStr">
        <is>
          <t>NULL</t>
        </is>
      </c>
      <c r="G1128" s="0" t="inlineStr">
        <is>
          <t>NULL</t>
        </is>
      </c>
      <c r="H1128" s="0" t="inlineStr">
        <is>
          <t>NULL</t>
        </is>
      </c>
      <c r="I1128" s="0" t="inlineStr">
        <is>
          <t>NULL</t>
        </is>
      </c>
      <c r="J1128" s="0" t="inlineStr">
        <is>
          <t>NULL</t>
        </is>
      </c>
      <c r="K1128" s="0" t="inlineStr">
        <is>
          <t>YES! 	 c_binary_20列源备映射正确，源端为binary 20位	期望更改为binary(n)	实际备端为binary 20位</t>
        </is>
      </c>
    </row>
    <row r="1129">
      <c r="B1129" s="0" t="inlineStr">
        <is>
          <t>NULL</t>
        </is>
      </c>
      <c r="C1129" s="0" t="inlineStr">
        <is>
          <t>NULL</t>
        </is>
      </c>
      <c r="D1129" s="0" t="inlineStr">
        <is>
          <t>NULL</t>
        </is>
      </c>
      <c r="E1129" s="0" t="inlineStr">
        <is>
          <t>NULL</t>
        </is>
      </c>
      <c r="F1129" s="0" t="inlineStr">
        <is>
          <t>NULL</t>
        </is>
      </c>
      <c r="G1129" s="0" t="inlineStr">
        <is>
          <t>NULL</t>
        </is>
      </c>
      <c r="H1129" s="0" t="inlineStr">
        <is>
          <t>NULL</t>
        </is>
      </c>
      <c r="I1129" s="0" t="inlineStr">
        <is>
          <t>NULL</t>
        </is>
      </c>
      <c r="J1129" s="0" t="inlineStr">
        <is>
          <t>NULL</t>
        </is>
      </c>
      <c r="K1129" s="0" t="inlineStr">
        <is>
          <t>YES! 	 c_binary_8000列源备映射正确，源端为binary 8000位	期望更改为binary(n)	实际备端为binary 8000位</t>
        </is>
      </c>
    </row>
    <row r="1130">
      <c r="A1130" s="0" t="inlineStr">
        <is>
          <t>info_xml_dml_single_nopk_drp</t>
        </is>
      </c>
      <c r="K1130" s="0" t="inlineStr">
        <is>
          <t>[0;34m info_xml_dml_single_nopk_drp [0m源备字段数相同，源端字段：2 	备端字段2</t>
        </is>
      </c>
      <c r="W1130" s="0" t="inlineStr">
        <is>
          <t>YES 源备无差异</t>
        </is>
      </c>
      <c r="X1130" s="0">
        <f>A1130</f>
        <v/>
      </c>
    </row>
    <row r="1131">
      <c r="B1131" s="0" t="inlineStr">
        <is>
          <t>NULL</t>
        </is>
      </c>
      <c r="C1131" s="0" t="inlineStr">
        <is>
          <t>NULL</t>
        </is>
      </c>
      <c r="D1131" s="0" t="inlineStr">
        <is>
          <t>NULL</t>
        </is>
      </c>
      <c r="E1131" s="0" t="inlineStr">
        <is>
          <t>NULL</t>
        </is>
      </c>
      <c r="F1131" s="0" t="inlineStr">
        <is>
          <t>NULL</t>
        </is>
      </c>
      <c r="G1131" s="0" t="inlineStr">
        <is>
          <t>NULL</t>
        </is>
      </c>
      <c r="H1131" s="0" t="inlineStr">
        <is>
          <t>NULL</t>
        </is>
      </c>
      <c r="I1131" s="0" t="inlineStr">
        <is>
          <t>NULL</t>
        </is>
      </c>
      <c r="J1131" s="0" t="inlineStr">
        <is>
          <t>NULL</t>
        </is>
      </c>
      <c r="K1131" s="0" t="inlineStr">
        <is>
          <t>YES! 	 id列源备映射正确，源端为int None位	期望更改为int	实际备端为int None位</t>
        </is>
      </c>
    </row>
    <row r="1132">
      <c r="B1132" s="0" t="inlineStr">
        <is>
          <t>NULL</t>
        </is>
      </c>
      <c r="C1132" s="0" t="inlineStr">
        <is>
          <t>NULL</t>
        </is>
      </c>
      <c r="D1132" s="0" t="inlineStr">
        <is>
          <t>NULL</t>
        </is>
      </c>
      <c r="E1132" s="0" t="inlineStr">
        <is>
          <t>NULL</t>
        </is>
      </c>
      <c r="F1132" s="0" t="inlineStr">
        <is>
          <t>NULL</t>
        </is>
      </c>
      <c r="G1132" s="0" t="inlineStr">
        <is>
          <t>NULL</t>
        </is>
      </c>
      <c r="H1132" s="0" t="inlineStr">
        <is>
          <t>NULL</t>
        </is>
      </c>
      <c r="I1132" s="0" t="inlineStr">
        <is>
          <t>NULL</t>
        </is>
      </c>
      <c r="J1132" s="0" t="inlineStr">
        <is>
          <t>NULL</t>
        </is>
      </c>
      <c r="K1132" s="0" t="inlineStr">
        <is>
          <t>YES! 	 c_xml列源备映射正确，源端为xml -1位	期望更改为xml	实际备端为xml -1位</t>
        </is>
      </c>
    </row>
    <row r="1133">
      <c r="A1133" s="0" t="inlineStr">
        <is>
          <t>info_xml_dml_single_nopk</t>
        </is>
      </c>
      <c r="K1133" s="0" t="inlineStr">
        <is>
          <t>[0;34m info_xml_dml_single_nopk [0m源备字段数相同，源端字段：2 	备端字段2</t>
        </is>
      </c>
      <c r="W1133" s="0" t="inlineStr">
        <is>
          <t>YES 源备无差异</t>
        </is>
      </c>
      <c r="X1133" s="0">
        <f>A1133</f>
        <v/>
      </c>
    </row>
    <row r="1134">
      <c r="B1134" s="0" t="inlineStr">
        <is>
          <t>NULL</t>
        </is>
      </c>
      <c r="C1134" s="0" t="inlineStr">
        <is>
          <t>NULL</t>
        </is>
      </c>
      <c r="D1134" s="0" t="inlineStr">
        <is>
          <t>NULL</t>
        </is>
      </c>
      <c r="E1134" s="0" t="inlineStr">
        <is>
          <t>NULL</t>
        </is>
      </c>
      <c r="F1134" s="0" t="inlineStr">
        <is>
          <t>NULL</t>
        </is>
      </c>
      <c r="G1134" s="0" t="inlineStr">
        <is>
          <t>NULL</t>
        </is>
      </c>
      <c r="H1134" s="0" t="inlineStr">
        <is>
          <t>NULL</t>
        </is>
      </c>
      <c r="I1134" s="0" t="inlineStr">
        <is>
          <t>NULL</t>
        </is>
      </c>
      <c r="J1134" s="0" t="inlineStr">
        <is>
          <t>NULL</t>
        </is>
      </c>
      <c r="K1134" s="0" t="inlineStr">
        <is>
          <t>YES! 	 id列源备映射正确，源端为int None位	期望更改为int	实际备端为int None位</t>
        </is>
      </c>
    </row>
    <row r="1135">
      <c r="B1135" s="0" t="inlineStr">
        <is>
          <t>NULL</t>
        </is>
      </c>
      <c r="C1135" s="0" t="inlineStr">
        <is>
          <t>NULL</t>
        </is>
      </c>
      <c r="D1135" s="0" t="inlineStr">
        <is>
          <t>NULL</t>
        </is>
      </c>
      <c r="E1135" s="0" t="inlineStr">
        <is>
          <t>NULL</t>
        </is>
      </c>
      <c r="F1135" s="0" t="inlineStr">
        <is>
          <t>NULL</t>
        </is>
      </c>
      <c r="G1135" s="0" t="inlineStr">
        <is>
          <t>NULL</t>
        </is>
      </c>
      <c r="H1135" s="0" t="inlineStr">
        <is>
          <t>NULL</t>
        </is>
      </c>
      <c r="I1135" s="0" t="inlineStr">
        <is>
          <t>NULL</t>
        </is>
      </c>
      <c r="J1135" s="0" t="inlineStr">
        <is>
          <t>NULL</t>
        </is>
      </c>
      <c r="K1135" s="0" t="inlineStr">
        <is>
          <t>YES! 	 c_xml列源备映射正确，源端为xml -1位	期望更改为xml	实际备端为xml -1位</t>
        </is>
      </c>
    </row>
    <row r="1136">
      <c r="A1136" s="0" t="inlineStr">
        <is>
          <t>info_datetime2_dml_batch1_pk</t>
        </is>
      </c>
      <c r="K1136" s="0" t="inlineStr">
        <is>
          <t>[0;34m info_datetime2_dml_batch1_pk [0m源备字段数相同，源端字段：9 	备端字段9</t>
        </is>
      </c>
      <c r="W1136" s="0" t="inlineStr">
        <is>
          <t>YES 源备无差异</t>
        </is>
      </c>
      <c r="X1136" s="0">
        <f>A1136</f>
        <v/>
      </c>
    </row>
    <row r="1137">
      <c r="B1137" s="0" t="inlineStr">
        <is>
          <t>YES</t>
        </is>
      </c>
      <c r="C1137" s="0" t="inlineStr">
        <is>
          <t>NULL</t>
        </is>
      </c>
      <c r="D1137" s="0" t="inlineStr">
        <is>
          <t>NULL</t>
        </is>
      </c>
      <c r="E1137" s="0" t="inlineStr">
        <is>
          <t>NULL</t>
        </is>
      </c>
      <c r="F1137" s="0" t="inlineStr">
        <is>
          <t>NULL</t>
        </is>
      </c>
      <c r="G1137" s="0" t="inlineStr">
        <is>
          <t>NULL</t>
        </is>
      </c>
      <c r="H1137" s="0" t="inlineStr">
        <is>
          <t>NULL</t>
        </is>
      </c>
      <c r="I1137" s="0" t="inlineStr">
        <is>
          <t>YES!PK__info_dat__3213E83F40C47290</t>
        </is>
      </c>
      <c r="J1137" s="0" t="inlineStr">
        <is>
          <t>YES! 主键相关索引</t>
        </is>
      </c>
      <c r="K1137" s="0" t="inlineStr">
        <is>
          <t>YES! 	 id列源备映射正确，源端为int None位	期望更改为int	实际备端为int None位</t>
        </is>
      </c>
    </row>
    <row r="1138">
      <c r="B1138" s="0" t="inlineStr">
        <is>
          <t>NULL</t>
        </is>
      </c>
      <c r="C1138" s="0" t="inlineStr">
        <is>
          <t>NULL</t>
        </is>
      </c>
      <c r="D1138" s="0" t="inlineStr">
        <is>
          <t>NULL</t>
        </is>
      </c>
      <c r="E1138" s="0" t="inlineStr">
        <is>
          <t>NULL</t>
        </is>
      </c>
      <c r="F1138" s="0" t="inlineStr">
        <is>
          <t>NULL</t>
        </is>
      </c>
      <c r="G1138" s="0" t="inlineStr">
        <is>
          <t>NULL</t>
        </is>
      </c>
      <c r="H1138" s="0" t="inlineStr">
        <is>
          <t>NULL</t>
        </is>
      </c>
      <c r="I1138" s="0" t="inlineStr">
        <is>
          <t>NULL</t>
        </is>
      </c>
      <c r="J1138" s="0" t="inlineStr">
        <is>
          <t>NULL</t>
        </is>
      </c>
      <c r="K1138" s="0" t="inlineStr">
        <is>
          <t>no,len不存在</t>
        </is>
      </c>
    </row>
    <row r="1139">
      <c r="B1139" s="0" t="inlineStr">
        <is>
          <t>NULL</t>
        </is>
      </c>
      <c r="C1139" s="0" t="inlineStr">
        <is>
          <t>NULL</t>
        </is>
      </c>
      <c r="D1139" s="0" t="inlineStr">
        <is>
          <t>NULL</t>
        </is>
      </c>
      <c r="E1139" s="0" t="inlineStr">
        <is>
          <t>NULL</t>
        </is>
      </c>
      <c r="F1139" s="0" t="inlineStr">
        <is>
          <t>NULL</t>
        </is>
      </c>
      <c r="G1139" s="0" t="inlineStr">
        <is>
          <t>NULL</t>
        </is>
      </c>
      <c r="H1139" s="0" t="inlineStr">
        <is>
          <t>NULL</t>
        </is>
      </c>
      <c r="I1139" s="0" t="inlineStr">
        <is>
          <t>NULL</t>
        </is>
      </c>
      <c r="J1139" s="0" t="inlineStr">
        <is>
          <t>NULL</t>
        </is>
      </c>
      <c r="K1139" s="0" t="inlineStr">
        <is>
          <t>YES! 	 c_dt2_1列源备映射正确，源端为datetime2 None位	期望更改为datetime2(n)	实际备端为datetime2 None位</t>
        </is>
      </c>
    </row>
    <row r="1140">
      <c r="B1140" s="0" t="inlineStr">
        <is>
          <t>NULL</t>
        </is>
      </c>
      <c r="C1140" s="0" t="inlineStr">
        <is>
          <t>NULL</t>
        </is>
      </c>
      <c r="D1140" s="0" t="inlineStr">
        <is>
          <t>NULL</t>
        </is>
      </c>
      <c r="E1140" s="0" t="inlineStr">
        <is>
          <t>NULL</t>
        </is>
      </c>
      <c r="F1140" s="0" t="inlineStr">
        <is>
          <t>NULL</t>
        </is>
      </c>
      <c r="G1140" s="0" t="inlineStr">
        <is>
          <t>NULL</t>
        </is>
      </c>
      <c r="H1140" s="0" t="inlineStr">
        <is>
          <t>NULL</t>
        </is>
      </c>
      <c r="I1140" s="0" t="inlineStr">
        <is>
          <t>NULL</t>
        </is>
      </c>
      <c r="J1140" s="0" t="inlineStr">
        <is>
          <t>NULL</t>
        </is>
      </c>
      <c r="K1140" s="0" t="inlineStr">
        <is>
          <t>YES! 	 c_dt2_2列源备映射正确，源端为datetime2 None位	期望更改为datetime2(n)	实际备端为datetime2 None位</t>
        </is>
      </c>
    </row>
    <row r="1141">
      <c r="B1141" s="0" t="inlineStr">
        <is>
          <t>NULL</t>
        </is>
      </c>
      <c r="C1141" s="0" t="inlineStr">
        <is>
          <t>NULL</t>
        </is>
      </c>
      <c r="D1141" s="0" t="inlineStr">
        <is>
          <t>NULL</t>
        </is>
      </c>
      <c r="E1141" s="0" t="inlineStr">
        <is>
          <t>NULL</t>
        </is>
      </c>
      <c r="F1141" s="0" t="inlineStr">
        <is>
          <t>NULL</t>
        </is>
      </c>
      <c r="G1141" s="0" t="inlineStr">
        <is>
          <t>NULL</t>
        </is>
      </c>
      <c r="H1141" s="0" t="inlineStr">
        <is>
          <t>NULL</t>
        </is>
      </c>
      <c r="I1141" s="0" t="inlineStr">
        <is>
          <t>NULL</t>
        </is>
      </c>
      <c r="J1141" s="0" t="inlineStr">
        <is>
          <t>NULL</t>
        </is>
      </c>
      <c r="K1141" s="0" t="inlineStr">
        <is>
          <t>YES! 	 c_dt2_3列源备映射正确，源端为datetime2 None位	期望更改为datetime2(n)	实际备端为datetime2 None位</t>
        </is>
      </c>
    </row>
    <row r="1142">
      <c r="B1142" s="0" t="inlineStr">
        <is>
          <t>NULL</t>
        </is>
      </c>
      <c r="C1142" s="0" t="inlineStr">
        <is>
          <t>NULL</t>
        </is>
      </c>
      <c r="D1142" s="0" t="inlineStr">
        <is>
          <t>NULL</t>
        </is>
      </c>
      <c r="E1142" s="0" t="inlineStr">
        <is>
          <t>NULL</t>
        </is>
      </c>
      <c r="F1142" s="0" t="inlineStr">
        <is>
          <t>NULL</t>
        </is>
      </c>
      <c r="G1142" s="0" t="inlineStr">
        <is>
          <t>NULL</t>
        </is>
      </c>
      <c r="H1142" s="0" t="inlineStr">
        <is>
          <t>NULL</t>
        </is>
      </c>
      <c r="I1142" s="0" t="inlineStr">
        <is>
          <t>NULL</t>
        </is>
      </c>
      <c r="J1142" s="0" t="inlineStr">
        <is>
          <t>NULL</t>
        </is>
      </c>
      <c r="K1142" s="0" t="inlineStr">
        <is>
          <t>YES! 	 c_dt2_4列源备映射正确，源端为datetime2 None位	期望更改为datetime2(n)	实际备端为datetime2 None位</t>
        </is>
      </c>
    </row>
    <row r="1143">
      <c r="B1143" s="0" t="inlineStr">
        <is>
          <t>NULL</t>
        </is>
      </c>
      <c r="C1143" s="0" t="inlineStr">
        <is>
          <t>NULL</t>
        </is>
      </c>
      <c r="D1143" s="0" t="inlineStr">
        <is>
          <t>NULL</t>
        </is>
      </c>
      <c r="E1143" s="0" t="inlineStr">
        <is>
          <t>NULL</t>
        </is>
      </c>
      <c r="F1143" s="0" t="inlineStr">
        <is>
          <t>NULL</t>
        </is>
      </c>
      <c r="G1143" s="0" t="inlineStr">
        <is>
          <t>NULL</t>
        </is>
      </c>
      <c r="H1143" s="0" t="inlineStr">
        <is>
          <t>NULL</t>
        </is>
      </c>
      <c r="I1143" s="0" t="inlineStr">
        <is>
          <t>NULL</t>
        </is>
      </c>
      <c r="J1143" s="0" t="inlineStr">
        <is>
          <t>NULL</t>
        </is>
      </c>
      <c r="K1143" s="0" t="inlineStr">
        <is>
          <t>YES! 	 c_dt2_5列源备映射正确，源端为datetime2 None位	期望更改为datetime2(n)	实际备端为datetime2 None位</t>
        </is>
      </c>
    </row>
    <row r="1144">
      <c r="B1144" s="0" t="inlineStr">
        <is>
          <t>NULL</t>
        </is>
      </c>
      <c r="C1144" s="0" t="inlineStr">
        <is>
          <t>NULL</t>
        </is>
      </c>
      <c r="D1144" s="0" t="inlineStr">
        <is>
          <t>NULL</t>
        </is>
      </c>
      <c r="E1144" s="0" t="inlineStr">
        <is>
          <t>NULL</t>
        </is>
      </c>
      <c r="F1144" s="0" t="inlineStr">
        <is>
          <t>NULL</t>
        </is>
      </c>
      <c r="G1144" s="0" t="inlineStr">
        <is>
          <t>NULL</t>
        </is>
      </c>
      <c r="H1144" s="0" t="inlineStr">
        <is>
          <t>NULL</t>
        </is>
      </c>
      <c r="I1144" s="0" t="inlineStr">
        <is>
          <t>NULL</t>
        </is>
      </c>
      <c r="J1144" s="0" t="inlineStr">
        <is>
          <t>NULL</t>
        </is>
      </c>
      <c r="K1144" s="0" t="inlineStr">
        <is>
          <t>YES! 	 c_dt2_6列源备映射正确，源端为datetime2 None位	期望更改为datetime2(n)	实际备端为datetime2 None位</t>
        </is>
      </c>
    </row>
    <row r="1145">
      <c r="B1145" s="0" t="inlineStr">
        <is>
          <t>NULL</t>
        </is>
      </c>
      <c r="C1145" s="0" t="inlineStr">
        <is>
          <t>NULL</t>
        </is>
      </c>
      <c r="D1145" s="0" t="inlineStr">
        <is>
          <t>NULL</t>
        </is>
      </c>
      <c r="E1145" s="0" t="inlineStr">
        <is>
          <t>NULL</t>
        </is>
      </c>
      <c r="F1145" s="0" t="inlineStr">
        <is>
          <t>NULL</t>
        </is>
      </c>
      <c r="G1145" s="0" t="inlineStr">
        <is>
          <t>NULL</t>
        </is>
      </c>
      <c r="H1145" s="0" t="inlineStr">
        <is>
          <t>NULL</t>
        </is>
      </c>
      <c r="I1145" s="0" t="inlineStr">
        <is>
          <t>NULL</t>
        </is>
      </c>
      <c r="J1145" s="0" t="inlineStr">
        <is>
          <t>NULL</t>
        </is>
      </c>
      <c r="K1145" s="0" t="inlineStr">
        <is>
          <t>YES! 	 c_dt2列源备映射正确，源端为datetime2 None位	期望更改为datetime2(n)	实际备端为datetime2 None位</t>
        </is>
      </c>
    </row>
    <row r="1146">
      <c r="A1146" s="0" t="inlineStr">
        <is>
          <t>info_nvarchar_dml_batch1_pk_urp1</t>
        </is>
      </c>
      <c r="K1146" s="0" t="inlineStr">
        <is>
          <t>[0;34m info_nvarchar_dml_batch1_pk_urp1 [0m源备字段数相同，源端字段：4 	备端字段4</t>
        </is>
      </c>
      <c r="W1146" s="0" t="inlineStr">
        <is>
          <t>YES 源备无差异</t>
        </is>
      </c>
      <c r="X1146" s="0">
        <f>A1146</f>
        <v/>
      </c>
    </row>
    <row r="1147">
      <c r="B1147" s="0" t="inlineStr">
        <is>
          <t>YES</t>
        </is>
      </c>
      <c r="C1147" s="0" t="inlineStr">
        <is>
          <t>NULL</t>
        </is>
      </c>
      <c r="D1147" s="0" t="inlineStr">
        <is>
          <t>NULL</t>
        </is>
      </c>
      <c r="E1147" s="0" t="inlineStr">
        <is>
          <t>NULL</t>
        </is>
      </c>
      <c r="F1147" s="0" t="inlineStr">
        <is>
          <t>NULL</t>
        </is>
      </c>
      <c r="G1147" s="0" t="inlineStr">
        <is>
          <t>NULL</t>
        </is>
      </c>
      <c r="H1147" s="0" t="inlineStr">
        <is>
          <t>NULL</t>
        </is>
      </c>
      <c r="I1147" s="0" t="inlineStr">
        <is>
          <t>YES!PK__info_nva__3213E83F96E49186</t>
        </is>
      </c>
      <c r="J1147" s="0" t="inlineStr">
        <is>
          <t>YES! 主键相关索引</t>
        </is>
      </c>
      <c r="K1147" s="0" t="inlineStr">
        <is>
          <t>YES! 	 id列源备映射正确，源端为int None位	期望更改为int	实际备端为int None位</t>
        </is>
      </c>
    </row>
    <row r="1148">
      <c r="B1148" s="0" t="inlineStr">
        <is>
          <t>NULL</t>
        </is>
      </c>
      <c r="C1148" s="0" t="inlineStr">
        <is>
          <t>NULL</t>
        </is>
      </c>
      <c r="D1148" s="0" t="inlineStr">
        <is>
          <t>NULL</t>
        </is>
      </c>
      <c r="E1148" s="0" t="inlineStr">
        <is>
          <t>NULL</t>
        </is>
      </c>
      <c r="F1148" s="0" t="inlineStr">
        <is>
          <t>NULL</t>
        </is>
      </c>
      <c r="G1148" s="0" t="inlineStr">
        <is>
          <t>NULL</t>
        </is>
      </c>
      <c r="H1148" s="0" t="inlineStr">
        <is>
          <t>NULL</t>
        </is>
      </c>
      <c r="I1148" s="0" t="inlineStr">
        <is>
          <t>NULL</t>
        </is>
      </c>
      <c r="J1148" s="0" t="inlineStr">
        <is>
          <t>NULL</t>
        </is>
      </c>
      <c r="K1148" s="0" t="inlineStr">
        <is>
          <t>YES! 	 c_nvarchar列源备映射正确，源端为nvarchar 2位	期望更改为nvarchar(n)	实际备端为nvarchar 2位</t>
        </is>
      </c>
    </row>
    <row r="1149">
      <c r="B1149" s="0" t="inlineStr">
        <is>
          <t>NULL</t>
        </is>
      </c>
      <c r="C1149" s="0" t="inlineStr">
        <is>
          <t>NULL</t>
        </is>
      </c>
      <c r="D1149" s="0" t="inlineStr">
        <is>
          <t>NULL</t>
        </is>
      </c>
      <c r="E1149" s="0" t="inlineStr">
        <is>
          <t>NULL</t>
        </is>
      </c>
      <c r="F1149" s="0" t="inlineStr">
        <is>
          <t>NULL</t>
        </is>
      </c>
      <c r="G1149" s="0" t="inlineStr">
        <is>
          <t>NULL</t>
        </is>
      </c>
      <c r="H1149" s="0" t="inlineStr">
        <is>
          <t>NULL</t>
        </is>
      </c>
      <c r="I1149" s="0" t="inlineStr">
        <is>
          <t>NULL</t>
        </is>
      </c>
      <c r="J1149" s="0" t="inlineStr">
        <is>
          <t>NULL</t>
        </is>
      </c>
      <c r="K1149" s="0" t="inlineStr">
        <is>
          <t>YES! 	 c_nvarchar20列源备映射正确，源端为nvarchar 40位	期望更改为nvarchar(n)	实际备端为nvarchar 40位</t>
        </is>
      </c>
    </row>
    <row r="1150">
      <c r="B1150" s="0" t="inlineStr">
        <is>
          <t>NULL</t>
        </is>
      </c>
      <c r="C1150" s="0" t="inlineStr">
        <is>
          <t>NULL</t>
        </is>
      </c>
      <c r="D1150" s="0" t="inlineStr">
        <is>
          <t>NULL</t>
        </is>
      </c>
      <c r="E1150" s="0" t="inlineStr">
        <is>
          <t>NULL</t>
        </is>
      </c>
      <c r="F1150" s="0" t="inlineStr">
        <is>
          <t>NULL</t>
        </is>
      </c>
      <c r="G1150" s="0" t="inlineStr">
        <is>
          <t>NULL</t>
        </is>
      </c>
      <c r="H1150" s="0" t="inlineStr">
        <is>
          <t>NULL</t>
        </is>
      </c>
      <c r="I1150" s="0" t="inlineStr">
        <is>
          <t>NULL</t>
        </is>
      </c>
      <c r="J1150" s="0" t="inlineStr">
        <is>
          <t>NULL</t>
        </is>
      </c>
      <c r="K1150" s="0" t="inlineStr">
        <is>
          <t>YES! 	 c_nvarchar3500列源备映射正确，源端为nvarchar 7000位	期望更改为nvarchar(n)	实际备端为nvarchar 7000位</t>
        </is>
      </c>
    </row>
    <row r="1151">
      <c r="A1151" s="0" t="inlineStr">
        <is>
          <t>info_datetime_dml_single_pk_urp</t>
        </is>
      </c>
      <c r="K1151" s="0" t="inlineStr">
        <is>
          <t>[0;34m info_datetime_dml_single_pk_urp [0m源备字段数相同，源端字段：2 	备端字段2</t>
        </is>
      </c>
      <c r="W1151" s="0" t="inlineStr">
        <is>
          <t>YES 源备无差异</t>
        </is>
      </c>
      <c r="X1151" s="0">
        <f>A1151</f>
        <v/>
      </c>
    </row>
    <row r="1152">
      <c r="B1152" s="0" t="inlineStr">
        <is>
          <t>YES</t>
        </is>
      </c>
      <c r="C1152" s="0" t="inlineStr">
        <is>
          <t>NULL</t>
        </is>
      </c>
      <c r="D1152" s="0" t="inlineStr">
        <is>
          <t>NULL</t>
        </is>
      </c>
      <c r="E1152" s="0" t="inlineStr">
        <is>
          <t>NULL</t>
        </is>
      </c>
      <c r="F1152" s="0" t="inlineStr">
        <is>
          <t>NULL</t>
        </is>
      </c>
      <c r="G1152" s="0" t="inlineStr">
        <is>
          <t>NULL</t>
        </is>
      </c>
      <c r="H1152" s="0" t="inlineStr">
        <is>
          <t>NULL</t>
        </is>
      </c>
      <c r="I1152" s="0" t="inlineStr">
        <is>
          <t>YES!PK__info_dat__3213E83F0D54FDEB</t>
        </is>
      </c>
      <c r="J1152" s="0" t="inlineStr">
        <is>
          <t>YES! 主键相关索引</t>
        </is>
      </c>
      <c r="K1152" s="0" t="inlineStr">
        <is>
          <t>YES! 	 id列源备映射正确，源端为int None位	期望更改为int	实际备端为int None位</t>
        </is>
      </c>
    </row>
    <row r="1153">
      <c r="B1153" s="0" t="inlineStr">
        <is>
          <t>NULL</t>
        </is>
      </c>
      <c r="C1153" s="0" t="inlineStr">
        <is>
          <t>NULL</t>
        </is>
      </c>
      <c r="D1153" s="0" t="inlineStr">
        <is>
          <t>NULL</t>
        </is>
      </c>
      <c r="E1153" s="0" t="inlineStr">
        <is>
          <t>NULL</t>
        </is>
      </c>
      <c r="F1153" s="0" t="inlineStr">
        <is>
          <t>NULL</t>
        </is>
      </c>
      <c r="G1153" s="0" t="inlineStr">
        <is>
          <t>NULL</t>
        </is>
      </c>
      <c r="H1153" s="0" t="inlineStr">
        <is>
          <t>NULL</t>
        </is>
      </c>
      <c r="I1153" s="0" t="inlineStr">
        <is>
          <t>NULL</t>
        </is>
      </c>
      <c r="J1153" s="0" t="inlineStr">
        <is>
          <t>NULL</t>
        </is>
      </c>
      <c r="K1153" s="0" t="inlineStr">
        <is>
          <t>YES! 	 c_datetime列源备映射正确，源端为datetime None位	期望更改为datetime	实际备端为datetime None位</t>
        </is>
      </c>
    </row>
    <row r="1154">
      <c r="A1154" s="0" t="inlineStr">
        <is>
          <t>info_binary_dml_single_nopk_drp</t>
        </is>
      </c>
      <c r="K1154" s="0" t="inlineStr">
        <is>
          <t>[0;34m info_binary_dml_single_nopk_drp [0m源备字段数相同，源端字段：4 	备端字段4</t>
        </is>
      </c>
      <c r="W1154" s="0" t="inlineStr">
        <is>
          <t>YES 源备无差异</t>
        </is>
      </c>
      <c r="X1154" s="0">
        <f>A1154</f>
        <v/>
      </c>
    </row>
    <row r="1155">
      <c r="B1155" s="0" t="inlineStr">
        <is>
          <t>NULL</t>
        </is>
      </c>
      <c r="C1155" s="0" t="inlineStr">
        <is>
          <t>NULL</t>
        </is>
      </c>
      <c r="D1155" s="0" t="inlineStr">
        <is>
          <t>NULL</t>
        </is>
      </c>
      <c r="E1155" s="0" t="inlineStr">
        <is>
          <t>NULL</t>
        </is>
      </c>
      <c r="F1155" s="0" t="inlineStr">
        <is>
          <t>NULL</t>
        </is>
      </c>
      <c r="G1155" s="0" t="inlineStr">
        <is>
          <t>NULL</t>
        </is>
      </c>
      <c r="H1155" s="0" t="inlineStr">
        <is>
          <t>NULL</t>
        </is>
      </c>
      <c r="I1155" s="0" t="inlineStr">
        <is>
          <t>NULL</t>
        </is>
      </c>
      <c r="J1155" s="0" t="inlineStr">
        <is>
          <t>NULL</t>
        </is>
      </c>
      <c r="K1155" s="0" t="inlineStr">
        <is>
          <t>YES! 	 id列源备映射正确，源端为int None位	期望更改为int	实际备端为int None位</t>
        </is>
      </c>
    </row>
    <row r="1156">
      <c r="B1156" s="0" t="inlineStr">
        <is>
          <t>NULL</t>
        </is>
      </c>
      <c r="C1156" s="0" t="inlineStr">
        <is>
          <t>NULL</t>
        </is>
      </c>
      <c r="D1156" s="0" t="inlineStr">
        <is>
          <t>NULL</t>
        </is>
      </c>
      <c r="E1156" s="0" t="inlineStr">
        <is>
          <t>NULL</t>
        </is>
      </c>
      <c r="F1156" s="0" t="inlineStr">
        <is>
          <t>NULL</t>
        </is>
      </c>
      <c r="G1156" s="0" t="inlineStr">
        <is>
          <t>NULL</t>
        </is>
      </c>
      <c r="H1156" s="0" t="inlineStr">
        <is>
          <t>NULL</t>
        </is>
      </c>
      <c r="I1156" s="0" t="inlineStr">
        <is>
          <t>NULL</t>
        </is>
      </c>
      <c r="J1156" s="0" t="inlineStr">
        <is>
          <t>NULL</t>
        </is>
      </c>
      <c r="K1156" s="0" t="inlineStr">
        <is>
          <t>YES! 	 c_binary列源备映射正确，源端为binary 1位	期望更改为binary(n)	实际备端为binary 1位</t>
        </is>
      </c>
    </row>
    <row r="1157">
      <c r="B1157" s="0" t="inlineStr">
        <is>
          <t>NULL</t>
        </is>
      </c>
      <c r="C1157" s="0" t="inlineStr">
        <is>
          <t>NULL</t>
        </is>
      </c>
      <c r="D1157" s="0" t="inlineStr">
        <is>
          <t>NULL</t>
        </is>
      </c>
      <c r="E1157" s="0" t="inlineStr">
        <is>
          <t>NULL</t>
        </is>
      </c>
      <c r="F1157" s="0" t="inlineStr">
        <is>
          <t>NULL</t>
        </is>
      </c>
      <c r="G1157" s="0" t="inlineStr">
        <is>
          <t>NULL</t>
        </is>
      </c>
      <c r="H1157" s="0" t="inlineStr">
        <is>
          <t>NULL</t>
        </is>
      </c>
      <c r="I1157" s="0" t="inlineStr">
        <is>
          <t>NULL</t>
        </is>
      </c>
      <c r="J1157" s="0" t="inlineStr">
        <is>
          <t>NULL</t>
        </is>
      </c>
      <c r="K1157" s="0" t="inlineStr">
        <is>
          <t>YES! 	 c_binary_20列源备映射正确，源端为binary 20位	期望更改为binary(n)	实际备端为binary 20位</t>
        </is>
      </c>
    </row>
    <row r="1158">
      <c r="B1158" s="0" t="inlineStr">
        <is>
          <t>NULL</t>
        </is>
      </c>
      <c r="C1158" s="0" t="inlineStr">
        <is>
          <t>NULL</t>
        </is>
      </c>
      <c r="D1158" s="0" t="inlineStr">
        <is>
          <t>NULL</t>
        </is>
      </c>
      <c r="E1158" s="0" t="inlineStr">
        <is>
          <t>NULL</t>
        </is>
      </c>
      <c r="F1158" s="0" t="inlineStr">
        <is>
          <t>NULL</t>
        </is>
      </c>
      <c r="G1158" s="0" t="inlineStr">
        <is>
          <t>NULL</t>
        </is>
      </c>
      <c r="H1158" s="0" t="inlineStr">
        <is>
          <t>NULL</t>
        </is>
      </c>
      <c r="I1158" s="0" t="inlineStr">
        <is>
          <t>NULL</t>
        </is>
      </c>
      <c r="J1158" s="0" t="inlineStr">
        <is>
          <t>NULL</t>
        </is>
      </c>
      <c r="K1158" s="0" t="inlineStr">
        <is>
          <t>YES! 	 c_binary_8000列源备映射正确，源端为binary 8000位	期望更改为binary(n)	实际备端为binary 8000位</t>
        </is>
      </c>
    </row>
    <row r="1159">
      <c r="A1159" s="0" t="inlineStr">
        <is>
          <t>info_date_dml_single_nopk_irp</t>
        </is>
      </c>
      <c r="K1159" s="0" t="inlineStr">
        <is>
          <t>[0;34m info_date_dml_single_nopk_irp [0m源备字段数相同，源端字段：2 	备端字段2</t>
        </is>
      </c>
      <c r="W1159" s="0" t="inlineStr">
        <is>
          <t>YES 源备无差异</t>
        </is>
      </c>
      <c r="X1159" s="0">
        <f>A1159</f>
        <v/>
      </c>
    </row>
    <row r="1160">
      <c r="B1160" s="0" t="inlineStr">
        <is>
          <t>NULL</t>
        </is>
      </c>
      <c r="C1160" s="0" t="inlineStr">
        <is>
          <t>NULL</t>
        </is>
      </c>
      <c r="D1160" s="0" t="inlineStr">
        <is>
          <t>NULL</t>
        </is>
      </c>
      <c r="E1160" s="0" t="inlineStr">
        <is>
          <t>NULL</t>
        </is>
      </c>
      <c r="F1160" s="0" t="inlineStr">
        <is>
          <t>NULL</t>
        </is>
      </c>
      <c r="G1160" s="0" t="inlineStr">
        <is>
          <t>NULL</t>
        </is>
      </c>
      <c r="H1160" s="0" t="inlineStr">
        <is>
          <t>NULL</t>
        </is>
      </c>
      <c r="I1160" s="0" t="inlineStr">
        <is>
          <t>NULL</t>
        </is>
      </c>
      <c r="J1160" s="0" t="inlineStr">
        <is>
          <t>NULL</t>
        </is>
      </c>
      <c r="K1160" s="0" t="inlineStr">
        <is>
          <t>YES! 	 id列源备映射正确，源端为int None位	期望更改为int	实际备端为int None位</t>
        </is>
      </c>
    </row>
    <row r="1161">
      <c r="B1161" s="0" t="inlineStr">
        <is>
          <t>NULL</t>
        </is>
      </c>
      <c r="C1161" s="0" t="inlineStr">
        <is>
          <t>NULL</t>
        </is>
      </c>
      <c r="D1161" s="0" t="inlineStr">
        <is>
          <t>NULL</t>
        </is>
      </c>
      <c r="E1161" s="0" t="inlineStr">
        <is>
          <t>NULL</t>
        </is>
      </c>
      <c r="F1161" s="0" t="inlineStr">
        <is>
          <t>NULL</t>
        </is>
      </c>
      <c r="G1161" s="0" t="inlineStr">
        <is>
          <t>NULL</t>
        </is>
      </c>
      <c r="H1161" s="0" t="inlineStr">
        <is>
          <t>NULL</t>
        </is>
      </c>
      <c r="I1161" s="0" t="inlineStr">
        <is>
          <t>NULL</t>
        </is>
      </c>
      <c r="J1161" s="0" t="inlineStr">
        <is>
          <t>NULL</t>
        </is>
      </c>
      <c r="K1161" s="0" t="inlineStr">
        <is>
          <t>YES! 	 c_date列源备映射正确，源端为date None位	期望更改为date	实际备端为date None位</t>
        </is>
      </c>
    </row>
    <row r="1162">
      <c r="A1162" s="0" t="inlineStr">
        <is>
          <t>info_binary_dml_single_nopk</t>
        </is>
      </c>
      <c r="K1162" s="0" t="inlineStr">
        <is>
          <t>[0;34m info_binary_dml_single_nopk [0m源备字段数相同，源端字段：4 	备端字段4</t>
        </is>
      </c>
      <c r="W1162" s="0" t="inlineStr">
        <is>
          <t>YES 源备无差异</t>
        </is>
      </c>
      <c r="X1162" s="0">
        <f>A1162</f>
        <v/>
      </c>
    </row>
    <row r="1163">
      <c r="B1163" s="0" t="inlineStr">
        <is>
          <t>NULL</t>
        </is>
      </c>
      <c r="C1163" s="0" t="inlineStr">
        <is>
          <t>NULL</t>
        </is>
      </c>
      <c r="D1163" s="0" t="inlineStr">
        <is>
          <t>NULL</t>
        </is>
      </c>
      <c r="E1163" s="0" t="inlineStr">
        <is>
          <t>NULL</t>
        </is>
      </c>
      <c r="F1163" s="0" t="inlineStr">
        <is>
          <t>NULL</t>
        </is>
      </c>
      <c r="G1163" s="0" t="inlineStr">
        <is>
          <t>NULL</t>
        </is>
      </c>
      <c r="H1163" s="0" t="inlineStr">
        <is>
          <t>NULL</t>
        </is>
      </c>
      <c r="I1163" s="0" t="inlineStr">
        <is>
          <t>NULL</t>
        </is>
      </c>
      <c r="J1163" s="0" t="inlineStr">
        <is>
          <t>NULL</t>
        </is>
      </c>
      <c r="K1163" s="0" t="inlineStr">
        <is>
          <t>YES! 	 id列源备映射正确，源端为int None位	期望更改为int	实际备端为int None位</t>
        </is>
      </c>
    </row>
    <row r="1164">
      <c r="B1164" s="0" t="inlineStr">
        <is>
          <t>NULL</t>
        </is>
      </c>
      <c r="C1164" s="0" t="inlineStr">
        <is>
          <t>NULL</t>
        </is>
      </c>
      <c r="D1164" s="0" t="inlineStr">
        <is>
          <t>NULL</t>
        </is>
      </c>
      <c r="E1164" s="0" t="inlineStr">
        <is>
          <t>NULL</t>
        </is>
      </c>
      <c r="F1164" s="0" t="inlineStr">
        <is>
          <t>NULL</t>
        </is>
      </c>
      <c r="G1164" s="0" t="inlineStr">
        <is>
          <t>NULL</t>
        </is>
      </c>
      <c r="H1164" s="0" t="inlineStr">
        <is>
          <t>NULL</t>
        </is>
      </c>
      <c r="I1164" s="0" t="inlineStr">
        <is>
          <t>NULL</t>
        </is>
      </c>
      <c r="J1164" s="0" t="inlineStr">
        <is>
          <t>NULL</t>
        </is>
      </c>
      <c r="K1164" s="0" t="inlineStr">
        <is>
          <t>YES! 	 c_binary列源备映射正确，源端为binary 1位	期望更改为binary(n)	实际备端为binary 1位</t>
        </is>
      </c>
    </row>
    <row r="1165">
      <c r="B1165" s="0" t="inlineStr">
        <is>
          <t>NULL</t>
        </is>
      </c>
      <c r="C1165" s="0" t="inlineStr">
        <is>
          <t>NULL</t>
        </is>
      </c>
      <c r="D1165" s="0" t="inlineStr">
        <is>
          <t>NULL</t>
        </is>
      </c>
      <c r="E1165" s="0" t="inlineStr">
        <is>
          <t>NULL</t>
        </is>
      </c>
      <c r="F1165" s="0" t="inlineStr">
        <is>
          <t>NULL</t>
        </is>
      </c>
      <c r="G1165" s="0" t="inlineStr">
        <is>
          <t>NULL</t>
        </is>
      </c>
      <c r="H1165" s="0" t="inlineStr">
        <is>
          <t>NULL</t>
        </is>
      </c>
      <c r="I1165" s="0" t="inlineStr">
        <is>
          <t>NULL</t>
        </is>
      </c>
      <c r="J1165" s="0" t="inlineStr">
        <is>
          <t>NULL</t>
        </is>
      </c>
      <c r="K1165" s="0" t="inlineStr">
        <is>
          <t>YES! 	 c_binary_20列源备映射正确，源端为binary 20位	期望更改为binary(n)	实际备端为binary 20位</t>
        </is>
      </c>
    </row>
    <row r="1166">
      <c r="B1166" s="0" t="inlineStr">
        <is>
          <t>NULL</t>
        </is>
      </c>
      <c r="C1166" s="0" t="inlineStr">
        <is>
          <t>NULL</t>
        </is>
      </c>
      <c r="D1166" s="0" t="inlineStr">
        <is>
          <t>NULL</t>
        </is>
      </c>
      <c r="E1166" s="0" t="inlineStr">
        <is>
          <t>NULL</t>
        </is>
      </c>
      <c r="F1166" s="0" t="inlineStr">
        <is>
          <t>NULL</t>
        </is>
      </c>
      <c r="G1166" s="0" t="inlineStr">
        <is>
          <t>NULL</t>
        </is>
      </c>
      <c r="H1166" s="0" t="inlineStr">
        <is>
          <t>NULL</t>
        </is>
      </c>
      <c r="I1166" s="0" t="inlineStr">
        <is>
          <t>NULL</t>
        </is>
      </c>
      <c r="J1166" s="0" t="inlineStr">
        <is>
          <t>NULL</t>
        </is>
      </c>
      <c r="K1166" s="0" t="inlineStr">
        <is>
          <t>YES! 	 c_binary_8000列源备映射正确，源端为binary 8000位	期望更改为binary(n)	实际备端为binary 8000位</t>
        </is>
      </c>
    </row>
    <row r="1167">
      <c r="A1167" s="0" t="inlineStr">
        <is>
          <t>info_datetimeoffset_dml_batch1_pk_irp1</t>
        </is>
      </c>
      <c r="K1167" s="0" t="inlineStr">
        <is>
          <t>[0;34m info_datetimeoffset_dml_batch1_pk_irp1 [0m源备字段数相同，源端字段：9 	备端字段9</t>
        </is>
      </c>
      <c r="W1167" s="0" t="inlineStr">
        <is>
          <t>YES 源备无差异</t>
        </is>
      </c>
      <c r="X1167" s="0">
        <f>A1167</f>
        <v/>
      </c>
    </row>
    <row r="1168">
      <c r="B1168" s="0" t="inlineStr">
        <is>
          <t>YES</t>
        </is>
      </c>
      <c r="C1168" s="0" t="inlineStr">
        <is>
          <t>NULL</t>
        </is>
      </c>
      <c r="D1168" s="0" t="inlineStr">
        <is>
          <t>NULL</t>
        </is>
      </c>
      <c r="E1168" s="0" t="inlineStr">
        <is>
          <t>NULL</t>
        </is>
      </c>
      <c r="F1168" s="0" t="inlineStr">
        <is>
          <t>NULL</t>
        </is>
      </c>
      <c r="G1168" s="0" t="inlineStr">
        <is>
          <t>NULL</t>
        </is>
      </c>
      <c r="H1168" s="0" t="inlineStr">
        <is>
          <t>NULL</t>
        </is>
      </c>
      <c r="I1168" s="0" t="inlineStr">
        <is>
          <t>YES!PK__info_dat__3213E83F5DFBACE1</t>
        </is>
      </c>
      <c r="J1168" s="0" t="inlineStr">
        <is>
          <t>YES! 主键相关索引</t>
        </is>
      </c>
      <c r="K1168" s="0" t="inlineStr">
        <is>
          <t>YES! 	 id列源备映射正确，源端为int None位	期望更改为int	实际备端为int None位</t>
        </is>
      </c>
    </row>
    <row r="1169">
      <c r="B1169" s="0" t="inlineStr">
        <is>
          <t>NULL</t>
        </is>
      </c>
      <c r="C1169" s="0" t="inlineStr">
        <is>
          <t>NULL</t>
        </is>
      </c>
      <c r="D1169" s="0" t="inlineStr">
        <is>
          <t>NULL</t>
        </is>
      </c>
      <c r="E1169" s="0" t="inlineStr">
        <is>
          <t>NULL</t>
        </is>
      </c>
      <c r="F1169" s="0" t="inlineStr">
        <is>
          <t>NULL</t>
        </is>
      </c>
      <c r="G1169" s="0" t="inlineStr">
        <is>
          <t>NULL</t>
        </is>
      </c>
      <c r="H1169" s="0" t="inlineStr">
        <is>
          <t>NULL</t>
        </is>
      </c>
      <c r="I1169" s="0" t="inlineStr">
        <is>
          <t>NULL</t>
        </is>
      </c>
      <c r="J1169" s="0" t="inlineStr">
        <is>
          <t>NULL</t>
        </is>
      </c>
      <c r="K1169" s="0" t="inlineStr">
        <is>
          <t>no,len不存在</t>
        </is>
      </c>
    </row>
    <row r="1170">
      <c r="B1170" s="0" t="inlineStr">
        <is>
          <t>NULL</t>
        </is>
      </c>
      <c r="C1170" s="0" t="inlineStr">
        <is>
          <t>NULL</t>
        </is>
      </c>
      <c r="D1170" s="0" t="inlineStr">
        <is>
          <t>NULL</t>
        </is>
      </c>
      <c r="E1170" s="0" t="inlineStr">
        <is>
          <t>NULL</t>
        </is>
      </c>
      <c r="F1170" s="0" t="inlineStr">
        <is>
          <t>NULL</t>
        </is>
      </c>
      <c r="G1170" s="0" t="inlineStr">
        <is>
          <t>NULL</t>
        </is>
      </c>
      <c r="H1170" s="0" t="inlineStr">
        <is>
          <t>NULL</t>
        </is>
      </c>
      <c r="I1170" s="0" t="inlineStr">
        <is>
          <t>NULL</t>
        </is>
      </c>
      <c r="J1170" s="0" t="inlineStr">
        <is>
          <t>NULL</t>
        </is>
      </c>
      <c r="K1170" s="0" t="inlineStr">
        <is>
          <t>YES! 	 c_dtoffset_1列源备映射正确，源端为datetimeoffset None位	期望更改为datetimeoffset(n)	实际备端为datetimeoffset None位</t>
        </is>
      </c>
    </row>
    <row r="1171">
      <c r="B1171" s="0" t="inlineStr">
        <is>
          <t>NULL</t>
        </is>
      </c>
      <c r="C1171" s="0" t="inlineStr">
        <is>
          <t>NULL</t>
        </is>
      </c>
      <c r="D1171" s="0" t="inlineStr">
        <is>
          <t>NULL</t>
        </is>
      </c>
      <c r="E1171" s="0" t="inlineStr">
        <is>
          <t>NULL</t>
        </is>
      </c>
      <c r="F1171" s="0" t="inlineStr">
        <is>
          <t>NULL</t>
        </is>
      </c>
      <c r="G1171" s="0" t="inlineStr">
        <is>
          <t>NULL</t>
        </is>
      </c>
      <c r="H1171" s="0" t="inlineStr">
        <is>
          <t>NULL</t>
        </is>
      </c>
      <c r="I1171" s="0" t="inlineStr">
        <is>
          <t>NULL</t>
        </is>
      </c>
      <c r="J1171" s="0" t="inlineStr">
        <is>
          <t>NULL</t>
        </is>
      </c>
      <c r="K1171" s="0" t="inlineStr">
        <is>
          <t>YES! 	 c_dtoffset_2列源备映射正确，源端为datetimeoffset None位	期望更改为datetimeoffset(n)	实际备端为datetimeoffset None位</t>
        </is>
      </c>
    </row>
    <row r="1172">
      <c r="B1172" s="0" t="inlineStr">
        <is>
          <t>NULL</t>
        </is>
      </c>
      <c r="C1172" s="0" t="inlineStr">
        <is>
          <t>NULL</t>
        </is>
      </c>
      <c r="D1172" s="0" t="inlineStr">
        <is>
          <t>NULL</t>
        </is>
      </c>
      <c r="E1172" s="0" t="inlineStr">
        <is>
          <t>NULL</t>
        </is>
      </c>
      <c r="F1172" s="0" t="inlineStr">
        <is>
          <t>NULL</t>
        </is>
      </c>
      <c r="G1172" s="0" t="inlineStr">
        <is>
          <t>NULL</t>
        </is>
      </c>
      <c r="H1172" s="0" t="inlineStr">
        <is>
          <t>NULL</t>
        </is>
      </c>
      <c r="I1172" s="0" t="inlineStr">
        <is>
          <t>NULL</t>
        </is>
      </c>
      <c r="J1172" s="0" t="inlineStr">
        <is>
          <t>NULL</t>
        </is>
      </c>
      <c r="K1172" s="0" t="inlineStr">
        <is>
          <t>YES! 	 c_dtoffset_3列源备映射正确，源端为datetimeoffset None位	期望更改为datetimeoffset(n)	实际备端为datetimeoffset None位</t>
        </is>
      </c>
    </row>
    <row r="1173">
      <c r="B1173" s="0" t="inlineStr">
        <is>
          <t>NULL</t>
        </is>
      </c>
      <c r="C1173" s="0" t="inlineStr">
        <is>
          <t>NULL</t>
        </is>
      </c>
      <c r="D1173" s="0" t="inlineStr">
        <is>
          <t>NULL</t>
        </is>
      </c>
      <c r="E1173" s="0" t="inlineStr">
        <is>
          <t>NULL</t>
        </is>
      </c>
      <c r="F1173" s="0" t="inlineStr">
        <is>
          <t>NULL</t>
        </is>
      </c>
      <c r="G1173" s="0" t="inlineStr">
        <is>
          <t>NULL</t>
        </is>
      </c>
      <c r="H1173" s="0" t="inlineStr">
        <is>
          <t>NULL</t>
        </is>
      </c>
      <c r="I1173" s="0" t="inlineStr">
        <is>
          <t>NULL</t>
        </is>
      </c>
      <c r="J1173" s="0" t="inlineStr">
        <is>
          <t>NULL</t>
        </is>
      </c>
      <c r="K1173" s="0" t="inlineStr">
        <is>
          <t>YES! 	 c_dtoffset_4列源备映射正确，源端为datetimeoffset None位	期望更改为datetimeoffset(n)	实际备端为datetimeoffset None位</t>
        </is>
      </c>
    </row>
    <row r="1174">
      <c r="B1174" s="0" t="inlineStr">
        <is>
          <t>NULL</t>
        </is>
      </c>
      <c r="C1174" s="0" t="inlineStr">
        <is>
          <t>NULL</t>
        </is>
      </c>
      <c r="D1174" s="0" t="inlineStr">
        <is>
          <t>NULL</t>
        </is>
      </c>
      <c r="E1174" s="0" t="inlineStr">
        <is>
          <t>NULL</t>
        </is>
      </c>
      <c r="F1174" s="0" t="inlineStr">
        <is>
          <t>NULL</t>
        </is>
      </c>
      <c r="G1174" s="0" t="inlineStr">
        <is>
          <t>NULL</t>
        </is>
      </c>
      <c r="H1174" s="0" t="inlineStr">
        <is>
          <t>NULL</t>
        </is>
      </c>
      <c r="I1174" s="0" t="inlineStr">
        <is>
          <t>NULL</t>
        </is>
      </c>
      <c r="J1174" s="0" t="inlineStr">
        <is>
          <t>NULL</t>
        </is>
      </c>
      <c r="K1174" s="0" t="inlineStr">
        <is>
          <t>YES! 	 c_dtoffset_5列源备映射正确，源端为datetimeoffset None位	期望更改为datetimeoffset(n)	实际备端为datetimeoffset None位</t>
        </is>
      </c>
    </row>
    <row r="1175">
      <c r="B1175" s="0" t="inlineStr">
        <is>
          <t>NULL</t>
        </is>
      </c>
      <c r="C1175" s="0" t="inlineStr">
        <is>
          <t>NULL</t>
        </is>
      </c>
      <c r="D1175" s="0" t="inlineStr">
        <is>
          <t>NULL</t>
        </is>
      </c>
      <c r="E1175" s="0" t="inlineStr">
        <is>
          <t>NULL</t>
        </is>
      </c>
      <c r="F1175" s="0" t="inlineStr">
        <is>
          <t>NULL</t>
        </is>
      </c>
      <c r="G1175" s="0" t="inlineStr">
        <is>
          <t>NULL</t>
        </is>
      </c>
      <c r="H1175" s="0" t="inlineStr">
        <is>
          <t>NULL</t>
        </is>
      </c>
      <c r="I1175" s="0" t="inlineStr">
        <is>
          <t>NULL</t>
        </is>
      </c>
      <c r="J1175" s="0" t="inlineStr">
        <is>
          <t>NULL</t>
        </is>
      </c>
      <c r="K1175" s="0" t="inlineStr">
        <is>
          <t>YES! 	 c_dtoffset_6列源备映射正确，源端为datetimeoffset None位	期望更改为datetimeoffset(n)	实际备端为datetimeoffset None位</t>
        </is>
      </c>
    </row>
    <row r="1176">
      <c r="B1176" s="0" t="inlineStr">
        <is>
          <t>NULL</t>
        </is>
      </c>
      <c r="C1176" s="0" t="inlineStr">
        <is>
          <t>NULL</t>
        </is>
      </c>
      <c r="D1176" s="0" t="inlineStr">
        <is>
          <t>NULL</t>
        </is>
      </c>
      <c r="E1176" s="0" t="inlineStr">
        <is>
          <t>NULL</t>
        </is>
      </c>
      <c r="F1176" s="0" t="inlineStr">
        <is>
          <t>NULL</t>
        </is>
      </c>
      <c r="G1176" s="0" t="inlineStr">
        <is>
          <t>NULL</t>
        </is>
      </c>
      <c r="H1176" s="0" t="inlineStr">
        <is>
          <t>NULL</t>
        </is>
      </c>
      <c r="I1176" s="0" t="inlineStr">
        <is>
          <t>NULL</t>
        </is>
      </c>
      <c r="J1176" s="0" t="inlineStr">
        <is>
          <t>NULL</t>
        </is>
      </c>
      <c r="K1176" s="0" t="inlineStr">
        <is>
          <t>YES! 	 c_dtoffset列源备映射正确，源端为datetimeoffset None位	期望更改为datetimeoffset(n)	实际备端为datetimeoffset None位</t>
        </is>
      </c>
    </row>
    <row r="1177">
      <c r="A1177" s="0" t="inlineStr">
        <is>
          <t>info_date_dml_single_nopk_urp</t>
        </is>
      </c>
      <c r="K1177" s="0" t="inlineStr">
        <is>
          <t>[0;34m info_date_dml_single_nopk_urp [0m源备字段数相同，源端字段：2 	备端字段2</t>
        </is>
      </c>
      <c r="W1177" s="0" t="inlineStr">
        <is>
          <t>YES 源备无差异</t>
        </is>
      </c>
      <c r="X1177" s="0">
        <f>A1177</f>
        <v/>
      </c>
    </row>
    <row r="1178">
      <c r="B1178" s="0" t="inlineStr">
        <is>
          <t>NULL</t>
        </is>
      </c>
      <c r="C1178" s="0" t="inlineStr">
        <is>
          <t>NULL</t>
        </is>
      </c>
      <c r="D1178" s="0" t="inlineStr">
        <is>
          <t>NULL</t>
        </is>
      </c>
      <c r="E1178" s="0" t="inlineStr">
        <is>
          <t>NULL</t>
        </is>
      </c>
      <c r="F1178" s="0" t="inlineStr">
        <is>
          <t>NULL</t>
        </is>
      </c>
      <c r="G1178" s="0" t="inlineStr">
        <is>
          <t>NULL</t>
        </is>
      </c>
      <c r="H1178" s="0" t="inlineStr">
        <is>
          <t>NULL</t>
        </is>
      </c>
      <c r="I1178" s="0" t="inlineStr">
        <is>
          <t>NULL</t>
        </is>
      </c>
      <c r="J1178" s="0" t="inlineStr">
        <is>
          <t>NULL</t>
        </is>
      </c>
      <c r="K1178" s="0" t="inlineStr">
        <is>
          <t>YES! 	 id列源备映射正确，源端为int None位	期望更改为int	实际备端为int None位</t>
        </is>
      </c>
    </row>
    <row r="1179">
      <c r="B1179" s="0" t="inlineStr">
        <is>
          <t>NULL</t>
        </is>
      </c>
      <c r="C1179" s="0" t="inlineStr">
        <is>
          <t>NULL</t>
        </is>
      </c>
      <c r="D1179" s="0" t="inlineStr">
        <is>
          <t>NULL</t>
        </is>
      </c>
      <c r="E1179" s="0" t="inlineStr">
        <is>
          <t>NULL</t>
        </is>
      </c>
      <c r="F1179" s="0" t="inlineStr">
        <is>
          <t>NULL</t>
        </is>
      </c>
      <c r="G1179" s="0" t="inlineStr">
        <is>
          <t>NULL</t>
        </is>
      </c>
      <c r="H1179" s="0" t="inlineStr">
        <is>
          <t>NULL</t>
        </is>
      </c>
      <c r="I1179" s="0" t="inlineStr">
        <is>
          <t>NULL</t>
        </is>
      </c>
      <c r="J1179" s="0" t="inlineStr">
        <is>
          <t>NULL</t>
        </is>
      </c>
      <c r="K1179" s="0" t="inlineStr">
        <is>
          <t>YES! 	 c_date列源备映射正确，源端为date None位	期望更改为date	实际备端为date None位</t>
        </is>
      </c>
    </row>
    <row r="1180">
      <c r="A1180" s="0" t="inlineStr">
        <is>
          <t>info_datetime_dml_single_pk_drp</t>
        </is>
      </c>
      <c r="K1180" s="0" t="inlineStr">
        <is>
          <t>[0;34m info_datetime_dml_single_pk_drp [0m源备字段数相同，源端字段：2 	备端字段2</t>
        </is>
      </c>
      <c r="W1180" s="0" t="inlineStr">
        <is>
          <t>YES 源备无差异</t>
        </is>
      </c>
      <c r="X1180" s="0">
        <f>A1180</f>
        <v/>
      </c>
    </row>
    <row r="1181">
      <c r="B1181" s="0" t="inlineStr">
        <is>
          <t>YES</t>
        </is>
      </c>
      <c r="C1181" s="0" t="inlineStr">
        <is>
          <t>NULL</t>
        </is>
      </c>
      <c r="D1181" s="0" t="inlineStr">
        <is>
          <t>NULL</t>
        </is>
      </c>
      <c r="E1181" s="0" t="inlineStr">
        <is>
          <t>NULL</t>
        </is>
      </c>
      <c r="F1181" s="0" t="inlineStr">
        <is>
          <t>NULL</t>
        </is>
      </c>
      <c r="G1181" s="0" t="inlineStr">
        <is>
          <t>NULL</t>
        </is>
      </c>
      <c r="H1181" s="0" t="inlineStr">
        <is>
          <t>NULL</t>
        </is>
      </c>
      <c r="I1181" s="0" t="inlineStr">
        <is>
          <t>YES!PK__info_dat__3213E83F6C5AB8FE</t>
        </is>
      </c>
      <c r="J1181" s="0" t="inlineStr">
        <is>
          <t>YES! 主键相关索引</t>
        </is>
      </c>
      <c r="K1181" s="0" t="inlineStr">
        <is>
          <t>YES! 	 id列源备映射正确，源端为int None位	期望更改为int	实际备端为int None位</t>
        </is>
      </c>
    </row>
    <row r="1182">
      <c r="B1182" s="0" t="inlineStr">
        <is>
          <t>NULL</t>
        </is>
      </c>
      <c r="C1182" s="0" t="inlineStr">
        <is>
          <t>NULL</t>
        </is>
      </c>
      <c r="D1182" s="0" t="inlineStr">
        <is>
          <t>NULL</t>
        </is>
      </c>
      <c r="E1182" s="0" t="inlineStr">
        <is>
          <t>NULL</t>
        </is>
      </c>
      <c r="F1182" s="0" t="inlineStr">
        <is>
          <t>NULL</t>
        </is>
      </c>
      <c r="G1182" s="0" t="inlineStr">
        <is>
          <t>NULL</t>
        </is>
      </c>
      <c r="H1182" s="0" t="inlineStr">
        <is>
          <t>NULL</t>
        </is>
      </c>
      <c r="I1182" s="0" t="inlineStr">
        <is>
          <t>NULL</t>
        </is>
      </c>
      <c r="J1182" s="0" t="inlineStr">
        <is>
          <t>NULL</t>
        </is>
      </c>
      <c r="K1182" s="0" t="inlineStr">
        <is>
          <t>YES! 	 c_datetime列源备映射正确，源端为datetime None位	期望更改为datetime	实际备端为datetime None位</t>
        </is>
      </c>
    </row>
    <row r="1183">
      <c r="A1183" s="0" t="inlineStr">
        <is>
          <t>info_nvarchar_dml_batch2_pk_urp2</t>
        </is>
      </c>
      <c r="K1183" s="0" t="inlineStr">
        <is>
          <t>[0;34m info_nvarchar_dml_batch2_pk_urp2 [0m源备字段数相同，源端字段：4 	备端字段4</t>
        </is>
      </c>
      <c r="W1183" s="0" t="inlineStr">
        <is>
          <t>YES 源备无差异</t>
        </is>
      </c>
      <c r="X1183" s="0">
        <f>A1183</f>
        <v/>
      </c>
    </row>
    <row r="1184">
      <c r="B1184" s="0" t="inlineStr">
        <is>
          <t>YES</t>
        </is>
      </c>
      <c r="C1184" s="0" t="inlineStr">
        <is>
          <t>NULL</t>
        </is>
      </c>
      <c r="D1184" s="0" t="inlineStr">
        <is>
          <t>NULL</t>
        </is>
      </c>
      <c r="E1184" s="0" t="inlineStr">
        <is>
          <t>NULL</t>
        </is>
      </c>
      <c r="F1184" s="0" t="inlineStr">
        <is>
          <t>NULL</t>
        </is>
      </c>
      <c r="G1184" s="0" t="inlineStr">
        <is>
          <t>NULL</t>
        </is>
      </c>
      <c r="H1184" s="0" t="inlineStr">
        <is>
          <t>NULL</t>
        </is>
      </c>
      <c r="I1184" s="0" t="inlineStr">
        <is>
          <t>YES!PK__info_nva__3213E83FC6E75F78</t>
        </is>
      </c>
      <c r="J1184" s="0" t="inlineStr">
        <is>
          <t>YES! 主键相关索引</t>
        </is>
      </c>
      <c r="K1184" s="0" t="inlineStr">
        <is>
          <t>YES! 	 id列源备映射正确，源端为int None位	期望更改为int	实际备端为int None位</t>
        </is>
      </c>
    </row>
    <row r="1185">
      <c r="B1185" s="0" t="inlineStr">
        <is>
          <t>NULL</t>
        </is>
      </c>
      <c r="C1185" s="0" t="inlineStr">
        <is>
          <t>NULL</t>
        </is>
      </c>
      <c r="D1185" s="0" t="inlineStr">
        <is>
          <t>NULL</t>
        </is>
      </c>
      <c r="E1185" s="0" t="inlineStr">
        <is>
          <t>NULL</t>
        </is>
      </c>
      <c r="F1185" s="0" t="inlineStr">
        <is>
          <t>NULL</t>
        </is>
      </c>
      <c r="G1185" s="0" t="inlineStr">
        <is>
          <t>NULL</t>
        </is>
      </c>
      <c r="H1185" s="0" t="inlineStr">
        <is>
          <t>NULL</t>
        </is>
      </c>
      <c r="I1185" s="0" t="inlineStr">
        <is>
          <t>NULL</t>
        </is>
      </c>
      <c r="J1185" s="0" t="inlineStr">
        <is>
          <t>NULL</t>
        </is>
      </c>
      <c r="K1185" s="0" t="inlineStr">
        <is>
          <t>YES! 	 c_nvarchar列源备映射正确，源端为nvarchar 2位	期望更改为nvarchar(n)	实际备端为nvarchar 2位</t>
        </is>
      </c>
    </row>
    <row r="1186">
      <c r="B1186" s="0" t="inlineStr">
        <is>
          <t>NULL</t>
        </is>
      </c>
      <c r="C1186" s="0" t="inlineStr">
        <is>
          <t>NULL</t>
        </is>
      </c>
      <c r="D1186" s="0" t="inlineStr">
        <is>
          <t>NULL</t>
        </is>
      </c>
      <c r="E1186" s="0" t="inlineStr">
        <is>
          <t>NULL</t>
        </is>
      </c>
      <c r="F1186" s="0" t="inlineStr">
        <is>
          <t>NULL</t>
        </is>
      </c>
      <c r="G1186" s="0" t="inlineStr">
        <is>
          <t>NULL</t>
        </is>
      </c>
      <c r="H1186" s="0" t="inlineStr">
        <is>
          <t>NULL</t>
        </is>
      </c>
      <c r="I1186" s="0" t="inlineStr">
        <is>
          <t>NULL</t>
        </is>
      </c>
      <c r="J1186" s="0" t="inlineStr">
        <is>
          <t>NULL</t>
        </is>
      </c>
      <c r="K1186" s="0" t="inlineStr">
        <is>
          <t>YES! 	 c_nvarchar20列源备映射正确，源端为nvarchar 40位	期望更改为nvarchar(n)	实际备端为nvarchar 40位</t>
        </is>
      </c>
    </row>
    <row r="1187">
      <c r="B1187" s="0" t="inlineStr">
        <is>
          <t>NULL</t>
        </is>
      </c>
      <c r="C1187" s="0" t="inlineStr">
        <is>
          <t>NULL</t>
        </is>
      </c>
      <c r="D1187" s="0" t="inlineStr">
        <is>
          <t>NULL</t>
        </is>
      </c>
      <c r="E1187" s="0" t="inlineStr">
        <is>
          <t>NULL</t>
        </is>
      </c>
      <c r="F1187" s="0" t="inlineStr">
        <is>
          <t>NULL</t>
        </is>
      </c>
      <c r="G1187" s="0" t="inlineStr">
        <is>
          <t>NULL</t>
        </is>
      </c>
      <c r="H1187" s="0" t="inlineStr">
        <is>
          <t>NULL</t>
        </is>
      </c>
      <c r="I1187" s="0" t="inlineStr">
        <is>
          <t>NULL</t>
        </is>
      </c>
      <c r="J1187" s="0" t="inlineStr">
        <is>
          <t>NULL</t>
        </is>
      </c>
      <c r="K1187" s="0" t="inlineStr">
        <is>
          <t>YES! 	 c_nvarchar3500列源备映射正确，源端为nvarchar 7000位	期望更改为nvarchar(n)	实际备端为nvarchar 7000位</t>
        </is>
      </c>
    </row>
    <row r="1188">
      <c r="A1188" s="0" t="inlineStr">
        <is>
          <t>info_date_dml_single_nopk_drp</t>
        </is>
      </c>
      <c r="K1188" s="0" t="inlineStr">
        <is>
          <t>[0;34m info_date_dml_single_nopk_drp [0m源备字段数相同，源端字段：2 	备端字段2</t>
        </is>
      </c>
      <c r="W1188" s="0" t="inlineStr">
        <is>
          <t>YES 源备无差异</t>
        </is>
      </c>
      <c r="X1188" s="0">
        <f>A1188</f>
        <v/>
      </c>
    </row>
    <row r="1189">
      <c r="B1189" s="0" t="inlineStr">
        <is>
          <t>NULL</t>
        </is>
      </c>
      <c r="C1189" s="0" t="inlineStr">
        <is>
          <t>NULL</t>
        </is>
      </c>
      <c r="D1189" s="0" t="inlineStr">
        <is>
          <t>NULL</t>
        </is>
      </c>
      <c r="E1189" s="0" t="inlineStr">
        <is>
          <t>NULL</t>
        </is>
      </c>
      <c r="F1189" s="0" t="inlineStr">
        <is>
          <t>NULL</t>
        </is>
      </c>
      <c r="G1189" s="0" t="inlineStr">
        <is>
          <t>NULL</t>
        </is>
      </c>
      <c r="H1189" s="0" t="inlineStr">
        <is>
          <t>NULL</t>
        </is>
      </c>
      <c r="I1189" s="0" t="inlineStr">
        <is>
          <t>NULL</t>
        </is>
      </c>
      <c r="J1189" s="0" t="inlineStr">
        <is>
          <t>NULL</t>
        </is>
      </c>
      <c r="K1189" s="0" t="inlineStr">
        <is>
          <t>YES! 	 id列源备映射正确，源端为int None位	期望更改为int	实际备端为int None位</t>
        </is>
      </c>
    </row>
    <row r="1190">
      <c r="B1190" s="0" t="inlineStr">
        <is>
          <t>NULL</t>
        </is>
      </c>
      <c r="C1190" s="0" t="inlineStr">
        <is>
          <t>NULL</t>
        </is>
      </c>
      <c r="D1190" s="0" t="inlineStr">
        <is>
          <t>NULL</t>
        </is>
      </c>
      <c r="E1190" s="0" t="inlineStr">
        <is>
          <t>NULL</t>
        </is>
      </c>
      <c r="F1190" s="0" t="inlineStr">
        <is>
          <t>NULL</t>
        </is>
      </c>
      <c r="G1190" s="0" t="inlineStr">
        <is>
          <t>NULL</t>
        </is>
      </c>
      <c r="H1190" s="0" t="inlineStr">
        <is>
          <t>NULL</t>
        </is>
      </c>
      <c r="I1190" s="0" t="inlineStr">
        <is>
          <t>NULL</t>
        </is>
      </c>
      <c r="J1190" s="0" t="inlineStr">
        <is>
          <t>NULL</t>
        </is>
      </c>
      <c r="K1190" s="0" t="inlineStr">
        <is>
          <t>YES! 	 c_date列源备映射正确，源端为date None位	期望更改为date	实际备端为date None位</t>
        </is>
      </c>
    </row>
    <row r="1191">
      <c r="A1191" s="0" t="inlineStr">
        <is>
          <t>info_varbinary_dml_single_nopk_irp</t>
        </is>
      </c>
      <c r="K1191" s="0" t="inlineStr">
        <is>
          <t>[0;34m info_varbinary_dml_single_nopk_irp [0m源备字段数相同，源端字段：4 	备端字段4</t>
        </is>
      </c>
      <c r="W1191" s="0" t="inlineStr">
        <is>
          <t>YES 源备无差异</t>
        </is>
      </c>
      <c r="X1191" s="0">
        <f>A1191</f>
        <v/>
      </c>
    </row>
    <row r="1192">
      <c r="B1192" s="0" t="inlineStr">
        <is>
          <t>NULL</t>
        </is>
      </c>
      <c r="C1192" s="0" t="inlineStr">
        <is>
          <t>NULL</t>
        </is>
      </c>
      <c r="D1192" s="0" t="inlineStr">
        <is>
          <t>NULL</t>
        </is>
      </c>
      <c r="E1192" s="0" t="inlineStr">
        <is>
          <t>NULL</t>
        </is>
      </c>
      <c r="F1192" s="0" t="inlineStr">
        <is>
          <t>NULL</t>
        </is>
      </c>
      <c r="G1192" s="0" t="inlineStr">
        <is>
          <t>NULL</t>
        </is>
      </c>
      <c r="H1192" s="0" t="inlineStr">
        <is>
          <t>NULL</t>
        </is>
      </c>
      <c r="I1192" s="0" t="inlineStr">
        <is>
          <t>NULL</t>
        </is>
      </c>
      <c r="J1192" s="0" t="inlineStr">
        <is>
          <t>NULL</t>
        </is>
      </c>
      <c r="K1192" s="0" t="inlineStr">
        <is>
          <t>YES! 	 id列源备映射正确，源端为int None位	期望更改为int	实际备端为int None位</t>
        </is>
      </c>
    </row>
    <row r="1193">
      <c r="B1193" s="0" t="inlineStr">
        <is>
          <t>NULL</t>
        </is>
      </c>
      <c r="C1193" s="0" t="inlineStr">
        <is>
          <t>NULL</t>
        </is>
      </c>
      <c r="D1193" s="0" t="inlineStr">
        <is>
          <t>NULL</t>
        </is>
      </c>
      <c r="E1193" s="0" t="inlineStr">
        <is>
          <t>NULL</t>
        </is>
      </c>
      <c r="F1193" s="0" t="inlineStr">
        <is>
          <t>NULL</t>
        </is>
      </c>
      <c r="G1193" s="0" t="inlineStr">
        <is>
          <t>NULL</t>
        </is>
      </c>
      <c r="H1193" s="0" t="inlineStr">
        <is>
          <t>NULL</t>
        </is>
      </c>
      <c r="I1193" s="0" t="inlineStr">
        <is>
          <t>NULL</t>
        </is>
      </c>
      <c r="J1193" s="0" t="inlineStr">
        <is>
          <t>NULL</t>
        </is>
      </c>
      <c r="K1193" s="0" t="inlineStr">
        <is>
          <t>YES! 	 c_varbinary列源备映射正确，源端为varbinary 1位	期望更改为varbinary(n)	实际备端为varbinary 1位</t>
        </is>
      </c>
    </row>
    <row r="1194">
      <c r="B1194" s="0" t="inlineStr">
        <is>
          <t>NULL</t>
        </is>
      </c>
      <c r="C1194" s="0" t="inlineStr">
        <is>
          <t>NULL</t>
        </is>
      </c>
      <c r="D1194" s="0" t="inlineStr">
        <is>
          <t>NULL</t>
        </is>
      </c>
      <c r="E1194" s="0" t="inlineStr">
        <is>
          <t>NULL</t>
        </is>
      </c>
      <c r="F1194" s="0" t="inlineStr">
        <is>
          <t>NULL</t>
        </is>
      </c>
      <c r="G1194" s="0" t="inlineStr">
        <is>
          <t>NULL</t>
        </is>
      </c>
      <c r="H1194" s="0" t="inlineStr">
        <is>
          <t>NULL</t>
        </is>
      </c>
      <c r="I1194" s="0" t="inlineStr">
        <is>
          <t>NULL</t>
        </is>
      </c>
      <c r="J1194" s="0" t="inlineStr">
        <is>
          <t>NULL</t>
        </is>
      </c>
      <c r="K1194" s="0" t="inlineStr">
        <is>
          <t>YES! 	 c_varbinary_100列源备映射正确，源端为varbinary 100位	期望更改为varbinary(n)	实际备端为varbinary 100位</t>
        </is>
      </c>
    </row>
    <row r="1195">
      <c r="B1195" s="0" t="inlineStr">
        <is>
          <t>NULL</t>
        </is>
      </c>
      <c r="C1195" s="0" t="inlineStr">
        <is>
          <t>NULL</t>
        </is>
      </c>
      <c r="D1195" s="0" t="inlineStr">
        <is>
          <t>NULL</t>
        </is>
      </c>
      <c r="E1195" s="0" t="inlineStr">
        <is>
          <t>NULL</t>
        </is>
      </c>
      <c r="F1195" s="0" t="inlineStr">
        <is>
          <t>NULL</t>
        </is>
      </c>
      <c r="G1195" s="0" t="inlineStr">
        <is>
          <t>NULL</t>
        </is>
      </c>
      <c r="H1195" s="0" t="inlineStr">
        <is>
          <t>NULL</t>
        </is>
      </c>
      <c r="I1195" s="0" t="inlineStr">
        <is>
          <t>NULL</t>
        </is>
      </c>
      <c r="J1195" s="0" t="inlineStr">
        <is>
          <t>NULL</t>
        </is>
      </c>
      <c r="K1195" s="0" t="inlineStr">
        <is>
          <t>YES! 	 c_varbinary_8000列源备映射正确，源端为varbinary 8000位	期望更改为varbinary(n)	实际备端为varbinary 8000位</t>
        </is>
      </c>
    </row>
    <row r="1196">
      <c r="A1196" s="0" t="inlineStr">
        <is>
          <t>info_varbinary_dml_single_nopk_urp</t>
        </is>
      </c>
      <c r="K1196" s="0" t="inlineStr">
        <is>
          <t>[0;34m info_varbinary_dml_single_nopk_urp [0m源备字段数相同，源端字段：4 	备端字段4</t>
        </is>
      </c>
      <c r="W1196" s="0" t="inlineStr">
        <is>
          <t>YES 源备无差异</t>
        </is>
      </c>
      <c r="X1196" s="0">
        <f>A1196</f>
        <v/>
      </c>
    </row>
    <row r="1197">
      <c r="B1197" s="0" t="inlineStr">
        <is>
          <t>NULL</t>
        </is>
      </c>
      <c r="C1197" s="0" t="inlineStr">
        <is>
          <t>NULL</t>
        </is>
      </c>
      <c r="D1197" s="0" t="inlineStr">
        <is>
          <t>NULL</t>
        </is>
      </c>
      <c r="E1197" s="0" t="inlineStr">
        <is>
          <t>NULL</t>
        </is>
      </c>
      <c r="F1197" s="0" t="inlineStr">
        <is>
          <t>NULL</t>
        </is>
      </c>
      <c r="G1197" s="0" t="inlineStr">
        <is>
          <t>NULL</t>
        </is>
      </c>
      <c r="H1197" s="0" t="inlineStr">
        <is>
          <t>NULL</t>
        </is>
      </c>
      <c r="I1197" s="0" t="inlineStr">
        <is>
          <t>NULL</t>
        </is>
      </c>
      <c r="J1197" s="0" t="inlineStr">
        <is>
          <t>NULL</t>
        </is>
      </c>
      <c r="K1197" s="0" t="inlineStr">
        <is>
          <t>YES! 	 id列源备映射正确，源端为int None位	期望更改为int	实际备端为int None位</t>
        </is>
      </c>
    </row>
    <row r="1198">
      <c r="B1198" s="0" t="inlineStr">
        <is>
          <t>NULL</t>
        </is>
      </c>
      <c r="C1198" s="0" t="inlineStr">
        <is>
          <t>NULL</t>
        </is>
      </c>
      <c r="D1198" s="0" t="inlineStr">
        <is>
          <t>NULL</t>
        </is>
      </c>
      <c r="E1198" s="0" t="inlineStr">
        <is>
          <t>NULL</t>
        </is>
      </c>
      <c r="F1198" s="0" t="inlineStr">
        <is>
          <t>NULL</t>
        </is>
      </c>
      <c r="G1198" s="0" t="inlineStr">
        <is>
          <t>NULL</t>
        </is>
      </c>
      <c r="H1198" s="0" t="inlineStr">
        <is>
          <t>NULL</t>
        </is>
      </c>
      <c r="I1198" s="0" t="inlineStr">
        <is>
          <t>NULL</t>
        </is>
      </c>
      <c r="J1198" s="0" t="inlineStr">
        <is>
          <t>NULL</t>
        </is>
      </c>
      <c r="K1198" s="0" t="inlineStr">
        <is>
          <t>YES! 	 c_varbinary列源备映射正确，源端为varbinary 1位	期望更改为varbinary(n)	实际备端为varbinary 1位</t>
        </is>
      </c>
    </row>
    <row r="1199">
      <c r="B1199" s="0" t="inlineStr">
        <is>
          <t>NULL</t>
        </is>
      </c>
      <c r="C1199" s="0" t="inlineStr">
        <is>
          <t>NULL</t>
        </is>
      </c>
      <c r="D1199" s="0" t="inlineStr">
        <is>
          <t>NULL</t>
        </is>
      </c>
      <c r="E1199" s="0" t="inlineStr">
        <is>
          <t>NULL</t>
        </is>
      </c>
      <c r="F1199" s="0" t="inlineStr">
        <is>
          <t>NULL</t>
        </is>
      </c>
      <c r="G1199" s="0" t="inlineStr">
        <is>
          <t>NULL</t>
        </is>
      </c>
      <c r="H1199" s="0" t="inlineStr">
        <is>
          <t>NULL</t>
        </is>
      </c>
      <c r="I1199" s="0" t="inlineStr">
        <is>
          <t>NULL</t>
        </is>
      </c>
      <c r="J1199" s="0" t="inlineStr">
        <is>
          <t>NULL</t>
        </is>
      </c>
      <c r="K1199" s="0" t="inlineStr">
        <is>
          <t>YES! 	 c_varbinary_100列源备映射正确，源端为varbinary 100位	期望更改为varbinary(n)	实际备端为varbinary 100位</t>
        </is>
      </c>
    </row>
    <row r="1200">
      <c r="B1200" s="0" t="inlineStr">
        <is>
          <t>NULL</t>
        </is>
      </c>
      <c r="C1200" s="0" t="inlineStr">
        <is>
          <t>NULL</t>
        </is>
      </c>
      <c r="D1200" s="0" t="inlineStr">
        <is>
          <t>NULL</t>
        </is>
      </c>
      <c r="E1200" s="0" t="inlineStr">
        <is>
          <t>NULL</t>
        </is>
      </c>
      <c r="F1200" s="0" t="inlineStr">
        <is>
          <t>NULL</t>
        </is>
      </c>
      <c r="G1200" s="0" t="inlineStr">
        <is>
          <t>NULL</t>
        </is>
      </c>
      <c r="H1200" s="0" t="inlineStr">
        <is>
          <t>NULL</t>
        </is>
      </c>
      <c r="I1200" s="0" t="inlineStr">
        <is>
          <t>NULL</t>
        </is>
      </c>
      <c r="J1200" s="0" t="inlineStr">
        <is>
          <t>NULL</t>
        </is>
      </c>
      <c r="K1200" s="0" t="inlineStr">
        <is>
          <t>YES! 	 c_varbinary_8000列源备映射正确，源端为varbinary 8000位	期望更改为varbinary(n)	实际备端为varbinary 8000位</t>
        </is>
      </c>
    </row>
    <row r="1201">
      <c r="A1201" s="0" t="inlineStr">
        <is>
          <t>info_datetimeoffset_dml_batch1_pk_irp2</t>
        </is>
      </c>
      <c r="K1201" s="0" t="inlineStr">
        <is>
          <t>[0;34m info_datetimeoffset_dml_batch1_pk_irp2 [0m源备字段数相同，源端字段：9 	备端字段9</t>
        </is>
      </c>
      <c r="W1201" s="0" t="inlineStr">
        <is>
          <t>YES 源备无差异</t>
        </is>
      </c>
      <c r="X1201" s="0">
        <f>A1201</f>
        <v/>
      </c>
    </row>
    <row r="1202">
      <c r="B1202" s="0" t="inlineStr">
        <is>
          <t>YES</t>
        </is>
      </c>
      <c r="C1202" s="0" t="inlineStr">
        <is>
          <t>NULL</t>
        </is>
      </c>
      <c r="D1202" s="0" t="inlineStr">
        <is>
          <t>NULL</t>
        </is>
      </c>
      <c r="E1202" s="0" t="inlineStr">
        <is>
          <t>NULL</t>
        </is>
      </c>
      <c r="F1202" s="0" t="inlineStr">
        <is>
          <t>NULL</t>
        </is>
      </c>
      <c r="G1202" s="0" t="inlineStr">
        <is>
          <t>NULL</t>
        </is>
      </c>
      <c r="H1202" s="0" t="inlineStr">
        <is>
          <t>NULL</t>
        </is>
      </c>
      <c r="I1202" s="0" t="inlineStr">
        <is>
          <t>YES!PK__info_dat__3213E83F631E24C3</t>
        </is>
      </c>
      <c r="J1202" s="0" t="inlineStr">
        <is>
          <t>YES! 主键相关索引</t>
        </is>
      </c>
      <c r="K1202" s="0" t="inlineStr">
        <is>
          <t>YES! 	 id列源备映射正确，源端为int None位	期望更改为int	实际备端为int None位</t>
        </is>
      </c>
    </row>
    <row r="1203">
      <c r="B1203" s="0" t="inlineStr">
        <is>
          <t>NULL</t>
        </is>
      </c>
      <c r="C1203" s="0" t="inlineStr">
        <is>
          <t>NULL</t>
        </is>
      </c>
      <c r="D1203" s="0" t="inlineStr">
        <is>
          <t>NULL</t>
        </is>
      </c>
      <c r="E1203" s="0" t="inlineStr">
        <is>
          <t>NULL</t>
        </is>
      </c>
      <c r="F1203" s="0" t="inlineStr">
        <is>
          <t>NULL</t>
        </is>
      </c>
      <c r="G1203" s="0" t="inlineStr">
        <is>
          <t>NULL</t>
        </is>
      </c>
      <c r="H1203" s="0" t="inlineStr">
        <is>
          <t>NULL</t>
        </is>
      </c>
      <c r="I1203" s="0" t="inlineStr">
        <is>
          <t>NULL</t>
        </is>
      </c>
      <c r="J1203" s="0" t="inlineStr">
        <is>
          <t>NULL</t>
        </is>
      </c>
      <c r="K1203" s="0" t="inlineStr">
        <is>
          <t>no,len不存在</t>
        </is>
      </c>
    </row>
    <row r="1204">
      <c r="B1204" s="0" t="inlineStr">
        <is>
          <t>NULL</t>
        </is>
      </c>
      <c r="C1204" s="0" t="inlineStr">
        <is>
          <t>NULL</t>
        </is>
      </c>
      <c r="D1204" s="0" t="inlineStr">
        <is>
          <t>NULL</t>
        </is>
      </c>
      <c r="E1204" s="0" t="inlineStr">
        <is>
          <t>NULL</t>
        </is>
      </c>
      <c r="F1204" s="0" t="inlineStr">
        <is>
          <t>NULL</t>
        </is>
      </c>
      <c r="G1204" s="0" t="inlineStr">
        <is>
          <t>NULL</t>
        </is>
      </c>
      <c r="H1204" s="0" t="inlineStr">
        <is>
          <t>NULL</t>
        </is>
      </c>
      <c r="I1204" s="0" t="inlineStr">
        <is>
          <t>NULL</t>
        </is>
      </c>
      <c r="J1204" s="0" t="inlineStr">
        <is>
          <t>NULL</t>
        </is>
      </c>
      <c r="K1204" s="0" t="inlineStr">
        <is>
          <t>YES! 	 c_dtoffset_1列源备映射正确，源端为datetimeoffset None位	期望更改为datetimeoffset(n)	实际备端为datetimeoffset None位</t>
        </is>
      </c>
    </row>
    <row r="1205">
      <c r="B1205" s="0" t="inlineStr">
        <is>
          <t>NULL</t>
        </is>
      </c>
      <c r="C1205" s="0" t="inlineStr">
        <is>
          <t>NULL</t>
        </is>
      </c>
      <c r="D1205" s="0" t="inlineStr">
        <is>
          <t>NULL</t>
        </is>
      </c>
      <c r="E1205" s="0" t="inlineStr">
        <is>
          <t>NULL</t>
        </is>
      </c>
      <c r="F1205" s="0" t="inlineStr">
        <is>
          <t>NULL</t>
        </is>
      </c>
      <c r="G1205" s="0" t="inlineStr">
        <is>
          <t>NULL</t>
        </is>
      </c>
      <c r="H1205" s="0" t="inlineStr">
        <is>
          <t>NULL</t>
        </is>
      </c>
      <c r="I1205" s="0" t="inlineStr">
        <is>
          <t>NULL</t>
        </is>
      </c>
      <c r="J1205" s="0" t="inlineStr">
        <is>
          <t>NULL</t>
        </is>
      </c>
      <c r="K1205" s="0" t="inlineStr">
        <is>
          <t>YES! 	 c_dtoffset_2列源备映射正确，源端为datetimeoffset None位	期望更改为datetimeoffset(n)	实际备端为datetimeoffset None位</t>
        </is>
      </c>
    </row>
    <row r="1206">
      <c r="B1206" s="0" t="inlineStr">
        <is>
          <t>NULL</t>
        </is>
      </c>
      <c r="C1206" s="0" t="inlineStr">
        <is>
          <t>NULL</t>
        </is>
      </c>
      <c r="D1206" s="0" t="inlineStr">
        <is>
          <t>NULL</t>
        </is>
      </c>
      <c r="E1206" s="0" t="inlineStr">
        <is>
          <t>NULL</t>
        </is>
      </c>
      <c r="F1206" s="0" t="inlineStr">
        <is>
          <t>NULL</t>
        </is>
      </c>
      <c r="G1206" s="0" t="inlineStr">
        <is>
          <t>NULL</t>
        </is>
      </c>
      <c r="H1206" s="0" t="inlineStr">
        <is>
          <t>NULL</t>
        </is>
      </c>
      <c r="I1206" s="0" t="inlineStr">
        <is>
          <t>NULL</t>
        </is>
      </c>
      <c r="J1206" s="0" t="inlineStr">
        <is>
          <t>NULL</t>
        </is>
      </c>
      <c r="K1206" s="0" t="inlineStr">
        <is>
          <t>YES! 	 c_dtoffset_3列源备映射正确，源端为datetimeoffset None位	期望更改为datetimeoffset(n)	实际备端为datetimeoffset None位</t>
        </is>
      </c>
    </row>
    <row r="1207">
      <c r="B1207" s="0" t="inlineStr">
        <is>
          <t>NULL</t>
        </is>
      </c>
      <c r="C1207" s="0" t="inlineStr">
        <is>
          <t>NULL</t>
        </is>
      </c>
      <c r="D1207" s="0" t="inlineStr">
        <is>
          <t>NULL</t>
        </is>
      </c>
      <c r="E1207" s="0" t="inlineStr">
        <is>
          <t>NULL</t>
        </is>
      </c>
      <c r="F1207" s="0" t="inlineStr">
        <is>
          <t>NULL</t>
        </is>
      </c>
      <c r="G1207" s="0" t="inlineStr">
        <is>
          <t>NULL</t>
        </is>
      </c>
      <c r="H1207" s="0" t="inlineStr">
        <is>
          <t>NULL</t>
        </is>
      </c>
      <c r="I1207" s="0" t="inlineStr">
        <is>
          <t>NULL</t>
        </is>
      </c>
      <c r="J1207" s="0" t="inlineStr">
        <is>
          <t>NULL</t>
        </is>
      </c>
      <c r="K1207" s="0" t="inlineStr">
        <is>
          <t>YES! 	 c_dtoffset_4列源备映射正确，源端为datetimeoffset None位	期望更改为datetimeoffset(n)	实际备端为datetimeoffset None位</t>
        </is>
      </c>
    </row>
    <row r="1208">
      <c r="B1208" s="0" t="inlineStr">
        <is>
          <t>NULL</t>
        </is>
      </c>
      <c r="C1208" s="0" t="inlineStr">
        <is>
          <t>NULL</t>
        </is>
      </c>
      <c r="D1208" s="0" t="inlineStr">
        <is>
          <t>NULL</t>
        </is>
      </c>
      <c r="E1208" s="0" t="inlineStr">
        <is>
          <t>NULL</t>
        </is>
      </c>
      <c r="F1208" s="0" t="inlineStr">
        <is>
          <t>NULL</t>
        </is>
      </c>
      <c r="G1208" s="0" t="inlineStr">
        <is>
          <t>NULL</t>
        </is>
      </c>
      <c r="H1208" s="0" t="inlineStr">
        <is>
          <t>NULL</t>
        </is>
      </c>
      <c r="I1208" s="0" t="inlineStr">
        <is>
          <t>NULL</t>
        </is>
      </c>
      <c r="J1208" s="0" t="inlineStr">
        <is>
          <t>NULL</t>
        </is>
      </c>
      <c r="K1208" s="0" t="inlineStr">
        <is>
          <t>YES! 	 c_dtoffset_5列源备映射正确，源端为datetimeoffset None位	期望更改为datetimeoffset(n)	实际备端为datetimeoffset None位</t>
        </is>
      </c>
    </row>
    <row r="1209">
      <c r="B1209" s="0" t="inlineStr">
        <is>
          <t>NULL</t>
        </is>
      </c>
      <c r="C1209" s="0" t="inlineStr">
        <is>
          <t>NULL</t>
        </is>
      </c>
      <c r="D1209" s="0" t="inlineStr">
        <is>
          <t>NULL</t>
        </is>
      </c>
      <c r="E1209" s="0" t="inlineStr">
        <is>
          <t>NULL</t>
        </is>
      </c>
      <c r="F1209" s="0" t="inlineStr">
        <is>
          <t>NULL</t>
        </is>
      </c>
      <c r="G1209" s="0" t="inlineStr">
        <is>
          <t>NULL</t>
        </is>
      </c>
      <c r="H1209" s="0" t="inlineStr">
        <is>
          <t>NULL</t>
        </is>
      </c>
      <c r="I1209" s="0" t="inlineStr">
        <is>
          <t>NULL</t>
        </is>
      </c>
      <c r="J1209" s="0" t="inlineStr">
        <is>
          <t>NULL</t>
        </is>
      </c>
      <c r="K1209" s="0" t="inlineStr">
        <is>
          <t>YES! 	 c_dtoffset_6列源备映射正确，源端为datetimeoffset None位	期望更改为datetimeoffset(n)	实际备端为datetimeoffset None位</t>
        </is>
      </c>
    </row>
    <row r="1210">
      <c r="B1210" s="0" t="inlineStr">
        <is>
          <t>NULL</t>
        </is>
      </c>
      <c r="C1210" s="0" t="inlineStr">
        <is>
          <t>NULL</t>
        </is>
      </c>
      <c r="D1210" s="0" t="inlineStr">
        <is>
          <t>NULL</t>
        </is>
      </c>
      <c r="E1210" s="0" t="inlineStr">
        <is>
          <t>NULL</t>
        </is>
      </c>
      <c r="F1210" s="0" t="inlineStr">
        <is>
          <t>NULL</t>
        </is>
      </c>
      <c r="G1210" s="0" t="inlineStr">
        <is>
          <t>NULL</t>
        </is>
      </c>
      <c r="H1210" s="0" t="inlineStr">
        <is>
          <t>NULL</t>
        </is>
      </c>
      <c r="I1210" s="0" t="inlineStr">
        <is>
          <t>NULL</t>
        </is>
      </c>
      <c r="J1210" s="0" t="inlineStr">
        <is>
          <t>NULL</t>
        </is>
      </c>
      <c r="K1210" s="0" t="inlineStr">
        <is>
          <t>YES! 	 c_dtoffset列源备映射正确，源端为datetimeoffset None位	期望更改为datetimeoffset(n)	实际备端为datetimeoffset None位</t>
        </is>
      </c>
    </row>
    <row r="1211">
      <c r="A1211" s="0" t="inlineStr">
        <is>
          <t>info_date_dml_single_nopk</t>
        </is>
      </c>
      <c r="K1211" s="0" t="inlineStr">
        <is>
          <t>[0;34m info_date_dml_single_nopk [0m源备字段数相同，源端字段：2 	备端字段2</t>
        </is>
      </c>
      <c r="W1211" s="0" t="inlineStr">
        <is>
          <t>YES 源备无差异</t>
        </is>
      </c>
      <c r="X1211" s="0">
        <f>A1211</f>
        <v/>
      </c>
    </row>
    <row r="1212">
      <c r="B1212" s="0" t="inlineStr">
        <is>
          <t>NULL</t>
        </is>
      </c>
      <c r="C1212" s="0" t="inlineStr">
        <is>
          <t>NULL</t>
        </is>
      </c>
      <c r="D1212" s="0" t="inlineStr">
        <is>
          <t>NULL</t>
        </is>
      </c>
      <c r="E1212" s="0" t="inlineStr">
        <is>
          <t>NULL</t>
        </is>
      </c>
      <c r="F1212" s="0" t="inlineStr">
        <is>
          <t>NULL</t>
        </is>
      </c>
      <c r="G1212" s="0" t="inlineStr">
        <is>
          <t>NULL</t>
        </is>
      </c>
      <c r="H1212" s="0" t="inlineStr">
        <is>
          <t>NULL</t>
        </is>
      </c>
      <c r="I1212" s="0" t="inlineStr">
        <is>
          <t>NULL</t>
        </is>
      </c>
      <c r="J1212" s="0" t="inlineStr">
        <is>
          <t>NULL</t>
        </is>
      </c>
      <c r="K1212" s="0" t="inlineStr">
        <is>
          <t>YES! 	 id列源备映射正确，源端为int None位	期望更改为int	实际备端为int None位</t>
        </is>
      </c>
    </row>
    <row r="1213">
      <c r="B1213" s="0" t="inlineStr">
        <is>
          <t>NULL</t>
        </is>
      </c>
      <c r="C1213" s="0" t="inlineStr">
        <is>
          <t>NULL</t>
        </is>
      </c>
      <c r="D1213" s="0" t="inlineStr">
        <is>
          <t>NULL</t>
        </is>
      </c>
      <c r="E1213" s="0" t="inlineStr">
        <is>
          <t>NULL</t>
        </is>
      </c>
      <c r="F1213" s="0" t="inlineStr">
        <is>
          <t>NULL</t>
        </is>
      </c>
      <c r="G1213" s="0" t="inlineStr">
        <is>
          <t>NULL</t>
        </is>
      </c>
      <c r="H1213" s="0" t="inlineStr">
        <is>
          <t>NULL</t>
        </is>
      </c>
      <c r="I1213" s="0" t="inlineStr">
        <is>
          <t>NULL</t>
        </is>
      </c>
      <c r="J1213" s="0" t="inlineStr">
        <is>
          <t>NULL</t>
        </is>
      </c>
      <c r="K1213" s="0" t="inlineStr">
        <is>
          <t>YES! 	 c_date列源备映射正确，源端为date None位	期望更改为date	实际备端为date None位</t>
        </is>
      </c>
    </row>
    <row r="1214">
      <c r="A1214" s="0" t="inlineStr">
        <is>
          <t>info_nvarchar_dml_batch1_pk_drp1</t>
        </is>
      </c>
      <c r="K1214" s="0" t="inlineStr">
        <is>
          <t>[0;34m info_nvarchar_dml_batch1_pk_drp1 [0m源备字段数相同，源端字段：4 	备端字段4</t>
        </is>
      </c>
      <c r="W1214" s="0" t="inlineStr">
        <is>
          <t>YES 源备无差异</t>
        </is>
      </c>
      <c r="X1214" s="0">
        <f>A1214</f>
        <v/>
      </c>
    </row>
    <row r="1215">
      <c r="B1215" s="0" t="inlineStr">
        <is>
          <t>YES</t>
        </is>
      </c>
      <c r="C1215" s="0" t="inlineStr">
        <is>
          <t>NULL</t>
        </is>
      </c>
      <c r="D1215" s="0" t="inlineStr">
        <is>
          <t>NULL</t>
        </is>
      </c>
      <c r="E1215" s="0" t="inlineStr">
        <is>
          <t>NULL</t>
        </is>
      </c>
      <c r="F1215" s="0" t="inlineStr">
        <is>
          <t>NULL</t>
        </is>
      </c>
      <c r="G1215" s="0" t="inlineStr">
        <is>
          <t>NULL</t>
        </is>
      </c>
      <c r="H1215" s="0" t="inlineStr">
        <is>
          <t>NULL</t>
        </is>
      </c>
      <c r="I1215" s="0" t="inlineStr">
        <is>
          <t>YES!PK__info_nva__3213E83F3B807937</t>
        </is>
      </c>
      <c r="J1215" s="0" t="inlineStr">
        <is>
          <t>YES! 主键相关索引</t>
        </is>
      </c>
      <c r="K1215" s="0" t="inlineStr">
        <is>
          <t>YES! 	 id列源备映射正确，源端为int None位	期望更改为int	实际备端为int None位</t>
        </is>
      </c>
    </row>
    <row r="1216">
      <c r="B1216" s="0" t="inlineStr">
        <is>
          <t>NULL</t>
        </is>
      </c>
      <c r="C1216" s="0" t="inlineStr">
        <is>
          <t>NULL</t>
        </is>
      </c>
      <c r="D1216" s="0" t="inlineStr">
        <is>
          <t>NULL</t>
        </is>
      </c>
      <c r="E1216" s="0" t="inlineStr">
        <is>
          <t>NULL</t>
        </is>
      </c>
      <c r="F1216" s="0" t="inlineStr">
        <is>
          <t>NULL</t>
        </is>
      </c>
      <c r="G1216" s="0" t="inlineStr">
        <is>
          <t>NULL</t>
        </is>
      </c>
      <c r="H1216" s="0" t="inlineStr">
        <is>
          <t>NULL</t>
        </is>
      </c>
      <c r="I1216" s="0" t="inlineStr">
        <is>
          <t>NULL</t>
        </is>
      </c>
      <c r="J1216" s="0" t="inlineStr">
        <is>
          <t>NULL</t>
        </is>
      </c>
      <c r="K1216" s="0" t="inlineStr">
        <is>
          <t>YES! 	 c_nvarchar列源备映射正确，源端为nvarchar 2位	期望更改为nvarchar(n)	实际备端为nvarchar 2位</t>
        </is>
      </c>
    </row>
    <row r="1217">
      <c r="B1217" s="0" t="inlineStr">
        <is>
          <t>NULL</t>
        </is>
      </c>
      <c r="C1217" s="0" t="inlineStr">
        <is>
          <t>NULL</t>
        </is>
      </c>
      <c r="D1217" s="0" t="inlineStr">
        <is>
          <t>NULL</t>
        </is>
      </c>
      <c r="E1217" s="0" t="inlineStr">
        <is>
          <t>NULL</t>
        </is>
      </c>
      <c r="F1217" s="0" t="inlineStr">
        <is>
          <t>NULL</t>
        </is>
      </c>
      <c r="G1217" s="0" t="inlineStr">
        <is>
          <t>NULL</t>
        </is>
      </c>
      <c r="H1217" s="0" t="inlineStr">
        <is>
          <t>NULL</t>
        </is>
      </c>
      <c r="I1217" s="0" t="inlineStr">
        <is>
          <t>NULL</t>
        </is>
      </c>
      <c r="J1217" s="0" t="inlineStr">
        <is>
          <t>NULL</t>
        </is>
      </c>
      <c r="K1217" s="0" t="inlineStr">
        <is>
          <t>YES! 	 c_nvarchar20列源备映射正确，源端为nvarchar 40位	期望更改为nvarchar(n)	实际备端为nvarchar 40位</t>
        </is>
      </c>
    </row>
    <row r="1218">
      <c r="B1218" s="0" t="inlineStr">
        <is>
          <t>NULL</t>
        </is>
      </c>
      <c r="C1218" s="0" t="inlineStr">
        <is>
          <t>NULL</t>
        </is>
      </c>
      <c r="D1218" s="0" t="inlineStr">
        <is>
          <t>NULL</t>
        </is>
      </c>
      <c r="E1218" s="0" t="inlineStr">
        <is>
          <t>NULL</t>
        </is>
      </c>
      <c r="F1218" s="0" t="inlineStr">
        <is>
          <t>NULL</t>
        </is>
      </c>
      <c r="G1218" s="0" t="inlineStr">
        <is>
          <t>NULL</t>
        </is>
      </c>
      <c r="H1218" s="0" t="inlineStr">
        <is>
          <t>NULL</t>
        </is>
      </c>
      <c r="I1218" s="0" t="inlineStr">
        <is>
          <t>NULL</t>
        </is>
      </c>
      <c r="J1218" s="0" t="inlineStr">
        <is>
          <t>NULL</t>
        </is>
      </c>
      <c r="K1218" s="0" t="inlineStr">
        <is>
          <t>YES! 	 c_nvarchar3500列源备映射正确，源端为nvarchar 7000位	期望更改为nvarchar(n)	实际备端为nvarchar 7000位</t>
        </is>
      </c>
    </row>
    <row r="1219">
      <c r="K1219" s="0" t="inlineStr">
        <is>
          <t>~ 空表</t>
        </is>
      </c>
    </row>
    <row r="1220">
      <c r="A1220" s="0" t="inlineStr">
        <is>
          <t>info_datetime_dml_single_pk</t>
        </is>
      </c>
      <c r="K1220" s="0" t="inlineStr">
        <is>
          <t>[0;34m info_datetime_dml_single_pk [0m源备字段数相同，源端字段：2 	备端字段2</t>
        </is>
      </c>
      <c r="W1220" s="0" t="inlineStr">
        <is>
          <t>YES 源备无差异</t>
        </is>
      </c>
      <c r="X1220" s="0">
        <f>A1220</f>
        <v/>
      </c>
    </row>
    <row r="1221">
      <c r="B1221" s="0" t="inlineStr">
        <is>
          <t>YES</t>
        </is>
      </c>
      <c r="C1221" s="0" t="inlineStr">
        <is>
          <t>NULL</t>
        </is>
      </c>
      <c r="D1221" s="0" t="inlineStr">
        <is>
          <t>NULL</t>
        </is>
      </c>
      <c r="E1221" s="0" t="inlineStr">
        <is>
          <t>NULL</t>
        </is>
      </c>
      <c r="F1221" s="0" t="inlineStr">
        <is>
          <t>NULL</t>
        </is>
      </c>
      <c r="G1221" s="0" t="inlineStr">
        <is>
          <t>NULL</t>
        </is>
      </c>
      <c r="H1221" s="0" t="inlineStr">
        <is>
          <t>NULL</t>
        </is>
      </c>
      <c r="I1221" s="0" t="inlineStr">
        <is>
          <t>YES!PK__info_dat__3213E83FFC8EEB2A</t>
        </is>
      </c>
      <c r="J1221" s="0" t="inlineStr">
        <is>
          <t>YES! 主键相关索引</t>
        </is>
      </c>
      <c r="K1221" s="0" t="inlineStr">
        <is>
          <t>YES! 	 id列源备映射正确，源端为int None位	期望更改为int	实际备端为int None位</t>
        </is>
      </c>
    </row>
    <row r="1222">
      <c r="B1222" s="0" t="inlineStr">
        <is>
          <t>NULL</t>
        </is>
      </c>
      <c r="C1222" s="0" t="inlineStr">
        <is>
          <t>NULL</t>
        </is>
      </c>
      <c r="D1222" s="0" t="inlineStr">
        <is>
          <t>NULL</t>
        </is>
      </c>
      <c r="E1222" s="0" t="inlineStr">
        <is>
          <t>NULL</t>
        </is>
      </c>
      <c r="F1222" s="0" t="inlineStr">
        <is>
          <t>NULL</t>
        </is>
      </c>
      <c r="G1222" s="0" t="inlineStr">
        <is>
          <t>NULL</t>
        </is>
      </c>
      <c r="H1222" s="0" t="inlineStr">
        <is>
          <t>NULL</t>
        </is>
      </c>
      <c r="I1222" s="0" t="inlineStr">
        <is>
          <t>NULL</t>
        </is>
      </c>
      <c r="J1222" s="0" t="inlineStr">
        <is>
          <t>NULL</t>
        </is>
      </c>
      <c r="K1222" s="0" t="inlineStr">
        <is>
          <t>YES! 	 c_datetime列源备映射正确，源端为datetime None位	期望更改为datetime	实际备端为datetime None位</t>
        </is>
      </c>
    </row>
    <row r="1223">
      <c r="A1223" s="0" t="inlineStr">
        <is>
          <t>info_varbinary_dml_single_nopk_drp</t>
        </is>
      </c>
      <c r="K1223" s="0" t="inlineStr">
        <is>
          <t>[0;34m info_varbinary_dml_single_nopk_drp [0m源备字段数相同，源端字段：4 	备端字段4</t>
        </is>
      </c>
      <c r="W1223" s="0" t="inlineStr">
        <is>
          <t>YES 源备无差异</t>
        </is>
      </c>
      <c r="X1223" s="0">
        <f>A1223</f>
        <v/>
      </c>
    </row>
    <row r="1224">
      <c r="B1224" s="0" t="inlineStr">
        <is>
          <t>NULL</t>
        </is>
      </c>
      <c r="C1224" s="0" t="inlineStr">
        <is>
          <t>NULL</t>
        </is>
      </c>
      <c r="D1224" s="0" t="inlineStr">
        <is>
          <t>NULL</t>
        </is>
      </c>
      <c r="E1224" s="0" t="inlineStr">
        <is>
          <t>NULL</t>
        </is>
      </c>
      <c r="F1224" s="0" t="inlineStr">
        <is>
          <t>NULL</t>
        </is>
      </c>
      <c r="G1224" s="0" t="inlineStr">
        <is>
          <t>NULL</t>
        </is>
      </c>
      <c r="H1224" s="0" t="inlineStr">
        <is>
          <t>NULL</t>
        </is>
      </c>
      <c r="I1224" s="0" t="inlineStr">
        <is>
          <t>NULL</t>
        </is>
      </c>
      <c r="J1224" s="0" t="inlineStr">
        <is>
          <t>NULL</t>
        </is>
      </c>
      <c r="K1224" s="0" t="inlineStr">
        <is>
          <t>YES! 	 id列源备映射正确，源端为int None位	期望更改为int	实际备端为int None位</t>
        </is>
      </c>
    </row>
    <row r="1225">
      <c r="B1225" s="0" t="inlineStr">
        <is>
          <t>NULL</t>
        </is>
      </c>
      <c r="C1225" s="0" t="inlineStr">
        <is>
          <t>NULL</t>
        </is>
      </c>
      <c r="D1225" s="0" t="inlineStr">
        <is>
          <t>NULL</t>
        </is>
      </c>
      <c r="E1225" s="0" t="inlineStr">
        <is>
          <t>NULL</t>
        </is>
      </c>
      <c r="F1225" s="0" t="inlineStr">
        <is>
          <t>NULL</t>
        </is>
      </c>
      <c r="G1225" s="0" t="inlineStr">
        <is>
          <t>NULL</t>
        </is>
      </c>
      <c r="H1225" s="0" t="inlineStr">
        <is>
          <t>NULL</t>
        </is>
      </c>
      <c r="I1225" s="0" t="inlineStr">
        <is>
          <t>NULL</t>
        </is>
      </c>
      <c r="J1225" s="0" t="inlineStr">
        <is>
          <t>NULL</t>
        </is>
      </c>
      <c r="K1225" s="0" t="inlineStr">
        <is>
          <t>YES! 	 c_varbinary列源备映射正确，源端为varbinary 1位	期望更改为varbinary(n)	实际备端为varbinary 1位</t>
        </is>
      </c>
    </row>
    <row r="1226">
      <c r="B1226" s="0" t="inlineStr">
        <is>
          <t>NULL</t>
        </is>
      </c>
      <c r="C1226" s="0" t="inlineStr">
        <is>
          <t>NULL</t>
        </is>
      </c>
      <c r="D1226" s="0" t="inlineStr">
        <is>
          <t>NULL</t>
        </is>
      </c>
      <c r="E1226" s="0" t="inlineStr">
        <is>
          <t>NULL</t>
        </is>
      </c>
      <c r="F1226" s="0" t="inlineStr">
        <is>
          <t>NULL</t>
        </is>
      </c>
      <c r="G1226" s="0" t="inlineStr">
        <is>
          <t>NULL</t>
        </is>
      </c>
      <c r="H1226" s="0" t="inlineStr">
        <is>
          <t>NULL</t>
        </is>
      </c>
      <c r="I1226" s="0" t="inlineStr">
        <is>
          <t>NULL</t>
        </is>
      </c>
      <c r="J1226" s="0" t="inlineStr">
        <is>
          <t>NULL</t>
        </is>
      </c>
      <c r="K1226" s="0" t="inlineStr">
        <is>
          <t>YES! 	 c_varbinary_100列源备映射正确，源端为varbinary 100位	期望更改为varbinary(n)	实际备端为varbinary 100位</t>
        </is>
      </c>
    </row>
    <row r="1227">
      <c r="B1227" s="0" t="inlineStr">
        <is>
          <t>NULL</t>
        </is>
      </c>
      <c r="C1227" s="0" t="inlineStr">
        <is>
          <t>NULL</t>
        </is>
      </c>
      <c r="D1227" s="0" t="inlineStr">
        <is>
          <t>NULL</t>
        </is>
      </c>
      <c r="E1227" s="0" t="inlineStr">
        <is>
          <t>NULL</t>
        </is>
      </c>
      <c r="F1227" s="0" t="inlineStr">
        <is>
          <t>NULL</t>
        </is>
      </c>
      <c r="G1227" s="0" t="inlineStr">
        <is>
          <t>NULL</t>
        </is>
      </c>
      <c r="H1227" s="0" t="inlineStr">
        <is>
          <t>NULL</t>
        </is>
      </c>
      <c r="I1227" s="0" t="inlineStr">
        <is>
          <t>NULL</t>
        </is>
      </c>
      <c r="J1227" s="0" t="inlineStr">
        <is>
          <t>NULL</t>
        </is>
      </c>
      <c r="K1227" s="0" t="inlineStr">
        <is>
          <t>YES! 	 c_varbinary_8000列源备映射正确，源端为varbinary 8000位	期望更改为varbinary(n)	实际备端为varbinary 8000位</t>
        </is>
      </c>
    </row>
    <row r="1228">
      <c r="A1228" s="0" t="inlineStr">
        <is>
          <t>info_time_dml_single_nopk_irp</t>
        </is>
      </c>
      <c r="K1228" s="0" t="inlineStr">
        <is>
          <t>[0;34m info_time_dml_single_nopk_irp [0m源备字段数相同，源端字段：9 	备端字段9</t>
        </is>
      </c>
      <c r="W1228" s="0" t="inlineStr">
        <is>
          <t>YES 源备无差异</t>
        </is>
      </c>
      <c r="X1228" s="0">
        <f>A1228</f>
        <v/>
      </c>
    </row>
    <row r="1229">
      <c r="B1229" s="0" t="inlineStr">
        <is>
          <t>NULL</t>
        </is>
      </c>
      <c r="C1229" s="0" t="inlineStr">
        <is>
          <t>NULL</t>
        </is>
      </c>
      <c r="D1229" s="0" t="inlineStr">
        <is>
          <t>NULL</t>
        </is>
      </c>
      <c r="E1229" s="0" t="inlineStr">
        <is>
          <t>NULL</t>
        </is>
      </c>
      <c r="F1229" s="0" t="inlineStr">
        <is>
          <t>NULL</t>
        </is>
      </c>
      <c r="G1229" s="0" t="inlineStr">
        <is>
          <t>NULL</t>
        </is>
      </c>
      <c r="H1229" s="0" t="inlineStr">
        <is>
          <t>NULL</t>
        </is>
      </c>
      <c r="I1229" s="0" t="inlineStr">
        <is>
          <t>NULL</t>
        </is>
      </c>
      <c r="J1229" s="0" t="inlineStr">
        <is>
          <t>NULL</t>
        </is>
      </c>
      <c r="K1229" s="0" t="inlineStr">
        <is>
          <t>YES! 	 id列源备映射正确，源端为int None位	期望更改为int	实际备端为int None位</t>
        </is>
      </c>
    </row>
    <row r="1230">
      <c r="B1230" s="0" t="inlineStr">
        <is>
          <t>NULL</t>
        </is>
      </c>
      <c r="C1230" s="0" t="inlineStr">
        <is>
          <t>NULL</t>
        </is>
      </c>
      <c r="D1230" s="0" t="inlineStr">
        <is>
          <t>NULL</t>
        </is>
      </c>
      <c r="E1230" s="0" t="inlineStr">
        <is>
          <t>NULL</t>
        </is>
      </c>
      <c r="F1230" s="0" t="inlineStr">
        <is>
          <t>NULL</t>
        </is>
      </c>
      <c r="G1230" s="0" t="inlineStr">
        <is>
          <t>NULL</t>
        </is>
      </c>
      <c r="H1230" s="0" t="inlineStr">
        <is>
          <t>NULL</t>
        </is>
      </c>
      <c r="I1230" s="0" t="inlineStr">
        <is>
          <t>NULL</t>
        </is>
      </c>
      <c r="J1230" s="0" t="inlineStr">
        <is>
          <t>NULL</t>
        </is>
      </c>
      <c r="K1230" s="0" t="inlineStr">
        <is>
          <t>no,len不存在</t>
        </is>
      </c>
    </row>
    <row r="1231">
      <c r="B1231" s="0" t="inlineStr">
        <is>
          <t>NULL</t>
        </is>
      </c>
      <c r="C1231" s="0" t="inlineStr">
        <is>
          <t>NULL</t>
        </is>
      </c>
      <c r="D1231" s="0" t="inlineStr">
        <is>
          <t>NULL</t>
        </is>
      </c>
      <c r="E1231" s="0" t="inlineStr">
        <is>
          <t>NULL</t>
        </is>
      </c>
      <c r="F1231" s="0" t="inlineStr">
        <is>
          <t>NULL</t>
        </is>
      </c>
      <c r="G1231" s="0" t="inlineStr">
        <is>
          <t>NULL</t>
        </is>
      </c>
      <c r="H1231" s="0" t="inlineStr">
        <is>
          <t>NULL</t>
        </is>
      </c>
      <c r="I1231" s="0" t="inlineStr">
        <is>
          <t>NULL</t>
        </is>
      </c>
      <c r="J1231" s="0" t="inlineStr">
        <is>
          <t>NULL</t>
        </is>
      </c>
      <c r="K1231" s="0" t="inlineStr">
        <is>
          <t>YES! 	 c_time1列源备映射正确，源端为time None位	期望更改为time(n)	实际备端为time None位</t>
        </is>
      </c>
    </row>
    <row r="1232">
      <c r="B1232" s="0" t="inlineStr">
        <is>
          <t>NULL</t>
        </is>
      </c>
      <c r="C1232" s="0" t="inlineStr">
        <is>
          <t>NULL</t>
        </is>
      </c>
      <c r="D1232" s="0" t="inlineStr">
        <is>
          <t>NULL</t>
        </is>
      </c>
      <c r="E1232" s="0" t="inlineStr">
        <is>
          <t>NULL</t>
        </is>
      </c>
      <c r="F1232" s="0" t="inlineStr">
        <is>
          <t>NULL</t>
        </is>
      </c>
      <c r="G1232" s="0" t="inlineStr">
        <is>
          <t>NULL</t>
        </is>
      </c>
      <c r="H1232" s="0" t="inlineStr">
        <is>
          <t>NULL</t>
        </is>
      </c>
      <c r="I1232" s="0" t="inlineStr">
        <is>
          <t>NULL</t>
        </is>
      </c>
      <c r="J1232" s="0" t="inlineStr">
        <is>
          <t>NULL</t>
        </is>
      </c>
      <c r="K1232" s="0" t="inlineStr">
        <is>
          <t>YES! 	 c_time2列源备映射正确，源端为time None位	期望更改为time(n)	实际备端为time None位</t>
        </is>
      </c>
    </row>
    <row r="1233">
      <c r="B1233" s="0" t="inlineStr">
        <is>
          <t>NULL</t>
        </is>
      </c>
      <c r="C1233" s="0" t="inlineStr">
        <is>
          <t>NULL</t>
        </is>
      </c>
      <c r="D1233" s="0" t="inlineStr">
        <is>
          <t>NULL</t>
        </is>
      </c>
      <c r="E1233" s="0" t="inlineStr">
        <is>
          <t>NULL</t>
        </is>
      </c>
      <c r="F1233" s="0" t="inlineStr">
        <is>
          <t>NULL</t>
        </is>
      </c>
      <c r="G1233" s="0" t="inlineStr">
        <is>
          <t>NULL</t>
        </is>
      </c>
      <c r="H1233" s="0" t="inlineStr">
        <is>
          <t>NULL</t>
        </is>
      </c>
      <c r="I1233" s="0" t="inlineStr">
        <is>
          <t>NULL</t>
        </is>
      </c>
      <c r="J1233" s="0" t="inlineStr">
        <is>
          <t>NULL</t>
        </is>
      </c>
      <c r="K1233" s="0" t="inlineStr">
        <is>
          <t>YES! 	 c_time3列源备映射正确，源端为time None位	期望更改为time(n)	实际备端为time None位</t>
        </is>
      </c>
    </row>
    <row r="1234">
      <c r="B1234" s="0" t="inlineStr">
        <is>
          <t>NULL</t>
        </is>
      </c>
      <c r="C1234" s="0" t="inlineStr">
        <is>
          <t>NULL</t>
        </is>
      </c>
      <c r="D1234" s="0" t="inlineStr">
        <is>
          <t>NULL</t>
        </is>
      </c>
      <c r="E1234" s="0" t="inlineStr">
        <is>
          <t>NULL</t>
        </is>
      </c>
      <c r="F1234" s="0" t="inlineStr">
        <is>
          <t>NULL</t>
        </is>
      </c>
      <c r="G1234" s="0" t="inlineStr">
        <is>
          <t>NULL</t>
        </is>
      </c>
      <c r="H1234" s="0" t="inlineStr">
        <is>
          <t>NULL</t>
        </is>
      </c>
      <c r="I1234" s="0" t="inlineStr">
        <is>
          <t>NULL</t>
        </is>
      </c>
      <c r="J1234" s="0" t="inlineStr">
        <is>
          <t>NULL</t>
        </is>
      </c>
      <c r="K1234" s="0" t="inlineStr">
        <is>
          <t>YES! 	 c_time4列源备映射正确，源端为time None位	期望更改为time(n)	实际备端为time None位</t>
        </is>
      </c>
    </row>
    <row r="1235">
      <c r="B1235" s="0" t="inlineStr">
        <is>
          <t>NULL</t>
        </is>
      </c>
      <c r="C1235" s="0" t="inlineStr">
        <is>
          <t>NULL</t>
        </is>
      </c>
      <c r="D1235" s="0" t="inlineStr">
        <is>
          <t>NULL</t>
        </is>
      </c>
      <c r="E1235" s="0" t="inlineStr">
        <is>
          <t>NULL</t>
        </is>
      </c>
      <c r="F1235" s="0" t="inlineStr">
        <is>
          <t>NULL</t>
        </is>
      </c>
      <c r="G1235" s="0" t="inlineStr">
        <is>
          <t>NULL</t>
        </is>
      </c>
      <c r="H1235" s="0" t="inlineStr">
        <is>
          <t>NULL</t>
        </is>
      </c>
      <c r="I1235" s="0" t="inlineStr">
        <is>
          <t>NULL</t>
        </is>
      </c>
      <c r="J1235" s="0" t="inlineStr">
        <is>
          <t>NULL</t>
        </is>
      </c>
      <c r="K1235" s="0" t="inlineStr">
        <is>
          <t>YES! 	 c_time5列源备映射正确，源端为time None位	期望更改为time(n)	实际备端为time None位</t>
        </is>
      </c>
    </row>
    <row r="1236">
      <c r="B1236" s="0" t="inlineStr">
        <is>
          <t>NULL</t>
        </is>
      </c>
      <c r="C1236" s="0" t="inlineStr">
        <is>
          <t>NULL</t>
        </is>
      </c>
      <c r="D1236" s="0" t="inlineStr">
        <is>
          <t>NULL</t>
        </is>
      </c>
      <c r="E1236" s="0" t="inlineStr">
        <is>
          <t>NULL</t>
        </is>
      </c>
      <c r="F1236" s="0" t="inlineStr">
        <is>
          <t>NULL</t>
        </is>
      </c>
      <c r="G1236" s="0" t="inlineStr">
        <is>
          <t>NULL</t>
        </is>
      </c>
      <c r="H1236" s="0" t="inlineStr">
        <is>
          <t>NULL</t>
        </is>
      </c>
      <c r="I1236" s="0" t="inlineStr">
        <is>
          <t>NULL</t>
        </is>
      </c>
      <c r="J1236" s="0" t="inlineStr">
        <is>
          <t>NULL</t>
        </is>
      </c>
      <c r="K1236" s="0" t="inlineStr">
        <is>
          <t>YES! 	 c_time6列源备映射正确，源端为time None位	期望更改为time(n)	实际备端为time None位</t>
        </is>
      </c>
    </row>
    <row r="1237">
      <c r="B1237" s="0" t="inlineStr">
        <is>
          <t>NULL</t>
        </is>
      </c>
      <c r="C1237" s="0" t="inlineStr">
        <is>
          <t>NULL</t>
        </is>
      </c>
      <c r="D1237" s="0" t="inlineStr">
        <is>
          <t>NULL</t>
        </is>
      </c>
      <c r="E1237" s="0" t="inlineStr">
        <is>
          <t>NULL</t>
        </is>
      </c>
      <c r="F1237" s="0" t="inlineStr">
        <is>
          <t>NULL</t>
        </is>
      </c>
      <c r="G1237" s="0" t="inlineStr">
        <is>
          <t>NULL</t>
        </is>
      </c>
      <c r="H1237" s="0" t="inlineStr">
        <is>
          <t>NULL</t>
        </is>
      </c>
      <c r="I1237" s="0" t="inlineStr">
        <is>
          <t>NULL</t>
        </is>
      </c>
      <c r="J1237" s="0" t="inlineStr">
        <is>
          <t>NULL</t>
        </is>
      </c>
      <c r="K1237" s="0" t="inlineStr">
        <is>
          <t>YES! 	 c_time列源备映射正确，源端为time None位	期望更改为time(n)	实际备端为time None位</t>
        </is>
      </c>
    </row>
    <row r="1238">
      <c r="A1238" s="0" t="inlineStr">
        <is>
          <t>info_datetimeoffset_dml_batch2_pk_irp1</t>
        </is>
      </c>
      <c r="K1238" s="0" t="inlineStr">
        <is>
          <t>[0;34m info_datetimeoffset_dml_batch2_pk_irp1 [0m源备字段数相同，源端字段：9 	备端字段9</t>
        </is>
      </c>
      <c r="W1238" s="0" t="inlineStr">
        <is>
          <t>YES 源备无差异</t>
        </is>
      </c>
      <c r="X1238" s="0">
        <f>A1238</f>
        <v/>
      </c>
    </row>
    <row r="1239">
      <c r="B1239" s="0" t="inlineStr">
        <is>
          <t>YES</t>
        </is>
      </c>
      <c r="C1239" s="0" t="inlineStr">
        <is>
          <t>NULL</t>
        </is>
      </c>
      <c r="D1239" s="0" t="inlineStr">
        <is>
          <t>NULL</t>
        </is>
      </c>
      <c r="E1239" s="0" t="inlineStr">
        <is>
          <t>NULL</t>
        </is>
      </c>
      <c r="F1239" s="0" t="inlineStr">
        <is>
          <t>NULL</t>
        </is>
      </c>
      <c r="G1239" s="0" t="inlineStr">
        <is>
          <t>NULL</t>
        </is>
      </c>
      <c r="H1239" s="0" t="inlineStr">
        <is>
          <t>NULL</t>
        </is>
      </c>
      <c r="I1239" s="0" t="inlineStr">
        <is>
          <t>YES!PK__info_dat__3213E83FCC9DEC18</t>
        </is>
      </c>
      <c r="J1239" s="0" t="inlineStr">
        <is>
          <t>YES! 主键相关索引</t>
        </is>
      </c>
      <c r="K1239" s="0" t="inlineStr">
        <is>
          <t>YES! 	 id列源备映射正确，源端为int None位	期望更改为int	实际备端为int None位</t>
        </is>
      </c>
    </row>
    <row r="1240">
      <c r="B1240" s="0" t="inlineStr">
        <is>
          <t>NULL</t>
        </is>
      </c>
      <c r="C1240" s="0" t="inlineStr">
        <is>
          <t>NULL</t>
        </is>
      </c>
      <c r="D1240" s="0" t="inlineStr">
        <is>
          <t>NULL</t>
        </is>
      </c>
      <c r="E1240" s="0" t="inlineStr">
        <is>
          <t>NULL</t>
        </is>
      </c>
      <c r="F1240" s="0" t="inlineStr">
        <is>
          <t>NULL</t>
        </is>
      </c>
      <c r="G1240" s="0" t="inlineStr">
        <is>
          <t>NULL</t>
        </is>
      </c>
      <c r="H1240" s="0" t="inlineStr">
        <is>
          <t>NULL</t>
        </is>
      </c>
      <c r="I1240" s="0" t="inlineStr">
        <is>
          <t>NULL</t>
        </is>
      </c>
      <c r="J1240" s="0" t="inlineStr">
        <is>
          <t>NULL</t>
        </is>
      </c>
      <c r="K1240" s="0" t="inlineStr">
        <is>
          <t>no,len不存在</t>
        </is>
      </c>
    </row>
    <row r="1241">
      <c r="B1241" s="0" t="inlineStr">
        <is>
          <t>NULL</t>
        </is>
      </c>
      <c r="C1241" s="0" t="inlineStr">
        <is>
          <t>NULL</t>
        </is>
      </c>
      <c r="D1241" s="0" t="inlineStr">
        <is>
          <t>NULL</t>
        </is>
      </c>
      <c r="E1241" s="0" t="inlineStr">
        <is>
          <t>NULL</t>
        </is>
      </c>
      <c r="F1241" s="0" t="inlineStr">
        <is>
          <t>NULL</t>
        </is>
      </c>
      <c r="G1241" s="0" t="inlineStr">
        <is>
          <t>NULL</t>
        </is>
      </c>
      <c r="H1241" s="0" t="inlineStr">
        <is>
          <t>NULL</t>
        </is>
      </c>
      <c r="I1241" s="0" t="inlineStr">
        <is>
          <t>NULL</t>
        </is>
      </c>
      <c r="J1241" s="0" t="inlineStr">
        <is>
          <t>NULL</t>
        </is>
      </c>
      <c r="K1241" s="0" t="inlineStr">
        <is>
          <t>YES! 	 c_dtoffset_1列源备映射正确，源端为datetimeoffset None位	期望更改为datetimeoffset(n)	实际备端为datetimeoffset None位</t>
        </is>
      </c>
    </row>
    <row r="1242">
      <c r="B1242" s="0" t="inlineStr">
        <is>
          <t>NULL</t>
        </is>
      </c>
      <c r="C1242" s="0" t="inlineStr">
        <is>
          <t>NULL</t>
        </is>
      </c>
      <c r="D1242" s="0" t="inlineStr">
        <is>
          <t>NULL</t>
        </is>
      </c>
      <c r="E1242" s="0" t="inlineStr">
        <is>
          <t>NULL</t>
        </is>
      </c>
      <c r="F1242" s="0" t="inlineStr">
        <is>
          <t>NULL</t>
        </is>
      </c>
      <c r="G1242" s="0" t="inlineStr">
        <is>
          <t>NULL</t>
        </is>
      </c>
      <c r="H1242" s="0" t="inlineStr">
        <is>
          <t>NULL</t>
        </is>
      </c>
      <c r="I1242" s="0" t="inlineStr">
        <is>
          <t>NULL</t>
        </is>
      </c>
      <c r="J1242" s="0" t="inlineStr">
        <is>
          <t>NULL</t>
        </is>
      </c>
      <c r="K1242" s="0" t="inlineStr">
        <is>
          <t>YES! 	 c_dtoffset_2列源备映射正确，源端为datetimeoffset None位	期望更改为datetimeoffset(n)	实际备端为datetimeoffset None位</t>
        </is>
      </c>
    </row>
    <row r="1243">
      <c r="B1243" s="0" t="inlineStr">
        <is>
          <t>NULL</t>
        </is>
      </c>
      <c r="C1243" s="0" t="inlineStr">
        <is>
          <t>NULL</t>
        </is>
      </c>
      <c r="D1243" s="0" t="inlineStr">
        <is>
          <t>NULL</t>
        </is>
      </c>
      <c r="E1243" s="0" t="inlineStr">
        <is>
          <t>NULL</t>
        </is>
      </c>
      <c r="F1243" s="0" t="inlineStr">
        <is>
          <t>NULL</t>
        </is>
      </c>
      <c r="G1243" s="0" t="inlineStr">
        <is>
          <t>NULL</t>
        </is>
      </c>
      <c r="H1243" s="0" t="inlineStr">
        <is>
          <t>NULL</t>
        </is>
      </c>
      <c r="I1243" s="0" t="inlineStr">
        <is>
          <t>NULL</t>
        </is>
      </c>
      <c r="J1243" s="0" t="inlineStr">
        <is>
          <t>NULL</t>
        </is>
      </c>
      <c r="K1243" s="0" t="inlineStr">
        <is>
          <t>YES! 	 c_dtoffset_3列源备映射正确，源端为datetimeoffset None位	期望更改为datetimeoffset(n)	实际备端为datetimeoffset None位</t>
        </is>
      </c>
    </row>
    <row r="1244">
      <c r="B1244" s="0" t="inlineStr">
        <is>
          <t>NULL</t>
        </is>
      </c>
      <c r="C1244" s="0" t="inlineStr">
        <is>
          <t>NULL</t>
        </is>
      </c>
      <c r="D1244" s="0" t="inlineStr">
        <is>
          <t>NULL</t>
        </is>
      </c>
      <c r="E1244" s="0" t="inlineStr">
        <is>
          <t>NULL</t>
        </is>
      </c>
      <c r="F1244" s="0" t="inlineStr">
        <is>
          <t>NULL</t>
        </is>
      </c>
      <c r="G1244" s="0" t="inlineStr">
        <is>
          <t>NULL</t>
        </is>
      </c>
      <c r="H1244" s="0" t="inlineStr">
        <is>
          <t>NULL</t>
        </is>
      </c>
      <c r="I1244" s="0" t="inlineStr">
        <is>
          <t>NULL</t>
        </is>
      </c>
      <c r="J1244" s="0" t="inlineStr">
        <is>
          <t>NULL</t>
        </is>
      </c>
      <c r="K1244" s="0" t="inlineStr">
        <is>
          <t>YES! 	 c_dtoffset_4列源备映射正确，源端为datetimeoffset None位	期望更改为datetimeoffset(n)	实际备端为datetimeoffset None位</t>
        </is>
      </c>
    </row>
    <row r="1245">
      <c r="B1245" s="0" t="inlineStr">
        <is>
          <t>NULL</t>
        </is>
      </c>
      <c r="C1245" s="0" t="inlineStr">
        <is>
          <t>NULL</t>
        </is>
      </c>
      <c r="D1245" s="0" t="inlineStr">
        <is>
          <t>NULL</t>
        </is>
      </c>
      <c r="E1245" s="0" t="inlineStr">
        <is>
          <t>NULL</t>
        </is>
      </c>
      <c r="F1245" s="0" t="inlineStr">
        <is>
          <t>NULL</t>
        </is>
      </c>
      <c r="G1245" s="0" t="inlineStr">
        <is>
          <t>NULL</t>
        </is>
      </c>
      <c r="H1245" s="0" t="inlineStr">
        <is>
          <t>NULL</t>
        </is>
      </c>
      <c r="I1245" s="0" t="inlineStr">
        <is>
          <t>NULL</t>
        </is>
      </c>
      <c r="J1245" s="0" t="inlineStr">
        <is>
          <t>NULL</t>
        </is>
      </c>
      <c r="K1245" s="0" t="inlineStr">
        <is>
          <t>YES! 	 c_dtoffset_5列源备映射正确，源端为datetimeoffset None位	期望更改为datetimeoffset(n)	实际备端为datetimeoffset None位</t>
        </is>
      </c>
    </row>
    <row r="1246">
      <c r="B1246" s="0" t="inlineStr">
        <is>
          <t>NULL</t>
        </is>
      </c>
      <c r="C1246" s="0" t="inlineStr">
        <is>
          <t>NULL</t>
        </is>
      </c>
      <c r="D1246" s="0" t="inlineStr">
        <is>
          <t>NULL</t>
        </is>
      </c>
      <c r="E1246" s="0" t="inlineStr">
        <is>
          <t>NULL</t>
        </is>
      </c>
      <c r="F1246" s="0" t="inlineStr">
        <is>
          <t>NULL</t>
        </is>
      </c>
      <c r="G1246" s="0" t="inlineStr">
        <is>
          <t>NULL</t>
        </is>
      </c>
      <c r="H1246" s="0" t="inlineStr">
        <is>
          <t>NULL</t>
        </is>
      </c>
      <c r="I1246" s="0" t="inlineStr">
        <is>
          <t>NULL</t>
        </is>
      </c>
      <c r="J1246" s="0" t="inlineStr">
        <is>
          <t>NULL</t>
        </is>
      </c>
      <c r="K1246" s="0" t="inlineStr">
        <is>
          <t>YES! 	 c_dtoffset_6列源备映射正确，源端为datetimeoffset None位	期望更改为datetimeoffset(n)	实际备端为datetimeoffset None位</t>
        </is>
      </c>
    </row>
    <row r="1247">
      <c r="B1247" s="0" t="inlineStr">
        <is>
          <t>NULL</t>
        </is>
      </c>
      <c r="C1247" s="0" t="inlineStr">
        <is>
          <t>NULL</t>
        </is>
      </c>
      <c r="D1247" s="0" t="inlineStr">
        <is>
          <t>NULL</t>
        </is>
      </c>
      <c r="E1247" s="0" t="inlineStr">
        <is>
          <t>NULL</t>
        </is>
      </c>
      <c r="F1247" s="0" t="inlineStr">
        <is>
          <t>NULL</t>
        </is>
      </c>
      <c r="G1247" s="0" t="inlineStr">
        <is>
          <t>NULL</t>
        </is>
      </c>
      <c r="H1247" s="0" t="inlineStr">
        <is>
          <t>NULL</t>
        </is>
      </c>
      <c r="I1247" s="0" t="inlineStr">
        <is>
          <t>NULL</t>
        </is>
      </c>
      <c r="J1247" s="0" t="inlineStr">
        <is>
          <t>NULL</t>
        </is>
      </c>
      <c r="K1247" s="0" t="inlineStr">
        <is>
          <t>YES! 	 c_dtoffset列源备映射正确，源端为datetimeoffset None位	期望更改为datetimeoffset(n)	实际备端为datetimeoffset None位</t>
        </is>
      </c>
    </row>
    <row r="1248">
      <c r="A1248" s="0" t="inlineStr">
        <is>
          <t>info_time_dml_single_nopk_urp</t>
        </is>
      </c>
      <c r="K1248" s="0" t="inlineStr">
        <is>
          <t>[0;34m info_time_dml_single_nopk_urp [0m源备字段数相同，源端字段：9 	备端字段9</t>
        </is>
      </c>
      <c r="W1248" s="0" t="inlineStr">
        <is>
          <t>YES 源备无差异</t>
        </is>
      </c>
      <c r="X1248" s="0">
        <f>A1248</f>
        <v/>
      </c>
    </row>
    <row r="1249">
      <c r="B1249" s="0" t="inlineStr">
        <is>
          <t>NULL</t>
        </is>
      </c>
      <c r="C1249" s="0" t="inlineStr">
        <is>
          <t>NULL</t>
        </is>
      </c>
      <c r="D1249" s="0" t="inlineStr">
        <is>
          <t>NULL</t>
        </is>
      </c>
      <c r="E1249" s="0" t="inlineStr">
        <is>
          <t>NULL</t>
        </is>
      </c>
      <c r="F1249" s="0" t="inlineStr">
        <is>
          <t>NULL</t>
        </is>
      </c>
      <c r="G1249" s="0" t="inlineStr">
        <is>
          <t>NULL</t>
        </is>
      </c>
      <c r="H1249" s="0" t="inlineStr">
        <is>
          <t>NULL</t>
        </is>
      </c>
      <c r="I1249" s="0" t="inlineStr">
        <is>
          <t>NULL</t>
        </is>
      </c>
      <c r="J1249" s="0" t="inlineStr">
        <is>
          <t>NULL</t>
        </is>
      </c>
      <c r="K1249" s="0" t="inlineStr">
        <is>
          <t>YES! 	 id列源备映射正确，源端为int None位	期望更改为int	实际备端为int None位</t>
        </is>
      </c>
    </row>
    <row r="1250">
      <c r="B1250" s="0" t="inlineStr">
        <is>
          <t>NULL</t>
        </is>
      </c>
      <c r="C1250" s="0" t="inlineStr">
        <is>
          <t>NULL</t>
        </is>
      </c>
      <c r="D1250" s="0" t="inlineStr">
        <is>
          <t>NULL</t>
        </is>
      </c>
      <c r="E1250" s="0" t="inlineStr">
        <is>
          <t>NULL</t>
        </is>
      </c>
      <c r="F1250" s="0" t="inlineStr">
        <is>
          <t>NULL</t>
        </is>
      </c>
      <c r="G1250" s="0" t="inlineStr">
        <is>
          <t>NULL</t>
        </is>
      </c>
      <c r="H1250" s="0" t="inlineStr">
        <is>
          <t>NULL</t>
        </is>
      </c>
      <c r="I1250" s="0" t="inlineStr">
        <is>
          <t>NULL</t>
        </is>
      </c>
      <c r="J1250" s="0" t="inlineStr">
        <is>
          <t>NULL</t>
        </is>
      </c>
      <c r="K1250" s="0" t="inlineStr">
        <is>
          <t>no,len不存在</t>
        </is>
      </c>
    </row>
    <row r="1251">
      <c r="B1251" s="0" t="inlineStr">
        <is>
          <t>NULL</t>
        </is>
      </c>
      <c r="C1251" s="0" t="inlineStr">
        <is>
          <t>NULL</t>
        </is>
      </c>
      <c r="D1251" s="0" t="inlineStr">
        <is>
          <t>NULL</t>
        </is>
      </c>
      <c r="E1251" s="0" t="inlineStr">
        <is>
          <t>NULL</t>
        </is>
      </c>
      <c r="F1251" s="0" t="inlineStr">
        <is>
          <t>NULL</t>
        </is>
      </c>
      <c r="G1251" s="0" t="inlineStr">
        <is>
          <t>NULL</t>
        </is>
      </c>
      <c r="H1251" s="0" t="inlineStr">
        <is>
          <t>NULL</t>
        </is>
      </c>
      <c r="I1251" s="0" t="inlineStr">
        <is>
          <t>NULL</t>
        </is>
      </c>
      <c r="J1251" s="0" t="inlineStr">
        <is>
          <t>NULL</t>
        </is>
      </c>
      <c r="K1251" s="0" t="inlineStr">
        <is>
          <t>YES! 	 c_time1列源备映射正确，源端为time None位	期望更改为time(n)	实际备端为time None位</t>
        </is>
      </c>
    </row>
    <row r="1252">
      <c r="B1252" s="0" t="inlineStr">
        <is>
          <t>NULL</t>
        </is>
      </c>
      <c r="C1252" s="0" t="inlineStr">
        <is>
          <t>NULL</t>
        </is>
      </c>
      <c r="D1252" s="0" t="inlineStr">
        <is>
          <t>NULL</t>
        </is>
      </c>
      <c r="E1252" s="0" t="inlineStr">
        <is>
          <t>NULL</t>
        </is>
      </c>
      <c r="F1252" s="0" t="inlineStr">
        <is>
          <t>NULL</t>
        </is>
      </c>
      <c r="G1252" s="0" t="inlineStr">
        <is>
          <t>NULL</t>
        </is>
      </c>
      <c r="H1252" s="0" t="inlineStr">
        <is>
          <t>NULL</t>
        </is>
      </c>
      <c r="I1252" s="0" t="inlineStr">
        <is>
          <t>NULL</t>
        </is>
      </c>
      <c r="J1252" s="0" t="inlineStr">
        <is>
          <t>NULL</t>
        </is>
      </c>
      <c r="K1252" s="0" t="inlineStr">
        <is>
          <t>YES! 	 c_time2列源备映射正确，源端为time None位	期望更改为time(n)	实际备端为time None位</t>
        </is>
      </c>
    </row>
    <row r="1253">
      <c r="B1253" s="0" t="inlineStr">
        <is>
          <t>NULL</t>
        </is>
      </c>
      <c r="C1253" s="0" t="inlineStr">
        <is>
          <t>NULL</t>
        </is>
      </c>
      <c r="D1253" s="0" t="inlineStr">
        <is>
          <t>NULL</t>
        </is>
      </c>
      <c r="E1253" s="0" t="inlineStr">
        <is>
          <t>NULL</t>
        </is>
      </c>
      <c r="F1253" s="0" t="inlineStr">
        <is>
          <t>NULL</t>
        </is>
      </c>
      <c r="G1253" s="0" t="inlineStr">
        <is>
          <t>NULL</t>
        </is>
      </c>
      <c r="H1253" s="0" t="inlineStr">
        <is>
          <t>NULL</t>
        </is>
      </c>
      <c r="I1253" s="0" t="inlineStr">
        <is>
          <t>NULL</t>
        </is>
      </c>
      <c r="J1253" s="0" t="inlineStr">
        <is>
          <t>NULL</t>
        </is>
      </c>
      <c r="K1253" s="0" t="inlineStr">
        <is>
          <t>YES! 	 c_time3列源备映射正确，源端为time None位	期望更改为time(n)	实际备端为time None位</t>
        </is>
      </c>
    </row>
    <row r="1254">
      <c r="B1254" s="0" t="inlineStr">
        <is>
          <t>NULL</t>
        </is>
      </c>
      <c r="C1254" s="0" t="inlineStr">
        <is>
          <t>NULL</t>
        </is>
      </c>
      <c r="D1254" s="0" t="inlineStr">
        <is>
          <t>NULL</t>
        </is>
      </c>
      <c r="E1254" s="0" t="inlineStr">
        <is>
          <t>NULL</t>
        </is>
      </c>
      <c r="F1254" s="0" t="inlineStr">
        <is>
          <t>NULL</t>
        </is>
      </c>
      <c r="G1254" s="0" t="inlineStr">
        <is>
          <t>NULL</t>
        </is>
      </c>
      <c r="H1254" s="0" t="inlineStr">
        <is>
          <t>NULL</t>
        </is>
      </c>
      <c r="I1254" s="0" t="inlineStr">
        <is>
          <t>NULL</t>
        </is>
      </c>
      <c r="J1254" s="0" t="inlineStr">
        <is>
          <t>NULL</t>
        </is>
      </c>
      <c r="K1254" s="0" t="inlineStr">
        <is>
          <t>YES! 	 c_time4列源备映射正确，源端为time None位	期望更改为time(n)	实际备端为time None位</t>
        </is>
      </c>
    </row>
    <row r="1255">
      <c r="B1255" s="0" t="inlineStr">
        <is>
          <t>NULL</t>
        </is>
      </c>
      <c r="C1255" s="0" t="inlineStr">
        <is>
          <t>NULL</t>
        </is>
      </c>
      <c r="D1255" s="0" t="inlineStr">
        <is>
          <t>NULL</t>
        </is>
      </c>
      <c r="E1255" s="0" t="inlineStr">
        <is>
          <t>NULL</t>
        </is>
      </c>
      <c r="F1255" s="0" t="inlineStr">
        <is>
          <t>NULL</t>
        </is>
      </c>
      <c r="G1255" s="0" t="inlineStr">
        <is>
          <t>NULL</t>
        </is>
      </c>
      <c r="H1255" s="0" t="inlineStr">
        <is>
          <t>NULL</t>
        </is>
      </c>
      <c r="I1255" s="0" t="inlineStr">
        <is>
          <t>NULL</t>
        </is>
      </c>
      <c r="J1255" s="0" t="inlineStr">
        <is>
          <t>NULL</t>
        </is>
      </c>
      <c r="K1255" s="0" t="inlineStr">
        <is>
          <t>YES! 	 c_time5列源备映射正确，源端为time None位	期望更改为time(n)	实际备端为time None位</t>
        </is>
      </c>
    </row>
    <row r="1256">
      <c r="B1256" s="0" t="inlineStr">
        <is>
          <t>NULL</t>
        </is>
      </c>
      <c r="C1256" s="0" t="inlineStr">
        <is>
          <t>NULL</t>
        </is>
      </c>
      <c r="D1256" s="0" t="inlineStr">
        <is>
          <t>NULL</t>
        </is>
      </c>
      <c r="E1256" s="0" t="inlineStr">
        <is>
          <t>NULL</t>
        </is>
      </c>
      <c r="F1256" s="0" t="inlineStr">
        <is>
          <t>NULL</t>
        </is>
      </c>
      <c r="G1256" s="0" t="inlineStr">
        <is>
          <t>NULL</t>
        </is>
      </c>
      <c r="H1256" s="0" t="inlineStr">
        <is>
          <t>NULL</t>
        </is>
      </c>
      <c r="I1256" s="0" t="inlineStr">
        <is>
          <t>NULL</t>
        </is>
      </c>
      <c r="J1256" s="0" t="inlineStr">
        <is>
          <t>NULL</t>
        </is>
      </c>
      <c r="K1256" s="0" t="inlineStr">
        <is>
          <t>YES! 	 c_time6列源备映射正确，源端为time None位	期望更改为time(n)	实际备端为time None位</t>
        </is>
      </c>
    </row>
    <row r="1257">
      <c r="B1257" s="0" t="inlineStr">
        <is>
          <t>NULL</t>
        </is>
      </c>
      <c r="C1257" s="0" t="inlineStr">
        <is>
          <t>NULL</t>
        </is>
      </c>
      <c r="D1257" s="0" t="inlineStr">
        <is>
          <t>NULL</t>
        </is>
      </c>
      <c r="E1257" s="0" t="inlineStr">
        <is>
          <t>NULL</t>
        </is>
      </c>
      <c r="F1257" s="0" t="inlineStr">
        <is>
          <t>NULL</t>
        </is>
      </c>
      <c r="G1257" s="0" t="inlineStr">
        <is>
          <t>NULL</t>
        </is>
      </c>
      <c r="H1257" s="0" t="inlineStr">
        <is>
          <t>NULL</t>
        </is>
      </c>
      <c r="I1257" s="0" t="inlineStr">
        <is>
          <t>NULL</t>
        </is>
      </c>
      <c r="J1257" s="0" t="inlineStr">
        <is>
          <t>NULL</t>
        </is>
      </c>
      <c r="K1257" s="0" t="inlineStr">
        <is>
          <t>YES! 	 c_time列源备映射正确，源端为time None位	期望更改为time(n)	实际备端为time None位</t>
        </is>
      </c>
    </row>
    <row r="1258">
      <c r="A1258" s="0" t="inlineStr">
        <is>
          <t>info_nvarchar_dml_batch1_pk_drp2</t>
        </is>
      </c>
      <c r="K1258" s="0" t="inlineStr">
        <is>
          <t>[0;34m info_nvarchar_dml_batch1_pk_drp2 [0m源备字段数相同，源端字段：4 	备端字段4</t>
        </is>
      </c>
      <c r="W1258" s="0" t="inlineStr">
        <is>
          <t>YES 源备无差异</t>
        </is>
      </c>
      <c r="X1258" s="0">
        <f>A1258</f>
        <v/>
      </c>
    </row>
    <row r="1259">
      <c r="B1259" s="0" t="inlineStr">
        <is>
          <t>YES</t>
        </is>
      </c>
      <c r="C1259" s="0" t="inlineStr">
        <is>
          <t>NULL</t>
        </is>
      </c>
      <c r="D1259" s="0" t="inlineStr">
        <is>
          <t>NULL</t>
        </is>
      </c>
      <c r="E1259" s="0" t="inlineStr">
        <is>
          <t>NULL</t>
        </is>
      </c>
      <c r="F1259" s="0" t="inlineStr">
        <is>
          <t>NULL</t>
        </is>
      </c>
      <c r="G1259" s="0" t="inlineStr">
        <is>
          <t>NULL</t>
        </is>
      </c>
      <c r="H1259" s="0" t="inlineStr">
        <is>
          <t>NULL</t>
        </is>
      </c>
      <c r="I1259" s="0" t="inlineStr">
        <is>
          <t>YES!PK__info_nva__3213E83FF3212B0C</t>
        </is>
      </c>
      <c r="J1259" s="0" t="inlineStr">
        <is>
          <t>YES! 主键相关索引</t>
        </is>
      </c>
      <c r="K1259" s="0" t="inlineStr">
        <is>
          <t>YES! 	 id列源备映射正确，源端为int None位	期望更改为int	实际备端为int None位</t>
        </is>
      </c>
    </row>
    <row r="1260">
      <c r="B1260" s="0" t="inlineStr">
        <is>
          <t>NULL</t>
        </is>
      </c>
      <c r="C1260" s="0" t="inlineStr">
        <is>
          <t>NULL</t>
        </is>
      </c>
      <c r="D1260" s="0" t="inlineStr">
        <is>
          <t>NULL</t>
        </is>
      </c>
      <c r="E1260" s="0" t="inlineStr">
        <is>
          <t>NULL</t>
        </is>
      </c>
      <c r="F1260" s="0" t="inlineStr">
        <is>
          <t>NULL</t>
        </is>
      </c>
      <c r="G1260" s="0" t="inlineStr">
        <is>
          <t>NULL</t>
        </is>
      </c>
      <c r="H1260" s="0" t="inlineStr">
        <is>
          <t>NULL</t>
        </is>
      </c>
      <c r="I1260" s="0" t="inlineStr">
        <is>
          <t>NULL</t>
        </is>
      </c>
      <c r="J1260" s="0" t="inlineStr">
        <is>
          <t>NULL</t>
        </is>
      </c>
      <c r="K1260" s="0" t="inlineStr">
        <is>
          <t>YES! 	 c_nvarchar列源备映射正确，源端为nvarchar 2位	期望更改为nvarchar(n)	实际备端为nvarchar 2位</t>
        </is>
      </c>
    </row>
    <row r="1261">
      <c r="B1261" s="0" t="inlineStr">
        <is>
          <t>NULL</t>
        </is>
      </c>
      <c r="C1261" s="0" t="inlineStr">
        <is>
          <t>NULL</t>
        </is>
      </c>
      <c r="D1261" s="0" t="inlineStr">
        <is>
          <t>NULL</t>
        </is>
      </c>
      <c r="E1261" s="0" t="inlineStr">
        <is>
          <t>NULL</t>
        </is>
      </c>
      <c r="F1261" s="0" t="inlineStr">
        <is>
          <t>NULL</t>
        </is>
      </c>
      <c r="G1261" s="0" t="inlineStr">
        <is>
          <t>NULL</t>
        </is>
      </c>
      <c r="H1261" s="0" t="inlineStr">
        <is>
          <t>NULL</t>
        </is>
      </c>
      <c r="I1261" s="0" t="inlineStr">
        <is>
          <t>NULL</t>
        </is>
      </c>
      <c r="J1261" s="0" t="inlineStr">
        <is>
          <t>NULL</t>
        </is>
      </c>
      <c r="K1261" s="0" t="inlineStr">
        <is>
          <t>YES! 	 c_nvarchar20列源备映射正确，源端为nvarchar 40位	期望更改为nvarchar(n)	实际备端为nvarchar 40位</t>
        </is>
      </c>
    </row>
    <row r="1262">
      <c r="B1262" s="0" t="inlineStr">
        <is>
          <t>NULL</t>
        </is>
      </c>
      <c r="C1262" s="0" t="inlineStr">
        <is>
          <t>NULL</t>
        </is>
      </c>
      <c r="D1262" s="0" t="inlineStr">
        <is>
          <t>NULL</t>
        </is>
      </c>
      <c r="E1262" s="0" t="inlineStr">
        <is>
          <t>NULL</t>
        </is>
      </c>
      <c r="F1262" s="0" t="inlineStr">
        <is>
          <t>NULL</t>
        </is>
      </c>
      <c r="G1262" s="0" t="inlineStr">
        <is>
          <t>NULL</t>
        </is>
      </c>
      <c r="H1262" s="0" t="inlineStr">
        <is>
          <t>NULL</t>
        </is>
      </c>
      <c r="I1262" s="0" t="inlineStr">
        <is>
          <t>NULL</t>
        </is>
      </c>
      <c r="J1262" s="0" t="inlineStr">
        <is>
          <t>NULL</t>
        </is>
      </c>
      <c r="K1262" s="0" t="inlineStr">
        <is>
          <t>YES! 	 c_nvarchar3500列源备映射正确，源端为nchar 7000位	期望更改为nchar(n)	实际备端为nchar 7000位</t>
        </is>
      </c>
    </row>
    <row r="1263">
      <c r="A1263" s="0" t="inlineStr">
        <is>
          <t>info_datetime2_dml_single_pk_irp</t>
        </is>
      </c>
      <c r="K1263" s="0" t="inlineStr">
        <is>
          <t>[0;34m info_datetime2_dml_single_pk_irp [0m源备字段数相同，源端字段：9 	备端字段9</t>
        </is>
      </c>
      <c r="W1263" s="0" t="inlineStr">
        <is>
          <t>YES 源备无差异</t>
        </is>
      </c>
      <c r="X1263" s="0">
        <f>A1263</f>
        <v/>
      </c>
    </row>
    <row r="1264">
      <c r="B1264" s="0" t="inlineStr">
        <is>
          <t>YES</t>
        </is>
      </c>
      <c r="C1264" s="0" t="inlineStr">
        <is>
          <t>NULL</t>
        </is>
      </c>
      <c r="D1264" s="0" t="inlineStr">
        <is>
          <t>NULL</t>
        </is>
      </c>
      <c r="E1264" s="0" t="inlineStr">
        <is>
          <t>NULL</t>
        </is>
      </c>
      <c r="F1264" s="0" t="inlineStr">
        <is>
          <t>NULL</t>
        </is>
      </c>
      <c r="G1264" s="0" t="inlineStr">
        <is>
          <t>NULL</t>
        </is>
      </c>
      <c r="H1264" s="0" t="inlineStr">
        <is>
          <t>NULL</t>
        </is>
      </c>
      <c r="I1264" s="0" t="inlineStr">
        <is>
          <t>YES!PK__info_dat__3213E83F033181D9</t>
        </is>
      </c>
      <c r="J1264" s="0" t="inlineStr">
        <is>
          <t>YES! 主键相关索引</t>
        </is>
      </c>
      <c r="K1264" s="0" t="inlineStr">
        <is>
          <t>YES! 	 id列源备映射正确，源端为int None位	期望更改为int	实际备端为int None位</t>
        </is>
      </c>
    </row>
    <row r="1265">
      <c r="B1265" s="0" t="inlineStr">
        <is>
          <t>NULL</t>
        </is>
      </c>
      <c r="C1265" s="0" t="inlineStr">
        <is>
          <t>NULL</t>
        </is>
      </c>
      <c r="D1265" s="0" t="inlineStr">
        <is>
          <t>NULL</t>
        </is>
      </c>
      <c r="E1265" s="0" t="inlineStr">
        <is>
          <t>NULL</t>
        </is>
      </c>
      <c r="F1265" s="0" t="inlineStr">
        <is>
          <t>NULL</t>
        </is>
      </c>
      <c r="G1265" s="0" t="inlineStr">
        <is>
          <t>NULL</t>
        </is>
      </c>
      <c r="H1265" s="0" t="inlineStr">
        <is>
          <t>NULL</t>
        </is>
      </c>
      <c r="I1265" s="0" t="inlineStr">
        <is>
          <t>NULL</t>
        </is>
      </c>
      <c r="J1265" s="0" t="inlineStr">
        <is>
          <t>NULL</t>
        </is>
      </c>
      <c r="K1265" s="0" t="inlineStr">
        <is>
          <t>no,len不存在</t>
        </is>
      </c>
    </row>
    <row r="1266">
      <c r="B1266" s="0" t="inlineStr">
        <is>
          <t>NULL</t>
        </is>
      </c>
      <c r="C1266" s="0" t="inlineStr">
        <is>
          <t>NULL</t>
        </is>
      </c>
      <c r="D1266" s="0" t="inlineStr">
        <is>
          <t>NULL</t>
        </is>
      </c>
      <c r="E1266" s="0" t="inlineStr">
        <is>
          <t>NULL</t>
        </is>
      </c>
      <c r="F1266" s="0" t="inlineStr">
        <is>
          <t>NULL</t>
        </is>
      </c>
      <c r="G1266" s="0" t="inlineStr">
        <is>
          <t>NULL</t>
        </is>
      </c>
      <c r="H1266" s="0" t="inlineStr">
        <is>
          <t>NULL</t>
        </is>
      </c>
      <c r="I1266" s="0" t="inlineStr">
        <is>
          <t>NULL</t>
        </is>
      </c>
      <c r="J1266" s="0" t="inlineStr">
        <is>
          <t>NULL</t>
        </is>
      </c>
      <c r="K1266" s="0" t="inlineStr">
        <is>
          <t>YES! 	 c_dt2_1列源备映射正确，源端为datetime2 None位	期望更改为datetime2(n)	实际备端为datetime2 None位</t>
        </is>
      </c>
    </row>
    <row r="1267">
      <c r="B1267" s="0" t="inlineStr">
        <is>
          <t>NULL</t>
        </is>
      </c>
      <c r="C1267" s="0" t="inlineStr">
        <is>
          <t>NULL</t>
        </is>
      </c>
      <c r="D1267" s="0" t="inlineStr">
        <is>
          <t>NULL</t>
        </is>
      </c>
      <c r="E1267" s="0" t="inlineStr">
        <is>
          <t>NULL</t>
        </is>
      </c>
      <c r="F1267" s="0" t="inlineStr">
        <is>
          <t>NULL</t>
        </is>
      </c>
      <c r="G1267" s="0" t="inlineStr">
        <is>
          <t>NULL</t>
        </is>
      </c>
      <c r="H1267" s="0" t="inlineStr">
        <is>
          <t>NULL</t>
        </is>
      </c>
      <c r="I1267" s="0" t="inlineStr">
        <is>
          <t>NULL</t>
        </is>
      </c>
      <c r="J1267" s="0" t="inlineStr">
        <is>
          <t>NULL</t>
        </is>
      </c>
      <c r="K1267" s="0" t="inlineStr">
        <is>
          <t>YES! 	 c_dt2_2列源备映射正确，源端为datetime2 None位	期望更改为datetime2(n)	实际备端为datetime2 None位</t>
        </is>
      </c>
    </row>
    <row r="1268">
      <c r="B1268" s="0" t="inlineStr">
        <is>
          <t>NULL</t>
        </is>
      </c>
      <c r="C1268" s="0" t="inlineStr">
        <is>
          <t>NULL</t>
        </is>
      </c>
      <c r="D1268" s="0" t="inlineStr">
        <is>
          <t>NULL</t>
        </is>
      </c>
      <c r="E1268" s="0" t="inlineStr">
        <is>
          <t>NULL</t>
        </is>
      </c>
      <c r="F1268" s="0" t="inlineStr">
        <is>
          <t>NULL</t>
        </is>
      </c>
      <c r="G1268" s="0" t="inlineStr">
        <is>
          <t>NULL</t>
        </is>
      </c>
      <c r="H1268" s="0" t="inlineStr">
        <is>
          <t>NULL</t>
        </is>
      </c>
      <c r="I1268" s="0" t="inlineStr">
        <is>
          <t>NULL</t>
        </is>
      </c>
      <c r="J1268" s="0" t="inlineStr">
        <is>
          <t>NULL</t>
        </is>
      </c>
      <c r="K1268" s="0" t="inlineStr">
        <is>
          <t>YES! 	 c_dt2_3列源备映射正确，源端为datetime2 None位	期望更改为datetime2(n)	实际备端为datetime2 None位</t>
        </is>
      </c>
    </row>
    <row r="1269">
      <c r="B1269" s="0" t="inlineStr">
        <is>
          <t>NULL</t>
        </is>
      </c>
      <c r="C1269" s="0" t="inlineStr">
        <is>
          <t>NULL</t>
        </is>
      </c>
      <c r="D1269" s="0" t="inlineStr">
        <is>
          <t>NULL</t>
        </is>
      </c>
      <c r="E1269" s="0" t="inlineStr">
        <is>
          <t>NULL</t>
        </is>
      </c>
      <c r="F1269" s="0" t="inlineStr">
        <is>
          <t>NULL</t>
        </is>
      </c>
      <c r="G1269" s="0" t="inlineStr">
        <is>
          <t>NULL</t>
        </is>
      </c>
      <c r="H1269" s="0" t="inlineStr">
        <is>
          <t>NULL</t>
        </is>
      </c>
      <c r="I1269" s="0" t="inlineStr">
        <is>
          <t>NULL</t>
        </is>
      </c>
      <c r="J1269" s="0" t="inlineStr">
        <is>
          <t>NULL</t>
        </is>
      </c>
      <c r="K1269" s="0" t="inlineStr">
        <is>
          <t>YES! 	 c_dt2_4列源备映射正确，源端为datetime2 None位	期望更改为datetime2(n)	实际备端为datetime2 None位</t>
        </is>
      </c>
    </row>
    <row r="1270">
      <c r="B1270" s="0" t="inlineStr">
        <is>
          <t>NULL</t>
        </is>
      </c>
      <c r="C1270" s="0" t="inlineStr">
        <is>
          <t>NULL</t>
        </is>
      </c>
      <c r="D1270" s="0" t="inlineStr">
        <is>
          <t>NULL</t>
        </is>
      </c>
      <c r="E1270" s="0" t="inlineStr">
        <is>
          <t>NULL</t>
        </is>
      </c>
      <c r="F1270" s="0" t="inlineStr">
        <is>
          <t>NULL</t>
        </is>
      </c>
      <c r="G1270" s="0" t="inlineStr">
        <is>
          <t>NULL</t>
        </is>
      </c>
      <c r="H1270" s="0" t="inlineStr">
        <is>
          <t>NULL</t>
        </is>
      </c>
      <c r="I1270" s="0" t="inlineStr">
        <is>
          <t>NULL</t>
        </is>
      </c>
      <c r="J1270" s="0" t="inlineStr">
        <is>
          <t>NULL</t>
        </is>
      </c>
      <c r="K1270" s="0" t="inlineStr">
        <is>
          <t>YES! 	 c_dt2_5列源备映射正确，源端为datetime2 None位	期望更改为datetime2(n)	实际备端为datetime2 None位</t>
        </is>
      </c>
    </row>
    <row r="1271">
      <c r="B1271" s="0" t="inlineStr">
        <is>
          <t>NULL</t>
        </is>
      </c>
      <c r="C1271" s="0" t="inlineStr">
        <is>
          <t>NULL</t>
        </is>
      </c>
      <c r="D1271" s="0" t="inlineStr">
        <is>
          <t>NULL</t>
        </is>
      </c>
      <c r="E1271" s="0" t="inlineStr">
        <is>
          <t>NULL</t>
        </is>
      </c>
      <c r="F1271" s="0" t="inlineStr">
        <is>
          <t>NULL</t>
        </is>
      </c>
      <c r="G1271" s="0" t="inlineStr">
        <is>
          <t>NULL</t>
        </is>
      </c>
      <c r="H1271" s="0" t="inlineStr">
        <is>
          <t>NULL</t>
        </is>
      </c>
      <c r="I1271" s="0" t="inlineStr">
        <is>
          <t>NULL</t>
        </is>
      </c>
      <c r="J1271" s="0" t="inlineStr">
        <is>
          <t>NULL</t>
        </is>
      </c>
      <c r="K1271" s="0" t="inlineStr">
        <is>
          <t>YES! 	 c_dt2_6列源备映射正确，源端为datetime2 None位	期望更改为datetime2(n)	实际备端为datetime2 None位</t>
        </is>
      </c>
    </row>
    <row r="1272">
      <c r="B1272" s="0" t="inlineStr">
        <is>
          <t>NULL</t>
        </is>
      </c>
      <c r="C1272" s="0" t="inlineStr">
        <is>
          <t>NULL</t>
        </is>
      </c>
      <c r="D1272" s="0" t="inlineStr">
        <is>
          <t>NULL</t>
        </is>
      </c>
      <c r="E1272" s="0" t="inlineStr">
        <is>
          <t>NULL</t>
        </is>
      </c>
      <c r="F1272" s="0" t="inlineStr">
        <is>
          <t>NULL</t>
        </is>
      </c>
      <c r="G1272" s="0" t="inlineStr">
        <is>
          <t>NULL</t>
        </is>
      </c>
      <c r="H1272" s="0" t="inlineStr">
        <is>
          <t>NULL</t>
        </is>
      </c>
      <c r="I1272" s="0" t="inlineStr">
        <is>
          <t>NULL</t>
        </is>
      </c>
      <c r="J1272" s="0" t="inlineStr">
        <is>
          <t>NULL</t>
        </is>
      </c>
      <c r="K1272" s="0" t="inlineStr">
        <is>
          <t>YES! 	 c_dt2列源备映射正确，源端为datetime2 None位	期望更改为datetime2(n)	实际备端为datetime2 None位</t>
        </is>
      </c>
    </row>
    <row r="1273">
      <c r="A1273" s="0" t="inlineStr">
        <is>
          <t>info_time_dml_single_nopk_drp</t>
        </is>
      </c>
      <c r="K1273" s="0" t="inlineStr">
        <is>
          <t>[0;34m info_time_dml_single_nopk_drp [0m源备字段数相同，源端字段：9 	备端字段9</t>
        </is>
      </c>
      <c r="W1273" s="0" t="inlineStr">
        <is>
          <t>YES 源备无差异</t>
        </is>
      </c>
      <c r="X1273" s="0">
        <f>A1273</f>
        <v/>
      </c>
    </row>
    <row r="1274">
      <c r="B1274" s="0" t="inlineStr">
        <is>
          <t>NULL</t>
        </is>
      </c>
      <c r="C1274" s="0" t="inlineStr">
        <is>
          <t>NULL</t>
        </is>
      </c>
      <c r="D1274" s="0" t="inlineStr">
        <is>
          <t>NULL</t>
        </is>
      </c>
      <c r="E1274" s="0" t="inlineStr">
        <is>
          <t>NULL</t>
        </is>
      </c>
      <c r="F1274" s="0" t="inlineStr">
        <is>
          <t>NULL</t>
        </is>
      </c>
      <c r="G1274" s="0" t="inlineStr">
        <is>
          <t>NULL</t>
        </is>
      </c>
      <c r="H1274" s="0" t="inlineStr">
        <is>
          <t>NULL</t>
        </is>
      </c>
      <c r="I1274" s="0" t="inlineStr">
        <is>
          <t>NULL</t>
        </is>
      </c>
      <c r="J1274" s="0" t="inlineStr">
        <is>
          <t>NULL</t>
        </is>
      </c>
      <c r="K1274" s="0" t="inlineStr">
        <is>
          <t>YES! 	 id列源备映射正确，源端为int None位	期望更改为int	实际备端为int None位</t>
        </is>
      </c>
    </row>
    <row r="1275">
      <c r="B1275" s="0" t="inlineStr">
        <is>
          <t>NULL</t>
        </is>
      </c>
      <c r="C1275" s="0" t="inlineStr">
        <is>
          <t>NULL</t>
        </is>
      </c>
      <c r="D1275" s="0" t="inlineStr">
        <is>
          <t>NULL</t>
        </is>
      </c>
      <c r="E1275" s="0" t="inlineStr">
        <is>
          <t>NULL</t>
        </is>
      </c>
      <c r="F1275" s="0" t="inlineStr">
        <is>
          <t>NULL</t>
        </is>
      </c>
      <c r="G1275" s="0" t="inlineStr">
        <is>
          <t>NULL</t>
        </is>
      </c>
      <c r="H1275" s="0" t="inlineStr">
        <is>
          <t>NULL</t>
        </is>
      </c>
      <c r="I1275" s="0" t="inlineStr">
        <is>
          <t>NULL</t>
        </is>
      </c>
      <c r="J1275" s="0" t="inlineStr">
        <is>
          <t>NULL</t>
        </is>
      </c>
      <c r="K1275" s="0" t="inlineStr">
        <is>
          <t>no,len不存在</t>
        </is>
      </c>
    </row>
    <row r="1276">
      <c r="B1276" s="0" t="inlineStr">
        <is>
          <t>NULL</t>
        </is>
      </c>
      <c r="C1276" s="0" t="inlineStr">
        <is>
          <t>NULL</t>
        </is>
      </c>
      <c r="D1276" s="0" t="inlineStr">
        <is>
          <t>NULL</t>
        </is>
      </c>
      <c r="E1276" s="0" t="inlineStr">
        <is>
          <t>NULL</t>
        </is>
      </c>
      <c r="F1276" s="0" t="inlineStr">
        <is>
          <t>NULL</t>
        </is>
      </c>
      <c r="G1276" s="0" t="inlineStr">
        <is>
          <t>NULL</t>
        </is>
      </c>
      <c r="H1276" s="0" t="inlineStr">
        <is>
          <t>NULL</t>
        </is>
      </c>
      <c r="I1276" s="0" t="inlineStr">
        <is>
          <t>NULL</t>
        </is>
      </c>
      <c r="J1276" s="0" t="inlineStr">
        <is>
          <t>NULL</t>
        </is>
      </c>
      <c r="K1276" s="0" t="inlineStr">
        <is>
          <t>YES! 	 c_time1列源备映射正确，源端为time None位	期望更改为time(n)	实际备端为time None位</t>
        </is>
      </c>
    </row>
    <row r="1277">
      <c r="B1277" s="0" t="inlineStr">
        <is>
          <t>NULL</t>
        </is>
      </c>
      <c r="C1277" s="0" t="inlineStr">
        <is>
          <t>NULL</t>
        </is>
      </c>
      <c r="D1277" s="0" t="inlineStr">
        <is>
          <t>NULL</t>
        </is>
      </c>
      <c r="E1277" s="0" t="inlineStr">
        <is>
          <t>NULL</t>
        </is>
      </c>
      <c r="F1277" s="0" t="inlineStr">
        <is>
          <t>NULL</t>
        </is>
      </c>
      <c r="G1277" s="0" t="inlineStr">
        <is>
          <t>NULL</t>
        </is>
      </c>
      <c r="H1277" s="0" t="inlineStr">
        <is>
          <t>NULL</t>
        </is>
      </c>
      <c r="I1277" s="0" t="inlineStr">
        <is>
          <t>NULL</t>
        </is>
      </c>
      <c r="J1277" s="0" t="inlineStr">
        <is>
          <t>NULL</t>
        </is>
      </c>
      <c r="K1277" s="0" t="inlineStr">
        <is>
          <t>YES! 	 c_time2列源备映射正确，源端为time None位	期望更改为time(n)	实际备端为time None位</t>
        </is>
      </c>
    </row>
    <row r="1278">
      <c r="B1278" s="0" t="inlineStr">
        <is>
          <t>NULL</t>
        </is>
      </c>
      <c r="C1278" s="0" t="inlineStr">
        <is>
          <t>NULL</t>
        </is>
      </c>
      <c r="D1278" s="0" t="inlineStr">
        <is>
          <t>NULL</t>
        </is>
      </c>
      <c r="E1278" s="0" t="inlineStr">
        <is>
          <t>NULL</t>
        </is>
      </c>
      <c r="F1278" s="0" t="inlineStr">
        <is>
          <t>NULL</t>
        </is>
      </c>
      <c r="G1278" s="0" t="inlineStr">
        <is>
          <t>NULL</t>
        </is>
      </c>
      <c r="H1278" s="0" t="inlineStr">
        <is>
          <t>NULL</t>
        </is>
      </c>
      <c r="I1278" s="0" t="inlineStr">
        <is>
          <t>NULL</t>
        </is>
      </c>
      <c r="J1278" s="0" t="inlineStr">
        <is>
          <t>NULL</t>
        </is>
      </c>
      <c r="K1278" s="0" t="inlineStr">
        <is>
          <t>YES! 	 c_time3列源备映射正确，源端为time None位	期望更改为time(n)	实际备端为time None位</t>
        </is>
      </c>
    </row>
    <row r="1279">
      <c r="B1279" s="0" t="inlineStr">
        <is>
          <t>NULL</t>
        </is>
      </c>
      <c r="C1279" s="0" t="inlineStr">
        <is>
          <t>NULL</t>
        </is>
      </c>
      <c r="D1279" s="0" t="inlineStr">
        <is>
          <t>NULL</t>
        </is>
      </c>
      <c r="E1279" s="0" t="inlineStr">
        <is>
          <t>NULL</t>
        </is>
      </c>
      <c r="F1279" s="0" t="inlineStr">
        <is>
          <t>NULL</t>
        </is>
      </c>
      <c r="G1279" s="0" t="inlineStr">
        <is>
          <t>NULL</t>
        </is>
      </c>
      <c r="H1279" s="0" t="inlineStr">
        <is>
          <t>NULL</t>
        </is>
      </c>
      <c r="I1279" s="0" t="inlineStr">
        <is>
          <t>NULL</t>
        </is>
      </c>
      <c r="J1279" s="0" t="inlineStr">
        <is>
          <t>NULL</t>
        </is>
      </c>
      <c r="K1279" s="0" t="inlineStr">
        <is>
          <t>YES! 	 c_time4列源备映射正确，源端为time None位	期望更改为time(n)	实际备端为time None位</t>
        </is>
      </c>
    </row>
    <row r="1280">
      <c r="B1280" s="0" t="inlineStr">
        <is>
          <t>NULL</t>
        </is>
      </c>
      <c r="C1280" s="0" t="inlineStr">
        <is>
          <t>NULL</t>
        </is>
      </c>
      <c r="D1280" s="0" t="inlineStr">
        <is>
          <t>NULL</t>
        </is>
      </c>
      <c r="E1280" s="0" t="inlineStr">
        <is>
          <t>NULL</t>
        </is>
      </c>
      <c r="F1280" s="0" t="inlineStr">
        <is>
          <t>NULL</t>
        </is>
      </c>
      <c r="G1280" s="0" t="inlineStr">
        <is>
          <t>NULL</t>
        </is>
      </c>
      <c r="H1280" s="0" t="inlineStr">
        <is>
          <t>NULL</t>
        </is>
      </c>
      <c r="I1280" s="0" t="inlineStr">
        <is>
          <t>NULL</t>
        </is>
      </c>
      <c r="J1280" s="0" t="inlineStr">
        <is>
          <t>NULL</t>
        </is>
      </c>
      <c r="K1280" s="0" t="inlineStr">
        <is>
          <t>YES! 	 c_time5列源备映射正确，源端为time None位	期望更改为time(n)	实际备端为time None位</t>
        </is>
      </c>
    </row>
    <row r="1281">
      <c r="B1281" s="0" t="inlineStr">
        <is>
          <t>NULL</t>
        </is>
      </c>
      <c r="C1281" s="0" t="inlineStr">
        <is>
          <t>NULL</t>
        </is>
      </c>
      <c r="D1281" s="0" t="inlineStr">
        <is>
          <t>NULL</t>
        </is>
      </c>
      <c r="E1281" s="0" t="inlineStr">
        <is>
          <t>NULL</t>
        </is>
      </c>
      <c r="F1281" s="0" t="inlineStr">
        <is>
          <t>NULL</t>
        </is>
      </c>
      <c r="G1281" s="0" t="inlineStr">
        <is>
          <t>NULL</t>
        </is>
      </c>
      <c r="H1281" s="0" t="inlineStr">
        <is>
          <t>NULL</t>
        </is>
      </c>
      <c r="I1281" s="0" t="inlineStr">
        <is>
          <t>NULL</t>
        </is>
      </c>
      <c r="J1281" s="0" t="inlineStr">
        <is>
          <t>NULL</t>
        </is>
      </c>
      <c r="K1281" s="0" t="inlineStr">
        <is>
          <t>YES! 	 c_time6列源备映射正确，源端为time None位	期望更改为time(n)	实际备端为time None位</t>
        </is>
      </c>
    </row>
    <row r="1282">
      <c r="B1282" s="0" t="inlineStr">
        <is>
          <t>NULL</t>
        </is>
      </c>
      <c r="C1282" s="0" t="inlineStr">
        <is>
          <t>NULL</t>
        </is>
      </c>
      <c r="D1282" s="0" t="inlineStr">
        <is>
          <t>NULL</t>
        </is>
      </c>
      <c r="E1282" s="0" t="inlineStr">
        <is>
          <t>NULL</t>
        </is>
      </c>
      <c r="F1282" s="0" t="inlineStr">
        <is>
          <t>NULL</t>
        </is>
      </c>
      <c r="G1282" s="0" t="inlineStr">
        <is>
          <t>NULL</t>
        </is>
      </c>
      <c r="H1282" s="0" t="inlineStr">
        <is>
          <t>NULL</t>
        </is>
      </c>
      <c r="I1282" s="0" t="inlineStr">
        <is>
          <t>NULL</t>
        </is>
      </c>
      <c r="J1282" s="0" t="inlineStr">
        <is>
          <t>NULL</t>
        </is>
      </c>
      <c r="K1282" s="0" t="inlineStr">
        <is>
          <t>YES! 	 c_time列源备映射正确，源端为time None位	期望更改为time(n)	实际备端为time None位</t>
        </is>
      </c>
    </row>
    <row r="1283">
      <c r="A1283" s="0" t="inlineStr">
        <is>
          <t>info_time_dml_single_nopk</t>
        </is>
      </c>
      <c r="K1283" s="0" t="inlineStr">
        <is>
          <t>[0;34m info_time_dml_single_nopk [0m源备字段数相同，源端字段：9 	备端字段9</t>
        </is>
      </c>
      <c r="W1283" s="0" t="inlineStr">
        <is>
          <t>YES 源备无差异</t>
        </is>
      </c>
      <c r="X1283" s="0">
        <f>A1283</f>
        <v/>
      </c>
    </row>
    <row r="1284">
      <c r="B1284" s="0" t="inlineStr">
        <is>
          <t>NULL</t>
        </is>
      </c>
      <c r="C1284" s="0" t="inlineStr">
        <is>
          <t>NULL</t>
        </is>
      </c>
      <c r="D1284" s="0" t="inlineStr">
        <is>
          <t>NULL</t>
        </is>
      </c>
      <c r="E1284" s="0" t="inlineStr">
        <is>
          <t>NULL</t>
        </is>
      </c>
      <c r="F1284" s="0" t="inlineStr">
        <is>
          <t>NULL</t>
        </is>
      </c>
      <c r="G1284" s="0" t="inlineStr">
        <is>
          <t>NULL</t>
        </is>
      </c>
      <c r="H1284" s="0" t="inlineStr">
        <is>
          <t>NULL</t>
        </is>
      </c>
      <c r="I1284" s="0" t="inlineStr">
        <is>
          <t>NULL</t>
        </is>
      </c>
      <c r="J1284" s="0" t="inlineStr">
        <is>
          <t>NULL</t>
        </is>
      </c>
      <c r="K1284" s="0" t="inlineStr">
        <is>
          <t>YES! 	 id列源备映射正确，源端为int None位	期望更改为int	实际备端为int None位</t>
        </is>
      </c>
    </row>
    <row r="1285">
      <c r="B1285" s="0" t="inlineStr">
        <is>
          <t>NULL</t>
        </is>
      </c>
      <c r="C1285" s="0" t="inlineStr">
        <is>
          <t>NULL</t>
        </is>
      </c>
      <c r="D1285" s="0" t="inlineStr">
        <is>
          <t>NULL</t>
        </is>
      </c>
      <c r="E1285" s="0" t="inlineStr">
        <is>
          <t>NULL</t>
        </is>
      </c>
      <c r="F1285" s="0" t="inlineStr">
        <is>
          <t>NULL</t>
        </is>
      </c>
      <c r="G1285" s="0" t="inlineStr">
        <is>
          <t>NULL</t>
        </is>
      </c>
      <c r="H1285" s="0" t="inlineStr">
        <is>
          <t>NULL</t>
        </is>
      </c>
      <c r="I1285" s="0" t="inlineStr">
        <is>
          <t>NULL</t>
        </is>
      </c>
      <c r="J1285" s="0" t="inlineStr">
        <is>
          <t>NULL</t>
        </is>
      </c>
      <c r="K1285" s="0" t="inlineStr">
        <is>
          <t>no,len不存在</t>
        </is>
      </c>
    </row>
    <row r="1286">
      <c r="B1286" s="0" t="inlineStr">
        <is>
          <t>NULL</t>
        </is>
      </c>
      <c r="C1286" s="0" t="inlineStr">
        <is>
          <t>NULL</t>
        </is>
      </c>
      <c r="D1286" s="0" t="inlineStr">
        <is>
          <t>NULL</t>
        </is>
      </c>
      <c r="E1286" s="0" t="inlineStr">
        <is>
          <t>NULL</t>
        </is>
      </c>
      <c r="F1286" s="0" t="inlineStr">
        <is>
          <t>NULL</t>
        </is>
      </c>
      <c r="G1286" s="0" t="inlineStr">
        <is>
          <t>NULL</t>
        </is>
      </c>
      <c r="H1286" s="0" t="inlineStr">
        <is>
          <t>NULL</t>
        </is>
      </c>
      <c r="I1286" s="0" t="inlineStr">
        <is>
          <t>NULL</t>
        </is>
      </c>
      <c r="J1286" s="0" t="inlineStr">
        <is>
          <t>NULL</t>
        </is>
      </c>
      <c r="K1286" s="0" t="inlineStr">
        <is>
          <t>YES! 	 c_time1列源备映射正确，源端为time None位	期望更改为time(n)	实际备端为time None位</t>
        </is>
      </c>
    </row>
    <row r="1287">
      <c r="B1287" s="0" t="inlineStr">
        <is>
          <t>NULL</t>
        </is>
      </c>
      <c r="C1287" s="0" t="inlineStr">
        <is>
          <t>NULL</t>
        </is>
      </c>
      <c r="D1287" s="0" t="inlineStr">
        <is>
          <t>NULL</t>
        </is>
      </c>
      <c r="E1287" s="0" t="inlineStr">
        <is>
          <t>NULL</t>
        </is>
      </c>
      <c r="F1287" s="0" t="inlineStr">
        <is>
          <t>NULL</t>
        </is>
      </c>
      <c r="G1287" s="0" t="inlineStr">
        <is>
          <t>NULL</t>
        </is>
      </c>
      <c r="H1287" s="0" t="inlineStr">
        <is>
          <t>NULL</t>
        </is>
      </c>
      <c r="I1287" s="0" t="inlineStr">
        <is>
          <t>NULL</t>
        </is>
      </c>
      <c r="J1287" s="0" t="inlineStr">
        <is>
          <t>NULL</t>
        </is>
      </c>
      <c r="K1287" s="0" t="inlineStr">
        <is>
          <t>YES! 	 c_time2列源备映射正确，源端为time None位	期望更改为time(n)	实际备端为time None位</t>
        </is>
      </c>
    </row>
    <row r="1288">
      <c r="B1288" s="0" t="inlineStr">
        <is>
          <t>NULL</t>
        </is>
      </c>
      <c r="C1288" s="0" t="inlineStr">
        <is>
          <t>NULL</t>
        </is>
      </c>
      <c r="D1288" s="0" t="inlineStr">
        <is>
          <t>NULL</t>
        </is>
      </c>
      <c r="E1288" s="0" t="inlineStr">
        <is>
          <t>NULL</t>
        </is>
      </c>
      <c r="F1288" s="0" t="inlineStr">
        <is>
          <t>NULL</t>
        </is>
      </c>
      <c r="G1288" s="0" t="inlineStr">
        <is>
          <t>NULL</t>
        </is>
      </c>
      <c r="H1288" s="0" t="inlineStr">
        <is>
          <t>NULL</t>
        </is>
      </c>
      <c r="I1288" s="0" t="inlineStr">
        <is>
          <t>NULL</t>
        </is>
      </c>
      <c r="J1288" s="0" t="inlineStr">
        <is>
          <t>NULL</t>
        </is>
      </c>
      <c r="K1288" s="0" t="inlineStr">
        <is>
          <t>YES! 	 c_time3列源备映射正确，源端为time None位	期望更改为time(n)	实际备端为time None位</t>
        </is>
      </c>
    </row>
    <row r="1289">
      <c r="B1289" s="0" t="inlineStr">
        <is>
          <t>NULL</t>
        </is>
      </c>
      <c r="C1289" s="0" t="inlineStr">
        <is>
          <t>NULL</t>
        </is>
      </c>
      <c r="D1289" s="0" t="inlineStr">
        <is>
          <t>NULL</t>
        </is>
      </c>
      <c r="E1289" s="0" t="inlineStr">
        <is>
          <t>NULL</t>
        </is>
      </c>
      <c r="F1289" s="0" t="inlineStr">
        <is>
          <t>NULL</t>
        </is>
      </c>
      <c r="G1289" s="0" t="inlineStr">
        <is>
          <t>NULL</t>
        </is>
      </c>
      <c r="H1289" s="0" t="inlineStr">
        <is>
          <t>NULL</t>
        </is>
      </c>
      <c r="I1289" s="0" t="inlineStr">
        <is>
          <t>NULL</t>
        </is>
      </c>
      <c r="J1289" s="0" t="inlineStr">
        <is>
          <t>NULL</t>
        </is>
      </c>
      <c r="K1289" s="0" t="inlineStr">
        <is>
          <t>YES! 	 c_time4列源备映射正确，源端为time None位	期望更改为time(n)	实际备端为time None位</t>
        </is>
      </c>
    </row>
    <row r="1290">
      <c r="B1290" s="0" t="inlineStr">
        <is>
          <t>NULL</t>
        </is>
      </c>
      <c r="C1290" s="0" t="inlineStr">
        <is>
          <t>NULL</t>
        </is>
      </c>
      <c r="D1290" s="0" t="inlineStr">
        <is>
          <t>NULL</t>
        </is>
      </c>
      <c r="E1290" s="0" t="inlineStr">
        <is>
          <t>NULL</t>
        </is>
      </c>
      <c r="F1290" s="0" t="inlineStr">
        <is>
          <t>NULL</t>
        </is>
      </c>
      <c r="G1290" s="0" t="inlineStr">
        <is>
          <t>NULL</t>
        </is>
      </c>
      <c r="H1290" s="0" t="inlineStr">
        <is>
          <t>NULL</t>
        </is>
      </c>
      <c r="I1290" s="0" t="inlineStr">
        <is>
          <t>NULL</t>
        </is>
      </c>
      <c r="J1290" s="0" t="inlineStr">
        <is>
          <t>NULL</t>
        </is>
      </c>
      <c r="K1290" s="0" t="inlineStr">
        <is>
          <t>YES! 	 c_time5列源备映射正确，源端为time None位	期望更改为time(n)	实际备端为time None位</t>
        </is>
      </c>
    </row>
    <row r="1291">
      <c r="B1291" s="0" t="inlineStr">
        <is>
          <t>NULL</t>
        </is>
      </c>
      <c r="C1291" s="0" t="inlineStr">
        <is>
          <t>NULL</t>
        </is>
      </c>
      <c r="D1291" s="0" t="inlineStr">
        <is>
          <t>NULL</t>
        </is>
      </c>
      <c r="E1291" s="0" t="inlineStr">
        <is>
          <t>NULL</t>
        </is>
      </c>
      <c r="F1291" s="0" t="inlineStr">
        <is>
          <t>NULL</t>
        </is>
      </c>
      <c r="G1291" s="0" t="inlineStr">
        <is>
          <t>NULL</t>
        </is>
      </c>
      <c r="H1291" s="0" t="inlineStr">
        <is>
          <t>NULL</t>
        </is>
      </c>
      <c r="I1291" s="0" t="inlineStr">
        <is>
          <t>NULL</t>
        </is>
      </c>
      <c r="J1291" s="0" t="inlineStr">
        <is>
          <t>NULL</t>
        </is>
      </c>
      <c r="K1291" s="0" t="inlineStr">
        <is>
          <t>YES! 	 c_time6列源备映射正确，源端为time None位	期望更改为time(n)	实际备端为time None位</t>
        </is>
      </c>
    </row>
    <row r="1292">
      <c r="B1292" s="0" t="inlineStr">
        <is>
          <t>NULL</t>
        </is>
      </c>
      <c r="C1292" s="0" t="inlineStr">
        <is>
          <t>NULL</t>
        </is>
      </c>
      <c r="D1292" s="0" t="inlineStr">
        <is>
          <t>NULL</t>
        </is>
      </c>
      <c r="E1292" s="0" t="inlineStr">
        <is>
          <t>NULL</t>
        </is>
      </c>
      <c r="F1292" s="0" t="inlineStr">
        <is>
          <t>NULL</t>
        </is>
      </c>
      <c r="G1292" s="0" t="inlineStr">
        <is>
          <t>NULL</t>
        </is>
      </c>
      <c r="H1292" s="0" t="inlineStr">
        <is>
          <t>NULL</t>
        </is>
      </c>
      <c r="I1292" s="0" t="inlineStr">
        <is>
          <t>NULL</t>
        </is>
      </c>
      <c r="J1292" s="0" t="inlineStr">
        <is>
          <t>NULL</t>
        </is>
      </c>
      <c r="K1292" s="0" t="inlineStr">
        <is>
          <t>YES! 	 c_time列源备映射正确，源端为time None位	期望更改为time(n)	实际备端为time None位</t>
        </is>
      </c>
    </row>
    <row r="1293">
      <c r="A1293" s="0" t="inlineStr">
        <is>
          <t>info_datetimeoffset_dml_batch2_pk_irp2</t>
        </is>
      </c>
      <c r="K1293" s="0" t="inlineStr">
        <is>
          <t>[0;34m info_datetimeoffset_dml_batch2_pk_irp2 [0m源备字段数相同，源端字段：9 	备端字段9</t>
        </is>
      </c>
      <c r="W1293" s="0" t="inlineStr">
        <is>
          <t>YES 源备无差异</t>
        </is>
      </c>
      <c r="X1293" s="0">
        <f>A1293</f>
        <v/>
      </c>
    </row>
    <row r="1294">
      <c r="B1294" s="0" t="inlineStr">
        <is>
          <t>YES</t>
        </is>
      </c>
      <c r="C1294" s="0" t="inlineStr">
        <is>
          <t>NULL</t>
        </is>
      </c>
      <c r="D1294" s="0" t="inlineStr">
        <is>
          <t>NULL</t>
        </is>
      </c>
      <c r="E1294" s="0" t="inlineStr">
        <is>
          <t>NULL</t>
        </is>
      </c>
      <c r="F1294" s="0" t="inlineStr">
        <is>
          <t>NULL</t>
        </is>
      </c>
      <c r="G1294" s="0" t="inlineStr">
        <is>
          <t>NULL</t>
        </is>
      </c>
      <c r="H1294" s="0" t="inlineStr">
        <is>
          <t>NULL</t>
        </is>
      </c>
      <c r="I1294" s="0" t="inlineStr">
        <is>
          <t>YES!PK__info_dat__3213E83FAEDFA5B2</t>
        </is>
      </c>
      <c r="J1294" s="0" t="inlineStr">
        <is>
          <t>YES! 主键相关索引</t>
        </is>
      </c>
      <c r="K1294" s="0" t="inlineStr">
        <is>
          <t>YES! 	 id列源备映射正确，源端为int None位	期望更改为int	实际备端为int None位</t>
        </is>
      </c>
    </row>
    <row r="1295">
      <c r="B1295" s="0" t="inlineStr">
        <is>
          <t>NULL</t>
        </is>
      </c>
      <c r="C1295" s="0" t="inlineStr">
        <is>
          <t>NULL</t>
        </is>
      </c>
      <c r="D1295" s="0" t="inlineStr">
        <is>
          <t>NULL</t>
        </is>
      </c>
      <c r="E1295" s="0" t="inlineStr">
        <is>
          <t>NULL</t>
        </is>
      </c>
      <c r="F1295" s="0" t="inlineStr">
        <is>
          <t>NULL</t>
        </is>
      </c>
      <c r="G1295" s="0" t="inlineStr">
        <is>
          <t>NULL</t>
        </is>
      </c>
      <c r="H1295" s="0" t="inlineStr">
        <is>
          <t>NULL</t>
        </is>
      </c>
      <c r="I1295" s="0" t="inlineStr">
        <is>
          <t>NULL</t>
        </is>
      </c>
      <c r="J1295" s="0" t="inlineStr">
        <is>
          <t>NULL</t>
        </is>
      </c>
      <c r="K1295" s="0" t="inlineStr">
        <is>
          <t>no,len不存在</t>
        </is>
      </c>
    </row>
    <row r="1296">
      <c r="B1296" s="0" t="inlineStr">
        <is>
          <t>NULL</t>
        </is>
      </c>
      <c r="C1296" s="0" t="inlineStr">
        <is>
          <t>NULL</t>
        </is>
      </c>
      <c r="D1296" s="0" t="inlineStr">
        <is>
          <t>NULL</t>
        </is>
      </c>
      <c r="E1296" s="0" t="inlineStr">
        <is>
          <t>NULL</t>
        </is>
      </c>
      <c r="F1296" s="0" t="inlineStr">
        <is>
          <t>NULL</t>
        </is>
      </c>
      <c r="G1296" s="0" t="inlineStr">
        <is>
          <t>NULL</t>
        </is>
      </c>
      <c r="H1296" s="0" t="inlineStr">
        <is>
          <t>NULL</t>
        </is>
      </c>
      <c r="I1296" s="0" t="inlineStr">
        <is>
          <t>NULL</t>
        </is>
      </c>
      <c r="J1296" s="0" t="inlineStr">
        <is>
          <t>NULL</t>
        </is>
      </c>
      <c r="K1296" s="0" t="inlineStr">
        <is>
          <t>YES! 	 c_dtoffset_1列源备映射正确，源端为datetimeoffset None位	期望更改为datetimeoffset(n)	实际备端为datetimeoffset None位</t>
        </is>
      </c>
    </row>
    <row r="1297">
      <c r="B1297" s="0" t="inlineStr">
        <is>
          <t>NULL</t>
        </is>
      </c>
      <c r="C1297" s="0" t="inlineStr">
        <is>
          <t>NULL</t>
        </is>
      </c>
      <c r="D1297" s="0" t="inlineStr">
        <is>
          <t>NULL</t>
        </is>
      </c>
      <c r="E1297" s="0" t="inlineStr">
        <is>
          <t>NULL</t>
        </is>
      </c>
      <c r="F1297" s="0" t="inlineStr">
        <is>
          <t>NULL</t>
        </is>
      </c>
      <c r="G1297" s="0" t="inlineStr">
        <is>
          <t>NULL</t>
        </is>
      </c>
      <c r="H1297" s="0" t="inlineStr">
        <is>
          <t>NULL</t>
        </is>
      </c>
      <c r="I1297" s="0" t="inlineStr">
        <is>
          <t>NULL</t>
        </is>
      </c>
      <c r="J1297" s="0" t="inlineStr">
        <is>
          <t>NULL</t>
        </is>
      </c>
      <c r="K1297" s="0" t="inlineStr">
        <is>
          <t>YES! 	 c_dtoffset_2列源备映射正确，源端为datetimeoffset None位	期望更改为datetimeoffset(n)	实际备端为datetimeoffset None位</t>
        </is>
      </c>
    </row>
    <row r="1298">
      <c r="B1298" s="0" t="inlineStr">
        <is>
          <t>NULL</t>
        </is>
      </c>
      <c r="C1298" s="0" t="inlineStr">
        <is>
          <t>NULL</t>
        </is>
      </c>
      <c r="D1298" s="0" t="inlineStr">
        <is>
          <t>NULL</t>
        </is>
      </c>
      <c r="E1298" s="0" t="inlineStr">
        <is>
          <t>NULL</t>
        </is>
      </c>
      <c r="F1298" s="0" t="inlineStr">
        <is>
          <t>NULL</t>
        </is>
      </c>
      <c r="G1298" s="0" t="inlineStr">
        <is>
          <t>NULL</t>
        </is>
      </c>
      <c r="H1298" s="0" t="inlineStr">
        <is>
          <t>NULL</t>
        </is>
      </c>
      <c r="I1298" s="0" t="inlineStr">
        <is>
          <t>NULL</t>
        </is>
      </c>
      <c r="J1298" s="0" t="inlineStr">
        <is>
          <t>NULL</t>
        </is>
      </c>
      <c r="K1298" s="0" t="inlineStr">
        <is>
          <t>YES! 	 c_dtoffset_3列源备映射正确，源端为datetimeoffset None位	期望更改为datetimeoffset(n)	实际备端为datetimeoffset None位</t>
        </is>
      </c>
    </row>
    <row r="1299">
      <c r="B1299" s="0" t="inlineStr">
        <is>
          <t>NULL</t>
        </is>
      </c>
      <c r="C1299" s="0" t="inlineStr">
        <is>
          <t>NULL</t>
        </is>
      </c>
      <c r="D1299" s="0" t="inlineStr">
        <is>
          <t>NULL</t>
        </is>
      </c>
      <c r="E1299" s="0" t="inlineStr">
        <is>
          <t>NULL</t>
        </is>
      </c>
      <c r="F1299" s="0" t="inlineStr">
        <is>
          <t>NULL</t>
        </is>
      </c>
      <c r="G1299" s="0" t="inlineStr">
        <is>
          <t>NULL</t>
        </is>
      </c>
      <c r="H1299" s="0" t="inlineStr">
        <is>
          <t>NULL</t>
        </is>
      </c>
      <c r="I1299" s="0" t="inlineStr">
        <is>
          <t>NULL</t>
        </is>
      </c>
      <c r="J1299" s="0" t="inlineStr">
        <is>
          <t>NULL</t>
        </is>
      </c>
      <c r="K1299" s="0" t="inlineStr">
        <is>
          <t>YES! 	 c_dtoffset_4列源备映射正确，源端为datetimeoffset None位	期望更改为datetimeoffset(n)	实际备端为datetimeoffset None位</t>
        </is>
      </c>
    </row>
    <row r="1300">
      <c r="B1300" s="0" t="inlineStr">
        <is>
          <t>NULL</t>
        </is>
      </c>
      <c r="C1300" s="0" t="inlineStr">
        <is>
          <t>NULL</t>
        </is>
      </c>
      <c r="D1300" s="0" t="inlineStr">
        <is>
          <t>NULL</t>
        </is>
      </c>
      <c r="E1300" s="0" t="inlineStr">
        <is>
          <t>NULL</t>
        </is>
      </c>
      <c r="F1300" s="0" t="inlineStr">
        <is>
          <t>NULL</t>
        </is>
      </c>
      <c r="G1300" s="0" t="inlineStr">
        <is>
          <t>NULL</t>
        </is>
      </c>
      <c r="H1300" s="0" t="inlineStr">
        <is>
          <t>NULL</t>
        </is>
      </c>
      <c r="I1300" s="0" t="inlineStr">
        <is>
          <t>NULL</t>
        </is>
      </c>
      <c r="J1300" s="0" t="inlineStr">
        <is>
          <t>NULL</t>
        </is>
      </c>
      <c r="K1300" s="0" t="inlineStr">
        <is>
          <t>YES! 	 c_dtoffset_5列源备映射正确，源端为datetimeoffset None位	期望更改为datetimeoffset(n)	实际备端为datetimeoffset None位</t>
        </is>
      </c>
    </row>
    <row r="1301">
      <c r="B1301" s="0" t="inlineStr">
        <is>
          <t>NULL</t>
        </is>
      </c>
      <c r="C1301" s="0" t="inlineStr">
        <is>
          <t>NULL</t>
        </is>
      </c>
      <c r="D1301" s="0" t="inlineStr">
        <is>
          <t>NULL</t>
        </is>
      </c>
      <c r="E1301" s="0" t="inlineStr">
        <is>
          <t>NULL</t>
        </is>
      </c>
      <c r="F1301" s="0" t="inlineStr">
        <is>
          <t>NULL</t>
        </is>
      </c>
      <c r="G1301" s="0" t="inlineStr">
        <is>
          <t>NULL</t>
        </is>
      </c>
      <c r="H1301" s="0" t="inlineStr">
        <is>
          <t>NULL</t>
        </is>
      </c>
      <c r="I1301" s="0" t="inlineStr">
        <is>
          <t>NULL</t>
        </is>
      </c>
      <c r="J1301" s="0" t="inlineStr">
        <is>
          <t>NULL</t>
        </is>
      </c>
      <c r="K1301" s="0" t="inlineStr">
        <is>
          <t>YES! 	 c_dtoffset_6列源备映射正确，源端为datetimeoffset None位	期望更改为datetimeoffset(n)	实际备端为datetimeoffset None位</t>
        </is>
      </c>
    </row>
    <row r="1302">
      <c r="B1302" s="0" t="inlineStr">
        <is>
          <t>NULL</t>
        </is>
      </c>
      <c r="C1302" s="0" t="inlineStr">
        <is>
          <t>NULL</t>
        </is>
      </c>
      <c r="D1302" s="0" t="inlineStr">
        <is>
          <t>NULL</t>
        </is>
      </c>
      <c r="E1302" s="0" t="inlineStr">
        <is>
          <t>NULL</t>
        </is>
      </c>
      <c r="F1302" s="0" t="inlineStr">
        <is>
          <t>NULL</t>
        </is>
      </c>
      <c r="G1302" s="0" t="inlineStr">
        <is>
          <t>NULL</t>
        </is>
      </c>
      <c r="H1302" s="0" t="inlineStr">
        <is>
          <t>NULL</t>
        </is>
      </c>
      <c r="I1302" s="0" t="inlineStr">
        <is>
          <t>NULL</t>
        </is>
      </c>
      <c r="J1302" s="0" t="inlineStr">
        <is>
          <t>NULL</t>
        </is>
      </c>
      <c r="K1302" s="0" t="inlineStr">
        <is>
          <t>YES! 	 c_dtoffset列源备映射正确，源端为datetimeoffset None位	期望更改为datetimeoffset(n)	实际备端为datetimeoffset None位</t>
        </is>
      </c>
    </row>
    <row r="1303">
      <c r="A1303" s="0" t="inlineStr">
        <is>
          <t>info_nvarchar_dml_batch1_pk</t>
        </is>
      </c>
      <c r="K1303" s="0" t="inlineStr">
        <is>
          <t>[0;34m info_nvarchar_dml_batch1_pk [0m源备字段数相同，源端字段：4 	备端字段4</t>
        </is>
      </c>
      <c r="W1303" s="0" t="inlineStr">
        <is>
          <t>YES 源备无差异</t>
        </is>
      </c>
      <c r="X1303" s="0">
        <f>A1303</f>
        <v/>
      </c>
    </row>
    <row r="1304">
      <c r="B1304" s="0" t="inlineStr">
        <is>
          <t>YES</t>
        </is>
      </c>
      <c r="C1304" s="0" t="inlineStr">
        <is>
          <t>NULL</t>
        </is>
      </c>
      <c r="D1304" s="0" t="inlineStr">
        <is>
          <t>NULL</t>
        </is>
      </c>
      <c r="E1304" s="0" t="inlineStr">
        <is>
          <t>NULL</t>
        </is>
      </c>
      <c r="F1304" s="0" t="inlineStr">
        <is>
          <t>NULL</t>
        </is>
      </c>
      <c r="G1304" s="0" t="inlineStr">
        <is>
          <t>NULL</t>
        </is>
      </c>
      <c r="H1304" s="0" t="inlineStr">
        <is>
          <t>NULL</t>
        </is>
      </c>
      <c r="I1304" s="0" t="inlineStr">
        <is>
          <t>YES!PK__info_nva__3213E83F25B073D3</t>
        </is>
      </c>
      <c r="J1304" s="0" t="inlineStr">
        <is>
          <t>YES! 主键相关索引</t>
        </is>
      </c>
      <c r="K1304" s="0" t="inlineStr">
        <is>
          <t>YES! 	 id列源备映射正确，源端为int None位	期望更改为int	实际备端为int None位</t>
        </is>
      </c>
    </row>
    <row r="1305">
      <c r="B1305" s="0" t="inlineStr">
        <is>
          <t>NULL</t>
        </is>
      </c>
      <c r="C1305" s="0" t="inlineStr">
        <is>
          <t>NULL</t>
        </is>
      </c>
      <c r="D1305" s="0" t="inlineStr">
        <is>
          <t>NULL</t>
        </is>
      </c>
      <c r="E1305" s="0" t="inlineStr">
        <is>
          <t>NULL</t>
        </is>
      </c>
      <c r="F1305" s="0" t="inlineStr">
        <is>
          <t>NULL</t>
        </is>
      </c>
      <c r="G1305" s="0" t="inlineStr">
        <is>
          <t>NULL</t>
        </is>
      </c>
      <c r="H1305" s="0" t="inlineStr">
        <is>
          <t>NULL</t>
        </is>
      </c>
      <c r="I1305" s="0" t="inlineStr">
        <is>
          <t>NULL</t>
        </is>
      </c>
      <c r="J1305" s="0" t="inlineStr">
        <is>
          <t>NULL</t>
        </is>
      </c>
      <c r="K1305" s="0" t="inlineStr">
        <is>
          <t>YES! 	 c_nvarchar列源备映射正确，源端为nvarchar 2位	期望更改为nvarchar(n)	实际备端为nvarchar 2位</t>
        </is>
      </c>
    </row>
    <row r="1306">
      <c r="B1306" s="0" t="inlineStr">
        <is>
          <t>NULL</t>
        </is>
      </c>
      <c r="C1306" s="0" t="inlineStr">
        <is>
          <t>NULL</t>
        </is>
      </c>
      <c r="D1306" s="0" t="inlineStr">
        <is>
          <t>NULL</t>
        </is>
      </c>
      <c r="E1306" s="0" t="inlineStr">
        <is>
          <t>NULL</t>
        </is>
      </c>
      <c r="F1306" s="0" t="inlineStr">
        <is>
          <t>NULL</t>
        </is>
      </c>
      <c r="G1306" s="0" t="inlineStr">
        <is>
          <t>NULL</t>
        </is>
      </c>
      <c r="H1306" s="0" t="inlineStr">
        <is>
          <t>NULL</t>
        </is>
      </c>
      <c r="I1306" s="0" t="inlineStr">
        <is>
          <t>NULL</t>
        </is>
      </c>
      <c r="J1306" s="0" t="inlineStr">
        <is>
          <t>NULL</t>
        </is>
      </c>
      <c r="K1306" s="0" t="inlineStr">
        <is>
          <t>YES! 	 c_nvarchar20列源备映射正确，源端为nvarchar 40位	期望更改为nvarchar(n)	实际备端为nvarchar 40位</t>
        </is>
      </c>
    </row>
    <row r="1307">
      <c r="B1307" s="0" t="inlineStr">
        <is>
          <t>NULL</t>
        </is>
      </c>
      <c r="C1307" s="0" t="inlineStr">
        <is>
          <t>NULL</t>
        </is>
      </c>
      <c r="D1307" s="0" t="inlineStr">
        <is>
          <t>NULL</t>
        </is>
      </c>
      <c r="E1307" s="0" t="inlineStr">
        <is>
          <t>NULL</t>
        </is>
      </c>
      <c r="F1307" s="0" t="inlineStr">
        <is>
          <t>NULL</t>
        </is>
      </c>
      <c r="G1307" s="0" t="inlineStr">
        <is>
          <t>NULL</t>
        </is>
      </c>
      <c r="H1307" s="0" t="inlineStr">
        <is>
          <t>NULL</t>
        </is>
      </c>
      <c r="I1307" s="0" t="inlineStr">
        <is>
          <t>NULL</t>
        </is>
      </c>
      <c r="J1307" s="0" t="inlineStr">
        <is>
          <t>NULL</t>
        </is>
      </c>
      <c r="K1307" s="0" t="inlineStr">
        <is>
          <t>YES! 	 c_nvarchar3500列源备映射正确，源端为nchar 7000位	期望更改为nchar(n)	实际备端为nchar 7000位</t>
        </is>
      </c>
    </row>
    <row r="1308">
      <c r="A1308" s="0" t="inlineStr">
        <is>
          <t>info_datetime2_dml_single_pk_urp</t>
        </is>
      </c>
      <c r="K1308" s="0" t="inlineStr">
        <is>
          <t>[0;34m info_datetime2_dml_single_pk_urp [0m源备字段数相同，源端字段：9 	备端字段9</t>
        </is>
      </c>
      <c r="W1308" s="0" t="inlineStr">
        <is>
          <t>YES 源备无差异</t>
        </is>
      </c>
      <c r="X1308" s="0">
        <f>A1308</f>
        <v/>
      </c>
    </row>
    <row r="1309">
      <c r="B1309" s="0" t="inlineStr">
        <is>
          <t>YES</t>
        </is>
      </c>
      <c r="C1309" s="0" t="inlineStr">
        <is>
          <t>NULL</t>
        </is>
      </c>
      <c r="D1309" s="0" t="inlineStr">
        <is>
          <t>NULL</t>
        </is>
      </c>
      <c r="E1309" s="0" t="inlineStr">
        <is>
          <t>NULL</t>
        </is>
      </c>
      <c r="F1309" s="0" t="inlineStr">
        <is>
          <t>NULL</t>
        </is>
      </c>
      <c r="G1309" s="0" t="inlineStr">
        <is>
          <t>NULL</t>
        </is>
      </c>
      <c r="H1309" s="0" t="inlineStr">
        <is>
          <t>NULL</t>
        </is>
      </c>
      <c r="I1309" s="0" t="inlineStr">
        <is>
          <t>YES!PK__info_dat__3213E83F2B423AF7</t>
        </is>
      </c>
      <c r="J1309" s="0" t="inlineStr">
        <is>
          <t>YES! 主键相关索引</t>
        </is>
      </c>
      <c r="K1309" s="0" t="inlineStr">
        <is>
          <t>YES! 	 id列源备映射正确，源端为int None位	期望更改为int	实际备端为int None位</t>
        </is>
      </c>
    </row>
    <row r="1310">
      <c r="B1310" s="0" t="inlineStr">
        <is>
          <t>NULL</t>
        </is>
      </c>
      <c r="C1310" s="0" t="inlineStr">
        <is>
          <t>NULL</t>
        </is>
      </c>
      <c r="D1310" s="0" t="inlineStr">
        <is>
          <t>NULL</t>
        </is>
      </c>
      <c r="E1310" s="0" t="inlineStr">
        <is>
          <t>NULL</t>
        </is>
      </c>
      <c r="F1310" s="0" t="inlineStr">
        <is>
          <t>NULL</t>
        </is>
      </c>
      <c r="G1310" s="0" t="inlineStr">
        <is>
          <t>NULL</t>
        </is>
      </c>
      <c r="H1310" s="0" t="inlineStr">
        <is>
          <t>NULL</t>
        </is>
      </c>
      <c r="I1310" s="0" t="inlineStr">
        <is>
          <t>NULL</t>
        </is>
      </c>
      <c r="J1310" s="0" t="inlineStr">
        <is>
          <t>NULL</t>
        </is>
      </c>
      <c r="K1310" s="0" t="inlineStr">
        <is>
          <t>no,len不存在</t>
        </is>
      </c>
    </row>
    <row r="1311">
      <c r="B1311" s="0" t="inlineStr">
        <is>
          <t>NULL</t>
        </is>
      </c>
      <c r="C1311" s="0" t="inlineStr">
        <is>
          <t>NULL</t>
        </is>
      </c>
      <c r="D1311" s="0" t="inlineStr">
        <is>
          <t>NULL</t>
        </is>
      </c>
      <c r="E1311" s="0" t="inlineStr">
        <is>
          <t>NULL</t>
        </is>
      </c>
      <c r="F1311" s="0" t="inlineStr">
        <is>
          <t>NULL</t>
        </is>
      </c>
      <c r="G1311" s="0" t="inlineStr">
        <is>
          <t>NULL</t>
        </is>
      </c>
      <c r="H1311" s="0" t="inlineStr">
        <is>
          <t>NULL</t>
        </is>
      </c>
      <c r="I1311" s="0" t="inlineStr">
        <is>
          <t>NULL</t>
        </is>
      </c>
      <c r="J1311" s="0" t="inlineStr">
        <is>
          <t>NULL</t>
        </is>
      </c>
      <c r="K1311" s="0" t="inlineStr">
        <is>
          <t>YES! 	 c_dt2_1列源备映射正确，源端为datetime2 None位	期望更改为datetime2(n)	实际备端为datetime2 None位</t>
        </is>
      </c>
    </row>
    <row r="1312">
      <c r="B1312" s="0" t="inlineStr">
        <is>
          <t>NULL</t>
        </is>
      </c>
      <c r="C1312" s="0" t="inlineStr">
        <is>
          <t>NULL</t>
        </is>
      </c>
      <c r="D1312" s="0" t="inlineStr">
        <is>
          <t>NULL</t>
        </is>
      </c>
      <c r="E1312" s="0" t="inlineStr">
        <is>
          <t>NULL</t>
        </is>
      </c>
      <c r="F1312" s="0" t="inlineStr">
        <is>
          <t>NULL</t>
        </is>
      </c>
      <c r="G1312" s="0" t="inlineStr">
        <is>
          <t>NULL</t>
        </is>
      </c>
      <c r="H1312" s="0" t="inlineStr">
        <is>
          <t>NULL</t>
        </is>
      </c>
      <c r="I1312" s="0" t="inlineStr">
        <is>
          <t>NULL</t>
        </is>
      </c>
      <c r="J1312" s="0" t="inlineStr">
        <is>
          <t>NULL</t>
        </is>
      </c>
      <c r="K1312" s="0" t="inlineStr">
        <is>
          <t>YES! 	 c_dt2_2列源备映射正确，源端为datetime2 None位	期望更改为datetime2(n)	实际备端为datetime2 None位</t>
        </is>
      </c>
    </row>
    <row r="1313">
      <c r="B1313" s="0" t="inlineStr">
        <is>
          <t>NULL</t>
        </is>
      </c>
      <c r="C1313" s="0" t="inlineStr">
        <is>
          <t>NULL</t>
        </is>
      </c>
      <c r="D1313" s="0" t="inlineStr">
        <is>
          <t>NULL</t>
        </is>
      </c>
      <c r="E1313" s="0" t="inlineStr">
        <is>
          <t>NULL</t>
        </is>
      </c>
      <c r="F1313" s="0" t="inlineStr">
        <is>
          <t>NULL</t>
        </is>
      </c>
      <c r="G1313" s="0" t="inlineStr">
        <is>
          <t>NULL</t>
        </is>
      </c>
      <c r="H1313" s="0" t="inlineStr">
        <is>
          <t>NULL</t>
        </is>
      </c>
      <c r="I1313" s="0" t="inlineStr">
        <is>
          <t>NULL</t>
        </is>
      </c>
      <c r="J1313" s="0" t="inlineStr">
        <is>
          <t>NULL</t>
        </is>
      </c>
      <c r="K1313" s="0" t="inlineStr">
        <is>
          <t>YES! 	 c_dt2_3列源备映射正确，源端为datetime2 None位	期望更改为datetime2(n)	实际备端为datetime2 None位</t>
        </is>
      </c>
    </row>
    <row r="1314">
      <c r="B1314" s="0" t="inlineStr">
        <is>
          <t>NULL</t>
        </is>
      </c>
      <c r="C1314" s="0" t="inlineStr">
        <is>
          <t>NULL</t>
        </is>
      </c>
      <c r="D1314" s="0" t="inlineStr">
        <is>
          <t>NULL</t>
        </is>
      </c>
      <c r="E1314" s="0" t="inlineStr">
        <is>
          <t>NULL</t>
        </is>
      </c>
      <c r="F1314" s="0" t="inlineStr">
        <is>
          <t>NULL</t>
        </is>
      </c>
      <c r="G1314" s="0" t="inlineStr">
        <is>
          <t>NULL</t>
        </is>
      </c>
      <c r="H1314" s="0" t="inlineStr">
        <is>
          <t>NULL</t>
        </is>
      </c>
      <c r="I1314" s="0" t="inlineStr">
        <is>
          <t>NULL</t>
        </is>
      </c>
      <c r="J1314" s="0" t="inlineStr">
        <is>
          <t>NULL</t>
        </is>
      </c>
      <c r="K1314" s="0" t="inlineStr">
        <is>
          <t>YES! 	 c_dt2_4列源备映射正确，源端为datetime2 None位	期望更改为datetime2(n)	实际备端为datetime2 None位</t>
        </is>
      </c>
    </row>
    <row r="1315">
      <c r="B1315" s="0" t="inlineStr">
        <is>
          <t>NULL</t>
        </is>
      </c>
      <c r="C1315" s="0" t="inlineStr">
        <is>
          <t>NULL</t>
        </is>
      </c>
      <c r="D1315" s="0" t="inlineStr">
        <is>
          <t>NULL</t>
        </is>
      </c>
      <c r="E1315" s="0" t="inlineStr">
        <is>
          <t>NULL</t>
        </is>
      </c>
      <c r="F1315" s="0" t="inlineStr">
        <is>
          <t>NULL</t>
        </is>
      </c>
      <c r="G1315" s="0" t="inlineStr">
        <is>
          <t>NULL</t>
        </is>
      </c>
      <c r="H1315" s="0" t="inlineStr">
        <is>
          <t>NULL</t>
        </is>
      </c>
      <c r="I1315" s="0" t="inlineStr">
        <is>
          <t>NULL</t>
        </is>
      </c>
      <c r="J1315" s="0" t="inlineStr">
        <is>
          <t>NULL</t>
        </is>
      </c>
      <c r="K1315" s="0" t="inlineStr">
        <is>
          <t>YES! 	 c_dt2_5列源备映射正确，源端为datetime2 None位	期望更改为datetime2(n)	实际备端为datetime2 None位</t>
        </is>
      </c>
    </row>
    <row r="1316">
      <c r="B1316" s="0" t="inlineStr">
        <is>
          <t>NULL</t>
        </is>
      </c>
      <c r="C1316" s="0" t="inlineStr">
        <is>
          <t>NULL</t>
        </is>
      </c>
      <c r="D1316" s="0" t="inlineStr">
        <is>
          <t>NULL</t>
        </is>
      </c>
      <c r="E1316" s="0" t="inlineStr">
        <is>
          <t>NULL</t>
        </is>
      </c>
      <c r="F1316" s="0" t="inlineStr">
        <is>
          <t>NULL</t>
        </is>
      </c>
      <c r="G1316" s="0" t="inlineStr">
        <is>
          <t>NULL</t>
        </is>
      </c>
      <c r="H1316" s="0" t="inlineStr">
        <is>
          <t>NULL</t>
        </is>
      </c>
      <c r="I1316" s="0" t="inlineStr">
        <is>
          <t>NULL</t>
        </is>
      </c>
      <c r="J1316" s="0" t="inlineStr">
        <is>
          <t>NULL</t>
        </is>
      </c>
      <c r="K1316" s="0" t="inlineStr">
        <is>
          <t>YES! 	 c_dt2_6列源备映射正确，源端为datetime2 None位	期望更改为datetime2(n)	实际备端为datetime2 None位</t>
        </is>
      </c>
    </row>
    <row r="1317">
      <c r="B1317" s="0" t="inlineStr">
        <is>
          <t>NULL</t>
        </is>
      </c>
      <c r="C1317" s="0" t="inlineStr">
        <is>
          <t>NULL</t>
        </is>
      </c>
      <c r="D1317" s="0" t="inlineStr">
        <is>
          <t>NULL</t>
        </is>
      </c>
      <c r="E1317" s="0" t="inlineStr">
        <is>
          <t>NULL</t>
        </is>
      </c>
      <c r="F1317" s="0" t="inlineStr">
        <is>
          <t>NULL</t>
        </is>
      </c>
      <c r="G1317" s="0" t="inlineStr">
        <is>
          <t>NULL</t>
        </is>
      </c>
      <c r="H1317" s="0" t="inlineStr">
        <is>
          <t>NULL</t>
        </is>
      </c>
      <c r="I1317" s="0" t="inlineStr">
        <is>
          <t>NULL</t>
        </is>
      </c>
      <c r="J1317" s="0" t="inlineStr">
        <is>
          <t>NULL</t>
        </is>
      </c>
      <c r="K1317" s="0" t="inlineStr">
        <is>
          <t>YES! 	 c_dt2列源备映射正确，源端为datetime2 None位	期望更改为datetime2(n)	实际备端为datetime2 None位</t>
        </is>
      </c>
    </row>
    <row r="1318">
      <c r="A1318" s="0" t="inlineStr">
        <is>
          <t>info_sdt_dml_single_nopk_irp</t>
        </is>
      </c>
      <c r="K1318" s="0" t="inlineStr">
        <is>
          <t>[0;34m info_sdt_dml_single_nopk_irp [0m源备字段数相同，源端字段：2 	备端字段2</t>
        </is>
      </c>
      <c r="W1318" s="0" t="inlineStr">
        <is>
          <t>YES 源备无差异</t>
        </is>
      </c>
      <c r="X1318" s="0">
        <f>A1318</f>
        <v/>
      </c>
    </row>
    <row r="1319">
      <c r="B1319" s="0" t="inlineStr">
        <is>
          <t>NULL</t>
        </is>
      </c>
      <c r="C1319" s="0" t="inlineStr">
        <is>
          <t>NULL</t>
        </is>
      </c>
      <c r="D1319" s="0" t="inlineStr">
        <is>
          <t>NULL</t>
        </is>
      </c>
      <c r="E1319" s="0" t="inlineStr">
        <is>
          <t>NULL</t>
        </is>
      </c>
      <c r="F1319" s="0" t="inlineStr">
        <is>
          <t>NULL</t>
        </is>
      </c>
      <c r="G1319" s="0" t="inlineStr">
        <is>
          <t>NULL</t>
        </is>
      </c>
      <c r="H1319" s="0" t="inlineStr">
        <is>
          <t>NULL</t>
        </is>
      </c>
      <c r="I1319" s="0" t="inlineStr">
        <is>
          <t>NULL</t>
        </is>
      </c>
      <c r="J1319" s="0" t="inlineStr">
        <is>
          <t>NULL</t>
        </is>
      </c>
      <c r="K1319" s="0" t="inlineStr">
        <is>
          <t>YES! 	 id列源备映射正确，源端为int None位	期望更改为int	实际备端为int None位</t>
        </is>
      </c>
    </row>
    <row r="1320">
      <c r="B1320" s="0" t="inlineStr">
        <is>
          <t>NULL</t>
        </is>
      </c>
      <c r="C1320" s="0" t="inlineStr">
        <is>
          <t>NULL</t>
        </is>
      </c>
      <c r="D1320" s="0" t="inlineStr">
        <is>
          <t>NULL</t>
        </is>
      </c>
      <c r="E1320" s="0" t="inlineStr">
        <is>
          <t>NULL</t>
        </is>
      </c>
      <c r="F1320" s="0" t="inlineStr">
        <is>
          <t>NULL</t>
        </is>
      </c>
      <c r="G1320" s="0" t="inlineStr">
        <is>
          <t>NULL</t>
        </is>
      </c>
      <c r="H1320" s="0" t="inlineStr">
        <is>
          <t>NULL</t>
        </is>
      </c>
      <c r="I1320" s="0" t="inlineStr">
        <is>
          <t>NULL</t>
        </is>
      </c>
      <c r="J1320" s="0" t="inlineStr">
        <is>
          <t>NULL</t>
        </is>
      </c>
      <c r="K1320" s="0" t="inlineStr">
        <is>
          <t>YES! 	 c_sdt列源备映射正确，源端为smalldatetime None位	期望更改为smalldatetime	实际备端为smalldatetime None位</t>
        </is>
      </c>
    </row>
    <row r="1321">
      <c r="A1321" s="0" t="inlineStr">
        <is>
          <t>info_datetimeoffset_dml_batch1_pk_urp1</t>
        </is>
      </c>
      <c r="K1321" s="0" t="inlineStr">
        <is>
          <t>[0;34m info_datetimeoffset_dml_batch1_pk_urp1 [0m源备字段数相同，源端字段：9 	备端字段9</t>
        </is>
      </c>
      <c r="W1321" s="0" t="inlineStr">
        <is>
          <t>YES 源备无差异</t>
        </is>
      </c>
      <c r="X1321" s="0">
        <f>A1321</f>
        <v/>
      </c>
    </row>
    <row r="1322">
      <c r="B1322" s="0" t="inlineStr">
        <is>
          <t>YES</t>
        </is>
      </c>
      <c r="C1322" s="0" t="inlineStr">
        <is>
          <t>NULL</t>
        </is>
      </c>
      <c r="D1322" s="0" t="inlineStr">
        <is>
          <t>NULL</t>
        </is>
      </c>
      <c r="E1322" s="0" t="inlineStr">
        <is>
          <t>NULL</t>
        </is>
      </c>
      <c r="F1322" s="0" t="inlineStr">
        <is>
          <t>NULL</t>
        </is>
      </c>
      <c r="G1322" s="0" t="inlineStr">
        <is>
          <t>NULL</t>
        </is>
      </c>
      <c r="H1322" s="0" t="inlineStr">
        <is>
          <t>NULL</t>
        </is>
      </c>
      <c r="I1322" s="0" t="inlineStr">
        <is>
          <t>YES!PK__info_dat__3213E83F38BE76EF</t>
        </is>
      </c>
      <c r="J1322" s="0" t="inlineStr">
        <is>
          <t>YES! 主键相关索引</t>
        </is>
      </c>
      <c r="K1322" s="0" t="inlineStr">
        <is>
          <t>YES! 	 id列源备映射正确，源端为int None位	期望更改为int	实际备端为int None位</t>
        </is>
      </c>
    </row>
    <row r="1323">
      <c r="B1323" s="0" t="inlineStr">
        <is>
          <t>NULL</t>
        </is>
      </c>
      <c r="C1323" s="0" t="inlineStr">
        <is>
          <t>NULL</t>
        </is>
      </c>
      <c r="D1323" s="0" t="inlineStr">
        <is>
          <t>NULL</t>
        </is>
      </c>
      <c r="E1323" s="0" t="inlineStr">
        <is>
          <t>NULL</t>
        </is>
      </c>
      <c r="F1323" s="0" t="inlineStr">
        <is>
          <t>NULL</t>
        </is>
      </c>
      <c r="G1323" s="0" t="inlineStr">
        <is>
          <t>NULL</t>
        </is>
      </c>
      <c r="H1323" s="0" t="inlineStr">
        <is>
          <t>NULL</t>
        </is>
      </c>
      <c r="I1323" s="0" t="inlineStr">
        <is>
          <t>NULL</t>
        </is>
      </c>
      <c r="J1323" s="0" t="inlineStr">
        <is>
          <t>NULL</t>
        </is>
      </c>
      <c r="K1323" s="0" t="inlineStr">
        <is>
          <t>no,len不存在</t>
        </is>
      </c>
    </row>
    <row r="1324">
      <c r="B1324" s="0" t="inlineStr">
        <is>
          <t>NULL</t>
        </is>
      </c>
      <c r="C1324" s="0" t="inlineStr">
        <is>
          <t>NULL</t>
        </is>
      </c>
      <c r="D1324" s="0" t="inlineStr">
        <is>
          <t>NULL</t>
        </is>
      </c>
      <c r="E1324" s="0" t="inlineStr">
        <is>
          <t>NULL</t>
        </is>
      </c>
      <c r="F1324" s="0" t="inlineStr">
        <is>
          <t>NULL</t>
        </is>
      </c>
      <c r="G1324" s="0" t="inlineStr">
        <is>
          <t>NULL</t>
        </is>
      </c>
      <c r="H1324" s="0" t="inlineStr">
        <is>
          <t>NULL</t>
        </is>
      </c>
      <c r="I1324" s="0" t="inlineStr">
        <is>
          <t>NULL</t>
        </is>
      </c>
      <c r="J1324" s="0" t="inlineStr">
        <is>
          <t>NULL</t>
        </is>
      </c>
      <c r="K1324" s="0" t="inlineStr">
        <is>
          <t>YES! 	 c_dtoffset_1列源备映射正确，源端为datetimeoffset None位	期望更改为datetimeoffset(n)	实际备端为datetimeoffset None位</t>
        </is>
      </c>
    </row>
    <row r="1325">
      <c r="B1325" s="0" t="inlineStr">
        <is>
          <t>NULL</t>
        </is>
      </c>
      <c r="C1325" s="0" t="inlineStr">
        <is>
          <t>NULL</t>
        </is>
      </c>
      <c r="D1325" s="0" t="inlineStr">
        <is>
          <t>NULL</t>
        </is>
      </c>
      <c r="E1325" s="0" t="inlineStr">
        <is>
          <t>NULL</t>
        </is>
      </c>
      <c r="F1325" s="0" t="inlineStr">
        <is>
          <t>NULL</t>
        </is>
      </c>
      <c r="G1325" s="0" t="inlineStr">
        <is>
          <t>NULL</t>
        </is>
      </c>
      <c r="H1325" s="0" t="inlineStr">
        <is>
          <t>NULL</t>
        </is>
      </c>
      <c r="I1325" s="0" t="inlineStr">
        <is>
          <t>NULL</t>
        </is>
      </c>
      <c r="J1325" s="0" t="inlineStr">
        <is>
          <t>NULL</t>
        </is>
      </c>
      <c r="K1325" s="0" t="inlineStr">
        <is>
          <t>YES! 	 c_dtoffset_2列源备映射正确，源端为datetimeoffset None位	期望更改为datetimeoffset(n)	实际备端为datetimeoffset None位</t>
        </is>
      </c>
    </row>
    <row r="1326">
      <c r="B1326" s="0" t="inlineStr">
        <is>
          <t>NULL</t>
        </is>
      </c>
      <c r="C1326" s="0" t="inlineStr">
        <is>
          <t>NULL</t>
        </is>
      </c>
      <c r="D1326" s="0" t="inlineStr">
        <is>
          <t>NULL</t>
        </is>
      </c>
      <c r="E1326" s="0" t="inlineStr">
        <is>
          <t>NULL</t>
        </is>
      </c>
      <c r="F1326" s="0" t="inlineStr">
        <is>
          <t>NULL</t>
        </is>
      </c>
      <c r="G1326" s="0" t="inlineStr">
        <is>
          <t>NULL</t>
        </is>
      </c>
      <c r="H1326" s="0" t="inlineStr">
        <is>
          <t>NULL</t>
        </is>
      </c>
      <c r="I1326" s="0" t="inlineStr">
        <is>
          <t>NULL</t>
        </is>
      </c>
      <c r="J1326" s="0" t="inlineStr">
        <is>
          <t>NULL</t>
        </is>
      </c>
      <c r="K1326" s="0" t="inlineStr">
        <is>
          <t>YES! 	 c_dtoffset_3列源备映射正确，源端为datetimeoffset None位	期望更改为datetimeoffset(n)	实际备端为datetimeoffset None位</t>
        </is>
      </c>
    </row>
    <row r="1327">
      <c r="B1327" s="0" t="inlineStr">
        <is>
          <t>NULL</t>
        </is>
      </c>
      <c r="C1327" s="0" t="inlineStr">
        <is>
          <t>NULL</t>
        </is>
      </c>
      <c r="D1327" s="0" t="inlineStr">
        <is>
          <t>NULL</t>
        </is>
      </c>
      <c r="E1327" s="0" t="inlineStr">
        <is>
          <t>NULL</t>
        </is>
      </c>
      <c r="F1327" s="0" t="inlineStr">
        <is>
          <t>NULL</t>
        </is>
      </c>
      <c r="G1327" s="0" t="inlineStr">
        <is>
          <t>NULL</t>
        </is>
      </c>
      <c r="H1327" s="0" t="inlineStr">
        <is>
          <t>NULL</t>
        </is>
      </c>
      <c r="I1327" s="0" t="inlineStr">
        <is>
          <t>NULL</t>
        </is>
      </c>
      <c r="J1327" s="0" t="inlineStr">
        <is>
          <t>NULL</t>
        </is>
      </c>
      <c r="K1327" s="0" t="inlineStr">
        <is>
          <t>YES! 	 c_dtoffset_4列源备映射正确，源端为datetimeoffset None位	期望更改为datetimeoffset(n)	实际备端为datetimeoffset None位</t>
        </is>
      </c>
    </row>
    <row r="1328">
      <c r="B1328" s="0" t="inlineStr">
        <is>
          <t>NULL</t>
        </is>
      </c>
      <c r="C1328" s="0" t="inlineStr">
        <is>
          <t>NULL</t>
        </is>
      </c>
      <c r="D1328" s="0" t="inlineStr">
        <is>
          <t>NULL</t>
        </is>
      </c>
      <c r="E1328" s="0" t="inlineStr">
        <is>
          <t>NULL</t>
        </is>
      </c>
      <c r="F1328" s="0" t="inlineStr">
        <is>
          <t>NULL</t>
        </is>
      </c>
      <c r="G1328" s="0" t="inlineStr">
        <is>
          <t>NULL</t>
        </is>
      </c>
      <c r="H1328" s="0" t="inlineStr">
        <is>
          <t>NULL</t>
        </is>
      </c>
      <c r="I1328" s="0" t="inlineStr">
        <is>
          <t>NULL</t>
        </is>
      </c>
      <c r="J1328" s="0" t="inlineStr">
        <is>
          <t>NULL</t>
        </is>
      </c>
      <c r="K1328" s="0" t="inlineStr">
        <is>
          <t>YES! 	 c_dtoffset_5列源备映射正确，源端为datetimeoffset None位	期望更改为datetimeoffset(n)	实际备端为datetimeoffset None位</t>
        </is>
      </c>
    </row>
    <row r="1329">
      <c r="B1329" s="0" t="inlineStr">
        <is>
          <t>NULL</t>
        </is>
      </c>
      <c r="C1329" s="0" t="inlineStr">
        <is>
          <t>NULL</t>
        </is>
      </c>
      <c r="D1329" s="0" t="inlineStr">
        <is>
          <t>NULL</t>
        </is>
      </c>
      <c r="E1329" s="0" t="inlineStr">
        <is>
          <t>NULL</t>
        </is>
      </c>
      <c r="F1329" s="0" t="inlineStr">
        <is>
          <t>NULL</t>
        </is>
      </c>
      <c r="G1329" s="0" t="inlineStr">
        <is>
          <t>NULL</t>
        </is>
      </c>
      <c r="H1329" s="0" t="inlineStr">
        <is>
          <t>NULL</t>
        </is>
      </c>
      <c r="I1329" s="0" t="inlineStr">
        <is>
          <t>NULL</t>
        </is>
      </c>
      <c r="J1329" s="0" t="inlineStr">
        <is>
          <t>NULL</t>
        </is>
      </c>
      <c r="K1329" s="0" t="inlineStr">
        <is>
          <t>YES! 	 c_dtoffset_6列源备映射正确，源端为datetimeoffset None位	期望更改为datetimeoffset(n)	实际备端为datetimeoffset None位</t>
        </is>
      </c>
    </row>
    <row r="1330">
      <c r="B1330" s="0" t="inlineStr">
        <is>
          <t>NULL</t>
        </is>
      </c>
      <c r="C1330" s="0" t="inlineStr">
        <is>
          <t>NULL</t>
        </is>
      </c>
      <c r="D1330" s="0" t="inlineStr">
        <is>
          <t>NULL</t>
        </is>
      </c>
      <c r="E1330" s="0" t="inlineStr">
        <is>
          <t>NULL</t>
        </is>
      </c>
      <c r="F1330" s="0" t="inlineStr">
        <is>
          <t>NULL</t>
        </is>
      </c>
      <c r="G1330" s="0" t="inlineStr">
        <is>
          <t>NULL</t>
        </is>
      </c>
      <c r="H1330" s="0" t="inlineStr">
        <is>
          <t>NULL</t>
        </is>
      </c>
      <c r="I1330" s="0" t="inlineStr">
        <is>
          <t>NULL</t>
        </is>
      </c>
      <c r="J1330" s="0" t="inlineStr">
        <is>
          <t>NULL</t>
        </is>
      </c>
      <c r="K1330" s="0" t="inlineStr">
        <is>
          <t>YES! 	 c_dtoffset列源备映射正确，源端为datetimeoffset None位	期望更改为datetimeoffset(n)	实际备端为datetimeoffset None位</t>
        </is>
      </c>
    </row>
    <row r="1331">
      <c r="A1331" s="0" t="inlineStr">
        <is>
          <t>info_sdt_dml_single_nopk_urp</t>
        </is>
      </c>
      <c r="K1331" s="0" t="inlineStr">
        <is>
          <t>[0;34m info_sdt_dml_single_nopk_urp [0m源备字段数相同，源端字段：2 	备端字段2</t>
        </is>
      </c>
      <c r="W1331" s="0" t="inlineStr">
        <is>
          <t>YES 源备无差异</t>
        </is>
      </c>
      <c r="X1331" s="0">
        <f>A1331</f>
        <v/>
      </c>
    </row>
    <row r="1332">
      <c r="B1332" s="0" t="inlineStr">
        <is>
          <t>NULL</t>
        </is>
      </c>
      <c r="C1332" s="0" t="inlineStr">
        <is>
          <t>NULL</t>
        </is>
      </c>
      <c r="D1332" s="0" t="inlineStr">
        <is>
          <t>NULL</t>
        </is>
      </c>
      <c r="E1332" s="0" t="inlineStr">
        <is>
          <t>NULL</t>
        </is>
      </c>
      <c r="F1332" s="0" t="inlineStr">
        <is>
          <t>NULL</t>
        </is>
      </c>
      <c r="G1332" s="0" t="inlineStr">
        <is>
          <t>NULL</t>
        </is>
      </c>
      <c r="H1332" s="0" t="inlineStr">
        <is>
          <t>NULL</t>
        </is>
      </c>
      <c r="I1332" s="0" t="inlineStr">
        <is>
          <t>NULL</t>
        </is>
      </c>
      <c r="J1332" s="0" t="inlineStr">
        <is>
          <t>NULL</t>
        </is>
      </c>
      <c r="K1332" s="0" t="inlineStr">
        <is>
          <t>YES! 	 id列源备映射正确，源端为int None位	期望更改为int	实际备端为int None位</t>
        </is>
      </c>
    </row>
    <row r="1333">
      <c r="B1333" s="0" t="inlineStr">
        <is>
          <t>NULL</t>
        </is>
      </c>
      <c r="C1333" s="0" t="inlineStr">
        <is>
          <t>NULL</t>
        </is>
      </c>
      <c r="D1333" s="0" t="inlineStr">
        <is>
          <t>NULL</t>
        </is>
      </c>
      <c r="E1333" s="0" t="inlineStr">
        <is>
          <t>NULL</t>
        </is>
      </c>
      <c r="F1333" s="0" t="inlineStr">
        <is>
          <t>NULL</t>
        </is>
      </c>
      <c r="G1333" s="0" t="inlineStr">
        <is>
          <t>NULL</t>
        </is>
      </c>
      <c r="H1333" s="0" t="inlineStr">
        <is>
          <t>NULL</t>
        </is>
      </c>
      <c r="I1333" s="0" t="inlineStr">
        <is>
          <t>NULL</t>
        </is>
      </c>
      <c r="J1333" s="0" t="inlineStr">
        <is>
          <t>NULL</t>
        </is>
      </c>
      <c r="K1333" s="0" t="inlineStr">
        <is>
          <t>YES! 	 c_sdt列源备映射正确，源端为smalldatetime None位	期望更改为smalldatetime	实际备端为smalldatetime None位</t>
        </is>
      </c>
    </row>
    <row r="1334">
      <c r="A1334" s="0" t="inlineStr">
        <is>
          <t>info_varcharmax_dml_batch1_pk_irp1</t>
        </is>
      </c>
      <c r="K1334" s="0" t="inlineStr">
        <is>
          <t>[0;34m info_varcharmax_dml_batch1_pk_irp1 [0m源备字段数相同，源端字段：3 	备端字段3</t>
        </is>
      </c>
      <c r="W1334" s="0" t="inlineStr">
        <is>
          <t>YES 源备无差异</t>
        </is>
      </c>
      <c r="X1334" s="0">
        <f>A1334</f>
        <v/>
      </c>
    </row>
    <row r="1335">
      <c r="B1335" s="0" t="inlineStr">
        <is>
          <t>YES</t>
        </is>
      </c>
      <c r="C1335" s="0" t="inlineStr">
        <is>
          <t>NULL</t>
        </is>
      </c>
      <c r="D1335" s="0" t="inlineStr">
        <is>
          <t>NULL</t>
        </is>
      </c>
      <c r="E1335" s="0" t="inlineStr">
        <is>
          <t>NULL</t>
        </is>
      </c>
      <c r="F1335" s="0" t="inlineStr">
        <is>
          <t>NULL</t>
        </is>
      </c>
      <c r="G1335" s="0" t="inlineStr">
        <is>
          <t>NULL</t>
        </is>
      </c>
      <c r="H1335" s="0" t="inlineStr">
        <is>
          <t>NULL</t>
        </is>
      </c>
      <c r="I1335" s="0" t="inlineStr">
        <is>
          <t>YES!PK__info_var__3213E83F4FAC50C4</t>
        </is>
      </c>
      <c r="J1335" s="0" t="inlineStr">
        <is>
          <t>YES! 主键相关索引</t>
        </is>
      </c>
      <c r="K1335" s="0" t="inlineStr">
        <is>
          <t>YES! 	 id列源备映射正确，源端为int None位	期望更改为int	实际备端为int None位</t>
        </is>
      </c>
    </row>
    <row r="1336">
      <c r="B1336" s="0" t="inlineStr">
        <is>
          <t>NULL</t>
        </is>
      </c>
      <c r="C1336" s="0" t="inlineStr">
        <is>
          <t>NULL</t>
        </is>
      </c>
      <c r="D1336" s="0" t="inlineStr">
        <is>
          <t>NULL</t>
        </is>
      </c>
      <c r="E1336" s="0" t="inlineStr">
        <is>
          <t>NULL</t>
        </is>
      </c>
      <c r="F1336" s="0" t="inlineStr">
        <is>
          <t>NULL</t>
        </is>
      </c>
      <c r="G1336" s="0" t="inlineStr">
        <is>
          <t>NULL</t>
        </is>
      </c>
      <c r="H1336" s="0" t="inlineStr">
        <is>
          <t>NULL</t>
        </is>
      </c>
      <c r="I1336" s="0" t="inlineStr">
        <is>
          <t>NULL</t>
        </is>
      </c>
      <c r="J1336" s="0" t="inlineStr">
        <is>
          <t>NULL</t>
        </is>
      </c>
      <c r="K1336" s="0" t="inlineStr">
        <is>
          <t>YES! 	 c_varchar_max列源备映射正确，源端为varchar -1位	期望更改为varchar(n)	实际备端为varchar -1位</t>
        </is>
      </c>
    </row>
    <row r="1337">
      <c r="B1337" s="0" t="inlineStr">
        <is>
          <t>NULL</t>
        </is>
      </c>
      <c r="C1337" s="0" t="inlineStr">
        <is>
          <t>NULL</t>
        </is>
      </c>
      <c r="D1337" s="0" t="inlineStr">
        <is>
          <t>NULL</t>
        </is>
      </c>
      <c r="E1337" s="0" t="inlineStr">
        <is>
          <t>NULL</t>
        </is>
      </c>
      <c r="F1337" s="0" t="inlineStr">
        <is>
          <t>NULL</t>
        </is>
      </c>
      <c r="G1337" s="0" t="inlineStr">
        <is>
          <t>NULL</t>
        </is>
      </c>
      <c r="H1337" s="0" t="inlineStr">
        <is>
          <t>NULL</t>
        </is>
      </c>
      <c r="I1337" s="0" t="inlineStr">
        <is>
          <t>NULL</t>
        </is>
      </c>
      <c r="J1337" s="0" t="inlineStr">
        <is>
          <t>NULL</t>
        </is>
      </c>
      <c r="K1337" s="0" t="inlineStr">
        <is>
          <t>YES! 	 c_nvarchar_max列源备映射正确，源端为nvarchar -1位	期望更改为nvarchar(n)	实际备端为nvarchar -1位</t>
        </is>
      </c>
    </row>
    <row r="1338">
      <c r="K1338" s="0" t="inlineStr">
        <is>
          <t>~ 空表</t>
        </is>
      </c>
    </row>
    <row r="1339">
      <c r="A1339" s="0" t="inlineStr">
        <is>
          <t>info_datetime2_dml_single_pk_drp</t>
        </is>
      </c>
      <c r="K1339" s="0" t="inlineStr">
        <is>
          <t>[0;34m info_datetime2_dml_single_pk_drp [0m源备字段数相同，源端字段：9 	备端字段9</t>
        </is>
      </c>
      <c r="W1339" s="0" t="inlineStr">
        <is>
          <t>YES 源备无差异</t>
        </is>
      </c>
      <c r="X1339" s="0">
        <f>A1339</f>
        <v/>
      </c>
    </row>
    <row r="1340">
      <c r="B1340" s="0" t="inlineStr">
        <is>
          <t>YES</t>
        </is>
      </c>
      <c r="C1340" s="0" t="inlineStr">
        <is>
          <t>NULL</t>
        </is>
      </c>
      <c r="D1340" s="0" t="inlineStr">
        <is>
          <t>NULL</t>
        </is>
      </c>
      <c r="E1340" s="0" t="inlineStr">
        <is>
          <t>NULL</t>
        </is>
      </c>
      <c r="F1340" s="0" t="inlineStr">
        <is>
          <t>NULL</t>
        </is>
      </c>
      <c r="G1340" s="0" t="inlineStr">
        <is>
          <t>NULL</t>
        </is>
      </c>
      <c r="H1340" s="0" t="inlineStr">
        <is>
          <t>NULL</t>
        </is>
      </c>
      <c r="I1340" s="0" t="inlineStr">
        <is>
          <t>YES!PK__info_dat__3213E83FF3CB7347</t>
        </is>
      </c>
      <c r="J1340" s="0" t="inlineStr">
        <is>
          <t>YES! 主键相关索引</t>
        </is>
      </c>
      <c r="K1340" s="0" t="inlineStr">
        <is>
          <t>YES! 	 id列源备映射正确，源端为int None位	期望更改为int	实际备端为int None位</t>
        </is>
      </c>
    </row>
    <row r="1341">
      <c r="B1341" s="0" t="inlineStr">
        <is>
          <t>NULL</t>
        </is>
      </c>
      <c r="C1341" s="0" t="inlineStr">
        <is>
          <t>NULL</t>
        </is>
      </c>
      <c r="D1341" s="0" t="inlineStr">
        <is>
          <t>NULL</t>
        </is>
      </c>
      <c r="E1341" s="0" t="inlineStr">
        <is>
          <t>NULL</t>
        </is>
      </c>
      <c r="F1341" s="0" t="inlineStr">
        <is>
          <t>NULL</t>
        </is>
      </c>
      <c r="G1341" s="0" t="inlineStr">
        <is>
          <t>NULL</t>
        </is>
      </c>
      <c r="H1341" s="0" t="inlineStr">
        <is>
          <t>NULL</t>
        </is>
      </c>
      <c r="I1341" s="0" t="inlineStr">
        <is>
          <t>NULL</t>
        </is>
      </c>
      <c r="J1341" s="0" t="inlineStr">
        <is>
          <t>NULL</t>
        </is>
      </c>
      <c r="K1341" s="0" t="inlineStr">
        <is>
          <t>no,len不存在</t>
        </is>
      </c>
    </row>
    <row r="1342">
      <c r="B1342" s="0" t="inlineStr">
        <is>
          <t>NULL</t>
        </is>
      </c>
      <c r="C1342" s="0" t="inlineStr">
        <is>
          <t>NULL</t>
        </is>
      </c>
      <c r="D1342" s="0" t="inlineStr">
        <is>
          <t>NULL</t>
        </is>
      </c>
      <c r="E1342" s="0" t="inlineStr">
        <is>
          <t>NULL</t>
        </is>
      </c>
      <c r="F1342" s="0" t="inlineStr">
        <is>
          <t>NULL</t>
        </is>
      </c>
      <c r="G1342" s="0" t="inlineStr">
        <is>
          <t>NULL</t>
        </is>
      </c>
      <c r="H1342" s="0" t="inlineStr">
        <is>
          <t>NULL</t>
        </is>
      </c>
      <c r="I1342" s="0" t="inlineStr">
        <is>
          <t>NULL</t>
        </is>
      </c>
      <c r="J1342" s="0" t="inlineStr">
        <is>
          <t>NULL</t>
        </is>
      </c>
      <c r="K1342" s="0" t="inlineStr">
        <is>
          <t>YES! 	 c_dt2_1列源备映射正确，源端为datetime2 None位	期望更改为datetime2(n)	实际备端为datetime2 None位</t>
        </is>
      </c>
    </row>
    <row r="1343">
      <c r="B1343" s="0" t="inlineStr">
        <is>
          <t>NULL</t>
        </is>
      </c>
      <c r="C1343" s="0" t="inlineStr">
        <is>
          <t>NULL</t>
        </is>
      </c>
      <c r="D1343" s="0" t="inlineStr">
        <is>
          <t>NULL</t>
        </is>
      </c>
      <c r="E1343" s="0" t="inlineStr">
        <is>
          <t>NULL</t>
        </is>
      </c>
      <c r="F1343" s="0" t="inlineStr">
        <is>
          <t>NULL</t>
        </is>
      </c>
      <c r="G1343" s="0" t="inlineStr">
        <is>
          <t>NULL</t>
        </is>
      </c>
      <c r="H1343" s="0" t="inlineStr">
        <is>
          <t>NULL</t>
        </is>
      </c>
      <c r="I1343" s="0" t="inlineStr">
        <is>
          <t>NULL</t>
        </is>
      </c>
      <c r="J1343" s="0" t="inlineStr">
        <is>
          <t>NULL</t>
        </is>
      </c>
      <c r="K1343" s="0" t="inlineStr">
        <is>
          <t>YES! 	 c_dt2_2列源备映射正确，源端为datetime2 None位	期望更改为datetime2(n)	实际备端为datetime2 None位</t>
        </is>
      </c>
    </row>
    <row r="1344">
      <c r="B1344" s="0" t="inlineStr">
        <is>
          <t>NULL</t>
        </is>
      </c>
      <c r="C1344" s="0" t="inlineStr">
        <is>
          <t>NULL</t>
        </is>
      </c>
      <c r="D1344" s="0" t="inlineStr">
        <is>
          <t>NULL</t>
        </is>
      </c>
      <c r="E1344" s="0" t="inlineStr">
        <is>
          <t>NULL</t>
        </is>
      </c>
      <c r="F1344" s="0" t="inlineStr">
        <is>
          <t>NULL</t>
        </is>
      </c>
      <c r="G1344" s="0" t="inlineStr">
        <is>
          <t>NULL</t>
        </is>
      </c>
      <c r="H1344" s="0" t="inlineStr">
        <is>
          <t>NULL</t>
        </is>
      </c>
      <c r="I1344" s="0" t="inlineStr">
        <is>
          <t>NULL</t>
        </is>
      </c>
      <c r="J1344" s="0" t="inlineStr">
        <is>
          <t>NULL</t>
        </is>
      </c>
      <c r="K1344" s="0" t="inlineStr">
        <is>
          <t>YES! 	 c_dt2_3列源备映射正确，源端为datetime2 None位	期望更改为datetime2(n)	实际备端为datetime2 None位</t>
        </is>
      </c>
    </row>
    <row r="1345">
      <c r="B1345" s="0" t="inlineStr">
        <is>
          <t>NULL</t>
        </is>
      </c>
      <c r="C1345" s="0" t="inlineStr">
        <is>
          <t>NULL</t>
        </is>
      </c>
      <c r="D1345" s="0" t="inlineStr">
        <is>
          <t>NULL</t>
        </is>
      </c>
      <c r="E1345" s="0" t="inlineStr">
        <is>
          <t>NULL</t>
        </is>
      </c>
      <c r="F1345" s="0" t="inlineStr">
        <is>
          <t>NULL</t>
        </is>
      </c>
      <c r="G1345" s="0" t="inlineStr">
        <is>
          <t>NULL</t>
        </is>
      </c>
      <c r="H1345" s="0" t="inlineStr">
        <is>
          <t>NULL</t>
        </is>
      </c>
      <c r="I1345" s="0" t="inlineStr">
        <is>
          <t>NULL</t>
        </is>
      </c>
      <c r="J1345" s="0" t="inlineStr">
        <is>
          <t>NULL</t>
        </is>
      </c>
      <c r="K1345" s="0" t="inlineStr">
        <is>
          <t>YES! 	 c_dt2_4列源备映射正确，源端为datetime2 None位	期望更改为datetime2(n)	实际备端为datetime2 None位</t>
        </is>
      </c>
    </row>
    <row r="1346">
      <c r="B1346" s="0" t="inlineStr">
        <is>
          <t>NULL</t>
        </is>
      </c>
      <c r="C1346" s="0" t="inlineStr">
        <is>
          <t>NULL</t>
        </is>
      </c>
      <c r="D1346" s="0" t="inlineStr">
        <is>
          <t>NULL</t>
        </is>
      </c>
      <c r="E1346" s="0" t="inlineStr">
        <is>
          <t>NULL</t>
        </is>
      </c>
      <c r="F1346" s="0" t="inlineStr">
        <is>
          <t>NULL</t>
        </is>
      </c>
      <c r="G1346" s="0" t="inlineStr">
        <is>
          <t>NULL</t>
        </is>
      </c>
      <c r="H1346" s="0" t="inlineStr">
        <is>
          <t>NULL</t>
        </is>
      </c>
      <c r="I1346" s="0" t="inlineStr">
        <is>
          <t>NULL</t>
        </is>
      </c>
      <c r="J1346" s="0" t="inlineStr">
        <is>
          <t>NULL</t>
        </is>
      </c>
      <c r="K1346" s="0" t="inlineStr">
        <is>
          <t>YES! 	 c_dt2_5列源备映射正确，源端为datetime2 None位	期望更改为datetime2(n)	实际备端为datetime2 None位</t>
        </is>
      </c>
    </row>
    <row r="1347">
      <c r="B1347" s="0" t="inlineStr">
        <is>
          <t>NULL</t>
        </is>
      </c>
      <c r="C1347" s="0" t="inlineStr">
        <is>
          <t>NULL</t>
        </is>
      </c>
      <c r="D1347" s="0" t="inlineStr">
        <is>
          <t>NULL</t>
        </is>
      </c>
      <c r="E1347" s="0" t="inlineStr">
        <is>
          <t>NULL</t>
        </is>
      </c>
      <c r="F1347" s="0" t="inlineStr">
        <is>
          <t>NULL</t>
        </is>
      </c>
      <c r="G1347" s="0" t="inlineStr">
        <is>
          <t>NULL</t>
        </is>
      </c>
      <c r="H1347" s="0" t="inlineStr">
        <is>
          <t>NULL</t>
        </is>
      </c>
      <c r="I1347" s="0" t="inlineStr">
        <is>
          <t>NULL</t>
        </is>
      </c>
      <c r="J1347" s="0" t="inlineStr">
        <is>
          <t>NULL</t>
        </is>
      </c>
      <c r="K1347" s="0" t="inlineStr">
        <is>
          <t>YES! 	 c_dt2_6列源备映射正确，源端为datetime2 None位	期望更改为datetime2(n)	实际备端为datetime2 None位</t>
        </is>
      </c>
    </row>
    <row r="1348">
      <c r="B1348" s="0" t="inlineStr">
        <is>
          <t>NULL</t>
        </is>
      </c>
      <c r="C1348" s="0" t="inlineStr">
        <is>
          <t>NULL</t>
        </is>
      </c>
      <c r="D1348" s="0" t="inlineStr">
        <is>
          <t>NULL</t>
        </is>
      </c>
      <c r="E1348" s="0" t="inlineStr">
        <is>
          <t>NULL</t>
        </is>
      </c>
      <c r="F1348" s="0" t="inlineStr">
        <is>
          <t>NULL</t>
        </is>
      </c>
      <c r="G1348" s="0" t="inlineStr">
        <is>
          <t>NULL</t>
        </is>
      </c>
      <c r="H1348" s="0" t="inlineStr">
        <is>
          <t>NULL</t>
        </is>
      </c>
      <c r="I1348" s="0" t="inlineStr">
        <is>
          <t>NULL</t>
        </is>
      </c>
      <c r="J1348" s="0" t="inlineStr">
        <is>
          <t>NULL</t>
        </is>
      </c>
      <c r="K1348" s="0" t="inlineStr">
        <is>
          <t>YES! 	 c_dt2列源备映射正确，源端为datetime2 None位	期望更改为datetime2(n)	实际备端为datetime2 None位</t>
        </is>
      </c>
    </row>
    <row r="1349">
      <c r="A1349" s="0" t="inlineStr">
        <is>
          <t>info_varbinary_dml_single_nopk</t>
        </is>
      </c>
      <c r="K1349" s="0" t="inlineStr">
        <is>
          <t>[0;34m info_varbinary_dml_single_nopk [0m源备字段数相同，源端字段：4 	备端字段4</t>
        </is>
      </c>
      <c r="W1349" s="0" t="inlineStr">
        <is>
          <t>YES 源备无差异</t>
        </is>
      </c>
      <c r="X1349" s="0">
        <f>A1349</f>
        <v/>
      </c>
    </row>
    <row r="1350">
      <c r="B1350" s="0" t="inlineStr">
        <is>
          <t>NULL</t>
        </is>
      </c>
      <c r="C1350" s="0" t="inlineStr">
        <is>
          <t>NULL</t>
        </is>
      </c>
      <c r="D1350" s="0" t="inlineStr">
        <is>
          <t>NULL</t>
        </is>
      </c>
      <c r="E1350" s="0" t="inlineStr">
        <is>
          <t>NULL</t>
        </is>
      </c>
      <c r="F1350" s="0" t="inlineStr">
        <is>
          <t>NULL</t>
        </is>
      </c>
      <c r="G1350" s="0" t="inlineStr">
        <is>
          <t>NULL</t>
        </is>
      </c>
      <c r="H1350" s="0" t="inlineStr">
        <is>
          <t>NULL</t>
        </is>
      </c>
      <c r="I1350" s="0" t="inlineStr">
        <is>
          <t>NULL</t>
        </is>
      </c>
      <c r="J1350" s="0" t="inlineStr">
        <is>
          <t>NULL</t>
        </is>
      </c>
      <c r="K1350" s="0" t="inlineStr">
        <is>
          <t>YES! 	 id列源备映射正确，源端为int None位	期望更改为int	实际备端为int None位</t>
        </is>
      </c>
    </row>
    <row r="1351">
      <c r="B1351" s="0" t="inlineStr">
        <is>
          <t>NULL</t>
        </is>
      </c>
      <c r="C1351" s="0" t="inlineStr">
        <is>
          <t>NULL</t>
        </is>
      </c>
      <c r="D1351" s="0" t="inlineStr">
        <is>
          <t>NULL</t>
        </is>
      </c>
      <c r="E1351" s="0" t="inlineStr">
        <is>
          <t>NULL</t>
        </is>
      </c>
      <c r="F1351" s="0" t="inlineStr">
        <is>
          <t>NULL</t>
        </is>
      </c>
      <c r="G1351" s="0" t="inlineStr">
        <is>
          <t>NULL</t>
        </is>
      </c>
      <c r="H1351" s="0" t="inlineStr">
        <is>
          <t>NULL</t>
        </is>
      </c>
      <c r="I1351" s="0" t="inlineStr">
        <is>
          <t>NULL</t>
        </is>
      </c>
      <c r="J1351" s="0" t="inlineStr">
        <is>
          <t>NULL</t>
        </is>
      </c>
      <c r="K1351" s="0" t="inlineStr">
        <is>
          <t>YES! 	 c_varbinary列源备映射正确，源端为varbinary 1位	期望更改为varbinary(n)	实际备端为varbinary 1位</t>
        </is>
      </c>
    </row>
    <row r="1352">
      <c r="B1352" s="0" t="inlineStr">
        <is>
          <t>NULL</t>
        </is>
      </c>
      <c r="C1352" s="0" t="inlineStr">
        <is>
          <t>NULL</t>
        </is>
      </c>
      <c r="D1352" s="0" t="inlineStr">
        <is>
          <t>NULL</t>
        </is>
      </c>
      <c r="E1352" s="0" t="inlineStr">
        <is>
          <t>NULL</t>
        </is>
      </c>
      <c r="F1352" s="0" t="inlineStr">
        <is>
          <t>NULL</t>
        </is>
      </c>
      <c r="G1352" s="0" t="inlineStr">
        <is>
          <t>NULL</t>
        </is>
      </c>
      <c r="H1352" s="0" t="inlineStr">
        <is>
          <t>NULL</t>
        </is>
      </c>
      <c r="I1352" s="0" t="inlineStr">
        <is>
          <t>NULL</t>
        </is>
      </c>
      <c r="J1352" s="0" t="inlineStr">
        <is>
          <t>NULL</t>
        </is>
      </c>
      <c r="K1352" s="0" t="inlineStr">
        <is>
          <t>YES! 	 c_varbinary_100列源备映射正确，源端为varbinary 20位	期望更改为varbinary(n)	实际备端为varbinary 20位</t>
        </is>
      </c>
    </row>
    <row r="1353">
      <c r="B1353" s="0" t="inlineStr">
        <is>
          <t>NULL</t>
        </is>
      </c>
      <c r="C1353" s="0" t="inlineStr">
        <is>
          <t>NULL</t>
        </is>
      </c>
      <c r="D1353" s="0" t="inlineStr">
        <is>
          <t>NULL</t>
        </is>
      </c>
      <c r="E1353" s="0" t="inlineStr">
        <is>
          <t>NULL</t>
        </is>
      </c>
      <c r="F1353" s="0" t="inlineStr">
        <is>
          <t>NULL</t>
        </is>
      </c>
      <c r="G1353" s="0" t="inlineStr">
        <is>
          <t>NULL</t>
        </is>
      </c>
      <c r="H1353" s="0" t="inlineStr">
        <is>
          <t>NULL</t>
        </is>
      </c>
      <c r="I1353" s="0" t="inlineStr">
        <is>
          <t>NULL</t>
        </is>
      </c>
      <c r="J1353" s="0" t="inlineStr">
        <is>
          <t>NULL</t>
        </is>
      </c>
      <c r="K1353" s="0" t="inlineStr">
        <is>
          <t>YES! 	 c_varbinary_8000列源备映射正确，源端为varbinary 8000位	期望更改为varbinary(n)	实际备端为varbinary 8000位</t>
        </is>
      </c>
    </row>
    <row r="1354">
      <c r="A1354" s="0" t="inlineStr">
        <is>
          <t>info_sdt_dml_single_nopk_drp</t>
        </is>
      </c>
      <c r="K1354" s="0" t="inlineStr">
        <is>
          <t>[0;34m info_sdt_dml_single_nopk_drp [0m源备字段数相同，源端字段：2 	备端字段2</t>
        </is>
      </c>
      <c r="W1354" s="0" t="inlineStr">
        <is>
          <t>YES 源备无差异</t>
        </is>
      </c>
      <c r="X1354" s="0">
        <f>A1354</f>
        <v/>
      </c>
    </row>
    <row r="1355">
      <c r="B1355" s="0" t="inlineStr">
        <is>
          <t>NULL</t>
        </is>
      </c>
      <c r="C1355" s="0" t="inlineStr">
        <is>
          <t>NULL</t>
        </is>
      </c>
      <c r="D1355" s="0" t="inlineStr">
        <is>
          <t>NULL</t>
        </is>
      </c>
      <c r="E1355" s="0" t="inlineStr">
        <is>
          <t>NULL</t>
        </is>
      </c>
      <c r="F1355" s="0" t="inlineStr">
        <is>
          <t>NULL</t>
        </is>
      </c>
      <c r="G1355" s="0" t="inlineStr">
        <is>
          <t>NULL</t>
        </is>
      </c>
      <c r="H1355" s="0" t="inlineStr">
        <is>
          <t>NULL</t>
        </is>
      </c>
      <c r="I1355" s="0" t="inlineStr">
        <is>
          <t>NULL</t>
        </is>
      </c>
      <c r="J1355" s="0" t="inlineStr">
        <is>
          <t>NULL</t>
        </is>
      </c>
      <c r="K1355" s="0" t="inlineStr">
        <is>
          <t>YES! 	 id列源备映射正确，源端为int None位	期望更改为int	实际备端为int None位</t>
        </is>
      </c>
    </row>
    <row r="1356">
      <c r="B1356" s="0" t="inlineStr">
        <is>
          <t>NULL</t>
        </is>
      </c>
      <c r="C1356" s="0" t="inlineStr">
        <is>
          <t>NULL</t>
        </is>
      </c>
      <c r="D1356" s="0" t="inlineStr">
        <is>
          <t>NULL</t>
        </is>
      </c>
      <c r="E1356" s="0" t="inlineStr">
        <is>
          <t>NULL</t>
        </is>
      </c>
      <c r="F1356" s="0" t="inlineStr">
        <is>
          <t>NULL</t>
        </is>
      </c>
      <c r="G1356" s="0" t="inlineStr">
        <is>
          <t>NULL</t>
        </is>
      </c>
      <c r="H1356" s="0" t="inlineStr">
        <is>
          <t>NULL</t>
        </is>
      </c>
      <c r="I1356" s="0" t="inlineStr">
        <is>
          <t>NULL</t>
        </is>
      </c>
      <c r="J1356" s="0" t="inlineStr">
        <is>
          <t>NULL</t>
        </is>
      </c>
      <c r="K1356" s="0" t="inlineStr">
        <is>
          <t>YES! 	 c_sdt列源备映射正确，源端为smalldatetime None位	期望更改为smalldatetime	实际备端为smalldatetime None位</t>
        </is>
      </c>
    </row>
    <row r="1357">
      <c r="A1357" s="0" t="inlineStr">
        <is>
          <t>info_datetimeoffset_dml_batch1_pk_urp2</t>
        </is>
      </c>
      <c r="K1357" s="0" t="inlineStr">
        <is>
          <t>[0;34m info_datetimeoffset_dml_batch1_pk_urp2 [0m源备字段数相同，源端字段：9 	备端字段9</t>
        </is>
      </c>
      <c r="W1357" s="0" t="inlineStr">
        <is>
          <t>YES 源备无差异</t>
        </is>
      </c>
      <c r="X1357" s="0">
        <f>A1357</f>
        <v/>
      </c>
    </row>
    <row r="1358">
      <c r="B1358" s="0" t="inlineStr">
        <is>
          <t>YES</t>
        </is>
      </c>
      <c r="C1358" s="0" t="inlineStr">
        <is>
          <t>NULL</t>
        </is>
      </c>
      <c r="D1358" s="0" t="inlineStr">
        <is>
          <t>NULL</t>
        </is>
      </c>
      <c r="E1358" s="0" t="inlineStr">
        <is>
          <t>NULL</t>
        </is>
      </c>
      <c r="F1358" s="0" t="inlineStr">
        <is>
          <t>NULL</t>
        </is>
      </c>
      <c r="G1358" s="0" t="inlineStr">
        <is>
          <t>NULL</t>
        </is>
      </c>
      <c r="H1358" s="0" t="inlineStr">
        <is>
          <t>NULL</t>
        </is>
      </c>
      <c r="I1358" s="0" t="inlineStr">
        <is>
          <t>YES!PK__info_dat__3213E83F54E654A8</t>
        </is>
      </c>
      <c r="J1358" s="0" t="inlineStr">
        <is>
          <t>YES! 主键相关索引</t>
        </is>
      </c>
      <c r="K1358" s="0" t="inlineStr">
        <is>
          <t>YES! 	 id列源备映射正确，源端为int None位	期望更改为int	实际备端为int None位</t>
        </is>
      </c>
    </row>
    <row r="1359">
      <c r="B1359" s="0" t="inlineStr">
        <is>
          <t>NULL</t>
        </is>
      </c>
      <c r="C1359" s="0" t="inlineStr">
        <is>
          <t>NULL</t>
        </is>
      </c>
      <c r="D1359" s="0" t="inlineStr">
        <is>
          <t>NULL</t>
        </is>
      </c>
      <c r="E1359" s="0" t="inlineStr">
        <is>
          <t>NULL</t>
        </is>
      </c>
      <c r="F1359" s="0" t="inlineStr">
        <is>
          <t>NULL</t>
        </is>
      </c>
      <c r="G1359" s="0" t="inlineStr">
        <is>
          <t>NULL</t>
        </is>
      </c>
      <c r="H1359" s="0" t="inlineStr">
        <is>
          <t>NULL</t>
        </is>
      </c>
      <c r="I1359" s="0" t="inlineStr">
        <is>
          <t>NULL</t>
        </is>
      </c>
      <c r="J1359" s="0" t="inlineStr">
        <is>
          <t>NULL</t>
        </is>
      </c>
      <c r="K1359" s="0" t="inlineStr">
        <is>
          <t>no,len不存在</t>
        </is>
      </c>
    </row>
    <row r="1360">
      <c r="B1360" s="0" t="inlineStr">
        <is>
          <t>NULL</t>
        </is>
      </c>
      <c r="C1360" s="0" t="inlineStr">
        <is>
          <t>NULL</t>
        </is>
      </c>
      <c r="D1360" s="0" t="inlineStr">
        <is>
          <t>NULL</t>
        </is>
      </c>
      <c r="E1360" s="0" t="inlineStr">
        <is>
          <t>NULL</t>
        </is>
      </c>
      <c r="F1360" s="0" t="inlineStr">
        <is>
          <t>NULL</t>
        </is>
      </c>
      <c r="G1360" s="0" t="inlineStr">
        <is>
          <t>NULL</t>
        </is>
      </c>
      <c r="H1360" s="0" t="inlineStr">
        <is>
          <t>NULL</t>
        </is>
      </c>
      <c r="I1360" s="0" t="inlineStr">
        <is>
          <t>NULL</t>
        </is>
      </c>
      <c r="J1360" s="0" t="inlineStr">
        <is>
          <t>NULL</t>
        </is>
      </c>
      <c r="K1360" s="0" t="inlineStr">
        <is>
          <t>YES! 	 c_dtoffset_1列源备映射正确，源端为datetimeoffset None位	期望更改为datetimeoffset(n)	实际备端为datetimeoffset None位</t>
        </is>
      </c>
    </row>
    <row r="1361">
      <c r="B1361" s="0" t="inlineStr">
        <is>
          <t>NULL</t>
        </is>
      </c>
      <c r="C1361" s="0" t="inlineStr">
        <is>
          <t>NULL</t>
        </is>
      </c>
      <c r="D1361" s="0" t="inlineStr">
        <is>
          <t>NULL</t>
        </is>
      </c>
      <c r="E1361" s="0" t="inlineStr">
        <is>
          <t>NULL</t>
        </is>
      </c>
      <c r="F1361" s="0" t="inlineStr">
        <is>
          <t>NULL</t>
        </is>
      </c>
      <c r="G1361" s="0" t="inlineStr">
        <is>
          <t>NULL</t>
        </is>
      </c>
      <c r="H1361" s="0" t="inlineStr">
        <is>
          <t>NULL</t>
        </is>
      </c>
      <c r="I1361" s="0" t="inlineStr">
        <is>
          <t>NULL</t>
        </is>
      </c>
      <c r="J1361" s="0" t="inlineStr">
        <is>
          <t>NULL</t>
        </is>
      </c>
      <c r="K1361" s="0" t="inlineStr">
        <is>
          <t>YES! 	 c_dtoffset_2列源备映射正确，源端为datetimeoffset None位	期望更改为datetimeoffset(n)	实际备端为datetimeoffset None位</t>
        </is>
      </c>
    </row>
    <row r="1362">
      <c r="B1362" s="0" t="inlineStr">
        <is>
          <t>NULL</t>
        </is>
      </c>
      <c r="C1362" s="0" t="inlineStr">
        <is>
          <t>NULL</t>
        </is>
      </c>
      <c r="D1362" s="0" t="inlineStr">
        <is>
          <t>NULL</t>
        </is>
      </c>
      <c r="E1362" s="0" t="inlineStr">
        <is>
          <t>NULL</t>
        </is>
      </c>
      <c r="F1362" s="0" t="inlineStr">
        <is>
          <t>NULL</t>
        </is>
      </c>
      <c r="G1362" s="0" t="inlineStr">
        <is>
          <t>NULL</t>
        </is>
      </c>
      <c r="H1362" s="0" t="inlineStr">
        <is>
          <t>NULL</t>
        </is>
      </c>
      <c r="I1362" s="0" t="inlineStr">
        <is>
          <t>NULL</t>
        </is>
      </c>
      <c r="J1362" s="0" t="inlineStr">
        <is>
          <t>NULL</t>
        </is>
      </c>
      <c r="K1362" s="0" t="inlineStr">
        <is>
          <t>YES! 	 c_dtoffset_3列源备映射正确，源端为datetimeoffset None位	期望更改为datetimeoffset(n)	实际备端为datetimeoffset None位</t>
        </is>
      </c>
    </row>
    <row r="1363">
      <c r="B1363" s="0" t="inlineStr">
        <is>
          <t>NULL</t>
        </is>
      </c>
      <c r="C1363" s="0" t="inlineStr">
        <is>
          <t>NULL</t>
        </is>
      </c>
      <c r="D1363" s="0" t="inlineStr">
        <is>
          <t>NULL</t>
        </is>
      </c>
      <c r="E1363" s="0" t="inlineStr">
        <is>
          <t>NULL</t>
        </is>
      </c>
      <c r="F1363" s="0" t="inlineStr">
        <is>
          <t>NULL</t>
        </is>
      </c>
      <c r="G1363" s="0" t="inlineStr">
        <is>
          <t>NULL</t>
        </is>
      </c>
      <c r="H1363" s="0" t="inlineStr">
        <is>
          <t>NULL</t>
        </is>
      </c>
      <c r="I1363" s="0" t="inlineStr">
        <is>
          <t>NULL</t>
        </is>
      </c>
      <c r="J1363" s="0" t="inlineStr">
        <is>
          <t>NULL</t>
        </is>
      </c>
      <c r="K1363" s="0" t="inlineStr">
        <is>
          <t>YES! 	 c_dtoffset_4列源备映射正确，源端为datetimeoffset None位	期望更改为datetimeoffset(n)	实际备端为datetimeoffset None位</t>
        </is>
      </c>
    </row>
    <row r="1364">
      <c r="B1364" s="0" t="inlineStr">
        <is>
          <t>NULL</t>
        </is>
      </c>
      <c r="C1364" s="0" t="inlineStr">
        <is>
          <t>NULL</t>
        </is>
      </c>
      <c r="D1364" s="0" t="inlineStr">
        <is>
          <t>NULL</t>
        </is>
      </c>
      <c r="E1364" s="0" t="inlineStr">
        <is>
          <t>NULL</t>
        </is>
      </c>
      <c r="F1364" s="0" t="inlineStr">
        <is>
          <t>NULL</t>
        </is>
      </c>
      <c r="G1364" s="0" t="inlineStr">
        <is>
          <t>NULL</t>
        </is>
      </c>
      <c r="H1364" s="0" t="inlineStr">
        <is>
          <t>NULL</t>
        </is>
      </c>
      <c r="I1364" s="0" t="inlineStr">
        <is>
          <t>NULL</t>
        </is>
      </c>
      <c r="J1364" s="0" t="inlineStr">
        <is>
          <t>NULL</t>
        </is>
      </c>
      <c r="K1364" s="0" t="inlineStr">
        <is>
          <t>YES! 	 c_dtoffset_5列源备映射正确，源端为datetimeoffset None位	期望更改为datetimeoffset(n)	实际备端为datetimeoffset None位</t>
        </is>
      </c>
    </row>
    <row r="1365">
      <c r="B1365" s="0" t="inlineStr">
        <is>
          <t>NULL</t>
        </is>
      </c>
      <c r="C1365" s="0" t="inlineStr">
        <is>
          <t>NULL</t>
        </is>
      </c>
      <c r="D1365" s="0" t="inlineStr">
        <is>
          <t>NULL</t>
        </is>
      </c>
      <c r="E1365" s="0" t="inlineStr">
        <is>
          <t>NULL</t>
        </is>
      </c>
      <c r="F1365" s="0" t="inlineStr">
        <is>
          <t>NULL</t>
        </is>
      </c>
      <c r="G1365" s="0" t="inlineStr">
        <is>
          <t>NULL</t>
        </is>
      </c>
      <c r="H1365" s="0" t="inlineStr">
        <is>
          <t>NULL</t>
        </is>
      </c>
      <c r="I1365" s="0" t="inlineStr">
        <is>
          <t>NULL</t>
        </is>
      </c>
      <c r="J1365" s="0" t="inlineStr">
        <is>
          <t>NULL</t>
        </is>
      </c>
      <c r="K1365" s="0" t="inlineStr">
        <is>
          <t>YES! 	 c_dtoffset_6列源备映射正确，源端为datetimeoffset None位	期望更改为datetimeoffset(n)	实际备端为datetimeoffset None位</t>
        </is>
      </c>
    </row>
    <row r="1366">
      <c r="B1366" s="0" t="inlineStr">
        <is>
          <t>NULL</t>
        </is>
      </c>
      <c r="C1366" s="0" t="inlineStr">
        <is>
          <t>NULL</t>
        </is>
      </c>
      <c r="D1366" s="0" t="inlineStr">
        <is>
          <t>NULL</t>
        </is>
      </c>
      <c r="E1366" s="0" t="inlineStr">
        <is>
          <t>NULL</t>
        </is>
      </c>
      <c r="F1366" s="0" t="inlineStr">
        <is>
          <t>NULL</t>
        </is>
      </c>
      <c r="G1366" s="0" t="inlineStr">
        <is>
          <t>NULL</t>
        </is>
      </c>
      <c r="H1366" s="0" t="inlineStr">
        <is>
          <t>NULL</t>
        </is>
      </c>
      <c r="I1366" s="0" t="inlineStr">
        <is>
          <t>NULL</t>
        </is>
      </c>
      <c r="J1366" s="0" t="inlineStr">
        <is>
          <t>NULL</t>
        </is>
      </c>
      <c r="K1366" s="0" t="inlineStr">
        <is>
          <t>YES! 	 c_dtoffset列源备映射正确，源端为datetimeoffset None位	期望更改为datetimeoffset(n)	实际备端为datetimeoffset None位</t>
        </is>
      </c>
    </row>
    <row r="1367">
      <c r="A1367" s="0" t="inlineStr">
        <is>
          <t>info_sdt_dml_single_nopk</t>
        </is>
      </c>
      <c r="K1367" s="0" t="inlineStr">
        <is>
          <t>[0;34m info_sdt_dml_single_nopk [0m源备字段数相同，源端字段：2 	备端字段2</t>
        </is>
      </c>
      <c r="W1367" s="0" t="inlineStr">
        <is>
          <t>YES 源备无差异</t>
        </is>
      </c>
      <c r="X1367" s="0">
        <f>A1367</f>
        <v/>
      </c>
    </row>
    <row r="1368">
      <c r="B1368" s="0" t="inlineStr">
        <is>
          <t>NULL</t>
        </is>
      </c>
      <c r="C1368" s="0" t="inlineStr">
        <is>
          <t>NULL</t>
        </is>
      </c>
      <c r="D1368" s="0" t="inlineStr">
        <is>
          <t>NULL</t>
        </is>
      </c>
      <c r="E1368" s="0" t="inlineStr">
        <is>
          <t>NULL</t>
        </is>
      </c>
      <c r="F1368" s="0" t="inlineStr">
        <is>
          <t>NULL</t>
        </is>
      </c>
      <c r="G1368" s="0" t="inlineStr">
        <is>
          <t>NULL</t>
        </is>
      </c>
      <c r="H1368" s="0" t="inlineStr">
        <is>
          <t>NULL</t>
        </is>
      </c>
      <c r="I1368" s="0" t="inlineStr">
        <is>
          <t>NULL</t>
        </is>
      </c>
      <c r="J1368" s="0" t="inlineStr">
        <is>
          <t>NULL</t>
        </is>
      </c>
      <c r="K1368" s="0" t="inlineStr">
        <is>
          <t>YES! 	 id列源备映射正确，源端为int None位	期望更改为int	实际备端为int None位</t>
        </is>
      </c>
    </row>
    <row r="1369">
      <c r="B1369" s="0" t="inlineStr">
        <is>
          <t>NULL</t>
        </is>
      </c>
      <c r="C1369" s="0" t="inlineStr">
        <is>
          <t>NULL</t>
        </is>
      </c>
      <c r="D1369" s="0" t="inlineStr">
        <is>
          <t>NULL</t>
        </is>
      </c>
      <c r="E1369" s="0" t="inlineStr">
        <is>
          <t>NULL</t>
        </is>
      </c>
      <c r="F1369" s="0" t="inlineStr">
        <is>
          <t>NULL</t>
        </is>
      </c>
      <c r="G1369" s="0" t="inlineStr">
        <is>
          <t>NULL</t>
        </is>
      </c>
      <c r="H1369" s="0" t="inlineStr">
        <is>
          <t>NULL</t>
        </is>
      </c>
      <c r="I1369" s="0" t="inlineStr">
        <is>
          <t>NULL</t>
        </is>
      </c>
      <c r="J1369" s="0" t="inlineStr">
        <is>
          <t>NULL</t>
        </is>
      </c>
      <c r="K1369" s="0" t="inlineStr">
        <is>
          <t>YES! 	 c_sdt列源备映射正确，源端为smalldatetime None位	期望更改为smalldatetime	实际备端为smalldatetime None位</t>
        </is>
      </c>
    </row>
    <row r="1370">
      <c r="A1370" s="0" t="inlineStr">
        <is>
          <t>info_varcharmax_dml_batch1_pk_irp2</t>
        </is>
      </c>
      <c r="K1370" s="0" t="inlineStr">
        <is>
          <t>[0;34m info_varcharmax_dml_batch1_pk_irp2 [0m源备字段数相同，源端字段：3 	备端字段3</t>
        </is>
      </c>
      <c r="W1370" s="0" t="inlineStr">
        <is>
          <t>YES 源备无差异</t>
        </is>
      </c>
      <c r="X1370" s="0">
        <f>A1370</f>
        <v/>
      </c>
    </row>
    <row r="1371">
      <c r="B1371" s="0" t="inlineStr">
        <is>
          <t>YES</t>
        </is>
      </c>
      <c r="C1371" s="0" t="inlineStr">
        <is>
          <t>NULL</t>
        </is>
      </c>
      <c r="D1371" s="0" t="inlineStr">
        <is>
          <t>NULL</t>
        </is>
      </c>
      <c r="E1371" s="0" t="inlineStr">
        <is>
          <t>NULL</t>
        </is>
      </c>
      <c r="F1371" s="0" t="inlineStr">
        <is>
          <t>NULL</t>
        </is>
      </c>
      <c r="G1371" s="0" t="inlineStr">
        <is>
          <t>NULL</t>
        </is>
      </c>
      <c r="H1371" s="0" t="inlineStr">
        <is>
          <t>NULL</t>
        </is>
      </c>
      <c r="I1371" s="0" t="inlineStr">
        <is>
          <t>YES!PK__info_var__3213E83F44B37052</t>
        </is>
      </c>
      <c r="J1371" s="0" t="inlineStr">
        <is>
          <t>YES! 主键相关索引</t>
        </is>
      </c>
      <c r="K1371" s="0" t="inlineStr">
        <is>
          <t>YES! 	 id列源备映射正确，源端为int None位	期望更改为int	实际备端为int None位</t>
        </is>
      </c>
    </row>
    <row r="1372">
      <c r="B1372" s="0" t="inlineStr">
        <is>
          <t>NULL</t>
        </is>
      </c>
      <c r="C1372" s="0" t="inlineStr">
        <is>
          <t>NULL</t>
        </is>
      </c>
      <c r="D1372" s="0" t="inlineStr">
        <is>
          <t>NULL</t>
        </is>
      </c>
      <c r="E1372" s="0" t="inlineStr">
        <is>
          <t>NULL</t>
        </is>
      </c>
      <c r="F1372" s="0" t="inlineStr">
        <is>
          <t>NULL</t>
        </is>
      </c>
      <c r="G1372" s="0" t="inlineStr">
        <is>
          <t>NULL</t>
        </is>
      </c>
      <c r="H1372" s="0" t="inlineStr">
        <is>
          <t>NULL</t>
        </is>
      </c>
      <c r="I1372" s="0" t="inlineStr">
        <is>
          <t>NULL</t>
        </is>
      </c>
      <c r="J1372" s="0" t="inlineStr">
        <is>
          <t>NULL</t>
        </is>
      </c>
      <c r="K1372" s="0" t="inlineStr">
        <is>
          <t>YES! 	 c_varchar_max列源备映射正确，源端为varchar -1位	期望更改为varchar(n)	实际备端为varchar -1位</t>
        </is>
      </c>
    </row>
    <row r="1373">
      <c r="B1373" s="0" t="inlineStr">
        <is>
          <t>NULL</t>
        </is>
      </c>
      <c r="C1373" s="0" t="inlineStr">
        <is>
          <t>NULL</t>
        </is>
      </c>
      <c r="D1373" s="0" t="inlineStr">
        <is>
          <t>NULL</t>
        </is>
      </c>
      <c r="E1373" s="0" t="inlineStr">
        <is>
          <t>NULL</t>
        </is>
      </c>
      <c r="F1373" s="0" t="inlineStr">
        <is>
          <t>NULL</t>
        </is>
      </c>
      <c r="G1373" s="0" t="inlineStr">
        <is>
          <t>NULL</t>
        </is>
      </c>
      <c r="H1373" s="0" t="inlineStr">
        <is>
          <t>NULL</t>
        </is>
      </c>
      <c r="I1373" s="0" t="inlineStr">
        <is>
          <t>NULL</t>
        </is>
      </c>
      <c r="J1373" s="0" t="inlineStr">
        <is>
          <t>NULL</t>
        </is>
      </c>
      <c r="K1373" s="0" t="inlineStr">
        <is>
          <t>YES! 	 c_nvarchar_max列源备映射正确，源端为nvarchar -1位	期望更改为nvarchar(n)	实际备端为nvarchar -1位</t>
        </is>
      </c>
    </row>
    <row r="1374">
      <c r="K1374" s="0" t="inlineStr">
        <is>
          <t>~ 空表</t>
        </is>
      </c>
    </row>
    <row r="1375">
      <c r="A1375" s="0" t="inlineStr">
        <is>
          <t>info_datetime2_dml_single_pk</t>
        </is>
      </c>
      <c r="K1375" s="0" t="inlineStr">
        <is>
          <t>[0;34m info_datetime2_dml_single_pk [0m源备字段数相同，源端字段：9 	备端字段9</t>
        </is>
      </c>
      <c r="W1375" s="0" t="inlineStr">
        <is>
          <t>YES 源备无差异</t>
        </is>
      </c>
      <c r="X1375" s="0">
        <f>A1375</f>
        <v/>
      </c>
    </row>
    <row r="1376">
      <c r="B1376" s="0" t="inlineStr">
        <is>
          <t>YES</t>
        </is>
      </c>
      <c r="C1376" s="0" t="inlineStr">
        <is>
          <t>NULL</t>
        </is>
      </c>
      <c r="D1376" s="0" t="inlineStr">
        <is>
          <t>NULL</t>
        </is>
      </c>
      <c r="E1376" s="0" t="inlineStr">
        <is>
          <t>NULL</t>
        </is>
      </c>
      <c r="F1376" s="0" t="inlineStr">
        <is>
          <t>NULL</t>
        </is>
      </c>
      <c r="G1376" s="0" t="inlineStr">
        <is>
          <t>NULL</t>
        </is>
      </c>
      <c r="H1376" s="0" t="inlineStr">
        <is>
          <t>NULL</t>
        </is>
      </c>
      <c r="I1376" s="0" t="inlineStr">
        <is>
          <t>YES!PK__info_dat__3213E83FBD2E2D87</t>
        </is>
      </c>
      <c r="J1376" s="0" t="inlineStr">
        <is>
          <t>YES! 主键相关索引</t>
        </is>
      </c>
      <c r="K1376" s="0" t="inlineStr">
        <is>
          <t>YES! 	 id列源备映射正确，源端为int None位	期望更改为int	实际备端为int None位</t>
        </is>
      </c>
    </row>
    <row r="1377">
      <c r="B1377" s="0" t="inlineStr">
        <is>
          <t>NULL</t>
        </is>
      </c>
      <c r="C1377" s="0" t="inlineStr">
        <is>
          <t>NULL</t>
        </is>
      </c>
      <c r="D1377" s="0" t="inlineStr">
        <is>
          <t>NULL</t>
        </is>
      </c>
      <c r="E1377" s="0" t="inlineStr">
        <is>
          <t>NULL</t>
        </is>
      </c>
      <c r="F1377" s="0" t="inlineStr">
        <is>
          <t>NULL</t>
        </is>
      </c>
      <c r="G1377" s="0" t="inlineStr">
        <is>
          <t>NULL</t>
        </is>
      </c>
      <c r="H1377" s="0" t="inlineStr">
        <is>
          <t>NULL</t>
        </is>
      </c>
      <c r="I1377" s="0" t="inlineStr">
        <is>
          <t>NULL</t>
        </is>
      </c>
      <c r="J1377" s="0" t="inlineStr">
        <is>
          <t>NULL</t>
        </is>
      </c>
      <c r="K1377" s="0" t="inlineStr">
        <is>
          <t>no,len不存在</t>
        </is>
      </c>
    </row>
    <row r="1378">
      <c r="B1378" s="0" t="inlineStr">
        <is>
          <t>NULL</t>
        </is>
      </c>
      <c r="C1378" s="0" t="inlineStr">
        <is>
          <t>NULL</t>
        </is>
      </c>
      <c r="D1378" s="0" t="inlineStr">
        <is>
          <t>NULL</t>
        </is>
      </c>
      <c r="E1378" s="0" t="inlineStr">
        <is>
          <t>NULL</t>
        </is>
      </c>
      <c r="F1378" s="0" t="inlineStr">
        <is>
          <t>NULL</t>
        </is>
      </c>
      <c r="G1378" s="0" t="inlineStr">
        <is>
          <t>NULL</t>
        </is>
      </c>
      <c r="H1378" s="0" t="inlineStr">
        <is>
          <t>NULL</t>
        </is>
      </c>
      <c r="I1378" s="0" t="inlineStr">
        <is>
          <t>NULL</t>
        </is>
      </c>
      <c r="J1378" s="0" t="inlineStr">
        <is>
          <t>NULL</t>
        </is>
      </c>
      <c r="K1378" s="0" t="inlineStr">
        <is>
          <t>YES! 	 c_dt2_1列源备映射正确，源端为datetime2 None位	期望更改为datetime2(n)	实际备端为datetime2 None位</t>
        </is>
      </c>
    </row>
    <row r="1379">
      <c r="B1379" s="0" t="inlineStr">
        <is>
          <t>NULL</t>
        </is>
      </c>
      <c r="C1379" s="0" t="inlineStr">
        <is>
          <t>NULL</t>
        </is>
      </c>
      <c r="D1379" s="0" t="inlineStr">
        <is>
          <t>NULL</t>
        </is>
      </c>
      <c r="E1379" s="0" t="inlineStr">
        <is>
          <t>NULL</t>
        </is>
      </c>
      <c r="F1379" s="0" t="inlineStr">
        <is>
          <t>NULL</t>
        </is>
      </c>
      <c r="G1379" s="0" t="inlineStr">
        <is>
          <t>NULL</t>
        </is>
      </c>
      <c r="H1379" s="0" t="inlineStr">
        <is>
          <t>NULL</t>
        </is>
      </c>
      <c r="I1379" s="0" t="inlineStr">
        <is>
          <t>NULL</t>
        </is>
      </c>
      <c r="J1379" s="0" t="inlineStr">
        <is>
          <t>NULL</t>
        </is>
      </c>
      <c r="K1379" s="0" t="inlineStr">
        <is>
          <t>YES! 	 c_dt2_2列源备映射正确，源端为datetime2 None位	期望更改为datetime2(n)	实际备端为datetime2 None位</t>
        </is>
      </c>
    </row>
    <row r="1380">
      <c r="B1380" s="0" t="inlineStr">
        <is>
          <t>NULL</t>
        </is>
      </c>
      <c r="C1380" s="0" t="inlineStr">
        <is>
          <t>NULL</t>
        </is>
      </c>
      <c r="D1380" s="0" t="inlineStr">
        <is>
          <t>NULL</t>
        </is>
      </c>
      <c r="E1380" s="0" t="inlineStr">
        <is>
          <t>NULL</t>
        </is>
      </c>
      <c r="F1380" s="0" t="inlineStr">
        <is>
          <t>NULL</t>
        </is>
      </c>
      <c r="G1380" s="0" t="inlineStr">
        <is>
          <t>NULL</t>
        </is>
      </c>
      <c r="H1380" s="0" t="inlineStr">
        <is>
          <t>NULL</t>
        </is>
      </c>
      <c r="I1380" s="0" t="inlineStr">
        <is>
          <t>NULL</t>
        </is>
      </c>
      <c r="J1380" s="0" t="inlineStr">
        <is>
          <t>NULL</t>
        </is>
      </c>
      <c r="K1380" s="0" t="inlineStr">
        <is>
          <t>YES! 	 c_dt2_3列源备映射正确，源端为datetime2 None位	期望更改为datetime2(n)	实际备端为datetime2 None位</t>
        </is>
      </c>
    </row>
    <row r="1381">
      <c r="B1381" s="0" t="inlineStr">
        <is>
          <t>NULL</t>
        </is>
      </c>
      <c r="C1381" s="0" t="inlineStr">
        <is>
          <t>NULL</t>
        </is>
      </c>
      <c r="D1381" s="0" t="inlineStr">
        <is>
          <t>NULL</t>
        </is>
      </c>
      <c r="E1381" s="0" t="inlineStr">
        <is>
          <t>NULL</t>
        </is>
      </c>
      <c r="F1381" s="0" t="inlineStr">
        <is>
          <t>NULL</t>
        </is>
      </c>
      <c r="G1381" s="0" t="inlineStr">
        <is>
          <t>NULL</t>
        </is>
      </c>
      <c r="H1381" s="0" t="inlineStr">
        <is>
          <t>NULL</t>
        </is>
      </c>
      <c r="I1381" s="0" t="inlineStr">
        <is>
          <t>NULL</t>
        </is>
      </c>
      <c r="J1381" s="0" t="inlineStr">
        <is>
          <t>NULL</t>
        </is>
      </c>
      <c r="K1381" s="0" t="inlineStr">
        <is>
          <t>YES! 	 c_dt2_4列源备映射正确，源端为datetime2 None位	期望更改为datetime2(n)	实际备端为datetime2 None位</t>
        </is>
      </c>
    </row>
    <row r="1382">
      <c r="B1382" s="0" t="inlineStr">
        <is>
          <t>NULL</t>
        </is>
      </c>
      <c r="C1382" s="0" t="inlineStr">
        <is>
          <t>NULL</t>
        </is>
      </c>
      <c r="D1382" s="0" t="inlineStr">
        <is>
          <t>NULL</t>
        </is>
      </c>
      <c r="E1382" s="0" t="inlineStr">
        <is>
          <t>NULL</t>
        </is>
      </c>
      <c r="F1382" s="0" t="inlineStr">
        <is>
          <t>NULL</t>
        </is>
      </c>
      <c r="G1382" s="0" t="inlineStr">
        <is>
          <t>NULL</t>
        </is>
      </c>
      <c r="H1382" s="0" t="inlineStr">
        <is>
          <t>NULL</t>
        </is>
      </c>
      <c r="I1382" s="0" t="inlineStr">
        <is>
          <t>NULL</t>
        </is>
      </c>
      <c r="J1382" s="0" t="inlineStr">
        <is>
          <t>NULL</t>
        </is>
      </c>
      <c r="K1382" s="0" t="inlineStr">
        <is>
          <t>YES! 	 c_dt2_5列源备映射正确，源端为datetime2 None位	期望更改为datetime2(n)	实际备端为datetime2 None位</t>
        </is>
      </c>
    </row>
    <row r="1383">
      <c r="B1383" s="0" t="inlineStr">
        <is>
          <t>NULL</t>
        </is>
      </c>
      <c r="C1383" s="0" t="inlineStr">
        <is>
          <t>NULL</t>
        </is>
      </c>
      <c r="D1383" s="0" t="inlineStr">
        <is>
          <t>NULL</t>
        </is>
      </c>
      <c r="E1383" s="0" t="inlineStr">
        <is>
          <t>NULL</t>
        </is>
      </c>
      <c r="F1383" s="0" t="inlineStr">
        <is>
          <t>NULL</t>
        </is>
      </c>
      <c r="G1383" s="0" t="inlineStr">
        <is>
          <t>NULL</t>
        </is>
      </c>
      <c r="H1383" s="0" t="inlineStr">
        <is>
          <t>NULL</t>
        </is>
      </c>
      <c r="I1383" s="0" t="inlineStr">
        <is>
          <t>NULL</t>
        </is>
      </c>
      <c r="J1383" s="0" t="inlineStr">
        <is>
          <t>NULL</t>
        </is>
      </c>
      <c r="K1383" s="0" t="inlineStr">
        <is>
          <t>YES! 	 c_dt2_6列源备映射正确，源端为datetime2 None位	期望更改为datetime2(n)	实际备端为datetime2 None位</t>
        </is>
      </c>
    </row>
    <row r="1384">
      <c r="B1384" s="0" t="inlineStr">
        <is>
          <t>NULL</t>
        </is>
      </c>
      <c r="C1384" s="0" t="inlineStr">
        <is>
          <t>NULL</t>
        </is>
      </c>
      <c r="D1384" s="0" t="inlineStr">
        <is>
          <t>NULL</t>
        </is>
      </c>
      <c r="E1384" s="0" t="inlineStr">
        <is>
          <t>NULL</t>
        </is>
      </c>
      <c r="F1384" s="0" t="inlineStr">
        <is>
          <t>NULL</t>
        </is>
      </c>
      <c r="G1384" s="0" t="inlineStr">
        <is>
          <t>NULL</t>
        </is>
      </c>
      <c r="H1384" s="0" t="inlineStr">
        <is>
          <t>NULL</t>
        </is>
      </c>
      <c r="I1384" s="0" t="inlineStr">
        <is>
          <t>NULL</t>
        </is>
      </c>
      <c r="J1384" s="0" t="inlineStr">
        <is>
          <t>NULL</t>
        </is>
      </c>
      <c r="K1384" s="0" t="inlineStr">
        <is>
          <t>YES! 	 c_dt2列源备映射正确，源端为datetime2 None位	期望更改为datetime2(n)	实际备端为datetime2 None位</t>
        </is>
      </c>
    </row>
    <row r="1385">
      <c r="A1385" s="0" t="inlineStr">
        <is>
          <t>info_datetime_dml_single_nopk_irp</t>
        </is>
      </c>
      <c r="K1385" s="0" t="inlineStr">
        <is>
          <t>[0;34m info_datetime_dml_single_nopk_irp [0m源备字段数相同，源端字段：2 	备端字段2</t>
        </is>
      </c>
      <c r="W1385" s="0" t="inlineStr">
        <is>
          <t>YES 源备无差异</t>
        </is>
      </c>
      <c r="X1385" s="0">
        <f>A1385</f>
        <v/>
      </c>
    </row>
    <row r="1386">
      <c r="B1386" s="0" t="inlineStr">
        <is>
          <t>NULL</t>
        </is>
      </c>
      <c r="C1386" s="0" t="inlineStr">
        <is>
          <t>NULL</t>
        </is>
      </c>
      <c r="D1386" s="0" t="inlineStr">
        <is>
          <t>NULL</t>
        </is>
      </c>
      <c r="E1386" s="0" t="inlineStr">
        <is>
          <t>NULL</t>
        </is>
      </c>
      <c r="F1386" s="0" t="inlineStr">
        <is>
          <t>NULL</t>
        </is>
      </c>
      <c r="G1386" s="0" t="inlineStr">
        <is>
          <t>NULL</t>
        </is>
      </c>
      <c r="H1386" s="0" t="inlineStr">
        <is>
          <t>NULL</t>
        </is>
      </c>
      <c r="I1386" s="0" t="inlineStr">
        <is>
          <t>NULL</t>
        </is>
      </c>
      <c r="J1386" s="0" t="inlineStr">
        <is>
          <t>NULL</t>
        </is>
      </c>
      <c r="K1386" s="0" t="inlineStr">
        <is>
          <t>YES! 	 id列源备映射正确，源端为int None位	期望更改为int	实际备端为int None位</t>
        </is>
      </c>
    </row>
    <row r="1387">
      <c r="B1387" s="0" t="inlineStr">
        <is>
          <t>NULL</t>
        </is>
      </c>
      <c r="C1387" s="0" t="inlineStr">
        <is>
          <t>NULL</t>
        </is>
      </c>
      <c r="D1387" s="0" t="inlineStr">
        <is>
          <t>NULL</t>
        </is>
      </c>
      <c r="E1387" s="0" t="inlineStr">
        <is>
          <t>NULL</t>
        </is>
      </c>
      <c r="F1387" s="0" t="inlineStr">
        <is>
          <t>NULL</t>
        </is>
      </c>
      <c r="G1387" s="0" t="inlineStr">
        <is>
          <t>NULL</t>
        </is>
      </c>
      <c r="H1387" s="0" t="inlineStr">
        <is>
          <t>NULL</t>
        </is>
      </c>
      <c r="I1387" s="0" t="inlineStr">
        <is>
          <t>NULL</t>
        </is>
      </c>
      <c r="J1387" s="0" t="inlineStr">
        <is>
          <t>NULL</t>
        </is>
      </c>
      <c r="K1387" s="0" t="inlineStr">
        <is>
          <t>YES! 	 c_datetime列源备映射正确，源端为datetime None位	期望更改为datetime	实际备端为datetime None位</t>
        </is>
      </c>
    </row>
    <row r="1388">
      <c r="A1388" s="0" t="inlineStr">
        <is>
          <t>info_datetimeoffset_dml_batch1_pk_drp1</t>
        </is>
      </c>
      <c r="K1388" s="0" t="inlineStr">
        <is>
          <t>[0;34m info_datetimeoffset_dml_batch1_pk_drp1 [0m源备字段数相同，源端字段：9 	备端字段9</t>
        </is>
      </c>
      <c r="W1388" s="0" t="inlineStr">
        <is>
          <t>YES 源备无差异</t>
        </is>
      </c>
      <c r="X1388" s="0">
        <f>A1388</f>
        <v/>
      </c>
    </row>
    <row r="1389">
      <c r="B1389" s="0" t="inlineStr">
        <is>
          <t>YES</t>
        </is>
      </c>
      <c r="C1389" s="0" t="inlineStr">
        <is>
          <t>NULL</t>
        </is>
      </c>
      <c r="D1389" s="0" t="inlineStr">
        <is>
          <t>NULL</t>
        </is>
      </c>
      <c r="E1389" s="0" t="inlineStr">
        <is>
          <t>NULL</t>
        </is>
      </c>
      <c r="F1389" s="0" t="inlineStr">
        <is>
          <t>NULL</t>
        </is>
      </c>
      <c r="G1389" s="0" t="inlineStr">
        <is>
          <t>NULL</t>
        </is>
      </c>
      <c r="H1389" s="0" t="inlineStr">
        <is>
          <t>NULL</t>
        </is>
      </c>
      <c r="I1389" s="0" t="inlineStr">
        <is>
          <t>YES!PK__info_dat__3213E83F0155A89F</t>
        </is>
      </c>
      <c r="J1389" s="0" t="inlineStr">
        <is>
          <t>YES! 主键相关索引</t>
        </is>
      </c>
      <c r="K1389" s="0" t="inlineStr">
        <is>
          <t>YES! 	 id列源备映射正确，源端为int None位	期望更改为int	实际备端为int None位</t>
        </is>
      </c>
    </row>
    <row r="1390">
      <c r="B1390" s="0" t="inlineStr">
        <is>
          <t>NULL</t>
        </is>
      </c>
      <c r="C1390" s="0" t="inlineStr">
        <is>
          <t>NULL</t>
        </is>
      </c>
      <c r="D1390" s="0" t="inlineStr">
        <is>
          <t>NULL</t>
        </is>
      </c>
      <c r="E1390" s="0" t="inlineStr">
        <is>
          <t>NULL</t>
        </is>
      </c>
      <c r="F1390" s="0" t="inlineStr">
        <is>
          <t>NULL</t>
        </is>
      </c>
      <c r="G1390" s="0" t="inlineStr">
        <is>
          <t>NULL</t>
        </is>
      </c>
      <c r="H1390" s="0" t="inlineStr">
        <is>
          <t>NULL</t>
        </is>
      </c>
      <c r="I1390" s="0" t="inlineStr">
        <is>
          <t>NULL</t>
        </is>
      </c>
      <c r="J1390" s="0" t="inlineStr">
        <is>
          <t>NULL</t>
        </is>
      </c>
      <c r="K1390" s="0" t="inlineStr">
        <is>
          <t>no,len不存在</t>
        </is>
      </c>
    </row>
    <row r="1391">
      <c r="B1391" s="0" t="inlineStr">
        <is>
          <t>NULL</t>
        </is>
      </c>
      <c r="C1391" s="0" t="inlineStr">
        <is>
          <t>NULL</t>
        </is>
      </c>
      <c r="D1391" s="0" t="inlineStr">
        <is>
          <t>NULL</t>
        </is>
      </c>
      <c r="E1391" s="0" t="inlineStr">
        <is>
          <t>NULL</t>
        </is>
      </c>
      <c r="F1391" s="0" t="inlineStr">
        <is>
          <t>NULL</t>
        </is>
      </c>
      <c r="G1391" s="0" t="inlineStr">
        <is>
          <t>NULL</t>
        </is>
      </c>
      <c r="H1391" s="0" t="inlineStr">
        <is>
          <t>NULL</t>
        </is>
      </c>
      <c r="I1391" s="0" t="inlineStr">
        <is>
          <t>NULL</t>
        </is>
      </c>
      <c r="J1391" s="0" t="inlineStr">
        <is>
          <t>NULL</t>
        </is>
      </c>
      <c r="K1391" s="0" t="inlineStr">
        <is>
          <t>YES! 	 c_dtoffset_1列源备映射正确，源端为datetimeoffset None位	期望更改为datetimeoffset(n)	实际备端为datetimeoffset None位</t>
        </is>
      </c>
    </row>
    <row r="1392">
      <c r="B1392" s="0" t="inlineStr">
        <is>
          <t>NULL</t>
        </is>
      </c>
      <c r="C1392" s="0" t="inlineStr">
        <is>
          <t>NULL</t>
        </is>
      </c>
      <c r="D1392" s="0" t="inlineStr">
        <is>
          <t>NULL</t>
        </is>
      </c>
      <c r="E1392" s="0" t="inlineStr">
        <is>
          <t>NULL</t>
        </is>
      </c>
      <c r="F1392" s="0" t="inlineStr">
        <is>
          <t>NULL</t>
        </is>
      </c>
      <c r="G1392" s="0" t="inlineStr">
        <is>
          <t>NULL</t>
        </is>
      </c>
      <c r="H1392" s="0" t="inlineStr">
        <is>
          <t>NULL</t>
        </is>
      </c>
      <c r="I1392" s="0" t="inlineStr">
        <is>
          <t>NULL</t>
        </is>
      </c>
      <c r="J1392" s="0" t="inlineStr">
        <is>
          <t>NULL</t>
        </is>
      </c>
      <c r="K1392" s="0" t="inlineStr">
        <is>
          <t>YES! 	 c_dtoffset_2列源备映射正确，源端为datetimeoffset None位	期望更改为datetimeoffset(n)	实际备端为datetimeoffset None位</t>
        </is>
      </c>
    </row>
    <row r="1393">
      <c r="B1393" s="0" t="inlineStr">
        <is>
          <t>NULL</t>
        </is>
      </c>
      <c r="C1393" s="0" t="inlineStr">
        <is>
          <t>NULL</t>
        </is>
      </c>
      <c r="D1393" s="0" t="inlineStr">
        <is>
          <t>NULL</t>
        </is>
      </c>
      <c r="E1393" s="0" t="inlineStr">
        <is>
          <t>NULL</t>
        </is>
      </c>
      <c r="F1393" s="0" t="inlineStr">
        <is>
          <t>NULL</t>
        </is>
      </c>
      <c r="G1393" s="0" t="inlineStr">
        <is>
          <t>NULL</t>
        </is>
      </c>
      <c r="H1393" s="0" t="inlineStr">
        <is>
          <t>NULL</t>
        </is>
      </c>
      <c r="I1393" s="0" t="inlineStr">
        <is>
          <t>NULL</t>
        </is>
      </c>
      <c r="J1393" s="0" t="inlineStr">
        <is>
          <t>NULL</t>
        </is>
      </c>
      <c r="K1393" s="0" t="inlineStr">
        <is>
          <t>YES! 	 c_dtoffset_3列源备映射正确，源端为datetimeoffset None位	期望更改为datetimeoffset(n)	实际备端为datetimeoffset None位</t>
        </is>
      </c>
    </row>
    <row r="1394">
      <c r="B1394" s="0" t="inlineStr">
        <is>
          <t>NULL</t>
        </is>
      </c>
      <c r="C1394" s="0" t="inlineStr">
        <is>
          <t>NULL</t>
        </is>
      </c>
      <c r="D1394" s="0" t="inlineStr">
        <is>
          <t>NULL</t>
        </is>
      </c>
      <c r="E1394" s="0" t="inlineStr">
        <is>
          <t>NULL</t>
        </is>
      </c>
      <c r="F1394" s="0" t="inlineStr">
        <is>
          <t>NULL</t>
        </is>
      </c>
      <c r="G1394" s="0" t="inlineStr">
        <is>
          <t>NULL</t>
        </is>
      </c>
      <c r="H1394" s="0" t="inlineStr">
        <is>
          <t>NULL</t>
        </is>
      </c>
      <c r="I1394" s="0" t="inlineStr">
        <is>
          <t>NULL</t>
        </is>
      </c>
      <c r="J1394" s="0" t="inlineStr">
        <is>
          <t>NULL</t>
        </is>
      </c>
      <c r="K1394" s="0" t="inlineStr">
        <is>
          <t>YES! 	 c_dtoffset_4列源备映射正确，源端为datetimeoffset None位	期望更改为datetimeoffset(n)	实际备端为datetimeoffset None位</t>
        </is>
      </c>
    </row>
    <row r="1395">
      <c r="B1395" s="0" t="inlineStr">
        <is>
          <t>NULL</t>
        </is>
      </c>
      <c r="C1395" s="0" t="inlineStr">
        <is>
          <t>NULL</t>
        </is>
      </c>
      <c r="D1395" s="0" t="inlineStr">
        <is>
          <t>NULL</t>
        </is>
      </c>
      <c r="E1395" s="0" t="inlineStr">
        <is>
          <t>NULL</t>
        </is>
      </c>
      <c r="F1395" s="0" t="inlineStr">
        <is>
          <t>NULL</t>
        </is>
      </c>
      <c r="G1395" s="0" t="inlineStr">
        <is>
          <t>NULL</t>
        </is>
      </c>
      <c r="H1395" s="0" t="inlineStr">
        <is>
          <t>NULL</t>
        </is>
      </c>
      <c r="I1395" s="0" t="inlineStr">
        <is>
          <t>NULL</t>
        </is>
      </c>
      <c r="J1395" s="0" t="inlineStr">
        <is>
          <t>NULL</t>
        </is>
      </c>
      <c r="K1395" s="0" t="inlineStr">
        <is>
          <t>YES! 	 c_dtoffset_5列源备映射正确，源端为datetimeoffset None位	期望更改为datetimeoffset(n)	实际备端为datetimeoffset None位</t>
        </is>
      </c>
    </row>
    <row r="1396">
      <c r="B1396" s="0" t="inlineStr">
        <is>
          <t>NULL</t>
        </is>
      </c>
      <c r="C1396" s="0" t="inlineStr">
        <is>
          <t>NULL</t>
        </is>
      </c>
      <c r="D1396" s="0" t="inlineStr">
        <is>
          <t>NULL</t>
        </is>
      </c>
      <c r="E1396" s="0" t="inlineStr">
        <is>
          <t>NULL</t>
        </is>
      </c>
      <c r="F1396" s="0" t="inlineStr">
        <is>
          <t>NULL</t>
        </is>
      </c>
      <c r="G1396" s="0" t="inlineStr">
        <is>
          <t>NULL</t>
        </is>
      </c>
      <c r="H1396" s="0" t="inlineStr">
        <is>
          <t>NULL</t>
        </is>
      </c>
      <c r="I1396" s="0" t="inlineStr">
        <is>
          <t>NULL</t>
        </is>
      </c>
      <c r="J1396" s="0" t="inlineStr">
        <is>
          <t>NULL</t>
        </is>
      </c>
      <c r="K1396" s="0" t="inlineStr">
        <is>
          <t>YES! 	 c_dtoffset_6列源备映射正确，源端为datetimeoffset None位	期望更改为datetimeoffset(n)	实际备端为datetimeoffset None位</t>
        </is>
      </c>
    </row>
    <row r="1397">
      <c r="B1397" s="0" t="inlineStr">
        <is>
          <t>NULL</t>
        </is>
      </c>
      <c r="C1397" s="0" t="inlineStr">
        <is>
          <t>NULL</t>
        </is>
      </c>
      <c r="D1397" s="0" t="inlineStr">
        <is>
          <t>NULL</t>
        </is>
      </c>
      <c r="E1397" s="0" t="inlineStr">
        <is>
          <t>NULL</t>
        </is>
      </c>
      <c r="F1397" s="0" t="inlineStr">
        <is>
          <t>NULL</t>
        </is>
      </c>
      <c r="G1397" s="0" t="inlineStr">
        <is>
          <t>NULL</t>
        </is>
      </c>
      <c r="H1397" s="0" t="inlineStr">
        <is>
          <t>NULL</t>
        </is>
      </c>
      <c r="I1397" s="0" t="inlineStr">
        <is>
          <t>NULL</t>
        </is>
      </c>
      <c r="J1397" s="0" t="inlineStr">
        <is>
          <t>NULL</t>
        </is>
      </c>
      <c r="K1397" s="0" t="inlineStr">
        <is>
          <t>YES! 	 c_dtoffset列源备映射正确，源端为datetimeoffset None位	期望更改为datetimeoffset(n)	实际备端为datetimeoffset None位</t>
        </is>
      </c>
    </row>
    <row r="1398">
      <c r="K1398" s="0" t="inlineStr">
        <is>
          <t>~ 空表</t>
        </is>
      </c>
    </row>
    <row r="1399">
      <c r="A1399" s="0" t="inlineStr">
        <is>
          <t>info_datetime_dml_single_nopk_urp</t>
        </is>
      </c>
      <c r="K1399" s="0" t="inlineStr">
        <is>
          <t>[0;34m info_datetime_dml_single_nopk_urp [0m源备字段数相同，源端字段：2 	备端字段2</t>
        </is>
      </c>
      <c r="W1399" s="0" t="inlineStr">
        <is>
          <t>YES 源备无差异</t>
        </is>
      </c>
      <c r="X1399" s="0">
        <f>A1399</f>
        <v/>
      </c>
    </row>
    <row r="1400">
      <c r="B1400" s="0" t="inlineStr">
        <is>
          <t>NULL</t>
        </is>
      </c>
      <c r="C1400" s="0" t="inlineStr">
        <is>
          <t>NULL</t>
        </is>
      </c>
      <c r="D1400" s="0" t="inlineStr">
        <is>
          <t>NULL</t>
        </is>
      </c>
      <c r="E1400" s="0" t="inlineStr">
        <is>
          <t>NULL</t>
        </is>
      </c>
      <c r="F1400" s="0" t="inlineStr">
        <is>
          <t>NULL</t>
        </is>
      </c>
      <c r="G1400" s="0" t="inlineStr">
        <is>
          <t>NULL</t>
        </is>
      </c>
      <c r="H1400" s="0" t="inlineStr">
        <is>
          <t>NULL</t>
        </is>
      </c>
      <c r="I1400" s="0" t="inlineStr">
        <is>
          <t>NULL</t>
        </is>
      </c>
      <c r="J1400" s="0" t="inlineStr">
        <is>
          <t>NULL</t>
        </is>
      </c>
      <c r="K1400" s="0" t="inlineStr">
        <is>
          <t>YES! 	 id列源备映射正确，源端为int None位	期望更改为int	实际备端为int None位</t>
        </is>
      </c>
    </row>
    <row r="1401">
      <c r="B1401" s="0" t="inlineStr">
        <is>
          <t>NULL</t>
        </is>
      </c>
      <c r="C1401" s="0" t="inlineStr">
        <is>
          <t>NULL</t>
        </is>
      </c>
      <c r="D1401" s="0" t="inlineStr">
        <is>
          <t>NULL</t>
        </is>
      </c>
      <c r="E1401" s="0" t="inlineStr">
        <is>
          <t>NULL</t>
        </is>
      </c>
      <c r="F1401" s="0" t="inlineStr">
        <is>
          <t>NULL</t>
        </is>
      </c>
      <c r="G1401" s="0" t="inlineStr">
        <is>
          <t>NULL</t>
        </is>
      </c>
      <c r="H1401" s="0" t="inlineStr">
        <is>
          <t>NULL</t>
        </is>
      </c>
      <c r="I1401" s="0" t="inlineStr">
        <is>
          <t>NULL</t>
        </is>
      </c>
      <c r="J1401" s="0" t="inlineStr">
        <is>
          <t>NULL</t>
        </is>
      </c>
      <c r="K1401" s="0" t="inlineStr">
        <is>
          <t>YES! 	 c_datetime列源备映射正确，源端为datetime None位	期望更改为datetime	实际备端为datetime None位</t>
        </is>
      </c>
    </row>
    <row r="1402">
      <c r="A1402" s="0" t="inlineStr">
        <is>
          <t>info_varcharmax_dml_batch2_pk_irp1</t>
        </is>
      </c>
      <c r="K1402" s="0" t="inlineStr">
        <is>
          <t>[0;34m info_varcharmax_dml_batch2_pk_irp1 [0m源备字段数相同，源端字段：3 	备端字段3</t>
        </is>
      </c>
      <c r="W1402" s="0" t="inlineStr">
        <is>
          <t>YES 源备无差异</t>
        </is>
      </c>
      <c r="X1402" s="0">
        <f>A1402</f>
        <v/>
      </c>
    </row>
    <row r="1403">
      <c r="B1403" s="0" t="inlineStr">
        <is>
          <t>YES</t>
        </is>
      </c>
      <c r="C1403" s="0" t="inlineStr">
        <is>
          <t>NULL</t>
        </is>
      </c>
      <c r="D1403" s="0" t="inlineStr">
        <is>
          <t>NULL</t>
        </is>
      </c>
      <c r="E1403" s="0" t="inlineStr">
        <is>
          <t>NULL</t>
        </is>
      </c>
      <c r="F1403" s="0" t="inlineStr">
        <is>
          <t>NULL</t>
        </is>
      </c>
      <c r="G1403" s="0" t="inlineStr">
        <is>
          <t>NULL</t>
        </is>
      </c>
      <c r="H1403" s="0" t="inlineStr">
        <is>
          <t>NULL</t>
        </is>
      </c>
      <c r="I1403" s="0" t="inlineStr">
        <is>
          <t>YES!PK__info_var__3213E83F7B4AD6A5</t>
        </is>
      </c>
      <c r="J1403" s="0" t="inlineStr">
        <is>
          <t>YES! 主键相关索引</t>
        </is>
      </c>
      <c r="K1403" s="0" t="inlineStr">
        <is>
          <t>YES! 	 id列源备映射正确，源端为int None位	期望更改为int	实际备端为int None位</t>
        </is>
      </c>
    </row>
    <row r="1404">
      <c r="B1404" s="0" t="inlineStr">
        <is>
          <t>NULL</t>
        </is>
      </c>
      <c r="C1404" s="0" t="inlineStr">
        <is>
          <t>NULL</t>
        </is>
      </c>
      <c r="D1404" s="0" t="inlineStr">
        <is>
          <t>NULL</t>
        </is>
      </c>
      <c r="E1404" s="0" t="inlineStr">
        <is>
          <t>NULL</t>
        </is>
      </c>
      <c r="F1404" s="0" t="inlineStr">
        <is>
          <t>NULL</t>
        </is>
      </c>
      <c r="G1404" s="0" t="inlineStr">
        <is>
          <t>NULL</t>
        </is>
      </c>
      <c r="H1404" s="0" t="inlineStr">
        <is>
          <t>NULL</t>
        </is>
      </c>
      <c r="I1404" s="0" t="inlineStr">
        <is>
          <t>NULL</t>
        </is>
      </c>
      <c r="J1404" s="0" t="inlineStr">
        <is>
          <t>NULL</t>
        </is>
      </c>
      <c r="K1404" s="0" t="inlineStr">
        <is>
          <t>YES! 	 c_varchar_max列源备映射正确，源端为varchar -1位	期望更改为varchar(n)	实际备端为varchar -1位</t>
        </is>
      </c>
    </row>
    <row r="1405">
      <c r="B1405" s="0" t="inlineStr">
        <is>
          <t>NULL</t>
        </is>
      </c>
      <c r="C1405" s="0" t="inlineStr">
        <is>
          <t>NULL</t>
        </is>
      </c>
      <c r="D1405" s="0" t="inlineStr">
        <is>
          <t>NULL</t>
        </is>
      </c>
      <c r="E1405" s="0" t="inlineStr">
        <is>
          <t>NULL</t>
        </is>
      </c>
      <c r="F1405" s="0" t="inlineStr">
        <is>
          <t>NULL</t>
        </is>
      </c>
      <c r="G1405" s="0" t="inlineStr">
        <is>
          <t>NULL</t>
        </is>
      </c>
      <c r="H1405" s="0" t="inlineStr">
        <is>
          <t>NULL</t>
        </is>
      </c>
      <c r="I1405" s="0" t="inlineStr">
        <is>
          <t>NULL</t>
        </is>
      </c>
      <c r="J1405" s="0" t="inlineStr">
        <is>
          <t>NULL</t>
        </is>
      </c>
      <c r="K1405" s="0" t="inlineStr">
        <is>
          <t>YES! 	 c_nvarchar_max列源备映射正确，源端为nvarchar -1位	期望更改为nvarchar(n)	实际备端为nvarchar -1位</t>
        </is>
      </c>
    </row>
    <row r="1406">
      <c r="K1406" s="0" t="inlineStr">
        <is>
          <t>~ 空表</t>
        </is>
      </c>
    </row>
    <row r="1407">
      <c r="A1407" s="0" t="inlineStr">
        <is>
          <t>info_datetime_dml_single_nopk_drp</t>
        </is>
      </c>
      <c r="K1407" s="0" t="inlineStr">
        <is>
          <t>[0;34m info_datetime_dml_single_nopk_drp [0m源备字段数相同，源端字段：2 	备端字段2</t>
        </is>
      </c>
      <c r="W1407" s="0" t="inlineStr">
        <is>
          <t>YES 源备无差异</t>
        </is>
      </c>
      <c r="X1407" s="0">
        <f>A1407</f>
        <v/>
      </c>
    </row>
    <row r="1408">
      <c r="B1408" s="0" t="inlineStr">
        <is>
          <t>NULL</t>
        </is>
      </c>
      <c r="C1408" s="0" t="inlineStr">
        <is>
          <t>NULL</t>
        </is>
      </c>
      <c r="D1408" s="0" t="inlineStr">
        <is>
          <t>NULL</t>
        </is>
      </c>
      <c r="E1408" s="0" t="inlineStr">
        <is>
          <t>NULL</t>
        </is>
      </c>
      <c r="F1408" s="0" t="inlineStr">
        <is>
          <t>NULL</t>
        </is>
      </c>
      <c r="G1408" s="0" t="inlineStr">
        <is>
          <t>NULL</t>
        </is>
      </c>
      <c r="H1408" s="0" t="inlineStr">
        <is>
          <t>NULL</t>
        </is>
      </c>
      <c r="I1408" s="0" t="inlineStr">
        <is>
          <t>NULL</t>
        </is>
      </c>
      <c r="J1408" s="0" t="inlineStr">
        <is>
          <t>NULL</t>
        </is>
      </c>
      <c r="K1408" s="0" t="inlineStr">
        <is>
          <t>YES! 	 id列源备映射正确，源端为int None位	期望更改为int	实际备端为int None位</t>
        </is>
      </c>
    </row>
    <row r="1409">
      <c r="B1409" s="0" t="inlineStr">
        <is>
          <t>NULL</t>
        </is>
      </c>
      <c r="C1409" s="0" t="inlineStr">
        <is>
          <t>NULL</t>
        </is>
      </c>
      <c r="D1409" s="0" t="inlineStr">
        <is>
          <t>NULL</t>
        </is>
      </c>
      <c r="E1409" s="0" t="inlineStr">
        <is>
          <t>NULL</t>
        </is>
      </c>
      <c r="F1409" s="0" t="inlineStr">
        <is>
          <t>NULL</t>
        </is>
      </c>
      <c r="G1409" s="0" t="inlineStr">
        <is>
          <t>NULL</t>
        </is>
      </c>
      <c r="H1409" s="0" t="inlineStr">
        <is>
          <t>NULL</t>
        </is>
      </c>
      <c r="I1409" s="0" t="inlineStr">
        <is>
          <t>NULL</t>
        </is>
      </c>
      <c r="J1409" s="0" t="inlineStr">
        <is>
          <t>NULL</t>
        </is>
      </c>
      <c r="K1409" s="0" t="inlineStr">
        <is>
          <t>YES! 	 c_datetime列源备映射正确，源端为datetime None位	期望更改为datetime	实际备端为datetime None位</t>
        </is>
      </c>
    </row>
    <row r="1410">
      <c r="A1410" s="0" t="inlineStr">
        <is>
          <t>info_datetimeoffset_dml_single_pk_irp</t>
        </is>
      </c>
      <c r="K1410" s="0" t="inlineStr">
        <is>
          <t>[0;34m info_datetimeoffset_dml_single_pk_irp [0m源备字段数相同，源端字段：9 	备端字段9</t>
        </is>
      </c>
      <c r="W1410" s="0" t="inlineStr">
        <is>
          <t>YES 源备无差异</t>
        </is>
      </c>
      <c r="X1410" s="0">
        <f>A1410</f>
        <v/>
      </c>
    </row>
    <row r="1411">
      <c r="B1411" s="0" t="inlineStr">
        <is>
          <t>YES</t>
        </is>
      </c>
      <c r="C1411" s="0" t="inlineStr">
        <is>
          <t>NULL</t>
        </is>
      </c>
      <c r="D1411" s="0" t="inlineStr">
        <is>
          <t>NULL</t>
        </is>
      </c>
      <c r="E1411" s="0" t="inlineStr">
        <is>
          <t>NULL</t>
        </is>
      </c>
      <c r="F1411" s="0" t="inlineStr">
        <is>
          <t>NULL</t>
        </is>
      </c>
      <c r="G1411" s="0" t="inlineStr">
        <is>
          <t>NULL</t>
        </is>
      </c>
      <c r="H1411" s="0" t="inlineStr">
        <is>
          <t>NULL</t>
        </is>
      </c>
      <c r="I1411" s="0" t="inlineStr">
        <is>
          <t>YES!PK__info_dat__3213E83FC574CA33</t>
        </is>
      </c>
      <c r="J1411" s="0" t="inlineStr">
        <is>
          <t>YES! 主键相关索引</t>
        </is>
      </c>
      <c r="K1411" s="0" t="inlineStr">
        <is>
          <t>YES! 	 id列源备映射正确，源端为int None位	期望更改为int	实际备端为int None位</t>
        </is>
      </c>
    </row>
    <row r="1412">
      <c r="B1412" s="0" t="inlineStr">
        <is>
          <t>NULL</t>
        </is>
      </c>
      <c r="C1412" s="0" t="inlineStr">
        <is>
          <t>NULL</t>
        </is>
      </c>
      <c r="D1412" s="0" t="inlineStr">
        <is>
          <t>NULL</t>
        </is>
      </c>
      <c r="E1412" s="0" t="inlineStr">
        <is>
          <t>NULL</t>
        </is>
      </c>
      <c r="F1412" s="0" t="inlineStr">
        <is>
          <t>NULL</t>
        </is>
      </c>
      <c r="G1412" s="0" t="inlineStr">
        <is>
          <t>NULL</t>
        </is>
      </c>
      <c r="H1412" s="0" t="inlineStr">
        <is>
          <t>NULL</t>
        </is>
      </c>
      <c r="I1412" s="0" t="inlineStr">
        <is>
          <t>NULL</t>
        </is>
      </c>
      <c r="J1412" s="0" t="inlineStr">
        <is>
          <t>NULL</t>
        </is>
      </c>
      <c r="K1412" s="0" t="inlineStr">
        <is>
          <t>no,len不存在</t>
        </is>
      </c>
    </row>
    <row r="1413">
      <c r="B1413" s="0" t="inlineStr">
        <is>
          <t>NULL</t>
        </is>
      </c>
      <c r="C1413" s="0" t="inlineStr">
        <is>
          <t>NULL</t>
        </is>
      </c>
      <c r="D1413" s="0" t="inlineStr">
        <is>
          <t>NULL</t>
        </is>
      </c>
      <c r="E1413" s="0" t="inlineStr">
        <is>
          <t>NULL</t>
        </is>
      </c>
      <c r="F1413" s="0" t="inlineStr">
        <is>
          <t>NULL</t>
        </is>
      </c>
      <c r="G1413" s="0" t="inlineStr">
        <is>
          <t>NULL</t>
        </is>
      </c>
      <c r="H1413" s="0" t="inlineStr">
        <is>
          <t>NULL</t>
        </is>
      </c>
      <c r="I1413" s="0" t="inlineStr">
        <is>
          <t>NULL</t>
        </is>
      </c>
      <c r="J1413" s="0" t="inlineStr">
        <is>
          <t>NULL</t>
        </is>
      </c>
      <c r="K1413" s="0" t="inlineStr">
        <is>
          <t>YES! 	 c_dtoffset_1列源备映射正确，源端为datetimeoffset None位	期望更改为datetimeoffset(n)	实际备端为datetimeoffset None位</t>
        </is>
      </c>
    </row>
    <row r="1414">
      <c r="B1414" s="0" t="inlineStr">
        <is>
          <t>NULL</t>
        </is>
      </c>
      <c r="C1414" s="0" t="inlineStr">
        <is>
          <t>NULL</t>
        </is>
      </c>
      <c r="D1414" s="0" t="inlineStr">
        <is>
          <t>NULL</t>
        </is>
      </c>
      <c r="E1414" s="0" t="inlineStr">
        <is>
          <t>NULL</t>
        </is>
      </c>
      <c r="F1414" s="0" t="inlineStr">
        <is>
          <t>NULL</t>
        </is>
      </c>
      <c r="G1414" s="0" t="inlineStr">
        <is>
          <t>NULL</t>
        </is>
      </c>
      <c r="H1414" s="0" t="inlineStr">
        <is>
          <t>NULL</t>
        </is>
      </c>
      <c r="I1414" s="0" t="inlineStr">
        <is>
          <t>NULL</t>
        </is>
      </c>
      <c r="J1414" s="0" t="inlineStr">
        <is>
          <t>NULL</t>
        </is>
      </c>
      <c r="K1414" s="0" t="inlineStr">
        <is>
          <t>YES! 	 c_dtoffset_2列源备映射正确，源端为datetimeoffset None位	期望更改为datetimeoffset(n)	实际备端为datetimeoffset None位</t>
        </is>
      </c>
    </row>
    <row r="1415">
      <c r="B1415" s="0" t="inlineStr">
        <is>
          <t>NULL</t>
        </is>
      </c>
      <c r="C1415" s="0" t="inlineStr">
        <is>
          <t>NULL</t>
        </is>
      </c>
      <c r="D1415" s="0" t="inlineStr">
        <is>
          <t>NULL</t>
        </is>
      </c>
      <c r="E1415" s="0" t="inlineStr">
        <is>
          <t>NULL</t>
        </is>
      </c>
      <c r="F1415" s="0" t="inlineStr">
        <is>
          <t>NULL</t>
        </is>
      </c>
      <c r="G1415" s="0" t="inlineStr">
        <is>
          <t>NULL</t>
        </is>
      </c>
      <c r="H1415" s="0" t="inlineStr">
        <is>
          <t>NULL</t>
        </is>
      </c>
      <c r="I1415" s="0" t="inlineStr">
        <is>
          <t>NULL</t>
        </is>
      </c>
      <c r="J1415" s="0" t="inlineStr">
        <is>
          <t>NULL</t>
        </is>
      </c>
      <c r="K1415" s="0" t="inlineStr">
        <is>
          <t>YES! 	 c_dtoffset_3列源备映射正确，源端为datetimeoffset None位	期望更改为datetimeoffset(n)	实际备端为datetimeoffset None位</t>
        </is>
      </c>
    </row>
    <row r="1416">
      <c r="B1416" s="0" t="inlineStr">
        <is>
          <t>NULL</t>
        </is>
      </c>
      <c r="C1416" s="0" t="inlineStr">
        <is>
          <t>NULL</t>
        </is>
      </c>
      <c r="D1416" s="0" t="inlineStr">
        <is>
          <t>NULL</t>
        </is>
      </c>
      <c r="E1416" s="0" t="inlineStr">
        <is>
          <t>NULL</t>
        </is>
      </c>
      <c r="F1416" s="0" t="inlineStr">
        <is>
          <t>NULL</t>
        </is>
      </c>
      <c r="G1416" s="0" t="inlineStr">
        <is>
          <t>NULL</t>
        </is>
      </c>
      <c r="H1416" s="0" t="inlineStr">
        <is>
          <t>NULL</t>
        </is>
      </c>
      <c r="I1416" s="0" t="inlineStr">
        <is>
          <t>NULL</t>
        </is>
      </c>
      <c r="J1416" s="0" t="inlineStr">
        <is>
          <t>NULL</t>
        </is>
      </c>
      <c r="K1416" s="0" t="inlineStr">
        <is>
          <t>YES! 	 c_dtoffset_4列源备映射正确，源端为datetimeoffset None位	期望更改为datetimeoffset(n)	实际备端为datetimeoffset None位</t>
        </is>
      </c>
    </row>
    <row r="1417">
      <c r="B1417" s="0" t="inlineStr">
        <is>
          <t>NULL</t>
        </is>
      </c>
      <c r="C1417" s="0" t="inlineStr">
        <is>
          <t>NULL</t>
        </is>
      </c>
      <c r="D1417" s="0" t="inlineStr">
        <is>
          <t>NULL</t>
        </is>
      </c>
      <c r="E1417" s="0" t="inlineStr">
        <is>
          <t>NULL</t>
        </is>
      </c>
      <c r="F1417" s="0" t="inlineStr">
        <is>
          <t>NULL</t>
        </is>
      </c>
      <c r="G1417" s="0" t="inlineStr">
        <is>
          <t>NULL</t>
        </is>
      </c>
      <c r="H1417" s="0" t="inlineStr">
        <is>
          <t>NULL</t>
        </is>
      </c>
      <c r="I1417" s="0" t="inlineStr">
        <is>
          <t>NULL</t>
        </is>
      </c>
      <c r="J1417" s="0" t="inlineStr">
        <is>
          <t>NULL</t>
        </is>
      </c>
      <c r="K1417" s="0" t="inlineStr">
        <is>
          <t>YES! 	 c_dtoffset_5列源备映射正确，源端为datetimeoffset None位	期望更改为datetimeoffset(n)	实际备端为datetimeoffset None位</t>
        </is>
      </c>
    </row>
    <row r="1418">
      <c r="B1418" s="0" t="inlineStr">
        <is>
          <t>NULL</t>
        </is>
      </c>
      <c r="C1418" s="0" t="inlineStr">
        <is>
          <t>NULL</t>
        </is>
      </c>
      <c r="D1418" s="0" t="inlineStr">
        <is>
          <t>NULL</t>
        </is>
      </c>
      <c r="E1418" s="0" t="inlineStr">
        <is>
          <t>NULL</t>
        </is>
      </c>
      <c r="F1418" s="0" t="inlineStr">
        <is>
          <t>NULL</t>
        </is>
      </c>
      <c r="G1418" s="0" t="inlineStr">
        <is>
          <t>NULL</t>
        </is>
      </c>
      <c r="H1418" s="0" t="inlineStr">
        <is>
          <t>NULL</t>
        </is>
      </c>
      <c r="I1418" s="0" t="inlineStr">
        <is>
          <t>NULL</t>
        </is>
      </c>
      <c r="J1418" s="0" t="inlineStr">
        <is>
          <t>NULL</t>
        </is>
      </c>
      <c r="K1418" s="0" t="inlineStr">
        <is>
          <t>YES! 	 c_dtoffset_6列源备映射正确，源端为datetimeoffset None位	期望更改为datetimeoffset(n)	实际备端为datetimeoffset None位</t>
        </is>
      </c>
    </row>
    <row r="1419">
      <c r="B1419" s="0" t="inlineStr">
        <is>
          <t>NULL</t>
        </is>
      </c>
      <c r="C1419" s="0" t="inlineStr">
        <is>
          <t>NULL</t>
        </is>
      </c>
      <c r="D1419" s="0" t="inlineStr">
        <is>
          <t>NULL</t>
        </is>
      </c>
      <c r="E1419" s="0" t="inlineStr">
        <is>
          <t>NULL</t>
        </is>
      </c>
      <c r="F1419" s="0" t="inlineStr">
        <is>
          <t>NULL</t>
        </is>
      </c>
      <c r="G1419" s="0" t="inlineStr">
        <is>
          <t>NULL</t>
        </is>
      </c>
      <c r="H1419" s="0" t="inlineStr">
        <is>
          <t>NULL</t>
        </is>
      </c>
      <c r="I1419" s="0" t="inlineStr">
        <is>
          <t>NULL</t>
        </is>
      </c>
      <c r="J1419" s="0" t="inlineStr">
        <is>
          <t>NULL</t>
        </is>
      </c>
      <c r="K1419" s="0" t="inlineStr">
        <is>
          <t>YES! 	 c_dtoffset列源备映射正确，源端为datetimeoffset None位	期望更改为datetimeoffset(n)	实际备端为datetimeoffset None位</t>
        </is>
      </c>
    </row>
    <row r="1420">
      <c r="A1420" s="0" t="inlineStr">
        <is>
          <t>info_varbinary_max_dml_single_nopk_irp</t>
        </is>
      </c>
      <c r="K1420" s="0" t="inlineStr">
        <is>
          <t>[0;34m info_varbinary_max_dml_single_nopk_irp [0m源备字段数相同，源端字段：4 	备端字段4</t>
        </is>
      </c>
      <c r="W1420" s="0" t="inlineStr">
        <is>
          <t>YES 源备无差异</t>
        </is>
      </c>
      <c r="X1420" s="0">
        <f>A1420</f>
        <v/>
      </c>
    </row>
    <row r="1421">
      <c r="B1421" s="0" t="inlineStr">
        <is>
          <t>NULL</t>
        </is>
      </c>
      <c r="C1421" s="0" t="inlineStr">
        <is>
          <t>NULL</t>
        </is>
      </c>
      <c r="D1421" s="0" t="inlineStr">
        <is>
          <t>NULL</t>
        </is>
      </c>
      <c r="E1421" s="0" t="inlineStr">
        <is>
          <t>NULL</t>
        </is>
      </c>
      <c r="F1421" s="0" t="inlineStr">
        <is>
          <t>NULL</t>
        </is>
      </c>
      <c r="G1421" s="0" t="inlineStr">
        <is>
          <t>NULL</t>
        </is>
      </c>
      <c r="H1421" s="0" t="inlineStr">
        <is>
          <t>NULL</t>
        </is>
      </c>
      <c r="I1421" s="0" t="inlineStr">
        <is>
          <t>NULL</t>
        </is>
      </c>
      <c r="J1421" s="0" t="inlineStr">
        <is>
          <t>NULL</t>
        </is>
      </c>
      <c r="K1421" s="0" t="inlineStr">
        <is>
          <t>YES! 	 id列源备映射正确，源端为int None位	期望更改为int	实际备端为int None位</t>
        </is>
      </c>
    </row>
    <row r="1422">
      <c r="B1422" s="0" t="inlineStr">
        <is>
          <t>NULL</t>
        </is>
      </c>
      <c r="C1422" s="0" t="inlineStr">
        <is>
          <t>NULL</t>
        </is>
      </c>
      <c r="D1422" s="0" t="inlineStr">
        <is>
          <t>NULL</t>
        </is>
      </c>
      <c r="E1422" s="0" t="inlineStr">
        <is>
          <t>NULL</t>
        </is>
      </c>
      <c r="F1422" s="0" t="inlineStr">
        <is>
          <t>NULL</t>
        </is>
      </c>
      <c r="G1422" s="0" t="inlineStr">
        <is>
          <t>NULL</t>
        </is>
      </c>
      <c r="H1422" s="0" t="inlineStr">
        <is>
          <t>NULL</t>
        </is>
      </c>
      <c r="I1422" s="0" t="inlineStr">
        <is>
          <t>NULL</t>
        </is>
      </c>
      <c r="J1422" s="0" t="inlineStr">
        <is>
          <t>NULL</t>
        </is>
      </c>
      <c r="K1422" s="0" t="inlineStr">
        <is>
          <t>YES! 	 c_varbinary_max1列源备映射正确，源端为varbinary -1位	期望更改为varbinary(n)	实际备端为varbinary -1位</t>
        </is>
      </c>
    </row>
    <row r="1423">
      <c r="B1423" s="0" t="inlineStr">
        <is>
          <t>NULL</t>
        </is>
      </c>
      <c r="C1423" s="0" t="inlineStr">
        <is>
          <t>NULL</t>
        </is>
      </c>
      <c r="D1423" s="0" t="inlineStr">
        <is>
          <t>NULL</t>
        </is>
      </c>
      <c r="E1423" s="0" t="inlineStr">
        <is>
          <t>NULL</t>
        </is>
      </c>
      <c r="F1423" s="0" t="inlineStr">
        <is>
          <t>NULL</t>
        </is>
      </c>
      <c r="G1423" s="0" t="inlineStr">
        <is>
          <t>NULL</t>
        </is>
      </c>
      <c r="H1423" s="0" t="inlineStr">
        <is>
          <t>NULL</t>
        </is>
      </c>
      <c r="I1423" s="0" t="inlineStr">
        <is>
          <t>NULL</t>
        </is>
      </c>
      <c r="J1423" s="0" t="inlineStr">
        <is>
          <t>NULL</t>
        </is>
      </c>
      <c r="K1423" s="0" t="inlineStr">
        <is>
          <t>YES! 	 c_varbinary_max2列源备映射正确，源端为varbinary -1位	期望更改为varbinary(n)	实际备端为varbinary -1位</t>
        </is>
      </c>
    </row>
    <row r="1424">
      <c r="B1424" s="0" t="inlineStr">
        <is>
          <t>NULL</t>
        </is>
      </c>
      <c r="C1424" s="0" t="inlineStr">
        <is>
          <t>NULL</t>
        </is>
      </c>
      <c r="D1424" s="0" t="inlineStr">
        <is>
          <t>NULL</t>
        </is>
      </c>
      <c r="E1424" s="0" t="inlineStr">
        <is>
          <t>NULL</t>
        </is>
      </c>
      <c r="F1424" s="0" t="inlineStr">
        <is>
          <t>NULL</t>
        </is>
      </c>
      <c r="G1424" s="0" t="inlineStr">
        <is>
          <t>NULL</t>
        </is>
      </c>
      <c r="H1424" s="0" t="inlineStr">
        <is>
          <t>NULL</t>
        </is>
      </c>
      <c r="I1424" s="0" t="inlineStr">
        <is>
          <t>NULL</t>
        </is>
      </c>
      <c r="J1424" s="0" t="inlineStr">
        <is>
          <t>NULL</t>
        </is>
      </c>
      <c r="K1424" s="0" t="inlineStr">
        <is>
          <t>YES! 	 c_image3列源备映射正确，源端为image 2147483647位	期望更改为image	实际备端为image 2147483647位</t>
        </is>
      </c>
    </row>
    <row r="1425">
      <c r="A1425" s="0" t="inlineStr">
        <is>
          <t>info_binary_dml_single_pk_irp</t>
        </is>
      </c>
      <c r="K1425" s="0" t="inlineStr">
        <is>
          <t>[0;34m info_binary_dml_single_pk_irp [0m源备字段数相同，源端字段：4 	备端字段4</t>
        </is>
      </c>
      <c r="W1425" s="0" t="inlineStr">
        <is>
          <t>YES 源备无差异</t>
        </is>
      </c>
      <c r="X1425" s="0">
        <f>A1425</f>
        <v/>
      </c>
    </row>
    <row r="1426">
      <c r="B1426" s="0" t="inlineStr">
        <is>
          <t>YES</t>
        </is>
      </c>
      <c r="C1426" s="0" t="inlineStr">
        <is>
          <t>NULL</t>
        </is>
      </c>
      <c r="D1426" s="0" t="inlineStr">
        <is>
          <t>NULL</t>
        </is>
      </c>
      <c r="E1426" s="0" t="inlineStr">
        <is>
          <t>NULL</t>
        </is>
      </c>
      <c r="F1426" s="0" t="inlineStr">
        <is>
          <t>NULL</t>
        </is>
      </c>
      <c r="G1426" s="0" t="inlineStr">
        <is>
          <t>NULL</t>
        </is>
      </c>
      <c r="H1426" s="0" t="inlineStr">
        <is>
          <t>NULL</t>
        </is>
      </c>
      <c r="I1426" s="0" t="inlineStr">
        <is>
          <t>YES!PK__info_bin__3213E83FFC5F28A0</t>
        </is>
      </c>
      <c r="J1426" s="0" t="inlineStr">
        <is>
          <t>YES! 主键相关索引</t>
        </is>
      </c>
      <c r="K1426" s="0" t="inlineStr">
        <is>
          <t>YES! 	 id列源备映射正确，源端为int None位	期望更改为int	实际备端为int None位</t>
        </is>
      </c>
    </row>
    <row r="1427">
      <c r="B1427" s="0" t="inlineStr">
        <is>
          <t>NULL</t>
        </is>
      </c>
      <c r="C1427" s="0" t="inlineStr">
        <is>
          <t>NULL</t>
        </is>
      </c>
      <c r="D1427" s="0" t="inlineStr">
        <is>
          <t>NULL</t>
        </is>
      </c>
      <c r="E1427" s="0" t="inlineStr">
        <is>
          <t>NULL</t>
        </is>
      </c>
      <c r="F1427" s="0" t="inlineStr">
        <is>
          <t>NULL</t>
        </is>
      </c>
      <c r="G1427" s="0" t="inlineStr">
        <is>
          <t>NULL</t>
        </is>
      </c>
      <c r="H1427" s="0" t="inlineStr">
        <is>
          <t>NULL</t>
        </is>
      </c>
      <c r="I1427" s="0" t="inlineStr">
        <is>
          <t>NULL</t>
        </is>
      </c>
      <c r="J1427" s="0" t="inlineStr">
        <is>
          <t>NULL</t>
        </is>
      </c>
      <c r="K1427" s="0" t="inlineStr">
        <is>
          <t>YES! 	 c_binary列源备映射正确，源端为binary 1位	期望更改为binary(n)	实际备端为binary 1位</t>
        </is>
      </c>
    </row>
    <row r="1428">
      <c r="B1428" s="0" t="inlineStr">
        <is>
          <t>NULL</t>
        </is>
      </c>
      <c r="C1428" s="0" t="inlineStr">
        <is>
          <t>NULL</t>
        </is>
      </c>
      <c r="D1428" s="0" t="inlineStr">
        <is>
          <t>NULL</t>
        </is>
      </c>
      <c r="E1428" s="0" t="inlineStr">
        <is>
          <t>NULL</t>
        </is>
      </c>
      <c r="F1428" s="0" t="inlineStr">
        <is>
          <t>NULL</t>
        </is>
      </c>
      <c r="G1428" s="0" t="inlineStr">
        <is>
          <t>NULL</t>
        </is>
      </c>
      <c r="H1428" s="0" t="inlineStr">
        <is>
          <t>NULL</t>
        </is>
      </c>
      <c r="I1428" s="0" t="inlineStr">
        <is>
          <t>NULL</t>
        </is>
      </c>
      <c r="J1428" s="0" t="inlineStr">
        <is>
          <t>NULL</t>
        </is>
      </c>
      <c r="K1428" s="0" t="inlineStr">
        <is>
          <t>YES! 	 c_binary_20列源备映射正确，源端为binary 20位	期望更改为binary(n)	实际备端为binary 20位</t>
        </is>
      </c>
    </row>
    <row r="1429">
      <c r="B1429" s="0" t="inlineStr">
        <is>
          <t>NULL</t>
        </is>
      </c>
      <c r="C1429" s="0" t="inlineStr">
        <is>
          <t>NULL</t>
        </is>
      </c>
      <c r="D1429" s="0" t="inlineStr">
        <is>
          <t>NULL</t>
        </is>
      </c>
      <c r="E1429" s="0" t="inlineStr">
        <is>
          <t>NULL</t>
        </is>
      </c>
      <c r="F1429" s="0" t="inlineStr">
        <is>
          <t>NULL</t>
        </is>
      </c>
      <c r="G1429" s="0" t="inlineStr">
        <is>
          <t>NULL</t>
        </is>
      </c>
      <c r="H1429" s="0" t="inlineStr">
        <is>
          <t>NULL</t>
        </is>
      </c>
      <c r="I1429" s="0" t="inlineStr">
        <is>
          <t>NULL</t>
        </is>
      </c>
      <c r="J1429" s="0" t="inlineStr">
        <is>
          <t>NULL</t>
        </is>
      </c>
      <c r="K1429" s="0" t="inlineStr">
        <is>
          <t>YES! 	 c_binary_8000列源备映射正确，源端为binary 8000位	期望更改为binary(n)	实际备端为binary 8000位</t>
        </is>
      </c>
    </row>
    <row r="1430">
      <c r="A1430" s="0" t="inlineStr">
        <is>
          <t>info_datetimeoffset_dml_batch1_pk_drp2</t>
        </is>
      </c>
      <c r="K1430" s="0" t="inlineStr">
        <is>
          <t>[0;34m info_datetimeoffset_dml_batch1_pk_drp2 [0m源备字段数相同，源端字段：9 	备端字段9</t>
        </is>
      </c>
      <c r="W1430" s="0" t="inlineStr">
        <is>
          <t>YES 源备无差异</t>
        </is>
      </c>
      <c r="X1430" s="0">
        <f>A1430</f>
        <v/>
      </c>
    </row>
    <row r="1431">
      <c r="B1431" s="0" t="inlineStr">
        <is>
          <t>YES</t>
        </is>
      </c>
      <c r="C1431" s="0" t="inlineStr">
        <is>
          <t>NULL</t>
        </is>
      </c>
      <c r="D1431" s="0" t="inlineStr">
        <is>
          <t>NULL</t>
        </is>
      </c>
      <c r="E1431" s="0" t="inlineStr">
        <is>
          <t>NULL</t>
        </is>
      </c>
      <c r="F1431" s="0" t="inlineStr">
        <is>
          <t>NULL</t>
        </is>
      </c>
      <c r="G1431" s="0" t="inlineStr">
        <is>
          <t>NULL</t>
        </is>
      </c>
      <c r="H1431" s="0" t="inlineStr">
        <is>
          <t>NULL</t>
        </is>
      </c>
      <c r="I1431" s="0" t="inlineStr">
        <is>
          <t>YES!PK__info_dat__3213E83F76C7AF85</t>
        </is>
      </c>
      <c r="J1431" s="0" t="inlineStr">
        <is>
          <t>YES! 主键相关索引</t>
        </is>
      </c>
      <c r="K1431" s="0" t="inlineStr">
        <is>
          <t>YES! 	 id列源备映射正确，源端为int None位	期望更改为int	实际备端为int None位</t>
        </is>
      </c>
    </row>
    <row r="1432">
      <c r="B1432" s="0" t="inlineStr">
        <is>
          <t>NULL</t>
        </is>
      </c>
      <c r="C1432" s="0" t="inlineStr">
        <is>
          <t>NULL</t>
        </is>
      </c>
      <c r="D1432" s="0" t="inlineStr">
        <is>
          <t>NULL</t>
        </is>
      </c>
      <c r="E1432" s="0" t="inlineStr">
        <is>
          <t>NULL</t>
        </is>
      </c>
      <c r="F1432" s="0" t="inlineStr">
        <is>
          <t>NULL</t>
        </is>
      </c>
      <c r="G1432" s="0" t="inlineStr">
        <is>
          <t>NULL</t>
        </is>
      </c>
      <c r="H1432" s="0" t="inlineStr">
        <is>
          <t>NULL</t>
        </is>
      </c>
      <c r="I1432" s="0" t="inlineStr">
        <is>
          <t>NULL</t>
        </is>
      </c>
      <c r="J1432" s="0" t="inlineStr">
        <is>
          <t>NULL</t>
        </is>
      </c>
      <c r="K1432" s="0" t="inlineStr">
        <is>
          <t>no,len不存在</t>
        </is>
      </c>
    </row>
    <row r="1433">
      <c r="B1433" s="0" t="inlineStr">
        <is>
          <t>NULL</t>
        </is>
      </c>
      <c r="C1433" s="0" t="inlineStr">
        <is>
          <t>NULL</t>
        </is>
      </c>
      <c r="D1433" s="0" t="inlineStr">
        <is>
          <t>NULL</t>
        </is>
      </c>
      <c r="E1433" s="0" t="inlineStr">
        <is>
          <t>NULL</t>
        </is>
      </c>
      <c r="F1433" s="0" t="inlineStr">
        <is>
          <t>NULL</t>
        </is>
      </c>
      <c r="G1433" s="0" t="inlineStr">
        <is>
          <t>NULL</t>
        </is>
      </c>
      <c r="H1433" s="0" t="inlineStr">
        <is>
          <t>NULL</t>
        </is>
      </c>
      <c r="I1433" s="0" t="inlineStr">
        <is>
          <t>NULL</t>
        </is>
      </c>
      <c r="J1433" s="0" t="inlineStr">
        <is>
          <t>NULL</t>
        </is>
      </c>
      <c r="K1433" s="0" t="inlineStr">
        <is>
          <t>YES! 	 c_dtoffset_1列源备映射正确，源端为datetimeoffset None位	期望更改为datetimeoffset(n)	实际备端为datetimeoffset None位</t>
        </is>
      </c>
    </row>
    <row r="1434">
      <c r="B1434" s="0" t="inlineStr">
        <is>
          <t>NULL</t>
        </is>
      </c>
      <c r="C1434" s="0" t="inlineStr">
        <is>
          <t>NULL</t>
        </is>
      </c>
      <c r="D1434" s="0" t="inlineStr">
        <is>
          <t>NULL</t>
        </is>
      </c>
      <c r="E1434" s="0" t="inlineStr">
        <is>
          <t>NULL</t>
        </is>
      </c>
      <c r="F1434" s="0" t="inlineStr">
        <is>
          <t>NULL</t>
        </is>
      </c>
      <c r="G1434" s="0" t="inlineStr">
        <is>
          <t>NULL</t>
        </is>
      </c>
      <c r="H1434" s="0" t="inlineStr">
        <is>
          <t>NULL</t>
        </is>
      </c>
      <c r="I1434" s="0" t="inlineStr">
        <is>
          <t>NULL</t>
        </is>
      </c>
      <c r="J1434" s="0" t="inlineStr">
        <is>
          <t>NULL</t>
        </is>
      </c>
      <c r="K1434" s="0" t="inlineStr">
        <is>
          <t>YES! 	 c_dtoffset_2列源备映射正确，源端为datetimeoffset None位	期望更改为datetimeoffset(n)	实际备端为datetimeoffset None位</t>
        </is>
      </c>
    </row>
    <row r="1435">
      <c r="B1435" s="0" t="inlineStr">
        <is>
          <t>NULL</t>
        </is>
      </c>
      <c r="C1435" s="0" t="inlineStr">
        <is>
          <t>NULL</t>
        </is>
      </c>
      <c r="D1435" s="0" t="inlineStr">
        <is>
          <t>NULL</t>
        </is>
      </c>
      <c r="E1435" s="0" t="inlineStr">
        <is>
          <t>NULL</t>
        </is>
      </c>
      <c r="F1435" s="0" t="inlineStr">
        <is>
          <t>NULL</t>
        </is>
      </c>
      <c r="G1435" s="0" t="inlineStr">
        <is>
          <t>NULL</t>
        </is>
      </c>
      <c r="H1435" s="0" t="inlineStr">
        <is>
          <t>NULL</t>
        </is>
      </c>
      <c r="I1435" s="0" t="inlineStr">
        <is>
          <t>NULL</t>
        </is>
      </c>
      <c r="J1435" s="0" t="inlineStr">
        <is>
          <t>NULL</t>
        </is>
      </c>
      <c r="K1435" s="0" t="inlineStr">
        <is>
          <t>YES! 	 c_dtoffset_3列源备映射正确，源端为datetimeoffset None位	期望更改为datetimeoffset(n)	实际备端为datetimeoffset None位</t>
        </is>
      </c>
    </row>
    <row r="1436">
      <c r="B1436" s="0" t="inlineStr">
        <is>
          <t>NULL</t>
        </is>
      </c>
      <c r="C1436" s="0" t="inlineStr">
        <is>
          <t>NULL</t>
        </is>
      </c>
      <c r="D1436" s="0" t="inlineStr">
        <is>
          <t>NULL</t>
        </is>
      </c>
      <c r="E1436" s="0" t="inlineStr">
        <is>
          <t>NULL</t>
        </is>
      </c>
      <c r="F1436" s="0" t="inlineStr">
        <is>
          <t>NULL</t>
        </is>
      </c>
      <c r="G1436" s="0" t="inlineStr">
        <is>
          <t>NULL</t>
        </is>
      </c>
      <c r="H1436" s="0" t="inlineStr">
        <is>
          <t>NULL</t>
        </is>
      </c>
      <c r="I1436" s="0" t="inlineStr">
        <is>
          <t>NULL</t>
        </is>
      </c>
      <c r="J1436" s="0" t="inlineStr">
        <is>
          <t>NULL</t>
        </is>
      </c>
      <c r="K1436" s="0" t="inlineStr">
        <is>
          <t>YES! 	 c_dtoffset_4列源备映射正确，源端为datetimeoffset None位	期望更改为datetimeoffset(n)	实际备端为datetimeoffset None位</t>
        </is>
      </c>
    </row>
    <row r="1437">
      <c r="B1437" s="0" t="inlineStr">
        <is>
          <t>NULL</t>
        </is>
      </c>
      <c r="C1437" s="0" t="inlineStr">
        <is>
          <t>NULL</t>
        </is>
      </c>
      <c r="D1437" s="0" t="inlineStr">
        <is>
          <t>NULL</t>
        </is>
      </c>
      <c r="E1437" s="0" t="inlineStr">
        <is>
          <t>NULL</t>
        </is>
      </c>
      <c r="F1437" s="0" t="inlineStr">
        <is>
          <t>NULL</t>
        </is>
      </c>
      <c r="G1437" s="0" t="inlineStr">
        <is>
          <t>NULL</t>
        </is>
      </c>
      <c r="H1437" s="0" t="inlineStr">
        <is>
          <t>NULL</t>
        </is>
      </c>
      <c r="I1437" s="0" t="inlineStr">
        <is>
          <t>NULL</t>
        </is>
      </c>
      <c r="J1437" s="0" t="inlineStr">
        <is>
          <t>NULL</t>
        </is>
      </c>
      <c r="K1437" s="0" t="inlineStr">
        <is>
          <t>YES! 	 c_dtoffset_5列源备映射正确，源端为datetimeoffset None位	期望更改为datetimeoffset(n)	实际备端为datetimeoffset None位</t>
        </is>
      </c>
    </row>
    <row r="1438">
      <c r="B1438" s="0" t="inlineStr">
        <is>
          <t>NULL</t>
        </is>
      </c>
      <c r="C1438" s="0" t="inlineStr">
        <is>
          <t>NULL</t>
        </is>
      </c>
      <c r="D1438" s="0" t="inlineStr">
        <is>
          <t>NULL</t>
        </is>
      </c>
      <c r="E1438" s="0" t="inlineStr">
        <is>
          <t>NULL</t>
        </is>
      </c>
      <c r="F1438" s="0" t="inlineStr">
        <is>
          <t>NULL</t>
        </is>
      </c>
      <c r="G1438" s="0" t="inlineStr">
        <is>
          <t>NULL</t>
        </is>
      </c>
      <c r="H1438" s="0" t="inlineStr">
        <is>
          <t>NULL</t>
        </is>
      </c>
      <c r="I1438" s="0" t="inlineStr">
        <is>
          <t>NULL</t>
        </is>
      </c>
      <c r="J1438" s="0" t="inlineStr">
        <is>
          <t>NULL</t>
        </is>
      </c>
      <c r="K1438" s="0" t="inlineStr">
        <is>
          <t>YES! 	 c_dtoffset_6列源备映射正确，源端为datetimeoffset None位	期望更改为datetimeoffset(n)	实际备端为datetimeoffset None位</t>
        </is>
      </c>
    </row>
    <row r="1439">
      <c r="B1439" s="0" t="inlineStr">
        <is>
          <t>NULL</t>
        </is>
      </c>
      <c r="C1439" s="0" t="inlineStr">
        <is>
          <t>NULL</t>
        </is>
      </c>
      <c r="D1439" s="0" t="inlineStr">
        <is>
          <t>NULL</t>
        </is>
      </c>
      <c r="E1439" s="0" t="inlineStr">
        <is>
          <t>NULL</t>
        </is>
      </c>
      <c r="F1439" s="0" t="inlineStr">
        <is>
          <t>NULL</t>
        </is>
      </c>
      <c r="G1439" s="0" t="inlineStr">
        <is>
          <t>NULL</t>
        </is>
      </c>
      <c r="H1439" s="0" t="inlineStr">
        <is>
          <t>NULL</t>
        </is>
      </c>
      <c r="I1439" s="0" t="inlineStr">
        <is>
          <t>NULL</t>
        </is>
      </c>
      <c r="J1439" s="0" t="inlineStr">
        <is>
          <t>NULL</t>
        </is>
      </c>
      <c r="K1439" s="0" t="inlineStr">
        <is>
          <t>YES! 	 c_dtoffset列源备映射正确，源端为datetimeoffset None位	期望更改为datetimeoffset(n)	实际备端为datetimeoffset None位</t>
        </is>
      </c>
    </row>
    <row r="1440">
      <c r="A1440" s="0" t="inlineStr">
        <is>
          <t>info_datetime_dml_single_nopk</t>
        </is>
      </c>
      <c r="K1440" s="0" t="inlineStr">
        <is>
          <t>[0;34m info_datetime_dml_single_nopk [0m源备字段数相同，源端字段：2 	备端字段2</t>
        </is>
      </c>
      <c r="W1440" s="0" t="inlineStr">
        <is>
          <t>YES 源备无差异</t>
        </is>
      </c>
      <c r="X1440" s="0">
        <f>A1440</f>
        <v/>
      </c>
    </row>
    <row r="1441">
      <c r="B1441" s="0" t="inlineStr">
        <is>
          <t>NULL</t>
        </is>
      </c>
      <c r="C1441" s="0" t="inlineStr">
        <is>
          <t>NULL</t>
        </is>
      </c>
      <c r="D1441" s="0" t="inlineStr">
        <is>
          <t>NULL</t>
        </is>
      </c>
      <c r="E1441" s="0" t="inlineStr">
        <is>
          <t>NULL</t>
        </is>
      </c>
      <c r="F1441" s="0" t="inlineStr">
        <is>
          <t>NULL</t>
        </is>
      </c>
      <c r="G1441" s="0" t="inlineStr">
        <is>
          <t>NULL</t>
        </is>
      </c>
      <c r="H1441" s="0" t="inlineStr">
        <is>
          <t>NULL</t>
        </is>
      </c>
      <c r="I1441" s="0" t="inlineStr">
        <is>
          <t>NULL</t>
        </is>
      </c>
      <c r="J1441" s="0" t="inlineStr">
        <is>
          <t>NULL</t>
        </is>
      </c>
      <c r="K1441" s="0" t="inlineStr">
        <is>
          <t>YES! 	 id列源备映射正确，源端为int None位	期望更改为int	实际备端为int None位</t>
        </is>
      </c>
    </row>
    <row r="1442">
      <c r="B1442" s="0" t="inlineStr">
        <is>
          <t>NULL</t>
        </is>
      </c>
      <c r="C1442" s="0" t="inlineStr">
        <is>
          <t>NULL</t>
        </is>
      </c>
      <c r="D1442" s="0" t="inlineStr">
        <is>
          <t>NULL</t>
        </is>
      </c>
      <c r="E1442" s="0" t="inlineStr">
        <is>
          <t>NULL</t>
        </is>
      </c>
      <c r="F1442" s="0" t="inlineStr">
        <is>
          <t>NULL</t>
        </is>
      </c>
      <c r="G1442" s="0" t="inlineStr">
        <is>
          <t>NULL</t>
        </is>
      </c>
      <c r="H1442" s="0" t="inlineStr">
        <is>
          <t>NULL</t>
        </is>
      </c>
      <c r="I1442" s="0" t="inlineStr">
        <is>
          <t>NULL</t>
        </is>
      </c>
      <c r="J1442" s="0" t="inlineStr">
        <is>
          <t>NULL</t>
        </is>
      </c>
      <c r="K1442" s="0" t="inlineStr">
        <is>
          <t>YES! 	 c_datetime列源备映射正确，源端为datetime None位	期望更改为datetime	实际备端为datetime None位</t>
        </is>
      </c>
    </row>
    <row r="1443">
      <c r="A1443" s="0" t="inlineStr">
        <is>
          <t>info_varcharmax_dml_batch2_pk_irp2</t>
        </is>
      </c>
      <c r="K1443" s="0" t="inlineStr">
        <is>
          <t>[0;34m info_varcharmax_dml_batch2_pk_irp2 [0m源备字段数相同，源端字段：3 	备端字段3</t>
        </is>
      </c>
      <c r="W1443" s="0" t="inlineStr">
        <is>
          <t>YES 源备无差异</t>
        </is>
      </c>
      <c r="X1443" s="0">
        <f>A1443</f>
        <v/>
      </c>
    </row>
    <row r="1444">
      <c r="B1444" s="0" t="inlineStr">
        <is>
          <t>YES</t>
        </is>
      </c>
      <c r="C1444" s="0" t="inlineStr">
        <is>
          <t>NULL</t>
        </is>
      </c>
      <c r="D1444" s="0" t="inlineStr">
        <is>
          <t>NULL</t>
        </is>
      </c>
      <c r="E1444" s="0" t="inlineStr">
        <is>
          <t>NULL</t>
        </is>
      </c>
      <c r="F1444" s="0" t="inlineStr">
        <is>
          <t>NULL</t>
        </is>
      </c>
      <c r="G1444" s="0" t="inlineStr">
        <is>
          <t>NULL</t>
        </is>
      </c>
      <c r="H1444" s="0" t="inlineStr">
        <is>
          <t>NULL</t>
        </is>
      </c>
      <c r="I1444" s="0" t="inlineStr">
        <is>
          <t>YES!PK__info_var__3213E83FBB95D9E3</t>
        </is>
      </c>
      <c r="J1444" s="0" t="inlineStr">
        <is>
          <t>YES! 主键相关索引</t>
        </is>
      </c>
      <c r="K1444" s="0" t="inlineStr">
        <is>
          <t>YES! 	 id列源备映射正确，源端为int None位	期望更改为int	实际备端为int None位</t>
        </is>
      </c>
    </row>
    <row r="1445">
      <c r="B1445" s="0" t="inlineStr">
        <is>
          <t>NULL</t>
        </is>
      </c>
      <c r="C1445" s="0" t="inlineStr">
        <is>
          <t>NULL</t>
        </is>
      </c>
      <c r="D1445" s="0" t="inlineStr">
        <is>
          <t>NULL</t>
        </is>
      </c>
      <c r="E1445" s="0" t="inlineStr">
        <is>
          <t>NULL</t>
        </is>
      </c>
      <c r="F1445" s="0" t="inlineStr">
        <is>
          <t>NULL</t>
        </is>
      </c>
      <c r="G1445" s="0" t="inlineStr">
        <is>
          <t>NULL</t>
        </is>
      </c>
      <c r="H1445" s="0" t="inlineStr">
        <is>
          <t>NULL</t>
        </is>
      </c>
      <c r="I1445" s="0" t="inlineStr">
        <is>
          <t>NULL</t>
        </is>
      </c>
      <c r="J1445" s="0" t="inlineStr">
        <is>
          <t>NULL</t>
        </is>
      </c>
      <c r="K1445" s="0" t="inlineStr">
        <is>
          <t>YES! 	 c_varchar_max列源备映射正确，源端为varchar -1位	期望更改为varchar(n)	实际备端为varchar -1位</t>
        </is>
      </c>
    </row>
    <row r="1446">
      <c r="B1446" s="0" t="inlineStr">
        <is>
          <t>NULL</t>
        </is>
      </c>
      <c r="C1446" s="0" t="inlineStr">
        <is>
          <t>NULL</t>
        </is>
      </c>
      <c r="D1446" s="0" t="inlineStr">
        <is>
          <t>NULL</t>
        </is>
      </c>
      <c r="E1446" s="0" t="inlineStr">
        <is>
          <t>NULL</t>
        </is>
      </c>
      <c r="F1446" s="0" t="inlineStr">
        <is>
          <t>NULL</t>
        </is>
      </c>
      <c r="G1446" s="0" t="inlineStr">
        <is>
          <t>NULL</t>
        </is>
      </c>
      <c r="H1446" s="0" t="inlineStr">
        <is>
          <t>NULL</t>
        </is>
      </c>
      <c r="I1446" s="0" t="inlineStr">
        <is>
          <t>NULL</t>
        </is>
      </c>
      <c r="J1446" s="0" t="inlineStr">
        <is>
          <t>NULL</t>
        </is>
      </c>
      <c r="K1446" s="0" t="inlineStr">
        <is>
          <t>YES! 	 c_nvarchar_max列源备映射正确，源端为nvarchar -1位	期望更改为nvarchar(n)	实际备端为nvarchar -1位</t>
        </is>
      </c>
    </row>
    <row r="1447">
      <c r="K1447" s="0" t="inlineStr">
        <is>
          <t>~ 空表</t>
        </is>
      </c>
    </row>
    <row r="1448">
      <c r="A1448" s="0" t="inlineStr">
        <is>
          <t>info_datetimeoffset_dml_single_pk_urp</t>
        </is>
      </c>
      <c r="K1448" s="0" t="inlineStr">
        <is>
          <t>[0;34m info_datetimeoffset_dml_single_pk_urp [0m源备字段数相同，源端字段：9 	备端字段9</t>
        </is>
      </c>
      <c r="W1448" s="0" t="inlineStr">
        <is>
          <t>YES 源备无差异</t>
        </is>
      </c>
      <c r="X1448" s="0">
        <f>A1448</f>
        <v/>
      </c>
    </row>
    <row r="1449">
      <c r="B1449" s="0" t="inlineStr">
        <is>
          <t>YES</t>
        </is>
      </c>
      <c r="C1449" s="0" t="inlineStr">
        <is>
          <t>NULL</t>
        </is>
      </c>
      <c r="D1449" s="0" t="inlineStr">
        <is>
          <t>NULL</t>
        </is>
      </c>
      <c r="E1449" s="0" t="inlineStr">
        <is>
          <t>NULL</t>
        </is>
      </c>
      <c r="F1449" s="0" t="inlineStr">
        <is>
          <t>NULL</t>
        </is>
      </c>
      <c r="G1449" s="0" t="inlineStr">
        <is>
          <t>NULL</t>
        </is>
      </c>
      <c r="H1449" s="0" t="inlineStr">
        <is>
          <t>NULL</t>
        </is>
      </c>
      <c r="I1449" s="0" t="inlineStr">
        <is>
          <t>YES!PK__info_dat__3213E83F615F1D58</t>
        </is>
      </c>
      <c r="J1449" s="0" t="inlineStr">
        <is>
          <t>YES! 主键相关索引</t>
        </is>
      </c>
      <c r="K1449" s="0" t="inlineStr">
        <is>
          <t>YES! 	 id列源备映射正确，源端为int None位	期望更改为int	实际备端为int None位</t>
        </is>
      </c>
    </row>
    <row r="1450">
      <c r="B1450" s="0" t="inlineStr">
        <is>
          <t>NULL</t>
        </is>
      </c>
      <c r="C1450" s="0" t="inlineStr">
        <is>
          <t>NULL</t>
        </is>
      </c>
      <c r="D1450" s="0" t="inlineStr">
        <is>
          <t>NULL</t>
        </is>
      </c>
      <c r="E1450" s="0" t="inlineStr">
        <is>
          <t>NULL</t>
        </is>
      </c>
      <c r="F1450" s="0" t="inlineStr">
        <is>
          <t>NULL</t>
        </is>
      </c>
      <c r="G1450" s="0" t="inlineStr">
        <is>
          <t>NULL</t>
        </is>
      </c>
      <c r="H1450" s="0" t="inlineStr">
        <is>
          <t>NULL</t>
        </is>
      </c>
      <c r="I1450" s="0" t="inlineStr">
        <is>
          <t>NULL</t>
        </is>
      </c>
      <c r="J1450" s="0" t="inlineStr">
        <is>
          <t>NULL</t>
        </is>
      </c>
      <c r="K1450" s="0" t="inlineStr">
        <is>
          <t>no,len不存在</t>
        </is>
      </c>
    </row>
    <row r="1451">
      <c r="B1451" s="0" t="inlineStr">
        <is>
          <t>NULL</t>
        </is>
      </c>
      <c r="C1451" s="0" t="inlineStr">
        <is>
          <t>NULL</t>
        </is>
      </c>
      <c r="D1451" s="0" t="inlineStr">
        <is>
          <t>NULL</t>
        </is>
      </c>
      <c r="E1451" s="0" t="inlineStr">
        <is>
          <t>NULL</t>
        </is>
      </c>
      <c r="F1451" s="0" t="inlineStr">
        <is>
          <t>NULL</t>
        </is>
      </c>
      <c r="G1451" s="0" t="inlineStr">
        <is>
          <t>NULL</t>
        </is>
      </c>
      <c r="H1451" s="0" t="inlineStr">
        <is>
          <t>NULL</t>
        </is>
      </c>
      <c r="I1451" s="0" t="inlineStr">
        <is>
          <t>NULL</t>
        </is>
      </c>
      <c r="J1451" s="0" t="inlineStr">
        <is>
          <t>NULL</t>
        </is>
      </c>
      <c r="K1451" s="0" t="inlineStr">
        <is>
          <t>YES! 	 c_dtoffset_1列源备映射正确，源端为datetimeoffset None位	期望更改为datetimeoffset(n)	实际备端为datetimeoffset None位</t>
        </is>
      </c>
    </row>
    <row r="1452">
      <c r="B1452" s="0" t="inlineStr">
        <is>
          <t>NULL</t>
        </is>
      </c>
      <c r="C1452" s="0" t="inlineStr">
        <is>
          <t>NULL</t>
        </is>
      </c>
      <c r="D1452" s="0" t="inlineStr">
        <is>
          <t>NULL</t>
        </is>
      </c>
      <c r="E1452" s="0" t="inlineStr">
        <is>
          <t>NULL</t>
        </is>
      </c>
      <c r="F1452" s="0" t="inlineStr">
        <is>
          <t>NULL</t>
        </is>
      </c>
      <c r="G1452" s="0" t="inlineStr">
        <is>
          <t>NULL</t>
        </is>
      </c>
      <c r="H1452" s="0" t="inlineStr">
        <is>
          <t>NULL</t>
        </is>
      </c>
      <c r="I1452" s="0" t="inlineStr">
        <is>
          <t>NULL</t>
        </is>
      </c>
      <c r="J1452" s="0" t="inlineStr">
        <is>
          <t>NULL</t>
        </is>
      </c>
      <c r="K1452" s="0" t="inlineStr">
        <is>
          <t>YES! 	 c_dtoffset_2列源备映射正确，源端为datetimeoffset None位	期望更改为datetimeoffset(n)	实际备端为datetimeoffset None位</t>
        </is>
      </c>
    </row>
    <row r="1453">
      <c r="B1453" s="0" t="inlineStr">
        <is>
          <t>NULL</t>
        </is>
      </c>
      <c r="C1453" s="0" t="inlineStr">
        <is>
          <t>NULL</t>
        </is>
      </c>
      <c r="D1453" s="0" t="inlineStr">
        <is>
          <t>NULL</t>
        </is>
      </c>
      <c r="E1453" s="0" t="inlineStr">
        <is>
          <t>NULL</t>
        </is>
      </c>
      <c r="F1453" s="0" t="inlineStr">
        <is>
          <t>NULL</t>
        </is>
      </c>
      <c r="G1453" s="0" t="inlineStr">
        <is>
          <t>NULL</t>
        </is>
      </c>
      <c r="H1453" s="0" t="inlineStr">
        <is>
          <t>NULL</t>
        </is>
      </c>
      <c r="I1453" s="0" t="inlineStr">
        <is>
          <t>NULL</t>
        </is>
      </c>
      <c r="J1453" s="0" t="inlineStr">
        <is>
          <t>NULL</t>
        </is>
      </c>
      <c r="K1453" s="0" t="inlineStr">
        <is>
          <t>YES! 	 c_dtoffset_3列源备映射正确，源端为datetimeoffset None位	期望更改为datetimeoffset(n)	实际备端为datetimeoffset None位</t>
        </is>
      </c>
    </row>
    <row r="1454">
      <c r="B1454" s="0" t="inlineStr">
        <is>
          <t>NULL</t>
        </is>
      </c>
      <c r="C1454" s="0" t="inlineStr">
        <is>
          <t>NULL</t>
        </is>
      </c>
      <c r="D1454" s="0" t="inlineStr">
        <is>
          <t>NULL</t>
        </is>
      </c>
      <c r="E1454" s="0" t="inlineStr">
        <is>
          <t>NULL</t>
        </is>
      </c>
      <c r="F1454" s="0" t="inlineStr">
        <is>
          <t>NULL</t>
        </is>
      </c>
      <c r="G1454" s="0" t="inlineStr">
        <is>
          <t>NULL</t>
        </is>
      </c>
      <c r="H1454" s="0" t="inlineStr">
        <is>
          <t>NULL</t>
        </is>
      </c>
      <c r="I1454" s="0" t="inlineStr">
        <is>
          <t>NULL</t>
        </is>
      </c>
      <c r="J1454" s="0" t="inlineStr">
        <is>
          <t>NULL</t>
        </is>
      </c>
      <c r="K1454" s="0" t="inlineStr">
        <is>
          <t>YES! 	 c_dtoffset_4列源备映射正确，源端为datetimeoffset None位	期望更改为datetimeoffset(n)	实际备端为datetimeoffset None位</t>
        </is>
      </c>
    </row>
    <row r="1455">
      <c r="B1455" s="0" t="inlineStr">
        <is>
          <t>NULL</t>
        </is>
      </c>
      <c r="C1455" s="0" t="inlineStr">
        <is>
          <t>NULL</t>
        </is>
      </c>
      <c r="D1455" s="0" t="inlineStr">
        <is>
          <t>NULL</t>
        </is>
      </c>
      <c r="E1455" s="0" t="inlineStr">
        <is>
          <t>NULL</t>
        </is>
      </c>
      <c r="F1455" s="0" t="inlineStr">
        <is>
          <t>NULL</t>
        </is>
      </c>
      <c r="G1455" s="0" t="inlineStr">
        <is>
          <t>NULL</t>
        </is>
      </c>
      <c r="H1455" s="0" t="inlineStr">
        <is>
          <t>NULL</t>
        </is>
      </c>
      <c r="I1455" s="0" t="inlineStr">
        <is>
          <t>NULL</t>
        </is>
      </c>
      <c r="J1455" s="0" t="inlineStr">
        <is>
          <t>NULL</t>
        </is>
      </c>
      <c r="K1455" s="0" t="inlineStr">
        <is>
          <t>YES! 	 c_dtoffset_5列源备映射正确，源端为datetimeoffset None位	期望更改为datetimeoffset(n)	实际备端为datetimeoffset None位</t>
        </is>
      </c>
    </row>
    <row r="1456">
      <c r="B1456" s="0" t="inlineStr">
        <is>
          <t>NULL</t>
        </is>
      </c>
      <c r="C1456" s="0" t="inlineStr">
        <is>
          <t>NULL</t>
        </is>
      </c>
      <c r="D1456" s="0" t="inlineStr">
        <is>
          <t>NULL</t>
        </is>
      </c>
      <c r="E1456" s="0" t="inlineStr">
        <is>
          <t>NULL</t>
        </is>
      </c>
      <c r="F1456" s="0" t="inlineStr">
        <is>
          <t>NULL</t>
        </is>
      </c>
      <c r="G1456" s="0" t="inlineStr">
        <is>
          <t>NULL</t>
        </is>
      </c>
      <c r="H1456" s="0" t="inlineStr">
        <is>
          <t>NULL</t>
        </is>
      </c>
      <c r="I1456" s="0" t="inlineStr">
        <is>
          <t>NULL</t>
        </is>
      </c>
      <c r="J1456" s="0" t="inlineStr">
        <is>
          <t>NULL</t>
        </is>
      </c>
      <c r="K1456" s="0" t="inlineStr">
        <is>
          <t>YES! 	 c_dtoffset_6列源备映射正确，源端为datetimeoffset None位	期望更改为datetimeoffset(n)	实际备端为datetimeoffset None位</t>
        </is>
      </c>
    </row>
    <row r="1457">
      <c r="B1457" s="0" t="inlineStr">
        <is>
          <t>NULL</t>
        </is>
      </c>
      <c r="C1457" s="0" t="inlineStr">
        <is>
          <t>NULL</t>
        </is>
      </c>
      <c r="D1457" s="0" t="inlineStr">
        <is>
          <t>NULL</t>
        </is>
      </c>
      <c r="E1457" s="0" t="inlineStr">
        <is>
          <t>NULL</t>
        </is>
      </c>
      <c r="F1457" s="0" t="inlineStr">
        <is>
          <t>NULL</t>
        </is>
      </c>
      <c r="G1457" s="0" t="inlineStr">
        <is>
          <t>NULL</t>
        </is>
      </c>
      <c r="H1457" s="0" t="inlineStr">
        <is>
          <t>NULL</t>
        </is>
      </c>
      <c r="I1457" s="0" t="inlineStr">
        <is>
          <t>NULL</t>
        </is>
      </c>
      <c r="J1457" s="0" t="inlineStr">
        <is>
          <t>NULL</t>
        </is>
      </c>
      <c r="K1457" s="0" t="inlineStr">
        <is>
          <t>YES! 	 c_dtoffset列源备映射正确，源端为datetimeoffset None位	期望更改为datetimeoffset(n)	实际备端为datetimeoffset None位</t>
        </is>
      </c>
    </row>
    <row r="1458">
      <c r="A1458" s="0" t="inlineStr">
        <is>
          <t>info_datetime2_dml_single_nopk_irp</t>
        </is>
      </c>
      <c r="K1458" s="0" t="inlineStr">
        <is>
          <t>[0;34m info_datetime2_dml_single_nopk_irp [0m源备字段数相同，源端字段：9 	备端字段9</t>
        </is>
      </c>
      <c r="W1458" s="0" t="inlineStr">
        <is>
          <t>YES 源备无差异</t>
        </is>
      </c>
      <c r="X1458" s="0">
        <f>A1458</f>
        <v/>
      </c>
    </row>
    <row r="1459">
      <c r="B1459" s="0" t="inlineStr">
        <is>
          <t>NULL</t>
        </is>
      </c>
      <c r="C1459" s="0" t="inlineStr">
        <is>
          <t>NULL</t>
        </is>
      </c>
      <c r="D1459" s="0" t="inlineStr">
        <is>
          <t>NULL</t>
        </is>
      </c>
      <c r="E1459" s="0" t="inlineStr">
        <is>
          <t>NULL</t>
        </is>
      </c>
      <c r="F1459" s="0" t="inlineStr">
        <is>
          <t>NULL</t>
        </is>
      </c>
      <c r="G1459" s="0" t="inlineStr">
        <is>
          <t>NULL</t>
        </is>
      </c>
      <c r="H1459" s="0" t="inlineStr">
        <is>
          <t>NULL</t>
        </is>
      </c>
      <c r="I1459" s="0" t="inlineStr">
        <is>
          <t>NULL</t>
        </is>
      </c>
      <c r="J1459" s="0" t="inlineStr">
        <is>
          <t>NULL</t>
        </is>
      </c>
      <c r="K1459" s="0" t="inlineStr">
        <is>
          <t>YES! 	 id列源备映射正确，源端为int None位	期望更改为int	实际备端为int None位</t>
        </is>
      </c>
    </row>
    <row r="1460">
      <c r="B1460" s="0" t="inlineStr">
        <is>
          <t>NULL</t>
        </is>
      </c>
      <c r="C1460" s="0" t="inlineStr">
        <is>
          <t>NULL</t>
        </is>
      </c>
      <c r="D1460" s="0" t="inlineStr">
        <is>
          <t>NULL</t>
        </is>
      </c>
      <c r="E1460" s="0" t="inlineStr">
        <is>
          <t>NULL</t>
        </is>
      </c>
      <c r="F1460" s="0" t="inlineStr">
        <is>
          <t>NULL</t>
        </is>
      </c>
      <c r="G1460" s="0" t="inlineStr">
        <is>
          <t>NULL</t>
        </is>
      </c>
      <c r="H1460" s="0" t="inlineStr">
        <is>
          <t>NULL</t>
        </is>
      </c>
      <c r="I1460" s="0" t="inlineStr">
        <is>
          <t>NULL</t>
        </is>
      </c>
      <c r="J1460" s="0" t="inlineStr">
        <is>
          <t>NULL</t>
        </is>
      </c>
      <c r="K1460" s="0" t="inlineStr">
        <is>
          <t>no,len不存在</t>
        </is>
      </c>
    </row>
    <row r="1461">
      <c r="B1461" s="0" t="inlineStr">
        <is>
          <t>NULL</t>
        </is>
      </c>
      <c r="C1461" s="0" t="inlineStr">
        <is>
          <t>NULL</t>
        </is>
      </c>
      <c r="D1461" s="0" t="inlineStr">
        <is>
          <t>NULL</t>
        </is>
      </c>
      <c r="E1461" s="0" t="inlineStr">
        <is>
          <t>NULL</t>
        </is>
      </c>
      <c r="F1461" s="0" t="inlineStr">
        <is>
          <t>NULL</t>
        </is>
      </c>
      <c r="G1461" s="0" t="inlineStr">
        <is>
          <t>NULL</t>
        </is>
      </c>
      <c r="H1461" s="0" t="inlineStr">
        <is>
          <t>NULL</t>
        </is>
      </c>
      <c r="I1461" s="0" t="inlineStr">
        <is>
          <t>NULL</t>
        </is>
      </c>
      <c r="J1461" s="0" t="inlineStr">
        <is>
          <t>NULL</t>
        </is>
      </c>
      <c r="K1461" s="0" t="inlineStr">
        <is>
          <t>YES! 	 c_dt2_1列源备映射正确，源端为datetime2 None位	期望更改为datetime2(n)	实际备端为datetime2 None位</t>
        </is>
      </c>
    </row>
    <row r="1462">
      <c r="B1462" s="0" t="inlineStr">
        <is>
          <t>NULL</t>
        </is>
      </c>
      <c r="C1462" s="0" t="inlineStr">
        <is>
          <t>NULL</t>
        </is>
      </c>
      <c r="D1462" s="0" t="inlineStr">
        <is>
          <t>NULL</t>
        </is>
      </c>
      <c r="E1462" s="0" t="inlineStr">
        <is>
          <t>NULL</t>
        </is>
      </c>
      <c r="F1462" s="0" t="inlineStr">
        <is>
          <t>NULL</t>
        </is>
      </c>
      <c r="G1462" s="0" t="inlineStr">
        <is>
          <t>NULL</t>
        </is>
      </c>
      <c r="H1462" s="0" t="inlineStr">
        <is>
          <t>NULL</t>
        </is>
      </c>
      <c r="I1462" s="0" t="inlineStr">
        <is>
          <t>NULL</t>
        </is>
      </c>
      <c r="J1462" s="0" t="inlineStr">
        <is>
          <t>NULL</t>
        </is>
      </c>
      <c r="K1462" s="0" t="inlineStr">
        <is>
          <t>YES! 	 c_dt2_2列源备映射正确，源端为datetime2 None位	期望更改为datetime2(n)	实际备端为datetime2 None位</t>
        </is>
      </c>
    </row>
    <row r="1463">
      <c r="B1463" s="0" t="inlineStr">
        <is>
          <t>NULL</t>
        </is>
      </c>
      <c r="C1463" s="0" t="inlineStr">
        <is>
          <t>NULL</t>
        </is>
      </c>
      <c r="D1463" s="0" t="inlineStr">
        <is>
          <t>NULL</t>
        </is>
      </c>
      <c r="E1463" s="0" t="inlineStr">
        <is>
          <t>NULL</t>
        </is>
      </c>
      <c r="F1463" s="0" t="inlineStr">
        <is>
          <t>NULL</t>
        </is>
      </c>
      <c r="G1463" s="0" t="inlineStr">
        <is>
          <t>NULL</t>
        </is>
      </c>
      <c r="H1463" s="0" t="inlineStr">
        <is>
          <t>NULL</t>
        </is>
      </c>
      <c r="I1463" s="0" t="inlineStr">
        <is>
          <t>NULL</t>
        </is>
      </c>
      <c r="J1463" s="0" t="inlineStr">
        <is>
          <t>NULL</t>
        </is>
      </c>
      <c r="K1463" s="0" t="inlineStr">
        <is>
          <t>YES! 	 c_dt2_3列源备映射正确，源端为datetime2 None位	期望更改为datetime2(n)	实际备端为datetime2 None位</t>
        </is>
      </c>
    </row>
    <row r="1464">
      <c r="B1464" s="0" t="inlineStr">
        <is>
          <t>NULL</t>
        </is>
      </c>
      <c r="C1464" s="0" t="inlineStr">
        <is>
          <t>NULL</t>
        </is>
      </c>
      <c r="D1464" s="0" t="inlineStr">
        <is>
          <t>NULL</t>
        </is>
      </c>
      <c r="E1464" s="0" t="inlineStr">
        <is>
          <t>NULL</t>
        </is>
      </c>
      <c r="F1464" s="0" t="inlineStr">
        <is>
          <t>NULL</t>
        </is>
      </c>
      <c r="G1464" s="0" t="inlineStr">
        <is>
          <t>NULL</t>
        </is>
      </c>
      <c r="H1464" s="0" t="inlineStr">
        <is>
          <t>NULL</t>
        </is>
      </c>
      <c r="I1464" s="0" t="inlineStr">
        <is>
          <t>NULL</t>
        </is>
      </c>
      <c r="J1464" s="0" t="inlineStr">
        <is>
          <t>NULL</t>
        </is>
      </c>
      <c r="K1464" s="0" t="inlineStr">
        <is>
          <t>YES! 	 c_dt2_4列源备映射正确，源端为datetime2 None位	期望更改为datetime2(n)	实际备端为datetime2 None位</t>
        </is>
      </c>
    </row>
    <row r="1465">
      <c r="B1465" s="0" t="inlineStr">
        <is>
          <t>NULL</t>
        </is>
      </c>
      <c r="C1465" s="0" t="inlineStr">
        <is>
          <t>NULL</t>
        </is>
      </c>
      <c r="D1465" s="0" t="inlineStr">
        <is>
          <t>NULL</t>
        </is>
      </c>
      <c r="E1465" s="0" t="inlineStr">
        <is>
          <t>NULL</t>
        </is>
      </c>
      <c r="F1465" s="0" t="inlineStr">
        <is>
          <t>NULL</t>
        </is>
      </c>
      <c r="G1465" s="0" t="inlineStr">
        <is>
          <t>NULL</t>
        </is>
      </c>
      <c r="H1465" s="0" t="inlineStr">
        <is>
          <t>NULL</t>
        </is>
      </c>
      <c r="I1465" s="0" t="inlineStr">
        <is>
          <t>NULL</t>
        </is>
      </c>
      <c r="J1465" s="0" t="inlineStr">
        <is>
          <t>NULL</t>
        </is>
      </c>
      <c r="K1465" s="0" t="inlineStr">
        <is>
          <t>YES! 	 c_dt2_5列源备映射正确，源端为datetime2 None位	期望更改为datetime2(n)	实际备端为datetime2 None位</t>
        </is>
      </c>
    </row>
    <row r="1466">
      <c r="B1466" s="0" t="inlineStr">
        <is>
          <t>NULL</t>
        </is>
      </c>
      <c r="C1466" s="0" t="inlineStr">
        <is>
          <t>NULL</t>
        </is>
      </c>
      <c r="D1466" s="0" t="inlineStr">
        <is>
          <t>NULL</t>
        </is>
      </c>
      <c r="E1466" s="0" t="inlineStr">
        <is>
          <t>NULL</t>
        </is>
      </c>
      <c r="F1466" s="0" t="inlineStr">
        <is>
          <t>NULL</t>
        </is>
      </c>
      <c r="G1466" s="0" t="inlineStr">
        <is>
          <t>NULL</t>
        </is>
      </c>
      <c r="H1466" s="0" t="inlineStr">
        <is>
          <t>NULL</t>
        </is>
      </c>
      <c r="I1466" s="0" t="inlineStr">
        <is>
          <t>NULL</t>
        </is>
      </c>
      <c r="J1466" s="0" t="inlineStr">
        <is>
          <t>NULL</t>
        </is>
      </c>
      <c r="K1466" s="0" t="inlineStr">
        <is>
          <t>YES! 	 c_dt2_6列源备映射正确，源端为datetime2 None位	期望更改为datetime2(n)	实际备端为datetime2 None位</t>
        </is>
      </c>
    </row>
    <row r="1467">
      <c r="B1467" s="0" t="inlineStr">
        <is>
          <t>NULL</t>
        </is>
      </c>
      <c r="C1467" s="0" t="inlineStr">
        <is>
          <t>NULL</t>
        </is>
      </c>
      <c r="D1467" s="0" t="inlineStr">
        <is>
          <t>NULL</t>
        </is>
      </c>
      <c r="E1467" s="0" t="inlineStr">
        <is>
          <t>NULL</t>
        </is>
      </c>
      <c r="F1467" s="0" t="inlineStr">
        <is>
          <t>NULL</t>
        </is>
      </c>
      <c r="G1467" s="0" t="inlineStr">
        <is>
          <t>NULL</t>
        </is>
      </c>
      <c r="H1467" s="0" t="inlineStr">
        <is>
          <t>NULL</t>
        </is>
      </c>
      <c r="I1467" s="0" t="inlineStr">
        <is>
          <t>NULL</t>
        </is>
      </c>
      <c r="J1467" s="0" t="inlineStr">
        <is>
          <t>NULL</t>
        </is>
      </c>
      <c r="K1467" s="0" t="inlineStr">
        <is>
          <t>YES! 	 c_dt2列源备映射正确，源端为datetime2 None位	期望更改为datetime2(n)	实际备端为datetime2 None位</t>
        </is>
      </c>
    </row>
    <row r="1468">
      <c r="A1468" s="0" t="inlineStr">
        <is>
          <t>info_datetimeoffset_dml_batch1_pk</t>
        </is>
      </c>
      <c r="K1468" s="0" t="inlineStr">
        <is>
          <t>[0;34m info_datetimeoffset_dml_batch1_pk [0m源备字段数相同，源端字段：9 	备端字段9</t>
        </is>
      </c>
      <c r="W1468" s="0" t="inlineStr">
        <is>
          <t>YES 源备无差异</t>
        </is>
      </c>
      <c r="X1468" s="0">
        <f>A1468</f>
        <v/>
      </c>
    </row>
    <row r="1469">
      <c r="B1469" s="0" t="inlineStr">
        <is>
          <t>YES</t>
        </is>
      </c>
      <c r="C1469" s="0" t="inlineStr">
        <is>
          <t>NULL</t>
        </is>
      </c>
      <c r="D1469" s="0" t="inlineStr">
        <is>
          <t>NULL</t>
        </is>
      </c>
      <c r="E1469" s="0" t="inlineStr">
        <is>
          <t>NULL</t>
        </is>
      </c>
      <c r="F1469" s="0" t="inlineStr">
        <is>
          <t>NULL</t>
        </is>
      </c>
      <c r="G1469" s="0" t="inlineStr">
        <is>
          <t>NULL</t>
        </is>
      </c>
      <c r="H1469" s="0" t="inlineStr">
        <is>
          <t>NULL</t>
        </is>
      </c>
      <c r="I1469" s="0" t="inlineStr">
        <is>
          <t>YES!PK__info_dat__3213E83F51752AA8</t>
        </is>
      </c>
      <c r="J1469" s="0" t="inlineStr">
        <is>
          <t>YES! 主键相关索引</t>
        </is>
      </c>
      <c r="K1469" s="0" t="inlineStr">
        <is>
          <t>YES! 	 id列源备映射正确，源端为int None位	期望更改为int	实际备端为int None位</t>
        </is>
      </c>
    </row>
    <row r="1470">
      <c r="B1470" s="0" t="inlineStr">
        <is>
          <t>NULL</t>
        </is>
      </c>
      <c r="C1470" s="0" t="inlineStr">
        <is>
          <t>NULL</t>
        </is>
      </c>
      <c r="D1470" s="0" t="inlineStr">
        <is>
          <t>NULL</t>
        </is>
      </c>
      <c r="E1470" s="0" t="inlineStr">
        <is>
          <t>NULL</t>
        </is>
      </c>
      <c r="F1470" s="0" t="inlineStr">
        <is>
          <t>NULL</t>
        </is>
      </c>
      <c r="G1470" s="0" t="inlineStr">
        <is>
          <t>NULL</t>
        </is>
      </c>
      <c r="H1470" s="0" t="inlineStr">
        <is>
          <t>NULL</t>
        </is>
      </c>
      <c r="I1470" s="0" t="inlineStr">
        <is>
          <t>NULL</t>
        </is>
      </c>
      <c r="J1470" s="0" t="inlineStr">
        <is>
          <t>NULL</t>
        </is>
      </c>
      <c r="K1470" s="0" t="inlineStr">
        <is>
          <t>no,len不存在</t>
        </is>
      </c>
    </row>
    <row r="1471">
      <c r="B1471" s="0" t="inlineStr">
        <is>
          <t>NULL</t>
        </is>
      </c>
      <c r="C1471" s="0" t="inlineStr">
        <is>
          <t>NULL</t>
        </is>
      </c>
      <c r="D1471" s="0" t="inlineStr">
        <is>
          <t>NULL</t>
        </is>
      </c>
      <c r="E1471" s="0" t="inlineStr">
        <is>
          <t>NULL</t>
        </is>
      </c>
      <c r="F1471" s="0" t="inlineStr">
        <is>
          <t>NULL</t>
        </is>
      </c>
      <c r="G1471" s="0" t="inlineStr">
        <is>
          <t>NULL</t>
        </is>
      </c>
      <c r="H1471" s="0" t="inlineStr">
        <is>
          <t>NULL</t>
        </is>
      </c>
      <c r="I1471" s="0" t="inlineStr">
        <is>
          <t>NULL</t>
        </is>
      </c>
      <c r="J1471" s="0" t="inlineStr">
        <is>
          <t>NULL</t>
        </is>
      </c>
      <c r="K1471" s="0" t="inlineStr">
        <is>
          <t>YES! 	 c_dtoffset_1列源备映射正确，源端为datetimeoffset None位	期望更改为datetimeoffset(n)	实际备端为datetimeoffset None位</t>
        </is>
      </c>
    </row>
    <row r="1472">
      <c r="B1472" s="0" t="inlineStr">
        <is>
          <t>NULL</t>
        </is>
      </c>
      <c r="C1472" s="0" t="inlineStr">
        <is>
          <t>NULL</t>
        </is>
      </c>
      <c r="D1472" s="0" t="inlineStr">
        <is>
          <t>NULL</t>
        </is>
      </c>
      <c r="E1472" s="0" t="inlineStr">
        <is>
          <t>NULL</t>
        </is>
      </c>
      <c r="F1472" s="0" t="inlineStr">
        <is>
          <t>NULL</t>
        </is>
      </c>
      <c r="G1472" s="0" t="inlineStr">
        <is>
          <t>NULL</t>
        </is>
      </c>
      <c r="H1472" s="0" t="inlineStr">
        <is>
          <t>NULL</t>
        </is>
      </c>
      <c r="I1472" s="0" t="inlineStr">
        <is>
          <t>NULL</t>
        </is>
      </c>
      <c r="J1472" s="0" t="inlineStr">
        <is>
          <t>NULL</t>
        </is>
      </c>
      <c r="K1472" s="0" t="inlineStr">
        <is>
          <t>YES! 	 c_dtoffset_2列源备映射正确，源端为datetimeoffset None位	期望更改为datetimeoffset(n)	实际备端为datetimeoffset None位</t>
        </is>
      </c>
    </row>
    <row r="1473">
      <c r="B1473" s="0" t="inlineStr">
        <is>
          <t>NULL</t>
        </is>
      </c>
      <c r="C1473" s="0" t="inlineStr">
        <is>
          <t>NULL</t>
        </is>
      </c>
      <c r="D1473" s="0" t="inlineStr">
        <is>
          <t>NULL</t>
        </is>
      </c>
      <c r="E1473" s="0" t="inlineStr">
        <is>
          <t>NULL</t>
        </is>
      </c>
      <c r="F1473" s="0" t="inlineStr">
        <is>
          <t>NULL</t>
        </is>
      </c>
      <c r="G1473" s="0" t="inlineStr">
        <is>
          <t>NULL</t>
        </is>
      </c>
      <c r="H1473" s="0" t="inlineStr">
        <is>
          <t>NULL</t>
        </is>
      </c>
      <c r="I1473" s="0" t="inlineStr">
        <is>
          <t>NULL</t>
        </is>
      </c>
      <c r="J1473" s="0" t="inlineStr">
        <is>
          <t>NULL</t>
        </is>
      </c>
      <c r="K1473" s="0" t="inlineStr">
        <is>
          <t>YES! 	 c_dtoffset_3列源备映射正确，源端为datetimeoffset None位	期望更改为datetimeoffset(n)	实际备端为datetimeoffset None位</t>
        </is>
      </c>
    </row>
    <row r="1474">
      <c r="B1474" s="0" t="inlineStr">
        <is>
          <t>NULL</t>
        </is>
      </c>
      <c r="C1474" s="0" t="inlineStr">
        <is>
          <t>NULL</t>
        </is>
      </c>
      <c r="D1474" s="0" t="inlineStr">
        <is>
          <t>NULL</t>
        </is>
      </c>
      <c r="E1474" s="0" t="inlineStr">
        <is>
          <t>NULL</t>
        </is>
      </c>
      <c r="F1474" s="0" t="inlineStr">
        <is>
          <t>NULL</t>
        </is>
      </c>
      <c r="G1474" s="0" t="inlineStr">
        <is>
          <t>NULL</t>
        </is>
      </c>
      <c r="H1474" s="0" t="inlineStr">
        <is>
          <t>NULL</t>
        </is>
      </c>
      <c r="I1474" s="0" t="inlineStr">
        <is>
          <t>NULL</t>
        </is>
      </c>
      <c r="J1474" s="0" t="inlineStr">
        <is>
          <t>NULL</t>
        </is>
      </c>
      <c r="K1474" s="0" t="inlineStr">
        <is>
          <t>YES! 	 c_dtoffset_4列源备映射正确，源端为datetimeoffset None位	期望更改为datetimeoffset(n)	实际备端为datetimeoffset None位</t>
        </is>
      </c>
    </row>
    <row r="1475">
      <c r="B1475" s="0" t="inlineStr">
        <is>
          <t>NULL</t>
        </is>
      </c>
      <c r="C1475" s="0" t="inlineStr">
        <is>
          <t>NULL</t>
        </is>
      </c>
      <c r="D1475" s="0" t="inlineStr">
        <is>
          <t>NULL</t>
        </is>
      </c>
      <c r="E1475" s="0" t="inlineStr">
        <is>
          <t>NULL</t>
        </is>
      </c>
      <c r="F1475" s="0" t="inlineStr">
        <is>
          <t>NULL</t>
        </is>
      </c>
      <c r="G1475" s="0" t="inlineStr">
        <is>
          <t>NULL</t>
        </is>
      </c>
      <c r="H1475" s="0" t="inlineStr">
        <is>
          <t>NULL</t>
        </is>
      </c>
      <c r="I1475" s="0" t="inlineStr">
        <is>
          <t>NULL</t>
        </is>
      </c>
      <c r="J1475" s="0" t="inlineStr">
        <is>
          <t>NULL</t>
        </is>
      </c>
      <c r="K1475" s="0" t="inlineStr">
        <is>
          <t>YES! 	 c_dtoffset_5列源备映射正确，源端为datetimeoffset None位	期望更改为datetimeoffset(n)	实际备端为datetimeoffset None位</t>
        </is>
      </c>
    </row>
    <row r="1476">
      <c r="B1476" s="0" t="inlineStr">
        <is>
          <t>NULL</t>
        </is>
      </c>
      <c r="C1476" s="0" t="inlineStr">
        <is>
          <t>NULL</t>
        </is>
      </c>
      <c r="D1476" s="0" t="inlineStr">
        <is>
          <t>NULL</t>
        </is>
      </c>
      <c r="E1476" s="0" t="inlineStr">
        <is>
          <t>NULL</t>
        </is>
      </c>
      <c r="F1476" s="0" t="inlineStr">
        <is>
          <t>NULL</t>
        </is>
      </c>
      <c r="G1476" s="0" t="inlineStr">
        <is>
          <t>NULL</t>
        </is>
      </c>
      <c r="H1476" s="0" t="inlineStr">
        <is>
          <t>NULL</t>
        </is>
      </c>
      <c r="I1476" s="0" t="inlineStr">
        <is>
          <t>NULL</t>
        </is>
      </c>
      <c r="J1476" s="0" t="inlineStr">
        <is>
          <t>NULL</t>
        </is>
      </c>
      <c r="K1476" s="0" t="inlineStr">
        <is>
          <t>YES! 	 c_dtoffset_6列源备映射正确，源端为datetimeoffset None位	期望更改为datetimeoffset(n)	实际备端为datetimeoffset None位</t>
        </is>
      </c>
    </row>
    <row r="1477">
      <c r="B1477" s="0" t="inlineStr">
        <is>
          <t>NULL</t>
        </is>
      </c>
      <c r="C1477" s="0" t="inlineStr">
        <is>
          <t>NULL</t>
        </is>
      </c>
      <c r="D1477" s="0" t="inlineStr">
        <is>
          <t>NULL</t>
        </is>
      </c>
      <c r="E1477" s="0" t="inlineStr">
        <is>
          <t>NULL</t>
        </is>
      </c>
      <c r="F1477" s="0" t="inlineStr">
        <is>
          <t>NULL</t>
        </is>
      </c>
      <c r="G1477" s="0" t="inlineStr">
        <is>
          <t>NULL</t>
        </is>
      </c>
      <c r="H1477" s="0" t="inlineStr">
        <is>
          <t>NULL</t>
        </is>
      </c>
      <c r="I1477" s="0" t="inlineStr">
        <is>
          <t>NULL</t>
        </is>
      </c>
      <c r="J1477" s="0" t="inlineStr">
        <is>
          <t>NULL</t>
        </is>
      </c>
      <c r="K1477" s="0" t="inlineStr">
        <is>
          <t>YES! 	 c_dtoffset列源备映射正确，源端为datetimeoffset None位	期望更改为datetimeoffset(n)	实际备端为datetimeoffset None位</t>
        </is>
      </c>
    </row>
    <row r="1478">
      <c r="A1478" s="0" t="inlineStr">
        <is>
          <t>info_binary_dml_single_pk_urp</t>
        </is>
      </c>
      <c r="K1478" s="0" t="inlineStr">
        <is>
          <t>[0;34m info_binary_dml_single_pk_urp [0m源备字段数相同，源端字段：4 	备端字段4</t>
        </is>
      </c>
      <c r="W1478" s="0" t="inlineStr">
        <is>
          <t>YES 源备无差异</t>
        </is>
      </c>
      <c r="X1478" s="0">
        <f>A1478</f>
        <v/>
      </c>
    </row>
    <row r="1479">
      <c r="B1479" s="0" t="inlineStr">
        <is>
          <t>YES</t>
        </is>
      </c>
      <c r="C1479" s="0" t="inlineStr">
        <is>
          <t>NULL</t>
        </is>
      </c>
      <c r="D1479" s="0" t="inlineStr">
        <is>
          <t>NULL</t>
        </is>
      </c>
      <c r="E1479" s="0" t="inlineStr">
        <is>
          <t>NULL</t>
        </is>
      </c>
      <c r="F1479" s="0" t="inlineStr">
        <is>
          <t>NULL</t>
        </is>
      </c>
      <c r="G1479" s="0" t="inlineStr">
        <is>
          <t>NULL</t>
        </is>
      </c>
      <c r="H1479" s="0" t="inlineStr">
        <is>
          <t>NULL</t>
        </is>
      </c>
      <c r="I1479" s="0" t="inlineStr">
        <is>
          <t>YES!PK__info_bin__3213E83FF5F75715</t>
        </is>
      </c>
      <c r="J1479" s="0" t="inlineStr">
        <is>
          <t>YES! 主键相关索引</t>
        </is>
      </c>
      <c r="K1479" s="0" t="inlineStr">
        <is>
          <t>YES! 	 id列源备映射正确，源端为int None位	期望更改为int	实际备端为int None位</t>
        </is>
      </c>
    </row>
    <row r="1480">
      <c r="B1480" s="0" t="inlineStr">
        <is>
          <t>NULL</t>
        </is>
      </c>
      <c r="C1480" s="0" t="inlineStr">
        <is>
          <t>NULL</t>
        </is>
      </c>
      <c r="D1480" s="0" t="inlineStr">
        <is>
          <t>NULL</t>
        </is>
      </c>
      <c r="E1480" s="0" t="inlineStr">
        <is>
          <t>NULL</t>
        </is>
      </c>
      <c r="F1480" s="0" t="inlineStr">
        <is>
          <t>NULL</t>
        </is>
      </c>
      <c r="G1480" s="0" t="inlineStr">
        <is>
          <t>NULL</t>
        </is>
      </c>
      <c r="H1480" s="0" t="inlineStr">
        <is>
          <t>NULL</t>
        </is>
      </c>
      <c r="I1480" s="0" t="inlineStr">
        <is>
          <t>NULL</t>
        </is>
      </c>
      <c r="J1480" s="0" t="inlineStr">
        <is>
          <t>NULL</t>
        </is>
      </c>
      <c r="K1480" s="0" t="inlineStr">
        <is>
          <t>YES! 	 c_binary列源备映射正确，源端为binary 1位	期望更改为binary(n)	实际备端为binary 1位</t>
        </is>
      </c>
    </row>
    <row r="1481">
      <c r="B1481" s="0" t="inlineStr">
        <is>
          <t>NULL</t>
        </is>
      </c>
      <c r="C1481" s="0" t="inlineStr">
        <is>
          <t>NULL</t>
        </is>
      </c>
      <c r="D1481" s="0" t="inlineStr">
        <is>
          <t>NULL</t>
        </is>
      </c>
      <c r="E1481" s="0" t="inlineStr">
        <is>
          <t>NULL</t>
        </is>
      </c>
      <c r="F1481" s="0" t="inlineStr">
        <is>
          <t>NULL</t>
        </is>
      </c>
      <c r="G1481" s="0" t="inlineStr">
        <is>
          <t>NULL</t>
        </is>
      </c>
      <c r="H1481" s="0" t="inlineStr">
        <is>
          <t>NULL</t>
        </is>
      </c>
      <c r="I1481" s="0" t="inlineStr">
        <is>
          <t>NULL</t>
        </is>
      </c>
      <c r="J1481" s="0" t="inlineStr">
        <is>
          <t>NULL</t>
        </is>
      </c>
      <c r="K1481" s="0" t="inlineStr">
        <is>
          <t>YES! 	 c_binary_20列源备映射正确，源端为binary 20位	期望更改为binary(n)	实际备端为binary 20位</t>
        </is>
      </c>
    </row>
    <row r="1482">
      <c r="B1482" s="0" t="inlineStr">
        <is>
          <t>NULL</t>
        </is>
      </c>
      <c r="C1482" s="0" t="inlineStr">
        <is>
          <t>NULL</t>
        </is>
      </c>
      <c r="D1482" s="0" t="inlineStr">
        <is>
          <t>NULL</t>
        </is>
      </c>
      <c r="E1482" s="0" t="inlineStr">
        <is>
          <t>NULL</t>
        </is>
      </c>
      <c r="F1482" s="0" t="inlineStr">
        <is>
          <t>NULL</t>
        </is>
      </c>
      <c r="G1482" s="0" t="inlineStr">
        <is>
          <t>NULL</t>
        </is>
      </c>
      <c r="H1482" s="0" t="inlineStr">
        <is>
          <t>NULL</t>
        </is>
      </c>
      <c r="I1482" s="0" t="inlineStr">
        <is>
          <t>NULL</t>
        </is>
      </c>
      <c r="J1482" s="0" t="inlineStr">
        <is>
          <t>NULL</t>
        </is>
      </c>
      <c r="K1482" s="0" t="inlineStr">
        <is>
          <t>YES! 	 c_binary_8000列源备映射正确，源端为binary 8000位	期望更改为binary(n)	实际备端为binary 8000位</t>
        </is>
      </c>
    </row>
    <row r="1483">
      <c r="A1483" s="0" t="inlineStr">
        <is>
          <t>info_datetime2_dml_single_nopk_urp</t>
        </is>
      </c>
      <c r="K1483" s="0" t="inlineStr">
        <is>
          <t>[0;34m info_datetime2_dml_single_nopk_urp [0m源备字段数相同，源端字段：9 	备端字段9</t>
        </is>
      </c>
      <c r="W1483" s="0" t="inlineStr">
        <is>
          <t>YES 源备无差异</t>
        </is>
      </c>
      <c r="X1483" s="0">
        <f>A1483</f>
        <v/>
      </c>
    </row>
    <row r="1484">
      <c r="B1484" s="0" t="inlineStr">
        <is>
          <t>NULL</t>
        </is>
      </c>
      <c r="C1484" s="0" t="inlineStr">
        <is>
          <t>NULL</t>
        </is>
      </c>
      <c r="D1484" s="0" t="inlineStr">
        <is>
          <t>NULL</t>
        </is>
      </c>
      <c r="E1484" s="0" t="inlineStr">
        <is>
          <t>NULL</t>
        </is>
      </c>
      <c r="F1484" s="0" t="inlineStr">
        <is>
          <t>NULL</t>
        </is>
      </c>
      <c r="G1484" s="0" t="inlineStr">
        <is>
          <t>NULL</t>
        </is>
      </c>
      <c r="H1484" s="0" t="inlineStr">
        <is>
          <t>NULL</t>
        </is>
      </c>
      <c r="I1484" s="0" t="inlineStr">
        <is>
          <t>NULL</t>
        </is>
      </c>
      <c r="J1484" s="0" t="inlineStr">
        <is>
          <t>NULL</t>
        </is>
      </c>
      <c r="K1484" s="0" t="inlineStr">
        <is>
          <t>YES! 	 id列源备映射正确，源端为int None位	期望更改为int	实际备端为int None位</t>
        </is>
      </c>
    </row>
    <row r="1485">
      <c r="B1485" s="0" t="inlineStr">
        <is>
          <t>NULL</t>
        </is>
      </c>
      <c r="C1485" s="0" t="inlineStr">
        <is>
          <t>NULL</t>
        </is>
      </c>
      <c r="D1485" s="0" t="inlineStr">
        <is>
          <t>NULL</t>
        </is>
      </c>
      <c r="E1485" s="0" t="inlineStr">
        <is>
          <t>NULL</t>
        </is>
      </c>
      <c r="F1485" s="0" t="inlineStr">
        <is>
          <t>NULL</t>
        </is>
      </c>
      <c r="G1485" s="0" t="inlineStr">
        <is>
          <t>NULL</t>
        </is>
      </c>
      <c r="H1485" s="0" t="inlineStr">
        <is>
          <t>NULL</t>
        </is>
      </c>
      <c r="I1485" s="0" t="inlineStr">
        <is>
          <t>NULL</t>
        </is>
      </c>
      <c r="J1485" s="0" t="inlineStr">
        <is>
          <t>NULL</t>
        </is>
      </c>
      <c r="K1485" s="0" t="inlineStr">
        <is>
          <t>no,len不存在</t>
        </is>
      </c>
    </row>
    <row r="1486">
      <c r="B1486" s="0" t="inlineStr">
        <is>
          <t>NULL</t>
        </is>
      </c>
      <c r="C1486" s="0" t="inlineStr">
        <is>
          <t>NULL</t>
        </is>
      </c>
      <c r="D1486" s="0" t="inlineStr">
        <is>
          <t>NULL</t>
        </is>
      </c>
      <c r="E1486" s="0" t="inlineStr">
        <is>
          <t>NULL</t>
        </is>
      </c>
      <c r="F1486" s="0" t="inlineStr">
        <is>
          <t>NULL</t>
        </is>
      </c>
      <c r="G1486" s="0" t="inlineStr">
        <is>
          <t>NULL</t>
        </is>
      </c>
      <c r="H1486" s="0" t="inlineStr">
        <is>
          <t>NULL</t>
        </is>
      </c>
      <c r="I1486" s="0" t="inlineStr">
        <is>
          <t>NULL</t>
        </is>
      </c>
      <c r="J1486" s="0" t="inlineStr">
        <is>
          <t>NULL</t>
        </is>
      </c>
      <c r="K1486" s="0" t="inlineStr">
        <is>
          <t>YES! 	 c_dt2_1列源备映射正确，源端为datetime2 None位	期望更改为datetime2(n)	实际备端为datetime2 None位</t>
        </is>
      </c>
    </row>
    <row r="1487">
      <c r="B1487" s="0" t="inlineStr">
        <is>
          <t>NULL</t>
        </is>
      </c>
      <c r="C1487" s="0" t="inlineStr">
        <is>
          <t>NULL</t>
        </is>
      </c>
      <c r="D1487" s="0" t="inlineStr">
        <is>
          <t>NULL</t>
        </is>
      </c>
      <c r="E1487" s="0" t="inlineStr">
        <is>
          <t>NULL</t>
        </is>
      </c>
      <c r="F1487" s="0" t="inlineStr">
        <is>
          <t>NULL</t>
        </is>
      </c>
      <c r="G1487" s="0" t="inlineStr">
        <is>
          <t>NULL</t>
        </is>
      </c>
      <c r="H1487" s="0" t="inlineStr">
        <is>
          <t>NULL</t>
        </is>
      </c>
      <c r="I1487" s="0" t="inlineStr">
        <is>
          <t>NULL</t>
        </is>
      </c>
      <c r="J1487" s="0" t="inlineStr">
        <is>
          <t>NULL</t>
        </is>
      </c>
      <c r="K1487" s="0" t="inlineStr">
        <is>
          <t>YES! 	 c_dt2_2列源备映射正确，源端为datetime2 None位	期望更改为datetime2(n)	实际备端为datetime2 None位</t>
        </is>
      </c>
    </row>
    <row r="1488">
      <c r="B1488" s="0" t="inlineStr">
        <is>
          <t>NULL</t>
        </is>
      </c>
      <c r="C1488" s="0" t="inlineStr">
        <is>
          <t>NULL</t>
        </is>
      </c>
      <c r="D1488" s="0" t="inlineStr">
        <is>
          <t>NULL</t>
        </is>
      </c>
      <c r="E1488" s="0" t="inlineStr">
        <is>
          <t>NULL</t>
        </is>
      </c>
      <c r="F1488" s="0" t="inlineStr">
        <is>
          <t>NULL</t>
        </is>
      </c>
      <c r="G1488" s="0" t="inlineStr">
        <is>
          <t>NULL</t>
        </is>
      </c>
      <c r="H1488" s="0" t="inlineStr">
        <is>
          <t>NULL</t>
        </is>
      </c>
      <c r="I1488" s="0" t="inlineStr">
        <is>
          <t>NULL</t>
        </is>
      </c>
      <c r="J1488" s="0" t="inlineStr">
        <is>
          <t>NULL</t>
        </is>
      </c>
      <c r="K1488" s="0" t="inlineStr">
        <is>
          <t>YES! 	 c_dt2_3列源备映射正确，源端为datetime2 None位	期望更改为datetime2(n)	实际备端为datetime2 None位</t>
        </is>
      </c>
    </row>
    <row r="1489">
      <c r="B1489" s="0" t="inlineStr">
        <is>
          <t>NULL</t>
        </is>
      </c>
      <c r="C1489" s="0" t="inlineStr">
        <is>
          <t>NULL</t>
        </is>
      </c>
      <c r="D1489" s="0" t="inlineStr">
        <is>
          <t>NULL</t>
        </is>
      </c>
      <c r="E1489" s="0" t="inlineStr">
        <is>
          <t>NULL</t>
        </is>
      </c>
      <c r="F1489" s="0" t="inlineStr">
        <is>
          <t>NULL</t>
        </is>
      </c>
      <c r="G1489" s="0" t="inlineStr">
        <is>
          <t>NULL</t>
        </is>
      </c>
      <c r="H1489" s="0" t="inlineStr">
        <is>
          <t>NULL</t>
        </is>
      </c>
      <c r="I1489" s="0" t="inlineStr">
        <is>
          <t>NULL</t>
        </is>
      </c>
      <c r="J1489" s="0" t="inlineStr">
        <is>
          <t>NULL</t>
        </is>
      </c>
      <c r="K1489" s="0" t="inlineStr">
        <is>
          <t>YES! 	 c_dt2_4列源备映射正确，源端为datetime2 None位	期望更改为datetime2(n)	实际备端为datetime2 None位</t>
        </is>
      </c>
    </row>
    <row r="1490">
      <c r="B1490" s="0" t="inlineStr">
        <is>
          <t>NULL</t>
        </is>
      </c>
      <c r="C1490" s="0" t="inlineStr">
        <is>
          <t>NULL</t>
        </is>
      </c>
      <c r="D1490" s="0" t="inlineStr">
        <is>
          <t>NULL</t>
        </is>
      </c>
      <c r="E1490" s="0" t="inlineStr">
        <is>
          <t>NULL</t>
        </is>
      </c>
      <c r="F1490" s="0" t="inlineStr">
        <is>
          <t>NULL</t>
        </is>
      </c>
      <c r="G1490" s="0" t="inlineStr">
        <is>
          <t>NULL</t>
        </is>
      </c>
      <c r="H1490" s="0" t="inlineStr">
        <is>
          <t>NULL</t>
        </is>
      </c>
      <c r="I1490" s="0" t="inlineStr">
        <is>
          <t>NULL</t>
        </is>
      </c>
      <c r="J1490" s="0" t="inlineStr">
        <is>
          <t>NULL</t>
        </is>
      </c>
      <c r="K1490" s="0" t="inlineStr">
        <is>
          <t>YES! 	 c_dt2_5列源备映射正确，源端为datetime2 None位	期望更改为datetime2(n)	实际备端为datetime2 None位</t>
        </is>
      </c>
    </row>
    <row r="1491">
      <c r="B1491" s="0" t="inlineStr">
        <is>
          <t>NULL</t>
        </is>
      </c>
      <c r="C1491" s="0" t="inlineStr">
        <is>
          <t>NULL</t>
        </is>
      </c>
      <c r="D1491" s="0" t="inlineStr">
        <is>
          <t>NULL</t>
        </is>
      </c>
      <c r="E1491" s="0" t="inlineStr">
        <is>
          <t>NULL</t>
        </is>
      </c>
      <c r="F1491" s="0" t="inlineStr">
        <is>
          <t>NULL</t>
        </is>
      </c>
      <c r="G1491" s="0" t="inlineStr">
        <is>
          <t>NULL</t>
        </is>
      </c>
      <c r="H1491" s="0" t="inlineStr">
        <is>
          <t>NULL</t>
        </is>
      </c>
      <c r="I1491" s="0" t="inlineStr">
        <is>
          <t>NULL</t>
        </is>
      </c>
      <c r="J1491" s="0" t="inlineStr">
        <is>
          <t>NULL</t>
        </is>
      </c>
      <c r="K1491" s="0" t="inlineStr">
        <is>
          <t>YES! 	 c_dt2_6列源备映射正确，源端为datetime2 None位	期望更改为datetime2(n)	实际备端为datetime2 None位</t>
        </is>
      </c>
    </row>
    <row r="1492">
      <c r="B1492" s="0" t="inlineStr">
        <is>
          <t>NULL</t>
        </is>
      </c>
      <c r="C1492" s="0" t="inlineStr">
        <is>
          <t>NULL</t>
        </is>
      </c>
      <c r="D1492" s="0" t="inlineStr">
        <is>
          <t>NULL</t>
        </is>
      </c>
      <c r="E1492" s="0" t="inlineStr">
        <is>
          <t>NULL</t>
        </is>
      </c>
      <c r="F1492" s="0" t="inlineStr">
        <is>
          <t>NULL</t>
        </is>
      </c>
      <c r="G1492" s="0" t="inlineStr">
        <is>
          <t>NULL</t>
        </is>
      </c>
      <c r="H1492" s="0" t="inlineStr">
        <is>
          <t>NULL</t>
        </is>
      </c>
      <c r="I1492" s="0" t="inlineStr">
        <is>
          <t>NULL</t>
        </is>
      </c>
      <c r="J1492" s="0" t="inlineStr">
        <is>
          <t>NULL</t>
        </is>
      </c>
      <c r="K1492" s="0" t="inlineStr">
        <is>
          <t>YES! 	 c_dt2列源备映射正确，源端为datetime2 None位	期望更改为datetime2(n)	实际备端为datetime2 None位</t>
        </is>
      </c>
    </row>
    <row r="1493">
      <c r="A1493" s="0" t="inlineStr">
        <is>
          <t>info_varcharmax_dml_batch1_pk_urp1</t>
        </is>
      </c>
      <c r="K1493" s="0" t="inlineStr">
        <is>
          <t>[0;34m info_varcharmax_dml_batch1_pk_urp1 [0m源备字段数相同，源端字段：3 	备端字段3</t>
        </is>
      </c>
      <c r="W1493" s="0" t="inlineStr">
        <is>
          <t>YES 源备无差异</t>
        </is>
      </c>
      <c r="X1493" s="0">
        <f>A1493</f>
        <v/>
      </c>
    </row>
    <row r="1494">
      <c r="B1494" s="0" t="inlineStr">
        <is>
          <t>YES</t>
        </is>
      </c>
      <c r="C1494" s="0" t="inlineStr">
        <is>
          <t>NULL</t>
        </is>
      </c>
      <c r="D1494" s="0" t="inlineStr">
        <is>
          <t>NULL</t>
        </is>
      </c>
      <c r="E1494" s="0" t="inlineStr">
        <is>
          <t>NULL</t>
        </is>
      </c>
      <c r="F1494" s="0" t="inlineStr">
        <is>
          <t>NULL</t>
        </is>
      </c>
      <c r="G1494" s="0" t="inlineStr">
        <is>
          <t>NULL</t>
        </is>
      </c>
      <c r="H1494" s="0" t="inlineStr">
        <is>
          <t>NULL</t>
        </is>
      </c>
      <c r="I1494" s="0" t="inlineStr">
        <is>
          <t>YES!PK__info_var__3213E83FDE4211B1</t>
        </is>
      </c>
      <c r="J1494" s="0" t="inlineStr">
        <is>
          <t>YES! 主键相关索引</t>
        </is>
      </c>
      <c r="K1494" s="0" t="inlineStr">
        <is>
          <t>YES! 	 id列源备映射正确，源端为int None位	期望更改为int	实际备端为int None位</t>
        </is>
      </c>
    </row>
    <row r="1495">
      <c r="B1495" s="0" t="inlineStr">
        <is>
          <t>NULL</t>
        </is>
      </c>
      <c r="C1495" s="0" t="inlineStr">
        <is>
          <t>NULL</t>
        </is>
      </c>
      <c r="D1495" s="0" t="inlineStr">
        <is>
          <t>NULL</t>
        </is>
      </c>
      <c r="E1495" s="0" t="inlineStr">
        <is>
          <t>NULL</t>
        </is>
      </c>
      <c r="F1495" s="0" t="inlineStr">
        <is>
          <t>NULL</t>
        </is>
      </c>
      <c r="G1495" s="0" t="inlineStr">
        <is>
          <t>NULL</t>
        </is>
      </c>
      <c r="H1495" s="0" t="inlineStr">
        <is>
          <t>NULL</t>
        </is>
      </c>
      <c r="I1495" s="0" t="inlineStr">
        <is>
          <t>NULL</t>
        </is>
      </c>
      <c r="J1495" s="0" t="inlineStr">
        <is>
          <t>NULL</t>
        </is>
      </c>
      <c r="K1495" s="0" t="inlineStr">
        <is>
          <t>YES! 	 c_varchar_max列源备映射正确，源端为varchar -1位	期望更改为varchar(n)	实际备端为varchar -1位</t>
        </is>
      </c>
    </row>
    <row r="1496">
      <c r="B1496" s="0" t="inlineStr">
        <is>
          <t>NULL</t>
        </is>
      </c>
      <c r="C1496" s="0" t="inlineStr">
        <is>
          <t>NULL</t>
        </is>
      </c>
      <c r="D1496" s="0" t="inlineStr">
        <is>
          <t>NULL</t>
        </is>
      </c>
      <c r="E1496" s="0" t="inlineStr">
        <is>
          <t>NULL</t>
        </is>
      </c>
      <c r="F1496" s="0" t="inlineStr">
        <is>
          <t>NULL</t>
        </is>
      </c>
      <c r="G1496" s="0" t="inlineStr">
        <is>
          <t>NULL</t>
        </is>
      </c>
      <c r="H1496" s="0" t="inlineStr">
        <is>
          <t>NULL</t>
        </is>
      </c>
      <c r="I1496" s="0" t="inlineStr">
        <is>
          <t>NULL</t>
        </is>
      </c>
      <c r="J1496" s="0" t="inlineStr">
        <is>
          <t>NULL</t>
        </is>
      </c>
      <c r="K1496" s="0" t="inlineStr">
        <is>
          <t>YES! 	 c_nvarchar_max列源备映射正确，源端为nvarchar -1位	期望更改为nvarchar(n)	实际备端为nvarchar -1位</t>
        </is>
      </c>
    </row>
    <row r="1497">
      <c r="K1497" s="0" t="inlineStr">
        <is>
          <t>~ 空表</t>
        </is>
      </c>
    </row>
    <row r="1498">
      <c r="A1498" s="0" t="inlineStr">
        <is>
          <t>info_datetimeoffset_dml_single_pk_drp</t>
        </is>
      </c>
      <c r="K1498" s="0" t="inlineStr">
        <is>
          <t>[0;34m info_datetimeoffset_dml_single_pk_drp [0m源备字段数相同，源端字段：9 	备端字段9</t>
        </is>
      </c>
      <c r="W1498" s="0" t="inlineStr">
        <is>
          <t>YES 源备无差异</t>
        </is>
      </c>
      <c r="X1498" s="0">
        <f>A1498</f>
        <v/>
      </c>
    </row>
    <row r="1499">
      <c r="B1499" s="0" t="inlineStr">
        <is>
          <t>YES</t>
        </is>
      </c>
      <c r="C1499" s="0" t="inlineStr">
        <is>
          <t>NULL</t>
        </is>
      </c>
      <c r="D1499" s="0" t="inlineStr">
        <is>
          <t>NULL</t>
        </is>
      </c>
      <c r="E1499" s="0" t="inlineStr">
        <is>
          <t>NULL</t>
        </is>
      </c>
      <c r="F1499" s="0" t="inlineStr">
        <is>
          <t>NULL</t>
        </is>
      </c>
      <c r="G1499" s="0" t="inlineStr">
        <is>
          <t>NULL</t>
        </is>
      </c>
      <c r="H1499" s="0" t="inlineStr">
        <is>
          <t>NULL</t>
        </is>
      </c>
      <c r="I1499" s="0" t="inlineStr">
        <is>
          <t>YES!PK__info_dat__3213E83FB13C2792</t>
        </is>
      </c>
      <c r="J1499" s="0" t="inlineStr">
        <is>
          <t>YES! 主键相关索引</t>
        </is>
      </c>
      <c r="K1499" s="0" t="inlineStr">
        <is>
          <t>YES! 	 id列源备映射正确，源端为int None位	期望更改为int	实际备端为int None位</t>
        </is>
      </c>
    </row>
    <row r="1500">
      <c r="B1500" s="0" t="inlineStr">
        <is>
          <t>NULL</t>
        </is>
      </c>
      <c r="C1500" s="0" t="inlineStr">
        <is>
          <t>NULL</t>
        </is>
      </c>
      <c r="D1500" s="0" t="inlineStr">
        <is>
          <t>NULL</t>
        </is>
      </c>
      <c r="E1500" s="0" t="inlineStr">
        <is>
          <t>NULL</t>
        </is>
      </c>
      <c r="F1500" s="0" t="inlineStr">
        <is>
          <t>NULL</t>
        </is>
      </c>
      <c r="G1500" s="0" t="inlineStr">
        <is>
          <t>NULL</t>
        </is>
      </c>
      <c r="H1500" s="0" t="inlineStr">
        <is>
          <t>NULL</t>
        </is>
      </c>
      <c r="I1500" s="0" t="inlineStr">
        <is>
          <t>NULL</t>
        </is>
      </c>
      <c r="J1500" s="0" t="inlineStr">
        <is>
          <t>NULL</t>
        </is>
      </c>
      <c r="K1500" s="0" t="inlineStr">
        <is>
          <t>no,len不存在</t>
        </is>
      </c>
    </row>
    <row r="1501">
      <c r="B1501" s="0" t="inlineStr">
        <is>
          <t>NULL</t>
        </is>
      </c>
      <c r="C1501" s="0" t="inlineStr">
        <is>
          <t>NULL</t>
        </is>
      </c>
      <c r="D1501" s="0" t="inlineStr">
        <is>
          <t>NULL</t>
        </is>
      </c>
      <c r="E1501" s="0" t="inlineStr">
        <is>
          <t>NULL</t>
        </is>
      </c>
      <c r="F1501" s="0" t="inlineStr">
        <is>
          <t>NULL</t>
        </is>
      </c>
      <c r="G1501" s="0" t="inlineStr">
        <is>
          <t>NULL</t>
        </is>
      </c>
      <c r="H1501" s="0" t="inlineStr">
        <is>
          <t>NULL</t>
        </is>
      </c>
      <c r="I1501" s="0" t="inlineStr">
        <is>
          <t>NULL</t>
        </is>
      </c>
      <c r="J1501" s="0" t="inlineStr">
        <is>
          <t>NULL</t>
        </is>
      </c>
      <c r="K1501" s="0" t="inlineStr">
        <is>
          <t>YES! 	 c_dtoffset_1列源备映射正确，源端为datetimeoffset None位	期望更改为datetimeoffset(n)	实际备端为datetimeoffset None位</t>
        </is>
      </c>
    </row>
    <row r="1502">
      <c r="B1502" s="0" t="inlineStr">
        <is>
          <t>NULL</t>
        </is>
      </c>
      <c r="C1502" s="0" t="inlineStr">
        <is>
          <t>NULL</t>
        </is>
      </c>
      <c r="D1502" s="0" t="inlineStr">
        <is>
          <t>NULL</t>
        </is>
      </c>
      <c r="E1502" s="0" t="inlineStr">
        <is>
          <t>NULL</t>
        </is>
      </c>
      <c r="F1502" s="0" t="inlineStr">
        <is>
          <t>NULL</t>
        </is>
      </c>
      <c r="G1502" s="0" t="inlineStr">
        <is>
          <t>NULL</t>
        </is>
      </c>
      <c r="H1502" s="0" t="inlineStr">
        <is>
          <t>NULL</t>
        </is>
      </c>
      <c r="I1502" s="0" t="inlineStr">
        <is>
          <t>NULL</t>
        </is>
      </c>
      <c r="J1502" s="0" t="inlineStr">
        <is>
          <t>NULL</t>
        </is>
      </c>
      <c r="K1502" s="0" t="inlineStr">
        <is>
          <t>YES! 	 c_dtoffset_2列源备映射正确，源端为datetimeoffset None位	期望更改为datetimeoffset(n)	实际备端为datetimeoffset None位</t>
        </is>
      </c>
    </row>
    <row r="1503">
      <c r="B1503" s="0" t="inlineStr">
        <is>
          <t>NULL</t>
        </is>
      </c>
      <c r="C1503" s="0" t="inlineStr">
        <is>
          <t>NULL</t>
        </is>
      </c>
      <c r="D1503" s="0" t="inlineStr">
        <is>
          <t>NULL</t>
        </is>
      </c>
      <c r="E1503" s="0" t="inlineStr">
        <is>
          <t>NULL</t>
        </is>
      </c>
      <c r="F1503" s="0" t="inlineStr">
        <is>
          <t>NULL</t>
        </is>
      </c>
      <c r="G1503" s="0" t="inlineStr">
        <is>
          <t>NULL</t>
        </is>
      </c>
      <c r="H1503" s="0" t="inlineStr">
        <is>
          <t>NULL</t>
        </is>
      </c>
      <c r="I1503" s="0" t="inlineStr">
        <is>
          <t>NULL</t>
        </is>
      </c>
      <c r="J1503" s="0" t="inlineStr">
        <is>
          <t>NULL</t>
        </is>
      </c>
      <c r="K1503" s="0" t="inlineStr">
        <is>
          <t>YES! 	 c_dtoffset_3列源备映射正确，源端为datetimeoffset None位	期望更改为datetimeoffset(n)	实际备端为datetimeoffset None位</t>
        </is>
      </c>
    </row>
    <row r="1504">
      <c r="B1504" s="0" t="inlineStr">
        <is>
          <t>NULL</t>
        </is>
      </c>
      <c r="C1504" s="0" t="inlineStr">
        <is>
          <t>NULL</t>
        </is>
      </c>
      <c r="D1504" s="0" t="inlineStr">
        <is>
          <t>NULL</t>
        </is>
      </c>
      <c r="E1504" s="0" t="inlineStr">
        <is>
          <t>NULL</t>
        </is>
      </c>
      <c r="F1504" s="0" t="inlineStr">
        <is>
          <t>NULL</t>
        </is>
      </c>
      <c r="G1504" s="0" t="inlineStr">
        <is>
          <t>NULL</t>
        </is>
      </c>
      <c r="H1504" s="0" t="inlineStr">
        <is>
          <t>NULL</t>
        </is>
      </c>
      <c r="I1504" s="0" t="inlineStr">
        <is>
          <t>NULL</t>
        </is>
      </c>
      <c r="J1504" s="0" t="inlineStr">
        <is>
          <t>NULL</t>
        </is>
      </c>
      <c r="K1504" s="0" t="inlineStr">
        <is>
          <t>YES! 	 c_dtoffset_4列源备映射正确，源端为datetimeoffset None位	期望更改为datetimeoffset(n)	实际备端为datetimeoffset None位</t>
        </is>
      </c>
    </row>
    <row r="1505">
      <c r="B1505" s="0" t="inlineStr">
        <is>
          <t>NULL</t>
        </is>
      </c>
      <c r="C1505" s="0" t="inlineStr">
        <is>
          <t>NULL</t>
        </is>
      </c>
      <c r="D1505" s="0" t="inlineStr">
        <is>
          <t>NULL</t>
        </is>
      </c>
      <c r="E1505" s="0" t="inlineStr">
        <is>
          <t>NULL</t>
        </is>
      </c>
      <c r="F1505" s="0" t="inlineStr">
        <is>
          <t>NULL</t>
        </is>
      </c>
      <c r="G1505" s="0" t="inlineStr">
        <is>
          <t>NULL</t>
        </is>
      </c>
      <c r="H1505" s="0" t="inlineStr">
        <is>
          <t>NULL</t>
        </is>
      </c>
      <c r="I1505" s="0" t="inlineStr">
        <is>
          <t>NULL</t>
        </is>
      </c>
      <c r="J1505" s="0" t="inlineStr">
        <is>
          <t>NULL</t>
        </is>
      </c>
      <c r="K1505" s="0" t="inlineStr">
        <is>
          <t>YES! 	 c_dtoffset_5列源备映射正确，源端为datetimeoffset None位	期望更改为datetimeoffset(n)	实际备端为datetimeoffset None位</t>
        </is>
      </c>
    </row>
    <row r="1506">
      <c r="B1506" s="0" t="inlineStr">
        <is>
          <t>NULL</t>
        </is>
      </c>
      <c r="C1506" s="0" t="inlineStr">
        <is>
          <t>NULL</t>
        </is>
      </c>
      <c r="D1506" s="0" t="inlineStr">
        <is>
          <t>NULL</t>
        </is>
      </c>
      <c r="E1506" s="0" t="inlineStr">
        <is>
          <t>NULL</t>
        </is>
      </c>
      <c r="F1506" s="0" t="inlineStr">
        <is>
          <t>NULL</t>
        </is>
      </c>
      <c r="G1506" s="0" t="inlineStr">
        <is>
          <t>NULL</t>
        </is>
      </c>
      <c r="H1506" s="0" t="inlineStr">
        <is>
          <t>NULL</t>
        </is>
      </c>
      <c r="I1506" s="0" t="inlineStr">
        <is>
          <t>NULL</t>
        </is>
      </c>
      <c r="J1506" s="0" t="inlineStr">
        <is>
          <t>NULL</t>
        </is>
      </c>
      <c r="K1506" s="0" t="inlineStr">
        <is>
          <t>YES! 	 c_dtoffset_6列源备映射正确，源端为datetimeoffset None位	期望更改为datetimeoffset(n)	实际备端为datetimeoffset None位</t>
        </is>
      </c>
    </row>
    <row r="1507">
      <c r="B1507" s="0" t="inlineStr">
        <is>
          <t>NULL</t>
        </is>
      </c>
      <c r="C1507" s="0" t="inlineStr">
        <is>
          <t>NULL</t>
        </is>
      </c>
      <c r="D1507" s="0" t="inlineStr">
        <is>
          <t>NULL</t>
        </is>
      </c>
      <c r="E1507" s="0" t="inlineStr">
        <is>
          <t>NULL</t>
        </is>
      </c>
      <c r="F1507" s="0" t="inlineStr">
        <is>
          <t>NULL</t>
        </is>
      </c>
      <c r="G1507" s="0" t="inlineStr">
        <is>
          <t>NULL</t>
        </is>
      </c>
      <c r="H1507" s="0" t="inlineStr">
        <is>
          <t>NULL</t>
        </is>
      </c>
      <c r="I1507" s="0" t="inlineStr">
        <is>
          <t>NULL</t>
        </is>
      </c>
      <c r="J1507" s="0" t="inlineStr">
        <is>
          <t>NULL</t>
        </is>
      </c>
      <c r="K1507" s="0" t="inlineStr">
        <is>
          <t>YES! 	 c_dtoffset列源备映射正确，源端为datetimeoffset None位	期望更改为datetimeoffset(n)	实际备端为datetimeoffset None位</t>
        </is>
      </c>
    </row>
    <row r="1508">
      <c r="A1508" s="0" t="inlineStr">
        <is>
          <t>info_datetime2_dml_single_nopk_drp</t>
        </is>
      </c>
      <c r="K1508" s="0" t="inlineStr">
        <is>
          <t>[0;34m info_datetime2_dml_single_nopk_drp [0m源备字段数相同，源端字段：9 	备端字段9</t>
        </is>
      </c>
      <c r="W1508" s="0" t="inlineStr">
        <is>
          <t>YES 源备无差异</t>
        </is>
      </c>
      <c r="X1508" s="0">
        <f>A1508</f>
        <v/>
      </c>
    </row>
    <row r="1509">
      <c r="B1509" s="0" t="inlineStr">
        <is>
          <t>NULL</t>
        </is>
      </c>
      <c r="C1509" s="0" t="inlineStr">
        <is>
          <t>NULL</t>
        </is>
      </c>
      <c r="D1509" s="0" t="inlineStr">
        <is>
          <t>NULL</t>
        </is>
      </c>
      <c r="E1509" s="0" t="inlineStr">
        <is>
          <t>NULL</t>
        </is>
      </c>
      <c r="F1509" s="0" t="inlineStr">
        <is>
          <t>NULL</t>
        </is>
      </c>
      <c r="G1509" s="0" t="inlineStr">
        <is>
          <t>NULL</t>
        </is>
      </c>
      <c r="H1509" s="0" t="inlineStr">
        <is>
          <t>NULL</t>
        </is>
      </c>
      <c r="I1509" s="0" t="inlineStr">
        <is>
          <t>NULL</t>
        </is>
      </c>
      <c r="J1509" s="0" t="inlineStr">
        <is>
          <t>NULL</t>
        </is>
      </c>
      <c r="K1509" s="0" t="inlineStr">
        <is>
          <t>YES! 	 id列源备映射正确，源端为int None位	期望更改为int	实际备端为int None位</t>
        </is>
      </c>
    </row>
    <row r="1510">
      <c r="B1510" s="0" t="inlineStr">
        <is>
          <t>NULL</t>
        </is>
      </c>
      <c r="C1510" s="0" t="inlineStr">
        <is>
          <t>NULL</t>
        </is>
      </c>
      <c r="D1510" s="0" t="inlineStr">
        <is>
          <t>NULL</t>
        </is>
      </c>
      <c r="E1510" s="0" t="inlineStr">
        <is>
          <t>NULL</t>
        </is>
      </c>
      <c r="F1510" s="0" t="inlineStr">
        <is>
          <t>NULL</t>
        </is>
      </c>
      <c r="G1510" s="0" t="inlineStr">
        <is>
          <t>NULL</t>
        </is>
      </c>
      <c r="H1510" s="0" t="inlineStr">
        <is>
          <t>NULL</t>
        </is>
      </c>
      <c r="I1510" s="0" t="inlineStr">
        <is>
          <t>NULL</t>
        </is>
      </c>
      <c r="J1510" s="0" t="inlineStr">
        <is>
          <t>NULL</t>
        </is>
      </c>
      <c r="K1510" s="0" t="inlineStr">
        <is>
          <t>no,len不存在</t>
        </is>
      </c>
    </row>
    <row r="1511">
      <c r="B1511" s="0" t="inlineStr">
        <is>
          <t>NULL</t>
        </is>
      </c>
      <c r="C1511" s="0" t="inlineStr">
        <is>
          <t>NULL</t>
        </is>
      </c>
      <c r="D1511" s="0" t="inlineStr">
        <is>
          <t>NULL</t>
        </is>
      </c>
      <c r="E1511" s="0" t="inlineStr">
        <is>
          <t>NULL</t>
        </is>
      </c>
      <c r="F1511" s="0" t="inlineStr">
        <is>
          <t>NULL</t>
        </is>
      </c>
      <c r="G1511" s="0" t="inlineStr">
        <is>
          <t>NULL</t>
        </is>
      </c>
      <c r="H1511" s="0" t="inlineStr">
        <is>
          <t>NULL</t>
        </is>
      </c>
      <c r="I1511" s="0" t="inlineStr">
        <is>
          <t>NULL</t>
        </is>
      </c>
      <c r="J1511" s="0" t="inlineStr">
        <is>
          <t>NULL</t>
        </is>
      </c>
      <c r="K1511" s="0" t="inlineStr">
        <is>
          <t>YES! 	 c_dt2_1列源备映射正确，源端为datetime2 None位	期望更改为datetime2(n)	实际备端为datetime2 None位</t>
        </is>
      </c>
    </row>
    <row r="1512">
      <c r="B1512" s="0" t="inlineStr">
        <is>
          <t>NULL</t>
        </is>
      </c>
      <c r="C1512" s="0" t="inlineStr">
        <is>
          <t>NULL</t>
        </is>
      </c>
      <c r="D1512" s="0" t="inlineStr">
        <is>
          <t>NULL</t>
        </is>
      </c>
      <c r="E1512" s="0" t="inlineStr">
        <is>
          <t>NULL</t>
        </is>
      </c>
      <c r="F1512" s="0" t="inlineStr">
        <is>
          <t>NULL</t>
        </is>
      </c>
      <c r="G1512" s="0" t="inlineStr">
        <is>
          <t>NULL</t>
        </is>
      </c>
      <c r="H1512" s="0" t="inlineStr">
        <is>
          <t>NULL</t>
        </is>
      </c>
      <c r="I1512" s="0" t="inlineStr">
        <is>
          <t>NULL</t>
        </is>
      </c>
      <c r="J1512" s="0" t="inlineStr">
        <is>
          <t>NULL</t>
        </is>
      </c>
      <c r="K1512" s="0" t="inlineStr">
        <is>
          <t>YES! 	 c_dt2_2列源备映射正确，源端为datetime2 None位	期望更改为datetime2(n)	实际备端为datetime2 None位</t>
        </is>
      </c>
    </row>
    <row r="1513">
      <c r="B1513" s="0" t="inlineStr">
        <is>
          <t>NULL</t>
        </is>
      </c>
      <c r="C1513" s="0" t="inlineStr">
        <is>
          <t>NULL</t>
        </is>
      </c>
      <c r="D1513" s="0" t="inlineStr">
        <is>
          <t>NULL</t>
        </is>
      </c>
      <c r="E1513" s="0" t="inlineStr">
        <is>
          <t>NULL</t>
        </is>
      </c>
      <c r="F1513" s="0" t="inlineStr">
        <is>
          <t>NULL</t>
        </is>
      </c>
      <c r="G1513" s="0" t="inlineStr">
        <is>
          <t>NULL</t>
        </is>
      </c>
      <c r="H1513" s="0" t="inlineStr">
        <is>
          <t>NULL</t>
        </is>
      </c>
      <c r="I1513" s="0" t="inlineStr">
        <is>
          <t>NULL</t>
        </is>
      </c>
      <c r="J1513" s="0" t="inlineStr">
        <is>
          <t>NULL</t>
        </is>
      </c>
      <c r="K1513" s="0" t="inlineStr">
        <is>
          <t>YES! 	 c_dt2_3列源备映射正确，源端为datetime2 None位	期望更改为datetime2(n)	实际备端为datetime2 None位</t>
        </is>
      </c>
    </row>
    <row r="1514">
      <c r="B1514" s="0" t="inlineStr">
        <is>
          <t>NULL</t>
        </is>
      </c>
      <c r="C1514" s="0" t="inlineStr">
        <is>
          <t>NULL</t>
        </is>
      </c>
      <c r="D1514" s="0" t="inlineStr">
        <is>
          <t>NULL</t>
        </is>
      </c>
      <c r="E1514" s="0" t="inlineStr">
        <is>
          <t>NULL</t>
        </is>
      </c>
      <c r="F1514" s="0" t="inlineStr">
        <is>
          <t>NULL</t>
        </is>
      </c>
      <c r="G1514" s="0" t="inlineStr">
        <is>
          <t>NULL</t>
        </is>
      </c>
      <c r="H1514" s="0" t="inlineStr">
        <is>
          <t>NULL</t>
        </is>
      </c>
      <c r="I1514" s="0" t="inlineStr">
        <is>
          <t>NULL</t>
        </is>
      </c>
      <c r="J1514" s="0" t="inlineStr">
        <is>
          <t>NULL</t>
        </is>
      </c>
      <c r="K1514" s="0" t="inlineStr">
        <is>
          <t>YES! 	 c_dt2_4列源备映射正确，源端为datetime2 None位	期望更改为datetime2(n)	实际备端为datetime2 None位</t>
        </is>
      </c>
    </row>
    <row r="1515">
      <c r="B1515" s="0" t="inlineStr">
        <is>
          <t>NULL</t>
        </is>
      </c>
      <c r="C1515" s="0" t="inlineStr">
        <is>
          <t>NULL</t>
        </is>
      </c>
      <c r="D1515" s="0" t="inlineStr">
        <is>
          <t>NULL</t>
        </is>
      </c>
      <c r="E1515" s="0" t="inlineStr">
        <is>
          <t>NULL</t>
        </is>
      </c>
      <c r="F1515" s="0" t="inlineStr">
        <is>
          <t>NULL</t>
        </is>
      </c>
      <c r="G1515" s="0" t="inlineStr">
        <is>
          <t>NULL</t>
        </is>
      </c>
      <c r="H1515" s="0" t="inlineStr">
        <is>
          <t>NULL</t>
        </is>
      </c>
      <c r="I1515" s="0" t="inlineStr">
        <is>
          <t>NULL</t>
        </is>
      </c>
      <c r="J1515" s="0" t="inlineStr">
        <is>
          <t>NULL</t>
        </is>
      </c>
      <c r="K1515" s="0" t="inlineStr">
        <is>
          <t>YES! 	 c_dt2_5列源备映射正确，源端为datetime2 None位	期望更改为datetime2(n)	实际备端为datetime2 None位</t>
        </is>
      </c>
    </row>
    <row r="1516">
      <c r="B1516" s="0" t="inlineStr">
        <is>
          <t>NULL</t>
        </is>
      </c>
      <c r="C1516" s="0" t="inlineStr">
        <is>
          <t>NULL</t>
        </is>
      </c>
      <c r="D1516" s="0" t="inlineStr">
        <is>
          <t>NULL</t>
        </is>
      </c>
      <c r="E1516" s="0" t="inlineStr">
        <is>
          <t>NULL</t>
        </is>
      </c>
      <c r="F1516" s="0" t="inlineStr">
        <is>
          <t>NULL</t>
        </is>
      </c>
      <c r="G1516" s="0" t="inlineStr">
        <is>
          <t>NULL</t>
        </is>
      </c>
      <c r="H1516" s="0" t="inlineStr">
        <is>
          <t>NULL</t>
        </is>
      </c>
      <c r="I1516" s="0" t="inlineStr">
        <is>
          <t>NULL</t>
        </is>
      </c>
      <c r="J1516" s="0" t="inlineStr">
        <is>
          <t>NULL</t>
        </is>
      </c>
      <c r="K1516" s="0" t="inlineStr">
        <is>
          <t>YES! 	 c_dt2_6列源备映射正确，源端为datetime2 None位	期望更改为datetime2(n)	实际备端为datetime2 None位</t>
        </is>
      </c>
    </row>
    <row r="1517">
      <c r="B1517" s="0" t="inlineStr">
        <is>
          <t>NULL</t>
        </is>
      </c>
      <c r="C1517" s="0" t="inlineStr">
        <is>
          <t>NULL</t>
        </is>
      </c>
      <c r="D1517" s="0" t="inlineStr">
        <is>
          <t>NULL</t>
        </is>
      </c>
      <c r="E1517" s="0" t="inlineStr">
        <is>
          <t>NULL</t>
        </is>
      </c>
      <c r="F1517" s="0" t="inlineStr">
        <is>
          <t>NULL</t>
        </is>
      </c>
      <c r="G1517" s="0" t="inlineStr">
        <is>
          <t>NULL</t>
        </is>
      </c>
      <c r="H1517" s="0" t="inlineStr">
        <is>
          <t>NULL</t>
        </is>
      </c>
      <c r="I1517" s="0" t="inlineStr">
        <is>
          <t>NULL</t>
        </is>
      </c>
      <c r="J1517" s="0" t="inlineStr">
        <is>
          <t>NULL</t>
        </is>
      </c>
      <c r="K1517" s="0" t="inlineStr">
        <is>
          <t>YES! 	 c_dt2列源备映射正确，源端为datetime2 None位	期望更改为datetime2(n)	实际备端为datetime2 None位</t>
        </is>
      </c>
    </row>
    <row r="1518">
      <c r="A1518" s="0" t="inlineStr">
        <is>
          <t>info_binary_dml_single_pk_drp</t>
        </is>
      </c>
      <c r="K1518" s="0" t="inlineStr">
        <is>
          <t>[0;34m info_binary_dml_single_pk_drp [0m源备字段数相同，源端字段：4 	备端字段4</t>
        </is>
      </c>
      <c r="W1518" s="0" t="inlineStr">
        <is>
          <t>YES 源备无差异</t>
        </is>
      </c>
      <c r="X1518" s="0">
        <f>A1518</f>
        <v/>
      </c>
    </row>
    <row r="1519">
      <c r="B1519" s="0" t="inlineStr">
        <is>
          <t>YES</t>
        </is>
      </c>
      <c r="C1519" s="0" t="inlineStr">
        <is>
          <t>NULL</t>
        </is>
      </c>
      <c r="D1519" s="0" t="inlineStr">
        <is>
          <t>NULL</t>
        </is>
      </c>
      <c r="E1519" s="0" t="inlineStr">
        <is>
          <t>NULL</t>
        </is>
      </c>
      <c r="F1519" s="0" t="inlineStr">
        <is>
          <t>NULL</t>
        </is>
      </c>
      <c r="G1519" s="0" t="inlineStr">
        <is>
          <t>NULL</t>
        </is>
      </c>
      <c r="H1519" s="0" t="inlineStr">
        <is>
          <t>NULL</t>
        </is>
      </c>
      <c r="I1519" s="0" t="inlineStr">
        <is>
          <t>YES!PK__info_bin__3213E83F5ED736A6</t>
        </is>
      </c>
      <c r="J1519" s="0" t="inlineStr">
        <is>
          <t>YES! 主键相关索引</t>
        </is>
      </c>
      <c r="K1519" s="0" t="inlineStr">
        <is>
          <t>YES! 	 id列源备映射正确，源端为int None位	期望更改为int	实际备端为int None位</t>
        </is>
      </c>
    </row>
    <row r="1520">
      <c r="B1520" s="0" t="inlineStr">
        <is>
          <t>NULL</t>
        </is>
      </c>
      <c r="C1520" s="0" t="inlineStr">
        <is>
          <t>NULL</t>
        </is>
      </c>
      <c r="D1520" s="0" t="inlineStr">
        <is>
          <t>NULL</t>
        </is>
      </c>
      <c r="E1520" s="0" t="inlineStr">
        <is>
          <t>NULL</t>
        </is>
      </c>
      <c r="F1520" s="0" t="inlineStr">
        <is>
          <t>NULL</t>
        </is>
      </c>
      <c r="G1520" s="0" t="inlineStr">
        <is>
          <t>NULL</t>
        </is>
      </c>
      <c r="H1520" s="0" t="inlineStr">
        <is>
          <t>NULL</t>
        </is>
      </c>
      <c r="I1520" s="0" t="inlineStr">
        <is>
          <t>NULL</t>
        </is>
      </c>
      <c r="J1520" s="0" t="inlineStr">
        <is>
          <t>NULL</t>
        </is>
      </c>
      <c r="K1520" s="0" t="inlineStr">
        <is>
          <t>YES! 	 c_binary列源备映射正确，源端为binary 1位	期望更改为binary(n)	实际备端为binary 1位</t>
        </is>
      </c>
    </row>
    <row r="1521">
      <c r="B1521" s="0" t="inlineStr">
        <is>
          <t>NULL</t>
        </is>
      </c>
      <c r="C1521" s="0" t="inlineStr">
        <is>
          <t>NULL</t>
        </is>
      </c>
      <c r="D1521" s="0" t="inlineStr">
        <is>
          <t>NULL</t>
        </is>
      </c>
      <c r="E1521" s="0" t="inlineStr">
        <is>
          <t>NULL</t>
        </is>
      </c>
      <c r="F1521" s="0" t="inlineStr">
        <is>
          <t>NULL</t>
        </is>
      </c>
      <c r="G1521" s="0" t="inlineStr">
        <is>
          <t>NULL</t>
        </is>
      </c>
      <c r="H1521" s="0" t="inlineStr">
        <is>
          <t>NULL</t>
        </is>
      </c>
      <c r="I1521" s="0" t="inlineStr">
        <is>
          <t>NULL</t>
        </is>
      </c>
      <c r="J1521" s="0" t="inlineStr">
        <is>
          <t>NULL</t>
        </is>
      </c>
      <c r="K1521" s="0" t="inlineStr">
        <is>
          <t>YES! 	 c_binary_20列源备映射正确，源端为binary 20位	期望更改为binary(n)	实际备端为binary 20位</t>
        </is>
      </c>
    </row>
    <row r="1522">
      <c r="B1522" s="0" t="inlineStr">
        <is>
          <t>NULL</t>
        </is>
      </c>
      <c r="C1522" s="0" t="inlineStr">
        <is>
          <t>NULL</t>
        </is>
      </c>
      <c r="D1522" s="0" t="inlineStr">
        <is>
          <t>NULL</t>
        </is>
      </c>
      <c r="E1522" s="0" t="inlineStr">
        <is>
          <t>NULL</t>
        </is>
      </c>
      <c r="F1522" s="0" t="inlineStr">
        <is>
          <t>NULL</t>
        </is>
      </c>
      <c r="G1522" s="0" t="inlineStr">
        <is>
          <t>NULL</t>
        </is>
      </c>
      <c r="H1522" s="0" t="inlineStr">
        <is>
          <t>NULL</t>
        </is>
      </c>
      <c r="I1522" s="0" t="inlineStr">
        <is>
          <t>NULL</t>
        </is>
      </c>
      <c r="J1522" s="0" t="inlineStr">
        <is>
          <t>NULL</t>
        </is>
      </c>
      <c r="K1522" s="0" t="inlineStr">
        <is>
          <t>YES! 	 c_binary_8000列源备映射正确，源端为binary 8000位	期望更改为binary(n)	实际备端为binary 8000位</t>
        </is>
      </c>
    </row>
    <row r="1523">
      <c r="A1523" s="0" t="inlineStr">
        <is>
          <t>info_datetime2_dml_single_nopk</t>
        </is>
      </c>
      <c r="K1523" s="0" t="inlineStr">
        <is>
          <t>[0;34m info_datetime2_dml_single_nopk [0m源备字段数相同，源端字段：9 	备端字段9</t>
        </is>
      </c>
      <c r="W1523" s="0" t="inlineStr">
        <is>
          <t>YES 源备无差异</t>
        </is>
      </c>
      <c r="X1523" s="0">
        <f>A1523</f>
        <v/>
      </c>
    </row>
    <row r="1524">
      <c r="B1524" s="0" t="inlineStr">
        <is>
          <t>NULL</t>
        </is>
      </c>
      <c r="C1524" s="0" t="inlineStr">
        <is>
          <t>NULL</t>
        </is>
      </c>
      <c r="D1524" s="0" t="inlineStr">
        <is>
          <t>NULL</t>
        </is>
      </c>
      <c r="E1524" s="0" t="inlineStr">
        <is>
          <t>NULL</t>
        </is>
      </c>
      <c r="F1524" s="0" t="inlineStr">
        <is>
          <t>NULL</t>
        </is>
      </c>
      <c r="G1524" s="0" t="inlineStr">
        <is>
          <t>NULL</t>
        </is>
      </c>
      <c r="H1524" s="0" t="inlineStr">
        <is>
          <t>NULL</t>
        </is>
      </c>
      <c r="I1524" s="0" t="inlineStr">
        <is>
          <t>NULL</t>
        </is>
      </c>
      <c r="J1524" s="0" t="inlineStr">
        <is>
          <t>NULL</t>
        </is>
      </c>
      <c r="K1524" s="0" t="inlineStr">
        <is>
          <t>YES! 	 id列源备映射正确，源端为int None位	期望更改为int	实际备端为int None位</t>
        </is>
      </c>
    </row>
    <row r="1525">
      <c r="B1525" s="0" t="inlineStr">
        <is>
          <t>NULL</t>
        </is>
      </c>
      <c r="C1525" s="0" t="inlineStr">
        <is>
          <t>NULL</t>
        </is>
      </c>
      <c r="D1525" s="0" t="inlineStr">
        <is>
          <t>NULL</t>
        </is>
      </c>
      <c r="E1525" s="0" t="inlineStr">
        <is>
          <t>NULL</t>
        </is>
      </c>
      <c r="F1525" s="0" t="inlineStr">
        <is>
          <t>NULL</t>
        </is>
      </c>
      <c r="G1525" s="0" t="inlineStr">
        <is>
          <t>NULL</t>
        </is>
      </c>
      <c r="H1525" s="0" t="inlineStr">
        <is>
          <t>NULL</t>
        </is>
      </c>
      <c r="I1525" s="0" t="inlineStr">
        <is>
          <t>NULL</t>
        </is>
      </c>
      <c r="J1525" s="0" t="inlineStr">
        <is>
          <t>NULL</t>
        </is>
      </c>
      <c r="K1525" s="0" t="inlineStr">
        <is>
          <t>no,len不存在</t>
        </is>
      </c>
    </row>
    <row r="1526">
      <c r="B1526" s="0" t="inlineStr">
        <is>
          <t>NULL</t>
        </is>
      </c>
      <c r="C1526" s="0" t="inlineStr">
        <is>
          <t>NULL</t>
        </is>
      </c>
      <c r="D1526" s="0" t="inlineStr">
        <is>
          <t>NULL</t>
        </is>
      </c>
      <c r="E1526" s="0" t="inlineStr">
        <is>
          <t>NULL</t>
        </is>
      </c>
      <c r="F1526" s="0" t="inlineStr">
        <is>
          <t>NULL</t>
        </is>
      </c>
      <c r="G1526" s="0" t="inlineStr">
        <is>
          <t>NULL</t>
        </is>
      </c>
      <c r="H1526" s="0" t="inlineStr">
        <is>
          <t>NULL</t>
        </is>
      </c>
      <c r="I1526" s="0" t="inlineStr">
        <is>
          <t>NULL</t>
        </is>
      </c>
      <c r="J1526" s="0" t="inlineStr">
        <is>
          <t>NULL</t>
        </is>
      </c>
      <c r="K1526" s="0" t="inlineStr">
        <is>
          <t>YES! 	 c_dt2_1列源备映射正确，源端为datetime2 None位	期望更改为datetime2(n)	实际备端为datetime2 None位</t>
        </is>
      </c>
    </row>
    <row r="1527">
      <c r="B1527" s="0" t="inlineStr">
        <is>
          <t>NULL</t>
        </is>
      </c>
      <c r="C1527" s="0" t="inlineStr">
        <is>
          <t>NULL</t>
        </is>
      </c>
      <c r="D1527" s="0" t="inlineStr">
        <is>
          <t>NULL</t>
        </is>
      </c>
      <c r="E1527" s="0" t="inlineStr">
        <is>
          <t>NULL</t>
        </is>
      </c>
      <c r="F1527" s="0" t="inlineStr">
        <is>
          <t>NULL</t>
        </is>
      </c>
      <c r="G1527" s="0" t="inlineStr">
        <is>
          <t>NULL</t>
        </is>
      </c>
      <c r="H1527" s="0" t="inlineStr">
        <is>
          <t>NULL</t>
        </is>
      </c>
      <c r="I1527" s="0" t="inlineStr">
        <is>
          <t>NULL</t>
        </is>
      </c>
      <c r="J1527" s="0" t="inlineStr">
        <is>
          <t>NULL</t>
        </is>
      </c>
      <c r="K1527" s="0" t="inlineStr">
        <is>
          <t>YES! 	 c_dt2_2列源备映射正确，源端为datetime2 None位	期望更改为datetime2(n)	实际备端为datetime2 None位</t>
        </is>
      </c>
    </row>
    <row r="1528">
      <c r="B1528" s="0" t="inlineStr">
        <is>
          <t>NULL</t>
        </is>
      </c>
      <c r="C1528" s="0" t="inlineStr">
        <is>
          <t>NULL</t>
        </is>
      </c>
      <c r="D1528" s="0" t="inlineStr">
        <is>
          <t>NULL</t>
        </is>
      </c>
      <c r="E1528" s="0" t="inlineStr">
        <is>
          <t>NULL</t>
        </is>
      </c>
      <c r="F1528" s="0" t="inlineStr">
        <is>
          <t>NULL</t>
        </is>
      </c>
      <c r="G1528" s="0" t="inlineStr">
        <is>
          <t>NULL</t>
        </is>
      </c>
      <c r="H1528" s="0" t="inlineStr">
        <is>
          <t>NULL</t>
        </is>
      </c>
      <c r="I1528" s="0" t="inlineStr">
        <is>
          <t>NULL</t>
        </is>
      </c>
      <c r="J1528" s="0" t="inlineStr">
        <is>
          <t>NULL</t>
        </is>
      </c>
      <c r="K1528" s="0" t="inlineStr">
        <is>
          <t>YES! 	 c_dt2_3列源备映射正确，源端为datetime2 None位	期望更改为datetime2(n)	实际备端为datetime2 None位</t>
        </is>
      </c>
    </row>
    <row r="1529">
      <c r="B1529" s="0" t="inlineStr">
        <is>
          <t>NULL</t>
        </is>
      </c>
      <c r="C1529" s="0" t="inlineStr">
        <is>
          <t>NULL</t>
        </is>
      </c>
      <c r="D1529" s="0" t="inlineStr">
        <is>
          <t>NULL</t>
        </is>
      </c>
      <c r="E1529" s="0" t="inlineStr">
        <is>
          <t>NULL</t>
        </is>
      </c>
      <c r="F1529" s="0" t="inlineStr">
        <is>
          <t>NULL</t>
        </is>
      </c>
      <c r="G1529" s="0" t="inlineStr">
        <is>
          <t>NULL</t>
        </is>
      </c>
      <c r="H1529" s="0" t="inlineStr">
        <is>
          <t>NULL</t>
        </is>
      </c>
      <c r="I1529" s="0" t="inlineStr">
        <is>
          <t>NULL</t>
        </is>
      </c>
      <c r="J1529" s="0" t="inlineStr">
        <is>
          <t>NULL</t>
        </is>
      </c>
      <c r="K1529" s="0" t="inlineStr">
        <is>
          <t>YES! 	 c_dt2_4列源备映射正确，源端为datetime2 None位	期望更改为datetime2(n)	实际备端为datetime2 None位</t>
        </is>
      </c>
    </row>
    <row r="1530">
      <c r="B1530" s="0" t="inlineStr">
        <is>
          <t>NULL</t>
        </is>
      </c>
      <c r="C1530" s="0" t="inlineStr">
        <is>
          <t>NULL</t>
        </is>
      </c>
      <c r="D1530" s="0" t="inlineStr">
        <is>
          <t>NULL</t>
        </is>
      </c>
      <c r="E1530" s="0" t="inlineStr">
        <is>
          <t>NULL</t>
        </is>
      </c>
      <c r="F1530" s="0" t="inlineStr">
        <is>
          <t>NULL</t>
        </is>
      </c>
      <c r="G1530" s="0" t="inlineStr">
        <is>
          <t>NULL</t>
        </is>
      </c>
      <c r="H1530" s="0" t="inlineStr">
        <is>
          <t>NULL</t>
        </is>
      </c>
      <c r="I1530" s="0" t="inlineStr">
        <is>
          <t>NULL</t>
        </is>
      </c>
      <c r="J1530" s="0" t="inlineStr">
        <is>
          <t>NULL</t>
        </is>
      </c>
      <c r="K1530" s="0" t="inlineStr">
        <is>
          <t>YES! 	 c_dt2_5列源备映射正确，源端为datetime2 None位	期望更改为datetime2(n)	实际备端为datetime2 None位</t>
        </is>
      </c>
    </row>
    <row r="1531">
      <c r="B1531" s="0" t="inlineStr">
        <is>
          <t>NULL</t>
        </is>
      </c>
      <c r="C1531" s="0" t="inlineStr">
        <is>
          <t>NULL</t>
        </is>
      </c>
      <c r="D1531" s="0" t="inlineStr">
        <is>
          <t>NULL</t>
        </is>
      </c>
      <c r="E1531" s="0" t="inlineStr">
        <is>
          <t>NULL</t>
        </is>
      </c>
      <c r="F1531" s="0" t="inlineStr">
        <is>
          <t>NULL</t>
        </is>
      </c>
      <c r="G1531" s="0" t="inlineStr">
        <is>
          <t>NULL</t>
        </is>
      </c>
      <c r="H1531" s="0" t="inlineStr">
        <is>
          <t>NULL</t>
        </is>
      </c>
      <c r="I1531" s="0" t="inlineStr">
        <is>
          <t>NULL</t>
        </is>
      </c>
      <c r="J1531" s="0" t="inlineStr">
        <is>
          <t>NULL</t>
        </is>
      </c>
      <c r="K1531" s="0" t="inlineStr">
        <is>
          <t>YES! 	 c_dt2_6列源备映射正确，源端为datetime2 None位	期望更改为datetime2(n)	实际备端为datetime2 None位</t>
        </is>
      </c>
    </row>
    <row r="1532">
      <c r="B1532" s="0" t="inlineStr">
        <is>
          <t>NULL</t>
        </is>
      </c>
      <c r="C1532" s="0" t="inlineStr">
        <is>
          <t>NULL</t>
        </is>
      </c>
      <c r="D1532" s="0" t="inlineStr">
        <is>
          <t>NULL</t>
        </is>
      </c>
      <c r="E1532" s="0" t="inlineStr">
        <is>
          <t>NULL</t>
        </is>
      </c>
      <c r="F1532" s="0" t="inlineStr">
        <is>
          <t>NULL</t>
        </is>
      </c>
      <c r="G1532" s="0" t="inlineStr">
        <is>
          <t>NULL</t>
        </is>
      </c>
      <c r="H1532" s="0" t="inlineStr">
        <is>
          <t>NULL</t>
        </is>
      </c>
      <c r="I1532" s="0" t="inlineStr">
        <is>
          <t>NULL</t>
        </is>
      </c>
      <c r="J1532" s="0" t="inlineStr">
        <is>
          <t>NULL</t>
        </is>
      </c>
      <c r="K1532" s="0" t="inlineStr">
        <is>
          <t>YES! 	 c_dt2列源备映射正确，源端为datetime2 None位	期望更改为datetime2(n)	实际备端为datetime2 None位</t>
        </is>
      </c>
    </row>
    <row r="1533">
      <c r="A1533" s="0" t="inlineStr">
        <is>
          <t>info_varcharmax_dml_batch1_pk_urp2</t>
        </is>
      </c>
      <c r="K1533" s="0" t="inlineStr">
        <is>
          <t>[0;34m info_varcharmax_dml_batch1_pk_urp2 [0m源备字段数相同，源端字段：3 	备端字段3</t>
        </is>
      </c>
      <c r="W1533" s="0" t="inlineStr">
        <is>
          <t>YES 源备无差异</t>
        </is>
      </c>
      <c r="X1533" s="0">
        <f>A1533</f>
        <v/>
      </c>
    </row>
    <row r="1534">
      <c r="B1534" s="0" t="inlineStr">
        <is>
          <t>YES</t>
        </is>
      </c>
      <c r="C1534" s="0" t="inlineStr">
        <is>
          <t>NULL</t>
        </is>
      </c>
      <c r="D1534" s="0" t="inlineStr">
        <is>
          <t>NULL</t>
        </is>
      </c>
      <c r="E1534" s="0" t="inlineStr">
        <is>
          <t>NULL</t>
        </is>
      </c>
      <c r="F1534" s="0" t="inlineStr">
        <is>
          <t>NULL</t>
        </is>
      </c>
      <c r="G1534" s="0" t="inlineStr">
        <is>
          <t>NULL</t>
        </is>
      </c>
      <c r="H1534" s="0" t="inlineStr">
        <is>
          <t>NULL</t>
        </is>
      </c>
      <c r="I1534" s="0" t="inlineStr">
        <is>
          <t>YES!PK__info_var__3213E83F08B8F603</t>
        </is>
      </c>
      <c r="J1534" s="0" t="inlineStr">
        <is>
          <t>YES! 主键相关索引</t>
        </is>
      </c>
      <c r="K1534" s="0" t="inlineStr">
        <is>
          <t>YES! 	 id列源备映射正确，源端为int None位	期望更改为int	实际备端为int None位</t>
        </is>
      </c>
    </row>
    <row r="1535">
      <c r="B1535" s="0" t="inlineStr">
        <is>
          <t>NULL</t>
        </is>
      </c>
      <c r="C1535" s="0" t="inlineStr">
        <is>
          <t>NULL</t>
        </is>
      </c>
      <c r="D1535" s="0" t="inlineStr">
        <is>
          <t>NULL</t>
        </is>
      </c>
      <c r="E1535" s="0" t="inlineStr">
        <is>
          <t>NULL</t>
        </is>
      </c>
      <c r="F1535" s="0" t="inlineStr">
        <is>
          <t>NULL</t>
        </is>
      </c>
      <c r="G1535" s="0" t="inlineStr">
        <is>
          <t>NULL</t>
        </is>
      </c>
      <c r="H1535" s="0" t="inlineStr">
        <is>
          <t>NULL</t>
        </is>
      </c>
      <c r="I1535" s="0" t="inlineStr">
        <is>
          <t>NULL</t>
        </is>
      </c>
      <c r="J1535" s="0" t="inlineStr">
        <is>
          <t>NULL</t>
        </is>
      </c>
      <c r="K1535" s="0" t="inlineStr">
        <is>
          <t>YES! 	 c_varchar_max列源备映射正确，源端为varchar -1位	期望更改为varchar(n)	实际备端为varchar -1位</t>
        </is>
      </c>
    </row>
    <row r="1536">
      <c r="B1536" s="0" t="inlineStr">
        <is>
          <t>NULL</t>
        </is>
      </c>
      <c r="C1536" s="0" t="inlineStr">
        <is>
          <t>NULL</t>
        </is>
      </c>
      <c r="D1536" s="0" t="inlineStr">
        <is>
          <t>NULL</t>
        </is>
      </c>
      <c r="E1536" s="0" t="inlineStr">
        <is>
          <t>NULL</t>
        </is>
      </c>
      <c r="F1536" s="0" t="inlineStr">
        <is>
          <t>NULL</t>
        </is>
      </c>
      <c r="G1536" s="0" t="inlineStr">
        <is>
          <t>NULL</t>
        </is>
      </c>
      <c r="H1536" s="0" t="inlineStr">
        <is>
          <t>NULL</t>
        </is>
      </c>
      <c r="I1536" s="0" t="inlineStr">
        <is>
          <t>NULL</t>
        </is>
      </c>
      <c r="J1536" s="0" t="inlineStr">
        <is>
          <t>NULL</t>
        </is>
      </c>
      <c r="K1536" s="0" t="inlineStr">
        <is>
          <t>YES! 	 c_nvarchar_max列源备映射正确，源端为nvarchar -1位	期望更改为nvarchar(n)	实际备端为nvarchar -1位</t>
        </is>
      </c>
    </row>
    <row r="1537">
      <c r="K1537" s="0" t="inlineStr">
        <is>
          <t>~ 空表</t>
        </is>
      </c>
    </row>
    <row r="1538">
      <c r="A1538" s="0" t="inlineStr">
        <is>
          <t>info_datetimeoffset_dml_single_pk</t>
        </is>
      </c>
      <c r="K1538" s="0" t="inlineStr">
        <is>
          <t>[0;34m info_datetimeoffset_dml_single_pk [0m源备字段数相同，源端字段：9 	备端字段9</t>
        </is>
      </c>
      <c r="W1538" s="0" t="inlineStr">
        <is>
          <t>YES 源备无差异</t>
        </is>
      </c>
      <c r="X1538" s="0">
        <f>A1538</f>
        <v/>
      </c>
    </row>
    <row r="1539">
      <c r="B1539" s="0" t="inlineStr">
        <is>
          <t>YES</t>
        </is>
      </c>
      <c r="C1539" s="0" t="inlineStr">
        <is>
          <t>NULL</t>
        </is>
      </c>
      <c r="D1539" s="0" t="inlineStr">
        <is>
          <t>NULL</t>
        </is>
      </c>
      <c r="E1539" s="0" t="inlineStr">
        <is>
          <t>NULL</t>
        </is>
      </c>
      <c r="F1539" s="0" t="inlineStr">
        <is>
          <t>NULL</t>
        </is>
      </c>
      <c r="G1539" s="0" t="inlineStr">
        <is>
          <t>NULL</t>
        </is>
      </c>
      <c r="H1539" s="0" t="inlineStr">
        <is>
          <t>NULL</t>
        </is>
      </c>
      <c r="I1539" s="0" t="inlineStr">
        <is>
          <t>YES!PK__info_dat__3213E83F4E94B57E</t>
        </is>
      </c>
      <c r="J1539" s="0" t="inlineStr">
        <is>
          <t>YES! 主键相关索引</t>
        </is>
      </c>
      <c r="K1539" s="0" t="inlineStr">
        <is>
          <t>YES! 	 id列源备映射正确，源端为int None位	期望更改为int	实际备端为int None位</t>
        </is>
      </c>
    </row>
    <row r="1540">
      <c r="B1540" s="0" t="inlineStr">
        <is>
          <t>NULL</t>
        </is>
      </c>
      <c r="C1540" s="0" t="inlineStr">
        <is>
          <t>NULL</t>
        </is>
      </c>
      <c r="D1540" s="0" t="inlineStr">
        <is>
          <t>NULL</t>
        </is>
      </c>
      <c r="E1540" s="0" t="inlineStr">
        <is>
          <t>NULL</t>
        </is>
      </c>
      <c r="F1540" s="0" t="inlineStr">
        <is>
          <t>NULL</t>
        </is>
      </c>
      <c r="G1540" s="0" t="inlineStr">
        <is>
          <t>NULL</t>
        </is>
      </c>
      <c r="H1540" s="0" t="inlineStr">
        <is>
          <t>NULL</t>
        </is>
      </c>
      <c r="I1540" s="0" t="inlineStr">
        <is>
          <t>NULL</t>
        </is>
      </c>
      <c r="J1540" s="0" t="inlineStr">
        <is>
          <t>NULL</t>
        </is>
      </c>
      <c r="K1540" s="0" t="inlineStr">
        <is>
          <t>no,len不存在</t>
        </is>
      </c>
    </row>
    <row r="1541">
      <c r="B1541" s="0" t="inlineStr">
        <is>
          <t>NULL</t>
        </is>
      </c>
      <c r="C1541" s="0" t="inlineStr">
        <is>
          <t>NULL</t>
        </is>
      </c>
      <c r="D1541" s="0" t="inlineStr">
        <is>
          <t>NULL</t>
        </is>
      </c>
      <c r="E1541" s="0" t="inlineStr">
        <is>
          <t>NULL</t>
        </is>
      </c>
      <c r="F1541" s="0" t="inlineStr">
        <is>
          <t>NULL</t>
        </is>
      </c>
      <c r="G1541" s="0" t="inlineStr">
        <is>
          <t>NULL</t>
        </is>
      </c>
      <c r="H1541" s="0" t="inlineStr">
        <is>
          <t>NULL</t>
        </is>
      </c>
      <c r="I1541" s="0" t="inlineStr">
        <is>
          <t>NULL</t>
        </is>
      </c>
      <c r="J1541" s="0" t="inlineStr">
        <is>
          <t>NULL</t>
        </is>
      </c>
      <c r="K1541" s="0" t="inlineStr">
        <is>
          <t>YES! 	 c_dtoffset_1列源备映射正确，源端为datetimeoffset None位	期望更改为datetimeoffset(n)	实际备端为datetimeoffset None位</t>
        </is>
      </c>
    </row>
    <row r="1542">
      <c r="B1542" s="0" t="inlineStr">
        <is>
          <t>NULL</t>
        </is>
      </c>
      <c r="C1542" s="0" t="inlineStr">
        <is>
          <t>NULL</t>
        </is>
      </c>
      <c r="D1542" s="0" t="inlineStr">
        <is>
          <t>NULL</t>
        </is>
      </c>
      <c r="E1542" s="0" t="inlineStr">
        <is>
          <t>NULL</t>
        </is>
      </c>
      <c r="F1542" s="0" t="inlineStr">
        <is>
          <t>NULL</t>
        </is>
      </c>
      <c r="G1542" s="0" t="inlineStr">
        <is>
          <t>NULL</t>
        </is>
      </c>
      <c r="H1542" s="0" t="inlineStr">
        <is>
          <t>NULL</t>
        </is>
      </c>
      <c r="I1542" s="0" t="inlineStr">
        <is>
          <t>NULL</t>
        </is>
      </c>
      <c r="J1542" s="0" t="inlineStr">
        <is>
          <t>NULL</t>
        </is>
      </c>
      <c r="K1542" s="0" t="inlineStr">
        <is>
          <t>YES! 	 c_dtoffset_2列源备映射正确，源端为datetimeoffset None位	期望更改为datetimeoffset(n)	实际备端为datetimeoffset None位</t>
        </is>
      </c>
    </row>
    <row r="1543">
      <c r="B1543" s="0" t="inlineStr">
        <is>
          <t>NULL</t>
        </is>
      </c>
      <c r="C1543" s="0" t="inlineStr">
        <is>
          <t>NULL</t>
        </is>
      </c>
      <c r="D1543" s="0" t="inlineStr">
        <is>
          <t>NULL</t>
        </is>
      </c>
      <c r="E1543" s="0" t="inlineStr">
        <is>
          <t>NULL</t>
        </is>
      </c>
      <c r="F1543" s="0" t="inlineStr">
        <is>
          <t>NULL</t>
        </is>
      </c>
      <c r="G1543" s="0" t="inlineStr">
        <is>
          <t>NULL</t>
        </is>
      </c>
      <c r="H1543" s="0" t="inlineStr">
        <is>
          <t>NULL</t>
        </is>
      </c>
      <c r="I1543" s="0" t="inlineStr">
        <is>
          <t>NULL</t>
        </is>
      </c>
      <c r="J1543" s="0" t="inlineStr">
        <is>
          <t>NULL</t>
        </is>
      </c>
      <c r="K1543" s="0" t="inlineStr">
        <is>
          <t>YES! 	 c_dtoffset_3列源备映射正确，源端为datetimeoffset None位	期望更改为datetimeoffset(n)	实际备端为datetimeoffset None位</t>
        </is>
      </c>
    </row>
    <row r="1544">
      <c r="B1544" s="0" t="inlineStr">
        <is>
          <t>NULL</t>
        </is>
      </c>
      <c r="C1544" s="0" t="inlineStr">
        <is>
          <t>NULL</t>
        </is>
      </c>
      <c r="D1544" s="0" t="inlineStr">
        <is>
          <t>NULL</t>
        </is>
      </c>
      <c r="E1544" s="0" t="inlineStr">
        <is>
          <t>NULL</t>
        </is>
      </c>
      <c r="F1544" s="0" t="inlineStr">
        <is>
          <t>NULL</t>
        </is>
      </c>
      <c r="G1544" s="0" t="inlineStr">
        <is>
          <t>NULL</t>
        </is>
      </c>
      <c r="H1544" s="0" t="inlineStr">
        <is>
          <t>NULL</t>
        </is>
      </c>
      <c r="I1544" s="0" t="inlineStr">
        <is>
          <t>NULL</t>
        </is>
      </c>
      <c r="J1544" s="0" t="inlineStr">
        <is>
          <t>NULL</t>
        </is>
      </c>
      <c r="K1544" s="0" t="inlineStr">
        <is>
          <t>YES! 	 c_dtoffset_4列源备映射正确，源端为datetimeoffset None位	期望更改为datetimeoffset(n)	实际备端为datetimeoffset None位</t>
        </is>
      </c>
    </row>
    <row r="1545">
      <c r="B1545" s="0" t="inlineStr">
        <is>
          <t>NULL</t>
        </is>
      </c>
      <c r="C1545" s="0" t="inlineStr">
        <is>
          <t>NULL</t>
        </is>
      </c>
      <c r="D1545" s="0" t="inlineStr">
        <is>
          <t>NULL</t>
        </is>
      </c>
      <c r="E1545" s="0" t="inlineStr">
        <is>
          <t>NULL</t>
        </is>
      </c>
      <c r="F1545" s="0" t="inlineStr">
        <is>
          <t>NULL</t>
        </is>
      </c>
      <c r="G1545" s="0" t="inlineStr">
        <is>
          <t>NULL</t>
        </is>
      </c>
      <c r="H1545" s="0" t="inlineStr">
        <is>
          <t>NULL</t>
        </is>
      </c>
      <c r="I1545" s="0" t="inlineStr">
        <is>
          <t>NULL</t>
        </is>
      </c>
      <c r="J1545" s="0" t="inlineStr">
        <is>
          <t>NULL</t>
        </is>
      </c>
      <c r="K1545" s="0" t="inlineStr">
        <is>
          <t>YES! 	 c_dtoffset_5列源备映射正确，源端为datetimeoffset None位	期望更改为datetimeoffset(n)	实际备端为datetimeoffset None位</t>
        </is>
      </c>
    </row>
    <row r="1546">
      <c r="B1546" s="0" t="inlineStr">
        <is>
          <t>NULL</t>
        </is>
      </c>
      <c r="C1546" s="0" t="inlineStr">
        <is>
          <t>NULL</t>
        </is>
      </c>
      <c r="D1546" s="0" t="inlineStr">
        <is>
          <t>NULL</t>
        </is>
      </c>
      <c r="E1546" s="0" t="inlineStr">
        <is>
          <t>NULL</t>
        </is>
      </c>
      <c r="F1546" s="0" t="inlineStr">
        <is>
          <t>NULL</t>
        </is>
      </c>
      <c r="G1546" s="0" t="inlineStr">
        <is>
          <t>NULL</t>
        </is>
      </c>
      <c r="H1546" s="0" t="inlineStr">
        <is>
          <t>NULL</t>
        </is>
      </c>
      <c r="I1546" s="0" t="inlineStr">
        <is>
          <t>NULL</t>
        </is>
      </c>
      <c r="J1546" s="0" t="inlineStr">
        <is>
          <t>NULL</t>
        </is>
      </c>
      <c r="K1546" s="0" t="inlineStr">
        <is>
          <t>YES! 	 c_dtoffset_6列源备映射正确，源端为datetimeoffset None位	期望更改为datetimeoffset(n)	实际备端为datetimeoffset None位</t>
        </is>
      </c>
    </row>
    <row r="1547">
      <c r="B1547" s="0" t="inlineStr">
        <is>
          <t>NULL</t>
        </is>
      </c>
      <c r="C1547" s="0" t="inlineStr">
        <is>
          <t>NULL</t>
        </is>
      </c>
      <c r="D1547" s="0" t="inlineStr">
        <is>
          <t>NULL</t>
        </is>
      </c>
      <c r="E1547" s="0" t="inlineStr">
        <is>
          <t>NULL</t>
        </is>
      </c>
      <c r="F1547" s="0" t="inlineStr">
        <is>
          <t>NULL</t>
        </is>
      </c>
      <c r="G1547" s="0" t="inlineStr">
        <is>
          <t>NULL</t>
        </is>
      </c>
      <c r="H1547" s="0" t="inlineStr">
        <is>
          <t>NULL</t>
        </is>
      </c>
      <c r="I1547" s="0" t="inlineStr">
        <is>
          <t>NULL</t>
        </is>
      </c>
      <c r="J1547" s="0" t="inlineStr">
        <is>
          <t>NULL</t>
        </is>
      </c>
      <c r="K1547" s="0" t="inlineStr">
        <is>
          <t>YES! 	 c_dtoffset列源备映射正确，源端为datetimeoffset None位	期望更改为datetimeoffset(n)	实际备端为datetimeoffset None位</t>
        </is>
      </c>
    </row>
    <row r="1548">
      <c r="A1548" s="0" t="inlineStr">
        <is>
          <t>info_datetimeoffset_dml_single_nopk_irp</t>
        </is>
      </c>
      <c r="K1548" s="0" t="inlineStr">
        <is>
          <t>[0;34m info_datetimeoffset_dml_single_nopk_irp [0m源备字段数相同，源端字段：9 	备端字段9</t>
        </is>
      </c>
      <c r="W1548" s="0" t="inlineStr">
        <is>
          <t>YES 源备无差异</t>
        </is>
      </c>
      <c r="X1548" s="0">
        <f>A1548</f>
        <v/>
      </c>
    </row>
    <row r="1549">
      <c r="B1549" s="0" t="inlineStr">
        <is>
          <t>NULL</t>
        </is>
      </c>
      <c r="C1549" s="0" t="inlineStr">
        <is>
          <t>NULL</t>
        </is>
      </c>
      <c r="D1549" s="0" t="inlineStr">
        <is>
          <t>NULL</t>
        </is>
      </c>
      <c r="E1549" s="0" t="inlineStr">
        <is>
          <t>NULL</t>
        </is>
      </c>
      <c r="F1549" s="0" t="inlineStr">
        <is>
          <t>NULL</t>
        </is>
      </c>
      <c r="G1549" s="0" t="inlineStr">
        <is>
          <t>NULL</t>
        </is>
      </c>
      <c r="H1549" s="0" t="inlineStr">
        <is>
          <t>NULL</t>
        </is>
      </c>
      <c r="I1549" s="0" t="inlineStr">
        <is>
          <t>NULL</t>
        </is>
      </c>
      <c r="J1549" s="0" t="inlineStr">
        <is>
          <t>NULL</t>
        </is>
      </c>
      <c r="K1549" s="0" t="inlineStr">
        <is>
          <t>YES! 	 id列源备映射正确，源端为int None位	期望更改为int	实际备端为int None位</t>
        </is>
      </c>
    </row>
    <row r="1550">
      <c r="B1550" s="0" t="inlineStr">
        <is>
          <t>NULL</t>
        </is>
      </c>
      <c r="C1550" s="0" t="inlineStr">
        <is>
          <t>NULL</t>
        </is>
      </c>
      <c r="D1550" s="0" t="inlineStr">
        <is>
          <t>NULL</t>
        </is>
      </c>
      <c r="E1550" s="0" t="inlineStr">
        <is>
          <t>NULL</t>
        </is>
      </c>
      <c r="F1550" s="0" t="inlineStr">
        <is>
          <t>NULL</t>
        </is>
      </c>
      <c r="G1550" s="0" t="inlineStr">
        <is>
          <t>NULL</t>
        </is>
      </c>
      <c r="H1550" s="0" t="inlineStr">
        <is>
          <t>NULL</t>
        </is>
      </c>
      <c r="I1550" s="0" t="inlineStr">
        <is>
          <t>NULL</t>
        </is>
      </c>
      <c r="J1550" s="0" t="inlineStr">
        <is>
          <t>NULL</t>
        </is>
      </c>
      <c r="K1550" s="0" t="inlineStr">
        <is>
          <t>no,len不存在</t>
        </is>
      </c>
    </row>
    <row r="1551">
      <c r="B1551" s="0" t="inlineStr">
        <is>
          <t>NULL</t>
        </is>
      </c>
      <c r="C1551" s="0" t="inlineStr">
        <is>
          <t>NULL</t>
        </is>
      </c>
      <c r="D1551" s="0" t="inlineStr">
        <is>
          <t>NULL</t>
        </is>
      </c>
      <c r="E1551" s="0" t="inlineStr">
        <is>
          <t>NULL</t>
        </is>
      </c>
      <c r="F1551" s="0" t="inlineStr">
        <is>
          <t>NULL</t>
        </is>
      </c>
      <c r="G1551" s="0" t="inlineStr">
        <is>
          <t>NULL</t>
        </is>
      </c>
      <c r="H1551" s="0" t="inlineStr">
        <is>
          <t>NULL</t>
        </is>
      </c>
      <c r="I1551" s="0" t="inlineStr">
        <is>
          <t>NULL</t>
        </is>
      </c>
      <c r="J1551" s="0" t="inlineStr">
        <is>
          <t>NULL</t>
        </is>
      </c>
      <c r="K1551" s="0" t="inlineStr">
        <is>
          <t>YES! 	 c_dtoffset_1列源备映射正确，源端为datetimeoffset None位	期望更改为datetimeoffset(n)	实际备端为datetimeoffset None位</t>
        </is>
      </c>
    </row>
    <row r="1552">
      <c r="B1552" s="0" t="inlineStr">
        <is>
          <t>NULL</t>
        </is>
      </c>
      <c r="C1552" s="0" t="inlineStr">
        <is>
          <t>NULL</t>
        </is>
      </c>
      <c r="D1552" s="0" t="inlineStr">
        <is>
          <t>NULL</t>
        </is>
      </c>
      <c r="E1552" s="0" t="inlineStr">
        <is>
          <t>NULL</t>
        </is>
      </c>
      <c r="F1552" s="0" t="inlineStr">
        <is>
          <t>NULL</t>
        </is>
      </c>
      <c r="G1552" s="0" t="inlineStr">
        <is>
          <t>NULL</t>
        </is>
      </c>
      <c r="H1552" s="0" t="inlineStr">
        <is>
          <t>NULL</t>
        </is>
      </c>
      <c r="I1552" s="0" t="inlineStr">
        <is>
          <t>NULL</t>
        </is>
      </c>
      <c r="J1552" s="0" t="inlineStr">
        <is>
          <t>NULL</t>
        </is>
      </c>
      <c r="K1552" s="0" t="inlineStr">
        <is>
          <t>YES! 	 c_dtoffset_2列源备映射正确，源端为datetimeoffset None位	期望更改为datetimeoffset(n)	实际备端为datetimeoffset None位</t>
        </is>
      </c>
    </row>
    <row r="1553">
      <c r="B1553" s="0" t="inlineStr">
        <is>
          <t>NULL</t>
        </is>
      </c>
      <c r="C1553" s="0" t="inlineStr">
        <is>
          <t>NULL</t>
        </is>
      </c>
      <c r="D1553" s="0" t="inlineStr">
        <is>
          <t>NULL</t>
        </is>
      </c>
      <c r="E1553" s="0" t="inlineStr">
        <is>
          <t>NULL</t>
        </is>
      </c>
      <c r="F1553" s="0" t="inlineStr">
        <is>
          <t>NULL</t>
        </is>
      </c>
      <c r="G1553" s="0" t="inlineStr">
        <is>
          <t>NULL</t>
        </is>
      </c>
      <c r="H1553" s="0" t="inlineStr">
        <is>
          <t>NULL</t>
        </is>
      </c>
      <c r="I1553" s="0" t="inlineStr">
        <is>
          <t>NULL</t>
        </is>
      </c>
      <c r="J1553" s="0" t="inlineStr">
        <is>
          <t>NULL</t>
        </is>
      </c>
      <c r="K1553" s="0" t="inlineStr">
        <is>
          <t>YES! 	 c_dtoffset_3列源备映射正确，源端为datetimeoffset None位	期望更改为datetimeoffset(n)	实际备端为datetimeoffset None位</t>
        </is>
      </c>
    </row>
    <row r="1554">
      <c r="B1554" s="0" t="inlineStr">
        <is>
          <t>NULL</t>
        </is>
      </c>
      <c r="C1554" s="0" t="inlineStr">
        <is>
          <t>NULL</t>
        </is>
      </c>
      <c r="D1554" s="0" t="inlineStr">
        <is>
          <t>NULL</t>
        </is>
      </c>
      <c r="E1554" s="0" t="inlineStr">
        <is>
          <t>NULL</t>
        </is>
      </c>
      <c r="F1554" s="0" t="inlineStr">
        <is>
          <t>NULL</t>
        </is>
      </c>
      <c r="G1554" s="0" t="inlineStr">
        <is>
          <t>NULL</t>
        </is>
      </c>
      <c r="H1554" s="0" t="inlineStr">
        <is>
          <t>NULL</t>
        </is>
      </c>
      <c r="I1554" s="0" t="inlineStr">
        <is>
          <t>NULL</t>
        </is>
      </c>
      <c r="J1554" s="0" t="inlineStr">
        <is>
          <t>NULL</t>
        </is>
      </c>
      <c r="K1554" s="0" t="inlineStr">
        <is>
          <t>YES! 	 c_dtoffset_4列源备映射正确，源端为datetimeoffset None位	期望更改为datetimeoffset(n)	实际备端为datetimeoffset None位</t>
        </is>
      </c>
    </row>
    <row r="1555">
      <c r="B1555" s="0" t="inlineStr">
        <is>
          <t>NULL</t>
        </is>
      </c>
      <c r="C1555" s="0" t="inlineStr">
        <is>
          <t>NULL</t>
        </is>
      </c>
      <c r="D1555" s="0" t="inlineStr">
        <is>
          <t>NULL</t>
        </is>
      </c>
      <c r="E1555" s="0" t="inlineStr">
        <is>
          <t>NULL</t>
        </is>
      </c>
      <c r="F1555" s="0" t="inlineStr">
        <is>
          <t>NULL</t>
        </is>
      </c>
      <c r="G1555" s="0" t="inlineStr">
        <is>
          <t>NULL</t>
        </is>
      </c>
      <c r="H1555" s="0" t="inlineStr">
        <is>
          <t>NULL</t>
        </is>
      </c>
      <c r="I1555" s="0" t="inlineStr">
        <is>
          <t>NULL</t>
        </is>
      </c>
      <c r="J1555" s="0" t="inlineStr">
        <is>
          <t>NULL</t>
        </is>
      </c>
      <c r="K1555" s="0" t="inlineStr">
        <is>
          <t>YES! 	 c_dtoffset_5列源备映射正确，源端为datetimeoffset None位	期望更改为datetimeoffset(n)	实际备端为datetimeoffset None位</t>
        </is>
      </c>
    </row>
    <row r="1556">
      <c r="B1556" s="0" t="inlineStr">
        <is>
          <t>NULL</t>
        </is>
      </c>
      <c r="C1556" s="0" t="inlineStr">
        <is>
          <t>NULL</t>
        </is>
      </c>
      <c r="D1556" s="0" t="inlineStr">
        <is>
          <t>NULL</t>
        </is>
      </c>
      <c r="E1556" s="0" t="inlineStr">
        <is>
          <t>NULL</t>
        </is>
      </c>
      <c r="F1556" s="0" t="inlineStr">
        <is>
          <t>NULL</t>
        </is>
      </c>
      <c r="G1556" s="0" t="inlineStr">
        <is>
          <t>NULL</t>
        </is>
      </c>
      <c r="H1556" s="0" t="inlineStr">
        <is>
          <t>NULL</t>
        </is>
      </c>
      <c r="I1556" s="0" t="inlineStr">
        <is>
          <t>NULL</t>
        </is>
      </c>
      <c r="J1556" s="0" t="inlineStr">
        <is>
          <t>NULL</t>
        </is>
      </c>
      <c r="K1556" s="0" t="inlineStr">
        <is>
          <t>YES! 	 c_dtoffset_6列源备映射正确，源端为datetimeoffset None位	期望更改为datetimeoffset(n)	实际备端为datetimeoffset None位</t>
        </is>
      </c>
    </row>
    <row r="1557">
      <c r="B1557" s="0" t="inlineStr">
        <is>
          <t>NULL</t>
        </is>
      </c>
      <c r="C1557" s="0" t="inlineStr">
        <is>
          <t>NULL</t>
        </is>
      </c>
      <c r="D1557" s="0" t="inlineStr">
        <is>
          <t>NULL</t>
        </is>
      </c>
      <c r="E1557" s="0" t="inlineStr">
        <is>
          <t>NULL</t>
        </is>
      </c>
      <c r="F1557" s="0" t="inlineStr">
        <is>
          <t>NULL</t>
        </is>
      </c>
      <c r="G1557" s="0" t="inlineStr">
        <is>
          <t>NULL</t>
        </is>
      </c>
      <c r="H1557" s="0" t="inlineStr">
        <is>
          <t>NULL</t>
        </is>
      </c>
      <c r="I1557" s="0" t="inlineStr">
        <is>
          <t>NULL</t>
        </is>
      </c>
      <c r="J1557" s="0" t="inlineStr">
        <is>
          <t>NULL</t>
        </is>
      </c>
      <c r="K1557" s="0" t="inlineStr">
        <is>
          <t>YES! 	 c_dtoffset列源备映射正确，源端为datetimeoffset None位	期望更改为datetimeoffset(n)	实际备端为datetimeoffset None位</t>
        </is>
      </c>
    </row>
    <row r="1558">
      <c r="A1558" s="0" t="inlineStr">
        <is>
          <t>info_varbinary_max_dml_single_nopk_urp</t>
        </is>
      </c>
      <c r="K1558" s="0" t="inlineStr">
        <is>
          <t>[0;34m info_varbinary_max_dml_single_nopk_urp [0m源备字段数相同，源端字段：4 	备端字段4</t>
        </is>
      </c>
      <c r="W1558" s="0" t="inlineStr">
        <is>
          <t>YES 源备无差异</t>
        </is>
      </c>
      <c r="X1558" s="0">
        <f>A1558</f>
        <v/>
      </c>
    </row>
    <row r="1559">
      <c r="B1559" s="0" t="inlineStr">
        <is>
          <t>NULL</t>
        </is>
      </c>
      <c r="C1559" s="0" t="inlineStr">
        <is>
          <t>NULL</t>
        </is>
      </c>
      <c r="D1559" s="0" t="inlineStr">
        <is>
          <t>NULL</t>
        </is>
      </c>
      <c r="E1559" s="0" t="inlineStr">
        <is>
          <t>NULL</t>
        </is>
      </c>
      <c r="F1559" s="0" t="inlineStr">
        <is>
          <t>NULL</t>
        </is>
      </c>
      <c r="G1559" s="0" t="inlineStr">
        <is>
          <t>NULL</t>
        </is>
      </c>
      <c r="H1559" s="0" t="inlineStr">
        <is>
          <t>NULL</t>
        </is>
      </c>
      <c r="I1559" s="0" t="inlineStr">
        <is>
          <t>NULL</t>
        </is>
      </c>
      <c r="J1559" s="0" t="inlineStr">
        <is>
          <t>NULL</t>
        </is>
      </c>
      <c r="K1559" s="0" t="inlineStr">
        <is>
          <t>YES! 	 id列源备映射正确，源端为int None位	期望更改为int	实际备端为int None位</t>
        </is>
      </c>
    </row>
    <row r="1560">
      <c r="B1560" s="0" t="inlineStr">
        <is>
          <t>NULL</t>
        </is>
      </c>
      <c r="C1560" s="0" t="inlineStr">
        <is>
          <t>NULL</t>
        </is>
      </c>
      <c r="D1560" s="0" t="inlineStr">
        <is>
          <t>NULL</t>
        </is>
      </c>
      <c r="E1560" s="0" t="inlineStr">
        <is>
          <t>NULL</t>
        </is>
      </c>
      <c r="F1560" s="0" t="inlineStr">
        <is>
          <t>NULL</t>
        </is>
      </c>
      <c r="G1560" s="0" t="inlineStr">
        <is>
          <t>NULL</t>
        </is>
      </c>
      <c r="H1560" s="0" t="inlineStr">
        <is>
          <t>NULL</t>
        </is>
      </c>
      <c r="I1560" s="0" t="inlineStr">
        <is>
          <t>NULL</t>
        </is>
      </c>
      <c r="J1560" s="0" t="inlineStr">
        <is>
          <t>NULL</t>
        </is>
      </c>
      <c r="K1560" s="0" t="inlineStr">
        <is>
          <t>YES! 	 c_varbinary_max1列源备映射正确，源端为varbinary -1位	期望更改为varbinary(n)	实际备端为varbinary -1位</t>
        </is>
      </c>
    </row>
    <row r="1561">
      <c r="B1561" s="0" t="inlineStr">
        <is>
          <t>NULL</t>
        </is>
      </c>
      <c r="C1561" s="0" t="inlineStr">
        <is>
          <t>NULL</t>
        </is>
      </c>
      <c r="D1561" s="0" t="inlineStr">
        <is>
          <t>NULL</t>
        </is>
      </c>
      <c r="E1561" s="0" t="inlineStr">
        <is>
          <t>NULL</t>
        </is>
      </c>
      <c r="F1561" s="0" t="inlineStr">
        <is>
          <t>NULL</t>
        </is>
      </c>
      <c r="G1561" s="0" t="inlineStr">
        <is>
          <t>NULL</t>
        </is>
      </c>
      <c r="H1561" s="0" t="inlineStr">
        <is>
          <t>NULL</t>
        </is>
      </c>
      <c r="I1561" s="0" t="inlineStr">
        <is>
          <t>NULL</t>
        </is>
      </c>
      <c r="J1561" s="0" t="inlineStr">
        <is>
          <t>NULL</t>
        </is>
      </c>
      <c r="K1561" s="0" t="inlineStr">
        <is>
          <t>YES! 	 c_varbinary_max2列源备映射正确，源端为varbinary -1位	期望更改为varbinary(n)	实际备端为varbinary -1位</t>
        </is>
      </c>
    </row>
    <row r="1562">
      <c r="B1562" s="0" t="inlineStr">
        <is>
          <t>NULL</t>
        </is>
      </c>
      <c r="C1562" s="0" t="inlineStr">
        <is>
          <t>NULL</t>
        </is>
      </c>
      <c r="D1562" s="0" t="inlineStr">
        <is>
          <t>NULL</t>
        </is>
      </c>
      <c r="E1562" s="0" t="inlineStr">
        <is>
          <t>NULL</t>
        </is>
      </c>
      <c r="F1562" s="0" t="inlineStr">
        <is>
          <t>NULL</t>
        </is>
      </c>
      <c r="G1562" s="0" t="inlineStr">
        <is>
          <t>NULL</t>
        </is>
      </c>
      <c r="H1562" s="0" t="inlineStr">
        <is>
          <t>NULL</t>
        </is>
      </c>
      <c r="I1562" s="0" t="inlineStr">
        <is>
          <t>NULL</t>
        </is>
      </c>
      <c r="J1562" s="0" t="inlineStr">
        <is>
          <t>NULL</t>
        </is>
      </c>
      <c r="K1562" s="0" t="inlineStr">
        <is>
          <t>YES! 	 c_image3列源备映射正确，源端为image 2147483647位	期望更改为image	实际备端为image 2147483647位</t>
        </is>
      </c>
    </row>
    <row r="1563">
      <c r="A1563" s="0" t="inlineStr">
        <is>
          <t>info_binary_dml_single_pk</t>
        </is>
      </c>
      <c r="K1563" s="0" t="inlineStr">
        <is>
          <t>[0;34m info_binary_dml_single_pk [0m源备字段数相同，源端字段：4 	备端字段4</t>
        </is>
      </c>
      <c r="W1563" s="0" t="inlineStr">
        <is>
          <t>YES 源备无差异</t>
        </is>
      </c>
      <c r="X1563" s="0">
        <f>A1563</f>
        <v/>
      </c>
    </row>
    <row r="1564">
      <c r="B1564" s="0" t="inlineStr">
        <is>
          <t>YES</t>
        </is>
      </c>
      <c r="C1564" s="0" t="inlineStr">
        <is>
          <t>NULL</t>
        </is>
      </c>
      <c r="D1564" s="0" t="inlineStr">
        <is>
          <t>NULL</t>
        </is>
      </c>
      <c r="E1564" s="0" t="inlineStr">
        <is>
          <t>NULL</t>
        </is>
      </c>
      <c r="F1564" s="0" t="inlineStr">
        <is>
          <t>NULL</t>
        </is>
      </c>
      <c r="G1564" s="0" t="inlineStr">
        <is>
          <t>NULL</t>
        </is>
      </c>
      <c r="H1564" s="0" t="inlineStr">
        <is>
          <t>NULL</t>
        </is>
      </c>
      <c r="I1564" s="0" t="inlineStr">
        <is>
          <t>YES!PK__info_bin__3213E83F4311331F</t>
        </is>
      </c>
      <c r="J1564" s="0" t="inlineStr">
        <is>
          <t>YES! 主键相关索引</t>
        </is>
      </c>
      <c r="K1564" s="0" t="inlineStr">
        <is>
          <t>YES! 	 id列源备映射正确，源端为int None位	期望更改为int	实际备端为int None位</t>
        </is>
      </c>
    </row>
    <row r="1565">
      <c r="B1565" s="0" t="inlineStr">
        <is>
          <t>NULL</t>
        </is>
      </c>
      <c r="C1565" s="0" t="inlineStr">
        <is>
          <t>NULL</t>
        </is>
      </c>
      <c r="D1565" s="0" t="inlineStr">
        <is>
          <t>NULL</t>
        </is>
      </c>
      <c r="E1565" s="0" t="inlineStr">
        <is>
          <t>NULL</t>
        </is>
      </c>
      <c r="F1565" s="0" t="inlineStr">
        <is>
          <t>NULL</t>
        </is>
      </c>
      <c r="G1565" s="0" t="inlineStr">
        <is>
          <t>NULL</t>
        </is>
      </c>
      <c r="H1565" s="0" t="inlineStr">
        <is>
          <t>NULL</t>
        </is>
      </c>
      <c r="I1565" s="0" t="inlineStr">
        <is>
          <t>NULL</t>
        </is>
      </c>
      <c r="J1565" s="0" t="inlineStr">
        <is>
          <t>NULL</t>
        </is>
      </c>
      <c r="K1565" s="0" t="inlineStr">
        <is>
          <t>YES! 	 c_binary列源备映射正确，源端为binary 1位	期望更改为binary(n)	实际备端为binary 1位</t>
        </is>
      </c>
    </row>
    <row r="1566">
      <c r="B1566" s="0" t="inlineStr">
        <is>
          <t>NULL</t>
        </is>
      </c>
      <c r="C1566" s="0" t="inlineStr">
        <is>
          <t>NULL</t>
        </is>
      </c>
      <c r="D1566" s="0" t="inlineStr">
        <is>
          <t>NULL</t>
        </is>
      </c>
      <c r="E1566" s="0" t="inlineStr">
        <is>
          <t>NULL</t>
        </is>
      </c>
      <c r="F1566" s="0" t="inlineStr">
        <is>
          <t>NULL</t>
        </is>
      </c>
      <c r="G1566" s="0" t="inlineStr">
        <is>
          <t>NULL</t>
        </is>
      </c>
      <c r="H1566" s="0" t="inlineStr">
        <is>
          <t>NULL</t>
        </is>
      </c>
      <c r="I1566" s="0" t="inlineStr">
        <is>
          <t>NULL</t>
        </is>
      </c>
      <c r="J1566" s="0" t="inlineStr">
        <is>
          <t>NULL</t>
        </is>
      </c>
      <c r="K1566" s="0" t="inlineStr">
        <is>
          <t>YES! 	 c_binary_20列源备映射正确，源端为binary 20位	期望更改为binary(n)	实际备端为binary 20位</t>
        </is>
      </c>
    </row>
    <row r="1567">
      <c r="B1567" s="0" t="inlineStr">
        <is>
          <t>NULL</t>
        </is>
      </c>
      <c r="C1567" s="0" t="inlineStr">
        <is>
          <t>NULL</t>
        </is>
      </c>
      <c r="D1567" s="0" t="inlineStr">
        <is>
          <t>NULL</t>
        </is>
      </c>
      <c r="E1567" s="0" t="inlineStr">
        <is>
          <t>NULL</t>
        </is>
      </c>
      <c r="F1567" s="0" t="inlineStr">
        <is>
          <t>NULL</t>
        </is>
      </c>
      <c r="G1567" s="0" t="inlineStr">
        <is>
          <t>NULL</t>
        </is>
      </c>
      <c r="H1567" s="0" t="inlineStr">
        <is>
          <t>NULL</t>
        </is>
      </c>
      <c r="I1567" s="0" t="inlineStr">
        <is>
          <t>NULL</t>
        </is>
      </c>
      <c r="J1567" s="0" t="inlineStr">
        <is>
          <t>NULL</t>
        </is>
      </c>
      <c r="K1567" s="0" t="inlineStr">
        <is>
          <t>YES! 	 c_binary_8000列源备映射正确，源端为binary 8000位	期望更改为binary(n)	实际备端为binary 8000位</t>
        </is>
      </c>
    </row>
    <row r="1568">
      <c r="A1568" s="0" t="inlineStr">
        <is>
          <t>info_datetimeoffset_dml_single_nopk_urp</t>
        </is>
      </c>
      <c r="K1568" s="0" t="inlineStr">
        <is>
          <t>[0;34m info_datetimeoffset_dml_single_nopk_urp [0m源备字段数相同，源端字段：9 	备端字段9</t>
        </is>
      </c>
      <c r="W1568" s="0" t="inlineStr">
        <is>
          <t>YES 源备无差异</t>
        </is>
      </c>
      <c r="X1568" s="0">
        <f>A1568</f>
        <v/>
      </c>
    </row>
    <row r="1569">
      <c r="B1569" s="0" t="inlineStr">
        <is>
          <t>NULL</t>
        </is>
      </c>
      <c r="C1569" s="0" t="inlineStr">
        <is>
          <t>NULL</t>
        </is>
      </c>
      <c r="D1569" s="0" t="inlineStr">
        <is>
          <t>NULL</t>
        </is>
      </c>
      <c r="E1569" s="0" t="inlineStr">
        <is>
          <t>NULL</t>
        </is>
      </c>
      <c r="F1569" s="0" t="inlineStr">
        <is>
          <t>NULL</t>
        </is>
      </c>
      <c r="G1569" s="0" t="inlineStr">
        <is>
          <t>NULL</t>
        </is>
      </c>
      <c r="H1569" s="0" t="inlineStr">
        <is>
          <t>NULL</t>
        </is>
      </c>
      <c r="I1569" s="0" t="inlineStr">
        <is>
          <t>NULL</t>
        </is>
      </c>
      <c r="J1569" s="0" t="inlineStr">
        <is>
          <t>NULL</t>
        </is>
      </c>
      <c r="K1569" s="0" t="inlineStr">
        <is>
          <t>YES! 	 id列源备映射正确，源端为int None位	期望更改为int	实际备端为int None位</t>
        </is>
      </c>
    </row>
    <row r="1570">
      <c r="B1570" s="0" t="inlineStr">
        <is>
          <t>NULL</t>
        </is>
      </c>
      <c r="C1570" s="0" t="inlineStr">
        <is>
          <t>NULL</t>
        </is>
      </c>
      <c r="D1570" s="0" t="inlineStr">
        <is>
          <t>NULL</t>
        </is>
      </c>
      <c r="E1570" s="0" t="inlineStr">
        <is>
          <t>NULL</t>
        </is>
      </c>
      <c r="F1570" s="0" t="inlineStr">
        <is>
          <t>NULL</t>
        </is>
      </c>
      <c r="G1570" s="0" t="inlineStr">
        <is>
          <t>NULL</t>
        </is>
      </c>
      <c r="H1570" s="0" t="inlineStr">
        <is>
          <t>NULL</t>
        </is>
      </c>
      <c r="I1570" s="0" t="inlineStr">
        <is>
          <t>NULL</t>
        </is>
      </c>
      <c r="J1570" s="0" t="inlineStr">
        <is>
          <t>NULL</t>
        </is>
      </c>
      <c r="K1570" s="0" t="inlineStr">
        <is>
          <t>no,len不存在</t>
        </is>
      </c>
    </row>
    <row r="1571">
      <c r="B1571" s="0" t="inlineStr">
        <is>
          <t>NULL</t>
        </is>
      </c>
      <c r="C1571" s="0" t="inlineStr">
        <is>
          <t>NULL</t>
        </is>
      </c>
      <c r="D1571" s="0" t="inlineStr">
        <is>
          <t>NULL</t>
        </is>
      </c>
      <c r="E1571" s="0" t="inlineStr">
        <is>
          <t>NULL</t>
        </is>
      </c>
      <c r="F1571" s="0" t="inlineStr">
        <is>
          <t>NULL</t>
        </is>
      </c>
      <c r="G1571" s="0" t="inlineStr">
        <is>
          <t>NULL</t>
        </is>
      </c>
      <c r="H1571" s="0" t="inlineStr">
        <is>
          <t>NULL</t>
        </is>
      </c>
      <c r="I1571" s="0" t="inlineStr">
        <is>
          <t>NULL</t>
        </is>
      </c>
      <c r="J1571" s="0" t="inlineStr">
        <is>
          <t>NULL</t>
        </is>
      </c>
      <c r="K1571" s="0" t="inlineStr">
        <is>
          <t>YES! 	 c_dtoffset_1列源备映射正确，源端为datetimeoffset None位	期望更改为datetimeoffset(n)	实际备端为datetimeoffset None位</t>
        </is>
      </c>
    </row>
    <row r="1572">
      <c r="B1572" s="0" t="inlineStr">
        <is>
          <t>NULL</t>
        </is>
      </c>
      <c r="C1572" s="0" t="inlineStr">
        <is>
          <t>NULL</t>
        </is>
      </c>
      <c r="D1572" s="0" t="inlineStr">
        <is>
          <t>NULL</t>
        </is>
      </c>
      <c r="E1572" s="0" t="inlineStr">
        <is>
          <t>NULL</t>
        </is>
      </c>
      <c r="F1572" s="0" t="inlineStr">
        <is>
          <t>NULL</t>
        </is>
      </c>
      <c r="G1572" s="0" t="inlineStr">
        <is>
          <t>NULL</t>
        </is>
      </c>
      <c r="H1572" s="0" t="inlineStr">
        <is>
          <t>NULL</t>
        </is>
      </c>
      <c r="I1572" s="0" t="inlineStr">
        <is>
          <t>NULL</t>
        </is>
      </c>
      <c r="J1572" s="0" t="inlineStr">
        <is>
          <t>NULL</t>
        </is>
      </c>
      <c r="K1572" s="0" t="inlineStr">
        <is>
          <t>YES! 	 c_dtoffset_2列源备映射正确，源端为datetimeoffset None位	期望更改为datetimeoffset(n)	实际备端为datetimeoffset None位</t>
        </is>
      </c>
    </row>
    <row r="1573">
      <c r="B1573" s="0" t="inlineStr">
        <is>
          <t>NULL</t>
        </is>
      </c>
      <c r="C1573" s="0" t="inlineStr">
        <is>
          <t>NULL</t>
        </is>
      </c>
      <c r="D1573" s="0" t="inlineStr">
        <is>
          <t>NULL</t>
        </is>
      </c>
      <c r="E1573" s="0" t="inlineStr">
        <is>
          <t>NULL</t>
        </is>
      </c>
      <c r="F1573" s="0" t="inlineStr">
        <is>
          <t>NULL</t>
        </is>
      </c>
      <c r="G1573" s="0" t="inlineStr">
        <is>
          <t>NULL</t>
        </is>
      </c>
      <c r="H1573" s="0" t="inlineStr">
        <is>
          <t>NULL</t>
        </is>
      </c>
      <c r="I1573" s="0" t="inlineStr">
        <is>
          <t>NULL</t>
        </is>
      </c>
      <c r="J1573" s="0" t="inlineStr">
        <is>
          <t>NULL</t>
        </is>
      </c>
      <c r="K1573" s="0" t="inlineStr">
        <is>
          <t>YES! 	 c_dtoffset_3列源备映射正确，源端为datetimeoffset None位	期望更改为datetimeoffset(n)	实际备端为datetimeoffset None位</t>
        </is>
      </c>
    </row>
    <row r="1574">
      <c r="B1574" s="0" t="inlineStr">
        <is>
          <t>NULL</t>
        </is>
      </c>
      <c r="C1574" s="0" t="inlineStr">
        <is>
          <t>NULL</t>
        </is>
      </c>
      <c r="D1574" s="0" t="inlineStr">
        <is>
          <t>NULL</t>
        </is>
      </c>
      <c r="E1574" s="0" t="inlineStr">
        <is>
          <t>NULL</t>
        </is>
      </c>
      <c r="F1574" s="0" t="inlineStr">
        <is>
          <t>NULL</t>
        </is>
      </c>
      <c r="G1574" s="0" t="inlineStr">
        <is>
          <t>NULL</t>
        </is>
      </c>
      <c r="H1574" s="0" t="inlineStr">
        <is>
          <t>NULL</t>
        </is>
      </c>
      <c r="I1574" s="0" t="inlineStr">
        <is>
          <t>NULL</t>
        </is>
      </c>
      <c r="J1574" s="0" t="inlineStr">
        <is>
          <t>NULL</t>
        </is>
      </c>
      <c r="K1574" s="0" t="inlineStr">
        <is>
          <t>YES! 	 c_dtoffset_4列源备映射正确，源端为datetimeoffset None位	期望更改为datetimeoffset(n)	实际备端为datetimeoffset None位</t>
        </is>
      </c>
    </row>
    <row r="1575">
      <c r="B1575" s="0" t="inlineStr">
        <is>
          <t>NULL</t>
        </is>
      </c>
      <c r="C1575" s="0" t="inlineStr">
        <is>
          <t>NULL</t>
        </is>
      </c>
      <c r="D1575" s="0" t="inlineStr">
        <is>
          <t>NULL</t>
        </is>
      </c>
      <c r="E1575" s="0" t="inlineStr">
        <is>
          <t>NULL</t>
        </is>
      </c>
      <c r="F1575" s="0" t="inlineStr">
        <is>
          <t>NULL</t>
        </is>
      </c>
      <c r="G1575" s="0" t="inlineStr">
        <is>
          <t>NULL</t>
        </is>
      </c>
      <c r="H1575" s="0" t="inlineStr">
        <is>
          <t>NULL</t>
        </is>
      </c>
      <c r="I1575" s="0" t="inlineStr">
        <is>
          <t>NULL</t>
        </is>
      </c>
      <c r="J1575" s="0" t="inlineStr">
        <is>
          <t>NULL</t>
        </is>
      </c>
      <c r="K1575" s="0" t="inlineStr">
        <is>
          <t>YES! 	 c_dtoffset_5列源备映射正确，源端为datetimeoffset None位	期望更改为datetimeoffset(n)	实际备端为datetimeoffset None位</t>
        </is>
      </c>
    </row>
    <row r="1576">
      <c r="B1576" s="0" t="inlineStr">
        <is>
          <t>NULL</t>
        </is>
      </c>
      <c r="C1576" s="0" t="inlineStr">
        <is>
          <t>NULL</t>
        </is>
      </c>
      <c r="D1576" s="0" t="inlineStr">
        <is>
          <t>NULL</t>
        </is>
      </c>
      <c r="E1576" s="0" t="inlineStr">
        <is>
          <t>NULL</t>
        </is>
      </c>
      <c r="F1576" s="0" t="inlineStr">
        <is>
          <t>NULL</t>
        </is>
      </c>
      <c r="G1576" s="0" t="inlineStr">
        <is>
          <t>NULL</t>
        </is>
      </c>
      <c r="H1576" s="0" t="inlineStr">
        <is>
          <t>NULL</t>
        </is>
      </c>
      <c r="I1576" s="0" t="inlineStr">
        <is>
          <t>NULL</t>
        </is>
      </c>
      <c r="J1576" s="0" t="inlineStr">
        <is>
          <t>NULL</t>
        </is>
      </c>
      <c r="K1576" s="0" t="inlineStr">
        <is>
          <t>YES! 	 c_dtoffset_6列源备映射正确，源端为datetimeoffset None位	期望更改为datetimeoffset(n)	实际备端为datetimeoffset None位</t>
        </is>
      </c>
    </row>
    <row r="1577">
      <c r="B1577" s="0" t="inlineStr">
        <is>
          <t>NULL</t>
        </is>
      </c>
      <c r="C1577" s="0" t="inlineStr">
        <is>
          <t>NULL</t>
        </is>
      </c>
      <c r="D1577" s="0" t="inlineStr">
        <is>
          <t>NULL</t>
        </is>
      </c>
      <c r="E1577" s="0" t="inlineStr">
        <is>
          <t>NULL</t>
        </is>
      </c>
      <c r="F1577" s="0" t="inlineStr">
        <is>
          <t>NULL</t>
        </is>
      </c>
      <c r="G1577" s="0" t="inlineStr">
        <is>
          <t>NULL</t>
        </is>
      </c>
      <c r="H1577" s="0" t="inlineStr">
        <is>
          <t>NULL</t>
        </is>
      </c>
      <c r="I1577" s="0" t="inlineStr">
        <is>
          <t>NULL</t>
        </is>
      </c>
      <c r="J1577" s="0" t="inlineStr">
        <is>
          <t>NULL</t>
        </is>
      </c>
      <c r="K1577" s="0" t="inlineStr">
        <is>
          <t>YES! 	 c_dtoffset列源备映射正确，源端为datetimeoffset None位	期望更改为datetimeoffset(n)	实际备端为datetimeoffset None位</t>
        </is>
      </c>
    </row>
    <row r="1578">
      <c r="A1578" s="0" t="inlineStr">
        <is>
          <t>info_varcharmax_dml_batch1_pk_drp1</t>
        </is>
      </c>
      <c r="K1578" s="0" t="inlineStr">
        <is>
          <t>[0;34m info_varcharmax_dml_batch1_pk_drp1 [0m源备字段数相同，源端字段：3 	备端字段3</t>
        </is>
      </c>
      <c r="W1578" s="0" t="inlineStr">
        <is>
          <t>YES 源备无差异</t>
        </is>
      </c>
      <c r="X1578" s="0">
        <f>A1578</f>
        <v/>
      </c>
    </row>
    <row r="1579">
      <c r="B1579" s="0" t="inlineStr">
        <is>
          <t>YES</t>
        </is>
      </c>
      <c r="C1579" s="0" t="inlineStr">
        <is>
          <t>NULL</t>
        </is>
      </c>
      <c r="D1579" s="0" t="inlineStr">
        <is>
          <t>NULL</t>
        </is>
      </c>
      <c r="E1579" s="0" t="inlineStr">
        <is>
          <t>NULL</t>
        </is>
      </c>
      <c r="F1579" s="0" t="inlineStr">
        <is>
          <t>NULL</t>
        </is>
      </c>
      <c r="G1579" s="0" t="inlineStr">
        <is>
          <t>NULL</t>
        </is>
      </c>
      <c r="H1579" s="0" t="inlineStr">
        <is>
          <t>NULL</t>
        </is>
      </c>
      <c r="I1579" s="0" t="inlineStr">
        <is>
          <t>YES!PK__info_var__3213E83FE68E1CD5</t>
        </is>
      </c>
      <c r="J1579" s="0" t="inlineStr">
        <is>
          <t>YES! 主键相关索引</t>
        </is>
      </c>
      <c r="K1579" s="0" t="inlineStr">
        <is>
          <t>YES! 	 id列源备映射正确，源端为int None位	期望更改为int	实际备端为int None位</t>
        </is>
      </c>
    </row>
    <row r="1580">
      <c r="B1580" s="0" t="inlineStr">
        <is>
          <t>NULL</t>
        </is>
      </c>
      <c r="C1580" s="0" t="inlineStr">
        <is>
          <t>NULL</t>
        </is>
      </c>
      <c r="D1580" s="0" t="inlineStr">
        <is>
          <t>NULL</t>
        </is>
      </c>
      <c r="E1580" s="0" t="inlineStr">
        <is>
          <t>NULL</t>
        </is>
      </c>
      <c r="F1580" s="0" t="inlineStr">
        <is>
          <t>NULL</t>
        </is>
      </c>
      <c r="G1580" s="0" t="inlineStr">
        <is>
          <t>NULL</t>
        </is>
      </c>
      <c r="H1580" s="0" t="inlineStr">
        <is>
          <t>NULL</t>
        </is>
      </c>
      <c r="I1580" s="0" t="inlineStr">
        <is>
          <t>NULL</t>
        </is>
      </c>
      <c r="J1580" s="0" t="inlineStr">
        <is>
          <t>NULL</t>
        </is>
      </c>
      <c r="K1580" s="0" t="inlineStr">
        <is>
          <t>YES! 	 c_varchar_max列源备映射正确，源端为varchar -1位	期望更改为varchar(n)	实际备端为varchar -1位</t>
        </is>
      </c>
    </row>
    <row r="1581">
      <c r="B1581" s="0" t="inlineStr">
        <is>
          <t>NULL</t>
        </is>
      </c>
      <c r="C1581" s="0" t="inlineStr">
        <is>
          <t>NULL</t>
        </is>
      </c>
      <c r="D1581" s="0" t="inlineStr">
        <is>
          <t>NULL</t>
        </is>
      </c>
      <c r="E1581" s="0" t="inlineStr">
        <is>
          <t>NULL</t>
        </is>
      </c>
      <c r="F1581" s="0" t="inlineStr">
        <is>
          <t>NULL</t>
        </is>
      </c>
      <c r="G1581" s="0" t="inlineStr">
        <is>
          <t>NULL</t>
        </is>
      </c>
      <c r="H1581" s="0" t="inlineStr">
        <is>
          <t>NULL</t>
        </is>
      </c>
      <c r="I1581" s="0" t="inlineStr">
        <is>
          <t>NULL</t>
        </is>
      </c>
      <c r="J1581" s="0" t="inlineStr">
        <is>
          <t>NULL</t>
        </is>
      </c>
      <c r="K1581" s="0" t="inlineStr">
        <is>
          <t>YES! 	 c_nvarchar_max列源备映射正确，源端为nvarchar -1位	期望更改为nvarchar(n)	实际备端为nvarchar -1位</t>
        </is>
      </c>
    </row>
    <row r="1582">
      <c r="K1582" s="0" t="inlineStr">
        <is>
          <t>~ 空表</t>
        </is>
      </c>
    </row>
    <row r="1583">
      <c r="A1583" s="0" t="inlineStr">
        <is>
          <t>info_timestamp_dml_single_pk_irp</t>
        </is>
      </c>
      <c r="K1583" s="0" t="inlineStr">
        <is>
          <t>[0;34m info_timestamp_dml_single_pk_irp [0m源备字段数相同，源端字段：2 	备端字段2</t>
        </is>
      </c>
      <c r="W1583" s="0" t="inlineStr">
        <is>
          <t>YES 源备无差异</t>
        </is>
      </c>
      <c r="X1583" s="0">
        <f>A1583</f>
        <v/>
      </c>
    </row>
    <row r="1584">
      <c r="B1584" s="0" t="inlineStr">
        <is>
          <t>YES</t>
        </is>
      </c>
      <c r="C1584" s="0" t="inlineStr">
        <is>
          <t>NULL</t>
        </is>
      </c>
      <c r="D1584" s="0" t="inlineStr">
        <is>
          <t>NULL</t>
        </is>
      </c>
      <c r="E1584" s="0" t="inlineStr">
        <is>
          <t>NULL</t>
        </is>
      </c>
      <c r="F1584" s="0" t="inlineStr">
        <is>
          <t>NULL</t>
        </is>
      </c>
      <c r="G1584" s="0" t="inlineStr">
        <is>
          <t>NULL</t>
        </is>
      </c>
      <c r="H1584" s="0" t="inlineStr">
        <is>
          <t>NULL</t>
        </is>
      </c>
      <c r="I1584" s="0" t="inlineStr">
        <is>
          <t>YES!PK__info_tim__3213E83F0A74409F</t>
        </is>
      </c>
      <c r="J1584" s="0" t="inlineStr">
        <is>
          <t>YES! 主键相关索引</t>
        </is>
      </c>
      <c r="K1584" s="0" t="inlineStr">
        <is>
          <t>YES! 	 id列源备映射正确，源端为int None位	期望更改为int	实际备端为int None位</t>
        </is>
      </c>
    </row>
    <row r="1585">
      <c r="B1585" s="0" t="inlineStr">
        <is>
          <t>NULL</t>
        </is>
      </c>
      <c r="C1585" s="0" t="inlineStr">
        <is>
          <t>NULL</t>
        </is>
      </c>
      <c r="D1585" s="0" t="inlineStr">
        <is>
          <t>NULL</t>
        </is>
      </c>
      <c r="E1585" s="0" t="inlineStr">
        <is>
          <t>NULL</t>
        </is>
      </c>
      <c r="F1585" s="0" t="inlineStr">
        <is>
          <t>NULL</t>
        </is>
      </c>
      <c r="G1585" s="0" t="inlineStr">
        <is>
          <t>NULL</t>
        </is>
      </c>
      <c r="H1585" s="0" t="inlineStr">
        <is>
          <t>NULL</t>
        </is>
      </c>
      <c r="I1585" s="0" t="inlineStr">
        <is>
          <t>NULL</t>
        </is>
      </c>
      <c r="J1585" s="0" t="inlineStr">
        <is>
          <t>NULL</t>
        </is>
      </c>
      <c r="K1585" s="0" t="inlineStr">
        <is>
          <t>YES! 	 c_tiemstamp列源备映射正确，源端为timestamp None位	期望更改为timestamp	实际备端为timestamp None位</t>
        </is>
      </c>
    </row>
    <row r="1586">
      <c r="A1586" s="0" t="inlineStr">
        <is>
          <t>info_datetimeoffset_dml_single_nopk_drp</t>
        </is>
      </c>
      <c r="K1586" s="0" t="inlineStr">
        <is>
          <t>[0;34m info_datetimeoffset_dml_single_nopk_drp [0m源备字段数相同，源端字段：9 	备端字段9</t>
        </is>
      </c>
      <c r="W1586" s="0" t="inlineStr">
        <is>
          <t>YES 源备无差异</t>
        </is>
      </c>
      <c r="X1586" s="0">
        <f>A1586</f>
        <v/>
      </c>
    </row>
    <row r="1587">
      <c r="B1587" s="0" t="inlineStr">
        <is>
          <t>NULL</t>
        </is>
      </c>
      <c r="C1587" s="0" t="inlineStr">
        <is>
          <t>NULL</t>
        </is>
      </c>
      <c r="D1587" s="0" t="inlineStr">
        <is>
          <t>NULL</t>
        </is>
      </c>
      <c r="E1587" s="0" t="inlineStr">
        <is>
          <t>NULL</t>
        </is>
      </c>
      <c r="F1587" s="0" t="inlineStr">
        <is>
          <t>NULL</t>
        </is>
      </c>
      <c r="G1587" s="0" t="inlineStr">
        <is>
          <t>NULL</t>
        </is>
      </c>
      <c r="H1587" s="0" t="inlineStr">
        <is>
          <t>NULL</t>
        </is>
      </c>
      <c r="I1587" s="0" t="inlineStr">
        <is>
          <t>NULL</t>
        </is>
      </c>
      <c r="J1587" s="0" t="inlineStr">
        <is>
          <t>NULL</t>
        </is>
      </c>
      <c r="K1587" s="0" t="inlineStr">
        <is>
          <t>YES! 	 id列源备映射正确，源端为int None位	期望更改为int	实际备端为int None位</t>
        </is>
      </c>
    </row>
    <row r="1588">
      <c r="B1588" s="0" t="inlineStr">
        <is>
          <t>NULL</t>
        </is>
      </c>
      <c r="C1588" s="0" t="inlineStr">
        <is>
          <t>NULL</t>
        </is>
      </c>
      <c r="D1588" s="0" t="inlineStr">
        <is>
          <t>NULL</t>
        </is>
      </c>
      <c r="E1588" s="0" t="inlineStr">
        <is>
          <t>NULL</t>
        </is>
      </c>
      <c r="F1588" s="0" t="inlineStr">
        <is>
          <t>NULL</t>
        </is>
      </c>
      <c r="G1588" s="0" t="inlineStr">
        <is>
          <t>NULL</t>
        </is>
      </c>
      <c r="H1588" s="0" t="inlineStr">
        <is>
          <t>NULL</t>
        </is>
      </c>
      <c r="I1588" s="0" t="inlineStr">
        <is>
          <t>NULL</t>
        </is>
      </c>
      <c r="J1588" s="0" t="inlineStr">
        <is>
          <t>NULL</t>
        </is>
      </c>
      <c r="K1588" s="0" t="inlineStr">
        <is>
          <t>no,len不存在</t>
        </is>
      </c>
    </row>
    <row r="1589">
      <c r="B1589" s="0" t="inlineStr">
        <is>
          <t>NULL</t>
        </is>
      </c>
      <c r="C1589" s="0" t="inlineStr">
        <is>
          <t>NULL</t>
        </is>
      </c>
      <c r="D1589" s="0" t="inlineStr">
        <is>
          <t>NULL</t>
        </is>
      </c>
      <c r="E1589" s="0" t="inlineStr">
        <is>
          <t>NULL</t>
        </is>
      </c>
      <c r="F1589" s="0" t="inlineStr">
        <is>
          <t>NULL</t>
        </is>
      </c>
      <c r="G1589" s="0" t="inlineStr">
        <is>
          <t>NULL</t>
        </is>
      </c>
      <c r="H1589" s="0" t="inlineStr">
        <is>
          <t>NULL</t>
        </is>
      </c>
      <c r="I1589" s="0" t="inlineStr">
        <is>
          <t>NULL</t>
        </is>
      </c>
      <c r="J1589" s="0" t="inlineStr">
        <is>
          <t>NULL</t>
        </is>
      </c>
      <c r="K1589" s="0" t="inlineStr">
        <is>
          <t>YES! 	 c_dtoffset_1列源备映射正确，源端为datetimeoffset None位	期望更改为datetimeoffset(n)	实际备端为datetimeoffset None位</t>
        </is>
      </c>
    </row>
    <row r="1590">
      <c r="B1590" s="0" t="inlineStr">
        <is>
          <t>NULL</t>
        </is>
      </c>
      <c r="C1590" s="0" t="inlineStr">
        <is>
          <t>NULL</t>
        </is>
      </c>
      <c r="D1590" s="0" t="inlineStr">
        <is>
          <t>NULL</t>
        </is>
      </c>
      <c r="E1590" s="0" t="inlineStr">
        <is>
          <t>NULL</t>
        </is>
      </c>
      <c r="F1590" s="0" t="inlineStr">
        <is>
          <t>NULL</t>
        </is>
      </c>
      <c r="G1590" s="0" t="inlineStr">
        <is>
          <t>NULL</t>
        </is>
      </c>
      <c r="H1590" s="0" t="inlineStr">
        <is>
          <t>NULL</t>
        </is>
      </c>
      <c r="I1590" s="0" t="inlineStr">
        <is>
          <t>NULL</t>
        </is>
      </c>
      <c r="J1590" s="0" t="inlineStr">
        <is>
          <t>NULL</t>
        </is>
      </c>
      <c r="K1590" s="0" t="inlineStr">
        <is>
          <t>YES! 	 c_dtoffset_2列源备映射正确，源端为datetimeoffset None位	期望更改为datetimeoffset(n)	实际备端为datetimeoffset None位</t>
        </is>
      </c>
    </row>
    <row r="1591">
      <c r="B1591" s="0" t="inlineStr">
        <is>
          <t>NULL</t>
        </is>
      </c>
      <c r="C1591" s="0" t="inlineStr">
        <is>
          <t>NULL</t>
        </is>
      </c>
      <c r="D1591" s="0" t="inlineStr">
        <is>
          <t>NULL</t>
        </is>
      </c>
      <c r="E1591" s="0" t="inlineStr">
        <is>
          <t>NULL</t>
        </is>
      </c>
      <c r="F1591" s="0" t="inlineStr">
        <is>
          <t>NULL</t>
        </is>
      </c>
      <c r="G1591" s="0" t="inlineStr">
        <is>
          <t>NULL</t>
        </is>
      </c>
      <c r="H1591" s="0" t="inlineStr">
        <is>
          <t>NULL</t>
        </is>
      </c>
      <c r="I1591" s="0" t="inlineStr">
        <is>
          <t>NULL</t>
        </is>
      </c>
      <c r="J1591" s="0" t="inlineStr">
        <is>
          <t>NULL</t>
        </is>
      </c>
      <c r="K1591" s="0" t="inlineStr">
        <is>
          <t>YES! 	 c_dtoffset_3列源备映射正确，源端为datetimeoffset None位	期望更改为datetimeoffset(n)	实际备端为datetimeoffset None位</t>
        </is>
      </c>
    </row>
    <row r="1592">
      <c r="B1592" s="0" t="inlineStr">
        <is>
          <t>NULL</t>
        </is>
      </c>
      <c r="C1592" s="0" t="inlineStr">
        <is>
          <t>NULL</t>
        </is>
      </c>
      <c r="D1592" s="0" t="inlineStr">
        <is>
          <t>NULL</t>
        </is>
      </c>
      <c r="E1592" s="0" t="inlineStr">
        <is>
          <t>NULL</t>
        </is>
      </c>
      <c r="F1592" s="0" t="inlineStr">
        <is>
          <t>NULL</t>
        </is>
      </c>
      <c r="G1592" s="0" t="inlineStr">
        <is>
          <t>NULL</t>
        </is>
      </c>
      <c r="H1592" s="0" t="inlineStr">
        <is>
          <t>NULL</t>
        </is>
      </c>
      <c r="I1592" s="0" t="inlineStr">
        <is>
          <t>NULL</t>
        </is>
      </c>
      <c r="J1592" s="0" t="inlineStr">
        <is>
          <t>NULL</t>
        </is>
      </c>
      <c r="K1592" s="0" t="inlineStr">
        <is>
          <t>YES! 	 c_dtoffset_4列源备映射正确，源端为datetimeoffset None位	期望更改为datetimeoffset(n)	实际备端为datetimeoffset None位</t>
        </is>
      </c>
    </row>
    <row r="1593">
      <c r="B1593" s="0" t="inlineStr">
        <is>
          <t>NULL</t>
        </is>
      </c>
      <c r="C1593" s="0" t="inlineStr">
        <is>
          <t>NULL</t>
        </is>
      </c>
      <c r="D1593" s="0" t="inlineStr">
        <is>
          <t>NULL</t>
        </is>
      </c>
      <c r="E1593" s="0" t="inlineStr">
        <is>
          <t>NULL</t>
        </is>
      </c>
      <c r="F1593" s="0" t="inlineStr">
        <is>
          <t>NULL</t>
        </is>
      </c>
      <c r="G1593" s="0" t="inlineStr">
        <is>
          <t>NULL</t>
        </is>
      </c>
      <c r="H1593" s="0" t="inlineStr">
        <is>
          <t>NULL</t>
        </is>
      </c>
      <c r="I1593" s="0" t="inlineStr">
        <is>
          <t>NULL</t>
        </is>
      </c>
      <c r="J1593" s="0" t="inlineStr">
        <is>
          <t>NULL</t>
        </is>
      </c>
      <c r="K1593" s="0" t="inlineStr">
        <is>
          <t>YES! 	 c_dtoffset_5列源备映射正确，源端为datetimeoffset None位	期望更改为datetimeoffset(n)	实际备端为datetimeoffset None位</t>
        </is>
      </c>
    </row>
    <row r="1594">
      <c r="B1594" s="0" t="inlineStr">
        <is>
          <t>NULL</t>
        </is>
      </c>
      <c r="C1594" s="0" t="inlineStr">
        <is>
          <t>NULL</t>
        </is>
      </c>
      <c r="D1594" s="0" t="inlineStr">
        <is>
          <t>NULL</t>
        </is>
      </c>
      <c r="E1594" s="0" t="inlineStr">
        <is>
          <t>NULL</t>
        </is>
      </c>
      <c r="F1594" s="0" t="inlineStr">
        <is>
          <t>NULL</t>
        </is>
      </c>
      <c r="G1594" s="0" t="inlineStr">
        <is>
          <t>NULL</t>
        </is>
      </c>
      <c r="H1594" s="0" t="inlineStr">
        <is>
          <t>NULL</t>
        </is>
      </c>
      <c r="I1594" s="0" t="inlineStr">
        <is>
          <t>NULL</t>
        </is>
      </c>
      <c r="J1594" s="0" t="inlineStr">
        <is>
          <t>NULL</t>
        </is>
      </c>
      <c r="K1594" s="0" t="inlineStr">
        <is>
          <t>YES! 	 c_dtoffset_6列源备映射正确，源端为datetimeoffset None位	期望更改为datetimeoffset(n)	实际备端为datetimeoffset None位</t>
        </is>
      </c>
    </row>
    <row r="1595">
      <c r="B1595" s="0" t="inlineStr">
        <is>
          <t>NULL</t>
        </is>
      </c>
      <c r="C1595" s="0" t="inlineStr">
        <is>
          <t>NULL</t>
        </is>
      </c>
      <c r="D1595" s="0" t="inlineStr">
        <is>
          <t>NULL</t>
        </is>
      </c>
      <c r="E1595" s="0" t="inlineStr">
        <is>
          <t>NULL</t>
        </is>
      </c>
      <c r="F1595" s="0" t="inlineStr">
        <is>
          <t>NULL</t>
        </is>
      </c>
      <c r="G1595" s="0" t="inlineStr">
        <is>
          <t>NULL</t>
        </is>
      </c>
      <c r="H1595" s="0" t="inlineStr">
        <is>
          <t>NULL</t>
        </is>
      </c>
      <c r="I1595" s="0" t="inlineStr">
        <is>
          <t>NULL</t>
        </is>
      </c>
      <c r="J1595" s="0" t="inlineStr">
        <is>
          <t>NULL</t>
        </is>
      </c>
      <c r="K1595" s="0" t="inlineStr">
        <is>
          <t>YES! 	 c_dtoffset列源备映射正确，源端为datetimeoffset None位	期望更改为datetimeoffset(n)	实际备端为datetimeoffset None位</t>
        </is>
      </c>
    </row>
    <row r="1596">
      <c r="A1596" s="0" t="inlineStr">
        <is>
          <t>info_varbinary_max_dml_single_nopk_drp</t>
        </is>
      </c>
      <c r="K1596" s="0" t="inlineStr">
        <is>
          <t>[0;34m info_varbinary_max_dml_single_nopk_drp [0m源备字段数相同，源端字段：4 	备端字段4</t>
        </is>
      </c>
      <c r="W1596" s="0" t="inlineStr">
        <is>
          <t>YES 源备无差异</t>
        </is>
      </c>
      <c r="X1596" s="0">
        <f>A1596</f>
        <v/>
      </c>
    </row>
    <row r="1597">
      <c r="B1597" s="0" t="inlineStr">
        <is>
          <t>NULL</t>
        </is>
      </c>
      <c r="C1597" s="0" t="inlineStr">
        <is>
          <t>NULL</t>
        </is>
      </c>
      <c r="D1597" s="0" t="inlineStr">
        <is>
          <t>NULL</t>
        </is>
      </c>
      <c r="E1597" s="0" t="inlineStr">
        <is>
          <t>NULL</t>
        </is>
      </c>
      <c r="F1597" s="0" t="inlineStr">
        <is>
          <t>NULL</t>
        </is>
      </c>
      <c r="G1597" s="0" t="inlineStr">
        <is>
          <t>NULL</t>
        </is>
      </c>
      <c r="H1597" s="0" t="inlineStr">
        <is>
          <t>NULL</t>
        </is>
      </c>
      <c r="I1597" s="0" t="inlineStr">
        <is>
          <t>NULL</t>
        </is>
      </c>
      <c r="J1597" s="0" t="inlineStr">
        <is>
          <t>NULL</t>
        </is>
      </c>
      <c r="K1597" s="0" t="inlineStr">
        <is>
          <t>YES! 	 id列源备映射正确，源端为int None位	期望更改为int	实际备端为int None位</t>
        </is>
      </c>
    </row>
    <row r="1598">
      <c r="B1598" s="0" t="inlineStr">
        <is>
          <t>NULL</t>
        </is>
      </c>
      <c r="C1598" s="0" t="inlineStr">
        <is>
          <t>NULL</t>
        </is>
      </c>
      <c r="D1598" s="0" t="inlineStr">
        <is>
          <t>NULL</t>
        </is>
      </c>
      <c r="E1598" s="0" t="inlineStr">
        <is>
          <t>NULL</t>
        </is>
      </c>
      <c r="F1598" s="0" t="inlineStr">
        <is>
          <t>NULL</t>
        </is>
      </c>
      <c r="G1598" s="0" t="inlineStr">
        <is>
          <t>NULL</t>
        </is>
      </c>
      <c r="H1598" s="0" t="inlineStr">
        <is>
          <t>NULL</t>
        </is>
      </c>
      <c r="I1598" s="0" t="inlineStr">
        <is>
          <t>NULL</t>
        </is>
      </c>
      <c r="J1598" s="0" t="inlineStr">
        <is>
          <t>NULL</t>
        </is>
      </c>
      <c r="K1598" s="0" t="inlineStr">
        <is>
          <t>YES! 	 c_varbinary_max1列源备映射正确，源端为varbinary -1位	期望更改为varbinary(n)	实际备端为varbinary -1位</t>
        </is>
      </c>
    </row>
    <row r="1599">
      <c r="B1599" s="0" t="inlineStr">
        <is>
          <t>NULL</t>
        </is>
      </c>
      <c r="C1599" s="0" t="inlineStr">
        <is>
          <t>NULL</t>
        </is>
      </c>
      <c r="D1599" s="0" t="inlineStr">
        <is>
          <t>NULL</t>
        </is>
      </c>
      <c r="E1599" s="0" t="inlineStr">
        <is>
          <t>NULL</t>
        </is>
      </c>
      <c r="F1599" s="0" t="inlineStr">
        <is>
          <t>NULL</t>
        </is>
      </c>
      <c r="G1599" s="0" t="inlineStr">
        <is>
          <t>NULL</t>
        </is>
      </c>
      <c r="H1599" s="0" t="inlineStr">
        <is>
          <t>NULL</t>
        </is>
      </c>
      <c r="I1599" s="0" t="inlineStr">
        <is>
          <t>NULL</t>
        </is>
      </c>
      <c r="J1599" s="0" t="inlineStr">
        <is>
          <t>NULL</t>
        </is>
      </c>
      <c r="K1599" s="0" t="inlineStr">
        <is>
          <t>YES! 	 c_varbinary_max2列源备映射正确，源端为varbinary -1位	期望更改为varbinary(n)	实际备端为varbinary -1位</t>
        </is>
      </c>
    </row>
    <row r="1600">
      <c r="B1600" s="0" t="inlineStr">
        <is>
          <t>NULL</t>
        </is>
      </c>
      <c r="C1600" s="0" t="inlineStr">
        <is>
          <t>NULL</t>
        </is>
      </c>
      <c r="D1600" s="0" t="inlineStr">
        <is>
          <t>NULL</t>
        </is>
      </c>
      <c r="E1600" s="0" t="inlineStr">
        <is>
          <t>NULL</t>
        </is>
      </c>
      <c r="F1600" s="0" t="inlineStr">
        <is>
          <t>NULL</t>
        </is>
      </c>
      <c r="G1600" s="0" t="inlineStr">
        <is>
          <t>NULL</t>
        </is>
      </c>
      <c r="H1600" s="0" t="inlineStr">
        <is>
          <t>NULL</t>
        </is>
      </c>
      <c r="I1600" s="0" t="inlineStr">
        <is>
          <t>NULL</t>
        </is>
      </c>
      <c r="J1600" s="0" t="inlineStr">
        <is>
          <t>NULL</t>
        </is>
      </c>
      <c r="K1600" s="0" t="inlineStr">
        <is>
          <t>YES! 	 c_image3列源备映射正确，源端为image 2147483647位	期望更改为image	实际备端为image 2147483647位</t>
        </is>
      </c>
    </row>
    <row r="1601">
      <c r="K1601" s="0" t="inlineStr">
        <is>
          <t>~ 空表</t>
        </is>
      </c>
    </row>
    <row r="1602">
      <c r="A1602" s="0" t="inlineStr">
        <is>
          <t>info_varbinary_dml_single_pk_irp</t>
        </is>
      </c>
      <c r="K1602" s="0" t="inlineStr">
        <is>
          <t>[0;34m info_varbinary_dml_single_pk_irp [0m源备字段数相同，源端字段：4 	备端字段4</t>
        </is>
      </c>
      <c r="W1602" s="0" t="inlineStr">
        <is>
          <t>YES 源备无差异</t>
        </is>
      </c>
      <c r="X1602" s="0">
        <f>A1602</f>
        <v/>
      </c>
    </row>
    <row r="1603">
      <c r="B1603" s="0" t="inlineStr">
        <is>
          <t>YES</t>
        </is>
      </c>
      <c r="C1603" s="0" t="inlineStr">
        <is>
          <t>NULL</t>
        </is>
      </c>
      <c r="D1603" s="0" t="inlineStr">
        <is>
          <t>NULL</t>
        </is>
      </c>
      <c r="E1603" s="0" t="inlineStr">
        <is>
          <t>NULL</t>
        </is>
      </c>
      <c r="F1603" s="0" t="inlineStr">
        <is>
          <t>NULL</t>
        </is>
      </c>
      <c r="G1603" s="0" t="inlineStr">
        <is>
          <t>NULL</t>
        </is>
      </c>
      <c r="H1603" s="0" t="inlineStr">
        <is>
          <t>NULL</t>
        </is>
      </c>
      <c r="I1603" s="0" t="inlineStr">
        <is>
          <t>YES!PK__info_var__3213E83F517D3015</t>
        </is>
      </c>
      <c r="J1603" s="0" t="inlineStr">
        <is>
          <t>YES! 主键相关索引</t>
        </is>
      </c>
      <c r="K1603" s="0" t="inlineStr">
        <is>
          <t>YES! 	 id列源备映射正确，源端为int None位	期望更改为int	实际备端为int None位</t>
        </is>
      </c>
    </row>
    <row r="1604">
      <c r="B1604" s="0" t="inlineStr">
        <is>
          <t>NULL</t>
        </is>
      </c>
      <c r="C1604" s="0" t="inlineStr">
        <is>
          <t>NULL</t>
        </is>
      </c>
      <c r="D1604" s="0" t="inlineStr">
        <is>
          <t>NULL</t>
        </is>
      </c>
      <c r="E1604" s="0" t="inlineStr">
        <is>
          <t>NULL</t>
        </is>
      </c>
      <c r="F1604" s="0" t="inlineStr">
        <is>
          <t>NULL</t>
        </is>
      </c>
      <c r="G1604" s="0" t="inlineStr">
        <is>
          <t>NULL</t>
        </is>
      </c>
      <c r="H1604" s="0" t="inlineStr">
        <is>
          <t>NULL</t>
        </is>
      </c>
      <c r="I1604" s="0" t="inlineStr">
        <is>
          <t>NULL</t>
        </is>
      </c>
      <c r="J1604" s="0" t="inlineStr">
        <is>
          <t>NULL</t>
        </is>
      </c>
      <c r="K1604" s="0" t="inlineStr">
        <is>
          <t>YES! 	 c_varbinary列源备映射正确，源端为varbinary 1位	期望更改为varbinary(n)	实际备端为varbinary 1位</t>
        </is>
      </c>
    </row>
    <row r="1605">
      <c r="B1605" s="0" t="inlineStr">
        <is>
          <t>NULL</t>
        </is>
      </c>
      <c r="C1605" s="0" t="inlineStr">
        <is>
          <t>NULL</t>
        </is>
      </c>
      <c r="D1605" s="0" t="inlineStr">
        <is>
          <t>NULL</t>
        </is>
      </c>
      <c r="E1605" s="0" t="inlineStr">
        <is>
          <t>NULL</t>
        </is>
      </c>
      <c r="F1605" s="0" t="inlineStr">
        <is>
          <t>NULL</t>
        </is>
      </c>
      <c r="G1605" s="0" t="inlineStr">
        <is>
          <t>NULL</t>
        </is>
      </c>
      <c r="H1605" s="0" t="inlineStr">
        <is>
          <t>NULL</t>
        </is>
      </c>
      <c r="I1605" s="0" t="inlineStr">
        <is>
          <t>NULL</t>
        </is>
      </c>
      <c r="J1605" s="0" t="inlineStr">
        <is>
          <t>NULL</t>
        </is>
      </c>
      <c r="K1605" s="0" t="inlineStr">
        <is>
          <t>YES! 	 c_varbinary_100列源备映射正确，源端为varbinary 100位	期望更改为varbinary(n)	实际备端为varbinary 100位</t>
        </is>
      </c>
    </row>
    <row r="1606">
      <c r="B1606" s="0" t="inlineStr">
        <is>
          <t>NULL</t>
        </is>
      </c>
      <c r="C1606" s="0" t="inlineStr">
        <is>
          <t>NULL</t>
        </is>
      </c>
      <c r="D1606" s="0" t="inlineStr">
        <is>
          <t>NULL</t>
        </is>
      </c>
      <c r="E1606" s="0" t="inlineStr">
        <is>
          <t>NULL</t>
        </is>
      </c>
      <c r="F1606" s="0" t="inlineStr">
        <is>
          <t>NULL</t>
        </is>
      </c>
      <c r="G1606" s="0" t="inlineStr">
        <is>
          <t>NULL</t>
        </is>
      </c>
      <c r="H1606" s="0" t="inlineStr">
        <is>
          <t>NULL</t>
        </is>
      </c>
      <c r="I1606" s="0" t="inlineStr">
        <is>
          <t>NULL</t>
        </is>
      </c>
      <c r="J1606" s="0" t="inlineStr">
        <is>
          <t>NULL</t>
        </is>
      </c>
      <c r="K1606" s="0" t="inlineStr">
        <is>
          <t>YES! 	 c_varbinary_8000列源备映射正确，源端为varbinary 8000位	期望更改为varbinary(n)	实际备端为varbinary 8000位</t>
        </is>
      </c>
    </row>
    <row r="1607">
      <c r="A1607" s="0" t="inlineStr">
        <is>
          <t>info_datetimeoffset_dml_single_nopk</t>
        </is>
      </c>
      <c r="K1607" s="0" t="inlineStr">
        <is>
          <t>[0;34m info_datetimeoffset_dml_single_nopk [0m源备字段数相同，源端字段：9 	备端字段9</t>
        </is>
      </c>
      <c r="W1607" s="0" t="inlineStr">
        <is>
          <t>YES 源备无差异</t>
        </is>
      </c>
      <c r="X1607" s="0">
        <f>A1607</f>
        <v/>
      </c>
    </row>
    <row r="1608">
      <c r="B1608" s="0" t="inlineStr">
        <is>
          <t>NULL</t>
        </is>
      </c>
      <c r="C1608" s="0" t="inlineStr">
        <is>
          <t>NULL</t>
        </is>
      </c>
      <c r="D1608" s="0" t="inlineStr">
        <is>
          <t>NULL</t>
        </is>
      </c>
      <c r="E1608" s="0" t="inlineStr">
        <is>
          <t>NULL</t>
        </is>
      </c>
      <c r="F1608" s="0" t="inlineStr">
        <is>
          <t>NULL</t>
        </is>
      </c>
      <c r="G1608" s="0" t="inlineStr">
        <is>
          <t>NULL</t>
        </is>
      </c>
      <c r="H1608" s="0" t="inlineStr">
        <is>
          <t>NULL</t>
        </is>
      </c>
      <c r="I1608" s="0" t="inlineStr">
        <is>
          <t>NULL</t>
        </is>
      </c>
      <c r="J1608" s="0" t="inlineStr">
        <is>
          <t>NULL</t>
        </is>
      </c>
      <c r="K1608" s="0" t="inlineStr">
        <is>
          <t>YES! 	 id列源备映射正确，源端为int None位	期望更改为int	实际备端为int None位</t>
        </is>
      </c>
    </row>
    <row r="1609">
      <c r="B1609" s="0" t="inlineStr">
        <is>
          <t>NULL</t>
        </is>
      </c>
      <c r="C1609" s="0" t="inlineStr">
        <is>
          <t>NULL</t>
        </is>
      </c>
      <c r="D1609" s="0" t="inlineStr">
        <is>
          <t>NULL</t>
        </is>
      </c>
      <c r="E1609" s="0" t="inlineStr">
        <is>
          <t>NULL</t>
        </is>
      </c>
      <c r="F1609" s="0" t="inlineStr">
        <is>
          <t>NULL</t>
        </is>
      </c>
      <c r="G1609" s="0" t="inlineStr">
        <is>
          <t>NULL</t>
        </is>
      </c>
      <c r="H1609" s="0" t="inlineStr">
        <is>
          <t>NULL</t>
        </is>
      </c>
      <c r="I1609" s="0" t="inlineStr">
        <is>
          <t>NULL</t>
        </is>
      </c>
      <c r="J1609" s="0" t="inlineStr">
        <is>
          <t>NULL</t>
        </is>
      </c>
      <c r="K1609" s="0" t="inlineStr">
        <is>
          <t>no,len不存在</t>
        </is>
      </c>
    </row>
    <row r="1610">
      <c r="B1610" s="0" t="inlineStr">
        <is>
          <t>NULL</t>
        </is>
      </c>
      <c r="C1610" s="0" t="inlineStr">
        <is>
          <t>NULL</t>
        </is>
      </c>
      <c r="D1610" s="0" t="inlineStr">
        <is>
          <t>NULL</t>
        </is>
      </c>
      <c r="E1610" s="0" t="inlineStr">
        <is>
          <t>NULL</t>
        </is>
      </c>
      <c r="F1610" s="0" t="inlineStr">
        <is>
          <t>NULL</t>
        </is>
      </c>
      <c r="G1610" s="0" t="inlineStr">
        <is>
          <t>NULL</t>
        </is>
      </c>
      <c r="H1610" s="0" t="inlineStr">
        <is>
          <t>NULL</t>
        </is>
      </c>
      <c r="I1610" s="0" t="inlineStr">
        <is>
          <t>NULL</t>
        </is>
      </c>
      <c r="J1610" s="0" t="inlineStr">
        <is>
          <t>NULL</t>
        </is>
      </c>
      <c r="K1610" s="0" t="inlineStr">
        <is>
          <t>YES! 	 c_dtoffset_1列源备映射正确，源端为datetimeoffset None位	期望更改为datetimeoffset(n)	实际备端为datetimeoffset None位</t>
        </is>
      </c>
    </row>
    <row r="1611">
      <c r="B1611" s="0" t="inlineStr">
        <is>
          <t>NULL</t>
        </is>
      </c>
      <c r="C1611" s="0" t="inlineStr">
        <is>
          <t>NULL</t>
        </is>
      </c>
      <c r="D1611" s="0" t="inlineStr">
        <is>
          <t>NULL</t>
        </is>
      </c>
      <c r="E1611" s="0" t="inlineStr">
        <is>
          <t>NULL</t>
        </is>
      </c>
      <c r="F1611" s="0" t="inlineStr">
        <is>
          <t>NULL</t>
        </is>
      </c>
      <c r="G1611" s="0" t="inlineStr">
        <is>
          <t>NULL</t>
        </is>
      </c>
      <c r="H1611" s="0" t="inlineStr">
        <is>
          <t>NULL</t>
        </is>
      </c>
      <c r="I1611" s="0" t="inlineStr">
        <is>
          <t>NULL</t>
        </is>
      </c>
      <c r="J1611" s="0" t="inlineStr">
        <is>
          <t>NULL</t>
        </is>
      </c>
      <c r="K1611" s="0" t="inlineStr">
        <is>
          <t>YES! 	 c_dtoffset_2列源备映射正确，源端为datetimeoffset None位	期望更改为datetimeoffset(n)	实际备端为datetimeoffset None位</t>
        </is>
      </c>
    </row>
    <row r="1612">
      <c r="B1612" s="0" t="inlineStr">
        <is>
          <t>NULL</t>
        </is>
      </c>
      <c r="C1612" s="0" t="inlineStr">
        <is>
          <t>NULL</t>
        </is>
      </c>
      <c r="D1612" s="0" t="inlineStr">
        <is>
          <t>NULL</t>
        </is>
      </c>
      <c r="E1612" s="0" t="inlineStr">
        <is>
          <t>NULL</t>
        </is>
      </c>
      <c r="F1612" s="0" t="inlineStr">
        <is>
          <t>NULL</t>
        </is>
      </c>
      <c r="G1612" s="0" t="inlineStr">
        <is>
          <t>NULL</t>
        </is>
      </c>
      <c r="H1612" s="0" t="inlineStr">
        <is>
          <t>NULL</t>
        </is>
      </c>
      <c r="I1612" s="0" t="inlineStr">
        <is>
          <t>NULL</t>
        </is>
      </c>
      <c r="J1612" s="0" t="inlineStr">
        <is>
          <t>NULL</t>
        </is>
      </c>
      <c r="K1612" s="0" t="inlineStr">
        <is>
          <t>YES! 	 c_dtoffset_3列源备映射正确，源端为datetimeoffset None位	期望更改为datetimeoffset(n)	实际备端为datetimeoffset None位</t>
        </is>
      </c>
    </row>
    <row r="1613">
      <c r="B1613" s="0" t="inlineStr">
        <is>
          <t>NULL</t>
        </is>
      </c>
      <c r="C1613" s="0" t="inlineStr">
        <is>
          <t>NULL</t>
        </is>
      </c>
      <c r="D1613" s="0" t="inlineStr">
        <is>
          <t>NULL</t>
        </is>
      </c>
      <c r="E1613" s="0" t="inlineStr">
        <is>
          <t>NULL</t>
        </is>
      </c>
      <c r="F1613" s="0" t="inlineStr">
        <is>
          <t>NULL</t>
        </is>
      </c>
      <c r="G1613" s="0" t="inlineStr">
        <is>
          <t>NULL</t>
        </is>
      </c>
      <c r="H1613" s="0" t="inlineStr">
        <is>
          <t>NULL</t>
        </is>
      </c>
      <c r="I1613" s="0" t="inlineStr">
        <is>
          <t>NULL</t>
        </is>
      </c>
      <c r="J1613" s="0" t="inlineStr">
        <is>
          <t>NULL</t>
        </is>
      </c>
      <c r="K1613" s="0" t="inlineStr">
        <is>
          <t>YES! 	 c_dtoffset_4列源备映射正确，源端为datetimeoffset None位	期望更改为datetimeoffset(n)	实际备端为datetimeoffset None位</t>
        </is>
      </c>
    </row>
    <row r="1614">
      <c r="B1614" s="0" t="inlineStr">
        <is>
          <t>NULL</t>
        </is>
      </c>
      <c r="C1614" s="0" t="inlineStr">
        <is>
          <t>NULL</t>
        </is>
      </c>
      <c r="D1614" s="0" t="inlineStr">
        <is>
          <t>NULL</t>
        </is>
      </c>
      <c r="E1614" s="0" t="inlineStr">
        <is>
          <t>NULL</t>
        </is>
      </c>
      <c r="F1614" s="0" t="inlineStr">
        <is>
          <t>NULL</t>
        </is>
      </c>
      <c r="G1614" s="0" t="inlineStr">
        <is>
          <t>NULL</t>
        </is>
      </c>
      <c r="H1614" s="0" t="inlineStr">
        <is>
          <t>NULL</t>
        </is>
      </c>
      <c r="I1614" s="0" t="inlineStr">
        <is>
          <t>NULL</t>
        </is>
      </c>
      <c r="J1614" s="0" t="inlineStr">
        <is>
          <t>NULL</t>
        </is>
      </c>
      <c r="K1614" s="0" t="inlineStr">
        <is>
          <t>YES! 	 c_dtoffset_5列源备映射正确，源端为datetimeoffset None位	期望更改为datetimeoffset(n)	实际备端为datetimeoffset None位</t>
        </is>
      </c>
    </row>
    <row r="1615">
      <c r="B1615" s="0" t="inlineStr">
        <is>
          <t>NULL</t>
        </is>
      </c>
      <c r="C1615" s="0" t="inlineStr">
        <is>
          <t>NULL</t>
        </is>
      </c>
      <c r="D1615" s="0" t="inlineStr">
        <is>
          <t>NULL</t>
        </is>
      </c>
      <c r="E1615" s="0" t="inlineStr">
        <is>
          <t>NULL</t>
        </is>
      </c>
      <c r="F1615" s="0" t="inlineStr">
        <is>
          <t>NULL</t>
        </is>
      </c>
      <c r="G1615" s="0" t="inlineStr">
        <is>
          <t>NULL</t>
        </is>
      </c>
      <c r="H1615" s="0" t="inlineStr">
        <is>
          <t>NULL</t>
        </is>
      </c>
      <c r="I1615" s="0" t="inlineStr">
        <is>
          <t>NULL</t>
        </is>
      </c>
      <c r="J1615" s="0" t="inlineStr">
        <is>
          <t>NULL</t>
        </is>
      </c>
      <c r="K1615" s="0" t="inlineStr">
        <is>
          <t>YES! 	 c_dtoffset_6列源备映射正确，源端为datetimeoffset None位	期望更改为datetimeoffset(n)	实际备端为datetimeoffset None位</t>
        </is>
      </c>
    </row>
    <row r="1616">
      <c r="B1616" s="0" t="inlineStr">
        <is>
          <t>NULL</t>
        </is>
      </c>
      <c r="C1616" s="0" t="inlineStr">
        <is>
          <t>NULL</t>
        </is>
      </c>
      <c r="D1616" s="0" t="inlineStr">
        <is>
          <t>NULL</t>
        </is>
      </c>
      <c r="E1616" s="0" t="inlineStr">
        <is>
          <t>NULL</t>
        </is>
      </c>
      <c r="F1616" s="0" t="inlineStr">
        <is>
          <t>NULL</t>
        </is>
      </c>
      <c r="G1616" s="0" t="inlineStr">
        <is>
          <t>NULL</t>
        </is>
      </c>
      <c r="H1616" s="0" t="inlineStr">
        <is>
          <t>NULL</t>
        </is>
      </c>
      <c r="I1616" s="0" t="inlineStr">
        <is>
          <t>NULL</t>
        </is>
      </c>
      <c r="J1616" s="0" t="inlineStr">
        <is>
          <t>NULL</t>
        </is>
      </c>
      <c r="K1616" s="0" t="inlineStr">
        <is>
          <t>YES! 	 c_dtoffset列源备映射正确，源端为datetimeoffset None位	期望更改为datetimeoffset(n)	实际备端为datetimeoffset None位</t>
        </is>
      </c>
    </row>
    <row r="1617">
      <c r="A1617" s="0" t="inlineStr">
        <is>
          <t>info_varcharmax_dml_batch1_pk_drp2</t>
        </is>
      </c>
      <c r="K1617" s="0" t="inlineStr">
        <is>
          <t>[0;34m info_varcharmax_dml_batch1_pk_drp2 [0m源备字段数相同，源端字段：3 	备端字段3</t>
        </is>
      </c>
      <c r="W1617" s="0" t="inlineStr">
        <is>
          <t>YES 源备无差异</t>
        </is>
      </c>
      <c r="X1617" s="0">
        <f>A1617</f>
        <v/>
      </c>
    </row>
    <row r="1618">
      <c r="B1618" s="0" t="inlineStr">
        <is>
          <t>YES</t>
        </is>
      </c>
      <c r="C1618" s="0" t="inlineStr">
        <is>
          <t>NULL</t>
        </is>
      </c>
      <c r="D1618" s="0" t="inlineStr">
        <is>
          <t>NULL</t>
        </is>
      </c>
      <c r="E1618" s="0" t="inlineStr">
        <is>
          <t>NULL</t>
        </is>
      </c>
      <c r="F1618" s="0" t="inlineStr">
        <is>
          <t>NULL</t>
        </is>
      </c>
      <c r="G1618" s="0" t="inlineStr">
        <is>
          <t>NULL</t>
        </is>
      </c>
      <c r="H1618" s="0" t="inlineStr">
        <is>
          <t>NULL</t>
        </is>
      </c>
      <c r="I1618" s="0" t="inlineStr">
        <is>
          <t>YES!PK__info_var__3213E83FD6AC8B5C</t>
        </is>
      </c>
      <c r="J1618" s="0" t="inlineStr">
        <is>
          <t>YES! 主键相关索引</t>
        </is>
      </c>
      <c r="K1618" s="0" t="inlineStr">
        <is>
          <t>YES! 	 id列源备映射正确，源端为int None位	期望更改为int	实际备端为int None位</t>
        </is>
      </c>
    </row>
    <row r="1619">
      <c r="B1619" s="0" t="inlineStr">
        <is>
          <t>NULL</t>
        </is>
      </c>
      <c r="C1619" s="0" t="inlineStr">
        <is>
          <t>NULL</t>
        </is>
      </c>
      <c r="D1619" s="0" t="inlineStr">
        <is>
          <t>NULL</t>
        </is>
      </c>
      <c r="E1619" s="0" t="inlineStr">
        <is>
          <t>NULL</t>
        </is>
      </c>
      <c r="F1619" s="0" t="inlineStr">
        <is>
          <t>NULL</t>
        </is>
      </c>
      <c r="G1619" s="0" t="inlineStr">
        <is>
          <t>NULL</t>
        </is>
      </c>
      <c r="H1619" s="0" t="inlineStr">
        <is>
          <t>NULL</t>
        </is>
      </c>
      <c r="I1619" s="0" t="inlineStr">
        <is>
          <t>NULL</t>
        </is>
      </c>
      <c r="J1619" s="0" t="inlineStr">
        <is>
          <t>NULL</t>
        </is>
      </c>
      <c r="K1619" s="0" t="inlineStr">
        <is>
          <t>YES! 	 c_varchar_max列源备映射正确，源端为varchar -1位	期望更改为varchar(n)	实际备端为varchar -1位</t>
        </is>
      </c>
    </row>
    <row r="1620">
      <c r="B1620" s="0" t="inlineStr">
        <is>
          <t>NULL</t>
        </is>
      </c>
      <c r="C1620" s="0" t="inlineStr">
        <is>
          <t>NULL</t>
        </is>
      </c>
      <c r="D1620" s="0" t="inlineStr">
        <is>
          <t>NULL</t>
        </is>
      </c>
      <c r="E1620" s="0" t="inlineStr">
        <is>
          <t>NULL</t>
        </is>
      </c>
      <c r="F1620" s="0" t="inlineStr">
        <is>
          <t>NULL</t>
        </is>
      </c>
      <c r="G1620" s="0" t="inlineStr">
        <is>
          <t>NULL</t>
        </is>
      </c>
      <c r="H1620" s="0" t="inlineStr">
        <is>
          <t>NULL</t>
        </is>
      </c>
      <c r="I1620" s="0" t="inlineStr">
        <is>
          <t>NULL</t>
        </is>
      </c>
      <c r="J1620" s="0" t="inlineStr">
        <is>
          <t>NULL</t>
        </is>
      </c>
      <c r="K1620" s="0" t="inlineStr">
        <is>
          <t>YES! 	 c_nvarchar_max列源备映射正确，源端为nvarchar -1位	期望更改为nvarchar(n)	实际备端为nvarchar -1位</t>
        </is>
      </c>
    </row>
    <row r="1621">
      <c r="K1621" s="0" t="inlineStr">
        <is>
          <t>~ 空表</t>
        </is>
      </c>
    </row>
    <row r="1622">
      <c r="A1622" s="0" t="inlineStr">
        <is>
          <t>info_timestamp_dml_single_pk_drp</t>
        </is>
      </c>
      <c r="K1622" s="0" t="inlineStr">
        <is>
          <t>[0;34m info_timestamp_dml_single_pk_drp [0m源备字段数相同，源端字段：2 	备端字段2</t>
        </is>
      </c>
      <c r="W1622" s="0" t="inlineStr">
        <is>
          <t>YES 源备无差异</t>
        </is>
      </c>
      <c r="X1622" s="0">
        <f>A1622</f>
        <v/>
      </c>
    </row>
    <row r="1623">
      <c r="B1623" s="0" t="inlineStr">
        <is>
          <t>YES</t>
        </is>
      </c>
      <c r="C1623" s="0" t="inlineStr">
        <is>
          <t>NULL</t>
        </is>
      </c>
      <c r="D1623" s="0" t="inlineStr">
        <is>
          <t>NULL</t>
        </is>
      </c>
      <c r="E1623" s="0" t="inlineStr">
        <is>
          <t>NULL</t>
        </is>
      </c>
      <c r="F1623" s="0" t="inlineStr">
        <is>
          <t>NULL</t>
        </is>
      </c>
      <c r="G1623" s="0" t="inlineStr">
        <is>
          <t>NULL</t>
        </is>
      </c>
      <c r="H1623" s="0" t="inlineStr">
        <is>
          <t>NULL</t>
        </is>
      </c>
      <c r="I1623" s="0" t="inlineStr">
        <is>
          <t>YES!PK__info_tim__3213E83FED4B4672</t>
        </is>
      </c>
      <c r="J1623" s="0" t="inlineStr">
        <is>
          <t>YES! 主键相关索引</t>
        </is>
      </c>
      <c r="K1623" s="0" t="inlineStr">
        <is>
          <t>YES! 	 id列源备映射正确，源端为int None位	期望更改为int	实际备端为int None位</t>
        </is>
      </c>
    </row>
    <row r="1624">
      <c r="B1624" s="0" t="inlineStr">
        <is>
          <t>NULL</t>
        </is>
      </c>
      <c r="C1624" s="0" t="inlineStr">
        <is>
          <t>NULL</t>
        </is>
      </c>
      <c r="D1624" s="0" t="inlineStr">
        <is>
          <t>NULL</t>
        </is>
      </c>
      <c r="E1624" s="0" t="inlineStr">
        <is>
          <t>NULL</t>
        </is>
      </c>
      <c r="F1624" s="0" t="inlineStr">
        <is>
          <t>NULL</t>
        </is>
      </c>
      <c r="G1624" s="0" t="inlineStr">
        <is>
          <t>NULL</t>
        </is>
      </c>
      <c r="H1624" s="0" t="inlineStr">
        <is>
          <t>NULL</t>
        </is>
      </c>
      <c r="I1624" s="0" t="inlineStr">
        <is>
          <t>NULL</t>
        </is>
      </c>
      <c r="J1624" s="0" t="inlineStr">
        <is>
          <t>NULL</t>
        </is>
      </c>
      <c r="K1624" s="0" t="inlineStr">
        <is>
          <t>YES! 	 c_tiemstamp列源备映射正确，源端为timestamp None位	期望更改为timestamp	实际备端为timestamp None位</t>
        </is>
      </c>
    </row>
    <row r="1625">
      <c r="A1625" s="0" t="inlineStr">
        <is>
          <t>info_varbinary_dml_single_pk_urp</t>
        </is>
      </c>
      <c r="K1625" s="0" t="inlineStr">
        <is>
          <t>[0;34m info_varbinary_dml_single_pk_urp [0m源备字段数相同，源端字段：4 	备端字段4</t>
        </is>
      </c>
      <c r="W1625" s="0" t="inlineStr">
        <is>
          <t>YES 源备无差异</t>
        </is>
      </c>
      <c r="X1625" s="0">
        <f>A1625</f>
        <v/>
      </c>
    </row>
    <row r="1626">
      <c r="B1626" s="0" t="inlineStr">
        <is>
          <t>YES</t>
        </is>
      </c>
      <c r="C1626" s="0" t="inlineStr">
        <is>
          <t>NULL</t>
        </is>
      </c>
      <c r="D1626" s="0" t="inlineStr">
        <is>
          <t>NULL</t>
        </is>
      </c>
      <c r="E1626" s="0" t="inlineStr">
        <is>
          <t>NULL</t>
        </is>
      </c>
      <c r="F1626" s="0" t="inlineStr">
        <is>
          <t>NULL</t>
        </is>
      </c>
      <c r="G1626" s="0" t="inlineStr">
        <is>
          <t>NULL</t>
        </is>
      </c>
      <c r="H1626" s="0" t="inlineStr">
        <is>
          <t>NULL</t>
        </is>
      </c>
      <c r="I1626" s="0" t="inlineStr">
        <is>
          <t>YES!PK__info_var__3213E83FC68DCD0E</t>
        </is>
      </c>
      <c r="J1626" s="0" t="inlineStr">
        <is>
          <t>YES! 主键相关索引</t>
        </is>
      </c>
      <c r="K1626" s="0" t="inlineStr">
        <is>
          <t>YES! 	 id列源备映射正确，源端为int None位	期望更改为int	实际备端为int None位</t>
        </is>
      </c>
    </row>
    <row r="1627">
      <c r="B1627" s="0" t="inlineStr">
        <is>
          <t>NULL</t>
        </is>
      </c>
      <c r="C1627" s="0" t="inlineStr">
        <is>
          <t>NULL</t>
        </is>
      </c>
      <c r="D1627" s="0" t="inlineStr">
        <is>
          <t>NULL</t>
        </is>
      </c>
      <c r="E1627" s="0" t="inlineStr">
        <is>
          <t>NULL</t>
        </is>
      </c>
      <c r="F1627" s="0" t="inlineStr">
        <is>
          <t>NULL</t>
        </is>
      </c>
      <c r="G1627" s="0" t="inlineStr">
        <is>
          <t>NULL</t>
        </is>
      </c>
      <c r="H1627" s="0" t="inlineStr">
        <is>
          <t>NULL</t>
        </is>
      </c>
      <c r="I1627" s="0" t="inlineStr">
        <is>
          <t>NULL</t>
        </is>
      </c>
      <c r="J1627" s="0" t="inlineStr">
        <is>
          <t>NULL</t>
        </is>
      </c>
      <c r="K1627" s="0" t="inlineStr">
        <is>
          <t>YES! 	 c_varbinary列源备映射正确，源端为varbinary 1位	期望更改为varbinary(n)	实际备端为varbinary 1位</t>
        </is>
      </c>
    </row>
    <row r="1628">
      <c r="B1628" s="0" t="inlineStr">
        <is>
          <t>NULL</t>
        </is>
      </c>
      <c r="C1628" s="0" t="inlineStr">
        <is>
          <t>NULL</t>
        </is>
      </c>
      <c r="D1628" s="0" t="inlineStr">
        <is>
          <t>NULL</t>
        </is>
      </c>
      <c r="E1628" s="0" t="inlineStr">
        <is>
          <t>NULL</t>
        </is>
      </c>
      <c r="F1628" s="0" t="inlineStr">
        <is>
          <t>NULL</t>
        </is>
      </c>
      <c r="G1628" s="0" t="inlineStr">
        <is>
          <t>NULL</t>
        </is>
      </c>
      <c r="H1628" s="0" t="inlineStr">
        <is>
          <t>NULL</t>
        </is>
      </c>
      <c r="I1628" s="0" t="inlineStr">
        <is>
          <t>NULL</t>
        </is>
      </c>
      <c r="J1628" s="0" t="inlineStr">
        <is>
          <t>NULL</t>
        </is>
      </c>
      <c r="K1628" s="0" t="inlineStr">
        <is>
          <t>YES! 	 c_varbinary_100列源备映射正确，源端为varbinary 100位	期望更改为varbinary(n)	实际备端为varbinary 100位</t>
        </is>
      </c>
    </row>
    <row r="1629">
      <c r="B1629" s="0" t="inlineStr">
        <is>
          <t>NULL</t>
        </is>
      </c>
      <c r="C1629" s="0" t="inlineStr">
        <is>
          <t>NULL</t>
        </is>
      </c>
      <c r="D1629" s="0" t="inlineStr">
        <is>
          <t>NULL</t>
        </is>
      </c>
      <c r="E1629" s="0" t="inlineStr">
        <is>
          <t>NULL</t>
        </is>
      </c>
      <c r="F1629" s="0" t="inlineStr">
        <is>
          <t>NULL</t>
        </is>
      </c>
      <c r="G1629" s="0" t="inlineStr">
        <is>
          <t>NULL</t>
        </is>
      </c>
      <c r="H1629" s="0" t="inlineStr">
        <is>
          <t>NULL</t>
        </is>
      </c>
      <c r="I1629" s="0" t="inlineStr">
        <is>
          <t>NULL</t>
        </is>
      </c>
      <c r="J1629" s="0" t="inlineStr">
        <is>
          <t>NULL</t>
        </is>
      </c>
      <c r="K1629" s="0" t="inlineStr">
        <is>
          <t>YES! 	 c_varbinary_8000列源备映射正确，源端为varbinary 8000位	期望更改为varbinary(n)	实际备端为varbinary 8000位</t>
        </is>
      </c>
    </row>
    <row r="1630">
      <c r="A1630" s="0" t="inlineStr">
        <is>
          <t>info_varcharmax_dml_batch1_pk</t>
        </is>
      </c>
      <c r="K1630" s="0" t="inlineStr">
        <is>
          <t>[0;34m info_varcharmax_dml_batch1_pk [0m源备字段数相同，源端字段：3 	备端字段3</t>
        </is>
      </c>
      <c r="W1630" s="0" t="inlineStr">
        <is>
          <t>YES 源备无差异</t>
        </is>
      </c>
      <c r="X1630" s="0">
        <f>A1630</f>
        <v/>
      </c>
    </row>
    <row r="1631">
      <c r="B1631" s="0" t="inlineStr">
        <is>
          <t>YES</t>
        </is>
      </c>
      <c r="C1631" s="0" t="inlineStr">
        <is>
          <t>NULL</t>
        </is>
      </c>
      <c r="D1631" s="0" t="inlineStr">
        <is>
          <t>NULL</t>
        </is>
      </c>
      <c r="E1631" s="0" t="inlineStr">
        <is>
          <t>NULL</t>
        </is>
      </c>
      <c r="F1631" s="0" t="inlineStr">
        <is>
          <t>NULL</t>
        </is>
      </c>
      <c r="G1631" s="0" t="inlineStr">
        <is>
          <t>NULL</t>
        </is>
      </c>
      <c r="H1631" s="0" t="inlineStr">
        <is>
          <t>NULL</t>
        </is>
      </c>
      <c r="I1631" s="0" t="inlineStr">
        <is>
          <t>YES!PK__info_var__3213E83F1E5F20A4</t>
        </is>
      </c>
      <c r="J1631" s="0" t="inlineStr">
        <is>
          <t>YES! 主键相关索引</t>
        </is>
      </c>
      <c r="K1631" s="0" t="inlineStr">
        <is>
          <t>YES! 	 id列源备映射正确，源端为int None位	期望更改为int	实际备端为int None位</t>
        </is>
      </c>
    </row>
    <row r="1632">
      <c r="B1632" s="0" t="inlineStr">
        <is>
          <t>NULL</t>
        </is>
      </c>
      <c r="C1632" s="0" t="inlineStr">
        <is>
          <t>NULL</t>
        </is>
      </c>
      <c r="D1632" s="0" t="inlineStr">
        <is>
          <t>NULL</t>
        </is>
      </c>
      <c r="E1632" s="0" t="inlineStr">
        <is>
          <t>NULL</t>
        </is>
      </c>
      <c r="F1632" s="0" t="inlineStr">
        <is>
          <t>NULL</t>
        </is>
      </c>
      <c r="G1632" s="0" t="inlineStr">
        <is>
          <t>NULL</t>
        </is>
      </c>
      <c r="H1632" s="0" t="inlineStr">
        <is>
          <t>NULL</t>
        </is>
      </c>
      <c r="I1632" s="0" t="inlineStr">
        <is>
          <t>NULL</t>
        </is>
      </c>
      <c r="J1632" s="0" t="inlineStr">
        <is>
          <t>NULL</t>
        </is>
      </c>
      <c r="K1632" s="0" t="inlineStr">
        <is>
          <t>YES! 	 c_varchar_max列源备映射正确，源端为varchar -1位	期望更改为varchar(n)	实际备端为varchar -1位</t>
        </is>
      </c>
    </row>
    <row r="1633">
      <c r="B1633" s="0" t="inlineStr">
        <is>
          <t>NULL</t>
        </is>
      </c>
      <c r="C1633" s="0" t="inlineStr">
        <is>
          <t>NULL</t>
        </is>
      </c>
      <c r="D1633" s="0" t="inlineStr">
        <is>
          <t>NULL</t>
        </is>
      </c>
      <c r="E1633" s="0" t="inlineStr">
        <is>
          <t>NULL</t>
        </is>
      </c>
      <c r="F1633" s="0" t="inlineStr">
        <is>
          <t>NULL</t>
        </is>
      </c>
      <c r="G1633" s="0" t="inlineStr">
        <is>
          <t>NULL</t>
        </is>
      </c>
      <c r="H1633" s="0" t="inlineStr">
        <is>
          <t>NULL</t>
        </is>
      </c>
      <c r="I1633" s="0" t="inlineStr">
        <is>
          <t>NULL</t>
        </is>
      </c>
      <c r="J1633" s="0" t="inlineStr">
        <is>
          <t>NULL</t>
        </is>
      </c>
      <c r="K1633" s="0" t="inlineStr">
        <is>
          <t>YES! 	 c_nvarchar_max列源备映射正确，源端为nvarchar -1位	期望更改为nvarchar(n)	实际备端为nvarchar -1位</t>
        </is>
      </c>
    </row>
    <row r="1634">
      <c r="K1634" s="0" t="inlineStr">
        <is>
          <t>~ 空表</t>
        </is>
      </c>
    </row>
    <row r="1635">
      <c r="A1635" s="0" t="inlineStr">
        <is>
          <t>info_uniqueidentifier_dml_single_pk_irp</t>
        </is>
      </c>
      <c r="K1635" s="0" t="inlineStr">
        <is>
          <t>[0;34m info_uniqueidentifier_dml_single_pk_irp [0m源备字段数相同，源端字段：2 	备端字段2</t>
        </is>
      </c>
      <c r="W1635" s="0" t="inlineStr">
        <is>
          <t>YES 源备无差异</t>
        </is>
      </c>
      <c r="X1635" s="0">
        <f>A1635</f>
        <v/>
      </c>
    </row>
    <row r="1636">
      <c r="B1636" s="0" t="inlineStr">
        <is>
          <t>YES</t>
        </is>
      </c>
      <c r="C1636" s="0" t="inlineStr">
        <is>
          <t>NULL</t>
        </is>
      </c>
      <c r="D1636" s="0" t="inlineStr">
        <is>
          <t>NULL</t>
        </is>
      </c>
      <c r="E1636" s="0" t="inlineStr">
        <is>
          <t>NULL</t>
        </is>
      </c>
      <c r="F1636" s="0" t="inlineStr">
        <is>
          <t>NULL</t>
        </is>
      </c>
      <c r="G1636" s="0" t="inlineStr">
        <is>
          <t>NULL</t>
        </is>
      </c>
      <c r="H1636" s="0" t="inlineStr">
        <is>
          <t>NULL</t>
        </is>
      </c>
      <c r="I1636" s="0" t="inlineStr">
        <is>
          <t>YES!PK__info_uni__3213E83F0A588E05</t>
        </is>
      </c>
      <c r="J1636" s="0" t="inlineStr">
        <is>
          <t>YES! 主键相关索引</t>
        </is>
      </c>
      <c r="K1636" s="0" t="inlineStr">
        <is>
          <t>YES! 	 id列源备映射正确，源端为int None位	期望更改为int	实际备端为int None位</t>
        </is>
      </c>
    </row>
    <row r="1637">
      <c r="B1637" s="0" t="inlineStr">
        <is>
          <t>NULL</t>
        </is>
      </c>
      <c r="C1637" s="0" t="inlineStr">
        <is>
          <t>NULL</t>
        </is>
      </c>
      <c r="D1637" s="0" t="inlineStr">
        <is>
          <t>NULL</t>
        </is>
      </c>
      <c r="E1637" s="0" t="inlineStr">
        <is>
          <t>NULL</t>
        </is>
      </c>
      <c r="F1637" s="0" t="inlineStr">
        <is>
          <t>NULL</t>
        </is>
      </c>
      <c r="G1637" s="0" t="inlineStr">
        <is>
          <t>NULL</t>
        </is>
      </c>
      <c r="H1637" s="0" t="inlineStr">
        <is>
          <t>NULL</t>
        </is>
      </c>
      <c r="I1637" s="0" t="inlineStr">
        <is>
          <t>NULL</t>
        </is>
      </c>
      <c r="J1637" s="0" t="inlineStr">
        <is>
          <t>NULL</t>
        </is>
      </c>
      <c r="K1637" s="0" t="inlineStr">
        <is>
          <t>YES! 	 c_uniqueidentifier列源备映射正确，源端为uniqueidentifier None位	期望更改为uniqueidentifier	实际备端为uniqueidentifier None位</t>
        </is>
      </c>
    </row>
    <row r="1638">
      <c r="A1638" s="0" t="inlineStr">
        <is>
          <t>info_varbinary_dml_single_pk_drp</t>
        </is>
      </c>
      <c r="K1638" s="0" t="inlineStr">
        <is>
          <t>[0;34m info_varbinary_dml_single_pk_drp [0m源备字段数相同，源端字段：4 	备端字段4</t>
        </is>
      </c>
      <c r="W1638" s="0" t="inlineStr">
        <is>
          <t>YES 源备无差异</t>
        </is>
      </c>
      <c r="X1638" s="0">
        <f>A1638</f>
        <v/>
      </c>
    </row>
    <row r="1639">
      <c r="B1639" s="0" t="inlineStr">
        <is>
          <t>YES</t>
        </is>
      </c>
      <c r="C1639" s="0" t="inlineStr">
        <is>
          <t>NULL</t>
        </is>
      </c>
      <c r="D1639" s="0" t="inlineStr">
        <is>
          <t>NULL</t>
        </is>
      </c>
      <c r="E1639" s="0" t="inlineStr">
        <is>
          <t>NULL</t>
        </is>
      </c>
      <c r="F1639" s="0" t="inlineStr">
        <is>
          <t>NULL</t>
        </is>
      </c>
      <c r="G1639" s="0" t="inlineStr">
        <is>
          <t>NULL</t>
        </is>
      </c>
      <c r="H1639" s="0" t="inlineStr">
        <is>
          <t>NULL</t>
        </is>
      </c>
      <c r="I1639" s="0" t="inlineStr">
        <is>
          <t>YES!PK__info_var__3213E83F2608C4C6</t>
        </is>
      </c>
      <c r="J1639" s="0" t="inlineStr">
        <is>
          <t>YES! 主键相关索引</t>
        </is>
      </c>
      <c r="K1639" s="0" t="inlineStr">
        <is>
          <t>YES! 	 id列源备映射正确，源端为int None位	期望更改为int	实际备端为int None位</t>
        </is>
      </c>
    </row>
    <row r="1640">
      <c r="B1640" s="0" t="inlineStr">
        <is>
          <t>NULL</t>
        </is>
      </c>
      <c r="C1640" s="0" t="inlineStr">
        <is>
          <t>NULL</t>
        </is>
      </c>
      <c r="D1640" s="0" t="inlineStr">
        <is>
          <t>NULL</t>
        </is>
      </c>
      <c r="E1640" s="0" t="inlineStr">
        <is>
          <t>NULL</t>
        </is>
      </c>
      <c r="F1640" s="0" t="inlineStr">
        <is>
          <t>NULL</t>
        </is>
      </c>
      <c r="G1640" s="0" t="inlineStr">
        <is>
          <t>NULL</t>
        </is>
      </c>
      <c r="H1640" s="0" t="inlineStr">
        <is>
          <t>NULL</t>
        </is>
      </c>
      <c r="I1640" s="0" t="inlineStr">
        <is>
          <t>NULL</t>
        </is>
      </c>
      <c r="J1640" s="0" t="inlineStr">
        <is>
          <t>NULL</t>
        </is>
      </c>
      <c r="K1640" s="0" t="inlineStr">
        <is>
          <t>YES! 	 c_varbinary列源备映射正确，源端为varbinary 1位	期望更改为varbinary(n)	实际备端为varbinary 1位</t>
        </is>
      </c>
    </row>
    <row r="1641">
      <c r="B1641" s="0" t="inlineStr">
        <is>
          <t>NULL</t>
        </is>
      </c>
      <c r="C1641" s="0" t="inlineStr">
        <is>
          <t>NULL</t>
        </is>
      </c>
      <c r="D1641" s="0" t="inlineStr">
        <is>
          <t>NULL</t>
        </is>
      </c>
      <c r="E1641" s="0" t="inlineStr">
        <is>
          <t>NULL</t>
        </is>
      </c>
      <c r="F1641" s="0" t="inlineStr">
        <is>
          <t>NULL</t>
        </is>
      </c>
      <c r="G1641" s="0" t="inlineStr">
        <is>
          <t>NULL</t>
        </is>
      </c>
      <c r="H1641" s="0" t="inlineStr">
        <is>
          <t>NULL</t>
        </is>
      </c>
      <c r="I1641" s="0" t="inlineStr">
        <is>
          <t>NULL</t>
        </is>
      </c>
      <c r="J1641" s="0" t="inlineStr">
        <is>
          <t>NULL</t>
        </is>
      </c>
      <c r="K1641" s="0" t="inlineStr">
        <is>
          <t>YES! 	 c_varbinary_100列源备映射正确，源端为varbinary 100位	期望更改为varbinary(n)	实际备端为varbinary 100位</t>
        </is>
      </c>
    </row>
    <row r="1642">
      <c r="B1642" s="0" t="inlineStr">
        <is>
          <t>NULL</t>
        </is>
      </c>
      <c r="C1642" s="0" t="inlineStr">
        <is>
          <t>NULL</t>
        </is>
      </c>
      <c r="D1642" s="0" t="inlineStr">
        <is>
          <t>NULL</t>
        </is>
      </c>
      <c r="E1642" s="0" t="inlineStr">
        <is>
          <t>NULL</t>
        </is>
      </c>
      <c r="F1642" s="0" t="inlineStr">
        <is>
          <t>NULL</t>
        </is>
      </c>
      <c r="G1642" s="0" t="inlineStr">
        <is>
          <t>NULL</t>
        </is>
      </c>
      <c r="H1642" s="0" t="inlineStr">
        <is>
          <t>NULL</t>
        </is>
      </c>
      <c r="I1642" s="0" t="inlineStr">
        <is>
          <t>NULL</t>
        </is>
      </c>
      <c r="J1642" s="0" t="inlineStr">
        <is>
          <t>NULL</t>
        </is>
      </c>
      <c r="K1642" s="0" t="inlineStr">
        <is>
          <t>YES! 	 c_varbinary_8000列源备映射正确，源端为varbinary 8000位	期望更改为varbinary(n)	实际备端为varbinary 8000位</t>
        </is>
      </c>
    </row>
    <row r="1643">
      <c r="A1643" s="0" t="inlineStr">
        <is>
          <t>info_int_dml_batch1_pk_irp1</t>
        </is>
      </c>
      <c r="K1643" s="0" t="inlineStr">
        <is>
          <t>[0;34m info_int_dml_batch1_pk_irp1 [0m源备字段数相同，源端字段：20 	备端字段20</t>
        </is>
      </c>
      <c r="W1643" s="0" t="inlineStr">
        <is>
          <t>YES 源备无差异</t>
        </is>
      </c>
      <c r="X1643" s="0">
        <f>A1643</f>
        <v/>
      </c>
    </row>
    <row r="1644">
      <c r="B1644" s="0" t="inlineStr">
        <is>
          <t>YES</t>
        </is>
      </c>
      <c r="C1644" s="0" t="inlineStr">
        <is>
          <t>NULL</t>
        </is>
      </c>
      <c r="D1644" s="0" t="inlineStr">
        <is>
          <t>NULL</t>
        </is>
      </c>
      <c r="E1644" s="0" t="inlineStr">
        <is>
          <t>NULL</t>
        </is>
      </c>
      <c r="F1644" s="0" t="inlineStr">
        <is>
          <t>NULL</t>
        </is>
      </c>
      <c r="G1644" s="0" t="inlineStr">
        <is>
          <t>NULL</t>
        </is>
      </c>
      <c r="H1644" s="0" t="inlineStr">
        <is>
          <t>NULL</t>
        </is>
      </c>
      <c r="I1644" s="0" t="inlineStr">
        <is>
          <t>YES!PK__info_int__3213E83FE5FDAB4C</t>
        </is>
      </c>
      <c r="J1644" s="0" t="inlineStr">
        <is>
          <t>YES! 主键相关索引</t>
        </is>
      </c>
      <c r="K1644" s="0" t="inlineStr">
        <is>
          <t>YES! 	 id列源备映射正确，源端为int None位	期望更改为int	实际备端为int None位</t>
        </is>
      </c>
    </row>
    <row r="1645">
      <c r="B1645" s="0" t="inlineStr">
        <is>
          <t>NULL</t>
        </is>
      </c>
      <c r="C1645" s="0" t="inlineStr">
        <is>
          <t>NULL</t>
        </is>
      </c>
      <c r="D1645" s="0" t="inlineStr">
        <is>
          <t>NULL</t>
        </is>
      </c>
      <c r="E1645" s="0" t="inlineStr">
        <is>
          <t>NULL</t>
        </is>
      </c>
      <c r="F1645" s="0" t="inlineStr">
        <is>
          <t>NULL</t>
        </is>
      </c>
      <c r="G1645" s="0" t="inlineStr">
        <is>
          <t>NULL</t>
        </is>
      </c>
      <c r="H1645" s="0" t="inlineStr">
        <is>
          <t>NULL</t>
        </is>
      </c>
      <c r="I1645" s="0" t="inlineStr">
        <is>
          <t>NULL</t>
        </is>
      </c>
      <c r="J1645" s="0" t="inlineStr">
        <is>
          <t>NULL</t>
        </is>
      </c>
      <c r="K1645" s="0" t="inlineStr">
        <is>
          <t>YES! 	 c_tinyint列源备映射正确，源端为tinyint None位	期望更改为tinyint	实际备端为tinyint None位</t>
        </is>
      </c>
    </row>
    <row r="1646">
      <c r="B1646" s="0" t="inlineStr">
        <is>
          <t>NULL</t>
        </is>
      </c>
      <c r="C1646" s="0" t="inlineStr">
        <is>
          <t>NULL</t>
        </is>
      </c>
      <c r="D1646" s="0" t="inlineStr">
        <is>
          <t>NULL</t>
        </is>
      </c>
      <c r="E1646" s="0" t="inlineStr">
        <is>
          <t>NULL</t>
        </is>
      </c>
      <c r="F1646" s="0" t="inlineStr">
        <is>
          <t>NULL</t>
        </is>
      </c>
      <c r="G1646" s="0" t="inlineStr">
        <is>
          <t>NULL</t>
        </is>
      </c>
      <c r="H1646" s="0" t="inlineStr">
        <is>
          <t>NULL</t>
        </is>
      </c>
      <c r="I1646" s="0" t="inlineStr">
        <is>
          <t>NULL</t>
        </is>
      </c>
      <c r="J1646" s="0" t="inlineStr">
        <is>
          <t>NULL</t>
        </is>
      </c>
      <c r="K1646" s="0" t="inlineStr">
        <is>
          <t>YES! 	 c_smallint列源备映射正确，源端为smallint None位	期望更改为smallint	实际备端为smallint None位</t>
        </is>
      </c>
    </row>
    <row r="1647">
      <c r="B1647" s="0" t="inlineStr">
        <is>
          <t>NULL</t>
        </is>
      </c>
      <c r="C1647" s="0" t="inlineStr">
        <is>
          <t>NULL</t>
        </is>
      </c>
      <c r="D1647" s="0" t="inlineStr">
        <is>
          <t>NULL</t>
        </is>
      </c>
      <c r="E1647" s="0" t="inlineStr">
        <is>
          <t>NULL</t>
        </is>
      </c>
      <c r="F1647" s="0" t="inlineStr">
        <is>
          <t>NULL</t>
        </is>
      </c>
      <c r="G1647" s="0" t="inlineStr">
        <is>
          <t>NULL</t>
        </is>
      </c>
      <c r="H1647" s="0" t="inlineStr">
        <is>
          <t>NULL</t>
        </is>
      </c>
      <c r="I1647" s="0" t="inlineStr">
        <is>
          <t>NULL</t>
        </is>
      </c>
      <c r="J1647" s="0" t="inlineStr">
        <is>
          <t>NULL</t>
        </is>
      </c>
      <c r="K1647" s="0" t="inlineStr">
        <is>
          <t>YES! 	 c_int列源备映射正确，源端为int None位	期望更改为int	实际备端为int None位</t>
        </is>
      </c>
    </row>
    <row r="1648">
      <c r="B1648" s="0" t="inlineStr">
        <is>
          <t>NULL</t>
        </is>
      </c>
      <c r="C1648" s="0" t="inlineStr">
        <is>
          <t>NULL</t>
        </is>
      </c>
      <c r="D1648" s="0" t="inlineStr">
        <is>
          <t>NULL</t>
        </is>
      </c>
      <c r="E1648" s="0" t="inlineStr">
        <is>
          <t>NULL</t>
        </is>
      </c>
      <c r="F1648" s="0" t="inlineStr">
        <is>
          <t>NULL</t>
        </is>
      </c>
      <c r="G1648" s="0" t="inlineStr">
        <is>
          <t>NULL</t>
        </is>
      </c>
      <c r="H1648" s="0" t="inlineStr">
        <is>
          <t>NULL</t>
        </is>
      </c>
      <c r="I1648" s="0" t="inlineStr">
        <is>
          <t>NULL</t>
        </is>
      </c>
      <c r="J1648" s="0" t="inlineStr">
        <is>
          <t>NULL</t>
        </is>
      </c>
      <c r="K1648" s="0" t="inlineStr">
        <is>
          <t>YES! 	 c_bigint列源备映射正确，源端为bigint None位	期望更改为bigint	实际备端为bigint None位</t>
        </is>
      </c>
    </row>
    <row r="1649">
      <c r="B1649" s="0" t="inlineStr">
        <is>
          <t>NULL</t>
        </is>
      </c>
      <c r="C1649" s="0" t="inlineStr">
        <is>
          <t>NULL</t>
        </is>
      </c>
      <c r="D1649" s="0" t="inlineStr">
        <is>
          <t>NULL</t>
        </is>
      </c>
      <c r="E1649" s="0" t="inlineStr">
        <is>
          <t>NULL</t>
        </is>
      </c>
      <c r="F1649" s="0" t="inlineStr">
        <is>
          <t>NULL</t>
        </is>
      </c>
      <c r="G1649" s="0" t="inlineStr">
        <is>
          <t>NULL</t>
        </is>
      </c>
      <c r="H1649" s="0" t="inlineStr">
        <is>
          <t>NULL</t>
        </is>
      </c>
      <c r="I1649" s="0" t="inlineStr">
        <is>
          <t>NULL</t>
        </is>
      </c>
      <c r="J1649" s="0" t="inlineStr">
        <is>
          <t>NULL</t>
        </is>
      </c>
      <c r="K1649" s="0" t="inlineStr">
        <is>
          <t>YES! 	 c_decimal列源备映射正确，源端为decimal None位	期望更改为decimal(p,s)	实际备端为decimal None位</t>
        </is>
      </c>
    </row>
    <row r="1650">
      <c r="B1650" s="0" t="inlineStr">
        <is>
          <t>NULL</t>
        </is>
      </c>
      <c r="C1650" s="0" t="inlineStr">
        <is>
          <t>NULL</t>
        </is>
      </c>
      <c r="D1650" s="0" t="inlineStr">
        <is>
          <t>NULL</t>
        </is>
      </c>
      <c r="E1650" s="0" t="inlineStr">
        <is>
          <t>NULL</t>
        </is>
      </c>
      <c r="F1650" s="0" t="inlineStr">
        <is>
          <t>NULL</t>
        </is>
      </c>
      <c r="G1650" s="0" t="inlineStr">
        <is>
          <t>NULL</t>
        </is>
      </c>
      <c r="H1650" s="0" t="inlineStr">
        <is>
          <t>NULL</t>
        </is>
      </c>
      <c r="I1650" s="0" t="inlineStr">
        <is>
          <t>NULL</t>
        </is>
      </c>
      <c r="J1650" s="0" t="inlineStr">
        <is>
          <t>NULL</t>
        </is>
      </c>
      <c r="K1650" s="0" t="inlineStr">
        <is>
          <t>YES! 	 c_decimal38列源备映射正确，源端为decimal None位	期望更改为decimal(p,s)	实际备端为decimal None位</t>
        </is>
      </c>
    </row>
    <row r="1651">
      <c r="B1651" s="0" t="inlineStr">
        <is>
          <t>NULL</t>
        </is>
      </c>
      <c r="C1651" s="0" t="inlineStr">
        <is>
          <t>NULL</t>
        </is>
      </c>
      <c r="D1651" s="0" t="inlineStr">
        <is>
          <t>NULL</t>
        </is>
      </c>
      <c r="E1651" s="0" t="inlineStr">
        <is>
          <t>NULL</t>
        </is>
      </c>
      <c r="F1651" s="0" t="inlineStr">
        <is>
          <t>NULL</t>
        </is>
      </c>
      <c r="G1651" s="0" t="inlineStr">
        <is>
          <t>NULL</t>
        </is>
      </c>
      <c r="H1651" s="0" t="inlineStr">
        <is>
          <t>NULL</t>
        </is>
      </c>
      <c r="I1651" s="0" t="inlineStr">
        <is>
          <t>NULL</t>
        </is>
      </c>
      <c r="J1651" s="0" t="inlineStr">
        <is>
          <t>NULL</t>
        </is>
      </c>
      <c r="K1651" s="0" t="inlineStr">
        <is>
          <t>YES! 	 c_decimal38_38列源备映射正确，源端为decimal None位	期望更改为decimal(p,s)	实际备端为decimal None位</t>
        </is>
      </c>
    </row>
    <row r="1652">
      <c r="B1652" s="0" t="inlineStr">
        <is>
          <t>NULL</t>
        </is>
      </c>
      <c r="C1652" s="0" t="inlineStr">
        <is>
          <t>NULL</t>
        </is>
      </c>
      <c r="D1652" s="0" t="inlineStr">
        <is>
          <t>NULL</t>
        </is>
      </c>
      <c r="E1652" s="0" t="inlineStr">
        <is>
          <t>NULL</t>
        </is>
      </c>
      <c r="F1652" s="0" t="inlineStr">
        <is>
          <t>NULL</t>
        </is>
      </c>
      <c r="G1652" s="0" t="inlineStr">
        <is>
          <t>NULL</t>
        </is>
      </c>
      <c r="H1652" s="0" t="inlineStr">
        <is>
          <t>NULL</t>
        </is>
      </c>
      <c r="I1652" s="0" t="inlineStr">
        <is>
          <t>NULL</t>
        </is>
      </c>
      <c r="J1652" s="0" t="inlineStr">
        <is>
          <t>NULL</t>
        </is>
      </c>
      <c r="K1652" s="0" t="inlineStr">
        <is>
          <t>YES! 	 c_decimal38_10列源备映射正确，源端为decimal None位	期望更改为decimal(p,s)	实际备端为decimal None位</t>
        </is>
      </c>
    </row>
    <row r="1653">
      <c r="B1653" s="0" t="inlineStr">
        <is>
          <t>NULL</t>
        </is>
      </c>
      <c r="C1653" s="0" t="inlineStr">
        <is>
          <t>NULL</t>
        </is>
      </c>
      <c r="D1653" s="0" t="inlineStr">
        <is>
          <t>NULL</t>
        </is>
      </c>
      <c r="E1653" s="0" t="inlineStr">
        <is>
          <t>NULL</t>
        </is>
      </c>
      <c r="F1653" s="0" t="inlineStr">
        <is>
          <t>NULL</t>
        </is>
      </c>
      <c r="G1653" s="0" t="inlineStr">
        <is>
          <t>NULL</t>
        </is>
      </c>
      <c r="H1653" s="0" t="inlineStr">
        <is>
          <t>NULL</t>
        </is>
      </c>
      <c r="I1653" s="0" t="inlineStr">
        <is>
          <t>NULL</t>
        </is>
      </c>
      <c r="J1653" s="0" t="inlineStr">
        <is>
          <t>NULL</t>
        </is>
      </c>
      <c r="K1653" s="0" t="inlineStr">
        <is>
          <t>YES! 	 c_decimal19_4列源备映射正确，源端为decimal None位	期望更改为decimal(p,s)	实际备端为decimal None位</t>
        </is>
      </c>
    </row>
    <row r="1654">
      <c r="B1654" s="0" t="inlineStr">
        <is>
          <t>NULL</t>
        </is>
      </c>
      <c r="C1654" s="0" t="inlineStr">
        <is>
          <t>NULL</t>
        </is>
      </c>
      <c r="D1654" s="0" t="inlineStr">
        <is>
          <t>NULL</t>
        </is>
      </c>
      <c r="E1654" s="0" t="inlineStr">
        <is>
          <t>NULL</t>
        </is>
      </c>
      <c r="F1654" s="0" t="inlineStr">
        <is>
          <t>NULL</t>
        </is>
      </c>
      <c r="G1654" s="0" t="inlineStr">
        <is>
          <t>NULL</t>
        </is>
      </c>
      <c r="H1654" s="0" t="inlineStr">
        <is>
          <t>NULL</t>
        </is>
      </c>
      <c r="I1654" s="0" t="inlineStr">
        <is>
          <t>NULL</t>
        </is>
      </c>
      <c r="J1654" s="0" t="inlineStr">
        <is>
          <t>NULL</t>
        </is>
      </c>
      <c r="K1654" s="0" t="inlineStr">
        <is>
          <t>YES! 	 c_numeric列源备映射正确，源端为numeric None位	期望更改为numeric(p,s)	实际备端为numeric None位</t>
        </is>
      </c>
    </row>
    <row r="1655">
      <c r="B1655" s="0" t="inlineStr">
        <is>
          <t>NULL</t>
        </is>
      </c>
      <c r="C1655" s="0" t="inlineStr">
        <is>
          <t>NULL</t>
        </is>
      </c>
      <c r="D1655" s="0" t="inlineStr">
        <is>
          <t>NULL</t>
        </is>
      </c>
      <c r="E1655" s="0" t="inlineStr">
        <is>
          <t>NULL</t>
        </is>
      </c>
      <c r="F1655" s="0" t="inlineStr">
        <is>
          <t>NULL</t>
        </is>
      </c>
      <c r="G1655" s="0" t="inlineStr">
        <is>
          <t>NULL</t>
        </is>
      </c>
      <c r="H1655" s="0" t="inlineStr">
        <is>
          <t>NULL</t>
        </is>
      </c>
      <c r="I1655" s="0" t="inlineStr">
        <is>
          <t>NULL</t>
        </is>
      </c>
      <c r="J1655" s="0" t="inlineStr">
        <is>
          <t>NULL</t>
        </is>
      </c>
      <c r="K1655" s="0" t="inlineStr">
        <is>
          <t>YES! 	 c_numeric38列源备映射正确，源端为numeric None位	期望更改为numeric(p,s)	实际备端为numeric None位</t>
        </is>
      </c>
    </row>
    <row r="1656">
      <c r="B1656" s="0" t="inlineStr">
        <is>
          <t>NULL</t>
        </is>
      </c>
      <c r="C1656" s="0" t="inlineStr">
        <is>
          <t>NULL</t>
        </is>
      </c>
      <c r="D1656" s="0" t="inlineStr">
        <is>
          <t>NULL</t>
        </is>
      </c>
      <c r="E1656" s="0" t="inlineStr">
        <is>
          <t>NULL</t>
        </is>
      </c>
      <c r="F1656" s="0" t="inlineStr">
        <is>
          <t>NULL</t>
        </is>
      </c>
      <c r="G1656" s="0" t="inlineStr">
        <is>
          <t>NULL</t>
        </is>
      </c>
      <c r="H1656" s="0" t="inlineStr">
        <is>
          <t>NULL</t>
        </is>
      </c>
      <c r="I1656" s="0" t="inlineStr">
        <is>
          <t>NULL</t>
        </is>
      </c>
      <c r="J1656" s="0" t="inlineStr">
        <is>
          <t>NULL</t>
        </is>
      </c>
      <c r="K1656" s="0" t="inlineStr">
        <is>
          <t>YES! 	 c_numeric38_38列源备映射正确，源端为numeric None位	期望更改为numeric(p,s)	实际备端为numeric None位</t>
        </is>
      </c>
    </row>
    <row r="1657">
      <c r="B1657" s="0" t="inlineStr">
        <is>
          <t>NULL</t>
        </is>
      </c>
      <c r="C1657" s="0" t="inlineStr">
        <is>
          <t>NULL</t>
        </is>
      </c>
      <c r="D1657" s="0" t="inlineStr">
        <is>
          <t>NULL</t>
        </is>
      </c>
      <c r="E1657" s="0" t="inlineStr">
        <is>
          <t>NULL</t>
        </is>
      </c>
      <c r="F1657" s="0" t="inlineStr">
        <is>
          <t>NULL</t>
        </is>
      </c>
      <c r="G1657" s="0" t="inlineStr">
        <is>
          <t>NULL</t>
        </is>
      </c>
      <c r="H1657" s="0" t="inlineStr">
        <is>
          <t>NULL</t>
        </is>
      </c>
      <c r="I1657" s="0" t="inlineStr">
        <is>
          <t>NULL</t>
        </is>
      </c>
      <c r="J1657" s="0" t="inlineStr">
        <is>
          <t>NULL</t>
        </is>
      </c>
      <c r="K1657" s="0" t="inlineStr">
        <is>
          <t>YES! 	 c_numeric38_10列源备映射正确，源端为numeric None位	期望更改为numeric(p,s)	实际备端为numeric None位</t>
        </is>
      </c>
    </row>
    <row r="1658">
      <c r="B1658" s="0" t="inlineStr">
        <is>
          <t>NULL</t>
        </is>
      </c>
      <c r="C1658" s="0" t="inlineStr">
        <is>
          <t>NULL</t>
        </is>
      </c>
      <c r="D1658" s="0" t="inlineStr">
        <is>
          <t>NULL</t>
        </is>
      </c>
      <c r="E1658" s="0" t="inlineStr">
        <is>
          <t>NULL</t>
        </is>
      </c>
      <c r="F1658" s="0" t="inlineStr">
        <is>
          <t>NULL</t>
        </is>
      </c>
      <c r="G1658" s="0" t="inlineStr">
        <is>
          <t>NULL</t>
        </is>
      </c>
      <c r="H1658" s="0" t="inlineStr">
        <is>
          <t>NULL</t>
        </is>
      </c>
      <c r="I1658" s="0" t="inlineStr">
        <is>
          <t>NULL</t>
        </is>
      </c>
      <c r="J1658" s="0" t="inlineStr">
        <is>
          <t>NULL</t>
        </is>
      </c>
      <c r="K1658" s="0" t="inlineStr">
        <is>
          <t>YES! 	 c_numeric18_2列源备映射正确，源端为numeric None位	期望更改为numeric(p,s)	实际备端为numeric None位</t>
        </is>
      </c>
    </row>
    <row r="1659">
      <c r="B1659" s="0" t="inlineStr">
        <is>
          <t>NULL</t>
        </is>
      </c>
      <c r="C1659" s="0" t="inlineStr">
        <is>
          <t>NULL</t>
        </is>
      </c>
      <c r="D1659" s="0" t="inlineStr">
        <is>
          <t>NULL</t>
        </is>
      </c>
      <c r="E1659" s="0" t="inlineStr">
        <is>
          <t>NULL</t>
        </is>
      </c>
      <c r="F1659" s="0" t="inlineStr">
        <is>
          <t>NULL</t>
        </is>
      </c>
      <c r="G1659" s="0" t="inlineStr">
        <is>
          <t>NULL</t>
        </is>
      </c>
      <c r="H1659" s="0" t="inlineStr">
        <is>
          <t>NULL</t>
        </is>
      </c>
      <c r="I1659" s="0" t="inlineStr">
        <is>
          <t>NULL</t>
        </is>
      </c>
      <c r="J1659" s="0" t="inlineStr">
        <is>
          <t>NULL</t>
        </is>
      </c>
      <c r="K1659" s="0" t="inlineStr">
        <is>
          <t>YES! 	 c_float列源备映射正确，源端为float None位	期望更改为float	实际备端为float None位</t>
        </is>
      </c>
    </row>
    <row r="1660">
      <c r="B1660" s="0" t="inlineStr">
        <is>
          <t>NULL</t>
        </is>
      </c>
      <c r="C1660" s="0" t="inlineStr">
        <is>
          <t>NULL</t>
        </is>
      </c>
      <c r="D1660" s="0" t="inlineStr">
        <is>
          <t>NULL</t>
        </is>
      </c>
      <c r="E1660" s="0" t="inlineStr">
        <is>
          <t>NULL</t>
        </is>
      </c>
      <c r="F1660" s="0" t="inlineStr">
        <is>
          <t>NULL</t>
        </is>
      </c>
      <c r="G1660" s="0" t="inlineStr">
        <is>
          <t>NULL</t>
        </is>
      </c>
      <c r="H1660" s="0" t="inlineStr">
        <is>
          <t>NULL</t>
        </is>
      </c>
      <c r="I1660" s="0" t="inlineStr">
        <is>
          <t>NULL</t>
        </is>
      </c>
      <c r="J1660" s="0" t="inlineStr">
        <is>
          <t>NULL</t>
        </is>
      </c>
      <c r="K1660" s="0" t="inlineStr">
        <is>
          <t>YES! 	 c_real列源备映射正确，源端为real None位	期望更改为real	实际备端为real None位</t>
        </is>
      </c>
    </row>
    <row r="1661">
      <c r="B1661" s="0" t="inlineStr">
        <is>
          <t>NULL</t>
        </is>
      </c>
      <c r="C1661" s="0" t="inlineStr">
        <is>
          <t>NULL</t>
        </is>
      </c>
      <c r="D1661" s="0" t="inlineStr">
        <is>
          <t>NULL</t>
        </is>
      </c>
      <c r="E1661" s="0" t="inlineStr">
        <is>
          <t>NULL</t>
        </is>
      </c>
      <c r="F1661" s="0" t="inlineStr">
        <is>
          <t>NULL</t>
        </is>
      </c>
      <c r="G1661" s="0" t="inlineStr">
        <is>
          <t>NULL</t>
        </is>
      </c>
      <c r="H1661" s="0" t="inlineStr">
        <is>
          <t>NULL</t>
        </is>
      </c>
      <c r="I1661" s="0" t="inlineStr">
        <is>
          <t>NULL</t>
        </is>
      </c>
      <c r="J1661" s="0" t="inlineStr">
        <is>
          <t>NULL</t>
        </is>
      </c>
      <c r="K1661" s="0" t="inlineStr">
        <is>
          <t>YES! 	 c_money列源备映射正确，源端为money None位	期望更改为money	实际备端为money None位</t>
        </is>
      </c>
    </row>
    <row r="1662">
      <c r="B1662" s="0" t="inlineStr">
        <is>
          <t>NULL</t>
        </is>
      </c>
      <c r="C1662" s="0" t="inlineStr">
        <is>
          <t>NULL</t>
        </is>
      </c>
      <c r="D1662" s="0" t="inlineStr">
        <is>
          <t>NULL</t>
        </is>
      </c>
      <c r="E1662" s="0" t="inlineStr">
        <is>
          <t>NULL</t>
        </is>
      </c>
      <c r="F1662" s="0" t="inlineStr">
        <is>
          <t>NULL</t>
        </is>
      </c>
      <c r="G1662" s="0" t="inlineStr">
        <is>
          <t>NULL</t>
        </is>
      </c>
      <c r="H1662" s="0" t="inlineStr">
        <is>
          <t>NULL</t>
        </is>
      </c>
      <c r="I1662" s="0" t="inlineStr">
        <is>
          <t>NULL</t>
        </is>
      </c>
      <c r="J1662" s="0" t="inlineStr">
        <is>
          <t>NULL</t>
        </is>
      </c>
      <c r="K1662" s="0" t="inlineStr">
        <is>
          <t>YES! 	 c_smallmoney列源备映射正确，源端为smallmoney None位	期望更改为smallmoney	实际备端为smallmoney None位</t>
        </is>
      </c>
    </row>
    <row r="1663">
      <c r="B1663" s="0" t="inlineStr">
        <is>
          <t>NULL</t>
        </is>
      </c>
      <c r="C1663" s="0" t="inlineStr">
        <is>
          <t>NULL</t>
        </is>
      </c>
      <c r="D1663" s="0" t="inlineStr">
        <is>
          <t>NULL</t>
        </is>
      </c>
      <c r="E1663" s="0" t="inlineStr">
        <is>
          <t>NULL</t>
        </is>
      </c>
      <c r="F1663" s="0" t="inlineStr">
        <is>
          <t>NULL</t>
        </is>
      </c>
      <c r="G1663" s="0" t="inlineStr">
        <is>
          <t>NULL</t>
        </is>
      </c>
      <c r="H1663" s="0" t="inlineStr">
        <is>
          <t>NULL</t>
        </is>
      </c>
      <c r="I1663" s="0" t="inlineStr">
        <is>
          <t>NULL</t>
        </is>
      </c>
      <c r="J1663" s="0" t="inlineStr">
        <is>
          <t>NULL</t>
        </is>
      </c>
      <c r="K1663" s="0" t="inlineStr">
        <is>
          <t>YES! 	 c_bit列源备映射正确，源端为bit None位	期望更改为bit	实际备端为bit None位</t>
        </is>
      </c>
    </row>
    <row r="1664">
      <c r="A1664" s="0" t="inlineStr">
        <is>
          <t>info_uniqueidentifier_dml_single_pk_urp</t>
        </is>
      </c>
      <c r="K1664" s="0" t="inlineStr">
        <is>
          <t>[0;34m info_uniqueidentifier_dml_single_pk_urp [0m源备字段数相同，源端字段：2 	备端字段2</t>
        </is>
      </c>
      <c r="W1664" s="0" t="inlineStr">
        <is>
          <t>YES 源备无差异</t>
        </is>
      </c>
      <c r="X1664" s="0">
        <f>A1664</f>
        <v/>
      </c>
    </row>
    <row r="1665">
      <c r="B1665" s="0" t="inlineStr">
        <is>
          <t>YES</t>
        </is>
      </c>
      <c r="C1665" s="0" t="inlineStr">
        <is>
          <t>NULL</t>
        </is>
      </c>
      <c r="D1665" s="0" t="inlineStr">
        <is>
          <t>NULL</t>
        </is>
      </c>
      <c r="E1665" s="0" t="inlineStr">
        <is>
          <t>NULL</t>
        </is>
      </c>
      <c r="F1665" s="0" t="inlineStr">
        <is>
          <t>NULL</t>
        </is>
      </c>
      <c r="G1665" s="0" t="inlineStr">
        <is>
          <t>NULL</t>
        </is>
      </c>
      <c r="H1665" s="0" t="inlineStr">
        <is>
          <t>NULL</t>
        </is>
      </c>
      <c r="I1665" s="0" t="inlineStr">
        <is>
          <t>YES!PK__info_uni__3213E83F481CAA22</t>
        </is>
      </c>
      <c r="J1665" s="0" t="inlineStr">
        <is>
          <t>YES! 主键相关索引</t>
        </is>
      </c>
      <c r="K1665" s="0" t="inlineStr">
        <is>
          <t>YES! 	 id列源备映射正确，源端为int None位	期望更改为int	实际备端为int None位</t>
        </is>
      </c>
    </row>
    <row r="1666">
      <c r="B1666" s="0" t="inlineStr">
        <is>
          <t>NULL</t>
        </is>
      </c>
      <c r="C1666" s="0" t="inlineStr">
        <is>
          <t>NULL</t>
        </is>
      </c>
      <c r="D1666" s="0" t="inlineStr">
        <is>
          <t>NULL</t>
        </is>
      </c>
      <c r="E1666" s="0" t="inlineStr">
        <is>
          <t>NULL</t>
        </is>
      </c>
      <c r="F1666" s="0" t="inlineStr">
        <is>
          <t>NULL</t>
        </is>
      </c>
      <c r="G1666" s="0" t="inlineStr">
        <is>
          <t>NULL</t>
        </is>
      </c>
      <c r="H1666" s="0" t="inlineStr">
        <is>
          <t>NULL</t>
        </is>
      </c>
      <c r="I1666" s="0" t="inlineStr">
        <is>
          <t>NULL</t>
        </is>
      </c>
      <c r="J1666" s="0" t="inlineStr">
        <is>
          <t>NULL</t>
        </is>
      </c>
      <c r="K1666" s="0" t="inlineStr">
        <is>
          <t>YES! 	 c_uniqueidentifier列源备映射正确，源端为uniqueidentifier None位	期望更改为uniqueidentifier	实际备端为uniqueidentifier None位</t>
        </is>
      </c>
    </row>
    <row r="1667">
      <c r="A1667" s="0" t="inlineStr">
        <is>
          <t>info_varbinary_max_dml_single_nopk</t>
        </is>
      </c>
      <c r="K1667" s="0" t="inlineStr">
        <is>
          <t>[0;34m info_varbinary_max_dml_single_nopk [0m源备字段数相同，源端字段：4 	备端字段4</t>
        </is>
      </c>
      <c r="W1667" s="0" t="inlineStr">
        <is>
          <t>YES 源备无差异</t>
        </is>
      </c>
      <c r="X1667" s="0">
        <f>A1667</f>
        <v/>
      </c>
    </row>
    <row r="1668">
      <c r="B1668" s="0" t="inlineStr">
        <is>
          <t>NULL</t>
        </is>
      </c>
      <c r="C1668" s="0" t="inlineStr">
        <is>
          <t>NULL</t>
        </is>
      </c>
      <c r="D1668" s="0" t="inlineStr">
        <is>
          <t>NULL</t>
        </is>
      </c>
      <c r="E1668" s="0" t="inlineStr">
        <is>
          <t>NULL</t>
        </is>
      </c>
      <c r="F1668" s="0" t="inlineStr">
        <is>
          <t>NULL</t>
        </is>
      </c>
      <c r="G1668" s="0" t="inlineStr">
        <is>
          <t>NULL</t>
        </is>
      </c>
      <c r="H1668" s="0" t="inlineStr">
        <is>
          <t>NULL</t>
        </is>
      </c>
      <c r="I1668" s="0" t="inlineStr">
        <is>
          <t>NULL</t>
        </is>
      </c>
      <c r="J1668" s="0" t="inlineStr">
        <is>
          <t>NULL</t>
        </is>
      </c>
      <c r="K1668" s="0" t="inlineStr">
        <is>
          <t>YES! 	 id列源备映射正确，源端为int None位	期望更改为int	实际备端为int None位</t>
        </is>
      </c>
    </row>
    <row r="1669">
      <c r="B1669" s="0" t="inlineStr">
        <is>
          <t>NULL</t>
        </is>
      </c>
      <c r="C1669" s="0" t="inlineStr">
        <is>
          <t>NULL</t>
        </is>
      </c>
      <c r="D1669" s="0" t="inlineStr">
        <is>
          <t>NULL</t>
        </is>
      </c>
      <c r="E1669" s="0" t="inlineStr">
        <is>
          <t>NULL</t>
        </is>
      </c>
      <c r="F1669" s="0" t="inlineStr">
        <is>
          <t>NULL</t>
        </is>
      </c>
      <c r="G1669" s="0" t="inlineStr">
        <is>
          <t>NULL</t>
        </is>
      </c>
      <c r="H1669" s="0" t="inlineStr">
        <is>
          <t>NULL</t>
        </is>
      </c>
      <c r="I1669" s="0" t="inlineStr">
        <is>
          <t>NULL</t>
        </is>
      </c>
      <c r="J1669" s="0" t="inlineStr">
        <is>
          <t>NULL</t>
        </is>
      </c>
      <c r="K1669" s="0" t="inlineStr">
        <is>
          <t>YES! 	 c_varbinary_max1列源备映射正确，源端为varbinary -1位	期望更改为varbinary(n)	实际备端为varbinary -1位</t>
        </is>
      </c>
    </row>
    <row r="1670">
      <c r="B1670" s="0" t="inlineStr">
        <is>
          <t>NULL</t>
        </is>
      </c>
      <c r="C1670" s="0" t="inlineStr">
        <is>
          <t>NULL</t>
        </is>
      </c>
      <c r="D1670" s="0" t="inlineStr">
        <is>
          <t>NULL</t>
        </is>
      </c>
      <c r="E1670" s="0" t="inlineStr">
        <is>
          <t>NULL</t>
        </is>
      </c>
      <c r="F1670" s="0" t="inlineStr">
        <is>
          <t>NULL</t>
        </is>
      </c>
      <c r="G1670" s="0" t="inlineStr">
        <is>
          <t>NULL</t>
        </is>
      </c>
      <c r="H1670" s="0" t="inlineStr">
        <is>
          <t>NULL</t>
        </is>
      </c>
      <c r="I1670" s="0" t="inlineStr">
        <is>
          <t>NULL</t>
        </is>
      </c>
      <c r="J1670" s="0" t="inlineStr">
        <is>
          <t>NULL</t>
        </is>
      </c>
      <c r="K1670" s="0" t="inlineStr">
        <is>
          <t>YES! 	 c_varbinary_max2列源备映射正确，源端为varbinary -1位	期望更改为varbinary(n)	实际备端为varbinary -1位</t>
        </is>
      </c>
    </row>
    <row r="1671">
      <c r="B1671" s="0" t="inlineStr">
        <is>
          <t>NULL</t>
        </is>
      </c>
      <c r="C1671" s="0" t="inlineStr">
        <is>
          <t>NULL</t>
        </is>
      </c>
      <c r="D1671" s="0" t="inlineStr">
        <is>
          <t>NULL</t>
        </is>
      </c>
      <c r="E1671" s="0" t="inlineStr">
        <is>
          <t>NULL</t>
        </is>
      </c>
      <c r="F1671" s="0" t="inlineStr">
        <is>
          <t>NULL</t>
        </is>
      </c>
      <c r="G1671" s="0" t="inlineStr">
        <is>
          <t>NULL</t>
        </is>
      </c>
      <c r="H1671" s="0" t="inlineStr">
        <is>
          <t>NULL</t>
        </is>
      </c>
      <c r="I1671" s="0" t="inlineStr">
        <is>
          <t>NULL</t>
        </is>
      </c>
      <c r="J1671" s="0" t="inlineStr">
        <is>
          <t>NULL</t>
        </is>
      </c>
      <c r="K1671" s="0" t="inlineStr">
        <is>
          <t>YES! 	 c_image3列源备映射正确，源端为image 2147483647位	期望更改为image	实际备端为image 2147483647位</t>
        </is>
      </c>
    </row>
    <row r="1672">
      <c r="A1672" s="0" t="inlineStr">
        <is>
          <t>info_varbinary_dml_single_pk</t>
        </is>
      </c>
      <c r="K1672" s="0" t="inlineStr">
        <is>
          <t>[0;34m info_varbinary_dml_single_pk [0m源备字段数相同，源端字段：4 	备端字段4</t>
        </is>
      </c>
      <c r="W1672" s="0" t="inlineStr">
        <is>
          <t>YES 源备无差异</t>
        </is>
      </c>
      <c r="X1672" s="0">
        <f>A1672</f>
        <v/>
      </c>
    </row>
    <row r="1673">
      <c r="B1673" s="0" t="inlineStr">
        <is>
          <t>YES</t>
        </is>
      </c>
      <c r="C1673" s="0" t="inlineStr">
        <is>
          <t>NULL</t>
        </is>
      </c>
      <c r="D1673" s="0" t="inlineStr">
        <is>
          <t>NULL</t>
        </is>
      </c>
      <c r="E1673" s="0" t="inlineStr">
        <is>
          <t>NULL</t>
        </is>
      </c>
      <c r="F1673" s="0" t="inlineStr">
        <is>
          <t>NULL</t>
        </is>
      </c>
      <c r="G1673" s="0" t="inlineStr">
        <is>
          <t>NULL</t>
        </is>
      </c>
      <c r="H1673" s="0" t="inlineStr">
        <is>
          <t>NULL</t>
        </is>
      </c>
      <c r="I1673" s="0" t="inlineStr">
        <is>
          <t>YES!PK__info_var__3213E83F5409CF8D</t>
        </is>
      </c>
      <c r="J1673" s="0" t="inlineStr">
        <is>
          <t>YES! 主键相关索引</t>
        </is>
      </c>
      <c r="K1673" s="0" t="inlineStr">
        <is>
          <t>YES! 	 id列源备映射正确，源端为int None位	期望更改为int	实际备端为int None位</t>
        </is>
      </c>
    </row>
    <row r="1674">
      <c r="B1674" s="0" t="inlineStr">
        <is>
          <t>NULL</t>
        </is>
      </c>
      <c r="C1674" s="0" t="inlineStr">
        <is>
          <t>NULL</t>
        </is>
      </c>
      <c r="D1674" s="0" t="inlineStr">
        <is>
          <t>NULL</t>
        </is>
      </c>
      <c r="E1674" s="0" t="inlineStr">
        <is>
          <t>NULL</t>
        </is>
      </c>
      <c r="F1674" s="0" t="inlineStr">
        <is>
          <t>NULL</t>
        </is>
      </c>
      <c r="G1674" s="0" t="inlineStr">
        <is>
          <t>NULL</t>
        </is>
      </c>
      <c r="H1674" s="0" t="inlineStr">
        <is>
          <t>NULL</t>
        </is>
      </c>
      <c r="I1674" s="0" t="inlineStr">
        <is>
          <t>NULL</t>
        </is>
      </c>
      <c r="J1674" s="0" t="inlineStr">
        <is>
          <t>NULL</t>
        </is>
      </c>
      <c r="K1674" s="0" t="inlineStr">
        <is>
          <t>YES! 	 c_varbinary列源备映射正确，源端为varbinary 1位	期望更改为varbinary(n)	实际备端为varbinary 1位</t>
        </is>
      </c>
    </row>
    <row r="1675">
      <c r="B1675" s="0" t="inlineStr">
        <is>
          <t>NULL</t>
        </is>
      </c>
      <c r="C1675" s="0" t="inlineStr">
        <is>
          <t>NULL</t>
        </is>
      </c>
      <c r="D1675" s="0" t="inlineStr">
        <is>
          <t>NULL</t>
        </is>
      </c>
      <c r="E1675" s="0" t="inlineStr">
        <is>
          <t>NULL</t>
        </is>
      </c>
      <c r="F1675" s="0" t="inlineStr">
        <is>
          <t>NULL</t>
        </is>
      </c>
      <c r="G1675" s="0" t="inlineStr">
        <is>
          <t>NULL</t>
        </is>
      </c>
      <c r="H1675" s="0" t="inlineStr">
        <is>
          <t>NULL</t>
        </is>
      </c>
      <c r="I1675" s="0" t="inlineStr">
        <is>
          <t>NULL</t>
        </is>
      </c>
      <c r="J1675" s="0" t="inlineStr">
        <is>
          <t>NULL</t>
        </is>
      </c>
      <c r="K1675" s="0" t="inlineStr">
        <is>
          <t>YES! 	 c_varbinary_100列源备映射正确，源端为varbinary 20位	期望更改为varbinary(n)	实际备端为varbinary 20位</t>
        </is>
      </c>
    </row>
    <row r="1676">
      <c r="B1676" s="0" t="inlineStr">
        <is>
          <t>NULL</t>
        </is>
      </c>
      <c r="C1676" s="0" t="inlineStr">
        <is>
          <t>NULL</t>
        </is>
      </c>
      <c r="D1676" s="0" t="inlineStr">
        <is>
          <t>NULL</t>
        </is>
      </c>
      <c r="E1676" s="0" t="inlineStr">
        <is>
          <t>NULL</t>
        </is>
      </c>
      <c r="F1676" s="0" t="inlineStr">
        <is>
          <t>NULL</t>
        </is>
      </c>
      <c r="G1676" s="0" t="inlineStr">
        <is>
          <t>NULL</t>
        </is>
      </c>
      <c r="H1676" s="0" t="inlineStr">
        <is>
          <t>NULL</t>
        </is>
      </c>
      <c r="I1676" s="0" t="inlineStr">
        <is>
          <t>NULL</t>
        </is>
      </c>
      <c r="J1676" s="0" t="inlineStr">
        <is>
          <t>NULL</t>
        </is>
      </c>
      <c r="K1676" s="0" t="inlineStr">
        <is>
          <t>YES! 	 c_varbinary_8000列源备映射正确，源端为varbinary 8000位	期望更改为varbinary(n)	实际备端为varbinary 8000位</t>
        </is>
      </c>
    </row>
    <row r="1677">
      <c r="A1677" s="0" t="inlineStr">
        <is>
          <t>info_int_dml_batch1_pk_irp2</t>
        </is>
      </c>
      <c r="K1677" s="0" t="inlineStr">
        <is>
          <t>[0;34m info_int_dml_batch1_pk_irp2 [0m源备字段数相同，源端字段：20 	备端字段20</t>
        </is>
      </c>
      <c r="W1677" s="0" t="inlineStr">
        <is>
          <t>YES 源备无差异</t>
        </is>
      </c>
      <c r="X1677" s="0">
        <f>A1677</f>
        <v/>
      </c>
    </row>
    <row r="1678">
      <c r="B1678" s="0" t="inlineStr">
        <is>
          <t>YES</t>
        </is>
      </c>
      <c r="C1678" s="0" t="inlineStr">
        <is>
          <t>NULL</t>
        </is>
      </c>
      <c r="D1678" s="0" t="inlineStr">
        <is>
          <t>NULL</t>
        </is>
      </c>
      <c r="E1678" s="0" t="inlineStr">
        <is>
          <t>NULL</t>
        </is>
      </c>
      <c r="F1678" s="0" t="inlineStr">
        <is>
          <t>NULL</t>
        </is>
      </c>
      <c r="G1678" s="0" t="inlineStr">
        <is>
          <t>NULL</t>
        </is>
      </c>
      <c r="H1678" s="0" t="inlineStr">
        <is>
          <t>NULL</t>
        </is>
      </c>
      <c r="I1678" s="0" t="inlineStr">
        <is>
          <t>YES!PK__info_int__3213E83F7FA2DB7C</t>
        </is>
      </c>
      <c r="J1678" s="0" t="inlineStr">
        <is>
          <t>YES! 主键相关索引</t>
        </is>
      </c>
      <c r="K1678" s="0" t="inlineStr">
        <is>
          <t>YES! 	 id列源备映射正确，源端为int None位	期望更改为int	实际备端为int None位</t>
        </is>
      </c>
    </row>
    <row r="1679">
      <c r="B1679" s="0" t="inlineStr">
        <is>
          <t>NULL</t>
        </is>
      </c>
      <c r="C1679" s="0" t="inlineStr">
        <is>
          <t>NULL</t>
        </is>
      </c>
      <c r="D1679" s="0" t="inlineStr">
        <is>
          <t>NULL</t>
        </is>
      </c>
      <c r="E1679" s="0" t="inlineStr">
        <is>
          <t>NULL</t>
        </is>
      </c>
      <c r="F1679" s="0" t="inlineStr">
        <is>
          <t>NULL</t>
        </is>
      </c>
      <c r="G1679" s="0" t="inlineStr">
        <is>
          <t>NULL</t>
        </is>
      </c>
      <c r="H1679" s="0" t="inlineStr">
        <is>
          <t>NULL</t>
        </is>
      </c>
      <c r="I1679" s="0" t="inlineStr">
        <is>
          <t>NULL</t>
        </is>
      </c>
      <c r="J1679" s="0" t="inlineStr">
        <is>
          <t>NULL</t>
        </is>
      </c>
      <c r="K1679" s="0" t="inlineStr">
        <is>
          <t>YES! 	 c_tinyint列源备映射正确，源端为tinyint None位	期望更改为tinyint	实际备端为tinyint None位</t>
        </is>
      </c>
    </row>
    <row r="1680">
      <c r="B1680" s="0" t="inlineStr">
        <is>
          <t>NULL</t>
        </is>
      </c>
      <c r="C1680" s="0" t="inlineStr">
        <is>
          <t>NULL</t>
        </is>
      </c>
      <c r="D1680" s="0" t="inlineStr">
        <is>
          <t>NULL</t>
        </is>
      </c>
      <c r="E1680" s="0" t="inlineStr">
        <is>
          <t>NULL</t>
        </is>
      </c>
      <c r="F1680" s="0" t="inlineStr">
        <is>
          <t>NULL</t>
        </is>
      </c>
      <c r="G1680" s="0" t="inlineStr">
        <is>
          <t>NULL</t>
        </is>
      </c>
      <c r="H1680" s="0" t="inlineStr">
        <is>
          <t>NULL</t>
        </is>
      </c>
      <c r="I1680" s="0" t="inlineStr">
        <is>
          <t>NULL</t>
        </is>
      </c>
      <c r="J1680" s="0" t="inlineStr">
        <is>
          <t>NULL</t>
        </is>
      </c>
      <c r="K1680" s="0" t="inlineStr">
        <is>
          <t>YES! 	 c_smallint列源备映射正确，源端为smallint None位	期望更改为smallint	实际备端为smallint None位</t>
        </is>
      </c>
    </row>
    <row r="1681">
      <c r="B1681" s="0" t="inlineStr">
        <is>
          <t>NULL</t>
        </is>
      </c>
      <c r="C1681" s="0" t="inlineStr">
        <is>
          <t>NULL</t>
        </is>
      </c>
      <c r="D1681" s="0" t="inlineStr">
        <is>
          <t>NULL</t>
        </is>
      </c>
      <c r="E1681" s="0" t="inlineStr">
        <is>
          <t>NULL</t>
        </is>
      </c>
      <c r="F1681" s="0" t="inlineStr">
        <is>
          <t>NULL</t>
        </is>
      </c>
      <c r="G1681" s="0" t="inlineStr">
        <is>
          <t>NULL</t>
        </is>
      </c>
      <c r="H1681" s="0" t="inlineStr">
        <is>
          <t>NULL</t>
        </is>
      </c>
      <c r="I1681" s="0" t="inlineStr">
        <is>
          <t>NULL</t>
        </is>
      </c>
      <c r="J1681" s="0" t="inlineStr">
        <is>
          <t>NULL</t>
        </is>
      </c>
      <c r="K1681" s="0" t="inlineStr">
        <is>
          <t>YES! 	 c_int列源备映射正确，源端为int None位	期望更改为int	实际备端为int None位</t>
        </is>
      </c>
    </row>
    <row r="1682">
      <c r="B1682" s="0" t="inlineStr">
        <is>
          <t>NULL</t>
        </is>
      </c>
      <c r="C1682" s="0" t="inlineStr">
        <is>
          <t>NULL</t>
        </is>
      </c>
      <c r="D1682" s="0" t="inlineStr">
        <is>
          <t>NULL</t>
        </is>
      </c>
      <c r="E1682" s="0" t="inlineStr">
        <is>
          <t>NULL</t>
        </is>
      </c>
      <c r="F1682" s="0" t="inlineStr">
        <is>
          <t>NULL</t>
        </is>
      </c>
      <c r="G1682" s="0" t="inlineStr">
        <is>
          <t>NULL</t>
        </is>
      </c>
      <c r="H1682" s="0" t="inlineStr">
        <is>
          <t>NULL</t>
        </is>
      </c>
      <c r="I1682" s="0" t="inlineStr">
        <is>
          <t>NULL</t>
        </is>
      </c>
      <c r="J1682" s="0" t="inlineStr">
        <is>
          <t>NULL</t>
        </is>
      </c>
      <c r="K1682" s="0" t="inlineStr">
        <is>
          <t>YES! 	 c_bigint列源备映射正确，源端为bigint None位	期望更改为bigint	实际备端为bigint None位</t>
        </is>
      </c>
    </row>
    <row r="1683">
      <c r="B1683" s="0" t="inlineStr">
        <is>
          <t>NULL</t>
        </is>
      </c>
      <c r="C1683" s="0" t="inlineStr">
        <is>
          <t>NULL</t>
        </is>
      </c>
      <c r="D1683" s="0" t="inlineStr">
        <is>
          <t>NULL</t>
        </is>
      </c>
      <c r="E1683" s="0" t="inlineStr">
        <is>
          <t>NULL</t>
        </is>
      </c>
      <c r="F1683" s="0" t="inlineStr">
        <is>
          <t>NULL</t>
        </is>
      </c>
      <c r="G1683" s="0" t="inlineStr">
        <is>
          <t>NULL</t>
        </is>
      </c>
      <c r="H1683" s="0" t="inlineStr">
        <is>
          <t>NULL</t>
        </is>
      </c>
      <c r="I1683" s="0" t="inlineStr">
        <is>
          <t>NULL</t>
        </is>
      </c>
      <c r="J1683" s="0" t="inlineStr">
        <is>
          <t>NULL</t>
        </is>
      </c>
      <c r="K1683" s="0" t="inlineStr">
        <is>
          <t>YES! 	 c_decimal列源备映射正确，源端为decimal None位	期望更改为decimal(p,s)	实际备端为decimal None位</t>
        </is>
      </c>
    </row>
    <row r="1684">
      <c r="B1684" s="0" t="inlineStr">
        <is>
          <t>NULL</t>
        </is>
      </c>
      <c r="C1684" s="0" t="inlineStr">
        <is>
          <t>NULL</t>
        </is>
      </c>
      <c r="D1684" s="0" t="inlineStr">
        <is>
          <t>NULL</t>
        </is>
      </c>
      <c r="E1684" s="0" t="inlineStr">
        <is>
          <t>NULL</t>
        </is>
      </c>
      <c r="F1684" s="0" t="inlineStr">
        <is>
          <t>NULL</t>
        </is>
      </c>
      <c r="G1684" s="0" t="inlineStr">
        <is>
          <t>NULL</t>
        </is>
      </c>
      <c r="H1684" s="0" t="inlineStr">
        <is>
          <t>NULL</t>
        </is>
      </c>
      <c r="I1684" s="0" t="inlineStr">
        <is>
          <t>NULL</t>
        </is>
      </c>
      <c r="J1684" s="0" t="inlineStr">
        <is>
          <t>NULL</t>
        </is>
      </c>
      <c r="K1684" s="0" t="inlineStr">
        <is>
          <t>YES! 	 c_decimal38列源备映射正确，源端为decimal None位	期望更改为decimal(p,s)	实际备端为decimal None位</t>
        </is>
      </c>
    </row>
    <row r="1685">
      <c r="B1685" s="0" t="inlineStr">
        <is>
          <t>NULL</t>
        </is>
      </c>
      <c r="C1685" s="0" t="inlineStr">
        <is>
          <t>NULL</t>
        </is>
      </c>
      <c r="D1685" s="0" t="inlineStr">
        <is>
          <t>NULL</t>
        </is>
      </c>
      <c r="E1685" s="0" t="inlineStr">
        <is>
          <t>NULL</t>
        </is>
      </c>
      <c r="F1685" s="0" t="inlineStr">
        <is>
          <t>NULL</t>
        </is>
      </c>
      <c r="G1685" s="0" t="inlineStr">
        <is>
          <t>NULL</t>
        </is>
      </c>
      <c r="H1685" s="0" t="inlineStr">
        <is>
          <t>NULL</t>
        </is>
      </c>
      <c r="I1685" s="0" t="inlineStr">
        <is>
          <t>NULL</t>
        </is>
      </c>
      <c r="J1685" s="0" t="inlineStr">
        <is>
          <t>NULL</t>
        </is>
      </c>
      <c r="K1685" s="0" t="inlineStr">
        <is>
          <t>YES! 	 c_decimal38_38列源备映射正确，源端为decimal None位	期望更改为decimal(p,s)	实际备端为decimal None位</t>
        </is>
      </c>
    </row>
    <row r="1686">
      <c r="B1686" s="0" t="inlineStr">
        <is>
          <t>NULL</t>
        </is>
      </c>
      <c r="C1686" s="0" t="inlineStr">
        <is>
          <t>NULL</t>
        </is>
      </c>
      <c r="D1686" s="0" t="inlineStr">
        <is>
          <t>NULL</t>
        </is>
      </c>
      <c r="E1686" s="0" t="inlineStr">
        <is>
          <t>NULL</t>
        </is>
      </c>
      <c r="F1686" s="0" t="inlineStr">
        <is>
          <t>NULL</t>
        </is>
      </c>
      <c r="G1686" s="0" t="inlineStr">
        <is>
          <t>NULL</t>
        </is>
      </c>
      <c r="H1686" s="0" t="inlineStr">
        <is>
          <t>NULL</t>
        </is>
      </c>
      <c r="I1686" s="0" t="inlineStr">
        <is>
          <t>NULL</t>
        </is>
      </c>
      <c r="J1686" s="0" t="inlineStr">
        <is>
          <t>NULL</t>
        </is>
      </c>
      <c r="K1686" s="0" t="inlineStr">
        <is>
          <t>YES! 	 c_decimal38_10列源备映射正确，源端为decimal None位	期望更改为decimal(p,s)	实际备端为decimal None位</t>
        </is>
      </c>
    </row>
    <row r="1687">
      <c r="B1687" s="0" t="inlineStr">
        <is>
          <t>NULL</t>
        </is>
      </c>
      <c r="C1687" s="0" t="inlineStr">
        <is>
          <t>NULL</t>
        </is>
      </c>
      <c r="D1687" s="0" t="inlineStr">
        <is>
          <t>NULL</t>
        </is>
      </c>
      <c r="E1687" s="0" t="inlineStr">
        <is>
          <t>NULL</t>
        </is>
      </c>
      <c r="F1687" s="0" t="inlineStr">
        <is>
          <t>NULL</t>
        </is>
      </c>
      <c r="G1687" s="0" t="inlineStr">
        <is>
          <t>NULL</t>
        </is>
      </c>
      <c r="H1687" s="0" t="inlineStr">
        <is>
          <t>NULL</t>
        </is>
      </c>
      <c r="I1687" s="0" t="inlineStr">
        <is>
          <t>NULL</t>
        </is>
      </c>
      <c r="J1687" s="0" t="inlineStr">
        <is>
          <t>NULL</t>
        </is>
      </c>
      <c r="K1687" s="0" t="inlineStr">
        <is>
          <t>YES! 	 c_decimal19_4列源备映射正确，源端为decimal None位	期望更改为decimal(p,s)	实际备端为decimal None位</t>
        </is>
      </c>
    </row>
    <row r="1688">
      <c r="B1688" s="0" t="inlineStr">
        <is>
          <t>NULL</t>
        </is>
      </c>
      <c r="C1688" s="0" t="inlineStr">
        <is>
          <t>NULL</t>
        </is>
      </c>
      <c r="D1688" s="0" t="inlineStr">
        <is>
          <t>NULL</t>
        </is>
      </c>
      <c r="E1688" s="0" t="inlineStr">
        <is>
          <t>NULL</t>
        </is>
      </c>
      <c r="F1688" s="0" t="inlineStr">
        <is>
          <t>NULL</t>
        </is>
      </c>
      <c r="G1688" s="0" t="inlineStr">
        <is>
          <t>NULL</t>
        </is>
      </c>
      <c r="H1688" s="0" t="inlineStr">
        <is>
          <t>NULL</t>
        </is>
      </c>
      <c r="I1688" s="0" t="inlineStr">
        <is>
          <t>NULL</t>
        </is>
      </c>
      <c r="J1688" s="0" t="inlineStr">
        <is>
          <t>NULL</t>
        </is>
      </c>
      <c r="K1688" s="0" t="inlineStr">
        <is>
          <t>YES! 	 c_numeric列源备映射正确，源端为numeric None位	期望更改为numeric(p,s)	实际备端为numeric None位</t>
        </is>
      </c>
    </row>
    <row r="1689">
      <c r="B1689" s="0" t="inlineStr">
        <is>
          <t>NULL</t>
        </is>
      </c>
      <c r="C1689" s="0" t="inlineStr">
        <is>
          <t>NULL</t>
        </is>
      </c>
      <c r="D1689" s="0" t="inlineStr">
        <is>
          <t>NULL</t>
        </is>
      </c>
      <c r="E1689" s="0" t="inlineStr">
        <is>
          <t>NULL</t>
        </is>
      </c>
      <c r="F1689" s="0" t="inlineStr">
        <is>
          <t>NULL</t>
        </is>
      </c>
      <c r="G1689" s="0" t="inlineStr">
        <is>
          <t>NULL</t>
        </is>
      </c>
      <c r="H1689" s="0" t="inlineStr">
        <is>
          <t>NULL</t>
        </is>
      </c>
      <c r="I1689" s="0" t="inlineStr">
        <is>
          <t>NULL</t>
        </is>
      </c>
      <c r="J1689" s="0" t="inlineStr">
        <is>
          <t>NULL</t>
        </is>
      </c>
      <c r="K1689" s="0" t="inlineStr">
        <is>
          <t>YES! 	 c_numeric38列源备映射正确，源端为numeric None位	期望更改为numeric(p,s)	实际备端为numeric None位</t>
        </is>
      </c>
    </row>
    <row r="1690">
      <c r="B1690" s="0" t="inlineStr">
        <is>
          <t>NULL</t>
        </is>
      </c>
      <c r="C1690" s="0" t="inlineStr">
        <is>
          <t>NULL</t>
        </is>
      </c>
      <c r="D1690" s="0" t="inlineStr">
        <is>
          <t>NULL</t>
        </is>
      </c>
      <c r="E1690" s="0" t="inlineStr">
        <is>
          <t>NULL</t>
        </is>
      </c>
      <c r="F1690" s="0" t="inlineStr">
        <is>
          <t>NULL</t>
        </is>
      </c>
      <c r="G1690" s="0" t="inlineStr">
        <is>
          <t>NULL</t>
        </is>
      </c>
      <c r="H1690" s="0" t="inlineStr">
        <is>
          <t>NULL</t>
        </is>
      </c>
      <c r="I1690" s="0" t="inlineStr">
        <is>
          <t>NULL</t>
        </is>
      </c>
      <c r="J1690" s="0" t="inlineStr">
        <is>
          <t>NULL</t>
        </is>
      </c>
      <c r="K1690" s="0" t="inlineStr">
        <is>
          <t>YES! 	 c_numeric38_38列源备映射正确，源端为numeric None位	期望更改为numeric(p,s)	实际备端为numeric None位</t>
        </is>
      </c>
    </row>
    <row r="1691">
      <c r="B1691" s="0" t="inlineStr">
        <is>
          <t>NULL</t>
        </is>
      </c>
      <c r="C1691" s="0" t="inlineStr">
        <is>
          <t>NULL</t>
        </is>
      </c>
      <c r="D1691" s="0" t="inlineStr">
        <is>
          <t>NULL</t>
        </is>
      </c>
      <c r="E1691" s="0" t="inlineStr">
        <is>
          <t>NULL</t>
        </is>
      </c>
      <c r="F1691" s="0" t="inlineStr">
        <is>
          <t>NULL</t>
        </is>
      </c>
      <c r="G1691" s="0" t="inlineStr">
        <is>
          <t>NULL</t>
        </is>
      </c>
      <c r="H1691" s="0" t="inlineStr">
        <is>
          <t>NULL</t>
        </is>
      </c>
      <c r="I1691" s="0" t="inlineStr">
        <is>
          <t>NULL</t>
        </is>
      </c>
      <c r="J1691" s="0" t="inlineStr">
        <is>
          <t>NULL</t>
        </is>
      </c>
      <c r="K1691" s="0" t="inlineStr">
        <is>
          <t>YES! 	 c_numeric38_10列源备映射正确，源端为numeric None位	期望更改为numeric(p,s)	实际备端为numeric None位</t>
        </is>
      </c>
    </row>
    <row r="1692">
      <c r="B1692" s="0" t="inlineStr">
        <is>
          <t>NULL</t>
        </is>
      </c>
      <c r="C1692" s="0" t="inlineStr">
        <is>
          <t>NULL</t>
        </is>
      </c>
      <c r="D1692" s="0" t="inlineStr">
        <is>
          <t>NULL</t>
        </is>
      </c>
      <c r="E1692" s="0" t="inlineStr">
        <is>
          <t>NULL</t>
        </is>
      </c>
      <c r="F1692" s="0" t="inlineStr">
        <is>
          <t>NULL</t>
        </is>
      </c>
      <c r="G1692" s="0" t="inlineStr">
        <is>
          <t>NULL</t>
        </is>
      </c>
      <c r="H1692" s="0" t="inlineStr">
        <is>
          <t>NULL</t>
        </is>
      </c>
      <c r="I1692" s="0" t="inlineStr">
        <is>
          <t>NULL</t>
        </is>
      </c>
      <c r="J1692" s="0" t="inlineStr">
        <is>
          <t>NULL</t>
        </is>
      </c>
      <c r="K1692" s="0" t="inlineStr">
        <is>
          <t>YES! 	 c_numeric18_2列源备映射正确，源端为numeric None位	期望更改为numeric(p,s)	实际备端为numeric None位</t>
        </is>
      </c>
    </row>
    <row r="1693">
      <c r="B1693" s="0" t="inlineStr">
        <is>
          <t>NULL</t>
        </is>
      </c>
      <c r="C1693" s="0" t="inlineStr">
        <is>
          <t>NULL</t>
        </is>
      </c>
      <c r="D1693" s="0" t="inlineStr">
        <is>
          <t>NULL</t>
        </is>
      </c>
      <c r="E1693" s="0" t="inlineStr">
        <is>
          <t>NULL</t>
        </is>
      </c>
      <c r="F1693" s="0" t="inlineStr">
        <is>
          <t>NULL</t>
        </is>
      </c>
      <c r="G1693" s="0" t="inlineStr">
        <is>
          <t>NULL</t>
        </is>
      </c>
      <c r="H1693" s="0" t="inlineStr">
        <is>
          <t>NULL</t>
        </is>
      </c>
      <c r="I1693" s="0" t="inlineStr">
        <is>
          <t>NULL</t>
        </is>
      </c>
      <c r="J1693" s="0" t="inlineStr">
        <is>
          <t>NULL</t>
        </is>
      </c>
      <c r="K1693" s="0" t="inlineStr">
        <is>
          <t>YES! 	 c_float列源备映射正确，源端为float None位	期望更改为float	实际备端为float None位</t>
        </is>
      </c>
    </row>
    <row r="1694">
      <c r="B1694" s="0" t="inlineStr">
        <is>
          <t>NULL</t>
        </is>
      </c>
      <c r="C1694" s="0" t="inlineStr">
        <is>
          <t>NULL</t>
        </is>
      </c>
      <c r="D1694" s="0" t="inlineStr">
        <is>
          <t>NULL</t>
        </is>
      </c>
      <c r="E1694" s="0" t="inlineStr">
        <is>
          <t>NULL</t>
        </is>
      </c>
      <c r="F1694" s="0" t="inlineStr">
        <is>
          <t>NULL</t>
        </is>
      </c>
      <c r="G1694" s="0" t="inlineStr">
        <is>
          <t>NULL</t>
        </is>
      </c>
      <c r="H1694" s="0" t="inlineStr">
        <is>
          <t>NULL</t>
        </is>
      </c>
      <c r="I1694" s="0" t="inlineStr">
        <is>
          <t>NULL</t>
        </is>
      </c>
      <c r="J1694" s="0" t="inlineStr">
        <is>
          <t>NULL</t>
        </is>
      </c>
      <c r="K1694" s="0" t="inlineStr">
        <is>
          <t>YES! 	 c_real列源备映射正确，源端为real None位	期望更改为real	实际备端为real None位</t>
        </is>
      </c>
    </row>
    <row r="1695">
      <c r="B1695" s="0" t="inlineStr">
        <is>
          <t>NULL</t>
        </is>
      </c>
      <c r="C1695" s="0" t="inlineStr">
        <is>
          <t>NULL</t>
        </is>
      </c>
      <c r="D1695" s="0" t="inlineStr">
        <is>
          <t>NULL</t>
        </is>
      </c>
      <c r="E1695" s="0" t="inlineStr">
        <is>
          <t>NULL</t>
        </is>
      </c>
      <c r="F1695" s="0" t="inlineStr">
        <is>
          <t>NULL</t>
        </is>
      </c>
      <c r="G1695" s="0" t="inlineStr">
        <is>
          <t>NULL</t>
        </is>
      </c>
      <c r="H1695" s="0" t="inlineStr">
        <is>
          <t>NULL</t>
        </is>
      </c>
      <c r="I1695" s="0" t="inlineStr">
        <is>
          <t>NULL</t>
        </is>
      </c>
      <c r="J1695" s="0" t="inlineStr">
        <is>
          <t>NULL</t>
        </is>
      </c>
      <c r="K1695" s="0" t="inlineStr">
        <is>
          <t>YES! 	 c_money列源备映射正确，源端为money None位	期望更改为money	实际备端为money None位</t>
        </is>
      </c>
    </row>
    <row r="1696">
      <c r="B1696" s="0" t="inlineStr">
        <is>
          <t>NULL</t>
        </is>
      </c>
      <c r="C1696" s="0" t="inlineStr">
        <is>
          <t>NULL</t>
        </is>
      </c>
      <c r="D1696" s="0" t="inlineStr">
        <is>
          <t>NULL</t>
        </is>
      </c>
      <c r="E1696" s="0" t="inlineStr">
        <is>
          <t>NULL</t>
        </is>
      </c>
      <c r="F1696" s="0" t="inlineStr">
        <is>
          <t>NULL</t>
        </is>
      </c>
      <c r="G1696" s="0" t="inlineStr">
        <is>
          <t>NULL</t>
        </is>
      </c>
      <c r="H1696" s="0" t="inlineStr">
        <is>
          <t>NULL</t>
        </is>
      </c>
      <c r="I1696" s="0" t="inlineStr">
        <is>
          <t>NULL</t>
        </is>
      </c>
      <c r="J1696" s="0" t="inlineStr">
        <is>
          <t>NULL</t>
        </is>
      </c>
      <c r="K1696" s="0" t="inlineStr">
        <is>
          <t>YES! 	 c_smallmoney列源备映射正确，源端为smallmoney None位	期望更改为smallmoney	实际备端为smallmoney None位</t>
        </is>
      </c>
    </row>
    <row r="1697">
      <c r="B1697" s="0" t="inlineStr">
        <is>
          <t>NULL</t>
        </is>
      </c>
      <c r="C1697" s="0" t="inlineStr">
        <is>
          <t>NULL</t>
        </is>
      </c>
      <c r="D1697" s="0" t="inlineStr">
        <is>
          <t>NULL</t>
        </is>
      </c>
      <c r="E1697" s="0" t="inlineStr">
        <is>
          <t>NULL</t>
        </is>
      </c>
      <c r="F1697" s="0" t="inlineStr">
        <is>
          <t>NULL</t>
        </is>
      </c>
      <c r="G1697" s="0" t="inlineStr">
        <is>
          <t>NULL</t>
        </is>
      </c>
      <c r="H1697" s="0" t="inlineStr">
        <is>
          <t>NULL</t>
        </is>
      </c>
      <c r="I1697" s="0" t="inlineStr">
        <is>
          <t>NULL</t>
        </is>
      </c>
      <c r="J1697" s="0" t="inlineStr">
        <is>
          <t>NULL</t>
        </is>
      </c>
      <c r="K1697" s="0" t="inlineStr">
        <is>
          <t>YES! 	 c_bit列源备映射正确，源端为bit None位	期望更改为bit	实际备端为bit None位</t>
        </is>
      </c>
    </row>
    <row r="1698">
      <c r="A1698" s="0" t="inlineStr">
        <is>
          <t>info_uniqueidentifier_dml_single_pk_drp</t>
        </is>
      </c>
      <c r="K1698" s="0" t="inlineStr">
        <is>
          <t>[0;34m info_uniqueidentifier_dml_single_pk_drp [0m源备字段数相同，源端字段：2 	备端字段2</t>
        </is>
      </c>
      <c r="W1698" s="0" t="inlineStr">
        <is>
          <t>YES 源备无差异</t>
        </is>
      </c>
      <c r="X1698" s="0">
        <f>A1698</f>
        <v/>
      </c>
    </row>
    <row r="1699">
      <c r="B1699" s="0" t="inlineStr">
        <is>
          <t>YES</t>
        </is>
      </c>
      <c r="C1699" s="0" t="inlineStr">
        <is>
          <t>NULL</t>
        </is>
      </c>
      <c r="D1699" s="0" t="inlineStr">
        <is>
          <t>NULL</t>
        </is>
      </c>
      <c r="E1699" s="0" t="inlineStr">
        <is>
          <t>NULL</t>
        </is>
      </c>
      <c r="F1699" s="0" t="inlineStr">
        <is>
          <t>NULL</t>
        </is>
      </c>
      <c r="G1699" s="0" t="inlineStr">
        <is>
          <t>NULL</t>
        </is>
      </c>
      <c r="H1699" s="0" t="inlineStr">
        <is>
          <t>NULL</t>
        </is>
      </c>
      <c r="I1699" s="0" t="inlineStr">
        <is>
          <t>YES!PK__info_uni__3213E83F99C036A0</t>
        </is>
      </c>
      <c r="J1699" s="0" t="inlineStr">
        <is>
          <t>YES! 主键相关索引</t>
        </is>
      </c>
      <c r="K1699" s="0" t="inlineStr">
        <is>
          <t>YES! 	 id列源备映射正确，源端为int None位	期望更改为int	实际备端为int None位</t>
        </is>
      </c>
    </row>
    <row r="1700">
      <c r="B1700" s="0" t="inlineStr">
        <is>
          <t>NULL</t>
        </is>
      </c>
      <c r="C1700" s="0" t="inlineStr">
        <is>
          <t>NULL</t>
        </is>
      </c>
      <c r="D1700" s="0" t="inlineStr">
        <is>
          <t>NULL</t>
        </is>
      </c>
      <c r="E1700" s="0" t="inlineStr">
        <is>
          <t>NULL</t>
        </is>
      </c>
      <c r="F1700" s="0" t="inlineStr">
        <is>
          <t>NULL</t>
        </is>
      </c>
      <c r="G1700" s="0" t="inlineStr">
        <is>
          <t>NULL</t>
        </is>
      </c>
      <c r="H1700" s="0" t="inlineStr">
        <is>
          <t>NULL</t>
        </is>
      </c>
      <c r="I1700" s="0" t="inlineStr">
        <is>
          <t>NULL</t>
        </is>
      </c>
      <c r="J1700" s="0" t="inlineStr">
        <is>
          <t>NULL</t>
        </is>
      </c>
      <c r="K1700" s="0" t="inlineStr">
        <is>
          <t>YES! 	 c_uniqueidentifier列源备映射正确，源端为uniqueidentifier None位	期望更改为uniqueidentifier	实际备端为uniqueidentifier None位</t>
        </is>
      </c>
    </row>
    <row r="1701">
      <c r="A1701" s="0" t="inlineStr">
        <is>
          <t>info_varbinary_max_dml_single_pk_irp</t>
        </is>
      </c>
      <c r="K1701" s="0" t="inlineStr">
        <is>
          <t>[0;34m info_varbinary_max_dml_single_pk_irp [0m源备字段数相同，源端字段：4 	备端字段4</t>
        </is>
      </c>
      <c r="W1701" s="0" t="inlineStr">
        <is>
          <t>YES 源备无差异</t>
        </is>
      </c>
      <c r="X1701" s="0">
        <f>A1701</f>
        <v/>
      </c>
    </row>
    <row r="1702">
      <c r="B1702" s="0" t="inlineStr">
        <is>
          <t>YES</t>
        </is>
      </c>
      <c r="C1702" s="0" t="inlineStr">
        <is>
          <t>NULL</t>
        </is>
      </c>
      <c r="D1702" s="0" t="inlineStr">
        <is>
          <t>NULL</t>
        </is>
      </c>
      <c r="E1702" s="0" t="inlineStr">
        <is>
          <t>NULL</t>
        </is>
      </c>
      <c r="F1702" s="0" t="inlineStr">
        <is>
          <t>NULL</t>
        </is>
      </c>
      <c r="G1702" s="0" t="inlineStr">
        <is>
          <t>NULL</t>
        </is>
      </c>
      <c r="H1702" s="0" t="inlineStr">
        <is>
          <t>NULL</t>
        </is>
      </c>
      <c r="I1702" s="0" t="inlineStr">
        <is>
          <t>YES!PK__info_var__3213E83F00D7D29D</t>
        </is>
      </c>
      <c r="J1702" s="0" t="inlineStr">
        <is>
          <t>YES! 主键相关索引</t>
        </is>
      </c>
      <c r="K1702" s="0" t="inlineStr">
        <is>
          <t>YES! 	 id列源备映射正确，源端为int None位	期望更改为int	实际备端为int None位</t>
        </is>
      </c>
    </row>
    <row r="1703">
      <c r="B1703" s="0" t="inlineStr">
        <is>
          <t>NULL</t>
        </is>
      </c>
      <c r="C1703" s="0" t="inlineStr">
        <is>
          <t>NULL</t>
        </is>
      </c>
      <c r="D1703" s="0" t="inlineStr">
        <is>
          <t>NULL</t>
        </is>
      </c>
      <c r="E1703" s="0" t="inlineStr">
        <is>
          <t>NULL</t>
        </is>
      </c>
      <c r="F1703" s="0" t="inlineStr">
        <is>
          <t>NULL</t>
        </is>
      </c>
      <c r="G1703" s="0" t="inlineStr">
        <is>
          <t>NULL</t>
        </is>
      </c>
      <c r="H1703" s="0" t="inlineStr">
        <is>
          <t>NULL</t>
        </is>
      </c>
      <c r="I1703" s="0" t="inlineStr">
        <is>
          <t>NULL</t>
        </is>
      </c>
      <c r="J1703" s="0" t="inlineStr">
        <is>
          <t>NULL</t>
        </is>
      </c>
      <c r="K1703" s="0" t="inlineStr">
        <is>
          <t>YES! 	 c_varbinary_max1列源备映射正确，源端为varbinary -1位	期望更改为varbinary(n)	实际备端为varbinary -1位</t>
        </is>
      </c>
    </row>
    <row r="1704">
      <c r="B1704" s="0" t="inlineStr">
        <is>
          <t>NULL</t>
        </is>
      </c>
      <c r="C1704" s="0" t="inlineStr">
        <is>
          <t>NULL</t>
        </is>
      </c>
      <c r="D1704" s="0" t="inlineStr">
        <is>
          <t>NULL</t>
        </is>
      </c>
      <c r="E1704" s="0" t="inlineStr">
        <is>
          <t>NULL</t>
        </is>
      </c>
      <c r="F1704" s="0" t="inlineStr">
        <is>
          <t>NULL</t>
        </is>
      </c>
      <c r="G1704" s="0" t="inlineStr">
        <is>
          <t>NULL</t>
        </is>
      </c>
      <c r="H1704" s="0" t="inlineStr">
        <is>
          <t>NULL</t>
        </is>
      </c>
      <c r="I1704" s="0" t="inlineStr">
        <is>
          <t>NULL</t>
        </is>
      </c>
      <c r="J1704" s="0" t="inlineStr">
        <is>
          <t>NULL</t>
        </is>
      </c>
      <c r="K1704" s="0" t="inlineStr">
        <is>
          <t>YES! 	 c_varbinary_max2列源备映射正确，源端为varbinary -1位	期望更改为varbinary(n)	实际备端为varbinary -1位</t>
        </is>
      </c>
    </row>
    <row r="1705">
      <c r="B1705" s="0" t="inlineStr">
        <is>
          <t>NULL</t>
        </is>
      </c>
      <c r="C1705" s="0" t="inlineStr">
        <is>
          <t>NULL</t>
        </is>
      </c>
      <c r="D1705" s="0" t="inlineStr">
        <is>
          <t>NULL</t>
        </is>
      </c>
      <c r="E1705" s="0" t="inlineStr">
        <is>
          <t>NULL</t>
        </is>
      </c>
      <c r="F1705" s="0" t="inlineStr">
        <is>
          <t>NULL</t>
        </is>
      </c>
      <c r="G1705" s="0" t="inlineStr">
        <is>
          <t>NULL</t>
        </is>
      </c>
      <c r="H1705" s="0" t="inlineStr">
        <is>
          <t>NULL</t>
        </is>
      </c>
      <c r="I1705" s="0" t="inlineStr">
        <is>
          <t>NULL</t>
        </is>
      </c>
      <c r="J1705" s="0" t="inlineStr">
        <is>
          <t>NULL</t>
        </is>
      </c>
      <c r="K1705" s="0" t="inlineStr">
        <is>
          <t>YES! 	 c_image3列源备映射正确，源端为image 2147483647位	期望更改为image	实际备端为image 2147483647位</t>
        </is>
      </c>
    </row>
    <row r="1706">
      <c r="A1706" s="0" t="inlineStr">
        <is>
          <t>info_int_dml_batch2_pk_irp1</t>
        </is>
      </c>
      <c r="K1706" s="0" t="inlineStr">
        <is>
          <t>[0;34m info_int_dml_batch2_pk_irp1 [0m源备字段数相同，源端字段：20 	备端字段20</t>
        </is>
      </c>
      <c r="W1706" s="0" t="inlineStr">
        <is>
          <t>YES 源备无差异</t>
        </is>
      </c>
      <c r="X1706" s="0">
        <f>A1706</f>
        <v/>
      </c>
    </row>
    <row r="1707">
      <c r="B1707" s="0" t="inlineStr">
        <is>
          <t>YES</t>
        </is>
      </c>
      <c r="C1707" s="0" t="inlineStr">
        <is>
          <t>NULL</t>
        </is>
      </c>
      <c r="D1707" s="0" t="inlineStr">
        <is>
          <t>NULL</t>
        </is>
      </c>
      <c r="E1707" s="0" t="inlineStr">
        <is>
          <t>NULL</t>
        </is>
      </c>
      <c r="F1707" s="0" t="inlineStr">
        <is>
          <t>NULL</t>
        </is>
      </c>
      <c r="G1707" s="0" t="inlineStr">
        <is>
          <t>NULL</t>
        </is>
      </c>
      <c r="H1707" s="0" t="inlineStr">
        <is>
          <t>NULL</t>
        </is>
      </c>
      <c r="I1707" s="0" t="inlineStr">
        <is>
          <t>YES!PK__info_int__3213E83FC4381871</t>
        </is>
      </c>
      <c r="J1707" s="0" t="inlineStr">
        <is>
          <t>YES! 主键相关索引</t>
        </is>
      </c>
      <c r="K1707" s="0" t="inlineStr">
        <is>
          <t>YES! 	 id列源备映射正确，源端为int None位	期望更改为int	实际备端为int None位</t>
        </is>
      </c>
    </row>
    <row r="1708">
      <c r="B1708" s="0" t="inlineStr">
        <is>
          <t>NULL</t>
        </is>
      </c>
      <c r="C1708" s="0" t="inlineStr">
        <is>
          <t>NULL</t>
        </is>
      </c>
      <c r="D1708" s="0" t="inlineStr">
        <is>
          <t>NULL</t>
        </is>
      </c>
      <c r="E1708" s="0" t="inlineStr">
        <is>
          <t>NULL</t>
        </is>
      </c>
      <c r="F1708" s="0" t="inlineStr">
        <is>
          <t>NULL</t>
        </is>
      </c>
      <c r="G1708" s="0" t="inlineStr">
        <is>
          <t>NULL</t>
        </is>
      </c>
      <c r="H1708" s="0" t="inlineStr">
        <is>
          <t>NULL</t>
        </is>
      </c>
      <c r="I1708" s="0" t="inlineStr">
        <is>
          <t>NULL</t>
        </is>
      </c>
      <c r="J1708" s="0" t="inlineStr">
        <is>
          <t>NULL</t>
        </is>
      </c>
      <c r="K1708" s="0" t="inlineStr">
        <is>
          <t>YES! 	 c_tinyint列源备映射正确，源端为tinyint None位	期望更改为tinyint	实际备端为tinyint None位</t>
        </is>
      </c>
    </row>
    <row r="1709">
      <c r="B1709" s="0" t="inlineStr">
        <is>
          <t>NULL</t>
        </is>
      </c>
      <c r="C1709" s="0" t="inlineStr">
        <is>
          <t>NULL</t>
        </is>
      </c>
      <c r="D1709" s="0" t="inlineStr">
        <is>
          <t>NULL</t>
        </is>
      </c>
      <c r="E1709" s="0" t="inlineStr">
        <is>
          <t>NULL</t>
        </is>
      </c>
      <c r="F1709" s="0" t="inlineStr">
        <is>
          <t>NULL</t>
        </is>
      </c>
      <c r="G1709" s="0" t="inlineStr">
        <is>
          <t>NULL</t>
        </is>
      </c>
      <c r="H1709" s="0" t="inlineStr">
        <is>
          <t>NULL</t>
        </is>
      </c>
      <c r="I1709" s="0" t="inlineStr">
        <is>
          <t>NULL</t>
        </is>
      </c>
      <c r="J1709" s="0" t="inlineStr">
        <is>
          <t>NULL</t>
        </is>
      </c>
      <c r="K1709" s="0" t="inlineStr">
        <is>
          <t>YES! 	 c_smallint列源备映射正确，源端为smallint None位	期望更改为smallint	实际备端为smallint None位</t>
        </is>
      </c>
    </row>
    <row r="1710">
      <c r="B1710" s="0" t="inlineStr">
        <is>
          <t>NULL</t>
        </is>
      </c>
      <c r="C1710" s="0" t="inlineStr">
        <is>
          <t>NULL</t>
        </is>
      </c>
      <c r="D1710" s="0" t="inlineStr">
        <is>
          <t>NULL</t>
        </is>
      </c>
      <c r="E1710" s="0" t="inlineStr">
        <is>
          <t>NULL</t>
        </is>
      </c>
      <c r="F1710" s="0" t="inlineStr">
        <is>
          <t>NULL</t>
        </is>
      </c>
      <c r="G1710" s="0" t="inlineStr">
        <is>
          <t>NULL</t>
        </is>
      </c>
      <c r="H1710" s="0" t="inlineStr">
        <is>
          <t>NULL</t>
        </is>
      </c>
      <c r="I1710" s="0" t="inlineStr">
        <is>
          <t>NULL</t>
        </is>
      </c>
      <c r="J1710" s="0" t="inlineStr">
        <is>
          <t>NULL</t>
        </is>
      </c>
      <c r="K1710" s="0" t="inlineStr">
        <is>
          <t>YES! 	 c_int列源备映射正确，源端为int None位	期望更改为int	实际备端为int None位</t>
        </is>
      </c>
    </row>
    <row r="1711">
      <c r="B1711" s="0" t="inlineStr">
        <is>
          <t>NULL</t>
        </is>
      </c>
      <c r="C1711" s="0" t="inlineStr">
        <is>
          <t>NULL</t>
        </is>
      </c>
      <c r="D1711" s="0" t="inlineStr">
        <is>
          <t>NULL</t>
        </is>
      </c>
      <c r="E1711" s="0" t="inlineStr">
        <is>
          <t>NULL</t>
        </is>
      </c>
      <c r="F1711" s="0" t="inlineStr">
        <is>
          <t>NULL</t>
        </is>
      </c>
      <c r="G1711" s="0" t="inlineStr">
        <is>
          <t>NULL</t>
        </is>
      </c>
      <c r="H1711" s="0" t="inlineStr">
        <is>
          <t>NULL</t>
        </is>
      </c>
      <c r="I1711" s="0" t="inlineStr">
        <is>
          <t>NULL</t>
        </is>
      </c>
      <c r="J1711" s="0" t="inlineStr">
        <is>
          <t>NULL</t>
        </is>
      </c>
      <c r="K1711" s="0" t="inlineStr">
        <is>
          <t>YES! 	 c_bigint列源备映射正确，源端为bigint None位	期望更改为bigint	实际备端为bigint None位</t>
        </is>
      </c>
    </row>
    <row r="1712">
      <c r="B1712" s="0" t="inlineStr">
        <is>
          <t>NULL</t>
        </is>
      </c>
      <c r="C1712" s="0" t="inlineStr">
        <is>
          <t>NULL</t>
        </is>
      </c>
      <c r="D1712" s="0" t="inlineStr">
        <is>
          <t>NULL</t>
        </is>
      </c>
      <c r="E1712" s="0" t="inlineStr">
        <is>
          <t>NULL</t>
        </is>
      </c>
      <c r="F1712" s="0" t="inlineStr">
        <is>
          <t>NULL</t>
        </is>
      </c>
      <c r="G1712" s="0" t="inlineStr">
        <is>
          <t>NULL</t>
        </is>
      </c>
      <c r="H1712" s="0" t="inlineStr">
        <is>
          <t>NULL</t>
        </is>
      </c>
      <c r="I1712" s="0" t="inlineStr">
        <is>
          <t>NULL</t>
        </is>
      </c>
      <c r="J1712" s="0" t="inlineStr">
        <is>
          <t>NULL</t>
        </is>
      </c>
      <c r="K1712" s="0" t="inlineStr">
        <is>
          <t>YES! 	 c_decimal列源备映射正确，源端为decimal None位	期望更改为decimal(p,s)	实际备端为decimal None位</t>
        </is>
      </c>
    </row>
    <row r="1713">
      <c r="B1713" s="0" t="inlineStr">
        <is>
          <t>NULL</t>
        </is>
      </c>
      <c r="C1713" s="0" t="inlineStr">
        <is>
          <t>NULL</t>
        </is>
      </c>
      <c r="D1713" s="0" t="inlineStr">
        <is>
          <t>NULL</t>
        </is>
      </c>
      <c r="E1713" s="0" t="inlineStr">
        <is>
          <t>NULL</t>
        </is>
      </c>
      <c r="F1713" s="0" t="inlineStr">
        <is>
          <t>NULL</t>
        </is>
      </c>
      <c r="G1713" s="0" t="inlineStr">
        <is>
          <t>NULL</t>
        </is>
      </c>
      <c r="H1713" s="0" t="inlineStr">
        <is>
          <t>NULL</t>
        </is>
      </c>
      <c r="I1713" s="0" t="inlineStr">
        <is>
          <t>NULL</t>
        </is>
      </c>
      <c r="J1713" s="0" t="inlineStr">
        <is>
          <t>NULL</t>
        </is>
      </c>
      <c r="K1713" s="0" t="inlineStr">
        <is>
          <t>YES! 	 c_decimal38列源备映射正确，源端为decimal None位	期望更改为decimal(p,s)	实际备端为decimal None位</t>
        </is>
      </c>
    </row>
    <row r="1714">
      <c r="B1714" s="0" t="inlineStr">
        <is>
          <t>NULL</t>
        </is>
      </c>
      <c r="C1714" s="0" t="inlineStr">
        <is>
          <t>NULL</t>
        </is>
      </c>
      <c r="D1714" s="0" t="inlineStr">
        <is>
          <t>NULL</t>
        </is>
      </c>
      <c r="E1714" s="0" t="inlineStr">
        <is>
          <t>NULL</t>
        </is>
      </c>
      <c r="F1714" s="0" t="inlineStr">
        <is>
          <t>NULL</t>
        </is>
      </c>
      <c r="G1714" s="0" t="inlineStr">
        <is>
          <t>NULL</t>
        </is>
      </c>
      <c r="H1714" s="0" t="inlineStr">
        <is>
          <t>NULL</t>
        </is>
      </c>
      <c r="I1714" s="0" t="inlineStr">
        <is>
          <t>NULL</t>
        </is>
      </c>
      <c r="J1714" s="0" t="inlineStr">
        <is>
          <t>NULL</t>
        </is>
      </c>
      <c r="K1714" s="0" t="inlineStr">
        <is>
          <t>YES! 	 c_decimal38_38列源备映射正确，源端为decimal None位	期望更改为decimal(p,s)	实际备端为decimal None位</t>
        </is>
      </c>
    </row>
    <row r="1715">
      <c r="B1715" s="0" t="inlineStr">
        <is>
          <t>NULL</t>
        </is>
      </c>
      <c r="C1715" s="0" t="inlineStr">
        <is>
          <t>NULL</t>
        </is>
      </c>
      <c r="D1715" s="0" t="inlineStr">
        <is>
          <t>NULL</t>
        </is>
      </c>
      <c r="E1715" s="0" t="inlineStr">
        <is>
          <t>NULL</t>
        </is>
      </c>
      <c r="F1715" s="0" t="inlineStr">
        <is>
          <t>NULL</t>
        </is>
      </c>
      <c r="G1715" s="0" t="inlineStr">
        <is>
          <t>NULL</t>
        </is>
      </c>
      <c r="H1715" s="0" t="inlineStr">
        <is>
          <t>NULL</t>
        </is>
      </c>
      <c r="I1715" s="0" t="inlineStr">
        <is>
          <t>NULL</t>
        </is>
      </c>
      <c r="J1715" s="0" t="inlineStr">
        <is>
          <t>NULL</t>
        </is>
      </c>
      <c r="K1715" s="0" t="inlineStr">
        <is>
          <t>YES! 	 c_decimal38_10列源备映射正确，源端为decimal None位	期望更改为decimal(p,s)	实际备端为decimal None位</t>
        </is>
      </c>
    </row>
    <row r="1716">
      <c r="B1716" s="0" t="inlineStr">
        <is>
          <t>NULL</t>
        </is>
      </c>
      <c r="C1716" s="0" t="inlineStr">
        <is>
          <t>NULL</t>
        </is>
      </c>
      <c r="D1716" s="0" t="inlineStr">
        <is>
          <t>NULL</t>
        </is>
      </c>
      <c r="E1716" s="0" t="inlineStr">
        <is>
          <t>NULL</t>
        </is>
      </c>
      <c r="F1716" s="0" t="inlineStr">
        <is>
          <t>NULL</t>
        </is>
      </c>
      <c r="G1716" s="0" t="inlineStr">
        <is>
          <t>NULL</t>
        </is>
      </c>
      <c r="H1716" s="0" t="inlineStr">
        <is>
          <t>NULL</t>
        </is>
      </c>
      <c r="I1716" s="0" t="inlineStr">
        <is>
          <t>NULL</t>
        </is>
      </c>
      <c r="J1716" s="0" t="inlineStr">
        <is>
          <t>NULL</t>
        </is>
      </c>
      <c r="K1716" s="0" t="inlineStr">
        <is>
          <t>YES! 	 c_decimal19_4列源备映射正确，源端为decimal None位	期望更改为decimal(p,s)	实际备端为decimal None位</t>
        </is>
      </c>
    </row>
    <row r="1717">
      <c r="B1717" s="0" t="inlineStr">
        <is>
          <t>NULL</t>
        </is>
      </c>
      <c r="C1717" s="0" t="inlineStr">
        <is>
          <t>NULL</t>
        </is>
      </c>
      <c r="D1717" s="0" t="inlineStr">
        <is>
          <t>NULL</t>
        </is>
      </c>
      <c r="E1717" s="0" t="inlineStr">
        <is>
          <t>NULL</t>
        </is>
      </c>
      <c r="F1717" s="0" t="inlineStr">
        <is>
          <t>NULL</t>
        </is>
      </c>
      <c r="G1717" s="0" t="inlineStr">
        <is>
          <t>NULL</t>
        </is>
      </c>
      <c r="H1717" s="0" t="inlineStr">
        <is>
          <t>NULL</t>
        </is>
      </c>
      <c r="I1717" s="0" t="inlineStr">
        <is>
          <t>NULL</t>
        </is>
      </c>
      <c r="J1717" s="0" t="inlineStr">
        <is>
          <t>NULL</t>
        </is>
      </c>
      <c r="K1717" s="0" t="inlineStr">
        <is>
          <t>YES! 	 c_numeric列源备映射正确，源端为numeric None位	期望更改为numeric(p,s)	实际备端为numeric None位</t>
        </is>
      </c>
    </row>
    <row r="1718">
      <c r="B1718" s="0" t="inlineStr">
        <is>
          <t>NULL</t>
        </is>
      </c>
      <c r="C1718" s="0" t="inlineStr">
        <is>
          <t>NULL</t>
        </is>
      </c>
      <c r="D1718" s="0" t="inlineStr">
        <is>
          <t>NULL</t>
        </is>
      </c>
      <c r="E1718" s="0" t="inlineStr">
        <is>
          <t>NULL</t>
        </is>
      </c>
      <c r="F1718" s="0" t="inlineStr">
        <is>
          <t>NULL</t>
        </is>
      </c>
      <c r="G1718" s="0" t="inlineStr">
        <is>
          <t>NULL</t>
        </is>
      </c>
      <c r="H1718" s="0" t="inlineStr">
        <is>
          <t>NULL</t>
        </is>
      </c>
      <c r="I1718" s="0" t="inlineStr">
        <is>
          <t>NULL</t>
        </is>
      </c>
      <c r="J1718" s="0" t="inlineStr">
        <is>
          <t>NULL</t>
        </is>
      </c>
      <c r="K1718" s="0" t="inlineStr">
        <is>
          <t>YES! 	 c_numeric38列源备映射正确，源端为numeric None位	期望更改为numeric(p,s)	实际备端为numeric None位</t>
        </is>
      </c>
    </row>
    <row r="1719">
      <c r="B1719" s="0" t="inlineStr">
        <is>
          <t>NULL</t>
        </is>
      </c>
      <c r="C1719" s="0" t="inlineStr">
        <is>
          <t>NULL</t>
        </is>
      </c>
      <c r="D1719" s="0" t="inlineStr">
        <is>
          <t>NULL</t>
        </is>
      </c>
      <c r="E1719" s="0" t="inlineStr">
        <is>
          <t>NULL</t>
        </is>
      </c>
      <c r="F1719" s="0" t="inlineStr">
        <is>
          <t>NULL</t>
        </is>
      </c>
      <c r="G1719" s="0" t="inlineStr">
        <is>
          <t>NULL</t>
        </is>
      </c>
      <c r="H1719" s="0" t="inlineStr">
        <is>
          <t>NULL</t>
        </is>
      </c>
      <c r="I1719" s="0" t="inlineStr">
        <is>
          <t>NULL</t>
        </is>
      </c>
      <c r="J1719" s="0" t="inlineStr">
        <is>
          <t>NULL</t>
        </is>
      </c>
      <c r="K1719" s="0" t="inlineStr">
        <is>
          <t>YES! 	 c_numeric38_38列源备映射正确，源端为numeric None位	期望更改为numeric(p,s)	实际备端为numeric None位</t>
        </is>
      </c>
    </row>
    <row r="1720">
      <c r="B1720" s="0" t="inlineStr">
        <is>
          <t>NULL</t>
        </is>
      </c>
      <c r="C1720" s="0" t="inlineStr">
        <is>
          <t>NULL</t>
        </is>
      </c>
      <c r="D1720" s="0" t="inlineStr">
        <is>
          <t>NULL</t>
        </is>
      </c>
      <c r="E1720" s="0" t="inlineStr">
        <is>
          <t>NULL</t>
        </is>
      </c>
      <c r="F1720" s="0" t="inlineStr">
        <is>
          <t>NULL</t>
        </is>
      </c>
      <c r="G1720" s="0" t="inlineStr">
        <is>
          <t>NULL</t>
        </is>
      </c>
      <c r="H1720" s="0" t="inlineStr">
        <is>
          <t>NULL</t>
        </is>
      </c>
      <c r="I1720" s="0" t="inlineStr">
        <is>
          <t>NULL</t>
        </is>
      </c>
      <c r="J1720" s="0" t="inlineStr">
        <is>
          <t>NULL</t>
        </is>
      </c>
      <c r="K1720" s="0" t="inlineStr">
        <is>
          <t>YES! 	 c_numeric38_10列源备映射正确，源端为numeric None位	期望更改为numeric(p,s)	实际备端为numeric None位</t>
        </is>
      </c>
    </row>
    <row r="1721">
      <c r="B1721" s="0" t="inlineStr">
        <is>
          <t>NULL</t>
        </is>
      </c>
      <c r="C1721" s="0" t="inlineStr">
        <is>
          <t>NULL</t>
        </is>
      </c>
      <c r="D1721" s="0" t="inlineStr">
        <is>
          <t>NULL</t>
        </is>
      </c>
      <c r="E1721" s="0" t="inlineStr">
        <is>
          <t>NULL</t>
        </is>
      </c>
      <c r="F1721" s="0" t="inlineStr">
        <is>
          <t>NULL</t>
        </is>
      </c>
      <c r="G1721" s="0" t="inlineStr">
        <is>
          <t>NULL</t>
        </is>
      </c>
      <c r="H1721" s="0" t="inlineStr">
        <is>
          <t>NULL</t>
        </is>
      </c>
      <c r="I1721" s="0" t="inlineStr">
        <is>
          <t>NULL</t>
        </is>
      </c>
      <c r="J1721" s="0" t="inlineStr">
        <is>
          <t>NULL</t>
        </is>
      </c>
      <c r="K1721" s="0" t="inlineStr">
        <is>
          <t>YES! 	 c_numeric18_2列源备映射正确，源端为numeric None位	期望更改为numeric(p,s)	实际备端为numeric None位</t>
        </is>
      </c>
    </row>
    <row r="1722">
      <c r="B1722" s="0" t="inlineStr">
        <is>
          <t>NULL</t>
        </is>
      </c>
      <c r="C1722" s="0" t="inlineStr">
        <is>
          <t>NULL</t>
        </is>
      </c>
      <c r="D1722" s="0" t="inlineStr">
        <is>
          <t>NULL</t>
        </is>
      </c>
      <c r="E1722" s="0" t="inlineStr">
        <is>
          <t>NULL</t>
        </is>
      </c>
      <c r="F1722" s="0" t="inlineStr">
        <is>
          <t>NULL</t>
        </is>
      </c>
      <c r="G1722" s="0" t="inlineStr">
        <is>
          <t>NULL</t>
        </is>
      </c>
      <c r="H1722" s="0" t="inlineStr">
        <is>
          <t>NULL</t>
        </is>
      </c>
      <c r="I1722" s="0" t="inlineStr">
        <is>
          <t>NULL</t>
        </is>
      </c>
      <c r="J1722" s="0" t="inlineStr">
        <is>
          <t>NULL</t>
        </is>
      </c>
      <c r="K1722" s="0" t="inlineStr">
        <is>
          <t>YES! 	 c_float列源备映射正确，源端为float None位	期望更改为float	实际备端为float None位</t>
        </is>
      </c>
    </row>
    <row r="1723">
      <c r="B1723" s="0" t="inlineStr">
        <is>
          <t>NULL</t>
        </is>
      </c>
      <c r="C1723" s="0" t="inlineStr">
        <is>
          <t>NULL</t>
        </is>
      </c>
      <c r="D1723" s="0" t="inlineStr">
        <is>
          <t>NULL</t>
        </is>
      </c>
      <c r="E1723" s="0" t="inlineStr">
        <is>
          <t>NULL</t>
        </is>
      </c>
      <c r="F1723" s="0" t="inlineStr">
        <is>
          <t>NULL</t>
        </is>
      </c>
      <c r="G1723" s="0" t="inlineStr">
        <is>
          <t>NULL</t>
        </is>
      </c>
      <c r="H1723" s="0" t="inlineStr">
        <is>
          <t>NULL</t>
        </is>
      </c>
      <c r="I1723" s="0" t="inlineStr">
        <is>
          <t>NULL</t>
        </is>
      </c>
      <c r="J1723" s="0" t="inlineStr">
        <is>
          <t>NULL</t>
        </is>
      </c>
      <c r="K1723" s="0" t="inlineStr">
        <is>
          <t>YES! 	 c_real列源备映射正确，源端为real None位	期望更改为real	实际备端为real None位</t>
        </is>
      </c>
    </row>
    <row r="1724">
      <c r="B1724" s="0" t="inlineStr">
        <is>
          <t>NULL</t>
        </is>
      </c>
      <c r="C1724" s="0" t="inlineStr">
        <is>
          <t>NULL</t>
        </is>
      </c>
      <c r="D1724" s="0" t="inlineStr">
        <is>
          <t>NULL</t>
        </is>
      </c>
      <c r="E1724" s="0" t="inlineStr">
        <is>
          <t>NULL</t>
        </is>
      </c>
      <c r="F1724" s="0" t="inlineStr">
        <is>
          <t>NULL</t>
        </is>
      </c>
      <c r="G1724" s="0" t="inlineStr">
        <is>
          <t>NULL</t>
        </is>
      </c>
      <c r="H1724" s="0" t="inlineStr">
        <is>
          <t>NULL</t>
        </is>
      </c>
      <c r="I1724" s="0" t="inlineStr">
        <is>
          <t>NULL</t>
        </is>
      </c>
      <c r="J1724" s="0" t="inlineStr">
        <is>
          <t>NULL</t>
        </is>
      </c>
      <c r="K1724" s="0" t="inlineStr">
        <is>
          <t>YES! 	 c_money列源备映射正确，源端为money None位	期望更改为money	实际备端为money None位</t>
        </is>
      </c>
    </row>
    <row r="1725">
      <c r="B1725" s="0" t="inlineStr">
        <is>
          <t>NULL</t>
        </is>
      </c>
      <c r="C1725" s="0" t="inlineStr">
        <is>
          <t>NULL</t>
        </is>
      </c>
      <c r="D1725" s="0" t="inlineStr">
        <is>
          <t>NULL</t>
        </is>
      </c>
      <c r="E1725" s="0" t="inlineStr">
        <is>
          <t>NULL</t>
        </is>
      </c>
      <c r="F1725" s="0" t="inlineStr">
        <is>
          <t>NULL</t>
        </is>
      </c>
      <c r="G1725" s="0" t="inlineStr">
        <is>
          <t>NULL</t>
        </is>
      </c>
      <c r="H1725" s="0" t="inlineStr">
        <is>
          <t>NULL</t>
        </is>
      </c>
      <c r="I1725" s="0" t="inlineStr">
        <is>
          <t>NULL</t>
        </is>
      </c>
      <c r="J1725" s="0" t="inlineStr">
        <is>
          <t>NULL</t>
        </is>
      </c>
      <c r="K1725" s="0" t="inlineStr">
        <is>
          <t>YES! 	 c_smallmoney列源备映射正确，源端为smallmoney None位	期望更改为smallmoney	实际备端为smallmoney None位</t>
        </is>
      </c>
    </row>
    <row r="1726">
      <c r="B1726" s="0" t="inlineStr">
        <is>
          <t>NULL</t>
        </is>
      </c>
      <c r="C1726" s="0" t="inlineStr">
        <is>
          <t>NULL</t>
        </is>
      </c>
      <c r="D1726" s="0" t="inlineStr">
        <is>
          <t>NULL</t>
        </is>
      </c>
      <c r="E1726" s="0" t="inlineStr">
        <is>
          <t>NULL</t>
        </is>
      </c>
      <c r="F1726" s="0" t="inlineStr">
        <is>
          <t>NULL</t>
        </is>
      </c>
      <c r="G1726" s="0" t="inlineStr">
        <is>
          <t>NULL</t>
        </is>
      </c>
      <c r="H1726" s="0" t="inlineStr">
        <is>
          <t>NULL</t>
        </is>
      </c>
      <c r="I1726" s="0" t="inlineStr">
        <is>
          <t>NULL</t>
        </is>
      </c>
      <c r="J1726" s="0" t="inlineStr">
        <is>
          <t>NULL</t>
        </is>
      </c>
      <c r="K1726" s="0" t="inlineStr">
        <is>
          <t>YES! 	 c_bit列源备映射正确，源端为bit None位	期望更改为bit	实际备端为bit None位</t>
        </is>
      </c>
    </row>
    <row r="1727">
      <c r="A1727" s="0" t="inlineStr">
        <is>
          <t>info_uniqueidentifier_dml_single_pk</t>
        </is>
      </c>
      <c r="K1727" s="0" t="inlineStr">
        <is>
          <t>[0;34m info_uniqueidentifier_dml_single_pk [0m源备字段数相同，源端字段：2 	备端字段2</t>
        </is>
      </c>
      <c r="W1727" s="0" t="inlineStr">
        <is>
          <t>YES 源备无差异</t>
        </is>
      </c>
      <c r="X1727" s="0">
        <f>A1727</f>
        <v/>
      </c>
    </row>
    <row r="1728">
      <c r="B1728" s="0" t="inlineStr">
        <is>
          <t>YES</t>
        </is>
      </c>
      <c r="C1728" s="0" t="inlineStr">
        <is>
          <t>NULL</t>
        </is>
      </c>
      <c r="D1728" s="0" t="inlineStr">
        <is>
          <t>NULL</t>
        </is>
      </c>
      <c r="E1728" s="0" t="inlineStr">
        <is>
          <t>NULL</t>
        </is>
      </c>
      <c r="F1728" s="0" t="inlineStr">
        <is>
          <t>NULL</t>
        </is>
      </c>
      <c r="G1728" s="0" t="inlineStr">
        <is>
          <t>NULL</t>
        </is>
      </c>
      <c r="H1728" s="0" t="inlineStr">
        <is>
          <t>NULL</t>
        </is>
      </c>
      <c r="I1728" s="0" t="inlineStr">
        <is>
          <t>YES!PK__info_uni__3213E83F8F66C056</t>
        </is>
      </c>
      <c r="J1728" s="0" t="inlineStr">
        <is>
          <t>YES! 主键相关索引</t>
        </is>
      </c>
      <c r="K1728" s="0" t="inlineStr">
        <is>
          <t>YES! 	 id列源备映射正确，源端为int None位	期望更改为int	实际备端为int None位</t>
        </is>
      </c>
    </row>
    <row r="1729">
      <c r="B1729" s="0" t="inlineStr">
        <is>
          <t>NULL</t>
        </is>
      </c>
      <c r="C1729" s="0" t="inlineStr">
        <is>
          <t>NULL</t>
        </is>
      </c>
      <c r="D1729" s="0" t="inlineStr">
        <is>
          <t>NULL</t>
        </is>
      </c>
      <c r="E1729" s="0" t="inlineStr">
        <is>
          <t>NULL</t>
        </is>
      </c>
      <c r="F1729" s="0" t="inlineStr">
        <is>
          <t>NULL</t>
        </is>
      </c>
      <c r="G1729" s="0" t="inlineStr">
        <is>
          <t>NULL</t>
        </is>
      </c>
      <c r="H1729" s="0" t="inlineStr">
        <is>
          <t>NULL</t>
        </is>
      </c>
      <c r="I1729" s="0" t="inlineStr">
        <is>
          <t>NULL</t>
        </is>
      </c>
      <c r="J1729" s="0" t="inlineStr">
        <is>
          <t>NULL</t>
        </is>
      </c>
      <c r="K1729" s="0" t="inlineStr">
        <is>
          <t>YES! 	 c_uniqueidentifier列源备映射正确，源端为uniqueidentifier None位	期望更改为uniqueidentifier	实际备端为uniqueidentifier None位</t>
        </is>
      </c>
    </row>
    <row r="1730">
      <c r="A1730" s="0" t="inlineStr">
        <is>
          <t>info_varbinary_max_dml_single_pk_urp</t>
        </is>
      </c>
      <c r="K1730" s="0" t="inlineStr">
        <is>
          <t>[0;34m info_varbinary_max_dml_single_pk_urp [0m源备字段数相同，源端字段：4 	备端字段4</t>
        </is>
      </c>
      <c r="W1730" s="0" t="inlineStr">
        <is>
          <t>YES 源备无差异</t>
        </is>
      </c>
      <c r="X1730" s="0">
        <f>A1730</f>
        <v/>
      </c>
    </row>
    <row r="1731">
      <c r="B1731" s="0" t="inlineStr">
        <is>
          <t>YES</t>
        </is>
      </c>
      <c r="C1731" s="0" t="inlineStr">
        <is>
          <t>NULL</t>
        </is>
      </c>
      <c r="D1731" s="0" t="inlineStr">
        <is>
          <t>NULL</t>
        </is>
      </c>
      <c r="E1731" s="0" t="inlineStr">
        <is>
          <t>NULL</t>
        </is>
      </c>
      <c r="F1731" s="0" t="inlineStr">
        <is>
          <t>NULL</t>
        </is>
      </c>
      <c r="G1731" s="0" t="inlineStr">
        <is>
          <t>NULL</t>
        </is>
      </c>
      <c r="H1731" s="0" t="inlineStr">
        <is>
          <t>NULL</t>
        </is>
      </c>
      <c r="I1731" s="0" t="inlineStr">
        <is>
          <t>YES!PK__info_var__3213E83FE861EA08</t>
        </is>
      </c>
      <c r="J1731" s="0" t="inlineStr">
        <is>
          <t>YES! 主键相关索引</t>
        </is>
      </c>
      <c r="K1731" s="0" t="inlineStr">
        <is>
          <t>YES! 	 id列源备映射正确，源端为int None位	期望更改为int	实际备端为int None位</t>
        </is>
      </c>
    </row>
    <row r="1732">
      <c r="B1732" s="0" t="inlineStr">
        <is>
          <t>NULL</t>
        </is>
      </c>
      <c r="C1732" s="0" t="inlineStr">
        <is>
          <t>NULL</t>
        </is>
      </c>
      <c r="D1732" s="0" t="inlineStr">
        <is>
          <t>NULL</t>
        </is>
      </c>
      <c r="E1732" s="0" t="inlineStr">
        <is>
          <t>NULL</t>
        </is>
      </c>
      <c r="F1732" s="0" t="inlineStr">
        <is>
          <t>NULL</t>
        </is>
      </c>
      <c r="G1732" s="0" t="inlineStr">
        <is>
          <t>NULL</t>
        </is>
      </c>
      <c r="H1732" s="0" t="inlineStr">
        <is>
          <t>NULL</t>
        </is>
      </c>
      <c r="I1732" s="0" t="inlineStr">
        <is>
          <t>NULL</t>
        </is>
      </c>
      <c r="J1732" s="0" t="inlineStr">
        <is>
          <t>NULL</t>
        </is>
      </c>
      <c r="K1732" s="0" t="inlineStr">
        <is>
          <t>YES! 	 c_varbinary_max1列源备映射正确，源端为varbinary -1位	期望更改为varbinary(n)	实际备端为varbinary -1位</t>
        </is>
      </c>
    </row>
    <row r="1733">
      <c r="B1733" s="0" t="inlineStr">
        <is>
          <t>NULL</t>
        </is>
      </c>
      <c r="C1733" s="0" t="inlineStr">
        <is>
          <t>NULL</t>
        </is>
      </c>
      <c r="D1733" s="0" t="inlineStr">
        <is>
          <t>NULL</t>
        </is>
      </c>
      <c r="E1733" s="0" t="inlineStr">
        <is>
          <t>NULL</t>
        </is>
      </c>
      <c r="F1733" s="0" t="inlineStr">
        <is>
          <t>NULL</t>
        </is>
      </c>
      <c r="G1733" s="0" t="inlineStr">
        <is>
          <t>NULL</t>
        </is>
      </c>
      <c r="H1733" s="0" t="inlineStr">
        <is>
          <t>NULL</t>
        </is>
      </c>
      <c r="I1733" s="0" t="inlineStr">
        <is>
          <t>NULL</t>
        </is>
      </c>
      <c r="J1733" s="0" t="inlineStr">
        <is>
          <t>NULL</t>
        </is>
      </c>
      <c r="K1733" s="0" t="inlineStr">
        <is>
          <t>YES! 	 c_varbinary_max2列源备映射正确，源端为varbinary -1位	期望更改为varbinary(n)	实际备端为varbinary -1位</t>
        </is>
      </c>
    </row>
    <row r="1734">
      <c r="B1734" s="0" t="inlineStr">
        <is>
          <t>NULL</t>
        </is>
      </c>
      <c r="C1734" s="0" t="inlineStr">
        <is>
          <t>NULL</t>
        </is>
      </c>
      <c r="D1734" s="0" t="inlineStr">
        <is>
          <t>NULL</t>
        </is>
      </c>
      <c r="E1734" s="0" t="inlineStr">
        <is>
          <t>NULL</t>
        </is>
      </c>
      <c r="F1734" s="0" t="inlineStr">
        <is>
          <t>NULL</t>
        </is>
      </c>
      <c r="G1734" s="0" t="inlineStr">
        <is>
          <t>NULL</t>
        </is>
      </c>
      <c r="H1734" s="0" t="inlineStr">
        <is>
          <t>NULL</t>
        </is>
      </c>
      <c r="I1734" s="0" t="inlineStr">
        <is>
          <t>NULL</t>
        </is>
      </c>
      <c r="J1734" s="0" t="inlineStr">
        <is>
          <t>NULL</t>
        </is>
      </c>
      <c r="K1734" s="0" t="inlineStr">
        <is>
          <t>YES! 	 c_image3列源备映射正确，源端为image 2147483647位	期望更改为image	实际备端为image 2147483647位</t>
        </is>
      </c>
    </row>
    <row r="1735">
      <c r="A1735" s="0" t="inlineStr">
        <is>
          <t>info_int_dml_batch2_pk_irp2</t>
        </is>
      </c>
      <c r="K1735" s="0" t="inlineStr">
        <is>
          <t>[0;34m info_int_dml_batch2_pk_irp2 [0m源备字段数相同，源端字段：20 	备端字段20</t>
        </is>
      </c>
      <c r="W1735" s="0" t="inlineStr">
        <is>
          <t>YES 源备无差异</t>
        </is>
      </c>
      <c r="X1735" s="0">
        <f>A1735</f>
        <v/>
      </c>
    </row>
    <row r="1736">
      <c r="B1736" s="0" t="inlineStr">
        <is>
          <t>YES</t>
        </is>
      </c>
      <c r="C1736" s="0" t="inlineStr">
        <is>
          <t>NULL</t>
        </is>
      </c>
      <c r="D1736" s="0" t="inlineStr">
        <is>
          <t>NULL</t>
        </is>
      </c>
      <c r="E1736" s="0" t="inlineStr">
        <is>
          <t>NULL</t>
        </is>
      </c>
      <c r="F1736" s="0" t="inlineStr">
        <is>
          <t>NULL</t>
        </is>
      </c>
      <c r="G1736" s="0" t="inlineStr">
        <is>
          <t>NULL</t>
        </is>
      </c>
      <c r="H1736" s="0" t="inlineStr">
        <is>
          <t>NULL</t>
        </is>
      </c>
      <c r="I1736" s="0" t="inlineStr">
        <is>
          <t>YES!PK__info_int__3213E83FE80A05E7</t>
        </is>
      </c>
      <c r="J1736" s="0" t="inlineStr">
        <is>
          <t>YES! 主键相关索引</t>
        </is>
      </c>
      <c r="K1736" s="0" t="inlineStr">
        <is>
          <t>YES! 	 id列源备映射正确，源端为int None位	期望更改为int	实际备端为int None位</t>
        </is>
      </c>
    </row>
    <row r="1737">
      <c r="B1737" s="0" t="inlineStr">
        <is>
          <t>NULL</t>
        </is>
      </c>
      <c r="C1737" s="0" t="inlineStr">
        <is>
          <t>NULL</t>
        </is>
      </c>
      <c r="D1737" s="0" t="inlineStr">
        <is>
          <t>NULL</t>
        </is>
      </c>
      <c r="E1737" s="0" t="inlineStr">
        <is>
          <t>NULL</t>
        </is>
      </c>
      <c r="F1737" s="0" t="inlineStr">
        <is>
          <t>NULL</t>
        </is>
      </c>
      <c r="G1737" s="0" t="inlineStr">
        <is>
          <t>NULL</t>
        </is>
      </c>
      <c r="H1737" s="0" t="inlineStr">
        <is>
          <t>NULL</t>
        </is>
      </c>
      <c r="I1737" s="0" t="inlineStr">
        <is>
          <t>NULL</t>
        </is>
      </c>
      <c r="J1737" s="0" t="inlineStr">
        <is>
          <t>NULL</t>
        </is>
      </c>
      <c r="K1737" s="0" t="inlineStr">
        <is>
          <t>YES! 	 c_tinyint列源备映射正确，源端为tinyint None位	期望更改为tinyint	实际备端为tinyint None位</t>
        </is>
      </c>
    </row>
    <row r="1738">
      <c r="B1738" s="0" t="inlineStr">
        <is>
          <t>NULL</t>
        </is>
      </c>
      <c r="C1738" s="0" t="inlineStr">
        <is>
          <t>NULL</t>
        </is>
      </c>
      <c r="D1738" s="0" t="inlineStr">
        <is>
          <t>NULL</t>
        </is>
      </c>
      <c r="E1738" s="0" t="inlineStr">
        <is>
          <t>NULL</t>
        </is>
      </c>
      <c r="F1738" s="0" t="inlineStr">
        <is>
          <t>NULL</t>
        </is>
      </c>
      <c r="G1738" s="0" t="inlineStr">
        <is>
          <t>NULL</t>
        </is>
      </c>
      <c r="H1738" s="0" t="inlineStr">
        <is>
          <t>NULL</t>
        </is>
      </c>
      <c r="I1738" s="0" t="inlineStr">
        <is>
          <t>NULL</t>
        </is>
      </c>
      <c r="J1738" s="0" t="inlineStr">
        <is>
          <t>NULL</t>
        </is>
      </c>
      <c r="K1738" s="0" t="inlineStr">
        <is>
          <t>YES! 	 c_smallint列源备映射正确，源端为smallint None位	期望更改为smallint	实际备端为smallint None位</t>
        </is>
      </c>
    </row>
    <row r="1739">
      <c r="B1739" s="0" t="inlineStr">
        <is>
          <t>NULL</t>
        </is>
      </c>
      <c r="C1739" s="0" t="inlineStr">
        <is>
          <t>NULL</t>
        </is>
      </c>
      <c r="D1739" s="0" t="inlineStr">
        <is>
          <t>NULL</t>
        </is>
      </c>
      <c r="E1739" s="0" t="inlineStr">
        <is>
          <t>NULL</t>
        </is>
      </c>
      <c r="F1739" s="0" t="inlineStr">
        <is>
          <t>NULL</t>
        </is>
      </c>
      <c r="G1739" s="0" t="inlineStr">
        <is>
          <t>NULL</t>
        </is>
      </c>
      <c r="H1739" s="0" t="inlineStr">
        <is>
          <t>NULL</t>
        </is>
      </c>
      <c r="I1739" s="0" t="inlineStr">
        <is>
          <t>NULL</t>
        </is>
      </c>
      <c r="J1739" s="0" t="inlineStr">
        <is>
          <t>NULL</t>
        </is>
      </c>
      <c r="K1739" s="0" t="inlineStr">
        <is>
          <t>YES! 	 c_int列源备映射正确，源端为int None位	期望更改为int	实际备端为int None位</t>
        </is>
      </c>
    </row>
    <row r="1740">
      <c r="B1740" s="0" t="inlineStr">
        <is>
          <t>NULL</t>
        </is>
      </c>
      <c r="C1740" s="0" t="inlineStr">
        <is>
          <t>NULL</t>
        </is>
      </c>
      <c r="D1740" s="0" t="inlineStr">
        <is>
          <t>NULL</t>
        </is>
      </c>
      <c r="E1740" s="0" t="inlineStr">
        <is>
          <t>NULL</t>
        </is>
      </c>
      <c r="F1740" s="0" t="inlineStr">
        <is>
          <t>NULL</t>
        </is>
      </c>
      <c r="G1740" s="0" t="inlineStr">
        <is>
          <t>NULL</t>
        </is>
      </c>
      <c r="H1740" s="0" t="inlineStr">
        <is>
          <t>NULL</t>
        </is>
      </c>
      <c r="I1740" s="0" t="inlineStr">
        <is>
          <t>NULL</t>
        </is>
      </c>
      <c r="J1740" s="0" t="inlineStr">
        <is>
          <t>NULL</t>
        </is>
      </c>
      <c r="K1740" s="0" t="inlineStr">
        <is>
          <t>YES! 	 c_bigint列源备映射正确，源端为bigint None位	期望更改为bigint	实际备端为bigint None位</t>
        </is>
      </c>
    </row>
    <row r="1741">
      <c r="B1741" s="0" t="inlineStr">
        <is>
          <t>NULL</t>
        </is>
      </c>
      <c r="C1741" s="0" t="inlineStr">
        <is>
          <t>NULL</t>
        </is>
      </c>
      <c r="D1741" s="0" t="inlineStr">
        <is>
          <t>NULL</t>
        </is>
      </c>
      <c r="E1741" s="0" t="inlineStr">
        <is>
          <t>NULL</t>
        </is>
      </c>
      <c r="F1741" s="0" t="inlineStr">
        <is>
          <t>NULL</t>
        </is>
      </c>
      <c r="G1741" s="0" t="inlineStr">
        <is>
          <t>NULL</t>
        </is>
      </c>
      <c r="H1741" s="0" t="inlineStr">
        <is>
          <t>NULL</t>
        </is>
      </c>
      <c r="I1741" s="0" t="inlineStr">
        <is>
          <t>NULL</t>
        </is>
      </c>
      <c r="J1741" s="0" t="inlineStr">
        <is>
          <t>NULL</t>
        </is>
      </c>
      <c r="K1741" s="0" t="inlineStr">
        <is>
          <t>YES! 	 c_decimal列源备映射正确，源端为decimal None位	期望更改为decimal(p,s)	实际备端为decimal None位</t>
        </is>
      </c>
    </row>
    <row r="1742">
      <c r="B1742" s="0" t="inlineStr">
        <is>
          <t>NULL</t>
        </is>
      </c>
      <c r="C1742" s="0" t="inlineStr">
        <is>
          <t>NULL</t>
        </is>
      </c>
      <c r="D1742" s="0" t="inlineStr">
        <is>
          <t>NULL</t>
        </is>
      </c>
      <c r="E1742" s="0" t="inlineStr">
        <is>
          <t>NULL</t>
        </is>
      </c>
      <c r="F1742" s="0" t="inlineStr">
        <is>
          <t>NULL</t>
        </is>
      </c>
      <c r="G1742" s="0" t="inlineStr">
        <is>
          <t>NULL</t>
        </is>
      </c>
      <c r="H1742" s="0" t="inlineStr">
        <is>
          <t>NULL</t>
        </is>
      </c>
      <c r="I1742" s="0" t="inlineStr">
        <is>
          <t>NULL</t>
        </is>
      </c>
      <c r="J1742" s="0" t="inlineStr">
        <is>
          <t>NULL</t>
        </is>
      </c>
      <c r="K1742" s="0" t="inlineStr">
        <is>
          <t>YES! 	 c_decimal38列源备映射正确，源端为decimal None位	期望更改为decimal(p,s)	实际备端为decimal None位</t>
        </is>
      </c>
    </row>
    <row r="1743">
      <c r="B1743" s="0" t="inlineStr">
        <is>
          <t>NULL</t>
        </is>
      </c>
      <c r="C1743" s="0" t="inlineStr">
        <is>
          <t>NULL</t>
        </is>
      </c>
      <c r="D1743" s="0" t="inlineStr">
        <is>
          <t>NULL</t>
        </is>
      </c>
      <c r="E1743" s="0" t="inlineStr">
        <is>
          <t>NULL</t>
        </is>
      </c>
      <c r="F1743" s="0" t="inlineStr">
        <is>
          <t>NULL</t>
        </is>
      </c>
      <c r="G1743" s="0" t="inlineStr">
        <is>
          <t>NULL</t>
        </is>
      </c>
      <c r="H1743" s="0" t="inlineStr">
        <is>
          <t>NULL</t>
        </is>
      </c>
      <c r="I1743" s="0" t="inlineStr">
        <is>
          <t>NULL</t>
        </is>
      </c>
      <c r="J1743" s="0" t="inlineStr">
        <is>
          <t>NULL</t>
        </is>
      </c>
      <c r="K1743" s="0" t="inlineStr">
        <is>
          <t>YES! 	 c_decimal38_38列源备映射正确，源端为decimal None位	期望更改为decimal(p,s)	实际备端为decimal None位</t>
        </is>
      </c>
    </row>
    <row r="1744">
      <c r="B1744" s="0" t="inlineStr">
        <is>
          <t>NULL</t>
        </is>
      </c>
      <c r="C1744" s="0" t="inlineStr">
        <is>
          <t>NULL</t>
        </is>
      </c>
      <c r="D1744" s="0" t="inlineStr">
        <is>
          <t>NULL</t>
        </is>
      </c>
      <c r="E1744" s="0" t="inlineStr">
        <is>
          <t>NULL</t>
        </is>
      </c>
      <c r="F1744" s="0" t="inlineStr">
        <is>
          <t>NULL</t>
        </is>
      </c>
      <c r="G1744" s="0" t="inlineStr">
        <is>
          <t>NULL</t>
        </is>
      </c>
      <c r="H1744" s="0" t="inlineStr">
        <is>
          <t>NULL</t>
        </is>
      </c>
      <c r="I1744" s="0" t="inlineStr">
        <is>
          <t>NULL</t>
        </is>
      </c>
      <c r="J1744" s="0" t="inlineStr">
        <is>
          <t>NULL</t>
        </is>
      </c>
      <c r="K1744" s="0" t="inlineStr">
        <is>
          <t>YES! 	 c_decimal38_10列源备映射正确，源端为decimal None位	期望更改为decimal(p,s)	实际备端为decimal None位</t>
        </is>
      </c>
    </row>
    <row r="1745">
      <c r="B1745" s="0" t="inlineStr">
        <is>
          <t>NULL</t>
        </is>
      </c>
      <c r="C1745" s="0" t="inlineStr">
        <is>
          <t>NULL</t>
        </is>
      </c>
      <c r="D1745" s="0" t="inlineStr">
        <is>
          <t>NULL</t>
        </is>
      </c>
      <c r="E1745" s="0" t="inlineStr">
        <is>
          <t>NULL</t>
        </is>
      </c>
      <c r="F1745" s="0" t="inlineStr">
        <is>
          <t>NULL</t>
        </is>
      </c>
      <c r="G1745" s="0" t="inlineStr">
        <is>
          <t>NULL</t>
        </is>
      </c>
      <c r="H1745" s="0" t="inlineStr">
        <is>
          <t>NULL</t>
        </is>
      </c>
      <c r="I1745" s="0" t="inlineStr">
        <is>
          <t>NULL</t>
        </is>
      </c>
      <c r="J1745" s="0" t="inlineStr">
        <is>
          <t>NULL</t>
        </is>
      </c>
      <c r="K1745" s="0" t="inlineStr">
        <is>
          <t>YES! 	 c_decimal19_4列源备映射正确，源端为decimal None位	期望更改为decimal(p,s)	实际备端为decimal None位</t>
        </is>
      </c>
    </row>
    <row r="1746">
      <c r="B1746" s="0" t="inlineStr">
        <is>
          <t>NULL</t>
        </is>
      </c>
      <c r="C1746" s="0" t="inlineStr">
        <is>
          <t>NULL</t>
        </is>
      </c>
      <c r="D1746" s="0" t="inlineStr">
        <is>
          <t>NULL</t>
        </is>
      </c>
      <c r="E1746" s="0" t="inlineStr">
        <is>
          <t>NULL</t>
        </is>
      </c>
      <c r="F1746" s="0" t="inlineStr">
        <is>
          <t>NULL</t>
        </is>
      </c>
      <c r="G1746" s="0" t="inlineStr">
        <is>
          <t>NULL</t>
        </is>
      </c>
      <c r="H1746" s="0" t="inlineStr">
        <is>
          <t>NULL</t>
        </is>
      </c>
      <c r="I1746" s="0" t="inlineStr">
        <is>
          <t>NULL</t>
        </is>
      </c>
      <c r="J1746" s="0" t="inlineStr">
        <is>
          <t>NULL</t>
        </is>
      </c>
      <c r="K1746" s="0" t="inlineStr">
        <is>
          <t>YES! 	 c_numeric列源备映射正确，源端为numeric None位	期望更改为numeric(p,s)	实际备端为numeric None位</t>
        </is>
      </c>
    </row>
    <row r="1747">
      <c r="B1747" s="0" t="inlineStr">
        <is>
          <t>NULL</t>
        </is>
      </c>
      <c r="C1747" s="0" t="inlineStr">
        <is>
          <t>NULL</t>
        </is>
      </c>
      <c r="D1747" s="0" t="inlineStr">
        <is>
          <t>NULL</t>
        </is>
      </c>
      <c r="E1747" s="0" t="inlineStr">
        <is>
          <t>NULL</t>
        </is>
      </c>
      <c r="F1747" s="0" t="inlineStr">
        <is>
          <t>NULL</t>
        </is>
      </c>
      <c r="G1747" s="0" t="inlineStr">
        <is>
          <t>NULL</t>
        </is>
      </c>
      <c r="H1747" s="0" t="inlineStr">
        <is>
          <t>NULL</t>
        </is>
      </c>
      <c r="I1747" s="0" t="inlineStr">
        <is>
          <t>NULL</t>
        </is>
      </c>
      <c r="J1747" s="0" t="inlineStr">
        <is>
          <t>NULL</t>
        </is>
      </c>
      <c r="K1747" s="0" t="inlineStr">
        <is>
          <t>YES! 	 c_numeric38列源备映射正确，源端为numeric None位	期望更改为numeric(p,s)	实际备端为numeric None位</t>
        </is>
      </c>
    </row>
    <row r="1748">
      <c r="B1748" s="0" t="inlineStr">
        <is>
          <t>NULL</t>
        </is>
      </c>
      <c r="C1748" s="0" t="inlineStr">
        <is>
          <t>NULL</t>
        </is>
      </c>
      <c r="D1748" s="0" t="inlineStr">
        <is>
          <t>NULL</t>
        </is>
      </c>
      <c r="E1748" s="0" t="inlineStr">
        <is>
          <t>NULL</t>
        </is>
      </c>
      <c r="F1748" s="0" t="inlineStr">
        <is>
          <t>NULL</t>
        </is>
      </c>
      <c r="G1748" s="0" t="inlineStr">
        <is>
          <t>NULL</t>
        </is>
      </c>
      <c r="H1748" s="0" t="inlineStr">
        <is>
          <t>NULL</t>
        </is>
      </c>
      <c r="I1748" s="0" t="inlineStr">
        <is>
          <t>NULL</t>
        </is>
      </c>
      <c r="J1748" s="0" t="inlineStr">
        <is>
          <t>NULL</t>
        </is>
      </c>
      <c r="K1748" s="0" t="inlineStr">
        <is>
          <t>YES! 	 c_numeric38_38列源备映射正确，源端为numeric None位	期望更改为numeric(p,s)	实际备端为numeric None位</t>
        </is>
      </c>
    </row>
    <row r="1749">
      <c r="B1749" s="0" t="inlineStr">
        <is>
          <t>NULL</t>
        </is>
      </c>
      <c r="C1749" s="0" t="inlineStr">
        <is>
          <t>NULL</t>
        </is>
      </c>
      <c r="D1749" s="0" t="inlineStr">
        <is>
          <t>NULL</t>
        </is>
      </c>
      <c r="E1749" s="0" t="inlineStr">
        <is>
          <t>NULL</t>
        </is>
      </c>
      <c r="F1749" s="0" t="inlineStr">
        <is>
          <t>NULL</t>
        </is>
      </c>
      <c r="G1749" s="0" t="inlineStr">
        <is>
          <t>NULL</t>
        </is>
      </c>
      <c r="H1749" s="0" t="inlineStr">
        <is>
          <t>NULL</t>
        </is>
      </c>
      <c r="I1749" s="0" t="inlineStr">
        <is>
          <t>NULL</t>
        </is>
      </c>
      <c r="J1749" s="0" t="inlineStr">
        <is>
          <t>NULL</t>
        </is>
      </c>
      <c r="K1749" s="0" t="inlineStr">
        <is>
          <t>YES! 	 c_numeric38_10列源备映射正确，源端为numeric None位	期望更改为numeric(p,s)	实际备端为numeric None位</t>
        </is>
      </c>
    </row>
    <row r="1750">
      <c r="B1750" s="0" t="inlineStr">
        <is>
          <t>NULL</t>
        </is>
      </c>
      <c r="C1750" s="0" t="inlineStr">
        <is>
          <t>NULL</t>
        </is>
      </c>
      <c r="D1750" s="0" t="inlineStr">
        <is>
          <t>NULL</t>
        </is>
      </c>
      <c r="E1750" s="0" t="inlineStr">
        <is>
          <t>NULL</t>
        </is>
      </c>
      <c r="F1750" s="0" t="inlineStr">
        <is>
          <t>NULL</t>
        </is>
      </c>
      <c r="G1750" s="0" t="inlineStr">
        <is>
          <t>NULL</t>
        </is>
      </c>
      <c r="H1750" s="0" t="inlineStr">
        <is>
          <t>NULL</t>
        </is>
      </c>
      <c r="I1750" s="0" t="inlineStr">
        <is>
          <t>NULL</t>
        </is>
      </c>
      <c r="J1750" s="0" t="inlineStr">
        <is>
          <t>NULL</t>
        </is>
      </c>
      <c r="K1750" s="0" t="inlineStr">
        <is>
          <t>YES! 	 c_numeric18_2列源备映射正确，源端为numeric None位	期望更改为numeric(p,s)	实际备端为numeric None位</t>
        </is>
      </c>
    </row>
    <row r="1751">
      <c r="B1751" s="0" t="inlineStr">
        <is>
          <t>NULL</t>
        </is>
      </c>
      <c r="C1751" s="0" t="inlineStr">
        <is>
          <t>NULL</t>
        </is>
      </c>
      <c r="D1751" s="0" t="inlineStr">
        <is>
          <t>NULL</t>
        </is>
      </c>
      <c r="E1751" s="0" t="inlineStr">
        <is>
          <t>NULL</t>
        </is>
      </c>
      <c r="F1751" s="0" t="inlineStr">
        <is>
          <t>NULL</t>
        </is>
      </c>
      <c r="G1751" s="0" t="inlineStr">
        <is>
          <t>NULL</t>
        </is>
      </c>
      <c r="H1751" s="0" t="inlineStr">
        <is>
          <t>NULL</t>
        </is>
      </c>
      <c r="I1751" s="0" t="inlineStr">
        <is>
          <t>NULL</t>
        </is>
      </c>
      <c r="J1751" s="0" t="inlineStr">
        <is>
          <t>NULL</t>
        </is>
      </c>
      <c r="K1751" s="0" t="inlineStr">
        <is>
          <t>YES! 	 c_float列源备映射正确，源端为float None位	期望更改为float	实际备端为float None位</t>
        </is>
      </c>
    </row>
    <row r="1752">
      <c r="B1752" s="0" t="inlineStr">
        <is>
          <t>NULL</t>
        </is>
      </c>
      <c r="C1752" s="0" t="inlineStr">
        <is>
          <t>NULL</t>
        </is>
      </c>
      <c r="D1752" s="0" t="inlineStr">
        <is>
          <t>NULL</t>
        </is>
      </c>
      <c r="E1752" s="0" t="inlineStr">
        <is>
          <t>NULL</t>
        </is>
      </c>
      <c r="F1752" s="0" t="inlineStr">
        <is>
          <t>NULL</t>
        </is>
      </c>
      <c r="G1752" s="0" t="inlineStr">
        <is>
          <t>NULL</t>
        </is>
      </c>
      <c r="H1752" s="0" t="inlineStr">
        <is>
          <t>NULL</t>
        </is>
      </c>
      <c r="I1752" s="0" t="inlineStr">
        <is>
          <t>NULL</t>
        </is>
      </c>
      <c r="J1752" s="0" t="inlineStr">
        <is>
          <t>NULL</t>
        </is>
      </c>
      <c r="K1752" s="0" t="inlineStr">
        <is>
          <t>YES! 	 c_real列源备映射正确，源端为real None位	期望更改为real	实际备端为real None位</t>
        </is>
      </c>
    </row>
    <row r="1753">
      <c r="B1753" s="0" t="inlineStr">
        <is>
          <t>NULL</t>
        </is>
      </c>
      <c r="C1753" s="0" t="inlineStr">
        <is>
          <t>NULL</t>
        </is>
      </c>
      <c r="D1753" s="0" t="inlineStr">
        <is>
          <t>NULL</t>
        </is>
      </c>
      <c r="E1753" s="0" t="inlineStr">
        <is>
          <t>NULL</t>
        </is>
      </c>
      <c r="F1753" s="0" t="inlineStr">
        <is>
          <t>NULL</t>
        </is>
      </c>
      <c r="G1753" s="0" t="inlineStr">
        <is>
          <t>NULL</t>
        </is>
      </c>
      <c r="H1753" s="0" t="inlineStr">
        <is>
          <t>NULL</t>
        </is>
      </c>
      <c r="I1753" s="0" t="inlineStr">
        <is>
          <t>NULL</t>
        </is>
      </c>
      <c r="J1753" s="0" t="inlineStr">
        <is>
          <t>NULL</t>
        </is>
      </c>
      <c r="K1753" s="0" t="inlineStr">
        <is>
          <t>YES! 	 c_money列源备映射正确，源端为money None位	期望更改为money	实际备端为money None位</t>
        </is>
      </c>
    </row>
    <row r="1754">
      <c r="B1754" s="0" t="inlineStr">
        <is>
          <t>NULL</t>
        </is>
      </c>
      <c r="C1754" s="0" t="inlineStr">
        <is>
          <t>NULL</t>
        </is>
      </c>
      <c r="D1754" s="0" t="inlineStr">
        <is>
          <t>NULL</t>
        </is>
      </c>
      <c r="E1754" s="0" t="inlineStr">
        <is>
          <t>NULL</t>
        </is>
      </c>
      <c r="F1754" s="0" t="inlineStr">
        <is>
          <t>NULL</t>
        </is>
      </c>
      <c r="G1754" s="0" t="inlineStr">
        <is>
          <t>NULL</t>
        </is>
      </c>
      <c r="H1754" s="0" t="inlineStr">
        <is>
          <t>NULL</t>
        </is>
      </c>
      <c r="I1754" s="0" t="inlineStr">
        <is>
          <t>NULL</t>
        </is>
      </c>
      <c r="J1754" s="0" t="inlineStr">
        <is>
          <t>NULL</t>
        </is>
      </c>
      <c r="K1754" s="0" t="inlineStr">
        <is>
          <t>YES! 	 c_smallmoney列源备映射正确，源端为smallmoney None位	期望更改为smallmoney	实际备端为smallmoney None位</t>
        </is>
      </c>
    </row>
    <row r="1755">
      <c r="B1755" s="0" t="inlineStr">
        <is>
          <t>NULL</t>
        </is>
      </c>
      <c r="C1755" s="0" t="inlineStr">
        <is>
          <t>NULL</t>
        </is>
      </c>
      <c r="D1755" s="0" t="inlineStr">
        <is>
          <t>NULL</t>
        </is>
      </c>
      <c r="E1755" s="0" t="inlineStr">
        <is>
          <t>NULL</t>
        </is>
      </c>
      <c r="F1755" s="0" t="inlineStr">
        <is>
          <t>NULL</t>
        </is>
      </c>
      <c r="G1755" s="0" t="inlineStr">
        <is>
          <t>NULL</t>
        </is>
      </c>
      <c r="H1755" s="0" t="inlineStr">
        <is>
          <t>NULL</t>
        </is>
      </c>
      <c r="I1755" s="0" t="inlineStr">
        <is>
          <t>NULL</t>
        </is>
      </c>
      <c r="J1755" s="0" t="inlineStr">
        <is>
          <t>NULL</t>
        </is>
      </c>
      <c r="K1755" s="0" t="inlineStr">
        <is>
          <t>YES! 	 c_bit列源备映射正确，源端为bit None位	期望更改为bit	实际备端为bit None位</t>
        </is>
      </c>
    </row>
    <row r="1756">
      <c r="A1756" s="0" t="inlineStr">
        <is>
          <t>info_xml_dml_single_pk_irp</t>
        </is>
      </c>
      <c r="K1756" s="0" t="inlineStr">
        <is>
          <t>[0;34m info_xml_dml_single_pk_irp [0m源备字段数相同，源端字段：2 	备端字段2</t>
        </is>
      </c>
      <c r="W1756" s="0" t="inlineStr">
        <is>
          <t>YES 源备无差异</t>
        </is>
      </c>
      <c r="X1756" s="0">
        <f>A1756</f>
        <v/>
      </c>
    </row>
    <row r="1757">
      <c r="B1757" s="0" t="inlineStr">
        <is>
          <t>YES</t>
        </is>
      </c>
      <c r="C1757" s="0" t="inlineStr">
        <is>
          <t>NULL</t>
        </is>
      </c>
      <c r="D1757" s="0" t="inlineStr">
        <is>
          <t>NULL</t>
        </is>
      </c>
      <c r="E1757" s="0" t="inlineStr">
        <is>
          <t>NULL</t>
        </is>
      </c>
      <c r="F1757" s="0" t="inlineStr">
        <is>
          <t>NULL</t>
        </is>
      </c>
      <c r="G1757" s="0" t="inlineStr">
        <is>
          <t>NULL</t>
        </is>
      </c>
      <c r="H1757" s="0" t="inlineStr">
        <is>
          <t>NULL</t>
        </is>
      </c>
      <c r="I1757" s="0" t="inlineStr">
        <is>
          <t>YES!PK__info_xml__3213E83F2267ADE4</t>
        </is>
      </c>
      <c r="J1757" s="0" t="inlineStr">
        <is>
          <t>YES! 主键相关索引</t>
        </is>
      </c>
      <c r="K1757" s="0" t="inlineStr">
        <is>
          <t>YES! 	 id列源备映射正确，源端为int None位	期望更改为int	实际备端为int None位</t>
        </is>
      </c>
    </row>
    <row r="1758">
      <c r="B1758" s="0" t="inlineStr">
        <is>
          <t>NULL</t>
        </is>
      </c>
      <c r="C1758" s="0" t="inlineStr">
        <is>
          <t>NULL</t>
        </is>
      </c>
      <c r="D1758" s="0" t="inlineStr">
        <is>
          <t>NULL</t>
        </is>
      </c>
      <c r="E1758" s="0" t="inlineStr">
        <is>
          <t>NULL</t>
        </is>
      </c>
      <c r="F1758" s="0" t="inlineStr">
        <is>
          <t>NULL</t>
        </is>
      </c>
      <c r="G1758" s="0" t="inlineStr">
        <is>
          <t>NULL</t>
        </is>
      </c>
      <c r="H1758" s="0" t="inlineStr">
        <is>
          <t>NULL</t>
        </is>
      </c>
      <c r="I1758" s="0" t="inlineStr">
        <is>
          <t>NULL</t>
        </is>
      </c>
      <c r="J1758" s="0" t="inlineStr">
        <is>
          <t>NULL</t>
        </is>
      </c>
      <c r="K1758" s="0" t="inlineStr">
        <is>
          <t>YES! 	 c_xml列源备映射正确，源端为xml -1位	期望更改为xml	实际备端为xml -1位</t>
        </is>
      </c>
    </row>
    <row r="1759">
      <c r="A1759" s="0" t="inlineStr">
        <is>
          <t>info_varbinary_max_dml_single_pk_drp</t>
        </is>
      </c>
      <c r="K1759" s="0" t="inlineStr">
        <is>
          <t>[0;34m info_varbinary_max_dml_single_pk_drp [0m源备字段数相同，源端字段：4 	备端字段4</t>
        </is>
      </c>
      <c r="W1759" s="0" t="inlineStr">
        <is>
          <t>YES 源备无差异</t>
        </is>
      </c>
      <c r="X1759" s="0">
        <f>A1759</f>
        <v/>
      </c>
    </row>
    <row r="1760">
      <c r="B1760" s="0" t="inlineStr">
        <is>
          <t>YES</t>
        </is>
      </c>
      <c r="C1760" s="0" t="inlineStr">
        <is>
          <t>NULL</t>
        </is>
      </c>
      <c r="D1760" s="0" t="inlineStr">
        <is>
          <t>NULL</t>
        </is>
      </c>
      <c r="E1760" s="0" t="inlineStr">
        <is>
          <t>NULL</t>
        </is>
      </c>
      <c r="F1760" s="0" t="inlineStr">
        <is>
          <t>NULL</t>
        </is>
      </c>
      <c r="G1760" s="0" t="inlineStr">
        <is>
          <t>NULL</t>
        </is>
      </c>
      <c r="H1760" s="0" t="inlineStr">
        <is>
          <t>NULL</t>
        </is>
      </c>
      <c r="I1760" s="0" t="inlineStr">
        <is>
          <t>YES!PK__info_var__3213E83FC08CB795</t>
        </is>
      </c>
      <c r="J1760" s="0" t="inlineStr">
        <is>
          <t>YES! 主键相关索引</t>
        </is>
      </c>
      <c r="K1760" s="0" t="inlineStr">
        <is>
          <t>YES! 	 id列源备映射正确，源端为int None位	期望更改为int	实际备端为int None位</t>
        </is>
      </c>
    </row>
    <row r="1761">
      <c r="B1761" s="0" t="inlineStr">
        <is>
          <t>NULL</t>
        </is>
      </c>
      <c r="C1761" s="0" t="inlineStr">
        <is>
          <t>NULL</t>
        </is>
      </c>
      <c r="D1761" s="0" t="inlineStr">
        <is>
          <t>NULL</t>
        </is>
      </c>
      <c r="E1761" s="0" t="inlineStr">
        <is>
          <t>NULL</t>
        </is>
      </c>
      <c r="F1761" s="0" t="inlineStr">
        <is>
          <t>NULL</t>
        </is>
      </c>
      <c r="G1761" s="0" t="inlineStr">
        <is>
          <t>NULL</t>
        </is>
      </c>
      <c r="H1761" s="0" t="inlineStr">
        <is>
          <t>NULL</t>
        </is>
      </c>
      <c r="I1761" s="0" t="inlineStr">
        <is>
          <t>NULL</t>
        </is>
      </c>
      <c r="J1761" s="0" t="inlineStr">
        <is>
          <t>NULL</t>
        </is>
      </c>
      <c r="K1761" s="0" t="inlineStr">
        <is>
          <t>YES! 	 c_varbinary_max1列源备映射正确，源端为varbinary -1位	期望更改为varbinary(n)	实际备端为varbinary -1位</t>
        </is>
      </c>
    </row>
    <row r="1762">
      <c r="B1762" s="0" t="inlineStr">
        <is>
          <t>NULL</t>
        </is>
      </c>
      <c r="C1762" s="0" t="inlineStr">
        <is>
          <t>NULL</t>
        </is>
      </c>
      <c r="D1762" s="0" t="inlineStr">
        <is>
          <t>NULL</t>
        </is>
      </c>
      <c r="E1762" s="0" t="inlineStr">
        <is>
          <t>NULL</t>
        </is>
      </c>
      <c r="F1762" s="0" t="inlineStr">
        <is>
          <t>NULL</t>
        </is>
      </c>
      <c r="G1762" s="0" t="inlineStr">
        <is>
          <t>NULL</t>
        </is>
      </c>
      <c r="H1762" s="0" t="inlineStr">
        <is>
          <t>NULL</t>
        </is>
      </c>
      <c r="I1762" s="0" t="inlineStr">
        <is>
          <t>NULL</t>
        </is>
      </c>
      <c r="J1762" s="0" t="inlineStr">
        <is>
          <t>NULL</t>
        </is>
      </c>
      <c r="K1762" s="0" t="inlineStr">
        <is>
          <t>YES! 	 c_varbinary_max2列源备映射正确，源端为varbinary -1位	期望更改为varbinary(n)	实际备端为varbinary -1位</t>
        </is>
      </c>
    </row>
    <row r="1763">
      <c r="B1763" s="0" t="inlineStr">
        <is>
          <t>NULL</t>
        </is>
      </c>
      <c r="C1763" s="0" t="inlineStr">
        <is>
          <t>NULL</t>
        </is>
      </c>
      <c r="D1763" s="0" t="inlineStr">
        <is>
          <t>NULL</t>
        </is>
      </c>
      <c r="E1763" s="0" t="inlineStr">
        <is>
          <t>NULL</t>
        </is>
      </c>
      <c r="F1763" s="0" t="inlineStr">
        <is>
          <t>NULL</t>
        </is>
      </c>
      <c r="G1763" s="0" t="inlineStr">
        <is>
          <t>NULL</t>
        </is>
      </c>
      <c r="H1763" s="0" t="inlineStr">
        <is>
          <t>NULL</t>
        </is>
      </c>
      <c r="I1763" s="0" t="inlineStr">
        <is>
          <t>NULL</t>
        </is>
      </c>
      <c r="J1763" s="0" t="inlineStr">
        <is>
          <t>NULL</t>
        </is>
      </c>
      <c r="K1763" s="0" t="inlineStr">
        <is>
          <t>YES! 	 c_image3列源备映射正确，源端为image 2147483647位	期望更改为image	实际备端为image 2147483647位</t>
        </is>
      </c>
    </row>
    <row r="1764">
      <c r="K1764" s="0" t="inlineStr">
        <is>
          <t>~ 空表</t>
        </is>
      </c>
    </row>
    <row r="1765">
      <c r="A1765" s="0" t="inlineStr">
        <is>
          <t>info_int_dml_batch1_pk_urp1</t>
        </is>
      </c>
      <c r="K1765" s="0" t="inlineStr">
        <is>
          <t>[0;34m info_int_dml_batch1_pk_urp1 [0m源备字段数相同，源端字段：20 	备端字段20</t>
        </is>
      </c>
      <c r="W1765" s="0" t="inlineStr">
        <is>
          <t>YES 源备无差异</t>
        </is>
      </c>
      <c r="X1765" s="0">
        <f>A1765</f>
        <v/>
      </c>
    </row>
    <row r="1766">
      <c r="B1766" s="0" t="inlineStr">
        <is>
          <t>YES</t>
        </is>
      </c>
      <c r="C1766" s="0" t="inlineStr">
        <is>
          <t>NULL</t>
        </is>
      </c>
      <c r="D1766" s="0" t="inlineStr">
        <is>
          <t>NULL</t>
        </is>
      </c>
      <c r="E1766" s="0" t="inlineStr">
        <is>
          <t>NULL</t>
        </is>
      </c>
      <c r="F1766" s="0" t="inlineStr">
        <is>
          <t>NULL</t>
        </is>
      </c>
      <c r="G1766" s="0" t="inlineStr">
        <is>
          <t>NULL</t>
        </is>
      </c>
      <c r="H1766" s="0" t="inlineStr">
        <is>
          <t>NULL</t>
        </is>
      </c>
      <c r="I1766" s="0" t="inlineStr">
        <is>
          <t>YES!PK__info_int__3213E83FE0417859</t>
        </is>
      </c>
      <c r="J1766" s="0" t="inlineStr">
        <is>
          <t>YES! 主键相关索引</t>
        </is>
      </c>
      <c r="K1766" s="0" t="inlineStr">
        <is>
          <t>YES! 	 id列源备映射正确，源端为int None位	期望更改为int	实际备端为int None位</t>
        </is>
      </c>
    </row>
    <row r="1767">
      <c r="B1767" s="0" t="inlineStr">
        <is>
          <t>NULL</t>
        </is>
      </c>
      <c r="C1767" s="0" t="inlineStr">
        <is>
          <t>NULL</t>
        </is>
      </c>
      <c r="D1767" s="0" t="inlineStr">
        <is>
          <t>NULL</t>
        </is>
      </c>
      <c r="E1767" s="0" t="inlineStr">
        <is>
          <t>NULL</t>
        </is>
      </c>
      <c r="F1767" s="0" t="inlineStr">
        <is>
          <t>NULL</t>
        </is>
      </c>
      <c r="G1767" s="0" t="inlineStr">
        <is>
          <t>NULL</t>
        </is>
      </c>
      <c r="H1767" s="0" t="inlineStr">
        <is>
          <t>NULL</t>
        </is>
      </c>
      <c r="I1767" s="0" t="inlineStr">
        <is>
          <t>NULL</t>
        </is>
      </c>
      <c r="J1767" s="0" t="inlineStr">
        <is>
          <t>NULL</t>
        </is>
      </c>
      <c r="K1767" s="0" t="inlineStr">
        <is>
          <t>YES! 	 c_tinyint列源备映射正确，源端为tinyint None位	期望更改为tinyint	实际备端为tinyint None位</t>
        </is>
      </c>
    </row>
    <row r="1768">
      <c r="B1768" s="0" t="inlineStr">
        <is>
          <t>NULL</t>
        </is>
      </c>
      <c r="C1768" s="0" t="inlineStr">
        <is>
          <t>NULL</t>
        </is>
      </c>
      <c r="D1768" s="0" t="inlineStr">
        <is>
          <t>NULL</t>
        </is>
      </c>
      <c r="E1768" s="0" t="inlineStr">
        <is>
          <t>NULL</t>
        </is>
      </c>
      <c r="F1768" s="0" t="inlineStr">
        <is>
          <t>NULL</t>
        </is>
      </c>
      <c r="G1768" s="0" t="inlineStr">
        <is>
          <t>NULL</t>
        </is>
      </c>
      <c r="H1768" s="0" t="inlineStr">
        <is>
          <t>NULL</t>
        </is>
      </c>
      <c r="I1768" s="0" t="inlineStr">
        <is>
          <t>NULL</t>
        </is>
      </c>
      <c r="J1768" s="0" t="inlineStr">
        <is>
          <t>NULL</t>
        </is>
      </c>
      <c r="K1768" s="0" t="inlineStr">
        <is>
          <t>YES! 	 c_smallint列源备映射正确，源端为smallint None位	期望更改为smallint	实际备端为smallint None位</t>
        </is>
      </c>
    </row>
    <row r="1769">
      <c r="B1769" s="0" t="inlineStr">
        <is>
          <t>NULL</t>
        </is>
      </c>
      <c r="C1769" s="0" t="inlineStr">
        <is>
          <t>NULL</t>
        </is>
      </c>
      <c r="D1769" s="0" t="inlineStr">
        <is>
          <t>NULL</t>
        </is>
      </c>
      <c r="E1769" s="0" t="inlineStr">
        <is>
          <t>NULL</t>
        </is>
      </c>
      <c r="F1769" s="0" t="inlineStr">
        <is>
          <t>NULL</t>
        </is>
      </c>
      <c r="G1769" s="0" t="inlineStr">
        <is>
          <t>NULL</t>
        </is>
      </c>
      <c r="H1769" s="0" t="inlineStr">
        <is>
          <t>NULL</t>
        </is>
      </c>
      <c r="I1769" s="0" t="inlineStr">
        <is>
          <t>NULL</t>
        </is>
      </c>
      <c r="J1769" s="0" t="inlineStr">
        <is>
          <t>NULL</t>
        </is>
      </c>
      <c r="K1769" s="0" t="inlineStr">
        <is>
          <t>YES! 	 c_int列源备映射正确，源端为int None位	期望更改为int	实际备端为int None位</t>
        </is>
      </c>
    </row>
    <row r="1770">
      <c r="B1770" s="0" t="inlineStr">
        <is>
          <t>NULL</t>
        </is>
      </c>
      <c r="C1770" s="0" t="inlineStr">
        <is>
          <t>NULL</t>
        </is>
      </c>
      <c r="D1770" s="0" t="inlineStr">
        <is>
          <t>NULL</t>
        </is>
      </c>
      <c r="E1770" s="0" t="inlineStr">
        <is>
          <t>NULL</t>
        </is>
      </c>
      <c r="F1770" s="0" t="inlineStr">
        <is>
          <t>NULL</t>
        </is>
      </c>
      <c r="G1770" s="0" t="inlineStr">
        <is>
          <t>NULL</t>
        </is>
      </c>
      <c r="H1770" s="0" t="inlineStr">
        <is>
          <t>NULL</t>
        </is>
      </c>
      <c r="I1770" s="0" t="inlineStr">
        <is>
          <t>NULL</t>
        </is>
      </c>
      <c r="J1770" s="0" t="inlineStr">
        <is>
          <t>NULL</t>
        </is>
      </c>
      <c r="K1770" s="0" t="inlineStr">
        <is>
          <t>YES! 	 c_bigint列源备映射正确，源端为bigint None位	期望更改为bigint	实际备端为bigint None位</t>
        </is>
      </c>
    </row>
    <row r="1771">
      <c r="B1771" s="0" t="inlineStr">
        <is>
          <t>NULL</t>
        </is>
      </c>
      <c r="C1771" s="0" t="inlineStr">
        <is>
          <t>NULL</t>
        </is>
      </c>
      <c r="D1771" s="0" t="inlineStr">
        <is>
          <t>NULL</t>
        </is>
      </c>
      <c r="E1771" s="0" t="inlineStr">
        <is>
          <t>NULL</t>
        </is>
      </c>
      <c r="F1771" s="0" t="inlineStr">
        <is>
          <t>NULL</t>
        </is>
      </c>
      <c r="G1771" s="0" t="inlineStr">
        <is>
          <t>NULL</t>
        </is>
      </c>
      <c r="H1771" s="0" t="inlineStr">
        <is>
          <t>NULL</t>
        </is>
      </c>
      <c r="I1771" s="0" t="inlineStr">
        <is>
          <t>NULL</t>
        </is>
      </c>
      <c r="J1771" s="0" t="inlineStr">
        <is>
          <t>NULL</t>
        </is>
      </c>
      <c r="K1771" s="0" t="inlineStr">
        <is>
          <t>YES! 	 c_decimal列源备映射正确，源端为decimal None位	期望更改为decimal(p,s)	实际备端为decimal None位</t>
        </is>
      </c>
    </row>
    <row r="1772">
      <c r="B1772" s="0" t="inlineStr">
        <is>
          <t>NULL</t>
        </is>
      </c>
      <c r="C1772" s="0" t="inlineStr">
        <is>
          <t>NULL</t>
        </is>
      </c>
      <c r="D1772" s="0" t="inlineStr">
        <is>
          <t>NULL</t>
        </is>
      </c>
      <c r="E1772" s="0" t="inlineStr">
        <is>
          <t>NULL</t>
        </is>
      </c>
      <c r="F1772" s="0" t="inlineStr">
        <is>
          <t>NULL</t>
        </is>
      </c>
      <c r="G1772" s="0" t="inlineStr">
        <is>
          <t>NULL</t>
        </is>
      </c>
      <c r="H1772" s="0" t="inlineStr">
        <is>
          <t>NULL</t>
        </is>
      </c>
      <c r="I1772" s="0" t="inlineStr">
        <is>
          <t>NULL</t>
        </is>
      </c>
      <c r="J1772" s="0" t="inlineStr">
        <is>
          <t>NULL</t>
        </is>
      </c>
      <c r="K1772" s="0" t="inlineStr">
        <is>
          <t>YES! 	 c_decimal38列源备映射正确，源端为decimal None位	期望更改为decimal(p,s)	实际备端为decimal None位</t>
        </is>
      </c>
    </row>
    <row r="1773">
      <c r="B1773" s="0" t="inlineStr">
        <is>
          <t>NULL</t>
        </is>
      </c>
      <c r="C1773" s="0" t="inlineStr">
        <is>
          <t>NULL</t>
        </is>
      </c>
      <c r="D1773" s="0" t="inlineStr">
        <is>
          <t>NULL</t>
        </is>
      </c>
      <c r="E1773" s="0" t="inlineStr">
        <is>
          <t>NULL</t>
        </is>
      </c>
      <c r="F1773" s="0" t="inlineStr">
        <is>
          <t>NULL</t>
        </is>
      </c>
      <c r="G1773" s="0" t="inlineStr">
        <is>
          <t>NULL</t>
        </is>
      </c>
      <c r="H1773" s="0" t="inlineStr">
        <is>
          <t>NULL</t>
        </is>
      </c>
      <c r="I1773" s="0" t="inlineStr">
        <is>
          <t>NULL</t>
        </is>
      </c>
      <c r="J1773" s="0" t="inlineStr">
        <is>
          <t>NULL</t>
        </is>
      </c>
      <c r="K1773" s="0" t="inlineStr">
        <is>
          <t>YES! 	 c_decimal38_38列源备映射正确，源端为decimal None位	期望更改为decimal(p,s)	实际备端为decimal None位</t>
        </is>
      </c>
    </row>
    <row r="1774">
      <c r="B1774" s="0" t="inlineStr">
        <is>
          <t>NULL</t>
        </is>
      </c>
      <c r="C1774" s="0" t="inlineStr">
        <is>
          <t>NULL</t>
        </is>
      </c>
      <c r="D1774" s="0" t="inlineStr">
        <is>
          <t>NULL</t>
        </is>
      </c>
      <c r="E1774" s="0" t="inlineStr">
        <is>
          <t>NULL</t>
        </is>
      </c>
      <c r="F1774" s="0" t="inlineStr">
        <is>
          <t>NULL</t>
        </is>
      </c>
      <c r="G1774" s="0" t="inlineStr">
        <is>
          <t>NULL</t>
        </is>
      </c>
      <c r="H1774" s="0" t="inlineStr">
        <is>
          <t>NULL</t>
        </is>
      </c>
      <c r="I1774" s="0" t="inlineStr">
        <is>
          <t>NULL</t>
        </is>
      </c>
      <c r="J1774" s="0" t="inlineStr">
        <is>
          <t>NULL</t>
        </is>
      </c>
      <c r="K1774" s="0" t="inlineStr">
        <is>
          <t>YES! 	 c_decimal38_10列源备映射正确，源端为decimal None位	期望更改为decimal(p,s)	实际备端为decimal None位</t>
        </is>
      </c>
    </row>
    <row r="1775">
      <c r="B1775" s="0" t="inlineStr">
        <is>
          <t>NULL</t>
        </is>
      </c>
      <c r="C1775" s="0" t="inlineStr">
        <is>
          <t>NULL</t>
        </is>
      </c>
      <c r="D1775" s="0" t="inlineStr">
        <is>
          <t>NULL</t>
        </is>
      </c>
      <c r="E1775" s="0" t="inlineStr">
        <is>
          <t>NULL</t>
        </is>
      </c>
      <c r="F1775" s="0" t="inlineStr">
        <is>
          <t>NULL</t>
        </is>
      </c>
      <c r="G1775" s="0" t="inlineStr">
        <is>
          <t>NULL</t>
        </is>
      </c>
      <c r="H1775" s="0" t="inlineStr">
        <is>
          <t>NULL</t>
        </is>
      </c>
      <c r="I1775" s="0" t="inlineStr">
        <is>
          <t>NULL</t>
        </is>
      </c>
      <c r="J1775" s="0" t="inlineStr">
        <is>
          <t>NULL</t>
        </is>
      </c>
      <c r="K1775" s="0" t="inlineStr">
        <is>
          <t>YES! 	 c_decimal19_4列源备映射正确，源端为decimal None位	期望更改为decimal(p,s)	实际备端为decimal None位</t>
        </is>
      </c>
    </row>
    <row r="1776">
      <c r="B1776" s="0" t="inlineStr">
        <is>
          <t>NULL</t>
        </is>
      </c>
      <c r="C1776" s="0" t="inlineStr">
        <is>
          <t>NULL</t>
        </is>
      </c>
      <c r="D1776" s="0" t="inlineStr">
        <is>
          <t>NULL</t>
        </is>
      </c>
      <c r="E1776" s="0" t="inlineStr">
        <is>
          <t>NULL</t>
        </is>
      </c>
      <c r="F1776" s="0" t="inlineStr">
        <is>
          <t>NULL</t>
        </is>
      </c>
      <c r="G1776" s="0" t="inlineStr">
        <is>
          <t>NULL</t>
        </is>
      </c>
      <c r="H1776" s="0" t="inlineStr">
        <is>
          <t>NULL</t>
        </is>
      </c>
      <c r="I1776" s="0" t="inlineStr">
        <is>
          <t>NULL</t>
        </is>
      </c>
      <c r="J1776" s="0" t="inlineStr">
        <is>
          <t>NULL</t>
        </is>
      </c>
      <c r="K1776" s="0" t="inlineStr">
        <is>
          <t>YES! 	 c_numeric列源备映射正确，源端为numeric None位	期望更改为numeric(p,s)	实际备端为numeric None位</t>
        </is>
      </c>
    </row>
    <row r="1777">
      <c r="B1777" s="0" t="inlineStr">
        <is>
          <t>NULL</t>
        </is>
      </c>
      <c r="C1777" s="0" t="inlineStr">
        <is>
          <t>NULL</t>
        </is>
      </c>
      <c r="D1777" s="0" t="inlineStr">
        <is>
          <t>NULL</t>
        </is>
      </c>
      <c r="E1777" s="0" t="inlineStr">
        <is>
          <t>NULL</t>
        </is>
      </c>
      <c r="F1777" s="0" t="inlineStr">
        <is>
          <t>NULL</t>
        </is>
      </c>
      <c r="G1777" s="0" t="inlineStr">
        <is>
          <t>NULL</t>
        </is>
      </c>
      <c r="H1777" s="0" t="inlineStr">
        <is>
          <t>NULL</t>
        </is>
      </c>
      <c r="I1777" s="0" t="inlineStr">
        <is>
          <t>NULL</t>
        </is>
      </c>
      <c r="J1777" s="0" t="inlineStr">
        <is>
          <t>NULL</t>
        </is>
      </c>
      <c r="K1777" s="0" t="inlineStr">
        <is>
          <t>YES! 	 c_numeric38列源备映射正确，源端为numeric None位	期望更改为numeric(p,s)	实际备端为numeric None位</t>
        </is>
      </c>
    </row>
    <row r="1778">
      <c r="B1778" s="0" t="inlineStr">
        <is>
          <t>NULL</t>
        </is>
      </c>
      <c r="C1778" s="0" t="inlineStr">
        <is>
          <t>NULL</t>
        </is>
      </c>
      <c r="D1778" s="0" t="inlineStr">
        <is>
          <t>NULL</t>
        </is>
      </c>
      <c r="E1778" s="0" t="inlineStr">
        <is>
          <t>NULL</t>
        </is>
      </c>
      <c r="F1778" s="0" t="inlineStr">
        <is>
          <t>NULL</t>
        </is>
      </c>
      <c r="G1778" s="0" t="inlineStr">
        <is>
          <t>NULL</t>
        </is>
      </c>
      <c r="H1778" s="0" t="inlineStr">
        <is>
          <t>NULL</t>
        </is>
      </c>
      <c r="I1778" s="0" t="inlineStr">
        <is>
          <t>NULL</t>
        </is>
      </c>
      <c r="J1778" s="0" t="inlineStr">
        <is>
          <t>NULL</t>
        </is>
      </c>
      <c r="K1778" s="0" t="inlineStr">
        <is>
          <t>YES! 	 c_numeric38_38列源备映射正确，源端为numeric None位	期望更改为numeric(p,s)	实际备端为numeric None位</t>
        </is>
      </c>
    </row>
    <row r="1779">
      <c r="B1779" s="0" t="inlineStr">
        <is>
          <t>NULL</t>
        </is>
      </c>
      <c r="C1779" s="0" t="inlineStr">
        <is>
          <t>NULL</t>
        </is>
      </c>
      <c r="D1779" s="0" t="inlineStr">
        <is>
          <t>NULL</t>
        </is>
      </c>
      <c r="E1779" s="0" t="inlineStr">
        <is>
          <t>NULL</t>
        </is>
      </c>
      <c r="F1779" s="0" t="inlineStr">
        <is>
          <t>NULL</t>
        </is>
      </c>
      <c r="G1779" s="0" t="inlineStr">
        <is>
          <t>NULL</t>
        </is>
      </c>
      <c r="H1779" s="0" t="inlineStr">
        <is>
          <t>NULL</t>
        </is>
      </c>
      <c r="I1779" s="0" t="inlineStr">
        <is>
          <t>NULL</t>
        </is>
      </c>
      <c r="J1779" s="0" t="inlineStr">
        <is>
          <t>NULL</t>
        </is>
      </c>
      <c r="K1779" s="0" t="inlineStr">
        <is>
          <t>YES! 	 c_numeric38_10列源备映射正确，源端为numeric None位	期望更改为numeric(p,s)	实际备端为numeric None位</t>
        </is>
      </c>
    </row>
    <row r="1780">
      <c r="B1780" s="0" t="inlineStr">
        <is>
          <t>NULL</t>
        </is>
      </c>
      <c r="C1780" s="0" t="inlineStr">
        <is>
          <t>NULL</t>
        </is>
      </c>
      <c r="D1780" s="0" t="inlineStr">
        <is>
          <t>NULL</t>
        </is>
      </c>
      <c r="E1780" s="0" t="inlineStr">
        <is>
          <t>NULL</t>
        </is>
      </c>
      <c r="F1780" s="0" t="inlineStr">
        <is>
          <t>NULL</t>
        </is>
      </c>
      <c r="G1780" s="0" t="inlineStr">
        <is>
          <t>NULL</t>
        </is>
      </c>
      <c r="H1780" s="0" t="inlineStr">
        <is>
          <t>NULL</t>
        </is>
      </c>
      <c r="I1780" s="0" t="inlineStr">
        <is>
          <t>NULL</t>
        </is>
      </c>
      <c r="J1780" s="0" t="inlineStr">
        <is>
          <t>NULL</t>
        </is>
      </c>
      <c r="K1780" s="0" t="inlineStr">
        <is>
          <t>YES! 	 c_numeric18_2列源备映射正确，源端为numeric None位	期望更改为numeric(p,s)	实际备端为numeric None位</t>
        </is>
      </c>
    </row>
    <row r="1781">
      <c r="B1781" s="0" t="inlineStr">
        <is>
          <t>NULL</t>
        </is>
      </c>
      <c r="C1781" s="0" t="inlineStr">
        <is>
          <t>NULL</t>
        </is>
      </c>
      <c r="D1781" s="0" t="inlineStr">
        <is>
          <t>NULL</t>
        </is>
      </c>
      <c r="E1781" s="0" t="inlineStr">
        <is>
          <t>NULL</t>
        </is>
      </c>
      <c r="F1781" s="0" t="inlineStr">
        <is>
          <t>NULL</t>
        </is>
      </c>
      <c r="G1781" s="0" t="inlineStr">
        <is>
          <t>NULL</t>
        </is>
      </c>
      <c r="H1781" s="0" t="inlineStr">
        <is>
          <t>NULL</t>
        </is>
      </c>
      <c r="I1781" s="0" t="inlineStr">
        <is>
          <t>NULL</t>
        </is>
      </c>
      <c r="J1781" s="0" t="inlineStr">
        <is>
          <t>NULL</t>
        </is>
      </c>
      <c r="K1781" s="0" t="inlineStr">
        <is>
          <t>YES! 	 c_float列源备映射正确，源端为float None位	期望更改为float	实际备端为float None位</t>
        </is>
      </c>
    </row>
    <row r="1782">
      <c r="B1782" s="0" t="inlineStr">
        <is>
          <t>NULL</t>
        </is>
      </c>
      <c r="C1782" s="0" t="inlineStr">
        <is>
          <t>NULL</t>
        </is>
      </c>
      <c r="D1782" s="0" t="inlineStr">
        <is>
          <t>NULL</t>
        </is>
      </c>
      <c r="E1782" s="0" t="inlineStr">
        <is>
          <t>NULL</t>
        </is>
      </c>
      <c r="F1782" s="0" t="inlineStr">
        <is>
          <t>NULL</t>
        </is>
      </c>
      <c r="G1782" s="0" t="inlineStr">
        <is>
          <t>NULL</t>
        </is>
      </c>
      <c r="H1782" s="0" t="inlineStr">
        <is>
          <t>NULL</t>
        </is>
      </c>
      <c r="I1782" s="0" t="inlineStr">
        <is>
          <t>NULL</t>
        </is>
      </c>
      <c r="J1782" s="0" t="inlineStr">
        <is>
          <t>NULL</t>
        </is>
      </c>
      <c r="K1782" s="0" t="inlineStr">
        <is>
          <t>YES! 	 c_real列源备映射正确，源端为real None位	期望更改为real	实际备端为real None位</t>
        </is>
      </c>
    </row>
    <row r="1783">
      <c r="B1783" s="0" t="inlineStr">
        <is>
          <t>NULL</t>
        </is>
      </c>
      <c r="C1783" s="0" t="inlineStr">
        <is>
          <t>NULL</t>
        </is>
      </c>
      <c r="D1783" s="0" t="inlineStr">
        <is>
          <t>NULL</t>
        </is>
      </c>
      <c r="E1783" s="0" t="inlineStr">
        <is>
          <t>NULL</t>
        </is>
      </c>
      <c r="F1783" s="0" t="inlineStr">
        <is>
          <t>NULL</t>
        </is>
      </c>
      <c r="G1783" s="0" t="inlineStr">
        <is>
          <t>NULL</t>
        </is>
      </c>
      <c r="H1783" s="0" t="inlineStr">
        <is>
          <t>NULL</t>
        </is>
      </c>
      <c r="I1783" s="0" t="inlineStr">
        <is>
          <t>NULL</t>
        </is>
      </c>
      <c r="J1783" s="0" t="inlineStr">
        <is>
          <t>NULL</t>
        </is>
      </c>
      <c r="K1783" s="0" t="inlineStr">
        <is>
          <t>YES! 	 c_money列源备映射正确，源端为money None位	期望更改为money	实际备端为money None位</t>
        </is>
      </c>
    </row>
    <row r="1784">
      <c r="B1784" s="0" t="inlineStr">
        <is>
          <t>NULL</t>
        </is>
      </c>
      <c r="C1784" s="0" t="inlineStr">
        <is>
          <t>NULL</t>
        </is>
      </c>
      <c r="D1784" s="0" t="inlineStr">
        <is>
          <t>NULL</t>
        </is>
      </c>
      <c r="E1784" s="0" t="inlineStr">
        <is>
          <t>NULL</t>
        </is>
      </c>
      <c r="F1784" s="0" t="inlineStr">
        <is>
          <t>NULL</t>
        </is>
      </c>
      <c r="G1784" s="0" t="inlineStr">
        <is>
          <t>NULL</t>
        </is>
      </c>
      <c r="H1784" s="0" t="inlineStr">
        <is>
          <t>NULL</t>
        </is>
      </c>
      <c r="I1784" s="0" t="inlineStr">
        <is>
          <t>NULL</t>
        </is>
      </c>
      <c r="J1784" s="0" t="inlineStr">
        <is>
          <t>NULL</t>
        </is>
      </c>
      <c r="K1784" s="0" t="inlineStr">
        <is>
          <t>YES! 	 c_smallmoney列源备映射正确，源端为smallmoney None位	期望更改为smallmoney	实际备端为smallmoney None位</t>
        </is>
      </c>
    </row>
    <row r="1785">
      <c r="B1785" s="0" t="inlineStr">
        <is>
          <t>NULL</t>
        </is>
      </c>
      <c r="C1785" s="0" t="inlineStr">
        <is>
          <t>NULL</t>
        </is>
      </c>
      <c r="D1785" s="0" t="inlineStr">
        <is>
          <t>NULL</t>
        </is>
      </c>
      <c r="E1785" s="0" t="inlineStr">
        <is>
          <t>NULL</t>
        </is>
      </c>
      <c r="F1785" s="0" t="inlineStr">
        <is>
          <t>NULL</t>
        </is>
      </c>
      <c r="G1785" s="0" t="inlineStr">
        <is>
          <t>NULL</t>
        </is>
      </c>
      <c r="H1785" s="0" t="inlineStr">
        <is>
          <t>NULL</t>
        </is>
      </c>
      <c r="I1785" s="0" t="inlineStr">
        <is>
          <t>NULL</t>
        </is>
      </c>
      <c r="J1785" s="0" t="inlineStr">
        <is>
          <t>NULL</t>
        </is>
      </c>
      <c r="K1785" s="0" t="inlineStr">
        <is>
          <t>YES! 	 c_bit列源备映射正确，源端为bit None位	期望更改为bit	实际备端为bit None位</t>
        </is>
      </c>
    </row>
    <row r="1786">
      <c r="A1786" s="0" t="inlineStr">
        <is>
          <t>info_xml_dml_single_pk_urp</t>
        </is>
      </c>
      <c r="K1786" s="0" t="inlineStr">
        <is>
          <t>[0;34m info_xml_dml_single_pk_urp [0m源备字段数相同，源端字段：2 	备端字段2</t>
        </is>
      </c>
      <c r="W1786" s="0" t="inlineStr">
        <is>
          <t>YES 源备无差异</t>
        </is>
      </c>
      <c r="X1786" s="0">
        <f>A1786</f>
        <v/>
      </c>
    </row>
    <row r="1787">
      <c r="B1787" s="0" t="inlineStr">
        <is>
          <t>YES</t>
        </is>
      </c>
      <c r="C1787" s="0" t="inlineStr">
        <is>
          <t>NULL</t>
        </is>
      </c>
      <c r="D1787" s="0" t="inlineStr">
        <is>
          <t>NULL</t>
        </is>
      </c>
      <c r="E1787" s="0" t="inlineStr">
        <is>
          <t>NULL</t>
        </is>
      </c>
      <c r="F1787" s="0" t="inlineStr">
        <is>
          <t>NULL</t>
        </is>
      </c>
      <c r="G1787" s="0" t="inlineStr">
        <is>
          <t>NULL</t>
        </is>
      </c>
      <c r="H1787" s="0" t="inlineStr">
        <is>
          <t>NULL</t>
        </is>
      </c>
      <c r="I1787" s="0" t="inlineStr">
        <is>
          <t>YES!PK__info_xml__3213E83F7193908E</t>
        </is>
      </c>
      <c r="J1787" s="0" t="inlineStr">
        <is>
          <t>YES! 主键相关索引</t>
        </is>
      </c>
      <c r="K1787" s="0" t="inlineStr">
        <is>
          <t>YES! 	 id列源备映射正确，源端为int None位	期望更改为int	实际备端为int None位</t>
        </is>
      </c>
    </row>
    <row r="1788">
      <c r="B1788" s="0" t="inlineStr">
        <is>
          <t>NULL</t>
        </is>
      </c>
      <c r="C1788" s="0" t="inlineStr">
        <is>
          <t>NULL</t>
        </is>
      </c>
      <c r="D1788" s="0" t="inlineStr">
        <is>
          <t>NULL</t>
        </is>
      </c>
      <c r="E1788" s="0" t="inlineStr">
        <is>
          <t>NULL</t>
        </is>
      </c>
      <c r="F1788" s="0" t="inlineStr">
        <is>
          <t>NULL</t>
        </is>
      </c>
      <c r="G1788" s="0" t="inlineStr">
        <is>
          <t>NULL</t>
        </is>
      </c>
      <c r="H1788" s="0" t="inlineStr">
        <is>
          <t>NULL</t>
        </is>
      </c>
      <c r="I1788" s="0" t="inlineStr">
        <is>
          <t>NULL</t>
        </is>
      </c>
      <c r="J1788" s="0" t="inlineStr">
        <is>
          <t>NULL</t>
        </is>
      </c>
      <c r="K1788" s="0" t="inlineStr">
        <is>
          <t>YES! 	 c_xml列源备映射正确，源端为xml -1位	期望更改为xml	实际备端为xml -1位</t>
        </is>
      </c>
    </row>
    <row r="1789">
      <c r="A1789" s="0" t="inlineStr">
        <is>
          <t>info_varbinary_max_dml_single_pk</t>
        </is>
      </c>
      <c r="K1789" s="0" t="inlineStr">
        <is>
          <t>[0;34m info_varbinary_max_dml_single_pk [0m源备字段数相同，源端字段：4 	备端字段4</t>
        </is>
      </c>
      <c r="W1789" s="0" t="inlineStr">
        <is>
          <t>YES 源备无差异</t>
        </is>
      </c>
      <c r="X1789" s="0">
        <f>A1789</f>
        <v/>
      </c>
    </row>
    <row r="1790">
      <c r="B1790" s="0" t="inlineStr">
        <is>
          <t>YES</t>
        </is>
      </c>
      <c r="C1790" s="0" t="inlineStr">
        <is>
          <t>NULL</t>
        </is>
      </c>
      <c r="D1790" s="0" t="inlineStr">
        <is>
          <t>NULL</t>
        </is>
      </c>
      <c r="E1790" s="0" t="inlineStr">
        <is>
          <t>NULL</t>
        </is>
      </c>
      <c r="F1790" s="0" t="inlineStr">
        <is>
          <t>NULL</t>
        </is>
      </c>
      <c r="G1790" s="0" t="inlineStr">
        <is>
          <t>NULL</t>
        </is>
      </c>
      <c r="H1790" s="0" t="inlineStr">
        <is>
          <t>NULL</t>
        </is>
      </c>
      <c r="I1790" s="0" t="inlineStr">
        <is>
          <t>YES!PK__info_var__3213E83FA466D81D</t>
        </is>
      </c>
      <c r="J1790" s="0" t="inlineStr">
        <is>
          <t>YES! 主键相关索引</t>
        </is>
      </c>
      <c r="K1790" s="0" t="inlineStr">
        <is>
          <t>YES! 	 id列源备映射正确，源端为int None位	期望更改为int	实际备端为int None位</t>
        </is>
      </c>
    </row>
    <row r="1791">
      <c r="B1791" s="0" t="inlineStr">
        <is>
          <t>NULL</t>
        </is>
      </c>
      <c r="C1791" s="0" t="inlineStr">
        <is>
          <t>NULL</t>
        </is>
      </c>
      <c r="D1791" s="0" t="inlineStr">
        <is>
          <t>NULL</t>
        </is>
      </c>
      <c r="E1791" s="0" t="inlineStr">
        <is>
          <t>NULL</t>
        </is>
      </c>
      <c r="F1791" s="0" t="inlineStr">
        <is>
          <t>NULL</t>
        </is>
      </c>
      <c r="G1791" s="0" t="inlineStr">
        <is>
          <t>NULL</t>
        </is>
      </c>
      <c r="H1791" s="0" t="inlineStr">
        <is>
          <t>NULL</t>
        </is>
      </c>
      <c r="I1791" s="0" t="inlineStr">
        <is>
          <t>NULL</t>
        </is>
      </c>
      <c r="J1791" s="0" t="inlineStr">
        <is>
          <t>NULL</t>
        </is>
      </c>
      <c r="K1791" s="0" t="inlineStr">
        <is>
          <t>YES! 	 c_varbinary_max1列源备映射正确，源端为varbinary -1位	期望更改为varbinary(n)	实际备端为varbinary -1位</t>
        </is>
      </c>
    </row>
    <row r="1792">
      <c r="B1792" s="0" t="inlineStr">
        <is>
          <t>NULL</t>
        </is>
      </c>
      <c r="C1792" s="0" t="inlineStr">
        <is>
          <t>NULL</t>
        </is>
      </c>
      <c r="D1792" s="0" t="inlineStr">
        <is>
          <t>NULL</t>
        </is>
      </c>
      <c r="E1792" s="0" t="inlineStr">
        <is>
          <t>NULL</t>
        </is>
      </c>
      <c r="F1792" s="0" t="inlineStr">
        <is>
          <t>NULL</t>
        </is>
      </c>
      <c r="G1792" s="0" t="inlineStr">
        <is>
          <t>NULL</t>
        </is>
      </c>
      <c r="H1792" s="0" t="inlineStr">
        <is>
          <t>NULL</t>
        </is>
      </c>
      <c r="I1792" s="0" t="inlineStr">
        <is>
          <t>NULL</t>
        </is>
      </c>
      <c r="J1792" s="0" t="inlineStr">
        <is>
          <t>NULL</t>
        </is>
      </c>
      <c r="K1792" s="0" t="inlineStr">
        <is>
          <t>YES! 	 c_varbinary_max2列源备映射正确，源端为varbinary -1位	期望更改为varbinary(n)	实际备端为varbinary -1位</t>
        </is>
      </c>
    </row>
    <row r="1793">
      <c r="B1793" s="0" t="inlineStr">
        <is>
          <t>NULL</t>
        </is>
      </c>
      <c r="C1793" s="0" t="inlineStr">
        <is>
          <t>NULL</t>
        </is>
      </c>
      <c r="D1793" s="0" t="inlineStr">
        <is>
          <t>NULL</t>
        </is>
      </c>
      <c r="E1793" s="0" t="inlineStr">
        <is>
          <t>NULL</t>
        </is>
      </c>
      <c r="F1793" s="0" t="inlineStr">
        <is>
          <t>NULL</t>
        </is>
      </c>
      <c r="G1793" s="0" t="inlineStr">
        <is>
          <t>NULL</t>
        </is>
      </c>
      <c r="H1793" s="0" t="inlineStr">
        <is>
          <t>NULL</t>
        </is>
      </c>
      <c r="I1793" s="0" t="inlineStr">
        <is>
          <t>NULL</t>
        </is>
      </c>
      <c r="J1793" s="0" t="inlineStr">
        <is>
          <t>NULL</t>
        </is>
      </c>
      <c r="K1793" s="0" t="inlineStr">
        <is>
          <t>YES! 	 c_image3列源备映射正确，源端为image 2147483647位	期望更改为image	实际备端为image 2147483647位</t>
        </is>
      </c>
    </row>
    <row r="1794">
      <c r="A1794" s="0" t="inlineStr">
        <is>
          <t>info_int_dml_batch1_pk_urp2</t>
        </is>
      </c>
      <c r="K1794" s="0" t="inlineStr">
        <is>
          <t>[0;34m info_int_dml_batch1_pk_urp2 [0m源备字段数相同，源端字段：20 	备端字段20</t>
        </is>
      </c>
      <c r="W1794" s="0" t="inlineStr">
        <is>
          <t>YES 源备无差异</t>
        </is>
      </c>
      <c r="X1794" s="0">
        <f>A1794</f>
        <v/>
      </c>
    </row>
    <row r="1795">
      <c r="B1795" s="0" t="inlineStr">
        <is>
          <t>YES</t>
        </is>
      </c>
      <c r="C1795" s="0" t="inlineStr">
        <is>
          <t>NULL</t>
        </is>
      </c>
      <c r="D1795" s="0" t="inlineStr">
        <is>
          <t>NULL</t>
        </is>
      </c>
      <c r="E1795" s="0" t="inlineStr">
        <is>
          <t>NULL</t>
        </is>
      </c>
      <c r="F1795" s="0" t="inlineStr">
        <is>
          <t>NULL</t>
        </is>
      </c>
      <c r="G1795" s="0" t="inlineStr">
        <is>
          <t>NULL</t>
        </is>
      </c>
      <c r="H1795" s="0" t="inlineStr">
        <is>
          <t>NULL</t>
        </is>
      </c>
      <c r="I1795" s="0" t="inlineStr">
        <is>
          <t>YES!PK__info_int__3213E83F144F3BF9</t>
        </is>
      </c>
      <c r="J1795" s="0" t="inlineStr">
        <is>
          <t>YES! 主键相关索引</t>
        </is>
      </c>
      <c r="K1795" s="0" t="inlineStr">
        <is>
          <t>YES! 	 id列源备映射正确，源端为int None位	期望更改为int	实际备端为int None位</t>
        </is>
      </c>
    </row>
    <row r="1796">
      <c r="B1796" s="0" t="inlineStr">
        <is>
          <t>NULL</t>
        </is>
      </c>
      <c r="C1796" s="0" t="inlineStr">
        <is>
          <t>NULL</t>
        </is>
      </c>
      <c r="D1796" s="0" t="inlineStr">
        <is>
          <t>NULL</t>
        </is>
      </c>
      <c r="E1796" s="0" t="inlineStr">
        <is>
          <t>NULL</t>
        </is>
      </c>
      <c r="F1796" s="0" t="inlineStr">
        <is>
          <t>NULL</t>
        </is>
      </c>
      <c r="G1796" s="0" t="inlineStr">
        <is>
          <t>NULL</t>
        </is>
      </c>
      <c r="H1796" s="0" t="inlineStr">
        <is>
          <t>NULL</t>
        </is>
      </c>
      <c r="I1796" s="0" t="inlineStr">
        <is>
          <t>NULL</t>
        </is>
      </c>
      <c r="J1796" s="0" t="inlineStr">
        <is>
          <t>NULL</t>
        </is>
      </c>
      <c r="K1796" s="0" t="inlineStr">
        <is>
          <t>YES! 	 c_tinyint列源备映射正确，源端为tinyint None位	期望更改为tinyint	实际备端为tinyint None位</t>
        </is>
      </c>
    </row>
    <row r="1797">
      <c r="B1797" s="0" t="inlineStr">
        <is>
          <t>NULL</t>
        </is>
      </c>
      <c r="C1797" s="0" t="inlineStr">
        <is>
          <t>NULL</t>
        </is>
      </c>
      <c r="D1797" s="0" t="inlineStr">
        <is>
          <t>NULL</t>
        </is>
      </c>
      <c r="E1797" s="0" t="inlineStr">
        <is>
          <t>NULL</t>
        </is>
      </c>
      <c r="F1797" s="0" t="inlineStr">
        <is>
          <t>NULL</t>
        </is>
      </c>
      <c r="G1797" s="0" t="inlineStr">
        <is>
          <t>NULL</t>
        </is>
      </c>
      <c r="H1797" s="0" t="inlineStr">
        <is>
          <t>NULL</t>
        </is>
      </c>
      <c r="I1797" s="0" t="inlineStr">
        <is>
          <t>NULL</t>
        </is>
      </c>
      <c r="J1797" s="0" t="inlineStr">
        <is>
          <t>NULL</t>
        </is>
      </c>
      <c r="K1797" s="0" t="inlineStr">
        <is>
          <t>YES! 	 c_smallint列源备映射正确，源端为smallint None位	期望更改为smallint	实际备端为smallint None位</t>
        </is>
      </c>
    </row>
    <row r="1798">
      <c r="B1798" s="0" t="inlineStr">
        <is>
          <t>NULL</t>
        </is>
      </c>
      <c r="C1798" s="0" t="inlineStr">
        <is>
          <t>NULL</t>
        </is>
      </c>
      <c r="D1798" s="0" t="inlineStr">
        <is>
          <t>NULL</t>
        </is>
      </c>
      <c r="E1798" s="0" t="inlineStr">
        <is>
          <t>NULL</t>
        </is>
      </c>
      <c r="F1798" s="0" t="inlineStr">
        <is>
          <t>NULL</t>
        </is>
      </c>
      <c r="G1798" s="0" t="inlineStr">
        <is>
          <t>NULL</t>
        </is>
      </c>
      <c r="H1798" s="0" t="inlineStr">
        <is>
          <t>NULL</t>
        </is>
      </c>
      <c r="I1798" s="0" t="inlineStr">
        <is>
          <t>NULL</t>
        </is>
      </c>
      <c r="J1798" s="0" t="inlineStr">
        <is>
          <t>NULL</t>
        </is>
      </c>
      <c r="K1798" s="0" t="inlineStr">
        <is>
          <t>YES! 	 c_int列源备映射正确，源端为int None位	期望更改为int	实际备端为int None位</t>
        </is>
      </c>
    </row>
    <row r="1799">
      <c r="B1799" s="0" t="inlineStr">
        <is>
          <t>NULL</t>
        </is>
      </c>
      <c r="C1799" s="0" t="inlineStr">
        <is>
          <t>NULL</t>
        </is>
      </c>
      <c r="D1799" s="0" t="inlineStr">
        <is>
          <t>NULL</t>
        </is>
      </c>
      <c r="E1799" s="0" t="inlineStr">
        <is>
          <t>NULL</t>
        </is>
      </c>
      <c r="F1799" s="0" t="inlineStr">
        <is>
          <t>NULL</t>
        </is>
      </c>
      <c r="G1799" s="0" t="inlineStr">
        <is>
          <t>NULL</t>
        </is>
      </c>
      <c r="H1799" s="0" t="inlineStr">
        <is>
          <t>NULL</t>
        </is>
      </c>
      <c r="I1799" s="0" t="inlineStr">
        <is>
          <t>NULL</t>
        </is>
      </c>
      <c r="J1799" s="0" t="inlineStr">
        <is>
          <t>NULL</t>
        </is>
      </c>
      <c r="K1799" s="0" t="inlineStr">
        <is>
          <t>YES! 	 c_bigint列源备映射正确，源端为bigint None位	期望更改为bigint	实际备端为bigint None位</t>
        </is>
      </c>
    </row>
    <row r="1800">
      <c r="B1800" s="0" t="inlineStr">
        <is>
          <t>NULL</t>
        </is>
      </c>
      <c r="C1800" s="0" t="inlineStr">
        <is>
          <t>NULL</t>
        </is>
      </c>
      <c r="D1800" s="0" t="inlineStr">
        <is>
          <t>NULL</t>
        </is>
      </c>
      <c r="E1800" s="0" t="inlineStr">
        <is>
          <t>NULL</t>
        </is>
      </c>
      <c r="F1800" s="0" t="inlineStr">
        <is>
          <t>NULL</t>
        </is>
      </c>
      <c r="G1800" s="0" t="inlineStr">
        <is>
          <t>NULL</t>
        </is>
      </c>
      <c r="H1800" s="0" t="inlineStr">
        <is>
          <t>NULL</t>
        </is>
      </c>
      <c r="I1800" s="0" t="inlineStr">
        <is>
          <t>NULL</t>
        </is>
      </c>
      <c r="J1800" s="0" t="inlineStr">
        <is>
          <t>NULL</t>
        </is>
      </c>
      <c r="K1800" s="0" t="inlineStr">
        <is>
          <t>YES! 	 c_decimal列源备映射正确，源端为decimal None位	期望更改为decimal(p,s)	实际备端为decimal None位</t>
        </is>
      </c>
    </row>
    <row r="1801">
      <c r="B1801" s="0" t="inlineStr">
        <is>
          <t>NULL</t>
        </is>
      </c>
      <c r="C1801" s="0" t="inlineStr">
        <is>
          <t>NULL</t>
        </is>
      </c>
      <c r="D1801" s="0" t="inlineStr">
        <is>
          <t>NULL</t>
        </is>
      </c>
      <c r="E1801" s="0" t="inlineStr">
        <is>
          <t>NULL</t>
        </is>
      </c>
      <c r="F1801" s="0" t="inlineStr">
        <is>
          <t>NULL</t>
        </is>
      </c>
      <c r="G1801" s="0" t="inlineStr">
        <is>
          <t>NULL</t>
        </is>
      </c>
      <c r="H1801" s="0" t="inlineStr">
        <is>
          <t>NULL</t>
        </is>
      </c>
      <c r="I1801" s="0" t="inlineStr">
        <is>
          <t>NULL</t>
        </is>
      </c>
      <c r="J1801" s="0" t="inlineStr">
        <is>
          <t>NULL</t>
        </is>
      </c>
      <c r="K1801" s="0" t="inlineStr">
        <is>
          <t>YES! 	 c_decimal38列源备映射正确，源端为decimal None位	期望更改为decimal(p,s)	实际备端为decimal None位</t>
        </is>
      </c>
    </row>
    <row r="1802">
      <c r="B1802" s="0" t="inlineStr">
        <is>
          <t>NULL</t>
        </is>
      </c>
      <c r="C1802" s="0" t="inlineStr">
        <is>
          <t>NULL</t>
        </is>
      </c>
      <c r="D1802" s="0" t="inlineStr">
        <is>
          <t>NULL</t>
        </is>
      </c>
      <c r="E1802" s="0" t="inlineStr">
        <is>
          <t>NULL</t>
        </is>
      </c>
      <c r="F1802" s="0" t="inlineStr">
        <is>
          <t>NULL</t>
        </is>
      </c>
      <c r="G1802" s="0" t="inlineStr">
        <is>
          <t>NULL</t>
        </is>
      </c>
      <c r="H1802" s="0" t="inlineStr">
        <is>
          <t>NULL</t>
        </is>
      </c>
      <c r="I1802" s="0" t="inlineStr">
        <is>
          <t>NULL</t>
        </is>
      </c>
      <c r="J1802" s="0" t="inlineStr">
        <is>
          <t>NULL</t>
        </is>
      </c>
      <c r="K1802" s="0" t="inlineStr">
        <is>
          <t>YES! 	 c_decimal38_38列源备映射正确，源端为decimal None位	期望更改为decimal(p,s)	实际备端为decimal None位</t>
        </is>
      </c>
    </row>
    <row r="1803">
      <c r="B1803" s="0" t="inlineStr">
        <is>
          <t>NULL</t>
        </is>
      </c>
      <c r="C1803" s="0" t="inlineStr">
        <is>
          <t>NULL</t>
        </is>
      </c>
      <c r="D1803" s="0" t="inlineStr">
        <is>
          <t>NULL</t>
        </is>
      </c>
      <c r="E1803" s="0" t="inlineStr">
        <is>
          <t>NULL</t>
        </is>
      </c>
      <c r="F1803" s="0" t="inlineStr">
        <is>
          <t>NULL</t>
        </is>
      </c>
      <c r="G1803" s="0" t="inlineStr">
        <is>
          <t>NULL</t>
        </is>
      </c>
      <c r="H1803" s="0" t="inlineStr">
        <is>
          <t>NULL</t>
        </is>
      </c>
      <c r="I1803" s="0" t="inlineStr">
        <is>
          <t>NULL</t>
        </is>
      </c>
      <c r="J1803" s="0" t="inlineStr">
        <is>
          <t>NULL</t>
        </is>
      </c>
      <c r="K1803" s="0" t="inlineStr">
        <is>
          <t>YES! 	 c_decimal38_10列源备映射正确，源端为decimal None位	期望更改为decimal(p,s)	实际备端为decimal None位</t>
        </is>
      </c>
    </row>
    <row r="1804">
      <c r="B1804" s="0" t="inlineStr">
        <is>
          <t>NULL</t>
        </is>
      </c>
      <c r="C1804" s="0" t="inlineStr">
        <is>
          <t>NULL</t>
        </is>
      </c>
      <c r="D1804" s="0" t="inlineStr">
        <is>
          <t>NULL</t>
        </is>
      </c>
      <c r="E1804" s="0" t="inlineStr">
        <is>
          <t>NULL</t>
        </is>
      </c>
      <c r="F1804" s="0" t="inlineStr">
        <is>
          <t>NULL</t>
        </is>
      </c>
      <c r="G1804" s="0" t="inlineStr">
        <is>
          <t>NULL</t>
        </is>
      </c>
      <c r="H1804" s="0" t="inlineStr">
        <is>
          <t>NULL</t>
        </is>
      </c>
      <c r="I1804" s="0" t="inlineStr">
        <is>
          <t>NULL</t>
        </is>
      </c>
      <c r="J1804" s="0" t="inlineStr">
        <is>
          <t>NULL</t>
        </is>
      </c>
      <c r="K1804" s="0" t="inlineStr">
        <is>
          <t>YES! 	 c_decimal19_4列源备映射正确，源端为decimal None位	期望更改为decimal(p,s)	实际备端为decimal None位</t>
        </is>
      </c>
    </row>
    <row r="1805">
      <c r="B1805" s="0" t="inlineStr">
        <is>
          <t>NULL</t>
        </is>
      </c>
      <c r="C1805" s="0" t="inlineStr">
        <is>
          <t>NULL</t>
        </is>
      </c>
      <c r="D1805" s="0" t="inlineStr">
        <is>
          <t>NULL</t>
        </is>
      </c>
      <c r="E1805" s="0" t="inlineStr">
        <is>
          <t>NULL</t>
        </is>
      </c>
      <c r="F1805" s="0" t="inlineStr">
        <is>
          <t>NULL</t>
        </is>
      </c>
      <c r="G1805" s="0" t="inlineStr">
        <is>
          <t>NULL</t>
        </is>
      </c>
      <c r="H1805" s="0" t="inlineStr">
        <is>
          <t>NULL</t>
        </is>
      </c>
      <c r="I1805" s="0" t="inlineStr">
        <is>
          <t>NULL</t>
        </is>
      </c>
      <c r="J1805" s="0" t="inlineStr">
        <is>
          <t>NULL</t>
        </is>
      </c>
      <c r="K1805" s="0" t="inlineStr">
        <is>
          <t>YES! 	 c_numeric列源备映射正确，源端为numeric None位	期望更改为numeric(p,s)	实际备端为numeric None位</t>
        </is>
      </c>
    </row>
    <row r="1806">
      <c r="B1806" s="0" t="inlineStr">
        <is>
          <t>NULL</t>
        </is>
      </c>
      <c r="C1806" s="0" t="inlineStr">
        <is>
          <t>NULL</t>
        </is>
      </c>
      <c r="D1806" s="0" t="inlineStr">
        <is>
          <t>NULL</t>
        </is>
      </c>
      <c r="E1806" s="0" t="inlineStr">
        <is>
          <t>NULL</t>
        </is>
      </c>
      <c r="F1806" s="0" t="inlineStr">
        <is>
          <t>NULL</t>
        </is>
      </c>
      <c r="G1806" s="0" t="inlineStr">
        <is>
          <t>NULL</t>
        </is>
      </c>
      <c r="H1806" s="0" t="inlineStr">
        <is>
          <t>NULL</t>
        </is>
      </c>
      <c r="I1806" s="0" t="inlineStr">
        <is>
          <t>NULL</t>
        </is>
      </c>
      <c r="J1806" s="0" t="inlineStr">
        <is>
          <t>NULL</t>
        </is>
      </c>
      <c r="K1806" s="0" t="inlineStr">
        <is>
          <t>YES! 	 c_numeric38列源备映射正确，源端为numeric None位	期望更改为numeric(p,s)	实际备端为numeric None位</t>
        </is>
      </c>
    </row>
    <row r="1807">
      <c r="B1807" s="0" t="inlineStr">
        <is>
          <t>NULL</t>
        </is>
      </c>
      <c r="C1807" s="0" t="inlineStr">
        <is>
          <t>NULL</t>
        </is>
      </c>
      <c r="D1807" s="0" t="inlineStr">
        <is>
          <t>NULL</t>
        </is>
      </c>
      <c r="E1807" s="0" t="inlineStr">
        <is>
          <t>NULL</t>
        </is>
      </c>
      <c r="F1807" s="0" t="inlineStr">
        <is>
          <t>NULL</t>
        </is>
      </c>
      <c r="G1807" s="0" t="inlineStr">
        <is>
          <t>NULL</t>
        </is>
      </c>
      <c r="H1807" s="0" t="inlineStr">
        <is>
          <t>NULL</t>
        </is>
      </c>
      <c r="I1807" s="0" t="inlineStr">
        <is>
          <t>NULL</t>
        </is>
      </c>
      <c r="J1807" s="0" t="inlineStr">
        <is>
          <t>NULL</t>
        </is>
      </c>
      <c r="K1807" s="0" t="inlineStr">
        <is>
          <t>YES! 	 c_numeric38_38列源备映射正确，源端为numeric None位	期望更改为numeric(p,s)	实际备端为numeric None位</t>
        </is>
      </c>
    </row>
    <row r="1808">
      <c r="B1808" s="0" t="inlineStr">
        <is>
          <t>NULL</t>
        </is>
      </c>
      <c r="C1808" s="0" t="inlineStr">
        <is>
          <t>NULL</t>
        </is>
      </c>
      <c r="D1808" s="0" t="inlineStr">
        <is>
          <t>NULL</t>
        </is>
      </c>
      <c r="E1808" s="0" t="inlineStr">
        <is>
          <t>NULL</t>
        </is>
      </c>
      <c r="F1808" s="0" t="inlineStr">
        <is>
          <t>NULL</t>
        </is>
      </c>
      <c r="G1808" s="0" t="inlineStr">
        <is>
          <t>NULL</t>
        </is>
      </c>
      <c r="H1808" s="0" t="inlineStr">
        <is>
          <t>NULL</t>
        </is>
      </c>
      <c r="I1808" s="0" t="inlineStr">
        <is>
          <t>NULL</t>
        </is>
      </c>
      <c r="J1808" s="0" t="inlineStr">
        <is>
          <t>NULL</t>
        </is>
      </c>
      <c r="K1808" s="0" t="inlineStr">
        <is>
          <t>YES! 	 c_numeric38_10列源备映射正确，源端为numeric None位	期望更改为numeric(p,s)	实际备端为numeric None位</t>
        </is>
      </c>
    </row>
    <row r="1809">
      <c r="B1809" s="0" t="inlineStr">
        <is>
          <t>NULL</t>
        </is>
      </c>
      <c r="C1809" s="0" t="inlineStr">
        <is>
          <t>NULL</t>
        </is>
      </c>
      <c r="D1809" s="0" t="inlineStr">
        <is>
          <t>NULL</t>
        </is>
      </c>
      <c r="E1809" s="0" t="inlineStr">
        <is>
          <t>NULL</t>
        </is>
      </c>
      <c r="F1809" s="0" t="inlineStr">
        <is>
          <t>NULL</t>
        </is>
      </c>
      <c r="G1809" s="0" t="inlineStr">
        <is>
          <t>NULL</t>
        </is>
      </c>
      <c r="H1809" s="0" t="inlineStr">
        <is>
          <t>NULL</t>
        </is>
      </c>
      <c r="I1809" s="0" t="inlineStr">
        <is>
          <t>NULL</t>
        </is>
      </c>
      <c r="J1809" s="0" t="inlineStr">
        <is>
          <t>NULL</t>
        </is>
      </c>
      <c r="K1809" s="0" t="inlineStr">
        <is>
          <t>YES! 	 c_numeric18_2列源备映射正确，源端为numeric None位	期望更改为numeric(p,s)	实际备端为numeric None位</t>
        </is>
      </c>
    </row>
    <row r="1810">
      <c r="B1810" s="0" t="inlineStr">
        <is>
          <t>NULL</t>
        </is>
      </c>
      <c r="C1810" s="0" t="inlineStr">
        <is>
          <t>NULL</t>
        </is>
      </c>
      <c r="D1810" s="0" t="inlineStr">
        <is>
          <t>NULL</t>
        </is>
      </c>
      <c r="E1810" s="0" t="inlineStr">
        <is>
          <t>NULL</t>
        </is>
      </c>
      <c r="F1810" s="0" t="inlineStr">
        <is>
          <t>NULL</t>
        </is>
      </c>
      <c r="G1810" s="0" t="inlineStr">
        <is>
          <t>NULL</t>
        </is>
      </c>
      <c r="H1810" s="0" t="inlineStr">
        <is>
          <t>NULL</t>
        </is>
      </c>
      <c r="I1810" s="0" t="inlineStr">
        <is>
          <t>NULL</t>
        </is>
      </c>
      <c r="J1810" s="0" t="inlineStr">
        <is>
          <t>NULL</t>
        </is>
      </c>
      <c r="K1810" s="0" t="inlineStr">
        <is>
          <t>YES! 	 c_float列源备映射正确，源端为float None位	期望更改为float	实际备端为float None位</t>
        </is>
      </c>
    </row>
    <row r="1811">
      <c r="B1811" s="0" t="inlineStr">
        <is>
          <t>NULL</t>
        </is>
      </c>
      <c r="C1811" s="0" t="inlineStr">
        <is>
          <t>NULL</t>
        </is>
      </c>
      <c r="D1811" s="0" t="inlineStr">
        <is>
          <t>NULL</t>
        </is>
      </c>
      <c r="E1811" s="0" t="inlineStr">
        <is>
          <t>NULL</t>
        </is>
      </c>
      <c r="F1811" s="0" t="inlineStr">
        <is>
          <t>NULL</t>
        </is>
      </c>
      <c r="G1811" s="0" t="inlineStr">
        <is>
          <t>NULL</t>
        </is>
      </c>
      <c r="H1811" s="0" t="inlineStr">
        <is>
          <t>NULL</t>
        </is>
      </c>
      <c r="I1811" s="0" t="inlineStr">
        <is>
          <t>NULL</t>
        </is>
      </c>
      <c r="J1811" s="0" t="inlineStr">
        <is>
          <t>NULL</t>
        </is>
      </c>
      <c r="K1811" s="0" t="inlineStr">
        <is>
          <t>YES! 	 c_real列源备映射正确，源端为real None位	期望更改为real	实际备端为real None位</t>
        </is>
      </c>
    </row>
    <row r="1812">
      <c r="B1812" s="0" t="inlineStr">
        <is>
          <t>NULL</t>
        </is>
      </c>
      <c r="C1812" s="0" t="inlineStr">
        <is>
          <t>NULL</t>
        </is>
      </c>
      <c r="D1812" s="0" t="inlineStr">
        <is>
          <t>NULL</t>
        </is>
      </c>
      <c r="E1812" s="0" t="inlineStr">
        <is>
          <t>NULL</t>
        </is>
      </c>
      <c r="F1812" s="0" t="inlineStr">
        <is>
          <t>NULL</t>
        </is>
      </c>
      <c r="G1812" s="0" t="inlineStr">
        <is>
          <t>NULL</t>
        </is>
      </c>
      <c r="H1812" s="0" t="inlineStr">
        <is>
          <t>NULL</t>
        </is>
      </c>
      <c r="I1812" s="0" t="inlineStr">
        <is>
          <t>NULL</t>
        </is>
      </c>
      <c r="J1812" s="0" t="inlineStr">
        <is>
          <t>NULL</t>
        </is>
      </c>
      <c r="K1812" s="0" t="inlineStr">
        <is>
          <t>YES! 	 c_money列源备映射正确，源端为money None位	期望更改为money	实际备端为money None位</t>
        </is>
      </c>
    </row>
    <row r="1813">
      <c r="B1813" s="0" t="inlineStr">
        <is>
          <t>NULL</t>
        </is>
      </c>
      <c r="C1813" s="0" t="inlineStr">
        <is>
          <t>NULL</t>
        </is>
      </c>
      <c r="D1813" s="0" t="inlineStr">
        <is>
          <t>NULL</t>
        </is>
      </c>
      <c r="E1813" s="0" t="inlineStr">
        <is>
          <t>NULL</t>
        </is>
      </c>
      <c r="F1813" s="0" t="inlineStr">
        <is>
          <t>NULL</t>
        </is>
      </c>
      <c r="G1813" s="0" t="inlineStr">
        <is>
          <t>NULL</t>
        </is>
      </c>
      <c r="H1813" s="0" t="inlineStr">
        <is>
          <t>NULL</t>
        </is>
      </c>
      <c r="I1813" s="0" t="inlineStr">
        <is>
          <t>NULL</t>
        </is>
      </c>
      <c r="J1813" s="0" t="inlineStr">
        <is>
          <t>NULL</t>
        </is>
      </c>
      <c r="K1813" s="0" t="inlineStr">
        <is>
          <t>YES! 	 c_smallmoney列源备映射正确，源端为smallmoney None位	期望更改为smallmoney	实际备端为smallmoney None位</t>
        </is>
      </c>
    </row>
    <row r="1814">
      <c r="B1814" s="0" t="inlineStr">
        <is>
          <t>NULL</t>
        </is>
      </c>
      <c r="C1814" s="0" t="inlineStr">
        <is>
          <t>NULL</t>
        </is>
      </c>
      <c r="D1814" s="0" t="inlineStr">
        <is>
          <t>NULL</t>
        </is>
      </c>
      <c r="E1814" s="0" t="inlineStr">
        <is>
          <t>NULL</t>
        </is>
      </c>
      <c r="F1814" s="0" t="inlineStr">
        <is>
          <t>NULL</t>
        </is>
      </c>
      <c r="G1814" s="0" t="inlineStr">
        <is>
          <t>NULL</t>
        </is>
      </c>
      <c r="H1814" s="0" t="inlineStr">
        <is>
          <t>NULL</t>
        </is>
      </c>
      <c r="I1814" s="0" t="inlineStr">
        <is>
          <t>NULL</t>
        </is>
      </c>
      <c r="J1814" s="0" t="inlineStr">
        <is>
          <t>NULL</t>
        </is>
      </c>
      <c r="K1814" s="0" t="inlineStr">
        <is>
          <t>YES! 	 c_bit列源备映射正确，源端为bit None位	期望更改为bit	实际备端为bit None位</t>
        </is>
      </c>
    </row>
    <row r="1815">
      <c r="A1815" s="0" t="inlineStr">
        <is>
          <t>info_xml_dml_single_pk_drp</t>
        </is>
      </c>
      <c r="K1815" s="0" t="inlineStr">
        <is>
          <t>[0;34m info_xml_dml_single_pk_drp [0m源备字段数相同，源端字段：2 	备端字段2</t>
        </is>
      </c>
      <c r="W1815" s="0" t="inlineStr">
        <is>
          <t>YES 源备无差异</t>
        </is>
      </c>
      <c r="X1815" s="0">
        <f>A1815</f>
        <v/>
      </c>
    </row>
    <row r="1816">
      <c r="B1816" s="0" t="inlineStr">
        <is>
          <t>YES</t>
        </is>
      </c>
      <c r="C1816" s="0" t="inlineStr">
        <is>
          <t>NULL</t>
        </is>
      </c>
      <c r="D1816" s="0" t="inlineStr">
        <is>
          <t>NULL</t>
        </is>
      </c>
      <c r="E1816" s="0" t="inlineStr">
        <is>
          <t>NULL</t>
        </is>
      </c>
      <c r="F1816" s="0" t="inlineStr">
        <is>
          <t>NULL</t>
        </is>
      </c>
      <c r="G1816" s="0" t="inlineStr">
        <is>
          <t>NULL</t>
        </is>
      </c>
      <c r="H1816" s="0" t="inlineStr">
        <is>
          <t>NULL</t>
        </is>
      </c>
      <c r="I1816" s="0" t="inlineStr">
        <is>
          <t>YES!PK__info_xml__3213E83F1BC1C943</t>
        </is>
      </c>
      <c r="J1816" s="0" t="inlineStr">
        <is>
          <t>YES! 主键相关索引</t>
        </is>
      </c>
      <c r="K1816" s="0" t="inlineStr">
        <is>
          <t>YES! 	 id列源备映射正确，源端为int None位	期望更改为int	实际备端为int None位</t>
        </is>
      </c>
    </row>
    <row r="1817">
      <c r="B1817" s="0" t="inlineStr">
        <is>
          <t>NULL</t>
        </is>
      </c>
      <c r="C1817" s="0" t="inlineStr">
        <is>
          <t>NULL</t>
        </is>
      </c>
      <c r="D1817" s="0" t="inlineStr">
        <is>
          <t>NULL</t>
        </is>
      </c>
      <c r="E1817" s="0" t="inlineStr">
        <is>
          <t>NULL</t>
        </is>
      </c>
      <c r="F1817" s="0" t="inlineStr">
        <is>
          <t>NULL</t>
        </is>
      </c>
      <c r="G1817" s="0" t="inlineStr">
        <is>
          <t>NULL</t>
        </is>
      </c>
      <c r="H1817" s="0" t="inlineStr">
        <is>
          <t>NULL</t>
        </is>
      </c>
      <c r="I1817" s="0" t="inlineStr">
        <is>
          <t>NULL</t>
        </is>
      </c>
      <c r="J1817" s="0" t="inlineStr">
        <is>
          <t>NULL</t>
        </is>
      </c>
      <c r="K1817" s="0" t="inlineStr">
        <is>
          <t>YES! 	 c_xml列源备映射正确，源端为xml -1位	期望更改为xml	实际备端为xml -1位</t>
        </is>
      </c>
    </row>
    <row r="1818">
      <c r="A1818" s="0" t="inlineStr">
        <is>
          <t>info_int_dml_batch1_pk_drp1</t>
        </is>
      </c>
      <c r="K1818" s="0" t="inlineStr">
        <is>
          <t>[0;34m info_int_dml_batch1_pk_drp1 [0m源备字段数相同，源端字段：20 	备端字段20</t>
        </is>
      </c>
      <c r="W1818" s="0" t="inlineStr">
        <is>
          <t>YES 源备无差异</t>
        </is>
      </c>
      <c r="X1818" s="0">
        <f>A1818</f>
        <v/>
      </c>
    </row>
    <row r="1819">
      <c r="B1819" s="0" t="inlineStr">
        <is>
          <t>YES</t>
        </is>
      </c>
      <c r="C1819" s="0" t="inlineStr">
        <is>
          <t>NULL</t>
        </is>
      </c>
      <c r="D1819" s="0" t="inlineStr">
        <is>
          <t>NULL</t>
        </is>
      </c>
      <c r="E1819" s="0" t="inlineStr">
        <is>
          <t>NULL</t>
        </is>
      </c>
      <c r="F1819" s="0" t="inlineStr">
        <is>
          <t>NULL</t>
        </is>
      </c>
      <c r="G1819" s="0" t="inlineStr">
        <is>
          <t>NULL</t>
        </is>
      </c>
      <c r="H1819" s="0" t="inlineStr">
        <is>
          <t>NULL</t>
        </is>
      </c>
      <c r="I1819" s="0" t="inlineStr">
        <is>
          <t>YES!PK__info_int__3213E83F306EE40F</t>
        </is>
      </c>
      <c r="J1819" s="0" t="inlineStr">
        <is>
          <t>YES! 主键相关索引</t>
        </is>
      </c>
      <c r="K1819" s="0" t="inlineStr">
        <is>
          <t>YES! 	 id列源备映射正确，源端为int None位	期望更改为int	实际备端为int None位</t>
        </is>
      </c>
    </row>
    <row r="1820">
      <c r="B1820" s="0" t="inlineStr">
        <is>
          <t>NULL</t>
        </is>
      </c>
      <c r="C1820" s="0" t="inlineStr">
        <is>
          <t>NULL</t>
        </is>
      </c>
      <c r="D1820" s="0" t="inlineStr">
        <is>
          <t>NULL</t>
        </is>
      </c>
      <c r="E1820" s="0" t="inlineStr">
        <is>
          <t>NULL</t>
        </is>
      </c>
      <c r="F1820" s="0" t="inlineStr">
        <is>
          <t>NULL</t>
        </is>
      </c>
      <c r="G1820" s="0" t="inlineStr">
        <is>
          <t>NULL</t>
        </is>
      </c>
      <c r="H1820" s="0" t="inlineStr">
        <is>
          <t>NULL</t>
        </is>
      </c>
      <c r="I1820" s="0" t="inlineStr">
        <is>
          <t>NULL</t>
        </is>
      </c>
      <c r="J1820" s="0" t="inlineStr">
        <is>
          <t>NULL</t>
        </is>
      </c>
      <c r="K1820" s="0" t="inlineStr">
        <is>
          <t>YES! 	 c_tinyint列源备映射正确，源端为tinyint None位	期望更改为tinyint	实际备端为tinyint None位</t>
        </is>
      </c>
    </row>
    <row r="1821">
      <c r="B1821" s="0" t="inlineStr">
        <is>
          <t>NULL</t>
        </is>
      </c>
      <c r="C1821" s="0" t="inlineStr">
        <is>
          <t>NULL</t>
        </is>
      </c>
      <c r="D1821" s="0" t="inlineStr">
        <is>
          <t>NULL</t>
        </is>
      </c>
      <c r="E1821" s="0" t="inlineStr">
        <is>
          <t>NULL</t>
        </is>
      </c>
      <c r="F1821" s="0" t="inlineStr">
        <is>
          <t>NULL</t>
        </is>
      </c>
      <c r="G1821" s="0" t="inlineStr">
        <is>
          <t>NULL</t>
        </is>
      </c>
      <c r="H1821" s="0" t="inlineStr">
        <is>
          <t>NULL</t>
        </is>
      </c>
      <c r="I1821" s="0" t="inlineStr">
        <is>
          <t>NULL</t>
        </is>
      </c>
      <c r="J1821" s="0" t="inlineStr">
        <is>
          <t>NULL</t>
        </is>
      </c>
      <c r="K1821" s="0" t="inlineStr">
        <is>
          <t>YES! 	 c_smallint列源备映射正确，源端为smallint None位	期望更改为smallint	实际备端为smallint None位</t>
        </is>
      </c>
    </row>
    <row r="1822">
      <c r="B1822" s="0" t="inlineStr">
        <is>
          <t>NULL</t>
        </is>
      </c>
      <c r="C1822" s="0" t="inlineStr">
        <is>
          <t>NULL</t>
        </is>
      </c>
      <c r="D1822" s="0" t="inlineStr">
        <is>
          <t>NULL</t>
        </is>
      </c>
      <c r="E1822" s="0" t="inlineStr">
        <is>
          <t>NULL</t>
        </is>
      </c>
      <c r="F1822" s="0" t="inlineStr">
        <is>
          <t>NULL</t>
        </is>
      </c>
      <c r="G1822" s="0" t="inlineStr">
        <is>
          <t>NULL</t>
        </is>
      </c>
      <c r="H1822" s="0" t="inlineStr">
        <is>
          <t>NULL</t>
        </is>
      </c>
      <c r="I1822" s="0" t="inlineStr">
        <is>
          <t>NULL</t>
        </is>
      </c>
      <c r="J1822" s="0" t="inlineStr">
        <is>
          <t>NULL</t>
        </is>
      </c>
      <c r="K1822" s="0" t="inlineStr">
        <is>
          <t>YES! 	 c_int列源备映射正确，源端为int None位	期望更改为int	实际备端为int None位</t>
        </is>
      </c>
    </row>
    <row r="1823">
      <c r="B1823" s="0" t="inlineStr">
        <is>
          <t>NULL</t>
        </is>
      </c>
      <c r="C1823" s="0" t="inlineStr">
        <is>
          <t>NULL</t>
        </is>
      </c>
      <c r="D1823" s="0" t="inlineStr">
        <is>
          <t>NULL</t>
        </is>
      </c>
      <c r="E1823" s="0" t="inlineStr">
        <is>
          <t>NULL</t>
        </is>
      </c>
      <c r="F1823" s="0" t="inlineStr">
        <is>
          <t>NULL</t>
        </is>
      </c>
      <c r="G1823" s="0" t="inlineStr">
        <is>
          <t>NULL</t>
        </is>
      </c>
      <c r="H1823" s="0" t="inlineStr">
        <is>
          <t>NULL</t>
        </is>
      </c>
      <c r="I1823" s="0" t="inlineStr">
        <is>
          <t>NULL</t>
        </is>
      </c>
      <c r="J1823" s="0" t="inlineStr">
        <is>
          <t>NULL</t>
        </is>
      </c>
      <c r="K1823" s="0" t="inlineStr">
        <is>
          <t>YES! 	 c_bigint列源备映射正确，源端为bigint None位	期望更改为bigint	实际备端为bigint None位</t>
        </is>
      </c>
    </row>
    <row r="1824">
      <c r="B1824" s="0" t="inlineStr">
        <is>
          <t>NULL</t>
        </is>
      </c>
      <c r="C1824" s="0" t="inlineStr">
        <is>
          <t>NULL</t>
        </is>
      </c>
      <c r="D1824" s="0" t="inlineStr">
        <is>
          <t>NULL</t>
        </is>
      </c>
      <c r="E1824" s="0" t="inlineStr">
        <is>
          <t>NULL</t>
        </is>
      </c>
      <c r="F1824" s="0" t="inlineStr">
        <is>
          <t>NULL</t>
        </is>
      </c>
      <c r="G1824" s="0" t="inlineStr">
        <is>
          <t>NULL</t>
        </is>
      </c>
      <c r="H1824" s="0" t="inlineStr">
        <is>
          <t>NULL</t>
        </is>
      </c>
      <c r="I1824" s="0" t="inlineStr">
        <is>
          <t>NULL</t>
        </is>
      </c>
      <c r="J1824" s="0" t="inlineStr">
        <is>
          <t>NULL</t>
        </is>
      </c>
      <c r="K1824" s="0" t="inlineStr">
        <is>
          <t>YES! 	 c_decimal列源备映射正确，源端为decimal None位	期望更改为decimal(p,s)	实际备端为decimal None位</t>
        </is>
      </c>
    </row>
    <row r="1825">
      <c r="B1825" s="0" t="inlineStr">
        <is>
          <t>NULL</t>
        </is>
      </c>
      <c r="C1825" s="0" t="inlineStr">
        <is>
          <t>NULL</t>
        </is>
      </c>
      <c r="D1825" s="0" t="inlineStr">
        <is>
          <t>NULL</t>
        </is>
      </c>
      <c r="E1825" s="0" t="inlineStr">
        <is>
          <t>NULL</t>
        </is>
      </c>
      <c r="F1825" s="0" t="inlineStr">
        <is>
          <t>NULL</t>
        </is>
      </c>
      <c r="G1825" s="0" t="inlineStr">
        <is>
          <t>NULL</t>
        </is>
      </c>
      <c r="H1825" s="0" t="inlineStr">
        <is>
          <t>NULL</t>
        </is>
      </c>
      <c r="I1825" s="0" t="inlineStr">
        <is>
          <t>NULL</t>
        </is>
      </c>
      <c r="J1825" s="0" t="inlineStr">
        <is>
          <t>NULL</t>
        </is>
      </c>
      <c r="K1825" s="0" t="inlineStr">
        <is>
          <t>YES! 	 c_decimal38列源备映射正确，源端为decimal None位	期望更改为decimal(p,s)	实际备端为decimal None位</t>
        </is>
      </c>
    </row>
    <row r="1826">
      <c r="B1826" s="0" t="inlineStr">
        <is>
          <t>NULL</t>
        </is>
      </c>
      <c r="C1826" s="0" t="inlineStr">
        <is>
          <t>NULL</t>
        </is>
      </c>
      <c r="D1826" s="0" t="inlineStr">
        <is>
          <t>NULL</t>
        </is>
      </c>
      <c r="E1826" s="0" t="inlineStr">
        <is>
          <t>NULL</t>
        </is>
      </c>
      <c r="F1826" s="0" t="inlineStr">
        <is>
          <t>NULL</t>
        </is>
      </c>
      <c r="G1826" s="0" t="inlineStr">
        <is>
          <t>NULL</t>
        </is>
      </c>
      <c r="H1826" s="0" t="inlineStr">
        <is>
          <t>NULL</t>
        </is>
      </c>
      <c r="I1826" s="0" t="inlineStr">
        <is>
          <t>NULL</t>
        </is>
      </c>
      <c r="J1826" s="0" t="inlineStr">
        <is>
          <t>NULL</t>
        </is>
      </c>
      <c r="K1826" s="0" t="inlineStr">
        <is>
          <t>YES! 	 c_decimal38_38列源备映射正确，源端为decimal None位	期望更改为decimal(p,s)	实际备端为decimal None位</t>
        </is>
      </c>
    </row>
    <row r="1827">
      <c r="B1827" s="0" t="inlineStr">
        <is>
          <t>NULL</t>
        </is>
      </c>
      <c r="C1827" s="0" t="inlineStr">
        <is>
          <t>NULL</t>
        </is>
      </c>
      <c r="D1827" s="0" t="inlineStr">
        <is>
          <t>NULL</t>
        </is>
      </c>
      <c r="E1827" s="0" t="inlineStr">
        <is>
          <t>NULL</t>
        </is>
      </c>
      <c r="F1827" s="0" t="inlineStr">
        <is>
          <t>NULL</t>
        </is>
      </c>
      <c r="G1827" s="0" t="inlineStr">
        <is>
          <t>NULL</t>
        </is>
      </c>
      <c r="H1827" s="0" t="inlineStr">
        <is>
          <t>NULL</t>
        </is>
      </c>
      <c r="I1827" s="0" t="inlineStr">
        <is>
          <t>NULL</t>
        </is>
      </c>
      <c r="J1827" s="0" t="inlineStr">
        <is>
          <t>NULL</t>
        </is>
      </c>
      <c r="K1827" s="0" t="inlineStr">
        <is>
          <t>YES! 	 c_decimal38_10列源备映射正确，源端为decimal None位	期望更改为decimal(p,s)	实际备端为decimal None位</t>
        </is>
      </c>
    </row>
    <row r="1828">
      <c r="B1828" s="0" t="inlineStr">
        <is>
          <t>NULL</t>
        </is>
      </c>
      <c r="C1828" s="0" t="inlineStr">
        <is>
          <t>NULL</t>
        </is>
      </c>
      <c r="D1828" s="0" t="inlineStr">
        <is>
          <t>NULL</t>
        </is>
      </c>
      <c r="E1828" s="0" t="inlineStr">
        <is>
          <t>NULL</t>
        </is>
      </c>
      <c r="F1828" s="0" t="inlineStr">
        <is>
          <t>NULL</t>
        </is>
      </c>
      <c r="G1828" s="0" t="inlineStr">
        <is>
          <t>NULL</t>
        </is>
      </c>
      <c r="H1828" s="0" t="inlineStr">
        <is>
          <t>NULL</t>
        </is>
      </c>
      <c r="I1828" s="0" t="inlineStr">
        <is>
          <t>NULL</t>
        </is>
      </c>
      <c r="J1828" s="0" t="inlineStr">
        <is>
          <t>NULL</t>
        </is>
      </c>
      <c r="K1828" s="0" t="inlineStr">
        <is>
          <t>YES! 	 c_decimal19_4列源备映射正确，源端为decimal None位	期望更改为decimal(p,s)	实际备端为decimal None位</t>
        </is>
      </c>
    </row>
    <row r="1829">
      <c r="B1829" s="0" t="inlineStr">
        <is>
          <t>NULL</t>
        </is>
      </c>
      <c r="C1829" s="0" t="inlineStr">
        <is>
          <t>NULL</t>
        </is>
      </c>
      <c r="D1829" s="0" t="inlineStr">
        <is>
          <t>NULL</t>
        </is>
      </c>
      <c r="E1829" s="0" t="inlineStr">
        <is>
          <t>NULL</t>
        </is>
      </c>
      <c r="F1829" s="0" t="inlineStr">
        <is>
          <t>NULL</t>
        </is>
      </c>
      <c r="G1829" s="0" t="inlineStr">
        <is>
          <t>NULL</t>
        </is>
      </c>
      <c r="H1829" s="0" t="inlineStr">
        <is>
          <t>NULL</t>
        </is>
      </c>
      <c r="I1829" s="0" t="inlineStr">
        <is>
          <t>NULL</t>
        </is>
      </c>
      <c r="J1829" s="0" t="inlineStr">
        <is>
          <t>NULL</t>
        </is>
      </c>
      <c r="K1829" s="0" t="inlineStr">
        <is>
          <t>YES! 	 c_numeric列源备映射正确，源端为numeric None位	期望更改为numeric(p,s)	实际备端为numeric None位</t>
        </is>
      </c>
    </row>
    <row r="1830">
      <c r="B1830" s="0" t="inlineStr">
        <is>
          <t>NULL</t>
        </is>
      </c>
      <c r="C1830" s="0" t="inlineStr">
        <is>
          <t>NULL</t>
        </is>
      </c>
      <c r="D1830" s="0" t="inlineStr">
        <is>
          <t>NULL</t>
        </is>
      </c>
      <c r="E1830" s="0" t="inlineStr">
        <is>
          <t>NULL</t>
        </is>
      </c>
      <c r="F1830" s="0" t="inlineStr">
        <is>
          <t>NULL</t>
        </is>
      </c>
      <c r="G1830" s="0" t="inlineStr">
        <is>
          <t>NULL</t>
        </is>
      </c>
      <c r="H1830" s="0" t="inlineStr">
        <is>
          <t>NULL</t>
        </is>
      </c>
      <c r="I1830" s="0" t="inlineStr">
        <is>
          <t>NULL</t>
        </is>
      </c>
      <c r="J1830" s="0" t="inlineStr">
        <is>
          <t>NULL</t>
        </is>
      </c>
      <c r="K1830" s="0" t="inlineStr">
        <is>
          <t>YES! 	 c_numeric38列源备映射正确，源端为numeric None位	期望更改为numeric(p,s)	实际备端为numeric None位</t>
        </is>
      </c>
    </row>
    <row r="1831">
      <c r="B1831" s="0" t="inlineStr">
        <is>
          <t>NULL</t>
        </is>
      </c>
      <c r="C1831" s="0" t="inlineStr">
        <is>
          <t>NULL</t>
        </is>
      </c>
      <c r="D1831" s="0" t="inlineStr">
        <is>
          <t>NULL</t>
        </is>
      </c>
      <c r="E1831" s="0" t="inlineStr">
        <is>
          <t>NULL</t>
        </is>
      </c>
      <c r="F1831" s="0" t="inlineStr">
        <is>
          <t>NULL</t>
        </is>
      </c>
      <c r="G1831" s="0" t="inlineStr">
        <is>
          <t>NULL</t>
        </is>
      </c>
      <c r="H1831" s="0" t="inlineStr">
        <is>
          <t>NULL</t>
        </is>
      </c>
      <c r="I1831" s="0" t="inlineStr">
        <is>
          <t>NULL</t>
        </is>
      </c>
      <c r="J1831" s="0" t="inlineStr">
        <is>
          <t>NULL</t>
        </is>
      </c>
      <c r="K1831" s="0" t="inlineStr">
        <is>
          <t>YES! 	 c_numeric38_38列源备映射正确，源端为numeric None位	期望更改为numeric(p,s)	实际备端为numeric None位</t>
        </is>
      </c>
    </row>
    <row r="1832">
      <c r="B1832" s="0" t="inlineStr">
        <is>
          <t>NULL</t>
        </is>
      </c>
      <c r="C1832" s="0" t="inlineStr">
        <is>
          <t>NULL</t>
        </is>
      </c>
      <c r="D1832" s="0" t="inlineStr">
        <is>
          <t>NULL</t>
        </is>
      </c>
      <c r="E1832" s="0" t="inlineStr">
        <is>
          <t>NULL</t>
        </is>
      </c>
      <c r="F1832" s="0" t="inlineStr">
        <is>
          <t>NULL</t>
        </is>
      </c>
      <c r="G1832" s="0" t="inlineStr">
        <is>
          <t>NULL</t>
        </is>
      </c>
      <c r="H1832" s="0" t="inlineStr">
        <is>
          <t>NULL</t>
        </is>
      </c>
      <c r="I1832" s="0" t="inlineStr">
        <is>
          <t>NULL</t>
        </is>
      </c>
      <c r="J1832" s="0" t="inlineStr">
        <is>
          <t>NULL</t>
        </is>
      </c>
      <c r="K1832" s="0" t="inlineStr">
        <is>
          <t>YES! 	 c_numeric38_10列源备映射正确，源端为numeric None位	期望更改为numeric(p,s)	实际备端为numeric None位</t>
        </is>
      </c>
    </row>
    <row r="1833">
      <c r="B1833" s="0" t="inlineStr">
        <is>
          <t>NULL</t>
        </is>
      </c>
      <c r="C1833" s="0" t="inlineStr">
        <is>
          <t>NULL</t>
        </is>
      </c>
      <c r="D1833" s="0" t="inlineStr">
        <is>
          <t>NULL</t>
        </is>
      </c>
      <c r="E1833" s="0" t="inlineStr">
        <is>
          <t>NULL</t>
        </is>
      </c>
      <c r="F1833" s="0" t="inlineStr">
        <is>
          <t>NULL</t>
        </is>
      </c>
      <c r="G1833" s="0" t="inlineStr">
        <is>
          <t>NULL</t>
        </is>
      </c>
      <c r="H1833" s="0" t="inlineStr">
        <is>
          <t>NULL</t>
        </is>
      </c>
      <c r="I1833" s="0" t="inlineStr">
        <is>
          <t>NULL</t>
        </is>
      </c>
      <c r="J1833" s="0" t="inlineStr">
        <is>
          <t>NULL</t>
        </is>
      </c>
      <c r="K1833" s="0" t="inlineStr">
        <is>
          <t>YES! 	 c_numeric18_2列源备映射正确，源端为numeric None位	期望更改为numeric(p,s)	实际备端为numeric None位</t>
        </is>
      </c>
    </row>
    <row r="1834">
      <c r="B1834" s="0" t="inlineStr">
        <is>
          <t>NULL</t>
        </is>
      </c>
      <c r="C1834" s="0" t="inlineStr">
        <is>
          <t>NULL</t>
        </is>
      </c>
      <c r="D1834" s="0" t="inlineStr">
        <is>
          <t>NULL</t>
        </is>
      </c>
      <c r="E1834" s="0" t="inlineStr">
        <is>
          <t>NULL</t>
        </is>
      </c>
      <c r="F1834" s="0" t="inlineStr">
        <is>
          <t>NULL</t>
        </is>
      </c>
      <c r="G1834" s="0" t="inlineStr">
        <is>
          <t>NULL</t>
        </is>
      </c>
      <c r="H1834" s="0" t="inlineStr">
        <is>
          <t>NULL</t>
        </is>
      </c>
      <c r="I1834" s="0" t="inlineStr">
        <is>
          <t>NULL</t>
        </is>
      </c>
      <c r="J1834" s="0" t="inlineStr">
        <is>
          <t>NULL</t>
        </is>
      </c>
      <c r="K1834" s="0" t="inlineStr">
        <is>
          <t>YES! 	 c_float列源备映射正确，源端为float None位	期望更改为float	实际备端为float None位</t>
        </is>
      </c>
    </row>
    <row r="1835">
      <c r="B1835" s="0" t="inlineStr">
        <is>
          <t>NULL</t>
        </is>
      </c>
      <c r="C1835" s="0" t="inlineStr">
        <is>
          <t>NULL</t>
        </is>
      </c>
      <c r="D1835" s="0" t="inlineStr">
        <is>
          <t>NULL</t>
        </is>
      </c>
      <c r="E1835" s="0" t="inlineStr">
        <is>
          <t>NULL</t>
        </is>
      </c>
      <c r="F1835" s="0" t="inlineStr">
        <is>
          <t>NULL</t>
        </is>
      </c>
      <c r="G1835" s="0" t="inlineStr">
        <is>
          <t>NULL</t>
        </is>
      </c>
      <c r="H1835" s="0" t="inlineStr">
        <is>
          <t>NULL</t>
        </is>
      </c>
      <c r="I1835" s="0" t="inlineStr">
        <is>
          <t>NULL</t>
        </is>
      </c>
      <c r="J1835" s="0" t="inlineStr">
        <is>
          <t>NULL</t>
        </is>
      </c>
      <c r="K1835" s="0" t="inlineStr">
        <is>
          <t>YES! 	 c_real列源备映射正确，源端为real None位	期望更改为real	实际备端为real None位</t>
        </is>
      </c>
    </row>
    <row r="1836">
      <c r="B1836" s="0" t="inlineStr">
        <is>
          <t>NULL</t>
        </is>
      </c>
      <c r="C1836" s="0" t="inlineStr">
        <is>
          <t>NULL</t>
        </is>
      </c>
      <c r="D1836" s="0" t="inlineStr">
        <is>
          <t>NULL</t>
        </is>
      </c>
      <c r="E1836" s="0" t="inlineStr">
        <is>
          <t>NULL</t>
        </is>
      </c>
      <c r="F1836" s="0" t="inlineStr">
        <is>
          <t>NULL</t>
        </is>
      </c>
      <c r="G1836" s="0" t="inlineStr">
        <is>
          <t>NULL</t>
        </is>
      </c>
      <c r="H1836" s="0" t="inlineStr">
        <is>
          <t>NULL</t>
        </is>
      </c>
      <c r="I1836" s="0" t="inlineStr">
        <is>
          <t>NULL</t>
        </is>
      </c>
      <c r="J1836" s="0" t="inlineStr">
        <is>
          <t>NULL</t>
        </is>
      </c>
      <c r="K1836" s="0" t="inlineStr">
        <is>
          <t>YES! 	 c_money列源备映射正确，源端为money None位	期望更改为money	实际备端为money None位</t>
        </is>
      </c>
    </row>
    <row r="1837">
      <c r="B1837" s="0" t="inlineStr">
        <is>
          <t>NULL</t>
        </is>
      </c>
      <c r="C1837" s="0" t="inlineStr">
        <is>
          <t>NULL</t>
        </is>
      </c>
      <c r="D1837" s="0" t="inlineStr">
        <is>
          <t>NULL</t>
        </is>
      </c>
      <c r="E1837" s="0" t="inlineStr">
        <is>
          <t>NULL</t>
        </is>
      </c>
      <c r="F1837" s="0" t="inlineStr">
        <is>
          <t>NULL</t>
        </is>
      </c>
      <c r="G1837" s="0" t="inlineStr">
        <is>
          <t>NULL</t>
        </is>
      </c>
      <c r="H1837" s="0" t="inlineStr">
        <is>
          <t>NULL</t>
        </is>
      </c>
      <c r="I1837" s="0" t="inlineStr">
        <is>
          <t>NULL</t>
        </is>
      </c>
      <c r="J1837" s="0" t="inlineStr">
        <is>
          <t>NULL</t>
        </is>
      </c>
      <c r="K1837" s="0" t="inlineStr">
        <is>
          <t>YES! 	 c_smallmoney列源备映射正确，源端为smallmoney None位	期望更改为smallmoney	实际备端为smallmoney None位</t>
        </is>
      </c>
    </row>
    <row r="1838">
      <c r="B1838" s="0" t="inlineStr">
        <is>
          <t>NULL</t>
        </is>
      </c>
      <c r="C1838" s="0" t="inlineStr">
        <is>
          <t>NULL</t>
        </is>
      </c>
      <c r="D1838" s="0" t="inlineStr">
        <is>
          <t>NULL</t>
        </is>
      </c>
      <c r="E1838" s="0" t="inlineStr">
        <is>
          <t>NULL</t>
        </is>
      </c>
      <c r="F1838" s="0" t="inlineStr">
        <is>
          <t>NULL</t>
        </is>
      </c>
      <c r="G1838" s="0" t="inlineStr">
        <is>
          <t>NULL</t>
        </is>
      </c>
      <c r="H1838" s="0" t="inlineStr">
        <is>
          <t>NULL</t>
        </is>
      </c>
      <c r="I1838" s="0" t="inlineStr">
        <is>
          <t>NULL</t>
        </is>
      </c>
      <c r="J1838" s="0" t="inlineStr">
        <is>
          <t>NULL</t>
        </is>
      </c>
      <c r="K1838" s="0" t="inlineStr">
        <is>
          <t>YES! 	 c_bit列源备映射正确，源端为bit None位	期望更改为bit	实际备端为bit None位</t>
        </is>
      </c>
    </row>
    <row r="1839">
      <c r="K1839" s="0" t="inlineStr">
        <is>
          <t>~ 空表</t>
        </is>
      </c>
    </row>
    <row r="1840">
      <c r="A1840" s="0" t="inlineStr">
        <is>
          <t>info_xml_dml_single_pk</t>
        </is>
      </c>
      <c r="K1840" s="0" t="inlineStr">
        <is>
          <t>[0;34m info_xml_dml_single_pk [0m源备字段数相同，源端字段：2 	备端字段2</t>
        </is>
      </c>
      <c r="W1840" s="0" t="inlineStr">
        <is>
          <t>YES 源备无差异</t>
        </is>
      </c>
      <c r="X1840" s="0">
        <f>A1840</f>
        <v/>
      </c>
    </row>
    <row r="1841">
      <c r="B1841" s="0" t="inlineStr">
        <is>
          <t>YES</t>
        </is>
      </c>
      <c r="C1841" s="0" t="inlineStr">
        <is>
          <t>NULL</t>
        </is>
      </c>
      <c r="D1841" s="0" t="inlineStr">
        <is>
          <t>NULL</t>
        </is>
      </c>
      <c r="E1841" s="0" t="inlineStr">
        <is>
          <t>NULL</t>
        </is>
      </c>
      <c r="F1841" s="0" t="inlineStr">
        <is>
          <t>NULL</t>
        </is>
      </c>
      <c r="G1841" s="0" t="inlineStr">
        <is>
          <t>NULL</t>
        </is>
      </c>
      <c r="H1841" s="0" t="inlineStr">
        <is>
          <t>NULL</t>
        </is>
      </c>
      <c r="I1841" s="0" t="inlineStr">
        <is>
          <t>YES!PK__info_xml__3213E83F18208475</t>
        </is>
      </c>
      <c r="J1841" s="0" t="inlineStr">
        <is>
          <t>YES! 主键相关索引</t>
        </is>
      </c>
      <c r="K1841" s="0" t="inlineStr">
        <is>
          <t>YES! 	 id列源备映射正确，源端为int None位	期望更改为int	实际备端为int None位</t>
        </is>
      </c>
    </row>
    <row r="1842">
      <c r="B1842" s="0" t="inlineStr">
        <is>
          <t>NULL</t>
        </is>
      </c>
      <c r="C1842" s="0" t="inlineStr">
        <is>
          <t>NULL</t>
        </is>
      </c>
      <c r="D1842" s="0" t="inlineStr">
        <is>
          <t>NULL</t>
        </is>
      </c>
      <c r="E1842" s="0" t="inlineStr">
        <is>
          <t>NULL</t>
        </is>
      </c>
      <c r="F1842" s="0" t="inlineStr">
        <is>
          <t>NULL</t>
        </is>
      </c>
      <c r="G1842" s="0" t="inlineStr">
        <is>
          <t>NULL</t>
        </is>
      </c>
      <c r="H1842" s="0" t="inlineStr">
        <is>
          <t>NULL</t>
        </is>
      </c>
      <c r="I1842" s="0" t="inlineStr">
        <is>
          <t>NULL</t>
        </is>
      </c>
      <c r="J1842" s="0" t="inlineStr">
        <is>
          <t>NULL</t>
        </is>
      </c>
      <c r="K1842" s="0" t="inlineStr">
        <is>
          <t>YES! 	 c_xml列源备映射正确，源端为xml -1位	期望更改为xml	实际备端为xml -1位</t>
        </is>
      </c>
    </row>
    <row r="1843">
      <c r="A1843" s="0" t="inlineStr">
        <is>
          <t>info_binary_dml_batch1_pk_irp1</t>
        </is>
      </c>
      <c r="K1843" s="0" t="inlineStr">
        <is>
          <t>[0;34m info_binary_dml_batch1_pk_irp1 [0m源备字段数相同，源端字段：4 	备端字段4</t>
        </is>
      </c>
      <c r="W1843" s="0" t="inlineStr">
        <is>
          <t>YES 源备无差异</t>
        </is>
      </c>
      <c r="X1843" s="0">
        <f>A1843</f>
        <v/>
      </c>
    </row>
    <row r="1844">
      <c r="B1844" s="0" t="inlineStr">
        <is>
          <t>YES</t>
        </is>
      </c>
      <c r="C1844" s="0" t="inlineStr">
        <is>
          <t>NULL</t>
        </is>
      </c>
      <c r="D1844" s="0" t="inlineStr">
        <is>
          <t>NULL</t>
        </is>
      </c>
      <c r="E1844" s="0" t="inlineStr">
        <is>
          <t>NULL</t>
        </is>
      </c>
      <c r="F1844" s="0" t="inlineStr">
        <is>
          <t>NULL</t>
        </is>
      </c>
      <c r="G1844" s="0" t="inlineStr">
        <is>
          <t>NULL</t>
        </is>
      </c>
      <c r="H1844" s="0" t="inlineStr">
        <is>
          <t>NULL</t>
        </is>
      </c>
      <c r="I1844" s="0" t="inlineStr">
        <is>
          <t>YES!PK__info_bin__3213E83F5AD451F2</t>
        </is>
      </c>
      <c r="J1844" s="0" t="inlineStr">
        <is>
          <t>YES! 主键相关索引</t>
        </is>
      </c>
      <c r="K1844" s="0" t="inlineStr">
        <is>
          <t>YES! 	 id列源备映射正确，源端为int None位	期望更改为int	实际备端为int None位</t>
        </is>
      </c>
    </row>
    <row r="1845">
      <c r="B1845" s="0" t="inlineStr">
        <is>
          <t>NULL</t>
        </is>
      </c>
      <c r="C1845" s="0" t="inlineStr">
        <is>
          <t>NULL</t>
        </is>
      </c>
      <c r="D1845" s="0" t="inlineStr">
        <is>
          <t>NULL</t>
        </is>
      </c>
      <c r="E1845" s="0" t="inlineStr">
        <is>
          <t>NULL</t>
        </is>
      </c>
      <c r="F1845" s="0" t="inlineStr">
        <is>
          <t>NULL</t>
        </is>
      </c>
      <c r="G1845" s="0" t="inlineStr">
        <is>
          <t>NULL</t>
        </is>
      </c>
      <c r="H1845" s="0" t="inlineStr">
        <is>
          <t>NULL</t>
        </is>
      </c>
      <c r="I1845" s="0" t="inlineStr">
        <is>
          <t>NULL</t>
        </is>
      </c>
      <c r="J1845" s="0" t="inlineStr">
        <is>
          <t>NULL</t>
        </is>
      </c>
      <c r="K1845" s="0" t="inlineStr">
        <is>
          <t>YES! 	 c_binary列源备映射正确，源端为binary 1位	期望更改为binary(n)	实际备端为binary 1位</t>
        </is>
      </c>
    </row>
    <row r="1846">
      <c r="B1846" s="0" t="inlineStr">
        <is>
          <t>NULL</t>
        </is>
      </c>
      <c r="C1846" s="0" t="inlineStr">
        <is>
          <t>NULL</t>
        </is>
      </c>
      <c r="D1846" s="0" t="inlineStr">
        <is>
          <t>NULL</t>
        </is>
      </c>
      <c r="E1846" s="0" t="inlineStr">
        <is>
          <t>NULL</t>
        </is>
      </c>
      <c r="F1846" s="0" t="inlineStr">
        <is>
          <t>NULL</t>
        </is>
      </c>
      <c r="G1846" s="0" t="inlineStr">
        <is>
          <t>NULL</t>
        </is>
      </c>
      <c r="H1846" s="0" t="inlineStr">
        <is>
          <t>NULL</t>
        </is>
      </c>
      <c r="I1846" s="0" t="inlineStr">
        <is>
          <t>NULL</t>
        </is>
      </c>
      <c r="J1846" s="0" t="inlineStr">
        <is>
          <t>NULL</t>
        </is>
      </c>
      <c r="K1846" s="0" t="inlineStr">
        <is>
          <t>YES! 	 c_binary_20列源备映射正确，源端为binary 20位	期望更改为binary(n)	实际备端为binary 20位</t>
        </is>
      </c>
    </row>
    <row r="1847">
      <c r="B1847" s="0" t="inlineStr">
        <is>
          <t>NULL</t>
        </is>
      </c>
      <c r="C1847" s="0" t="inlineStr">
        <is>
          <t>NULL</t>
        </is>
      </c>
      <c r="D1847" s="0" t="inlineStr">
        <is>
          <t>NULL</t>
        </is>
      </c>
      <c r="E1847" s="0" t="inlineStr">
        <is>
          <t>NULL</t>
        </is>
      </c>
      <c r="F1847" s="0" t="inlineStr">
        <is>
          <t>NULL</t>
        </is>
      </c>
      <c r="G1847" s="0" t="inlineStr">
        <is>
          <t>NULL</t>
        </is>
      </c>
      <c r="H1847" s="0" t="inlineStr">
        <is>
          <t>NULL</t>
        </is>
      </c>
      <c r="I1847" s="0" t="inlineStr">
        <is>
          <t>NULL</t>
        </is>
      </c>
      <c r="J1847" s="0" t="inlineStr">
        <is>
          <t>NULL</t>
        </is>
      </c>
      <c r="K1847" s="0" t="inlineStr">
        <is>
          <t>YES! 	 c_binary_8000列源备映射正确，源端为binary 8000位	期望更改为binary(n)	实际备端为binary 8000位</t>
        </is>
      </c>
    </row>
    <row r="1848">
      <c r="A1848" s="0" t="inlineStr">
        <is>
          <t>info_int_dml_batch1_pk_drp2</t>
        </is>
      </c>
      <c r="K1848" s="0" t="inlineStr">
        <is>
          <t>[0;34m info_int_dml_batch1_pk_drp2 [0m源备字段数相同，源端字段：20 	备端字段20</t>
        </is>
      </c>
      <c r="W1848" s="0" t="inlineStr">
        <is>
          <t>YES 源备无差异</t>
        </is>
      </c>
      <c r="X1848" s="0">
        <f>A1848</f>
        <v/>
      </c>
    </row>
    <row r="1849">
      <c r="B1849" s="0" t="inlineStr">
        <is>
          <t>YES</t>
        </is>
      </c>
      <c r="C1849" s="0" t="inlineStr">
        <is>
          <t>NULL</t>
        </is>
      </c>
      <c r="D1849" s="0" t="inlineStr">
        <is>
          <t>NULL</t>
        </is>
      </c>
      <c r="E1849" s="0" t="inlineStr">
        <is>
          <t>NULL</t>
        </is>
      </c>
      <c r="F1849" s="0" t="inlineStr">
        <is>
          <t>NULL</t>
        </is>
      </c>
      <c r="G1849" s="0" t="inlineStr">
        <is>
          <t>NULL</t>
        </is>
      </c>
      <c r="H1849" s="0" t="inlineStr">
        <is>
          <t>NULL</t>
        </is>
      </c>
      <c r="I1849" s="0" t="inlineStr">
        <is>
          <t>YES!PK__info_int__3213E83F7F818277</t>
        </is>
      </c>
      <c r="J1849" s="0" t="inlineStr">
        <is>
          <t>YES! 主键相关索引</t>
        </is>
      </c>
      <c r="K1849" s="0" t="inlineStr">
        <is>
          <t>YES! 	 id列源备映射正确，源端为int None位	期望更改为int	实际备端为int None位</t>
        </is>
      </c>
    </row>
    <row r="1850">
      <c r="B1850" s="0" t="inlineStr">
        <is>
          <t>NULL</t>
        </is>
      </c>
      <c r="C1850" s="0" t="inlineStr">
        <is>
          <t>NULL</t>
        </is>
      </c>
      <c r="D1850" s="0" t="inlineStr">
        <is>
          <t>NULL</t>
        </is>
      </c>
      <c r="E1850" s="0" t="inlineStr">
        <is>
          <t>NULL</t>
        </is>
      </c>
      <c r="F1850" s="0" t="inlineStr">
        <is>
          <t>NULL</t>
        </is>
      </c>
      <c r="G1850" s="0" t="inlineStr">
        <is>
          <t>NULL</t>
        </is>
      </c>
      <c r="H1850" s="0" t="inlineStr">
        <is>
          <t>NULL</t>
        </is>
      </c>
      <c r="I1850" s="0" t="inlineStr">
        <is>
          <t>NULL</t>
        </is>
      </c>
      <c r="J1850" s="0" t="inlineStr">
        <is>
          <t>NULL</t>
        </is>
      </c>
      <c r="K1850" s="0" t="inlineStr">
        <is>
          <t>YES! 	 c_tinyint列源备映射正确，源端为tinyint None位	期望更改为tinyint	实际备端为tinyint None位</t>
        </is>
      </c>
    </row>
    <row r="1851">
      <c r="B1851" s="0" t="inlineStr">
        <is>
          <t>NULL</t>
        </is>
      </c>
      <c r="C1851" s="0" t="inlineStr">
        <is>
          <t>NULL</t>
        </is>
      </c>
      <c r="D1851" s="0" t="inlineStr">
        <is>
          <t>NULL</t>
        </is>
      </c>
      <c r="E1851" s="0" t="inlineStr">
        <is>
          <t>NULL</t>
        </is>
      </c>
      <c r="F1851" s="0" t="inlineStr">
        <is>
          <t>NULL</t>
        </is>
      </c>
      <c r="G1851" s="0" t="inlineStr">
        <is>
          <t>NULL</t>
        </is>
      </c>
      <c r="H1851" s="0" t="inlineStr">
        <is>
          <t>NULL</t>
        </is>
      </c>
      <c r="I1851" s="0" t="inlineStr">
        <is>
          <t>NULL</t>
        </is>
      </c>
      <c r="J1851" s="0" t="inlineStr">
        <is>
          <t>NULL</t>
        </is>
      </c>
      <c r="K1851" s="0" t="inlineStr">
        <is>
          <t>YES! 	 c_smallint列源备映射正确，源端为smallint None位	期望更改为smallint	实际备端为smallint None位</t>
        </is>
      </c>
    </row>
    <row r="1852">
      <c r="B1852" s="0" t="inlineStr">
        <is>
          <t>NULL</t>
        </is>
      </c>
      <c r="C1852" s="0" t="inlineStr">
        <is>
          <t>NULL</t>
        </is>
      </c>
      <c r="D1852" s="0" t="inlineStr">
        <is>
          <t>NULL</t>
        </is>
      </c>
      <c r="E1852" s="0" t="inlineStr">
        <is>
          <t>NULL</t>
        </is>
      </c>
      <c r="F1852" s="0" t="inlineStr">
        <is>
          <t>NULL</t>
        </is>
      </c>
      <c r="G1852" s="0" t="inlineStr">
        <is>
          <t>NULL</t>
        </is>
      </c>
      <c r="H1852" s="0" t="inlineStr">
        <is>
          <t>NULL</t>
        </is>
      </c>
      <c r="I1852" s="0" t="inlineStr">
        <is>
          <t>NULL</t>
        </is>
      </c>
      <c r="J1852" s="0" t="inlineStr">
        <is>
          <t>NULL</t>
        </is>
      </c>
      <c r="K1852" s="0" t="inlineStr">
        <is>
          <t>YES! 	 c_int列源备映射正确，源端为int None位	期望更改为int	实际备端为int None位</t>
        </is>
      </c>
    </row>
    <row r="1853">
      <c r="B1853" s="0" t="inlineStr">
        <is>
          <t>NULL</t>
        </is>
      </c>
      <c r="C1853" s="0" t="inlineStr">
        <is>
          <t>NULL</t>
        </is>
      </c>
      <c r="D1853" s="0" t="inlineStr">
        <is>
          <t>NULL</t>
        </is>
      </c>
      <c r="E1853" s="0" t="inlineStr">
        <is>
          <t>NULL</t>
        </is>
      </c>
      <c r="F1853" s="0" t="inlineStr">
        <is>
          <t>NULL</t>
        </is>
      </c>
      <c r="G1853" s="0" t="inlineStr">
        <is>
          <t>NULL</t>
        </is>
      </c>
      <c r="H1853" s="0" t="inlineStr">
        <is>
          <t>NULL</t>
        </is>
      </c>
      <c r="I1853" s="0" t="inlineStr">
        <is>
          <t>NULL</t>
        </is>
      </c>
      <c r="J1853" s="0" t="inlineStr">
        <is>
          <t>NULL</t>
        </is>
      </c>
      <c r="K1853" s="0" t="inlineStr">
        <is>
          <t>YES! 	 c_bigint列源备映射正确，源端为bigint None位	期望更改为bigint	实际备端为bigint None位</t>
        </is>
      </c>
    </row>
    <row r="1854">
      <c r="B1854" s="0" t="inlineStr">
        <is>
          <t>NULL</t>
        </is>
      </c>
      <c r="C1854" s="0" t="inlineStr">
        <is>
          <t>NULL</t>
        </is>
      </c>
      <c r="D1854" s="0" t="inlineStr">
        <is>
          <t>NULL</t>
        </is>
      </c>
      <c r="E1854" s="0" t="inlineStr">
        <is>
          <t>NULL</t>
        </is>
      </c>
      <c r="F1854" s="0" t="inlineStr">
        <is>
          <t>NULL</t>
        </is>
      </c>
      <c r="G1854" s="0" t="inlineStr">
        <is>
          <t>NULL</t>
        </is>
      </c>
      <c r="H1854" s="0" t="inlineStr">
        <is>
          <t>NULL</t>
        </is>
      </c>
      <c r="I1854" s="0" t="inlineStr">
        <is>
          <t>NULL</t>
        </is>
      </c>
      <c r="J1854" s="0" t="inlineStr">
        <is>
          <t>NULL</t>
        </is>
      </c>
      <c r="K1854" s="0" t="inlineStr">
        <is>
          <t>YES! 	 c_decimal列源备映射正确，源端为decimal None位	期望更改为decimal(p,s)	实际备端为decimal None位</t>
        </is>
      </c>
    </row>
    <row r="1855">
      <c r="B1855" s="0" t="inlineStr">
        <is>
          <t>NULL</t>
        </is>
      </c>
      <c r="C1855" s="0" t="inlineStr">
        <is>
          <t>NULL</t>
        </is>
      </c>
      <c r="D1855" s="0" t="inlineStr">
        <is>
          <t>NULL</t>
        </is>
      </c>
      <c r="E1855" s="0" t="inlineStr">
        <is>
          <t>NULL</t>
        </is>
      </c>
      <c r="F1855" s="0" t="inlineStr">
        <is>
          <t>NULL</t>
        </is>
      </c>
      <c r="G1855" s="0" t="inlineStr">
        <is>
          <t>NULL</t>
        </is>
      </c>
      <c r="H1855" s="0" t="inlineStr">
        <is>
          <t>NULL</t>
        </is>
      </c>
      <c r="I1855" s="0" t="inlineStr">
        <is>
          <t>NULL</t>
        </is>
      </c>
      <c r="J1855" s="0" t="inlineStr">
        <is>
          <t>NULL</t>
        </is>
      </c>
      <c r="K1855" s="0" t="inlineStr">
        <is>
          <t>YES! 	 c_decimal38列源备映射正确，源端为decimal None位	期望更改为decimal(p,s)	实际备端为decimal None位</t>
        </is>
      </c>
    </row>
    <row r="1856">
      <c r="B1856" s="0" t="inlineStr">
        <is>
          <t>NULL</t>
        </is>
      </c>
      <c r="C1856" s="0" t="inlineStr">
        <is>
          <t>NULL</t>
        </is>
      </c>
      <c r="D1856" s="0" t="inlineStr">
        <is>
          <t>NULL</t>
        </is>
      </c>
      <c r="E1856" s="0" t="inlineStr">
        <is>
          <t>NULL</t>
        </is>
      </c>
      <c r="F1856" s="0" t="inlineStr">
        <is>
          <t>NULL</t>
        </is>
      </c>
      <c r="G1856" s="0" t="inlineStr">
        <is>
          <t>NULL</t>
        </is>
      </c>
      <c r="H1856" s="0" t="inlineStr">
        <is>
          <t>NULL</t>
        </is>
      </c>
      <c r="I1856" s="0" t="inlineStr">
        <is>
          <t>NULL</t>
        </is>
      </c>
      <c r="J1856" s="0" t="inlineStr">
        <is>
          <t>NULL</t>
        </is>
      </c>
      <c r="K1856" s="0" t="inlineStr">
        <is>
          <t>YES! 	 c_decimal38_38列源备映射正确，源端为decimal None位	期望更改为decimal(p,s)	实际备端为decimal None位</t>
        </is>
      </c>
    </row>
    <row r="1857">
      <c r="B1857" s="0" t="inlineStr">
        <is>
          <t>NULL</t>
        </is>
      </c>
      <c r="C1857" s="0" t="inlineStr">
        <is>
          <t>NULL</t>
        </is>
      </c>
      <c r="D1857" s="0" t="inlineStr">
        <is>
          <t>NULL</t>
        </is>
      </c>
      <c r="E1857" s="0" t="inlineStr">
        <is>
          <t>NULL</t>
        </is>
      </c>
      <c r="F1857" s="0" t="inlineStr">
        <is>
          <t>NULL</t>
        </is>
      </c>
      <c r="G1857" s="0" t="inlineStr">
        <is>
          <t>NULL</t>
        </is>
      </c>
      <c r="H1857" s="0" t="inlineStr">
        <is>
          <t>NULL</t>
        </is>
      </c>
      <c r="I1857" s="0" t="inlineStr">
        <is>
          <t>NULL</t>
        </is>
      </c>
      <c r="J1857" s="0" t="inlineStr">
        <is>
          <t>NULL</t>
        </is>
      </c>
      <c r="K1857" s="0" t="inlineStr">
        <is>
          <t>YES! 	 c_decimal38_10列源备映射正确，源端为decimal None位	期望更改为decimal(p,s)	实际备端为decimal None位</t>
        </is>
      </c>
    </row>
    <row r="1858">
      <c r="B1858" s="0" t="inlineStr">
        <is>
          <t>NULL</t>
        </is>
      </c>
      <c r="C1858" s="0" t="inlineStr">
        <is>
          <t>NULL</t>
        </is>
      </c>
      <c r="D1858" s="0" t="inlineStr">
        <is>
          <t>NULL</t>
        </is>
      </c>
      <c r="E1858" s="0" t="inlineStr">
        <is>
          <t>NULL</t>
        </is>
      </c>
      <c r="F1858" s="0" t="inlineStr">
        <is>
          <t>NULL</t>
        </is>
      </c>
      <c r="G1858" s="0" t="inlineStr">
        <is>
          <t>NULL</t>
        </is>
      </c>
      <c r="H1858" s="0" t="inlineStr">
        <is>
          <t>NULL</t>
        </is>
      </c>
      <c r="I1858" s="0" t="inlineStr">
        <is>
          <t>NULL</t>
        </is>
      </c>
      <c r="J1858" s="0" t="inlineStr">
        <is>
          <t>NULL</t>
        </is>
      </c>
      <c r="K1858" s="0" t="inlineStr">
        <is>
          <t>YES! 	 c_decimal19_4列源备映射正确，源端为decimal None位	期望更改为decimal(p,s)	实际备端为decimal None位</t>
        </is>
      </c>
    </row>
    <row r="1859">
      <c r="B1859" s="0" t="inlineStr">
        <is>
          <t>NULL</t>
        </is>
      </c>
      <c r="C1859" s="0" t="inlineStr">
        <is>
          <t>NULL</t>
        </is>
      </c>
      <c r="D1859" s="0" t="inlineStr">
        <is>
          <t>NULL</t>
        </is>
      </c>
      <c r="E1859" s="0" t="inlineStr">
        <is>
          <t>NULL</t>
        </is>
      </c>
      <c r="F1859" s="0" t="inlineStr">
        <is>
          <t>NULL</t>
        </is>
      </c>
      <c r="G1859" s="0" t="inlineStr">
        <is>
          <t>NULL</t>
        </is>
      </c>
      <c r="H1859" s="0" t="inlineStr">
        <is>
          <t>NULL</t>
        </is>
      </c>
      <c r="I1859" s="0" t="inlineStr">
        <is>
          <t>NULL</t>
        </is>
      </c>
      <c r="J1859" s="0" t="inlineStr">
        <is>
          <t>NULL</t>
        </is>
      </c>
      <c r="K1859" s="0" t="inlineStr">
        <is>
          <t>YES! 	 c_numeric列源备映射正确，源端为numeric None位	期望更改为numeric(p,s)	实际备端为numeric None位</t>
        </is>
      </c>
    </row>
    <row r="1860">
      <c r="B1860" s="0" t="inlineStr">
        <is>
          <t>NULL</t>
        </is>
      </c>
      <c r="C1860" s="0" t="inlineStr">
        <is>
          <t>NULL</t>
        </is>
      </c>
      <c r="D1860" s="0" t="inlineStr">
        <is>
          <t>NULL</t>
        </is>
      </c>
      <c r="E1860" s="0" t="inlineStr">
        <is>
          <t>NULL</t>
        </is>
      </c>
      <c r="F1860" s="0" t="inlineStr">
        <is>
          <t>NULL</t>
        </is>
      </c>
      <c r="G1860" s="0" t="inlineStr">
        <is>
          <t>NULL</t>
        </is>
      </c>
      <c r="H1860" s="0" t="inlineStr">
        <is>
          <t>NULL</t>
        </is>
      </c>
      <c r="I1860" s="0" t="inlineStr">
        <is>
          <t>NULL</t>
        </is>
      </c>
      <c r="J1860" s="0" t="inlineStr">
        <is>
          <t>NULL</t>
        </is>
      </c>
      <c r="K1860" s="0" t="inlineStr">
        <is>
          <t>YES! 	 c_numeric38列源备映射正确，源端为numeric None位	期望更改为numeric(p,s)	实际备端为numeric None位</t>
        </is>
      </c>
    </row>
    <row r="1861">
      <c r="B1861" s="0" t="inlineStr">
        <is>
          <t>NULL</t>
        </is>
      </c>
      <c r="C1861" s="0" t="inlineStr">
        <is>
          <t>NULL</t>
        </is>
      </c>
      <c r="D1861" s="0" t="inlineStr">
        <is>
          <t>NULL</t>
        </is>
      </c>
      <c r="E1861" s="0" t="inlineStr">
        <is>
          <t>NULL</t>
        </is>
      </c>
      <c r="F1861" s="0" t="inlineStr">
        <is>
          <t>NULL</t>
        </is>
      </c>
      <c r="G1861" s="0" t="inlineStr">
        <is>
          <t>NULL</t>
        </is>
      </c>
      <c r="H1861" s="0" t="inlineStr">
        <is>
          <t>NULL</t>
        </is>
      </c>
      <c r="I1861" s="0" t="inlineStr">
        <is>
          <t>NULL</t>
        </is>
      </c>
      <c r="J1861" s="0" t="inlineStr">
        <is>
          <t>NULL</t>
        </is>
      </c>
      <c r="K1861" s="0" t="inlineStr">
        <is>
          <t>YES! 	 c_numeric38_38列源备映射正确，源端为numeric None位	期望更改为numeric(p,s)	实际备端为numeric None位</t>
        </is>
      </c>
    </row>
    <row r="1862">
      <c r="B1862" s="0" t="inlineStr">
        <is>
          <t>NULL</t>
        </is>
      </c>
      <c r="C1862" s="0" t="inlineStr">
        <is>
          <t>NULL</t>
        </is>
      </c>
      <c r="D1862" s="0" t="inlineStr">
        <is>
          <t>NULL</t>
        </is>
      </c>
      <c r="E1862" s="0" t="inlineStr">
        <is>
          <t>NULL</t>
        </is>
      </c>
      <c r="F1862" s="0" t="inlineStr">
        <is>
          <t>NULL</t>
        </is>
      </c>
      <c r="G1862" s="0" t="inlineStr">
        <is>
          <t>NULL</t>
        </is>
      </c>
      <c r="H1862" s="0" t="inlineStr">
        <is>
          <t>NULL</t>
        </is>
      </c>
      <c r="I1862" s="0" t="inlineStr">
        <is>
          <t>NULL</t>
        </is>
      </c>
      <c r="J1862" s="0" t="inlineStr">
        <is>
          <t>NULL</t>
        </is>
      </c>
      <c r="K1862" s="0" t="inlineStr">
        <is>
          <t>YES! 	 c_numeric38_10列源备映射正确，源端为numeric None位	期望更改为numeric(p,s)	实际备端为numeric None位</t>
        </is>
      </c>
    </row>
    <row r="1863">
      <c r="B1863" s="0" t="inlineStr">
        <is>
          <t>NULL</t>
        </is>
      </c>
      <c r="C1863" s="0" t="inlineStr">
        <is>
          <t>NULL</t>
        </is>
      </c>
      <c r="D1863" s="0" t="inlineStr">
        <is>
          <t>NULL</t>
        </is>
      </c>
      <c r="E1863" s="0" t="inlineStr">
        <is>
          <t>NULL</t>
        </is>
      </c>
      <c r="F1863" s="0" t="inlineStr">
        <is>
          <t>NULL</t>
        </is>
      </c>
      <c r="G1863" s="0" t="inlineStr">
        <is>
          <t>NULL</t>
        </is>
      </c>
      <c r="H1863" s="0" t="inlineStr">
        <is>
          <t>NULL</t>
        </is>
      </c>
      <c r="I1863" s="0" t="inlineStr">
        <is>
          <t>NULL</t>
        </is>
      </c>
      <c r="J1863" s="0" t="inlineStr">
        <is>
          <t>NULL</t>
        </is>
      </c>
      <c r="K1863" s="0" t="inlineStr">
        <is>
          <t>YES! 	 c_numeric18_2列源备映射正确，源端为numeric None位	期望更改为numeric(p,s)	实际备端为numeric None位</t>
        </is>
      </c>
    </row>
    <row r="1864">
      <c r="B1864" s="0" t="inlineStr">
        <is>
          <t>NULL</t>
        </is>
      </c>
      <c r="C1864" s="0" t="inlineStr">
        <is>
          <t>NULL</t>
        </is>
      </c>
      <c r="D1864" s="0" t="inlineStr">
        <is>
          <t>NULL</t>
        </is>
      </c>
      <c r="E1864" s="0" t="inlineStr">
        <is>
          <t>NULL</t>
        </is>
      </c>
      <c r="F1864" s="0" t="inlineStr">
        <is>
          <t>NULL</t>
        </is>
      </c>
      <c r="G1864" s="0" t="inlineStr">
        <is>
          <t>NULL</t>
        </is>
      </c>
      <c r="H1864" s="0" t="inlineStr">
        <is>
          <t>NULL</t>
        </is>
      </c>
      <c r="I1864" s="0" t="inlineStr">
        <is>
          <t>NULL</t>
        </is>
      </c>
      <c r="J1864" s="0" t="inlineStr">
        <is>
          <t>NULL</t>
        </is>
      </c>
      <c r="K1864" s="0" t="inlineStr">
        <is>
          <t>YES! 	 c_float列源备映射正确，源端为float None位	期望更改为float	实际备端为float None位</t>
        </is>
      </c>
    </row>
    <row r="1865">
      <c r="B1865" s="0" t="inlineStr">
        <is>
          <t>NULL</t>
        </is>
      </c>
      <c r="C1865" s="0" t="inlineStr">
        <is>
          <t>NULL</t>
        </is>
      </c>
      <c r="D1865" s="0" t="inlineStr">
        <is>
          <t>NULL</t>
        </is>
      </c>
      <c r="E1865" s="0" t="inlineStr">
        <is>
          <t>NULL</t>
        </is>
      </c>
      <c r="F1865" s="0" t="inlineStr">
        <is>
          <t>NULL</t>
        </is>
      </c>
      <c r="G1865" s="0" t="inlineStr">
        <is>
          <t>NULL</t>
        </is>
      </c>
      <c r="H1865" s="0" t="inlineStr">
        <is>
          <t>NULL</t>
        </is>
      </c>
      <c r="I1865" s="0" t="inlineStr">
        <is>
          <t>NULL</t>
        </is>
      </c>
      <c r="J1865" s="0" t="inlineStr">
        <is>
          <t>NULL</t>
        </is>
      </c>
      <c r="K1865" s="0" t="inlineStr">
        <is>
          <t>YES! 	 c_real列源备映射正确，源端为real None位	期望更改为real	实际备端为real None位</t>
        </is>
      </c>
    </row>
    <row r="1866">
      <c r="B1866" s="0" t="inlineStr">
        <is>
          <t>NULL</t>
        </is>
      </c>
      <c r="C1866" s="0" t="inlineStr">
        <is>
          <t>NULL</t>
        </is>
      </c>
      <c r="D1866" s="0" t="inlineStr">
        <is>
          <t>NULL</t>
        </is>
      </c>
      <c r="E1866" s="0" t="inlineStr">
        <is>
          <t>NULL</t>
        </is>
      </c>
      <c r="F1866" s="0" t="inlineStr">
        <is>
          <t>NULL</t>
        </is>
      </c>
      <c r="G1866" s="0" t="inlineStr">
        <is>
          <t>NULL</t>
        </is>
      </c>
      <c r="H1866" s="0" t="inlineStr">
        <is>
          <t>NULL</t>
        </is>
      </c>
      <c r="I1866" s="0" t="inlineStr">
        <is>
          <t>NULL</t>
        </is>
      </c>
      <c r="J1866" s="0" t="inlineStr">
        <is>
          <t>NULL</t>
        </is>
      </c>
      <c r="K1866" s="0" t="inlineStr">
        <is>
          <t>YES! 	 c_money列源备映射正确，源端为money None位	期望更改为money	实际备端为money None位</t>
        </is>
      </c>
    </row>
    <row r="1867">
      <c r="B1867" s="0" t="inlineStr">
        <is>
          <t>NULL</t>
        </is>
      </c>
      <c r="C1867" s="0" t="inlineStr">
        <is>
          <t>NULL</t>
        </is>
      </c>
      <c r="D1867" s="0" t="inlineStr">
        <is>
          <t>NULL</t>
        </is>
      </c>
      <c r="E1867" s="0" t="inlineStr">
        <is>
          <t>NULL</t>
        </is>
      </c>
      <c r="F1867" s="0" t="inlineStr">
        <is>
          <t>NULL</t>
        </is>
      </c>
      <c r="G1867" s="0" t="inlineStr">
        <is>
          <t>NULL</t>
        </is>
      </c>
      <c r="H1867" s="0" t="inlineStr">
        <is>
          <t>NULL</t>
        </is>
      </c>
      <c r="I1867" s="0" t="inlineStr">
        <is>
          <t>NULL</t>
        </is>
      </c>
      <c r="J1867" s="0" t="inlineStr">
        <is>
          <t>NULL</t>
        </is>
      </c>
      <c r="K1867" s="0" t="inlineStr">
        <is>
          <t>YES! 	 c_smallmoney列源备映射正确，源端为smallmoney None位	期望更改为smallmoney	实际备端为smallmoney None位</t>
        </is>
      </c>
    </row>
    <row r="1868">
      <c r="B1868" s="0" t="inlineStr">
        <is>
          <t>NULL</t>
        </is>
      </c>
      <c r="C1868" s="0" t="inlineStr">
        <is>
          <t>NULL</t>
        </is>
      </c>
      <c r="D1868" s="0" t="inlineStr">
        <is>
          <t>NULL</t>
        </is>
      </c>
      <c r="E1868" s="0" t="inlineStr">
        <is>
          <t>NULL</t>
        </is>
      </c>
      <c r="F1868" s="0" t="inlineStr">
        <is>
          <t>NULL</t>
        </is>
      </c>
      <c r="G1868" s="0" t="inlineStr">
        <is>
          <t>NULL</t>
        </is>
      </c>
      <c r="H1868" s="0" t="inlineStr">
        <is>
          <t>NULL</t>
        </is>
      </c>
      <c r="I1868" s="0" t="inlineStr">
        <is>
          <t>NULL</t>
        </is>
      </c>
      <c r="J1868" s="0" t="inlineStr">
        <is>
          <t>NULL</t>
        </is>
      </c>
      <c r="K1868" s="0" t="inlineStr">
        <is>
          <t>YES! 	 c_bit列源备映射正确，源端为bit None位	期望更改为bit	实际备端为bit None位</t>
        </is>
      </c>
    </row>
    <row r="1869">
      <c r="A1869" s="0" t="inlineStr">
        <is>
          <t>info_int_dml_batch1_pk</t>
        </is>
      </c>
      <c r="K1869" s="0" t="inlineStr">
        <is>
          <t>[0;34m info_int_dml_batch1_pk [0m源备字段数相同，源端字段：20 	备端字段20</t>
        </is>
      </c>
      <c r="W1869" s="0" t="inlineStr">
        <is>
          <t>YES 源备无差异</t>
        </is>
      </c>
      <c r="X1869" s="0">
        <f>A1869</f>
        <v/>
      </c>
    </row>
    <row r="1870">
      <c r="B1870" s="0" t="inlineStr">
        <is>
          <t>YES</t>
        </is>
      </c>
      <c r="C1870" s="0" t="inlineStr">
        <is>
          <t>NULL</t>
        </is>
      </c>
      <c r="D1870" s="0" t="inlineStr">
        <is>
          <t>NULL</t>
        </is>
      </c>
      <c r="E1870" s="0" t="inlineStr">
        <is>
          <t>NULL</t>
        </is>
      </c>
      <c r="F1870" s="0" t="inlineStr">
        <is>
          <t>NULL</t>
        </is>
      </c>
      <c r="G1870" s="0" t="inlineStr">
        <is>
          <t>NULL</t>
        </is>
      </c>
      <c r="H1870" s="0" t="inlineStr">
        <is>
          <t>NULL</t>
        </is>
      </c>
      <c r="I1870" s="0" t="inlineStr">
        <is>
          <t>YES!PK__info_int__3213E83FF3EC9625</t>
        </is>
      </c>
      <c r="J1870" s="0" t="inlineStr">
        <is>
          <t>YES! 主键相关索引</t>
        </is>
      </c>
      <c r="K1870" s="0" t="inlineStr">
        <is>
          <t>YES! 	 id列源备映射正确，源端为int None位	期望更改为int	实际备端为int None位</t>
        </is>
      </c>
    </row>
    <row r="1871">
      <c r="B1871" s="0" t="inlineStr">
        <is>
          <t>NULL</t>
        </is>
      </c>
      <c r="C1871" s="0" t="inlineStr">
        <is>
          <t>NULL</t>
        </is>
      </c>
      <c r="D1871" s="0" t="inlineStr">
        <is>
          <t>NULL</t>
        </is>
      </c>
      <c r="E1871" s="0" t="inlineStr">
        <is>
          <t>NULL</t>
        </is>
      </c>
      <c r="F1871" s="0" t="inlineStr">
        <is>
          <t>NULL</t>
        </is>
      </c>
      <c r="G1871" s="0" t="inlineStr">
        <is>
          <t>NULL</t>
        </is>
      </c>
      <c r="H1871" s="0" t="inlineStr">
        <is>
          <t>NULL</t>
        </is>
      </c>
      <c r="I1871" s="0" t="inlineStr">
        <is>
          <t>NULL</t>
        </is>
      </c>
      <c r="J1871" s="0" t="inlineStr">
        <is>
          <t>NULL</t>
        </is>
      </c>
      <c r="K1871" s="0" t="inlineStr">
        <is>
          <t>YES! 	 c_tinyint列源备映射正确，源端为tinyint None位	期望更改为tinyint	实际备端为tinyint None位</t>
        </is>
      </c>
    </row>
    <row r="1872">
      <c r="B1872" s="0" t="inlineStr">
        <is>
          <t>NULL</t>
        </is>
      </c>
      <c r="C1872" s="0" t="inlineStr">
        <is>
          <t>NULL</t>
        </is>
      </c>
      <c r="D1872" s="0" t="inlineStr">
        <is>
          <t>NULL</t>
        </is>
      </c>
      <c r="E1872" s="0" t="inlineStr">
        <is>
          <t>NULL</t>
        </is>
      </c>
      <c r="F1872" s="0" t="inlineStr">
        <is>
          <t>NULL</t>
        </is>
      </c>
      <c r="G1872" s="0" t="inlineStr">
        <is>
          <t>NULL</t>
        </is>
      </c>
      <c r="H1872" s="0" t="inlineStr">
        <is>
          <t>NULL</t>
        </is>
      </c>
      <c r="I1872" s="0" t="inlineStr">
        <is>
          <t>NULL</t>
        </is>
      </c>
      <c r="J1872" s="0" t="inlineStr">
        <is>
          <t>NULL</t>
        </is>
      </c>
      <c r="K1872" s="0" t="inlineStr">
        <is>
          <t>YES! 	 c_smallint列源备映射正确，源端为smallint None位	期望更改为smallint	实际备端为smallint None位</t>
        </is>
      </c>
    </row>
    <row r="1873">
      <c r="B1873" s="0" t="inlineStr">
        <is>
          <t>NULL</t>
        </is>
      </c>
      <c r="C1873" s="0" t="inlineStr">
        <is>
          <t>NULL</t>
        </is>
      </c>
      <c r="D1873" s="0" t="inlineStr">
        <is>
          <t>NULL</t>
        </is>
      </c>
      <c r="E1873" s="0" t="inlineStr">
        <is>
          <t>NULL</t>
        </is>
      </c>
      <c r="F1873" s="0" t="inlineStr">
        <is>
          <t>NULL</t>
        </is>
      </c>
      <c r="G1873" s="0" t="inlineStr">
        <is>
          <t>NULL</t>
        </is>
      </c>
      <c r="H1873" s="0" t="inlineStr">
        <is>
          <t>NULL</t>
        </is>
      </c>
      <c r="I1873" s="0" t="inlineStr">
        <is>
          <t>NULL</t>
        </is>
      </c>
      <c r="J1873" s="0" t="inlineStr">
        <is>
          <t>NULL</t>
        </is>
      </c>
      <c r="K1873" s="0" t="inlineStr">
        <is>
          <t>YES! 	 c_int列源备映射正确，源端为int None位	期望更改为int	实际备端为int None位</t>
        </is>
      </c>
    </row>
    <row r="1874">
      <c r="B1874" s="0" t="inlineStr">
        <is>
          <t>NULL</t>
        </is>
      </c>
      <c r="C1874" s="0" t="inlineStr">
        <is>
          <t>NULL</t>
        </is>
      </c>
      <c r="D1874" s="0" t="inlineStr">
        <is>
          <t>NULL</t>
        </is>
      </c>
      <c r="E1874" s="0" t="inlineStr">
        <is>
          <t>NULL</t>
        </is>
      </c>
      <c r="F1874" s="0" t="inlineStr">
        <is>
          <t>NULL</t>
        </is>
      </c>
      <c r="G1874" s="0" t="inlineStr">
        <is>
          <t>NULL</t>
        </is>
      </c>
      <c r="H1874" s="0" t="inlineStr">
        <is>
          <t>NULL</t>
        </is>
      </c>
      <c r="I1874" s="0" t="inlineStr">
        <is>
          <t>NULL</t>
        </is>
      </c>
      <c r="J1874" s="0" t="inlineStr">
        <is>
          <t>NULL</t>
        </is>
      </c>
      <c r="K1874" s="0" t="inlineStr">
        <is>
          <t>YES! 	 c_bigint列源备映射正确，源端为bigint None位	期望更改为bigint	实际备端为bigint None位</t>
        </is>
      </c>
    </row>
    <row r="1875">
      <c r="B1875" s="0" t="inlineStr">
        <is>
          <t>NULL</t>
        </is>
      </c>
      <c r="C1875" s="0" t="inlineStr">
        <is>
          <t>NULL</t>
        </is>
      </c>
      <c r="D1875" s="0" t="inlineStr">
        <is>
          <t>NULL</t>
        </is>
      </c>
      <c r="E1875" s="0" t="inlineStr">
        <is>
          <t>NULL</t>
        </is>
      </c>
      <c r="F1875" s="0" t="inlineStr">
        <is>
          <t>NULL</t>
        </is>
      </c>
      <c r="G1875" s="0" t="inlineStr">
        <is>
          <t>NULL</t>
        </is>
      </c>
      <c r="H1875" s="0" t="inlineStr">
        <is>
          <t>NULL</t>
        </is>
      </c>
      <c r="I1875" s="0" t="inlineStr">
        <is>
          <t>NULL</t>
        </is>
      </c>
      <c r="J1875" s="0" t="inlineStr">
        <is>
          <t>NULL</t>
        </is>
      </c>
      <c r="K1875" s="0" t="inlineStr">
        <is>
          <t>YES! 	 c_decimal列源备映射正确，源端为decimal None位	期望更改为decimal(p,s)	实际备端为decimal None位</t>
        </is>
      </c>
    </row>
    <row r="1876">
      <c r="B1876" s="0" t="inlineStr">
        <is>
          <t>NULL</t>
        </is>
      </c>
      <c r="C1876" s="0" t="inlineStr">
        <is>
          <t>NULL</t>
        </is>
      </c>
      <c r="D1876" s="0" t="inlineStr">
        <is>
          <t>NULL</t>
        </is>
      </c>
      <c r="E1876" s="0" t="inlineStr">
        <is>
          <t>NULL</t>
        </is>
      </c>
      <c r="F1876" s="0" t="inlineStr">
        <is>
          <t>NULL</t>
        </is>
      </c>
      <c r="G1876" s="0" t="inlineStr">
        <is>
          <t>NULL</t>
        </is>
      </c>
      <c r="H1876" s="0" t="inlineStr">
        <is>
          <t>NULL</t>
        </is>
      </c>
      <c r="I1876" s="0" t="inlineStr">
        <is>
          <t>NULL</t>
        </is>
      </c>
      <c r="J1876" s="0" t="inlineStr">
        <is>
          <t>NULL</t>
        </is>
      </c>
      <c r="K1876" s="0" t="inlineStr">
        <is>
          <t>YES! 	 c_decimal38列源备映射正确，源端为decimal None位	期望更改为decimal(p,s)	实际备端为decimal None位</t>
        </is>
      </c>
    </row>
    <row r="1877">
      <c r="B1877" s="0" t="inlineStr">
        <is>
          <t>NULL</t>
        </is>
      </c>
      <c r="C1877" s="0" t="inlineStr">
        <is>
          <t>NULL</t>
        </is>
      </c>
      <c r="D1877" s="0" t="inlineStr">
        <is>
          <t>NULL</t>
        </is>
      </c>
      <c r="E1877" s="0" t="inlineStr">
        <is>
          <t>NULL</t>
        </is>
      </c>
      <c r="F1877" s="0" t="inlineStr">
        <is>
          <t>NULL</t>
        </is>
      </c>
      <c r="G1877" s="0" t="inlineStr">
        <is>
          <t>NULL</t>
        </is>
      </c>
      <c r="H1877" s="0" t="inlineStr">
        <is>
          <t>NULL</t>
        </is>
      </c>
      <c r="I1877" s="0" t="inlineStr">
        <is>
          <t>NULL</t>
        </is>
      </c>
      <c r="J1877" s="0" t="inlineStr">
        <is>
          <t>NULL</t>
        </is>
      </c>
      <c r="K1877" s="0" t="inlineStr">
        <is>
          <t>YES! 	 c_decimal38_38列源备映射正确，源端为decimal None位	期望更改为decimal(p,s)	实际备端为decimal None位</t>
        </is>
      </c>
    </row>
    <row r="1878">
      <c r="B1878" s="0" t="inlineStr">
        <is>
          <t>NULL</t>
        </is>
      </c>
      <c r="C1878" s="0" t="inlineStr">
        <is>
          <t>NULL</t>
        </is>
      </c>
      <c r="D1878" s="0" t="inlineStr">
        <is>
          <t>NULL</t>
        </is>
      </c>
      <c r="E1878" s="0" t="inlineStr">
        <is>
          <t>NULL</t>
        </is>
      </c>
      <c r="F1878" s="0" t="inlineStr">
        <is>
          <t>NULL</t>
        </is>
      </c>
      <c r="G1878" s="0" t="inlineStr">
        <is>
          <t>NULL</t>
        </is>
      </c>
      <c r="H1878" s="0" t="inlineStr">
        <is>
          <t>NULL</t>
        </is>
      </c>
      <c r="I1878" s="0" t="inlineStr">
        <is>
          <t>NULL</t>
        </is>
      </c>
      <c r="J1878" s="0" t="inlineStr">
        <is>
          <t>NULL</t>
        </is>
      </c>
      <c r="K1878" s="0" t="inlineStr">
        <is>
          <t>YES! 	 c_decimal38_10列源备映射正确，源端为decimal None位	期望更改为decimal(p,s)	实际备端为decimal None位</t>
        </is>
      </c>
    </row>
    <row r="1879">
      <c r="B1879" s="0" t="inlineStr">
        <is>
          <t>NULL</t>
        </is>
      </c>
      <c r="C1879" s="0" t="inlineStr">
        <is>
          <t>NULL</t>
        </is>
      </c>
      <c r="D1879" s="0" t="inlineStr">
        <is>
          <t>NULL</t>
        </is>
      </c>
      <c r="E1879" s="0" t="inlineStr">
        <is>
          <t>NULL</t>
        </is>
      </c>
      <c r="F1879" s="0" t="inlineStr">
        <is>
          <t>NULL</t>
        </is>
      </c>
      <c r="G1879" s="0" t="inlineStr">
        <is>
          <t>NULL</t>
        </is>
      </c>
      <c r="H1879" s="0" t="inlineStr">
        <is>
          <t>NULL</t>
        </is>
      </c>
      <c r="I1879" s="0" t="inlineStr">
        <is>
          <t>NULL</t>
        </is>
      </c>
      <c r="J1879" s="0" t="inlineStr">
        <is>
          <t>NULL</t>
        </is>
      </c>
      <c r="K1879" s="0" t="inlineStr">
        <is>
          <t>YES! 	 c_decimal19_4列源备映射正确，源端为decimal None位	期望更改为decimal(p,s)	实际备端为decimal None位</t>
        </is>
      </c>
    </row>
    <row r="1880">
      <c r="B1880" s="0" t="inlineStr">
        <is>
          <t>NULL</t>
        </is>
      </c>
      <c r="C1880" s="0" t="inlineStr">
        <is>
          <t>NULL</t>
        </is>
      </c>
      <c r="D1880" s="0" t="inlineStr">
        <is>
          <t>NULL</t>
        </is>
      </c>
      <c r="E1880" s="0" t="inlineStr">
        <is>
          <t>NULL</t>
        </is>
      </c>
      <c r="F1880" s="0" t="inlineStr">
        <is>
          <t>NULL</t>
        </is>
      </c>
      <c r="G1880" s="0" t="inlineStr">
        <is>
          <t>NULL</t>
        </is>
      </c>
      <c r="H1880" s="0" t="inlineStr">
        <is>
          <t>NULL</t>
        </is>
      </c>
      <c r="I1880" s="0" t="inlineStr">
        <is>
          <t>NULL</t>
        </is>
      </c>
      <c r="J1880" s="0" t="inlineStr">
        <is>
          <t>NULL</t>
        </is>
      </c>
      <c r="K1880" s="0" t="inlineStr">
        <is>
          <t>YES! 	 c_numeric列源备映射正确，源端为numeric None位	期望更改为numeric(p,s)	实际备端为numeric None位</t>
        </is>
      </c>
    </row>
    <row r="1881">
      <c r="B1881" s="0" t="inlineStr">
        <is>
          <t>NULL</t>
        </is>
      </c>
      <c r="C1881" s="0" t="inlineStr">
        <is>
          <t>NULL</t>
        </is>
      </c>
      <c r="D1881" s="0" t="inlineStr">
        <is>
          <t>NULL</t>
        </is>
      </c>
      <c r="E1881" s="0" t="inlineStr">
        <is>
          <t>NULL</t>
        </is>
      </c>
      <c r="F1881" s="0" t="inlineStr">
        <is>
          <t>NULL</t>
        </is>
      </c>
      <c r="G1881" s="0" t="inlineStr">
        <is>
          <t>NULL</t>
        </is>
      </c>
      <c r="H1881" s="0" t="inlineStr">
        <is>
          <t>NULL</t>
        </is>
      </c>
      <c r="I1881" s="0" t="inlineStr">
        <is>
          <t>NULL</t>
        </is>
      </c>
      <c r="J1881" s="0" t="inlineStr">
        <is>
          <t>NULL</t>
        </is>
      </c>
      <c r="K1881" s="0" t="inlineStr">
        <is>
          <t>YES! 	 c_numeric38列源备映射正确，源端为numeric None位	期望更改为numeric(p,s)	实际备端为numeric None位</t>
        </is>
      </c>
    </row>
    <row r="1882">
      <c r="B1882" s="0" t="inlineStr">
        <is>
          <t>NULL</t>
        </is>
      </c>
      <c r="C1882" s="0" t="inlineStr">
        <is>
          <t>NULL</t>
        </is>
      </c>
      <c r="D1882" s="0" t="inlineStr">
        <is>
          <t>NULL</t>
        </is>
      </c>
      <c r="E1882" s="0" t="inlineStr">
        <is>
          <t>NULL</t>
        </is>
      </c>
      <c r="F1882" s="0" t="inlineStr">
        <is>
          <t>NULL</t>
        </is>
      </c>
      <c r="G1882" s="0" t="inlineStr">
        <is>
          <t>NULL</t>
        </is>
      </c>
      <c r="H1882" s="0" t="inlineStr">
        <is>
          <t>NULL</t>
        </is>
      </c>
      <c r="I1882" s="0" t="inlineStr">
        <is>
          <t>NULL</t>
        </is>
      </c>
      <c r="J1882" s="0" t="inlineStr">
        <is>
          <t>NULL</t>
        </is>
      </c>
      <c r="K1882" s="0" t="inlineStr">
        <is>
          <t>YES! 	 c_numeric38_38列源备映射正确，源端为numeric None位	期望更改为numeric(p,s)	实际备端为numeric None位</t>
        </is>
      </c>
    </row>
    <row r="1883">
      <c r="B1883" s="0" t="inlineStr">
        <is>
          <t>NULL</t>
        </is>
      </c>
      <c r="C1883" s="0" t="inlineStr">
        <is>
          <t>NULL</t>
        </is>
      </c>
      <c r="D1883" s="0" t="inlineStr">
        <is>
          <t>NULL</t>
        </is>
      </c>
      <c r="E1883" s="0" t="inlineStr">
        <is>
          <t>NULL</t>
        </is>
      </c>
      <c r="F1883" s="0" t="inlineStr">
        <is>
          <t>NULL</t>
        </is>
      </c>
      <c r="G1883" s="0" t="inlineStr">
        <is>
          <t>NULL</t>
        </is>
      </c>
      <c r="H1883" s="0" t="inlineStr">
        <is>
          <t>NULL</t>
        </is>
      </c>
      <c r="I1883" s="0" t="inlineStr">
        <is>
          <t>NULL</t>
        </is>
      </c>
      <c r="J1883" s="0" t="inlineStr">
        <is>
          <t>NULL</t>
        </is>
      </c>
      <c r="K1883" s="0" t="inlineStr">
        <is>
          <t>YES! 	 c_numeric38_10列源备映射正确，源端为numeric None位	期望更改为numeric(p,s)	实际备端为numeric None位</t>
        </is>
      </c>
    </row>
    <row r="1884">
      <c r="B1884" s="0" t="inlineStr">
        <is>
          <t>NULL</t>
        </is>
      </c>
      <c r="C1884" s="0" t="inlineStr">
        <is>
          <t>NULL</t>
        </is>
      </c>
      <c r="D1884" s="0" t="inlineStr">
        <is>
          <t>NULL</t>
        </is>
      </c>
      <c r="E1884" s="0" t="inlineStr">
        <is>
          <t>NULL</t>
        </is>
      </c>
      <c r="F1884" s="0" t="inlineStr">
        <is>
          <t>NULL</t>
        </is>
      </c>
      <c r="G1884" s="0" t="inlineStr">
        <is>
          <t>NULL</t>
        </is>
      </c>
      <c r="H1884" s="0" t="inlineStr">
        <is>
          <t>NULL</t>
        </is>
      </c>
      <c r="I1884" s="0" t="inlineStr">
        <is>
          <t>NULL</t>
        </is>
      </c>
      <c r="J1884" s="0" t="inlineStr">
        <is>
          <t>NULL</t>
        </is>
      </c>
      <c r="K1884" s="0" t="inlineStr">
        <is>
          <t>YES! 	 c_numeric18_2列源备映射正确，源端为numeric None位	期望更改为numeric(p,s)	实际备端为numeric None位</t>
        </is>
      </c>
    </row>
    <row r="1885">
      <c r="B1885" s="0" t="inlineStr">
        <is>
          <t>NULL</t>
        </is>
      </c>
      <c r="C1885" s="0" t="inlineStr">
        <is>
          <t>NULL</t>
        </is>
      </c>
      <c r="D1885" s="0" t="inlineStr">
        <is>
          <t>NULL</t>
        </is>
      </c>
      <c r="E1885" s="0" t="inlineStr">
        <is>
          <t>NULL</t>
        </is>
      </c>
      <c r="F1885" s="0" t="inlineStr">
        <is>
          <t>NULL</t>
        </is>
      </c>
      <c r="G1885" s="0" t="inlineStr">
        <is>
          <t>NULL</t>
        </is>
      </c>
      <c r="H1885" s="0" t="inlineStr">
        <is>
          <t>NULL</t>
        </is>
      </c>
      <c r="I1885" s="0" t="inlineStr">
        <is>
          <t>NULL</t>
        </is>
      </c>
      <c r="J1885" s="0" t="inlineStr">
        <is>
          <t>NULL</t>
        </is>
      </c>
      <c r="K1885" s="0" t="inlineStr">
        <is>
          <t>YES! 	 c_float列源备映射正确，源端为float None位	期望更改为float	实际备端为float None位</t>
        </is>
      </c>
    </row>
    <row r="1886">
      <c r="B1886" s="0" t="inlineStr">
        <is>
          <t>NULL</t>
        </is>
      </c>
      <c r="C1886" s="0" t="inlineStr">
        <is>
          <t>NULL</t>
        </is>
      </c>
      <c r="D1886" s="0" t="inlineStr">
        <is>
          <t>NULL</t>
        </is>
      </c>
      <c r="E1886" s="0" t="inlineStr">
        <is>
          <t>NULL</t>
        </is>
      </c>
      <c r="F1886" s="0" t="inlineStr">
        <is>
          <t>NULL</t>
        </is>
      </c>
      <c r="G1886" s="0" t="inlineStr">
        <is>
          <t>NULL</t>
        </is>
      </c>
      <c r="H1886" s="0" t="inlineStr">
        <is>
          <t>NULL</t>
        </is>
      </c>
      <c r="I1886" s="0" t="inlineStr">
        <is>
          <t>NULL</t>
        </is>
      </c>
      <c r="J1886" s="0" t="inlineStr">
        <is>
          <t>NULL</t>
        </is>
      </c>
      <c r="K1886" s="0" t="inlineStr">
        <is>
          <t>YES! 	 c_real列源备映射正确，源端为real None位	期望更改为real	实际备端为real None位</t>
        </is>
      </c>
    </row>
    <row r="1887">
      <c r="B1887" s="0" t="inlineStr">
        <is>
          <t>NULL</t>
        </is>
      </c>
      <c r="C1887" s="0" t="inlineStr">
        <is>
          <t>NULL</t>
        </is>
      </c>
      <c r="D1887" s="0" t="inlineStr">
        <is>
          <t>NULL</t>
        </is>
      </c>
      <c r="E1887" s="0" t="inlineStr">
        <is>
          <t>NULL</t>
        </is>
      </c>
      <c r="F1887" s="0" t="inlineStr">
        <is>
          <t>NULL</t>
        </is>
      </c>
      <c r="G1887" s="0" t="inlineStr">
        <is>
          <t>NULL</t>
        </is>
      </c>
      <c r="H1887" s="0" t="inlineStr">
        <is>
          <t>NULL</t>
        </is>
      </c>
      <c r="I1887" s="0" t="inlineStr">
        <is>
          <t>NULL</t>
        </is>
      </c>
      <c r="J1887" s="0" t="inlineStr">
        <is>
          <t>NULL</t>
        </is>
      </c>
      <c r="K1887" s="0" t="inlineStr">
        <is>
          <t>YES! 	 c_money列源备映射正确，源端为money None位	期望更改为money	实际备端为money None位</t>
        </is>
      </c>
    </row>
    <row r="1888">
      <c r="B1888" s="0" t="inlineStr">
        <is>
          <t>NULL</t>
        </is>
      </c>
      <c r="C1888" s="0" t="inlineStr">
        <is>
          <t>NULL</t>
        </is>
      </c>
      <c r="D1888" s="0" t="inlineStr">
        <is>
          <t>NULL</t>
        </is>
      </c>
      <c r="E1888" s="0" t="inlineStr">
        <is>
          <t>NULL</t>
        </is>
      </c>
      <c r="F1888" s="0" t="inlineStr">
        <is>
          <t>NULL</t>
        </is>
      </c>
      <c r="G1888" s="0" t="inlineStr">
        <is>
          <t>NULL</t>
        </is>
      </c>
      <c r="H1888" s="0" t="inlineStr">
        <is>
          <t>NULL</t>
        </is>
      </c>
      <c r="I1888" s="0" t="inlineStr">
        <is>
          <t>NULL</t>
        </is>
      </c>
      <c r="J1888" s="0" t="inlineStr">
        <is>
          <t>NULL</t>
        </is>
      </c>
      <c r="K1888" s="0" t="inlineStr">
        <is>
          <t>YES! 	 c_smallmoney列源备映射正确，源端为smallmoney None位	期望更改为smallmoney	实际备端为smallmoney None位</t>
        </is>
      </c>
    </row>
    <row r="1889">
      <c r="B1889" s="0" t="inlineStr">
        <is>
          <t>NULL</t>
        </is>
      </c>
      <c r="C1889" s="0" t="inlineStr">
        <is>
          <t>NULL</t>
        </is>
      </c>
      <c r="D1889" s="0" t="inlineStr">
        <is>
          <t>NULL</t>
        </is>
      </c>
      <c r="E1889" s="0" t="inlineStr">
        <is>
          <t>NULL</t>
        </is>
      </c>
      <c r="F1889" s="0" t="inlineStr">
        <is>
          <t>NULL</t>
        </is>
      </c>
      <c r="G1889" s="0" t="inlineStr">
        <is>
          <t>NULL</t>
        </is>
      </c>
      <c r="H1889" s="0" t="inlineStr">
        <is>
          <t>NULL</t>
        </is>
      </c>
      <c r="I1889" s="0" t="inlineStr">
        <is>
          <t>NULL</t>
        </is>
      </c>
      <c r="J1889" s="0" t="inlineStr">
        <is>
          <t>NULL</t>
        </is>
      </c>
      <c r="K1889" s="0" t="inlineStr">
        <is>
          <t>YES! 	 c_bit列源备映射正确，源端为bit None位	期望更改为bit	实际备端为bit None位</t>
        </is>
      </c>
    </row>
    <row r="1890">
      <c r="A1890" s="0" t="inlineStr">
        <is>
          <t>info_binary_dml_batch1_pk_irp2</t>
        </is>
      </c>
      <c r="K1890" s="0" t="inlineStr">
        <is>
          <t>[0;34m info_binary_dml_batch1_pk_irp2 [0m源备字段数相同，源端字段：4 	备端字段4</t>
        </is>
      </c>
      <c r="W1890" s="0" t="inlineStr">
        <is>
          <t>YES 源备无差异</t>
        </is>
      </c>
      <c r="X1890" s="0">
        <f>A1890</f>
        <v/>
      </c>
    </row>
    <row r="1891">
      <c r="B1891" s="0" t="inlineStr">
        <is>
          <t>YES</t>
        </is>
      </c>
      <c r="C1891" s="0" t="inlineStr">
        <is>
          <t>NULL</t>
        </is>
      </c>
      <c r="D1891" s="0" t="inlineStr">
        <is>
          <t>NULL</t>
        </is>
      </c>
      <c r="E1891" s="0" t="inlineStr">
        <is>
          <t>NULL</t>
        </is>
      </c>
      <c r="F1891" s="0" t="inlineStr">
        <is>
          <t>NULL</t>
        </is>
      </c>
      <c r="G1891" s="0" t="inlineStr">
        <is>
          <t>NULL</t>
        </is>
      </c>
      <c r="H1891" s="0" t="inlineStr">
        <is>
          <t>NULL</t>
        </is>
      </c>
      <c r="I1891" s="0" t="inlineStr">
        <is>
          <t>YES!PK__info_bin__3213E83F477BD939</t>
        </is>
      </c>
      <c r="J1891" s="0" t="inlineStr">
        <is>
          <t>YES! 主键相关索引</t>
        </is>
      </c>
      <c r="K1891" s="0" t="inlineStr">
        <is>
          <t>YES! 	 id列源备映射正确，源端为int None位	期望更改为int	实际备端为int None位</t>
        </is>
      </c>
    </row>
    <row r="1892">
      <c r="B1892" s="0" t="inlineStr">
        <is>
          <t>NULL</t>
        </is>
      </c>
      <c r="C1892" s="0" t="inlineStr">
        <is>
          <t>NULL</t>
        </is>
      </c>
      <c r="D1892" s="0" t="inlineStr">
        <is>
          <t>NULL</t>
        </is>
      </c>
      <c r="E1892" s="0" t="inlineStr">
        <is>
          <t>NULL</t>
        </is>
      </c>
      <c r="F1892" s="0" t="inlineStr">
        <is>
          <t>NULL</t>
        </is>
      </c>
      <c r="G1892" s="0" t="inlineStr">
        <is>
          <t>NULL</t>
        </is>
      </c>
      <c r="H1892" s="0" t="inlineStr">
        <is>
          <t>NULL</t>
        </is>
      </c>
      <c r="I1892" s="0" t="inlineStr">
        <is>
          <t>NULL</t>
        </is>
      </c>
      <c r="J1892" s="0" t="inlineStr">
        <is>
          <t>NULL</t>
        </is>
      </c>
      <c r="K1892" s="0" t="inlineStr">
        <is>
          <t>YES! 	 c_binary列源备映射正确，源端为binary 1位	期望更改为binary(n)	实际备端为binary 1位</t>
        </is>
      </c>
    </row>
    <row r="1893">
      <c r="B1893" s="0" t="inlineStr">
        <is>
          <t>NULL</t>
        </is>
      </c>
      <c r="C1893" s="0" t="inlineStr">
        <is>
          <t>NULL</t>
        </is>
      </c>
      <c r="D1893" s="0" t="inlineStr">
        <is>
          <t>NULL</t>
        </is>
      </c>
      <c r="E1893" s="0" t="inlineStr">
        <is>
          <t>NULL</t>
        </is>
      </c>
      <c r="F1893" s="0" t="inlineStr">
        <is>
          <t>NULL</t>
        </is>
      </c>
      <c r="G1893" s="0" t="inlineStr">
        <is>
          <t>NULL</t>
        </is>
      </c>
      <c r="H1893" s="0" t="inlineStr">
        <is>
          <t>NULL</t>
        </is>
      </c>
      <c r="I1893" s="0" t="inlineStr">
        <is>
          <t>NULL</t>
        </is>
      </c>
      <c r="J1893" s="0" t="inlineStr">
        <is>
          <t>NULL</t>
        </is>
      </c>
      <c r="K1893" s="0" t="inlineStr">
        <is>
          <t>YES! 	 c_binary_20列源备映射正确，源端为binary 20位	期望更改为binary(n)	实际备端为binary 20位</t>
        </is>
      </c>
    </row>
    <row r="1894">
      <c r="B1894" s="0" t="inlineStr">
        <is>
          <t>NULL</t>
        </is>
      </c>
      <c r="C1894" s="0" t="inlineStr">
        <is>
          <t>NULL</t>
        </is>
      </c>
      <c r="D1894" s="0" t="inlineStr">
        <is>
          <t>NULL</t>
        </is>
      </c>
      <c r="E1894" s="0" t="inlineStr">
        <is>
          <t>NULL</t>
        </is>
      </c>
      <c r="F1894" s="0" t="inlineStr">
        <is>
          <t>NULL</t>
        </is>
      </c>
      <c r="G1894" s="0" t="inlineStr">
        <is>
          <t>NULL</t>
        </is>
      </c>
      <c r="H1894" s="0" t="inlineStr">
        <is>
          <t>NULL</t>
        </is>
      </c>
      <c r="I1894" s="0" t="inlineStr">
        <is>
          <t>NULL</t>
        </is>
      </c>
      <c r="J1894" s="0" t="inlineStr">
        <is>
          <t>NULL</t>
        </is>
      </c>
      <c r="K1894" s="0" t="inlineStr">
        <is>
          <t>YES! 	 c_binary_8000列源备映射正确，源端为binary 8000位	期望更改为binary(n)	实际备端为binary 8000位</t>
        </is>
      </c>
    </row>
    <row r="1895">
      <c r="A1895" s="0" t="inlineStr">
        <is>
          <t>info_date_dml_batch1_pk_irp1</t>
        </is>
      </c>
      <c r="K1895" s="0" t="inlineStr">
        <is>
          <t>[0;34m info_date_dml_batch1_pk_irp1 [0m源备字段数相同，源端字段：2 	备端字段2</t>
        </is>
      </c>
      <c r="W1895" s="0" t="inlineStr">
        <is>
          <t>YES 源备无差异</t>
        </is>
      </c>
      <c r="X1895" s="0">
        <f>A1895</f>
        <v/>
      </c>
    </row>
    <row r="1896">
      <c r="B1896" s="0" t="inlineStr">
        <is>
          <t>YES</t>
        </is>
      </c>
      <c r="C1896" s="0" t="inlineStr">
        <is>
          <t>NULL</t>
        </is>
      </c>
      <c r="D1896" s="0" t="inlineStr">
        <is>
          <t>NULL</t>
        </is>
      </c>
      <c r="E1896" s="0" t="inlineStr">
        <is>
          <t>NULL</t>
        </is>
      </c>
      <c r="F1896" s="0" t="inlineStr">
        <is>
          <t>NULL</t>
        </is>
      </c>
      <c r="G1896" s="0" t="inlineStr">
        <is>
          <t>NULL</t>
        </is>
      </c>
      <c r="H1896" s="0" t="inlineStr">
        <is>
          <t>NULL</t>
        </is>
      </c>
      <c r="I1896" s="0" t="inlineStr">
        <is>
          <t>YES!PK__info_dat__3213E83F1F958682</t>
        </is>
      </c>
      <c r="J1896" s="0" t="inlineStr">
        <is>
          <t>YES! 主键相关索引</t>
        </is>
      </c>
      <c r="K1896" s="0" t="inlineStr">
        <is>
          <t>YES! 	 id列源备映射正确，源端为int None位	期望更改为int	实际备端为int None位</t>
        </is>
      </c>
    </row>
    <row r="1897">
      <c r="B1897" s="0" t="inlineStr">
        <is>
          <t>NULL</t>
        </is>
      </c>
      <c r="C1897" s="0" t="inlineStr">
        <is>
          <t>NULL</t>
        </is>
      </c>
      <c r="D1897" s="0" t="inlineStr">
        <is>
          <t>NULL</t>
        </is>
      </c>
      <c r="E1897" s="0" t="inlineStr">
        <is>
          <t>NULL</t>
        </is>
      </c>
      <c r="F1897" s="0" t="inlineStr">
        <is>
          <t>NULL</t>
        </is>
      </c>
      <c r="G1897" s="0" t="inlineStr">
        <is>
          <t>NULL</t>
        </is>
      </c>
      <c r="H1897" s="0" t="inlineStr">
        <is>
          <t>NULL</t>
        </is>
      </c>
      <c r="I1897" s="0" t="inlineStr">
        <is>
          <t>NULL</t>
        </is>
      </c>
      <c r="J1897" s="0" t="inlineStr">
        <is>
          <t>NULL</t>
        </is>
      </c>
      <c r="K1897" s="0" t="inlineStr">
        <is>
          <t>YES! 	 c_date列源备映射正确，源端为date None位	期望更改为date	实际备端为date None位</t>
        </is>
      </c>
    </row>
    <row r="1898">
      <c r="K1898" s="0" t="inlineStr">
        <is>
          <t>~ 空表</t>
        </is>
      </c>
    </row>
    <row r="1899">
      <c r="A1899" s="0" t="inlineStr">
        <is>
          <t>info_binary_dml_batch2_pk_irp1</t>
        </is>
      </c>
      <c r="K1899" s="0" t="inlineStr">
        <is>
          <t>[0;34m info_binary_dml_batch2_pk_irp1 [0m源备字段数相同，源端字段：4 	备端字段4</t>
        </is>
      </c>
      <c r="W1899" s="0" t="inlineStr">
        <is>
          <t>YES 源备无差异</t>
        </is>
      </c>
      <c r="X1899" s="0">
        <f>A1899</f>
        <v/>
      </c>
    </row>
    <row r="1900">
      <c r="B1900" s="0" t="inlineStr">
        <is>
          <t>YES</t>
        </is>
      </c>
      <c r="C1900" s="0" t="inlineStr">
        <is>
          <t>NULL</t>
        </is>
      </c>
      <c r="D1900" s="0" t="inlineStr">
        <is>
          <t>NULL</t>
        </is>
      </c>
      <c r="E1900" s="0" t="inlineStr">
        <is>
          <t>NULL</t>
        </is>
      </c>
      <c r="F1900" s="0" t="inlineStr">
        <is>
          <t>NULL</t>
        </is>
      </c>
      <c r="G1900" s="0" t="inlineStr">
        <is>
          <t>NULL</t>
        </is>
      </c>
      <c r="H1900" s="0" t="inlineStr">
        <is>
          <t>NULL</t>
        </is>
      </c>
      <c r="I1900" s="0" t="inlineStr">
        <is>
          <t>YES!PK__info_bin__3213E83F840C6C46</t>
        </is>
      </c>
      <c r="J1900" s="0" t="inlineStr">
        <is>
          <t>YES! 主键相关索引</t>
        </is>
      </c>
      <c r="K1900" s="0" t="inlineStr">
        <is>
          <t>YES! 	 id列源备映射正确，源端为int None位	期望更改为int	实际备端为int None位</t>
        </is>
      </c>
    </row>
    <row r="1901">
      <c r="B1901" s="0" t="inlineStr">
        <is>
          <t>NULL</t>
        </is>
      </c>
      <c r="C1901" s="0" t="inlineStr">
        <is>
          <t>NULL</t>
        </is>
      </c>
      <c r="D1901" s="0" t="inlineStr">
        <is>
          <t>NULL</t>
        </is>
      </c>
      <c r="E1901" s="0" t="inlineStr">
        <is>
          <t>NULL</t>
        </is>
      </c>
      <c r="F1901" s="0" t="inlineStr">
        <is>
          <t>NULL</t>
        </is>
      </c>
      <c r="G1901" s="0" t="inlineStr">
        <is>
          <t>NULL</t>
        </is>
      </c>
      <c r="H1901" s="0" t="inlineStr">
        <is>
          <t>NULL</t>
        </is>
      </c>
      <c r="I1901" s="0" t="inlineStr">
        <is>
          <t>NULL</t>
        </is>
      </c>
      <c r="J1901" s="0" t="inlineStr">
        <is>
          <t>NULL</t>
        </is>
      </c>
      <c r="K1901" s="0" t="inlineStr">
        <is>
          <t>YES! 	 c_binary列源备映射正确，源端为binary 1位	期望更改为binary(n)	实际备端为binary 1位</t>
        </is>
      </c>
    </row>
    <row r="1902">
      <c r="B1902" s="0" t="inlineStr">
        <is>
          <t>NULL</t>
        </is>
      </c>
      <c r="C1902" s="0" t="inlineStr">
        <is>
          <t>NULL</t>
        </is>
      </c>
      <c r="D1902" s="0" t="inlineStr">
        <is>
          <t>NULL</t>
        </is>
      </c>
      <c r="E1902" s="0" t="inlineStr">
        <is>
          <t>NULL</t>
        </is>
      </c>
      <c r="F1902" s="0" t="inlineStr">
        <is>
          <t>NULL</t>
        </is>
      </c>
      <c r="G1902" s="0" t="inlineStr">
        <is>
          <t>NULL</t>
        </is>
      </c>
      <c r="H1902" s="0" t="inlineStr">
        <is>
          <t>NULL</t>
        </is>
      </c>
      <c r="I1902" s="0" t="inlineStr">
        <is>
          <t>NULL</t>
        </is>
      </c>
      <c r="J1902" s="0" t="inlineStr">
        <is>
          <t>NULL</t>
        </is>
      </c>
      <c r="K1902" s="0" t="inlineStr">
        <is>
          <t>YES! 	 c_binary_20列源备映射正确，源端为binary 20位	期望更改为binary(n)	实际备端为binary 20位</t>
        </is>
      </c>
    </row>
    <row r="1903">
      <c r="B1903" s="0" t="inlineStr">
        <is>
          <t>NULL</t>
        </is>
      </c>
      <c r="C1903" s="0" t="inlineStr">
        <is>
          <t>NULL</t>
        </is>
      </c>
      <c r="D1903" s="0" t="inlineStr">
        <is>
          <t>NULL</t>
        </is>
      </c>
      <c r="E1903" s="0" t="inlineStr">
        <is>
          <t>NULL</t>
        </is>
      </c>
      <c r="F1903" s="0" t="inlineStr">
        <is>
          <t>NULL</t>
        </is>
      </c>
      <c r="G1903" s="0" t="inlineStr">
        <is>
          <t>NULL</t>
        </is>
      </c>
      <c r="H1903" s="0" t="inlineStr">
        <is>
          <t>NULL</t>
        </is>
      </c>
      <c r="I1903" s="0" t="inlineStr">
        <is>
          <t>NULL</t>
        </is>
      </c>
      <c r="J1903" s="0" t="inlineStr">
        <is>
          <t>NULL</t>
        </is>
      </c>
      <c r="K1903" s="0" t="inlineStr">
        <is>
          <t>YES! 	 c_binary_8000列源备映射正确，源端为binary 8000位	期望更改为binary(n)	实际备端为binary 8000位</t>
        </is>
      </c>
    </row>
    <row r="1904">
      <c r="A1904" s="0" t="inlineStr">
        <is>
          <t>info_date_dml_batch1_pk_irp2</t>
        </is>
      </c>
      <c r="K1904" s="0" t="inlineStr">
        <is>
          <t>[0;34m info_date_dml_batch1_pk_irp2 [0m源备字段数相同，源端字段：2 	备端字段2</t>
        </is>
      </c>
      <c r="W1904" s="0" t="inlineStr">
        <is>
          <t>YES 源备无差异</t>
        </is>
      </c>
      <c r="X1904" s="0">
        <f>A1904</f>
        <v/>
      </c>
    </row>
    <row r="1905">
      <c r="B1905" s="0" t="inlineStr">
        <is>
          <t>YES</t>
        </is>
      </c>
      <c r="C1905" s="0" t="inlineStr">
        <is>
          <t>NULL</t>
        </is>
      </c>
      <c r="D1905" s="0" t="inlineStr">
        <is>
          <t>NULL</t>
        </is>
      </c>
      <c r="E1905" s="0" t="inlineStr">
        <is>
          <t>NULL</t>
        </is>
      </c>
      <c r="F1905" s="0" t="inlineStr">
        <is>
          <t>NULL</t>
        </is>
      </c>
      <c r="G1905" s="0" t="inlineStr">
        <is>
          <t>NULL</t>
        </is>
      </c>
      <c r="H1905" s="0" t="inlineStr">
        <is>
          <t>NULL</t>
        </is>
      </c>
      <c r="I1905" s="0" t="inlineStr">
        <is>
          <t>YES!PK__info_dat__3213E83FFDE92A62</t>
        </is>
      </c>
      <c r="J1905" s="0" t="inlineStr">
        <is>
          <t>YES! 主键相关索引</t>
        </is>
      </c>
      <c r="K1905" s="0" t="inlineStr">
        <is>
          <t>YES! 	 id列源备映射正确，源端为int None位	期望更改为int	实际备端为int None位</t>
        </is>
      </c>
    </row>
    <row r="1906">
      <c r="B1906" s="0" t="inlineStr">
        <is>
          <t>NULL</t>
        </is>
      </c>
      <c r="C1906" s="0" t="inlineStr">
        <is>
          <t>NULL</t>
        </is>
      </c>
      <c r="D1906" s="0" t="inlineStr">
        <is>
          <t>NULL</t>
        </is>
      </c>
      <c r="E1906" s="0" t="inlineStr">
        <is>
          <t>NULL</t>
        </is>
      </c>
      <c r="F1906" s="0" t="inlineStr">
        <is>
          <t>NULL</t>
        </is>
      </c>
      <c r="G1906" s="0" t="inlineStr">
        <is>
          <t>NULL</t>
        </is>
      </c>
      <c r="H1906" s="0" t="inlineStr">
        <is>
          <t>NULL</t>
        </is>
      </c>
      <c r="I1906" s="0" t="inlineStr">
        <is>
          <t>NULL</t>
        </is>
      </c>
      <c r="J1906" s="0" t="inlineStr">
        <is>
          <t>NULL</t>
        </is>
      </c>
      <c r="K1906" s="0" t="inlineStr">
        <is>
          <t>YES! 	 c_date列源备映射正确，源端为date None位	期望更改为date	实际备端为date None位</t>
        </is>
      </c>
    </row>
    <row r="1907">
      <c r="A1907" s="0" t="inlineStr">
        <is>
          <t>info_date_dml_batch2_pk_irp1</t>
        </is>
      </c>
      <c r="K1907" s="0" t="inlineStr">
        <is>
          <t>[0;34m info_date_dml_batch2_pk_irp1 [0m源备字段数相同，源端字段：2 	备端字段2</t>
        </is>
      </c>
      <c r="W1907" s="0" t="inlineStr">
        <is>
          <t>YES 源备无差异</t>
        </is>
      </c>
      <c r="X1907" s="0">
        <f>A1907</f>
        <v/>
      </c>
    </row>
    <row r="1908">
      <c r="B1908" s="0" t="inlineStr">
        <is>
          <t>YES</t>
        </is>
      </c>
      <c r="C1908" s="0" t="inlineStr">
        <is>
          <t>NULL</t>
        </is>
      </c>
      <c r="D1908" s="0" t="inlineStr">
        <is>
          <t>NULL</t>
        </is>
      </c>
      <c r="E1908" s="0" t="inlineStr">
        <is>
          <t>NULL</t>
        </is>
      </c>
      <c r="F1908" s="0" t="inlineStr">
        <is>
          <t>NULL</t>
        </is>
      </c>
      <c r="G1908" s="0" t="inlineStr">
        <is>
          <t>NULL</t>
        </is>
      </c>
      <c r="H1908" s="0" t="inlineStr">
        <is>
          <t>NULL</t>
        </is>
      </c>
      <c r="I1908" s="0" t="inlineStr">
        <is>
          <t>YES!PK__info_dat__3213E83F33B1CB1D</t>
        </is>
      </c>
      <c r="J1908" s="0" t="inlineStr">
        <is>
          <t>YES! 主键相关索引</t>
        </is>
      </c>
      <c r="K1908" s="0" t="inlineStr">
        <is>
          <t>YES! 	 id列源备映射正确，源端为int None位	期望更改为int	实际备端为int None位</t>
        </is>
      </c>
    </row>
    <row r="1909">
      <c r="B1909" s="0" t="inlineStr">
        <is>
          <t>NULL</t>
        </is>
      </c>
      <c r="C1909" s="0" t="inlineStr">
        <is>
          <t>NULL</t>
        </is>
      </c>
      <c r="D1909" s="0" t="inlineStr">
        <is>
          <t>NULL</t>
        </is>
      </c>
      <c r="E1909" s="0" t="inlineStr">
        <is>
          <t>NULL</t>
        </is>
      </c>
      <c r="F1909" s="0" t="inlineStr">
        <is>
          <t>NULL</t>
        </is>
      </c>
      <c r="G1909" s="0" t="inlineStr">
        <is>
          <t>NULL</t>
        </is>
      </c>
      <c r="H1909" s="0" t="inlineStr">
        <is>
          <t>NULL</t>
        </is>
      </c>
      <c r="I1909" s="0" t="inlineStr">
        <is>
          <t>NULL</t>
        </is>
      </c>
      <c r="J1909" s="0" t="inlineStr">
        <is>
          <t>NULL</t>
        </is>
      </c>
      <c r="K1909" s="0" t="inlineStr">
        <is>
          <t>YES! 	 c_date列源备映射正确，源端为date None位	期望更改为date	实际备端为date None位</t>
        </is>
      </c>
    </row>
    <row r="1910">
      <c r="A1910" s="0" t="inlineStr">
        <is>
          <t>info_binary_dml_batch1_pk_urp1</t>
        </is>
      </c>
      <c r="K1910" s="0" t="inlineStr">
        <is>
          <t>[0;34m info_binary_dml_batch1_pk_urp1 [0m源备字段数相同，源端字段：4 	备端字段4</t>
        </is>
      </c>
      <c r="W1910" s="0" t="inlineStr">
        <is>
          <t>YES 源备无差异</t>
        </is>
      </c>
      <c r="X1910" s="0">
        <f>A1910</f>
        <v/>
      </c>
    </row>
    <row r="1911">
      <c r="B1911" s="0" t="inlineStr">
        <is>
          <t>YES</t>
        </is>
      </c>
      <c r="C1911" s="0" t="inlineStr">
        <is>
          <t>NULL</t>
        </is>
      </c>
      <c r="D1911" s="0" t="inlineStr">
        <is>
          <t>NULL</t>
        </is>
      </c>
      <c r="E1911" s="0" t="inlineStr">
        <is>
          <t>NULL</t>
        </is>
      </c>
      <c r="F1911" s="0" t="inlineStr">
        <is>
          <t>NULL</t>
        </is>
      </c>
      <c r="G1911" s="0" t="inlineStr">
        <is>
          <t>NULL</t>
        </is>
      </c>
      <c r="H1911" s="0" t="inlineStr">
        <is>
          <t>NULL</t>
        </is>
      </c>
      <c r="I1911" s="0" t="inlineStr">
        <is>
          <t>YES!PK__info_bin__3213E83FC8D78F05</t>
        </is>
      </c>
      <c r="J1911" s="0" t="inlineStr">
        <is>
          <t>YES! 主键相关索引</t>
        </is>
      </c>
      <c r="K1911" s="0" t="inlineStr">
        <is>
          <t>YES! 	 id列源备映射正确，源端为int None位	期望更改为int	实际备端为int None位</t>
        </is>
      </c>
    </row>
    <row r="1912">
      <c r="B1912" s="0" t="inlineStr">
        <is>
          <t>NULL</t>
        </is>
      </c>
      <c r="C1912" s="0" t="inlineStr">
        <is>
          <t>NULL</t>
        </is>
      </c>
      <c r="D1912" s="0" t="inlineStr">
        <is>
          <t>NULL</t>
        </is>
      </c>
      <c r="E1912" s="0" t="inlineStr">
        <is>
          <t>NULL</t>
        </is>
      </c>
      <c r="F1912" s="0" t="inlineStr">
        <is>
          <t>NULL</t>
        </is>
      </c>
      <c r="G1912" s="0" t="inlineStr">
        <is>
          <t>NULL</t>
        </is>
      </c>
      <c r="H1912" s="0" t="inlineStr">
        <is>
          <t>NULL</t>
        </is>
      </c>
      <c r="I1912" s="0" t="inlineStr">
        <is>
          <t>NULL</t>
        </is>
      </c>
      <c r="J1912" s="0" t="inlineStr">
        <is>
          <t>NULL</t>
        </is>
      </c>
      <c r="K1912" s="0" t="inlineStr">
        <is>
          <t>YES! 	 c_binary列源备映射正确，源端为binary 1位	期望更改为binary(n)	实际备端为binary 1位</t>
        </is>
      </c>
    </row>
    <row r="1913">
      <c r="B1913" s="0" t="inlineStr">
        <is>
          <t>NULL</t>
        </is>
      </c>
      <c r="C1913" s="0" t="inlineStr">
        <is>
          <t>NULL</t>
        </is>
      </c>
      <c r="D1913" s="0" t="inlineStr">
        <is>
          <t>NULL</t>
        </is>
      </c>
      <c r="E1913" s="0" t="inlineStr">
        <is>
          <t>NULL</t>
        </is>
      </c>
      <c r="F1913" s="0" t="inlineStr">
        <is>
          <t>NULL</t>
        </is>
      </c>
      <c r="G1913" s="0" t="inlineStr">
        <is>
          <t>NULL</t>
        </is>
      </c>
      <c r="H1913" s="0" t="inlineStr">
        <is>
          <t>NULL</t>
        </is>
      </c>
      <c r="I1913" s="0" t="inlineStr">
        <is>
          <t>NULL</t>
        </is>
      </c>
      <c r="J1913" s="0" t="inlineStr">
        <is>
          <t>NULL</t>
        </is>
      </c>
      <c r="K1913" s="0" t="inlineStr">
        <is>
          <t>YES! 	 c_binary_20列源备映射正确，源端为binary 20位	期望更改为binary(n)	实际备端为binary 20位</t>
        </is>
      </c>
    </row>
    <row r="1914">
      <c r="B1914" s="0" t="inlineStr">
        <is>
          <t>NULL</t>
        </is>
      </c>
      <c r="C1914" s="0" t="inlineStr">
        <is>
          <t>NULL</t>
        </is>
      </c>
      <c r="D1914" s="0" t="inlineStr">
        <is>
          <t>NULL</t>
        </is>
      </c>
      <c r="E1914" s="0" t="inlineStr">
        <is>
          <t>NULL</t>
        </is>
      </c>
      <c r="F1914" s="0" t="inlineStr">
        <is>
          <t>NULL</t>
        </is>
      </c>
      <c r="G1914" s="0" t="inlineStr">
        <is>
          <t>NULL</t>
        </is>
      </c>
      <c r="H1914" s="0" t="inlineStr">
        <is>
          <t>NULL</t>
        </is>
      </c>
      <c r="I1914" s="0" t="inlineStr">
        <is>
          <t>NULL</t>
        </is>
      </c>
      <c r="J1914" s="0" t="inlineStr">
        <is>
          <t>NULL</t>
        </is>
      </c>
      <c r="K1914" s="0" t="inlineStr">
        <is>
          <t>YES! 	 c_binary_8000列源备映射正确，源端为binary 8000位	期望更改为binary(n)	实际备端为binary 8000位</t>
        </is>
      </c>
    </row>
    <row r="1915">
      <c r="A1915" s="0" t="inlineStr">
        <is>
          <t>info_binary_dml_batch2_pk_irp2</t>
        </is>
      </c>
      <c r="K1915" s="0" t="inlineStr">
        <is>
          <t>[0;34m info_binary_dml_batch2_pk_irp2 [0m源备字段数相同，源端字段：4 	备端字段4</t>
        </is>
      </c>
      <c r="W1915" s="0" t="inlineStr">
        <is>
          <t>YES 源备无差异</t>
        </is>
      </c>
      <c r="X1915" s="0">
        <f>A1915</f>
        <v/>
      </c>
    </row>
    <row r="1916">
      <c r="B1916" s="0" t="inlineStr">
        <is>
          <t>YES</t>
        </is>
      </c>
      <c r="C1916" s="0" t="inlineStr">
        <is>
          <t>NULL</t>
        </is>
      </c>
      <c r="D1916" s="0" t="inlineStr">
        <is>
          <t>NULL</t>
        </is>
      </c>
      <c r="E1916" s="0" t="inlineStr">
        <is>
          <t>NULL</t>
        </is>
      </c>
      <c r="F1916" s="0" t="inlineStr">
        <is>
          <t>NULL</t>
        </is>
      </c>
      <c r="G1916" s="0" t="inlineStr">
        <is>
          <t>NULL</t>
        </is>
      </c>
      <c r="H1916" s="0" t="inlineStr">
        <is>
          <t>NULL</t>
        </is>
      </c>
      <c r="I1916" s="0" t="inlineStr">
        <is>
          <t>YES!PK__info_bin__3213E83F8A446D33</t>
        </is>
      </c>
      <c r="J1916" s="0" t="inlineStr">
        <is>
          <t>YES! 主键相关索引</t>
        </is>
      </c>
      <c r="K1916" s="0" t="inlineStr">
        <is>
          <t>YES! 	 id列源备映射正确，源端为int None位	期望更改为int	实际备端为int None位</t>
        </is>
      </c>
    </row>
    <row r="1917">
      <c r="B1917" s="0" t="inlineStr">
        <is>
          <t>NULL</t>
        </is>
      </c>
      <c r="C1917" s="0" t="inlineStr">
        <is>
          <t>NULL</t>
        </is>
      </c>
      <c r="D1917" s="0" t="inlineStr">
        <is>
          <t>NULL</t>
        </is>
      </c>
      <c r="E1917" s="0" t="inlineStr">
        <is>
          <t>NULL</t>
        </is>
      </c>
      <c r="F1917" s="0" t="inlineStr">
        <is>
          <t>NULL</t>
        </is>
      </c>
      <c r="G1917" s="0" t="inlineStr">
        <is>
          <t>NULL</t>
        </is>
      </c>
      <c r="H1917" s="0" t="inlineStr">
        <is>
          <t>NULL</t>
        </is>
      </c>
      <c r="I1917" s="0" t="inlineStr">
        <is>
          <t>NULL</t>
        </is>
      </c>
      <c r="J1917" s="0" t="inlineStr">
        <is>
          <t>NULL</t>
        </is>
      </c>
      <c r="K1917" s="0" t="inlineStr">
        <is>
          <t>YES! 	 c_binary列源备映射正确，源端为binary 1位	期望更改为binary(n)	实际备端为binary 1位</t>
        </is>
      </c>
    </row>
    <row r="1918">
      <c r="B1918" s="0" t="inlineStr">
        <is>
          <t>NULL</t>
        </is>
      </c>
      <c r="C1918" s="0" t="inlineStr">
        <is>
          <t>NULL</t>
        </is>
      </c>
      <c r="D1918" s="0" t="inlineStr">
        <is>
          <t>NULL</t>
        </is>
      </c>
      <c r="E1918" s="0" t="inlineStr">
        <is>
          <t>NULL</t>
        </is>
      </c>
      <c r="F1918" s="0" t="inlineStr">
        <is>
          <t>NULL</t>
        </is>
      </c>
      <c r="G1918" s="0" t="inlineStr">
        <is>
          <t>NULL</t>
        </is>
      </c>
      <c r="H1918" s="0" t="inlineStr">
        <is>
          <t>NULL</t>
        </is>
      </c>
      <c r="I1918" s="0" t="inlineStr">
        <is>
          <t>NULL</t>
        </is>
      </c>
      <c r="J1918" s="0" t="inlineStr">
        <is>
          <t>NULL</t>
        </is>
      </c>
      <c r="K1918" s="0" t="inlineStr">
        <is>
          <t>YES! 	 c_binary_20列源备映射正确，源端为binary 20位	期望更改为binary(n)	实际备端为binary 20位</t>
        </is>
      </c>
    </row>
    <row r="1919">
      <c r="B1919" s="0" t="inlineStr">
        <is>
          <t>NULL</t>
        </is>
      </c>
      <c r="C1919" s="0" t="inlineStr">
        <is>
          <t>NULL</t>
        </is>
      </c>
      <c r="D1919" s="0" t="inlineStr">
        <is>
          <t>NULL</t>
        </is>
      </c>
      <c r="E1919" s="0" t="inlineStr">
        <is>
          <t>NULL</t>
        </is>
      </c>
      <c r="F1919" s="0" t="inlineStr">
        <is>
          <t>NULL</t>
        </is>
      </c>
      <c r="G1919" s="0" t="inlineStr">
        <is>
          <t>NULL</t>
        </is>
      </c>
      <c r="H1919" s="0" t="inlineStr">
        <is>
          <t>NULL</t>
        </is>
      </c>
      <c r="I1919" s="0" t="inlineStr">
        <is>
          <t>NULL</t>
        </is>
      </c>
      <c r="J1919" s="0" t="inlineStr">
        <is>
          <t>NULL</t>
        </is>
      </c>
      <c r="K1919" s="0" t="inlineStr">
        <is>
          <t>YES! 	 c_binary_8000列源备映射正确，源端为binary 8000位	期望更改为binary(n)	实际备端为binary 8000位</t>
        </is>
      </c>
    </row>
    <row r="1920">
      <c r="A1920" s="0" t="inlineStr">
        <is>
          <t>info_geography_dml_single_nopk_irp</t>
        </is>
      </c>
      <c r="K1920" s="0" t="inlineStr">
        <is>
          <t>[0;34m info_geography_dml_single_nopk_irp [0m源备字段数相同，源端字段：2 	备端字段2</t>
        </is>
      </c>
      <c r="W1920" s="0" t="inlineStr">
        <is>
          <t>YES 源备无差异</t>
        </is>
      </c>
      <c r="X1920" s="0">
        <f>A1920</f>
        <v/>
      </c>
    </row>
    <row r="1921">
      <c r="B1921" s="0" t="inlineStr">
        <is>
          <t>NULL</t>
        </is>
      </c>
      <c r="C1921" s="0" t="inlineStr">
        <is>
          <t>NULL</t>
        </is>
      </c>
      <c r="D1921" s="0" t="inlineStr">
        <is>
          <t>NULL</t>
        </is>
      </c>
      <c r="E1921" s="0" t="inlineStr">
        <is>
          <t>NULL</t>
        </is>
      </c>
      <c r="F1921" s="0" t="inlineStr">
        <is>
          <t>NULL</t>
        </is>
      </c>
      <c r="G1921" s="0" t="inlineStr">
        <is>
          <t>NULL</t>
        </is>
      </c>
      <c r="H1921" s="0" t="inlineStr">
        <is>
          <t>NULL</t>
        </is>
      </c>
      <c r="I1921" s="0" t="inlineStr">
        <is>
          <t>NULL</t>
        </is>
      </c>
      <c r="J1921" s="0" t="inlineStr">
        <is>
          <t>NULL</t>
        </is>
      </c>
      <c r="K1921" s="0" t="inlineStr">
        <is>
          <t>YES! 	 id列源备映射正确，源端为int None位	期望更改为int	实际备端为int None位</t>
        </is>
      </c>
    </row>
    <row r="1922">
      <c r="B1922" s="0" t="inlineStr">
        <is>
          <t>NULL</t>
        </is>
      </c>
      <c r="C1922" s="0" t="inlineStr">
        <is>
          <t>NULL</t>
        </is>
      </c>
      <c r="D1922" s="0" t="inlineStr">
        <is>
          <t>NULL</t>
        </is>
      </c>
      <c r="E1922" s="0" t="inlineStr">
        <is>
          <t>NULL</t>
        </is>
      </c>
      <c r="F1922" s="0" t="inlineStr">
        <is>
          <t>NULL</t>
        </is>
      </c>
      <c r="G1922" s="0" t="inlineStr">
        <is>
          <t>NULL</t>
        </is>
      </c>
      <c r="H1922" s="0" t="inlineStr">
        <is>
          <t>NULL</t>
        </is>
      </c>
      <c r="I1922" s="0" t="inlineStr">
        <is>
          <t>NULL</t>
        </is>
      </c>
      <c r="J1922" s="0" t="inlineStr">
        <is>
          <t>NULL</t>
        </is>
      </c>
      <c r="K1922" s="0" t="inlineStr">
        <is>
          <t>YES! 	 c_geography列源备映射正确，源端为geography -1位	期望更改为geography	实际备端为geography -1位</t>
        </is>
      </c>
    </row>
    <row r="1923">
      <c r="A1923" s="0" t="inlineStr">
        <is>
          <t>info_geography_dml_single_nopk_urp</t>
        </is>
      </c>
      <c r="K1923" s="0" t="inlineStr">
        <is>
          <t>[0;34m info_geography_dml_single_nopk_urp [0m源备字段数相同，源端字段：2 	备端字段2</t>
        </is>
      </c>
      <c r="W1923" s="0" t="inlineStr">
        <is>
          <t>YES 源备无差异</t>
        </is>
      </c>
      <c r="X1923" s="0">
        <f>A1923</f>
        <v/>
      </c>
    </row>
    <row r="1924">
      <c r="B1924" s="0" t="inlineStr">
        <is>
          <t>NULL</t>
        </is>
      </c>
      <c r="C1924" s="0" t="inlineStr">
        <is>
          <t>NULL</t>
        </is>
      </c>
      <c r="D1924" s="0" t="inlineStr">
        <is>
          <t>NULL</t>
        </is>
      </c>
      <c r="E1924" s="0" t="inlineStr">
        <is>
          <t>NULL</t>
        </is>
      </c>
      <c r="F1924" s="0" t="inlineStr">
        <is>
          <t>NULL</t>
        </is>
      </c>
      <c r="G1924" s="0" t="inlineStr">
        <is>
          <t>NULL</t>
        </is>
      </c>
      <c r="H1924" s="0" t="inlineStr">
        <is>
          <t>NULL</t>
        </is>
      </c>
      <c r="I1924" s="0" t="inlineStr">
        <is>
          <t>NULL</t>
        </is>
      </c>
      <c r="J1924" s="0" t="inlineStr">
        <is>
          <t>NULL</t>
        </is>
      </c>
      <c r="K1924" s="0" t="inlineStr">
        <is>
          <t>YES! 	 id列源备映射正确，源端为int None位	期望更改为int	实际备端为int None位</t>
        </is>
      </c>
    </row>
    <row r="1925">
      <c r="B1925" s="0" t="inlineStr">
        <is>
          <t>NULL</t>
        </is>
      </c>
      <c r="C1925" s="0" t="inlineStr">
        <is>
          <t>NULL</t>
        </is>
      </c>
      <c r="D1925" s="0" t="inlineStr">
        <is>
          <t>NULL</t>
        </is>
      </c>
      <c r="E1925" s="0" t="inlineStr">
        <is>
          <t>NULL</t>
        </is>
      </c>
      <c r="F1925" s="0" t="inlineStr">
        <is>
          <t>NULL</t>
        </is>
      </c>
      <c r="G1925" s="0" t="inlineStr">
        <is>
          <t>NULL</t>
        </is>
      </c>
      <c r="H1925" s="0" t="inlineStr">
        <is>
          <t>NULL</t>
        </is>
      </c>
      <c r="I1925" s="0" t="inlineStr">
        <is>
          <t>NULL</t>
        </is>
      </c>
      <c r="J1925" s="0" t="inlineStr">
        <is>
          <t>NULL</t>
        </is>
      </c>
      <c r="K1925" s="0" t="inlineStr">
        <is>
          <t>YES! 	 c_geography列源备映射正确，源端为geography -1位	期望更改为geography	实际备端为geography -1位</t>
        </is>
      </c>
    </row>
    <row r="1926">
      <c r="A1926" s="0" t="inlineStr">
        <is>
          <t>info_date_dml_batch2_pk_irp2</t>
        </is>
      </c>
      <c r="K1926" s="0" t="inlineStr">
        <is>
          <t>[0;34m info_date_dml_batch2_pk_irp2 [0m源备字段数相同，源端字段：2 	备端字段2</t>
        </is>
      </c>
      <c r="W1926" s="0" t="inlineStr">
        <is>
          <t>YES 源备无差异</t>
        </is>
      </c>
      <c r="X1926" s="0">
        <f>A1926</f>
        <v/>
      </c>
    </row>
    <row r="1927">
      <c r="B1927" s="0" t="inlineStr">
        <is>
          <t>YES</t>
        </is>
      </c>
      <c r="C1927" s="0" t="inlineStr">
        <is>
          <t>NULL</t>
        </is>
      </c>
      <c r="D1927" s="0" t="inlineStr">
        <is>
          <t>NULL</t>
        </is>
      </c>
      <c r="E1927" s="0" t="inlineStr">
        <is>
          <t>NULL</t>
        </is>
      </c>
      <c r="F1927" s="0" t="inlineStr">
        <is>
          <t>NULL</t>
        </is>
      </c>
      <c r="G1927" s="0" t="inlineStr">
        <is>
          <t>NULL</t>
        </is>
      </c>
      <c r="H1927" s="0" t="inlineStr">
        <is>
          <t>NULL</t>
        </is>
      </c>
      <c r="I1927" s="0" t="inlineStr">
        <is>
          <t>YES!PK__info_dat__3213E83F431A717B</t>
        </is>
      </c>
      <c r="J1927" s="0" t="inlineStr">
        <is>
          <t>YES! 主键相关索引</t>
        </is>
      </c>
      <c r="K1927" s="0" t="inlineStr">
        <is>
          <t>YES! 	 id列源备映射正确，源端为int None位	期望更改为int	实际备端为int None位</t>
        </is>
      </c>
    </row>
    <row r="1928">
      <c r="B1928" s="0" t="inlineStr">
        <is>
          <t>NULL</t>
        </is>
      </c>
      <c r="C1928" s="0" t="inlineStr">
        <is>
          <t>NULL</t>
        </is>
      </c>
      <c r="D1928" s="0" t="inlineStr">
        <is>
          <t>NULL</t>
        </is>
      </c>
      <c r="E1928" s="0" t="inlineStr">
        <is>
          <t>NULL</t>
        </is>
      </c>
      <c r="F1928" s="0" t="inlineStr">
        <is>
          <t>NULL</t>
        </is>
      </c>
      <c r="G1928" s="0" t="inlineStr">
        <is>
          <t>NULL</t>
        </is>
      </c>
      <c r="H1928" s="0" t="inlineStr">
        <is>
          <t>NULL</t>
        </is>
      </c>
      <c r="I1928" s="0" t="inlineStr">
        <is>
          <t>NULL</t>
        </is>
      </c>
      <c r="J1928" s="0" t="inlineStr">
        <is>
          <t>NULL</t>
        </is>
      </c>
      <c r="K1928" s="0" t="inlineStr">
        <is>
          <t>YES! 	 c_date列源备映射正确，源端为date None位	期望更改为date	实际备端为date None位</t>
        </is>
      </c>
    </row>
    <row r="1929">
      <c r="A1929" s="0" t="inlineStr">
        <is>
          <t>info_binary_dml_batch1_pk_urp2</t>
        </is>
      </c>
      <c r="K1929" s="0" t="inlineStr">
        <is>
          <t>[0;34m info_binary_dml_batch1_pk_urp2 [0m源备字段数相同，源端字段：4 	备端字段4</t>
        </is>
      </c>
      <c r="W1929" s="0" t="inlineStr">
        <is>
          <t>YES 源备无差异</t>
        </is>
      </c>
      <c r="X1929" s="0">
        <f>A1929</f>
        <v/>
      </c>
    </row>
    <row r="1930">
      <c r="B1930" s="0" t="inlineStr">
        <is>
          <t>YES</t>
        </is>
      </c>
      <c r="C1930" s="0" t="inlineStr">
        <is>
          <t>NULL</t>
        </is>
      </c>
      <c r="D1930" s="0" t="inlineStr">
        <is>
          <t>NULL</t>
        </is>
      </c>
      <c r="E1930" s="0" t="inlineStr">
        <is>
          <t>NULL</t>
        </is>
      </c>
      <c r="F1930" s="0" t="inlineStr">
        <is>
          <t>NULL</t>
        </is>
      </c>
      <c r="G1930" s="0" t="inlineStr">
        <is>
          <t>NULL</t>
        </is>
      </c>
      <c r="H1930" s="0" t="inlineStr">
        <is>
          <t>NULL</t>
        </is>
      </c>
      <c r="I1930" s="0" t="inlineStr">
        <is>
          <t>YES!PK__info_bin__3213E83F2CFFDD81</t>
        </is>
      </c>
      <c r="J1930" s="0" t="inlineStr">
        <is>
          <t>YES! 主键相关索引</t>
        </is>
      </c>
      <c r="K1930" s="0" t="inlineStr">
        <is>
          <t>YES! 	 id列源备映射正确，源端为int None位	期望更改为int	实际备端为int None位</t>
        </is>
      </c>
    </row>
    <row r="1931">
      <c r="B1931" s="0" t="inlineStr">
        <is>
          <t>NULL</t>
        </is>
      </c>
      <c r="C1931" s="0" t="inlineStr">
        <is>
          <t>NULL</t>
        </is>
      </c>
      <c r="D1931" s="0" t="inlineStr">
        <is>
          <t>NULL</t>
        </is>
      </c>
      <c r="E1931" s="0" t="inlineStr">
        <is>
          <t>NULL</t>
        </is>
      </c>
      <c r="F1931" s="0" t="inlineStr">
        <is>
          <t>NULL</t>
        </is>
      </c>
      <c r="G1931" s="0" t="inlineStr">
        <is>
          <t>NULL</t>
        </is>
      </c>
      <c r="H1931" s="0" t="inlineStr">
        <is>
          <t>NULL</t>
        </is>
      </c>
      <c r="I1931" s="0" t="inlineStr">
        <is>
          <t>NULL</t>
        </is>
      </c>
      <c r="J1931" s="0" t="inlineStr">
        <is>
          <t>NULL</t>
        </is>
      </c>
      <c r="K1931" s="0" t="inlineStr">
        <is>
          <t>YES! 	 c_binary列源备映射正确，源端为binary 1位	期望更改为binary(n)	实际备端为binary 1位</t>
        </is>
      </c>
    </row>
    <row r="1932">
      <c r="B1932" s="0" t="inlineStr">
        <is>
          <t>NULL</t>
        </is>
      </c>
      <c r="C1932" s="0" t="inlineStr">
        <is>
          <t>NULL</t>
        </is>
      </c>
      <c r="D1932" s="0" t="inlineStr">
        <is>
          <t>NULL</t>
        </is>
      </c>
      <c r="E1932" s="0" t="inlineStr">
        <is>
          <t>NULL</t>
        </is>
      </c>
      <c r="F1932" s="0" t="inlineStr">
        <is>
          <t>NULL</t>
        </is>
      </c>
      <c r="G1932" s="0" t="inlineStr">
        <is>
          <t>NULL</t>
        </is>
      </c>
      <c r="H1932" s="0" t="inlineStr">
        <is>
          <t>NULL</t>
        </is>
      </c>
      <c r="I1932" s="0" t="inlineStr">
        <is>
          <t>NULL</t>
        </is>
      </c>
      <c r="J1932" s="0" t="inlineStr">
        <is>
          <t>NULL</t>
        </is>
      </c>
      <c r="K1932" s="0" t="inlineStr">
        <is>
          <t>YES! 	 c_binary_20列源备映射正确，源端为binary 20位	期望更改为binary(n)	实际备端为binary 20位</t>
        </is>
      </c>
    </row>
    <row r="1933">
      <c r="B1933" s="0" t="inlineStr">
        <is>
          <t>NULL</t>
        </is>
      </c>
      <c r="C1933" s="0" t="inlineStr">
        <is>
          <t>NULL</t>
        </is>
      </c>
      <c r="D1933" s="0" t="inlineStr">
        <is>
          <t>NULL</t>
        </is>
      </c>
      <c r="E1933" s="0" t="inlineStr">
        <is>
          <t>NULL</t>
        </is>
      </c>
      <c r="F1933" s="0" t="inlineStr">
        <is>
          <t>NULL</t>
        </is>
      </c>
      <c r="G1933" s="0" t="inlineStr">
        <is>
          <t>NULL</t>
        </is>
      </c>
      <c r="H1933" s="0" t="inlineStr">
        <is>
          <t>NULL</t>
        </is>
      </c>
      <c r="I1933" s="0" t="inlineStr">
        <is>
          <t>NULL</t>
        </is>
      </c>
      <c r="J1933" s="0" t="inlineStr">
        <is>
          <t>NULL</t>
        </is>
      </c>
      <c r="K1933" s="0" t="inlineStr">
        <is>
          <t>YES! 	 c_binary_8000列源备映射正确，源端为binary 8000位	期望更改为binary(n)	实际备端为binary 8000位</t>
        </is>
      </c>
    </row>
    <row r="1934">
      <c r="A1934" s="0" t="inlineStr">
        <is>
          <t>info_geography_dml_single_nopk_drp</t>
        </is>
      </c>
      <c r="K1934" s="0" t="inlineStr">
        <is>
          <t>[0;34m info_geography_dml_single_nopk_drp [0m源备字段数相同，源端字段：2 	备端字段2</t>
        </is>
      </c>
      <c r="W1934" s="0" t="inlineStr">
        <is>
          <t>YES 源备无差异</t>
        </is>
      </c>
      <c r="X1934" s="0">
        <f>A1934</f>
        <v/>
      </c>
    </row>
    <row r="1935">
      <c r="B1935" s="0" t="inlineStr">
        <is>
          <t>NULL</t>
        </is>
      </c>
      <c r="C1935" s="0" t="inlineStr">
        <is>
          <t>NULL</t>
        </is>
      </c>
      <c r="D1935" s="0" t="inlineStr">
        <is>
          <t>NULL</t>
        </is>
      </c>
      <c r="E1935" s="0" t="inlineStr">
        <is>
          <t>NULL</t>
        </is>
      </c>
      <c r="F1935" s="0" t="inlineStr">
        <is>
          <t>NULL</t>
        </is>
      </c>
      <c r="G1935" s="0" t="inlineStr">
        <is>
          <t>NULL</t>
        </is>
      </c>
      <c r="H1935" s="0" t="inlineStr">
        <is>
          <t>NULL</t>
        </is>
      </c>
      <c r="I1935" s="0" t="inlineStr">
        <is>
          <t>NULL</t>
        </is>
      </c>
      <c r="J1935" s="0" t="inlineStr">
        <is>
          <t>NULL</t>
        </is>
      </c>
      <c r="K1935" s="0" t="inlineStr">
        <is>
          <t>YES! 	 id列源备映射正确，源端为int None位	期望更改为int	实际备端为int None位</t>
        </is>
      </c>
    </row>
    <row r="1936">
      <c r="B1936" s="0" t="inlineStr">
        <is>
          <t>NULL</t>
        </is>
      </c>
      <c r="C1936" s="0" t="inlineStr">
        <is>
          <t>NULL</t>
        </is>
      </c>
      <c r="D1936" s="0" t="inlineStr">
        <is>
          <t>NULL</t>
        </is>
      </c>
      <c r="E1936" s="0" t="inlineStr">
        <is>
          <t>NULL</t>
        </is>
      </c>
      <c r="F1936" s="0" t="inlineStr">
        <is>
          <t>NULL</t>
        </is>
      </c>
      <c r="G1936" s="0" t="inlineStr">
        <is>
          <t>NULL</t>
        </is>
      </c>
      <c r="H1936" s="0" t="inlineStr">
        <is>
          <t>NULL</t>
        </is>
      </c>
      <c r="I1936" s="0" t="inlineStr">
        <is>
          <t>NULL</t>
        </is>
      </c>
      <c r="J1936" s="0" t="inlineStr">
        <is>
          <t>NULL</t>
        </is>
      </c>
      <c r="K1936" s="0" t="inlineStr">
        <is>
          <t>YES! 	 c_geography列源备映射正确，源端为geography -1位	期望更改为geography	实际备端为geography -1位</t>
        </is>
      </c>
    </row>
    <row r="1937">
      <c r="A1937" s="0" t="inlineStr">
        <is>
          <t>info_date_dml_batch1_pk_urp1</t>
        </is>
      </c>
      <c r="K1937" s="0" t="inlineStr">
        <is>
          <t>[0;34m info_date_dml_batch1_pk_urp1 [0m源备字段数相同，源端字段：2 	备端字段2</t>
        </is>
      </c>
      <c r="W1937" s="0" t="inlineStr">
        <is>
          <t>YES 源备无差异</t>
        </is>
      </c>
      <c r="X1937" s="0">
        <f>A1937</f>
        <v/>
      </c>
    </row>
    <row r="1938">
      <c r="B1938" s="0" t="inlineStr">
        <is>
          <t>YES</t>
        </is>
      </c>
      <c r="C1938" s="0" t="inlineStr">
        <is>
          <t>NULL</t>
        </is>
      </c>
      <c r="D1938" s="0" t="inlineStr">
        <is>
          <t>NULL</t>
        </is>
      </c>
      <c r="E1938" s="0" t="inlineStr">
        <is>
          <t>NULL</t>
        </is>
      </c>
      <c r="F1938" s="0" t="inlineStr">
        <is>
          <t>NULL</t>
        </is>
      </c>
      <c r="G1938" s="0" t="inlineStr">
        <is>
          <t>NULL</t>
        </is>
      </c>
      <c r="H1938" s="0" t="inlineStr">
        <is>
          <t>NULL</t>
        </is>
      </c>
      <c r="I1938" s="0" t="inlineStr">
        <is>
          <t>YES!PK__info_dat__3213E83F255EEA90</t>
        </is>
      </c>
      <c r="J1938" s="0" t="inlineStr">
        <is>
          <t>YES! 主键相关索引</t>
        </is>
      </c>
      <c r="K1938" s="0" t="inlineStr">
        <is>
          <t>YES! 	 id列源备映射正确，源端为int None位	期望更改为int	实际备端为int None位</t>
        </is>
      </c>
    </row>
    <row r="1939">
      <c r="B1939" s="0" t="inlineStr">
        <is>
          <t>NULL</t>
        </is>
      </c>
      <c r="C1939" s="0" t="inlineStr">
        <is>
          <t>NULL</t>
        </is>
      </c>
      <c r="D1939" s="0" t="inlineStr">
        <is>
          <t>NULL</t>
        </is>
      </c>
      <c r="E1939" s="0" t="inlineStr">
        <is>
          <t>NULL</t>
        </is>
      </c>
      <c r="F1939" s="0" t="inlineStr">
        <is>
          <t>NULL</t>
        </is>
      </c>
      <c r="G1939" s="0" t="inlineStr">
        <is>
          <t>NULL</t>
        </is>
      </c>
      <c r="H1939" s="0" t="inlineStr">
        <is>
          <t>NULL</t>
        </is>
      </c>
      <c r="I1939" s="0" t="inlineStr">
        <is>
          <t>NULL</t>
        </is>
      </c>
      <c r="J1939" s="0" t="inlineStr">
        <is>
          <t>NULL</t>
        </is>
      </c>
      <c r="K1939" s="0" t="inlineStr">
        <is>
          <t>YES! 	 c_date列源备映射正确，源端为date None位	期望更改为date	实际备端为date None位</t>
        </is>
      </c>
    </row>
    <row r="1940">
      <c r="A1940" s="0" t="inlineStr">
        <is>
          <t>info_geography_dml_single_nopk</t>
        </is>
      </c>
      <c r="K1940" s="0" t="inlineStr">
        <is>
          <t>[0;34m info_geography_dml_single_nopk [0m源备字段数相同，源端字段：2 	备端字段2</t>
        </is>
      </c>
      <c r="W1940" s="0" t="inlineStr">
        <is>
          <t>YES 源备无差异</t>
        </is>
      </c>
      <c r="X1940" s="0">
        <f>A1940</f>
        <v/>
      </c>
    </row>
    <row r="1941">
      <c r="B1941" s="0" t="inlineStr">
        <is>
          <t>NULL</t>
        </is>
      </c>
      <c r="C1941" s="0" t="inlineStr">
        <is>
          <t>NULL</t>
        </is>
      </c>
      <c r="D1941" s="0" t="inlineStr">
        <is>
          <t>NULL</t>
        </is>
      </c>
      <c r="E1941" s="0" t="inlineStr">
        <is>
          <t>NULL</t>
        </is>
      </c>
      <c r="F1941" s="0" t="inlineStr">
        <is>
          <t>NULL</t>
        </is>
      </c>
      <c r="G1941" s="0" t="inlineStr">
        <is>
          <t>NULL</t>
        </is>
      </c>
      <c r="H1941" s="0" t="inlineStr">
        <is>
          <t>NULL</t>
        </is>
      </c>
      <c r="I1941" s="0" t="inlineStr">
        <is>
          <t>NULL</t>
        </is>
      </c>
      <c r="J1941" s="0" t="inlineStr">
        <is>
          <t>NULL</t>
        </is>
      </c>
      <c r="K1941" s="0" t="inlineStr">
        <is>
          <t>YES! 	 id列源备映射正确，源端为int None位	期望更改为int	实际备端为int None位</t>
        </is>
      </c>
    </row>
    <row r="1942">
      <c r="B1942" s="0" t="inlineStr">
        <is>
          <t>NULL</t>
        </is>
      </c>
      <c r="C1942" s="0" t="inlineStr">
        <is>
          <t>NULL</t>
        </is>
      </c>
      <c r="D1942" s="0" t="inlineStr">
        <is>
          <t>NULL</t>
        </is>
      </c>
      <c r="E1942" s="0" t="inlineStr">
        <is>
          <t>NULL</t>
        </is>
      </c>
      <c r="F1942" s="0" t="inlineStr">
        <is>
          <t>NULL</t>
        </is>
      </c>
      <c r="G1942" s="0" t="inlineStr">
        <is>
          <t>NULL</t>
        </is>
      </c>
      <c r="H1942" s="0" t="inlineStr">
        <is>
          <t>NULL</t>
        </is>
      </c>
      <c r="I1942" s="0" t="inlineStr">
        <is>
          <t>NULL</t>
        </is>
      </c>
      <c r="J1942" s="0" t="inlineStr">
        <is>
          <t>NULL</t>
        </is>
      </c>
      <c r="K1942" s="0" t="inlineStr">
        <is>
          <t>YES! 	 c_geography列源备映射正确，源端为geography -1位	期望更改为geography	实际备端为geography -1位</t>
        </is>
      </c>
    </row>
    <row r="1943">
      <c r="A1943" s="0" t="inlineStr">
        <is>
          <t>info_binary_dml_batch1_pk_drp1</t>
        </is>
      </c>
      <c r="K1943" s="0" t="inlineStr">
        <is>
          <t>[0;34m info_binary_dml_batch1_pk_drp1 [0m源备字段数相同，源端字段：4 	备端字段4</t>
        </is>
      </c>
      <c r="W1943" s="0" t="inlineStr">
        <is>
          <t>YES 源备无差异</t>
        </is>
      </c>
      <c r="X1943" s="0">
        <f>A1943</f>
        <v/>
      </c>
    </row>
    <row r="1944">
      <c r="B1944" s="0" t="inlineStr">
        <is>
          <t>YES</t>
        </is>
      </c>
      <c r="C1944" s="0" t="inlineStr">
        <is>
          <t>NULL</t>
        </is>
      </c>
      <c r="D1944" s="0" t="inlineStr">
        <is>
          <t>NULL</t>
        </is>
      </c>
      <c r="E1944" s="0" t="inlineStr">
        <is>
          <t>NULL</t>
        </is>
      </c>
      <c r="F1944" s="0" t="inlineStr">
        <is>
          <t>NULL</t>
        </is>
      </c>
      <c r="G1944" s="0" t="inlineStr">
        <is>
          <t>NULL</t>
        </is>
      </c>
      <c r="H1944" s="0" t="inlineStr">
        <is>
          <t>NULL</t>
        </is>
      </c>
      <c r="I1944" s="0" t="inlineStr">
        <is>
          <t>YES!PK__info_bin__3213E83F4B9A4F56</t>
        </is>
      </c>
      <c r="J1944" s="0" t="inlineStr">
        <is>
          <t>YES! 主键相关索引</t>
        </is>
      </c>
      <c r="K1944" s="0" t="inlineStr">
        <is>
          <t>YES! 	 id列源备映射正确，源端为int None位	期望更改为int	实际备端为int None位</t>
        </is>
      </c>
    </row>
    <row r="1945">
      <c r="B1945" s="0" t="inlineStr">
        <is>
          <t>NULL</t>
        </is>
      </c>
      <c r="C1945" s="0" t="inlineStr">
        <is>
          <t>NULL</t>
        </is>
      </c>
      <c r="D1945" s="0" t="inlineStr">
        <is>
          <t>NULL</t>
        </is>
      </c>
      <c r="E1945" s="0" t="inlineStr">
        <is>
          <t>NULL</t>
        </is>
      </c>
      <c r="F1945" s="0" t="inlineStr">
        <is>
          <t>NULL</t>
        </is>
      </c>
      <c r="G1945" s="0" t="inlineStr">
        <is>
          <t>NULL</t>
        </is>
      </c>
      <c r="H1945" s="0" t="inlineStr">
        <is>
          <t>NULL</t>
        </is>
      </c>
      <c r="I1945" s="0" t="inlineStr">
        <is>
          <t>NULL</t>
        </is>
      </c>
      <c r="J1945" s="0" t="inlineStr">
        <is>
          <t>NULL</t>
        </is>
      </c>
      <c r="K1945" s="0" t="inlineStr">
        <is>
          <t>YES! 	 c_binary列源备映射正确，源端为binary 1位	期望更改为binary(n)	实际备端为binary 1位</t>
        </is>
      </c>
    </row>
    <row r="1946">
      <c r="B1946" s="0" t="inlineStr">
        <is>
          <t>NULL</t>
        </is>
      </c>
      <c r="C1946" s="0" t="inlineStr">
        <is>
          <t>NULL</t>
        </is>
      </c>
      <c r="D1946" s="0" t="inlineStr">
        <is>
          <t>NULL</t>
        </is>
      </c>
      <c r="E1946" s="0" t="inlineStr">
        <is>
          <t>NULL</t>
        </is>
      </c>
      <c r="F1946" s="0" t="inlineStr">
        <is>
          <t>NULL</t>
        </is>
      </c>
      <c r="G1946" s="0" t="inlineStr">
        <is>
          <t>NULL</t>
        </is>
      </c>
      <c r="H1946" s="0" t="inlineStr">
        <is>
          <t>NULL</t>
        </is>
      </c>
      <c r="I1946" s="0" t="inlineStr">
        <is>
          <t>NULL</t>
        </is>
      </c>
      <c r="J1946" s="0" t="inlineStr">
        <is>
          <t>NULL</t>
        </is>
      </c>
      <c r="K1946" s="0" t="inlineStr">
        <is>
          <t>YES! 	 c_binary_20列源备映射正确，源端为binary 20位	期望更改为binary(n)	实际备端为binary 20位</t>
        </is>
      </c>
    </row>
    <row r="1947">
      <c r="B1947" s="0" t="inlineStr">
        <is>
          <t>NULL</t>
        </is>
      </c>
      <c r="C1947" s="0" t="inlineStr">
        <is>
          <t>NULL</t>
        </is>
      </c>
      <c r="D1947" s="0" t="inlineStr">
        <is>
          <t>NULL</t>
        </is>
      </c>
      <c r="E1947" s="0" t="inlineStr">
        <is>
          <t>NULL</t>
        </is>
      </c>
      <c r="F1947" s="0" t="inlineStr">
        <is>
          <t>NULL</t>
        </is>
      </c>
      <c r="G1947" s="0" t="inlineStr">
        <is>
          <t>NULL</t>
        </is>
      </c>
      <c r="H1947" s="0" t="inlineStr">
        <is>
          <t>NULL</t>
        </is>
      </c>
      <c r="I1947" s="0" t="inlineStr">
        <is>
          <t>NULL</t>
        </is>
      </c>
      <c r="J1947" s="0" t="inlineStr">
        <is>
          <t>NULL</t>
        </is>
      </c>
      <c r="K1947" s="0" t="inlineStr">
        <is>
          <t>YES! 	 c_binary_8000列源备映射正确，源端为binary 8000位	期望更改为binary(n)	实际备端为binary 8000位</t>
        </is>
      </c>
    </row>
    <row r="1948">
      <c r="K1948" s="0" t="inlineStr">
        <is>
          <t>~ 空表</t>
        </is>
      </c>
    </row>
    <row r="1949">
      <c r="A1949" s="0" t="inlineStr">
        <is>
          <t>info_geometry_dml_single_nopk_irp</t>
        </is>
      </c>
      <c r="K1949" s="0" t="inlineStr">
        <is>
          <t>[0;34m info_geometry_dml_single_nopk_irp [0m源备字段数相同，源端字段：2 	备端字段2</t>
        </is>
      </c>
      <c r="W1949" s="0" t="inlineStr">
        <is>
          <t>YES 源备无差异</t>
        </is>
      </c>
      <c r="X1949" s="0">
        <f>A1949</f>
        <v/>
      </c>
    </row>
    <row r="1950">
      <c r="B1950" s="0" t="inlineStr">
        <is>
          <t>NULL</t>
        </is>
      </c>
      <c r="C1950" s="0" t="inlineStr">
        <is>
          <t>NULL</t>
        </is>
      </c>
      <c r="D1950" s="0" t="inlineStr">
        <is>
          <t>NULL</t>
        </is>
      </c>
      <c r="E1950" s="0" t="inlineStr">
        <is>
          <t>NULL</t>
        </is>
      </c>
      <c r="F1950" s="0" t="inlineStr">
        <is>
          <t>NULL</t>
        </is>
      </c>
      <c r="G1950" s="0" t="inlineStr">
        <is>
          <t>NULL</t>
        </is>
      </c>
      <c r="H1950" s="0" t="inlineStr">
        <is>
          <t>NULL</t>
        </is>
      </c>
      <c r="I1950" s="0" t="inlineStr">
        <is>
          <t>NULL</t>
        </is>
      </c>
      <c r="J1950" s="0" t="inlineStr">
        <is>
          <t>NULL</t>
        </is>
      </c>
      <c r="K1950" s="0" t="inlineStr">
        <is>
          <t>YES! 	 id列源备映射正确，源端为int None位	期望更改为int	实际备端为int None位</t>
        </is>
      </c>
    </row>
    <row r="1951">
      <c r="B1951" s="0" t="inlineStr">
        <is>
          <t>NULL</t>
        </is>
      </c>
      <c r="C1951" s="0" t="inlineStr">
        <is>
          <t>NULL</t>
        </is>
      </c>
      <c r="D1951" s="0" t="inlineStr">
        <is>
          <t>NULL</t>
        </is>
      </c>
      <c r="E1951" s="0" t="inlineStr">
        <is>
          <t>NULL</t>
        </is>
      </c>
      <c r="F1951" s="0" t="inlineStr">
        <is>
          <t>NULL</t>
        </is>
      </c>
      <c r="G1951" s="0" t="inlineStr">
        <is>
          <t>NULL</t>
        </is>
      </c>
      <c r="H1951" s="0" t="inlineStr">
        <is>
          <t>NULL</t>
        </is>
      </c>
      <c r="I1951" s="0" t="inlineStr">
        <is>
          <t>NULL</t>
        </is>
      </c>
      <c r="J1951" s="0" t="inlineStr">
        <is>
          <t>NULL</t>
        </is>
      </c>
      <c r="K1951" s="0" t="inlineStr">
        <is>
          <t>YES! 	 c_geometry列源备映射正确，源端为geometry -1位	期望更改为geometry	实际备端为geometry -1位</t>
        </is>
      </c>
    </row>
    <row r="1952">
      <c r="A1952" s="0" t="inlineStr">
        <is>
          <t>info_geography_dml_single_pk_irp</t>
        </is>
      </c>
      <c r="K1952" s="0" t="inlineStr">
        <is>
          <t>[0;34m info_geography_dml_single_pk_irp [0m源备字段数相同，源端字段：2 	备端字段2</t>
        </is>
      </c>
      <c r="W1952" s="0" t="inlineStr">
        <is>
          <t>YES 源备无差异</t>
        </is>
      </c>
      <c r="X1952" s="0">
        <f>A1952</f>
        <v/>
      </c>
    </row>
    <row r="1953">
      <c r="B1953" s="0" t="inlineStr">
        <is>
          <t>YES</t>
        </is>
      </c>
      <c r="C1953" s="0" t="inlineStr">
        <is>
          <t>NULL</t>
        </is>
      </c>
      <c r="D1953" s="0" t="inlineStr">
        <is>
          <t>NULL</t>
        </is>
      </c>
      <c r="E1953" s="0" t="inlineStr">
        <is>
          <t>NULL</t>
        </is>
      </c>
      <c r="F1953" s="0" t="inlineStr">
        <is>
          <t>NULL</t>
        </is>
      </c>
      <c r="G1953" s="0" t="inlineStr">
        <is>
          <t>NULL</t>
        </is>
      </c>
      <c r="H1953" s="0" t="inlineStr">
        <is>
          <t>NULL</t>
        </is>
      </c>
      <c r="I1953" s="0" t="inlineStr">
        <is>
          <t>YES!PK__info_geo__3213E83F168AB9E6</t>
        </is>
      </c>
      <c r="J1953" s="0" t="inlineStr">
        <is>
          <t>YES! 主键相关索引</t>
        </is>
      </c>
      <c r="K1953" s="0" t="inlineStr">
        <is>
          <t>YES! 	 id列源备映射正确，源端为int None位	期望更改为int	实际备端为int None位</t>
        </is>
      </c>
    </row>
    <row r="1954">
      <c r="B1954" s="0" t="inlineStr">
        <is>
          <t>NULL</t>
        </is>
      </c>
      <c r="C1954" s="0" t="inlineStr">
        <is>
          <t>NULL</t>
        </is>
      </c>
      <c r="D1954" s="0" t="inlineStr">
        <is>
          <t>NULL</t>
        </is>
      </c>
      <c r="E1954" s="0" t="inlineStr">
        <is>
          <t>NULL</t>
        </is>
      </c>
      <c r="F1954" s="0" t="inlineStr">
        <is>
          <t>NULL</t>
        </is>
      </c>
      <c r="G1954" s="0" t="inlineStr">
        <is>
          <t>NULL</t>
        </is>
      </c>
      <c r="H1954" s="0" t="inlineStr">
        <is>
          <t>NULL</t>
        </is>
      </c>
      <c r="I1954" s="0" t="inlineStr">
        <is>
          <t>NULL</t>
        </is>
      </c>
      <c r="J1954" s="0" t="inlineStr">
        <is>
          <t>NULL</t>
        </is>
      </c>
      <c r="K1954" s="0" t="inlineStr">
        <is>
          <t>YES! 	 c_geography列源备映射正确，源端为geography -1位	期望更改为geography	实际备端为geography -1位</t>
        </is>
      </c>
    </row>
    <row r="1955">
      <c r="A1955" s="0" t="inlineStr">
        <is>
          <t>info_date_dml_batch1_pk_urp2</t>
        </is>
      </c>
      <c r="K1955" s="0" t="inlineStr">
        <is>
          <t>[0;34m info_date_dml_batch1_pk_urp2 [0m源备字段数相同，源端字段：2 	备端字段2</t>
        </is>
      </c>
      <c r="W1955" s="0" t="inlineStr">
        <is>
          <t>YES 源备无差异</t>
        </is>
      </c>
      <c r="X1955" s="0">
        <f>A1955</f>
        <v/>
      </c>
    </row>
    <row r="1956">
      <c r="B1956" s="0" t="inlineStr">
        <is>
          <t>YES</t>
        </is>
      </c>
      <c r="C1956" s="0" t="inlineStr">
        <is>
          <t>NULL</t>
        </is>
      </c>
      <c r="D1956" s="0" t="inlineStr">
        <is>
          <t>NULL</t>
        </is>
      </c>
      <c r="E1956" s="0" t="inlineStr">
        <is>
          <t>NULL</t>
        </is>
      </c>
      <c r="F1956" s="0" t="inlineStr">
        <is>
          <t>NULL</t>
        </is>
      </c>
      <c r="G1956" s="0" t="inlineStr">
        <is>
          <t>NULL</t>
        </is>
      </c>
      <c r="H1956" s="0" t="inlineStr">
        <is>
          <t>NULL</t>
        </is>
      </c>
      <c r="I1956" s="0" t="inlineStr">
        <is>
          <t>YES!PK__info_dat__3213E83FC684ACA3</t>
        </is>
      </c>
      <c r="J1956" s="0" t="inlineStr">
        <is>
          <t>YES! 主键相关索引</t>
        </is>
      </c>
      <c r="K1956" s="0" t="inlineStr">
        <is>
          <t>YES! 	 id列源备映射正确，源端为int None位	期望更改为int	实际备端为int None位</t>
        </is>
      </c>
    </row>
    <row r="1957">
      <c r="B1957" s="0" t="inlineStr">
        <is>
          <t>NULL</t>
        </is>
      </c>
      <c r="C1957" s="0" t="inlineStr">
        <is>
          <t>NULL</t>
        </is>
      </c>
      <c r="D1957" s="0" t="inlineStr">
        <is>
          <t>NULL</t>
        </is>
      </c>
      <c r="E1957" s="0" t="inlineStr">
        <is>
          <t>NULL</t>
        </is>
      </c>
      <c r="F1957" s="0" t="inlineStr">
        <is>
          <t>NULL</t>
        </is>
      </c>
      <c r="G1957" s="0" t="inlineStr">
        <is>
          <t>NULL</t>
        </is>
      </c>
      <c r="H1957" s="0" t="inlineStr">
        <is>
          <t>NULL</t>
        </is>
      </c>
      <c r="I1957" s="0" t="inlineStr">
        <is>
          <t>NULL</t>
        </is>
      </c>
      <c r="J1957" s="0" t="inlineStr">
        <is>
          <t>NULL</t>
        </is>
      </c>
      <c r="K1957" s="0" t="inlineStr">
        <is>
          <t>YES! 	 c_date列源备映射正确，源端为date None位	期望更改为date	实际备端为date None位</t>
        </is>
      </c>
    </row>
    <row r="1958">
      <c r="A1958" s="0" t="inlineStr">
        <is>
          <t>info_geometry_dml_single_nopk_urp</t>
        </is>
      </c>
      <c r="K1958" s="0" t="inlineStr">
        <is>
          <t>[0;34m info_geometry_dml_single_nopk_urp [0m源备字段数相同，源端字段：2 	备端字段2</t>
        </is>
      </c>
      <c r="W1958" s="0" t="inlineStr">
        <is>
          <t>YES 源备无差异</t>
        </is>
      </c>
      <c r="X1958" s="0">
        <f>A1958</f>
        <v/>
      </c>
    </row>
    <row r="1959">
      <c r="B1959" s="0" t="inlineStr">
        <is>
          <t>NULL</t>
        </is>
      </c>
      <c r="C1959" s="0" t="inlineStr">
        <is>
          <t>NULL</t>
        </is>
      </c>
      <c r="D1959" s="0" t="inlineStr">
        <is>
          <t>NULL</t>
        </is>
      </c>
      <c r="E1959" s="0" t="inlineStr">
        <is>
          <t>NULL</t>
        </is>
      </c>
      <c r="F1959" s="0" t="inlineStr">
        <is>
          <t>NULL</t>
        </is>
      </c>
      <c r="G1959" s="0" t="inlineStr">
        <is>
          <t>NULL</t>
        </is>
      </c>
      <c r="H1959" s="0" t="inlineStr">
        <is>
          <t>NULL</t>
        </is>
      </c>
      <c r="I1959" s="0" t="inlineStr">
        <is>
          <t>NULL</t>
        </is>
      </c>
      <c r="J1959" s="0" t="inlineStr">
        <is>
          <t>NULL</t>
        </is>
      </c>
      <c r="K1959" s="0" t="inlineStr">
        <is>
          <t>YES! 	 id列源备映射正确，源端为int None位	期望更改为int	实际备端为int None位</t>
        </is>
      </c>
    </row>
    <row r="1960">
      <c r="B1960" s="0" t="inlineStr">
        <is>
          <t>NULL</t>
        </is>
      </c>
      <c r="C1960" s="0" t="inlineStr">
        <is>
          <t>NULL</t>
        </is>
      </c>
      <c r="D1960" s="0" t="inlineStr">
        <is>
          <t>NULL</t>
        </is>
      </c>
      <c r="E1960" s="0" t="inlineStr">
        <is>
          <t>NULL</t>
        </is>
      </c>
      <c r="F1960" s="0" t="inlineStr">
        <is>
          <t>NULL</t>
        </is>
      </c>
      <c r="G1960" s="0" t="inlineStr">
        <is>
          <t>NULL</t>
        </is>
      </c>
      <c r="H1960" s="0" t="inlineStr">
        <is>
          <t>NULL</t>
        </is>
      </c>
      <c r="I1960" s="0" t="inlineStr">
        <is>
          <t>NULL</t>
        </is>
      </c>
      <c r="J1960" s="0" t="inlineStr">
        <is>
          <t>NULL</t>
        </is>
      </c>
      <c r="K1960" s="0" t="inlineStr">
        <is>
          <t>YES! 	 c_geometry列源备映射正确，源端为geometry -1位	期望更改为geometry	实际备端为geometry -1位</t>
        </is>
      </c>
    </row>
    <row r="1961">
      <c r="A1961" s="0" t="inlineStr">
        <is>
          <t>info_binary_dml_batch1_pk_drp2</t>
        </is>
      </c>
      <c r="K1961" s="0" t="inlineStr">
        <is>
          <t>[0;34m info_binary_dml_batch1_pk_drp2 [0m源备字段数相同，源端字段：4 	备端字段4</t>
        </is>
      </c>
      <c r="W1961" s="0" t="inlineStr">
        <is>
          <t>YES 源备无差异</t>
        </is>
      </c>
      <c r="X1961" s="0">
        <f>A1961</f>
        <v/>
      </c>
    </row>
    <row r="1962">
      <c r="B1962" s="0" t="inlineStr">
        <is>
          <t>YES</t>
        </is>
      </c>
      <c r="C1962" s="0" t="inlineStr">
        <is>
          <t>NULL</t>
        </is>
      </c>
      <c r="D1962" s="0" t="inlineStr">
        <is>
          <t>NULL</t>
        </is>
      </c>
      <c r="E1962" s="0" t="inlineStr">
        <is>
          <t>NULL</t>
        </is>
      </c>
      <c r="F1962" s="0" t="inlineStr">
        <is>
          <t>NULL</t>
        </is>
      </c>
      <c r="G1962" s="0" t="inlineStr">
        <is>
          <t>NULL</t>
        </is>
      </c>
      <c r="H1962" s="0" t="inlineStr">
        <is>
          <t>NULL</t>
        </is>
      </c>
      <c r="I1962" s="0" t="inlineStr">
        <is>
          <t>YES!PK__info_bin__3213E83F14AE18E3</t>
        </is>
      </c>
      <c r="J1962" s="0" t="inlineStr">
        <is>
          <t>YES! 主键相关索引</t>
        </is>
      </c>
      <c r="K1962" s="0" t="inlineStr">
        <is>
          <t>YES! 	 id列源备映射正确，源端为int None位	期望更改为int	实际备端为int None位</t>
        </is>
      </c>
    </row>
    <row r="1963">
      <c r="B1963" s="0" t="inlineStr">
        <is>
          <t>NULL</t>
        </is>
      </c>
      <c r="C1963" s="0" t="inlineStr">
        <is>
          <t>NULL</t>
        </is>
      </c>
      <c r="D1963" s="0" t="inlineStr">
        <is>
          <t>NULL</t>
        </is>
      </c>
      <c r="E1963" s="0" t="inlineStr">
        <is>
          <t>NULL</t>
        </is>
      </c>
      <c r="F1963" s="0" t="inlineStr">
        <is>
          <t>NULL</t>
        </is>
      </c>
      <c r="G1963" s="0" t="inlineStr">
        <is>
          <t>NULL</t>
        </is>
      </c>
      <c r="H1963" s="0" t="inlineStr">
        <is>
          <t>NULL</t>
        </is>
      </c>
      <c r="I1963" s="0" t="inlineStr">
        <is>
          <t>NULL</t>
        </is>
      </c>
      <c r="J1963" s="0" t="inlineStr">
        <is>
          <t>NULL</t>
        </is>
      </c>
      <c r="K1963" s="0" t="inlineStr">
        <is>
          <t>YES! 	 c_binary列源备映射正确，源端为binary 1位	期望更改为binary(n)	实际备端为binary 1位</t>
        </is>
      </c>
    </row>
    <row r="1964">
      <c r="B1964" s="0" t="inlineStr">
        <is>
          <t>NULL</t>
        </is>
      </c>
      <c r="C1964" s="0" t="inlineStr">
        <is>
          <t>NULL</t>
        </is>
      </c>
      <c r="D1964" s="0" t="inlineStr">
        <is>
          <t>NULL</t>
        </is>
      </c>
      <c r="E1964" s="0" t="inlineStr">
        <is>
          <t>NULL</t>
        </is>
      </c>
      <c r="F1964" s="0" t="inlineStr">
        <is>
          <t>NULL</t>
        </is>
      </c>
      <c r="G1964" s="0" t="inlineStr">
        <is>
          <t>NULL</t>
        </is>
      </c>
      <c r="H1964" s="0" t="inlineStr">
        <is>
          <t>NULL</t>
        </is>
      </c>
      <c r="I1964" s="0" t="inlineStr">
        <is>
          <t>NULL</t>
        </is>
      </c>
      <c r="J1964" s="0" t="inlineStr">
        <is>
          <t>NULL</t>
        </is>
      </c>
      <c r="K1964" s="0" t="inlineStr">
        <is>
          <t>YES! 	 c_binary_20列源备映射正确，源端为binary 20位	期望更改为binary(n)	实际备端为binary 20位</t>
        </is>
      </c>
    </row>
    <row r="1965">
      <c r="B1965" s="0" t="inlineStr">
        <is>
          <t>NULL</t>
        </is>
      </c>
      <c r="C1965" s="0" t="inlineStr">
        <is>
          <t>NULL</t>
        </is>
      </c>
      <c r="D1965" s="0" t="inlineStr">
        <is>
          <t>NULL</t>
        </is>
      </c>
      <c r="E1965" s="0" t="inlineStr">
        <is>
          <t>NULL</t>
        </is>
      </c>
      <c r="F1965" s="0" t="inlineStr">
        <is>
          <t>NULL</t>
        </is>
      </c>
      <c r="G1965" s="0" t="inlineStr">
        <is>
          <t>NULL</t>
        </is>
      </c>
      <c r="H1965" s="0" t="inlineStr">
        <is>
          <t>NULL</t>
        </is>
      </c>
      <c r="I1965" s="0" t="inlineStr">
        <is>
          <t>NULL</t>
        </is>
      </c>
      <c r="J1965" s="0" t="inlineStr">
        <is>
          <t>NULL</t>
        </is>
      </c>
      <c r="K1965" s="0" t="inlineStr">
        <is>
          <t>YES! 	 c_binary_8000列源备映射正确，源端为binary 8000位	期望更改为binary(n)	实际备端为binary 8000位</t>
        </is>
      </c>
    </row>
    <row r="1966">
      <c r="A1966" s="0" t="inlineStr">
        <is>
          <t>info_geography_dml_single_pk_urp</t>
        </is>
      </c>
      <c r="K1966" s="0" t="inlineStr">
        <is>
          <t>[0;34m info_geography_dml_single_pk_urp [0m源备字段数相同，源端字段：2 	备端字段2</t>
        </is>
      </c>
      <c r="W1966" s="0" t="inlineStr">
        <is>
          <t>YES 源备无差异</t>
        </is>
      </c>
      <c r="X1966" s="0">
        <f>A1966</f>
        <v/>
      </c>
    </row>
    <row r="1967">
      <c r="B1967" s="0" t="inlineStr">
        <is>
          <t>YES</t>
        </is>
      </c>
      <c r="C1967" s="0" t="inlineStr">
        <is>
          <t>NULL</t>
        </is>
      </c>
      <c r="D1967" s="0" t="inlineStr">
        <is>
          <t>NULL</t>
        </is>
      </c>
      <c r="E1967" s="0" t="inlineStr">
        <is>
          <t>NULL</t>
        </is>
      </c>
      <c r="F1967" s="0" t="inlineStr">
        <is>
          <t>NULL</t>
        </is>
      </c>
      <c r="G1967" s="0" t="inlineStr">
        <is>
          <t>NULL</t>
        </is>
      </c>
      <c r="H1967" s="0" t="inlineStr">
        <is>
          <t>NULL</t>
        </is>
      </c>
      <c r="I1967" s="0" t="inlineStr">
        <is>
          <t>YES!PK__info_geo__3213E83F016608C5</t>
        </is>
      </c>
      <c r="J1967" s="0" t="inlineStr">
        <is>
          <t>YES! 主键相关索引</t>
        </is>
      </c>
      <c r="K1967" s="0" t="inlineStr">
        <is>
          <t>YES! 	 id列源备映射正确，源端为int None位	期望更改为int	实际备端为int None位</t>
        </is>
      </c>
    </row>
    <row r="1968">
      <c r="B1968" s="0" t="inlineStr">
        <is>
          <t>NULL</t>
        </is>
      </c>
      <c r="C1968" s="0" t="inlineStr">
        <is>
          <t>NULL</t>
        </is>
      </c>
      <c r="D1968" s="0" t="inlineStr">
        <is>
          <t>NULL</t>
        </is>
      </c>
      <c r="E1968" s="0" t="inlineStr">
        <is>
          <t>NULL</t>
        </is>
      </c>
      <c r="F1968" s="0" t="inlineStr">
        <is>
          <t>NULL</t>
        </is>
      </c>
      <c r="G1968" s="0" t="inlineStr">
        <is>
          <t>NULL</t>
        </is>
      </c>
      <c r="H1968" s="0" t="inlineStr">
        <is>
          <t>NULL</t>
        </is>
      </c>
      <c r="I1968" s="0" t="inlineStr">
        <is>
          <t>NULL</t>
        </is>
      </c>
      <c r="J1968" s="0" t="inlineStr">
        <is>
          <t>NULL</t>
        </is>
      </c>
      <c r="K1968" s="0" t="inlineStr">
        <is>
          <t>YES! 	 c_geography列源备映射正确，源端为geography -1位	期望更改为geography	实际备端为geography -1位</t>
        </is>
      </c>
    </row>
    <row r="1969">
      <c r="A1969" s="0" t="inlineStr">
        <is>
          <t>info_geometry_dml_single_nopk_drp</t>
        </is>
      </c>
      <c r="K1969" s="0" t="inlineStr">
        <is>
          <t>[0;34m info_geometry_dml_single_nopk_drp [0m源备字段数相同，源端字段：2 	备端字段2</t>
        </is>
      </c>
      <c r="W1969" s="0" t="inlineStr">
        <is>
          <t>YES 源备无差异</t>
        </is>
      </c>
      <c r="X1969" s="0">
        <f>A1969</f>
        <v/>
      </c>
    </row>
    <row r="1970">
      <c r="B1970" s="0" t="inlineStr">
        <is>
          <t>NULL</t>
        </is>
      </c>
      <c r="C1970" s="0" t="inlineStr">
        <is>
          <t>NULL</t>
        </is>
      </c>
      <c r="D1970" s="0" t="inlineStr">
        <is>
          <t>NULL</t>
        </is>
      </c>
      <c r="E1970" s="0" t="inlineStr">
        <is>
          <t>NULL</t>
        </is>
      </c>
      <c r="F1970" s="0" t="inlineStr">
        <is>
          <t>NULL</t>
        </is>
      </c>
      <c r="G1970" s="0" t="inlineStr">
        <is>
          <t>NULL</t>
        </is>
      </c>
      <c r="H1970" s="0" t="inlineStr">
        <is>
          <t>NULL</t>
        </is>
      </c>
      <c r="I1970" s="0" t="inlineStr">
        <is>
          <t>NULL</t>
        </is>
      </c>
      <c r="J1970" s="0" t="inlineStr">
        <is>
          <t>NULL</t>
        </is>
      </c>
      <c r="K1970" s="0" t="inlineStr">
        <is>
          <t>YES! 	 id列源备映射正确，源端为int None位	期望更改为int	实际备端为int None位</t>
        </is>
      </c>
    </row>
    <row r="1971">
      <c r="B1971" s="0" t="inlineStr">
        <is>
          <t>NULL</t>
        </is>
      </c>
      <c r="C1971" s="0" t="inlineStr">
        <is>
          <t>NULL</t>
        </is>
      </c>
      <c r="D1971" s="0" t="inlineStr">
        <is>
          <t>NULL</t>
        </is>
      </c>
      <c r="E1971" s="0" t="inlineStr">
        <is>
          <t>NULL</t>
        </is>
      </c>
      <c r="F1971" s="0" t="inlineStr">
        <is>
          <t>NULL</t>
        </is>
      </c>
      <c r="G1971" s="0" t="inlineStr">
        <is>
          <t>NULL</t>
        </is>
      </c>
      <c r="H1971" s="0" t="inlineStr">
        <is>
          <t>NULL</t>
        </is>
      </c>
      <c r="I1971" s="0" t="inlineStr">
        <is>
          <t>NULL</t>
        </is>
      </c>
      <c r="J1971" s="0" t="inlineStr">
        <is>
          <t>NULL</t>
        </is>
      </c>
      <c r="K1971" s="0" t="inlineStr">
        <is>
          <t>YES! 	 c_geometry列源备映射正确，源端为geometry -1位	期望更改为geometry	实际备端为geometry -1位</t>
        </is>
      </c>
    </row>
    <row r="1972">
      <c r="A1972" s="0" t="inlineStr">
        <is>
          <t>info_date_dml_batch1_pk_drp1</t>
        </is>
      </c>
      <c r="K1972" s="0" t="inlineStr">
        <is>
          <t>[0;34m info_date_dml_batch1_pk_drp1 [0m源备字段数相同，源端字段：2 	备端字段2</t>
        </is>
      </c>
      <c r="W1972" s="0" t="inlineStr">
        <is>
          <t>YES 源备无差异</t>
        </is>
      </c>
      <c r="X1972" s="0">
        <f>A1972</f>
        <v/>
      </c>
    </row>
    <row r="1973">
      <c r="B1973" s="0" t="inlineStr">
        <is>
          <t>YES</t>
        </is>
      </c>
      <c r="C1973" s="0" t="inlineStr">
        <is>
          <t>NULL</t>
        </is>
      </c>
      <c r="D1973" s="0" t="inlineStr">
        <is>
          <t>NULL</t>
        </is>
      </c>
      <c r="E1973" s="0" t="inlineStr">
        <is>
          <t>NULL</t>
        </is>
      </c>
      <c r="F1973" s="0" t="inlineStr">
        <is>
          <t>NULL</t>
        </is>
      </c>
      <c r="G1973" s="0" t="inlineStr">
        <is>
          <t>NULL</t>
        </is>
      </c>
      <c r="H1973" s="0" t="inlineStr">
        <is>
          <t>NULL</t>
        </is>
      </c>
      <c r="I1973" s="0" t="inlineStr">
        <is>
          <t>YES!PK__info_dat__3213E83F912DB1E0</t>
        </is>
      </c>
      <c r="J1973" s="0" t="inlineStr">
        <is>
          <t>YES! 主键相关索引</t>
        </is>
      </c>
      <c r="K1973" s="0" t="inlineStr">
        <is>
          <t>YES! 	 id列源备映射正确，源端为int None位	期望更改为int	实际备端为int None位</t>
        </is>
      </c>
    </row>
    <row r="1974">
      <c r="B1974" s="0" t="inlineStr">
        <is>
          <t>NULL</t>
        </is>
      </c>
      <c r="C1974" s="0" t="inlineStr">
        <is>
          <t>NULL</t>
        </is>
      </c>
      <c r="D1974" s="0" t="inlineStr">
        <is>
          <t>NULL</t>
        </is>
      </c>
      <c r="E1974" s="0" t="inlineStr">
        <is>
          <t>NULL</t>
        </is>
      </c>
      <c r="F1974" s="0" t="inlineStr">
        <is>
          <t>NULL</t>
        </is>
      </c>
      <c r="G1974" s="0" t="inlineStr">
        <is>
          <t>NULL</t>
        </is>
      </c>
      <c r="H1974" s="0" t="inlineStr">
        <is>
          <t>NULL</t>
        </is>
      </c>
      <c r="I1974" s="0" t="inlineStr">
        <is>
          <t>NULL</t>
        </is>
      </c>
      <c r="J1974" s="0" t="inlineStr">
        <is>
          <t>NULL</t>
        </is>
      </c>
      <c r="K1974" s="0" t="inlineStr">
        <is>
          <t>YES! 	 c_date列源备映射正确，源端为date None位	期望更改为date	实际备端为date None位</t>
        </is>
      </c>
    </row>
    <row r="1975">
      <c r="K1975" s="0" t="inlineStr">
        <is>
          <t>~ 空表</t>
        </is>
      </c>
    </row>
    <row r="1976">
      <c r="A1976" s="0" t="inlineStr">
        <is>
          <t>info_geometry_dml_single_nopk</t>
        </is>
      </c>
      <c r="K1976" s="0" t="inlineStr">
        <is>
          <t>[0;34m info_geometry_dml_single_nopk [0m源备字段数相同，源端字段：2 	备端字段2</t>
        </is>
      </c>
      <c r="W1976" s="0" t="inlineStr">
        <is>
          <t>YES 源备无差异</t>
        </is>
      </c>
      <c r="X1976" s="0">
        <f>A1976</f>
        <v/>
      </c>
    </row>
    <row r="1977">
      <c r="B1977" s="0" t="inlineStr">
        <is>
          <t>NULL</t>
        </is>
      </c>
      <c r="C1977" s="0" t="inlineStr">
        <is>
          <t>NULL</t>
        </is>
      </c>
      <c r="D1977" s="0" t="inlineStr">
        <is>
          <t>NULL</t>
        </is>
      </c>
      <c r="E1977" s="0" t="inlineStr">
        <is>
          <t>NULL</t>
        </is>
      </c>
      <c r="F1977" s="0" t="inlineStr">
        <is>
          <t>NULL</t>
        </is>
      </c>
      <c r="G1977" s="0" t="inlineStr">
        <is>
          <t>NULL</t>
        </is>
      </c>
      <c r="H1977" s="0" t="inlineStr">
        <is>
          <t>NULL</t>
        </is>
      </c>
      <c r="I1977" s="0" t="inlineStr">
        <is>
          <t>NULL</t>
        </is>
      </c>
      <c r="J1977" s="0" t="inlineStr">
        <is>
          <t>NULL</t>
        </is>
      </c>
      <c r="K1977" s="0" t="inlineStr">
        <is>
          <t>YES! 	 id列源备映射正确，源端为int None位	期望更改为int	实际备端为int None位</t>
        </is>
      </c>
    </row>
    <row r="1978">
      <c r="B1978" s="0" t="inlineStr">
        <is>
          <t>NULL</t>
        </is>
      </c>
      <c r="C1978" s="0" t="inlineStr">
        <is>
          <t>NULL</t>
        </is>
      </c>
      <c r="D1978" s="0" t="inlineStr">
        <is>
          <t>NULL</t>
        </is>
      </c>
      <c r="E1978" s="0" t="inlineStr">
        <is>
          <t>NULL</t>
        </is>
      </c>
      <c r="F1978" s="0" t="inlineStr">
        <is>
          <t>NULL</t>
        </is>
      </c>
      <c r="G1978" s="0" t="inlineStr">
        <is>
          <t>NULL</t>
        </is>
      </c>
      <c r="H1978" s="0" t="inlineStr">
        <is>
          <t>NULL</t>
        </is>
      </c>
      <c r="I1978" s="0" t="inlineStr">
        <is>
          <t>NULL</t>
        </is>
      </c>
      <c r="J1978" s="0" t="inlineStr">
        <is>
          <t>NULL</t>
        </is>
      </c>
      <c r="K1978" s="0" t="inlineStr">
        <is>
          <t>YES! 	 c_geometry列源备映射正确，源端为geometry -1位	期望更改为geometry	实际备端为geometry -1位</t>
        </is>
      </c>
    </row>
    <row r="1979">
      <c r="A1979" s="0" t="inlineStr">
        <is>
          <t>info_binary_dml_batch1_pk</t>
        </is>
      </c>
      <c r="K1979" s="0" t="inlineStr">
        <is>
          <t>[0;34m info_binary_dml_batch1_pk [0m源备字段数相同，源端字段：4 	备端字段4</t>
        </is>
      </c>
      <c r="W1979" s="0" t="inlineStr">
        <is>
          <t>YES 源备无差异</t>
        </is>
      </c>
      <c r="X1979" s="0">
        <f>A1979</f>
        <v/>
      </c>
    </row>
    <row r="1980">
      <c r="B1980" s="0" t="inlineStr">
        <is>
          <t>YES</t>
        </is>
      </c>
      <c r="C1980" s="0" t="inlineStr">
        <is>
          <t>NULL</t>
        </is>
      </c>
      <c r="D1980" s="0" t="inlineStr">
        <is>
          <t>NULL</t>
        </is>
      </c>
      <c r="E1980" s="0" t="inlineStr">
        <is>
          <t>NULL</t>
        </is>
      </c>
      <c r="F1980" s="0" t="inlineStr">
        <is>
          <t>NULL</t>
        </is>
      </c>
      <c r="G1980" s="0" t="inlineStr">
        <is>
          <t>NULL</t>
        </is>
      </c>
      <c r="H1980" s="0" t="inlineStr">
        <is>
          <t>NULL</t>
        </is>
      </c>
      <c r="I1980" s="0" t="inlineStr">
        <is>
          <t>YES!PK__info_bin__3213E83FDCC0460B</t>
        </is>
      </c>
      <c r="J1980" s="0" t="inlineStr">
        <is>
          <t>YES! 主键相关索引</t>
        </is>
      </c>
      <c r="K1980" s="0" t="inlineStr">
        <is>
          <t>YES! 	 id列源备映射正确，源端为int None位	期望更改为int	实际备端为int None位</t>
        </is>
      </c>
    </row>
    <row r="1981">
      <c r="B1981" s="0" t="inlineStr">
        <is>
          <t>NULL</t>
        </is>
      </c>
      <c r="C1981" s="0" t="inlineStr">
        <is>
          <t>NULL</t>
        </is>
      </c>
      <c r="D1981" s="0" t="inlineStr">
        <is>
          <t>NULL</t>
        </is>
      </c>
      <c r="E1981" s="0" t="inlineStr">
        <is>
          <t>NULL</t>
        </is>
      </c>
      <c r="F1981" s="0" t="inlineStr">
        <is>
          <t>NULL</t>
        </is>
      </c>
      <c r="G1981" s="0" t="inlineStr">
        <is>
          <t>NULL</t>
        </is>
      </c>
      <c r="H1981" s="0" t="inlineStr">
        <is>
          <t>NULL</t>
        </is>
      </c>
      <c r="I1981" s="0" t="inlineStr">
        <is>
          <t>NULL</t>
        </is>
      </c>
      <c r="J1981" s="0" t="inlineStr">
        <is>
          <t>NULL</t>
        </is>
      </c>
      <c r="K1981" s="0" t="inlineStr">
        <is>
          <t>YES! 	 c_binary列源备映射正确，源端为binary 1位	期望更改为binary(n)	实际备端为binary 1位</t>
        </is>
      </c>
    </row>
    <row r="1982">
      <c r="B1982" s="0" t="inlineStr">
        <is>
          <t>NULL</t>
        </is>
      </c>
      <c r="C1982" s="0" t="inlineStr">
        <is>
          <t>NULL</t>
        </is>
      </c>
      <c r="D1982" s="0" t="inlineStr">
        <is>
          <t>NULL</t>
        </is>
      </c>
      <c r="E1982" s="0" t="inlineStr">
        <is>
          <t>NULL</t>
        </is>
      </c>
      <c r="F1982" s="0" t="inlineStr">
        <is>
          <t>NULL</t>
        </is>
      </c>
      <c r="G1982" s="0" t="inlineStr">
        <is>
          <t>NULL</t>
        </is>
      </c>
      <c r="H1982" s="0" t="inlineStr">
        <is>
          <t>NULL</t>
        </is>
      </c>
      <c r="I1982" s="0" t="inlineStr">
        <is>
          <t>NULL</t>
        </is>
      </c>
      <c r="J1982" s="0" t="inlineStr">
        <is>
          <t>NULL</t>
        </is>
      </c>
      <c r="K1982" s="0" t="inlineStr">
        <is>
          <t>YES! 	 c_binary_20列源备映射正确，源端为binary 20位	期望更改为binary(n)	实际备端为binary 20位</t>
        </is>
      </c>
    </row>
    <row r="1983">
      <c r="B1983" s="0" t="inlineStr">
        <is>
          <t>NULL</t>
        </is>
      </c>
      <c r="C1983" s="0" t="inlineStr">
        <is>
          <t>NULL</t>
        </is>
      </c>
      <c r="D1983" s="0" t="inlineStr">
        <is>
          <t>NULL</t>
        </is>
      </c>
      <c r="E1983" s="0" t="inlineStr">
        <is>
          <t>NULL</t>
        </is>
      </c>
      <c r="F1983" s="0" t="inlineStr">
        <is>
          <t>NULL</t>
        </is>
      </c>
      <c r="G1983" s="0" t="inlineStr">
        <is>
          <t>NULL</t>
        </is>
      </c>
      <c r="H1983" s="0" t="inlineStr">
        <is>
          <t>NULL</t>
        </is>
      </c>
      <c r="I1983" s="0" t="inlineStr">
        <is>
          <t>NULL</t>
        </is>
      </c>
      <c r="J1983" s="0" t="inlineStr">
        <is>
          <t>NULL</t>
        </is>
      </c>
      <c r="K1983" s="0" t="inlineStr">
        <is>
          <t>YES! 	 c_binary_8000列源备映射正确，源端为binary 8000位	期望更改为binary(n)	实际备端为binary 8000位</t>
        </is>
      </c>
    </row>
    <row r="1984">
      <c r="A1984" s="0" t="inlineStr">
        <is>
          <t>info_geography_dml_single_pk_drp</t>
        </is>
      </c>
      <c r="K1984" s="0" t="inlineStr">
        <is>
          <t>[0;34m info_geography_dml_single_pk_drp [0m源备字段数相同，源端字段：2 	备端字段2</t>
        </is>
      </c>
      <c r="W1984" s="0" t="inlineStr">
        <is>
          <t>YES 源备无差异</t>
        </is>
      </c>
      <c r="X1984" s="0">
        <f>A1984</f>
        <v/>
      </c>
    </row>
    <row r="1985">
      <c r="B1985" s="0" t="inlineStr">
        <is>
          <t>YES</t>
        </is>
      </c>
      <c r="C1985" s="0" t="inlineStr">
        <is>
          <t>NULL</t>
        </is>
      </c>
      <c r="D1985" s="0" t="inlineStr">
        <is>
          <t>NULL</t>
        </is>
      </c>
      <c r="E1985" s="0" t="inlineStr">
        <is>
          <t>NULL</t>
        </is>
      </c>
      <c r="F1985" s="0" t="inlineStr">
        <is>
          <t>NULL</t>
        </is>
      </c>
      <c r="G1985" s="0" t="inlineStr">
        <is>
          <t>NULL</t>
        </is>
      </c>
      <c r="H1985" s="0" t="inlineStr">
        <is>
          <t>NULL</t>
        </is>
      </c>
      <c r="I1985" s="0" t="inlineStr">
        <is>
          <t>YES!PK__info_geo__3213E83FCAF7A129</t>
        </is>
      </c>
      <c r="J1985" s="0" t="inlineStr">
        <is>
          <t>YES! 主键相关索引</t>
        </is>
      </c>
      <c r="K1985" s="0" t="inlineStr">
        <is>
          <t>YES! 	 id列源备映射正确，源端为int None位	期望更改为int	实际备端为int None位</t>
        </is>
      </c>
    </row>
    <row r="1986">
      <c r="B1986" s="0" t="inlineStr">
        <is>
          <t>NULL</t>
        </is>
      </c>
      <c r="C1986" s="0" t="inlineStr">
        <is>
          <t>NULL</t>
        </is>
      </c>
      <c r="D1986" s="0" t="inlineStr">
        <is>
          <t>NULL</t>
        </is>
      </c>
      <c r="E1986" s="0" t="inlineStr">
        <is>
          <t>NULL</t>
        </is>
      </c>
      <c r="F1986" s="0" t="inlineStr">
        <is>
          <t>NULL</t>
        </is>
      </c>
      <c r="G1986" s="0" t="inlineStr">
        <is>
          <t>NULL</t>
        </is>
      </c>
      <c r="H1986" s="0" t="inlineStr">
        <is>
          <t>NULL</t>
        </is>
      </c>
      <c r="I1986" s="0" t="inlineStr">
        <is>
          <t>NULL</t>
        </is>
      </c>
      <c r="J1986" s="0" t="inlineStr">
        <is>
          <t>NULL</t>
        </is>
      </c>
      <c r="K1986" s="0" t="inlineStr">
        <is>
          <t>YES! 	 c_geography列源备映射正确，源端为geography -1位	期望更改为geography	实际备端为geography -1位</t>
        </is>
      </c>
    </row>
    <row r="1987">
      <c r="A1987" s="0" t="inlineStr">
        <is>
          <t>info_date_dml_batch1_pk_drp2</t>
        </is>
      </c>
      <c r="K1987" s="0" t="inlineStr">
        <is>
          <t>[0;34m info_date_dml_batch1_pk_drp2 [0m源备字段数相同，源端字段：2 	备端字段2</t>
        </is>
      </c>
      <c r="W1987" s="0" t="inlineStr">
        <is>
          <t>YES 源备无差异</t>
        </is>
      </c>
      <c r="X1987" s="0">
        <f>A1987</f>
        <v/>
      </c>
    </row>
    <row r="1988">
      <c r="B1988" s="0" t="inlineStr">
        <is>
          <t>YES</t>
        </is>
      </c>
      <c r="C1988" s="0" t="inlineStr">
        <is>
          <t>NULL</t>
        </is>
      </c>
      <c r="D1988" s="0" t="inlineStr">
        <is>
          <t>NULL</t>
        </is>
      </c>
      <c r="E1988" s="0" t="inlineStr">
        <is>
          <t>NULL</t>
        </is>
      </c>
      <c r="F1988" s="0" t="inlineStr">
        <is>
          <t>NULL</t>
        </is>
      </c>
      <c r="G1988" s="0" t="inlineStr">
        <is>
          <t>NULL</t>
        </is>
      </c>
      <c r="H1988" s="0" t="inlineStr">
        <is>
          <t>NULL</t>
        </is>
      </c>
      <c r="I1988" s="0" t="inlineStr">
        <is>
          <t>YES!PK__info_dat__3213E83F25800C71</t>
        </is>
      </c>
      <c r="J1988" s="0" t="inlineStr">
        <is>
          <t>YES! 主键相关索引</t>
        </is>
      </c>
      <c r="K1988" s="0" t="inlineStr">
        <is>
          <t>YES! 	 id列源备映射正确，源端为int None位	期望更改为int	实际备端为int None位</t>
        </is>
      </c>
    </row>
    <row r="1989">
      <c r="B1989" s="0" t="inlineStr">
        <is>
          <t>NULL</t>
        </is>
      </c>
      <c r="C1989" s="0" t="inlineStr">
        <is>
          <t>NULL</t>
        </is>
      </c>
      <c r="D1989" s="0" t="inlineStr">
        <is>
          <t>NULL</t>
        </is>
      </c>
      <c r="E1989" s="0" t="inlineStr">
        <is>
          <t>NULL</t>
        </is>
      </c>
      <c r="F1989" s="0" t="inlineStr">
        <is>
          <t>NULL</t>
        </is>
      </c>
      <c r="G1989" s="0" t="inlineStr">
        <is>
          <t>NULL</t>
        </is>
      </c>
      <c r="H1989" s="0" t="inlineStr">
        <is>
          <t>NULL</t>
        </is>
      </c>
      <c r="I1989" s="0" t="inlineStr">
        <is>
          <t>NULL</t>
        </is>
      </c>
      <c r="J1989" s="0" t="inlineStr">
        <is>
          <t>NULL</t>
        </is>
      </c>
      <c r="K1989" s="0" t="inlineStr">
        <is>
          <t>YES! 	 c_date列源备映射正确，源端为date None位	期望更改为date	实际备端为date None位</t>
        </is>
      </c>
    </row>
    <row r="1990">
      <c r="A1990" s="0" t="inlineStr">
        <is>
          <t>info_varbinary_dml_batch1_pk_irp1</t>
        </is>
      </c>
      <c r="K1990" s="0" t="inlineStr">
        <is>
          <t>[0;34m info_varbinary_dml_batch1_pk_irp1 [0m源备字段数相同，源端字段：4 	备端字段4</t>
        </is>
      </c>
      <c r="W1990" s="0" t="inlineStr">
        <is>
          <t>YES 源备无差异</t>
        </is>
      </c>
      <c r="X1990" s="0">
        <f>A1990</f>
        <v/>
      </c>
    </row>
    <row r="1991">
      <c r="B1991" s="0" t="inlineStr">
        <is>
          <t>YES</t>
        </is>
      </c>
      <c r="C1991" s="0" t="inlineStr">
        <is>
          <t>NULL</t>
        </is>
      </c>
      <c r="D1991" s="0" t="inlineStr">
        <is>
          <t>NULL</t>
        </is>
      </c>
      <c r="E1991" s="0" t="inlineStr">
        <is>
          <t>NULL</t>
        </is>
      </c>
      <c r="F1991" s="0" t="inlineStr">
        <is>
          <t>NULL</t>
        </is>
      </c>
      <c r="G1991" s="0" t="inlineStr">
        <is>
          <t>NULL</t>
        </is>
      </c>
      <c r="H1991" s="0" t="inlineStr">
        <is>
          <t>NULL</t>
        </is>
      </c>
      <c r="I1991" s="0" t="inlineStr">
        <is>
          <t>YES!PK__info_var__3213E83F1C6883B8</t>
        </is>
      </c>
      <c r="J1991" s="0" t="inlineStr">
        <is>
          <t>YES! 主键相关索引</t>
        </is>
      </c>
      <c r="K1991" s="0" t="inlineStr">
        <is>
          <t>YES! 	 id列源备映射正确，源端为int None位	期望更改为int	实际备端为int None位</t>
        </is>
      </c>
    </row>
    <row r="1992">
      <c r="B1992" s="0" t="inlineStr">
        <is>
          <t>NULL</t>
        </is>
      </c>
      <c r="C1992" s="0" t="inlineStr">
        <is>
          <t>NULL</t>
        </is>
      </c>
      <c r="D1992" s="0" t="inlineStr">
        <is>
          <t>NULL</t>
        </is>
      </c>
      <c r="E1992" s="0" t="inlineStr">
        <is>
          <t>NULL</t>
        </is>
      </c>
      <c r="F1992" s="0" t="inlineStr">
        <is>
          <t>NULL</t>
        </is>
      </c>
      <c r="G1992" s="0" t="inlineStr">
        <is>
          <t>NULL</t>
        </is>
      </c>
      <c r="H1992" s="0" t="inlineStr">
        <is>
          <t>NULL</t>
        </is>
      </c>
      <c r="I1992" s="0" t="inlineStr">
        <is>
          <t>NULL</t>
        </is>
      </c>
      <c r="J1992" s="0" t="inlineStr">
        <is>
          <t>NULL</t>
        </is>
      </c>
      <c r="K1992" s="0" t="inlineStr">
        <is>
          <t>YES! 	 c_varbinary列源备映射正确，源端为varbinary 1位	期望更改为varbinary(n)	实际备端为varbinary 1位</t>
        </is>
      </c>
    </row>
    <row r="1993">
      <c r="B1993" s="0" t="inlineStr">
        <is>
          <t>NULL</t>
        </is>
      </c>
      <c r="C1993" s="0" t="inlineStr">
        <is>
          <t>NULL</t>
        </is>
      </c>
      <c r="D1993" s="0" t="inlineStr">
        <is>
          <t>NULL</t>
        </is>
      </c>
      <c r="E1993" s="0" t="inlineStr">
        <is>
          <t>NULL</t>
        </is>
      </c>
      <c r="F1993" s="0" t="inlineStr">
        <is>
          <t>NULL</t>
        </is>
      </c>
      <c r="G1993" s="0" t="inlineStr">
        <is>
          <t>NULL</t>
        </is>
      </c>
      <c r="H1993" s="0" t="inlineStr">
        <is>
          <t>NULL</t>
        </is>
      </c>
      <c r="I1993" s="0" t="inlineStr">
        <is>
          <t>NULL</t>
        </is>
      </c>
      <c r="J1993" s="0" t="inlineStr">
        <is>
          <t>NULL</t>
        </is>
      </c>
      <c r="K1993" s="0" t="inlineStr">
        <is>
          <t>YES! 	 c_varbinary_100列源备映射正确，源端为varbinary 100位	期望更改为varbinary(n)	实际备端为varbinary 100位</t>
        </is>
      </c>
    </row>
    <row r="1994">
      <c r="B1994" s="0" t="inlineStr">
        <is>
          <t>NULL</t>
        </is>
      </c>
      <c r="C1994" s="0" t="inlineStr">
        <is>
          <t>NULL</t>
        </is>
      </c>
      <c r="D1994" s="0" t="inlineStr">
        <is>
          <t>NULL</t>
        </is>
      </c>
      <c r="E1994" s="0" t="inlineStr">
        <is>
          <t>NULL</t>
        </is>
      </c>
      <c r="F1994" s="0" t="inlineStr">
        <is>
          <t>NULL</t>
        </is>
      </c>
      <c r="G1994" s="0" t="inlineStr">
        <is>
          <t>NULL</t>
        </is>
      </c>
      <c r="H1994" s="0" t="inlineStr">
        <is>
          <t>NULL</t>
        </is>
      </c>
      <c r="I1994" s="0" t="inlineStr">
        <is>
          <t>NULL</t>
        </is>
      </c>
      <c r="J1994" s="0" t="inlineStr">
        <is>
          <t>NULL</t>
        </is>
      </c>
      <c r="K1994" s="0" t="inlineStr">
        <is>
          <t>YES! 	 c_varbinary_8000列源备映射正确，源端为varbinary 8000位	期望更改为varbinary(n)	实际备端为varbinary 8000位</t>
        </is>
      </c>
    </row>
    <row r="1995">
      <c r="A1995" s="0" t="inlineStr">
        <is>
          <t>info_date_dml_batch1_pk</t>
        </is>
      </c>
      <c r="K1995" s="0" t="inlineStr">
        <is>
          <t>[0;34m info_date_dml_batch1_pk [0m源备字段数相同，源端字段：2 	备端字段2</t>
        </is>
      </c>
      <c r="W1995" s="0" t="inlineStr">
        <is>
          <t>YES 源备无差异</t>
        </is>
      </c>
      <c r="X1995" s="0">
        <f>A1995</f>
        <v/>
      </c>
    </row>
    <row r="1996">
      <c r="B1996" s="0" t="inlineStr">
        <is>
          <t>YES</t>
        </is>
      </c>
      <c r="C1996" s="0" t="inlineStr">
        <is>
          <t>NULL</t>
        </is>
      </c>
      <c r="D1996" s="0" t="inlineStr">
        <is>
          <t>NULL</t>
        </is>
      </c>
      <c r="E1996" s="0" t="inlineStr">
        <is>
          <t>NULL</t>
        </is>
      </c>
      <c r="F1996" s="0" t="inlineStr">
        <is>
          <t>NULL</t>
        </is>
      </c>
      <c r="G1996" s="0" t="inlineStr">
        <is>
          <t>NULL</t>
        </is>
      </c>
      <c r="H1996" s="0" t="inlineStr">
        <is>
          <t>NULL</t>
        </is>
      </c>
      <c r="I1996" s="0" t="inlineStr">
        <is>
          <t>YES!PK__info_dat__3213E83F49C2F59F</t>
        </is>
      </c>
      <c r="J1996" s="0" t="inlineStr">
        <is>
          <t>YES! 主键相关索引</t>
        </is>
      </c>
      <c r="K1996" s="0" t="inlineStr">
        <is>
          <t>YES! 	 id列源备映射正确，源端为int None位	期望更改为int	实际备端为int None位</t>
        </is>
      </c>
    </row>
    <row r="1997">
      <c r="B1997" s="0" t="inlineStr">
        <is>
          <t>NULL</t>
        </is>
      </c>
      <c r="C1997" s="0" t="inlineStr">
        <is>
          <t>NULL</t>
        </is>
      </c>
      <c r="D1997" s="0" t="inlineStr">
        <is>
          <t>NULL</t>
        </is>
      </c>
      <c r="E1997" s="0" t="inlineStr">
        <is>
          <t>NULL</t>
        </is>
      </c>
      <c r="F1997" s="0" t="inlineStr">
        <is>
          <t>NULL</t>
        </is>
      </c>
      <c r="G1997" s="0" t="inlineStr">
        <is>
          <t>NULL</t>
        </is>
      </c>
      <c r="H1997" s="0" t="inlineStr">
        <is>
          <t>NULL</t>
        </is>
      </c>
      <c r="I1997" s="0" t="inlineStr">
        <is>
          <t>NULL</t>
        </is>
      </c>
      <c r="J1997" s="0" t="inlineStr">
        <is>
          <t>NULL</t>
        </is>
      </c>
      <c r="K1997" s="0" t="inlineStr">
        <is>
          <t>YES! 	 c_date列源备映射正确，源端为date None位	期望更改为date	实际备端为date None位</t>
        </is>
      </c>
    </row>
    <row r="1998">
      <c r="A1998" s="0" t="inlineStr">
        <is>
          <t>info_geography_dml_single_pk</t>
        </is>
      </c>
      <c r="K1998" s="0" t="inlineStr">
        <is>
          <t>[0;34m info_geography_dml_single_pk [0m源备字段数相同，源端字段：2 	备端字段2</t>
        </is>
      </c>
      <c r="W1998" s="0" t="inlineStr">
        <is>
          <t>YES 源备无差异</t>
        </is>
      </c>
      <c r="X1998" s="0">
        <f>A1998</f>
        <v/>
      </c>
    </row>
    <row r="1999">
      <c r="B1999" s="0" t="inlineStr">
        <is>
          <t>YES</t>
        </is>
      </c>
      <c r="C1999" s="0" t="inlineStr">
        <is>
          <t>NULL</t>
        </is>
      </c>
      <c r="D1999" s="0" t="inlineStr">
        <is>
          <t>NULL</t>
        </is>
      </c>
      <c r="E1999" s="0" t="inlineStr">
        <is>
          <t>NULL</t>
        </is>
      </c>
      <c r="F1999" s="0" t="inlineStr">
        <is>
          <t>NULL</t>
        </is>
      </c>
      <c r="G1999" s="0" t="inlineStr">
        <is>
          <t>NULL</t>
        </is>
      </c>
      <c r="H1999" s="0" t="inlineStr">
        <is>
          <t>NULL</t>
        </is>
      </c>
      <c r="I1999" s="0" t="inlineStr">
        <is>
          <t>YES!PK__info_geo__3213E83FFD6B584B</t>
        </is>
      </c>
      <c r="J1999" s="0" t="inlineStr">
        <is>
          <t>YES! 主键相关索引</t>
        </is>
      </c>
      <c r="K1999" s="0" t="inlineStr">
        <is>
          <t>YES! 	 id列源备映射正确，源端为int None位	期望更改为int	实际备端为int None位</t>
        </is>
      </c>
    </row>
    <row r="2000">
      <c r="B2000" s="0" t="inlineStr">
        <is>
          <t>NULL</t>
        </is>
      </c>
      <c r="C2000" s="0" t="inlineStr">
        <is>
          <t>NULL</t>
        </is>
      </c>
      <c r="D2000" s="0" t="inlineStr">
        <is>
          <t>NULL</t>
        </is>
      </c>
      <c r="E2000" s="0" t="inlineStr">
        <is>
          <t>NULL</t>
        </is>
      </c>
      <c r="F2000" s="0" t="inlineStr">
        <is>
          <t>NULL</t>
        </is>
      </c>
      <c r="G2000" s="0" t="inlineStr">
        <is>
          <t>NULL</t>
        </is>
      </c>
      <c r="H2000" s="0" t="inlineStr">
        <is>
          <t>NULL</t>
        </is>
      </c>
      <c r="I2000" s="0" t="inlineStr">
        <is>
          <t>NULL</t>
        </is>
      </c>
      <c r="J2000" s="0" t="inlineStr">
        <is>
          <t>NULL</t>
        </is>
      </c>
      <c r="K2000" s="0" t="inlineStr">
        <is>
          <t>YES! 	 c_geography列源备映射正确，源端为geography -1位	期望更改为geography	实际备端为geography -1位</t>
        </is>
      </c>
    </row>
    <row r="2001">
      <c r="A2001" s="0" t="inlineStr">
        <is>
          <t>info_geometry_dml_single_pk_irp</t>
        </is>
      </c>
      <c r="K2001" s="0" t="inlineStr">
        <is>
          <t>[0;34m info_geometry_dml_single_pk_irp [0m源备字段数相同，源端字段：2 	备端字段2</t>
        </is>
      </c>
      <c r="W2001" s="0" t="inlineStr">
        <is>
          <t>YES 源备无差异</t>
        </is>
      </c>
      <c r="X2001" s="0">
        <f>A2001</f>
        <v/>
      </c>
    </row>
    <row r="2002">
      <c r="B2002" s="0" t="inlineStr">
        <is>
          <t>YES</t>
        </is>
      </c>
      <c r="C2002" s="0" t="inlineStr">
        <is>
          <t>NULL</t>
        </is>
      </c>
      <c r="D2002" s="0" t="inlineStr">
        <is>
          <t>NULL</t>
        </is>
      </c>
      <c r="E2002" s="0" t="inlineStr">
        <is>
          <t>NULL</t>
        </is>
      </c>
      <c r="F2002" s="0" t="inlineStr">
        <is>
          <t>NULL</t>
        </is>
      </c>
      <c r="G2002" s="0" t="inlineStr">
        <is>
          <t>NULL</t>
        </is>
      </c>
      <c r="H2002" s="0" t="inlineStr">
        <is>
          <t>NULL</t>
        </is>
      </c>
      <c r="I2002" s="0" t="inlineStr">
        <is>
          <t>YES!PK__info_geo__3213E83F064D017F</t>
        </is>
      </c>
      <c r="J2002" s="0" t="inlineStr">
        <is>
          <t>YES! 主键相关索引</t>
        </is>
      </c>
      <c r="K2002" s="0" t="inlineStr">
        <is>
          <t>YES! 	 id列源备映射正确，源端为int None位	期望更改为int	实际备端为int None位</t>
        </is>
      </c>
    </row>
    <row r="2003">
      <c r="B2003" s="0" t="inlineStr">
        <is>
          <t>NULL</t>
        </is>
      </c>
      <c r="C2003" s="0" t="inlineStr">
        <is>
          <t>NULL</t>
        </is>
      </c>
      <c r="D2003" s="0" t="inlineStr">
        <is>
          <t>NULL</t>
        </is>
      </c>
      <c r="E2003" s="0" t="inlineStr">
        <is>
          <t>NULL</t>
        </is>
      </c>
      <c r="F2003" s="0" t="inlineStr">
        <is>
          <t>NULL</t>
        </is>
      </c>
      <c r="G2003" s="0" t="inlineStr">
        <is>
          <t>NULL</t>
        </is>
      </c>
      <c r="H2003" s="0" t="inlineStr">
        <is>
          <t>NULL</t>
        </is>
      </c>
      <c r="I2003" s="0" t="inlineStr">
        <is>
          <t>NULL</t>
        </is>
      </c>
      <c r="J2003" s="0" t="inlineStr">
        <is>
          <t>NULL</t>
        </is>
      </c>
      <c r="K2003" s="0" t="inlineStr">
        <is>
          <t>YES! 	 c_geometry列源备映射正确，源端为geometry -1位	期望更改为geometry	实际备端为geometry -1位</t>
        </is>
      </c>
    </row>
    <row r="2004">
      <c r="A2004" s="0" t="inlineStr">
        <is>
          <t>info_varbinary_dml_batch1_pk_irp2</t>
        </is>
      </c>
      <c r="K2004" s="0" t="inlineStr">
        <is>
          <t>[0;34m info_varbinary_dml_batch1_pk_irp2 [0m源备字段数相同，源端字段：4 	备端字段4</t>
        </is>
      </c>
      <c r="W2004" s="0" t="inlineStr">
        <is>
          <t>YES 源备无差异</t>
        </is>
      </c>
      <c r="X2004" s="0">
        <f>A2004</f>
        <v/>
      </c>
    </row>
    <row r="2005">
      <c r="B2005" s="0" t="inlineStr">
        <is>
          <t>YES</t>
        </is>
      </c>
      <c r="C2005" s="0" t="inlineStr">
        <is>
          <t>NULL</t>
        </is>
      </c>
      <c r="D2005" s="0" t="inlineStr">
        <is>
          <t>NULL</t>
        </is>
      </c>
      <c r="E2005" s="0" t="inlineStr">
        <is>
          <t>NULL</t>
        </is>
      </c>
      <c r="F2005" s="0" t="inlineStr">
        <is>
          <t>NULL</t>
        </is>
      </c>
      <c r="G2005" s="0" t="inlineStr">
        <is>
          <t>NULL</t>
        </is>
      </c>
      <c r="H2005" s="0" t="inlineStr">
        <is>
          <t>NULL</t>
        </is>
      </c>
      <c r="I2005" s="0" t="inlineStr">
        <is>
          <t>YES!PK__info_var__3213E83F34D14596</t>
        </is>
      </c>
      <c r="J2005" s="0" t="inlineStr">
        <is>
          <t>YES! 主键相关索引</t>
        </is>
      </c>
      <c r="K2005" s="0" t="inlineStr">
        <is>
          <t>YES! 	 id列源备映射正确，源端为int None位	期望更改为int	实际备端为int None位</t>
        </is>
      </c>
    </row>
    <row r="2006">
      <c r="B2006" s="0" t="inlineStr">
        <is>
          <t>NULL</t>
        </is>
      </c>
      <c r="C2006" s="0" t="inlineStr">
        <is>
          <t>NULL</t>
        </is>
      </c>
      <c r="D2006" s="0" t="inlineStr">
        <is>
          <t>NULL</t>
        </is>
      </c>
      <c r="E2006" s="0" t="inlineStr">
        <is>
          <t>NULL</t>
        </is>
      </c>
      <c r="F2006" s="0" t="inlineStr">
        <is>
          <t>NULL</t>
        </is>
      </c>
      <c r="G2006" s="0" t="inlineStr">
        <is>
          <t>NULL</t>
        </is>
      </c>
      <c r="H2006" s="0" t="inlineStr">
        <is>
          <t>NULL</t>
        </is>
      </c>
      <c r="I2006" s="0" t="inlineStr">
        <is>
          <t>NULL</t>
        </is>
      </c>
      <c r="J2006" s="0" t="inlineStr">
        <is>
          <t>NULL</t>
        </is>
      </c>
      <c r="K2006" s="0" t="inlineStr">
        <is>
          <t>YES! 	 c_varbinary列源备映射正确，源端为varbinary 1位	期望更改为varbinary(n)	实际备端为varbinary 1位</t>
        </is>
      </c>
    </row>
    <row r="2007">
      <c r="B2007" s="0" t="inlineStr">
        <is>
          <t>NULL</t>
        </is>
      </c>
      <c r="C2007" s="0" t="inlineStr">
        <is>
          <t>NULL</t>
        </is>
      </c>
      <c r="D2007" s="0" t="inlineStr">
        <is>
          <t>NULL</t>
        </is>
      </c>
      <c r="E2007" s="0" t="inlineStr">
        <is>
          <t>NULL</t>
        </is>
      </c>
      <c r="F2007" s="0" t="inlineStr">
        <is>
          <t>NULL</t>
        </is>
      </c>
      <c r="G2007" s="0" t="inlineStr">
        <is>
          <t>NULL</t>
        </is>
      </c>
      <c r="H2007" s="0" t="inlineStr">
        <is>
          <t>NULL</t>
        </is>
      </c>
      <c r="I2007" s="0" t="inlineStr">
        <is>
          <t>NULL</t>
        </is>
      </c>
      <c r="J2007" s="0" t="inlineStr">
        <is>
          <t>NULL</t>
        </is>
      </c>
      <c r="K2007" s="0" t="inlineStr">
        <is>
          <t>YES! 	 c_varbinary_100列源备映射正确，源端为varbinary 100位	期望更改为varbinary(n)	实际备端为varbinary 100位</t>
        </is>
      </c>
    </row>
    <row r="2008">
      <c r="B2008" s="0" t="inlineStr">
        <is>
          <t>NULL</t>
        </is>
      </c>
      <c r="C2008" s="0" t="inlineStr">
        <is>
          <t>NULL</t>
        </is>
      </c>
      <c r="D2008" s="0" t="inlineStr">
        <is>
          <t>NULL</t>
        </is>
      </c>
      <c r="E2008" s="0" t="inlineStr">
        <is>
          <t>NULL</t>
        </is>
      </c>
      <c r="F2008" s="0" t="inlineStr">
        <is>
          <t>NULL</t>
        </is>
      </c>
      <c r="G2008" s="0" t="inlineStr">
        <is>
          <t>NULL</t>
        </is>
      </c>
      <c r="H2008" s="0" t="inlineStr">
        <is>
          <t>NULL</t>
        </is>
      </c>
      <c r="I2008" s="0" t="inlineStr">
        <is>
          <t>NULL</t>
        </is>
      </c>
      <c r="J2008" s="0" t="inlineStr">
        <is>
          <t>NULL</t>
        </is>
      </c>
      <c r="K2008" s="0" t="inlineStr">
        <is>
          <t>YES! 	 c_varbinary_8000列源备映射正确，源端为varbinary 8000位	期望更改为varbinary(n)	实际备端为varbinary 8000位</t>
        </is>
      </c>
    </row>
    <row r="2009">
      <c r="A2009" s="0" t="inlineStr">
        <is>
          <t>info_time_dml_batch1_pk_irp1</t>
        </is>
      </c>
      <c r="K2009" s="0" t="inlineStr">
        <is>
          <t>[0;34m info_time_dml_batch1_pk_irp1 [0m源备字段数相同，源端字段：9 	备端字段9</t>
        </is>
      </c>
      <c r="W2009" s="0" t="inlineStr">
        <is>
          <t>YES 源备无差异</t>
        </is>
      </c>
      <c r="X2009" s="0">
        <f>A2009</f>
        <v/>
      </c>
    </row>
    <row r="2010">
      <c r="B2010" s="0" t="inlineStr">
        <is>
          <t>YES</t>
        </is>
      </c>
      <c r="C2010" s="0" t="inlineStr">
        <is>
          <t>NULL</t>
        </is>
      </c>
      <c r="D2010" s="0" t="inlineStr">
        <is>
          <t>NULL</t>
        </is>
      </c>
      <c r="E2010" s="0" t="inlineStr">
        <is>
          <t>NULL</t>
        </is>
      </c>
      <c r="F2010" s="0" t="inlineStr">
        <is>
          <t>NULL</t>
        </is>
      </c>
      <c r="G2010" s="0" t="inlineStr">
        <is>
          <t>NULL</t>
        </is>
      </c>
      <c r="H2010" s="0" t="inlineStr">
        <is>
          <t>NULL</t>
        </is>
      </c>
      <c r="I2010" s="0" t="inlineStr">
        <is>
          <t>YES!PK__info_tim__3213E83FE72A75AF</t>
        </is>
      </c>
      <c r="J2010" s="0" t="inlineStr">
        <is>
          <t>YES! 主键相关索引</t>
        </is>
      </c>
      <c r="K2010" s="0" t="inlineStr">
        <is>
          <t>YES! 	 id列源备映射正确，源端为int None位	期望更改为int	实际备端为int None位</t>
        </is>
      </c>
    </row>
    <row r="2011">
      <c r="B2011" s="0" t="inlineStr">
        <is>
          <t>NULL</t>
        </is>
      </c>
      <c r="C2011" s="0" t="inlineStr">
        <is>
          <t>NULL</t>
        </is>
      </c>
      <c r="D2011" s="0" t="inlineStr">
        <is>
          <t>NULL</t>
        </is>
      </c>
      <c r="E2011" s="0" t="inlineStr">
        <is>
          <t>NULL</t>
        </is>
      </c>
      <c r="F2011" s="0" t="inlineStr">
        <is>
          <t>NULL</t>
        </is>
      </c>
      <c r="G2011" s="0" t="inlineStr">
        <is>
          <t>NULL</t>
        </is>
      </c>
      <c r="H2011" s="0" t="inlineStr">
        <is>
          <t>NULL</t>
        </is>
      </c>
      <c r="I2011" s="0" t="inlineStr">
        <is>
          <t>NULL</t>
        </is>
      </c>
      <c r="J2011" s="0" t="inlineStr">
        <is>
          <t>NULL</t>
        </is>
      </c>
      <c r="K2011" s="0" t="inlineStr">
        <is>
          <t>no,len不存在</t>
        </is>
      </c>
    </row>
    <row r="2012">
      <c r="B2012" s="0" t="inlineStr">
        <is>
          <t>NULL</t>
        </is>
      </c>
      <c r="C2012" s="0" t="inlineStr">
        <is>
          <t>NULL</t>
        </is>
      </c>
      <c r="D2012" s="0" t="inlineStr">
        <is>
          <t>NULL</t>
        </is>
      </c>
      <c r="E2012" s="0" t="inlineStr">
        <is>
          <t>NULL</t>
        </is>
      </c>
      <c r="F2012" s="0" t="inlineStr">
        <is>
          <t>NULL</t>
        </is>
      </c>
      <c r="G2012" s="0" t="inlineStr">
        <is>
          <t>NULL</t>
        </is>
      </c>
      <c r="H2012" s="0" t="inlineStr">
        <is>
          <t>NULL</t>
        </is>
      </c>
      <c r="I2012" s="0" t="inlineStr">
        <is>
          <t>NULL</t>
        </is>
      </c>
      <c r="J2012" s="0" t="inlineStr">
        <is>
          <t>NULL</t>
        </is>
      </c>
      <c r="K2012" s="0" t="inlineStr">
        <is>
          <t>YES! 	 c_time1列源备映射正确，源端为time None位	期望更改为time(n)	实际备端为time None位</t>
        </is>
      </c>
    </row>
    <row r="2013">
      <c r="B2013" s="0" t="inlineStr">
        <is>
          <t>NULL</t>
        </is>
      </c>
      <c r="C2013" s="0" t="inlineStr">
        <is>
          <t>NULL</t>
        </is>
      </c>
      <c r="D2013" s="0" t="inlineStr">
        <is>
          <t>NULL</t>
        </is>
      </c>
      <c r="E2013" s="0" t="inlineStr">
        <is>
          <t>NULL</t>
        </is>
      </c>
      <c r="F2013" s="0" t="inlineStr">
        <is>
          <t>NULL</t>
        </is>
      </c>
      <c r="G2013" s="0" t="inlineStr">
        <is>
          <t>NULL</t>
        </is>
      </c>
      <c r="H2013" s="0" t="inlineStr">
        <is>
          <t>NULL</t>
        </is>
      </c>
      <c r="I2013" s="0" t="inlineStr">
        <is>
          <t>NULL</t>
        </is>
      </c>
      <c r="J2013" s="0" t="inlineStr">
        <is>
          <t>NULL</t>
        </is>
      </c>
      <c r="K2013" s="0" t="inlineStr">
        <is>
          <t>YES! 	 c_time2列源备映射正确，源端为time None位	期望更改为time(n)	实际备端为time None位</t>
        </is>
      </c>
    </row>
    <row r="2014">
      <c r="B2014" s="0" t="inlineStr">
        <is>
          <t>NULL</t>
        </is>
      </c>
      <c r="C2014" s="0" t="inlineStr">
        <is>
          <t>NULL</t>
        </is>
      </c>
      <c r="D2014" s="0" t="inlineStr">
        <is>
          <t>NULL</t>
        </is>
      </c>
      <c r="E2014" s="0" t="inlineStr">
        <is>
          <t>NULL</t>
        </is>
      </c>
      <c r="F2014" s="0" t="inlineStr">
        <is>
          <t>NULL</t>
        </is>
      </c>
      <c r="G2014" s="0" t="inlineStr">
        <is>
          <t>NULL</t>
        </is>
      </c>
      <c r="H2014" s="0" t="inlineStr">
        <is>
          <t>NULL</t>
        </is>
      </c>
      <c r="I2014" s="0" t="inlineStr">
        <is>
          <t>NULL</t>
        </is>
      </c>
      <c r="J2014" s="0" t="inlineStr">
        <is>
          <t>NULL</t>
        </is>
      </c>
      <c r="K2014" s="0" t="inlineStr">
        <is>
          <t>YES! 	 c_time3列源备映射正确，源端为time None位	期望更改为time(n)	实际备端为time None位</t>
        </is>
      </c>
    </row>
    <row r="2015">
      <c r="B2015" s="0" t="inlineStr">
        <is>
          <t>NULL</t>
        </is>
      </c>
      <c r="C2015" s="0" t="inlineStr">
        <is>
          <t>NULL</t>
        </is>
      </c>
      <c r="D2015" s="0" t="inlineStr">
        <is>
          <t>NULL</t>
        </is>
      </c>
      <c r="E2015" s="0" t="inlineStr">
        <is>
          <t>NULL</t>
        </is>
      </c>
      <c r="F2015" s="0" t="inlineStr">
        <is>
          <t>NULL</t>
        </is>
      </c>
      <c r="G2015" s="0" t="inlineStr">
        <is>
          <t>NULL</t>
        </is>
      </c>
      <c r="H2015" s="0" t="inlineStr">
        <is>
          <t>NULL</t>
        </is>
      </c>
      <c r="I2015" s="0" t="inlineStr">
        <is>
          <t>NULL</t>
        </is>
      </c>
      <c r="J2015" s="0" t="inlineStr">
        <is>
          <t>NULL</t>
        </is>
      </c>
      <c r="K2015" s="0" t="inlineStr">
        <is>
          <t>YES! 	 c_time4列源备映射正确，源端为time None位	期望更改为time(n)	实际备端为time None位</t>
        </is>
      </c>
    </row>
    <row r="2016">
      <c r="B2016" s="0" t="inlineStr">
        <is>
          <t>NULL</t>
        </is>
      </c>
      <c r="C2016" s="0" t="inlineStr">
        <is>
          <t>NULL</t>
        </is>
      </c>
      <c r="D2016" s="0" t="inlineStr">
        <is>
          <t>NULL</t>
        </is>
      </c>
      <c r="E2016" s="0" t="inlineStr">
        <is>
          <t>NULL</t>
        </is>
      </c>
      <c r="F2016" s="0" t="inlineStr">
        <is>
          <t>NULL</t>
        </is>
      </c>
      <c r="G2016" s="0" t="inlineStr">
        <is>
          <t>NULL</t>
        </is>
      </c>
      <c r="H2016" s="0" t="inlineStr">
        <is>
          <t>NULL</t>
        </is>
      </c>
      <c r="I2016" s="0" t="inlineStr">
        <is>
          <t>NULL</t>
        </is>
      </c>
      <c r="J2016" s="0" t="inlineStr">
        <is>
          <t>NULL</t>
        </is>
      </c>
      <c r="K2016" s="0" t="inlineStr">
        <is>
          <t>YES! 	 c_time5列源备映射正确，源端为time None位	期望更改为time(n)	实际备端为time None位</t>
        </is>
      </c>
    </row>
    <row r="2017">
      <c r="B2017" s="0" t="inlineStr">
        <is>
          <t>NULL</t>
        </is>
      </c>
      <c r="C2017" s="0" t="inlineStr">
        <is>
          <t>NULL</t>
        </is>
      </c>
      <c r="D2017" s="0" t="inlineStr">
        <is>
          <t>NULL</t>
        </is>
      </c>
      <c r="E2017" s="0" t="inlineStr">
        <is>
          <t>NULL</t>
        </is>
      </c>
      <c r="F2017" s="0" t="inlineStr">
        <is>
          <t>NULL</t>
        </is>
      </c>
      <c r="G2017" s="0" t="inlineStr">
        <is>
          <t>NULL</t>
        </is>
      </c>
      <c r="H2017" s="0" t="inlineStr">
        <is>
          <t>NULL</t>
        </is>
      </c>
      <c r="I2017" s="0" t="inlineStr">
        <is>
          <t>NULL</t>
        </is>
      </c>
      <c r="J2017" s="0" t="inlineStr">
        <is>
          <t>NULL</t>
        </is>
      </c>
      <c r="K2017" s="0" t="inlineStr">
        <is>
          <t>YES! 	 c_time6列源备映射正确，源端为time None位	期望更改为time(n)	实际备端为time None位</t>
        </is>
      </c>
    </row>
    <row r="2018">
      <c r="B2018" s="0" t="inlineStr">
        <is>
          <t>NULL</t>
        </is>
      </c>
      <c r="C2018" s="0" t="inlineStr">
        <is>
          <t>NULL</t>
        </is>
      </c>
      <c r="D2018" s="0" t="inlineStr">
        <is>
          <t>NULL</t>
        </is>
      </c>
      <c r="E2018" s="0" t="inlineStr">
        <is>
          <t>NULL</t>
        </is>
      </c>
      <c r="F2018" s="0" t="inlineStr">
        <is>
          <t>NULL</t>
        </is>
      </c>
      <c r="G2018" s="0" t="inlineStr">
        <is>
          <t>NULL</t>
        </is>
      </c>
      <c r="H2018" s="0" t="inlineStr">
        <is>
          <t>NULL</t>
        </is>
      </c>
      <c r="I2018" s="0" t="inlineStr">
        <is>
          <t>NULL</t>
        </is>
      </c>
      <c r="J2018" s="0" t="inlineStr">
        <is>
          <t>NULL</t>
        </is>
      </c>
      <c r="K2018" s="0" t="inlineStr">
        <is>
          <t>YES! 	 c_time列源备映射正确，源端为time None位	期望更改为time(n)	实际备端为time None位</t>
        </is>
      </c>
    </row>
    <row r="2019">
      <c r="A2019" s="0" t="inlineStr">
        <is>
          <t>info_varbinary_dml_batch2_pk_irp1</t>
        </is>
      </c>
      <c r="K2019" s="0" t="inlineStr">
        <is>
          <t>[0;34m info_varbinary_dml_batch2_pk_irp1 [0m源备字段数相同，源端字段：4 	备端字段4</t>
        </is>
      </c>
      <c r="W2019" s="0" t="inlineStr">
        <is>
          <t>YES 源备无差异</t>
        </is>
      </c>
      <c r="X2019" s="0">
        <f>A2019</f>
        <v/>
      </c>
    </row>
    <row r="2020">
      <c r="B2020" s="0" t="inlineStr">
        <is>
          <t>YES</t>
        </is>
      </c>
      <c r="C2020" s="0" t="inlineStr">
        <is>
          <t>NULL</t>
        </is>
      </c>
      <c r="D2020" s="0" t="inlineStr">
        <is>
          <t>NULL</t>
        </is>
      </c>
      <c r="E2020" s="0" t="inlineStr">
        <is>
          <t>NULL</t>
        </is>
      </c>
      <c r="F2020" s="0" t="inlineStr">
        <is>
          <t>NULL</t>
        </is>
      </c>
      <c r="G2020" s="0" t="inlineStr">
        <is>
          <t>NULL</t>
        </is>
      </c>
      <c r="H2020" s="0" t="inlineStr">
        <is>
          <t>NULL</t>
        </is>
      </c>
      <c r="I2020" s="0" t="inlineStr">
        <is>
          <t>YES!PK__info_var__3213E83F593F6778</t>
        </is>
      </c>
      <c r="J2020" s="0" t="inlineStr">
        <is>
          <t>YES! 主键相关索引</t>
        </is>
      </c>
      <c r="K2020" s="0" t="inlineStr">
        <is>
          <t>YES! 	 id列源备映射正确，源端为int None位	期望更改为int	实际备端为int None位</t>
        </is>
      </c>
    </row>
    <row r="2021">
      <c r="B2021" s="0" t="inlineStr">
        <is>
          <t>NULL</t>
        </is>
      </c>
      <c r="C2021" s="0" t="inlineStr">
        <is>
          <t>NULL</t>
        </is>
      </c>
      <c r="D2021" s="0" t="inlineStr">
        <is>
          <t>NULL</t>
        </is>
      </c>
      <c r="E2021" s="0" t="inlineStr">
        <is>
          <t>NULL</t>
        </is>
      </c>
      <c r="F2021" s="0" t="inlineStr">
        <is>
          <t>NULL</t>
        </is>
      </c>
      <c r="G2021" s="0" t="inlineStr">
        <is>
          <t>NULL</t>
        </is>
      </c>
      <c r="H2021" s="0" t="inlineStr">
        <is>
          <t>NULL</t>
        </is>
      </c>
      <c r="I2021" s="0" t="inlineStr">
        <is>
          <t>NULL</t>
        </is>
      </c>
      <c r="J2021" s="0" t="inlineStr">
        <is>
          <t>NULL</t>
        </is>
      </c>
      <c r="K2021" s="0" t="inlineStr">
        <is>
          <t>YES! 	 c_varbinary列源备映射正确，源端为varbinary 1位	期望更改为varbinary(n)	实际备端为varbinary 1位</t>
        </is>
      </c>
    </row>
    <row r="2022">
      <c r="B2022" s="0" t="inlineStr">
        <is>
          <t>NULL</t>
        </is>
      </c>
      <c r="C2022" s="0" t="inlineStr">
        <is>
          <t>NULL</t>
        </is>
      </c>
      <c r="D2022" s="0" t="inlineStr">
        <is>
          <t>NULL</t>
        </is>
      </c>
      <c r="E2022" s="0" t="inlineStr">
        <is>
          <t>NULL</t>
        </is>
      </c>
      <c r="F2022" s="0" t="inlineStr">
        <is>
          <t>NULL</t>
        </is>
      </c>
      <c r="G2022" s="0" t="inlineStr">
        <is>
          <t>NULL</t>
        </is>
      </c>
      <c r="H2022" s="0" t="inlineStr">
        <is>
          <t>NULL</t>
        </is>
      </c>
      <c r="I2022" s="0" t="inlineStr">
        <is>
          <t>NULL</t>
        </is>
      </c>
      <c r="J2022" s="0" t="inlineStr">
        <is>
          <t>NULL</t>
        </is>
      </c>
      <c r="K2022" s="0" t="inlineStr">
        <is>
          <t>YES! 	 c_varbinary_100列源备映射正确，源端为varbinary 100位	期望更改为varbinary(n)	实际备端为varbinary 100位</t>
        </is>
      </c>
    </row>
    <row r="2023">
      <c r="B2023" s="0" t="inlineStr">
        <is>
          <t>NULL</t>
        </is>
      </c>
      <c r="C2023" s="0" t="inlineStr">
        <is>
          <t>NULL</t>
        </is>
      </c>
      <c r="D2023" s="0" t="inlineStr">
        <is>
          <t>NULL</t>
        </is>
      </c>
      <c r="E2023" s="0" t="inlineStr">
        <is>
          <t>NULL</t>
        </is>
      </c>
      <c r="F2023" s="0" t="inlineStr">
        <is>
          <t>NULL</t>
        </is>
      </c>
      <c r="G2023" s="0" t="inlineStr">
        <is>
          <t>NULL</t>
        </is>
      </c>
      <c r="H2023" s="0" t="inlineStr">
        <is>
          <t>NULL</t>
        </is>
      </c>
      <c r="I2023" s="0" t="inlineStr">
        <is>
          <t>NULL</t>
        </is>
      </c>
      <c r="J2023" s="0" t="inlineStr">
        <is>
          <t>NULL</t>
        </is>
      </c>
      <c r="K2023" s="0" t="inlineStr">
        <is>
          <t>YES! 	 c_varbinary_8000列源备映射正确，源端为varbinary 8000位	期望更改为varbinary(n)	实际备端为varbinary 8000位</t>
        </is>
      </c>
    </row>
  </sheetData>
  <autoFilter ref="A2:X2023"/>
  <mergeCells count="303">
    <mergeCell ref="A1146:A1150"/>
    <mergeCell ref="A645:A649"/>
    <mergeCell ref="A26:A28"/>
    <mergeCell ref="A1098:A1100"/>
    <mergeCell ref="A1548:A1557"/>
    <mergeCell ref="A1074:A1078"/>
    <mergeCell ref="A416:A436"/>
    <mergeCell ref="A1667:A1671"/>
    <mergeCell ref="A442:A445"/>
    <mergeCell ref="A1987:A1989"/>
    <mergeCell ref="A23:A25"/>
    <mergeCell ref="A1756:A1758"/>
    <mergeCell ref="A299:A301"/>
    <mergeCell ref="A1334:A1338"/>
    <mergeCell ref="A715:A717"/>
    <mergeCell ref="A1188:A1190"/>
    <mergeCell ref="A1388:A1398"/>
    <mergeCell ref="A671:A675"/>
    <mergeCell ref="A265:A269"/>
    <mergeCell ref="A1483:A1492"/>
    <mergeCell ref="A2009:A2018"/>
    <mergeCell ref="A155:A157"/>
    <mergeCell ref="A13:A17"/>
    <mergeCell ref="A437:A441"/>
    <mergeCell ref="A929:A938"/>
    <mergeCell ref="A446:A450"/>
    <mergeCell ref="A1910:A1914"/>
    <mergeCell ref="A589:A591"/>
    <mergeCell ref="A925:A928"/>
    <mergeCell ref="A1958:A1960"/>
    <mergeCell ref="A87:A96"/>
    <mergeCell ref="A132:A136"/>
    <mergeCell ref="A158:A167"/>
    <mergeCell ref="A641:A644"/>
    <mergeCell ref="A788:A813"/>
    <mergeCell ref="A222:A224"/>
    <mergeCell ref="A1508:A1517"/>
    <mergeCell ref="A1934:A1936"/>
    <mergeCell ref="A862:A887"/>
    <mergeCell ref="A82:A86"/>
    <mergeCell ref="A1038:A1040"/>
    <mergeCell ref="A1151:A1153"/>
    <mergeCell ref="A1759:A1764"/>
    <mergeCell ref="A1706:A1726"/>
    <mergeCell ref="A563:A588"/>
    <mergeCell ref="A1568:A1577"/>
    <mergeCell ref="A1425:A1429"/>
    <mergeCell ref="A196:A198"/>
    <mergeCell ref="A1701:A1705"/>
    <mergeCell ref="A2001:A2003"/>
    <mergeCell ref="A214:A216"/>
    <mergeCell ref="A1180:A1182"/>
    <mergeCell ref="A1622:A1624"/>
    <mergeCell ref="A636:A640"/>
    <mergeCell ref="A244:A264"/>
    <mergeCell ref="A698:A702"/>
    <mergeCell ref="A920:A924"/>
    <mergeCell ref="A1578:A1582"/>
    <mergeCell ref="A1727:A1729"/>
    <mergeCell ref="A955:A964"/>
    <mergeCell ref="A1735:A1755"/>
    <mergeCell ref="A1907:A1909"/>
    <mergeCell ref="A1238:A1247"/>
    <mergeCell ref="A1375:A1384"/>
    <mergeCell ref="A1920:A1922"/>
    <mergeCell ref="A2019:A2023"/>
    <mergeCell ref="A1730:A1734"/>
    <mergeCell ref="A181:A190"/>
    <mergeCell ref="A1523:A1532"/>
    <mergeCell ref="A18:A22"/>
    <mergeCell ref="A1984:A1986"/>
    <mergeCell ref="A294:A298"/>
    <mergeCell ref="A1008:A1010"/>
    <mergeCell ref="A1518:A1522"/>
    <mergeCell ref="A592:A596"/>
    <mergeCell ref="A1596:A1601"/>
    <mergeCell ref="A991:A1000"/>
    <mergeCell ref="A1558:A1562"/>
    <mergeCell ref="A1583:A1585"/>
    <mergeCell ref="A1033:A1037"/>
    <mergeCell ref="A972:A981"/>
    <mergeCell ref="A1533:A1537"/>
    <mergeCell ref="A1402:A1406"/>
    <mergeCell ref="A527:A552"/>
    <mergeCell ref="A506:A526"/>
    <mergeCell ref="A653:A658"/>
    <mergeCell ref="A97:A99"/>
    <mergeCell ref="A1448:A1457"/>
    <mergeCell ref="A1638:A1642"/>
    <mergeCell ref="A1410:A1419"/>
    <mergeCell ref="A1443:A1447"/>
    <mergeCell ref="A1154:A1158"/>
    <mergeCell ref="A817:A842"/>
    <mergeCell ref="A411:A415"/>
    <mergeCell ref="A44:A48"/>
    <mergeCell ref="A969:A971"/>
    <mergeCell ref="A1122:A1124"/>
    <mergeCell ref="A1211:A1213"/>
    <mergeCell ref="A1201:A1210"/>
    <mergeCell ref="A113:A123"/>
    <mergeCell ref="A1979:A1983"/>
    <mergeCell ref="A199:A203"/>
    <mergeCell ref="A814:A816"/>
    <mergeCell ref="A1025:A1029"/>
    <mergeCell ref="A735:A737"/>
    <mergeCell ref="A1177:A1179"/>
    <mergeCell ref="A888:A890"/>
    <mergeCell ref="A1196:A1200"/>
    <mergeCell ref="A1183:A1187"/>
    <mergeCell ref="A1468:A1477"/>
    <mergeCell ref="A1972:A1975"/>
    <mergeCell ref="A1051:A1053"/>
    <mergeCell ref="A1458:A1467"/>
    <mergeCell ref="A1818:A1839"/>
    <mergeCell ref="A663:A665"/>
    <mergeCell ref="A176:A180"/>
    <mergeCell ref="A1283:A1292"/>
    <mergeCell ref="A1607:A1616"/>
    <mergeCell ref="A1698:A1700"/>
    <mergeCell ref="A1478:A1482"/>
    <mergeCell ref="A1949:A1951"/>
    <mergeCell ref="A1059:A1063"/>
    <mergeCell ref="A1101:A1103"/>
    <mergeCell ref="A1899:A1903"/>
    <mergeCell ref="A986:A990"/>
    <mergeCell ref="A1990:A1994"/>
    <mergeCell ref="A1004:A1007"/>
    <mergeCell ref="A1399:A1401"/>
    <mergeCell ref="A367:A369"/>
    <mergeCell ref="A225:A229"/>
    <mergeCell ref="A54:A56"/>
    <mergeCell ref="A727:A729"/>
    <mergeCell ref="A1318:A1320"/>
    <mergeCell ref="A1349:A1353"/>
    <mergeCell ref="A1308:A1317"/>
    <mergeCell ref="A949:A954"/>
    <mergeCell ref="A703:A707"/>
    <mergeCell ref="A1440:A1442"/>
    <mergeCell ref="A1064:A1073"/>
    <mergeCell ref="A124:A126"/>
    <mergeCell ref="A690:A694"/>
    <mergeCell ref="A1357:A1366"/>
    <mergeCell ref="A784:A787"/>
    <mergeCell ref="A1943:A1948"/>
    <mergeCell ref="A851:A853"/>
    <mergeCell ref="A1966:A1968"/>
    <mergeCell ref="A273:A293"/>
    <mergeCell ref="A1136:A1145"/>
    <mergeCell ref="A916:A919"/>
    <mergeCell ref="A1869:A1889"/>
    <mergeCell ref="A503:A505"/>
    <mergeCell ref="A137:A141"/>
    <mergeCell ref="A965:A968"/>
    <mergeCell ref="A1765:A1785"/>
    <mergeCell ref="A1293:A1302"/>
    <mergeCell ref="A1976:A1978"/>
    <mergeCell ref="A2004:A2008"/>
    <mergeCell ref="A217:A221"/>
    <mergeCell ref="A1223:A1227"/>
    <mergeCell ref="A1563:A1567"/>
    <mergeCell ref="A1625:A1629"/>
    <mergeCell ref="A375:A379"/>
    <mergeCell ref="A204:A208"/>
    <mergeCell ref="A553:A557"/>
    <mergeCell ref="A1107:A1116"/>
    <mergeCell ref="A1093:A1097"/>
    <mergeCell ref="A1258:A1262"/>
    <mergeCell ref="A29:A38"/>
    <mergeCell ref="A1952:A1954"/>
    <mergeCell ref="A341:A345"/>
    <mergeCell ref="A843:A845"/>
    <mergeCell ref="A1104:A1106"/>
    <mergeCell ref="A666:A670"/>
    <mergeCell ref="A1079:A1081"/>
    <mergeCell ref="A1815:A1817"/>
    <mergeCell ref="A1117:A1121"/>
    <mergeCell ref="A747:A750"/>
    <mergeCell ref="A906:A915"/>
    <mergeCell ref="A1643:A1663"/>
    <mergeCell ref="A1937:A1939"/>
    <mergeCell ref="A708:A711"/>
    <mergeCell ref="A100:A104"/>
    <mergeCell ref="A336:A340"/>
    <mergeCell ref="A1786:A1788"/>
    <mergeCell ref="A1895:A1898"/>
    <mergeCell ref="A1370:A1374"/>
    <mergeCell ref="A854:A856"/>
    <mergeCell ref="A270:A272"/>
    <mergeCell ref="A127:A131"/>
    <mergeCell ref="A152:A154"/>
    <mergeCell ref="A982:A985"/>
    <mergeCell ref="A1263:A1272"/>
    <mergeCell ref="A1354:A1356"/>
    <mergeCell ref="A1929:A1933"/>
    <mergeCell ref="A1923:A1925"/>
    <mergeCell ref="A230:A234"/>
    <mergeCell ref="A142:A146"/>
    <mergeCell ref="A191:A195"/>
    <mergeCell ref="A238:A243"/>
    <mergeCell ref="A742:A746"/>
    <mergeCell ref="A1321:A1330"/>
    <mergeCell ref="A39:A43"/>
    <mergeCell ref="A1248:A1257"/>
    <mergeCell ref="A781:A783"/>
    <mergeCell ref="A1130:A1132"/>
    <mergeCell ref="A1214:A1219"/>
    <mergeCell ref="A3:A12"/>
    <mergeCell ref="A1664:A1666"/>
    <mergeCell ref="A1890:A1894"/>
    <mergeCell ref="A1940:A1942"/>
    <mergeCell ref="A1955:A1957"/>
    <mergeCell ref="A1001:A1003"/>
    <mergeCell ref="A712:A714"/>
    <mergeCell ref="A370:A374"/>
    <mergeCell ref="A1273:A1282"/>
    <mergeCell ref="A755:A780"/>
    <mergeCell ref="A891:A895"/>
    <mergeCell ref="A1794:A1814"/>
    <mergeCell ref="A718:A722"/>
    <mergeCell ref="A1367:A1369"/>
    <mergeCell ref="A695:A697"/>
    <mergeCell ref="A72:A81"/>
    <mergeCell ref="A235:A237"/>
    <mergeCell ref="A1407:A1409"/>
    <mergeCell ref="A312:A332"/>
    <mergeCell ref="A857:A861"/>
    <mergeCell ref="A896:A905"/>
    <mergeCell ref="A1789:A1793"/>
    <mergeCell ref="A751:A754"/>
    <mergeCell ref="A1926:A1928"/>
    <mergeCell ref="A1133:A1135"/>
    <mergeCell ref="A1220:A1222"/>
    <mergeCell ref="A307:A311"/>
    <mergeCell ref="A62:A71"/>
    <mergeCell ref="A1041:A1050"/>
    <mergeCell ref="A1191:A1195"/>
    <mergeCell ref="A1339:A1348"/>
    <mergeCell ref="A105:A109"/>
    <mergeCell ref="A558:A562"/>
    <mergeCell ref="A451:A471"/>
    <mergeCell ref="A1011:A1014"/>
    <mergeCell ref="A1602:A1606"/>
    <mergeCell ref="A57:A61"/>
    <mergeCell ref="A406:A410"/>
    <mergeCell ref="A1303:A1307"/>
    <mergeCell ref="A302:A306"/>
    <mergeCell ref="A1617:A1621"/>
    <mergeCell ref="A631:A635"/>
    <mergeCell ref="A650:A652"/>
    <mergeCell ref="A1635:A1637"/>
    <mergeCell ref="A1015:A1024"/>
    <mergeCell ref="A1054:A1058"/>
    <mergeCell ref="A1998:A2000"/>
    <mergeCell ref="A1125:A1129"/>
    <mergeCell ref="A597:A601"/>
    <mergeCell ref="A659:A662"/>
    <mergeCell ref="A681:A685"/>
    <mergeCell ref="A1159:A1161"/>
    <mergeCell ref="A209:A213"/>
    <mergeCell ref="A333:A335"/>
    <mergeCell ref="A147:A151"/>
    <mergeCell ref="A477:A497"/>
    <mergeCell ref="A171:A175"/>
    <mergeCell ref="A1904:A1906"/>
    <mergeCell ref="A1969:A1971"/>
    <mergeCell ref="A1228:A1237"/>
    <mergeCell ref="A723:A726"/>
    <mergeCell ref="A730:A734"/>
    <mergeCell ref="A939:A948"/>
    <mergeCell ref="A1030:A1032"/>
    <mergeCell ref="A1385:A1387"/>
    <mergeCell ref="A1082:A1092"/>
    <mergeCell ref="A1498:A1507"/>
    <mergeCell ref="A1538:A1547"/>
    <mergeCell ref="A49:A53"/>
    <mergeCell ref="A1840:A1842"/>
    <mergeCell ref="A738:A741"/>
    <mergeCell ref="A602:A627"/>
    <mergeCell ref="A110:A112"/>
    <mergeCell ref="A1493:A1497"/>
    <mergeCell ref="A346:A366"/>
    <mergeCell ref="A676:A680"/>
    <mergeCell ref="A1430:A1439"/>
    <mergeCell ref="A1630:A1634"/>
    <mergeCell ref="A380:A405"/>
    <mergeCell ref="A1331:A1333"/>
    <mergeCell ref="A498:A502"/>
    <mergeCell ref="A628:A630"/>
    <mergeCell ref="A168:A170"/>
    <mergeCell ref="A1915:A1919"/>
    <mergeCell ref="A1586:A1595"/>
    <mergeCell ref="A1677:A1697"/>
    <mergeCell ref="A1848:A1868"/>
    <mergeCell ref="A846:A850"/>
    <mergeCell ref="A1672:A1676"/>
    <mergeCell ref="A1167:A1176"/>
    <mergeCell ref="A1843:A1847"/>
    <mergeCell ref="A1961:A1965"/>
    <mergeCell ref="A1995:A1997"/>
    <mergeCell ref="A472:A476"/>
    <mergeCell ref="A1420:A1424"/>
    <mergeCell ref="A686:A689"/>
    <mergeCell ref="A1162:A116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023"/>
  <sheetViews>
    <sheetView tabSelected="1" workbookViewId="0">
      <selection activeCell="A1" sqref="A1"/>
    </sheetView>
  </sheetViews>
  <sheetFormatPr baseColWidth="8" defaultColWidth="9" defaultRowHeight="13.5"/>
  <sheetData>
    <row r="1">
      <c r="A1" s="0" t="inlineStr">
        <is>
          <t>sqlserver -- 2026051816sqlserver</t>
        </is>
      </c>
      <c r="E1" s="0" t="inlineStr">
        <is>
          <t>源端共计 303个表，备端共计 303个表</t>
        </is>
      </c>
    </row>
    <row r="2">
      <c r="A2" s="0" t="inlineStr">
        <is>
          <t>表名</t>
        </is>
      </c>
      <c r="B2" s="0" t="inlineStr">
        <is>
          <t>pk</t>
        </is>
      </c>
      <c r="C2" s="0" t="inlineStr">
        <is>
          <t>default</t>
        </is>
      </c>
      <c r="D2" s="0" t="inlineStr">
        <is>
          <t>唯一</t>
        </is>
      </c>
      <c r="E2" s="0" t="inlineStr">
        <is>
          <t>复合唯一</t>
        </is>
      </c>
      <c r="F2" s="0" t="inlineStr">
        <is>
          <t>check</t>
        </is>
      </c>
      <c r="G2" s="0" t="inlineStr">
        <is>
          <t>源ck_def</t>
        </is>
      </c>
      <c r="H2" s="0" t="inlineStr">
        <is>
          <t>备check</t>
        </is>
      </c>
      <c r="I2" s="0" t="inlineStr">
        <is>
          <t>索引</t>
        </is>
      </c>
      <c r="J2" s="0" t="inlineStr">
        <is>
          <t>复合索引</t>
        </is>
      </c>
      <c r="K2" s="0" t="inlineStr">
        <is>
          <t>状态</t>
        </is>
      </c>
      <c r="W2" s="0" t="inlineStr">
        <is>
          <t>表内容</t>
        </is>
      </c>
    </row>
    <row r="3">
      <c r="A3" s="0" t="inlineStr">
        <is>
          <t>info_geometry_dml_single_pk_urp</t>
        </is>
      </c>
      <c r="K3" s="0" t="inlineStr">
        <is>
          <t>[0;34m info_geometry_dml_single_pk_urp [0m源备字段数相同，源端字段：2 	备端字段2</t>
        </is>
      </c>
      <c r="W3" s="0" t="inlineStr">
        <is>
          <t>YES 源备无差异</t>
        </is>
      </c>
      <c r="X3" s="0">
        <f>A3</f>
        <v/>
      </c>
    </row>
    <row r="4">
      <c r="B4" s="0" t="inlineStr">
        <is>
          <t>YES</t>
        </is>
      </c>
      <c r="C4" s="0" t="inlineStr">
        <is>
          <t>NULL</t>
        </is>
      </c>
      <c r="D4" s="0" t="inlineStr">
        <is>
          <t>NULL</t>
        </is>
      </c>
      <c r="E4" s="0" t="inlineStr">
        <is>
          <t>NULL</t>
        </is>
      </c>
      <c r="F4" s="0" t="inlineStr">
        <is>
          <t>NULL</t>
        </is>
      </c>
      <c r="G4" s="0" t="inlineStr">
        <is>
          <t>NULL</t>
        </is>
      </c>
      <c r="H4" s="0" t="inlineStr">
        <is>
          <t>NULL</t>
        </is>
      </c>
      <c r="I4" s="0" t="inlineStr">
        <is>
          <t>YES!PK__info_geo__3213E83F295FBDD4</t>
        </is>
      </c>
      <c r="J4" s="0" t="inlineStr">
        <is>
          <t>YES! 主键相关索引</t>
        </is>
      </c>
      <c r="K4" s="0" t="inlineStr">
        <is>
          <t>YES! 	 id列源备映射正确，源端为int None位	期望更改为int	实际备端为int None位</t>
        </is>
      </c>
    </row>
    <row r="5">
      <c r="B5" s="0" t="inlineStr">
        <is>
          <t>NULL</t>
        </is>
      </c>
      <c r="C5" s="0" t="inlineStr">
        <is>
          <t>NULL</t>
        </is>
      </c>
      <c r="D5" s="0" t="inlineStr">
        <is>
          <t>NULL</t>
        </is>
      </c>
      <c r="E5" s="0" t="inlineStr">
        <is>
          <t>NULL</t>
        </is>
      </c>
      <c r="F5" s="0" t="inlineStr">
        <is>
          <t>NULL</t>
        </is>
      </c>
      <c r="G5" s="0" t="inlineStr">
        <is>
          <t>NULL</t>
        </is>
      </c>
      <c r="H5" s="0" t="inlineStr">
        <is>
          <t>NULL</t>
        </is>
      </c>
      <c r="I5" s="0" t="inlineStr">
        <is>
          <t>NULL</t>
        </is>
      </c>
      <c r="J5" s="0" t="inlineStr">
        <is>
          <t>NULL</t>
        </is>
      </c>
      <c r="K5" s="0" t="inlineStr">
        <is>
          <t>YES! 	 c_geometry列源备映射正确，源端为geometry -1位	期望更改为geometry	实际备端为geometry -1位</t>
        </is>
      </c>
    </row>
    <row r="6">
      <c r="A6" s="0" t="inlineStr">
        <is>
          <t>info_time_dml_batch1_pk_irp2</t>
        </is>
      </c>
      <c r="K6" s="0" t="inlineStr">
        <is>
          <t>[0;34m info_time_dml_batch1_pk_irp2 [0m源备字段数相同，源端字段：9 	备端字段9</t>
        </is>
      </c>
      <c r="W6" s="0" t="inlineStr">
        <is>
          <t>YES 源备无差异</t>
        </is>
      </c>
      <c r="X6" s="0">
        <f>A6</f>
        <v/>
      </c>
    </row>
    <row r="7">
      <c r="B7" s="0" t="inlineStr">
        <is>
          <t>YES</t>
        </is>
      </c>
      <c r="C7" s="0" t="inlineStr">
        <is>
          <t>NULL</t>
        </is>
      </c>
      <c r="D7" s="0" t="inlineStr">
        <is>
          <t>NULL</t>
        </is>
      </c>
      <c r="E7" s="0" t="inlineStr">
        <is>
          <t>NULL</t>
        </is>
      </c>
      <c r="F7" s="0" t="inlineStr">
        <is>
          <t>NULL</t>
        </is>
      </c>
      <c r="G7" s="0" t="inlineStr">
        <is>
          <t>NULL</t>
        </is>
      </c>
      <c r="H7" s="0" t="inlineStr">
        <is>
          <t>NULL</t>
        </is>
      </c>
      <c r="I7" s="0" t="inlineStr">
        <is>
          <t>YES!PK__info_tim__3213E83F6B8886E9</t>
        </is>
      </c>
      <c r="J7" s="0" t="inlineStr">
        <is>
          <t>YES! 主键相关索引</t>
        </is>
      </c>
      <c r="K7" s="0" t="inlineStr">
        <is>
          <t>YES! 	 id列源备映射正确，源端为int None位	期望更改为int	实际备端为int None位</t>
        </is>
      </c>
    </row>
    <row r="8">
      <c r="B8" s="0" t="inlineStr">
        <is>
          <t>NULL</t>
        </is>
      </c>
      <c r="C8" s="0" t="inlineStr">
        <is>
          <t>NULL</t>
        </is>
      </c>
      <c r="D8" s="0" t="inlineStr">
        <is>
          <t>NULL</t>
        </is>
      </c>
      <c r="E8" s="0" t="inlineStr">
        <is>
          <t>NULL</t>
        </is>
      </c>
      <c r="F8" s="0" t="inlineStr">
        <is>
          <t>NULL</t>
        </is>
      </c>
      <c r="G8" s="0" t="inlineStr">
        <is>
          <t>NULL</t>
        </is>
      </c>
      <c r="H8" s="0" t="inlineStr">
        <is>
          <t>NULL</t>
        </is>
      </c>
      <c r="I8" s="0" t="inlineStr">
        <is>
          <t>NULL</t>
        </is>
      </c>
      <c r="J8" s="0" t="inlineStr">
        <is>
          <t>NULL</t>
        </is>
      </c>
      <c r="K8" s="0" t="inlineStr">
        <is>
          <t>no,len不存在</t>
        </is>
      </c>
    </row>
    <row r="9">
      <c r="B9" s="0" t="inlineStr">
        <is>
          <t>NULL</t>
        </is>
      </c>
      <c r="C9" s="0" t="inlineStr">
        <is>
          <t>NULL</t>
        </is>
      </c>
      <c r="D9" s="0" t="inlineStr">
        <is>
          <t>NULL</t>
        </is>
      </c>
      <c r="E9" s="0" t="inlineStr">
        <is>
          <t>NULL</t>
        </is>
      </c>
      <c r="F9" s="0" t="inlineStr">
        <is>
          <t>NULL</t>
        </is>
      </c>
      <c r="G9" s="0" t="inlineStr">
        <is>
          <t>NULL</t>
        </is>
      </c>
      <c r="H9" s="0" t="inlineStr">
        <is>
          <t>NULL</t>
        </is>
      </c>
      <c r="I9" s="0" t="inlineStr">
        <is>
          <t>NULL</t>
        </is>
      </c>
      <c r="J9" s="0" t="inlineStr">
        <is>
          <t>NULL</t>
        </is>
      </c>
      <c r="K9" s="0" t="inlineStr">
        <is>
          <t>YES! 	 c_time1列源备映射正确，源端为time None位	期望更改为time(n)	实际备端为time None位</t>
        </is>
      </c>
    </row>
    <row r="10">
      <c r="B10" s="0" t="inlineStr">
        <is>
          <t>NULL</t>
        </is>
      </c>
      <c r="C10" s="0" t="inlineStr">
        <is>
          <t>NULL</t>
        </is>
      </c>
      <c r="D10" s="0" t="inlineStr">
        <is>
          <t>NULL</t>
        </is>
      </c>
      <c r="E10" s="0" t="inlineStr">
        <is>
          <t>NULL</t>
        </is>
      </c>
      <c r="F10" s="0" t="inlineStr">
        <is>
          <t>NULL</t>
        </is>
      </c>
      <c r="G10" s="0" t="inlineStr">
        <is>
          <t>NULL</t>
        </is>
      </c>
      <c r="H10" s="0" t="inlineStr">
        <is>
          <t>NULL</t>
        </is>
      </c>
      <c r="I10" s="0" t="inlineStr">
        <is>
          <t>NULL</t>
        </is>
      </c>
      <c r="J10" s="0" t="inlineStr">
        <is>
          <t>NULL</t>
        </is>
      </c>
      <c r="K10" s="0" t="inlineStr">
        <is>
          <t>YES! 	 c_time2列源备映射正确，源端为time None位	期望更改为time(n)	实际备端为time None位</t>
        </is>
      </c>
    </row>
    <row r="11">
      <c r="B11" s="0" t="inlineStr">
        <is>
          <t>NULL</t>
        </is>
      </c>
      <c r="C11" s="0" t="inlineStr">
        <is>
          <t>NULL</t>
        </is>
      </c>
      <c r="D11" s="0" t="inlineStr">
        <is>
          <t>NULL</t>
        </is>
      </c>
      <c r="E11" s="0" t="inlineStr">
        <is>
          <t>NULL</t>
        </is>
      </c>
      <c r="F11" s="0" t="inlineStr">
        <is>
          <t>NULL</t>
        </is>
      </c>
      <c r="G11" s="0" t="inlineStr">
        <is>
          <t>NULL</t>
        </is>
      </c>
      <c r="H11" s="0" t="inlineStr">
        <is>
          <t>NULL</t>
        </is>
      </c>
      <c r="I11" s="0" t="inlineStr">
        <is>
          <t>NULL</t>
        </is>
      </c>
      <c r="J11" s="0" t="inlineStr">
        <is>
          <t>NULL</t>
        </is>
      </c>
      <c r="K11" s="0" t="inlineStr">
        <is>
          <t>YES! 	 c_time3列源备映射正确，源端为time None位	期望更改为time(n)	实际备端为time None位</t>
        </is>
      </c>
    </row>
    <row r="12">
      <c r="B12" s="0" t="inlineStr">
        <is>
          <t>NULL</t>
        </is>
      </c>
      <c r="C12" s="0" t="inlineStr">
        <is>
          <t>NULL</t>
        </is>
      </c>
      <c r="D12" s="0" t="inlineStr">
        <is>
          <t>NULL</t>
        </is>
      </c>
      <c r="E12" s="0" t="inlineStr">
        <is>
          <t>NULL</t>
        </is>
      </c>
      <c r="F12" s="0" t="inlineStr">
        <is>
          <t>NULL</t>
        </is>
      </c>
      <c r="G12" s="0" t="inlineStr">
        <is>
          <t>NULL</t>
        </is>
      </c>
      <c r="H12" s="0" t="inlineStr">
        <is>
          <t>NULL</t>
        </is>
      </c>
      <c r="I12" s="0" t="inlineStr">
        <is>
          <t>NULL</t>
        </is>
      </c>
      <c r="J12" s="0" t="inlineStr">
        <is>
          <t>NULL</t>
        </is>
      </c>
      <c r="K12" s="0" t="inlineStr">
        <is>
          <t>YES! 	 c_time4列源备映射正确，源端为time None位	期望更改为time(n)	实际备端为time None位</t>
        </is>
      </c>
    </row>
    <row r="13">
      <c r="B13" s="0" t="inlineStr">
        <is>
          <t>NULL</t>
        </is>
      </c>
      <c r="C13" s="0" t="inlineStr">
        <is>
          <t>NULL</t>
        </is>
      </c>
      <c r="D13" s="0" t="inlineStr">
        <is>
          <t>NULL</t>
        </is>
      </c>
      <c r="E13" s="0" t="inlineStr">
        <is>
          <t>NULL</t>
        </is>
      </c>
      <c r="F13" s="0" t="inlineStr">
        <is>
          <t>NULL</t>
        </is>
      </c>
      <c r="G13" s="0" t="inlineStr">
        <is>
          <t>NULL</t>
        </is>
      </c>
      <c r="H13" s="0" t="inlineStr">
        <is>
          <t>NULL</t>
        </is>
      </c>
      <c r="I13" s="0" t="inlineStr">
        <is>
          <t>NULL</t>
        </is>
      </c>
      <c r="J13" s="0" t="inlineStr">
        <is>
          <t>NULL</t>
        </is>
      </c>
      <c r="K13" s="0" t="inlineStr">
        <is>
          <t>YES! 	 c_time5列源备映射正确，源端为time None位	期望更改为time(n)	实际备端为time None位</t>
        </is>
      </c>
    </row>
    <row r="14">
      <c r="B14" s="0" t="inlineStr">
        <is>
          <t>NULL</t>
        </is>
      </c>
      <c r="C14" s="0" t="inlineStr">
        <is>
          <t>NULL</t>
        </is>
      </c>
      <c r="D14" s="0" t="inlineStr">
        <is>
          <t>NULL</t>
        </is>
      </c>
      <c r="E14" s="0" t="inlineStr">
        <is>
          <t>NULL</t>
        </is>
      </c>
      <c r="F14" s="0" t="inlineStr">
        <is>
          <t>NULL</t>
        </is>
      </c>
      <c r="G14" s="0" t="inlineStr">
        <is>
          <t>NULL</t>
        </is>
      </c>
      <c r="H14" s="0" t="inlineStr">
        <is>
          <t>NULL</t>
        </is>
      </c>
      <c r="I14" s="0" t="inlineStr">
        <is>
          <t>NULL</t>
        </is>
      </c>
      <c r="J14" s="0" t="inlineStr">
        <is>
          <t>NULL</t>
        </is>
      </c>
      <c r="K14" s="0" t="inlineStr">
        <is>
          <t>YES! 	 c_time6列源备映射正确，源端为time None位	期望更改为time(n)	实际备端为time None位</t>
        </is>
      </c>
    </row>
    <row r="15">
      <c r="B15" s="0" t="inlineStr">
        <is>
          <t>NULL</t>
        </is>
      </c>
      <c r="C15" s="0" t="inlineStr">
        <is>
          <t>NULL</t>
        </is>
      </c>
      <c r="D15" s="0" t="inlineStr">
        <is>
          <t>NULL</t>
        </is>
      </c>
      <c r="E15" s="0" t="inlineStr">
        <is>
          <t>NULL</t>
        </is>
      </c>
      <c r="F15" s="0" t="inlineStr">
        <is>
          <t>NULL</t>
        </is>
      </c>
      <c r="G15" s="0" t="inlineStr">
        <is>
          <t>NULL</t>
        </is>
      </c>
      <c r="H15" s="0" t="inlineStr">
        <is>
          <t>NULL</t>
        </is>
      </c>
      <c r="I15" s="0" t="inlineStr">
        <is>
          <t>NULL</t>
        </is>
      </c>
      <c r="J15" s="0" t="inlineStr">
        <is>
          <t>NULL</t>
        </is>
      </c>
      <c r="K15" s="0" t="inlineStr">
        <is>
          <t>YES! 	 c_time列源备映射正确，源端为time None位	期望更改为time(n)	实际备端为time None位</t>
        </is>
      </c>
    </row>
    <row r="16">
      <c r="A16" s="0" t="inlineStr">
        <is>
          <t>info_char_dml_single_nopk_urp</t>
        </is>
      </c>
      <c r="K16" s="0" t="inlineStr">
        <is>
          <t>[0;34m info_char_dml_single_nopk_urp [0m源备字段数相同，源端字段：4 	备端字段4</t>
        </is>
      </c>
      <c r="W16" s="0" t="inlineStr">
        <is>
          <t>YES 源备无差异</t>
        </is>
      </c>
      <c r="X16" s="0">
        <f>A16</f>
        <v/>
      </c>
    </row>
    <row r="17">
      <c r="B17" s="0" t="inlineStr">
        <is>
          <t>NULL</t>
        </is>
      </c>
      <c r="C17" s="0" t="inlineStr">
        <is>
          <t>NULL</t>
        </is>
      </c>
      <c r="D17" s="0" t="inlineStr">
        <is>
          <t>NULL</t>
        </is>
      </c>
      <c r="E17" s="0" t="inlineStr">
        <is>
          <t>NULL</t>
        </is>
      </c>
      <c r="F17" s="0" t="inlineStr">
        <is>
          <t>NULL</t>
        </is>
      </c>
      <c r="G17" s="0" t="inlineStr">
        <is>
          <t>NULL</t>
        </is>
      </c>
      <c r="H17" s="0" t="inlineStr">
        <is>
          <t>NULL</t>
        </is>
      </c>
      <c r="I17" s="0" t="inlineStr">
        <is>
          <t>NULL</t>
        </is>
      </c>
      <c r="J17" s="0" t="inlineStr">
        <is>
          <t>NULL</t>
        </is>
      </c>
      <c r="K17" s="0" t="inlineStr">
        <is>
          <t>YES! 	 id列源备映射正确，源端为int None位	期望更改为int	实际备端为int None位</t>
        </is>
      </c>
    </row>
    <row r="18">
      <c r="B18" s="0" t="inlineStr">
        <is>
          <t>NULL</t>
        </is>
      </c>
      <c r="C18" s="0" t="inlineStr">
        <is>
          <t>NULL</t>
        </is>
      </c>
      <c r="D18" s="0" t="inlineStr">
        <is>
          <t>NULL</t>
        </is>
      </c>
      <c r="E18" s="0" t="inlineStr">
        <is>
          <t>NULL</t>
        </is>
      </c>
      <c r="F18" s="0" t="inlineStr">
        <is>
          <t>NULL</t>
        </is>
      </c>
      <c r="G18" s="0" t="inlineStr">
        <is>
          <t>NULL</t>
        </is>
      </c>
      <c r="H18" s="0" t="inlineStr">
        <is>
          <t>NULL</t>
        </is>
      </c>
      <c r="I18" s="0" t="inlineStr">
        <is>
          <t>NULL</t>
        </is>
      </c>
      <c r="J18" s="0" t="inlineStr">
        <is>
          <t>NULL</t>
        </is>
      </c>
      <c r="K18" s="0" t="inlineStr">
        <is>
          <t>YES! 	 c_char列源备映射正确，源端为char 1位	期望更改为char(n)	实际备端为char 1位</t>
        </is>
      </c>
    </row>
    <row r="19">
      <c r="B19" s="0" t="inlineStr">
        <is>
          <t>NULL</t>
        </is>
      </c>
      <c r="C19" s="0" t="inlineStr">
        <is>
          <t>NULL</t>
        </is>
      </c>
      <c r="D19" s="0" t="inlineStr">
        <is>
          <t>NULL</t>
        </is>
      </c>
      <c r="E19" s="0" t="inlineStr">
        <is>
          <t>NULL</t>
        </is>
      </c>
      <c r="F19" s="0" t="inlineStr">
        <is>
          <t>NULL</t>
        </is>
      </c>
      <c r="G19" s="0" t="inlineStr">
        <is>
          <t>NULL</t>
        </is>
      </c>
      <c r="H19" s="0" t="inlineStr">
        <is>
          <t>NULL</t>
        </is>
      </c>
      <c r="I19" s="0" t="inlineStr">
        <is>
          <t>NULL</t>
        </is>
      </c>
      <c r="J19" s="0" t="inlineStr">
        <is>
          <t>NULL</t>
        </is>
      </c>
      <c r="K19" s="0" t="inlineStr">
        <is>
          <t>YES! 	 c_char20列源备映射正确，源端为char 20位	期望更改为char(n)	实际备端为char 20位</t>
        </is>
      </c>
    </row>
    <row r="20">
      <c r="B20" s="0" t="inlineStr">
        <is>
          <t>NULL</t>
        </is>
      </c>
      <c r="C20" s="0" t="inlineStr">
        <is>
          <t>NULL</t>
        </is>
      </c>
      <c r="D20" s="0" t="inlineStr">
        <is>
          <t>NULL</t>
        </is>
      </c>
      <c r="E20" s="0" t="inlineStr">
        <is>
          <t>NULL</t>
        </is>
      </c>
      <c r="F20" s="0" t="inlineStr">
        <is>
          <t>NULL</t>
        </is>
      </c>
      <c r="G20" s="0" t="inlineStr">
        <is>
          <t>NULL</t>
        </is>
      </c>
      <c r="H20" s="0" t="inlineStr">
        <is>
          <t>NULL</t>
        </is>
      </c>
      <c r="I20" s="0" t="inlineStr">
        <is>
          <t>NULL</t>
        </is>
      </c>
      <c r="J20" s="0" t="inlineStr">
        <is>
          <t>NULL</t>
        </is>
      </c>
      <c r="K20" s="0" t="inlineStr">
        <is>
          <t>YES! 	 c_char7000列源备映射正确，源端为char 7000位	期望更改为char(n)	实际备端为char 7000位</t>
        </is>
      </c>
    </row>
    <row r="21">
      <c r="A21" s="0" t="inlineStr">
        <is>
          <t>info_varbinary_dml_batch2_pk_irp2</t>
        </is>
      </c>
      <c r="K21" s="0" t="inlineStr">
        <is>
          <t>[0;34m info_varbinary_dml_batch2_pk_irp2 [0m源备字段数相同，源端字段：4 	备端字段4</t>
        </is>
      </c>
      <c r="W21" s="0" t="inlineStr">
        <is>
          <t>YES 源备无差异</t>
        </is>
      </c>
      <c r="X21" s="0">
        <f>A21</f>
        <v/>
      </c>
    </row>
    <row r="22">
      <c r="B22" s="0" t="inlineStr">
        <is>
          <t>YES</t>
        </is>
      </c>
      <c r="C22" s="0" t="inlineStr">
        <is>
          <t>NULL</t>
        </is>
      </c>
      <c r="D22" s="0" t="inlineStr">
        <is>
          <t>NULL</t>
        </is>
      </c>
      <c r="E22" s="0" t="inlineStr">
        <is>
          <t>NULL</t>
        </is>
      </c>
      <c r="F22" s="0" t="inlineStr">
        <is>
          <t>NULL</t>
        </is>
      </c>
      <c r="G22" s="0" t="inlineStr">
        <is>
          <t>NULL</t>
        </is>
      </c>
      <c r="H22" s="0" t="inlineStr">
        <is>
          <t>NULL</t>
        </is>
      </c>
      <c r="I22" s="0" t="inlineStr">
        <is>
          <t>YES!PK__info_var__3213E83F61D7EA8F</t>
        </is>
      </c>
      <c r="J22" s="0" t="inlineStr">
        <is>
          <t>YES! 主键相关索引</t>
        </is>
      </c>
      <c r="K22" s="0" t="inlineStr">
        <is>
          <t>YES! 	 id列源备映射正确，源端为int None位	期望更改为int	实际备端为int None位</t>
        </is>
      </c>
    </row>
    <row r="23">
      <c r="B23" s="0" t="inlineStr">
        <is>
          <t>NULL</t>
        </is>
      </c>
      <c r="C23" s="0" t="inlineStr">
        <is>
          <t>NULL</t>
        </is>
      </c>
      <c r="D23" s="0" t="inlineStr">
        <is>
          <t>NULL</t>
        </is>
      </c>
      <c r="E23" s="0" t="inlineStr">
        <is>
          <t>NULL</t>
        </is>
      </c>
      <c r="F23" s="0" t="inlineStr">
        <is>
          <t>NULL</t>
        </is>
      </c>
      <c r="G23" s="0" t="inlineStr">
        <is>
          <t>NULL</t>
        </is>
      </c>
      <c r="H23" s="0" t="inlineStr">
        <is>
          <t>NULL</t>
        </is>
      </c>
      <c r="I23" s="0" t="inlineStr">
        <is>
          <t>NULL</t>
        </is>
      </c>
      <c r="J23" s="0" t="inlineStr">
        <is>
          <t>NULL</t>
        </is>
      </c>
      <c r="K23" s="0" t="inlineStr">
        <is>
          <t>YES! 	 c_varbinary列源备映射正确，源端为varbinary 1位	期望更改为varbinary(n)	实际备端为varbinary 1位</t>
        </is>
      </c>
    </row>
    <row r="24">
      <c r="B24" s="0" t="inlineStr">
        <is>
          <t>NULL</t>
        </is>
      </c>
      <c r="C24" s="0" t="inlineStr">
        <is>
          <t>NULL</t>
        </is>
      </c>
      <c r="D24" s="0" t="inlineStr">
        <is>
          <t>NULL</t>
        </is>
      </c>
      <c r="E24" s="0" t="inlineStr">
        <is>
          <t>NULL</t>
        </is>
      </c>
      <c r="F24" s="0" t="inlineStr">
        <is>
          <t>NULL</t>
        </is>
      </c>
      <c r="G24" s="0" t="inlineStr">
        <is>
          <t>NULL</t>
        </is>
      </c>
      <c r="H24" s="0" t="inlineStr">
        <is>
          <t>NULL</t>
        </is>
      </c>
      <c r="I24" s="0" t="inlineStr">
        <is>
          <t>NULL</t>
        </is>
      </c>
      <c r="J24" s="0" t="inlineStr">
        <is>
          <t>NULL</t>
        </is>
      </c>
      <c r="K24" s="0" t="inlineStr">
        <is>
          <t>YES! 	 c_varbinary_100列源备映射正确，源端为varbinary 100位	期望更改为varbinary(n)	实际备端为varbinary 100位</t>
        </is>
      </c>
    </row>
    <row r="25">
      <c r="B25" s="0" t="inlineStr">
        <is>
          <t>NULL</t>
        </is>
      </c>
      <c r="C25" s="0" t="inlineStr">
        <is>
          <t>NULL</t>
        </is>
      </c>
      <c r="D25" s="0" t="inlineStr">
        <is>
          <t>NULL</t>
        </is>
      </c>
      <c r="E25" s="0" t="inlineStr">
        <is>
          <t>NULL</t>
        </is>
      </c>
      <c r="F25" s="0" t="inlineStr">
        <is>
          <t>NULL</t>
        </is>
      </c>
      <c r="G25" s="0" t="inlineStr">
        <is>
          <t>NULL</t>
        </is>
      </c>
      <c r="H25" s="0" t="inlineStr">
        <is>
          <t>NULL</t>
        </is>
      </c>
      <c r="I25" s="0" t="inlineStr">
        <is>
          <t>NULL</t>
        </is>
      </c>
      <c r="J25" s="0" t="inlineStr">
        <is>
          <t>NULL</t>
        </is>
      </c>
      <c r="K25" s="0" t="inlineStr">
        <is>
          <t>YES! 	 c_varbinary_8000列源备映射正确，源端为varbinary 8000位	期望更改为varbinary(n)	实际备端为varbinary 8000位</t>
        </is>
      </c>
    </row>
    <row r="26">
      <c r="A26" s="0" t="inlineStr">
        <is>
          <t>info_char_dml_single_nopk_irp</t>
        </is>
      </c>
      <c r="K26" s="0" t="inlineStr">
        <is>
          <t>[0;34m info_char_dml_single_nopk_irp [0m源备字段数相同，源端字段：4 	备端字段4</t>
        </is>
      </c>
      <c r="W26" s="0" t="inlineStr">
        <is>
          <t>YES 源备无差异</t>
        </is>
      </c>
      <c r="X26" s="0">
        <f>A26</f>
        <v/>
      </c>
    </row>
    <row r="27">
      <c r="B27" s="0" t="inlineStr">
        <is>
          <t>NULL</t>
        </is>
      </c>
      <c r="C27" s="0" t="inlineStr">
        <is>
          <t>NULL</t>
        </is>
      </c>
      <c r="D27" s="0" t="inlineStr">
        <is>
          <t>NULL</t>
        </is>
      </c>
      <c r="E27" s="0" t="inlineStr">
        <is>
          <t>NULL</t>
        </is>
      </c>
      <c r="F27" s="0" t="inlineStr">
        <is>
          <t>NULL</t>
        </is>
      </c>
      <c r="G27" s="0" t="inlineStr">
        <is>
          <t>NULL</t>
        </is>
      </c>
      <c r="H27" s="0" t="inlineStr">
        <is>
          <t>NULL</t>
        </is>
      </c>
      <c r="I27" s="0" t="inlineStr">
        <is>
          <t>NULL</t>
        </is>
      </c>
      <c r="J27" s="0" t="inlineStr">
        <is>
          <t>NULL</t>
        </is>
      </c>
      <c r="K27" s="0" t="inlineStr">
        <is>
          <t>YES! 	 id列源备映射正确，源端为int None位	期望更改为int	实际备端为int None位</t>
        </is>
      </c>
    </row>
    <row r="28">
      <c r="B28" s="0" t="inlineStr">
        <is>
          <t>NULL</t>
        </is>
      </c>
      <c r="C28" s="0" t="inlineStr">
        <is>
          <t>NULL</t>
        </is>
      </c>
      <c r="D28" s="0" t="inlineStr">
        <is>
          <t>NULL</t>
        </is>
      </c>
      <c r="E28" s="0" t="inlineStr">
        <is>
          <t>NULL</t>
        </is>
      </c>
      <c r="F28" s="0" t="inlineStr">
        <is>
          <t>NULL</t>
        </is>
      </c>
      <c r="G28" s="0" t="inlineStr">
        <is>
          <t>NULL</t>
        </is>
      </c>
      <c r="H28" s="0" t="inlineStr">
        <is>
          <t>NULL</t>
        </is>
      </c>
      <c r="I28" s="0" t="inlineStr">
        <is>
          <t>NULL</t>
        </is>
      </c>
      <c r="J28" s="0" t="inlineStr">
        <is>
          <t>NULL</t>
        </is>
      </c>
      <c r="K28" s="0" t="inlineStr">
        <is>
          <t>YES! 	 c_char列源备映射正确，源端为char 1位	期望更改为char(n)	实际备端为char 1位</t>
        </is>
      </c>
    </row>
    <row r="29">
      <c r="B29" s="0" t="inlineStr">
        <is>
          <t>NULL</t>
        </is>
      </c>
      <c r="C29" s="0" t="inlineStr">
        <is>
          <t>NULL</t>
        </is>
      </c>
      <c r="D29" s="0" t="inlineStr">
        <is>
          <t>NULL</t>
        </is>
      </c>
      <c r="E29" s="0" t="inlineStr">
        <is>
          <t>NULL</t>
        </is>
      </c>
      <c r="F29" s="0" t="inlineStr">
        <is>
          <t>NULL</t>
        </is>
      </c>
      <c r="G29" s="0" t="inlineStr">
        <is>
          <t>NULL</t>
        </is>
      </c>
      <c r="H29" s="0" t="inlineStr">
        <is>
          <t>NULL</t>
        </is>
      </c>
      <c r="I29" s="0" t="inlineStr">
        <is>
          <t>NULL</t>
        </is>
      </c>
      <c r="J29" s="0" t="inlineStr">
        <is>
          <t>NULL</t>
        </is>
      </c>
      <c r="K29" s="0" t="inlineStr">
        <is>
          <t>YES! 	 c_char20列源备映射正确，源端为char 20位	期望更改为char(n)	实际备端为char 20位</t>
        </is>
      </c>
    </row>
    <row r="30">
      <c r="B30" s="0" t="inlineStr">
        <is>
          <t>NULL</t>
        </is>
      </c>
      <c r="C30" s="0" t="inlineStr">
        <is>
          <t>NULL</t>
        </is>
      </c>
      <c r="D30" s="0" t="inlineStr">
        <is>
          <t>NULL</t>
        </is>
      </c>
      <c r="E30" s="0" t="inlineStr">
        <is>
          <t>NULL</t>
        </is>
      </c>
      <c r="F30" s="0" t="inlineStr">
        <is>
          <t>NULL</t>
        </is>
      </c>
      <c r="G30" s="0" t="inlineStr">
        <is>
          <t>NULL</t>
        </is>
      </c>
      <c r="H30" s="0" t="inlineStr">
        <is>
          <t>NULL</t>
        </is>
      </c>
      <c r="I30" s="0" t="inlineStr">
        <is>
          <t>NULL</t>
        </is>
      </c>
      <c r="J30" s="0" t="inlineStr">
        <is>
          <t>NULL</t>
        </is>
      </c>
      <c r="K30" s="0" t="inlineStr">
        <is>
          <t>YES! 	 c_char8000列源备映射正确，源端为char 8000位	期望更改为char(n)	实际备端为char 8000位</t>
        </is>
      </c>
    </row>
    <row r="31">
      <c r="A31" s="0" t="inlineStr">
        <is>
          <t>info_char_dml_single_nopk_drp</t>
        </is>
      </c>
      <c r="K31" s="0" t="inlineStr">
        <is>
          <t>[0;34m info_char_dml_single_nopk_drp [0m源备字段数相同，源端字段：4 	备端字段4</t>
        </is>
      </c>
      <c r="W31" s="0" t="inlineStr">
        <is>
          <t>YES 源备无差异</t>
        </is>
      </c>
      <c r="X31" s="0">
        <f>A31</f>
        <v/>
      </c>
    </row>
    <row r="32">
      <c r="B32" s="0" t="inlineStr">
        <is>
          <t>NULL</t>
        </is>
      </c>
      <c r="C32" s="0" t="inlineStr">
        <is>
          <t>NULL</t>
        </is>
      </c>
      <c r="D32" s="0" t="inlineStr">
        <is>
          <t>NULL</t>
        </is>
      </c>
      <c r="E32" s="0" t="inlineStr">
        <is>
          <t>NULL</t>
        </is>
      </c>
      <c r="F32" s="0" t="inlineStr">
        <is>
          <t>NULL</t>
        </is>
      </c>
      <c r="G32" s="0" t="inlineStr">
        <is>
          <t>NULL</t>
        </is>
      </c>
      <c r="H32" s="0" t="inlineStr">
        <is>
          <t>NULL</t>
        </is>
      </c>
      <c r="I32" s="0" t="inlineStr">
        <is>
          <t>NULL</t>
        </is>
      </c>
      <c r="J32" s="0" t="inlineStr">
        <is>
          <t>NULL</t>
        </is>
      </c>
      <c r="K32" s="0" t="inlineStr">
        <is>
          <t>YES! 	 id列源备映射正确，源端为int None位	期望更改为int	实际备端为int None位</t>
        </is>
      </c>
    </row>
    <row r="33">
      <c r="B33" s="0" t="inlineStr">
        <is>
          <t>NULL</t>
        </is>
      </c>
      <c r="C33" s="0" t="inlineStr">
        <is>
          <t>NULL</t>
        </is>
      </c>
      <c r="D33" s="0" t="inlineStr">
        <is>
          <t>NULL</t>
        </is>
      </c>
      <c r="E33" s="0" t="inlineStr">
        <is>
          <t>NULL</t>
        </is>
      </c>
      <c r="F33" s="0" t="inlineStr">
        <is>
          <t>NULL</t>
        </is>
      </c>
      <c r="G33" s="0" t="inlineStr">
        <is>
          <t>NULL</t>
        </is>
      </c>
      <c r="H33" s="0" t="inlineStr">
        <is>
          <t>NULL</t>
        </is>
      </c>
      <c r="I33" s="0" t="inlineStr">
        <is>
          <t>NULL</t>
        </is>
      </c>
      <c r="J33" s="0" t="inlineStr">
        <is>
          <t>NULL</t>
        </is>
      </c>
      <c r="K33" s="0" t="inlineStr">
        <is>
          <t>YES! 	 c_char列源备映射正确，源端为char 1位	期望更改为char(n)	实际备端为char 1位</t>
        </is>
      </c>
    </row>
    <row r="34">
      <c r="B34" s="0" t="inlineStr">
        <is>
          <t>NULL</t>
        </is>
      </c>
      <c r="C34" s="0" t="inlineStr">
        <is>
          <t>NULL</t>
        </is>
      </c>
      <c r="D34" s="0" t="inlineStr">
        <is>
          <t>NULL</t>
        </is>
      </c>
      <c r="E34" s="0" t="inlineStr">
        <is>
          <t>NULL</t>
        </is>
      </c>
      <c r="F34" s="0" t="inlineStr">
        <is>
          <t>NULL</t>
        </is>
      </c>
      <c r="G34" s="0" t="inlineStr">
        <is>
          <t>NULL</t>
        </is>
      </c>
      <c r="H34" s="0" t="inlineStr">
        <is>
          <t>NULL</t>
        </is>
      </c>
      <c r="I34" s="0" t="inlineStr">
        <is>
          <t>NULL</t>
        </is>
      </c>
      <c r="J34" s="0" t="inlineStr">
        <is>
          <t>NULL</t>
        </is>
      </c>
      <c r="K34" s="0" t="inlineStr">
        <is>
          <t>YES! 	 c_char20列源备映射正确，源端为char 20位	期望更改为char(n)	实际备端为char 20位</t>
        </is>
      </c>
    </row>
    <row r="35">
      <c r="B35" s="0" t="inlineStr">
        <is>
          <t>NULL</t>
        </is>
      </c>
      <c r="C35" s="0" t="inlineStr">
        <is>
          <t>NULL</t>
        </is>
      </c>
      <c r="D35" s="0" t="inlineStr">
        <is>
          <t>NULL</t>
        </is>
      </c>
      <c r="E35" s="0" t="inlineStr">
        <is>
          <t>NULL</t>
        </is>
      </c>
      <c r="F35" s="0" t="inlineStr">
        <is>
          <t>NULL</t>
        </is>
      </c>
      <c r="G35" s="0" t="inlineStr">
        <is>
          <t>NULL</t>
        </is>
      </c>
      <c r="H35" s="0" t="inlineStr">
        <is>
          <t>NULL</t>
        </is>
      </c>
      <c r="I35" s="0" t="inlineStr">
        <is>
          <t>NULL</t>
        </is>
      </c>
      <c r="J35" s="0" t="inlineStr">
        <is>
          <t>NULL</t>
        </is>
      </c>
      <c r="K35" s="0" t="inlineStr">
        <is>
          <t>YES! 	 c_char7000列源备映射正确，源端为char 7000位	期望更改为char(n)	实际备端为char 7000位</t>
        </is>
      </c>
    </row>
    <row r="36">
      <c r="A36" s="0" t="inlineStr">
        <is>
          <t>info_time_dml_batch2_pk_irp1</t>
        </is>
      </c>
      <c r="K36" s="0" t="inlineStr">
        <is>
          <t>[0;34m info_time_dml_batch2_pk_irp1 [0m源备字段数相同，源端字段：9 	备端字段9</t>
        </is>
      </c>
      <c r="W36" s="0" t="inlineStr">
        <is>
          <t>YES 源备无差异</t>
        </is>
      </c>
      <c r="X36" s="0">
        <f>A36</f>
        <v/>
      </c>
    </row>
    <row r="37">
      <c r="B37" s="0" t="inlineStr">
        <is>
          <t>YES</t>
        </is>
      </c>
      <c r="C37" s="0" t="inlineStr">
        <is>
          <t>NULL</t>
        </is>
      </c>
      <c r="D37" s="0" t="inlineStr">
        <is>
          <t>NULL</t>
        </is>
      </c>
      <c r="E37" s="0" t="inlineStr">
        <is>
          <t>NULL</t>
        </is>
      </c>
      <c r="F37" s="0" t="inlineStr">
        <is>
          <t>NULL</t>
        </is>
      </c>
      <c r="G37" s="0" t="inlineStr">
        <is>
          <t>NULL</t>
        </is>
      </c>
      <c r="H37" s="0" t="inlineStr">
        <is>
          <t>NULL</t>
        </is>
      </c>
      <c r="I37" s="0" t="inlineStr">
        <is>
          <t>YES!PK__info_tim__3213E83FCA93B547</t>
        </is>
      </c>
      <c r="J37" s="0" t="inlineStr">
        <is>
          <t>YES! 主键相关索引</t>
        </is>
      </c>
      <c r="K37" s="0" t="inlineStr">
        <is>
          <t>YES! 	 id列源备映射正确，源端为int None位	期望更改为int	实际备端为int None位</t>
        </is>
      </c>
    </row>
    <row r="38">
      <c r="B38" s="0" t="inlineStr">
        <is>
          <t>NULL</t>
        </is>
      </c>
      <c r="C38" s="0" t="inlineStr">
        <is>
          <t>NULL</t>
        </is>
      </c>
      <c r="D38" s="0" t="inlineStr">
        <is>
          <t>NULL</t>
        </is>
      </c>
      <c r="E38" s="0" t="inlineStr">
        <is>
          <t>NULL</t>
        </is>
      </c>
      <c r="F38" s="0" t="inlineStr">
        <is>
          <t>NULL</t>
        </is>
      </c>
      <c r="G38" s="0" t="inlineStr">
        <is>
          <t>NULL</t>
        </is>
      </c>
      <c r="H38" s="0" t="inlineStr">
        <is>
          <t>NULL</t>
        </is>
      </c>
      <c r="I38" s="0" t="inlineStr">
        <is>
          <t>NULL</t>
        </is>
      </c>
      <c r="J38" s="0" t="inlineStr">
        <is>
          <t>NULL</t>
        </is>
      </c>
      <c r="K38" s="0" t="inlineStr">
        <is>
          <t>no,len不存在</t>
        </is>
      </c>
    </row>
    <row r="39">
      <c r="B39" s="0" t="inlineStr">
        <is>
          <t>NULL</t>
        </is>
      </c>
      <c r="C39" s="0" t="inlineStr">
        <is>
          <t>NULL</t>
        </is>
      </c>
      <c r="D39" s="0" t="inlineStr">
        <is>
          <t>NULL</t>
        </is>
      </c>
      <c r="E39" s="0" t="inlineStr">
        <is>
          <t>NULL</t>
        </is>
      </c>
      <c r="F39" s="0" t="inlineStr">
        <is>
          <t>NULL</t>
        </is>
      </c>
      <c r="G39" s="0" t="inlineStr">
        <is>
          <t>NULL</t>
        </is>
      </c>
      <c r="H39" s="0" t="inlineStr">
        <is>
          <t>NULL</t>
        </is>
      </c>
      <c r="I39" s="0" t="inlineStr">
        <is>
          <t>NULL</t>
        </is>
      </c>
      <c r="J39" s="0" t="inlineStr">
        <is>
          <t>NULL</t>
        </is>
      </c>
      <c r="K39" s="0" t="inlineStr">
        <is>
          <t>YES! 	 c_time1列源备映射正确，源端为time None位	期望更改为time(n)	实际备端为time None位</t>
        </is>
      </c>
    </row>
    <row r="40">
      <c r="B40" s="0" t="inlineStr">
        <is>
          <t>NULL</t>
        </is>
      </c>
      <c r="C40" s="0" t="inlineStr">
        <is>
          <t>NULL</t>
        </is>
      </c>
      <c r="D40" s="0" t="inlineStr">
        <is>
          <t>NULL</t>
        </is>
      </c>
      <c r="E40" s="0" t="inlineStr">
        <is>
          <t>NULL</t>
        </is>
      </c>
      <c r="F40" s="0" t="inlineStr">
        <is>
          <t>NULL</t>
        </is>
      </c>
      <c r="G40" s="0" t="inlineStr">
        <is>
          <t>NULL</t>
        </is>
      </c>
      <c r="H40" s="0" t="inlineStr">
        <is>
          <t>NULL</t>
        </is>
      </c>
      <c r="I40" s="0" t="inlineStr">
        <is>
          <t>NULL</t>
        </is>
      </c>
      <c r="J40" s="0" t="inlineStr">
        <is>
          <t>NULL</t>
        </is>
      </c>
      <c r="K40" s="0" t="inlineStr">
        <is>
          <t>YES! 	 c_time2列源备映射正确，源端为time None位	期望更改为time(n)	实际备端为time None位</t>
        </is>
      </c>
    </row>
    <row r="41">
      <c r="B41" s="0" t="inlineStr">
        <is>
          <t>NULL</t>
        </is>
      </c>
      <c r="C41" s="0" t="inlineStr">
        <is>
          <t>NULL</t>
        </is>
      </c>
      <c r="D41" s="0" t="inlineStr">
        <is>
          <t>NULL</t>
        </is>
      </c>
      <c r="E41" s="0" t="inlineStr">
        <is>
          <t>NULL</t>
        </is>
      </c>
      <c r="F41" s="0" t="inlineStr">
        <is>
          <t>NULL</t>
        </is>
      </c>
      <c r="G41" s="0" t="inlineStr">
        <is>
          <t>NULL</t>
        </is>
      </c>
      <c r="H41" s="0" t="inlineStr">
        <is>
          <t>NULL</t>
        </is>
      </c>
      <c r="I41" s="0" t="inlineStr">
        <is>
          <t>NULL</t>
        </is>
      </c>
      <c r="J41" s="0" t="inlineStr">
        <is>
          <t>NULL</t>
        </is>
      </c>
      <c r="K41" s="0" t="inlineStr">
        <is>
          <t>YES! 	 c_time3列源备映射正确，源端为time None位	期望更改为time(n)	实际备端为time None位</t>
        </is>
      </c>
    </row>
    <row r="42">
      <c r="B42" s="0" t="inlineStr">
        <is>
          <t>NULL</t>
        </is>
      </c>
      <c r="C42" s="0" t="inlineStr">
        <is>
          <t>NULL</t>
        </is>
      </c>
      <c r="D42" s="0" t="inlineStr">
        <is>
          <t>NULL</t>
        </is>
      </c>
      <c r="E42" s="0" t="inlineStr">
        <is>
          <t>NULL</t>
        </is>
      </c>
      <c r="F42" s="0" t="inlineStr">
        <is>
          <t>NULL</t>
        </is>
      </c>
      <c r="G42" s="0" t="inlineStr">
        <is>
          <t>NULL</t>
        </is>
      </c>
      <c r="H42" s="0" t="inlineStr">
        <is>
          <t>NULL</t>
        </is>
      </c>
      <c r="I42" s="0" t="inlineStr">
        <is>
          <t>NULL</t>
        </is>
      </c>
      <c r="J42" s="0" t="inlineStr">
        <is>
          <t>NULL</t>
        </is>
      </c>
      <c r="K42" s="0" t="inlineStr">
        <is>
          <t>YES! 	 c_time4列源备映射正确，源端为time None位	期望更改为time(n)	实际备端为time None位</t>
        </is>
      </c>
    </row>
    <row r="43">
      <c r="B43" s="0" t="inlineStr">
        <is>
          <t>NULL</t>
        </is>
      </c>
      <c r="C43" s="0" t="inlineStr">
        <is>
          <t>NULL</t>
        </is>
      </c>
      <c r="D43" s="0" t="inlineStr">
        <is>
          <t>NULL</t>
        </is>
      </c>
      <c r="E43" s="0" t="inlineStr">
        <is>
          <t>NULL</t>
        </is>
      </c>
      <c r="F43" s="0" t="inlineStr">
        <is>
          <t>NULL</t>
        </is>
      </c>
      <c r="G43" s="0" t="inlineStr">
        <is>
          <t>NULL</t>
        </is>
      </c>
      <c r="H43" s="0" t="inlineStr">
        <is>
          <t>NULL</t>
        </is>
      </c>
      <c r="I43" s="0" t="inlineStr">
        <is>
          <t>NULL</t>
        </is>
      </c>
      <c r="J43" s="0" t="inlineStr">
        <is>
          <t>NULL</t>
        </is>
      </c>
      <c r="K43" s="0" t="inlineStr">
        <is>
          <t>YES! 	 c_time5列源备映射正确，源端为time None位	期望更改为time(n)	实际备端为time None位</t>
        </is>
      </c>
    </row>
    <row r="44">
      <c r="B44" s="0" t="inlineStr">
        <is>
          <t>NULL</t>
        </is>
      </c>
      <c r="C44" s="0" t="inlineStr">
        <is>
          <t>NULL</t>
        </is>
      </c>
      <c r="D44" s="0" t="inlineStr">
        <is>
          <t>NULL</t>
        </is>
      </c>
      <c r="E44" s="0" t="inlineStr">
        <is>
          <t>NULL</t>
        </is>
      </c>
      <c r="F44" s="0" t="inlineStr">
        <is>
          <t>NULL</t>
        </is>
      </c>
      <c r="G44" s="0" t="inlineStr">
        <is>
          <t>NULL</t>
        </is>
      </c>
      <c r="H44" s="0" t="inlineStr">
        <is>
          <t>NULL</t>
        </is>
      </c>
      <c r="I44" s="0" t="inlineStr">
        <is>
          <t>NULL</t>
        </is>
      </c>
      <c r="J44" s="0" t="inlineStr">
        <is>
          <t>NULL</t>
        </is>
      </c>
      <c r="K44" s="0" t="inlineStr">
        <is>
          <t>YES! 	 c_time6列源备映射正确，源端为time None位	期望更改为time(n)	实际备端为time None位</t>
        </is>
      </c>
    </row>
    <row r="45">
      <c r="B45" s="0" t="inlineStr">
        <is>
          <t>NULL</t>
        </is>
      </c>
      <c r="C45" s="0" t="inlineStr">
        <is>
          <t>NULL</t>
        </is>
      </c>
      <c r="D45" s="0" t="inlineStr">
        <is>
          <t>NULL</t>
        </is>
      </c>
      <c r="E45" s="0" t="inlineStr">
        <is>
          <t>NULL</t>
        </is>
      </c>
      <c r="F45" s="0" t="inlineStr">
        <is>
          <t>NULL</t>
        </is>
      </c>
      <c r="G45" s="0" t="inlineStr">
        <is>
          <t>NULL</t>
        </is>
      </c>
      <c r="H45" s="0" t="inlineStr">
        <is>
          <t>NULL</t>
        </is>
      </c>
      <c r="I45" s="0" t="inlineStr">
        <is>
          <t>NULL</t>
        </is>
      </c>
      <c r="J45" s="0" t="inlineStr">
        <is>
          <t>NULL</t>
        </is>
      </c>
      <c r="K45" s="0" t="inlineStr">
        <is>
          <t>YES! 	 c_time列源备映射正确，源端为time None位	期望更改为time(n)	实际备端为time None位</t>
        </is>
      </c>
    </row>
    <row r="46">
      <c r="A46" s="0" t="inlineStr">
        <is>
          <t>info_geometry_dml_single_pk_drp</t>
        </is>
      </c>
      <c r="K46" s="0" t="inlineStr">
        <is>
          <t>[0;34m info_geometry_dml_single_pk_drp [0m源备字段数相同，源端字段：2 	备端字段2</t>
        </is>
      </c>
      <c r="W46" s="0" t="inlineStr">
        <is>
          <t>YES 源备无差异</t>
        </is>
      </c>
      <c r="X46" s="0">
        <f>A46</f>
        <v/>
      </c>
    </row>
    <row r="47">
      <c r="B47" s="0" t="inlineStr">
        <is>
          <t>YES</t>
        </is>
      </c>
      <c r="C47" s="0" t="inlineStr">
        <is>
          <t>NULL</t>
        </is>
      </c>
      <c r="D47" s="0" t="inlineStr">
        <is>
          <t>NULL</t>
        </is>
      </c>
      <c r="E47" s="0" t="inlineStr">
        <is>
          <t>NULL</t>
        </is>
      </c>
      <c r="F47" s="0" t="inlineStr">
        <is>
          <t>NULL</t>
        </is>
      </c>
      <c r="G47" s="0" t="inlineStr">
        <is>
          <t>NULL</t>
        </is>
      </c>
      <c r="H47" s="0" t="inlineStr">
        <is>
          <t>NULL</t>
        </is>
      </c>
      <c r="I47" s="0" t="inlineStr">
        <is>
          <t>YES!PK__info_geo__3213E83FD0AD5C3B</t>
        </is>
      </c>
      <c r="J47" s="0" t="inlineStr">
        <is>
          <t>YES! 主键相关索引</t>
        </is>
      </c>
      <c r="K47" s="0" t="inlineStr">
        <is>
          <t>YES! 	 id列源备映射正确，源端为int None位	期望更改为int	实际备端为int None位</t>
        </is>
      </c>
    </row>
    <row r="48">
      <c r="B48" s="0" t="inlineStr">
        <is>
          <t>NULL</t>
        </is>
      </c>
      <c r="C48" s="0" t="inlineStr">
        <is>
          <t>NULL</t>
        </is>
      </c>
      <c r="D48" s="0" t="inlineStr">
        <is>
          <t>NULL</t>
        </is>
      </c>
      <c r="E48" s="0" t="inlineStr">
        <is>
          <t>NULL</t>
        </is>
      </c>
      <c r="F48" s="0" t="inlineStr">
        <is>
          <t>NULL</t>
        </is>
      </c>
      <c r="G48" s="0" t="inlineStr">
        <is>
          <t>NULL</t>
        </is>
      </c>
      <c r="H48" s="0" t="inlineStr">
        <is>
          <t>NULL</t>
        </is>
      </c>
      <c r="I48" s="0" t="inlineStr">
        <is>
          <t>NULL</t>
        </is>
      </c>
      <c r="J48" s="0" t="inlineStr">
        <is>
          <t>NULL</t>
        </is>
      </c>
      <c r="K48" s="0" t="inlineStr">
        <is>
          <t>YES! 	 c_geometry列源备映射正确，源端为geometry -1位	期望更改为geometry	实际备端为geometry -1位</t>
        </is>
      </c>
    </row>
    <row r="49">
      <c r="A49" s="0" t="inlineStr">
        <is>
          <t>info_char_dml_single_nopk</t>
        </is>
      </c>
      <c r="K49" s="0" t="inlineStr">
        <is>
          <t>[0;34m info_char_dml_single_nopk [0m源备字段数相同，源端字段：4 	备端字段4</t>
        </is>
      </c>
      <c r="W49" s="0" t="inlineStr">
        <is>
          <t>YES 源备无差异</t>
        </is>
      </c>
      <c r="X49" s="0">
        <f>A49</f>
        <v/>
      </c>
    </row>
    <row r="50">
      <c r="B50" s="0" t="inlineStr">
        <is>
          <t>NULL</t>
        </is>
      </c>
      <c r="C50" s="0" t="inlineStr">
        <is>
          <t>NULL</t>
        </is>
      </c>
      <c r="D50" s="0" t="inlineStr">
        <is>
          <t>NULL</t>
        </is>
      </c>
      <c r="E50" s="0" t="inlineStr">
        <is>
          <t>NULL</t>
        </is>
      </c>
      <c r="F50" s="0" t="inlineStr">
        <is>
          <t>NULL</t>
        </is>
      </c>
      <c r="G50" s="0" t="inlineStr">
        <is>
          <t>NULL</t>
        </is>
      </c>
      <c r="H50" s="0" t="inlineStr">
        <is>
          <t>NULL</t>
        </is>
      </c>
      <c r="I50" s="0" t="inlineStr">
        <is>
          <t>NULL</t>
        </is>
      </c>
      <c r="J50" s="0" t="inlineStr">
        <is>
          <t>NULL</t>
        </is>
      </c>
      <c r="K50" s="0" t="inlineStr">
        <is>
          <t>YES! 	 id列源备映射正确，源端为int None位	期望更改为int	实际备端为int None位</t>
        </is>
      </c>
    </row>
    <row r="51">
      <c r="B51" s="0" t="inlineStr">
        <is>
          <t>NULL</t>
        </is>
      </c>
      <c r="C51" s="0" t="inlineStr">
        <is>
          <t>NULL</t>
        </is>
      </c>
      <c r="D51" s="0" t="inlineStr">
        <is>
          <t>NULL</t>
        </is>
      </c>
      <c r="E51" s="0" t="inlineStr">
        <is>
          <t>NULL</t>
        </is>
      </c>
      <c r="F51" s="0" t="inlineStr">
        <is>
          <t>NULL</t>
        </is>
      </c>
      <c r="G51" s="0" t="inlineStr">
        <is>
          <t>NULL</t>
        </is>
      </c>
      <c r="H51" s="0" t="inlineStr">
        <is>
          <t>NULL</t>
        </is>
      </c>
      <c r="I51" s="0" t="inlineStr">
        <is>
          <t>NULL</t>
        </is>
      </c>
      <c r="J51" s="0" t="inlineStr">
        <is>
          <t>NULL</t>
        </is>
      </c>
      <c r="K51" s="0" t="inlineStr">
        <is>
          <t>YES! 	 c_char列源备映射正确，源端为char 1位	期望更改为char(n)	实际备端为char 1位</t>
        </is>
      </c>
    </row>
    <row r="52">
      <c r="B52" s="0" t="inlineStr">
        <is>
          <t>NULL</t>
        </is>
      </c>
      <c r="C52" s="0" t="inlineStr">
        <is>
          <t>NULL</t>
        </is>
      </c>
      <c r="D52" s="0" t="inlineStr">
        <is>
          <t>NULL</t>
        </is>
      </c>
      <c r="E52" s="0" t="inlineStr">
        <is>
          <t>NULL</t>
        </is>
      </c>
      <c r="F52" s="0" t="inlineStr">
        <is>
          <t>NULL</t>
        </is>
      </c>
      <c r="G52" s="0" t="inlineStr">
        <is>
          <t>NULL</t>
        </is>
      </c>
      <c r="H52" s="0" t="inlineStr">
        <is>
          <t>NULL</t>
        </is>
      </c>
      <c r="I52" s="0" t="inlineStr">
        <is>
          <t>NULL</t>
        </is>
      </c>
      <c r="J52" s="0" t="inlineStr">
        <is>
          <t>NULL</t>
        </is>
      </c>
      <c r="K52" s="0" t="inlineStr">
        <is>
          <t>YES! 	 c_char20列源备映射正确，源端为char 20位	期望更改为char(n)	实际备端为char 20位</t>
        </is>
      </c>
    </row>
    <row r="53">
      <c r="B53" s="0" t="inlineStr">
        <is>
          <t>NULL</t>
        </is>
      </c>
      <c r="C53" s="0" t="inlineStr">
        <is>
          <t>NULL</t>
        </is>
      </c>
      <c r="D53" s="0" t="inlineStr">
        <is>
          <t>NULL</t>
        </is>
      </c>
      <c r="E53" s="0" t="inlineStr">
        <is>
          <t>NULL</t>
        </is>
      </c>
      <c r="F53" s="0" t="inlineStr">
        <is>
          <t>NULL</t>
        </is>
      </c>
      <c r="G53" s="0" t="inlineStr">
        <is>
          <t>NULL</t>
        </is>
      </c>
      <c r="H53" s="0" t="inlineStr">
        <is>
          <t>NULL</t>
        </is>
      </c>
      <c r="I53" s="0" t="inlineStr">
        <is>
          <t>NULL</t>
        </is>
      </c>
      <c r="J53" s="0" t="inlineStr">
        <is>
          <t>NULL</t>
        </is>
      </c>
      <c r="K53" s="0" t="inlineStr">
        <is>
          <t>YES! 	 c_char7000列源备映射正确，源端为char 7000位	期望更改为char(n)	实际备端为char 7000位</t>
        </is>
      </c>
    </row>
    <row r="54">
      <c r="A54" s="0" t="inlineStr">
        <is>
          <t>info_varbinary_dml_batch1_pk_urp1</t>
        </is>
      </c>
      <c r="K54" s="0" t="inlineStr">
        <is>
          <t>[0;34m info_varbinary_dml_batch1_pk_urp1 [0m源备字段数相同，源端字段：4 	备端字段4</t>
        </is>
      </c>
      <c r="W54" s="0" t="inlineStr">
        <is>
          <t>YES 源备无差异</t>
        </is>
      </c>
      <c r="X54" s="0">
        <f>A54</f>
        <v/>
      </c>
    </row>
    <row r="55">
      <c r="B55" s="0" t="inlineStr">
        <is>
          <t>YES</t>
        </is>
      </c>
      <c r="C55" s="0" t="inlineStr">
        <is>
          <t>NULL</t>
        </is>
      </c>
      <c r="D55" s="0" t="inlineStr">
        <is>
          <t>NULL</t>
        </is>
      </c>
      <c r="E55" s="0" t="inlineStr">
        <is>
          <t>NULL</t>
        </is>
      </c>
      <c r="F55" s="0" t="inlineStr">
        <is>
          <t>NULL</t>
        </is>
      </c>
      <c r="G55" s="0" t="inlineStr">
        <is>
          <t>NULL</t>
        </is>
      </c>
      <c r="H55" s="0" t="inlineStr">
        <is>
          <t>NULL</t>
        </is>
      </c>
      <c r="I55" s="0" t="inlineStr">
        <is>
          <t>YES!PK__info_var__3213E83F21F585F3</t>
        </is>
      </c>
      <c r="J55" s="0" t="inlineStr">
        <is>
          <t>YES! 主键相关索引</t>
        </is>
      </c>
      <c r="K55" s="0" t="inlineStr">
        <is>
          <t>YES! 	 id列源备映射正确，源端为int None位	期望更改为int	实际备端为int None位</t>
        </is>
      </c>
    </row>
    <row r="56">
      <c r="B56" s="0" t="inlineStr">
        <is>
          <t>NULL</t>
        </is>
      </c>
      <c r="C56" s="0" t="inlineStr">
        <is>
          <t>NULL</t>
        </is>
      </c>
      <c r="D56" s="0" t="inlineStr">
        <is>
          <t>NULL</t>
        </is>
      </c>
      <c r="E56" s="0" t="inlineStr">
        <is>
          <t>NULL</t>
        </is>
      </c>
      <c r="F56" s="0" t="inlineStr">
        <is>
          <t>NULL</t>
        </is>
      </c>
      <c r="G56" s="0" t="inlineStr">
        <is>
          <t>NULL</t>
        </is>
      </c>
      <c r="H56" s="0" t="inlineStr">
        <is>
          <t>NULL</t>
        </is>
      </c>
      <c r="I56" s="0" t="inlineStr">
        <is>
          <t>NULL</t>
        </is>
      </c>
      <c r="J56" s="0" t="inlineStr">
        <is>
          <t>NULL</t>
        </is>
      </c>
      <c r="K56" s="0" t="inlineStr">
        <is>
          <t>YES! 	 c_varbinary列源备映射正确，源端为varbinary 1位	期望更改为varbinary(n)	实际备端为varbinary 1位</t>
        </is>
      </c>
    </row>
    <row r="57">
      <c r="B57" s="0" t="inlineStr">
        <is>
          <t>NULL</t>
        </is>
      </c>
      <c r="C57" s="0" t="inlineStr">
        <is>
          <t>NULL</t>
        </is>
      </c>
      <c r="D57" s="0" t="inlineStr">
        <is>
          <t>NULL</t>
        </is>
      </c>
      <c r="E57" s="0" t="inlineStr">
        <is>
          <t>NULL</t>
        </is>
      </c>
      <c r="F57" s="0" t="inlineStr">
        <is>
          <t>NULL</t>
        </is>
      </c>
      <c r="G57" s="0" t="inlineStr">
        <is>
          <t>NULL</t>
        </is>
      </c>
      <c r="H57" s="0" t="inlineStr">
        <is>
          <t>NULL</t>
        </is>
      </c>
      <c r="I57" s="0" t="inlineStr">
        <is>
          <t>NULL</t>
        </is>
      </c>
      <c r="J57" s="0" t="inlineStr">
        <is>
          <t>NULL</t>
        </is>
      </c>
      <c r="K57" s="0" t="inlineStr">
        <is>
          <t>YES! 	 c_varbinary_100列源备映射正确，源端为varbinary 100位	期望更改为varbinary(n)	实际备端为varbinary 100位</t>
        </is>
      </c>
    </row>
    <row r="58">
      <c r="B58" s="0" t="inlineStr">
        <is>
          <t>NULL</t>
        </is>
      </c>
      <c r="C58" s="0" t="inlineStr">
        <is>
          <t>NULL</t>
        </is>
      </c>
      <c r="D58" s="0" t="inlineStr">
        <is>
          <t>NULL</t>
        </is>
      </c>
      <c r="E58" s="0" t="inlineStr">
        <is>
          <t>NULL</t>
        </is>
      </c>
      <c r="F58" s="0" t="inlineStr">
        <is>
          <t>NULL</t>
        </is>
      </c>
      <c r="G58" s="0" t="inlineStr">
        <is>
          <t>NULL</t>
        </is>
      </c>
      <c r="H58" s="0" t="inlineStr">
        <is>
          <t>NULL</t>
        </is>
      </c>
      <c r="I58" s="0" t="inlineStr">
        <is>
          <t>NULL</t>
        </is>
      </c>
      <c r="J58" s="0" t="inlineStr">
        <is>
          <t>NULL</t>
        </is>
      </c>
      <c r="K58" s="0" t="inlineStr">
        <is>
          <t>YES! 	 c_varbinary_8000列源备映射正确，源端为varbinary 8000位	期望更改为varbinary(n)	实际备端为varbinary 8000位</t>
        </is>
      </c>
    </row>
    <row r="59">
      <c r="A59" s="0" t="inlineStr">
        <is>
          <t>info_geometry_dml_single_pk</t>
        </is>
      </c>
      <c r="K59" s="0" t="inlineStr">
        <is>
          <t>[0;34m info_geometry_dml_single_pk [0m源备字段数相同，源端字段：2 	备端字段2</t>
        </is>
      </c>
      <c r="W59" s="0" t="inlineStr">
        <is>
          <t>YES 源备无差异</t>
        </is>
      </c>
      <c r="X59" s="0">
        <f>A59</f>
        <v/>
      </c>
    </row>
    <row r="60">
      <c r="B60" s="0" t="inlineStr">
        <is>
          <t>YES</t>
        </is>
      </c>
      <c r="C60" s="0" t="inlineStr">
        <is>
          <t>NULL</t>
        </is>
      </c>
      <c r="D60" s="0" t="inlineStr">
        <is>
          <t>NULL</t>
        </is>
      </c>
      <c r="E60" s="0" t="inlineStr">
        <is>
          <t>NULL</t>
        </is>
      </c>
      <c r="F60" s="0" t="inlineStr">
        <is>
          <t>NULL</t>
        </is>
      </c>
      <c r="G60" s="0" t="inlineStr">
        <is>
          <t>NULL</t>
        </is>
      </c>
      <c r="H60" s="0" t="inlineStr">
        <is>
          <t>NULL</t>
        </is>
      </c>
      <c r="I60" s="0" t="inlineStr">
        <is>
          <t>YES!PK__info_geo__3213E83FC1F51764</t>
        </is>
      </c>
      <c r="J60" s="0" t="inlineStr">
        <is>
          <t>YES! 主键相关索引</t>
        </is>
      </c>
      <c r="K60" s="0" t="inlineStr">
        <is>
          <t>YES! 	 id列源备映射正确，源端为int None位	期望更改为int	实际备端为int None位</t>
        </is>
      </c>
    </row>
    <row r="61">
      <c r="B61" s="0" t="inlineStr">
        <is>
          <t>NULL</t>
        </is>
      </c>
      <c r="C61" s="0" t="inlineStr">
        <is>
          <t>NULL</t>
        </is>
      </c>
      <c r="D61" s="0" t="inlineStr">
        <is>
          <t>NULL</t>
        </is>
      </c>
      <c r="E61" s="0" t="inlineStr">
        <is>
          <t>NULL</t>
        </is>
      </c>
      <c r="F61" s="0" t="inlineStr">
        <is>
          <t>NULL</t>
        </is>
      </c>
      <c r="G61" s="0" t="inlineStr">
        <is>
          <t>NULL</t>
        </is>
      </c>
      <c r="H61" s="0" t="inlineStr">
        <is>
          <t>NULL</t>
        </is>
      </c>
      <c r="I61" s="0" t="inlineStr">
        <is>
          <t>NULL</t>
        </is>
      </c>
      <c r="J61" s="0" t="inlineStr">
        <is>
          <t>NULL</t>
        </is>
      </c>
      <c r="K61" s="0" t="inlineStr">
        <is>
          <t>YES! 	 c_geometry列源备映射正确，源端为geometry -1位	期望更改为geometry	实际备端为geometry -1位</t>
        </is>
      </c>
    </row>
    <row r="62">
      <c r="A62" s="0" t="inlineStr">
        <is>
          <t>info_varbinary_dml_batch1_pk_urp2</t>
        </is>
      </c>
      <c r="K62" s="0" t="inlineStr">
        <is>
          <t>[0;34m info_varbinary_dml_batch1_pk_urp2 [0m源备字段数相同，源端字段：4 	备端字段4</t>
        </is>
      </c>
      <c r="W62" s="0" t="inlineStr">
        <is>
          <t>YES 源备无差异</t>
        </is>
      </c>
      <c r="X62" s="0">
        <f>A62</f>
        <v/>
      </c>
    </row>
    <row r="63">
      <c r="B63" s="0" t="inlineStr">
        <is>
          <t>YES</t>
        </is>
      </c>
      <c r="C63" s="0" t="inlineStr">
        <is>
          <t>NULL</t>
        </is>
      </c>
      <c r="D63" s="0" t="inlineStr">
        <is>
          <t>NULL</t>
        </is>
      </c>
      <c r="E63" s="0" t="inlineStr">
        <is>
          <t>NULL</t>
        </is>
      </c>
      <c r="F63" s="0" t="inlineStr">
        <is>
          <t>NULL</t>
        </is>
      </c>
      <c r="G63" s="0" t="inlineStr">
        <is>
          <t>NULL</t>
        </is>
      </c>
      <c r="H63" s="0" t="inlineStr">
        <is>
          <t>NULL</t>
        </is>
      </c>
      <c r="I63" s="0" t="inlineStr">
        <is>
          <t>YES!PK__info_var__3213E83F13B34F30</t>
        </is>
      </c>
      <c r="J63" s="0" t="inlineStr">
        <is>
          <t>YES! 主键相关索引</t>
        </is>
      </c>
      <c r="K63" s="0" t="inlineStr">
        <is>
          <t>YES! 	 id列源备映射正确，源端为int None位	期望更改为int	实际备端为int None位</t>
        </is>
      </c>
    </row>
    <row r="64">
      <c r="B64" s="0" t="inlineStr">
        <is>
          <t>NULL</t>
        </is>
      </c>
      <c r="C64" s="0" t="inlineStr">
        <is>
          <t>NULL</t>
        </is>
      </c>
      <c r="D64" s="0" t="inlineStr">
        <is>
          <t>NULL</t>
        </is>
      </c>
      <c r="E64" s="0" t="inlineStr">
        <is>
          <t>NULL</t>
        </is>
      </c>
      <c r="F64" s="0" t="inlineStr">
        <is>
          <t>NULL</t>
        </is>
      </c>
      <c r="G64" s="0" t="inlineStr">
        <is>
          <t>NULL</t>
        </is>
      </c>
      <c r="H64" s="0" t="inlineStr">
        <is>
          <t>NULL</t>
        </is>
      </c>
      <c r="I64" s="0" t="inlineStr">
        <is>
          <t>NULL</t>
        </is>
      </c>
      <c r="J64" s="0" t="inlineStr">
        <is>
          <t>NULL</t>
        </is>
      </c>
      <c r="K64" s="0" t="inlineStr">
        <is>
          <t>YES! 	 c_varbinary列源备映射正确，源端为varbinary 1位	期望更改为varbinary(n)	实际备端为varbinary 1位</t>
        </is>
      </c>
    </row>
    <row r="65">
      <c r="B65" s="0" t="inlineStr">
        <is>
          <t>NULL</t>
        </is>
      </c>
      <c r="C65" s="0" t="inlineStr">
        <is>
          <t>NULL</t>
        </is>
      </c>
      <c r="D65" s="0" t="inlineStr">
        <is>
          <t>NULL</t>
        </is>
      </c>
      <c r="E65" s="0" t="inlineStr">
        <is>
          <t>NULL</t>
        </is>
      </c>
      <c r="F65" s="0" t="inlineStr">
        <is>
          <t>NULL</t>
        </is>
      </c>
      <c r="G65" s="0" t="inlineStr">
        <is>
          <t>NULL</t>
        </is>
      </c>
      <c r="H65" s="0" t="inlineStr">
        <is>
          <t>NULL</t>
        </is>
      </c>
      <c r="I65" s="0" t="inlineStr">
        <is>
          <t>NULL</t>
        </is>
      </c>
      <c r="J65" s="0" t="inlineStr">
        <is>
          <t>NULL</t>
        </is>
      </c>
      <c r="K65" s="0" t="inlineStr">
        <is>
          <t>YES! 	 c_varbinary_100列源备映射正确，源端为varbinary 100位	期望更改为varbinary(n)	实际备端为varbinary 100位</t>
        </is>
      </c>
    </row>
    <row r="66">
      <c r="B66" s="0" t="inlineStr">
        <is>
          <t>NULL</t>
        </is>
      </c>
      <c r="C66" s="0" t="inlineStr">
        <is>
          <t>NULL</t>
        </is>
      </c>
      <c r="D66" s="0" t="inlineStr">
        <is>
          <t>NULL</t>
        </is>
      </c>
      <c r="E66" s="0" t="inlineStr">
        <is>
          <t>NULL</t>
        </is>
      </c>
      <c r="F66" s="0" t="inlineStr">
        <is>
          <t>NULL</t>
        </is>
      </c>
      <c r="G66" s="0" t="inlineStr">
        <is>
          <t>NULL</t>
        </is>
      </c>
      <c r="H66" s="0" t="inlineStr">
        <is>
          <t>NULL</t>
        </is>
      </c>
      <c r="I66" s="0" t="inlineStr">
        <is>
          <t>NULL</t>
        </is>
      </c>
      <c r="J66" s="0" t="inlineStr">
        <is>
          <t>NULL</t>
        </is>
      </c>
      <c r="K66" s="0" t="inlineStr">
        <is>
          <t>YES! 	 c_varbinary_8000列源备映射正确，源端为varbinary 8000位	期望更改为varbinary(n)	实际备端为varbinary 8000位</t>
        </is>
      </c>
    </row>
    <row r="67">
      <c r="A67" s="0" t="inlineStr">
        <is>
          <t>info_time_dml_batch2_pk_irp2</t>
        </is>
      </c>
      <c r="K67" s="0" t="inlineStr">
        <is>
          <t>[0;34m info_time_dml_batch2_pk_irp2 [0m源备字段数相同，源端字段：9 	备端字段9</t>
        </is>
      </c>
      <c r="W67" s="0" t="inlineStr">
        <is>
          <t>YES 源备无差异</t>
        </is>
      </c>
      <c r="X67" s="0">
        <f>A67</f>
        <v/>
      </c>
    </row>
    <row r="68">
      <c r="B68" s="0" t="inlineStr">
        <is>
          <t>YES</t>
        </is>
      </c>
      <c r="C68" s="0" t="inlineStr">
        <is>
          <t>NULL</t>
        </is>
      </c>
      <c r="D68" s="0" t="inlineStr">
        <is>
          <t>NULL</t>
        </is>
      </c>
      <c r="E68" s="0" t="inlineStr">
        <is>
          <t>NULL</t>
        </is>
      </c>
      <c r="F68" s="0" t="inlineStr">
        <is>
          <t>NULL</t>
        </is>
      </c>
      <c r="G68" s="0" t="inlineStr">
        <is>
          <t>NULL</t>
        </is>
      </c>
      <c r="H68" s="0" t="inlineStr">
        <is>
          <t>NULL</t>
        </is>
      </c>
      <c r="I68" s="0" t="inlineStr">
        <is>
          <t>YES!PK__info_tim__3213E83F0736C131</t>
        </is>
      </c>
      <c r="J68" s="0" t="inlineStr">
        <is>
          <t>YES! 主键相关索引</t>
        </is>
      </c>
      <c r="K68" s="0" t="inlineStr">
        <is>
          <t>YES! 	 id列源备映射正确，源端为int None位	期望更改为int	实际备端为int None位</t>
        </is>
      </c>
    </row>
    <row r="69">
      <c r="B69" s="0" t="inlineStr">
        <is>
          <t>NULL</t>
        </is>
      </c>
      <c r="C69" s="0" t="inlineStr">
        <is>
          <t>NULL</t>
        </is>
      </c>
      <c r="D69" s="0" t="inlineStr">
        <is>
          <t>NULL</t>
        </is>
      </c>
      <c r="E69" s="0" t="inlineStr">
        <is>
          <t>NULL</t>
        </is>
      </c>
      <c r="F69" s="0" t="inlineStr">
        <is>
          <t>NULL</t>
        </is>
      </c>
      <c r="G69" s="0" t="inlineStr">
        <is>
          <t>NULL</t>
        </is>
      </c>
      <c r="H69" s="0" t="inlineStr">
        <is>
          <t>NULL</t>
        </is>
      </c>
      <c r="I69" s="0" t="inlineStr">
        <is>
          <t>NULL</t>
        </is>
      </c>
      <c r="J69" s="0" t="inlineStr">
        <is>
          <t>NULL</t>
        </is>
      </c>
      <c r="K69" s="0" t="inlineStr">
        <is>
          <t>no,len不存在</t>
        </is>
      </c>
    </row>
    <row r="70">
      <c r="B70" s="0" t="inlineStr">
        <is>
          <t>NULL</t>
        </is>
      </c>
      <c r="C70" s="0" t="inlineStr">
        <is>
          <t>NULL</t>
        </is>
      </c>
      <c r="D70" s="0" t="inlineStr">
        <is>
          <t>NULL</t>
        </is>
      </c>
      <c r="E70" s="0" t="inlineStr">
        <is>
          <t>NULL</t>
        </is>
      </c>
      <c r="F70" s="0" t="inlineStr">
        <is>
          <t>NULL</t>
        </is>
      </c>
      <c r="G70" s="0" t="inlineStr">
        <is>
          <t>NULL</t>
        </is>
      </c>
      <c r="H70" s="0" t="inlineStr">
        <is>
          <t>NULL</t>
        </is>
      </c>
      <c r="I70" s="0" t="inlineStr">
        <is>
          <t>NULL</t>
        </is>
      </c>
      <c r="J70" s="0" t="inlineStr">
        <is>
          <t>NULL</t>
        </is>
      </c>
      <c r="K70" s="0" t="inlineStr">
        <is>
          <t>YES! 	 c_time1列源备映射正确，源端为time None位	期望更改为time(n)	实际备端为time None位</t>
        </is>
      </c>
    </row>
    <row r="71">
      <c r="B71" s="0" t="inlineStr">
        <is>
          <t>NULL</t>
        </is>
      </c>
      <c r="C71" s="0" t="inlineStr">
        <is>
          <t>NULL</t>
        </is>
      </c>
      <c r="D71" s="0" t="inlineStr">
        <is>
          <t>NULL</t>
        </is>
      </c>
      <c r="E71" s="0" t="inlineStr">
        <is>
          <t>NULL</t>
        </is>
      </c>
      <c r="F71" s="0" t="inlineStr">
        <is>
          <t>NULL</t>
        </is>
      </c>
      <c r="G71" s="0" t="inlineStr">
        <is>
          <t>NULL</t>
        </is>
      </c>
      <c r="H71" s="0" t="inlineStr">
        <is>
          <t>NULL</t>
        </is>
      </c>
      <c r="I71" s="0" t="inlineStr">
        <is>
          <t>NULL</t>
        </is>
      </c>
      <c r="J71" s="0" t="inlineStr">
        <is>
          <t>NULL</t>
        </is>
      </c>
      <c r="K71" s="0" t="inlineStr">
        <is>
          <t>YES! 	 c_time2列源备映射正确，源端为time None位	期望更改为time(n)	实际备端为time None位</t>
        </is>
      </c>
    </row>
    <row r="72">
      <c r="B72" s="0" t="inlineStr">
        <is>
          <t>NULL</t>
        </is>
      </c>
      <c r="C72" s="0" t="inlineStr">
        <is>
          <t>NULL</t>
        </is>
      </c>
      <c r="D72" s="0" t="inlineStr">
        <is>
          <t>NULL</t>
        </is>
      </c>
      <c r="E72" s="0" t="inlineStr">
        <is>
          <t>NULL</t>
        </is>
      </c>
      <c r="F72" s="0" t="inlineStr">
        <is>
          <t>NULL</t>
        </is>
      </c>
      <c r="G72" s="0" t="inlineStr">
        <is>
          <t>NULL</t>
        </is>
      </c>
      <c r="H72" s="0" t="inlineStr">
        <is>
          <t>NULL</t>
        </is>
      </c>
      <c r="I72" s="0" t="inlineStr">
        <is>
          <t>NULL</t>
        </is>
      </c>
      <c r="J72" s="0" t="inlineStr">
        <is>
          <t>NULL</t>
        </is>
      </c>
      <c r="K72" s="0" t="inlineStr">
        <is>
          <t>YES! 	 c_time3列源备映射正确，源端为time None位	期望更改为time(n)	实际备端为time None位</t>
        </is>
      </c>
    </row>
    <row r="73">
      <c r="B73" s="0" t="inlineStr">
        <is>
          <t>NULL</t>
        </is>
      </c>
      <c r="C73" s="0" t="inlineStr">
        <is>
          <t>NULL</t>
        </is>
      </c>
      <c r="D73" s="0" t="inlineStr">
        <is>
          <t>NULL</t>
        </is>
      </c>
      <c r="E73" s="0" t="inlineStr">
        <is>
          <t>NULL</t>
        </is>
      </c>
      <c r="F73" s="0" t="inlineStr">
        <is>
          <t>NULL</t>
        </is>
      </c>
      <c r="G73" s="0" t="inlineStr">
        <is>
          <t>NULL</t>
        </is>
      </c>
      <c r="H73" s="0" t="inlineStr">
        <is>
          <t>NULL</t>
        </is>
      </c>
      <c r="I73" s="0" t="inlineStr">
        <is>
          <t>NULL</t>
        </is>
      </c>
      <c r="J73" s="0" t="inlineStr">
        <is>
          <t>NULL</t>
        </is>
      </c>
      <c r="K73" s="0" t="inlineStr">
        <is>
          <t>YES! 	 c_time4列源备映射正确，源端为time None位	期望更改为time(n)	实际备端为time None位</t>
        </is>
      </c>
    </row>
    <row r="74">
      <c r="B74" s="0" t="inlineStr">
        <is>
          <t>NULL</t>
        </is>
      </c>
      <c r="C74" s="0" t="inlineStr">
        <is>
          <t>NULL</t>
        </is>
      </c>
      <c r="D74" s="0" t="inlineStr">
        <is>
          <t>NULL</t>
        </is>
      </c>
      <c r="E74" s="0" t="inlineStr">
        <is>
          <t>NULL</t>
        </is>
      </c>
      <c r="F74" s="0" t="inlineStr">
        <is>
          <t>NULL</t>
        </is>
      </c>
      <c r="G74" s="0" t="inlineStr">
        <is>
          <t>NULL</t>
        </is>
      </c>
      <c r="H74" s="0" t="inlineStr">
        <is>
          <t>NULL</t>
        </is>
      </c>
      <c r="I74" s="0" t="inlineStr">
        <is>
          <t>NULL</t>
        </is>
      </c>
      <c r="J74" s="0" t="inlineStr">
        <is>
          <t>NULL</t>
        </is>
      </c>
      <c r="K74" s="0" t="inlineStr">
        <is>
          <t>YES! 	 c_time5列源备映射正确，源端为time None位	期望更改为time(n)	实际备端为time None位</t>
        </is>
      </c>
    </row>
    <row r="75">
      <c r="B75" s="0" t="inlineStr">
        <is>
          <t>NULL</t>
        </is>
      </c>
      <c r="C75" s="0" t="inlineStr">
        <is>
          <t>NULL</t>
        </is>
      </c>
      <c r="D75" s="0" t="inlineStr">
        <is>
          <t>NULL</t>
        </is>
      </c>
      <c r="E75" s="0" t="inlineStr">
        <is>
          <t>NULL</t>
        </is>
      </c>
      <c r="F75" s="0" t="inlineStr">
        <is>
          <t>NULL</t>
        </is>
      </c>
      <c r="G75" s="0" t="inlineStr">
        <is>
          <t>NULL</t>
        </is>
      </c>
      <c r="H75" s="0" t="inlineStr">
        <is>
          <t>NULL</t>
        </is>
      </c>
      <c r="I75" s="0" t="inlineStr">
        <is>
          <t>NULL</t>
        </is>
      </c>
      <c r="J75" s="0" t="inlineStr">
        <is>
          <t>NULL</t>
        </is>
      </c>
      <c r="K75" s="0" t="inlineStr">
        <is>
          <t>YES! 	 c_time6列源备映射正确，源端为time None位	期望更改为time(n)	实际备端为time None位</t>
        </is>
      </c>
    </row>
    <row r="76">
      <c r="B76" s="0" t="inlineStr">
        <is>
          <t>NULL</t>
        </is>
      </c>
      <c r="C76" s="0" t="inlineStr">
        <is>
          <t>NULL</t>
        </is>
      </c>
      <c r="D76" s="0" t="inlineStr">
        <is>
          <t>NULL</t>
        </is>
      </c>
      <c r="E76" s="0" t="inlineStr">
        <is>
          <t>NULL</t>
        </is>
      </c>
      <c r="F76" s="0" t="inlineStr">
        <is>
          <t>NULL</t>
        </is>
      </c>
      <c r="G76" s="0" t="inlineStr">
        <is>
          <t>NULL</t>
        </is>
      </c>
      <c r="H76" s="0" t="inlineStr">
        <is>
          <t>NULL</t>
        </is>
      </c>
      <c r="I76" s="0" t="inlineStr">
        <is>
          <t>NULL</t>
        </is>
      </c>
      <c r="J76" s="0" t="inlineStr">
        <is>
          <t>NULL</t>
        </is>
      </c>
      <c r="K76" s="0" t="inlineStr">
        <is>
          <t>YES! 	 c_time列源备映射正确，源端为time None位	期望更改为time(n)	实际备端为time None位</t>
        </is>
      </c>
    </row>
    <row r="77">
      <c r="A77" s="0" t="inlineStr">
        <is>
          <t>info_varchar_dml_single_nopk_irp</t>
        </is>
      </c>
      <c r="K77" s="0" t="inlineStr">
        <is>
          <t>[0;34m info_varchar_dml_single_nopk_irp [0m源备字段数相同，源端字段：4 	备端字段4</t>
        </is>
      </c>
      <c r="W77" s="0" t="inlineStr">
        <is>
          <t>YES 源备无差异</t>
        </is>
      </c>
      <c r="X77" s="0">
        <f>A77</f>
        <v/>
      </c>
    </row>
    <row r="78">
      <c r="B78" s="0" t="inlineStr">
        <is>
          <t>NULL</t>
        </is>
      </c>
      <c r="C78" s="0" t="inlineStr">
        <is>
          <t>NULL</t>
        </is>
      </c>
      <c r="D78" s="0" t="inlineStr">
        <is>
          <t>NULL</t>
        </is>
      </c>
      <c r="E78" s="0" t="inlineStr">
        <is>
          <t>NULL</t>
        </is>
      </c>
      <c r="F78" s="0" t="inlineStr">
        <is>
          <t>NULL</t>
        </is>
      </c>
      <c r="G78" s="0" t="inlineStr">
        <is>
          <t>NULL</t>
        </is>
      </c>
      <c r="H78" s="0" t="inlineStr">
        <is>
          <t>NULL</t>
        </is>
      </c>
      <c r="I78" s="0" t="inlineStr">
        <is>
          <t>NULL</t>
        </is>
      </c>
      <c r="J78" s="0" t="inlineStr">
        <is>
          <t>NULL</t>
        </is>
      </c>
      <c r="K78" s="0" t="inlineStr">
        <is>
          <t>YES! 	 id列源备映射正确，源端为int None位	期望更改为int	实际备端为int None位</t>
        </is>
      </c>
    </row>
    <row r="79">
      <c r="B79" s="0" t="inlineStr">
        <is>
          <t>NULL</t>
        </is>
      </c>
      <c r="C79" s="0" t="inlineStr">
        <is>
          <t>NULL</t>
        </is>
      </c>
      <c r="D79" s="0" t="inlineStr">
        <is>
          <t>NULL</t>
        </is>
      </c>
      <c r="E79" s="0" t="inlineStr">
        <is>
          <t>NULL</t>
        </is>
      </c>
      <c r="F79" s="0" t="inlineStr">
        <is>
          <t>NULL</t>
        </is>
      </c>
      <c r="G79" s="0" t="inlineStr">
        <is>
          <t>NULL</t>
        </is>
      </c>
      <c r="H79" s="0" t="inlineStr">
        <is>
          <t>NULL</t>
        </is>
      </c>
      <c r="I79" s="0" t="inlineStr">
        <is>
          <t>NULL</t>
        </is>
      </c>
      <c r="J79" s="0" t="inlineStr">
        <is>
          <t>NULL</t>
        </is>
      </c>
      <c r="K79" s="0" t="inlineStr">
        <is>
          <t>YES! 	 c_varchar列源备映射正确，源端为varchar 1位	期望更改为varchar(n)	实际备端为varchar 1位</t>
        </is>
      </c>
    </row>
    <row r="80">
      <c r="B80" s="0" t="inlineStr">
        <is>
          <t>NULL</t>
        </is>
      </c>
      <c r="C80" s="0" t="inlineStr">
        <is>
          <t>NULL</t>
        </is>
      </c>
      <c r="D80" s="0" t="inlineStr">
        <is>
          <t>NULL</t>
        </is>
      </c>
      <c r="E80" s="0" t="inlineStr">
        <is>
          <t>NULL</t>
        </is>
      </c>
      <c r="F80" s="0" t="inlineStr">
        <is>
          <t>NULL</t>
        </is>
      </c>
      <c r="G80" s="0" t="inlineStr">
        <is>
          <t>NULL</t>
        </is>
      </c>
      <c r="H80" s="0" t="inlineStr">
        <is>
          <t>NULL</t>
        </is>
      </c>
      <c r="I80" s="0" t="inlineStr">
        <is>
          <t>NULL</t>
        </is>
      </c>
      <c r="J80" s="0" t="inlineStr">
        <is>
          <t>NULL</t>
        </is>
      </c>
      <c r="K80" s="0" t="inlineStr">
        <is>
          <t>YES! 	 c_varchar50列源备映射正确，源端为varchar 50位	期望更改为varchar(n)	实际备端为varchar 50位</t>
        </is>
      </c>
    </row>
    <row r="81">
      <c r="B81" s="0" t="inlineStr">
        <is>
          <t>NULL</t>
        </is>
      </c>
      <c r="C81" s="0" t="inlineStr">
        <is>
          <t>NULL</t>
        </is>
      </c>
      <c r="D81" s="0" t="inlineStr">
        <is>
          <t>NULL</t>
        </is>
      </c>
      <c r="E81" s="0" t="inlineStr">
        <is>
          <t>NULL</t>
        </is>
      </c>
      <c r="F81" s="0" t="inlineStr">
        <is>
          <t>NULL</t>
        </is>
      </c>
      <c r="G81" s="0" t="inlineStr">
        <is>
          <t>NULL</t>
        </is>
      </c>
      <c r="H81" s="0" t="inlineStr">
        <is>
          <t>NULL</t>
        </is>
      </c>
      <c r="I81" s="0" t="inlineStr">
        <is>
          <t>NULL</t>
        </is>
      </c>
      <c r="J81" s="0" t="inlineStr">
        <is>
          <t>NULL</t>
        </is>
      </c>
      <c r="K81" s="0" t="inlineStr">
        <is>
          <t>YES! 	 c_varchar8000列源备映射正确，源端为varchar 8000位	期望更改为varchar(n)	实际备端为varchar 8000位</t>
        </is>
      </c>
    </row>
    <row r="82">
      <c r="A82" s="0" t="inlineStr">
        <is>
          <t>info_time_dml_batch1_pk_urp2</t>
        </is>
      </c>
      <c r="K82" s="0" t="inlineStr">
        <is>
          <t>[0;34m info_time_dml_batch1_pk_urp2 [0m源备字段数相同，源端字段：9 	备端字段9</t>
        </is>
      </c>
      <c r="W82" s="0" t="inlineStr">
        <is>
          <t>YES 源备无差异</t>
        </is>
      </c>
      <c r="X82" s="0">
        <f>A82</f>
        <v/>
      </c>
    </row>
    <row r="83">
      <c r="B83" s="0" t="inlineStr">
        <is>
          <t>YES</t>
        </is>
      </c>
      <c r="C83" s="0" t="inlineStr">
        <is>
          <t>NULL</t>
        </is>
      </c>
      <c r="D83" s="0" t="inlineStr">
        <is>
          <t>NULL</t>
        </is>
      </c>
      <c r="E83" s="0" t="inlineStr">
        <is>
          <t>NULL</t>
        </is>
      </c>
      <c r="F83" s="0" t="inlineStr">
        <is>
          <t>NULL</t>
        </is>
      </c>
      <c r="G83" s="0" t="inlineStr">
        <is>
          <t>NULL</t>
        </is>
      </c>
      <c r="H83" s="0" t="inlineStr">
        <is>
          <t>NULL</t>
        </is>
      </c>
      <c r="I83" s="0" t="inlineStr">
        <is>
          <t>YES!PK__info_tim__3213E83F7BBC653D</t>
        </is>
      </c>
      <c r="J83" s="0" t="inlineStr">
        <is>
          <t>YES! 主键相关索引</t>
        </is>
      </c>
      <c r="K83" s="0" t="inlineStr">
        <is>
          <t>YES! 	 id列源备映射正确，源端为int None位	期望更改为int	实际备端为int None位</t>
        </is>
      </c>
    </row>
    <row r="84">
      <c r="B84" s="0" t="inlineStr">
        <is>
          <t>NULL</t>
        </is>
      </c>
      <c r="C84" s="0" t="inlineStr">
        <is>
          <t>NULL</t>
        </is>
      </c>
      <c r="D84" s="0" t="inlineStr">
        <is>
          <t>NULL</t>
        </is>
      </c>
      <c r="E84" s="0" t="inlineStr">
        <is>
          <t>NULL</t>
        </is>
      </c>
      <c r="F84" s="0" t="inlineStr">
        <is>
          <t>NULL</t>
        </is>
      </c>
      <c r="G84" s="0" t="inlineStr">
        <is>
          <t>NULL</t>
        </is>
      </c>
      <c r="H84" s="0" t="inlineStr">
        <is>
          <t>NULL</t>
        </is>
      </c>
      <c r="I84" s="0" t="inlineStr">
        <is>
          <t>NULL</t>
        </is>
      </c>
      <c r="J84" s="0" t="inlineStr">
        <is>
          <t>NULL</t>
        </is>
      </c>
      <c r="K84" s="0" t="inlineStr">
        <is>
          <t>no,len不存在</t>
        </is>
      </c>
    </row>
    <row r="85">
      <c r="B85" s="0" t="inlineStr">
        <is>
          <t>NULL</t>
        </is>
      </c>
      <c r="C85" s="0" t="inlineStr">
        <is>
          <t>NULL</t>
        </is>
      </c>
      <c r="D85" s="0" t="inlineStr">
        <is>
          <t>NULL</t>
        </is>
      </c>
      <c r="E85" s="0" t="inlineStr">
        <is>
          <t>NULL</t>
        </is>
      </c>
      <c r="F85" s="0" t="inlineStr">
        <is>
          <t>NULL</t>
        </is>
      </c>
      <c r="G85" s="0" t="inlineStr">
        <is>
          <t>NULL</t>
        </is>
      </c>
      <c r="H85" s="0" t="inlineStr">
        <is>
          <t>NULL</t>
        </is>
      </c>
      <c r="I85" s="0" t="inlineStr">
        <is>
          <t>NULL</t>
        </is>
      </c>
      <c r="J85" s="0" t="inlineStr">
        <is>
          <t>NULL</t>
        </is>
      </c>
      <c r="K85" s="0" t="inlineStr">
        <is>
          <t>YES! 	 c_time1列源备映射正确，源端为time None位	期望更改为time(n)	实际备端为time None位</t>
        </is>
      </c>
    </row>
    <row r="86">
      <c r="B86" s="0" t="inlineStr">
        <is>
          <t>NULL</t>
        </is>
      </c>
      <c r="C86" s="0" t="inlineStr">
        <is>
          <t>NULL</t>
        </is>
      </c>
      <c r="D86" s="0" t="inlineStr">
        <is>
          <t>NULL</t>
        </is>
      </c>
      <c r="E86" s="0" t="inlineStr">
        <is>
          <t>NULL</t>
        </is>
      </c>
      <c r="F86" s="0" t="inlineStr">
        <is>
          <t>NULL</t>
        </is>
      </c>
      <c r="G86" s="0" t="inlineStr">
        <is>
          <t>NULL</t>
        </is>
      </c>
      <c r="H86" s="0" t="inlineStr">
        <is>
          <t>NULL</t>
        </is>
      </c>
      <c r="I86" s="0" t="inlineStr">
        <is>
          <t>NULL</t>
        </is>
      </c>
      <c r="J86" s="0" t="inlineStr">
        <is>
          <t>NULL</t>
        </is>
      </c>
      <c r="K86" s="0" t="inlineStr">
        <is>
          <t>YES! 	 c_time2列源备映射正确，源端为time None位	期望更改为time(n)	实际备端为time None位</t>
        </is>
      </c>
    </row>
    <row r="87">
      <c r="B87" s="0" t="inlineStr">
        <is>
          <t>NULL</t>
        </is>
      </c>
      <c r="C87" s="0" t="inlineStr">
        <is>
          <t>NULL</t>
        </is>
      </c>
      <c r="D87" s="0" t="inlineStr">
        <is>
          <t>NULL</t>
        </is>
      </c>
      <c r="E87" s="0" t="inlineStr">
        <is>
          <t>NULL</t>
        </is>
      </c>
      <c r="F87" s="0" t="inlineStr">
        <is>
          <t>NULL</t>
        </is>
      </c>
      <c r="G87" s="0" t="inlineStr">
        <is>
          <t>NULL</t>
        </is>
      </c>
      <c r="H87" s="0" t="inlineStr">
        <is>
          <t>NULL</t>
        </is>
      </c>
      <c r="I87" s="0" t="inlineStr">
        <is>
          <t>NULL</t>
        </is>
      </c>
      <c r="J87" s="0" t="inlineStr">
        <is>
          <t>NULL</t>
        </is>
      </c>
      <c r="K87" s="0" t="inlineStr">
        <is>
          <t>YES! 	 c_time3列源备映射正确，源端为time None位	期望更改为time(n)	实际备端为time None位</t>
        </is>
      </c>
    </row>
    <row r="88">
      <c r="B88" s="0" t="inlineStr">
        <is>
          <t>NULL</t>
        </is>
      </c>
      <c r="C88" s="0" t="inlineStr">
        <is>
          <t>NULL</t>
        </is>
      </c>
      <c r="D88" s="0" t="inlineStr">
        <is>
          <t>NULL</t>
        </is>
      </c>
      <c r="E88" s="0" t="inlineStr">
        <is>
          <t>NULL</t>
        </is>
      </c>
      <c r="F88" s="0" t="inlineStr">
        <is>
          <t>NULL</t>
        </is>
      </c>
      <c r="G88" s="0" t="inlineStr">
        <is>
          <t>NULL</t>
        </is>
      </c>
      <c r="H88" s="0" t="inlineStr">
        <is>
          <t>NULL</t>
        </is>
      </c>
      <c r="I88" s="0" t="inlineStr">
        <is>
          <t>NULL</t>
        </is>
      </c>
      <c r="J88" s="0" t="inlineStr">
        <is>
          <t>NULL</t>
        </is>
      </c>
      <c r="K88" s="0" t="inlineStr">
        <is>
          <t>YES! 	 c_time4列源备映射正确，源端为time None位	期望更改为time(n)	实际备端为time None位</t>
        </is>
      </c>
    </row>
    <row r="89">
      <c r="B89" s="0" t="inlineStr">
        <is>
          <t>NULL</t>
        </is>
      </c>
      <c r="C89" s="0" t="inlineStr">
        <is>
          <t>NULL</t>
        </is>
      </c>
      <c r="D89" s="0" t="inlineStr">
        <is>
          <t>NULL</t>
        </is>
      </c>
      <c r="E89" s="0" t="inlineStr">
        <is>
          <t>NULL</t>
        </is>
      </c>
      <c r="F89" s="0" t="inlineStr">
        <is>
          <t>NULL</t>
        </is>
      </c>
      <c r="G89" s="0" t="inlineStr">
        <is>
          <t>NULL</t>
        </is>
      </c>
      <c r="H89" s="0" t="inlineStr">
        <is>
          <t>NULL</t>
        </is>
      </c>
      <c r="I89" s="0" t="inlineStr">
        <is>
          <t>NULL</t>
        </is>
      </c>
      <c r="J89" s="0" t="inlineStr">
        <is>
          <t>NULL</t>
        </is>
      </c>
      <c r="K89" s="0" t="inlineStr">
        <is>
          <t>YES! 	 c_time5列源备映射正确，源端为time None位	期望更改为time(n)	实际备端为time None位</t>
        </is>
      </c>
    </row>
    <row r="90">
      <c r="B90" s="0" t="inlineStr">
        <is>
          <t>NULL</t>
        </is>
      </c>
      <c r="C90" s="0" t="inlineStr">
        <is>
          <t>NULL</t>
        </is>
      </c>
      <c r="D90" s="0" t="inlineStr">
        <is>
          <t>NULL</t>
        </is>
      </c>
      <c r="E90" s="0" t="inlineStr">
        <is>
          <t>NULL</t>
        </is>
      </c>
      <c r="F90" s="0" t="inlineStr">
        <is>
          <t>NULL</t>
        </is>
      </c>
      <c r="G90" s="0" t="inlineStr">
        <is>
          <t>NULL</t>
        </is>
      </c>
      <c r="H90" s="0" t="inlineStr">
        <is>
          <t>NULL</t>
        </is>
      </c>
      <c r="I90" s="0" t="inlineStr">
        <is>
          <t>NULL</t>
        </is>
      </c>
      <c r="J90" s="0" t="inlineStr">
        <is>
          <t>NULL</t>
        </is>
      </c>
      <c r="K90" s="0" t="inlineStr">
        <is>
          <t>YES! 	 c_time6列源备映射正确，源端为time None位	期望更改为time(n)	实际备端为time None位</t>
        </is>
      </c>
    </row>
    <row r="91">
      <c r="B91" s="0" t="inlineStr">
        <is>
          <t>NULL</t>
        </is>
      </c>
      <c r="C91" s="0" t="inlineStr">
        <is>
          <t>NULL</t>
        </is>
      </c>
      <c r="D91" s="0" t="inlineStr">
        <is>
          <t>NULL</t>
        </is>
      </c>
      <c r="E91" s="0" t="inlineStr">
        <is>
          <t>NULL</t>
        </is>
      </c>
      <c r="F91" s="0" t="inlineStr">
        <is>
          <t>NULL</t>
        </is>
      </c>
      <c r="G91" s="0" t="inlineStr">
        <is>
          <t>NULL</t>
        </is>
      </c>
      <c r="H91" s="0" t="inlineStr">
        <is>
          <t>NULL</t>
        </is>
      </c>
      <c r="I91" s="0" t="inlineStr">
        <is>
          <t>NULL</t>
        </is>
      </c>
      <c r="J91" s="0" t="inlineStr">
        <is>
          <t>NULL</t>
        </is>
      </c>
      <c r="K91" s="0" t="inlineStr">
        <is>
          <t>YES! 	 c_time列源备映射正确，源端为time None位	期望更改为time(n)	实际备端为time None位</t>
        </is>
      </c>
    </row>
    <row r="92">
      <c r="A92" s="0" t="inlineStr">
        <is>
          <t>info_hierarchyid_dml_single_nopk_irp</t>
        </is>
      </c>
      <c r="K92" s="0" t="inlineStr">
        <is>
          <t>[0;34m info_hierarchyid_dml_single_nopk_irp [0m源备字段数相同，源端字段：2 	备端字段2</t>
        </is>
      </c>
      <c r="W92" s="0" t="inlineStr">
        <is>
          <t>YES 源备无差异</t>
        </is>
      </c>
      <c r="X92" s="0">
        <f>A92</f>
        <v/>
      </c>
    </row>
    <row r="93">
      <c r="B93" s="0" t="inlineStr">
        <is>
          <t>NULL</t>
        </is>
      </c>
      <c r="C93" s="0" t="inlineStr">
        <is>
          <t>NULL</t>
        </is>
      </c>
      <c r="D93" s="0" t="inlineStr">
        <is>
          <t>NULL</t>
        </is>
      </c>
      <c r="E93" s="0" t="inlineStr">
        <is>
          <t>NULL</t>
        </is>
      </c>
      <c r="F93" s="0" t="inlineStr">
        <is>
          <t>NULL</t>
        </is>
      </c>
      <c r="G93" s="0" t="inlineStr">
        <is>
          <t>NULL</t>
        </is>
      </c>
      <c r="H93" s="0" t="inlineStr">
        <is>
          <t>NULL</t>
        </is>
      </c>
      <c r="I93" s="0" t="inlineStr">
        <is>
          <t>NULL</t>
        </is>
      </c>
      <c r="J93" s="0" t="inlineStr">
        <is>
          <t>NULL</t>
        </is>
      </c>
      <c r="K93" s="0" t="inlineStr">
        <is>
          <t>YES! 	 id列源备映射正确，源端为int None位	期望更改为int	实际备端为int None位</t>
        </is>
      </c>
    </row>
    <row r="94">
      <c r="B94" s="0" t="inlineStr">
        <is>
          <t>NULL</t>
        </is>
      </c>
      <c r="C94" s="0" t="inlineStr">
        <is>
          <t>NULL</t>
        </is>
      </c>
      <c r="D94" s="0" t="inlineStr">
        <is>
          <t>NULL</t>
        </is>
      </c>
      <c r="E94" s="0" t="inlineStr">
        <is>
          <t>NULL</t>
        </is>
      </c>
      <c r="F94" s="0" t="inlineStr">
        <is>
          <t>NULL</t>
        </is>
      </c>
      <c r="G94" s="0" t="inlineStr">
        <is>
          <t>NULL</t>
        </is>
      </c>
      <c r="H94" s="0" t="inlineStr">
        <is>
          <t>NULL</t>
        </is>
      </c>
      <c r="I94" s="0" t="inlineStr">
        <is>
          <t>NULL</t>
        </is>
      </c>
      <c r="J94" s="0" t="inlineStr">
        <is>
          <t>NULL</t>
        </is>
      </c>
      <c r="K94" s="0" t="inlineStr">
        <is>
          <t>YES! 	 c_hierarchyid列源备映射正确，源端为hierarchyid 892位	期望更改为hierarchyid	实际备端为hierarchyid 892位</t>
        </is>
      </c>
    </row>
    <row r="95">
      <c r="A95" s="0" t="inlineStr">
        <is>
          <t>info_time_dml_batch1_pk_urp1</t>
        </is>
      </c>
      <c r="K95" s="0" t="inlineStr">
        <is>
          <t>[0;34m info_time_dml_batch1_pk_urp1 [0m源备字段数相同，源端字段：9 	备端字段9</t>
        </is>
      </c>
      <c r="W95" s="0" t="inlineStr">
        <is>
          <t>YES 源备无差异</t>
        </is>
      </c>
      <c r="X95" s="0">
        <f>A95</f>
        <v/>
      </c>
    </row>
    <row r="96">
      <c r="B96" s="0" t="inlineStr">
        <is>
          <t>YES</t>
        </is>
      </c>
      <c r="C96" s="0" t="inlineStr">
        <is>
          <t>NULL</t>
        </is>
      </c>
      <c r="D96" s="0" t="inlineStr">
        <is>
          <t>NULL</t>
        </is>
      </c>
      <c r="E96" s="0" t="inlineStr">
        <is>
          <t>NULL</t>
        </is>
      </c>
      <c r="F96" s="0" t="inlineStr">
        <is>
          <t>NULL</t>
        </is>
      </c>
      <c r="G96" s="0" t="inlineStr">
        <is>
          <t>NULL</t>
        </is>
      </c>
      <c r="H96" s="0" t="inlineStr">
        <is>
          <t>NULL</t>
        </is>
      </c>
      <c r="I96" s="0" t="inlineStr">
        <is>
          <t>YES!PK__info_tim__3213E83FB7AFA254</t>
        </is>
      </c>
      <c r="J96" s="0" t="inlineStr">
        <is>
          <t>YES! 主键相关索引</t>
        </is>
      </c>
      <c r="K96" s="0" t="inlineStr">
        <is>
          <t>YES! 	 id列源备映射正确，源端为int None位	期望更改为int	实际备端为int None位</t>
        </is>
      </c>
    </row>
    <row r="97">
      <c r="B97" s="0" t="inlineStr">
        <is>
          <t>NULL</t>
        </is>
      </c>
      <c r="C97" s="0" t="inlineStr">
        <is>
          <t>NULL</t>
        </is>
      </c>
      <c r="D97" s="0" t="inlineStr">
        <is>
          <t>NULL</t>
        </is>
      </c>
      <c r="E97" s="0" t="inlineStr">
        <is>
          <t>NULL</t>
        </is>
      </c>
      <c r="F97" s="0" t="inlineStr">
        <is>
          <t>NULL</t>
        </is>
      </c>
      <c r="G97" s="0" t="inlineStr">
        <is>
          <t>NULL</t>
        </is>
      </c>
      <c r="H97" s="0" t="inlineStr">
        <is>
          <t>NULL</t>
        </is>
      </c>
      <c r="I97" s="0" t="inlineStr">
        <is>
          <t>NULL</t>
        </is>
      </c>
      <c r="J97" s="0" t="inlineStr">
        <is>
          <t>NULL</t>
        </is>
      </c>
      <c r="K97" s="0" t="inlineStr">
        <is>
          <t>no,len不存在</t>
        </is>
      </c>
    </row>
    <row r="98">
      <c r="B98" s="0" t="inlineStr">
        <is>
          <t>NULL</t>
        </is>
      </c>
      <c r="C98" s="0" t="inlineStr">
        <is>
          <t>NULL</t>
        </is>
      </c>
      <c r="D98" s="0" t="inlineStr">
        <is>
          <t>NULL</t>
        </is>
      </c>
      <c r="E98" s="0" t="inlineStr">
        <is>
          <t>NULL</t>
        </is>
      </c>
      <c r="F98" s="0" t="inlineStr">
        <is>
          <t>NULL</t>
        </is>
      </c>
      <c r="G98" s="0" t="inlineStr">
        <is>
          <t>NULL</t>
        </is>
      </c>
      <c r="H98" s="0" t="inlineStr">
        <is>
          <t>NULL</t>
        </is>
      </c>
      <c r="I98" s="0" t="inlineStr">
        <is>
          <t>NULL</t>
        </is>
      </c>
      <c r="J98" s="0" t="inlineStr">
        <is>
          <t>NULL</t>
        </is>
      </c>
      <c r="K98" s="0" t="inlineStr">
        <is>
          <t>YES! 	 c_time1列源备映射正确，源端为time None位	期望更改为time(n)	实际备端为time None位</t>
        </is>
      </c>
    </row>
    <row r="99">
      <c r="B99" s="0" t="inlineStr">
        <is>
          <t>NULL</t>
        </is>
      </c>
      <c r="C99" s="0" t="inlineStr">
        <is>
          <t>NULL</t>
        </is>
      </c>
      <c r="D99" s="0" t="inlineStr">
        <is>
          <t>NULL</t>
        </is>
      </c>
      <c r="E99" s="0" t="inlineStr">
        <is>
          <t>NULL</t>
        </is>
      </c>
      <c r="F99" s="0" t="inlineStr">
        <is>
          <t>NULL</t>
        </is>
      </c>
      <c r="G99" s="0" t="inlineStr">
        <is>
          <t>NULL</t>
        </is>
      </c>
      <c r="H99" s="0" t="inlineStr">
        <is>
          <t>NULL</t>
        </is>
      </c>
      <c r="I99" s="0" t="inlineStr">
        <is>
          <t>NULL</t>
        </is>
      </c>
      <c r="J99" s="0" t="inlineStr">
        <is>
          <t>NULL</t>
        </is>
      </c>
      <c r="K99" s="0" t="inlineStr">
        <is>
          <t>YES! 	 c_time2列源备映射正确，源端为time None位	期望更改为time(n)	实际备端为time None位</t>
        </is>
      </c>
    </row>
    <row r="100">
      <c r="B100" s="0" t="inlineStr">
        <is>
          <t>NULL</t>
        </is>
      </c>
      <c r="C100" s="0" t="inlineStr">
        <is>
          <t>NULL</t>
        </is>
      </c>
      <c r="D100" s="0" t="inlineStr">
        <is>
          <t>NULL</t>
        </is>
      </c>
      <c r="E100" s="0" t="inlineStr">
        <is>
          <t>NULL</t>
        </is>
      </c>
      <c r="F100" s="0" t="inlineStr">
        <is>
          <t>NULL</t>
        </is>
      </c>
      <c r="G100" s="0" t="inlineStr">
        <is>
          <t>NULL</t>
        </is>
      </c>
      <c r="H100" s="0" t="inlineStr">
        <is>
          <t>NULL</t>
        </is>
      </c>
      <c r="I100" s="0" t="inlineStr">
        <is>
          <t>NULL</t>
        </is>
      </c>
      <c r="J100" s="0" t="inlineStr">
        <is>
          <t>NULL</t>
        </is>
      </c>
      <c r="K100" s="0" t="inlineStr">
        <is>
          <t>YES! 	 c_time3列源备映射正确，源端为time None位	期望更改为time(n)	实际备端为time None位</t>
        </is>
      </c>
    </row>
    <row r="101">
      <c r="B101" s="0" t="inlineStr">
        <is>
          <t>NULL</t>
        </is>
      </c>
      <c r="C101" s="0" t="inlineStr">
        <is>
          <t>NULL</t>
        </is>
      </c>
      <c r="D101" s="0" t="inlineStr">
        <is>
          <t>NULL</t>
        </is>
      </c>
      <c r="E101" s="0" t="inlineStr">
        <is>
          <t>NULL</t>
        </is>
      </c>
      <c r="F101" s="0" t="inlineStr">
        <is>
          <t>NULL</t>
        </is>
      </c>
      <c r="G101" s="0" t="inlineStr">
        <is>
          <t>NULL</t>
        </is>
      </c>
      <c r="H101" s="0" t="inlineStr">
        <is>
          <t>NULL</t>
        </is>
      </c>
      <c r="I101" s="0" t="inlineStr">
        <is>
          <t>NULL</t>
        </is>
      </c>
      <c r="J101" s="0" t="inlineStr">
        <is>
          <t>NULL</t>
        </is>
      </c>
      <c r="K101" s="0" t="inlineStr">
        <is>
          <t>YES! 	 c_time4列源备映射正确，源端为time None位	期望更改为time(n)	实际备端为time None位</t>
        </is>
      </c>
    </row>
    <row r="102">
      <c r="B102" s="0" t="inlineStr">
        <is>
          <t>NULL</t>
        </is>
      </c>
      <c r="C102" s="0" t="inlineStr">
        <is>
          <t>NULL</t>
        </is>
      </c>
      <c r="D102" s="0" t="inlineStr">
        <is>
          <t>NULL</t>
        </is>
      </c>
      <c r="E102" s="0" t="inlineStr">
        <is>
          <t>NULL</t>
        </is>
      </c>
      <c r="F102" s="0" t="inlineStr">
        <is>
          <t>NULL</t>
        </is>
      </c>
      <c r="G102" s="0" t="inlineStr">
        <is>
          <t>NULL</t>
        </is>
      </c>
      <c r="H102" s="0" t="inlineStr">
        <is>
          <t>NULL</t>
        </is>
      </c>
      <c r="I102" s="0" t="inlineStr">
        <is>
          <t>NULL</t>
        </is>
      </c>
      <c r="J102" s="0" t="inlineStr">
        <is>
          <t>NULL</t>
        </is>
      </c>
      <c r="K102" s="0" t="inlineStr">
        <is>
          <t>YES! 	 c_time5列源备映射正确，源端为time None位	期望更改为time(n)	实际备端为time None位</t>
        </is>
      </c>
    </row>
    <row r="103">
      <c r="B103" s="0" t="inlineStr">
        <is>
          <t>NULL</t>
        </is>
      </c>
      <c r="C103" s="0" t="inlineStr">
        <is>
          <t>NULL</t>
        </is>
      </c>
      <c r="D103" s="0" t="inlineStr">
        <is>
          <t>NULL</t>
        </is>
      </c>
      <c r="E103" s="0" t="inlineStr">
        <is>
          <t>NULL</t>
        </is>
      </c>
      <c r="F103" s="0" t="inlineStr">
        <is>
          <t>NULL</t>
        </is>
      </c>
      <c r="G103" s="0" t="inlineStr">
        <is>
          <t>NULL</t>
        </is>
      </c>
      <c r="H103" s="0" t="inlineStr">
        <is>
          <t>NULL</t>
        </is>
      </c>
      <c r="I103" s="0" t="inlineStr">
        <is>
          <t>NULL</t>
        </is>
      </c>
      <c r="J103" s="0" t="inlineStr">
        <is>
          <t>NULL</t>
        </is>
      </c>
      <c r="K103" s="0" t="inlineStr">
        <is>
          <t>YES! 	 c_time6列源备映射正确，源端为time None位	期望更改为time(n)	实际备端为time None位</t>
        </is>
      </c>
    </row>
    <row r="104">
      <c r="B104" s="0" t="inlineStr">
        <is>
          <t>NULL</t>
        </is>
      </c>
      <c r="C104" s="0" t="inlineStr">
        <is>
          <t>NULL</t>
        </is>
      </c>
      <c r="D104" s="0" t="inlineStr">
        <is>
          <t>NULL</t>
        </is>
      </c>
      <c r="E104" s="0" t="inlineStr">
        <is>
          <t>NULL</t>
        </is>
      </c>
      <c r="F104" s="0" t="inlineStr">
        <is>
          <t>NULL</t>
        </is>
      </c>
      <c r="G104" s="0" t="inlineStr">
        <is>
          <t>NULL</t>
        </is>
      </c>
      <c r="H104" s="0" t="inlineStr">
        <is>
          <t>NULL</t>
        </is>
      </c>
      <c r="I104" s="0" t="inlineStr">
        <is>
          <t>NULL</t>
        </is>
      </c>
      <c r="J104" s="0" t="inlineStr">
        <is>
          <t>NULL</t>
        </is>
      </c>
      <c r="K104" s="0" t="inlineStr">
        <is>
          <t>YES! 	 c_time列源备映射正确，源端为time None位	期望更改为time(n)	实际备端为time None位</t>
        </is>
      </c>
    </row>
    <row r="105">
      <c r="A105" s="0" t="inlineStr">
        <is>
          <t>info_char_dml_batch1_pk_irp1</t>
        </is>
      </c>
      <c r="K105" s="0" t="inlineStr">
        <is>
          <t>[0;34m info_char_dml_batch1_pk_irp1 [0m源备字段数相同，源端字段：4 	备端字段4</t>
        </is>
      </c>
      <c r="W105" s="0" t="inlineStr">
        <is>
          <t>YES 源备无差异</t>
        </is>
      </c>
      <c r="X105" s="0">
        <f>A105</f>
        <v/>
      </c>
    </row>
    <row r="106">
      <c r="B106" s="0" t="inlineStr">
        <is>
          <t>YES</t>
        </is>
      </c>
      <c r="C106" s="0" t="inlineStr">
        <is>
          <t>NULL</t>
        </is>
      </c>
      <c r="D106" s="0" t="inlineStr">
        <is>
          <t>NULL</t>
        </is>
      </c>
      <c r="E106" s="0" t="inlineStr">
        <is>
          <t>NULL</t>
        </is>
      </c>
      <c r="F106" s="0" t="inlineStr">
        <is>
          <t>NULL</t>
        </is>
      </c>
      <c r="G106" s="0" t="inlineStr">
        <is>
          <t>NULL</t>
        </is>
      </c>
      <c r="H106" s="0" t="inlineStr">
        <is>
          <t>NULL</t>
        </is>
      </c>
      <c r="I106" s="0" t="inlineStr">
        <is>
          <t>YES!PK__info_cha__3213E83F0B0734D3</t>
        </is>
      </c>
      <c r="J106" s="0" t="inlineStr">
        <is>
          <t>YES! 主键相关索引</t>
        </is>
      </c>
      <c r="K106" s="0" t="inlineStr">
        <is>
          <t>YES! 	 id列源备映射正确，源端为int None位	期望更改为int	实际备端为int None位</t>
        </is>
      </c>
    </row>
    <row r="107">
      <c r="B107" s="0" t="inlineStr">
        <is>
          <t>NULL</t>
        </is>
      </c>
      <c r="C107" s="0" t="inlineStr">
        <is>
          <t>NULL</t>
        </is>
      </c>
      <c r="D107" s="0" t="inlineStr">
        <is>
          <t>NULL</t>
        </is>
      </c>
      <c r="E107" s="0" t="inlineStr">
        <is>
          <t>NULL</t>
        </is>
      </c>
      <c r="F107" s="0" t="inlineStr">
        <is>
          <t>NULL</t>
        </is>
      </c>
      <c r="G107" s="0" t="inlineStr">
        <is>
          <t>NULL</t>
        </is>
      </c>
      <c r="H107" s="0" t="inlineStr">
        <is>
          <t>NULL</t>
        </is>
      </c>
      <c r="I107" s="0" t="inlineStr">
        <is>
          <t>NULL</t>
        </is>
      </c>
      <c r="J107" s="0" t="inlineStr">
        <is>
          <t>NULL</t>
        </is>
      </c>
      <c r="K107" s="0" t="inlineStr">
        <is>
          <t>YES! 	 c_char列源备映射正确，源端为char 1位	期望更改为char(n)	实际备端为char 1位</t>
        </is>
      </c>
    </row>
    <row r="108">
      <c r="B108" s="0" t="inlineStr">
        <is>
          <t>NULL</t>
        </is>
      </c>
      <c r="C108" s="0" t="inlineStr">
        <is>
          <t>NULL</t>
        </is>
      </c>
      <c r="D108" s="0" t="inlineStr">
        <is>
          <t>NULL</t>
        </is>
      </c>
      <c r="E108" s="0" t="inlineStr">
        <is>
          <t>NULL</t>
        </is>
      </c>
      <c r="F108" s="0" t="inlineStr">
        <is>
          <t>NULL</t>
        </is>
      </c>
      <c r="G108" s="0" t="inlineStr">
        <is>
          <t>NULL</t>
        </is>
      </c>
      <c r="H108" s="0" t="inlineStr">
        <is>
          <t>NULL</t>
        </is>
      </c>
      <c r="I108" s="0" t="inlineStr">
        <is>
          <t>NULL</t>
        </is>
      </c>
      <c r="J108" s="0" t="inlineStr">
        <is>
          <t>NULL</t>
        </is>
      </c>
      <c r="K108" s="0" t="inlineStr">
        <is>
          <t>YES! 	 c_char20列源备映射正确，源端为char 20位	期望更改为char(n)	实际备端为char 20位</t>
        </is>
      </c>
    </row>
    <row r="109">
      <c r="B109" s="0" t="inlineStr">
        <is>
          <t>NULL</t>
        </is>
      </c>
      <c r="C109" s="0" t="inlineStr">
        <is>
          <t>NULL</t>
        </is>
      </c>
      <c r="D109" s="0" t="inlineStr">
        <is>
          <t>NULL</t>
        </is>
      </c>
      <c r="E109" s="0" t="inlineStr">
        <is>
          <t>NULL</t>
        </is>
      </c>
      <c r="F109" s="0" t="inlineStr">
        <is>
          <t>NULL</t>
        </is>
      </c>
      <c r="G109" s="0" t="inlineStr">
        <is>
          <t>NULL</t>
        </is>
      </c>
      <c r="H109" s="0" t="inlineStr">
        <is>
          <t>NULL</t>
        </is>
      </c>
      <c r="I109" s="0" t="inlineStr">
        <is>
          <t>NULL</t>
        </is>
      </c>
      <c r="J109" s="0" t="inlineStr">
        <is>
          <t>NULL</t>
        </is>
      </c>
      <c r="K109" s="0" t="inlineStr">
        <is>
          <t>YES! 	 c_char8000列源备映射正确，源端为char 8000位	期望更改为char(n)	实际备端为char 8000位</t>
        </is>
      </c>
    </row>
    <row r="110">
      <c r="A110" s="0" t="inlineStr">
        <is>
          <t>info_hierarchyid_dml_single_nopk_urp</t>
        </is>
      </c>
      <c r="K110" s="0" t="inlineStr">
        <is>
          <t>[0;34m info_hierarchyid_dml_single_nopk_urp [0m源备字段数相同，源端字段：2 	备端字段2</t>
        </is>
      </c>
      <c r="W110" s="0" t="inlineStr">
        <is>
          <t>YES 源备无差异</t>
        </is>
      </c>
      <c r="X110" s="0">
        <f>A110</f>
        <v/>
      </c>
    </row>
    <row r="111">
      <c r="B111" s="0" t="inlineStr">
        <is>
          <t>NULL</t>
        </is>
      </c>
      <c r="C111" s="0" t="inlineStr">
        <is>
          <t>NULL</t>
        </is>
      </c>
      <c r="D111" s="0" t="inlineStr">
        <is>
          <t>NULL</t>
        </is>
      </c>
      <c r="E111" s="0" t="inlineStr">
        <is>
          <t>NULL</t>
        </is>
      </c>
      <c r="F111" s="0" t="inlineStr">
        <is>
          <t>NULL</t>
        </is>
      </c>
      <c r="G111" s="0" t="inlineStr">
        <is>
          <t>NULL</t>
        </is>
      </c>
      <c r="H111" s="0" t="inlineStr">
        <is>
          <t>NULL</t>
        </is>
      </c>
      <c r="I111" s="0" t="inlineStr">
        <is>
          <t>NULL</t>
        </is>
      </c>
      <c r="J111" s="0" t="inlineStr">
        <is>
          <t>NULL</t>
        </is>
      </c>
      <c r="K111" s="0" t="inlineStr">
        <is>
          <t>YES! 	 id列源备映射正确，源端为int None位	期望更改为int	实际备端为int None位</t>
        </is>
      </c>
    </row>
    <row r="112">
      <c r="B112" s="0" t="inlineStr">
        <is>
          <t>NULL</t>
        </is>
      </c>
      <c r="C112" s="0" t="inlineStr">
        <is>
          <t>NULL</t>
        </is>
      </c>
      <c r="D112" s="0" t="inlineStr">
        <is>
          <t>NULL</t>
        </is>
      </c>
      <c r="E112" s="0" t="inlineStr">
        <is>
          <t>NULL</t>
        </is>
      </c>
      <c r="F112" s="0" t="inlineStr">
        <is>
          <t>NULL</t>
        </is>
      </c>
      <c r="G112" s="0" t="inlineStr">
        <is>
          <t>NULL</t>
        </is>
      </c>
      <c r="H112" s="0" t="inlineStr">
        <is>
          <t>NULL</t>
        </is>
      </c>
      <c r="I112" s="0" t="inlineStr">
        <is>
          <t>NULL</t>
        </is>
      </c>
      <c r="J112" s="0" t="inlineStr">
        <is>
          <t>NULL</t>
        </is>
      </c>
      <c r="K112" s="0" t="inlineStr">
        <is>
          <t>YES! 	 c_hierarchyid列源备映射正确，源端为hierarchyid 892位	期望更改为hierarchyid	实际备端为hierarchyid 892位</t>
        </is>
      </c>
    </row>
    <row r="113">
      <c r="A113" s="0" t="inlineStr">
        <is>
          <t>info_char_dml_single_pk_irp</t>
        </is>
      </c>
      <c r="K113" s="0" t="inlineStr">
        <is>
          <t>[0;34m info_char_dml_single_pk_irp [0m源备字段数相同，源端字段：4 	备端字段4</t>
        </is>
      </c>
      <c r="W113" s="0" t="inlineStr">
        <is>
          <t>YES 源备无差异</t>
        </is>
      </c>
      <c r="X113" s="0">
        <f>A113</f>
        <v/>
      </c>
    </row>
    <row r="114">
      <c r="B114" s="0" t="inlineStr">
        <is>
          <t>YES</t>
        </is>
      </c>
      <c r="C114" s="0" t="inlineStr">
        <is>
          <t>NULL</t>
        </is>
      </c>
      <c r="D114" s="0" t="inlineStr">
        <is>
          <t>NULL</t>
        </is>
      </c>
      <c r="E114" s="0" t="inlineStr">
        <is>
          <t>NULL</t>
        </is>
      </c>
      <c r="F114" s="0" t="inlineStr">
        <is>
          <t>NULL</t>
        </is>
      </c>
      <c r="G114" s="0" t="inlineStr">
        <is>
          <t>NULL</t>
        </is>
      </c>
      <c r="H114" s="0" t="inlineStr">
        <is>
          <t>NULL</t>
        </is>
      </c>
      <c r="I114" s="0" t="inlineStr">
        <is>
          <t>YES!PK__info_cha__3213E83FD6236BC6</t>
        </is>
      </c>
      <c r="J114" s="0" t="inlineStr">
        <is>
          <t>YES! 主键相关索引</t>
        </is>
      </c>
      <c r="K114" s="0" t="inlineStr">
        <is>
          <t>YES! 	 id列源备映射正确，源端为int None位	期望更改为int	实际备端为int None位</t>
        </is>
      </c>
    </row>
    <row r="115">
      <c r="B115" s="0" t="inlineStr">
        <is>
          <t>NULL</t>
        </is>
      </c>
      <c r="C115" s="0" t="inlineStr">
        <is>
          <t>NULL</t>
        </is>
      </c>
      <c r="D115" s="0" t="inlineStr">
        <is>
          <t>NULL</t>
        </is>
      </c>
      <c r="E115" s="0" t="inlineStr">
        <is>
          <t>NULL</t>
        </is>
      </c>
      <c r="F115" s="0" t="inlineStr">
        <is>
          <t>NULL</t>
        </is>
      </c>
      <c r="G115" s="0" t="inlineStr">
        <is>
          <t>NULL</t>
        </is>
      </c>
      <c r="H115" s="0" t="inlineStr">
        <is>
          <t>NULL</t>
        </is>
      </c>
      <c r="I115" s="0" t="inlineStr">
        <is>
          <t>NULL</t>
        </is>
      </c>
      <c r="J115" s="0" t="inlineStr">
        <is>
          <t>NULL</t>
        </is>
      </c>
      <c r="K115" s="0" t="inlineStr">
        <is>
          <t>YES! 	 c_CHAR列源备映射正确，源端为char 1位	期望更改为char(n)	实际备端为char 1位</t>
        </is>
      </c>
    </row>
    <row r="116">
      <c r="B116" s="0" t="inlineStr">
        <is>
          <t>NULL</t>
        </is>
      </c>
      <c r="C116" s="0" t="inlineStr">
        <is>
          <t>NULL</t>
        </is>
      </c>
      <c r="D116" s="0" t="inlineStr">
        <is>
          <t>NULL</t>
        </is>
      </c>
      <c r="E116" s="0" t="inlineStr">
        <is>
          <t>NULL</t>
        </is>
      </c>
      <c r="F116" s="0" t="inlineStr">
        <is>
          <t>NULL</t>
        </is>
      </c>
      <c r="G116" s="0" t="inlineStr">
        <is>
          <t>NULL</t>
        </is>
      </c>
      <c r="H116" s="0" t="inlineStr">
        <is>
          <t>NULL</t>
        </is>
      </c>
      <c r="I116" s="0" t="inlineStr">
        <is>
          <t>NULL</t>
        </is>
      </c>
      <c r="J116" s="0" t="inlineStr">
        <is>
          <t>NULL</t>
        </is>
      </c>
      <c r="K116" s="0" t="inlineStr">
        <is>
          <t>YES! 	 c_char20列源备映射正确，源端为char 20位	期望更改为char(n)	实际备端为char 20位</t>
        </is>
      </c>
    </row>
    <row r="117">
      <c r="B117" s="0" t="inlineStr">
        <is>
          <t>NULL</t>
        </is>
      </c>
      <c r="C117" s="0" t="inlineStr">
        <is>
          <t>NULL</t>
        </is>
      </c>
      <c r="D117" s="0" t="inlineStr">
        <is>
          <t>NULL</t>
        </is>
      </c>
      <c r="E117" s="0" t="inlineStr">
        <is>
          <t>NULL</t>
        </is>
      </c>
      <c r="F117" s="0" t="inlineStr">
        <is>
          <t>NULL</t>
        </is>
      </c>
      <c r="G117" s="0" t="inlineStr">
        <is>
          <t>NULL</t>
        </is>
      </c>
      <c r="H117" s="0" t="inlineStr">
        <is>
          <t>NULL</t>
        </is>
      </c>
      <c r="I117" s="0" t="inlineStr">
        <is>
          <t>NULL</t>
        </is>
      </c>
      <c r="J117" s="0" t="inlineStr">
        <is>
          <t>NULL</t>
        </is>
      </c>
      <c r="K117" s="0" t="inlineStr">
        <is>
          <t>YES! 	 c_char8000列源备映射正确，源端为char 8000位	期望更改为char(n)	实际备端为char 8000位</t>
        </is>
      </c>
    </row>
    <row r="118">
      <c r="A118" s="0" t="inlineStr">
        <is>
          <t>info_varchar_dml_single_nopk_urp</t>
        </is>
      </c>
      <c r="K118" s="0" t="inlineStr">
        <is>
          <t>[0;34m info_varchar_dml_single_nopk_urp [0m源备字段数相同，源端字段：4 	备端字段4</t>
        </is>
      </c>
      <c r="W118" s="0" t="inlineStr">
        <is>
          <t>YES 源备无差异</t>
        </is>
      </c>
      <c r="X118" s="0">
        <f>A118</f>
        <v/>
      </c>
    </row>
    <row r="119">
      <c r="B119" s="0" t="inlineStr">
        <is>
          <t>NULL</t>
        </is>
      </c>
      <c r="C119" s="0" t="inlineStr">
        <is>
          <t>NULL</t>
        </is>
      </c>
      <c r="D119" s="0" t="inlineStr">
        <is>
          <t>NULL</t>
        </is>
      </c>
      <c r="E119" s="0" t="inlineStr">
        <is>
          <t>NULL</t>
        </is>
      </c>
      <c r="F119" s="0" t="inlineStr">
        <is>
          <t>NULL</t>
        </is>
      </c>
      <c r="G119" s="0" t="inlineStr">
        <is>
          <t>NULL</t>
        </is>
      </c>
      <c r="H119" s="0" t="inlineStr">
        <is>
          <t>NULL</t>
        </is>
      </c>
      <c r="I119" s="0" t="inlineStr">
        <is>
          <t>NULL</t>
        </is>
      </c>
      <c r="J119" s="0" t="inlineStr">
        <is>
          <t>NULL</t>
        </is>
      </c>
      <c r="K119" s="0" t="inlineStr">
        <is>
          <t>YES! 	 id列源备映射正确，源端为int None位	期望更改为int	实际备端为int None位</t>
        </is>
      </c>
    </row>
    <row r="120">
      <c r="B120" s="0" t="inlineStr">
        <is>
          <t>NULL</t>
        </is>
      </c>
      <c r="C120" s="0" t="inlineStr">
        <is>
          <t>NULL</t>
        </is>
      </c>
      <c r="D120" s="0" t="inlineStr">
        <is>
          <t>NULL</t>
        </is>
      </c>
      <c r="E120" s="0" t="inlineStr">
        <is>
          <t>NULL</t>
        </is>
      </c>
      <c r="F120" s="0" t="inlineStr">
        <is>
          <t>NULL</t>
        </is>
      </c>
      <c r="G120" s="0" t="inlineStr">
        <is>
          <t>NULL</t>
        </is>
      </c>
      <c r="H120" s="0" t="inlineStr">
        <is>
          <t>NULL</t>
        </is>
      </c>
      <c r="I120" s="0" t="inlineStr">
        <is>
          <t>NULL</t>
        </is>
      </c>
      <c r="J120" s="0" t="inlineStr">
        <is>
          <t>NULL</t>
        </is>
      </c>
      <c r="K120" s="0" t="inlineStr">
        <is>
          <t>YES! 	 c_varchar列源备映射正确，源端为varchar 1位	期望更改为varchar(n)	实际备端为varchar 1位</t>
        </is>
      </c>
    </row>
    <row r="121">
      <c r="B121" s="0" t="inlineStr">
        <is>
          <t>NULL</t>
        </is>
      </c>
      <c r="C121" s="0" t="inlineStr">
        <is>
          <t>NULL</t>
        </is>
      </c>
      <c r="D121" s="0" t="inlineStr">
        <is>
          <t>NULL</t>
        </is>
      </c>
      <c r="E121" s="0" t="inlineStr">
        <is>
          <t>NULL</t>
        </is>
      </c>
      <c r="F121" s="0" t="inlineStr">
        <is>
          <t>NULL</t>
        </is>
      </c>
      <c r="G121" s="0" t="inlineStr">
        <is>
          <t>NULL</t>
        </is>
      </c>
      <c r="H121" s="0" t="inlineStr">
        <is>
          <t>NULL</t>
        </is>
      </c>
      <c r="I121" s="0" t="inlineStr">
        <is>
          <t>NULL</t>
        </is>
      </c>
      <c r="J121" s="0" t="inlineStr">
        <is>
          <t>NULL</t>
        </is>
      </c>
      <c r="K121" s="0" t="inlineStr">
        <is>
          <t>YES! 	 c_varchar50列源备映射正确，源端为varchar 50位	期望更改为varchar(n)	实际备端为varchar 50位</t>
        </is>
      </c>
    </row>
    <row r="122">
      <c r="B122" s="0" t="inlineStr">
        <is>
          <t>NULL</t>
        </is>
      </c>
      <c r="C122" s="0" t="inlineStr">
        <is>
          <t>NULL</t>
        </is>
      </c>
      <c r="D122" s="0" t="inlineStr">
        <is>
          <t>NULL</t>
        </is>
      </c>
      <c r="E122" s="0" t="inlineStr">
        <is>
          <t>NULL</t>
        </is>
      </c>
      <c r="F122" s="0" t="inlineStr">
        <is>
          <t>NULL</t>
        </is>
      </c>
      <c r="G122" s="0" t="inlineStr">
        <is>
          <t>NULL</t>
        </is>
      </c>
      <c r="H122" s="0" t="inlineStr">
        <is>
          <t>NULL</t>
        </is>
      </c>
      <c r="I122" s="0" t="inlineStr">
        <is>
          <t>NULL</t>
        </is>
      </c>
      <c r="J122" s="0" t="inlineStr">
        <is>
          <t>NULL</t>
        </is>
      </c>
      <c r="K122" s="0" t="inlineStr">
        <is>
          <t>YES! 	 c_varchar8000列源备映射正确，源端为varchar 8000位	期望更改为varchar(n)	实际备端为varchar 8000位</t>
        </is>
      </c>
    </row>
    <row r="123">
      <c r="A123" s="0" t="inlineStr">
        <is>
          <t>info_time_dml_batch1_pk_drp1</t>
        </is>
      </c>
      <c r="K123" s="0" t="inlineStr">
        <is>
          <t>[0;34m info_time_dml_batch1_pk_drp1 [0m源备字段数相同，源端字段：9 	备端字段9</t>
        </is>
      </c>
      <c r="W123" s="0" t="inlineStr">
        <is>
          <t>YES 源备无差异</t>
        </is>
      </c>
      <c r="X123" s="0">
        <f>A123</f>
        <v/>
      </c>
    </row>
    <row r="124">
      <c r="B124" s="0" t="inlineStr">
        <is>
          <t>YES</t>
        </is>
      </c>
      <c r="C124" s="0" t="inlineStr">
        <is>
          <t>NULL</t>
        </is>
      </c>
      <c r="D124" s="0" t="inlineStr">
        <is>
          <t>NULL</t>
        </is>
      </c>
      <c r="E124" s="0" t="inlineStr">
        <is>
          <t>NULL</t>
        </is>
      </c>
      <c r="F124" s="0" t="inlineStr">
        <is>
          <t>NULL</t>
        </is>
      </c>
      <c r="G124" s="0" t="inlineStr">
        <is>
          <t>NULL</t>
        </is>
      </c>
      <c r="H124" s="0" t="inlineStr">
        <is>
          <t>NULL</t>
        </is>
      </c>
      <c r="I124" s="0" t="inlineStr">
        <is>
          <t>YES!PK__info_tim__3213E83F046A3DFB</t>
        </is>
      </c>
      <c r="J124" s="0" t="inlineStr">
        <is>
          <t>YES! 主键相关索引</t>
        </is>
      </c>
      <c r="K124" s="0" t="inlineStr">
        <is>
          <t>YES! 	 id列源备映射正确，源端为int None位	期望更改为int	实际备端为int None位</t>
        </is>
      </c>
    </row>
    <row r="125">
      <c r="B125" s="0" t="inlineStr">
        <is>
          <t>NULL</t>
        </is>
      </c>
      <c r="C125" s="0" t="inlineStr">
        <is>
          <t>NULL</t>
        </is>
      </c>
      <c r="D125" s="0" t="inlineStr">
        <is>
          <t>NULL</t>
        </is>
      </c>
      <c r="E125" s="0" t="inlineStr">
        <is>
          <t>NULL</t>
        </is>
      </c>
      <c r="F125" s="0" t="inlineStr">
        <is>
          <t>NULL</t>
        </is>
      </c>
      <c r="G125" s="0" t="inlineStr">
        <is>
          <t>NULL</t>
        </is>
      </c>
      <c r="H125" s="0" t="inlineStr">
        <is>
          <t>NULL</t>
        </is>
      </c>
      <c r="I125" s="0" t="inlineStr">
        <is>
          <t>NULL</t>
        </is>
      </c>
      <c r="J125" s="0" t="inlineStr">
        <is>
          <t>NULL</t>
        </is>
      </c>
      <c r="K125" s="0" t="inlineStr">
        <is>
          <t>no,len不存在</t>
        </is>
      </c>
    </row>
    <row r="126">
      <c r="B126" s="0" t="inlineStr">
        <is>
          <t>NULL</t>
        </is>
      </c>
      <c r="C126" s="0" t="inlineStr">
        <is>
          <t>NULL</t>
        </is>
      </c>
      <c r="D126" s="0" t="inlineStr">
        <is>
          <t>NULL</t>
        </is>
      </c>
      <c r="E126" s="0" t="inlineStr">
        <is>
          <t>NULL</t>
        </is>
      </c>
      <c r="F126" s="0" t="inlineStr">
        <is>
          <t>NULL</t>
        </is>
      </c>
      <c r="G126" s="0" t="inlineStr">
        <is>
          <t>NULL</t>
        </is>
      </c>
      <c r="H126" s="0" t="inlineStr">
        <is>
          <t>NULL</t>
        </is>
      </c>
      <c r="I126" s="0" t="inlineStr">
        <is>
          <t>NULL</t>
        </is>
      </c>
      <c r="J126" s="0" t="inlineStr">
        <is>
          <t>NULL</t>
        </is>
      </c>
      <c r="K126" s="0" t="inlineStr">
        <is>
          <t>YES! 	 c_time1列源备映射正确，源端为time None位	期望更改为time(n)	实际备端为time None位</t>
        </is>
      </c>
    </row>
    <row r="127">
      <c r="B127" s="0" t="inlineStr">
        <is>
          <t>NULL</t>
        </is>
      </c>
      <c r="C127" s="0" t="inlineStr">
        <is>
          <t>NULL</t>
        </is>
      </c>
      <c r="D127" s="0" t="inlineStr">
        <is>
          <t>NULL</t>
        </is>
      </c>
      <c r="E127" s="0" t="inlineStr">
        <is>
          <t>NULL</t>
        </is>
      </c>
      <c r="F127" s="0" t="inlineStr">
        <is>
          <t>NULL</t>
        </is>
      </c>
      <c r="G127" s="0" t="inlineStr">
        <is>
          <t>NULL</t>
        </is>
      </c>
      <c r="H127" s="0" t="inlineStr">
        <is>
          <t>NULL</t>
        </is>
      </c>
      <c r="I127" s="0" t="inlineStr">
        <is>
          <t>NULL</t>
        </is>
      </c>
      <c r="J127" s="0" t="inlineStr">
        <is>
          <t>NULL</t>
        </is>
      </c>
      <c r="K127" s="0" t="inlineStr">
        <is>
          <t>YES! 	 c_time2列源备映射正确，源端为time None位	期望更改为time(n)	实际备端为time None位</t>
        </is>
      </c>
    </row>
    <row r="128">
      <c r="B128" s="0" t="inlineStr">
        <is>
          <t>NULL</t>
        </is>
      </c>
      <c r="C128" s="0" t="inlineStr">
        <is>
          <t>NULL</t>
        </is>
      </c>
      <c r="D128" s="0" t="inlineStr">
        <is>
          <t>NULL</t>
        </is>
      </c>
      <c r="E128" s="0" t="inlineStr">
        <is>
          <t>NULL</t>
        </is>
      </c>
      <c r="F128" s="0" t="inlineStr">
        <is>
          <t>NULL</t>
        </is>
      </c>
      <c r="G128" s="0" t="inlineStr">
        <is>
          <t>NULL</t>
        </is>
      </c>
      <c r="H128" s="0" t="inlineStr">
        <is>
          <t>NULL</t>
        </is>
      </c>
      <c r="I128" s="0" t="inlineStr">
        <is>
          <t>NULL</t>
        </is>
      </c>
      <c r="J128" s="0" t="inlineStr">
        <is>
          <t>NULL</t>
        </is>
      </c>
      <c r="K128" s="0" t="inlineStr">
        <is>
          <t>YES! 	 c_time3列源备映射正确，源端为time None位	期望更改为time(n)	实际备端为time None位</t>
        </is>
      </c>
    </row>
    <row r="129">
      <c r="B129" s="0" t="inlineStr">
        <is>
          <t>NULL</t>
        </is>
      </c>
      <c r="C129" s="0" t="inlineStr">
        <is>
          <t>NULL</t>
        </is>
      </c>
      <c r="D129" s="0" t="inlineStr">
        <is>
          <t>NULL</t>
        </is>
      </c>
      <c r="E129" s="0" t="inlineStr">
        <is>
          <t>NULL</t>
        </is>
      </c>
      <c r="F129" s="0" t="inlineStr">
        <is>
          <t>NULL</t>
        </is>
      </c>
      <c r="G129" s="0" t="inlineStr">
        <is>
          <t>NULL</t>
        </is>
      </c>
      <c r="H129" s="0" t="inlineStr">
        <is>
          <t>NULL</t>
        </is>
      </c>
      <c r="I129" s="0" t="inlineStr">
        <is>
          <t>NULL</t>
        </is>
      </c>
      <c r="J129" s="0" t="inlineStr">
        <is>
          <t>NULL</t>
        </is>
      </c>
      <c r="K129" s="0" t="inlineStr">
        <is>
          <t>YES! 	 c_time4列源备映射正确，源端为time None位	期望更改为time(n)	实际备端为time None位</t>
        </is>
      </c>
    </row>
    <row r="130">
      <c r="B130" s="0" t="inlineStr">
        <is>
          <t>NULL</t>
        </is>
      </c>
      <c r="C130" s="0" t="inlineStr">
        <is>
          <t>NULL</t>
        </is>
      </c>
      <c r="D130" s="0" t="inlineStr">
        <is>
          <t>NULL</t>
        </is>
      </c>
      <c r="E130" s="0" t="inlineStr">
        <is>
          <t>NULL</t>
        </is>
      </c>
      <c r="F130" s="0" t="inlineStr">
        <is>
          <t>NULL</t>
        </is>
      </c>
      <c r="G130" s="0" t="inlineStr">
        <is>
          <t>NULL</t>
        </is>
      </c>
      <c r="H130" s="0" t="inlineStr">
        <is>
          <t>NULL</t>
        </is>
      </c>
      <c r="I130" s="0" t="inlineStr">
        <is>
          <t>NULL</t>
        </is>
      </c>
      <c r="J130" s="0" t="inlineStr">
        <is>
          <t>NULL</t>
        </is>
      </c>
      <c r="K130" s="0" t="inlineStr">
        <is>
          <t>YES! 	 c_time5列源备映射正确，源端为time None位	期望更改为time(n)	实际备端为time None位</t>
        </is>
      </c>
    </row>
    <row r="131">
      <c r="B131" s="0" t="inlineStr">
        <is>
          <t>NULL</t>
        </is>
      </c>
      <c r="C131" s="0" t="inlineStr">
        <is>
          <t>NULL</t>
        </is>
      </c>
      <c r="D131" s="0" t="inlineStr">
        <is>
          <t>NULL</t>
        </is>
      </c>
      <c r="E131" s="0" t="inlineStr">
        <is>
          <t>NULL</t>
        </is>
      </c>
      <c r="F131" s="0" t="inlineStr">
        <is>
          <t>NULL</t>
        </is>
      </c>
      <c r="G131" s="0" t="inlineStr">
        <is>
          <t>NULL</t>
        </is>
      </c>
      <c r="H131" s="0" t="inlineStr">
        <is>
          <t>NULL</t>
        </is>
      </c>
      <c r="I131" s="0" t="inlineStr">
        <is>
          <t>NULL</t>
        </is>
      </c>
      <c r="J131" s="0" t="inlineStr">
        <is>
          <t>NULL</t>
        </is>
      </c>
      <c r="K131" s="0" t="inlineStr">
        <is>
          <t>YES! 	 c_time6列源备映射正确，源端为time None位	期望更改为time(n)	实际备端为time None位</t>
        </is>
      </c>
    </row>
    <row r="132">
      <c r="B132" s="0" t="inlineStr">
        <is>
          <t>NULL</t>
        </is>
      </c>
      <c r="C132" s="0" t="inlineStr">
        <is>
          <t>NULL</t>
        </is>
      </c>
      <c r="D132" s="0" t="inlineStr">
        <is>
          <t>NULL</t>
        </is>
      </c>
      <c r="E132" s="0" t="inlineStr">
        <is>
          <t>NULL</t>
        </is>
      </c>
      <c r="F132" s="0" t="inlineStr">
        <is>
          <t>NULL</t>
        </is>
      </c>
      <c r="G132" s="0" t="inlineStr">
        <is>
          <t>NULL</t>
        </is>
      </c>
      <c r="H132" s="0" t="inlineStr">
        <is>
          <t>NULL</t>
        </is>
      </c>
      <c r="I132" s="0" t="inlineStr">
        <is>
          <t>NULL</t>
        </is>
      </c>
      <c r="J132" s="0" t="inlineStr">
        <is>
          <t>NULL</t>
        </is>
      </c>
      <c r="K132" s="0" t="inlineStr">
        <is>
          <t>YES! 	 c_time列源备映射正确，源端为time None位	期望更改为time(n)	实际备端为time None位</t>
        </is>
      </c>
    </row>
    <row r="133">
      <c r="K133" s="0" t="inlineStr">
        <is>
          <t>~ 空表</t>
        </is>
      </c>
    </row>
    <row r="134">
      <c r="A134" s="0" t="inlineStr">
        <is>
          <t>info_char_dml_batch1_pk_irp2</t>
        </is>
      </c>
      <c r="K134" s="0" t="inlineStr">
        <is>
          <t>[0;34m info_char_dml_batch1_pk_irp2 [0m源备字段数相同，源端字段：4 	备端字段4</t>
        </is>
      </c>
      <c r="W134" s="0" t="inlineStr">
        <is>
          <t>YES 源备无差异</t>
        </is>
      </c>
      <c r="X134" s="0">
        <f>A134</f>
        <v/>
      </c>
    </row>
    <row r="135">
      <c r="B135" s="0" t="inlineStr">
        <is>
          <t>YES</t>
        </is>
      </c>
      <c r="C135" s="0" t="inlineStr">
        <is>
          <t>NULL</t>
        </is>
      </c>
      <c r="D135" s="0" t="inlineStr">
        <is>
          <t>NULL</t>
        </is>
      </c>
      <c r="E135" s="0" t="inlineStr">
        <is>
          <t>NULL</t>
        </is>
      </c>
      <c r="F135" s="0" t="inlineStr">
        <is>
          <t>NULL</t>
        </is>
      </c>
      <c r="G135" s="0" t="inlineStr">
        <is>
          <t>NULL</t>
        </is>
      </c>
      <c r="H135" s="0" t="inlineStr">
        <is>
          <t>NULL</t>
        </is>
      </c>
      <c r="I135" s="0" t="inlineStr">
        <is>
          <t>YES!PK__info_cha__3213E83FC0741F30</t>
        </is>
      </c>
      <c r="J135" s="0" t="inlineStr">
        <is>
          <t>YES! 主键相关索引</t>
        </is>
      </c>
      <c r="K135" s="0" t="inlineStr">
        <is>
          <t>YES! 	 id列源备映射正确，源端为int None位	期望更改为int	实际备端为int None位</t>
        </is>
      </c>
    </row>
    <row r="136">
      <c r="B136" s="0" t="inlineStr">
        <is>
          <t>NULL</t>
        </is>
      </c>
      <c r="C136" s="0" t="inlineStr">
        <is>
          <t>NULL</t>
        </is>
      </c>
      <c r="D136" s="0" t="inlineStr">
        <is>
          <t>NULL</t>
        </is>
      </c>
      <c r="E136" s="0" t="inlineStr">
        <is>
          <t>NULL</t>
        </is>
      </c>
      <c r="F136" s="0" t="inlineStr">
        <is>
          <t>NULL</t>
        </is>
      </c>
      <c r="G136" s="0" t="inlineStr">
        <is>
          <t>NULL</t>
        </is>
      </c>
      <c r="H136" s="0" t="inlineStr">
        <is>
          <t>NULL</t>
        </is>
      </c>
      <c r="I136" s="0" t="inlineStr">
        <is>
          <t>NULL</t>
        </is>
      </c>
      <c r="J136" s="0" t="inlineStr">
        <is>
          <t>NULL</t>
        </is>
      </c>
      <c r="K136" s="0" t="inlineStr">
        <is>
          <t>YES! 	 c_char列源备映射正确，源端为char 1位	期望更改为char(n)	实际备端为char 1位</t>
        </is>
      </c>
    </row>
    <row r="137">
      <c r="B137" s="0" t="inlineStr">
        <is>
          <t>NULL</t>
        </is>
      </c>
      <c r="C137" s="0" t="inlineStr">
        <is>
          <t>NULL</t>
        </is>
      </c>
      <c r="D137" s="0" t="inlineStr">
        <is>
          <t>NULL</t>
        </is>
      </c>
      <c r="E137" s="0" t="inlineStr">
        <is>
          <t>NULL</t>
        </is>
      </c>
      <c r="F137" s="0" t="inlineStr">
        <is>
          <t>NULL</t>
        </is>
      </c>
      <c r="G137" s="0" t="inlineStr">
        <is>
          <t>NULL</t>
        </is>
      </c>
      <c r="H137" s="0" t="inlineStr">
        <is>
          <t>NULL</t>
        </is>
      </c>
      <c r="I137" s="0" t="inlineStr">
        <is>
          <t>NULL</t>
        </is>
      </c>
      <c r="J137" s="0" t="inlineStr">
        <is>
          <t>NULL</t>
        </is>
      </c>
      <c r="K137" s="0" t="inlineStr">
        <is>
          <t>YES! 	 c_char20列源备映射正确，源端为char 20位	期望更改为char(n)	实际备端为char 20位</t>
        </is>
      </c>
    </row>
    <row r="138">
      <c r="B138" s="0" t="inlineStr">
        <is>
          <t>NULL</t>
        </is>
      </c>
      <c r="C138" s="0" t="inlineStr">
        <is>
          <t>NULL</t>
        </is>
      </c>
      <c r="D138" s="0" t="inlineStr">
        <is>
          <t>NULL</t>
        </is>
      </c>
      <c r="E138" s="0" t="inlineStr">
        <is>
          <t>NULL</t>
        </is>
      </c>
      <c r="F138" s="0" t="inlineStr">
        <is>
          <t>NULL</t>
        </is>
      </c>
      <c r="G138" s="0" t="inlineStr">
        <is>
          <t>NULL</t>
        </is>
      </c>
      <c r="H138" s="0" t="inlineStr">
        <is>
          <t>NULL</t>
        </is>
      </c>
      <c r="I138" s="0" t="inlineStr">
        <is>
          <t>NULL</t>
        </is>
      </c>
      <c r="J138" s="0" t="inlineStr">
        <is>
          <t>NULL</t>
        </is>
      </c>
      <c r="K138" s="0" t="inlineStr">
        <is>
          <t>YES! 	 c_char8000列源备映射正确，源端为char 8000位	期望更改为char(n)	实际备端为char 8000位</t>
        </is>
      </c>
    </row>
    <row r="139">
      <c r="A139" s="0" t="inlineStr">
        <is>
          <t>info_hierarchyid_dml_single_nopk_drp</t>
        </is>
      </c>
      <c r="K139" s="0" t="inlineStr">
        <is>
          <t>[0;34m info_hierarchyid_dml_single_nopk_drp [0m源备字段数相同，源端字段：2 	备端字段2</t>
        </is>
      </c>
      <c r="W139" s="0" t="inlineStr">
        <is>
          <t>YES 源备无差异</t>
        </is>
      </c>
      <c r="X139" s="0">
        <f>A139</f>
        <v/>
      </c>
    </row>
    <row r="140">
      <c r="B140" s="0" t="inlineStr">
        <is>
          <t>NULL</t>
        </is>
      </c>
      <c r="C140" s="0" t="inlineStr">
        <is>
          <t>NULL</t>
        </is>
      </c>
      <c r="D140" s="0" t="inlineStr">
        <is>
          <t>NULL</t>
        </is>
      </c>
      <c r="E140" s="0" t="inlineStr">
        <is>
          <t>NULL</t>
        </is>
      </c>
      <c r="F140" s="0" t="inlineStr">
        <is>
          <t>NULL</t>
        </is>
      </c>
      <c r="G140" s="0" t="inlineStr">
        <is>
          <t>NULL</t>
        </is>
      </c>
      <c r="H140" s="0" t="inlineStr">
        <is>
          <t>NULL</t>
        </is>
      </c>
      <c r="I140" s="0" t="inlineStr">
        <is>
          <t>NULL</t>
        </is>
      </c>
      <c r="J140" s="0" t="inlineStr">
        <is>
          <t>NULL</t>
        </is>
      </c>
      <c r="K140" s="0" t="inlineStr">
        <is>
          <t>YES! 	 id列源备映射正确，源端为int None位	期望更改为int	实际备端为int None位</t>
        </is>
      </c>
    </row>
    <row r="141">
      <c r="B141" s="0" t="inlineStr">
        <is>
          <t>NULL</t>
        </is>
      </c>
      <c r="C141" s="0" t="inlineStr">
        <is>
          <t>NULL</t>
        </is>
      </c>
      <c r="D141" s="0" t="inlineStr">
        <is>
          <t>NULL</t>
        </is>
      </c>
      <c r="E141" s="0" t="inlineStr">
        <is>
          <t>NULL</t>
        </is>
      </c>
      <c r="F141" s="0" t="inlineStr">
        <is>
          <t>NULL</t>
        </is>
      </c>
      <c r="G141" s="0" t="inlineStr">
        <is>
          <t>NULL</t>
        </is>
      </c>
      <c r="H141" s="0" t="inlineStr">
        <is>
          <t>NULL</t>
        </is>
      </c>
      <c r="I141" s="0" t="inlineStr">
        <is>
          <t>NULL</t>
        </is>
      </c>
      <c r="J141" s="0" t="inlineStr">
        <is>
          <t>NULL</t>
        </is>
      </c>
      <c r="K141" s="0" t="inlineStr">
        <is>
          <t>YES! 	 c_hierarchyid列源备映射正确，源端为hierarchyid 892位	期望更改为hierarchyid	实际备端为hierarchyid 892位</t>
        </is>
      </c>
    </row>
    <row r="142">
      <c r="A142" s="0" t="inlineStr">
        <is>
          <t>info_char_dml_batch2_pk_irp1</t>
        </is>
      </c>
      <c r="K142" s="0" t="inlineStr">
        <is>
          <t>[0;34m info_char_dml_batch2_pk_irp1 [0m源备字段数相同，源端字段：4 	备端字段4</t>
        </is>
      </c>
      <c r="W142" s="0" t="inlineStr">
        <is>
          <t>YES 源备无差异</t>
        </is>
      </c>
      <c r="X142" s="0">
        <f>A142</f>
        <v/>
      </c>
    </row>
    <row r="143">
      <c r="B143" s="0" t="inlineStr">
        <is>
          <t>YES</t>
        </is>
      </c>
      <c r="C143" s="0" t="inlineStr">
        <is>
          <t>NULL</t>
        </is>
      </c>
      <c r="D143" s="0" t="inlineStr">
        <is>
          <t>NULL</t>
        </is>
      </c>
      <c r="E143" s="0" t="inlineStr">
        <is>
          <t>NULL</t>
        </is>
      </c>
      <c r="F143" s="0" t="inlineStr">
        <is>
          <t>NULL</t>
        </is>
      </c>
      <c r="G143" s="0" t="inlineStr">
        <is>
          <t>NULL</t>
        </is>
      </c>
      <c r="H143" s="0" t="inlineStr">
        <is>
          <t>NULL</t>
        </is>
      </c>
      <c r="I143" s="0" t="inlineStr">
        <is>
          <t>YES!PK__info_cha__3213E83F491E4A05</t>
        </is>
      </c>
      <c r="J143" s="0" t="inlineStr">
        <is>
          <t>YES! 主键相关索引</t>
        </is>
      </c>
      <c r="K143" s="0" t="inlineStr">
        <is>
          <t>YES! 	 id列源备映射正确，源端为int None位	期望更改为int	实际备端为int None位</t>
        </is>
      </c>
    </row>
    <row r="144">
      <c r="B144" s="0" t="inlineStr">
        <is>
          <t>NULL</t>
        </is>
      </c>
      <c r="C144" s="0" t="inlineStr">
        <is>
          <t>NULL</t>
        </is>
      </c>
      <c r="D144" s="0" t="inlineStr">
        <is>
          <t>NULL</t>
        </is>
      </c>
      <c r="E144" s="0" t="inlineStr">
        <is>
          <t>NULL</t>
        </is>
      </c>
      <c r="F144" s="0" t="inlineStr">
        <is>
          <t>NULL</t>
        </is>
      </c>
      <c r="G144" s="0" t="inlineStr">
        <is>
          <t>NULL</t>
        </is>
      </c>
      <c r="H144" s="0" t="inlineStr">
        <is>
          <t>NULL</t>
        </is>
      </c>
      <c r="I144" s="0" t="inlineStr">
        <is>
          <t>NULL</t>
        </is>
      </c>
      <c r="J144" s="0" t="inlineStr">
        <is>
          <t>NULL</t>
        </is>
      </c>
      <c r="K144" s="0" t="inlineStr">
        <is>
          <t>YES! 	 c_char列源备映射正确，源端为char 1位	期望更改为char(n)	实际备端为char 1位</t>
        </is>
      </c>
    </row>
    <row r="145">
      <c r="B145" s="0" t="inlineStr">
        <is>
          <t>NULL</t>
        </is>
      </c>
      <c r="C145" s="0" t="inlineStr">
        <is>
          <t>NULL</t>
        </is>
      </c>
      <c r="D145" s="0" t="inlineStr">
        <is>
          <t>NULL</t>
        </is>
      </c>
      <c r="E145" s="0" t="inlineStr">
        <is>
          <t>NULL</t>
        </is>
      </c>
      <c r="F145" s="0" t="inlineStr">
        <is>
          <t>NULL</t>
        </is>
      </c>
      <c r="G145" s="0" t="inlineStr">
        <is>
          <t>NULL</t>
        </is>
      </c>
      <c r="H145" s="0" t="inlineStr">
        <is>
          <t>NULL</t>
        </is>
      </c>
      <c r="I145" s="0" t="inlineStr">
        <is>
          <t>NULL</t>
        </is>
      </c>
      <c r="J145" s="0" t="inlineStr">
        <is>
          <t>NULL</t>
        </is>
      </c>
      <c r="K145" s="0" t="inlineStr">
        <is>
          <t>YES! 	 c_char20列源备映射正确，源端为char 20位	期望更改为char(n)	实际备端为char 20位</t>
        </is>
      </c>
    </row>
    <row r="146">
      <c r="B146" s="0" t="inlineStr">
        <is>
          <t>NULL</t>
        </is>
      </c>
      <c r="C146" s="0" t="inlineStr">
        <is>
          <t>NULL</t>
        </is>
      </c>
      <c r="D146" s="0" t="inlineStr">
        <is>
          <t>NULL</t>
        </is>
      </c>
      <c r="E146" s="0" t="inlineStr">
        <is>
          <t>NULL</t>
        </is>
      </c>
      <c r="F146" s="0" t="inlineStr">
        <is>
          <t>NULL</t>
        </is>
      </c>
      <c r="G146" s="0" t="inlineStr">
        <is>
          <t>NULL</t>
        </is>
      </c>
      <c r="H146" s="0" t="inlineStr">
        <is>
          <t>NULL</t>
        </is>
      </c>
      <c r="I146" s="0" t="inlineStr">
        <is>
          <t>NULL</t>
        </is>
      </c>
      <c r="J146" s="0" t="inlineStr">
        <is>
          <t>NULL</t>
        </is>
      </c>
      <c r="K146" s="0" t="inlineStr">
        <is>
          <t>YES! 	 c_char8000列源备映射正确，源端为char 8000位	期望更改为char(n)	实际备端为char 8000位</t>
        </is>
      </c>
    </row>
    <row r="147">
      <c r="A147" s="0" t="inlineStr">
        <is>
          <t>info_varchar_dml_single_nopk_drp</t>
        </is>
      </c>
      <c r="K147" s="0" t="inlineStr">
        <is>
          <t>[0;34m info_varchar_dml_single_nopk_drp [0m源备字段数相同，源端字段：4 	备端字段4</t>
        </is>
      </c>
      <c r="W147" s="0" t="inlineStr">
        <is>
          <t>YES 源备无差异</t>
        </is>
      </c>
      <c r="X147" s="0">
        <f>A147</f>
        <v/>
      </c>
    </row>
    <row r="148">
      <c r="B148" s="0" t="inlineStr">
        <is>
          <t>NULL</t>
        </is>
      </c>
      <c r="C148" s="0" t="inlineStr">
        <is>
          <t>NULL</t>
        </is>
      </c>
      <c r="D148" s="0" t="inlineStr">
        <is>
          <t>NULL</t>
        </is>
      </c>
      <c r="E148" s="0" t="inlineStr">
        <is>
          <t>NULL</t>
        </is>
      </c>
      <c r="F148" s="0" t="inlineStr">
        <is>
          <t>NULL</t>
        </is>
      </c>
      <c r="G148" s="0" t="inlineStr">
        <is>
          <t>NULL</t>
        </is>
      </c>
      <c r="H148" s="0" t="inlineStr">
        <is>
          <t>NULL</t>
        </is>
      </c>
      <c r="I148" s="0" t="inlineStr">
        <is>
          <t>NULL</t>
        </is>
      </c>
      <c r="J148" s="0" t="inlineStr">
        <is>
          <t>NULL</t>
        </is>
      </c>
      <c r="K148" s="0" t="inlineStr">
        <is>
          <t>YES! 	 id列源备映射正确，源端为int None位	期望更改为int	实际备端为int None位</t>
        </is>
      </c>
    </row>
    <row r="149">
      <c r="B149" s="0" t="inlineStr">
        <is>
          <t>NULL</t>
        </is>
      </c>
      <c r="C149" s="0" t="inlineStr">
        <is>
          <t>NULL</t>
        </is>
      </c>
      <c r="D149" s="0" t="inlineStr">
        <is>
          <t>NULL</t>
        </is>
      </c>
      <c r="E149" s="0" t="inlineStr">
        <is>
          <t>NULL</t>
        </is>
      </c>
      <c r="F149" s="0" t="inlineStr">
        <is>
          <t>NULL</t>
        </is>
      </c>
      <c r="G149" s="0" t="inlineStr">
        <is>
          <t>NULL</t>
        </is>
      </c>
      <c r="H149" s="0" t="inlineStr">
        <is>
          <t>NULL</t>
        </is>
      </c>
      <c r="I149" s="0" t="inlineStr">
        <is>
          <t>NULL</t>
        </is>
      </c>
      <c r="J149" s="0" t="inlineStr">
        <is>
          <t>NULL</t>
        </is>
      </c>
      <c r="K149" s="0" t="inlineStr">
        <is>
          <t>YES! 	 c_varchar列源备映射正确，源端为varchar 1位	期望更改为varchar(n)	实际备端为varchar 1位</t>
        </is>
      </c>
    </row>
    <row r="150">
      <c r="B150" s="0" t="inlineStr">
        <is>
          <t>NULL</t>
        </is>
      </c>
      <c r="C150" s="0" t="inlineStr">
        <is>
          <t>NULL</t>
        </is>
      </c>
      <c r="D150" s="0" t="inlineStr">
        <is>
          <t>NULL</t>
        </is>
      </c>
      <c r="E150" s="0" t="inlineStr">
        <is>
          <t>NULL</t>
        </is>
      </c>
      <c r="F150" s="0" t="inlineStr">
        <is>
          <t>NULL</t>
        </is>
      </c>
      <c r="G150" s="0" t="inlineStr">
        <is>
          <t>NULL</t>
        </is>
      </c>
      <c r="H150" s="0" t="inlineStr">
        <is>
          <t>NULL</t>
        </is>
      </c>
      <c r="I150" s="0" t="inlineStr">
        <is>
          <t>NULL</t>
        </is>
      </c>
      <c r="J150" s="0" t="inlineStr">
        <is>
          <t>NULL</t>
        </is>
      </c>
      <c r="K150" s="0" t="inlineStr">
        <is>
          <t>YES! 	 c_varchar50列源备映射正确，源端为varchar 50位	期望更改为varchar(n)	实际备端为varchar 50位</t>
        </is>
      </c>
    </row>
    <row r="151">
      <c r="B151" s="0" t="inlineStr">
        <is>
          <t>NULL</t>
        </is>
      </c>
      <c r="C151" s="0" t="inlineStr">
        <is>
          <t>NULL</t>
        </is>
      </c>
      <c r="D151" s="0" t="inlineStr">
        <is>
          <t>NULL</t>
        </is>
      </c>
      <c r="E151" s="0" t="inlineStr">
        <is>
          <t>NULL</t>
        </is>
      </c>
      <c r="F151" s="0" t="inlineStr">
        <is>
          <t>NULL</t>
        </is>
      </c>
      <c r="G151" s="0" t="inlineStr">
        <is>
          <t>NULL</t>
        </is>
      </c>
      <c r="H151" s="0" t="inlineStr">
        <is>
          <t>NULL</t>
        </is>
      </c>
      <c r="I151" s="0" t="inlineStr">
        <is>
          <t>NULL</t>
        </is>
      </c>
      <c r="J151" s="0" t="inlineStr">
        <is>
          <t>NULL</t>
        </is>
      </c>
      <c r="K151" s="0" t="inlineStr">
        <is>
          <t>YES! 	 c_varchar8000列源备映射正确，源端为varchar 8000位	期望更改为varchar(n)	实际备端为varchar 8000位</t>
        </is>
      </c>
    </row>
    <row r="152">
      <c r="A152" s="0" t="inlineStr">
        <is>
          <t>info_char_dml_single_pk_urp</t>
        </is>
      </c>
      <c r="K152" s="0" t="inlineStr">
        <is>
          <t>[0;34m info_char_dml_single_pk_urp [0m源备字段数相同，源端字段：4 	备端字段4</t>
        </is>
      </c>
      <c r="W152" s="0" t="inlineStr">
        <is>
          <t>YES 源备无差异</t>
        </is>
      </c>
      <c r="X152" s="0">
        <f>A152</f>
        <v/>
      </c>
    </row>
    <row r="153">
      <c r="B153" s="0" t="inlineStr">
        <is>
          <t>YES</t>
        </is>
      </c>
      <c r="C153" s="0" t="inlineStr">
        <is>
          <t>NULL</t>
        </is>
      </c>
      <c r="D153" s="0" t="inlineStr">
        <is>
          <t>NULL</t>
        </is>
      </c>
      <c r="E153" s="0" t="inlineStr">
        <is>
          <t>NULL</t>
        </is>
      </c>
      <c r="F153" s="0" t="inlineStr">
        <is>
          <t>NULL</t>
        </is>
      </c>
      <c r="G153" s="0" t="inlineStr">
        <is>
          <t>NULL</t>
        </is>
      </c>
      <c r="H153" s="0" t="inlineStr">
        <is>
          <t>NULL</t>
        </is>
      </c>
      <c r="I153" s="0" t="inlineStr">
        <is>
          <t>YES!PK__info_cha__3213E83FD6E1F870</t>
        </is>
      </c>
      <c r="J153" s="0" t="inlineStr">
        <is>
          <t>YES! 主键相关索引</t>
        </is>
      </c>
      <c r="K153" s="0" t="inlineStr">
        <is>
          <t>YES! 	 id列源备映射正确，源端为int None位	期望更改为int	实际备端为int None位</t>
        </is>
      </c>
    </row>
    <row r="154">
      <c r="B154" s="0" t="inlineStr">
        <is>
          <t>NULL</t>
        </is>
      </c>
      <c r="C154" s="0" t="inlineStr">
        <is>
          <t>NULL</t>
        </is>
      </c>
      <c r="D154" s="0" t="inlineStr">
        <is>
          <t>NULL</t>
        </is>
      </c>
      <c r="E154" s="0" t="inlineStr">
        <is>
          <t>NULL</t>
        </is>
      </c>
      <c r="F154" s="0" t="inlineStr">
        <is>
          <t>NULL</t>
        </is>
      </c>
      <c r="G154" s="0" t="inlineStr">
        <is>
          <t>NULL</t>
        </is>
      </c>
      <c r="H154" s="0" t="inlineStr">
        <is>
          <t>NULL</t>
        </is>
      </c>
      <c r="I154" s="0" t="inlineStr">
        <is>
          <t>NULL</t>
        </is>
      </c>
      <c r="J154" s="0" t="inlineStr">
        <is>
          <t>NULL</t>
        </is>
      </c>
      <c r="K154" s="0" t="inlineStr">
        <is>
          <t>YES! 	 c_char列源备映射正确，源端为char 1位	期望更改为char(n)	实际备端为char 1位</t>
        </is>
      </c>
    </row>
    <row r="155">
      <c r="B155" s="0" t="inlineStr">
        <is>
          <t>NULL</t>
        </is>
      </c>
      <c r="C155" s="0" t="inlineStr">
        <is>
          <t>NULL</t>
        </is>
      </c>
      <c r="D155" s="0" t="inlineStr">
        <is>
          <t>NULL</t>
        </is>
      </c>
      <c r="E155" s="0" t="inlineStr">
        <is>
          <t>NULL</t>
        </is>
      </c>
      <c r="F155" s="0" t="inlineStr">
        <is>
          <t>NULL</t>
        </is>
      </c>
      <c r="G155" s="0" t="inlineStr">
        <is>
          <t>NULL</t>
        </is>
      </c>
      <c r="H155" s="0" t="inlineStr">
        <is>
          <t>NULL</t>
        </is>
      </c>
      <c r="I155" s="0" t="inlineStr">
        <is>
          <t>NULL</t>
        </is>
      </c>
      <c r="J155" s="0" t="inlineStr">
        <is>
          <t>NULL</t>
        </is>
      </c>
      <c r="K155" s="0" t="inlineStr">
        <is>
          <t>YES! 	 c_char20列源备映射正确，源端为char 20位	期望更改为char(n)	实际备端为char 20位</t>
        </is>
      </c>
    </row>
    <row r="156">
      <c r="B156" s="0" t="inlineStr">
        <is>
          <t>NULL</t>
        </is>
      </c>
      <c r="C156" s="0" t="inlineStr">
        <is>
          <t>NULL</t>
        </is>
      </c>
      <c r="D156" s="0" t="inlineStr">
        <is>
          <t>NULL</t>
        </is>
      </c>
      <c r="E156" s="0" t="inlineStr">
        <is>
          <t>NULL</t>
        </is>
      </c>
      <c r="F156" s="0" t="inlineStr">
        <is>
          <t>NULL</t>
        </is>
      </c>
      <c r="G156" s="0" t="inlineStr">
        <is>
          <t>NULL</t>
        </is>
      </c>
      <c r="H156" s="0" t="inlineStr">
        <is>
          <t>NULL</t>
        </is>
      </c>
      <c r="I156" s="0" t="inlineStr">
        <is>
          <t>NULL</t>
        </is>
      </c>
      <c r="J156" s="0" t="inlineStr">
        <is>
          <t>NULL</t>
        </is>
      </c>
      <c r="K156" s="0" t="inlineStr">
        <is>
          <t>YES! 	 c_char7000列源备映射正确，源端为char 7000位	期望更改为char(n)	实际备端为char 7000位</t>
        </is>
      </c>
    </row>
    <row r="157">
      <c r="A157" s="0" t="inlineStr">
        <is>
          <t>info_hierarchyid_dml_single_pk_irp</t>
        </is>
      </c>
      <c r="K157" s="0" t="inlineStr">
        <is>
          <t>[0;34m info_hierarchyid_dml_single_pk_irp [0m源备字段数相同，源端字段：2 	备端字段2</t>
        </is>
      </c>
      <c r="W157" s="0" t="inlineStr">
        <is>
          <t>YES 源备无差异</t>
        </is>
      </c>
      <c r="X157" s="0">
        <f>A157</f>
        <v/>
      </c>
    </row>
    <row r="158">
      <c r="B158" s="0" t="inlineStr">
        <is>
          <t>YES</t>
        </is>
      </c>
      <c r="C158" s="0" t="inlineStr">
        <is>
          <t>NULL</t>
        </is>
      </c>
      <c r="D158" s="0" t="inlineStr">
        <is>
          <t>NULL</t>
        </is>
      </c>
      <c r="E158" s="0" t="inlineStr">
        <is>
          <t>NULL</t>
        </is>
      </c>
      <c r="F158" s="0" t="inlineStr">
        <is>
          <t>NULL</t>
        </is>
      </c>
      <c r="G158" s="0" t="inlineStr">
        <is>
          <t>NULL</t>
        </is>
      </c>
      <c r="H158" s="0" t="inlineStr">
        <is>
          <t>NULL</t>
        </is>
      </c>
      <c r="I158" s="0" t="inlineStr">
        <is>
          <t>YES!PK__info_hie__3213E83FDEFBB5DB</t>
        </is>
      </c>
      <c r="J158" s="0" t="inlineStr">
        <is>
          <t>YES! 主键相关索引</t>
        </is>
      </c>
      <c r="K158" s="0" t="inlineStr">
        <is>
          <t>YES! 	 id列源备映射正确，源端为int None位	期望更改为int	实际备端为int None位</t>
        </is>
      </c>
    </row>
    <row r="159">
      <c r="B159" s="0" t="inlineStr">
        <is>
          <t>NULL</t>
        </is>
      </c>
      <c r="C159" s="0" t="inlineStr">
        <is>
          <t>NULL</t>
        </is>
      </c>
      <c r="D159" s="0" t="inlineStr">
        <is>
          <t>NULL</t>
        </is>
      </c>
      <c r="E159" s="0" t="inlineStr">
        <is>
          <t>NULL</t>
        </is>
      </c>
      <c r="F159" s="0" t="inlineStr">
        <is>
          <t>NULL</t>
        </is>
      </c>
      <c r="G159" s="0" t="inlineStr">
        <is>
          <t>NULL</t>
        </is>
      </c>
      <c r="H159" s="0" t="inlineStr">
        <is>
          <t>NULL</t>
        </is>
      </c>
      <c r="I159" s="0" t="inlineStr">
        <is>
          <t>NULL</t>
        </is>
      </c>
      <c r="J159" s="0" t="inlineStr">
        <is>
          <t>NULL</t>
        </is>
      </c>
      <c r="K159" s="0" t="inlineStr">
        <is>
          <t>YES! 	 c_hierarchyid列源备映射正确，源端为hierarchyid 892位	期望更改为hierarchyid	实际备端为hierarchyid 892位</t>
        </is>
      </c>
    </row>
    <row r="160">
      <c r="A160" s="0" t="inlineStr">
        <is>
          <t>info_time_dml_batch1_pk_drp2</t>
        </is>
      </c>
      <c r="K160" s="0" t="inlineStr">
        <is>
          <t>[0;34m info_time_dml_batch1_pk_drp2 [0m源备字段数相同，源端字段：9 	备端字段9</t>
        </is>
      </c>
      <c r="W160" s="0" t="inlineStr">
        <is>
          <t>YES 源备无差异</t>
        </is>
      </c>
      <c r="X160" s="0">
        <f>A160</f>
        <v/>
      </c>
    </row>
    <row r="161">
      <c r="B161" s="0" t="inlineStr">
        <is>
          <t>YES</t>
        </is>
      </c>
      <c r="C161" s="0" t="inlineStr">
        <is>
          <t>NULL</t>
        </is>
      </c>
      <c r="D161" s="0" t="inlineStr">
        <is>
          <t>NULL</t>
        </is>
      </c>
      <c r="E161" s="0" t="inlineStr">
        <is>
          <t>NULL</t>
        </is>
      </c>
      <c r="F161" s="0" t="inlineStr">
        <is>
          <t>NULL</t>
        </is>
      </c>
      <c r="G161" s="0" t="inlineStr">
        <is>
          <t>NULL</t>
        </is>
      </c>
      <c r="H161" s="0" t="inlineStr">
        <is>
          <t>NULL</t>
        </is>
      </c>
      <c r="I161" s="0" t="inlineStr">
        <is>
          <t>YES!PK__info_tim__3213E83FA75E52F7</t>
        </is>
      </c>
      <c r="J161" s="0" t="inlineStr">
        <is>
          <t>YES! 主键相关索引</t>
        </is>
      </c>
      <c r="K161" s="0" t="inlineStr">
        <is>
          <t>YES! 	 id列源备映射正确，源端为int None位	期望更改为int	实际备端为int None位</t>
        </is>
      </c>
    </row>
    <row r="162">
      <c r="B162" s="0" t="inlineStr">
        <is>
          <t>NULL</t>
        </is>
      </c>
      <c r="C162" s="0" t="inlineStr">
        <is>
          <t>NULL</t>
        </is>
      </c>
      <c r="D162" s="0" t="inlineStr">
        <is>
          <t>NULL</t>
        </is>
      </c>
      <c r="E162" s="0" t="inlineStr">
        <is>
          <t>NULL</t>
        </is>
      </c>
      <c r="F162" s="0" t="inlineStr">
        <is>
          <t>NULL</t>
        </is>
      </c>
      <c r="G162" s="0" t="inlineStr">
        <is>
          <t>NULL</t>
        </is>
      </c>
      <c r="H162" s="0" t="inlineStr">
        <is>
          <t>NULL</t>
        </is>
      </c>
      <c r="I162" s="0" t="inlineStr">
        <is>
          <t>NULL</t>
        </is>
      </c>
      <c r="J162" s="0" t="inlineStr">
        <is>
          <t>NULL</t>
        </is>
      </c>
      <c r="K162" s="0" t="inlineStr">
        <is>
          <t>no,len不存在</t>
        </is>
      </c>
    </row>
    <row r="163">
      <c r="B163" s="0" t="inlineStr">
        <is>
          <t>NULL</t>
        </is>
      </c>
      <c r="C163" s="0" t="inlineStr">
        <is>
          <t>NULL</t>
        </is>
      </c>
      <c r="D163" s="0" t="inlineStr">
        <is>
          <t>NULL</t>
        </is>
      </c>
      <c r="E163" s="0" t="inlineStr">
        <is>
          <t>NULL</t>
        </is>
      </c>
      <c r="F163" s="0" t="inlineStr">
        <is>
          <t>NULL</t>
        </is>
      </c>
      <c r="G163" s="0" t="inlineStr">
        <is>
          <t>NULL</t>
        </is>
      </c>
      <c r="H163" s="0" t="inlineStr">
        <is>
          <t>NULL</t>
        </is>
      </c>
      <c r="I163" s="0" t="inlineStr">
        <is>
          <t>NULL</t>
        </is>
      </c>
      <c r="J163" s="0" t="inlineStr">
        <is>
          <t>NULL</t>
        </is>
      </c>
      <c r="K163" s="0" t="inlineStr">
        <is>
          <t>YES! 	 c_time1列源备映射正确，源端为time None位	期望更改为time(n)	实际备端为time None位</t>
        </is>
      </c>
    </row>
    <row r="164">
      <c r="B164" s="0" t="inlineStr">
        <is>
          <t>NULL</t>
        </is>
      </c>
      <c r="C164" s="0" t="inlineStr">
        <is>
          <t>NULL</t>
        </is>
      </c>
      <c r="D164" s="0" t="inlineStr">
        <is>
          <t>NULL</t>
        </is>
      </c>
      <c r="E164" s="0" t="inlineStr">
        <is>
          <t>NULL</t>
        </is>
      </c>
      <c r="F164" s="0" t="inlineStr">
        <is>
          <t>NULL</t>
        </is>
      </c>
      <c r="G164" s="0" t="inlineStr">
        <is>
          <t>NULL</t>
        </is>
      </c>
      <c r="H164" s="0" t="inlineStr">
        <is>
          <t>NULL</t>
        </is>
      </c>
      <c r="I164" s="0" t="inlineStr">
        <is>
          <t>NULL</t>
        </is>
      </c>
      <c r="J164" s="0" t="inlineStr">
        <is>
          <t>NULL</t>
        </is>
      </c>
      <c r="K164" s="0" t="inlineStr">
        <is>
          <t>YES! 	 c_time2列源备映射正确，源端为time None位	期望更改为time(n)	实际备端为time None位</t>
        </is>
      </c>
    </row>
    <row r="165">
      <c r="B165" s="0" t="inlineStr">
        <is>
          <t>NULL</t>
        </is>
      </c>
      <c r="C165" s="0" t="inlineStr">
        <is>
          <t>NULL</t>
        </is>
      </c>
      <c r="D165" s="0" t="inlineStr">
        <is>
          <t>NULL</t>
        </is>
      </c>
      <c r="E165" s="0" t="inlineStr">
        <is>
          <t>NULL</t>
        </is>
      </c>
      <c r="F165" s="0" t="inlineStr">
        <is>
          <t>NULL</t>
        </is>
      </c>
      <c r="G165" s="0" t="inlineStr">
        <is>
          <t>NULL</t>
        </is>
      </c>
      <c r="H165" s="0" t="inlineStr">
        <is>
          <t>NULL</t>
        </is>
      </c>
      <c r="I165" s="0" t="inlineStr">
        <is>
          <t>NULL</t>
        </is>
      </c>
      <c r="J165" s="0" t="inlineStr">
        <is>
          <t>NULL</t>
        </is>
      </c>
      <c r="K165" s="0" t="inlineStr">
        <is>
          <t>YES! 	 c_time3列源备映射正确，源端为time None位	期望更改为time(n)	实际备端为time None位</t>
        </is>
      </c>
    </row>
    <row r="166">
      <c r="B166" s="0" t="inlineStr">
        <is>
          <t>NULL</t>
        </is>
      </c>
      <c r="C166" s="0" t="inlineStr">
        <is>
          <t>NULL</t>
        </is>
      </c>
      <c r="D166" s="0" t="inlineStr">
        <is>
          <t>NULL</t>
        </is>
      </c>
      <c r="E166" s="0" t="inlineStr">
        <is>
          <t>NULL</t>
        </is>
      </c>
      <c r="F166" s="0" t="inlineStr">
        <is>
          <t>NULL</t>
        </is>
      </c>
      <c r="G166" s="0" t="inlineStr">
        <is>
          <t>NULL</t>
        </is>
      </c>
      <c r="H166" s="0" t="inlineStr">
        <is>
          <t>NULL</t>
        </is>
      </c>
      <c r="I166" s="0" t="inlineStr">
        <is>
          <t>NULL</t>
        </is>
      </c>
      <c r="J166" s="0" t="inlineStr">
        <is>
          <t>NULL</t>
        </is>
      </c>
      <c r="K166" s="0" t="inlineStr">
        <is>
          <t>YES! 	 c_time4列源备映射正确，源端为time None位	期望更改为time(n)	实际备端为time None位</t>
        </is>
      </c>
    </row>
    <row r="167">
      <c r="B167" s="0" t="inlineStr">
        <is>
          <t>NULL</t>
        </is>
      </c>
      <c r="C167" s="0" t="inlineStr">
        <is>
          <t>NULL</t>
        </is>
      </c>
      <c r="D167" s="0" t="inlineStr">
        <is>
          <t>NULL</t>
        </is>
      </c>
      <c r="E167" s="0" t="inlineStr">
        <is>
          <t>NULL</t>
        </is>
      </c>
      <c r="F167" s="0" t="inlineStr">
        <is>
          <t>NULL</t>
        </is>
      </c>
      <c r="G167" s="0" t="inlineStr">
        <is>
          <t>NULL</t>
        </is>
      </c>
      <c r="H167" s="0" t="inlineStr">
        <is>
          <t>NULL</t>
        </is>
      </c>
      <c r="I167" s="0" t="inlineStr">
        <is>
          <t>NULL</t>
        </is>
      </c>
      <c r="J167" s="0" t="inlineStr">
        <is>
          <t>NULL</t>
        </is>
      </c>
      <c r="K167" s="0" t="inlineStr">
        <is>
          <t>YES! 	 c_time5列源备映射正确，源端为time None位	期望更改为time(n)	实际备端为time None位</t>
        </is>
      </c>
    </row>
    <row r="168">
      <c r="B168" s="0" t="inlineStr">
        <is>
          <t>NULL</t>
        </is>
      </c>
      <c r="C168" s="0" t="inlineStr">
        <is>
          <t>NULL</t>
        </is>
      </c>
      <c r="D168" s="0" t="inlineStr">
        <is>
          <t>NULL</t>
        </is>
      </c>
      <c r="E168" s="0" t="inlineStr">
        <is>
          <t>NULL</t>
        </is>
      </c>
      <c r="F168" s="0" t="inlineStr">
        <is>
          <t>NULL</t>
        </is>
      </c>
      <c r="G168" s="0" t="inlineStr">
        <is>
          <t>NULL</t>
        </is>
      </c>
      <c r="H168" s="0" t="inlineStr">
        <is>
          <t>NULL</t>
        </is>
      </c>
      <c r="I168" s="0" t="inlineStr">
        <is>
          <t>NULL</t>
        </is>
      </c>
      <c r="J168" s="0" t="inlineStr">
        <is>
          <t>NULL</t>
        </is>
      </c>
      <c r="K168" s="0" t="inlineStr">
        <is>
          <t>YES! 	 c_time6列源备映射正确，源端为time None位	期望更改为time(n)	实际备端为time None位</t>
        </is>
      </c>
    </row>
    <row r="169">
      <c r="B169" s="0" t="inlineStr">
        <is>
          <t>NULL</t>
        </is>
      </c>
      <c r="C169" s="0" t="inlineStr">
        <is>
          <t>NULL</t>
        </is>
      </c>
      <c r="D169" s="0" t="inlineStr">
        <is>
          <t>NULL</t>
        </is>
      </c>
      <c r="E169" s="0" t="inlineStr">
        <is>
          <t>NULL</t>
        </is>
      </c>
      <c r="F169" s="0" t="inlineStr">
        <is>
          <t>NULL</t>
        </is>
      </c>
      <c r="G169" s="0" t="inlineStr">
        <is>
          <t>NULL</t>
        </is>
      </c>
      <c r="H169" s="0" t="inlineStr">
        <is>
          <t>NULL</t>
        </is>
      </c>
      <c r="I169" s="0" t="inlineStr">
        <is>
          <t>NULL</t>
        </is>
      </c>
      <c r="J169" s="0" t="inlineStr">
        <is>
          <t>NULL</t>
        </is>
      </c>
      <c r="K169" s="0" t="inlineStr">
        <is>
          <t>YES! 	 c_time列源备映射正确，源端为time None位	期望更改为time(n)	实际备端为time None位</t>
        </is>
      </c>
    </row>
    <row r="170">
      <c r="A170" s="0" t="inlineStr">
        <is>
          <t>info_hierarchyid_dml_single_nopk</t>
        </is>
      </c>
      <c r="K170" s="0" t="inlineStr">
        <is>
          <t>[0;34m info_hierarchyid_dml_single_nopk [0m源备字段数相同，源端字段：2 	备端字段2</t>
        </is>
      </c>
      <c r="W170" s="0" t="inlineStr">
        <is>
          <t>YES 源备无差异</t>
        </is>
      </c>
      <c r="X170" s="0">
        <f>A170</f>
        <v/>
      </c>
    </row>
    <row r="171">
      <c r="B171" s="0" t="inlineStr">
        <is>
          <t>NULL</t>
        </is>
      </c>
      <c r="C171" s="0" t="inlineStr">
        <is>
          <t>NULL</t>
        </is>
      </c>
      <c r="D171" s="0" t="inlineStr">
        <is>
          <t>NULL</t>
        </is>
      </c>
      <c r="E171" s="0" t="inlineStr">
        <is>
          <t>NULL</t>
        </is>
      </c>
      <c r="F171" s="0" t="inlineStr">
        <is>
          <t>NULL</t>
        </is>
      </c>
      <c r="G171" s="0" t="inlineStr">
        <is>
          <t>NULL</t>
        </is>
      </c>
      <c r="H171" s="0" t="inlineStr">
        <is>
          <t>NULL</t>
        </is>
      </c>
      <c r="I171" s="0" t="inlineStr">
        <is>
          <t>NULL</t>
        </is>
      </c>
      <c r="J171" s="0" t="inlineStr">
        <is>
          <t>NULL</t>
        </is>
      </c>
      <c r="K171" s="0" t="inlineStr">
        <is>
          <t>YES! 	 id列源备映射正确，源端为int None位	期望更改为int	实际备端为int None位</t>
        </is>
      </c>
    </row>
    <row r="172">
      <c r="B172" s="0" t="inlineStr">
        <is>
          <t>NULL</t>
        </is>
      </c>
      <c r="C172" s="0" t="inlineStr">
        <is>
          <t>NULL</t>
        </is>
      </c>
      <c r="D172" s="0" t="inlineStr">
        <is>
          <t>NULL</t>
        </is>
      </c>
      <c r="E172" s="0" t="inlineStr">
        <is>
          <t>NULL</t>
        </is>
      </c>
      <c r="F172" s="0" t="inlineStr">
        <is>
          <t>NULL</t>
        </is>
      </c>
      <c r="G172" s="0" t="inlineStr">
        <is>
          <t>NULL</t>
        </is>
      </c>
      <c r="H172" s="0" t="inlineStr">
        <is>
          <t>NULL</t>
        </is>
      </c>
      <c r="I172" s="0" t="inlineStr">
        <is>
          <t>NULL</t>
        </is>
      </c>
      <c r="J172" s="0" t="inlineStr">
        <is>
          <t>NULL</t>
        </is>
      </c>
      <c r="K172" s="0" t="inlineStr">
        <is>
          <t>YES! 	 c_hierarchyid列源备映射正确，源端为hierarchyid 892位	期望更改为hierarchyid	实际备端为hierarchyid 892位</t>
        </is>
      </c>
    </row>
    <row r="173">
      <c r="A173" s="0" t="inlineStr">
        <is>
          <t>info_hierarchyid_dml_single_pk_urp</t>
        </is>
      </c>
      <c r="K173" s="0" t="inlineStr">
        <is>
          <t>[0;34m info_hierarchyid_dml_single_pk_urp [0m源备字段数相同，源端字段：2 	备端字段2</t>
        </is>
      </c>
      <c r="W173" s="0" t="inlineStr">
        <is>
          <t>YES 源备无差异</t>
        </is>
      </c>
      <c r="X173" s="0">
        <f>A173</f>
        <v/>
      </c>
    </row>
    <row r="174">
      <c r="B174" s="0" t="inlineStr">
        <is>
          <t>YES</t>
        </is>
      </c>
      <c r="C174" s="0" t="inlineStr">
        <is>
          <t>NULL</t>
        </is>
      </c>
      <c r="D174" s="0" t="inlineStr">
        <is>
          <t>NULL</t>
        </is>
      </c>
      <c r="E174" s="0" t="inlineStr">
        <is>
          <t>NULL</t>
        </is>
      </c>
      <c r="F174" s="0" t="inlineStr">
        <is>
          <t>NULL</t>
        </is>
      </c>
      <c r="G174" s="0" t="inlineStr">
        <is>
          <t>NULL</t>
        </is>
      </c>
      <c r="H174" s="0" t="inlineStr">
        <is>
          <t>NULL</t>
        </is>
      </c>
      <c r="I174" s="0" t="inlineStr">
        <is>
          <t>YES!PK__info_hie__3213E83F2943E668</t>
        </is>
      </c>
      <c r="J174" s="0" t="inlineStr">
        <is>
          <t>YES! 主键相关索引</t>
        </is>
      </c>
      <c r="K174" s="0" t="inlineStr">
        <is>
          <t>YES! 	 id列源备映射正确，源端为int None位	期望更改为int	实际备端为int None位</t>
        </is>
      </c>
    </row>
    <row r="175">
      <c r="B175" s="0" t="inlineStr">
        <is>
          <t>NULL</t>
        </is>
      </c>
      <c r="C175" s="0" t="inlineStr">
        <is>
          <t>NULL</t>
        </is>
      </c>
      <c r="D175" s="0" t="inlineStr">
        <is>
          <t>NULL</t>
        </is>
      </c>
      <c r="E175" s="0" t="inlineStr">
        <is>
          <t>NULL</t>
        </is>
      </c>
      <c r="F175" s="0" t="inlineStr">
        <is>
          <t>NULL</t>
        </is>
      </c>
      <c r="G175" s="0" t="inlineStr">
        <is>
          <t>NULL</t>
        </is>
      </c>
      <c r="H175" s="0" t="inlineStr">
        <is>
          <t>NULL</t>
        </is>
      </c>
      <c r="I175" s="0" t="inlineStr">
        <is>
          <t>NULL</t>
        </is>
      </c>
      <c r="J175" s="0" t="inlineStr">
        <is>
          <t>NULL</t>
        </is>
      </c>
      <c r="K175" s="0" t="inlineStr">
        <is>
          <t>YES! 	 c_hierarchyid列源备映射正确，源端为hierarchyid 892位	期望更改为hierarchyid	实际备端为hierarchyid 892位</t>
        </is>
      </c>
    </row>
    <row r="176">
      <c r="A176" s="0" t="inlineStr">
        <is>
          <t>info_char_dml_batch2_pk_irp2</t>
        </is>
      </c>
      <c r="K176" s="0" t="inlineStr">
        <is>
          <t>[0;34m info_char_dml_batch2_pk_irp2 [0m源备字段数相同，源端字段：4 	备端字段4</t>
        </is>
      </c>
      <c r="W176" s="0" t="inlineStr">
        <is>
          <t>YES 源备无差异</t>
        </is>
      </c>
      <c r="X176" s="0">
        <f>A176</f>
        <v/>
      </c>
    </row>
    <row r="177">
      <c r="B177" s="0" t="inlineStr">
        <is>
          <t>YES</t>
        </is>
      </c>
      <c r="C177" s="0" t="inlineStr">
        <is>
          <t>NULL</t>
        </is>
      </c>
      <c r="D177" s="0" t="inlineStr">
        <is>
          <t>NULL</t>
        </is>
      </c>
      <c r="E177" s="0" t="inlineStr">
        <is>
          <t>NULL</t>
        </is>
      </c>
      <c r="F177" s="0" t="inlineStr">
        <is>
          <t>NULL</t>
        </is>
      </c>
      <c r="G177" s="0" t="inlineStr">
        <is>
          <t>NULL</t>
        </is>
      </c>
      <c r="H177" s="0" t="inlineStr">
        <is>
          <t>NULL</t>
        </is>
      </c>
      <c r="I177" s="0" t="inlineStr">
        <is>
          <t>YES!PK__info_cha__3213E83F17ECD9F4</t>
        </is>
      </c>
      <c r="J177" s="0" t="inlineStr">
        <is>
          <t>YES! 主键相关索引</t>
        </is>
      </c>
      <c r="K177" s="0" t="inlineStr">
        <is>
          <t>YES! 	 id列源备映射正确，源端为int None位	期望更改为int	实际备端为int None位</t>
        </is>
      </c>
    </row>
    <row r="178">
      <c r="B178" s="0" t="inlineStr">
        <is>
          <t>NULL</t>
        </is>
      </c>
      <c r="C178" s="0" t="inlineStr">
        <is>
          <t>NULL</t>
        </is>
      </c>
      <c r="D178" s="0" t="inlineStr">
        <is>
          <t>NULL</t>
        </is>
      </c>
      <c r="E178" s="0" t="inlineStr">
        <is>
          <t>NULL</t>
        </is>
      </c>
      <c r="F178" s="0" t="inlineStr">
        <is>
          <t>NULL</t>
        </is>
      </c>
      <c r="G178" s="0" t="inlineStr">
        <is>
          <t>NULL</t>
        </is>
      </c>
      <c r="H178" s="0" t="inlineStr">
        <is>
          <t>NULL</t>
        </is>
      </c>
      <c r="I178" s="0" t="inlineStr">
        <is>
          <t>NULL</t>
        </is>
      </c>
      <c r="J178" s="0" t="inlineStr">
        <is>
          <t>NULL</t>
        </is>
      </c>
      <c r="K178" s="0" t="inlineStr">
        <is>
          <t>YES! 	 c_char列源备映射正确，源端为char 1位	期望更改为char(n)	实际备端为char 1位</t>
        </is>
      </c>
    </row>
    <row r="179">
      <c r="B179" s="0" t="inlineStr">
        <is>
          <t>NULL</t>
        </is>
      </c>
      <c r="C179" s="0" t="inlineStr">
        <is>
          <t>NULL</t>
        </is>
      </c>
      <c r="D179" s="0" t="inlineStr">
        <is>
          <t>NULL</t>
        </is>
      </c>
      <c r="E179" s="0" t="inlineStr">
        <is>
          <t>NULL</t>
        </is>
      </c>
      <c r="F179" s="0" t="inlineStr">
        <is>
          <t>NULL</t>
        </is>
      </c>
      <c r="G179" s="0" t="inlineStr">
        <is>
          <t>NULL</t>
        </is>
      </c>
      <c r="H179" s="0" t="inlineStr">
        <is>
          <t>NULL</t>
        </is>
      </c>
      <c r="I179" s="0" t="inlineStr">
        <is>
          <t>NULL</t>
        </is>
      </c>
      <c r="J179" s="0" t="inlineStr">
        <is>
          <t>NULL</t>
        </is>
      </c>
      <c r="K179" s="0" t="inlineStr">
        <is>
          <t>YES! 	 c_char20列源备映射正确，源端为char 20位	期望更改为char(n)	实际备端为char 20位</t>
        </is>
      </c>
    </row>
    <row r="180">
      <c r="B180" s="0" t="inlineStr">
        <is>
          <t>NULL</t>
        </is>
      </c>
      <c r="C180" s="0" t="inlineStr">
        <is>
          <t>NULL</t>
        </is>
      </c>
      <c r="D180" s="0" t="inlineStr">
        <is>
          <t>NULL</t>
        </is>
      </c>
      <c r="E180" s="0" t="inlineStr">
        <is>
          <t>NULL</t>
        </is>
      </c>
      <c r="F180" s="0" t="inlineStr">
        <is>
          <t>NULL</t>
        </is>
      </c>
      <c r="G180" s="0" t="inlineStr">
        <is>
          <t>NULL</t>
        </is>
      </c>
      <c r="H180" s="0" t="inlineStr">
        <is>
          <t>NULL</t>
        </is>
      </c>
      <c r="I180" s="0" t="inlineStr">
        <is>
          <t>NULL</t>
        </is>
      </c>
      <c r="J180" s="0" t="inlineStr">
        <is>
          <t>NULL</t>
        </is>
      </c>
      <c r="K180" s="0" t="inlineStr">
        <is>
          <t>YES! 	 c_char8000列源备映射正确，源端为char 8000位	期望更改为char(n)	实际备端为char 8000位</t>
        </is>
      </c>
    </row>
    <row r="181">
      <c r="A181" s="0" t="inlineStr">
        <is>
          <t>info_char_dml_single_pk_drp</t>
        </is>
      </c>
      <c r="K181" s="0" t="inlineStr">
        <is>
          <t>[0;34m info_char_dml_single_pk_drp [0m源备字段数相同，源端字段：4 	备端字段4</t>
        </is>
      </c>
      <c r="W181" s="0" t="inlineStr">
        <is>
          <t>YES 源备无差异</t>
        </is>
      </c>
      <c r="X181" s="0">
        <f>A181</f>
        <v/>
      </c>
    </row>
    <row r="182">
      <c r="B182" s="0" t="inlineStr">
        <is>
          <t>YES</t>
        </is>
      </c>
      <c r="C182" s="0" t="inlineStr">
        <is>
          <t>NULL</t>
        </is>
      </c>
      <c r="D182" s="0" t="inlineStr">
        <is>
          <t>NULL</t>
        </is>
      </c>
      <c r="E182" s="0" t="inlineStr">
        <is>
          <t>NULL</t>
        </is>
      </c>
      <c r="F182" s="0" t="inlineStr">
        <is>
          <t>NULL</t>
        </is>
      </c>
      <c r="G182" s="0" t="inlineStr">
        <is>
          <t>NULL</t>
        </is>
      </c>
      <c r="H182" s="0" t="inlineStr">
        <is>
          <t>NULL</t>
        </is>
      </c>
      <c r="I182" s="0" t="inlineStr">
        <is>
          <t>YES!PK__info_cha__3213E83F737F950F</t>
        </is>
      </c>
      <c r="J182" s="0" t="inlineStr">
        <is>
          <t>YES! 主键相关索引</t>
        </is>
      </c>
      <c r="K182" s="0" t="inlineStr">
        <is>
          <t>YES! 	 id列源备映射正确，源端为int None位	期望更改为int	实际备端为int None位</t>
        </is>
      </c>
    </row>
    <row r="183">
      <c r="B183" s="0" t="inlineStr">
        <is>
          <t>NULL</t>
        </is>
      </c>
      <c r="C183" s="0" t="inlineStr">
        <is>
          <t>NULL</t>
        </is>
      </c>
      <c r="D183" s="0" t="inlineStr">
        <is>
          <t>NULL</t>
        </is>
      </c>
      <c r="E183" s="0" t="inlineStr">
        <is>
          <t>NULL</t>
        </is>
      </c>
      <c r="F183" s="0" t="inlineStr">
        <is>
          <t>NULL</t>
        </is>
      </c>
      <c r="G183" s="0" t="inlineStr">
        <is>
          <t>NULL</t>
        </is>
      </c>
      <c r="H183" s="0" t="inlineStr">
        <is>
          <t>NULL</t>
        </is>
      </c>
      <c r="I183" s="0" t="inlineStr">
        <is>
          <t>NULL</t>
        </is>
      </c>
      <c r="J183" s="0" t="inlineStr">
        <is>
          <t>NULL</t>
        </is>
      </c>
      <c r="K183" s="0" t="inlineStr">
        <is>
          <t>YES! 	 c_char列源备映射正确，源端为char 1位	期望更改为char(n)	实际备端为char 1位</t>
        </is>
      </c>
    </row>
    <row r="184">
      <c r="B184" s="0" t="inlineStr">
        <is>
          <t>NULL</t>
        </is>
      </c>
      <c r="C184" s="0" t="inlineStr">
        <is>
          <t>NULL</t>
        </is>
      </c>
      <c r="D184" s="0" t="inlineStr">
        <is>
          <t>NULL</t>
        </is>
      </c>
      <c r="E184" s="0" t="inlineStr">
        <is>
          <t>NULL</t>
        </is>
      </c>
      <c r="F184" s="0" t="inlineStr">
        <is>
          <t>NULL</t>
        </is>
      </c>
      <c r="G184" s="0" t="inlineStr">
        <is>
          <t>NULL</t>
        </is>
      </c>
      <c r="H184" s="0" t="inlineStr">
        <is>
          <t>NULL</t>
        </is>
      </c>
      <c r="I184" s="0" t="inlineStr">
        <is>
          <t>NULL</t>
        </is>
      </c>
      <c r="J184" s="0" t="inlineStr">
        <is>
          <t>NULL</t>
        </is>
      </c>
      <c r="K184" s="0" t="inlineStr">
        <is>
          <t>YES! 	 c_char20列源备映射正确，源端为char 20位	期望更改为char(n)	实际备端为char 20位</t>
        </is>
      </c>
    </row>
    <row r="185">
      <c r="B185" s="0" t="inlineStr">
        <is>
          <t>NULL</t>
        </is>
      </c>
      <c r="C185" s="0" t="inlineStr">
        <is>
          <t>NULL</t>
        </is>
      </c>
      <c r="D185" s="0" t="inlineStr">
        <is>
          <t>NULL</t>
        </is>
      </c>
      <c r="E185" s="0" t="inlineStr">
        <is>
          <t>NULL</t>
        </is>
      </c>
      <c r="F185" s="0" t="inlineStr">
        <is>
          <t>NULL</t>
        </is>
      </c>
      <c r="G185" s="0" t="inlineStr">
        <is>
          <t>NULL</t>
        </is>
      </c>
      <c r="H185" s="0" t="inlineStr">
        <is>
          <t>NULL</t>
        </is>
      </c>
      <c r="I185" s="0" t="inlineStr">
        <is>
          <t>NULL</t>
        </is>
      </c>
      <c r="J185" s="0" t="inlineStr">
        <is>
          <t>NULL</t>
        </is>
      </c>
      <c r="K185" s="0" t="inlineStr">
        <is>
          <t>YES! 	 c_char7000列源备映射正确，源端为char 7000位	期望更改为char(n)	实际备端为char 7000位</t>
        </is>
      </c>
    </row>
    <row r="186">
      <c r="A186" s="0" t="inlineStr">
        <is>
          <t>info_time_dml_batch1_pk</t>
        </is>
      </c>
      <c r="K186" s="0" t="inlineStr">
        <is>
          <t>[0;34m info_time_dml_batch1_pk [0m源备字段数相同，源端字段：9 	备端字段9</t>
        </is>
      </c>
      <c r="W186" s="0" t="inlineStr">
        <is>
          <t>YES 源备无差异</t>
        </is>
      </c>
      <c r="X186" s="0">
        <f>A186</f>
        <v/>
      </c>
    </row>
    <row r="187">
      <c r="B187" s="0" t="inlineStr">
        <is>
          <t>YES</t>
        </is>
      </c>
      <c r="C187" s="0" t="inlineStr">
        <is>
          <t>NULL</t>
        </is>
      </c>
      <c r="D187" s="0" t="inlineStr">
        <is>
          <t>NULL</t>
        </is>
      </c>
      <c r="E187" s="0" t="inlineStr">
        <is>
          <t>NULL</t>
        </is>
      </c>
      <c r="F187" s="0" t="inlineStr">
        <is>
          <t>NULL</t>
        </is>
      </c>
      <c r="G187" s="0" t="inlineStr">
        <is>
          <t>NULL</t>
        </is>
      </c>
      <c r="H187" s="0" t="inlineStr">
        <is>
          <t>NULL</t>
        </is>
      </c>
      <c r="I187" s="0" t="inlineStr">
        <is>
          <t>YES!PK__info_tim__3213E83F7708C811</t>
        </is>
      </c>
      <c r="J187" s="0" t="inlineStr">
        <is>
          <t>YES! 主键相关索引</t>
        </is>
      </c>
      <c r="K187" s="0" t="inlineStr">
        <is>
          <t>YES! 	 id列源备映射正确，源端为int None位	期望更改为int	实际备端为int None位</t>
        </is>
      </c>
    </row>
    <row r="188">
      <c r="B188" s="0" t="inlineStr">
        <is>
          <t>NULL</t>
        </is>
      </c>
      <c r="C188" s="0" t="inlineStr">
        <is>
          <t>NULL</t>
        </is>
      </c>
      <c r="D188" s="0" t="inlineStr">
        <is>
          <t>NULL</t>
        </is>
      </c>
      <c r="E188" s="0" t="inlineStr">
        <is>
          <t>NULL</t>
        </is>
      </c>
      <c r="F188" s="0" t="inlineStr">
        <is>
          <t>NULL</t>
        </is>
      </c>
      <c r="G188" s="0" t="inlineStr">
        <is>
          <t>NULL</t>
        </is>
      </c>
      <c r="H188" s="0" t="inlineStr">
        <is>
          <t>NULL</t>
        </is>
      </c>
      <c r="I188" s="0" t="inlineStr">
        <is>
          <t>NULL</t>
        </is>
      </c>
      <c r="J188" s="0" t="inlineStr">
        <is>
          <t>NULL</t>
        </is>
      </c>
      <c r="K188" s="0" t="inlineStr">
        <is>
          <t>no,len不存在</t>
        </is>
      </c>
    </row>
    <row r="189">
      <c r="B189" s="0" t="inlineStr">
        <is>
          <t>NULL</t>
        </is>
      </c>
      <c r="C189" s="0" t="inlineStr">
        <is>
          <t>NULL</t>
        </is>
      </c>
      <c r="D189" s="0" t="inlineStr">
        <is>
          <t>NULL</t>
        </is>
      </c>
      <c r="E189" s="0" t="inlineStr">
        <is>
          <t>NULL</t>
        </is>
      </c>
      <c r="F189" s="0" t="inlineStr">
        <is>
          <t>NULL</t>
        </is>
      </c>
      <c r="G189" s="0" t="inlineStr">
        <is>
          <t>NULL</t>
        </is>
      </c>
      <c r="H189" s="0" t="inlineStr">
        <is>
          <t>NULL</t>
        </is>
      </c>
      <c r="I189" s="0" t="inlineStr">
        <is>
          <t>NULL</t>
        </is>
      </c>
      <c r="J189" s="0" t="inlineStr">
        <is>
          <t>NULL</t>
        </is>
      </c>
      <c r="K189" s="0" t="inlineStr">
        <is>
          <t>YES! 	 c_time1列源备映射正确，源端为time None位	期望更改为time(n)	实际备端为time None位</t>
        </is>
      </c>
    </row>
    <row r="190">
      <c r="B190" s="0" t="inlineStr">
        <is>
          <t>NULL</t>
        </is>
      </c>
      <c r="C190" s="0" t="inlineStr">
        <is>
          <t>NULL</t>
        </is>
      </c>
      <c r="D190" s="0" t="inlineStr">
        <is>
          <t>NULL</t>
        </is>
      </c>
      <c r="E190" s="0" t="inlineStr">
        <is>
          <t>NULL</t>
        </is>
      </c>
      <c r="F190" s="0" t="inlineStr">
        <is>
          <t>NULL</t>
        </is>
      </c>
      <c r="G190" s="0" t="inlineStr">
        <is>
          <t>NULL</t>
        </is>
      </c>
      <c r="H190" s="0" t="inlineStr">
        <is>
          <t>NULL</t>
        </is>
      </c>
      <c r="I190" s="0" t="inlineStr">
        <is>
          <t>NULL</t>
        </is>
      </c>
      <c r="J190" s="0" t="inlineStr">
        <is>
          <t>NULL</t>
        </is>
      </c>
      <c r="K190" s="0" t="inlineStr">
        <is>
          <t>YES! 	 c_time2列源备映射正确，源端为time None位	期望更改为time(n)	实际备端为time None位</t>
        </is>
      </c>
    </row>
    <row r="191">
      <c r="B191" s="0" t="inlineStr">
        <is>
          <t>NULL</t>
        </is>
      </c>
      <c r="C191" s="0" t="inlineStr">
        <is>
          <t>NULL</t>
        </is>
      </c>
      <c r="D191" s="0" t="inlineStr">
        <is>
          <t>NULL</t>
        </is>
      </c>
      <c r="E191" s="0" t="inlineStr">
        <is>
          <t>NULL</t>
        </is>
      </c>
      <c r="F191" s="0" t="inlineStr">
        <is>
          <t>NULL</t>
        </is>
      </c>
      <c r="G191" s="0" t="inlineStr">
        <is>
          <t>NULL</t>
        </is>
      </c>
      <c r="H191" s="0" t="inlineStr">
        <is>
          <t>NULL</t>
        </is>
      </c>
      <c r="I191" s="0" t="inlineStr">
        <is>
          <t>NULL</t>
        </is>
      </c>
      <c r="J191" s="0" t="inlineStr">
        <is>
          <t>NULL</t>
        </is>
      </c>
      <c r="K191" s="0" t="inlineStr">
        <is>
          <t>YES! 	 c_time3列源备映射正确，源端为time None位	期望更改为time(n)	实际备端为time None位</t>
        </is>
      </c>
    </row>
    <row r="192">
      <c r="B192" s="0" t="inlineStr">
        <is>
          <t>NULL</t>
        </is>
      </c>
      <c r="C192" s="0" t="inlineStr">
        <is>
          <t>NULL</t>
        </is>
      </c>
      <c r="D192" s="0" t="inlineStr">
        <is>
          <t>NULL</t>
        </is>
      </c>
      <c r="E192" s="0" t="inlineStr">
        <is>
          <t>NULL</t>
        </is>
      </c>
      <c r="F192" s="0" t="inlineStr">
        <is>
          <t>NULL</t>
        </is>
      </c>
      <c r="G192" s="0" t="inlineStr">
        <is>
          <t>NULL</t>
        </is>
      </c>
      <c r="H192" s="0" t="inlineStr">
        <is>
          <t>NULL</t>
        </is>
      </c>
      <c r="I192" s="0" t="inlineStr">
        <is>
          <t>NULL</t>
        </is>
      </c>
      <c r="J192" s="0" t="inlineStr">
        <is>
          <t>NULL</t>
        </is>
      </c>
      <c r="K192" s="0" t="inlineStr">
        <is>
          <t>YES! 	 c_time4列源备映射正确，源端为time None位	期望更改为time(n)	实际备端为time None位</t>
        </is>
      </c>
    </row>
    <row r="193">
      <c r="B193" s="0" t="inlineStr">
        <is>
          <t>NULL</t>
        </is>
      </c>
      <c r="C193" s="0" t="inlineStr">
        <is>
          <t>NULL</t>
        </is>
      </c>
      <c r="D193" s="0" t="inlineStr">
        <is>
          <t>NULL</t>
        </is>
      </c>
      <c r="E193" s="0" t="inlineStr">
        <is>
          <t>NULL</t>
        </is>
      </c>
      <c r="F193" s="0" t="inlineStr">
        <is>
          <t>NULL</t>
        </is>
      </c>
      <c r="G193" s="0" t="inlineStr">
        <is>
          <t>NULL</t>
        </is>
      </c>
      <c r="H193" s="0" t="inlineStr">
        <is>
          <t>NULL</t>
        </is>
      </c>
      <c r="I193" s="0" t="inlineStr">
        <is>
          <t>NULL</t>
        </is>
      </c>
      <c r="J193" s="0" t="inlineStr">
        <is>
          <t>NULL</t>
        </is>
      </c>
      <c r="K193" s="0" t="inlineStr">
        <is>
          <t>YES! 	 c_time5列源备映射正确，源端为time None位	期望更改为time(n)	实际备端为time None位</t>
        </is>
      </c>
    </row>
    <row r="194">
      <c r="B194" s="0" t="inlineStr">
        <is>
          <t>NULL</t>
        </is>
      </c>
      <c r="C194" s="0" t="inlineStr">
        <is>
          <t>NULL</t>
        </is>
      </c>
      <c r="D194" s="0" t="inlineStr">
        <is>
          <t>NULL</t>
        </is>
      </c>
      <c r="E194" s="0" t="inlineStr">
        <is>
          <t>NULL</t>
        </is>
      </c>
      <c r="F194" s="0" t="inlineStr">
        <is>
          <t>NULL</t>
        </is>
      </c>
      <c r="G194" s="0" t="inlineStr">
        <is>
          <t>NULL</t>
        </is>
      </c>
      <c r="H194" s="0" t="inlineStr">
        <is>
          <t>NULL</t>
        </is>
      </c>
      <c r="I194" s="0" t="inlineStr">
        <is>
          <t>NULL</t>
        </is>
      </c>
      <c r="J194" s="0" t="inlineStr">
        <is>
          <t>NULL</t>
        </is>
      </c>
      <c r="K194" s="0" t="inlineStr">
        <is>
          <t>YES! 	 c_time6列源备映射正确，源端为time None位	期望更改为time(n)	实际备端为time None位</t>
        </is>
      </c>
    </row>
    <row r="195">
      <c r="B195" s="0" t="inlineStr">
        <is>
          <t>NULL</t>
        </is>
      </c>
      <c r="C195" s="0" t="inlineStr">
        <is>
          <t>NULL</t>
        </is>
      </c>
      <c r="D195" s="0" t="inlineStr">
        <is>
          <t>NULL</t>
        </is>
      </c>
      <c r="E195" s="0" t="inlineStr">
        <is>
          <t>NULL</t>
        </is>
      </c>
      <c r="F195" s="0" t="inlineStr">
        <is>
          <t>NULL</t>
        </is>
      </c>
      <c r="G195" s="0" t="inlineStr">
        <is>
          <t>NULL</t>
        </is>
      </c>
      <c r="H195" s="0" t="inlineStr">
        <is>
          <t>NULL</t>
        </is>
      </c>
      <c r="I195" s="0" t="inlineStr">
        <is>
          <t>NULL</t>
        </is>
      </c>
      <c r="J195" s="0" t="inlineStr">
        <is>
          <t>NULL</t>
        </is>
      </c>
      <c r="K195" s="0" t="inlineStr">
        <is>
          <t>YES! 	 c_time列源备映射正确，源端为time None位	期望更改为time(n)	实际备端为time None位</t>
        </is>
      </c>
    </row>
    <row r="196">
      <c r="A196" s="0" t="inlineStr">
        <is>
          <t>info_char_dml_batch1_pk_urp1</t>
        </is>
      </c>
      <c r="K196" s="0" t="inlineStr">
        <is>
          <t>[0;34m info_char_dml_batch1_pk_urp1 [0m源备字段数相同，源端字段：4 	备端字段4</t>
        </is>
      </c>
      <c r="W196" s="0" t="inlineStr">
        <is>
          <t>YES 源备无差异</t>
        </is>
      </c>
      <c r="X196" s="0">
        <f>A196</f>
        <v/>
      </c>
    </row>
    <row r="197">
      <c r="B197" s="0" t="inlineStr">
        <is>
          <t>YES</t>
        </is>
      </c>
      <c r="C197" s="0" t="inlineStr">
        <is>
          <t>NULL</t>
        </is>
      </c>
      <c r="D197" s="0" t="inlineStr">
        <is>
          <t>NULL</t>
        </is>
      </c>
      <c r="E197" s="0" t="inlineStr">
        <is>
          <t>NULL</t>
        </is>
      </c>
      <c r="F197" s="0" t="inlineStr">
        <is>
          <t>NULL</t>
        </is>
      </c>
      <c r="G197" s="0" t="inlineStr">
        <is>
          <t>NULL</t>
        </is>
      </c>
      <c r="H197" s="0" t="inlineStr">
        <is>
          <t>NULL</t>
        </is>
      </c>
      <c r="I197" s="0" t="inlineStr">
        <is>
          <t>YES!PK__info_cha__3213E83F919F0F13</t>
        </is>
      </c>
      <c r="J197" s="0" t="inlineStr">
        <is>
          <t>YES! 主键相关索引</t>
        </is>
      </c>
      <c r="K197" s="0" t="inlineStr">
        <is>
          <t>YES! 	 id列源备映射正确，源端为int None位	期望更改为int	实际备端为int None位</t>
        </is>
      </c>
    </row>
    <row r="198">
      <c r="B198" s="0" t="inlineStr">
        <is>
          <t>NULL</t>
        </is>
      </c>
      <c r="C198" s="0" t="inlineStr">
        <is>
          <t>NULL</t>
        </is>
      </c>
      <c r="D198" s="0" t="inlineStr">
        <is>
          <t>NULL</t>
        </is>
      </c>
      <c r="E198" s="0" t="inlineStr">
        <is>
          <t>NULL</t>
        </is>
      </c>
      <c r="F198" s="0" t="inlineStr">
        <is>
          <t>NULL</t>
        </is>
      </c>
      <c r="G198" s="0" t="inlineStr">
        <is>
          <t>NULL</t>
        </is>
      </c>
      <c r="H198" s="0" t="inlineStr">
        <is>
          <t>NULL</t>
        </is>
      </c>
      <c r="I198" s="0" t="inlineStr">
        <is>
          <t>NULL</t>
        </is>
      </c>
      <c r="J198" s="0" t="inlineStr">
        <is>
          <t>NULL</t>
        </is>
      </c>
      <c r="K198" s="0" t="inlineStr">
        <is>
          <t>YES! 	 c_char列源备映射正确，源端为char 1位	期望更改为char(n)	实际备端为char 1位</t>
        </is>
      </c>
    </row>
    <row r="199">
      <c r="B199" s="0" t="inlineStr">
        <is>
          <t>NULL</t>
        </is>
      </c>
      <c r="C199" s="0" t="inlineStr">
        <is>
          <t>NULL</t>
        </is>
      </c>
      <c r="D199" s="0" t="inlineStr">
        <is>
          <t>NULL</t>
        </is>
      </c>
      <c r="E199" s="0" t="inlineStr">
        <is>
          <t>NULL</t>
        </is>
      </c>
      <c r="F199" s="0" t="inlineStr">
        <is>
          <t>NULL</t>
        </is>
      </c>
      <c r="G199" s="0" t="inlineStr">
        <is>
          <t>NULL</t>
        </is>
      </c>
      <c r="H199" s="0" t="inlineStr">
        <is>
          <t>NULL</t>
        </is>
      </c>
      <c r="I199" s="0" t="inlineStr">
        <is>
          <t>NULL</t>
        </is>
      </c>
      <c r="J199" s="0" t="inlineStr">
        <is>
          <t>NULL</t>
        </is>
      </c>
      <c r="K199" s="0" t="inlineStr">
        <is>
          <t>YES! 	 c_char20列源备映射正确，源端为char 20位	期望更改为char(n)	实际备端为char 20位</t>
        </is>
      </c>
    </row>
    <row r="200">
      <c r="B200" s="0" t="inlineStr">
        <is>
          <t>NULL</t>
        </is>
      </c>
      <c r="C200" s="0" t="inlineStr">
        <is>
          <t>NULL</t>
        </is>
      </c>
      <c r="D200" s="0" t="inlineStr">
        <is>
          <t>NULL</t>
        </is>
      </c>
      <c r="E200" s="0" t="inlineStr">
        <is>
          <t>NULL</t>
        </is>
      </c>
      <c r="F200" s="0" t="inlineStr">
        <is>
          <t>NULL</t>
        </is>
      </c>
      <c r="G200" s="0" t="inlineStr">
        <is>
          <t>NULL</t>
        </is>
      </c>
      <c r="H200" s="0" t="inlineStr">
        <is>
          <t>NULL</t>
        </is>
      </c>
      <c r="I200" s="0" t="inlineStr">
        <is>
          <t>NULL</t>
        </is>
      </c>
      <c r="J200" s="0" t="inlineStr">
        <is>
          <t>NULL</t>
        </is>
      </c>
      <c r="K200" s="0" t="inlineStr">
        <is>
          <t>YES! 	 c_char7000列源备映射正确，源端为char 7000位	期望更改为char(n)	实际备端为char 7000位</t>
        </is>
      </c>
    </row>
    <row r="201">
      <c r="A201" s="0" t="inlineStr">
        <is>
          <t>info_varchar_dml_single_nopk</t>
        </is>
      </c>
      <c r="K201" s="0" t="inlineStr">
        <is>
          <t>[0;34m info_varchar_dml_single_nopk [0m源备字段数相同，源端字段：4 	备端字段4</t>
        </is>
      </c>
      <c r="W201" s="0" t="inlineStr">
        <is>
          <t>YES 源备无差异</t>
        </is>
      </c>
      <c r="X201" s="0">
        <f>A201</f>
        <v/>
      </c>
    </row>
    <row r="202">
      <c r="B202" s="0" t="inlineStr">
        <is>
          <t>NULL</t>
        </is>
      </c>
      <c r="C202" s="0" t="inlineStr">
        <is>
          <t>NULL</t>
        </is>
      </c>
      <c r="D202" s="0" t="inlineStr">
        <is>
          <t>NULL</t>
        </is>
      </c>
      <c r="E202" s="0" t="inlineStr">
        <is>
          <t>NULL</t>
        </is>
      </c>
      <c r="F202" s="0" t="inlineStr">
        <is>
          <t>NULL</t>
        </is>
      </c>
      <c r="G202" s="0" t="inlineStr">
        <is>
          <t>NULL</t>
        </is>
      </c>
      <c r="H202" s="0" t="inlineStr">
        <is>
          <t>NULL</t>
        </is>
      </c>
      <c r="I202" s="0" t="inlineStr">
        <is>
          <t>NULL</t>
        </is>
      </c>
      <c r="J202" s="0" t="inlineStr">
        <is>
          <t>NULL</t>
        </is>
      </c>
      <c r="K202" s="0" t="inlineStr">
        <is>
          <t>YES! 	 id列源备映射正确，源端为int None位	期望更改为int	实际备端为int None位</t>
        </is>
      </c>
    </row>
    <row r="203">
      <c r="B203" s="0" t="inlineStr">
        <is>
          <t>NULL</t>
        </is>
      </c>
      <c r="C203" s="0" t="inlineStr">
        <is>
          <t>NULL</t>
        </is>
      </c>
      <c r="D203" s="0" t="inlineStr">
        <is>
          <t>NULL</t>
        </is>
      </c>
      <c r="E203" s="0" t="inlineStr">
        <is>
          <t>NULL</t>
        </is>
      </c>
      <c r="F203" s="0" t="inlineStr">
        <is>
          <t>NULL</t>
        </is>
      </c>
      <c r="G203" s="0" t="inlineStr">
        <is>
          <t>NULL</t>
        </is>
      </c>
      <c r="H203" s="0" t="inlineStr">
        <is>
          <t>NULL</t>
        </is>
      </c>
      <c r="I203" s="0" t="inlineStr">
        <is>
          <t>NULL</t>
        </is>
      </c>
      <c r="J203" s="0" t="inlineStr">
        <is>
          <t>NULL</t>
        </is>
      </c>
      <c r="K203" s="0" t="inlineStr">
        <is>
          <t>YES! 	 c_varchar列源备映射正确，源端为varchar 1位	期望更改为varchar(n)	实际备端为varchar 1位</t>
        </is>
      </c>
    </row>
    <row r="204">
      <c r="B204" s="0" t="inlineStr">
        <is>
          <t>NULL</t>
        </is>
      </c>
      <c r="C204" s="0" t="inlineStr">
        <is>
          <t>NULL</t>
        </is>
      </c>
      <c r="D204" s="0" t="inlineStr">
        <is>
          <t>NULL</t>
        </is>
      </c>
      <c r="E204" s="0" t="inlineStr">
        <is>
          <t>NULL</t>
        </is>
      </c>
      <c r="F204" s="0" t="inlineStr">
        <is>
          <t>NULL</t>
        </is>
      </c>
      <c r="G204" s="0" t="inlineStr">
        <is>
          <t>NULL</t>
        </is>
      </c>
      <c r="H204" s="0" t="inlineStr">
        <is>
          <t>NULL</t>
        </is>
      </c>
      <c r="I204" s="0" t="inlineStr">
        <is>
          <t>NULL</t>
        </is>
      </c>
      <c r="J204" s="0" t="inlineStr">
        <is>
          <t>NULL</t>
        </is>
      </c>
      <c r="K204" s="0" t="inlineStr">
        <is>
          <t>YES! 	 c_varchar50列源备映射正确，源端为varchar 50位	期望更改为varchar(n)	实际备端为varchar 50位</t>
        </is>
      </c>
    </row>
    <row r="205">
      <c r="B205" s="0" t="inlineStr">
        <is>
          <t>NULL</t>
        </is>
      </c>
      <c r="C205" s="0" t="inlineStr">
        <is>
          <t>NULL</t>
        </is>
      </c>
      <c r="D205" s="0" t="inlineStr">
        <is>
          <t>NULL</t>
        </is>
      </c>
      <c r="E205" s="0" t="inlineStr">
        <is>
          <t>NULL</t>
        </is>
      </c>
      <c r="F205" s="0" t="inlineStr">
        <is>
          <t>NULL</t>
        </is>
      </c>
      <c r="G205" s="0" t="inlineStr">
        <is>
          <t>NULL</t>
        </is>
      </c>
      <c r="H205" s="0" t="inlineStr">
        <is>
          <t>NULL</t>
        </is>
      </c>
      <c r="I205" s="0" t="inlineStr">
        <is>
          <t>NULL</t>
        </is>
      </c>
      <c r="J205" s="0" t="inlineStr">
        <is>
          <t>NULL</t>
        </is>
      </c>
      <c r="K205" s="0" t="inlineStr">
        <is>
          <t>YES! 	 c_varchar8000列源备映射正确，源端为varchar 8000位	期望更改为varchar(n)	实际备端为varchar 8000位</t>
        </is>
      </c>
    </row>
    <row r="206">
      <c r="A206" s="0" t="inlineStr">
        <is>
          <t>info_hierarchyid_dml_single_pk_drp</t>
        </is>
      </c>
      <c r="K206" s="0" t="inlineStr">
        <is>
          <t>[0;34m info_hierarchyid_dml_single_pk_drp [0m源备字段数相同，源端字段：2 	备端字段2</t>
        </is>
      </c>
      <c r="W206" s="0" t="inlineStr">
        <is>
          <t>YES 源备无差异</t>
        </is>
      </c>
      <c r="X206" s="0">
        <f>A206</f>
        <v/>
      </c>
    </row>
    <row r="207">
      <c r="B207" s="0" t="inlineStr">
        <is>
          <t>YES</t>
        </is>
      </c>
      <c r="C207" s="0" t="inlineStr">
        <is>
          <t>NULL</t>
        </is>
      </c>
      <c r="D207" s="0" t="inlineStr">
        <is>
          <t>NULL</t>
        </is>
      </c>
      <c r="E207" s="0" t="inlineStr">
        <is>
          <t>NULL</t>
        </is>
      </c>
      <c r="F207" s="0" t="inlineStr">
        <is>
          <t>NULL</t>
        </is>
      </c>
      <c r="G207" s="0" t="inlineStr">
        <is>
          <t>NULL</t>
        </is>
      </c>
      <c r="H207" s="0" t="inlineStr">
        <is>
          <t>NULL</t>
        </is>
      </c>
      <c r="I207" s="0" t="inlineStr">
        <is>
          <t>YES!PK__info_hie__3213E83F1847B547</t>
        </is>
      </c>
      <c r="J207" s="0" t="inlineStr">
        <is>
          <t>YES! 主键相关索引</t>
        </is>
      </c>
      <c r="K207" s="0" t="inlineStr">
        <is>
          <t>YES! 	 id列源备映射正确，源端为int None位	期望更改为int	实际备端为int None位</t>
        </is>
      </c>
    </row>
    <row r="208">
      <c r="B208" s="0" t="inlineStr">
        <is>
          <t>NULL</t>
        </is>
      </c>
      <c r="C208" s="0" t="inlineStr">
        <is>
          <t>NULL</t>
        </is>
      </c>
      <c r="D208" s="0" t="inlineStr">
        <is>
          <t>NULL</t>
        </is>
      </c>
      <c r="E208" s="0" t="inlineStr">
        <is>
          <t>NULL</t>
        </is>
      </c>
      <c r="F208" s="0" t="inlineStr">
        <is>
          <t>NULL</t>
        </is>
      </c>
      <c r="G208" s="0" t="inlineStr">
        <is>
          <t>NULL</t>
        </is>
      </c>
      <c r="H208" s="0" t="inlineStr">
        <is>
          <t>NULL</t>
        </is>
      </c>
      <c r="I208" s="0" t="inlineStr">
        <is>
          <t>NULL</t>
        </is>
      </c>
      <c r="J208" s="0" t="inlineStr">
        <is>
          <t>NULL</t>
        </is>
      </c>
      <c r="K208" s="0" t="inlineStr">
        <is>
          <t>YES! 	 c_hierarchyid列源备映射正确，源端为hierarchyid 892位	期望更改为hierarchyid	实际备端为hierarchyid 892位</t>
        </is>
      </c>
    </row>
    <row r="209">
      <c r="A209" s="0" t="inlineStr">
        <is>
          <t>info_char_dml_single_pk</t>
        </is>
      </c>
      <c r="K209" s="0" t="inlineStr">
        <is>
          <t>[0;34m info_char_dml_single_pk [0m源备字段数相同，源端字段：4 	备端字段4</t>
        </is>
      </c>
      <c r="W209" s="0" t="inlineStr">
        <is>
          <t>YES 源备无差异</t>
        </is>
      </c>
      <c r="X209" s="0">
        <f>A209</f>
        <v/>
      </c>
    </row>
    <row r="210">
      <c r="B210" s="0" t="inlineStr">
        <is>
          <t>YES</t>
        </is>
      </c>
      <c r="C210" s="0" t="inlineStr">
        <is>
          <t>NULL</t>
        </is>
      </c>
      <c r="D210" s="0" t="inlineStr">
        <is>
          <t>NULL</t>
        </is>
      </c>
      <c r="E210" s="0" t="inlineStr">
        <is>
          <t>NULL</t>
        </is>
      </c>
      <c r="F210" s="0" t="inlineStr">
        <is>
          <t>NULL</t>
        </is>
      </c>
      <c r="G210" s="0" t="inlineStr">
        <is>
          <t>NULL</t>
        </is>
      </c>
      <c r="H210" s="0" t="inlineStr">
        <is>
          <t>NULL</t>
        </is>
      </c>
      <c r="I210" s="0" t="inlineStr">
        <is>
          <t>YES!PK__info_cha__3213E83FE0B552FC</t>
        </is>
      </c>
      <c r="J210" s="0" t="inlineStr">
        <is>
          <t>YES! 主键相关索引</t>
        </is>
      </c>
      <c r="K210" s="0" t="inlineStr">
        <is>
          <t>YES! 	 id列源备映射正确，源端为int None位	期望更改为int	实际备端为int None位</t>
        </is>
      </c>
    </row>
    <row r="211">
      <c r="B211" s="0" t="inlineStr">
        <is>
          <t>NULL</t>
        </is>
      </c>
      <c r="C211" s="0" t="inlineStr">
        <is>
          <t>NULL</t>
        </is>
      </c>
      <c r="D211" s="0" t="inlineStr">
        <is>
          <t>NULL</t>
        </is>
      </c>
      <c r="E211" s="0" t="inlineStr">
        <is>
          <t>NULL</t>
        </is>
      </c>
      <c r="F211" s="0" t="inlineStr">
        <is>
          <t>NULL</t>
        </is>
      </c>
      <c r="G211" s="0" t="inlineStr">
        <is>
          <t>NULL</t>
        </is>
      </c>
      <c r="H211" s="0" t="inlineStr">
        <is>
          <t>NULL</t>
        </is>
      </c>
      <c r="I211" s="0" t="inlineStr">
        <is>
          <t>NULL</t>
        </is>
      </c>
      <c r="J211" s="0" t="inlineStr">
        <is>
          <t>NULL</t>
        </is>
      </c>
      <c r="K211" s="0" t="inlineStr">
        <is>
          <t>YES! 	 c_char列源备映射正确，源端为char 1位	期望更改为char(n)	实际备端为char 1位</t>
        </is>
      </c>
    </row>
    <row r="212">
      <c r="B212" s="0" t="inlineStr">
        <is>
          <t>NULL</t>
        </is>
      </c>
      <c r="C212" s="0" t="inlineStr">
        <is>
          <t>NULL</t>
        </is>
      </c>
      <c r="D212" s="0" t="inlineStr">
        <is>
          <t>NULL</t>
        </is>
      </c>
      <c r="E212" s="0" t="inlineStr">
        <is>
          <t>NULL</t>
        </is>
      </c>
      <c r="F212" s="0" t="inlineStr">
        <is>
          <t>NULL</t>
        </is>
      </c>
      <c r="G212" s="0" t="inlineStr">
        <is>
          <t>NULL</t>
        </is>
      </c>
      <c r="H212" s="0" t="inlineStr">
        <is>
          <t>NULL</t>
        </is>
      </c>
      <c r="I212" s="0" t="inlineStr">
        <is>
          <t>NULL</t>
        </is>
      </c>
      <c r="J212" s="0" t="inlineStr">
        <is>
          <t>NULL</t>
        </is>
      </c>
      <c r="K212" s="0" t="inlineStr">
        <is>
          <t>YES! 	 c_char20列源备映射正确，源端为char 20位	期望更改为char(n)	实际备端为char 20位</t>
        </is>
      </c>
    </row>
    <row r="213">
      <c r="B213" s="0" t="inlineStr">
        <is>
          <t>NULL</t>
        </is>
      </c>
      <c r="C213" s="0" t="inlineStr">
        <is>
          <t>NULL</t>
        </is>
      </c>
      <c r="D213" s="0" t="inlineStr">
        <is>
          <t>NULL</t>
        </is>
      </c>
      <c r="E213" s="0" t="inlineStr">
        <is>
          <t>NULL</t>
        </is>
      </c>
      <c r="F213" s="0" t="inlineStr">
        <is>
          <t>NULL</t>
        </is>
      </c>
      <c r="G213" s="0" t="inlineStr">
        <is>
          <t>NULL</t>
        </is>
      </c>
      <c r="H213" s="0" t="inlineStr">
        <is>
          <t>NULL</t>
        </is>
      </c>
      <c r="I213" s="0" t="inlineStr">
        <is>
          <t>NULL</t>
        </is>
      </c>
      <c r="J213" s="0" t="inlineStr">
        <is>
          <t>NULL</t>
        </is>
      </c>
      <c r="K213" s="0" t="inlineStr">
        <is>
          <t>YES! 	 c_char7000列源备映射正确，源端为char 7000位	期望更改为char(n)	实际备端为char 7000位</t>
        </is>
      </c>
    </row>
    <row r="214">
      <c r="A214" s="0" t="inlineStr">
        <is>
          <t>info_sdt_dml_batch1_pk_irp1</t>
        </is>
      </c>
      <c r="K214" s="0" t="inlineStr">
        <is>
          <t>[0;34m info_sdt_dml_batch1_pk_irp1 [0m源备字段数相同，源端字段：2 	备端字段2</t>
        </is>
      </c>
      <c r="W214" s="0" t="inlineStr">
        <is>
          <t>YES 源备无差异</t>
        </is>
      </c>
      <c r="X214" s="0">
        <f>A214</f>
        <v/>
      </c>
    </row>
    <row r="215">
      <c r="B215" s="0" t="inlineStr">
        <is>
          <t>YES</t>
        </is>
      </c>
      <c r="C215" s="0" t="inlineStr">
        <is>
          <t>NULL</t>
        </is>
      </c>
      <c r="D215" s="0" t="inlineStr">
        <is>
          <t>NULL</t>
        </is>
      </c>
      <c r="E215" s="0" t="inlineStr">
        <is>
          <t>NULL</t>
        </is>
      </c>
      <c r="F215" s="0" t="inlineStr">
        <is>
          <t>NULL</t>
        </is>
      </c>
      <c r="G215" s="0" t="inlineStr">
        <is>
          <t>NULL</t>
        </is>
      </c>
      <c r="H215" s="0" t="inlineStr">
        <is>
          <t>NULL</t>
        </is>
      </c>
      <c r="I215" s="0" t="inlineStr">
        <is>
          <t>YES!PK__info_sdt__3213E83F1B06488F</t>
        </is>
      </c>
      <c r="J215" s="0" t="inlineStr">
        <is>
          <t>YES! 主键相关索引</t>
        </is>
      </c>
      <c r="K215" s="0" t="inlineStr">
        <is>
          <t>YES! 	 id列源备映射正确，源端为int None位	期望更改为int	实际备端为int None位</t>
        </is>
      </c>
    </row>
    <row r="216">
      <c r="B216" s="0" t="inlineStr">
        <is>
          <t>NULL</t>
        </is>
      </c>
      <c r="C216" s="0" t="inlineStr">
        <is>
          <t>NULL</t>
        </is>
      </c>
      <c r="D216" s="0" t="inlineStr">
        <is>
          <t>NULL</t>
        </is>
      </c>
      <c r="E216" s="0" t="inlineStr">
        <is>
          <t>NULL</t>
        </is>
      </c>
      <c r="F216" s="0" t="inlineStr">
        <is>
          <t>NULL</t>
        </is>
      </c>
      <c r="G216" s="0" t="inlineStr">
        <is>
          <t>NULL</t>
        </is>
      </c>
      <c r="H216" s="0" t="inlineStr">
        <is>
          <t>NULL</t>
        </is>
      </c>
      <c r="I216" s="0" t="inlineStr">
        <is>
          <t>NULL</t>
        </is>
      </c>
      <c r="J216" s="0" t="inlineStr">
        <is>
          <t>NULL</t>
        </is>
      </c>
      <c r="K216" s="0" t="inlineStr">
        <is>
          <t>YES! 	 c_sdt列源备映射正确，源端为smalldatetime None位	期望更改为smalldatetime	实际备端为smalldatetime None位</t>
        </is>
      </c>
    </row>
    <row r="217">
      <c r="A217" s="0" t="inlineStr">
        <is>
          <t>info_hierarchyid_dml_single_pk</t>
        </is>
      </c>
      <c r="K217" s="0" t="inlineStr">
        <is>
          <t>[0;34m info_hierarchyid_dml_single_pk [0m源备字段数相同，源端字段：2 	备端字段2</t>
        </is>
      </c>
      <c r="W217" s="0" t="inlineStr">
        <is>
          <t>YES 源备无差异</t>
        </is>
      </c>
      <c r="X217" s="0">
        <f>A217</f>
        <v/>
      </c>
    </row>
    <row r="218">
      <c r="B218" s="0" t="inlineStr">
        <is>
          <t>YES</t>
        </is>
      </c>
      <c r="C218" s="0" t="inlineStr">
        <is>
          <t>NULL</t>
        </is>
      </c>
      <c r="D218" s="0" t="inlineStr">
        <is>
          <t>NULL</t>
        </is>
      </c>
      <c r="E218" s="0" t="inlineStr">
        <is>
          <t>NULL</t>
        </is>
      </c>
      <c r="F218" s="0" t="inlineStr">
        <is>
          <t>NULL</t>
        </is>
      </c>
      <c r="G218" s="0" t="inlineStr">
        <is>
          <t>NULL</t>
        </is>
      </c>
      <c r="H218" s="0" t="inlineStr">
        <is>
          <t>NULL</t>
        </is>
      </c>
      <c r="I218" s="0" t="inlineStr">
        <is>
          <t>YES!PK__info_hie__3213E83F2067C9E4</t>
        </is>
      </c>
      <c r="J218" s="0" t="inlineStr">
        <is>
          <t>YES! 主键相关索引</t>
        </is>
      </c>
      <c r="K218" s="0" t="inlineStr">
        <is>
          <t>YES! 	 id列源备映射正确，源端为int None位	期望更改为int	实际备端为int None位</t>
        </is>
      </c>
    </row>
    <row r="219">
      <c r="B219" s="0" t="inlineStr">
        <is>
          <t>NULL</t>
        </is>
      </c>
      <c r="C219" s="0" t="inlineStr">
        <is>
          <t>NULL</t>
        </is>
      </c>
      <c r="D219" s="0" t="inlineStr">
        <is>
          <t>NULL</t>
        </is>
      </c>
      <c r="E219" s="0" t="inlineStr">
        <is>
          <t>NULL</t>
        </is>
      </c>
      <c r="F219" s="0" t="inlineStr">
        <is>
          <t>NULL</t>
        </is>
      </c>
      <c r="G219" s="0" t="inlineStr">
        <is>
          <t>NULL</t>
        </is>
      </c>
      <c r="H219" s="0" t="inlineStr">
        <is>
          <t>NULL</t>
        </is>
      </c>
      <c r="I219" s="0" t="inlineStr">
        <is>
          <t>NULL</t>
        </is>
      </c>
      <c r="J219" s="0" t="inlineStr">
        <is>
          <t>NULL</t>
        </is>
      </c>
      <c r="K219" s="0" t="inlineStr">
        <is>
          <t>YES! 	 c_hierarchyid列源备映射正确，源端为hierarchyid 892位	期望更改为hierarchyid	实际备端为hierarchyid 892位</t>
        </is>
      </c>
    </row>
    <row r="220">
      <c r="A220" s="0" t="inlineStr">
        <is>
          <t>info_char_dml_batch1_pk_urp2</t>
        </is>
      </c>
      <c r="K220" s="0" t="inlineStr">
        <is>
          <t>[0;34m info_char_dml_batch1_pk_urp2 [0m源备字段数相同，源端字段：4 	备端字段4</t>
        </is>
      </c>
      <c r="W220" s="0" t="inlineStr">
        <is>
          <t>YES 源备无差异</t>
        </is>
      </c>
      <c r="X220" s="0">
        <f>A220</f>
        <v/>
      </c>
    </row>
    <row r="221">
      <c r="B221" s="0" t="inlineStr">
        <is>
          <t>YES</t>
        </is>
      </c>
      <c r="C221" s="0" t="inlineStr">
        <is>
          <t>NULL</t>
        </is>
      </c>
      <c r="D221" s="0" t="inlineStr">
        <is>
          <t>NULL</t>
        </is>
      </c>
      <c r="E221" s="0" t="inlineStr">
        <is>
          <t>NULL</t>
        </is>
      </c>
      <c r="F221" s="0" t="inlineStr">
        <is>
          <t>NULL</t>
        </is>
      </c>
      <c r="G221" s="0" t="inlineStr">
        <is>
          <t>NULL</t>
        </is>
      </c>
      <c r="H221" s="0" t="inlineStr">
        <is>
          <t>NULL</t>
        </is>
      </c>
      <c r="I221" s="0" t="inlineStr">
        <is>
          <t>YES!PK__info_cha__3213E83FEA22634D</t>
        </is>
      </c>
      <c r="J221" s="0" t="inlineStr">
        <is>
          <t>YES! 主键相关索引</t>
        </is>
      </c>
      <c r="K221" s="0" t="inlineStr">
        <is>
          <t>YES! 	 id列源备映射正确，源端为int None位	期望更改为int	实际备端为int None位</t>
        </is>
      </c>
    </row>
    <row r="222">
      <c r="B222" s="0" t="inlineStr">
        <is>
          <t>NULL</t>
        </is>
      </c>
      <c r="C222" s="0" t="inlineStr">
        <is>
          <t>NULL</t>
        </is>
      </c>
      <c r="D222" s="0" t="inlineStr">
        <is>
          <t>NULL</t>
        </is>
      </c>
      <c r="E222" s="0" t="inlineStr">
        <is>
          <t>NULL</t>
        </is>
      </c>
      <c r="F222" s="0" t="inlineStr">
        <is>
          <t>NULL</t>
        </is>
      </c>
      <c r="G222" s="0" t="inlineStr">
        <is>
          <t>NULL</t>
        </is>
      </c>
      <c r="H222" s="0" t="inlineStr">
        <is>
          <t>NULL</t>
        </is>
      </c>
      <c r="I222" s="0" t="inlineStr">
        <is>
          <t>NULL</t>
        </is>
      </c>
      <c r="J222" s="0" t="inlineStr">
        <is>
          <t>NULL</t>
        </is>
      </c>
      <c r="K222" s="0" t="inlineStr">
        <is>
          <t>YES! 	 c_char列源备映射正确，源端为char 1位	期望更改为char(n)	实际备端为char 1位</t>
        </is>
      </c>
    </row>
    <row r="223">
      <c r="B223" s="0" t="inlineStr">
        <is>
          <t>NULL</t>
        </is>
      </c>
      <c r="C223" s="0" t="inlineStr">
        <is>
          <t>NULL</t>
        </is>
      </c>
      <c r="D223" s="0" t="inlineStr">
        <is>
          <t>NULL</t>
        </is>
      </c>
      <c r="E223" s="0" t="inlineStr">
        <is>
          <t>NULL</t>
        </is>
      </c>
      <c r="F223" s="0" t="inlineStr">
        <is>
          <t>NULL</t>
        </is>
      </c>
      <c r="G223" s="0" t="inlineStr">
        <is>
          <t>NULL</t>
        </is>
      </c>
      <c r="H223" s="0" t="inlineStr">
        <is>
          <t>NULL</t>
        </is>
      </c>
      <c r="I223" s="0" t="inlineStr">
        <is>
          <t>NULL</t>
        </is>
      </c>
      <c r="J223" s="0" t="inlineStr">
        <is>
          <t>NULL</t>
        </is>
      </c>
      <c r="K223" s="0" t="inlineStr">
        <is>
          <t>YES! 	 c_char20列源备映射正确，源端为char 20位	期望更改为char(n)	实际备端为char 20位</t>
        </is>
      </c>
    </row>
    <row r="224">
      <c r="B224" s="0" t="inlineStr">
        <is>
          <t>NULL</t>
        </is>
      </c>
      <c r="C224" s="0" t="inlineStr">
        <is>
          <t>NULL</t>
        </is>
      </c>
      <c r="D224" s="0" t="inlineStr">
        <is>
          <t>NULL</t>
        </is>
      </c>
      <c r="E224" s="0" t="inlineStr">
        <is>
          <t>NULL</t>
        </is>
      </c>
      <c r="F224" s="0" t="inlineStr">
        <is>
          <t>NULL</t>
        </is>
      </c>
      <c r="G224" s="0" t="inlineStr">
        <is>
          <t>NULL</t>
        </is>
      </c>
      <c r="H224" s="0" t="inlineStr">
        <is>
          <t>NULL</t>
        </is>
      </c>
      <c r="I224" s="0" t="inlineStr">
        <is>
          <t>NULL</t>
        </is>
      </c>
      <c r="J224" s="0" t="inlineStr">
        <is>
          <t>NULL</t>
        </is>
      </c>
      <c r="K224" s="0" t="inlineStr">
        <is>
          <t>YES! 	 c_char7000列源备映射正确，源端为char 7000位	期望更改为char(n)	实际备端为char 7000位</t>
        </is>
      </c>
    </row>
    <row r="225">
      <c r="A225" s="0" t="inlineStr">
        <is>
          <t>info_varchar_dml_single_pk_irp</t>
        </is>
      </c>
      <c r="K225" s="0" t="inlineStr">
        <is>
          <t>[0;34m info_varchar_dml_single_pk_irp [0m源备字段数相同，源端字段：4 	备端字段4</t>
        </is>
      </c>
      <c r="W225" s="0" t="inlineStr">
        <is>
          <t>YES 源备无差异</t>
        </is>
      </c>
      <c r="X225" s="0">
        <f>A225</f>
        <v/>
      </c>
    </row>
    <row r="226">
      <c r="B226" s="0" t="inlineStr">
        <is>
          <t>YES</t>
        </is>
      </c>
      <c r="C226" s="0" t="inlineStr">
        <is>
          <t>NULL</t>
        </is>
      </c>
      <c r="D226" s="0" t="inlineStr">
        <is>
          <t>NULL</t>
        </is>
      </c>
      <c r="E226" s="0" t="inlineStr">
        <is>
          <t>NULL</t>
        </is>
      </c>
      <c r="F226" s="0" t="inlineStr">
        <is>
          <t>NULL</t>
        </is>
      </c>
      <c r="G226" s="0" t="inlineStr">
        <is>
          <t>NULL</t>
        </is>
      </c>
      <c r="H226" s="0" t="inlineStr">
        <is>
          <t>NULL</t>
        </is>
      </c>
      <c r="I226" s="0" t="inlineStr">
        <is>
          <t>YES!PK__info_var__3213E83F6E448EB5</t>
        </is>
      </c>
      <c r="J226" s="0" t="inlineStr">
        <is>
          <t>YES! 主键相关索引</t>
        </is>
      </c>
      <c r="K226" s="0" t="inlineStr">
        <is>
          <t>YES! 	 id列源备映射正确，源端为int None位	期望更改为int	实际备端为int None位</t>
        </is>
      </c>
    </row>
    <row r="227">
      <c r="B227" s="0" t="inlineStr">
        <is>
          <t>NULL</t>
        </is>
      </c>
      <c r="C227" s="0" t="inlineStr">
        <is>
          <t>NULL</t>
        </is>
      </c>
      <c r="D227" s="0" t="inlineStr">
        <is>
          <t>NULL</t>
        </is>
      </c>
      <c r="E227" s="0" t="inlineStr">
        <is>
          <t>NULL</t>
        </is>
      </c>
      <c r="F227" s="0" t="inlineStr">
        <is>
          <t>NULL</t>
        </is>
      </c>
      <c r="G227" s="0" t="inlineStr">
        <is>
          <t>NULL</t>
        </is>
      </c>
      <c r="H227" s="0" t="inlineStr">
        <is>
          <t>NULL</t>
        </is>
      </c>
      <c r="I227" s="0" t="inlineStr">
        <is>
          <t>NULL</t>
        </is>
      </c>
      <c r="J227" s="0" t="inlineStr">
        <is>
          <t>NULL</t>
        </is>
      </c>
      <c r="K227" s="0" t="inlineStr">
        <is>
          <t>YES! 	 c_varchar列源备映射正确，源端为varchar 1位	期望更改为varchar(n)	实际备端为varchar 1位</t>
        </is>
      </c>
    </row>
    <row r="228">
      <c r="B228" s="0" t="inlineStr">
        <is>
          <t>NULL</t>
        </is>
      </c>
      <c r="C228" s="0" t="inlineStr">
        <is>
          <t>NULL</t>
        </is>
      </c>
      <c r="D228" s="0" t="inlineStr">
        <is>
          <t>NULL</t>
        </is>
      </c>
      <c r="E228" s="0" t="inlineStr">
        <is>
          <t>NULL</t>
        </is>
      </c>
      <c r="F228" s="0" t="inlineStr">
        <is>
          <t>NULL</t>
        </is>
      </c>
      <c r="G228" s="0" t="inlineStr">
        <is>
          <t>NULL</t>
        </is>
      </c>
      <c r="H228" s="0" t="inlineStr">
        <is>
          <t>NULL</t>
        </is>
      </c>
      <c r="I228" s="0" t="inlineStr">
        <is>
          <t>NULL</t>
        </is>
      </c>
      <c r="J228" s="0" t="inlineStr">
        <is>
          <t>NULL</t>
        </is>
      </c>
      <c r="K228" s="0" t="inlineStr">
        <is>
          <t>YES! 	 c_varchar50列源备映射正确，源端为varchar 50位	期望更改为varchar(n)	实际备端为varchar 50位</t>
        </is>
      </c>
    </row>
    <row r="229">
      <c r="B229" s="0" t="inlineStr">
        <is>
          <t>NULL</t>
        </is>
      </c>
      <c r="C229" s="0" t="inlineStr">
        <is>
          <t>NULL</t>
        </is>
      </c>
      <c r="D229" s="0" t="inlineStr">
        <is>
          <t>NULL</t>
        </is>
      </c>
      <c r="E229" s="0" t="inlineStr">
        <is>
          <t>NULL</t>
        </is>
      </c>
      <c r="F229" s="0" t="inlineStr">
        <is>
          <t>NULL</t>
        </is>
      </c>
      <c r="G229" s="0" t="inlineStr">
        <is>
          <t>NULL</t>
        </is>
      </c>
      <c r="H229" s="0" t="inlineStr">
        <is>
          <t>NULL</t>
        </is>
      </c>
      <c r="I229" s="0" t="inlineStr">
        <is>
          <t>NULL</t>
        </is>
      </c>
      <c r="J229" s="0" t="inlineStr">
        <is>
          <t>NULL</t>
        </is>
      </c>
      <c r="K229" s="0" t="inlineStr">
        <is>
          <t>YES! 	 c_varchar8000列源备映射正确，源端为varchar 8000位	期望更改为varchar(n)	实际备端为varchar 8000位</t>
        </is>
      </c>
    </row>
    <row r="230">
      <c r="A230" s="0" t="inlineStr">
        <is>
          <t>info_nchar_dml_single_nopk_irp</t>
        </is>
      </c>
      <c r="K230" s="0" t="inlineStr">
        <is>
          <t>[0;34m info_nchar_dml_single_nopk_irp [0m源备字段数相同，源端字段：4 	备端字段4</t>
        </is>
      </c>
      <c r="W230" s="0" t="inlineStr">
        <is>
          <t>YES 源备无差异</t>
        </is>
      </c>
      <c r="X230" s="0">
        <f>A230</f>
        <v/>
      </c>
    </row>
    <row r="231">
      <c r="B231" s="0" t="inlineStr">
        <is>
          <t>NULL</t>
        </is>
      </c>
      <c r="C231" s="0" t="inlineStr">
        <is>
          <t>NULL</t>
        </is>
      </c>
      <c r="D231" s="0" t="inlineStr">
        <is>
          <t>NULL</t>
        </is>
      </c>
      <c r="E231" s="0" t="inlineStr">
        <is>
          <t>NULL</t>
        </is>
      </c>
      <c r="F231" s="0" t="inlineStr">
        <is>
          <t>NULL</t>
        </is>
      </c>
      <c r="G231" s="0" t="inlineStr">
        <is>
          <t>NULL</t>
        </is>
      </c>
      <c r="H231" s="0" t="inlineStr">
        <is>
          <t>NULL</t>
        </is>
      </c>
      <c r="I231" s="0" t="inlineStr">
        <is>
          <t>NULL</t>
        </is>
      </c>
      <c r="J231" s="0" t="inlineStr">
        <is>
          <t>NULL</t>
        </is>
      </c>
      <c r="K231" s="0" t="inlineStr">
        <is>
          <t>YES! 	 id列源备映射正确，源端为int None位	期望更改为int	实际备端为int None位</t>
        </is>
      </c>
    </row>
    <row r="232">
      <c r="B232" s="0" t="inlineStr">
        <is>
          <t>NULL</t>
        </is>
      </c>
      <c r="C232" s="0" t="inlineStr">
        <is>
          <t>NULL</t>
        </is>
      </c>
      <c r="D232" s="0" t="inlineStr">
        <is>
          <t>NULL</t>
        </is>
      </c>
      <c r="E232" s="0" t="inlineStr">
        <is>
          <t>NULL</t>
        </is>
      </c>
      <c r="F232" s="0" t="inlineStr">
        <is>
          <t>NULL</t>
        </is>
      </c>
      <c r="G232" s="0" t="inlineStr">
        <is>
          <t>NULL</t>
        </is>
      </c>
      <c r="H232" s="0" t="inlineStr">
        <is>
          <t>NULL</t>
        </is>
      </c>
      <c r="I232" s="0" t="inlineStr">
        <is>
          <t>NULL</t>
        </is>
      </c>
      <c r="J232" s="0" t="inlineStr">
        <is>
          <t>NULL</t>
        </is>
      </c>
      <c r="K232" s="0" t="inlineStr">
        <is>
          <t>YES! 	 c_nchar列源备映射正确，源端为nchar 2位	期望更改为nchar(n)	实际备端为nchar 2位</t>
        </is>
      </c>
    </row>
    <row r="233">
      <c r="B233" s="0" t="inlineStr">
        <is>
          <t>NULL</t>
        </is>
      </c>
      <c r="C233" s="0" t="inlineStr">
        <is>
          <t>NULL</t>
        </is>
      </c>
      <c r="D233" s="0" t="inlineStr">
        <is>
          <t>NULL</t>
        </is>
      </c>
      <c r="E233" s="0" t="inlineStr">
        <is>
          <t>NULL</t>
        </is>
      </c>
      <c r="F233" s="0" t="inlineStr">
        <is>
          <t>NULL</t>
        </is>
      </c>
      <c r="G233" s="0" t="inlineStr">
        <is>
          <t>NULL</t>
        </is>
      </c>
      <c r="H233" s="0" t="inlineStr">
        <is>
          <t>NULL</t>
        </is>
      </c>
      <c r="I233" s="0" t="inlineStr">
        <is>
          <t>NULL</t>
        </is>
      </c>
      <c r="J233" s="0" t="inlineStr">
        <is>
          <t>NULL</t>
        </is>
      </c>
      <c r="K233" s="0" t="inlineStr">
        <is>
          <t>YES! 	 c_nchar20列源备映射正确，源端为nchar 40位	期望更改为nchar(n)	实际备端为nchar 40位</t>
        </is>
      </c>
    </row>
    <row r="234">
      <c r="B234" s="0" t="inlineStr">
        <is>
          <t>NULL</t>
        </is>
      </c>
      <c r="C234" s="0" t="inlineStr">
        <is>
          <t>NULL</t>
        </is>
      </c>
      <c r="D234" s="0" t="inlineStr">
        <is>
          <t>NULL</t>
        </is>
      </c>
      <c r="E234" s="0" t="inlineStr">
        <is>
          <t>NULL</t>
        </is>
      </c>
      <c r="F234" s="0" t="inlineStr">
        <is>
          <t>NULL</t>
        </is>
      </c>
      <c r="G234" s="0" t="inlineStr">
        <is>
          <t>NULL</t>
        </is>
      </c>
      <c r="H234" s="0" t="inlineStr">
        <is>
          <t>NULL</t>
        </is>
      </c>
      <c r="I234" s="0" t="inlineStr">
        <is>
          <t>NULL</t>
        </is>
      </c>
      <c r="J234" s="0" t="inlineStr">
        <is>
          <t>NULL</t>
        </is>
      </c>
      <c r="K234" s="0" t="inlineStr">
        <is>
          <t>YES! 	 c_nchar4000列源备映射正确，源端为nchar 8000位	期望更改为nchar(n)	实际备端为nchar 8000位</t>
        </is>
      </c>
    </row>
    <row r="235">
      <c r="A235" s="0" t="inlineStr">
        <is>
          <t>info_char_dml_batch1_pk_drp1</t>
        </is>
      </c>
      <c r="K235" s="0" t="inlineStr">
        <is>
          <t>[0;34m info_char_dml_batch1_pk_drp1 [0m源备字段数相同，源端字段：4 	备端字段4</t>
        </is>
      </c>
      <c r="W235" s="0" t="inlineStr">
        <is>
          <t>YES 源备无差异</t>
        </is>
      </c>
      <c r="X235" s="0">
        <f>A235</f>
        <v/>
      </c>
    </row>
    <row r="236">
      <c r="B236" s="0" t="inlineStr">
        <is>
          <t>YES</t>
        </is>
      </c>
      <c r="C236" s="0" t="inlineStr">
        <is>
          <t>NULL</t>
        </is>
      </c>
      <c r="D236" s="0" t="inlineStr">
        <is>
          <t>NULL</t>
        </is>
      </c>
      <c r="E236" s="0" t="inlineStr">
        <is>
          <t>NULL</t>
        </is>
      </c>
      <c r="F236" s="0" t="inlineStr">
        <is>
          <t>NULL</t>
        </is>
      </c>
      <c r="G236" s="0" t="inlineStr">
        <is>
          <t>NULL</t>
        </is>
      </c>
      <c r="H236" s="0" t="inlineStr">
        <is>
          <t>NULL</t>
        </is>
      </c>
      <c r="I236" s="0" t="inlineStr">
        <is>
          <t>YES!PK__info_cha__3213E83F784E87B3</t>
        </is>
      </c>
      <c r="J236" s="0" t="inlineStr">
        <is>
          <t>YES! 主键相关索引</t>
        </is>
      </c>
      <c r="K236" s="0" t="inlineStr">
        <is>
          <t>YES! 	 id列源备映射正确，源端为int None位	期望更改为int	实际备端为int None位</t>
        </is>
      </c>
    </row>
    <row r="237">
      <c r="B237" s="0" t="inlineStr">
        <is>
          <t>NULL</t>
        </is>
      </c>
      <c r="C237" s="0" t="inlineStr">
        <is>
          <t>NULL</t>
        </is>
      </c>
      <c r="D237" s="0" t="inlineStr">
        <is>
          <t>NULL</t>
        </is>
      </c>
      <c r="E237" s="0" t="inlineStr">
        <is>
          <t>NULL</t>
        </is>
      </c>
      <c r="F237" s="0" t="inlineStr">
        <is>
          <t>NULL</t>
        </is>
      </c>
      <c r="G237" s="0" t="inlineStr">
        <is>
          <t>NULL</t>
        </is>
      </c>
      <c r="H237" s="0" t="inlineStr">
        <is>
          <t>NULL</t>
        </is>
      </c>
      <c r="I237" s="0" t="inlineStr">
        <is>
          <t>NULL</t>
        </is>
      </c>
      <c r="J237" s="0" t="inlineStr">
        <is>
          <t>NULL</t>
        </is>
      </c>
      <c r="K237" s="0" t="inlineStr">
        <is>
          <t>YES! 	 c_char列源备映射正确，源端为char 1位	期望更改为char(n)	实际备端为char 1位</t>
        </is>
      </c>
    </row>
    <row r="238">
      <c r="B238" s="0" t="inlineStr">
        <is>
          <t>NULL</t>
        </is>
      </c>
      <c r="C238" s="0" t="inlineStr">
        <is>
          <t>NULL</t>
        </is>
      </c>
      <c r="D238" s="0" t="inlineStr">
        <is>
          <t>NULL</t>
        </is>
      </c>
      <c r="E238" s="0" t="inlineStr">
        <is>
          <t>NULL</t>
        </is>
      </c>
      <c r="F238" s="0" t="inlineStr">
        <is>
          <t>NULL</t>
        </is>
      </c>
      <c r="G238" s="0" t="inlineStr">
        <is>
          <t>NULL</t>
        </is>
      </c>
      <c r="H238" s="0" t="inlineStr">
        <is>
          <t>NULL</t>
        </is>
      </c>
      <c r="I238" s="0" t="inlineStr">
        <is>
          <t>NULL</t>
        </is>
      </c>
      <c r="J238" s="0" t="inlineStr">
        <is>
          <t>NULL</t>
        </is>
      </c>
      <c r="K238" s="0" t="inlineStr">
        <is>
          <t>YES! 	 c_char20列源备映射正确，源端为char 20位	期望更改为char(n)	实际备端为char 20位</t>
        </is>
      </c>
    </row>
    <row r="239">
      <c r="B239" s="0" t="inlineStr">
        <is>
          <t>NULL</t>
        </is>
      </c>
      <c r="C239" s="0" t="inlineStr">
        <is>
          <t>NULL</t>
        </is>
      </c>
      <c r="D239" s="0" t="inlineStr">
        <is>
          <t>NULL</t>
        </is>
      </c>
      <c r="E239" s="0" t="inlineStr">
        <is>
          <t>NULL</t>
        </is>
      </c>
      <c r="F239" s="0" t="inlineStr">
        <is>
          <t>NULL</t>
        </is>
      </c>
      <c r="G239" s="0" t="inlineStr">
        <is>
          <t>NULL</t>
        </is>
      </c>
      <c r="H239" s="0" t="inlineStr">
        <is>
          <t>NULL</t>
        </is>
      </c>
      <c r="I239" s="0" t="inlineStr">
        <is>
          <t>NULL</t>
        </is>
      </c>
      <c r="J239" s="0" t="inlineStr">
        <is>
          <t>NULL</t>
        </is>
      </c>
      <c r="K239" s="0" t="inlineStr">
        <is>
          <t>YES! 	 c_char7000列源备映射正确，源端为char 7000位	期望更改为char(n)	实际备端为char 7000位</t>
        </is>
      </c>
    </row>
    <row r="240">
      <c r="K240" s="0" t="inlineStr">
        <is>
          <t>~ 空表</t>
        </is>
      </c>
    </row>
    <row r="241">
      <c r="A241" s="0" t="inlineStr">
        <is>
          <t>info_sdt_dml_batch1_pk_irp2</t>
        </is>
      </c>
      <c r="K241" s="0" t="inlineStr">
        <is>
          <t>[0;34m info_sdt_dml_batch1_pk_irp2 [0m源备字段数相同，源端字段：2 	备端字段2</t>
        </is>
      </c>
      <c r="W241" s="0" t="inlineStr">
        <is>
          <t>YES 源备无差异</t>
        </is>
      </c>
      <c r="X241" s="0">
        <f>A241</f>
        <v/>
      </c>
    </row>
    <row r="242">
      <c r="B242" s="0" t="inlineStr">
        <is>
          <t>YES</t>
        </is>
      </c>
      <c r="C242" s="0" t="inlineStr">
        <is>
          <t>NULL</t>
        </is>
      </c>
      <c r="D242" s="0" t="inlineStr">
        <is>
          <t>NULL</t>
        </is>
      </c>
      <c r="E242" s="0" t="inlineStr">
        <is>
          <t>NULL</t>
        </is>
      </c>
      <c r="F242" s="0" t="inlineStr">
        <is>
          <t>NULL</t>
        </is>
      </c>
      <c r="G242" s="0" t="inlineStr">
        <is>
          <t>NULL</t>
        </is>
      </c>
      <c r="H242" s="0" t="inlineStr">
        <is>
          <t>NULL</t>
        </is>
      </c>
      <c r="I242" s="0" t="inlineStr">
        <is>
          <t>YES!PK__info_sdt__3213E83F0A3BD479</t>
        </is>
      </c>
      <c r="J242" s="0" t="inlineStr">
        <is>
          <t>YES! 主键相关索引</t>
        </is>
      </c>
      <c r="K242" s="0" t="inlineStr">
        <is>
          <t>YES! 	 id列源备映射正确，源端为int None位	期望更改为int	实际备端为int None位</t>
        </is>
      </c>
    </row>
    <row r="243">
      <c r="B243" s="0" t="inlineStr">
        <is>
          <t>NULL</t>
        </is>
      </c>
      <c r="C243" s="0" t="inlineStr">
        <is>
          <t>NULL</t>
        </is>
      </c>
      <c r="D243" s="0" t="inlineStr">
        <is>
          <t>NULL</t>
        </is>
      </c>
      <c r="E243" s="0" t="inlineStr">
        <is>
          <t>NULL</t>
        </is>
      </c>
      <c r="F243" s="0" t="inlineStr">
        <is>
          <t>NULL</t>
        </is>
      </c>
      <c r="G243" s="0" t="inlineStr">
        <is>
          <t>NULL</t>
        </is>
      </c>
      <c r="H243" s="0" t="inlineStr">
        <is>
          <t>NULL</t>
        </is>
      </c>
      <c r="I243" s="0" t="inlineStr">
        <is>
          <t>NULL</t>
        </is>
      </c>
      <c r="J243" s="0" t="inlineStr">
        <is>
          <t>NULL</t>
        </is>
      </c>
      <c r="K243" s="0" t="inlineStr">
        <is>
          <t>YES! 	 c_sdt列源备映射正确，源端为smalldatetime None位	期望更改为smalldatetime	实际备端为smalldatetime None位</t>
        </is>
      </c>
    </row>
    <row r="244">
      <c r="A244" s="0" t="inlineStr">
        <is>
          <t>info_int_dml_single_pk_irp</t>
        </is>
      </c>
      <c r="K244" s="0" t="inlineStr">
        <is>
          <t>[0;34m info_int_dml_single_pk_irp [0m源备字段数相同，源端字段：20 	备端字段20</t>
        </is>
      </c>
      <c r="W244" s="0" t="inlineStr">
        <is>
          <t>YES 源备无差异</t>
        </is>
      </c>
      <c r="X244" s="0">
        <f>A244</f>
        <v/>
      </c>
    </row>
    <row r="245">
      <c r="B245" s="0" t="inlineStr">
        <is>
          <t>YES</t>
        </is>
      </c>
      <c r="C245" s="0" t="inlineStr">
        <is>
          <t>NULL</t>
        </is>
      </c>
      <c r="D245" s="0" t="inlineStr">
        <is>
          <t>NULL</t>
        </is>
      </c>
      <c r="E245" s="0" t="inlineStr">
        <is>
          <t>NULL</t>
        </is>
      </c>
      <c r="F245" s="0" t="inlineStr">
        <is>
          <t>NULL</t>
        </is>
      </c>
      <c r="G245" s="0" t="inlineStr">
        <is>
          <t>NULL</t>
        </is>
      </c>
      <c r="H245" s="0" t="inlineStr">
        <is>
          <t>NULL</t>
        </is>
      </c>
      <c r="I245" s="0" t="inlineStr">
        <is>
          <t>YES!PK__info_int__3213E83FB01EAE8E</t>
        </is>
      </c>
      <c r="J245" s="0" t="inlineStr">
        <is>
          <t>YES! 主键相关索引</t>
        </is>
      </c>
      <c r="K245" s="0" t="inlineStr">
        <is>
          <t>YES! 	 id列源备映射正确，源端为int None位	期望更改为int	实际备端为int None位</t>
        </is>
      </c>
    </row>
    <row r="246">
      <c r="B246" s="0" t="inlineStr">
        <is>
          <t>NULL</t>
        </is>
      </c>
      <c r="C246" s="0" t="inlineStr">
        <is>
          <t>NULL</t>
        </is>
      </c>
      <c r="D246" s="0" t="inlineStr">
        <is>
          <t>NULL</t>
        </is>
      </c>
      <c r="E246" s="0" t="inlineStr">
        <is>
          <t>NULL</t>
        </is>
      </c>
      <c r="F246" s="0" t="inlineStr">
        <is>
          <t>NULL</t>
        </is>
      </c>
      <c r="G246" s="0" t="inlineStr">
        <is>
          <t>NULL</t>
        </is>
      </c>
      <c r="H246" s="0" t="inlineStr">
        <is>
          <t>NULL</t>
        </is>
      </c>
      <c r="I246" s="0" t="inlineStr">
        <is>
          <t>NULL</t>
        </is>
      </c>
      <c r="J246" s="0" t="inlineStr">
        <is>
          <t>NULL</t>
        </is>
      </c>
      <c r="K246" s="0" t="inlineStr">
        <is>
          <t>YES! 	 c_tinyint列源备映射正确，源端为tinyint None位	期望更改为tinyint	实际备端为tinyint None位</t>
        </is>
      </c>
    </row>
    <row r="247">
      <c r="B247" s="0" t="inlineStr">
        <is>
          <t>NULL</t>
        </is>
      </c>
      <c r="C247" s="0" t="inlineStr">
        <is>
          <t>NULL</t>
        </is>
      </c>
      <c r="D247" s="0" t="inlineStr">
        <is>
          <t>NULL</t>
        </is>
      </c>
      <c r="E247" s="0" t="inlineStr">
        <is>
          <t>NULL</t>
        </is>
      </c>
      <c r="F247" s="0" t="inlineStr">
        <is>
          <t>NULL</t>
        </is>
      </c>
      <c r="G247" s="0" t="inlineStr">
        <is>
          <t>NULL</t>
        </is>
      </c>
      <c r="H247" s="0" t="inlineStr">
        <is>
          <t>NULL</t>
        </is>
      </c>
      <c r="I247" s="0" t="inlineStr">
        <is>
          <t>NULL</t>
        </is>
      </c>
      <c r="J247" s="0" t="inlineStr">
        <is>
          <t>NULL</t>
        </is>
      </c>
      <c r="K247" s="0" t="inlineStr">
        <is>
          <t>YES! 	 c_smallint列源备映射正确，源端为smallint None位	期望更改为smallint	实际备端为smallint None位</t>
        </is>
      </c>
    </row>
    <row r="248">
      <c r="B248" s="0" t="inlineStr">
        <is>
          <t>NULL</t>
        </is>
      </c>
      <c r="C248" s="0" t="inlineStr">
        <is>
          <t>NULL</t>
        </is>
      </c>
      <c r="D248" s="0" t="inlineStr">
        <is>
          <t>NULL</t>
        </is>
      </c>
      <c r="E248" s="0" t="inlineStr">
        <is>
          <t>NULL</t>
        </is>
      </c>
      <c r="F248" s="0" t="inlineStr">
        <is>
          <t>NULL</t>
        </is>
      </c>
      <c r="G248" s="0" t="inlineStr">
        <is>
          <t>NULL</t>
        </is>
      </c>
      <c r="H248" s="0" t="inlineStr">
        <is>
          <t>NULL</t>
        </is>
      </c>
      <c r="I248" s="0" t="inlineStr">
        <is>
          <t>NULL</t>
        </is>
      </c>
      <c r="J248" s="0" t="inlineStr">
        <is>
          <t>NULL</t>
        </is>
      </c>
      <c r="K248" s="0" t="inlineStr">
        <is>
          <t>YES! 	 c_int列源备映射正确，源端为int None位	期望更改为int	实际备端为int None位</t>
        </is>
      </c>
    </row>
    <row r="249">
      <c r="B249" s="0" t="inlineStr">
        <is>
          <t>NULL</t>
        </is>
      </c>
      <c r="C249" s="0" t="inlineStr">
        <is>
          <t>NULL</t>
        </is>
      </c>
      <c r="D249" s="0" t="inlineStr">
        <is>
          <t>NULL</t>
        </is>
      </c>
      <c r="E249" s="0" t="inlineStr">
        <is>
          <t>NULL</t>
        </is>
      </c>
      <c r="F249" s="0" t="inlineStr">
        <is>
          <t>NULL</t>
        </is>
      </c>
      <c r="G249" s="0" t="inlineStr">
        <is>
          <t>NULL</t>
        </is>
      </c>
      <c r="H249" s="0" t="inlineStr">
        <is>
          <t>NULL</t>
        </is>
      </c>
      <c r="I249" s="0" t="inlineStr">
        <is>
          <t>NULL</t>
        </is>
      </c>
      <c r="J249" s="0" t="inlineStr">
        <is>
          <t>NULL</t>
        </is>
      </c>
      <c r="K249" s="0" t="inlineStr">
        <is>
          <t>YES! 	 c_bigint列源备映射正确，源端为bigint None位	期望更改为bigint	实际备端为bigint None位</t>
        </is>
      </c>
    </row>
    <row r="250">
      <c r="B250" s="0" t="inlineStr">
        <is>
          <t>NULL</t>
        </is>
      </c>
      <c r="C250" s="0" t="inlineStr">
        <is>
          <t>NULL</t>
        </is>
      </c>
      <c r="D250" s="0" t="inlineStr">
        <is>
          <t>NULL</t>
        </is>
      </c>
      <c r="E250" s="0" t="inlineStr">
        <is>
          <t>NULL</t>
        </is>
      </c>
      <c r="F250" s="0" t="inlineStr">
        <is>
          <t>NULL</t>
        </is>
      </c>
      <c r="G250" s="0" t="inlineStr">
        <is>
          <t>NULL</t>
        </is>
      </c>
      <c r="H250" s="0" t="inlineStr">
        <is>
          <t>NULL</t>
        </is>
      </c>
      <c r="I250" s="0" t="inlineStr">
        <is>
          <t>NULL</t>
        </is>
      </c>
      <c r="J250" s="0" t="inlineStr">
        <is>
          <t>NULL</t>
        </is>
      </c>
      <c r="K250" s="0" t="inlineStr">
        <is>
          <t>YES! 	 c_decimal列源备映射正确，源端为decimal None位	期望更改为decimal(p,s)	实际备端为decimal None位</t>
        </is>
      </c>
    </row>
    <row r="251">
      <c r="B251" s="0" t="inlineStr">
        <is>
          <t>NULL</t>
        </is>
      </c>
      <c r="C251" s="0" t="inlineStr">
        <is>
          <t>NULL</t>
        </is>
      </c>
      <c r="D251" s="0" t="inlineStr">
        <is>
          <t>NULL</t>
        </is>
      </c>
      <c r="E251" s="0" t="inlineStr">
        <is>
          <t>NULL</t>
        </is>
      </c>
      <c r="F251" s="0" t="inlineStr">
        <is>
          <t>NULL</t>
        </is>
      </c>
      <c r="G251" s="0" t="inlineStr">
        <is>
          <t>NULL</t>
        </is>
      </c>
      <c r="H251" s="0" t="inlineStr">
        <is>
          <t>NULL</t>
        </is>
      </c>
      <c r="I251" s="0" t="inlineStr">
        <is>
          <t>NULL</t>
        </is>
      </c>
      <c r="J251" s="0" t="inlineStr">
        <is>
          <t>NULL</t>
        </is>
      </c>
      <c r="K251" s="0" t="inlineStr">
        <is>
          <t>YES! 	 c_decimal38列源备映射正确，源端为decimal None位	期望更改为decimal(p,s)	实际备端为decimal None位</t>
        </is>
      </c>
    </row>
    <row r="252">
      <c r="B252" s="0" t="inlineStr">
        <is>
          <t>NULL</t>
        </is>
      </c>
      <c r="C252" s="0" t="inlineStr">
        <is>
          <t>NULL</t>
        </is>
      </c>
      <c r="D252" s="0" t="inlineStr">
        <is>
          <t>NULL</t>
        </is>
      </c>
      <c r="E252" s="0" t="inlineStr">
        <is>
          <t>NULL</t>
        </is>
      </c>
      <c r="F252" s="0" t="inlineStr">
        <is>
          <t>NULL</t>
        </is>
      </c>
      <c r="G252" s="0" t="inlineStr">
        <is>
          <t>NULL</t>
        </is>
      </c>
      <c r="H252" s="0" t="inlineStr">
        <is>
          <t>NULL</t>
        </is>
      </c>
      <c r="I252" s="0" t="inlineStr">
        <is>
          <t>NULL</t>
        </is>
      </c>
      <c r="J252" s="0" t="inlineStr">
        <is>
          <t>NULL</t>
        </is>
      </c>
      <c r="K252" s="0" t="inlineStr">
        <is>
          <t>YES! 	 c_decimal38_38列源备映射正确，源端为decimal None位	期望更改为decimal(p,s)	实际备端为decimal None位</t>
        </is>
      </c>
    </row>
    <row r="253">
      <c r="B253" s="0" t="inlineStr">
        <is>
          <t>NULL</t>
        </is>
      </c>
      <c r="C253" s="0" t="inlineStr">
        <is>
          <t>NULL</t>
        </is>
      </c>
      <c r="D253" s="0" t="inlineStr">
        <is>
          <t>NULL</t>
        </is>
      </c>
      <c r="E253" s="0" t="inlineStr">
        <is>
          <t>NULL</t>
        </is>
      </c>
      <c r="F253" s="0" t="inlineStr">
        <is>
          <t>NULL</t>
        </is>
      </c>
      <c r="G253" s="0" t="inlineStr">
        <is>
          <t>NULL</t>
        </is>
      </c>
      <c r="H253" s="0" t="inlineStr">
        <is>
          <t>NULL</t>
        </is>
      </c>
      <c r="I253" s="0" t="inlineStr">
        <is>
          <t>NULL</t>
        </is>
      </c>
      <c r="J253" s="0" t="inlineStr">
        <is>
          <t>NULL</t>
        </is>
      </c>
      <c r="K253" s="0" t="inlineStr">
        <is>
          <t>YES! 	 c_decimal38_10列源备映射正确，源端为decimal None位	期望更改为decimal(p,s)	实际备端为decimal None位</t>
        </is>
      </c>
    </row>
    <row r="254">
      <c r="B254" s="0" t="inlineStr">
        <is>
          <t>NULL</t>
        </is>
      </c>
      <c r="C254" s="0" t="inlineStr">
        <is>
          <t>NULL</t>
        </is>
      </c>
      <c r="D254" s="0" t="inlineStr">
        <is>
          <t>NULL</t>
        </is>
      </c>
      <c r="E254" s="0" t="inlineStr">
        <is>
          <t>NULL</t>
        </is>
      </c>
      <c r="F254" s="0" t="inlineStr">
        <is>
          <t>NULL</t>
        </is>
      </c>
      <c r="G254" s="0" t="inlineStr">
        <is>
          <t>NULL</t>
        </is>
      </c>
      <c r="H254" s="0" t="inlineStr">
        <is>
          <t>NULL</t>
        </is>
      </c>
      <c r="I254" s="0" t="inlineStr">
        <is>
          <t>NULL</t>
        </is>
      </c>
      <c r="J254" s="0" t="inlineStr">
        <is>
          <t>NULL</t>
        </is>
      </c>
      <c r="K254" s="0" t="inlineStr">
        <is>
          <t>YES! 	 c_decimal19_4列源备映射正确，源端为decimal None位	期望更改为decimal(p,s)	实际备端为decimal None位</t>
        </is>
      </c>
    </row>
    <row r="255">
      <c r="B255" s="0" t="inlineStr">
        <is>
          <t>NULL</t>
        </is>
      </c>
      <c r="C255" s="0" t="inlineStr">
        <is>
          <t>NULL</t>
        </is>
      </c>
      <c r="D255" s="0" t="inlineStr">
        <is>
          <t>NULL</t>
        </is>
      </c>
      <c r="E255" s="0" t="inlineStr">
        <is>
          <t>NULL</t>
        </is>
      </c>
      <c r="F255" s="0" t="inlineStr">
        <is>
          <t>NULL</t>
        </is>
      </c>
      <c r="G255" s="0" t="inlineStr">
        <is>
          <t>NULL</t>
        </is>
      </c>
      <c r="H255" s="0" t="inlineStr">
        <is>
          <t>NULL</t>
        </is>
      </c>
      <c r="I255" s="0" t="inlineStr">
        <is>
          <t>NULL</t>
        </is>
      </c>
      <c r="J255" s="0" t="inlineStr">
        <is>
          <t>NULL</t>
        </is>
      </c>
      <c r="K255" s="0" t="inlineStr">
        <is>
          <t>YES! 	 c_numeric列源备映射正确，源端为numeric None位	期望更改为numeric(p,s)	实际备端为numeric None位</t>
        </is>
      </c>
    </row>
    <row r="256">
      <c r="B256" s="0" t="inlineStr">
        <is>
          <t>NULL</t>
        </is>
      </c>
      <c r="C256" s="0" t="inlineStr">
        <is>
          <t>NULL</t>
        </is>
      </c>
      <c r="D256" s="0" t="inlineStr">
        <is>
          <t>NULL</t>
        </is>
      </c>
      <c r="E256" s="0" t="inlineStr">
        <is>
          <t>NULL</t>
        </is>
      </c>
      <c r="F256" s="0" t="inlineStr">
        <is>
          <t>NULL</t>
        </is>
      </c>
      <c r="G256" s="0" t="inlineStr">
        <is>
          <t>NULL</t>
        </is>
      </c>
      <c r="H256" s="0" t="inlineStr">
        <is>
          <t>NULL</t>
        </is>
      </c>
      <c r="I256" s="0" t="inlineStr">
        <is>
          <t>NULL</t>
        </is>
      </c>
      <c r="J256" s="0" t="inlineStr">
        <is>
          <t>NULL</t>
        </is>
      </c>
      <c r="K256" s="0" t="inlineStr">
        <is>
          <t>YES! 	 c_numeric38列源备映射正确，源端为numeric None位	期望更改为numeric(p,s)	实际备端为numeric None位</t>
        </is>
      </c>
    </row>
    <row r="257">
      <c r="B257" s="0" t="inlineStr">
        <is>
          <t>NULL</t>
        </is>
      </c>
      <c r="C257" s="0" t="inlineStr">
        <is>
          <t>NULL</t>
        </is>
      </c>
      <c r="D257" s="0" t="inlineStr">
        <is>
          <t>NULL</t>
        </is>
      </c>
      <c r="E257" s="0" t="inlineStr">
        <is>
          <t>NULL</t>
        </is>
      </c>
      <c r="F257" s="0" t="inlineStr">
        <is>
          <t>NULL</t>
        </is>
      </c>
      <c r="G257" s="0" t="inlineStr">
        <is>
          <t>NULL</t>
        </is>
      </c>
      <c r="H257" s="0" t="inlineStr">
        <is>
          <t>NULL</t>
        </is>
      </c>
      <c r="I257" s="0" t="inlineStr">
        <is>
          <t>NULL</t>
        </is>
      </c>
      <c r="J257" s="0" t="inlineStr">
        <is>
          <t>NULL</t>
        </is>
      </c>
      <c r="K257" s="0" t="inlineStr">
        <is>
          <t>YES! 	 c_numeric38_38列源备映射正确，源端为numeric None位	期望更改为numeric(p,s)	实际备端为numeric None位</t>
        </is>
      </c>
    </row>
    <row r="258">
      <c r="B258" s="0" t="inlineStr">
        <is>
          <t>NULL</t>
        </is>
      </c>
      <c r="C258" s="0" t="inlineStr">
        <is>
          <t>NULL</t>
        </is>
      </c>
      <c r="D258" s="0" t="inlineStr">
        <is>
          <t>NULL</t>
        </is>
      </c>
      <c r="E258" s="0" t="inlineStr">
        <is>
          <t>NULL</t>
        </is>
      </c>
      <c r="F258" s="0" t="inlineStr">
        <is>
          <t>NULL</t>
        </is>
      </c>
      <c r="G258" s="0" t="inlineStr">
        <is>
          <t>NULL</t>
        </is>
      </c>
      <c r="H258" s="0" t="inlineStr">
        <is>
          <t>NULL</t>
        </is>
      </c>
      <c r="I258" s="0" t="inlineStr">
        <is>
          <t>NULL</t>
        </is>
      </c>
      <c r="J258" s="0" t="inlineStr">
        <is>
          <t>NULL</t>
        </is>
      </c>
      <c r="K258" s="0" t="inlineStr">
        <is>
          <t>YES! 	 c_numeric38_10列源备映射正确，源端为numeric None位	期望更改为numeric(p,s)	实际备端为numeric None位</t>
        </is>
      </c>
    </row>
    <row r="259">
      <c r="B259" s="0" t="inlineStr">
        <is>
          <t>NULL</t>
        </is>
      </c>
      <c r="C259" s="0" t="inlineStr">
        <is>
          <t>NULL</t>
        </is>
      </c>
      <c r="D259" s="0" t="inlineStr">
        <is>
          <t>NULL</t>
        </is>
      </c>
      <c r="E259" s="0" t="inlineStr">
        <is>
          <t>NULL</t>
        </is>
      </c>
      <c r="F259" s="0" t="inlineStr">
        <is>
          <t>NULL</t>
        </is>
      </c>
      <c r="G259" s="0" t="inlineStr">
        <is>
          <t>NULL</t>
        </is>
      </c>
      <c r="H259" s="0" t="inlineStr">
        <is>
          <t>NULL</t>
        </is>
      </c>
      <c r="I259" s="0" t="inlineStr">
        <is>
          <t>NULL</t>
        </is>
      </c>
      <c r="J259" s="0" t="inlineStr">
        <is>
          <t>NULL</t>
        </is>
      </c>
      <c r="K259" s="0" t="inlineStr">
        <is>
          <t>YES! 	 c_numeric18_2列源备映射正确，源端为numeric None位	期望更改为numeric(p,s)	实际备端为numeric None位</t>
        </is>
      </c>
    </row>
    <row r="260">
      <c r="B260" s="0" t="inlineStr">
        <is>
          <t>NULL</t>
        </is>
      </c>
      <c r="C260" s="0" t="inlineStr">
        <is>
          <t>NULL</t>
        </is>
      </c>
      <c r="D260" s="0" t="inlineStr">
        <is>
          <t>NULL</t>
        </is>
      </c>
      <c r="E260" s="0" t="inlineStr">
        <is>
          <t>NULL</t>
        </is>
      </c>
      <c r="F260" s="0" t="inlineStr">
        <is>
          <t>NULL</t>
        </is>
      </c>
      <c r="G260" s="0" t="inlineStr">
        <is>
          <t>NULL</t>
        </is>
      </c>
      <c r="H260" s="0" t="inlineStr">
        <is>
          <t>NULL</t>
        </is>
      </c>
      <c r="I260" s="0" t="inlineStr">
        <is>
          <t>NULL</t>
        </is>
      </c>
      <c r="J260" s="0" t="inlineStr">
        <is>
          <t>NULL</t>
        </is>
      </c>
      <c r="K260" s="0" t="inlineStr">
        <is>
          <t>YES! 	 c_float列源备映射正确，源端为float None位	期望更改为float	实际备端为float None位</t>
        </is>
      </c>
    </row>
    <row r="261">
      <c r="B261" s="0" t="inlineStr">
        <is>
          <t>NULL</t>
        </is>
      </c>
      <c r="C261" s="0" t="inlineStr">
        <is>
          <t>NULL</t>
        </is>
      </c>
      <c r="D261" s="0" t="inlineStr">
        <is>
          <t>NULL</t>
        </is>
      </c>
      <c r="E261" s="0" t="inlineStr">
        <is>
          <t>NULL</t>
        </is>
      </c>
      <c r="F261" s="0" t="inlineStr">
        <is>
          <t>NULL</t>
        </is>
      </c>
      <c r="G261" s="0" t="inlineStr">
        <is>
          <t>NULL</t>
        </is>
      </c>
      <c r="H261" s="0" t="inlineStr">
        <is>
          <t>NULL</t>
        </is>
      </c>
      <c r="I261" s="0" t="inlineStr">
        <is>
          <t>NULL</t>
        </is>
      </c>
      <c r="J261" s="0" t="inlineStr">
        <is>
          <t>NULL</t>
        </is>
      </c>
      <c r="K261" s="0" t="inlineStr">
        <is>
          <t>YES! 	 c_real列源备映射正确，源端为real None位	期望更改为real	实际备端为real None位</t>
        </is>
      </c>
    </row>
    <row r="262">
      <c r="B262" s="0" t="inlineStr">
        <is>
          <t>NULL</t>
        </is>
      </c>
      <c r="C262" s="0" t="inlineStr">
        <is>
          <t>NULL</t>
        </is>
      </c>
      <c r="D262" s="0" t="inlineStr">
        <is>
          <t>NULL</t>
        </is>
      </c>
      <c r="E262" s="0" t="inlineStr">
        <is>
          <t>NULL</t>
        </is>
      </c>
      <c r="F262" s="0" t="inlineStr">
        <is>
          <t>NULL</t>
        </is>
      </c>
      <c r="G262" s="0" t="inlineStr">
        <is>
          <t>NULL</t>
        </is>
      </c>
      <c r="H262" s="0" t="inlineStr">
        <is>
          <t>NULL</t>
        </is>
      </c>
      <c r="I262" s="0" t="inlineStr">
        <is>
          <t>NULL</t>
        </is>
      </c>
      <c r="J262" s="0" t="inlineStr">
        <is>
          <t>NULL</t>
        </is>
      </c>
      <c r="K262" s="0" t="inlineStr">
        <is>
          <t>YES! 	 c_money列源备映射正确，源端为money None位	期望更改为money	实际备端为money None位</t>
        </is>
      </c>
    </row>
    <row r="263">
      <c r="B263" s="0" t="inlineStr">
        <is>
          <t>NULL</t>
        </is>
      </c>
      <c r="C263" s="0" t="inlineStr">
        <is>
          <t>NULL</t>
        </is>
      </c>
      <c r="D263" s="0" t="inlineStr">
        <is>
          <t>NULL</t>
        </is>
      </c>
      <c r="E263" s="0" t="inlineStr">
        <is>
          <t>NULL</t>
        </is>
      </c>
      <c r="F263" s="0" t="inlineStr">
        <is>
          <t>NULL</t>
        </is>
      </c>
      <c r="G263" s="0" t="inlineStr">
        <is>
          <t>NULL</t>
        </is>
      </c>
      <c r="H263" s="0" t="inlineStr">
        <is>
          <t>NULL</t>
        </is>
      </c>
      <c r="I263" s="0" t="inlineStr">
        <is>
          <t>NULL</t>
        </is>
      </c>
      <c r="J263" s="0" t="inlineStr">
        <is>
          <t>NULL</t>
        </is>
      </c>
      <c r="K263" s="0" t="inlineStr">
        <is>
          <t>YES! 	 c_smallmoney列源备映射正确，源端为smallmoney None位	期望更改为smallmoney	实际备端为smallmoney None位</t>
        </is>
      </c>
    </row>
    <row r="264">
      <c r="B264" s="0" t="inlineStr">
        <is>
          <t>NULL</t>
        </is>
      </c>
      <c r="C264" s="0" t="inlineStr">
        <is>
          <t>NULL</t>
        </is>
      </c>
      <c r="D264" s="0" t="inlineStr">
        <is>
          <t>NULL</t>
        </is>
      </c>
      <c r="E264" s="0" t="inlineStr">
        <is>
          <t>NULL</t>
        </is>
      </c>
      <c r="F264" s="0" t="inlineStr">
        <is>
          <t>NULL</t>
        </is>
      </c>
      <c r="G264" s="0" t="inlineStr">
        <is>
          <t>NULL</t>
        </is>
      </c>
      <c r="H264" s="0" t="inlineStr">
        <is>
          <t>NULL</t>
        </is>
      </c>
      <c r="I264" s="0" t="inlineStr">
        <is>
          <t>NULL</t>
        </is>
      </c>
      <c r="J264" s="0" t="inlineStr">
        <is>
          <t>NULL</t>
        </is>
      </c>
      <c r="K264" s="0" t="inlineStr">
        <is>
          <t>YES! 	 c_bit列源备映射正确，源端为bit None位	期望更改为bit	实际备端为bit None位</t>
        </is>
      </c>
    </row>
    <row r="265">
      <c r="A265" s="0" t="inlineStr">
        <is>
          <t>info_sdt_dml_batch2_pk_irp1</t>
        </is>
      </c>
      <c r="K265" s="0" t="inlineStr">
        <is>
          <t>[0;34m info_sdt_dml_batch2_pk_irp1 [0m源备字段数相同，源端字段：2 	备端字段2</t>
        </is>
      </c>
      <c r="W265" s="0" t="inlineStr">
        <is>
          <t>YES 源备无差异</t>
        </is>
      </c>
      <c r="X265" s="0">
        <f>A265</f>
        <v/>
      </c>
    </row>
    <row r="266">
      <c r="B266" s="0" t="inlineStr">
        <is>
          <t>YES</t>
        </is>
      </c>
      <c r="C266" s="0" t="inlineStr">
        <is>
          <t>NULL</t>
        </is>
      </c>
      <c r="D266" s="0" t="inlineStr">
        <is>
          <t>NULL</t>
        </is>
      </c>
      <c r="E266" s="0" t="inlineStr">
        <is>
          <t>NULL</t>
        </is>
      </c>
      <c r="F266" s="0" t="inlineStr">
        <is>
          <t>NULL</t>
        </is>
      </c>
      <c r="G266" s="0" t="inlineStr">
        <is>
          <t>NULL</t>
        </is>
      </c>
      <c r="H266" s="0" t="inlineStr">
        <is>
          <t>NULL</t>
        </is>
      </c>
      <c r="I266" s="0" t="inlineStr">
        <is>
          <t>YES!PK__info_sdt__3213E83F3D82C417</t>
        </is>
      </c>
      <c r="J266" s="0" t="inlineStr">
        <is>
          <t>YES! 主键相关索引</t>
        </is>
      </c>
      <c r="K266" s="0" t="inlineStr">
        <is>
          <t>YES! 	 id列源备映射正确，源端为int None位	期望更改为int	实际备端为int None位</t>
        </is>
      </c>
    </row>
    <row r="267">
      <c r="B267" s="0" t="inlineStr">
        <is>
          <t>NULL</t>
        </is>
      </c>
      <c r="C267" s="0" t="inlineStr">
        <is>
          <t>NULL</t>
        </is>
      </c>
      <c r="D267" s="0" t="inlineStr">
        <is>
          <t>NULL</t>
        </is>
      </c>
      <c r="E267" s="0" t="inlineStr">
        <is>
          <t>NULL</t>
        </is>
      </c>
      <c r="F267" s="0" t="inlineStr">
        <is>
          <t>NULL</t>
        </is>
      </c>
      <c r="G267" s="0" t="inlineStr">
        <is>
          <t>NULL</t>
        </is>
      </c>
      <c r="H267" s="0" t="inlineStr">
        <is>
          <t>NULL</t>
        </is>
      </c>
      <c r="I267" s="0" t="inlineStr">
        <is>
          <t>NULL</t>
        </is>
      </c>
      <c r="J267" s="0" t="inlineStr">
        <is>
          <t>NULL</t>
        </is>
      </c>
      <c r="K267" s="0" t="inlineStr">
        <is>
          <t>YES! 	 c_sdt列源备映射正确，源端为smalldatetime None位	期望更改为smalldatetime	实际备端为smalldatetime None位</t>
        </is>
      </c>
    </row>
    <row r="268">
      <c r="A268" s="0" t="inlineStr">
        <is>
          <t>info_varchar_dml_single_pk_urp</t>
        </is>
      </c>
      <c r="K268" s="0" t="inlineStr">
        <is>
          <t>[0;34m info_varchar_dml_single_pk_urp [0m源备字段数相同，源端字段：4 	备端字段4</t>
        </is>
      </c>
      <c r="W268" s="0" t="inlineStr">
        <is>
          <t>YES 源备无差异</t>
        </is>
      </c>
      <c r="X268" s="0">
        <f>A268</f>
        <v/>
      </c>
    </row>
    <row r="269">
      <c r="B269" s="0" t="inlineStr">
        <is>
          <t>YES</t>
        </is>
      </c>
      <c r="C269" s="0" t="inlineStr">
        <is>
          <t>NULL</t>
        </is>
      </c>
      <c r="D269" s="0" t="inlineStr">
        <is>
          <t>NULL</t>
        </is>
      </c>
      <c r="E269" s="0" t="inlineStr">
        <is>
          <t>NULL</t>
        </is>
      </c>
      <c r="F269" s="0" t="inlineStr">
        <is>
          <t>NULL</t>
        </is>
      </c>
      <c r="G269" s="0" t="inlineStr">
        <is>
          <t>NULL</t>
        </is>
      </c>
      <c r="H269" s="0" t="inlineStr">
        <is>
          <t>NULL</t>
        </is>
      </c>
      <c r="I269" s="0" t="inlineStr">
        <is>
          <t>YES!PK__info_var__3213E83F339AEA58</t>
        </is>
      </c>
      <c r="J269" s="0" t="inlineStr">
        <is>
          <t>YES! 主键相关索引</t>
        </is>
      </c>
      <c r="K269" s="0" t="inlineStr">
        <is>
          <t>YES! 	 id列源备映射正确，源端为int None位	期望更改为int	实际备端为int None位</t>
        </is>
      </c>
    </row>
    <row r="270">
      <c r="B270" s="0" t="inlineStr">
        <is>
          <t>NULL</t>
        </is>
      </c>
      <c r="C270" s="0" t="inlineStr">
        <is>
          <t>NULL</t>
        </is>
      </c>
      <c r="D270" s="0" t="inlineStr">
        <is>
          <t>NULL</t>
        </is>
      </c>
      <c r="E270" s="0" t="inlineStr">
        <is>
          <t>NULL</t>
        </is>
      </c>
      <c r="F270" s="0" t="inlineStr">
        <is>
          <t>NULL</t>
        </is>
      </c>
      <c r="G270" s="0" t="inlineStr">
        <is>
          <t>NULL</t>
        </is>
      </c>
      <c r="H270" s="0" t="inlineStr">
        <is>
          <t>NULL</t>
        </is>
      </c>
      <c r="I270" s="0" t="inlineStr">
        <is>
          <t>NULL</t>
        </is>
      </c>
      <c r="J270" s="0" t="inlineStr">
        <is>
          <t>NULL</t>
        </is>
      </c>
      <c r="K270" s="0" t="inlineStr">
        <is>
          <t>YES! 	 c_varchar列源备映射正确，源端为varchar 1位	期望更改为varchar(n)	实际备端为varchar 1位</t>
        </is>
      </c>
    </row>
    <row r="271">
      <c r="B271" s="0" t="inlineStr">
        <is>
          <t>NULL</t>
        </is>
      </c>
      <c r="C271" s="0" t="inlineStr">
        <is>
          <t>NULL</t>
        </is>
      </c>
      <c r="D271" s="0" t="inlineStr">
        <is>
          <t>NULL</t>
        </is>
      </c>
      <c r="E271" s="0" t="inlineStr">
        <is>
          <t>NULL</t>
        </is>
      </c>
      <c r="F271" s="0" t="inlineStr">
        <is>
          <t>NULL</t>
        </is>
      </c>
      <c r="G271" s="0" t="inlineStr">
        <is>
          <t>NULL</t>
        </is>
      </c>
      <c r="H271" s="0" t="inlineStr">
        <is>
          <t>NULL</t>
        </is>
      </c>
      <c r="I271" s="0" t="inlineStr">
        <is>
          <t>NULL</t>
        </is>
      </c>
      <c r="J271" s="0" t="inlineStr">
        <is>
          <t>NULL</t>
        </is>
      </c>
      <c r="K271" s="0" t="inlineStr">
        <is>
          <t>YES! 	 c_varchar50列源备映射正确，源端为varchar 50位	期望更改为varchar(n)	实际备端为varchar 50位</t>
        </is>
      </c>
    </row>
    <row r="272">
      <c r="B272" s="0" t="inlineStr">
        <is>
          <t>NULL</t>
        </is>
      </c>
      <c r="C272" s="0" t="inlineStr">
        <is>
          <t>NULL</t>
        </is>
      </c>
      <c r="D272" s="0" t="inlineStr">
        <is>
          <t>NULL</t>
        </is>
      </c>
      <c r="E272" s="0" t="inlineStr">
        <is>
          <t>NULL</t>
        </is>
      </c>
      <c r="F272" s="0" t="inlineStr">
        <is>
          <t>NULL</t>
        </is>
      </c>
      <c r="G272" s="0" t="inlineStr">
        <is>
          <t>NULL</t>
        </is>
      </c>
      <c r="H272" s="0" t="inlineStr">
        <is>
          <t>NULL</t>
        </is>
      </c>
      <c r="I272" s="0" t="inlineStr">
        <is>
          <t>NULL</t>
        </is>
      </c>
      <c r="J272" s="0" t="inlineStr">
        <is>
          <t>NULL</t>
        </is>
      </c>
      <c r="K272" s="0" t="inlineStr">
        <is>
          <t>YES! 	 c_varchar8000列源备映射正确，源端为varchar 8000位	期望更改为varchar(n)	实际备端为varchar 8000位</t>
        </is>
      </c>
    </row>
    <row r="273">
      <c r="A273" s="0" t="inlineStr">
        <is>
          <t>info_char_dml_batch1_pk_drp2</t>
        </is>
      </c>
      <c r="K273" s="0" t="inlineStr">
        <is>
          <t>[0;34m info_char_dml_batch1_pk_drp2 [0m源备字段数相同，源端字段：4 	备端字段4</t>
        </is>
      </c>
      <c r="W273" s="0" t="inlineStr">
        <is>
          <t>YES 源备无差异</t>
        </is>
      </c>
      <c r="X273" s="0">
        <f>A273</f>
        <v/>
      </c>
    </row>
    <row r="274">
      <c r="B274" s="0" t="inlineStr">
        <is>
          <t>YES</t>
        </is>
      </c>
      <c r="C274" s="0" t="inlineStr">
        <is>
          <t>NULL</t>
        </is>
      </c>
      <c r="D274" s="0" t="inlineStr">
        <is>
          <t>NULL</t>
        </is>
      </c>
      <c r="E274" s="0" t="inlineStr">
        <is>
          <t>NULL</t>
        </is>
      </c>
      <c r="F274" s="0" t="inlineStr">
        <is>
          <t>NULL</t>
        </is>
      </c>
      <c r="G274" s="0" t="inlineStr">
        <is>
          <t>NULL</t>
        </is>
      </c>
      <c r="H274" s="0" t="inlineStr">
        <is>
          <t>NULL</t>
        </is>
      </c>
      <c r="I274" s="0" t="inlineStr">
        <is>
          <t>YES!PK__info_cha__3213E83FE351DA10</t>
        </is>
      </c>
      <c r="J274" s="0" t="inlineStr">
        <is>
          <t>YES! 主键相关索引</t>
        </is>
      </c>
      <c r="K274" s="0" t="inlineStr">
        <is>
          <t>YES! 	 id列源备映射正确，源端为int None位	期望更改为int	实际备端为int None位</t>
        </is>
      </c>
    </row>
    <row r="275">
      <c r="B275" s="0" t="inlineStr">
        <is>
          <t>NULL</t>
        </is>
      </c>
      <c r="C275" s="0" t="inlineStr">
        <is>
          <t>NULL</t>
        </is>
      </c>
      <c r="D275" s="0" t="inlineStr">
        <is>
          <t>NULL</t>
        </is>
      </c>
      <c r="E275" s="0" t="inlineStr">
        <is>
          <t>NULL</t>
        </is>
      </c>
      <c r="F275" s="0" t="inlineStr">
        <is>
          <t>NULL</t>
        </is>
      </c>
      <c r="G275" s="0" t="inlineStr">
        <is>
          <t>NULL</t>
        </is>
      </c>
      <c r="H275" s="0" t="inlineStr">
        <is>
          <t>NULL</t>
        </is>
      </c>
      <c r="I275" s="0" t="inlineStr">
        <is>
          <t>NULL</t>
        </is>
      </c>
      <c r="J275" s="0" t="inlineStr">
        <is>
          <t>NULL</t>
        </is>
      </c>
      <c r="K275" s="0" t="inlineStr">
        <is>
          <t>YES! 	 c_char列源备映射正确，源端为char 1位	期望更改为char(n)	实际备端为char 1位</t>
        </is>
      </c>
    </row>
    <row r="276">
      <c r="B276" s="0" t="inlineStr">
        <is>
          <t>NULL</t>
        </is>
      </c>
      <c r="C276" s="0" t="inlineStr">
        <is>
          <t>NULL</t>
        </is>
      </c>
      <c r="D276" s="0" t="inlineStr">
        <is>
          <t>NULL</t>
        </is>
      </c>
      <c r="E276" s="0" t="inlineStr">
        <is>
          <t>NULL</t>
        </is>
      </c>
      <c r="F276" s="0" t="inlineStr">
        <is>
          <t>NULL</t>
        </is>
      </c>
      <c r="G276" s="0" t="inlineStr">
        <is>
          <t>NULL</t>
        </is>
      </c>
      <c r="H276" s="0" t="inlineStr">
        <is>
          <t>NULL</t>
        </is>
      </c>
      <c r="I276" s="0" t="inlineStr">
        <is>
          <t>NULL</t>
        </is>
      </c>
      <c r="J276" s="0" t="inlineStr">
        <is>
          <t>NULL</t>
        </is>
      </c>
      <c r="K276" s="0" t="inlineStr">
        <is>
          <t>YES! 	 c_char20列源备映射正确，源端为char 20位	期望更改为char(n)	实际备端为char 20位</t>
        </is>
      </c>
    </row>
    <row r="277">
      <c r="B277" s="0" t="inlineStr">
        <is>
          <t>NULL</t>
        </is>
      </c>
      <c r="C277" s="0" t="inlineStr">
        <is>
          <t>NULL</t>
        </is>
      </c>
      <c r="D277" s="0" t="inlineStr">
        <is>
          <t>NULL</t>
        </is>
      </c>
      <c r="E277" s="0" t="inlineStr">
        <is>
          <t>NULL</t>
        </is>
      </c>
      <c r="F277" s="0" t="inlineStr">
        <is>
          <t>NULL</t>
        </is>
      </c>
      <c r="G277" s="0" t="inlineStr">
        <is>
          <t>NULL</t>
        </is>
      </c>
      <c r="H277" s="0" t="inlineStr">
        <is>
          <t>NULL</t>
        </is>
      </c>
      <c r="I277" s="0" t="inlineStr">
        <is>
          <t>NULL</t>
        </is>
      </c>
      <c r="J277" s="0" t="inlineStr">
        <is>
          <t>NULL</t>
        </is>
      </c>
      <c r="K277" s="0" t="inlineStr">
        <is>
          <t>YES! 	 c_char7000列源备映射正确，源端为char 7000位	期望更改为char(n)	实际备端为char 7000位</t>
        </is>
      </c>
    </row>
    <row r="278">
      <c r="A278" s="0" t="inlineStr">
        <is>
          <t>info_int_dml_single_pk_urp</t>
        </is>
      </c>
      <c r="K278" s="0" t="inlineStr">
        <is>
          <t>[0;34m info_int_dml_single_pk_urp [0m源备字段数相同，源端字段：20 	备端字段20</t>
        </is>
      </c>
      <c r="W278" s="0" t="inlineStr">
        <is>
          <t>YES 源备无差异</t>
        </is>
      </c>
      <c r="X278" s="0">
        <f>A278</f>
        <v/>
      </c>
    </row>
    <row r="279">
      <c r="B279" s="0" t="inlineStr">
        <is>
          <t>YES</t>
        </is>
      </c>
      <c r="C279" s="0" t="inlineStr">
        <is>
          <t>NULL</t>
        </is>
      </c>
      <c r="D279" s="0" t="inlineStr">
        <is>
          <t>NULL</t>
        </is>
      </c>
      <c r="E279" s="0" t="inlineStr">
        <is>
          <t>NULL</t>
        </is>
      </c>
      <c r="F279" s="0" t="inlineStr">
        <is>
          <t>NULL</t>
        </is>
      </c>
      <c r="G279" s="0" t="inlineStr">
        <is>
          <t>NULL</t>
        </is>
      </c>
      <c r="H279" s="0" t="inlineStr">
        <is>
          <t>NULL</t>
        </is>
      </c>
      <c r="I279" s="0" t="inlineStr">
        <is>
          <t>YES!PK__info_int__3213E83FF3C9ADF2</t>
        </is>
      </c>
      <c r="J279" s="0" t="inlineStr">
        <is>
          <t>YES! 主键相关索引</t>
        </is>
      </c>
      <c r="K279" s="0" t="inlineStr">
        <is>
          <t>YES! 	 id列源备映射正确，源端为int None位	期望更改为int	实际备端为int None位</t>
        </is>
      </c>
    </row>
    <row r="280">
      <c r="B280" s="0" t="inlineStr">
        <is>
          <t>NULL</t>
        </is>
      </c>
      <c r="C280" s="0" t="inlineStr">
        <is>
          <t>NULL</t>
        </is>
      </c>
      <c r="D280" s="0" t="inlineStr">
        <is>
          <t>NULL</t>
        </is>
      </c>
      <c r="E280" s="0" t="inlineStr">
        <is>
          <t>NULL</t>
        </is>
      </c>
      <c r="F280" s="0" t="inlineStr">
        <is>
          <t>NULL</t>
        </is>
      </c>
      <c r="G280" s="0" t="inlineStr">
        <is>
          <t>NULL</t>
        </is>
      </c>
      <c r="H280" s="0" t="inlineStr">
        <is>
          <t>NULL</t>
        </is>
      </c>
      <c r="I280" s="0" t="inlineStr">
        <is>
          <t>NULL</t>
        </is>
      </c>
      <c r="J280" s="0" t="inlineStr">
        <is>
          <t>NULL</t>
        </is>
      </c>
      <c r="K280" s="0" t="inlineStr">
        <is>
          <t>YES! 	 c_tinyint列源备映射正确，源端为tinyint None位	期望更改为tinyint	实际备端为tinyint None位</t>
        </is>
      </c>
    </row>
    <row r="281">
      <c r="B281" s="0" t="inlineStr">
        <is>
          <t>NULL</t>
        </is>
      </c>
      <c r="C281" s="0" t="inlineStr">
        <is>
          <t>NULL</t>
        </is>
      </c>
      <c r="D281" s="0" t="inlineStr">
        <is>
          <t>NULL</t>
        </is>
      </c>
      <c r="E281" s="0" t="inlineStr">
        <is>
          <t>NULL</t>
        </is>
      </c>
      <c r="F281" s="0" t="inlineStr">
        <is>
          <t>NULL</t>
        </is>
      </c>
      <c r="G281" s="0" t="inlineStr">
        <is>
          <t>NULL</t>
        </is>
      </c>
      <c r="H281" s="0" t="inlineStr">
        <is>
          <t>NULL</t>
        </is>
      </c>
      <c r="I281" s="0" t="inlineStr">
        <is>
          <t>NULL</t>
        </is>
      </c>
      <c r="J281" s="0" t="inlineStr">
        <is>
          <t>NULL</t>
        </is>
      </c>
      <c r="K281" s="0" t="inlineStr">
        <is>
          <t>YES! 	 c_smallint列源备映射正确，源端为smallint None位	期望更改为smallint	实际备端为smallint None位</t>
        </is>
      </c>
    </row>
    <row r="282">
      <c r="B282" s="0" t="inlineStr">
        <is>
          <t>NULL</t>
        </is>
      </c>
      <c r="C282" s="0" t="inlineStr">
        <is>
          <t>NULL</t>
        </is>
      </c>
      <c r="D282" s="0" t="inlineStr">
        <is>
          <t>NULL</t>
        </is>
      </c>
      <c r="E282" s="0" t="inlineStr">
        <is>
          <t>NULL</t>
        </is>
      </c>
      <c r="F282" s="0" t="inlineStr">
        <is>
          <t>NULL</t>
        </is>
      </c>
      <c r="G282" s="0" t="inlineStr">
        <is>
          <t>NULL</t>
        </is>
      </c>
      <c r="H282" s="0" t="inlineStr">
        <is>
          <t>NULL</t>
        </is>
      </c>
      <c r="I282" s="0" t="inlineStr">
        <is>
          <t>NULL</t>
        </is>
      </c>
      <c r="J282" s="0" t="inlineStr">
        <is>
          <t>NULL</t>
        </is>
      </c>
      <c r="K282" s="0" t="inlineStr">
        <is>
          <t>YES! 	 c_int列源备映射正确，源端为int None位	期望更改为int	实际备端为int None位</t>
        </is>
      </c>
    </row>
    <row r="283">
      <c r="B283" s="0" t="inlineStr">
        <is>
          <t>NULL</t>
        </is>
      </c>
      <c r="C283" s="0" t="inlineStr">
        <is>
          <t>NULL</t>
        </is>
      </c>
      <c r="D283" s="0" t="inlineStr">
        <is>
          <t>NULL</t>
        </is>
      </c>
      <c r="E283" s="0" t="inlineStr">
        <is>
          <t>NULL</t>
        </is>
      </c>
      <c r="F283" s="0" t="inlineStr">
        <is>
          <t>NULL</t>
        </is>
      </c>
      <c r="G283" s="0" t="inlineStr">
        <is>
          <t>NULL</t>
        </is>
      </c>
      <c r="H283" s="0" t="inlineStr">
        <is>
          <t>NULL</t>
        </is>
      </c>
      <c r="I283" s="0" t="inlineStr">
        <is>
          <t>NULL</t>
        </is>
      </c>
      <c r="J283" s="0" t="inlineStr">
        <is>
          <t>NULL</t>
        </is>
      </c>
      <c r="K283" s="0" t="inlineStr">
        <is>
          <t>YES! 	 c_bigint列源备映射正确，源端为bigint None位	期望更改为bigint	实际备端为bigint None位</t>
        </is>
      </c>
    </row>
    <row r="284">
      <c r="B284" s="0" t="inlineStr">
        <is>
          <t>NULL</t>
        </is>
      </c>
      <c r="C284" s="0" t="inlineStr">
        <is>
          <t>NULL</t>
        </is>
      </c>
      <c r="D284" s="0" t="inlineStr">
        <is>
          <t>NULL</t>
        </is>
      </c>
      <c r="E284" s="0" t="inlineStr">
        <is>
          <t>NULL</t>
        </is>
      </c>
      <c r="F284" s="0" t="inlineStr">
        <is>
          <t>NULL</t>
        </is>
      </c>
      <c r="G284" s="0" t="inlineStr">
        <is>
          <t>NULL</t>
        </is>
      </c>
      <c r="H284" s="0" t="inlineStr">
        <is>
          <t>NULL</t>
        </is>
      </c>
      <c r="I284" s="0" t="inlineStr">
        <is>
          <t>NULL</t>
        </is>
      </c>
      <c r="J284" s="0" t="inlineStr">
        <is>
          <t>NULL</t>
        </is>
      </c>
      <c r="K284" s="0" t="inlineStr">
        <is>
          <t>YES! 	 c_decimal列源备映射正确，源端为decimal None位	期望更改为decimal(p,s)	实际备端为decimal None位</t>
        </is>
      </c>
    </row>
    <row r="285">
      <c r="B285" s="0" t="inlineStr">
        <is>
          <t>NULL</t>
        </is>
      </c>
      <c r="C285" s="0" t="inlineStr">
        <is>
          <t>NULL</t>
        </is>
      </c>
      <c r="D285" s="0" t="inlineStr">
        <is>
          <t>NULL</t>
        </is>
      </c>
      <c r="E285" s="0" t="inlineStr">
        <is>
          <t>NULL</t>
        </is>
      </c>
      <c r="F285" s="0" t="inlineStr">
        <is>
          <t>NULL</t>
        </is>
      </c>
      <c r="G285" s="0" t="inlineStr">
        <is>
          <t>NULL</t>
        </is>
      </c>
      <c r="H285" s="0" t="inlineStr">
        <is>
          <t>NULL</t>
        </is>
      </c>
      <c r="I285" s="0" t="inlineStr">
        <is>
          <t>NULL</t>
        </is>
      </c>
      <c r="J285" s="0" t="inlineStr">
        <is>
          <t>NULL</t>
        </is>
      </c>
      <c r="K285" s="0" t="inlineStr">
        <is>
          <t>YES! 	 c_decimal38列源备映射正确，源端为decimal None位	期望更改为decimal(p,s)	实际备端为decimal None位</t>
        </is>
      </c>
    </row>
    <row r="286">
      <c r="B286" s="0" t="inlineStr">
        <is>
          <t>NULL</t>
        </is>
      </c>
      <c r="C286" s="0" t="inlineStr">
        <is>
          <t>NULL</t>
        </is>
      </c>
      <c r="D286" s="0" t="inlineStr">
        <is>
          <t>NULL</t>
        </is>
      </c>
      <c r="E286" s="0" t="inlineStr">
        <is>
          <t>NULL</t>
        </is>
      </c>
      <c r="F286" s="0" t="inlineStr">
        <is>
          <t>NULL</t>
        </is>
      </c>
      <c r="G286" s="0" t="inlineStr">
        <is>
          <t>NULL</t>
        </is>
      </c>
      <c r="H286" s="0" t="inlineStr">
        <is>
          <t>NULL</t>
        </is>
      </c>
      <c r="I286" s="0" t="inlineStr">
        <is>
          <t>NULL</t>
        </is>
      </c>
      <c r="J286" s="0" t="inlineStr">
        <is>
          <t>NULL</t>
        </is>
      </c>
      <c r="K286" s="0" t="inlineStr">
        <is>
          <t>YES! 	 c_decimal38_38列源备映射正确，源端为decimal None位	期望更改为decimal(p,s)	实际备端为decimal None位</t>
        </is>
      </c>
    </row>
    <row r="287">
      <c r="B287" s="0" t="inlineStr">
        <is>
          <t>NULL</t>
        </is>
      </c>
      <c r="C287" s="0" t="inlineStr">
        <is>
          <t>NULL</t>
        </is>
      </c>
      <c r="D287" s="0" t="inlineStr">
        <is>
          <t>NULL</t>
        </is>
      </c>
      <c r="E287" s="0" t="inlineStr">
        <is>
          <t>NULL</t>
        </is>
      </c>
      <c r="F287" s="0" t="inlineStr">
        <is>
          <t>NULL</t>
        </is>
      </c>
      <c r="G287" s="0" t="inlineStr">
        <is>
          <t>NULL</t>
        </is>
      </c>
      <c r="H287" s="0" t="inlineStr">
        <is>
          <t>NULL</t>
        </is>
      </c>
      <c r="I287" s="0" t="inlineStr">
        <is>
          <t>NULL</t>
        </is>
      </c>
      <c r="J287" s="0" t="inlineStr">
        <is>
          <t>NULL</t>
        </is>
      </c>
      <c r="K287" s="0" t="inlineStr">
        <is>
          <t>YES! 	 c_decimal38_10列源备映射正确，源端为decimal None位	期望更改为decimal(p,s)	实际备端为decimal None位</t>
        </is>
      </c>
    </row>
    <row r="288">
      <c r="B288" s="0" t="inlineStr">
        <is>
          <t>NULL</t>
        </is>
      </c>
      <c r="C288" s="0" t="inlineStr">
        <is>
          <t>NULL</t>
        </is>
      </c>
      <c r="D288" s="0" t="inlineStr">
        <is>
          <t>NULL</t>
        </is>
      </c>
      <c r="E288" s="0" t="inlineStr">
        <is>
          <t>NULL</t>
        </is>
      </c>
      <c r="F288" s="0" t="inlineStr">
        <is>
          <t>NULL</t>
        </is>
      </c>
      <c r="G288" s="0" t="inlineStr">
        <is>
          <t>NULL</t>
        </is>
      </c>
      <c r="H288" s="0" t="inlineStr">
        <is>
          <t>NULL</t>
        </is>
      </c>
      <c r="I288" s="0" t="inlineStr">
        <is>
          <t>NULL</t>
        </is>
      </c>
      <c r="J288" s="0" t="inlineStr">
        <is>
          <t>NULL</t>
        </is>
      </c>
      <c r="K288" s="0" t="inlineStr">
        <is>
          <t>YES! 	 c_decimal19_4列源备映射正确，源端为decimal None位	期望更改为decimal(p,s)	实际备端为decimal None位</t>
        </is>
      </c>
    </row>
    <row r="289">
      <c r="B289" s="0" t="inlineStr">
        <is>
          <t>NULL</t>
        </is>
      </c>
      <c r="C289" s="0" t="inlineStr">
        <is>
          <t>NULL</t>
        </is>
      </c>
      <c r="D289" s="0" t="inlineStr">
        <is>
          <t>NULL</t>
        </is>
      </c>
      <c r="E289" s="0" t="inlineStr">
        <is>
          <t>NULL</t>
        </is>
      </c>
      <c r="F289" s="0" t="inlineStr">
        <is>
          <t>NULL</t>
        </is>
      </c>
      <c r="G289" s="0" t="inlineStr">
        <is>
          <t>NULL</t>
        </is>
      </c>
      <c r="H289" s="0" t="inlineStr">
        <is>
          <t>NULL</t>
        </is>
      </c>
      <c r="I289" s="0" t="inlineStr">
        <is>
          <t>NULL</t>
        </is>
      </c>
      <c r="J289" s="0" t="inlineStr">
        <is>
          <t>NULL</t>
        </is>
      </c>
      <c r="K289" s="0" t="inlineStr">
        <is>
          <t>YES! 	 c_numeric列源备映射正确，源端为numeric None位	期望更改为numeric(p,s)	实际备端为numeric None位</t>
        </is>
      </c>
    </row>
    <row r="290">
      <c r="B290" s="0" t="inlineStr">
        <is>
          <t>NULL</t>
        </is>
      </c>
      <c r="C290" s="0" t="inlineStr">
        <is>
          <t>NULL</t>
        </is>
      </c>
      <c r="D290" s="0" t="inlineStr">
        <is>
          <t>NULL</t>
        </is>
      </c>
      <c r="E290" s="0" t="inlineStr">
        <is>
          <t>NULL</t>
        </is>
      </c>
      <c r="F290" s="0" t="inlineStr">
        <is>
          <t>NULL</t>
        </is>
      </c>
      <c r="G290" s="0" t="inlineStr">
        <is>
          <t>NULL</t>
        </is>
      </c>
      <c r="H290" s="0" t="inlineStr">
        <is>
          <t>NULL</t>
        </is>
      </c>
      <c r="I290" s="0" t="inlineStr">
        <is>
          <t>NULL</t>
        </is>
      </c>
      <c r="J290" s="0" t="inlineStr">
        <is>
          <t>NULL</t>
        </is>
      </c>
      <c r="K290" s="0" t="inlineStr">
        <is>
          <t>YES! 	 c_numeric38列源备映射正确，源端为numeric None位	期望更改为numeric(p,s)	实际备端为numeric None位</t>
        </is>
      </c>
    </row>
    <row r="291">
      <c r="B291" s="0" t="inlineStr">
        <is>
          <t>NULL</t>
        </is>
      </c>
      <c r="C291" s="0" t="inlineStr">
        <is>
          <t>NULL</t>
        </is>
      </c>
      <c r="D291" s="0" t="inlineStr">
        <is>
          <t>NULL</t>
        </is>
      </c>
      <c r="E291" s="0" t="inlineStr">
        <is>
          <t>NULL</t>
        </is>
      </c>
      <c r="F291" s="0" t="inlineStr">
        <is>
          <t>NULL</t>
        </is>
      </c>
      <c r="G291" s="0" t="inlineStr">
        <is>
          <t>NULL</t>
        </is>
      </c>
      <c r="H291" s="0" t="inlineStr">
        <is>
          <t>NULL</t>
        </is>
      </c>
      <c r="I291" s="0" t="inlineStr">
        <is>
          <t>NULL</t>
        </is>
      </c>
      <c r="J291" s="0" t="inlineStr">
        <is>
          <t>NULL</t>
        </is>
      </c>
      <c r="K291" s="0" t="inlineStr">
        <is>
          <t>YES! 	 c_numeric38_38列源备映射正确，源端为numeric None位	期望更改为numeric(p,s)	实际备端为numeric None位</t>
        </is>
      </c>
    </row>
    <row r="292">
      <c r="B292" s="0" t="inlineStr">
        <is>
          <t>NULL</t>
        </is>
      </c>
      <c r="C292" s="0" t="inlineStr">
        <is>
          <t>NULL</t>
        </is>
      </c>
      <c r="D292" s="0" t="inlineStr">
        <is>
          <t>NULL</t>
        </is>
      </c>
      <c r="E292" s="0" t="inlineStr">
        <is>
          <t>NULL</t>
        </is>
      </c>
      <c r="F292" s="0" t="inlineStr">
        <is>
          <t>NULL</t>
        </is>
      </c>
      <c r="G292" s="0" t="inlineStr">
        <is>
          <t>NULL</t>
        </is>
      </c>
      <c r="H292" s="0" t="inlineStr">
        <is>
          <t>NULL</t>
        </is>
      </c>
      <c r="I292" s="0" t="inlineStr">
        <is>
          <t>NULL</t>
        </is>
      </c>
      <c r="J292" s="0" t="inlineStr">
        <is>
          <t>NULL</t>
        </is>
      </c>
      <c r="K292" s="0" t="inlineStr">
        <is>
          <t>YES! 	 c_numeric38_10列源备映射正确，源端为numeric None位	期望更改为numeric(p,s)	实际备端为numeric None位</t>
        </is>
      </c>
    </row>
    <row r="293">
      <c r="B293" s="0" t="inlineStr">
        <is>
          <t>NULL</t>
        </is>
      </c>
      <c r="C293" s="0" t="inlineStr">
        <is>
          <t>NULL</t>
        </is>
      </c>
      <c r="D293" s="0" t="inlineStr">
        <is>
          <t>NULL</t>
        </is>
      </c>
      <c r="E293" s="0" t="inlineStr">
        <is>
          <t>NULL</t>
        </is>
      </c>
      <c r="F293" s="0" t="inlineStr">
        <is>
          <t>NULL</t>
        </is>
      </c>
      <c r="G293" s="0" t="inlineStr">
        <is>
          <t>NULL</t>
        </is>
      </c>
      <c r="H293" s="0" t="inlineStr">
        <is>
          <t>NULL</t>
        </is>
      </c>
      <c r="I293" s="0" t="inlineStr">
        <is>
          <t>NULL</t>
        </is>
      </c>
      <c r="J293" s="0" t="inlineStr">
        <is>
          <t>NULL</t>
        </is>
      </c>
      <c r="K293" s="0" t="inlineStr">
        <is>
          <t>YES! 	 c_numeric18_2列源备映射正确，源端为numeric None位	期望更改为numeric(p,s)	实际备端为numeric None位</t>
        </is>
      </c>
    </row>
    <row r="294">
      <c r="B294" s="0" t="inlineStr">
        <is>
          <t>NULL</t>
        </is>
      </c>
      <c r="C294" s="0" t="inlineStr">
        <is>
          <t>NULL</t>
        </is>
      </c>
      <c r="D294" s="0" t="inlineStr">
        <is>
          <t>NULL</t>
        </is>
      </c>
      <c r="E294" s="0" t="inlineStr">
        <is>
          <t>NULL</t>
        </is>
      </c>
      <c r="F294" s="0" t="inlineStr">
        <is>
          <t>NULL</t>
        </is>
      </c>
      <c r="G294" s="0" t="inlineStr">
        <is>
          <t>NULL</t>
        </is>
      </c>
      <c r="H294" s="0" t="inlineStr">
        <is>
          <t>NULL</t>
        </is>
      </c>
      <c r="I294" s="0" t="inlineStr">
        <is>
          <t>NULL</t>
        </is>
      </c>
      <c r="J294" s="0" t="inlineStr">
        <is>
          <t>NULL</t>
        </is>
      </c>
      <c r="K294" s="0" t="inlineStr">
        <is>
          <t>YES! 	 c_float列源备映射正确，源端为float None位	期望更改为float	实际备端为float None位</t>
        </is>
      </c>
    </row>
    <row r="295">
      <c r="B295" s="0" t="inlineStr">
        <is>
          <t>NULL</t>
        </is>
      </c>
      <c r="C295" s="0" t="inlineStr">
        <is>
          <t>NULL</t>
        </is>
      </c>
      <c r="D295" s="0" t="inlineStr">
        <is>
          <t>NULL</t>
        </is>
      </c>
      <c r="E295" s="0" t="inlineStr">
        <is>
          <t>NULL</t>
        </is>
      </c>
      <c r="F295" s="0" t="inlineStr">
        <is>
          <t>NULL</t>
        </is>
      </c>
      <c r="G295" s="0" t="inlineStr">
        <is>
          <t>NULL</t>
        </is>
      </c>
      <c r="H295" s="0" t="inlineStr">
        <is>
          <t>NULL</t>
        </is>
      </c>
      <c r="I295" s="0" t="inlineStr">
        <is>
          <t>NULL</t>
        </is>
      </c>
      <c r="J295" s="0" t="inlineStr">
        <is>
          <t>NULL</t>
        </is>
      </c>
      <c r="K295" s="0" t="inlineStr">
        <is>
          <t>YES! 	 c_real列源备映射正确，源端为real None位	期望更改为real	实际备端为real None位</t>
        </is>
      </c>
    </row>
    <row r="296">
      <c r="B296" s="0" t="inlineStr">
        <is>
          <t>NULL</t>
        </is>
      </c>
      <c r="C296" s="0" t="inlineStr">
        <is>
          <t>NULL</t>
        </is>
      </c>
      <c r="D296" s="0" t="inlineStr">
        <is>
          <t>NULL</t>
        </is>
      </c>
      <c r="E296" s="0" t="inlineStr">
        <is>
          <t>NULL</t>
        </is>
      </c>
      <c r="F296" s="0" t="inlineStr">
        <is>
          <t>NULL</t>
        </is>
      </c>
      <c r="G296" s="0" t="inlineStr">
        <is>
          <t>NULL</t>
        </is>
      </c>
      <c r="H296" s="0" t="inlineStr">
        <is>
          <t>NULL</t>
        </is>
      </c>
      <c r="I296" s="0" t="inlineStr">
        <is>
          <t>NULL</t>
        </is>
      </c>
      <c r="J296" s="0" t="inlineStr">
        <is>
          <t>NULL</t>
        </is>
      </c>
      <c r="K296" s="0" t="inlineStr">
        <is>
          <t>YES! 	 c_money列源备映射正确，源端为money None位	期望更改为money	实际备端为money None位</t>
        </is>
      </c>
    </row>
    <row r="297">
      <c r="B297" s="0" t="inlineStr">
        <is>
          <t>NULL</t>
        </is>
      </c>
      <c r="C297" s="0" t="inlineStr">
        <is>
          <t>NULL</t>
        </is>
      </c>
      <c r="D297" s="0" t="inlineStr">
        <is>
          <t>NULL</t>
        </is>
      </c>
      <c r="E297" s="0" t="inlineStr">
        <is>
          <t>NULL</t>
        </is>
      </c>
      <c r="F297" s="0" t="inlineStr">
        <is>
          <t>NULL</t>
        </is>
      </c>
      <c r="G297" s="0" t="inlineStr">
        <is>
          <t>NULL</t>
        </is>
      </c>
      <c r="H297" s="0" t="inlineStr">
        <is>
          <t>NULL</t>
        </is>
      </c>
      <c r="I297" s="0" t="inlineStr">
        <is>
          <t>NULL</t>
        </is>
      </c>
      <c r="J297" s="0" t="inlineStr">
        <is>
          <t>NULL</t>
        </is>
      </c>
      <c r="K297" s="0" t="inlineStr">
        <is>
          <t>YES! 	 c_smallmoney列源备映射正确，源端为smallmoney None位	期望更改为smallmoney	实际备端为smallmoney None位</t>
        </is>
      </c>
    </row>
    <row r="298">
      <c r="B298" s="0" t="inlineStr">
        <is>
          <t>NULL</t>
        </is>
      </c>
      <c r="C298" s="0" t="inlineStr">
        <is>
          <t>NULL</t>
        </is>
      </c>
      <c r="D298" s="0" t="inlineStr">
        <is>
          <t>NULL</t>
        </is>
      </c>
      <c r="E298" s="0" t="inlineStr">
        <is>
          <t>NULL</t>
        </is>
      </c>
      <c r="F298" s="0" t="inlineStr">
        <is>
          <t>NULL</t>
        </is>
      </c>
      <c r="G298" s="0" t="inlineStr">
        <is>
          <t>NULL</t>
        </is>
      </c>
      <c r="H298" s="0" t="inlineStr">
        <is>
          <t>NULL</t>
        </is>
      </c>
      <c r="I298" s="0" t="inlineStr">
        <is>
          <t>NULL</t>
        </is>
      </c>
      <c r="J298" s="0" t="inlineStr">
        <is>
          <t>NULL</t>
        </is>
      </c>
      <c r="K298" s="0" t="inlineStr">
        <is>
          <t>YES! 	 c_bit列源备映射正确，源端为bit None位	期望更改为bit	实际备端为bit None位</t>
        </is>
      </c>
    </row>
    <row r="299">
      <c r="A299" s="0" t="inlineStr">
        <is>
          <t>info_varchar_dml_single_pk_drp</t>
        </is>
      </c>
      <c r="K299" s="0" t="inlineStr">
        <is>
          <t>[0;34m info_varchar_dml_single_pk_drp [0m源备字段数相同，源端字段：4 	备端字段4</t>
        </is>
      </c>
      <c r="W299" s="0" t="inlineStr">
        <is>
          <t>YES 源备无差异</t>
        </is>
      </c>
      <c r="X299" s="0">
        <f>A299</f>
        <v/>
      </c>
    </row>
    <row r="300">
      <c r="B300" s="0" t="inlineStr">
        <is>
          <t>YES</t>
        </is>
      </c>
      <c r="C300" s="0" t="inlineStr">
        <is>
          <t>NULL</t>
        </is>
      </c>
      <c r="D300" s="0" t="inlineStr">
        <is>
          <t>NULL</t>
        </is>
      </c>
      <c r="E300" s="0" t="inlineStr">
        <is>
          <t>NULL</t>
        </is>
      </c>
      <c r="F300" s="0" t="inlineStr">
        <is>
          <t>NULL</t>
        </is>
      </c>
      <c r="G300" s="0" t="inlineStr">
        <is>
          <t>NULL</t>
        </is>
      </c>
      <c r="H300" s="0" t="inlineStr">
        <is>
          <t>NULL</t>
        </is>
      </c>
      <c r="I300" s="0" t="inlineStr">
        <is>
          <t>YES!PK__info_var__3213E83FEE4FC36C</t>
        </is>
      </c>
      <c r="J300" s="0" t="inlineStr">
        <is>
          <t>YES! 主键相关索引</t>
        </is>
      </c>
      <c r="K300" s="0" t="inlineStr">
        <is>
          <t>YES! 	 id列源备映射正确，源端为int None位	期望更改为int	实际备端为int None位</t>
        </is>
      </c>
    </row>
    <row r="301">
      <c r="B301" s="0" t="inlineStr">
        <is>
          <t>NULL</t>
        </is>
      </c>
      <c r="C301" s="0" t="inlineStr">
        <is>
          <t>NULL</t>
        </is>
      </c>
      <c r="D301" s="0" t="inlineStr">
        <is>
          <t>NULL</t>
        </is>
      </c>
      <c r="E301" s="0" t="inlineStr">
        <is>
          <t>NULL</t>
        </is>
      </c>
      <c r="F301" s="0" t="inlineStr">
        <is>
          <t>NULL</t>
        </is>
      </c>
      <c r="G301" s="0" t="inlineStr">
        <is>
          <t>NULL</t>
        </is>
      </c>
      <c r="H301" s="0" t="inlineStr">
        <is>
          <t>NULL</t>
        </is>
      </c>
      <c r="I301" s="0" t="inlineStr">
        <is>
          <t>NULL</t>
        </is>
      </c>
      <c r="J301" s="0" t="inlineStr">
        <is>
          <t>NULL</t>
        </is>
      </c>
      <c r="K301" s="0" t="inlineStr">
        <is>
          <t>YES! 	 c_varchar列源备映射正确，源端为varchar 1位	期望更改为varchar(n)	实际备端为varchar 1位</t>
        </is>
      </c>
    </row>
    <row r="302">
      <c r="B302" s="0" t="inlineStr">
        <is>
          <t>NULL</t>
        </is>
      </c>
      <c r="C302" s="0" t="inlineStr">
        <is>
          <t>NULL</t>
        </is>
      </c>
      <c r="D302" s="0" t="inlineStr">
        <is>
          <t>NULL</t>
        </is>
      </c>
      <c r="E302" s="0" t="inlineStr">
        <is>
          <t>NULL</t>
        </is>
      </c>
      <c r="F302" s="0" t="inlineStr">
        <is>
          <t>NULL</t>
        </is>
      </c>
      <c r="G302" s="0" t="inlineStr">
        <is>
          <t>NULL</t>
        </is>
      </c>
      <c r="H302" s="0" t="inlineStr">
        <is>
          <t>NULL</t>
        </is>
      </c>
      <c r="I302" s="0" t="inlineStr">
        <is>
          <t>NULL</t>
        </is>
      </c>
      <c r="J302" s="0" t="inlineStr">
        <is>
          <t>NULL</t>
        </is>
      </c>
      <c r="K302" s="0" t="inlineStr">
        <is>
          <t>YES! 	 c_varchar50列源备映射正确，源端为varchar 50位	期望更改为varchar(n)	实际备端为varchar 50位</t>
        </is>
      </c>
    </row>
    <row r="303">
      <c r="B303" s="0" t="inlineStr">
        <is>
          <t>NULL</t>
        </is>
      </c>
      <c r="C303" s="0" t="inlineStr">
        <is>
          <t>NULL</t>
        </is>
      </c>
      <c r="D303" s="0" t="inlineStr">
        <is>
          <t>NULL</t>
        </is>
      </c>
      <c r="E303" s="0" t="inlineStr">
        <is>
          <t>NULL</t>
        </is>
      </c>
      <c r="F303" s="0" t="inlineStr">
        <is>
          <t>NULL</t>
        </is>
      </c>
      <c r="G303" s="0" t="inlineStr">
        <is>
          <t>NULL</t>
        </is>
      </c>
      <c r="H303" s="0" t="inlineStr">
        <is>
          <t>NULL</t>
        </is>
      </c>
      <c r="I303" s="0" t="inlineStr">
        <is>
          <t>NULL</t>
        </is>
      </c>
      <c r="J303" s="0" t="inlineStr">
        <is>
          <t>NULL</t>
        </is>
      </c>
      <c r="K303" s="0" t="inlineStr">
        <is>
          <t>YES! 	 c_varchar8000列源备映射正确，源端为varchar 8000位	期望更改为varchar(n)	实际备端为varchar 8000位</t>
        </is>
      </c>
    </row>
    <row r="304">
      <c r="A304" s="0" t="inlineStr">
        <is>
          <t>info_sdt_dml_batch2_pk_irp2</t>
        </is>
      </c>
      <c r="K304" s="0" t="inlineStr">
        <is>
          <t>[0;34m info_sdt_dml_batch2_pk_irp2 [0m源备字段数相同，源端字段：2 	备端字段2</t>
        </is>
      </c>
      <c r="W304" s="0" t="inlineStr">
        <is>
          <t>YES 源备无差异</t>
        </is>
      </c>
      <c r="X304" s="0">
        <f>A304</f>
        <v/>
      </c>
    </row>
    <row r="305">
      <c r="B305" s="0" t="inlineStr">
        <is>
          <t>YES</t>
        </is>
      </c>
      <c r="C305" s="0" t="inlineStr">
        <is>
          <t>NULL</t>
        </is>
      </c>
      <c r="D305" s="0" t="inlineStr">
        <is>
          <t>NULL</t>
        </is>
      </c>
      <c r="E305" s="0" t="inlineStr">
        <is>
          <t>NULL</t>
        </is>
      </c>
      <c r="F305" s="0" t="inlineStr">
        <is>
          <t>NULL</t>
        </is>
      </c>
      <c r="G305" s="0" t="inlineStr">
        <is>
          <t>NULL</t>
        </is>
      </c>
      <c r="H305" s="0" t="inlineStr">
        <is>
          <t>NULL</t>
        </is>
      </c>
      <c r="I305" s="0" t="inlineStr">
        <is>
          <t>YES!PK__info_sdt__3213E83F8FF1A01C</t>
        </is>
      </c>
      <c r="J305" s="0" t="inlineStr">
        <is>
          <t>YES! 主键相关索引</t>
        </is>
      </c>
      <c r="K305" s="0" t="inlineStr">
        <is>
          <t>YES! 	 id列源备映射正确，源端为int None位	期望更改为int	实际备端为int None位</t>
        </is>
      </c>
    </row>
    <row r="306">
      <c r="B306" s="0" t="inlineStr">
        <is>
          <t>NULL</t>
        </is>
      </c>
      <c r="C306" s="0" t="inlineStr">
        <is>
          <t>NULL</t>
        </is>
      </c>
      <c r="D306" s="0" t="inlineStr">
        <is>
          <t>NULL</t>
        </is>
      </c>
      <c r="E306" s="0" t="inlineStr">
        <is>
          <t>NULL</t>
        </is>
      </c>
      <c r="F306" s="0" t="inlineStr">
        <is>
          <t>NULL</t>
        </is>
      </c>
      <c r="G306" s="0" t="inlineStr">
        <is>
          <t>NULL</t>
        </is>
      </c>
      <c r="H306" s="0" t="inlineStr">
        <is>
          <t>NULL</t>
        </is>
      </c>
      <c r="I306" s="0" t="inlineStr">
        <is>
          <t>NULL</t>
        </is>
      </c>
      <c r="J306" s="0" t="inlineStr">
        <is>
          <t>NULL</t>
        </is>
      </c>
      <c r="K306" s="0" t="inlineStr">
        <is>
          <t>YES! 	 c_sdt列源备映射正确，源端为smalldatetime None位	期望更改为smalldatetime	实际备端为smalldatetime None位</t>
        </is>
      </c>
    </row>
    <row r="307">
      <c r="A307" s="0" t="inlineStr">
        <is>
          <t>info_char_dml_batch1_pk</t>
        </is>
      </c>
      <c r="K307" s="0" t="inlineStr">
        <is>
          <t>[0;34m info_char_dml_batch1_pk [0m源备字段数相同，源端字段：4 	备端字段4</t>
        </is>
      </c>
      <c r="W307" s="0" t="inlineStr">
        <is>
          <t>YES 源备无差异</t>
        </is>
      </c>
      <c r="X307" s="0">
        <f>A307</f>
        <v/>
      </c>
    </row>
    <row r="308">
      <c r="B308" s="0" t="inlineStr">
        <is>
          <t>YES</t>
        </is>
      </c>
      <c r="C308" s="0" t="inlineStr">
        <is>
          <t>NULL</t>
        </is>
      </c>
      <c r="D308" s="0" t="inlineStr">
        <is>
          <t>NULL</t>
        </is>
      </c>
      <c r="E308" s="0" t="inlineStr">
        <is>
          <t>NULL</t>
        </is>
      </c>
      <c r="F308" s="0" t="inlineStr">
        <is>
          <t>NULL</t>
        </is>
      </c>
      <c r="G308" s="0" t="inlineStr">
        <is>
          <t>NULL</t>
        </is>
      </c>
      <c r="H308" s="0" t="inlineStr">
        <is>
          <t>NULL</t>
        </is>
      </c>
      <c r="I308" s="0" t="inlineStr">
        <is>
          <t>YES!PK__info_cha__3213E83F5CF1C334</t>
        </is>
      </c>
      <c r="J308" s="0" t="inlineStr">
        <is>
          <t>YES! 主键相关索引</t>
        </is>
      </c>
      <c r="K308" s="0" t="inlineStr">
        <is>
          <t>YES! 	 id列源备映射正确，源端为int None位	期望更改为int	实际备端为int None位</t>
        </is>
      </c>
    </row>
    <row r="309">
      <c r="B309" s="0" t="inlineStr">
        <is>
          <t>NULL</t>
        </is>
      </c>
      <c r="C309" s="0" t="inlineStr">
        <is>
          <t>NULL</t>
        </is>
      </c>
      <c r="D309" s="0" t="inlineStr">
        <is>
          <t>NULL</t>
        </is>
      </c>
      <c r="E309" s="0" t="inlineStr">
        <is>
          <t>NULL</t>
        </is>
      </c>
      <c r="F309" s="0" t="inlineStr">
        <is>
          <t>NULL</t>
        </is>
      </c>
      <c r="G309" s="0" t="inlineStr">
        <is>
          <t>NULL</t>
        </is>
      </c>
      <c r="H309" s="0" t="inlineStr">
        <is>
          <t>NULL</t>
        </is>
      </c>
      <c r="I309" s="0" t="inlineStr">
        <is>
          <t>NULL</t>
        </is>
      </c>
      <c r="J309" s="0" t="inlineStr">
        <is>
          <t>NULL</t>
        </is>
      </c>
      <c r="K309" s="0" t="inlineStr">
        <is>
          <t>YES! 	 c_char列源备映射正确，源端为char 1位	期望更改为char(n)	实际备端为char 1位</t>
        </is>
      </c>
    </row>
    <row r="310">
      <c r="B310" s="0" t="inlineStr">
        <is>
          <t>NULL</t>
        </is>
      </c>
      <c r="C310" s="0" t="inlineStr">
        <is>
          <t>NULL</t>
        </is>
      </c>
      <c r="D310" s="0" t="inlineStr">
        <is>
          <t>NULL</t>
        </is>
      </c>
      <c r="E310" s="0" t="inlineStr">
        <is>
          <t>NULL</t>
        </is>
      </c>
      <c r="F310" s="0" t="inlineStr">
        <is>
          <t>NULL</t>
        </is>
      </c>
      <c r="G310" s="0" t="inlineStr">
        <is>
          <t>NULL</t>
        </is>
      </c>
      <c r="H310" s="0" t="inlineStr">
        <is>
          <t>NULL</t>
        </is>
      </c>
      <c r="I310" s="0" t="inlineStr">
        <is>
          <t>NULL</t>
        </is>
      </c>
      <c r="J310" s="0" t="inlineStr">
        <is>
          <t>NULL</t>
        </is>
      </c>
      <c r="K310" s="0" t="inlineStr">
        <is>
          <t>YES! 	 c_char20列源备映射正确，源端为char 20位	期望更改为char(n)	实际备端为char 20位</t>
        </is>
      </c>
    </row>
    <row r="311">
      <c r="B311" s="0" t="inlineStr">
        <is>
          <t>NULL</t>
        </is>
      </c>
      <c r="C311" s="0" t="inlineStr">
        <is>
          <t>NULL</t>
        </is>
      </c>
      <c r="D311" s="0" t="inlineStr">
        <is>
          <t>NULL</t>
        </is>
      </c>
      <c r="E311" s="0" t="inlineStr">
        <is>
          <t>NULL</t>
        </is>
      </c>
      <c r="F311" s="0" t="inlineStr">
        <is>
          <t>NULL</t>
        </is>
      </c>
      <c r="G311" s="0" t="inlineStr">
        <is>
          <t>NULL</t>
        </is>
      </c>
      <c r="H311" s="0" t="inlineStr">
        <is>
          <t>NULL</t>
        </is>
      </c>
      <c r="I311" s="0" t="inlineStr">
        <is>
          <t>NULL</t>
        </is>
      </c>
      <c r="J311" s="0" t="inlineStr">
        <is>
          <t>NULL</t>
        </is>
      </c>
      <c r="K311" s="0" t="inlineStr">
        <is>
          <t>YES! 	 c_char7000列源备映射正确，源端为char 7000位	期望更改为char(n)	实际备端为char 7000位</t>
        </is>
      </c>
    </row>
    <row r="312">
      <c r="A312" s="0" t="inlineStr">
        <is>
          <t>info_int_dml_single_pk_drp</t>
        </is>
      </c>
      <c r="K312" s="0" t="inlineStr">
        <is>
          <t>[0;34m info_int_dml_single_pk_drp [0m源备字段数相同，源端字段：20 	备端字段20</t>
        </is>
      </c>
      <c r="W312" s="0" t="inlineStr">
        <is>
          <t>YES 源备无差异</t>
        </is>
      </c>
      <c r="X312" s="0">
        <f>A312</f>
        <v/>
      </c>
    </row>
    <row r="313">
      <c r="B313" s="0" t="inlineStr">
        <is>
          <t>YES</t>
        </is>
      </c>
      <c r="C313" s="0" t="inlineStr">
        <is>
          <t>NULL</t>
        </is>
      </c>
      <c r="D313" s="0" t="inlineStr">
        <is>
          <t>NULL</t>
        </is>
      </c>
      <c r="E313" s="0" t="inlineStr">
        <is>
          <t>NULL</t>
        </is>
      </c>
      <c r="F313" s="0" t="inlineStr">
        <is>
          <t>NULL</t>
        </is>
      </c>
      <c r="G313" s="0" t="inlineStr">
        <is>
          <t>NULL</t>
        </is>
      </c>
      <c r="H313" s="0" t="inlineStr">
        <is>
          <t>NULL</t>
        </is>
      </c>
      <c r="I313" s="0" t="inlineStr">
        <is>
          <t>YES!PK__info_int__3213E83FD0B3ADA3</t>
        </is>
      </c>
      <c r="J313" s="0" t="inlineStr">
        <is>
          <t>YES! 主键相关索引</t>
        </is>
      </c>
      <c r="K313" s="0" t="inlineStr">
        <is>
          <t>YES! 	 id列源备映射正确，源端为int None位	期望更改为int	实际备端为int None位</t>
        </is>
      </c>
    </row>
    <row r="314">
      <c r="B314" s="0" t="inlineStr">
        <is>
          <t>NULL</t>
        </is>
      </c>
      <c r="C314" s="0" t="inlineStr">
        <is>
          <t>NULL</t>
        </is>
      </c>
      <c r="D314" s="0" t="inlineStr">
        <is>
          <t>NULL</t>
        </is>
      </c>
      <c r="E314" s="0" t="inlineStr">
        <is>
          <t>NULL</t>
        </is>
      </c>
      <c r="F314" s="0" t="inlineStr">
        <is>
          <t>NULL</t>
        </is>
      </c>
      <c r="G314" s="0" t="inlineStr">
        <is>
          <t>NULL</t>
        </is>
      </c>
      <c r="H314" s="0" t="inlineStr">
        <is>
          <t>NULL</t>
        </is>
      </c>
      <c r="I314" s="0" t="inlineStr">
        <is>
          <t>NULL</t>
        </is>
      </c>
      <c r="J314" s="0" t="inlineStr">
        <is>
          <t>NULL</t>
        </is>
      </c>
      <c r="K314" s="0" t="inlineStr">
        <is>
          <t>YES! 	 c_tinyint列源备映射正确，源端为tinyint None位	期望更改为tinyint	实际备端为tinyint None位</t>
        </is>
      </c>
    </row>
    <row r="315">
      <c r="B315" s="0" t="inlineStr">
        <is>
          <t>NULL</t>
        </is>
      </c>
      <c r="C315" s="0" t="inlineStr">
        <is>
          <t>NULL</t>
        </is>
      </c>
      <c r="D315" s="0" t="inlineStr">
        <is>
          <t>NULL</t>
        </is>
      </c>
      <c r="E315" s="0" t="inlineStr">
        <is>
          <t>NULL</t>
        </is>
      </c>
      <c r="F315" s="0" t="inlineStr">
        <is>
          <t>NULL</t>
        </is>
      </c>
      <c r="G315" s="0" t="inlineStr">
        <is>
          <t>NULL</t>
        </is>
      </c>
      <c r="H315" s="0" t="inlineStr">
        <is>
          <t>NULL</t>
        </is>
      </c>
      <c r="I315" s="0" t="inlineStr">
        <is>
          <t>NULL</t>
        </is>
      </c>
      <c r="J315" s="0" t="inlineStr">
        <is>
          <t>NULL</t>
        </is>
      </c>
      <c r="K315" s="0" t="inlineStr">
        <is>
          <t>YES! 	 c_smallint列源备映射正确，源端为smallint None位	期望更改为smallint	实际备端为smallint None位</t>
        </is>
      </c>
    </row>
    <row r="316">
      <c r="B316" s="0" t="inlineStr">
        <is>
          <t>NULL</t>
        </is>
      </c>
      <c r="C316" s="0" t="inlineStr">
        <is>
          <t>NULL</t>
        </is>
      </c>
      <c r="D316" s="0" t="inlineStr">
        <is>
          <t>NULL</t>
        </is>
      </c>
      <c r="E316" s="0" t="inlineStr">
        <is>
          <t>NULL</t>
        </is>
      </c>
      <c r="F316" s="0" t="inlineStr">
        <is>
          <t>NULL</t>
        </is>
      </c>
      <c r="G316" s="0" t="inlineStr">
        <is>
          <t>NULL</t>
        </is>
      </c>
      <c r="H316" s="0" t="inlineStr">
        <is>
          <t>NULL</t>
        </is>
      </c>
      <c r="I316" s="0" t="inlineStr">
        <is>
          <t>NULL</t>
        </is>
      </c>
      <c r="J316" s="0" t="inlineStr">
        <is>
          <t>NULL</t>
        </is>
      </c>
      <c r="K316" s="0" t="inlineStr">
        <is>
          <t>YES! 	 c_int列源备映射正确，源端为int None位	期望更改为int	实际备端为int None位</t>
        </is>
      </c>
    </row>
    <row r="317">
      <c r="B317" s="0" t="inlineStr">
        <is>
          <t>NULL</t>
        </is>
      </c>
      <c r="C317" s="0" t="inlineStr">
        <is>
          <t>NULL</t>
        </is>
      </c>
      <c r="D317" s="0" t="inlineStr">
        <is>
          <t>NULL</t>
        </is>
      </c>
      <c r="E317" s="0" t="inlineStr">
        <is>
          <t>NULL</t>
        </is>
      </c>
      <c r="F317" s="0" t="inlineStr">
        <is>
          <t>NULL</t>
        </is>
      </c>
      <c r="G317" s="0" t="inlineStr">
        <is>
          <t>NULL</t>
        </is>
      </c>
      <c r="H317" s="0" t="inlineStr">
        <is>
          <t>NULL</t>
        </is>
      </c>
      <c r="I317" s="0" t="inlineStr">
        <is>
          <t>NULL</t>
        </is>
      </c>
      <c r="J317" s="0" t="inlineStr">
        <is>
          <t>NULL</t>
        </is>
      </c>
      <c r="K317" s="0" t="inlineStr">
        <is>
          <t>YES! 	 c_bigint列源备映射正确，源端为bigint None位	期望更改为bigint	实际备端为bigint None位</t>
        </is>
      </c>
    </row>
    <row r="318">
      <c r="B318" s="0" t="inlineStr">
        <is>
          <t>NULL</t>
        </is>
      </c>
      <c r="C318" s="0" t="inlineStr">
        <is>
          <t>NULL</t>
        </is>
      </c>
      <c r="D318" s="0" t="inlineStr">
        <is>
          <t>NULL</t>
        </is>
      </c>
      <c r="E318" s="0" t="inlineStr">
        <is>
          <t>NULL</t>
        </is>
      </c>
      <c r="F318" s="0" t="inlineStr">
        <is>
          <t>NULL</t>
        </is>
      </c>
      <c r="G318" s="0" t="inlineStr">
        <is>
          <t>NULL</t>
        </is>
      </c>
      <c r="H318" s="0" t="inlineStr">
        <is>
          <t>NULL</t>
        </is>
      </c>
      <c r="I318" s="0" t="inlineStr">
        <is>
          <t>NULL</t>
        </is>
      </c>
      <c r="J318" s="0" t="inlineStr">
        <is>
          <t>NULL</t>
        </is>
      </c>
      <c r="K318" s="0" t="inlineStr">
        <is>
          <t>YES! 	 c_decimal列源备映射正确，源端为decimal None位	期望更改为decimal(p,s)	实际备端为decimal None位</t>
        </is>
      </c>
    </row>
    <row r="319">
      <c r="B319" s="0" t="inlineStr">
        <is>
          <t>NULL</t>
        </is>
      </c>
      <c r="C319" s="0" t="inlineStr">
        <is>
          <t>NULL</t>
        </is>
      </c>
      <c r="D319" s="0" t="inlineStr">
        <is>
          <t>NULL</t>
        </is>
      </c>
      <c r="E319" s="0" t="inlineStr">
        <is>
          <t>NULL</t>
        </is>
      </c>
      <c r="F319" s="0" t="inlineStr">
        <is>
          <t>NULL</t>
        </is>
      </c>
      <c r="G319" s="0" t="inlineStr">
        <is>
          <t>NULL</t>
        </is>
      </c>
      <c r="H319" s="0" t="inlineStr">
        <is>
          <t>NULL</t>
        </is>
      </c>
      <c r="I319" s="0" t="inlineStr">
        <is>
          <t>NULL</t>
        </is>
      </c>
      <c r="J319" s="0" t="inlineStr">
        <is>
          <t>NULL</t>
        </is>
      </c>
      <c r="K319" s="0" t="inlineStr">
        <is>
          <t>YES! 	 c_decimal38列源备映射正确，源端为decimal None位	期望更改为decimal(p,s)	实际备端为decimal None位</t>
        </is>
      </c>
    </row>
    <row r="320">
      <c r="B320" s="0" t="inlineStr">
        <is>
          <t>NULL</t>
        </is>
      </c>
      <c r="C320" s="0" t="inlineStr">
        <is>
          <t>NULL</t>
        </is>
      </c>
      <c r="D320" s="0" t="inlineStr">
        <is>
          <t>NULL</t>
        </is>
      </c>
      <c r="E320" s="0" t="inlineStr">
        <is>
          <t>NULL</t>
        </is>
      </c>
      <c r="F320" s="0" t="inlineStr">
        <is>
          <t>NULL</t>
        </is>
      </c>
      <c r="G320" s="0" t="inlineStr">
        <is>
          <t>NULL</t>
        </is>
      </c>
      <c r="H320" s="0" t="inlineStr">
        <is>
          <t>NULL</t>
        </is>
      </c>
      <c r="I320" s="0" t="inlineStr">
        <is>
          <t>NULL</t>
        </is>
      </c>
      <c r="J320" s="0" t="inlineStr">
        <is>
          <t>NULL</t>
        </is>
      </c>
      <c r="K320" s="0" t="inlineStr">
        <is>
          <t>YES! 	 c_decimal38_38列源备映射正确，源端为decimal None位	期望更改为decimal(p,s)	实际备端为decimal None位</t>
        </is>
      </c>
    </row>
    <row r="321">
      <c r="B321" s="0" t="inlineStr">
        <is>
          <t>NULL</t>
        </is>
      </c>
      <c r="C321" s="0" t="inlineStr">
        <is>
          <t>NULL</t>
        </is>
      </c>
      <c r="D321" s="0" t="inlineStr">
        <is>
          <t>NULL</t>
        </is>
      </c>
      <c r="E321" s="0" t="inlineStr">
        <is>
          <t>NULL</t>
        </is>
      </c>
      <c r="F321" s="0" t="inlineStr">
        <is>
          <t>NULL</t>
        </is>
      </c>
      <c r="G321" s="0" t="inlineStr">
        <is>
          <t>NULL</t>
        </is>
      </c>
      <c r="H321" s="0" t="inlineStr">
        <is>
          <t>NULL</t>
        </is>
      </c>
      <c r="I321" s="0" t="inlineStr">
        <is>
          <t>NULL</t>
        </is>
      </c>
      <c r="J321" s="0" t="inlineStr">
        <is>
          <t>NULL</t>
        </is>
      </c>
      <c r="K321" s="0" t="inlineStr">
        <is>
          <t>YES! 	 c_decimal38_10列源备映射正确，源端为decimal None位	期望更改为decimal(p,s)	实际备端为decimal None位</t>
        </is>
      </c>
    </row>
    <row r="322">
      <c r="B322" s="0" t="inlineStr">
        <is>
          <t>NULL</t>
        </is>
      </c>
      <c r="C322" s="0" t="inlineStr">
        <is>
          <t>NULL</t>
        </is>
      </c>
      <c r="D322" s="0" t="inlineStr">
        <is>
          <t>NULL</t>
        </is>
      </c>
      <c r="E322" s="0" t="inlineStr">
        <is>
          <t>NULL</t>
        </is>
      </c>
      <c r="F322" s="0" t="inlineStr">
        <is>
          <t>NULL</t>
        </is>
      </c>
      <c r="G322" s="0" t="inlineStr">
        <is>
          <t>NULL</t>
        </is>
      </c>
      <c r="H322" s="0" t="inlineStr">
        <is>
          <t>NULL</t>
        </is>
      </c>
      <c r="I322" s="0" t="inlineStr">
        <is>
          <t>NULL</t>
        </is>
      </c>
      <c r="J322" s="0" t="inlineStr">
        <is>
          <t>NULL</t>
        </is>
      </c>
      <c r="K322" s="0" t="inlineStr">
        <is>
          <t>YES! 	 c_decimal19_4列源备映射正确，源端为decimal None位	期望更改为decimal(p,s)	实际备端为decimal None位</t>
        </is>
      </c>
    </row>
    <row r="323">
      <c r="B323" s="0" t="inlineStr">
        <is>
          <t>NULL</t>
        </is>
      </c>
      <c r="C323" s="0" t="inlineStr">
        <is>
          <t>NULL</t>
        </is>
      </c>
      <c r="D323" s="0" t="inlineStr">
        <is>
          <t>NULL</t>
        </is>
      </c>
      <c r="E323" s="0" t="inlineStr">
        <is>
          <t>NULL</t>
        </is>
      </c>
      <c r="F323" s="0" t="inlineStr">
        <is>
          <t>NULL</t>
        </is>
      </c>
      <c r="G323" s="0" t="inlineStr">
        <is>
          <t>NULL</t>
        </is>
      </c>
      <c r="H323" s="0" t="inlineStr">
        <is>
          <t>NULL</t>
        </is>
      </c>
      <c r="I323" s="0" t="inlineStr">
        <is>
          <t>NULL</t>
        </is>
      </c>
      <c r="J323" s="0" t="inlineStr">
        <is>
          <t>NULL</t>
        </is>
      </c>
      <c r="K323" s="0" t="inlineStr">
        <is>
          <t>YES! 	 c_numeric列源备映射正确，源端为numeric None位	期望更改为numeric(p,s)	实际备端为numeric None位</t>
        </is>
      </c>
    </row>
    <row r="324">
      <c r="B324" s="0" t="inlineStr">
        <is>
          <t>NULL</t>
        </is>
      </c>
      <c r="C324" s="0" t="inlineStr">
        <is>
          <t>NULL</t>
        </is>
      </c>
      <c r="D324" s="0" t="inlineStr">
        <is>
          <t>NULL</t>
        </is>
      </c>
      <c r="E324" s="0" t="inlineStr">
        <is>
          <t>NULL</t>
        </is>
      </c>
      <c r="F324" s="0" t="inlineStr">
        <is>
          <t>NULL</t>
        </is>
      </c>
      <c r="G324" s="0" t="inlineStr">
        <is>
          <t>NULL</t>
        </is>
      </c>
      <c r="H324" s="0" t="inlineStr">
        <is>
          <t>NULL</t>
        </is>
      </c>
      <c r="I324" s="0" t="inlineStr">
        <is>
          <t>NULL</t>
        </is>
      </c>
      <c r="J324" s="0" t="inlineStr">
        <is>
          <t>NULL</t>
        </is>
      </c>
      <c r="K324" s="0" t="inlineStr">
        <is>
          <t>YES! 	 c_numeric38列源备映射正确，源端为numeric None位	期望更改为numeric(p,s)	实际备端为numeric None位</t>
        </is>
      </c>
    </row>
    <row r="325">
      <c r="B325" s="0" t="inlineStr">
        <is>
          <t>NULL</t>
        </is>
      </c>
      <c r="C325" s="0" t="inlineStr">
        <is>
          <t>NULL</t>
        </is>
      </c>
      <c r="D325" s="0" t="inlineStr">
        <is>
          <t>NULL</t>
        </is>
      </c>
      <c r="E325" s="0" t="inlineStr">
        <is>
          <t>NULL</t>
        </is>
      </c>
      <c r="F325" s="0" t="inlineStr">
        <is>
          <t>NULL</t>
        </is>
      </c>
      <c r="G325" s="0" t="inlineStr">
        <is>
          <t>NULL</t>
        </is>
      </c>
      <c r="H325" s="0" t="inlineStr">
        <is>
          <t>NULL</t>
        </is>
      </c>
      <c r="I325" s="0" t="inlineStr">
        <is>
          <t>NULL</t>
        </is>
      </c>
      <c r="J325" s="0" t="inlineStr">
        <is>
          <t>NULL</t>
        </is>
      </c>
      <c r="K325" s="0" t="inlineStr">
        <is>
          <t>YES! 	 c_numeric38_38列源备映射正确，源端为numeric None位	期望更改为numeric(p,s)	实际备端为numeric None位</t>
        </is>
      </c>
    </row>
    <row r="326">
      <c r="B326" s="0" t="inlineStr">
        <is>
          <t>NULL</t>
        </is>
      </c>
      <c r="C326" s="0" t="inlineStr">
        <is>
          <t>NULL</t>
        </is>
      </c>
      <c r="D326" s="0" t="inlineStr">
        <is>
          <t>NULL</t>
        </is>
      </c>
      <c r="E326" s="0" t="inlineStr">
        <is>
          <t>NULL</t>
        </is>
      </c>
      <c r="F326" s="0" t="inlineStr">
        <is>
          <t>NULL</t>
        </is>
      </c>
      <c r="G326" s="0" t="inlineStr">
        <is>
          <t>NULL</t>
        </is>
      </c>
      <c r="H326" s="0" t="inlineStr">
        <is>
          <t>NULL</t>
        </is>
      </c>
      <c r="I326" s="0" t="inlineStr">
        <is>
          <t>NULL</t>
        </is>
      </c>
      <c r="J326" s="0" t="inlineStr">
        <is>
          <t>NULL</t>
        </is>
      </c>
      <c r="K326" s="0" t="inlineStr">
        <is>
          <t>YES! 	 c_numeric38_10列源备映射正确，源端为numeric None位	期望更改为numeric(p,s)	实际备端为numeric None位</t>
        </is>
      </c>
    </row>
    <row r="327">
      <c r="B327" s="0" t="inlineStr">
        <is>
          <t>NULL</t>
        </is>
      </c>
      <c r="C327" s="0" t="inlineStr">
        <is>
          <t>NULL</t>
        </is>
      </c>
      <c r="D327" s="0" t="inlineStr">
        <is>
          <t>NULL</t>
        </is>
      </c>
      <c r="E327" s="0" t="inlineStr">
        <is>
          <t>NULL</t>
        </is>
      </c>
      <c r="F327" s="0" t="inlineStr">
        <is>
          <t>NULL</t>
        </is>
      </c>
      <c r="G327" s="0" t="inlineStr">
        <is>
          <t>NULL</t>
        </is>
      </c>
      <c r="H327" s="0" t="inlineStr">
        <is>
          <t>NULL</t>
        </is>
      </c>
      <c r="I327" s="0" t="inlineStr">
        <is>
          <t>NULL</t>
        </is>
      </c>
      <c r="J327" s="0" t="inlineStr">
        <is>
          <t>NULL</t>
        </is>
      </c>
      <c r="K327" s="0" t="inlineStr">
        <is>
          <t>YES! 	 c_numeric18_2列源备映射正确，源端为numeric None位	期望更改为numeric(p,s)	实际备端为numeric None位</t>
        </is>
      </c>
    </row>
    <row r="328">
      <c r="B328" s="0" t="inlineStr">
        <is>
          <t>NULL</t>
        </is>
      </c>
      <c r="C328" s="0" t="inlineStr">
        <is>
          <t>NULL</t>
        </is>
      </c>
      <c r="D328" s="0" t="inlineStr">
        <is>
          <t>NULL</t>
        </is>
      </c>
      <c r="E328" s="0" t="inlineStr">
        <is>
          <t>NULL</t>
        </is>
      </c>
      <c r="F328" s="0" t="inlineStr">
        <is>
          <t>NULL</t>
        </is>
      </c>
      <c r="G328" s="0" t="inlineStr">
        <is>
          <t>NULL</t>
        </is>
      </c>
      <c r="H328" s="0" t="inlineStr">
        <is>
          <t>NULL</t>
        </is>
      </c>
      <c r="I328" s="0" t="inlineStr">
        <is>
          <t>NULL</t>
        </is>
      </c>
      <c r="J328" s="0" t="inlineStr">
        <is>
          <t>NULL</t>
        </is>
      </c>
      <c r="K328" s="0" t="inlineStr">
        <is>
          <t>YES! 	 c_float列源备映射正确，源端为float None位	期望更改为float	实际备端为float None位</t>
        </is>
      </c>
    </row>
    <row r="329">
      <c r="B329" s="0" t="inlineStr">
        <is>
          <t>NULL</t>
        </is>
      </c>
      <c r="C329" s="0" t="inlineStr">
        <is>
          <t>NULL</t>
        </is>
      </c>
      <c r="D329" s="0" t="inlineStr">
        <is>
          <t>NULL</t>
        </is>
      </c>
      <c r="E329" s="0" t="inlineStr">
        <is>
          <t>NULL</t>
        </is>
      </c>
      <c r="F329" s="0" t="inlineStr">
        <is>
          <t>NULL</t>
        </is>
      </c>
      <c r="G329" s="0" t="inlineStr">
        <is>
          <t>NULL</t>
        </is>
      </c>
      <c r="H329" s="0" t="inlineStr">
        <is>
          <t>NULL</t>
        </is>
      </c>
      <c r="I329" s="0" t="inlineStr">
        <is>
          <t>NULL</t>
        </is>
      </c>
      <c r="J329" s="0" t="inlineStr">
        <is>
          <t>NULL</t>
        </is>
      </c>
      <c r="K329" s="0" t="inlineStr">
        <is>
          <t>YES! 	 c_real列源备映射正确，源端为real None位	期望更改为real	实际备端为real None位</t>
        </is>
      </c>
    </row>
    <row r="330">
      <c r="B330" s="0" t="inlineStr">
        <is>
          <t>NULL</t>
        </is>
      </c>
      <c r="C330" s="0" t="inlineStr">
        <is>
          <t>NULL</t>
        </is>
      </c>
      <c r="D330" s="0" t="inlineStr">
        <is>
          <t>NULL</t>
        </is>
      </c>
      <c r="E330" s="0" t="inlineStr">
        <is>
          <t>NULL</t>
        </is>
      </c>
      <c r="F330" s="0" t="inlineStr">
        <is>
          <t>NULL</t>
        </is>
      </c>
      <c r="G330" s="0" t="inlineStr">
        <is>
          <t>NULL</t>
        </is>
      </c>
      <c r="H330" s="0" t="inlineStr">
        <is>
          <t>NULL</t>
        </is>
      </c>
      <c r="I330" s="0" t="inlineStr">
        <is>
          <t>NULL</t>
        </is>
      </c>
      <c r="J330" s="0" t="inlineStr">
        <is>
          <t>NULL</t>
        </is>
      </c>
      <c r="K330" s="0" t="inlineStr">
        <is>
          <t>YES! 	 c_money列源备映射正确，源端为money None位	期望更改为money	实际备端为money None位</t>
        </is>
      </c>
    </row>
    <row r="331">
      <c r="B331" s="0" t="inlineStr">
        <is>
          <t>NULL</t>
        </is>
      </c>
      <c r="C331" s="0" t="inlineStr">
        <is>
          <t>NULL</t>
        </is>
      </c>
      <c r="D331" s="0" t="inlineStr">
        <is>
          <t>NULL</t>
        </is>
      </c>
      <c r="E331" s="0" t="inlineStr">
        <is>
          <t>NULL</t>
        </is>
      </c>
      <c r="F331" s="0" t="inlineStr">
        <is>
          <t>NULL</t>
        </is>
      </c>
      <c r="G331" s="0" t="inlineStr">
        <is>
          <t>NULL</t>
        </is>
      </c>
      <c r="H331" s="0" t="inlineStr">
        <is>
          <t>NULL</t>
        </is>
      </c>
      <c r="I331" s="0" t="inlineStr">
        <is>
          <t>NULL</t>
        </is>
      </c>
      <c r="J331" s="0" t="inlineStr">
        <is>
          <t>NULL</t>
        </is>
      </c>
      <c r="K331" s="0" t="inlineStr">
        <is>
          <t>YES! 	 c_smallmoney列源备映射正确，源端为smallmoney None位	期望更改为smallmoney	实际备端为smallmoney None位</t>
        </is>
      </c>
    </row>
    <row r="332">
      <c r="B332" s="0" t="inlineStr">
        <is>
          <t>NULL</t>
        </is>
      </c>
      <c r="C332" s="0" t="inlineStr">
        <is>
          <t>NULL</t>
        </is>
      </c>
      <c r="D332" s="0" t="inlineStr">
        <is>
          <t>NULL</t>
        </is>
      </c>
      <c r="E332" s="0" t="inlineStr">
        <is>
          <t>NULL</t>
        </is>
      </c>
      <c r="F332" s="0" t="inlineStr">
        <is>
          <t>NULL</t>
        </is>
      </c>
      <c r="G332" s="0" t="inlineStr">
        <is>
          <t>NULL</t>
        </is>
      </c>
      <c r="H332" s="0" t="inlineStr">
        <is>
          <t>NULL</t>
        </is>
      </c>
      <c r="I332" s="0" t="inlineStr">
        <is>
          <t>NULL</t>
        </is>
      </c>
      <c r="J332" s="0" t="inlineStr">
        <is>
          <t>NULL</t>
        </is>
      </c>
      <c r="K332" s="0" t="inlineStr">
        <is>
          <t>YES! 	 c_bit列源备映射正确，源端为bit None位	期望更改为bit	实际备端为bit None位</t>
        </is>
      </c>
    </row>
    <row r="333">
      <c r="A333" s="0" t="inlineStr">
        <is>
          <t>info_nchar_dml_single_nopk_urp</t>
        </is>
      </c>
      <c r="K333" s="0" t="inlineStr">
        <is>
          <t>[0;34m info_nchar_dml_single_nopk_urp [0m源备字段数相同，源端字段：4 	备端字段4</t>
        </is>
      </c>
      <c r="W333" s="0" t="inlineStr">
        <is>
          <t>YES 源备无差异</t>
        </is>
      </c>
      <c r="X333" s="0">
        <f>A333</f>
        <v/>
      </c>
    </row>
    <row r="334">
      <c r="B334" s="0" t="inlineStr">
        <is>
          <t>NULL</t>
        </is>
      </c>
      <c r="C334" s="0" t="inlineStr">
        <is>
          <t>NULL</t>
        </is>
      </c>
      <c r="D334" s="0" t="inlineStr">
        <is>
          <t>NULL</t>
        </is>
      </c>
      <c r="E334" s="0" t="inlineStr">
        <is>
          <t>NULL</t>
        </is>
      </c>
      <c r="F334" s="0" t="inlineStr">
        <is>
          <t>NULL</t>
        </is>
      </c>
      <c r="G334" s="0" t="inlineStr">
        <is>
          <t>NULL</t>
        </is>
      </c>
      <c r="H334" s="0" t="inlineStr">
        <is>
          <t>NULL</t>
        </is>
      </c>
      <c r="I334" s="0" t="inlineStr">
        <is>
          <t>NULL</t>
        </is>
      </c>
      <c r="J334" s="0" t="inlineStr">
        <is>
          <t>NULL</t>
        </is>
      </c>
      <c r="K334" s="0" t="inlineStr">
        <is>
          <t>YES! 	 id列源备映射正确，源端为int None位	期望更改为int	实际备端为int None位</t>
        </is>
      </c>
    </row>
    <row r="335">
      <c r="B335" s="0" t="inlineStr">
        <is>
          <t>NULL</t>
        </is>
      </c>
      <c r="C335" s="0" t="inlineStr">
        <is>
          <t>NULL</t>
        </is>
      </c>
      <c r="D335" s="0" t="inlineStr">
        <is>
          <t>NULL</t>
        </is>
      </c>
      <c r="E335" s="0" t="inlineStr">
        <is>
          <t>NULL</t>
        </is>
      </c>
      <c r="F335" s="0" t="inlineStr">
        <is>
          <t>NULL</t>
        </is>
      </c>
      <c r="G335" s="0" t="inlineStr">
        <is>
          <t>NULL</t>
        </is>
      </c>
      <c r="H335" s="0" t="inlineStr">
        <is>
          <t>NULL</t>
        </is>
      </c>
      <c r="I335" s="0" t="inlineStr">
        <is>
          <t>NULL</t>
        </is>
      </c>
      <c r="J335" s="0" t="inlineStr">
        <is>
          <t>NULL</t>
        </is>
      </c>
      <c r="K335" s="0" t="inlineStr">
        <is>
          <t>YES! 	 c_nchar列源备映射正确，源端为nchar 2位	期望更改为nchar(n)	实际备端为nchar 2位</t>
        </is>
      </c>
    </row>
    <row r="336">
      <c r="B336" s="0" t="inlineStr">
        <is>
          <t>NULL</t>
        </is>
      </c>
      <c r="C336" s="0" t="inlineStr">
        <is>
          <t>NULL</t>
        </is>
      </c>
      <c r="D336" s="0" t="inlineStr">
        <is>
          <t>NULL</t>
        </is>
      </c>
      <c r="E336" s="0" t="inlineStr">
        <is>
          <t>NULL</t>
        </is>
      </c>
      <c r="F336" s="0" t="inlineStr">
        <is>
          <t>NULL</t>
        </is>
      </c>
      <c r="G336" s="0" t="inlineStr">
        <is>
          <t>NULL</t>
        </is>
      </c>
      <c r="H336" s="0" t="inlineStr">
        <is>
          <t>NULL</t>
        </is>
      </c>
      <c r="I336" s="0" t="inlineStr">
        <is>
          <t>NULL</t>
        </is>
      </c>
      <c r="J336" s="0" t="inlineStr">
        <is>
          <t>NULL</t>
        </is>
      </c>
      <c r="K336" s="0" t="inlineStr">
        <is>
          <t>YES! 	 c_nchar20列源备映射正确，源端为nchar 40位	期望更改为nchar(n)	实际备端为nchar 40位</t>
        </is>
      </c>
    </row>
    <row r="337">
      <c r="B337" s="0" t="inlineStr">
        <is>
          <t>NULL</t>
        </is>
      </c>
      <c r="C337" s="0" t="inlineStr">
        <is>
          <t>NULL</t>
        </is>
      </c>
      <c r="D337" s="0" t="inlineStr">
        <is>
          <t>NULL</t>
        </is>
      </c>
      <c r="E337" s="0" t="inlineStr">
        <is>
          <t>NULL</t>
        </is>
      </c>
      <c r="F337" s="0" t="inlineStr">
        <is>
          <t>NULL</t>
        </is>
      </c>
      <c r="G337" s="0" t="inlineStr">
        <is>
          <t>NULL</t>
        </is>
      </c>
      <c r="H337" s="0" t="inlineStr">
        <is>
          <t>NULL</t>
        </is>
      </c>
      <c r="I337" s="0" t="inlineStr">
        <is>
          <t>NULL</t>
        </is>
      </c>
      <c r="J337" s="0" t="inlineStr">
        <is>
          <t>NULL</t>
        </is>
      </c>
      <c r="K337" s="0" t="inlineStr">
        <is>
          <t>YES! 	 c_nchar3500列源备映射正确，源端为nchar 7000位	期望更改为nchar(n)	实际备端为nchar 7000位</t>
        </is>
      </c>
    </row>
    <row r="338">
      <c r="A338" s="0" t="inlineStr">
        <is>
          <t>info_varchar_dml_single_pk</t>
        </is>
      </c>
      <c r="K338" s="0" t="inlineStr">
        <is>
          <t>[0;34m info_varchar_dml_single_pk [0m源备字段数相同，源端字段：4 	备端字段4</t>
        </is>
      </c>
      <c r="W338" s="0" t="inlineStr">
        <is>
          <t>YES 源备无差异</t>
        </is>
      </c>
      <c r="X338" s="0">
        <f>A338</f>
        <v/>
      </c>
    </row>
    <row r="339">
      <c r="B339" s="0" t="inlineStr">
        <is>
          <t>YES</t>
        </is>
      </c>
      <c r="C339" s="0" t="inlineStr">
        <is>
          <t>NULL</t>
        </is>
      </c>
      <c r="D339" s="0" t="inlineStr">
        <is>
          <t>NULL</t>
        </is>
      </c>
      <c r="E339" s="0" t="inlineStr">
        <is>
          <t>NULL</t>
        </is>
      </c>
      <c r="F339" s="0" t="inlineStr">
        <is>
          <t>NULL</t>
        </is>
      </c>
      <c r="G339" s="0" t="inlineStr">
        <is>
          <t>NULL</t>
        </is>
      </c>
      <c r="H339" s="0" t="inlineStr">
        <is>
          <t>NULL</t>
        </is>
      </c>
      <c r="I339" s="0" t="inlineStr">
        <is>
          <t>YES!PK__info_var__3213E83F455A32E8</t>
        </is>
      </c>
      <c r="J339" s="0" t="inlineStr">
        <is>
          <t>YES! 主键相关索引</t>
        </is>
      </c>
      <c r="K339" s="0" t="inlineStr">
        <is>
          <t>YES! 	 id列源备映射正确，源端为int None位	期望更改为int	实际备端为int None位</t>
        </is>
      </c>
    </row>
    <row r="340">
      <c r="B340" s="0" t="inlineStr">
        <is>
          <t>NULL</t>
        </is>
      </c>
      <c r="C340" s="0" t="inlineStr">
        <is>
          <t>NULL</t>
        </is>
      </c>
      <c r="D340" s="0" t="inlineStr">
        <is>
          <t>NULL</t>
        </is>
      </c>
      <c r="E340" s="0" t="inlineStr">
        <is>
          <t>NULL</t>
        </is>
      </c>
      <c r="F340" s="0" t="inlineStr">
        <is>
          <t>NULL</t>
        </is>
      </c>
      <c r="G340" s="0" t="inlineStr">
        <is>
          <t>NULL</t>
        </is>
      </c>
      <c r="H340" s="0" t="inlineStr">
        <is>
          <t>NULL</t>
        </is>
      </c>
      <c r="I340" s="0" t="inlineStr">
        <is>
          <t>NULL</t>
        </is>
      </c>
      <c r="J340" s="0" t="inlineStr">
        <is>
          <t>NULL</t>
        </is>
      </c>
      <c r="K340" s="0" t="inlineStr">
        <is>
          <t>YES! 	 c_varchar列源备映射正确，源端为varchar 1位	期望更改为varchar(n)	实际备端为varchar 1位</t>
        </is>
      </c>
    </row>
    <row r="341">
      <c r="B341" s="0" t="inlineStr">
        <is>
          <t>NULL</t>
        </is>
      </c>
      <c r="C341" s="0" t="inlineStr">
        <is>
          <t>NULL</t>
        </is>
      </c>
      <c r="D341" s="0" t="inlineStr">
        <is>
          <t>NULL</t>
        </is>
      </c>
      <c r="E341" s="0" t="inlineStr">
        <is>
          <t>NULL</t>
        </is>
      </c>
      <c r="F341" s="0" t="inlineStr">
        <is>
          <t>NULL</t>
        </is>
      </c>
      <c r="G341" s="0" t="inlineStr">
        <is>
          <t>NULL</t>
        </is>
      </c>
      <c r="H341" s="0" t="inlineStr">
        <is>
          <t>NULL</t>
        </is>
      </c>
      <c r="I341" s="0" t="inlineStr">
        <is>
          <t>NULL</t>
        </is>
      </c>
      <c r="J341" s="0" t="inlineStr">
        <is>
          <t>NULL</t>
        </is>
      </c>
      <c r="K341" s="0" t="inlineStr">
        <is>
          <t>YES! 	 c_varchar50列源备映射正确，源端为varchar 50位	期望更改为varchar(n)	实际备端为varchar 50位</t>
        </is>
      </c>
    </row>
    <row r="342">
      <c r="B342" s="0" t="inlineStr">
        <is>
          <t>NULL</t>
        </is>
      </c>
      <c r="C342" s="0" t="inlineStr">
        <is>
          <t>NULL</t>
        </is>
      </c>
      <c r="D342" s="0" t="inlineStr">
        <is>
          <t>NULL</t>
        </is>
      </c>
      <c r="E342" s="0" t="inlineStr">
        <is>
          <t>NULL</t>
        </is>
      </c>
      <c r="F342" s="0" t="inlineStr">
        <is>
          <t>NULL</t>
        </is>
      </c>
      <c r="G342" s="0" t="inlineStr">
        <is>
          <t>NULL</t>
        </is>
      </c>
      <c r="H342" s="0" t="inlineStr">
        <is>
          <t>NULL</t>
        </is>
      </c>
      <c r="I342" s="0" t="inlineStr">
        <is>
          <t>NULL</t>
        </is>
      </c>
      <c r="J342" s="0" t="inlineStr">
        <is>
          <t>NULL</t>
        </is>
      </c>
      <c r="K342" s="0" t="inlineStr">
        <is>
          <t>YES! 	 c_varchar8000列源备映射正确，源端为varchar 8000位	期望更改为varchar(n)	实际备端为varchar 8000位</t>
        </is>
      </c>
    </row>
    <row r="343">
      <c r="A343" s="0" t="inlineStr">
        <is>
          <t>info_sdt_dml_batch1_pk_urp1</t>
        </is>
      </c>
      <c r="K343" s="0" t="inlineStr">
        <is>
          <t>[0;34m info_sdt_dml_batch1_pk_urp1 [0m源备字段数相同，源端字段：2 	备端字段2</t>
        </is>
      </c>
      <c r="W343" s="0" t="inlineStr">
        <is>
          <t>YES 源备无差异</t>
        </is>
      </c>
      <c r="X343" s="0">
        <f>A343</f>
        <v/>
      </c>
    </row>
    <row r="344">
      <c r="B344" s="0" t="inlineStr">
        <is>
          <t>YES</t>
        </is>
      </c>
      <c r="C344" s="0" t="inlineStr">
        <is>
          <t>NULL</t>
        </is>
      </c>
      <c r="D344" s="0" t="inlineStr">
        <is>
          <t>NULL</t>
        </is>
      </c>
      <c r="E344" s="0" t="inlineStr">
        <is>
          <t>NULL</t>
        </is>
      </c>
      <c r="F344" s="0" t="inlineStr">
        <is>
          <t>NULL</t>
        </is>
      </c>
      <c r="G344" s="0" t="inlineStr">
        <is>
          <t>NULL</t>
        </is>
      </c>
      <c r="H344" s="0" t="inlineStr">
        <is>
          <t>NULL</t>
        </is>
      </c>
      <c r="I344" s="0" t="inlineStr">
        <is>
          <t>YES!PK__info_sdt__3213E83FC4043C95</t>
        </is>
      </c>
      <c r="J344" s="0" t="inlineStr">
        <is>
          <t>YES! 主键相关索引</t>
        </is>
      </c>
      <c r="K344" s="0" t="inlineStr">
        <is>
          <t>YES! 	 id列源备映射正确，源端为int None位	期望更改为int	实际备端为int None位</t>
        </is>
      </c>
    </row>
    <row r="345">
      <c r="B345" s="0" t="inlineStr">
        <is>
          <t>NULL</t>
        </is>
      </c>
      <c r="C345" s="0" t="inlineStr">
        <is>
          <t>NULL</t>
        </is>
      </c>
      <c r="D345" s="0" t="inlineStr">
        <is>
          <t>NULL</t>
        </is>
      </c>
      <c r="E345" s="0" t="inlineStr">
        <is>
          <t>NULL</t>
        </is>
      </c>
      <c r="F345" s="0" t="inlineStr">
        <is>
          <t>NULL</t>
        </is>
      </c>
      <c r="G345" s="0" t="inlineStr">
        <is>
          <t>NULL</t>
        </is>
      </c>
      <c r="H345" s="0" t="inlineStr">
        <is>
          <t>NULL</t>
        </is>
      </c>
      <c r="I345" s="0" t="inlineStr">
        <is>
          <t>NULL</t>
        </is>
      </c>
      <c r="J345" s="0" t="inlineStr">
        <is>
          <t>NULL</t>
        </is>
      </c>
      <c r="K345" s="0" t="inlineStr">
        <is>
          <t>YES! 	 c_sdt列源备映射正确，源端为smalldatetime None位	期望更改为smalldatetime	实际备端为smalldatetime None位</t>
        </is>
      </c>
    </row>
    <row r="346">
      <c r="A346" s="0" t="inlineStr">
        <is>
          <t>info_varchar_dml_batch1_pk_irp1</t>
        </is>
      </c>
      <c r="K346" s="0" t="inlineStr">
        <is>
          <t>[0;34m info_varchar_dml_batch1_pk_irp1 [0m源备字段数相同，源端字段：4 	备端字段4</t>
        </is>
      </c>
      <c r="W346" s="0" t="inlineStr">
        <is>
          <t>YES 源备无差异</t>
        </is>
      </c>
      <c r="X346" s="0">
        <f>A346</f>
        <v/>
      </c>
    </row>
    <row r="347">
      <c r="B347" s="0" t="inlineStr">
        <is>
          <t>YES</t>
        </is>
      </c>
      <c r="C347" s="0" t="inlineStr">
        <is>
          <t>NULL</t>
        </is>
      </c>
      <c r="D347" s="0" t="inlineStr">
        <is>
          <t>NULL</t>
        </is>
      </c>
      <c r="E347" s="0" t="inlineStr">
        <is>
          <t>NULL</t>
        </is>
      </c>
      <c r="F347" s="0" t="inlineStr">
        <is>
          <t>NULL</t>
        </is>
      </c>
      <c r="G347" s="0" t="inlineStr">
        <is>
          <t>NULL</t>
        </is>
      </c>
      <c r="H347" s="0" t="inlineStr">
        <is>
          <t>NULL</t>
        </is>
      </c>
      <c r="I347" s="0" t="inlineStr">
        <is>
          <t>YES!PK__info_var__3213E83F369F1F96</t>
        </is>
      </c>
      <c r="J347" s="0" t="inlineStr">
        <is>
          <t>YES! 主键相关索引</t>
        </is>
      </c>
      <c r="K347" s="0" t="inlineStr">
        <is>
          <t>YES! 	 id列源备映射正确，源端为int None位	期望更改为int	实际备端为int None位</t>
        </is>
      </c>
    </row>
    <row r="348">
      <c r="B348" s="0" t="inlineStr">
        <is>
          <t>NULL</t>
        </is>
      </c>
      <c r="C348" s="0" t="inlineStr">
        <is>
          <t>NULL</t>
        </is>
      </c>
      <c r="D348" s="0" t="inlineStr">
        <is>
          <t>NULL</t>
        </is>
      </c>
      <c r="E348" s="0" t="inlineStr">
        <is>
          <t>NULL</t>
        </is>
      </c>
      <c r="F348" s="0" t="inlineStr">
        <is>
          <t>NULL</t>
        </is>
      </c>
      <c r="G348" s="0" t="inlineStr">
        <is>
          <t>NULL</t>
        </is>
      </c>
      <c r="H348" s="0" t="inlineStr">
        <is>
          <t>NULL</t>
        </is>
      </c>
      <c r="I348" s="0" t="inlineStr">
        <is>
          <t>NULL</t>
        </is>
      </c>
      <c r="J348" s="0" t="inlineStr">
        <is>
          <t>NULL</t>
        </is>
      </c>
      <c r="K348" s="0" t="inlineStr">
        <is>
          <t>YES! 	 c_varchar列源备映射正确，源端为varchar 1位	期望更改为varchar(n)	实际备端为varchar 1位</t>
        </is>
      </c>
    </row>
    <row r="349">
      <c r="B349" s="0" t="inlineStr">
        <is>
          <t>NULL</t>
        </is>
      </c>
      <c r="C349" s="0" t="inlineStr">
        <is>
          <t>NULL</t>
        </is>
      </c>
      <c r="D349" s="0" t="inlineStr">
        <is>
          <t>NULL</t>
        </is>
      </c>
      <c r="E349" s="0" t="inlineStr">
        <is>
          <t>NULL</t>
        </is>
      </c>
      <c r="F349" s="0" t="inlineStr">
        <is>
          <t>NULL</t>
        </is>
      </c>
      <c r="G349" s="0" t="inlineStr">
        <is>
          <t>NULL</t>
        </is>
      </c>
      <c r="H349" s="0" t="inlineStr">
        <is>
          <t>NULL</t>
        </is>
      </c>
      <c r="I349" s="0" t="inlineStr">
        <is>
          <t>NULL</t>
        </is>
      </c>
      <c r="J349" s="0" t="inlineStr">
        <is>
          <t>NULL</t>
        </is>
      </c>
      <c r="K349" s="0" t="inlineStr">
        <is>
          <t>YES! 	 c_varchar20列源备映射正确，源端为varchar 20位	期望更改为varchar(n)	实际备端为varchar 20位</t>
        </is>
      </c>
    </row>
    <row r="350">
      <c r="B350" s="0" t="inlineStr">
        <is>
          <t>NULL</t>
        </is>
      </c>
      <c r="C350" s="0" t="inlineStr">
        <is>
          <t>NULL</t>
        </is>
      </c>
      <c r="D350" s="0" t="inlineStr">
        <is>
          <t>NULL</t>
        </is>
      </c>
      <c r="E350" s="0" t="inlineStr">
        <is>
          <t>NULL</t>
        </is>
      </c>
      <c r="F350" s="0" t="inlineStr">
        <is>
          <t>NULL</t>
        </is>
      </c>
      <c r="G350" s="0" t="inlineStr">
        <is>
          <t>NULL</t>
        </is>
      </c>
      <c r="H350" s="0" t="inlineStr">
        <is>
          <t>NULL</t>
        </is>
      </c>
      <c r="I350" s="0" t="inlineStr">
        <is>
          <t>NULL</t>
        </is>
      </c>
      <c r="J350" s="0" t="inlineStr">
        <is>
          <t>NULL</t>
        </is>
      </c>
      <c r="K350" s="0" t="inlineStr">
        <is>
          <t>YES! 	 c_varchar8000列源备映射正确，源端为varchar 8000位	期望更改为varchar(n)	实际备端为varchar 8000位</t>
        </is>
      </c>
    </row>
    <row r="351">
      <c r="A351" s="0" t="inlineStr">
        <is>
          <t>info_nchar_dml_single_nopk_drp</t>
        </is>
      </c>
      <c r="K351" s="0" t="inlineStr">
        <is>
          <t>[0;34m info_nchar_dml_single_nopk_drp [0m源备字段数相同，源端字段：4 	备端字段4</t>
        </is>
      </c>
      <c r="W351" s="0" t="inlineStr">
        <is>
          <t>YES 源备无差异</t>
        </is>
      </c>
      <c r="X351" s="0">
        <f>A351</f>
        <v/>
      </c>
    </row>
    <row r="352">
      <c r="B352" s="0" t="inlineStr">
        <is>
          <t>NULL</t>
        </is>
      </c>
      <c r="C352" s="0" t="inlineStr">
        <is>
          <t>NULL</t>
        </is>
      </c>
      <c r="D352" s="0" t="inlineStr">
        <is>
          <t>NULL</t>
        </is>
      </c>
      <c r="E352" s="0" t="inlineStr">
        <is>
          <t>NULL</t>
        </is>
      </c>
      <c r="F352" s="0" t="inlineStr">
        <is>
          <t>NULL</t>
        </is>
      </c>
      <c r="G352" s="0" t="inlineStr">
        <is>
          <t>NULL</t>
        </is>
      </c>
      <c r="H352" s="0" t="inlineStr">
        <is>
          <t>NULL</t>
        </is>
      </c>
      <c r="I352" s="0" t="inlineStr">
        <is>
          <t>NULL</t>
        </is>
      </c>
      <c r="J352" s="0" t="inlineStr">
        <is>
          <t>NULL</t>
        </is>
      </c>
      <c r="K352" s="0" t="inlineStr">
        <is>
          <t>YES! 	 id列源备映射正确，源端为int None位	期望更改为int	实际备端为int None位</t>
        </is>
      </c>
    </row>
    <row r="353">
      <c r="B353" s="0" t="inlineStr">
        <is>
          <t>NULL</t>
        </is>
      </c>
      <c r="C353" s="0" t="inlineStr">
        <is>
          <t>NULL</t>
        </is>
      </c>
      <c r="D353" s="0" t="inlineStr">
        <is>
          <t>NULL</t>
        </is>
      </c>
      <c r="E353" s="0" t="inlineStr">
        <is>
          <t>NULL</t>
        </is>
      </c>
      <c r="F353" s="0" t="inlineStr">
        <is>
          <t>NULL</t>
        </is>
      </c>
      <c r="G353" s="0" t="inlineStr">
        <is>
          <t>NULL</t>
        </is>
      </c>
      <c r="H353" s="0" t="inlineStr">
        <is>
          <t>NULL</t>
        </is>
      </c>
      <c r="I353" s="0" t="inlineStr">
        <is>
          <t>NULL</t>
        </is>
      </c>
      <c r="J353" s="0" t="inlineStr">
        <is>
          <t>NULL</t>
        </is>
      </c>
      <c r="K353" s="0" t="inlineStr">
        <is>
          <t>YES! 	 c_nchar列源备映射正确，源端为nchar 2位	期望更改为nchar(n)	实际备端为nchar 2位</t>
        </is>
      </c>
    </row>
    <row r="354">
      <c r="B354" s="0" t="inlineStr">
        <is>
          <t>NULL</t>
        </is>
      </c>
      <c r="C354" s="0" t="inlineStr">
        <is>
          <t>NULL</t>
        </is>
      </c>
      <c r="D354" s="0" t="inlineStr">
        <is>
          <t>NULL</t>
        </is>
      </c>
      <c r="E354" s="0" t="inlineStr">
        <is>
          <t>NULL</t>
        </is>
      </c>
      <c r="F354" s="0" t="inlineStr">
        <is>
          <t>NULL</t>
        </is>
      </c>
      <c r="G354" s="0" t="inlineStr">
        <is>
          <t>NULL</t>
        </is>
      </c>
      <c r="H354" s="0" t="inlineStr">
        <is>
          <t>NULL</t>
        </is>
      </c>
      <c r="I354" s="0" t="inlineStr">
        <is>
          <t>NULL</t>
        </is>
      </c>
      <c r="J354" s="0" t="inlineStr">
        <is>
          <t>NULL</t>
        </is>
      </c>
      <c r="K354" s="0" t="inlineStr">
        <is>
          <t>YES! 	 c_nchar20列源备映射正确，源端为nchar 40位	期望更改为nchar(n)	实际备端为nchar 40位</t>
        </is>
      </c>
    </row>
    <row r="355">
      <c r="B355" s="0" t="inlineStr">
        <is>
          <t>NULL</t>
        </is>
      </c>
      <c r="C355" s="0" t="inlineStr">
        <is>
          <t>NULL</t>
        </is>
      </c>
      <c r="D355" s="0" t="inlineStr">
        <is>
          <t>NULL</t>
        </is>
      </c>
      <c r="E355" s="0" t="inlineStr">
        <is>
          <t>NULL</t>
        </is>
      </c>
      <c r="F355" s="0" t="inlineStr">
        <is>
          <t>NULL</t>
        </is>
      </c>
      <c r="G355" s="0" t="inlineStr">
        <is>
          <t>NULL</t>
        </is>
      </c>
      <c r="H355" s="0" t="inlineStr">
        <is>
          <t>NULL</t>
        </is>
      </c>
      <c r="I355" s="0" t="inlineStr">
        <is>
          <t>NULL</t>
        </is>
      </c>
      <c r="J355" s="0" t="inlineStr">
        <is>
          <t>NULL</t>
        </is>
      </c>
      <c r="K355" s="0" t="inlineStr">
        <is>
          <t>YES! 	 c_nchar3500列源备映射正确，源端为nchar 7000位	期望更改为nchar(n)	实际备端为nchar 7000位</t>
        </is>
      </c>
    </row>
    <row r="356">
      <c r="A356" s="0" t="inlineStr">
        <is>
          <t>info_int_dml_single_pk</t>
        </is>
      </c>
      <c r="K356" s="0" t="inlineStr">
        <is>
          <t>[0;34m info_int_dml_single_pk [0m源备字段数相同，源端字段：20 	备端字段20</t>
        </is>
      </c>
      <c r="W356" s="0" t="inlineStr">
        <is>
          <t>YES 源备无差异</t>
        </is>
      </c>
      <c r="X356" s="0">
        <f>A356</f>
        <v/>
      </c>
    </row>
    <row r="357">
      <c r="B357" s="0" t="inlineStr">
        <is>
          <t>YES</t>
        </is>
      </c>
      <c r="C357" s="0" t="inlineStr">
        <is>
          <t>NULL</t>
        </is>
      </c>
      <c r="D357" s="0" t="inlineStr">
        <is>
          <t>NULL</t>
        </is>
      </c>
      <c r="E357" s="0" t="inlineStr">
        <is>
          <t>NULL</t>
        </is>
      </c>
      <c r="F357" s="0" t="inlineStr">
        <is>
          <t>NULL</t>
        </is>
      </c>
      <c r="G357" s="0" t="inlineStr">
        <is>
          <t>NULL</t>
        </is>
      </c>
      <c r="H357" s="0" t="inlineStr">
        <is>
          <t>NULL</t>
        </is>
      </c>
      <c r="I357" s="0" t="inlineStr">
        <is>
          <t>YES!PK__info_int__3213E83F5D7987FF</t>
        </is>
      </c>
      <c r="J357" s="0" t="inlineStr">
        <is>
          <t>YES! 主键相关索引</t>
        </is>
      </c>
      <c r="K357" s="0" t="inlineStr">
        <is>
          <t>YES! 	 id列源备映射正确，源端为int None位	期望更改为int	实际备端为int None位</t>
        </is>
      </c>
    </row>
    <row r="358">
      <c r="B358" s="0" t="inlineStr">
        <is>
          <t>NULL</t>
        </is>
      </c>
      <c r="C358" s="0" t="inlineStr">
        <is>
          <t>NULL</t>
        </is>
      </c>
      <c r="D358" s="0" t="inlineStr">
        <is>
          <t>NULL</t>
        </is>
      </c>
      <c r="E358" s="0" t="inlineStr">
        <is>
          <t>NULL</t>
        </is>
      </c>
      <c r="F358" s="0" t="inlineStr">
        <is>
          <t>NULL</t>
        </is>
      </c>
      <c r="G358" s="0" t="inlineStr">
        <is>
          <t>NULL</t>
        </is>
      </c>
      <c r="H358" s="0" t="inlineStr">
        <is>
          <t>NULL</t>
        </is>
      </c>
      <c r="I358" s="0" t="inlineStr">
        <is>
          <t>NULL</t>
        </is>
      </c>
      <c r="J358" s="0" t="inlineStr">
        <is>
          <t>NULL</t>
        </is>
      </c>
      <c r="K358" s="0" t="inlineStr">
        <is>
          <t>YES! 	 c_tinyint列源备映射正确，源端为tinyint None位	期望更改为tinyint	实际备端为tinyint None位</t>
        </is>
      </c>
    </row>
    <row r="359">
      <c r="B359" s="0" t="inlineStr">
        <is>
          <t>NULL</t>
        </is>
      </c>
      <c r="C359" s="0" t="inlineStr">
        <is>
          <t>NULL</t>
        </is>
      </c>
      <c r="D359" s="0" t="inlineStr">
        <is>
          <t>NULL</t>
        </is>
      </c>
      <c r="E359" s="0" t="inlineStr">
        <is>
          <t>NULL</t>
        </is>
      </c>
      <c r="F359" s="0" t="inlineStr">
        <is>
          <t>NULL</t>
        </is>
      </c>
      <c r="G359" s="0" t="inlineStr">
        <is>
          <t>NULL</t>
        </is>
      </c>
      <c r="H359" s="0" t="inlineStr">
        <is>
          <t>NULL</t>
        </is>
      </c>
      <c r="I359" s="0" t="inlineStr">
        <is>
          <t>NULL</t>
        </is>
      </c>
      <c r="J359" s="0" t="inlineStr">
        <is>
          <t>NULL</t>
        </is>
      </c>
      <c r="K359" s="0" t="inlineStr">
        <is>
          <t>YES! 	 c_smallint列源备映射正确，源端为smallint None位	期望更改为smallint	实际备端为smallint None位</t>
        </is>
      </c>
    </row>
    <row r="360">
      <c r="B360" s="0" t="inlineStr">
        <is>
          <t>NULL</t>
        </is>
      </c>
      <c r="C360" s="0" t="inlineStr">
        <is>
          <t>NULL</t>
        </is>
      </c>
      <c r="D360" s="0" t="inlineStr">
        <is>
          <t>NULL</t>
        </is>
      </c>
      <c r="E360" s="0" t="inlineStr">
        <is>
          <t>NULL</t>
        </is>
      </c>
      <c r="F360" s="0" t="inlineStr">
        <is>
          <t>NULL</t>
        </is>
      </c>
      <c r="G360" s="0" t="inlineStr">
        <is>
          <t>NULL</t>
        </is>
      </c>
      <c r="H360" s="0" t="inlineStr">
        <is>
          <t>NULL</t>
        </is>
      </c>
      <c r="I360" s="0" t="inlineStr">
        <is>
          <t>NULL</t>
        </is>
      </c>
      <c r="J360" s="0" t="inlineStr">
        <is>
          <t>NULL</t>
        </is>
      </c>
      <c r="K360" s="0" t="inlineStr">
        <is>
          <t>YES! 	 c_int列源备映射正确，源端为int None位	期望更改为int	实际备端为int None位</t>
        </is>
      </c>
    </row>
    <row r="361">
      <c r="B361" s="0" t="inlineStr">
        <is>
          <t>NULL</t>
        </is>
      </c>
      <c r="C361" s="0" t="inlineStr">
        <is>
          <t>NULL</t>
        </is>
      </c>
      <c r="D361" s="0" t="inlineStr">
        <is>
          <t>NULL</t>
        </is>
      </c>
      <c r="E361" s="0" t="inlineStr">
        <is>
          <t>NULL</t>
        </is>
      </c>
      <c r="F361" s="0" t="inlineStr">
        <is>
          <t>NULL</t>
        </is>
      </c>
      <c r="G361" s="0" t="inlineStr">
        <is>
          <t>NULL</t>
        </is>
      </c>
      <c r="H361" s="0" t="inlineStr">
        <is>
          <t>NULL</t>
        </is>
      </c>
      <c r="I361" s="0" t="inlineStr">
        <is>
          <t>NULL</t>
        </is>
      </c>
      <c r="J361" s="0" t="inlineStr">
        <is>
          <t>NULL</t>
        </is>
      </c>
      <c r="K361" s="0" t="inlineStr">
        <is>
          <t>YES! 	 c_bigint列源备映射正确，源端为bigint None位	期望更改为bigint	实际备端为bigint None位</t>
        </is>
      </c>
    </row>
    <row r="362">
      <c r="B362" s="0" t="inlineStr">
        <is>
          <t>NULL</t>
        </is>
      </c>
      <c r="C362" s="0" t="inlineStr">
        <is>
          <t>NULL</t>
        </is>
      </c>
      <c r="D362" s="0" t="inlineStr">
        <is>
          <t>NULL</t>
        </is>
      </c>
      <c r="E362" s="0" t="inlineStr">
        <is>
          <t>NULL</t>
        </is>
      </c>
      <c r="F362" s="0" t="inlineStr">
        <is>
          <t>NULL</t>
        </is>
      </c>
      <c r="G362" s="0" t="inlineStr">
        <is>
          <t>NULL</t>
        </is>
      </c>
      <c r="H362" s="0" t="inlineStr">
        <is>
          <t>NULL</t>
        </is>
      </c>
      <c r="I362" s="0" t="inlineStr">
        <is>
          <t>NULL</t>
        </is>
      </c>
      <c r="J362" s="0" t="inlineStr">
        <is>
          <t>NULL</t>
        </is>
      </c>
      <c r="K362" s="0" t="inlineStr">
        <is>
          <t>YES! 	 c_decimal列源备映射正确，源端为decimal None位	期望更改为decimal(p,s)	实际备端为decimal None位</t>
        </is>
      </c>
    </row>
    <row r="363">
      <c r="B363" s="0" t="inlineStr">
        <is>
          <t>NULL</t>
        </is>
      </c>
      <c r="C363" s="0" t="inlineStr">
        <is>
          <t>NULL</t>
        </is>
      </c>
      <c r="D363" s="0" t="inlineStr">
        <is>
          <t>NULL</t>
        </is>
      </c>
      <c r="E363" s="0" t="inlineStr">
        <is>
          <t>NULL</t>
        </is>
      </c>
      <c r="F363" s="0" t="inlineStr">
        <is>
          <t>NULL</t>
        </is>
      </c>
      <c r="G363" s="0" t="inlineStr">
        <is>
          <t>NULL</t>
        </is>
      </c>
      <c r="H363" s="0" t="inlineStr">
        <is>
          <t>NULL</t>
        </is>
      </c>
      <c r="I363" s="0" t="inlineStr">
        <is>
          <t>NULL</t>
        </is>
      </c>
      <c r="J363" s="0" t="inlineStr">
        <is>
          <t>NULL</t>
        </is>
      </c>
      <c r="K363" s="0" t="inlineStr">
        <is>
          <t>YES! 	 c_decimal38列源备映射正确，源端为decimal None位	期望更改为decimal(p,s)	实际备端为decimal None位</t>
        </is>
      </c>
    </row>
    <row r="364">
      <c r="B364" s="0" t="inlineStr">
        <is>
          <t>NULL</t>
        </is>
      </c>
      <c r="C364" s="0" t="inlineStr">
        <is>
          <t>NULL</t>
        </is>
      </c>
      <c r="D364" s="0" t="inlineStr">
        <is>
          <t>NULL</t>
        </is>
      </c>
      <c r="E364" s="0" t="inlineStr">
        <is>
          <t>NULL</t>
        </is>
      </c>
      <c r="F364" s="0" t="inlineStr">
        <is>
          <t>NULL</t>
        </is>
      </c>
      <c r="G364" s="0" t="inlineStr">
        <is>
          <t>NULL</t>
        </is>
      </c>
      <c r="H364" s="0" t="inlineStr">
        <is>
          <t>NULL</t>
        </is>
      </c>
      <c r="I364" s="0" t="inlineStr">
        <is>
          <t>NULL</t>
        </is>
      </c>
      <c r="J364" s="0" t="inlineStr">
        <is>
          <t>NULL</t>
        </is>
      </c>
      <c r="K364" s="0" t="inlineStr">
        <is>
          <t>YES! 	 c_decimal38_38列源备映射正确，源端为decimal None位	期望更改为decimal(p,s)	实际备端为decimal None位</t>
        </is>
      </c>
    </row>
    <row r="365">
      <c r="B365" s="0" t="inlineStr">
        <is>
          <t>NULL</t>
        </is>
      </c>
      <c r="C365" s="0" t="inlineStr">
        <is>
          <t>NULL</t>
        </is>
      </c>
      <c r="D365" s="0" t="inlineStr">
        <is>
          <t>NULL</t>
        </is>
      </c>
      <c r="E365" s="0" t="inlineStr">
        <is>
          <t>NULL</t>
        </is>
      </c>
      <c r="F365" s="0" t="inlineStr">
        <is>
          <t>NULL</t>
        </is>
      </c>
      <c r="G365" s="0" t="inlineStr">
        <is>
          <t>NULL</t>
        </is>
      </c>
      <c r="H365" s="0" t="inlineStr">
        <is>
          <t>NULL</t>
        </is>
      </c>
      <c r="I365" s="0" t="inlineStr">
        <is>
          <t>NULL</t>
        </is>
      </c>
      <c r="J365" s="0" t="inlineStr">
        <is>
          <t>NULL</t>
        </is>
      </c>
      <c r="K365" s="0" t="inlineStr">
        <is>
          <t>YES! 	 c_decimal38_10列源备映射正确，源端为decimal None位	期望更改为decimal(p,s)	实际备端为decimal None位</t>
        </is>
      </c>
    </row>
    <row r="366">
      <c r="B366" s="0" t="inlineStr">
        <is>
          <t>NULL</t>
        </is>
      </c>
      <c r="C366" s="0" t="inlineStr">
        <is>
          <t>NULL</t>
        </is>
      </c>
      <c r="D366" s="0" t="inlineStr">
        <is>
          <t>NULL</t>
        </is>
      </c>
      <c r="E366" s="0" t="inlineStr">
        <is>
          <t>NULL</t>
        </is>
      </c>
      <c r="F366" s="0" t="inlineStr">
        <is>
          <t>NULL</t>
        </is>
      </c>
      <c r="G366" s="0" t="inlineStr">
        <is>
          <t>NULL</t>
        </is>
      </c>
      <c r="H366" s="0" t="inlineStr">
        <is>
          <t>NULL</t>
        </is>
      </c>
      <c r="I366" s="0" t="inlineStr">
        <is>
          <t>NULL</t>
        </is>
      </c>
      <c r="J366" s="0" t="inlineStr">
        <is>
          <t>NULL</t>
        </is>
      </c>
      <c r="K366" s="0" t="inlineStr">
        <is>
          <t>YES! 	 c_decimal19_4列源备映射正确，源端为decimal None位	期望更改为decimal(p,s)	实际备端为decimal None位</t>
        </is>
      </c>
    </row>
    <row r="367">
      <c r="B367" s="0" t="inlineStr">
        <is>
          <t>NULL</t>
        </is>
      </c>
      <c r="C367" s="0" t="inlineStr">
        <is>
          <t>NULL</t>
        </is>
      </c>
      <c r="D367" s="0" t="inlineStr">
        <is>
          <t>NULL</t>
        </is>
      </c>
      <c r="E367" s="0" t="inlineStr">
        <is>
          <t>NULL</t>
        </is>
      </c>
      <c r="F367" s="0" t="inlineStr">
        <is>
          <t>NULL</t>
        </is>
      </c>
      <c r="G367" s="0" t="inlineStr">
        <is>
          <t>NULL</t>
        </is>
      </c>
      <c r="H367" s="0" t="inlineStr">
        <is>
          <t>NULL</t>
        </is>
      </c>
      <c r="I367" s="0" t="inlineStr">
        <is>
          <t>NULL</t>
        </is>
      </c>
      <c r="J367" s="0" t="inlineStr">
        <is>
          <t>NULL</t>
        </is>
      </c>
      <c r="K367" s="0" t="inlineStr">
        <is>
          <t>YES! 	 c_numeric列源备映射正确，源端为numeric None位	期望更改为numeric(p,s)	实际备端为numeric None位</t>
        </is>
      </c>
    </row>
    <row r="368">
      <c r="B368" s="0" t="inlineStr">
        <is>
          <t>NULL</t>
        </is>
      </c>
      <c r="C368" s="0" t="inlineStr">
        <is>
          <t>NULL</t>
        </is>
      </c>
      <c r="D368" s="0" t="inlineStr">
        <is>
          <t>NULL</t>
        </is>
      </c>
      <c r="E368" s="0" t="inlineStr">
        <is>
          <t>NULL</t>
        </is>
      </c>
      <c r="F368" s="0" t="inlineStr">
        <is>
          <t>NULL</t>
        </is>
      </c>
      <c r="G368" s="0" t="inlineStr">
        <is>
          <t>NULL</t>
        </is>
      </c>
      <c r="H368" s="0" t="inlineStr">
        <is>
          <t>NULL</t>
        </is>
      </c>
      <c r="I368" s="0" t="inlineStr">
        <is>
          <t>NULL</t>
        </is>
      </c>
      <c r="J368" s="0" t="inlineStr">
        <is>
          <t>NULL</t>
        </is>
      </c>
      <c r="K368" s="0" t="inlineStr">
        <is>
          <t>YES! 	 c_numeric38列源备映射正确，源端为numeric None位	期望更改为numeric(p,s)	实际备端为numeric None位</t>
        </is>
      </c>
    </row>
    <row r="369">
      <c r="B369" s="0" t="inlineStr">
        <is>
          <t>NULL</t>
        </is>
      </c>
      <c r="C369" s="0" t="inlineStr">
        <is>
          <t>NULL</t>
        </is>
      </c>
      <c r="D369" s="0" t="inlineStr">
        <is>
          <t>NULL</t>
        </is>
      </c>
      <c r="E369" s="0" t="inlineStr">
        <is>
          <t>NULL</t>
        </is>
      </c>
      <c r="F369" s="0" t="inlineStr">
        <is>
          <t>NULL</t>
        </is>
      </c>
      <c r="G369" s="0" t="inlineStr">
        <is>
          <t>NULL</t>
        </is>
      </c>
      <c r="H369" s="0" t="inlineStr">
        <is>
          <t>NULL</t>
        </is>
      </c>
      <c r="I369" s="0" t="inlineStr">
        <is>
          <t>NULL</t>
        </is>
      </c>
      <c r="J369" s="0" t="inlineStr">
        <is>
          <t>NULL</t>
        </is>
      </c>
      <c r="K369" s="0" t="inlineStr">
        <is>
          <t>YES! 	 c_numeric38_38列源备映射正确，源端为numeric None位	期望更改为numeric(p,s)	实际备端为numeric None位</t>
        </is>
      </c>
    </row>
    <row r="370">
      <c r="B370" s="0" t="inlineStr">
        <is>
          <t>NULL</t>
        </is>
      </c>
      <c r="C370" s="0" t="inlineStr">
        <is>
          <t>NULL</t>
        </is>
      </c>
      <c r="D370" s="0" t="inlineStr">
        <is>
          <t>NULL</t>
        </is>
      </c>
      <c r="E370" s="0" t="inlineStr">
        <is>
          <t>NULL</t>
        </is>
      </c>
      <c r="F370" s="0" t="inlineStr">
        <is>
          <t>NULL</t>
        </is>
      </c>
      <c r="G370" s="0" t="inlineStr">
        <is>
          <t>NULL</t>
        </is>
      </c>
      <c r="H370" s="0" t="inlineStr">
        <is>
          <t>NULL</t>
        </is>
      </c>
      <c r="I370" s="0" t="inlineStr">
        <is>
          <t>NULL</t>
        </is>
      </c>
      <c r="J370" s="0" t="inlineStr">
        <is>
          <t>NULL</t>
        </is>
      </c>
      <c r="K370" s="0" t="inlineStr">
        <is>
          <t>YES! 	 c_numeric38_10列源备映射正确，源端为numeric None位	期望更改为numeric(p,s)	实际备端为numeric None位</t>
        </is>
      </c>
    </row>
    <row r="371">
      <c r="B371" s="0" t="inlineStr">
        <is>
          <t>NULL</t>
        </is>
      </c>
      <c r="C371" s="0" t="inlineStr">
        <is>
          <t>NULL</t>
        </is>
      </c>
      <c r="D371" s="0" t="inlineStr">
        <is>
          <t>NULL</t>
        </is>
      </c>
      <c r="E371" s="0" t="inlineStr">
        <is>
          <t>NULL</t>
        </is>
      </c>
      <c r="F371" s="0" t="inlineStr">
        <is>
          <t>NULL</t>
        </is>
      </c>
      <c r="G371" s="0" t="inlineStr">
        <is>
          <t>NULL</t>
        </is>
      </c>
      <c r="H371" s="0" t="inlineStr">
        <is>
          <t>NULL</t>
        </is>
      </c>
      <c r="I371" s="0" t="inlineStr">
        <is>
          <t>NULL</t>
        </is>
      </c>
      <c r="J371" s="0" t="inlineStr">
        <is>
          <t>NULL</t>
        </is>
      </c>
      <c r="K371" s="0" t="inlineStr">
        <is>
          <t>YES! 	 c_numeric18_2列源备映射正确，源端为numeric None位	期望更改为numeric(p,s)	实际备端为numeric None位</t>
        </is>
      </c>
    </row>
    <row r="372">
      <c r="B372" s="0" t="inlineStr">
        <is>
          <t>NULL</t>
        </is>
      </c>
      <c r="C372" s="0" t="inlineStr">
        <is>
          <t>NULL</t>
        </is>
      </c>
      <c r="D372" s="0" t="inlineStr">
        <is>
          <t>NULL</t>
        </is>
      </c>
      <c r="E372" s="0" t="inlineStr">
        <is>
          <t>NULL</t>
        </is>
      </c>
      <c r="F372" s="0" t="inlineStr">
        <is>
          <t>NULL</t>
        </is>
      </c>
      <c r="G372" s="0" t="inlineStr">
        <is>
          <t>NULL</t>
        </is>
      </c>
      <c r="H372" s="0" t="inlineStr">
        <is>
          <t>NULL</t>
        </is>
      </c>
      <c r="I372" s="0" t="inlineStr">
        <is>
          <t>NULL</t>
        </is>
      </c>
      <c r="J372" s="0" t="inlineStr">
        <is>
          <t>NULL</t>
        </is>
      </c>
      <c r="K372" s="0" t="inlineStr">
        <is>
          <t>YES! 	 c_float列源备映射正确，源端为float None位	期望更改为float	实际备端为float None位</t>
        </is>
      </c>
    </row>
    <row r="373">
      <c r="B373" s="0" t="inlineStr">
        <is>
          <t>NULL</t>
        </is>
      </c>
      <c r="C373" s="0" t="inlineStr">
        <is>
          <t>NULL</t>
        </is>
      </c>
      <c r="D373" s="0" t="inlineStr">
        <is>
          <t>NULL</t>
        </is>
      </c>
      <c r="E373" s="0" t="inlineStr">
        <is>
          <t>NULL</t>
        </is>
      </c>
      <c r="F373" s="0" t="inlineStr">
        <is>
          <t>NULL</t>
        </is>
      </c>
      <c r="G373" s="0" t="inlineStr">
        <is>
          <t>NULL</t>
        </is>
      </c>
      <c r="H373" s="0" t="inlineStr">
        <is>
          <t>NULL</t>
        </is>
      </c>
      <c r="I373" s="0" t="inlineStr">
        <is>
          <t>NULL</t>
        </is>
      </c>
      <c r="J373" s="0" t="inlineStr">
        <is>
          <t>NULL</t>
        </is>
      </c>
      <c r="K373" s="0" t="inlineStr">
        <is>
          <t>YES! 	 c_real列源备映射正确，源端为real None位	期望更改为real	实际备端为real None位</t>
        </is>
      </c>
    </row>
    <row r="374">
      <c r="B374" s="0" t="inlineStr">
        <is>
          <t>NULL</t>
        </is>
      </c>
      <c r="C374" s="0" t="inlineStr">
        <is>
          <t>NULL</t>
        </is>
      </c>
      <c r="D374" s="0" t="inlineStr">
        <is>
          <t>NULL</t>
        </is>
      </c>
      <c r="E374" s="0" t="inlineStr">
        <is>
          <t>NULL</t>
        </is>
      </c>
      <c r="F374" s="0" t="inlineStr">
        <is>
          <t>NULL</t>
        </is>
      </c>
      <c r="G374" s="0" t="inlineStr">
        <is>
          <t>NULL</t>
        </is>
      </c>
      <c r="H374" s="0" t="inlineStr">
        <is>
          <t>NULL</t>
        </is>
      </c>
      <c r="I374" s="0" t="inlineStr">
        <is>
          <t>NULL</t>
        </is>
      </c>
      <c r="J374" s="0" t="inlineStr">
        <is>
          <t>NULL</t>
        </is>
      </c>
      <c r="K374" s="0" t="inlineStr">
        <is>
          <t>YES! 	 c_money列源备映射正确，源端为money None位	期望更改为money	实际备端为money None位</t>
        </is>
      </c>
    </row>
    <row r="375">
      <c r="B375" s="0" t="inlineStr">
        <is>
          <t>NULL</t>
        </is>
      </c>
      <c r="C375" s="0" t="inlineStr">
        <is>
          <t>NULL</t>
        </is>
      </c>
      <c r="D375" s="0" t="inlineStr">
        <is>
          <t>NULL</t>
        </is>
      </c>
      <c r="E375" s="0" t="inlineStr">
        <is>
          <t>NULL</t>
        </is>
      </c>
      <c r="F375" s="0" t="inlineStr">
        <is>
          <t>NULL</t>
        </is>
      </c>
      <c r="G375" s="0" t="inlineStr">
        <is>
          <t>NULL</t>
        </is>
      </c>
      <c r="H375" s="0" t="inlineStr">
        <is>
          <t>NULL</t>
        </is>
      </c>
      <c r="I375" s="0" t="inlineStr">
        <is>
          <t>NULL</t>
        </is>
      </c>
      <c r="J375" s="0" t="inlineStr">
        <is>
          <t>NULL</t>
        </is>
      </c>
      <c r="K375" s="0" t="inlineStr">
        <is>
          <t>YES! 	 c_smallmoney列源备映射正确，源端为smallmoney None位	期望更改为smallmoney	实际备端为smallmoney None位</t>
        </is>
      </c>
    </row>
    <row r="376">
      <c r="B376" s="0" t="inlineStr">
        <is>
          <t>NULL</t>
        </is>
      </c>
      <c r="C376" s="0" t="inlineStr">
        <is>
          <t>NULL</t>
        </is>
      </c>
      <c r="D376" s="0" t="inlineStr">
        <is>
          <t>NULL</t>
        </is>
      </c>
      <c r="E376" s="0" t="inlineStr">
        <is>
          <t>NULL</t>
        </is>
      </c>
      <c r="F376" s="0" t="inlineStr">
        <is>
          <t>NULL</t>
        </is>
      </c>
      <c r="G376" s="0" t="inlineStr">
        <is>
          <t>NULL</t>
        </is>
      </c>
      <c r="H376" s="0" t="inlineStr">
        <is>
          <t>NULL</t>
        </is>
      </c>
      <c r="I376" s="0" t="inlineStr">
        <is>
          <t>NULL</t>
        </is>
      </c>
      <c r="J376" s="0" t="inlineStr">
        <is>
          <t>NULL</t>
        </is>
      </c>
      <c r="K376" s="0" t="inlineStr">
        <is>
          <t>YES! 	 c_bit列源备映射正确，源端为bit None位	期望更改为bit	实际备端为bit None位</t>
        </is>
      </c>
    </row>
    <row r="377">
      <c r="A377" s="0" t="inlineStr">
        <is>
          <t>info_nchar_dml_single_pk_irp</t>
        </is>
      </c>
      <c r="K377" s="0" t="inlineStr">
        <is>
          <t>[0;34m info_nchar_dml_single_pk_irp [0m源备字段数相同，源端字段：4 	备端字段4</t>
        </is>
      </c>
      <c r="W377" s="0" t="inlineStr">
        <is>
          <t>YES 源备无差异</t>
        </is>
      </c>
      <c r="X377" s="0">
        <f>A377</f>
        <v/>
      </c>
    </row>
    <row r="378">
      <c r="B378" s="0" t="inlineStr">
        <is>
          <t>YES</t>
        </is>
      </c>
      <c r="C378" s="0" t="inlineStr">
        <is>
          <t>NULL</t>
        </is>
      </c>
      <c r="D378" s="0" t="inlineStr">
        <is>
          <t>NULL</t>
        </is>
      </c>
      <c r="E378" s="0" t="inlineStr">
        <is>
          <t>NULL</t>
        </is>
      </c>
      <c r="F378" s="0" t="inlineStr">
        <is>
          <t>NULL</t>
        </is>
      </c>
      <c r="G378" s="0" t="inlineStr">
        <is>
          <t>NULL</t>
        </is>
      </c>
      <c r="H378" s="0" t="inlineStr">
        <is>
          <t>NULL</t>
        </is>
      </c>
      <c r="I378" s="0" t="inlineStr">
        <is>
          <t>YES!PK__info_nch__3213E83F5EB3C382</t>
        </is>
      </c>
      <c r="J378" s="0" t="inlineStr">
        <is>
          <t>YES! 主键相关索引</t>
        </is>
      </c>
      <c r="K378" s="0" t="inlineStr">
        <is>
          <t>YES! 	 id列源备映射正确，源端为int None位	期望更改为int	实际备端为int None位</t>
        </is>
      </c>
    </row>
    <row r="379">
      <c r="B379" s="0" t="inlineStr">
        <is>
          <t>NULL</t>
        </is>
      </c>
      <c r="C379" s="0" t="inlineStr">
        <is>
          <t>NULL</t>
        </is>
      </c>
      <c r="D379" s="0" t="inlineStr">
        <is>
          <t>NULL</t>
        </is>
      </c>
      <c r="E379" s="0" t="inlineStr">
        <is>
          <t>NULL</t>
        </is>
      </c>
      <c r="F379" s="0" t="inlineStr">
        <is>
          <t>NULL</t>
        </is>
      </c>
      <c r="G379" s="0" t="inlineStr">
        <is>
          <t>NULL</t>
        </is>
      </c>
      <c r="H379" s="0" t="inlineStr">
        <is>
          <t>NULL</t>
        </is>
      </c>
      <c r="I379" s="0" t="inlineStr">
        <is>
          <t>NULL</t>
        </is>
      </c>
      <c r="J379" s="0" t="inlineStr">
        <is>
          <t>NULL</t>
        </is>
      </c>
      <c r="K379" s="0" t="inlineStr">
        <is>
          <t>YES! 	 c_nchar列源备映射正确，源端为nchar 2位	期望更改为nchar(n)	实际备端为nchar 2位</t>
        </is>
      </c>
    </row>
    <row r="380">
      <c r="B380" s="0" t="inlineStr">
        <is>
          <t>NULL</t>
        </is>
      </c>
      <c r="C380" s="0" t="inlineStr">
        <is>
          <t>NULL</t>
        </is>
      </c>
      <c r="D380" s="0" t="inlineStr">
        <is>
          <t>NULL</t>
        </is>
      </c>
      <c r="E380" s="0" t="inlineStr">
        <is>
          <t>NULL</t>
        </is>
      </c>
      <c r="F380" s="0" t="inlineStr">
        <is>
          <t>NULL</t>
        </is>
      </c>
      <c r="G380" s="0" t="inlineStr">
        <is>
          <t>NULL</t>
        </is>
      </c>
      <c r="H380" s="0" t="inlineStr">
        <is>
          <t>NULL</t>
        </is>
      </c>
      <c r="I380" s="0" t="inlineStr">
        <is>
          <t>NULL</t>
        </is>
      </c>
      <c r="J380" s="0" t="inlineStr">
        <is>
          <t>NULL</t>
        </is>
      </c>
      <c r="K380" s="0" t="inlineStr">
        <is>
          <t>YES! 	 c_nchar20列源备映射正确，源端为nchar 40位	期望更改为nchar(n)	实际备端为nchar 40位</t>
        </is>
      </c>
    </row>
    <row r="381">
      <c r="B381" s="0" t="inlineStr">
        <is>
          <t>NULL</t>
        </is>
      </c>
      <c r="C381" s="0" t="inlineStr">
        <is>
          <t>NULL</t>
        </is>
      </c>
      <c r="D381" s="0" t="inlineStr">
        <is>
          <t>NULL</t>
        </is>
      </c>
      <c r="E381" s="0" t="inlineStr">
        <is>
          <t>NULL</t>
        </is>
      </c>
      <c r="F381" s="0" t="inlineStr">
        <is>
          <t>NULL</t>
        </is>
      </c>
      <c r="G381" s="0" t="inlineStr">
        <is>
          <t>NULL</t>
        </is>
      </c>
      <c r="H381" s="0" t="inlineStr">
        <is>
          <t>NULL</t>
        </is>
      </c>
      <c r="I381" s="0" t="inlineStr">
        <is>
          <t>NULL</t>
        </is>
      </c>
      <c r="J381" s="0" t="inlineStr">
        <is>
          <t>NULL</t>
        </is>
      </c>
      <c r="K381" s="0" t="inlineStr">
        <is>
          <t>YES! 	 c_nchar4000列源备映射正确，源端为nchar 8000位	期望更改为nchar(n)	实际备端为nchar 8000位</t>
        </is>
      </c>
    </row>
    <row r="382">
      <c r="A382" s="0" t="inlineStr">
        <is>
          <t>info_sdt_dml_batch1_pk_urp2</t>
        </is>
      </c>
      <c r="K382" s="0" t="inlineStr">
        <is>
          <t>[0;34m info_sdt_dml_batch1_pk_urp2 [0m源备字段数相同，源端字段：2 	备端字段2</t>
        </is>
      </c>
      <c r="W382" s="0" t="inlineStr">
        <is>
          <t>YES 源备无差异</t>
        </is>
      </c>
      <c r="X382" s="0">
        <f>A382</f>
        <v/>
      </c>
    </row>
    <row r="383">
      <c r="B383" s="0" t="inlineStr">
        <is>
          <t>YES</t>
        </is>
      </c>
      <c r="C383" s="0" t="inlineStr">
        <is>
          <t>NULL</t>
        </is>
      </c>
      <c r="D383" s="0" t="inlineStr">
        <is>
          <t>NULL</t>
        </is>
      </c>
      <c r="E383" s="0" t="inlineStr">
        <is>
          <t>NULL</t>
        </is>
      </c>
      <c r="F383" s="0" t="inlineStr">
        <is>
          <t>NULL</t>
        </is>
      </c>
      <c r="G383" s="0" t="inlineStr">
        <is>
          <t>NULL</t>
        </is>
      </c>
      <c r="H383" s="0" t="inlineStr">
        <is>
          <t>NULL</t>
        </is>
      </c>
      <c r="I383" s="0" t="inlineStr">
        <is>
          <t>YES!PK__info_sdt__3213E83F9232A2E1</t>
        </is>
      </c>
      <c r="J383" s="0" t="inlineStr">
        <is>
          <t>YES! 主键相关索引</t>
        </is>
      </c>
      <c r="K383" s="0" t="inlineStr">
        <is>
          <t>YES! 	 id列源备映射正确，源端为int None位	期望更改为int	实际备端为int None位</t>
        </is>
      </c>
    </row>
    <row r="384">
      <c r="B384" s="0" t="inlineStr">
        <is>
          <t>NULL</t>
        </is>
      </c>
      <c r="C384" s="0" t="inlineStr">
        <is>
          <t>NULL</t>
        </is>
      </c>
      <c r="D384" s="0" t="inlineStr">
        <is>
          <t>NULL</t>
        </is>
      </c>
      <c r="E384" s="0" t="inlineStr">
        <is>
          <t>NULL</t>
        </is>
      </c>
      <c r="F384" s="0" t="inlineStr">
        <is>
          <t>NULL</t>
        </is>
      </c>
      <c r="G384" s="0" t="inlineStr">
        <is>
          <t>NULL</t>
        </is>
      </c>
      <c r="H384" s="0" t="inlineStr">
        <is>
          <t>NULL</t>
        </is>
      </c>
      <c r="I384" s="0" t="inlineStr">
        <is>
          <t>NULL</t>
        </is>
      </c>
      <c r="J384" s="0" t="inlineStr">
        <is>
          <t>NULL</t>
        </is>
      </c>
      <c r="K384" s="0" t="inlineStr">
        <is>
          <t>YES! 	 c_sdt列源备映射正确，源端为smalldatetime None位	期望更改为smalldatetime	实际备端为smalldatetime None位</t>
        </is>
      </c>
    </row>
    <row r="385">
      <c r="A385" s="0" t="inlineStr">
        <is>
          <t>info_varchar_dml_batch1_pk_irp2</t>
        </is>
      </c>
      <c r="K385" s="0" t="inlineStr">
        <is>
          <t>[0;34m info_varchar_dml_batch1_pk_irp2 [0m源备字段数相同，源端字段：4 	备端字段4</t>
        </is>
      </c>
      <c r="W385" s="0" t="inlineStr">
        <is>
          <t>YES 源备无差异</t>
        </is>
      </c>
      <c r="X385" s="0">
        <f>A385</f>
        <v/>
      </c>
    </row>
    <row r="386">
      <c r="B386" s="0" t="inlineStr">
        <is>
          <t>YES</t>
        </is>
      </c>
      <c r="C386" s="0" t="inlineStr">
        <is>
          <t>NULL</t>
        </is>
      </c>
      <c r="D386" s="0" t="inlineStr">
        <is>
          <t>NULL</t>
        </is>
      </c>
      <c r="E386" s="0" t="inlineStr">
        <is>
          <t>NULL</t>
        </is>
      </c>
      <c r="F386" s="0" t="inlineStr">
        <is>
          <t>NULL</t>
        </is>
      </c>
      <c r="G386" s="0" t="inlineStr">
        <is>
          <t>NULL</t>
        </is>
      </c>
      <c r="H386" s="0" t="inlineStr">
        <is>
          <t>NULL</t>
        </is>
      </c>
      <c r="I386" s="0" t="inlineStr">
        <is>
          <t>YES!PK__info_var__3213E83FA0841A50</t>
        </is>
      </c>
      <c r="J386" s="0" t="inlineStr">
        <is>
          <t>YES! 主键相关索引</t>
        </is>
      </c>
      <c r="K386" s="0" t="inlineStr">
        <is>
          <t>YES! 	 id列源备映射正确，源端为int None位	期望更改为int	实际备端为int None位</t>
        </is>
      </c>
    </row>
    <row r="387">
      <c r="B387" s="0" t="inlineStr">
        <is>
          <t>NULL</t>
        </is>
      </c>
      <c r="C387" s="0" t="inlineStr">
        <is>
          <t>NULL</t>
        </is>
      </c>
      <c r="D387" s="0" t="inlineStr">
        <is>
          <t>NULL</t>
        </is>
      </c>
      <c r="E387" s="0" t="inlineStr">
        <is>
          <t>NULL</t>
        </is>
      </c>
      <c r="F387" s="0" t="inlineStr">
        <is>
          <t>NULL</t>
        </is>
      </c>
      <c r="G387" s="0" t="inlineStr">
        <is>
          <t>NULL</t>
        </is>
      </c>
      <c r="H387" s="0" t="inlineStr">
        <is>
          <t>NULL</t>
        </is>
      </c>
      <c r="I387" s="0" t="inlineStr">
        <is>
          <t>NULL</t>
        </is>
      </c>
      <c r="J387" s="0" t="inlineStr">
        <is>
          <t>NULL</t>
        </is>
      </c>
      <c r="K387" s="0" t="inlineStr">
        <is>
          <t>YES! 	 c_varchar列源备映射正确，源端为varchar 1位	期望更改为varchar(n)	实际备端为varchar 1位</t>
        </is>
      </c>
    </row>
    <row r="388">
      <c r="B388" s="0" t="inlineStr">
        <is>
          <t>NULL</t>
        </is>
      </c>
      <c r="C388" s="0" t="inlineStr">
        <is>
          <t>NULL</t>
        </is>
      </c>
      <c r="D388" s="0" t="inlineStr">
        <is>
          <t>NULL</t>
        </is>
      </c>
      <c r="E388" s="0" t="inlineStr">
        <is>
          <t>NULL</t>
        </is>
      </c>
      <c r="F388" s="0" t="inlineStr">
        <is>
          <t>NULL</t>
        </is>
      </c>
      <c r="G388" s="0" t="inlineStr">
        <is>
          <t>NULL</t>
        </is>
      </c>
      <c r="H388" s="0" t="inlineStr">
        <is>
          <t>NULL</t>
        </is>
      </c>
      <c r="I388" s="0" t="inlineStr">
        <is>
          <t>NULL</t>
        </is>
      </c>
      <c r="J388" s="0" t="inlineStr">
        <is>
          <t>NULL</t>
        </is>
      </c>
      <c r="K388" s="0" t="inlineStr">
        <is>
          <t>YES! 	 c_varchar20列源备映射正确，源端为varchar 20位	期望更改为varchar(n)	实际备端为varchar 20位</t>
        </is>
      </c>
    </row>
    <row r="389">
      <c r="B389" s="0" t="inlineStr">
        <is>
          <t>NULL</t>
        </is>
      </c>
      <c r="C389" s="0" t="inlineStr">
        <is>
          <t>NULL</t>
        </is>
      </c>
      <c r="D389" s="0" t="inlineStr">
        <is>
          <t>NULL</t>
        </is>
      </c>
      <c r="E389" s="0" t="inlineStr">
        <is>
          <t>NULL</t>
        </is>
      </c>
      <c r="F389" s="0" t="inlineStr">
        <is>
          <t>NULL</t>
        </is>
      </c>
      <c r="G389" s="0" t="inlineStr">
        <is>
          <t>NULL</t>
        </is>
      </c>
      <c r="H389" s="0" t="inlineStr">
        <is>
          <t>NULL</t>
        </is>
      </c>
      <c r="I389" s="0" t="inlineStr">
        <is>
          <t>NULL</t>
        </is>
      </c>
      <c r="J389" s="0" t="inlineStr">
        <is>
          <t>NULL</t>
        </is>
      </c>
      <c r="K389" s="0" t="inlineStr">
        <is>
          <t>YES! 	 c_varchar8000列源备映射正确，源端为varchar 8000位	期望更改为varchar(n)	实际备端为varchar 8000位</t>
        </is>
      </c>
    </row>
    <row r="390">
      <c r="A390" s="0" t="inlineStr">
        <is>
          <t>info_nchar_dml_single_nopk</t>
        </is>
      </c>
      <c r="K390" s="0" t="inlineStr">
        <is>
          <t>[0;34m info_nchar_dml_single_nopk [0m源备字段数相同，源端字段：4 	备端字段4</t>
        </is>
      </c>
      <c r="W390" s="0" t="inlineStr">
        <is>
          <t>YES 源备无差异</t>
        </is>
      </c>
      <c r="X390" s="0">
        <f>A390</f>
        <v/>
      </c>
    </row>
    <row r="391">
      <c r="B391" s="0" t="inlineStr">
        <is>
          <t>NULL</t>
        </is>
      </c>
      <c r="C391" s="0" t="inlineStr">
        <is>
          <t>NULL</t>
        </is>
      </c>
      <c r="D391" s="0" t="inlineStr">
        <is>
          <t>NULL</t>
        </is>
      </c>
      <c r="E391" s="0" t="inlineStr">
        <is>
          <t>NULL</t>
        </is>
      </c>
      <c r="F391" s="0" t="inlineStr">
        <is>
          <t>NULL</t>
        </is>
      </c>
      <c r="G391" s="0" t="inlineStr">
        <is>
          <t>NULL</t>
        </is>
      </c>
      <c r="H391" s="0" t="inlineStr">
        <is>
          <t>NULL</t>
        </is>
      </c>
      <c r="I391" s="0" t="inlineStr">
        <is>
          <t>NULL</t>
        </is>
      </c>
      <c r="J391" s="0" t="inlineStr">
        <is>
          <t>NULL</t>
        </is>
      </c>
      <c r="K391" s="0" t="inlineStr">
        <is>
          <t>YES! 	 id列源备映射正确，源端为int None位	期望更改为int	实际备端为int None位</t>
        </is>
      </c>
    </row>
    <row r="392">
      <c r="B392" s="0" t="inlineStr">
        <is>
          <t>NULL</t>
        </is>
      </c>
      <c r="C392" s="0" t="inlineStr">
        <is>
          <t>NULL</t>
        </is>
      </c>
      <c r="D392" s="0" t="inlineStr">
        <is>
          <t>NULL</t>
        </is>
      </c>
      <c r="E392" s="0" t="inlineStr">
        <is>
          <t>NULL</t>
        </is>
      </c>
      <c r="F392" s="0" t="inlineStr">
        <is>
          <t>NULL</t>
        </is>
      </c>
      <c r="G392" s="0" t="inlineStr">
        <is>
          <t>NULL</t>
        </is>
      </c>
      <c r="H392" s="0" t="inlineStr">
        <is>
          <t>NULL</t>
        </is>
      </c>
      <c r="I392" s="0" t="inlineStr">
        <is>
          <t>NULL</t>
        </is>
      </c>
      <c r="J392" s="0" t="inlineStr">
        <is>
          <t>NULL</t>
        </is>
      </c>
      <c r="K392" s="0" t="inlineStr">
        <is>
          <t>YES! 	 c_nchar列源备映射正确，源端为nchar 2位	期望更改为nchar(n)	实际备端为nchar 2位</t>
        </is>
      </c>
    </row>
    <row r="393">
      <c r="B393" s="0" t="inlineStr">
        <is>
          <t>NULL</t>
        </is>
      </c>
      <c r="C393" s="0" t="inlineStr">
        <is>
          <t>NULL</t>
        </is>
      </c>
      <c r="D393" s="0" t="inlineStr">
        <is>
          <t>NULL</t>
        </is>
      </c>
      <c r="E393" s="0" t="inlineStr">
        <is>
          <t>NULL</t>
        </is>
      </c>
      <c r="F393" s="0" t="inlineStr">
        <is>
          <t>NULL</t>
        </is>
      </c>
      <c r="G393" s="0" t="inlineStr">
        <is>
          <t>NULL</t>
        </is>
      </c>
      <c r="H393" s="0" t="inlineStr">
        <is>
          <t>NULL</t>
        </is>
      </c>
      <c r="I393" s="0" t="inlineStr">
        <is>
          <t>NULL</t>
        </is>
      </c>
      <c r="J393" s="0" t="inlineStr">
        <is>
          <t>NULL</t>
        </is>
      </c>
      <c r="K393" s="0" t="inlineStr">
        <is>
          <t>YES! 	 c_nchar20列源备映射正确，源端为nchar 40位	期望更改为nchar(n)	实际备端为nchar 40位</t>
        </is>
      </c>
    </row>
    <row r="394">
      <c r="B394" s="0" t="inlineStr">
        <is>
          <t>NULL</t>
        </is>
      </c>
      <c r="C394" s="0" t="inlineStr">
        <is>
          <t>NULL</t>
        </is>
      </c>
      <c r="D394" s="0" t="inlineStr">
        <is>
          <t>NULL</t>
        </is>
      </c>
      <c r="E394" s="0" t="inlineStr">
        <is>
          <t>NULL</t>
        </is>
      </c>
      <c r="F394" s="0" t="inlineStr">
        <is>
          <t>NULL</t>
        </is>
      </c>
      <c r="G394" s="0" t="inlineStr">
        <is>
          <t>NULL</t>
        </is>
      </c>
      <c r="H394" s="0" t="inlineStr">
        <is>
          <t>NULL</t>
        </is>
      </c>
      <c r="I394" s="0" t="inlineStr">
        <is>
          <t>NULL</t>
        </is>
      </c>
      <c r="J394" s="0" t="inlineStr">
        <is>
          <t>NULL</t>
        </is>
      </c>
      <c r="K394" s="0" t="inlineStr">
        <is>
          <t>YES! 	 c_nchar3500列源备映射正确，源端为nchar 7000位	期望更改为nchar(n)	实际备端为nchar 7000位</t>
        </is>
      </c>
    </row>
    <row r="395">
      <c r="A395" s="0" t="inlineStr">
        <is>
          <t>info_sql_variant_dml_single_pk_irp</t>
        </is>
      </c>
      <c r="K395" s="0" t="inlineStr">
        <is>
          <t>[0;34m info_sql_variant_dml_single_pk_irp [0m源备字段数相同，源端字段：25 	备端字段25</t>
        </is>
      </c>
      <c r="W395" s="0" t="inlineStr">
        <is>
          <t>YES 源备无差异</t>
        </is>
      </c>
      <c r="X395" s="0">
        <f>A395</f>
        <v/>
      </c>
    </row>
    <row r="396">
      <c r="B396" s="0" t="inlineStr">
        <is>
          <t>YES</t>
        </is>
      </c>
      <c r="C396" s="0" t="inlineStr">
        <is>
          <t>NULL</t>
        </is>
      </c>
      <c r="D396" s="0" t="inlineStr">
        <is>
          <t>NULL</t>
        </is>
      </c>
      <c r="E396" s="0" t="inlineStr">
        <is>
          <t>NULL</t>
        </is>
      </c>
      <c r="F396" s="0" t="inlineStr">
        <is>
          <t>NULL</t>
        </is>
      </c>
      <c r="G396" s="0" t="inlineStr">
        <is>
          <t>NULL</t>
        </is>
      </c>
      <c r="H396" s="0" t="inlineStr">
        <is>
          <t>NULL</t>
        </is>
      </c>
      <c r="I396" s="0" t="inlineStr">
        <is>
          <t>YES!PK__info_sql__3213E83F8AA9C4B2</t>
        </is>
      </c>
      <c r="J396" s="0" t="inlineStr">
        <is>
          <t>YES! 主键相关索引</t>
        </is>
      </c>
      <c r="K396" s="0" t="inlineStr">
        <is>
          <t>YES! 	 id列源备映射正确，源端为int None位	期望更改为int	实际备端为int None位</t>
        </is>
      </c>
    </row>
    <row r="397">
      <c r="B397" s="0" t="inlineStr">
        <is>
          <t>NULL</t>
        </is>
      </c>
      <c r="C397" s="0" t="inlineStr">
        <is>
          <t>NULL</t>
        </is>
      </c>
      <c r="D397" s="0" t="inlineStr">
        <is>
          <t>NULL</t>
        </is>
      </c>
      <c r="E397" s="0" t="inlineStr">
        <is>
          <t>NULL</t>
        </is>
      </c>
      <c r="F397" s="0" t="inlineStr">
        <is>
          <t>NULL</t>
        </is>
      </c>
      <c r="G397" s="0" t="inlineStr">
        <is>
          <t>NULL</t>
        </is>
      </c>
      <c r="H397" s="0" t="inlineStr">
        <is>
          <t>NULL</t>
        </is>
      </c>
      <c r="I397" s="0" t="inlineStr">
        <is>
          <t>NULL</t>
        </is>
      </c>
      <c r="J397" s="0" t="inlineStr">
        <is>
          <t>NULL</t>
        </is>
      </c>
      <c r="K397" s="0" t="inlineStr">
        <is>
          <t>YES! 	 c_date列源备映射正确，源端为sql_variant 0位	期望更改为sql_variant	实际备端为sql_variant 0位</t>
        </is>
      </c>
    </row>
    <row r="398">
      <c r="B398" s="0" t="inlineStr">
        <is>
          <t>NULL</t>
        </is>
      </c>
      <c r="C398" s="0" t="inlineStr">
        <is>
          <t>NULL</t>
        </is>
      </c>
      <c r="D398" s="0" t="inlineStr">
        <is>
          <t>NULL</t>
        </is>
      </c>
      <c r="E398" s="0" t="inlineStr">
        <is>
          <t>NULL</t>
        </is>
      </c>
      <c r="F398" s="0" t="inlineStr">
        <is>
          <t>NULL</t>
        </is>
      </c>
      <c r="G398" s="0" t="inlineStr">
        <is>
          <t>NULL</t>
        </is>
      </c>
      <c r="H398" s="0" t="inlineStr">
        <is>
          <t>NULL</t>
        </is>
      </c>
      <c r="I398" s="0" t="inlineStr">
        <is>
          <t>NULL</t>
        </is>
      </c>
      <c r="J398" s="0" t="inlineStr">
        <is>
          <t>NULL</t>
        </is>
      </c>
      <c r="K398" s="0" t="inlineStr">
        <is>
          <t>YES! 	 c_time列源备映射正确，源端为sql_variant 0位	期望更改为sql_variant	实际备端为sql_variant 0位</t>
        </is>
      </c>
    </row>
    <row r="399">
      <c r="B399" s="0" t="inlineStr">
        <is>
          <t>NULL</t>
        </is>
      </c>
      <c r="C399" s="0" t="inlineStr">
        <is>
          <t>NULL</t>
        </is>
      </c>
      <c r="D399" s="0" t="inlineStr">
        <is>
          <t>NULL</t>
        </is>
      </c>
      <c r="E399" s="0" t="inlineStr">
        <is>
          <t>NULL</t>
        </is>
      </c>
      <c r="F399" s="0" t="inlineStr">
        <is>
          <t>NULL</t>
        </is>
      </c>
      <c r="G399" s="0" t="inlineStr">
        <is>
          <t>NULL</t>
        </is>
      </c>
      <c r="H399" s="0" t="inlineStr">
        <is>
          <t>NULL</t>
        </is>
      </c>
      <c r="I399" s="0" t="inlineStr">
        <is>
          <t>NULL</t>
        </is>
      </c>
      <c r="J399" s="0" t="inlineStr">
        <is>
          <t>NULL</t>
        </is>
      </c>
      <c r="K399" s="0" t="inlineStr">
        <is>
          <t>YES! 	 c_datetime2列源备映射正确，源端为sql_variant 0位	期望更改为sql_variant	实际备端为sql_variant 0位</t>
        </is>
      </c>
    </row>
    <row r="400">
      <c r="B400" s="0" t="inlineStr">
        <is>
          <t>NULL</t>
        </is>
      </c>
      <c r="C400" s="0" t="inlineStr">
        <is>
          <t>NULL</t>
        </is>
      </c>
      <c r="D400" s="0" t="inlineStr">
        <is>
          <t>NULL</t>
        </is>
      </c>
      <c r="E400" s="0" t="inlineStr">
        <is>
          <t>NULL</t>
        </is>
      </c>
      <c r="F400" s="0" t="inlineStr">
        <is>
          <t>NULL</t>
        </is>
      </c>
      <c r="G400" s="0" t="inlineStr">
        <is>
          <t>NULL</t>
        </is>
      </c>
      <c r="H400" s="0" t="inlineStr">
        <is>
          <t>NULL</t>
        </is>
      </c>
      <c r="I400" s="0" t="inlineStr">
        <is>
          <t>NULL</t>
        </is>
      </c>
      <c r="J400" s="0" t="inlineStr">
        <is>
          <t>NULL</t>
        </is>
      </c>
      <c r="K400" s="0" t="inlineStr">
        <is>
          <t>YES! 	 c_datetimeoffset列源备映射正确，源端为sql_variant 0位	期望更改为sql_variant	实际备端为sql_variant 0位</t>
        </is>
      </c>
    </row>
    <row r="401">
      <c r="B401" s="0" t="inlineStr">
        <is>
          <t>NULL</t>
        </is>
      </c>
      <c r="C401" s="0" t="inlineStr">
        <is>
          <t>NULL</t>
        </is>
      </c>
      <c r="D401" s="0" t="inlineStr">
        <is>
          <t>NULL</t>
        </is>
      </c>
      <c r="E401" s="0" t="inlineStr">
        <is>
          <t>NULL</t>
        </is>
      </c>
      <c r="F401" s="0" t="inlineStr">
        <is>
          <t>NULL</t>
        </is>
      </c>
      <c r="G401" s="0" t="inlineStr">
        <is>
          <t>NULL</t>
        </is>
      </c>
      <c r="H401" s="0" t="inlineStr">
        <is>
          <t>NULL</t>
        </is>
      </c>
      <c r="I401" s="0" t="inlineStr">
        <is>
          <t>NULL</t>
        </is>
      </c>
      <c r="J401" s="0" t="inlineStr">
        <is>
          <t>NULL</t>
        </is>
      </c>
      <c r="K401" s="0" t="inlineStr">
        <is>
          <t>YES! 	 c_tinyint列源备映射正确，源端为sql_variant 0位	期望更改为sql_variant	实际备端为sql_variant 0位</t>
        </is>
      </c>
    </row>
    <row r="402">
      <c r="B402" s="0" t="inlineStr">
        <is>
          <t>NULL</t>
        </is>
      </c>
      <c r="C402" s="0" t="inlineStr">
        <is>
          <t>NULL</t>
        </is>
      </c>
      <c r="D402" s="0" t="inlineStr">
        <is>
          <t>NULL</t>
        </is>
      </c>
      <c r="E402" s="0" t="inlineStr">
        <is>
          <t>NULL</t>
        </is>
      </c>
      <c r="F402" s="0" t="inlineStr">
        <is>
          <t>NULL</t>
        </is>
      </c>
      <c r="G402" s="0" t="inlineStr">
        <is>
          <t>NULL</t>
        </is>
      </c>
      <c r="H402" s="0" t="inlineStr">
        <is>
          <t>NULL</t>
        </is>
      </c>
      <c r="I402" s="0" t="inlineStr">
        <is>
          <t>NULL</t>
        </is>
      </c>
      <c r="J402" s="0" t="inlineStr">
        <is>
          <t>NULL</t>
        </is>
      </c>
      <c r="K402" s="0" t="inlineStr">
        <is>
          <t>YES! 	 c_smallint列源备映射正确，源端为sql_variant 0位	期望更改为sql_variant	实际备端为sql_variant 0位</t>
        </is>
      </c>
    </row>
    <row r="403">
      <c r="B403" s="0" t="inlineStr">
        <is>
          <t>NULL</t>
        </is>
      </c>
      <c r="C403" s="0" t="inlineStr">
        <is>
          <t>NULL</t>
        </is>
      </c>
      <c r="D403" s="0" t="inlineStr">
        <is>
          <t>NULL</t>
        </is>
      </c>
      <c r="E403" s="0" t="inlineStr">
        <is>
          <t>NULL</t>
        </is>
      </c>
      <c r="F403" s="0" t="inlineStr">
        <is>
          <t>NULL</t>
        </is>
      </c>
      <c r="G403" s="0" t="inlineStr">
        <is>
          <t>NULL</t>
        </is>
      </c>
      <c r="H403" s="0" t="inlineStr">
        <is>
          <t>NULL</t>
        </is>
      </c>
      <c r="I403" s="0" t="inlineStr">
        <is>
          <t>NULL</t>
        </is>
      </c>
      <c r="J403" s="0" t="inlineStr">
        <is>
          <t>NULL</t>
        </is>
      </c>
      <c r="K403" s="0" t="inlineStr">
        <is>
          <t>YES! 	 c_int列源备映射正确，源端为sql_variant 0位	期望更改为sql_variant	实际备端为sql_variant 0位</t>
        </is>
      </c>
    </row>
    <row r="404">
      <c r="B404" s="0" t="inlineStr">
        <is>
          <t>NULL</t>
        </is>
      </c>
      <c r="C404" s="0" t="inlineStr">
        <is>
          <t>NULL</t>
        </is>
      </c>
      <c r="D404" s="0" t="inlineStr">
        <is>
          <t>NULL</t>
        </is>
      </c>
      <c r="E404" s="0" t="inlineStr">
        <is>
          <t>NULL</t>
        </is>
      </c>
      <c r="F404" s="0" t="inlineStr">
        <is>
          <t>NULL</t>
        </is>
      </c>
      <c r="G404" s="0" t="inlineStr">
        <is>
          <t>NULL</t>
        </is>
      </c>
      <c r="H404" s="0" t="inlineStr">
        <is>
          <t>NULL</t>
        </is>
      </c>
      <c r="I404" s="0" t="inlineStr">
        <is>
          <t>NULL</t>
        </is>
      </c>
      <c r="J404" s="0" t="inlineStr">
        <is>
          <t>NULL</t>
        </is>
      </c>
      <c r="K404" s="0" t="inlineStr">
        <is>
          <t>YES! 	 c_sdt列源备映射正确，源端为sql_variant 0位	期望更改为sql_variant	实际备端为sql_variant 0位</t>
        </is>
      </c>
    </row>
    <row r="405">
      <c r="B405" s="0" t="inlineStr">
        <is>
          <t>NULL</t>
        </is>
      </c>
      <c r="C405" s="0" t="inlineStr">
        <is>
          <t>NULL</t>
        </is>
      </c>
      <c r="D405" s="0" t="inlineStr">
        <is>
          <t>NULL</t>
        </is>
      </c>
      <c r="E405" s="0" t="inlineStr">
        <is>
          <t>NULL</t>
        </is>
      </c>
      <c r="F405" s="0" t="inlineStr">
        <is>
          <t>NULL</t>
        </is>
      </c>
      <c r="G405" s="0" t="inlineStr">
        <is>
          <t>NULL</t>
        </is>
      </c>
      <c r="H405" s="0" t="inlineStr">
        <is>
          <t>NULL</t>
        </is>
      </c>
      <c r="I405" s="0" t="inlineStr">
        <is>
          <t>NULL</t>
        </is>
      </c>
      <c r="J405" s="0" t="inlineStr">
        <is>
          <t>NULL</t>
        </is>
      </c>
      <c r="K405" s="0" t="inlineStr">
        <is>
          <t>YES! 	 c_real列源备映射正确，源端为sql_variant 0位	期望更改为sql_variant	实际备端为sql_variant 0位</t>
        </is>
      </c>
    </row>
    <row r="406">
      <c r="B406" s="0" t="inlineStr">
        <is>
          <t>NULL</t>
        </is>
      </c>
      <c r="C406" s="0" t="inlineStr">
        <is>
          <t>NULL</t>
        </is>
      </c>
      <c r="D406" s="0" t="inlineStr">
        <is>
          <t>NULL</t>
        </is>
      </c>
      <c r="E406" s="0" t="inlineStr">
        <is>
          <t>NULL</t>
        </is>
      </c>
      <c r="F406" s="0" t="inlineStr">
        <is>
          <t>NULL</t>
        </is>
      </c>
      <c r="G406" s="0" t="inlineStr">
        <is>
          <t>NULL</t>
        </is>
      </c>
      <c r="H406" s="0" t="inlineStr">
        <is>
          <t>NULL</t>
        </is>
      </c>
      <c r="I406" s="0" t="inlineStr">
        <is>
          <t>NULL</t>
        </is>
      </c>
      <c r="J406" s="0" t="inlineStr">
        <is>
          <t>NULL</t>
        </is>
      </c>
      <c r="K406" s="0" t="inlineStr">
        <is>
          <t>YES! 	 c_money列源备映射正确，源端为sql_variant 0位	期望更改为sql_variant	实际备端为sql_variant 0位</t>
        </is>
      </c>
    </row>
    <row r="407">
      <c r="B407" s="0" t="inlineStr">
        <is>
          <t>NULL</t>
        </is>
      </c>
      <c r="C407" s="0" t="inlineStr">
        <is>
          <t>NULL</t>
        </is>
      </c>
      <c r="D407" s="0" t="inlineStr">
        <is>
          <t>NULL</t>
        </is>
      </c>
      <c r="E407" s="0" t="inlineStr">
        <is>
          <t>NULL</t>
        </is>
      </c>
      <c r="F407" s="0" t="inlineStr">
        <is>
          <t>NULL</t>
        </is>
      </c>
      <c r="G407" s="0" t="inlineStr">
        <is>
          <t>NULL</t>
        </is>
      </c>
      <c r="H407" s="0" t="inlineStr">
        <is>
          <t>NULL</t>
        </is>
      </c>
      <c r="I407" s="0" t="inlineStr">
        <is>
          <t>NULL</t>
        </is>
      </c>
      <c r="J407" s="0" t="inlineStr">
        <is>
          <t>NULL</t>
        </is>
      </c>
      <c r="K407" s="0" t="inlineStr">
        <is>
          <t>YES! 	 c_datetime列源备映射正确，源端为sql_variant 0位	期望更改为sql_variant	实际备端为sql_variant 0位</t>
        </is>
      </c>
    </row>
    <row r="408">
      <c r="B408" s="0" t="inlineStr">
        <is>
          <t>NULL</t>
        </is>
      </c>
      <c r="C408" s="0" t="inlineStr">
        <is>
          <t>NULL</t>
        </is>
      </c>
      <c r="D408" s="0" t="inlineStr">
        <is>
          <t>NULL</t>
        </is>
      </c>
      <c r="E408" s="0" t="inlineStr">
        <is>
          <t>NULL</t>
        </is>
      </c>
      <c r="F408" s="0" t="inlineStr">
        <is>
          <t>NULL</t>
        </is>
      </c>
      <c r="G408" s="0" t="inlineStr">
        <is>
          <t>NULL</t>
        </is>
      </c>
      <c r="H408" s="0" t="inlineStr">
        <is>
          <t>NULL</t>
        </is>
      </c>
      <c r="I408" s="0" t="inlineStr">
        <is>
          <t>NULL</t>
        </is>
      </c>
      <c r="J408" s="0" t="inlineStr">
        <is>
          <t>NULL</t>
        </is>
      </c>
      <c r="K408" s="0" t="inlineStr">
        <is>
          <t>YES! 	 c_float列源备映射正确，源端为sql_variant 0位	期望更改为sql_variant	实际备端为sql_variant 0位</t>
        </is>
      </c>
    </row>
    <row r="409">
      <c r="B409" s="0" t="inlineStr">
        <is>
          <t>NULL</t>
        </is>
      </c>
      <c r="C409" s="0" t="inlineStr">
        <is>
          <t>NULL</t>
        </is>
      </c>
      <c r="D409" s="0" t="inlineStr">
        <is>
          <t>NULL</t>
        </is>
      </c>
      <c r="E409" s="0" t="inlineStr">
        <is>
          <t>NULL</t>
        </is>
      </c>
      <c r="F409" s="0" t="inlineStr">
        <is>
          <t>NULL</t>
        </is>
      </c>
      <c r="G409" s="0" t="inlineStr">
        <is>
          <t>NULL</t>
        </is>
      </c>
      <c r="H409" s="0" t="inlineStr">
        <is>
          <t>NULL</t>
        </is>
      </c>
      <c r="I409" s="0" t="inlineStr">
        <is>
          <t>NULL</t>
        </is>
      </c>
      <c r="J409" s="0" t="inlineStr">
        <is>
          <t>NULL</t>
        </is>
      </c>
      <c r="K409" s="0" t="inlineStr">
        <is>
          <t>YES! 	 c_bit列源备映射正确，源端为sql_variant 0位	期望更改为sql_variant	实际备端为sql_variant 0位</t>
        </is>
      </c>
    </row>
    <row r="410">
      <c r="B410" s="0" t="inlineStr">
        <is>
          <t>NULL</t>
        </is>
      </c>
      <c r="C410" s="0" t="inlineStr">
        <is>
          <t>NULL</t>
        </is>
      </c>
      <c r="D410" s="0" t="inlineStr">
        <is>
          <t>NULL</t>
        </is>
      </c>
      <c r="E410" s="0" t="inlineStr">
        <is>
          <t>NULL</t>
        </is>
      </c>
      <c r="F410" s="0" t="inlineStr">
        <is>
          <t>NULL</t>
        </is>
      </c>
      <c r="G410" s="0" t="inlineStr">
        <is>
          <t>NULL</t>
        </is>
      </c>
      <c r="H410" s="0" t="inlineStr">
        <is>
          <t>NULL</t>
        </is>
      </c>
      <c r="I410" s="0" t="inlineStr">
        <is>
          <t>NULL</t>
        </is>
      </c>
      <c r="J410" s="0" t="inlineStr">
        <is>
          <t>NULL</t>
        </is>
      </c>
      <c r="K410" s="0" t="inlineStr">
        <is>
          <t>YES! 	 c_decimal列源备映射正确，源端为sql_variant 0位	期望更改为sql_variant	实际备端为sql_variant 0位</t>
        </is>
      </c>
    </row>
    <row r="411">
      <c r="B411" s="0" t="inlineStr">
        <is>
          <t>NULL</t>
        </is>
      </c>
      <c r="C411" s="0" t="inlineStr">
        <is>
          <t>NULL</t>
        </is>
      </c>
      <c r="D411" s="0" t="inlineStr">
        <is>
          <t>NULL</t>
        </is>
      </c>
      <c r="E411" s="0" t="inlineStr">
        <is>
          <t>NULL</t>
        </is>
      </c>
      <c r="F411" s="0" t="inlineStr">
        <is>
          <t>NULL</t>
        </is>
      </c>
      <c r="G411" s="0" t="inlineStr">
        <is>
          <t>NULL</t>
        </is>
      </c>
      <c r="H411" s="0" t="inlineStr">
        <is>
          <t>NULL</t>
        </is>
      </c>
      <c r="I411" s="0" t="inlineStr">
        <is>
          <t>NULL</t>
        </is>
      </c>
      <c r="J411" s="0" t="inlineStr">
        <is>
          <t>NULL</t>
        </is>
      </c>
      <c r="K411" s="0" t="inlineStr">
        <is>
          <t>YES! 	 c_uniqueidentifier列源备映射正确，源端为sql_variant 0位	期望更改为sql_variant	实际备端为sql_variant 0位</t>
        </is>
      </c>
    </row>
    <row r="412">
      <c r="B412" s="0" t="inlineStr">
        <is>
          <t>NULL</t>
        </is>
      </c>
      <c r="C412" s="0" t="inlineStr">
        <is>
          <t>NULL</t>
        </is>
      </c>
      <c r="D412" s="0" t="inlineStr">
        <is>
          <t>NULL</t>
        </is>
      </c>
      <c r="E412" s="0" t="inlineStr">
        <is>
          <t>NULL</t>
        </is>
      </c>
      <c r="F412" s="0" t="inlineStr">
        <is>
          <t>NULL</t>
        </is>
      </c>
      <c r="G412" s="0" t="inlineStr">
        <is>
          <t>NULL</t>
        </is>
      </c>
      <c r="H412" s="0" t="inlineStr">
        <is>
          <t>NULL</t>
        </is>
      </c>
      <c r="I412" s="0" t="inlineStr">
        <is>
          <t>NULL</t>
        </is>
      </c>
      <c r="J412" s="0" t="inlineStr">
        <is>
          <t>NULL</t>
        </is>
      </c>
      <c r="K412" s="0" t="inlineStr">
        <is>
          <t>YES! 	 c_smallmoney列源备映射正确，源端为sql_variant 0位	期望更改为sql_variant	实际备端为sql_variant 0位</t>
        </is>
      </c>
    </row>
    <row r="413">
      <c r="B413" s="0" t="inlineStr">
        <is>
          <t>NULL</t>
        </is>
      </c>
      <c r="C413" s="0" t="inlineStr">
        <is>
          <t>NULL</t>
        </is>
      </c>
      <c r="D413" s="0" t="inlineStr">
        <is>
          <t>NULL</t>
        </is>
      </c>
      <c r="E413" s="0" t="inlineStr">
        <is>
          <t>NULL</t>
        </is>
      </c>
      <c r="F413" s="0" t="inlineStr">
        <is>
          <t>NULL</t>
        </is>
      </c>
      <c r="G413" s="0" t="inlineStr">
        <is>
          <t>NULL</t>
        </is>
      </c>
      <c r="H413" s="0" t="inlineStr">
        <is>
          <t>NULL</t>
        </is>
      </c>
      <c r="I413" s="0" t="inlineStr">
        <is>
          <t>NULL</t>
        </is>
      </c>
      <c r="J413" s="0" t="inlineStr">
        <is>
          <t>NULL</t>
        </is>
      </c>
      <c r="K413" s="0" t="inlineStr">
        <is>
          <t>YES! 	 c_bigint列源备映射正确，源端为sql_variant 0位	期望更改为sql_variant	实际备端为sql_variant 0位</t>
        </is>
      </c>
    </row>
    <row r="414">
      <c r="B414" s="0" t="inlineStr">
        <is>
          <t>NULL</t>
        </is>
      </c>
      <c r="C414" s="0" t="inlineStr">
        <is>
          <t>NULL</t>
        </is>
      </c>
      <c r="D414" s="0" t="inlineStr">
        <is>
          <t>NULL</t>
        </is>
      </c>
      <c r="E414" s="0" t="inlineStr">
        <is>
          <t>NULL</t>
        </is>
      </c>
      <c r="F414" s="0" t="inlineStr">
        <is>
          <t>NULL</t>
        </is>
      </c>
      <c r="G414" s="0" t="inlineStr">
        <is>
          <t>NULL</t>
        </is>
      </c>
      <c r="H414" s="0" t="inlineStr">
        <is>
          <t>NULL</t>
        </is>
      </c>
      <c r="I414" s="0" t="inlineStr">
        <is>
          <t>NULL</t>
        </is>
      </c>
      <c r="J414" s="0" t="inlineStr">
        <is>
          <t>NULL</t>
        </is>
      </c>
      <c r="K414" s="0" t="inlineStr">
        <is>
          <t>YES! 	 c_varbinary_20列源备映射正确，源端为sql_variant 0位	期望更改为sql_variant	实际备端为sql_variant 0位</t>
        </is>
      </c>
    </row>
    <row r="415">
      <c r="B415" s="0" t="inlineStr">
        <is>
          <t>NULL</t>
        </is>
      </c>
      <c r="C415" s="0" t="inlineStr">
        <is>
          <t>NULL</t>
        </is>
      </c>
      <c r="D415" s="0" t="inlineStr">
        <is>
          <t>NULL</t>
        </is>
      </c>
      <c r="E415" s="0" t="inlineStr">
        <is>
          <t>NULL</t>
        </is>
      </c>
      <c r="F415" s="0" t="inlineStr">
        <is>
          <t>NULL</t>
        </is>
      </c>
      <c r="G415" s="0" t="inlineStr">
        <is>
          <t>NULL</t>
        </is>
      </c>
      <c r="H415" s="0" t="inlineStr">
        <is>
          <t>NULL</t>
        </is>
      </c>
      <c r="I415" s="0" t="inlineStr">
        <is>
          <t>NULL</t>
        </is>
      </c>
      <c r="J415" s="0" t="inlineStr">
        <is>
          <t>NULL</t>
        </is>
      </c>
      <c r="K415" s="0" t="inlineStr">
        <is>
          <t>YES! 	 c_varchar_20列源备映射正确，源端为sql_variant 0位	期望更改为sql_variant	实际备端为sql_variant 0位</t>
        </is>
      </c>
    </row>
    <row r="416">
      <c r="B416" s="0" t="inlineStr">
        <is>
          <t>NULL</t>
        </is>
      </c>
      <c r="C416" s="0" t="inlineStr">
        <is>
          <t>NULL</t>
        </is>
      </c>
      <c r="D416" s="0" t="inlineStr">
        <is>
          <t>NULL</t>
        </is>
      </c>
      <c r="E416" s="0" t="inlineStr">
        <is>
          <t>NULL</t>
        </is>
      </c>
      <c r="F416" s="0" t="inlineStr">
        <is>
          <t>NULL</t>
        </is>
      </c>
      <c r="G416" s="0" t="inlineStr">
        <is>
          <t>NULL</t>
        </is>
      </c>
      <c r="H416" s="0" t="inlineStr">
        <is>
          <t>NULL</t>
        </is>
      </c>
      <c r="I416" s="0" t="inlineStr">
        <is>
          <t>NULL</t>
        </is>
      </c>
      <c r="J416" s="0" t="inlineStr">
        <is>
          <t>NULL</t>
        </is>
      </c>
      <c r="K416" s="0" t="inlineStr">
        <is>
          <t>YES! 	 c_binary_20列源备映射正确，源端为sql_variant 0位	期望更改为sql_variant	实际备端为sql_variant 0位</t>
        </is>
      </c>
    </row>
    <row r="417">
      <c r="B417" s="0" t="inlineStr">
        <is>
          <t>NULL</t>
        </is>
      </c>
      <c r="C417" s="0" t="inlineStr">
        <is>
          <t>NULL</t>
        </is>
      </c>
      <c r="D417" s="0" t="inlineStr">
        <is>
          <t>NULL</t>
        </is>
      </c>
      <c r="E417" s="0" t="inlineStr">
        <is>
          <t>NULL</t>
        </is>
      </c>
      <c r="F417" s="0" t="inlineStr">
        <is>
          <t>NULL</t>
        </is>
      </c>
      <c r="G417" s="0" t="inlineStr">
        <is>
          <t>NULL</t>
        </is>
      </c>
      <c r="H417" s="0" t="inlineStr">
        <is>
          <t>NULL</t>
        </is>
      </c>
      <c r="I417" s="0" t="inlineStr">
        <is>
          <t>NULL</t>
        </is>
      </c>
      <c r="J417" s="0" t="inlineStr">
        <is>
          <t>NULL</t>
        </is>
      </c>
      <c r="K417" s="0" t="inlineStr">
        <is>
          <t>YES! 	 c_char_20列源备映射正确，源端为sql_variant 0位	期望更改为sql_variant	实际备端为sql_variant 0位</t>
        </is>
      </c>
    </row>
    <row r="418">
      <c r="B418" s="0" t="inlineStr">
        <is>
          <t>NULL</t>
        </is>
      </c>
      <c r="C418" s="0" t="inlineStr">
        <is>
          <t>NULL</t>
        </is>
      </c>
      <c r="D418" s="0" t="inlineStr">
        <is>
          <t>NULL</t>
        </is>
      </c>
      <c r="E418" s="0" t="inlineStr">
        <is>
          <t>NULL</t>
        </is>
      </c>
      <c r="F418" s="0" t="inlineStr">
        <is>
          <t>NULL</t>
        </is>
      </c>
      <c r="G418" s="0" t="inlineStr">
        <is>
          <t>NULL</t>
        </is>
      </c>
      <c r="H418" s="0" t="inlineStr">
        <is>
          <t>NULL</t>
        </is>
      </c>
      <c r="I418" s="0" t="inlineStr">
        <is>
          <t>NULL</t>
        </is>
      </c>
      <c r="J418" s="0" t="inlineStr">
        <is>
          <t>NULL</t>
        </is>
      </c>
      <c r="K418" s="0" t="inlineStr">
        <is>
          <t>YES! 	 c_nvarchar_20列源备映射正确，源端为sql_variant 0位	期望更改为sql_variant	实际备端为sql_variant 0位</t>
        </is>
      </c>
    </row>
    <row r="419">
      <c r="B419" s="0" t="inlineStr">
        <is>
          <t>NULL</t>
        </is>
      </c>
      <c r="C419" s="0" t="inlineStr">
        <is>
          <t>NULL</t>
        </is>
      </c>
      <c r="D419" s="0" t="inlineStr">
        <is>
          <t>NULL</t>
        </is>
      </c>
      <c r="E419" s="0" t="inlineStr">
        <is>
          <t>NULL</t>
        </is>
      </c>
      <c r="F419" s="0" t="inlineStr">
        <is>
          <t>NULL</t>
        </is>
      </c>
      <c r="G419" s="0" t="inlineStr">
        <is>
          <t>NULL</t>
        </is>
      </c>
      <c r="H419" s="0" t="inlineStr">
        <is>
          <t>NULL</t>
        </is>
      </c>
      <c r="I419" s="0" t="inlineStr">
        <is>
          <t>NULL</t>
        </is>
      </c>
      <c r="J419" s="0" t="inlineStr">
        <is>
          <t>NULL</t>
        </is>
      </c>
      <c r="K419" s="0" t="inlineStr">
        <is>
          <t>YES! 	 c_nchar_20列源备映射正确，源端为sql_variant 0位	期望更改为sql_variant	实际备端为sql_variant 0位</t>
        </is>
      </c>
    </row>
    <row r="420">
      <c r="B420" s="0" t="inlineStr">
        <is>
          <t>NULL</t>
        </is>
      </c>
      <c r="C420" s="0" t="inlineStr">
        <is>
          <t>NULL</t>
        </is>
      </c>
      <c r="D420" s="0" t="inlineStr">
        <is>
          <t>NULL</t>
        </is>
      </c>
      <c r="E420" s="0" t="inlineStr">
        <is>
          <t>NULL</t>
        </is>
      </c>
      <c r="F420" s="0" t="inlineStr">
        <is>
          <t>NULL</t>
        </is>
      </c>
      <c r="G420" s="0" t="inlineStr">
        <is>
          <t>NULL</t>
        </is>
      </c>
      <c r="H420" s="0" t="inlineStr">
        <is>
          <t>NULL</t>
        </is>
      </c>
      <c r="I420" s="0" t="inlineStr">
        <is>
          <t>NULL</t>
        </is>
      </c>
      <c r="J420" s="0" t="inlineStr">
        <is>
          <t>NULL</t>
        </is>
      </c>
      <c r="K420" s="0" t="inlineStr">
        <is>
          <t>YES! 	 c_timestamp列源备映射正确，源端为timestamp None位	期望更改为timestamp	实际备端为timestamp None位</t>
        </is>
      </c>
    </row>
    <row r="421">
      <c r="A421" s="0" t="inlineStr">
        <is>
          <t>info_nchar_dml_single_pk_urp</t>
        </is>
      </c>
      <c r="K421" s="0" t="inlineStr">
        <is>
          <t>[0;34m info_nchar_dml_single_pk_urp [0m源备字段数相同，源端字段：4 	备端字段4</t>
        </is>
      </c>
      <c r="W421" s="0" t="inlineStr">
        <is>
          <t>YES 源备无差异</t>
        </is>
      </c>
      <c r="X421" s="0">
        <f>A421</f>
        <v/>
      </c>
    </row>
    <row r="422">
      <c r="B422" s="0" t="inlineStr">
        <is>
          <t>YES</t>
        </is>
      </c>
      <c r="C422" s="0" t="inlineStr">
        <is>
          <t>NULL</t>
        </is>
      </c>
      <c r="D422" s="0" t="inlineStr">
        <is>
          <t>NULL</t>
        </is>
      </c>
      <c r="E422" s="0" t="inlineStr">
        <is>
          <t>NULL</t>
        </is>
      </c>
      <c r="F422" s="0" t="inlineStr">
        <is>
          <t>NULL</t>
        </is>
      </c>
      <c r="G422" s="0" t="inlineStr">
        <is>
          <t>NULL</t>
        </is>
      </c>
      <c r="H422" s="0" t="inlineStr">
        <is>
          <t>NULL</t>
        </is>
      </c>
      <c r="I422" s="0" t="inlineStr">
        <is>
          <t>YES!PK__info_nch__3213E83FF1080D2F</t>
        </is>
      </c>
      <c r="J422" s="0" t="inlineStr">
        <is>
          <t>YES! 主键相关索引</t>
        </is>
      </c>
      <c r="K422" s="0" t="inlineStr">
        <is>
          <t>YES! 	 id列源备映射正确，源端为int None位	期望更改为int	实际备端为int None位</t>
        </is>
      </c>
    </row>
    <row r="423">
      <c r="B423" s="0" t="inlineStr">
        <is>
          <t>NULL</t>
        </is>
      </c>
      <c r="C423" s="0" t="inlineStr">
        <is>
          <t>NULL</t>
        </is>
      </c>
      <c r="D423" s="0" t="inlineStr">
        <is>
          <t>NULL</t>
        </is>
      </c>
      <c r="E423" s="0" t="inlineStr">
        <is>
          <t>NULL</t>
        </is>
      </c>
      <c r="F423" s="0" t="inlineStr">
        <is>
          <t>NULL</t>
        </is>
      </c>
      <c r="G423" s="0" t="inlineStr">
        <is>
          <t>NULL</t>
        </is>
      </c>
      <c r="H423" s="0" t="inlineStr">
        <is>
          <t>NULL</t>
        </is>
      </c>
      <c r="I423" s="0" t="inlineStr">
        <is>
          <t>NULL</t>
        </is>
      </c>
      <c r="J423" s="0" t="inlineStr">
        <is>
          <t>NULL</t>
        </is>
      </c>
      <c r="K423" s="0" t="inlineStr">
        <is>
          <t>YES! 	 c_nchar列源备映射正确，源端为nchar 2位	期望更改为nchar(n)	实际备端为nchar 2位</t>
        </is>
      </c>
    </row>
    <row r="424">
      <c r="B424" s="0" t="inlineStr">
        <is>
          <t>NULL</t>
        </is>
      </c>
      <c r="C424" s="0" t="inlineStr">
        <is>
          <t>NULL</t>
        </is>
      </c>
      <c r="D424" s="0" t="inlineStr">
        <is>
          <t>NULL</t>
        </is>
      </c>
      <c r="E424" s="0" t="inlineStr">
        <is>
          <t>NULL</t>
        </is>
      </c>
      <c r="F424" s="0" t="inlineStr">
        <is>
          <t>NULL</t>
        </is>
      </c>
      <c r="G424" s="0" t="inlineStr">
        <is>
          <t>NULL</t>
        </is>
      </c>
      <c r="H424" s="0" t="inlineStr">
        <is>
          <t>NULL</t>
        </is>
      </c>
      <c r="I424" s="0" t="inlineStr">
        <is>
          <t>NULL</t>
        </is>
      </c>
      <c r="J424" s="0" t="inlineStr">
        <is>
          <t>NULL</t>
        </is>
      </c>
      <c r="K424" s="0" t="inlineStr">
        <is>
          <t>YES! 	 c_nchar20列源备映射正确，源端为nchar 40位	期望更改为nchar(n)	实际备端为nchar 40位</t>
        </is>
      </c>
    </row>
    <row r="425">
      <c r="B425" s="0" t="inlineStr">
        <is>
          <t>NULL</t>
        </is>
      </c>
      <c r="C425" s="0" t="inlineStr">
        <is>
          <t>NULL</t>
        </is>
      </c>
      <c r="D425" s="0" t="inlineStr">
        <is>
          <t>NULL</t>
        </is>
      </c>
      <c r="E425" s="0" t="inlineStr">
        <is>
          <t>NULL</t>
        </is>
      </c>
      <c r="F425" s="0" t="inlineStr">
        <is>
          <t>NULL</t>
        </is>
      </c>
      <c r="G425" s="0" t="inlineStr">
        <is>
          <t>NULL</t>
        </is>
      </c>
      <c r="H425" s="0" t="inlineStr">
        <is>
          <t>NULL</t>
        </is>
      </c>
      <c r="I425" s="0" t="inlineStr">
        <is>
          <t>NULL</t>
        </is>
      </c>
      <c r="J425" s="0" t="inlineStr">
        <is>
          <t>NULL</t>
        </is>
      </c>
      <c r="K425" s="0" t="inlineStr">
        <is>
          <t>YES! 	 c_nchar3500列源备映射正确，源端为nchar 7000位	期望更改为nchar(n)	实际备端为nchar 7000位</t>
        </is>
      </c>
    </row>
    <row r="426">
      <c r="A426" s="0" t="inlineStr">
        <is>
          <t>info_int_dml_single_nopk_irp</t>
        </is>
      </c>
      <c r="K426" s="0" t="inlineStr">
        <is>
          <t>[0;34m info_int_dml_single_nopk_irp [0m源备字段数相同，源端字段：20 	备端字段20</t>
        </is>
      </c>
      <c r="W426" s="0" t="inlineStr">
        <is>
          <t>YES 源备无差异</t>
        </is>
      </c>
      <c r="X426" s="0">
        <f>A426</f>
        <v/>
      </c>
    </row>
    <row r="427">
      <c r="B427" s="0" t="inlineStr">
        <is>
          <t>NULL</t>
        </is>
      </c>
      <c r="C427" s="0" t="inlineStr">
        <is>
          <t>NULL</t>
        </is>
      </c>
      <c r="D427" s="0" t="inlineStr">
        <is>
          <t>NULL</t>
        </is>
      </c>
      <c r="E427" s="0" t="inlineStr">
        <is>
          <t>NULL</t>
        </is>
      </c>
      <c r="F427" s="0" t="inlineStr">
        <is>
          <t>NULL</t>
        </is>
      </c>
      <c r="G427" s="0" t="inlineStr">
        <is>
          <t>NULL</t>
        </is>
      </c>
      <c r="H427" s="0" t="inlineStr">
        <is>
          <t>NULL</t>
        </is>
      </c>
      <c r="I427" s="0" t="inlineStr">
        <is>
          <t>NULL</t>
        </is>
      </c>
      <c r="J427" s="0" t="inlineStr">
        <is>
          <t>NULL</t>
        </is>
      </c>
      <c r="K427" s="0" t="inlineStr">
        <is>
          <t>YES! 	 id列源备映射正确，源端为int None位	期望更改为int	实际备端为int None位</t>
        </is>
      </c>
    </row>
    <row r="428">
      <c r="B428" s="0" t="inlineStr">
        <is>
          <t>NULL</t>
        </is>
      </c>
      <c r="C428" s="0" t="inlineStr">
        <is>
          <t>NULL</t>
        </is>
      </c>
      <c r="D428" s="0" t="inlineStr">
        <is>
          <t>NULL</t>
        </is>
      </c>
      <c r="E428" s="0" t="inlineStr">
        <is>
          <t>NULL</t>
        </is>
      </c>
      <c r="F428" s="0" t="inlineStr">
        <is>
          <t>NULL</t>
        </is>
      </c>
      <c r="G428" s="0" t="inlineStr">
        <is>
          <t>NULL</t>
        </is>
      </c>
      <c r="H428" s="0" t="inlineStr">
        <is>
          <t>NULL</t>
        </is>
      </c>
      <c r="I428" s="0" t="inlineStr">
        <is>
          <t>NULL</t>
        </is>
      </c>
      <c r="J428" s="0" t="inlineStr">
        <is>
          <t>NULL</t>
        </is>
      </c>
      <c r="K428" s="0" t="inlineStr">
        <is>
          <t>YES! 	 c_tinyint列源备映射正确，源端为tinyint None位	期望更改为tinyint	实际备端为tinyint None位</t>
        </is>
      </c>
    </row>
    <row r="429">
      <c r="B429" s="0" t="inlineStr">
        <is>
          <t>NULL</t>
        </is>
      </c>
      <c r="C429" s="0" t="inlineStr">
        <is>
          <t>NULL</t>
        </is>
      </c>
      <c r="D429" s="0" t="inlineStr">
        <is>
          <t>NULL</t>
        </is>
      </c>
      <c r="E429" s="0" t="inlineStr">
        <is>
          <t>NULL</t>
        </is>
      </c>
      <c r="F429" s="0" t="inlineStr">
        <is>
          <t>NULL</t>
        </is>
      </c>
      <c r="G429" s="0" t="inlineStr">
        <is>
          <t>NULL</t>
        </is>
      </c>
      <c r="H429" s="0" t="inlineStr">
        <is>
          <t>NULL</t>
        </is>
      </c>
      <c r="I429" s="0" t="inlineStr">
        <is>
          <t>NULL</t>
        </is>
      </c>
      <c r="J429" s="0" t="inlineStr">
        <is>
          <t>NULL</t>
        </is>
      </c>
      <c r="K429" s="0" t="inlineStr">
        <is>
          <t>YES! 	 c_smallint列源备映射正确，源端为smallint None位	期望更改为smallint	实际备端为smallint None位</t>
        </is>
      </c>
    </row>
    <row r="430">
      <c r="B430" s="0" t="inlineStr">
        <is>
          <t>NULL</t>
        </is>
      </c>
      <c r="C430" s="0" t="inlineStr">
        <is>
          <t>NULL</t>
        </is>
      </c>
      <c r="D430" s="0" t="inlineStr">
        <is>
          <t>NULL</t>
        </is>
      </c>
      <c r="E430" s="0" t="inlineStr">
        <is>
          <t>NULL</t>
        </is>
      </c>
      <c r="F430" s="0" t="inlineStr">
        <is>
          <t>NULL</t>
        </is>
      </c>
      <c r="G430" s="0" t="inlineStr">
        <is>
          <t>NULL</t>
        </is>
      </c>
      <c r="H430" s="0" t="inlineStr">
        <is>
          <t>NULL</t>
        </is>
      </c>
      <c r="I430" s="0" t="inlineStr">
        <is>
          <t>NULL</t>
        </is>
      </c>
      <c r="J430" s="0" t="inlineStr">
        <is>
          <t>NULL</t>
        </is>
      </c>
      <c r="K430" s="0" t="inlineStr">
        <is>
          <t>YES! 	 c_int列源备映射正确，源端为int None位	期望更改为int	实际备端为int None位</t>
        </is>
      </c>
    </row>
    <row r="431">
      <c r="B431" s="0" t="inlineStr">
        <is>
          <t>NULL</t>
        </is>
      </c>
      <c r="C431" s="0" t="inlineStr">
        <is>
          <t>NULL</t>
        </is>
      </c>
      <c r="D431" s="0" t="inlineStr">
        <is>
          <t>NULL</t>
        </is>
      </c>
      <c r="E431" s="0" t="inlineStr">
        <is>
          <t>NULL</t>
        </is>
      </c>
      <c r="F431" s="0" t="inlineStr">
        <is>
          <t>NULL</t>
        </is>
      </c>
      <c r="G431" s="0" t="inlineStr">
        <is>
          <t>NULL</t>
        </is>
      </c>
      <c r="H431" s="0" t="inlineStr">
        <is>
          <t>NULL</t>
        </is>
      </c>
      <c r="I431" s="0" t="inlineStr">
        <is>
          <t>NULL</t>
        </is>
      </c>
      <c r="J431" s="0" t="inlineStr">
        <is>
          <t>NULL</t>
        </is>
      </c>
      <c r="K431" s="0" t="inlineStr">
        <is>
          <t>YES! 	 c_bigint列源备映射正确，源端为bigint None位	期望更改为bigint	实际备端为bigint None位</t>
        </is>
      </c>
    </row>
    <row r="432">
      <c r="B432" s="0" t="inlineStr">
        <is>
          <t>NULL</t>
        </is>
      </c>
      <c r="C432" s="0" t="inlineStr">
        <is>
          <t>NULL</t>
        </is>
      </c>
      <c r="D432" s="0" t="inlineStr">
        <is>
          <t>NULL</t>
        </is>
      </c>
      <c r="E432" s="0" t="inlineStr">
        <is>
          <t>NULL</t>
        </is>
      </c>
      <c r="F432" s="0" t="inlineStr">
        <is>
          <t>NULL</t>
        </is>
      </c>
      <c r="G432" s="0" t="inlineStr">
        <is>
          <t>NULL</t>
        </is>
      </c>
      <c r="H432" s="0" t="inlineStr">
        <is>
          <t>NULL</t>
        </is>
      </c>
      <c r="I432" s="0" t="inlineStr">
        <is>
          <t>NULL</t>
        </is>
      </c>
      <c r="J432" s="0" t="inlineStr">
        <is>
          <t>NULL</t>
        </is>
      </c>
      <c r="K432" s="0" t="inlineStr">
        <is>
          <t>YES! 	 c_decimal列源备映射正确，源端为decimal None位	期望更改为decimal(p,s)	实际备端为decimal None位</t>
        </is>
      </c>
    </row>
    <row r="433">
      <c r="B433" s="0" t="inlineStr">
        <is>
          <t>NULL</t>
        </is>
      </c>
      <c r="C433" s="0" t="inlineStr">
        <is>
          <t>NULL</t>
        </is>
      </c>
      <c r="D433" s="0" t="inlineStr">
        <is>
          <t>NULL</t>
        </is>
      </c>
      <c r="E433" s="0" t="inlineStr">
        <is>
          <t>NULL</t>
        </is>
      </c>
      <c r="F433" s="0" t="inlineStr">
        <is>
          <t>NULL</t>
        </is>
      </c>
      <c r="G433" s="0" t="inlineStr">
        <is>
          <t>NULL</t>
        </is>
      </c>
      <c r="H433" s="0" t="inlineStr">
        <is>
          <t>NULL</t>
        </is>
      </c>
      <c r="I433" s="0" t="inlineStr">
        <is>
          <t>NULL</t>
        </is>
      </c>
      <c r="J433" s="0" t="inlineStr">
        <is>
          <t>NULL</t>
        </is>
      </c>
      <c r="K433" s="0" t="inlineStr">
        <is>
          <t>YES! 	 c_decimal38列源备映射正确，源端为decimal None位	期望更改为decimal(p,s)	实际备端为decimal None位</t>
        </is>
      </c>
    </row>
    <row r="434">
      <c r="B434" s="0" t="inlineStr">
        <is>
          <t>NULL</t>
        </is>
      </c>
      <c r="C434" s="0" t="inlineStr">
        <is>
          <t>NULL</t>
        </is>
      </c>
      <c r="D434" s="0" t="inlineStr">
        <is>
          <t>NULL</t>
        </is>
      </c>
      <c r="E434" s="0" t="inlineStr">
        <is>
          <t>NULL</t>
        </is>
      </c>
      <c r="F434" s="0" t="inlineStr">
        <is>
          <t>NULL</t>
        </is>
      </c>
      <c r="G434" s="0" t="inlineStr">
        <is>
          <t>NULL</t>
        </is>
      </c>
      <c r="H434" s="0" t="inlineStr">
        <is>
          <t>NULL</t>
        </is>
      </c>
      <c r="I434" s="0" t="inlineStr">
        <is>
          <t>NULL</t>
        </is>
      </c>
      <c r="J434" s="0" t="inlineStr">
        <is>
          <t>NULL</t>
        </is>
      </c>
      <c r="K434" s="0" t="inlineStr">
        <is>
          <t>YES! 	 c_decimal38_38列源备映射正确，源端为decimal None位	期望更改为decimal(p,s)	实际备端为decimal None位</t>
        </is>
      </c>
    </row>
    <row r="435">
      <c r="B435" s="0" t="inlineStr">
        <is>
          <t>NULL</t>
        </is>
      </c>
      <c r="C435" s="0" t="inlineStr">
        <is>
          <t>NULL</t>
        </is>
      </c>
      <c r="D435" s="0" t="inlineStr">
        <is>
          <t>NULL</t>
        </is>
      </c>
      <c r="E435" s="0" t="inlineStr">
        <is>
          <t>NULL</t>
        </is>
      </c>
      <c r="F435" s="0" t="inlineStr">
        <is>
          <t>NULL</t>
        </is>
      </c>
      <c r="G435" s="0" t="inlineStr">
        <is>
          <t>NULL</t>
        </is>
      </c>
      <c r="H435" s="0" t="inlineStr">
        <is>
          <t>NULL</t>
        </is>
      </c>
      <c r="I435" s="0" t="inlineStr">
        <is>
          <t>NULL</t>
        </is>
      </c>
      <c r="J435" s="0" t="inlineStr">
        <is>
          <t>NULL</t>
        </is>
      </c>
      <c r="K435" s="0" t="inlineStr">
        <is>
          <t>YES! 	 c_decimal38_10列源备映射正确，源端为decimal None位	期望更改为decimal(p,s)	实际备端为decimal None位</t>
        </is>
      </c>
    </row>
    <row r="436">
      <c r="B436" s="0" t="inlineStr">
        <is>
          <t>NULL</t>
        </is>
      </c>
      <c r="C436" s="0" t="inlineStr">
        <is>
          <t>NULL</t>
        </is>
      </c>
      <c r="D436" s="0" t="inlineStr">
        <is>
          <t>NULL</t>
        </is>
      </c>
      <c r="E436" s="0" t="inlineStr">
        <is>
          <t>NULL</t>
        </is>
      </c>
      <c r="F436" s="0" t="inlineStr">
        <is>
          <t>NULL</t>
        </is>
      </c>
      <c r="G436" s="0" t="inlineStr">
        <is>
          <t>NULL</t>
        </is>
      </c>
      <c r="H436" s="0" t="inlineStr">
        <is>
          <t>NULL</t>
        </is>
      </c>
      <c r="I436" s="0" t="inlineStr">
        <is>
          <t>NULL</t>
        </is>
      </c>
      <c r="J436" s="0" t="inlineStr">
        <is>
          <t>NULL</t>
        </is>
      </c>
      <c r="K436" s="0" t="inlineStr">
        <is>
          <t>YES! 	 c_decimal19_4列源备映射正确，源端为decimal None位	期望更改为decimal(p,s)	实际备端为decimal None位</t>
        </is>
      </c>
    </row>
    <row r="437">
      <c r="B437" s="0" t="inlineStr">
        <is>
          <t>NULL</t>
        </is>
      </c>
      <c r="C437" s="0" t="inlineStr">
        <is>
          <t>NULL</t>
        </is>
      </c>
      <c r="D437" s="0" t="inlineStr">
        <is>
          <t>NULL</t>
        </is>
      </c>
      <c r="E437" s="0" t="inlineStr">
        <is>
          <t>NULL</t>
        </is>
      </c>
      <c r="F437" s="0" t="inlineStr">
        <is>
          <t>NULL</t>
        </is>
      </c>
      <c r="G437" s="0" t="inlineStr">
        <is>
          <t>NULL</t>
        </is>
      </c>
      <c r="H437" s="0" t="inlineStr">
        <is>
          <t>NULL</t>
        </is>
      </c>
      <c r="I437" s="0" t="inlineStr">
        <is>
          <t>NULL</t>
        </is>
      </c>
      <c r="J437" s="0" t="inlineStr">
        <is>
          <t>NULL</t>
        </is>
      </c>
      <c r="K437" s="0" t="inlineStr">
        <is>
          <t>YES! 	 c_numeric列源备映射正确，源端为numeric None位	期望更改为numeric(p,s)	实际备端为numeric None位</t>
        </is>
      </c>
    </row>
    <row r="438">
      <c r="B438" s="0" t="inlineStr">
        <is>
          <t>NULL</t>
        </is>
      </c>
      <c r="C438" s="0" t="inlineStr">
        <is>
          <t>NULL</t>
        </is>
      </c>
      <c r="D438" s="0" t="inlineStr">
        <is>
          <t>NULL</t>
        </is>
      </c>
      <c r="E438" s="0" t="inlineStr">
        <is>
          <t>NULL</t>
        </is>
      </c>
      <c r="F438" s="0" t="inlineStr">
        <is>
          <t>NULL</t>
        </is>
      </c>
      <c r="G438" s="0" t="inlineStr">
        <is>
          <t>NULL</t>
        </is>
      </c>
      <c r="H438" s="0" t="inlineStr">
        <is>
          <t>NULL</t>
        </is>
      </c>
      <c r="I438" s="0" t="inlineStr">
        <is>
          <t>NULL</t>
        </is>
      </c>
      <c r="J438" s="0" t="inlineStr">
        <is>
          <t>NULL</t>
        </is>
      </c>
      <c r="K438" s="0" t="inlineStr">
        <is>
          <t>YES! 	 c_numeric38列源备映射正确，源端为numeric None位	期望更改为numeric(p,s)	实际备端为numeric None位</t>
        </is>
      </c>
    </row>
    <row r="439">
      <c r="B439" s="0" t="inlineStr">
        <is>
          <t>NULL</t>
        </is>
      </c>
      <c r="C439" s="0" t="inlineStr">
        <is>
          <t>NULL</t>
        </is>
      </c>
      <c r="D439" s="0" t="inlineStr">
        <is>
          <t>NULL</t>
        </is>
      </c>
      <c r="E439" s="0" t="inlineStr">
        <is>
          <t>NULL</t>
        </is>
      </c>
      <c r="F439" s="0" t="inlineStr">
        <is>
          <t>NULL</t>
        </is>
      </c>
      <c r="G439" s="0" t="inlineStr">
        <is>
          <t>NULL</t>
        </is>
      </c>
      <c r="H439" s="0" t="inlineStr">
        <is>
          <t>NULL</t>
        </is>
      </c>
      <c r="I439" s="0" t="inlineStr">
        <is>
          <t>NULL</t>
        </is>
      </c>
      <c r="J439" s="0" t="inlineStr">
        <is>
          <t>NULL</t>
        </is>
      </c>
      <c r="K439" s="0" t="inlineStr">
        <is>
          <t>YES! 	 c_numeric38_38列源备映射正确，源端为numeric None位	期望更改为numeric(p,s)	实际备端为numeric None位</t>
        </is>
      </c>
    </row>
    <row r="440">
      <c r="B440" s="0" t="inlineStr">
        <is>
          <t>NULL</t>
        </is>
      </c>
      <c r="C440" s="0" t="inlineStr">
        <is>
          <t>NULL</t>
        </is>
      </c>
      <c r="D440" s="0" t="inlineStr">
        <is>
          <t>NULL</t>
        </is>
      </c>
      <c r="E440" s="0" t="inlineStr">
        <is>
          <t>NULL</t>
        </is>
      </c>
      <c r="F440" s="0" t="inlineStr">
        <is>
          <t>NULL</t>
        </is>
      </c>
      <c r="G440" s="0" t="inlineStr">
        <is>
          <t>NULL</t>
        </is>
      </c>
      <c r="H440" s="0" t="inlineStr">
        <is>
          <t>NULL</t>
        </is>
      </c>
      <c r="I440" s="0" t="inlineStr">
        <is>
          <t>NULL</t>
        </is>
      </c>
      <c r="J440" s="0" t="inlineStr">
        <is>
          <t>NULL</t>
        </is>
      </c>
      <c r="K440" s="0" t="inlineStr">
        <is>
          <t>YES! 	 c_numeric38_10列源备映射正确，源端为numeric None位	期望更改为numeric(p,s)	实际备端为numeric None位</t>
        </is>
      </c>
    </row>
    <row r="441">
      <c r="B441" s="0" t="inlineStr">
        <is>
          <t>NULL</t>
        </is>
      </c>
      <c r="C441" s="0" t="inlineStr">
        <is>
          <t>NULL</t>
        </is>
      </c>
      <c r="D441" s="0" t="inlineStr">
        <is>
          <t>NULL</t>
        </is>
      </c>
      <c r="E441" s="0" t="inlineStr">
        <is>
          <t>NULL</t>
        </is>
      </c>
      <c r="F441" s="0" t="inlineStr">
        <is>
          <t>NULL</t>
        </is>
      </c>
      <c r="G441" s="0" t="inlineStr">
        <is>
          <t>NULL</t>
        </is>
      </c>
      <c r="H441" s="0" t="inlineStr">
        <is>
          <t>NULL</t>
        </is>
      </c>
      <c r="I441" s="0" t="inlineStr">
        <is>
          <t>NULL</t>
        </is>
      </c>
      <c r="J441" s="0" t="inlineStr">
        <is>
          <t>NULL</t>
        </is>
      </c>
      <c r="K441" s="0" t="inlineStr">
        <is>
          <t>YES! 	 c_numeric18_2列源备映射正确，源端为numeric None位	期望更改为numeric(p,s)	实际备端为numeric None位</t>
        </is>
      </c>
    </row>
    <row r="442">
      <c r="B442" s="0" t="inlineStr">
        <is>
          <t>NULL</t>
        </is>
      </c>
      <c r="C442" s="0" t="inlineStr">
        <is>
          <t>NULL</t>
        </is>
      </c>
      <c r="D442" s="0" t="inlineStr">
        <is>
          <t>NULL</t>
        </is>
      </c>
      <c r="E442" s="0" t="inlineStr">
        <is>
          <t>NULL</t>
        </is>
      </c>
      <c r="F442" s="0" t="inlineStr">
        <is>
          <t>NULL</t>
        </is>
      </c>
      <c r="G442" s="0" t="inlineStr">
        <is>
          <t>NULL</t>
        </is>
      </c>
      <c r="H442" s="0" t="inlineStr">
        <is>
          <t>NULL</t>
        </is>
      </c>
      <c r="I442" s="0" t="inlineStr">
        <is>
          <t>NULL</t>
        </is>
      </c>
      <c r="J442" s="0" t="inlineStr">
        <is>
          <t>NULL</t>
        </is>
      </c>
      <c r="K442" s="0" t="inlineStr">
        <is>
          <t>YES! 	 c_float列源备映射正确，源端为float None位	期望更改为float	实际备端为float None位</t>
        </is>
      </c>
    </row>
    <row r="443">
      <c r="B443" s="0" t="inlineStr">
        <is>
          <t>NULL</t>
        </is>
      </c>
      <c r="C443" s="0" t="inlineStr">
        <is>
          <t>NULL</t>
        </is>
      </c>
      <c r="D443" s="0" t="inlineStr">
        <is>
          <t>NULL</t>
        </is>
      </c>
      <c r="E443" s="0" t="inlineStr">
        <is>
          <t>NULL</t>
        </is>
      </c>
      <c r="F443" s="0" t="inlineStr">
        <is>
          <t>NULL</t>
        </is>
      </c>
      <c r="G443" s="0" t="inlineStr">
        <is>
          <t>NULL</t>
        </is>
      </c>
      <c r="H443" s="0" t="inlineStr">
        <is>
          <t>NULL</t>
        </is>
      </c>
      <c r="I443" s="0" t="inlineStr">
        <is>
          <t>NULL</t>
        </is>
      </c>
      <c r="J443" s="0" t="inlineStr">
        <is>
          <t>NULL</t>
        </is>
      </c>
      <c r="K443" s="0" t="inlineStr">
        <is>
          <t>YES! 	 c_real列源备映射正确，源端为real None位	期望更改为real	实际备端为real None位</t>
        </is>
      </c>
    </row>
    <row r="444">
      <c r="B444" s="0" t="inlineStr">
        <is>
          <t>NULL</t>
        </is>
      </c>
      <c r="C444" s="0" t="inlineStr">
        <is>
          <t>NULL</t>
        </is>
      </c>
      <c r="D444" s="0" t="inlineStr">
        <is>
          <t>NULL</t>
        </is>
      </c>
      <c r="E444" s="0" t="inlineStr">
        <is>
          <t>NULL</t>
        </is>
      </c>
      <c r="F444" s="0" t="inlineStr">
        <is>
          <t>NULL</t>
        </is>
      </c>
      <c r="G444" s="0" t="inlineStr">
        <is>
          <t>NULL</t>
        </is>
      </c>
      <c r="H444" s="0" t="inlineStr">
        <is>
          <t>NULL</t>
        </is>
      </c>
      <c r="I444" s="0" t="inlineStr">
        <is>
          <t>NULL</t>
        </is>
      </c>
      <c r="J444" s="0" t="inlineStr">
        <is>
          <t>NULL</t>
        </is>
      </c>
      <c r="K444" s="0" t="inlineStr">
        <is>
          <t>YES! 	 c_money列源备映射正确，源端为money None位	期望更改为money	实际备端为money None位</t>
        </is>
      </c>
    </row>
    <row r="445">
      <c r="B445" s="0" t="inlineStr">
        <is>
          <t>NULL</t>
        </is>
      </c>
      <c r="C445" s="0" t="inlineStr">
        <is>
          <t>NULL</t>
        </is>
      </c>
      <c r="D445" s="0" t="inlineStr">
        <is>
          <t>NULL</t>
        </is>
      </c>
      <c r="E445" s="0" t="inlineStr">
        <is>
          <t>NULL</t>
        </is>
      </c>
      <c r="F445" s="0" t="inlineStr">
        <is>
          <t>NULL</t>
        </is>
      </c>
      <c r="G445" s="0" t="inlineStr">
        <is>
          <t>NULL</t>
        </is>
      </c>
      <c r="H445" s="0" t="inlineStr">
        <is>
          <t>NULL</t>
        </is>
      </c>
      <c r="I445" s="0" t="inlineStr">
        <is>
          <t>NULL</t>
        </is>
      </c>
      <c r="J445" s="0" t="inlineStr">
        <is>
          <t>NULL</t>
        </is>
      </c>
      <c r="K445" s="0" t="inlineStr">
        <is>
          <t>YES! 	 c_smallmoney列源备映射正确，源端为smallmoney None位	期望更改为smallmoney	实际备端为smallmoney None位</t>
        </is>
      </c>
    </row>
    <row r="446">
      <c r="B446" s="0" t="inlineStr">
        <is>
          <t>NULL</t>
        </is>
      </c>
      <c r="C446" s="0" t="inlineStr">
        <is>
          <t>NULL</t>
        </is>
      </c>
      <c r="D446" s="0" t="inlineStr">
        <is>
          <t>NULL</t>
        </is>
      </c>
      <c r="E446" s="0" t="inlineStr">
        <is>
          <t>NULL</t>
        </is>
      </c>
      <c r="F446" s="0" t="inlineStr">
        <is>
          <t>NULL</t>
        </is>
      </c>
      <c r="G446" s="0" t="inlineStr">
        <is>
          <t>NULL</t>
        </is>
      </c>
      <c r="H446" s="0" t="inlineStr">
        <is>
          <t>NULL</t>
        </is>
      </c>
      <c r="I446" s="0" t="inlineStr">
        <is>
          <t>NULL</t>
        </is>
      </c>
      <c r="J446" s="0" t="inlineStr">
        <is>
          <t>NULL</t>
        </is>
      </c>
      <c r="K446" s="0" t="inlineStr">
        <is>
          <t>YES! 	 c_bit列源备映射正确，源端为bit None位	期望更改为bit	实际备端为bit None位</t>
        </is>
      </c>
    </row>
    <row r="447">
      <c r="A447" s="0" t="inlineStr">
        <is>
          <t>info_sdt_dml_batch1_pk_drp1</t>
        </is>
      </c>
      <c r="K447" s="0" t="inlineStr">
        <is>
          <t>[0;34m info_sdt_dml_batch1_pk_drp1 [0m源备字段数相同，源端字段：2 	备端字段2</t>
        </is>
      </c>
      <c r="W447" s="0" t="inlineStr">
        <is>
          <t>YES 源备无差异</t>
        </is>
      </c>
      <c r="X447" s="0">
        <f>A447</f>
        <v/>
      </c>
    </row>
    <row r="448">
      <c r="B448" s="0" t="inlineStr">
        <is>
          <t>YES</t>
        </is>
      </c>
      <c r="C448" s="0" t="inlineStr">
        <is>
          <t>NULL</t>
        </is>
      </c>
      <c r="D448" s="0" t="inlineStr">
        <is>
          <t>NULL</t>
        </is>
      </c>
      <c r="E448" s="0" t="inlineStr">
        <is>
          <t>NULL</t>
        </is>
      </c>
      <c r="F448" s="0" t="inlineStr">
        <is>
          <t>NULL</t>
        </is>
      </c>
      <c r="G448" s="0" t="inlineStr">
        <is>
          <t>NULL</t>
        </is>
      </c>
      <c r="H448" s="0" t="inlineStr">
        <is>
          <t>NULL</t>
        </is>
      </c>
      <c r="I448" s="0" t="inlineStr">
        <is>
          <t>YES!PK__info_sdt__3213E83F8E7E5405</t>
        </is>
      </c>
      <c r="J448" s="0" t="inlineStr">
        <is>
          <t>YES! 主键相关索引</t>
        </is>
      </c>
      <c r="K448" s="0" t="inlineStr">
        <is>
          <t>YES! 	 id列源备映射正确，源端为int None位	期望更改为int	实际备端为int None位</t>
        </is>
      </c>
    </row>
    <row r="449">
      <c r="B449" s="0" t="inlineStr">
        <is>
          <t>NULL</t>
        </is>
      </c>
      <c r="C449" s="0" t="inlineStr">
        <is>
          <t>NULL</t>
        </is>
      </c>
      <c r="D449" s="0" t="inlineStr">
        <is>
          <t>NULL</t>
        </is>
      </c>
      <c r="E449" s="0" t="inlineStr">
        <is>
          <t>NULL</t>
        </is>
      </c>
      <c r="F449" s="0" t="inlineStr">
        <is>
          <t>NULL</t>
        </is>
      </c>
      <c r="G449" s="0" t="inlineStr">
        <is>
          <t>NULL</t>
        </is>
      </c>
      <c r="H449" s="0" t="inlineStr">
        <is>
          <t>NULL</t>
        </is>
      </c>
      <c r="I449" s="0" t="inlineStr">
        <is>
          <t>NULL</t>
        </is>
      </c>
      <c r="J449" s="0" t="inlineStr">
        <is>
          <t>NULL</t>
        </is>
      </c>
      <c r="K449" s="0" t="inlineStr">
        <is>
          <t>YES! 	 c_sdt列源备映射正确，源端为smalldatetime None位	期望更改为smalldatetime	实际备端为smalldatetime None位</t>
        </is>
      </c>
    </row>
    <row r="450">
      <c r="K450" s="0" t="inlineStr">
        <is>
          <t>~ 空表</t>
        </is>
      </c>
    </row>
    <row r="451">
      <c r="A451" s="0" t="inlineStr">
        <is>
          <t>info_int_dml_single_nopk_urp</t>
        </is>
      </c>
      <c r="K451" s="0" t="inlineStr">
        <is>
          <t>[0;34m info_int_dml_single_nopk_urp [0m源备字段数相同，源端字段：20 	备端字段20</t>
        </is>
      </c>
      <c r="W451" s="0" t="inlineStr">
        <is>
          <t>YES 源备无差异</t>
        </is>
      </c>
      <c r="X451" s="0">
        <f>A451</f>
        <v/>
      </c>
    </row>
    <row r="452">
      <c r="B452" s="0" t="inlineStr">
        <is>
          <t>NULL</t>
        </is>
      </c>
      <c r="C452" s="0" t="inlineStr">
        <is>
          <t>NULL</t>
        </is>
      </c>
      <c r="D452" s="0" t="inlineStr">
        <is>
          <t>NULL</t>
        </is>
      </c>
      <c r="E452" s="0" t="inlineStr">
        <is>
          <t>NULL</t>
        </is>
      </c>
      <c r="F452" s="0" t="inlineStr">
        <is>
          <t>NULL</t>
        </is>
      </c>
      <c r="G452" s="0" t="inlineStr">
        <is>
          <t>NULL</t>
        </is>
      </c>
      <c r="H452" s="0" t="inlineStr">
        <is>
          <t>NULL</t>
        </is>
      </c>
      <c r="I452" s="0" t="inlineStr">
        <is>
          <t>NULL</t>
        </is>
      </c>
      <c r="J452" s="0" t="inlineStr">
        <is>
          <t>NULL</t>
        </is>
      </c>
      <c r="K452" s="0" t="inlineStr">
        <is>
          <t>YES! 	 id列源备映射正确，源端为int None位	期望更改为int	实际备端为int None位</t>
        </is>
      </c>
    </row>
    <row r="453">
      <c r="B453" s="0" t="inlineStr">
        <is>
          <t>NULL</t>
        </is>
      </c>
      <c r="C453" s="0" t="inlineStr">
        <is>
          <t>NULL</t>
        </is>
      </c>
      <c r="D453" s="0" t="inlineStr">
        <is>
          <t>NULL</t>
        </is>
      </c>
      <c r="E453" s="0" t="inlineStr">
        <is>
          <t>NULL</t>
        </is>
      </c>
      <c r="F453" s="0" t="inlineStr">
        <is>
          <t>NULL</t>
        </is>
      </c>
      <c r="G453" s="0" t="inlineStr">
        <is>
          <t>NULL</t>
        </is>
      </c>
      <c r="H453" s="0" t="inlineStr">
        <is>
          <t>NULL</t>
        </is>
      </c>
      <c r="I453" s="0" t="inlineStr">
        <is>
          <t>NULL</t>
        </is>
      </c>
      <c r="J453" s="0" t="inlineStr">
        <is>
          <t>NULL</t>
        </is>
      </c>
      <c r="K453" s="0" t="inlineStr">
        <is>
          <t>YES! 	 c_tinyint列源备映射正确，源端为tinyint None位	期望更改为tinyint	实际备端为tinyint None位</t>
        </is>
      </c>
    </row>
    <row r="454">
      <c r="B454" s="0" t="inlineStr">
        <is>
          <t>NULL</t>
        </is>
      </c>
      <c r="C454" s="0" t="inlineStr">
        <is>
          <t>NULL</t>
        </is>
      </c>
      <c r="D454" s="0" t="inlineStr">
        <is>
          <t>NULL</t>
        </is>
      </c>
      <c r="E454" s="0" t="inlineStr">
        <is>
          <t>NULL</t>
        </is>
      </c>
      <c r="F454" s="0" t="inlineStr">
        <is>
          <t>NULL</t>
        </is>
      </c>
      <c r="G454" s="0" t="inlineStr">
        <is>
          <t>NULL</t>
        </is>
      </c>
      <c r="H454" s="0" t="inlineStr">
        <is>
          <t>NULL</t>
        </is>
      </c>
      <c r="I454" s="0" t="inlineStr">
        <is>
          <t>NULL</t>
        </is>
      </c>
      <c r="J454" s="0" t="inlineStr">
        <is>
          <t>NULL</t>
        </is>
      </c>
      <c r="K454" s="0" t="inlineStr">
        <is>
          <t>YES! 	 c_smallint列源备映射正确，源端为smallint None位	期望更改为smallint	实际备端为smallint None位</t>
        </is>
      </c>
    </row>
    <row r="455">
      <c r="B455" s="0" t="inlineStr">
        <is>
          <t>NULL</t>
        </is>
      </c>
      <c r="C455" s="0" t="inlineStr">
        <is>
          <t>NULL</t>
        </is>
      </c>
      <c r="D455" s="0" t="inlineStr">
        <is>
          <t>NULL</t>
        </is>
      </c>
      <c r="E455" s="0" t="inlineStr">
        <is>
          <t>NULL</t>
        </is>
      </c>
      <c r="F455" s="0" t="inlineStr">
        <is>
          <t>NULL</t>
        </is>
      </c>
      <c r="G455" s="0" t="inlineStr">
        <is>
          <t>NULL</t>
        </is>
      </c>
      <c r="H455" s="0" t="inlineStr">
        <is>
          <t>NULL</t>
        </is>
      </c>
      <c r="I455" s="0" t="inlineStr">
        <is>
          <t>NULL</t>
        </is>
      </c>
      <c r="J455" s="0" t="inlineStr">
        <is>
          <t>NULL</t>
        </is>
      </c>
      <c r="K455" s="0" t="inlineStr">
        <is>
          <t>YES! 	 c_int列源备映射正确，源端为int None位	期望更改为int	实际备端为int None位</t>
        </is>
      </c>
    </row>
    <row r="456">
      <c r="B456" s="0" t="inlineStr">
        <is>
          <t>NULL</t>
        </is>
      </c>
      <c r="C456" s="0" t="inlineStr">
        <is>
          <t>NULL</t>
        </is>
      </c>
      <c r="D456" s="0" t="inlineStr">
        <is>
          <t>NULL</t>
        </is>
      </c>
      <c r="E456" s="0" t="inlineStr">
        <is>
          <t>NULL</t>
        </is>
      </c>
      <c r="F456" s="0" t="inlineStr">
        <is>
          <t>NULL</t>
        </is>
      </c>
      <c r="G456" s="0" t="inlineStr">
        <is>
          <t>NULL</t>
        </is>
      </c>
      <c r="H456" s="0" t="inlineStr">
        <is>
          <t>NULL</t>
        </is>
      </c>
      <c r="I456" s="0" t="inlineStr">
        <is>
          <t>NULL</t>
        </is>
      </c>
      <c r="J456" s="0" t="inlineStr">
        <is>
          <t>NULL</t>
        </is>
      </c>
      <c r="K456" s="0" t="inlineStr">
        <is>
          <t>YES! 	 c_bigint列源备映射正确，源端为bigint None位	期望更改为bigint	实际备端为bigint None位</t>
        </is>
      </c>
    </row>
    <row r="457">
      <c r="B457" s="0" t="inlineStr">
        <is>
          <t>NULL</t>
        </is>
      </c>
      <c r="C457" s="0" t="inlineStr">
        <is>
          <t>NULL</t>
        </is>
      </c>
      <c r="D457" s="0" t="inlineStr">
        <is>
          <t>NULL</t>
        </is>
      </c>
      <c r="E457" s="0" t="inlineStr">
        <is>
          <t>NULL</t>
        </is>
      </c>
      <c r="F457" s="0" t="inlineStr">
        <is>
          <t>NULL</t>
        </is>
      </c>
      <c r="G457" s="0" t="inlineStr">
        <is>
          <t>NULL</t>
        </is>
      </c>
      <c r="H457" s="0" t="inlineStr">
        <is>
          <t>NULL</t>
        </is>
      </c>
      <c r="I457" s="0" t="inlineStr">
        <is>
          <t>NULL</t>
        </is>
      </c>
      <c r="J457" s="0" t="inlineStr">
        <is>
          <t>NULL</t>
        </is>
      </c>
      <c r="K457" s="0" t="inlineStr">
        <is>
          <t>YES! 	 c_decimal列源备映射正确，源端为decimal None位	期望更改为decimal(p,s)	实际备端为decimal None位</t>
        </is>
      </c>
    </row>
    <row r="458">
      <c r="B458" s="0" t="inlineStr">
        <is>
          <t>NULL</t>
        </is>
      </c>
      <c r="C458" s="0" t="inlineStr">
        <is>
          <t>NULL</t>
        </is>
      </c>
      <c r="D458" s="0" t="inlineStr">
        <is>
          <t>NULL</t>
        </is>
      </c>
      <c r="E458" s="0" t="inlineStr">
        <is>
          <t>NULL</t>
        </is>
      </c>
      <c r="F458" s="0" t="inlineStr">
        <is>
          <t>NULL</t>
        </is>
      </c>
      <c r="G458" s="0" t="inlineStr">
        <is>
          <t>NULL</t>
        </is>
      </c>
      <c r="H458" s="0" t="inlineStr">
        <is>
          <t>NULL</t>
        </is>
      </c>
      <c r="I458" s="0" t="inlineStr">
        <is>
          <t>NULL</t>
        </is>
      </c>
      <c r="J458" s="0" t="inlineStr">
        <is>
          <t>NULL</t>
        </is>
      </c>
      <c r="K458" s="0" t="inlineStr">
        <is>
          <t>YES! 	 c_decimal38列源备映射正确，源端为decimal None位	期望更改为decimal(p,s)	实际备端为decimal None位</t>
        </is>
      </c>
    </row>
    <row r="459">
      <c r="B459" s="0" t="inlineStr">
        <is>
          <t>NULL</t>
        </is>
      </c>
      <c r="C459" s="0" t="inlineStr">
        <is>
          <t>NULL</t>
        </is>
      </c>
      <c r="D459" s="0" t="inlineStr">
        <is>
          <t>NULL</t>
        </is>
      </c>
      <c r="E459" s="0" t="inlineStr">
        <is>
          <t>NULL</t>
        </is>
      </c>
      <c r="F459" s="0" t="inlineStr">
        <is>
          <t>NULL</t>
        </is>
      </c>
      <c r="G459" s="0" t="inlineStr">
        <is>
          <t>NULL</t>
        </is>
      </c>
      <c r="H459" s="0" t="inlineStr">
        <is>
          <t>NULL</t>
        </is>
      </c>
      <c r="I459" s="0" t="inlineStr">
        <is>
          <t>NULL</t>
        </is>
      </c>
      <c r="J459" s="0" t="inlineStr">
        <is>
          <t>NULL</t>
        </is>
      </c>
      <c r="K459" s="0" t="inlineStr">
        <is>
          <t>YES! 	 c_decimal38_38列源备映射正确，源端为decimal None位	期望更改为decimal(p,s)	实际备端为decimal None位</t>
        </is>
      </c>
    </row>
    <row r="460">
      <c r="B460" s="0" t="inlineStr">
        <is>
          <t>NULL</t>
        </is>
      </c>
      <c r="C460" s="0" t="inlineStr">
        <is>
          <t>NULL</t>
        </is>
      </c>
      <c r="D460" s="0" t="inlineStr">
        <is>
          <t>NULL</t>
        </is>
      </c>
      <c r="E460" s="0" t="inlineStr">
        <is>
          <t>NULL</t>
        </is>
      </c>
      <c r="F460" s="0" t="inlineStr">
        <is>
          <t>NULL</t>
        </is>
      </c>
      <c r="G460" s="0" t="inlineStr">
        <is>
          <t>NULL</t>
        </is>
      </c>
      <c r="H460" s="0" t="inlineStr">
        <is>
          <t>NULL</t>
        </is>
      </c>
      <c r="I460" s="0" t="inlineStr">
        <is>
          <t>NULL</t>
        </is>
      </c>
      <c r="J460" s="0" t="inlineStr">
        <is>
          <t>NULL</t>
        </is>
      </c>
      <c r="K460" s="0" t="inlineStr">
        <is>
          <t>YES! 	 c_decimal38_10列源备映射正确，源端为decimal None位	期望更改为decimal(p,s)	实际备端为decimal None位</t>
        </is>
      </c>
    </row>
    <row r="461">
      <c r="B461" s="0" t="inlineStr">
        <is>
          <t>NULL</t>
        </is>
      </c>
      <c r="C461" s="0" t="inlineStr">
        <is>
          <t>NULL</t>
        </is>
      </c>
      <c r="D461" s="0" t="inlineStr">
        <is>
          <t>NULL</t>
        </is>
      </c>
      <c r="E461" s="0" t="inlineStr">
        <is>
          <t>NULL</t>
        </is>
      </c>
      <c r="F461" s="0" t="inlineStr">
        <is>
          <t>NULL</t>
        </is>
      </c>
      <c r="G461" s="0" t="inlineStr">
        <is>
          <t>NULL</t>
        </is>
      </c>
      <c r="H461" s="0" t="inlineStr">
        <is>
          <t>NULL</t>
        </is>
      </c>
      <c r="I461" s="0" t="inlineStr">
        <is>
          <t>NULL</t>
        </is>
      </c>
      <c r="J461" s="0" t="inlineStr">
        <is>
          <t>NULL</t>
        </is>
      </c>
      <c r="K461" s="0" t="inlineStr">
        <is>
          <t>YES! 	 c_decimal19_4列源备映射正确，源端为decimal None位	期望更改为decimal(p,s)	实际备端为decimal None位</t>
        </is>
      </c>
    </row>
    <row r="462">
      <c r="B462" s="0" t="inlineStr">
        <is>
          <t>NULL</t>
        </is>
      </c>
      <c r="C462" s="0" t="inlineStr">
        <is>
          <t>NULL</t>
        </is>
      </c>
      <c r="D462" s="0" t="inlineStr">
        <is>
          <t>NULL</t>
        </is>
      </c>
      <c r="E462" s="0" t="inlineStr">
        <is>
          <t>NULL</t>
        </is>
      </c>
      <c r="F462" s="0" t="inlineStr">
        <is>
          <t>NULL</t>
        </is>
      </c>
      <c r="G462" s="0" t="inlineStr">
        <is>
          <t>NULL</t>
        </is>
      </c>
      <c r="H462" s="0" t="inlineStr">
        <is>
          <t>NULL</t>
        </is>
      </c>
      <c r="I462" s="0" t="inlineStr">
        <is>
          <t>NULL</t>
        </is>
      </c>
      <c r="J462" s="0" t="inlineStr">
        <is>
          <t>NULL</t>
        </is>
      </c>
      <c r="K462" s="0" t="inlineStr">
        <is>
          <t>YES! 	 c_numeric列源备映射正确，源端为numeric None位	期望更改为numeric(p,s)	实际备端为numeric None位</t>
        </is>
      </c>
    </row>
    <row r="463">
      <c r="B463" s="0" t="inlineStr">
        <is>
          <t>NULL</t>
        </is>
      </c>
      <c r="C463" s="0" t="inlineStr">
        <is>
          <t>NULL</t>
        </is>
      </c>
      <c r="D463" s="0" t="inlineStr">
        <is>
          <t>NULL</t>
        </is>
      </c>
      <c r="E463" s="0" t="inlineStr">
        <is>
          <t>NULL</t>
        </is>
      </c>
      <c r="F463" s="0" t="inlineStr">
        <is>
          <t>NULL</t>
        </is>
      </c>
      <c r="G463" s="0" t="inlineStr">
        <is>
          <t>NULL</t>
        </is>
      </c>
      <c r="H463" s="0" t="inlineStr">
        <is>
          <t>NULL</t>
        </is>
      </c>
      <c r="I463" s="0" t="inlineStr">
        <is>
          <t>NULL</t>
        </is>
      </c>
      <c r="J463" s="0" t="inlineStr">
        <is>
          <t>NULL</t>
        </is>
      </c>
      <c r="K463" s="0" t="inlineStr">
        <is>
          <t>YES! 	 c_numeric38列源备映射正确，源端为numeric None位	期望更改为numeric(p,s)	实际备端为numeric None位</t>
        </is>
      </c>
    </row>
    <row r="464">
      <c r="B464" s="0" t="inlineStr">
        <is>
          <t>NULL</t>
        </is>
      </c>
      <c r="C464" s="0" t="inlineStr">
        <is>
          <t>NULL</t>
        </is>
      </c>
      <c r="D464" s="0" t="inlineStr">
        <is>
          <t>NULL</t>
        </is>
      </c>
      <c r="E464" s="0" t="inlineStr">
        <is>
          <t>NULL</t>
        </is>
      </c>
      <c r="F464" s="0" t="inlineStr">
        <is>
          <t>NULL</t>
        </is>
      </c>
      <c r="G464" s="0" t="inlineStr">
        <is>
          <t>NULL</t>
        </is>
      </c>
      <c r="H464" s="0" t="inlineStr">
        <is>
          <t>NULL</t>
        </is>
      </c>
      <c r="I464" s="0" t="inlineStr">
        <is>
          <t>NULL</t>
        </is>
      </c>
      <c r="J464" s="0" t="inlineStr">
        <is>
          <t>NULL</t>
        </is>
      </c>
      <c r="K464" s="0" t="inlineStr">
        <is>
          <t>YES! 	 c_numeric38_38列源备映射正确，源端为numeric None位	期望更改为numeric(p,s)	实际备端为numeric None位</t>
        </is>
      </c>
    </row>
    <row r="465">
      <c r="B465" s="0" t="inlineStr">
        <is>
          <t>NULL</t>
        </is>
      </c>
      <c r="C465" s="0" t="inlineStr">
        <is>
          <t>NULL</t>
        </is>
      </c>
      <c r="D465" s="0" t="inlineStr">
        <is>
          <t>NULL</t>
        </is>
      </c>
      <c r="E465" s="0" t="inlineStr">
        <is>
          <t>NULL</t>
        </is>
      </c>
      <c r="F465" s="0" t="inlineStr">
        <is>
          <t>NULL</t>
        </is>
      </c>
      <c r="G465" s="0" t="inlineStr">
        <is>
          <t>NULL</t>
        </is>
      </c>
      <c r="H465" s="0" t="inlineStr">
        <is>
          <t>NULL</t>
        </is>
      </c>
      <c r="I465" s="0" t="inlineStr">
        <is>
          <t>NULL</t>
        </is>
      </c>
      <c r="J465" s="0" t="inlineStr">
        <is>
          <t>NULL</t>
        </is>
      </c>
      <c r="K465" s="0" t="inlineStr">
        <is>
          <t>YES! 	 c_numeric38_10列源备映射正确，源端为numeric None位	期望更改为numeric(p,s)	实际备端为numeric None位</t>
        </is>
      </c>
    </row>
    <row r="466">
      <c r="B466" s="0" t="inlineStr">
        <is>
          <t>NULL</t>
        </is>
      </c>
      <c r="C466" s="0" t="inlineStr">
        <is>
          <t>NULL</t>
        </is>
      </c>
      <c r="D466" s="0" t="inlineStr">
        <is>
          <t>NULL</t>
        </is>
      </c>
      <c r="E466" s="0" t="inlineStr">
        <is>
          <t>NULL</t>
        </is>
      </c>
      <c r="F466" s="0" t="inlineStr">
        <is>
          <t>NULL</t>
        </is>
      </c>
      <c r="G466" s="0" t="inlineStr">
        <is>
          <t>NULL</t>
        </is>
      </c>
      <c r="H466" s="0" t="inlineStr">
        <is>
          <t>NULL</t>
        </is>
      </c>
      <c r="I466" s="0" t="inlineStr">
        <is>
          <t>NULL</t>
        </is>
      </c>
      <c r="J466" s="0" t="inlineStr">
        <is>
          <t>NULL</t>
        </is>
      </c>
      <c r="K466" s="0" t="inlineStr">
        <is>
          <t>YES! 	 c_numeric18_2列源备映射正确，源端为numeric None位	期望更改为numeric(p,s)	实际备端为numeric None位</t>
        </is>
      </c>
    </row>
    <row r="467">
      <c r="B467" s="0" t="inlineStr">
        <is>
          <t>NULL</t>
        </is>
      </c>
      <c r="C467" s="0" t="inlineStr">
        <is>
          <t>NULL</t>
        </is>
      </c>
      <c r="D467" s="0" t="inlineStr">
        <is>
          <t>NULL</t>
        </is>
      </c>
      <c r="E467" s="0" t="inlineStr">
        <is>
          <t>NULL</t>
        </is>
      </c>
      <c r="F467" s="0" t="inlineStr">
        <is>
          <t>NULL</t>
        </is>
      </c>
      <c r="G467" s="0" t="inlineStr">
        <is>
          <t>NULL</t>
        </is>
      </c>
      <c r="H467" s="0" t="inlineStr">
        <is>
          <t>NULL</t>
        </is>
      </c>
      <c r="I467" s="0" t="inlineStr">
        <is>
          <t>NULL</t>
        </is>
      </c>
      <c r="J467" s="0" t="inlineStr">
        <is>
          <t>NULL</t>
        </is>
      </c>
      <c r="K467" s="0" t="inlineStr">
        <is>
          <t>YES! 	 c_float列源备映射正确，源端为float None位	期望更改为float	实际备端为float None位</t>
        </is>
      </c>
    </row>
    <row r="468">
      <c r="B468" s="0" t="inlineStr">
        <is>
          <t>NULL</t>
        </is>
      </c>
      <c r="C468" s="0" t="inlineStr">
        <is>
          <t>NULL</t>
        </is>
      </c>
      <c r="D468" s="0" t="inlineStr">
        <is>
          <t>NULL</t>
        </is>
      </c>
      <c r="E468" s="0" t="inlineStr">
        <is>
          <t>NULL</t>
        </is>
      </c>
      <c r="F468" s="0" t="inlineStr">
        <is>
          <t>NULL</t>
        </is>
      </c>
      <c r="G468" s="0" t="inlineStr">
        <is>
          <t>NULL</t>
        </is>
      </c>
      <c r="H468" s="0" t="inlineStr">
        <is>
          <t>NULL</t>
        </is>
      </c>
      <c r="I468" s="0" t="inlineStr">
        <is>
          <t>NULL</t>
        </is>
      </c>
      <c r="J468" s="0" t="inlineStr">
        <is>
          <t>NULL</t>
        </is>
      </c>
      <c r="K468" s="0" t="inlineStr">
        <is>
          <t>YES! 	 c_real列源备映射正确，源端为real None位	期望更改为real	实际备端为real None位</t>
        </is>
      </c>
    </row>
    <row r="469">
      <c r="B469" s="0" t="inlineStr">
        <is>
          <t>NULL</t>
        </is>
      </c>
      <c r="C469" s="0" t="inlineStr">
        <is>
          <t>NULL</t>
        </is>
      </c>
      <c r="D469" s="0" t="inlineStr">
        <is>
          <t>NULL</t>
        </is>
      </c>
      <c r="E469" s="0" t="inlineStr">
        <is>
          <t>NULL</t>
        </is>
      </c>
      <c r="F469" s="0" t="inlineStr">
        <is>
          <t>NULL</t>
        </is>
      </c>
      <c r="G469" s="0" t="inlineStr">
        <is>
          <t>NULL</t>
        </is>
      </c>
      <c r="H469" s="0" t="inlineStr">
        <is>
          <t>NULL</t>
        </is>
      </c>
      <c r="I469" s="0" t="inlineStr">
        <is>
          <t>NULL</t>
        </is>
      </c>
      <c r="J469" s="0" t="inlineStr">
        <is>
          <t>NULL</t>
        </is>
      </c>
      <c r="K469" s="0" t="inlineStr">
        <is>
          <t>YES! 	 c_money列源备映射正确，源端为money None位	期望更改为money	实际备端为money None位</t>
        </is>
      </c>
    </row>
    <row r="470">
      <c r="B470" s="0" t="inlineStr">
        <is>
          <t>NULL</t>
        </is>
      </c>
      <c r="C470" s="0" t="inlineStr">
        <is>
          <t>NULL</t>
        </is>
      </c>
      <c r="D470" s="0" t="inlineStr">
        <is>
          <t>NULL</t>
        </is>
      </c>
      <c r="E470" s="0" t="inlineStr">
        <is>
          <t>NULL</t>
        </is>
      </c>
      <c r="F470" s="0" t="inlineStr">
        <is>
          <t>NULL</t>
        </is>
      </c>
      <c r="G470" s="0" t="inlineStr">
        <is>
          <t>NULL</t>
        </is>
      </c>
      <c r="H470" s="0" t="inlineStr">
        <is>
          <t>NULL</t>
        </is>
      </c>
      <c r="I470" s="0" t="inlineStr">
        <is>
          <t>NULL</t>
        </is>
      </c>
      <c r="J470" s="0" t="inlineStr">
        <is>
          <t>NULL</t>
        </is>
      </c>
      <c r="K470" s="0" t="inlineStr">
        <is>
          <t>YES! 	 c_smallmoney列源备映射正确，源端为smallmoney None位	期望更改为smallmoney	实际备端为smallmoney None位</t>
        </is>
      </c>
    </row>
    <row r="471">
      <c r="B471" s="0" t="inlineStr">
        <is>
          <t>NULL</t>
        </is>
      </c>
      <c r="C471" s="0" t="inlineStr">
        <is>
          <t>NULL</t>
        </is>
      </c>
      <c r="D471" s="0" t="inlineStr">
        <is>
          <t>NULL</t>
        </is>
      </c>
      <c r="E471" s="0" t="inlineStr">
        <is>
          <t>NULL</t>
        </is>
      </c>
      <c r="F471" s="0" t="inlineStr">
        <is>
          <t>NULL</t>
        </is>
      </c>
      <c r="G471" s="0" t="inlineStr">
        <is>
          <t>NULL</t>
        </is>
      </c>
      <c r="H471" s="0" t="inlineStr">
        <is>
          <t>NULL</t>
        </is>
      </c>
      <c r="I471" s="0" t="inlineStr">
        <is>
          <t>NULL</t>
        </is>
      </c>
      <c r="J471" s="0" t="inlineStr">
        <is>
          <t>NULL</t>
        </is>
      </c>
      <c r="K471" s="0" t="inlineStr">
        <is>
          <t>YES! 	 c_bit列源备映射正确，源端为bit None位	期望更改为bit	实际备端为bit None位</t>
        </is>
      </c>
    </row>
    <row r="472">
      <c r="A472" s="0" t="inlineStr">
        <is>
          <t>info_varchar_dml_batch2_pk_irp1</t>
        </is>
      </c>
      <c r="K472" s="0" t="inlineStr">
        <is>
          <t>[0;34m info_varchar_dml_batch2_pk_irp1 [0m源备字段数相同，源端字段：4 	备端字段4</t>
        </is>
      </c>
      <c r="W472" s="0" t="inlineStr">
        <is>
          <t>YES 源备无差异</t>
        </is>
      </c>
      <c r="X472" s="0">
        <f>A472</f>
        <v/>
      </c>
    </row>
    <row r="473">
      <c r="B473" s="0" t="inlineStr">
        <is>
          <t>YES</t>
        </is>
      </c>
      <c r="C473" s="0" t="inlineStr">
        <is>
          <t>NULL</t>
        </is>
      </c>
      <c r="D473" s="0" t="inlineStr">
        <is>
          <t>NULL</t>
        </is>
      </c>
      <c r="E473" s="0" t="inlineStr">
        <is>
          <t>NULL</t>
        </is>
      </c>
      <c r="F473" s="0" t="inlineStr">
        <is>
          <t>NULL</t>
        </is>
      </c>
      <c r="G473" s="0" t="inlineStr">
        <is>
          <t>NULL</t>
        </is>
      </c>
      <c r="H473" s="0" t="inlineStr">
        <is>
          <t>NULL</t>
        </is>
      </c>
      <c r="I473" s="0" t="inlineStr">
        <is>
          <t>YES!PK__info_var__3213E83FAC523603</t>
        </is>
      </c>
      <c r="J473" s="0" t="inlineStr">
        <is>
          <t>YES! 主键相关索引</t>
        </is>
      </c>
      <c r="K473" s="0" t="inlineStr">
        <is>
          <t>YES! 	 id列源备映射正确，源端为int None位	期望更改为int	实际备端为int None位</t>
        </is>
      </c>
    </row>
    <row r="474">
      <c r="B474" s="0" t="inlineStr">
        <is>
          <t>NULL</t>
        </is>
      </c>
      <c r="C474" s="0" t="inlineStr">
        <is>
          <t>NULL</t>
        </is>
      </c>
      <c r="D474" s="0" t="inlineStr">
        <is>
          <t>NULL</t>
        </is>
      </c>
      <c r="E474" s="0" t="inlineStr">
        <is>
          <t>NULL</t>
        </is>
      </c>
      <c r="F474" s="0" t="inlineStr">
        <is>
          <t>NULL</t>
        </is>
      </c>
      <c r="G474" s="0" t="inlineStr">
        <is>
          <t>NULL</t>
        </is>
      </c>
      <c r="H474" s="0" t="inlineStr">
        <is>
          <t>NULL</t>
        </is>
      </c>
      <c r="I474" s="0" t="inlineStr">
        <is>
          <t>NULL</t>
        </is>
      </c>
      <c r="J474" s="0" t="inlineStr">
        <is>
          <t>NULL</t>
        </is>
      </c>
      <c r="K474" s="0" t="inlineStr">
        <is>
          <t>YES! 	 c_varchar列源备映射正确，源端为varchar 1位	期望更改为varchar(n)	实际备端为varchar 1位</t>
        </is>
      </c>
    </row>
    <row r="475">
      <c r="B475" s="0" t="inlineStr">
        <is>
          <t>NULL</t>
        </is>
      </c>
      <c r="C475" s="0" t="inlineStr">
        <is>
          <t>NULL</t>
        </is>
      </c>
      <c r="D475" s="0" t="inlineStr">
        <is>
          <t>NULL</t>
        </is>
      </c>
      <c r="E475" s="0" t="inlineStr">
        <is>
          <t>NULL</t>
        </is>
      </c>
      <c r="F475" s="0" t="inlineStr">
        <is>
          <t>NULL</t>
        </is>
      </c>
      <c r="G475" s="0" t="inlineStr">
        <is>
          <t>NULL</t>
        </is>
      </c>
      <c r="H475" s="0" t="inlineStr">
        <is>
          <t>NULL</t>
        </is>
      </c>
      <c r="I475" s="0" t="inlineStr">
        <is>
          <t>NULL</t>
        </is>
      </c>
      <c r="J475" s="0" t="inlineStr">
        <is>
          <t>NULL</t>
        </is>
      </c>
      <c r="K475" s="0" t="inlineStr">
        <is>
          <t>YES! 	 c_varchar20列源备映射正确，源端为varchar 20位	期望更改为varchar(n)	实际备端为varchar 20位</t>
        </is>
      </c>
    </row>
    <row r="476">
      <c r="B476" s="0" t="inlineStr">
        <is>
          <t>NULL</t>
        </is>
      </c>
      <c r="C476" s="0" t="inlineStr">
        <is>
          <t>NULL</t>
        </is>
      </c>
      <c r="D476" s="0" t="inlineStr">
        <is>
          <t>NULL</t>
        </is>
      </c>
      <c r="E476" s="0" t="inlineStr">
        <is>
          <t>NULL</t>
        </is>
      </c>
      <c r="F476" s="0" t="inlineStr">
        <is>
          <t>NULL</t>
        </is>
      </c>
      <c r="G476" s="0" t="inlineStr">
        <is>
          <t>NULL</t>
        </is>
      </c>
      <c r="H476" s="0" t="inlineStr">
        <is>
          <t>NULL</t>
        </is>
      </c>
      <c r="I476" s="0" t="inlineStr">
        <is>
          <t>NULL</t>
        </is>
      </c>
      <c r="J476" s="0" t="inlineStr">
        <is>
          <t>NULL</t>
        </is>
      </c>
      <c r="K476" s="0" t="inlineStr">
        <is>
          <t>YES! 	 c_varchar8000列源备映射正确，源端为varchar 8000位	期望更改为varchar(n)	实际备端为varchar 8000位</t>
        </is>
      </c>
    </row>
    <row r="477">
      <c r="A477" s="0" t="inlineStr">
        <is>
          <t>info_nchar_dml_single_pk_drp</t>
        </is>
      </c>
      <c r="K477" s="0" t="inlineStr">
        <is>
          <t>[0;34m info_nchar_dml_single_pk_drp [0m源备字段数相同，源端字段：4 	备端字段4</t>
        </is>
      </c>
      <c r="W477" s="0" t="inlineStr">
        <is>
          <t>YES 源备无差异</t>
        </is>
      </c>
      <c r="X477" s="0">
        <f>A477</f>
        <v/>
      </c>
    </row>
    <row r="478">
      <c r="B478" s="0" t="inlineStr">
        <is>
          <t>YES</t>
        </is>
      </c>
      <c r="C478" s="0" t="inlineStr">
        <is>
          <t>NULL</t>
        </is>
      </c>
      <c r="D478" s="0" t="inlineStr">
        <is>
          <t>NULL</t>
        </is>
      </c>
      <c r="E478" s="0" t="inlineStr">
        <is>
          <t>NULL</t>
        </is>
      </c>
      <c r="F478" s="0" t="inlineStr">
        <is>
          <t>NULL</t>
        </is>
      </c>
      <c r="G478" s="0" t="inlineStr">
        <is>
          <t>NULL</t>
        </is>
      </c>
      <c r="H478" s="0" t="inlineStr">
        <is>
          <t>NULL</t>
        </is>
      </c>
      <c r="I478" s="0" t="inlineStr">
        <is>
          <t>YES!PK__info_nch__3213E83FFD93D76F</t>
        </is>
      </c>
      <c r="J478" s="0" t="inlineStr">
        <is>
          <t>YES! 主键相关索引</t>
        </is>
      </c>
      <c r="K478" s="0" t="inlineStr">
        <is>
          <t>YES! 	 id列源备映射正确，源端为int None位	期望更改为int	实际备端为int None位</t>
        </is>
      </c>
    </row>
    <row r="479">
      <c r="B479" s="0" t="inlineStr">
        <is>
          <t>NULL</t>
        </is>
      </c>
      <c r="C479" s="0" t="inlineStr">
        <is>
          <t>NULL</t>
        </is>
      </c>
      <c r="D479" s="0" t="inlineStr">
        <is>
          <t>NULL</t>
        </is>
      </c>
      <c r="E479" s="0" t="inlineStr">
        <is>
          <t>NULL</t>
        </is>
      </c>
      <c r="F479" s="0" t="inlineStr">
        <is>
          <t>NULL</t>
        </is>
      </c>
      <c r="G479" s="0" t="inlineStr">
        <is>
          <t>NULL</t>
        </is>
      </c>
      <c r="H479" s="0" t="inlineStr">
        <is>
          <t>NULL</t>
        </is>
      </c>
      <c r="I479" s="0" t="inlineStr">
        <is>
          <t>NULL</t>
        </is>
      </c>
      <c r="J479" s="0" t="inlineStr">
        <is>
          <t>NULL</t>
        </is>
      </c>
      <c r="K479" s="0" t="inlineStr">
        <is>
          <t>YES! 	 c_nchar列源备映射正确，源端为nchar 2位	期望更改为nchar(n)	实际备端为nchar 2位</t>
        </is>
      </c>
    </row>
    <row r="480">
      <c r="B480" s="0" t="inlineStr">
        <is>
          <t>NULL</t>
        </is>
      </c>
      <c r="C480" s="0" t="inlineStr">
        <is>
          <t>NULL</t>
        </is>
      </c>
      <c r="D480" s="0" t="inlineStr">
        <is>
          <t>NULL</t>
        </is>
      </c>
      <c r="E480" s="0" t="inlineStr">
        <is>
          <t>NULL</t>
        </is>
      </c>
      <c r="F480" s="0" t="inlineStr">
        <is>
          <t>NULL</t>
        </is>
      </c>
      <c r="G480" s="0" t="inlineStr">
        <is>
          <t>NULL</t>
        </is>
      </c>
      <c r="H480" s="0" t="inlineStr">
        <is>
          <t>NULL</t>
        </is>
      </c>
      <c r="I480" s="0" t="inlineStr">
        <is>
          <t>NULL</t>
        </is>
      </c>
      <c r="J480" s="0" t="inlineStr">
        <is>
          <t>NULL</t>
        </is>
      </c>
      <c r="K480" s="0" t="inlineStr">
        <is>
          <t>YES! 	 c_nchar20列源备映射正确，源端为nchar 40位	期望更改为nchar(n)	实际备端为nchar 40位</t>
        </is>
      </c>
    </row>
    <row r="481">
      <c r="B481" s="0" t="inlineStr">
        <is>
          <t>NULL</t>
        </is>
      </c>
      <c r="C481" s="0" t="inlineStr">
        <is>
          <t>NULL</t>
        </is>
      </c>
      <c r="D481" s="0" t="inlineStr">
        <is>
          <t>NULL</t>
        </is>
      </c>
      <c r="E481" s="0" t="inlineStr">
        <is>
          <t>NULL</t>
        </is>
      </c>
      <c r="F481" s="0" t="inlineStr">
        <is>
          <t>NULL</t>
        </is>
      </c>
      <c r="G481" s="0" t="inlineStr">
        <is>
          <t>NULL</t>
        </is>
      </c>
      <c r="H481" s="0" t="inlineStr">
        <is>
          <t>NULL</t>
        </is>
      </c>
      <c r="I481" s="0" t="inlineStr">
        <is>
          <t>NULL</t>
        </is>
      </c>
      <c r="J481" s="0" t="inlineStr">
        <is>
          <t>NULL</t>
        </is>
      </c>
      <c r="K481" s="0" t="inlineStr">
        <is>
          <t>YES! 	 c_nchar3500列源备映射正确，源端为nchar 7000位	期望更改为nchar(n)	实际备端为nchar 7000位</t>
        </is>
      </c>
    </row>
    <row r="482">
      <c r="A482" s="0" t="inlineStr">
        <is>
          <t>info_sql_variant_dml_single_pk_urp</t>
        </is>
      </c>
      <c r="K482" s="0" t="inlineStr">
        <is>
          <t>[0;34m info_sql_variant_dml_single_pk_urp [0m源备字段数相同，源端字段：25 	备端字段25</t>
        </is>
      </c>
      <c r="W482" s="0" t="inlineStr">
        <is>
          <t>YES 源备无差异</t>
        </is>
      </c>
      <c r="X482" s="0">
        <f>A482</f>
        <v/>
      </c>
    </row>
    <row r="483">
      <c r="B483" s="0" t="inlineStr">
        <is>
          <t>YES</t>
        </is>
      </c>
      <c r="C483" s="0" t="inlineStr">
        <is>
          <t>NULL</t>
        </is>
      </c>
      <c r="D483" s="0" t="inlineStr">
        <is>
          <t>NULL</t>
        </is>
      </c>
      <c r="E483" s="0" t="inlineStr">
        <is>
          <t>NULL</t>
        </is>
      </c>
      <c r="F483" s="0" t="inlineStr">
        <is>
          <t>NULL</t>
        </is>
      </c>
      <c r="G483" s="0" t="inlineStr">
        <is>
          <t>NULL</t>
        </is>
      </c>
      <c r="H483" s="0" t="inlineStr">
        <is>
          <t>NULL</t>
        </is>
      </c>
      <c r="I483" s="0" t="inlineStr">
        <is>
          <t>YES!PK__info_sql__3213E83F919861E2</t>
        </is>
      </c>
      <c r="J483" s="0" t="inlineStr">
        <is>
          <t>YES! 主键相关索引</t>
        </is>
      </c>
      <c r="K483" s="0" t="inlineStr">
        <is>
          <t>YES! 	 id列源备映射正确，源端为int None位	期望更改为int	实际备端为int None位</t>
        </is>
      </c>
    </row>
    <row r="484">
      <c r="B484" s="0" t="inlineStr">
        <is>
          <t>NULL</t>
        </is>
      </c>
      <c r="C484" s="0" t="inlineStr">
        <is>
          <t>NULL</t>
        </is>
      </c>
      <c r="D484" s="0" t="inlineStr">
        <is>
          <t>NULL</t>
        </is>
      </c>
      <c r="E484" s="0" t="inlineStr">
        <is>
          <t>NULL</t>
        </is>
      </c>
      <c r="F484" s="0" t="inlineStr">
        <is>
          <t>NULL</t>
        </is>
      </c>
      <c r="G484" s="0" t="inlineStr">
        <is>
          <t>NULL</t>
        </is>
      </c>
      <c r="H484" s="0" t="inlineStr">
        <is>
          <t>NULL</t>
        </is>
      </c>
      <c r="I484" s="0" t="inlineStr">
        <is>
          <t>NULL</t>
        </is>
      </c>
      <c r="J484" s="0" t="inlineStr">
        <is>
          <t>NULL</t>
        </is>
      </c>
      <c r="K484" s="0" t="inlineStr">
        <is>
          <t>YES! 	 c_date列源备映射正确，源端为sql_variant 0位	期望更改为sql_variant	实际备端为sql_variant 0位</t>
        </is>
      </c>
    </row>
    <row r="485">
      <c r="B485" s="0" t="inlineStr">
        <is>
          <t>NULL</t>
        </is>
      </c>
      <c r="C485" s="0" t="inlineStr">
        <is>
          <t>NULL</t>
        </is>
      </c>
      <c r="D485" s="0" t="inlineStr">
        <is>
          <t>NULL</t>
        </is>
      </c>
      <c r="E485" s="0" t="inlineStr">
        <is>
          <t>NULL</t>
        </is>
      </c>
      <c r="F485" s="0" t="inlineStr">
        <is>
          <t>NULL</t>
        </is>
      </c>
      <c r="G485" s="0" t="inlineStr">
        <is>
          <t>NULL</t>
        </is>
      </c>
      <c r="H485" s="0" t="inlineStr">
        <is>
          <t>NULL</t>
        </is>
      </c>
      <c r="I485" s="0" t="inlineStr">
        <is>
          <t>NULL</t>
        </is>
      </c>
      <c r="J485" s="0" t="inlineStr">
        <is>
          <t>NULL</t>
        </is>
      </c>
      <c r="K485" s="0" t="inlineStr">
        <is>
          <t>YES! 	 c_time列源备映射正确，源端为sql_variant 0位	期望更改为sql_variant	实际备端为sql_variant 0位</t>
        </is>
      </c>
    </row>
    <row r="486">
      <c r="B486" s="0" t="inlineStr">
        <is>
          <t>NULL</t>
        </is>
      </c>
      <c r="C486" s="0" t="inlineStr">
        <is>
          <t>NULL</t>
        </is>
      </c>
      <c r="D486" s="0" t="inlineStr">
        <is>
          <t>NULL</t>
        </is>
      </c>
      <c r="E486" s="0" t="inlineStr">
        <is>
          <t>NULL</t>
        </is>
      </c>
      <c r="F486" s="0" t="inlineStr">
        <is>
          <t>NULL</t>
        </is>
      </c>
      <c r="G486" s="0" t="inlineStr">
        <is>
          <t>NULL</t>
        </is>
      </c>
      <c r="H486" s="0" t="inlineStr">
        <is>
          <t>NULL</t>
        </is>
      </c>
      <c r="I486" s="0" t="inlineStr">
        <is>
          <t>NULL</t>
        </is>
      </c>
      <c r="J486" s="0" t="inlineStr">
        <is>
          <t>NULL</t>
        </is>
      </c>
      <c r="K486" s="0" t="inlineStr">
        <is>
          <t>YES! 	 c_datetime2列源备映射正确，源端为sql_variant 0位	期望更改为sql_variant	实际备端为sql_variant 0位</t>
        </is>
      </c>
    </row>
    <row r="487">
      <c r="B487" s="0" t="inlineStr">
        <is>
          <t>NULL</t>
        </is>
      </c>
      <c r="C487" s="0" t="inlineStr">
        <is>
          <t>NULL</t>
        </is>
      </c>
      <c r="D487" s="0" t="inlineStr">
        <is>
          <t>NULL</t>
        </is>
      </c>
      <c r="E487" s="0" t="inlineStr">
        <is>
          <t>NULL</t>
        </is>
      </c>
      <c r="F487" s="0" t="inlineStr">
        <is>
          <t>NULL</t>
        </is>
      </c>
      <c r="G487" s="0" t="inlineStr">
        <is>
          <t>NULL</t>
        </is>
      </c>
      <c r="H487" s="0" t="inlineStr">
        <is>
          <t>NULL</t>
        </is>
      </c>
      <c r="I487" s="0" t="inlineStr">
        <is>
          <t>NULL</t>
        </is>
      </c>
      <c r="J487" s="0" t="inlineStr">
        <is>
          <t>NULL</t>
        </is>
      </c>
      <c r="K487" s="0" t="inlineStr">
        <is>
          <t>YES! 	 c_datetimeoffset列源备映射正确，源端为sql_variant 0位	期望更改为sql_variant	实际备端为sql_variant 0位</t>
        </is>
      </c>
    </row>
    <row r="488">
      <c r="B488" s="0" t="inlineStr">
        <is>
          <t>NULL</t>
        </is>
      </c>
      <c r="C488" s="0" t="inlineStr">
        <is>
          <t>NULL</t>
        </is>
      </c>
      <c r="D488" s="0" t="inlineStr">
        <is>
          <t>NULL</t>
        </is>
      </c>
      <c r="E488" s="0" t="inlineStr">
        <is>
          <t>NULL</t>
        </is>
      </c>
      <c r="F488" s="0" t="inlineStr">
        <is>
          <t>NULL</t>
        </is>
      </c>
      <c r="G488" s="0" t="inlineStr">
        <is>
          <t>NULL</t>
        </is>
      </c>
      <c r="H488" s="0" t="inlineStr">
        <is>
          <t>NULL</t>
        </is>
      </c>
      <c r="I488" s="0" t="inlineStr">
        <is>
          <t>NULL</t>
        </is>
      </c>
      <c r="J488" s="0" t="inlineStr">
        <is>
          <t>NULL</t>
        </is>
      </c>
      <c r="K488" s="0" t="inlineStr">
        <is>
          <t>YES! 	 c_tinyint列源备映射正确，源端为sql_variant 0位	期望更改为sql_variant	实际备端为sql_variant 0位</t>
        </is>
      </c>
    </row>
    <row r="489">
      <c r="B489" s="0" t="inlineStr">
        <is>
          <t>NULL</t>
        </is>
      </c>
      <c r="C489" s="0" t="inlineStr">
        <is>
          <t>NULL</t>
        </is>
      </c>
      <c r="D489" s="0" t="inlineStr">
        <is>
          <t>NULL</t>
        </is>
      </c>
      <c r="E489" s="0" t="inlineStr">
        <is>
          <t>NULL</t>
        </is>
      </c>
      <c r="F489" s="0" t="inlineStr">
        <is>
          <t>NULL</t>
        </is>
      </c>
      <c r="G489" s="0" t="inlineStr">
        <is>
          <t>NULL</t>
        </is>
      </c>
      <c r="H489" s="0" t="inlineStr">
        <is>
          <t>NULL</t>
        </is>
      </c>
      <c r="I489" s="0" t="inlineStr">
        <is>
          <t>NULL</t>
        </is>
      </c>
      <c r="J489" s="0" t="inlineStr">
        <is>
          <t>NULL</t>
        </is>
      </c>
      <c r="K489" s="0" t="inlineStr">
        <is>
          <t>YES! 	 c_smallint列源备映射正确，源端为sql_variant 0位	期望更改为sql_variant	实际备端为sql_variant 0位</t>
        </is>
      </c>
    </row>
    <row r="490">
      <c r="B490" s="0" t="inlineStr">
        <is>
          <t>NULL</t>
        </is>
      </c>
      <c r="C490" s="0" t="inlineStr">
        <is>
          <t>NULL</t>
        </is>
      </c>
      <c r="D490" s="0" t="inlineStr">
        <is>
          <t>NULL</t>
        </is>
      </c>
      <c r="E490" s="0" t="inlineStr">
        <is>
          <t>NULL</t>
        </is>
      </c>
      <c r="F490" s="0" t="inlineStr">
        <is>
          <t>NULL</t>
        </is>
      </c>
      <c r="G490" s="0" t="inlineStr">
        <is>
          <t>NULL</t>
        </is>
      </c>
      <c r="H490" s="0" t="inlineStr">
        <is>
          <t>NULL</t>
        </is>
      </c>
      <c r="I490" s="0" t="inlineStr">
        <is>
          <t>NULL</t>
        </is>
      </c>
      <c r="J490" s="0" t="inlineStr">
        <is>
          <t>NULL</t>
        </is>
      </c>
      <c r="K490" s="0" t="inlineStr">
        <is>
          <t>YES! 	 c_int列源备映射正确，源端为sql_variant 0位	期望更改为sql_variant	实际备端为sql_variant 0位</t>
        </is>
      </c>
    </row>
    <row r="491">
      <c r="B491" s="0" t="inlineStr">
        <is>
          <t>NULL</t>
        </is>
      </c>
      <c r="C491" s="0" t="inlineStr">
        <is>
          <t>NULL</t>
        </is>
      </c>
      <c r="D491" s="0" t="inlineStr">
        <is>
          <t>NULL</t>
        </is>
      </c>
      <c r="E491" s="0" t="inlineStr">
        <is>
          <t>NULL</t>
        </is>
      </c>
      <c r="F491" s="0" t="inlineStr">
        <is>
          <t>NULL</t>
        </is>
      </c>
      <c r="G491" s="0" t="inlineStr">
        <is>
          <t>NULL</t>
        </is>
      </c>
      <c r="H491" s="0" t="inlineStr">
        <is>
          <t>NULL</t>
        </is>
      </c>
      <c r="I491" s="0" t="inlineStr">
        <is>
          <t>NULL</t>
        </is>
      </c>
      <c r="J491" s="0" t="inlineStr">
        <is>
          <t>NULL</t>
        </is>
      </c>
      <c r="K491" s="0" t="inlineStr">
        <is>
          <t>YES! 	 c_sdt列源备映射正确，源端为sql_variant 0位	期望更改为sql_variant	实际备端为sql_variant 0位</t>
        </is>
      </c>
    </row>
    <row r="492">
      <c r="B492" s="0" t="inlineStr">
        <is>
          <t>NULL</t>
        </is>
      </c>
      <c r="C492" s="0" t="inlineStr">
        <is>
          <t>NULL</t>
        </is>
      </c>
      <c r="D492" s="0" t="inlineStr">
        <is>
          <t>NULL</t>
        </is>
      </c>
      <c r="E492" s="0" t="inlineStr">
        <is>
          <t>NULL</t>
        </is>
      </c>
      <c r="F492" s="0" t="inlineStr">
        <is>
          <t>NULL</t>
        </is>
      </c>
      <c r="G492" s="0" t="inlineStr">
        <is>
          <t>NULL</t>
        </is>
      </c>
      <c r="H492" s="0" t="inlineStr">
        <is>
          <t>NULL</t>
        </is>
      </c>
      <c r="I492" s="0" t="inlineStr">
        <is>
          <t>NULL</t>
        </is>
      </c>
      <c r="J492" s="0" t="inlineStr">
        <is>
          <t>NULL</t>
        </is>
      </c>
      <c r="K492" s="0" t="inlineStr">
        <is>
          <t>YES! 	 c_real列源备映射正确，源端为sql_variant 0位	期望更改为sql_variant	实际备端为sql_variant 0位</t>
        </is>
      </c>
    </row>
    <row r="493">
      <c r="B493" s="0" t="inlineStr">
        <is>
          <t>NULL</t>
        </is>
      </c>
      <c r="C493" s="0" t="inlineStr">
        <is>
          <t>NULL</t>
        </is>
      </c>
      <c r="D493" s="0" t="inlineStr">
        <is>
          <t>NULL</t>
        </is>
      </c>
      <c r="E493" s="0" t="inlineStr">
        <is>
          <t>NULL</t>
        </is>
      </c>
      <c r="F493" s="0" t="inlineStr">
        <is>
          <t>NULL</t>
        </is>
      </c>
      <c r="G493" s="0" t="inlineStr">
        <is>
          <t>NULL</t>
        </is>
      </c>
      <c r="H493" s="0" t="inlineStr">
        <is>
          <t>NULL</t>
        </is>
      </c>
      <c r="I493" s="0" t="inlineStr">
        <is>
          <t>NULL</t>
        </is>
      </c>
      <c r="J493" s="0" t="inlineStr">
        <is>
          <t>NULL</t>
        </is>
      </c>
      <c r="K493" s="0" t="inlineStr">
        <is>
          <t>YES! 	 c_money列源备映射正确，源端为sql_variant 0位	期望更改为sql_variant	实际备端为sql_variant 0位</t>
        </is>
      </c>
    </row>
    <row r="494">
      <c r="B494" s="0" t="inlineStr">
        <is>
          <t>NULL</t>
        </is>
      </c>
      <c r="C494" s="0" t="inlineStr">
        <is>
          <t>NULL</t>
        </is>
      </c>
      <c r="D494" s="0" t="inlineStr">
        <is>
          <t>NULL</t>
        </is>
      </c>
      <c r="E494" s="0" t="inlineStr">
        <is>
          <t>NULL</t>
        </is>
      </c>
      <c r="F494" s="0" t="inlineStr">
        <is>
          <t>NULL</t>
        </is>
      </c>
      <c r="G494" s="0" t="inlineStr">
        <is>
          <t>NULL</t>
        </is>
      </c>
      <c r="H494" s="0" t="inlineStr">
        <is>
          <t>NULL</t>
        </is>
      </c>
      <c r="I494" s="0" t="inlineStr">
        <is>
          <t>NULL</t>
        </is>
      </c>
      <c r="J494" s="0" t="inlineStr">
        <is>
          <t>NULL</t>
        </is>
      </c>
      <c r="K494" s="0" t="inlineStr">
        <is>
          <t>YES! 	 c_datetime列源备映射正确，源端为sql_variant 0位	期望更改为sql_variant	实际备端为sql_variant 0位</t>
        </is>
      </c>
    </row>
    <row r="495">
      <c r="B495" s="0" t="inlineStr">
        <is>
          <t>NULL</t>
        </is>
      </c>
      <c r="C495" s="0" t="inlineStr">
        <is>
          <t>NULL</t>
        </is>
      </c>
      <c r="D495" s="0" t="inlineStr">
        <is>
          <t>NULL</t>
        </is>
      </c>
      <c r="E495" s="0" t="inlineStr">
        <is>
          <t>NULL</t>
        </is>
      </c>
      <c r="F495" s="0" t="inlineStr">
        <is>
          <t>NULL</t>
        </is>
      </c>
      <c r="G495" s="0" t="inlineStr">
        <is>
          <t>NULL</t>
        </is>
      </c>
      <c r="H495" s="0" t="inlineStr">
        <is>
          <t>NULL</t>
        </is>
      </c>
      <c r="I495" s="0" t="inlineStr">
        <is>
          <t>NULL</t>
        </is>
      </c>
      <c r="J495" s="0" t="inlineStr">
        <is>
          <t>NULL</t>
        </is>
      </c>
      <c r="K495" s="0" t="inlineStr">
        <is>
          <t>YES! 	 c_float列源备映射正确，源端为sql_variant 0位	期望更改为sql_variant	实际备端为sql_variant 0位</t>
        </is>
      </c>
    </row>
    <row r="496">
      <c r="B496" s="0" t="inlineStr">
        <is>
          <t>NULL</t>
        </is>
      </c>
      <c r="C496" s="0" t="inlineStr">
        <is>
          <t>NULL</t>
        </is>
      </c>
      <c r="D496" s="0" t="inlineStr">
        <is>
          <t>NULL</t>
        </is>
      </c>
      <c r="E496" s="0" t="inlineStr">
        <is>
          <t>NULL</t>
        </is>
      </c>
      <c r="F496" s="0" t="inlineStr">
        <is>
          <t>NULL</t>
        </is>
      </c>
      <c r="G496" s="0" t="inlineStr">
        <is>
          <t>NULL</t>
        </is>
      </c>
      <c r="H496" s="0" t="inlineStr">
        <is>
          <t>NULL</t>
        </is>
      </c>
      <c r="I496" s="0" t="inlineStr">
        <is>
          <t>NULL</t>
        </is>
      </c>
      <c r="J496" s="0" t="inlineStr">
        <is>
          <t>NULL</t>
        </is>
      </c>
      <c r="K496" s="0" t="inlineStr">
        <is>
          <t>YES! 	 c_bit列源备映射正确，源端为sql_variant 0位	期望更改为sql_variant	实际备端为sql_variant 0位</t>
        </is>
      </c>
    </row>
    <row r="497">
      <c r="B497" s="0" t="inlineStr">
        <is>
          <t>NULL</t>
        </is>
      </c>
      <c r="C497" s="0" t="inlineStr">
        <is>
          <t>NULL</t>
        </is>
      </c>
      <c r="D497" s="0" t="inlineStr">
        <is>
          <t>NULL</t>
        </is>
      </c>
      <c r="E497" s="0" t="inlineStr">
        <is>
          <t>NULL</t>
        </is>
      </c>
      <c r="F497" s="0" t="inlineStr">
        <is>
          <t>NULL</t>
        </is>
      </c>
      <c r="G497" s="0" t="inlineStr">
        <is>
          <t>NULL</t>
        </is>
      </c>
      <c r="H497" s="0" t="inlineStr">
        <is>
          <t>NULL</t>
        </is>
      </c>
      <c r="I497" s="0" t="inlineStr">
        <is>
          <t>NULL</t>
        </is>
      </c>
      <c r="J497" s="0" t="inlineStr">
        <is>
          <t>NULL</t>
        </is>
      </c>
      <c r="K497" s="0" t="inlineStr">
        <is>
          <t>YES! 	 c_decimal列源备映射正确，源端为sql_variant 0位	期望更改为sql_variant	实际备端为sql_variant 0位</t>
        </is>
      </c>
    </row>
    <row r="498">
      <c r="B498" s="0" t="inlineStr">
        <is>
          <t>NULL</t>
        </is>
      </c>
      <c r="C498" s="0" t="inlineStr">
        <is>
          <t>NULL</t>
        </is>
      </c>
      <c r="D498" s="0" t="inlineStr">
        <is>
          <t>NULL</t>
        </is>
      </c>
      <c r="E498" s="0" t="inlineStr">
        <is>
          <t>NULL</t>
        </is>
      </c>
      <c r="F498" s="0" t="inlineStr">
        <is>
          <t>NULL</t>
        </is>
      </c>
      <c r="G498" s="0" t="inlineStr">
        <is>
          <t>NULL</t>
        </is>
      </c>
      <c r="H498" s="0" t="inlineStr">
        <is>
          <t>NULL</t>
        </is>
      </c>
      <c r="I498" s="0" t="inlineStr">
        <is>
          <t>NULL</t>
        </is>
      </c>
      <c r="J498" s="0" t="inlineStr">
        <is>
          <t>NULL</t>
        </is>
      </c>
      <c r="K498" s="0" t="inlineStr">
        <is>
          <t>YES! 	 c_uniqueidentifier列源备映射正确，源端为sql_variant 0位	期望更改为sql_variant	实际备端为sql_variant 0位</t>
        </is>
      </c>
    </row>
    <row r="499">
      <c r="B499" s="0" t="inlineStr">
        <is>
          <t>NULL</t>
        </is>
      </c>
      <c r="C499" s="0" t="inlineStr">
        <is>
          <t>NULL</t>
        </is>
      </c>
      <c r="D499" s="0" t="inlineStr">
        <is>
          <t>NULL</t>
        </is>
      </c>
      <c r="E499" s="0" t="inlineStr">
        <is>
          <t>NULL</t>
        </is>
      </c>
      <c r="F499" s="0" t="inlineStr">
        <is>
          <t>NULL</t>
        </is>
      </c>
      <c r="G499" s="0" t="inlineStr">
        <is>
          <t>NULL</t>
        </is>
      </c>
      <c r="H499" s="0" t="inlineStr">
        <is>
          <t>NULL</t>
        </is>
      </c>
      <c r="I499" s="0" t="inlineStr">
        <is>
          <t>NULL</t>
        </is>
      </c>
      <c r="J499" s="0" t="inlineStr">
        <is>
          <t>NULL</t>
        </is>
      </c>
      <c r="K499" s="0" t="inlineStr">
        <is>
          <t>YES! 	 c_smallmoney列源备映射正确，源端为sql_variant 0位	期望更改为sql_variant	实际备端为sql_variant 0位</t>
        </is>
      </c>
    </row>
    <row r="500">
      <c r="B500" s="0" t="inlineStr">
        <is>
          <t>NULL</t>
        </is>
      </c>
      <c r="C500" s="0" t="inlineStr">
        <is>
          <t>NULL</t>
        </is>
      </c>
      <c r="D500" s="0" t="inlineStr">
        <is>
          <t>NULL</t>
        </is>
      </c>
      <c r="E500" s="0" t="inlineStr">
        <is>
          <t>NULL</t>
        </is>
      </c>
      <c r="F500" s="0" t="inlineStr">
        <is>
          <t>NULL</t>
        </is>
      </c>
      <c r="G500" s="0" t="inlineStr">
        <is>
          <t>NULL</t>
        </is>
      </c>
      <c r="H500" s="0" t="inlineStr">
        <is>
          <t>NULL</t>
        </is>
      </c>
      <c r="I500" s="0" t="inlineStr">
        <is>
          <t>NULL</t>
        </is>
      </c>
      <c r="J500" s="0" t="inlineStr">
        <is>
          <t>NULL</t>
        </is>
      </c>
      <c r="K500" s="0" t="inlineStr">
        <is>
          <t>YES! 	 c_bigint列源备映射正确，源端为sql_variant 0位	期望更改为sql_variant	实际备端为sql_variant 0位</t>
        </is>
      </c>
    </row>
    <row r="501">
      <c r="B501" s="0" t="inlineStr">
        <is>
          <t>NULL</t>
        </is>
      </c>
      <c r="C501" s="0" t="inlineStr">
        <is>
          <t>NULL</t>
        </is>
      </c>
      <c r="D501" s="0" t="inlineStr">
        <is>
          <t>NULL</t>
        </is>
      </c>
      <c r="E501" s="0" t="inlineStr">
        <is>
          <t>NULL</t>
        </is>
      </c>
      <c r="F501" s="0" t="inlineStr">
        <is>
          <t>NULL</t>
        </is>
      </c>
      <c r="G501" s="0" t="inlineStr">
        <is>
          <t>NULL</t>
        </is>
      </c>
      <c r="H501" s="0" t="inlineStr">
        <is>
          <t>NULL</t>
        </is>
      </c>
      <c r="I501" s="0" t="inlineStr">
        <is>
          <t>NULL</t>
        </is>
      </c>
      <c r="J501" s="0" t="inlineStr">
        <is>
          <t>NULL</t>
        </is>
      </c>
      <c r="K501" s="0" t="inlineStr">
        <is>
          <t>YES! 	 c_varbinary_20列源备映射正确，源端为sql_variant 0位	期望更改为sql_variant	实际备端为sql_variant 0位</t>
        </is>
      </c>
    </row>
    <row r="502">
      <c r="B502" s="0" t="inlineStr">
        <is>
          <t>NULL</t>
        </is>
      </c>
      <c r="C502" s="0" t="inlineStr">
        <is>
          <t>NULL</t>
        </is>
      </c>
      <c r="D502" s="0" t="inlineStr">
        <is>
          <t>NULL</t>
        </is>
      </c>
      <c r="E502" s="0" t="inlineStr">
        <is>
          <t>NULL</t>
        </is>
      </c>
      <c r="F502" s="0" t="inlineStr">
        <is>
          <t>NULL</t>
        </is>
      </c>
      <c r="G502" s="0" t="inlineStr">
        <is>
          <t>NULL</t>
        </is>
      </c>
      <c r="H502" s="0" t="inlineStr">
        <is>
          <t>NULL</t>
        </is>
      </c>
      <c r="I502" s="0" t="inlineStr">
        <is>
          <t>NULL</t>
        </is>
      </c>
      <c r="J502" s="0" t="inlineStr">
        <is>
          <t>NULL</t>
        </is>
      </c>
      <c r="K502" s="0" t="inlineStr">
        <is>
          <t>YES! 	 c_varchar_20列源备映射正确，源端为sql_variant 0位	期望更改为sql_variant	实际备端为sql_variant 0位</t>
        </is>
      </c>
    </row>
    <row r="503">
      <c r="B503" s="0" t="inlineStr">
        <is>
          <t>NULL</t>
        </is>
      </c>
      <c r="C503" s="0" t="inlineStr">
        <is>
          <t>NULL</t>
        </is>
      </c>
      <c r="D503" s="0" t="inlineStr">
        <is>
          <t>NULL</t>
        </is>
      </c>
      <c r="E503" s="0" t="inlineStr">
        <is>
          <t>NULL</t>
        </is>
      </c>
      <c r="F503" s="0" t="inlineStr">
        <is>
          <t>NULL</t>
        </is>
      </c>
      <c r="G503" s="0" t="inlineStr">
        <is>
          <t>NULL</t>
        </is>
      </c>
      <c r="H503" s="0" t="inlineStr">
        <is>
          <t>NULL</t>
        </is>
      </c>
      <c r="I503" s="0" t="inlineStr">
        <is>
          <t>NULL</t>
        </is>
      </c>
      <c r="J503" s="0" t="inlineStr">
        <is>
          <t>NULL</t>
        </is>
      </c>
      <c r="K503" s="0" t="inlineStr">
        <is>
          <t>YES! 	 c_binary_20列源备映射正确，源端为sql_variant 0位	期望更改为sql_variant	实际备端为sql_variant 0位</t>
        </is>
      </c>
    </row>
    <row r="504">
      <c r="B504" s="0" t="inlineStr">
        <is>
          <t>NULL</t>
        </is>
      </c>
      <c r="C504" s="0" t="inlineStr">
        <is>
          <t>NULL</t>
        </is>
      </c>
      <c r="D504" s="0" t="inlineStr">
        <is>
          <t>NULL</t>
        </is>
      </c>
      <c r="E504" s="0" t="inlineStr">
        <is>
          <t>NULL</t>
        </is>
      </c>
      <c r="F504" s="0" t="inlineStr">
        <is>
          <t>NULL</t>
        </is>
      </c>
      <c r="G504" s="0" t="inlineStr">
        <is>
          <t>NULL</t>
        </is>
      </c>
      <c r="H504" s="0" t="inlineStr">
        <is>
          <t>NULL</t>
        </is>
      </c>
      <c r="I504" s="0" t="inlineStr">
        <is>
          <t>NULL</t>
        </is>
      </c>
      <c r="J504" s="0" t="inlineStr">
        <is>
          <t>NULL</t>
        </is>
      </c>
      <c r="K504" s="0" t="inlineStr">
        <is>
          <t>YES! 	 c_char_20列源备映射正确，源端为sql_variant 0位	期望更改为sql_variant	实际备端为sql_variant 0位</t>
        </is>
      </c>
    </row>
    <row r="505">
      <c r="B505" s="0" t="inlineStr">
        <is>
          <t>NULL</t>
        </is>
      </c>
      <c r="C505" s="0" t="inlineStr">
        <is>
          <t>NULL</t>
        </is>
      </c>
      <c r="D505" s="0" t="inlineStr">
        <is>
          <t>NULL</t>
        </is>
      </c>
      <c r="E505" s="0" t="inlineStr">
        <is>
          <t>NULL</t>
        </is>
      </c>
      <c r="F505" s="0" t="inlineStr">
        <is>
          <t>NULL</t>
        </is>
      </c>
      <c r="G505" s="0" t="inlineStr">
        <is>
          <t>NULL</t>
        </is>
      </c>
      <c r="H505" s="0" t="inlineStr">
        <is>
          <t>NULL</t>
        </is>
      </c>
      <c r="I505" s="0" t="inlineStr">
        <is>
          <t>NULL</t>
        </is>
      </c>
      <c r="J505" s="0" t="inlineStr">
        <is>
          <t>NULL</t>
        </is>
      </c>
      <c r="K505" s="0" t="inlineStr">
        <is>
          <t>YES! 	 c_nvarchar_20列源备映射正确，源端为sql_variant 0位	期望更改为sql_variant	实际备端为sql_variant 0位</t>
        </is>
      </c>
    </row>
    <row r="506">
      <c r="B506" s="0" t="inlineStr">
        <is>
          <t>NULL</t>
        </is>
      </c>
      <c r="C506" s="0" t="inlineStr">
        <is>
          <t>NULL</t>
        </is>
      </c>
      <c r="D506" s="0" t="inlineStr">
        <is>
          <t>NULL</t>
        </is>
      </c>
      <c r="E506" s="0" t="inlineStr">
        <is>
          <t>NULL</t>
        </is>
      </c>
      <c r="F506" s="0" t="inlineStr">
        <is>
          <t>NULL</t>
        </is>
      </c>
      <c r="G506" s="0" t="inlineStr">
        <is>
          <t>NULL</t>
        </is>
      </c>
      <c r="H506" s="0" t="inlineStr">
        <is>
          <t>NULL</t>
        </is>
      </c>
      <c r="I506" s="0" t="inlineStr">
        <is>
          <t>NULL</t>
        </is>
      </c>
      <c r="J506" s="0" t="inlineStr">
        <is>
          <t>NULL</t>
        </is>
      </c>
      <c r="K506" s="0" t="inlineStr">
        <is>
          <t>YES! 	 c_nchar_20列源备映射正确，源端为sql_variant 0位	期望更改为sql_variant	实际备端为sql_variant 0位</t>
        </is>
      </c>
    </row>
    <row r="507">
      <c r="B507" s="0" t="inlineStr">
        <is>
          <t>NULL</t>
        </is>
      </c>
      <c r="C507" s="0" t="inlineStr">
        <is>
          <t>NULL</t>
        </is>
      </c>
      <c r="D507" s="0" t="inlineStr">
        <is>
          <t>NULL</t>
        </is>
      </c>
      <c r="E507" s="0" t="inlineStr">
        <is>
          <t>NULL</t>
        </is>
      </c>
      <c r="F507" s="0" t="inlineStr">
        <is>
          <t>NULL</t>
        </is>
      </c>
      <c r="G507" s="0" t="inlineStr">
        <is>
          <t>NULL</t>
        </is>
      </c>
      <c r="H507" s="0" t="inlineStr">
        <is>
          <t>NULL</t>
        </is>
      </c>
      <c r="I507" s="0" t="inlineStr">
        <is>
          <t>NULL</t>
        </is>
      </c>
      <c r="J507" s="0" t="inlineStr">
        <is>
          <t>NULL</t>
        </is>
      </c>
      <c r="K507" s="0" t="inlineStr">
        <is>
          <t>YES! 	 c_timestamp列源备映射正确，源端为timestamp None位	期望更改为timestamp	实际备端为timestamp None位</t>
        </is>
      </c>
    </row>
    <row r="508">
      <c r="A508" s="0" t="inlineStr">
        <is>
          <t>info_int_dml_single_nopk_drp</t>
        </is>
      </c>
      <c r="K508" s="0" t="inlineStr">
        <is>
          <t>[0;34m info_int_dml_single_nopk_drp [0m源备字段数相同，源端字段：20 	备端字段20</t>
        </is>
      </c>
      <c r="W508" s="0" t="inlineStr">
        <is>
          <t>YES 源备无差异</t>
        </is>
      </c>
      <c r="X508" s="0">
        <f>A508</f>
        <v/>
      </c>
    </row>
    <row r="509">
      <c r="B509" s="0" t="inlineStr">
        <is>
          <t>NULL</t>
        </is>
      </c>
      <c r="C509" s="0" t="inlineStr">
        <is>
          <t>NULL</t>
        </is>
      </c>
      <c r="D509" s="0" t="inlineStr">
        <is>
          <t>NULL</t>
        </is>
      </c>
      <c r="E509" s="0" t="inlineStr">
        <is>
          <t>NULL</t>
        </is>
      </c>
      <c r="F509" s="0" t="inlineStr">
        <is>
          <t>NULL</t>
        </is>
      </c>
      <c r="G509" s="0" t="inlineStr">
        <is>
          <t>NULL</t>
        </is>
      </c>
      <c r="H509" s="0" t="inlineStr">
        <is>
          <t>NULL</t>
        </is>
      </c>
      <c r="I509" s="0" t="inlineStr">
        <is>
          <t>NULL</t>
        </is>
      </c>
      <c r="J509" s="0" t="inlineStr">
        <is>
          <t>NULL</t>
        </is>
      </c>
      <c r="K509" s="0" t="inlineStr">
        <is>
          <t>YES! 	 id列源备映射正确，源端为int None位	期望更改为int	实际备端为int None位</t>
        </is>
      </c>
    </row>
    <row r="510">
      <c r="B510" s="0" t="inlineStr">
        <is>
          <t>NULL</t>
        </is>
      </c>
      <c r="C510" s="0" t="inlineStr">
        <is>
          <t>NULL</t>
        </is>
      </c>
      <c r="D510" s="0" t="inlineStr">
        <is>
          <t>NULL</t>
        </is>
      </c>
      <c r="E510" s="0" t="inlineStr">
        <is>
          <t>NULL</t>
        </is>
      </c>
      <c r="F510" s="0" t="inlineStr">
        <is>
          <t>NULL</t>
        </is>
      </c>
      <c r="G510" s="0" t="inlineStr">
        <is>
          <t>NULL</t>
        </is>
      </c>
      <c r="H510" s="0" t="inlineStr">
        <is>
          <t>NULL</t>
        </is>
      </c>
      <c r="I510" s="0" t="inlineStr">
        <is>
          <t>NULL</t>
        </is>
      </c>
      <c r="J510" s="0" t="inlineStr">
        <is>
          <t>NULL</t>
        </is>
      </c>
      <c r="K510" s="0" t="inlineStr">
        <is>
          <t>YES! 	 c_tinyint列源备映射正确，源端为tinyint None位	期望更改为tinyint	实际备端为tinyint None位</t>
        </is>
      </c>
    </row>
    <row r="511">
      <c r="B511" s="0" t="inlineStr">
        <is>
          <t>NULL</t>
        </is>
      </c>
      <c r="C511" s="0" t="inlineStr">
        <is>
          <t>NULL</t>
        </is>
      </c>
      <c r="D511" s="0" t="inlineStr">
        <is>
          <t>NULL</t>
        </is>
      </c>
      <c r="E511" s="0" t="inlineStr">
        <is>
          <t>NULL</t>
        </is>
      </c>
      <c r="F511" s="0" t="inlineStr">
        <is>
          <t>NULL</t>
        </is>
      </c>
      <c r="G511" s="0" t="inlineStr">
        <is>
          <t>NULL</t>
        </is>
      </c>
      <c r="H511" s="0" t="inlineStr">
        <is>
          <t>NULL</t>
        </is>
      </c>
      <c r="I511" s="0" t="inlineStr">
        <is>
          <t>NULL</t>
        </is>
      </c>
      <c r="J511" s="0" t="inlineStr">
        <is>
          <t>NULL</t>
        </is>
      </c>
      <c r="K511" s="0" t="inlineStr">
        <is>
          <t>YES! 	 c_smallint列源备映射正确，源端为smallint None位	期望更改为smallint	实际备端为smallint None位</t>
        </is>
      </c>
    </row>
    <row r="512">
      <c r="B512" s="0" t="inlineStr">
        <is>
          <t>NULL</t>
        </is>
      </c>
      <c r="C512" s="0" t="inlineStr">
        <is>
          <t>NULL</t>
        </is>
      </c>
      <c r="D512" s="0" t="inlineStr">
        <is>
          <t>NULL</t>
        </is>
      </c>
      <c r="E512" s="0" t="inlineStr">
        <is>
          <t>NULL</t>
        </is>
      </c>
      <c r="F512" s="0" t="inlineStr">
        <is>
          <t>NULL</t>
        </is>
      </c>
      <c r="G512" s="0" t="inlineStr">
        <is>
          <t>NULL</t>
        </is>
      </c>
      <c r="H512" s="0" t="inlineStr">
        <is>
          <t>NULL</t>
        </is>
      </c>
      <c r="I512" s="0" t="inlineStr">
        <is>
          <t>NULL</t>
        </is>
      </c>
      <c r="J512" s="0" t="inlineStr">
        <is>
          <t>NULL</t>
        </is>
      </c>
      <c r="K512" s="0" t="inlineStr">
        <is>
          <t>YES! 	 c_int列源备映射正确，源端为int None位	期望更改为int	实际备端为int None位</t>
        </is>
      </c>
    </row>
    <row r="513">
      <c r="B513" s="0" t="inlineStr">
        <is>
          <t>NULL</t>
        </is>
      </c>
      <c r="C513" s="0" t="inlineStr">
        <is>
          <t>NULL</t>
        </is>
      </c>
      <c r="D513" s="0" t="inlineStr">
        <is>
          <t>NULL</t>
        </is>
      </c>
      <c r="E513" s="0" t="inlineStr">
        <is>
          <t>NULL</t>
        </is>
      </c>
      <c r="F513" s="0" t="inlineStr">
        <is>
          <t>NULL</t>
        </is>
      </c>
      <c r="G513" s="0" t="inlineStr">
        <is>
          <t>NULL</t>
        </is>
      </c>
      <c r="H513" s="0" t="inlineStr">
        <is>
          <t>NULL</t>
        </is>
      </c>
      <c r="I513" s="0" t="inlineStr">
        <is>
          <t>NULL</t>
        </is>
      </c>
      <c r="J513" s="0" t="inlineStr">
        <is>
          <t>NULL</t>
        </is>
      </c>
      <c r="K513" s="0" t="inlineStr">
        <is>
          <t>YES! 	 c_bigint列源备映射正确，源端为bigint None位	期望更改为bigint	实际备端为bigint None位</t>
        </is>
      </c>
    </row>
    <row r="514">
      <c r="B514" s="0" t="inlineStr">
        <is>
          <t>NULL</t>
        </is>
      </c>
      <c r="C514" s="0" t="inlineStr">
        <is>
          <t>NULL</t>
        </is>
      </c>
      <c r="D514" s="0" t="inlineStr">
        <is>
          <t>NULL</t>
        </is>
      </c>
      <c r="E514" s="0" t="inlineStr">
        <is>
          <t>NULL</t>
        </is>
      </c>
      <c r="F514" s="0" t="inlineStr">
        <is>
          <t>NULL</t>
        </is>
      </c>
      <c r="G514" s="0" t="inlineStr">
        <is>
          <t>NULL</t>
        </is>
      </c>
      <c r="H514" s="0" t="inlineStr">
        <is>
          <t>NULL</t>
        </is>
      </c>
      <c r="I514" s="0" t="inlineStr">
        <is>
          <t>NULL</t>
        </is>
      </c>
      <c r="J514" s="0" t="inlineStr">
        <is>
          <t>NULL</t>
        </is>
      </c>
      <c r="K514" s="0" t="inlineStr">
        <is>
          <t>YES! 	 c_decimal列源备映射正确，源端为decimal None位	期望更改为decimal(p,s)	实际备端为decimal None位</t>
        </is>
      </c>
    </row>
    <row r="515">
      <c r="B515" s="0" t="inlineStr">
        <is>
          <t>NULL</t>
        </is>
      </c>
      <c r="C515" s="0" t="inlineStr">
        <is>
          <t>NULL</t>
        </is>
      </c>
      <c r="D515" s="0" t="inlineStr">
        <is>
          <t>NULL</t>
        </is>
      </c>
      <c r="E515" s="0" t="inlineStr">
        <is>
          <t>NULL</t>
        </is>
      </c>
      <c r="F515" s="0" t="inlineStr">
        <is>
          <t>NULL</t>
        </is>
      </c>
      <c r="G515" s="0" t="inlineStr">
        <is>
          <t>NULL</t>
        </is>
      </c>
      <c r="H515" s="0" t="inlineStr">
        <is>
          <t>NULL</t>
        </is>
      </c>
      <c r="I515" s="0" t="inlineStr">
        <is>
          <t>NULL</t>
        </is>
      </c>
      <c r="J515" s="0" t="inlineStr">
        <is>
          <t>NULL</t>
        </is>
      </c>
      <c r="K515" s="0" t="inlineStr">
        <is>
          <t>YES! 	 c_decimal38列源备映射正确，源端为decimal None位	期望更改为decimal(p,s)	实际备端为decimal None位</t>
        </is>
      </c>
    </row>
    <row r="516">
      <c r="B516" s="0" t="inlineStr">
        <is>
          <t>NULL</t>
        </is>
      </c>
      <c r="C516" s="0" t="inlineStr">
        <is>
          <t>NULL</t>
        </is>
      </c>
      <c r="D516" s="0" t="inlineStr">
        <is>
          <t>NULL</t>
        </is>
      </c>
      <c r="E516" s="0" t="inlineStr">
        <is>
          <t>NULL</t>
        </is>
      </c>
      <c r="F516" s="0" t="inlineStr">
        <is>
          <t>NULL</t>
        </is>
      </c>
      <c r="G516" s="0" t="inlineStr">
        <is>
          <t>NULL</t>
        </is>
      </c>
      <c r="H516" s="0" t="inlineStr">
        <is>
          <t>NULL</t>
        </is>
      </c>
      <c r="I516" s="0" t="inlineStr">
        <is>
          <t>NULL</t>
        </is>
      </c>
      <c r="J516" s="0" t="inlineStr">
        <is>
          <t>NULL</t>
        </is>
      </c>
      <c r="K516" s="0" t="inlineStr">
        <is>
          <t>YES! 	 c_decimal38_38列源备映射正确，源端为decimal None位	期望更改为decimal(p,s)	实际备端为decimal None位</t>
        </is>
      </c>
    </row>
    <row r="517">
      <c r="B517" s="0" t="inlineStr">
        <is>
          <t>NULL</t>
        </is>
      </c>
      <c r="C517" s="0" t="inlineStr">
        <is>
          <t>NULL</t>
        </is>
      </c>
      <c r="D517" s="0" t="inlineStr">
        <is>
          <t>NULL</t>
        </is>
      </c>
      <c r="E517" s="0" t="inlineStr">
        <is>
          <t>NULL</t>
        </is>
      </c>
      <c r="F517" s="0" t="inlineStr">
        <is>
          <t>NULL</t>
        </is>
      </c>
      <c r="G517" s="0" t="inlineStr">
        <is>
          <t>NULL</t>
        </is>
      </c>
      <c r="H517" s="0" t="inlineStr">
        <is>
          <t>NULL</t>
        </is>
      </c>
      <c r="I517" s="0" t="inlineStr">
        <is>
          <t>NULL</t>
        </is>
      </c>
      <c r="J517" s="0" t="inlineStr">
        <is>
          <t>NULL</t>
        </is>
      </c>
      <c r="K517" s="0" t="inlineStr">
        <is>
          <t>YES! 	 c_decimal38_10列源备映射正确，源端为decimal None位	期望更改为decimal(p,s)	实际备端为decimal None位</t>
        </is>
      </c>
    </row>
    <row r="518">
      <c r="B518" s="0" t="inlineStr">
        <is>
          <t>NULL</t>
        </is>
      </c>
      <c r="C518" s="0" t="inlineStr">
        <is>
          <t>NULL</t>
        </is>
      </c>
      <c r="D518" s="0" t="inlineStr">
        <is>
          <t>NULL</t>
        </is>
      </c>
      <c r="E518" s="0" t="inlineStr">
        <is>
          <t>NULL</t>
        </is>
      </c>
      <c r="F518" s="0" t="inlineStr">
        <is>
          <t>NULL</t>
        </is>
      </c>
      <c r="G518" s="0" t="inlineStr">
        <is>
          <t>NULL</t>
        </is>
      </c>
      <c r="H518" s="0" t="inlineStr">
        <is>
          <t>NULL</t>
        </is>
      </c>
      <c r="I518" s="0" t="inlineStr">
        <is>
          <t>NULL</t>
        </is>
      </c>
      <c r="J518" s="0" t="inlineStr">
        <is>
          <t>NULL</t>
        </is>
      </c>
      <c r="K518" s="0" t="inlineStr">
        <is>
          <t>YES! 	 c_decimal19_4列源备映射正确，源端为decimal None位	期望更改为decimal(p,s)	实际备端为decimal None位</t>
        </is>
      </c>
    </row>
    <row r="519">
      <c r="B519" s="0" t="inlineStr">
        <is>
          <t>NULL</t>
        </is>
      </c>
      <c r="C519" s="0" t="inlineStr">
        <is>
          <t>NULL</t>
        </is>
      </c>
      <c r="D519" s="0" t="inlineStr">
        <is>
          <t>NULL</t>
        </is>
      </c>
      <c r="E519" s="0" t="inlineStr">
        <is>
          <t>NULL</t>
        </is>
      </c>
      <c r="F519" s="0" t="inlineStr">
        <is>
          <t>NULL</t>
        </is>
      </c>
      <c r="G519" s="0" t="inlineStr">
        <is>
          <t>NULL</t>
        </is>
      </c>
      <c r="H519" s="0" t="inlineStr">
        <is>
          <t>NULL</t>
        </is>
      </c>
      <c r="I519" s="0" t="inlineStr">
        <is>
          <t>NULL</t>
        </is>
      </c>
      <c r="J519" s="0" t="inlineStr">
        <is>
          <t>NULL</t>
        </is>
      </c>
      <c r="K519" s="0" t="inlineStr">
        <is>
          <t>YES! 	 c_numeric列源备映射正确，源端为numeric None位	期望更改为numeric(p,s)	实际备端为numeric None位</t>
        </is>
      </c>
    </row>
    <row r="520">
      <c r="B520" s="0" t="inlineStr">
        <is>
          <t>NULL</t>
        </is>
      </c>
      <c r="C520" s="0" t="inlineStr">
        <is>
          <t>NULL</t>
        </is>
      </c>
      <c r="D520" s="0" t="inlineStr">
        <is>
          <t>NULL</t>
        </is>
      </c>
      <c r="E520" s="0" t="inlineStr">
        <is>
          <t>NULL</t>
        </is>
      </c>
      <c r="F520" s="0" t="inlineStr">
        <is>
          <t>NULL</t>
        </is>
      </c>
      <c r="G520" s="0" t="inlineStr">
        <is>
          <t>NULL</t>
        </is>
      </c>
      <c r="H520" s="0" t="inlineStr">
        <is>
          <t>NULL</t>
        </is>
      </c>
      <c r="I520" s="0" t="inlineStr">
        <is>
          <t>NULL</t>
        </is>
      </c>
      <c r="J520" s="0" t="inlineStr">
        <is>
          <t>NULL</t>
        </is>
      </c>
      <c r="K520" s="0" t="inlineStr">
        <is>
          <t>YES! 	 c_numeric38列源备映射正确，源端为numeric None位	期望更改为numeric(p,s)	实际备端为numeric None位</t>
        </is>
      </c>
    </row>
    <row r="521">
      <c r="B521" s="0" t="inlineStr">
        <is>
          <t>NULL</t>
        </is>
      </c>
      <c r="C521" s="0" t="inlineStr">
        <is>
          <t>NULL</t>
        </is>
      </c>
      <c r="D521" s="0" t="inlineStr">
        <is>
          <t>NULL</t>
        </is>
      </c>
      <c r="E521" s="0" t="inlineStr">
        <is>
          <t>NULL</t>
        </is>
      </c>
      <c r="F521" s="0" t="inlineStr">
        <is>
          <t>NULL</t>
        </is>
      </c>
      <c r="G521" s="0" t="inlineStr">
        <is>
          <t>NULL</t>
        </is>
      </c>
      <c r="H521" s="0" t="inlineStr">
        <is>
          <t>NULL</t>
        </is>
      </c>
      <c r="I521" s="0" t="inlineStr">
        <is>
          <t>NULL</t>
        </is>
      </c>
      <c r="J521" s="0" t="inlineStr">
        <is>
          <t>NULL</t>
        </is>
      </c>
      <c r="K521" s="0" t="inlineStr">
        <is>
          <t>YES! 	 c_numeric38_38列源备映射正确，源端为numeric None位	期望更改为numeric(p,s)	实际备端为numeric None位</t>
        </is>
      </c>
    </row>
    <row r="522">
      <c r="B522" s="0" t="inlineStr">
        <is>
          <t>NULL</t>
        </is>
      </c>
      <c r="C522" s="0" t="inlineStr">
        <is>
          <t>NULL</t>
        </is>
      </c>
      <c r="D522" s="0" t="inlineStr">
        <is>
          <t>NULL</t>
        </is>
      </c>
      <c r="E522" s="0" t="inlineStr">
        <is>
          <t>NULL</t>
        </is>
      </c>
      <c r="F522" s="0" t="inlineStr">
        <is>
          <t>NULL</t>
        </is>
      </c>
      <c r="G522" s="0" t="inlineStr">
        <is>
          <t>NULL</t>
        </is>
      </c>
      <c r="H522" s="0" t="inlineStr">
        <is>
          <t>NULL</t>
        </is>
      </c>
      <c r="I522" s="0" t="inlineStr">
        <is>
          <t>NULL</t>
        </is>
      </c>
      <c r="J522" s="0" t="inlineStr">
        <is>
          <t>NULL</t>
        </is>
      </c>
      <c r="K522" s="0" t="inlineStr">
        <is>
          <t>YES! 	 c_numeric38_10列源备映射正确，源端为numeric None位	期望更改为numeric(p,s)	实际备端为numeric None位</t>
        </is>
      </c>
    </row>
    <row r="523">
      <c r="B523" s="0" t="inlineStr">
        <is>
          <t>NULL</t>
        </is>
      </c>
      <c r="C523" s="0" t="inlineStr">
        <is>
          <t>NULL</t>
        </is>
      </c>
      <c r="D523" s="0" t="inlineStr">
        <is>
          <t>NULL</t>
        </is>
      </c>
      <c r="E523" s="0" t="inlineStr">
        <is>
          <t>NULL</t>
        </is>
      </c>
      <c r="F523" s="0" t="inlineStr">
        <is>
          <t>NULL</t>
        </is>
      </c>
      <c r="G523" s="0" t="inlineStr">
        <is>
          <t>NULL</t>
        </is>
      </c>
      <c r="H523" s="0" t="inlineStr">
        <is>
          <t>NULL</t>
        </is>
      </c>
      <c r="I523" s="0" t="inlineStr">
        <is>
          <t>NULL</t>
        </is>
      </c>
      <c r="J523" s="0" t="inlineStr">
        <is>
          <t>NULL</t>
        </is>
      </c>
      <c r="K523" s="0" t="inlineStr">
        <is>
          <t>YES! 	 c_numeric18_2列源备映射正确，源端为numeric None位	期望更改为numeric(p,s)	实际备端为numeric None位</t>
        </is>
      </c>
    </row>
    <row r="524">
      <c r="B524" s="0" t="inlineStr">
        <is>
          <t>NULL</t>
        </is>
      </c>
      <c r="C524" s="0" t="inlineStr">
        <is>
          <t>NULL</t>
        </is>
      </c>
      <c r="D524" s="0" t="inlineStr">
        <is>
          <t>NULL</t>
        </is>
      </c>
      <c r="E524" s="0" t="inlineStr">
        <is>
          <t>NULL</t>
        </is>
      </c>
      <c r="F524" s="0" t="inlineStr">
        <is>
          <t>NULL</t>
        </is>
      </c>
      <c r="G524" s="0" t="inlineStr">
        <is>
          <t>NULL</t>
        </is>
      </c>
      <c r="H524" s="0" t="inlineStr">
        <is>
          <t>NULL</t>
        </is>
      </c>
      <c r="I524" s="0" t="inlineStr">
        <is>
          <t>NULL</t>
        </is>
      </c>
      <c r="J524" s="0" t="inlineStr">
        <is>
          <t>NULL</t>
        </is>
      </c>
      <c r="K524" s="0" t="inlineStr">
        <is>
          <t>YES! 	 c_float列源备映射正确，源端为float None位	期望更改为float	实际备端为float None位</t>
        </is>
      </c>
    </row>
    <row r="525">
      <c r="B525" s="0" t="inlineStr">
        <is>
          <t>NULL</t>
        </is>
      </c>
      <c r="C525" s="0" t="inlineStr">
        <is>
          <t>NULL</t>
        </is>
      </c>
      <c r="D525" s="0" t="inlineStr">
        <is>
          <t>NULL</t>
        </is>
      </c>
      <c r="E525" s="0" t="inlineStr">
        <is>
          <t>NULL</t>
        </is>
      </c>
      <c r="F525" s="0" t="inlineStr">
        <is>
          <t>NULL</t>
        </is>
      </c>
      <c r="G525" s="0" t="inlineStr">
        <is>
          <t>NULL</t>
        </is>
      </c>
      <c r="H525" s="0" t="inlineStr">
        <is>
          <t>NULL</t>
        </is>
      </c>
      <c r="I525" s="0" t="inlineStr">
        <is>
          <t>NULL</t>
        </is>
      </c>
      <c r="J525" s="0" t="inlineStr">
        <is>
          <t>NULL</t>
        </is>
      </c>
      <c r="K525" s="0" t="inlineStr">
        <is>
          <t>YES! 	 c_real列源备映射正确，源端为real None位	期望更改为real	实际备端为real None位</t>
        </is>
      </c>
    </row>
    <row r="526">
      <c r="B526" s="0" t="inlineStr">
        <is>
          <t>NULL</t>
        </is>
      </c>
      <c r="C526" s="0" t="inlineStr">
        <is>
          <t>NULL</t>
        </is>
      </c>
      <c r="D526" s="0" t="inlineStr">
        <is>
          <t>NULL</t>
        </is>
      </c>
      <c r="E526" s="0" t="inlineStr">
        <is>
          <t>NULL</t>
        </is>
      </c>
      <c r="F526" s="0" t="inlineStr">
        <is>
          <t>NULL</t>
        </is>
      </c>
      <c r="G526" s="0" t="inlineStr">
        <is>
          <t>NULL</t>
        </is>
      </c>
      <c r="H526" s="0" t="inlineStr">
        <is>
          <t>NULL</t>
        </is>
      </c>
      <c r="I526" s="0" t="inlineStr">
        <is>
          <t>NULL</t>
        </is>
      </c>
      <c r="J526" s="0" t="inlineStr">
        <is>
          <t>NULL</t>
        </is>
      </c>
      <c r="K526" s="0" t="inlineStr">
        <is>
          <t>YES! 	 c_money列源备映射正确，源端为money None位	期望更改为money	实际备端为money None位</t>
        </is>
      </c>
    </row>
    <row r="527">
      <c r="B527" s="0" t="inlineStr">
        <is>
          <t>NULL</t>
        </is>
      </c>
      <c r="C527" s="0" t="inlineStr">
        <is>
          <t>NULL</t>
        </is>
      </c>
      <c r="D527" s="0" t="inlineStr">
        <is>
          <t>NULL</t>
        </is>
      </c>
      <c r="E527" s="0" t="inlineStr">
        <is>
          <t>NULL</t>
        </is>
      </c>
      <c r="F527" s="0" t="inlineStr">
        <is>
          <t>NULL</t>
        </is>
      </c>
      <c r="G527" s="0" t="inlineStr">
        <is>
          <t>NULL</t>
        </is>
      </c>
      <c r="H527" s="0" t="inlineStr">
        <is>
          <t>NULL</t>
        </is>
      </c>
      <c r="I527" s="0" t="inlineStr">
        <is>
          <t>NULL</t>
        </is>
      </c>
      <c r="J527" s="0" t="inlineStr">
        <is>
          <t>NULL</t>
        </is>
      </c>
      <c r="K527" s="0" t="inlineStr">
        <is>
          <t>YES! 	 c_smallmoney列源备映射正确，源端为smallmoney None位	期望更改为smallmoney	实际备端为smallmoney None位</t>
        </is>
      </c>
    </row>
    <row r="528">
      <c r="B528" s="0" t="inlineStr">
        <is>
          <t>NULL</t>
        </is>
      </c>
      <c r="C528" s="0" t="inlineStr">
        <is>
          <t>NULL</t>
        </is>
      </c>
      <c r="D528" s="0" t="inlineStr">
        <is>
          <t>NULL</t>
        </is>
      </c>
      <c r="E528" s="0" t="inlineStr">
        <is>
          <t>NULL</t>
        </is>
      </c>
      <c r="F528" s="0" t="inlineStr">
        <is>
          <t>NULL</t>
        </is>
      </c>
      <c r="G528" s="0" t="inlineStr">
        <is>
          <t>NULL</t>
        </is>
      </c>
      <c r="H528" s="0" t="inlineStr">
        <is>
          <t>NULL</t>
        </is>
      </c>
      <c r="I528" s="0" t="inlineStr">
        <is>
          <t>NULL</t>
        </is>
      </c>
      <c r="J528" s="0" t="inlineStr">
        <is>
          <t>NULL</t>
        </is>
      </c>
      <c r="K528" s="0" t="inlineStr">
        <is>
          <t>YES! 	 c_bit列源备映射正确，源端为bit None位	期望更改为bit	实际备端为bit None位</t>
        </is>
      </c>
    </row>
    <row r="529">
      <c r="A529" s="0" t="inlineStr">
        <is>
          <t>info_sdt_dml_batch1_pk_drp2</t>
        </is>
      </c>
      <c r="K529" s="0" t="inlineStr">
        <is>
          <t>[0;34m info_sdt_dml_batch1_pk_drp2 [0m源备字段数相同，源端字段：2 	备端字段2</t>
        </is>
      </c>
      <c r="W529" s="0" t="inlineStr">
        <is>
          <t>YES 源备无差异</t>
        </is>
      </c>
      <c r="X529" s="0">
        <f>A529</f>
        <v/>
      </c>
    </row>
    <row r="530">
      <c r="B530" s="0" t="inlineStr">
        <is>
          <t>YES</t>
        </is>
      </c>
      <c r="C530" s="0" t="inlineStr">
        <is>
          <t>NULL</t>
        </is>
      </c>
      <c r="D530" s="0" t="inlineStr">
        <is>
          <t>NULL</t>
        </is>
      </c>
      <c r="E530" s="0" t="inlineStr">
        <is>
          <t>NULL</t>
        </is>
      </c>
      <c r="F530" s="0" t="inlineStr">
        <is>
          <t>NULL</t>
        </is>
      </c>
      <c r="G530" s="0" t="inlineStr">
        <is>
          <t>NULL</t>
        </is>
      </c>
      <c r="H530" s="0" t="inlineStr">
        <is>
          <t>NULL</t>
        </is>
      </c>
      <c r="I530" s="0" t="inlineStr">
        <is>
          <t>YES!PK__info_sdt__3213E83FFF98C716</t>
        </is>
      </c>
      <c r="J530" s="0" t="inlineStr">
        <is>
          <t>YES! 主键相关索引</t>
        </is>
      </c>
      <c r="K530" s="0" t="inlineStr">
        <is>
          <t>YES! 	 id列源备映射正确，源端为int None位	期望更改为int	实际备端为int None位</t>
        </is>
      </c>
    </row>
    <row r="531">
      <c r="B531" s="0" t="inlineStr">
        <is>
          <t>NULL</t>
        </is>
      </c>
      <c r="C531" s="0" t="inlineStr">
        <is>
          <t>NULL</t>
        </is>
      </c>
      <c r="D531" s="0" t="inlineStr">
        <is>
          <t>NULL</t>
        </is>
      </c>
      <c r="E531" s="0" t="inlineStr">
        <is>
          <t>NULL</t>
        </is>
      </c>
      <c r="F531" s="0" t="inlineStr">
        <is>
          <t>NULL</t>
        </is>
      </c>
      <c r="G531" s="0" t="inlineStr">
        <is>
          <t>NULL</t>
        </is>
      </c>
      <c r="H531" s="0" t="inlineStr">
        <is>
          <t>NULL</t>
        </is>
      </c>
      <c r="I531" s="0" t="inlineStr">
        <is>
          <t>NULL</t>
        </is>
      </c>
      <c r="J531" s="0" t="inlineStr">
        <is>
          <t>NULL</t>
        </is>
      </c>
      <c r="K531" s="0" t="inlineStr">
        <is>
          <t>YES! 	 c_sdt列源备映射正确，源端为smalldatetime None位	期望更改为smalldatetime	实际备端为smalldatetime None位</t>
        </is>
      </c>
    </row>
    <row r="532">
      <c r="A532" s="0" t="inlineStr">
        <is>
          <t>info_int_dml_single_nopk</t>
        </is>
      </c>
      <c r="K532" s="0" t="inlineStr">
        <is>
          <t>[0;34m info_int_dml_single_nopk [0m源备字段数相同，源端字段：20 	备端字段20</t>
        </is>
      </c>
      <c r="W532" s="0" t="inlineStr">
        <is>
          <t>YES 源备无差异</t>
        </is>
      </c>
      <c r="X532" s="0">
        <f>A532</f>
        <v/>
      </c>
    </row>
    <row r="533">
      <c r="B533" s="0" t="inlineStr">
        <is>
          <t>NULL</t>
        </is>
      </c>
      <c r="C533" s="0" t="inlineStr">
        <is>
          <t>NULL</t>
        </is>
      </c>
      <c r="D533" s="0" t="inlineStr">
        <is>
          <t>NULL</t>
        </is>
      </c>
      <c r="E533" s="0" t="inlineStr">
        <is>
          <t>NULL</t>
        </is>
      </c>
      <c r="F533" s="0" t="inlineStr">
        <is>
          <t>NULL</t>
        </is>
      </c>
      <c r="G533" s="0" t="inlineStr">
        <is>
          <t>NULL</t>
        </is>
      </c>
      <c r="H533" s="0" t="inlineStr">
        <is>
          <t>NULL</t>
        </is>
      </c>
      <c r="I533" s="0" t="inlineStr">
        <is>
          <t>NULL</t>
        </is>
      </c>
      <c r="J533" s="0" t="inlineStr">
        <is>
          <t>NULL</t>
        </is>
      </c>
      <c r="K533" s="0" t="inlineStr">
        <is>
          <t>YES! 	 id列源备映射正确，源端为int None位	期望更改为int	实际备端为int None位</t>
        </is>
      </c>
    </row>
    <row r="534">
      <c r="B534" s="0" t="inlineStr">
        <is>
          <t>NULL</t>
        </is>
      </c>
      <c r="C534" s="0" t="inlineStr">
        <is>
          <t>NULL</t>
        </is>
      </c>
      <c r="D534" s="0" t="inlineStr">
        <is>
          <t>NULL</t>
        </is>
      </c>
      <c r="E534" s="0" t="inlineStr">
        <is>
          <t>NULL</t>
        </is>
      </c>
      <c r="F534" s="0" t="inlineStr">
        <is>
          <t>NULL</t>
        </is>
      </c>
      <c r="G534" s="0" t="inlineStr">
        <is>
          <t>NULL</t>
        </is>
      </c>
      <c r="H534" s="0" t="inlineStr">
        <is>
          <t>NULL</t>
        </is>
      </c>
      <c r="I534" s="0" t="inlineStr">
        <is>
          <t>NULL</t>
        </is>
      </c>
      <c r="J534" s="0" t="inlineStr">
        <is>
          <t>NULL</t>
        </is>
      </c>
      <c r="K534" s="0" t="inlineStr">
        <is>
          <t>YES! 	 c_tinyint列源备映射正确，源端为tinyint None位	期望更改为tinyint	实际备端为tinyint None位</t>
        </is>
      </c>
    </row>
    <row r="535">
      <c r="B535" s="0" t="inlineStr">
        <is>
          <t>NULL</t>
        </is>
      </c>
      <c r="C535" s="0" t="inlineStr">
        <is>
          <t>NULL</t>
        </is>
      </c>
      <c r="D535" s="0" t="inlineStr">
        <is>
          <t>NULL</t>
        </is>
      </c>
      <c r="E535" s="0" t="inlineStr">
        <is>
          <t>NULL</t>
        </is>
      </c>
      <c r="F535" s="0" t="inlineStr">
        <is>
          <t>NULL</t>
        </is>
      </c>
      <c r="G535" s="0" t="inlineStr">
        <is>
          <t>NULL</t>
        </is>
      </c>
      <c r="H535" s="0" t="inlineStr">
        <is>
          <t>NULL</t>
        </is>
      </c>
      <c r="I535" s="0" t="inlineStr">
        <is>
          <t>NULL</t>
        </is>
      </c>
      <c r="J535" s="0" t="inlineStr">
        <is>
          <t>NULL</t>
        </is>
      </c>
      <c r="K535" s="0" t="inlineStr">
        <is>
          <t>YES! 	 c_smallint列源备映射正确，源端为smallint None位	期望更改为smallint	实际备端为smallint None位</t>
        </is>
      </c>
    </row>
    <row r="536">
      <c r="B536" s="0" t="inlineStr">
        <is>
          <t>NULL</t>
        </is>
      </c>
      <c r="C536" s="0" t="inlineStr">
        <is>
          <t>NULL</t>
        </is>
      </c>
      <c r="D536" s="0" t="inlineStr">
        <is>
          <t>NULL</t>
        </is>
      </c>
      <c r="E536" s="0" t="inlineStr">
        <is>
          <t>NULL</t>
        </is>
      </c>
      <c r="F536" s="0" t="inlineStr">
        <is>
          <t>NULL</t>
        </is>
      </c>
      <c r="G536" s="0" t="inlineStr">
        <is>
          <t>NULL</t>
        </is>
      </c>
      <c r="H536" s="0" t="inlineStr">
        <is>
          <t>NULL</t>
        </is>
      </c>
      <c r="I536" s="0" t="inlineStr">
        <is>
          <t>NULL</t>
        </is>
      </c>
      <c r="J536" s="0" t="inlineStr">
        <is>
          <t>NULL</t>
        </is>
      </c>
      <c r="K536" s="0" t="inlineStr">
        <is>
          <t>YES! 	 c_int列源备映射正确，源端为int None位	期望更改为int	实际备端为int None位</t>
        </is>
      </c>
    </row>
    <row r="537">
      <c r="B537" s="0" t="inlineStr">
        <is>
          <t>NULL</t>
        </is>
      </c>
      <c r="C537" s="0" t="inlineStr">
        <is>
          <t>NULL</t>
        </is>
      </c>
      <c r="D537" s="0" t="inlineStr">
        <is>
          <t>NULL</t>
        </is>
      </c>
      <c r="E537" s="0" t="inlineStr">
        <is>
          <t>NULL</t>
        </is>
      </c>
      <c r="F537" s="0" t="inlineStr">
        <is>
          <t>NULL</t>
        </is>
      </c>
      <c r="G537" s="0" t="inlineStr">
        <is>
          <t>NULL</t>
        </is>
      </c>
      <c r="H537" s="0" t="inlineStr">
        <is>
          <t>NULL</t>
        </is>
      </c>
      <c r="I537" s="0" t="inlineStr">
        <is>
          <t>NULL</t>
        </is>
      </c>
      <c r="J537" s="0" t="inlineStr">
        <is>
          <t>NULL</t>
        </is>
      </c>
      <c r="K537" s="0" t="inlineStr">
        <is>
          <t>YES! 	 c_bigint列源备映射正确，源端为bigint None位	期望更改为bigint	实际备端为bigint None位</t>
        </is>
      </c>
    </row>
    <row r="538">
      <c r="B538" s="0" t="inlineStr">
        <is>
          <t>NULL</t>
        </is>
      </c>
      <c r="C538" s="0" t="inlineStr">
        <is>
          <t>NULL</t>
        </is>
      </c>
      <c r="D538" s="0" t="inlineStr">
        <is>
          <t>NULL</t>
        </is>
      </c>
      <c r="E538" s="0" t="inlineStr">
        <is>
          <t>NULL</t>
        </is>
      </c>
      <c r="F538" s="0" t="inlineStr">
        <is>
          <t>NULL</t>
        </is>
      </c>
      <c r="G538" s="0" t="inlineStr">
        <is>
          <t>NULL</t>
        </is>
      </c>
      <c r="H538" s="0" t="inlineStr">
        <is>
          <t>NULL</t>
        </is>
      </c>
      <c r="I538" s="0" t="inlineStr">
        <is>
          <t>NULL</t>
        </is>
      </c>
      <c r="J538" s="0" t="inlineStr">
        <is>
          <t>NULL</t>
        </is>
      </c>
      <c r="K538" s="0" t="inlineStr">
        <is>
          <t>YES! 	 c_decimal列源备映射正确，源端为decimal None位	期望更改为decimal(p,s)	实际备端为decimal None位</t>
        </is>
      </c>
    </row>
    <row r="539">
      <c r="B539" s="0" t="inlineStr">
        <is>
          <t>NULL</t>
        </is>
      </c>
      <c r="C539" s="0" t="inlineStr">
        <is>
          <t>NULL</t>
        </is>
      </c>
      <c r="D539" s="0" t="inlineStr">
        <is>
          <t>NULL</t>
        </is>
      </c>
      <c r="E539" s="0" t="inlineStr">
        <is>
          <t>NULL</t>
        </is>
      </c>
      <c r="F539" s="0" t="inlineStr">
        <is>
          <t>NULL</t>
        </is>
      </c>
      <c r="G539" s="0" t="inlineStr">
        <is>
          <t>NULL</t>
        </is>
      </c>
      <c r="H539" s="0" t="inlineStr">
        <is>
          <t>NULL</t>
        </is>
      </c>
      <c r="I539" s="0" t="inlineStr">
        <is>
          <t>NULL</t>
        </is>
      </c>
      <c r="J539" s="0" t="inlineStr">
        <is>
          <t>NULL</t>
        </is>
      </c>
      <c r="K539" s="0" t="inlineStr">
        <is>
          <t>YES! 	 c_decimal38列源备映射正确，源端为decimal None位	期望更改为decimal(p,s)	实际备端为decimal None位</t>
        </is>
      </c>
    </row>
    <row r="540">
      <c r="B540" s="0" t="inlineStr">
        <is>
          <t>NULL</t>
        </is>
      </c>
      <c r="C540" s="0" t="inlineStr">
        <is>
          <t>NULL</t>
        </is>
      </c>
      <c r="D540" s="0" t="inlineStr">
        <is>
          <t>NULL</t>
        </is>
      </c>
      <c r="E540" s="0" t="inlineStr">
        <is>
          <t>NULL</t>
        </is>
      </c>
      <c r="F540" s="0" t="inlineStr">
        <is>
          <t>NULL</t>
        </is>
      </c>
      <c r="G540" s="0" t="inlineStr">
        <is>
          <t>NULL</t>
        </is>
      </c>
      <c r="H540" s="0" t="inlineStr">
        <is>
          <t>NULL</t>
        </is>
      </c>
      <c r="I540" s="0" t="inlineStr">
        <is>
          <t>NULL</t>
        </is>
      </c>
      <c r="J540" s="0" t="inlineStr">
        <is>
          <t>NULL</t>
        </is>
      </c>
      <c r="K540" s="0" t="inlineStr">
        <is>
          <t>YES! 	 c_decimal38_38列源备映射正确，源端为decimal None位	期望更改为decimal(p,s)	实际备端为decimal None位</t>
        </is>
      </c>
    </row>
    <row r="541">
      <c r="B541" s="0" t="inlineStr">
        <is>
          <t>NULL</t>
        </is>
      </c>
      <c r="C541" s="0" t="inlineStr">
        <is>
          <t>NULL</t>
        </is>
      </c>
      <c r="D541" s="0" t="inlineStr">
        <is>
          <t>NULL</t>
        </is>
      </c>
      <c r="E541" s="0" t="inlineStr">
        <is>
          <t>NULL</t>
        </is>
      </c>
      <c r="F541" s="0" t="inlineStr">
        <is>
          <t>NULL</t>
        </is>
      </c>
      <c r="G541" s="0" t="inlineStr">
        <is>
          <t>NULL</t>
        </is>
      </c>
      <c r="H541" s="0" t="inlineStr">
        <is>
          <t>NULL</t>
        </is>
      </c>
      <c r="I541" s="0" t="inlineStr">
        <is>
          <t>NULL</t>
        </is>
      </c>
      <c r="J541" s="0" t="inlineStr">
        <is>
          <t>NULL</t>
        </is>
      </c>
      <c r="K541" s="0" t="inlineStr">
        <is>
          <t>YES! 	 c_decimal38_10列源备映射正确，源端为decimal None位	期望更改为decimal(p,s)	实际备端为decimal None位</t>
        </is>
      </c>
    </row>
    <row r="542">
      <c r="B542" s="0" t="inlineStr">
        <is>
          <t>NULL</t>
        </is>
      </c>
      <c r="C542" s="0" t="inlineStr">
        <is>
          <t>NULL</t>
        </is>
      </c>
      <c r="D542" s="0" t="inlineStr">
        <is>
          <t>NULL</t>
        </is>
      </c>
      <c r="E542" s="0" t="inlineStr">
        <is>
          <t>NULL</t>
        </is>
      </c>
      <c r="F542" s="0" t="inlineStr">
        <is>
          <t>NULL</t>
        </is>
      </c>
      <c r="G542" s="0" t="inlineStr">
        <is>
          <t>NULL</t>
        </is>
      </c>
      <c r="H542" s="0" t="inlineStr">
        <is>
          <t>NULL</t>
        </is>
      </c>
      <c r="I542" s="0" t="inlineStr">
        <is>
          <t>NULL</t>
        </is>
      </c>
      <c r="J542" s="0" t="inlineStr">
        <is>
          <t>NULL</t>
        </is>
      </c>
      <c r="K542" s="0" t="inlineStr">
        <is>
          <t>YES! 	 c_decimal19_4列源备映射正确，源端为decimal None位	期望更改为decimal(p,s)	实际备端为decimal None位</t>
        </is>
      </c>
    </row>
    <row r="543">
      <c r="B543" s="0" t="inlineStr">
        <is>
          <t>NULL</t>
        </is>
      </c>
      <c r="C543" s="0" t="inlineStr">
        <is>
          <t>NULL</t>
        </is>
      </c>
      <c r="D543" s="0" t="inlineStr">
        <is>
          <t>NULL</t>
        </is>
      </c>
      <c r="E543" s="0" t="inlineStr">
        <is>
          <t>NULL</t>
        </is>
      </c>
      <c r="F543" s="0" t="inlineStr">
        <is>
          <t>NULL</t>
        </is>
      </c>
      <c r="G543" s="0" t="inlineStr">
        <is>
          <t>NULL</t>
        </is>
      </c>
      <c r="H543" s="0" t="inlineStr">
        <is>
          <t>NULL</t>
        </is>
      </c>
      <c r="I543" s="0" t="inlineStr">
        <is>
          <t>NULL</t>
        </is>
      </c>
      <c r="J543" s="0" t="inlineStr">
        <is>
          <t>NULL</t>
        </is>
      </c>
      <c r="K543" s="0" t="inlineStr">
        <is>
          <t>YES! 	 c_numeric列源备映射正确，源端为numeric None位	期望更改为numeric(p,s)	实际备端为numeric None位</t>
        </is>
      </c>
    </row>
    <row r="544">
      <c r="B544" s="0" t="inlineStr">
        <is>
          <t>NULL</t>
        </is>
      </c>
      <c r="C544" s="0" t="inlineStr">
        <is>
          <t>NULL</t>
        </is>
      </c>
      <c r="D544" s="0" t="inlineStr">
        <is>
          <t>NULL</t>
        </is>
      </c>
      <c r="E544" s="0" t="inlineStr">
        <is>
          <t>NULL</t>
        </is>
      </c>
      <c r="F544" s="0" t="inlineStr">
        <is>
          <t>NULL</t>
        </is>
      </c>
      <c r="G544" s="0" t="inlineStr">
        <is>
          <t>NULL</t>
        </is>
      </c>
      <c r="H544" s="0" t="inlineStr">
        <is>
          <t>NULL</t>
        </is>
      </c>
      <c r="I544" s="0" t="inlineStr">
        <is>
          <t>NULL</t>
        </is>
      </c>
      <c r="J544" s="0" t="inlineStr">
        <is>
          <t>NULL</t>
        </is>
      </c>
      <c r="K544" s="0" t="inlineStr">
        <is>
          <t>YES! 	 c_numeric38列源备映射正确，源端为numeric None位	期望更改为numeric(p,s)	实际备端为numeric None位</t>
        </is>
      </c>
    </row>
    <row r="545">
      <c r="B545" s="0" t="inlineStr">
        <is>
          <t>NULL</t>
        </is>
      </c>
      <c r="C545" s="0" t="inlineStr">
        <is>
          <t>NULL</t>
        </is>
      </c>
      <c r="D545" s="0" t="inlineStr">
        <is>
          <t>NULL</t>
        </is>
      </c>
      <c r="E545" s="0" t="inlineStr">
        <is>
          <t>NULL</t>
        </is>
      </c>
      <c r="F545" s="0" t="inlineStr">
        <is>
          <t>NULL</t>
        </is>
      </c>
      <c r="G545" s="0" t="inlineStr">
        <is>
          <t>NULL</t>
        </is>
      </c>
      <c r="H545" s="0" t="inlineStr">
        <is>
          <t>NULL</t>
        </is>
      </c>
      <c r="I545" s="0" t="inlineStr">
        <is>
          <t>NULL</t>
        </is>
      </c>
      <c r="J545" s="0" t="inlineStr">
        <is>
          <t>NULL</t>
        </is>
      </c>
      <c r="K545" s="0" t="inlineStr">
        <is>
          <t>YES! 	 c_numeric38_38列源备映射正确，源端为numeric None位	期望更改为numeric(p,s)	实际备端为numeric None位</t>
        </is>
      </c>
    </row>
    <row r="546">
      <c r="B546" s="0" t="inlineStr">
        <is>
          <t>NULL</t>
        </is>
      </c>
      <c r="C546" s="0" t="inlineStr">
        <is>
          <t>NULL</t>
        </is>
      </c>
      <c r="D546" s="0" t="inlineStr">
        <is>
          <t>NULL</t>
        </is>
      </c>
      <c r="E546" s="0" t="inlineStr">
        <is>
          <t>NULL</t>
        </is>
      </c>
      <c r="F546" s="0" t="inlineStr">
        <is>
          <t>NULL</t>
        </is>
      </c>
      <c r="G546" s="0" t="inlineStr">
        <is>
          <t>NULL</t>
        </is>
      </c>
      <c r="H546" s="0" t="inlineStr">
        <is>
          <t>NULL</t>
        </is>
      </c>
      <c r="I546" s="0" t="inlineStr">
        <is>
          <t>NULL</t>
        </is>
      </c>
      <c r="J546" s="0" t="inlineStr">
        <is>
          <t>NULL</t>
        </is>
      </c>
      <c r="K546" s="0" t="inlineStr">
        <is>
          <t>YES! 	 c_numeric38_10列源备映射正确，源端为numeric None位	期望更改为numeric(p,s)	实际备端为numeric None位</t>
        </is>
      </c>
    </row>
    <row r="547">
      <c r="B547" s="0" t="inlineStr">
        <is>
          <t>NULL</t>
        </is>
      </c>
      <c r="C547" s="0" t="inlineStr">
        <is>
          <t>NULL</t>
        </is>
      </c>
      <c r="D547" s="0" t="inlineStr">
        <is>
          <t>NULL</t>
        </is>
      </c>
      <c r="E547" s="0" t="inlineStr">
        <is>
          <t>NULL</t>
        </is>
      </c>
      <c r="F547" s="0" t="inlineStr">
        <is>
          <t>NULL</t>
        </is>
      </c>
      <c r="G547" s="0" t="inlineStr">
        <is>
          <t>NULL</t>
        </is>
      </c>
      <c r="H547" s="0" t="inlineStr">
        <is>
          <t>NULL</t>
        </is>
      </c>
      <c r="I547" s="0" t="inlineStr">
        <is>
          <t>NULL</t>
        </is>
      </c>
      <c r="J547" s="0" t="inlineStr">
        <is>
          <t>NULL</t>
        </is>
      </c>
      <c r="K547" s="0" t="inlineStr">
        <is>
          <t>YES! 	 c_numeric18_2列源备映射正确，源端为numeric None位	期望更改为numeric(p,s)	实际备端为numeric None位</t>
        </is>
      </c>
    </row>
    <row r="548">
      <c r="B548" s="0" t="inlineStr">
        <is>
          <t>NULL</t>
        </is>
      </c>
      <c r="C548" s="0" t="inlineStr">
        <is>
          <t>NULL</t>
        </is>
      </c>
      <c r="D548" s="0" t="inlineStr">
        <is>
          <t>NULL</t>
        </is>
      </c>
      <c r="E548" s="0" t="inlineStr">
        <is>
          <t>NULL</t>
        </is>
      </c>
      <c r="F548" s="0" t="inlineStr">
        <is>
          <t>NULL</t>
        </is>
      </c>
      <c r="G548" s="0" t="inlineStr">
        <is>
          <t>NULL</t>
        </is>
      </c>
      <c r="H548" s="0" t="inlineStr">
        <is>
          <t>NULL</t>
        </is>
      </c>
      <c r="I548" s="0" t="inlineStr">
        <is>
          <t>NULL</t>
        </is>
      </c>
      <c r="J548" s="0" t="inlineStr">
        <is>
          <t>NULL</t>
        </is>
      </c>
      <c r="K548" s="0" t="inlineStr">
        <is>
          <t>YES! 	 c_float列源备映射正确，源端为float None位	期望更改为float	实际备端为float None位</t>
        </is>
      </c>
    </row>
    <row r="549">
      <c r="B549" s="0" t="inlineStr">
        <is>
          <t>NULL</t>
        </is>
      </c>
      <c r="C549" s="0" t="inlineStr">
        <is>
          <t>NULL</t>
        </is>
      </c>
      <c r="D549" s="0" t="inlineStr">
        <is>
          <t>NULL</t>
        </is>
      </c>
      <c r="E549" s="0" t="inlineStr">
        <is>
          <t>NULL</t>
        </is>
      </c>
      <c r="F549" s="0" t="inlineStr">
        <is>
          <t>NULL</t>
        </is>
      </c>
      <c r="G549" s="0" t="inlineStr">
        <is>
          <t>NULL</t>
        </is>
      </c>
      <c r="H549" s="0" t="inlineStr">
        <is>
          <t>NULL</t>
        </is>
      </c>
      <c r="I549" s="0" t="inlineStr">
        <is>
          <t>NULL</t>
        </is>
      </c>
      <c r="J549" s="0" t="inlineStr">
        <is>
          <t>NULL</t>
        </is>
      </c>
      <c r="K549" s="0" t="inlineStr">
        <is>
          <t>YES! 	 c_real列源备映射正确，源端为real None位	期望更改为real	实际备端为real None位</t>
        </is>
      </c>
    </row>
    <row r="550">
      <c r="B550" s="0" t="inlineStr">
        <is>
          <t>NULL</t>
        </is>
      </c>
      <c r="C550" s="0" t="inlineStr">
        <is>
          <t>NULL</t>
        </is>
      </c>
      <c r="D550" s="0" t="inlineStr">
        <is>
          <t>NULL</t>
        </is>
      </c>
      <c r="E550" s="0" t="inlineStr">
        <is>
          <t>NULL</t>
        </is>
      </c>
      <c r="F550" s="0" t="inlineStr">
        <is>
          <t>NULL</t>
        </is>
      </c>
      <c r="G550" s="0" t="inlineStr">
        <is>
          <t>NULL</t>
        </is>
      </c>
      <c r="H550" s="0" t="inlineStr">
        <is>
          <t>NULL</t>
        </is>
      </c>
      <c r="I550" s="0" t="inlineStr">
        <is>
          <t>NULL</t>
        </is>
      </c>
      <c r="J550" s="0" t="inlineStr">
        <is>
          <t>NULL</t>
        </is>
      </c>
      <c r="K550" s="0" t="inlineStr">
        <is>
          <t>YES! 	 c_money列源备映射正确，源端为money None位	期望更改为money	实际备端为money None位</t>
        </is>
      </c>
    </row>
    <row r="551">
      <c r="B551" s="0" t="inlineStr">
        <is>
          <t>NULL</t>
        </is>
      </c>
      <c r="C551" s="0" t="inlineStr">
        <is>
          <t>NULL</t>
        </is>
      </c>
      <c r="D551" s="0" t="inlineStr">
        <is>
          <t>NULL</t>
        </is>
      </c>
      <c r="E551" s="0" t="inlineStr">
        <is>
          <t>NULL</t>
        </is>
      </c>
      <c r="F551" s="0" t="inlineStr">
        <is>
          <t>NULL</t>
        </is>
      </c>
      <c r="G551" s="0" t="inlineStr">
        <is>
          <t>NULL</t>
        </is>
      </c>
      <c r="H551" s="0" t="inlineStr">
        <is>
          <t>NULL</t>
        </is>
      </c>
      <c r="I551" s="0" t="inlineStr">
        <is>
          <t>NULL</t>
        </is>
      </c>
      <c r="J551" s="0" t="inlineStr">
        <is>
          <t>NULL</t>
        </is>
      </c>
      <c r="K551" s="0" t="inlineStr">
        <is>
          <t>YES! 	 c_smallmoney列源备映射正确，源端为smallmoney None位	期望更改为smallmoney	实际备端为smallmoney None位</t>
        </is>
      </c>
    </row>
    <row r="552">
      <c r="B552" s="0" t="inlineStr">
        <is>
          <t>NULL</t>
        </is>
      </c>
      <c r="C552" s="0" t="inlineStr">
        <is>
          <t>NULL</t>
        </is>
      </c>
      <c r="D552" s="0" t="inlineStr">
        <is>
          <t>NULL</t>
        </is>
      </c>
      <c r="E552" s="0" t="inlineStr">
        <is>
          <t>NULL</t>
        </is>
      </c>
      <c r="F552" s="0" t="inlineStr">
        <is>
          <t>NULL</t>
        </is>
      </c>
      <c r="G552" s="0" t="inlineStr">
        <is>
          <t>NULL</t>
        </is>
      </c>
      <c r="H552" s="0" t="inlineStr">
        <is>
          <t>NULL</t>
        </is>
      </c>
      <c r="I552" s="0" t="inlineStr">
        <is>
          <t>NULL</t>
        </is>
      </c>
      <c r="J552" s="0" t="inlineStr">
        <is>
          <t>NULL</t>
        </is>
      </c>
      <c r="K552" s="0" t="inlineStr">
        <is>
          <t>YES! 	 c_bit列源备映射正确，源端为bit None位	期望更改为bit	实际备端为bit None位</t>
        </is>
      </c>
    </row>
    <row r="553">
      <c r="A553" s="0" t="inlineStr">
        <is>
          <t>info_varchar_dml_batch2_pk_irp2</t>
        </is>
      </c>
      <c r="K553" s="0" t="inlineStr">
        <is>
          <t>[0;34m info_varchar_dml_batch2_pk_irp2 [0m源备字段数相同，源端字段：4 	备端字段4</t>
        </is>
      </c>
      <c r="W553" s="0" t="inlineStr">
        <is>
          <t>YES 源备无差异</t>
        </is>
      </c>
      <c r="X553" s="0">
        <f>A553</f>
        <v/>
      </c>
    </row>
    <row r="554">
      <c r="B554" s="0" t="inlineStr">
        <is>
          <t>YES</t>
        </is>
      </c>
      <c r="C554" s="0" t="inlineStr">
        <is>
          <t>NULL</t>
        </is>
      </c>
      <c r="D554" s="0" t="inlineStr">
        <is>
          <t>NULL</t>
        </is>
      </c>
      <c r="E554" s="0" t="inlineStr">
        <is>
          <t>NULL</t>
        </is>
      </c>
      <c r="F554" s="0" t="inlineStr">
        <is>
          <t>NULL</t>
        </is>
      </c>
      <c r="G554" s="0" t="inlineStr">
        <is>
          <t>NULL</t>
        </is>
      </c>
      <c r="H554" s="0" t="inlineStr">
        <is>
          <t>NULL</t>
        </is>
      </c>
      <c r="I554" s="0" t="inlineStr">
        <is>
          <t>YES!PK__info_var__3213E83F3FF2B9DE</t>
        </is>
      </c>
      <c r="J554" s="0" t="inlineStr">
        <is>
          <t>YES! 主键相关索引</t>
        </is>
      </c>
      <c r="K554" s="0" t="inlineStr">
        <is>
          <t>YES! 	 id列源备映射正确，源端为int None位	期望更改为int	实际备端为int None位</t>
        </is>
      </c>
    </row>
    <row r="555">
      <c r="B555" s="0" t="inlineStr">
        <is>
          <t>NULL</t>
        </is>
      </c>
      <c r="C555" s="0" t="inlineStr">
        <is>
          <t>NULL</t>
        </is>
      </c>
      <c r="D555" s="0" t="inlineStr">
        <is>
          <t>NULL</t>
        </is>
      </c>
      <c r="E555" s="0" t="inlineStr">
        <is>
          <t>NULL</t>
        </is>
      </c>
      <c r="F555" s="0" t="inlineStr">
        <is>
          <t>NULL</t>
        </is>
      </c>
      <c r="G555" s="0" t="inlineStr">
        <is>
          <t>NULL</t>
        </is>
      </c>
      <c r="H555" s="0" t="inlineStr">
        <is>
          <t>NULL</t>
        </is>
      </c>
      <c r="I555" s="0" t="inlineStr">
        <is>
          <t>NULL</t>
        </is>
      </c>
      <c r="J555" s="0" t="inlineStr">
        <is>
          <t>NULL</t>
        </is>
      </c>
      <c r="K555" s="0" t="inlineStr">
        <is>
          <t>YES! 	 c_varchar列源备映射正确，源端为varchar 1位	期望更改为varchar(n)	实际备端为varchar 1位</t>
        </is>
      </c>
    </row>
    <row r="556">
      <c r="B556" s="0" t="inlineStr">
        <is>
          <t>NULL</t>
        </is>
      </c>
      <c r="C556" s="0" t="inlineStr">
        <is>
          <t>NULL</t>
        </is>
      </c>
      <c r="D556" s="0" t="inlineStr">
        <is>
          <t>NULL</t>
        </is>
      </c>
      <c r="E556" s="0" t="inlineStr">
        <is>
          <t>NULL</t>
        </is>
      </c>
      <c r="F556" s="0" t="inlineStr">
        <is>
          <t>NULL</t>
        </is>
      </c>
      <c r="G556" s="0" t="inlineStr">
        <is>
          <t>NULL</t>
        </is>
      </c>
      <c r="H556" s="0" t="inlineStr">
        <is>
          <t>NULL</t>
        </is>
      </c>
      <c r="I556" s="0" t="inlineStr">
        <is>
          <t>NULL</t>
        </is>
      </c>
      <c r="J556" s="0" t="inlineStr">
        <is>
          <t>NULL</t>
        </is>
      </c>
      <c r="K556" s="0" t="inlineStr">
        <is>
          <t>YES! 	 c_varchar20列源备映射正确，源端为varchar 20位	期望更改为varchar(n)	实际备端为varchar 20位</t>
        </is>
      </c>
    </row>
    <row r="557">
      <c r="B557" s="0" t="inlineStr">
        <is>
          <t>NULL</t>
        </is>
      </c>
      <c r="C557" s="0" t="inlineStr">
        <is>
          <t>NULL</t>
        </is>
      </c>
      <c r="D557" s="0" t="inlineStr">
        <is>
          <t>NULL</t>
        </is>
      </c>
      <c r="E557" s="0" t="inlineStr">
        <is>
          <t>NULL</t>
        </is>
      </c>
      <c r="F557" s="0" t="inlineStr">
        <is>
          <t>NULL</t>
        </is>
      </c>
      <c r="G557" s="0" t="inlineStr">
        <is>
          <t>NULL</t>
        </is>
      </c>
      <c r="H557" s="0" t="inlineStr">
        <is>
          <t>NULL</t>
        </is>
      </c>
      <c r="I557" s="0" t="inlineStr">
        <is>
          <t>NULL</t>
        </is>
      </c>
      <c r="J557" s="0" t="inlineStr">
        <is>
          <t>NULL</t>
        </is>
      </c>
      <c r="K557" s="0" t="inlineStr">
        <is>
          <t>YES! 	 c_varchar8000列源备映射正确，源端为varchar 8000位	期望更改为varchar(n)	实际备端为varchar 8000位</t>
        </is>
      </c>
    </row>
    <row r="558">
      <c r="A558" s="0" t="inlineStr">
        <is>
          <t>info_nchar_dml_single_pk</t>
        </is>
      </c>
      <c r="K558" s="0" t="inlineStr">
        <is>
          <t>[0;34m info_nchar_dml_single_pk [0m源备字段数相同，源端字段：4 	备端字段4</t>
        </is>
      </c>
      <c r="W558" s="0" t="inlineStr">
        <is>
          <t>YES 源备无差异</t>
        </is>
      </c>
      <c r="X558" s="0">
        <f>A558</f>
        <v/>
      </c>
    </row>
    <row r="559">
      <c r="B559" s="0" t="inlineStr">
        <is>
          <t>YES</t>
        </is>
      </c>
      <c r="C559" s="0" t="inlineStr">
        <is>
          <t>NULL</t>
        </is>
      </c>
      <c r="D559" s="0" t="inlineStr">
        <is>
          <t>NULL</t>
        </is>
      </c>
      <c r="E559" s="0" t="inlineStr">
        <is>
          <t>NULL</t>
        </is>
      </c>
      <c r="F559" s="0" t="inlineStr">
        <is>
          <t>NULL</t>
        </is>
      </c>
      <c r="G559" s="0" t="inlineStr">
        <is>
          <t>NULL</t>
        </is>
      </c>
      <c r="H559" s="0" t="inlineStr">
        <is>
          <t>NULL</t>
        </is>
      </c>
      <c r="I559" s="0" t="inlineStr">
        <is>
          <t>YES!PK__info_nch__3213E83F0FC1BC65</t>
        </is>
      </c>
      <c r="J559" s="0" t="inlineStr">
        <is>
          <t>YES! 主键相关索引</t>
        </is>
      </c>
      <c r="K559" s="0" t="inlineStr">
        <is>
          <t>YES! 	 id列源备映射正确，源端为int None位	期望更改为int	实际备端为int None位</t>
        </is>
      </c>
    </row>
    <row r="560">
      <c r="B560" s="0" t="inlineStr">
        <is>
          <t>NULL</t>
        </is>
      </c>
      <c r="C560" s="0" t="inlineStr">
        <is>
          <t>NULL</t>
        </is>
      </c>
      <c r="D560" s="0" t="inlineStr">
        <is>
          <t>NULL</t>
        </is>
      </c>
      <c r="E560" s="0" t="inlineStr">
        <is>
          <t>NULL</t>
        </is>
      </c>
      <c r="F560" s="0" t="inlineStr">
        <is>
          <t>NULL</t>
        </is>
      </c>
      <c r="G560" s="0" t="inlineStr">
        <is>
          <t>NULL</t>
        </is>
      </c>
      <c r="H560" s="0" t="inlineStr">
        <is>
          <t>NULL</t>
        </is>
      </c>
      <c r="I560" s="0" t="inlineStr">
        <is>
          <t>NULL</t>
        </is>
      </c>
      <c r="J560" s="0" t="inlineStr">
        <is>
          <t>NULL</t>
        </is>
      </c>
      <c r="K560" s="0" t="inlineStr">
        <is>
          <t>YES! 	 c_nchar列源备映射正确，源端为nchar 2位	期望更改为nchar(n)	实际备端为nchar 2位</t>
        </is>
      </c>
    </row>
    <row r="561">
      <c r="B561" s="0" t="inlineStr">
        <is>
          <t>NULL</t>
        </is>
      </c>
      <c r="C561" s="0" t="inlineStr">
        <is>
          <t>NULL</t>
        </is>
      </c>
      <c r="D561" s="0" t="inlineStr">
        <is>
          <t>NULL</t>
        </is>
      </c>
      <c r="E561" s="0" t="inlineStr">
        <is>
          <t>NULL</t>
        </is>
      </c>
      <c r="F561" s="0" t="inlineStr">
        <is>
          <t>NULL</t>
        </is>
      </c>
      <c r="G561" s="0" t="inlineStr">
        <is>
          <t>NULL</t>
        </is>
      </c>
      <c r="H561" s="0" t="inlineStr">
        <is>
          <t>NULL</t>
        </is>
      </c>
      <c r="I561" s="0" t="inlineStr">
        <is>
          <t>NULL</t>
        </is>
      </c>
      <c r="J561" s="0" t="inlineStr">
        <is>
          <t>NULL</t>
        </is>
      </c>
      <c r="K561" s="0" t="inlineStr">
        <is>
          <t>YES! 	 c_nchar20列源备映射正确，源端为nchar 40位	期望更改为nchar(n)	实际备端为nchar 40位</t>
        </is>
      </c>
    </row>
    <row r="562">
      <c r="B562" s="0" t="inlineStr">
        <is>
          <t>NULL</t>
        </is>
      </c>
      <c r="C562" s="0" t="inlineStr">
        <is>
          <t>NULL</t>
        </is>
      </c>
      <c r="D562" s="0" t="inlineStr">
        <is>
          <t>NULL</t>
        </is>
      </c>
      <c r="E562" s="0" t="inlineStr">
        <is>
          <t>NULL</t>
        </is>
      </c>
      <c r="F562" s="0" t="inlineStr">
        <is>
          <t>NULL</t>
        </is>
      </c>
      <c r="G562" s="0" t="inlineStr">
        <is>
          <t>NULL</t>
        </is>
      </c>
      <c r="H562" s="0" t="inlineStr">
        <is>
          <t>NULL</t>
        </is>
      </c>
      <c r="I562" s="0" t="inlineStr">
        <is>
          <t>NULL</t>
        </is>
      </c>
      <c r="J562" s="0" t="inlineStr">
        <is>
          <t>NULL</t>
        </is>
      </c>
      <c r="K562" s="0" t="inlineStr">
        <is>
          <t>YES! 	 c_nchar3500列源备映射正确，源端为nchar 7000位	期望更改为nchar(n)	实际备端为nchar 7000位</t>
        </is>
      </c>
    </row>
    <row r="563">
      <c r="A563" s="0" t="inlineStr">
        <is>
          <t>info_sql_variant_dml_single_pk_drp</t>
        </is>
      </c>
      <c r="K563" s="0" t="inlineStr">
        <is>
          <t>[0;34m info_sql_variant_dml_single_pk_drp [0m源备字段数相同，源端字段：25 	备端字段25</t>
        </is>
      </c>
      <c r="W563" s="0" t="inlineStr">
        <is>
          <t>YES 源备无差异</t>
        </is>
      </c>
      <c r="X563" s="0">
        <f>A563</f>
        <v/>
      </c>
    </row>
    <row r="564">
      <c r="B564" s="0" t="inlineStr">
        <is>
          <t>YES</t>
        </is>
      </c>
      <c r="C564" s="0" t="inlineStr">
        <is>
          <t>NULL</t>
        </is>
      </c>
      <c r="D564" s="0" t="inlineStr">
        <is>
          <t>NULL</t>
        </is>
      </c>
      <c r="E564" s="0" t="inlineStr">
        <is>
          <t>NULL</t>
        </is>
      </c>
      <c r="F564" s="0" t="inlineStr">
        <is>
          <t>NULL</t>
        </is>
      </c>
      <c r="G564" s="0" t="inlineStr">
        <is>
          <t>NULL</t>
        </is>
      </c>
      <c r="H564" s="0" t="inlineStr">
        <is>
          <t>NULL</t>
        </is>
      </c>
      <c r="I564" s="0" t="inlineStr">
        <is>
          <t>YES!PK__info_sql__3213E83FE63D4520</t>
        </is>
      </c>
      <c r="J564" s="0" t="inlineStr">
        <is>
          <t>YES! 主键相关索引</t>
        </is>
      </c>
      <c r="K564" s="0" t="inlineStr">
        <is>
          <t>YES! 	 id列源备映射正确，源端为int None位	期望更改为int	实际备端为int None位</t>
        </is>
      </c>
    </row>
    <row r="565">
      <c r="B565" s="0" t="inlineStr">
        <is>
          <t>NULL</t>
        </is>
      </c>
      <c r="C565" s="0" t="inlineStr">
        <is>
          <t>NULL</t>
        </is>
      </c>
      <c r="D565" s="0" t="inlineStr">
        <is>
          <t>NULL</t>
        </is>
      </c>
      <c r="E565" s="0" t="inlineStr">
        <is>
          <t>NULL</t>
        </is>
      </c>
      <c r="F565" s="0" t="inlineStr">
        <is>
          <t>NULL</t>
        </is>
      </c>
      <c r="G565" s="0" t="inlineStr">
        <is>
          <t>NULL</t>
        </is>
      </c>
      <c r="H565" s="0" t="inlineStr">
        <is>
          <t>NULL</t>
        </is>
      </c>
      <c r="I565" s="0" t="inlineStr">
        <is>
          <t>NULL</t>
        </is>
      </c>
      <c r="J565" s="0" t="inlineStr">
        <is>
          <t>NULL</t>
        </is>
      </c>
      <c r="K565" s="0" t="inlineStr">
        <is>
          <t>YES! 	 c_date列源备映射正确，源端为sql_variant 0位	期望更改为sql_variant	实际备端为sql_variant 0位</t>
        </is>
      </c>
    </row>
    <row r="566">
      <c r="B566" s="0" t="inlineStr">
        <is>
          <t>NULL</t>
        </is>
      </c>
      <c r="C566" s="0" t="inlineStr">
        <is>
          <t>NULL</t>
        </is>
      </c>
      <c r="D566" s="0" t="inlineStr">
        <is>
          <t>NULL</t>
        </is>
      </c>
      <c r="E566" s="0" t="inlineStr">
        <is>
          <t>NULL</t>
        </is>
      </c>
      <c r="F566" s="0" t="inlineStr">
        <is>
          <t>NULL</t>
        </is>
      </c>
      <c r="G566" s="0" t="inlineStr">
        <is>
          <t>NULL</t>
        </is>
      </c>
      <c r="H566" s="0" t="inlineStr">
        <is>
          <t>NULL</t>
        </is>
      </c>
      <c r="I566" s="0" t="inlineStr">
        <is>
          <t>NULL</t>
        </is>
      </c>
      <c r="J566" s="0" t="inlineStr">
        <is>
          <t>NULL</t>
        </is>
      </c>
      <c r="K566" s="0" t="inlineStr">
        <is>
          <t>YES! 	 c_time列源备映射正确，源端为sql_variant 0位	期望更改为sql_variant	实际备端为sql_variant 0位</t>
        </is>
      </c>
    </row>
    <row r="567">
      <c r="B567" s="0" t="inlineStr">
        <is>
          <t>NULL</t>
        </is>
      </c>
      <c r="C567" s="0" t="inlineStr">
        <is>
          <t>NULL</t>
        </is>
      </c>
      <c r="D567" s="0" t="inlineStr">
        <is>
          <t>NULL</t>
        </is>
      </c>
      <c r="E567" s="0" t="inlineStr">
        <is>
          <t>NULL</t>
        </is>
      </c>
      <c r="F567" s="0" t="inlineStr">
        <is>
          <t>NULL</t>
        </is>
      </c>
      <c r="G567" s="0" t="inlineStr">
        <is>
          <t>NULL</t>
        </is>
      </c>
      <c r="H567" s="0" t="inlineStr">
        <is>
          <t>NULL</t>
        </is>
      </c>
      <c r="I567" s="0" t="inlineStr">
        <is>
          <t>NULL</t>
        </is>
      </c>
      <c r="J567" s="0" t="inlineStr">
        <is>
          <t>NULL</t>
        </is>
      </c>
      <c r="K567" s="0" t="inlineStr">
        <is>
          <t>YES! 	 c_datetime2列源备映射正确，源端为sql_variant 0位	期望更改为sql_variant	实际备端为sql_variant 0位</t>
        </is>
      </c>
    </row>
    <row r="568">
      <c r="B568" s="0" t="inlineStr">
        <is>
          <t>NULL</t>
        </is>
      </c>
      <c r="C568" s="0" t="inlineStr">
        <is>
          <t>NULL</t>
        </is>
      </c>
      <c r="D568" s="0" t="inlineStr">
        <is>
          <t>NULL</t>
        </is>
      </c>
      <c r="E568" s="0" t="inlineStr">
        <is>
          <t>NULL</t>
        </is>
      </c>
      <c r="F568" s="0" t="inlineStr">
        <is>
          <t>NULL</t>
        </is>
      </c>
      <c r="G568" s="0" t="inlineStr">
        <is>
          <t>NULL</t>
        </is>
      </c>
      <c r="H568" s="0" t="inlineStr">
        <is>
          <t>NULL</t>
        </is>
      </c>
      <c r="I568" s="0" t="inlineStr">
        <is>
          <t>NULL</t>
        </is>
      </c>
      <c r="J568" s="0" t="inlineStr">
        <is>
          <t>NULL</t>
        </is>
      </c>
      <c r="K568" s="0" t="inlineStr">
        <is>
          <t>YES! 	 c_datetimeoffset列源备映射正确，源端为sql_variant 0位	期望更改为sql_variant	实际备端为sql_variant 0位</t>
        </is>
      </c>
    </row>
    <row r="569">
      <c r="B569" s="0" t="inlineStr">
        <is>
          <t>NULL</t>
        </is>
      </c>
      <c r="C569" s="0" t="inlineStr">
        <is>
          <t>NULL</t>
        </is>
      </c>
      <c r="D569" s="0" t="inlineStr">
        <is>
          <t>NULL</t>
        </is>
      </c>
      <c r="E569" s="0" t="inlineStr">
        <is>
          <t>NULL</t>
        </is>
      </c>
      <c r="F569" s="0" t="inlineStr">
        <is>
          <t>NULL</t>
        </is>
      </c>
      <c r="G569" s="0" t="inlineStr">
        <is>
          <t>NULL</t>
        </is>
      </c>
      <c r="H569" s="0" t="inlineStr">
        <is>
          <t>NULL</t>
        </is>
      </c>
      <c r="I569" s="0" t="inlineStr">
        <is>
          <t>NULL</t>
        </is>
      </c>
      <c r="J569" s="0" t="inlineStr">
        <is>
          <t>NULL</t>
        </is>
      </c>
      <c r="K569" s="0" t="inlineStr">
        <is>
          <t>YES! 	 c_tinyint列源备映射正确，源端为sql_variant 0位	期望更改为sql_variant	实际备端为sql_variant 0位</t>
        </is>
      </c>
    </row>
    <row r="570">
      <c r="B570" s="0" t="inlineStr">
        <is>
          <t>NULL</t>
        </is>
      </c>
      <c r="C570" s="0" t="inlineStr">
        <is>
          <t>NULL</t>
        </is>
      </c>
      <c r="D570" s="0" t="inlineStr">
        <is>
          <t>NULL</t>
        </is>
      </c>
      <c r="E570" s="0" t="inlineStr">
        <is>
          <t>NULL</t>
        </is>
      </c>
      <c r="F570" s="0" t="inlineStr">
        <is>
          <t>NULL</t>
        </is>
      </c>
      <c r="G570" s="0" t="inlineStr">
        <is>
          <t>NULL</t>
        </is>
      </c>
      <c r="H570" s="0" t="inlineStr">
        <is>
          <t>NULL</t>
        </is>
      </c>
      <c r="I570" s="0" t="inlineStr">
        <is>
          <t>NULL</t>
        </is>
      </c>
      <c r="J570" s="0" t="inlineStr">
        <is>
          <t>NULL</t>
        </is>
      </c>
      <c r="K570" s="0" t="inlineStr">
        <is>
          <t>YES! 	 c_smallint列源备映射正确，源端为sql_variant 0位	期望更改为sql_variant	实际备端为sql_variant 0位</t>
        </is>
      </c>
    </row>
    <row r="571">
      <c r="B571" s="0" t="inlineStr">
        <is>
          <t>NULL</t>
        </is>
      </c>
      <c r="C571" s="0" t="inlineStr">
        <is>
          <t>NULL</t>
        </is>
      </c>
      <c r="D571" s="0" t="inlineStr">
        <is>
          <t>NULL</t>
        </is>
      </c>
      <c r="E571" s="0" t="inlineStr">
        <is>
          <t>NULL</t>
        </is>
      </c>
      <c r="F571" s="0" t="inlineStr">
        <is>
          <t>NULL</t>
        </is>
      </c>
      <c r="G571" s="0" t="inlineStr">
        <is>
          <t>NULL</t>
        </is>
      </c>
      <c r="H571" s="0" t="inlineStr">
        <is>
          <t>NULL</t>
        </is>
      </c>
      <c r="I571" s="0" t="inlineStr">
        <is>
          <t>NULL</t>
        </is>
      </c>
      <c r="J571" s="0" t="inlineStr">
        <is>
          <t>NULL</t>
        </is>
      </c>
      <c r="K571" s="0" t="inlineStr">
        <is>
          <t>YES! 	 c_int列源备映射正确，源端为sql_variant 0位	期望更改为sql_variant	实际备端为sql_variant 0位</t>
        </is>
      </c>
    </row>
    <row r="572">
      <c r="B572" s="0" t="inlineStr">
        <is>
          <t>NULL</t>
        </is>
      </c>
      <c r="C572" s="0" t="inlineStr">
        <is>
          <t>NULL</t>
        </is>
      </c>
      <c r="D572" s="0" t="inlineStr">
        <is>
          <t>NULL</t>
        </is>
      </c>
      <c r="E572" s="0" t="inlineStr">
        <is>
          <t>NULL</t>
        </is>
      </c>
      <c r="F572" s="0" t="inlineStr">
        <is>
          <t>NULL</t>
        </is>
      </c>
      <c r="G572" s="0" t="inlineStr">
        <is>
          <t>NULL</t>
        </is>
      </c>
      <c r="H572" s="0" t="inlineStr">
        <is>
          <t>NULL</t>
        </is>
      </c>
      <c r="I572" s="0" t="inlineStr">
        <is>
          <t>NULL</t>
        </is>
      </c>
      <c r="J572" s="0" t="inlineStr">
        <is>
          <t>NULL</t>
        </is>
      </c>
      <c r="K572" s="0" t="inlineStr">
        <is>
          <t>YES! 	 c_sdt列源备映射正确，源端为sql_variant 0位	期望更改为sql_variant	实际备端为sql_variant 0位</t>
        </is>
      </c>
    </row>
    <row r="573">
      <c r="B573" s="0" t="inlineStr">
        <is>
          <t>NULL</t>
        </is>
      </c>
      <c r="C573" s="0" t="inlineStr">
        <is>
          <t>NULL</t>
        </is>
      </c>
      <c r="D573" s="0" t="inlineStr">
        <is>
          <t>NULL</t>
        </is>
      </c>
      <c r="E573" s="0" t="inlineStr">
        <is>
          <t>NULL</t>
        </is>
      </c>
      <c r="F573" s="0" t="inlineStr">
        <is>
          <t>NULL</t>
        </is>
      </c>
      <c r="G573" s="0" t="inlineStr">
        <is>
          <t>NULL</t>
        </is>
      </c>
      <c r="H573" s="0" t="inlineStr">
        <is>
          <t>NULL</t>
        </is>
      </c>
      <c r="I573" s="0" t="inlineStr">
        <is>
          <t>NULL</t>
        </is>
      </c>
      <c r="J573" s="0" t="inlineStr">
        <is>
          <t>NULL</t>
        </is>
      </c>
      <c r="K573" s="0" t="inlineStr">
        <is>
          <t>YES! 	 c_real列源备映射正确，源端为sql_variant 0位	期望更改为sql_variant	实际备端为sql_variant 0位</t>
        </is>
      </c>
    </row>
    <row r="574">
      <c r="B574" s="0" t="inlineStr">
        <is>
          <t>NULL</t>
        </is>
      </c>
      <c r="C574" s="0" t="inlineStr">
        <is>
          <t>NULL</t>
        </is>
      </c>
      <c r="D574" s="0" t="inlineStr">
        <is>
          <t>NULL</t>
        </is>
      </c>
      <c r="E574" s="0" t="inlineStr">
        <is>
          <t>NULL</t>
        </is>
      </c>
      <c r="F574" s="0" t="inlineStr">
        <is>
          <t>NULL</t>
        </is>
      </c>
      <c r="G574" s="0" t="inlineStr">
        <is>
          <t>NULL</t>
        </is>
      </c>
      <c r="H574" s="0" t="inlineStr">
        <is>
          <t>NULL</t>
        </is>
      </c>
      <c r="I574" s="0" t="inlineStr">
        <is>
          <t>NULL</t>
        </is>
      </c>
      <c r="J574" s="0" t="inlineStr">
        <is>
          <t>NULL</t>
        </is>
      </c>
      <c r="K574" s="0" t="inlineStr">
        <is>
          <t>YES! 	 c_money列源备映射正确，源端为sql_variant 0位	期望更改为sql_variant	实际备端为sql_variant 0位</t>
        </is>
      </c>
    </row>
    <row r="575">
      <c r="B575" s="0" t="inlineStr">
        <is>
          <t>NULL</t>
        </is>
      </c>
      <c r="C575" s="0" t="inlineStr">
        <is>
          <t>NULL</t>
        </is>
      </c>
      <c r="D575" s="0" t="inlineStr">
        <is>
          <t>NULL</t>
        </is>
      </c>
      <c r="E575" s="0" t="inlineStr">
        <is>
          <t>NULL</t>
        </is>
      </c>
      <c r="F575" s="0" t="inlineStr">
        <is>
          <t>NULL</t>
        </is>
      </c>
      <c r="G575" s="0" t="inlineStr">
        <is>
          <t>NULL</t>
        </is>
      </c>
      <c r="H575" s="0" t="inlineStr">
        <is>
          <t>NULL</t>
        </is>
      </c>
      <c r="I575" s="0" t="inlineStr">
        <is>
          <t>NULL</t>
        </is>
      </c>
      <c r="J575" s="0" t="inlineStr">
        <is>
          <t>NULL</t>
        </is>
      </c>
      <c r="K575" s="0" t="inlineStr">
        <is>
          <t>YES! 	 c_datetime列源备映射正确，源端为sql_variant 0位	期望更改为sql_variant	实际备端为sql_variant 0位</t>
        </is>
      </c>
    </row>
    <row r="576">
      <c r="B576" s="0" t="inlineStr">
        <is>
          <t>NULL</t>
        </is>
      </c>
      <c r="C576" s="0" t="inlineStr">
        <is>
          <t>NULL</t>
        </is>
      </c>
      <c r="D576" s="0" t="inlineStr">
        <is>
          <t>NULL</t>
        </is>
      </c>
      <c r="E576" s="0" t="inlineStr">
        <is>
          <t>NULL</t>
        </is>
      </c>
      <c r="F576" s="0" t="inlineStr">
        <is>
          <t>NULL</t>
        </is>
      </c>
      <c r="G576" s="0" t="inlineStr">
        <is>
          <t>NULL</t>
        </is>
      </c>
      <c r="H576" s="0" t="inlineStr">
        <is>
          <t>NULL</t>
        </is>
      </c>
      <c r="I576" s="0" t="inlineStr">
        <is>
          <t>NULL</t>
        </is>
      </c>
      <c r="J576" s="0" t="inlineStr">
        <is>
          <t>NULL</t>
        </is>
      </c>
      <c r="K576" s="0" t="inlineStr">
        <is>
          <t>YES! 	 c_float列源备映射正确，源端为sql_variant 0位	期望更改为sql_variant	实际备端为sql_variant 0位</t>
        </is>
      </c>
    </row>
    <row r="577">
      <c r="B577" s="0" t="inlineStr">
        <is>
          <t>NULL</t>
        </is>
      </c>
      <c r="C577" s="0" t="inlineStr">
        <is>
          <t>NULL</t>
        </is>
      </c>
      <c r="D577" s="0" t="inlineStr">
        <is>
          <t>NULL</t>
        </is>
      </c>
      <c r="E577" s="0" t="inlineStr">
        <is>
          <t>NULL</t>
        </is>
      </c>
      <c r="F577" s="0" t="inlineStr">
        <is>
          <t>NULL</t>
        </is>
      </c>
      <c r="G577" s="0" t="inlineStr">
        <is>
          <t>NULL</t>
        </is>
      </c>
      <c r="H577" s="0" t="inlineStr">
        <is>
          <t>NULL</t>
        </is>
      </c>
      <c r="I577" s="0" t="inlineStr">
        <is>
          <t>NULL</t>
        </is>
      </c>
      <c r="J577" s="0" t="inlineStr">
        <is>
          <t>NULL</t>
        </is>
      </c>
      <c r="K577" s="0" t="inlineStr">
        <is>
          <t>YES! 	 c_bit列源备映射正确，源端为sql_variant 0位	期望更改为sql_variant	实际备端为sql_variant 0位</t>
        </is>
      </c>
    </row>
    <row r="578">
      <c r="B578" s="0" t="inlineStr">
        <is>
          <t>NULL</t>
        </is>
      </c>
      <c r="C578" s="0" t="inlineStr">
        <is>
          <t>NULL</t>
        </is>
      </c>
      <c r="D578" s="0" t="inlineStr">
        <is>
          <t>NULL</t>
        </is>
      </c>
      <c r="E578" s="0" t="inlineStr">
        <is>
          <t>NULL</t>
        </is>
      </c>
      <c r="F578" s="0" t="inlineStr">
        <is>
          <t>NULL</t>
        </is>
      </c>
      <c r="G578" s="0" t="inlineStr">
        <is>
          <t>NULL</t>
        </is>
      </c>
      <c r="H578" s="0" t="inlineStr">
        <is>
          <t>NULL</t>
        </is>
      </c>
      <c r="I578" s="0" t="inlineStr">
        <is>
          <t>NULL</t>
        </is>
      </c>
      <c r="J578" s="0" t="inlineStr">
        <is>
          <t>NULL</t>
        </is>
      </c>
      <c r="K578" s="0" t="inlineStr">
        <is>
          <t>YES! 	 c_decimal列源备映射正确，源端为sql_variant 0位	期望更改为sql_variant	实际备端为sql_variant 0位</t>
        </is>
      </c>
    </row>
    <row r="579">
      <c r="B579" s="0" t="inlineStr">
        <is>
          <t>NULL</t>
        </is>
      </c>
      <c r="C579" s="0" t="inlineStr">
        <is>
          <t>NULL</t>
        </is>
      </c>
      <c r="D579" s="0" t="inlineStr">
        <is>
          <t>NULL</t>
        </is>
      </c>
      <c r="E579" s="0" t="inlineStr">
        <is>
          <t>NULL</t>
        </is>
      </c>
      <c r="F579" s="0" t="inlineStr">
        <is>
          <t>NULL</t>
        </is>
      </c>
      <c r="G579" s="0" t="inlineStr">
        <is>
          <t>NULL</t>
        </is>
      </c>
      <c r="H579" s="0" t="inlineStr">
        <is>
          <t>NULL</t>
        </is>
      </c>
      <c r="I579" s="0" t="inlineStr">
        <is>
          <t>NULL</t>
        </is>
      </c>
      <c r="J579" s="0" t="inlineStr">
        <is>
          <t>NULL</t>
        </is>
      </c>
      <c r="K579" s="0" t="inlineStr">
        <is>
          <t>YES! 	 c_uniqueidentifier列源备映射正确，源端为sql_variant 0位	期望更改为sql_variant	实际备端为sql_variant 0位</t>
        </is>
      </c>
    </row>
    <row r="580">
      <c r="B580" s="0" t="inlineStr">
        <is>
          <t>NULL</t>
        </is>
      </c>
      <c r="C580" s="0" t="inlineStr">
        <is>
          <t>NULL</t>
        </is>
      </c>
      <c r="D580" s="0" t="inlineStr">
        <is>
          <t>NULL</t>
        </is>
      </c>
      <c r="E580" s="0" t="inlineStr">
        <is>
          <t>NULL</t>
        </is>
      </c>
      <c r="F580" s="0" t="inlineStr">
        <is>
          <t>NULL</t>
        </is>
      </c>
      <c r="G580" s="0" t="inlineStr">
        <is>
          <t>NULL</t>
        </is>
      </c>
      <c r="H580" s="0" t="inlineStr">
        <is>
          <t>NULL</t>
        </is>
      </c>
      <c r="I580" s="0" t="inlineStr">
        <is>
          <t>NULL</t>
        </is>
      </c>
      <c r="J580" s="0" t="inlineStr">
        <is>
          <t>NULL</t>
        </is>
      </c>
      <c r="K580" s="0" t="inlineStr">
        <is>
          <t>YES! 	 c_smallmoney列源备映射正确，源端为sql_variant 0位	期望更改为sql_variant	实际备端为sql_variant 0位</t>
        </is>
      </c>
    </row>
    <row r="581">
      <c r="B581" s="0" t="inlineStr">
        <is>
          <t>NULL</t>
        </is>
      </c>
      <c r="C581" s="0" t="inlineStr">
        <is>
          <t>NULL</t>
        </is>
      </c>
      <c r="D581" s="0" t="inlineStr">
        <is>
          <t>NULL</t>
        </is>
      </c>
      <c r="E581" s="0" t="inlineStr">
        <is>
          <t>NULL</t>
        </is>
      </c>
      <c r="F581" s="0" t="inlineStr">
        <is>
          <t>NULL</t>
        </is>
      </c>
      <c r="G581" s="0" t="inlineStr">
        <is>
          <t>NULL</t>
        </is>
      </c>
      <c r="H581" s="0" t="inlineStr">
        <is>
          <t>NULL</t>
        </is>
      </c>
      <c r="I581" s="0" t="inlineStr">
        <is>
          <t>NULL</t>
        </is>
      </c>
      <c r="J581" s="0" t="inlineStr">
        <is>
          <t>NULL</t>
        </is>
      </c>
      <c r="K581" s="0" t="inlineStr">
        <is>
          <t>YES! 	 c_bigint列源备映射正确，源端为sql_variant 0位	期望更改为sql_variant	实际备端为sql_variant 0位</t>
        </is>
      </c>
    </row>
    <row r="582">
      <c r="B582" s="0" t="inlineStr">
        <is>
          <t>NULL</t>
        </is>
      </c>
      <c r="C582" s="0" t="inlineStr">
        <is>
          <t>NULL</t>
        </is>
      </c>
      <c r="D582" s="0" t="inlineStr">
        <is>
          <t>NULL</t>
        </is>
      </c>
      <c r="E582" s="0" t="inlineStr">
        <is>
          <t>NULL</t>
        </is>
      </c>
      <c r="F582" s="0" t="inlineStr">
        <is>
          <t>NULL</t>
        </is>
      </c>
      <c r="G582" s="0" t="inlineStr">
        <is>
          <t>NULL</t>
        </is>
      </c>
      <c r="H582" s="0" t="inlineStr">
        <is>
          <t>NULL</t>
        </is>
      </c>
      <c r="I582" s="0" t="inlineStr">
        <is>
          <t>NULL</t>
        </is>
      </c>
      <c r="J582" s="0" t="inlineStr">
        <is>
          <t>NULL</t>
        </is>
      </c>
      <c r="K582" s="0" t="inlineStr">
        <is>
          <t>YES! 	 c_varbinary_20列源备映射正确，源端为sql_variant 0位	期望更改为sql_variant	实际备端为sql_variant 0位</t>
        </is>
      </c>
    </row>
    <row r="583">
      <c r="B583" s="0" t="inlineStr">
        <is>
          <t>NULL</t>
        </is>
      </c>
      <c r="C583" s="0" t="inlineStr">
        <is>
          <t>NULL</t>
        </is>
      </c>
      <c r="D583" s="0" t="inlineStr">
        <is>
          <t>NULL</t>
        </is>
      </c>
      <c r="E583" s="0" t="inlineStr">
        <is>
          <t>NULL</t>
        </is>
      </c>
      <c r="F583" s="0" t="inlineStr">
        <is>
          <t>NULL</t>
        </is>
      </c>
      <c r="G583" s="0" t="inlineStr">
        <is>
          <t>NULL</t>
        </is>
      </c>
      <c r="H583" s="0" t="inlineStr">
        <is>
          <t>NULL</t>
        </is>
      </c>
      <c r="I583" s="0" t="inlineStr">
        <is>
          <t>NULL</t>
        </is>
      </c>
      <c r="J583" s="0" t="inlineStr">
        <is>
          <t>NULL</t>
        </is>
      </c>
      <c r="K583" s="0" t="inlineStr">
        <is>
          <t>YES! 	 c_varchar_20列源备映射正确，源端为sql_variant 0位	期望更改为sql_variant	实际备端为sql_variant 0位</t>
        </is>
      </c>
    </row>
    <row r="584">
      <c r="B584" s="0" t="inlineStr">
        <is>
          <t>NULL</t>
        </is>
      </c>
      <c r="C584" s="0" t="inlineStr">
        <is>
          <t>NULL</t>
        </is>
      </c>
      <c r="D584" s="0" t="inlineStr">
        <is>
          <t>NULL</t>
        </is>
      </c>
      <c r="E584" s="0" t="inlineStr">
        <is>
          <t>NULL</t>
        </is>
      </c>
      <c r="F584" s="0" t="inlineStr">
        <is>
          <t>NULL</t>
        </is>
      </c>
      <c r="G584" s="0" t="inlineStr">
        <is>
          <t>NULL</t>
        </is>
      </c>
      <c r="H584" s="0" t="inlineStr">
        <is>
          <t>NULL</t>
        </is>
      </c>
      <c r="I584" s="0" t="inlineStr">
        <is>
          <t>NULL</t>
        </is>
      </c>
      <c r="J584" s="0" t="inlineStr">
        <is>
          <t>NULL</t>
        </is>
      </c>
      <c r="K584" s="0" t="inlineStr">
        <is>
          <t>YES! 	 c_binary_20列源备映射正确，源端为sql_variant 0位	期望更改为sql_variant	实际备端为sql_variant 0位</t>
        </is>
      </c>
    </row>
    <row r="585">
      <c r="B585" s="0" t="inlineStr">
        <is>
          <t>NULL</t>
        </is>
      </c>
      <c r="C585" s="0" t="inlineStr">
        <is>
          <t>NULL</t>
        </is>
      </c>
      <c r="D585" s="0" t="inlineStr">
        <is>
          <t>NULL</t>
        </is>
      </c>
      <c r="E585" s="0" t="inlineStr">
        <is>
          <t>NULL</t>
        </is>
      </c>
      <c r="F585" s="0" t="inlineStr">
        <is>
          <t>NULL</t>
        </is>
      </c>
      <c r="G585" s="0" t="inlineStr">
        <is>
          <t>NULL</t>
        </is>
      </c>
      <c r="H585" s="0" t="inlineStr">
        <is>
          <t>NULL</t>
        </is>
      </c>
      <c r="I585" s="0" t="inlineStr">
        <is>
          <t>NULL</t>
        </is>
      </c>
      <c r="J585" s="0" t="inlineStr">
        <is>
          <t>NULL</t>
        </is>
      </c>
      <c r="K585" s="0" t="inlineStr">
        <is>
          <t>YES! 	 c_char_20列源备映射正确，源端为sql_variant 0位	期望更改为sql_variant	实际备端为sql_variant 0位</t>
        </is>
      </c>
    </row>
    <row r="586">
      <c r="B586" s="0" t="inlineStr">
        <is>
          <t>NULL</t>
        </is>
      </c>
      <c r="C586" s="0" t="inlineStr">
        <is>
          <t>NULL</t>
        </is>
      </c>
      <c r="D586" s="0" t="inlineStr">
        <is>
          <t>NULL</t>
        </is>
      </c>
      <c r="E586" s="0" t="inlineStr">
        <is>
          <t>NULL</t>
        </is>
      </c>
      <c r="F586" s="0" t="inlineStr">
        <is>
          <t>NULL</t>
        </is>
      </c>
      <c r="G586" s="0" t="inlineStr">
        <is>
          <t>NULL</t>
        </is>
      </c>
      <c r="H586" s="0" t="inlineStr">
        <is>
          <t>NULL</t>
        </is>
      </c>
      <c r="I586" s="0" t="inlineStr">
        <is>
          <t>NULL</t>
        </is>
      </c>
      <c r="J586" s="0" t="inlineStr">
        <is>
          <t>NULL</t>
        </is>
      </c>
      <c r="K586" s="0" t="inlineStr">
        <is>
          <t>YES! 	 c_nvarchar_20列源备映射正确，源端为sql_variant 0位	期望更改为sql_variant	实际备端为sql_variant 0位</t>
        </is>
      </c>
    </row>
    <row r="587">
      <c r="B587" s="0" t="inlineStr">
        <is>
          <t>NULL</t>
        </is>
      </c>
      <c r="C587" s="0" t="inlineStr">
        <is>
          <t>NULL</t>
        </is>
      </c>
      <c r="D587" s="0" t="inlineStr">
        <is>
          <t>NULL</t>
        </is>
      </c>
      <c r="E587" s="0" t="inlineStr">
        <is>
          <t>NULL</t>
        </is>
      </c>
      <c r="F587" s="0" t="inlineStr">
        <is>
          <t>NULL</t>
        </is>
      </c>
      <c r="G587" s="0" t="inlineStr">
        <is>
          <t>NULL</t>
        </is>
      </c>
      <c r="H587" s="0" t="inlineStr">
        <is>
          <t>NULL</t>
        </is>
      </c>
      <c r="I587" s="0" t="inlineStr">
        <is>
          <t>NULL</t>
        </is>
      </c>
      <c r="J587" s="0" t="inlineStr">
        <is>
          <t>NULL</t>
        </is>
      </c>
      <c r="K587" s="0" t="inlineStr">
        <is>
          <t>YES! 	 c_nchar_20列源备映射正确，源端为sql_variant 0位	期望更改为sql_variant	实际备端为sql_variant 0位</t>
        </is>
      </c>
    </row>
    <row r="588">
      <c r="B588" s="0" t="inlineStr">
        <is>
          <t>NULL</t>
        </is>
      </c>
      <c r="C588" s="0" t="inlineStr">
        <is>
          <t>NULL</t>
        </is>
      </c>
      <c r="D588" s="0" t="inlineStr">
        <is>
          <t>NULL</t>
        </is>
      </c>
      <c r="E588" s="0" t="inlineStr">
        <is>
          <t>NULL</t>
        </is>
      </c>
      <c r="F588" s="0" t="inlineStr">
        <is>
          <t>NULL</t>
        </is>
      </c>
      <c r="G588" s="0" t="inlineStr">
        <is>
          <t>NULL</t>
        </is>
      </c>
      <c r="H588" s="0" t="inlineStr">
        <is>
          <t>NULL</t>
        </is>
      </c>
      <c r="I588" s="0" t="inlineStr">
        <is>
          <t>NULL</t>
        </is>
      </c>
      <c r="J588" s="0" t="inlineStr">
        <is>
          <t>NULL</t>
        </is>
      </c>
      <c r="K588" s="0" t="inlineStr">
        <is>
          <t>YES! 	 c_timestamp列源备映射正确，源端为timestamp None位	期望更改为timestamp	实际备端为timestamp None位</t>
        </is>
      </c>
    </row>
    <row r="589">
      <c r="A589" s="0" t="inlineStr">
        <is>
          <t>info_nvarchar_dml_single_nopk_irp</t>
        </is>
      </c>
      <c r="K589" s="0" t="inlineStr">
        <is>
          <t>[0;34m info_nvarchar_dml_single_nopk_irp [0m源备字段数相同，源端字段：4 	备端字段4</t>
        </is>
      </c>
      <c r="W589" s="0" t="inlineStr">
        <is>
          <t>YES 源备无差异</t>
        </is>
      </c>
      <c r="X589" s="0">
        <f>A589</f>
        <v/>
      </c>
    </row>
    <row r="590">
      <c r="B590" s="0" t="inlineStr">
        <is>
          <t>NULL</t>
        </is>
      </c>
      <c r="C590" s="0" t="inlineStr">
        <is>
          <t>NULL</t>
        </is>
      </c>
      <c r="D590" s="0" t="inlineStr">
        <is>
          <t>NULL</t>
        </is>
      </c>
      <c r="E590" s="0" t="inlineStr">
        <is>
          <t>NULL</t>
        </is>
      </c>
      <c r="F590" s="0" t="inlineStr">
        <is>
          <t>NULL</t>
        </is>
      </c>
      <c r="G590" s="0" t="inlineStr">
        <is>
          <t>NULL</t>
        </is>
      </c>
      <c r="H590" s="0" t="inlineStr">
        <is>
          <t>NULL</t>
        </is>
      </c>
      <c r="I590" s="0" t="inlineStr">
        <is>
          <t>NULL</t>
        </is>
      </c>
      <c r="J590" s="0" t="inlineStr">
        <is>
          <t>NULL</t>
        </is>
      </c>
      <c r="K590" s="0" t="inlineStr">
        <is>
          <t>YES! 	 id列源备映射正确，源端为int None位	期望更改为int	实际备端为int None位</t>
        </is>
      </c>
    </row>
    <row r="591">
      <c r="B591" s="0" t="inlineStr">
        <is>
          <t>NULL</t>
        </is>
      </c>
      <c r="C591" s="0" t="inlineStr">
        <is>
          <t>NULL</t>
        </is>
      </c>
      <c r="D591" s="0" t="inlineStr">
        <is>
          <t>NULL</t>
        </is>
      </c>
      <c r="E591" s="0" t="inlineStr">
        <is>
          <t>NULL</t>
        </is>
      </c>
      <c r="F591" s="0" t="inlineStr">
        <is>
          <t>NULL</t>
        </is>
      </c>
      <c r="G591" s="0" t="inlineStr">
        <is>
          <t>NULL</t>
        </is>
      </c>
      <c r="H591" s="0" t="inlineStr">
        <is>
          <t>NULL</t>
        </is>
      </c>
      <c r="I591" s="0" t="inlineStr">
        <is>
          <t>NULL</t>
        </is>
      </c>
      <c r="J591" s="0" t="inlineStr">
        <is>
          <t>NULL</t>
        </is>
      </c>
      <c r="K591" s="0" t="inlineStr">
        <is>
          <t>YES! 	 c_nvarchar列源备映射正确，源端为nvarchar 2位	期望更改为nvarchar(n)	实际备端为nvarchar 2位</t>
        </is>
      </c>
    </row>
    <row r="592">
      <c r="B592" s="0" t="inlineStr">
        <is>
          <t>NULL</t>
        </is>
      </c>
      <c r="C592" s="0" t="inlineStr">
        <is>
          <t>NULL</t>
        </is>
      </c>
      <c r="D592" s="0" t="inlineStr">
        <is>
          <t>NULL</t>
        </is>
      </c>
      <c r="E592" s="0" t="inlineStr">
        <is>
          <t>NULL</t>
        </is>
      </c>
      <c r="F592" s="0" t="inlineStr">
        <is>
          <t>NULL</t>
        </is>
      </c>
      <c r="G592" s="0" t="inlineStr">
        <is>
          <t>NULL</t>
        </is>
      </c>
      <c r="H592" s="0" t="inlineStr">
        <is>
          <t>NULL</t>
        </is>
      </c>
      <c r="I592" s="0" t="inlineStr">
        <is>
          <t>NULL</t>
        </is>
      </c>
      <c r="J592" s="0" t="inlineStr">
        <is>
          <t>NULL</t>
        </is>
      </c>
      <c r="K592" s="0" t="inlineStr">
        <is>
          <t>YES! 	 c_nvarchar20列源备映射正确，源端为nvarchar 40位	期望更改为nvarchar(n)	实际备端为nvarchar 40位</t>
        </is>
      </c>
    </row>
    <row r="593">
      <c r="B593" s="0" t="inlineStr">
        <is>
          <t>NULL</t>
        </is>
      </c>
      <c r="C593" s="0" t="inlineStr">
        <is>
          <t>NULL</t>
        </is>
      </c>
      <c r="D593" s="0" t="inlineStr">
        <is>
          <t>NULL</t>
        </is>
      </c>
      <c r="E593" s="0" t="inlineStr">
        <is>
          <t>NULL</t>
        </is>
      </c>
      <c r="F593" s="0" t="inlineStr">
        <is>
          <t>NULL</t>
        </is>
      </c>
      <c r="G593" s="0" t="inlineStr">
        <is>
          <t>NULL</t>
        </is>
      </c>
      <c r="H593" s="0" t="inlineStr">
        <is>
          <t>NULL</t>
        </is>
      </c>
      <c r="I593" s="0" t="inlineStr">
        <is>
          <t>NULL</t>
        </is>
      </c>
      <c r="J593" s="0" t="inlineStr">
        <is>
          <t>NULL</t>
        </is>
      </c>
      <c r="K593" s="0" t="inlineStr">
        <is>
          <t>YES! 	 c_nvarchar4000列源备映射正确，源端为nvarchar 8000位	期望更改为nvarchar(n)	实际备端为nvarchar 8000位</t>
        </is>
      </c>
    </row>
    <row r="594">
      <c r="A594" s="0" t="inlineStr">
        <is>
          <t>info_sdt_dml_batch1_pk</t>
        </is>
      </c>
      <c r="K594" s="0" t="inlineStr">
        <is>
          <t>[0;34m info_sdt_dml_batch1_pk [0m源备字段数相同，源端字段：2 	备端字段2</t>
        </is>
      </c>
      <c r="W594" s="0" t="inlineStr">
        <is>
          <t>YES 源备无差异</t>
        </is>
      </c>
      <c r="X594" s="0">
        <f>A594</f>
        <v/>
      </c>
    </row>
    <row r="595">
      <c r="B595" s="0" t="inlineStr">
        <is>
          <t>YES</t>
        </is>
      </c>
      <c r="C595" s="0" t="inlineStr">
        <is>
          <t>NULL</t>
        </is>
      </c>
      <c r="D595" s="0" t="inlineStr">
        <is>
          <t>NULL</t>
        </is>
      </c>
      <c r="E595" s="0" t="inlineStr">
        <is>
          <t>NULL</t>
        </is>
      </c>
      <c r="F595" s="0" t="inlineStr">
        <is>
          <t>NULL</t>
        </is>
      </c>
      <c r="G595" s="0" t="inlineStr">
        <is>
          <t>NULL</t>
        </is>
      </c>
      <c r="H595" s="0" t="inlineStr">
        <is>
          <t>NULL</t>
        </is>
      </c>
      <c r="I595" s="0" t="inlineStr">
        <is>
          <t>YES!PK__info_sdt__3213E83FA1971A79</t>
        </is>
      </c>
      <c r="J595" s="0" t="inlineStr">
        <is>
          <t>YES! 主键相关索引</t>
        </is>
      </c>
      <c r="K595" s="0" t="inlineStr">
        <is>
          <t>YES! 	 id列源备映射正确，源端为int None位	期望更改为int	实际备端为int None位</t>
        </is>
      </c>
    </row>
    <row r="596">
      <c r="B596" s="0" t="inlineStr">
        <is>
          <t>NULL</t>
        </is>
      </c>
      <c r="C596" s="0" t="inlineStr">
        <is>
          <t>NULL</t>
        </is>
      </c>
      <c r="D596" s="0" t="inlineStr">
        <is>
          <t>NULL</t>
        </is>
      </c>
      <c r="E596" s="0" t="inlineStr">
        <is>
          <t>NULL</t>
        </is>
      </c>
      <c r="F596" s="0" t="inlineStr">
        <is>
          <t>NULL</t>
        </is>
      </c>
      <c r="G596" s="0" t="inlineStr">
        <is>
          <t>NULL</t>
        </is>
      </c>
      <c r="H596" s="0" t="inlineStr">
        <is>
          <t>NULL</t>
        </is>
      </c>
      <c r="I596" s="0" t="inlineStr">
        <is>
          <t>NULL</t>
        </is>
      </c>
      <c r="J596" s="0" t="inlineStr">
        <is>
          <t>NULL</t>
        </is>
      </c>
      <c r="K596" s="0" t="inlineStr">
        <is>
          <t>YES! 	 c_sdt列源备映射正确，源端为smalldatetime None位	期望更改为smalldatetime	实际备端为smalldatetime None位</t>
        </is>
      </c>
    </row>
    <row r="597">
      <c r="A597" s="0" t="inlineStr">
        <is>
          <t>info_varchar_dml_batch1_pk_urp1</t>
        </is>
      </c>
      <c r="K597" s="0" t="inlineStr">
        <is>
          <t>[0;34m info_varchar_dml_batch1_pk_urp1 [0m源备字段数相同，源端字段：4 	备端字段4</t>
        </is>
      </c>
      <c r="W597" s="0" t="inlineStr">
        <is>
          <t>YES 源备无差异</t>
        </is>
      </c>
      <c r="X597" s="0">
        <f>A597</f>
        <v/>
      </c>
    </row>
    <row r="598">
      <c r="B598" s="0" t="inlineStr">
        <is>
          <t>YES</t>
        </is>
      </c>
      <c r="C598" s="0" t="inlineStr">
        <is>
          <t>NULL</t>
        </is>
      </c>
      <c r="D598" s="0" t="inlineStr">
        <is>
          <t>NULL</t>
        </is>
      </c>
      <c r="E598" s="0" t="inlineStr">
        <is>
          <t>NULL</t>
        </is>
      </c>
      <c r="F598" s="0" t="inlineStr">
        <is>
          <t>NULL</t>
        </is>
      </c>
      <c r="G598" s="0" t="inlineStr">
        <is>
          <t>NULL</t>
        </is>
      </c>
      <c r="H598" s="0" t="inlineStr">
        <is>
          <t>NULL</t>
        </is>
      </c>
      <c r="I598" s="0" t="inlineStr">
        <is>
          <t>YES!PK__info_var__3213E83F95050969</t>
        </is>
      </c>
      <c r="J598" s="0" t="inlineStr">
        <is>
          <t>YES! 主键相关索引</t>
        </is>
      </c>
      <c r="K598" s="0" t="inlineStr">
        <is>
          <t>YES! 	 id列源备映射正确，源端为int None位	期望更改为int	实际备端为int None位</t>
        </is>
      </c>
    </row>
    <row r="599">
      <c r="B599" s="0" t="inlineStr">
        <is>
          <t>NULL</t>
        </is>
      </c>
      <c r="C599" s="0" t="inlineStr">
        <is>
          <t>NULL</t>
        </is>
      </c>
      <c r="D599" s="0" t="inlineStr">
        <is>
          <t>NULL</t>
        </is>
      </c>
      <c r="E599" s="0" t="inlineStr">
        <is>
          <t>NULL</t>
        </is>
      </c>
      <c r="F599" s="0" t="inlineStr">
        <is>
          <t>NULL</t>
        </is>
      </c>
      <c r="G599" s="0" t="inlineStr">
        <is>
          <t>NULL</t>
        </is>
      </c>
      <c r="H599" s="0" t="inlineStr">
        <is>
          <t>NULL</t>
        </is>
      </c>
      <c r="I599" s="0" t="inlineStr">
        <is>
          <t>NULL</t>
        </is>
      </c>
      <c r="J599" s="0" t="inlineStr">
        <is>
          <t>NULL</t>
        </is>
      </c>
      <c r="K599" s="0" t="inlineStr">
        <is>
          <t>YES! 	 c_varchar列源备映射正确，源端为varchar 1位	期望更改为varchar(n)	实际备端为varchar 1位</t>
        </is>
      </c>
    </row>
    <row r="600">
      <c r="B600" s="0" t="inlineStr">
        <is>
          <t>NULL</t>
        </is>
      </c>
      <c r="C600" s="0" t="inlineStr">
        <is>
          <t>NULL</t>
        </is>
      </c>
      <c r="D600" s="0" t="inlineStr">
        <is>
          <t>NULL</t>
        </is>
      </c>
      <c r="E600" s="0" t="inlineStr">
        <is>
          <t>NULL</t>
        </is>
      </c>
      <c r="F600" s="0" t="inlineStr">
        <is>
          <t>NULL</t>
        </is>
      </c>
      <c r="G600" s="0" t="inlineStr">
        <is>
          <t>NULL</t>
        </is>
      </c>
      <c r="H600" s="0" t="inlineStr">
        <is>
          <t>NULL</t>
        </is>
      </c>
      <c r="I600" s="0" t="inlineStr">
        <is>
          <t>NULL</t>
        </is>
      </c>
      <c r="J600" s="0" t="inlineStr">
        <is>
          <t>NULL</t>
        </is>
      </c>
      <c r="K600" s="0" t="inlineStr">
        <is>
          <t>YES! 	 c_varchar20列源备映射正确，源端为varchar 20位	期望更改为varchar(n)	实际备端为varchar 20位</t>
        </is>
      </c>
    </row>
    <row r="601">
      <c r="B601" s="0" t="inlineStr">
        <is>
          <t>NULL</t>
        </is>
      </c>
      <c r="C601" s="0" t="inlineStr">
        <is>
          <t>NULL</t>
        </is>
      </c>
      <c r="D601" s="0" t="inlineStr">
        <is>
          <t>NULL</t>
        </is>
      </c>
      <c r="E601" s="0" t="inlineStr">
        <is>
          <t>NULL</t>
        </is>
      </c>
      <c r="F601" s="0" t="inlineStr">
        <is>
          <t>NULL</t>
        </is>
      </c>
      <c r="G601" s="0" t="inlineStr">
        <is>
          <t>NULL</t>
        </is>
      </c>
      <c r="H601" s="0" t="inlineStr">
        <is>
          <t>NULL</t>
        </is>
      </c>
      <c r="I601" s="0" t="inlineStr">
        <is>
          <t>NULL</t>
        </is>
      </c>
      <c r="J601" s="0" t="inlineStr">
        <is>
          <t>NULL</t>
        </is>
      </c>
      <c r="K601" s="0" t="inlineStr">
        <is>
          <t>YES! 	 c_varchar7000列源备映射正确，源端为varchar 7000位	期望更改为varchar(n)	实际备端为varchar 7000位</t>
        </is>
      </c>
    </row>
    <row r="602">
      <c r="A602" s="0" t="inlineStr">
        <is>
          <t>info_sql_variant_dml_single_pk</t>
        </is>
      </c>
      <c r="K602" s="0" t="inlineStr">
        <is>
          <t>[0;34m info_sql_variant_dml_single_pk [0m源备字段数相同，源端字段：25 	备端字段25</t>
        </is>
      </c>
      <c r="W602" s="0" t="inlineStr">
        <is>
          <t>YES 源备无差异</t>
        </is>
      </c>
      <c r="X602" s="0">
        <f>A602</f>
        <v/>
      </c>
    </row>
    <row r="603">
      <c r="B603" s="0" t="inlineStr">
        <is>
          <t>YES</t>
        </is>
      </c>
      <c r="C603" s="0" t="inlineStr">
        <is>
          <t>NULL</t>
        </is>
      </c>
      <c r="D603" s="0" t="inlineStr">
        <is>
          <t>NULL</t>
        </is>
      </c>
      <c r="E603" s="0" t="inlineStr">
        <is>
          <t>NULL</t>
        </is>
      </c>
      <c r="F603" s="0" t="inlineStr">
        <is>
          <t>NULL</t>
        </is>
      </c>
      <c r="G603" s="0" t="inlineStr">
        <is>
          <t>NULL</t>
        </is>
      </c>
      <c r="H603" s="0" t="inlineStr">
        <is>
          <t>NULL</t>
        </is>
      </c>
      <c r="I603" s="0" t="inlineStr">
        <is>
          <t>YES!PK__info_sql__3213E83F0AEFC72B</t>
        </is>
      </c>
      <c r="J603" s="0" t="inlineStr">
        <is>
          <t>YES! 主键相关索引</t>
        </is>
      </c>
      <c r="K603" s="0" t="inlineStr">
        <is>
          <t>YES! 	 id列源备映射正确，源端为int None位	期望更改为int	实际备端为int None位</t>
        </is>
      </c>
    </row>
    <row r="604">
      <c r="B604" s="0" t="inlineStr">
        <is>
          <t>NULL</t>
        </is>
      </c>
      <c r="C604" s="0" t="inlineStr">
        <is>
          <t>NULL</t>
        </is>
      </c>
      <c r="D604" s="0" t="inlineStr">
        <is>
          <t>NULL</t>
        </is>
      </c>
      <c r="E604" s="0" t="inlineStr">
        <is>
          <t>NULL</t>
        </is>
      </c>
      <c r="F604" s="0" t="inlineStr">
        <is>
          <t>NULL</t>
        </is>
      </c>
      <c r="G604" s="0" t="inlineStr">
        <is>
          <t>NULL</t>
        </is>
      </c>
      <c r="H604" s="0" t="inlineStr">
        <is>
          <t>NULL</t>
        </is>
      </c>
      <c r="I604" s="0" t="inlineStr">
        <is>
          <t>NULL</t>
        </is>
      </c>
      <c r="J604" s="0" t="inlineStr">
        <is>
          <t>NULL</t>
        </is>
      </c>
      <c r="K604" s="0" t="inlineStr">
        <is>
          <t>YES! 	 c_date列源备映射正确，源端为sql_variant 0位	期望更改为sql_variant	实际备端为sql_variant 0位</t>
        </is>
      </c>
    </row>
    <row r="605">
      <c r="B605" s="0" t="inlineStr">
        <is>
          <t>NULL</t>
        </is>
      </c>
      <c r="C605" s="0" t="inlineStr">
        <is>
          <t>NULL</t>
        </is>
      </c>
      <c r="D605" s="0" t="inlineStr">
        <is>
          <t>NULL</t>
        </is>
      </c>
      <c r="E605" s="0" t="inlineStr">
        <is>
          <t>NULL</t>
        </is>
      </c>
      <c r="F605" s="0" t="inlineStr">
        <is>
          <t>NULL</t>
        </is>
      </c>
      <c r="G605" s="0" t="inlineStr">
        <is>
          <t>NULL</t>
        </is>
      </c>
      <c r="H605" s="0" t="inlineStr">
        <is>
          <t>NULL</t>
        </is>
      </c>
      <c r="I605" s="0" t="inlineStr">
        <is>
          <t>NULL</t>
        </is>
      </c>
      <c r="J605" s="0" t="inlineStr">
        <is>
          <t>NULL</t>
        </is>
      </c>
      <c r="K605" s="0" t="inlineStr">
        <is>
          <t>YES! 	 c_time列源备映射正确，源端为sql_variant 0位	期望更改为sql_variant	实际备端为sql_variant 0位</t>
        </is>
      </c>
    </row>
    <row r="606">
      <c r="B606" s="0" t="inlineStr">
        <is>
          <t>NULL</t>
        </is>
      </c>
      <c r="C606" s="0" t="inlineStr">
        <is>
          <t>NULL</t>
        </is>
      </c>
      <c r="D606" s="0" t="inlineStr">
        <is>
          <t>NULL</t>
        </is>
      </c>
      <c r="E606" s="0" t="inlineStr">
        <is>
          <t>NULL</t>
        </is>
      </c>
      <c r="F606" s="0" t="inlineStr">
        <is>
          <t>NULL</t>
        </is>
      </c>
      <c r="G606" s="0" t="inlineStr">
        <is>
          <t>NULL</t>
        </is>
      </c>
      <c r="H606" s="0" t="inlineStr">
        <is>
          <t>NULL</t>
        </is>
      </c>
      <c r="I606" s="0" t="inlineStr">
        <is>
          <t>NULL</t>
        </is>
      </c>
      <c r="J606" s="0" t="inlineStr">
        <is>
          <t>NULL</t>
        </is>
      </c>
      <c r="K606" s="0" t="inlineStr">
        <is>
          <t>YES! 	 c_datetime2列源备映射正确，源端为sql_variant 0位	期望更改为sql_variant	实际备端为sql_variant 0位</t>
        </is>
      </c>
    </row>
    <row r="607">
      <c r="B607" s="0" t="inlineStr">
        <is>
          <t>NULL</t>
        </is>
      </c>
      <c r="C607" s="0" t="inlineStr">
        <is>
          <t>NULL</t>
        </is>
      </c>
      <c r="D607" s="0" t="inlineStr">
        <is>
          <t>NULL</t>
        </is>
      </c>
      <c r="E607" s="0" t="inlineStr">
        <is>
          <t>NULL</t>
        </is>
      </c>
      <c r="F607" s="0" t="inlineStr">
        <is>
          <t>NULL</t>
        </is>
      </c>
      <c r="G607" s="0" t="inlineStr">
        <is>
          <t>NULL</t>
        </is>
      </c>
      <c r="H607" s="0" t="inlineStr">
        <is>
          <t>NULL</t>
        </is>
      </c>
      <c r="I607" s="0" t="inlineStr">
        <is>
          <t>NULL</t>
        </is>
      </c>
      <c r="J607" s="0" t="inlineStr">
        <is>
          <t>NULL</t>
        </is>
      </c>
      <c r="K607" s="0" t="inlineStr">
        <is>
          <t>YES! 	 c_datetimeoffset列源备映射正确，源端为sql_variant 0位	期望更改为sql_variant	实际备端为sql_variant 0位</t>
        </is>
      </c>
    </row>
    <row r="608">
      <c r="B608" s="0" t="inlineStr">
        <is>
          <t>NULL</t>
        </is>
      </c>
      <c r="C608" s="0" t="inlineStr">
        <is>
          <t>NULL</t>
        </is>
      </c>
      <c r="D608" s="0" t="inlineStr">
        <is>
          <t>NULL</t>
        </is>
      </c>
      <c r="E608" s="0" t="inlineStr">
        <is>
          <t>NULL</t>
        </is>
      </c>
      <c r="F608" s="0" t="inlineStr">
        <is>
          <t>NULL</t>
        </is>
      </c>
      <c r="G608" s="0" t="inlineStr">
        <is>
          <t>NULL</t>
        </is>
      </c>
      <c r="H608" s="0" t="inlineStr">
        <is>
          <t>NULL</t>
        </is>
      </c>
      <c r="I608" s="0" t="inlineStr">
        <is>
          <t>NULL</t>
        </is>
      </c>
      <c r="J608" s="0" t="inlineStr">
        <is>
          <t>NULL</t>
        </is>
      </c>
      <c r="K608" s="0" t="inlineStr">
        <is>
          <t>YES! 	 c_tinyint列源备映射正确，源端为sql_variant 0位	期望更改为sql_variant	实际备端为sql_variant 0位</t>
        </is>
      </c>
    </row>
    <row r="609">
      <c r="B609" s="0" t="inlineStr">
        <is>
          <t>NULL</t>
        </is>
      </c>
      <c r="C609" s="0" t="inlineStr">
        <is>
          <t>NULL</t>
        </is>
      </c>
      <c r="D609" s="0" t="inlineStr">
        <is>
          <t>NULL</t>
        </is>
      </c>
      <c r="E609" s="0" t="inlineStr">
        <is>
          <t>NULL</t>
        </is>
      </c>
      <c r="F609" s="0" t="inlineStr">
        <is>
          <t>NULL</t>
        </is>
      </c>
      <c r="G609" s="0" t="inlineStr">
        <is>
          <t>NULL</t>
        </is>
      </c>
      <c r="H609" s="0" t="inlineStr">
        <is>
          <t>NULL</t>
        </is>
      </c>
      <c r="I609" s="0" t="inlineStr">
        <is>
          <t>NULL</t>
        </is>
      </c>
      <c r="J609" s="0" t="inlineStr">
        <is>
          <t>NULL</t>
        </is>
      </c>
      <c r="K609" s="0" t="inlineStr">
        <is>
          <t>YES! 	 c_smallint列源备映射正确，源端为sql_variant 0位	期望更改为sql_variant	实际备端为sql_variant 0位</t>
        </is>
      </c>
    </row>
    <row r="610">
      <c r="B610" s="0" t="inlineStr">
        <is>
          <t>NULL</t>
        </is>
      </c>
      <c r="C610" s="0" t="inlineStr">
        <is>
          <t>NULL</t>
        </is>
      </c>
      <c r="D610" s="0" t="inlineStr">
        <is>
          <t>NULL</t>
        </is>
      </c>
      <c r="E610" s="0" t="inlineStr">
        <is>
          <t>NULL</t>
        </is>
      </c>
      <c r="F610" s="0" t="inlineStr">
        <is>
          <t>NULL</t>
        </is>
      </c>
      <c r="G610" s="0" t="inlineStr">
        <is>
          <t>NULL</t>
        </is>
      </c>
      <c r="H610" s="0" t="inlineStr">
        <is>
          <t>NULL</t>
        </is>
      </c>
      <c r="I610" s="0" t="inlineStr">
        <is>
          <t>NULL</t>
        </is>
      </c>
      <c r="J610" s="0" t="inlineStr">
        <is>
          <t>NULL</t>
        </is>
      </c>
      <c r="K610" s="0" t="inlineStr">
        <is>
          <t>YES! 	 c_int列源备映射正确，源端为sql_variant 0位	期望更改为sql_variant	实际备端为sql_variant 0位</t>
        </is>
      </c>
    </row>
    <row r="611">
      <c r="B611" s="0" t="inlineStr">
        <is>
          <t>NULL</t>
        </is>
      </c>
      <c r="C611" s="0" t="inlineStr">
        <is>
          <t>NULL</t>
        </is>
      </c>
      <c r="D611" s="0" t="inlineStr">
        <is>
          <t>NULL</t>
        </is>
      </c>
      <c r="E611" s="0" t="inlineStr">
        <is>
          <t>NULL</t>
        </is>
      </c>
      <c r="F611" s="0" t="inlineStr">
        <is>
          <t>NULL</t>
        </is>
      </c>
      <c r="G611" s="0" t="inlineStr">
        <is>
          <t>NULL</t>
        </is>
      </c>
      <c r="H611" s="0" t="inlineStr">
        <is>
          <t>NULL</t>
        </is>
      </c>
      <c r="I611" s="0" t="inlineStr">
        <is>
          <t>NULL</t>
        </is>
      </c>
      <c r="J611" s="0" t="inlineStr">
        <is>
          <t>NULL</t>
        </is>
      </c>
      <c r="K611" s="0" t="inlineStr">
        <is>
          <t>YES! 	 c_sdt列源备映射正确，源端为sql_variant 0位	期望更改为sql_variant	实际备端为sql_variant 0位</t>
        </is>
      </c>
    </row>
    <row r="612">
      <c r="B612" s="0" t="inlineStr">
        <is>
          <t>NULL</t>
        </is>
      </c>
      <c r="C612" s="0" t="inlineStr">
        <is>
          <t>NULL</t>
        </is>
      </c>
      <c r="D612" s="0" t="inlineStr">
        <is>
          <t>NULL</t>
        </is>
      </c>
      <c r="E612" s="0" t="inlineStr">
        <is>
          <t>NULL</t>
        </is>
      </c>
      <c r="F612" s="0" t="inlineStr">
        <is>
          <t>NULL</t>
        </is>
      </c>
      <c r="G612" s="0" t="inlineStr">
        <is>
          <t>NULL</t>
        </is>
      </c>
      <c r="H612" s="0" t="inlineStr">
        <is>
          <t>NULL</t>
        </is>
      </c>
      <c r="I612" s="0" t="inlineStr">
        <is>
          <t>NULL</t>
        </is>
      </c>
      <c r="J612" s="0" t="inlineStr">
        <is>
          <t>NULL</t>
        </is>
      </c>
      <c r="K612" s="0" t="inlineStr">
        <is>
          <t>YES! 	 c_real列源备映射正确，源端为sql_variant 0位	期望更改为sql_variant	实际备端为sql_variant 0位</t>
        </is>
      </c>
    </row>
    <row r="613">
      <c r="B613" s="0" t="inlineStr">
        <is>
          <t>NULL</t>
        </is>
      </c>
      <c r="C613" s="0" t="inlineStr">
        <is>
          <t>NULL</t>
        </is>
      </c>
      <c r="D613" s="0" t="inlineStr">
        <is>
          <t>NULL</t>
        </is>
      </c>
      <c r="E613" s="0" t="inlineStr">
        <is>
          <t>NULL</t>
        </is>
      </c>
      <c r="F613" s="0" t="inlineStr">
        <is>
          <t>NULL</t>
        </is>
      </c>
      <c r="G613" s="0" t="inlineStr">
        <is>
          <t>NULL</t>
        </is>
      </c>
      <c r="H613" s="0" t="inlineStr">
        <is>
          <t>NULL</t>
        </is>
      </c>
      <c r="I613" s="0" t="inlineStr">
        <is>
          <t>NULL</t>
        </is>
      </c>
      <c r="J613" s="0" t="inlineStr">
        <is>
          <t>NULL</t>
        </is>
      </c>
      <c r="K613" s="0" t="inlineStr">
        <is>
          <t>YES! 	 c_money列源备映射正确，源端为sql_variant 0位	期望更改为sql_variant	实际备端为sql_variant 0位</t>
        </is>
      </c>
    </row>
    <row r="614">
      <c r="B614" s="0" t="inlineStr">
        <is>
          <t>NULL</t>
        </is>
      </c>
      <c r="C614" s="0" t="inlineStr">
        <is>
          <t>NULL</t>
        </is>
      </c>
      <c r="D614" s="0" t="inlineStr">
        <is>
          <t>NULL</t>
        </is>
      </c>
      <c r="E614" s="0" t="inlineStr">
        <is>
          <t>NULL</t>
        </is>
      </c>
      <c r="F614" s="0" t="inlineStr">
        <is>
          <t>NULL</t>
        </is>
      </c>
      <c r="G614" s="0" t="inlineStr">
        <is>
          <t>NULL</t>
        </is>
      </c>
      <c r="H614" s="0" t="inlineStr">
        <is>
          <t>NULL</t>
        </is>
      </c>
      <c r="I614" s="0" t="inlineStr">
        <is>
          <t>NULL</t>
        </is>
      </c>
      <c r="J614" s="0" t="inlineStr">
        <is>
          <t>NULL</t>
        </is>
      </c>
      <c r="K614" s="0" t="inlineStr">
        <is>
          <t>YES! 	 c_datetime列源备映射正确，源端为sql_variant 0位	期望更改为sql_variant	实际备端为sql_variant 0位</t>
        </is>
      </c>
    </row>
    <row r="615">
      <c r="B615" s="0" t="inlineStr">
        <is>
          <t>NULL</t>
        </is>
      </c>
      <c r="C615" s="0" t="inlineStr">
        <is>
          <t>NULL</t>
        </is>
      </c>
      <c r="D615" s="0" t="inlineStr">
        <is>
          <t>NULL</t>
        </is>
      </c>
      <c r="E615" s="0" t="inlineStr">
        <is>
          <t>NULL</t>
        </is>
      </c>
      <c r="F615" s="0" t="inlineStr">
        <is>
          <t>NULL</t>
        </is>
      </c>
      <c r="G615" s="0" t="inlineStr">
        <is>
          <t>NULL</t>
        </is>
      </c>
      <c r="H615" s="0" t="inlineStr">
        <is>
          <t>NULL</t>
        </is>
      </c>
      <c r="I615" s="0" t="inlineStr">
        <is>
          <t>NULL</t>
        </is>
      </c>
      <c r="J615" s="0" t="inlineStr">
        <is>
          <t>NULL</t>
        </is>
      </c>
      <c r="K615" s="0" t="inlineStr">
        <is>
          <t>YES! 	 c_float列源备映射正确，源端为sql_variant 0位	期望更改为sql_variant	实际备端为sql_variant 0位</t>
        </is>
      </c>
    </row>
    <row r="616">
      <c r="B616" s="0" t="inlineStr">
        <is>
          <t>NULL</t>
        </is>
      </c>
      <c r="C616" s="0" t="inlineStr">
        <is>
          <t>NULL</t>
        </is>
      </c>
      <c r="D616" s="0" t="inlineStr">
        <is>
          <t>NULL</t>
        </is>
      </c>
      <c r="E616" s="0" t="inlineStr">
        <is>
          <t>NULL</t>
        </is>
      </c>
      <c r="F616" s="0" t="inlineStr">
        <is>
          <t>NULL</t>
        </is>
      </c>
      <c r="G616" s="0" t="inlineStr">
        <is>
          <t>NULL</t>
        </is>
      </c>
      <c r="H616" s="0" t="inlineStr">
        <is>
          <t>NULL</t>
        </is>
      </c>
      <c r="I616" s="0" t="inlineStr">
        <is>
          <t>NULL</t>
        </is>
      </c>
      <c r="J616" s="0" t="inlineStr">
        <is>
          <t>NULL</t>
        </is>
      </c>
      <c r="K616" s="0" t="inlineStr">
        <is>
          <t>YES! 	 c_bit列源备映射正确，源端为sql_variant 0位	期望更改为sql_variant	实际备端为sql_variant 0位</t>
        </is>
      </c>
    </row>
    <row r="617">
      <c r="B617" s="0" t="inlineStr">
        <is>
          <t>NULL</t>
        </is>
      </c>
      <c r="C617" s="0" t="inlineStr">
        <is>
          <t>NULL</t>
        </is>
      </c>
      <c r="D617" s="0" t="inlineStr">
        <is>
          <t>NULL</t>
        </is>
      </c>
      <c r="E617" s="0" t="inlineStr">
        <is>
          <t>NULL</t>
        </is>
      </c>
      <c r="F617" s="0" t="inlineStr">
        <is>
          <t>NULL</t>
        </is>
      </c>
      <c r="G617" s="0" t="inlineStr">
        <is>
          <t>NULL</t>
        </is>
      </c>
      <c r="H617" s="0" t="inlineStr">
        <is>
          <t>NULL</t>
        </is>
      </c>
      <c r="I617" s="0" t="inlineStr">
        <is>
          <t>NULL</t>
        </is>
      </c>
      <c r="J617" s="0" t="inlineStr">
        <is>
          <t>NULL</t>
        </is>
      </c>
      <c r="K617" s="0" t="inlineStr">
        <is>
          <t>YES! 	 c_decimal列源备映射正确，源端为sql_variant 0位	期望更改为sql_variant	实际备端为sql_variant 0位</t>
        </is>
      </c>
    </row>
    <row r="618">
      <c r="B618" s="0" t="inlineStr">
        <is>
          <t>NULL</t>
        </is>
      </c>
      <c r="C618" s="0" t="inlineStr">
        <is>
          <t>NULL</t>
        </is>
      </c>
      <c r="D618" s="0" t="inlineStr">
        <is>
          <t>NULL</t>
        </is>
      </c>
      <c r="E618" s="0" t="inlineStr">
        <is>
          <t>NULL</t>
        </is>
      </c>
      <c r="F618" s="0" t="inlineStr">
        <is>
          <t>NULL</t>
        </is>
      </c>
      <c r="G618" s="0" t="inlineStr">
        <is>
          <t>NULL</t>
        </is>
      </c>
      <c r="H618" s="0" t="inlineStr">
        <is>
          <t>NULL</t>
        </is>
      </c>
      <c r="I618" s="0" t="inlineStr">
        <is>
          <t>NULL</t>
        </is>
      </c>
      <c r="J618" s="0" t="inlineStr">
        <is>
          <t>NULL</t>
        </is>
      </c>
      <c r="K618" s="0" t="inlineStr">
        <is>
          <t>YES! 	 c_uniqueidentifier列源备映射正确，源端为sql_variant 0位	期望更改为sql_variant	实际备端为sql_variant 0位</t>
        </is>
      </c>
    </row>
    <row r="619">
      <c r="B619" s="0" t="inlineStr">
        <is>
          <t>NULL</t>
        </is>
      </c>
      <c r="C619" s="0" t="inlineStr">
        <is>
          <t>NULL</t>
        </is>
      </c>
      <c r="D619" s="0" t="inlineStr">
        <is>
          <t>NULL</t>
        </is>
      </c>
      <c r="E619" s="0" t="inlineStr">
        <is>
          <t>NULL</t>
        </is>
      </c>
      <c r="F619" s="0" t="inlineStr">
        <is>
          <t>NULL</t>
        </is>
      </c>
      <c r="G619" s="0" t="inlineStr">
        <is>
          <t>NULL</t>
        </is>
      </c>
      <c r="H619" s="0" t="inlineStr">
        <is>
          <t>NULL</t>
        </is>
      </c>
      <c r="I619" s="0" t="inlineStr">
        <is>
          <t>NULL</t>
        </is>
      </c>
      <c r="J619" s="0" t="inlineStr">
        <is>
          <t>NULL</t>
        </is>
      </c>
      <c r="K619" s="0" t="inlineStr">
        <is>
          <t>YES! 	 c_smallmoney列源备映射正确，源端为sql_variant 0位	期望更改为sql_variant	实际备端为sql_variant 0位</t>
        </is>
      </c>
    </row>
    <row r="620">
      <c r="B620" s="0" t="inlineStr">
        <is>
          <t>NULL</t>
        </is>
      </c>
      <c r="C620" s="0" t="inlineStr">
        <is>
          <t>NULL</t>
        </is>
      </c>
      <c r="D620" s="0" t="inlineStr">
        <is>
          <t>NULL</t>
        </is>
      </c>
      <c r="E620" s="0" t="inlineStr">
        <is>
          <t>NULL</t>
        </is>
      </c>
      <c r="F620" s="0" t="inlineStr">
        <is>
          <t>NULL</t>
        </is>
      </c>
      <c r="G620" s="0" t="inlineStr">
        <is>
          <t>NULL</t>
        </is>
      </c>
      <c r="H620" s="0" t="inlineStr">
        <is>
          <t>NULL</t>
        </is>
      </c>
      <c r="I620" s="0" t="inlineStr">
        <is>
          <t>NULL</t>
        </is>
      </c>
      <c r="J620" s="0" t="inlineStr">
        <is>
          <t>NULL</t>
        </is>
      </c>
      <c r="K620" s="0" t="inlineStr">
        <is>
          <t>YES! 	 c_bigint列源备映射正确，源端为sql_variant 0位	期望更改为sql_variant	实际备端为sql_variant 0位</t>
        </is>
      </c>
    </row>
    <row r="621">
      <c r="B621" s="0" t="inlineStr">
        <is>
          <t>NULL</t>
        </is>
      </c>
      <c r="C621" s="0" t="inlineStr">
        <is>
          <t>NULL</t>
        </is>
      </c>
      <c r="D621" s="0" t="inlineStr">
        <is>
          <t>NULL</t>
        </is>
      </c>
      <c r="E621" s="0" t="inlineStr">
        <is>
          <t>NULL</t>
        </is>
      </c>
      <c r="F621" s="0" t="inlineStr">
        <is>
          <t>NULL</t>
        </is>
      </c>
      <c r="G621" s="0" t="inlineStr">
        <is>
          <t>NULL</t>
        </is>
      </c>
      <c r="H621" s="0" t="inlineStr">
        <is>
          <t>NULL</t>
        </is>
      </c>
      <c r="I621" s="0" t="inlineStr">
        <is>
          <t>NULL</t>
        </is>
      </c>
      <c r="J621" s="0" t="inlineStr">
        <is>
          <t>NULL</t>
        </is>
      </c>
      <c r="K621" s="0" t="inlineStr">
        <is>
          <t>YES! 	 c_varbinary_20列源备映射正确，源端为sql_variant 0位	期望更改为sql_variant	实际备端为sql_variant 0位</t>
        </is>
      </c>
    </row>
    <row r="622">
      <c r="B622" s="0" t="inlineStr">
        <is>
          <t>NULL</t>
        </is>
      </c>
      <c r="C622" s="0" t="inlineStr">
        <is>
          <t>NULL</t>
        </is>
      </c>
      <c r="D622" s="0" t="inlineStr">
        <is>
          <t>NULL</t>
        </is>
      </c>
      <c r="E622" s="0" t="inlineStr">
        <is>
          <t>NULL</t>
        </is>
      </c>
      <c r="F622" s="0" t="inlineStr">
        <is>
          <t>NULL</t>
        </is>
      </c>
      <c r="G622" s="0" t="inlineStr">
        <is>
          <t>NULL</t>
        </is>
      </c>
      <c r="H622" s="0" t="inlineStr">
        <is>
          <t>NULL</t>
        </is>
      </c>
      <c r="I622" s="0" t="inlineStr">
        <is>
          <t>NULL</t>
        </is>
      </c>
      <c r="J622" s="0" t="inlineStr">
        <is>
          <t>NULL</t>
        </is>
      </c>
      <c r="K622" s="0" t="inlineStr">
        <is>
          <t>YES! 	 c_varchar_20列源备映射正确，源端为sql_variant 0位	期望更改为sql_variant	实际备端为sql_variant 0位</t>
        </is>
      </c>
    </row>
    <row r="623">
      <c r="B623" s="0" t="inlineStr">
        <is>
          <t>NULL</t>
        </is>
      </c>
      <c r="C623" s="0" t="inlineStr">
        <is>
          <t>NULL</t>
        </is>
      </c>
      <c r="D623" s="0" t="inlineStr">
        <is>
          <t>NULL</t>
        </is>
      </c>
      <c r="E623" s="0" t="inlineStr">
        <is>
          <t>NULL</t>
        </is>
      </c>
      <c r="F623" s="0" t="inlineStr">
        <is>
          <t>NULL</t>
        </is>
      </c>
      <c r="G623" s="0" t="inlineStr">
        <is>
          <t>NULL</t>
        </is>
      </c>
      <c r="H623" s="0" t="inlineStr">
        <is>
          <t>NULL</t>
        </is>
      </c>
      <c r="I623" s="0" t="inlineStr">
        <is>
          <t>NULL</t>
        </is>
      </c>
      <c r="J623" s="0" t="inlineStr">
        <is>
          <t>NULL</t>
        </is>
      </c>
      <c r="K623" s="0" t="inlineStr">
        <is>
          <t>YES! 	 c_binary_20列源备映射正确，源端为sql_variant 0位	期望更改为sql_variant	实际备端为sql_variant 0位</t>
        </is>
      </c>
    </row>
    <row r="624">
      <c r="B624" s="0" t="inlineStr">
        <is>
          <t>NULL</t>
        </is>
      </c>
      <c r="C624" s="0" t="inlineStr">
        <is>
          <t>NULL</t>
        </is>
      </c>
      <c r="D624" s="0" t="inlineStr">
        <is>
          <t>NULL</t>
        </is>
      </c>
      <c r="E624" s="0" t="inlineStr">
        <is>
          <t>NULL</t>
        </is>
      </c>
      <c r="F624" s="0" t="inlineStr">
        <is>
          <t>NULL</t>
        </is>
      </c>
      <c r="G624" s="0" t="inlineStr">
        <is>
          <t>NULL</t>
        </is>
      </c>
      <c r="H624" s="0" t="inlineStr">
        <is>
          <t>NULL</t>
        </is>
      </c>
      <c r="I624" s="0" t="inlineStr">
        <is>
          <t>NULL</t>
        </is>
      </c>
      <c r="J624" s="0" t="inlineStr">
        <is>
          <t>NULL</t>
        </is>
      </c>
      <c r="K624" s="0" t="inlineStr">
        <is>
          <t>YES! 	 c_char_20列源备映射正确，源端为sql_variant 0位	期望更改为sql_variant	实际备端为sql_variant 0位</t>
        </is>
      </c>
    </row>
    <row r="625">
      <c r="B625" s="0" t="inlineStr">
        <is>
          <t>NULL</t>
        </is>
      </c>
      <c r="C625" s="0" t="inlineStr">
        <is>
          <t>NULL</t>
        </is>
      </c>
      <c r="D625" s="0" t="inlineStr">
        <is>
          <t>NULL</t>
        </is>
      </c>
      <c r="E625" s="0" t="inlineStr">
        <is>
          <t>NULL</t>
        </is>
      </c>
      <c r="F625" s="0" t="inlineStr">
        <is>
          <t>NULL</t>
        </is>
      </c>
      <c r="G625" s="0" t="inlineStr">
        <is>
          <t>NULL</t>
        </is>
      </c>
      <c r="H625" s="0" t="inlineStr">
        <is>
          <t>NULL</t>
        </is>
      </c>
      <c r="I625" s="0" t="inlineStr">
        <is>
          <t>NULL</t>
        </is>
      </c>
      <c r="J625" s="0" t="inlineStr">
        <is>
          <t>NULL</t>
        </is>
      </c>
      <c r="K625" s="0" t="inlineStr">
        <is>
          <t>YES! 	 c_nvarchar_20列源备映射正确，源端为sql_variant 0位	期望更改为sql_variant	实际备端为sql_variant 0位</t>
        </is>
      </c>
    </row>
    <row r="626">
      <c r="B626" s="0" t="inlineStr">
        <is>
          <t>NULL</t>
        </is>
      </c>
      <c r="C626" s="0" t="inlineStr">
        <is>
          <t>NULL</t>
        </is>
      </c>
      <c r="D626" s="0" t="inlineStr">
        <is>
          <t>NULL</t>
        </is>
      </c>
      <c r="E626" s="0" t="inlineStr">
        <is>
          <t>NULL</t>
        </is>
      </c>
      <c r="F626" s="0" t="inlineStr">
        <is>
          <t>NULL</t>
        </is>
      </c>
      <c r="G626" s="0" t="inlineStr">
        <is>
          <t>NULL</t>
        </is>
      </c>
      <c r="H626" s="0" t="inlineStr">
        <is>
          <t>NULL</t>
        </is>
      </c>
      <c r="I626" s="0" t="inlineStr">
        <is>
          <t>NULL</t>
        </is>
      </c>
      <c r="J626" s="0" t="inlineStr">
        <is>
          <t>NULL</t>
        </is>
      </c>
      <c r="K626" s="0" t="inlineStr">
        <is>
          <t>YES! 	 c_nchar_20列源备映射正确，源端为sql_variant 0位	期望更改为sql_variant	实际备端为sql_variant 0位</t>
        </is>
      </c>
    </row>
    <row r="627">
      <c r="B627" s="0" t="inlineStr">
        <is>
          <t>NULL</t>
        </is>
      </c>
      <c r="C627" s="0" t="inlineStr">
        <is>
          <t>NULL</t>
        </is>
      </c>
      <c r="D627" s="0" t="inlineStr">
        <is>
          <t>NULL</t>
        </is>
      </c>
      <c r="E627" s="0" t="inlineStr">
        <is>
          <t>NULL</t>
        </is>
      </c>
      <c r="F627" s="0" t="inlineStr">
        <is>
          <t>NULL</t>
        </is>
      </c>
      <c r="G627" s="0" t="inlineStr">
        <is>
          <t>NULL</t>
        </is>
      </c>
      <c r="H627" s="0" t="inlineStr">
        <is>
          <t>NULL</t>
        </is>
      </c>
      <c r="I627" s="0" t="inlineStr">
        <is>
          <t>NULL</t>
        </is>
      </c>
      <c r="J627" s="0" t="inlineStr">
        <is>
          <t>NULL</t>
        </is>
      </c>
      <c r="K627" s="0" t="inlineStr">
        <is>
          <t>YES! 	 c_timestamp列源备映射正确，源端为timestamp None位	期望更改为timestamp	实际备端为timestamp None位</t>
        </is>
      </c>
    </row>
    <row r="628">
      <c r="A628" s="0" t="inlineStr">
        <is>
          <t>info_nvarchar_dml_single_pk_irp</t>
        </is>
      </c>
      <c r="K628" s="0" t="inlineStr">
        <is>
          <t>[0;34m info_nvarchar_dml_single_pk_irp [0m源备字段数相同，源端字段：4 	备端字段4</t>
        </is>
      </c>
      <c r="W628" s="0" t="inlineStr">
        <is>
          <t>YES 源备无差异</t>
        </is>
      </c>
      <c r="X628" s="0">
        <f>A628</f>
        <v/>
      </c>
    </row>
    <row r="629">
      <c r="B629" s="0" t="inlineStr">
        <is>
          <t>YES</t>
        </is>
      </c>
      <c r="C629" s="0" t="inlineStr">
        <is>
          <t>NULL</t>
        </is>
      </c>
      <c r="D629" s="0" t="inlineStr">
        <is>
          <t>NULL</t>
        </is>
      </c>
      <c r="E629" s="0" t="inlineStr">
        <is>
          <t>NULL</t>
        </is>
      </c>
      <c r="F629" s="0" t="inlineStr">
        <is>
          <t>NULL</t>
        </is>
      </c>
      <c r="G629" s="0" t="inlineStr">
        <is>
          <t>NULL</t>
        </is>
      </c>
      <c r="H629" s="0" t="inlineStr">
        <is>
          <t>NULL</t>
        </is>
      </c>
      <c r="I629" s="0" t="inlineStr">
        <is>
          <t>YES!PK__info_nva__3213E83F20750FC0</t>
        </is>
      </c>
      <c r="J629" s="0" t="inlineStr">
        <is>
          <t>YES! 主键相关索引</t>
        </is>
      </c>
      <c r="K629" s="0" t="inlineStr">
        <is>
          <t>YES! 	 id列源备映射正确，源端为int None位	期望更改为int	实际备端为int None位</t>
        </is>
      </c>
    </row>
    <row r="630">
      <c r="B630" s="0" t="inlineStr">
        <is>
          <t>NULL</t>
        </is>
      </c>
      <c r="C630" s="0" t="inlineStr">
        <is>
          <t>NULL</t>
        </is>
      </c>
      <c r="D630" s="0" t="inlineStr">
        <is>
          <t>NULL</t>
        </is>
      </c>
      <c r="E630" s="0" t="inlineStr">
        <is>
          <t>NULL</t>
        </is>
      </c>
      <c r="F630" s="0" t="inlineStr">
        <is>
          <t>NULL</t>
        </is>
      </c>
      <c r="G630" s="0" t="inlineStr">
        <is>
          <t>NULL</t>
        </is>
      </c>
      <c r="H630" s="0" t="inlineStr">
        <is>
          <t>NULL</t>
        </is>
      </c>
      <c r="I630" s="0" t="inlineStr">
        <is>
          <t>NULL</t>
        </is>
      </c>
      <c r="J630" s="0" t="inlineStr">
        <is>
          <t>NULL</t>
        </is>
      </c>
      <c r="K630" s="0" t="inlineStr">
        <is>
          <t>YES! 	 c_nvarchar列源备映射正确，源端为nvarchar 2位	期望更改为nvarchar(n)	实际备端为nvarchar 2位</t>
        </is>
      </c>
    </row>
    <row r="631">
      <c r="B631" s="0" t="inlineStr">
        <is>
          <t>NULL</t>
        </is>
      </c>
      <c r="C631" s="0" t="inlineStr">
        <is>
          <t>NULL</t>
        </is>
      </c>
      <c r="D631" s="0" t="inlineStr">
        <is>
          <t>NULL</t>
        </is>
      </c>
      <c r="E631" s="0" t="inlineStr">
        <is>
          <t>NULL</t>
        </is>
      </c>
      <c r="F631" s="0" t="inlineStr">
        <is>
          <t>NULL</t>
        </is>
      </c>
      <c r="G631" s="0" t="inlineStr">
        <is>
          <t>NULL</t>
        </is>
      </c>
      <c r="H631" s="0" t="inlineStr">
        <is>
          <t>NULL</t>
        </is>
      </c>
      <c r="I631" s="0" t="inlineStr">
        <is>
          <t>NULL</t>
        </is>
      </c>
      <c r="J631" s="0" t="inlineStr">
        <is>
          <t>NULL</t>
        </is>
      </c>
      <c r="K631" s="0" t="inlineStr">
        <is>
          <t>YES! 	 c_nvarchar20列源备映射正确，源端为nvarchar 40位	期望更改为nvarchar(n)	实际备端为nvarchar 40位</t>
        </is>
      </c>
    </row>
    <row r="632">
      <c r="B632" s="0" t="inlineStr">
        <is>
          <t>NULL</t>
        </is>
      </c>
      <c r="C632" s="0" t="inlineStr">
        <is>
          <t>NULL</t>
        </is>
      </c>
      <c r="D632" s="0" t="inlineStr">
        <is>
          <t>NULL</t>
        </is>
      </c>
      <c r="E632" s="0" t="inlineStr">
        <is>
          <t>NULL</t>
        </is>
      </c>
      <c r="F632" s="0" t="inlineStr">
        <is>
          <t>NULL</t>
        </is>
      </c>
      <c r="G632" s="0" t="inlineStr">
        <is>
          <t>NULL</t>
        </is>
      </c>
      <c r="H632" s="0" t="inlineStr">
        <is>
          <t>NULL</t>
        </is>
      </c>
      <c r="I632" s="0" t="inlineStr">
        <is>
          <t>NULL</t>
        </is>
      </c>
      <c r="J632" s="0" t="inlineStr">
        <is>
          <t>NULL</t>
        </is>
      </c>
      <c r="K632" s="0" t="inlineStr">
        <is>
          <t>YES! 	 c_nvarchar4000列源备映射正确，源端为nvarchar 8000位	期望更改为nvarchar(n)	实际备端为nvarchar 8000位</t>
        </is>
      </c>
    </row>
    <row r="633">
      <c r="A633" s="0" t="inlineStr">
        <is>
          <t>info_datetime_dml_batch1_pk_irp1</t>
        </is>
      </c>
      <c r="K633" s="0" t="inlineStr">
        <is>
          <t>[0;34m info_datetime_dml_batch1_pk_irp1 [0m源备字段数相同，源端字段：2 	备端字段2</t>
        </is>
      </c>
      <c r="W633" s="0" t="inlineStr">
        <is>
          <t>YES 源备无差异</t>
        </is>
      </c>
      <c r="X633" s="0">
        <f>A633</f>
        <v/>
      </c>
    </row>
    <row r="634">
      <c r="B634" s="0" t="inlineStr">
        <is>
          <t>YES</t>
        </is>
      </c>
      <c r="C634" s="0" t="inlineStr">
        <is>
          <t>NULL</t>
        </is>
      </c>
      <c r="D634" s="0" t="inlineStr">
        <is>
          <t>NULL</t>
        </is>
      </c>
      <c r="E634" s="0" t="inlineStr">
        <is>
          <t>NULL</t>
        </is>
      </c>
      <c r="F634" s="0" t="inlineStr">
        <is>
          <t>NULL</t>
        </is>
      </c>
      <c r="G634" s="0" t="inlineStr">
        <is>
          <t>NULL</t>
        </is>
      </c>
      <c r="H634" s="0" t="inlineStr">
        <is>
          <t>NULL</t>
        </is>
      </c>
      <c r="I634" s="0" t="inlineStr">
        <is>
          <t>YES!PK__info_dat__3213E83F68737736</t>
        </is>
      </c>
      <c r="J634" s="0" t="inlineStr">
        <is>
          <t>YES! 主键相关索引</t>
        </is>
      </c>
      <c r="K634" s="0" t="inlineStr">
        <is>
          <t>YES! 	 id列源备映射正确，源端为int None位	期望更改为int	实际备端为int None位</t>
        </is>
      </c>
    </row>
    <row r="635">
      <c r="B635" s="0" t="inlineStr">
        <is>
          <t>NULL</t>
        </is>
      </c>
      <c r="C635" s="0" t="inlineStr">
        <is>
          <t>NULL</t>
        </is>
      </c>
      <c r="D635" s="0" t="inlineStr">
        <is>
          <t>NULL</t>
        </is>
      </c>
      <c r="E635" s="0" t="inlineStr">
        <is>
          <t>NULL</t>
        </is>
      </c>
      <c r="F635" s="0" t="inlineStr">
        <is>
          <t>NULL</t>
        </is>
      </c>
      <c r="G635" s="0" t="inlineStr">
        <is>
          <t>NULL</t>
        </is>
      </c>
      <c r="H635" s="0" t="inlineStr">
        <is>
          <t>NULL</t>
        </is>
      </c>
      <c r="I635" s="0" t="inlineStr">
        <is>
          <t>NULL</t>
        </is>
      </c>
      <c r="J635" s="0" t="inlineStr">
        <is>
          <t>NULL</t>
        </is>
      </c>
      <c r="K635" s="0" t="inlineStr">
        <is>
          <t>YES! 	 c_datetime列源备映射正确，源端为datetime None位	期望更改为datetime	实际备端为datetime None位</t>
        </is>
      </c>
    </row>
    <row r="636">
      <c r="A636" s="0" t="inlineStr">
        <is>
          <t>info_varchar_dml_batch1_pk_urp2</t>
        </is>
      </c>
      <c r="K636" s="0" t="inlineStr">
        <is>
          <t>[0;34m info_varchar_dml_batch1_pk_urp2 [0m源备字段数相同，源端字段：4 	备端字段4</t>
        </is>
      </c>
      <c r="W636" s="0" t="inlineStr">
        <is>
          <t>YES 源备无差异</t>
        </is>
      </c>
      <c r="X636" s="0">
        <f>A636</f>
        <v/>
      </c>
    </row>
    <row r="637">
      <c r="B637" s="0" t="inlineStr">
        <is>
          <t>YES</t>
        </is>
      </c>
      <c r="C637" s="0" t="inlineStr">
        <is>
          <t>NULL</t>
        </is>
      </c>
      <c r="D637" s="0" t="inlineStr">
        <is>
          <t>NULL</t>
        </is>
      </c>
      <c r="E637" s="0" t="inlineStr">
        <is>
          <t>NULL</t>
        </is>
      </c>
      <c r="F637" s="0" t="inlineStr">
        <is>
          <t>NULL</t>
        </is>
      </c>
      <c r="G637" s="0" t="inlineStr">
        <is>
          <t>NULL</t>
        </is>
      </c>
      <c r="H637" s="0" t="inlineStr">
        <is>
          <t>NULL</t>
        </is>
      </c>
      <c r="I637" s="0" t="inlineStr">
        <is>
          <t>YES!PK__info_var__3213E83F4CFCFE42</t>
        </is>
      </c>
      <c r="J637" s="0" t="inlineStr">
        <is>
          <t>YES! 主键相关索引</t>
        </is>
      </c>
      <c r="K637" s="0" t="inlineStr">
        <is>
          <t>YES! 	 id列源备映射正确，源端为int None位	期望更改为int	实际备端为int None位</t>
        </is>
      </c>
    </row>
    <row r="638">
      <c r="B638" s="0" t="inlineStr">
        <is>
          <t>NULL</t>
        </is>
      </c>
      <c r="C638" s="0" t="inlineStr">
        <is>
          <t>NULL</t>
        </is>
      </c>
      <c r="D638" s="0" t="inlineStr">
        <is>
          <t>NULL</t>
        </is>
      </c>
      <c r="E638" s="0" t="inlineStr">
        <is>
          <t>NULL</t>
        </is>
      </c>
      <c r="F638" s="0" t="inlineStr">
        <is>
          <t>NULL</t>
        </is>
      </c>
      <c r="G638" s="0" t="inlineStr">
        <is>
          <t>NULL</t>
        </is>
      </c>
      <c r="H638" s="0" t="inlineStr">
        <is>
          <t>NULL</t>
        </is>
      </c>
      <c r="I638" s="0" t="inlineStr">
        <is>
          <t>NULL</t>
        </is>
      </c>
      <c r="J638" s="0" t="inlineStr">
        <is>
          <t>NULL</t>
        </is>
      </c>
      <c r="K638" s="0" t="inlineStr">
        <is>
          <t>YES! 	 c_varchar列源备映射正确，源端为varchar 1位	期望更改为varchar(n)	实际备端为varchar 1位</t>
        </is>
      </c>
    </row>
    <row r="639">
      <c r="B639" s="0" t="inlineStr">
        <is>
          <t>NULL</t>
        </is>
      </c>
      <c r="C639" s="0" t="inlineStr">
        <is>
          <t>NULL</t>
        </is>
      </c>
      <c r="D639" s="0" t="inlineStr">
        <is>
          <t>NULL</t>
        </is>
      </c>
      <c r="E639" s="0" t="inlineStr">
        <is>
          <t>NULL</t>
        </is>
      </c>
      <c r="F639" s="0" t="inlineStr">
        <is>
          <t>NULL</t>
        </is>
      </c>
      <c r="G639" s="0" t="inlineStr">
        <is>
          <t>NULL</t>
        </is>
      </c>
      <c r="H639" s="0" t="inlineStr">
        <is>
          <t>NULL</t>
        </is>
      </c>
      <c r="I639" s="0" t="inlineStr">
        <is>
          <t>NULL</t>
        </is>
      </c>
      <c r="J639" s="0" t="inlineStr">
        <is>
          <t>NULL</t>
        </is>
      </c>
      <c r="K639" s="0" t="inlineStr">
        <is>
          <t>YES! 	 c_varchar20列源备映射正确，源端为varchar 20位	期望更改为varchar(n)	实际备端为varchar 20位</t>
        </is>
      </c>
    </row>
    <row r="640">
      <c r="B640" s="0" t="inlineStr">
        <is>
          <t>NULL</t>
        </is>
      </c>
      <c r="C640" s="0" t="inlineStr">
        <is>
          <t>NULL</t>
        </is>
      </c>
      <c r="D640" s="0" t="inlineStr">
        <is>
          <t>NULL</t>
        </is>
      </c>
      <c r="E640" s="0" t="inlineStr">
        <is>
          <t>NULL</t>
        </is>
      </c>
      <c r="F640" s="0" t="inlineStr">
        <is>
          <t>NULL</t>
        </is>
      </c>
      <c r="G640" s="0" t="inlineStr">
        <is>
          <t>NULL</t>
        </is>
      </c>
      <c r="H640" s="0" t="inlineStr">
        <is>
          <t>NULL</t>
        </is>
      </c>
      <c r="I640" s="0" t="inlineStr">
        <is>
          <t>NULL</t>
        </is>
      </c>
      <c r="J640" s="0" t="inlineStr">
        <is>
          <t>NULL</t>
        </is>
      </c>
      <c r="K640" s="0" t="inlineStr">
        <is>
          <t>YES! 	 c_varchar7000列源备映射正确，源端为varchar 7000位	期望更改为varchar(n)	实际备端为varchar 7000位</t>
        </is>
      </c>
    </row>
    <row r="641">
      <c r="A641" s="0" t="inlineStr">
        <is>
          <t>info_text_dml_single_pk_irp</t>
        </is>
      </c>
      <c r="K641" s="0" t="inlineStr">
        <is>
          <t>[0;34m info_text_dml_single_pk_irp [0m源备字段数相同，源端字段：3 	备端字段3</t>
        </is>
      </c>
      <c r="W641" s="0" t="inlineStr">
        <is>
          <t>YES 源备无差异</t>
        </is>
      </c>
      <c r="X641" s="0">
        <f>A641</f>
        <v/>
      </c>
    </row>
    <row r="642">
      <c r="B642" s="0" t="inlineStr">
        <is>
          <t>YES</t>
        </is>
      </c>
      <c r="C642" s="0" t="inlineStr">
        <is>
          <t>NULL</t>
        </is>
      </c>
      <c r="D642" s="0" t="inlineStr">
        <is>
          <t>NULL</t>
        </is>
      </c>
      <c r="E642" s="0" t="inlineStr">
        <is>
          <t>NULL</t>
        </is>
      </c>
      <c r="F642" s="0" t="inlineStr">
        <is>
          <t>NULL</t>
        </is>
      </c>
      <c r="G642" s="0" t="inlineStr">
        <is>
          <t>NULL</t>
        </is>
      </c>
      <c r="H642" s="0" t="inlineStr">
        <is>
          <t>NULL</t>
        </is>
      </c>
      <c r="I642" s="0" t="inlineStr">
        <is>
          <t>YES!PK__info_tex__3213E83F50700C1A</t>
        </is>
      </c>
      <c r="J642" s="0" t="inlineStr">
        <is>
          <t>YES! 主键相关索引</t>
        </is>
      </c>
      <c r="K642" s="0" t="inlineStr">
        <is>
          <t>YES! 	 id列源备映射正确，源端为int None位	期望更改为int	实际备端为int None位</t>
        </is>
      </c>
    </row>
    <row r="643">
      <c r="B643" s="0" t="inlineStr">
        <is>
          <t>NULL</t>
        </is>
      </c>
      <c r="C643" s="0" t="inlineStr">
        <is>
          <t>NULL</t>
        </is>
      </c>
      <c r="D643" s="0" t="inlineStr">
        <is>
          <t>NULL</t>
        </is>
      </c>
      <c r="E643" s="0" t="inlineStr">
        <is>
          <t>NULL</t>
        </is>
      </c>
      <c r="F643" s="0" t="inlineStr">
        <is>
          <t>NULL</t>
        </is>
      </c>
      <c r="G643" s="0" t="inlineStr">
        <is>
          <t>NULL</t>
        </is>
      </c>
      <c r="H643" s="0" t="inlineStr">
        <is>
          <t>NULL</t>
        </is>
      </c>
      <c r="I643" s="0" t="inlineStr">
        <is>
          <t>NULL</t>
        </is>
      </c>
      <c r="J643" s="0" t="inlineStr">
        <is>
          <t>NULL</t>
        </is>
      </c>
      <c r="K643" s="0" t="inlineStr">
        <is>
          <t>YES! 	 c_text列源备映射正确，源端为text 2147483647位	期望更改为text	实际备端为text 2147483647位</t>
        </is>
      </c>
    </row>
    <row r="644">
      <c r="B644" s="0" t="inlineStr">
        <is>
          <t>NULL</t>
        </is>
      </c>
      <c r="C644" s="0" t="inlineStr">
        <is>
          <t>NULL</t>
        </is>
      </c>
      <c r="D644" s="0" t="inlineStr">
        <is>
          <t>NULL</t>
        </is>
      </c>
      <c r="E644" s="0" t="inlineStr">
        <is>
          <t>NULL</t>
        </is>
      </c>
      <c r="F644" s="0" t="inlineStr">
        <is>
          <t>NULL</t>
        </is>
      </c>
      <c r="G644" s="0" t="inlineStr">
        <is>
          <t>NULL</t>
        </is>
      </c>
      <c r="H644" s="0" t="inlineStr">
        <is>
          <t>NULL</t>
        </is>
      </c>
      <c r="I644" s="0" t="inlineStr">
        <is>
          <t>NULL</t>
        </is>
      </c>
      <c r="J644" s="0" t="inlineStr">
        <is>
          <t>NULL</t>
        </is>
      </c>
      <c r="K644" s="0" t="inlineStr">
        <is>
          <t>YES! 	 c_ntext列源备映射正确，源端为ntext 2147483646位	期望更改为ntext	实际备端为ntext 2147483646位</t>
        </is>
      </c>
    </row>
    <row r="645">
      <c r="A645" s="0" t="inlineStr">
        <is>
          <t>info_nvarchar_dml_single_pk_urp</t>
        </is>
      </c>
      <c r="K645" s="0" t="inlineStr">
        <is>
          <t>[0;34m info_nvarchar_dml_single_pk_urp [0m源备字段数相同，源端字段：4 	备端字段4</t>
        </is>
      </c>
      <c r="W645" s="0" t="inlineStr">
        <is>
          <t>YES 源备无差异</t>
        </is>
      </c>
      <c r="X645" s="0">
        <f>A645</f>
        <v/>
      </c>
    </row>
    <row r="646">
      <c r="B646" s="0" t="inlineStr">
        <is>
          <t>YES</t>
        </is>
      </c>
      <c r="C646" s="0" t="inlineStr">
        <is>
          <t>NULL</t>
        </is>
      </c>
      <c r="D646" s="0" t="inlineStr">
        <is>
          <t>NULL</t>
        </is>
      </c>
      <c r="E646" s="0" t="inlineStr">
        <is>
          <t>NULL</t>
        </is>
      </c>
      <c r="F646" s="0" t="inlineStr">
        <is>
          <t>NULL</t>
        </is>
      </c>
      <c r="G646" s="0" t="inlineStr">
        <is>
          <t>NULL</t>
        </is>
      </c>
      <c r="H646" s="0" t="inlineStr">
        <is>
          <t>NULL</t>
        </is>
      </c>
      <c r="I646" s="0" t="inlineStr">
        <is>
          <t>YES!PK__info_nva__3213E83F53891649</t>
        </is>
      </c>
      <c r="J646" s="0" t="inlineStr">
        <is>
          <t>YES! 主键相关索引</t>
        </is>
      </c>
      <c r="K646" s="0" t="inlineStr">
        <is>
          <t>YES! 	 id列源备映射正确，源端为int None位	期望更改为int	实际备端为int None位</t>
        </is>
      </c>
    </row>
    <row r="647">
      <c r="B647" s="0" t="inlineStr">
        <is>
          <t>NULL</t>
        </is>
      </c>
      <c r="C647" s="0" t="inlineStr">
        <is>
          <t>NULL</t>
        </is>
      </c>
      <c r="D647" s="0" t="inlineStr">
        <is>
          <t>NULL</t>
        </is>
      </c>
      <c r="E647" s="0" t="inlineStr">
        <is>
          <t>NULL</t>
        </is>
      </c>
      <c r="F647" s="0" t="inlineStr">
        <is>
          <t>NULL</t>
        </is>
      </c>
      <c r="G647" s="0" t="inlineStr">
        <is>
          <t>NULL</t>
        </is>
      </c>
      <c r="H647" s="0" t="inlineStr">
        <is>
          <t>NULL</t>
        </is>
      </c>
      <c r="I647" s="0" t="inlineStr">
        <is>
          <t>NULL</t>
        </is>
      </c>
      <c r="J647" s="0" t="inlineStr">
        <is>
          <t>NULL</t>
        </is>
      </c>
      <c r="K647" s="0" t="inlineStr">
        <is>
          <t>YES! 	 c_nvarchar列源备映射正确，源端为nvarchar 2位	期望更改为nvarchar(n)	实际备端为nvarchar 2位</t>
        </is>
      </c>
    </row>
    <row r="648">
      <c r="B648" s="0" t="inlineStr">
        <is>
          <t>NULL</t>
        </is>
      </c>
      <c r="C648" s="0" t="inlineStr">
        <is>
          <t>NULL</t>
        </is>
      </c>
      <c r="D648" s="0" t="inlineStr">
        <is>
          <t>NULL</t>
        </is>
      </c>
      <c r="E648" s="0" t="inlineStr">
        <is>
          <t>NULL</t>
        </is>
      </c>
      <c r="F648" s="0" t="inlineStr">
        <is>
          <t>NULL</t>
        </is>
      </c>
      <c r="G648" s="0" t="inlineStr">
        <is>
          <t>NULL</t>
        </is>
      </c>
      <c r="H648" s="0" t="inlineStr">
        <is>
          <t>NULL</t>
        </is>
      </c>
      <c r="I648" s="0" t="inlineStr">
        <is>
          <t>NULL</t>
        </is>
      </c>
      <c r="J648" s="0" t="inlineStr">
        <is>
          <t>NULL</t>
        </is>
      </c>
      <c r="K648" s="0" t="inlineStr">
        <is>
          <t>YES! 	 c_nvarchar20列源备映射正确，源端为nvarchar 40位	期望更改为nvarchar(n)	实际备端为nvarchar 40位</t>
        </is>
      </c>
    </row>
    <row r="649">
      <c r="B649" s="0" t="inlineStr">
        <is>
          <t>NULL</t>
        </is>
      </c>
      <c r="C649" s="0" t="inlineStr">
        <is>
          <t>NULL</t>
        </is>
      </c>
      <c r="D649" s="0" t="inlineStr">
        <is>
          <t>NULL</t>
        </is>
      </c>
      <c r="E649" s="0" t="inlineStr">
        <is>
          <t>NULL</t>
        </is>
      </c>
      <c r="F649" s="0" t="inlineStr">
        <is>
          <t>NULL</t>
        </is>
      </c>
      <c r="G649" s="0" t="inlineStr">
        <is>
          <t>NULL</t>
        </is>
      </c>
      <c r="H649" s="0" t="inlineStr">
        <is>
          <t>NULL</t>
        </is>
      </c>
      <c r="I649" s="0" t="inlineStr">
        <is>
          <t>NULL</t>
        </is>
      </c>
      <c r="J649" s="0" t="inlineStr">
        <is>
          <t>NULL</t>
        </is>
      </c>
      <c r="K649" s="0" t="inlineStr">
        <is>
          <t>YES! 	 c_nvarchar4000列源备映射正确，源端为nvarchar 8000位	期望更改为nvarchar(n)	实际备端为nvarchar 8000位</t>
        </is>
      </c>
    </row>
    <row r="650">
      <c r="A650" s="0" t="inlineStr">
        <is>
          <t>info_datetime_dml_batch1_pk_irp2</t>
        </is>
      </c>
      <c r="K650" s="0" t="inlineStr">
        <is>
          <t>[0;34m info_datetime_dml_batch1_pk_irp2 [0m源备字段数相同，源端字段：2 	备端字段2</t>
        </is>
      </c>
      <c r="W650" s="0" t="inlineStr">
        <is>
          <t>YES 源备无差异</t>
        </is>
      </c>
      <c r="X650" s="0">
        <f>A650</f>
        <v/>
      </c>
    </row>
    <row r="651">
      <c r="B651" s="0" t="inlineStr">
        <is>
          <t>YES</t>
        </is>
      </c>
      <c r="C651" s="0" t="inlineStr">
        <is>
          <t>NULL</t>
        </is>
      </c>
      <c r="D651" s="0" t="inlineStr">
        <is>
          <t>NULL</t>
        </is>
      </c>
      <c r="E651" s="0" t="inlineStr">
        <is>
          <t>NULL</t>
        </is>
      </c>
      <c r="F651" s="0" t="inlineStr">
        <is>
          <t>NULL</t>
        </is>
      </c>
      <c r="G651" s="0" t="inlineStr">
        <is>
          <t>NULL</t>
        </is>
      </c>
      <c r="H651" s="0" t="inlineStr">
        <is>
          <t>NULL</t>
        </is>
      </c>
      <c r="I651" s="0" t="inlineStr">
        <is>
          <t>YES!PK__info_dat__3213E83F21CD4C86</t>
        </is>
      </c>
      <c r="J651" s="0" t="inlineStr">
        <is>
          <t>YES! 主键相关索引</t>
        </is>
      </c>
      <c r="K651" s="0" t="inlineStr">
        <is>
          <t>YES! 	 id列源备映射正确，源端为int None位	期望更改为int	实际备端为int None位</t>
        </is>
      </c>
    </row>
    <row r="652">
      <c r="B652" s="0" t="inlineStr">
        <is>
          <t>NULL</t>
        </is>
      </c>
      <c r="C652" s="0" t="inlineStr">
        <is>
          <t>NULL</t>
        </is>
      </c>
      <c r="D652" s="0" t="inlineStr">
        <is>
          <t>NULL</t>
        </is>
      </c>
      <c r="E652" s="0" t="inlineStr">
        <is>
          <t>NULL</t>
        </is>
      </c>
      <c r="F652" s="0" t="inlineStr">
        <is>
          <t>NULL</t>
        </is>
      </c>
      <c r="G652" s="0" t="inlineStr">
        <is>
          <t>NULL</t>
        </is>
      </c>
      <c r="H652" s="0" t="inlineStr">
        <is>
          <t>NULL</t>
        </is>
      </c>
      <c r="I652" s="0" t="inlineStr">
        <is>
          <t>NULL</t>
        </is>
      </c>
      <c r="J652" s="0" t="inlineStr">
        <is>
          <t>NULL</t>
        </is>
      </c>
      <c r="K652" s="0" t="inlineStr">
        <is>
          <t>YES! 	 c_datetime列源备映射正确，源端为datetime None位	期望更改为datetime	实际备端为datetime None位</t>
        </is>
      </c>
    </row>
    <row r="653">
      <c r="A653" s="0" t="inlineStr">
        <is>
          <t>info_varchar_dml_batch1_pk_drp1</t>
        </is>
      </c>
      <c r="K653" s="0" t="inlineStr">
        <is>
          <t>[0;34m info_varchar_dml_batch1_pk_drp1 [0m源备字段数相同，源端字段：4 	备端字段4</t>
        </is>
      </c>
      <c r="W653" s="0" t="inlineStr">
        <is>
          <t>YES 源备无差异</t>
        </is>
      </c>
      <c r="X653" s="0">
        <f>A653</f>
        <v/>
      </c>
    </row>
    <row r="654">
      <c r="B654" s="0" t="inlineStr">
        <is>
          <t>YES</t>
        </is>
      </c>
      <c r="C654" s="0" t="inlineStr">
        <is>
          <t>NULL</t>
        </is>
      </c>
      <c r="D654" s="0" t="inlineStr">
        <is>
          <t>NULL</t>
        </is>
      </c>
      <c r="E654" s="0" t="inlineStr">
        <is>
          <t>NULL</t>
        </is>
      </c>
      <c r="F654" s="0" t="inlineStr">
        <is>
          <t>NULL</t>
        </is>
      </c>
      <c r="G654" s="0" t="inlineStr">
        <is>
          <t>NULL</t>
        </is>
      </c>
      <c r="H654" s="0" t="inlineStr">
        <is>
          <t>NULL</t>
        </is>
      </c>
      <c r="I654" s="0" t="inlineStr">
        <is>
          <t>YES!PK__info_var__3213E83F0FF499FE</t>
        </is>
      </c>
      <c r="J654" s="0" t="inlineStr">
        <is>
          <t>YES! 主键相关索引</t>
        </is>
      </c>
      <c r="K654" s="0" t="inlineStr">
        <is>
          <t>YES! 	 id列源备映射正确，源端为int None位	期望更改为int	实际备端为int None位</t>
        </is>
      </c>
    </row>
    <row r="655">
      <c r="B655" s="0" t="inlineStr">
        <is>
          <t>NULL</t>
        </is>
      </c>
      <c r="C655" s="0" t="inlineStr">
        <is>
          <t>NULL</t>
        </is>
      </c>
      <c r="D655" s="0" t="inlineStr">
        <is>
          <t>NULL</t>
        </is>
      </c>
      <c r="E655" s="0" t="inlineStr">
        <is>
          <t>NULL</t>
        </is>
      </c>
      <c r="F655" s="0" t="inlineStr">
        <is>
          <t>NULL</t>
        </is>
      </c>
      <c r="G655" s="0" t="inlineStr">
        <is>
          <t>NULL</t>
        </is>
      </c>
      <c r="H655" s="0" t="inlineStr">
        <is>
          <t>NULL</t>
        </is>
      </c>
      <c r="I655" s="0" t="inlineStr">
        <is>
          <t>NULL</t>
        </is>
      </c>
      <c r="J655" s="0" t="inlineStr">
        <is>
          <t>NULL</t>
        </is>
      </c>
      <c r="K655" s="0" t="inlineStr">
        <is>
          <t>YES! 	 c_varchar列源备映射正确，源端为varchar 1位	期望更改为varchar(n)	实际备端为varchar 1位</t>
        </is>
      </c>
    </row>
    <row r="656">
      <c r="B656" s="0" t="inlineStr">
        <is>
          <t>NULL</t>
        </is>
      </c>
      <c r="C656" s="0" t="inlineStr">
        <is>
          <t>NULL</t>
        </is>
      </c>
      <c r="D656" s="0" t="inlineStr">
        <is>
          <t>NULL</t>
        </is>
      </c>
      <c r="E656" s="0" t="inlineStr">
        <is>
          <t>NULL</t>
        </is>
      </c>
      <c r="F656" s="0" t="inlineStr">
        <is>
          <t>NULL</t>
        </is>
      </c>
      <c r="G656" s="0" t="inlineStr">
        <is>
          <t>NULL</t>
        </is>
      </c>
      <c r="H656" s="0" t="inlineStr">
        <is>
          <t>NULL</t>
        </is>
      </c>
      <c r="I656" s="0" t="inlineStr">
        <is>
          <t>NULL</t>
        </is>
      </c>
      <c r="J656" s="0" t="inlineStr">
        <is>
          <t>NULL</t>
        </is>
      </c>
      <c r="K656" s="0" t="inlineStr">
        <is>
          <t>YES! 	 c_varchar20列源备映射正确，源端为varchar 20位	期望更改为varchar(n)	实际备端为varchar 20位</t>
        </is>
      </c>
    </row>
    <row r="657">
      <c r="B657" s="0" t="inlineStr">
        <is>
          <t>NULL</t>
        </is>
      </c>
      <c r="C657" s="0" t="inlineStr">
        <is>
          <t>NULL</t>
        </is>
      </c>
      <c r="D657" s="0" t="inlineStr">
        <is>
          <t>NULL</t>
        </is>
      </c>
      <c r="E657" s="0" t="inlineStr">
        <is>
          <t>NULL</t>
        </is>
      </c>
      <c r="F657" s="0" t="inlineStr">
        <is>
          <t>NULL</t>
        </is>
      </c>
      <c r="G657" s="0" t="inlineStr">
        <is>
          <t>NULL</t>
        </is>
      </c>
      <c r="H657" s="0" t="inlineStr">
        <is>
          <t>NULL</t>
        </is>
      </c>
      <c r="I657" s="0" t="inlineStr">
        <is>
          <t>NULL</t>
        </is>
      </c>
      <c r="J657" s="0" t="inlineStr">
        <is>
          <t>NULL</t>
        </is>
      </c>
      <c r="K657" s="0" t="inlineStr">
        <is>
          <t>YES! 	 c_varchar7000列源备映射正确，源端为varchar 7000位	期望更改为varchar(n)	实际备端为varchar 7000位</t>
        </is>
      </c>
    </row>
    <row r="658">
      <c r="K658" s="0" t="inlineStr">
        <is>
          <t>~ 空表</t>
        </is>
      </c>
    </row>
    <row r="659">
      <c r="A659" s="0" t="inlineStr">
        <is>
          <t>info_text_dml_single_pk_urp</t>
        </is>
      </c>
      <c r="K659" s="0" t="inlineStr">
        <is>
          <t>[0;34m info_text_dml_single_pk_urp [0m源备字段数相同，源端字段：3 	备端字段3</t>
        </is>
      </c>
      <c r="W659" s="0" t="inlineStr">
        <is>
          <t>YES 源备无差异</t>
        </is>
      </c>
      <c r="X659" s="0">
        <f>A659</f>
        <v/>
      </c>
    </row>
    <row r="660">
      <c r="B660" s="0" t="inlineStr">
        <is>
          <t>YES</t>
        </is>
      </c>
      <c r="C660" s="0" t="inlineStr">
        <is>
          <t>NULL</t>
        </is>
      </c>
      <c r="D660" s="0" t="inlineStr">
        <is>
          <t>NULL</t>
        </is>
      </c>
      <c r="E660" s="0" t="inlineStr">
        <is>
          <t>NULL</t>
        </is>
      </c>
      <c r="F660" s="0" t="inlineStr">
        <is>
          <t>NULL</t>
        </is>
      </c>
      <c r="G660" s="0" t="inlineStr">
        <is>
          <t>NULL</t>
        </is>
      </c>
      <c r="H660" s="0" t="inlineStr">
        <is>
          <t>NULL</t>
        </is>
      </c>
      <c r="I660" s="0" t="inlineStr">
        <is>
          <t>YES!PK__info_tex__3213E83FEE1A52C4</t>
        </is>
      </c>
      <c r="J660" s="0" t="inlineStr">
        <is>
          <t>YES! 主键相关索引</t>
        </is>
      </c>
      <c r="K660" s="0" t="inlineStr">
        <is>
          <t>YES! 	 id列源备映射正确，源端为int None位	期望更改为int	实际备端为int None位</t>
        </is>
      </c>
    </row>
    <row r="661">
      <c r="B661" s="0" t="inlineStr">
        <is>
          <t>NULL</t>
        </is>
      </c>
      <c r="C661" s="0" t="inlineStr">
        <is>
          <t>NULL</t>
        </is>
      </c>
      <c r="D661" s="0" t="inlineStr">
        <is>
          <t>NULL</t>
        </is>
      </c>
      <c r="E661" s="0" t="inlineStr">
        <is>
          <t>NULL</t>
        </is>
      </c>
      <c r="F661" s="0" t="inlineStr">
        <is>
          <t>NULL</t>
        </is>
      </c>
      <c r="G661" s="0" t="inlineStr">
        <is>
          <t>NULL</t>
        </is>
      </c>
      <c r="H661" s="0" t="inlineStr">
        <is>
          <t>NULL</t>
        </is>
      </c>
      <c r="I661" s="0" t="inlineStr">
        <is>
          <t>NULL</t>
        </is>
      </c>
      <c r="J661" s="0" t="inlineStr">
        <is>
          <t>NULL</t>
        </is>
      </c>
      <c r="K661" s="0" t="inlineStr">
        <is>
          <t>YES! 	 c_text列源备映射正确，源端为text 2147483647位	期望更改为text	实际备端为text 2147483647位</t>
        </is>
      </c>
    </row>
    <row r="662">
      <c r="B662" s="0" t="inlineStr">
        <is>
          <t>NULL</t>
        </is>
      </c>
      <c r="C662" s="0" t="inlineStr">
        <is>
          <t>NULL</t>
        </is>
      </c>
      <c r="D662" s="0" t="inlineStr">
        <is>
          <t>NULL</t>
        </is>
      </c>
      <c r="E662" s="0" t="inlineStr">
        <is>
          <t>NULL</t>
        </is>
      </c>
      <c r="F662" s="0" t="inlineStr">
        <is>
          <t>NULL</t>
        </is>
      </c>
      <c r="G662" s="0" t="inlineStr">
        <is>
          <t>NULL</t>
        </is>
      </c>
      <c r="H662" s="0" t="inlineStr">
        <is>
          <t>NULL</t>
        </is>
      </c>
      <c r="I662" s="0" t="inlineStr">
        <is>
          <t>NULL</t>
        </is>
      </c>
      <c r="J662" s="0" t="inlineStr">
        <is>
          <t>NULL</t>
        </is>
      </c>
      <c r="K662" s="0" t="inlineStr">
        <is>
          <t>YES! 	 c_ntext列源备映射正确，源端为ntext 2147483646位	期望更改为ntext	实际备端为ntext 2147483646位</t>
        </is>
      </c>
    </row>
    <row r="663">
      <c r="A663" s="0" t="inlineStr">
        <is>
          <t>info_nvarchar_dml_single_pk_drp</t>
        </is>
      </c>
      <c r="K663" s="0" t="inlineStr">
        <is>
          <t>[0;34m info_nvarchar_dml_single_pk_drp [0m源备字段数相同，源端字段：4 	备端字段4</t>
        </is>
      </c>
      <c r="W663" s="0" t="inlineStr">
        <is>
          <t>YES 源备无差异</t>
        </is>
      </c>
      <c r="X663" s="0">
        <f>A663</f>
        <v/>
      </c>
    </row>
    <row r="664">
      <c r="B664" s="0" t="inlineStr">
        <is>
          <t>YES</t>
        </is>
      </c>
      <c r="C664" s="0" t="inlineStr">
        <is>
          <t>NULL</t>
        </is>
      </c>
      <c r="D664" s="0" t="inlineStr">
        <is>
          <t>NULL</t>
        </is>
      </c>
      <c r="E664" s="0" t="inlineStr">
        <is>
          <t>NULL</t>
        </is>
      </c>
      <c r="F664" s="0" t="inlineStr">
        <is>
          <t>NULL</t>
        </is>
      </c>
      <c r="G664" s="0" t="inlineStr">
        <is>
          <t>NULL</t>
        </is>
      </c>
      <c r="H664" s="0" t="inlineStr">
        <is>
          <t>NULL</t>
        </is>
      </c>
      <c r="I664" s="0" t="inlineStr">
        <is>
          <t>YES!PK__info_nva__3213E83FA5AB5E4B</t>
        </is>
      </c>
      <c r="J664" s="0" t="inlineStr">
        <is>
          <t>YES! 主键相关索引</t>
        </is>
      </c>
      <c r="K664" s="0" t="inlineStr">
        <is>
          <t>YES! 	 id列源备映射正确，源端为int None位	期望更改为int	实际备端为int None位</t>
        </is>
      </c>
    </row>
    <row r="665">
      <c r="B665" s="0" t="inlineStr">
        <is>
          <t>NULL</t>
        </is>
      </c>
      <c r="C665" s="0" t="inlineStr">
        <is>
          <t>NULL</t>
        </is>
      </c>
      <c r="D665" s="0" t="inlineStr">
        <is>
          <t>NULL</t>
        </is>
      </c>
      <c r="E665" s="0" t="inlineStr">
        <is>
          <t>NULL</t>
        </is>
      </c>
      <c r="F665" s="0" t="inlineStr">
        <is>
          <t>NULL</t>
        </is>
      </c>
      <c r="G665" s="0" t="inlineStr">
        <is>
          <t>NULL</t>
        </is>
      </c>
      <c r="H665" s="0" t="inlineStr">
        <is>
          <t>NULL</t>
        </is>
      </c>
      <c r="I665" s="0" t="inlineStr">
        <is>
          <t>NULL</t>
        </is>
      </c>
      <c r="J665" s="0" t="inlineStr">
        <is>
          <t>NULL</t>
        </is>
      </c>
      <c r="K665" s="0" t="inlineStr">
        <is>
          <t>YES! 	 c_nvarchar列源备映射正确，源端为nvarchar 2位	期望更改为nvarchar(n)	实际备端为nvarchar 2位</t>
        </is>
      </c>
    </row>
    <row r="666">
      <c r="B666" s="0" t="inlineStr">
        <is>
          <t>NULL</t>
        </is>
      </c>
      <c r="C666" s="0" t="inlineStr">
        <is>
          <t>NULL</t>
        </is>
      </c>
      <c r="D666" s="0" t="inlineStr">
        <is>
          <t>NULL</t>
        </is>
      </c>
      <c r="E666" s="0" t="inlineStr">
        <is>
          <t>NULL</t>
        </is>
      </c>
      <c r="F666" s="0" t="inlineStr">
        <is>
          <t>NULL</t>
        </is>
      </c>
      <c r="G666" s="0" t="inlineStr">
        <is>
          <t>NULL</t>
        </is>
      </c>
      <c r="H666" s="0" t="inlineStr">
        <is>
          <t>NULL</t>
        </is>
      </c>
      <c r="I666" s="0" t="inlineStr">
        <is>
          <t>NULL</t>
        </is>
      </c>
      <c r="J666" s="0" t="inlineStr">
        <is>
          <t>NULL</t>
        </is>
      </c>
      <c r="K666" s="0" t="inlineStr">
        <is>
          <t>YES! 	 c_nvarchar20列源备映射正确，源端为nvarchar 40位	期望更改为nvarchar(n)	实际备端为nvarchar 40位</t>
        </is>
      </c>
    </row>
    <row r="667">
      <c r="B667" s="0" t="inlineStr">
        <is>
          <t>NULL</t>
        </is>
      </c>
      <c r="C667" s="0" t="inlineStr">
        <is>
          <t>NULL</t>
        </is>
      </c>
      <c r="D667" s="0" t="inlineStr">
        <is>
          <t>NULL</t>
        </is>
      </c>
      <c r="E667" s="0" t="inlineStr">
        <is>
          <t>NULL</t>
        </is>
      </c>
      <c r="F667" s="0" t="inlineStr">
        <is>
          <t>NULL</t>
        </is>
      </c>
      <c r="G667" s="0" t="inlineStr">
        <is>
          <t>NULL</t>
        </is>
      </c>
      <c r="H667" s="0" t="inlineStr">
        <is>
          <t>NULL</t>
        </is>
      </c>
      <c r="I667" s="0" t="inlineStr">
        <is>
          <t>NULL</t>
        </is>
      </c>
      <c r="J667" s="0" t="inlineStr">
        <is>
          <t>NULL</t>
        </is>
      </c>
      <c r="K667" s="0" t="inlineStr">
        <is>
          <t>YES! 	 c_nvarchar4000列源备映射正确，源端为nvarchar 8000位	期望更改为nvarchar(n)	实际备端为nvarchar 8000位</t>
        </is>
      </c>
    </row>
    <row r="668">
      <c r="A668" s="0" t="inlineStr">
        <is>
          <t>info_nvarchar_dml_single_nopk_urp</t>
        </is>
      </c>
      <c r="K668" s="0" t="inlineStr">
        <is>
          <t>[0;34m info_nvarchar_dml_single_nopk_urp [0m源备字段数相同，源端字段：4 	备端字段4</t>
        </is>
      </c>
      <c r="W668" s="0" t="inlineStr">
        <is>
          <t>YES 源备无差异</t>
        </is>
      </c>
      <c r="X668" s="0">
        <f>A668</f>
        <v/>
      </c>
    </row>
    <row r="669">
      <c r="B669" s="0" t="inlineStr">
        <is>
          <t>NULL</t>
        </is>
      </c>
      <c r="C669" s="0" t="inlineStr">
        <is>
          <t>NULL</t>
        </is>
      </c>
      <c r="D669" s="0" t="inlineStr">
        <is>
          <t>NULL</t>
        </is>
      </c>
      <c r="E669" s="0" t="inlineStr">
        <is>
          <t>NULL</t>
        </is>
      </c>
      <c r="F669" s="0" t="inlineStr">
        <is>
          <t>NULL</t>
        </is>
      </c>
      <c r="G669" s="0" t="inlineStr">
        <is>
          <t>NULL</t>
        </is>
      </c>
      <c r="H669" s="0" t="inlineStr">
        <is>
          <t>NULL</t>
        </is>
      </c>
      <c r="I669" s="0" t="inlineStr">
        <is>
          <t>NULL</t>
        </is>
      </c>
      <c r="J669" s="0" t="inlineStr">
        <is>
          <t>NULL</t>
        </is>
      </c>
      <c r="K669" s="0" t="inlineStr">
        <is>
          <t>YES! 	 id列源备映射正确，源端为int None位	期望更改为int	实际备端为int None位</t>
        </is>
      </c>
    </row>
    <row r="670">
      <c r="B670" s="0" t="inlineStr">
        <is>
          <t>NULL</t>
        </is>
      </c>
      <c r="C670" s="0" t="inlineStr">
        <is>
          <t>NULL</t>
        </is>
      </c>
      <c r="D670" s="0" t="inlineStr">
        <is>
          <t>NULL</t>
        </is>
      </c>
      <c r="E670" s="0" t="inlineStr">
        <is>
          <t>NULL</t>
        </is>
      </c>
      <c r="F670" s="0" t="inlineStr">
        <is>
          <t>NULL</t>
        </is>
      </c>
      <c r="G670" s="0" t="inlineStr">
        <is>
          <t>NULL</t>
        </is>
      </c>
      <c r="H670" s="0" t="inlineStr">
        <is>
          <t>NULL</t>
        </is>
      </c>
      <c r="I670" s="0" t="inlineStr">
        <is>
          <t>NULL</t>
        </is>
      </c>
      <c r="J670" s="0" t="inlineStr">
        <is>
          <t>NULL</t>
        </is>
      </c>
      <c r="K670" s="0" t="inlineStr">
        <is>
          <t>YES! 	 c_nvarchar列源备映射正确，源端为nvarchar 2位	期望更改为nvarchar(n)	实际备端为nvarchar 2位</t>
        </is>
      </c>
    </row>
    <row r="671">
      <c r="B671" s="0" t="inlineStr">
        <is>
          <t>NULL</t>
        </is>
      </c>
      <c r="C671" s="0" t="inlineStr">
        <is>
          <t>NULL</t>
        </is>
      </c>
      <c r="D671" s="0" t="inlineStr">
        <is>
          <t>NULL</t>
        </is>
      </c>
      <c r="E671" s="0" t="inlineStr">
        <is>
          <t>NULL</t>
        </is>
      </c>
      <c r="F671" s="0" t="inlineStr">
        <is>
          <t>NULL</t>
        </is>
      </c>
      <c r="G671" s="0" t="inlineStr">
        <is>
          <t>NULL</t>
        </is>
      </c>
      <c r="H671" s="0" t="inlineStr">
        <is>
          <t>NULL</t>
        </is>
      </c>
      <c r="I671" s="0" t="inlineStr">
        <is>
          <t>NULL</t>
        </is>
      </c>
      <c r="J671" s="0" t="inlineStr">
        <is>
          <t>NULL</t>
        </is>
      </c>
      <c r="K671" s="0" t="inlineStr">
        <is>
          <t>YES! 	 c_nvarchar20列源备映射正确，源端为nvarchar 40位	期望更改为nvarchar(n)	实际备端为nvarchar 40位</t>
        </is>
      </c>
    </row>
    <row r="672">
      <c r="B672" s="0" t="inlineStr">
        <is>
          <t>NULL</t>
        </is>
      </c>
      <c r="C672" s="0" t="inlineStr">
        <is>
          <t>NULL</t>
        </is>
      </c>
      <c r="D672" s="0" t="inlineStr">
        <is>
          <t>NULL</t>
        </is>
      </c>
      <c r="E672" s="0" t="inlineStr">
        <is>
          <t>NULL</t>
        </is>
      </c>
      <c r="F672" s="0" t="inlineStr">
        <is>
          <t>NULL</t>
        </is>
      </c>
      <c r="G672" s="0" t="inlineStr">
        <is>
          <t>NULL</t>
        </is>
      </c>
      <c r="H672" s="0" t="inlineStr">
        <is>
          <t>NULL</t>
        </is>
      </c>
      <c r="I672" s="0" t="inlineStr">
        <is>
          <t>NULL</t>
        </is>
      </c>
      <c r="J672" s="0" t="inlineStr">
        <is>
          <t>NULL</t>
        </is>
      </c>
      <c r="K672" s="0" t="inlineStr">
        <is>
          <t>YES! 	 c_nvarchar4000列源备映射正确，源端为nvarchar 8000位	期望更改为nvarchar(n)	实际备端为nvarchar 8000位</t>
        </is>
      </c>
    </row>
    <row r="673">
      <c r="A673" s="0" t="inlineStr">
        <is>
          <t>info_datetime_dml_batch2_pk_irp1</t>
        </is>
      </c>
      <c r="K673" s="0" t="inlineStr">
        <is>
          <t>[0;34m info_datetime_dml_batch2_pk_irp1 [0m源备字段数相同，源端字段：2 	备端字段2</t>
        </is>
      </c>
      <c r="W673" s="0" t="inlineStr">
        <is>
          <t>YES 源备无差异</t>
        </is>
      </c>
      <c r="X673" s="0">
        <f>A673</f>
        <v/>
      </c>
    </row>
    <row r="674">
      <c r="B674" s="0" t="inlineStr">
        <is>
          <t>YES</t>
        </is>
      </c>
      <c r="C674" s="0" t="inlineStr">
        <is>
          <t>NULL</t>
        </is>
      </c>
      <c r="D674" s="0" t="inlineStr">
        <is>
          <t>NULL</t>
        </is>
      </c>
      <c r="E674" s="0" t="inlineStr">
        <is>
          <t>NULL</t>
        </is>
      </c>
      <c r="F674" s="0" t="inlineStr">
        <is>
          <t>NULL</t>
        </is>
      </c>
      <c r="G674" s="0" t="inlineStr">
        <is>
          <t>NULL</t>
        </is>
      </c>
      <c r="H674" s="0" t="inlineStr">
        <is>
          <t>NULL</t>
        </is>
      </c>
      <c r="I674" s="0" t="inlineStr">
        <is>
          <t>YES!PK__info_dat__3213E83F87685DE4</t>
        </is>
      </c>
      <c r="J674" s="0" t="inlineStr">
        <is>
          <t>YES! 主键相关索引</t>
        </is>
      </c>
      <c r="K674" s="0" t="inlineStr">
        <is>
          <t>YES! 	 id列源备映射正确，源端为int None位	期望更改为int	实际备端为int None位</t>
        </is>
      </c>
    </row>
    <row r="675">
      <c r="B675" s="0" t="inlineStr">
        <is>
          <t>NULL</t>
        </is>
      </c>
      <c r="C675" s="0" t="inlineStr">
        <is>
          <t>NULL</t>
        </is>
      </c>
      <c r="D675" s="0" t="inlineStr">
        <is>
          <t>NULL</t>
        </is>
      </c>
      <c r="E675" s="0" t="inlineStr">
        <is>
          <t>NULL</t>
        </is>
      </c>
      <c r="F675" s="0" t="inlineStr">
        <is>
          <t>NULL</t>
        </is>
      </c>
      <c r="G675" s="0" t="inlineStr">
        <is>
          <t>NULL</t>
        </is>
      </c>
      <c r="H675" s="0" t="inlineStr">
        <is>
          <t>NULL</t>
        </is>
      </c>
      <c r="I675" s="0" t="inlineStr">
        <is>
          <t>NULL</t>
        </is>
      </c>
      <c r="J675" s="0" t="inlineStr">
        <is>
          <t>NULL</t>
        </is>
      </c>
      <c r="K675" s="0" t="inlineStr">
        <is>
          <t>YES! 	 c_datetime列源备映射正确，源端为datetime None位	期望更改为datetime	实际备端为datetime None位</t>
        </is>
      </c>
    </row>
    <row r="676">
      <c r="A676" s="0" t="inlineStr">
        <is>
          <t>info_varchar_dml_batch1_pk_drp2</t>
        </is>
      </c>
      <c r="K676" s="0" t="inlineStr">
        <is>
          <t>[0;34m info_varchar_dml_batch1_pk_drp2 [0m源备字段数相同，源端字段：4 	备端字段4</t>
        </is>
      </c>
      <c r="W676" s="0" t="inlineStr">
        <is>
          <t>YES 源备无差异</t>
        </is>
      </c>
      <c r="X676" s="0">
        <f>A676</f>
        <v/>
      </c>
    </row>
    <row r="677">
      <c r="B677" s="0" t="inlineStr">
        <is>
          <t>YES</t>
        </is>
      </c>
      <c r="C677" s="0" t="inlineStr">
        <is>
          <t>NULL</t>
        </is>
      </c>
      <c r="D677" s="0" t="inlineStr">
        <is>
          <t>NULL</t>
        </is>
      </c>
      <c r="E677" s="0" t="inlineStr">
        <is>
          <t>NULL</t>
        </is>
      </c>
      <c r="F677" s="0" t="inlineStr">
        <is>
          <t>NULL</t>
        </is>
      </c>
      <c r="G677" s="0" t="inlineStr">
        <is>
          <t>NULL</t>
        </is>
      </c>
      <c r="H677" s="0" t="inlineStr">
        <is>
          <t>NULL</t>
        </is>
      </c>
      <c r="I677" s="0" t="inlineStr">
        <is>
          <t>YES!PK__info_var__3213E83F35EFE402</t>
        </is>
      </c>
      <c r="J677" s="0" t="inlineStr">
        <is>
          <t>YES! 主键相关索引</t>
        </is>
      </c>
      <c r="K677" s="0" t="inlineStr">
        <is>
          <t>YES! 	 id列源备映射正确，源端为int None位	期望更改为int	实际备端为int None位</t>
        </is>
      </c>
    </row>
    <row r="678">
      <c r="B678" s="0" t="inlineStr">
        <is>
          <t>NULL</t>
        </is>
      </c>
      <c r="C678" s="0" t="inlineStr">
        <is>
          <t>NULL</t>
        </is>
      </c>
      <c r="D678" s="0" t="inlineStr">
        <is>
          <t>NULL</t>
        </is>
      </c>
      <c r="E678" s="0" t="inlineStr">
        <is>
          <t>NULL</t>
        </is>
      </c>
      <c r="F678" s="0" t="inlineStr">
        <is>
          <t>NULL</t>
        </is>
      </c>
      <c r="G678" s="0" t="inlineStr">
        <is>
          <t>NULL</t>
        </is>
      </c>
      <c r="H678" s="0" t="inlineStr">
        <is>
          <t>NULL</t>
        </is>
      </c>
      <c r="I678" s="0" t="inlineStr">
        <is>
          <t>NULL</t>
        </is>
      </c>
      <c r="J678" s="0" t="inlineStr">
        <is>
          <t>NULL</t>
        </is>
      </c>
      <c r="K678" s="0" t="inlineStr">
        <is>
          <t>YES! 	 c_varchar列源备映射正确，源端为varchar 1位	期望更改为varchar(n)	实际备端为varchar 1位</t>
        </is>
      </c>
    </row>
    <row r="679">
      <c r="B679" s="0" t="inlineStr">
        <is>
          <t>NULL</t>
        </is>
      </c>
      <c r="C679" s="0" t="inlineStr">
        <is>
          <t>NULL</t>
        </is>
      </c>
      <c r="D679" s="0" t="inlineStr">
        <is>
          <t>NULL</t>
        </is>
      </c>
      <c r="E679" s="0" t="inlineStr">
        <is>
          <t>NULL</t>
        </is>
      </c>
      <c r="F679" s="0" t="inlineStr">
        <is>
          <t>NULL</t>
        </is>
      </c>
      <c r="G679" s="0" t="inlineStr">
        <is>
          <t>NULL</t>
        </is>
      </c>
      <c r="H679" s="0" t="inlineStr">
        <is>
          <t>NULL</t>
        </is>
      </c>
      <c r="I679" s="0" t="inlineStr">
        <is>
          <t>NULL</t>
        </is>
      </c>
      <c r="J679" s="0" t="inlineStr">
        <is>
          <t>NULL</t>
        </is>
      </c>
      <c r="K679" s="0" t="inlineStr">
        <is>
          <t>YES! 	 c_varchar20列源备映射正确，源端为varchar 20位	期望更改为varchar(n)	实际备端为varchar 20位</t>
        </is>
      </c>
    </row>
    <row r="680">
      <c r="B680" s="0" t="inlineStr">
        <is>
          <t>NULL</t>
        </is>
      </c>
      <c r="C680" s="0" t="inlineStr">
        <is>
          <t>NULL</t>
        </is>
      </c>
      <c r="D680" s="0" t="inlineStr">
        <is>
          <t>NULL</t>
        </is>
      </c>
      <c r="E680" s="0" t="inlineStr">
        <is>
          <t>NULL</t>
        </is>
      </c>
      <c r="F680" s="0" t="inlineStr">
        <is>
          <t>NULL</t>
        </is>
      </c>
      <c r="G680" s="0" t="inlineStr">
        <is>
          <t>NULL</t>
        </is>
      </c>
      <c r="H680" s="0" t="inlineStr">
        <is>
          <t>NULL</t>
        </is>
      </c>
      <c r="I680" s="0" t="inlineStr">
        <is>
          <t>NULL</t>
        </is>
      </c>
      <c r="J680" s="0" t="inlineStr">
        <is>
          <t>NULL</t>
        </is>
      </c>
      <c r="K680" s="0" t="inlineStr">
        <is>
          <t>YES! 	 c_varchar7000列源备映射正确，源端为varchar 7000位	期望更改为varchar(n)	实际备端为varchar 7000位</t>
        </is>
      </c>
    </row>
    <row r="681">
      <c r="A681" s="0" t="inlineStr">
        <is>
          <t>info_nvarchar_dml_single_nopk_drp</t>
        </is>
      </c>
      <c r="K681" s="0" t="inlineStr">
        <is>
          <t>[0;34m info_nvarchar_dml_single_nopk_drp [0m源备字段数相同，源端字段：4 	备端字段4</t>
        </is>
      </c>
      <c r="W681" s="0" t="inlineStr">
        <is>
          <t>YES 源备无差异</t>
        </is>
      </c>
      <c r="X681" s="0">
        <f>A681</f>
        <v/>
      </c>
    </row>
    <row r="682">
      <c r="B682" s="0" t="inlineStr">
        <is>
          <t>NULL</t>
        </is>
      </c>
      <c r="C682" s="0" t="inlineStr">
        <is>
          <t>NULL</t>
        </is>
      </c>
      <c r="D682" s="0" t="inlineStr">
        <is>
          <t>NULL</t>
        </is>
      </c>
      <c r="E682" s="0" t="inlineStr">
        <is>
          <t>NULL</t>
        </is>
      </c>
      <c r="F682" s="0" t="inlineStr">
        <is>
          <t>NULL</t>
        </is>
      </c>
      <c r="G682" s="0" t="inlineStr">
        <is>
          <t>NULL</t>
        </is>
      </c>
      <c r="H682" s="0" t="inlineStr">
        <is>
          <t>NULL</t>
        </is>
      </c>
      <c r="I682" s="0" t="inlineStr">
        <is>
          <t>NULL</t>
        </is>
      </c>
      <c r="J682" s="0" t="inlineStr">
        <is>
          <t>NULL</t>
        </is>
      </c>
      <c r="K682" s="0" t="inlineStr">
        <is>
          <t>YES! 	 id列源备映射正确，源端为int None位	期望更改为int	实际备端为int None位</t>
        </is>
      </c>
    </row>
    <row r="683">
      <c r="B683" s="0" t="inlineStr">
        <is>
          <t>NULL</t>
        </is>
      </c>
      <c r="C683" s="0" t="inlineStr">
        <is>
          <t>NULL</t>
        </is>
      </c>
      <c r="D683" s="0" t="inlineStr">
        <is>
          <t>NULL</t>
        </is>
      </c>
      <c r="E683" s="0" t="inlineStr">
        <is>
          <t>NULL</t>
        </is>
      </c>
      <c r="F683" s="0" t="inlineStr">
        <is>
          <t>NULL</t>
        </is>
      </c>
      <c r="G683" s="0" t="inlineStr">
        <is>
          <t>NULL</t>
        </is>
      </c>
      <c r="H683" s="0" t="inlineStr">
        <is>
          <t>NULL</t>
        </is>
      </c>
      <c r="I683" s="0" t="inlineStr">
        <is>
          <t>NULL</t>
        </is>
      </c>
      <c r="J683" s="0" t="inlineStr">
        <is>
          <t>NULL</t>
        </is>
      </c>
      <c r="K683" s="0" t="inlineStr">
        <is>
          <t>YES! 	 c_nvarchar列源备映射正确，源端为nvarchar 2位	期望更改为nvarchar(n)	实际备端为nvarchar 2位</t>
        </is>
      </c>
    </row>
    <row r="684">
      <c r="B684" s="0" t="inlineStr">
        <is>
          <t>NULL</t>
        </is>
      </c>
      <c r="C684" s="0" t="inlineStr">
        <is>
          <t>NULL</t>
        </is>
      </c>
      <c r="D684" s="0" t="inlineStr">
        <is>
          <t>NULL</t>
        </is>
      </c>
      <c r="E684" s="0" t="inlineStr">
        <is>
          <t>NULL</t>
        </is>
      </c>
      <c r="F684" s="0" t="inlineStr">
        <is>
          <t>NULL</t>
        </is>
      </c>
      <c r="G684" s="0" t="inlineStr">
        <is>
          <t>NULL</t>
        </is>
      </c>
      <c r="H684" s="0" t="inlineStr">
        <is>
          <t>NULL</t>
        </is>
      </c>
      <c r="I684" s="0" t="inlineStr">
        <is>
          <t>NULL</t>
        </is>
      </c>
      <c r="J684" s="0" t="inlineStr">
        <is>
          <t>NULL</t>
        </is>
      </c>
      <c r="K684" s="0" t="inlineStr">
        <is>
          <t>YES! 	 c_nvarchar20列源备映射正确，源端为nvarchar 40位	期望更改为nvarchar(n)	实际备端为nvarchar 40位</t>
        </is>
      </c>
    </row>
    <row r="685">
      <c r="B685" s="0" t="inlineStr">
        <is>
          <t>NULL</t>
        </is>
      </c>
      <c r="C685" s="0" t="inlineStr">
        <is>
          <t>NULL</t>
        </is>
      </c>
      <c r="D685" s="0" t="inlineStr">
        <is>
          <t>NULL</t>
        </is>
      </c>
      <c r="E685" s="0" t="inlineStr">
        <is>
          <t>NULL</t>
        </is>
      </c>
      <c r="F685" s="0" t="inlineStr">
        <is>
          <t>NULL</t>
        </is>
      </c>
      <c r="G685" s="0" t="inlineStr">
        <is>
          <t>NULL</t>
        </is>
      </c>
      <c r="H685" s="0" t="inlineStr">
        <is>
          <t>NULL</t>
        </is>
      </c>
      <c r="I685" s="0" t="inlineStr">
        <is>
          <t>NULL</t>
        </is>
      </c>
      <c r="J685" s="0" t="inlineStr">
        <is>
          <t>NULL</t>
        </is>
      </c>
      <c r="K685" s="0" t="inlineStr">
        <is>
          <t>YES! 	 c_nvarchar4000列源备映射正确，源端为nvarchar 8000位	期望更改为nvarchar(n)	实际备端为nvarchar 8000位</t>
        </is>
      </c>
    </row>
    <row r="686">
      <c r="A686" s="0" t="inlineStr">
        <is>
          <t>info_text_dml_single_pk_drp</t>
        </is>
      </c>
      <c r="K686" s="0" t="inlineStr">
        <is>
          <t>[0;34m info_text_dml_single_pk_drp [0m源备字段数相同，源端字段：3 	备端字段3</t>
        </is>
      </c>
      <c r="W686" s="0" t="inlineStr">
        <is>
          <t>YES 源备无差异</t>
        </is>
      </c>
      <c r="X686" s="0">
        <f>A686</f>
        <v/>
      </c>
    </row>
    <row r="687">
      <c r="B687" s="0" t="inlineStr">
        <is>
          <t>YES</t>
        </is>
      </c>
      <c r="C687" s="0" t="inlineStr">
        <is>
          <t>NULL</t>
        </is>
      </c>
      <c r="D687" s="0" t="inlineStr">
        <is>
          <t>NULL</t>
        </is>
      </c>
      <c r="E687" s="0" t="inlineStr">
        <is>
          <t>NULL</t>
        </is>
      </c>
      <c r="F687" s="0" t="inlineStr">
        <is>
          <t>NULL</t>
        </is>
      </c>
      <c r="G687" s="0" t="inlineStr">
        <is>
          <t>NULL</t>
        </is>
      </c>
      <c r="H687" s="0" t="inlineStr">
        <is>
          <t>NULL</t>
        </is>
      </c>
      <c r="I687" s="0" t="inlineStr">
        <is>
          <t>YES!PK__info_tex__3213E83FEC81611A</t>
        </is>
      </c>
      <c r="J687" s="0" t="inlineStr">
        <is>
          <t>YES! 主键相关索引</t>
        </is>
      </c>
      <c r="K687" s="0" t="inlineStr">
        <is>
          <t>YES! 	 id列源备映射正确，源端为int None位	期望更改为int	实际备端为int None位</t>
        </is>
      </c>
    </row>
    <row r="688">
      <c r="B688" s="0" t="inlineStr">
        <is>
          <t>NULL</t>
        </is>
      </c>
      <c r="C688" s="0" t="inlineStr">
        <is>
          <t>NULL</t>
        </is>
      </c>
      <c r="D688" s="0" t="inlineStr">
        <is>
          <t>NULL</t>
        </is>
      </c>
      <c r="E688" s="0" t="inlineStr">
        <is>
          <t>NULL</t>
        </is>
      </c>
      <c r="F688" s="0" t="inlineStr">
        <is>
          <t>NULL</t>
        </is>
      </c>
      <c r="G688" s="0" t="inlineStr">
        <is>
          <t>NULL</t>
        </is>
      </c>
      <c r="H688" s="0" t="inlineStr">
        <is>
          <t>NULL</t>
        </is>
      </c>
      <c r="I688" s="0" t="inlineStr">
        <is>
          <t>NULL</t>
        </is>
      </c>
      <c r="J688" s="0" t="inlineStr">
        <is>
          <t>NULL</t>
        </is>
      </c>
      <c r="K688" s="0" t="inlineStr">
        <is>
          <t>YES! 	 c_text列源备映射正确，源端为text 2147483647位	期望更改为text	实际备端为text 2147483647位</t>
        </is>
      </c>
    </row>
    <row r="689">
      <c r="B689" s="0" t="inlineStr">
        <is>
          <t>NULL</t>
        </is>
      </c>
      <c r="C689" s="0" t="inlineStr">
        <is>
          <t>NULL</t>
        </is>
      </c>
      <c r="D689" s="0" t="inlineStr">
        <is>
          <t>NULL</t>
        </is>
      </c>
      <c r="E689" s="0" t="inlineStr">
        <is>
          <t>NULL</t>
        </is>
      </c>
      <c r="F689" s="0" t="inlineStr">
        <is>
          <t>NULL</t>
        </is>
      </c>
      <c r="G689" s="0" t="inlineStr">
        <is>
          <t>NULL</t>
        </is>
      </c>
      <c r="H689" s="0" t="inlineStr">
        <is>
          <t>NULL</t>
        </is>
      </c>
      <c r="I689" s="0" t="inlineStr">
        <is>
          <t>NULL</t>
        </is>
      </c>
      <c r="J689" s="0" t="inlineStr">
        <is>
          <t>NULL</t>
        </is>
      </c>
      <c r="K689" s="0" t="inlineStr">
        <is>
          <t>YES! 	 c_ntext列源备映射正确，源端为ntext 2147483646位	期望更改为ntext	实际备端为ntext 2147483646位</t>
        </is>
      </c>
    </row>
    <row r="690">
      <c r="A690" s="0" t="inlineStr">
        <is>
          <t>info_nvarchar_dml_single_pk</t>
        </is>
      </c>
      <c r="K690" s="0" t="inlineStr">
        <is>
          <t>[0;34m info_nvarchar_dml_single_pk [0m源备字段数相同，源端字段：4 	备端字段4</t>
        </is>
      </c>
      <c r="W690" s="0" t="inlineStr">
        <is>
          <t>YES 源备无差异</t>
        </is>
      </c>
      <c r="X690" s="0">
        <f>A690</f>
        <v/>
      </c>
    </row>
    <row r="691">
      <c r="B691" s="0" t="inlineStr">
        <is>
          <t>YES</t>
        </is>
      </c>
      <c r="C691" s="0" t="inlineStr">
        <is>
          <t>NULL</t>
        </is>
      </c>
      <c r="D691" s="0" t="inlineStr">
        <is>
          <t>NULL</t>
        </is>
      </c>
      <c r="E691" s="0" t="inlineStr">
        <is>
          <t>NULL</t>
        </is>
      </c>
      <c r="F691" s="0" t="inlineStr">
        <is>
          <t>NULL</t>
        </is>
      </c>
      <c r="G691" s="0" t="inlineStr">
        <is>
          <t>NULL</t>
        </is>
      </c>
      <c r="H691" s="0" t="inlineStr">
        <is>
          <t>NULL</t>
        </is>
      </c>
      <c r="I691" s="0" t="inlineStr">
        <is>
          <t>YES!PK__info_nva__3213E83F88384AD8</t>
        </is>
      </c>
      <c r="J691" s="0" t="inlineStr">
        <is>
          <t>YES! 主键相关索引</t>
        </is>
      </c>
      <c r="K691" s="0" t="inlineStr">
        <is>
          <t>YES! 	 id列源备映射正确，源端为int None位	期望更改为int	实际备端为int None位</t>
        </is>
      </c>
    </row>
    <row r="692">
      <c r="B692" s="0" t="inlineStr">
        <is>
          <t>NULL</t>
        </is>
      </c>
      <c r="C692" s="0" t="inlineStr">
        <is>
          <t>NULL</t>
        </is>
      </c>
      <c r="D692" s="0" t="inlineStr">
        <is>
          <t>NULL</t>
        </is>
      </c>
      <c r="E692" s="0" t="inlineStr">
        <is>
          <t>NULL</t>
        </is>
      </c>
      <c r="F692" s="0" t="inlineStr">
        <is>
          <t>NULL</t>
        </is>
      </c>
      <c r="G692" s="0" t="inlineStr">
        <is>
          <t>NULL</t>
        </is>
      </c>
      <c r="H692" s="0" t="inlineStr">
        <is>
          <t>NULL</t>
        </is>
      </c>
      <c r="I692" s="0" t="inlineStr">
        <is>
          <t>NULL</t>
        </is>
      </c>
      <c r="J692" s="0" t="inlineStr">
        <is>
          <t>NULL</t>
        </is>
      </c>
      <c r="K692" s="0" t="inlineStr">
        <is>
          <t>YES! 	 c_nvarchar列源备映射正确，源端为nvarchar 2位	期望更改为nvarchar(n)	实际备端为nvarchar 2位</t>
        </is>
      </c>
    </row>
    <row r="693">
      <c r="B693" s="0" t="inlineStr">
        <is>
          <t>NULL</t>
        </is>
      </c>
      <c r="C693" s="0" t="inlineStr">
        <is>
          <t>NULL</t>
        </is>
      </c>
      <c r="D693" s="0" t="inlineStr">
        <is>
          <t>NULL</t>
        </is>
      </c>
      <c r="E693" s="0" t="inlineStr">
        <is>
          <t>NULL</t>
        </is>
      </c>
      <c r="F693" s="0" t="inlineStr">
        <is>
          <t>NULL</t>
        </is>
      </c>
      <c r="G693" s="0" t="inlineStr">
        <is>
          <t>NULL</t>
        </is>
      </c>
      <c r="H693" s="0" t="inlineStr">
        <is>
          <t>NULL</t>
        </is>
      </c>
      <c r="I693" s="0" t="inlineStr">
        <is>
          <t>NULL</t>
        </is>
      </c>
      <c r="J693" s="0" t="inlineStr">
        <is>
          <t>NULL</t>
        </is>
      </c>
      <c r="K693" s="0" t="inlineStr">
        <is>
          <t>YES! 	 c_nvarchar20列源备映射正确，源端为nvarchar 40位	期望更改为nvarchar(n)	实际备端为nvarchar 40位</t>
        </is>
      </c>
    </row>
    <row r="694">
      <c r="B694" s="0" t="inlineStr">
        <is>
          <t>NULL</t>
        </is>
      </c>
      <c r="C694" s="0" t="inlineStr">
        <is>
          <t>NULL</t>
        </is>
      </c>
      <c r="D694" s="0" t="inlineStr">
        <is>
          <t>NULL</t>
        </is>
      </c>
      <c r="E694" s="0" t="inlineStr">
        <is>
          <t>NULL</t>
        </is>
      </c>
      <c r="F694" s="0" t="inlineStr">
        <is>
          <t>NULL</t>
        </is>
      </c>
      <c r="G694" s="0" t="inlineStr">
        <is>
          <t>NULL</t>
        </is>
      </c>
      <c r="H694" s="0" t="inlineStr">
        <is>
          <t>NULL</t>
        </is>
      </c>
      <c r="I694" s="0" t="inlineStr">
        <is>
          <t>NULL</t>
        </is>
      </c>
      <c r="J694" s="0" t="inlineStr">
        <is>
          <t>NULL</t>
        </is>
      </c>
      <c r="K694" s="0" t="inlineStr">
        <is>
          <t>YES! 	 c_nvarchar4000列源备映射正确，源端为nvarchar 8000位	期望更改为nvarchar(n)	实际备端为nvarchar 8000位</t>
        </is>
      </c>
    </row>
    <row r="695">
      <c r="A695" s="0" t="inlineStr">
        <is>
          <t>info_datetime_dml_batch2_pk_irp2</t>
        </is>
      </c>
      <c r="K695" s="0" t="inlineStr">
        <is>
          <t>[0;34m info_datetime_dml_batch2_pk_irp2 [0m源备字段数相同，源端字段：2 	备端字段2</t>
        </is>
      </c>
      <c r="W695" s="0" t="inlineStr">
        <is>
          <t>YES 源备无差异</t>
        </is>
      </c>
      <c r="X695" s="0">
        <f>A695</f>
        <v/>
      </c>
    </row>
    <row r="696">
      <c r="B696" s="0" t="inlineStr">
        <is>
          <t>YES</t>
        </is>
      </c>
      <c r="C696" s="0" t="inlineStr">
        <is>
          <t>NULL</t>
        </is>
      </c>
      <c r="D696" s="0" t="inlineStr">
        <is>
          <t>NULL</t>
        </is>
      </c>
      <c r="E696" s="0" t="inlineStr">
        <is>
          <t>NULL</t>
        </is>
      </c>
      <c r="F696" s="0" t="inlineStr">
        <is>
          <t>NULL</t>
        </is>
      </c>
      <c r="G696" s="0" t="inlineStr">
        <is>
          <t>NULL</t>
        </is>
      </c>
      <c r="H696" s="0" t="inlineStr">
        <is>
          <t>NULL</t>
        </is>
      </c>
      <c r="I696" s="0" t="inlineStr">
        <is>
          <t>YES!PK__info_dat__3213E83F297599A4</t>
        </is>
      </c>
      <c r="J696" s="0" t="inlineStr">
        <is>
          <t>YES! 主键相关索引</t>
        </is>
      </c>
      <c r="K696" s="0" t="inlineStr">
        <is>
          <t>YES! 	 id列源备映射正确，源端为int None位	期望更改为int	实际备端为int None位</t>
        </is>
      </c>
    </row>
    <row r="697">
      <c r="B697" s="0" t="inlineStr">
        <is>
          <t>NULL</t>
        </is>
      </c>
      <c r="C697" s="0" t="inlineStr">
        <is>
          <t>NULL</t>
        </is>
      </c>
      <c r="D697" s="0" t="inlineStr">
        <is>
          <t>NULL</t>
        </is>
      </c>
      <c r="E697" s="0" t="inlineStr">
        <is>
          <t>NULL</t>
        </is>
      </c>
      <c r="F697" s="0" t="inlineStr">
        <is>
          <t>NULL</t>
        </is>
      </c>
      <c r="G697" s="0" t="inlineStr">
        <is>
          <t>NULL</t>
        </is>
      </c>
      <c r="H697" s="0" t="inlineStr">
        <is>
          <t>NULL</t>
        </is>
      </c>
      <c r="I697" s="0" t="inlineStr">
        <is>
          <t>NULL</t>
        </is>
      </c>
      <c r="J697" s="0" t="inlineStr">
        <is>
          <t>NULL</t>
        </is>
      </c>
      <c r="K697" s="0" t="inlineStr">
        <is>
          <t>YES! 	 c_datetime列源备映射正确，源端为datetime None位	期望更改为datetime	实际备端为datetime None位</t>
        </is>
      </c>
    </row>
    <row r="698">
      <c r="A698" s="0" t="inlineStr">
        <is>
          <t>info_varchar_dml_batch1_pk</t>
        </is>
      </c>
      <c r="K698" s="0" t="inlineStr">
        <is>
          <t>[0;34m info_varchar_dml_batch1_pk [0m源备字段数相同，源端字段：4 	备端字段4</t>
        </is>
      </c>
      <c r="W698" s="0" t="inlineStr">
        <is>
          <t>YES 源备无差异</t>
        </is>
      </c>
      <c r="X698" s="0">
        <f>A698</f>
        <v/>
      </c>
    </row>
    <row r="699">
      <c r="B699" s="0" t="inlineStr">
        <is>
          <t>YES</t>
        </is>
      </c>
      <c r="C699" s="0" t="inlineStr">
        <is>
          <t>NULL</t>
        </is>
      </c>
      <c r="D699" s="0" t="inlineStr">
        <is>
          <t>NULL</t>
        </is>
      </c>
      <c r="E699" s="0" t="inlineStr">
        <is>
          <t>NULL</t>
        </is>
      </c>
      <c r="F699" s="0" t="inlineStr">
        <is>
          <t>NULL</t>
        </is>
      </c>
      <c r="G699" s="0" t="inlineStr">
        <is>
          <t>NULL</t>
        </is>
      </c>
      <c r="H699" s="0" t="inlineStr">
        <is>
          <t>NULL</t>
        </is>
      </c>
      <c r="I699" s="0" t="inlineStr">
        <is>
          <t>YES!PK__info_var__3213E83FFA843D84</t>
        </is>
      </c>
      <c r="J699" s="0" t="inlineStr">
        <is>
          <t>YES! 主键相关索引</t>
        </is>
      </c>
      <c r="K699" s="0" t="inlineStr">
        <is>
          <t>YES! 	 id列源备映射正确，源端为int None位	期望更改为int	实际备端为int None位</t>
        </is>
      </c>
    </row>
    <row r="700">
      <c r="B700" s="0" t="inlineStr">
        <is>
          <t>NULL</t>
        </is>
      </c>
      <c r="C700" s="0" t="inlineStr">
        <is>
          <t>NULL</t>
        </is>
      </c>
      <c r="D700" s="0" t="inlineStr">
        <is>
          <t>NULL</t>
        </is>
      </c>
      <c r="E700" s="0" t="inlineStr">
        <is>
          <t>NULL</t>
        </is>
      </c>
      <c r="F700" s="0" t="inlineStr">
        <is>
          <t>NULL</t>
        </is>
      </c>
      <c r="G700" s="0" t="inlineStr">
        <is>
          <t>NULL</t>
        </is>
      </c>
      <c r="H700" s="0" t="inlineStr">
        <is>
          <t>NULL</t>
        </is>
      </c>
      <c r="I700" s="0" t="inlineStr">
        <is>
          <t>NULL</t>
        </is>
      </c>
      <c r="J700" s="0" t="inlineStr">
        <is>
          <t>NULL</t>
        </is>
      </c>
      <c r="K700" s="0" t="inlineStr">
        <is>
          <t>YES! 	 c_varchar列源备映射正确，源端为varchar 1位	期望更改为varchar(n)	实际备端为varchar 1位</t>
        </is>
      </c>
    </row>
    <row r="701">
      <c r="B701" s="0" t="inlineStr">
        <is>
          <t>NULL</t>
        </is>
      </c>
      <c r="C701" s="0" t="inlineStr">
        <is>
          <t>NULL</t>
        </is>
      </c>
      <c r="D701" s="0" t="inlineStr">
        <is>
          <t>NULL</t>
        </is>
      </c>
      <c r="E701" s="0" t="inlineStr">
        <is>
          <t>NULL</t>
        </is>
      </c>
      <c r="F701" s="0" t="inlineStr">
        <is>
          <t>NULL</t>
        </is>
      </c>
      <c r="G701" s="0" t="inlineStr">
        <is>
          <t>NULL</t>
        </is>
      </c>
      <c r="H701" s="0" t="inlineStr">
        <is>
          <t>NULL</t>
        </is>
      </c>
      <c r="I701" s="0" t="inlineStr">
        <is>
          <t>NULL</t>
        </is>
      </c>
      <c r="J701" s="0" t="inlineStr">
        <is>
          <t>NULL</t>
        </is>
      </c>
      <c r="K701" s="0" t="inlineStr">
        <is>
          <t>YES! 	 c_varchar20列源备映射正确，源端为varchar 20位	期望更改为varchar(n)	实际备端为varchar 20位</t>
        </is>
      </c>
    </row>
    <row r="702">
      <c r="B702" s="0" t="inlineStr">
        <is>
          <t>NULL</t>
        </is>
      </c>
      <c r="C702" s="0" t="inlineStr">
        <is>
          <t>NULL</t>
        </is>
      </c>
      <c r="D702" s="0" t="inlineStr">
        <is>
          <t>NULL</t>
        </is>
      </c>
      <c r="E702" s="0" t="inlineStr">
        <is>
          <t>NULL</t>
        </is>
      </c>
      <c r="F702" s="0" t="inlineStr">
        <is>
          <t>NULL</t>
        </is>
      </c>
      <c r="G702" s="0" t="inlineStr">
        <is>
          <t>NULL</t>
        </is>
      </c>
      <c r="H702" s="0" t="inlineStr">
        <is>
          <t>NULL</t>
        </is>
      </c>
      <c r="I702" s="0" t="inlineStr">
        <is>
          <t>NULL</t>
        </is>
      </c>
      <c r="J702" s="0" t="inlineStr">
        <is>
          <t>NULL</t>
        </is>
      </c>
      <c r="K702" s="0" t="inlineStr">
        <is>
          <t>YES! 	 c_varchar7000列源备映射正确，源端为varchar 7000位	期望更改为varchar(n)	实际备端为varchar 7000位</t>
        </is>
      </c>
    </row>
    <row r="703">
      <c r="A703" s="0" t="inlineStr">
        <is>
          <t>info_text_dml_single_pk</t>
        </is>
      </c>
      <c r="K703" s="0" t="inlineStr">
        <is>
          <t>[0;34m info_text_dml_single_pk [0m源备字段数相同，源端字段：3 	备端字段3</t>
        </is>
      </c>
      <c r="W703" s="0" t="inlineStr">
        <is>
          <t>YES 源备无差异</t>
        </is>
      </c>
      <c r="X703" s="0">
        <f>A703</f>
        <v/>
      </c>
    </row>
    <row r="704">
      <c r="B704" s="0" t="inlineStr">
        <is>
          <t>YES</t>
        </is>
      </c>
      <c r="C704" s="0" t="inlineStr">
        <is>
          <t>NULL</t>
        </is>
      </c>
      <c r="D704" s="0" t="inlineStr">
        <is>
          <t>NULL</t>
        </is>
      </c>
      <c r="E704" s="0" t="inlineStr">
        <is>
          <t>NULL</t>
        </is>
      </c>
      <c r="F704" s="0" t="inlineStr">
        <is>
          <t>NULL</t>
        </is>
      </c>
      <c r="G704" s="0" t="inlineStr">
        <is>
          <t>NULL</t>
        </is>
      </c>
      <c r="H704" s="0" t="inlineStr">
        <is>
          <t>NULL</t>
        </is>
      </c>
      <c r="I704" s="0" t="inlineStr">
        <is>
          <t>YES!PK__info_tex__3213E83F041B8173</t>
        </is>
      </c>
      <c r="J704" s="0" t="inlineStr">
        <is>
          <t>YES! 主键相关索引</t>
        </is>
      </c>
      <c r="K704" s="0" t="inlineStr">
        <is>
          <t>YES! 	 id列源备映射正确，源端为int None位	期望更改为int	实际备端为int None位</t>
        </is>
      </c>
    </row>
    <row r="705">
      <c r="B705" s="0" t="inlineStr">
        <is>
          <t>NULL</t>
        </is>
      </c>
      <c r="C705" s="0" t="inlineStr">
        <is>
          <t>NULL</t>
        </is>
      </c>
      <c r="D705" s="0" t="inlineStr">
        <is>
          <t>NULL</t>
        </is>
      </c>
      <c r="E705" s="0" t="inlineStr">
        <is>
          <t>NULL</t>
        </is>
      </c>
      <c r="F705" s="0" t="inlineStr">
        <is>
          <t>NULL</t>
        </is>
      </c>
      <c r="G705" s="0" t="inlineStr">
        <is>
          <t>NULL</t>
        </is>
      </c>
      <c r="H705" s="0" t="inlineStr">
        <is>
          <t>NULL</t>
        </is>
      </c>
      <c r="I705" s="0" t="inlineStr">
        <is>
          <t>NULL</t>
        </is>
      </c>
      <c r="J705" s="0" t="inlineStr">
        <is>
          <t>NULL</t>
        </is>
      </c>
      <c r="K705" s="0" t="inlineStr">
        <is>
          <t>YES! 	 c_text列源备映射正确，源端为text 2147483647位	期望更改为text	实际备端为text 2147483647位</t>
        </is>
      </c>
    </row>
    <row r="706">
      <c r="B706" s="0" t="inlineStr">
        <is>
          <t>NULL</t>
        </is>
      </c>
      <c r="C706" s="0" t="inlineStr">
        <is>
          <t>NULL</t>
        </is>
      </c>
      <c r="D706" s="0" t="inlineStr">
        <is>
          <t>NULL</t>
        </is>
      </c>
      <c r="E706" s="0" t="inlineStr">
        <is>
          <t>NULL</t>
        </is>
      </c>
      <c r="F706" s="0" t="inlineStr">
        <is>
          <t>NULL</t>
        </is>
      </c>
      <c r="G706" s="0" t="inlineStr">
        <is>
          <t>NULL</t>
        </is>
      </c>
      <c r="H706" s="0" t="inlineStr">
        <is>
          <t>NULL</t>
        </is>
      </c>
      <c r="I706" s="0" t="inlineStr">
        <is>
          <t>NULL</t>
        </is>
      </c>
      <c r="J706" s="0" t="inlineStr">
        <is>
          <t>NULL</t>
        </is>
      </c>
      <c r="K706" s="0" t="inlineStr">
        <is>
          <t>YES! 	 c_ntext列源备映射正确，源端为ntext 2147483646位	期望更改为ntext	实际备端为ntext 2147483646位</t>
        </is>
      </c>
    </row>
    <row r="707">
      <c r="K707" s="0" t="inlineStr">
        <is>
          <t>~ 空表</t>
        </is>
      </c>
    </row>
    <row r="708">
      <c r="A708" s="0" t="inlineStr">
        <is>
          <t>info_varcharmax_dml_single_pk_irp</t>
        </is>
      </c>
      <c r="K708" s="0" t="inlineStr">
        <is>
          <t>[0;34m info_varcharmax_dml_single_pk_irp [0m源备字段数相同，源端字段：3 	备端字段3</t>
        </is>
      </c>
      <c r="W708" s="0" t="inlineStr">
        <is>
          <t>YES 源备无差异</t>
        </is>
      </c>
      <c r="X708" s="0">
        <f>A708</f>
        <v/>
      </c>
    </row>
    <row r="709">
      <c r="B709" s="0" t="inlineStr">
        <is>
          <t>YES</t>
        </is>
      </c>
      <c r="C709" s="0" t="inlineStr">
        <is>
          <t>NULL</t>
        </is>
      </c>
      <c r="D709" s="0" t="inlineStr">
        <is>
          <t>NULL</t>
        </is>
      </c>
      <c r="E709" s="0" t="inlineStr">
        <is>
          <t>NULL</t>
        </is>
      </c>
      <c r="F709" s="0" t="inlineStr">
        <is>
          <t>NULL</t>
        </is>
      </c>
      <c r="G709" s="0" t="inlineStr">
        <is>
          <t>NULL</t>
        </is>
      </c>
      <c r="H709" s="0" t="inlineStr">
        <is>
          <t>NULL</t>
        </is>
      </c>
      <c r="I709" s="0" t="inlineStr">
        <is>
          <t>YES!PK__info_var__3213E83F850C6496</t>
        </is>
      </c>
      <c r="J709" s="0" t="inlineStr">
        <is>
          <t>YES! 主键相关索引</t>
        </is>
      </c>
      <c r="K709" s="0" t="inlineStr">
        <is>
          <t>YES! 	 id列源备映射正确，源端为int None位	期望更改为int	实际备端为int None位</t>
        </is>
      </c>
    </row>
    <row r="710">
      <c r="B710" s="0" t="inlineStr">
        <is>
          <t>NULL</t>
        </is>
      </c>
      <c r="C710" s="0" t="inlineStr">
        <is>
          <t>NULL</t>
        </is>
      </c>
      <c r="D710" s="0" t="inlineStr">
        <is>
          <t>NULL</t>
        </is>
      </c>
      <c r="E710" s="0" t="inlineStr">
        <is>
          <t>NULL</t>
        </is>
      </c>
      <c r="F710" s="0" t="inlineStr">
        <is>
          <t>NULL</t>
        </is>
      </c>
      <c r="G710" s="0" t="inlineStr">
        <is>
          <t>NULL</t>
        </is>
      </c>
      <c r="H710" s="0" t="inlineStr">
        <is>
          <t>NULL</t>
        </is>
      </c>
      <c r="I710" s="0" t="inlineStr">
        <is>
          <t>NULL</t>
        </is>
      </c>
      <c r="J710" s="0" t="inlineStr">
        <is>
          <t>NULL</t>
        </is>
      </c>
      <c r="K710" s="0" t="inlineStr">
        <is>
          <t>YES! 	 c_varchar_max列源备映射正确，源端为varchar -1位	期望更改为varchar(n)	实际备端为varchar -1位</t>
        </is>
      </c>
    </row>
    <row r="711">
      <c r="B711" s="0" t="inlineStr">
        <is>
          <t>NULL</t>
        </is>
      </c>
      <c r="C711" s="0" t="inlineStr">
        <is>
          <t>NULL</t>
        </is>
      </c>
      <c r="D711" s="0" t="inlineStr">
        <is>
          <t>NULL</t>
        </is>
      </c>
      <c r="E711" s="0" t="inlineStr">
        <is>
          <t>NULL</t>
        </is>
      </c>
      <c r="F711" s="0" t="inlineStr">
        <is>
          <t>NULL</t>
        </is>
      </c>
      <c r="G711" s="0" t="inlineStr">
        <is>
          <t>NULL</t>
        </is>
      </c>
      <c r="H711" s="0" t="inlineStr">
        <is>
          <t>NULL</t>
        </is>
      </c>
      <c r="I711" s="0" t="inlineStr">
        <is>
          <t>NULL</t>
        </is>
      </c>
      <c r="J711" s="0" t="inlineStr">
        <is>
          <t>NULL</t>
        </is>
      </c>
      <c r="K711" s="0" t="inlineStr">
        <is>
          <t>YES! 	 c_nvarchar_max列源备映射正确，源端为nvarchar -1位	期望更改为nvarchar(n)	实际备端为nvarchar -1位</t>
        </is>
      </c>
    </row>
    <row r="712">
      <c r="A712" s="0" t="inlineStr">
        <is>
          <t>info_datetime_dml_batch1_pk_urp1</t>
        </is>
      </c>
      <c r="K712" s="0" t="inlineStr">
        <is>
          <t>[0;34m info_datetime_dml_batch1_pk_urp1 [0m源备字段数相同，源端字段：2 	备端字段2</t>
        </is>
      </c>
      <c r="W712" s="0" t="inlineStr">
        <is>
          <t>YES 源备无差异</t>
        </is>
      </c>
      <c r="X712" s="0">
        <f>A712</f>
        <v/>
      </c>
    </row>
    <row r="713">
      <c r="B713" s="0" t="inlineStr">
        <is>
          <t>YES</t>
        </is>
      </c>
      <c r="C713" s="0" t="inlineStr">
        <is>
          <t>NULL</t>
        </is>
      </c>
      <c r="D713" s="0" t="inlineStr">
        <is>
          <t>NULL</t>
        </is>
      </c>
      <c r="E713" s="0" t="inlineStr">
        <is>
          <t>NULL</t>
        </is>
      </c>
      <c r="F713" s="0" t="inlineStr">
        <is>
          <t>NULL</t>
        </is>
      </c>
      <c r="G713" s="0" t="inlineStr">
        <is>
          <t>NULL</t>
        </is>
      </c>
      <c r="H713" s="0" t="inlineStr">
        <is>
          <t>NULL</t>
        </is>
      </c>
      <c r="I713" s="0" t="inlineStr">
        <is>
          <t>YES!PK__info_dat__3213E83FFC5CACE2</t>
        </is>
      </c>
      <c r="J713" s="0" t="inlineStr">
        <is>
          <t>YES! 主键相关索引</t>
        </is>
      </c>
      <c r="K713" s="0" t="inlineStr">
        <is>
          <t>YES! 	 id列源备映射正确，源端为int None位	期望更改为int	实际备端为int None位</t>
        </is>
      </c>
    </row>
    <row r="714">
      <c r="B714" s="0" t="inlineStr">
        <is>
          <t>NULL</t>
        </is>
      </c>
      <c r="C714" s="0" t="inlineStr">
        <is>
          <t>NULL</t>
        </is>
      </c>
      <c r="D714" s="0" t="inlineStr">
        <is>
          <t>NULL</t>
        </is>
      </c>
      <c r="E714" s="0" t="inlineStr">
        <is>
          <t>NULL</t>
        </is>
      </c>
      <c r="F714" s="0" t="inlineStr">
        <is>
          <t>NULL</t>
        </is>
      </c>
      <c r="G714" s="0" t="inlineStr">
        <is>
          <t>NULL</t>
        </is>
      </c>
      <c r="H714" s="0" t="inlineStr">
        <is>
          <t>NULL</t>
        </is>
      </c>
      <c r="I714" s="0" t="inlineStr">
        <is>
          <t>NULL</t>
        </is>
      </c>
      <c r="J714" s="0" t="inlineStr">
        <is>
          <t>NULL</t>
        </is>
      </c>
      <c r="K714" s="0" t="inlineStr">
        <is>
          <t>YES! 	 c_datetime列源备映射正确，源端为datetime None位	期望更改为datetime	实际备端为datetime None位</t>
        </is>
      </c>
    </row>
    <row r="715">
      <c r="A715" s="0" t="inlineStr">
        <is>
          <t>info_nchar_dml_batch1_pk_irp1</t>
        </is>
      </c>
      <c r="K715" s="0" t="inlineStr">
        <is>
          <t>[0;34m info_nchar_dml_batch1_pk_irp1 [0m源备字段数相同，源端字段：4 	备端字段4</t>
        </is>
      </c>
      <c r="W715" s="0" t="inlineStr">
        <is>
          <t>YES 源备无差异</t>
        </is>
      </c>
      <c r="X715" s="0">
        <f>A715</f>
        <v/>
      </c>
    </row>
    <row r="716">
      <c r="B716" s="0" t="inlineStr">
        <is>
          <t>YES</t>
        </is>
      </c>
      <c r="C716" s="0" t="inlineStr">
        <is>
          <t>NULL</t>
        </is>
      </c>
      <c r="D716" s="0" t="inlineStr">
        <is>
          <t>NULL</t>
        </is>
      </c>
      <c r="E716" s="0" t="inlineStr">
        <is>
          <t>NULL</t>
        </is>
      </c>
      <c r="F716" s="0" t="inlineStr">
        <is>
          <t>NULL</t>
        </is>
      </c>
      <c r="G716" s="0" t="inlineStr">
        <is>
          <t>NULL</t>
        </is>
      </c>
      <c r="H716" s="0" t="inlineStr">
        <is>
          <t>NULL</t>
        </is>
      </c>
      <c r="I716" s="0" t="inlineStr">
        <is>
          <t>YES!PK__info_nch__3213E83F3F983448</t>
        </is>
      </c>
      <c r="J716" s="0" t="inlineStr">
        <is>
          <t>YES! 主键相关索引</t>
        </is>
      </c>
      <c r="K716" s="0" t="inlineStr">
        <is>
          <t>YES! 	 id列源备映射正确，源端为int None位	期望更改为int	实际备端为int None位</t>
        </is>
      </c>
    </row>
    <row r="717">
      <c r="B717" s="0" t="inlineStr">
        <is>
          <t>NULL</t>
        </is>
      </c>
      <c r="C717" s="0" t="inlineStr">
        <is>
          <t>NULL</t>
        </is>
      </c>
      <c r="D717" s="0" t="inlineStr">
        <is>
          <t>NULL</t>
        </is>
      </c>
      <c r="E717" s="0" t="inlineStr">
        <is>
          <t>NULL</t>
        </is>
      </c>
      <c r="F717" s="0" t="inlineStr">
        <is>
          <t>NULL</t>
        </is>
      </c>
      <c r="G717" s="0" t="inlineStr">
        <is>
          <t>NULL</t>
        </is>
      </c>
      <c r="H717" s="0" t="inlineStr">
        <is>
          <t>NULL</t>
        </is>
      </c>
      <c r="I717" s="0" t="inlineStr">
        <is>
          <t>NULL</t>
        </is>
      </c>
      <c r="J717" s="0" t="inlineStr">
        <is>
          <t>NULL</t>
        </is>
      </c>
      <c r="K717" s="0" t="inlineStr">
        <is>
          <t>YES! 	 c_nchar列源备映射正确，源端为nchar 2位	期望更改为nchar(n)	实际备端为nchar 2位</t>
        </is>
      </c>
    </row>
    <row r="718">
      <c r="B718" s="0" t="inlineStr">
        <is>
          <t>NULL</t>
        </is>
      </c>
      <c r="C718" s="0" t="inlineStr">
        <is>
          <t>NULL</t>
        </is>
      </c>
      <c r="D718" s="0" t="inlineStr">
        <is>
          <t>NULL</t>
        </is>
      </c>
      <c r="E718" s="0" t="inlineStr">
        <is>
          <t>NULL</t>
        </is>
      </c>
      <c r="F718" s="0" t="inlineStr">
        <is>
          <t>NULL</t>
        </is>
      </c>
      <c r="G718" s="0" t="inlineStr">
        <is>
          <t>NULL</t>
        </is>
      </c>
      <c r="H718" s="0" t="inlineStr">
        <is>
          <t>NULL</t>
        </is>
      </c>
      <c r="I718" s="0" t="inlineStr">
        <is>
          <t>NULL</t>
        </is>
      </c>
      <c r="J718" s="0" t="inlineStr">
        <is>
          <t>NULL</t>
        </is>
      </c>
      <c r="K718" s="0" t="inlineStr">
        <is>
          <t>YES! 	 c_nchar20列源备映射正确，源端为nchar 40位	期望更改为nchar(n)	实际备端为nchar 40位</t>
        </is>
      </c>
    </row>
    <row r="719">
      <c r="B719" s="0" t="inlineStr">
        <is>
          <t>NULL</t>
        </is>
      </c>
      <c r="C719" s="0" t="inlineStr">
        <is>
          <t>NULL</t>
        </is>
      </c>
      <c r="D719" s="0" t="inlineStr">
        <is>
          <t>NULL</t>
        </is>
      </c>
      <c r="E719" s="0" t="inlineStr">
        <is>
          <t>NULL</t>
        </is>
      </c>
      <c r="F719" s="0" t="inlineStr">
        <is>
          <t>NULL</t>
        </is>
      </c>
      <c r="G719" s="0" t="inlineStr">
        <is>
          <t>NULL</t>
        </is>
      </c>
      <c r="H719" s="0" t="inlineStr">
        <is>
          <t>NULL</t>
        </is>
      </c>
      <c r="I719" s="0" t="inlineStr">
        <is>
          <t>NULL</t>
        </is>
      </c>
      <c r="J719" s="0" t="inlineStr">
        <is>
          <t>NULL</t>
        </is>
      </c>
      <c r="K719" s="0" t="inlineStr">
        <is>
          <t>YES! 	 c_nchar4000列源备映射正确，源端为nchar 8000位	期望更改为nchar(n)	实际备端为nchar 8000位</t>
        </is>
      </c>
    </row>
    <row r="720">
      <c r="A720" s="0" t="inlineStr">
        <is>
          <t>info_date_dml_single_pk_irp</t>
        </is>
      </c>
      <c r="K720" s="0" t="inlineStr">
        <is>
          <t>[0;34m info_date_dml_single_pk_irp [0m源备字段数相同，源端字段：2 	备端字段2</t>
        </is>
      </c>
      <c r="W720" s="0" t="inlineStr">
        <is>
          <t>YES 源备无差异</t>
        </is>
      </c>
      <c r="X720" s="0">
        <f>A720</f>
        <v/>
      </c>
    </row>
    <row r="721">
      <c r="B721" s="0" t="inlineStr">
        <is>
          <t>YES</t>
        </is>
      </c>
      <c r="C721" s="0" t="inlineStr">
        <is>
          <t>NULL</t>
        </is>
      </c>
      <c r="D721" s="0" t="inlineStr">
        <is>
          <t>NULL</t>
        </is>
      </c>
      <c r="E721" s="0" t="inlineStr">
        <is>
          <t>NULL</t>
        </is>
      </c>
      <c r="F721" s="0" t="inlineStr">
        <is>
          <t>NULL</t>
        </is>
      </c>
      <c r="G721" s="0" t="inlineStr">
        <is>
          <t>NULL</t>
        </is>
      </c>
      <c r="H721" s="0" t="inlineStr">
        <is>
          <t>NULL</t>
        </is>
      </c>
      <c r="I721" s="0" t="inlineStr">
        <is>
          <t>YES!PK__info_dat__3213E83FA4D0597A</t>
        </is>
      </c>
      <c r="J721" s="0" t="inlineStr">
        <is>
          <t>YES! 主键相关索引</t>
        </is>
      </c>
      <c r="K721" s="0" t="inlineStr">
        <is>
          <t>YES! 	 id列源备映射正确，源端为int None位	期望更改为int	实际备端为int None位</t>
        </is>
      </c>
    </row>
    <row r="722">
      <c r="B722" s="0" t="inlineStr">
        <is>
          <t>NULL</t>
        </is>
      </c>
      <c r="C722" s="0" t="inlineStr">
        <is>
          <t>NULL</t>
        </is>
      </c>
      <c r="D722" s="0" t="inlineStr">
        <is>
          <t>NULL</t>
        </is>
      </c>
      <c r="E722" s="0" t="inlineStr">
        <is>
          <t>NULL</t>
        </is>
      </c>
      <c r="F722" s="0" t="inlineStr">
        <is>
          <t>NULL</t>
        </is>
      </c>
      <c r="G722" s="0" t="inlineStr">
        <is>
          <t>NULL</t>
        </is>
      </c>
      <c r="H722" s="0" t="inlineStr">
        <is>
          <t>NULL</t>
        </is>
      </c>
      <c r="I722" s="0" t="inlineStr">
        <is>
          <t>NULL</t>
        </is>
      </c>
      <c r="J722" s="0" t="inlineStr">
        <is>
          <t>NULL</t>
        </is>
      </c>
      <c r="K722" s="0" t="inlineStr">
        <is>
          <t>YES! 	 c_date列源备映射正确，源端为date None位	期望更改为date	实际备端为date None位</t>
        </is>
      </c>
    </row>
    <row r="723">
      <c r="A723" s="0" t="inlineStr">
        <is>
          <t>info_varcharmax_dml_single_pk_urp</t>
        </is>
      </c>
      <c r="K723" s="0" t="inlineStr">
        <is>
          <t>[0;34m info_varcharmax_dml_single_pk_urp [0m源备字段数相同，源端字段：3 	备端字段3</t>
        </is>
      </c>
      <c r="W723" s="0" t="inlineStr">
        <is>
          <t>YES 源备无差异</t>
        </is>
      </c>
      <c r="X723" s="0">
        <f>A723</f>
        <v/>
      </c>
    </row>
    <row r="724">
      <c r="B724" s="0" t="inlineStr">
        <is>
          <t>YES</t>
        </is>
      </c>
      <c r="C724" s="0" t="inlineStr">
        <is>
          <t>NULL</t>
        </is>
      </c>
      <c r="D724" s="0" t="inlineStr">
        <is>
          <t>NULL</t>
        </is>
      </c>
      <c r="E724" s="0" t="inlineStr">
        <is>
          <t>NULL</t>
        </is>
      </c>
      <c r="F724" s="0" t="inlineStr">
        <is>
          <t>NULL</t>
        </is>
      </c>
      <c r="G724" s="0" t="inlineStr">
        <is>
          <t>NULL</t>
        </is>
      </c>
      <c r="H724" s="0" t="inlineStr">
        <is>
          <t>NULL</t>
        </is>
      </c>
      <c r="I724" s="0" t="inlineStr">
        <is>
          <t>YES!PK__info_var__3213E83FDD33FE7B</t>
        </is>
      </c>
      <c r="J724" s="0" t="inlineStr">
        <is>
          <t>YES! 主键相关索引</t>
        </is>
      </c>
      <c r="K724" s="0" t="inlineStr">
        <is>
          <t>YES! 	 id列源备映射正确，源端为int None位	期望更改为int	实际备端为int None位</t>
        </is>
      </c>
    </row>
    <row r="725">
      <c r="B725" s="0" t="inlineStr">
        <is>
          <t>NULL</t>
        </is>
      </c>
      <c r="C725" s="0" t="inlineStr">
        <is>
          <t>NULL</t>
        </is>
      </c>
      <c r="D725" s="0" t="inlineStr">
        <is>
          <t>NULL</t>
        </is>
      </c>
      <c r="E725" s="0" t="inlineStr">
        <is>
          <t>NULL</t>
        </is>
      </c>
      <c r="F725" s="0" t="inlineStr">
        <is>
          <t>NULL</t>
        </is>
      </c>
      <c r="G725" s="0" t="inlineStr">
        <is>
          <t>NULL</t>
        </is>
      </c>
      <c r="H725" s="0" t="inlineStr">
        <is>
          <t>NULL</t>
        </is>
      </c>
      <c r="I725" s="0" t="inlineStr">
        <is>
          <t>NULL</t>
        </is>
      </c>
      <c r="J725" s="0" t="inlineStr">
        <is>
          <t>NULL</t>
        </is>
      </c>
      <c r="K725" s="0" t="inlineStr">
        <is>
          <t>YES! 	 c_varchar_max列源备映射正确，源端为varchar -1位	期望更改为varchar(n)	实际备端为varchar -1位</t>
        </is>
      </c>
    </row>
    <row r="726">
      <c r="B726" s="0" t="inlineStr">
        <is>
          <t>NULL</t>
        </is>
      </c>
      <c r="C726" s="0" t="inlineStr">
        <is>
          <t>NULL</t>
        </is>
      </c>
      <c r="D726" s="0" t="inlineStr">
        <is>
          <t>NULL</t>
        </is>
      </c>
      <c r="E726" s="0" t="inlineStr">
        <is>
          <t>NULL</t>
        </is>
      </c>
      <c r="F726" s="0" t="inlineStr">
        <is>
          <t>NULL</t>
        </is>
      </c>
      <c r="G726" s="0" t="inlineStr">
        <is>
          <t>NULL</t>
        </is>
      </c>
      <c r="H726" s="0" t="inlineStr">
        <is>
          <t>NULL</t>
        </is>
      </c>
      <c r="I726" s="0" t="inlineStr">
        <is>
          <t>NULL</t>
        </is>
      </c>
      <c r="J726" s="0" t="inlineStr">
        <is>
          <t>NULL</t>
        </is>
      </c>
      <c r="K726" s="0" t="inlineStr">
        <is>
          <t>YES! 	 c_nvarchar_max列源备映射正确，源端为nvarchar -1位	期望更改为nvarchar(n)	实际备端为nvarchar -1位</t>
        </is>
      </c>
    </row>
    <row r="727">
      <c r="A727" s="0" t="inlineStr">
        <is>
          <t>info_datetime_dml_batch1_pk_urp2</t>
        </is>
      </c>
      <c r="K727" s="0" t="inlineStr">
        <is>
          <t>[0;34m info_datetime_dml_batch1_pk_urp2 [0m源备字段数相同，源端字段：2 	备端字段2</t>
        </is>
      </c>
      <c r="W727" s="0" t="inlineStr">
        <is>
          <t>YES 源备无差异</t>
        </is>
      </c>
      <c r="X727" s="0">
        <f>A727</f>
        <v/>
      </c>
    </row>
    <row r="728">
      <c r="B728" s="0" t="inlineStr">
        <is>
          <t>YES</t>
        </is>
      </c>
      <c r="C728" s="0" t="inlineStr">
        <is>
          <t>NULL</t>
        </is>
      </c>
      <c r="D728" s="0" t="inlineStr">
        <is>
          <t>NULL</t>
        </is>
      </c>
      <c r="E728" s="0" t="inlineStr">
        <is>
          <t>NULL</t>
        </is>
      </c>
      <c r="F728" s="0" t="inlineStr">
        <is>
          <t>NULL</t>
        </is>
      </c>
      <c r="G728" s="0" t="inlineStr">
        <is>
          <t>NULL</t>
        </is>
      </c>
      <c r="H728" s="0" t="inlineStr">
        <is>
          <t>NULL</t>
        </is>
      </c>
      <c r="I728" s="0" t="inlineStr">
        <is>
          <t>YES!PK__info_dat__3213E83F3FB40563</t>
        </is>
      </c>
      <c r="J728" s="0" t="inlineStr">
        <is>
          <t>YES! 主键相关索引</t>
        </is>
      </c>
      <c r="K728" s="0" t="inlineStr">
        <is>
          <t>YES! 	 id列源备映射正确，源端为int None位	期望更改为int	实际备端为int None位</t>
        </is>
      </c>
    </row>
    <row r="729">
      <c r="B729" s="0" t="inlineStr">
        <is>
          <t>NULL</t>
        </is>
      </c>
      <c r="C729" s="0" t="inlineStr">
        <is>
          <t>NULL</t>
        </is>
      </c>
      <c r="D729" s="0" t="inlineStr">
        <is>
          <t>NULL</t>
        </is>
      </c>
      <c r="E729" s="0" t="inlineStr">
        <is>
          <t>NULL</t>
        </is>
      </c>
      <c r="F729" s="0" t="inlineStr">
        <is>
          <t>NULL</t>
        </is>
      </c>
      <c r="G729" s="0" t="inlineStr">
        <is>
          <t>NULL</t>
        </is>
      </c>
      <c r="H729" s="0" t="inlineStr">
        <is>
          <t>NULL</t>
        </is>
      </c>
      <c r="I729" s="0" t="inlineStr">
        <is>
          <t>NULL</t>
        </is>
      </c>
      <c r="J729" s="0" t="inlineStr">
        <is>
          <t>NULL</t>
        </is>
      </c>
      <c r="K729" s="0" t="inlineStr">
        <is>
          <t>YES! 	 c_datetime列源备映射正确，源端为datetime None位	期望更改为datetime	实际备端为datetime None位</t>
        </is>
      </c>
    </row>
    <row r="730">
      <c r="A730" s="0" t="inlineStr">
        <is>
          <t>info_nchar_dml_batch1_pk_irp2</t>
        </is>
      </c>
      <c r="K730" s="0" t="inlineStr">
        <is>
          <t>[0;34m info_nchar_dml_batch1_pk_irp2 [0m源备字段数相同，源端字段：4 	备端字段4</t>
        </is>
      </c>
      <c r="W730" s="0" t="inlineStr">
        <is>
          <t>YES 源备无差异</t>
        </is>
      </c>
      <c r="X730" s="0">
        <f>A730</f>
        <v/>
      </c>
    </row>
    <row r="731">
      <c r="B731" s="0" t="inlineStr">
        <is>
          <t>YES</t>
        </is>
      </c>
      <c r="C731" s="0" t="inlineStr">
        <is>
          <t>NULL</t>
        </is>
      </c>
      <c r="D731" s="0" t="inlineStr">
        <is>
          <t>NULL</t>
        </is>
      </c>
      <c r="E731" s="0" t="inlineStr">
        <is>
          <t>NULL</t>
        </is>
      </c>
      <c r="F731" s="0" t="inlineStr">
        <is>
          <t>NULL</t>
        </is>
      </c>
      <c r="G731" s="0" t="inlineStr">
        <is>
          <t>NULL</t>
        </is>
      </c>
      <c r="H731" s="0" t="inlineStr">
        <is>
          <t>NULL</t>
        </is>
      </c>
      <c r="I731" s="0" t="inlineStr">
        <is>
          <t>YES!PK__info_nch__3213E83F8697A893</t>
        </is>
      </c>
      <c r="J731" s="0" t="inlineStr">
        <is>
          <t>YES! 主键相关索引</t>
        </is>
      </c>
      <c r="K731" s="0" t="inlineStr">
        <is>
          <t>YES! 	 id列源备映射正确，源端为int None位	期望更改为int	实际备端为int None位</t>
        </is>
      </c>
    </row>
    <row r="732">
      <c r="B732" s="0" t="inlineStr">
        <is>
          <t>NULL</t>
        </is>
      </c>
      <c r="C732" s="0" t="inlineStr">
        <is>
          <t>NULL</t>
        </is>
      </c>
      <c r="D732" s="0" t="inlineStr">
        <is>
          <t>NULL</t>
        </is>
      </c>
      <c r="E732" s="0" t="inlineStr">
        <is>
          <t>NULL</t>
        </is>
      </c>
      <c r="F732" s="0" t="inlineStr">
        <is>
          <t>NULL</t>
        </is>
      </c>
      <c r="G732" s="0" t="inlineStr">
        <is>
          <t>NULL</t>
        </is>
      </c>
      <c r="H732" s="0" t="inlineStr">
        <is>
          <t>NULL</t>
        </is>
      </c>
      <c r="I732" s="0" t="inlineStr">
        <is>
          <t>NULL</t>
        </is>
      </c>
      <c r="J732" s="0" t="inlineStr">
        <is>
          <t>NULL</t>
        </is>
      </c>
      <c r="K732" s="0" t="inlineStr">
        <is>
          <t>YES! 	 c_nchar列源备映射正确，源端为nchar 2位	期望更改为nchar(n)	实际备端为nchar 2位</t>
        </is>
      </c>
    </row>
    <row r="733">
      <c r="B733" s="0" t="inlineStr">
        <is>
          <t>NULL</t>
        </is>
      </c>
      <c r="C733" s="0" t="inlineStr">
        <is>
          <t>NULL</t>
        </is>
      </c>
      <c r="D733" s="0" t="inlineStr">
        <is>
          <t>NULL</t>
        </is>
      </c>
      <c r="E733" s="0" t="inlineStr">
        <is>
          <t>NULL</t>
        </is>
      </c>
      <c r="F733" s="0" t="inlineStr">
        <is>
          <t>NULL</t>
        </is>
      </c>
      <c r="G733" s="0" t="inlineStr">
        <is>
          <t>NULL</t>
        </is>
      </c>
      <c r="H733" s="0" t="inlineStr">
        <is>
          <t>NULL</t>
        </is>
      </c>
      <c r="I733" s="0" t="inlineStr">
        <is>
          <t>NULL</t>
        </is>
      </c>
      <c r="J733" s="0" t="inlineStr">
        <is>
          <t>NULL</t>
        </is>
      </c>
      <c r="K733" s="0" t="inlineStr">
        <is>
          <t>YES! 	 c_nchar20列源备映射正确，源端为nchar 40位	期望更改为nchar(n)	实际备端为nchar 40位</t>
        </is>
      </c>
    </row>
    <row r="734">
      <c r="B734" s="0" t="inlineStr">
        <is>
          <t>NULL</t>
        </is>
      </c>
      <c r="C734" s="0" t="inlineStr">
        <is>
          <t>NULL</t>
        </is>
      </c>
      <c r="D734" s="0" t="inlineStr">
        <is>
          <t>NULL</t>
        </is>
      </c>
      <c r="E734" s="0" t="inlineStr">
        <is>
          <t>NULL</t>
        </is>
      </c>
      <c r="F734" s="0" t="inlineStr">
        <is>
          <t>NULL</t>
        </is>
      </c>
      <c r="G734" s="0" t="inlineStr">
        <is>
          <t>NULL</t>
        </is>
      </c>
      <c r="H734" s="0" t="inlineStr">
        <is>
          <t>NULL</t>
        </is>
      </c>
      <c r="I734" s="0" t="inlineStr">
        <is>
          <t>NULL</t>
        </is>
      </c>
      <c r="J734" s="0" t="inlineStr">
        <is>
          <t>NULL</t>
        </is>
      </c>
      <c r="K734" s="0" t="inlineStr">
        <is>
          <t>YES! 	 c_nchar3500列源备映射正确，源端为nchar 7000位	期望更改为nchar(n)	实际备端为nchar 7000位</t>
        </is>
      </c>
    </row>
    <row r="735">
      <c r="A735" s="0" t="inlineStr">
        <is>
          <t>info_nvarchar_dml_single_nopk</t>
        </is>
      </c>
      <c r="K735" s="0" t="inlineStr">
        <is>
          <t>[0;34m info_nvarchar_dml_single_nopk [0m源备字段数相同，源端字段：4 	备端字段4</t>
        </is>
      </c>
      <c r="W735" s="0" t="inlineStr">
        <is>
          <t>YES 源备无差异</t>
        </is>
      </c>
      <c r="X735" s="0">
        <f>A735</f>
        <v/>
      </c>
    </row>
    <row r="736">
      <c r="B736" s="0" t="inlineStr">
        <is>
          <t>NULL</t>
        </is>
      </c>
      <c r="C736" s="0" t="inlineStr">
        <is>
          <t>NULL</t>
        </is>
      </c>
      <c r="D736" s="0" t="inlineStr">
        <is>
          <t>NULL</t>
        </is>
      </c>
      <c r="E736" s="0" t="inlineStr">
        <is>
          <t>NULL</t>
        </is>
      </c>
      <c r="F736" s="0" t="inlineStr">
        <is>
          <t>NULL</t>
        </is>
      </c>
      <c r="G736" s="0" t="inlineStr">
        <is>
          <t>NULL</t>
        </is>
      </c>
      <c r="H736" s="0" t="inlineStr">
        <is>
          <t>NULL</t>
        </is>
      </c>
      <c r="I736" s="0" t="inlineStr">
        <is>
          <t>NULL</t>
        </is>
      </c>
      <c r="J736" s="0" t="inlineStr">
        <is>
          <t>NULL</t>
        </is>
      </c>
      <c r="K736" s="0" t="inlineStr">
        <is>
          <t>YES! 	 id列源备映射正确，源端为int None位	期望更改为int	实际备端为int None位</t>
        </is>
      </c>
    </row>
    <row r="737">
      <c r="B737" s="0" t="inlineStr">
        <is>
          <t>NULL</t>
        </is>
      </c>
      <c r="C737" s="0" t="inlineStr">
        <is>
          <t>NULL</t>
        </is>
      </c>
      <c r="D737" s="0" t="inlineStr">
        <is>
          <t>NULL</t>
        </is>
      </c>
      <c r="E737" s="0" t="inlineStr">
        <is>
          <t>NULL</t>
        </is>
      </c>
      <c r="F737" s="0" t="inlineStr">
        <is>
          <t>NULL</t>
        </is>
      </c>
      <c r="G737" s="0" t="inlineStr">
        <is>
          <t>NULL</t>
        </is>
      </c>
      <c r="H737" s="0" t="inlineStr">
        <is>
          <t>NULL</t>
        </is>
      </c>
      <c r="I737" s="0" t="inlineStr">
        <is>
          <t>NULL</t>
        </is>
      </c>
      <c r="J737" s="0" t="inlineStr">
        <is>
          <t>NULL</t>
        </is>
      </c>
      <c r="K737" s="0" t="inlineStr">
        <is>
          <t>YES! 	 c_nvarchar列源备映射正确，源端为nvarchar 2位	期望更改为nvarchar(n)	实际备端为nvarchar 2位</t>
        </is>
      </c>
    </row>
    <row r="738">
      <c r="B738" s="0" t="inlineStr">
        <is>
          <t>NULL</t>
        </is>
      </c>
      <c r="C738" s="0" t="inlineStr">
        <is>
          <t>NULL</t>
        </is>
      </c>
      <c r="D738" s="0" t="inlineStr">
        <is>
          <t>NULL</t>
        </is>
      </c>
      <c r="E738" s="0" t="inlineStr">
        <is>
          <t>NULL</t>
        </is>
      </c>
      <c r="F738" s="0" t="inlineStr">
        <is>
          <t>NULL</t>
        </is>
      </c>
      <c r="G738" s="0" t="inlineStr">
        <is>
          <t>NULL</t>
        </is>
      </c>
      <c r="H738" s="0" t="inlineStr">
        <is>
          <t>NULL</t>
        </is>
      </c>
      <c r="I738" s="0" t="inlineStr">
        <is>
          <t>NULL</t>
        </is>
      </c>
      <c r="J738" s="0" t="inlineStr">
        <is>
          <t>NULL</t>
        </is>
      </c>
      <c r="K738" s="0" t="inlineStr">
        <is>
          <t>YES! 	 c_nvarchar20列源备映射正确，源端为nvarchar 40位	期望更改为nvarchar(n)	实际备端为nvarchar 40位</t>
        </is>
      </c>
    </row>
    <row r="739">
      <c r="B739" s="0" t="inlineStr">
        <is>
          <t>NULL</t>
        </is>
      </c>
      <c r="C739" s="0" t="inlineStr">
        <is>
          <t>NULL</t>
        </is>
      </c>
      <c r="D739" s="0" t="inlineStr">
        <is>
          <t>NULL</t>
        </is>
      </c>
      <c r="E739" s="0" t="inlineStr">
        <is>
          <t>NULL</t>
        </is>
      </c>
      <c r="F739" s="0" t="inlineStr">
        <is>
          <t>NULL</t>
        </is>
      </c>
      <c r="G739" s="0" t="inlineStr">
        <is>
          <t>NULL</t>
        </is>
      </c>
      <c r="H739" s="0" t="inlineStr">
        <is>
          <t>NULL</t>
        </is>
      </c>
      <c r="I739" s="0" t="inlineStr">
        <is>
          <t>NULL</t>
        </is>
      </c>
      <c r="J739" s="0" t="inlineStr">
        <is>
          <t>NULL</t>
        </is>
      </c>
      <c r="K739" s="0" t="inlineStr">
        <is>
          <t>YES! 	 c_nvarchar4000列源备映射正确，源端为nvarchar 8000位	期望更改为nvarchar(n)	实际备端为nvarchar 8000位</t>
        </is>
      </c>
    </row>
    <row r="740">
      <c r="A740" s="0" t="inlineStr">
        <is>
          <t>info_varcharmax_dml_single_pk_drp</t>
        </is>
      </c>
      <c r="K740" s="0" t="inlineStr">
        <is>
          <t>[0;34m info_varcharmax_dml_single_pk_drp [0m源备字段数相同，源端字段：3 	备端字段3</t>
        </is>
      </c>
      <c r="W740" s="0" t="inlineStr">
        <is>
          <t>YES 源备无差异</t>
        </is>
      </c>
      <c r="X740" s="0">
        <f>A740</f>
        <v/>
      </c>
    </row>
    <row r="741">
      <c r="B741" s="0" t="inlineStr">
        <is>
          <t>YES</t>
        </is>
      </c>
      <c r="C741" s="0" t="inlineStr">
        <is>
          <t>NULL</t>
        </is>
      </c>
      <c r="D741" s="0" t="inlineStr">
        <is>
          <t>NULL</t>
        </is>
      </c>
      <c r="E741" s="0" t="inlineStr">
        <is>
          <t>NULL</t>
        </is>
      </c>
      <c r="F741" s="0" t="inlineStr">
        <is>
          <t>NULL</t>
        </is>
      </c>
      <c r="G741" s="0" t="inlineStr">
        <is>
          <t>NULL</t>
        </is>
      </c>
      <c r="H741" s="0" t="inlineStr">
        <is>
          <t>NULL</t>
        </is>
      </c>
      <c r="I741" s="0" t="inlineStr">
        <is>
          <t>YES!PK__info_var__3213E83FA49B8609</t>
        </is>
      </c>
      <c r="J741" s="0" t="inlineStr">
        <is>
          <t>YES! 主键相关索引</t>
        </is>
      </c>
      <c r="K741" s="0" t="inlineStr">
        <is>
          <t>YES! 	 id列源备映射正确，源端为int None位	期望更改为int	实际备端为int None位</t>
        </is>
      </c>
    </row>
    <row r="742">
      <c r="B742" s="0" t="inlineStr">
        <is>
          <t>NULL</t>
        </is>
      </c>
      <c r="C742" s="0" t="inlineStr">
        <is>
          <t>NULL</t>
        </is>
      </c>
      <c r="D742" s="0" t="inlineStr">
        <is>
          <t>NULL</t>
        </is>
      </c>
      <c r="E742" s="0" t="inlineStr">
        <is>
          <t>NULL</t>
        </is>
      </c>
      <c r="F742" s="0" t="inlineStr">
        <is>
          <t>NULL</t>
        </is>
      </c>
      <c r="G742" s="0" t="inlineStr">
        <is>
          <t>NULL</t>
        </is>
      </c>
      <c r="H742" s="0" t="inlineStr">
        <is>
          <t>NULL</t>
        </is>
      </c>
      <c r="I742" s="0" t="inlineStr">
        <is>
          <t>NULL</t>
        </is>
      </c>
      <c r="J742" s="0" t="inlineStr">
        <is>
          <t>NULL</t>
        </is>
      </c>
      <c r="K742" s="0" t="inlineStr">
        <is>
          <t>YES! 	 c_varchar_max列源备映射正确，源端为varchar -1位	期望更改为varchar(n)	实际备端为varchar -1位</t>
        </is>
      </c>
    </row>
    <row r="743">
      <c r="B743" s="0" t="inlineStr">
        <is>
          <t>NULL</t>
        </is>
      </c>
      <c r="C743" s="0" t="inlineStr">
        <is>
          <t>NULL</t>
        </is>
      </c>
      <c r="D743" s="0" t="inlineStr">
        <is>
          <t>NULL</t>
        </is>
      </c>
      <c r="E743" s="0" t="inlineStr">
        <is>
          <t>NULL</t>
        </is>
      </c>
      <c r="F743" s="0" t="inlineStr">
        <is>
          <t>NULL</t>
        </is>
      </c>
      <c r="G743" s="0" t="inlineStr">
        <is>
          <t>NULL</t>
        </is>
      </c>
      <c r="H743" s="0" t="inlineStr">
        <is>
          <t>NULL</t>
        </is>
      </c>
      <c r="I743" s="0" t="inlineStr">
        <is>
          <t>NULL</t>
        </is>
      </c>
      <c r="J743" s="0" t="inlineStr">
        <is>
          <t>NULL</t>
        </is>
      </c>
      <c r="K743" s="0" t="inlineStr">
        <is>
          <t>YES! 	 c_nvarchar_max列源备映射正确，源端为nvarchar -1位	期望更改为nvarchar(n)	实际备端为nvarchar -1位</t>
        </is>
      </c>
    </row>
    <row r="744">
      <c r="A744" s="0" t="inlineStr">
        <is>
          <t>info_date_dml_single_pk_urp</t>
        </is>
      </c>
      <c r="K744" s="0" t="inlineStr">
        <is>
          <t>[0;34m info_date_dml_single_pk_urp [0m源备字段数相同，源端字段：2 	备端字段2</t>
        </is>
      </c>
      <c r="W744" s="0" t="inlineStr">
        <is>
          <t>YES 源备无差异</t>
        </is>
      </c>
      <c r="X744" s="0">
        <f>A744</f>
        <v/>
      </c>
    </row>
    <row r="745">
      <c r="B745" s="0" t="inlineStr">
        <is>
          <t>YES</t>
        </is>
      </c>
      <c r="C745" s="0" t="inlineStr">
        <is>
          <t>NULL</t>
        </is>
      </c>
      <c r="D745" s="0" t="inlineStr">
        <is>
          <t>NULL</t>
        </is>
      </c>
      <c r="E745" s="0" t="inlineStr">
        <is>
          <t>NULL</t>
        </is>
      </c>
      <c r="F745" s="0" t="inlineStr">
        <is>
          <t>NULL</t>
        </is>
      </c>
      <c r="G745" s="0" t="inlineStr">
        <is>
          <t>NULL</t>
        </is>
      </c>
      <c r="H745" s="0" t="inlineStr">
        <is>
          <t>NULL</t>
        </is>
      </c>
      <c r="I745" s="0" t="inlineStr">
        <is>
          <t>YES!PK__info_dat__3213E83F54C67E83</t>
        </is>
      </c>
      <c r="J745" s="0" t="inlineStr">
        <is>
          <t>YES! 主键相关索引</t>
        </is>
      </c>
      <c r="K745" s="0" t="inlineStr">
        <is>
          <t>YES! 	 id列源备映射正确，源端为int None位	期望更改为int	实际备端为int None位</t>
        </is>
      </c>
    </row>
    <row r="746">
      <c r="B746" s="0" t="inlineStr">
        <is>
          <t>NULL</t>
        </is>
      </c>
      <c r="C746" s="0" t="inlineStr">
        <is>
          <t>NULL</t>
        </is>
      </c>
      <c r="D746" s="0" t="inlineStr">
        <is>
          <t>NULL</t>
        </is>
      </c>
      <c r="E746" s="0" t="inlineStr">
        <is>
          <t>NULL</t>
        </is>
      </c>
      <c r="F746" s="0" t="inlineStr">
        <is>
          <t>NULL</t>
        </is>
      </c>
      <c r="G746" s="0" t="inlineStr">
        <is>
          <t>NULL</t>
        </is>
      </c>
      <c r="H746" s="0" t="inlineStr">
        <is>
          <t>NULL</t>
        </is>
      </c>
      <c r="I746" s="0" t="inlineStr">
        <is>
          <t>NULL</t>
        </is>
      </c>
      <c r="J746" s="0" t="inlineStr">
        <is>
          <t>NULL</t>
        </is>
      </c>
      <c r="K746" s="0" t="inlineStr">
        <is>
          <t>YES! 	 c_date列源备映射正确，源端为date None位	期望更改为date	实际备端为date None位</t>
        </is>
      </c>
    </row>
    <row r="747">
      <c r="A747" s="0" t="inlineStr">
        <is>
          <t>info_varcharmax_dml_single_nopk_irp</t>
        </is>
      </c>
      <c r="K747" s="0" t="inlineStr">
        <is>
          <t>[0;34m info_varcharmax_dml_single_nopk_irp [0m源备字段数相同，源端字段：3 	备端字段3</t>
        </is>
      </c>
      <c r="W747" s="0" t="inlineStr">
        <is>
          <t>YES 源备无差异</t>
        </is>
      </c>
      <c r="X747" s="0">
        <f>A747</f>
        <v/>
      </c>
    </row>
    <row r="748">
      <c r="B748" s="0" t="inlineStr">
        <is>
          <t>NULL</t>
        </is>
      </c>
      <c r="C748" s="0" t="inlineStr">
        <is>
          <t>NULL</t>
        </is>
      </c>
      <c r="D748" s="0" t="inlineStr">
        <is>
          <t>NULL</t>
        </is>
      </c>
      <c r="E748" s="0" t="inlineStr">
        <is>
          <t>NULL</t>
        </is>
      </c>
      <c r="F748" s="0" t="inlineStr">
        <is>
          <t>NULL</t>
        </is>
      </c>
      <c r="G748" s="0" t="inlineStr">
        <is>
          <t>NULL</t>
        </is>
      </c>
      <c r="H748" s="0" t="inlineStr">
        <is>
          <t>NULL</t>
        </is>
      </c>
      <c r="I748" s="0" t="inlineStr">
        <is>
          <t>NULL</t>
        </is>
      </c>
      <c r="J748" s="0" t="inlineStr">
        <is>
          <t>NULL</t>
        </is>
      </c>
      <c r="K748" s="0" t="inlineStr">
        <is>
          <t>YES! 	 id列源备映射正确，源端为int None位	期望更改为int	实际备端为int None位</t>
        </is>
      </c>
    </row>
    <row r="749">
      <c r="B749" s="0" t="inlineStr">
        <is>
          <t>NULL</t>
        </is>
      </c>
      <c r="C749" s="0" t="inlineStr">
        <is>
          <t>NULL</t>
        </is>
      </c>
      <c r="D749" s="0" t="inlineStr">
        <is>
          <t>NULL</t>
        </is>
      </c>
      <c r="E749" s="0" t="inlineStr">
        <is>
          <t>NULL</t>
        </is>
      </c>
      <c r="F749" s="0" t="inlineStr">
        <is>
          <t>NULL</t>
        </is>
      </c>
      <c r="G749" s="0" t="inlineStr">
        <is>
          <t>NULL</t>
        </is>
      </c>
      <c r="H749" s="0" t="inlineStr">
        <is>
          <t>NULL</t>
        </is>
      </c>
      <c r="I749" s="0" t="inlineStr">
        <is>
          <t>NULL</t>
        </is>
      </c>
      <c r="J749" s="0" t="inlineStr">
        <is>
          <t>NULL</t>
        </is>
      </c>
      <c r="K749" s="0" t="inlineStr">
        <is>
          <t>YES! 	 c_varchar_max列源备映射正确，源端为varchar -1位	期望更改为varchar(n)	实际备端为varchar -1位</t>
        </is>
      </c>
    </row>
    <row r="750">
      <c r="B750" s="0" t="inlineStr">
        <is>
          <t>NULL</t>
        </is>
      </c>
      <c r="C750" s="0" t="inlineStr">
        <is>
          <t>NULL</t>
        </is>
      </c>
      <c r="D750" s="0" t="inlineStr">
        <is>
          <t>NULL</t>
        </is>
      </c>
      <c r="E750" s="0" t="inlineStr">
        <is>
          <t>NULL</t>
        </is>
      </c>
      <c r="F750" s="0" t="inlineStr">
        <is>
          <t>NULL</t>
        </is>
      </c>
      <c r="G750" s="0" t="inlineStr">
        <is>
          <t>NULL</t>
        </is>
      </c>
      <c r="H750" s="0" t="inlineStr">
        <is>
          <t>NULL</t>
        </is>
      </c>
      <c r="I750" s="0" t="inlineStr">
        <is>
          <t>NULL</t>
        </is>
      </c>
      <c r="J750" s="0" t="inlineStr">
        <is>
          <t>NULL</t>
        </is>
      </c>
      <c r="K750" s="0" t="inlineStr">
        <is>
          <t>YES! 	 c_nvarchar_max列源备映射正确，源端为nvarchar -1位	期望更改为nvarchar(n)	实际备端为nvarchar -1位</t>
        </is>
      </c>
    </row>
    <row r="751">
      <c r="A751" s="0" t="inlineStr">
        <is>
          <t>info_datetime_dml_batch1_pk_drp1</t>
        </is>
      </c>
      <c r="K751" s="0" t="inlineStr">
        <is>
          <t>[0;34m info_datetime_dml_batch1_pk_drp1 [0m源备字段数相同，源端字段：2 	备端字段2</t>
        </is>
      </c>
      <c r="W751" s="0" t="inlineStr">
        <is>
          <t>YES 源备无差异</t>
        </is>
      </c>
      <c r="X751" s="0">
        <f>A751</f>
        <v/>
      </c>
    </row>
    <row r="752">
      <c r="B752" s="0" t="inlineStr">
        <is>
          <t>YES</t>
        </is>
      </c>
      <c r="C752" s="0" t="inlineStr">
        <is>
          <t>NULL</t>
        </is>
      </c>
      <c r="D752" s="0" t="inlineStr">
        <is>
          <t>NULL</t>
        </is>
      </c>
      <c r="E752" s="0" t="inlineStr">
        <is>
          <t>NULL</t>
        </is>
      </c>
      <c r="F752" s="0" t="inlineStr">
        <is>
          <t>NULL</t>
        </is>
      </c>
      <c r="G752" s="0" t="inlineStr">
        <is>
          <t>NULL</t>
        </is>
      </c>
      <c r="H752" s="0" t="inlineStr">
        <is>
          <t>NULL</t>
        </is>
      </c>
      <c r="I752" s="0" t="inlineStr">
        <is>
          <t>YES!PK__info_dat__3213E83F32B4DE99</t>
        </is>
      </c>
      <c r="J752" s="0" t="inlineStr">
        <is>
          <t>YES! 主键相关索引</t>
        </is>
      </c>
      <c r="K752" s="0" t="inlineStr">
        <is>
          <t>YES! 	 id列源备映射正确，源端为int None位	期望更改为int	实际备端为int None位</t>
        </is>
      </c>
    </row>
    <row r="753">
      <c r="B753" s="0" t="inlineStr">
        <is>
          <t>NULL</t>
        </is>
      </c>
      <c r="C753" s="0" t="inlineStr">
        <is>
          <t>NULL</t>
        </is>
      </c>
      <c r="D753" s="0" t="inlineStr">
        <is>
          <t>NULL</t>
        </is>
      </c>
      <c r="E753" s="0" t="inlineStr">
        <is>
          <t>NULL</t>
        </is>
      </c>
      <c r="F753" s="0" t="inlineStr">
        <is>
          <t>NULL</t>
        </is>
      </c>
      <c r="G753" s="0" t="inlineStr">
        <is>
          <t>NULL</t>
        </is>
      </c>
      <c r="H753" s="0" t="inlineStr">
        <is>
          <t>NULL</t>
        </is>
      </c>
      <c r="I753" s="0" t="inlineStr">
        <is>
          <t>NULL</t>
        </is>
      </c>
      <c r="J753" s="0" t="inlineStr">
        <is>
          <t>NULL</t>
        </is>
      </c>
      <c r="K753" s="0" t="inlineStr">
        <is>
          <t>YES! 	 c_datetime列源备映射正确，源端为datetime None位	期望更改为datetime	实际备端为datetime None位</t>
        </is>
      </c>
    </row>
    <row r="754">
      <c r="K754" s="0" t="inlineStr">
        <is>
          <t>~ 空表</t>
        </is>
      </c>
    </row>
    <row r="755">
      <c r="A755" s="0" t="inlineStr">
        <is>
          <t>info_sql_variant_dml_single_nopk_irp</t>
        </is>
      </c>
      <c r="K755" s="0" t="inlineStr">
        <is>
          <t>[0;34m info_sql_variant_dml_single_nopk_irp [0m源备字段数相同，源端字段：25 	备端字段25</t>
        </is>
      </c>
      <c r="W755" s="0" t="inlineStr">
        <is>
          <t>YES 源备无差异</t>
        </is>
      </c>
      <c r="X755" s="0">
        <f>A755</f>
        <v/>
      </c>
    </row>
    <row r="756">
      <c r="B756" s="0" t="inlineStr">
        <is>
          <t>NULL</t>
        </is>
      </c>
      <c r="C756" s="0" t="inlineStr">
        <is>
          <t>NULL</t>
        </is>
      </c>
      <c r="D756" s="0" t="inlineStr">
        <is>
          <t>NULL</t>
        </is>
      </c>
      <c r="E756" s="0" t="inlineStr">
        <is>
          <t>NULL</t>
        </is>
      </c>
      <c r="F756" s="0" t="inlineStr">
        <is>
          <t>NULL</t>
        </is>
      </c>
      <c r="G756" s="0" t="inlineStr">
        <is>
          <t>NULL</t>
        </is>
      </c>
      <c r="H756" s="0" t="inlineStr">
        <is>
          <t>NULL</t>
        </is>
      </c>
      <c r="I756" s="0" t="inlineStr">
        <is>
          <t>NULL</t>
        </is>
      </c>
      <c r="J756" s="0" t="inlineStr">
        <is>
          <t>NULL</t>
        </is>
      </c>
      <c r="K756" s="0" t="inlineStr">
        <is>
          <t>YES! 	 id列源备映射正确，源端为int None位	期望更改为int	实际备端为int None位</t>
        </is>
      </c>
    </row>
    <row r="757">
      <c r="B757" s="0" t="inlineStr">
        <is>
          <t>NULL</t>
        </is>
      </c>
      <c r="C757" s="0" t="inlineStr">
        <is>
          <t>NULL</t>
        </is>
      </c>
      <c r="D757" s="0" t="inlineStr">
        <is>
          <t>NULL</t>
        </is>
      </c>
      <c r="E757" s="0" t="inlineStr">
        <is>
          <t>NULL</t>
        </is>
      </c>
      <c r="F757" s="0" t="inlineStr">
        <is>
          <t>NULL</t>
        </is>
      </c>
      <c r="G757" s="0" t="inlineStr">
        <is>
          <t>NULL</t>
        </is>
      </c>
      <c r="H757" s="0" t="inlineStr">
        <is>
          <t>NULL</t>
        </is>
      </c>
      <c r="I757" s="0" t="inlineStr">
        <is>
          <t>NULL</t>
        </is>
      </c>
      <c r="J757" s="0" t="inlineStr">
        <is>
          <t>NULL</t>
        </is>
      </c>
      <c r="K757" s="0" t="inlineStr">
        <is>
          <t>YES! 	 c_date列源备映射正确，源端为sql_variant 0位	期望更改为sql_variant	实际备端为sql_variant 0位</t>
        </is>
      </c>
    </row>
    <row r="758">
      <c r="B758" s="0" t="inlineStr">
        <is>
          <t>NULL</t>
        </is>
      </c>
      <c r="C758" s="0" t="inlineStr">
        <is>
          <t>NULL</t>
        </is>
      </c>
      <c r="D758" s="0" t="inlineStr">
        <is>
          <t>NULL</t>
        </is>
      </c>
      <c r="E758" s="0" t="inlineStr">
        <is>
          <t>NULL</t>
        </is>
      </c>
      <c r="F758" s="0" t="inlineStr">
        <is>
          <t>NULL</t>
        </is>
      </c>
      <c r="G758" s="0" t="inlineStr">
        <is>
          <t>NULL</t>
        </is>
      </c>
      <c r="H758" s="0" t="inlineStr">
        <is>
          <t>NULL</t>
        </is>
      </c>
      <c r="I758" s="0" t="inlineStr">
        <is>
          <t>NULL</t>
        </is>
      </c>
      <c r="J758" s="0" t="inlineStr">
        <is>
          <t>NULL</t>
        </is>
      </c>
      <c r="K758" s="0" t="inlineStr">
        <is>
          <t>YES! 	 c_time列源备映射正确，源端为sql_variant 0位	期望更改为sql_variant	实际备端为sql_variant 0位</t>
        </is>
      </c>
    </row>
    <row r="759">
      <c r="B759" s="0" t="inlineStr">
        <is>
          <t>NULL</t>
        </is>
      </c>
      <c r="C759" s="0" t="inlineStr">
        <is>
          <t>NULL</t>
        </is>
      </c>
      <c r="D759" s="0" t="inlineStr">
        <is>
          <t>NULL</t>
        </is>
      </c>
      <c r="E759" s="0" t="inlineStr">
        <is>
          <t>NULL</t>
        </is>
      </c>
      <c r="F759" s="0" t="inlineStr">
        <is>
          <t>NULL</t>
        </is>
      </c>
      <c r="G759" s="0" t="inlineStr">
        <is>
          <t>NULL</t>
        </is>
      </c>
      <c r="H759" s="0" t="inlineStr">
        <is>
          <t>NULL</t>
        </is>
      </c>
      <c r="I759" s="0" t="inlineStr">
        <is>
          <t>NULL</t>
        </is>
      </c>
      <c r="J759" s="0" t="inlineStr">
        <is>
          <t>NULL</t>
        </is>
      </c>
      <c r="K759" s="0" t="inlineStr">
        <is>
          <t>YES! 	 c_datetime2列源备映射正确，源端为sql_variant 0位	期望更改为sql_variant	实际备端为sql_variant 0位</t>
        </is>
      </c>
    </row>
    <row r="760">
      <c r="B760" s="0" t="inlineStr">
        <is>
          <t>NULL</t>
        </is>
      </c>
      <c r="C760" s="0" t="inlineStr">
        <is>
          <t>NULL</t>
        </is>
      </c>
      <c r="D760" s="0" t="inlineStr">
        <is>
          <t>NULL</t>
        </is>
      </c>
      <c r="E760" s="0" t="inlineStr">
        <is>
          <t>NULL</t>
        </is>
      </c>
      <c r="F760" s="0" t="inlineStr">
        <is>
          <t>NULL</t>
        </is>
      </c>
      <c r="G760" s="0" t="inlineStr">
        <is>
          <t>NULL</t>
        </is>
      </c>
      <c r="H760" s="0" t="inlineStr">
        <is>
          <t>NULL</t>
        </is>
      </c>
      <c r="I760" s="0" t="inlineStr">
        <is>
          <t>NULL</t>
        </is>
      </c>
      <c r="J760" s="0" t="inlineStr">
        <is>
          <t>NULL</t>
        </is>
      </c>
      <c r="K760" s="0" t="inlineStr">
        <is>
          <t>YES! 	 c_datetimeoffset列源备映射正确，源端为sql_variant 0位	期望更改为sql_variant	实际备端为sql_variant 0位</t>
        </is>
      </c>
    </row>
    <row r="761">
      <c r="B761" s="0" t="inlineStr">
        <is>
          <t>NULL</t>
        </is>
      </c>
      <c r="C761" s="0" t="inlineStr">
        <is>
          <t>NULL</t>
        </is>
      </c>
      <c r="D761" s="0" t="inlineStr">
        <is>
          <t>NULL</t>
        </is>
      </c>
      <c r="E761" s="0" t="inlineStr">
        <is>
          <t>NULL</t>
        </is>
      </c>
      <c r="F761" s="0" t="inlineStr">
        <is>
          <t>NULL</t>
        </is>
      </c>
      <c r="G761" s="0" t="inlineStr">
        <is>
          <t>NULL</t>
        </is>
      </c>
      <c r="H761" s="0" t="inlineStr">
        <is>
          <t>NULL</t>
        </is>
      </c>
      <c r="I761" s="0" t="inlineStr">
        <is>
          <t>NULL</t>
        </is>
      </c>
      <c r="J761" s="0" t="inlineStr">
        <is>
          <t>NULL</t>
        </is>
      </c>
      <c r="K761" s="0" t="inlineStr">
        <is>
          <t>YES! 	 c_tinyint列源备映射正确，源端为sql_variant 0位	期望更改为sql_variant	实际备端为sql_variant 0位</t>
        </is>
      </c>
    </row>
    <row r="762">
      <c r="B762" s="0" t="inlineStr">
        <is>
          <t>NULL</t>
        </is>
      </c>
      <c r="C762" s="0" t="inlineStr">
        <is>
          <t>NULL</t>
        </is>
      </c>
      <c r="D762" s="0" t="inlineStr">
        <is>
          <t>NULL</t>
        </is>
      </c>
      <c r="E762" s="0" t="inlineStr">
        <is>
          <t>NULL</t>
        </is>
      </c>
      <c r="F762" s="0" t="inlineStr">
        <is>
          <t>NULL</t>
        </is>
      </c>
      <c r="G762" s="0" t="inlineStr">
        <is>
          <t>NULL</t>
        </is>
      </c>
      <c r="H762" s="0" t="inlineStr">
        <is>
          <t>NULL</t>
        </is>
      </c>
      <c r="I762" s="0" t="inlineStr">
        <is>
          <t>NULL</t>
        </is>
      </c>
      <c r="J762" s="0" t="inlineStr">
        <is>
          <t>NULL</t>
        </is>
      </c>
      <c r="K762" s="0" t="inlineStr">
        <is>
          <t>YES! 	 c_smallint列源备映射正确，源端为sql_variant 0位	期望更改为sql_variant	实际备端为sql_variant 0位</t>
        </is>
      </c>
    </row>
    <row r="763">
      <c r="B763" s="0" t="inlineStr">
        <is>
          <t>NULL</t>
        </is>
      </c>
      <c r="C763" s="0" t="inlineStr">
        <is>
          <t>NULL</t>
        </is>
      </c>
      <c r="D763" s="0" t="inlineStr">
        <is>
          <t>NULL</t>
        </is>
      </c>
      <c r="E763" s="0" t="inlineStr">
        <is>
          <t>NULL</t>
        </is>
      </c>
      <c r="F763" s="0" t="inlineStr">
        <is>
          <t>NULL</t>
        </is>
      </c>
      <c r="G763" s="0" t="inlineStr">
        <is>
          <t>NULL</t>
        </is>
      </c>
      <c r="H763" s="0" t="inlineStr">
        <is>
          <t>NULL</t>
        </is>
      </c>
      <c r="I763" s="0" t="inlineStr">
        <is>
          <t>NULL</t>
        </is>
      </c>
      <c r="J763" s="0" t="inlineStr">
        <is>
          <t>NULL</t>
        </is>
      </c>
      <c r="K763" s="0" t="inlineStr">
        <is>
          <t>YES! 	 c_int列源备映射正确，源端为sql_variant 0位	期望更改为sql_variant	实际备端为sql_variant 0位</t>
        </is>
      </c>
    </row>
    <row r="764">
      <c r="B764" s="0" t="inlineStr">
        <is>
          <t>NULL</t>
        </is>
      </c>
      <c r="C764" s="0" t="inlineStr">
        <is>
          <t>NULL</t>
        </is>
      </c>
      <c r="D764" s="0" t="inlineStr">
        <is>
          <t>NULL</t>
        </is>
      </c>
      <c r="E764" s="0" t="inlineStr">
        <is>
          <t>NULL</t>
        </is>
      </c>
      <c r="F764" s="0" t="inlineStr">
        <is>
          <t>NULL</t>
        </is>
      </c>
      <c r="G764" s="0" t="inlineStr">
        <is>
          <t>NULL</t>
        </is>
      </c>
      <c r="H764" s="0" t="inlineStr">
        <is>
          <t>NULL</t>
        </is>
      </c>
      <c r="I764" s="0" t="inlineStr">
        <is>
          <t>NULL</t>
        </is>
      </c>
      <c r="J764" s="0" t="inlineStr">
        <is>
          <t>NULL</t>
        </is>
      </c>
      <c r="K764" s="0" t="inlineStr">
        <is>
          <t>YES! 	 c_sdt列源备映射正确，源端为sql_variant 0位	期望更改为sql_variant	实际备端为sql_variant 0位</t>
        </is>
      </c>
    </row>
    <row r="765">
      <c r="B765" s="0" t="inlineStr">
        <is>
          <t>NULL</t>
        </is>
      </c>
      <c r="C765" s="0" t="inlineStr">
        <is>
          <t>NULL</t>
        </is>
      </c>
      <c r="D765" s="0" t="inlineStr">
        <is>
          <t>NULL</t>
        </is>
      </c>
      <c r="E765" s="0" t="inlineStr">
        <is>
          <t>NULL</t>
        </is>
      </c>
      <c r="F765" s="0" t="inlineStr">
        <is>
          <t>NULL</t>
        </is>
      </c>
      <c r="G765" s="0" t="inlineStr">
        <is>
          <t>NULL</t>
        </is>
      </c>
      <c r="H765" s="0" t="inlineStr">
        <is>
          <t>NULL</t>
        </is>
      </c>
      <c r="I765" s="0" t="inlineStr">
        <is>
          <t>NULL</t>
        </is>
      </c>
      <c r="J765" s="0" t="inlineStr">
        <is>
          <t>NULL</t>
        </is>
      </c>
      <c r="K765" s="0" t="inlineStr">
        <is>
          <t>YES! 	 c_real列源备映射正确，源端为sql_variant 0位	期望更改为sql_variant	实际备端为sql_variant 0位</t>
        </is>
      </c>
    </row>
    <row r="766">
      <c r="B766" s="0" t="inlineStr">
        <is>
          <t>NULL</t>
        </is>
      </c>
      <c r="C766" s="0" t="inlineStr">
        <is>
          <t>NULL</t>
        </is>
      </c>
      <c r="D766" s="0" t="inlineStr">
        <is>
          <t>NULL</t>
        </is>
      </c>
      <c r="E766" s="0" t="inlineStr">
        <is>
          <t>NULL</t>
        </is>
      </c>
      <c r="F766" s="0" t="inlineStr">
        <is>
          <t>NULL</t>
        </is>
      </c>
      <c r="G766" s="0" t="inlineStr">
        <is>
          <t>NULL</t>
        </is>
      </c>
      <c r="H766" s="0" t="inlineStr">
        <is>
          <t>NULL</t>
        </is>
      </c>
      <c r="I766" s="0" t="inlineStr">
        <is>
          <t>NULL</t>
        </is>
      </c>
      <c r="J766" s="0" t="inlineStr">
        <is>
          <t>NULL</t>
        </is>
      </c>
      <c r="K766" s="0" t="inlineStr">
        <is>
          <t>YES! 	 c_money列源备映射正确，源端为sql_variant 0位	期望更改为sql_variant	实际备端为sql_variant 0位</t>
        </is>
      </c>
    </row>
    <row r="767">
      <c r="B767" s="0" t="inlineStr">
        <is>
          <t>NULL</t>
        </is>
      </c>
      <c r="C767" s="0" t="inlineStr">
        <is>
          <t>NULL</t>
        </is>
      </c>
      <c r="D767" s="0" t="inlineStr">
        <is>
          <t>NULL</t>
        </is>
      </c>
      <c r="E767" s="0" t="inlineStr">
        <is>
          <t>NULL</t>
        </is>
      </c>
      <c r="F767" s="0" t="inlineStr">
        <is>
          <t>NULL</t>
        </is>
      </c>
      <c r="G767" s="0" t="inlineStr">
        <is>
          <t>NULL</t>
        </is>
      </c>
      <c r="H767" s="0" t="inlineStr">
        <is>
          <t>NULL</t>
        </is>
      </c>
      <c r="I767" s="0" t="inlineStr">
        <is>
          <t>NULL</t>
        </is>
      </c>
      <c r="J767" s="0" t="inlineStr">
        <is>
          <t>NULL</t>
        </is>
      </c>
      <c r="K767" s="0" t="inlineStr">
        <is>
          <t>YES! 	 c_datetime列源备映射正确，源端为sql_variant 0位	期望更改为sql_variant	实际备端为sql_variant 0位</t>
        </is>
      </c>
    </row>
    <row r="768">
      <c r="B768" s="0" t="inlineStr">
        <is>
          <t>NULL</t>
        </is>
      </c>
      <c r="C768" s="0" t="inlineStr">
        <is>
          <t>NULL</t>
        </is>
      </c>
      <c r="D768" s="0" t="inlineStr">
        <is>
          <t>NULL</t>
        </is>
      </c>
      <c r="E768" s="0" t="inlineStr">
        <is>
          <t>NULL</t>
        </is>
      </c>
      <c r="F768" s="0" t="inlineStr">
        <is>
          <t>NULL</t>
        </is>
      </c>
      <c r="G768" s="0" t="inlineStr">
        <is>
          <t>NULL</t>
        </is>
      </c>
      <c r="H768" s="0" t="inlineStr">
        <is>
          <t>NULL</t>
        </is>
      </c>
      <c r="I768" s="0" t="inlineStr">
        <is>
          <t>NULL</t>
        </is>
      </c>
      <c r="J768" s="0" t="inlineStr">
        <is>
          <t>NULL</t>
        </is>
      </c>
      <c r="K768" s="0" t="inlineStr">
        <is>
          <t>YES! 	 c_float列源备映射正确，源端为sql_variant 0位	期望更改为sql_variant	实际备端为sql_variant 0位</t>
        </is>
      </c>
    </row>
    <row r="769">
      <c r="B769" s="0" t="inlineStr">
        <is>
          <t>NULL</t>
        </is>
      </c>
      <c r="C769" s="0" t="inlineStr">
        <is>
          <t>NULL</t>
        </is>
      </c>
      <c r="D769" s="0" t="inlineStr">
        <is>
          <t>NULL</t>
        </is>
      </c>
      <c r="E769" s="0" t="inlineStr">
        <is>
          <t>NULL</t>
        </is>
      </c>
      <c r="F769" s="0" t="inlineStr">
        <is>
          <t>NULL</t>
        </is>
      </c>
      <c r="G769" s="0" t="inlineStr">
        <is>
          <t>NULL</t>
        </is>
      </c>
      <c r="H769" s="0" t="inlineStr">
        <is>
          <t>NULL</t>
        </is>
      </c>
      <c r="I769" s="0" t="inlineStr">
        <is>
          <t>NULL</t>
        </is>
      </c>
      <c r="J769" s="0" t="inlineStr">
        <is>
          <t>NULL</t>
        </is>
      </c>
      <c r="K769" s="0" t="inlineStr">
        <is>
          <t>YES! 	 c_bit列源备映射正确，源端为sql_variant 0位	期望更改为sql_variant	实际备端为sql_variant 0位</t>
        </is>
      </c>
    </row>
    <row r="770">
      <c r="B770" s="0" t="inlineStr">
        <is>
          <t>NULL</t>
        </is>
      </c>
      <c r="C770" s="0" t="inlineStr">
        <is>
          <t>NULL</t>
        </is>
      </c>
      <c r="D770" s="0" t="inlineStr">
        <is>
          <t>NULL</t>
        </is>
      </c>
      <c r="E770" s="0" t="inlineStr">
        <is>
          <t>NULL</t>
        </is>
      </c>
      <c r="F770" s="0" t="inlineStr">
        <is>
          <t>NULL</t>
        </is>
      </c>
      <c r="G770" s="0" t="inlineStr">
        <is>
          <t>NULL</t>
        </is>
      </c>
      <c r="H770" s="0" t="inlineStr">
        <is>
          <t>NULL</t>
        </is>
      </c>
      <c r="I770" s="0" t="inlineStr">
        <is>
          <t>NULL</t>
        </is>
      </c>
      <c r="J770" s="0" t="inlineStr">
        <is>
          <t>NULL</t>
        </is>
      </c>
      <c r="K770" s="0" t="inlineStr">
        <is>
          <t>YES! 	 c_decimal列源备映射正确，源端为sql_variant 0位	期望更改为sql_variant	实际备端为sql_variant 0位</t>
        </is>
      </c>
    </row>
    <row r="771">
      <c r="B771" s="0" t="inlineStr">
        <is>
          <t>NULL</t>
        </is>
      </c>
      <c r="C771" s="0" t="inlineStr">
        <is>
          <t>NULL</t>
        </is>
      </c>
      <c r="D771" s="0" t="inlineStr">
        <is>
          <t>NULL</t>
        </is>
      </c>
      <c r="E771" s="0" t="inlineStr">
        <is>
          <t>NULL</t>
        </is>
      </c>
      <c r="F771" s="0" t="inlineStr">
        <is>
          <t>NULL</t>
        </is>
      </c>
      <c r="G771" s="0" t="inlineStr">
        <is>
          <t>NULL</t>
        </is>
      </c>
      <c r="H771" s="0" t="inlineStr">
        <is>
          <t>NULL</t>
        </is>
      </c>
      <c r="I771" s="0" t="inlineStr">
        <is>
          <t>NULL</t>
        </is>
      </c>
      <c r="J771" s="0" t="inlineStr">
        <is>
          <t>NULL</t>
        </is>
      </c>
      <c r="K771" s="0" t="inlineStr">
        <is>
          <t>YES! 	 c_uniqueidentifier列源备映射正确，源端为sql_variant 0位	期望更改为sql_variant	实际备端为sql_variant 0位</t>
        </is>
      </c>
    </row>
    <row r="772">
      <c r="B772" s="0" t="inlineStr">
        <is>
          <t>NULL</t>
        </is>
      </c>
      <c r="C772" s="0" t="inlineStr">
        <is>
          <t>NULL</t>
        </is>
      </c>
      <c r="D772" s="0" t="inlineStr">
        <is>
          <t>NULL</t>
        </is>
      </c>
      <c r="E772" s="0" t="inlineStr">
        <is>
          <t>NULL</t>
        </is>
      </c>
      <c r="F772" s="0" t="inlineStr">
        <is>
          <t>NULL</t>
        </is>
      </c>
      <c r="G772" s="0" t="inlineStr">
        <is>
          <t>NULL</t>
        </is>
      </c>
      <c r="H772" s="0" t="inlineStr">
        <is>
          <t>NULL</t>
        </is>
      </c>
      <c r="I772" s="0" t="inlineStr">
        <is>
          <t>NULL</t>
        </is>
      </c>
      <c r="J772" s="0" t="inlineStr">
        <is>
          <t>NULL</t>
        </is>
      </c>
      <c r="K772" s="0" t="inlineStr">
        <is>
          <t>YES! 	 c_smallmoney列源备映射正确，源端为sql_variant 0位	期望更改为sql_variant	实际备端为sql_variant 0位</t>
        </is>
      </c>
    </row>
    <row r="773">
      <c r="B773" s="0" t="inlineStr">
        <is>
          <t>NULL</t>
        </is>
      </c>
      <c r="C773" s="0" t="inlineStr">
        <is>
          <t>NULL</t>
        </is>
      </c>
      <c r="D773" s="0" t="inlineStr">
        <is>
          <t>NULL</t>
        </is>
      </c>
      <c r="E773" s="0" t="inlineStr">
        <is>
          <t>NULL</t>
        </is>
      </c>
      <c r="F773" s="0" t="inlineStr">
        <is>
          <t>NULL</t>
        </is>
      </c>
      <c r="G773" s="0" t="inlineStr">
        <is>
          <t>NULL</t>
        </is>
      </c>
      <c r="H773" s="0" t="inlineStr">
        <is>
          <t>NULL</t>
        </is>
      </c>
      <c r="I773" s="0" t="inlineStr">
        <is>
          <t>NULL</t>
        </is>
      </c>
      <c r="J773" s="0" t="inlineStr">
        <is>
          <t>NULL</t>
        </is>
      </c>
      <c r="K773" s="0" t="inlineStr">
        <is>
          <t>YES! 	 c_bigint列源备映射正确，源端为sql_variant 0位	期望更改为sql_variant	实际备端为sql_variant 0位</t>
        </is>
      </c>
    </row>
    <row r="774">
      <c r="B774" s="0" t="inlineStr">
        <is>
          <t>NULL</t>
        </is>
      </c>
      <c r="C774" s="0" t="inlineStr">
        <is>
          <t>NULL</t>
        </is>
      </c>
      <c r="D774" s="0" t="inlineStr">
        <is>
          <t>NULL</t>
        </is>
      </c>
      <c r="E774" s="0" t="inlineStr">
        <is>
          <t>NULL</t>
        </is>
      </c>
      <c r="F774" s="0" t="inlineStr">
        <is>
          <t>NULL</t>
        </is>
      </c>
      <c r="G774" s="0" t="inlineStr">
        <is>
          <t>NULL</t>
        </is>
      </c>
      <c r="H774" s="0" t="inlineStr">
        <is>
          <t>NULL</t>
        </is>
      </c>
      <c r="I774" s="0" t="inlineStr">
        <is>
          <t>NULL</t>
        </is>
      </c>
      <c r="J774" s="0" t="inlineStr">
        <is>
          <t>NULL</t>
        </is>
      </c>
      <c r="K774" s="0" t="inlineStr">
        <is>
          <t>YES! 	 c_varbinary_20列源备映射正确，源端为sql_variant 0位	期望更改为sql_variant	实际备端为sql_variant 0位</t>
        </is>
      </c>
    </row>
    <row r="775">
      <c r="B775" s="0" t="inlineStr">
        <is>
          <t>NULL</t>
        </is>
      </c>
      <c r="C775" s="0" t="inlineStr">
        <is>
          <t>NULL</t>
        </is>
      </c>
      <c r="D775" s="0" t="inlineStr">
        <is>
          <t>NULL</t>
        </is>
      </c>
      <c r="E775" s="0" t="inlineStr">
        <is>
          <t>NULL</t>
        </is>
      </c>
      <c r="F775" s="0" t="inlineStr">
        <is>
          <t>NULL</t>
        </is>
      </c>
      <c r="G775" s="0" t="inlineStr">
        <is>
          <t>NULL</t>
        </is>
      </c>
      <c r="H775" s="0" t="inlineStr">
        <is>
          <t>NULL</t>
        </is>
      </c>
      <c r="I775" s="0" t="inlineStr">
        <is>
          <t>NULL</t>
        </is>
      </c>
      <c r="J775" s="0" t="inlineStr">
        <is>
          <t>NULL</t>
        </is>
      </c>
      <c r="K775" s="0" t="inlineStr">
        <is>
          <t>YES! 	 c_varchar_20列源备映射正确，源端为sql_variant 0位	期望更改为sql_variant	实际备端为sql_variant 0位</t>
        </is>
      </c>
    </row>
    <row r="776">
      <c r="B776" s="0" t="inlineStr">
        <is>
          <t>NULL</t>
        </is>
      </c>
      <c r="C776" s="0" t="inlineStr">
        <is>
          <t>NULL</t>
        </is>
      </c>
      <c r="D776" s="0" t="inlineStr">
        <is>
          <t>NULL</t>
        </is>
      </c>
      <c r="E776" s="0" t="inlineStr">
        <is>
          <t>NULL</t>
        </is>
      </c>
      <c r="F776" s="0" t="inlineStr">
        <is>
          <t>NULL</t>
        </is>
      </c>
      <c r="G776" s="0" t="inlineStr">
        <is>
          <t>NULL</t>
        </is>
      </c>
      <c r="H776" s="0" t="inlineStr">
        <is>
          <t>NULL</t>
        </is>
      </c>
      <c r="I776" s="0" t="inlineStr">
        <is>
          <t>NULL</t>
        </is>
      </c>
      <c r="J776" s="0" t="inlineStr">
        <is>
          <t>NULL</t>
        </is>
      </c>
      <c r="K776" s="0" t="inlineStr">
        <is>
          <t>YES! 	 c_binary_20列源备映射正确，源端为sql_variant 0位	期望更改为sql_variant	实际备端为sql_variant 0位</t>
        </is>
      </c>
    </row>
    <row r="777">
      <c r="B777" s="0" t="inlineStr">
        <is>
          <t>NULL</t>
        </is>
      </c>
      <c r="C777" s="0" t="inlineStr">
        <is>
          <t>NULL</t>
        </is>
      </c>
      <c r="D777" s="0" t="inlineStr">
        <is>
          <t>NULL</t>
        </is>
      </c>
      <c r="E777" s="0" t="inlineStr">
        <is>
          <t>NULL</t>
        </is>
      </c>
      <c r="F777" s="0" t="inlineStr">
        <is>
          <t>NULL</t>
        </is>
      </c>
      <c r="G777" s="0" t="inlineStr">
        <is>
          <t>NULL</t>
        </is>
      </c>
      <c r="H777" s="0" t="inlineStr">
        <is>
          <t>NULL</t>
        </is>
      </c>
      <c r="I777" s="0" t="inlineStr">
        <is>
          <t>NULL</t>
        </is>
      </c>
      <c r="J777" s="0" t="inlineStr">
        <is>
          <t>NULL</t>
        </is>
      </c>
      <c r="K777" s="0" t="inlineStr">
        <is>
          <t>YES! 	 c_char_20列源备映射正确，源端为sql_variant 0位	期望更改为sql_variant	实际备端为sql_variant 0位</t>
        </is>
      </c>
    </row>
    <row r="778">
      <c r="B778" s="0" t="inlineStr">
        <is>
          <t>NULL</t>
        </is>
      </c>
      <c r="C778" s="0" t="inlineStr">
        <is>
          <t>NULL</t>
        </is>
      </c>
      <c r="D778" s="0" t="inlineStr">
        <is>
          <t>NULL</t>
        </is>
      </c>
      <c r="E778" s="0" t="inlineStr">
        <is>
          <t>NULL</t>
        </is>
      </c>
      <c r="F778" s="0" t="inlineStr">
        <is>
          <t>NULL</t>
        </is>
      </c>
      <c r="G778" s="0" t="inlineStr">
        <is>
          <t>NULL</t>
        </is>
      </c>
      <c r="H778" s="0" t="inlineStr">
        <is>
          <t>NULL</t>
        </is>
      </c>
      <c r="I778" s="0" t="inlineStr">
        <is>
          <t>NULL</t>
        </is>
      </c>
      <c r="J778" s="0" t="inlineStr">
        <is>
          <t>NULL</t>
        </is>
      </c>
      <c r="K778" s="0" t="inlineStr">
        <is>
          <t>YES! 	 c_nvarchar_20列源备映射正确，源端为sql_variant 0位	期望更改为sql_variant	实际备端为sql_variant 0位</t>
        </is>
      </c>
    </row>
    <row r="779">
      <c r="B779" s="0" t="inlineStr">
        <is>
          <t>NULL</t>
        </is>
      </c>
      <c r="C779" s="0" t="inlineStr">
        <is>
          <t>NULL</t>
        </is>
      </c>
      <c r="D779" s="0" t="inlineStr">
        <is>
          <t>NULL</t>
        </is>
      </c>
      <c r="E779" s="0" t="inlineStr">
        <is>
          <t>NULL</t>
        </is>
      </c>
      <c r="F779" s="0" t="inlineStr">
        <is>
          <t>NULL</t>
        </is>
      </c>
      <c r="G779" s="0" t="inlineStr">
        <is>
          <t>NULL</t>
        </is>
      </c>
      <c r="H779" s="0" t="inlineStr">
        <is>
          <t>NULL</t>
        </is>
      </c>
      <c r="I779" s="0" t="inlineStr">
        <is>
          <t>NULL</t>
        </is>
      </c>
      <c r="J779" s="0" t="inlineStr">
        <is>
          <t>NULL</t>
        </is>
      </c>
      <c r="K779" s="0" t="inlineStr">
        <is>
          <t>YES! 	 c_nchar_20列源备映射正确，源端为sql_variant 0位	期望更改为sql_variant	实际备端为sql_variant 0位</t>
        </is>
      </c>
    </row>
    <row r="780">
      <c r="B780" s="0" t="inlineStr">
        <is>
          <t>NULL</t>
        </is>
      </c>
      <c r="C780" s="0" t="inlineStr">
        <is>
          <t>NULL</t>
        </is>
      </c>
      <c r="D780" s="0" t="inlineStr">
        <is>
          <t>NULL</t>
        </is>
      </c>
      <c r="E780" s="0" t="inlineStr">
        <is>
          <t>NULL</t>
        </is>
      </c>
      <c r="F780" s="0" t="inlineStr">
        <is>
          <t>NULL</t>
        </is>
      </c>
      <c r="G780" s="0" t="inlineStr">
        <is>
          <t>NULL</t>
        </is>
      </c>
      <c r="H780" s="0" t="inlineStr">
        <is>
          <t>NULL</t>
        </is>
      </c>
      <c r="I780" s="0" t="inlineStr">
        <is>
          <t>NULL</t>
        </is>
      </c>
      <c r="J780" s="0" t="inlineStr">
        <is>
          <t>NULL</t>
        </is>
      </c>
      <c r="K780" s="0" t="inlineStr">
        <is>
          <t>YES! 	 c_timestamp列源备映射正确，源端为timestamp None位	期望更改为timestamp	实际备端为timestamp None位</t>
        </is>
      </c>
    </row>
    <row r="781">
      <c r="A781" s="0" t="inlineStr">
        <is>
          <t>info_date_dml_single_pk_drp</t>
        </is>
      </c>
      <c r="K781" s="0" t="inlineStr">
        <is>
          <t>[0;34m info_date_dml_single_pk_drp [0m源备字段数相同，源端字段：2 	备端字段2</t>
        </is>
      </c>
      <c r="W781" s="0" t="inlineStr">
        <is>
          <t>YES 源备无差异</t>
        </is>
      </c>
      <c r="X781" s="0">
        <f>A781</f>
        <v/>
      </c>
    </row>
    <row r="782">
      <c r="B782" s="0" t="inlineStr">
        <is>
          <t>YES</t>
        </is>
      </c>
      <c r="C782" s="0" t="inlineStr">
        <is>
          <t>NULL</t>
        </is>
      </c>
      <c r="D782" s="0" t="inlineStr">
        <is>
          <t>NULL</t>
        </is>
      </c>
      <c r="E782" s="0" t="inlineStr">
        <is>
          <t>NULL</t>
        </is>
      </c>
      <c r="F782" s="0" t="inlineStr">
        <is>
          <t>NULL</t>
        </is>
      </c>
      <c r="G782" s="0" t="inlineStr">
        <is>
          <t>NULL</t>
        </is>
      </c>
      <c r="H782" s="0" t="inlineStr">
        <is>
          <t>NULL</t>
        </is>
      </c>
      <c r="I782" s="0" t="inlineStr">
        <is>
          <t>YES!PK__info_dat__3213E83FC7ACFD5F</t>
        </is>
      </c>
      <c r="J782" s="0" t="inlineStr">
        <is>
          <t>YES! 主键相关索引</t>
        </is>
      </c>
      <c r="K782" s="0" t="inlineStr">
        <is>
          <t>YES! 	 id列源备映射正确，源端为int None位	期望更改为int	实际备端为int None位</t>
        </is>
      </c>
    </row>
    <row r="783">
      <c r="B783" s="0" t="inlineStr">
        <is>
          <t>NULL</t>
        </is>
      </c>
      <c r="C783" s="0" t="inlineStr">
        <is>
          <t>NULL</t>
        </is>
      </c>
      <c r="D783" s="0" t="inlineStr">
        <is>
          <t>NULL</t>
        </is>
      </c>
      <c r="E783" s="0" t="inlineStr">
        <is>
          <t>NULL</t>
        </is>
      </c>
      <c r="F783" s="0" t="inlineStr">
        <is>
          <t>NULL</t>
        </is>
      </c>
      <c r="G783" s="0" t="inlineStr">
        <is>
          <t>NULL</t>
        </is>
      </c>
      <c r="H783" s="0" t="inlineStr">
        <is>
          <t>NULL</t>
        </is>
      </c>
      <c r="I783" s="0" t="inlineStr">
        <is>
          <t>NULL</t>
        </is>
      </c>
      <c r="J783" s="0" t="inlineStr">
        <is>
          <t>NULL</t>
        </is>
      </c>
      <c r="K783" s="0" t="inlineStr">
        <is>
          <t>YES! 	 c_date列源备映射正确，源端为date None位	期望更改为date	实际备端为date None位</t>
        </is>
      </c>
    </row>
    <row r="784">
      <c r="A784" s="0" t="inlineStr">
        <is>
          <t>info_nchar_dml_batch2_pk_irp1</t>
        </is>
      </c>
      <c r="K784" s="0" t="inlineStr">
        <is>
          <t>[0;34m info_nchar_dml_batch2_pk_irp1 [0m源备字段数相同，源端字段：4 	备端字段4</t>
        </is>
      </c>
      <c r="W784" s="0" t="inlineStr">
        <is>
          <t>YES 源备无差异</t>
        </is>
      </c>
      <c r="X784" s="0">
        <f>A784</f>
        <v/>
      </c>
    </row>
    <row r="785">
      <c r="B785" s="0" t="inlineStr">
        <is>
          <t>YES</t>
        </is>
      </c>
      <c r="C785" s="0" t="inlineStr">
        <is>
          <t>NULL</t>
        </is>
      </c>
      <c r="D785" s="0" t="inlineStr">
        <is>
          <t>NULL</t>
        </is>
      </c>
      <c r="E785" s="0" t="inlineStr">
        <is>
          <t>NULL</t>
        </is>
      </c>
      <c r="F785" s="0" t="inlineStr">
        <is>
          <t>NULL</t>
        </is>
      </c>
      <c r="G785" s="0" t="inlineStr">
        <is>
          <t>NULL</t>
        </is>
      </c>
      <c r="H785" s="0" t="inlineStr">
        <is>
          <t>NULL</t>
        </is>
      </c>
      <c r="I785" s="0" t="inlineStr">
        <is>
          <t>YES!PK__info_nch__3213E83F71E2BC7E</t>
        </is>
      </c>
      <c r="J785" s="0" t="inlineStr">
        <is>
          <t>YES! 主键相关索引</t>
        </is>
      </c>
      <c r="K785" s="0" t="inlineStr">
        <is>
          <t>YES! 	 id列源备映射正确，源端为int None位	期望更改为int	实际备端为int None位</t>
        </is>
      </c>
    </row>
    <row r="786">
      <c r="B786" s="0" t="inlineStr">
        <is>
          <t>NULL</t>
        </is>
      </c>
      <c r="C786" s="0" t="inlineStr">
        <is>
          <t>NULL</t>
        </is>
      </c>
      <c r="D786" s="0" t="inlineStr">
        <is>
          <t>NULL</t>
        </is>
      </c>
      <c r="E786" s="0" t="inlineStr">
        <is>
          <t>NULL</t>
        </is>
      </c>
      <c r="F786" s="0" t="inlineStr">
        <is>
          <t>NULL</t>
        </is>
      </c>
      <c r="G786" s="0" t="inlineStr">
        <is>
          <t>NULL</t>
        </is>
      </c>
      <c r="H786" s="0" t="inlineStr">
        <is>
          <t>NULL</t>
        </is>
      </c>
      <c r="I786" s="0" t="inlineStr">
        <is>
          <t>NULL</t>
        </is>
      </c>
      <c r="J786" s="0" t="inlineStr">
        <is>
          <t>NULL</t>
        </is>
      </c>
      <c r="K786" s="0" t="inlineStr">
        <is>
          <t>YES! 	 c_nchar列源备映射正确，源端为nchar 2位	期望更改为nchar(n)	实际备端为nchar 2位</t>
        </is>
      </c>
    </row>
    <row r="787">
      <c r="B787" s="0" t="inlineStr">
        <is>
          <t>NULL</t>
        </is>
      </c>
      <c r="C787" s="0" t="inlineStr">
        <is>
          <t>NULL</t>
        </is>
      </c>
      <c r="D787" s="0" t="inlineStr">
        <is>
          <t>NULL</t>
        </is>
      </c>
      <c r="E787" s="0" t="inlineStr">
        <is>
          <t>NULL</t>
        </is>
      </c>
      <c r="F787" s="0" t="inlineStr">
        <is>
          <t>NULL</t>
        </is>
      </c>
      <c r="G787" s="0" t="inlineStr">
        <is>
          <t>NULL</t>
        </is>
      </c>
      <c r="H787" s="0" t="inlineStr">
        <is>
          <t>NULL</t>
        </is>
      </c>
      <c r="I787" s="0" t="inlineStr">
        <is>
          <t>NULL</t>
        </is>
      </c>
      <c r="J787" s="0" t="inlineStr">
        <is>
          <t>NULL</t>
        </is>
      </c>
      <c r="K787" s="0" t="inlineStr">
        <is>
          <t>YES! 	 c_nchar20列源备映射正确，源端为nchar 40位	期望更改为nchar(n)	实际备端为nchar 40位</t>
        </is>
      </c>
    </row>
    <row r="788">
      <c r="B788" s="0" t="inlineStr">
        <is>
          <t>NULL</t>
        </is>
      </c>
      <c r="C788" s="0" t="inlineStr">
        <is>
          <t>NULL</t>
        </is>
      </c>
      <c r="D788" s="0" t="inlineStr">
        <is>
          <t>NULL</t>
        </is>
      </c>
      <c r="E788" s="0" t="inlineStr">
        <is>
          <t>NULL</t>
        </is>
      </c>
      <c r="F788" s="0" t="inlineStr">
        <is>
          <t>NULL</t>
        </is>
      </c>
      <c r="G788" s="0" t="inlineStr">
        <is>
          <t>NULL</t>
        </is>
      </c>
      <c r="H788" s="0" t="inlineStr">
        <is>
          <t>NULL</t>
        </is>
      </c>
      <c r="I788" s="0" t="inlineStr">
        <is>
          <t>NULL</t>
        </is>
      </c>
      <c r="J788" s="0" t="inlineStr">
        <is>
          <t>NULL</t>
        </is>
      </c>
      <c r="K788" s="0" t="inlineStr">
        <is>
          <t>YES! 	 c_nchar3500列源备映射正确，源端为nchar 7000位	期望更改为nchar(n)	实际备端为nchar 7000位</t>
        </is>
      </c>
    </row>
    <row r="789">
      <c r="A789" s="0" t="inlineStr">
        <is>
          <t>info_varcharmax_dml_single_pk</t>
        </is>
      </c>
      <c r="K789" s="0" t="inlineStr">
        <is>
          <t>[0;34m info_varcharmax_dml_single_pk [0m源备字段数相同，源端字段：3 	备端字段3</t>
        </is>
      </c>
      <c r="W789" s="0" t="inlineStr">
        <is>
          <t>YES 源备无差异</t>
        </is>
      </c>
      <c r="X789" s="0">
        <f>A789</f>
        <v/>
      </c>
    </row>
    <row r="790">
      <c r="B790" s="0" t="inlineStr">
        <is>
          <t>YES</t>
        </is>
      </c>
      <c r="C790" s="0" t="inlineStr">
        <is>
          <t>NULL</t>
        </is>
      </c>
      <c r="D790" s="0" t="inlineStr">
        <is>
          <t>NULL</t>
        </is>
      </c>
      <c r="E790" s="0" t="inlineStr">
        <is>
          <t>NULL</t>
        </is>
      </c>
      <c r="F790" s="0" t="inlineStr">
        <is>
          <t>NULL</t>
        </is>
      </c>
      <c r="G790" s="0" t="inlineStr">
        <is>
          <t>NULL</t>
        </is>
      </c>
      <c r="H790" s="0" t="inlineStr">
        <is>
          <t>NULL</t>
        </is>
      </c>
      <c r="I790" s="0" t="inlineStr">
        <is>
          <t>YES!PK__info_var__3213E83FAA8F1DB7</t>
        </is>
      </c>
      <c r="J790" s="0" t="inlineStr">
        <is>
          <t>YES! 主键相关索引</t>
        </is>
      </c>
      <c r="K790" s="0" t="inlineStr">
        <is>
          <t>YES! 	 id列源备映射正确，源端为int None位	期望更改为int	实际备端为int None位</t>
        </is>
      </c>
    </row>
    <row r="791">
      <c r="B791" s="0" t="inlineStr">
        <is>
          <t>NULL</t>
        </is>
      </c>
      <c r="C791" s="0" t="inlineStr">
        <is>
          <t>NULL</t>
        </is>
      </c>
      <c r="D791" s="0" t="inlineStr">
        <is>
          <t>NULL</t>
        </is>
      </c>
      <c r="E791" s="0" t="inlineStr">
        <is>
          <t>NULL</t>
        </is>
      </c>
      <c r="F791" s="0" t="inlineStr">
        <is>
          <t>NULL</t>
        </is>
      </c>
      <c r="G791" s="0" t="inlineStr">
        <is>
          <t>NULL</t>
        </is>
      </c>
      <c r="H791" s="0" t="inlineStr">
        <is>
          <t>NULL</t>
        </is>
      </c>
      <c r="I791" s="0" t="inlineStr">
        <is>
          <t>NULL</t>
        </is>
      </c>
      <c r="J791" s="0" t="inlineStr">
        <is>
          <t>NULL</t>
        </is>
      </c>
      <c r="K791" s="0" t="inlineStr">
        <is>
          <t>YES! 	 c_varchar_max列源备映射正确，源端为varchar -1位	期望更改为varchar(n)	实际备端为varchar -1位</t>
        </is>
      </c>
    </row>
    <row r="792">
      <c r="B792" s="0" t="inlineStr">
        <is>
          <t>NULL</t>
        </is>
      </c>
      <c r="C792" s="0" t="inlineStr">
        <is>
          <t>NULL</t>
        </is>
      </c>
      <c r="D792" s="0" t="inlineStr">
        <is>
          <t>NULL</t>
        </is>
      </c>
      <c r="E792" s="0" t="inlineStr">
        <is>
          <t>NULL</t>
        </is>
      </c>
      <c r="F792" s="0" t="inlineStr">
        <is>
          <t>NULL</t>
        </is>
      </c>
      <c r="G792" s="0" t="inlineStr">
        <is>
          <t>NULL</t>
        </is>
      </c>
      <c r="H792" s="0" t="inlineStr">
        <is>
          <t>NULL</t>
        </is>
      </c>
      <c r="I792" s="0" t="inlineStr">
        <is>
          <t>NULL</t>
        </is>
      </c>
      <c r="J792" s="0" t="inlineStr">
        <is>
          <t>NULL</t>
        </is>
      </c>
      <c r="K792" s="0" t="inlineStr">
        <is>
          <t>YES! 	 c_nvarchar_max列源备映射正确，源端为nvarchar -1位	期望更改为nvarchar(n)	实际备端为nvarchar -1位</t>
        </is>
      </c>
    </row>
    <row r="793">
      <c r="A793" s="0" t="inlineStr">
        <is>
          <t>info_sql_variant_dml_single_nopk_urp</t>
        </is>
      </c>
      <c r="K793" s="0" t="inlineStr">
        <is>
          <t>[0;34m info_sql_variant_dml_single_nopk_urp [0m源备字段数相同，源端字段：25 	备端字段25</t>
        </is>
      </c>
      <c r="W793" s="0" t="inlineStr">
        <is>
          <t>YES 源备无差异</t>
        </is>
      </c>
      <c r="X793" s="0">
        <f>A793</f>
        <v/>
      </c>
    </row>
    <row r="794">
      <c r="B794" s="0" t="inlineStr">
        <is>
          <t>NULL</t>
        </is>
      </c>
      <c r="C794" s="0" t="inlineStr">
        <is>
          <t>NULL</t>
        </is>
      </c>
      <c r="D794" s="0" t="inlineStr">
        <is>
          <t>NULL</t>
        </is>
      </c>
      <c r="E794" s="0" t="inlineStr">
        <is>
          <t>NULL</t>
        </is>
      </c>
      <c r="F794" s="0" t="inlineStr">
        <is>
          <t>NULL</t>
        </is>
      </c>
      <c r="G794" s="0" t="inlineStr">
        <is>
          <t>NULL</t>
        </is>
      </c>
      <c r="H794" s="0" t="inlineStr">
        <is>
          <t>NULL</t>
        </is>
      </c>
      <c r="I794" s="0" t="inlineStr">
        <is>
          <t>NULL</t>
        </is>
      </c>
      <c r="J794" s="0" t="inlineStr">
        <is>
          <t>NULL</t>
        </is>
      </c>
      <c r="K794" s="0" t="inlineStr">
        <is>
          <t>YES! 	 id列源备映射正确，源端为int None位	期望更改为int	实际备端为int None位</t>
        </is>
      </c>
    </row>
    <row r="795">
      <c r="B795" s="0" t="inlineStr">
        <is>
          <t>NULL</t>
        </is>
      </c>
      <c r="C795" s="0" t="inlineStr">
        <is>
          <t>NULL</t>
        </is>
      </c>
      <c r="D795" s="0" t="inlineStr">
        <is>
          <t>NULL</t>
        </is>
      </c>
      <c r="E795" s="0" t="inlineStr">
        <is>
          <t>NULL</t>
        </is>
      </c>
      <c r="F795" s="0" t="inlineStr">
        <is>
          <t>NULL</t>
        </is>
      </c>
      <c r="G795" s="0" t="inlineStr">
        <is>
          <t>NULL</t>
        </is>
      </c>
      <c r="H795" s="0" t="inlineStr">
        <is>
          <t>NULL</t>
        </is>
      </c>
      <c r="I795" s="0" t="inlineStr">
        <is>
          <t>NULL</t>
        </is>
      </c>
      <c r="J795" s="0" t="inlineStr">
        <is>
          <t>NULL</t>
        </is>
      </c>
      <c r="K795" s="0" t="inlineStr">
        <is>
          <t>YES! 	 c_date列源备映射正确，源端为sql_variant 0位	期望更改为sql_variant	实际备端为sql_variant 0位</t>
        </is>
      </c>
    </row>
    <row r="796">
      <c r="B796" s="0" t="inlineStr">
        <is>
          <t>NULL</t>
        </is>
      </c>
      <c r="C796" s="0" t="inlineStr">
        <is>
          <t>NULL</t>
        </is>
      </c>
      <c r="D796" s="0" t="inlineStr">
        <is>
          <t>NULL</t>
        </is>
      </c>
      <c r="E796" s="0" t="inlineStr">
        <is>
          <t>NULL</t>
        </is>
      </c>
      <c r="F796" s="0" t="inlineStr">
        <is>
          <t>NULL</t>
        </is>
      </c>
      <c r="G796" s="0" t="inlineStr">
        <is>
          <t>NULL</t>
        </is>
      </c>
      <c r="H796" s="0" t="inlineStr">
        <is>
          <t>NULL</t>
        </is>
      </c>
      <c r="I796" s="0" t="inlineStr">
        <is>
          <t>NULL</t>
        </is>
      </c>
      <c r="J796" s="0" t="inlineStr">
        <is>
          <t>NULL</t>
        </is>
      </c>
      <c r="K796" s="0" t="inlineStr">
        <is>
          <t>YES! 	 c_time列源备映射正确，源端为sql_variant 0位	期望更改为sql_variant	实际备端为sql_variant 0位</t>
        </is>
      </c>
    </row>
    <row r="797">
      <c r="B797" s="0" t="inlineStr">
        <is>
          <t>NULL</t>
        </is>
      </c>
      <c r="C797" s="0" t="inlineStr">
        <is>
          <t>NULL</t>
        </is>
      </c>
      <c r="D797" s="0" t="inlineStr">
        <is>
          <t>NULL</t>
        </is>
      </c>
      <c r="E797" s="0" t="inlineStr">
        <is>
          <t>NULL</t>
        </is>
      </c>
      <c r="F797" s="0" t="inlineStr">
        <is>
          <t>NULL</t>
        </is>
      </c>
      <c r="G797" s="0" t="inlineStr">
        <is>
          <t>NULL</t>
        </is>
      </c>
      <c r="H797" s="0" t="inlineStr">
        <is>
          <t>NULL</t>
        </is>
      </c>
      <c r="I797" s="0" t="inlineStr">
        <is>
          <t>NULL</t>
        </is>
      </c>
      <c r="J797" s="0" t="inlineStr">
        <is>
          <t>NULL</t>
        </is>
      </c>
      <c r="K797" s="0" t="inlineStr">
        <is>
          <t>YES! 	 c_datetime2列源备映射正确，源端为sql_variant 0位	期望更改为sql_variant	实际备端为sql_variant 0位</t>
        </is>
      </c>
    </row>
    <row r="798">
      <c r="B798" s="0" t="inlineStr">
        <is>
          <t>NULL</t>
        </is>
      </c>
      <c r="C798" s="0" t="inlineStr">
        <is>
          <t>NULL</t>
        </is>
      </c>
      <c r="D798" s="0" t="inlineStr">
        <is>
          <t>NULL</t>
        </is>
      </c>
      <c r="E798" s="0" t="inlineStr">
        <is>
          <t>NULL</t>
        </is>
      </c>
      <c r="F798" s="0" t="inlineStr">
        <is>
          <t>NULL</t>
        </is>
      </c>
      <c r="G798" s="0" t="inlineStr">
        <is>
          <t>NULL</t>
        </is>
      </c>
      <c r="H798" s="0" t="inlineStr">
        <is>
          <t>NULL</t>
        </is>
      </c>
      <c r="I798" s="0" t="inlineStr">
        <is>
          <t>NULL</t>
        </is>
      </c>
      <c r="J798" s="0" t="inlineStr">
        <is>
          <t>NULL</t>
        </is>
      </c>
      <c r="K798" s="0" t="inlineStr">
        <is>
          <t>YES! 	 c_datetimeoffset列源备映射正确，源端为sql_variant 0位	期望更改为sql_variant	实际备端为sql_variant 0位</t>
        </is>
      </c>
    </row>
    <row r="799">
      <c r="B799" s="0" t="inlineStr">
        <is>
          <t>NULL</t>
        </is>
      </c>
      <c r="C799" s="0" t="inlineStr">
        <is>
          <t>NULL</t>
        </is>
      </c>
      <c r="D799" s="0" t="inlineStr">
        <is>
          <t>NULL</t>
        </is>
      </c>
      <c r="E799" s="0" t="inlineStr">
        <is>
          <t>NULL</t>
        </is>
      </c>
      <c r="F799" s="0" t="inlineStr">
        <is>
          <t>NULL</t>
        </is>
      </c>
      <c r="G799" s="0" t="inlineStr">
        <is>
          <t>NULL</t>
        </is>
      </c>
      <c r="H799" s="0" t="inlineStr">
        <is>
          <t>NULL</t>
        </is>
      </c>
      <c r="I799" s="0" t="inlineStr">
        <is>
          <t>NULL</t>
        </is>
      </c>
      <c r="J799" s="0" t="inlineStr">
        <is>
          <t>NULL</t>
        </is>
      </c>
      <c r="K799" s="0" t="inlineStr">
        <is>
          <t>YES! 	 c_tinyint列源备映射正确，源端为sql_variant 0位	期望更改为sql_variant	实际备端为sql_variant 0位</t>
        </is>
      </c>
    </row>
    <row r="800">
      <c r="B800" s="0" t="inlineStr">
        <is>
          <t>NULL</t>
        </is>
      </c>
      <c r="C800" s="0" t="inlineStr">
        <is>
          <t>NULL</t>
        </is>
      </c>
      <c r="D800" s="0" t="inlineStr">
        <is>
          <t>NULL</t>
        </is>
      </c>
      <c r="E800" s="0" t="inlineStr">
        <is>
          <t>NULL</t>
        </is>
      </c>
      <c r="F800" s="0" t="inlineStr">
        <is>
          <t>NULL</t>
        </is>
      </c>
      <c r="G800" s="0" t="inlineStr">
        <is>
          <t>NULL</t>
        </is>
      </c>
      <c r="H800" s="0" t="inlineStr">
        <is>
          <t>NULL</t>
        </is>
      </c>
      <c r="I800" s="0" t="inlineStr">
        <is>
          <t>NULL</t>
        </is>
      </c>
      <c r="J800" s="0" t="inlineStr">
        <is>
          <t>NULL</t>
        </is>
      </c>
      <c r="K800" s="0" t="inlineStr">
        <is>
          <t>YES! 	 c_smallint列源备映射正确，源端为sql_variant 0位	期望更改为sql_variant	实际备端为sql_variant 0位</t>
        </is>
      </c>
    </row>
    <row r="801">
      <c r="B801" s="0" t="inlineStr">
        <is>
          <t>NULL</t>
        </is>
      </c>
      <c r="C801" s="0" t="inlineStr">
        <is>
          <t>NULL</t>
        </is>
      </c>
      <c r="D801" s="0" t="inlineStr">
        <is>
          <t>NULL</t>
        </is>
      </c>
      <c r="E801" s="0" t="inlineStr">
        <is>
          <t>NULL</t>
        </is>
      </c>
      <c r="F801" s="0" t="inlineStr">
        <is>
          <t>NULL</t>
        </is>
      </c>
      <c r="G801" s="0" t="inlineStr">
        <is>
          <t>NULL</t>
        </is>
      </c>
      <c r="H801" s="0" t="inlineStr">
        <is>
          <t>NULL</t>
        </is>
      </c>
      <c r="I801" s="0" t="inlineStr">
        <is>
          <t>NULL</t>
        </is>
      </c>
      <c r="J801" s="0" t="inlineStr">
        <is>
          <t>NULL</t>
        </is>
      </c>
      <c r="K801" s="0" t="inlineStr">
        <is>
          <t>YES! 	 c_int列源备映射正确，源端为sql_variant 0位	期望更改为sql_variant	实际备端为sql_variant 0位</t>
        </is>
      </c>
    </row>
    <row r="802">
      <c r="B802" s="0" t="inlineStr">
        <is>
          <t>NULL</t>
        </is>
      </c>
      <c r="C802" s="0" t="inlineStr">
        <is>
          <t>NULL</t>
        </is>
      </c>
      <c r="D802" s="0" t="inlineStr">
        <is>
          <t>NULL</t>
        </is>
      </c>
      <c r="E802" s="0" t="inlineStr">
        <is>
          <t>NULL</t>
        </is>
      </c>
      <c r="F802" s="0" t="inlineStr">
        <is>
          <t>NULL</t>
        </is>
      </c>
      <c r="G802" s="0" t="inlineStr">
        <is>
          <t>NULL</t>
        </is>
      </c>
      <c r="H802" s="0" t="inlineStr">
        <is>
          <t>NULL</t>
        </is>
      </c>
      <c r="I802" s="0" t="inlineStr">
        <is>
          <t>NULL</t>
        </is>
      </c>
      <c r="J802" s="0" t="inlineStr">
        <is>
          <t>NULL</t>
        </is>
      </c>
      <c r="K802" s="0" t="inlineStr">
        <is>
          <t>YES! 	 c_sdt列源备映射正确，源端为sql_variant 0位	期望更改为sql_variant	实际备端为sql_variant 0位</t>
        </is>
      </c>
    </row>
    <row r="803">
      <c r="B803" s="0" t="inlineStr">
        <is>
          <t>NULL</t>
        </is>
      </c>
      <c r="C803" s="0" t="inlineStr">
        <is>
          <t>NULL</t>
        </is>
      </c>
      <c r="D803" s="0" t="inlineStr">
        <is>
          <t>NULL</t>
        </is>
      </c>
      <c r="E803" s="0" t="inlineStr">
        <is>
          <t>NULL</t>
        </is>
      </c>
      <c r="F803" s="0" t="inlineStr">
        <is>
          <t>NULL</t>
        </is>
      </c>
      <c r="G803" s="0" t="inlineStr">
        <is>
          <t>NULL</t>
        </is>
      </c>
      <c r="H803" s="0" t="inlineStr">
        <is>
          <t>NULL</t>
        </is>
      </c>
      <c r="I803" s="0" t="inlineStr">
        <is>
          <t>NULL</t>
        </is>
      </c>
      <c r="J803" s="0" t="inlineStr">
        <is>
          <t>NULL</t>
        </is>
      </c>
      <c r="K803" s="0" t="inlineStr">
        <is>
          <t>YES! 	 c_real列源备映射正确，源端为sql_variant 0位	期望更改为sql_variant	实际备端为sql_variant 0位</t>
        </is>
      </c>
    </row>
    <row r="804">
      <c r="B804" s="0" t="inlineStr">
        <is>
          <t>NULL</t>
        </is>
      </c>
      <c r="C804" s="0" t="inlineStr">
        <is>
          <t>NULL</t>
        </is>
      </c>
      <c r="D804" s="0" t="inlineStr">
        <is>
          <t>NULL</t>
        </is>
      </c>
      <c r="E804" s="0" t="inlineStr">
        <is>
          <t>NULL</t>
        </is>
      </c>
      <c r="F804" s="0" t="inlineStr">
        <is>
          <t>NULL</t>
        </is>
      </c>
      <c r="G804" s="0" t="inlineStr">
        <is>
          <t>NULL</t>
        </is>
      </c>
      <c r="H804" s="0" t="inlineStr">
        <is>
          <t>NULL</t>
        </is>
      </c>
      <c r="I804" s="0" t="inlineStr">
        <is>
          <t>NULL</t>
        </is>
      </c>
      <c r="J804" s="0" t="inlineStr">
        <is>
          <t>NULL</t>
        </is>
      </c>
      <c r="K804" s="0" t="inlineStr">
        <is>
          <t>YES! 	 c_money列源备映射正确，源端为sql_variant 0位	期望更改为sql_variant	实际备端为sql_variant 0位</t>
        </is>
      </c>
    </row>
    <row r="805">
      <c r="B805" s="0" t="inlineStr">
        <is>
          <t>NULL</t>
        </is>
      </c>
      <c r="C805" s="0" t="inlineStr">
        <is>
          <t>NULL</t>
        </is>
      </c>
      <c r="D805" s="0" t="inlineStr">
        <is>
          <t>NULL</t>
        </is>
      </c>
      <c r="E805" s="0" t="inlineStr">
        <is>
          <t>NULL</t>
        </is>
      </c>
      <c r="F805" s="0" t="inlineStr">
        <is>
          <t>NULL</t>
        </is>
      </c>
      <c r="G805" s="0" t="inlineStr">
        <is>
          <t>NULL</t>
        </is>
      </c>
      <c r="H805" s="0" t="inlineStr">
        <is>
          <t>NULL</t>
        </is>
      </c>
      <c r="I805" s="0" t="inlineStr">
        <is>
          <t>NULL</t>
        </is>
      </c>
      <c r="J805" s="0" t="inlineStr">
        <is>
          <t>NULL</t>
        </is>
      </c>
      <c r="K805" s="0" t="inlineStr">
        <is>
          <t>YES! 	 c_datetime列源备映射正确，源端为sql_variant 0位	期望更改为sql_variant	实际备端为sql_variant 0位</t>
        </is>
      </c>
    </row>
    <row r="806">
      <c r="B806" s="0" t="inlineStr">
        <is>
          <t>NULL</t>
        </is>
      </c>
      <c r="C806" s="0" t="inlineStr">
        <is>
          <t>NULL</t>
        </is>
      </c>
      <c r="D806" s="0" t="inlineStr">
        <is>
          <t>NULL</t>
        </is>
      </c>
      <c r="E806" s="0" t="inlineStr">
        <is>
          <t>NULL</t>
        </is>
      </c>
      <c r="F806" s="0" t="inlineStr">
        <is>
          <t>NULL</t>
        </is>
      </c>
      <c r="G806" s="0" t="inlineStr">
        <is>
          <t>NULL</t>
        </is>
      </c>
      <c r="H806" s="0" t="inlineStr">
        <is>
          <t>NULL</t>
        </is>
      </c>
      <c r="I806" s="0" t="inlineStr">
        <is>
          <t>NULL</t>
        </is>
      </c>
      <c r="J806" s="0" t="inlineStr">
        <is>
          <t>NULL</t>
        </is>
      </c>
      <c r="K806" s="0" t="inlineStr">
        <is>
          <t>YES! 	 c_float列源备映射正确，源端为sql_variant 0位	期望更改为sql_variant	实际备端为sql_variant 0位</t>
        </is>
      </c>
    </row>
    <row r="807">
      <c r="B807" s="0" t="inlineStr">
        <is>
          <t>NULL</t>
        </is>
      </c>
      <c r="C807" s="0" t="inlineStr">
        <is>
          <t>NULL</t>
        </is>
      </c>
      <c r="D807" s="0" t="inlineStr">
        <is>
          <t>NULL</t>
        </is>
      </c>
      <c r="E807" s="0" t="inlineStr">
        <is>
          <t>NULL</t>
        </is>
      </c>
      <c r="F807" s="0" t="inlineStr">
        <is>
          <t>NULL</t>
        </is>
      </c>
      <c r="G807" s="0" t="inlineStr">
        <is>
          <t>NULL</t>
        </is>
      </c>
      <c r="H807" s="0" t="inlineStr">
        <is>
          <t>NULL</t>
        </is>
      </c>
      <c r="I807" s="0" t="inlineStr">
        <is>
          <t>NULL</t>
        </is>
      </c>
      <c r="J807" s="0" t="inlineStr">
        <is>
          <t>NULL</t>
        </is>
      </c>
      <c r="K807" s="0" t="inlineStr">
        <is>
          <t>YES! 	 c_bit列源备映射正确，源端为sql_variant 0位	期望更改为sql_variant	实际备端为sql_variant 0位</t>
        </is>
      </c>
    </row>
    <row r="808">
      <c r="B808" s="0" t="inlineStr">
        <is>
          <t>NULL</t>
        </is>
      </c>
      <c r="C808" s="0" t="inlineStr">
        <is>
          <t>NULL</t>
        </is>
      </c>
      <c r="D808" s="0" t="inlineStr">
        <is>
          <t>NULL</t>
        </is>
      </c>
      <c r="E808" s="0" t="inlineStr">
        <is>
          <t>NULL</t>
        </is>
      </c>
      <c r="F808" s="0" t="inlineStr">
        <is>
          <t>NULL</t>
        </is>
      </c>
      <c r="G808" s="0" t="inlineStr">
        <is>
          <t>NULL</t>
        </is>
      </c>
      <c r="H808" s="0" t="inlineStr">
        <is>
          <t>NULL</t>
        </is>
      </c>
      <c r="I808" s="0" t="inlineStr">
        <is>
          <t>NULL</t>
        </is>
      </c>
      <c r="J808" s="0" t="inlineStr">
        <is>
          <t>NULL</t>
        </is>
      </c>
      <c r="K808" s="0" t="inlineStr">
        <is>
          <t>YES! 	 c_decimal列源备映射正确，源端为sql_variant 0位	期望更改为sql_variant	实际备端为sql_variant 0位</t>
        </is>
      </c>
    </row>
    <row r="809">
      <c r="B809" s="0" t="inlineStr">
        <is>
          <t>NULL</t>
        </is>
      </c>
      <c r="C809" s="0" t="inlineStr">
        <is>
          <t>NULL</t>
        </is>
      </c>
      <c r="D809" s="0" t="inlineStr">
        <is>
          <t>NULL</t>
        </is>
      </c>
      <c r="E809" s="0" t="inlineStr">
        <is>
          <t>NULL</t>
        </is>
      </c>
      <c r="F809" s="0" t="inlineStr">
        <is>
          <t>NULL</t>
        </is>
      </c>
      <c r="G809" s="0" t="inlineStr">
        <is>
          <t>NULL</t>
        </is>
      </c>
      <c r="H809" s="0" t="inlineStr">
        <is>
          <t>NULL</t>
        </is>
      </c>
      <c r="I809" s="0" t="inlineStr">
        <is>
          <t>NULL</t>
        </is>
      </c>
      <c r="J809" s="0" t="inlineStr">
        <is>
          <t>NULL</t>
        </is>
      </c>
      <c r="K809" s="0" t="inlineStr">
        <is>
          <t>YES! 	 c_uniqueidentifier列源备映射正确，源端为sql_variant 0位	期望更改为sql_variant	实际备端为sql_variant 0位</t>
        </is>
      </c>
    </row>
    <row r="810">
      <c r="B810" s="0" t="inlineStr">
        <is>
          <t>NULL</t>
        </is>
      </c>
      <c r="C810" s="0" t="inlineStr">
        <is>
          <t>NULL</t>
        </is>
      </c>
      <c r="D810" s="0" t="inlineStr">
        <is>
          <t>NULL</t>
        </is>
      </c>
      <c r="E810" s="0" t="inlineStr">
        <is>
          <t>NULL</t>
        </is>
      </c>
      <c r="F810" s="0" t="inlineStr">
        <is>
          <t>NULL</t>
        </is>
      </c>
      <c r="G810" s="0" t="inlineStr">
        <is>
          <t>NULL</t>
        </is>
      </c>
      <c r="H810" s="0" t="inlineStr">
        <is>
          <t>NULL</t>
        </is>
      </c>
      <c r="I810" s="0" t="inlineStr">
        <is>
          <t>NULL</t>
        </is>
      </c>
      <c r="J810" s="0" t="inlineStr">
        <is>
          <t>NULL</t>
        </is>
      </c>
      <c r="K810" s="0" t="inlineStr">
        <is>
          <t>YES! 	 c_smallmoney列源备映射正确，源端为sql_variant 0位	期望更改为sql_variant	实际备端为sql_variant 0位</t>
        </is>
      </c>
    </row>
    <row r="811">
      <c r="B811" s="0" t="inlineStr">
        <is>
          <t>NULL</t>
        </is>
      </c>
      <c r="C811" s="0" t="inlineStr">
        <is>
          <t>NULL</t>
        </is>
      </c>
      <c r="D811" s="0" t="inlineStr">
        <is>
          <t>NULL</t>
        </is>
      </c>
      <c r="E811" s="0" t="inlineStr">
        <is>
          <t>NULL</t>
        </is>
      </c>
      <c r="F811" s="0" t="inlineStr">
        <is>
          <t>NULL</t>
        </is>
      </c>
      <c r="G811" s="0" t="inlineStr">
        <is>
          <t>NULL</t>
        </is>
      </c>
      <c r="H811" s="0" t="inlineStr">
        <is>
          <t>NULL</t>
        </is>
      </c>
      <c r="I811" s="0" t="inlineStr">
        <is>
          <t>NULL</t>
        </is>
      </c>
      <c r="J811" s="0" t="inlineStr">
        <is>
          <t>NULL</t>
        </is>
      </c>
      <c r="K811" s="0" t="inlineStr">
        <is>
          <t>YES! 	 c_bigint列源备映射正确，源端为sql_variant 0位	期望更改为sql_variant	实际备端为sql_variant 0位</t>
        </is>
      </c>
    </row>
    <row r="812">
      <c r="B812" s="0" t="inlineStr">
        <is>
          <t>NULL</t>
        </is>
      </c>
      <c r="C812" s="0" t="inlineStr">
        <is>
          <t>NULL</t>
        </is>
      </c>
      <c r="D812" s="0" t="inlineStr">
        <is>
          <t>NULL</t>
        </is>
      </c>
      <c r="E812" s="0" t="inlineStr">
        <is>
          <t>NULL</t>
        </is>
      </c>
      <c r="F812" s="0" t="inlineStr">
        <is>
          <t>NULL</t>
        </is>
      </c>
      <c r="G812" s="0" t="inlineStr">
        <is>
          <t>NULL</t>
        </is>
      </c>
      <c r="H812" s="0" t="inlineStr">
        <is>
          <t>NULL</t>
        </is>
      </c>
      <c r="I812" s="0" t="inlineStr">
        <is>
          <t>NULL</t>
        </is>
      </c>
      <c r="J812" s="0" t="inlineStr">
        <is>
          <t>NULL</t>
        </is>
      </c>
      <c r="K812" s="0" t="inlineStr">
        <is>
          <t>YES! 	 c_varbinary_20列源备映射正确，源端为sql_variant 0位	期望更改为sql_variant	实际备端为sql_variant 0位</t>
        </is>
      </c>
    </row>
    <row r="813">
      <c r="B813" s="0" t="inlineStr">
        <is>
          <t>NULL</t>
        </is>
      </c>
      <c r="C813" s="0" t="inlineStr">
        <is>
          <t>NULL</t>
        </is>
      </c>
      <c r="D813" s="0" t="inlineStr">
        <is>
          <t>NULL</t>
        </is>
      </c>
      <c r="E813" s="0" t="inlineStr">
        <is>
          <t>NULL</t>
        </is>
      </c>
      <c r="F813" s="0" t="inlineStr">
        <is>
          <t>NULL</t>
        </is>
      </c>
      <c r="G813" s="0" t="inlineStr">
        <is>
          <t>NULL</t>
        </is>
      </c>
      <c r="H813" s="0" t="inlineStr">
        <is>
          <t>NULL</t>
        </is>
      </c>
      <c r="I813" s="0" t="inlineStr">
        <is>
          <t>NULL</t>
        </is>
      </c>
      <c r="J813" s="0" t="inlineStr">
        <is>
          <t>NULL</t>
        </is>
      </c>
      <c r="K813" s="0" t="inlineStr">
        <is>
          <t>YES! 	 c_varchar_20列源备映射正确，源端为sql_variant 0位	期望更改为sql_variant	实际备端为sql_variant 0位</t>
        </is>
      </c>
    </row>
    <row r="814">
      <c r="B814" s="0" t="inlineStr">
        <is>
          <t>NULL</t>
        </is>
      </c>
      <c r="C814" s="0" t="inlineStr">
        <is>
          <t>NULL</t>
        </is>
      </c>
      <c r="D814" s="0" t="inlineStr">
        <is>
          <t>NULL</t>
        </is>
      </c>
      <c r="E814" s="0" t="inlineStr">
        <is>
          <t>NULL</t>
        </is>
      </c>
      <c r="F814" s="0" t="inlineStr">
        <is>
          <t>NULL</t>
        </is>
      </c>
      <c r="G814" s="0" t="inlineStr">
        <is>
          <t>NULL</t>
        </is>
      </c>
      <c r="H814" s="0" t="inlineStr">
        <is>
          <t>NULL</t>
        </is>
      </c>
      <c r="I814" s="0" t="inlineStr">
        <is>
          <t>NULL</t>
        </is>
      </c>
      <c r="J814" s="0" t="inlineStr">
        <is>
          <t>NULL</t>
        </is>
      </c>
      <c r="K814" s="0" t="inlineStr">
        <is>
          <t>YES! 	 c_binary_20列源备映射正确，源端为sql_variant 0位	期望更改为sql_variant	实际备端为sql_variant 0位</t>
        </is>
      </c>
    </row>
    <row r="815">
      <c r="B815" s="0" t="inlineStr">
        <is>
          <t>NULL</t>
        </is>
      </c>
      <c r="C815" s="0" t="inlineStr">
        <is>
          <t>NULL</t>
        </is>
      </c>
      <c r="D815" s="0" t="inlineStr">
        <is>
          <t>NULL</t>
        </is>
      </c>
      <c r="E815" s="0" t="inlineStr">
        <is>
          <t>NULL</t>
        </is>
      </c>
      <c r="F815" s="0" t="inlineStr">
        <is>
          <t>NULL</t>
        </is>
      </c>
      <c r="G815" s="0" t="inlineStr">
        <is>
          <t>NULL</t>
        </is>
      </c>
      <c r="H815" s="0" t="inlineStr">
        <is>
          <t>NULL</t>
        </is>
      </c>
      <c r="I815" s="0" t="inlineStr">
        <is>
          <t>NULL</t>
        </is>
      </c>
      <c r="J815" s="0" t="inlineStr">
        <is>
          <t>NULL</t>
        </is>
      </c>
      <c r="K815" s="0" t="inlineStr">
        <is>
          <t>YES! 	 c_char_20列源备映射正确，源端为sql_variant 0位	期望更改为sql_variant	实际备端为sql_variant 0位</t>
        </is>
      </c>
    </row>
    <row r="816">
      <c r="B816" s="0" t="inlineStr">
        <is>
          <t>NULL</t>
        </is>
      </c>
      <c r="C816" s="0" t="inlineStr">
        <is>
          <t>NULL</t>
        </is>
      </c>
      <c r="D816" s="0" t="inlineStr">
        <is>
          <t>NULL</t>
        </is>
      </c>
      <c r="E816" s="0" t="inlineStr">
        <is>
          <t>NULL</t>
        </is>
      </c>
      <c r="F816" s="0" t="inlineStr">
        <is>
          <t>NULL</t>
        </is>
      </c>
      <c r="G816" s="0" t="inlineStr">
        <is>
          <t>NULL</t>
        </is>
      </c>
      <c r="H816" s="0" t="inlineStr">
        <is>
          <t>NULL</t>
        </is>
      </c>
      <c r="I816" s="0" t="inlineStr">
        <is>
          <t>NULL</t>
        </is>
      </c>
      <c r="J816" s="0" t="inlineStr">
        <is>
          <t>NULL</t>
        </is>
      </c>
      <c r="K816" s="0" t="inlineStr">
        <is>
          <t>YES! 	 c_nvarchar_20列源备映射正确，源端为sql_variant 0位	期望更改为sql_variant	实际备端为sql_variant 0位</t>
        </is>
      </c>
    </row>
    <row r="817">
      <c r="B817" s="0" t="inlineStr">
        <is>
          <t>NULL</t>
        </is>
      </c>
      <c r="C817" s="0" t="inlineStr">
        <is>
          <t>NULL</t>
        </is>
      </c>
      <c r="D817" s="0" t="inlineStr">
        <is>
          <t>NULL</t>
        </is>
      </c>
      <c r="E817" s="0" t="inlineStr">
        <is>
          <t>NULL</t>
        </is>
      </c>
      <c r="F817" s="0" t="inlineStr">
        <is>
          <t>NULL</t>
        </is>
      </c>
      <c r="G817" s="0" t="inlineStr">
        <is>
          <t>NULL</t>
        </is>
      </c>
      <c r="H817" s="0" t="inlineStr">
        <is>
          <t>NULL</t>
        </is>
      </c>
      <c r="I817" s="0" t="inlineStr">
        <is>
          <t>NULL</t>
        </is>
      </c>
      <c r="J817" s="0" t="inlineStr">
        <is>
          <t>NULL</t>
        </is>
      </c>
      <c r="K817" s="0" t="inlineStr">
        <is>
          <t>YES! 	 c_nchar_20列源备映射正确，源端为sql_variant 0位	期望更改为sql_variant	实际备端为sql_variant 0位</t>
        </is>
      </c>
    </row>
    <row r="818">
      <c r="B818" s="0" t="inlineStr">
        <is>
          <t>NULL</t>
        </is>
      </c>
      <c r="C818" s="0" t="inlineStr">
        <is>
          <t>NULL</t>
        </is>
      </c>
      <c r="D818" s="0" t="inlineStr">
        <is>
          <t>NULL</t>
        </is>
      </c>
      <c r="E818" s="0" t="inlineStr">
        <is>
          <t>NULL</t>
        </is>
      </c>
      <c r="F818" s="0" t="inlineStr">
        <is>
          <t>NULL</t>
        </is>
      </c>
      <c r="G818" s="0" t="inlineStr">
        <is>
          <t>NULL</t>
        </is>
      </c>
      <c r="H818" s="0" t="inlineStr">
        <is>
          <t>NULL</t>
        </is>
      </c>
      <c r="I818" s="0" t="inlineStr">
        <is>
          <t>NULL</t>
        </is>
      </c>
      <c r="J818" s="0" t="inlineStr">
        <is>
          <t>NULL</t>
        </is>
      </c>
      <c r="K818" s="0" t="inlineStr">
        <is>
          <t>YES! 	 c_timestamp列源备映射正确，源端为timestamp None位	期望更改为timestamp	实际备端为timestamp None位</t>
        </is>
      </c>
    </row>
    <row r="819">
      <c r="A819" s="0" t="inlineStr">
        <is>
          <t>info_datetime_dml_batch1_pk_drp2</t>
        </is>
      </c>
      <c r="K819" s="0" t="inlineStr">
        <is>
          <t>[0;34m info_datetime_dml_batch1_pk_drp2 [0m源备字段数相同，源端字段：2 	备端字段2</t>
        </is>
      </c>
      <c r="W819" s="0" t="inlineStr">
        <is>
          <t>YES 源备无差异</t>
        </is>
      </c>
      <c r="X819" s="0">
        <f>A819</f>
        <v/>
      </c>
    </row>
    <row r="820">
      <c r="B820" s="0" t="inlineStr">
        <is>
          <t>YES</t>
        </is>
      </c>
      <c r="C820" s="0" t="inlineStr">
        <is>
          <t>NULL</t>
        </is>
      </c>
      <c r="D820" s="0" t="inlineStr">
        <is>
          <t>NULL</t>
        </is>
      </c>
      <c r="E820" s="0" t="inlineStr">
        <is>
          <t>NULL</t>
        </is>
      </c>
      <c r="F820" s="0" t="inlineStr">
        <is>
          <t>NULL</t>
        </is>
      </c>
      <c r="G820" s="0" t="inlineStr">
        <is>
          <t>NULL</t>
        </is>
      </c>
      <c r="H820" s="0" t="inlineStr">
        <is>
          <t>NULL</t>
        </is>
      </c>
      <c r="I820" s="0" t="inlineStr">
        <is>
          <t>YES!PK__info_dat__3213E83F0270B48C</t>
        </is>
      </c>
      <c r="J820" s="0" t="inlineStr">
        <is>
          <t>YES! 主键相关索引</t>
        </is>
      </c>
      <c r="K820" s="0" t="inlineStr">
        <is>
          <t>YES! 	 id列源备映射正确，源端为int None位	期望更改为int	实际备端为int None位</t>
        </is>
      </c>
    </row>
    <row r="821">
      <c r="B821" s="0" t="inlineStr">
        <is>
          <t>NULL</t>
        </is>
      </c>
      <c r="C821" s="0" t="inlineStr">
        <is>
          <t>NULL</t>
        </is>
      </c>
      <c r="D821" s="0" t="inlineStr">
        <is>
          <t>NULL</t>
        </is>
      </c>
      <c r="E821" s="0" t="inlineStr">
        <is>
          <t>NULL</t>
        </is>
      </c>
      <c r="F821" s="0" t="inlineStr">
        <is>
          <t>NULL</t>
        </is>
      </c>
      <c r="G821" s="0" t="inlineStr">
        <is>
          <t>NULL</t>
        </is>
      </c>
      <c r="H821" s="0" t="inlineStr">
        <is>
          <t>NULL</t>
        </is>
      </c>
      <c r="I821" s="0" t="inlineStr">
        <is>
          <t>NULL</t>
        </is>
      </c>
      <c r="J821" s="0" t="inlineStr">
        <is>
          <t>NULL</t>
        </is>
      </c>
      <c r="K821" s="0" t="inlineStr">
        <is>
          <t>YES! 	 c_datetime列源备映射正确，源端为datetime None位	期望更改为datetime	实际备端为datetime None位</t>
        </is>
      </c>
    </row>
    <row r="822">
      <c r="A822" s="0" t="inlineStr">
        <is>
          <t>info_sql_variant_dml_single_nopk_drp</t>
        </is>
      </c>
      <c r="K822" s="0" t="inlineStr">
        <is>
          <t>[0;34m info_sql_variant_dml_single_nopk_drp [0m源备字段数相同，源端字段：25 	备端字段25</t>
        </is>
      </c>
      <c r="W822" s="0" t="inlineStr">
        <is>
          <t>YES 源备无差异</t>
        </is>
      </c>
      <c r="X822" s="0">
        <f>A822</f>
        <v/>
      </c>
    </row>
    <row r="823">
      <c r="B823" s="0" t="inlineStr">
        <is>
          <t>NULL</t>
        </is>
      </c>
      <c r="C823" s="0" t="inlineStr">
        <is>
          <t>NULL</t>
        </is>
      </c>
      <c r="D823" s="0" t="inlineStr">
        <is>
          <t>NULL</t>
        </is>
      </c>
      <c r="E823" s="0" t="inlineStr">
        <is>
          <t>NULL</t>
        </is>
      </c>
      <c r="F823" s="0" t="inlineStr">
        <is>
          <t>NULL</t>
        </is>
      </c>
      <c r="G823" s="0" t="inlineStr">
        <is>
          <t>NULL</t>
        </is>
      </c>
      <c r="H823" s="0" t="inlineStr">
        <is>
          <t>NULL</t>
        </is>
      </c>
      <c r="I823" s="0" t="inlineStr">
        <is>
          <t>NULL</t>
        </is>
      </c>
      <c r="J823" s="0" t="inlineStr">
        <is>
          <t>NULL</t>
        </is>
      </c>
      <c r="K823" s="0" t="inlineStr">
        <is>
          <t>YES! 	 id列源备映射正确，源端为int None位	期望更改为int	实际备端为int None位</t>
        </is>
      </c>
    </row>
    <row r="824">
      <c r="B824" s="0" t="inlineStr">
        <is>
          <t>NULL</t>
        </is>
      </c>
      <c r="C824" s="0" t="inlineStr">
        <is>
          <t>NULL</t>
        </is>
      </c>
      <c r="D824" s="0" t="inlineStr">
        <is>
          <t>NULL</t>
        </is>
      </c>
      <c r="E824" s="0" t="inlineStr">
        <is>
          <t>NULL</t>
        </is>
      </c>
      <c r="F824" s="0" t="inlineStr">
        <is>
          <t>NULL</t>
        </is>
      </c>
      <c r="G824" s="0" t="inlineStr">
        <is>
          <t>NULL</t>
        </is>
      </c>
      <c r="H824" s="0" t="inlineStr">
        <is>
          <t>NULL</t>
        </is>
      </c>
      <c r="I824" s="0" t="inlineStr">
        <is>
          <t>NULL</t>
        </is>
      </c>
      <c r="J824" s="0" t="inlineStr">
        <is>
          <t>NULL</t>
        </is>
      </c>
      <c r="K824" s="0" t="inlineStr">
        <is>
          <t>YES! 	 c_date列源备映射正确，源端为sql_variant 0位	期望更改为sql_variant	实际备端为sql_variant 0位</t>
        </is>
      </c>
    </row>
    <row r="825">
      <c r="B825" s="0" t="inlineStr">
        <is>
          <t>NULL</t>
        </is>
      </c>
      <c r="C825" s="0" t="inlineStr">
        <is>
          <t>NULL</t>
        </is>
      </c>
      <c r="D825" s="0" t="inlineStr">
        <is>
          <t>NULL</t>
        </is>
      </c>
      <c r="E825" s="0" t="inlineStr">
        <is>
          <t>NULL</t>
        </is>
      </c>
      <c r="F825" s="0" t="inlineStr">
        <is>
          <t>NULL</t>
        </is>
      </c>
      <c r="G825" s="0" t="inlineStr">
        <is>
          <t>NULL</t>
        </is>
      </c>
      <c r="H825" s="0" t="inlineStr">
        <is>
          <t>NULL</t>
        </is>
      </c>
      <c r="I825" s="0" t="inlineStr">
        <is>
          <t>NULL</t>
        </is>
      </c>
      <c r="J825" s="0" t="inlineStr">
        <is>
          <t>NULL</t>
        </is>
      </c>
      <c r="K825" s="0" t="inlineStr">
        <is>
          <t>YES! 	 c_time列源备映射正确，源端为sql_variant 0位	期望更改为sql_variant	实际备端为sql_variant 0位</t>
        </is>
      </c>
    </row>
    <row r="826">
      <c r="B826" s="0" t="inlineStr">
        <is>
          <t>NULL</t>
        </is>
      </c>
      <c r="C826" s="0" t="inlineStr">
        <is>
          <t>NULL</t>
        </is>
      </c>
      <c r="D826" s="0" t="inlineStr">
        <is>
          <t>NULL</t>
        </is>
      </c>
      <c r="E826" s="0" t="inlineStr">
        <is>
          <t>NULL</t>
        </is>
      </c>
      <c r="F826" s="0" t="inlineStr">
        <is>
          <t>NULL</t>
        </is>
      </c>
      <c r="G826" s="0" t="inlineStr">
        <is>
          <t>NULL</t>
        </is>
      </c>
      <c r="H826" s="0" t="inlineStr">
        <is>
          <t>NULL</t>
        </is>
      </c>
      <c r="I826" s="0" t="inlineStr">
        <is>
          <t>NULL</t>
        </is>
      </c>
      <c r="J826" s="0" t="inlineStr">
        <is>
          <t>NULL</t>
        </is>
      </c>
      <c r="K826" s="0" t="inlineStr">
        <is>
          <t>YES! 	 c_datetime2列源备映射正确，源端为sql_variant 0位	期望更改为sql_variant	实际备端为sql_variant 0位</t>
        </is>
      </c>
    </row>
    <row r="827">
      <c r="B827" s="0" t="inlineStr">
        <is>
          <t>NULL</t>
        </is>
      </c>
      <c r="C827" s="0" t="inlineStr">
        <is>
          <t>NULL</t>
        </is>
      </c>
      <c r="D827" s="0" t="inlineStr">
        <is>
          <t>NULL</t>
        </is>
      </c>
      <c r="E827" s="0" t="inlineStr">
        <is>
          <t>NULL</t>
        </is>
      </c>
      <c r="F827" s="0" t="inlineStr">
        <is>
          <t>NULL</t>
        </is>
      </c>
      <c r="G827" s="0" t="inlineStr">
        <is>
          <t>NULL</t>
        </is>
      </c>
      <c r="H827" s="0" t="inlineStr">
        <is>
          <t>NULL</t>
        </is>
      </c>
      <c r="I827" s="0" t="inlineStr">
        <is>
          <t>NULL</t>
        </is>
      </c>
      <c r="J827" s="0" t="inlineStr">
        <is>
          <t>NULL</t>
        </is>
      </c>
      <c r="K827" s="0" t="inlineStr">
        <is>
          <t>YES! 	 c_datetimeoffset列源备映射正确，源端为sql_variant 0位	期望更改为sql_variant	实际备端为sql_variant 0位</t>
        </is>
      </c>
    </row>
    <row r="828">
      <c r="B828" s="0" t="inlineStr">
        <is>
          <t>NULL</t>
        </is>
      </c>
      <c r="C828" s="0" t="inlineStr">
        <is>
          <t>NULL</t>
        </is>
      </c>
      <c r="D828" s="0" t="inlineStr">
        <is>
          <t>NULL</t>
        </is>
      </c>
      <c r="E828" s="0" t="inlineStr">
        <is>
          <t>NULL</t>
        </is>
      </c>
      <c r="F828" s="0" t="inlineStr">
        <is>
          <t>NULL</t>
        </is>
      </c>
      <c r="G828" s="0" t="inlineStr">
        <is>
          <t>NULL</t>
        </is>
      </c>
      <c r="H828" s="0" t="inlineStr">
        <is>
          <t>NULL</t>
        </is>
      </c>
      <c r="I828" s="0" t="inlineStr">
        <is>
          <t>NULL</t>
        </is>
      </c>
      <c r="J828" s="0" t="inlineStr">
        <is>
          <t>NULL</t>
        </is>
      </c>
      <c r="K828" s="0" t="inlineStr">
        <is>
          <t>YES! 	 c_tinyint列源备映射正确，源端为sql_variant 0位	期望更改为sql_variant	实际备端为sql_variant 0位</t>
        </is>
      </c>
    </row>
    <row r="829">
      <c r="B829" s="0" t="inlineStr">
        <is>
          <t>NULL</t>
        </is>
      </c>
      <c r="C829" s="0" t="inlineStr">
        <is>
          <t>NULL</t>
        </is>
      </c>
      <c r="D829" s="0" t="inlineStr">
        <is>
          <t>NULL</t>
        </is>
      </c>
      <c r="E829" s="0" t="inlineStr">
        <is>
          <t>NULL</t>
        </is>
      </c>
      <c r="F829" s="0" t="inlineStr">
        <is>
          <t>NULL</t>
        </is>
      </c>
      <c r="G829" s="0" t="inlineStr">
        <is>
          <t>NULL</t>
        </is>
      </c>
      <c r="H829" s="0" t="inlineStr">
        <is>
          <t>NULL</t>
        </is>
      </c>
      <c r="I829" s="0" t="inlineStr">
        <is>
          <t>NULL</t>
        </is>
      </c>
      <c r="J829" s="0" t="inlineStr">
        <is>
          <t>NULL</t>
        </is>
      </c>
      <c r="K829" s="0" t="inlineStr">
        <is>
          <t>YES! 	 c_smallint列源备映射正确，源端为sql_variant 0位	期望更改为sql_variant	实际备端为sql_variant 0位</t>
        </is>
      </c>
    </row>
    <row r="830">
      <c r="B830" s="0" t="inlineStr">
        <is>
          <t>NULL</t>
        </is>
      </c>
      <c r="C830" s="0" t="inlineStr">
        <is>
          <t>NULL</t>
        </is>
      </c>
      <c r="D830" s="0" t="inlineStr">
        <is>
          <t>NULL</t>
        </is>
      </c>
      <c r="E830" s="0" t="inlineStr">
        <is>
          <t>NULL</t>
        </is>
      </c>
      <c r="F830" s="0" t="inlineStr">
        <is>
          <t>NULL</t>
        </is>
      </c>
      <c r="G830" s="0" t="inlineStr">
        <is>
          <t>NULL</t>
        </is>
      </c>
      <c r="H830" s="0" t="inlineStr">
        <is>
          <t>NULL</t>
        </is>
      </c>
      <c r="I830" s="0" t="inlineStr">
        <is>
          <t>NULL</t>
        </is>
      </c>
      <c r="J830" s="0" t="inlineStr">
        <is>
          <t>NULL</t>
        </is>
      </c>
      <c r="K830" s="0" t="inlineStr">
        <is>
          <t>YES! 	 c_int列源备映射正确，源端为sql_variant 0位	期望更改为sql_variant	实际备端为sql_variant 0位</t>
        </is>
      </c>
    </row>
    <row r="831">
      <c r="B831" s="0" t="inlineStr">
        <is>
          <t>NULL</t>
        </is>
      </c>
      <c r="C831" s="0" t="inlineStr">
        <is>
          <t>NULL</t>
        </is>
      </c>
      <c r="D831" s="0" t="inlineStr">
        <is>
          <t>NULL</t>
        </is>
      </c>
      <c r="E831" s="0" t="inlineStr">
        <is>
          <t>NULL</t>
        </is>
      </c>
      <c r="F831" s="0" t="inlineStr">
        <is>
          <t>NULL</t>
        </is>
      </c>
      <c r="G831" s="0" t="inlineStr">
        <is>
          <t>NULL</t>
        </is>
      </c>
      <c r="H831" s="0" t="inlineStr">
        <is>
          <t>NULL</t>
        </is>
      </c>
      <c r="I831" s="0" t="inlineStr">
        <is>
          <t>NULL</t>
        </is>
      </c>
      <c r="J831" s="0" t="inlineStr">
        <is>
          <t>NULL</t>
        </is>
      </c>
      <c r="K831" s="0" t="inlineStr">
        <is>
          <t>YES! 	 c_sdt列源备映射正确，源端为sql_variant 0位	期望更改为sql_variant	实际备端为sql_variant 0位</t>
        </is>
      </c>
    </row>
    <row r="832">
      <c r="B832" s="0" t="inlineStr">
        <is>
          <t>NULL</t>
        </is>
      </c>
      <c r="C832" s="0" t="inlineStr">
        <is>
          <t>NULL</t>
        </is>
      </c>
      <c r="D832" s="0" t="inlineStr">
        <is>
          <t>NULL</t>
        </is>
      </c>
      <c r="E832" s="0" t="inlineStr">
        <is>
          <t>NULL</t>
        </is>
      </c>
      <c r="F832" s="0" t="inlineStr">
        <is>
          <t>NULL</t>
        </is>
      </c>
      <c r="G832" s="0" t="inlineStr">
        <is>
          <t>NULL</t>
        </is>
      </c>
      <c r="H832" s="0" t="inlineStr">
        <is>
          <t>NULL</t>
        </is>
      </c>
      <c r="I832" s="0" t="inlineStr">
        <is>
          <t>NULL</t>
        </is>
      </c>
      <c r="J832" s="0" t="inlineStr">
        <is>
          <t>NULL</t>
        </is>
      </c>
      <c r="K832" s="0" t="inlineStr">
        <is>
          <t>YES! 	 c_real列源备映射正确，源端为sql_variant 0位	期望更改为sql_variant	实际备端为sql_variant 0位</t>
        </is>
      </c>
    </row>
    <row r="833">
      <c r="B833" s="0" t="inlineStr">
        <is>
          <t>NULL</t>
        </is>
      </c>
      <c r="C833" s="0" t="inlineStr">
        <is>
          <t>NULL</t>
        </is>
      </c>
      <c r="D833" s="0" t="inlineStr">
        <is>
          <t>NULL</t>
        </is>
      </c>
      <c r="E833" s="0" t="inlineStr">
        <is>
          <t>NULL</t>
        </is>
      </c>
      <c r="F833" s="0" t="inlineStr">
        <is>
          <t>NULL</t>
        </is>
      </c>
      <c r="G833" s="0" t="inlineStr">
        <is>
          <t>NULL</t>
        </is>
      </c>
      <c r="H833" s="0" t="inlineStr">
        <is>
          <t>NULL</t>
        </is>
      </c>
      <c r="I833" s="0" t="inlineStr">
        <is>
          <t>NULL</t>
        </is>
      </c>
      <c r="J833" s="0" t="inlineStr">
        <is>
          <t>NULL</t>
        </is>
      </c>
      <c r="K833" s="0" t="inlineStr">
        <is>
          <t>YES! 	 c_money列源备映射正确，源端为sql_variant 0位	期望更改为sql_variant	实际备端为sql_variant 0位</t>
        </is>
      </c>
    </row>
    <row r="834">
      <c r="B834" s="0" t="inlineStr">
        <is>
          <t>NULL</t>
        </is>
      </c>
      <c r="C834" s="0" t="inlineStr">
        <is>
          <t>NULL</t>
        </is>
      </c>
      <c r="D834" s="0" t="inlineStr">
        <is>
          <t>NULL</t>
        </is>
      </c>
      <c r="E834" s="0" t="inlineStr">
        <is>
          <t>NULL</t>
        </is>
      </c>
      <c r="F834" s="0" t="inlineStr">
        <is>
          <t>NULL</t>
        </is>
      </c>
      <c r="G834" s="0" t="inlineStr">
        <is>
          <t>NULL</t>
        </is>
      </c>
      <c r="H834" s="0" t="inlineStr">
        <is>
          <t>NULL</t>
        </is>
      </c>
      <c r="I834" s="0" t="inlineStr">
        <is>
          <t>NULL</t>
        </is>
      </c>
      <c r="J834" s="0" t="inlineStr">
        <is>
          <t>NULL</t>
        </is>
      </c>
      <c r="K834" s="0" t="inlineStr">
        <is>
          <t>YES! 	 c_datetime列源备映射正确，源端为sql_variant 0位	期望更改为sql_variant	实际备端为sql_variant 0位</t>
        </is>
      </c>
    </row>
    <row r="835">
      <c r="B835" s="0" t="inlineStr">
        <is>
          <t>NULL</t>
        </is>
      </c>
      <c r="C835" s="0" t="inlineStr">
        <is>
          <t>NULL</t>
        </is>
      </c>
      <c r="D835" s="0" t="inlineStr">
        <is>
          <t>NULL</t>
        </is>
      </c>
      <c r="E835" s="0" t="inlineStr">
        <is>
          <t>NULL</t>
        </is>
      </c>
      <c r="F835" s="0" t="inlineStr">
        <is>
          <t>NULL</t>
        </is>
      </c>
      <c r="G835" s="0" t="inlineStr">
        <is>
          <t>NULL</t>
        </is>
      </c>
      <c r="H835" s="0" t="inlineStr">
        <is>
          <t>NULL</t>
        </is>
      </c>
      <c r="I835" s="0" t="inlineStr">
        <is>
          <t>NULL</t>
        </is>
      </c>
      <c r="J835" s="0" t="inlineStr">
        <is>
          <t>NULL</t>
        </is>
      </c>
      <c r="K835" s="0" t="inlineStr">
        <is>
          <t>YES! 	 c_float列源备映射正确，源端为sql_variant 0位	期望更改为sql_variant	实际备端为sql_variant 0位</t>
        </is>
      </c>
    </row>
    <row r="836">
      <c r="B836" s="0" t="inlineStr">
        <is>
          <t>NULL</t>
        </is>
      </c>
      <c r="C836" s="0" t="inlineStr">
        <is>
          <t>NULL</t>
        </is>
      </c>
      <c r="D836" s="0" t="inlineStr">
        <is>
          <t>NULL</t>
        </is>
      </c>
      <c r="E836" s="0" t="inlineStr">
        <is>
          <t>NULL</t>
        </is>
      </c>
      <c r="F836" s="0" t="inlineStr">
        <is>
          <t>NULL</t>
        </is>
      </c>
      <c r="G836" s="0" t="inlineStr">
        <is>
          <t>NULL</t>
        </is>
      </c>
      <c r="H836" s="0" t="inlineStr">
        <is>
          <t>NULL</t>
        </is>
      </c>
      <c r="I836" s="0" t="inlineStr">
        <is>
          <t>NULL</t>
        </is>
      </c>
      <c r="J836" s="0" t="inlineStr">
        <is>
          <t>NULL</t>
        </is>
      </c>
      <c r="K836" s="0" t="inlineStr">
        <is>
          <t>YES! 	 c_bit列源备映射正确，源端为sql_variant 0位	期望更改为sql_variant	实际备端为sql_variant 0位</t>
        </is>
      </c>
    </row>
    <row r="837">
      <c r="B837" s="0" t="inlineStr">
        <is>
          <t>NULL</t>
        </is>
      </c>
      <c r="C837" s="0" t="inlineStr">
        <is>
          <t>NULL</t>
        </is>
      </c>
      <c r="D837" s="0" t="inlineStr">
        <is>
          <t>NULL</t>
        </is>
      </c>
      <c r="E837" s="0" t="inlineStr">
        <is>
          <t>NULL</t>
        </is>
      </c>
      <c r="F837" s="0" t="inlineStr">
        <is>
          <t>NULL</t>
        </is>
      </c>
      <c r="G837" s="0" t="inlineStr">
        <is>
          <t>NULL</t>
        </is>
      </c>
      <c r="H837" s="0" t="inlineStr">
        <is>
          <t>NULL</t>
        </is>
      </c>
      <c r="I837" s="0" t="inlineStr">
        <is>
          <t>NULL</t>
        </is>
      </c>
      <c r="J837" s="0" t="inlineStr">
        <is>
          <t>NULL</t>
        </is>
      </c>
      <c r="K837" s="0" t="inlineStr">
        <is>
          <t>YES! 	 c_decimal列源备映射正确，源端为sql_variant 0位	期望更改为sql_variant	实际备端为sql_variant 0位</t>
        </is>
      </c>
    </row>
    <row r="838">
      <c r="B838" s="0" t="inlineStr">
        <is>
          <t>NULL</t>
        </is>
      </c>
      <c r="C838" s="0" t="inlineStr">
        <is>
          <t>NULL</t>
        </is>
      </c>
      <c r="D838" s="0" t="inlineStr">
        <is>
          <t>NULL</t>
        </is>
      </c>
      <c r="E838" s="0" t="inlineStr">
        <is>
          <t>NULL</t>
        </is>
      </c>
      <c r="F838" s="0" t="inlineStr">
        <is>
          <t>NULL</t>
        </is>
      </c>
      <c r="G838" s="0" t="inlineStr">
        <is>
          <t>NULL</t>
        </is>
      </c>
      <c r="H838" s="0" t="inlineStr">
        <is>
          <t>NULL</t>
        </is>
      </c>
      <c r="I838" s="0" t="inlineStr">
        <is>
          <t>NULL</t>
        </is>
      </c>
      <c r="J838" s="0" t="inlineStr">
        <is>
          <t>NULL</t>
        </is>
      </c>
      <c r="K838" s="0" t="inlineStr">
        <is>
          <t>YES! 	 c_uniqueidentifier列源备映射正确，源端为sql_variant 0位	期望更改为sql_variant	实际备端为sql_variant 0位</t>
        </is>
      </c>
    </row>
    <row r="839">
      <c r="B839" s="0" t="inlineStr">
        <is>
          <t>NULL</t>
        </is>
      </c>
      <c r="C839" s="0" t="inlineStr">
        <is>
          <t>NULL</t>
        </is>
      </c>
      <c r="D839" s="0" t="inlineStr">
        <is>
          <t>NULL</t>
        </is>
      </c>
      <c r="E839" s="0" t="inlineStr">
        <is>
          <t>NULL</t>
        </is>
      </c>
      <c r="F839" s="0" t="inlineStr">
        <is>
          <t>NULL</t>
        </is>
      </c>
      <c r="G839" s="0" t="inlineStr">
        <is>
          <t>NULL</t>
        </is>
      </c>
      <c r="H839" s="0" t="inlineStr">
        <is>
          <t>NULL</t>
        </is>
      </c>
      <c r="I839" s="0" t="inlineStr">
        <is>
          <t>NULL</t>
        </is>
      </c>
      <c r="J839" s="0" t="inlineStr">
        <is>
          <t>NULL</t>
        </is>
      </c>
      <c r="K839" s="0" t="inlineStr">
        <is>
          <t>YES! 	 c_smallmoney列源备映射正确，源端为sql_variant 0位	期望更改为sql_variant	实际备端为sql_variant 0位</t>
        </is>
      </c>
    </row>
    <row r="840">
      <c r="B840" s="0" t="inlineStr">
        <is>
          <t>NULL</t>
        </is>
      </c>
      <c r="C840" s="0" t="inlineStr">
        <is>
          <t>NULL</t>
        </is>
      </c>
      <c r="D840" s="0" t="inlineStr">
        <is>
          <t>NULL</t>
        </is>
      </c>
      <c r="E840" s="0" t="inlineStr">
        <is>
          <t>NULL</t>
        </is>
      </c>
      <c r="F840" s="0" t="inlineStr">
        <is>
          <t>NULL</t>
        </is>
      </c>
      <c r="G840" s="0" t="inlineStr">
        <is>
          <t>NULL</t>
        </is>
      </c>
      <c r="H840" s="0" t="inlineStr">
        <is>
          <t>NULL</t>
        </is>
      </c>
      <c r="I840" s="0" t="inlineStr">
        <is>
          <t>NULL</t>
        </is>
      </c>
      <c r="J840" s="0" t="inlineStr">
        <is>
          <t>NULL</t>
        </is>
      </c>
      <c r="K840" s="0" t="inlineStr">
        <is>
          <t>YES! 	 c_bigint列源备映射正确，源端为sql_variant 0位	期望更改为sql_variant	实际备端为sql_variant 0位</t>
        </is>
      </c>
    </row>
    <row r="841">
      <c r="B841" s="0" t="inlineStr">
        <is>
          <t>NULL</t>
        </is>
      </c>
      <c r="C841" s="0" t="inlineStr">
        <is>
          <t>NULL</t>
        </is>
      </c>
      <c r="D841" s="0" t="inlineStr">
        <is>
          <t>NULL</t>
        </is>
      </c>
      <c r="E841" s="0" t="inlineStr">
        <is>
          <t>NULL</t>
        </is>
      </c>
      <c r="F841" s="0" t="inlineStr">
        <is>
          <t>NULL</t>
        </is>
      </c>
      <c r="G841" s="0" t="inlineStr">
        <is>
          <t>NULL</t>
        </is>
      </c>
      <c r="H841" s="0" t="inlineStr">
        <is>
          <t>NULL</t>
        </is>
      </c>
      <c r="I841" s="0" t="inlineStr">
        <is>
          <t>NULL</t>
        </is>
      </c>
      <c r="J841" s="0" t="inlineStr">
        <is>
          <t>NULL</t>
        </is>
      </c>
      <c r="K841" s="0" t="inlineStr">
        <is>
          <t>YES! 	 c_varbinary_20列源备映射正确，源端为sql_variant 0位	期望更改为sql_variant	实际备端为sql_variant 0位</t>
        </is>
      </c>
    </row>
    <row r="842">
      <c r="B842" s="0" t="inlineStr">
        <is>
          <t>NULL</t>
        </is>
      </c>
      <c r="C842" s="0" t="inlineStr">
        <is>
          <t>NULL</t>
        </is>
      </c>
      <c r="D842" s="0" t="inlineStr">
        <is>
          <t>NULL</t>
        </is>
      </c>
      <c r="E842" s="0" t="inlineStr">
        <is>
          <t>NULL</t>
        </is>
      </c>
      <c r="F842" s="0" t="inlineStr">
        <is>
          <t>NULL</t>
        </is>
      </c>
      <c r="G842" s="0" t="inlineStr">
        <is>
          <t>NULL</t>
        </is>
      </c>
      <c r="H842" s="0" t="inlineStr">
        <is>
          <t>NULL</t>
        </is>
      </c>
      <c r="I842" s="0" t="inlineStr">
        <is>
          <t>NULL</t>
        </is>
      </c>
      <c r="J842" s="0" t="inlineStr">
        <is>
          <t>NULL</t>
        </is>
      </c>
      <c r="K842" s="0" t="inlineStr">
        <is>
          <t>YES! 	 c_varchar_20列源备映射正确，源端为sql_variant 0位	期望更改为sql_variant	实际备端为sql_variant 0位</t>
        </is>
      </c>
    </row>
    <row r="843">
      <c r="B843" s="0" t="inlineStr">
        <is>
          <t>NULL</t>
        </is>
      </c>
      <c r="C843" s="0" t="inlineStr">
        <is>
          <t>NULL</t>
        </is>
      </c>
      <c r="D843" s="0" t="inlineStr">
        <is>
          <t>NULL</t>
        </is>
      </c>
      <c r="E843" s="0" t="inlineStr">
        <is>
          <t>NULL</t>
        </is>
      </c>
      <c r="F843" s="0" t="inlineStr">
        <is>
          <t>NULL</t>
        </is>
      </c>
      <c r="G843" s="0" t="inlineStr">
        <is>
          <t>NULL</t>
        </is>
      </c>
      <c r="H843" s="0" t="inlineStr">
        <is>
          <t>NULL</t>
        </is>
      </c>
      <c r="I843" s="0" t="inlineStr">
        <is>
          <t>NULL</t>
        </is>
      </c>
      <c r="J843" s="0" t="inlineStr">
        <is>
          <t>NULL</t>
        </is>
      </c>
      <c r="K843" s="0" t="inlineStr">
        <is>
          <t>YES! 	 c_binary_20列源备映射正确，源端为sql_variant 0位	期望更改为sql_variant	实际备端为sql_variant 0位</t>
        </is>
      </c>
    </row>
    <row r="844">
      <c r="B844" s="0" t="inlineStr">
        <is>
          <t>NULL</t>
        </is>
      </c>
      <c r="C844" s="0" t="inlineStr">
        <is>
          <t>NULL</t>
        </is>
      </c>
      <c r="D844" s="0" t="inlineStr">
        <is>
          <t>NULL</t>
        </is>
      </c>
      <c r="E844" s="0" t="inlineStr">
        <is>
          <t>NULL</t>
        </is>
      </c>
      <c r="F844" s="0" t="inlineStr">
        <is>
          <t>NULL</t>
        </is>
      </c>
      <c r="G844" s="0" t="inlineStr">
        <is>
          <t>NULL</t>
        </is>
      </c>
      <c r="H844" s="0" t="inlineStr">
        <is>
          <t>NULL</t>
        </is>
      </c>
      <c r="I844" s="0" t="inlineStr">
        <is>
          <t>NULL</t>
        </is>
      </c>
      <c r="J844" s="0" t="inlineStr">
        <is>
          <t>NULL</t>
        </is>
      </c>
      <c r="K844" s="0" t="inlineStr">
        <is>
          <t>YES! 	 c_char_20列源备映射正确，源端为sql_variant 0位	期望更改为sql_variant	实际备端为sql_variant 0位</t>
        </is>
      </c>
    </row>
    <row r="845">
      <c r="B845" s="0" t="inlineStr">
        <is>
          <t>NULL</t>
        </is>
      </c>
      <c r="C845" s="0" t="inlineStr">
        <is>
          <t>NULL</t>
        </is>
      </c>
      <c r="D845" s="0" t="inlineStr">
        <is>
          <t>NULL</t>
        </is>
      </c>
      <c r="E845" s="0" t="inlineStr">
        <is>
          <t>NULL</t>
        </is>
      </c>
      <c r="F845" s="0" t="inlineStr">
        <is>
          <t>NULL</t>
        </is>
      </c>
      <c r="G845" s="0" t="inlineStr">
        <is>
          <t>NULL</t>
        </is>
      </c>
      <c r="H845" s="0" t="inlineStr">
        <is>
          <t>NULL</t>
        </is>
      </c>
      <c r="I845" s="0" t="inlineStr">
        <is>
          <t>NULL</t>
        </is>
      </c>
      <c r="J845" s="0" t="inlineStr">
        <is>
          <t>NULL</t>
        </is>
      </c>
      <c r="K845" s="0" t="inlineStr">
        <is>
          <t>YES! 	 c_nvarchar_20列源备映射正确，源端为sql_variant 0位	期望更改为sql_variant	实际备端为sql_variant 0位</t>
        </is>
      </c>
    </row>
    <row r="846">
      <c r="B846" s="0" t="inlineStr">
        <is>
          <t>NULL</t>
        </is>
      </c>
      <c r="C846" s="0" t="inlineStr">
        <is>
          <t>NULL</t>
        </is>
      </c>
      <c r="D846" s="0" t="inlineStr">
        <is>
          <t>NULL</t>
        </is>
      </c>
      <c r="E846" s="0" t="inlineStr">
        <is>
          <t>NULL</t>
        </is>
      </c>
      <c r="F846" s="0" t="inlineStr">
        <is>
          <t>NULL</t>
        </is>
      </c>
      <c r="G846" s="0" t="inlineStr">
        <is>
          <t>NULL</t>
        </is>
      </c>
      <c r="H846" s="0" t="inlineStr">
        <is>
          <t>NULL</t>
        </is>
      </c>
      <c r="I846" s="0" t="inlineStr">
        <is>
          <t>NULL</t>
        </is>
      </c>
      <c r="J846" s="0" t="inlineStr">
        <is>
          <t>NULL</t>
        </is>
      </c>
      <c r="K846" s="0" t="inlineStr">
        <is>
          <t>YES! 	 c_nchar_20列源备映射正确，源端为sql_variant 0位	期望更改为sql_variant	实际备端为sql_variant 0位</t>
        </is>
      </c>
    </row>
    <row r="847">
      <c r="B847" s="0" t="inlineStr">
        <is>
          <t>NULL</t>
        </is>
      </c>
      <c r="C847" s="0" t="inlineStr">
        <is>
          <t>NULL</t>
        </is>
      </c>
      <c r="D847" s="0" t="inlineStr">
        <is>
          <t>NULL</t>
        </is>
      </c>
      <c r="E847" s="0" t="inlineStr">
        <is>
          <t>NULL</t>
        </is>
      </c>
      <c r="F847" s="0" t="inlineStr">
        <is>
          <t>NULL</t>
        </is>
      </c>
      <c r="G847" s="0" t="inlineStr">
        <is>
          <t>NULL</t>
        </is>
      </c>
      <c r="H847" s="0" t="inlineStr">
        <is>
          <t>NULL</t>
        </is>
      </c>
      <c r="I847" s="0" t="inlineStr">
        <is>
          <t>NULL</t>
        </is>
      </c>
      <c r="J847" s="0" t="inlineStr">
        <is>
          <t>NULL</t>
        </is>
      </c>
      <c r="K847" s="0" t="inlineStr">
        <is>
          <t>YES! 	 c_timestamp列源备映射正确，源端为timestamp None位	期望更改为timestamp	实际备端为timestamp None位</t>
        </is>
      </c>
    </row>
    <row r="848">
      <c r="A848" s="0" t="inlineStr">
        <is>
          <t>info_nchar_dml_batch2_pk_irp2</t>
        </is>
      </c>
      <c r="K848" s="0" t="inlineStr">
        <is>
          <t>[0;34m info_nchar_dml_batch2_pk_irp2 [0m源备字段数相同，源端字段：4 	备端字段4</t>
        </is>
      </c>
      <c r="W848" s="0" t="inlineStr">
        <is>
          <t>YES 源备无差异</t>
        </is>
      </c>
      <c r="X848" s="0">
        <f>A848</f>
        <v/>
      </c>
    </row>
    <row r="849">
      <c r="B849" s="0" t="inlineStr">
        <is>
          <t>YES</t>
        </is>
      </c>
      <c r="C849" s="0" t="inlineStr">
        <is>
          <t>NULL</t>
        </is>
      </c>
      <c r="D849" s="0" t="inlineStr">
        <is>
          <t>NULL</t>
        </is>
      </c>
      <c r="E849" s="0" t="inlineStr">
        <is>
          <t>NULL</t>
        </is>
      </c>
      <c r="F849" s="0" t="inlineStr">
        <is>
          <t>NULL</t>
        </is>
      </c>
      <c r="G849" s="0" t="inlineStr">
        <is>
          <t>NULL</t>
        </is>
      </c>
      <c r="H849" s="0" t="inlineStr">
        <is>
          <t>NULL</t>
        </is>
      </c>
      <c r="I849" s="0" t="inlineStr">
        <is>
          <t>YES!PK__info_nch__3213E83FAF7F0A51</t>
        </is>
      </c>
      <c r="J849" s="0" t="inlineStr">
        <is>
          <t>YES! 主键相关索引</t>
        </is>
      </c>
      <c r="K849" s="0" t="inlineStr">
        <is>
          <t>YES! 	 id列源备映射正确，源端为int None位	期望更改为int	实际备端为int None位</t>
        </is>
      </c>
    </row>
    <row r="850">
      <c r="B850" s="0" t="inlineStr">
        <is>
          <t>NULL</t>
        </is>
      </c>
      <c r="C850" s="0" t="inlineStr">
        <is>
          <t>NULL</t>
        </is>
      </c>
      <c r="D850" s="0" t="inlineStr">
        <is>
          <t>NULL</t>
        </is>
      </c>
      <c r="E850" s="0" t="inlineStr">
        <is>
          <t>NULL</t>
        </is>
      </c>
      <c r="F850" s="0" t="inlineStr">
        <is>
          <t>NULL</t>
        </is>
      </c>
      <c r="G850" s="0" t="inlineStr">
        <is>
          <t>NULL</t>
        </is>
      </c>
      <c r="H850" s="0" t="inlineStr">
        <is>
          <t>NULL</t>
        </is>
      </c>
      <c r="I850" s="0" t="inlineStr">
        <is>
          <t>NULL</t>
        </is>
      </c>
      <c r="J850" s="0" t="inlineStr">
        <is>
          <t>NULL</t>
        </is>
      </c>
      <c r="K850" s="0" t="inlineStr">
        <is>
          <t>YES! 	 c_nchar列源备映射正确，源端为nchar 2位	期望更改为nchar(n)	实际备端为nchar 2位</t>
        </is>
      </c>
    </row>
    <row r="851">
      <c r="B851" s="0" t="inlineStr">
        <is>
          <t>NULL</t>
        </is>
      </c>
      <c r="C851" s="0" t="inlineStr">
        <is>
          <t>NULL</t>
        </is>
      </c>
      <c r="D851" s="0" t="inlineStr">
        <is>
          <t>NULL</t>
        </is>
      </c>
      <c r="E851" s="0" t="inlineStr">
        <is>
          <t>NULL</t>
        </is>
      </c>
      <c r="F851" s="0" t="inlineStr">
        <is>
          <t>NULL</t>
        </is>
      </c>
      <c r="G851" s="0" t="inlineStr">
        <is>
          <t>NULL</t>
        </is>
      </c>
      <c r="H851" s="0" t="inlineStr">
        <is>
          <t>NULL</t>
        </is>
      </c>
      <c r="I851" s="0" t="inlineStr">
        <is>
          <t>NULL</t>
        </is>
      </c>
      <c r="J851" s="0" t="inlineStr">
        <is>
          <t>NULL</t>
        </is>
      </c>
      <c r="K851" s="0" t="inlineStr">
        <is>
          <t>YES! 	 c_nchar20列源备映射正确，源端为nchar 40位	期望更改为nchar(n)	实际备端为nchar 40位</t>
        </is>
      </c>
    </row>
    <row r="852">
      <c r="B852" s="0" t="inlineStr">
        <is>
          <t>NULL</t>
        </is>
      </c>
      <c r="C852" s="0" t="inlineStr">
        <is>
          <t>NULL</t>
        </is>
      </c>
      <c r="D852" s="0" t="inlineStr">
        <is>
          <t>NULL</t>
        </is>
      </c>
      <c r="E852" s="0" t="inlineStr">
        <is>
          <t>NULL</t>
        </is>
      </c>
      <c r="F852" s="0" t="inlineStr">
        <is>
          <t>NULL</t>
        </is>
      </c>
      <c r="G852" s="0" t="inlineStr">
        <is>
          <t>NULL</t>
        </is>
      </c>
      <c r="H852" s="0" t="inlineStr">
        <is>
          <t>NULL</t>
        </is>
      </c>
      <c r="I852" s="0" t="inlineStr">
        <is>
          <t>NULL</t>
        </is>
      </c>
      <c r="J852" s="0" t="inlineStr">
        <is>
          <t>NULL</t>
        </is>
      </c>
      <c r="K852" s="0" t="inlineStr">
        <is>
          <t>YES! 	 c_nchar3500列源备映射正确，源端为nchar 7000位	期望更改为nchar(n)	实际备端为nchar 7000位</t>
        </is>
      </c>
    </row>
    <row r="853">
      <c r="A853" s="0" t="inlineStr">
        <is>
          <t>info_timestamp_dml_single_nopk_irp</t>
        </is>
      </c>
      <c r="K853" s="0" t="inlineStr">
        <is>
          <t>[0;34m info_timestamp_dml_single_nopk_irp [0m源备字段数相同，源端字段：2 	备端字段2</t>
        </is>
      </c>
      <c r="W853" s="0" t="inlineStr">
        <is>
          <t>YES 源备无差异</t>
        </is>
      </c>
      <c r="X853" s="0">
        <f>A853</f>
        <v/>
      </c>
    </row>
    <row r="854">
      <c r="B854" s="0" t="inlineStr">
        <is>
          <t>NULL</t>
        </is>
      </c>
      <c r="C854" s="0" t="inlineStr">
        <is>
          <t>NULL</t>
        </is>
      </c>
      <c r="D854" s="0" t="inlineStr">
        <is>
          <t>NULL</t>
        </is>
      </c>
      <c r="E854" s="0" t="inlineStr">
        <is>
          <t>NULL</t>
        </is>
      </c>
      <c r="F854" s="0" t="inlineStr">
        <is>
          <t>NULL</t>
        </is>
      </c>
      <c r="G854" s="0" t="inlineStr">
        <is>
          <t>NULL</t>
        </is>
      </c>
      <c r="H854" s="0" t="inlineStr">
        <is>
          <t>NULL</t>
        </is>
      </c>
      <c r="I854" s="0" t="inlineStr">
        <is>
          <t>NULL</t>
        </is>
      </c>
      <c r="J854" s="0" t="inlineStr">
        <is>
          <t>NULL</t>
        </is>
      </c>
      <c r="K854" s="0" t="inlineStr">
        <is>
          <t>YES! 	 id列源备映射正确，源端为int None位	期望更改为int	实际备端为int None位</t>
        </is>
      </c>
    </row>
    <row r="855">
      <c r="B855" s="0" t="inlineStr">
        <is>
          <t>NULL</t>
        </is>
      </c>
      <c r="C855" s="0" t="inlineStr">
        <is>
          <t>NULL</t>
        </is>
      </c>
      <c r="D855" s="0" t="inlineStr">
        <is>
          <t>NULL</t>
        </is>
      </c>
      <c r="E855" s="0" t="inlineStr">
        <is>
          <t>NULL</t>
        </is>
      </c>
      <c r="F855" s="0" t="inlineStr">
        <is>
          <t>NULL</t>
        </is>
      </c>
      <c r="G855" s="0" t="inlineStr">
        <is>
          <t>NULL</t>
        </is>
      </c>
      <c r="H855" s="0" t="inlineStr">
        <is>
          <t>NULL</t>
        </is>
      </c>
      <c r="I855" s="0" t="inlineStr">
        <is>
          <t>NULL</t>
        </is>
      </c>
      <c r="J855" s="0" t="inlineStr">
        <is>
          <t>NULL</t>
        </is>
      </c>
      <c r="K855" s="0" t="inlineStr">
        <is>
          <t>YES! 	 c_tiemstamp列源备映射正确，源端为timestamp None位	期望更改为timestamp	实际备端为timestamp None位</t>
        </is>
      </c>
    </row>
    <row r="856">
      <c r="A856" s="0" t="inlineStr">
        <is>
          <t>info_date_dml_single_pk</t>
        </is>
      </c>
      <c r="K856" s="0" t="inlineStr">
        <is>
          <t>[0;34m info_date_dml_single_pk [0m源备字段数相同，源端字段：2 	备端字段2</t>
        </is>
      </c>
      <c r="W856" s="0" t="inlineStr">
        <is>
          <t>YES 源备无差异</t>
        </is>
      </c>
      <c r="X856" s="0">
        <f>A856</f>
        <v/>
      </c>
    </row>
    <row r="857">
      <c r="B857" s="0" t="inlineStr">
        <is>
          <t>YES</t>
        </is>
      </c>
      <c r="C857" s="0" t="inlineStr">
        <is>
          <t>NULL</t>
        </is>
      </c>
      <c r="D857" s="0" t="inlineStr">
        <is>
          <t>NULL</t>
        </is>
      </c>
      <c r="E857" s="0" t="inlineStr">
        <is>
          <t>NULL</t>
        </is>
      </c>
      <c r="F857" s="0" t="inlineStr">
        <is>
          <t>NULL</t>
        </is>
      </c>
      <c r="G857" s="0" t="inlineStr">
        <is>
          <t>NULL</t>
        </is>
      </c>
      <c r="H857" s="0" t="inlineStr">
        <is>
          <t>NULL</t>
        </is>
      </c>
      <c r="I857" s="0" t="inlineStr">
        <is>
          <t>YES!PK__info_dat__3213E83FBC98E2C8</t>
        </is>
      </c>
      <c r="J857" s="0" t="inlineStr">
        <is>
          <t>YES! 主键相关索引</t>
        </is>
      </c>
      <c r="K857" s="0" t="inlineStr">
        <is>
          <t>YES! 	 id列源备映射正确，源端为int None位	期望更改为int	实际备端为int None位</t>
        </is>
      </c>
    </row>
    <row r="858">
      <c r="B858" s="0" t="inlineStr">
        <is>
          <t>NULL</t>
        </is>
      </c>
      <c r="C858" s="0" t="inlineStr">
        <is>
          <t>NULL</t>
        </is>
      </c>
      <c r="D858" s="0" t="inlineStr">
        <is>
          <t>NULL</t>
        </is>
      </c>
      <c r="E858" s="0" t="inlineStr">
        <is>
          <t>NULL</t>
        </is>
      </c>
      <c r="F858" s="0" t="inlineStr">
        <is>
          <t>NULL</t>
        </is>
      </c>
      <c r="G858" s="0" t="inlineStr">
        <is>
          <t>NULL</t>
        </is>
      </c>
      <c r="H858" s="0" t="inlineStr">
        <is>
          <t>NULL</t>
        </is>
      </c>
      <c r="I858" s="0" t="inlineStr">
        <is>
          <t>NULL</t>
        </is>
      </c>
      <c r="J858" s="0" t="inlineStr">
        <is>
          <t>NULL</t>
        </is>
      </c>
      <c r="K858" s="0" t="inlineStr">
        <is>
          <t>YES! 	 c_date列源备映射正确，源端为date None位	期望更改为date	实际备端为date None位</t>
        </is>
      </c>
    </row>
    <row r="859">
      <c r="A859" s="0" t="inlineStr">
        <is>
          <t>info_sql_variant_dml_single_nopk</t>
        </is>
      </c>
      <c r="K859" s="0" t="inlineStr">
        <is>
          <t>[0;34m info_sql_variant_dml_single_nopk [0m源备字段数相同，源端字段：25 	备端字段25</t>
        </is>
      </c>
      <c r="W859" s="0" t="inlineStr">
        <is>
          <t>YES 源备无差异</t>
        </is>
      </c>
      <c r="X859" s="0">
        <f>A859</f>
        <v/>
      </c>
    </row>
    <row r="860">
      <c r="B860" s="0" t="inlineStr">
        <is>
          <t>NULL</t>
        </is>
      </c>
      <c r="C860" s="0" t="inlineStr">
        <is>
          <t>NULL</t>
        </is>
      </c>
      <c r="D860" s="0" t="inlineStr">
        <is>
          <t>NULL</t>
        </is>
      </c>
      <c r="E860" s="0" t="inlineStr">
        <is>
          <t>NULL</t>
        </is>
      </c>
      <c r="F860" s="0" t="inlineStr">
        <is>
          <t>NULL</t>
        </is>
      </c>
      <c r="G860" s="0" t="inlineStr">
        <is>
          <t>NULL</t>
        </is>
      </c>
      <c r="H860" s="0" t="inlineStr">
        <is>
          <t>NULL</t>
        </is>
      </c>
      <c r="I860" s="0" t="inlineStr">
        <is>
          <t>NULL</t>
        </is>
      </c>
      <c r="J860" s="0" t="inlineStr">
        <is>
          <t>NULL</t>
        </is>
      </c>
      <c r="K860" s="0" t="inlineStr">
        <is>
          <t>YES! 	 id列源备映射正确，源端为int None位	期望更改为int	实际备端为int None位</t>
        </is>
      </c>
    </row>
    <row r="861">
      <c r="B861" s="0" t="inlineStr">
        <is>
          <t>NULL</t>
        </is>
      </c>
      <c r="C861" s="0" t="inlineStr">
        <is>
          <t>NULL</t>
        </is>
      </c>
      <c r="D861" s="0" t="inlineStr">
        <is>
          <t>NULL</t>
        </is>
      </c>
      <c r="E861" s="0" t="inlineStr">
        <is>
          <t>NULL</t>
        </is>
      </c>
      <c r="F861" s="0" t="inlineStr">
        <is>
          <t>NULL</t>
        </is>
      </c>
      <c r="G861" s="0" t="inlineStr">
        <is>
          <t>NULL</t>
        </is>
      </c>
      <c r="H861" s="0" t="inlineStr">
        <is>
          <t>NULL</t>
        </is>
      </c>
      <c r="I861" s="0" t="inlineStr">
        <is>
          <t>NULL</t>
        </is>
      </c>
      <c r="J861" s="0" t="inlineStr">
        <is>
          <t>NULL</t>
        </is>
      </c>
      <c r="K861" s="0" t="inlineStr">
        <is>
          <t>YES! 	 c_date列源备映射正确，源端为sql_variant 0位	期望更改为sql_variant	实际备端为sql_variant 0位</t>
        </is>
      </c>
    </row>
    <row r="862">
      <c r="B862" s="0" t="inlineStr">
        <is>
          <t>NULL</t>
        </is>
      </c>
      <c r="C862" s="0" t="inlineStr">
        <is>
          <t>NULL</t>
        </is>
      </c>
      <c r="D862" s="0" t="inlineStr">
        <is>
          <t>NULL</t>
        </is>
      </c>
      <c r="E862" s="0" t="inlineStr">
        <is>
          <t>NULL</t>
        </is>
      </c>
      <c r="F862" s="0" t="inlineStr">
        <is>
          <t>NULL</t>
        </is>
      </c>
      <c r="G862" s="0" t="inlineStr">
        <is>
          <t>NULL</t>
        </is>
      </c>
      <c r="H862" s="0" t="inlineStr">
        <is>
          <t>NULL</t>
        </is>
      </c>
      <c r="I862" s="0" t="inlineStr">
        <is>
          <t>NULL</t>
        </is>
      </c>
      <c r="J862" s="0" t="inlineStr">
        <is>
          <t>NULL</t>
        </is>
      </c>
      <c r="K862" s="0" t="inlineStr">
        <is>
          <t>YES! 	 c_time列源备映射正确，源端为sql_variant 0位	期望更改为sql_variant	实际备端为sql_variant 0位</t>
        </is>
      </c>
    </row>
    <row r="863">
      <c r="B863" s="0" t="inlineStr">
        <is>
          <t>NULL</t>
        </is>
      </c>
      <c r="C863" s="0" t="inlineStr">
        <is>
          <t>NULL</t>
        </is>
      </c>
      <c r="D863" s="0" t="inlineStr">
        <is>
          <t>NULL</t>
        </is>
      </c>
      <c r="E863" s="0" t="inlineStr">
        <is>
          <t>NULL</t>
        </is>
      </c>
      <c r="F863" s="0" t="inlineStr">
        <is>
          <t>NULL</t>
        </is>
      </c>
      <c r="G863" s="0" t="inlineStr">
        <is>
          <t>NULL</t>
        </is>
      </c>
      <c r="H863" s="0" t="inlineStr">
        <is>
          <t>NULL</t>
        </is>
      </c>
      <c r="I863" s="0" t="inlineStr">
        <is>
          <t>NULL</t>
        </is>
      </c>
      <c r="J863" s="0" t="inlineStr">
        <is>
          <t>NULL</t>
        </is>
      </c>
      <c r="K863" s="0" t="inlineStr">
        <is>
          <t>YES! 	 c_datetime2列源备映射正确，源端为sql_variant 0位	期望更改为sql_variant	实际备端为sql_variant 0位</t>
        </is>
      </c>
    </row>
    <row r="864">
      <c r="B864" s="0" t="inlineStr">
        <is>
          <t>NULL</t>
        </is>
      </c>
      <c r="C864" s="0" t="inlineStr">
        <is>
          <t>NULL</t>
        </is>
      </c>
      <c r="D864" s="0" t="inlineStr">
        <is>
          <t>NULL</t>
        </is>
      </c>
      <c r="E864" s="0" t="inlineStr">
        <is>
          <t>NULL</t>
        </is>
      </c>
      <c r="F864" s="0" t="inlineStr">
        <is>
          <t>NULL</t>
        </is>
      </c>
      <c r="G864" s="0" t="inlineStr">
        <is>
          <t>NULL</t>
        </is>
      </c>
      <c r="H864" s="0" t="inlineStr">
        <is>
          <t>NULL</t>
        </is>
      </c>
      <c r="I864" s="0" t="inlineStr">
        <is>
          <t>NULL</t>
        </is>
      </c>
      <c r="J864" s="0" t="inlineStr">
        <is>
          <t>NULL</t>
        </is>
      </c>
      <c r="K864" s="0" t="inlineStr">
        <is>
          <t>YES! 	 c_datetimeoffset列源备映射正确，源端为sql_variant 0位	期望更改为sql_variant	实际备端为sql_variant 0位</t>
        </is>
      </c>
    </row>
    <row r="865">
      <c r="B865" s="0" t="inlineStr">
        <is>
          <t>NULL</t>
        </is>
      </c>
      <c r="C865" s="0" t="inlineStr">
        <is>
          <t>NULL</t>
        </is>
      </c>
      <c r="D865" s="0" t="inlineStr">
        <is>
          <t>NULL</t>
        </is>
      </c>
      <c r="E865" s="0" t="inlineStr">
        <is>
          <t>NULL</t>
        </is>
      </c>
      <c r="F865" s="0" t="inlineStr">
        <is>
          <t>NULL</t>
        </is>
      </c>
      <c r="G865" s="0" t="inlineStr">
        <is>
          <t>NULL</t>
        </is>
      </c>
      <c r="H865" s="0" t="inlineStr">
        <is>
          <t>NULL</t>
        </is>
      </c>
      <c r="I865" s="0" t="inlineStr">
        <is>
          <t>NULL</t>
        </is>
      </c>
      <c r="J865" s="0" t="inlineStr">
        <is>
          <t>NULL</t>
        </is>
      </c>
      <c r="K865" s="0" t="inlineStr">
        <is>
          <t>YES! 	 c_tinyint列源备映射正确，源端为sql_variant 0位	期望更改为sql_variant	实际备端为sql_variant 0位</t>
        </is>
      </c>
    </row>
    <row r="866">
      <c r="B866" s="0" t="inlineStr">
        <is>
          <t>NULL</t>
        </is>
      </c>
      <c r="C866" s="0" t="inlineStr">
        <is>
          <t>NULL</t>
        </is>
      </c>
      <c r="D866" s="0" t="inlineStr">
        <is>
          <t>NULL</t>
        </is>
      </c>
      <c r="E866" s="0" t="inlineStr">
        <is>
          <t>NULL</t>
        </is>
      </c>
      <c r="F866" s="0" t="inlineStr">
        <is>
          <t>NULL</t>
        </is>
      </c>
      <c r="G866" s="0" t="inlineStr">
        <is>
          <t>NULL</t>
        </is>
      </c>
      <c r="H866" s="0" t="inlineStr">
        <is>
          <t>NULL</t>
        </is>
      </c>
      <c r="I866" s="0" t="inlineStr">
        <is>
          <t>NULL</t>
        </is>
      </c>
      <c r="J866" s="0" t="inlineStr">
        <is>
          <t>NULL</t>
        </is>
      </c>
      <c r="K866" s="0" t="inlineStr">
        <is>
          <t>YES! 	 c_smallint列源备映射正确，源端为sql_variant 0位	期望更改为sql_variant	实际备端为sql_variant 0位</t>
        </is>
      </c>
    </row>
    <row r="867">
      <c r="B867" s="0" t="inlineStr">
        <is>
          <t>NULL</t>
        </is>
      </c>
      <c r="C867" s="0" t="inlineStr">
        <is>
          <t>NULL</t>
        </is>
      </c>
      <c r="D867" s="0" t="inlineStr">
        <is>
          <t>NULL</t>
        </is>
      </c>
      <c r="E867" s="0" t="inlineStr">
        <is>
          <t>NULL</t>
        </is>
      </c>
      <c r="F867" s="0" t="inlineStr">
        <is>
          <t>NULL</t>
        </is>
      </c>
      <c r="G867" s="0" t="inlineStr">
        <is>
          <t>NULL</t>
        </is>
      </c>
      <c r="H867" s="0" t="inlineStr">
        <is>
          <t>NULL</t>
        </is>
      </c>
      <c r="I867" s="0" t="inlineStr">
        <is>
          <t>NULL</t>
        </is>
      </c>
      <c r="J867" s="0" t="inlineStr">
        <is>
          <t>NULL</t>
        </is>
      </c>
      <c r="K867" s="0" t="inlineStr">
        <is>
          <t>YES! 	 c_int列源备映射正确，源端为sql_variant 0位	期望更改为sql_variant	实际备端为sql_variant 0位</t>
        </is>
      </c>
    </row>
    <row r="868">
      <c r="B868" s="0" t="inlineStr">
        <is>
          <t>NULL</t>
        </is>
      </c>
      <c r="C868" s="0" t="inlineStr">
        <is>
          <t>NULL</t>
        </is>
      </c>
      <c r="D868" s="0" t="inlineStr">
        <is>
          <t>NULL</t>
        </is>
      </c>
      <c r="E868" s="0" t="inlineStr">
        <is>
          <t>NULL</t>
        </is>
      </c>
      <c r="F868" s="0" t="inlineStr">
        <is>
          <t>NULL</t>
        </is>
      </c>
      <c r="G868" s="0" t="inlineStr">
        <is>
          <t>NULL</t>
        </is>
      </c>
      <c r="H868" s="0" t="inlineStr">
        <is>
          <t>NULL</t>
        </is>
      </c>
      <c r="I868" s="0" t="inlineStr">
        <is>
          <t>NULL</t>
        </is>
      </c>
      <c r="J868" s="0" t="inlineStr">
        <is>
          <t>NULL</t>
        </is>
      </c>
      <c r="K868" s="0" t="inlineStr">
        <is>
          <t>YES! 	 c_sdt列源备映射正确，源端为sql_variant 0位	期望更改为sql_variant	实际备端为sql_variant 0位</t>
        </is>
      </c>
    </row>
    <row r="869">
      <c r="B869" s="0" t="inlineStr">
        <is>
          <t>NULL</t>
        </is>
      </c>
      <c r="C869" s="0" t="inlineStr">
        <is>
          <t>NULL</t>
        </is>
      </c>
      <c r="D869" s="0" t="inlineStr">
        <is>
          <t>NULL</t>
        </is>
      </c>
      <c r="E869" s="0" t="inlineStr">
        <is>
          <t>NULL</t>
        </is>
      </c>
      <c r="F869" s="0" t="inlineStr">
        <is>
          <t>NULL</t>
        </is>
      </c>
      <c r="G869" s="0" t="inlineStr">
        <is>
          <t>NULL</t>
        </is>
      </c>
      <c r="H869" s="0" t="inlineStr">
        <is>
          <t>NULL</t>
        </is>
      </c>
      <c r="I869" s="0" t="inlineStr">
        <is>
          <t>NULL</t>
        </is>
      </c>
      <c r="J869" s="0" t="inlineStr">
        <is>
          <t>NULL</t>
        </is>
      </c>
      <c r="K869" s="0" t="inlineStr">
        <is>
          <t>YES! 	 c_real列源备映射正确，源端为sql_variant 0位	期望更改为sql_variant	实际备端为sql_variant 0位</t>
        </is>
      </c>
    </row>
    <row r="870">
      <c r="B870" s="0" t="inlineStr">
        <is>
          <t>NULL</t>
        </is>
      </c>
      <c r="C870" s="0" t="inlineStr">
        <is>
          <t>NULL</t>
        </is>
      </c>
      <c r="D870" s="0" t="inlineStr">
        <is>
          <t>NULL</t>
        </is>
      </c>
      <c r="E870" s="0" t="inlineStr">
        <is>
          <t>NULL</t>
        </is>
      </c>
      <c r="F870" s="0" t="inlineStr">
        <is>
          <t>NULL</t>
        </is>
      </c>
      <c r="G870" s="0" t="inlineStr">
        <is>
          <t>NULL</t>
        </is>
      </c>
      <c r="H870" s="0" t="inlineStr">
        <is>
          <t>NULL</t>
        </is>
      </c>
      <c r="I870" s="0" t="inlineStr">
        <is>
          <t>NULL</t>
        </is>
      </c>
      <c r="J870" s="0" t="inlineStr">
        <is>
          <t>NULL</t>
        </is>
      </c>
      <c r="K870" s="0" t="inlineStr">
        <is>
          <t>YES! 	 c_money列源备映射正确，源端为sql_variant 0位	期望更改为sql_variant	实际备端为sql_variant 0位</t>
        </is>
      </c>
    </row>
    <row r="871">
      <c r="B871" s="0" t="inlineStr">
        <is>
          <t>NULL</t>
        </is>
      </c>
      <c r="C871" s="0" t="inlineStr">
        <is>
          <t>NULL</t>
        </is>
      </c>
      <c r="D871" s="0" t="inlineStr">
        <is>
          <t>NULL</t>
        </is>
      </c>
      <c r="E871" s="0" t="inlineStr">
        <is>
          <t>NULL</t>
        </is>
      </c>
      <c r="F871" s="0" t="inlineStr">
        <is>
          <t>NULL</t>
        </is>
      </c>
      <c r="G871" s="0" t="inlineStr">
        <is>
          <t>NULL</t>
        </is>
      </c>
      <c r="H871" s="0" t="inlineStr">
        <is>
          <t>NULL</t>
        </is>
      </c>
      <c r="I871" s="0" t="inlineStr">
        <is>
          <t>NULL</t>
        </is>
      </c>
      <c r="J871" s="0" t="inlineStr">
        <is>
          <t>NULL</t>
        </is>
      </c>
      <c r="K871" s="0" t="inlineStr">
        <is>
          <t>YES! 	 c_datetime列源备映射正确，源端为sql_variant 0位	期望更改为sql_variant	实际备端为sql_variant 0位</t>
        </is>
      </c>
    </row>
    <row r="872">
      <c r="B872" s="0" t="inlineStr">
        <is>
          <t>NULL</t>
        </is>
      </c>
      <c r="C872" s="0" t="inlineStr">
        <is>
          <t>NULL</t>
        </is>
      </c>
      <c r="D872" s="0" t="inlineStr">
        <is>
          <t>NULL</t>
        </is>
      </c>
      <c r="E872" s="0" t="inlineStr">
        <is>
          <t>NULL</t>
        </is>
      </c>
      <c r="F872" s="0" t="inlineStr">
        <is>
          <t>NULL</t>
        </is>
      </c>
      <c r="G872" s="0" t="inlineStr">
        <is>
          <t>NULL</t>
        </is>
      </c>
      <c r="H872" s="0" t="inlineStr">
        <is>
          <t>NULL</t>
        </is>
      </c>
      <c r="I872" s="0" t="inlineStr">
        <is>
          <t>NULL</t>
        </is>
      </c>
      <c r="J872" s="0" t="inlineStr">
        <is>
          <t>NULL</t>
        </is>
      </c>
      <c r="K872" s="0" t="inlineStr">
        <is>
          <t>YES! 	 c_float列源备映射正确，源端为sql_variant 0位	期望更改为sql_variant	实际备端为sql_variant 0位</t>
        </is>
      </c>
    </row>
    <row r="873">
      <c r="B873" s="0" t="inlineStr">
        <is>
          <t>NULL</t>
        </is>
      </c>
      <c r="C873" s="0" t="inlineStr">
        <is>
          <t>NULL</t>
        </is>
      </c>
      <c r="D873" s="0" t="inlineStr">
        <is>
          <t>NULL</t>
        </is>
      </c>
      <c r="E873" s="0" t="inlineStr">
        <is>
          <t>NULL</t>
        </is>
      </c>
      <c r="F873" s="0" t="inlineStr">
        <is>
          <t>NULL</t>
        </is>
      </c>
      <c r="G873" s="0" t="inlineStr">
        <is>
          <t>NULL</t>
        </is>
      </c>
      <c r="H873" s="0" t="inlineStr">
        <is>
          <t>NULL</t>
        </is>
      </c>
      <c r="I873" s="0" t="inlineStr">
        <is>
          <t>NULL</t>
        </is>
      </c>
      <c r="J873" s="0" t="inlineStr">
        <is>
          <t>NULL</t>
        </is>
      </c>
      <c r="K873" s="0" t="inlineStr">
        <is>
          <t>YES! 	 c_bit列源备映射正确，源端为sql_variant 0位	期望更改为sql_variant	实际备端为sql_variant 0位</t>
        </is>
      </c>
    </row>
    <row r="874">
      <c r="B874" s="0" t="inlineStr">
        <is>
          <t>NULL</t>
        </is>
      </c>
      <c r="C874" s="0" t="inlineStr">
        <is>
          <t>NULL</t>
        </is>
      </c>
      <c r="D874" s="0" t="inlineStr">
        <is>
          <t>NULL</t>
        </is>
      </c>
      <c r="E874" s="0" t="inlineStr">
        <is>
          <t>NULL</t>
        </is>
      </c>
      <c r="F874" s="0" t="inlineStr">
        <is>
          <t>NULL</t>
        </is>
      </c>
      <c r="G874" s="0" t="inlineStr">
        <is>
          <t>NULL</t>
        </is>
      </c>
      <c r="H874" s="0" t="inlineStr">
        <is>
          <t>NULL</t>
        </is>
      </c>
      <c r="I874" s="0" t="inlineStr">
        <is>
          <t>NULL</t>
        </is>
      </c>
      <c r="J874" s="0" t="inlineStr">
        <is>
          <t>NULL</t>
        </is>
      </c>
      <c r="K874" s="0" t="inlineStr">
        <is>
          <t>YES! 	 c_decimal列源备映射正确，源端为sql_variant 0位	期望更改为sql_variant	实际备端为sql_variant 0位</t>
        </is>
      </c>
    </row>
    <row r="875">
      <c r="B875" s="0" t="inlineStr">
        <is>
          <t>NULL</t>
        </is>
      </c>
      <c r="C875" s="0" t="inlineStr">
        <is>
          <t>NULL</t>
        </is>
      </c>
      <c r="D875" s="0" t="inlineStr">
        <is>
          <t>NULL</t>
        </is>
      </c>
      <c r="E875" s="0" t="inlineStr">
        <is>
          <t>NULL</t>
        </is>
      </c>
      <c r="F875" s="0" t="inlineStr">
        <is>
          <t>NULL</t>
        </is>
      </c>
      <c r="G875" s="0" t="inlineStr">
        <is>
          <t>NULL</t>
        </is>
      </c>
      <c r="H875" s="0" t="inlineStr">
        <is>
          <t>NULL</t>
        </is>
      </c>
      <c r="I875" s="0" t="inlineStr">
        <is>
          <t>NULL</t>
        </is>
      </c>
      <c r="J875" s="0" t="inlineStr">
        <is>
          <t>NULL</t>
        </is>
      </c>
      <c r="K875" s="0" t="inlineStr">
        <is>
          <t>YES! 	 c_uniqueidentifier列源备映射正确，源端为sql_variant 0位	期望更改为sql_variant	实际备端为sql_variant 0位</t>
        </is>
      </c>
    </row>
    <row r="876">
      <c r="B876" s="0" t="inlineStr">
        <is>
          <t>NULL</t>
        </is>
      </c>
      <c r="C876" s="0" t="inlineStr">
        <is>
          <t>NULL</t>
        </is>
      </c>
      <c r="D876" s="0" t="inlineStr">
        <is>
          <t>NULL</t>
        </is>
      </c>
      <c r="E876" s="0" t="inlineStr">
        <is>
          <t>NULL</t>
        </is>
      </c>
      <c r="F876" s="0" t="inlineStr">
        <is>
          <t>NULL</t>
        </is>
      </c>
      <c r="G876" s="0" t="inlineStr">
        <is>
          <t>NULL</t>
        </is>
      </c>
      <c r="H876" s="0" t="inlineStr">
        <is>
          <t>NULL</t>
        </is>
      </c>
      <c r="I876" s="0" t="inlineStr">
        <is>
          <t>NULL</t>
        </is>
      </c>
      <c r="J876" s="0" t="inlineStr">
        <is>
          <t>NULL</t>
        </is>
      </c>
      <c r="K876" s="0" t="inlineStr">
        <is>
          <t>YES! 	 c_smallmoney列源备映射正确，源端为sql_variant 0位	期望更改为sql_variant	实际备端为sql_variant 0位</t>
        </is>
      </c>
    </row>
    <row r="877">
      <c r="B877" s="0" t="inlineStr">
        <is>
          <t>NULL</t>
        </is>
      </c>
      <c r="C877" s="0" t="inlineStr">
        <is>
          <t>NULL</t>
        </is>
      </c>
      <c r="D877" s="0" t="inlineStr">
        <is>
          <t>NULL</t>
        </is>
      </c>
      <c r="E877" s="0" t="inlineStr">
        <is>
          <t>NULL</t>
        </is>
      </c>
      <c r="F877" s="0" t="inlineStr">
        <is>
          <t>NULL</t>
        </is>
      </c>
      <c r="G877" s="0" t="inlineStr">
        <is>
          <t>NULL</t>
        </is>
      </c>
      <c r="H877" s="0" t="inlineStr">
        <is>
          <t>NULL</t>
        </is>
      </c>
      <c r="I877" s="0" t="inlineStr">
        <is>
          <t>NULL</t>
        </is>
      </c>
      <c r="J877" s="0" t="inlineStr">
        <is>
          <t>NULL</t>
        </is>
      </c>
      <c r="K877" s="0" t="inlineStr">
        <is>
          <t>YES! 	 c_bigint列源备映射正确，源端为sql_variant 0位	期望更改为sql_variant	实际备端为sql_variant 0位</t>
        </is>
      </c>
    </row>
    <row r="878">
      <c r="B878" s="0" t="inlineStr">
        <is>
          <t>NULL</t>
        </is>
      </c>
      <c r="C878" s="0" t="inlineStr">
        <is>
          <t>NULL</t>
        </is>
      </c>
      <c r="D878" s="0" t="inlineStr">
        <is>
          <t>NULL</t>
        </is>
      </c>
      <c r="E878" s="0" t="inlineStr">
        <is>
          <t>NULL</t>
        </is>
      </c>
      <c r="F878" s="0" t="inlineStr">
        <is>
          <t>NULL</t>
        </is>
      </c>
      <c r="G878" s="0" t="inlineStr">
        <is>
          <t>NULL</t>
        </is>
      </c>
      <c r="H878" s="0" t="inlineStr">
        <is>
          <t>NULL</t>
        </is>
      </c>
      <c r="I878" s="0" t="inlineStr">
        <is>
          <t>NULL</t>
        </is>
      </c>
      <c r="J878" s="0" t="inlineStr">
        <is>
          <t>NULL</t>
        </is>
      </c>
      <c r="K878" s="0" t="inlineStr">
        <is>
          <t>YES! 	 c_varbinary_20列源备映射正确，源端为sql_variant 0位	期望更改为sql_variant	实际备端为sql_variant 0位</t>
        </is>
      </c>
    </row>
    <row r="879">
      <c r="B879" s="0" t="inlineStr">
        <is>
          <t>NULL</t>
        </is>
      </c>
      <c r="C879" s="0" t="inlineStr">
        <is>
          <t>NULL</t>
        </is>
      </c>
      <c r="D879" s="0" t="inlineStr">
        <is>
          <t>NULL</t>
        </is>
      </c>
      <c r="E879" s="0" t="inlineStr">
        <is>
          <t>NULL</t>
        </is>
      </c>
      <c r="F879" s="0" t="inlineStr">
        <is>
          <t>NULL</t>
        </is>
      </c>
      <c r="G879" s="0" t="inlineStr">
        <is>
          <t>NULL</t>
        </is>
      </c>
      <c r="H879" s="0" t="inlineStr">
        <is>
          <t>NULL</t>
        </is>
      </c>
      <c r="I879" s="0" t="inlineStr">
        <is>
          <t>NULL</t>
        </is>
      </c>
      <c r="J879" s="0" t="inlineStr">
        <is>
          <t>NULL</t>
        </is>
      </c>
      <c r="K879" s="0" t="inlineStr">
        <is>
          <t>YES! 	 c_varchar_20列源备映射正确，源端为sql_variant 0位	期望更改为sql_variant	实际备端为sql_variant 0位</t>
        </is>
      </c>
    </row>
    <row r="880">
      <c r="B880" s="0" t="inlineStr">
        <is>
          <t>NULL</t>
        </is>
      </c>
      <c r="C880" s="0" t="inlineStr">
        <is>
          <t>NULL</t>
        </is>
      </c>
      <c r="D880" s="0" t="inlineStr">
        <is>
          <t>NULL</t>
        </is>
      </c>
      <c r="E880" s="0" t="inlineStr">
        <is>
          <t>NULL</t>
        </is>
      </c>
      <c r="F880" s="0" t="inlineStr">
        <is>
          <t>NULL</t>
        </is>
      </c>
      <c r="G880" s="0" t="inlineStr">
        <is>
          <t>NULL</t>
        </is>
      </c>
      <c r="H880" s="0" t="inlineStr">
        <is>
          <t>NULL</t>
        </is>
      </c>
      <c r="I880" s="0" t="inlineStr">
        <is>
          <t>NULL</t>
        </is>
      </c>
      <c r="J880" s="0" t="inlineStr">
        <is>
          <t>NULL</t>
        </is>
      </c>
      <c r="K880" s="0" t="inlineStr">
        <is>
          <t>YES! 	 c_binary_20列源备映射正确，源端为sql_variant 0位	期望更改为sql_variant	实际备端为sql_variant 0位</t>
        </is>
      </c>
    </row>
    <row r="881">
      <c r="B881" s="0" t="inlineStr">
        <is>
          <t>NULL</t>
        </is>
      </c>
      <c r="C881" s="0" t="inlineStr">
        <is>
          <t>NULL</t>
        </is>
      </c>
      <c r="D881" s="0" t="inlineStr">
        <is>
          <t>NULL</t>
        </is>
      </c>
      <c r="E881" s="0" t="inlineStr">
        <is>
          <t>NULL</t>
        </is>
      </c>
      <c r="F881" s="0" t="inlineStr">
        <is>
          <t>NULL</t>
        </is>
      </c>
      <c r="G881" s="0" t="inlineStr">
        <is>
          <t>NULL</t>
        </is>
      </c>
      <c r="H881" s="0" t="inlineStr">
        <is>
          <t>NULL</t>
        </is>
      </c>
      <c r="I881" s="0" t="inlineStr">
        <is>
          <t>NULL</t>
        </is>
      </c>
      <c r="J881" s="0" t="inlineStr">
        <is>
          <t>NULL</t>
        </is>
      </c>
      <c r="K881" s="0" t="inlineStr">
        <is>
          <t>YES! 	 c_char_20列源备映射正确，源端为sql_variant 0位	期望更改为sql_variant	实际备端为sql_variant 0位</t>
        </is>
      </c>
    </row>
    <row r="882">
      <c r="B882" s="0" t="inlineStr">
        <is>
          <t>NULL</t>
        </is>
      </c>
      <c r="C882" s="0" t="inlineStr">
        <is>
          <t>NULL</t>
        </is>
      </c>
      <c r="D882" s="0" t="inlineStr">
        <is>
          <t>NULL</t>
        </is>
      </c>
      <c r="E882" s="0" t="inlineStr">
        <is>
          <t>NULL</t>
        </is>
      </c>
      <c r="F882" s="0" t="inlineStr">
        <is>
          <t>NULL</t>
        </is>
      </c>
      <c r="G882" s="0" t="inlineStr">
        <is>
          <t>NULL</t>
        </is>
      </c>
      <c r="H882" s="0" t="inlineStr">
        <is>
          <t>NULL</t>
        </is>
      </c>
      <c r="I882" s="0" t="inlineStr">
        <is>
          <t>NULL</t>
        </is>
      </c>
      <c r="J882" s="0" t="inlineStr">
        <is>
          <t>NULL</t>
        </is>
      </c>
      <c r="K882" s="0" t="inlineStr">
        <is>
          <t>YES! 	 c_nvarchar_20列源备映射正确，源端为sql_variant 0位	期望更改为sql_variant	实际备端为sql_variant 0位</t>
        </is>
      </c>
    </row>
    <row r="883">
      <c r="B883" s="0" t="inlineStr">
        <is>
          <t>NULL</t>
        </is>
      </c>
      <c r="C883" s="0" t="inlineStr">
        <is>
          <t>NULL</t>
        </is>
      </c>
      <c r="D883" s="0" t="inlineStr">
        <is>
          <t>NULL</t>
        </is>
      </c>
      <c r="E883" s="0" t="inlineStr">
        <is>
          <t>NULL</t>
        </is>
      </c>
      <c r="F883" s="0" t="inlineStr">
        <is>
          <t>NULL</t>
        </is>
      </c>
      <c r="G883" s="0" t="inlineStr">
        <is>
          <t>NULL</t>
        </is>
      </c>
      <c r="H883" s="0" t="inlineStr">
        <is>
          <t>NULL</t>
        </is>
      </c>
      <c r="I883" s="0" t="inlineStr">
        <is>
          <t>NULL</t>
        </is>
      </c>
      <c r="J883" s="0" t="inlineStr">
        <is>
          <t>NULL</t>
        </is>
      </c>
      <c r="K883" s="0" t="inlineStr">
        <is>
          <t>YES! 	 c_nchar_20列源备映射正确，源端为sql_variant 0位	期望更改为sql_variant	实际备端为sql_variant 0位</t>
        </is>
      </c>
    </row>
    <row r="884">
      <c r="B884" s="0" t="inlineStr">
        <is>
          <t>NULL</t>
        </is>
      </c>
      <c r="C884" s="0" t="inlineStr">
        <is>
          <t>NULL</t>
        </is>
      </c>
      <c r="D884" s="0" t="inlineStr">
        <is>
          <t>NULL</t>
        </is>
      </c>
      <c r="E884" s="0" t="inlineStr">
        <is>
          <t>NULL</t>
        </is>
      </c>
      <c r="F884" s="0" t="inlineStr">
        <is>
          <t>NULL</t>
        </is>
      </c>
      <c r="G884" s="0" t="inlineStr">
        <is>
          <t>NULL</t>
        </is>
      </c>
      <c r="H884" s="0" t="inlineStr">
        <is>
          <t>NULL</t>
        </is>
      </c>
      <c r="I884" s="0" t="inlineStr">
        <is>
          <t>NULL</t>
        </is>
      </c>
      <c r="J884" s="0" t="inlineStr">
        <is>
          <t>NULL</t>
        </is>
      </c>
      <c r="K884" s="0" t="inlineStr">
        <is>
          <t>YES! 	 c_timestamp列源备映射正确，源端为timestamp None位	期望更改为timestamp	实际备端为timestamp None位</t>
        </is>
      </c>
    </row>
    <row r="885">
      <c r="A885" s="0" t="inlineStr">
        <is>
          <t>info_timestamp_dml_single_nopk_drp</t>
        </is>
      </c>
      <c r="K885" s="0" t="inlineStr">
        <is>
          <t>[0;34m info_timestamp_dml_single_nopk_drp [0m源备字段数相同，源端字段：2 	备端字段2</t>
        </is>
      </c>
      <c r="W885" s="0" t="inlineStr">
        <is>
          <t>YES 源备无差异</t>
        </is>
      </c>
      <c r="X885" s="0">
        <f>A885</f>
        <v/>
      </c>
    </row>
    <row r="886">
      <c r="B886" s="0" t="inlineStr">
        <is>
          <t>NULL</t>
        </is>
      </c>
      <c r="C886" s="0" t="inlineStr">
        <is>
          <t>NULL</t>
        </is>
      </c>
      <c r="D886" s="0" t="inlineStr">
        <is>
          <t>NULL</t>
        </is>
      </c>
      <c r="E886" s="0" t="inlineStr">
        <is>
          <t>NULL</t>
        </is>
      </c>
      <c r="F886" s="0" t="inlineStr">
        <is>
          <t>NULL</t>
        </is>
      </c>
      <c r="G886" s="0" t="inlineStr">
        <is>
          <t>NULL</t>
        </is>
      </c>
      <c r="H886" s="0" t="inlineStr">
        <is>
          <t>NULL</t>
        </is>
      </c>
      <c r="I886" s="0" t="inlineStr">
        <is>
          <t>NULL</t>
        </is>
      </c>
      <c r="J886" s="0" t="inlineStr">
        <is>
          <t>NULL</t>
        </is>
      </c>
      <c r="K886" s="0" t="inlineStr">
        <is>
          <t>YES! 	 id列源备映射正确，源端为int None位	期望更改为int	实际备端为int None位</t>
        </is>
      </c>
    </row>
    <row r="887">
      <c r="B887" s="0" t="inlineStr">
        <is>
          <t>NULL</t>
        </is>
      </c>
      <c r="C887" s="0" t="inlineStr">
        <is>
          <t>NULL</t>
        </is>
      </c>
      <c r="D887" s="0" t="inlineStr">
        <is>
          <t>NULL</t>
        </is>
      </c>
      <c r="E887" s="0" t="inlineStr">
        <is>
          <t>NULL</t>
        </is>
      </c>
      <c r="F887" s="0" t="inlineStr">
        <is>
          <t>NULL</t>
        </is>
      </c>
      <c r="G887" s="0" t="inlineStr">
        <is>
          <t>NULL</t>
        </is>
      </c>
      <c r="H887" s="0" t="inlineStr">
        <is>
          <t>NULL</t>
        </is>
      </c>
      <c r="I887" s="0" t="inlineStr">
        <is>
          <t>NULL</t>
        </is>
      </c>
      <c r="J887" s="0" t="inlineStr">
        <is>
          <t>NULL</t>
        </is>
      </c>
      <c r="K887" s="0" t="inlineStr">
        <is>
          <t>YES! 	 c_tiemstamp列源备映射正确，源端为timestamp None位	期望更改为timestamp	实际备端为timestamp None位</t>
        </is>
      </c>
    </row>
    <row r="888">
      <c r="A888" s="0" t="inlineStr">
        <is>
          <t>info_datetime_dml_batch1_pk</t>
        </is>
      </c>
      <c r="K888" s="0" t="inlineStr">
        <is>
          <t>[0;34m info_datetime_dml_batch1_pk [0m源备字段数相同，源端字段：2 	备端字段2</t>
        </is>
      </c>
      <c r="W888" s="0" t="inlineStr">
        <is>
          <t>YES 源备无差异</t>
        </is>
      </c>
      <c r="X888" s="0">
        <f>A888</f>
        <v/>
      </c>
    </row>
    <row r="889">
      <c r="B889" s="0" t="inlineStr">
        <is>
          <t>YES</t>
        </is>
      </c>
      <c r="C889" s="0" t="inlineStr">
        <is>
          <t>NULL</t>
        </is>
      </c>
      <c r="D889" s="0" t="inlineStr">
        <is>
          <t>NULL</t>
        </is>
      </c>
      <c r="E889" s="0" t="inlineStr">
        <is>
          <t>NULL</t>
        </is>
      </c>
      <c r="F889" s="0" t="inlineStr">
        <is>
          <t>NULL</t>
        </is>
      </c>
      <c r="G889" s="0" t="inlineStr">
        <is>
          <t>NULL</t>
        </is>
      </c>
      <c r="H889" s="0" t="inlineStr">
        <is>
          <t>NULL</t>
        </is>
      </c>
      <c r="I889" s="0" t="inlineStr">
        <is>
          <t>YES!PK__info_dat__3213E83FF22C8314</t>
        </is>
      </c>
      <c r="J889" s="0" t="inlineStr">
        <is>
          <t>YES! 主键相关索引</t>
        </is>
      </c>
      <c r="K889" s="0" t="inlineStr">
        <is>
          <t>YES! 	 id列源备映射正确，源端为int None位	期望更改为int	实际备端为int None位</t>
        </is>
      </c>
    </row>
    <row r="890">
      <c r="B890" s="0" t="inlineStr">
        <is>
          <t>NULL</t>
        </is>
      </c>
      <c r="C890" s="0" t="inlineStr">
        <is>
          <t>NULL</t>
        </is>
      </c>
      <c r="D890" s="0" t="inlineStr">
        <is>
          <t>NULL</t>
        </is>
      </c>
      <c r="E890" s="0" t="inlineStr">
        <is>
          <t>NULL</t>
        </is>
      </c>
      <c r="F890" s="0" t="inlineStr">
        <is>
          <t>NULL</t>
        </is>
      </c>
      <c r="G890" s="0" t="inlineStr">
        <is>
          <t>NULL</t>
        </is>
      </c>
      <c r="H890" s="0" t="inlineStr">
        <is>
          <t>NULL</t>
        </is>
      </c>
      <c r="I890" s="0" t="inlineStr">
        <is>
          <t>NULL</t>
        </is>
      </c>
      <c r="J890" s="0" t="inlineStr">
        <is>
          <t>NULL</t>
        </is>
      </c>
      <c r="K890" s="0" t="inlineStr">
        <is>
          <t>YES! 	 c_datetime列源备映射正确，源端为datetime None位	期望更改为datetime	实际备端为datetime None位</t>
        </is>
      </c>
    </row>
    <row r="891">
      <c r="A891" s="0" t="inlineStr">
        <is>
          <t>info_nchar_dml_batch1_pk_urp1</t>
        </is>
      </c>
      <c r="K891" s="0" t="inlineStr">
        <is>
          <t>[0;34m info_nchar_dml_batch1_pk_urp1 [0m源备字段数相同，源端字段：4 	备端字段4</t>
        </is>
      </c>
      <c r="W891" s="0" t="inlineStr">
        <is>
          <t>YES 源备无差异</t>
        </is>
      </c>
      <c r="X891" s="0">
        <f>A891</f>
        <v/>
      </c>
    </row>
    <row r="892">
      <c r="B892" s="0" t="inlineStr">
        <is>
          <t>YES</t>
        </is>
      </c>
      <c r="C892" s="0" t="inlineStr">
        <is>
          <t>NULL</t>
        </is>
      </c>
      <c r="D892" s="0" t="inlineStr">
        <is>
          <t>NULL</t>
        </is>
      </c>
      <c r="E892" s="0" t="inlineStr">
        <is>
          <t>NULL</t>
        </is>
      </c>
      <c r="F892" s="0" t="inlineStr">
        <is>
          <t>NULL</t>
        </is>
      </c>
      <c r="G892" s="0" t="inlineStr">
        <is>
          <t>NULL</t>
        </is>
      </c>
      <c r="H892" s="0" t="inlineStr">
        <is>
          <t>NULL</t>
        </is>
      </c>
      <c r="I892" s="0" t="inlineStr">
        <is>
          <t>YES!PK__info_nch__3213E83F7342E96E</t>
        </is>
      </c>
      <c r="J892" s="0" t="inlineStr">
        <is>
          <t>YES! 主键相关索引</t>
        </is>
      </c>
      <c r="K892" s="0" t="inlineStr">
        <is>
          <t>YES! 	 id列源备映射正确，源端为int None位	期望更改为int	实际备端为int None位</t>
        </is>
      </c>
    </row>
    <row r="893">
      <c r="B893" s="0" t="inlineStr">
        <is>
          <t>NULL</t>
        </is>
      </c>
      <c r="C893" s="0" t="inlineStr">
        <is>
          <t>NULL</t>
        </is>
      </c>
      <c r="D893" s="0" t="inlineStr">
        <is>
          <t>NULL</t>
        </is>
      </c>
      <c r="E893" s="0" t="inlineStr">
        <is>
          <t>NULL</t>
        </is>
      </c>
      <c r="F893" s="0" t="inlineStr">
        <is>
          <t>NULL</t>
        </is>
      </c>
      <c r="G893" s="0" t="inlineStr">
        <is>
          <t>NULL</t>
        </is>
      </c>
      <c r="H893" s="0" t="inlineStr">
        <is>
          <t>NULL</t>
        </is>
      </c>
      <c r="I893" s="0" t="inlineStr">
        <is>
          <t>NULL</t>
        </is>
      </c>
      <c r="J893" s="0" t="inlineStr">
        <is>
          <t>NULL</t>
        </is>
      </c>
      <c r="K893" s="0" t="inlineStr">
        <is>
          <t>YES! 	 c_nchar列源备映射正确，源端为nchar 2位	期望更改为nchar(n)	实际备端为nchar 2位</t>
        </is>
      </c>
    </row>
    <row r="894">
      <c r="B894" s="0" t="inlineStr">
        <is>
          <t>NULL</t>
        </is>
      </c>
      <c r="C894" s="0" t="inlineStr">
        <is>
          <t>NULL</t>
        </is>
      </c>
      <c r="D894" s="0" t="inlineStr">
        <is>
          <t>NULL</t>
        </is>
      </c>
      <c r="E894" s="0" t="inlineStr">
        <is>
          <t>NULL</t>
        </is>
      </c>
      <c r="F894" s="0" t="inlineStr">
        <is>
          <t>NULL</t>
        </is>
      </c>
      <c r="G894" s="0" t="inlineStr">
        <is>
          <t>NULL</t>
        </is>
      </c>
      <c r="H894" s="0" t="inlineStr">
        <is>
          <t>NULL</t>
        </is>
      </c>
      <c r="I894" s="0" t="inlineStr">
        <is>
          <t>NULL</t>
        </is>
      </c>
      <c r="J894" s="0" t="inlineStr">
        <is>
          <t>NULL</t>
        </is>
      </c>
      <c r="K894" s="0" t="inlineStr">
        <is>
          <t>YES! 	 c_nchar20列源备映射正确，源端为nchar 40位	期望更改为nchar(n)	实际备端为nchar 40位</t>
        </is>
      </c>
    </row>
    <row r="895">
      <c r="B895" s="0" t="inlineStr">
        <is>
          <t>NULL</t>
        </is>
      </c>
      <c r="C895" s="0" t="inlineStr">
        <is>
          <t>NULL</t>
        </is>
      </c>
      <c r="D895" s="0" t="inlineStr">
        <is>
          <t>NULL</t>
        </is>
      </c>
      <c r="E895" s="0" t="inlineStr">
        <is>
          <t>NULL</t>
        </is>
      </c>
      <c r="F895" s="0" t="inlineStr">
        <is>
          <t>NULL</t>
        </is>
      </c>
      <c r="G895" s="0" t="inlineStr">
        <is>
          <t>NULL</t>
        </is>
      </c>
      <c r="H895" s="0" t="inlineStr">
        <is>
          <t>NULL</t>
        </is>
      </c>
      <c r="I895" s="0" t="inlineStr">
        <is>
          <t>NULL</t>
        </is>
      </c>
      <c r="J895" s="0" t="inlineStr">
        <is>
          <t>NULL</t>
        </is>
      </c>
      <c r="K895" s="0" t="inlineStr">
        <is>
          <t>YES! 	 c_nchar3500列源备映射正确，源端为nchar 7000位	期望更改为nchar(n)	实际备端为nchar 7000位</t>
        </is>
      </c>
    </row>
    <row r="896">
      <c r="A896" s="0" t="inlineStr">
        <is>
          <t>info_varcharmax_dml_single_nopk_urp</t>
        </is>
      </c>
      <c r="K896" s="0" t="inlineStr">
        <is>
          <t>[0;34m info_varcharmax_dml_single_nopk_urp [0m源备字段数相同，源端字段：3 	备端字段3</t>
        </is>
      </c>
      <c r="W896" s="0" t="inlineStr">
        <is>
          <t>YES 源备无差异</t>
        </is>
      </c>
      <c r="X896" s="0">
        <f>A896</f>
        <v/>
      </c>
    </row>
    <row r="897">
      <c r="B897" s="0" t="inlineStr">
        <is>
          <t>NULL</t>
        </is>
      </c>
      <c r="C897" s="0" t="inlineStr">
        <is>
          <t>NULL</t>
        </is>
      </c>
      <c r="D897" s="0" t="inlineStr">
        <is>
          <t>NULL</t>
        </is>
      </c>
      <c r="E897" s="0" t="inlineStr">
        <is>
          <t>NULL</t>
        </is>
      </c>
      <c r="F897" s="0" t="inlineStr">
        <is>
          <t>NULL</t>
        </is>
      </c>
      <c r="G897" s="0" t="inlineStr">
        <is>
          <t>NULL</t>
        </is>
      </c>
      <c r="H897" s="0" t="inlineStr">
        <is>
          <t>NULL</t>
        </is>
      </c>
      <c r="I897" s="0" t="inlineStr">
        <is>
          <t>NULL</t>
        </is>
      </c>
      <c r="J897" s="0" t="inlineStr">
        <is>
          <t>NULL</t>
        </is>
      </c>
      <c r="K897" s="0" t="inlineStr">
        <is>
          <t>YES! 	 id列源备映射正确，源端为int None位	期望更改为int	实际备端为int None位</t>
        </is>
      </c>
    </row>
    <row r="898">
      <c r="B898" s="0" t="inlineStr">
        <is>
          <t>NULL</t>
        </is>
      </c>
      <c r="C898" s="0" t="inlineStr">
        <is>
          <t>NULL</t>
        </is>
      </c>
      <c r="D898" s="0" t="inlineStr">
        <is>
          <t>NULL</t>
        </is>
      </c>
      <c r="E898" s="0" t="inlineStr">
        <is>
          <t>NULL</t>
        </is>
      </c>
      <c r="F898" s="0" t="inlineStr">
        <is>
          <t>NULL</t>
        </is>
      </c>
      <c r="G898" s="0" t="inlineStr">
        <is>
          <t>NULL</t>
        </is>
      </c>
      <c r="H898" s="0" t="inlineStr">
        <is>
          <t>NULL</t>
        </is>
      </c>
      <c r="I898" s="0" t="inlineStr">
        <is>
          <t>NULL</t>
        </is>
      </c>
      <c r="J898" s="0" t="inlineStr">
        <is>
          <t>NULL</t>
        </is>
      </c>
      <c r="K898" s="0" t="inlineStr">
        <is>
          <t>YES! 	 c_varchar_max列源备映射正确，源端为varchar -1位	期望更改为varchar(n)	实际备端为varchar -1位</t>
        </is>
      </c>
    </row>
    <row r="899">
      <c r="B899" s="0" t="inlineStr">
        <is>
          <t>NULL</t>
        </is>
      </c>
      <c r="C899" s="0" t="inlineStr">
        <is>
          <t>NULL</t>
        </is>
      </c>
      <c r="D899" s="0" t="inlineStr">
        <is>
          <t>NULL</t>
        </is>
      </c>
      <c r="E899" s="0" t="inlineStr">
        <is>
          <t>NULL</t>
        </is>
      </c>
      <c r="F899" s="0" t="inlineStr">
        <is>
          <t>NULL</t>
        </is>
      </c>
      <c r="G899" s="0" t="inlineStr">
        <is>
          <t>NULL</t>
        </is>
      </c>
      <c r="H899" s="0" t="inlineStr">
        <is>
          <t>NULL</t>
        </is>
      </c>
      <c r="I899" s="0" t="inlineStr">
        <is>
          <t>NULL</t>
        </is>
      </c>
      <c r="J899" s="0" t="inlineStr">
        <is>
          <t>NULL</t>
        </is>
      </c>
      <c r="K899" s="0" t="inlineStr">
        <is>
          <t>YES! 	 c_nvarchar_max列源备映射正确，源端为nvarchar -1位	期望更改为nvarchar(n)	实际备端为nvarchar -1位</t>
        </is>
      </c>
    </row>
    <row r="900">
      <c r="A900" s="0" t="inlineStr">
        <is>
          <t>info_time_dml_single_pk_irp</t>
        </is>
      </c>
      <c r="K900" s="0" t="inlineStr">
        <is>
          <t>[0;34m info_time_dml_single_pk_irp [0m源备字段数相同，源端字段：9 	备端字段9</t>
        </is>
      </c>
      <c r="W900" s="0" t="inlineStr">
        <is>
          <t>YES 源备无差异</t>
        </is>
      </c>
      <c r="X900" s="0">
        <f>A900</f>
        <v/>
      </c>
    </row>
    <row r="901">
      <c r="B901" s="0" t="inlineStr">
        <is>
          <t>YES</t>
        </is>
      </c>
      <c r="C901" s="0" t="inlineStr">
        <is>
          <t>NULL</t>
        </is>
      </c>
      <c r="D901" s="0" t="inlineStr">
        <is>
          <t>NULL</t>
        </is>
      </c>
      <c r="E901" s="0" t="inlineStr">
        <is>
          <t>NULL</t>
        </is>
      </c>
      <c r="F901" s="0" t="inlineStr">
        <is>
          <t>NULL</t>
        </is>
      </c>
      <c r="G901" s="0" t="inlineStr">
        <is>
          <t>NULL</t>
        </is>
      </c>
      <c r="H901" s="0" t="inlineStr">
        <is>
          <t>NULL</t>
        </is>
      </c>
      <c r="I901" s="0" t="inlineStr">
        <is>
          <t>YES!PK__info_tim__3213E83F20F79211</t>
        </is>
      </c>
      <c r="J901" s="0" t="inlineStr">
        <is>
          <t>YES! 主键相关索引</t>
        </is>
      </c>
      <c r="K901" s="0" t="inlineStr">
        <is>
          <t>YES! 	 id列源备映射正确，源端为int None位	期望更改为int	实际备端为int None位</t>
        </is>
      </c>
    </row>
    <row r="902">
      <c r="B902" s="0" t="inlineStr">
        <is>
          <t>NULL</t>
        </is>
      </c>
      <c r="C902" s="0" t="inlineStr">
        <is>
          <t>NULL</t>
        </is>
      </c>
      <c r="D902" s="0" t="inlineStr">
        <is>
          <t>NULL</t>
        </is>
      </c>
      <c r="E902" s="0" t="inlineStr">
        <is>
          <t>NULL</t>
        </is>
      </c>
      <c r="F902" s="0" t="inlineStr">
        <is>
          <t>NULL</t>
        </is>
      </c>
      <c r="G902" s="0" t="inlineStr">
        <is>
          <t>NULL</t>
        </is>
      </c>
      <c r="H902" s="0" t="inlineStr">
        <is>
          <t>NULL</t>
        </is>
      </c>
      <c r="I902" s="0" t="inlineStr">
        <is>
          <t>NULL</t>
        </is>
      </c>
      <c r="J902" s="0" t="inlineStr">
        <is>
          <t>NULL</t>
        </is>
      </c>
      <c r="K902" s="0" t="inlineStr">
        <is>
          <t>no,len不存在</t>
        </is>
      </c>
    </row>
    <row r="903">
      <c r="B903" s="0" t="inlineStr">
        <is>
          <t>NULL</t>
        </is>
      </c>
      <c r="C903" s="0" t="inlineStr">
        <is>
          <t>NULL</t>
        </is>
      </c>
      <c r="D903" s="0" t="inlineStr">
        <is>
          <t>NULL</t>
        </is>
      </c>
      <c r="E903" s="0" t="inlineStr">
        <is>
          <t>NULL</t>
        </is>
      </c>
      <c r="F903" s="0" t="inlineStr">
        <is>
          <t>NULL</t>
        </is>
      </c>
      <c r="G903" s="0" t="inlineStr">
        <is>
          <t>NULL</t>
        </is>
      </c>
      <c r="H903" s="0" t="inlineStr">
        <is>
          <t>NULL</t>
        </is>
      </c>
      <c r="I903" s="0" t="inlineStr">
        <is>
          <t>NULL</t>
        </is>
      </c>
      <c r="J903" s="0" t="inlineStr">
        <is>
          <t>NULL</t>
        </is>
      </c>
      <c r="K903" s="0" t="inlineStr">
        <is>
          <t>YES! 	 c_time1列源备映射正确，源端为time None位	期望更改为time(n)	实际备端为time None位</t>
        </is>
      </c>
    </row>
    <row r="904">
      <c r="B904" s="0" t="inlineStr">
        <is>
          <t>NULL</t>
        </is>
      </c>
      <c r="C904" s="0" t="inlineStr">
        <is>
          <t>NULL</t>
        </is>
      </c>
      <c r="D904" s="0" t="inlineStr">
        <is>
          <t>NULL</t>
        </is>
      </c>
      <c r="E904" s="0" t="inlineStr">
        <is>
          <t>NULL</t>
        </is>
      </c>
      <c r="F904" s="0" t="inlineStr">
        <is>
          <t>NULL</t>
        </is>
      </c>
      <c r="G904" s="0" t="inlineStr">
        <is>
          <t>NULL</t>
        </is>
      </c>
      <c r="H904" s="0" t="inlineStr">
        <is>
          <t>NULL</t>
        </is>
      </c>
      <c r="I904" s="0" t="inlineStr">
        <is>
          <t>NULL</t>
        </is>
      </c>
      <c r="J904" s="0" t="inlineStr">
        <is>
          <t>NULL</t>
        </is>
      </c>
      <c r="K904" s="0" t="inlineStr">
        <is>
          <t>YES! 	 c_time2列源备映射正确，源端为time None位	期望更改为time(n)	实际备端为time None位</t>
        </is>
      </c>
    </row>
    <row r="905">
      <c r="B905" s="0" t="inlineStr">
        <is>
          <t>NULL</t>
        </is>
      </c>
      <c r="C905" s="0" t="inlineStr">
        <is>
          <t>NULL</t>
        </is>
      </c>
      <c r="D905" s="0" t="inlineStr">
        <is>
          <t>NULL</t>
        </is>
      </c>
      <c r="E905" s="0" t="inlineStr">
        <is>
          <t>NULL</t>
        </is>
      </c>
      <c r="F905" s="0" t="inlineStr">
        <is>
          <t>NULL</t>
        </is>
      </c>
      <c r="G905" s="0" t="inlineStr">
        <is>
          <t>NULL</t>
        </is>
      </c>
      <c r="H905" s="0" t="inlineStr">
        <is>
          <t>NULL</t>
        </is>
      </c>
      <c r="I905" s="0" t="inlineStr">
        <is>
          <t>NULL</t>
        </is>
      </c>
      <c r="J905" s="0" t="inlineStr">
        <is>
          <t>NULL</t>
        </is>
      </c>
      <c r="K905" s="0" t="inlineStr">
        <is>
          <t>YES! 	 c_time3列源备映射正确，源端为time None位	期望更改为time(n)	实际备端为time None位</t>
        </is>
      </c>
    </row>
    <row r="906">
      <c r="B906" s="0" t="inlineStr">
        <is>
          <t>NULL</t>
        </is>
      </c>
      <c r="C906" s="0" t="inlineStr">
        <is>
          <t>NULL</t>
        </is>
      </c>
      <c r="D906" s="0" t="inlineStr">
        <is>
          <t>NULL</t>
        </is>
      </c>
      <c r="E906" s="0" t="inlineStr">
        <is>
          <t>NULL</t>
        </is>
      </c>
      <c r="F906" s="0" t="inlineStr">
        <is>
          <t>NULL</t>
        </is>
      </c>
      <c r="G906" s="0" t="inlineStr">
        <is>
          <t>NULL</t>
        </is>
      </c>
      <c r="H906" s="0" t="inlineStr">
        <is>
          <t>NULL</t>
        </is>
      </c>
      <c r="I906" s="0" t="inlineStr">
        <is>
          <t>NULL</t>
        </is>
      </c>
      <c r="J906" s="0" t="inlineStr">
        <is>
          <t>NULL</t>
        </is>
      </c>
      <c r="K906" s="0" t="inlineStr">
        <is>
          <t>YES! 	 c_time4列源备映射正确，源端为time None位	期望更改为time(n)	实际备端为time None位</t>
        </is>
      </c>
    </row>
    <row r="907">
      <c r="B907" s="0" t="inlineStr">
        <is>
          <t>NULL</t>
        </is>
      </c>
      <c r="C907" s="0" t="inlineStr">
        <is>
          <t>NULL</t>
        </is>
      </c>
      <c r="D907" s="0" t="inlineStr">
        <is>
          <t>NULL</t>
        </is>
      </c>
      <c r="E907" s="0" t="inlineStr">
        <is>
          <t>NULL</t>
        </is>
      </c>
      <c r="F907" s="0" t="inlineStr">
        <is>
          <t>NULL</t>
        </is>
      </c>
      <c r="G907" s="0" t="inlineStr">
        <is>
          <t>NULL</t>
        </is>
      </c>
      <c r="H907" s="0" t="inlineStr">
        <is>
          <t>NULL</t>
        </is>
      </c>
      <c r="I907" s="0" t="inlineStr">
        <is>
          <t>NULL</t>
        </is>
      </c>
      <c r="J907" s="0" t="inlineStr">
        <is>
          <t>NULL</t>
        </is>
      </c>
      <c r="K907" s="0" t="inlineStr">
        <is>
          <t>YES! 	 c_time5列源备映射正确，源端为time None位	期望更改为time(n)	实际备端为time None位</t>
        </is>
      </c>
    </row>
    <row r="908">
      <c r="B908" s="0" t="inlineStr">
        <is>
          <t>NULL</t>
        </is>
      </c>
      <c r="C908" s="0" t="inlineStr">
        <is>
          <t>NULL</t>
        </is>
      </c>
      <c r="D908" s="0" t="inlineStr">
        <is>
          <t>NULL</t>
        </is>
      </c>
      <c r="E908" s="0" t="inlineStr">
        <is>
          <t>NULL</t>
        </is>
      </c>
      <c r="F908" s="0" t="inlineStr">
        <is>
          <t>NULL</t>
        </is>
      </c>
      <c r="G908" s="0" t="inlineStr">
        <is>
          <t>NULL</t>
        </is>
      </c>
      <c r="H908" s="0" t="inlineStr">
        <is>
          <t>NULL</t>
        </is>
      </c>
      <c r="I908" s="0" t="inlineStr">
        <is>
          <t>NULL</t>
        </is>
      </c>
      <c r="J908" s="0" t="inlineStr">
        <is>
          <t>NULL</t>
        </is>
      </c>
      <c r="K908" s="0" t="inlineStr">
        <is>
          <t>YES! 	 c_time6列源备映射正确，源端为time None位	期望更改为time(n)	实际备端为time None位</t>
        </is>
      </c>
    </row>
    <row r="909">
      <c r="B909" s="0" t="inlineStr">
        <is>
          <t>NULL</t>
        </is>
      </c>
      <c r="C909" s="0" t="inlineStr">
        <is>
          <t>NULL</t>
        </is>
      </c>
      <c r="D909" s="0" t="inlineStr">
        <is>
          <t>NULL</t>
        </is>
      </c>
      <c r="E909" s="0" t="inlineStr">
        <is>
          <t>NULL</t>
        </is>
      </c>
      <c r="F909" s="0" t="inlineStr">
        <is>
          <t>NULL</t>
        </is>
      </c>
      <c r="G909" s="0" t="inlineStr">
        <is>
          <t>NULL</t>
        </is>
      </c>
      <c r="H909" s="0" t="inlineStr">
        <is>
          <t>NULL</t>
        </is>
      </c>
      <c r="I909" s="0" t="inlineStr">
        <is>
          <t>NULL</t>
        </is>
      </c>
      <c r="J909" s="0" t="inlineStr">
        <is>
          <t>NULL</t>
        </is>
      </c>
      <c r="K909" s="0" t="inlineStr">
        <is>
          <t>YES! 	 c_time列源备映射正确，源端为time None位	期望更改为time(n)	实际备端为time None位</t>
        </is>
      </c>
    </row>
    <row r="910">
      <c r="A910" s="0" t="inlineStr">
        <is>
          <t>info_datetime2_dml_batch1_pk_irp1</t>
        </is>
      </c>
      <c r="K910" s="0" t="inlineStr">
        <is>
          <t>[0;34m info_datetime2_dml_batch1_pk_irp1 [0m源备字段数相同，源端字段：9 	备端字段9</t>
        </is>
      </c>
      <c r="W910" s="0" t="inlineStr">
        <is>
          <t>YES 源备无差异</t>
        </is>
      </c>
      <c r="X910" s="0">
        <f>A910</f>
        <v/>
      </c>
    </row>
    <row r="911">
      <c r="B911" s="0" t="inlineStr">
        <is>
          <t>YES</t>
        </is>
      </c>
      <c r="C911" s="0" t="inlineStr">
        <is>
          <t>NULL</t>
        </is>
      </c>
      <c r="D911" s="0" t="inlineStr">
        <is>
          <t>NULL</t>
        </is>
      </c>
      <c r="E911" s="0" t="inlineStr">
        <is>
          <t>NULL</t>
        </is>
      </c>
      <c r="F911" s="0" t="inlineStr">
        <is>
          <t>NULL</t>
        </is>
      </c>
      <c r="G911" s="0" t="inlineStr">
        <is>
          <t>NULL</t>
        </is>
      </c>
      <c r="H911" s="0" t="inlineStr">
        <is>
          <t>NULL</t>
        </is>
      </c>
      <c r="I911" s="0" t="inlineStr">
        <is>
          <t>YES!PK__info_dat__3213E83FC6B7B484</t>
        </is>
      </c>
      <c r="J911" s="0" t="inlineStr">
        <is>
          <t>YES! 主键相关索引</t>
        </is>
      </c>
      <c r="K911" s="0" t="inlineStr">
        <is>
          <t>YES! 	 id列源备映射正确，源端为int None位	期望更改为int	实际备端为int None位</t>
        </is>
      </c>
    </row>
    <row r="912">
      <c r="B912" s="0" t="inlineStr">
        <is>
          <t>NULL</t>
        </is>
      </c>
      <c r="C912" s="0" t="inlineStr">
        <is>
          <t>NULL</t>
        </is>
      </c>
      <c r="D912" s="0" t="inlineStr">
        <is>
          <t>NULL</t>
        </is>
      </c>
      <c r="E912" s="0" t="inlineStr">
        <is>
          <t>NULL</t>
        </is>
      </c>
      <c r="F912" s="0" t="inlineStr">
        <is>
          <t>NULL</t>
        </is>
      </c>
      <c r="G912" s="0" t="inlineStr">
        <is>
          <t>NULL</t>
        </is>
      </c>
      <c r="H912" s="0" t="inlineStr">
        <is>
          <t>NULL</t>
        </is>
      </c>
      <c r="I912" s="0" t="inlineStr">
        <is>
          <t>NULL</t>
        </is>
      </c>
      <c r="J912" s="0" t="inlineStr">
        <is>
          <t>NULL</t>
        </is>
      </c>
      <c r="K912" s="0" t="inlineStr">
        <is>
          <t>no,len不存在</t>
        </is>
      </c>
    </row>
    <row r="913">
      <c r="B913" s="0" t="inlineStr">
        <is>
          <t>NULL</t>
        </is>
      </c>
      <c r="C913" s="0" t="inlineStr">
        <is>
          <t>NULL</t>
        </is>
      </c>
      <c r="D913" s="0" t="inlineStr">
        <is>
          <t>NULL</t>
        </is>
      </c>
      <c r="E913" s="0" t="inlineStr">
        <is>
          <t>NULL</t>
        </is>
      </c>
      <c r="F913" s="0" t="inlineStr">
        <is>
          <t>NULL</t>
        </is>
      </c>
      <c r="G913" s="0" t="inlineStr">
        <is>
          <t>NULL</t>
        </is>
      </c>
      <c r="H913" s="0" t="inlineStr">
        <is>
          <t>NULL</t>
        </is>
      </c>
      <c r="I913" s="0" t="inlineStr">
        <is>
          <t>NULL</t>
        </is>
      </c>
      <c r="J913" s="0" t="inlineStr">
        <is>
          <t>NULL</t>
        </is>
      </c>
      <c r="K913" s="0" t="inlineStr">
        <is>
          <t>YES! 	 c_dt2_1列源备映射正确，源端为datetime2 None位	期望更改为datetime2(n)	实际备端为datetime2 None位</t>
        </is>
      </c>
    </row>
    <row r="914">
      <c r="B914" s="0" t="inlineStr">
        <is>
          <t>NULL</t>
        </is>
      </c>
      <c r="C914" s="0" t="inlineStr">
        <is>
          <t>NULL</t>
        </is>
      </c>
      <c r="D914" s="0" t="inlineStr">
        <is>
          <t>NULL</t>
        </is>
      </c>
      <c r="E914" s="0" t="inlineStr">
        <is>
          <t>NULL</t>
        </is>
      </c>
      <c r="F914" s="0" t="inlineStr">
        <is>
          <t>NULL</t>
        </is>
      </c>
      <c r="G914" s="0" t="inlineStr">
        <is>
          <t>NULL</t>
        </is>
      </c>
      <c r="H914" s="0" t="inlineStr">
        <is>
          <t>NULL</t>
        </is>
      </c>
      <c r="I914" s="0" t="inlineStr">
        <is>
          <t>NULL</t>
        </is>
      </c>
      <c r="J914" s="0" t="inlineStr">
        <is>
          <t>NULL</t>
        </is>
      </c>
      <c r="K914" s="0" t="inlineStr">
        <is>
          <t>YES! 	 c_dt2_2列源备映射正确，源端为datetime2 None位	期望更改为datetime2(n)	实际备端为datetime2 None位</t>
        </is>
      </c>
    </row>
    <row r="915">
      <c r="B915" s="0" t="inlineStr">
        <is>
          <t>NULL</t>
        </is>
      </c>
      <c r="C915" s="0" t="inlineStr">
        <is>
          <t>NULL</t>
        </is>
      </c>
      <c r="D915" s="0" t="inlineStr">
        <is>
          <t>NULL</t>
        </is>
      </c>
      <c r="E915" s="0" t="inlineStr">
        <is>
          <t>NULL</t>
        </is>
      </c>
      <c r="F915" s="0" t="inlineStr">
        <is>
          <t>NULL</t>
        </is>
      </c>
      <c r="G915" s="0" t="inlineStr">
        <is>
          <t>NULL</t>
        </is>
      </c>
      <c r="H915" s="0" t="inlineStr">
        <is>
          <t>NULL</t>
        </is>
      </c>
      <c r="I915" s="0" t="inlineStr">
        <is>
          <t>NULL</t>
        </is>
      </c>
      <c r="J915" s="0" t="inlineStr">
        <is>
          <t>NULL</t>
        </is>
      </c>
      <c r="K915" s="0" t="inlineStr">
        <is>
          <t>YES! 	 c_dt2_3列源备映射正确，源端为datetime2 None位	期望更改为datetime2(n)	实际备端为datetime2 None位</t>
        </is>
      </c>
    </row>
    <row r="916">
      <c r="B916" s="0" t="inlineStr">
        <is>
          <t>NULL</t>
        </is>
      </c>
      <c r="C916" s="0" t="inlineStr">
        <is>
          <t>NULL</t>
        </is>
      </c>
      <c r="D916" s="0" t="inlineStr">
        <is>
          <t>NULL</t>
        </is>
      </c>
      <c r="E916" s="0" t="inlineStr">
        <is>
          <t>NULL</t>
        </is>
      </c>
      <c r="F916" s="0" t="inlineStr">
        <is>
          <t>NULL</t>
        </is>
      </c>
      <c r="G916" s="0" t="inlineStr">
        <is>
          <t>NULL</t>
        </is>
      </c>
      <c r="H916" s="0" t="inlineStr">
        <is>
          <t>NULL</t>
        </is>
      </c>
      <c r="I916" s="0" t="inlineStr">
        <is>
          <t>NULL</t>
        </is>
      </c>
      <c r="J916" s="0" t="inlineStr">
        <is>
          <t>NULL</t>
        </is>
      </c>
      <c r="K916" s="0" t="inlineStr">
        <is>
          <t>YES! 	 c_dt2_4列源备映射正确，源端为datetime2 None位	期望更改为datetime2(n)	实际备端为datetime2 None位</t>
        </is>
      </c>
    </row>
    <row r="917">
      <c r="B917" s="0" t="inlineStr">
        <is>
          <t>NULL</t>
        </is>
      </c>
      <c r="C917" s="0" t="inlineStr">
        <is>
          <t>NULL</t>
        </is>
      </c>
      <c r="D917" s="0" t="inlineStr">
        <is>
          <t>NULL</t>
        </is>
      </c>
      <c r="E917" s="0" t="inlineStr">
        <is>
          <t>NULL</t>
        </is>
      </c>
      <c r="F917" s="0" t="inlineStr">
        <is>
          <t>NULL</t>
        </is>
      </c>
      <c r="G917" s="0" t="inlineStr">
        <is>
          <t>NULL</t>
        </is>
      </c>
      <c r="H917" s="0" t="inlineStr">
        <is>
          <t>NULL</t>
        </is>
      </c>
      <c r="I917" s="0" t="inlineStr">
        <is>
          <t>NULL</t>
        </is>
      </c>
      <c r="J917" s="0" t="inlineStr">
        <is>
          <t>NULL</t>
        </is>
      </c>
      <c r="K917" s="0" t="inlineStr">
        <is>
          <t>YES! 	 c_dt2_5列源备映射正确，源端为datetime2 None位	期望更改为datetime2(n)	实际备端为datetime2 None位</t>
        </is>
      </c>
    </row>
    <row r="918">
      <c r="B918" s="0" t="inlineStr">
        <is>
          <t>NULL</t>
        </is>
      </c>
      <c r="C918" s="0" t="inlineStr">
        <is>
          <t>NULL</t>
        </is>
      </c>
      <c r="D918" s="0" t="inlineStr">
        <is>
          <t>NULL</t>
        </is>
      </c>
      <c r="E918" s="0" t="inlineStr">
        <is>
          <t>NULL</t>
        </is>
      </c>
      <c r="F918" s="0" t="inlineStr">
        <is>
          <t>NULL</t>
        </is>
      </c>
      <c r="G918" s="0" t="inlineStr">
        <is>
          <t>NULL</t>
        </is>
      </c>
      <c r="H918" s="0" t="inlineStr">
        <is>
          <t>NULL</t>
        </is>
      </c>
      <c r="I918" s="0" t="inlineStr">
        <is>
          <t>NULL</t>
        </is>
      </c>
      <c r="J918" s="0" t="inlineStr">
        <is>
          <t>NULL</t>
        </is>
      </c>
      <c r="K918" s="0" t="inlineStr">
        <is>
          <t>YES! 	 c_dt2_6列源备映射正确，源端为datetime2 None位	期望更改为datetime2(n)	实际备端为datetime2 None位</t>
        </is>
      </c>
    </row>
    <row r="919">
      <c r="B919" s="0" t="inlineStr">
        <is>
          <t>NULL</t>
        </is>
      </c>
      <c r="C919" s="0" t="inlineStr">
        <is>
          <t>NULL</t>
        </is>
      </c>
      <c r="D919" s="0" t="inlineStr">
        <is>
          <t>NULL</t>
        </is>
      </c>
      <c r="E919" s="0" t="inlineStr">
        <is>
          <t>NULL</t>
        </is>
      </c>
      <c r="F919" s="0" t="inlineStr">
        <is>
          <t>NULL</t>
        </is>
      </c>
      <c r="G919" s="0" t="inlineStr">
        <is>
          <t>NULL</t>
        </is>
      </c>
      <c r="H919" s="0" t="inlineStr">
        <is>
          <t>NULL</t>
        </is>
      </c>
      <c r="I919" s="0" t="inlineStr">
        <is>
          <t>NULL</t>
        </is>
      </c>
      <c r="J919" s="0" t="inlineStr">
        <is>
          <t>NULL</t>
        </is>
      </c>
      <c r="K919" s="0" t="inlineStr">
        <is>
          <t>YES! 	 c_dt2列源备映射正确，源端为datetime2 None位	期望更改为datetime2(n)	实际备端为datetime2 None位</t>
        </is>
      </c>
    </row>
    <row r="920">
      <c r="A920" s="0" t="inlineStr">
        <is>
          <t>info_varcharmax_dml_single_nopk_drp</t>
        </is>
      </c>
      <c r="K920" s="0" t="inlineStr">
        <is>
          <t>[0;34m info_varcharmax_dml_single_nopk_drp [0m源备字段数相同，源端字段：3 	备端字段3</t>
        </is>
      </c>
      <c r="W920" s="0" t="inlineStr">
        <is>
          <t>YES 源备无差异</t>
        </is>
      </c>
      <c r="X920" s="0">
        <f>A920</f>
        <v/>
      </c>
    </row>
    <row r="921">
      <c r="B921" s="0" t="inlineStr">
        <is>
          <t>NULL</t>
        </is>
      </c>
      <c r="C921" s="0" t="inlineStr">
        <is>
          <t>NULL</t>
        </is>
      </c>
      <c r="D921" s="0" t="inlineStr">
        <is>
          <t>NULL</t>
        </is>
      </c>
      <c r="E921" s="0" t="inlineStr">
        <is>
          <t>NULL</t>
        </is>
      </c>
      <c r="F921" s="0" t="inlineStr">
        <is>
          <t>NULL</t>
        </is>
      </c>
      <c r="G921" s="0" t="inlineStr">
        <is>
          <t>NULL</t>
        </is>
      </c>
      <c r="H921" s="0" t="inlineStr">
        <is>
          <t>NULL</t>
        </is>
      </c>
      <c r="I921" s="0" t="inlineStr">
        <is>
          <t>NULL</t>
        </is>
      </c>
      <c r="J921" s="0" t="inlineStr">
        <is>
          <t>NULL</t>
        </is>
      </c>
      <c r="K921" s="0" t="inlineStr">
        <is>
          <t>YES! 	 id列源备映射正确，源端为int None位	期望更改为int	实际备端为int None位</t>
        </is>
      </c>
    </row>
    <row r="922">
      <c r="B922" s="0" t="inlineStr">
        <is>
          <t>NULL</t>
        </is>
      </c>
      <c r="C922" s="0" t="inlineStr">
        <is>
          <t>NULL</t>
        </is>
      </c>
      <c r="D922" s="0" t="inlineStr">
        <is>
          <t>NULL</t>
        </is>
      </c>
      <c r="E922" s="0" t="inlineStr">
        <is>
          <t>NULL</t>
        </is>
      </c>
      <c r="F922" s="0" t="inlineStr">
        <is>
          <t>NULL</t>
        </is>
      </c>
      <c r="G922" s="0" t="inlineStr">
        <is>
          <t>NULL</t>
        </is>
      </c>
      <c r="H922" s="0" t="inlineStr">
        <is>
          <t>NULL</t>
        </is>
      </c>
      <c r="I922" s="0" t="inlineStr">
        <is>
          <t>NULL</t>
        </is>
      </c>
      <c r="J922" s="0" t="inlineStr">
        <is>
          <t>NULL</t>
        </is>
      </c>
      <c r="K922" s="0" t="inlineStr">
        <is>
          <t>YES! 	 c_varchar_max列源备映射正确，源端为varchar -1位	期望更改为varchar(n)	实际备端为varchar -1位</t>
        </is>
      </c>
    </row>
    <row r="923">
      <c r="B923" s="0" t="inlineStr">
        <is>
          <t>NULL</t>
        </is>
      </c>
      <c r="C923" s="0" t="inlineStr">
        <is>
          <t>NULL</t>
        </is>
      </c>
      <c r="D923" s="0" t="inlineStr">
        <is>
          <t>NULL</t>
        </is>
      </c>
      <c r="E923" s="0" t="inlineStr">
        <is>
          <t>NULL</t>
        </is>
      </c>
      <c r="F923" s="0" t="inlineStr">
        <is>
          <t>NULL</t>
        </is>
      </c>
      <c r="G923" s="0" t="inlineStr">
        <is>
          <t>NULL</t>
        </is>
      </c>
      <c r="H923" s="0" t="inlineStr">
        <is>
          <t>NULL</t>
        </is>
      </c>
      <c r="I923" s="0" t="inlineStr">
        <is>
          <t>NULL</t>
        </is>
      </c>
      <c r="J923" s="0" t="inlineStr">
        <is>
          <t>NULL</t>
        </is>
      </c>
      <c r="K923" s="0" t="inlineStr">
        <is>
          <t>YES! 	 c_nvarchar_max列源备映射正确，源端为nvarchar -1位	期望更改为nvarchar(n)	实际备端为nvarchar -1位</t>
        </is>
      </c>
    </row>
    <row r="924">
      <c r="A924" s="0" t="inlineStr">
        <is>
          <t>info_nchar_dml_batch1_pk_drp1</t>
        </is>
      </c>
      <c r="K924" s="0" t="inlineStr">
        <is>
          <t>[0;34m info_nchar_dml_batch1_pk_drp1 [0m源备字段数相同，源端字段：4 	备端字段4</t>
        </is>
      </c>
      <c r="W924" s="0" t="inlineStr">
        <is>
          <t>YES 源备无差异</t>
        </is>
      </c>
      <c r="X924" s="0">
        <f>A924</f>
        <v/>
      </c>
    </row>
    <row r="925">
      <c r="B925" s="0" t="inlineStr">
        <is>
          <t>YES</t>
        </is>
      </c>
      <c r="C925" s="0" t="inlineStr">
        <is>
          <t>NULL</t>
        </is>
      </c>
      <c r="D925" s="0" t="inlineStr">
        <is>
          <t>NULL</t>
        </is>
      </c>
      <c r="E925" s="0" t="inlineStr">
        <is>
          <t>NULL</t>
        </is>
      </c>
      <c r="F925" s="0" t="inlineStr">
        <is>
          <t>NULL</t>
        </is>
      </c>
      <c r="G925" s="0" t="inlineStr">
        <is>
          <t>NULL</t>
        </is>
      </c>
      <c r="H925" s="0" t="inlineStr">
        <is>
          <t>NULL</t>
        </is>
      </c>
      <c r="I925" s="0" t="inlineStr">
        <is>
          <t>YES!PK__info_nch__3213E83F969B1219</t>
        </is>
      </c>
      <c r="J925" s="0" t="inlineStr">
        <is>
          <t>YES! 主键相关索引</t>
        </is>
      </c>
      <c r="K925" s="0" t="inlineStr">
        <is>
          <t>YES! 	 id列源备映射正确，源端为int None位	期望更改为int	实际备端为int None位</t>
        </is>
      </c>
    </row>
    <row r="926">
      <c r="B926" s="0" t="inlineStr">
        <is>
          <t>NULL</t>
        </is>
      </c>
      <c r="C926" s="0" t="inlineStr">
        <is>
          <t>NULL</t>
        </is>
      </c>
      <c r="D926" s="0" t="inlineStr">
        <is>
          <t>NULL</t>
        </is>
      </c>
      <c r="E926" s="0" t="inlineStr">
        <is>
          <t>NULL</t>
        </is>
      </c>
      <c r="F926" s="0" t="inlineStr">
        <is>
          <t>NULL</t>
        </is>
      </c>
      <c r="G926" s="0" t="inlineStr">
        <is>
          <t>NULL</t>
        </is>
      </c>
      <c r="H926" s="0" t="inlineStr">
        <is>
          <t>NULL</t>
        </is>
      </c>
      <c r="I926" s="0" t="inlineStr">
        <is>
          <t>NULL</t>
        </is>
      </c>
      <c r="J926" s="0" t="inlineStr">
        <is>
          <t>NULL</t>
        </is>
      </c>
      <c r="K926" s="0" t="inlineStr">
        <is>
          <t>YES! 	 c_nchar列源备映射正确，源端为nchar 2位	期望更改为nchar(n)	实际备端为nchar 2位</t>
        </is>
      </c>
    </row>
    <row r="927">
      <c r="B927" s="0" t="inlineStr">
        <is>
          <t>NULL</t>
        </is>
      </c>
      <c r="C927" s="0" t="inlineStr">
        <is>
          <t>NULL</t>
        </is>
      </c>
      <c r="D927" s="0" t="inlineStr">
        <is>
          <t>NULL</t>
        </is>
      </c>
      <c r="E927" s="0" t="inlineStr">
        <is>
          <t>NULL</t>
        </is>
      </c>
      <c r="F927" s="0" t="inlineStr">
        <is>
          <t>NULL</t>
        </is>
      </c>
      <c r="G927" s="0" t="inlineStr">
        <is>
          <t>NULL</t>
        </is>
      </c>
      <c r="H927" s="0" t="inlineStr">
        <is>
          <t>NULL</t>
        </is>
      </c>
      <c r="I927" s="0" t="inlineStr">
        <is>
          <t>NULL</t>
        </is>
      </c>
      <c r="J927" s="0" t="inlineStr">
        <is>
          <t>NULL</t>
        </is>
      </c>
      <c r="K927" s="0" t="inlineStr">
        <is>
          <t>YES! 	 c_nchar20列源备映射正确，源端为nchar 40位	期望更改为nchar(n)	实际备端为nchar 40位</t>
        </is>
      </c>
    </row>
    <row r="928">
      <c r="B928" s="0" t="inlineStr">
        <is>
          <t>NULL</t>
        </is>
      </c>
      <c r="C928" s="0" t="inlineStr">
        <is>
          <t>NULL</t>
        </is>
      </c>
      <c r="D928" s="0" t="inlineStr">
        <is>
          <t>NULL</t>
        </is>
      </c>
      <c r="E928" s="0" t="inlineStr">
        <is>
          <t>NULL</t>
        </is>
      </c>
      <c r="F928" s="0" t="inlineStr">
        <is>
          <t>NULL</t>
        </is>
      </c>
      <c r="G928" s="0" t="inlineStr">
        <is>
          <t>NULL</t>
        </is>
      </c>
      <c r="H928" s="0" t="inlineStr">
        <is>
          <t>NULL</t>
        </is>
      </c>
      <c r="I928" s="0" t="inlineStr">
        <is>
          <t>NULL</t>
        </is>
      </c>
      <c r="J928" s="0" t="inlineStr">
        <is>
          <t>NULL</t>
        </is>
      </c>
      <c r="K928" s="0" t="inlineStr">
        <is>
          <t>YES! 	 c_nchar3500列源备映射正确，源端为nchar 7000位	期望更改为nchar(n)	实际备端为nchar 7000位</t>
        </is>
      </c>
    </row>
    <row r="929">
      <c r="K929" s="0" t="inlineStr">
        <is>
          <t>~ 空表</t>
        </is>
      </c>
    </row>
    <row r="930">
      <c r="A930" s="0" t="inlineStr">
        <is>
          <t>info_datetime2_dml_batch1_pk_irp2</t>
        </is>
      </c>
      <c r="K930" s="0" t="inlineStr">
        <is>
          <t>[0;34m info_datetime2_dml_batch1_pk_irp2 [0m源备字段数相同，源端字段：9 	备端字段9</t>
        </is>
      </c>
      <c r="W930" s="0" t="inlineStr">
        <is>
          <t>YES 源备无差异</t>
        </is>
      </c>
      <c r="X930" s="0">
        <f>A930</f>
        <v/>
      </c>
    </row>
    <row r="931">
      <c r="B931" s="0" t="inlineStr">
        <is>
          <t>YES</t>
        </is>
      </c>
      <c r="C931" s="0" t="inlineStr">
        <is>
          <t>NULL</t>
        </is>
      </c>
      <c r="D931" s="0" t="inlineStr">
        <is>
          <t>NULL</t>
        </is>
      </c>
      <c r="E931" s="0" t="inlineStr">
        <is>
          <t>NULL</t>
        </is>
      </c>
      <c r="F931" s="0" t="inlineStr">
        <is>
          <t>NULL</t>
        </is>
      </c>
      <c r="G931" s="0" t="inlineStr">
        <is>
          <t>NULL</t>
        </is>
      </c>
      <c r="H931" s="0" t="inlineStr">
        <is>
          <t>NULL</t>
        </is>
      </c>
      <c r="I931" s="0" t="inlineStr">
        <is>
          <t>YES!PK__info_dat__3213E83F477FF471</t>
        </is>
      </c>
      <c r="J931" s="0" t="inlineStr">
        <is>
          <t>YES! 主键相关索引</t>
        </is>
      </c>
      <c r="K931" s="0" t="inlineStr">
        <is>
          <t>YES! 	 id列源备映射正确，源端为int None位	期望更改为int	实际备端为int None位</t>
        </is>
      </c>
    </row>
    <row r="932">
      <c r="B932" s="0" t="inlineStr">
        <is>
          <t>NULL</t>
        </is>
      </c>
      <c r="C932" s="0" t="inlineStr">
        <is>
          <t>NULL</t>
        </is>
      </c>
      <c r="D932" s="0" t="inlineStr">
        <is>
          <t>NULL</t>
        </is>
      </c>
      <c r="E932" s="0" t="inlineStr">
        <is>
          <t>NULL</t>
        </is>
      </c>
      <c r="F932" s="0" t="inlineStr">
        <is>
          <t>NULL</t>
        </is>
      </c>
      <c r="G932" s="0" t="inlineStr">
        <is>
          <t>NULL</t>
        </is>
      </c>
      <c r="H932" s="0" t="inlineStr">
        <is>
          <t>NULL</t>
        </is>
      </c>
      <c r="I932" s="0" t="inlineStr">
        <is>
          <t>NULL</t>
        </is>
      </c>
      <c r="J932" s="0" t="inlineStr">
        <is>
          <t>NULL</t>
        </is>
      </c>
      <c r="K932" s="0" t="inlineStr">
        <is>
          <t>no,len不存在</t>
        </is>
      </c>
    </row>
    <row r="933">
      <c r="B933" s="0" t="inlineStr">
        <is>
          <t>NULL</t>
        </is>
      </c>
      <c r="C933" s="0" t="inlineStr">
        <is>
          <t>NULL</t>
        </is>
      </c>
      <c r="D933" s="0" t="inlineStr">
        <is>
          <t>NULL</t>
        </is>
      </c>
      <c r="E933" s="0" t="inlineStr">
        <is>
          <t>NULL</t>
        </is>
      </c>
      <c r="F933" s="0" t="inlineStr">
        <is>
          <t>NULL</t>
        </is>
      </c>
      <c r="G933" s="0" t="inlineStr">
        <is>
          <t>NULL</t>
        </is>
      </c>
      <c r="H933" s="0" t="inlineStr">
        <is>
          <t>NULL</t>
        </is>
      </c>
      <c r="I933" s="0" t="inlineStr">
        <is>
          <t>NULL</t>
        </is>
      </c>
      <c r="J933" s="0" t="inlineStr">
        <is>
          <t>NULL</t>
        </is>
      </c>
      <c r="K933" s="0" t="inlineStr">
        <is>
          <t>YES! 	 c_dt2_1列源备映射正确，源端为datetime2 None位	期望更改为datetime2(n)	实际备端为datetime2 None位</t>
        </is>
      </c>
    </row>
    <row r="934">
      <c r="B934" s="0" t="inlineStr">
        <is>
          <t>NULL</t>
        </is>
      </c>
      <c r="C934" s="0" t="inlineStr">
        <is>
          <t>NULL</t>
        </is>
      </c>
      <c r="D934" s="0" t="inlineStr">
        <is>
          <t>NULL</t>
        </is>
      </c>
      <c r="E934" s="0" t="inlineStr">
        <is>
          <t>NULL</t>
        </is>
      </c>
      <c r="F934" s="0" t="inlineStr">
        <is>
          <t>NULL</t>
        </is>
      </c>
      <c r="G934" s="0" t="inlineStr">
        <is>
          <t>NULL</t>
        </is>
      </c>
      <c r="H934" s="0" t="inlineStr">
        <is>
          <t>NULL</t>
        </is>
      </c>
      <c r="I934" s="0" t="inlineStr">
        <is>
          <t>NULL</t>
        </is>
      </c>
      <c r="J934" s="0" t="inlineStr">
        <is>
          <t>NULL</t>
        </is>
      </c>
      <c r="K934" s="0" t="inlineStr">
        <is>
          <t>YES! 	 c_dt2_2列源备映射正确，源端为datetime2 None位	期望更改为datetime2(n)	实际备端为datetime2 None位</t>
        </is>
      </c>
    </row>
    <row r="935">
      <c r="B935" s="0" t="inlineStr">
        <is>
          <t>NULL</t>
        </is>
      </c>
      <c r="C935" s="0" t="inlineStr">
        <is>
          <t>NULL</t>
        </is>
      </c>
      <c r="D935" s="0" t="inlineStr">
        <is>
          <t>NULL</t>
        </is>
      </c>
      <c r="E935" s="0" t="inlineStr">
        <is>
          <t>NULL</t>
        </is>
      </c>
      <c r="F935" s="0" t="inlineStr">
        <is>
          <t>NULL</t>
        </is>
      </c>
      <c r="G935" s="0" t="inlineStr">
        <is>
          <t>NULL</t>
        </is>
      </c>
      <c r="H935" s="0" t="inlineStr">
        <is>
          <t>NULL</t>
        </is>
      </c>
      <c r="I935" s="0" t="inlineStr">
        <is>
          <t>NULL</t>
        </is>
      </c>
      <c r="J935" s="0" t="inlineStr">
        <is>
          <t>NULL</t>
        </is>
      </c>
      <c r="K935" s="0" t="inlineStr">
        <is>
          <t>YES! 	 c_dt2_3列源备映射正确，源端为datetime2 None位	期望更改为datetime2(n)	实际备端为datetime2 None位</t>
        </is>
      </c>
    </row>
    <row r="936">
      <c r="B936" s="0" t="inlineStr">
        <is>
          <t>NULL</t>
        </is>
      </c>
      <c r="C936" s="0" t="inlineStr">
        <is>
          <t>NULL</t>
        </is>
      </c>
      <c r="D936" s="0" t="inlineStr">
        <is>
          <t>NULL</t>
        </is>
      </c>
      <c r="E936" s="0" t="inlineStr">
        <is>
          <t>NULL</t>
        </is>
      </c>
      <c r="F936" s="0" t="inlineStr">
        <is>
          <t>NULL</t>
        </is>
      </c>
      <c r="G936" s="0" t="inlineStr">
        <is>
          <t>NULL</t>
        </is>
      </c>
      <c r="H936" s="0" t="inlineStr">
        <is>
          <t>NULL</t>
        </is>
      </c>
      <c r="I936" s="0" t="inlineStr">
        <is>
          <t>NULL</t>
        </is>
      </c>
      <c r="J936" s="0" t="inlineStr">
        <is>
          <t>NULL</t>
        </is>
      </c>
      <c r="K936" s="0" t="inlineStr">
        <is>
          <t>YES! 	 c_dt2_4列源备映射正确，源端为datetime2 None位	期望更改为datetime2(n)	实际备端为datetime2 None位</t>
        </is>
      </c>
    </row>
    <row r="937">
      <c r="B937" s="0" t="inlineStr">
        <is>
          <t>NULL</t>
        </is>
      </c>
      <c r="C937" s="0" t="inlineStr">
        <is>
          <t>NULL</t>
        </is>
      </c>
      <c r="D937" s="0" t="inlineStr">
        <is>
          <t>NULL</t>
        </is>
      </c>
      <c r="E937" s="0" t="inlineStr">
        <is>
          <t>NULL</t>
        </is>
      </c>
      <c r="F937" s="0" t="inlineStr">
        <is>
          <t>NULL</t>
        </is>
      </c>
      <c r="G937" s="0" t="inlineStr">
        <is>
          <t>NULL</t>
        </is>
      </c>
      <c r="H937" s="0" t="inlineStr">
        <is>
          <t>NULL</t>
        </is>
      </c>
      <c r="I937" s="0" t="inlineStr">
        <is>
          <t>NULL</t>
        </is>
      </c>
      <c r="J937" s="0" t="inlineStr">
        <is>
          <t>NULL</t>
        </is>
      </c>
      <c r="K937" s="0" t="inlineStr">
        <is>
          <t>YES! 	 c_dt2_5列源备映射正确，源端为datetime2 None位	期望更改为datetime2(n)	实际备端为datetime2 None位</t>
        </is>
      </c>
    </row>
    <row r="938">
      <c r="B938" s="0" t="inlineStr">
        <is>
          <t>NULL</t>
        </is>
      </c>
      <c r="C938" s="0" t="inlineStr">
        <is>
          <t>NULL</t>
        </is>
      </c>
      <c r="D938" s="0" t="inlineStr">
        <is>
          <t>NULL</t>
        </is>
      </c>
      <c r="E938" s="0" t="inlineStr">
        <is>
          <t>NULL</t>
        </is>
      </c>
      <c r="F938" s="0" t="inlineStr">
        <is>
          <t>NULL</t>
        </is>
      </c>
      <c r="G938" s="0" t="inlineStr">
        <is>
          <t>NULL</t>
        </is>
      </c>
      <c r="H938" s="0" t="inlineStr">
        <is>
          <t>NULL</t>
        </is>
      </c>
      <c r="I938" s="0" t="inlineStr">
        <is>
          <t>NULL</t>
        </is>
      </c>
      <c r="J938" s="0" t="inlineStr">
        <is>
          <t>NULL</t>
        </is>
      </c>
      <c r="K938" s="0" t="inlineStr">
        <is>
          <t>YES! 	 c_dt2_6列源备映射正确，源端为datetime2 None位	期望更改为datetime2(n)	实际备端为datetime2 None位</t>
        </is>
      </c>
    </row>
    <row r="939">
      <c r="B939" s="0" t="inlineStr">
        <is>
          <t>NULL</t>
        </is>
      </c>
      <c r="C939" s="0" t="inlineStr">
        <is>
          <t>NULL</t>
        </is>
      </c>
      <c r="D939" s="0" t="inlineStr">
        <is>
          <t>NULL</t>
        </is>
      </c>
      <c r="E939" s="0" t="inlineStr">
        <is>
          <t>NULL</t>
        </is>
      </c>
      <c r="F939" s="0" t="inlineStr">
        <is>
          <t>NULL</t>
        </is>
      </c>
      <c r="G939" s="0" t="inlineStr">
        <is>
          <t>NULL</t>
        </is>
      </c>
      <c r="H939" s="0" t="inlineStr">
        <is>
          <t>NULL</t>
        </is>
      </c>
      <c r="I939" s="0" t="inlineStr">
        <is>
          <t>NULL</t>
        </is>
      </c>
      <c r="J939" s="0" t="inlineStr">
        <is>
          <t>NULL</t>
        </is>
      </c>
      <c r="K939" s="0" t="inlineStr">
        <is>
          <t>YES! 	 c_dt2列源备映射正确，源端为datetime2 None位	期望更改为datetime2(n)	实际备端为datetime2 None位</t>
        </is>
      </c>
    </row>
    <row r="940">
      <c r="A940" s="0" t="inlineStr">
        <is>
          <t>info_time_dml_single_pk_urp</t>
        </is>
      </c>
      <c r="K940" s="0" t="inlineStr">
        <is>
          <t>[0;34m info_time_dml_single_pk_urp [0m源备字段数相同，源端字段：9 	备端字段9</t>
        </is>
      </c>
      <c r="W940" s="0" t="inlineStr">
        <is>
          <t>YES 源备无差异</t>
        </is>
      </c>
      <c r="X940" s="0">
        <f>A940</f>
        <v/>
      </c>
    </row>
    <row r="941">
      <c r="B941" s="0" t="inlineStr">
        <is>
          <t>YES</t>
        </is>
      </c>
      <c r="C941" s="0" t="inlineStr">
        <is>
          <t>NULL</t>
        </is>
      </c>
      <c r="D941" s="0" t="inlineStr">
        <is>
          <t>NULL</t>
        </is>
      </c>
      <c r="E941" s="0" t="inlineStr">
        <is>
          <t>NULL</t>
        </is>
      </c>
      <c r="F941" s="0" t="inlineStr">
        <is>
          <t>NULL</t>
        </is>
      </c>
      <c r="G941" s="0" t="inlineStr">
        <is>
          <t>NULL</t>
        </is>
      </c>
      <c r="H941" s="0" t="inlineStr">
        <is>
          <t>NULL</t>
        </is>
      </c>
      <c r="I941" s="0" t="inlineStr">
        <is>
          <t>YES!PK__info_tim__3213E83F1D372851</t>
        </is>
      </c>
      <c r="J941" s="0" t="inlineStr">
        <is>
          <t>YES! 主键相关索引</t>
        </is>
      </c>
      <c r="K941" s="0" t="inlineStr">
        <is>
          <t>YES! 	 id列源备映射正确，源端为int None位	期望更改为int	实际备端为int None位</t>
        </is>
      </c>
    </row>
    <row r="942">
      <c r="B942" s="0" t="inlineStr">
        <is>
          <t>NULL</t>
        </is>
      </c>
      <c r="C942" s="0" t="inlineStr">
        <is>
          <t>NULL</t>
        </is>
      </c>
      <c r="D942" s="0" t="inlineStr">
        <is>
          <t>NULL</t>
        </is>
      </c>
      <c r="E942" s="0" t="inlineStr">
        <is>
          <t>NULL</t>
        </is>
      </c>
      <c r="F942" s="0" t="inlineStr">
        <is>
          <t>NULL</t>
        </is>
      </c>
      <c r="G942" s="0" t="inlineStr">
        <is>
          <t>NULL</t>
        </is>
      </c>
      <c r="H942" s="0" t="inlineStr">
        <is>
          <t>NULL</t>
        </is>
      </c>
      <c r="I942" s="0" t="inlineStr">
        <is>
          <t>NULL</t>
        </is>
      </c>
      <c r="J942" s="0" t="inlineStr">
        <is>
          <t>NULL</t>
        </is>
      </c>
      <c r="K942" s="0" t="inlineStr">
        <is>
          <t>no,len不存在</t>
        </is>
      </c>
    </row>
    <row r="943">
      <c r="B943" s="0" t="inlineStr">
        <is>
          <t>NULL</t>
        </is>
      </c>
      <c r="C943" s="0" t="inlineStr">
        <is>
          <t>NULL</t>
        </is>
      </c>
      <c r="D943" s="0" t="inlineStr">
        <is>
          <t>NULL</t>
        </is>
      </c>
      <c r="E943" s="0" t="inlineStr">
        <is>
          <t>NULL</t>
        </is>
      </c>
      <c r="F943" s="0" t="inlineStr">
        <is>
          <t>NULL</t>
        </is>
      </c>
      <c r="G943" s="0" t="inlineStr">
        <is>
          <t>NULL</t>
        </is>
      </c>
      <c r="H943" s="0" t="inlineStr">
        <is>
          <t>NULL</t>
        </is>
      </c>
      <c r="I943" s="0" t="inlineStr">
        <is>
          <t>NULL</t>
        </is>
      </c>
      <c r="J943" s="0" t="inlineStr">
        <is>
          <t>NULL</t>
        </is>
      </c>
      <c r="K943" s="0" t="inlineStr">
        <is>
          <t>YES! 	 c_time1列源备映射正确，源端为time None位	期望更改为time(n)	实际备端为time None位</t>
        </is>
      </c>
    </row>
    <row r="944">
      <c r="B944" s="0" t="inlineStr">
        <is>
          <t>NULL</t>
        </is>
      </c>
      <c r="C944" s="0" t="inlineStr">
        <is>
          <t>NULL</t>
        </is>
      </c>
      <c r="D944" s="0" t="inlineStr">
        <is>
          <t>NULL</t>
        </is>
      </c>
      <c r="E944" s="0" t="inlineStr">
        <is>
          <t>NULL</t>
        </is>
      </c>
      <c r="F944" s="0" t="inlineStr">
        <is>
          <t>NULL</t>
        </is>
      </c>
      <c r="G944" s="0" t="inlineStr">
        <is>
          <t>NULL</t>
        </is>
      </c>
      <c r="H944" s="0" t="inlineStr">
        <is>
          <t>NULL</t>
        </is>
      </c>
      <c r="I944" s="0" t="inlineStr">
        <is>
          <t>NULL</t>
        </is>
      </c>
      <c r="J944" s="0" t="inlineStr">
        <is>
          <t>NULL</t>
        </is>
      </c>
      <c r="K944" s="0" t="inlineStr">
        <is>
          <t>YES! 	 c_time2列源备映射正确，源端为time None位	期望更改为time(n)	实际备端为time None位</t>
        </is>
      </c>
    </row>
    <row r="945">
      <c r="B945" s="0" t="inlineStr">
        <is>
          <t>NULL</t>
        </is>
      </c>
      <c r="C945" s="0" t="inlineStr">
        <is>
          <t>NULL</t>
        </is>
      </c>
      <c r="D945" s="0" t="inlineStr">
        <is>
          <t>NULL</t>
        </is>
      </c>
      <c r="E945" s="0" t="inlineStr">
        <is>
          <t>NULL</t>
        </is>
      </c>
      <c r="F945" s="0" t="inlineStr">
        <is>
          <t>NULL</t>
        </is>
      </c>
      <c r="G945" s="0" t="inlineStr">
        <is>
          <t>NULL</t>
        </is>
      </c>
      <c r="H945" s="0" t="inlineStr">
        <is>
          <t>NULL</t>
        </is>
      </c>
      <c r="I945" s="0" t="inlineStr">
        <is>
          <t>NULL</t>
        </is>
      </c>
      <c r="J945" s="0" t="inlineStr">
        <is>
          <t>NULL</t>
        </is>
      </c>
      <c r="K945" s="0" t="inlineStr">
        <is>
          <t>YES! 	 c_time3列源备映射正确，源端为time None位	期望更改为time(n)	实际备端为time None位</t>
        </is>
      </c>
    </row>
    <row r="946">
      <c r="B946" s="0" t="inlineStr">
        <is>
          <t>NULL</t>
        </is>
      </c>
      <c r="C946" s="0" t="inlineStr">
        <is>
          <t>NULL</t>
        </is>
      </c>
      <c r="D946" s="0" t="inlineStr">
        <is>
          <t>NULL</t>
        </is>
      </c>
      <c r="E946" s="0" t="inlineStr">
        <is>
          <t>NULL</t>
        </is>
      </c>
      <c r="F946" s="0" t="inlineStr">
        <is>
          <t>NULL</t>
        </is>
      </c>
      <c r="G946" s="0" t="inlineStr">
        <is>
          <t>NULL</t>
        </is>
      </c>
      <c r="H946" s="0" t="inlineStr">
        <is>
          <t>NULL</t>
        </is>
      </c>
      <c r="I946" s="0" t="inlineStr">
        <is>
          <t>NULL</t>
        </is>
      </c>
      <c r="J946" s="0" t="inlineStr">
        <is>
          <t>NULL</t>
        </is>
      </c>
      <c r="K946" s="0" t="inlineStr">
        <is>
          <t>YES! 	 c_time4列源备映射正确，源端为time None位	期望更改为time(n)	实际备端为time None位</t>
        </is>
      </c>
    </row>
    <row r="947">
      <c r="B947" s="0" t="inlineStr">
        <is>
          <t>NULL</t>
        </is>
      </c>
      <c r="C947" s="0" t="inlineStr">
        <is>
          <t>NULL</t>
        </is>
      </c>
      <c r="D947" s="0" t="inlineStr">
        <is>
          <t>NULL</t>
        </is>
      </c>
      <c r="E947" s="0" t="inlineStr">
        <is>
          <t>NULL</t>
        </is>
      </c>
      <c r="F947" s="0" t="inlineStr">
        <is>
          <t>NULL</t>
        </is>
      </c>
      <c r="G947" s="0" t="inlineStr">
        <is>
          <t>NULL</t>
        </is>
      </c>
      <c r="H947" s="0" t="inlineStr">
        <is>
          <t>NULL</t>
        </is>
      </c>
      <c r="I947" s="0" t="inlineStr">
        <is>
          <t>NULL</t>
        </is>
      </c>
      <c r="J947" s="0" t="inlineStr">
        <is>
          <t>NULL</t>
        </is>
      </c>
      <c r="K947" s="0" t="inlineStr">
        <is>
          <t>YES! 	 c_time5列源备映射正确，源端为time None位	期望更改为time(n)	实际备端为time None位</t>
        </is>
      </c>
    </row>
    <row r="948">
      <c r="B948" s="0" t="inlineStr">
        <is>
          <t>NULL</t>
        </is>
      </c>
      <c r="C948" s="0" t="inlineStr">
        <is>
          <t>NULL</t>
        </is>
      </c>
      <c r="D948" s="0" t="inlineStr">
        <is>
          <t>NULL</t>
        </is>
      </c>
      <c r="E948" s="0" t="inlineStr">
        <is>
          <t>NULL</t>
        </is>
      </c>
      <c r="F948" s="0" t="inlineStr">
        <is>
          <t>NULL</t>
        </is>
      </c>
      <c r="G948" s="0" t="inlineStr">
        <is>
          <t>NULL</t>
        </is>
      </c>
      <c r="H948" s="0" t="inlineStr">
        <is>
          <t>NULL</t>
        </is>
      </c>
      <c r="I948" s="0" t="inlineStr">
        <is>
          <t>NULL</t>
        </is>
      </c>
      <c r="J948" s="0" t="inlineStr">
        <is>
          <t>NULL</t>
        </is>
      </c>
      <c r="K948" s="0" t="inlineStr">
        <is>
          <t>YES! 	 c_time6列源备映射正确，源端为time None位	期望更改为time(n)	实际备端为time None位</t>
        </is>
      </c>
    </row>
    <row r="949">
      <c r="B949" s="0" t="inlineStr">
        <is>
          <t>NULL</t>
        </is>
      </c>
      <c r="C949" s="0" t="inlineStr">
        <is>
          <t>NULL</t>
        </is>
      </c>
      <c r="D949" s="0" t="inlineStr">
        <is>
          <t>NULL</t>
        </is>
      </c>
      <c r="E949" s="0" t="inlineStr">
        <is>
          <t>NULL</t>
        </is>
      </c>
      <c r="F949" s="0" t="inlineStr">
        <is>
          <t>NULL</t>
        </is>
      </c>
      <c r="G949" s="0" t="inlineStr">
        <is>
          <t>NULL</t>
        </is>
      </c>
      <c r="H949" s="0" t="inlineStr">
        <is>
          <t>NULL</t>
        </is>
      </c>
      <c r="I949" s="0" t="inlineStr">
        <is>
          <t>NULL</t>
        </is>
      </c>
      <c r="J949" s="0" t="inlineStr">
        <is>
          <t>NULL</t>
        </is>
      </c>
      <c r="K949" s="0" t="inlineStr">
        <is>
          <t>YES! 	 c_time列源备映射正确，源端为time None位	期望更改为time(n)	实际备端为time None位</t>
        </is>
      </c>
    </row>
    <row r="950">
      <c r="A950" s="0" t="inlineStr">
        <is>
          <t>info_time_dml_single_pk_drp</t>
        </is>
      </c>
      <c r="K950" s="0" t="inlineStr">
        <is>
          <t>[0;34m info_time_dml_single_pk_drp [0m源备字段数相同，源端字段：9 	备端字段9</t>
        </is>
      </c>
      <c r="W950" s="0" t="inlineStr">
        <is>
          <t>YES 源备无差异</t>
        </is>
      </c>
      <c r="X950" s="0">
        <f>A950</f>
        <v/>
      </c>
    </row>
    <row r="951">
      <c r="B951" s="0" t="inlineStr">
        <is>
          <t>YES</t>
        </is>
      </c>
      <c r="C951" s="0" t="inlineStr">
        <is>
          <t>NULL</t>
        </is>
      </c>
      <c r="D951" s="0" t="inlineStr">
        <is>
          <t>NULL</t>
        </is>
      </c>
      <c r="E951" s="0" t="inlineStr">
        <is>
          <t>NULL</t>
        </is>
      </c>
      <c r="F951" s="0" t="inlineStr">
        <is>
          <t>NULL</t>
        </is>
      </c>
      <c r="G951" s="0" t="inlineStr">
        <is>
          <t>NULL</t>
        </is>
      </c>
      <c r="H951" s="0" t="inlineStr">
        <is>
          <t>NULL</t>
        </is>
      </c>
      <c r="I951" s="0" t="inlineStr">
        <is>
          <t>YES!PK__info_tim__3213E83FC101F4AB</t>
        </is>
      </c>
      <c r="J951" s="0" t="inlineStr">
        <is>
          <t>YES! 主键相关索引</t>
        </is>
      </c>
      <c r="K951" s="0" t="inlineStr">
        <is>
          <t>YES! 	 id列源备映射正确，源端为int None位	期望更改为int	实际备端为int None位</t>
        </is>
      </c>
    </row>
    <row r="952">
      <c r="B952" s="0" t="inlineStr">
        <is>
          <t>NULL</t>
        </is>
      </c>
      <c r="C952" s="0" t="inlineStr">
        <is>
          <t>NULL</t>
        </is>
      </c>
      <c r="D952" s="0" t="inlineStr">
        <is>
          <t>NULL</t>
        </is>
      </c>
      <c r="E952" s="0" t="inlineStr">
        <is>
          <t>NULL</t>
        </is>
      </c>
      <c r="F952" s="0" t="inlineStr">
        <is>
          <t>NULL</t>
        </is>
      </c>
      <c r="G952" s="0" t="inlineStr">
        <is>
          <t>NULL</t>
        </is>
      </c>
      <c r="H952" s="0" t="inlineStr">
        <is>
          <t>NULL</t>
        </is>
      </c>
      <c r="I952" s="0" t="inlineStr">
        <is>
          <t>NULL</t>
        </is>
      </c>
      <c r="J952" s="0" t="inlineStr">
        <is>
          <t>NULL</t>
        </is>
      </c>
      <c r="K952" s="0" t="inlineStr">
        <is>
          <t>no,len不存在</t>
        </is>
      </c>
    </row>
    <row r="953">
      <c r="B953" s="0" t="inlineStr">
        <is>
          <t>NULL</t>
        </is>
      </c>
      <c r="C953" s="0" t="inlineStr">
        <is>
          <t>NULL</t>
        </is>
      </c>
      <c r="D953" s="0" t="inlineStr">
        <is>
          <t>NULL</t>
        </is>
      </c>
      <c r="E953" s="0" t="inlineStr">
        <is>
          <t>NULL</t>
        </is>
      </c>
      <c r="F953" s="0" t="inlineStr">
        <is>
          <t>NULL</t>
        </is>
      </c>
      <c r="G953" s="0" t="inlineStr">
        <is>
          <t>NULL</t>
        </is>
      </c>
      <c r="H953" s="0" t="inlineStr">
        <is>
          <t>NULL</t>
        </is>
      </c>
      <c r="I953" s="0" t="inlineStr">
        <is>
          <t>NULL</t>
        </is>
      </c>
      <c r="J953" s="0" t="inlineStr">
        <is>
          <t>NULL</t>
        </is>
      </c>
      <c r="K953" s="0" t="inlineStr">
        <is>
          <t>YES! 	 c_time1列源备映射正确，源端为time None位	期望更改为time(n)	实际备端为time None位</t>
        </is>
      </c>
    </row>
    <row r="954">
      <c r="B954" s="0" t="inlineStr">
        <is>
          <t>NULL</t>
        </is>
      </c>
      <c r="C954" s="0" t="inlineStr">
        <is>
          <t>NULL</t>
        </is>
      </c>
      <c r="D954" s="0" t="inlineStr">
        <is>
          <t>NULL</t>
        </is>
      </c>
      <c r="E954" s="0" t="inlineStr">
        <is>
          <t>NULL</t>
        </is>
      </c>
      <c r="F954" s="0" t="inlineStr">
        <is>
          <t>NULL</t>
        </is>
      </c>
      <c r="G954" s="0" t="inlineStr">
        <is>
          <t>NULL</t>
        </is>
      </c>
      <c r="H954" s="0" t="inlineStr">
        <is>
          <t>NULL</t>
        </is>
      </c>
      <c r="I954" s="0" t="inlineStr">
        <is>
          <t>NULL</t>
        </is>
      </c>
      <c r="J954" s="0" t="inlineStr">
        <is>
          <t>NULL</t>
        </is>
      </c>
      <c r="K954" s="0" t="inlineStr">
        <is>
          <t>YES! 	 c_time2列源备映射正确，源端为time None位	期望更改为time(n)	实际备端为time None位</t>
        </is>
      </c>
    </row>
    <row r="955">
      <c r="B955" s="0" t="inlineStr">
        <is>
          <t>NULL</t>
        </is>
      </c>
      <c r="C955" s="0" t="inlineStr">
        <is>
          <t>NULL</t>
        </is>
      </c>
      <c r="D955" s="0" t="inlineStr">
        <is>
          <t>NULL</t>
        </is>
      </c>
      <c r="E955" s="0" t="inlineStr">
        <is>
          <t>NULL</t>
        </is>
      </c>
      <c r="F955" s="0" t="inlineStr">
        <is>
          <t>NULL</t>
        </is>
      </c>
      <c r="G955" s="0" t="inlineStr">
        <is>
          <t>NULL</t>
        </is>
      </c>
      <c r="H955" s="0" t="inlineStr">
        <is>
          <t>NULL</t>
        </is>
      </c>
      <c r="I955" s="0" t="inlineStr">
        <is>
          <t>NULL</t>
        </is>
      </c>
      <c r="J955" s="0" t="inlineStr">
        <is>
          <t>NULL</t>
        </is>
      </c>
      <c r="K955" s="0" t="inlineStr">
        <is>
          <t>YES! 	 c_time3列源备映射正确，源端为time None位	期望更改为time(n)	实际备端为time None位</t>
        </is>
      </c>
    </row>
    <row r="956">
      <c r="B956" s="0" t="inlineStr">
        <is>
          <t>NULL</t>
        </is>
      </c>
      <c r="C956" s="0" t="inlineStr">
        <is>
          <t>NULL</t>
        </is>
      </c>
      <c r="D956" s="0" t="inlineStr">
        <is>
          <t>NULL</t>
        </is>
      </c>
      <c r="E956" s="0" t="inlineStr">
        <is>
          <t>NULL</t>
        </is>
      </c>
      <c r="F956" s="0" t="inlineStr">
        <is>
          <t>NULL</t>
        </is>
      </c>
      <c r="G956" s="0" t="inlineStr">
        <is>
          <t>NULL</t>
        </is>
      </c>
      <c r="H956" s="0" t="inlineStr">
        <is>
          <t>NULL</t>
        </is>
      </c>
      <c r="I956" s="0" t="inlineStr">
        <is>
          <t>NULL</t>
        </is>
      </c>
      <c r="J956" s="0" t="inlineStr">
        <is>
          <t>NULL</t>
        </is>
      </c>
      <c r="K956" s="0" t="inlineStr">
        <is>
          <t>YES! 	 c_time4列源备映射正确，源端为time None位	期望更改为time(n)	实际备端为time None位</t>
        </is>
      </c>
    </row>
    <row r="957">
      <c r="B957" s="0" t="inlineStr">
        <is>
          <t>NULL</t>
        </is>
      </c>
      <c r="C957" s="0" t="inlineStr">
        <is>
          <t>NULL</t>
        </is>
      </c>
      <c r="D957" s="0" t="inlineStr">
        <is>
          <t>NULL</t>
        </is>
      </c>
      <c r="E957" s="0" t="inlineStr">
        <is>
          <t>NULL</t>
        </is>
      </c>
      <c r="F957" s="0" t="inlineStr">
        <is>
          <t>NULL</t>
        </is>
      </c>
      <c r="G957" s="0" t="inlineStr">
        <is>
          <t>NULL</t>
        </is>
      </c>
      <c r="H957" s="0" t="inlineStr">
        <is>
          <t>NULL</t>
        </is>
      </c>
      <c r="I957" s="0" t="inlineStr">
        <is>
          <t>NULL</t>
        </is>
      </c>
      <c r="J957" s="0" t="inlineStr">
        <is>
          <t>NULL</t>
        </is>
      </c>
      <c r="K957" s="0" t="inlineStr">
        <is>
          <t>YES! 	 c_time5列源备映射正确，源端为time None位	期望更改为time(n)	实际备端为time None位</t>
        </is>
      </c>
    </row>
    <row r="958">
      <c r="B958" s="0" t="inlineStr">
        <is>
          <t>NULL</t>
        </is>
      </c>
      <c r="C958" s="0" t="inlineStr">
        <is>
          <t>NULL</t>
        </is>
      </c>
      <c r="D958" s="0" t="inlineStr">
        <is>
          <t>NULL</t>
        </is>
      </c>
      <c r="E958" s="0" t="inlineStr">
        <is>
          <t>NULL</t>
        </is>
      </c>
      <c r="F958" s="0" t="inlineStr">
        <is>
          <t>NULL</t>
        </is>
      </c>
      <c r="G958" s="0" t="inlineStr">
        <is>
          <t>NULL</t>
        </is>
      </c>
      <c r="H958" s="0" t="inlineStr">
        <is>
          <t>NULL</t>
        </is>
      </c>
      <c r="I958" s="0" t="inlineStr">
        <is>
          <t>NULL</t>
        </is>
      </c>
      <c r="J958" s="0" t="inlineStr">
        <is>
          <t>NULL</t>
        </is>
      </c>
      <c r="K958" s="0" t="inlineStr">
        <is>
          <t>YES! 	 c_time6列源备映射正确，源端为time None位	期望更改为time(n)	实际备端为time None位</t>
        </is>
      </c>
    </row>
    <row r="959">
      <c r="B959" s="0" t="inlineStr">
        <is>
          <t>NULL</t>
        </is>
      </c>
      <c r="C959" s="0" t="inlineStr">
        <is>
          <t>NULL</t>
        </is>
      </c>
      <c r="D959" s="0" t="inlineStr">
        <is>
          <t>NULL</t>
        </is>
      </c>
      <c r="E959" s="0" t="inlineStr">
        <is>
          <t>NULL</t>
        </is>
      </c>
      <c r="F959" s="0" t="inlineStr">
        <is>
          <t>NULL</t>
        </is>
      </c>
      <c r="G959" s="0" t="inlineStr">
        <is>
          <t>NULL</t>
        </is>
      </c>
      <c r="H959" s="0" t="inlineStr">
        <is>
          <t>NULL</t>
        </is>
      </c>
      <c r="I959" s="0" t="inlineStr">
        <is>
          <t>NULL</t>
        </is>
      </c>
      <c r="J959" s="0" t="inlineStr">
        <is>
          <t>NULL</t>
        </is>
      </c>
      <c r="K959" s="0" t="inlineStr">
        <is>
          <t>YES! 	 c_time列源备映射正确，源端为time None位	期望更改为time(n)	实际备端为time None位</t>
        </is>
      </c>
    </row>
    <row r="960">
      <c r="A960" s="0" t="inlineStr">
        <is>
          <t>info_nchar_dml_batch2_pk_urp2</t>
        </is>
      </c>
      <c r="K960" s="0" t="inlineStr">
        <is>
          <t>[0;34m info_nchar_dml_batch2_pk_urp2 [0m源备字段数相同，源端字段：4 	备端字段4</t>
        </is>
      </c>
      <c r="W960" s="0" t="inlineStr">
        <is>
          <t>YES 源备无差异</t>
        </is>
      </c>
      <c r="X960" s="0">
        <f>A960</f>
        <v/>
      </c>
    </row>
    <row r="961">
      <c r="B961" s="0" t="inlineStr">
        <is>
          <t>YES</t>
        </is>
      </c>
      <c r="C961" s="0" t="inlineStr">
        <is>
          <t>NULL</t>
        </is>
      </c>
      <c r="D961" s="0" t="inlineStr">
        <is>
          <t>NULL</t>
        </is>
      </c>
      <c r="E961" s="0" t="inlineStr">
        <is>
          <t>NULL</t>
        </is>
      </c>
      <c r="F961" s="0" t="inlineStr">
        <is>
          <t>NULL</t>
        </is>
      </c>
      <c r="G961" s="0" t="inlineStr">
        <is>
          <t>NULL</t>
        </is>
      </c>
      <c r="H961" s="0" t="inlineStr">
        <is>
          <t>NULL</t>
        </is>
      </c>
      <c r="I961" s="0" t="inlineStr">
        <is>
          <t>YES!PK__info_nch__3213E83F61A8127B</t>
        </is>
      </c>
      <c r="J961" s="0" t="inlineStr">
        <is>
          <t>YES! 主键相关索引</t>
        </is>
      </c>
      <c r="K961" s="0" t="inlineStr">
        <is>
          <t>YES! 	 id列源备映射正确，源端为int None位	期望更改为int	实际备端为int None位</t>
        </is>
      </c>
    </row>
    <row r="962">
      <c r="B962" s="0" t="inlineStr">
        <is>
          <t>NULL</t>
        </is>
      </c>
      <c r="C962" s="0" t="inlineStr">
        <is>
          <t>NULL</t>
        </is>
      </c>
      <c r="D962" s="0" t="inlineStr">
        <is>
          <t>NULL</t>
        </is>
      </c>
      <c r="E962" s="0" t="inlineStr">
        <is>
          <t>NULL</t>
        </is>
      </c>
      <c r="F962" s="0" t="inlineStr">
        <is>
          <t>NULL</t>
        </is>
      </c>
      <c r="G962" s="0" t="inlineStr">
        <is>
          <t>NULL</t>
        </is>
      </c>
      <c r="H962" s="0" t="inlineStr">
        <is>
          <t>NULL</t>
        </is>
      </c>
      <c r="I962" s="0" t="inlineStr">
        <is>
          <t>NULL</t>
        </is>
      </c>
      <c r="J962" s="0" t="inlineStr">
        <is>
          <t>NULL</t>
        </is>
      </c>
      <c r="K962" s="0" t="inlineStr">
        <is>
          <t>YES! 	 c_nchar列源备映射正确，源端为nchar 2位	期望更改为nchar(n)	实际备端为nchar 2位</t>
        </is>
      </c>
    </row>
    <row r="963">
      <c r="B963" s="0" t="inlineStr">
        <is>
          <t>NULL</t>
        </is>
      </c>
      <c r="C963" s="0" t="inlineStr">
        <is>
          <t>NULL</t>
        </is>
      </c>
      <c r="D963" s="0" t="inlineStr">
        <is>
          <t>NULL</t>
        </is>
      </c>
      <c r="E963" s="0" t="inlineStr">
        <is>
          <t>NULL</t>
        </is>
      </c>
      <c r="F963" s="0" t="inlineStr">
        <is>
          <t>NULL</t>
        </is>
      </c>
      <c r="G963" s="0" t="inlineStr">
        <is>
          <t>NULL</t>
        </is>
      </c>
      <c r="H963" s="0" t="inlineStr">
        <is>
          <t>NULL</t>
        </is>
      </c>
      <c r="I963" s="0" t="inlineStr">
        <is>
          <t>NULL</t>
        </is>
      </c>
      <c r="J963" s="0" t="inlineStr">
        <is>
          <t>NULL</t>
        </is>
      </c>
      <c r="K963" s="0" t="inlineStr">
        <is>
          <t>YES! 	 c_nchar20列源备映射正确，源端为nchar 40位	期望更改为nchar(n)	实际备端为nchar 40位</t>
        </is>
      </c>
    </row>
    <row r="964">
      <c r="B964" s="0" t="inlineStr">
        <is>
          <t>NULL</t>
        </is>
      </c>
      <c r="C964" s="0" t="inlineStr">
        <is>
          <t>NULL</t>
        </is>
      </c>
      <c r="D964" s="0" t="inlineStr">
        <is>
          <t>NULL</t>
        </is>
      </c>
      <c r="E964" s="0" t="inlineStr">
        <is>
          <t>NULL</t>
        </is>
      </c>
      <c r="F964" s="0" t="inlineStr">
        <is>
          <t>NULL</t>
        </is>
      </c>
      <c r="G964" s="0" t="inlineStr">
        <is>
          <t>NULL</t>
        </is>
      </c>
      <c r="H964" s="0" t="inlineStr">
        <is>
          <t>NULL</t>
        </is>
      </c>
      <c r="I964" s="0" t="inlineStr">
        <is>
          <t>NULL</t>
        </is>
      </c>
      <c r="J964" s="0" t="inlineStr">
        <is>
          <t>NULL</t>
        </is>
      </c>
      <c r="K964" s="0" t="inlineStr">
        <is>
          <t>YES! 	 c_nchar3500列源备映射正确，源端为nchar 7000位	期望更改为nchar(n)	实际备端为nchar 7000位</t>
        </is>
      </c>
    </row>
    <row r="965">
      <c r="A965" s="0" t="inlineStr">
        <is>
          <t>info_text_dml_single_nopk_irp</t>
        </is>
      </c>
      <c r="K965" s="0" t="inlineStr">
        <is>
          <t>[0;34m info_text_dml_single_nopk_irp [0m源备字段数相同，源端字段：3 	备端字段3</t>
        </is>
      </c>
      <c r="W965" s="0" t="inlineStr">
        <is>
          <t>YES 源备无差异</t>
        </is>
      </c>
      <c r="X965" s="0">
        <f>A965</f>
        <v/>
      </c>
    </row>
    <row r="966">
      <c r="B966" s="0" t="inlineStr">
        <is>
          <t>NULL</t>
        </is>
      </c>
      <c r="C966" s="0" t="inlineStr">
        <is>
          <t>NULL</t>
        </is>
      </c>
      <c r="D966" s="0" t="inlineStr">
        <is>
          <t>NULL</t>
        </is>
      </c>
      <c r="E966" s="0" t="inlineStr">
        <is>
          <t>NULL</t>
        </is>
      </c>
      <c r="F966" s="0" t="inlineStr">
        <is>
          <t>NULL</t>
        </is>
      </c>
      <c r="G966" s="0" t="inlineStr">
        <is>
          <t>NULL</t>
        </is>
      </c>
      <c r="H966" s="0" t="inlineStr">
        <is>
          <t>NULL</t>
        </is>
      </c>
      <c r="I966" s="0" t="inlineStr">
        <is>
          <t>NULL</t>
        </is>
      </c>
      <c r="J966" s="0" t="inlineStr">
        <is>
          <t>NULL</t>
        </is>
      </c>
      <c r="K966" s="0" t="inlineStr">
        <is>
          <t>YES! 	 id列源备映射正确，源端为int None位	期望更改为int	实际备端为int None位</t>
        </is>
      </c>
    </row>
    <row r="967">
      <c r="B967" s="0" t="inlineStr">
        <is>
          <t>NULL</t>
        </is>
      </c>
      <c r="C967" s="0" t="inlineStr">
        <is>
          <t>NULL</t>
        </is>
      </c>
      <c r="D967" s="0" t="inlineStr">
        <is>
          <t>NULL</t>
        </is>
      </c>
      <c r="E967" s="0" t="inlineStr">
        <is>
          <t>NULL</t>
        </is>
      </c>
      <c r="F967" s="0" t="inlineStr">
        <is>
          <t>NULL</t>
        </is>
      </c>
      <c r="G967" s="0" t="inlineStr">
        <is>
          <t>NULL</t>
        </is>
      </c>
      <c r="H967" s="0" t="inlineStr">
        <is>
          <t>NULL</t>
        </is>
      </c>
      <c r="I967" s="0" t="inlineStr">
        <is>
          <t>NULL</t>
        </is>
      </c>
      <c r="J967" s="0" t="inlineStr">
        <is>
          <t>NULL</t>
        </is>
      </c>
      <c r="K967" s="0" t="inlineStr">
        <is>
          <t>YES! 	 c_text列源备映射正确，源端为text 2147483647位	期望更改为text	实际备端为text 2147483647位</t>
        </is>
      </c>
    </row>
    <row r="968">
      <c r="B968" s="0" t="inlineStr">
        <is>
          <t>NULL</t>
        </is>
      </c>
      <c r="C968" s="0" t="inlineStr">
        <is>
          <t>NULL</t>
        </is>
      </c>
      <c r="D968" s="0" t="inlineStr">
        <is>
          <t>NULL</t>
        </is>
      </c>
      <c r="E968" s="0" t="inlineStr">
        <is>
          <t>NULL</t>
        </is>
      </c>
      <c r="F968" s="0" t="inlineStr">
        <is>
          <t>NULL</t>
        </is>
      </c>
      <c r="G968" s="0" t="inlineStr">
        <is>
          <t>NULL</t>
        </is>
      </c>
      <c r="H968" s="0" t="inlineStr">
        <is>
          <t>NULL</t>
        </is>
      </c>
      <c r="I968" s="0" t="inlineStr">
        <is>
          <t>NULL</t>
        </is>
      </c>
      <c r="J968" s="0" t="inlineStr">
        <is>
          <t>NULL</t>
        </is>
      </c>
      <c r="K968" s="0" t="inlineStr">
        <is>
          <t>YES! 	 c_ntext列源备映射正确，源端为ntext 2147483646位	期望更改为ntext	实际备端为ntext 2147483646位</t>
        </is>
      </c>
    </row>
    <row r="969">
      <c r="A969" s="0" t="inlineStr">
        <is>
          <t>info_uniqueidentifier_dml_single_nopk_irp</t>
        </is>
      </c>
      <c r="K969" s="0" t="inlineStr">
        <is>
          <t>[0;34m info_uniqueidentifier_dml_single_nopk_irp [0m源备字段数相同，源端字段：2 	备端字段2</t>
        </is>
      </c>
      <c r="W969" s="0" t="inlineStr">
        <is>
          <t>YES 源备无差异</t>
        </is>
      </c>
      <c r="X969" s="0">
        <f>A969</f>
        <v/>
      </c>
    </row>
    <row r="970">
      <c r="B970" s="0" t="inlineStr">
        <is>
          <t>NULL</t>
        </is>
      </c>
      <c r="C970" s="0" t="inlineStr">
        <is>
          <t>NULL</t>
        </is>
      </c>
      <c r="D970" s="0" t="inlineStr">
        <is>
          <t>NULL</t>
        </is>
      </c>
      <c r="E970" s="0" t="inlineStr">
        <is>
          <t>NULL</t>
        </is>
      </c>
      <c r="F970" s="0" t="inlineStr">
        <is>
          <t>NULL</t>
        </is>
      </c>
      <c r="G970" s="0" t="inlineStr">
        <is>
          <t>NULL</t>
        </is>
      </c>
      <c r="H970" s="0" t="inlineStr">
        <is>
          <t>NULL</t>
        </is>
      </c>
      <c r="I970" s="0" t="inlineStr">
        <is>
          <t>NULL</t>
        </is>
      </c>
      <c r="J970" s="0" t="inlineStr">
        <is>
          <t>NULL</t>
        </is>
      </c>
      <c r="K970" s="0" t="inlineStr">
        <is>
          <t>YES! 	 id列源备映射正确，源端为int None位	期望更改为int	实际备端为int None位</t>
        </is>
      </c>
    </row>
    <row r="971">
      <c r="B971" s="0" t="inlineStr">
        <is>
          <t>NULL</t>
        </is>
      </c>
      <c r="C971" s="0" t="inlineStr">
        <is>
          <t>NULL</t>
        </is>
      </c>
      <c r="D971" s="0" t="inlineStr">
        <is>
          <t>NULL</t>
        </is>
      </c>
      <c r="E971" s="0" t="inlineStr">
        <is>
          <t>NULL</t>
        </is>
      </c>
      <c r="F971" s="0" t="inlineStr">
        <is>
          <t>NULL</t>
        </is>
      </c>
      <c r="G971" s="0" t="inlineStr">
        <is>
          <t>NULL</t>
        </is>
      </c>
      <c r="H971" s="0" t="inlineStr">
        <is>
          <t>NULL</t>
        </is>
      </c>
      <c r="I971" s="0" t="inlineStr">
        <is>
          <t>NULL</t>
        </is>
      </c>
      <c r="J971" s="0" t="inlineStr">
        <is>
          <t>NULL</t>
        </is>
      </c>
      <c r="K971" s="0" t="inlineStr">
        <is>
          <t>YES! 	 c_uniqueidentifier列源备映射正确，源端为uniqueidentifier None位	期望更改为uniqueidentifier	实际备端为uniqueidentifier None位</t>
        </is>
      </c>
    </row>
    <row r="972">
      <c r="A972" s="0" t="inlineStr">
        <is>
          <t>info_datetime2_dml_batch2_pk_irp1</t>
        </is>
      </c>
      <c r="K972" s="0" t="inlineStr">
        <is>
          <t>[0;34m info_datetime2_dml_batch2_pk_irp1 [0m源备字段数相同，源端字段：9 	备端字段9</t>
        </is>
      </c>
      <c r="W972" s="0" t="inlineStr">
        <is>
          <t>YES 源备无差异</t>
        </is>
      </c>
      <c r="X972" s="0">
        <f>A972</f>
        <v/>
      </c>
    </row>
    <row r="973">
      <c r="B973" s="0" t="inlineStr">
        <is>
          <t>YES</t>
        </is>
      </c>
      <c r="C973" s="0" t="inlineStr">
        <is>
          <t>NULL</t>
        </is>
      </c>
      <c r="D973" s="0" t="inlineStr">
        <is>
          <t>NULL</t>
        </is>
      </c>
      <c r="E973" s="0" t="inlineStr">
        <is>
          <t>NULL</t>
        </is>
      </c>
      <c r="F973" s="0" t="inlineStr">
        <is>
          <t>NULL</t>
        </is>
      </c>
      <c r="G973" s="0" t="inlineStr">
        <is>
          <t>NULL</t>
        </is>
      </c>
      <c r="H973" s="0" t="inlineStr">
        <is>
          <t>NULL</t>
        </is>
      </c>
      <c r="I973" s="0" t="inlineStr">
        <is>
          <t>YES!PK__info_dat__3213E83FD21814D0</t>
        </is>
      </c>
      <c r="J973" s="0" t="inlineStr">
        <is>
          <t>YES! 主键相关索引</t>
        </is>
      </c>
      <c r="K973" s="0" t="inlineStr">
        <is>
          <t>YES! 	 id列源备映射正确，源端为int None位	期望更改为int	实际备端为int None位</t>
        </is>
      </c>
    </row>
    <row r="974">
      <c r="B974" s="0" t="inlineStr">
        <is>
          <t>NULL</t>
        </is>
      </c>
      <c r="C974" s="0" t="inlineStr">
        <is>
          <t>NULL</t>
        </is>
      </c>
      <c r="D974" s="0" t="inlineStr">
        <is>
          <t>NULL</t>
        </is>
      </c>
      <c r="E974" s="0" t="inlineStr">
        <is>
          <t>NULL</t>
        </is>
      </c>
      <c r="F974" s="0" t="inlineStr">
        <is>
          <t>NULL</t>
        </is>
      </c>
      <c r="G974" s="0" t="inlineStr">
        <is>
          <t>NULL</t>
        </is>
      </c>
      <c r="H974" s="0" t="inlineStr">
        <is>
          <t>NULL</t>
        </is>
      </c>
      <c r="I974" s="0" t="inlineStr">
        <is>
          <t>NULL</t>
        </is>
      </c>
      <c r="J974" s="0" t="inlineStr">
        <is>
          <t>NULL</t>
        </is>
      </c>
      <c r="K974" s="0" t="inlineStr">
        <is>
          <t>no,len不存在</t>
        </is>
      </c>
    </row>
    <row r="975">
      <c r="B975" s="0" t="inlineStr">
        <is>
          <t>NULL</t>
        </is>
      </c>
      <c r="C975" s="0" t="inlineStr">
        <is>
          <t>NULL</t>
        </is>
      </c>
      <c r="D975" s="0" t="inlineStr">
        <is>
          <t>NULL</t>
        </is>
      </c>
      <c r="E975" s="0" t="inlineStr">
        <is>
          <t>NULL</t>
        </is>
      </c>
      <c r="F975" s="0" t="inlineStr">
        <is>
          <t>NULL</t>
        </is>
      </c>
      <c r="G975" s="0" t="inlineStr">
        <is>
          <t>NULL</t>
        </is>
      </c>
      <c r="H975" s="0" t="inlineStr">
        <is>
          <t>NULL</t>
        </is>
      </c>
      <c r="I975" s="0" t="inlineStr">
        <is>
          <t>NULL</t>
        </is>
      </c>
      <c r="J975" s="0" t="inlineStr">
        <is>
          <t>NULL</t>
        </is>
      </c>
      <c r="K975" s="0" t="inlineStr">
        <is>
          <t>YES! 	 c_dt2_1列源备映射正确，源端为datetime2 None位	期望更改为datetime2(n)	实际备端为datetime2 None位</t>
        </is>
      </c>
    </row>
    <row r="976">
      <c r="B976" s="0" t="inlineStr">
        <is>
          <t>NULL</t>
        </is>
      </c>
      <c r="C976" s="0" t="inlineStr">
        <is>
          <t>NULL</t>
        </is>
      </c>
      <c r="D976" s="0" t="inlineStr">
        <is>
          <t>NULL</t>
        </is>
      </c>
      <c r="E976" s="0" t="inlineStr">
        <is>
          <t>NULL</t>
        </is>
      </c>
      <c r="F976" s="0" t="inlineStr">
        <is>
          <t>NULL</t>
        </is>
      </c>
      <c r="G976" s="0" t="inlineStr">
        <is>
          <t>NULL</t>
        </is>
      </c>
      <c r="H976" s="0" t="inlineStr">
        <is>
          <t>NULL</t>
        </is>
      </c>
      <c r="I976" s="0" t="inlineStr">
        <is>
          <t>NULL</t>
        </is>
      </c>
      <c r="J976" s="0" t="inlineStr">
        <is>
          <t>NULL</t>
        </is>
      </c>
      <c r="K976" s="0" t="inlineStr">
        <is>
          <t>YES! 	 c_dt2_2列源备映射正确，源端为datetime2 None位	期望更改为datetime2(n)	实际备端为datetime2 None位</t>
        </is>
      </c>
    </row>
    <row r="977">
      <c r="B977" s="0" t="inlineStr">
        <is>
          <t>NULL</t>
        </is>
      </c>
      <c r="C977" s="0" t="inlineStr">
        <is>
          <t>NULL</t>
        </is>
      </c>
      <c r="D977" s="0" t="inlineStr">
        <is>
          <t>NULL</t>
        </is>
      </c>
      <c r="E977" s="0" t="inlineStr">
        <is>
          <t>NULL</t>
        </is>
      </c>
      <c r="F977" s="0" t="inlineStr">
        <is>
          <t>NULL</t>
        </is>
      </c>
      <c r="G977" s="0" t="inlineStr">
        <is>
          <t>NULL</t>
        </is>
      </c>
      <c r="H977" s="0" t="inlineStr">
        <is>
          <t>NULL</t>
        </is>
      </c>
      <c r="I977" s="0" t="inlineStr">
        <is>
          <t>NULL</t>
        </is>
      </c>
      <c r="J977" s="0" t="inlineStr">
        <is>
          <t>NULL</t>
        </is>
      </c>
      <c r="K977" s="0" t="inlineStr">
        <is>
          <t>YES! 	 c_dt2_3列源备映射正确，源端为datetime2 None位	期望更改为datetime2(n)	实际备端为datetime2 None位</t>
        </is>
      </c>
    </row>
    <row r="978">
      <c r="B978" s="0" t="inlineStr">
        <is>
          <t>NULL</t>
        </is>
      </c>
      <c r="C978" s="0" t="inlineStr">
        <is>
          <t>NULL</t>
        </is>
      </c>
      <c r="D978" s="0" t="inlineStr">
        <is>
          <t>NULL</t>
        </is>
      </c>
      <c r="E978" s="0" t="inlineStr">
        <is>
          <t>NULL</t>
        </is>
      </c>
      <c r="F978" s="0" t="inlineStr">
        <is>
          <t>NULL</t>
        </is>
      </c>
      <c r="G978" s="0" t="inlineStr">
        <is>
          <t>NULL</t>
        </is>
      </c>
      <c r="H978" s="0" t="inlineStr">
        <is>
          <t>NULL</t>
        </is>
      </c>
      <c r="I978" s="0" t="inlineStr">
        <is>
          <t>NULL</t>
        </is>
      </c>
      <c r="J978" s="0" t="inlineStr">
        <is>
          <t>NULL</t>
        </is>
      </c>
      <c r="K978" s="0" t="inlineStr">
        <is>
          <t>YES! 	 c_dt2_4列源备映射正确，源端为datetime2 None位	期望更改为datetime2(n)	实际备端为datetime2 None位</t>
        </is>
      </c>
    </row>
    <row r="979">
      <c r="B979" s="0" t="inlineStr">
        <is>
          <t>NULL</t>
        </is>
      </c>
      <c r="C979" s="0" t="inlineStr">
        <is>
          <t>NULL</t>
        </is>
      </c>
      <c r="D979" s="0" t="inlineStr">
        <is>
          <t>NULL</t>
        </is>
      </c>
      <c r="E979" s="0" t="inlineStr">
        <is>
          <t>NULL</t>
        </is>
      </c>
      <c r="F979" s="0" t="inlineStr">
        <is>
          <t>NULL</t>
        </is>
      </c>
      <c r="G979" s="0" t="inlineStr">
        <is>
          <t>NULL</t>
        </is>
      </c>
      <c r="H979" s="0" t="inlineStr">
        <is>
          <t>NULL</t>
        </is>
      </c>
      <c r="I979" s="0" t="inlineStr">
        <is>
          <t>NULL</t>
        </is>
      </c>
      <c r="J979" s="0" t="inlineStr">
        <is>
          <t>NULL</t>
        </is>
      </c>
      <c r="K979" s="0" t="inlineStr">
        <is>
          <t>YES! 	 c_dt2_5列源备映射正确，源端为datetime2 None位	期望更改为datetime2(n)	实际备端为datetime2 None位</t>
        </is>
      </c>
    </row>
    <row r="980">
      <c r="B980" s="0" t="inlineStr">
        <is>
          <t>NULL</t>
        </is>
      </c>
      <c r="C980" s="0" t="inlineStr">
        <is>
          <t>NULL</t>
        </is>
      </c>
      <c r="D980" s="0" t="inlineStr">
        <is>
          <t>NULL</t>
        </is>
      </c>
      <c r="E980" s="0" t="inlineStr">
        <is>
          <t>NULL</t>
        </is>
      </c>
      <c r="F980" s="0" t="inlineStr">
        <is>
          <t>NULL</t>
        </is>
      </c>
      <c r="G980" s="0" t="inlineStr">
        <is>
          <t>NULL</t>
        </is>
      </c>
      <c r="H980" s="0" t="inlineStr">
        <is>
          <t>NULL</t>
        </is>
      </c>
      <c r="I980" s="0" t="inlineStr">
        <is>
          <t>NULL</t>
        </is>
      </c>
      <c r="J980" s="0" t="inlineStr">
        <is>
          <t>NULL</t>
        </is>
      </c>
      <c r="K980" s="0" t="inlineStr">
        <is>
          <t>YES! 	 c_dt2_6列源备映射正确，源端为datetime2 None位	期望更改为datetime2(n)	实际备端为datetime2 None位</t>
        </is>
      </c>
    </row>
    <row r="981">
      <c r="B981" s="0" t="inlineStr">
        <is>
          <t>NULL</t>
        </is>
      </c>
      <c r="C981" s="0" t="inlineStr">
        <is>
          <t>NULL</t>
        </is>
      </c>
      <c r="D981" s="0" t="inlineStr">
        <is>
          <t>NULL</t>
        </is>
      </c>
      <c r="E981" s="0" t="inlineStr">
        <is>
          <t>NULL</t>
        </is>
      </c>
      <c r="F981" s="0" t="inlineStr">
        <is>
          <t>NULL</t>
        </is>
      </c>
      <c r="G981" s="0" t="inlineStr">
        <is>
          <t>NULL</t>
        </is>
      </c>
      <c r="H981" s="0" t="inlineStr">
        <is>
          <t>NULL</t>
        </is>
      </c>
      <c r="I981" s="0" t="inlineStr">
        <is>
          <t>NULL</t>
        </is>
      </c>
      <c r="J981" s="0" t="inlineStr">
        <is>
          <t>NULL</t>
        </is>
      </c>
      <c r="K981" s="0" t="inlineStr">
        <is>
          <t>YES! 	 c_dt2列源备映射正确，源端为datetime2 None位	期望更改为datetime2(n)	实际备端为datetime2 None位</t>
        </is>
      </c>
    </row>
    <row r="982">
      <c r="A982" s="0" t="inlineStr">
        <is>
          <t>info_nchar_dml_batch1_pk_drp2</t>
        </is>
      </c>
      <c r="K982" s="0" t="inlineStr">
        <is>
          <t>[0;34m info_nchar_dml_batch1_pk_drp2 [0m源备字段数相同，源端字段：4 	备端字段4</t>
        </is>
      </c>
      <c r="W982" s="0" t="inlineStr">
        <is>
          <t>YES 源备无差异</t>
        </is>
      </c>
      <c r="X982" s="0">
        <f>A982</f>
        <v/>
      </c>
    </row>
    <row r="983">
      <c r="B983" s="0" t="inlineStr">
        <is>
          <t>YES</t>
        </is>
      </c>
      <c r="C983" s="0" t="inlineStr">
        <is>
          <t>NULL</t>
        </is>
      </c>
      <c r="D983" s="0" t="inlineStr">
        <is>
          <t>NULL</t>
        </is>
      </c>
      <c r="E983" s="0" t="inlineStr">
        <is>
          <t>NULL</t>
        </is>
      </c>
      <c r="F983" s="0" t="inlineStr">
        <is>
          <t>NULL</t>
        </is>
      </c>
      <c r="G983" s="0" t="inlineStr">
        <is>
          <t>NULL</t>
        </is>
      </c>
      <c r="H983" s="0" t="inlineStr">
        <is>
          <t>NULL</t>
        </is>
      </c>
      <c r="I983" s="0" t="inlineStr">
        <is>
          <t>YES!PK__info_nch__3213E83F73BB4B53</t>
        </is>
      </c>
      <c r="J983" s="0" t="inlineStr">
        <is>
          <t>YES! 主键相关索引</t>
        </is>
      </c>
      <c r="K983" s="0" t="inlineStr">
        <is>
          <t>YES! 	 id列源备映射正确，源端为int None位	期望更改为int	实际备端为int None位</t>
        </is>
      </c>
    </row>
    <row r="984">
      <c r="B984" s="0" t="inlineStr">
        <is>
          <t>NULL</t>
        </is>
      </c>
      <c r="C984" s="0" t="inlineStr">
        <is>
          <t>NULL</t>
        </is>
      </c>
      <c r="D984" s="0" t="inlineStr">
        <is>
          <t>NULL</t>
        </is>
      </c>
      <c r="E984" s="0" t="inlineStr">
        <is>
          <t>NULL</t>
        </is>
      </c>
      <c r="F984" s="0" t="inlineStr">
        <is>
          <t>NULL</t>
        </is>
      </c>
      <c r="G984" s="0" t="inlineStr">
        <is>
          <t>NULL</t>
        </is>
      </c>
      <c r="H984" s="0" t="inlineStr">
        <is>
          <t>NULL</t>
        </is>
      </c>
      <c r="I984" s="0" t="inlineStr">
        <is>
          <t>NULL</t>
        </is>
      </c>
      <c r="J984" s="0" t="inlineStr">
        <is>
          <t>NULL</t>
        </is>
      </c>
      <c r="K984" s="0" t="inlineStr">
        <is>
          <t>YES! 	 c_nchar列源备映射正确，源端为nchar 2位	期望更改为nchar(n)	实际备端为nchar 2位</t>
        </is>
      </c>
    </row>
    <row r="985">
      <c r="B985" s="0" t="inlineStr">
        <is>
          <t>NULL</t>
        </is>
      </c>
      <c r="C985" s="0" t="inlineStr">
        <is>
          <t>NULL</t>
        </is>
      </c>
      <c r="D985" s="0" t="inlineStr">
        <is>
          <t>NULL</t>
        </is>
      </c>
      <c r="E985" s="0" t="inlineStr">
        <is>
          <t>NULL</t>
        </is>
      </c>
      <c r="F985" s="0" t="inlineStr">
        <is>
          <t>NULL</t>
        </is>
      </c>
      <c r="G985" s="0" t="inlineStr">
        <is>
          <t>NULL</t>
        </is>
      </c>
      <c r="H985" s="0" t="inlineStr">
        <is>
          <t>NULL</t>
        </is>
      </c>
      <c r="I985" s="0" t="inlineStr">
        <is>
          <t>NULL</t>
        </is>
      </c>
      <c r="J985" s="0" t="inlineStr">
        <is>
          <t>NULL</t>
        </is>
      </c>
      <c r="K985" s="0" t="inlineStr">
        <is>
          <t>YES! 	 c_nchar20列源备映射正确，源端为nchar 40位	期望更改为nchar(n)	实际备端为nchar 40位</t>
        </is>
      </c>
    </row>
    <row r="986">
      <c r="B986" s="0" t="inlineStr">
        <is>
          <t>NULL</t>
        </is>
      </c>
      <c r="C986" s="0" t="inlineStr">
        <is>
          <t>NULL</t>
        </is>
      </c>
      <c r="D986" s="0" t="inlineStr">
        <is>
          <t>NULL</t>
        </is>
      </c>
      <c r="E986" s="0" t="inlineStr">
        <is>
          <t>NULL</t>
        </is>
      </c>
      <c r="F986" s="0" t="inlineStr">
        <is>
          <t>NULL</t>
        </is>
      </c>
      <c r="G986" s="0" t="inlineStr">
        <is>
          <t>NULL</t>
        </is>
      </c>
      <c r="H986" s="0" t="inlineStr">
        <is>
          <t>NULL</t>
        </is>
      </c>
      <c r="I986" s="0" t="inlineStr">
        <is>
          <t>NULL</t>
        </is>
      </c>
      <c r="J986" s="0" t="inlineStr">
        <is>
          <t>NULL</t>
        </is>
      </c>
      <c r="K986" s="0" t="inlineStr">
        <is>
          <t>YES! 	 c_nchar3500列源备映射正确，源端为nchar 7000位	期望更改为nchar(n)	实际备端为nchar 7000位</t>
        </is>
      </c>
    </row>
    <row r="987">
      <c r="A987" s="0" t="inlineStr">
        <is>
          <t>info_time_dml_single_pk</t>
        </is>
      </c>
      <c r="K987" s="0" t="inlineStr">
        <is>
          <t>[0;34m info_time_dml_single_pk [0m源备字段数相同，源端字段：9 	备端字段9</t>
        </is>
      </c>
      <c r="W987" s="0" t="inlineStr">
        <is>
          <t>YES 源备无差异</t>
        </is>
      </c>
      <c r="X987" s="0">
        <f>A987</f>
        <v/>
      </c>
    </row>
    <row r="988">
      <c r="B988" s="0" t="inlineStr">
        <is>
          <t>YES</t>
        </is>
      </c>
      <c r="C988" s="0" t="inlineStr">
        <is>
          <t>NULL</t>
        </is>
      </c>
      <c r="D988" s="0" t="inlineStr">
        <is>
          <t>NULL</t>
        </is>
      </c>
      <c r="E988" s="0" t="inlineStr">
        <is>
          <t>NULL</t>
        </is>
      </c>
      <c r="F988" s="0" t="inlineStr">
        <is>
          <t>NULL</t>
        </is>
      </c>
      <c r="G988" s="0" t="inlineStr">
        <is>
          <t>NULL</t>
        </is>
      </c>
      <c r="H988" s="0" t="inlineStr">
        <is>
          <t>NULL</t>
        </is>
      </c>
      <c r="I988" s="0" t="inlineStr">
        <is>
          <t>YES!PK__info_tim__3213E83F4F90D1A9</t>
        </is>
      </c>
      <c r="J988" s="0" t="inlineStr">
        <is>
          <t>YES! 主键相关索引</t>
        </is>
      </c>
      <c r="K988" s="0" t="inlineStr">
        <is>
          <t>YES! 	 id列源备映射正确，源端为int None位	期望更改为int	实际备端为int None位</t>
        </is>
      </c>
    </row>
    <row r="989">
      <c r="B989" s="0" t="inlineStr">
        <is>
          <t>NULL</t>
        </is>
      </c>
      <c r="C989" s="0" t="inlineStr">
        <is>
          <t>NULL</t>
        </is>
      </c>
      <c r="D989" s="0" t="inlineStr">
        <is>
          <t>NULL</t>
        </is>
      </c>
      <c r="E989" s="0" t="inlineStr">
        <is>
          <t>NULL</t>
        </is>
      </c>
      <c r="F989" s="0" t="inlineStr">
        <is>
          <t>NULL</t>
        </is>
      </c>
      <c r="G989" s="0" t="inlineStr">
        <is>
          <t>NULL</t>
        </is>
      </c>
      <c r="H989" s="0" t="inlineStr">
        <is>
          <t>NULL</t>
        </is>
      </c>
      <c r="I989" s="0" t="inlineStr">
        <is>
          <t>NULL</t>
        </is>
      </c>
      <c r="J989" s="0" t="inlineStr">
        <is>
          <t>NULL</t>
        </is>
      </c>
      <c r="K989" s="0" t="inlineStr">
        <is>
          <t>no,len不存在</t>
        </is>
      </c>
    </row>
    <row r="990">
      <c r="B990" s="0" t="inlineStr">
        <is>
          <t>NULL</t>
        </is>
      </c>
      <c r="C990" s="0" t="inlineStr">
        <is>
          <t>NULL</t>
        </is>
      </c>
      <c r="D990" s="0" t="inlineStr">
        <is>
          <t>NULL</t>
        </is>
      </c>
      <c r="E990" s="0" t="inlineStr">
        <is>
          <t>NULL</t>
        </is>
      </c>
      <c r="F990" s="0" t="inlineStr">
        <is>
          <t>NULL</t>
        </is>
      </c>
      <c r="G990" s="0" t="inlineStr">
        <is>
          <t>NULL</t>
        </is>
      </c>
      <c r="H990" s="0" t="inlineStr">
        <is>
          <t>NULL</t>
        </is>
      </c>
      <c r="I990" s="0" t="inlineStr">
        <is>
          <t>NULL</t>
        </is>
      </c>
      <c r="J990" s="0" t="inlineStr">
        <is>
          <t>NULL</t>
        </is>
      </c>
      <c r="K990" s="0" t="inlineStr">
        <is>
          <t>YES! 	 c_time1列源备映射正确，源端为time None位	期望更改为time(n)	实际备端为time None位</t>
        </is>
      </c>
    </row>
    <row r="991">
      <c r="B991" s="0" t="inlineStr">
        <is>
          <t>NULL</t>
        </is>
      </c>
      <c r="C991" s="0" t="inlineStr">
        <is>
          <t>NULL</t>
        </is>
      </c>
      <c r="D991" s="0" t="inlineStr">
        <is>
          <t>NULL</t>
        </is>
      </c>
      <c r="E991" s="0" t="inlineStr">
        <is>
          <t>NULL</t>
        </is>
      </c>
      <c r="F991" s="0" t="inlineStr">
        <is>
          <t>NULL</t>
        </is>
      </c>
      <c r="G991" s="0" t="inlineStr">
        <is>
          <t>NULL</t>
        </is>
      </c>
      <c r="H991" s="0" t="inlineStr">
        <is>
          <t>NULL</t>
        </is>
      </c>
      <c r="I991" s="0" t="inlineStr">
        <is>
          <t>NULL</t>
        </is>
      </c>
      <c r="J991" s="0" t="inlineStr">
        <is>
          <t>NULL</t>
        </is>
      </c>
      <c r="K991" s="0" t="inlineStr">
        <is>
          <t>YES! 	 c_time2列源备映射正确，源端为time None位	期望更改为time(n)	实际备端为time None位</t>
        </is>
      </c>
    </row>
    <row r="992">
      <c r="B992" s="0" t="inlineStr">
        <is>
          <t>NULL</t>
        </is>
      </c>
      <c r="C992" s="0" t="inlineStr">
        <is>
          <t>NULL</t>
        </is>
      </c>
      <c r="D992" s="0" t="inlineStr">
        <is>
          <t>NULL</t>
        </is>
      </c>
      <c r="E992" s="0" t="inlineStr">
        <is>
          <t>NULL</t>
        </is>
      </c>
      <c r="F992" s="0" t="inlineStr">
        <is>
          <t>NULL</t>
        </is>
      </c>
      <c r="G992" s="0" t="inlineStr">
        <is>
          <t>NULL</t>
        </is>
      </c>
      <c r="H992" s="0" t="inlineStr">
        <is>
          <t>NULL</t>
        </is>
      </c>
      <c r="I992" s="0" t="inlineStr">
        <is>
          <t>NULL</t>
        </is>
      </c>
      <c r="J992" s="0" t="inlineStr">
        <is>
          <t>NULL</t>
        </is>
      </c>
      <c r="K992" s="0" t="inlineStr">
        <is>
          <t>YES! 	 c_time3列源备映射正确，源端为time None位	期望更改为time(n)	实际备端为time None位</t>
        </is>
      </c>
    </row>
    <row r="993">
      <c r="B993" s="0" t="inlineStr">
        <is>
          <t>NULL</t>
        </is>
      </c>
      <c r="C993" s="0" t="inlineStr">
        <is>
          <t>NULL</t>
        </is>
      </c>
      <c r="D993" s="0" t="inlineStr">
        <is>
          <t>NULL</t>
        </is>
      </c>
      <c r="E993" s="0" t="inlineStr">
        <is>
          <t>NULL</t>
        </is>
      </c>
      <c r="F993" s="0" t="inlineStr">
        <is>
          <t>NULL</t>
        </is>
      </c>
      <c r="G993" s="0" t="inlineStr">
        <is>
          <t>NULL</t>
        </is>
      </c>
      <c r="H993" s="0" t="inlineStr">
        <is>
          <t>NULL</t>
        </is>
      </c>
      <c r="I993" s="0" t="inlineStr">
        <is>
          <t>NULL</t>
        </is>
      </c>
      <c r="J993" s="0" t="inlineStr">
        <is>
          <t>NULL</t>
        </is>
      </c>
      <c r="K993" s="0" t="inlineStr">
        <is>
          <t>YES! 	 c_time4列源备映射正确，源端为time None位	期望更改为time(n)	实际备端为time None位</t>
        </is>
      </c>
    </row>
    <row r="994">
      <c r="B994" s="0" t="inlineStr">
        <is>
          <t>NULL</t>
        </is>
      </c>
      <c r="C994" s="0" t="inlineStr">
        <is>
          <t>NULL</t>
        </is>
      </c>
      <c r="D994" s="0" t="inlineStr">
        <is>
          <t>NULL</t>
        </is>
      </c>
      <c r="E994" s="0" t="inlineStr">
        <is>
          <t>NULL</t>
        </is>
      </c>
      <c r="F994" s="0" t="inlineStr">
        <is>
          <t>NULL</t>
        </is>
      </c>
      <c r="G994" s="0" t="inlineStr">
        <is>
          <t>NULL</t>
        </is>
      </c>
      <c r="H994" s="0" t="inlineStr">
        <is>
          <t>NULL</t>
        </is>
      </c>
      <c r="I994" s="0" t="inlineStr">
        <is>
          <t>NULL</t>
        </is>
      </c>
      <c r="J994" s="0" t="inlineStr">
        <is>
          <t>NULL</t>
        </is>
      </c>
      <c r="K994" s="0" t="inlineStr">
        <is>
          <t>YES! 	 c_time5列源备映射正确，源端为time None位	期望更改为time(n)	实际备端为time None位</t>
        </is>
      </c>
    </row>
    <row r="995">
      <c r="B995" s="0" t="inlineStr">
        <is>
          <t>NULL</t>
        </is>
      </c>
      <c r="C995" s="0" t="inlineStr">
        <is>
          <t>NULL</t>
        </is>
      </c>
      <c r="D995" s="0" t="inlineStr">
        <is>
          <t>NULL</t>
        </is>
      </c>
      <c r="E995" s="0" t="inlineStr">
        <is>
          <t>NULL</t>
        </is>
      </c>
      <c r="F995" s="0" t="inlineStr">
        <is>
          <t>NULL</t>
        </is>
      </c>
      <c r="G995" s="0" t="inlineStr">
        <is>
          <t>NULL</t>
        </is>
      </c>
      <c r="H995" s="0" t="inlineStr">
        <is>
          <t>NULL</t>
        </is>
      </c>
      <c r="I995" s="0" t="inlineStr">
        <is>
          <t>NULL</t>
        </is>
      </c>
      <c r="J995" s="0" t="inlineStr">
        <is>
          <t>NULL</t>
        </is>
      </c>
      <c r="K995" s="0" t="inlineStr">
        <is>
          <t>YES! 	 c_time6列源备映射正确，源端为time None位	期望更改为time(n)	实际备端为time None位</t>
        </is>
      </c>
    </row>
    <row r="996">
      <c r="B996" s="0" t="inlineStr">
        <is>
          <t>NULL</t>
        </is>
      </c>
      <c r="C996" s="0" t="inlineStr">
        <is>
          <t>NULL</t>
        </is>
      </c>
      <c r="D996" s="0" t="inlineStr">
        <is>
          <t>NULL</t>
        </is>
      </c>
      <c r="E996" s="0" t="inlineStr">
        <is>
          <t>NULL</t>
        </is>
      </c>
      <c r="F996" s="0" t="inlineStr">
        <is>
          <t>NULL</t>
        </is>
      </c>
      <c r="G996" s="0" t="inlineStr">
        <is>
          <t>NULL</t>
        </is>
      </c>
      <c r="H996" s="0" t="inlineStr">
        <is>
          <t>NULL</t>
        </is>
      </c>
      <c r="I996" s="0" t="inlineStr">
        <is>
          <t>NULL</t>
        </is>
      </c>
      <c r="J996" s="0" t="inlineStr">
        <is>
          <t>NULL</t>
        </is>
      </c>
      <c r="K996" s="0" t="inlineStr">
        <is>
          <t>YES! 	 c_time列源备映射正确，源端为time None位	期望更改为time(n)	实际备端为time None位</t>
        </is>
      </c>
    </row>
    <row r="997">
      <c r="A997" s="0" t="inlineStr">
        <is>
          <t>info_uniqueidentifier_dml_single_nopk_urp</t>
        </is>
      </c>
      <c r="K997" s="0" t="inlineStr">
        <is>
          <t>[0;34m info_uniqueidentifier_dml_single_nopk_urp [0m源备字段数相同，源端字段：2 	备端字段2</t>
        </is>
      </c>
      <c r="W997" s="0" t="inlineStr">
        <is>
          <t>YES 源备无差异</t>
        </is>
      </c>
      <c r="X997" s="0">
        <f>A997</f>
        <v/>
      </c>
    </row>
    <row r="998">
      <c r="B998" s="0" t="inlineStr">
        <is>
          <t>NULL</t>
        </is>
      </c>
      <c r="C998" s="0" t="inlineStr">
        <is>
          <t>NULL</t>
        </is>
      </c>
      <c r="D998" s="0" t="inlineStr">
        <is>
          <t>NULL</t>
        </is>
      </c>
      <c r="E998" s="0" t="inlineStr">
        <is>
          <t>NULL</t>
        </is>
      </c>
      <c r="F998" s="0" t="inlineStr">
        <is>
          <t>NULL</t>
        </is>
      </c>
      <c r="G998" s="0" t="inlineStr">
        <is>
          <t>NULL</t>
        </is>
      </c>
      <c r="H998" s="0" t="inlineStr">
        <is>
          <t>NULL</t>
        </is>
      </c>
      <c r="I998" s="0" t="inlineStr">
        <is>
          <t>NULL</t>
        </is>
      </c>
      <c r="J998" s="0" t="inlineStr">
        <is>
          <t>NULL</t>
        </is>
      </c>
      <c r="K998" s="0" t="inlineStr">
        <is>
          <t>YES! 	 id列源备映射正确，源端为int None位	期望更改为int	实际备端为int None位</t>
        </is>
      </c>
    </row>
    <row r="999">
      <c r="B999" s="0" t="inlineStr">
        <is>
          <t>NULL</t>
        </is>
      </c>
      <c r="C999" s="0" t="inlineStr">
        <is>
          <t>NULL</t>
        </is>
      </c>
      <c r="D999" s="0" t="inlineStr">
        <is>
          <t>NULL</t>
        </is>
      </c>
      <c r="E999" s="0" t="inlineStr">
        <is>
          <t>NULL</t>
        </is>
      </c>
      <c r="F999" s="0" t="inlineStr">
        <is>
          <t>NULL</t>
        </is>
      </c>
      <c r="G999" s="0" t="inlineStr">
        <is>
          <t>NULL</t>
        </is>
      </c>
      <c r="H999" s="0" t="inlineStr">
        <is>
          <t>NULL</t>
        </is>
      </c>
      <c r="I999" s="0" t="inlineStr">
        <is>
          <t>NULL</t>
        </is>
      </c>
      <c r="J999" s="0" t="inlineStr">
        <is>
          <t>NULL</t>
        </is>
      </c>
      <c r="K999" s="0" t="inlineStr">
        <is>
          <t>YES! 	 c_uniqueidentifier列源备映射正确，源端为uniqueidentifier None位	期望更改为uniqueidentifier	实际备端为uniqueidentifier None位</t>
        </is>
      </c>
    </row>
    <row r="1000">
      <c r="A1000" s="0" t="inlineStr">
        <is>
          <t>info_text_dml_single_nopk_urp</t>
        </is>
      </c>
      <c r="K1000" s="0" t="inlineStr">
        <is>
          <t>[0;34m info_text_dml_single_nopk_urp [0m源备字段数相同，源端字段：3 	备端字段3</t>
        </is>
      </c>
      <c r="W1000" s="0" t="inlineStr">
        <is>
          <t>YES 源备无差异</t>
        </is>
      </c>
      <c r="X1000" s="0">
        <f>A1000</f>
        <v/>
      </c>
    </row>
    <row r="1001">
      <c r="B1001" s="0" t="inlineStr">
        <is>
          <t>NULL</t>
        </is>
      </c>
      <c r="C1001" s="0" t="inlineStr">
        <is>
          <t>NULL</t>
        </is>
      </c>
      <c r="D1001" s="0" t="inlineStr">
        <is>
          <t>NULL</t>
        </is>
      </c>
      <c r="E1001" s="0" t="inlineStr">
        <is>
          <t>NULL</t>
        </is>
      </c>
      <c r="F1001" s="0" t="inlineStr">
        <is>
          <t>NULL</t>
        </is>
      </c>
      <c r="G1001" s="0" t="inlineStr">
        <is>
          <t>NULL</t>
        </is>
      </c>
      <c r="H1001" s="0" t="inlineStr">
        <is>
          <t>NULL</t>
        </is>
      </c>
      <c r="I1001" s="0" t="inlineStr">
        <is>
          <t>NULL</t>
        </is>
      </c>
      <c r="J1001" s="0" t="inlineStr">
        <is>
          <t>NULL</t>
        </is>
      </c>
      <c r="K1001" s="0" t="inlineStr">
        <is>
          <t>YES! 	 id列源备映射正确，源端为int None位	期望更改为int	实际备端为int None位</t>
        </is>
      </c>
    </row>
    <row r="1002">
      <c r="B1002" s="0" t="inlineStr">
        <is>
          <t>NULL</t>
        </is>
      </c>
      <c r="C1002" s="0" t="inlineStr">
        <is>
          <t>NULL</t>
        </is>
      </c>
      <c r="D1002" s="0" t="inlineStr">
        <is>
          <t>NULL</t>
        </is>
      </c>
      <c r="E1002" s="0" t="inlineStr">
        <is>
          <t>NULL</t>
        </is>
      </c>
      <c r="F1002" s="0" t="inlineStr">
        <is>
          <t>NULL</t>
        </is>
      </c>
      <c r="G1002" s="0" t="inlineStr">
        <is>
          <t>NULL</t>
        </is>
      </c>
      <c r="H1002" s="0" t="inlineStr">
        <is>
          <t>NULL</t>
        </is>
      </c>
      <c r="I1002" s="0" t="inlineStr">
        <is>
          <t>NULL</t>
        </is>
      </c>
      <c r="J1002" s="0" t="inlineStr">
        <is>
          <t>NULL</t>
        </is>
      </c>
      <c r="K1002" s="0" t="inlineStr">
        <is>
          <t>YES! 	 c_text列源备映射正确，源端为text 2147483647位	期望更改为text	实际备端为text 2147483647位</t>
        </is>
      </c>
    </row>
    <row r="1003">
      <c r="B1003" s="0" t="inlineStr">
        <is>
          <t>NULL</t>
        </is>
      </c>
      <c r="C1003" s="0" t="inlineStr">
        <is>
          <t>NULL</t>
        </is>
      </c>
      <c r="D1003" s="0" t="inlineStr">
        <is>
          <t>NULL</t>
        </is>
      </c>
      <c r="E1003" s="0" t="inlineStr">
        <is>
          <t>NULL</t>
        </is>
      </c>
      <c r="F1003" s="0" t="inlineStr">
        <is>
          <t>NULL</t>
        </is>
      </c>
      <c r="G1003" s="0" t="inlineStr">
        <is>
          <t>NULL</t>
        </is>
      </c>
      <c r="H1003" s="0" t="inlineStr">
        <is>
          <t>NULL</t>
        </is>
      </c>
      <c r="I1003" s="0" t="inlineStr">
        <is>
          <t>NULL</t>
        </is>
      </c>
      <c r="J1003" s="0" t="inlineStr">
        <is>
          <t>NULL</t>
        </is>
      </c>
      <c r="K1003" s="0" t="inlineStr">
        <is>
          <t>YES! 	 c_ntext列源备映射正确，源端为ntext 2147483646位	期望更改为ntext	实际备端为ntext 2147483646位</t>
        </is>
      </c>
    </row>
    <row r="1004">
      <c r="A1004" s="0" t="inlineStr">
        <is>
          <t>info_uniqueidentifier_dml_single_nopk_drp</t>
        </is>
      </c>
      <c r="K1004" s="0" t="inlineStr">
        <is>
          <t>[0;34m info_uniqueidentifier_dml_single_nopk_drp [0m源备字段数相同，源端字段：2 	备端字段2</t>
        </is>
      </c>
      <c r="W1004" s="0" t="inlineStr">
        <is>
          <t>YES 源备无差异</t>
        </is>
      </c>
      <c r="X1004" s="0">
        <f>A1004</f>
        <v/>
      </c>
    </row>
    <row r="1005">
      <c r="B1005" s="0" t="inlineStr">
        <is>
          <t>NULL</t>
        </is>
      </c>
      <c r="C1005" s="0" t="inlineStr">
        <is>
          <t>NULL</t>
        </is>
      </c>
      <c r="D1005" s="0" t="inlineStr">
        <is>
          <t>NULL</t>
        </is>
      </c>
      <c r="E1005" s="0" t="inlineStr">
        <is>
          <t>NULL</t>
        </is>
      </c>
      <c r="F1005" s="0" t="inlineStr">
        <is>
          <t>NULL</t>
        </is>
      </c>
      <c r="G1005" s="0" t="inlineStr">
        <is>
          <t>NULL</t>
        </is>
      </c>
      <c r="H1005" s="0" t="inlineStr">
        <is>
          <t>NULL</t>
        </is>
      </c>
      <c r="I1005" s="0" t="inlineStr">
        <is>
          <t>NULL</t>
        </is>
      </c>
      <c r="J1005" s="0" t="inlineStr">
        <is>
          <t>NULL</t>
        </is>
      </c>
      <c r="K1005" s="0" t="inlineStr">
        <is>
          <t>YES! 	 id列源备映射正确，源端为int None位	期望更改为int	实际备端为int None位</t>
        </is>
      </c>
    </row>
    <row r="1006">
      <c r="B1006" s="0" t="inlineStr">
        <is>
          <t>NULL</t>
        </is>
      </c>
      <c r="C1006" s="0" t="inlineStr">
        <is>
          <t>NULL</t>
        </is>
      </c>
      <c r="D1006" s="0" t="inlineStr">
        <is>
          <t>NULL</t>
        </is>
      </c>
      <c r="E1006" s="0" t="inlineStr">
        <is>
          <t>NULL</t>
        </is>
      </c>
      <c r="F1006" s="0" t="inlineStr">
        <is>
          <t>NULL</t>
        </is>
      </c>
      <c r="G1006" s="0" t="inlineStr">
        <is>
          <t>NULL</t>
        </is>
      </c>
      <c r="H1006" s="0" t="inlineStr">
        <is>
          <t>NULL</t>
        </is>
      </c>
      <c r="I1006" s="0" t="inlineStr">
        <is>
          <t>NULL</t>
        </is>
      </c>
      <c r="J1006" s="0" t="inlineStr">
        <is>
          <t>NULL</t>
        </is>
      </c>
      <c r="K1006" s="0" t="inlineStr">
        <is>
          <t>YES! 	 c_uniqueidentifier列源备映射正确，源端为uniqueidentifier None位	期望更改为uniqueidentifier	实际备端为uniqueidentifier None位</t>
        </is>
      </c>
    </row>
    <row r="1007">
      <c r="A1007" s="0" t="inlineStr">
        <is>
          <t>info_datetime2_dml_batch2_pk_irp2</t>
        </is>
      </c>
      <c r="K1007" s="0" t="inlineStr">
        <is>
          <t>[0;34m info_datetime2_dml_batch2_pk_irp2 [0m源备字段数相同，源端字段：9 	备端字段9</t>
        </is>
      </c>
      <c r="W1007" s="0" t="inlineStr">
        <is>
          <t>YES 源备无差异</t>
        </is>
      </c>
      <c r="X1007" s="0">
        <f>A1007</f>
        <v/>
      </c>
    </row>
    <row r="1008">
      <c r="B1008" s="0" t="inlineStr">
        <is>
          <t>YES</t>
        </is>
      </c>
      <c r="C1008" s="0" t="inlineStr">
        <is>
          <t>NULL</t>
        </is>
      </c>
      <c r="D1008" s="0" t="inlineStr">
        <is>
          <t>NULL</t>
        </is>
      </c>
      <c r="E1008" s="0" t="inlineStr">
        <is>
          <t>NULL</t>
        </is>
      </c>
      <c r="F1008" s="0" t="inlineStr">
        <is>
          <t>NULL</t>
        </is>
      </c>
      <c r="G1008" s="0" t="inlineStr">
        <is>
          <t>NULL</t>
        </is>
      </c>
      <c r="H1008" s="0" t="inlineStr">
        <is>
          <t>NULL</t>
        </is>
      </c>
      <c r="I1008" s="0" t="inlineStr">
        <is>
          <t>YES!PK__info_dat__3213E83FDFC319CF</t>
        </is>
      </c>
      <c r="J1008" s="0" t="inlineStr">
        <is>
          <t>YES! 主键相关索引</t>
        </is>
      </c>
      <c r="K1008" s="0" t="inlineStr">
        <is>
          <t>YES! 	 id列源备映射正确，源端为int None位	期望更改为int	实际备端为int None位</t>
        </is>
      </c>
    </row>
    <row r="1009">
      <c r="B1009" s="0" t="inlineStr">
        <is>
          <t>NULL</t>
        </is>
      </c>
      <c r="C1009" s="0" t="inlineStr">
        <is>
          <t>NULL</t>
        </is>
      </c>
      <c r="D1009" s="0" t="inlineStr">
        <is>
          <t>NULL</t>
        </is>
      </c>
      <c r="E1009" s="0" t="inlineStr">
        <is>
          <t>NULL</t>
        </is>
      </c>
      <c r="F1009" s="0" t="inlineStr">
        <is>
          <t>NULL</t>
        </is>
      </c>
      <c r="G1009" s="0" t="inlineStr">
        <is>
          <t>NULL</t>
        </is>
      </c>
      <c r="H1009" s="0" t="inlineStr">
        <is>
          <t>NULL</t>
        </is>
      </c>
      <c r="I1009" s="0" t="inlineStr">
        <is>
          <t>NULL</t>
        </is>
      </c>
      <c r="J1009" s="0" t="inlineStr">
        <is>
          <t>NULL</t>
        </is>
      </c>
      <c r="K1009" s="0" t="inlineStr">
        <is>
          <t>no,len不存在</t>
        </is>
      </c>
    </row>
    <row r="1010">
      <c r="B1010" s="0" t="inlineStr">
        <is>
          <t>NULL</t>
        </is>
      </c>
      <c r="C1010" s="0" t="inlineStr">
        <is>
          <t>NULL</t>
        </is>
      </c>
      <c r="D1010" s="0" t="inlineStr">
        <is>
          <t>NULL</t>
        </is>
      </c>
      <c r="E1010" s="0" t="inlineStr">
        <is>
          <t>NULL</t>
        </is>
      </c>
      <c r="F1010" s="0" t="inlineStr">
        <is>
          <t>NULL</t>
        </is>
      </c>
      <c r="G1010" s="0" t="inlineStr">
        <is>
          <t>NULL</t>
        </is>
      </c>
      <c r="H1010" s="0" t="inlineStr">
        <is>
          <t>NULL</t>
        </is>
      </c>
      <c r="I1010" s="0" t="inlineStr">
        <is>
          <t>NULL</t>
        </is>
      </c>
      <c r="J1010" s="0" t="inlineStr">
        <is>
          <t>NULL</t>
        </is>
      </c>
      <c r="K1010" s="0" t="inlineStr">
        <is>
          <t>YES! 	 c_dt2_1列源备映射正确，源端为datetime2 None位	期望更改为datetime2(n)	实际备端为datetime2 None位</t>
        </is>
      </c>
    </row>
    <row r="1011">
      <c r="B1011" s="0" t="inlineStr">
        <is>
          <t>NULL</t>
        </is>
      </c>
      <c r="C1011" s="0" t="inlineStr">
        <is>
          <t>NULL</t>
        </is>
      </c>
      <c r="D1011" s="0" t="inlineStr">
        <is>
          <t>NULL</t>
        </is>
      </c>
      <c r="E1011" s="0" t="inlineStr">
        <is>
          <t>NULL</t>
        </is>
      </c>
      <c r="F1011" s="0" t="inlineStr">
        <is>
          <t>NULL</t>
        </is>
      </c>
      <c r="G1011" s="0" t="inlineStr">
        <is>
          <t>NULL</t>
        </is>
      </c>
      <c r="H1011" s="0" t="inlineStr">
        <is>
          <t>NULL</t>
        </is>
      </c>
      <c r="I1011" s="0" t="inlineStr">
        <is>
          <t>NULL</t>
        </is>
      </c>
      <c r="J1011" s="0" t="inlineStr">
        <is>
          <t>NULL</t>
        </is>
      </c>
      <c r="K1011" s="0" t="inlineStr">
        <is>
          <t>YES! 	 c_dt2_2列源备映射正确，源端为datetime2 None位	期望更改为datetime2(n)	实际备端为datetime2 None位</t>
        </is>
      </c>
    </row>
    <row r="1012">
      <c r="B1012" s="0" t="inlineStr">
        <is>
          <t>NULL</t>
        </is>
      </c>
      <c r="C1012" s="0" t="inlineStr">
        <is>
          <t>NULL</t>
        </is>
      </c>
      <c r="D1012" s="0" t="inlineStr">
        <is>
          <t>NULL</t>
        </is>
      </c>
      <c r="E1012" s="0" t="inlineStr">
        <is>
          <t>NULL</t>
        </is>
      </c>
      <c r="F1012" s="0" t="inlineStr">
        <is>
          <t>NULL</t>
        </is>
      </c>
      <c r="G1012" s="0" t="inlineStr">
        <is>
          <t>NULL</t>
        </is>
      </c>
      <c r="H1012" s="0" t="inlineStr">
        <is>
          <t>NULL</t>
        </is>
      </c>
      <c r="I1012" s="0" t="inlineStr">
        <is>
          <t>NULL</t>
        </is>
      </c>
      <c r="J1012" s="0" t="inlineStr">
        <is>
          <t>NULL</t>
        </is>
      </c>
      <c r="K1012" s="0" t="inlineStr">
        <is>
          <t>YES! 	 c_dt2_3列源备映射正确，源端为datetime2 None位	期望更改为datetime2(n)	实际备端为datetime2 None位</t>
        </is>
      </c>
    </row>
    <row r="1013">
      <c r="B1013" s="0" t="inlineStr">
        <is>
          <t>NULL</t>
        </is>
      </c>
      <c r="C1013" s="0" t="inlineStr">
        <is>
          <t>NULL</t>
        </is>
      </c>
      <c r="D1013" s="0" t="inlineStr">
        <is>
          <t>NULL</t>
        </is>
      </c>
      <c r="E1013" s="0" t="inlineStr">
        <is>
          <t>NULL</t>
        </is>
      </c>
      <c r="F1013" s="0" t="inlineStr">
        <is>
          <t>NULL</t>
        </is>
      </c>
      <c r="G1013" s="0" t="inlineStr">
        <is>
          <t>NULL</t>
        </is>
      </c>
      <c r="H1013" s="0" t="inlineStr">
        <is>
          <t>NULL</t>
        </is>
      </c>
      <c r="I1013" s="0" t="inlineStr">
        <is>
          <t>NULL</t>
        </is>
      </c>
      <c r="J1013" s="0" t="inlineStr">
        <is>
          <t>NULL</t>
        </is>
      </c>
      <c r="K1013" s="0" t="inlineStr">
        <is>
          <t>YES! 	 c_dt2_4列源备映射正确，源端为datetime2 None位	期望更改为datetime2(n)	实际备端为datetime2 None位</t>
        </is>
      </c>
    </row>
    <row r="1014">
      <c r="B1014" s="0" t="inlineStr">
        <is>
          <t>NULL</t>
        </is>
      </c>
      <c r="C1014" s="0" t="inlineStr">
        <is>
          <t>NULL</t>
        </is>
      </c>
      <c r="D1014" s="0" t="inlineStr">
        <is>
          <t>NULL</t>
        </is>
      </c>
      <c r="E1014" s="0" t="inlineStr">
        <is>
          <t>NULL</t>
        </is>
      </c>
      <c r="F1014" s="0" t="inlineStr">
        <is>
          <t>NULL</t>
        </is>
      </c>
      <c r="G1014" s="0" t="inlineStr">
        <is>
          <t>NULL</t>
        </is>
      </c>
      <c r="H1014" s="0" t="inlineStr">
        <is>
          <t>NULL</t>
        </is>
      </c>
      <c r="I1014" s="0" t="inlineStr">
        <is>
          <t>NULL</t>
        </is>
      </c>
      <c r="J1014" s="0" t="inlineStr">
        <is>
          <t>NULL</t>
        </is>
      </c>
      <c r="K1014" s="0" t="inlineStr">
        <is>
          <t>YES! 	 c_dt2_5列源备映射正确，源端为datetime2 None位	期望更改为datetime2(n)	实际备端为datetime2 None位</t>
        </is>
      </c>
    </row>
    <row r="1015">
      <c r="B1015" s="0" t="inlineStr">
        <is>
          <t>NULL</t>
        </is>
      </c>
      <c r="C1015" s="0" t="inlineStr">
        <is>
          <t>NULL</t>
        </is>
      </c>
      <c r="D1015" s="0" t="inlineStr">
        <is>
          <t>NULL</t>
        </is>
      </c>
      <c r="E1015" s="0" t="inlineStr">
        <is>
          <t>NULL</t>
        </is>
      </c>
      <c r="F1015" s="0" t="inlineStr">
        <is>
          <t>NULL</t>
        </is>
      </c>
      <c r="G1015" s="0" t="inlineStr">
        <is>
          <t>NULL</t>
        </is>
      </c>
      <c r="H1015" s="0" t="inlineStr">
        <is>
          <t>NULL</t>
        </is>
      </c>
      <c r="I1015" s="0" t="inlineStr">
        <is>
          <t>NULL</t>
        </is>
      </c>
      <c r="J1015" s="0" t="inlineStr">
        <is>
          <t>NULL</t>
        </is>
      </c>
      <c r="K1015" s="0" t="inlineStr">
        <is>
          <t>YES! 	 c_dt2_6列源备映射正确，源端为datetime2 None位	期望更改为datetime2(n)	实际备端为datetime2 None位</t>
        </is>
      </c>
    </row>
    <row r="1016">
      <c r="B1016" s="0" t="inlineStr">
        <is>
          <t>NULL</t>
        </is>
      </c>
      <c r="C1016" s="0" t="inlineStr">
        <is>
          <t>NULL</t>
        </is>
      </c>
      <c r="D1016" s="0" t="inlineStr">
        <is>
          <t>NULL</t>
        </is>
      </c>
      <c r="E1016" s="0" t="inlineStr">
        <is>
          <t>NULL</t>
        </is>
      </c>
      <c r="F1016" s="0" t="inlineStr">
        <is>
          <t>NULL</t>
        </is>
      </c>
      <c r="G1016" s="0" t="inlineStr">
        <is>
          <t>NULL</t>
        </is>
      </c>
      <c r="H1016" s="0" t="inlineStr">
        <is>
          <t>NULL</t>
        </is>
      </c>
      <c r="I1016" s="0" t="inlineStr">
        <is>
          <t>NULL</t>
        </is>
      </c>
      <c r="J1016" s="0" t="inlineStr">
        <is>
          <t>NULL</t>
        </is>
      </c>
      <c r="K1016" s="0" t="inlineStr">
        <is>
          <t>YES! 	 c_dt2列源备映射正确，源端为datetime2 None位	期望更改为datetime2(n)	实际备端为datetime2 None位</t>
        </is>
      </c>
    </row>
    <row r="1017">
      <c r="A1017" s="0" t="inlineStr">
        <is>
          <t>info_varcharmax_dml_single_nopk</t>
        </is>
      </c>
      <c r="K1017" s="0" t="inlineStr">
        <is>
          <t>[0;34m info_varcharmax_dml_single_nopk [0m源备字段数相同，源端字段：3 	备端字段3</t>
        </is>
      </c>
      <c r="W1017" s="0" t="inlineStr">
        <is>
          <t>YES 源备无差异</t>
        </is>
      </c>
      <c r="X1017" s="0">
        <f>A1017</f>
        <v/>
      </c>
    </row>
    <row r="1018">
      <c r="B1018" s="0" t="inlineStr">
        <is>
          <t>NULL</t>
        </is>
      </c>
      <c r="C1018" s="0" t="inlineStr">
        <is>
          <t>NULL</t>
        </is>
      </c>
      <c r="D1018" s="0" t="inlineStr">
        <is>
          <t>NULL</t>
        </is>
      </c>
      <c r="E1018" s="0" t="inlineStr">
        <is>
          <t>NULL</t>
        </is>
      </c>
      <c r="F1018" s="0" t="inlineStr">
        <is>
          <t>NULL</t>
        </is>
      </c>
      <c r="G1018" s="0" t="inlineStr">
        <is>
          <t>NULL</t>
        </is>
      </c>
      <c r="H1018" s="0" t="inlineStr">
        <is>
          <t>NULL</t>
        </is>
      </c>
      <c r="I1018" s="0" t="inlineStr">
        <is>
          <t>NULL</t>
        </is>
      </c>
      <c r="J1018" s="0" t="inlineStr">
        <is>
          <t>NULL</t>
        </is>
      </c>
      <c r="K1018" s="0" t="inlineStr">
        <is>
          <t>YES! 	 id列源备映射正确，源端为int None位	期望更改为int	实际备端为int None位</t>
        </is>
      </c>
    </row>
    <row r="1019">
      <c r="B1019" s="0" t="inlineStr">
        <is>
          <t>NULL</t>
        </is>
      </c>
      <c r="C1019" s="0" t="inlineStr">
        <is>
          <t>NULL</t>
        </is>
      </c>
      <c r="D1019" s="0" t="inlineStr">
        <is>
          <t>NULL</t>
        </is>
      </c>
      <c r="E1019" s="0" t="inlineStr">
        <is>
          <t>NULL</t>
        </is>
      </c>
      <c r="F1019" s="0" t="inlineStr">
        <is>
          <t>NULL</t>
        </is>
      </c>
      <c r="G1019" s="0" t="inlineStr">
        <is>
          <t>NULL</t>
        </is>
      </c>
      <c r="H1019" s="0" t="inlineStr">
        <is>
          <t>NULL</t>
        </is>
      </c>
      <c r="I1019" s="0" t="inlineStr">
        <is>
          <t>NULL</t>
        </is>
      </c>
      <c r="J1019" s="0" t="inlineStr">
        <is>
          <t>NULL</t>
        </is>
      </c>
      <c r="K1019" s="0" t="inlineStr">
        <is>
          <t>YES! 	 c_varchar_max列源备映射正确，源端为varchar -1位	期望更改为varchar(n)	实际备端为varchar -1位</t>
        </is>
      </c>
    </row>
    <row r="1020">
      <c r="B1020" s="0" t="inlineStr">
        <is>
          <t>NULL</t>
        </is>
      </c>
      <c r="C1020" s="0" t="inlineStr">
        <is>
          <t>NULL</t>
        </is>
      </c>
      <c r="D1020" s="0" t="inlineStr">
        <is>
          <t>NULL</t>
        </is>
      </c>
      <c r="E1020" s="0" t="inlineStr">
        <is>
          <t>NULL</t>
        </is>
      </c>
      <c r="F1020" s="0" t="inlineStr">
        <is>
          <t>NULL</t>
        </is>
      </c>
      <c r="G1020" s="0" t="inlineStr">
        <is>
          <t>NULL</t>
        </is>
      </c>
      <c r="H1020" s="0" t="inlineStr">
        <is>
          <t>NULL</t>
        </is>
      </c>
      <c r="I1020" s="0" t="inlineStr">
        <is>
          <t>NULL</t>
        </is>
      </c>
      <c r="J1020" s="0" t="inlineStr">
        <is>
          <t>NULL</t>
        </is>
      </c>
      <c r="K1020" s="0" t="inlineStr">
        <is>
          <t>YES! 	 c_nvarchar_max列源备映射正确，源端为nvarchar -1位	期望更改为nvarchar(n)	实际备端为nvarchar -1位</t>
        </is>
      </c>
    </row>
    <row r="1021">
      <c r="A1021" s="0" t="inlineStr">
        <is>
          <t>info_sdt_dml_single_pk_irp</t>
        </is>
      </c>
      <c r="K1021" s="0" t="inlineStr">
        <is>
          <t>[0;34m info_sdt_dml_single_pk_irp [0m源备字段数相同，源端字段：2 	备端字段2</t>
        </is>
      </c>
      <c r="W1021" s="0" t="inlineStr">
        <is>
          <t>YES 源备无差异</t>
        </is>
      </c>
      <c r="X1021" s="0">
        <f>A1021</f>
        <v/>
      </c>
    </row>
    <row r="1022">
      <c r="B1022" s="0" t="inlineStr">
        <is>
          <t>YES</t>
        </is>
      </c>
      <c r="C1022" s="0" t="inlineStr">
        <is>
          <t>NULL</t>
        </is>
      </c>
      <c r="D1022" s="0" t="inlineStr">
        <is>
          <t>NULL</t>
        </is>
      </c>
      <c r="E1022" s="0" t="inlineStr">
        <is>
          <t>NULL</t>
        </is>
      </c>
      <c r="F1022" s="0" t="inlineStr">
        <is>
          <t>NULL</t>
        </is>
      </c>
      <c r="G1022" s="0" t="inlineStr">
        <is>
          <t>NULL</t>
        </is>
      </c>
      <c r="H1022" s="0" t="inlineStr">
        <is>
          <t>NULL</t>
        </is>
      </c>
      <c r="I1022" s="0" t="inlineStr">
        <is>
          <t>YES!PK__info_sdt__3213E83F63FCCC00</t>
        </is>
      </c>
      <c r="J1022" s="0" t="inlineStr">
        <is>
          <t>YES! 主键相关索引</t>
        </is>
      </c>
      <c r="K1022" s="0" t="inlineStr">
        <is>
          <t>YES! 	 id列源备映射正确，源端为int None位	期望更改为int	实际备端为int None位</t>
        </is>
      </c>
    </row>
    <row r="1023">
      <c r="B1023" s="0" t="inlineStr">
        <is>
          <t>NULL</t>
        </is>
      </c>
      <c r="C1023" s="0" t="inlineStr">
        <is>
          <t>NULL</t>
        </is>
      </c>
      <c r="D1023" s="0" t="inlineStr">
        <is>
          <t>NULL</t>
        </is>
      </c>
      <c r="E1023" s="0" t="inlineStr">
        <is>
          <t>NULL</t>
        </is>
      </c>
      <c r="F1023" s="0" t="inlineStr">
        <is>
          <t>NULL</t>
        </is>
      </c>
      <c r="G1023" s="0" t="inlineStr">
        <is>
          <t>NULL</t>
        </is>
      </c>
      <c r="H1023" s="0" t="inlineStr">
        <is>
          <t>NULL</t>
        </is>
      </c>
      <c r="I1023" s="0" t="inlineStr">
        <is>
          <t>NULL</t>
        </is>
      </c>
      <c r="J1023" s="0" t="inlineStr">
        <is>
          <t>NULL</t>
        </is>
      </c>
      <c r="K1023" s="0" t="inlineStr">
        <is>
          <t>YES! 	 c_sdt列源备映射正确，源端为smalldatetime None位	期望更改为smalldatetime	实际备端为smalldatetime None位</t>
        </is>
      </c>
    </row>
    <row r="1024">
      <c r="A1024" s="0" t="inlineStr">
        <is>
          <t>info_text_dml_single_nopk</t>
        </is>
      </c>
      <c r="K1024" s="0" t="inlineStr">
        <is>
          <t>[0;34m info_text_dml_single_nopk [0m源备字段数相同，源端字段：3 	备端字段3</t>
        </is>
      </c>
      <c r="W1024" s="0" t="inlineStr">
        <is>
          <t>YES 源备无差异</t>
        </is>
      </c>
      <c r="X1024" s="0">
        <f>A1024</f>
        <v/>
      </c>
    </row>
    <row r="1025">
      <c r="B1025" s="0" t="inlineStr">
        <is>
          <t>NULL</t>
        </is>
      </c>
      <c r="C1025" s="0" t="inlineStr">
        <is>
          <t>NULL</t>
        </is>
      </c>
      <c r="D1025" s="0" t="inlineStr">
        <is>
          <t>NULL</t>
        </is>
      </c>
      <c r="E1025" s="0" t="inlineStr">
        <is>
          <t>NULL</t>
        </is>
      </c>
      <c r="F1025" s="0" t="inlineStr">
        <is>
          <t>NULL</t>
        </is>
      </c>
      <c r="G1025" s="0" t="inlineStr">
        <is>
          <t>NULL</t>
        </is>
      </c>
      <c r="H1025" s="0" t="inlineStr">
        <is>
          <t>NULL</t>
        </is>
      </c>
      <c r="I1025" s="0" t="inlineStr">
        <is>
          <t>NULL</t>
        </is>
      </c>
      <c r="J1025" s="0" t="inlineStr">
        <is>
          <t>NULL</t>
        </is>
      </c>
      <c r="K1025" s="0" t="inlineStr">
        <is>
          <t>YES! 	 id列源备映射正确，源端为int None位	期望更改为int	实际备端为int None位</t>
        </is>
      </c>
    </row>
    <row r="1026">
      <c r="B1026" s="0" t="inlineStr">
        <is>
          <t>NULL</t>
        </is>
      </c>
      <c r="C1026" s="0" t="inlineStr">
        <is>
          <t>NULL</t>
        </is>
      </c>
      <c r="D1026" s="0" t="inlineStr">
        <is>
          <t>NULL</t>
        </is>
      </c>
      <c r="E1026" s="0" t="inlineStr">
        <is>
          <t>NULL</t>
        </is>
      </c>
      <c r="F1026" s="0" t="inlineStr">
        <is>
          <t>NULL</t>
        </is>
      </c>
      <c r="G1026" s="0" t="inlineStr">
        <is>
          <t>NULL</t>
        </is>
      </c>
      <c r="H1026" s="0" t="inlineStr">
        <is>
          <t>NULL</t>
        </is>
      </c>
      <c r="I1026" s="0" t="inlineStr">
        <is>
          <t>NULL</t>
        </is>
      </c>
      <c r="J1026" s="0" t="inlineStr">
        <is>
          <t>NULL</t>
        </is>
      </c>
      <c r="K1026" s="0" t="inlineStr">
        <is>
          <t>YES! 	 c_text列源备映射正确，源端为text 2147483647位	期望更改为text	实际备端为text 2147483647位</t>
        </is>
      </c>
    </row>
    <row r="1027">
      <c r="B1027" s="0" t="inlineStr">
        <is>
          <t>NULL</t>
        </is>
      </c>
      <c r="C1027" s="0" t="inlineStr">
        <is>
          <t>NULL</t>
        </is>
      </c>
      <c r="D1027" s="0" t="inlineStr">
        <is>
          <t>NULL</t>
        </is>
      </c>
      <c r="E1027" s="0" t="inlineStr">
        <is>
          <t>NULL</t>
        </is>
      </c>
      <c r="F1027" s="0" t="inlineStr">
        <is>
          <t>NULL</t>
        </is>
      </c>
      <c r="G1027" s="0" t="inlineStr">
        <is>
          <t>NULL</t>
        </is>
      </c>
      <c r="H1027" s="0" t="inlineStr">
        <is>
          <t>NULL</t>
        </is>
      </c>
      <c r="I1027" s="0" t="inlineStr">
        <is>
          <t>NULL</t>
        </is>
      </c>
      <c r="J1027" s="0" t="inlineStr">
        <is>
          <t>NULL</t>
        </is>
      </c>
      <c r="K1027" s="0" t="inlineStr">
        <is>
          <t>YES! 	 c_ntext列源备映射正确，源端为ntext 2147483646位	期望更改为ntext	实际备端为ntext 2147483646位</t>
        </is>
      </c>
    </row>
    <row r="1028">
      <c r="K1028" s="0" t="inlineStr">
        <is>
          <t>~ 空表</t>
        </is>
      </c>
    </row>
    <row r="1029">
      <c r="A1029" s="0" t="inlineStr">
        <is>
          <t>info_text_dml_single_nopk_drp</t>
        </is>
      </c>
      <c r="K1029" s="0" t="inlineStr">
        <is>
          <t>[0;34m info_text_dml_single_nopk_drp [0m源备字段数相同，源端字段：3 	备端字段3</t>
        </is>
      </c>
      <c r="W1029" s="0" t="inlineStr">
        <is>
          <t>YES 源备无差异</t>
        </is>
      </c>
      <c r="X1029" s="0">
        <f>A1029</f>
        <v/>
      </c>
    </row>
    <row r="1030">
      <c r="B1030" s="0" t="inlineStr">
        <is>
          <t>NULL</t>
        </is>
      </c>
      <c r="C1030" s="0" t="inlineStr">
        <is>
          <t>NULL</t>
        </is>
      </c>
      <c r="D1030" s="0" t="inlineStr">
        <is>
          <t>NULL</t>
        </is>
      </c>
      <c r="E1030" s="0" t="inlineStr">
        <is>
          <t>NULL</t>
        </is>
      </c>
      <c r="F1030" s="0" t="inlineStr">
        <is>
          <t>NULL</t>
        </is>
      </c>
      <c r="G1030" s="0" t="inlineStr">
        <is>
          <t>NULL</t>
        </is>
      </c>
      <c r="H1030" s="0" t="inlineStr">
        <is>
          <t>NULL</t>
        </is>
      </c>
      <c r="I1030" s="0" t="inlineStr">
        <is>
          <t>NULL</t>
        </is>
      </c>
      <c r="J1030" s="0" t="inlineStr">
        <is>
          <t>NULL</t>
        </is>
      </c>
      <c r="K1030" s="0" t="inlineStr">
        <is>
          <t>YES! 	 id列源备映射正确，源端为int None位	期望更改为int	实际备端为int None位</t>
        </is>
      </c>
    </row>
    <row r="1031">
      <c r="B1031" s="0" t="inlineStr">
        <is>
          <t>NULL</t>
        </is>
      </c>
      <c r="C1031" s="0" t="inlineStr">
        <is>
          <t>NULL</t>
        </is>
      </c>
      <c r="D1031" s="0" t="inlineStr">
        <is>
          <t>NULL</t>
        </is>
      </c>
      <c r="E1031" s="0" t="inlineStr">
        <is>
          <t>NULL</t>
        </is>
      </c>
      <c r="F1031" s="0" t="inlineStr">
        <is>
          <t>NULL</t>
        </is>
      </c>
      <c r="G1031" s="0" t="inlineStr">
        <is>
          <t>NULL</t>
        </is>
      </c>
      <c r="H1031" s="0" t="inlineStr">
        <is>
          <t>NULL</t>
        </is>
      </c>
      <c r="I1031" s="0" t="inlineStr">
        <is>
          <t>NULL</t>
        </is>
      </c>
      <c r="J1031" s="0" t="inlineStr">
        <is>
          <t>NULL</t>
        </is>
      </c>
      <c r="K1031" s="0" t="inlineStr">
        <is>
          <t>YES! 	 c_text列源备映射正确，源端为text 2147483647位	期望更改为text	实际备端为text 2147483647位</t>
        </is>
      </c>
    </row>
    <row r="1032">
      <c r="B1032" s="0" t="inlineStr">
        <is>
          <t>NULL</t>
        </is>
      </c>
      <c r="C1032" s="0" t="inlineStr">
        <is>
          <t>NULL</t>
        </is>
      </c>
      <c r="D1032" s="0" t="inlineStr">
        <is>
          <t>NULL</t>
        </is>
      </c>
      <c r="E1032" s="0" t="inlineStr">
        <is>
          <t>NULL</t>
        </is>
      </c>
      <c r="F1032" s="0" t="inlineStr">
        <is>
          <t>NULL</t>
        </is>
      </c>
      <c r="G1032" s="0" t="inlineStr">
        <is>
          <t>NULL</t>
        </is>
      </c>
      <c r="H1032" s="0" t="inlineStr">
        <is>
          <t>NULL</t>
        </is>
      </c>
      <c r="I1032" s="0" t="inlineStr">
        <is>
          <t>NULL</t>
        </is>
      </c>
      <c r="J1032" s="0" t="inlineStr">
        <is>
          <t>NULL</t>
        </is>
      </c>
      <c r="K1032" s="0" t="inlineStr">
        <is>
          <t>YES! 	 c_ntext列源备映射正确，源端为ntext 2147483646位	期望更改为ntext	实际备端为ntext 2147483646位</t>
        </is>
      </c>
    </row>
    <row r="1033">
      <c r="A1033" s="0" t="inlineStr">
        <is>
          <t>info_uniqueidentifier_dml_single_nopk</t>
        </is>
      </c>
      <c r="K1033" s="0" t="inlineStr">
        <is>
          <t>[0;34m info_uniqueidentifier_dml_single_nopk [0m源备字段数相同，源端字段：2 	备端字段2</t>
        </is>
      </c>
      <c r="W1033" s="0" t="inlineStr">
        <is>
          <t>YES 源备无差异</t>
        </is>
      </c>
      <c r="X1033" s="0">
        <f>A1033</f>
        <v/>
      </c>
    </row>
    <row r="1034">
      <c r="B1034" s="0" t="inlineStr">
        <is>
          <t>NULL</t>
        </is>
      </c>
      <c r="C1034" s="0" t="inlineStr">
        <is>
          <t>NULL</t>
        </is>
      </c>
      <c r="D1034" s="0" t="inlineStr">
        <is>
          <t>NULL</t>
        </is>
      </c>
      <c r="E1034" s="0" t="inlineStr">
        <is>
          <t>NULL</t>
        </is>
      </c>
      <c r="F1034" s="0" t="inlineStr">
        <is>
          <t>NULL</t>
        </is>
      </c>
      <c r="G1034" s="0" t="inlineStr">
        <is>
          <t>NULL</t>
        </is>
      </c>
      <c r="H1034" s="0" t="inlineStr">
        <is>
          <t>NULL</t>
        </is>
      </c>
      <c r="I1034" s="0" t="inlineStr">
        <is>
          <t>NULL</t>
        </is>
      </c>
      <c r="J1034" s="0" t="inlineStr">
        <is>
          <t>NULL</t>
        </is>
      </c>
      <c r="K1034" s="0" t="inlineStr">
        <is>
          <t>YES! 	 id列源备映射正确，源端为int None位	期望更改为int	实际备端为int None位</t>
        </is>
      </c>
    </row>
    <row r="1035">
      <c r="B1035" s="0" t="inlineStr">
        <is>
          <t>NULL</t>
        </is>
      </c>
      <c r="C1035" s="0" t="inlineStr">
        <is>
          <t>NULL</t>
        </is>
      </c>
      <c r="D1035" s="0" t="inlineStr">
        <is>
          <t>NULL</t>
        </is>
      </c>
      <c r="E1035" s="0" t="inlineStr">
        <is>
          <t>NULL</t>
        </is>
      </c>
      <c r="F1035" s="0" t="inlineStr">
        <is>
          <t>NULL</t>
        </is>
      </c>
      <c r="G1035" s="0" t="inlineStr">
        <is>
          <t>NULL</t>
        </is>
      </c>
      <c r="H1035" s="0" t="inlineStr">
        <is>
          <t>NULL</t>
        </is>
      </c>
      <c r="I1035" s="0" t="inlineStr">
        <is>
          <t>NULL</t>
        </is>
      </c>
      <c r="J1035" s="0" t="inlineStr">
        <is>
          <t>NULL</t>
        </is>
      </c>
      <c r="K1035" s="0" t="inlineStr">
        <is>
          <t>YES! 	 c_uniqueidentifier列源备映射正确，源端为uniqueidentifier None位	期望更改为uniqueidentifier	实际备端为uniqueidentifier None位</t>
        </is>
      </c>
    </row>
    <row r="1036">
      <c r="A1036" s="0" t="inlineStr">
        <is>
          <t>info_datetime2_dml_batch1_pk_urp1</t>
        </is>
      </c>
      <c r="K1036" s="0" t="inlineStr">
        <is>
          <t>[0;34m info_datetime2_dml_batch1_pk_urp1 [0m源备字段数相同，源端字段：9 	备端字段9</t>
        </is>
      </c>
      <c r="W1036" s="0" t="inlineStr">
        <is>
          <t>YES 源备无差异</t>
        </is>
      </c>
      <c r="X1036" s="0">
        <f>A1036</f>
        <v/>
      </c>
    </row>
    <row r="1037">
      <c r="B1037" s="0" t="inlineStr">
        <is>
          <t>YES</t>
        </is>
      </c>
      <c r="C1037" s="0" t="inlineStr">
        <is>
          <t>NULL</t>
        </is>
      </c>
      <c r="D1037" s="0" t="inlineStr">
        <is>
          <t>NULL</t>
        </is>
      </c>
      <c r="E1037" s="0" t="inlineStr">
        <is>
          <t>NULL</t>
        </is>
      </c>
      <c r="F1037" s="0" t="inlineStr">
        <is>
          <t>NULL</t>
        </is>
      </c>
      <c r="G1037" s="0" t="inlineStr">
        <is>
          <t>NULL</t>
        </is>
      </c>
      <c r="H1037" s="0" t="inlineStr">
        <is>
          <t>NULL</t>
        </is>
      </c>
      <c r="I1037" s="0" t="inlineStr">
        <is>
          <t>YES!PK__info_dat__3213E83F0F515F5B</t>
        </is>
      </c>
      <c r="J1037" s="0" t="inlineStr">
        <is>
          <t>YES! 主键相关索引</t>
        </is>
      </c>
      <c r="K1037" s="0" t="inlineStr">
        <is>
          <t>YES! 	 id列源备映射正确，源端为int None位	期望更改为int	实际备端为int None位</t>
        </is>
      </c>
    </row>
    <row r="1038">
      <c r="B1038" s="0" t="inlineStr">
        <is>
          <t>NULL</t>
        </is>
      </c>
      <c r="C1038" s="0" t="inlineStr">
        <is>
          <t>NULL</t>
        </is>
      </c>
      <c r="D1038" s="0" t="inlineStr">
        <is>
          <t>NULL</t>
        </is>
      </c>
      <c r="E1038" s="0" t="inlineStr">
        <is>
          <t>NULL</t>
        </is>
      </c>
      <c r="F1038" s="0" t="inlineStr">
        <is>
          <t>NULL</t>
        </is>
      </c>
      <c r="G1038" s="0" t="inlineStr">
        <is>
          <t>NULL</t>
        </is>
      </c>
      <c r="H1038" s="0" t="inlineStr">
        <is>
          <t>NULL</t>
        </is>
      </c>
      <c r="I1038" s="0" t="inlineStr">
        <is>
          <t>NULL</t>
        </is>
      </c>
      <c r="J1038" s="0" t="inlineStr">
        <is>
          <t>NULL</t>
        </is>
      </c>
      <c r="K1038" s="0" t="inlineStr">
        <is>
          <t>no,len不存在</t>
        </is>
      </c>
    </row>
    <row r="1039">
      <c r="B1039" s="0" t="inlineStr">
        <is>
          <t>NULL</t>
        </is>
      </c>
      <c r="C1039" s="0" t="inlineStr">
        <is>
          <t>NULL</t>
        </is>
      </c>
      <c r="D1039" s="0" t="inlineStr">
        <is>
          <t>NULL</t>
        </is>
      </c>
      <c r="E1039" s="0" t="inlineStr">
        <is>
          <t>NULL</t>
        </is>
      </c>
      <c r="F1039" s="0" t="inlineStr">
        <is>
          <t>NULL</t>
        </is>
      </c>
      <c r="G1039" s="0" t="inlineStr">
        <is>
          <t>NULL</t>
        </is>
      </c>
      <c r="H1039" s="0" t="inlineStr">
        <is>
          <t>NULL</t>
        </is>
      </c>
      <c r="I1039" s="0" t="inlineStr">
        <is>
          <t>NULL</t>
        </is>
      </c>
      <c r="J1039" s="0" t="inlineStr">
        <is>
          <t>NULL</t>
        </is>
      </c>
      <c r="K1039" s="0" t="inlineStr">
        <is>
          <t>YES! 	 c_dt2_1列源备映射正确，源端为datetime2 None位	期望更改为datetime2(n)	实际备端为datetime2 None位</t>
        </is>
      </c>
    </row>
    <row r="1040">
      <c r="B1040" s="0" t="inlineStr">
        <is>
          <t>NULL</t>
        </is>
      </c>
      <c r="C1040" s="0" t="inlineStr">
        <is>
          <t>NULL</t>
        </is>
      </c>
      <c r="D1040" s="0" t="inlineStr">
        <is>
          <t>NULL</t>
        </is>
      </c>
      <c r="E1040" s="0" t="inlineStr">
        <is>
          <t>NULL</t>
        </is>
      </c>
      <c r="F1040" s="0" t="inlineStr">
        <is>
          <t>NULL</t>
        </is>
      </c>
      <c r="G1040" s="0" t="inlineStr">
        <is>
          <t>NULL</t>
        </is>
      </c>
      <c r="H1040" s="0" t="inlineStr">
        <is>
          <t>NULL</t>
        </is>
      </c>
      <c r="I1040" s="0" t="inlineStr">
        <is>
          <t>NULL</t>
        </is>
      </c>
      <c r="J1040" s="0" t="inlineStr">
        <is>
          <t>NULL</t>
        </is>
      </c>
      <c r="K1040" s="0" t="inlineStr">
        <is>
          <t>YES! 	 c_dt2_2列源备映射正确，源端为datetime2 None位	期望更改为datetime2(n)	实际备端为datetime2 None位</t>
        </is>
      </c>
    </row>
    <row r="1041">
      <c r="B1041" s="0" t="inlineStr">
        <is>
          <t>NULL</t>
        </is>
      </c>
      <c r="C1041" s="0" t="inlineStr">
        <is>
          <t>NULL</t>
        </is>
      </c>
      <c r="D1041" s="0" t="inlineStr">
        <is>
          <t>NULL</t>
        </is>
      </c>
      <c r="E1041" s="0" t="inlineStr">
        <is>
          <t>NULL</t>
        </is>
      </c>
      <c r="F1041" s="0" t="inlineStr">
        <is>
          <t>NULL</t>
        </is>
      </c>
      <c r="G1041" s="0" t="inlineStr">
        <is>
          <t>NULL</t>
        </is>
      </c>
      <c r="H1041" s="0" t="inlineStr">
        <is>
          <t>NULL</t>
        </is>
      </c>
      <c r="I1041" s="0" t="inlineStr">
        <is>
          <t>NULL</t>
        </is>
      </c>
      <c r="J1041" s="0" t="inlineStr">
        <is>
          <t>NULL</t>
        </is>
      </c>
      <c r="K1041" s="0" t="inlineStr">
        <is>
          <t>YES! 	 c_dt2_3列源备映射正确，源端为datetime2 None位	期望更改为datetime2(n)	实际备端为datetime2 None位</t>
        </is>
      </c>
    </row>
    <row r="1042">
      <c r="B1042" s="0" t="inlineStr">
        <is>
          <t>NULL</t>
        </is>
      </c>
      <c r="C1042" s="0" t="inlineStr">
        <is>
          <t>NULL</t>
        </is>
      </c>
      <c r="D1042" s="0" t="inlineStr">
        <is>
          <t>NULL</t>
        </is>
      </c>
      <c r="E1042" s="0" t="inlineStr">
        <is>
          <t>NULL</t>
        </is>
      </c>
      <c r="F1042" s="0" t="inlineStr">
        <is>
          <t>NULL</t>
        </is>
      </c>
      <c r="G1042" s="0" t="inlineStr">
        <is>
          <t>NULL</t>
        </is>
      </c>
      <c r="H1042" s="0" t="inlineStr">
        <is>
          <t>NULL</t>
        </is>
      </c>
      <c r="I1042" s="0" t="inlineStr">
        <is>
          <t>NULL</t>
        </is>
      </c>
      <c r="J1042" s="0" t="inlineStr">
        <is>
          <t>NULL</t>
        </is>
      </c>
      <c r="K1042" s="0" t="inlineStr">
        <is>
          <t>YES! 	 c_dt2_4列源备映射正确，源端为datetime2 None位	期望更改为datetime2(n)	实际备端为datetime2 None位</t>
        </is>
      </c>
    </row>
    <row r="1043">
      <c r="B1043" s="0" t="inlineStr">
        <is>
          <t>NULL</t>
        </is>
      </c>
      <c r="C1043" s="0" t="inlineStr">
        <is>
          <t>NULL</t>
        </is>
      </c>
      <c r="D1043" s="0" t="inlineStr">
        <is>
          <t>NULL</t>
        </is>
      </c>
      <c r="E1043" s="0" t="inlineStr">
        <is>
          <t>NULL</t>
        </is>
      </c>
      <c r="F1043" s="0" t="inlineStr">
        <is>
          <t>NULL</t>
        </is>
      </c>
      <c r="G1043" s="0" t="inlineStr">
        <is>
          <t>NULL</t>
        </is>
      </c>
      <c r="H1043" s="0" t="inlineStr">
        <is>
          <t>NULL</t>
        </is>
      </c>
      <c r="I1043" s="0" t="inlineStr">
        <is>
          <t>NULL</t>
        </is>
      </c>
      <c r="J1043" s="0" t="inlineStr">
        <is>
          <t>NULL</t>
        </is>
      </c>
      <c r="K1043" s="0" t="inlineStr">
        <is>
          <t>YES! 	 c_dt2_5列源备映射正确，源端为datetime2 None位	期望更改为datetime2(n)	实际备端为datetime2 None位</t>
        </is>
      </c>
    </row>
    <row r="1044">
      <c r="B1044" s="0" t="inlineStr">
        <is>
          <t>NULL</t>
        </is>
      </c>
      <c r="C1044" s="0" t="inlineStr">
        <is>
          <t>NULL</t>
        </is>
      </c>
      <c r="D1044" s="0" t="inlineStr">
        <is>
          <t>NULL</t>
        </is>
      </c>
      <c r="E1044" s="0" t="inlineStr">
        <is>
          <t>NULL</t>
        </is>
      </c>
      <c r="F1044" s="0" t="inlineStr">
        <is>
          <t>NULL</t>
        </is>
      </c>
      <c r="G1044" s="0" t="inlineStr">
        <is>
          <t>NULL</t>
        </is>
      </c>
      <c r="H1044" s="0" t="inlineStr">
        <is>
          <t>NULL</t>
        </is>
      </c>
      <c r="I1044" s="0" t="inlineStr">
        <is>
          <t>NULL</t>
        </is>
      </c>
      <c r="J1044" s="0" t="inlineStr">
        <is>
          <t>NULL</t>
        </is>
      </c>
      <c r="K1044" s="0" t="inlineStr">
        <is>
          <t>YES! 	 c_dt2_6列源备映射正确，源端为datetime2 None位	期望更改为datetime2(n)	实际备端为datetime2 None位</t>
        </is>
      </c>
    </row>
    <row r="1045">
      <c r="B1045" s="0" t="inlineStr">
        <is>
          <t>NULL</t>
        </is>
      </c>
      <c r="C1045" s="0" t="inlineStr">
        <is>
          <t>NULL</t>
        </is>
      </c>
      <c r="D1045" s="0" t="inlineStr">
        <is>
          <t>NULL</t>
        </is>
      </c>
      <c r="E1045" s="0" t="inlineStr">
        <is>
          <t>NULL</t>
        </is>
      </c>
      <c r="F1045" s="0" t="inlineStr">
        <is>
          <t>NULL</t>
        </is>
      </c>
      <c r="G1045" s="0" t="inlineStr">
        <is>
          <t>NULL</t>
        </is>
      </c>
      <c r="H1045" s="0" t="inlineStr">
        <is>
          <t>NULL</t>
        </is>
      </c>
      <c r="I1045" s="0" t="inlineStr">
        <is>
          <t>NULL</t>
        </is>
      </c>
      <c r="J1045" s="0" t="inlineStr">
        <is>
          <t>NULL</t>
        </is>
      </c>
      <c r="K1045" s="0" t="inlineStr">
        <is>
          <t>YES! 	 c_dt2列源备映射正确，源端为datetime2 None位	期望更改为datetime2(n)	实际备端为datetime2 None位</t>
        </is>
      </c>
    </row>
    <row r="1046">
      <c r="A1046" s="0" t="inlineStr">
        <is>
          <t>info_sdt_dml_single_pk_urp</t>
        </is>
      </c>
      <c r="K1046" s="0" t="inlineStr">
        <is>
          <t>[0;34m info_sdt_dml_single_pk_urp [0m源备字段数相同，源端字段：2 	备端字段2</t>
        </is>
      </c>
      <c r="W1046" s="0" t="inlineStr">
        <is>
          <t>YES 源备无差异</t>
        </is>
      </c>
      <c r="X1046" s="0">
        <f>A1046</f>
        <v/>
      </c>
    </row>
    <row r="1047">
      <c r="B1047" s="0" t="inlineStr">
        <is>
          <t>YES</t>
        </is>
      </c>
      <c r="C1047" s="0" t="inlineStr">
        <is>
          <t>NULL</t>
        </is>
      </c>
      <c r="D1047" s="0" t="inlineStr">
        <is>
          <t>NULL</t>
        </is>
      </c>
      <c r="E1047" s="0" t="inlineStr">
        <is>
          <t>NULL</t>
        </is>
      </c>
      <c r="F1047" s="0" t="inlineStr">
        <is>
          <t>NULL</t>
        </is>
      </c>
      <c r="G1047" s="0" t="inlineStr">
        <is>
          <t>NULL</t>
        </is>
      </c>
      <c r="H1047" s="0" t="inlineStr">
        <is>
          <t>NULL</t>
        </is>
      </c>
      <c r="I1047" s="0" t="inlineStr">
        <is>
          <t>YES!PK__info_sdt__3213E83F06D79574</t>
        </is>
      </c>
      <c r="J1047" s="0" t="inlineStr">
        <is>
          <t>YES! 主键相关索引</t>
        </is>
      </c>
      <c r="K1047" s="0" t="inlineStr">
        <is>
          <t>YES! 	 id列源备映射正确，源端为int None位	期望更改为int	实际备端为int None位</t>
        </is>
      </c>
    </row>
    <row r="1048">
      <c r="B1048" s="0" t="inlineStr">
        <is>
          <t>NULL</t>
        </is>
      </c>
      <c r="C1048" s="0" t="inlineStr">
        <is>
          <t>NULL</t>
        </is>
      </c>
      <c r="D1048" s="0" t="inlineStr">
        <is>
          <t>NULL</t>
        </is>
      </c>
      <c r="E1048" s="0" t="inlineStr">
        <is>
          <t>NULL</t>
        </is>
      </c>
      <c r="F1048" s="0" t="inlineStr">
        <is>
          <t>NULL</t>
        </is>
      </c>
      <c r="G1048" s="0" t="inlineStr">
        <is>
          <t>NULL</t>
        </is>
      </c>
      <c r="H1048" s="0" t="inlineStr">
        <is>
          <t>NULL</t>
        </is>
      </c>
      <c r="I1048" s="0" t="inlineStr">
        <is>
          <t>NULL</t>
        </is>
      </c>
      <c r="J1048" s="0" t="inlineStr">
        <is>
          <t>NULL</t>
        </is>
      </c>
      <c r="K1048" s="0" t="inlineStr">
        <is>
          <t>YES! 	 c_sdt列源备映射正确，源端为smalldatetime None位	期望更改为smalldatetime	实际备端为smalldatetime None位</t>
        </is>
      </c>
    </row>
    <row r="1049">
      <c r="A1049" s="0" t="inlineStr">
        <is>
          <t>info_nchar_dml_batch1_pk</t>
        </is>
      </c>
      <c r="K1049" s="0" t="inlineStr">
        <is>
          <t>[0;34m info_nchar_dml_batch1_pk [0m源备字段数相同，源端字段：4 	备端字段4</t>
        </is>
      </c>
      <c r="W1049" s="0" t="inlineStr">
        <is>
          <t>YES 源备无差异</t>
        </is>
      </c>
      <c r="X1049" s="0">
        <f>A1049</f>
        <v/>
      </c>
    </row>
    <row r="1050">
      <c r="B1050" s="0" t="inlineStr">
        <is>
          <t>YES</t>
        </is>
      </c>
      <c r="C1050" s="0" t="inlineStr">
        <is>
          <t>NULL</t>
        </is>
      </c>
      <c r="D1050" s="0" t="inlineStr">
        <is>
          <t>NULL</t>
        </is>
      </c>
      <c r="E1050" s="0" t="inlineStr">
        <is>
          <t>NULL</t>
        </is>
      </c>
      <c r="F1050" s="0" t="inlineStr">
        <is>
          <t>NULL</t>
        </is>
      </c>
      <c r="G1050" s="0" t="inlineStr">
        <is>
          <t>NULL</t>
        </is>
      </c>
      <c r="H1050" s="0" t="inlineStr">
        <is>
          <t>NULL</t>
        </is>
      </c>
      <c r="I1050" s="0" t="inlineStr">
        <is>
          <t>YES!PK__info_nch__3213E83F565E5991</t>
        </is>
      </c>
      <c r="J1050" s="0" t="inlineStr">
        <is>
          <t>YES! 主键相关索引</t>
        </is>
      </c>
      <c r="K1050" s="0" t="inlineStr">
        <is>
          <t>YES! 	 id列源备映射正确，源端为int None位	期望更改为int	实际备端为int None位</t>
        </is>
      </c>
    </row>
    <row r="1051">
      <c r="B1051" s="0" t="inlineStr">
        <is>
          <t>NULL</t>
        </is>
      </c>
      <c r="C1051" s="0" t="inlineStr">
        <is>
          <t>NULL</t>
        </is>
      </c>
      <c r="D1051" s="0" t="inlineStr">
        <is>
          <t>NULL</t>
        </is>
      </c>
      <c r="E1051" s="0" t="inlineStr">
        <is>
          <t>NULL</t>
        </is>
      </c>
      <c r="F1051" s="0" t="inlineStr">
        <is>
          <t>NULL</t>
        </is>
      </c>
      <c r="G1051" s="0" t="inlineStr">
        <is>
          <t>NULL</t>
        </is>
      </c>
      <c r="H1051" s="0" t="inlineStr">
        <is>
          <t>NULL</t>
        </is>
      </c>
      <c r="I1051" s="0" t="inlineStr">
        <is>
          <t>NULL</t>
        </is>
      </c>
      <c r="J1051" s="0" t="inlineStr">
        <is>
          <t>NULL</t>
        </is>
      </c>
      <c r="K1051" s="0" t="inlineStr">
        <is>
          <t>YES! 	 c_nchar列源备映射正确，源端为nchar 2位	期望更改为nchar(n)	实际备端为nchar 2位</t>
        </is>
      </c>
    </row>
    <row r="1052">
      <c r="B1052" s="0" t="inlineStr">
        <is>
          <t>NULL</t>
        </is>
      </c>
      <c r="C1052" s="0" t="inlineStr">
        <is>
          <t>NULL</t>
        </is>
      </c>
      <c r="D1052" s="0" t="inlineStr">
        <is>
          <t>NULL</t>
        </is>
      </c>
      <c r="E1052" s="0" t="inlineStr">
        <is>
          <t>NULL</t>
        </is>
      </c>
      <c r="F1052" s="0" t="inlineStr">
        <is>
          <t>NULL</t>
        </is>
      </c>
      <c r="G1052" s="0" t="inlineStr">
        <is>
          <t>NULL</t>
        </is>
      </c>
      <c r="H1052" s="0" t="inlineStr">
        <is>
          <t>NULL</t>
        </is>
      </c>
      <c r="I1052" s="0" t="inlineStr">
        <is>
          <t>NULL</t>
        </is>
      </c>
      <c r="J1052" s="0" t="inlineStr">
        <is>
          <t>NULL</t>
        </is>
      </c>
      <c r="K1052" s="0" t="inlineStr">
        <is>
          <t>YES! 	 c_nchar20列源备映射正确，源端为nchar 40位	期望更改为nchar(n)	实际备端为nchar 40位</t>
        </is>
      </c>
    </row>
    <row r="1053">
      <c r="B1053" s="0" t="inlineStr">
        <is>
          <t>NULL</t>
        </is>
      </c>
      <c r="C1053" s="0" t="inlineStr">
        <is>
          <t>NULL</t>
        </is>
      </c>
      <c r="D1053" s="0" t="inlineStr">
        <is>
          <t>NULL</t>
        </is>
      </c>
      <c r="E1053" s="0" t="inlineStr">
        <is>
          <t>NULL</t>
        </is>
      </c>
      <c r="F1053" s="0" t="inlineStr">
        <is>
          <t>NULL</t>
        </is>
      </c>
      <c r="G1053" s="0" t="inlineStr">
        <is>
          <t>NULL</t>
        </is>
      </c>
      <c r="H1053" s="0" t="inlineStr">
        <is>
          <t>NULL</t>
        </is>
      </c>
      <c r="I1053" s="0" t="inlineStr">
        <is>
          <t>NULL</t>
        </is>
      </c>
      <c r="J1053" s="0" t="inlineStr">
        <is>
          <t>NULL</t>
        </is>
      </c>
      <c r="K1053" s="0" t="inlineStr">
        <is>
          <t>YES! 	 c_nchar3500列源备映射正确，源端为nchar 7000位	期望更改为nchar(n)	实际备端为nchar 7000位</t>
        </is>
      </c>
    </row>
    <row r="1054">
      <c r="A1054" s="0" t="inlineStr">
        <is>
          <t>info_datetime2_dml_batch1_pk_urp2</t>
        </is>
      </c>
      <c r="K1054" s="0" t="inlineStr">
        <is>
          <t>[0;34m info_datetime2_dml_batch1_pk_urp2 [0m源备字段数相同，源端字段：9 	备端字段9</t>
        </is>
      </c>
      <c r="W1054" s="0" t="inlineStr">
        <is>
          <t>YES 源备无差异</t>
        </is>
      </c>
      <c r="X1054" s="0">
        <f>A1054</f>
        <v/>
      </c>
    </row>
    <row r="1055">
      <c r="B1055" s="0" t="inlineStr">
        <is>
          <t>YES</t>
        </is>
      </c>
      <c r="C1055" s="0" t="inlineStr">
        <is>
          <t>NULL</t>
        </is>
      </c>
      <c r="D1055" s="0" t="inlineStr">
        <is>
          <t>NULL</t>
        </is>
      </c>
      <c r="E1055" s="0" t="inlineStr">
        <is>
          <t>NULL</t>
        </is>
      </c>
      <c r="F1055" s="0" t="inlineStr">
        <is>
          <t>NULL</t>
        </is>
      </c>
      <c r="G1055" s="0" t="inlineStr">
        <is>
          <t>NULL</t>
        </is>
      </c>
      <c r="H1055" s="0" t="inlineStr">
        <is>
          <t>NULL</t>
        </is>
      </c>
      <c r="I1055" s="0" t="inlineStr">
        <is>
          <t>YES!PK__info_dat__3213E83FB73D9BC9</t>
        </is>
      </c>
      <c r="J1055" s="0" t="inlineStr">
        <is>
          <t>YES! 主键相关索引</t>
        </is>
      </c>
      <c r="K1055" s="0" t="inlineStr">
        <is>
          <t>YES! 	 id列源备映射正确，源端为int None位	期望更改为int	实际备端为int None位</t>
        </is>
      </c>
    </row>
    <row r="1056">
      <c r="B1056" s="0" t="inlineStr">
        <is>
          <t>NULL</t>
        </is>
      </c>
      <c r="C1056" s="0" t="inlineStr">
        <is>
          <t>NULL</t>
        </is>
      </c>
      <c r="D1056" s="0" t="inlineStr">
        <is>
          <t>NULL</t>
        </is>
      </c>
      <c r="E1056" s="0" t="inlineStr">
        <is>
          <t>NULL</t>
        </is>
      </c>
      <c r="F1056" s="0" t="inlineStr">
        <is>
          <t>NULL</t>
        </is>
      </c>
      <c r="G1056" s="0" t="inlineStr">
        <is>
          <t>NULL</t>
        </is>
      </c>
      <c r="H1056" s="0" t="inlineStr">
        <is>
          <t>NULL</t>
        </is>
      </c>
      <c r="I1056" s="0" t="inlineStr">
        <is>
          <t>NULL</t>
        </is>
      </c>
      <c r="J1056" s="0" t="inlineStr">
        <is>
          <t>NULL</t>
        </is>
      </c>
      <c r="K1056" s="0" t="inlineStr">
        <is>
          <t>no,len不存在</t>
        </is>
      </c>
    </row>
    <row r="1057">
      <c r="B1057" s="0" t="inlineStr">
        <is>
          <t>NULL</t>
        </is>
      </c>
      <c r="C1057" s="0" t="inlineStr">
        <is>
          <t>NULL</t>
        </is>
      </c>
      <c r="D1057" s="0" t="inlineStr">
        <is>
          <t>NULL</t>
        </is>
      </c>
      <c r="E1057" s="0" t="inlineStr">
        <is>
          <t>NULL</t>
        </is>
      </c>
      <c r="F1057" s="0" t="inlineStr">
        <is>
          <t>NULL</t>
        </is>
      </c>
      <c r="G1057" s="0" t="inlineStr">
        <is>
          <t>NULL</t>
        </is>
      </c>
      <c r="H1057" s="0" t="inlineStr">
        <is>
          <t>NULL</t>
        </is>
      </c>
      <c r="I1057" s="0" t="inlineStr">
        <is>
          <t>NULL</t>
        </is>
      </c>
      <c r="J1057" s="0" t="inlineStr">
        <is>
          <t>NULL</t>
        </is>
      </c>
      <c r="K1057" s="0" t="inlineStr">
        <is>
          <t>YES! 	 c_dt2_1列源备映射正确，源端为datetime2 None位	期望更改为datetime2(n)	实际备端为datetime2 None位</t>
        </is>
      </c>
    </row>
    <row r="1058">
      <c r="B1058" s="0" t="inlineStr">
        <is>
          <t>NULL</t>
        </is>
      </c>
      <c r="C1058" s="0" t="inlineStr">
        <is>
          <t>NULL</t>
        </is>
      </c>
      <c r="D1058" s="0" t="inlineStr">
        <is>
          <t>NULL</t>
        </is>
      </c>
      <c r="E1058" s="0" t="inlineStr">
        <is>
          <t>NULL</t>
        </is>
      </c>
      <c r="F1058" s="0" t="inlineStr">
        <is>
          <t>NULL</t>
        </is>
      </c>
      <c r="G1058" s="0" t="inlineStr">
        <is>
          <t>NULL</t>
        </is>
      </c>
      <c r="H1058" s="0" t="inlineStr">
        <is>
          <t>NULL</t>
        </is>
      </c>
      <c r="I1058" s="0" t="inlineStr">
        <is>
          <t>NULL</t>
        </is>
      </c>
      <c r="J1058" s="0" t="inlineStr">
        <is>
          <t>NULL</t>
        </is>
      </c>
      <c r="K1058" s="0" t="inlineStr">
        <is>
          <t>YES! 	 c_dt2_2列源备映射正确，源端为datetime2 None位	期望更改为datetime2(n)	实际备端为datetime2 None位</t>
        </is>
      </c>
    </row>
    <row r="1059">
      <c r="B1059" s="0" t="inlineStr">
        <is>
          <t>NULL</t>
        </is>
      </c>
      <c r="C1059" s="0" t="inlineStr">
        <is>
          <t>NULL</t>
        </is>
      </c>
      <c r="D1059" s="0" t="inlineStr">
        <is>
          <t>NULL</t>
        </is>
      </c>
      <c r="E1059" s="0" t="inlineStr">
        <is>
          <t>NULL</t>
        </is>
      </c>
      <c r="F1059" s="0" t="inlineStr">
        <is>
          <t>NULL</t>
        </is>
      </c>
      <c r="G1059" s="0" t="inlineStr">
        <is>
          <t>NULL</t>
        </is>
      </c>
      <c r="H1059" s="0" t="inlineStr">
        <is>
          <t>NULL</t>
        </is>
      </c>
      <c r="I1059" s="0" t="inlineStr">
        <is>
          <t>NULL</t>
        </is>
      </c>
      <c r="J1059" s="0" t="inlineStr">
        <is>
          <t>NULL</t>
        </is>
      </c>
      <c r="K1059" s="0" t="inlineStr">
        <is>
          <t>YES! 	 c_dt2_3列源备映射正确，源端为datetime2 None位	期望更改为datetime2(n)	实际备端为datetime2 None位</t>
        </is>
      </c>
    </row>
    <row r="1060">
      <c r="B1060" s="0" t="inlineStr">
        <is>
          <t>NULL</t>
        </is>
      </c>
      <c r="C1060" s="0" t="inlineStr">
        <is>
          <t>NULL</t>
        </is>
      </c>
      <c r="D1060" s="0" t="inlineStr">
        <is>
          <t>NULL</t>
        </is>
      </c>
      <c r="E1060" s="0" t="inlineStr">
        <is>
          <t>NULL</t>
        </is>
      </c>
      <c r="F1060" s="0" t="inlineStr">
        <is>
          <t>NULL</t>
        </is>
      </c>
      <c r="G1060" s="0" t="inlineStr">
        <is>
          <t>NULL</t>
        </is>
      </c>
      <c r="H1060" s="0" t="inlineStr">
        <is>
          <t>NULL</t>
        </is>
      </c>
      <c r="I1060" s="0" t="inlineStr">
        <is>
          <t>NULL</t>
        </is>
      </c>
      <c r="J1060" s="0" t="inlineStr">
        <is>
          <t>NULL</t>
        </is>
      </c>
      <c r="K1060" s="0" t="inlineStr">
        <is>
          <t>YES! 	 c_dt2_4列源备映射正确，源端为datetime2 None位	期望更改为datetime2(n)	实际备端为datetime2 None位</t>
        </is>
      </c>
    </row>
    <row r="1061">
      <c r="B1061" s="0" t="inlineStr">
        <is>
          <t>NULL</t>
        </is>
      </c>
      <c r="C1061" s="0" t="inlineStr">
        <is>
          <t>NULL</t>
        </is>
      </c>
      <c r="D1061" s="0" t="inlineStr">
        <is>
          <t>NULL</t>
        </is>
      </c>
      <c r="E1061" s="0" t="inlineStr">
        <is>
          <t>NULL</t>
        </is>
      </c>
      <c r="F1061" s="0" t="inlineStr">
        <is>
          <t>NULL</t>
        </is>
      </c>
      <c r="G1061" s="0" t="inlineStr">
        <is>
          <t>NULL</t>
        </is>
      </c>
      <c r="H1061" s="0" t="inlineStr">
        <is>
          <t>NULL</t>
        </is>
      </c>
      <c r="I1061" s="0" t="inlineStr">
        <is>
          <t>NULL</t>
        </is>
      </c>
      <c r="J1061" s="0" t="inlineStr">
        <is>
          <t>NULL</t>
        </is>
      </c>
      <c r="K1061" s="0" t="inlineStr">
        <is>
          <t>YES! 	 c_dt2_5列源备映射正确，源端为datetime2 None位	期望更改为datetime2(n)	实际备端为datetime2 None位</t>
        </is>
      </c>
    </row>
    <row r="1062">
      <c r="B1062" s="0" t="inlineStr">
        <is>
          <t>NULL</t>
        </is>
      </c>
      <c r="C1062" s="0" t="inlineStr">
        <is>
          <t>NULL</t>
        </is>
      </c>
      <c r="D1062" s="0" t="inlineStr">
        <is>
          <t>NULL</t>
        </is>
      </c>
      <c r="E1062" s="0" t="inlineStr">
        <is>
          <t>NULL</t>
        </is>
      </c>
      <c r="F1062" s="0" t="inlineStr">
        <is>
          <t>NULL</t>
        </is>
      </c>
      <c r="G1062" s="0" t="inlineStr">
        <is>
          <t>NULL</t>
        </is>
      </c>
      <c r="H1062" s="0" t="inlineStr">
        <is>
          <t>NULL</t>
        </is>
      </c>
      <c r="I1062" s="0" t="inlineStr">
        <is>
          <t>NULL</t>
        </is>
      </c>
      <c r="J1062" s="0" t="inlineStr">
        <is>
          <t>NULL</t>
        </is>
      </c>
      <c r="K1062" s="0" t="inlineStr">
        <is>
          <t>YES! 	 c_dt2_6列源备映射正确，源端为datetime2 None位	期望更改为datetime2(n)	实际备端为datetime2 None位</t>
        </is>
      </c>
    </row>
    <row r="1063">
      <c r="B1063" s="0" t="inlineStr">
        <is>
          <t>NULL</t>
        </is>
      </c>
      <c r="C1063" s="0" t="inlineStr">
        <is>
          <t>NULL</t>
        </is>
      </c>
      <c r="D1063" s="0" t="inlineStr">
        <is>
          <t>NULL</t>
        </is>
      </c>
      <c r="E1063" s="0" t="inlineStr">
        <is>
          <t>NULL</t>
        </is>
      </c>
      <c r="F1063" s="0" t="inlineStr">
        <is>
          <t>NULL</t>
        </is>
      </c>
      <c r="G1063" s="0" t="inlineStr">
        <is>
          <t>NULL</t>
        </is>
      </c>
      <c r="H1063" s="0" t="inlineStr">
        <is>
          <t>NULL</t>
        </is>
      </c>
      <c r="I1063" s="0" t="inlineStr">
        <is>
          <t>NULL</t>
        </is>
      </c>
      <c r="J1063" s="0" t="inlineStr">
        <is>
          <t>NULL</t>
        </is>
      </c>
      <c r="K1063" s="0" t="inlineStr">
        <is>
          <t>YES! 	 c_dt2列源备映射正确，源端为datetime2 None位	期望更改为datetime2(n)	实际备端为datetime2 None位</t>
        </is>
      </c>
    </row>
    <row r="1064">
      <c r="A1064" s="0" t="inlineStr">
        <is>
          <t>info_nvarchar_dml_batch1_pk_irp2</t>
        </is>
      </c>
      <c r="K1064" s="0" t="inlineStr">
        <is>
          <t>[0;34m info_nvarchar_dml_batch1_pk_irp2 [0m源备字段数相同，源端字段：4 	备端字段4</t>
        </is>
      </c>
      <c r="W1064" s="0" t="inlineStr">
        <is>
          <t>YES 源备无差异</t>
        </is>
      </c>
      <c r="X1064" s="0">
        <f>A1064</f>
        <v/>
      </c>
    </row>
    <row r="1065">
      <c r="B1065" s="0" t="inlineStr">
        <is>
          <t>YES</t>
        </is>
      </c>
      <c r="C1065" s="0" t="inlineStr">
        <is>
          <t>NULL</t>
        </is>
      </c>
      <c r="D1065" s="0" t="inlineStr">
        <is>
          <t>NULL</t>
        </is>
      </c>
      <c r="E1065" s="0" t="inlineStr">
        <is>
          <t>NULL</t>
        </is>
      </c>
      <c r="F1065" s="0" t="inlineStr">
        <is>
          <t>NULL</t>
        </is>
      </c>
      <c r="G1065" s="0" t="inlineStr">
        <is>
          <t>NULL</t>
        </is>
      </c>
      <c r="H1065" s="0" t="inlineStr">
        <is>
          <t>NULL</t>
        </is>
      </c>
      <c r="I1065" s="0" t="inlineStr">
        <is>
          <t>YES!PK__info_nva__3213E83FF8A54FF1</t>
        </is>
      </c>
      <c r="J1065" s="0" t="inlineStr">
        <is>
          <t>YES! 主键相关索引</t>
        </is>
      </c>
      <c r="K1065" s="0" t="inlineStr">
        <is>
          <t>YES! 	 id列源备映射正确，源端为int None位	期望更改为int	实际备端为int None位</t>
        </is>
      </c>
    </row>
    <row r="1066">
      <c r="B1066" s="0" t="inlineStr">
        <is>
          <t>NULL</t>
        </is>
      </c>
      <c r="C1066" s="0" t="inlineStr">
        <is>
          <t>NULL</t>
        </is>
      </c>
      <c r="D1066" s="0" t="inlineStr">
        <is>
          <t>NULL</t>
        </is>
      </c>
      <c r="E1066" s="0" t="inlineStr">
        <is>
          <t>NULL</t>
        </is>
      </c>
      <c r="F1066" s="0" t="inlineStr">
        <is>
          <t>NULL</t>
        </is>
      </c>
      <c r="G1066" s="0" t="inlineStr">
        <is>
          <t>NULL</t>
        </is>
      </c>
      <c r="H1066" s="0" t="inlineStr">
        <is>
          <t>NULL</t>
        </is>
      </c>
      <c r="I1066" s="0" t="inlineStr">
        <is>
          <t>NULL</t>
        </is>
      </c>
      <c r="J1066" s="0" t="inlineStr">
        <is>
          <t>NULL</t>
        </is>
      </c>
      <c r="K1066" s="0" t="inlineStr">
        <is>
          <t>YES! 	 c_nvarchar列源备映射正确，源端为nvarchar 2位	期望更改为nvarchar(n)	实际备端为nvarchar 2位</t>
        </is>
      </c>
    </row>
    <row r="1067">
      <c r="B1067" s="0" t="inlineStr">
        <is>
          <t>NULL</t>
        </is>
      </c>
      <c r="C1067" s="0" t="inlineStr">
        <is>
          <t>NULL</t>
        </is>
      </c>
      <c r="D1067" s="0" t="inlineStr">
        <is>
          <t>NULL</t>
        </is>
      </c>
      <c r="E1067" s="0" t="inlineStr">
        <is>
          <t>NULL</t>
        </is>
      </c>
      <c r="F1067" s="0" t="inlineStr">
        <is>
          <t>NULL</t>
        </is>
      </c>
      <c r="G1067" s="0" t="inlineStr">
        <is>
          <t>NULL</t>
        </is>
      </c>
      <c r="H1067" s="0" t="inlineStr">
        <is>
          <t>NULL</t>
        </is>
      </c>
      <c r="I1067" s="0" t="inlineStr">
        <is>
          <t>NULL</t>
        </is>
      </c>
      <c r="J1067" s="0" t="inlineStr">
        <is>
          <t>NULL</t>
        </is>
      </c>
      <c r="K1067" s="0" t="inlineStr">
        <is>
          <t>YES! 	 c_nvarchar20列源备映射正确，源端为nvarchar 40位	期望更改为nvarchar(n)	实际备端为nvarchar 40位</t>
        </is>
      </c>
    </row>
    <row r="1068">
      <c r="B1068" s="0" t="inlineStr">
        <is>
          <t>NULL</t>
        </is>
      </c>
      <c r="C1068" s="0" t="inlineStr">
        <is>
          <t>NULL</t>
        </is>
      </c>
      <c r="D1068" s="0" t="inlineStr">
        <is>
          <t>NULL</t>
        </is>
      </c>
      <c r="E1068" s="0" t="inlineStr">
        <is>
          <t>NULL</t>
        </is>
      </c>
      <c r="F1068" s="0" t="inlineStr">
        <is>
          <t>NULL</t>
        </is>
      </c>
      <c r="G1068" s="0" t="inlineStr">
        <is>
          <t>NULL</t>
        </is>
      </c>
      <c r="H1068" s="0" t="inlineStr">
        <is>
          <t>NULL</t>
        </is>
      </c>
      <c r="I1068" s="0" t="inlineStr">
        <is>
          <t>NULL</t>
        </is>
      </c>
      <c r="J1068" s="0" t="inlineStr">
        <is>
          <t>NULL</t>
        </is>
      </c>
      <c r="K1068" s="0" t="inlineStr">
        <is>
          <t>YES! 	 c_nvarchar3500列源备映射正确，源端为nvarchar 7000位	期望更改为nvarchar(n)	实际备端为nvarchar 7000位</t>
        </is>
      </c>
    </row>
    <row r="1069">
      <c r="A1069" s="0" t="inlineStr">
        <is>
          <t>info_sdt_dml_single_pk_drp</t>
        </is>
      </c>
      <c r="K1069" s="0" t="inlineStr">
        <is>
          <t>[0;34m info_sdt_dml_single_pk_drp [0m源备字段数相同，源端字段：2 	备端字段2</t>
        </is>
      </c>
      <c r="W1069" s="0" t="inlineStr">
        <is>
          <t>YES 源备无差异</t>
        </is>
      </c>
      <c r="X1069" s="0">
        <f>A1069</f>
        <v/>
      </c>
    </row>
    <row r="1070">
      <c r="B1070" s="0" t="inlineStr">
        <is>
          <t>YES</t>
        </is>
      </c>
      <c r="C1070" s="0" t="inlineStr">
        <is>
          <t>NULL</t>
        </is>
      </c>
      <c r="D1070" s="0" t="inlineStr">
        <is>
          <t>NULL</t>
        </is>
      </c>
      <c r="E1070" s="0" t="inlineStr">
        <is>
          <t>NULL</t>
        </is>
      </c>
      <c r="F1070" s="0" t="inlineStr">
        <is>
          <t>NULL</t>
        </is>
      </c>
      <c r="G1070" s="0" t="inlineStr">
        <is>
          <t>NULL</t>
        </is>
      </c>
      <c r="H1070" s="0" t="inlineStr">
        <is>
          <t>NULL</t>
        </is>
      </c>
      <c r="I1070" s="0" t="inlineStr">
        <is>
          <t>YES!PK__info_sdt__3213E83FD9FF0613</t>
        </is>
      </c>
      <c r="J1070" s="0" t="inlineStr">
        <is>
          <t>YES! 主键相关索引</t>
        </is>
      </c>
      <c r="K1070" s="0" t="inlineStr">
        <is>
          <t>YES! 	 id列源备映射正确，源端为int None位	期望更改为int	实际备端为int None位</t>
        </is>
      </c>
    </row>
    <row r="1071">
      <c r="B1071" s="0" t="inlineStr">
        <is>
          <t>NULL</t>
        </is>
      </c>
      <c r="C1071" s="0" t="inlineStr">
        <is>
          <t>NULL</t>
        </is>
      </c>
      <c r="D1071" s="0" t="inlineStr">
        <is>
          <t>NULL</t>
        </is>
      </c>
      <c r="E1071" s="0" t="inlineStr">
        <is>
          <t>NULL</t>
        </is>
      </c>
      <c r="F1071" s="0" t="inlineStr">
        <is>
          <t>NULL</t>
        </is>
      </c>
      <c r="G1071" s="0" t="inlineStr">
        <is>
          <t>NULL</t>
        </is>
      </c>
      <c r="H1071" s="0" t="inlineStr">
        <is>
          <t>NULL</t>
        </is>
      </c>
      <c r="I1071" s="0" t="inlineStr">
        <is>
          <t>NULL</t>
        </is>
      </c>
      <c r="J1071" s="0" t="inlineStr">
        <is>
          <t>NULL</t>
        </is>
      </c>
      <c r="K1071" s="0" t="inlineStr">
        <is>
          <t>YES! 	 c_sdt列源备映射正确，源端为smalldatetime None位	期望更改为smalldatetime	实际备端为smalldatetime None位</t>
        </is>
      </c>
    </row>
    <row r="1072">
      <c r="A1072" s="0" t="inlineStr">
        <is>
          <t>info_nvarchar_dml_batch1_pk_irp1</t>
        </is>
      </c>
      <c r="K1072" s="0" t="inlineStr">
        <is>
          <t>[0;34m info_nvarchar_dml_batch1_pk_irp1 [0m源备字段数相同，源端字段：4 	备端字段4</t>
        </is>
      </c>
      <c r="W1072" s="0" t="inlineStr">
        <is>
          <t>YES 源备无差异</t>
        </is>
      </c>
      <c r="X1072" s="0">
        <f>A1072</f>
        <v/>
      </c>
    </row>
    <row r="1073">
      <c r="B1073" s="0" t="inlineStr">
        <is>
          <t>YES</t>
        </is>
      </c>
      <c r="C1073" s="0" t="inlineStr">
        <is>
          <t>NULL</t>
        </is>
      </c>
      <c r="D1073" s="0" t="inlineStr">
        <is>
          <t>NULL</t>
        </is>
      </c>
      <c r="E1073" s="0" t="inlineStr">
        <is>
          <t>NULL</t>
        </is>
      </c>
      <c r="F1073" s="0" t="inlineStr">
        <is>
          <t>NULL</t>
        </is>
      </c>
      <c r="G1073" s="0" t="inlineStr">
        <is>
          <t>NULL</t>
        </is>
      </c>
      <c r="H1073" s="0" t="inlineStr">
        <is>
          <t>NULL</t>
        </is>
      </c>
      <c r="I1073" s="0" t="inlineStr">
        <is>
          <t>YES!PK__info_nva__3213E83FD4B93CAE</t>
        </is>
      </c>
      <c r="J1073" s="0" t="inlineStr">
        <is>
          <t>YES! 主键相关索引</t>
        </is>
      </c>
      <c r="K1073" s="0" t="inlineStr">
        <is>
          <t>YES! 	 id列源备映射正确，源端为int None位	期望更改为int	实际备端为int None位</t>
        </is>
      </c>
    </row>
    <row r="1074">
      <c r="B1074" s="0" t="inlineStr">
        <is>
          <t>NULL</t>
        </is>
      </c>
      <c r="C1074" s="0" t="inlineStr">
        <is>
          <t>NULL</t>
        </is>
      </c>
      <c r="D1074" s="0" t="inlineStr">
        <is>
          <t>NULL</t>
        </is>
      </c>
      <c r="E1074" s="0" t="inlineStr">
        <is>
          <t>NULL</t>
        </is>
      </c>
      <c r="F1074" s="0" t="inlineStr">
        <is>
          <t>NULL</t>
        </is>
      </c>
      <c r="G1074" s="0" t="inlineStr">
        <is>
          <t>NULL</t>
        </is>
      </c>
      <c r="H1074" s="0" t="inlineStr">
        <is>
          <t>NULL</t>
        </is>
      </c>
      <c r="I1074" s="0" t="inlineStr">
        <is>
          <t>NULL</t>
        </is>
      </c>
      <c r="J1074" s="0" t="inlineStr">
        <is>
          <t>NULL</t>
        </is>
      </c>
      <c r="K1074" s="0" t="inlineStr">
        <is>
          <t>YES! 	 c_nvarchar列源备映射正确，源端为nvarchar 2位	期望更改为nvarchar(n)	实际备端为nvarchar 2位</t>
        </is>
      </c>
    </row>
    <row r="1075">
      <c r="B1075" s="0" t="inlineStr">
        <is>
          <t>NULL</t>
        </is>
      </c>
      <c r="C1075" s="0" t="inlineStr">
        <is>
          <t>NULL</t>
        </is>
      </c>
      <c r="D1075" s="0" t="inlineStr">
        <is>
          <t>NULL</t>
        </is>
      </c>
      <c r="E1075" s="0" t="inlineStr">
        <is>
          <t>NULL</t>
        </is>
      </c>
      <c r="F1075" s="0" t="inlineStr">
        <is>
          <t>NULL</t>
        </is>
      </c>
      <c r="G1075" s="0" t="inlineStr">
        <is>
          <t>NULL</t>
        </is>
      </c>
      <c r="H1075" s="0" t="inlineStr">
        <is>
          <t>NULL</t>
        </is>
      </c>
      <c r="I1075" s="0" t="inlineStr">
        <is>
          <t>NULL</t>
        </is>
      </c>
      <c r="J1075" s="0" t="inlineStr">
        <is>
          <t>NULL</t>
        </is>
      </c>
      <c r="K1075" s="0" t="inlineStr">
        <is>
          <t>YES! 	 c_nvarchar20列源备映射正确，源端为nvarchar 40位	期望更改为nvarchar(n)	实际备端为nvarchar 40位</t>
        </is>
      </c>
    </row>
    <row r="1076">
      <c r="B1076" s="0" t="inlineStr">
        <is>
          <t>NULL</t>
        </is>
      </c>
      <c r="C1076" s="0" t="inlineStr">
        <is>
          <t>NULL</t>
        </is>
      </c>
      <c r="D1076" s="0" t="inlineStr">
        <is>
          <t>NULL</t>
        </is>
      </c>
      <c r="E1076" s="0" t="inlineStr">
        <is>
          <t>NULL</t>
        </is>
      </c>
      <c r="F1076" s="0" t="inlineStr">
        <is>
          <t>NULL</t>
        </is>
      </c>
      <c r="G1076" s="0" t="inlineStr">
        <is>
          <t>NULL</t>
        </is>
      </c>
      <c r="H1076" s="0" t="inlineStr">
        <is>
          <t>NULL</t>
        </is>
      </c>
      <c r="I1076" s="0" t="inlineStr">
        <is>
          <t>NULL</t>
        </is>
      </c>
      <c r="J1076" s="0" t="inlineStr">
        <is>
          <t>NULL</t>
        </is>
      </c>
      <c r="K1076" s="0" t="inlineStr">
        <is>
          <t>YES! 	 c_nvarchar4000列源备映射正确，源端为nvarchar 8000位	期望更改为nvarchar(n)	实际备端为nvarchar 8000位</t>
        </is>
      </c>
    </row>
    <row r="1077">
      <c r="A1077" s="0" t="inlineStr">
        <is>
          <t>info_datetime2_dml_batch1_pk_drp1</t>
        </is>
      </c>
      <c r="K1077" s="0" t="inlineStr">
        <is>
          <t>[0;34m info_datetime2_dml_batch1_pk_drp1 [0m源备字段数相同，源端字段：9 	备端字段9</t>
        </is>
      </c>
      <c r="W1077" s="0" t="inlineStr">
        <is>
          <t>YES 源备无差异</t>
        </is>
      </c>
      <c r="X1077" s="0">
        <f>A1077</f>
        <v/>
      </c>
    </row>
    <row r="1078">
      <c r="B1078" s="0" t="inlineStr">
        <is>
          <t>YES</t>
        </is>
      </c>
      <c r="C1078" s="0" t="inlineStr">
        <is>
          <t>NULL</t>
        </is>
      </c>
      <c r="D1078" s="0" t="inlineStr">
        <is>
          <t>NULL</t>
        </is>
      </c>
      <c r="E1078" s="0" t="inlineStr">
        <is>
          <t>NULL</t>
        </is>
      </c>
      <c r="F1078" s="0" t="inlineStr">
        <is>
          <t>NULL</t>
        </is>
      </c>
      <c r="G1078" s="0" t="inlineStr">
        <is>
          <t>NULL</t>
        </is>
      </c>
      <c r="H1078" s="0" t="inlineStr">
        <is>
          <t>NULL</t>
        </is>
      </c>
      <c r="I1078" s="0" t="inlineStr">
        <is>
          <t>YES!PK__info_dat__3213E83F6849006D</t>
        </is>
      </c>
      <c r="J1078" s="0" t="inlineStr">
        <is>
          <t>YES! 主键相关索引</t>
        </is>
      </c>
      <c r="K1078" s="0" t="inlineStr">
        <is>
          <t>YES! 	 id列源备映射正确，源端为int None位	期望更改为int	实际备端为int None位</t>
        </is>
      </c>
    </row>
    <row r="1079">
      <c r="B1079" s="0" t="inlineStr">
        <is>
          <t>NULL</t>
        </is>
      </c>
      <c r="C1079" s="0" t="inlineStr">
        <is>
          <t>NULL</t>
        </is>
      </c>
      <c r="D1079" s="0" t="inlineStr">
        <is>
          <t>NULL</t>
        </is>
      </c>
      <c r="E1079" s="0" t="inlineStr">
        <is>
          <t>NULL</t>
        </is>
      </c>
      <c r="F1079" s="0" t="inlineStr">
        <is>
          <t>NULL</t>
        </is>
      </c>
      <c r="G1079" s="0" t="inlineStr">
        <is>
          <t>NULL</t>
        </is>
      </c>
      <c r="H1079" s="0" t="inlineStr">
        <is>
          <t>NULL</t>
        </is>
      </c>
      <c r="I1079" s="0" t="inlineStr">
        <is>
          <t>NULL</t>
        </is>
      </c>
      <c r="J1079" s="0" t="inlineStr">
        <is>
          <t>NULL</t>
        </is>
      </c>
      <c r="K1079" s="0" t="inlineStr">
        <is>
          <t>no,len不存在</t>
        </is>
      </c>
    </row>
    <row r="1080">
      <c r="B1080" s="0" t="inlineStr">
        <is>
          <t>NULL</t>
        </is>
      </c>
      <c r="C1080" s="0" t="inlineStr">
        <is>
          <t>NULL</t>
        </is>
      </c>
      <c r="D1080" s="0" t="inlineStr">
        <is>
          <t>NULL</t>
        </is>
      </c>
      <c r="E1080" s="0" t="inlineStr">
        <is>
          <t>NULL</t>
        </is>
      </c>
      <c r="F1080" s="0" t="inlineStr">
        <is>
          <t>NULL</t>
        </is>
      </c>
      <c r="G1080" s="0" t="inlineStr">
        <is>
          <t>NULL</t>
        </is>
      </c>
      <c r="H1080" s="0" t="inlineStr">
        <is>
          <t>NULL</t>
        </is>
      </c>
      <c r="I1080" s="0" t="inlineStr">
        <is>
          <t>NULL</t>
        </is>
      </c>
      <c r="J1080" s="0" t="inlineStr">
        <is>
          <t>NULL</t>
        </is>
      </c>
      <c r="K1080" s="0" t="inlineStr">
        <is>
          <t>YES! 	 c_dt2_1列源备映射正确，源端为datetime2 None位	期望更改为datetime2(n)	实际备端为datetime2 None位</t>
        </is>
      </c>
    </row>
    <row r="1081">
      <c r="B1081" s="0" t="inlineStr">
        <is>
          <t>NULL</t>
        </is>
      </c>
      <c r="C1081" s="0" t="inlineStr">
        <is>
          <t>NULL</t>
        </is>
      </c>
      <c r="D1081" s="0" t="inlineStr">
        <is>
          <t>NULL</t>
        </is>
      </c>
      <c r="E1081" s="0" t="inlineStr">
        <is>
          <t>NULL</t>
        </is>
      </c>
      <c r="F1081" s="0" t="inlineStr">
        <is>
          <t>NULL</t>
        </is>
      </c>
      <c r="G1081" s="0" t="inlineStr">
        <is>
          <t>NULL</t>
        </is>
      </c>
      <c r="H1081" s="0" t="inlineStr">
        <is>
          <t>NULL</t>
        </is>
      </c>
      <c r="I1081" s="0" t="inlineStr">
        <is>
          <t>NULL</t>
        </is>
      </c>
      <c r="J1081" s="0" t="inlineStr">
        <is>
          <t>NULL</t>
        </is>
      </c>
      <c r="K1081" s="0" t="inlineStr">
        <is>
          <t>YES! 	 c_dt2_2列源备映射正确，源端为datetime2 None位	期望更改为datetime2(n)	实际备端为datetime2 None位</t>
        </is>
      </c>
    </row>
    <row r="1082">
      <c r="B1082" s="0" t="inlineStr">
        <is>
          <t>NULL</t>
        </is>
      </c>
      <c r="C1082" s="0" t="inlineStr">
        <is>
          <t>NULL</t>
        </is>
      </c>
      <c r="D1082" s="0" t="inlineStr">
        <is>
          <t>NULL</t>
        </is>
      </c>
      <c r="E1082" s="0" t="inlineStr">
        <is>
          <t>NULL</t>
        </is>
      </c>
      <c r="F1082" s="0" t="inlineStr">
        <is>
          <t>NULL</t>
        </is>
      </c>
      <c r="G1082" s="0" t="inlineStr">
        <is>
          <t>NULL</t>
        </is>
      </c>
      <c r="H1082" s="0" t="inlineStr">
        <is>
          <t>NULL</t>
        </is>
      </c>
      <c r="I1082" s="0" t="inlineStr">
        <is>
          <t>NULL</t>
        </is>
      </c>
      <c r="J1082" s="0" t="inlineStr">
        <is>
          <t>NULL</t>
        </is>
      </c>
      <c r="K1082" s="0" t="inlineStr">
        <is>
          <t>YES! 	 c_dt2_3列源备映射正确，源端为datetime2 None位	期望更改为datetime2(n)	实际备端为datetime2 None位</t>
        </is>
      </c>
    </row>
    <row r="1083">
      <c r="B1083" s="0" t="inlineStr">
        <is>
          <t>NULL</t>
        </is>
      </c>
      <c r="C1083" s="0" t="inlineStr">
        <is>
          <t>NULL</t>
        </is>
      </c>
      <c r="D1083" s="0" t="inlineStr">
        <is>
          <t>NULL</t>
        </is>
      </c>
      <c r="E1083" s="0" t="inlineStr">
        <is>
          <t>NULL</t>
        </is>
      </c>
      <c r="F1083" s="0" t="inlineStr">
        <is>
          <t>NULL</t>
        </is>
      </c>
      <c r="G1083" s="0" t="inlineStr">
        <is>
          <t>NULL</t>
        </is>
      </c>
      <c r="H1083" s="0" t="inlineStr">
        <is>
          <t>NULL</t>
        </is>
      </c>
      <c r="I1083" s="0" t="inlineStr">
        <is>
          <t>NULL</t>
        </is>
      </c>
      <c r="J1083" s="0" t="inlineStr">
        <is>
          <t>NULL</t>
        </is>
      </c>
      <c r="K1083" s="0" t="inlineStr">
        <is>
          <t>YES! 	 c_dt2_4列源备映射正确，源端为datetime2 None位	期望更改为datetime2(n)	实际备端为datetime2 None位</t>
        </is>
      </c>
    </row>
    <row r="1084">
      <c r="B1084" s="0" t="inlineStr">
        <is>
          <t>NULL</t>
        </is>
      </c>
      <c r="C1084" s="0" t="inlineStr">
        <is>
          <t>NULL</t>
        </is>
      </c>
      <c r="D1084" s="0" t="inlineStr">
        <is>
          <t>NULL</t>
        </is>
      </c>
      <c r="E1084" s="0" t="inlineStr">
        <is>
          <t>NULL</t>
        </is>
      </c>
      <c r="F1084" s="0" t="inlineStr">
        <is>
          <t>NULL</t>
        </is>
      </c>
      <c r="G1084" s="0" t="inlineStr">
        <is>
          <t>NULL</t>
        </is>
      </c>
      <c r="H1084" s="0" t="inlineStr">
        <is>
          <t>NULL</t>
        </is>
      </c>
      <c r="I1084" s="0" t="inlineStr">
        <is>
          <t>NULL</t>
        </is>
      </c>
      <c r="J1084" s="0" t="inlineStr">
        <is>
          <t>NULL</t>
        </is>
      </c>
      <c r="K1084" s="0" t="inlineStr">
        <is>
          <t>YES! 	 c_dt2_5列源备映射正确，源端为datetime2 None位	期望更改为datetime2(n)	实际备端为datetime2 None位</t>
        </is>
      </c>
    </row>
    <row r="1085">
      <c r="B1085" s="0" t="inlineStr">
        <is>
          <t>NULL</t>
        </is>
      </c>
      <c r="C1085" s="0" t="inlineStr">
        <is>
          <t>NULL</t>
        </is>
      </c>
      <c r="D1085" s="0" t="inlineStr">
        <is>
          <t>NULL</t>
        </is>
      </c>
      <c r="E1085" s="0" t="inlineStr">
        <is>
          <t>NULL</t>
        </is>
      </c>
      <c r="F1085" s="0" t="inlineStr">
        <is>
          <t>NULL</t>
        </is>
      </c>
      <c r="G1085" s="0" t="inlineStr">
        <is>
          <t>NULL</t>
        </is>
      </c>
      <c r="H1085" s="0" t="inlineStr">
        <is>
          <t>NULL</t>
        </is>
      </c>
      <c r="I1085" s="0" t="inlineStr">
        <is>
          <t>NULL</t>
        </is>
      </c>
      <c r="J1085" s="0" t="inlineStr">
        <is>
          <t>NULL</t>
        </is>
      </c>
      <c r="K1085" s="0" t="inlineStr">
        <is>
          <t>YES! 	 c_dt2_6列源备映射正确，源端为datetime2 None位	期望更改为datetime2(n)	实际备端为datetime2 None位</t>
        </is>
      </c>
    </row>
    <row r="1086">
      <c r="B1086" s="0" t="inlineStr">
        <is>
          <t>NULL</t>
        </is>
      </c>
      <c r="C1086" s="0" t="inlineStr">
        <is>
          <t>NULL</t>
        </is>
      </c>
      <c r="D1086" s="0" t="inlineStr">
        <is>
          <t>NULL</t>
        </is>
      </c>
      <c r="E1086" s="0" t="inlineStr">
        <is>
          <t>NULL</t>
        </is>
      </c>
      <c r="F1086" s="0" t="inlineStr">
        <is>
          <t>NULL</t>
        </is>
      </c>
      <c r="G1086" s="0" t="inlineStr">
        <is>
          <t>NULL</t>
        </is>
      </c>
      <c r="H1086" s="0" t="inlineStr">
        <is>
          <t>NULL</t>
        </is>
      </c>
      <c r="I1086" s="0" t="inlineStr">
        <is>
          <t>NULL</t>
        </is>
      </c>
      <c r="J1086" s="0" t="inlineStr">
        <is>
          <t>NULL</t>
        </is>
      </c>
      <c r="K1086" s="0" t="inlineStr">
        <is>
          <t>YES! 	 c_dt2列源备映射正确，源端为datetime2 None位	期望更改为datetime2(n)	实际备端为datetime2 None位</t>
        </is>
      </c>
    </row>
    <row r="1087">
      <c r="K1087" s="0" t="inlineStr">
        <is>
          <t>~ 空表</t>
        </is>
      </c>
    </row>
    <row r="1088">
      <c r="A1088" s="0" t="inlineStr">
        <is>
          <t>info_nvarchar_dml_batch2_pk_irp1</t>
        </is>
      </c>
      <c r="K1088" s="0" t="inlineStr">
        <is>
          <t>[0;34m info_nvarchar_dml_batch2_pk_irp1 [0m源备字段数相同，源端字段：4 	备端字段4</t>
        </is>
      </c>
      <c r="W1088" s="0" t="inlineStr">
        <is>
          <t>YES 源备无差异</t>
        </is>
      </c>
      <c r="X1088" s="0">
        <f>A1088</f>
        <v/>
      </c>
    </row>
    <row r="1089">
      <c r="B1089" s="0" t="inlineStr">
        <is>
          <t>YES</t>
        </is>
      </c>
      <c r="C1089" s="0" t="inlineStr">
        <is>
          <t>NULL</t>
        </is>
      </c>
      <c r="D1089" s="0" t="inlineStr">
        <is>
          <t>NULL</t>
        </is>
      </c>
      <c r="E1089" s="0" t="inlineStr">
        <is>
          <t>NULL</t>
        </is>
      </c>
      <c r="F1089" s="0" t="inlineStr">
        <is>
          <t>NULL</t>
        </is>
      </c>
      <c r="G1089" s="0" t="inlineStr">
        <is>
          <t>NULL</t>
        </is>
      </c>
      <c r="H1089" s="0" t="inlineStr">
        <is>
          <t>NULL</t>
        </is>
      </c>
      <c r="I1089" s="0" t="inlineStr">
        <is>
          <t>YES!PK__info_nva__3213E83F98EA7D40</t>
        </is>
      </c>
      <c r="J1089" s="0" t="inlineStr">
        <is>
          <t>YES! 主键相关索引</t>
        </is>
      </c>
      <c r="K1089" s="0" t="inlineStr">
        <is>
          <t>YES! 	 id列源备映射正确，源端为int None位	期望更改为int	实际备端为int None位</t>
        </is>
      </c>
    </row>
    <row r="1090">
      <c r="B1090" s="0" t="inlineStr">
        <is>
          <t>NULL</t>
        </is>
      </c>
      <c r="C1090" s="0" t="inlineStr">
        <is>
          <t>NULL</t>
        </is>
      </c>
      <c r="D1090" s="0" t="inlineStr">
        <is>
          <t>NULL</t>
        </is>
      </c>
      <c r="E1090" s="0" t="inlineStr">
        <is>
          <t>NULL</t>
        </is>
      </c>
      <c r="F1090" s="0" t="inlineStr">
        <is>
          <t>NULL</t>
        </is>
      </c>
      <c r="G1090" s="0" t="inlineStr">
        <is>
          <t>NULL</t>
        </is>
      </c>
      <c r="H1090" s="0" t="inlineStr">
        <is>
          <t>NULL</t>
        </is>
      </c>
      <c r="I1090" s="0" t="inlineStr">
        <is>
          <t>NULL</t>
        </is>
      </c>
      <c r="J1090" s="0" t="inlineStr">
        <is>
          <t>NULL</t>
        </is>
      </c>
      <c r="K1090" s="0" t="inlineStr">
        <is>
          <t>YES! 	 c_nvarchar列源备映射正确，源端为nvarchar 2位	期望更改为nvarchar(n)	实际备端为nvarchar 2位</t>
        </is>
      </c>
    </row>
    <row r="1091">
      <c r="B1091" s="0" t="inlineStr">
        <is>
          <t>NULL</t>
        </is>
      </c>
      <c r="C1091" s="0" t="inlineStr">
        <is>
          <t>NULL</t>
        </is>
      </c>
      <c r="D1091" s="0" t="inlineStr">
        <is>
          <t>NULL</t>
        </is>
      </c>
      <c r="E1091" s="0" t="inlineStr">
        <is>
          <t>NULL</t>
        </is>
      </c>
      <c r="F1091" s="0" t="inlineStr">
        <is>
          <t>NULL</t>
        </is>
      </c>
      <c r="G1091" s="0" t="inlineStr">
        <is>
          <t>NULL</t>
        </is>
      </c>
      <c r="H1091" s="0" t="inlineStr">
        <is>
          <t>NULL</t>
        </is>
      </c>
      <c r="I1091" s="0" t="inlineStr">
        <is>
          <t>NULL</t>
        </is>
      </c>
      <c r="J1091" s="0" t="inlineStr">
        <is>
          <t>NULL</t>
        </is>
      </c>
      <c r="K1091" s="0" t="inlineStr">
        <is>
          <t>YES! 	 c_nvarchar20列源备映射正确，源端为nvarchar 40位	期望更改为nvarchar(n)	实际备端为nvarchar 40位</t>
        </is>
      </c>
    </row>
    <row r="1092">
      <c r="B1092" s="0" t="inlineStr">
        <is>
          <t>NULL</t>
        </is>
      </c>
      <c r="C1092" s="0" t="inlineStr">
        <is>
          <t>NULL</t>
        </is>
      </c>
      <c r="D1092" s="0" t="inlineStr">
        <is>
          <t>NULL</t>
        </is>
      </c>
      <c r="E1092" s="0" t="inlineStr">
        <is>
          <t>NULL</t>
        </is>
      </c>
      <c r="F1092" s="0" t="inlineStr">
        <is>
          <t>NULL</t>
        </is>
      </c>
      <c r="G1092" s="0" t="inlineStr">
        <is>
          <t>NULL</t>
        </is>
      </c>
      <c r="H1092" s="0" t="inlineStr">
        <is>
          <t>NULL</t>
        </is>
      </c>
      <c r="I1092" s="0" t="inlineStr">
        <is>
          <t>NULL</t>
        </is>
      </c>
      <c r="J1092" s="0" t="inlineStr">
        <is>
          <t>NULL</t>
        </is>
      </c>
      <c r="K1092" s="0" t="inlineStr">
        <is>
          <t>YES! 	 c_nvarchar3500列源备映射正确，源端为nvarchar 7000位	期望更改为nvarchar(n)	实际备端为nvarchar 7000位</t>
        </is>
      </c>
    </row>
    <row r="1093">
      <c r="A1093" s="0" t="inlineStr">
        <is>
          <t>info_binary_dml_single_nopk_irp</t>
        </is>
      </c>
      <c r="K1093" s="0" t="inlineStr">
        <is>
          <t>[0;34m info_binary_dml_single_nopk_irp [0m源备字段数相同，源端字段：4 	备端字段4</t>
        </is>
      </c>
      <c r="W1093" s="0" t="inlineStr">
        <is>
          <t>YES 源备无差异</t>
        </is>
      </c>
      <c r="X1093" s="0">
        <f>A1093</f>
        <v/>
      </c>
    </row>
    <row r="1094">
      <c r="B1094" s="0" t="inlineStr">
        <is>
          <t>NULL</t>
        </is>
      </c>
      <c r="C1094" s="0" t="inlineStr">
        <is>
          <t>NULL</t>
        </is>
      </c>
      <c r="D1094" s="0" t="inlineStr">
        <is>
          <t>NULL</t>
        </is>
      </c>
      <c r="E1094" s="0" t="inlineStr">
        <is>
          <t>NULL</t>
        </is>
      </c>
      <c r="F1094" s="0" t="inlineStr">
        <is>
          <t>NULL</t>
        </is>
      </c>
      <c r="G1094" s="0" t="inlineStr">
        <is>
          <t>NULL</t>
        </is>
      </c>
      <c r="H1094" s="0" t="inlineStr">
        <is>
          <t>NULL</t>
        </is>
      </c>
      <c r="I1094" s="0" t="inlineStr">
        <is>
          <t>NULL</t>
        </is>
      </c>
      <c r="J1094" s="0" t="inlineStr">
        <is>
          <t>NULL</t>
        </is>
      </c>
      <c r="K1094" s="0" t="inlineStr">
        <is>
          <t>YES! 	 id列源备映射正确，源端为int None位	期望更改为int	实际备端为int None位</t>
        </is>
      </c>
    </row>
    <row r="1095">
      <c r="B1095" s="0" t="inlineStr">
        <is>
          <t>NULL</t>
        </is>
      </c>
      <c r="C1095" s="0" t="inlineStr">
        <is>
          <t>NULL</t>
        </is>
      </c>
      <c r="D1095" s="0" t="inlineStr">
        <is>
          <t>NULL</t>
        </is>
      </c>
      <c r="E1095" s="0" t="inlineStr">
        <is>
          <t>NULL</t>
        </is>
      </c>
      <c r="F1095" s="0" t="inlineStr">
        <is>
          <t>NULL</t>
        </is>
      </c>
      <c r="G1095" s="0" t="inlineStr">
        <is>
          <t>NULL</t>
        </is>
      </c>
      <c r="H1095" s="0" t="inlineStr">
        <is>
          <t>NULL</t>
        </is>
      </c>
      <c r="I1095" s="0" t="inlineStr">
        <is>
          <t>NULL</t>
        </is>
      </c>
      <c r="J1095" s="0" t="inlineStr">
        <is>
          <t>NULL</t>
        </is>
      </c>
      <c r="K1095" s="0" t="inlineStr">
        <is>
          <t>YES! 	 c_binary列源备映射正确，源端为binary 1位	期望更改为binary(n)	实际备端为binary 1位</t>
        </is>
      </c>
    </row>
    <row r="1096">
      <c r="B1096" s="0" t="inlineStr">
        <is>
          <t>NULL</t>
        </is>
      </c>
      <c r="C1096" s="0" t="inlineStr">
        <is>
          <t>NULL</t>
        </is>
      </c>
      <c r="D1096" s="0" t="inlineStr">
        <is>
          <t>NULL</t>
        </is>
      </c>
      <c r="E1096" s="0" t="inlineStr">
        <is>
          <t>NULL</t>
        </is>
      </c>
      <c r="F1096" s="0" t="inlineStr">
        <is>
          <t>NULL</t>
        </is>
      </c>
      <c r="G1096" s="0" t="inlineStr">
        <is>
          <t>NULL</t>
        </is>
      </c>
      <c r="H1096" s="0" t="inlineStr">
        <is>
          <t>NULL</t>
        </is>
      </c>
      <c r="I1096" s="0" t="inlineStr">
        <is>
          <t>NULL</t>
        </is>
      </c>
      <c r="J1096" s="0" t="inlineStr">
        <is>
          <t>NULL</t>
        </is>
      </c>
      <c r="K1096" s="0" t="inlineStr">
        <is>
          <t>YES! 	 c_binary_20列源备映射正确，源端为binary 20位	期望更改为binary(n)	实际备端为binary 20位</t>
        </is>
      </c>
    </row>
    <row r="1097">
      <c r="B1097" s="0" t="inlineStr">
        <is>
          <t>NULL</t>
        </is>
      </c>
      <c r="C1097" s="0" t="inlineStr">
        <is>
          <t>NULL</t>
        </is>
      </c>
      <c r="D1097" s="0" t="inlineStr">
        <is>
          <t>NULL</t>
        </is>
      </c>
      <c r="E1097" s="0" t="inlineStr">
        <is>
          <t>NULL</t>
        </is>
      </c>
      <c r="F1097" s="0" t="inlineStr">
        <is>
          <t>NULL</t>
        </is>
      </c>
      <c r="G1097" s="0" t="inlineStr">
        <is>
          <t>NULL</t>
        </is>
      </c>
      <c r="H1097" s="0" t="inlineStr">
        <is>
          <t>NULL</t>
        </is>
      </c>
      <c r="I1097" s="0" t="inlineStr">
        <is>
          <t>NULL</t>
        </is>
      </c>
      <c r="J1097" s="0" t="inlineStr">
        <is>
          <t>NULL</t>
        </is>
      </c>
      <c r="K1097" s="0" t="inlineStr">
        <is>
          <t>YES! 	 c_binary_8000列源备映射正确，源端为binary 8000位	期望更改为binary(n)	实际备端为binary 8000位</t>
        </is>
      </c>
    </row>
    <row r="1098">
      <c r="A1098" s="0" t="inlineStr">
        <is>
          <t>info_xml_dml_single_nopk_irp</t>
        </is>
      </c>
      <c r="K1098" s="0" t="inlineStr">
        <is>
          <t>[0;34m info_xml_dml_single_nopk_irp [0m源备字段数相同，源端字段：2 	备端字段2</t>
        </is>
      </c>
      <c r="W1098" s="0" t="inlineStr">
        <is>
          <t>YES 源备无差异</t>
        </is>
      </c>
      <c r="X1098" s="0">
        <f>A1098</f>
        <v/>
      </c>
    </row>
    <row r="1099">
      <c r="B1099" s="0" t="inlineStr">
        <is>
          <t>NULL</t>
        </is>
      </c>
      <c r="C1099" s="0" t="inlineStr">
        <is>
          <t>NULL</t>
        </is>
      </c>
      <c r="D1099" s="0" t="inlineStr">
        <is>
          <t>NULL</t>
        </is>
      </c>
      <c r="E1099" s="0" t="inlineStr">
        <is>
          <t>NULL</t>
        </is>
      </c>
      <c r="F1099" s="0" t="inlineStr">
        <is>
          <t>NULL</t>
        </is>
      </c>
      <c r="G1099" s="0" t="inlineStr">
        <is>
          <t>NULL</t>
        </is>
      </c>
      <c r="H1099" s="0" t="inlineStr">
        <is>
          <t>NULL</t>
        </is>
      </c>
      <c r="I1099" s="0" t="inlineStr">
        <is>
          <t>NULL</t>
        </is>
      </c>
      <c r="J1099" s="0" t="inlineStr">
        <is>
          <t>NULL</t>
        </is>
      </c>
      <c r="K1099" s="0" t="inlineStr">
        <is>
          <t>YES! 	 id列源备映射正确，源端为int None位	期望更改为int	实际备端为int None位</t>
        </is>
      </c>
    </row>
    <row r="1100">
      <c r="B1100" s="0" t="inlineStr">
        <is>
          <t>NULL</t>
        </is>
      </c>
      <c r="C1100" s="0" t="inlineStr">
        <is>
          <t>NULL</t>
        </is>
      </c>
      <c r="D1100" s="0" t="inlineStr">
        <is>
          <t>NULL</t>
        </is>
      </c>
      <c r="E1100" s="0" t="inlineStr">
        <is>
          <t>NULL</t>
        </is>
      </c>
      <c r="F1100" s="0" t="inlineStr">
        <is>
          <t>NULL</t>
        </is>
      </c>
      <c r="G1100" s="0" t="inlineStr">
        <is>
          <t>NULL</t>
        </is>
      </c>
      <c r="H1100" s="0" t="inlineStr">
        <is>
          <t>NULL</t>
        </is>
      </c>
      <c r="I1100" s="0" t="inlineStr">
        <is>
          <t>NULL</t>
        </is>
      </c>
      <c r="J1100" s="0" t="inlineStr">
        <is>
          <t>NULL</t>
        </is>
      </c>
      <c r="K1100" s="0" t="inlineStr">
        <is>
          <t>YES! 	 c_xml列源备映射正确，源端为xml -1位	期望更改为xml	实际备端为xml -1位</t>
        </is>
      </c>
    </row>
    <row r="1101">
      <c r="A1101" s="0" t="inlineStr">
        <is>
          <t>info_xml_dml_single_nopk_urp</t>
        </is>
      </c>
      <c r="K1101" s="0" t="inlineStr">
        <is>
          <t>[0;34m info_xml_dml_single_nopk_urp [0m源备字段数相同，源端字段：2 	备端字段2</t>
        </is>
      </c>
      <c r="W1101" s="0" t="inlineStr">
        <is>
          <t>YES 源备无差异</t>
        </is>
      </c>
      <c r="X1101" s="0">
        <f>A1101</f>
        <v/>
      </c>
    </row>
    <row r="1102">
      <c r="B1102" s="0" t="inlineStr">
        <is>
          <t>NULL</t>
        </is>
      </c>
      <c r="C1102" s="0" t="inlineStr">
        <is>
          <t>NULL</t>
        </is>
      </c>
      <c r="D1102" s="0" t="inlineStr">
        <is>
          <t>NULL</t>
        </is>
      </c>
      <c r="E1102" s="0" t="inlineStr">
        <is>
          <t>NULL</t>
        </is>
      </c>
      <c r="F1102" s="0" t="inlineStr">
        <is>
          <t>NULL</t>
        </is>
      </c>
      <c r="G1102" s="0" t="inlineStr">
        <is>
          <t>NULL</t>
        </is>
      </c>
      <c r="H1102" s="0" t="inlineStr">
        <is>
          <t>NULL</t>
        </is>
      </c>
      <c r="I1102" s="0" t="inlineStr">
        <is>
          <t>NULL</t>
        </is>
      </c>
      <c r="J1102" s="0" t="inlineStr">
        <is>
          <t>NULL</t>
        </is>
      </c>
      <c r="K1102" s="0" t="inlineStr">
        <is>
          <t>YES! 	 id列源备映射正确，源端为int None位	期望更改为int	实际备端为int None位</t>
        </is>
      </c>
    </row>
    <row r="1103">
      <c r="B1103" s="0" t="inlineStr">
        <is>
          <t>NULL</t>
        </is>
      </c>
      <c r="C1103" s="0" t="inlineStr">
        <is>
          <t>NULL</t>
        </is>
      </c>
      <c r="D1103" s="0" t="inlineStr">
        <is>
          <t>NULL</t>
        </is>
      </c>
      <c r="E1103" s="0" t="inlineStr">
        <is>
          <t>NULL</t>
        </is>
      </c>
      <c r="F1103" s="0" t="inlineStr">
        <is>
          <t>NULL</t>
        </is>
      </c>
      <c r="G1103" s="0" t="inlineStr">
        <is>
          <t>NULL</t>
        </is>
      </c>
      <c r="H1103" s="0" t="inlineStr">
        <is>
          <t>NULL</t>
        </is>
      </c>
      <c r="I1103" s="0" t="inlineStr">
        <is>
          <t>NULL</t>
        </is>
      </c>
      <c r="J1103" s="0" t="inlineStr">
        <is>
          <t>NULL</t>
        </is>
      </c>
      <c r="K1103" s="0" t="inlineStr">
        <is>
          <t>YES! 	 c_xml列源备映射正确，源端为xml -1位	期望更改为xml	实际备端为xml -1位</t>
        </is>
      </c>
    </row>
    <row r="1104">
      <c r="A1104" s="0" t="inlineStr">
        <is>
          <t>info_datetime2_dml_batch1_pk_drp2</t>
        </is>
      </c>
      <c r="K1104" s="0" t="inlineStr">
        <is>
          <t>[0;34m info_datetime2_dml_batch1_pk_drp2 [0m源备字段数相同，源端字段：9 	备端字段9</t>
        </is>
      </c>
      <c r="W1104" s="0" t="inlineStr">
        <is>
          <t>YES 源备无差异</t>
        </is>
      </c>
      <c r="X1104" s="0">
        <f>A1104</f>
        <v/>
      </c>
    </row>
    <row r="1105">
      <c r="B1105" s="0" t="inlineStr">
        <is>
          <t>YES</t>
        </is>
      </c>
      <c r="C1105" s="0" t="inlineStr">
        <is>
          <t>NULL</t>
        </is>
      </c>
      <c r="D1105" s="0" t="inlineStr">
        <is>
          <t>NULL</t>
        </is>
      </c>
      <c r="E1105" s="0" t="inlineStr">
        <is>
          <t>NULL</t>
        </is>
      </c>
      <c r="F1105" s="0" t="inlineStr">
        <is>
          <t>NULL</t>
        </is>
      </c>
      <c r="G1105" s="0" t="inlineStr">
        <is>
          <t>NULL</t>
        </is>
      </c>
      <c r="H1105" s="0" t="inlineStr">
        <is>
          <t>NULL</t>
        </is>
      </c>
      <c r="I1105" s="0" t="inlineStr">
        <is>
          <t>YES!PK__info_dat__3213E83F9BDAC31B</t>
        </is>
      </c>
      <c r="J1105" s="0" t="inlineStr">
        <is>
          <t>YES! 主键相关索引</t>
        </is>
      </c>
      <c r="K1105" s="0" t="inlineStr">
        <is>
          <t>YES! 	 id列源备映射正确，源端为int None位	期望更改为int	实际备端为int None位</t>
        </is>
      </c>
    </row>
    <row r="1106">
      <c r="B1106" s="0" t="inlineStr">
        <is>
          <t>NULL</t>
        </is>
      </c>
      <c r="C1106" s="0" t="inlineStr">
        <is>
          <t>NULL</t>
        </is>
      </c>
      <c r="D1106" s="0" t="inlineStr">
        <is>
          <t>NULL</t>
        </is>
      </c>
      <c r="E1106" s="0" t="inlineStr">
        <is>
          <t>NULL</t>
        </is>
      </c>
      <c r="F1106" s="0" t="inlineStr">
        <is>
          <t>NULL</t>
        </is>
      </c>
      <c r="G1106" s="0" t="inlineStr">
        <is>
          <t>NULL</t>
        </is>
      </c>
      <c r="H1106" s="0" t="inlineStr">
        <is>
          <t>NULL</t>
        </is>
      </c>
      <c r="I1106" s="0" t="inlineStr">
        <is>
          <t>NULL</t>
        </is>
      </c>
      <c r="J1106" s="0" t="inlineStr">
        <is>
          <t>NULL</t>
        </is>
      </c>
      <c r="K1106" s="0" t="inlineStr">
        <is>
          <t>no,len不存在</t>
        </is>
      </c>
    </row>
    <row r="1107">
      <c r="B1107" s="0" t="inlineStr">
        <is>
          <t>NULL</t>
        </is>
      </c>
      <c r="C1107" s="0" t="inlineStr">
        <is>
          <t>NULL</t>
        </is>
      </c>
      <c r="D1107" s="0" t="inlineStr">
        <is>
          <t>NULL</t>
        </is>
      </c>
      <c r="E1107" s="0" t="inlineStr">
        <is>
          <t>NULL</t>
        </is>
      </c>
      <c r="F1107" s="0" t="inlineStr">
        <is>
          <t>NULL</t>
        </is>
      </c>
      <c r="G1107" s="0" t="inlineStr">
        <is>
          <t>NULL</t>
        </is>
      </c>
      <c r="H1107" s="0" t="inlineStr">
        <is>
          <t>NULL</t>
        </is>
      </c>
      <c r="I1107" s="0" t="inlineStr">
        <is>
          <t>NULL</t>
        </is>
      </c>
      <c r="J1107" s="0" t="inlineStr">
        <is>
          <t>NULL</t>
        </is>
      </c>
      <c r="K1107" s="0" t="inlineStr">
        <is>
          <t>YES! 	 c_dt2_1列源备映射正确，源端为datetime2 None位	期望更改为datetime2(n)	实际备端为datetime2 None位</t>
        </is>
      </c>
    </row>
    <row r="1108">
      <c r="B1108" s="0" t="inlineStr">
        <is>
          <t>NULL</t>
        </is>
      </c>
      <c r="C1108" s="0" t="inlineStr">
        <is>
          <t>NULL</t>
        </is>
      </c>
      <c r="D1108" s="0" t="inlineStr">
        <is>
          <t>NULL</t>
        </is>
      </c>
      <c r="E1108" s="0" t="inlineStr">
        <is>
          <t>NULL</t>
        </is>
      </c>
      <c r="F1108" s="0" t="inlineStr">
        <is>
          <t>NULL</t>
        </is>
      </c>
      <c r="G1108" s="0" t="inlineStr">
        <is>
          <t>NULL</t>
        </is>
      </c>
      <c r="H1108" s="0" t="inlineStr">
        <is>
          <t>NULL</t>
        </is>
      </c>
      <c r="I1108" s="0" t="inlineStr">
        <is>
          <t>NULL</t>
        </is>
      </c>
      <c r="J1108" s="0" t="inlineStr">
        <is>
          <t>NULL</t>
        </is>
      </c>
      <c r="K1108" s="0" t="inlineStr">
        <is>
          <t>YES! 	 c_dt2_2列源备映射正确，源端为datetime2 None位	期望更改为datetime2(n)	实际备端为datetime2 None位</t>
        </is>
      </c>
    </row>
    <row r="1109">
      <c r="B1109" s="0" t="inlineStr">
        <is>
          <t>NULL</t>
        </is>
      </c>
      <c r="C1109" s="0" t="inlineStr">
        <is>
          <t>NULL</t>
        </is>
      </c>
      <c r="D1109" s="0" t="inlineStr">
        <is>
          <t>NULL</t>
        </is>
      </c>
      <c r="E1109" s="0" t="inlineStr">
        <is>
          <t>NULL</t>
        </is>
      </c>
      <c r="F1109" s="0" t="inlineStr">
        <is>
          <t>NULL</t>
        </is>
      </c>
      <c r="G1109" s="0" t="inlineStr">
        <is>
          <t>NULL</t>
        </is>
      </c>
      <c r="H1109" s="0" t="inlineStr">
        <is>
          <t>NULL</t>
        </is>
      </c>
      <c r="I1109" s="0" t="inlineStr">
        <is>
          <t>NULL</t>
        </is>
      </c>
      <c r="J1109" s="0" t="inlineStr">
        <is>
          <t>NULL</t>
        </is>
      </c>
      <c r="K1109" s="0" t="inlineStr">
        <is>
          <t>YES! 	 c_dt2_3列源备映射正确，源端为datetime2 None位	期望更改为datetime2(n)	实际备端为datetime2 None位</t>
        </is>
      </c>
    </row>
    <row r="1110">
      <c r="B1110" s="0" t="inlineStr">
        <is>
          <t>NULL</t>
        </is>
      </c>
      <c r="C1110" s="0" t="inlineStr">
        <is>
          <t>NULL</t>
        </is>
      </c>
      <c r="D1110" s="0" t="inlineStr">
        <is>
          <t>NULL</t>
        </is>
      </c>
      <c r="E1110" s="0" t="inlineStr">
        <is>
          <t>NULL</t>
        </is>
      </c>
      <c r="F1110" s="0" t="inlineStr">
        <is>
          <t>NULL</t>
        </is>
      </c>
      <c r="G1110" s="0" t="inlineStr">
        <is>
          <t>NULL</t>
        </is>
      </c>
      <c r="H1110" s="0" t="inlineStr">
        <is>
          <t>NULL</t>
        </is>
      </c>
      <c r="I1110" s="0" t="inlineStr">
        <is>
          <t>NULL</t>
        </is>
      </c>
      <c r="J1110" s="0" t="inlineStr">
        <is>
          <t>NULL</t>
        </is>
      </c>
      <c r="K1110" s="0" t="inlineStr">
        <is>
          <t>YES! 	 c_dt2_4列源备映射正确，源端为datetime2 None位	期望更改为datetime2(n)	实际备端为datetime2 None位</t>
        </is>
      </c>
    </row>
    <row r="1111">
      <c r="B1111" s="0" t="inlineStr">
        <is>
          <t>NULL</t>
        </is>
      </c>
      <c r="C1111" s="0" t="inlineStr">
        <is>
          <t>NULL</t>
        </is>
      </c>
      <c r="D1111" s="0" t="inlineStr">
        <is>
          <t>NULL</t>
        </is>
      </c>
      <c r="E1111" s="0" t="inlineStr">
        <is>
          <t>NULL</t>
        </is>
      </c>
      <c r="F1111" s="0" t="inlineStr">
        <is>
          <t>NULL</t>
        </is>
      </c>
      <c r="G1111" s="0" t="inlineStr">
        <is>
          <t>NULL</t>
        </is>
      </c>
      <c r="H1111" s="0" t="inlineStr">
        <is>
          <t>NULL</t>
        </is>
      </c>
      <c r="I1111" s="0" t="inlineStr">
        <is>
          <t>NULL</t>
        </is>
      </c>
      <c r="J1111" s="0" t="inlineStr">
        <is>
          <t>NULL</t>
        </is>
      </c>
      <c r="K1111" s="0" t="inlineStr">
        <is>
          <t>YES! 	 c_dt2_5列源备映射正确，源端为datetime2 None位	期望更改为datetime2(n)	实际备端为datetime2 None位</t>
        </is>
      </c>
    </row>
    <row r="1112">
      <c r="B1112" s="0" t="inlineStr">
        <is>
          <t>NULL</t>
        </is>
      </c>
      <c r="C1112" s="0" t="inlineStr">
        <is>
          <t>NULL</t>
        </is>
      </c>
      <c r="D1112" s="0" t="inlineStr">
        <is>
          <t>NULL</t>
        </is>
      </c>
      <c r="E1112" s="0" t="inlineStr">
        <is>
          <t>NULL</t>
        </is>
      </c>
      <c r="F1112" s="0" t="inlineStr">
        <is>
          <t>NULL</t>
        </is>
      </c>
      <c r="G1112" s="0" t="inlineStr">
        <is>
          <t>NULL</t>
        </is>
      </c>
      <c r="H1112" s="0" t="inlineStr">
        <is>
          <t>NULL</t>
        </is>
      </c>
      <c r="I1112" s="0" t="inlineStr">
        <is>
          <t>NULL</t>
        </is>
      </c>
      <c r="J1112" s="0" t="inlineStr">
        <is>
          <t>NULL</t>
        </is>
      </c>
      <c r="K1112" s="0" t="inlineStr">
        <is>
          <t>YES! 	 c_dt2_6列源备映射正确，源端为datetime2 None位	期望更改为datetime2(n)	实际备端为datetime2 None位</t>
        </is>
      </c>
    </row>
    <row r="1113">
      <c r="B1113" s="0" t="inlineStr">
        <is>
          <t>NULL</t>
        </is>
      </c>
      <c r="C1113" s="0" t="inlineStr">
        <is>
          <t>NULL</t>
        </is>
      </c>
      <c r="D1113" s="0" t="inlineStr">
        <is>
          <t>NULL</t>
        </is>
      </c>
      <c r="E1113" s="0" t="inlineStr">
        <is>
          <t>NULL</t>
        </is>
      </c>
      <c r="F1113" s="0" t="inlineStr">
        <is>
          <t>NULL</t>
        </is>
      </c>
      <c r="G1113" s="0" t="inlineStr">
        <is>
          <t>NULL</t>
        </is>
      </c>
      <c r="H1113" s="0" t="inlineStr">
        <is>
          <t>NULL</t>
        </is>
      </c>
      <c r="I1113" s="0" t="inlineStr">
        <is>
          <t>NULL</t>
        </is>
      </c>
      <c r="J1113" s="0" t="inlineStr">
        <is>
          <t>NULL</t>
        </is>
      </c>
      <c r="K1113" s="0" t="inlineStr">
        <is>
          <t>YES! 	 c_dt2列源备映射正确，源端为datetime2 None位	期望更改为datetime2(n)	实际备端为datetime2 None位</t>
        </is>
      </c>
    </row>
    <row r="1114">
      <c r="A1114" s="0" t="inlineStr">
        <is>
          <t>info_datetime_dml_single_pk_irp</t>
        </is>
      </c>
      <c r="K1114" s="0" t="inlineStr">
        <is>
          <t>[0;34m info_datetime_dml_single_pk_irp [0m源备字段数相同，源端字段：2 	备端字段2</t>
        </is>
      </c>
      <c r="W1114" s="0" t="inlineStr">
        <is>
          <t>YES 源备无差异</t>
        </is>
      </c>
      <c r="X1114" s="0">
        <f>A1114</f>
        <v/>
      </c>
    </row>
    <row r="1115">
      <c r="B1115" s="0" t="inlineStr">
        <is>
          <t>YES</t>
        </is>
      </c>
      <c r="C1115" s="0" t="inlineStr">
        <is>
          <t>NULL</t>
        </is>
      </c>
      <c r="D1115" s="0" t="inlineStr">
        <is>
          <t>NULL</t>
        </is>
      </c>
      <c r="E1115" s="0" t="inlineStr">
        <is>
          <t>NULL</t>
        </is>
      </c>
      <c r="F1115" s="0" t="inlineStr">
        <is>
          <t>NULL</t>
        </is>
      </c>
      <c r="G1115" s="0" t="inlineStr">
        <is>
          <t>NULL</t>
        </is>
      </c>
      <c r="H1115" s="0" t="inlineStr">
        <is>
          <t>NULL</t>
        </is>
      </c>
      <c r="I1115" s="0" t="inlineStr">
        <is>
          <t>YES!PK__info_dat__3213E83F9B704CC8</t>
        </is>
      </c>
      <c r="J1115" s="0" t="inlineStr">
        <is>
          <t>YES! 主键相关索引</t>
        </is>
      </c>
      <c r="K1115" s="0" t="inlineStr">
        <is>
          <t>YES! 	 id列源备映射正确，源端为int None位	期望更改为int	实际备端为int None位</t>
        </is>
      </c>
    </row>
    <row r="1116">
      <c r="B1116" s="0" t="inlineStr">
        <is>
          <t>NULL</t>
        </is>
      </c>
      <c r="C1116" s="0" t="inlineStr">
        <is>
          <t>NULL</t>
        </is>
      </c>
      <c r="D1116" s="0" t="inlineStr">
        <is>
          <t>NULL</t>
        </is>
      </c>
      <c r="E1116" s="0" t="inlineStr">
        <is>
          <t>NULL</t>
        </is>
      </c>
      <c r="F1116" s="0" t="inlineStr">
        <is>
          <t>NULL</t>
        </is>
      </c>
      <c r="G1116" s="0" t="inlineStr">
        <is>
          <t>NULL</t>
        </is>
      </c>
      <c r="H1116" s="0" t="inlineStr">
        <is>
          <t>NULL</t>
        </is>
      </c>
      <c r="I1116" s="0" t="inlineStr">
        <is>
          <t>NULL</t>
        </is>
      </c>
      <c r="J1116" s="0" t="inlineStr">
        <is>
          <t>NULL</t>
        </is>
      </c>
      <c r="K1116" s="0" t="inlineStr">
        <is>
          <t>YES! 	 c_datetime列源备映射正确，源端为datetime None位	期望更改为datetime	实际备端为datetime None位</t>
        </is>
      </c>
    </row>
    <row r="1117">
      <c r="A1117" s="0" t="inlineStr">
        <is>
          <t>info_nvarchar_dml_batch2_pk_irp2</t>
        </is>
      </c>
      <c r="K1117" s="0" t="inlineStr">
        <is>
          <t>[0;34m info_nvarchar_dml_batch2_pk_irp2 [0m源备字段数相同，源端字段：4 	备端字段4</t>
        </is>
      </c>
      <c r="W1117" s="0" t="inlineStr">
        <is>
          <t>YES 源备无差异</t>
        </is>
      </c>
      <c r="X1117" s="0">
        <f>A1117</f>
        <v/>
      </c>
    </row>
    <row r="1118">
      <c r="B1118" s="0" t="inlineStr">
        <is>
          <t>YES</t>
        </is>
      </c>
      <c r="C1118" s="0" t="inlineStr">
        <is>
          <t>NULL</t>
        </is>
      </c>
      <c r="D1118" s="0" t="inlineStr">
        <is>
          <t>NULL</t>
        </is>
      </c>
      <c r="E1118" s="0" t="inlineStr">
        <is>
          <t>NULL</t>
        </is>
      </c>
      <c r="F1118" s="0" t="inlineStr">
        <is>
          <t>NULL</t>
        </is>
      </c>
      <c r="G1118" s="0" t="inlineStr">
        <is>
          <t>NULL</t>
        </is>
      </c>
      <c r="H1118" s="0" t="inlineStr">
        <is>
          <t>NULL</t>
        </is>
      </c>
      <c r="I1118" s="0" t="inlineStr">
        <is>
          <t>YES!PK__info_nva__3213E83F40A54535</t>
        </is>
      </c>
      <c r="J1118" s="0" t="inlineStr">
        <is>
          <t>YES! 主键相关索引</t>
        </is>
      </c>
      <c r="K1118" s="0" t="inlineStr">
        <is>
          <t>YES! 	 id列源备映射正确，源端为int None位	期望更改为int	实际备端为int None位</t>
        </is>
      </c>
    </row>
    <row r="1119">
      <c r="B1119" s="0" t="inlineStr">
        <is>
          <t>NULL</t>
        </is>
      </c>
      <c r="C1119" s="0" t="inlineStr">
        <is>
          <t>NULL</t>
        </is>
      </c>
      <c r="D1119" s="0" t="inlineStr">
        <is>
          <t>NULL</t>
        </is>
      </c>
      <c r="E1119" s="0" t="inlineStr">
        <is>
          <t>NULL</t>
        </is>
      </c>
      <c r="F1119" s="0" t="inlineStr">
        <is>
          <t>NULL</t>
        </is>
      </c>
      <c r="G1119" s="0" t="inlineStr">
        <is>
          <t>NULL</t>
        </is>
      </c>
      <c r="H1119" s="0" t="inlineStr">
        <is>
          <t>NULL</t>
        </is>
      </c>
      <c r="I1119" s="0" t="inlineStr">
        <is>
          <t>NULL</t>
        </is>
      </c>
      <c r="J1119" s="0" t="inlineStr">
        <is>
          <t>NULL</t>
        </is>
      </c>
      <c r="K1119" s="0" t="inlineStr">
        <is>
          <t>YES! 	 c_nvarchar列源备映射正确，源端为nvarchar 2位	期望更改为nvarchar(n)	实际备端为nvarchar 2位</t>
        </is>
      </c>
    </row>
    <row r="1120">
      <c r="B1120" s="0" t="inlineStr">
        <is>
          <t>NULL</t>
        </is>
      </c>
      <c r="C1120" s="0" t="inlineStr">
        <is>
          <t>NULL</t>
        </is>
      </c>
      <c r="D1120" s="0" t="inlineStr">
        <is>
          <t>NULL</t>
        </is>
      </c>
      <c r="E1120" s="0" t="inlineStr">
        <is>
          <t>NULL</t>
        </is>
      </c>
      <c r="F1120" s="0" t="inlineStr">
        <is>
          <t>NULL</t>
        </is>
      </c>
      <c r="G1120" s="0" t="inlineStr">
        <is>
          <t>NULL</t>
        </is>
      </c>
      <c r="H1120" s="0" t="inlineStr">
        <is>
          <t>NULL</t>
        </is>
      </c>
      <c r="I1120" s="0" t="inlineStr">
        <is>
          <t>NULL</t>
        </is>
      </c>
      <c r="J1120" s="0" t="inlineStr">
        <is>
          <t>NULL</t>
        </is>
      </c>
      <c r="K1120" s="0" t="inlineStr">
        <is>
          <t>YES! 	 c_nvarchar20列源备映射正确，源端为nvarchar 40位	期望更改为nvarchar(n)	实际备端为nvarchar 40位</t>
        </is>
      </c>
    </row>
    <row r="1121">
      <c r="B1121" s="0" t="inlineStr">
        <is>
          <t>NULL</t>
        </is>
      </c>
      <c r="C1121" s="0" t="inlineStr">
        <is>
          <t>NULL</t>
        </is>
      </c>
      <c r="D1121" s="0" t="inlineStr">
        <is>
          <t>NULL</t>
        </is>
      </c>
      <c r="E1121" s="0" t="inlineStr">
        <is>
          <t>NULL</t>
        </is>
      </c>
      <c r="F1121" s="0" t="inlineStr">
        <is>
          <t>NULL</t>
        </is>
      </c>
      <c r="G1121" s="0" t="inlineStr">
        <is>
          <t>NULL</t>
        </is>
      </c>
      <c r="H1121" s="0" t="inlineStr">
        <is>
          <t>NULL</t>
        </is>
      </c>
      <c r="I1121" s="0" t="inlineStr">
        <is>
          <t>NULL</t>
        </is>
      </c>
      <c r="J1121" s="0" t="inlineStr">
        <is>
          <t>NULL</t>
        </is>
      </c>
      <c r="K1121" s="0" t="inlineStr">
        <is>
          <t>YES! 	 c_nvarchar3500列源备映射正确，源端为nvarchar 7000位	期望更改为nvarchar(n)	实际备端为nvarchar 7000位</t>
        </is>
      </c>
    </row>
    <row r="1122">
      <c r="A1122" s="0" t="inlineStr">
        <is>
          <t>info_binary_dml_single_nopk_urp</t>
        </is>
      </c>
      <c r="K1122" s="0" t="inlineStr">
        <is>
          <t>[0;34m info_binary_dml_single_nopk_urp [0m源备字段数相同，源端字段：4 	备端字段4</t>
        </is>
      </c>
      <c r="W1122" s="0" t="inlineStr">
        <is>
          <t>YES 源备无差异</t>
        </is>
      </c>
      <c r="X1122" s="0">
        <f>A1122</f>
        <v/>
      </c>
    </row>
    <row r="1123">
      <c r="B1123" s="0" t="inlineStr">
        <is>
          <t>NULL</t>
        </is>
      </c>
      <c r="C1123" s="0" t="inlineStr">
        <is>
          <t>NULL</t>
        </is>
      </c>
      <c r="D1123" s="0" t="inlineStr">
        <is>
          <t>NULL</t>
        </is>
      </c>
      <c r="E1123" s="0" t="inlineStr">
        <is>
          <t>NULL</t>
        </is>
      </c>
      <c r="F1123" s="0" t="inlineStr">
        <is>
          <t>NULL</t>
        </is>
      </c>
      <c r="G1123" s="0" t="inlineStr">
        <is>
          <t>NULL</t>
        </is>
      </c>
      <c r="H1123" s="0" t="inlineStr">
        <is>
          <t>NULL</t>
        </is>
      </c>
      <c r="I1123" s="0" t="inlineStr">
        <is>
          <t>NULL</t>
        </is>
      </c>
      <c r="J1123" s="0" t="inlineStr">
        <is>
          <t>NULL</t>
        </is>
      </c>
      <c r="K1123" s="0" t="inlineStr">
        <is>
          <t>YES! 	 id列源备映射正确，源端为int None位	期望更改为int	实际备端为int None位</t>
        </is>
      </c>
    </row>
    <row r="1124">
      <c r="B1124" s="0" t="inlineStr">
        <is>
          <t>NULL</t>
        </is>
      </c>
      <c r="C1124" s="0" t="inlineStr">
        <is>
          <t>NULL</t>
        </is>
      </c>
      <c r="D1124" s="0" t="inlineStr">
        <is>
          <t>NULL</t>
        </is>
      </c>
      <c r="E1124" s="0" t="inlineStr">
        <is>
          <t>NULL</t>
        </is>
      </c>
      <c r="F1124" s="0" t="inlineStr">
        <is>
          <t>NULL</t>
        </is>
      </c>
      <c r="G1124" s="0" t="inlineStr">
        <is>
          <t>NULL</t>
        </is>
      </c>
      <c r="H1124" s="0" t="inlineStr">
        <is>
          <t>NULL</t>
        </is>
      </c>
      <c r="I1124" s="0" t="inlineStr">
        <is>
          <t>NULL</t>
        </is>
      </c>
      <c r="J1124" s="0" t="inlineStr">
        <is>
          <t>NULL</t>
        </is>
      </c>
      <c r="K1124" s="0" t="inlineStr">
        <is>
          <t>YES! 	 c_binary列源备映射正确，源端为binary 1位	期望更改为binary(n)	实际备端为binary 1位</t>
        </is>
      </c>
    </row>
    <row r="1125">
      <c r="B1125" s="0" t="inlineStr">
        <is>
          <t>NULL</t>
        </is>
      </c>
      <c r="C1125" s="0" t="inlineStr">
        <is>
          <t>NULL</t>
        </is>
      </c>
      <c r="D1125" s="0" t="inlineStr">
        <is>
          <t>NULL</t>
        </is>
      </c>
      <c r="E1125" s="0" t="inlineStr">
        <is>
          <t>NULL</t>
        </is>
      </c>
      <c r="F1125" s="0" t="inlineStr">
        <is>
          <t>NULL</t>
        </is>
      </c>
      <c r="G1125" s="0" t="inlineStr">
        <is>
          <t>NULL</t>
        </is>
      </c>
      <c r="H1125" s="0" t="inlineStr">
        <is>
          <t>NULL</t>
        </is>
      </c>
      <c r="I1125" s="0" t="inlineStr">
        <is>
          <t>NULL</t>
        </is>
      </c>
      <c r="J1125" s="0" t="inlineStr">
        <is>
          <t>NULL</t>
        </is>
      </c>
      <c r="K1125" s="0" t="inlineStr">
        <is>
          <t>YES! 	 c_binary_20列源备映射正确，源端为binary 20位	期望更改为binary(n)	实际备端为binary 20位</t>
        </is>
      </c>
    </row>
    <row r="1126">
      <c r="B1126" s="0" t="inlineStr">
        <is>
          <t>NULL</t>
        </is>
      </c>
      <c r="C1126" s="0" t="inlineStr">
        <is>
          <t>NULL</t>
        </is>
      </c>
      <c r="D1126" s="0" t="inlineStr">
        <is>
          <t>NULL</t>
        </is>
      </c>
      <c r="E1126" s="0" t="inlineStr">
        <is>
          <t>NULL</t>
        </is>
      </c>
      <c r="F1126" s="0" t="inlineStr">
        <is>
          <t>NULL</t>
        </is>
      </c>
      <c r="G1126" s="0" t="inlineStr">
        <is>
          <t>NULL</t>
        </is>
      </c>
      <c r="H1126" s="0" t="inlineStr">
        <is>
          <t>NULL</t>
        </is>
      </c>
      <c r="I1126" s="0" t="inlineStr">
        <is>
          <t>NULL</t>
        </is>
      </c>
      <c r="J1126" s="0" t="inlineStr">
        <is>
          <t>NULL</t>
        </is>
      </c>
      <c r="K1126" s="0" t="inlineStr">
        <is>
          <t>YES! 	 c_binary_8000列源备映射正确，源端为binary 8000位	期望更改为binary(n)	实际备端为binary 8000位</t>
        </is>
      </c>
    </row>
    <row r="1127">
      <c r="A1127" s="0" t="inlineStr">
        <is>
          <t>info_sdt_dml_single_pk</t>
        </is>
      </c>
      <c r="K1127" s="0" t="inlineStr">
        <is>
          <t>[0;34m info_sdt_dml_single_pk [0m源备字段数相同，源端字段：2 	备端字段2</t>
        </is>
      </c>
      <c r="W1127" s="0" t="inlineStr">
        <is>
          <t>YES 源备无差异</t>
        </is>
      </c>
      <c r="X1127" s="0">
        <f>A1127</f>
        <v/>
      </c>
    </row>
    <row r="1128">
      <c r="B1128" s="0" t="inlineStr">
        <is>
          <t>YES</t>
        </is>
      </c>
      <c r="C1128" s="0" t="inlineStr">
        <is>
          <t>NULL</t>
        </is>
      </c>
      <c r="D1128" s="0" t="inlineStr">
        <is>
          <t>NULL</t>
        </is>
      </c>
      <c r="E1128" s="0" t="inlineStr">
        <is>
          <t>NULL</t>
        </is>
      </c>
      <c r="F1128" s="0" t="inlineStr">
        <is>
          <t>NULL</t>
        </is>
      </c>
      <c r="G1128" s="0" t="inlineStr">
        <is>
          <t>NULL</t>
        </is>
      </c>
      <c r="H1128" s="0" t="inlineStr">
        <is>
          <t>NULL</t>
        </is>
      </c>
      <c r="I1128" s="0" t="inlineStr">
        <is>
          <t>YES!PK__info_sdt__3213E83F38803C50</t>
        </is>
      </c>
      <c r="J1128" s="0" t="inlineStr">
        <is>
          <t>YES! 主键相关索引</t>
        </is>
      </c>
      <c r="K1128" s="0" t="inlineStr">
        <is>
          <t>YES! 	 id列源备映射正确，源端为int None位	期望更改为int	实际备端为int None位</t>
        </is>
      </c>
    </row>
    <row r="1129">
      <c r="B1129" s="0" t="inlineStr">
        <is>
          <t>NULL</t>
        </is>
      </c>
      <c r="C1129" s="0" t="inlineStr">
        <is>
          <t>NULL</t>
        </is>
      </c>
      <c r="D1129" s="0" t="inlineStr">
        <is>
          <t>NULL</t>
        </is>
      </c>
      <c r="E1129" s="0" t="inlineStr">
        <is>
          <t>NULL</t>
        </is>
      </c>
      <c r="F1129" s="0" t="inlineStr">
        <is>
          <t>NULL</t>
        </is>
      </c>
      <c r="G1129" s="0" t="inlineStr">
        <is>
          <t>NULL</t>
        </is>
      </c>
      <c r="H1129" s="0" t="inlineStr">
        <is>
          <t>NULL</t>
        </is>
      </c>
      <c r="I1129" s="0" t="inlineStr">
        <is>
          <t>NULL</t>
        </is>
      </c>
      <c r="J1129" s="0" t="inlineStr">
        <is>
          <t>NULL</t>
        </is>
      </c>
      <c r="K1129" s="0" t="inlineStr">
        <is>
          <t>YES! 	 c_sdt列源备映射正确，源端为smalldatetime None位	期望更改为smalldatetime	实际备端为smalldatetime None位</t>
        </is>
      </c>
    </row>
    <row r="1130">
      <c r="A1130" s="0" t="inlineStr">
        <is>
          <t>info_xml_dml_single_nopk_drp</t>
        </is>
      </c>
      <c r="K1130" s="0" t="inlineStr">
        <is>
          <t>[0;34m info_xml_dml_single_nopk_drp [0m源备字段数相同，源端字段：2 	备端字段2</t>
        </is>
      </c>
      <c r="W1130" s="0" t="inlineStr">
        <is>
          <t>YES 源备无差异</t>
        </is>
      </c>
      <c r="X1130" s="0">
        <f>A1130</f>
        <v/>
      </c>
    </row>
    <row r="1131">
      <c r="B1131" s="0" t="inlineStr">
        <is>
          <t>NULL</t>
        </is>
      </c>
      <c r="C1131" s="0" t="inlineStr">
        <is>
          <t>NULL</t>
        </is>
      </c>
      <c r="D1131" s="0" t="inlineStr">
        <is>
          <t>NULL</t>
        </is>
      </c>
      <c r="E1131" s="0" t="inlineStr">
        <is>
          <t>NULL</t>
        </is>
      </c>
      <c r="F1131" s="0" t="inlineStr">
        <is>
          <t>NULL</t>
        </is>
      </c>
      <c r="G1131" s="0" t="inlineStr">
        <is>
          <t>NULL</t>
        </is>
      </c>
      <c r="H1131" s="0" t="inlineStr">
        <is>
          <t>NULL</t>
        </is>
      </c>
      <c r="I1131" s="0" t="inlineStr">
        <is>
          <t>NULL</t>
        </is>
      </c>
      <c r="J1131" s="0" t="inlineStr">
        <is>
          <t>NULL</t>
        </is>
      </c>
      <c r="K1131" s="0" t="inlineStr">
        <is>
          <t>YES! 	 id列源备映射正确，源端为int None位	期望更改为int	实际备端为int None位</t>
        </is>
      </c>
    </row>
    <row r="1132">
      <c r="B1132" s="0" t="inlineStr">
        <is>
          <t>NULL</t>
        </is>
      </c>
      <c r="C1132" s="0" t="inlineStr">
        <is>
          <t>NULL</t>
        </is>
      </c>
      <c r="D1132" s="0" t="inlineStr">
        <is>
          <t>NULL</t>
        </is>
      </c>
      <c r="E1132" s="0" t="inlineStr">
        <is>
          <t>NULL</t>
        </is>
      </c>
      <c r="F1132" s="0" t="inlineStr">
        <is>
          <t>NULL</t>
        </is>
      </c>
      <c r="G1132" s="0" t="inlineStr">
        <is>
          <t>NULL</t>
        </is>
      </c>
      <c r="H1132" s="0" t="inlineStr">
        <is>
          <t>NULL</t>
        </is>
      </c>
      <c r="I1132" s="0" t="inlineStr">
        <is>
          <t>NULL</t>
        </is>
      </c>
      <c r="J1132" s="0" t="inlineStr">
        <is>
          <t>NULL</t>
        </is>
      </c>
      <c r="K1132" s="0" t="inlineStr">
        <is>
          <t>YES! 	 c_xml列源备映射正确，源端为xml -1位	期望更改为xml	实际备端为xml -1位</t>
        </is>
      </c>
    </row>
    <row r="1133">
      <c r="A1133" s="0" t="inlineStr">
        <is>
          <t>info_xml_dml_single_nopk</t>
        </is>
      </c>
      <c r="K1133" s="0" t="inlineStr">
        <is>
          <t>[0;34m info_xml_dml_single_nopk [0m源备字段数相同，源端字段：2 	备端字段2</t>
        </is>
      </c>
      <c r="W1133" s="0" t="inlineStr">
        <is>
          <t>YES 源备无差异</t>
        </is>
      </c>
      <c r="X1133" s="0">
        <f>A1133</f>
        <v/>
      </c>
    </row>
    <row r="1134">
      <c r="B1134" s="0" t="inlineStr">
        <is>
          <t>NULL</t>
        </is>
      </c>
      <c r="C1134" s="0" t="inlineStr">
        <is>
          <t>NULL</t>
        </is>
      </c>
      <c r="D1134" s="0" t="inlineStr">
        <is>
          <t>NULL</t>
        </is>
      </c>
      <c r="E1134" s="0" t="inlineStr">
        <is>
          <t>NULL</t>
        </is>
      </c>
      <c r="F1134" s="0" t="inlineStr">
        <is>
          <t>NULL</t>
        </is>
      </c>
      <c r="G1134" s="0" t="inlineStr">
        <is>
          <t>NULL</t>
        </is>
      </c>
      <c r="H1134" s="0" t="inlineStr">
        <is>
          <t>NULL</t>
        </is>
      </c>
      <c r="I1134" s="0" t="inlineStr">
        <is>
          <t>NULL</t>
        </is>
      </c>
      <c r="J1134" s="0" t="inlineStr">
        <is>
          <t>NULL</t>
        </is>
      </c>
      <c r="K1134" s="0" t="inlineStr">
        <is>
          <t>YES! 	 id列源备映射正确，源端为int None位	期望更改为int	实际备端为int None位</t>
        </is>
      </c>
    </row>
    <row r="1135">
      <c r="B1135" s="0" t="inlineStr">
        <is>
          <t>NULL</t>
        </is>
      </c>
      <c r="C1135" s="0" t="inlineStr">
        <is>
          <t>NULL</t>
        </is>
      </c>
      <c r="D1135" s="0" t="inlineStr">
        <is>
          <t>NULL</t>
        </is>
      </c>
      <c r="E1135" s="0" t="inlineStr">
        <is>
          <t>NULL</t>
        </is>
      </c>
      <c r="F1135" s="0" t="inlineStr">
        <is>
          <t>NULL</t>
        </is>
      </c>
      <c r="G1135" s="0" t="inlineStr">
        <is>
          <t>NULL</t>
        </is>
      </c>
      <c r="H1135" s="0" t="inlineStr">
        <is>
          <t>NULL</t>
        </is>
      </c>
      <c r="I1135" s="0" t="inlineStr">
        <is>
          <t>NULL</t>
        </is>
      </c>
      <c r="J1135" s="0" t="inlineStr">
        <is>
          <t>NULL</t>
        </is>
      </c>
      <c r="K1135" s="0" t="inlineStr">
        <is>
          <t>YES! 	 c_xml列源备映射正确，源端为xml -1位	期望更改为xml	实际备端为xml -1位</t>
        </is>
      </c>
    </row>
    <row r="1136">
      <c r="A1136" s="0" t="inlineStr">
        <is>
          <t>info_datetime2_dml_batch1_pk</t>
        </is>
      </c>
      <c r="K1136" s="0" t="inlineStr">
        <is>
          <t>[0;34m info_datetime2_dml_batch1_pk [0m源备字段数相同，源端字段：9 	备端字段9</t>
        </is>
      </c>
      <c r="W1136" s="0" t="inlineStr">
        <is>
          <t>YES 源备无差异</t>
        </is>
      </c>
      <c r="X1136" s="0">
        <f>A1136</f>
        <v/>
      </c>
    </row>
    <row r="1137">
      <c r="B1137" s="0" t="inlineStr">
        <is>
          <t>YES</t>
        </is>
      </c>
      <c r="C1137" s="0" t="inlineStr">
        <is>
          <t>NULL</t>
        </is>
      </c>
      <c r="D1137" s="0" t="inlineStr">
        <is>
          <t>NULL</t>
        </is>
      </c>
      <c r="E1137" s="0" t="inlineStr">
        <is>
          <t>NULL</t>
        </is>
      </c>
      <c r="F1137" s="0" t="inlineStr">
        <is>
          <t>NULL</t>
        </is>
      </c>
      <c r="G1137" s="0" t="inlineStr">
        <is>
          <t>NULL</t>
        </is>
      </c>
      <c r="H1137" s="0" t="inlineStr">
        <is>
          <t>NULL</t>
        </is>
      </c>
      <c r="I1137" s="0" t="inlineStr">
        <is>
          <t>YES!PK__info_dat__3213E83F40C47290</t>
        </is>
      </c>
      <c r="J1137" s="0" t="inlineStr">
        <is>
          <t>YES! 主键相关索引</t>
        </is>
      </c>
      <c r="K1137" s="0" t="inlineStr">
        <is>
          <t>YES! 	 id列源备映射正确，源端为int None位	期望更改为int	实际备端为int None位</t>
        </is>
      </c>
    </row>
    <row r="1138">
      <c r="B1138" s="0" t="inlineStr">
        <is>
          <t>NULL</t>
        </is>
      </c>
      <c r="C1138" s="0" t="inlineStr">
        <is>
          <t>NULL</t>
        </is>
      </c>
      <c r="D1138" s="0" t="inlineStr">
        <is>
          <t>NULL</t>
        </is>
      </c>
      <c r="E1138" s="0" t="inlineStr">
        <is>
          <t>NULL</t>
        </is>
      </c>
      <c r="F1138" s="0" t="inlineStr">
        <is>
          <t>NULL</t>
        </is>
      </c>
      <c r="G1138" s="0" t="inlineStr">
        <is>
          <t>NULL</t>
        </is>
      </c>
      <c r="H1138" s="0" t="inlineStr">
        <is>
          <t>NULL</t>
        </is>
      </c>
      <c r="I1138" s="0" t="inlineStr">
        <is>
          <t>NULL</t>
        </is>
      </c>
      <c r="J1138" s="0" t="inlineStr">
        <is>
          <t>NULL</t>
        </is>
      </c>
      <c r="K1138" s="0" t="inlineStr">
        <is>
          <t>no,len不存在</t>
        </is>
      </c>
    </row>
    <row r="1139">
      <c r="B1139" s="0" t="inlineStr">
        <is>
          <t>NULL</t>
        </is>
      </c>
      <c r="C1139" s="0" t="inlineStr">
        <is>
          <t>NULL</t>
        </is>
      </c>
      <c r="D1139" s="0" t="inlineStr">
        <is>
          <t>NULL</t>
        </is>
      </c>
      <c r="E1139" s="0" t="inlineStr">
        <is>
          <t>NULL</t>
        </is>
      </c>
      <c r="F1139" s="0" t="inlineStr">
        <is>
          <t>NULL</t>
        </is>
      </c>
      <c r="G1139" s="0" t="inlineStr">
        <is>
          <t>NULL</t>
        </is>
      </c>
      <c r="H1139" s="0" t="inlineStr">
        <is>
          <t>NULL</t>
        </is>
      </c>
      <c r="I1139" s="0" t="inlineStr">
        <is>
          <t>NULL</t>
        </is>
      </c>
      <c r="J1139" s="0" t="inlineStr">
        <is>
          <t>NULL</t>
        </is>
      </c>
      <c r="K1139" s="0" t="inlineStr">
        <is>
          <t>YES! 	 c_dt2_1列源备映射正确，源端为datetime2 None位	期望更改为datetime2(n)	实际备端为datetime2 None位</t>
        </is>
      </c>
    </row>
    <row r="1140">
      <c r="B1140" s="0" t="inlineStr">
        <is>
          <t>NULL</t>
        </is>
      </c>
      <c r="C1140" s="0" t="inlineStr">
        <is>
          <t>NULL</t>
        </is>
      </c>
      <c r="D1140" s="0" t="inlineStr">
        <is>
          <t>NULL</t>
        </is>
      </c>
      <c r="E1140" s="0" t="inlineStr">
        <is>
          <t>NULL</t>
        </is>
      </c>
      <c r="F1140" s="0" t="inlineStr">
        <is>
          <t>NULL</t>
        </is>
      </c>
      <c r="G1140" s="0" t="inlineStr">
        <is>
          <t>NULL</t>
        </is>
      </c>
      <c r="H1140" s="0" t="inlineStr">
        <is>
          <t>NULL</t>
        </is>
      </c>
      <c r="I1140" s="0" t="inlineStr">
        <is>
          <t>NULL</t>
        </is>
      </c>
      <c r="J1140" s="0" t="inlineStr">
        <is>
          <t>NULL</t>
        </is>
      </c>
      <c r="K1140" s="0" t="inlineStr">
        <is>
          <t>YES! 	 c_dt2_2列源备映射正确，源端为datetime2 None位	期望更改为datetime2(n)	实际备端为datetime2 None位</t>
        </is>
      </c>
    </row>
    <row r="1141">
      <c r="B1141" s="0" t="inlineStr">
        <is>
          <t>NULL</t>
        </is>
      </c>
      <c r="C1141" s="0" t="inlineStr">
        <is>
          <t>NULL</t>
        </is>
      </c>
      <c r="D1141" s="0" t="inlineStr">
        <is>
          <t>NULL</t>
        </is>
      </c>
      <c r="E1141" s="0" t="inlineStr">
        <is>
          <t>NULL</t>
        </is>
      </c>
      <c r="F1141" s="0" t="inlineStr">
        <is>
          <t>NULL</t>
        </is>
      </c>
      <c r="G1141" s="0" t="inlineStr">
        <is>
          <t>NULL</t>
        </is>
      </c>
      <c r="H1141" s="0" t="inlineStr">
        <is>
          <t>NULL</t>
        </is>
      </c>
      <c r="I1141" s="0" t="inlineStr">
        <is>
          <t>NULL</t>
        </is>
      </c>
      <c r="J1141" s="0" t="inlineStr">
        <is>
          <t>NULL</t>
        </is>
      </c>
      <c r="K1141" s="0" t="inlineStr">
        <is>
          <t>YES! 	 c_dt2_3列源备映射正确，源端为datetime2 None位	期望更改为datetime2(n)	实际备端为datetime2 None位</t>
        </is>
      </c>
    </row>
    <row r="1142">
      <c r="B1142" s="0" t="inlineStr">
        <is>
          <t>NULL</t>
        </is>
      </c>
      <c r="C1142" s="0" t="inlineStr">
        <is>
          <t>NULL</t>
        </is>
      </c>
      <c r="D1142" s="0" t="inlineStr">
        <is>
          <t>NULL</t>
        </is>
      </c>
      <c r="E1142" s="0" t="inlineStr">
        <is>
          <t>NULL</t>
        </is>
      </c>
      <c r="F1142" s="0" t="inlineStr">
        <is>
          <t>NULL</t>
        </is>
      </c>
      <c r="G1142" s="0" t="inlineStr">
        <is>
          <t>NULL</t>
        </is>
      </c>
      <c r="H1142" s="0" t="inlineStr">
        <is>
          <t>NULL</t>
        </is>
      </c>
      <c r="I1142" s="0" t="inlineStr">
        <is>
          <t>NULL</t>
        </is>
      </c>
      <c r="J1142" s="0" t="inlineStr">
        <is>
          <t>NULL</t>
        </is>
      </c>
      <c r="K1142" s="0" t="inlineStr">
        <is>
          <t>YES! 	 c_dt2_4列源备映射正确，源端为datetime2 None位	期望更改为datetime2(n)	实际备端为datetime2 None位</t>
        </is>
      </c>
    </row>
    <row r="1143">
      <c r="B1143" s="0" t="inlineStr">
        <is>
          <t>NULL</t>
        </is>
      </c>
      <c r="C1143" s="0" t="inlineStr">
        <is>
          <t>NULL</t>
        </is>
      </c>
      <c r="D1143" s="0" t="inlineStr">
        <is>
          <t>NULL</t>
        </is>
      </c>
      <c r="E1143" s="0" t="inlineStr">
        <is>
          <t>NULL</t>
        </is>
      </c>
      <c r="F1143" s="0" t="inlineStr">
        <is>
          <t>NULL</t>
        </is>
      </c>
      <c r="G1143" s="0" t="inlineStr">
        <is>
          <t>NULL</t>
        </is>
      </c>
      <c r="H1143" s="0" t="inlineStr">
        <is>
          <t>NULL</t>
        </is>
      </c>
      <c r="I1143" s="0" t="inlineStr">
        <is>
          <t>NULL</t>
        </is>
      </c>
      <c r="J1143" s="0" t="inlineStr">
        <is>
          <t>NULL</t>
        </is>
      </c>
      <c r="K1143" s="0" t="inlineStr">
        <is>
          <t>YES! 	 c_dt2_5列源备映射正确，源端为datetime2 None位	期望更改为datetime2(n)	实际备端为datetime2 None位</t>
        </is>
      </c>
    </row>
    <row r="1144">
      <c r="B1144" s="0" t="inlineStr">
        <is>
          <t>NULL</t>
        </is>
      </c>
      <c r="C1144" s="0" t="inlineStr">
        <is>
          <t>NULL</t>
        </is>
      </c>
      <c r="D1144" s="0" t="inlineStr">
        <is>
          <t>NULL</t>
        </is>
      </c>
      <c r="E1144" s="0" t="inlineStr">
        <is>
          <t>NULL</t>
        </is>
      </c>
      <c r="F1144" s="0" t="inlineStr">
        <is>
          <t>NULL</t>
        </is>
      </c>
      <c r="G1144" s="0" t="inlineStr">
        <is>
          <t>NULL</t>
        </is>
      </c>
      <c r="H1144" s="0" t="inlineStr">
        <is>
          <t>NULL</t>
        </is>
      </c>
      <c r="I1144" s="0" t="inlineStr">
        <is>
          <t>NULL</t>
        </is>
      </c>
      <c r="J1144" s="0" t="inlineStr">
        <is>
          <t>NULL</t>
        </is>
      </c>
      <c r="K1144" s="0" t="inlineStr">
        <is>
          <t>YES! 	 c_dt2_6列源备映射正确，源端为datetime2 None位	期望更改为datetime2(n)	实际备端为datetime2 None位</t>
        </is>
      </c>
    </row>
    <row r="1145">
      <c r="B1145" s="0" t="inlineStr">
        <is>
          <t>NULL</t>
        </is>
      </c>
      <c r="C1145" s="0" t="inlineStr">
        <is>
          <t>NULL</t>
        </is>
      </c>
      <c r="D1145" s="0" t="inlineStr">
        <is>
          <t>NULL</t>
        </is>
      </c>
      <c r="E1145" s="0" t="inlineStr">
        <is>
          <t>NULL</t>
        </is>
      </c>
      <c r="F1145" s="0" t="inlineStr">
        <is>
          <t>NULL</t>
        </is>
      </c>
      <c r="G1145" s="0" t="inlineStr">
        <is>
          <t>NULL</t>
        </is>
      </c>
      <c r="H1145" s="0" t="inlineStr">
        <is>
          <t>NULL</t>
        </is>
      </c>
      <c r="I1145" s="0" t="inlineStr">
        <is>
          <t>NULL</t>
        </is>
      </c>
      <c r="J1145" s="0" t="inlineStr">
        <is>
          <t>NULL</t>
        </is>
      </c>
      <c r="K1145" s="0" t="inlineStr">
        <is>
          <t>YES! 	 c_dt2列源备映射正确，源端为datetime2 None位	期望更改为datetime2(n)	实际备端为datetime2 None位</t>
        </is>
      </c>
    </row>
    <row r="1146">
      <c r="A1146" s="0" t="inlineStr">
        <is>
          <t>info_datetime_dml_single_pk_urp</t>
        </is>
      </c>
      <c r="K1146" s="0" t="inlineStr">
        <is>
          <t>[0;34m info_datetime_dml_single_pk_urp [0m源备字段数相同，源端字段：2 	备端字段2</t>
        </is>
      </c>
      <c r="W1146" s="0" t="inlineStr">
        <is>
          <t>YES 源备无差异</t>
        </is>
      </c>
      <c r="X1146" s="0">
        <f>A1146</f>
        <v/>
      </c>
    </row>
    <row r="1147">
      <c r="B1147" s="0" t="inlineStr">
        <is>
          <t>YES</t>
        </is>
      </c>
      <c r="C1147" s="0" t="inlineStr">
        <is>
          <t>NULL</t>
        </is>
      </c>
      <c r="D1147" s="0" t="inlineStr">
        <is>
          <t>NULL</t>
        </is>
      </c>
      <c r="E1147" s="0" t="inlineStr">
        <is>
          <t>NULL</t>
        </is>
      </c>
      <c r="F1147" s="0" t="inlineStr">
        <is>
          <t>NULL</t>
        </is>
      </c>
      <c r="G1147" s="0" t="inlineStr">
        <is>
          <t>NULL</t>
        </is>
      </c>
      <c r="H1147" s="0" t="inlineStr">
        <is>
          <t>NULL</t>
        </is>
      </c>
      <c r="I1147" s="0" t="inlineStr">
        <is>
          <t>YES!PK__info_dat__3213E83F0D54FDEB</t>
        </is>
      </c>
      <c r="J1147" s="0" t="inlineStr">
        <is>
          <t>YES! 主键相关索引</t>
        </is>
      </c>
      <c r="K1147" s="0" t="inlineStr">
        <is>
          <t>YES! 	 id列源备映射正确，源端为int None位	期望更改为int	实际备端为int None位</t>
        </is>
      </c>
    </row>
    <row r="1148">
      <c r="B1148" s="0" t="inlineStr">
        <is>
          <t>NULL</t>
        </is>
      </c>
      <c r="C1148" s="0" t="inlineStr">
        <is>
          <t>NULL</t>
        </is>
      </c>
      <c r="D1148" s="0" t="inlineStr">
        <is>
          <t>NULL</t>
        </is>
      </c>
      <c r="E1148" s="0" t="inlineStr">
        <is>
          <t>NULL</t>
        </is>
      </c>
      <c r="F1148" s="0" t="inlineStr">
        <is>
          <t>NULL</t>
        </is>
      </c>
      <c r="G1148" s="0" t="inlineStr">
        <is>
          <t>NULL</t>
        </is>
      </c>
      <c r="H1148" s="0" t="inlineStr">
        <is>
          <t>NULL</t>
        </is>
      </c>
      <c r="I1148" s="0" t="inlineStr">
        <is>
          <t>NULL</t>
        </is>
      </c>
      <c r="J1148" s="0" t="inlineStr">
        <is>
          <t>NULL</t>
        </is>
      </c>
      <c r="K1148" s="0" t="inlineStr">
        <is>
          <t>YES! 	 c_datetime列源备映射正确，源端为datetime None位	期望更改为datetime	实际备端为datetime None位</t>
        </is>
      </c>
    </row>
    <row r="1149">
      <c r="A1149" s="0" t="inlineStr">
        <is>
          <t>info_binary_dml_single_nopk_drp</t>
        </is>
      </c>
      <c r="K1149" s="0" t="inlineStr">
        <is>
          <t>[0;34m info_binary_dml_single_nopk_drp [0m源备字段数相同，源端字段：4 	备端字段4</t>
        </is>
      </c>
      <c r="W1149" s="0" t="inlineStr">
        <is>
          <t>YES 源备无差异</t>
        </is>
      </c>
      <c r="X1149" s="0">
        <f>A1149</f>
        <v/>
      </c>
    </row>
    <row r="1150">
      <c r="B1150" s="0" t="inlineStr">
        <is>
          <t>NULL</t>
        </is>
      </c>
      <c r="C1150" s="0" t="inlineStr">
        <is>
          <t>NULL</t>
        </is>
      </c>
      <c r="D1150" s="0" t="inlineStr">
        <is>
          <t>NULL</t>
        </is>
      </c>
      <c r="E1150" s="0" t="inlineStr">
        <is>
          <t>NULL</t>
        </is>
      </c>
      <c r="F1150" s="0" t="inlineStr">
        <is>
          <t>NULL</t>
        </is>
      </c>
      <c r="G1150" s="0" t="inlineStr">
        <is>
          <t>NULL</t>
        </is>
      </c>
      <c r="H1150" s="0" t="inlineStr">
        <is>
          <t>NULL</t>
        </is>
      </c>
      <c r="I1150" s="0" t="inlineStr">
        <is>
          <t>NULL</t>
        </is>
      </c>
      <c r="J1150" s="0" t="inlineStr">
        <is>
          <t>NULL</t>
        </is>
      </c>
      <c r="K1150" s="0" t="inlineStr">
        <is>
          <t>YES! 	 id列源备映射正确，源端为int None位	期望更改为int	实际备端为int None位</t>
        </is>
      </c>
    </row>
    <row r="1151">
      <c r="B1151" s="0" t="inlineStr">
        <is>
          <t>NULL</t>
        </is>
      </c>
      <c r="C1151" s="0" t="inlineStr">
        <is>
          <t>NULL</t>
        </is>
      </c>
      <c r="D1151" s="0" t="inlineStr">
        <is>
          <t>NULL</t>
        </is>
      </c>
      <c r="E1151" s="0" t="inlineStr">
        <is>
          <t>NULL</t>
        </is>
      </c>
      <c r="F1151" s="0" t="inlineStr">
        <is>
          <t>NULL</t>
        </is>
      </c>
      <c r="G1151" s="0" t="inlineStr">
        <is>
          <t>NULL</t>
        </is>
      </c>
      <c r="H1151" s="0" t="inlineStr">
        <is>
          <t>NULL</t>
        </is>
      </c>
      <c r="I1151" s="0" t="inlineStr">
        <is>
          <t>NULL</t>
        </is>
      </c>
      <c r="J1151" s="0" t="inlineStr">
        <is>
          <t>NULL</t>
        </is>
      </c>
      <c r="K1151" s="0" t="inlineStr">
        <is>
          <t>YES! 	 c_binary列源备映射正确，源端为binary 1位	期望更改为binary(n)	实际备端为binary 1位</t>
        </is>
      </c>
    </row>
    <row r="1152">
      <c r="B1152" s="0" t="inlineStr">
        <is>
          <t>NULL</t>
        </is>
      </c>
      <c r="C1152" s="0" t="inlineStr">
        <is>
          <t>NULL</t>
        </is>
      </c>
      <c r="D1152" s="0" t="inlineStr">
        <is>
          <t>NULL</t>
        </is>
      </c>
      <c r="E1152" s="0" t="inlineStr">
        <is>
          <t>NULL</t>
        </is>
      </c>
      <c r="F1152" s="0" t="inlineStr">
        <is>
          <t>NULL</t>
        </is>
      </c>
      <c r="G1152" s="0" t="inlineStr">
        <is>
          <t>NULL</t>
        </is>
      </c>
      <c r="H1152" s="0" t="inlineStr">
        <is>
          <t>NULL</t>
        </is>
      </c>
      <c r="I1152" s="0" t="inlineStr">
        <is>
          <t>NULL</t>
        </is>
      </c>
      <c r="J1152" s="0" t="inlineStr">
        <is>
          <t>NULL</t>
        </is>
      </c>
      <c r="K1152" s="0" t="inlineStr">
        <is>
          <t>YES! 	 c_binary_20列源备映射正确，源端为binary 20位	期望更改为binary(n)	实际备端为binary 20位</t>
        </is>
      </c>
    </row>
    <row r="1153">
      <c r="B1153" s="0" t="inlineStr">
        <is>
          <t>NULL</t>
        </is>
      </c>
      <c r="C1153" s="0" t="inlineStr">
        <is>
          <t>NULL</t>
        </is>
      </c>
      <c r="D1153" s="0" t="inlineStr">
        <is>
          <t>NULL</t>
        </is>
      </c>
      <c r="E1153" s="0" t="inlineStr">
        <is>
          <t>NULL</t>
        </is>
      </c>
      <c r="F1153" s="0" t="inlineStr">
        <is>
          <t>NULL</t>
        </is>
      </c>
      <c r="G1153" s="0" t="inlineStr">
        <is>
          <t>NULL</t>
        </is>
      </c>
      <c r="H1153" s="0" t="inlineStr">
        <is>
          <t>NULL</t>
        </is>
      </c>
      <c r="I1153" s="0" t="inlineStr">
        <is>
          <t>NULL</t>
        </is>
      </c>
      <c r="J1153" s="0" t="inlineStr">
        <is>
          <t>NULL</t>
        </is>
      </c>
      <c r="K1153" s="0" t="inlineStr">
        <is>
          <t>YES! 	 c_binary_8000列源备映射正确，源端为binary 8000位	期望更改为binary(n)	实际备端为binary 8000位</t>
        </is>
      </c>
    </row>
    <row r="1154">
      <c r="A1154" s="0" t="inlineStr">
        <is>
          <t>info_nvarchar_dml_batch1_pk_urp1</t>
        </is>
      </c>
      <c r="K1154" s="0" t="inlineStr">
        <is>
          <t>[0;34m info_nvarchar_dml_batch1_pk_urp1 [0m源备字段数相同，源端字段：4 	备端字段4</t>
        </is>
      </c>
      <c r="W1154" s="0" t="inlineStr">
        <is>
          <t>YES 源备无差异</t>
        </is>
      </c>
      <c r="X1154" s="0">
        <f>A1154</f>
        <v/>
      </c>
    </row>
    <row r="1155">
      <c r="B1155" s="0" t="inlineStr">
        <is>
          <t>YES</t>
        </is>
      </c>
      <c r="C1155" s="0" t="inlineStr">
        <is>
          <t>NULL</t>
        </is>
      </c>
      <c r="D1155" s="0" t="inlineStr">
        <is>
          <t>NULL</t>
        </is>
      </c>
      <c r="E1155" s="0" t="inlineStr">
        <is>
          <t>NULL</t>
        </is>
      </c>
      <c r="F1155" s="0" t="inlineStr">
        <is>
          <t>NULL</t>
        </is>
      </c>
      <c r="G1155" s="0" t="inlineStr">
        <is>
          <t>NULL</t>
        </is>
      </c>
      <c r="H1155" s="0" t="inlineStr">
        <is>
          <t>NULL</t>
        </is>
      </c>
      <c r="I1155" s="0" t="inlineStr">
        <is>
          <t>YES!PK__info_nva__3213E83F96E49186</t>
        </is>
      </c>
      <c r="J1155" s="0" t="inlineStr">
        <is>
          <t>YES! 主键相关索引</t>
        </is>
      </c>
      <c r="K1155" s="0" t="inlineStr">
        <is>
          <t>YES! 	 id列源备映射正确，源端为int None位	期望更改为int	实际备端为int None位</t>
        </is>
      </c>
    </row>
    <row r="1156">
      <c r="B1156" s="0" t="inlineStr">
        <is>
          <t>NULL</t>
        </is>
      </c>
      <c r="C1156" s="0" t="inlineStr">
        <is>
          <t>NULL</t>
        </is>
      </c>
      <c r="D1156" s="0" t="inlineStr">
        <is>
          <t>NULL</t>
        </is>
      </c>
      <c r="E1156" s="0" t="inlineStr">
        <is>
          <t>NULL</t>
        </is>
      </c>
      <c r="F1156" s="0" t="inlineStr">
        <is>
          <t>NULL</t>
        </is>
      </c>
      <c r="G1156" s="0" t="inlineStr">
        <is>
          <t>NULL</t>
        </is>
      </c>
      <c r="H1156" s="0" t="inlineStr">
        <is>
          <t>NULL</t>
        </is>
      </c>
      <c r="I1156" s="0" t="inlineStr">
        <is>
          <t>NULL</t>
        </is>
      </c>
      <c r="J1156" s="0" t="inlineStr">
        <is>
          <t>NULL</t>
        </is>
      </c>
      <c r="K1156" s="0" t="inlineStr">
        <is>
          <t>YES! 	 c_nvarchar列源备映射正确，源端为nvarchar 2位	期望更改为nvarchar(n)	实际备端为nvarchar 2位</t>
        </is>
      </c>
    </row>
    <row r="1157">
      <c r="B1157" s="0" t="inlineStr">
        <is>
          <t>NULL</t>
        </is>
      </c>
      <c r="C1157" s="0" t="inlineStr">
        <is>
          <t>NULL</t>
        </is>
      </c>
      <c r="D1157" s="0" t="inlineStr">
        <is>
          <t>NULL</t>
        </is>
      </c>
      <c r="E1157" s="0" t="inlineStr">
        <is>
          <t>NULL</t>
        </is>
      </c>
      <c r="F1157" s="0" t="inlineStr">
        <is>
          <t>NULL</t>
        </is>
      </c>
      <c r="G1157" s="0" t="inlineStr">
        <is>
          <t>NULL</t>
        </is>
      </c>
      <c r="H1157" s="0" t="inlineStr">
        <is>
          <t>NULL</t>
        </is>
      </c>
      <c r="I1157" s="0" t="inlineStr">
        <is>
          <t>NULL</t>
        </is>
      </c>
      <c r="J1157" s="0" t="inlineStr">
        <is>
          <t>NULL</t>
        </is>
      </c>
      <c r="K1157" s="0" t="inlineStr">
        <is>
          <t>YES! 	 c_nvarchar20列源备映射正确，源端为nvarchar 40位	期望更改为nvarchar(n)	实际备端为nvarchar 40位</t>
        </is>
      </c>
    </row>
    <row r="1158">
      <c r="B1158" s="0" t="inlineStr">
        <is>
          <t>NULL</t>
        </is>
      </c>
      <c r="C1158" s="0" t="inlineStr">
        <is>
          <t>NULL</t>
        </is>
      </c>
      <c r="D1158" s="0" t="inlineStr">
        <is>
          <t>NULL</t>
        </is>
      </c>
      <c r="E1158" s="0" t="inlineStr">
        <is>
          <t>NULL</t>
        </is>
      </c>
      <c r="F1158" s="0" t="inlineStr">
        <is>
          <t>NULL</t>
        </is>
      </c>
      <c r="G1158" s="0" t="inlineStr">
        <is>
          <t>NULL</t>
        </is>
      </c>
      <c r="H1158" s="0" t="inlineStr">
        <is>
          <t>NULL</t>
        </is>
      </c>
      <c r="I1158" s="0" t="inlineStr">
        <is>
          <t>NULL</t>
        </is>
      </c>
      <c r="J1158" s="0" t="inlineStr">
        <is>
          <t>NULL</t>
        </is>
      </c>
      <c r="K1158" s="0" t="inlineStr">
        <is>
          <t>YES! 	 c_nvarchar3500列源备映射正确，源端为nvarchar 7000位	期望更改为nvarchar(n)	实际备端为nvarchar 7000位</t>
        </is>
      </c>
    </row>
    <row r="1159">
      <c r="A1159" s="0" t="inlineStr">
        <is>
          <t>info_date_dml_single_nopk_irp</t>
        </is>
      </c>
      <c r="K1159" s="0" t="inlineStr">
        <is>
          <t>[0;34m info_date_dml_single_nopk_irp [0m源备字段数相同，源端字段：2 	备端字段2</t>
        </is>
      </c>
      <c r="W1159" s="0" t="inlineStr">
        <is>
          <t>YES 源备无差异</t>
        </is>
      </c>
      <c r="X1159" s="0">
        <f>A1159</f>
        <v/>
      </c>
    </row>
    <row r="1160">
      <c r="B1160" s="0" t="inlineStr">
        <is>
          <t>NULL</t>
        </is>
      </c>
      <c r="C1160" s="0" t="inlineStr">
        <is>
          <t>NULL</t>
        </is>
      </c>
      <c r="D1160" s="0" t="inlineStr">
        <is>
          <t>NULL</t>
        </is>
      </c>
      <c r="E1160" s="0" t="inlineStr">
        <is>
          <t>NULL</t>
        </is>
      </c>
      <c r="F1160" s="0" t="inlineStr">
        <is>
          <t>NULL</t>
        </is>
      </c>
      <c r="G1160" s="0" t="inlineStr">
        <is>
          <t>NULL</t>
        </is>
      </c>
      <c r="H1160" s="0" t="inlineStr">
        <is>
          <t>NULL</t>
        </is>
      </c>
      <c r="I1160" s="0" t="inlineStr">
        <is>
          <t>NULL</t>
        </is>
      </c>
      <c r="J1160" s="0" t="inlineStr">
        <is>
          <t>NULL</t>
        </is>
      </c>
      <c r="K1160" s="0" t="inlineStr">
        <is>
          <t>YES! 	 id列源备映射正确，源端为int None位	期望更改为int	实际备端为int None位</t>
        </is>
      </c>
    </row>
    <row r="1161">
      <c r="B1161" s="0" t="inlineStr">
        <is>
          <t>NULL</t>
        </is>
      </c>
      <c r="C1161" s="0" t="inlineStr">
        <is>
          <t>NULL</t>
        </is>
      </c>
      <c r="D1161" s="0" t="inlineStr">
        <is>
          <t>NULL</t>
        </is>
      </c>
      <c r="E1161" s="0" t="inlineStr">
        <is>
          <t>NULL</t>
        </is>
      </c>
      <c r="F1161" s="0" t="inlineStr">
        <is>
          <t>NULL</t>
        </is>
      </c>
      <c r="G1161" s="0" t="inlineStr">
        <is>
          <t>NULL</t>
        </is>
      </c>
      <c r="H1161" s="0" t="inlineStr">
        <is>
          <t>NULL</t>
        </is>
      </c>
      <c r="I1161" s="0" t="inlineStr">
        <is>
          <t>NULL</t>
        </is>
      </c>
      <c r="J1161" s="0" t="inlineStr">
        <is>
          <t>NULL</t>
        </is>
      </c>
      <c r="K1161" s="0" t="inlineStr">
        <is>
          <t>YES! 	 c_date列源备映射正确，源端为date None位	期望更改为date	实际备端为date None位</t>
        </is>
      </c>
    </row>
    <row r="1162">
      <c r="A1162" s="0" t="inlineStr">
        <is>
          <t>info_binary_dml_single_nopk</t>
        </is>
      </c>
      <c r="K1162" s="0" t="inlineStr">
        <is>
          <t>[0;34m info_binary_dml_single_nopk [0m源备字段数相同，源端字段：4 	备端字段4</t>
        </is>
      </c>
      <c r="W1162" s="0" t="inlineStr">
        <is>
          <t>YES 源备无差异</t>
        </is>
      </c>
      <c r="X1162" s="0">
        <f>A1162</f>
        <v/>
      </c>
    </row>
    <row r="1163">
      <c r="B1163" s="0" t="inlineStr">
        <is>
          <t>NULL</t>
        </is>
      </c>
      <c r="C1163" s="0" t="inlineStr">
        <is>
          <t>NULL</t>
        </is>
      </c>
      <c r="D1163" s="0" t="inlineStr">
        <is>
          <t>NULL</t>
        </is>
      </c>
      <c r="E1163" s="0" t="inlineStr">
        <is>
          <t>NULL</t>
        </is>
      </c>
      <c r="F1163" s="0" t="inlineStr">
        <is>
          <t>NULL</t>
        </is>
      </c>
      <c r="G1163" s="0" t="inlineStr">
        <is>
          <t>NULL</t>
        </is>
      </c>
      <c r="H1163" s="0" t="inlineStr">
        <is>
          <t>NULL</t>
        </is>
      </c>
      <c r="I1163" s="0" t="inlineStr">
        <is>
          <t>NULL</t>
        </is>
      </c>
      <c r="J1163" s="0" t="inlineStr">
        <is>
          <t>NULL</t>
        </is>
      </c>
      <c r="K1163" s="0" t="inlineStr">
        <is>
          <t>YES! 	 id列源备映射正确，源端为int None位	期望更改为int	实际备端为int None位</t>
        </is>
      </c>
    </row>
    <row r="1164">
      <c r="B1164" s="0" t="inlineStr">
        <is>
          <t>NULL</t>
        </is>
      </c>
      <c r="C1164" s="0" t="inlineStr">
        <is>
          <t>NULL</t>
        </is>
      </c>
      <c r="D1164" s="0" t="inlineStr">
        <is>
          <t>NULL</t>
        </is>
      </c>
      <c r="E1164" s="0" t="inlineStr">
        <is>
          <t>NULL</t>
        </is>
      </c>
      <c r="F1164" s="0" t="inlineStr">
        <is>
          <t>NULL</t>
        </is>
      </c>
      <c r="G1164" s="0" t="inlineStr">
        <is>
          <t>NULL</t>
        </is>
      </c>
      <c r="H1164" s="0" t="inlineStr">
        <is>
          <t>NULL</t>
        </is>
      </c>
      <c r="I1164" s="0" t="inlineStr">
        <is>
          <t>NULL</t>
        </is>
      </c>
      <c r="J1164" s="0" t="inlineStr">
        <is>
          <t>NULL</t>
        </is>
      </c>
      <c r="K1164" s="0" t="inlineStr">
        <is>
          <t>YES! 	 c_binary列源备映射正确，源端为binary 1位	期望更改为binary(n)	实际备端为binary 1位</t>
        </is>
      </c>
    </row>
    <row r="1165">
      <c r="B1165" s="0" t="inlineStr">
        <is>
          <t>NULL</t>
        </is>
      </c>
      <c r="C1165" s="0" t="inlineStr">
        <is>
          <t>NULL</t>
        </is>
      </c>
      <c r="D1165" s="0" t="inlineStr">
        <is>
          <t>NULL</t>
        </is>
      </c>
      <c r="E1165" s="0" t="inlineStr">
        <is>
          <t>NULL</t>
        </is>
      </c>
      <c r="F1165" s="0" t="inlineStr">
        <is>
          <t>NULL</t>
        </is>
      </c>
      <c r="G1165" s="0" t="inlineStr">
        <is>
          <t>NULL</t>
        </is>
      </c>
      <c r="H1165" s="0" t="inlineStr">
        <is>
          <t>NULL</t>
        </is>
      </c>
      <c r="I1165" s="0" t="inlineStr">
        <is>
          <t>NULL</t>
        </is>
      </c>
      <c r="J1165" s="0" t="inlineStr">
        <is>
          <t>NULL</t>
        </is>
      </c>
      <c r="K1165" s="0" t="inlineStr">
        <is>
          <t>YES! 	 c_binary_20列源备映射正确，源端为binary 20位	期望更改为binary(n)	实际备端为binary 20位</t>
        </is>
      </c>
    </row>
    <row r="1166">
      <c r="B1166" s="0" t="inlineStr">
        <is>
          <t>NULL</t>
        </is>
      </c>
      <c r="C1166" s="0" t="inlineStr">
        <is>
          <t>NULL</t>
        </is>
      </c>
      <c r="D1166" s="0" t="inlineStr">
        <is>
          <t>NULL</t>
        </is>
      </c>
      <c r="E1166" s="0" t="inlineStr">
        <is>
          <t>NULL</t>
        </is>
      </c>
      <c r="F1166" s="0" t="inlineStr">
        <is>
          <t>NULL</t>
        </is>
      </c>
      <c r="G1166" s="0" t="inlineStr">
        <is>
          <t>NULL</t>
        </is>
      </c>
      <c r="H1166" s="0" t="inlineStr">
        <is>
          <t>NULL</t>
        </is>
      </c>
      <c r="I1166" s="0" t="inlineStr">
        <is>
          <t>NULL</t>
        </is>
      </c>
      <c r="J1166" s="0" t="inlineStr">
        <is>
          <t>NULL</t>
        </is>
      </c>
      <c r="K1166" s="0" t="inlineStr">
        <is>
          <t>YES! 	 c_binary_8000列源备映射正确，源端为binary 8000位	期望更改为binary(n)	实际备端为binary 8000位</t>
        </is>
      </c>
    </row>
    <row r="1167">
      <c r="A1167" s="0" t="inlineStr">
        <is>
          <t>info_datetimeoffset_dml_batch1_pk_irp1</t>
        </is>
      </c>
      <c r="K1167" s="0" t="inlineStr">
        <is>
          <t>[0;34m info_datetimeoffset_dml_batch1_pk_irp1 [0m源备字段数相同，源端字段：9 	备端字段9</t>
        </is>
      </c>
      <c r="W1167" s="0" t="inlineStr">
        <is>
          <t>YES 源备无差异</t>
        </is>
      </c>
      <c r="X1167" s="0">
        <f>A1167</f>
        <v/>
      </c>
    </row>
    <row r="1168">
      <c r="B1168" s="0" t="inlineStr">
        <is>
          <t>YES</t>
        </is>
      </c>
      <c r="C1168" s="0" t="inlineStr">
        <is>
          <t>NULL</t>
        </is>
      </c>
      <c r="D1168" s="0" t="inlineStr">
        <is>
          <t>NULL</t>
        </is>
      </c>
      <c r="E1168" s="0" t="inlineStr">
        <is>
          <t>NULL</t>
        </is>
      </c>
      <c r="F1168" s="0" t="inlineStr">
        <is>
          <t>NULL</t>
        </is>
      </c>
      <c r="G1168" s="0" t="inlineStr">
        <is>
          <t>NULL</t>
        </is>
      </c>
      <c r="H1168" s="0" t="inlineStr">
        <is>
          <t>NULL</t>
        </is>
      </c>
      <c r="I1168" s="0" t="inlineStr">
        <is>
          <t>YES!PK__info_dat__3213E83F5DFBACE1</t>
        </is>
      </c>
      <c r="J1168" s="0" t="inlineStr">
        <is>
          <t>YES! 主键相关索引</t>
        </is>
      </c>
      <c r="K1168" s="0" t="inlineStr">
        <is>
          <t>YES! 	 id列源备映射正确，源端为int None位	期望更改为int	实际备端为int None位</t>
        </is>
      </c>
    </row>
    <row r="1169">
      <c r="B1169" s="0" t="inlineStr">
        <is>
          <t>NULL</t>
        </is>
      </c>
      <c r="C1169" s="0" t="inlineStr">
        <is>
          <t>NULL</t>
        </is>
      </c>
      <c r="D1169" s="0" t="inlineStr">
        <is>
          <t>NULL</t>
        </is>
      </c>
      <c r="E1169" s="0" t="inlineStr">
        <is>
          <t>NULL</t>
        </is>
      </c>
      <c r="F1169" s="0" t="inlineStr">
        <is>
          <t>NULL</t>
        </is>
      </c>
      <c r="G1169" s="0" t="inlineStr">
        <is>
          <t>NULL</t>
        </is>
      </c>
      <c r="H1169" s="0" t="inlineStr">
        <is>
          <t>NULL</t>
        </is>
      </c>
      <c r="I1169" s="0" t="inlineStr">
        <is>
          <t>NULL</t>
        </is>
      </c>
      <c r="J1169" s="0" t="inlineStr">
        <is>
          <t>NULL</t>
        </is>
      </c>
      <c r="K1169" s="0" t="inlineStr">
        <is>
          <t>no,len不存在</t>
        </is>
      </c>
    </row>
    <row r="1170">
      <c r="B1170" s="0" t="inlineStr">
        <is>
          <t>NULL</t>
        </is>
      </c>
      <c r="C1170" s="0" t="inlineStr">
        <is>
          <t>NULL</t>
        </is>
      </c>
      <c r="D1170" s="0" t="inlineStr">
        <is>
          <t>NULL</t>
        </is>
      </c>
      <c r="E1170" s="0" t="inlineStr">
        <is>
          <t>NULL</t>
        </is>
      </c>
      <c r="F1170" s="0" t="inlineStr">
        <is>
          <t>NULL</t>
        </is>
      </c>
      <c r="G1170" s="0" t="inlineStr">
        <is>
          <t>NULL</t>
        </is>
      </c>
      <c r="H1170" s="0" t="inlineStr">
        <is>
          <t>NULL</t>
        </is>
      </c>
      <c r="I1170" s="0" t="inlineStr">
        <is>
          <t>NULL</t>
        </is>
      </c>
      <c r="J1170" s="0" t="inlineStr">
        <is>
          <t>NULL</t>
        </is>
      </c>
      <c r="K1170" s="0" t="inlineStr">
        <is>
          <t>YES! 	 c_dtoffset_1列源备映射正确，源端为datetimeoffset None位	期望更改为datetimeoffset(n)	实际备端为datetimeoffset None位</t>
        </is>
      </c>
    </row>
    <row r="1171">
      <c r="B1171" s="0" t="inlineStr">
        <is>
          <t>NULL</t>
        </is>
      </c>
      <c r="C1171" s="0" t="inlineStr">
        <is>
          <t>NULL</t>
        </is>
      </c>
      <c r="D1171" s="0" t="inlineStr">
        <is>
          <t>NULL</t>
        </is>
      </c>
      <c r="E1171" s="0" t="inlineStr">
        <is>
          <t>NULL</t>
        </is>
      </c>
      <c r="F1171" s="0" t="inlineStr">
        <is>
          <t>NULL</t>
        </is>
      </c>
      <c r="G1171" s="0" t="inlineStr">
        <is>
          <t>NULL</t>
        </is>
      </c>
      <c r="H1171" s="0" t="inlineStr">
        <is>
          <t>NULL</t>
        </is>
      </c>
      <c r="I1171" s="0" t="inlineStr">
        <is>
          <t>NULL</t>
        </is>
      </c>
      <c r="J1171" s="0" t="inlineStr">
        <is>
          <t>NULL</t>
        </is>
      </c>
      <c r="K1171" s="0" t="inlineStr">
        <is>
          <t>YES! 	 c_dtoffset_2列源备映射正确，源端为datetimeoffset None位	期望更改为datetimeoffset(n)	实际备端为datetimeoffset None位</t>
        </is>
      </c>
    </row>
    <row r="1172">
      <c r="B1172" s="0" t="inlineStr">
        <is>
          <t>NULL</t>
        </is>
      </c>
      <c r="C1172" s="0" t="inlineStr">
        <is>
          <t>NULL</t>
        </is>
      </c>
      <c r="D1172" s="0" t="inlineStr">
        <is>
          <t>NULL</t>
        </is>
      </c>
      <c r="E1172" s="0" t="inlineStr">
        <is>
          <t>NULL</t>
        </is>
      </c>
      <c r="F1172" s="0" t="inlineStr">
        <is>
          <t>NULL</t>
        </is>
      </c>
      <c r="G1172" s="0" t="inlineStr">
        <is>
          <t>NULL</t>
        </is>
      </c>
      <c r="H1172" s="0" t="inlineStr">
        <is>
          <t>NULL</t>
        </is>
      </c>
      <c r="I1172" s="0" t="inlineStr">
        <is>
          <t>NULL</t>
        </is>
      </c>
      <c r="J1172" s="0" t="inlineStr">
        <is>
          <t>NULL</t>
        </is>
      </c>
      <c r="K1172" s="0" t="inlineStr">
        <is>
          <t>YES! 	 c_dtoffset_3列源备映射正确，源端为datetimeoffset None位	期望更改为datetimeoffset(n)	实际备端为datetimeoffset None位</t>
        </is>
      </c>
    </row>
    <row r="1173">
      <c r="B1173" s="0" t="inlineStr">
        <is>
          <t>NULL</t>
        </is>
      </c>
      <c r="C1173" s="0" t="inlineStr">
        <is>
          <t>NULL</t>
        </is>
      </c>
      <c r="D1173" s="0" t="inlineStr">
        <is>
          <t>NULL</t>
        </is>
      </c>
      <c r="E1173" s="0" t="inlineStr">
        <is>
          <t>NULL</t>
        </is>
      </c>
      <c r="F1173" s="0" t="inlineStr">
        <is>
          <t>NULL</t>
        </is>
      </c>
      <c r="G1173" s="0" t="inlineStr">
        <is>
          <t>NULL</t>
        </is>
      </c>
      <c r="H1173" s="0" t="inlineStr">
        <is>
          <t>NULL</t>
        </is>
      </c>
      <c r="I1173" s="0" t="inlineStr">
        <is>
          <t>NULL</t>
        </is>
      </c>
      <c r="J1173" s="0" t="inlineStr">
        <is>
          <t>NULL</t>
        </is>
      </c>
      <c r="K1173" s="0" t="inlineStr">
        <is>
          <t>YES! 	 c_dtoffset_4列源备映射正确，源端为datetimeoffset None位	期望更改为datetimeoffset(n)	实际备端为datetimeoffset None位</t>
        </is>
      </c>
    </row>
    <row r="1174">
      <c r="B1174" s="0" t="inlineStr">
        <is>
          <t>NULL</t>
        </is>
      </c>
      <c r="C1174" s="0" t="inlineStr">
        <is>
          <t>NULL</t>
        </is>
      </c>
      <c r="D1174" s="0" t="inlineStr">
        <is>
          <t>NULL</t>
        </is>
      </c>
      <c r="E1174" s="0" t="inlineStr">
        <is>
          <t>NULL</t>
        </is>
      </c>
      <c r="F1174" s="0" t="inlineStr">
        <is>
          <t>NULL</t>
        </is>
      </c>
      <c r="G1174" s="0" t="inlineStr">
        <is>
          <t>NULL</t>
        </is>
      </c>
      <c r="H1174" s="0" t="inlineStr">
        <is>
          <t>NULL</t>
        </is>
      </c>
      <c r="I1174" s="0" t="inlineStr">
        <is>
          <t>NULL</t>
        </is>
      </c>
      <c r="J1174" s="0" t="inlineStr">
        <is>
          <t>NULL</t>
        </is>
      </c>
      <c r="K1174" s="0" t="inlineStr">
        <is>
          <t>YES! 	 c_dtoffset_5列源备映射正确，源端为datetimeoffset None位	期望更改为datetimeoffset(n)	实际备端为datetimeoffset None位</t>
        </is>
      </c>
    </row>
    <row r="1175">
      <c r="B1175" s="0" t="inlineStr">
        <is>
          <t>NULL</t>
        </is>
      </c>
      <c r="C1175" s="0" t="inlineStr">
        <is>
          <t>NULL</t>
        </is>
      </c>
      <c r="D1175" s="0" t="inlineStr">
        <is>
          <t>NULL</t>
        </is>
      </c>
      <c r="E1175" s="0" t="inlineStr">
        <is>
          <t>NULL</t>
        </is>
      </c>
      <c r="F1175" s="0" t="inlineStr">
        <is>
          <t>NULL</t>
        </is>
      </c>
      <c r="G1175" s="0" t="inlineStr">
        <is>
          <t>NULL</t>
        </is>
      </c>
      <c r="H1175" s="0" t="inlineStr">
        <is>
          <t>NULL</t>
        </is>
      </c>
      <c r="I1175" s="0" t="inlineStr">
        <is>
          <t>NULL</t>
        </is>
      </c>
      <c r="J1175" s="0" t="inlineStr">
        <is>
          <t>NULL</t>
        </is>
      </c>
      <c r="K1175" s="0" t="inlineStr">
        <is>
          <t>YES! 	 c_dtoffset_6列源备映射正确，源端为datetimeoffset None位	期望更改为datetimeoffset(n)	实际备端为datetimeoffset None位</t>
        </is>
      </c>
    </row>
    <row r="1176">
      <c r="B1176" s="0" t="inlineStr">
        <is>
          <t>NULL</t>
        </is>
      </c>
      <c r="C1176" s="0" t="inlineStr">
        <is>
          <t>NULL</t>
        </is>
      </c>
      <c r="D1176" s="0" t="inlineStr">
        <is>
          <t>NULL</t>
        </is>
      </c>
      <c r="E1176" s="0" t="inlineStr">
        <is>
          <t>NULL</t>
        </is>
      </c>
      <c r="F1176" s="0" t="inlineStr">
        <is>
          <t>NULL</t>
        </is>
      </c>
      <c r="G1176" s="0" t="inlineStr">
        <is>
          <t>NULL</t>
        </is>
      </c>
      <c r="H1176" s="0" t="inlineStr">
        <is>
          <t>NULL</t>
        </is>
      </c>
      <c r="I1176" s="0" t="inlineStr">
        <is>
          <t>NULL</t>
        </is>
      </c>
      <c r="J1176" s="0" t="inlineStr">
        <is>
          <t>NULL</t>
        </is>
      </c>
      <c r="K1176" s="0" t="inlineStr">
        <is>
          <t>YES! 	 c_dtoffset列源备映射正确，源端为datetimeoffset None位	期望更改为datetimeoffset(n)	实际备端为datetimeoffset None位</t>
        </is>
      </c>
    </row>
    <row r="1177">
      <c r="A1177" s="0" t="inlineStr">
        <is>
          <t>info_date_dml_single_nopk_urp</t>
        </is>
      </c>
      <c r="K1177" s="0" t="inlineStr">
        <is>
          <t>[0;34m info_date_dml_single_nopk_urp [0m源备字段数相同，源端字段：2 	备端字段2</t>
        </is>
      </c>
      <c r="W1177" s="0" t="inlineStr">
        <is>
          <t>YES 源备无差异</t>
        </is>
      </c>
      <c r="X1177" s="0">
        <f>A1177</f>
        <v/>
      </c>
    </row>
    <row r="1178">
      <c r="B1178" s="0" t="inlineStr">
        <is>
          <t>NULL</t>
        </is>
      </c>
      <c r="C1178" s="0" t="inlineStr">
        <is>
          <t>NULL</t>
        </is>
      </c>
      <c r="D1178" s="0" t="inlineStr">
        <is>
          <t>NULL</t>
        </is>
      </c>
      <c r="E1178" s="0" t="inlineStr">
        <is>
          <t>NULL</t>
        </is>
      </c>
      <c r="F1178" s="0" t="inlineStr">
        <is>
          <t>NULL</t>
        </is>
      </c>
      <c r="G1178" s="0" t="inlineStr">
        <is>
          <t>NULL</t>
        </is>
      </c>
      <c r="H1178" s="0" t="inlineStr">
        <is>
          <t>NULL</t>
        </is>
      </c>
      <c r="I1178" s="0" t="inlineStr">
        <is>
          <t>NULL</t>
        </is>
      </c>
      <c r="J1178" s="0" t="inlineStr">
        <is>
          <t>NULL</t>
        </is>
      </c>
      <c r="K1178" s="0" t="inlineStr">
        <is>
          <t>YES! 	 id列源备映射正确，源端为int None位	期望更改为int	实际备端为int None位</t>
        </is>
      </c>
    </row>
    <row r="1179">
      <c r="B1179" s="0" t="inlineStr">
        <is>
          <t>NULL</t>
        </is>
      </c>
      <c r="C1179" s="0" t="inlineStr">
        <is>
          <t>NULL</t>
        </is>
      </c>
      <c r="D1179" s="0" t="inlineStr">
        <is>
          <t>NULL</t>
        </is>
      </c>
      <c r="E1179" s="0" t="inlineStr">
        <is>
          <t>NULL</t>
        </is>
      </c>
      <c r="F1179" s="0" t="inlineStr">
        <is>
          <t>NULL</t>
        </is>
      </c>
      <c r="G1179" s="0" t="inlineStr">
        <is>
          <t>NULL</t>
        </is>
      </c>
      <c r="H1179" s="0" t="inlineStr">
        <is>
          <t>NULL</t>
        </is>
      </c>
      <c r="I1179" s="0" t="inlineStr">
        <is>
          <t>NULL</t>
        </is>
      </c>
      <c r="J1179" s="0" t="inlineStr">
        <is>
          <t>NULL</t>
        </is>
      </c>
      <c r="K1179" s="0" t="inlineStr">
        <is>
          <t>YES! 	 c_date列源备映射正确，源端为date None位	期望更改为date	实际备端为date None位</t>
        </is>
      </c>
    </row>
    <row r="1180">
      <c r="A1180" s="0" t="inlineStr">
        <is>
          <t>info_nvarchar_dml_batch2_pk_urp2</t>
        </is>
      </c>
      <c r="K1180" s="0" t="inlineStr">
        <is>
          <t>[0;34m info_nvarchar_dml_batch2_pk_urp2 [0m源备字段数相同，源端字段：4 	备端字段4</t>
        </is>
      </c>
      <c r="W1180" s="0" t="inlineStr">
        <is>
          <t>YES 源备无差异</t>
        </is>
      </c>
      <c r="X1180" s="0">
        <f>A1180</f>
        <v/>
      </c>
    </row>
    <row r="1181">
      <c r="B1181" s="0" t="inlineStr">
        <is>
          <t>YES</t>
        </is>
      </c>
      <c r="C1181" s="0" t="inlineStr">
        <is>
          <t>NULL</t>
        </is>
      </c>
      <c r="D1181" s="0" t="inlineStr">
        <is>
          <t>NULL</t>
        </is>
      </c>
      <c r="E1181" s="0" t="inlineStr">
        <is>
          <t>NULL</t>
        </is>
      </c>
      <c r="F1181" s="0" t="inlineStr">
        <is>
          <t>NULL</t>
        </is>
      </c>
      <c r="G1181" s="0" t="inlineStr">
        <is>
          <t>NULL</t>
        </is>
      </c>
      <c r="H1181" s="0" t="inlineStr">
        <is>
          <t>NULL</t>
        </is>
      </c>
      <c r="I1181" s="0" t="inlineStr">
        <is>
          <t>YES!PK__info_nva__3213E83FC6E75F78</t>
        </is>
      </c>
      <c r="J1181" s="0" t="inlineStr">
        <is>
          <t>YES! 主键相关索引</t>
        </is>
      </c>
      <c r="K1181" s="0" t="inlineStr">
        <is>
          <t>YES! 	 id列源备映射正确，源端为int None位	期望更改为int	实际备端为int None位</t>
        </is>
      </c>
    </row>
    <row r="1182">
      <c r="B1182" s="0" t="inlineStr">
        <is>
          <t>NULL</t>
        </is>
      </c>
      <c r="C1182" s="0" t="inlineStr">
        <is>
          <t>NULL</t>
        </is>
      </c>
      <c r="D1182" s="0" t="inlineStr">
        <is>
          <t>NULL</t>
        </is>
      </c>
      <c r="E1182" s="0" t="inlineStr">
        <is>
          <t>NULL</t>
        </is>
      </c>
      <c r="F1182" s="0" t="inlineStr">
        <is>
          <t>NULL</t>
        </is>
      </c>
      <c r="G1182" s="0" t="inlineStr">
        <is>
          <t>NULL</t>
        </is>
      </c>
      <c r="H1182" s="0" t="inlineStr">
        <is>
          <t>NULL</t>
        </is>
      </c>
      <c r="I1182" s="0" t="inlineStr">
        <is>
          <t>NULL</t>
        </is>
      </c>
      <c r="J1182" s="0" t="inlineStr">
        <is>
          <t>NULL</t>
        </is>
      </c>
      <c r="K1182" s="0" t="inlineStr">
        <is>
          <t>YES! 	 c_nvarchar列源备映射正确，源端为nvarchar 2位	期望更改为nvarchar(n)	实际备端为nvarchar 2位</t>
        </is>
      </c>
    </row>
    <row r="1183">
      <c r="B1183" s="0" t="inlineStr">
        <is>
          <t>NULL</t>
        </is>
      </c>
      <c r="C1183" s="0" t="inlineStr">
        <is>
          <t>NULL</t>
        </is>
      </c>
      <c r="D1183" s="0" t="inlineStr">
        <is>
          <t>NULL</t>
        </is>
      </c>
      <c r="E1183" s="0" t="inlineStr">
        <is>
          <t>NULL</t>
        </is>
      </c>
      <c r="F1183" s="0" t="inlineStr">
        <is>
          <t>NULL</t>
        </is>
      </c>
      <c r="G1183" s="0" t="inlineStr">
        <is>
          <t>NULL</t>
        </is>
      </c>
      <c r="H1183" s="0" t="inlineStr">
        <is>
          <t>NULL</t>
        </is>
      </c>
      <c r="I1183" s="0" t="inlineStr">
        <is>
          <t>NULL</t>
        </is>
      </c>
      <c r="J1183" s="0" t="inlineStr">
        <is>
          <t>NULL</t>
        </is>
      </c>
      <c r="K1183" s="0" t="inlineStr">
        <is>
          <t>YES! 	 c_nvarchar20列源备映射正确，源端为nvarchar 40位	期望更改为nvarchar(n)	实际备端为nvarchar 40位</t>
        </is>
      </c>
    </row>
    <row r="1184">
      <c r="B1184" s="0" t="inlineStr">
        <is>
          <t>NULL</t>
        </is>
      </c>
      <c r="C1184" s="0" t="inlineStr">
        <is>
          <t>NULL</t>
        </is>
      </c>
      <c r="D1184" s="0" t="inlineStr">
        <is>
          <t>NULL</t>
        </is>
      </c>
      <c r="E1184" s="0" t="inlineStr">
        <is>
          <t>NULL</t>
        </is>
      </c>
      <c r="F1184" s="0" t="inlineStr">
        <is>
          <t>NULL</t>
        </is>
      </c>
      <c r="G1184" s="0" t="inlineStr">
        <is>
          <t>NULL</t>
        </is>
      </c>
      <c r="H1184" s="0" t="inlineStr">
        <is>
          <t>NULL</t>
        </is>
      </c>
      <c r="I1184" s="0" t="inlineStr">
        <is>
          <t>NULL</t>
        </is>
      </c>
      <c r="J1184" s="0" t="inlineStr">
        <is>
          <t>NULL</t>
        </is>
      </c>
      <c r="K1184" s="0" t="inlineStr">
        <is>
          <t>YES! 	 c_nvarchar3500列源备映射正确，源端为nvarchar 7000位	期望更改为nvarchar(n)	实际备端为nvarchar 7000位</t>
        </is>
      </c>
    </row>
    <row r="1185">
      <c r="A1185" s="0" t="inlineStr">
        <is>
          <t>info_datetime_dml_single_pk_drp</t>
        </is>
      </c>
      <c r="K1185" s="0" t="inlineStr">
        <is>
          <t>[0;34m info_datetime_dml_single_pk_drp [0m源备字段数相同，源端字段：2 	备端字段2</t>
        </is>
      </c>
      <c r="W1185" s="0" t="inlineStr">
        <is>
          <t>YES 源备无差异</t>
        </is>
      </c>
      <c r="X1185" s="0">
        <f>A1185</f>
        <v/>
      </c>
    </row>
    <row r="1186">
      <c r="B1186" s="0" t="inlineStr">
        <is>
          <t>YES</t>
        </is>
      </c>
      <c r="C1186" s="0" t="inlineStr">
        <is>
          <t>NULL</t>
        </is>
      </c>
      <c r="D1186" s="0" t="inlineStr">
        <is>
          <t>NULL</t>
        </is>
      </c>
      <c r="E1186" s="0" t="inlineStr">
        <is>
          <t>NULL</t>
        </is>
      </c>
      <c r="F1186" s="0" t="inlineStr">
        <is>
          <t>NULL</t>
        </is>
      </c>
      <c r="G1186" s="0" t="inlineStr">
        <is>
          <t>NULL</t>
        </is>
      </c>
      <c r="H1186" s="0" t="inlineStr">
        <is>
          <t>NULL</t>
        </is>
      </c>
      <c r="I1186" s="0" t="inlineStr">
        <is>
          <t>YES!PK__info_dat__3213E83F6C5AB8FE</t>
        </is>
      </c>
      <c r="J1186" s="0" t="inlineStr">
        <is>
          <t>YES! 主键相关索引</t>
        </is>
      </c>
      <c r="K1186" s="0" t="inlineStr">
        <is>
          <t>YES! 	 id列源备映射正确，源端为int None位	期望更改为int	实际备端为int None位</t>
        </is>
      </c>
    </row>
    <row r="1187">
      <c r="B1187" s="0" t="inlineStr">
        <is>
          <t>NULL</t>
        </is>
      </c>
      <c r="C1187" s="0" t="inlineStr">
        <is>
          <t>NULL</t>
        </is>
      </c>
      <c r="D1187" s="0" t="inlineStr">
        <is>
          <t>NULL</t>
        </is>
      </c>
      <c r="E1187" s="0" t="inlineStr">
        <is>
          <t>NULL</t>
        </is>
      </c>
      <c r="F1187" s="0" t="inlineStr">
        <is>
          <t>NULL</t>
        </is>
      </c>
      <c r="G1187" s="0" t="inlineStr">
        <is>
          <t>NULL</t>
        </is>
      </c>
      <c r="H1187" s="0" t="inlineStr">
        <is>
          <t>NULL</t>
        </is>
      </c>
      <c r="I1187" s="0" t="inlineStr">
        <is>
          <t>NULL</t>
        </is>
      </c>
      <c r="J1187" s="0" t="inlineStr">
        <is>
          <t>NULL</t>
        </is>
      </c>
      <c r="K1187" s="0" t="inlineStr">
        <is>
          <t>YES! 	 c_datetime列源备映射正确，源端为datetime None位	期望更改为datetime	实际备端为datetime None位</t>
        </is>
      </c>
    </row>
    <row r="1188">
      <c r="A1188" s="0" t="inlineStr">
        <is>
          <t>info_varbinary_dml_single_nopk_irp</t>
        </is>
      </c>
      <c r="K1188" s="0" t="inlineStr">
        <is>
          <t>[0;34m info_varbinary_dml_single_nopk_irp [0m源备字段数相同，源端字段：4 	备端字段4</t>
        </is>
      </c>
      <c r="W1188" s="0" t="inlineStr">
        <is>
          <t>YES 源备无差异</t>
        </is>
      </c>
      <c r="X1188" s="0">
        <f>A1188</f>
        <v/>
      </c>
    </row>
    <row r="1189">
      <c r="B1189" s="0" t="inlineStr">
        <is>
          <t>NULL</t>
        </is>
      </c>
      <c r="C1189" s="0" t="inlineStr">
        <is>
          <t>NULL</t>
        </is>
      </c>
      <c r="D1189" s="0" t="inlineStr">
        <is>
          <t>NULL</t>
        </is>
      </c>
      <c r="E1189" s="0" t="inlineStr">
        <is>
          <t>NULL</t>
        </is>
      </c>
      <c r="F1189" s="0" t="inlineStr">
        <is>
          <t>NULL</t>
        </is>
      </c>
      <c r="G1189" s="0" t="inlineStr">
        <is>
          <t>NULL</t>
        </is>
      </c>
      <c r="H1189" s="0" t="inlineStr">
        <is>
          <t>NULL</t>
        </is>
      </c>
      <c r="I1189" s="0" t="inlineStr">
        <is>
          <t>NULL</t>
        </is>
      </c>
      <c r="J1189" s="0" t="inlineStr">
        <is>
          <t>NULL</t>
        </is>
      </c>
      <c r="K1189" s="0" t="inlineStr">
        <is>
          <t>YES! 	 id列源备映射正确，源端为int None位	期望更改为int	实际备端为int None位</t>
        </is>
      </c>
    </row>
    <row r="1190">
      <c r="B1190" s="0" t="inlineStr">
        <is>
          <t>NULL</t>
        </is>
      </c>
      <c r="C1190" s="0" t="inlineStr">
        <is>
          <t>NULL</t>
        </is>
      </c>
      <c r="D1190" s="0" t="inlineStr">
        <is>
          <t>NULL</t>
        </is>
      </c>
      <c r="E1190" s="0" t="inlineStr">
        <is>
          <t>NULL</t>
        </is>
      </c>
      <c r="F1190" s="0" t="inlineStr">
        <is>
          <t>NULL</t>
        </is>
      </c>
      <c r="G1190" s="0" t="inlineStr">
        <is>
          <t>NULL</t>
        </is>
      </c>
      <c r="H1190" s="0" t="inlineStr">
        <is>
          <t>NULL</t>
        </is>
      </c>
      <c r="I1190" s="0" t="inlineStr">
        <is>
          <t>NULL</t>
        </is>
      </c>
      <c r="J1190" s="0" t="inlineStr">
        <is>
          <t>NULL</t>
        </is>
      </c>
      <c r="K1190" s="0" t="inlineStr">
        <is>
          <t>YES! 	 c_varbinary列源备映射正确，源端为varbinary 1位	期望更改为varbinary(n)	实际备端为varbinary 1位</t>
        </is>
      </c>
    </row>
    <row r="1191">
      <c r="B1191" s="0" t="inlineStr">
        <is>
          <t>NULL</t>
        </is>
      </c>
      <c r="C1191" s="0" t="inlineStr">
        <is>
          <t>NULL</t>
        </is>
      </c>
      <c r="D1191" s="0" t="inlineStr">
        <is>
          <t>NULL</t>
        </is>
      </c>
      <c r="E1191" s="0" t="inlineStr">
        <is>
          <t>NULL</t>
        </is>
      </c>
      <c r="F1191" s="0" t="inlineStr">
        <is>
          <t>NULL</t>
        </is>
      </c>
      <c r="G1191" s="0" t="inlineStr">
        <is>
          <t>NULL</t>
        </is>
      </c>
      <c r="H1191" s="0" t="inlineStr">
        <is>
          <t>NULL</t>
        </is>
      </c>
      <c r="I1191" s="0" t="inlineStr">
        <is>
          <t>NULL</t>
        </is>
      </c>
      <c r="J1191" s="0" t="inlineStr">
        <is>
          <t>NULL</t>
        </is>
      </c>
      <c r="K1191" s="0" t="inlineStr">
        <is>
          <t>YES! 	 c_varbinary_100列源备映射正确，源端为varbinary 100位	期望更改为varbinary(n)	实际备端为varbinary 100位</t>
        </is>
      </c>
    </row>
    <row r="1192">
      <c r="B1192" s="0" t="inlineStr">
        <is>
          <t>NULL</t>
        </is>
      </c>
      <c r="C1192" s="0" t="inlineStr">
        <is>
          <t>NULL</t>
        </is>
      </c>
      <c r="D1192" s="0" t="inlineStr">
        <is>
          <t>NULL</t>
        </is>
      </c>
      <c r="E1192" s="0" t="inlineStr">
        <is>
          <t>NULL</t>
        </is>
      </c>
      <c r="F1192" s="0" t="inlineStr">
        <is>
          <t>NULL</t>
        </is>
      </c>
      <c r="G1192" s="0" t="inlineStr">
        <is>
          <t>NULL</t>
        </is>
      </c>
      <c r="H1192" s="0" t="inlineStr">
        <is>
          <t>NULL</t>
        </is>
      </c>
      <c r="I1192" s="0" t="inlineStr">
        <is>
          <t>NULL</t>
        </is>
      </c>
      <c r="J1192" s="0" t="inlineStr">
        <is>
          <t>NULL</t>
        </is>
      </c>
      <c r="K1192" s="0" t="inlineStr">
        <is>
          <t>YES! 	 c_varbinary_8000列源备映射正确，源端为varbinary 8000位	期望更改为varbinary(n)	实际备端为varbinary 8000位</t>
        </is>
      </c>
    </row>
    <row r="1193">
      <c r="A1193" s="0" t="inlineStr">
        <is>
          <t>info_date_dml_single_nopk_drp</t>
        </is>
      </c>
      <c r="K1193" s="0" t="inlineStr">
        <is>
          <t>[0;34m info_date_dml_single_nopk_drp [0m源备字段数相同，源端字段：2 	备端字段2</t>
        </is>
      </c>
      <c r="W1193" s="0" t="inlineStr">
        <is>
          <t>YES 源备无差异</t>
        </is>
      </c>
      <c r="X1193" s="0">
        <f>A1193</f>
        <v/>
      </c>
    </row>
    <row r="1194">
      <c r="B1194" s="0" t="inlineStr">
        <is>
          <t>NULL</t>
        </is>
      </c>
      <c r="C1194" s="0" t="inlineStr">
        <is>
          <t>NULL</t>
        </is>
      </c>
      <c r="D1194" s="0" t="inlineStr">
        <is>
          <t>NULL</t>
        </is>
      </c>
      <c r="E1194" s="0" t="inlineStr">
        <is>
          <t>NULL</t>
        </is>
      </c>
      <c r="F1194" s="0" t="inlineStr">
        <is>
          <t>NULL</t>
        </is>
      </c>
      <c r="G1194" s="0" t="inlineStr">
        <is>
          <t>NULL</t>
        </is>
      </c>
      <c r="H1194" s="0" t="inlineStr">
        <is>
          <t>NULL</t>
        </is>
      </c>
      <c r="I1194" s="0" t="inlineStr">
        <is>
          <t>NULL</t>
        </is>
      </c>
      <c r="J1194" s="0" t="inlineStr">
        <is>
          <t>NULL</t>
        </is>
      </c>
      <c r="K1194" s="0" t="inlineStr">
        <is>
          <t>YES! 	 id列源备映射正确，源端为int None位	期望更改为int	实际备端为int None位</t>
        </is>
      </c>
    </row>
    <row r="1195">
      <c r="B1195" s="0" t="inlineStr">
        <is>
          <t>NULL</t>
        </is>
      </c>
      <c r="C1195" s="0" t="inlineStr">
        <is>
          <t>NULL</t>
        </is>
      </c>
      <c r="D1195" s="0" t="inlineStr">
        <is>
          <t>NULL</t>
        </is>
      </c>
      <c r="E1195" s="0" t="inlineStr">
        <is>
          <t>NULL</t>
        </is>
      </c>
      <c r="F1195" s="0" t="inlineStr">
        <is>
          <t>NULL</t>
        </is>
      </c>
      <c r="G1195" s="0" t="inlineStr">
        <is>
          <t>NULL</t>
        </is>
      </c>
      <c r="H1195" s="0" t="inlineStr">
        <is>
          <t>NULL</t>
        </is>
      </c>
      <c r="I1195" s="0" t="inlineStr">
        <is>
          <t>NULL</t>
        </is>
      </c>
      <c r="J1195" s="0" t="inlineStr">
        <is>
          <t>NULL</t>
        </is>
      </c>
      <c r="K1195" s="0" t="inlineStr">
        <is>
          <t>YES! 	 c_date列源备映射正确，源端为date None位	期望更改为date	实际备端为date None位</t>
        </is>
      </c>
    </row>
    <row r="1196">
      <c r="A1196" s="0" t="inlineStr">
        <is>
          <t>info_varbinary_dml_single_nopk_urp</t>
        </is>
      </c>
      <c r="K1196" s="0" t="inlineStr">
        <is>
          <t>[0;34m info_varbinary_dml_single_nopk_urp [0m源备字段数相同，源端字段：4 	备端字段4</t>
        </is>
      </c>
      <c r="W1196" s="0" t="inlineStr">
        <is>
          <t>YES 源备无差异</t>
        </is>
      </c>
      <c r="X1196" s="0">
        <f>A1196</f>
        <v/>
      </c>
    </row>
    <row r="1197">
      <c r="B1197" s="0" t="inlineStr">
        <is>
          <t>NULL</t>
        </is>
      </c>
      <c r="C1197" s="0" t="inlineStr">
        <is>
          <t>NULL</t>
        </is>
      </c>
      <c r="D1197" s="0" t="inlineStr">
        <is>
          <t>NULL</t>
        </is>
      </c>
      <c r="E1197" s="0" t="inlineStr">
        <is>
          <t>NULL</t>
        </is>
      </c>
      <c r="F1197" s="0" t="inlineStr">
        <is>
          <t>NULL</t>
        </is>
      </c>
      <c r="G1197" s="0" t="inlineStr">
        <is>
          <t>NULL</t>
        </is>
      </c>
      <c r="H1197" s="0" t="inlineStr">
        <is>
          <t>NULL</t>
        </is>
      </c>
      <c r="I1197" s="0" t="inlineStr">
        <is>
          <t>NULL</t>
        </is>
      </c>
      <c r="J1197" s="0" t="inlineStr">
        <is>
          <t>NULL</t>
        </is>
      </c>
      <c r="K1197" s="0" t="inlineStr">
        <is>
          <t>YES! 	 id列源备映射正确，源端为int None位	期望更改为int	实际备端为int None位</t>
        </is>
      </c>
    </row>
    <row r="1198">
      <c r="B1198" s="0" t="inlineStr">
        <is>
          <t>NULL</t>
        </is>
      </c>
      <c r="C1198" s="0" t="inlineStr">
        <is>
          <t>NULL</t>
        </is>
      </c>
      <c r="D1198" s="0" t="inlineStr">
        <is>
          <t>NULL</t>
        </is>
      </c>
      <c r="E1198" s="0" t="inlineStr">
        <is>
          <t>NULL</t>
        </is>
      </c>
      <c r="F1198" s="0" t="inlineStr">
        <is>
          <t>NULL</t>
        </is>
      </c>
      <c r="G1198" s="0" t="inlineStr">
        <is>
          <t>NULL</t>
        </is>
      </c>
      <c r="H1198" s="0" t="inlineStr">
        <is>
          <t>NULL</t>
        </is>
      </c>
      <c r="I1198" s="0" t="inlineStr">
        <is>
          <t>NULL</t>
        </is>
      </c>
      <c r="J1198" s="0" t="inlineStr">
        <is>
          <t>NULL</t>
        </is>
      </c>
      <c r="K1198" s="0" t="inlineStr">
        <is>
          <t>YES! 	 c_varbinary列源备映射正确，源端为varbinary 1位	期望更改为varbinary(n)	实际备端为varbinary 1位</t>
        </is>
      </c>
    </row>
    <row r="1199">
      <c r="B1199" s="0" t="inlineStr">
        <is>
          <t>NULL</t>
        </is>
      </c>
      <c r="C1199" s="0" t="inlineStr">
        <is>
          <t>NULL</t>
        </is>
      </c>
      <c r="D1199" s="0" t="inlineStr">
        <is>
          <t>NULL</t>
        </is>
      </c>
      <c r="E1199" s="0" t="inlineStr">
        <is>
          <t>NULL</t>
        </is>
      </c>
      <c r="F1199" s="0" t="inlineStr">
        <is>
          <t>NULL</t>
        </is>
      </c>
      <c r="G1199" s="0" t="inlineStr">
        <is>
          <t>NULL</t>
        </is>
      </c>
      <c r="H1199" s="0" t="inlineStr">
        <is>
          <t>NULL</t>
        </is>
      </c>
      <c r="I1199" s="0" t="inlineStr">
        <is>
          <t>NULL</t>
        </is>
      </c>
      <c r="J1199" s="0" t="inlineStr">
        <is>
          <t>NULL</t>
        </is>
      </c>
      <c r="K1199" s="0" t="inlineStr">
        <is>
          <t>YES! 	 c_varbinary_100列源备映射正确，源端为varbinary 100位	期望更改为varbinary(n)	实际备端为varbinary 100位</t>
        </is>
      </c>
    </row>
    <row r="1200">
      <c r="B1200" s="0" t="inlineStr">
        <is>
          <t>NULL</t>
        </is>
      </c>
      <c r="C1200" s="0" t="inlineStr">
        <is>
          <t>NULL</t>
        </is>
      </c>
      <c r="D1200" s="0" t="inlineStr">
        <is>
          <t>NULL</t>
        </is>
      </c>
      <c r="E1200" s="0" t="inlineStr">
        <is>
          <t>NULL</t>
        </is>
      </c>
      <c r="F1200" s="0" t="inlineStr">
        <is>
          <t>NULL</t>
        </is>
      </c>
      <c r="G1200" s="0" t="inlineStr">
        <is>
          <t>NULL</t>
        </is>
      </c>
      <c r="H1200" s="0" t="inlineStr">
        <is>
          <t>NULL</t>
        </is>
      </c>
      <c r="I1200" s="0" t="inlineStr">
        <is>
          <t>NULL</t>
        </is>
      </c>
      <c r="J1200" s="0" t="inlineStr">
        <is>
          <t>NULL</t>
        </is>
      </c>
      <c r="K1200" s="0" t="inlineStr">
        <is>
          <t>YES! 	 c_varbinary_8000列源备映射正确，源端为varbinary 8000位	期望更改为varbinary(n)	实际备端为varbinary 8000位</t>
        </is>
      </c>
    </row>
    <row r="1201">
      <c r="A1201" s="0" t="inlineStr">
        <is>
          <t>info_datetimeoffset_dml_batch1_pk_irp2</t>
        </is>
      </c>
      <c r="K1201" s="0" t="inlineStr">
        <is>
          <t>[0;34m info_datetimeoffset_dml_batch1_pk_irp2 [0m源备字段数相同，源端字段：9 	备端字段9</t>
        </is>
      </c>
      <c r="W1201" s="0" t="inlineStr">
        <is>
          <t>YES 源备无差异</t>
        </is>
      </c>
      <c r="X1201" s="0">
        <f>A1201</f>
        <v/>
      </c>
    </row>
    <row r="1202">
      <c r="B1202" s="0" t="inlineStr">
        <is>
          <t>YES</t>
        </is>
      </c>
      <c r="C1202" s="0" t="inlineStr">
        <is>
          <t>NULL</t>
        </is>
      </c>
      <c r="D1202" s="0" t="inlineStr">
        <is>
          <t>NULL</t>
        </is>
      </c>
      <c r="E1202" s="0" t="inlineStr">
        <is>
          <t>NULL</t>
        </is>
      </c>
      <c r="F1202" s="0" t="inlineStr">
        <is>
          <t>NULL</t>
        </is>
      </c>
      <c r="G1202" s="0" t="inlineStr">
        <is>
          <t>NULL</t>
        </is>
      </c>
      <c r="H1202" s="0" t="inlineStr">
        <is>
          <t>NULL</t>
        </is>
      </c>
      <c r="I1202" s="0" t="inlineStr">
        <is>
          <t>YES!PK__info_dat__3213E83F631E24C3</t>
        </is>
      </c>
      <c r="J1202" s="0" t="inlineStr">
        <is>
          <t>YES! 主键相关索引</t>
        </is>
      </c>
      <c r="K1202" s="0" t="inlineStr">
        <is>
          <t>YES! 	 id列源备映射正确，源端为int None位	期望更改为int	实际备端为int None位</t>
        </is>
      </c>
    </row>
    <row r="1203">
      <c r="B1203" s="0" t="inlineStr">
        <is>
          <t>NULL</t>
        </is>
      </c>
      <c r="C1203" s="0" t="inlineStr">
        <is>
          <t>NULL</t>
        </is>
      </c>
      <c r="D1203" s="0" t="inlineStr">
        <is>
          <t>NULL</t>
        </is>
      </c>
      <c r="E1203" s="0" t="inlineStr">
        <is>
          <t>NULL</t>
        </is>
      </c>
      <c r="F1203" s="0" t="inlineStr">
        <is>
          <t>NULL</t>
        </is>
      </c>
      <c r="G1203" s="0" t="inlineStr">
        <is>
          <t>NULL</t>
        </is>
      </c>
      <c r="H1203" s="0" t="inlineStr">
        <is>
          <t>NULL</t>
        </is>
      </c>
      <c r="I1203" s="0" t="inlineStr">
        <is>
          <t>NULL</t>
        </is>
      </c>
      <c r="J1203" s="0" t="inlineStr">
        <is>
          <t>NULL</t>
        </is>
      </c>
      <c r="K1203" s="0" t="inlineStr">
        <is>
          <t>no,len不存在</t>
        </is>
      </c>
    </row>
    <row r="1204">
      <c r="B1204" s="0" t="inlineStr">
        <is>
          <t>NULL</t>
        </is>
      </c>
      <c r="C1204" s="0" t="inlineStr">
        <is>
          <t>NULL</t>
        </is>
      </c>
      <c r="D1204" s="0" t="inlineStr">
        <is>
          <t>NULL</t>
        </is>
      </c>
      <c r="E1204" s="0" t="inlineStr">
        <is>
          <t>NULL</t>
        </is>
      </c>
      <c r="F1204" s="0" t="inlineStr">
        <is>
          <t>NULL</t>
        </is>
      </c>
      <c r="G1204" s="0" t="inlineStr">
        <is>
          <t>NULL</t>
        </is>
      </c>
      <c r="H1204" s="0" t="inlineStr">
        <is>
          <t>NULL</t>
        </is>
      </c>
      <c r="I1204" s="0" t="inlineStr">
        <is>
          <t>NULL</t>
        </is>
      </c>
      <c r="J1204" s="0" t="inlineStr">
        <is>
          <t>NULL</t>
        </is>
      </c>
      <c r="K1204" s="0" t="inlineStr">
        <is>
          <t>YES! 	 c_dtoffset_1列源备映射正确，源端为datetimeoffset None位	期望更改为datetimeoffset(n)	实际备端为datetimeoffset None位</t>
        </is>
      </c>
    </row>
    <row r="1205">
      <c r="B1205" s="0" t="inlineStr">
        <is>
          <t>NULL</t>
        </is>
      </c>
      <c r="C1205" s="0" t="inlineStr">
        <is>
          <t>NULL</t>
        </is>
      </c>
      <c r="D1205" s="0" t="inlineStr">
        <is>
          <t>NULL</t>
        </is>
      </c>
      <c r="E1205" s="0" t="inlineStr">
        <is>
          <t>NULL</t>
        </is>
      </c>
      <c r="F1205" s="0" t="inlineStr">
        <is>
          <t>NULL</t>
        </is>
      </c>
      <c r="G1205" s="0" t="inlineStr">
        <is>
          <t>NULL</t>
        </is>
      </c>
      <c r="H1205" s="0" t="inlineStr">
        <is>
          <t>NULL</t>
        </is>
      </c>
      <c r="I1205" s="0" t="inlineStr">
        <is>
          <t>NULL</t>
        </is>
      </c>
      <c r="J1205" s="0" t="inlineStr">
        <is>
          <t>NULL</t>
        </is>
      </c>
      <c r="K1205" s="0" t="inlineStr">
        <is>
          <t>YES! 	 c_dtoffset_2列源备映射正确，源端为datetimeoffset None位	期望更改为datetimeoffset(n)	实际备端为datetimeoffset None位</t>
        </is>
      </c>
    </row>
    <row r="1206">
      <c r="B1206" s="0" t="inlineStr">
        <is>
          <t>NULL</t>
        </is>
      </c>
      <c r="C1206" s="0" t="inlineStr">
        <is>
          <t>NULL</t>
        </is>
      </c>
      <c r="D1206" s="0" t="inlineStr">
        <is>
          <t>NULL</t>
        </is>
      </c>
      <c r="E1206" s="0" t="inlineStr">
        <is>
          <t>NULL</t>
        </is>
      </c>
      <c r="F1206" s="0" t="inlineStr">
        <is>
          <t>NULL</t>
        </is>
      </c>
      <c r="G1206" s="0" t="inlineStr">
        <is>
          <t>NULL</t>
        </is>
      </c>
      <c r="H1206" s="0" t="inlineStr">
        <is>
          <t>NULL</t>
        </is>
      </c>
      <c r="I1206" s="0" t="inlineStr">
        <is>
          <t>NULL</t>
        </is>
      </c>
      <c r="J1206" s="0" t="inlineStr">
        <is>
          <t>NULL</t>
        </is>
      </c>
      <c r="K1206" s="0" t="inlineStr">
        <is>
          <t>YES! 	 c_dtoffset_3列源备映射正确，源端为datetimeoffset None位	期望更改为datetimeoffset(n)	实际备端为datetimeoffset None位</t>
        </is>
      </c>
    </row>
    <row r="1207">
      <c r="B1207" s="0" t="inlineStr">
        <is>
          <t>NULL</t>
        </is>
      </c>
      <c r="C1207" s="0" t="inlineStr">
        <is>
          <t>NULL</t>
        </is>
      </c>
      <c r="D1207" s="0" t="inlineStr">
        <is>
          <t>NULL</t>
        </is>
      </c>
      <c r="E1207" s="0" t="inlineStr">
        <is>
          <t>NULL</t>
        </is>
      </c>
      <c r="F1207" s="0" t="inlineStr">
        <is>
          <t>NULL</t>
        </is>
      </c>
      <c r="G1207" s="0" t="inlineStr">
        <is>
          <t>NULL</t>
        </is>
      </c>
      <c r="H1207" s="0" t="inlineStr">
        <is>
          <t>NULL</t>
        </is>
      </c>
      <c r="I1207" s="0" t="inlineStr">
        <is>
          <t>NULL</t>
        </is>
      </c>
      <c r="J1207" s="0" t="inlineStr">
        <is>
          <t>NULL</t>
        </is>
      </c>
      <c r="K1207" s="0" t="inlineStr">
        <is>
          <t>YES! 	 c_dtoffset_4列源备映射正确，源端为datetimeoffset None位	期望更改为datetimeoffset(n)	实际备端为datetimeoffset None位</t>
        </is>
      </c>
    </row>
    <row r="1208">
      <c r="B1208" s="0" t="inlineStr">
        <is>
          <t>NULL</t>
        </is>
      </c>
      <c r="C1208" s="0" t="inlineStr">
        <is>
          <t>NULL</t>
        </is>
      </c>
      <c r="D1208" s="0" t="inlineStr">
        <is>
          <t>NULL</t>
        </is>
      </c>
      <c r="E1208" s="0" t="inlineStr">
        <is>
          <t>NULL</t>
        </is>
      </c>
      <c r="F1208" s="0" t="inlineStr">
        <is>
          <t>NULL</t>
        </is>
      </c>
      <c r="G1208" s="0" t="inlineStr">
        <is>
          <t>NULL</t>
        </is>
      </c>
      <c r="H1208" s="0" t="inlineStr">
        <is>
          <t>NULL</t>
        </is>
      </c>
      <c r="I1208" s="0" t="inlineStr">
        <is>
          <t>NULL</t>
        </is>
      </c>
      <c r="J1208" s="0" t="inlineStr">
        <is>
          <t>NULL</t>
        </is>
      </c>
      <c r="K1208" s="0" t="inlineStr">
        <is>
          <t>YES! 	 c_dtoffset_5列源备映射正确，源端为datetimeoffset None位	期望更改为datetimeoffset(n)	实际备端为datetimeoffset None位</t>
        </is>
      </c>
    </row>
    <row r="1209">
      <c r="B1209" s="0" t="inlineStr">
        <is>
          <t>NULL</t>
        </is>
      </c>
      <c r="C1209" s="0" t="inlineStr">
        <is>
          <t>NULL</t>
        </is>
      </c>
      <c r="D1209" s="0" t="inlineStr">
        <is>
          <t>NULL</t>
        </is>
      </c>
      <c r="E1209" s="0" t="inlineStr">
        <is>
          <t>NULL</t>
        </is>
      </c>
      <c r="F1209" s="0" t="inlineStr">
        <is>
          <t>NULL</t>
        </is>
      </c>
      <c r="G1209" s="0" t="inlineStr">
        <is>
          <t>NULL</t>
        </is>
      </c>
      <c r="H1209" s="0" t="inlineStr">
        <is>
          <t>NULL</t>
        </is>
      </c>
      <c r="I1209" s="0" t="inlineStr">
        <is>
          <t>NULL</t>
        </is>
      </c>
      <c r="J1209" s="0" t="inlineStr">
        <is>
          <t>NULL</t>
        </is>
      </c>
      <c r="K1209" s="0" t="inlineStr">
        <is>
          <t>YES! 	 c_dtoffset_6列源备映射正确，源端为datetimeoffset None位	期望更改为datetimeoffset(n)	实际备端为datetimeoffset None位</t>
        </is>
      </c>
    </row>
    <row r="1210">
      <c r="B1210" s="0" t="inlineStr">
        <is>
          <t>NULL</t>
        </is>
      </c>
      <c r="C1210" s="0" t="inlineStr">
        <is>
          <t>NULL</t>
        </is>
      </c>
      <c r="D1210" s="0" t="inlineStr">
        <is>
          <t>NULL</t>
        </is>
      </c>
      <c r="E1210" s="0" t="inlineStr">
        <is>
          <t>NULL</t>
        </is>
      </c>
      <c r="F1210" s="0" t="inlineStr">
        <is>
          <t>NULL</t>
        </is>
      </c>
      <c r="G1210" s="0" t="inlineStr">
        <is>
          <t>NULL</t>
        </is>
      </c>
      <c r="H1210" s="0" t="inlineStr">
        <is>
          <t>NULL</t>
        </is>
      </c>
      <c r="I1210" s="0" t="inlineStr">
        <is>
          <t>NULL</t>
        </is>
      </c>
      <c r="J1210" s="0" t="inlineStr">
        <is>
          <t>NULL</t>
        </is>
      </c>
      <c r="K1210" s="0" t="inlineStr">
        <is>
          <t>YES! 	 c_dtoffset列源备映射正确，源端为datetimeoffset None位	期望更改为datetimeoffset(n)	实际备端为datetimeoffset None位</t>
        </is>
      </c>
    </row>
    <row r="1211">
      <c r="A1211" s="0" t="inlineStr">
        <is>
          <t>info_date_dml_single_nopk</t>
        </is>
      </c>
      <c r="K1211" s="0" t="inlineStr">
        <is>
          <t>[0;34m info_date_dml_single_nopk [0m源备字段数相同，源端字段：2 	备端字段2</t>
        </is>
      </c>
      <c r="W1211" s="0" t="inlineStr">
        <is>
          <t>YES 源备无差异</t>
        </is>
      </c>
      <c r="X1211" s="0">
        <f>A1211</f>
        <v/>
      </c>
    </row>
    <row r="1212">
      <c r="B1212" s="0" t="inlineStr">
        <is>
          <t>NULL</t>
        </is>
      </c>
      <c r="C1212" s="0" t="inlineStr">
        <is>
          <t>NULL</t>
        </is>
      </c>
      <c r="D1212" s="0" t="inlineStr">
        <is>
          <t>NULL</t>
        </is>
      </c>
      <c r="E1212" s="0" t="inlineStr">
        <is>
          <t>NULL</t>
        </is>
      </c>
      <c r="F1212" s="0" t="inlineStr">
        <is>
          <t>NULL</t>
        </is>
      </c>
      <c r="G1212" s="0" t="inlineStr">
        <is>
          <t>NULL</t>
        </is>
      </c>
      <c r="H1212" s="0" t="inlineStr">
        <is>
          <t>NULL</t>
        </is>
      </c>
      <c r="I1212" s="0" t="inlineStr">
        <is>
          <t>NULL</t>
        </is>
      </c>
      <c r="J1212" s="0" t="inlineStr">
        <is>
          <t>NULL</t>
        </is>
      </c>
      <c r="K1212" s="0" t="inlineStr">
        <is>
          <t>YES! 	 id列源备映射正确，源端为int None位	期望更改为int	实际备端为int None位</t>
        </is>
      </c>
    </row>
    <row r="1213">
      <c r="B1213" s="0" t="inlineStr">
        <is>
          <t>NULL</t>
        </is>
      </c>
      <c r="C1213" s="0" t="inlineStr">
        <is>
          <t>NULL</t>
        </is>
      </c>
      <c r="D1213" s="0" t="inlineStr">
        <is>
          <t>NULL</t>
        </is>
      </c>
      <c r="E1213" s="0" t="inlineStr">
        <is>
          <t>NULL</t>
        </is>
      </c>
      <c r="F1213" s="0" t="inlineStr">
        <is>
          <t>NULL</t>
        </is>
      </c>
      <c r="G1213" s="0" t="inlineStr">
        <is>
          <t>NULL</t>
        </is>
      </c>
      <c r="H1213" s="0" t="inlineStr">
        <is>
          <t>NULL</t>
        </is>
      </c>
      <c r="I1213" s="0" t="inlineStr">
        <is>
          <t>NULL</t>
        </is>
      </c>
      <c r="J1213" s="0" t="inlineStr">
        <is>
          <t>NULL</t>
        </is>
      </c>
      <c r="K1213" s="0" t="inlineStr">
        <is>
          <t>YES! 	 c_date列源备映射正确，源端为date None位	期望更改为date	实际备端为date None位</t>
        </is>
      </c>
    </row>
    <row r="1214">
      <c r="A1214" s="0" t="inlineStr">
        <is>
          <t>info_nvarchar_dml_batch1_pk_drp1</t>
        </is>
      </c>
      <c r="K1214" s="0" t="inlineStr">
        <is>
          <t>[0;34m info_nvarchar_dml_batch1_pk_drp1 [0m源备字段数相同，源端字段：4 	备端字段4</t>
        </is>
      </c>
      <c r="W1214" s="0" t="inlineStr">
        <is>
          <t>YES 源备无差异</t>
        </is>
      </c>
      <c r="X1214" s="0">
        <f>A1214</f>
        <v/>
      </c>
    </row>
    <row r="1215">
      <c r="B1215" s="0" t="inlineStr">
        <is>
          <t>YES</t>
        </is>
      </c>
      <c r="C1215" s="0" t="inlineStr">
        <is>
          <t>NULL</t>
        </is>
      </c>
      <c r="D1215" s="0" t="inlineStr">
        <is>
          <t>NULL</t>
        </is>
      </c>
      <c r="E1215" s="0" t="inlineStr">
        <is>
          <t>NULL</t>
        </is>
      </c>
      <c r="F1215" s="0" t="inlineStr">
        <is>
          <t>NULL</t>
        </is>
      </c>
      <c r="G1215" s="0" t="inlineStr">
        <is>
          <t>NULL</t>
        </is>
      </c>
      <c r="H1215" s="0" t="inlineStr">
        <is>
          <t>NULL</t>
        </is>
      </c>
      <c r="I1215" s="0" t="inlineStr">
        <is>
          <t>YES!PK__info_nva__3213E83F3B807937</t>
        </is>
      </c>
      <c r="J1215" s="0" t="inlineStr">
        <is>
          <t>YES! 主键相关索引</t>
        </is>
      </c>
      <c r="K1215" s="0" t="inlineStr">
        <is>
          <t>YES! 	 id列源备映射正确，源端为int None位	期望更改为int	实际备端为int None位</t>
        </is>
      </c>
    </row>
    <row r="1216">
      <c r="B1216" s="0" t="inlineStr">
        <is>
          <t>NULL</t>
        </is>
      </c>
      <c r="C1216" s="0" t="inlineStr">
        <is>
          <t>NULL</t>
        </is>
      </c>
      <c r="D1216" s="0" t="inlineStr">
        <is>
          <t>NULL</t>
        </is>
      </c>
      <c r="E1216" s="0" t="inlineStr">
        <is>
          <t>NULL</t>
        </is>
      </c>
      <c r="F1216" s="0" t="inlineStr">
        <is>
          <t>NULL</t>
        </is>
      </c>
      <c r="G1216" s="0" t="inlineStr">
        <is>
          <t>NULL</t>
        </is>
      </c>
      <c r="H1216" s="0" t="inlineStr">
        <is>
          <t>NULL</t>
        </is>
      </c>
      <c r="I1216" s="0" t="inlineStr">
        <is>
          <t>NULL</t>
        </is>
      </c>
      <c r="J1216" s="0" t="inlineStr">
        <is>
          <t>NULL</t>
        </is>
      </c>
      <c r="K1216" s="0" t="inlineStr">
        <is>
          <t>YES! 	 c_nvarchar列源备映射正确，源端为nvarchar 2位	期望更改为nvarchar(n)	实际备端为nvarchar 2位</t>
        </is>
      </c>
    </row>
    <row r="1217">
      <c r="B1217" s="0" t="inlineStr">
        <is>
          <t>NULL</t>
        </is>
      </c>
      <c r="C1217" s="0" t="inlineStr">
        <is>
          <t>NULL</t>
        </is>
      </c>
      <c r="D1217" s="0" t="inlineStr">
        <is>
          <t>NULL</t>
        </is>
      </c>
      <c r="E1217" s="0" t="inlineStr">
        <is>
          <t>NULL</t>
        </is>
      </c>
      <c r="F1217" s="0" t="inlineStr">
        <is>
          <t>NULL</t>
        </is>
      </c>
      <c r="G1217" s="0" t="inlineStr">
        <is>
          <t>NULL</t>
        </is>
      </c>
      <c r="H1217" s="0" t="inlineStr">
        <is>
          <t>NULL</t>
        </is>
      </c>
      <c r="I1217" s="0" t="inlineStr">
        <is>
          <t>NULL</t>
        </is>
      </c>
      <c r="J1217" s="0" t="inlineStr">
        <is>
          <t>NULL</t>
        </is>
      </c>
      <c r="K1217" s="0" t="inlineStr">
        <is>
          <t>YES! 	 c_nvarchar20列源备映射正确，源端为nvarchar 40位	期望更改为nvarchar(n)	实际备端为nvarchar 40位</t>
        </is>
      </c>
    </row>
    <row r="1218">
      <c r="B1218" s="0" t="inlineStr">
        <is>
          <t>NULL</t>
        </is>
      </c>
      <c r="C1218" s="0" t="inlineStr">
        <is>
          <t>NULL</t>
        </is>
      </c>
      <c r="D1218" s="0" t="inlineStr">
        <is>
          <t>NULL</t>
        </is>
      </c>
      <c r="E1218" s="0" t="inlineStr">
        <is>
          <t>NULL</t>
        </is>
      </c>
      <c r="F1218" s="0" t="inlineStr">
        <is>
          <t>NULL</t>
        </is>
      </c>
      <c r="G1218" s="0" t="inlineStr">
        <is>
          <t>NULL</t>
        </is>
      </c>
      <c r="H1218" s="0" t="inlineStr">
        <is>
          <t>NULL</t>
        </is>
      </c>
      <c r="I1218" s="0" t="inlineStr">
        <is>
          <t>NULL</t>
        </is>
      </c>
      <c r="J1218" s="0" t="inlineStr">
        <is>
          <t>NULL</t>
        </is>
      </c>
      <c r="K1218" s="0" t="inlineStr">
        <is>
          <t>YES! 	 c_nvarchar3500列源备映射正确，源端为nvarchar 7000位	期望更改为nvarchar(n)	实际备端为nvarchar 7000位</t>
        </is>
      </c>
    </row>
    <row r="1219">
      <c r="K1219" s="0" t="inlineStr">
        <is>
          <t>~ 空表</t>
        </is>
      </c>
    </row>
    <row r="1220">
      <c r="A1220" s="0" t="inlineStr">
        <is>
          <t>info_datetime_dml_single_pk</t>
        </is>
      </c>
      <c r="K1220" s="0" t="inlineStr">
        <is>
          <t>[0;34m info_datetime_dml_single_pk [0m源备字段数相同，源端字段：2 	备端字段2</t>
        </is>
      </c>
      <c r="W1220" s="0" t="inlineStr">
        <is>
          <t>YES 源备无差异</t>
        </is>
      </c>
      <c r="X1220" s="0">
        <f>A1220</f>
        <v/>
      </c>
    </row>
    <row r="1221">
      <c r="B1221" s="0" t="inlineStr">
        <is>
          <t>YES</t>
        </is>
      </c>
      <c r="C1221" s="0" t="inlineStr">
        <is>
          <t>NULL</t>
        </is>
      </c>
      <c r="D1221" s="0" t="inlineStr">
        <is>
          <t>NULL</t>
        </is>
      </c>
      <c r="E1221" s="0" t="inlineStr">
        <is>
          <t>NULL</t>
        </is>
      </c>
      <c r="F1221" s="0" t="inlineStr">
        <is>
          <t>NULL</t>
        </is>
      </c>
      <c r="G1221" s="0" t="inlineStr">
        <is>
          <t>NULL</t>
        </is>
      </c>
      <c r="H1221" s="0" t="inlineStr">
        <is>
          <t>NULL</t>
        </is>
      </c>
      <c r="I1221" s="0" t="inlineStr">
        <is>
          <t>YES!PK__info_dat__3213E83FFC8EEB2A</t>
        </is>
      </c>
      <c r="J1221" s="0" t="inlineStr">
        <is>
          <t>YES! 主键相关索引</t>
        </is>
      </c>
      <c r="K1221" s="0" t="inlineStr">
        <is>
          <t>YES! 	 id列源备映射正确，源端为int None位	期望更改为int	实际备端为int None位</t>
        </is>
      </c>
    </row>
    <row r="1222">
      <c r="B1222" s="0" t="inlineStr">
        <is>
          <t>NULL</t>
        </is>
      </c>
      <c r="C1222" s="0" t="inlineStr">
        <is>
          <t>NULL</t>
        </is>
      </c>
      <c r="D1222" s="0" t="inlineStr">
        <is>
          <t>NULL</t>
        </is>
      </c>
      <c r="E1222" s="0" t="inlineStr">
        <is>
          <t>NULL</t>
        </is>
      </c>
      <c r="F1222" s="0" t="inlineStr">
        <is>
          <t>NULL</t>
        </is>
      </c>
      <c r="G1222" s="0" t="inlineStr">
        <is>
          <t>NULL</t>
        </is>
      </c>
      <c r="H1222" s="0" t="inlineStr">
        <is>
          <t>NULL</t>
        </is>
      </c>
      <c r="I1222" s="0" t="inlineStr">
        <is>
          <t>NULL</t>
        </is>
      </c>
      <c r="J1222" s="0" t="inlineStr">
        <is>
          <t>NULL</t>
        </is>
      </c>
      <c r="K1222" s="0" t="inlineStr">
        <is>
          <t>YES! 	 c_datetime列源备映射正确，源端为datetime None位	期望更改为datetime	实际备端为datetime None位</t>
        </is>
      </c>
    </row>
    <row r="1223">
      <c r="A1223" s="0" t="inlineStr">
        <is>
          <t>info_varbinary_dml_single_nopk_drp</t>
        </is>
      </c>
      <c r="K1223" s="0" t="inlineStr">
        <is>
          <t>[0;34m info_varbinary_dml_single_nopk_drp [0m源备字段数相同，源端字段：4 	备端字段4</t>
        </is>
      </c>
      <c r="W1223" s="0" t="inlineStr">
        <is>
          <t>YES 源备无差异</t>
        </is>
      </c>
      <c r="X1223" s="0">
        <f>A1223</f>
        <v/>
      </c>
    </row>
    <row r="1224">
      <c r="B1224" s="0" t="inlineStr">
        <is>
          <t>NULL</t>
        </is>
      </c>
      <c r="C1224" s="0" t="inlineStr">
        <is>
          <t>NULL</t>
        </is>
      </c>
      <c r="D1224" s="0" t="inlineStr">
        <is>
          <t>NULL</t>
        </is>
      </c>
      <c r="E1224" s="0" t="inlineStr">
        <is>
          <t>NULL</t>
        </is>
      </c>
      <c r="F1224" s="0" t="inlineStr">
        <is>
          <t>NULL</t>
        </is>
      </c>
      <c r="G1224" s="0" t="inlineStr">
        <is>
          <t>NULL</t>
        </is>
      </c>
      <c r="H1224" s="0" t="inlineStr">
        <is>
          <t>NULL</t>
        </is>
      </c>
      <c r="I1224" s="0" t="inlineStr">
        <is>
          <t>NULL</t>
        </is>
      </c>
      <c r="J1224" s="0" t="inlineStr">
        <is>
          <t>NULL</t>
        </is>
      </c>
      <c r="K1224" s="0" t="inlineStr">
        <is>
          <t>YES! 	 id列源备映射正确，源端为int None位	期望更改为int	实际备端为int None位</t>
        </is>
      </c>
    </row>
    <row r="1225">
      <c r="B1225" s="0" t="inlineStr">
        <is>
          <t>NULL</t>
        </is>
      </c>
      <c r="C1225" s="0" t="inlineStr">
        <is>
          <t>NULL</t>
        </is>
      </c>
      <c r="D1225" s="0" t="inlineStr">
        <is>
          <t>NULL</t>
        </is>
      </c>
      <c r="E1225" s="0" t="inlineStr">
        <is>
          <t>NULL</t>
        </is>
      </c>
      <c r="F1225" s="0" t="inlineStr">
        <is>
          <t>NULL</t>
        </is>
      </c>
      <c r="G1225" s="0" t="inlineStr">
        <is>
          <t>NULL</t>
        </is>
      </c>
      <c r="H1225" s="0" t="inlineStr">
        <is>
          <t>NULL</t>
        </is>
      </c>
      <c r="I1225" s="0" t="inlineStr">
        <is>
          <t>NULL</t>
        </is>
      </c>
      <c r="J1225" s="0" t="inlineStr">
        <is>
          <t>NULL</t>
        </is>
      </c>
      <c r="K1225" s="0" t="inlineStr">
        <is>
          <t>YES! 	 c_varbinary列源备映射正确，源端为varbinary 1位	期望更改为varbinary(n)	实际备端为varbinary 1位</t>
        </is>
      </c>
    </row>
    <row r="1226">
      <c r="B1226" s="0" t="inlineStr">
        <is>
          <t>NULL</t>
        </is>
      </c>
      <c r="C1226" s="0" t="inlineStr">
        <is>
          <t>NULL</t>
        </is>
      </c>
      <c r="D1226" s="0" t="inlineStr">
        <is>
          <t>NULL</t>
        </is>
      </c>
      <c r="E1226" s="0" t="inlineStr">
        <is>
          <t>NULL</t>
        </is>
      </c>
      <c r="F1226" s="0" t="inlineStr">
        <is>
          <t>NULL</t>
        </is>
      </c>
      <c r="G1226" s="0" t="inlineStr">
        <is>
          <t>NULL</t>
        </is>
      </c>
      <c r="H1226" s="0" t="inlineStr">
        <is>
          <t>NULL</t>
        </is>
      </c>
      <c r="I1226" s="0" t="inlineStr">
        <is>
          <t>NULL</t>
        </is>
      </c>
      <c r="J1226" s="0" t="inlineStr">
        <is>
          <t>NULL</t>
        </is>
      </c>
      <c r="K1226" s="0" t="inlineStr">
        <is>
          <t>YES! 	 c_varbinary_100列源备映射正确，源端为varbinary 100位	期望更改为varbinary(n)	实际备端为varbinary 100位</t>
        </is>
      </c>
    </row>
    <row r="1227">
      <c r="B1227" s="0" t="inlineStr">
        <is>
          <t>NULL</t>
        </is>
      </c>
      <c r="C1227" s="0" t="inlineStr">
        <is>
          <t>NULL</t>
        </is>
      </c>
      <c r="D1227" s="0" t="inlineStr">
        <is>
          <t>NULL</t>
        </is>
      </c>
      <c r="E1227" s="0" t="inlineStr">
        <is>
          <t>NULL</t>
        </is>
      </c>
      <c r="F1227" s="0" t="inlineStr">
        <is>
          <t>NULL</t>
        </is>
      </c>
      <c r="G1227" s="0" t="inlineStr">
        <is>
          <t>NULL</t>
        </is>
      </c>
      <c r="H1227" s="0" t="inlineStr">
        <is>
          <t>NULL</t>
        </is>
      </c>
      <c r="I1227" s="0" t="inlineStr">
        <is>
          <t>NULL</t>
        </is>
      </c>
      <c r="J1227" s="0" t="inlineStr">
        <is>
          <t>NULL</t>
        </is>
      </c>
      <c r="K1227" s="0" t="inlineStr">
        <is>
          <t>YES! 	 c_varbinary_8000列源备映射正确，源端为varbinary 8000位	期望更改为varbinary(n)	实际备端为varbinary 8000位</t>
        </is>
      </c>
    </row>
    <row r="1228">
      <c r="A1228" s="0" t="inlineStr">
        <is>
          <t>info_time_dml_single_nopk_irp</t>
        </is>
      </c>
      <c r="K1228" s="0" t="inlineStr">
        <is>
          <t>[0;34m info_time_dml_single_nopk_irp [0m源备字段数相同，源端字段：9 	备端字段9</t>
        </is>
      </c>
      <c r="W1228" s="0" t="inlineStr">
        <is>
          <t>YES 源备无差异</t>
        </is>
      </c>
      <c r="X1228" s="0">
        <f>A1228</f>
        <v/>
      </c>
    </row>
    <row r="1229">
      <c r="B1229" s="0" t="inlineStr">
        <is>
          <t>NULL</t>
        </is>
      </c>
      <c r="C1229" s="0" t="inlineStr">
        <is>
          <t>NULL</t>
        </is>
      </c>
      <c r="D1229" s="0" t="inlineStr">
        <is>
          <t>NULL</t>
        </is>
      </c>
      <c r="E1229" s="0" t="inlineStr">
        <is>
          <t>NULL</t>
        </is>
      </c>
      <c r="F1229" s="0" t="inlineStr">
        <is>
          <t>NULL</t>
        </is>
      </c>
      <c r="G1229" s="0" t="inlineStr">
        <is>
          <t>NULL</t>
        </is>
      </c>
      <c r="H1229" s="0" t="inlineStr">
        <is>
          <t>NULL</t>
        </is>
      </c>
      <c r="I1229" s="0" t="inlineStr">
        <is>
          <t>NULL</t>
        </is>
      </c>
      <c r="J1229" s="0" t="inlineStr">
        <is>
          <t>NULL</t>
        </is>
      </c>
      <c r="K1229" s="0" t="inlineStr">
        <is>
          <t>YES! 	 id列源备映射正确，源端为int None位	期望更改为int	实际备端为int None位</t>
        </is>
      </c>
    </row>
    <row r="1230">
      <c r="B1230" s="0" t="inlineStr">
        <is>
          <t>NULL</t>
        </is>
      </c>
      <c r="C1230" s="0" t="inlineStr">
        <is>
          <t>NULL</t>
        </is>
      </c>
      <c r="D1230" s="0" t="inlineStr">
        <is>
          <t>NULL</t>
        </is>
      </c>
      <c r="E1230" s="0" t="inlineStr">
        <is>
          <t>NULL</t>
        </is>
      </c>
      <c r="F1230" s="0" t="inlineStr">
        <is>
          <t>NULL</t>
        </is>
      </c>
      <c r="G1230" s="0" t="inlineStr">
        <is>
          <t>NULL</t>
        </is>
      </c>
      <c r="H1230" s="0" t="inlineStr">
        <is>
          <t>NULL</t>
        </is>
      </c>
      <c r="I1230" s="0" t="inlineStr">
        <is>
          <t>NULL</t>
        </is>
      </c>
      <c r="J1230" s="0" t="inlineStr">
        <is>
          <t>NULL</t>
        </is>
      </c>
      <c r="K1230" s="0" t="inlineStr">
        <is>
          <t>no,len不存在</t>
        </is>
      </c>
    </row>
    <row r="1231">
      <c r="B1231" s="0" t="inlineStr">
        <is>
          <t>NULL</t>
        </is>
      </c>
      <c r="C1231" s="0" t="inlineStr">
        <is>
          <t>NULL</t>
        </is>
      </c>
      <c r="D1231" s="0" t="inlineStr">
        <is>
          <t>NULL</t>
        </is>
      </c>
      <c r="E1231" s="0" t="inlineStr">
        <is>
          <t>NULL</t>
        </is>
      </c>
      <c r="F1231" s="0" t="inlineStr">
        <is>
          <t>NULL</t>
        </is>
      </c>
      <c r="G1231" s="0" t="inlineStr">
        <is>
          <t>NULL</t>
        </is>
      </c>
      <c r="H1231" s="0" t="inlineStr">
        <is>
          <t>NULL</t>
        </is>
      </c>
      <c r="I1231" s="0" t="inlineStr">
        <is>
          <t>NULL</t>
        </is>
      </c>
      <c r="J1231" s="0" t="inlineStr">
        <is>
          <t>NULL</t>
        </is>
      </c>
      <c r="K1231" s="0" t="inlineStr">
        <is>
          <t>YES! 	 c_time1列源备映射正确，源端为time None位	期望更改为time(n)	实际备端为time None位</t>
        </is>
      </c>
    </row>
    <row r="1232">
      <c r="B1232" s="0" t="inlineStr">
        <is>
          <t>NULL</t>
        </is>
      </c>
      <c r="C1232" s="0" t="inlineStr">
        <is>
          <t>NULL</t>
        </is>
      </c>
      <c r="D1232" s="0" t="inlineStr">
        <is>
          <t>NULL</t>
        </is>
      </c>
      <c r="E1232" s="0" t="inlineStr">
        <is>
          <t>NULL</t>
        </is>
      </c>
      <c r="F1232" s="0" t="inlineStr">
        <is>
          <t>NULL</t>
        </is>
      </c>
      <c r="G1232" s="0" t="inlineStr">
        <is>
          <t>NULL</t>
        </is>
      </c>
      <c r="H1232" s="0" t="inlineStr">
        <is>
          <t>NULL</t>
        </is>
      </c>
      <c r="I1232" s="0" t="inlineStr">
        <is>
          <t>NULL</t>
        </is>
      </c>
      <c r="J1232" s="0" t="inlineStr">
        <is>
          <t>NULL</t>
        </is>
      </c>
      <c r="K1232" s="0" t="inlineStr">
        <is>
          <t>YES! 	 c_time2列源备映射正确，源端为time None位	期望更改为time(n)	实际备端为time None位</t>
        </is>
      </c>
    </row>
    <row r="1233">
      <c r="B1233" s="0" t="inlineStr">
        <is>
          <t>NULL</t>
        </is>
      </c>
      <c r="C1233" s="0" t="inlineStr">
        <is>
          <t>NULL</t>
        </is>
      </c>
      <c r="D1233" s="0" t="inlineStr">
        <is>
          <t>NULL</t>
        </is>
      </c>
      <c r="E1233" s="0" t="inlineStr">
        <is>
          <t>NULL</t>
        </is>
      </c>
      <c r="F1233" s="0" t="inlineStr">
        <is>
          <t>NULL</t>
        </is>
      </c>
      <c r="G1233" s="0" t="inlineStr">
        <is>
          <t>NULL</t>
        </is>
      </c>
      <c r="H1233" s="0" t="inlineStr">
        <is>
          <t>NULL</t>
        </is>
      </c>
      <c r="I1233" s="0" t="inlineStr">
        <is>
          <t>NULL</t>
        </is>
      </c>
      <c r="J1233" s="0" t="inlineStr">
        <is>
          <t>NULL</t>
        </is>
      </c>
      <c r="K1233" s="0" t="inlineStr">
        <is>
          <t>YES! 	 c_time3列源备映射正确，源端为time None位	期望更改为time(n)	实际备端为time None位</t>
        </is>
      </c>
    </row>
    <row r="1234">
      <c r="B1234" s="0" t="inlineStr">
        <is>
          <t>NULL</t>
        </is>
      </c>
      <c r="C1234" s="0" t="inlineStr">
        <is>
          <t>NULL</t>
        </is>
      </c>
      <c r="D1234" s="0" t="inlineStr">
        <is>
          <t>NULL</t>
        </is>
      </c>
      <c r="E1234" s="0" t="inlineStr">
        <is>
          <t>NULL</t>
        </is>
      </c>
      <c r="F1234" s="0" t="inlineStr">
        <is>
          <t>NULL</t>
        </is>
      </c>
      <c r="G1234" s="0" t="inlineStr">
        <is>
          <t>NULL</t>
        </is>
      </c>
      <c r="H1234" s="0" t="inlineStr">
        <is>
          <t>NULL</t>
        </is>
      </c>
      <c r="I1234" s="0" t="inlineStr">
        <is>
          <t>NULL</t>
        </is>
      </c>
      <c r="J1234" s="0" t="inlineStr">
        <is>
          <t>NULL</t>
        </is>
      </c>
      <c r="K1234" s="0" t="inlineStr">
        <is>
          <t>YES! 	 c_time4列源备映射正确，源端为time None位	期望更改为time(n)	实际备端为time None位</t>
        </is>
      </c>
    </row>
    <row r="1235">
      <c r="B1235" s="0" t="inlineStr">
        <is>
          <t>NULL</t>
        </is>
      </c>
      <c r="C1235" s="0" t="inlineStr">
        <is>
          <t>NULL</t>
        </is>
      </c>
      <c r="D1235" s="0" t="inlineStr">
        <is>
          <t>NULL</t>
        </is>
      </c>
      <c r="E1235" s="0" t="inlineStr">
        <is>
          <t>NULL</t>
        </is>
      </c>
      <c r="F1235" s="0" t="inlineStr">
        <is>
          <t>NULL</t>
        </is>
      </c>
      <c r="G1235" s="0" t="inlineStr">
        <is>
          <t>NULL</t>
        </is>
      </c>
      <c r="H1235" s="0" t="inlineStr">
        <is>
          <t>NULL</t>
        </is>
      </c>
      <c r="I1235" s="0" t="inlineStr">
        <is>
          <t>NULL</t>
        </is>
      </c>
      <c r="J1235" s="0" t="inlineStr">
        <is>
          <t>NULL</t>
        </is>
      </c>
      <c r="K1235" s="0" t="inlineStr">
        <is>
          <t>YES! 	 c_time5列源备映射正确，源端为time None位	期望更改为time(n)	实际备端为time None位</t>
        </is>
      </c>
    </row>
    <row r="1236">
      <c r="B1236" s="0" t="inlineStr">
        <is>
          <t>NULL</t>
        </is>
      </c>
      <c r="C1236" s="0" t="inlineStr">
        <is>
          <t>NULL</t>
        </is>
      </c>
      <c r="D1236" s="0" t="inlineStr">
        <is>
          <t>NULL</t>
        </is>
      </c>
      <c r="E1236" s="0" t="inlineStr">
        <is>
          <t>NULL</t>
        </is>
      </c>
      <c r="F1236" s="0" t="inlineStr">
        <is>
          <t>NULL</t>
        </is>
      </c>
      <c r="G1236" s="0" t="inlineStr">
        <is>
          <t>NULL</t>
        </is>
      </c>
      <c r="H1236" s="0" t="inlineStr">
        <is>
          <t>NULL</t>
        </is>
      </c>
      <c r="I1236" s="0" t="inlineStr">
        <is>
          <t>NULL</t>
        </is>
      </c>
      <c r="J1236" s="0" t="inlineStr">
        <is>
          <t>NULL</t>
        </is>
      </c>
      <c r="K1236" s="0" t="inlineStr">
        <is>
          <t>YES! 	 c_time6列源备映射正确，源端为time None位	期望更改为time(n)	实际备端为time None位</t>
        </is>
      </c>
    </row>
    <row r="1237">
      <c r="B1237" s="0" t="inlineStr">
        <is>
          <t>NULL</t>
        </is>
      </c>
      <c r="C1237" s="0" t="inlineStr">
        <is>
          <t>NULL</t>
        </is>
      </c>
      <c r="D1237" s="0" t="inlineStr">
        <is>
          <t>NULL</t>
        </is>
      </c>
      <c r="E1237" s="0" t="inlineStr">
        <is>
          <t>NULL</t>
        </is>
      </c>
      <c r="F1237" s="0" t="inlineStr">
        <is>
          <t>NULL</t>
        </is>
      </c>
      <c r="G1237" s="0" t="inlineStr">
        <is>
          <t>NULL</t>
        </is>
      </c>
      <c r="H1237" s="0" t="inlineStr">
        <is>
          <t>NULL</t>
        </is>
      </c>
      <c r="I1237" s="0" t="inlineStr">
        <is>
          <t>NULL</t>
        </is>
      </c>
      <c r="J1237" s="0" t="inlineStr">
        <is>
          <t>NULL</t>
        </is>
      </c>
      <c r="K1237" s="0" t="inlineStr">
        <is>
          <t>YES! 	 c_time列源备映射正确，源端为time None位	期望更改为time(n)	实际备端为time None位</t>
        </is>
      </c>
    </row>
    <row r="1238">
      <c r="A1238" s="0" t="inlineStr">
        <is>
          <t>info_datetimeoffset_dml_batch2_pk_irp1</t>
        </is>
      </c>
      <c r="K1238" s="0" t="inlineStr">
        <is>
          <t>[0;34m info_datetimeoffset_dml_batch2_pk_irp1 [0m源备字段数相同，源端字段：9 	备端字段9</t>
        </is>
      </c>
      <c r="W1238" s="0" t="inlineStr">
        <is>
          <t>YES 源备无差异</t>
        </is>
      </c>
      <c r="X1238" s="0">
        <f>A1238</f>
        <v/>
      </c>
    </row>
    <row r="1239">
      <c r="B1239" s="0" t="inlineStr">
        <is>
          <t>YES</t>
        </is>
      </c>
      <c r="C1239" s="0" t="inlineStr">
        <is>
          <t>NULL</t>
        </is>
      </c>
      <c r="D1239" s="0" t="inlineStr">
        <is>
          <t>NULL</t>
        </is>
      </c>
      <c r="E1239" s="0" t="inlineStr">
        <is>
          <t>NULL</t>
        </is>
      </c>
      <c r="F1239" s="0" t="inlineStr">
        <is>
          <t>NULL</t>
        </is>
      </c>
      <c r="G1239" s="0" t="inlineStr">
        <is>
          <t>NULL</t>
        </is>
      </c>
      <c r="H1239" s="0" t="inlineStr">
        <is>
          <t>NULL</t>
        </is>
      </c>
      <c r="I1239" s="0" t="inlineStr">
        <is>
          <t>YES!PK__info_dat__3213E83FCC9DEC18</t>
        </is>
      </c>
      <c r="J1239" s="0" t="inlineStr">
        <is>
          <t>YES! 主键相关索引</t>
        </is>
      </c>
      <c r="K1239" s="0" t="inlineStr">
        <is>
          <t>YES! 	 id列源备映射正确，源端为int None位	期望更改为int	实际备端为int None位</t>
        </is>
      </c>
    </row>
    <row r="1240">
      <c r="B1240" s="0" t="inlineStr">
        <is>
          <t>NULL</t>
        </is>
      </c>
      <c r="C1240" s="0" t="inlineStr">
        <is>
          <t>NULL</t>
        </is>
      </c>
      <c r="D1240" s="0" t="inlineStr">
        <is>
          <t>NULL</t>
        </is>
      </c>
      <c r="E1240" s="0" t="inlineStr">
        <is>
          <t>NULL</t>
        </is>
      </c>
      <c r="F1240" s="0" t="inlineStr">
        <is>
          <t>NULL</t>
        </is>
      </c>
      <c r="G1240" s="0" t="inlineStr">
        <is>
          <t>NULL</t>
        </is>
      </c>
      <c r="H1240" s="0" t="inlineStr">
        <is>
          <t>NULL</t>
        </is>
      </c>
      <c r="I1240" s="0" t="inlineStr">
        <is>
          <t>NULL</t>
        </is>
      </c>
      <c r="J1240" s="0" t="inlineStr">
        <is>
          <t>NULL</t>
        </is>
      </c>
      <c r="K1240" s="0" t="inlineStr">
        <is>
          <t>no,len不存在</t>
        </is>
      </c>
    </row>
    <row r="1241">
      <c r="B1241" s="0" t="inlineStr">
        <is>
          <t>NULL</t>
        </is>
      </c>
      <c r="C1241" s="0" t="inlineStr">
        <is>
          <t>NULL</t>
        </is>
      </c>
      <c r="D1241" s="0" t="inlineStr">
        <is>
          <t>NULL</t>
        </is>
      </c>
      <c r="E1241" s="0" t="inlineStr">
        <is>
          <t>NULL</t>
        </is>
      </c>
      <c r="F1241" s="0" t="inlineStr">
        <is>
          <t>NULL</t>
        </is>
      </c>
      <c r="G1241" s="0" t="inlineStr">
        <is>
          <t>NULL</t>
        </is>
      </c>
      <c r="H1241" s="0" t="inlineStr">
        <is>
          <t>NULL</t>
        </is>
      </c>
      <c r="I1241" s="0" t="inlineStr">
        <is>
          <t>NULL</t>
        </is>
      </c>
      <c r="J1241" s="0" t="inlineStr">
        <is>
          <t>NULL</t>
        </is>
      </c>
      <c r="K1241" s="0" t="inlineStr">
        <is>
          <t>YES! 	 c_dtoffset_1列源备映射正确，源端为datetimeoffset None位	期望更改为datetimeoffset(n)	实际备端为datetimeoffset None位</t>
        </is>
      </c>
    </row>
    <row r="1242">
      <c r="B1242" s="0" t="inlineStr">
        <is>
          <t>NULL</t>
        </is>
      </c>
      <c r="C1242" s="0" t="inlineStr">
        <is>
          <t>NULL</t>
        </is>
      </c>
      <c r="D1242" s="0" t="inlineStr">
        <is>
          <t>NULL</t>
        </is>
      </c>
      <c r="E1242" s="0" t="inlineStr">
        <is>
          <t>NULL</t>
        </is>
      </c>
      <c r="F1242" s="0" t="inlineStr">
        <is>
          <t>NULL</t>
        </is>
      </c>
      <c r="G1242" s="0" t="inlineStr">
        <is>
          <t>NULL</t>
        </is>
      </c>
      <c r="H1242" s="0" t="inlineStr">
        <is>
          <t>NULL</t>
        </is>
      </c>
      <c r="I1242" s="0" t="inlineStr">
        <is>
          <t>NULL</t>
        </is>
      </c>
      <c r="J1242" s="0" t="inlineStr">
        <is>
          <t>NULL</t>
        </is>
      </c>
      <c r="K1242" s="0" t="inlineStr">
        <is>
          <t>YES! 	 c_dtoffset_2列源备映射正确，源端为datetimeoffset None位	期望更改为datetimeoffset(n)	实际备端为datetimeoffset None位</t>
        </is>
      </c>
    </row>
    <row r="1243">
      <c r="B1243" s="0" t="inlineStr">
        <is>
          <t>NULL</t>
        </is>
      </c>
      <c r="C1243" s="0" t="inlineStr">
        <is>
          <t>NULL</t>
        </is>
      </c>
      <c r="D1243" s="0" t="inlineStr">
        <is>
          <t>NULL</t>
        </is>
      </c>
      <c r="E1243" s="0" t="inlineStr">
        <is>
          <t>NULL</t>
        </is>
      </c>
      <c r="F1243" s="0" t="inlineStr">
        <is>
          <t>NULL</t>
        </is>
      </c>
      <c r="G1243" s="0" t="inlineStr">
        <is>
          <t>NULL</t>
        </is>
      </c>
      <c r="H1243" s="0" t="inlineStr">
        <is>
          <t>NULL</t>
        </is>
      </c>
      <c r="I1243" s="0" t="inlineStr">
        <is>
          <t>NULL</t>
        </is>
      </c>
      <c r="J1243" s="0" t="inlineStr">
        <is>
          <t>NULL</t>
        </is>
      </c>
      <c r="K1243" s="0" t="inlineStr">
        <is>
          <t>YES! 	 c_dtoffset_3列源备映射正确，源端为datetimeoffset None位	期望更改为datetimeoffset(n)	实际备端为datetimeoffset None位</t>
        </is>
      </c>
    </row>
    <row r="1244">
      <c r="B1244" s="0" t="inlineStr">
        <is>
          <t>NULL</t>
        </is>
      </c>
      <c r="C1244" s="0" t="inlineStr">
        <is>
          <t>NULL</t>
        </is>
      </c>
      <c r="D1244" s="0" t="inlineStr">
        <is>
          <t>NULL</t>
        </is>
      </c>
      <c r="E1244" s="0" t="inlineStr">
        <is>
          <t>NULL</t>
        </is>
      </c>
      <c r="F1244" s="0" t="inlineStr">
        <is>
          <t>NULL</t>
        </is>
      </c>
      <c r="G1244" s="0" t="inlineStr">
        <is>
          <t>NULL</t>
        </is>
      </c>
      <c r="H1244" s="0" t="inlineStr">
        <is>
          <t>NULL</t>
        </is>
      </c>
      <c r="I1244" s="0" t="inlineStr">
        <is>
          <t>NULL</t>
        </is>
      </c>
      <c r="J1244" s="0" t="inlineStr">
        <is>
          <t>NULL</t>
        </is>
      </c>
      <c r="K1244" s="0" t="inlineStr">
        <is>
          <t>YES! 	 c_dtoffset_4列源备映射正确，源端为datetimeoffset None位	期望更改为datetimeoffset(n)	实际备端为datetimeoffset None位</t>
        </is>
      </c>
    </row>
    <row r="1245">
      <c r="B1245" s="0" t="inlineStr">
        <is>
          <t>NULL</t>
        </is>
      </c>
      <c r="C1245" s="0" t="inlineStr">
        <is>
          <t>NULL</t>
        </is>
      </c>
      <c r="D1245" s="0" t="inlineStr">
        <is>
          <t>NULL</t>
        </is>
      </c>
      <c r="E1245" s="0" t="inlineStr">
        <is>
          <t>NULL</t>
        </is>
      </c>
      <c r="F1245" s="0" t="inlineStr">
        <is>
          <t>NULL</t>
        </is>
      </c>
      <c r="G1245" s="0" t="inlineStr">
        <is>
          <t>NULL</t>
        </is>
      </c>
      <c r="H1245" s="0" t="inlineStr">
        <is>
          <t>NULL</t>
        </is>
      </c>
      <c r="I1245" s="0" t="inlineStr">
        <is>
          <t>NULL</t>
        </is>
      </c>
      <c r="J1245" s="0" t="inlineStr">
        <is>
          <t>NULL</t>
        </is>
      </c>
      <c r="K1245" s="0" t="inlineStr">
        <is>
          <t>YES! 	 c_dtoffset_5列源备映射正确，源端为datetimeoffset None位	期望更改为datetimeoffset(n)	实际备端为datetimeoffset None位</t>
        </is>
      </c>
    </row>
    <row r="1246">
      <c r="B1246" s="0" t="inlineStr">
        <is>
          <t>NULL</t>
        </is>
      </c>
      <c r="C1246" s="0" t="inlineStr">
        <is>
          <t>NULL</t>
        </is>
      </c>
      <c r="D1246" s="0" t="inlineStr">
        <is>
          <t>NULL</t>
        </is>
      </c>
      <c r="E1246" s="0" t="inlineStr">
        <is>
          <t>NULL</t>
        </is>
      </c>
      <c r="F1246" s="0" t="inlineStr">
        <is>
          <t>NULL</t>
        </is>
      </c>
      <c r="G1246" s="0" t="inlineStr">
        <is>
          <t>NULL</t>
        </is>
      </c>
      <c r="H1246" s="0" t="inlineStr">
        <is>
          <t>NULL</t>
        </is>
      </c>
      <c r="I1246" s="0" t="inlineStr">
        <is>
          <t>NULL</t>
        </is>
      </c>
      <c r="J1246" s="0" t="inlineStr">
        <is>
          <t>NULL</t>
        </is>
      </c>
      <c r="K1246" s="0" t="inlineStr">
        <is>
          <t>YES! 	 c_dtoffset_6列源备映射正确，源端为datetimeoffset None位	期望更改为datetimeoffset(n)	实际备端为datetimeoffset None位</t>
        </is>
      </c>
    </row>
    <row r="1247">
      <c r="B1247" s="0" t="inlineStr">
        <is>
          <t>NULL</t>
        </is>
      </c>
      <c r="C1247" s="0" t="inlineStr">
        <is>
          <t>NULL</t>
        </is>
      </c>
      <c r="D1247" s="0" t="inlineStr">
        <is>
          <t>NULL</t>
        </is>
      </c>
      <c r="E1247" s="0" t="inlineStr">
        <is>
          <t>NULL</t>
        </is>
      </c>
      <c r="F1247" s="0" t="inlineStr">
        <is>
          <t>NULL</t>
        </is>
      </c>
      <c r="G1247" s="0" t="inlineStr">
        <is>
          <t>NULL</t>
        </is>
      </c>
      <c r="H1247" s="0" t="inlineStr">
        <is>
          <t>NULL</t>
        </is>
      </c>
      <c r="I1247" s="0" t="inlineStr">
        <is>
          <t>NULL</t>
        </is>
      </c>
      <c r="J1247" s="0" t="inlineStr">
        <is>
          <t>NULL</t>
        </is>
      </c>
      <c r="K1247" s="0" t="inlineStr">
        <is>
          <t>YES! 	 c_dtoffset列源备映射正确，源端为datetimeoffset None位	期望更改为datetimeoffset(n)	实际备端为datetimeoffset None位</t>
        </is>
      </c>
    </row>
    <row r="1248">
      <c r="A1248" s="0" t="inlineStr">
        <is>
          <t>info_time_dml_single_nopk_urp</t>
        </is>
      </c>
      <c r="K1248" s="0" t="inlineStr">
        <is>
          <t>[0;34m info_time_dml_single_nopk_urp [0m源备字段数相同，源端字段：9 	备端字段9</t>
        </is>
      </c>
      <c r="W1248" s="0" t="inlineStr">
        <is>
          <t>YES 源备无差异</t>
        </is>
      </c>
      <c r="X1248" s="0">
        <f>A1248</f>
        <v/>
      </c>
    </row>
    <row r="1249">
      <c r="B1249" s="0" t="inlineStr">
        <is>
          <t>NULL</t>
        </is>
      </c>
      <c r="C1249" s="0" t="inlineStr">
        <is>
          <t>NULL</t>
        </is>
      </c>
      <c r="D1249" s="0" t="inlineStr">
        <is>
          <t>NULL</t>
        </is>
      </c>
      <c r="E1249" s="0" t="inlineStr">
        <is>
          <t>NULL</t>
        </is>
      </c>
      <c r="F1249" s="0" t="inlineStr">
        <is>
          <t>NULL</t>
        </is>
      </c>
      <c r="G1249" s="0" t="inlineStr">
        <is>
          <t>NULL</t>
        </is>
      </c>
      <c r="H1249" s="0" t="inlineStr">
        <is>
          <t>NULL</t>
        </is>
      </c>
      <c r="I1249" s="0" t="inlineStr">
        <is>
          <t>NULL</t>
        </is>
      </c>
      <c r="J1249" s="0" t="inlineStr">
        <is>
          <t>NULL</t>
        </is>
      </c>
      <c r="K1249" s="0" t="inlineStr">
        <is>
          <t>YES! 	 id列源备映射正确，源端为int None位	期望更改为int	实际备端为int None位</t>
        </is>
      </c>
    </row>
    <row r="1250">
      <c r="B1250" s="0" t="inlineStr">
        <is>
          <t>NULL</t>
        </is>
      </c>
      <c r="C1250" s="0" t="inlineStr">
        <is>
          <t>NULL</t>
        </is>
      </c>
      <c r="D1250" s="0" t="inlineStr">
        <is>
          <t>NULL</t>
        </is>
      </c>
      <c r="E1250" s="0" t="inlineStr">
        <is>
          <t>NULL</t>
        </is>
      </c>
      <c r="F1250" s="0" t="inlineStr">
        <is>
          <t>NULL</t>
        </is>
      </c>
      <c r="G1250" s="0" t="inlineStr">
        <is>
          <t>NULL</t>
        </is>
      </c>
      <c r="H1250" s="0" t="inlineStr">
        <is>
          <t>NULL</t>
        </is>
      </c>
      <c r="I1250" s="0" t="inlineStr">
        <is>
          <t>NULL</t>
        </is>
      </c>
      <c r="J1250" s="0" t="inlineStr">
        <is>
          <t>NULL</t>
        </is>
      </c>
      <c r="K1250" s="0" t="inlineStr">
        <is>
          <t>no,len不存在</t>
        </is>
      </c>
    </row>
    <row r="1251">
      <c r="B1251" s="0" t="inlineStr">
        <is>
          <t>NULL</t>
        </is>
      </c>
      <c r="C1251" s="0" t="inlineStr">
        <is>
          <t>NULL</t>
        </is>
      </c>
      <c r="D1251" s="0" t="inlineStr">
        <is>
          <t>NULL</t>
        </is>
      </c>
      <c r="E1251" s="0" t="inlineStr">
        <is>
          <t>NULL</t>
        </is>
      </c>
      <c r="F1251" s="0" t="inlineStr">
        <is>
          <t>NULL</t>
        </is>
      </c>
      <c r="G1251" s="0" t="inlineStr">
        <is>
          <t>NULL</t>
        </is>
      </c>
      <c r="H1251" s="0" t="inlineStr">
        <is>
          <t>NULL</t>
        </is>
      </c>
      <c r="I1251" s="0" t="inlineStr">
        <is>
          <t>NULL</t>
        </is>
      </c>
      <c r="J1251" s="0" t="inlineStr">
        <is>
          <t>NULL</t>
        </is>
      </c>
      <c r="K1251" s="0" t="inlineStr">
        <is>
          <t>YES! 	 c_time1列源备映射正确，源端为time None位	期望更改为time(n)	实际备端为time None位</t>
        </is>
      </c>
    </row>
    <row r="1252">
      <c r="B1252" s="0" t="inlineStr">
        <is>
          <t>NULL</t>
        </is>
      </c>
      <c r="C1252" s="0" t="inlineStr">
        <is>
          <t>NULL</t>
        </is>
      </c>
      <c r="D1252" s="0" t="inlineStr">
        <is>
          <t>NULL</t>
        </is>
      </c>
      <c r="E1252" s="0" t="inlineStr">
        <is>
          <t>NULL</t>
        </is>
      </c>
      <c r="F1252" s="0" t="inlineStr">
        <is>
          <t>NULL</t>
        </is>
      </c>
      <c r="G1252" s="0" t="inlineStr">
        <is>
          <t>NULL</t>
        </is>
      </c>
      <c r="H1252" s="0" t="inlineStr">
        <is>
          <t>NULL</t>
        </is>
      </c>
      <c r="I1252" s="0" t="inlineStr">
        <is>
          <t>NULL</t>
        </is>
      </c>
      <c r="J1252" s="0" t="inlineStr">
        <is>
          <t>NULL</t>
        </is>
      </c>
      <c r="K1252" s="0" t="inlineStr">
        <is>
          <t>YES! 	 c_time2列源备映射正确，源端为time None位	期望更改为time(n)	实际备端为time None位</t>
        </is>
      </c>
    </row>
    <row r="1253">
      <c r="B1253" s="0" t="inlineStr">
        <is>
          <t>NULL</t>
        </is>
      </c>
      <c r="C1253" s="0" t="inlineStr">
        <is>
          <t>NULL</t>
        </is>
      </c>
      <c r="D1253" s="0" t="inlineStr">
        <is>
          <t>NULL</t>
        </is>
      </c>
      <c r="E1253" s="0" t="inlineStr">
        <is>
          <t>NULL</t>
        </is>
      </c>
      <c r="F1253" s="0" t="inlineStr">
        <is>
          <t>NULL</t>
        </is>
      </c>
      <c r="G1253" s="0" t="inlineStr">
        <is>
          <t>NULL</t>
        </is>
      </c>
      <c r="H1253" s="0" t="inlineStr">
        <is>
          <t>NULL</t>
        </is>
      </c>
      <c r="I1253" s="0" t="inlineStr">
        <is>
          <t>NULL</t>
        </is>
      </c>
      <c r="J1253" s="0" t="inlineStr">
        <is>
          <t>NULL</t>
        </is>
      </c>
      <c r="K1253" s="0" t="inlineStr">
        <is>
          <t>YES! 	 c_time3列源备映射正确，源端为time None位	期望更改为time(n)	实际备端为time None位</t>
        </is>
      </c>
    </row>
    <row r="1254">
      <c r="B1254" s="0" t="inlineStr">
        <is>
          <t>NULL</t>
        </is>
      </c>
      <c r="C1254" s="0" t="inlineStr">
        <is>
          <t>NULL</t>
        </is>
      </c>
      <c r="D1254" s="0" t="inlineStr">
        <is>
          <t>NULL</t>
        </is>
      </c>
      <c r="E1254" s="0" t="inlineStr">
        <is>
          <t>NULL</t>
        </is>
      </c>
      <c r="F1254" s="0" t="inlineStr">
        <is>
          <t>NULL</t>
        </is>
      </c>
      <c r="G1254" s="0" t="inlineStr">
        <is>
          <t>NULL</t>
        </is>
      </c>
      <c r="H1254" s="0" t="inlineStr">
        <is>
          <t>NULL</t>
        </is>
      </c>
      <c r="I1254" s="0" t="inlineStr">
        <is>
          <t>NULL</t>
        </is>
      </c>
      <c r="J1254" s="0" t="inlineStr">
        <is>
          <t>NULL</t>
        </is>
      </c>
      <c r="K1254" s="0" t="inlineStr">
        <is>
          <t>YES! 	 c_time4列源备映射正确，源端为time None位	期望更改为time(n)	实际备端为time None位</t>
        </is>
      </c>
    </row>
    <row r="1255">
      <c r="B1255" s="0" t="inlineStr">
        <is>
          <t>NULL</t>
        </is>
      </c>
      <c r="C1255" s="0" t="inlineStr">
        <is>
          <t>NULL</t>
        </is>
      </c>
      <c r="D1255" s="0" t="inlineStr">
        <is>
          <t>NULL</t>
        </is>
      </c>
      <c r="E1255" s="0" t="inlineStr">
        <is>
          <t>NULL</t>
        </is>
      </c>
      <c r="F1255" s="0" t="inlineStr">
        <is>
          <t>NULL</t>
        </is>
      </c>
      <c r="G1255" s="0" t="inlineStr">
        <is>
          <t>NULL</t>
        </is>
      </c>
      <c r="H1255" s="0" t="inlineStr">
        <is>
          <t>NULL</t>
        </is>
      </c>
      <c r="I1255" s="0" t="inlineStr">
        <is>
          <t>NULL</t>
        </is>
      </c>
      <c r="J1255" s="0" t="inlineStr">
        <is>
          <t>NULL</t>
        </is>
      </c>
      <c r="K1255" s="0" t="inlineStr">
        <is>
          <t>YES! 	 c_time5列源备映射正确，源端为time None位	期望更改为time(n)	实际备端为time None位</t>
        </is>
      </c>
    </row>
    <row r="1256">
      <c r="B1256" s="0" t="inlineStr">
        <is>
          <t>NULL</t>
        </is>
      </c>
      <c r="C1256" s="0" t="inlineStr">
        <is>
          <t>NULL</t>
        </is>
      </c>
      <c r="D1256" s="0" t="inlineStr">
        <is>
          <t>NULL</t>
        </is>
      </c>
      <c r="E1256" s="0" t="inlineStr">
        <is>
          <t>NULL</t>
        </is>
      </c>
      <c r="F1256" s="0" t="inlineStr">
        <is>
          <t>NULL</t>
        </is>
      </c>
      <c r="G1256" s="0" t="inlineStr">
        <is>
          <t>NULL</t>
        </is>
      </c>
      <c r="H1256" s="0" t="inlineStr">
        <is>
          <t>NULL</t>
        </is>
      </c>
      <c r="I1256" s="0" t="inlineStr">
        <is>
          <t>NULL</t>
        </is>
      </c>
      <c r="J1256" s="0" t="inlineStr">
        <is>
          <t>NULL</t>
        </is>
      </c>
      <c r="K1256" s="0" t="inlineStr">
        <is>
          <t>YES! 	 c_time6列源备映射正确，源端为time None位	期望更改为time(n)	实际备端为time None位</t>
        </is>
      </c>
    </row>
    <row r="1257">
      <c r="B1257" s="0" t="inlineStr">
        <is>
          <t>NULL</t>
        </is>
      </c>
      <c r="C1257" s="0" t="inlineStr">
        <is>
          <t>NULL</t>
        </is>
      </c>
      <c r="D1257" s="0" t="inlineStr">
        <is>
          <t>NULL</t>
        </is>
      </c>
      <c r="E1257" s="0" t="inlineStr">
        <is>
          <t>NULL</t>
        </is>
      </c>
      <c r="F1257" s="0" t="inlineStr">
        <is>
          <t>NULL</t>
        </is>
      </c>
      <c r="G1257" s="0" t="inlineStr">
        <is>
          <t>NULL</t>
        </is>
      </c>
      <c r="H1257" s="0" t="inlineStr">
        <is>
          <t>NULL</t>
        </is>
      </c>
      <c r="I1257" s="0" t="inlineStr">
        <is>
          <t>NULL</t>
        </is>
      </c>
      <c r="J1257" s="0" t="inlineStr">
        <is>
          <t>NULL</t>
        </is>
      </c>
      <c r="K1257" s="0" t="inlineStr">
        <is>
          <t>YES! 	 c_time列源备映射正确，源端为time None位	期望更改为time(n)	实际备端为time None位</t>
        </is>
      </c>
    </row>
    <row r="1258">
      <c r="A1258" s="0" t="inlineStr">
        <is>
          <t>info_nvarchar_dml_batch1_pk_drp2</t>
        </is>
      </c>
      <c r="K1258" s="0" t="inlineStr">
        <is>
          <t>[0;34m info_nvarchar_dml_batch1_pk_drp2 [0m源备字段数相同，源端字段：4 	备端字段4</t>
        </is>
      </c>
      <c r="W1258" s="0" t="inlineStr">
        <is>
          <t>YES 源备无差异</t>
        </is>
      </c>
      <c r="X1258" s="0">
        <f>A1258</f>
        <v/>
      </c>
    </row>
    <row r="1259">
      <c r="B1259" s="0" t="inlineStr">
        <is>
          <t>YES</t>
        </is>
      </c>
      <c r="C1259" s="0" t="inlineStr">
        <is>
          <t>NULL</t>
        </is>
      </c>
      <c r="D1259" s="0" t="inlineStr">
        <is>
          <t>NULL</t>
        </is>
      </c>
      <c r="E1259" s="0" t="inlineStr">
        <is>
          <t>NULL</t>
        </is>
      </c>
      <c r="F1259" s="0" t="inlineStr">
        <is>
          <t>NULL</t>
        </is>
      </c>
      <c r="G1259" s="0" t="inlineStr">
        <is>
          <t>NULL</t>
        </is>
      </c>
      <c r="H1259" s="0" t="inlineStr">
        <is>
          <t>NULL</t>
        </is>
      </c>
      <c r="I1259" s="0" t="inlineStr">
        <is>
          <t>YES!PK__info_nva__3213E83FF3212B0C</t>
        </is>
      </c>
      <c r="J1259" s="0" t="inlineStr">
        <is>
          <t>YES! 主键相关索引</t>
        </is>
      </c>
      <c r="K1259" s="0" t="inlineStr">
        <is>
          <t>YES! 	 id列源备映射正确，源端为int None位	期望更改为int	实际备端为int None位</t>
        </is>
      </c>
    </row>
    <row r="1260">
      <c r="B1260" s="0" t="inlineStr">
        <is>
          <t>NULL</t>
        </is>
      </c>
      <c r="C1260" s="0" t="inlineStr">
        <is>
          <t>NULL</t>
        </is>
      </c>
      <c r="D1260" s="0" t="inlineStr">
        <is>
          <t>NULL</t>
        </is>
      </c>
      <c r="E1260" s="0" t="inlineStr">
        <is>
          <t>NULL</t>
        </is>
      </c>
      <c r="F1260" s="0" t="inlineStr">
        <is>
          <t>NULL</t>
        </is>
      </c>
      <c r="G1260" s="0" t="inlineStr">
        <is>
          <t>NULL</t>
        </is>
      </c>
      <c r="H1260" s="0" t="inlineStr">
        <is>
          <t>NULL</t>
        </is>
      </c>
      <c r="I1260" s="0" t="inlineStr">
        <is>
          <t>NULL</t>
        </is>
      </c>
      <c r="J1260" s="0" t="inlineStr">
        <is>
          <t>NULL</t>
        </is>
      </c>
      <c r="K1260" s="0" t="inlineStr">
        <is>
          <t>YES! 	 c_nvarchar列源备映射正确，源端为nvarchar 2位	期望更改为nvarchar(n)	实际备端为nvarchar 2位</t>
        </is>
      </c>
    </row>
    <row r="1261">
      <c r="B1261" s="0" t="inlineStr">
        <is>
          <t>NULL</t>
        </is>
      </c>
      <c r="C1261" s="0" t="inlineStr">
        <is>
          <t>NULL</t>
        </is>
      </c>
      <c r="D1261" s="0" t="inlineStr">
        <is>
          <t>NULL</t>
        </is>
      </c>
      <c r="E1261" s="0" t="inlineStr">
        <is>
          <t>NULL</t>
        </is>
      </c>
      <c r="F1261" s="0" t="inlineStr">
        <is>
          <t>NULL</t>
        </is>
      </c>
      <c r="G1261" s="0" t="inlineStr">
        <is>
          <t>NULL</t>
        </is>
      </c>
      <c r="H1261" s="0" t="inlineStr">
        <is>
          <t>NULL</t>
        </is>
      </c>
      <c r="I1261" s="0" t="inlineStr">
        <is>
          <t>NULL</t>
        </is>
      </c>
      <c r="J1261" s="0" t="inlineStr">
        <is>
          <t>NULL</t>
        </is>
      </c>
      <c r="K1261" s="0" t="inlineStr">
        <is>
          <t>YES! 	 c_nvarchar20列源备映射正确，源端为nvarchar 40位	期望更改为nvarchar(n)	实际备端为nvarchar 40位</t>
        </is>
      </c>
    </row>
    <row r="1262">
      <c r="B1262" s="0" t="inlineStr">
        <is>
          <t>NULL</t>
        </is>
      </c>
      <c r="C1262" s="0" t="inlineStr">
        <is>
          <t>NULL</t>
        </is>
      </c>
      <c r="D1262" s="0" t="inlineStr">
        <is>
          <t>NULL</t>
        </is>
      </c>
      <c r="E1262" s="0" t="inlineStr">
        <is>
          <t>NULL</t>
        </is>
      </c>
      <c r="F1262" s="0" t="inlineStr">
        <is>
          <t>NULL</t>
        </is>
      </c>
      <c r="G1262" s="0" t="inlineStr">
        <is>
          <t>NULL</t>
        </is>
      </c>
      <c r="H1262" s="0" t="inlineStr">
        <is>
          <t>NULL</t>
        </is>
      </c>
      <c r="I1262" s="0" t="inlineStr">
        <is>
          <t>NULL</t>
        </is>
      </c>
      <c r="J1262" s="0" t="inlineStr">
        <is>
          <t>NULL</t>
        </is>
      </c>
      <c r="K1262" s="0" t="inlineStr">
        <is>
          <t>YES! 	 c_nvarchar3500列源备映射正确，源端为nchar 7000位	期望更改为nchar(n)	实际备端为nchar 7000位</t>
        </is>
      </c>
    </row>
    <row r="1263">
      <c r="A1263" s="0" t="inlineStr">
        <is>
          <t>info_time_dml_single_nopk_drp</t>
        </is>
      </c>
      <c r="K1263" s="0" t="inlineStr">
        <is>
          <t>[0;34m info_time_dml_single_nopk_drp [0m源备字段数相同，源端字段：9 	备端字段9</t>
        </is>
      </c>
      <c r="W1263" s="0" t="inlineStr">
        <is>
          <t>YES 源备无差异</t>
        </is>
      </c>
      <c r="X1263" s="0">
        <f>A1263</f>
        <v/>
      </c>
    </row>
    <row r="1264">
      <c r="B1264" s="0" t="inlineStr">
        <is>
          <t>NULL</t>
        </is>
      </c>
      <c r="C1264" s="0" t="inlineStr">
        <is>
          <t>NULL</t>
        </is>
      </c>
      <c r="D1264" s="0" t="inlineStr">
        <is>
          <t>NULL</t>
        </is>
      </c>
      <c r="E1264" s="0" t="inlineStr">
        <is>
          <t>NULL</t>
        </is>
      </c>
      <c r="F1264" s="0" t="inlineStr">
        <is>
          <t>NULL</t>
        </is>
      </c>
      <c r="G1264" s="0" t="inlineStr">
        <is>
          <t>NULL</t>
        </is>
      </c>
      <c r="H1264" s="0" t="inlineStr">
        <is>
          <t>NULL</t>
        </is>
      </c>
      <c r="I1264" s="0" t="inlineStr">
        <is>
          <t>NULL</t>
        </is>
      </c>
      <c r="J1264" s="0" t="inlineStr">
        <is>
          <t>NULL</t>
        </is>
      </c>
      <c r="K1264" s="0" t="inlineStr">
        <is>
          <t>YES! 	 id列源备映射正确，源端为int None位	期望更改为int	实际备端为int None位</t>
        </is>
      </c>
    </row>
    <row r="1265">
      <c r="B1265" s="0" t="inlineStr">
        <is>
          <t>NULL</t>
        </is>
      </c>
      <c r="C1265" s="0" t="inlineStr">
        <is>
          <t>NULL</t>
        </is>
      </c>
      <c r="D1265" s="0" t="inlineStr">
        <is>
          <t>NULL</t>
        </is>
      </c>
      <c r="E1265" s="0" t="inlineStr">
        <is>
          <t>NULL</t>
        </is>
      </c>
      <c r="F1265" s="0" t="inlineStr">
        <is>
          <t>NULL</t>
        </is>
      </c>
      <c r="G1265" s="0" t="inlineStr">
        <is>
          <t>NULL</t>
        </is>
      </c>
      <c r="H1265" s="0" t="inlineStr">
        <is>
          <t>NULL</t>
        </is>
      </c>
      <c r="I1265" s="0" t="inlineStr">
        <is>
          <t>NULL</t>
        </is>
      </c>
      <c r="J1265" s="0" t="inlineStr">
        <is>
          <t>NULL</t>
        </is>
      </c>
      <c r="K1265" s="0" t="inlineStr">
        <is>
          <t>no,len不存在</t>
        </is>
      </c>
    </row>
    <row r="1266">
      <c r="B1266" s="0" t="inlineStr">
        <is>
          <t>NULL</t>
        </is>
      </c>
      <c r="C1266" s="0" t="inlineStr">
        <is>
          <t>NULL</t>
        </is>
      </c>
      <c r="D1266" s="0" t="inlineStr">
        <is>
          <t>NULL</t>
        </is>
      </c>
      <c r="E1266" s="0" t="inlineStr">
        <is>
          <t>NULL</t>
        </is>
      </c>
      <c r="F1266" s="0" t="inlineStr">
        <is>
          <t>NULL</t>
        </is>
      </c>
      <c r="G1266" s="0" t="inlineStr">
        <is>
          <t>NULL</t>
        </is>
      </c>
      <c r="H1266" s="0" t="inlineStr">
        <is>
          <t>NULL</t>
        </is>
      </c>
      <c r="I1266" s="0" t="inlineStr">
        <is>
          <t>NULL</t>
        </is>
      </c>
      <c r="J1266" s="0" t="inlineStr">
        <is>
          <t>NULL</t>
        </is>
      </c>
      <c r="K1266" s="0" t="inlineStr">
        <is>
          <t>YES! 	 c_time1列源备映射正确，源端为time None位	期望更改为time(n)	实际备端为time None位</t>
        </is>
      </c>
    </row>
    <row r="1267">
      <c r="B1267" s="0" t="inlineStr">
        <is>
          <t>NULL</t>
        </is>
      </c>
      <c r="C1267" s="0" t="inlineStr">
        <is>
          <t>NULL</t>
        </is>
      </c>
      <c r="D1267" s="0" t="inlineStr">
        <is>
          <t>NULL</t>
        </is>
      </c>
      <c r="E1267" s="0" t="inlineStr">
        <is>
          <t>NULL</t>
        </is>
      </c>
      <c r="F1267" s="0" t="inlineStr">
        <is>
          <t>NULL</t>
        </is>
      </c>
      <c r="G1267" s="0" t="inlineStr">
        <is>
          <t>NULL</t>
        </is>
      </c>
      <c r="H1267" s="0" t="inlineStr">
        <is>
          <t>NULL</t>
        </is>
      </c>
      <c r="I1267" s="0" t="inlineStr">
        <is>
          <t>NULL</t>
        </is>
      </c>
      <c r="J1267" s="0" t="inlineStr">
        <is>
          <t>NULL</t>
        </is>
      </c>
      <c r="K1267" s="0" t="inlineStr">
        <is>
          <t>YES! 	 c_time2列源备映射正确，源端为time None位	期望更改为time(n)	实际备端为time None位</t>
        </is>
      </c>
    </row>
    <row r="1268">
      <c r="B1268" s="0" t="inlineStr">
        <is>
          <t>NULL</t>
        </is>
      </c>
      <c r="C1268" s="0" t="inlineStr">
        <is>
          <t>NULL</t>
        </is>
      </c>
      <c r="D1268" s="0" t="inlineStr">
        <is>
          <t>NULL</t>
        </is>
      </c>
      <c r="E1268" s="0" t="inlineStr">
        <is>
          <t>NULL</t>
        </is>
      </c>
      <c r="F1268" s="0" t="inlineStr">
        <is>
          <t>NULL</t>
        </is>
      </c>
      <c r="G1268" s="0" t="inlineStr">
        <is>
          <t>NULL</t>
        </is>
      </c>
      <c r="H1268" s="0" t="inlineStr">
        <is>
          <t>NULL</t>
        </is>
      </c>
      <c r="I1268" s="0" t="inlineStr">
        <is>
          <t>NULL</t>
        </is>
      </c>
      <c r="J1268" s="0" t="inlineStr">
        <is>
          <t>NULL</t>
        </is>
      </c>
      <c r="K1268" s="0" t="inlineStr">
        <is>
          <t>YES! 	 c_time3列源备映射正确，源端为time None位	期望更改为time(n)	实际备端为time None位</t>
        </is>
      </c>
    </row>
    <row r="1269">
      <c r="B1269" s="0" t="inlineStr">
        <is>
          <t>NULL</t>
        </is>
      </c>
      <c r="C1269" s="0" t="inlineStr">
        <is>
          <t>NULL</t>
        </is>
      </c>
      <c r="D1269" s="0" t="inlineStr">
        <is>
          <t>NULL</t>
        </is>
      </c>
      <c r="E1269" s="0" t="inlineStr">
        <is>
          <t>NULL</t>
        </is>
      </c>
      <c r="F1269" s="0" t="inlineStr">
        <is>
          <t>NULL</t>
        </is>
      </c>
      <c r="G1269" s="0" t="inlineStr">
        <is>
          <t>NULL</t>
        </is>
      </c>
      <c r="H1269" s="0" t="inlineStr">
        <is>
          <t>NULL</t>
        </is>
      </c>
      <c r="I1269" s="0" t="inlineStr">
        <is>
          <t>NULL</t>
        </is>
      </c>
      <c r="J1269" s="0" t="inlineStr">
        <is>
          <t>NULL</t>
        </is>
      </c>
      <c r="K1269" s="0" t="inlineStr">
        <is>
          <t>YES! 	 c_time4列源备映射正确，源端为time None位	期望更改为time(n)	实际备端为time None位</t>
        </is>
      </c>
    </row>
    <row r="1270">
      <c r="B1270" s="0" t="inlineStr">
        <is>
          <t>NULL</t>
        </is>
      </c>
      <c r="C1270" s="0" t="inlineStr">
        <is>
          <t>NULL</t>
        </is>
      </c>
      <c r="D1270" s="0" t="inlineStr">
        <is>
          <t>NULL</t>
        </is>
      </c>
      <c r="E1270" s="0" t="inlineStr">
        <is>
          <t>NULL</t>
        </is>
      </c>
      <c r="F1270" s="0" t="inlineStr">
        <is>
          <t>NULL</t>
        </is>
      </c>
      <c r="G1270" s="0" t="inlineStr">
        <is>
          <t>NULL</t>
        </is>
      </c>
      <c r="H1270" s="0" t="inlineStr">
        <is>
          <t>NULL</t>
        </is>
      </c>
      <c r="I1270" s="0" t="inlineStr">
        <is>
          <t>NULL</t>
        </is>
      </c>
      <c r="J1270" s="0" t="inlineStr">
        <is>
          <t>NULL</t>
        </is>
      </c>
      <c r="K1270" s="0" t="inlineStr">
        <is>
          <t>YES! 	 c_time5列源备映射正确，源端为time None位	期望更改为time(n)	实际备端为time None位</t>
        </is>
      </c>
    </row>
    <row r="1271">
      <c r="B1271" s="0" t="inlineStr">
        <is>
          <t>NULL</t>
        </is>
      </c>
      <c r="C1271" s="0" t="inlineStr">
        <is>
          <t>NULL</t>
        </is>
      </c>
      <c r="D1271" s="0" t="inlineStr">
        <is>
          <t>NULL</t>
        </is>
      </c>
      <c r="E1271" s="0" t="inlineStr">
        <is>
          <t>NULL</t>
        </is>
      </c>
      <c r="F1271" s="0" t="inlineStr">
        <is>
          <t>NULL</t>
        </is>
      </c>
      <c r="G1271" s="0" t="inlineStr">
        <is>
          <t>NULL</t>
        </is>
      </c>
      <c r="H1271" s="0" t="inlineStr">
        <is>
          <t>NULL</t>
        </is>
      </c>
      <c r="I1271" s="0" t="inlineStr">
        <is>
          <t>NULL</t>
        </is>
      </c>
      <c r="J1271" s="0" t="inlineStr">
        <is>
          <t>NULL</t>
        </is>
      </c>
      <c r="K1271" s="0" t="inlineStr">
        <is>
          <t>YES! 	 c_time6列源备映射正确，源端为time None位	期望更改为time(n)	实际备端为time None位</t>
        </is>
      </c>
    </row>
    <row r="1272">
      <c r="B1272" s="0" t="inlineStr">
        <is>
          <t>NULL</t>
        </is>
      </c>
      <c r="C1272" s="0" t="inlineStr">
        <is>
          <t>NULL</t>
        </is>
      </c>
      <c r="D1272" s="0" t="inlineStr">
        <is>
          <t>NULL</t>
        </is>
      </c>
      <c r="E1272" s="0" t="inlineStr">
        <is>
          <t>NULL</t>
        </is>
      </c>
      <c r="F1272" s="0" t="inlineStr">
        <is>
          <t>NULL</t>
        </is>
      </c>
      <c r="G1272" s="0" t="inlineStr">
        <is>
          <t>NULL</t>
        </is>
      </c>
      <c r="H1272" s="0" t="inlineStr">
        <is>
          <t>NULL</t>
        </is>
      </c>
      <c r="I1272" s="0" t="inlineStr">
        <is>
          <t>NULL</t>
        </is>
      </c>
      <c r="J1272" s="0" t="inlineStr">
        <is>
          <t>NULL</t>
        </is>
      </c>
      <c r="K1272" s="0" t="inlineStr">
        <is>
          <t>YES! 	 c_time列源备映射正确，源端为time None位	期望更改为time(n)	实际备端为time None位</t>
        </is>
      </c>
    </row>
    <row r="1273">
      <c r="A1273" s="0" t="inlineStr">
        <is>
          <t>info_datetime2_dml_single_pk_irp</t>
        </is>
      </c>
      <c r="K1273" s="0" t="inlineStr">
        <is>
          <t>[0;34m info_datetime2_dml_single_pk_irp [0m源备字段数相同，源端字段：9 	备端字段9</t>
        </is>
      </c>
      <c r="W1273" s="0" t="inlineStr">
        <is>
          <t>YES 源备无差异</t>
        </is>
      </c>
      <c r="X1273" s="0">
        <f>A1273</f>
        <v/>
      </c>
    </row>
    <row r="1274">
      <c r="B1274" s="0" t="inlineStr">
        <is>
          <t>YES</t>
        </is>
      </c>
      <c r="C1274" s="0" t="inlineStr">
        <is>
          <t>NULL</t>
        </is>
      </c>
      <c r="D1274" s="0" t="inlineStr">
        <is>
          <t>NULL</t>
        </is>
      </c>
      <c r="E1274" s="0" t="inlineStr">
        <is>
          <t>NULL</t>
        </is>
      </c>
      <c r="F1274" s="0" t="inlineStr">
        <is>
          <t>NULL</t>
        </is>
      </c>
      <c r="G1274" s="0" t="inlineStr">
        <is>
          <t>NULL</t>
        </is>
      </c>
      <c r="H1274" s="0" t="inlineStr">
        <is>
          <t>NULL</t>
        </is>
      </c>
      <c r="I1274" s="0" t="inlineStr">
        <is>
          <t>YES!PK__info_dat__3213E83F033181D9</t>
        </is>
      </c>
      <c r="J1274" s="0" t="inlineStr">
        <is>
          <t>YES! 主键相关索引</t>
        </is>
      </c>
      <c r="K1274" s="0" t="inlineStr">
        <is>
          <t>YES! 	 id列源备映射正确，源端为int None位	期望更改为int	实际备端为int None位</t>
        </is>
      </c>
    </row>
    <row r="1275">
      <c r="B1275" s="0" t="inlineStr">
        <is>
          <t>NULL</t>
        </is>
      </c>
      <c r="C1275" s="0" t="inlineStr">
        <is>
          <t>NULL</t>
        </is>
      </c>
      <c r="D1275" s="0" t="inlineStr">
        <is>
          <t>NULL</t>
        </is>
      </c>
      <c r="E1275" s="0" t="inlineStr">
        <is>
          <t>NULL</t>
        </is>
      </c>
      <c r="F1275" s="0" t="inlineStr">
        <is>
          <t>NULL</t>
        </is>
      </c>
      <c r="G1275" s="0" t="inlineStr">
        <is>
          <t>NULL</t>
        </is>
      </c>
      <c r="H1275" s="0" t="inlineStr">
        <is>
          <t>NULL</t>
        </is>
      </c>
      <c r="I1275" s="0" t="inlineStr">
        <is>
          <t>NULL</t>
        </is>
      </c>
      <c r="J1275" s="0" t="inlineStr">
        <is>
          <t>NULL</t>
        </is>
      </c>
      <c r="K1275" s="0" t="inlineStr">
        <is>
          <t>no,len不存在</t>
        </is>
      </c>
    </row>
    <row r="1276">
      <c r="B1276" s="0" t="inlineStr">
        <is>
          <t>NULL</t>
        </is>
      </c>
      <c r="C1276" s="0" t="inlineStr">
        <is>
          <t>NULL</t>
        </is>
      </c>
      <c r="D1276" s="0" t="inlineStr">
        <is>
          <t>NULL</t>
        </is>
      </c>
      <c r="E1276" s="0" t="inlineStr">
        <is>
          <t>NULL</t>
        </is>
      </c>
      <c r="F1276" s="0" t="inlineStr">
        <is>
          <t>NULL</t>
        </is>
      </c>
      <c r="G1276" s="0" t="inlineStr">
        <is>
          <t>NULL</t>
        </is>
      </c>
      <c r="H1276" s="0" t="inlineStr">
        <is>
          <t>NULL</t>
        </is>
      </c>
      <c r="I1276" s="0" t="inlineStr">
        <is>
          <t>NULL</t>
        </is>
      </c>
      <c r="J1276" s="0" t="inlineStr">
        <is>
          <t>NULL</t>
        </is>
      </c>
      <c r="K1276" s="0" t="inlineStr">
        <is>
          <t>YES! 	 c_dt2_1列源备映射正确，源端为datetime2 None位	期望更改为datetime2(n)	实际备端为datetime2 None位</t>
        </is>
      </c>
    </row>
    <row r="1277">
      <c r="B1277" s="0" t="inlineStr">
        <is>
          <t>NULL</t>
        </is>
      </c>
      <c r="C1277" s="0" t="inlineStr">
        <is>
          <t>NULL</t>
        </is>
      </c>
      <c r="D1277" s="0" t="inlineStr">
        <is>
          <t>NULL</t>
        </is>
      </c>
      <c r="E1277" s="0" t="inlineStr">
        <is>
          <t>NULL</t>
        </is>
      </c>
      <c r="F1277" s="0" t="inlineStr">
        <is>
          <t>NULL</t>
        </is>
      </c>
      <c r="G1277" s="0" t="inlineStr">
        <is>
          <t>NULL</t>
        </is>
      </c>
      <c r="H1277" s="0" t="inlineStr">
        <is>
          <t>NULL</t>
        </is>
      </c>
      <c r="I1277" s="0" t="inlineStr">
        <is>
          <t>NULL</t>
        </is>
      </c>
      <c r="J1277" s="0" t="inlineStr">
        <is>
          <t>NULL</t>
        </is>
      </c>
      <c r="K1277" s="0" t="inlineStr">
        <is>
          <t>YES! 	 c_dt2_2列源备映射正确，源端为datetime2 None位	期望更改为datetime2(n)	实际备端为datetime2 None位</t>
        </is>
      </c>
    </row>
    <row r="1278">
      <c r="B1278" s="0" t="inlineStr">
        <is>
          <t>NULL</t>
        </is>
      </c>
      <c r="C1278" s="0" t="inlineStr">
        <is>
          <t>NULL</t>
        </is>
      </c>
      <c r="D1278" s="0" t="inlineStr">
        <is>
          <t>NULL</t>
        </is>
      </c>
      <c r="E1278" s="0" t="inlineStr">
        <is>
          <t>NULL</t>
        </is>
      </c>
      <c r="F1278" s="0" t="inlineStr">
        <is>
          <t>NULL</t>
        </is>
      </c>
      <c r="G1278" s="0" t="inlineStr">
        <is>
          <t>NULL</t>
        </is>
      </c>
      <c r="H1278" s="0" t="inlineStr">
        <is>
          <t>NULL</t>
        </is>
      </c>
      <c r="I1278" s="0" t="inlineStr">
        <is>
          <t>NULL</t>
        </is>
      </c>
      <c r="J1278" s="0" t="inlineStr">
        <is>
          <t>NULL</t>
        </is>
      </c>
      <c r="K1278" s="0" t="inlineStr">
        <is>
          <t>YES! 	 c_dt2_3列源备映射正确，源端为datetime2 None位	期望更改为datetime2(n)	实际备端为datetime2 None位</t>
        </is>
      </c>
    </row>
    <row r="1279">
      <c r="B1279" s="0" t="inlineStr">
        <is>
          <t>NULL</t>
        </is>
      </c>
      <c r="C1279" s="0" t="inlineStr">
        <is>
          <t>NULL</t>
        </is>
      </c>
      <c r="D1279" s="0" t="inlineStr">
        <is>
          <t>NULL</t>
        </is>
      </c>
      <c r="E1279" s="0" t="inlineStr">
        <is>
          <t>NULL</t>
        </is>
      </c>
      <c r="F1279" s="0" t="inlineStr">
        <is>
          <t>NULL</t>
        </is>
      </c>
      <c r="G1279" s="0" t="inlineStr">
        <is>
          <t>NULL</t>
        </is>
      </c>
      <c r="H1279" s="0" t="inlineStr">
        <is>
          <t>NULL</t>
        </is>
      </c>
      <c r="I1279" s="0" t="inlineStr">
        <is>
          <t>NULL</t>
        </is>
      </c>
      <c r="J1279" s="0" t="inlineStr">
        <is>
          <t>NULL</t>
        </is>
      </c>
      <c r="K1279" s="0" t="inlineStr">
        <is>
          <t>YES! 	 c_dt2_4列源备映射正确，源端为datetime2 None位	期望更改为datetime2(n)	实际备端为datetime2 None位</t>
        </is>
      </c>
    </row>
    <row r="1280">
      <c r="B1280" s="0" t="inlineStr">
        <is>
          <t>NULL</t>
        </is>
      </c>
      <c r="C1280" s="0" t="inlineStr">
        <is>
          <t>NULL</t>
        </is>
      </c>
      <c r="D1280" s="0" t="inlineStr">
        <is>
          <t>NULL</t>
        </is>
      </c>
      <c r="E1280" s="0" t="inlineStr">
        <is>
          <t>NULL</t>
        </is>
      </c>
      <c r="F1280" s="0" t="inlineStr">
        <is>
          <t>NULL</t>
        </is>
      </c>
      <c r="G1280" s="0" t="inlineStr">
        <is>
          <t>NULL</t>
        </is>
      </c>
      <c r="H1280" s="0" t="inlineStr">
        <is>
          <t>NULL</t>
        </is>
      </c>
      <c r="I1280" s="0" t="inlineStr">
        <is>
          <t>NULL</t>
        </is>
      </c>
      <c r="J1280" s="0" t="inlineStr">
        <is>
          <t>NULL</t>
        </is>
      </c>
      <c r="K1280" s="0" t="inlineStr">
        <is>
          <t>YES! 	 c_dt2_5列源备映射正确，源端为datetime2 None位	期望更改为datetime2(n)	实际备端为datetime2 None位</t>
        </is>
      </c>
    </row>
    <row r="1281">
      <c r="B1281" s="0" t="inlineStr">
        <is>
          <t>NULL</t>
        </is>
      </c>
      <c r="C1281" s="0" t="inlineStr">
        <is>
          <t>NULL</t>
        </is>
      </c>
      <c r="D1281" s="0" t="inlineStr">
        <is>
          <t>NULL</t>
        </is>
      </c>
      <c r="E1281" s="0" t="inlineStr">
        <is>
          <t>NULL</t>
        </is>
      </c>
      <c r="F1281" s="0" t="inlineStr">
        <is>
          <t>NULL</t>
        </is>
      </c>
      <c r="G1281" s="0" t="inlineStr">
        <is>
          <t>NULL</t>
        </is>
      </c>
      <c r="H1281" s="0" t="inlineStr">
        <is>
          <t>NULL</t>
        </is>
      </c>
      <c r="I1281" s="0" t="inlineStr">
        <is>
          <t>NULL</t>
        </is>
      </c>
      <c r="J1281" s="0" t="inlineStr">
        <is>
          <t>NULL</t>
        </is>
      </c>
      <c r="K1281" s="0" t="inlineStr">
        <is>
          <t>YES! 	 c_dt2_6列源备映射正确，源端为datetime2 None位	期望更改为datetime2(n)	实际备端为datetime2 None位</t>
        </is>
      </c>
    </row>
    <row r="1282">
      <c r="B1282" s="0" t="inlineStr">
        <is>
          <t>NULL</t>
        </is>
      </c>
      <c r="C1282" s="0" t="inlineStr">
        <is>
          <t>NULL</t>
        </is>
      </c>
      <c r="D1282" s="0" t="inlineStr">
        <is>
          <t>NULL</t>
        </is>
      </c>
      <c r="E1282" s="0" t="inlineStr">
        <is>
          <t>NULL</t>
        </is>
      </c>
      <c r="F1282" s="0" t="inlineStr">
        <is>
          <t>NULL</t>
        </is>
      </c>
      <c r="G1282" s="0" t="inlineStr">
        <is>
          <t>NULL</t>
        </is>
      </c>
      <c r="H1282" s="0" t="inlineStr">
        <is>
          <t>NULL</t>
        </is>
      </c>
      <c r="I1282" s="0" t="inlineStr">
        <is>
          <t>NULL</t>
        </is>
      </c>
      <c r="J1282" s="0" t="inlineStr">
        <is>
          <t>NULL</t>
        </is>
      </c>
      <c r="K1282" s="0" t="inlineStr">
        <is>
          <t>YES! 	 c_dt2列源备映射正确，源端为datetime2 None位	期望更改为datetime2(n)	实际备端为datetime2 None位</t>
        </is>
      </c>
    </row>
    <row r="1283">
      <c r="A1283" s="0" t="inlineStr">
        <is>
          <t>info_time_dml_single_nopk</t>
        </is>
      </c>
      <c r="K1283" s="0" t="inlineStr">
        <is>
          <t>[0;34m info_time_dml_single_nopk [0m源备字段数相同，源端字段：9 	备端字段9</t>
        </is>
      </c>
      <c r="W1283" s="0" t="inlineStr">
        <is>
          <t>YES 源备无差异</t>
        </is>
      </c>
      <c r="X1283" s="0">
        <f>A1283</f>
        <v/>
      </c>
    </row>
    <row r="1284">
      <c r="B1284" s="0" t="inlineStr">
        <is>
          <t>NULL</t>
        </is>
      </c>
      <c r="C1284" s="0" t="inlineStr">
        <is>
          <t>NULL</t>
        </is>
      </c>
      <c r="D1284" s="0" t="inlineStr">
        <is>
          <t>NULL</t>
        </is>
      </c>
      <c r="E1284" s="0" t="inlineStr">
        <is>
          <t>NULL</t>
        </is>
      </c>
      <c r="F1284" s="0" t="inlineStr">
        <is>
          <t>NULL</t>
        </is>
      </c>
      <c r="G1284" s="0" t="inlineStr">
        <is>
          <t>NULL</t>
        </is>
      </c>
      <c r="H1284" s="0" t="inlineStr">
        <is>
          <t>NULL</t>
        </is>
      </c>
      <c r="I1284" s="0" t="inlineStr">
        <is>
          <t>NULL</t>
        </is>
      </c>
      <c r="J1284" s="0" t="inlineStr">
        <is>
          <t>NULL</t>
        </is>
      </c>
      <c r="K1284" s="0" t="inlineStr">
        <is>
          <t>YES! 	 id列源备映射正确，源端为int None位	期望更改为int	实际备端为int None位</t>
        </is>
      </c>
    </row>
    <row r="1285">
      <c r="B1285" s="0" t="inlineStr">
        <is>
          <t>NULL</t>
        </is>
      </c>
      <c r="C1285" s="0" t="inlineStr">
        <is>
          <t>NULL</t>
        </is>
      </c>
      <c r="D1285" s="0" t="inlineStr">
        <is>
          <t>NULL</t>
        </is>
      </c>
      <c r="E1285" s="0" t="inlineStr">
        <is>
          <t>NULL</t>
        </is>
      </c>
      <c r="F1285" s="0" t="inlineStr">
        <is>
          <t>NULL</t>
        </is>
      </c>
      <c r="G1285" s="0" t="inlineStr">
        <is>
          <t>NULL</t>
        </is>
      </c>
      <c r="H1285" s="0" t="inlineStr">
        <is>
          <t>NULL</t>
        </is>
      </c>
      <c r="I1285" s="0" t="inlineStr">
        <is>
          <t>NULL</t>
        </is>
      </c>
      <c r="J1285" s="0" t="inlineStr">
        <is>
          <t>NULL</t>
        </is>
      </c>
      <c r="K1285" s="0" t="inlineStr">
        <is>
          <t>no,len不存在</t>
        </is>
      </c>
    </row>
    <row r="1286">
      <c r="B1286" s="0" t="inlineStr">
        <is>
          <t>NULL</t>
        </is>
      </c>
      <c r="C1286" s="0" t="inlineStr">
        <is>
          <t>NULL</t>
        </is>
      </c>
      <c r="D1286" s="0" t="inlineStr">
        <is>
          <t>NULL</t>
        </is>
      </c>
      <c r="E1286" s="0" t="inlineStr">
        <is>
          <t>NULL</t>
        </is>
      </c>
      <c r="F1286" s="0" t="inlineStr">
        <is>
          <t>NULL</t>
        </is>
      </c>
      <c r="G1286" s="0" t="inlineStr">
        <is>
          <t>NULL</t>
        </is>
      </c>
      <c r="H1286" s="0" t="inlineStr">
        <is>
          <t>NULL</t>
        </is>
      </c>
      <c r="I1286" s="0" t="inlineStr">
        <is>
          <t>NULL</t>
        </is>
      </c>
      <c r="J1286" s="0" t="inlineStr">
        <is>
          <t>NULL</t>
        </is>
      </c>
      <c r="K1286" s="0" t="inlineStr">
        <is>
          <t>YES! 	 c_time1列源备映射正确，源端为time None位	期望更改为time(n)	实际备端为time None位</t>
        </is>
      </c>
    </row>
    <row r="1287">
      <c r="B1287" s="0" t="inlineStr">
        <is>
          <t>NULL</t>
        </is>
      </c>
      <c r="C1287" s="0" t="inlineStr">
        <is>
          <t>NULL</t>
        </is>
      </c>
      <c r="D1287" s="0" t="inlineStr">
        <is>
          <t>NULL</t>
        </is>
      </c>
      <c r="E1287" s="0" t="inlineStr">
        <is>
          <t>NULL</t>
        </is>
      </c>
      <c r="F1287" s="0" t="inlineStr">
        <is>
          <t>NULL</t>
        </is>
      </c>
      <c r="G1287" s="0" t="inlineStr">
        <is>
          <t>NULL</t>
        </is>
      </c>
      <c r="H1287" s="0" t="inlineStr">
        <is>
          <t>NULL</t>
        </is>
      </c>
      <c r="I1287" s="0" t="inlineStr">
        <is>
          <t>NULL</t>
        </is>
      </c>
      <c r="J1287" s="0" t="inlineStr">
        <is>
          <t>NULL</t>
        </is>
      </c>
      <c r="K1287" s="0" t="inlineStr">
        <is>
          <t>YES! 	 c_time2列源备映射正确，源端为time None位	期望更改为time(n)	实际备端为time None位</t>
        </is>
      </c>
    </row>
    <row r="1288">
      <c r="B1288" s="0" t="inlineStr">
        <is>
          <t>NULL</t>
        </is>
      </c>
      <c r="C1288" s="0" t="inlineStr">
        <is>
          <t>NULL</t>
        </is>
      </c>
      <c r="D1288" s="0" t="inlineStr">
        <is>
          <t>NULL</t>
        </is>
      </c>
      <c r="E1288" s="0" t="inlineStr">
        <is>
          <t>NULL</t>
        </is>
      </c>
      <c r="F1288" s="0" t="inlineStr">
        <is>
          <t>NULL</t>
        </is>
      </c>
      <c r="G1288" s="0" t="inlineStr">
        <is>
          <t>NULL</t>
        </is>
      </c>
      <c r="H1288" s="0" t="inlineStr">
        <is>
          <t>NULL</t>
        </is>
      </c>
      <c r="I1288" s="0" t="inlineStr">
        <is>
          <t>NULL</t>
        </is>
      </c>
      <c r="J1288" s="0" t="inlineStr">
        <is>
          <t>NULL</t>
        </is>
      </c>
      <c r="K1288" s="0" t="inlineStr">
        <is>
          <t>YES! 	 c_time3列源备映射正确，源端为time None位	期望更改为time(n)	实际备端为time None位</t>
        </is>
      </c>
    </row>
    <row r="1289">
      <c r="B1289" s="0" t="inlineStr">
        <is>
          <t>NULL</t>
        </is>
      </c>
      <c r="C1289" s="0" t="inlineStr">
        <is>
          <t>NULL</t>
        </is>
      </c>
      <c r="D1289" s="0" t="inlineStr">
        <is>
          <t>NULL</t>
        </is>
      </c>
      <c r="E1289" s="0" t="inlineStr">
        <is>
          <t>NULL</t>
        </is>
      </c>
      <c r="F1289" s="0" t="inlineStr">
        <is>
          <t>NULL</t>
        </is>
      </c>
      <c r="G1289" s="0" t="inlineStr">
        <is>
          <t>NULL</t>
        </is>
      </c>
      <c r="H1289" s="0" t="inlineStr">
        <is>
          <t>NULL</t>
        </is>
      </c>
      <c r="I1289" s="0" t="inlineStr">
        <is>
          <t>NULL</t>
        </is>
      </c>
      <c r="J1289" s="0" t="inlineStr">
        <is>
          <t>NULL</t>
        </is>
      </c>
      <c r="K1289" s="0" t="inlineStr">
        <is>
          <t>YES! 	 c_time4列源备映射正确，源端为time None位	期望更改为time(n)	实际备端为time None位</t>
        </is>
      </c>
    </row>
    <row r="1290">
      <c r="B1290" s="0" t="inlineStr">
        <is>
          <t>NULL</t>
        </is>
      </c>
      <c r="C1290" s="0" t="inlineStr">
        <is>
          <t>NULL</t>
        </is>
      </c>
      <c r="D1290" s="0" t="inlineStr">
        <is>
          <t>NULL</t>
        </is>
      </c>
      <c r="E1290" s="0" t="inlineStr">
        <is>
          <t>NULL</t>
        </is>
      </c>
      <c r="F1290" s="0" t="inlineStr">
        <is>
          <t>NULL</t>
        </is>
      </c>
      <c r="G1290" s="0" t="inlineStr">
        <is>
          <t>NULL</t>
        </is>
      </c>
      <c r="H1290" s="0" t="inlineStr">
        <is>
          <t>NULL</t>
        </is>
      </c>
      <c r="I1290" s="0" t="inlineStr">
        <is>
          <t>NULL</t>
        </is>
      </c>
      <c r="J1290" s="0" t="inlineStr">
        <is>
          <t>NULL</t>
        </is>
      </c>
      <c r="K1290" s="0" t="inlineStr">
        <is>
          <t>YES! 	 c_time5列源备映射正确，源端为time None位	期望更改为time(n)	实际备端为time None位</t>
        </is>
      </c>
    </row>
    <row r="1291">
      <c r="B1291" s="0" t="inlineStr">
        <is>
          <t>NULL</t>
        </is>
      </c>
      <c r="C1291" s="0" t="inlineStr">
        <is>
          <t>NULL</t>
        </is>
      </c>
      <c r="D1291" s="0" t="inlineStr">
        <is>
          <t>NULL</t>
        </is>
      </c>
      <c r="E1291" s="0" t="inlineStr">
        <is>
          <t>NULL</t>
        </is>
      </c>
      <c r="F1291" s="0" t="inlineStr">
        <is>
          <t>NULL</t>
        </is>
      </c>
      <c r="G1291" s="0" t="inlineStr">
        <is>
          <t>NULL</t>
        </is>
      </c>
      <c r="H1291" s="0" t="inlineStr">
        <is>
          <t>NULL</t>
        </is>
      </c>
      <c r="I1291" s="0" t="inlineStr">
        <is>
          <t>NULL</t>
        </is>
      </c>
      <c r="J1291" s="0" t="inlineStr">
        <is>
          <t>NULL</t>
        </is>
      </c>
      <c r="K1291" s="0" t="inlineStr">
        <is>
          <t>YES! 	 c_time6列源备映射正确，源端为time None位	期望更改为time(n)	实际备端为time None位</t>
        </is>
      </c>
    </row>
    <row r="1292">
      <c r="B1292" s="0" t="inlineStr">
        <is>
          <t>NULL</t>
        </is>
      </c>
      <c r="C1292" s="0" t="inlineStr">
        <is>
          <t>NULL</t>
        </is>
      </c>
      <c r="D1292" s="0" t="inlineStr">
        <is>
          <t>NULL</t>
        </is>
      </c>
      <c r="E1292" s="0" t="inlineStr">
        <is>
          <t>NULL</t>
        </is>
      </c>
      <c r="F1292" s="0" t="inlineStr">
        <is>
          <t>NULL</t>
        </is>
      </c>
      <c r="G1292" s="0" t="inlineStr">
        <is>
          <t>NULL</t>
        </is>
      </c>
      <c r="H1292" s="0" t="inlineStr">
        <is>
          <t>NULL</t>
        </is>
      </c>
      <c r="I1292" s="0" t="inlineStr">
        <is>
          <t>NULL</t>
        </is>
      </c>
      <c r="J1292" s="0" t="inlineStr">
        <is>
          <t>NULL</t>
        </is>
      </c>
      <c r="K1292" s="0" t="inlineStr">
        <is>
          <t>YES! 	 c_time列源备映射正确，源端为time None位	期望更改为time(n)	实际备端为time None位</t>
        </is>
      </c>
    </row>
    <row r="1293">
      <c r="A1293" s="0" t="inlineStr">
        <is>
          <t>info_datetimeoffset_dml_batch2_pk_irp2</t>
        </is>
      </c>
      <c r="K1293" s="0" t="inlineStr">
        <is>
          <t>[0;34m info_datetimeoffset_dml_batch2_pk_irp2 [0m源备字段数相同，源端字段：9 	备端字段9</t>
        </is>
      </c>
      <c r="W1293" s="0" t="inlineStr">
        <is>
          <t>YES 源备无差异</t>
        </is>
      </c>
      <c r="X1293" s="0">
        <f>A1293</f>
        <v/>
      </c>
    </row>
    <row r="1294">
      <c r="B1294" s="0" t="inlineStr">
        <is>
          <t>YES</t>
        </is>
      </c>
      <c r="C1294" s="0" t="inlineStr">
        <is>
          <t>NULL</t>
        </is>
      </c>
      <c r="D1294" s="0" t="inlineStr">
        <is>
          <t>NULL</t>
        </is>
      </c>
      <c r="E1294" s="0" t="inlineStr">
        <is>
          <t>NULL</t>
        </is>
      </c>
      <c r="F1294" s="0" t="inlineStr">
        <is>
          <t>NULL</t>
        </is>
      </c>
      <c r="G1294" s="0" t="inlineStr">
        <is>
          <t>NULL</t>
        </is>
      </c>
      <c r="H1294" s="0" t="inlineStr">
        <is>
          <t>NULL</t>
        </is>
      </c>
      <c r="I1294" s="0" t="inlineStr">
        <is>
          <t>YES!PK__info_dat__3213E83FAEDFA5B2</t>
        </is>
      </c>
      <c r="J1294" s="0" t="inlineStr">
        <is>
          <t>YES! 主键相关索引</t>
        </is>
      </c>
      <c r="K1294" s="0" t="inlineStr">
        <is>
          <t>YES! 	 id列源备映射正确，源端为int None位	期望更改为int	实际备端为int None位</t>
        </is>
      </c>
    </row>
    <row r="1295">
      <c r="B1295" s="0" t="inlineStr">
        <is>
          <t>NULL</t>
        </is>
      </c>
      <c r="C1295" s="0" t="inlineStr">
        <is>
          <t>NULL</t>
        </is>
      </c>
      <c r="D1295" s="0" t="inlineStr">
        <is>
          <t>NULL</t>
        </is>
      </c>
      <c r="E1295" s="0" t="inlineStr">
        <is>
          <t>NULL</t>
        </is>
      </c>
      <c r="F1295" s="0" t="inlineStr">
        <is>
          <t>NULL</t>
        </is>
      </c>
      <c r="G1295" s="0" t="inlineStr">
        <is>
          <t>NULL</t>
        </is>
      </c>
      <c r="H1295" s="0" t="inlineStr">
        <is>
          <t>NULL</t>
        </is>
      </c>
      <c r="I1295" s="0" t="inlineStr">
        <is>
          <t>NULL</t>
        </is>
      </c>
      <c r="J1295" s="0" t="inlineStr">
        <is>
          <t>NULL</t>
        </is>
      </c>
      <c r="K1295" s="0" t="inlineStr">
        <is>
          <t>no,len不存在</t>
        </is>
      </c>
    </row>
    <row r="1296">
      <c r="B1296" s="0" t="inlineStr">
        <is>
          <t>NULL</t>
        </is>
      </c>
      <c r="C1296" s="0" t="inlineStr">
        <is>
          <t>NULL</t>
        </is>
      </c>
      <c r="D1296" s="0" t="inlineStr">
        <is>
          <t>NULL</t>
        </is>
      </c>
      <c r="E1296" s="0" t="inlineStr">
        <is>
          <t>NULL</t>
        </is>
      </c>
      <c r="F1296" s="0" t="inlineStr">
        <is>
          <t>NULL</t>
        </is>
      </c>
      <c r="G1296" s="0" t="inlineStr">
        <is>
          <t>NULL</t>
        </is>
      </c>
      <c r="H1296" s="0" t="inlineStr">
        <is>
          <t>NULL</t>
        </is>
      </c>
      <c r="I1296" s="0" t="inlineStr">
        <is>
          <t>NULL</t>
        </is>
      </c>
      <c r="J1296" s="0" t="inlineStr">
        <is>
          <t>NULL</t>
        </is>
      </c>
      <c r="K1296" s="0" t="inlineStr">
        <is>
          <t>YES! 	 c_dtoffset_1列源备映射正确，源端为datetimeoffset None位	期望更改为datetimeoffset(n)	实际备端为datetimeoffset None位</t>
        </is>
      </c>
    </row>
    <row r="1297">
      <c r="B1297" s="0" t="inlineStr">
        <is>
          <t>NULL</t>
        </is>
      </c>
      <c r="C1297" s="0" t="inlineStr">
        <is>
          <t>NULL</t>
        </is>
      </c>
      <c r="D1297" s="0" t="inlineStr">
        <is>
          <t>NULL</t>
        </is>
      </c>
      <c r="E1297" s="0" t="inlineStr">
        <is>
          <t>NULL</t>
        </is>
      </c>
      <c r="F1297" s="0" t="inlineStr">
        <is>
          <t>NULL</t>
        </is>
      </c>
      <c r="G1297" s="0" t="inlineStr">
        <is>
          <t>NULL</t>
        </is>
      </c>
      <c r="H1297" s="0" t="inlineStr">
        <is>
          <t>NULL</t>
        </is>
      </c>
      <c r="I1297" s="0" t="inlineStr">
        <is>
          <t>NULL</t>
        </is>
      </c>
      <c r="J1297" s="0" t="inlineStr">
        <is>
          <t>NULL</t>
        </is>
      </c>
      <c r="K1297" s="0" t="inlineStr">
        <is>
          <t>YES! 	 c_dtoffset_2列源备映射正确，源端为datetimeoffset None位	期望更改为datetimeoffset(n)	实际备端为datetimeoffset None位</t>
        </is>
      </c>
    </row>
    <row r="1298">
      <c r="B1298" s="0" t="inlineStr">
        <is>
          <t>NULL</t>
        </is>
      </c>
      <c r="C1298" s="0" t="inlineStr">
        <is>
          <t>NULL</t>
        </is>
      </c>
      <c r="D1298" s="0" t="inlineStr">
        <is>
          <t>NULL</t>
        </is>
      </c>
      <c r="E1298" s="0" t="inlineStr">
        <is>
          <t>NULL</t>
        </is>
      </c>
      <c r="F1298" s="0" t="inlineStr">
        <is>
          <t>NULL</t>
        </is>
      </c>
      <c r="G1298" s="0" t="inlineStr">
        <is>
          <t>NULL</t>
        </is>
      </c>
      <c r="H1298" s="0" t="inlineStr">
        <is>
          <t>NULL</t>
        </is>
      </c>
      <c r="I1298" s="0" t="inlineStr">
        <is>
          <t>NULL</t>
        </is>
      </c>
      <c r="J1298" s="0" t="inlineStr">
        <is>
          <t>NULL</t>
        </is>
      </c>
      <c r="K1298" s="0" t="inlineStr">
        <is>
          <t>YES! 	 c_dtoffset_3列源备映射正确，源端为datetimeoffset None位	期望更改为datetimeoffset(n)	实际备端为datetimeoffset None位</t>
        </is>
      </c>
    </row>
    <row r="1299">
      <c r="B1299" s="0" t="inlineStr">
        <is>
          <t>NULL</t>
        </is>
      </c>
      <c r="C1299" s="0" t="inlineStr">
        <is>
          <t>NULL</t>
        </is>
      </c>
      <c r="D1299" s="0" t="inlineStr">
        <is>
          <t>NULL</t>
        </is>
      </c>
      <c r="E1299" s="0" t="inlineStr">
        <is>
          <t>NULL</t>
        </is>
      </c>
      <c r="F1299" s="0" t="inlineStr">
        <is>
          <t>NULL</t>
        </is>
      </c>
      <c r="G1299" s="0" t="inlineStr">
        <is>
          <t>NULL</t>
        </is>
      </c>
      <c r="H1299" s="0" t="inlineStr">
        <is>
          <t>NULL</t>
        </is>
      </c>
      <c r="I1299" s="0" t="inlineStr">
        <is>
          <t>NULL</t>
        </is>
      </c>
      <c r="J1299" s="0" t="inlineStr">
        <is>
          <t>NULL</t>
        </is>
      </c>
      <c r="K1299" s="0" t="inlineStr">
        <is>
          <t>YES! 	 c_dtoffset_4列源备映射正确，源端为datetimeoffset None位	期望更改为datetimeoffset(n)	实际备端为datetimeoffset None位</t>
        </is>
      </c>
    </row>
    <row r="1300">
      <c r="B1300" s="0" t="inlineStr">
        <is>
          <t>NULL</t>
        </is>
      </c>
      <c r="C1300" s="0" t="inlineStr">
        <is>
          <t>NULL</t>
        </is>
      </c>
      <c r="D1300" s="0" t="inlineStr">
        <is>
          <t>NULL</t>
        </is>
      </c>
      <c r="E1300" s="0" t="inlineStr">
        <is>
          <t>NULL</t>
        </is>
      </c>
      <c r="F1300" s="0" t="inlineStr">
        <is>
          <t>NULL</t>
        </is>
      </c>
      <c r="G1300" s="0" t="inlineStr">
        <is>
          <t>NULL</t>
        </is>
      </c>
      <c r="H1300" s="0" t="inlineStr">
        <is>
          <t>NULL</t>
        </is>
      </c>
      <c r="I1300" s="0" t="inlineStr">
        <is>
          <t>NULL</t>
        </is>
      </c>
      <c r="J1300" s="0" t="inlineStr">
        <is>
          <t>NULL</t>
        </is>
      </c>
      <c r="K1300" s="0" t="inlineStr">
        <is>
          <t>YES! 	 c_dtoffset_5列源备映射正确，源端为datetimeoffset None位	期望更改为datetimeoffset(n)	实际备端为datetimeoffset None位</t>
        </is>
      </c>
    </row>
    <row r="1301">
      <c r="B1301" s="0" t="inlineStr">
        <is>
          <t>NULL</t>
        </is>
      </c>
      <c r="C1301" s="0" t="inlineStr">
        <is>
          <t>NULL</t>
        </is>
      </c>
      <c r="D1301" s="0" t="inlineStr">
        <is>
          <t>NULL</t>
        </is>
      </c>
      <c r="E1301" s="0" t="inlineStr">
        <is>
          <t>NULL</t>
        </is>
      </c>
      <c r="F1301" s="0" t="inlineStr">
        <is>
          <t>NULL</t>
        </is>
      </c>
      <c r="G1301" s="0" t="inlineStr">
        <is>
          <t>NULL</t>
        </is>
      </c>
      <c r="H1301" s="0" t="inlineStr">
        <is>
          <t>NULL</t>
        </is>
      </c>
      <c r="I1301" s="0" t="inlineStr">
        <is>
          <t>NULL</t>
        </is>
      </c>
      <c r="J1301" s="0" t="inlineStr">
        <is>
          <t>NULL</t>
        </is>
      </c>
      <c r="K1301" s="0" t="inlineStr">
        <is>
          <t>YES! 	 c_dtoffset_6列源备映射正确，源端为datetimeoffset None位	期望更改为datetimeoffset(n)	实际备端为datetimeoffset None位</t>
        </is>
      </c>
    </row>
    <row r="1302">
      <c r="B1302" s="0" t="inlineStr">
        <is>
          <t>NULL</t>
        </is>
      </c>
      <c r="C1302" s="0" t="inlineStr">
        <is>
          <t>NULL</t>
        </is>
      </c>
      <c r="D1302" s="0" t="inlineStr">
        <is>
          <t>NULL</t>
        </is>
      </c>
      <c r="E1302" s="0" t="inlineStr">
        <is>
          <t>NULL</t>
        </is>
      </c>
      <c r="F1302" s="0" t="inlineStr">
        <is>
          <t>NULL</t>
        </is>
      </c>
      <c r="G1302" s="0" t="inlineStr">
        <is>
          <t>NULL</t>
        </is>
      </c>
      <c r="H1302" s="0" t="inlineStr">
        <is>
          <t>NULL</t>
        </is>
      </c>
      <c r="I1302" s="0" t="inlineStr">
        <is>
          <t>NULL</t>
        </is>
      </c>
      <c r="J1302" s="0" t="inlineStr">
        <is>
          <t>NULL</t>
        </is>
      </c>
      <c r="K1302" s="0" t="inlineStr">
        <is>
          <t>YES! 	 c_dtoffset列源备映射正确，源端为datetimeoffset None位	期望更改为datetimeoffset(n)	实际备端为datetimeoffset None位</t>
        </is>
      </c>
    </row>
    <row r="1303">
      <c r="A1303" s="0" t="inlineStr">
        <is>
          <t>info_nvarchar_dml_batch1_pk</t>
        </is>
      </c>
      <c r="K1303" s="0" t="inlineStr">
        <is>
          <t>[0;34m info_nvarchar_dml_batch1_pk [0m源备字段数相同，源端字段：4 	备端字段4</t>
        </is>
      </c>
      <c r="W1303" s="0" t="inlineStr">
        <is>
          <t>YES 源备无差异</t>
        </is>
      </c>
      <c r="X1303" s="0">
        <f>A1303</f>
        <v/>
      </c>
    </row>
    <row r="1304">
      <c r="B1304" s="0" t="inlineStr">
        <is>
          <t>YES</t>
        </is>
      </c>
      <c r="C1304" s="0" t="inlineStr">
        <is>
          <t>NULL</t>
        </is>
      </c>
      <c r="D1304" s="0" t="inlineStr">
        <is>
          <t>NULL</t>
        </is>
      </c>
      <c r="E1304" s="0" t="inlineStr">
        <is>
          <t>NULL</t>
        </is>
      </c>
      <c r="F1304" s="0" t="inlineStr">
        <is>
          <t>NULL</t>
        </is>
      </c>
      <c r="G1304" s="0" t="inlineStr">
        <is>
          <t>NULL</t>
        </is>
      </c>
      <c r="H1304" s="0" t="inlineStr">
        <is>
          <t>NULL</t>
        </is>
      </c>
      <c r="I1304" s="0" t="inlineStr">
        <is>
          <t>YES!PK__info_nva__3213E83F25B073D3</t>
        </is>
      </c>
      <c r="J1304" s="0" t="inlineStr">
        <is>
          <t>YES! 主键相关索引</t>
        </is>
      </c>
      <c r="K1304" s="0" t="inlineStr">
        <is>
          <t>YES! 	 id列源备映射正确，源端为int None位	期望更改为int	实际备端为int None位</t>
        </is>
      </c>
    </row>
    <row r="1305">
      <c r="B1305" s="0" t="inlineStr">
        <is>
          <t>NULL</t>
        </is>
      </c>
      <c r="C1305" s="0" t="inlineStr">
        <is>
          <t>NULL</t>
        </is>
      </c>
      <c r="D1305" s="0" t="inlineStr">
        <is>
          <t>NULL</t>
        </is>
      </c>
      <c r="E1305" s="0" t="inlineStr">
        <is>
          <t>NULL</t>
        </is>
      </c>
      <c r="F1305" s="0" t="inlineStr">
        <is>
          <t>NULL</t>
        </is>
      </c>
      <c r="G1305" s="0" t="inlineStr">
        <is>
          <t>NULL</t>
        </is>
      </c>
      <c r="H1305" s="0" t="inlineStr">
        <is>
          <t>NULL</t>
        </is>
      </c>
      <c r="I1305" s="0" t="inlineStr">
        <is>
          <t>NULL</t>
        </is>
      </c>
      <c r="J1305" s="0" t="inlineStr">
        <is>
          <t>NULL</t>
        </is>
      </c>
      <c r="K1305" s="0" t="inlineStr">
        <is>
          <t>YES! 	 c_nvarchar列源备映射正确，源端为nvarchar 2位	期望更改为nvarchar(n)	实际备端为nvarchar 2位</t>
        </is>
      </c>
    </row>
    <row r="1306">
      <c r="B1306" s="0" t="inlineStr">
        <is>
          <t>NULL</t>
        </is>
      </c>
      <c r="C1306" s="0" t="inlineStr">
        <is>
          <t>NULL</t>
        </is>
      </c>
      <c r="D1306" s="0" t="inlineStr">
        <is>
          <t>NULL</t>
        </is>
      </c>
      <c r="E1306" s="0" t="inlineStr">
        <is>
          <t>NULL</t>
        </is>
      </c>
      <c r="F1306" s="0" t="inlineStr">
        <is>
          <t>NULL</t>
        </is>
      </c>
      <c r="G1306" s="0" t="inlineStr">
        <is>
          <t>NULL</t>
        </is>
      </c>
      <c r="H1306" s="0" t="inlineStr">
        <is>
          <t>NULL</t>
        </is>
      </c>
      <c r="I1306" s="0" t="inlineStr">
        <is>
          <t>NULL</t>
        </is>
      </c>
      <c r="J1306" s="0" t="inlineStr">
        <is>
          <t>NULL</t>
        </is>
      </c>
      <c r="K1306" s="0" t="inlineStr">
        <is>
          <t>YES! 	 c_nvarchar20列源备映射正确，源端为nvarchar 40位	期望更改为nvarchar(n)	实际备端为nvarchar 40位</t>
        </is>
      </c>
    </row>
    <row r="1307">
      <c r="B1307" s="0" t="inlineStr">
        <is>
          <t>NULL</t>
        </is>
      </c>
      <c r="C1307" s="0" t="inlineStr">
        <is>
          <t>NULL</t>
        </is>
      </c>
      <c r="D1307" s="0" t="inlineStr">
        <is>
          <t>NULL</t>
        </is>
      </c>
      <c r="E1307" s="0" t="inlineStr">
        <is>
          <t>NULL</t>
        </is>
      </c>
      <c r="F1307" s="0" t="inlineStr">
        <is>
          <t>NULL</t>
        </is>
      </c>
      <c r="G1307" s="0" t="inlineStr">
        <is>
          <t>NULL</t>
        </is>
      </c>
      <c r="H1307" s="0" t="inlineStr">
        <is>
          <t>NULL</t>
        </is>
      </c>
      <c r="I1307" s="0" t="inlineStr">
        <is>
          <t>NULL</t>
        </is>
      </c>
      <c r="J1307" s="0" t="inlineStr">
        <is>
          <t>NULL</t>
        </is>
      </c>
      <c r="K1307" s="0" t="inlineStr">
        <is>
          <t>YES! 	 c_nvarchar3500列源备映射正确，源端为nchar 7000位	期望更改为nchar(n)	实际备端为nchar 7000位</t>
        </is>
      </c>
    </row>
    <row r="1308">
      <c r="A1308" s="0" t="inlineStr">
        <is>
          <t>info_datetime2_dml_single_pk_urp</t>
        </is>
      </c>
      <c r="K1308" s="0" t="inlineStr">
        <is>
          <t>[0;34m info_datetime2_dml_single_pk_urp [0m源备字段数相同，源端字段：9 	备端字段9</t>
        </is>
      </c>
      <c r="W1308" s="0" t="inlineStr">
        <is>
          <t>YES 源备无差异</t>
        </is>
      </c>
      <c r="X1308" s="0">
        <f>A1308</f>
        <v/>
      </c>
    </row>
    <row r="1309">
      <c r="B1309" s="0" t="inlineStr">
        <is>
          <t>YES</t>
        </is>
      </c>
      <c r="C1309" s="0" t="inlineStr">
        <is>
          <t>NULL</t>
        </is>
      </c>
      <c r="D1309" s="0" t="inlineStr">
        <is>
          <t>NULL</t>
        </is>
      </c>
      <c r="E1309" s="0" t="inlineStr">
        <is>
          <t>NULL</t>
        </is>
      </c>
      <c r="F1309" s="0" t="inlineStr">
        <is>
          <t>NULL</t>
        </is>
      </c>
      <c r="G1309" s="0" t="inlineStr">
        <is>
          <t>NULL</t>
        </is>
      </c>
      <c r="H1309" s="0" t="inlineStr">
        <is>
          <t>NULL</t>
        </is>
      </c>
      <c r="I1309" s="0" t="inlineStr">
        <is>
          <t>YES!PK__info_dat__3213E83F2B423AF7</t>
        </is>
      </c>
      <c r="J1309" s="0" t="inlineStr">
        <is>
          <t>YES! 主键相关索引</t>
        </is>
      </c>
      <c r="K1309" s="0" t="inlineStr">
        <is>
          <t>YES! 	 id列源备映射正确，源端为int None位	期望更改为int	实际备端为int None位</t>
        </is>
      </c>
    </row>
    <row r="1310">
      <c r="B1310" s="0" t="inlineStr">
        <is>
          <t>NULL</t>
        </is>
      </c>
      <c r="C1310" s="0" t="inlineStr">
        <is>
          <t>NULL</t>
        </is>
      </c>
      <c r="D1310" s="0" t="inlineStr">
        <is>
          <t>NULL</t>
        </is>
      </c>
      <c r="E1310" s="0" t="inlineStr">
        <is>
          <t>NULL</t>
        </is>
      </c>
      <c r="F1310" s="0" t="inlineStr">
        <is>
          <t>NULL</t>
        </is>
      </c>
      <c r="G1310" s="0" t="inlineStr">
        <is>
          <t>NULL</t>
        </is>
      </c>
      <c r="H1310" s="0" t="inlineStr">
        <is>
          <t>NULL</t>
        </is>
      </c>
      <c r="I1310" s="0" t="inlineStr">
        <is>
          <t>NULL</t>
        </is>
      </c>
      <c r="J1310" s="0" t="inlineStr">
        <is>
          <t>NULL</t>
        </is>
      </c>
      <c r="K1310" s="0" t="inlineStr">
        <is>
          <t>no,len不存在</t>
        </is>
      </c>
    </row>
    <row r="1311">
      <c r="B1311" s="0" t="inlineStr">
        <is>
          <t>NULL</t>
        </is>
      </c>
      <c r="C1311" s="0" t="inlineStr">
        <is>
          <t>NULL</t>
        </is>
      </c>
      <c r="D1311" s="0" t="inlineStr">
        <is>
          <t>NULL</t>
        </is>
      </c>
      <c r="E1311" s="0" t="inlineStr">
        <is>
          <t>NULL</t>
        </is>
      </c>
      <c r="F1311" s="0" t="inlineStr">
        <is>
          <t>NULL</t>
        </is>
      </c>
      <c r="G1311" s="0" t="inlineStr">
        <is>
          <t>NULL</t>
        </is>
      </c>
      <c r="H1311" s="0" t="inlineStr">
        <is>
          <t>NULL</t>
        </is>
      </c>
      <c r="I1311" s="0" t="inlineStr">
        <is>
          <t>NULL</t>
        </is>
      </c>
      <c r="J1311" s="0" t="inlineStr">
        <is>
          <t>NULL</t>
        </is>
      </c>
      <c r="K1311" s="0" t="inlineStr">
        <is>
          <t>YES! 	 c_dt2_1列源备映射正确，源端为datetime2 None位	期望更改为datetime2(n)	实际备端为datetime2 None位</t>
        </is>
      </c>
    </row>
    <row r="1312">
      <c r="B1312" s="0" t="inlineStr">
        <is>
          <t>NULL</t>
        </is>
      </c>
      <c r="C1312" s="0" t="inlineStr">
        <is>
          <t>NULL</t>
        </is>
      </c>
      <c r="D1312" s="0" t="inlineStr">
        <is>
          <t>NULL</t>
        </is>
      </c>
      <c r="E1312" s="0" t="inlineStr">
        <is>
          <t>NULL</t>
        </is>
      </c>
      <c r="F1312" s="0" t="inlineStr">
        <is>
          <t>NULL</t>
        </is>
      </c>
      <c r="G1312" s="0" t="inlineStr">
        <is>
          <t>NULL</t>
        </is>
      </c>
      <c r="H1312" s="0" t="inlineStr">
        <is>
          <t>NULL</t>
        </is>
      </c>
      <c r="I1312" s="0" t="inlineStr">
        <is>
          <t>NULL</t>
        </is>
      </c>
      <c r="J1312" s="0" t="inlineStr">
        <is>
          <t>NULL</t>
        </is>
      </c>
      <c r="K1312" s="0" t="inlineStr">
        <is>
          <t>YES! 	 c_dt2_2列源备映射正确，源端为datetime2 None位	期望更改为datetime2(n)	实际备端为datetime2 None位</t>
        </is>
      </c>
    </row>
    <row r="1313">
      <c r="B1313" s="0" t="inlineStr">
        <is>
          <t>NULL</t>
        </is>
      </c>
      <c r="C1313" s="0" t="inlineStr">
        <is>
          <t>NULL</t>
        </is>
      </c>
      <c r="D1313" s="0" t="inlineStr">
        <is>
          <t>NULL</t>
        </is>
      </c>
      <c r="E1313" s="0" t="inlineStr">
        <is>
          <t>NULL</t>
        </is>
      </c>
      <c r="F1313" s="0" t="inlineStr">
        <is>
          <t>NULL</t>
        </is>
      </c>
      <c r="G1313" s="0" t="inlineStr">
        <is>
          <t>NULL</t>
        </is>
      </c>
      <c r="H1313" s="0" t="inlineStr">
        <is>
          <t>NULL</t>
        </is>
      </c>
      <c r="I1313" s="0" t="inlineStr">
        <is>
          <t>NULL</t>
        </is>
      </c>
      <c r="J1313" s="0" t="inlineStr">
        <is>
          <t>NULL</t>
        </is>
      </c>
      <c r="K1313" s="0" t="inlineStr">
        <is>
          <t>YES! 	 c_dt2_3列源备映射正确，源端为datetime2 None位	期望更改为datetime2(n)	实际备端为datetime2 None位</t>
        </is>
      </c>
    </row>
    <row r="1314">
      <c r="B1314" s="0" t="inlineStr">
        <is>
          <t>NULL</t>
        </is>
      </c>
      <c r="C1314" s="0" t="inlineStr">
        <is>
          <t>NULL</t>
        </is>
      </c>
      <c r="D1314" s="0" t="inlineStr">
        <is>
          <t>NULL</t>
        </is>
      </c>
      <c r="E1314" s="0" t="inlineStr">
        <is>
          <t>NULL</t>
        </is>
      </c>
      <c r="F1314" s="0" t="inlineStr">
        <is>
          <t>NULL</t>
        </is>
      </c>
      <c r="G1314" s="0" t="inlineStr">
        <is>
          <t>NULL</t>
        </is>
      </c>
      <c r="H1314" s="0" t="inlineStr">
        <is>
          <t>NULL</t>
        </is>
      </c>
      <c r="I1314" s="0" t="inlineStr">
        <is>
          <t>NULL</t>
        </is>
      </c>
      <c r="J1314" s="0" t="inlineStr">
        <is>
          <t>NULL</t>
        </is>
      </c>
      <c r="K1314" s="0" t="inlineStr">
        <is>
          <t>YES! 	 c_dt2_4列源备映射正确，源端为datetime2 None位	期望更改为datetime2(n)	实际备端为datetime2 None位</t>
        </is>
      </c>
    </row>
    <row r="1315">
      <c r="B1315" s="0" t="inlineStr">
        <is>
          <t>NULL</t>
        </is>
      </c>
      <c r="C1315" s="0" t="inlineStr">
        <is>
          <t>NULL</t>
        </is>
      </c>
      <c r="D1315" s="0" t="inlineStr">
        <is>
          <t>NULL</t>
        </is>
      </c>
      <c r="E1315" s="0" t="inlineStr">
        <is>
          <t>NULL</t>
        </is>
      </c>
      <c r="F1315" s="0" t="inlineStr">
        <is>
          <t>NULL</t>
        </is>
      </c>
      <c r="G1315" s="0" t="inlineStr">
        <is>
          <t>NULL</t>
        </is>
      </c>
      <c r="H1315" s="0" t="inlineStr">
        <is>
          <t>NULL</t>
        </is>
      </c>
      <c r="I1315" s="0" t="inlineStr">
        <is>
          <t>NULL</t>
        </is>
      </c>
      <c r="J1315" s="0" t="inlineStr">
        <is>
          <t>NULL</t>
        </is>
      </c>
      <c r="K1315" s="0" t="inlineStr">
        <is>
          <t>YES! 	 c_dt2_5列源备映射正确，源端为datetime2 None位	期望更改为datetime2(n)	实际备端为datetime2 None位</t>
        </is>
      </c>
    </row>
    <row r="1316">
      <c r="B1316" s="0" t="inlineStr">
        <is>
          <t>NULL</t>
        </is>
      </c>
      <c r="C1316" s="0" t="inlineStr">
        <is>
          <t>NULL</t>
        </is>
      </c>
      <c r="D1316" s="0" t="inlineStr">
        <is>
          <t>NULL</t>
        </is>
      </c>
      <c r="E1316" s="0" t="inlineStr">
        <is>
          <t>NULL</t>
        </is>
      </c>
      <c r="F1316" s="0" t="inlineStr">
        <is>
          <t>NULL</t>
        </is>
      </c>
      <c r="G1316" s="0" t="inlineStr">
        <is>
          <t>NULL</t>
        </is>
      </c>
      <c r="H1316" s="0" t="inlineStr">
        <is>
          <t>NULL</t>
        </is>
      </c>
      <c r="I1316" s="0" t="inlineStr">
        <is>
          <t>NULL</t>
        </is>
      </c>
      <c r="J1316" s="0" t="inlineStr">
        <is>
          <t>NULL</t>
        </is>
      </c>
      <c r="K1316" s="0" t="inlineStr">
        <is>
          <t>YES! 	 c_dt2_6列源备映射正确，源端为datetime2 None位	期望更改为datetime2(n)	实际备端为datetime2 None位</t>
        </is>
      </c>
    </row>
    <row r="1317">
      <c r="B1317" s="0" t="inlineStr">
        <is>
          <t>NULL</t>
        </is>
      </c>
      <c r="C1317" s="0" t="inlineStr">
        <is>
          <t>NULL</t>
        </is>
      </c>
      <c r="D1317" s="0" t="inlineStr">
        <is>
          <t>NULL</t>
        </is>
      </c>
      <c r="E1317" s="0" t="inlineStr">
        <is>
          <t>NULL</t>
        </is>
      </c>
      <c r="F1317" s="0" t="inlineStr">
        <is>
          <t>NULL</t>
        </is>
      </c>
      <c r="G1317" s="0" t="inlineStr">
        <is>
          <t>NULL</t>
        </is>
      </c>
      <c r="H1317" s="0" t="inlineStr">
        <is>
          <t>NULL</t>
        </is>
      </c>
      <c r="I1317" s="0" t="inlineStr">
        <is>
          <t>NULL</t>
        </is>
      </c>
      <c r="J1317" s="0" t="inlineStr">
        <is>
          <t>NULL</t>
        </is>
      </c>
      <c r="K1317" s="0" t="inlineStr">
        <is>
          <t>YES! 	 c_dt2列源备映射正确，源端为datetime2 None位	期望更改为datetime2(n)	实际备端为datetime2 None位</t>
        </is>
      </c>
    </row>
    <row r="1318">
      <c r="A1318" s="0" t="inlineStr">
        <is>
          <t>info_sdt_dml_single_nopk_irp</t>
        </is>
      </c>
      <c r="K1318" s="0" t="inlineStr">
        <is>
          <t>[0;34m info_sdt_dml_single_nopk_irp [0m源备字段数相同，源端字段：2 	备端字段2</t>
        </is>
      </c>
      <c r="W1318" s="0" t="inlineStr">
        <is>
          <t>YES 源备无差异</t>
        </is>
      </c>
      <c r="X1318" s="0">
        <f>A1318</f>
        <v/>
      </c>
    </row>
    <row r="1319">
      <c r="B1319" s="0" t="inlineStr">
        <is>
          <t>NULL</t>
        </is>
      </c>
      <c r="C1319" s="0" t="inlineStr">
        <is>
          <t>NULL</t>
        </is>
      </c>
      <c r="D1319" s="0" t="inlineStr">
        <is>
          <t>NULL</t>
        </is>
      </c>
      <c r="E1319" s="0" t="inlineStr">
        <is>
          <t>NULL</t>
        </is>
      </c>
      <c r="F1319" s="0" t="inlineStr">
        <is>
          <t>NULL</t>
        </is>
      </c>
      <c r="G1319" s="0" t="inlineStr">
        <is>
          <t>NULL</t>
        </is>
      </c>
      <c r="H1319" s="0" t="inlineStr">
        <is>
          <t>NULL</t>
        </is>
      </c>
      <c r="I1319" s="0" t="inlineStr">
        <is>
          <t>NULL</t>
        </is>
      </c>
      <c r="J1319" s="0" t="inlineStr">
        <is>
          <t>NULL</t>
        </is>
      </c>
      <c r="K1319" s="0" t="inlineStr">
        <is>
          <t>YES! 	 id列源备映射正确，源端为int None位	期望更改为int	实际备端为int None位</t>
        </is>
      </c>
    </row>
    <row r="1320">
      <c r="B1320" s="0" t="inlineStr">
        <is>
          <t>NULL</t>
        </is>
      </c>
      <c r="C1320" s="0" t="inlineStr">
        <is>
          <t>NULL</t>
        </is>
      </c>
      <c r="D1320" s="0" t="inlineStr">
        <is>
          <t>NULL</t>
        </is>
      </c>
      <c r="E1320" s="0" t="inlineStr">
        <is>
          <t>NULL</t>
        </is>
      </c>
      <c r="F1320" s="0" t="inlineStr">
        <is>
          <t>NULL</t>
        </is>
      </c>
      <c r="G1320" s="0" t="inlineStr">
        <is>
          <t>NULL</t>
        </is>
      </c>
      <c r="H1320" s="0" t="inlineStr">
        <is>
          <t>NULL</t>
        </is>
      </c>
      <c r="I1320" s="0" t="inlineStr">
        <is>
          <t>NULL</t>
        </is>
      </c>
      <c r="J1320" s="0" t="inlineStr">
        <is>
          <t>NULL</t>
        </is>
      </c>
      <c r="K1320" s="0" t="inlineStr">
        <is>
          <t>YES! 	 c_sdt列源备映射正确，源端为smalldatetime None位	期望更改为smalldatetime	实际备端为smalldatetime None位</t>
        </is>
      </c>
    </row>
    <row r="1321">
      <c r="A1321" s="0" t="inlineStr">
        <is>
          <t>info_datetimeoffset_dml_batch1_pk_urp1</t>
        </is>
      </c>
      <c r="K1321" s="0" t="inlineStr">
        <is>
          <t>[0;34m info_datetimeoffset_dml_batch1_pk_urp1 [0m源备字段数相同，源端字段：9 	备端字段9</t>
        </is>
      </c>
      <c r="W1321" s="0" t="inlineStr">
        <is>
          <t>YES 源备无差异</t>
        </is>
      </c>
      <c r="X1321" s="0">
        <f>A1321</f>
        <v/>
      </c>
    </row>
    <row r="1322">
      <c r="B1322" s="0" t="inlineStr">
        <is>
          <t>YES</t>
        </is>
      </c>
      <c r="C1322" s="0" t="inlineStr">
        <is>
          <t>NULL</t>
        </is>
      </c>
      <c r="D1322" s="0" t="inlineStr">
        <is>
          <t>NULL</t>
        </is>
      </c>
      <c r="E1322" s="0" t="inlineStr">
        <is>
          <t>NULL</t>
        </is>
      </c>
      <c r="F1322" s="0" t="inlineStr">
        <is>
          <t>NULL</t>
        </is>
      </c>
      <c r="G1322" s="0" t="inlineStr">
        <is>
          <t>NULL</t>
        </is>
      </c>
      <c r="H1322" s="0" t="inlineStr">
        <is>
          <t>NULL</t>
        </is>
      </c>
      <c r="I1322" s="0" t="inlineStr">
        <is>
          <t>YES!PK__info_dat__3213E83F38BE76EF</t>
        </is>
      </c>
      <c r="J1322" s="0" t="inlineStr">
        <is>
          <t>YES! 主键相关索引</t>
        </is>
      </c>
      <c r="K1322" s="0" t="inlineStr">
        <is>
          <t>YES! 	 id列源备映射正确，源端为int None位	期望更改为int	实际备端为int None位</t>
        </is>
      </c>
    </row>
    <row r="1323">
      <c r="B1323" s="0" t="inlineStr">
        <is>
          <t>NULL</t>
        </is>
      </c>
      <c r="C1323" s="0" t="inlineStr">
        <is>
          <t>NULL</t>
        </is>
      </c>
      <c r="D1323" s="0" t="inlineStr">
        <is>
          <t>NULL</t>
        </is>
      </c>
      <c r="E1323" s="0" t="inlineStr">
        <is>
          <t>NULL</t>
        </is>
      </c>
      <c r="F1323" s="0" t="inlineStr">
        <is>
          <t>NULL</t>
        </is>
      </c>
      <c r="G1323" s="0" t="inlineStr">
        <is>
          <t>NULL</t>
        </is>
      </c>
      <c r="H1323" s="0" t="inlineStr">
        <is>
          <t>NULL</t>
        </is>
      </c>
      <c r="I1323" s="0" t="inlineStr">
        <is>
          <t>NULL</t>
        </is>
      </c>
      <c r="J1323" s="0" t="inlineStr">
        <is>
          <t>NULL</t>
        </is>
      </c>
      <c r="K1323" s="0" t="inlineStr">
        <is>
          <t>no,len不存在</t>
        </is>
      </c>
    </row>
    <row r="1324">
      <c r="B1324" s="0" t="inlineStr">
        <is>
          <t>NULL</t>
        </is>
      </c>
      <c r="C1324" s="0" t="inlineStr">
        <is>
          <t>NULL</t>
        </is>
      </c>
      <c r="D1324" s="0" t="inlineStr">
        <is>
          <t>NULL</t>
        </is>
      </c>
      <c r="E1324" s="0" t="inlineStr">
        <is>
          <t>NULL</t>
        </is>
      </c>
      <c r="F1324" s="0" t="inlineStr">
        <is>
          <t>NULL</t>
        </is>
      </c>
      <c r="G1324" s="0" t="inlineStr">
        <is>
          <t>NULL</t>
        </is>
      </c>
      <c r="H1324" s="0" t="inlineStr">
        <is>
          <t>NULL</t>
        </is>
      </c>
      <c r="I1324" s="0" t="inlineStr">
        <is>
          <t>NULL</t>
        </is>
      </c>
      <c r="J1324" s="0" t="inlineStr">
        <is>
          <t>NULL</t>
        </is>
      </c>
      <c r="K1324" s="0" t="inlineStr">
        <is>
          <t>YES! 	 c_dtoffset_1列源备映射正确，源端为datetimeoffset None位	期望更改为datetimeoffset(n)	实际备端为datetimeoffset None位</t>
        </is>
      </c>
    </row>
    <row r="1325">
      <c r="B1325" s="0" t="inlineStr">
        <is>
          <t>NULL</t>
        </is>
      </c>
      <c r="C1325" s="0" t="inlineStr">
        <is>
          <t>NULL</t>
        </is>
      </c>
      <c r="D1325" s="0" t="inlineStr">
        <is>
          <t>NULL</t>
        </is>
      </c>
      <c r="E1325" s="0" t="inlineStr">
        <is>
          <t>NULL</t>
        </is>
      </c>
      <c r="F1325" s="0" t="inlineStr">
        <is>
          <t>NULL</t>
        </is>
      </c>
      <c r="G1325" s="0" t="inlineStr">
        <is>
          <t>NULL</t>
        </is>
      </c>
      <c r="H1325" s="0" t="inlineStr">
        <is>
          <t>NULL</t>
        </is>
      </c>
      <c r="I1325" s="0" t="inlineStr">
        <is>
          <t>NULL</t>
        </is>
      </c>
      <c r="J1325" s="0" t="inlineStr">
        <is>
          <t>NULL</t>
        </is>
      </c>
      <c r="K1325" s="0" t="inlineStr">
        <is>
          <t>YES! 	 c_dtoffset_2列源备映射正确，源端为datetimeoffset None位	期望更改为datetimeoffset(n)	实际备端为datetimeoffset None位</t>
        </is>
      </c>
    </row>
    <row r="1326">
      <c r="B1326" s="0" t="inlineStr">
        <is>
          <t>NULL</t>
        </is>
      </c>
      <c r="C1326" s="0" t="inlineStr">
        <is>
          <t>NULL</t>
        </is>
      </c>
      <c r="D1326" s="0" t="inlineStr">
        <is>
          <t>NULL</t>
        </is>
      </c>
      <c r="E1326" s="0" t="inlineStr">
        <is>
          <t>NULL</t>
        </is>
      </c>
      <c r="F1326" s="0" t="inlineStr">
        <is>
          <t>NULL</t>
        </is>
      </c>
      <c r="G1326" s="0" t="inlineStr">
        <is>
          <t>NULL</t>
        </is>
      </c>
      <c r="H1326" s="0" t="inlineStr">
        <is>
          <t>NULL</t>
        </is>
      </c>
      <c r="I1326" s="0" t="inlineStr">
        <is>
          <t>NULL</t>
        </is>
      </c>
      <c r="J1326" s="0" t="inlineStr">
        <is>
          <t>NULL</t>
        </is>
      </c>
      <c r="K1326" s="0" t="inlineStr">
        <is>
          <t>YES! 	 c_dtoffset_3列源备映射正确，源端为datetimeoffset None位	期望更改为datetimeoffset(n)	实际备端为datetimeoffset None位</t>
        </is>
      </c>
    </row>
    <row r="1327">
      <c r="B1327" s="0" t="inlineStr">
        <is>
          <t>NULL</t>
        </is>
      </c>
      <c r="C1327" s="0" t="inlineStr">
        <is>
          <t>NULL</t>
        </is>
      </c>
      <c r="D1327" s="0" t="inlineStr">
        <is>
          <t>NULL</t>
        </is>
      </c>
      <c r="E1327" s="0" t="inlineStr">
        <is>
          <t>NULL</t>
        </is>
      </c>
      <c r="F1327" s="0" t="inlineStr">
        <is>
          <t>NULL</t>
        </is>
      </c>
      <c r="G1327" s="0" t="inlineStr">
        <is>
          <t>NULL</t>
        </is>
      </c>
      <c r="H1327" s="0" t="inlineStr">
        <is>
          <t>NULL</t>
        </is>
      </c>
      <c r="I1327" s="0" t="inlineStr">
        <is>
          <t>NULL</t>
        </is>
      </c>
      <c r="J1327" s="0" t="inlineStr">
        <is>
          <t>NULL</t>
        </is>
      </c>
      <c r="K1327" s="0" t="inlineStr">
        <is>
          <t>YES! 	 c_dtoffset_4列源备映射正确，源端为datetimeoffset None位	期望更改为datetimeoffset(n)	实际备端为datetimeoffset None位</t>
        </is>
      </c>
    </row>
    <row r="1328">
      <c r="B1328" s="0" t="inlineStr">
        <is>
          <t>NULL</t>
        </is>
      </c>
      <c r="C1328" s="0" t="inlineStr">
        <is>
          <t>NULL</t>
        </is>
      </c>
      <c r="D1328" s="0" t="inlineStr">
        <is>
          <t>NULL</t>
        </is>
      </c>
      <c r="E1328" s="0" t="inlineStr">
        <is>
          <t>NULL</t>
        </is>
      </c>
      <c r="F1328" s="0" t="inlineStr">
        <is>
          <t>NULL</t>
        </is>
      </c>
      <c r="G1328" s="0" t="inlineStr">
        <is>
          <t>NULL</t>
        </is>
      </c>
      <c r="H1328" s="0" t="inlineStr">
        <is>
          <t>NULL</t>
        </is>
      </c>
      <c r="I1328" s="0" t="inlineStr">
        <is>
          <t>NULL</t>
        </is>
      </c>
      <c r="J1328" s="0" t="inlineStr">
        <is>
          <t>NULL</t>
        </is>
      </c>
      <c r="K1328" s="0" t="inlineStr">
        <is>
          <t>YES! 	 c_dtoffset_5列源备映射正确，源端为datetimeoffset None位	期望更改为datetimeoffset(n)	实际备端为datetimeoffset None位</t>
        </is>
      </c>
    </row>
    <row r="1329">
      <c r="B1329" s="0" t="inlineStr">
        <is>
          <t>NULL</t>
        </is>
      </c>
      <c r="C1329" s="0" t="inlineStr">
        <is>
          <t>NULL</t>
        </is>
      </c>
      <c r="D1329" s="0" t="inlineStr">
        <is>
          <t>NULL</t>
        </is>
      </c>
      <c r="E1329" s="0" t="inlineStr">
        <is>
          <t>NULL</t>
        </is>
      </c>
      <c r="F1329" s="0" t="inlineStr">
        <is>
          <t>NULL</t>
        </is>
      </c>
      <c r="G1329" s="0" t="inlineStr">
        <is>
          <t>NULL</t>
        </is>
      </c>
      <c r="H1329" s="0" t="inlineStr">
        <is>
          <t>NULL</t>
        </is>
      </c>
      <c r="I1329" s="0" t="inlineStr">
        <is>
          <t>NULL</t>
        </is>
      </c>
      <c r="J1329" s="0" t="inlineStr">
        <is>
          <t>NULL</t>
        </is>
      </c>
      <c r="K1329" s="0" t="inlineStr">
        <is>
          <t>YES! 	 c_dtoffset_6列源备映射正确，源端为datetimeoffset None位	期望更改为datetimeoffset(n)	实际备端为datetimeoffset None位</t>
        </is>
      </c>
    </row>
    <row r="1330">
      <c r="B1330" s="0" t="inlineStr">
        <is>
          <t>NULL</t>
        </is>
      </c>
      <c r="C1330" s="0" t="inlineStr">
        <is>
          <t>NULL</t>
        </is>
      </c>
      <c r="D1330" s="0" t="inlineStr">
        <is>
          <t>NULL</t>
        </is>
      </c>
      <c r="E1330" s="0" t="inlineStr">
        <is>
          <t>NULL</t>
        </is>
      </c>
      <c r="F1330" s="0" t="inlineStr">
        <is>
          <t>NULL</t>
        </is>
      </c>
      <c r="G1330" s="0" t="inlineStr">
        <is>
          <t>NULL</t>
        </is>
      </c>
      <c r="H1330" s="0" t="inlineStr">
        <is>
          <t>NULL</t>
        </is>
      </c>
      <c r="I1330" s="0" t="inlineStr">
        <is>
          <t>NULL</t>
        </is>
      </c>
      <c r="J1330" s="0" t="inlineStr">
        <is>
          <t>NULL</t>
        </is>
      </c>
      <c r="K1330" s="0" t="inlineStr">
        <is>
          <t>YES! 	 c_dtoffset列源备映射正确，源端为datetimeoffset None位	期望更改为datetimeoffset(n)	实际备端为datetimeoffset None位</t>
        </is>
      </c>
    </row>
    <row r="1331">
      <c r="A1331" s="0" t="inlineStr">
        <is>
          <t>info_sdt_dml_single_nopk_urp</t>
        </is>
      </c>
      <c r="K1331" s="0" t="inlineStr">
        <is>
          <t>[0;34m info_sdt_dml_single_nopk_urp [0m源备字段数相同，源端字段：2 	备端字段2</t>
        </is>
      </c>
      <c r="W1331" s="0" t="inlineStr">
        <is>
          <t>YES 源备无差异</t>
        </is>
      </c>
      <c r="X1331" s="0">
        <f>A1331</f>
        <v/>
      </c>
    </row>
    <row r="1332">
      <c r="B1332" s="0" t="inlineStr">
        <is>
          <t>NULL</t>
        </is>
      </c>
      <c r="C1332" s="0" t="inlineStr">
        <is>
          <t>NULL</t>
        </is>
      </c>
      <c r="D1332" s="0" t="inlineStr">
        <is>
          <t>NULL</t>
        </is>
      </c>
      <c r="E1332" s="0" t="inlineStr">
        <is>
          <t>NULL</t>
        </is>
      </c>
      <c r="F1332" s="0" t="inlineStr">
        <is>
          <t>NULL</t>
        </is>
      </c>
      <c r="G1332" s="0" t="inlineStr">
        <is>
          <t>NULL</t>
        </is>
      </c>
      <c r="H1332" s="0" t="inlineStr">
        <is>
          <t>NULL</t>
        </is>
      </c>
      <c r="I1332" s="0" t="inlineStr">
        <is>
          <t>NULL</t>
        </is>
      </c>
      <c r="J1332" s="0" t="inlineStr">
        <is>
          <t>NULL</t>
        </is>
      </c>
      <c r="K1332" s="0" t="inlineStr">
        <is>
          <t>YES! 	 id列源备映射正确，源端为int None位	期望更改为int	实际备端为int None位</t>
        </is>
      </c>
    </row>
    <row r="1333">
      <c r="B1333" s="0" t="inlineStr">
        <is>
          <t>NULL</t>
        </is>
      </c>
      <c r="C1333" s="0" t="inlineStr">
        <is>
          <t>NULL</t>
        </is>
      </c>
      <c r="D1333" s="0" t="inlineStr">
        <is>
          <t>NULL</t>
        </is>
      </c>
      <c r="E1333" s="0" t="inlineStr">
        <is>
          <t>NULL</t>
        </is>
      </c>
      <c r="F1333" s="0" t="inlineStr">
        <is>
          <t>NULL</t>
        </is>
      </c>
      <c r="G1333" s="0" t="inlineStr">
        <is>
          <t>NULL</t>
        </is>
      </c>
      <c r="H1333" s="0" t="inlineStr">
        <is>
          <t>NULL</t>
        </is>
      </c>
      <c r="I1333" s="0" t="inlineStr">
        <is>
          <t>NULL</t>
        </is>
      </c>
      <c r="J1333" s="0" t="inlineStr">
        <is>
          <t>NULL</t>
        </is>
      </c>
      <c r="K1333" s="0" t="inlineStr">
        <is>
          <t>YES! 	 c_sdt列源备映射正确，源端为smalldatetime None位	期望更改为smalldatetime	实际备端为smalldatetime None位</t>
        </is>
      </c>
    </row>
    <row r="1334">
      <c r="A1334" s="0" t="inlineStr">
        <is>
          <t>info_varcharmax_dml_batch1_pk_irp1</t>
        </is>
      </c>
      <c r="K1334" s="0" t="inlineStr">
        <is>
          <t>[0;34m info_varcharmax_dml_batch1_pk_irp1 [0m源备字段数相同，源端字段：3 	备端字段3</t>
        </is>
      </c>
      <c r="W1334" s="0" t="inlineStr">
        <is>
          <t>YES 源备无差异</t>
        </is>
      </c>
      <c r="X1334" s="0">
        <f>A1334</f>
        <v/>
      </c>
    </row>
    <row r="1335">
      <c r="B1335" s="0" t="inlineStr">
        <is>
          <t>YES</t>
        </is>
      </c>
      <c r="C1335" s="0" t="inlineStr">
        <is>
          <t>NULL</t>
        </is>
      </c>
      <c r="D1335" s="0" t="inlineStr">
        <is>
          <t>NULL</t>
        </is>
      </c>
      <c r="E1335" s="0" t="inlineStr">
        <is>
          <t>NULL</t>
        </is>
      </c>
      <c r="F1335" s="0" t="inlineStr">
        <is>
          <t>NULL</t>
        </is>
      </c>
      <c r="G1335" s="0" t="inlineStr">
        <is>
          <t>NULL</t>
        </is>
      </c>
      <c r="H1335" s="0" t="inlineStr">
        <is>
          <t>NULL</t>
        </is>
      </c>
      <c r="I1335" s="0" t="inlineStr">
        <is>
          <t>YES!PK__info_var__3213E83F4FAC50C4</t>
        </is>
      </c>
      <c r="J1335" s="0" t="inlineStr">
        <is>
          <t>YES! 主键相关索引</t>
        </is>
      </c>
      <c r="K1335" s="0" t="inlineStr">
        <is>
          <t>YES! 	 id列源备映射正确，源端为int None位	期望更改为int	实际备端为int None位</t>
        </is>
      </c>
    </row>
    <row r="1336">
      <c r="B1336" s="0" t="inlineStr">
        <is>
          <t>NULL</t>
        </is>
      </c>
      <c r="C1336" s="0" t="inlineStr">
        <is>
          <t>NULL</t>
        </is>
      </c>
      <c r="D1336" s="0" t="inlineStr">
        <is>
          <t>NULL</t>
        </is>
      </c>
      <c r="E1336" s="0" t="inlineStr">
        <is>
          <t>NULL</t>
        </is>
      </c>
      <c r="F1336" s="0" t="inlineStr">
        <is>
          <t>NULL</t>
        </is>
      </c>
      <c r="G1336" s="0" t="inlineStr">
        <is>
          <t>NULL</t>
        </is>
      </c>
      <c r="H1336" s="0" t="inlineStr">
        <is>
          <t>NULL</t>
        </is>
      </c>
      <c r="I1336" s="0" t="inlineStr">
        <is>
          <t>NULL</t>
        </is>
      </c>
      <c r="J1336" s="0" t="inlineStr">
        <is>
          <t>NULL</t>
        </is>
      </c>
      <c r="K1336" s="0" t="inlineStr">
        <is>
          <t>YES! 	 c_varchar_max列源备映射正确，源端为varchar -1位	期望更改为varchar(n)	实际备端为varchar -1位</t>
        </is>
      </c>
    </row>
    <row r="1337">
      <c r="B1337" s="0" t="inlineStr">
        <is>
          <t>NULL</t>
        </is>
      </c>
      <c r="C1337" s="0" t="inlineStr">
        <is>
          <t>NULL</t>
        </is>
      </c>
      <c r="D1337" s="0" t="inlineStr">
        <is>
          <t>NULL</t>
        </is>
      </c>
      <c r="E1337" s="0" t="inlineStr">
        <is>
          <t>NULL</t>
        </is>
      </c>
      <c r="F1337" s="0" t="inlineStr">
        <is>
          <t>NULL</t>
        </is>
      </c>
      <c r="G1337" s="0" t="inlineStr">
        <is>
          <t>NULL</t>
        </is>
      </c>
      <c r="H1337" s="0" t="inlineStr">
        <is>
          <t>NULL</t>
        </is>
      </c>
      <c r="I1337" s="0" t="inlineStr">
        <is>
          <t>NULL</t>
        </is>
      </c>
      <c r="J1337" s="0" t="inlineStr">
        <is>
          <t>NULL</t>
        </is>
      </c>
      <c r="K1337" s="0" t="inlineStr">
        <is>
          <t>YES! 	 c_nvarchar_max列源备映射正确，源端为nvarchar -1位	期望更改为nvarchar(n)	实际备端为nvarchar -1位</t>
        </is>
      </c>
    </row>
    <row r="1338">
      <c r="K1338" s="0" t="inlineStr">
        <is>
          <t>~ 空表</t>
        </is>
      </c>
    </row>
    <row r="1339">
      <c r="A1339" s="0" t="inlineStr">
        <is>
          <t>info_datetime2_dml_single_pk_drp</t>
        </is>
      </c>
      <c r="K1339" s="0" t="inlineStr">
        <is>
          <t>[0;34m info_datetime2_dml_single_pk_drp [0m源备字段数相同，源端字段：9 	备端字段9</t>
        </is>
      </c>
      <c r="W1339" s="0" t="inlineStr">
        <is>
          <t>YES 源备无差异</t>
        </is>
      </c>
      <c r="X1339" s="0">
        <f>A1339</f>
        <v/>
      </c>
    </row>
    <row r="1340">
      <c r="B1340" s="0" t="inlineStr">
        <is>
          <t>YES</t>
        </is>
      </c>
      <c r="C1340" s="0" t="inlineStr">
        <is>
          <t>NULL</t>
        </is>
      </c>
      <c r="D1340" s="0" t="inlineStr">
        <is>
          <t>NULL</t>
        </is>
      </c>
      <c r="E1340" s="0" t="inlineStr">
        <is>
          <t>NULL</t>
        </is>
      </c>
      <c r="F1340" s="0" t="inlineStr">
        <is>
          <t>NULL</t>
        </is>
      </c>
      <c r="G1340" s="0" t="inlineStr">
        <is>
          <t>NULL</t>
        </is>
      </c>
      <c r="H1340" s="0" t="inlineStr">
        <is>
          <t>NULL</t>
        </is>
      </c>
      <c r="I1340" s="0" t="inlineStr">
        <is>
          <t>YES!PK__info_dat__3213E83FF3CB7347</t>
        </is>
      </c>
      <c r="J1340" s="0" t="inlineStr">
        <is>
          <t>YES! 主键相关索引</t>
        </is>
      </c>
      <c r="K1340" s="0" t="inlineStr">
        <is>
          <t>YES! 	 id列源备映射正确，源端为int None位	期望更改为int	实际备端为int None位</t>
        </is>
      </c>
    </row>
    <row r="1341">
      <c r="B1341" s="0" t="inlineStr">
        <is>
          <t>NULL</t>
        </is>
      </c>
      <c r="C1341" s="0" t="inlineStr">
        <is>
          <t>NULL</t>
        </is>
      </c>
      <c r="D1341" s="0" t="inlineStr">
        <is>
          <t>NULL</t>
        </is>
      </c>
      <c r="E1341" s="0" t="inlineStr">
        <is>
          <t>NULL</t>
        </is>
      </c>
      <c r="F1341" s="0" t="inlineStr">
        <is>
          <t>NULL</t>
        </is>
      </c>
      <c r="G1341" s="0" t="inlineStr">
        <is>
          <t>NULL</t>
        </is>
      </c>
      <c r="H1341" s="0" t="inlineStr">
        <is>
          <t>NULL</t>
        </is>
      </c>
      <c r="I1341" s="0" t="inlineStr">
        <is>
          <t>NULL</t>
        </is>
      </c>
      <c r="J1341" s="0" t="inlineStr">
        <is>
          <t>NULL</t>
        </is>
      </c>
      <c r="K1341" s="0" t="inlineStr">
        <is>
          <t>no,len不存在</t>
        </is>
      </c>
    </row>
    <row r="1342">
      <c r="B1342" s="0" t="inlineStr">
        <is>
          <t>NULL</t>
        </is>
      </c>
      <c r="C1342" s="0" t="inlineStr">
        <is>
          <t>NULL</t>
        </is>
      </c>
      <c r="D1342" s="0" t="inlineStr">
        <is>
          <t>NULL</t>
        </is>
      </c>
      <c r="E1342" s="0" t="inlineStr">
        <is>
          <t>NULL</t>
        </is>
      </c>
      <c r="F1342" s="0" t="inlineStr">
        <is>
          <t>NULL</t>
        </is>
      </c>
      <c r="G1342" s="0" t="inlineStr">
        <is>
          <t>NULL</t>
        </is>
      </c>
      <c r="H1342" s="0" t="inlineStr">
        <is>
          <t>NULL</t>
        </is>
      </c>
      <c r="I1342" s="0" t="inlineStr">
        <is>
          <t>NULL</t>
        </is>
      </c>
      <c r="J1342" s="0" t="inlineStr">
        <is>
          <t>NULL</t>
        </is>
      </c>
      <c r="K1342" s="0" t="inlineStr">
        <is>
          <t>YES! 	 c_dt2_1列源备映射正确，源端为datetime2 None位	期望更改为datetime2(n)	实际备端为datetime2 None位</t>
        </is>
      </c>
    </row>
    <row r="1343">
      <c r="B1343" s="0" t="inlineStr">
        <is>
          <t>NULL</t>
        </is>
      </c>
      <c r="C1343" s="0" t="inlineStr">
        <is>
          <t>NULL</t>
        </is>
      </c>
      <c r="D1343" s="0" t="inlineStr">
        <is>
          <t>NULL</t>
        </is>
      </c>
      <c r="E1343" s="0" t="inlineStr">
        <is>
          <t>NULL</t>
        </is>
      </c>
      <c r="F1343" s="0" t="inlineStr">
        <is>
          <t>NULL</t>
        </is>
      </c>
      <c r="G1343" s="0" t="inlineStr">
        <is>
          <t>NULL</t>
        </is>
      </c>
      <c r="H1343" s="0" t="inlineStr">
        <is>
          <t>NULL</t>
        </is>
      </c>
      <c r="I1343" s="0" t="inlineStr">
        <is>
          <t>NULL</t>
        </is>
      </c>
      <c r="J1343" s="0" t="inlineStr">
        <is>
          <t>NULL</t>
        </is>
      </c>
      <c r="K1343" s="0" t="inlineStr">
        <is>
          <t>YES! 	 c_dt2_2列源备映射正确，源端为datetime2 None位	期望更改为datetime2(n)	实际备端为datetime2 None位</t>
        </is>
      </c>
    </row>
    <row r="1344">
      <c r="B1344" s="0" t="inlineStr">
        <is>
          <t>NULL</t>
        </is>
      </c>
      <c r="C1344" s="0" t="inlineStr">
        <is>
          <t>NULL</t>
        </is>
      </c>
      <c r="D1344" s="0" t="inlineStr">
        <is>
          <t>NULL</t>
        </is>
      </c>
      <c r="E1344" s="0" t="inlineStr">
        <is>
          <t>NULL</t>
        </is>
      </c>
      <c r="F1344" s="0" t="inlineStr">
        <is>
          <t>NULL</t>
        </is>
      </c>
      <c r="G1344" s="0" t="inlineStr">
        <is>
          <t>NULL</t>
        </is>
      </c>
      <c r="H1344" s="0" t="inlineStr">
        <is>
          <t>NULL</t>
        </is>
      </c>
      <c r="I1344" s="0" t="inlineStr">
        <is>
          <t>NULL</t>
        </is>
      </c>
      <c r="J1344" s="0" t="inlineStr">
        <is>
          <t>NULL</t>
        </is>
      </c>
      <c r="K1344" s="0" t="inlineStr">
        <is>
          <t>YES! 	 c_dt2_3列源备映射正确，源端为datetime2 None位	期望更改为datetime2(n)	实际备端为datetime2 None位</t>
        </is>
      </c>
    </row>
    <row r="1345">
      <c r="B1345" s="0" t="inlineStr">
        <is>
          <t>NULL</t>
        </is>
      </c>
      <c r="C1345" s="0" t="inlineStr">
        <is>
          <t>NULL</t>
        </is>
      </c>
      <c r="D1345" s="0" t="inlineStr">
        <is>
          <t>NULL</t>
        </is>
      </c>
      <c r="E1345" s="0" t="inlineStr">
        <is>
          <t>NULL</t>
        </is>
      </c>
      <c r="F1345" s="0" t="inlineStr">
        <is>
          <t>NULL</t>
        </is>
      </c>
      <c r="G1345" s="0" t="inlineStr">
        <is>
          <t>NULL</t>
        </is>
      </c>
      <c r="H1345" s="0" t="inlineStr">
        <is>
          <t>NULL</t>
        </is>
      </c>
      <c r="I1345" s="0" t="inlineStr">
        <is>
          <t>NULL</t>
        </is>
      </c>
      <c r="J1345" s="0" t="inlineStr">
        <is>
          <t>NULL</t>
        </is>
      </c>
      <c r="K1345" s="0" t="inlineStr">
        <is>
          <t>YES! 	 c_dt2_4列源备映射正确，源端为datetime2 None位	期望更改为datetime2(n)	实际备端为datetime2 None位</t>
        </is>
      </c>
    </row>
    <row r="1346">
      <c r="B1346" s="0" t="inlineStr">
        <is>
          <t>NULL</t>
        </is>
      </c>
      <c r="C1346" s="0" t="inlineStr">
        <is>
          <t>NULL</t>
        </is>
      </c>
      <c r="D1346" s="0" t="inlineStr">
        <is>
          <t>NULL</t>
        </is>
      </c>
      <c r="E1346" s="0" t="inlineStr">
        <is>
          <t>NULL</t>
        </is>
      </c>
      <c r="F1346" s="0" t="inlineStr">
        <is>
          <t>NULL</t>
        </is>
      </c>
      <c r="G1346" s="0" t="inlineStr">
        <is>
          <t>NULL</t>
        </is>
      </c>
      <c r="H1346" s="0" t="inlineStr">
        <is>
          <t>NULL</t>
        </is>
      </c>
      <c r="I1346" s="0" t="inlineStr">
        <is>
          <t>NULL</t>
        </is>
      </c>
      <c r="J1346" s="0" t="inlineStr">
        <is>
          <t>NULL</t>
        </is>
      </c>
      <c r="K1346" s="0" t="inlineStr">
        <is>
          <t>YES! 	 c_dt2_5列源备映射正确，源端为datetime2 None位	期望更改为datetime2(n)	实际备端为datetime2 None位</t>
        </is>
      </c>
    </row>
    <row r="1347">
      <c r="B1347" s="0" t="inlineStr">
        <is>
          <t>NULL</t>
        </is>
      </c>
      <c r="C1347" s="0" t="inlineStr">
        <is>
          <t>NULL</t>
        </is>
      </c>
      <c r="D1347" s="0" t="inlineStr">
        <is>
          <t>NULL</t>
        </is>
      </c>
      <c r="E1347" s="0" t="inlineStr">
        <is>
          <t>NULL</t>
        </is>
      </c>
      <c r="F1347" s="0" t="inlineStr">
        <is>
          <t>NULL</t>
        </is>
      </c>
      <c r="G1347" s="0" t="inlineStr">
        <is>
          <t>NULL</t>
        </is>
      </c>
      <c r="H1347" s="0" t="inlineStr">
        <is>
          <t>NULL</t>
        </is>
      </c>
      <c r="I1347" s="0" t="inlineStr">
        <is>
          <t>NULL</t>
        </is>
      </c>
      <c r="J1347" s="0" t="inlineStr">
        <is>
          <t>NULL</t>
        </is>
      </c>
      <c r="K1347" s="0" t="inlineStr">
        <is>
          <t>YES! 	 c_dt2_6列源备映射正确，源端为datetime2 None位	期望更改为datetime2(n)	实际备端为datetime2 None位</t>
        </is>
      </c>
    </row>
    <row r="1348">
      <c r="B1348" s="0" t="inlineStr">
        <is>
          <t>NULL</t>
        </is>
      </c>
      <c r="C1348" s="0" t="inlineStr">
        <is>
          <t>NULL</t>
        </is>
      </c>
      <c r="D1348" s="0" t="inlineStr">
        <is>
          <t>NULL</t>
        </is>
      </c>
      <c r="E1348" s="0" t="inlineStr">
        <is>
          <t>NULL</t>
        </is>
      </c>
      <c r="F1348" s="0" t="inlineStr">
        <is>
          <t>NULL</t>
        </is>
      </c>
      <c r="G1348" s="0" t="inlineStr">
        <is>
          <t>NULL</t>
        </is>
      </c>
      <c r="H1348" s="0" t="inlineStr">
        <is>
          <t>NULL</t>
        </is>
      </c>
      <c r="I1348" s="0" t="inlineStr">
        <is>
          <t>NULL</t>
        </is>
      </c>
      <c r="J1348" s="0" t="inlineStr">
        <is>
          <t>NULL</t>
        </is>
      </c>
      <c r="K1348" s="0" t="inlineStr">
        <is>
          <t>YES! 	 c_dt2列源备映射正确，源端为datetime2 None位	期望更改为datetime2(n)	实际备端为datetime2 None位</t>
        </is>
      </c>
    </row>
    <row r="1349">
      <c r="A1349" s="0" t="inlineStr">
        <is>
          <t>info_varbinary_dml_single_nopk</t>
        </is>
      </c>
      <c r="K1349" s="0" t="inlineStr">
        <is>
          <t>[0;34m info_varbinary_dml_single_nopk [0m源备字段数相同，源端字段：4 	备端字段4</t>
        </is>
      </c>
      <c r="W1349" s="0" t="inlineStr">
        <is>
          <t>YES 源备无差异</t>
        </is>
      </c>
      <c r="X1349" s="0">
        <f>A1349</f>
        <v/>
      </c>
    </row>
    <row r="1350">
      <c r="B1350" s="0" t="inlineStr">
        <is>
          <t>NULL</t>
        </is>
      </c>
      <c r="C1350" s="0" t="inlineStr">
        <is>
          <t>NULL</t>
        </is>
      </c>
      <c r="D1350" s="0" t="inlineStr">
        <is>
          <t>NULL</t>
        </is>
      </c>
      <c r="E1350" s="0" t="inlineStr">
        <is>
          <t>NULL</t>
        </is>
      </c>
      <c r="F1350" s="0" t="inlineStr">
        <is>
          <t>NULL</t>
        </is>
      </c>
      <c r="G1350" s="0" t="inlineStr">
        <is>
          <t>NULL</t>
        </is>
      </c>
      <c r="H1350" s="0" t="inlineStr">
        <is>
          <t>NULL</t>
        </is>
      </c>
      <c r="I1350" s="0" t="inlineStr">
        <is>
          <t>NULL</t>
        </is>
      </c>
      <c r="J1350" s="0" t="inlineStr">
        <is>
          <t>NULL</t>
        </is>
      </c>
      <c r="K1350" s="0" t="inlineStr">
        <is>
          <t>YES! 	 id列源备映射正确，源端为int None位	期望更改为int	实际备端为int None位</t>
        </is>
      </c>
    </row>
    <row r="1351">
      <c r="B1351" s="0" t="inlineStr">
        <is>
          <t>NULL</t>
        </is>
      </c>
      <c r="C1351" s="0" t="inlineStr">
        <is>
          <t>NULL</t>
        </is>
      </c>
      <c r="D1351" s="0" t="inlineStr">
        <is>
          <t>NULL</t>
        </is>
      </c>
      <c r="E1351" s="0" t="inlineStr">
        <is>
          <t>NULL</t>
        </is>
      </c>
      <c r="F1351" s="0" t="inlineStr">
        <is>
          <t>NULL</t>
        </is>
      </c>
      <c r="G1351" s="0" t="inlineStr">
        <is>
          <t>NULL</t>
        </is>
      </c>
      <c r="H1351" s="0" t="inlineStr">
        <is>
          <t>NULL</t>
        </is>
      </c>
      <c r="I1351" s="0" t="inlineStr">
        <is>
          <t>NULL</t>
        </is>
      </c>
      <c r="J1351" s="0" t="inlineStr">
        <is>
          <t>NULL</t>
        </is>
      </c>
      <c r="K1351" s="0" t="inlineStr">
        <is>
          <t>YES! 	 c_varbinary列源备映射正确，源端为varbinary 1位	期望更改为varbinary(n)	实际备端为varbinary 1位</t>
        </is>
      </c>
    </row>
    <row r="1352">
      <c r="B1352" s="0" t="inlineStr">
        <is>
          <t>NULL</t>
        </is>
      </c>
      <c r="C1352" s="0" t="inlineStr">
        <is>
          <t>NULL</t>
        </is>
      </c>
      <c r="D1352" s="0" t="inlineStr">
        <is>
          <t>NULL</t>
        </is>
      </c>
      <c r="E1352" s="0" t="inlineStr">
        <is>
          <t>NULL</t>
        </is>
      </c>
      <c r="F1352" s="0" t="inlineStr">
        <is>
          <t>NULL</t>
        </is>
      </c>
      <c r="G1352" s="0" t="inlineStr">
        <is>
          <t>NULL</t>
        </is>
      </c>
      <c r="H1352" s="0" t="inlineStr">
        <is>
          <t>NULL</t>
        </is>
      </c>
      <c r="I1352" s="0" t="inlineStr">
        <is>
          <t>NULL</t>
        </is>
      </c>
      <c r="J1352" s="0" t="inlineStr">
        <is>
          <t>NULL</t>
        </is>
      </c>
      <c r="K1352" s="0" t="inlineStr">
        <is>
          <t>YES! 	 c_varbinary_100列源备映射正确，源端为varbinary 20位	期望更改为varbinary(n)	实际备端为varbinary 20位</t>
        </is>
      </c>
    </row>
    <row r="1353">
      <c r="B1353" s="0" t="inlineStr">
        <is>
          <t>NULL</t>
        </is>
      </c>
      <c r="C1353" s="0" t="inlineStr">
        <is>
          <t>NULL</t>
        </is>
      </c>
      <c r="D1353" s="0" t="inlineStr">
        <is>
          <t>NULL</t>
        </is>
      </c>
      <c r="E1353" s="0" t="inlineStr">
        <is>
          <t>NULL</t>
        </is>
      </c>
      <c r="F1353" s="0" t="inlineStr">
        <is>
          <t>NULL</t>
        </is>
      </c>
      <c r="G1353" s="0" t="inlineStr">
        <is>
          <t>NULL</t>
        </is>
      </c>
      <c r="H1353" s="0" t="inlineStr">
        <is>
          <t>NULL</t>
        </is>
      </c>
      <c r="I1353" s="0" t="inlineStr">
        <is>
          <t>NULL</t>
        </is>
      </c>
      <c r="J1353" s="0" t="inlineStr">
        <is>
          <t>NULL</t>
        </is>
      </c>
      <c r="K1353" s="0" t="inlineStr">
        <is>
          <t>YES! 	 c_varbinary_8000列源备映射正确，源端为varbinary 8000位	期望更改为varbinary(n)	实际备端为varbinary 8000位</t>
        </is>
      </c>
    </row>
    <row r="1354">
      <c r="A1354" s="0" t="inlineStr">
        <is>
          <t>info_sdt_dml_single_nopk_drp</t>
        </is>
      </c>
      <c r="K1354" s="0" t="inlineStr">
        <is>
          <t>[0;34m info_sdt_dml_single_nopk_drp [0m源备字段数相同，源端字段：2 	备端字段2</t>
        </is>
      </c>
      <c r="W1354" s="0" t="inlineStr">
        <is>
          <t>YES 源备无差异</t>
        </is>
      </c>
      <c r="X1354" s="0">
        <f>A1354</f>
        <v/>
      </c>
    </row>
    <row r="1355">
      <c r="B1355" s="0" t="inlineStr">
        <is>
          <t>NULL</t>
        </is>
      </c>
      <c r="C1355" s="0" t="inlineStr">
        <is>
          <t>NULL</t>
        </is>
      </c>
      <c r="D1355" s="0" t="inlineStr">
        <is>
          <t>NULL</t>
        </is>
      </c>
      <c r="E1355" s="0" t="inlineStr">
        <is>
          <t>NULL</t>
        </is>
      </c>
      <c r="F1355" s="0" t="inlineStr">
        <is>
          <t>NULL</t>
        </is>
      </c>
      <c r="G1355" s="0" t="inlineStr">
        <is>
          <t>NULL</t>
        </is>
      </c>
      <c r="H1355" s="0" t="inlineStr">
        <is>
          <t>NULL</t>
        </is>
      </c>
      <c r="I1355" s="0" t="inlineStr">
        <is>
          <t>NULL</t>
        </is>
      </c>
      <c r="J1355" s="0" t="inlineStr">
        <is>
          <t>NULL</t>
        </is>
      </c>
      <c r="K1355" s="0" t="inlineStr">
        <is>
          <t>YES! 	 id列源备映射正确，源端为int None位	期望更改为int	实际备端为int None位</t>
        </is>
      </c>
    </row>
    <row r="1356">
      <c r="B1356" s="0" t="inlineStr">
        <is>
          <t>NULL</t>
        </is>
      </c>
      <c r="C1356" s="0" t="inlineStr">
        <is>
          <t>NULL</t>
        </is>
      </c>
      <c r="D1356" s="0" t="inlineStr">
        <is>
          <t>NULL</t>
        </is>
      </c>
      <c r="E1356" s="0" t="inlineStr">
        <is>
          <t>NULL</t>
        </is>
      </c>
      <c r="F1356" s="0" t="inlineStr">
        <is>
          <t>NULL</t>
        </is>
      </c>
      <c r="G1356" s="0" t="inlineStr">
        <is>
          <t>NULL</t>
        </is>
      </c>
      <c r="H1356" s="0" t="inlineStr">
        <is>
          <t>NULL</t>
        </is>
      </c>
      <c r="I1356" s="0" t="inlineStr">
        <is>
          <t>NULL</t>
        </is>
      </c>
      <c r="J1356" s="0" t="inlineStr">
        <is>
          <t>NULL</t>
        </is>
      </c>
      <c r="K1356" s="0" t="inlineStr">
        <is>
          <t>YES! 	 c_sdt列源备映射正确，源端为smalldatetime None位	期望更改为smalldatetime	实际备端为smalldatetime None位</t>
        </is>
      </c>
    </row>
    <row r="1357">
      <c r="A1357" s="0" t="inlineStr">
        <is>
          <t>info_datetimeoffset_dml_batch1_pk_urp2</t>
        </is>
      </c>
      <c r="K1357" s="0" t="inlineStr">
        <is>
          <t>[0;34m info_datetimeoffset_dml_batch1_pk_urp2 [0m源备字段数相同，源端字段：9 	备端字段9</t>
        </is>
      </c>
      <c r="W1357" s="0" t="inlineStr">
        <is>
          <t>YES 源备无差异</t>
        </is>
      </c>
      <c r="X1357" s="0">
        <f>A1357</f>
        <v/>
      </c>
    </row>
    <row r="1358">
      <c r="B1358" s="0" t="inlineStr">
        <is>
          <t>YES</t>
        </is>
      </c>
      <c r="C1358" s="0" t="inlineStr">
        <is>
          <t>NULL</t>
        </is>
      </c>
      <c r="D1358" s="0" t="inlineStr">
        <is>
          <t>NULL</t>
        </is>
      </c>
      <c r="E1358" s="0" t="inlineStr">
        <is>
          <t>NULL</t>
        </is>
      </c>
      <c r="F1358" s="0" t="inlineStr">
        <is>
          <t>NULL</t>
        </is>
      </c>
      <c r="G1358" s="0" t="inlineStr">
        <is>
          <t>NULL</t>
        </is>
      </c>
      <c r="H1358" s="0" t="inlineStr">
        <is>
          <t>NULL</t>
        </is>
      </c>
      <c r="I1358" s="0" t="inlineStr">
        <is>
          <t>YES!PK__info_dat__3213E83F54E654A8</t>
        </is>
      </c>
      <c r="J1358" s="0" t="inlineStr">
        <is>
          <t>YES! 主键相关索引</t>
        </is>
      </c>
      <c r="K1358" s="0" t="inlineStr">
        <is>
          <t>YES! 	 id列源备映射正确，源端为int None位	期望更改为int	实际备端为int None位</t>
        </is>
      </c>
    </row>
    <row r="1359">
      <c r="B1359" s="0" t="inlineStr">
        <is>
          <t>NULL</t>
        </is>
      </c>
      <c r="C1359" s="0" t="inlineStr">
        <is>
          <t>NULL</t>
        </is>
      </c>
      <c r="D1359" s="0" t="inlineStr">
        <is>
          <t>NULL</t>
        </is>
      </c>
      <c r="E1359" s="0" t="inlineStr">
        <is>
          <t>NULL</t>
        </is>
      </c>
      <c r="F1359" s="0" t="inlineStr">
        <is>
          <t>NULL</t>
        </is>
      </c>
      <c r="G1359" s="0" t="inlineStr">
        <is>
          <t>NULL</t>
        </is>
      </c>
      <c r="H1359" s="0" t="inlineStr">
        <is>
          <t>NULL</t>
        </is>
      </c>
      <c r="I1359" s="0" t="inlineStr">
        <is>
          <t>NULL</t>
        </is>
      </c>
      <c r="J1359" s="0" t="inlineStr">
        <is>
          <t>NULL</t>
        </is>
      </c>
      <c r="K1359" s="0" t="inlineStr">
        <is>
          <t>no,len不存在</t>
        </is>
      </c>
    </row>
    <row r="1360">
      <c r="B1360" s="0" t="inlineStr">
        <is>
          <t>NULL</t>
        </is>
      </c>
      <c r="C1360" s="0" t="inlineStr">
        <is>
          <t>NULL</t>
        </is>
      </c>
      <c r="D1360" s="0" t="inlineStr">
        <is>
          <t>NULL</t>
        </is>
      </c>
      <c r="E1360" s="0" t="inlineStr">
        <is>
          <t>NULL</t>
        </is>
      </c>
      <c r="F1360" s="0" t="inlineStr">
        <is>
          <t>NULL</t>
        </is>
      </c>
      <c r="G1360" s="0" t="inlineStr">
        <is>
          <t>NULL</t>
        </is>
      </c>
      <c r="H1360" s="0" t="inlineStr">
        <is>
          <t>NULL</t>
        </is>
      </c>
      <c r="I1360" s="0" t="inlineStr">
        <is>
          <t>NULL</t>
        </is>
      </c>
      <c r="J1360" s="0" t="inlineStr">
        <is>
          <t>NULL</t>
        </is>
      </c>
      <c r="K1360" s="0" t="inlineStr">
        <is>
          <t>YES! 	 c_dtoffset_1列源备映射正确，源端为datetimeoffset None位	期望更改为datetimeoffset(n)	实际备端为datetimeoffset None位</t>
        </is>
      </c>
    </row>
    <row r="1361">
      <c r="B1361" s="0" t="inlineStr">
        <is>
          <t>NULL</t>
        </is>
      </c>
      <c r="C1361" s="0" t="inlineStr">
        <is>
          <t>NULL</t>
        </is>
      </c>
      <c r="D1361" s="0" t="inlineStr">
        <is>
          <t>NULL</t>
        </is>
      </c>
      <c r="E1361" s="0" t="inlineStr">
        <is>
          <t>NULL</t>
        </is>
      </c>
      <c r="F1361" s="0" t="inlineStr">
        <is>
          <t>NULL</t>
        </is>
      </c>
      <c r="G1361" s="0" t="inlineStr">
        <is>
          <t>NULL</t>
        </is>
      </c>
      <c r="H1361" s="0" t="inlineStr">
        <is>
          <t>NULL</t>
        </is>
      </c>
      <c r="I1361" s="0" t="inlineStr">
        <is>
          <t>NULL</t>
        </is>
      </c>
      <c r="J1361" s="0" t="inlineStr">
        <is>
          <t>NULL</t>
        </is>
      </c>
      <c r="K1361" s="0" t="inlineStr">
        <is>
          <t>YES! 	 c_dtoffset_2列源备映射正确，源端为datetimeoffset None位	期望更改为datetimeoffset(n)	实际备端为datetimeoffset None位</t>
        </is>
      </c>
    </row>
    <row r="1362">
      <c r="B1362" s="0" t="inlineStr">
        <is>
          <t>NULL</t>
        </is>
      </c>
      <c r="C1362" s="0" t="inlineStr">
        <is>
          <t>NULL</t>
        </is>
      </c>
      <c r="D1362" s="0" t="inlineStr">
        <is>
          <t>NULL</t>
        </is>
      </c>
      <c r="E1362" s="0" t="inlineStr">
        <is>
          <t>NULL</t>
        </is>
      </c>
      <c r="F1362" s="0" t="inlineStr">
        <is>
          <t>NULL</t>
        </is>
      </c>
      <c r="G1362" s="0" t="inlineStr">
        <is>
          <t>NULL</t>
        </is>
      </c>
      <c r="H1362" s="0" t="inlineStr">
        <is>
          <t>NULL</t>
        </is>
      </c>
      <c r="I1362" s="0" t="inlineStr">
        <is>
          <t>NULL</t>
        </is>
      </c>
      <c r="J1362" s="0" t="inlineStr">
        <is>
          <t>NULL</t>
        </is>
      </c>
      <c r="K1362" s="0" t="inlineStr">
        <is>
          <t>YES! 	 c_dtoffset_3列源备映射正确，源端为datetimeoffset None位	期望更改为datetimeoffset(n)	实际备端为datetimeoffset None位</t>
        </is>
      </c>
    </row>
    <row r="1363">
      <c r="B1363" s="0" t="inlineStr">
        <is>
          <t>NULL</t>
        </is>
      </c>
      <c r="C1363" s="0" t="inlineStr">
        <is>
          <t>NULL</t>
        </is>
      </c>
      <c r="D1363" s="0" t="inlineStr">
        <is>
          <t>NULL</t>
        </is>
      </c>
      <c r="E1363" s="0" t="inlineStr">
        <is>
          <t>NULL</t>
        </is>
      </c>
      <c r="F1363" s="0" t="inlineStr">
        <is>
          <t>NULL</t>
        </is>
      </c>
      <c r="G1363" s="0" t="inlineStr">
        <is>
          <t>NULL</t>
        </is>
      </c>
      <c r="H1363" s="0" t="inlineStr">
        <is>
          <t>NULL</t>
        </is>
      </c>
      <c r="I1363" s="0" t="inlineStr">
        <is>
          <t>NULL</t>
        </is>
      </c>
      <c r="J1363" s="0" t="inlineStr">
        <is>
          <t>NULL</t>
        </is>
      </c>
      <c r="K1363" s="0" t="inlineStr">
        <is>
          <t>YES! 	 c_dtoffset_4列源备映射正确，源端为datetimeoffset None位	期望更改为datetimeoffset(n)	实际备端为datetimeoffset None位</t>
        </is>
      </c>
    </row>
    <row r="1364">
      <c r="B1364" s="0" t="inlineStr">
        <is>
          <t>NULL</t>
        </is>
      </c>
      <c r="C1364" s="0" t="inlineStr">
        <is>
          <t>NULL</t>
        </is>
      </c>
      <c r="D1364" s="0" t="inlineStr">
        <is>
          <t>NULL</t>
        </is>
      </c>
      <c r="E1364" s="0" t="inlineStr">
        <is>
          <t>NULL</t>
        </is>
      </c>
      <c r="F1364" s="0" t="inlineStr">
        <is>
          <t>NULL</t>
        </is>
      </c>
      <c r="G1364" s="0" t="inlineStr">
        <is>
          <t>NULL</t>
        </is>
      </c>
      <c r="H1364" s="0" t="inlineStr">
        <is>
          <t>NULL</t>
        </is>
      </c>
      <c r="I1364" s="0" t="inlineStr">
        <is>
          <t>NULL</t>
        </is>
      </c>
      <c r="J1364" s="0" t="inlineStr">
        <is>
          <t>NULL</t>
        </is>
      </c>
      <c r="K1364" s="0" t="inlineStr">
        <is>
          <t>YES! 	 c_dtoffset_5列源备映射正确，源端为datetimeoffset None位	期望更改为datetimeoffset(n)	实际备端为datetimeoffset None位</t>
        </is>
      </c>
    </row>
    <row r="1365">
      <c r="B1365" s="0" t="inlineStr">
        <is>
          <t>NULL</t>
        </is>
      </c>
      <c r="C1365" s="0" t="inlineStr">
        <is>
          <t>NULL</t>
        </is>
      </c>
      <c r="D1365" s="0" t="inlineStr">
        <is>
          <t>NULL</t>
        </is>
      </c>
      <c r="E1365" s="0" t="inlineStr">
        <is>
          <t>NULL</t>
        </is>
      </c>
      <c r="F1365" s="0" t="inlineStr">
        <is>
          <t>NULL</t>
        </is>
      </c>
      <c r="G1365" s="0" t="inlineStr">
        <is>
          <t>NULL</t>
        </is>
      </c>
      <c r="H1365" s="0" t="inlineStr">
        <is>
          <t>NULL</t>
        </is>
      </c>
      <c r="I1365" s="0" t="inlineStr">
        <is>
          <t>NULL</t>
        </is>
      </c>
      <c r="J1365" s="0" t="inlineStr">
        <is>
          <t>NULL</t>
        </is>
      </c>
      <c r="K1365" s="0" t="inlineStr">
        <is>
          <t>YES! 	 c_dtoffset_6列源备映射正确，源端为datetimeoffset None位	期望更改为datetimeoffset(n)	实际备端为datetimeoffset None位</t>
        </is>
      </c>
    </row>
    <row r="1366">
      <c r="B1366" s="0" t="inlineStr">
        <is>
          <t>NULL</t>
        </is>
      </c>
      <c r="C1366" s="0" t="inlineStr">
        <is>
          <t>NULL</t>
        </is>
      </c>
      <c r="D1366" s="0" t="inlineStr">
        <is>
          <t>NULL</t>
        </is>
      </c>
      <c r="E1366" s="0" t="inlineStr">
        <is>
          <t>NULL</t>
        </is>
      </c>
      <c r="F1366" s="0" t="inlineStr">
        <is>
          <t>NULL</t>
        </is>
      </c>
      <c r="G1366" s="0" t="inlineStr">
        <is>
          <t>NULL</t>
        </is>
      </c>
      <c r="H1366" s="0" t="inlineStr">
        <is>
          <t>NULL</t>
        </is>
      </c>
      <c r="I1366" s="0" t="inlineStr">
        <is>
          <t>NULL</t>
        </is>
      </c>
      <c r="J1366" s="0" t="inlineStr">
        <is>
          <t>NULL</t>
        </is>
      </c>
      <c r="K1366" s="0" t="inlineStr">
        <is>
          <t>YES! 	 c_dtoffset列源备映射正确，源端为datetimeoffset None位	期望更改为datetimeoffset(n)	实际备端为datetimeoffset None位</t>
        </is>
      </c>
    </row>
    <row r="1367">
      <c r="A1367" s="0" t="inlineStr">
        <is>
          <t>info_sdt_dml_single_nopk</t>
        </is>
      </c>
      <c r="K1367" s="0" t="inlineStr">
        <is>
          <t>[0;34m info_sdt_dml_single_nopk [0m源备字段数相同，源端字段：2 	备端字段2</t>
        </is>
      </c>
      <c r="W1367" s="0" t="inlineStr">
        <is>
          <t>YES 源备无差异</t>
        </is>
      </c>
      <c r="X1367" s="0">
        <f>A1367</f>
        <v/>
      </c>
    </row>
    <row r="1368">
      <c r="B1368" s="0" t="inlineStr">
        <is>
          <t>NULL</t>
        </is>
      </c>
      <c r="C1368" s="0" t="inlineStr">
        <is>
          <t>NULL</t>
        </is>
      </c>
      <c r="D1368" s="0" t="inlineStr">
        <is>
          <t>NULL</t>
        </is>
      </c>
      <c r="E1368" s="0" t="inlineStr">
        <is>
          <t>NULL</t>
        </is>
      </c>
      <c r="F1368" s="0" t="inlineStr">
        <is>
          <t>NULL</t>
        </is>
      </c>
      <c r="G1368" s="0" t="inlineStr">
        <is>
          <t>NULL</t>
        </is>
      </c>
      <c r="H1368" s="0" t="inlineStr">
        <is>
          <t>NULL</t>
        </is>
      </c>
      <c r="I1368" s="0" t="inlineStr">
        <is>
          <t>NULL</t>
        </is>
      </c>
      <c r="J1368" s="0" t="inlineStr">
        <is>
          <t>NULL</t>
        </is>
      </c>
      <c r="K1368" s="0" t="inlineStr">
        <is>
          <t>YES! 	 id列源备映射正确，源端为int None位	期望更改为int	实际备端为int None位</t>
        </is>
      </c>
    </row>
    <row r="1369">
      <c r="B1369" s="0" t="inlineStr">
        <is>
          <t>NULL</t>
        </is>
      </c>
      <c r="C1369" s="0" t="inlineStr">
        <is>
          <t>NULL</t>
        </is>
      </c>
      <c r="D1369" s="0" t="inlineStr">
        <is>
          <t>NULL</t>
        </is>
      </c>
      <c r="E1369" s="0" t="inlineStr">
        <is>
          <t>NULL</t>
        </is>
      </c>
      <c r="F1369" s="0" t="inlineStr">
        <is>
          <t>NULL</t>
        </is>
      </c>
      <c r="G1369" s="0" t="inlineStr">
        <is>
          <t>NULL</t>
        </is>
      </c>
      <c r="H1369" s="0" t="inlineStr">
        <is>
          <t>NULL</t>
        </is>
      </c>
      <c r="I1369" s="0" t="inlineStr">
        <is>
          <t>NULL</t>
        </is>
      </c>
      <c r="J1369" s="0" t="inlineStr">
        <is>
          <t>NULL</t>
        </is>
      </c>
      <c r="K1369" s="0" t="inlineStr">
        <is>
          <t>YES! 	 c_sdt列源备映射正确，源端为smalldatetime None位	期望更改为smalldatetime	实际备端为smalldatetime None位</t>
        </is>
      </c>
    </row>
    <row r="1370">
      <c r="A1370" s="0" t="inlineStr">
        <is>
          <t>info_varcharmax_dml_batch1_pk_irp2</t>
        </is>
      </c>
      <c r="K1370" s="0" t="inlineStr">
        <is>
          <t>[0;34m info_varcharmax_dml_batch1_pk_irp2 [0m源备字段数相同，源端字段：3 	备端字段3</t>
        </is>
      </c>
      <c r="W1370" s="0" t="inlineStr">
        <is>
          <t>YES 源备无差异</t>
        </is>
      </c>
      <c r="X1370" s="0">
        <f>A1370</f>
        <v/>
      </c>
    </row>
    <row r="1371">
      <c r="B1371" s="0" t="inlineStr">
        <is>
          <t>YES</t>
        </is>
      </c>
      <c r="C1371" s="0" t="inlineStr">
        <is>
          <t>NULL</t>
        </is>
      </c>
      <c r="D1371" s="0" t="inlineStr">
        <is>
          <t>NULL</t>
        </is>
      </c>
      <c r="E1371" s="0" t="inlineStr">
        <is>
          <t>NULL</t>
        </is>
      </c>
      <c r="F1371" s="0" t="inlineStr">
        <is>
          <t>NULL</t>
        </is>
      </c>
      <c r="G1371" s="0" t="inlineStr">
        <is>
          <t>NULL</t>
        </is>
      </c>
      <c r="H1371" s="0" t="inlineStr">
        <is>
          <t>NULL</t>
        </is>
      </c>
      <c r="I1371" s="0" t="inlineStr">
        <is>
          <t>YES!PK__info_var__3213E83F44B37052</t>
        </is>
      </c>
      <c r="J1371" s="0" t="inlineStr">
        <is>
          <t>YES! 主键相关索引</t>
        </is>
      </c>
      <c r="K1371" s="0" t="inlineStr">
        <is>
          <t>YES! 	 id列源备映射正确，源端为int None位	期望更改为int	实际备端为int None位</t>
        </is>
      </c>
    </row>
    <row r="1372">
      <c r="B1372" s="0" t="inlineStr">
        <is>
          <t>NULL</t>
        </is>
      </c>
      <c r="C1372" s="0" t="inlineStr">
        <is>
          <t>NULL</t>
        </is>
      </c>
      <c r="D1372" s="0" t="inlineStr">
        <is>
          <t>NULL</t>
        </is>
      </c>
      <c r="E1372" s="0" t="inlineStr">
        <is>
          <t>NULL</t>
        </is>
      </c>
      <c r="F1372" s="0" t="inlineStr">
        <is>
          <t>NULL</t>
        </is>
      </c>
      <c r="G1372" s="0" t="inlineStr">
        <is>
          <t>NULL</t>
        </is>
      </c>
      <c r="H1372" s="0" t="inlineStr">
        <is>
          <t>NULL</t>
        </is>
      </c>
      <c r="I1372" s="0" t="inlineStr">
        <is>
          <t>NULL</t>
        </is>
      </c>
      <c r="J1372" s="0" t="inlineStr">
        <is>
          <t>NULL</t>
        </is>
      </c>
      <c r="K1372" s="0" t="inlineStr">
        <is>
          <t>YES! 	 c_varchar_max列源备映射正确，源端为varchar -1位	期望更改为varchar(n)	实际备端为varchar -1位</t>
        </is>
      </c>
    </row>
    <row r="1373">
      <c r="B1373" s="0" t="inlineStr">
        <is>
          <t>NULL</t>
        </is>
      </c>
      <c r="C1373" s="0" t="inlineStr">
        <is>
          <t>NULL</t>
        </is>
      </c>
      <c r="D1373" s="0" t="inlineStr">
        <is>
          <t>NULL</t>
        </is>
      </c>
      <c r="E1373" s="0" t="inlineStr">
        <is>
          <t>NULL</t>
        </is>
      </c>
      <c r="F1373" s="0" t="inlineStr">
        <is>
          <t>NULL</t>
        </is>
      </c>
      <c r="G1373" s="0" t="inlineStr">
        <is>
          <t>NULL</t>
        </is>
      </c>
      <c r="H1373" s="0" t="inlineStr">
        <is>
          <t>NULL</t>
        </is>
      </c>
      <c r="I1373" s="0" t="inlineStr">
        <is>
          <t>NULL</t>
        </is>
      </c>
      <c r="J1373" s="0" t="inlineStr">
        <is>
          <t>NULL</t>
        </is>
      </c>
      <c r="K1373" s="0" t="inlineStr">
        <is>
          <t>YES! 	 c_nvarchar_max列源备映射正确，源端为nvarchar -1位	期望更改为nvarchar(n)	实际备端为nvarchar -1位</t>
        </is>
      </c>
    </row>
    <row r="1374">
      <c r="K1374" s="0" t="inlineStr">
        <is>
          <t>~ 空表</t>
        </is>
      </c>
    </row>
    <row r="1375">
      <c r="A1375" s="0" t="inlineStr">
        <is>
          <t>info_datetime2_dml_single_pk</t>
        </is>
      </c>
      <c r="K1375" s="0" t="inlineStr">
        <is>
          <t>[0;34m info_datetime2_dml_single_pk [0m源备字段数相同，源端字段：9 	备端字段9</t>
        </is>
      </c>
      <c r="W1375" s="0" t="inlineStr">
        <is>
          <t>YES 源备无差异</t>
        </is>
      </c>
      <c r="X1375" s="0">
        <f>A1375</f>
        <v/>
      </c>
    </row>
    <row r="1376">
      <c r="B1376" s="0" t="inlineStr">
        <is>
          <t>YES</t>
        </is>
      </c>
      <c r="C1376" s="0" t="inlineStr">
        <is>
          <t>NULL</t>
        </is>
      </c>
      <c r="D1376" s="0" t="inlineStr">
        <is>
          <t>NULL</t>
        </is>
      </c>
      <c r="E1376" s="0" t="inlineStr">
        <is>
          <t>NULL</t>
        </is>
      </c>
      <c r="F1376" s="0" t="inlineStr">
        <is>
          <t>NULL</t>
        </is>
      </c>
      <c r="G1376" s="0" t="inlineStr">
        <is>
          <t>NULL</t>
        </is>
      </c>
      <c r="H1376" s="0" t="inlineStr">
        <is>
          <t>NULL</t>
        </is>
      </c>
      <c r="I1376" s="0" t="inlineStr">
        <is>
          <t>YES!PK__info_dat__3213E83FBD2E2D87</t>
        </is>
      </c>
      <c r="J1376" s="0" t="inlineStr">
        <is>
          <t>YES! 主键相关索引</t>
        </is>
      </c>
      <c r="K1376" s="0" t="inlineStr">
        <is>
          <t>YES! 	 id列源备映射正确，源端为int None位	期望更改为int	实际备端为int None位</t>
        </is>
      </c>
    </row>
    <row r="1377">
      <c r="B1377" s="0" t="inlineStr">
        <is>
          <t>NULL</t>
        </is>
      </c>
      <c r="C1377" s="0" t="inlineStr">
        <is>
          <t>NULL</t>
        </is>
      </c>
      <c r="D1377" s="0" t="inlineStr">
        <is>
          <t>NULL</t>
        </is>
      </c>
      <c r="E1377" s="0" t="inlineStr">
        <is>
          <t>NULL</t>
        </is>
      </c>
      <c r="F1377" s="0" t="inlineStr">
        <is>
          <t>NULL</t>
        </is>
      </c>
      <c r="G1377" s="0" t="inlineStr">
        <is>
          <t>NULL</t>
        </is>
      </c>
      <c r="H1377" s="0" t="inlineStr">
        <is>
          <t>NULL</t>
        </is>
      </c>
      <c r="I1377" s="0" t="inlineStr">
        <is>
          <t>NULL</t>
        </is>
      </c>
      <c r="J1377" s="0" t="inlineStr">
        <is>
          <t>NULL</t>
        </is>
      </c>
      <c r="K1377" s="0" t="inlineStr">
        <is>
          <t>no,len不存在</t>
        </is>
      </c>
    </row>
    <row r="1378">
      <c r="B1378" s="0" t="inlineStr">
        <is>
          <t>NULL</t>
        </is>
      </c>
      <c r="C1378" s="0" t="inlineStr">
        <is>
          <t>NULL</t>
        </is>
      </c>
      <c r="D1378" s="0" t="inlineStr">
        <is>
          <t>NULL</t>
        </is>
      </c>
      <c r="E1378" s="0" t="inlineStr">
        <is>
          <t>NULL</t>
        </is>
      </c>
      <c r="F1378" s="0" t="inlineStr">
        <is>
          <t>NULL</t>
        </is>
      </c>
      <c r="G1378" s="0" t="inlineStr">
        <is>
          <t>NULL</t>
        </is>
      </c>
      <c r="H1378" s="0" t="inlineStr">
        <is>
          <t>NULL</t>
        </is>
      </c>
      <c r="I1378" s="0" t="inlineStr">
        <is>
          <t>NULL</t>
        </is>
      </c>
      <c r="J1378" s="0" t="inlineStr">
        <is>
          <t>NULL</t>
        </is>
      </c>
      <c r="K1378" s="0" t="inlineStr">
        <is>
          <t>YES! 	 c_dt2_1列源备映射正确，源端为datetime2 None位	期望更改为datetime2(n)	实际备端为datetime2 None位</t>
        </is>
      </c>
    </row>
    <row r="1379">
      <c r="B1379" s="0" t="inlineStr">
        <is>
          <t>NULL</t>
        </is>
      </c>
      <c r="C1379" s="0" t="inlineStr">
        <is>
          <t>NULL</t>
        </is>
      </c>
      <c r="D1379" s="0" t="inlineStr">
        <is>
          <t>NULL</t>
        </is>
      </c>
      <c r="E1379" s="0" t="inlineStr">
        <is>
          <t>NULL</t>
        </is>
      </c>
      <c r="F1379" s="0" t="inlineStr">
        <is>
          <t>NULL</t>
        </is>
      </c>
      <c r="G1379" s="0" t="inlineStr">
        <is>
          <t>NULL</t>
        </is>
      </c>
      <c r="H1379" s="0" t="inlineStr">
        <is>
          <t>NULL</t>
        </is>
      </c>
      <c r="I1379" s="0" t="inlineStr">
        <is>
          <t>NULL</t>
        </is>
      </c>
      <c r="J1379" s="0" t="inlineStr">
        <is>
          <t>NULL</t>
        </is>
      </c>
      <c r="K1379" s="0" t="inlineStr">
        <is>
          <t>YES! 	 c_dt2_2列源备映射正确，源端为datetime2 None位	期望更改为datetime2(n)	实际备端为datetime2 None位</t>
        </is>
      </c>
    </row>
    <row r="1380">
      <c r="B1380" s="0" t="inlineStr">
        <is>
          <t>NULL</t>
        </is>
      </c>
      <c r="C1380" s="0" t="inlineStr">
        <is>
          <t>NULL</t>
        </is>
      </c>
      <c r="D1380" s="0" t="inlineStr">
        <is>
          <t>NULL</t>
        </is>
      </c>
      <c r="E1380" s="0" t="inlineStr">
        <is>
          <t>NULL</t>
        </is>
      </c>
      <c r="F1380" s="0" t="inlineStr">
        <is>
          <t>NULL</t>
        </is>
      </c>
      <c r="G1380" s="0" t="inlineStr">
        <is>
          <t>NULL</t>
        </is>
      </c>
      <c r="H1380" s="0" t="inlineStr">
        <is>
          <t>NULL</t>
        </is>
      </c>
      <c r="I1380" s="0" t="inlineStr">
        <is>
          <t>NULL</t>
        </is>
      </c>
      <c r="J1380" s="0" t="inlineStr">
        <is>
          <t>NULL</t>
        </is>
      </c>
      <c r="K1380" s="0" t="inlineStr">
        <is>
          <t>YES! 	 c_dt2_3列源备映射正确，源端为datetime2 None位	期望更改为datetime2(n)	实际备端为datetime2 None位</t>
        </is>
      </c>
    </row>
    <row r="1381">
      <c r="B1381" s="0" t="inlineStr">
        <is>
          <t>NULL</t>
        </is>
      </c>
      <c r="C1381" s="0" t="inlineStr">
        <is>
          <t>NULL</t>
        </is>
      </c>
      <c r="D1381" s="0" t="inlineStr">
        <is>
          <t>NULL</t>
        </is>
      </c>
      <c r="E1381" s="0" t="inlineStr">
        <is>
          <t>NULL</t>
        </is>
      </c>
      <c r="F1381" s="0" t="inlineStr">
        <is>
          <t>NULL</t>
        </is>
      </c>
      <c r="G1381" s="0" t="inlineStr">
        <is>
          <t>NULL</t>
        </is>
      </c>
      <c r="H1381" s="0" t="inlineStr">
        <is>
          <t>NULL</t>
        </is>
      </c>
      <c r="I1381" s="0" t="inlineStr">
        <is>
          <t>NULL</t>
        </is>
      </c>
      <c r="J1381" s="0" t="inlineStr">
        <is>
          <t>NULL</t>
        </is>
      </c>
      <c r="K1381" s="0" t="inlineStr">
        <is>
          <t>YES! 	 c_dt2_4列源备映射正确，源端为datetime2 None位	期望更改为datetime2(n)	实际备端为datetime2 None位</t>
        </is>
      </c>
    </row>
    <row r="1382">
      <c r="B1382" s="0" t="inlineStr">
        <is>
          <t>NULL</t>
        </is>
      </c>
      <c r="C1382" s="0" t="inlineStr">
        <is>
          <t>NULL</t>
        </is>
      </c>
      <c r="D1382" s="0" t="inlineStr">
        <is>
          <t>NULL</t>
        </is>
      </c>
      <c r="E1382" s="0" t="inlineStr">
        <is>
          <t>NULL</t>
        </is>
      </c>
      <c r="F1382" s="0" t="inlineStr">
        <is>
          <t>NULL</t>
        </is>
      </c>
      <c r="G1382" s="0" t="inlineStr">
        <is>
          <t>NULL</t>
        </is>
      </c>
      <c r="H1382" s="0" t="inlineStr">
        <is>
          <t>NULL</t>
        </is>
      </c>
      <c r="I1382" s="0" t="inlineStr">
        <is>
          <t>NULL</t>
        </is>
      </c>
      <c r="J1382" s="0" t="inlineStr">
        <is>
          <t>NULL</t>
        </is>
      </c>
      <c r="K1382" s="0" t="inlineStr">
        <is>
          <t>YES! 	 c_dt2_5列源备映射正确，源端为datetime2 None位	期望更改为datetime2(n)	实际备端为datetime2 None位</t>
        </is>
      </c>
    </row>
    <row r="1383">
      <c r="B1383" s="0" t="inlineStr">
        <is>
          <t>NULL</t>
        </is>
      </c>
      <c r="C1383" s="0" t="inlineStr">
        <is>
          <t>NULL</t>
        </is>
      </c>
      <c r="D1383" s="0" t="inlineStr">
        <is>
          <t>NULL</t>
        </is>
      </c>
      <c r="E1383" s="0" t="inlineStr">
        <is>
          <t>NULL</t>
        </is>
      </c>
      <c r="F1383" s="0" t="inlineStr">
        <is>
          <t>NULL</t>
        </is>
      </c>
      <c r="G1383" s="0" t="inlineStr">
        <is>
          <t>NULL</t>
        </is>
      </c>
      <c r="H1383" s="0" t="inlineStr">
        <is>
          <t>NULL</t>
        </is>
      </c>
      <c r="I1383" s="0" t="inlineStr">
        <is>
          <t>NULL</t>
        </is>
      </c>
      <c r="J1383" s="0" t="inlineStr">
        <is>
          <t>NULL</t>
        </is>
      </c>
      <c r="K1383" s="0" t="inlineStr">
        <is>
          <t>YES! 	 c_dt2_6列源备映射正确，源端为datetime2 None位	期望更改为datetime2(n)	实际备端为datetime2 None位</t>
        </is>
      </c>
    </row>
    <row r="1384">
      <c r="B1384" s="0" t="inlineStr">
        <is>
          <t>NULL</t>
        </is>
      </c>
      <c r="C1384" s="0" t="inlineStr">
        <is>
          <t>NULL</t>
        </is>
      </c>
      <c r="D1384" s="0" t="inlineStr">
        <is>
          <t>NULL</t>
        </is>
      </c>
      <c r="E1384" s="0" t="inlineStr">
        <is>
          <t>NULL</t>
        </is>
      </c>
      <c r="F1384" s="0" t="inlineStr">
        <is>
          <t>NULL</t>
        </is>
      </c>
      <c r="G1384" s="0" t="inlineStr">
        <is>
          <t>NULL</t>
        </is>
      </c>
      <c r="H1384" s="0" t="inlineStr">
        <is>
          <t>NULL</t>
        </is>
      </c>
      <c r="I1384" s="0" t="inlineStr">
        <is>
          <t>NULL</t>
        </is>
      </c>
      <c r="J1384" s="0" t="inlineStr">
        <is>
          <t>NULL</t>
        </is>
      </c>
      <c r="K1384" s="0" t="inlineStr">
        <is>
          <t>YES! 	 c_dt2列源备映射正确，源端为datetime2 None位	期望更改为datetime2(n)	实际备端为datetime2 None位</t>
        </is>
      </c>
    </row>
    <row r="1385">
      <c r="A1385" s="0" t="inlineStr">
        <is>
          <t>info_datetime_dml_single_nopk_irp</t>
        </is>
      </c>
      <c r="K1385" s="0" t="inlineStr">
        <is>
          <t>[0;34m info_datetime_dml_single_nopk_irp [0m源备字段数相同，源端字段：2 	备端字段2</t>
        </is>
      </c>
      <c r="W1385" s="0" t="inlineStr">
        <is>
          <t>YES 源备无差异</t>
        </is>
      </c>
      <c r="X1385" s="0">
        <f>A1385</f>
        <v/>
      </c>
    </row>
    <row r="1386">
      <c r="B1386" s="0" t="inlineStr">
        <is>
          <t>NULL</t>
        </is>
      </c>
      <c r="C1386" s="0" t="inlineStr">
        <is>
          <t>NULL</t>
        </is>
      </c>
      <c r="D1386" s="0" t="inlineStr">
        <is>
          <t>NULL</t>
        </is>
      </c>
      <c r="E1386" s="0" t="inlineStr">
        <is>
          <t>NULL</t>
        </is>
      </c>
      <c r="F1386" s="0" t="inlineStr">
        <is>
          <t>NULL</t>
        </is>
      </c>
      <c r="G1386" s="0" t="inlineStr">
        <is>
          <t>NULL</t>
        </is>
      </c>
      <c r="H1386" s="0" t="inlineStr">
        <is>
          <t>NULL</t>
        </is>
      </c>
      <c r="I1386" s="0" t="inlineStr">
        <is>
          <t>NULL</t>
        </is>
      </c>
      <c r="J1386" s="0" t="inlineStr">
        <is>
          <t>NULL</t>
        </is>
      </c>
      <c r="K1386" s="0" t="inlineStr">
        <is>
          <t>YES! 	 id列源备映射正确，源端为int None位	期望更改为int	实际备端为int None位</t>
        </is>
      </c>
    </row>
    <row r="1387">
      <c r="B1387" s="0" t="inlineStr">
        <is>
          <t>NULL</t>
        </is>
      </c>
      <c r="C1387" s="0" t="inlineStr">
        <is>
          <t>NULL</t>
        </is>
      </c>
      <c r="D1387" s="0" t="inlineStr">
        <is>
          <t>NULL</t>
        </is>
      </c>
      <c r="E1387" s="0" t="inlineStr">
        <is>
          <t>NULL</t>
        </is>
      </c>
      <c r="F1387" s="0" t="inlineStr">
        <is>
          <t>NULL</t>
        </is>
      </c>
      <c r="G1387" s="0" t="inlineStr">
        <is>
          <t>NULL</t>
        </is>
      </c>
      <c r="H1387" s="0" t="inlineStr">
        <is>
          <t>NULL</t>
        </is>
      </c>
      <c r="I1387" s="0" t="inlineStr">
        <is>
          <t>NULL</t>
        </is>
      </c>
      <c r="J1387" s="0" t="inlineStr">
        <is>
          <t>NULL</t>
        </is>
      </c>
      <c r="K1387" s="0" t="inlineStr">
        <is>
          <t>YES! 	 c_datetime列源备映射正确，源端为datetime None位	期望更改为datetime	实际备端为datetime None位</t>
        </is>
      </c>
    </row>
    <row r="1388">
      <c r="A1388" s="0" t="inlineStr">
        <is>
          <t>info_datetimeoffset_dml_batch1_pk_drp1</t>
        </is>
      </c>
      <c r="K1388" s="0" t="inlineStr">
        <is>
          <t>[0;34m info_datetimeoffset_dml_batch1_pk_drp1 [0m源备字段数相同，源端字段：9 	备端字段9</t>
        </is>
      </c>
      <c r="W1388" s="0" t="inlineStr">
        <is>
          <t>YES 源备无差异</t>
        </is>
      </c>
      <c r="X1388" s="0">
        <f>A1388</f>
        <v/>
      </c>
    </row>
    <row r="1389">
      <c r="B1389" s="0" t="inlineStr">
        <is>
          <t>YES</t>
        </is>
      </c>
      <c r="C1389" s="0" t="inlineStr">
        <is>
          <t>NULL</t>
        </is>
      </c>
      <c r="D1389" s="0" t="inlineStr">
        <is>
          <t>NULL</t>
        </is>
      </c>
      <c r="E1389" s="0" t="inlineStr">
        <is>
          <t>NULL</t>
        </is>
      </c>
      <c r="F1389" s="0" t="inlineStr">
        <is>
          <t>NULL</t>
        </is>
      </c>
      <c r="G1389" s="0" t="inlineStr">
        <is>
          <t>NULL</t>
        </is>
      </c>
      <c r="H1389" s="0" t="inlineStr">
        <is>
          <t>NULL</t>
        </is>
      </c>
      <c r="I1389" s="0" t="inlineStr">
        <is>
          <t>YES!PK__info_dat__3213E83F0155A89F</t>
        </is>
      </c>
      <c r="J1389" s="0" t="inlineStr">
        <is>
          <t>YES! 主键相关索引</t>
        </is>
      </c>
      <c r="K1389" s="0" t="inlineStr">
        <is>
          <t>YES! 	 id列源备映射正确，源端为int None位	期望更改为int	实际备端为int None位</t>
        </is>
      </c>
    </row>
    <row r="1390">
      <c r="B1390" s="0" t="inlineStr">
        <is>
          <t>NULL</t>
        </is>
      </c>
      <c r="C1390" s="0" t="inlineStr">
        <is>
          <t>NULL</t>
        </is>
      </c>
      <c r="D1390" s="0" t="inlineStr">
        <is>
          <t>NULL</t>
        </is>
      </c>
      <c r="E1390" s="0" t="inlineStr">
        <is>
          <t>NULL</t>
        </is>
      </c>
      <c r="F1390" s="0" t="inlineStr">
        <is>
          <t>NULL</t>
        </is>
      </c>
      <c r="G1390" s="0" t="inlineStr">
        <is>
          <t>NULL</t>
        </is>
      </c>
      <c r="H1390" s="0" t="inlineStr">
        <is>
          <t>NULL</t>
        </is>
      </c>
      <c r="I1390" s="0" t="inlineStr">
        <is>
          <t>NULL</t>
        </is>
      </c>
      <c r="J1390" s="0" t="inlineStr">
        <is>
          <t>NULL</t>
        </is>
      </c>
      <c r="K1390" s="0" t="inlineStr">
        <is>
          <t>no,len不存在</t>
        </is>
      </c>
    </row>
    <row r="1391">
      <c r="B1391" s="0" t="inlineStr">
        <is>
          <t>NULL</t>
        </is>
      </c>
      <c r="C1391" s="0" t="inlineStr">
        <is>
          <t>NULL</t>
        </is>
      </c>
      <c r="D1391" s="0" t="inlineStr">
        <is>
          <t>NULL</t>
        </is>
      </c>
      <c r="E1391" s="0" t="inlineStr">
        <is>
          <t>NULL</t>
        </is>
      </c>
      <c r="F1391" s="0" t="inlineStr">
        <is>
          <t>NULL</t>
        </is>
      </c>
      <c r="G1391" s="0" t="inlineStr">
        <is>
          <t>NULL</t>
        </is>
      </c>
      <c r="H1391" s="0" t="inlineStr">
        <is>
          <t>NULL</t>
        </is>
      </c>
      <c r="I1391" s="0" t="inlineStr">
        <is>
          <t>NULL</t>
        </is>
      </c>
      <c r="J1391" s="0" t="inlineStr">
        <is>
          <t>NULL</t>
        </is>
      </c>
      <c r="K1391" s="0" t="inlineStr">
        <is>
          <t>YES! 	 c_dtoffset_1列源备映射正确，源端为datetimeoffset None位	期望更改为datetimeoffset(n)	实际备端为datetimeoffset None位</t>
        </is>
      </c>
    </row>
    <row r="1392">
      <c r="B1392" s="0" t="inlineStr">
        <is>
          <t>NULL</t>
        </is>
      </c>
      <c r="C1392" s="0" t="inlineStr">
        <is>
          <t>NULL</t>
        </is>
      </c>
      <c r="D1392" s="0" t="inlineStr">
        <is>
          <t>NULL</t>
        </is>
      </c>
      <c r="E1392" s="0" t="inlineStr">
        <is>
          <t>NULL</t>
        </is>
      </c>
      <c r="F1392" s="0" t="inlineStr">
        <is>
          <t>NULL</t>
        </is>
      </c>
      <c r="G1392" s="0" t="inlineStr">
        <is>
          <t>NULL</t>
        </is>
      </c>
      <c r="H1392" s="0" t="inlineStr">
        <is>
          <t>NULL</t>
        </is>
      </c>
      <c r="I1392" s="0" t="inlineStr">
        <is>
          <t>NULL</t>
        </is>
      </c>
      <c r="J1392" s="0" t="inlineStr">
        <is>
          <t>NULL</t>
        </is>
      </c>
      <c r="K1392" s="0" t="inlineStr">
        <is>
          <t>YES! 	 c_dtoffset_2列源备映射正确，源端为datetimeoffset None位	期望更改为datetimeoffset(n)	实际备端为datetimeoffset None位</t>
        </is>
      </c>
    </row>
    <row r="1393">
      <c r="B1393" s="0" t="inlineStr">
        <is>
          <t>NULL</t>
        </is>
      </c>
      <c r="C1393" s="0" t="inlineStr">
        <is>
          <t>NULL</t>
        </is>
      </c>
      <c r="D1393" s="0" t="inlineStr">
        <is>
          <t>NULL</t>
        </is>
      </c>
      <c r="E1393" s="0" t="inlineStr">
        <is>
          <t>NULL</t>
        </is>
      </c>
      <c r="F1393" s="0" t="inlineStr">
        <is>
          <t>NULL</t>
        </is>
      </c>
      <c r="G1393" s="0" t="inlineStr">
        <is>
          <t>NULL</t>
        </is>
      </c>
      <c r="H1393" s="0" t="inlineStr">
        <is>
          <t>NULL</t>
        </is>
      </c>
      <c r="I1393" s="0" t="inlineStr">
        <is>
          <t>NULL</t>
        </is>
      </c>
      <c r="J1393" s="0" t="inlineStr">
        <is>
          <t>NULL</t>
        </is>
      </c>
      <c r="K1393" s="0" t="inlineStr">
        <is>
          <t>YES! 	 c_dtoffset_3列源备映射正确，源端为datetimeoffset None位	期望更改为datetimeoffset(n)	实际备端为datetimeoffset None位</t>
        </is>
      </c>
    </row>
    <row r="1394">
      <c r="B1394" s="0" t="inlineStr">
        <is>
          <t>NULL</t>
        </is>
      </c>
      <c r="C1394" s="0" t="inlineStr">
        <is>
          <t>NULL</t>
        </is>
      </c>
      <c r="D1394" s="0" t="inlineStr">
        <is>
          <t>NULL</t>
        </is>
      </c>
      <c r="E1394" s="0" t="inlineStr">
        <is>
          <t>NULL</t>
        </is>
      </c>
      <c r="F1394" s="0" t="inlineStr">
        <is>
          <t>NULL</t>
        </is>
      </c>
      <c r="G1394" s="0" t="inlineStr">
        <is>
          <t>NULL</t>
        </is>
      </c>
      <c r="H1394" s="0" t="inlineStr">
        <is>
          <t>NULL</t>
        </is>
      </c>
      <c r="I1394" s="0" t="inlineStr">
        <is>
          <t>NULL</t>
        </is>
      </c>
      <c r="J1394" s="0" t="inlineStr">
        <is>
          <t>NULL</t>
        </is>
      </c>
      <c r="K1394" s="0" t="inlineStr">
        <is>
          <t>YES! 	 c_dtoffset_4列源备映射正确，源端为datetimeoffset None位	期望更改为datetimeoffset(n)	实际备端为datetimeoffset None位</t>
        </is>
      </c>
    </row>
    <row r="1395">
      <c r="B1395" s="0" t="inlineStr">
        <is>
          <t>NULL</t>
        </is>
      </c>
      <c r="C1395" s="0" t="inlineStr">
        <is>
          <t>NULL</t>
        </is>
      </c>
      <c r="D1395" s="0" t="inlineStr">
        <is>
          <t>NULL</t>
        </is>
      </c>
      <c r="E1395" s="0" t="inlineStr">
        <is>
          <t>NULL</t>
        </is>
      </c>
      <c r="F1395" s="0" t="inlineStr">
        <is>
          <t>NULL</t>
        </is>
      </c>
      <c r="G1395" s="0" t="inlineStr">
        <is>
          <t>NULL</t>
        </is>
      </c>
      <c r="H1395" s="0" t="inlineStr">
        <is>
          <t>NULL</t>
        </is>
      </c>
      <c r="I1395" s="0" t="inlineStr">
        <is>
          <t>NULL</t>
        </is>
      </c>
      <c r="J1395" s="0" t="inlineStr">
        <is>
          <t>NULL</t>
        </is>
      </c>
      <c r="K1395" s="0" t="inlineStr">
        <is>
          <t>YES! 	 c_dtoffset_5列源备映射正确，源端为datetimeoffset None位	期望更改为datetimeoffset(n)	实际备端为datetimeoffset None位</t>
        </is>
      </c>
    </row>
    <row r="1396">
      <c r="B1396" s="0" t="inlineStr">
        <is>
          <t>NULL</t>
        </is>
      </c>
      <c r="C1396" s="0" t="inlineStr">
        <is>
          <t>NULL</t>
        </is>
      </c>
      <c r="D1396" s="0" t="inlineStr">
        <is>
          <t>NULL</t>
        </is>
      </c>
      <c r="E1396" s="0" t="inlineStr">
        <is>
          <t>NULL</t>
        </is>
      </c>
      <c r="F1396" s="0" t="inlineStr">
        <is>
          <t>NULL</t>
        </is>
      </c>
      <c r="G1396" s="0" t="inlineStr">
        <is>
          <t>NULL</t>
        </is>
      </c>
      <c r="H1396" s="0" t="inlineStr">
        <is>
          <t>NULL</t>
        </is>
      </c>
      <c r="I1396" s="0" t="inlineStr">
        <is>
          <t>NULL</t>
        </is>
      </c>
      <c r="J1396" s="0" t="inlineStr">
        <is>
          <t>NULL</t>
        </is>
      </c>
      <c r="K1396" s="0" t="inlineStr">
        <is>
          <t>YES! 	 c_dtoffset_6列源备映射正确，源端为datetimeoffset None位	期望更改为datetimeoffset(n)	实际备端为datetimeoffset None位</t>
        </is>
      </c>
    </row>
    <row r="1397">
      <c r="B1397" s="0" t="inlineStr">
        <is>
          <t>NULL</t>
        </is>
      </c>
      <c r="C1397" s="0" t="inlineStr">
        <is>
          <t>NULL</t>
        </is>
      </c>
      <c r="D1397" s="0" t="inlineStr">
        <is>
          <t>NULL</t>
        </is>
      </c>
      <c r="E1397" s="0" t="inlineStr">
        <is>
          <t>NULL</t>
        </is>
      </c>
      <c r="F1397" s="0" t="inlineStr">
        <is>
          <t>NULL</t>
        </is>
      </c>
      <c r="G1397" s="0" t="inlineStr">
        <is>
          <t>NULL</t>
        </is>
      </c>
      <c r="H1397" s="0" t="inlineStr">
        <is>
          <t>NULL</t>
        </is>
      </c>
      <c r="I1397" s="0" t="inlineStr">
        <is>
          <t>NULL</t>
        </is>
      </c>
      <c r="J1397" s="0" t="inlineStr">
        <is>
          <t>NULL</t>
        </is>
      </c>
      <c r="K1397" s="0" t="inlineStr">
        <is>
          <t>YES! 	 c_dtoffset列源备映射正确，源端为datetimeoffset None位	期望更改为datetimeoffset(n)	实际备端为datetimeoffset None位</t>
        </is>
      </c>
    </row>
    <row r="1398">
      <c r="K1398" s="0" t="inlineStr">
        <is>
          <t>~ 空表</t>
        </is>
      </c>
    </row>
    <row r="1399">
      <c r="A1399" s="0" t="inlineStr">
        <is>
          <t>info_datetime_dml_single_nopk_urp</t>
        </is>
      </c>
      <c r="K1399" s="0" t="inlineStr">
        <is>
          <t>[0;34m info_datetime_dml_single_nopk_urp [0m源备字段数相同，源端字段：2 	备端字段2</t>
        </is>
      </c>
      <c r="W1399" s="0" t="inlineStr">
        <is>
          <t>YES 源备无差异</t>
        </is>
      </c>
      <c r="X1399" s="0">
        <f>A1399</f>
        <v/>
      </c>
    </row>
    <row r="1400">
      <c r="B1400" s="0" t="inlineStr">
        <is>
          <t>NULL</t>
        </is>
      </c>
      <c r="C1400" s="0" t="inlineStr">
        <is>
          <t>NULL</t>
        </is>
      </c>
      <c r="D1400" s="0" t="inlineStr">
        <is>
          <t>NULL</t>
        </is>
      </c>
      <c r="E1400" s="0" t="inlineStr">
        <is>
          <t>NULL</t>
        </is>
      </c>
      <c r="F1400" s="0" t="inlineStr">
        <is>
          <t>NULL</t>
        </is>
      </c>
      <c r="G1400" s="0" t="inlineStr">
        <is>
          <t>NULL</t>
        </is>
      </c>
      <c r="H1400" s="0" t="inlineStr">
        <is>
          <t>NULL</t>
        </is>
      </c>
      <c r="I1400" s="0" t="inlineStr">
        <is>
          <t>NULL</t>
        </is>
      </c>
      <c r="J1400" s="0" t="inlineStr">
        <is>
          <t>NULL</t>
        </is>
      </c>
      <c r="K1400" s="0" t="inlineStr">
        <is>
          <t>YES! 	 id列源备映射正确，源端为int None位	期望更改为int	实际备端为int None位</t>
        </is>
      </c>
    </row>
    <row r="1401">
      <c r="B1401" s="0" t="inlineStr">
        <is>
          <t>NULL</t>
        </is>
      </c>
      <c r="C1401" s="0" t="inlineStr">
        <is>
          <t>NULL</t>
        </is>
      </c>
      <c r="D1401" s="0" t="inlineStr">
        <is>
          <t>NULL</t>
        </is>
      </c>
      <c r="E1401" s="0" t="inlineStr">
        <is>
          <t>NULL</t>
        </is>
      </c>
      <c r="F1401" s="0" t="inlineStr">
        <is>
          <t>NULL</t>
        </is>
      </c>
      <c r="G1401" s="0" t="inlineStr">
        <is>
          <t>NULL</t>
        </is>
      </c>
      <c r="H1401" s="0" t="inlineStr">
        <is>
          <t>NULL</t>
        </is>
      </c>
      <c r="I1401" s="0" t="inlineStr">
        <is>
          <t>NULL</t>
        </is>
      </c>
      <c r="J1401" s="0" t="inlineStr">
        <is>
          <t>NULL</t>
        </is>
      </c>
      <c r="K1401" s="0" t="inlineStr">
        <is>
          <t>YES! 	 c_datetime列源备映射正确，源端为datetime None位	期望更改为datetime	实际备端为datetime None位</t>
        </is>
      </c>
    </row>
    <row r="1402">
      <c r="A1402" s="0" t="inlineStr">
        <is>
          <t>info_varcharmax_dml_batch2_pk_irp1</t>
        </is>
      </c>
      <c r="K1402" s="0" t="inlineStr">
        <is>
          <t>[0;34m info_varcharmax_dml_batch2_pk_irp1 [0m源备字段数相同，源端字段：3 	备端字段3</t>
        </is>
      </c>
      <c r="W1402" s="0" t="inlineStr">
        <is>
          <t>YES 源备无差异</t>
        </is>
      </c>
      <c r="X1402" s="0">
        <f>A1402</f>
        <v/>
      </c>
    </row>
    <row r="1403">
      <c r="B1403" s="0" t="inlineStr">
        <is>
          <t>YES</t>
        </is>
      </c>
      <c r="C1403" s="0" t="inlineStr">
        <is>
          <t>NULL</t>
        </is>
      </c>
      <c r="D1403" s="0" t="inlineStr">
        <is>
          <t>NULL</t>
        </is>
      </c>
      <c r="E1403" s="0" t="inlineStr">
        <is>
          <t>NULL</t>
        </is>
      </c>
      <c r="F1403" s="0" t="inlineStr">
        <is>
          <t>NULL</t>
        </is>
      </c>
      <c r="G1403" s="0" t="inlineStr">
        <is>
          <t>NULL</t>
        </is>
      </c>
      <c r="H1403" s="0" t="inlineStr">
        <is>
          <t>NULL</t>
        </is>
      </c>
      <c r="I1403" s="0" t="inlineStr">
        <is>
          <t>YES!PK__info_var__3213E83F7B4AD6A5</t>
        </is>
      </c>
      <c r="J1403" s="0" t="inlineStr">
        <is>
          <t>YES! 主键相关索引</t>
        </is>
      </c>
      <c r="K1403" s="0" t="inlineStr">
        <is>
          <t>YES! 	 id列源备映射正确，源端为int None位	期望更改为int	实际备端为int None位</t>
        </is>
      </c>
    </row>
    <row r="1404">
      <c r="B1404" s="0" t="inlineStr">
        <is>
          <t>NULL</t>
        </is>
      </c>
      <c r="C1404" s="0" t="inlineStr">
        <is>
          <t>NULL</t>
        </is>
      </c>
      <c r="D1404" s="0" t="inlineStr">
        <is>
          <t>NULL</t>
        </is>
      </c>
      <c r="E1404" s="0" t="inlineStr">
        <is>
          <t>NULL</t>
        </is>
      </c>
      <c r="F1404" s="0" t="inlineStr">
        <is>
          <t>NULL</t>
        </is>
      </c>
      <c r="G1404" s="0" t="inlineStr">
        <is>
          <t>NULL</t>
        </is>
      </c>
      <c r="H1404" s="0" t="inlineStr">
        <is>
          <t>NULL</t>
        </is>
      </c>
      <c r="I1404" s="0" t="inlineStr">
        <is>
          <t>NULL</t>
        </is>
      </c>
      <c r="J1404" s="0" t="inlineStr">
        <is>
          <t>NULL</t>
        </is>
      </c>
      <c r="K1404" s="0" t="inlineStr">
        <is>
          <t>YES! 	 c_varchar_max列源备映射正确，源端为varchar -1位	期望更改为varchar(n)	实际备端为varchar -1位</t>
        </is>
      </c>
    </row>
    <row r="1405">
      <c r="B1405" s="0" t="inlineStr">
        <is>
          <t>NULL</t>
        </is>
      </c>
      <c r="C1405" s="0" t="inlineStr">
        <is>
          <t>NULL</t>
        </is>
      </c>
      <c r="D1405" s="0" t="inlineStr">
        <is>
          <t>NULL</t>
        </is>
      </c>
      <c r="E1405" s="0" t="inlineStr">
        <is>
          <t>NULL</t>
        </is>
      </c>
      <c r="F1405" s="0" t="inlineStr">
        <is>
          <t>NULL</t>
        </is>
      </c>
      <c r="G1405" s="0" t="inlineStr">
        <is>
          <t>NULL</t>
        </is>
      </c>
      <c r="H1405" s="0" t="inlineStr">
        <is>
          <t>NULL</t>
        </is>
      </c>
      <c r="I1405" s="0" t="inlineStr">
        <is>
          <t>NULL</t>
        </is>
      </c>
      <c r="J1405" s="0" t="inlineStr">
        <is>
          <t>NULL</t>
        </is>
      </c>
      <c r="K1405" s="0" t="inlineStr">
        <is>
          <t>YES! 	 c_nvarchar_max列源备映射正确，源端为nvarchar -1位	期望更改为nvarchar(n)	实际备端为nvarchar -1位</t>
        </is>
      </c>
    </row>
    <row r="1406">
      <c r="K1406" s="0" t="inlineStr">
        <is>
          <t>~ 空表</t>
        </is>
      </c>
    </row>
    <row r="1407">
      <c r="A1407" s="0" t="inlineStr">
        <is>
          <t>info_datetimeoffset_dml_single_pk_irp</t>
        </is>
      </c>
      <c r="K1407" s="0" t="inlineStr">
        <is>
          <t>[0;34m info_datetimeoffset_dml_single_pk_irp [0m源备字段数相同，源端字段：9 	备端字段9</t>
        </is>
      </c>
      <c r="W1407" s="0" t="inlineStr">
        <is>
          <t>YES 源备无差异</t>
        </is>
      </c>
      <c r="X1407" s="0">
        <f>A1407</f>
        <v/>
      </c>
    </row>
    <row r="1408">
      <c r="B1408" s="0" t="inlineStr">
        <is>
          <t>YES</t>
        </is>
      </c>
      <c r="C1408" s="0" t="inlineStr">
        <is>
          <t>NULL</t>
        </is>
      </c>
      <c r="D1408" s="0" t="inlineStr">
        <is>
          <t>NULL</t>
        </is>
      </c>
      <c r="E1408" s="0" t="inlineStr">
        <is>
          <t>NULL</t>
        </is>
      </c>
      <c r="F1408" s="0" t="inlineStr">
        <is>
          <t>NULL</t>
        </is>
      </c>
      <c r="G1408" s="0" t="inlineStr">
        <is>
          <t>NULL</t>
        </is>
      </c>
      <c r="H1408" s="0" t="inlineStr">
        <is>
          <t>NULL</t>
        </is>
      </c>
      <c r="I1408" s="0" t="inlineStr">
        <is>
          <t>YES!PK__info_dat__3213E83FC574CA33</t>
        </is>
      </c>
      <c r="J1408" s="0" t="inlineStr">
        <is>
          <t>YES! 主键相关索引</t>
        </is>
      </c>
      <c r="K1408" s="0" t="inlineStr">
        <is>
          <t>YES! 	 id列源备映射正确，源端为int None位	期望更改为int	实际备端为int None位</t>
        </is>
      </c>
    </row>
    <row r="1409">
      <c r="B1409" s="0" t="inlineStr">
        <is>
          <t>NULL</t>
        </is>
      </c>
      <c r="C1409" s="0" t="inlineStr">
        <is>
          <t>NULL</t>
        </is>
      </c>
      <c r="D1409" s="0" t="inlineStr">
        <is>
          <t>NULL</t>
        </is>
      </c>
      <c r="E1409" s="0" t="inlineStr">
        <is>
          <t>NULL</t>
        </is>
      </c>
      <c r="F1409" s="0" t="inlineStr">
        <is>
          <t>NULL</t>
        </is>
      </c>
      <c r="G1409" s="0" t="inlineStr">
        <is>
          <t>NULL</t>
        </is>
      </c>
      <c r="H1409" s="0" t="inlineStr">
        <is>
          <t>NULL</t>
        </is>
      </c>
      <c r="I1409" s="0" t="inlineStr">
        <is>
          <t>NULL</t>
        </is>
      </c>
      <c r="J1409" s="0" t="inlineStr">
        <is>
          <t>NULL</t>
        </is>
      </c>
      <c r="K1409" s="0" t="inlineStr">
        <is>
          <t>no,len不存在</t>
        </is>
      </c>
    </row>
    <row r="1410">
      <c r="B1410" s="0" t="inlineStr">
        <is>
          <t>NULL</t>
        </is>
      </c>
      <c r="C1410" s="0" t="inlineStr">
        <is>
          <t>NULL</t>
        </is>
      </c>
      <c r="D1410" s="0" t="inlineStr">
        <is>
          <t>NULL</t>
        </is>
      </c>
      <c r="E1410" s="0" t="inlineStr">
        <is>
          <t>NULL</t>
        </is>
      </c>
      <c r="F1410" s="0" t="inlineStr">
        <is>
          <t>NULL</t>
        </is>
      </c>
      <c r="G1410" s="0" t="inlineStr">
        <is>
          <t>NULL</t>
        </is>
      </c>
      <c r="H1410" s="0" t="inlineStr">
        <is>
          <t>NULL</t>
        </is>
      </c>
      <c r="I1410" s="0" t="inlineStr">
        <is>
          <t>NULL</t>
        </is>
      </c>
      <c r="J1410" s="0" t="inlineStr">
        <is>
          <t>NULL</t>
        </is>
      </c>
      <c r="K1410" s="0" t="inlineStr">
        <is>
          <t>YES! 	 c_dtoffset_1列源备映射正确，源端为datetimeoffset None位	期望更改为datetimeoffset(n)	实际备端为datetimeoffset None位</t>
        </is>
      </c>
    </row>
    <row r="1411">
      <c r="B1411" s="0" t="inlineStr">
        <is>
          <t>NULL</t>
        </is>
      </c>
      <c r="C1411" s="0" t="inlineStr">
        <is>
          <t>NULL</t>
        </is>
      </c>
      <c r="D1411" s="0" t="inlineStr">
        <is>
          <t>NULL</t>
        </is>
      </c>
      <c r="E1411" s="0" t="inlineStr">
        <is>
          <t>NULL</t>
        </is>
      </c>
      <c r="F1411" s="0" t="inlineStr">
        <is>
          <t>NULL</t>
        </is>
      </c>
      <c r="G1411" s="0" t="inlineStr">
        <is>
          <t>NULL</t>
        </is>
      </c>
      <c r="H1411" s="0" t="inlineStr">
        <is>
          <t>NULL</t>
        </is>
      </c>
      <c r="I1411" s="0" t="inlineStr">
        <is>
          <t>NULL</t>
        </is>
      </c>
      <c r="J1411" s="0" t="inlineStr">
        <is>
          <t>NULL</t>
        </is>
      </c>
      <c r="K1411" s="0" t="inlineStr">
        <is>
          <t>YES! 	 c_dtoffset_2列源备映射正确，源端为datetimeoffset None位	期望更改为datetimeoffset(n)	实际备端为datetimeoffset None位</t>
        </is>
      </c>
    </row>
    <row r="1412">
      <c r="B1412" s="0" t="inlineStr">
        <is>
          <t>NULL</t>
        </is>
      </c>
      <c r="C1412" s="0" t="inlineStr">
        <is>
          <t>NULL</t>
        </is>
      </c>
      <c r="D1412" s="0" t="inlineStr">
        <is>
          <t>NULL</t>
        </is>
      </c>
      <c r="E1412" s="0" t="inlineStr">
        <is>
          <t>NULL</t>
        </is>
      </c>
      <c r="F1412" s="0" t="inlineStr">
        <is>
          <t>NULL</t>
        </is>
      </c>
      <c r="G1412" s="0" t="inlineStr">
        <is>
          <t>NULL</t>
        </is>
      </c>
      <c r="H1412" s="0" t="inlineStr">
        <is>
          <t>NULL</t>
        </is>
      </c>
      <c r="I1412" s="0" t="inlineStr">
        <is>
          <t>NULL</t>
        </is>
      </c>
      <c r="J1412" s="0" t="inlineStr">
        <is>
          <t>NULL</t>
        </is>
      </c>
      <c r="K1412" s="0" t="inlineStr">
        <is>
          <t>YES! 	 c_dtoffset_3列源备映射正确，源端为datetimeoffset None位	期望更改为datetimeoffset(n)	实际备端为datetimeoffset None位</t>
        </is>
      </c>
    </row>
    <row r="1413">
      <c r="B1413" s="0" t="inlineStr">
        <is>
          <t>NULL</t>
        </is>
      </c>
      <c r="C1413" s="0" t="inlineStr">
        <is>
          <t>NULL</t>
        </is>
      </c>
      <c r="D1413" s="0" t="inlineStr">
        <is>
          <t>NULL</t>
        </is>
      </c>
      <c r="E1413" s="0" t="inlineStr">
        <is>
          <t>NULL</t>
        </is>
      </c>
      <c r="F1413" s="0" t="inlineStr">
        <is>
          <t>NULL</t>
        </is>
      </c>
      <c r="G1413" s="0" t="inlineStr">
        <is>
          <t>NULL</t>
        </is>
      </c>
      <c r="H1413" s="0" t="inlineStr">
        <is>
          <t>NULL</t>
        </is>
      </c>
      <c r="I1413" s="0" t="inlineStr">
        <is>
          <t>NULL</t>
        </is>
      </c>
      <c r="J1413" s="0" t="inlineStr">
        <is>
          <t>NULL</t>
        </is>
      </c>
      <c r="K1413" s="0" t="inlineStr">
        <is>
          <t>YES! 	 c_dtoffset_4列源备映射正确，源端为datetimeoffset None位	期望更改为datetimeoffset(n)	实际备端为datetimeoffset None位</t>
        </is>
      </c>
    </row>
    <row r="1414">
      <c r="B1414" s="0" t="inlineStr">
        <is>
          <t>NULL</t>
        </is>
      </c>
      <c r="C1414" s="0" t="inlineStr">
        <is>
          <t>NULL</t>
        </is>
      </c>
      <c r="D1414" s="0" t="inlineStr">
        <is>
          <t>NULL</t>
        </is>
      </c>
      <c r="E1414" s="0" t="inlineStr">
        <is>
          <t>NULL</t>
        </is>
      </c>
      <c r="F1414" s="0" t="inlineStr">
        <is>
          <t>NULL</t>
        </is>
      </c>
      <c r="G1414" s="0" t="inlineStr">
        <is>
          <t>NULL</t>
        </is>
      </c>
      <c r="H1414" s="0" t="inlineStr">
        <is>
          <t>NULL</t>
        </is>
      </c>
      <c r="I1414" s="0" t="inlineStr">
        <is>
          <t>NULL</t>
        </is>
      </c>
      <c r="J1414" s="0" t="inlineStr">
        <is>
          <t>NULL</t>
        </is>
      </c>
      <c r="K1414" s="0" t="inlineStr">
        <is>
          <t>YES! 	 c_dtoffset_5列源备映射正确，源端为datetimeoffset None位	期望更改为datetimeoffset(n)	实际备端为datetimeoffset None位</t>
        </is>
      </c>
    </row>
    <row r="1415">
      <c r="B1415" s="0" t="inlineStr">
        <is>
          <t>NULL</t>
        </is>
      </c>
      <c r="C1415" s="0" t="inlineStr">
        <is>
          <t>NULL</t>
        </is>
      </c>
      <c r="D1415" s="0" t="inlineStr">
        <is>
          <t>NULL</t>
        </is>
      </c>
      <c r="E1415" s="0" t="inlineStr">
        <is>
          <t>NULL</t>
        </is>
      </c>
      <c r="F1415" s="0" t="inlineStr">
        <is>
          <t>NULL</t>
        </is>
      </c>
      <c r="G1415" s="0" t="inlineStr">
        <is>
          <t>NULL</t>
        </is>
      </c>
      <c r="H1415" s="0" t="inlineStr">
        <is>
          <t>NULL</t>
        </is>
      </c>
      <c r="I1415" s="0" t="inlineStr">
        <is>
          <t>NULL</t>
        </is>
      </c>
      <c r="J1415" s="0" t="inlineStr">
        <is>
          <t>NULL</t>
        </is>
      </c>
      <c r="K1415" s="0" t="inlineStr">
        <is>
          <t>YES! 	 c_dtoffset_6列源备映射正确，源端为datetimeoffset None位	期望更改为datetimeoffset(n)	实际备端为datetimeoffset None位</t>
        </is>
      </c>
    </row>
    <row r="1416">
      <c r="B1416" s="0" t="inlineStr">
        <is>
          <t>NULL</t>
        </is>
      </c>
      <c r="C1416" s="0" t="inlineStr">
        <is>
          <t>NULL</t>
        </is>
      </c>
      <c r="D1416" s="0" t="inlineStr">
        <is>
          <t>NULL</t>
        </is>
      </c>
      <c r="E1416" s="0" t="inlineStr">
        <is>
          <t>NULL</t>
        </is>
      </c>
      <c r="F1416" s="0" t="inlineStr">
        <is>
          <t>NULL</t>
        </is>
      </c>
      <c r="G1416" s="0" t="inlineStr">
        <is>
          <t>NULL</t>
        </is>
      </c>
      <c r="H1416" s="0" t="inlineStr">
        <is>
          <t>NULL</t>
        </is>
      </c>
      <c r="I1416" s="0" t="inlineStr">
        <is>
          <t>NULL</t>
        </is>
      </c>
      <c r="J1416" s="0" t="inlineStr">
        <is>
          <t>NULL</t>
        </is>
      </c>
      <c r="K1416" s="0" t="inlineStr">
        <is>
          <t>YES! 	 c_dtoffset列源备映射正确，源端为datetimeoffset None位	期望更改为datetimeoffset(n)	实际备端为datetimeoffset None位</t>
        </is>
      </c>
    </row>
    <row r="1417">
      <c r="A1417" s="0" t="inlineStr">
        <is>
          <t>info_datetime_dml_single_nopk_drp</t>
        </is>
      </c>
      <c r="K1417" s="0" t="inlineStr">
        <is>
          <t>[0;34m info_datetime_dml_single_nopk_drp [0m源备字段数相同，源端字段：2 	备端字段2</t>
        </is>
      </c>
      <c r="W1417" s="0" t="inlineStr">
        <is>
          <t>YES 源备无差异</t>
        </is>
      </c>
      <c r="X1417" s="0">
        <f>A1417</f>
        <v/>
      </c>
    </row>
    <row r="1418">
      <c r="B1418" s="0" t="inlineStr">
        <is>
          <t>NULL</t>
        </is>
      </c>
      <c r="C1418" s="0" t="inlineStr">
        <is>
          <t>NULL</t>
        </is>
      </c>
      <c r="D1418" s="0" t="inlineStr">
        <is>
          <t>NULL</t>
        </is>
      </c>
      <c r="E1418" s="0" t="inlineStr">
        <is>
          <t>NULL</t>
        </is>
      </c>
      <c r="F1418" s="0" t="inlineStr">
        <is>
          <t>NULL</t>
        </is>
      </c>
      <c r="G1418" s="0" t="inlineStr">
        <is>
          <t>NULL</t>
        </is>
      </c>
      <c r="H1418" s="0" t="inlineStr">
        <is>
          <t>NULL</t>
        </is>
      </c>
      <c r="I1418" s="0" t="inlineStr">
        <is>
          <t>NULL</t>
        </is>
      </c>
      <c r="J1418" s="0" t="inlineStr">
        <is>
          <t>NULL</t>
        </is>
      </c>
      <c r="K1418" s="0" t="inlineStr">
        <is>
          <t>YES! 	 id列源备映射正确，源端为int None位	期望更改为int	实际备端为int None位</t>
        </is>
      </c>
    </row>
    <row r="1419">
      <c r="B1419" s="0" t="inlineStr">
        <is>
          <t>NULL</t>
        </is>
      </c>
      <c r="C1419" s="0" t="inlineStr">
        <is>
          <t>NULL</t>
        </is>
      </c>
      <c r="D1419" s="0" t="inlineStr">
        <is>
          <t>NULL</t>
        </is>
      </c>
      <c r="E1419" s="0" t="inlineStr">
        <is>
          <t>NULL</t>
        </is>
      </c>
      <c r="F1419" s="0" t="inlineStr">
        <is>
          <t>NULL</t>
        </is>
      </c>
      <c r="G1419" s="0" t="inlineStr">
        <is>
          <t>NULL</t>
        </is>
      </c>
      <c r="H1419" s="0" t="inlineStr">
        <is>
          <t>NULL</t>
        </is>
      </c>
      <c r="I1419" s="0" t="inlineStr">
        <is>
          <t>NULL</t>
        </is>
      </c>
      <c r="J1419" s="0" t="inlineStr">
        <is>
          <t>NULL</t>
        </is>
      </c>
      <c r="K1419" s="0" t="inlineStr">
        <is>
          <t>YES! 	 c_datetime列源备映射正确，源端为datetime None位	期望更改为datetime	实际备端为datetime None位</t>
        </is>
      </c>
    </row>
    <row r="1420">
      <c r="A1420" s="0" t="inlineStr">
        <is>
          <t>info_varbinary_max_dml_single_nopk_irp</t>
        </is>
      </c>
      <c r="K1420" s="0" t="inlineStr">
        <is>
          <t>[0;34m info_varbinary_max_dml_single_nopk_irp [0m源备字段数相同，源端字段：4 	备端字段4</t>
        </is>
      </c>
      <c r="W1420" s="0" t="inlineStr">
        <is>
          <t>YES 源备无差异</t>
        </is>
      </c>
      <c r="X1420" s="0">
        <f>A1420</f>
        <v/>
      </c>
    </row>
    <row r="1421">
      <c r="B1421" s="0" t="inlineStr">
        <is>
          <t>NULL</t>
        </is>
      </c>
      <c r="C1421" s="0" t="inlineStr">
        <is>
          <t>NULL</t>
        </is>
      </c>
      <c r="D1421" s="0" t="inlineStr">
        <is>
          <t>NULL</t>
        </is>
      </c>
      <c r="E1421" s="0" t="inlineStr">
        <is>
          <t>NULL</t>
        </is>
      </c>
      <c r="F1421" s="0" t="inlineStr">
        <is>
          <t>NULL</t>
        </is>
      </c>
      <c r="G1421" s="0" t="inlineStr">
        <is>
          <t>NULL</t>
        </is>
      </c>
      <c r="H1421" s="0" t="inlineStr">
        <is>
          <t>NULL</t>
        </is>
      </c>
      <c r="I1421" s="0" t="inlineStr">
        <is>
          <t>NULL</t>
        </is>
      </c>
      <c r="J1421" s="0" t="inlineStr">
        <is>
          <t>NULL</t>
        </is>
      </c>
      <c r="K1421" s="0" t="inlineStr">
        <is>
          <t>YES! 	 id列源备映射正确，源端为int None位	期望更改为int	实际备端为int None位</t>
        </is>
      </c>
    </row>
    <row r="1422">
      <c r="B1422" s="0" t="inlineStr">
        <is>
          <t>NULL</t>
        </is>
      </c>
      <c r="C1422" s="0" t="inlineStr">
        <is>
          <t>NULL</t>
        </is>
      </c>
      <c r="D1422" s="0" t="inlineStr">
        <is>
          <t>NULL</t>
        </is>
      </c>
      <c r="E1422" s="0" t="inlineStr">
        <is>
          <t>NULL</t>
        </is>
      </c>
      <c r="F1422" s="0" t="inlineStr">
        <is>
          <t>NULL</t>
        </is>
      </c>
      <c r="G1422" s="0" t="inlineStr">
        <is>
          <t>NULL</t>
        </is>
      </c>
      <c r="H1422" s="0" t="inlineStr">
        <is>
          <t>NULL</t>
        </is>
      </c>
      <c r="I1422" s="0" t="inlineStr">
        <is>
          <t>NULL</t>
        </is>
      </c>
      <c r="J1422" s="0" t="inlineStr">
        <is>
          <t>NULL</t>
        </is>
      </c>
      <c r="K1422" s="0" t="inlineStr">
        <is>
          <t>YES! 	 c_varbinary_max1列源备映射正确，源端为varbinary -1位	期望更改为varbinary(n)	实际备端为varbinary -1位</t>
        </is>
      </c>
    </row>
    <row r="1423">
      <c r="B1423" s="0" t="inlineStr">
        <is>
          <t>NULL</t>
        </is>
      </c>
      <c r="C1423" s="0" t="inlineStr">
        <is>
          <t>NULL</t>
        </is>
      </c>
      <c r="D1423" s="0" t="inlineStr">
        <is>
          <t>NULL</t>
        </is>
      </c>
      <c r="E1423" s="0" t="inlineStr">
        <is>
          <t>NULL</t>
        </is>
      </c>
      <c r="F1423" s="0" t="inlineStr">
        <is>
          <t>NULL</t>
        </is>
      </c>
      <c r="G1423" s="0" t="inlineStr">
        <is>
          <t>NULL</t>
        </is>
      </c>
      <c r="H1423" s="0" t="inlineStr">
        <is>
          <t>NULL</t>
        </is>
      </c>
      <c r="I1423" s="0" t="inlineStr">
        <is>
          <t>NULL</t>
        </is>
      </c>
      <c r="J1423" s="0" t="inlineStr">
        <is>
          <t>NULL</t>
        </is>
      </c>
      <c r="K1423" s="0" t="inlineStr">
        <is>
          <t>YES! 	 c_varbinary_max2列源备映射正确，源端为varbinary -1位	期望更改为varbinary(n)	实际备端为varbinary -1位</t>
        </is>
      </c>
    </row>
    <row r="1424">
      <c r="B1424" s="0" t="inlineStr">
        <is>
          <t>NULL</t>
        </is>
      </c>
      <c r="C1424" s="0" t="inlineStr">
        <is>
          <t>NULL</t>
        </is>
      </c>
      <c r="D1424" s="0" t="inlineStr">
        <is>
          <t>NULL</t>
        </is>
      </c>
      <c r="E1424" s="0" t="inlineStr">
        <is>
          <t>NULL</t>
        </is>
      </c>
      <c r="F1424" s="0" t="inlineStr">
        <is>
          <t>NULL</t>
        </is>
      </c>
      <c r="G1424" s="0" t="inlineStr">
        <is>
          <t>NULL</t>
        </is>
      </c>
      <c r="H1424" s="0" t="inlineStr">
        <is>
          <t>NULL</t>
        </is>
      </c>
      <c r="I1424" s="0" t="inlineStr">
        <is>
          <t>NULL</t>
        </is>
      </c>
      <c r="J1424" s="0" t="inlineStr">
        <is>
          <t>NULL</t>
        </is>
      </c>
      <c r="K1424" s="0" t="inlineStr">
        <is>
          <t>YES! 	 c_image3列源备映射正确，源端为image 2147483647位	期望更改为image	实际备端为image 2147483647位</t>
        </is>
      </c>
    </row>
    <row r="1425">
      <c r="A1425" s="0" t="inlineStr">
        <is>
          <t>info_datetime_dml_single_nopk</t>
        </is>
      </c>
      <c r="K1425" s="0" t="inlineStr">
        <is>
          <t>[0;34m info_datetime_dml_single_nopk [0m源备字段数相同，源端字段：2 	备端字段2</t>
        </is>
      </c>
      <c r="W1425" s="0" t="inlineStr">
        <is>
          <t>YES 源备无差异</t>
        </is>
      </c>
      <c r="X1425" s="0">
        <f>A1425</f>
        <v/>
      </c>
    </row>
    <row r="1426">
      <c r="B1426" s="0" t="inlineStr">
        <is>
          <t>NULL</t>
        </is>
      </c>
      <c r="C1426" s="0" t="inlineStr">
        <is>
          <t>NULL</t>
        </is>
      </c>
      <c r="D1426" s="0" t="inlineStr">
        <is>
          <t>NULL</t>
        </is>
      </c>
      <c r="E1426" s="0" t="inlineStr">
        <is>
          <t>NULL</t>
        </is>
      </c>
      <c r="F1426" s="0" t="inlineStr">
        <is>
          <t>NULL</t>
        </is>
      </c>
      <c r="G1426" s="0" t="inlineStr">
        <is>
          <t>NULL</t>
        </is>
      </c>
      <c r="H1426" s="0" t="inlineStr">
        <is>
          <t>NULL</t>
        </is>
      </c>
      <c r="I1426" s="0" t="inlineStr">
        <is>
          <t>NULL</t>
        </is>
      </c>
      <c r="J1426" s="0" t="inlineStr">
        <is>
          <t>NULL</t>
        </is>
      </c>
      <c r="K1426" s="0" t="inlineStr">
        <is>
          <t>YES! 	 id列源备映射正确，源端为int None位	期望更改为int	实际备端为int None位</t>
        </is>
      </c>
    </row>
    <row r="1427">
      <c r="B1427" s="0" t="inlineStr">
        <is>
          <t>NULL</t>
        </is>
      </c>
      <c r="C1427" s="0" t="inlineStr">
        <is>
          <t>NULL</t>
        </is>
      </c>
      <c r="D1427" s="0" t="inlineStr">
        <is>
          <t>NULL</t>
        </is>
      </c>
      <c r="E1427" s="0" t="inlineStr">
        <is>
          <t>NULL</t>
        </is>
      </c>
      <c r="F1427" s="0" t="inlineStr">
        <is>
          <t>NULL</t>
        </is>
      </c>
      <c r="G1427" s="0" t="inlineStr">
        <is>
          <t>NULL</t>
        </is>
      </c>
      <c r="H1427" s="0" t="inlineStr">
        <is>
          <t>NULL</t>
        </is>
      </c>
      <c r="I1427" s="0" t="inlineStr">
        <is>
          <t>NULL</t>
        </is>
      </c>
      <c r="J1427" s="0" t="inlineStr">
        <is>
          <t>NULL</t>
        </is>
      </c>
      <c r="K1427" s="0" t="inlineStr">
        <is>
          <t>YES! 	 c_datetime列源备映射正确，源端为datetime None位	期望更改为datetime	实际备端为datetime None位</t>
        </is>
      </c>
    </row>
    <row r="1428">
      <c r="A1428" s="0" t="inlineStr">
        <is>
          <t>info_datetimeoffset_dml_batch1_pk_drp2</t>
        </is>
      </c>
      <c r="K1428" s="0" t="inlineStr">
        <is>
          <t>[0;34m info_datetimeoffset_dml_batch1_pk_drp2 [0m源备字段数相同，源端字段：9 	备端字段9</t>
        </is>
      </c>
      <c r="W1428" s="0" t="inlineStr">
        <is>
          <t>YES 源备无差异</t>
        </is>
      </c>
      <c r="X1428" s="0">
        <f>A1428</f>
        <v/>
      </c>
    </row>
    <row r="1429">
      <c r="B1429" s="0" t="inlineStr">
        <is>
          <t>YES</t>
        </is>
      </c>
      <c r="C1429" s="0" t="inlineStr">
        <is>
          <t>NULL</t>
        </is>
      </c>
      <c r="D1429" s="0" t="inlineStr">
        <is>
          <t>NULL</t>
        </is>
      </c>
      <c r="E1429" s="0" t="inlineStr">
        <is>
          <t>NULL</t>
        </is>
      </c>
      <c r="F1429" s="0" t="inlineStr">
        <is>
          <t>NULL</t>
        </is>
      </c>
      <c r="G1429" s="0" t="inlineStr">
        <is>
          <t>NULL</t>
        </is>
      </c>
      <c r="H1429" s="0" t="inlineStr">
        <is>
          <t>NULL</t>
        </is>
      </c>
      <c r="I1429" s="0" t="inlineStr">
        <is>
          <t>YES!PK__info_dat__3213E83F76C7AF85</t>
        </is>
      </c>
      <c r="J1429" s="0" t="inlineStr">
        <is>
          <t>YES! 主键相关索引</t>
        </is>
      </c>
      <c r="K1429" s="0" t="inlineStr">
        <is>
          <t>YES! 	 id列源备映射正确，源端为int None位	期望更改为int	实际备端为int None位</t>
        </is>
      </c>
    </row>
    <row r="1430">
      <c r="B1430" s="0" t="inlineStr">
        <is>
          <t>NULL</t>
        </is>
      </c>
      <c r="C1430" s="0" t="inlineStr">
        <is>
          <t>NULL</t>
        </is>
      </c>
      <c r="D1430" s="0" t="inlineStr">
        <is>
          <t>NULL</t>
        </is>
      </c>
      <c r="E1430" s="0" t="inlineStr">
        <is>
          <t>NULL</t>
        </is>
      </c>
      <c r="F1430" s="0" t="inlineStr">
        <is>
          <t>NULL</t>
        </is>
      </c>
      <c r="G1430" s="0" t="inlineStr">
        <is>
          <t>NULL</t>
        </is>
      </c>
      <c r="H1430" s="0" t="inlineStr">
        <is>
          <t>NULL</t>
        </is>
      </c>
      <c r="I1430" s="0" t="inlineStr">
        <is>
          <t>NULL</t>
        </is>
      </c>
      <c r="J1430" s="0" t="inlineStr">
        <is>
          <t>NULL</t>
        </is>
      </c>
      <c r="K1430" s="0" t="inlineStr">
        <is>
          <t>no,len不存在</t>
        </is>
      </c>
    </row>
    <row r="1431">
      <c r="B1431" s="0" t="inlineStr">
        <is>
          <t>NULL</t>
        </is>
      </c>
      <c r="C1431" s="0" t="inlineStr">
        <is>
          <t>NULL</t>
        </is>
      </c>
      <c r="D1431" s="0" t="inlineStr">
        <is>
          <t>NULL</t>
        </is>
      </c>
      <c r="E1431" s="0" t="inlineStr">
        <is>
          <t>NULL</t>
        </is>
      </c>
      <c r="F1431" s="0" t="inlineStr">
        <is>
          <t>NULL</t>
        </is>
      </c>
      <c r="G1431" s="0" t="inlineStr">
        <is>
          <t>NULL</t>
        </is>
      </c>
      <c r="H1431" s="0" t="inlineStr">
        <is>
          <t>NULL</t>
        </is>
      </c>
      <c r="I1431" s="0" t="inlineStr">
        <is>
          <t>NULL</t>
        </is>
      </c>
      <c r="J1431" s="0" t="inlineStr">
        <is>
          <t>NULL</t>
        </is>
      </c>
      <c r="K1431" s="0" t="inlineStr">
        <is>
          <t>YES! 	 c_dtoffset_1列源备映射正确，源端为datetimeoffset None位	期望更改为datetimeoffset(n)	实际备端为datetimeoffset None位</t>
        </is>
      </c>
    </row>
    <row r="1432">
      <c r="B1432" s="0" t="inlineStr">
        <is>
          <t>NULL</t>
        </is>
      </c>
      <c r="C1432" s="0" t="inlineStr">
        <is>
          <t>NULL</t>
        </is>
      </c>
      <c r="D1432" s="0" t="inlineStr">
        <is>
          <t>NULL</t>
        </is>
      </c>
      <c r="E1432" s="0" t="inlineStr">
        <is>
          <t>NULL</t>
        </is>
      </c>
      <c r="F1432" s="0" t="inlineStr">
        <is>
          <t>NULL</t>
        </is>
      </c>
      <c r="G1432" s="0" t="inlineStr">
        <is>
          <t>NULL</t>
        </is>
      </c>
      <c r="H1432" s="0" t="inlineStr">
        <is>
          <t>NULL</t>
        </is>
      </c>
      <c r="I1432" s="0" t="inlineStr">
        <is>
          <t>NULL</t>
        </is>
      </c>
      <c r="J1432" s="0" t="inlineStr">
        <is>
          <t>NULL</t>
        </is>
      </c>
      <c r="K1432" s="0" t="inlineStr">
        <is>
          <t>YES! 	 c_dtoffset_2列源备映射正确，源端为datetimeoffset None位	期望更改为datetimeoffset(n)	实际备端为datetimeoffset None位</t>
        </is>
      </c>
    </row>
    <row r="1433">
      <c r="B1433" s="0" t="inlineStr">
        <is>
          <t>NULL</t>
        </is>
      </c>
      <c r="C1433" s="0" t="inlineStr">
        <is>
          <t>NULL</t>
        </is>
      </c>
      <c r="D1433" s="0" t="inlineStr">
        <is>
          <t>NULL</t>
        </is>
      </c>
      <c r="E1433" s="0" t="inlineStr">
        <is>
          <t>NULL</t>
        </is>
      </c>
      <c r="F1433" s="0" t="inlineStr">
        <is>
          <t>NULL</t>
        </is>
      </c>
      <c r="G1433" s="0" t="inlineStr">
        <is>
          <t>NULL</t>
        </is>
      </c>
      <c r="H1433" s="0" t="inlineStr">
        <is>
          <t>NULL</t>
        </is>
      </c>
      <c r="I1433" s="0" t="inlineStr">
        <is>
          <t>NULL</t>
        </is>
      </c>
      <c r="J1433" s="0" t="inlineStr">
        <is>
          <t>NULL</t>
        </is>
      </c>
      <c r="K1433" s="0" t="inlineStr">
        <is>
          <t>YES! 	 c_dtoffset_3列源备映射正确，源端为datetimeoffset None位	期望更改为datetimeoffset(n)	实际备端为datetimeoffset None位</t>
        </is>
      </c>
    </row>
    <row r="1434">
      <c r="B1434" s="0" t="inlineStr">
        <is>
          <t>NULL</t>
        </is>
      </c>
      <c r="C1434" s="0" t="inlineStr">
        <is>
          <t>NULL</t>
        </is>
      </c>
      <c r="D1434" s="0" t="inlineStr">
        <is>
          <t>NULL</t>
        </is>
      </c>
      <c r="E1434" s="0" t="inlineStr">
        <is>
          <t>NULL</t>
        </is>
      </c>
      <c r="F1434" s="0" t="inlineStr">
        <is>
          <t>NULL</t>
        </is>
      </c>
      <c r="G1434" s="0" t="inlineStr">
        <is>
          <t>NULL</t>
        </is>
      </c>
      <c r="H1434" s="0" t="inlineStr">
        <is>
          <t>NULL</t>
        </is>
      </c>
      <c r="I1434" s="0" t="inlineStr">
        <is>
          <t>NULL</t>
        </is>
      </c>
      <c r="J1434" s="0" t="inlineStr">
        <is>
          <t>NULL</t>
        </is>
      </c>
      <c r="K1434" s="0" t="inlineStr">
        <is>
          <t>YES! 	 c_dtoffset_4列源备映射正确，源端为datetimeoffset None位	期望更改为datetimeoffset(n)	实际备端为datetimeoffset None位</t>
        </is>
      </c>
    </row>
    <row r="1435">
      <c r="B1435" s="0" t="inlineStr">
        <is>
          <t>NULL</t>
        </is>
      </c>
      <c r="C1435" s="0" t="inlineStr">
        <is>
          <t>NULL</t>
        </is>
      </c>
      <c r="D1435" s="0" t="inlineStr">
        <is>
          <t>NULL</t>
        </is>
      </c>
      <c r="E1435" s="0" t="inlineStr">
        <is>
          <t>NULL</t>
        </is>
      </c>
      <c r="F1435" s="0" t="inlineStr">
        <is>
          <t>NULL</t>
        </is>
      </c>
      <c r="G1435" s="0" t="inlineStr">
        <is>
          <t>NULL</t>
        </is>
      </c>
      <c r="H1435" s="0" t="inlineStr">
        <is>
          <t>NULL</t>
        </is>
      </c>
      <c r="I1435" s="0" t="inlineStr">
        <is>
          <t>NULL</t>
        </is>
      </c>
      <c r="J1435" s="0" t="inlineStr">
        <is>
          <t>NULL</t>
        </is>
      </c>
      <c r="K1435" s="0" t="inlineStr">
        <is>
          <t>YES! 	 c_dtoffset_5列源备映射正确，源端为datetimeoffset None位	期望更改为datetimeoffset(n)	实际备端为datetimeoffset None位</t>
        </is>
      </c>
    </row>
    <row r="1436">
      <c r="B1436" s="0" t="inlineStr">
        <is>
          <t>NULL</t>
        </is>
      </c>
      <c r="C1436" s="0" t="inlineStr">
        <is>
          <t>NULL</t>
        </is>
      </c>
      <c r="D1436" s="0" t="inlineStr">
        <is>
          <t>NULL</t>
        </is>
      </c>
      <c r="E1436" s="0" t="inlineStr">
        <is>
          <t>NULL</t>
        </is>
      </c>
      <c r="F1436" s="0" t="inlineStr">
        <is>
          <t>NULL</t>
        </is>
      </c>
      <c r="G1436" s="0" t="inlineStr">
        <is>
          <t>NULL</t>
        </is>
      </c>
      <c r="H1436" s="0" t="inlineStr">
        <is>
          <t>NULL</t>
        </is>
      </c>
      <c r="I1436" s="0" t="inlineStr">
        <is>
          <t>NULL</t>
        </is>
      </c>
      <c r="J1436" s="0" t="inlineStr">
        <is>
          <t>NULL</t>
        </is>
      </c>
      <c r="K1436" s="0" t="inlineStr">
        <is>
          <t>YES! 	 c_dtoffset_6列源备映射正确，源端为datetimeoffset None位	期望更改为datetimeoffset(n)	实际备端为datetimeoffset None位</t>
        </is>
      </c>
    </row>
    <row r="1437">
      <c r="B1437" s="0" t="inlineStr">
        <is>
          <t>NULL</t>
        </is>
      </c>
      <c r="C1437" s="0" t="inlineStr">
        <is>
          <t>NULL</t>
        </is>
      </c>
      <c r="D1437" s="0" t="inlineStr">
        <is>
          <t>NULL</t>
        </is>
      </c>
      <c r="E1437" s="0" t="inlineStr">
        <is>
          <t>NULL</t>
        </is>
      </c>
      <c r="F1437" s="0" t="inlineStr">
        <is>
          <t>NULL</t>
        </is>
      </c>
      <c r="G1437" s="0" t="inlineStr">
        <is>
          <t>NULL</t>
        </is>
      </c>
      <c r="H1437" s="0" t="inlineStr">
        <is>
          <t>NULL</t>
        </is>
      </c>
      <c r="I1437" s="0" t="inlineStr">
        <is>
          <t>NULL</t>
        </is>
      </c>
      <c r="J1437" s="0" t="inlineStr">
        <is>
          <t>NULL</t>
        </is>
      </c>
      <c r="K1437" s="0" t="inlineStr">
        <is>
          <t>YES! 	 c_dtoffset列源备映射正确，源端为datetimeoffset None位	期望更改为datetimeoffset(n)	实际备端为datetimeoffset None位</t>
        </is>
      </c>
    </row>
    <row r="1438">
      <c r="A1438" s="0" t="inlineStr">
        <is>
          <t>info_binary_dml_single_pk_irp</t>
        </is>
      </c>
      <c r="K1438" s="0" t="inlineStr">
        <is>
          <t>[0;34m info_binary_dml_single_pk_irp [0m源备字段数相同，源端字段：4 	备端字段4</t>
        </is>
      </c>
      <c r="W1438" s="0" t="inlineStr">
        <is>
          <t>YES 源备无差异</t>
        </is>
      </c>
      <c r="X1438" s="0">
        <f>A1438</f>
        <v/>
      </c>
    </row>
    <row r="1439">
      <c r="B1439" s="0" t="inlineStr">
        <is>
          <t>YES</t>
        </is>
      </c>
      <c r="C1439" s="0" t="inlineStr">
        <is>
          <t>NULL</t>
        </is>
      </c>
      <c r="D1439" s="0" t="inlineStr">
        <is>
          <t>NULL</t>
        </is>
      </c>
      <c r="E1439" s="0" t="inlineStr">
        <is>
          <t>NULL</t>
        </is>
      </c>
      <c r="F1439" s="0" t="inlineStr">
        <is>
          <t>NULL</t>
        </is>
      </c>
      <c r="G1439" s="0" t="inlineStr">
        <is>
          <t>NULL</t>
        </is>
      </c>
      <c r="H1439" s="0" t="inlineStr">
        <is>
          <t>NULL</t>
        </is>
      </c>
      <c r="I1439" s="0" t="inlineStr">
        <is>
          <t>YES!PK__info_bin__3213E83FFC5F28A0</t>
        </is>
      </c>
      <c r="J1439" s="0" t="inlineStr">
        <is>
          <t>YES! 主键相关索引</t>
        </is>
      </c>
      <c r="K1439" s="0" t="inlineStr">
        <is>
          <t>YES! 	 id列源备映射正确，源端为int None位	期望更改为int	实际备端为int None位</t>
        </is>
      </c>
    </row>
    <row r="1440">
      <c r="B1440" s="0" t="inlineStr">
        <is>
          <t>NULL</t>
        </is>
      </c>
      <c r="C1440" s="0" t="inlineStr">
        <is>
          <t>NULL</t>
        </is>
      </c>
      <c r="D1440" s="0" t="inlineStr">
        <is>
          <t>NULL</t>
        </is>
      </c>
      <c r="E1440" s="0" t="inlineStr">
        <is>
          <t>NULL</t>
        </is>
      </c>
      <c r="F1440" s="0" t="inlineStr">
        <is>
          <t>NULL</t>
        </is>
      </c>
      <c r="G1440" s="0" t="inlineStr">
        <is>
          <t>NULL</t>
        </is>
      </c>
      <c r="H1440" s="0" t="inlineStr">
        <is>
          <t>NULL</t>
        </is>
      </c>
      <c r="I1440" s="0" t="inlineStr">
        <is>
          <t>NULL</t>
        </is>
      </c>
      <c r="J1440" s="0" t="inlineStr">
        <is>
          <t>NULL</t>
        </is>
      </c>
      <c r="K1440" s="0" t="inlineStr">
        <is>
          <t>YES! 	 c_binary列源备映射正确，源端为binary 1位	期望更改为binary(n)	实际备端为binary 1位</t>
        </is>
      </c>
    </row>
    <row r="1441">
      <c r="B1441" s="0" t="inlineStr">
        <is>
          <t>NULL</t>
        </is>
      </c>
      <c r="C1441" s="0" t="inlineStr">
        <is>
          <t>NULL</t>
        </is>
      </c>
      <c r="D1441" s="0" t="inlineStr">
        <is>
          <t>NULL</t>
        </is>
      </c>
      <c r="E1441" s="0" t="inlineStr">
        <is>
          <t>NULL</t>
        </is>
      </c>
      <c r="F1441" s="0" t="inlineStr">
        <is>
          <t>NULL</t>
        </is>
      </c>
      <c r="G1441" s="0" t="inlineStr">
        <is>
          <t>NULL</t>
        </is>
      </c>
      <c r="H1441" s="0" t="inlineStr">
        <is>
          <t>NULL</t>
        </is>
      </c>
      <c r="I1441" s="0" t="inlineStr">
        <is>
          <t>NULL</t>
        </is>
      </c>
      <c r="J1441" s="0" t="inlineStr">
        <is>
          <t>NULL</t>
        </is>
      </c>
      <c r="K1441" s="0" t="inlineStr">
        <is>
          <t>YES! 	 c_binary_20列源备映射正确，源端为binary 20位	期望更改为binary(n)	实际备端为binary 20位</t>
        </is>
      </c>
    </row>
    <row r="1442">
      <c r="B1442" s="0" t="inlineStr">
        <is>
          <t>NULL</t>
        </is>
      </c>
      <c r="C1442" s="0" t="inlineStr">
        <is>
          <t>NULL</t>
        </is>
      </c>
      <c r="D1442" s="0" t="inlineStr">
        <is>
          <t>NULL</t>
        </is>
      </c>
      <c r="E1442" s="0" t="inlineStr">
        <is>
          <t>NULL</t>
        </is>
      </c>
      <c r="F1442" s="0" t="inlineStr">
        <is>
          <t>NULL</t>
        </is>
      </c>
      <c r="G1442" s="0" t="inlineStr">
        <is>
          <t>NULL</t>
        </is>
      </c>
      <c r="H1442" s="0" t="inlineStr">
        <is>
          <t>NULL</t>
        </is>
      </c>
      <c r="I1442" s="0" t="inlineStr">
        <is>
          <t>NULL</t>
        </is>
      </c>
      <c r="J1442" s="0" t="inlineStr">
        <is>
          <t>NULL</t>
        </is>
      </c>
      <c r="K1442" s="0" t="inlineStr">
        <is>
          <t>YES! 	 c_binary_8000列源备映射正确，源端为binary 8000位	期望更改为binary(n)	实际备端为binary 8000位</t>
        </is>
      </c>
    </row>
    <row r="1443">
      <c r="A1443" s="0" t="inlineStr">
        <is>
          <t>info_varcharmax_dml_batch2_pk_irp2</t>
        </is>
      </c>
      <c r="K1443" s="0" t="inlineStr">
        <is>
          <t>[0;34m info_varcharmax_dml_batch2_pk_irp2 [0m源备字段数相同，源端字段：3 	备端字段3</t>
        </is>
      </c>
      <c r="W1443" s="0" t="inlineStr">
        <is>
          <t>YES 源备无差异</t>
        </is>
      </c>
      <c r="X1443" s="0">
        <f>A1443</f>
        <v/>
      </c>
    </row>
    <row r="1444">
      <c r="B1444" s="0" t="inlineStr">
        <is>
          <t>YES</t>
        </is>
      </c>
      <c r="C1444" s="0" t="inlineStr">
        <is>
          <t>NULL</t>
        </is>
      </c>
      <c r="D1444" s="0" t="inlineStr">
        <is>
          <t>NULL</t>
        </is>
      </c>
      <c r="E1444" s="0" t="inlineStr">
        <is>
          <t>NULL</t>
        </is>
      </c>
      <c r="F1444" s="0" t="inlineStr">
        <is>
          <t>NULL</t>
        </is>
      </c>
      <c r="G1444" s="0" t="inlineStr">
        <is>
          <t>NULL</t>
        </is>
      </c>
      <c r="H1444" s="0" t="inlineStr">
        <is>
          <t>NULL</t>
        </is>
      </c>
      <c r="I1444" s="0" t="inlineStr">
        <is>
          <t>YES!PK__info_var__3213E83FBB95D9E3</t>
        </is>
      </c>
      <c r="J1444" s="0" t="inlineStr">
        <is>
          <t>YES! 主键相关索引</t>
        </is>
      </c>
      <c r="K1444" s="0" t="inlineStr">
        <is>
          <t>YES! 	 id列源备映射正确，源端为int None位	期望更改为int	实际备端为int None位</t>
        </is>
      </c>
    </row>
    <row r="1445">
      <c r="B1445" s="0" t="inlineStr">
        <is>
          <t>NULL</t>
        </is>
      </c>
      <c r="C1445" s="0" t="inlineStr">
        <is>
          <t>NULL</t>
        </is>
      </c>
      <c r="D1445" s="0" t="inlineStr">
        <is>
          <t>NULL</t>
        </is>
      </c>
      <c r="E1445" s="0" t="inlineStr">
        <is>
          <t>NULL</t>
        </is>
      </c>
      <c r="F1445" s="0" t="inlineStr">
        <is>
          <t>NULL</t>
        </is>
      </c>
      <c r="G1445" s="0" t="inlineStr">
        <is>
          <t>NULL</t>
        </is>
      </c>
      <c r="H1445" s="0" t="inlineStr">
        <is>
          <t>NULL</t>
        </is>
      </c>
      <c r="I1445" s="0" t="inlineStr">
        <is>
          <t>NULL</t>
        </is>
      </c>
      <c r="J1445" s="0" t="inlineStr">
        <is>
          <t>NULL</t>
        </is>
      </c>
      <c r="K1445" s="0" t="inlineStr">
        <is>
          <t>YES! 	 c_varchar_max列源备映射正确，源端为varchar -1位	期望更改为varchar(n)	实际备端为varchar -1位</t>
        </is>
      </c>
    </row>
    <row r="1446">
      <c r="B1446" s="0" t="inlineStr">
        <is>
          <t>NULL</t>
        </is>
      </c>
      <c r="C1446" s="0" t="inlineStr">
        <is>
          <t>NULL</t>
        </is>
      </c>
      <c r="D1446" s="0" t="inlineStr">
        <is>
          <t>NULL</t>
        </is>
      </c>
      <c r="E1446" s="0" t="inlineStr">
        <is>
          <t>NULL</t>
        </is>
      </c>
      <c r="F1446" s="0" t="inlineStr">
        <is>
          <t>NULL</t>
        </is>
      </c>
      <c r="G1446" s="0" t="inlineStr">
        <is>
          <t>NULL</t>
        </is>
      </c>
      <c r="H1446" s="0" t="inlineStr">
        <is>
          <t>NULL</t>
        </is>
      </c>
      <c r="I1446" s="0" t="inlineStr">
        <is>
          <t>NULL</t>
        </is>
      </c>
      <c r="J1446" s="0" t="inlineStr">
        <is>
          <t>NULL</t>
        </is>
      </c>
      <c r="K1446" s="0" t="inlineStr">
        <is>
          <t>YES! 	 c_nvarchar_max列源备映射正确，源端为nvarchar -1位	期望更改为nvarchar(n)	实际备端为nvarchar -1位</t>
        </is>
      </c>
    </row>
    <row r="1447">
      <c r="K1447" s="0" t="inlineStr">
        <is>
          <t>~ 空表</t>
        </is>
      </c>
    </row>
    <row r="1448">
      <c r="A1448" s="0" t="inlineStr">
        <is>
          <t>info_datetime2_dml_single_nopk_irp</t>
        </is>
      </c>
      <c r="K1448" s="0" t="inlineStr">
        <is>
          <t>[0;34m info_datetime2_dml_single_nopk_irp [0m源备字段数相同，源端字段：9 	备端字段9</t>
        </is>
      </c>
      <c r="W1448" s="0" t="inlineStr">
        <is>
          <t>YES 源备无差异</t>
        </is>
      </c>
      <c r="X1448" s="0">
        <f>A1448</f>
        <v/>
      </c>
    </row>
    <row r="1449">
      <c r="B1449" s="0" t="inlineStr">
        <is>
          <t>NULL</t>
        </is>
      </c>
      <c r="C1449" s="0" t="inlineStr">
        <is>
          <t>NULL</t>
        </is>
      </c>
      <c r="D1449" s="0" t="inlineStr">
        <is>
          <t>NULL</t>
        </is>
      </c>
      <c r="E1449" s="0" t="inlineStr">
        <is>
          <t>NULL</t>
        </is>
      </c>
      <c r="F1449" s="0" t="inlineStr">
        <is>
          <t>NULL</t>
        </is>
      </c>
      <c r="G1449" s="0" t="inlineStr">
        <is>
          <t>NULL</t>
        </is>
      </c>
      <c r="H1449" s="0" t="inlineStr">
        <is>
          <t>NULL</t>
        </is>
      </c>
      <c r="I1449" s="0" t="inlineStr">
        <is>
          <t>NULL</t>
        </is>
      </c>
      <c r="J1449" s="0" t="inlineStr">
        <is>
          <t>NULL</t>
        </is>
      </c>
      <c r="K1449" s="0" t="inlineStr">
        <is>
          <t>YES! 	 id列源备映射正确，源端为int None位	期望更改为int	实际备端为int None位</t>
        </is>
      </c>
    </row>
    <row r="1450">
      <c r="B1450" s="0" t="inlineStr">
        <is>
          <t>NULL</t>
        </is>
      </c>
      <c r="C1450" s="0" t="inlineStr">
        <is>
          <t>NULL</t>
        </is>
      </c>
      <c r="D1450" s="0" t="inlineStr">
        <is>
          <t>NULL</t>
        </is>
      </c>
      <c r="E1450" s="0" t="inlineStr">
        <is>
          <t>NULL</t>
        </is>
      </c>
      <c r="F1450" s="0" t="inlineStr">
        <is>
          <t>NULL</t>
        </is>
      </c>
      <c r="G1450" s="0" t="inlineStr">
        <is>
          <t>NULL</t>
        </is>
      </c>
      <c r="H1450" s="0" t="inlineStr">
        <is>
          <t>NULL</t>
        </is>
      </c>
      <c r="I1450" s="0" t="inlineStr">
        <is>
          <t>NULL</t>
        </is>
      </c>
      <c r="J1450" s="0" t="inlineStr">
        <is>
          <t>NULL</t>
        </is>
      </c>
      <c r="K1450" s="0" t="inlineStr">
        <is>
          <t>no,len不存在</t>
        </is>
      </c>
    </row>
    <row r="1451">
      <c r="B1451" s="0" t="inlineStr">
        <is>
          <t>NULL</t>
        </is>
      </c>
      <c r="C1451" s="0" t="inlineStr">
        <is>
          <t>NULL</t>
        </is>
      </c>
      <c r="D1451" s="0" t="inlineStr">
        <is>
          <t>NULL</t>
        </is>
      </c>
      <c r="E1451" s="0" t="inlineStr">
        <is>
          <t>NULL</t>
        </is>
      </c>
      <c r="F1451" s="0" t="inlineStr">
        <is>
          <t>NULL</t>
        </is>
      </c>
      <c r="G1451" s="0" t="inlineStr">
        <is>
          <t>NULL</t>
        </is>
      </c>
      <c r="H1451" s="0" t="inlineStr">
        <is>
          <t>NULL</t>
        </is>
      </c>
      <c r="I1451" s="0" t="inlineStr">
        <is>
          <t>NULL</t>
        </is>
      </c>
      <c r="J1451" s="0" t="inlineStr">
        <is>
          <t>NULL</t>
        </is>
      </c>
      <c r="K1451" s="0" t="inlineStr">
        <is>
          <t>YES! 	 c_dt2_1列源备映射正确，源端为datetime2 None位	期望更改为datetime2(n)	实际备端为datetime2 None位</t>
        </is>
      </c>
    </row>
    <row r="1452">
      <c r="B1452" s="0" t="inlineStr">
        <is>
          <t>NULL</t>
        </is>
      </c>
      <c r="C1452" s="0" t="inlineStr">
        <is>
          <t>NULL</t>
        </is>
      </c>
      <c r="D1452" s="0" t="inlineStr">
        <is>
          <t>NULL</t>
        </is>
      </c>
      <c r="E1452" s="0" t="inlineStr">
        <is>
          <t>NULL</t>
        </is>
      </c>
      <c r="F1452" s="0" t="inlineStr">
        <is>
          <t>NULL</t>
        </is>
      </c>
      <c r="G1452" s="0" t="inlineStr">
        <is>
          <t>NULL</t>
        </is>
      </c>
      <c r="H1452" s="0" t="inlineStr">
        <is>
          <t>NULL</t>
        </is>
      </c>
      <c r="I1452" s="0" t="inlineStr">
        <is>
          <t>NULL</t>
        </is>
      </c>
      <c r="J1452" s="0" t="inlineStr">
        <is>
          <t>NULL</t>
        </is>
      </c>
      <c r="K1452" s="0" t="inlineStr">
        <is>
          <t>YES! 	 c_dt2_2列源备映射正确，源端为datetime2 None位	期望更改为datetime2(n)	实际备端为datetime2 None位</t>
        </is>
      </c>
    </row>
    <row r="1453">
      <c r="B1453" s="0" t="inlineStr">
        <is>
          <t>NULL</t>
        </is>
      </c>
      <c r="C1453" s="0" t="inlineStr">
        <is>
          <t>NULL</t>
        </is>
      </c>
      <c r="D1453" s="0" t="inlineStr">
        <is>
          <t>NULL</t>
        </is>
      </c>
      <c r="E1453" s="0" t="inlineStr">
        <is>
          <t>NULL</t>
        </is>
      </c>
      <c r="F1453" s="0" t="inlineStr">
        <is>
          <t>NULL</t>
        </is>
      </c>
      <c r="G1453" s="0" t="inlineStr">
        <is>
          <t>NULL</t>
        </is>
      </c>
      <c r="H1453" s="0" t="inlineStr">
        <is>
          <t>NULL</t>
        </is>
      </c>
      <c r="I1453" s="0" t="inlineStr">
        <is>
          <t>NULL</t>
        </is>
      </c>
      <c r="J1453" s="0" t="inlineStr">
        <is>
          <t>NULL</t>
        </is>
      </c>
      <c r="K1453" s="0" t="inlineStr">
        <is>
          <t>YES! 	 c_dt2_3列源备映射正确，源端为datetime2 None位	期望更改为datetime2(n)	实际备端为datetime2 None位</t>
        </is>
      </c>
    </row>
    <row r="1454">
      <c r="B1454" s="0" t="inlineStr">
        <is>
          <t>NULL</t>
        </is>
      </c>
      <c r="C1454" s="0" t="inlineStr">
        <is>
          <t>NULL</t>
        </is>
      </c>
      <c r="D1454" s="0" t="inlineStr">
        <is>
          <t>NULL</t>
        </is>
      </c>
      <c r="E1454" s="0" t="inlineStr">
        <is>
          <t>NULL</t>
        </is>
      </c>
      <c r="F1454" s="0" t="inlineStr">
        <is>
          <t>NULL</t>
        </is>
      </c>
      <c r="G1454" s="0" t="inlineStr">
        <is>
          <t>NULL</t>
        </is>
      </c>
      <c r="H1454" s="0" t="inlineStr">
        <is>
          <t>NULL</t>
        </is>
      </c>
      <c r="I1454" s="0" t="inlineStr">
        <is>
          <t>NULL</t>
        </is>
      </c>
      <c r="J1454" s="0" t="inlineStr">
        <is>
          <t>NULL</t>
        </is>
      </c>
      <c r="K1454" s="0" t="inlineStr">
        <is>
          <t>YES! 	 c_dt2_4列源备映射正确，源端为datetime2 None位	期望更改为datetime2(n)	实际备端为datetime2 None位</t>
        </is>
      </c>
    </row>
    <row r="1455">
      <c r="B1455" s="0" t="inlineStr">
        <is>
          <t>NULL</t>
        </is>
      </c>
      <c r="C1455" s="0" t="inlineStr">
        <is>
          <t>NULL</t>
        </is>
      </c>
      <c r="D1455" s="0" t="inlineStr">
        <is>
          <t>NULL</t>
        </is>
      </c>
      <c r="E1455" s="0" t="inlineStr">
        <is>
          <t>NULL</t>
        </is>
      </c>
      <c r="F1455" s="0" t="inlineStr">
        <is>
          <t>NULL</t>
        </is>
      </c>
      <c r="G1455" s="0" t="inlineStr">
        <is>
          <t>NULL</t>
        </is>
      </c>
      <c r="H1455" s="0" t="inlineStr">
        <is>
          <t>NULL</t>
        </is>
      </c>
      <c r="I1455" s="0" t="inlineStr">
        <is>
          <t>NULL</t>
        </is>
      </c>
      <c r="J1455" s="0" t="inlineStr">
        <is>
          <t>NULL</t>
        </is>
      </c>
      <c r="K1455" s="0" t="inlineStr">
        <is>
          <t>YES! 	 c_dt2_5列源备映射正确，源端为datetime2 None位	期望更改为datetime2(n)	实际备端为datetime2 None位</t>
        </is>
      </c>
    </row>
    <row r="1456">
      <c r="B1456" s="0" t="inlineStr">
        <is>
          <t>NULL</t>
        </is>
      </c>
      <c r="C1456" s="0" t="inlineStr">
        <is>
          <t>NULL</t>
        </is>
      </c>
      <c r="D1456" s="0" t="inlineStr">
        <is>
          <t>NULL</t>
        </is>
      </c>
      <c r="E1456" s="0" t="inlineStr">
        <is>
          <t>NULL</t>
        </is>
      </c>
      <c r="F1456" s="0" t="inlineStr">
        <is>
          <t>NULL</t>
        </is>
      </c>
      <c r="G1456" s="0" t="inlineStr">
        <is>
          <t>NULL</t>
        </is>
      </c>
      <c r="H1456" s="0" t="inlineStr">
        <is>
          <t>NULL</t>
        </is>
      </c>
      <c r="I1456" s="0" t="inlineStr">
        <is>
          <t>NULL</t>
        </is>
      </c>
      <c r="J1456" s="0" t="inlineStr">
        <is>
          <t>NULL</t>
        </is>
      </c>
      <c r="K1456" s="0" t="inlineStr">
        <is>
          <t>YES! 	 c_dt2_6列源备映射正确，源端为datetime2 None位	期望更改为datetime2(n)	实际备端为datetime2 None位</t>
        </is>
      </c>
    </row>
    <row r="1457">
      <c r="B1457" s="0" t="inlineStr">
        <is>
          <t>NULL</t>
        </is>
      </c>
      <c r="C1457" s="0" t="inlineStr">
        <is>
          <t>NULL</t>
        </is>
      </c>
      <c r="D1457" s="0" t="inlineStr">
        <is>
          <t>NULL</t>
        </is>
      </c>
      <c r="E1457" s="0" t="inlineStr">
        <is>
          <t>NULL</t>
        </is>
      </c>
      <c r="F1457" s="0" t="inlineStr">
        <is>
          <t>NULL</t>
        </is>
      </c>
      <c r="G1457" s="0" t="inlineStr">
        <is>
          <t>NULL</t>
        </is>
      </c>
      <c r="H1457" s="0" t="inlineStr">
        <is>
          <t>NULL</t>
        </is>
      </c>
      <c r="I1457" s="0" t="inlineStr">
        <is>
          <t>NULL</t>
        </is>
      </c>
      <c r="J1457" s="0" t="inlineStr">
        <is>
          <t>NULL</t>
        </is>
      </c>
      <c r="K1457" s="0" t="inlineStr">
        <is>
          <t>YES! 	 c_dt2列源备映射正确，源端为datetime2 None位	期望更改为datetime2(n)	实际备端为datetime2 None位</t>
        </is>
      </c>
    </row>
    <row r="1458">
      <c r="A1458" s="0" t="inlineStr">
        <is>
          <t>info_datetimeoffset_dml_single_pk_urp</t>
        </is>
      </c>
      <c r="K1458" s="0" t="inlineStr">
        <is>
          <t>[0;34m info_datetimeoffset_dml_single_pk_urp [0m源备字段数相同，源端字段：9 	备端字段9</t>
        </is>
      </c>
      <c r="W1458" s="0" t="inlineStr">
        <is>
          <t>YES 源备无差异</t>
        </is>
      </c>
      <c r="X1458" s="0">
        <f>A1458</f>
        <v/>
      </c>
    </row>
    <row r="1459">
      <c r="B1459" s="0" t="inlineStr">
        <is>
          <t>YES</t>
        </is>
      </c>
      <c r="C1459" s="0" t="inlineStr">
        <is>
          <t>NULL</t>
        </is>
      </c>
      <c r="D1459" s="0" t="inlineStr">
        <is>
          <t>NULL</t>
        </is>
      </c>
      <c r="E1459" s="0" t="inlineStr">
        <is>
          <t>NULL</t>
        </is>
      </c>
      <c r="F1459" s="0" t="inlineStr">
        <is>
          <t>NULL</t>
        </is>
      </c>
      <c r="G1459" s="0" t="inlineStr">
        <is>
          <t>NULL</t>
        </is>
      </c>
      <c r="H1459" s="0" t="inlineStr">
        <is>
          <t>NULL</t>
        </is>
      </c>
      <c r="I1459" s="0" t="inlineStr">
        <is>
          <t>YES!PK__info_dat__3213E83F615F1D58</t>
        </is>
      </c>
      <c r="J1459" s="0" t="inlineStr">
        <is>
          <t>YES! 主键相关索引</t>
        </is>
      </c>
      <c r="K1459" s="0" t="inlineStr">
        <is>
          <t>YES! 	 id列源备映射正确，源端为int None位	期望更改为int	实际备端为int None位</t>
        </is>
      </c>
    </row>
    <row r="1460">
      <c r="B1460" s="0" t="inlineStr">
        <is>
          <t>NULL</t>
        </is>
      </c>
      <c r="C1460" s="0" t="inlineStr">
        <is>
          <t>NULL</t>
        </is>
      </c>
      <c r="D1460" s="0" t="inlineStr">
        <is>
          <t>NULL</t>
        </is>
      </c>
      <c r="E1460" s="0" t="inlineStr">
        <is>
          <t>NULL</t>
        </is>
      </c>
      <c r="F1460" s="0" t="inlineStr">
        <is>
          <t>NULL</t>
        </is>
      </c>
      <c r="G1460" s="0" t="inlineStr">
        <is>
          <t>NULL</t>
        </is>
      </c>
      <c r="H1460" s="0" t="inlineStr">
        <is>
          <t>NULL</t>
        </is>
      </c>
      <c r="I1460" s="0" t="inlineStr">
        <is>
          <t>NULL</t>
        </is>
      </c>
      <c r="J1460" s="0" t="inlineStr">
        <is>
          <t>NULL</t>
        </is>
      </c>
      <c r="K1460" s="0" t="inlineStr">
        <is>
          <t>no,len不存在</t>
        </is>
      </c>
    </row>
    <row r="1461">
      <c r="B1461" s="0" t="inlineStr">
        <is>
          <t>NULL</t>
        </is>
      </c>
      <c r="C1461" s="0" t="inlineStr">
        <is>
          <t>NULL</t>
        </is>
      </c>
      <c r="D1461" s="0" t="inlineStr">
        <is>
          <t>NULL</t>
        </is>
      </c>
      <c r="E1461" s="0" t="inlineStr">
        <is>
          <t>NULL</t>
        </is>
      </c>
      <c r="F1461" s="0" t="inlineStr">
        <is>
          <t>NULL</t>
        </is>
      </c>
      <c r="G1461" s="0" t="inlineStr">
        <is>
          <t>NULL</t>
        </is>
      </c>
      <c r="H1461" s="0" t="inlineStr">
        <is>
          <t>NULL</t>
        </is>
      </c>
      <c r="I1461" s="0" t="inlineStr">
        <is>
          <t>NULL</t>
        </is>
      </c>
      <c r="J1461" s="0" t="inlineStr">
        <is>
          <t>NULL</t>
        </is>
      </c>
      <c r="K1461" s="0" t="inlineStr">
        <is>
          <t>YES! 	 c_dtoffset_1列源备映射正确，源端为datetimeoffset None位	期望更改为datetimeoffset(n)	实际备端为datetimeoffset None位</t>
        </is>
      </c>
    </row>
    <row r="1462">
      <c r="B1462" s="0" t="inlineStr">
        <is>
          <t>NULL</t>
        </is>
      </c>
      <c r="C1462" s="0" t="inlineStr">
        <is>
          <t>NULL</t>
        </is>
      </c>
      <c r="D1462" s="0" t="inlineStr">
        <is>
          <t>NULL</t>
        </is>
      </c>
      <c r="E1462" s="0" t="inlineStr">
        <is>
          <t>NULL</t>
        </is>
      </c>
      <c r="F1462" s="0" t="inlineStr">
        <is>
          <t>NULL</t>
        </is>
      </c>
      <c r="G1462" s="0" t="inlineStr">
        <is>
          <t>NULL</t>
        </is>
      </c>
      <c r="H1462" s="0" t="inlineStr">
        <is>
          <t>NULL</t>
        </is>
      </c>
      <c r="I1462" s="0" t="inlineStr">
        <is>
          <t>NULL</t>
        </is>
      </c>
      <c r="J1462" s="0" t="inlineStr">
        <is>
          <t>NULL</t>
        </is>
      </c>
      <c r="K1462" s="0" t="inlineStr">
        <is>
          <t>YES! 	 c_dtoffset_2列源备映射正确，源端为datetimeoffset None位	期望更改为datetimeoffset(n)	实际备端为datetimeoffset None位</t>
        </is>
      </c>
    </row>
    <row r="1463">
      <c r="B1463" s="0" t="inlineStr">
        <is>
          <t>NULL</t>
        </is>
      </c>
      <c r="C1463" s="0" t="inlineStr">
        <is>
          <t>NULL</t>
        </is>
      </c>
      <c r="D1463" s="0" t="inlineStr">
        <is>
          <t>NULL</t>
        </is>
      </c>
      <c r="E1463" s="0" t="inlineStr">
        <is>
          <t>NULL</t>
        </is>
      </c>
      <c r="F1463" s="0" t="inlineStr">
        <is>
          <t>NULL</t>
        </is>
      </c>
      <c r="G1463" s="0" t="inlineStr">
        <is>
          <t>NULL</t>
        </is>
      </c>
      <c r="H1463" s="0" t="inlineStr">
        <is>
          <t>NULL</t>
        </is>
      </c>
      <c r="I1463" s="0" t="inlineStr">
        <is>
          <t>NULL</t>
        </is>
      </c>
      <c r="J1463" s="0" t="inlineStr">
        <is>
          <t>NULL</t>
        </is>
      </c>
      <c r="K1463" s="0" t="inlineStr">
        <is>
          <t>YES! 	 c_dtoffset_3列源备映射正确，源端为datetimeoffset None位	期望更改为datetimeoffset(n)	实际备端为datetimeoffset None位</t>
        </is>
      </c>
    </row>
    <row r="1464">
      <c r="B1464" s="0" t="inlineStr">
        <is>
          <t>NULL</t>
        </is>
      </c>
      <c r="C1464" s="0" t="inlineStr">
        <is>
          <t>NULL</t>
        </is>
      </c>
      <c r="D1464" s="0" t="inlineStr">
        <is>
          <t>NULL</t>
        </is>
      </c>
      <c r="E1464" s="0" t="inlineStr">
        <is>
          <t>NULL</t>
        </is>
      </c>
      <c r="F1464" s="0" t="inlineStr">
        <is>
          <t>NULL</t>
        </is>
      </c>
      <c r="G1464" s="0" t="inlineStr">
        <is>
          <t>NULL</t>
        </is>
      </c>
      <c r="H1464" s="0" t="inlineStr">
        <is>
          <t>NULL</t>
        </is>
      </c>
      <c r="I1464" s="0" t="inlineStr">
        <is>
          <t>NULL</t>
        </is>
      </c>
      <c r="J1464" s="0" t="inlineStr">
        <is>
          <t>NULL</t>
        </is>
      </c>
      <c r="K1464" s="0" t="inlineStr">
        <is>
          <t>YES! 	 c_dtoffset_4列源备映射正确，源端为datetimeoffset None位	期望更改为datetimeoffset(n)	实际备端为datetimeoffset None位</t>
        </is>
      </c>
    </row>
    <row r="1465">
      <c r="B1465" s="0" t="inlineStr">
        <is>
          <t>NULL</t>
        </is>
      </c>
      <c r="C1465" s="0" t="inlineStr">
        <is>
          <t>NULL</t>
        </is>
      </c>
      <c r="D1465" s="0" t="inlineStr">
        <is>
          <t>NULL</t>
        </is>
      </c>
      <c r="E1465" s="0" t="inlineStr">
        <is>
          <t>NULL</t>
        </is>
      </c>
      <c r="F1465" s="0" t="inlineStr">
        <is>
          <t>NULL</t>
        </is>
      </c>
      <c r="G1465" s="0" t="inlineStr">
        <is>
          <t>NULL</t>
        </is>
      </c>
      <c r="H1465" s="0" t="inlineStr">
        <is>
          <t>NULL</t>
        </is>
      </c>
      <c r="I1465" s="0" t="inlineStr">
        <is>
          <t>NULL</t>
        </is>
      </c>
      <c r="J1465" s="0" t="inlineStr">
        <is>
          <t>NULL</t>
        </is>
      </c>
      <c r="K1465" s="0" t="inlineStr">
        <is>
          <t>YES! 	 c_dtoffset_5列源备映射正确，源端为datetimeoffset None位	期望更改为datetimeoffset(n)	实际备端为datetimeoffset None位</t>
        </is>
      </c>
    </row>
    <row r="1466">
      <c r="B1466" s="0" t="inlineStr">
        <is>
          <t>NULL</t>
        </is>
      </c>
      <c r="C1466" s="0" t="inlineStr">
        <is>
          <t>NULL</t>
        </is>
      </c>
      <c r="D1466" s="0" t="inlineStr">
        <is>
          <t>NULL</t>
        </is>
      </c>
      <c r="E1466" s="0" t="inlineStr">
        <is>
          <t>NULL</t>
        </is>
      </c>
      <c r="F1466" s="0" t="inlineStr">
        <is>
          <t>NULL</t>
        </is>
      </c>
      <c r="G1466" s="0" t="inlineStr">
        <is>
          <t>NULL</t>
        </is>
      </c>
      <c r="H1466" s="0" t="inlineStr">
        <is>
          <t>NULL</t>
        </is>
      </c>
      <c r="I1466" s="0" t="inlineStr">
        <is>
          <t>NULL</t>
        </is>
      </c>
      <c r="J1466" s="0" t="inlineStr">
        <is>
          <t>NULL</t>
        </is>
      </c>
      <c r="K1466" s="0" t="inlineStr">
        <is>
          <t>YES! 	 c_dtoffset_6列源备映射正确，源端为datetimeoffset None位	期望更改为datetimeoffset(n)	实际备端为datetimeoffset None位</t>
        </is>
      </c>
    </row>
    <row r="1467">
      <c r="B1467" s="0" t="inlineStr">
        <is>
          <t>NULL</t>
        </is>
      </c>
      <c r="C1467" s="0" t="inlineStr">
        <is>
          <t>NULL</t>
        </is>
      </c>
      <c r="D1467" s="0" t="inlineStr">
        <is>
          <t>NULL</t>
        </is>
      </c>
      <c r="E1467" s="0" t="inlineStr">
        <is>
          <t>NULL</t>
        </is>
      </c>
      <c r="F1467" s="0" t="inlineStr">
        <is>
          <t>NULL</t>
        </is>
      </c>
      <c r="G1467" s="0" t="inlineStr">
        <is>
          <t>NULL</t>
        </is>
      </c>
      <c r="H1467" s="0" t="inlineStr">
        <is>
          <t>NULL</t>
        </is>
      </c>
      <c r="I1467" s="0" t="inlineStr">
        <is>
          <t>NULL</t>
        </is>
      </c>
      <c r="J1467" s="0" t="inlineStr">
        <is>
          <t>NULL</t>
        </is>
      </c>
      <c r="K1467" s="0" t="inlineStr">
        <is>
          <t>YES! 	 c_dtoffset列源备映射正确，源端为datetimeoffset None位	期望更改为datetimeoffset(n)	实际备端为datetimeoffset None位</t>
        </is>
      </c>
    </row>
    <row r="1468">
      <c r="A1468" s="0" t="inlineStr">
        <is>
          <t>info_binary_dml_single_pk_urp</t>
        </is>
      </c>
      <c r="K1468" s="0" t="inlineStr">
        <is>
          <t>[0;34m info_binary_dml_single_pk_urp [0m源备字段数相同，源端字段：4 	备端字段4</t>
        </is>
      </c>
      <c r="W1468" s="0" t="inlineStr">
        <is>
          <t>YES 源备无差异</t>
        </is>
      </c>
      <c r="X1468" s="0">
        <f>A1468</f>
        <v/>
      </c>
    </row>
    <row r="1469">
      <c r="B1469" s="0" t="inlineStr">
        <is>
          <t>YES</t>
        </is>
      </c>
      <c r="C1469" s="0" t="inlineStr">
        <is>
          <t>NULL</t>
        </is>
      </c>
      <c r="D1469" s="0" t="inlineStr">
        <is>
          <t>NULL</t>
        </is>
      </c>
      <c r="E1469" s="0" t="inlineStr">
        <is>
          <t>NULL</t>
        </is>
      </c>
      <c r="F1469" s="0" t="inlineStr">
        <is>
          <t>NULL</t>
        </is>
      </c>
      <c r="G1469" s="0" t="inlineStr">
        <is>
          <t>NULL</t>
        </is>
      </c>
      <c r="H1469" s="0" t="inlineStr">
        <is>
          <t>NULL</t>
        </is>
      </c>
      <c r="I1469" s="0" t="inlineStr">
        <is>
          <t>YES!PK__info_bin__3213E83FF5F75715</t>
        </is>
      </c>
      <c r="J1469" s="0" t="inlineStr">
        <is>
          <t>YES! 主键相关索引</t>
        </is>
      </c>
      <c r="K1469" s="0" t="inlineStr">
        <is>
          <t>YES! 	 id列源备映射正确，源端为int None位	期望更改为int	实际备端为int None位</t>
        </is>
      </c>
    </row>
    <row r="1470">
      <c r="B1470" s="0" t="inlineStr">
        <is>
          <t>NULL</t>
        </is>
      </c>
      <c r="C1470" s="0" t="inlineStr">
        <is>
          <t>NULL</t>
        </is>
      </c>
      <c r="D1470" s="0" t="inlineStr">
        <is>
          <t>NULL</t>
        </is>
      </c>
      <c r="E1470" s="0" t="inlineStr">
        <is>
          <t>NULL</t>
        </is>
      </c>
      <c r="F1470" s="0" t="inlineStr">
        <is>
          <t>NULL</t>
        </is>
      </c>
      <c r="G1470" s="0" t="inlineStr">
        <is>
          <t>NULL</t>
        </is>
      </c>
      <c r="H1470" s="0" t="inlineStr">
        <is>
          <t>NULL</t>
        </is>
      </c>
      <c r="I1470" s="0" t="inlineStr">
        <is>
          <t>NULL</t>
        </is>
      </c>
      <c r="J1470" s="0" t="inlineStr">
        <is>
          <t>NULL</t>
        </is>
      </c>
      <c r="K1470" s="0" t="inlineStr">
        <is>
          <t>YES! 	 c_binary列源备映射正确，源端为binary 1位	期望更改为binary(n)	实际备端为binary 1位</t>
        </is>
      </c>
    </row>
    <row r="1471">
      <c r="B1471" s="0" t="inlineStr">
        <is>
          <t>NULL</t>
        </is>
      </c>
      <c r="C1471" s="0" t="inlineStr">
        <is>
          <t>NULL</t>
        </is>
      </c>
      <c r="D1471" s="0" t="inlineStr">
        <is>
          <t>NULL</t>
        </is>
      </c>
      <c r="E1471" s="0" t="inlineStr">
        <is>
          <t>NULL</t>
        </is>
      </c>
      <c r="F1471" s="0" t="inlineStr">
        <is>
          <t>NULL</t>
        </is>
      </c>
      <c r="G1471" s="0" t="inlineStr">
        <is>
          <t>NULL</t>
        </is>
      </c>
      <c r="H1471" s="0" t="inlineStr">
        <is>
          <t>NULL</t>
        </is>
      </c>
      <c r="I1471" s="0" t="inlineStr">
        <is>
          <t>NULL</t>
        </is>
      </c>
      <c r="J1471" s="0" t="inlineStr">
        <is>
          <t>NULL</t>
        </is>
      </c>
      <c r="K1471" s="0" t="inlineStr">
        <is>
          <t>YES! 	 c_binary_20列源备映射正确，源端为binary 20位	期望更改为binary(n)	实际备端为binary 20位</t>
        </is>
      </c>
    </row>
    <row r="1472">
      <c r="B1472" s="0" t="inlineStr">
        <is>
          <t>NULL</t>
        </is>
      </c>
      <c r="C1472" s="0" t="inlineStr">
        <is>
          <t>NULL</t>
        </is>
      </c>
      <c r="D1472" s="0" t="inlineStr">
        <is>
          <t>NULL</t>
        </is>
      </c>
      <c r="E1472" s="0" t="inlineStr">
        <is>
          <t>NULL</t>
        </is>
      </c>
      <c r="F1472" s="0" t="inlineStr">
        <is>
          <t>NULL</t>
        </is>
      </c>
      <c r="G1472" s="0" t="inlineStr">
        <is>
          <t>NULL</t>
        </is>
      </c>
      <c r="H1472" s="0" t="inlineStr">
        <is>
          <t>NULL</t>
        </is>
      </c>
      <c r="I1472" s="0" t="inlineStr">
        <is>
          <t>NULL</t>
        </is>
      </c>
      <c r="J1472" s="0" t="inlineStr">
        <is>
          <t>NULL</t>
        </is>
      </c>
      <c r="K1472" s="0" t="inlineStr">
        <is>
          <t>YES! 	 c_binary_8000列源备映射正确，源端为binary 8000位	期望更改为binary(n)	实际备端为binary 8000位</t>
        </is>
      </c>
    </row>
    <row r="1473">
      <c r="A1473" s="0" t="inlineStr">
        <is>
          <t>info_datetimeoffset_dml_batch1_pk</t>
        </is>
      </c>
      <c r="K1473" s="0" t="inlineStr">
        <is>
          <t>[0;34m info_datetimeoffset_dml_batch1_pk [0m源备字段数相同，源端字段：9 	备端字段9</t>
        </is>
      </c>
      <c r="W1473" s="0" t="inlineStr">
        <is>
          <t>YES 源备无差异</t>
        </is>
      </c>
      <c r="X1473" s="0">
        <f>A1473</f>
        <v/>
      </c>
    </row>
    <row r="1474">
      <c r="B1474" s="0" t="inlineStr">
        <is>
          <t>YES</t>
        </is>
      </c>
      <c r="C1474" s="0" t="inlineStr">
        <is>
          <t>NULL</t>
        </is>
      </c>
      <c r="D1474" s="0" t="inlineStr">
        <is>
          <t>NULL</t>
        </is>
      </c>
      <c r="E1474" s="0" t="inlineStr">
        <is>
          <t>NULL</t>
        </is>
      </c>
      <c r="F1474" s="0" t="inlineStr">
        <is>
          <t>NULL</t>
        </is>
      </c>
      <c r="G1474" s="0" t="inlineStr">
        <is>
          <t>NULL</t>
        </is>
      </c>
      <c r="H1474" s="0" t="inlineStr">
        <is>
          <t>NULL</t>
        </is>
      </c>
      <c r="I1474" s="0" t="inlineStr">
        <is>
          <t>YES!PK__info_dat__3213E83F51752AA8</t>
        </is>
      </c>
      <c r="J1474" s="0" t="inlineStr">
        <is>
          <t>YES! 主键相关索引</t>
        </is>
      </c>
      <c r="K1474" s="0" t="inlineStr">
        <is>
          <t>YES! 	 id列源备映射正确，源端为int None位	期望更改为int	实际备端为int None位</t>
        </is>
      </c>
    </row>
    <row r="1475">
      <c r="B1475" s="0" t="inlineStr">
        <is>
          <t>NULL</t>
        </is>
      </c>
      <c r="C1475" s="0" t="inlineStr">
        <is>
          <t>NULL</t>
        </is>
      </c>
      <c r="D1475" s="0" t="inlineStr">
        <is>
          <t>NULL</t>
        </is>
      </c>
      <c r="E1475" s="0" t="inlineStr">
        <is>
          <t>NULL</t>
        </is>
      </c>
      <c r="F1475" s="0" t="inlineStr">
        <is>
          <t>NULL</t>
        </is>
      </c>
      <c r="G1475" s="0" t="inlineStr">
        <is>
          <t>NULL</t>
        </is>
      </c>
      <c r="H1475" s="0" t="inlineStr">
        <is>
          <t>NULL</t>
        </is>
      </c>
      <c r="I1475" s="0" t="inlineStr">
        <is>
          <t>NULL</t>
        </is>
      </c>
      <c r="J1475" s="0" t="inlineStr">
        <is>
          <t>NULL</t>
        </is>
      </c>
      <c r="K1475" s="0" t="inlineStr">
        <is>
          <t>no,len不存在</t>
        </is>
      </c>
    </row>
    <row r="1476">
      <c r="B1476" s="0" t="inlineStr">
        <is>
          <t>NULL</t>
        </is>
      </c>
      <c r="C1476" s="0" t="inlineStr">
        <is>
          <t>NULL</t>
        </is>
      </c>
      <c r="D1476" s="0" t="inlineStr">
        <is>
          <t>NULL</t>
        </is>
      </c>
      <c r="E1476" s="0" t="inlineStr">
        <is>
          <t>NULL</t>
        </is>
      </c>
      <c r="F1476" s="0" t="inlineStr">
        <is>
          <t>NULL</t>
        </is>
      </c>
      <c r="G1476" s="0" t="inlineStr">
        <is>
          <t>NULL</t>
        </is>
      </c>
      <c r="H1476" s="0" t="inlineStr">
        <is>
          <t>NULL</t>
        </is>
      </c>
      <c r="I1476" s="0" t="inlineStr">
        <is>
          <t>NULL</t>
        </is>
      </c>
      <c r="J1476" s="0" t="inlineStr">
        <is>
          <t>NULL</t>
        </is>
      </c>
      <c r="K1476" s="0" t="inlineStr">
        <is>
          <t>YES! 	 c_dtoffset_1列源备映射正确，源端为datetimeoffset None位	期望更改为datetimeoffset(n)	实际备端为datetimeoffset None位</t>
        </is>
      </c>
    </row>
    <row r="1477">
      <c r="B1477" s="0" t="inlineStr">
        <is>
          <t>NULL</t>
        </is>
      </c>
      <c r="C1477" s="0" t="inlineStr">
        <is>
          <t>NULL</t>
        </is>
      </c>
      <c r="D1477" s="0" t="inlineStr">
        <is>
          <t>NULL</t>
        </is>
      </c>
      <c r="E1477" s="0" t="inlineStr">
        <is>
          <t>NULL</t>
        </is>
      </c>
      <c r="F1477" s="0" t="inlineStr">
        <is>
          <t>NULL</t>
        </is>
      </c>
      <c r="G1477" s="0" t="inlineStr">
        <is>
          <t>NULL</t>
        </is>
      </c>
      <c r="H1477" s="0" t="inlineStr">
        <is>
          <t>NULL</t>
        </is>
      </c>
      <c r="I1477" s="0" t="inlineStr">
        <is>
          <t>NULL</t>
        </is>
      </c>
      <c r="J1477" s="0" t="inlineStr">
        <is>
          <t>NULL</t>
        </is>
      </c>
      <c r="K1477" s="0" t="inlineStr">
        <is>
          <t>YES! 	 c_dtoffset_2列源备映射正确，源端为datetimeoffset None位	期望更改为datetimeoffset(n)	实际备端为datetimeoffset None位</t>
        </is>
      </c>
    </row>
    <row r="1478">
      <c r="B1478" s="0" t="inlineStr">
        <is>
          <t>NULL</t>
        </is>
      </c>
      <c r="C1478" s="0" t="inlineStr">
        <is>
          <t>NULL</t>
        </is>
      </c>
      <c r="D1478" s="0" t="inlineStr">
        <is>
          <t>NULL</t>
        </is>
      </c>
      <c r="E1478" s="0" t="inlineStr">
        <is>
          <t>NULL</t>
        </is>
      </c>
      <c r="F1478" s="0" t="inlineStr">
        <is>
          <t>NULL</t>
        </is>
      </c>
      <c r="G1478" s="0" t="inlineStr">
        <is>
          <t>NULL</t>
        </is>
      </c>
      <c r="H1478" s="0" t="inlineStr">
        <is>
          <t>NULL</t>
        </is>
      </c>
      <c r="I1478" s="0" t="inlineStr">
        <is>
          <t>NULL</t>
        </is>
      </c>
      <c r="J1478" s="0" t="inlineStr">
        <is>
          <t>NULL</t>
        </is>
      </c>
      <c r="K1478" s="0" t="inlineStr">
        <is>
          <t>YES! 	 c_dtoffset_3列源备映射正确，源端为datetimeoffset None位	期望更改为datetimeoffset(n)	实际备端为datetimeoffset None位</t>
        </is>
      </c>
    </row>
    <row r="1479">
      <c r="B1479" s="0" t="inlineStr">
        <is>
          <t>NULL</t>
        </is>
      </c>
      <c r="C1479" s="0" t="inlineStr">
        <is>
          <t>NULL</t>
        </is>
      </c>
      <c r="D1479" s="0" t="inlineStr">
        <is>
          <t>NULL</t>
        </is>
      </c>
      <c r="E1479" s="0" t="inlineStr">
        <is>
          <t>NULL</t>
        </is>
      </c>
      <c r="F1479" s="0" t="inlineStr">
        <is>
          <t>NULL</t>
        </is>
      </c>
      <c r="G1479" s="0" t="inlineStr">
        <is>
          <t>NULL</t>
        </is>
      </c>
      <c r="H1479" s="0" t="inlineStr">
        <is>
          <t>NULL</t>
        </is>
      </c>
      <c r="I1479" s="0" t="inlineStr">
        <is>
          <t>NULL</t>
        </is>
      </c>
      <c r="J1479" s="0" t="inlineStr">
        <is>
          <t>NULL</t>
        </is>
      </c>
      <c r="K1479" s="0" t="inlineStr">
        <is>
          <t>YES! 	 c_dtoffset_4列源备映射正确，源端为datetimeoffset None位	期望更改为datetimeoffset(n)	实际备端为datetimeoffset None位</t>
        </is>
      </c>
    </row>
    <row r="1480">
      <c r="B1480" s="0" t="inlineStr">
        <is>
          <t>NULL</t>
        </is>
      </c>
      <c r="C1480" s="0" t="inlineStr">
        <is>
          <t>NULL</t>
        </is>
      </c>
      <c r="D1480" s="0" t="inlineStr">
        <is>
          <t>NULL</t>
        </is>
      </c>
      <c r="E1480" s="0" t="inlineStr">
        <is>
          <t>NULL</t>
        </is>
      </c>
      <c r="F1480" s="0" t="inlineStr">
        <is>
          <t>NULL</t>
        </is>
      </c>
      <c r="G1480" s="0" t="inlineStr">
        <is>
          <t>NULL</t>
        </is>
      </c>
      <c r="H1480" s="0" t="inlineStr">
        <is>
          <t>NULL</t>
        </is>
      </c>
      <c r="I1480" s="0" t="inlineStr">
        <is>
          <t>NULL</t>
        </is>
      </c>
      <c r="J1480" s="0" t="inlineStr">
        <is>
          <t>NULL</t>
        </is>
      </c>
      <c r="K1480" s="0" t="inlineStr">
        <is>
          <t>YES! 	 c_dtoffset_5列源备映射正确，源端为datetimeoffset None位	期望更改为datetimeoffset(n)	实际备端为datetimeoffset None位</t>
        </is>
      </c>
    </row>
    <row r="1481">
      <c r="B1481" s="0" t="inlineStr">
        <is>
          <t>NULL</t>
        </is>
      </c>
      <c r="C1481" s="0" t="inlineStr">
        <is>
          <t>NULL</t>
        </is>
      </c>
      <c r="D1481" s="0" t="inlineStr">
        <is>
          <t>NULL</t>
        </is>
      </c>
      <c r="E1481" s="0" t="inlineStr">
        <is>
          <t>NULL</t>
        </is>
      </c>
      <c r="F1481" s="0" t="inlineStr">
        <is>
          <t>NULL</t>
        </is>
      </c>
      <c r="G1481" s="0" t="inlineStr">
        <is>
          <t>NULL</t>
        </is>
      </c>
      <c r="H1481" s="0" t="inlineStr">
        <is>
          <t>NULL</t>
        </is>
      </c>
      <c r="I1481" s="0" t="inlineStr">
        <is>
          <t>NULL</t>
        </is>
      </c>
      <c r="J1481" s="0" t="inlineStr">
        <is>
          <t>NULL</t>
        </is>
      </c>
      <c r="K1481" s="0" t="inlineStr">
        <is>
          <t>YES! 	 c_dtoffset_6列源备映射正确，源端为datetimeoffset None位	期望更改为datetimeoffset(n)	实际备端为datetimeoffset None位</t>
        </is>
      </c>
    </row>
    <row r="1482">
      <c r="B1482" s="0" t="inlineStr">
        <is>
          <t>NULL</t>
        </is>
      </c>
      <c r="C1482" s="0" t="inlineStr">
        <is>
          <t>NULL</t>
        </is>
      </c>
      <c r="D1482" s="0" t="inlineStr">
        <is>
          <t>NULL</t>
        </is>
      </c>
      <c r="E1482" s="0" t="inlineStr">
        <is>
          <t>NULL</t>
        </is>
      </c>
      <c r="F1482" s="0" t="inlineStr">
        <is>
          <t>NULL</t>
        </is>
      </c>
      <c r="G1482" s="0" t="inlineStr">
        <is>
          <t>NULL</t>
        </is>
      </c>
      <c r="H1482" s="0" t="inlineStr">
        <is>
          <t>NULL</t>
        </is>
      </c>
      <c r="I1482" s="0" t="inlineStr">
        <is>
          <t>NULL</t>
        </is>
      </c>
      <c r="J1482" s="0" t="inlineStr">
        <is>
          <t>NULL</t>
        </is>
      </c>
      <c r="K1482" s="0" t="inlineStr">
        <is>
          <t>YES! 	 c_dtoffset列源备映射正确，源端为datetimeoffset None位	期望更改为datetimeoffset(n)	实际备端为datetimeoffset None位</t>
        </is>
      </c>
    </row>
    <row r="1483">
      <c r="A1483" s="0" t="inlineStr">
        <is>
          <t>info_datetime2_dml_single_nopk_urp</t>
        </is>
      </c>
      <c r="K1483" s="0" t="inlineStr">
        <is>
          <t>[0;34m info_datetime2_dml_single_nopk_urp [0m源备字段数相同，源端字段：9 	备端字段9</t>
        </is>
      </c>
      <c r="W1483" s="0" t="inlineStr">
        <is>
          <t>YES 源备无差异</t>
        </is>
      </c>
      <c r="X1483" s="0">
        <f>A1483</f>
        <v/>
      </c>
    </row>
    <row r="1484">
      <c r="B1484" s="0" t="inlineStr">
        <is>
          <t>NULL</t>
        </is>
      </c>
      <c r="C1484" s="0" t="inlineStr">
        <is>
          <t>NULL</t>
        </is>
      </c>
      <c r="D1484" s="0" t="inlineStr">
        <is>
          <t>NULL</t>
        </is>
      </c>
      <c r="E1484" s="0" t="inlineStr">
        <is>
          <t>NULL</t>
        </is>
      </c>
      <c r="F1484" s="0" t="inlineStr">
        <is>
          <t>NULL</t>
        </is>
      </c>
      <c r="G1484" s="0" t="inlineStr">
        <is>
          <t>NULL</t>
        </is>
      </c>
      <c r="H1484" s="0" t="inlineStr">
        <is>
          <t>NULL</t>
        </is>
      </c>
      <c r="I1484" s="0" t="inlineStr">
        <is>
          <t>NULL</t>
        </is>
      </c>
      <c r="J1484" s="0" t="inlineStr">
        <is>
          <t>NULL</t>
        </is>
      </c>
      <c r="K1484" s="0" t="inlineStr">
        <is>
          <t>YES! 	 id列源备映射正确，源端为int None位	期望更改为int	实际备端为int None位</t>
        </is>
      </c>
    </row>
    <row r="1485">
      <c r="B1485" s="0" t="inlineStr">
        <is>
          <t>NULL</t>
        </is>
      </c>
      <c r="C1485" s="0" t="inlineStr">
        <is>
          <t>NULL</t>
        </is>
      </c>
      <c r="D1485" s="0" t="inlineStr">
        <is>
          <t>NULL</t>
        </is>
      </c>
      <c r="E1485" s="0" t="inlineStr">
        <is>
          <t>NULL</t>
        </is>
      </c>
      <c r="F1485" s="0" t="inlineStr">
        <is>
          <t>NULL</t>
        </is>
      </c>
      <c r="G1485" s="0" t="inlineStr">
        <is>
          <t>NULL</t>
        </is>
      </c>
      <c r="H1485" s="0" t="inlineStr">
        <is>
          <t>NULL</t>
        </is>
      </c>
      <c r="I1485" s="0" t="inlineStr">
        <is>
          <t>NULL</t>
        </is>
      </c>
      <c r="J1485" s="0" t="inlineStr">
        <is>
          <t>NULL</t>
        </is>
      </c>
      <c r="K1485" s="0" t="inlineStr">
        <is>
          <t>no,len不存在</t>
        </is>
      </c>
    </row>
    <row r="1486">
      <c r="B1486" s="0" t="inlineStr">
        <is>
          <t>NULL</t>
        </is>
      </c>
      <c r="C1486" s="0" t="inlineStr">
        <is>
          <t>NULL</t>
        </is>
      </c>
      <c r="D1486" s="0" t="inlineStr">
        <is>
          <t>NULL</t>
        </is>
      </c>
      <c r="E1486" s="0" t="inlineStr">
        <is>
          <t>NULL</t>
        </is>
      </c>
      <c r="F1486" s="0" t="inlineStr">
        <is>
          <t>NULL</t>
        </is>
      </c>
      <c r="G1486" s="0" t="inlineStr">
        <is>
          <t>NULL</t>
        </is>
      </c>
      <c r="H1486" s="0" t="inlineStr">
        <is>
          <t>NULL</t>
        </is>
      </c>
      <c r="I1486" s="0" t="inlineStr">
        <is>
          <t>NULL</t>
        </is>
      </c>
      <c r="J1486" s="0" t="inlineStr">
        <is>
          <t>NULL</t>
        </is>
      </c>
      <c r="K1486" s="0" t="inlineStr">
        <is>
          <t>YES! 	 c_dt2_1列源备映射正确，源端为datetime2 None位	期望更改为datetime2(n)	实际备端为datetime2 None位</t>
        </is>
      </c>
    </row>
    <row r="1487">
      <c r="B1487" s="0" t="inlineStr">
        <is>
          <t>NULL</t>
        </is>
      </c>
      <c r="C1487" s="0" t="inlineStr">
        <is>
          <t>NULL</t>
        </is>
      </c>
      <c r="D1487" s="0" t="inlineStr">
        <is>
          <t>NULL</t>
        </is>
      </c>
      <c r="E1487" s="0" t="inlineStr">
        <is>
          <t>NULL</t>
        </is>
      </c>
      <c r="F1487" s="0" t="inlineStr">
        <is>
          <t>NULL</t>
        </is>
      </c>
      <c r="G1487" s="0" t="inlineStr">
        <is>
          <t>NULL</t>
        </is>
      </c>
      <c r="H1487" s="0" t="inlineStr">
        <is>
          <t>NULL</t>
        </is>
      </c>
      <c r="I1487" s="0" t="inlineStr">
        <is>
          <t>NULL</t>
        </is>
      </c>
      <c r="J1487" s="0" t="inlineStr">
        <is>
          <t>NULL</t>
        </is>
      </c>
      <c r="K1487" s="0" t="inlineStr">
        <is>
          <t>YES! 	 c_dt2_2列源备映射正确，源端为datetime2 None位	期望更改为datetime2(n)	实际备端为datetime2 None位</t>
        </is>
      </c>
    </row>
    <row r="1488">
      <c r="B1488" s="0" t="inlineStr">
        <is>
          <t>NULL</t>
        </is>
      </c>
      <c r="C1488" s="0" t="inlineStr">
        <is>
          <t>NULL</t>
        </is>
      </c>
      <c r="D1488" s="0" t="inlineStr">
        <is>
          <t>NULL</t>
        </is>
      </c>
      <c r="E1488" s="0" t="inlineStr">
        <is>
          <t>NULL</t>
        </is>
      </c>
      <c r="F1488" s="0" t="inlineStr">
        <is>
          <t>NULL</t>
        </is>
      </c>
      <c r="G1488" s="0" t="inlineStr">
        <is>
          <t>NULL</t>
        </is>
      </c>
      <c r="H1488" s="0" t="inlineStr">
        <is>
          <t>NULL</t>
        </is>
      </c>
      <c r="I1488" s="0" t="inlineStr">
        <is>
          <t>NULL</t>
        </is>
      </c>
      <c r="J1488" s="0" t="inlineStr">
        <is>
          <t>NULL</t>
        </is>
      </c>
      <c r="K1488" s="0" t="inlineStr">
        <is>
          <t>YES! 	 c_dt2_3列源备映射正确，源端为datetime2 None位	期望更改为datetime2(n)	实际备端为datetime2 None位</t>
        </is>
      </c>
    </row>
    <row r="1489">
      <c r="B1489" s="0" t="inlineStr">
        <is>
          <t>NULL</t>
        </is>
      </c>
      <c r="C1489" s="0" t="inlineStr">
        <is>
          <t>NULL</t>
        </is>
      </c>
      <c r="D1489" s="0" t="inlineStr">
        <is>
          <t>NULL</t>
        </is>
      </c>
      <c r="E1489" s="0" t="inlineStr">
        <is>
          <t>NULL</t>
        </is>
      </c>
      <c r="F1489" s="0" t="inlineStr">
        <is>
          <t>NULL</t>
        </is>
      </c>
      <c r="G1489" s="0" t="inlineStr">
        <is>
          <t>NULL</t>
        </is>
      </c>
      <c r="H1489" s="0" t="inlineStr">
        <is>
          <t>NULL</t>
        </is>
      </c>
      <c r="I1489" s="0" t="inlineStr">
        <is>
          <t>NULL</t>
        </is>
      </c>
      <c r="J1489" s="0" t="inlineStr">
        <is>
          <t>NULL</t>
        </is>
      </c>
      <c r="K1489" s="0" t="inlineStr">
        <is>
          <t>YES! 	 c_dt2_4列源备映射正确，源端为datetime2 None位	期望更改为datetime2(n)	实际备端为datetime2 None位</t>
        </is>
      </c>
    </row>
    <row r="1490">
      <c r="B1490" s="0" t="inlineStr">
        <is>
          <t>NULL</t>
        </is>
      </c>
      <c r="C1490" s="0" t="inlineStr">
        <is>
          <t>NULL</t>
        </is>
      </c>
      <c r="D1490" s="0" t="inlineStr">
        <is>
          <t>NULL</t>
        </is>
      </c>
      <c r="E1490" s="0" t="inlineStr">
        <is>
          <t>NULL</t>
        </is>
      </c>
      <c r="F1490" s="0" t="inlineStr">
        <is>
          <t>NULL</t>
        </is>
      </c>
      <c r="G1490" s="0" t="inlineStr">
        <is>
          <t>NULL</t>
        </is>
      </c>
      <c r="H1490" s="0" t="inlineStr">
        <is>
          <t>NULL</t>
        </is>
      </c>
      <c r="I1490" s="0" t="inlineStr">
        <is>
          <t>NULL</t>
        </is>
      </c>
      <c r="J1490" s="0" t="inlineStr">
        <is>
          <t>NULL</t>
        </is>
      </c>
      <c r="K1490" s="0" t="inlineStr">
        <is>
          <t>YES! 	 c_dt2_5列源备映射正确，源端为datetime2 None位	期望更改为datetime2(n)	实际备端为datetime2 None位</t>
        </is>
      </c>
    </row>
    <row r="1491">
      <c r="B1491" s="0" t="inlineStr">
        <is>
          <t>NULL</t>
        </is>
      </c>
      <c r="C1491" s="0" t="inlineStr">
        <is>
          <t>NULL</t>
        </is>
      </c>
      <c r="D1491" s="0" t="inlineStr">
        <is>
          <t>NULL</t>
        </is>
      </c>
      <c r="E1491" s="0" t="inlineStr">
        <is>
          <t>NULL</t>
        </is>
      </c>
      <c r="F1491" s="0" t="inlineStr">
        <is>
          <t>NULL</t>
        </is>
      </c>
      <c r="G1491" s="0" t="inlineStr">
        <is>
          <t>NULL</t>
        </is>
      </c>
      <c r="H1491" s="0" t="inlineStr">
        <is>
          <t>NULL</t>
        </is>
      </c>
      <c r="I1491" s="0" t="inlineStr">
        <is>
          <t>NULL</t>
        </is>
      </c>
      <c r="J1491" s="0" t="inlineStr">
        <is>
          <t>NULL</t>
        </is>
      </c>
      <c r="K1491" s="0" t="inlineStr">
        <is>
          <t>YES! 	 c_dt2_6列源备映射正确，源端为datetime2 None位	期望更改为datetime2(n)	实际备端为datetime2 None位</t>
        </is>
      </c>
    </row>
    <row r="1492">
      <c r="B1492" s="0" t="inlineStr">
        <is>
          <t>NULL</t>
        </is>
      </c>
      <c r="C1492" s="0" t="inlineStr">
        <is>
          <t>NULL</t>
        </is>
      </c>
      <c r="D1492" s="0" t="inlineStr">
        <is>
          <t>NULL</t>
        </is>
      </c>
      <c r="E1492" s="0" t="inlineStr">
        <is>
          <t>NULL</t>
        </is>
      </c>
      <c r="F1492" s="0" t="inlineStr">
        <is>
          <t>NULL</t>
        </is>
      </c>
      <c r="G1492" s="0" t="inlineStr">
        <is>
          <t>NULL</t>
        </is>
      </c>
      <c r="H1492" s="0" t="inlineStr">
        <is>
          <t>NULL</t>
        </is>
      </c>
      <c r="I1492" s="0" t="inlineStr">
        <is>
          <t>NULL</t>
        </is>
      </c>
      <c r="J1492" s="0" t="inlineStr">
        <is>
          <t>NULL</t>
        </is>
      </c>
      <c r="K1492" s="0" t="inlineStr">
        <is>
          <t>YES! 	 c_dt2列源备映射正确，源端为datetime2 None位	期望更改为datetime2(n)	实际备端为datetime2 None位</t>
        </is>
      </c>
    </row>
    <row r="1493">
      <c r="A1493" s="0" t="inlineStr">
        <is>
          <t>info_varcharmax_dml_batch1_pk_urp1</t>
        </is>
      </c>
      <c r="K1493" s="0" t="inlineStr">
        <is>
          <t>[0;34m info_varcharmax_dml_batch1_pk_urp1 [0m源备字段数相同，源端字段：3 	备端字段3</t>
        </is>
      </c>
      <c r="W1493" s="0" t="inlineStr">
        <is>
          <t>YES 源备无差异</t>
        </is>
      </c>
      <c r="X1493" s="0">
        <f>A1493</f>
        <v/>
      </c>
    </row>
    <row r="1494">
      <c r="B1494" s="0" t="inlineStr">
        <is>
          <t>YES</t>
        </is>
      </c>
      <c r="C1494" s="0" t="inlineStr">
        <is>
          <t>NULL</t>
        </is>
      </c>
      <c r="D1494" s="0" t="inlineStr">
        <is>
          <t>NULL</t>
        </is>
      </c>
      <c r="E1494" s="0" t="inlineStr">
        <is>
          <t>NULL</t>
        </is>
      </c>
      <c r="F1494" s="0" t="inlineStr">
        <is>
          <t>NULL</t>
        </is>
      </c>
      <c r="G1494" s="0" t="inlineStr">
        <is>
          <t>NULL</t>
        </is>
      </c>
      <c r="H1494" s="0" t="inlineStr">
        <is>
          <t>NULL</t>
        </is>
      </c>
      <c r="I1494" s="0" t="inlineStr">
        <is>
          <t>YES!PK__info_var__3213E83FDE4211B1</t>
        </is>
      </c>
      <c r="J1494" s="0" t="inlineStr">
        <is>
          <t>YES! 主键相关索引</t>
        </is>
      </c>
      <c r="K1494" s="0" t="inlineStr">
        <is>
          <t>YES! 	 id列源备映射正确，源端为int None位	期望更改为int	实际备端为int None位</t>
        </is>
      </c>
    </row>
    <row r="1495">
      <c r="B1495" s="0" t="inlineStr">
        <is>
          <t>NULL</t>
        </is>
      </c>
      <c r="C1495" s="0" t="inlineStr">
        <is>
          <t>NULL</t>
        </is>
      </c>
      <c r="D1495" s="0" t="inlineStr">
        <is>
          <t>NULL</t>
        </is>
      </c>
      <c r="E1495" s="0" t="inlineStr">
        <is>
          <t>NULL</t>
        </is>
      </c>
      <c r="F1495" s="0" t="inlineStr">
        <is>
          <t>NULL</t>
        </is>
      </c>
      <c r="G1495" s="0" t="inlineStr">
        <is>
          <t>NULL</t>
        </is>
      </c>
      <c r="H1495" s="0" t="inlineStr">
        <is>
          <t>NULL</t>
        </is>
      </c>
      <c r="I1495" s="0" t="inlineStr">
        <is>
          <t>NULL</t>
        </is>
      </c>
      <c r="J1495" s="0" t="inlineStr">
        <is>
          <t>NULL</t>
        </is>
      </c>
      <c r="K1495" s="0" t="inlineStr">
        <is>
          <t>YES! 	 c_varchar_max列源备映射正确，源端为varchar -1位	期望更改为varchar(n)	实际备端为varchar -1位</t>
        </is>
      </c>
    </row>
    <row r="1496">
      <c r="B1496" s="0" t="inlineStr">
        <is>
          <t>NULL</t>
        </is>
      </c>
      <c r="C1496" s="0" t="inlineStr">
        <is>
          <t>NULL</t>
        </is>
      </c>
      <c r="D1496" s="0" t="inlineStr">
        <is>
          <t>NULL</t>
        </is>
      </c>
      <c r="E1496" s="0" t="inlineStr">
        <is>
          <t>NULL</t>
        </is>
      </c>
      <c r="F1496" s="0" t="inlineStr">
        <is>
          <t>NULL</t>
        </is>
      </c>
      <c r="G1496" s="0" t="inlineStr">
        <is>
          <t>NULL</t>
        </is>
      </c>
      <c r="H1496" s="0" t="inlineStr">
        <is>
          <t>NULL</t>
        </is>
      </c>
      <c r="I1496" s="0" t="inlineStr">
        <is>
          <t>NULL</t>
        </is>
      </c>
      <c r="J1496" s="0" t="inlineStr">
        <is>
          <t>NULL</t>
        </is>
      </c>
      <c r="K1496" s="0" t="inlineStr">
        <is>
          <t>YES! 	 c_nvarchar_max列源备映射正确，源端为nvarchar -1位	期望更改为nvarchar(n)	实际备端为nvarchar -1位</t>
        </is>
      </c>
    </row>
    <row r="1497">
      <c r="K1497" s="0" t="inlineStr">
        <is>
          <t>~ 空表</t>
        </is>
      </c>
    </row>
    <row r="1498">
      <c r="A1498" s="0" t="inlineStr">
        <is>
          <t>info_datetimeoffset_dml_single_pk_drp</t>
        </is>
      </c>
      <c r="K1498" s="0" t="inlineStr">
        <is>
          <t>[0;34m info_datetimeoffset_dml_single_pk_drp [0m源备字段数相同，源端字段：9 	备端字段9</t>
        </is>
      </c>
      <c r="W1498" s="0" t="inlineStr">
        <is>
          <t>YES 源备无差异</t>
        </is>
      </c>
      <c r="X1498" s="0">
        <f>A1498</f>
        <v/>
      </c>
    </row>
    <row r="1499">
      <c r="B1499" s="0" t="inlineStr">
        <is>
          <t>YES</t>
        </is>
      </c>
      <c r="C1499" s="0" t="inlineStr">
        <is>
          <t>NULL</t>
        </is>
      </c>
      <c r="D1499" s="0" t="inlineStr">
        <is>
          <t>NULL</t>
        </is>
      </c>
      <c r="E1499" s="0" t="inlineStr">
        <is>
          <t>NULL</t>
        </is>
      </c>
      <c r="F1499" s="0" t="inlineStr">
        <is>
          <t>NULL</t>
        </is>
      </c>
      <c r="G1499" s="0" t="inlineStr">
        <is>
          <t>NULL</t>
        </is>
      </c>
      <c r="H1499" s="0" t="inlineStr">
        <is>
          <t>NULL</t>
        </is>
      </c>
      <c r="I1499" s="0" t="inlineStr">
        <is>
          <t>YES!PK__info_dat__3213E83FB13C2792</t>
        </is>
      </c>
      <c r="J1499" s="0" t="inlineStr">
        <is>
          <t>YES! 主键相关索引</t>
        </is>
      </c>
      <c r="K1499" s="0" t="inlineStr">
        <is>
          <t>YES! 	 id列源备映射正确，源端为int None位	期望更改为int	实际备端为int None位</t>
        </is>
      </c>
    </row>
    <row r="1500">
      <c r="B1500" s="0" t="inlineStr">
        <is>
          <t>NULL</t>
        </is>
      </c>
      <c r="C1500" s="0" t="inlineStr">
        <is>
          <t>NULL</t>
        </is>
      </c>
      <c r="D1500" s="0" t="inlineStr">
        <is>
          <t>NULL</t>
        </is>
      </c>
      <c r="E1500" s="0" t="inlineStr">
        <is>
          <t>NULL</t>
        </is>
      </c>
      <c r="F1500" s="0" t="inlineStr">
        <is>
          <t>NULL</t>
        </is>
      </c>
      <c r="G1500" s="0" t="inlineStr">
        <is>
          <t>NULL</t>
        </is>
      </c>
      <c r="H1500" s="0" t="inlineStr">
        <is>
          <t>NULL</t>
        </is>
      </c>
      <c r="I1500" s="0" t="inlineStr">
        <is>
          <t>NULL</t>
        </is>
      </c>
      <c r="J1500" s="0" t="inlineStr">
        <is>
          <t>NULL</t>
        </is>
      </c>
      <c r="K1500" s="0" t="inlineStr">
        <is>
          <t>no,len不存在</t>
        </is>
      </c>
    </row>
    <row r="1501">
      <c r="B1501" s="0" t="inlineStr">
        <is>
          <t>NULL</t>
        </is>
      </c>
      <c r="C1501" s="0" t="inlineStr">
        <is>
          <t>NULL</t>
        </is>
      </c>
      <c r="D1501" s="0" t="inlineStr">
        <is>
          <t>NULL</t>
        </is>
      </c>
      <c r="E1501" s="0" t="inlineStr">
        <is>
          <t>NULL</t>
        </is>
      </c>
      <c r="F1501" s="0" t="inlineStr">
        <is>
          <t>NULL</t>
        </is>
      </c>
      <c r="G1501" s="0" t="inlineStr">
        <is>
          <t>NULL</t>
        </is>
      </c>
      <c r="H1501" s="0" t="inlineStr">
        <is>
          <t>NULL</t>
        </is>
      </c>
      <c r="I1501" s="0" t="inlineStr">
        <is>
          <t>NULL</t>
        </is>
      </c>
      <c r="J1501" s="0" t="inlineStr">
        <is>
          <t>NULL</t>
        </is>
      </c>
      <c r="K1501" s="0" t="inlineStr">
        <is>
          <t>YES! 	 c_dtoffset_1列源备映射正确，源端为datetimeoffset None位	期望更改为datetimeoffset(n)	实际备端为datetimeoffset None位</t>
        </is>
      </c>
    </row>
    <row r="1502">
      <c r="B1502" s="0" t="inlineStr">
        <is>
          <t>NULL</t>
        </is>
      </c>
      <c r="C1502" s="0" t="inlineStr">
        <is>
          <t>NULL</t>
        </is>
      </c>
      <c r="D1502" s="0" t="inlineStr">
        <is>
          <t>NULL</t>
        </is>
      </c>
      <c r="E1502" s="0" t="inlineStr">
        <is>
          <t>NULL</t>
        </is>
      </c>
      <c r="F1502" s="0" t="inlineStr">
        <is>
          <t>NULL</t>
        </is>
      </c>
      <c r="G1502" s="0" t="inlineStr">
        <is>
          <t>NULL</t>
        </is>
      </c>
      <c r="H1502" s="0" t="inlineStr">
        <is>
          <t>NULL</t>
        </is>
      </c>
      <c r="I1502" s="0" t="inlineStr">
        <is>
          <t>NULL</t>
        </is>
      </c>
      <c r="J1502" s="0" t="inlineStr">
        <is>
          <t>NULL</t>
        </is>
      </c>
      <c r="K1502" s="0" t="inlineStr">
        <is>
          <t>YES! 	 c_dtoffset_2列源备映射正确，源端为datetimeoffset None位	期望更改为datetimeoffset(n)	实际备端为datetimeoffset None位</t>
        </is>
      </c>
    </row>
    <row r="1503">
      <c r="B1503" s="0" t="inlineStr">
        <is>
          <t>NULL</t>
        </is>
      </c>
      <c r="C1503" s="0" t="inlineStr">
        <is>
          <t>NULL</t>
        </is>
      </c>
      <c r="D1503" s="0" t="inlineStr">
        <is>
          <t>NULL</t>
        </is>
      </c>
      <c r="E1503" s="0" t="inlineStr">
        <is>
          <t>NULL</t>
        </is>
      </c>
      <c r="F1503" s="0" t="inlineStr">
        <is>
          <t>NULL</t>
        </is>
      </c>
      <c r="G1503" s="0" t="inlineStr">
        <is>
          <t>NULL</t>
        </is>
      </c>
      <c r="H1503" s="0" t="inlineStr">
        <is>
          <t>NULL</t>
        </is>
      </c>
      <c r="I1503" s="0" t="inlineStr">
        <is>
          <t>NULL</t>
        </is>
      </c>
      <c r="J1503" s="0" t="inlineStr">
        <is>
          <t>NULL</t>
        </is>
      </c>
      <c r="K1503" s="0" t="inlineStr">
        <is>
          <t>YES! 	 c_dtoffset_3列源备映射正确，源端为datetimeoffset None位	期望更改为datetimeoffset(n)	实际备端为datetimeoffset None位</t>
        </is>
      </c>
    </row>
    <row r="1504">
      <c r="B1504" s="0" t="inlineStr">
        <is>
          <t>NULL</t>
        </is>
      </c>
      <c r="C1504" s="0" t="inlineStr">
        <is>
          <t>NULL</t>
        </is>
      </c>
      <c r="D1504" s="0" t="inlineStr">
        <is>
          <t>NULL</t>
        </is>
      </c>
      <c r="E1504" s="0" t="inlineStr">
        <is>
          <t>NULL</t>
        </is>
      </c>
      <c r="F1504" s="0" t="inlineStr">
        <is>
          <t>NULL</t>
        </is>
      </c>
      <c r="G1504" s="0" t="inlineStr">
        <is>
          <t>NULL</t>
        </is>
      </c>
      <c r="H1504" s="0" t="inlineStr">
        <is>
          <t>NULL</t>
        </is>
      </c>
      <c r="I1504" s="0" t="inlineStr">
        <is>
          <t>NULL</t>
        </is>
      </c>
      <c r="J1504" s="0" t="inlineStr">
        <is>
          <t>NULL</t>
        </is>
      </c>
      <c r="K1504" s="0" t="inlineStr">
        <is>
          <t>YES! 	 c_dtoffset_4列源备映射正确，源端为datetimeoffset None位	期望更改为datetimeoffset(n)	实际备端为datetimeoffset None位</t>
        </is>
      </c>
    </row>
    <row r="1505">
      <c r="B1505" s="0" t="inlineStr">
        <is>
          <t>NULL</t>
        </is>
      </c>
      <c r="C1505" s="0" t="inlineStr">
        <is>
          <t>NULL</t>
        </is>
      </c>
      <c r="D1505" s="0" t="inlineStr">
        <is>
          <t>NULL</t>
        </is>
      </c>
      <c r="E1505" s="0" t="inlineStr">
        <is>
          <t>NULL</t>
        </is>
      </c>
      <c r="F1505" s="0" t="inlineStr">
        <is>
          <t>NULL</t>
        </is>
      </c>
      <c r="G1505" s="0" t="inlineStr">
        <is>
          <t>NULL</t>
        </is>
      </c>
      <c r="H1505" s="0" t="inlineStr">
        <is>
          <t>NULL</t>
        </is>
      </c>
      <c r="I1505" s="0" t="inlineStr">
        <is>
          <t>NULL</t>
        </is>
      </c>
      <c r="J1505" s="0" t="inlineStr">
        <is>
          <t>NULL</t>
        </is>
      </c>
      <c r="K1505" s="0" t="inlineStr">
        <is>
          <t>YES! 	 c_dtoffset_5列源备映射正确，源端为datetimeoffset None位	期望更改为datetimeoffset(n)	实际备端为datetimeoffset None位</t>
        </is>
      </c>
    </row>
    <row r="1506">
      <c r="B1506" s="0" t="inlineStr">
        <is>
          <t>NULL</t>
        </is>
      </c>
      <c r="C1506" s="0" t="inlineStr">
        <is>
          <t>NULL</t>
        </is>
      </c>
      <c r="D1506" s="0" t="inlineStr">
        <is>
          <t>NULL</t>
        </is>
      </c>
      <c r="E1506" s="0" t="inlineStr">
        <is>
          <t>NULL</t>
        </is>
      </c>
      <c r="F1506" s="0" t="inlineStr">
        <is>
          <t>NULL</t>
        </is>
      </c>
      <c r="G1506" s="0" t="inlineStr">
        <is>
          <t>NULL</t>
        </is>
      </c>
      <c r="H1506" s="0" t="inlineStr">
        <is>
          <t>NULL</t>
        </is>
      </c>
      <c r="I1506" s="0" t="inlineStr">
        <is>
          <t>NULL</t>
        </is>
      </c>
      <c r="J1506" s="0" t="inlineStr">
        <is>
          <t>NULL</t>
        </is>
      </c>
      <c r="K1506" s="0" t="inlineStr">
        <is>
          <t>YES! 	 c_dtoffset_6列源备映射正确，源端为datetimeoffset None位	期望更改为datetimeoffset(n)	实际备端为datetimeoffset None位</t>
        </is>
      </c>
    </row>
    <row r="1507">
      <c r="B1507" s="0" t="inlineStr">
        <is>
          <t>NULL</t>
        </is>
      </c>
      <c r="C1507" s="0" t="inlineStr">
        <is>
          <t>NULL</t>
        </is>
      </c>
      <c r="D1507" s="0" t="inlineStr">
        <is>
          <t>NULL</t>
        </is>
      </c>
      <c r="E1507" s="0" t="inlineStr">
        <is>
          <t>NULL</t>
        </is>
      </c>
      <c r="F1507" s="0" t="inlineStr">
        <is>
          <t>NULL</t>
        </is>
      </c>
      <c r="G1507" s="0" t="inlineStr">
        <is>
          <t>NULL</t>
        </is>
      </c>
      <c r="H1507" s="0" t="inlineStr">
        <is>
          <t>NULL</t>
        </is>
      </c>
      <c r="I1507" s="0" t="inlineStr">
        <is>
          <t>NULL</t>
        </is>
      </c>
      <c r="J1507" s="0" t="inlineStr">
        <is>
          <t>NULL</t>
        </is>
      </c>
      <c r="K1507" s="0" t="inlineStr">
        <is>
          <t>YES! 	 c_dtoffset列源备映射正确，源端为datetimeoffset None位	期望更改为datetimeoffset(n)	实际备端为datetimeoffset None位</t>
        </is>
      </c>
    </row>
    <row r="1508">
      <c r="A1508" s="0" t="inlineStr">
        <is>
          <t>info_datetime2_dml_single_nopk_drp</t>
        </is>
      </c>
      <c r="K1508" s="0" t="inlineStr">
        <is>
          <t>[0;34m info_datetime2_dml_single_nopk_drp [0m源备字段数相同，源端字段：9 	备端字段9</t>
        </is>
      </c>
      <c r="W1508" s="0" t="inlineStr">
        <is>
          <t>YES 源备无差异</t>
        </is>
      </c>
      <c r="X1508" s="0">
        <f>A1508</f>
        <v/>
      </c>
    </row>
    <row r="1509">
      <c r="B1509" s="0" t="inlineStr">
        <is>
          <t>NULL</t>
        </is>
      </c>
      <c r="C1509" s="0" t="inlineStr">
        <is>
          <t>NULL</t>
        </is>
      </c>
      <c r="D1509" s="0" t="inlineStr">
        <is>
          <t>NULL</t>
        </is>
      </c>
      <c r="E1509" s="0" t="inlineStr">
        <is>
          <t>NULL</t>
        </is>
      </c>
      <c r="F1509" s="0" t="inlineStr">
        <is>
          <t>NULL</t>
        </is>
      </c>
      <c r="G1509" s="0" t="inlineStr">
        <is>
          <t>NULL</t>
        </is>
      </c>
      <c r="H1509" s="0" t="inlineStr">
        <is>
          <t>NULL</t>
        </is>
      </c>
      <c r="I1509" s="0" t="inlineStr">
        <is>
          <t>NULL</t>
        </is>
      </c>
      <c r="J1509" s="0" t="inlineStr">
        <is>
          <t>NULL</t>
        </is>
      </c>
      <c r="K1509" s="0" t="inlineStr">
        <is>
          <t>YES! 	 id列源备映射正确，源端为int None位	期望更改为int	实际备端为int None位</t>
        </is>
      </c>
    </row>
    <row r="1510">
      <c r="B1510" s="0" t="inlineStr">
        <is>
          <t>NULL</t>
        </is>
      </c>
      <c r="C1510" s="0" t="inlineStr">
        <is>
          <t>NULL</t>
        </is>
      </c>
      <c r="D1510" s="0" t="inlineStr">
        <is>
          <t>NULL</t>
        </is>
      </c>
      <c r="E1510" s="0" t="inlineStr">
        <is>
          <t>NULL</t>
        </is>
      </c>
      <c r="F1510" s="0" t="inlineStr">
        <is>
          <t>NULL</t>
        </is>
      </c>
      <c r="G1510" s="0" t="inlineStr">
        <is>
          <t>NULL</t>
        </is>
      </c>
      <c r="H1510" s="0" t="inlineStr">
        <is>
          <t>NULL</t>
        </is>
      </c>
      <c r="I1510" s="0" t="inlineStr">
        <is>
          <t>NULL</t>
        </is>
      </c>
      <c r="J1510" s="0" t="inlineStr">
        <is>
          <t>NULL</t>
        </is>
      </c>
      <c r="K1510" s="0" t="inlineStr">
        <is>
          <t>no,len不存在</t>
        </is>
      </c>
    </row>
    <row r="1511">
      <c r="B1511" s="0" t="inlineStr">
        <is>
          <t>NULL</t>
        </is>
      </c>
      <c r="C1511" s="0" t="inlineStr">
        <is>
          <t>NULL</t>
        </is>
      </c>
      <c r="D1511" s="0" t="inlineStr">
        <is>
          <t>NULL</t>
        </is>
      </c>
      <c r="E1511" s="0" t="inlineStr">
        <is>
          <t>NULL</t>
        </is>
      </c>
      <c r="F1511" s="0" t="inlineStr">
        <is>
          <t>NULL</t>
        </is>
      </c>
      <c r="G1511" s="0" t="inlineStr">
        <is>
          <t>NULL</t>
        </is>
      </c>
      <c r="H1511" s="0" t="inlineStr">
        <is>
          <t>NULL</t>
        </is>
      </c>
      <c r="I1511" s="0" t="inlineStr">
        <is>
          <t>NULL</t>
        </is>
      </c>
      <c r="J1511" s="0" t="inlineStr">
        <is>
          <t>NULL</t>
        </is>
      </c>
      <c r="K1511" s="0" t="inlineStr">
        <is>
          <t>YES! 	 c_dt2_1列源备映射正确，源端为datetime2 None位	期望更改为datetime2(n)	实际备端为datetime2 None位</t>
        </is>
      </c>
    </row>
    <row r="1512">
      <c r="B1512" s="0" t="inlineStr">
        <is>
          <t>NULL</t>
        </is>
      </c>
      <c r="C1512" s="0" t="inlineStr">
        <is>
          <t>NULL</t>
        </is>
      </c>
      <c r="D1512" s="0" t="inlineStr">
        <is>
          <t>NULL</t>
        </is>
      </c>
      <c r="E1512" s="0" t="inlineStr">
        <is>
          <t>NULL</t>
        </is>
      </c>
      <c r="F1512" s="0" t="inlineStr">
        <is>
          <t>NULL</t>
        </is>
      </c>
      <c r="G1512" s="0" t="inlineStr">
        <is>
          <t>NULL</t>
        </is>
      </c>
      <c r="H1512" s="0" t="inlineStr">
        <is>
          <t>NULL</t>
        </is>
      </c>
      <c r="I1512" s="0" t="inlineStr">
        <is>
          <t>NULL</t>
        </is>
      </c>
      <c r="J1512" s="0" t="inlineStr">
        <is>
          <t>NULL</t>
        </is>
      </c>
      <c r="K1512" s="0" t="inlineStr">
        <is>
          <t>YES! 	 c_dt2_2列源备映射正确，源端为datetime2 None位	期望更改为datetime2(n)	实际备端为datetime2 None位</t>
        </is>
      </c>
    </row>
    <row r="1513">
      <c r="B1513" s="0" t="inlineStr">
        <is>
          <t>NULL</t>
        </is>
      </c>
      <c r="C1513" s="0" t="inlineStr">
        <is>
          <t>NULL</t>
        </is>
      </c>
      <c r="D1513" s="0" t="inlineStr">
        <is>
          <t>NULL</t>
        </is>
      </c>
      <c r="E1513" s="0" t="inlineStr">
        <is>
          <t>NULL</t>
        </is>
      </c>
      <c r="F1513" s="0" t="inlineStr">
        <is>
          <t>NULL</t>
        </is>
      </c>
      <c r="G1513" s="0" t="inlineStr">
        <is>
          <t>NULL</t>
        </is>
      </c>
      <c r="H1513" s="0" t="inlineStr">
        <is>
          <t>NULL</t>
        </is>
      </c>
      <c r="I1513" s="0" t="inlineStr">
        <is>
          <t>NULL</t>
        </is>
      </c>
      <c r="J1513" s="0" t="inlineStr">
        <is>
          <t>NULL</t>
        </is>
      </c>
      <c r="K1513" s="0" t="inlineStr">
        <is>
          <t>YES! 	 c_dt2_3列源备映射正确，源端为datetime2 None位	期望更改为datetime2(n)	实际备端为datetime2 None位</t>
        </is>
      </c>
    </row>
    <row r="1514">
      <c r="B1514" s="0" t="inlineStr">
        <is>
          <t>NULL</t>
        </is>
      </c>
      <c r="C1514" s="0" t="inlineStr">
        <is>
          <t>NULL</t>
        </is>
      </c>
      <c r="D1514" s="0" t="inlineStr">
        <is>
          <t>NULL</t>
        </is>
      </c>
      <c r="E1514" s="0" t="inlineStr">
        <is>
          <t>NULL</t>
        </is>
      </c>
      <c r="F1514" s="0" t="inlineStr">
        <is>
          <t>NULL</t>
        </is>
      </c>
      <c r="G1514" s="0" t="inlineStr">
        <is>
          <t>NULL</t>
        </is>
      </c>
      <c r="H1514" s="0" t="inlineStr">
        <is>
          <t>NULL</t>
        </is>
      </c>
      <c r="I1514" s="0" t="inlineStr">
        <is>
          <t>NULL</t>
        </is>
      </c>
      <c r="J1514" s="0" t="inlineStr">
        <is>
          <t>NULL</t>
        </is>
      </c>
      <c r="K1514" s="0" t="inlineStr">
        <is>
          <t>YES! 	 c_dt2_4列源备映射正确，源端为datetime2 None位	期望更改为datetime2(n)	实际备端为datetime2 None位</t>
        </is>
      </c>
    </row>
    <row r="1515">
      <c r="B1515" s="0" t="inlineStr">
        <is>
          <t>NULL</t>
        </is>
      </c>
      <c r="C1515" s="0" t="inlineStr">
        <is>
          <t>NULL</t>
        </is>
      </c>
      <c r="D1515" s="0" t="inlineStr">
        <is>
          <t>NULL</t>
        </is>
      </c>
      <c r="E1515" s="0" t="inlineStr">
        <is>
          <t>NULL</t>
        </is>
      </c>
      <c r="F1515" s="0" t="inlineStr">
        <is>
          <t>NULL</t>
        </is>
      </c>
      <c r="G1515" s="0" t="inlineStr">
        <is>
          <t>NULL</t>
        </is>
      </c>
      <c r="H1515" s="0" t="inlineStr">
        <is>
          <t>NULL</t>
        </is>
      </c>
      <c r="I1515" s="0" t="inlineStr">
        <is>
          <t>NULL</t>
        </is>
      </c>
      <c r="J1515" s="0" t="inlineStr">
        <is>
          <t>NULL</t>
        </is>
      </c>
      <c r="K1515" s="0" t="inlineStr">
        <is>
          <t>YES! 	 c_dt2_5列源备映射正确，源端为datetime2 None位	期望更改为datetime2(n)	实际备端为datetime2 None位</t>
        </is>
      </c>
    </row>
    <row r="1516">
      <c r="B1516" s="0" t="inlineStr">
        <is>
          <t>NULL</t>
        </is>
      </c>
      <c r="C1516" s="0" t="inlineStr">
        <is>
          <t>NULL</t>
        </is>
      </c>
      <c r="D1516" s="0" t="inlineStr">
        <is>
          <t>NULL</t>
        </is>
      </c>
      <c r="E1516" s="0" t="inlineStr">
        <is>
          <t>NULL</t>
        </is>
      </c>
      <c r="F1516" s="0" t="inlineStr">
        <is>
          <t>NULL</t>
        </is>
      </c>
      <c r="G1516" s="0" t="inlineStr">
        <is>
          <t>NULL</t>
        </is>
      </c>
      <c r="H1516" s="0" t="inlineStr">
        <is>
          <t>NULL</t>
        </is>
      </c>
      <c r="I1516" s="0" t="inlineStr">
        <is>
          <t>NULL</t>
        </is>
      </c>
      <c r="J1516" s="0" t="inlineStr">
        <is>
          <t>NULL</t>
        </is>
      </c>
      <c r="K1516" s="0" t="inlineStr">
        <is>
          <t>YES! 	 c_dt2_6列源备映射正确，源端为datetime2 None位	期望更改为datetime2(n)	实际备端为datetime2 None位</t>
        </is>
      </c>
    </row>
    <row r="1517">
      <c r="B1517" s="0" t="inlineStr">
        <is>
          <t>NULL</t>
        </is>
      </c>
      <c r="C1517" s="0" t="inlineStr">
        <is>
          <t>NULL</t>
        </is>
      </c>
      <c r="D1517" s="0" t="inlineStr">
        <is>
          <t>NULL</t>
        </is>
      </c>
      <c r="E1517" s="0" t="inlineStr">
        <is>
          <t>NULL</t>
        </is>
      </c>
      <c r="F1517" s="0" t="inlineStr">
        <is>
          <t>NULL</t>
        </is>
      </c>
      <c r="G1517" s="0" t="inlineStr">
        <is>
          <t>NULL</t>
        </is>
      </c>
      <c r="H1517" s="0" t="inlineStr">
        <is>
          <t>NULL</t>
        </is>
      </c>
      <c r="I1517" s="0" t="inlineStr">
        <is>
          <t>NULL</t>
        </is>
      </c>
      <c r="J1517" s="0" t="inlineStr">
        <is>
          <t>NULL</t>
        </is>
      </c>
      <c r="K1517" s="0" t="inlineStr">
        <is>
          <t>YES! 	 c_dt2列源备映射正确，源端为datetime2 None位	期望更改为datetime2(n)	实际备端为datetime2 None位</t>
        </is>
      </c>
    </row>
    <row r="1518">
      <c r="A1518" s="0" t="inlineStr">
        <is>
          <t>info_binary_dml_single_pk_drp</t>
        </is>
      </c>
      <c r="K1518" s="0" t="inlineStr">
        <is>
          <t>[0;34m info_binary_dml_single_pk_drp [0m源备字段数相同，源端字段：4 	备端字段4</t>
        </is>
      </c>
      <c r="W1518" s="0" t="inlineStr">
        <is>
          <t>YES 源备无差异</t>
        </is>
      </c>
      <c r="X1518" s="0">
        <f>A1518</f>
        <v/>
      </c>
    </row>
    <row r="1519">
      <c r="B1519" s="0" t="inlineStr">
        <is>
          <t>YES</t>
        </is>
      </c>
      <c r="C1519" s="0" t="inlineStr">
        <is>
          <t>NULL</t>
        </is>
      </c>
      <c r="D1519" s="0" t="inlineStr">
        <is>
          <t>NULL</t>
        </is>
      </c>
      <c r="E1519" s="0" t="inlineStr">
        <is>
          <t>NULL</t>
        </is>
      </c>
      <c r="F1519" s="0" t="inlineStr">
        <is>
          <t>NULL</t>
        </is>
      </c>
      <c r="G1519" s="0" t="inlineStr">
        <is>
          <t>NULL</t>
        </is>
      </c>
      <c r="H1519" s="0" t="inlineStr">
        <is>
          <t>NULL</t>
        </is>
      </c>
      <c r="I1519" s="0" t="inlineStr">
        <is>
          <t>YES!PK__info_bin__3213E83F5ED736A6</t>
        </is>
      </c>
      <c r="J1519" s="0" t="inlineStr">
        <is>
          <t>YES! 主键相关索引</t>
        </is>
      </c>
      <c r="K1519" s="0" t="inlineStr">
        <is>
          <t>YES! 	 id列源备映射正确，源端为int None位	期望更改为int	实际备端为int None位</t>
        </is>
      </c>
    </row>
    <row r="1520">
      <c r="B1520" s="0" t="inlineStr">
        <is>
          <t>NULL</t>
        </is>
      </c>
      <c r="C1520" s="0" t="inlineStr">
        <is>
          <t>NULL</t>
        </is>
      </c>
      <c r="D1520" s="0" t="inlineStr">
        <is>
          <t>NULL</t>
        </is>
      </c>
      <c r="E1520" s="0" t="inlineStr">
        <is>
          <t>NULL</t>
        </is>
      </c>
      <c r="F1520" s="0" t="inlineStr">
        <is>
          <t>NULL</t>
        </is>
      </c>
      <c r="G1520" s="0" t="inlineStr">
        <is>
          <t>NULL</t>
        </is>
      </c>
      <c r="H1520" s="0" t="inlineStr">
        <is>
          <t>NULL</t>
        </is>
      </c>
      <c r="I1520" s="0" t="inlineStr">
        <is>
          <t>NULL</t>
        </is>
      </c>
      <c r="J1520" s="0" t="inlineStr">
        <is>
          <t>NULL</t>
        </is>
      </c>
      <c r="K1520" s="0" t="inlineStr">
        <is>
          <t>YES! 	 c_binary列源备映射正确，源端为binary 1位	期望更改为binary(n)	实际备端为binary 1位</t>
        </is>
      </c>
    </row>
    <row r="1521">
      <c r="B1521" s="0" t="inlineStr">
        <is>
          <t>NULL</t>
        </is>
      </c>
      <c r="C1521" s="0" t="inlineStr">
        <is>
          <t>NULL</t>
        </is>
      </c>
      <c r="D1521" s="0" t="inlineStr">
        <is>
          <t>NULL</t>
        </is>
      </c>
      <c r="E1521" s="0" t="inlineStr">
        <is>
          <t>NULL</t>
        </is>
      </c>
      <c r="F1521" s="0" t="inlineStr">
        <is>
          <t>NULL</t>
        </is>
      </c>
      <c r="G1521" s="0" t="inlineStr">
        <is>
          <t>NULL</t>
        </is>
      </c>
      <c r="H1521" s="0" t="inlineStr">
        <is>
          <t>NULL</t>
        </is>
      </c>
      <c r="I1521" s="0" t="inlineStr">
        <is>
          <t>NULL</t>
        </is>
      </c>
      <c r="J1521" s="0" t="inlineStr">
        <is>
          <t>NULL</t>
        </is>
      </c>
      <c r="K1521" s="0" t="inlineStr">
        <is>
          <t>YES! 	 c_binary_20列源备映射正确，源端为binary 20位	期望更改为binary(n)	实际备端为binary 20位</t>
        </is>
      </c>
    </row>
    <row r="1522">
      <c r="B1522" s="0" t="inlineStr">
        <is>
          <t>NULL</t>
        </is>
      </c>
      <c r="C1522" s="0" t="inlineStr">
        <is>
          <t>NULL</t>
        </is>
      </c>
      <c r="D1522" s="0" t="inlineStr">
        <is>
          <t>NULL</t>
        </is>
      </c>
      <c r="E1522" s="0" t="inlineStr">
        <is>
          <t>NULL</t>
        </is>
      </c>
      <c r="F1522" s="0" t="inlineStr">
        <is>
          <t>NULL</t>
        </is>
      </c>
      <c r="G1522" s="0" t="inlineStr">
        <is>
          <t>NULL</t>
        </is>
      </c>
      <c r="H1522" s="0" t="inlineStr">
        <is>
          <t>NULL</t>
        </is>
      </c>
      <c r="I1522" s="0" t="inlineStr">
        <is>
          <t>NULL</t>
        </is>
      </c>
      <c r="J1522" s="0" t="inlineStr">
        <is>
          <t>NULL</t>
        </is>
      </c>
      <c r="K1522" s="0" t="inlineStr">
        <is>
          <t>YES! 	 c_binary_8000列源备映射正确，源端为binary 8000位	期望更改为binary(n)	实际备端为binary 8000位</t>
        </is>
      </c>
    </row>
    <row r="1523">
      <c r="A1523" s="0" t="inlineStr">
        <is>
          <t>info_datetime2_dml_single_nopk</t>
        </is>
      </c>
      <c r="K1523" s="0" t="inlineStr">
        <is>
          <t>[0;34m info_datetime2_dml_single_nopk [0m源备字段数相同，源端字段：9 	备端字段9</t>
        </is>
      </c>
      <c r="W1523" s="0" t="inlineStr">
        <is>
          <t>YES 源备无差异</t>
        </is>
      </c>
      <c r="X1523" s="0">
        <f>A1523</f>
        <v/>
      </c>
    </row>
    <row r="1524">
      <c r="B1524" s="0" t="inlineStr">
        <is>
          <t>NULL</t>
        </is>
      </c>
      <c r="C1524" s="0" t="inlineStr">
        <is>
          <t>NULL</t>
        </is>
      </c>
      <c r="D1524" s="0" t="inlineStr">
        <is>
          <t>NULL</t>
        </is>
      </c>
      <c r="E1524" s="0" t="inlineStr">
        <is>
          <t>NULL</t>
        </is>
      </c>
      <c r="F1524" s="0" t="inlineStr">
        <is>
          <t>NULL</t>
        </is>
      </c>
      <c r="G1524" s="0" t="inlineStr">
        <is>
          <t>NULL</t>
        </is>
      </c>
      <c r="H1524" s="0" t="inlineStr">
        <is>
          <t>NULL</t>
        </is>
      </c>
      <c r="I1524" s="0" t="inlineStr">
        <is>
          <t>NULL</t>
        </is>
      </c>
      <c r="J1524" s="0" t="inlineStr">
        <is>
          <t>NULL</t>
        </is>
      </c>
      <c r="K1524" s="0" t="inlineStr">
        <is>
          <t>YES! 	 id列源备映射正确，源端为int None位	期望更改为int	实际备端为int None位</t>
        </is>
      </c>
    </row>
    <row r="1525">
      <c r="B1525" s="0" t="inlineStr">
        <is>
          <t>NULL</t>
        </is>
      </c>
      <c r="C1525" s="0" t="inlineStr">
        <is>
          <t>NULL</t>
        </is>
      </c>
      <c r="D1525" s="0" t="inlineStr">
        <is>
          <t>NULL</t>
        </is>
      </c>
      <c r="E1525" s="0" t="inlineStr">
        <is>
          <t>NULL</t>
        </is>
      </c>
      <c r="F1525" s="0" t="inlineStr">
        <is>
          <t>NULL</t>
        </is>
      </c>
      <c r="G1525" s="0" t="inlineStr">
        <is>
          <t>NULL</t>
        </is>
      </c>
      <c r="H1525" s="0" t="inlineStr">
        <is>
          <t>NULL</t>
        </is>
      </c>
      <c r="I1525" s="0" t="inlineStr">
        <is>
          <t>NULL</t>
        </is>
      </c>
      <c r="J1525" s="0" t="inlineStr">
        <is>
          <t>NULL</t>
        </is>
      </c>
      <c r="K1525" s="0" t="inlineStr">
        <is>
          <t>no,len不存在</t>
        </is>
      </c>
    </row>
    <row r="1526">
      <c r="B1526" s="0" t="inlineStr">
        <is>
          <t>NULL</t>
        </is>
      </c>
      <c r="C1526" s="0" t="inlineStr">
        <is>
          <t>NULL</t>
        </is>
      </c>
      <c r="D1526" s="0" t="inlineStr">
        <is>
          <t>NULL</t>
        </is>
      </c>
      <c r="E1526" s="0" t="inlineStr">
        <is>
          <t>NULL</t>
        </is>
      </c>
      <c r="F1526" s="0" t="inlineStr">
        <is>
          <t>NULL</t>
        </is>
      </c>
      <c r="G1526" s="0" t="inlineStr">
        <is>
          <t>NULL</t>
        </is>
      </c>
      <c r="H1526" s="0" t="inlineStr">
        <is>
          <t>NULL</t>
        </is>
      </c>
      <c r="I1526" s="0" t="inlineStr">
        <is>
          <t>NULL</t>
        </is>
      </c>
      <c r="J1526" s="0" t="inlineStr">
        <is>
          <t>NULL</t>
        </is>
      </c>
      <c r="K1526" s="0" t="inlineStr">
        <is>
          <t>YES! 	 c_dt2_1列源备映射正确，源端为datetime2 None位	期望更改为datetime2(n)	实际备端为datetime2 None位</t>
        </is>
      </c>
    </row>
    <row r="1527">
      <c r="B1527" s="0" t="inlineStr">
        <is>
          <t>NULL</t>
        </is>
      </c>
      <c r="C1527" s="0" t="inlineStr">
        <is>
          <t>NULL</t>
        </is>
      </c>
      <c r="D1527" s="0" t="inlineStr">
        <is>
          <t>NULL</t>
        </is>
      </c>
      <c r="E1527" s="0" t="inlineStr">
        <is>
          <t>NULL</t>
        </is>
      </c>
      <c r="F1527" s="0" t="inlineStr">
        <is>
          <t>NULL</t>
        </is>
      </c>
      <c r="G1527" s="0" t="inlineStr">
        <is>
          <t>NULL</t>
        </is>
      </c>
      <c r="H1527" s="0" t="inlineStr">
        <is>
          <t>NULL</t>
        </is>
      </c>
      <c r="I1527" s="0" t="inlineStr">
        <is>
          <t>NULL</t>
        </is>
      </c>
      <c r="J1527" s="0" t="inlineStr">
        <is>
          <t>NULL</t>
        </is>
      </c>
      <c r="K1527" s="0" t="inlineStr">
        <is>
          <t>YES! 	 c_dt2_2列源备映射正确，源端为datetime2 None位	期望更改为datetime2(n)	实际备端为datetime2 None位</t>
        </is>
      </c>
    </row>
    <row r="1528">
      <c r="B1528" s="0" t="inlineStr">
        <is>
          <t>NULL</t>
        </is>
      </c>
      <c r="C1528" s="0" t="inlineStr">
        <is>
          <t>NULL</t>
        </is>
      </c>
      <c r="D1528" s="0" t="inlineStr">
        <is>
          <t>NULL</t>
        </is>
      </c>
      <c r="E1528" s="0" t="inlineStr">
        <is>
          <t>NULL</t>
        </is>
      </c>
      <c r="F1528" s="0" t="inlineStr">
        <is>
          <t>NULL</t>
        </is>
      </c>
      <c r="G1528" s="0" t="inlineStr">
        <is>
          <t>NULL</t>
        </is>
      </c>
      <c r="H1528" s="0" t="inlineStr">
        <is>
          <t>NULL</t>
        </is>
      </c>
      <c r="I1528" s="0" t="inlineStr">
        <is>
          <t>NULL</t>
        </is>
      </c>
      <c r="J1528" s="0" t="inlineStr">
        <is>
          <t>NULL</t>
        </is>
      </c>
      <c r="K1528" s="0" t="inlineStr">
        <is>
          <t>YES! 	 c_dt2_3列源备映射正确，源端为datetime2 None位	期望更改为datetime2(n)	实际备端为datetime2 None位</t>
        </is>
      </c>
    </row>
    <row r="1529">
      <c r="B1529" s="0" t="inlineStr">
        <is>
          <t>NULL</t>
        </is>
      </c>
      <c r="C1529" s="0" t="inlineStr">
        <is>
          <t>NULL</t>
        </is>
      </c>
      <c r="D1529" s="0" t="inlineStr">
        <is>
          <t>NULL</t>
        </is>
      </c>
      <c r="E1529" s="0" t="inlineStr">
        <is>
          <t>NULL</t>
        </is>
      </c>
      <c r="F1529" s="0" t="inlineStr">
        <is>
          <t>NULL</t>
        </is>
      </c>
      <c r="G1529" s="0" t="inlineStr">
        <is>
          <t>NULL</t>
        </is>
      </c>
      <c r="H1529" s="0" t="inlineStr">
        <is>
          <t>NULL</t>
        </is>
      </c>
      <c r="I1529" s="0" t="inlineStr">
        <is>
          <t>NULL</t>
        </is>
      </c>
      <c r="J1529" s="0" t="inlineStr">
        <is>
          <t>NULL</t>
        </is>
      </c>
      <c r="K1529" s="0" t="inlineStr">
        <is>
          <t>YES! 	 c_dt2_4列源备映射正确，源端为datetime2 None位	期望更改为datetime2(n)	实际备端为datetime2 None位</t>
        </is>
      </c>
    </row>
    <row r="1530">
      <c r="B1530" s="0" t="inlineStr">
        <is>
          <t>NULL</t>
        </is>
      </c>
      <c r="C1530" s="0" t="inlineStr">
        <is>
          <t>NULL</t>
        </is>
      </c>
      <c r="D1530" s="0" t="inlineStr">
        <is>
          <t>NULL</t>
        </is>
      </c>
      <c r="E1530" s="0" t="inlineStr">
        <is>
          <t>NULL</t>
        </is>
      </c>
      <c r="F1530" s="0" t="inlineStr">
        <is>
          <t>NULL</t>
        </is>
      </c>
      <c r="G1530" s="0" t="inlineStr">
        <is>
          <t>NULL</t>
        </is>
      </c>
      <c r="H1530" s="0" t="inlineStr">
        <is>
          <t>NULL</t>
        </is>
      </c>
      <c r="I1530" s="0" t="inlineStr">
        <is>
          <t>NULL</t>
        </is>
      </c>
      <c r="J1530" s="0" t="inlineStr">
        <is>
          <t>NULL</t>
        </is>
      </c>
      <c r="K1530" s="0" t="inlineStr">
        <is>
          <t>YES! 	 c_dt2_5列源备映射正确，源端为datetime2 None位	期望更改为datetime2(n)	实际备端为datetime2 None位</t>
        </is>
      </c>
    </row>
    <row r="1531">
      <c r="B1531" s="0" t="inlineStr">
        <is>
          <t>NULL</t>
        </is>
      </c>
      <c r="C1531" s="0" t="inlineStr">
        <is>
          <t>NULL</t>
        </is>
      </c>
      <c r="D1531" s="0" t="inlineStr">
        <is>
          <t>NULL</t>
        </is>
      </c>
      <c r="E1531" s="0" t="inlineStr">
        <is>
          <t>NULL</t>
        </is>
      </c>
      <c r="F1531" s="0" t="inlineStr">
        <is>
          <t>NULL</t>
        </is>
      </c>
      <c r="G1531" s="0" t="inlineStr">
        <is>
          <t>NULL</t>
        </is>
      </c>
      <c r="H1531" s="0" t="inlineStr">
        <is>
          <t>NULL</t>
        </is>
      </c>
      <c r="I1531" s="0" t="inlineStr">
        <is>
          <t>NULL</t>
        </is>
      </c>
      <c r="J1531" s="0" t="inlineStr">
        <is>
          <t>NULL</t>
        </is>
      </c>
      <c r="K1531" s="0" t="inlineStr">
        <is>
          <t>YES! 	 c_dt2_6列源备映射正确，源端为datetime2 None位	期望更改为datetime2(n)	实际备端为datetime2 None位</t>
        </is>
      </c>
    </row>
    <row r="1532">
      <c r="B1532" s="0" t="inlineStr">
        <is>
          <t>NULL</t>
        </is>
      </c>
      <c r="C1532" s="0" t="inlineStr">
        <is>
          <t>NULL</t>
        </is>
      </c>
      <c r="D1532" s="0" t="inlineStr">
        <is>
          <t>NULL</t>
        </is>
      </c>
      <c r="E1532" s="0" t="inlineStr">
        <is>
          <t>NULL</t>
        </is>
      </c>
      <c r="F1532" s="0" t="inlineStr">
        <is>
          <t>NULL</t>
        </is>
      </c>
      <c r="G1532" s="0" t="inlineStr">
        <is>
          <t>NULL</t>
        </is>
      </c>
      <c r="H1532" s="0" t="inlineStr">
        <is>
          <t>NULL</t>
        </is>
      </c>
      <c r="I1532" s="0" t="inlineStr">
        <is>
          <t>NULL</t>
        </is>
      </c>
      <c r="J1532" s="0" t="inlineStr">
        <is>
          <t>NULL</t>
        </is>
      </c>
      <c r="K1532" s="0" t="inlineStr">
        <is>
          <t>YES! 	 c_dt2列源备映射正确，源端为datetime2 None位	期望更改为datetime2(n)	实际备端为datetime2 None位</t>
        </is>
      </c>
    </row>
    <row r="1533">
      <c r="A1533" s="0" t="inlineStr">
        <is>
          <t>info_varcharmax_dml_batch1_pk_urp2</t>
        </is>
      </c>
      <c r="K1533" s="0" t="inlineStr">
        <is>
          <t>[0;34m info_varcharmax_dml_batch1_pk_urp2 [0m源备字段数相同，源端字段：3 	备端字段3</t>
        </is>
      </c>
      <c r="W1533" s="0" t="inlineStr">
        <is>
          <t>YES 源备无差异</t>
        </is>
      </c>
      <c r="X1533" s="0">
        <f>A1533</f>
        <v/>
      </c>
    </row>
    <row r="1534">
      <c r="B1534" s="0" t="inlineStr">
        <is>
          <t>YES</t>
        </is>
      </c>
      <c r="C1534" s="0" t="inlineStr">
        <is>
          <t>NULL</t>
        </is>
      </c>
      <c r="D1534" s="0" t="inlineStr">
        <is>
          <t>NULL</t>
        </is>
      </c>
      <c r="E1534" s="0" t="inlineStr">
        <is>
          <t>NULL</t>
        </is>
      </c>
      <c r="F1534" s="0" t="inlineStr">
        <is>
          <t>NULL</t>
        </is>
      </c>
      <c r="G1534" s="0" t="inlineStr">
        <is>
          <t>NULL</t>
        </is>
      </c>
      <c r="H1534" s="0" t="inlineStr">
        <is>
          <t>NULL</t>
        </is>
      </c>
      <c r="I1534" s="0" t="inlineStr">
        <is>
          <t>YES!PK__info_var__3213E83F08B8F603</t>
        </is>
      </c>
      <c r="J1534" s="0" t="inlineStr">
        <is>
          <t>YES! 主键相关索引</t>
        </is>
      </c>
      <c r="K1534" s="0" t="inlineStr">
        <is>
          <t>YES! 	 id列源备映射正确，源端为int None位	期望更改为int	实际备端为int None位</t>
        </is>
      </c>
    </row>
    <row r="1535">
      <c r="B1535" s="0" t="inlineStr">
        <is>
          <t>NULL</t>
        </is>
      </c>
      <c r="C1535" s="0" t="inlineStr">
        <is>
          <t>NULL</t>
        </is>
      </c>
      <c r="D1535" s="0" t="inlineStr">
        <is>
          <t>NULL</t>
        </is>
      </c>
      <c r="E1535" s="0" t="inlineStr">
        <is>
          <t>NULL</t>
        </is>
      </c>
      <c r="F1535" s="0" t="inlineStr">
        <is>
          <t>NULL</t>
        </is>
      </c>
      <c r="G1535" s="0" t="inlineStr">
        <is>
          <t>NULL</t>
        </is>
      </c>
      <c r="H1535" s="0" t="inlineStr">
        <is>
          <t>NULL</t>
        </is>
      </c>
      <c r="I1535" s="0" t="inlineStr">
        <is>
          <t>NULL</t>
        </is>
      </c>
      <c r="J1535" s="0" t="inlineStr">
        <is>
          <t>NULL</t>
        </is>
      </c>
      <c r="K1535" s="0" t="inlineStr">
        <is>
          <t>YES! 	 c_varchar_max列源备映射正确，源端为varchar -1位	期望更改为varchar(n)	实际备端为varchar -1位</t>
        </is>
      </c>
    </row>
    <row r="1536">
      <c r="B1536" s="0" t="inlineStr">
        <is>
          <t>NULL</t>
        </is>
      </c>
      <c r="C1536" s="0" t="inlineStr">
        <is>
          <t>NULL</t>
        </is>
      </c>
      <c r="D1536" s="0" t="inlineStr">
        <is>
          <t>NULL</t>
        </is>
      </c>
      <c r="E1536" s="0" t="inlineStr">
        <is>
          <t>NULL</t>
        </is>
      </c>
      <c r="F1536" s="0" t="inlineStr">
        <is>
          <t>NULL</t>
        </is>
      </c>
      <c r="G1536" s="0" t="inlineStr">
        <is>
          <t>NULL</t>
        </is>
      </c>
      <c r="H1536" s="0" t="inlineStr">
        <is>
          <t>NULL</t>
        </is>
      </c>
      <c r="I1536" s="0" t="inlineStr">
        <is>
          <t>NULL</t>
        </is>
      </c>
      <c r="J1536" s="0" t="inlineStr">
        <is>
          <t>NULL</t>
        </is>
      </c>
      <c r="K1536" s="0" t="inlineStr">
        <is>
          <t>YES! 	 c_nvarchar_max列源备映射正确，源端为nvarchar -1位	期望更改为nvarchar(n)	实际备端为nvarchar -1位</t>
        </is>
      </c>
    </row>
    <row r="1537">
      <c r="K1537" s="0" t="inlineStr">
        <is>
          <t>~ 空表</t>
        </is>
      </c>
    </row>
    <row r="1538">
      <c r="A1538" s="0" t="inlineStr">
        <is>
          <t>info_datetimeoffset_dml_single_pk</t>
        </is>
      </c>
      <c r="K1538" s="0" t="inlineStr">
        <is>
          <t>[0;34m info_datetimeoffset_dml_single_pk [0m源备字段数相同，源端字段：9 	备端字段9</t>
        </is>
      </c>
      <c r="W1538" s="0" t="inlineStr">
        <is>
          <t>YES 源备无差异</t>
        </is>
      </c>
      <c r="X1538" s="0">
        <f>A1538</f>
        <v/>
      </c>
    </row>
    <row r="1539">
      <c r="B1539" s="0" t="inlineStr">
        <is>
          <t>YES</t>
        </is>
      </c>
      <c r="C1539" s="0" t="inlineStr">
        <is>
          <t>NULL</t>
        </is>
      </c>
      <c r="D1539" s="0" t="inlineStr">
        <is>
          <t>NULL</t>
        </is>
      </c>
      <c r="E1539" s="0" t="inlineStr">
        <is>
          <t>NULL</t>
        </is>
      </c>
      <c r="F1539" s="0" t="inlineStr">
        <is>
          <t>NULL</t>
        </is>
      </c>
      <c r="G1539" s="0" t="inlineStr">
        <is>
          <t>NULL</t>
        </is>
      </c>
      <c r="H1539" s="0" t="inlineStr">
        <is>
          <t>NULL</t>
        </is>
      </c>
      <c r="I1539" s="0" t="inlineStr">
        <is>
          <t>YES!PK__info_dat__3213E83F4E94B57E</t>
        </is>
      </c>
      <c r="J1539" s="0" t="inlineStr">
        <is>
          <t>YES! 主键相关索引</t>
        </is>
      </c>
      <c r="K1539" s="0" t="inlineStr">
        <is>
          <t>YES! 	 id列源备映射正确，源端为int None位	期望更改为int	实际备端为int None位</t>
        </is>
      </c>
    </row>
    <row r="1540">
      <c r="B1540" s="0" t="inlineStr">
        <is>
          <t>NULL</t>
        </is>
      </c>
      <c r="C1540" s="0" t="inlineStr">
        <is>
          <t>NULL</t>
        </is>
      </c>
      <c r="D1540" s="0" t="inlineStr">
        <is>
          <t>NULL</t>
        </is>
      </c>
      <c r="E1540" s="0" t="inlineStr">
        <is>
          <t>NULL</t>
        </is>
      </c>
      <c r="F1540" s="0" t="inlineStr">
        <is>
          <t>NULL</t>
        </is>
      </c>
      <c r="G1540" s="0" t="inlineStr">
        <is>
          <t>NULL</t>
        </is>
      </c>
      <c r="H1540" s="0" t="inlineStr">
        <is>
          <t>NULL</t>
        </is>
      </c>
      <c r="I1540" s="0" t="inlineStr">
        <is>
          <t>NULL</t>
        </is>
      </c>
      <c r="J1540" s="0" t="inlineStr">
        <is>
          <t>NULL</t>
        </is>
      </c>
      <c r="K1540" s="0" t="inlineStr">
        <is>
          <t>no,len不存在</t>
        </is>
      </c>
    </row>
    <row r="1541">
      <c r="B1541" s="0" t="inlineStr">
        <is>
          <t>NULL</t>
        </is>
      </c>
      <c r="C1541" s="0" t="inlineStr">
        <is>
          <t>NULL</t>
        </is>
      </c>
      <c r="D1541" s="0" t="inlineStr">
        <is>
          <t>NULL</t>
        </is>
      </c>
      <c r="E1541" s="0" t="inlineStr">
        <is>
          <t>NULL</t>
        </is>
      </c>
      <c r="F1541" s="0" t="inlineStr">
        <is>
          <t>NULL</t>
        </is>
      </c>
      <c r="G1541" s="0" t="inlineStr">
        <is>
          <t>NULL</t>
        </is>
      </c>
      <c r="H1541" s="0" t="inlineStr">
        <is>
          <t>NULL</t>
        </is>
      </c>
      <c r="I1541" s="0" t="inlineStr">
        <is>
          <t>NULL</t>
        </is>
      </c>
      <c r="J1541" s="0" t="inlineStr">
        <is>
          <t>NULL</t>
        </is>
      </c>
      <c r="K1541" s="0" t="inlineStr">
        <is>
          <t>YES! 	 c_dtoffset_1列源备映射正确，源端为datetimeoffset None位	期望更改为datetimeoffset(n)	实际备端为datetimeoffset None位</t>
        </is>
      </c>
    </row>
    <row r="1542">
      <c r="B1542" s="0" t="inlineStr">
        <is>
          <t>NULL</t>
        </is>
      </c>
      <c r="C1542" s="0" t="inlineStr">
        <is>
          <t>NULL</t>
        </is>
      </c>
      <c r="D1542" s="0" t="inlineStr">
        <is>
          <t>NULL</t>
        </is>
      </c>
      <c r="E1542" s="0" t="inlineStr">
        <is>
          <t>NULL</t>
        </is>
      </c>
      <c r="F1542" s="0" t="inlineStr">
        <is>
          <t>NULL</t>
        </is>
      </c>
      <c r="G1542" s="0" t="inlineStr">
        <is>
          <t>NULL</t>
        </is>
      </c>
      <c r="H1542" s="0" t="inlineStr">
        <is>
          <t>NULL</t>
        </is>
      </c>
      <c r="I1542" s="0" t="inlineStr">
        <is>
          <t>NULL</t>
        </is>
      </c>
      <c r="J1542" s="0" t="inlineStr">
        <is>
          <t>NULL</t>
        </is>
      </c>
      <c r="K1542" s="0" t="inlineStr">
        <is>
          <t>YES! 	 c_dtoffset_2列源备映射正确，源端为datetimeoffset None位	期望更改为datetimeoffset(n)	实际备端为datetimeoffset None位</t>
        </is>
      </c>
    </row>
    <row r="1543">
      <c r="B1543" s="0" t="inlineStr">
        <is>
          <t>NULL</t>
        </is>
      </c>
      <c r="C1543" s="0" t="inlineStr">
        <is>
          <t>NULL</t>
        </is>
      </c>
      <c r="D1543" s="0" t="inlineStr">
        <is>
          <t>NULL</t>
        </is>
      </c>
      <c r="E1543" s="0" t="inlineStr">
        <is>
          <t>NULL</t>
        </is>
      </c>
      <c r="F1543" s="0" t="inlineStr">
        <is>
          <t>NULL</t>
        </is>
      </c>
      <c r="G1543" s="0" t="inlineStr">
        <is>
          <t>NULL</t>
        </is>
      </c>
      <c r="H1543" s="0" t="inlineStr">
        <is>
          <t>NULL</t>
        </is>
      </c>
      <c r="I1543" s="0" t="inlineStr">
        <is>
          <t>NULL</t>
        </is>
      </c>
      <c r="J1543" s="0" t="inlineStr">
        <is>
          <t>NULL</t>
        </is>
      </c>
      <c r="K1543" s="0" t="inlineStr">
        <is>
          <t>YES! 	 c_dtoffset_3列源备映射正确，源端为datetimeoffset None位	期望更改为datetimeoffset(n)	实际备端为datetimeoffset None位</t>
        </is>
      </c>
    </row>
    <row r="1544">
      <c r="B1544" s="0" t="inlineStr">
        <is>
          <t>NULL</t>
        </is>
      </c>
      <c r="C1544" s="0" t="inlineStr">
        <is>
          <t>NULL</t>
        </is>
      </c>
      <c r="D1544" s="0" t="inlineStr">
        <is>
          <t>NULL</t>
        </is>
      </c>
      <c r="E1544" s="0" t="inlineStr">
        <is>
          <t>NULL</t>
        </is>
      </c>
      <c r="F1544" s="0" t="inlineStr">
        <is>
          <t>NULL</t>
        </is>
      </c>
      <c r="G1544" s="0" t="inlineStr">
        <is>
          <t>NULL</t>
        </is>
      </c>
      <c r="H1544" s="0" t="inlineStr">
        <is>
          <t>NULL</t>
        </is>
      </c>
      <c r="I1544" s="0" t="inlineStr">
        <is>
          <t>NULL</t>
        </is>
      </c>
      <c r="J1544" s="0" t="inlineStr">
        <is>
          <t>NULL</t>
        </is>
      </c>
      <c r="K1544" s="0" t="inlineStr">
        <is>
          <t>YES! 	 c_dtoffset_4列源备映射正确，源端为datetimeoffset None位	期望更改为datetimeoffset(n)	实际备端为datetimeoffset None位</t>
        </is>
      </c>
    </row>
    <row r="1545">
      <c r="B1545" s="0" t="inlineStr">
        <is>
          <t>NULL</t>
        </is>
      </c>
      <c r="C1545" s="0" t="inlineStr">
        <is>
          <t>NULL</t>
        </is>
      </c>
      <c r="D1545" s="0" t="inlineStr">
        <is>
          <t>NULL</t>
        </is>
      </c>
      <c r="E1545" s="0" t="inlineStr">
        <is>
          <t>NULL</t>
        </is>
      </c>
      <c r="F1545" s="0" t="inlineStr">
        <is>
          <t>NULL</t>
        </is>
      </c>
      <c r="G1545" s="0" t="inlineStr">
        <is>
          <t>NULL</t>
        </is>
      </c>
      <c r="H1545" s="0" t="inlineStr">
        <is>
          <t>NULL</t>
        </is>
      </c>
      <c r="I1545" s="0" t="inlineStr">
        <is>
          <t>NULL</t>
        </is>
      </c>
      <c r="J1545" s="0" t="inlineStr">
        <is>
          <t>NULL</t>
        </is>
      </c>
      <c r="K1545" s="0" t="inlineStr">
        <is>
          <t>YES! 	 c_dtoffset_5列源备映射正确，源端为datetimeoffset None位	期望更改为datetimeoffset(n)	实际备端为datetimeoffset None位</t>
        </is>
      </c>
    </row>
    <row r="1546">
      <c r="B1546" s="0" t="inlineStr">
        <is>
          <t>NULL</t>
        </is>
      </c>
      <c r="C1546" s="0" t="inlineStr">
        <is>
          <t>NULL</t>
        </is>
      </c>
      <c r="D1546" s="0" t="inlineStr">
        <is>
          <t>NULL</t>
        </is>
      </c>
      <c r="E1546" s="0" t="inlineStr">
        <is>
          <t>NULL</t>
        </is>
      </c>
      <c r="F1546" s="0" t="inlineStr">
        <is>
          <t>NULL</t>
        </is>
      </c>
      <c r="G1546" s="0" t="inlineStr">
        <is>
          <t>NULL</t>
        </is>
      </c>
      <c r="H1546" s="0" t="inlineStr">
        <is>
          <t>NULL</t>
        </is>
      </c>
      <c r="I1546" s="0" t="inlineStr">
        <is>
          <t>NULL</t>
        </is>
      </c>
      <c r="J1546" s="0" t="inlineStr">
        <is>
          <t>NULL</t>
        </is>
      </c>
      <c r="K1546" s="0" t="inlineStr">
        <is>
          <t>YES! 	 c_dtoffset_6列源备映射正确，源端为datetimeoffset None位	期望更改为datetimeoffset(n)	实际备端为datetimeoffset None位</t>
        </is>
      </c>
    </row>
    <row r="1547">
      <c r="B1547" s="0" t="inlineStr">
        <is>
          <t>NULL</t>
        </is>
      </c>
      <c r="C1547" s="0" t="inlineStr">
        <is>
          <t>NULL</t>
        </is>
      </c>
      <c r="D1547" s="0" t="inlineStr">
        <is>
          <t>NULL</t>
        </is>
      </c>
      <c r="E1547" s="0" t="inlineStr">
        <is>
          <t>NULL</t>
        </is>
      </c>
      <c r="F1547" s="0" t="inlineStr">
        <is>
          <t>NULL</t>
        </is>
      </c>
      <c r="G1547" s="0" t="inlineStr">
        <is>
          <t>NULL</t>
        </is>
      </c>
      <c r="H1547" s="0" t="inlineStr">
        <is>
          <t>NULL</t>
        </is>
      </c>
      <c r="I1547" s="0" t="inlineStr">
        <is>
          <t>NULL</t>
        </is>
      </c>
      <c r="J1547" s="0" t="inlineStr">
        <is>
          <t>NULL</t>
        </is>
      </c>
      <c r="K1547" s="0" t="inlineStr">
        <is>
          <t>YES! 	 c_dtoffset列源备映射正确，源端为datetimeoffset None位	期望更改为datetimeoffset(n)	实际备端为datetimeoffset None位</t>
        </is>
      </c>
    </row>
    <row r="1548">
      <c r="A1548" s="0" t="inlineStr">
        <is>
          <t>info_datetimeoffset_dml_single_nopk_irp</t>
        </is>
      </c>
      <c r="K1548" s="0" t="inlineStr">
        <is>
          <t>[0;34m info_datetimeoffset_dml_single_nopk_irp [0m源备字段数相同，源端字段：9 	备端字段9</t>
        </is>
      </c>
      <c r="W1548" s="0" t="inlineStr">
        <is>
          <t>YES 源备无差异</t>
        </is>
      </c>
      <c r="X1548" s="0">
        <f>A1548</f>
        <v/>
      </c>
    </row>
    <row r="1549">
      <c r="B1549" s="0" t="inlineStr">
        <is>
          <t>NULL</t>
        </is>
      </c>
      <c r="C1549" s="0" t="inlineStr">
        <is>
          <t>NULL</t>
        </is>
      </c>
      <c r="D1549" s="0" t="inlineStr">
        <is>
          <t>NULL</t>
        </is>
      </c>
      <c r="E1549" s="0" t="inlineStr">
        <is>
          <t>NULL</t>
        </is>
      </c>
      <c r="F1549" s="0" t="inlineStr">
        <is>
          <t>NULL</t>
        </is>
      </c>
      <c r="G1549" s="0" t="inlineStr">
        <is>
          <t>NULL</t>
        </is>
      </c>
      <c r="H1549" s="0" t="inlineStr">
        <is>
          <t>NULL</t>
        </is>
      </c>
      <c r="I1549" s="0" t="inlineStr">
        <is>
          <t>NULL</t>
        </is>
      </c>
      <c r="J1549" s="0" t="inlineStr">
        <is>
          <t>NULL</t>
        </is>
      </c>
      <c r="K1549" s="0" t="inlineStr">
        <is>
          <t>YES! 	 id列源备映射正确，源端为int None位	期望更改为int	实际备端为int None位</t>
        </is>
      </c>
    </row>
    <row r="1550">
      <c r="B1550" s="0" t="inlineStr">
        <is>
          <t>NULL</t>
        </is>
      </c>
      <c r="C1550" s="0" t="inlineStr">
        <is>
          <t>NULL</t>
        </is>
      </c>
      <c r="D1550" s="0" t="inlineStr">
        <is>
          <t>NULL</t>
        </is>
      </c>
      <c r="E1550" s="0" t="inlineStr">
        <is>
          <t>NULL</t>
        </is>
      </c>
      <c r="F1550" s="0" t="inlineStr">
        <is>
          <t>NULL</t>
        </is>
      </c>
      <c r="G1550" s="0" t="inlineStr">
        <is>
          <t>NULL</t>
        </is>
      </c>
      <c r="H1550" s="0" t="inlineStr">
        <is>
          <t>NULL</t>
        </is>
      </c>
      <c r="I1550" s="0" t="inlineStr">
        <is>
          <t>NULL</t>
        </is>
      </c>
      <c r="J1550" s="0" t="inlineStr">
        <is>
          <t>NULL</t>
        </is>
      </c>
      <c r="K1550" s="0" t="inlineStr">
        <is>
          <t>no,len不存在</t>
        </is>
      </c>
    </row>
    <row r="1551">
      <c r="B1551" s="0" t="inlineStr">
        <is>
          <t>NULL</t>
        </is>
      </c>
      <c r="C1551" s="0" t="inlineStr">
        <is>
          <t>NULL</t>
        </is>
      </c>
      <c r="D1551" s="0" t="inlineStr">
        <is>
          <t>NULL</t>
        </is>
      </c>
      <c r="E1551" s="0" t="inlineStr">
        <is>
          <t>NULL</t>
        </is>
      </c>
      <c r="F1551" s="0" t="inlineStr">
        <is>
          <t>NULL</t>
        </is>
      </c>
      <c r="G1551" s="0" t="inlineStr">
        <is>
          <t>NULL</t>
        </is>
      </c>
      <c r="H1551" s="0" t="inlineStr">
        <is>
          <t>NULL</t>
        </is>
      </c>
      <c r="I1551" s="0" t="inlineStr">
        <is>
          <t>NULL</t>
        </is>
      </c>
      <c r="J1551" s="0" t="inlineStr">
        <is>
          <t>NULL</t>
        </is>
      </c>
      <c r="K1551" s="0" t="inlineStr">
        <is>
          <t>YES! 	 c_dtoffset_1列源备映射正确，源端为datetimeoffset None位	期望更改为datetimeoffset(n)	实际备端为datetimeoffset None位</t>
        </is>
      </c>
    </row>
    <row r="1552">
      <c r="B1552" s="0" t="inlineStr">
        <is>
          <t>NULL</t>
        </is>
      </c>
      <c r="C1552" s="0" t="inlineStr">
        <is>
          <t>NULL</t>
        </is>
      </c>
      <c r="D1552" s="0" t="inlineStr">
        <is>
          <t>NULL</t>
        </is>
      </c>
      <c r="E1552" s="0" t="inlineStr">
        <is>
          <t>NULL</t>
        </is>
      </c>
      <c r="F1552" s="0" t="inlineStr">
        <is>
          <t>NULL</t>
        </is>
      </c>
      <c r="G1552" s="0" t="inlineStr">
        <is>
          <t>NULL</t>
        </is>
      </c>
      <c r="H1552" s="0" t="inlineStr">
        <is>
          <t>NULL</t>
        </is>
      </c>
      <c r="I1552" s="0" t="inlineStr">
        <is>
          <t>NULL</t>
        </is>
      </c>
      <c r="J1552" s="0" t="inlineStr">
        <is>
          <t>NULL</t>
        </is>
      </c>
      <c r="K1552" s="0" t="inlineStr">
        <is>
          <t>YES! 	 c_dtoffset_2列源备映射正确，源端为datetimeoffset None位	期望更改为datetimeoffset(n)	实际备端为datetimeoffset None位</t>
        </is>
      </c>
    </row>
    <row r="1553">
      <c r="B1553" s="0" t="inlineStr">
        <is>
          <t>NULL</t>
        </is>
      </c>
      <c r="C1553" s="0" t="inlineStr">
        <is>
          <t>NULL</t>
        </is>
      </c>
      <c r="D1553" s="0" t="inlineStr">
        <is>
          <t>NULL</t>
        </is>
      </c>
      <c r="E1553" s="0" t="inlineStr">
        <is>
          <t>NULL</t>
        </is>
      </c>
      <c r="F1553" s="0" t="inlineStr">
        <is>
          <t>NULL</t>
        </is>
      </c>
      <c r="G1553" s="0" t="inlineStr">
        <is>
          <t>NULL</t>
        </is>
      </c>
      <c r="H1553" s="0" t="inlineStr">
        <is>
          <t>NULL</t>
        </is>
      </c>
      <c r="I1553" s="0" t="inlineStr">
        <is>
          <t>NULL</t>
        </is>
      </c>
      <c r="J1553" s="0" t="inlineStr">
        <is>
          <t>NULL</t>
        </is>
      </c>
      <c r="K1553" s="0" t="inlineStr">
        <is>
          <t>YES! 	 c_dtoffset_3列源备映射正确，源端为datetimeoffset None位	期望更改为datetimeoffset(n)	实际备端为datetimeoffset None位</t>
        </is>
      </c>
    </row>
    <row r="1554">
      <c r="B1554" s="0" t="inlineStr">
        <is>
          <t>NULL</t>
        </is>
      </c>
      <c r="C1554" s="0" t="inlineStr">
        <is>
          <t>NULL</t>
        </is>
      </c>
      <c r="D1554" s="0" t="inlineStr">
        <is>
          <t>NULL</t>
        </is>
      </c>
      <c r="E1554" s="0" t="inlineStr">
        <is>
          <t>NULL</t>
        </is>
      </c>
      <c r="F1554" s="0" t="inlineStr">
        <is>
          <t>NULL</t>
        </is>
      </c>
      <c r="G1554" s="0" t="inlineStr">
        <is>
          <t>NULL</t>
        </is>
      </c>
      <c r="H1554" s="0" t="inlineStr">
        <is>
          <t>NULL</t>
        </is>
      </c>
      <c r="I1554" s="0" t="inlineStr">
        <is>
          <t>NULL</t>
        </is>
      </c>
      <c r="J1554" s="0" t="inlineStr">
        <is>
          <t>NULL</t>
        </is>
      </c>
      <c r="K1554" s="0" t="inlineStr">
        <is>
          <t>YES! 	 c_dtoffset_4列源备映射正确，源端为datetimeoffset None位	期望更改为datetimeoffset(n)	实际备端为datetimeoffset None位</t>
        </is>
      </c>
    </row>
    <row r="1555">
      <c r="B1555" s="0" t="inlineStr">
        <is>
          <t>NULL</t>
        </is>
      </c>
      <c r="C1555" s="0" t="inlineStr">
        <is>
          <t>NULL</t>
        </is>
      </c>
      <c r="D1555" s="0" t="inlineStr">
        <is>
          <t>NULL</t>
        </is>
      </c>
      <c r="E1555" s="0" t="inlineStr">
        <is>
          <t>NULL</t>
        </is>
      </c>
      <c r="F1555" s="0" t="inlineStr">
        <is>
          <t>NULL</t>
        </is>
      </c>
      <c r="G1555" s="0" t="inlineStr">
        <is>
          <t>NULL</t>
        </is>
      </c>
      <c r="H1555" s="0" t="inlineStr">
        <is>
          <t>NULL</t>
        </is>
      </c>
      <c r="I1555" s="0" t="inlineStr">
        <is>
          <t>NULL</t>
        </is>
      </c>
      <c r="J1555" s="0" t="inlineStr">
        <is>
          <t>NULL</t>
        </is>
      </c>
      <c r="K1555" s="0" t="inlineStr">
        <is>
          <t>YES! 	 c_dtoffset_5列源备映射正确，源端为datetimeoffset None位	期望更改为datetimeoffset(n)	实际备端为datetimeoffset None位</t>
        </is>
      </c>
    </row>
    <row r="1556">
      <c r="B1556" s="0" t="inlineStr">
        <is>
          <t>NULL</t>
        </is>
      </c>
      <c r="C1556" s="0" t="inlineStr">
        <is>
          <t>NULL</t>
        </is>
      </c>
      <c r="D1556" s="0" t="inlineStr">
        <is>
          <t>NULL</t>
        </is>
      </c>
      <c r="E1556" s="0" t="inlineStr">
        <is>
          <t>NULL</t>
        </is>
      </c>
      <c r="F1556" s="0" t="inlineStr">
        <is>
          <t>NULL</t>
        </is>
      </c>
      <c r="G1556" s="0" t="inlineStr">
        <is>
          <t>NULL</t>
        </is>
      </c>
      <c r="H1556" s="0" t="inlineStr">
        <is>
          <t>NULL</t>
        </is>
      </c>
      <c r="I1556" s="0" t="inlineStr">
        <is>
          <t>NULL</t>
        </is>
      </c>
      <c r="J1556" s="0" t="inlineStr">
        <is>
          <t>NULL</t>
        </is>
      </c>
      <c r="K1556" s="0" t="inlineStr">
        <is>
          <t>YES! 	 c_dtoffset_6列源备映射正确，源端为datetimeoffset None位	期望更改为datetimeoffset(n)	实际备端为datetimeoffset None位</t>
        </is>
      </c>
    </row>
    <row r="1557">
      <c r="B1557" s="0" t="inlineStr">
        <is>
          <t>NULL</t>
        </is>
      </c>
      <c r="C1557" s="0" t="inlineStr">
        <is>
          <t>NULL</t>
        </is>
      </c>
      <c r="D1557" s="0" t="inlineStr">
        <is>
          <t>NULL</t>
        </is>
      </c>
      <c r="E1557" s="0" t="inlineStr">
        <is>
          <t>NULL</t>
        </is>
      </c>
      <c r="F1557" s="0" t="inlineStr">
        <is>
          <t>NULL</t>
        </is>
      </c>
      <c r="G1557" s="0" t="inlineStr">
        <is>
          <t>NULL</t>
        </is>
      </c>
      <c r="H1557" s="0" t="inlineStr">
        <is>
          <t>NULL</t>
        </is>
      </c>
      <c r="I1557" s="0" t="inlineStr">
        <is>
          <t>NULL</t>
        </is>
      </c>
      <c r="J1557" s="0" t="inlineStr">
        <is>
          <t>NULL</t>
        </is>
      </c>
      <c r="K1557" s="0" t="inlineStr">
        <is>
          <t>YES! 	 c_dtoffset列源备映射正确，源端为datetimeoffset None位	期望更改为datetimeoffset(n)	实际备端为datetimeoffset None位</t>
        </is>
      </c>
    </row>
    <row r="1558">
      <c r="A1558" s="0" t="inlineStr">
        <is>
          <t>info_varbinary_max_dml_single_nopk_urp</t>
        </is>
      </c>
      <c r="K1558" s="0" t="inlineStr">
        <is>
          <t>[0;34m info_varbinary_max_dml_single_nopk_urp [0m源备字段数相同，源端字段：4 	备端字段4</t>
        </is>
      </c>
      <c r="W1558" s="0" t="inlineStr">
        <is>
          <t>YES 源备无差异</t>
        </is>
      </c>
      <c r="X1558" s="0">
        <f>A1558</f>
        <v/>
      </c>
    </row>
    <row r="1559">
      <c r="B1559" s="0" t="inlineStr">
        <is>
          <t>NULL</t>
        </is>
      </c>
      <c r="C1559" s="0" t="inlineStr">
        <is>
          <t>NULL</t>
        </is>
      </c>
      <c r="D1559" s="0" t="inlineStr">
        <is>
          <t>NULL</t>
        </is>
      </c>
      <c r="E1559" s="0" t="inlineStr">
        <is>
          <t>NULL</t>
        </is>
      </c>
      <c r="F1559" s="0" t="inlineStr">
        <is>
          <t>NULL</t>
        </is>
      </c>
      <c r="G1559" s="0" t="inlineStr">
        <is>
          <t>NULL</t>
        </is>
      </c>
      <c r="H1559" s="0" t="inlineStr">
        <is>
          <t>NULL</t>
        </is>
      </c>
      <c r="I1559" s="0" t="inlineStr">
        <is>
          <t>NULL</t>
        </is>
      </c>
      <c r="J1559" s="0" t="inlineStr">
        <is>
          <t>NULL</t>
        </is>
      </c>
      <c r="K1559" s="0" t="inlineStr">
        <is>
          <t>YES! 	 id列源备映射正确，源端为int None位	期望更改为int	实际备端为int None位</t>
        </is>
      </c>
    </row>
    <row r="1560">
      <c r="B1560" s="0" t="inlineStr">
        <is>
          <t>NULL</t>
        </is>
      </c>
      <c r="C1560" s="0" t="inlineStr">
        <is>
          <t>NULL</t>
        </is>
      </c>
      <c r="D1560" s="0" t="inlineStr">
        <is>
          <t>NULL</t>
        </is>
      </c>
      <c r="E1560" s="0" t="inlineStr">
        <is>
          <t>NULL</t>
        </is>
      </c>
      <c r="F1560" s="0" t="inlineStr">
        <is>
          <t>NULL</t>
        </is>
      </c>
      <c r="G1560" s="0" t="inlineStr">
        <is>
          <t>NULL</t>
        </is>
      </c>
      <c r="H1560" s="0" t="inlineStr">
        <is>
          <t>NULL</t>
        </is>
      </c>
      <c r="I1560" s="0" t="inlineStr">
        <is>
          <t>NULL</t>
        </is>
      </c>
      <c r="J1560" s="0" t="inlineStr">
        <is>
          <t>NULL</t>
        </is>
      </c>
      <c r="K1560" s="0" t="inlineStr">
        <is>
          <t>YES! 	 c_varbinary_max1列源备映射正确，源端为varbinary -1位	期望更改为varbinary(n)	实际备端为varbinary -1位</t>
        </is>
      </c>
    </row>
    <row r="1561">
      <c r="B1561" s="0" t="inlineStr">
        <is>
          <t>NULL</t>
        </is>
      </c>
      <c r="C1561" s="0" t="inlineStr">
        <is>
          <t>NULL</t>
        </is>
      </c>
      <c r="D1561" s="0" t="inlineStr">
        <is>
          <t>NULL</t>
        </is>
      </c>
      <c r="E1561" s="0" t="inlineStr">
        <is>
          <t>NULL</t>
        </is>
      </c>
      <c r="F1561" s="0" t="inlineStr">
        <is>
          <t>NULL</t>
        </is>
      </c>
      <c r="G1561" s="0" t="inlineStr">
        <is>
          <t>NULL</t>
        </is>
      </c>
      <c r="H1561" s="0" t="inlineStr">
        <is>
          <t>NULL</t>
        </is>
      </c>
      <c r="I1561" s="0" t="inlineStr">
        <is>
          <t>NULL</t>
        </is>
      </c>
      <c r="J1561" s="0" t="inlineStr">
        <is>
          <t>NULL</t>
        </is>
      </c>
      <c r="K1561" s="0" t="inlineStr">
        <is>
          <t>YES! 	 c_varbinary_max2列源备映射正确，源端为varbinary -1位	期望更改为varbinary(n)	实际备端为varbinary -1位</t>
        </is>
      </c>
    </row>
    <row r="1562">
      <c r="B1562" s="0" t="inlineStr">
        <is>
          <t>NULL</t>
        </is>
      </c>
      <c r="C1562" s="0" t="inlineStr">
        <is>
          <t>NULL</t>
        </is>
      </c>
      <c r="D1562" s="0" t="inlineStr">
        <is>
          <t>NULL</t>
        </is>
      </c>
      <c r="E1562" s="0" t="inlineStr">
        <is>
          <t>NULL</t>
        </is>
      </c>
      <c r="F1562" s="0" t="inlineStr">
        <is>
          <t>NULL</t>
        </is>
      </c>
      <c r="G1562" s="0" t="inlineStr">
        <is>
          <t>NULL</t>
        </is>
      </c>
      <c r="H1562" s="0" t="inlineStr">
        <is>
          <t>NULL</t>
        </is>
      </c>
      <c r="I1562" s="0" t="inlineStr">
        <is>
          <t>NULL</t>
        </is>
      </c>
      <c r="J1562" s="0" t="inlineStr">
        <is>
          <t>NULL</t>
        </is>
      </c>
      <c r="K1562" s="0" t="inlineStr">
        <is>
          <t>YES! 	 c_image3列源备映射正确，源端为image 2147483647位	期望更改为image	实际备端为image 2147483647位</t>
        </is>
      </c>
    </row>
    <row r="1563">
      <c r="A1563" s="0" t="inlineStr">
        <is>
          <t>info_binary_dml_single_pk</t>
        </is>
      </c>
      <c r="K1563" s="0" t="inlineStr">
        <is>
          <t>[0;34m info_binary_dml_single_pk [0m源备字段数相同，源端字段：4 	备端字段4</t>
        </is>
      </c>
      <c r="W1563" s="0" t="inlineStr">
        <is>
          <t>YES 源备无差异</t>
        </is>
      </c>
      <c r="X1563" s="0">
        <f>A1563</f>
        <v/>
      </c>
    </row>
    <row r="1564">
      <c r="B1564" s="0" t="inlineStr">
        <is>
          <t>YES</t>
        </is>
      </c>
      <c r="C1564" s="0" t="inlineStr">
        <is>
          <t>NULL</t>
        </is>
      </c>
      <c r="D1564" s="0" t="inlineStr">
        <is>
          <t>NULL</t>
        </is>
      </c>
      <c r="E1564" s="0" t="inlineStr">
        <is>
          <t>NULL</t>
        </is>
      </c>
      <c r="F1564" s="0" t="inlineStr">
        <is>
          <t>NULL</t>
        </is>
      </c>
      <c r="G1564" s="0" t="inlineStr">
        <is>
          <t>NULL</t>
        </is>
      </c>
      <c r="H1564" s="0" t="inlineStr">
        <is>
          <t>NULL</t>
        </is>
      </c>
      <c r="I1564" s="0" t="inlineStr">
        <is>
          <t>YES!PK__info_bin__3213E83F4311331F</t>
        </is>
      </c>
      <c r="J1564" s="0" t="inlineStr">
        <is>
          <t>YES! 主键相关索引</t>
        </is>
      </c>
      <c r="K1564" s="0" t="inlineStr">
        <is>
          <t>YES! 	 id列源备映射正确，源端为int None位	期望更改为int	实际备端为int None位</t>
        </is>
      </c>
    </row>
    <row r="1565">
      <c r="B1565" s="0" t="inlineStr">
        <is>
          <t>NULL</t>
        </is>
      </c>
      <c r="C1565" s="0" t="inlineStr">
        <is>
          <t>NULL</t>
        </is>
      </c>
      <c r="D1565" s="0" t="inlineStr">
        <is>
          <t>NULL</t>
        </is>
      </c>
      <c r="E1565" s="0" t="inlineStr">
        <is>
          <t>NULL</t>
        </is>
      </c>
      <c r="F1565" s="0" t="inlineStr">
        <is>
          <t>NULL</t>
        </is>
      </c>
      <c r="G1565" s="0" t="inlineStr">
        <is>
          <t>NULL</t>
        </is>
      </c>
      <c r="H1565" s="0" t="inlineStr">
        <is>
          <t>NULL</t>
        </is>
      </c>
      <c r="I1565" s="0" t="inlineStr">
        <is>
          <t>NULL</t>
        </is>
      </c>
      <c r="J1565" s="0" t="inlineStr">
        <is>
          <t>NULL</t>
        </is>
      </c>
      <c r="K1565" s="0" t="inlineStr">
        <is>
          <t>YES! 	 c_binary列源备映射正确，源端为binary 1位	期望更改为binary(n)	实际备端为binary 1位</t>
        </is>
      </c>
    </row>
    <row r="1566">
      <c r="B1566" s="0" t="inlineStr">
        <is>
          <t>NULL</t>
        </is>
      </c>
      <c r="C1566" s="0" t="inlineStr">
        <is>
          <t>NULL</t>
        </is>
      </c>
      <c r="D1566" s="0" t="inlineStr">
        <is>
          <t>NULL</t>
        </is>
      </c>
      <c r="E1566" s="0" t="inlineStr">
        <is>
          <t>NULL</t>
        </is>
      </c>
      <c r="F1566" s="0" t="inlineStr">
        <is>
          <t>NULL</t>
        </is>
      </c>
      <c r="G1566" s="0" t="inlineStr">
        <is>
          <t>NULL</t>
        </is>
      </c>
      <c r="H1566" s="0" t="inlineStr">
        <is>
          <t>NULL</t>
        </is>
      </c>
      <c r="I1566" s="0" t="inlineStr">
        <is>
          <t>NULL</t>
        </is>
      </c>
      <c r="J1566" s="0" t="inlineStr">
        <is>
          <t>NULL</t>
        </is>
      </c>
      <c r="K1566" s="0" t="inlineStr">
        <is>
          <t>YES! 	 c_binary_20列源备映射正确，源端为binary 20位	期望更改为binary(n)	实际备端为binary 20位</t>
        </is>
      </c>
    </row>
    <row r="1567">
      <c r="B1567" s="0" t="inlineStr">
        <is>
          <t>NULL</t>
        </is>
      </c>
      <c r="C1567" s="0" t="inlineStr">
        <is>
          <t>NULL</t>
        </is>
      </c>
      <c r="D1567" s="0" t="inlineStr">
        <is>
          <t>NULL</t>
        </is>
      </c>
      <c r="E1567" s="0" t="inlineStr">
        <is>
          <t>NULL</t>
        </is>
      </c>
      <c r="F1567" s="0" t="inlineStr">
        <is>
          <t>NULL</t>
        </is>
      </c>
      <c r="G1567" s="0" t="inlineStr">
        <is>
          <t>NULL</t>
        </is>
      </c>
      <c r="H1567" s="0" t="inlineStr">
        <is>
          <t>NULL</t>
        </is>
      </c>
      <c r="I1567" s="0" t="inlineStr">
        <is>
          <t>NULL</t>
        </is>
      </c>
      <c r="J1567" s="0" t="inlineStr">
        <is>
          <t>NULL</t>
        </is>
      </c>
      <c r="K1567" s="0" t="inlineStr">
        <is>
          <t>YES! 	 c_binary_8000列源备映射正确，源端为binary 8000位	期望更改为binary(n)	实际备端为binary 8000位</t>
        </is>
      </c>
    </row>
    <row r="1568">
      <c r="A1568" s="0" t="inlineStr">
        <is>
          <t>info_datetimeoffset_dml_single_nopk_urp</t>
        </is>
      </c>
      <c r="K1568" s="0" t="inlineStr">
        <is>
          <t>[0;34m info_datetimeoffset_dml_single_nopk_urp [0m源备字段数相同，源端字段：9 	备端字段9</t>
        </is>
      </c>
      <c r="W1568" s="0" t="inlineStr">
        <is>
          <t>YES 源备无差异</t>
        </is>
      </c>
      <c r="X1568" s="0">
        <f>A1568</f>
        <v/>
      </c>
    </row>
    <row r="1569">
      <c r="B1569" s="0" t="inlineStr">
        <is>
          <t>NULL</t>
        </is>
      </c>
      <c r="C1569" s="0" t="inlineStr">
        <is>
          <t>NULL</t>
        </is>
      </c>
      <c r="D1569" s="0" t="inlineStr">
        <is>
          <t>NULL</t>
        </is>
      </c>
      <c r="E1569" s="0" t="inlineStr">
        <is>
          <t>NULL</t>
        </is>
      </c>
      <c r="F1569" s="0" t="inlineStr">
        <is>
          <t>NULL</t>
        </is>
      </c>
      <c r="G1569" s="0" t="inlineStr">
        <is>
          <t>NULL</t>
        </is>
      </c>
      <c r="H1569" s="0" t="inlineStr">
        <is>
          <t>NULL</t>
        </is>
      </c>
      <c r="I1569" s="0" t="inlineStr">
        <is>
          <t>NULL</t>
        </is>
      </c>
      <c r="J1569" s="0" t="inlineStr">
        <is>
          <t>NULL</t>
        </is>
      </c>
      <c r="K1569" s="0" t="inlineStr">
        <is>
          <t>YES! 	 id列源备映射正确，源端为int None位	期望更改为int	实际备端为int None位</t>
        </is>
      </c>
    </row>
    <row r="1570">
      <c r="B1570" s="0" t="inlineStr">
        <is>
          <t>NULL</t>
        </is>
      </c>
      <c r="C1570" s="0" t="inlineStr">
        <is>
          <t>NULL</t>
        </is>
      </c>
      <c r="D1570" s="0" t="inlineStr">
        <is>
          <t>NULL</t>
        </is>
      </c>
      <c r="E1570" s="0" t="inlineStr">
        <is>
          <t>NULL</t>
        </is>
      </c>
      <c r="F1570" s="0" t="inlineStr">
        <is>
          <t>NULL</t>
        </is>
      </c>
      <c r="G1570" s="0" t="inlineStr">
        <is>
          <t>NULL</t>
        </is>
      </c>
      <c r="H1570" s="0" t="inlineStr">
        <is>
          <t>NULL</t>
        </is>
      </c>
      <c r="I1570" s="0" t="inlineStr">
        <is>
          <t>NULL</t>
        </is>
      </c>
      <c r="J1570" s="0" t="inlineStr">
        <is>
          <t>NULL</t>
        </is>
      </c>
      <c r="K1570" s="0" t="inlineStr">
        <is>
          <t>no,len不存在</t>
        </is>
      </c>
    </row>
    <row r="1571">
      <c r="B1571" s="0" t="inlineStr">
        <is>
          <t>NULL</t>
        </is>
      </c>
      <c r="C1571" s="0" t="inlineStr">
        <is>
          <t>NULL</t>
        </is>
      </c>
      <c r="D1571" s="0" t="inlineStr">
        <is>
          <t>NULL</t>
        </is>
      </c>
      <c r="E1571" s="0" t="inlineStr">
        <is>
          <t>NULL</t>
        </is>
      </c>
      <c r="F1571" s="0" t="inlineStr">
        <is>
          <t>NULL</t>
        </is>
      </c>
      <c r="G1571" s="0" t="inlineStr">
        <is>
          <t>NULL</t>
        </is>
      </c>
      <c r="H1571" s="0" t="inlineStr">
        <is>
          <t>NULL</t>
        </is>
      </c>
      <c r="I1571" s="0" t="inlineStr">
        <is>
          <t>NULL</t>
        </is>
      </c>
      <c r="J1571" s="0" t="inlineStr">
        <is>
          <t>NULL</t>
        </is>
      </c>
      <c r="K1571" s="0" t="inlineStr">
        <is>
          <t>YES! 	 c_dtoffset_1列源备映射正确，源端为datetimeoffset None位	期望更改为datetimeoffset(n)	实际备端为datetimeoffset None位</t>
        </is>
      </c>
    </row>
    <row r="1572">
      <c r="B1572" s="0" t="inlineStr">
        <is>
          <t>NULL</t>
        </is>
      </c>
      <c r="C1572" s="0" t="inlineStr">
        <is>
          <t>NULL</t>
        </is>
      </c>
      <c r="D1572" s="0" t="inlineStr">
        <is>
          <t>NULL</t>
        </is>
      </c>
      <c r="E1572" s="0" t="inlineStr">
        <is>
          <t>NULL</t>
        </is>
      </c>
      <c r="F1572" s="0" t="inlineStr">
        <is>
          <t>NULL</t>
        </is>
      </c>
      <c r="G1572" s="0" t="inlineStr">
        <is>
          <t>NULL</t>
        </is>
      </c>
      <c r="H1572" s="0" t="inlineStr">
        <is>
          <t>NULL</t>
        </is>
      </c>
      <c r="I1572" s="0" t="inlineStr">
        <is>
          <t>NULL</t>
        </is>
      </c>
      <c r="J1572" s="0" t="inlineStr">
        <is>
          <t>NULL</t>
        </is>
      </c>
      <c r="K1572" s="0" t="inlineStr">
        <is>
          <t>YES! 	 c_dtoffset_2列源备映射正确，源端为datetimeoffset None位	期望更改为datetimeoffset(n)	实际备端为datetimeoffset None位</t>
        </is>
      </c>
    </row>
    <row r="1573">
      <c r="B1573" s="0" t="inlineStr">
        <is>
          <t>NULL</t>
        </is>
      </c>
      <c r="C1573" s="0" t="inlineStr">
        <is>
          <t>NULL</t>
        </is>
      </c>
      <c r="D1573" s="0" t="inlineStr">
        <is>
          <t>NULL</t>
        </is>
      </c>
      <c r="E1573" s="0" t="inlineStr">
        <is>
          <t>NULL</t>
        </is>
      </c>
      <c r="F1573" s="0" t="inlineStr">
        <is>
          <t>NULL</t>
        </is>
      </c>
      <c r="G1573" s="0" t="inlineStr">
        <is>
          <t>NULL</t>
        </is>
      </c>
      <c r="H1573" s="0" t="inlineStr">
        <is>
          <t>NULL</t>
        </is>
      </c>
      <c r="I1573" s="0" t="inlineStr">
        <is>
          <t>NULL</t>
        </is>
      </c>
      <c r="J1573" s="0" t="inlineStr">
        <is>
          <t>NULL</t>
        </is>
      </c>
      <c r="K1573" s="0" t="inlineStr">
        <is>
          <t>YES! 	 c_dtoffset_3列源备映射正确，源端为datetimeoffset None位	期望更改为datetimeoffset(n)	实际备端为datetimeoffset None位</t>
        </is>
      </c>
    </row>
    <row r="1574">
      <c r="B1574" s="0" t="inlineStr">
        <is>
          <t>NULL</t>
        </is>
      </c>
      <c r="C1574" s="0" t="inlineStr">
        <is>
          <t>NULL</t>
        </is>
      </c>
      <c r="D1574" s="0" t="inlineStr">
        <is>
          <t>NULL</t>
        </is>
      </c>
      <c r="E1574" s="0" t="inlineStr">
        <is>
          <t>NULL</t>
        </is>
      </c>
      <c r="F1574" s="0" t="inlineStr">
        <is>
          <t>NULL</t>
        </is>
      </c>
      <c r="G1574" s="0" t="inlineStr">
        <is>
          <t>NULL</t>
        </is>
      </c>
      <c r="H1574" s="0" t="inlineStr">
        <is>
          <t>NULL</t>
        </is>
      </c>
      <c r="I1574" s="0" t="inlineStr">
        <is>
          <t>NULL</t>
        </is>
      </c>
      <c r="J1574" s="0" t="inlineStr">
        <is>
          <t>NULL</t>
        </is>
      </c>
      <c r="K1574" s="0" t="inlineStr">
        <is>
          <t>YES! 	 c_dtoffset_4列源备映射正确，源端为datetimeoffset None位	期望更改为datetimeoffset(n)	实际备端为datetimeoffset None位</t>
        </is>
      </c>
    </row>
    <row r="1575">
      <c r="B1575" s="0" t="inlineStr">
        <is>
          <t>NULL</t>
        </is>
      </c>
      <c r="C1575" s="0" t="inlineStr">
        <is>
          <t>NULL</t>
        </is>
      </c>
      <c r="D1575" s="0" t="inlineStr">
        <is>
          <t>NULL</t>
        </is>
      </c>
      <c r="E1575" s="0" t="inlineStr">
        <is>
          <t>NULL</t>
        </is>
      </c>
      <c r="F1575" s="0" t="inlineStr">
        <is>
          <t>NULL</t>
        </is>
      </c>
      <c r="G1575" s="0" t="inlineStr">
        <is>
          <t>NULL</t>
        </is>
      </c>
      <c r="H1575" s="0" t="inlineStr">
        <is>
          <t>NULL</t>
        </is>
      </c>
      <c r="I1575" s="0" t="inlineStr">
        <is>
          <t>NULL</t>
        </is>
      </c>
      <c r="J1575" s="0" t="inlineStr">
        <is>
          <t>NULL</t>
        </is>
      </c>
      <c r="K1575" s="0" t="inlineStr">
        <is>
          <t>YES! 	 c_dtoffset_5列源备映射正确，源端为datetimeoffset None位	期望更改为datetimeoffset(n)	实际备端为datetimeoffset None位</t>
        </is>
      </c>
    </row>
    <row r="1576">
      <c r="B1576" s="0" t="inlineStr">
        <is>
          <t>NULL</t>
        </is>
      </c>
      <c r="C1576" s="0" t="inlineStr">
        <is>
          <t>NULL</t>
        </is>
      </c>
      <c r="D1576" s="0" t="inlineStr">
        <is>
          <t>NULL</t>
        </is>
      </c>
      <c r="E1576" s="0" t="inlineStr">
        <is>
          <t>NULL</t>
        </is>
      </c>
      <c r="F1576" s="0" t="inlineStr">
        <is>
          <t>NULL</t>
        </is>
      </c>
      <c r="G1576" s="0" t="inlineStr">
        <is>
          <t>NULL</t>
        </is>
      </c>
      <c r="H1576" s="0" t="inlineStr">
        <is>
          <t>NULL</t>
        </is>
      </c>
      <c r="I1576" s="0" t="inlineStr">
        <is>
          <t>NULL</t>
        </is>
      </c>
      <c r="J1576" s="0" t="inlineStr">
        <is>
          <t>NULL</t>
        </is>
      </c>
      <c r="K1576" s="0" t="inlineStr">
        <is>
          <t>YES! 	 c_dtoffset_6列源备映射正确，源端为datetimeoffset None位	期望更改为datetimeoffset(n)	实际备端为datetimeoffset None位</t>
        </is>
      </c>
    </row>
    <row r="1577">
      <c r="B1577" s="0" t="inlineStr">
        <is>
          <t>NULL</t>
        </is>
      </c>
      <c r="C1577" s="0" t="inlineStr">
        <is>
          <t>NULL</t>
        </is>
      </c>
      <c r="D1577" s="0" t="inlineStr">
        <is>
          <t>NULL</t>
        </is>
      </c>
      <c r="E1577" s="0" t="inlineStr">
        <is>
          <t>NULL</t>
        </is>
      </c>
      <c r="F1577" s="0" t="inlineStr">
        <is>
          <t>NULL</t>
        </is>
      </c>
      <c r="G1577" s="0" t="inlineStr">
        <is>
          <t>NULL</t>
        </is>
      </c>
      <c r="H1577" s="0" t="inlineStr">
        <is>
          <t>NULL</t>
        </is>
      </c>
      <c r="I1577" s="0" t="inlineStr">
        <is>
          <t>NULL</t>
        </is>
      </c>
      <c r="J1577" s="0" t="inlineStr">
        <is>
          <t>NULL</t>
        </is>
      </c>
      <c r="K1577" s="0" t="inlineStr">
        <is>
          <t>YES! 	 c_dtoffset列源备映射正确，源端为datetimeoffset None位	期望更改为datetimeoffset(n)	实际备端为datetimeoffset None位</t>
        </is>
      </c>
    </row>
    <row r="1578">
      <c r="A1578" s="0" t="inlineStr">
        <is>
          <t>info_varcharmax_dml_batch1_pk_drp1</t>
        </is>
      </c>
      <c r="K1578" s="0" t="inlineStr">
        <is>
          <t>[0;34m info_varcharmax_dml_batch1_pk_drp1 [0m源备字段数相同，源端字段：3 	备端字段3</t>
        </is>
      </c>
      <c r="W1578" s="0" t="inlineStr">
        <is>
          <t>YES 源备无差异</t>
        </is>
      </c>
      <c r="X1578" s="0">
        <f>A1578</f>
        <v/>
      </c>
    </row>
    <row r="1579">
      <c r="B1579" s="0" t="inlineStr">
        <is>
          <t>YES</t>
        </is>
      </c>
      <c r="C1579" s="0" t="inlineStr">
        <is>
          <t>NULL</t>
        </is>
      </c>
      <c r="D1579" s="0" t="inlineStr">
        <is>
          <t>NULL</t>
        </is>
      </c>
      <c r="E1579" s="0" t="inlineStr">
        <is>
          <t>NULL</t>
        </is>
      </c>
      <c r="F1579" s="0" t="inlineStr">
        <is>
          <t>NULL</t>
        </is>
      </c>
      <c r="G1579" s="0" t="inlineStr">
        <is>
          <t>NULL</t>
        </is>
      </c>
      <c r="H1579" s="0" t="inlineStr">
        <is>
          <t>NULL</t>
        </is>
      </c>
      <c r="I1579" s="0" t="inlineStr">
        <is>
          <t>YES!PK__info_var__3213E83FE68E1CD5</t>
        </is>
      </c>
      <c r="J1579" s="0" t="inlineStr">
        <is>
          <t>YES! 主键相关索引</t>
        </is>
      </c>
      <c r="K1579" s="0" t="inlineStr">
        <is>
          <t>YES! 	 id列源备映射正确，源端为int None位	期望更改为int	实际备端为int None位</t>
        </is>
      </c>
    </row>
    <row r="1580">
      <c r="B1580" s="0" t="inlineStr">
        <is>
          <t>NULL</t>
        </is>
      </c>
      <c r="C1580" s="0" t="inlineStr">
        <is>
          <t>NULL</t>
        </is>
      </c>
      <c r="D1580" s="0" t="inlineStr">
        <is>
          <t>NULL</t>
        </is>
      </c>
      <c r="E1580" s="0" t="inlineStr">
        <is>
          <t>NULL</t>
        </is>
      </c>
      <c r="F1580" s="0" t="inlineStr">
        <is>
          <t>NULL</t>
        </is>
      </c>
      <c r="G1580" s="0" t="inlineStr">
        <is>
          <t>NULL</t>
        </is>
      </c>
      <c r="H1580" s="0" t="inlineStr">
        <is>
          <t>NULL</t>
        </is>
      </c>
      <c r="I1580" s="0" t="inlineStr">
        <is>
          <t>NULL</t>
        </is>
      </c>
      <c r="J1580" s="0" t="inlineStr">
        <is>
          <t>NULL</t>
        </is>
      </c>
      <c r="K1580" s="0" t="inlineStr">
        <is>
          <t>YES! 	 c_varchar_max列源备映射正确，源端为varchar -1位	期望更改为varchar(n)	实际备端为varchar -1位</t>
        </is>
      </c>
    </row>
    <row r="1581">
      <c r="B1581" s="0" t="inlineStr">
        <is>
          <t>NULL</t>
        </is>
      </c>
      <c r="C1581" s="0" t="inlineStr">
        <is>
          <t>NULL</t>
        </is>
      </c>
      <c r="D1581" s="0" t="inlineStr">
        <is>
          <t>NULL</t>
        </is>
      </c>
      <c r="E1581" s="0" t="inlineStr">
        <is>
          <t>NULL</t>
        </is>
      </c>
      <c r="F1581" s="0" t="inlineStr">
        <is>
          <t>NULL</t>
        </is>
      </c>
      <c r="G1581" s="0" t="inlineStr">
        <is>
          <t>NULL</t>
        </is>
      </c>
      <c r="H1581" s="0" t="inlineStr">
        <is>
          <t>NULL</t>
        </is>
      </c>
      <c r="I1581" s="0" t="inlineStr">
        <is>
          <t>NULL</t>
        </is>
      </c>
      <c r="J1581" s="0" t="inlineStr">
        <is>
          <t>NULL</t>
        </is>
      </c>
      <c r="K1581" s="0" t="inlineStr">
        <is>
          <t>YES! 	 c_nvarchar_max列源备映射正确，源端为nvarchar -1位	期望更改为nvarchar(n)	实际备端为nvarchar -1位</t>
        </is>
      </c>
    </row>
    <row r="1582">
      <c r="K1582" s="0" t="inlineStr">
        <is>
          <t>~ 空表</t>
        </is>
      </c>
    </row>
    <row r="1583">
      <c r="A1583" s="0" t="inlineStr">
        <is>
          <t>info_timestamp_dml_single_pk_irp</t>
        </is>
      </c>
      <c r="K1583" s="0" t="inlineStr">
        <is>
          <t>[0;34m info_timestamp_dml_single_pk_irp [0m源备字段数相同，源端字段：2 	备端字段2</t>
        </is>
      </c>
      <c r="W1583" s="0" t="inlineStr">
        <is>
          <t>YES 源备无差异</t>
        </is>
      </c>
      <c r="X1583" s="0">
        <f>A1583</f>
        <v/>
      </c>
    </row>
    <row r="1584">
      <c r="B1584" s="0" t="inlineStr">
        <is>
          <t>YES</t>
        </is>
      </c>
      <c r="C1584" s="0" t="inlineStr">
        <is>
          <t>NULL</t>
        </is>
      </c>
      <c r="D1584" s="0" t="inlineStr">
        <is>
          <t>NULL</t>
        </is>
      </c>
      <c r="E1584" s="0" t="inlineStr">
        <is>
          <t>NULL</t>
        </is>
      </c>
      <c r="F1584" s="0" t="inlineStr">
        <is>
          <t>NULL</t>
        </is>
      </c>
      <c r="G1584" s="0" t="inlineStr">
        <is>
          <t>NULL</t>
        </is>
      </c>
      <c r="H1584" s="0" t="inlineStr">
        <is>
          <t>NULL</t>
        </is>
      </c>
      <c r="I1584" s="0" t="inlineStr">
        <is>
          <t>YES!PK__info_tim__3213E83F0A74409F</t>
        </is>
      </c>
      <c r="J1584" s="0" t="inlineStr">
        <is>
          <t>YES! 主键相关索引</t>
        </is>
      </c>
      <c r="K1584" s="0" t="inlineStr">
        <is>
          <t>YES! 	 id列源备映射正确，源端为int None位	期望更改为int	实际备端为int None位</t>
        </is>
      </c>
    </row>
    <row r="1585">
      <c r="B1585" s="0" t="inlineStr">
        <is>
          <t>NULL</t>
        </is>
      </c>
      <c r="C1585" s="0" t="inlineStr">
        <is>
          <t>NULL</t>
        </is>
      </c>
      <c r="D1585" s="0" t="inlineStr">
        <is>
          <t>NULL</t>
        </is>
      </c>
      <c r="E1585" s="0" t="inlineStr">
        <is>
          <t>NULL</t>
        </is>
      </c>
      <c r="F1585" s="0" t="inlineStr">
        <is>
          <t>NULL</t>
        </is>
      </c>
      <c r="G1585" s="0" t="inlineStr">
        <is>
          <t>NULL</t>
        </is>
      </c>
      <c r="H1585" s="0" t="inlineStr">
        <is>
          <t>NULL</t>
        </is>
      </c>
      <c r="I1585" s="0" t="inlineStr">
        <is>
          <t>NULL</t>
        </is>
      </c>
      <c r="J1585" s="0" t="inlineStr">
        <is>
          <t>NULL</t>
        </is>
      </c>
      <c r="K1585" s="0" t="inlineStr">
        <is>
          <t>YES! 	 c_tiemstamp列源备映射正确，源端为timestamp None位	期望更改为timestamp	实际备端为timestamp None位</t>
        </is>
      </c>
    </row>
    <row r="1586">
      <c r="A1586" s="0" t="inlineStr">
        <is>
          <t>info_datetimeoffset_dml_single_nopk_drp</t>
        </is>
      </c>
      <c r="K1586" s="0" t="inlineStr">
        <is>
          <t>[0;34m info_datetimeoffset_dml_single_nopk_drp [0m源备字段数相同，源端字段：9 	备端字段9</t>
        </is>
      </c>
      <c r="W1586" s="0" t="inlineStr">
        <is>
          <t>YES 源备无差异</t>
        </is>
      </c>
      <c r="X1586" s="0">
        <f>A1586</f>
        <v/>
      </c>
    </row>
    <row r="1587">
      <c r="B1587" s="0" t="inlineStr">
        <is>
          <t>NULL</t>
        </is>
      </c>
      <c r="C1587" s="0" t="inlineStr">
        <is>
          <t>NULL</t>
        </is>
      </c>
      <c r="D1587" s="0" t="inlineStr">
        <is>
          <t>NULL</t>
        </is>
      </c>
      <c r="E1587" s="0" t="inlineStr">
        <is>
          <t>NULL</t>
        </is>
      </c>
      <c r="F1587" s="0" t="inlineStr">
        <is>
          <t>NULL</t>
        </is>
      </c>
      <c r="G1587" s="0" t="inlineStr">
        <is>
          <t>NULL</t>
        </is>
      </c>
      <c r="H1587" s="0" t="inlineStr">
        <is>
          <t>NULL</t>
        </is>
      </c>
      <c r="I1587" s="0" t="inlineStr">
        <is>
          <t>NULL</t>
        </is>
      </c>
      <c r="J1587" s="0" t="inlineStr">
        <is>
          <t>NULL</t>
        </is>
      </c>
      <c r="K1587" s="0" t="inlineStr">
        <is>
          <t>YES! 	 id列源备映射正确，源端为int None位	期望更改为int	实际备端为int None位</t>
        </is>
      </c>
    </row>
    <row r="1588">
      <c r="B1588" s="0" t="inlineStr">
        <is>
          <t>NULL</t>
        </is>
      </c>
      <c r="C1588" s="0" t="inlineStr">
        <is>
          <t>NULL</t>
        </is>
      </c>
      <c r="D1588" s="0" t="inlineStr">
        <is>
          <t>NULL</t>
        </is>
      </c>
      <c r="E1588" s="0" t="inlineStr">
        <is>
          <t>NULL</t>
        </is>
      </c>
      <c r="F1588" s="0" t="inlineStr">
        <is>
          <t>NULL</t>
        </is>
      </c>
      <c r="G1588" s="0" t="inlineStr">
        <is>
          <t>NULL</t>
        </is>
      </c>
      <c r="H1588" s="0" t="inlineStr">
        <is>
          <t>NULL</t>
        </is>
      </c>
      <c r="I1588" s="0" t="inlineStr">
        <is>
          <t>NULL</t>
        </is>
      </c>
      <c r="J1588" s="0" t="inlineStr">
        <is>
          <t>NULL</t>
        </is>
      </c>
      <c r="K1588" s="0" t="inlineStr">
        <is>
          <t>no,len不存在</t>
        </is>
      </c>
    </row>
    <row r="1589">
      <c r="B1589" s="0" t="inlineStr">
        <is>
          <t>NULL</t>
        </is>
      </c>
      <c r="C1589" s="0" t="inlineStr">
        <is>
          <t>NULL</t>
        </is>
      </c>
      <c r="D1589" s="0" t="inlineStr">
        <is>
          <t>NULL</t>
        </is>
      </c>
      <c r="E1589" s="0" t="inlineStr">
        <is>
          <t>NULL</t>
        </is>
      </c>
      <c r="F1589" s="0" t="inlineStr">
        <is>
          <t>NULL</t>
        </is>
      </c>
      <c r="G1589" s="0" t="inlineStr">
        <is>
          <t>NULL</t>
        </is>
      </c>
      <c r="H1589" s="0" t="inlineStr">
        <is>
          <t>NULL</t>
        </is>
      </c>
      <c r="I1589" s="0" t="inlineStr">
        <is>
          <t>NULL</t>
        </is>
      </c>
      <c r="J1589" s="0" t="inlineStr">
        <is>
          <t>NULL</t>
        </is>
      </c>
      <c r="K1589" s="0" t="inlineStr">
        <is>
          <t>YES! 	 c_dtoffset_1列源备映射正确，源端为datetimeoffset None位	期望更改为datetimeoffset(n)	实际备端为datetimeoffset None位</t>
        </is>
      </c>
    </row>
    <row r="1590">
      <c r="B1590" s="0" t="inlineStr">
        <is>
          <t>NULL</t>
        </is>
      </c>
      <c r="C1590" s="0" t="inlineStr">
        <is>
          <t>NULL</t>
        </is>
      </c>
      <c r="D1590" s="0" t="inlineStr">
        <is>
          <t>NULL</t>
        </is>
      </c>
      <c r="E1590" s="0" t="inlineStr">
        <is>
          <t>NULL</t>
        </is>
      </c>
      <c r="F1590" s="0" t="inlineStr">
        <is>
          <t>NULL</t>
        </is>
      </c>
      <c r="G1590" s="0" t="inlineStr">
        <is>
          <t>NULL</t>
        </is>
      </c>
      <c r="H1590" s="0" t="inlineStr">
        <is>
          <t>NULL</t>
        </is>
      </c>
      <c r="I1590" s="0" t="inlineStr">
        <is>
          <t>NULL</t>
        </is>
      </c>
      <c r="J1590" s="0" t="inlineStr">
        <is>
          <t>NULL</t>
        </is>
      </c>
      <c r="K1590" s="0" t="inlineStr">
        <is>
          <t>YES! 	 c_dtoffset_2列源备映射正确，源端为datetimeoffset None位	期望更改为datetimeoffset(n)	实际备端为datetimeoffset None位</t>
        </is>
      </c>
    </row>
    <row r="1591">
      <c r="B1591" s="0" t="inlineStr">
        <is>
          <t>NULL</t>
        </is>
      </c>
      <c r="C1591" s="0" t="inlineStr">
        <is>
          <t>NULL</t>
        </is>
      </c>
      <c r="D1591" s="0" t="inlineStr">
        <is>
          <t>NULL</t>
        </is>
      </c>
      <c r="E1591" s="0" t="inlineStr">
        <is>
          <t>NULL</t>
        </is>
      </c>
      <c r="F1591" s="0" t="inlineStr">
        <is>
          <t>NULL</t>
        </is>
      </c>
      <c r="G1591" s="0" t="inlineStr">
        <is>
          <t>NULL</t>
        </is>
      </c>
      <c r="H1591" s="0" t="inlineStr">
        <is>
          <t>NULL</t>
        </is>
      </c>
      <c r="I1591" s="0" t="inlineStr">
        <is>
          <t>NULL</t>
        </is>
      </c>
      <c r="J1591" s="0" t="inlineStr">
        <is>
          <t>NULL</t>
        </is>
      </c>
      <c r="K1591" s="0" t="inlineStr">
        <is>
          <t>YES! 	 c_dtoffset_3列源备映射正确，源端为datetimeoffset None位	期望更改为datetimeoffset(n)	实际备端为datetimeoffset None位</t>
        </is>
      </c>
    </row>
    <row r="1592">
      <c r="B1592" s="0" t="inlineStr">
        <is>
          <t>NULL</t>
        </is>
      </c>
      <c r="C1592" s="0" t="inlineStr">
        <is>
          <t>NULL</t>
        </is>
      </c>
      <c r="D1592" s="0" t="inlineStr">
        <is>
          <t>NULL</t>
        </is>
      </c>
      <c r="E1592" s="0" t="inlineStr">
        <is>
          <t>NULL</t>
        </is>
      </c>
      <c r="F1592" s="0" t="inlineStr">
        <is>
          <t>NULL</t>
        </is>
      </c>
      <c r="G1592" s="0" t="inlineStr">
        <is>
          <t>NULL</t>
        </is>
      </c>
      <c r="H1592" s="0" t="inlineStr">
        <is>
          <t>NULL</t>
        </is>
      </c>
      <c r="I1592" s="0" t="inlineStr">
        <is>
          <t>NULL</t>
        </is>
      </c>
      <c r="J1592" s="0" t="inlineStr">
        <is>
          <t>NULL</t>
        </is>
      </c>
      <c r="K1592" s="0" t="inlineStr">
        <is>
          <t>YES! 	 c_dtoffset_4列源备映射正确，源端为datetimeoffset None位	期望更改为datetimeoffset(n)	实际备端为datetimeoffset None位</t>
        </is>
      </c>
    </row>
    <row r="1593">
      <c r="B1593" s="0" t="inlineStr">
        <is>
          <t>NULL</t>
        </is>
      </c>
      <c r="C1593" s="0" t="inlineStr">
        <is>
          <t>NULL</t>
        </is>
      </c>
      <c r="D1593" s="0" t="inlineStr">
        <is>
          <t>NULL</t>
        </is>
      </c>
      <c r="E1593" s="0" t="inlineStr">
        <is>
          <t>NULL</t>
        </is>
      </c>
      <c r="F1593" s="0" t="inlineStr">
        <is>
          <t>NULL</t>
        </is>
      </c>
      <c r="G1593" s="0" t="inlineStr">
        <is>
          <t>NULL</t>
        </is>
      </c>
      <c r="H1593" s="0" t="inlineStr">
        <is>
          <t>NULL</t>
        </is>
      </c>
      <c r="I1593" s="0" t="inlineStr">
        <is>
          <t>NULL</t>
        </is>
      </c>
      <c r="J1593" s="0" t="inlineStr">
        <is>
          <t>NULL</t>
        </is>
      </c>
      <c r="K1593" s="0" t="inlineStr">
        <is>
          <t>YES! 	 c_dtoffset_5列源备映射正确，源端为datetimeoffset None位	期望更改为datetimeoffset(n)	实际备端为datetimeoffset None位</t>
        </is>
      </c>
    </row>
    <row r="1594">
      <c r="B1594" s="0" t="inlineStr">
        <is>
          <t>NULL</t>
        </is>
      </c>
      <c r="C1594" s="0" t="inlineStr">
        <is>
          <t>NULL</t>
        </is>
      </c>
      <c r="D1594" s="0" t="inlineStr">
        <is>
          <t>NULL</t>
        </is>
      </c>
      <c r="E1594" s="0" t="inlineStr">
        <is>
          <t>NULL</t>
        </is>
      </c>
      <c r="F1594" s="0" t="inlineStr">
        <is>
          <t>NULL</t>
        </is>
      </c>
      <c r="G1594" s="0" t="inlineStr">
        <is>
          <t>NULL</t>
        </is>
      </c>
      <c r="H1594" s="0" t="inlineStr">
        <is>
          <t>NULL</t>
        </is>
      </c>
      <c r="I1594" s="0" t="inlineStr">
        <is>
          <t>NULL</t>
        </is>
      </c>
      <c r="J1594" s="0" t="inlineStr">
        <is>
          <t>NULL</t>
        </is>
      </c>
      <c r="K1594" s="0" t="inlineStr">
        <is>
          <t>YES! 	 c_dtoffset_6列源备映射正确，源端为datetimeoffset None位	期望更改为datetimeoffset(n)	实际备端为datetimeoffset None位</t>
        </is>
      </c>
    </row>
    <row r="1595">
      <c r="B1595" s="0" t="inlineStr">
        <is>
          <t>NULL</t>
        </is>
      </c>
      <c r="C1595" s="0" t="inlineStr">
        <is>
          <t>NULL</t>
        </is>
      </c>
      <c r="D1595" s="0" t="inlineStr">
        <is>
          <t>NULL</t>
        </is>
      </c>
      <c r="E1595" s="0" t="inlineStr">
        <is>
          <t>NULL</t>
        </is>
      </c>
      <c r="F1595" s="0" t="inlineStr">
        <is>
          <t>NULL</t>
        </is>
      </c>
      <c r="G1595" s="0" t="inlineStr">
        <is>
          <t>NULL</t>
        </is>
      </c>
      <c r="H1595" s="0" t="inlineStr">
        <is>
          <t>NULL</t>
        </is>
      </c>
      <c r="I1595" s="0" t="inlineStr">
        <is>
          <t>NULL</t>
        </is>
      </c>
      <c r="J1595" s="0" t="inlineStr">
        <is>
          <t>NULL</t>
        </is>
      </c>
      <c r="K1595" s="0" t="inlineStr">
        <is>
          <t>YES! 	 c_dtoffset列源备映射正确，源端为datetimeoffset None位	期望更改为datetimeoffset(n)	实际备端为datetimeoffset None位</t>
        </is>
      </c>
    </row>
    <row r="1596">
      <c r="A1596" s="0" t="inlineStr">
        <is>
          <t>info_varbinary_max_dml_single_nopk_drp</t>
        </is>
      </c>
      <c r="K1596" s="0" t="inlineStr">
        <is>
          <t>[0;34m info_varbinary_max_dml_single_nopk_drp [0m源备字段数相同，源端字段：4 	备端字段4</t>
        </is>
      </c>
      <c r="W1596" s="0" t="inlineStr">
        <is>
          <t>YES 源备无差异</t>
        </is>
      </c>
      <c r="X1596" s="0">
        <f>A1596</f>
        <v/>
      </c>
    </row>
    <row r="1597">
      <c r="B1597" s="0" t="inlineStr">
        <is>
          <t>NULL</t>
        </is>
      </c>
      <c r="C1597" s="0" t="inlineStr">
        <is>
          <t>NULL</t>
        </is>
      </c>
      <c r="D1597" s="0" t="inlineStr">
        <is>
          <t>NULL</t>
        </is>
      </c>
      <c r="E1597" s="0" t="inlineStr">
        <is>
          <t>NULL</t>
        </is>
      </c>
      <c r="F1597" s="0" t="inlineStr">
        <is>
          <t>NULL</t>
        </is>
      </c>
      <c r="G1597" s="0" t="inlineStr">
        <is>
          <t>NULL</t>
        </is>
      </c>
      <c r="H1597" s="0" t="inlineStr">
        <is>
          <t>NULL</t>
        </is>
      </c>
      <c r="I1597" s="0" t="inlineStr">
        <is>
          <t>NULL</t>
        </is>
      </c>
      <c r="J1597" s="0" t="inlineStr">
        <is>
          <t>NULL</t>
        </is>
      </c>
      <c r="K1597" s="0" t="inlineStr">
        <is>
          <t>YES! 	 id列源备映射正确，源端为int None位	期望更改为int	实际备端为int None位</t>
        </is>
      </c>
    </row>
    <row r="1598">
      <c r="B1598" s="0" t="inlineStr">
        <is>
          <t>NULL</t>
        </is>
      </c>
      <c r="C1598" s="0" t="inlineStr">
        <is>
          <t>NULL</t>
        </is>
      </c>
      <c r="D1598" s="0" t="inlineStr">
        <is>
          <t>NULL</t>
        </is>
      </c>
      <c r="E1598" s="0" t="inlineStr">
        <is>
          <t>NULL</t>
        </is>
      </c>
      <c r="F1598" s="0" t="inlineStr">
        <is>
          <t>NULL</t>
        </is>
      </c>
      <c r="G1598" s="0" t="inlineStr">
        <is>
          <t>NULL</t>
        </is>
      </c>
      <c r="H1598" s="0" t="inlineStr">
        <is>
          <t>NULL</t>
        </is>
      </c>
      <c r="I1598" s="0" t="inlineStr">
        <is>
          <t>NULL</t>
        </is>
      </c>
      <c r="J1598" s="0" t="inlineStr">
        <is>
          <t>NULL</t>
        </is>
      </c>
      <c r="K1598" s="0" t="inlineStr">
        <is>
          <t>YES! 	 c_varbinary_max1列源备映射正确，源端为varbinary -1位	期望更改为varbinary(n)	实际备端为varbinary -1位</t>
        </is>
      </c>
    </row>
    <row r="1599">
      <c r="B1599" s="0" t="inlineStr">
        <is>
          <t>NULL</t>
        </is>
      </c>
      <c r="C1599" s="0" t="inlineStr">
        <is>
          <t>NULL</t>
        </is>
      </c>
      <c r="D1599" s="0" t="inlineStr">
        <is>
          <t>NULL</t>
        </is>
      </c>
      <c r="E1599" s="0" t="inlineStr">
        <is>
          <t>NULL</t>
        </is>
      </c>
      <c r="F1599" s="0" t="inlineStr">
        <is>
          <t>NULL</t>
        </is>
      </c>
      <c r="G1599" s="0" t="inlineStr">
        <is>
          <t>NULL</t>
        </is>
      </c>
      <c r="H1599" s="0" t="inlineStr">
        <is>
          <t>NULL</t>
        </is>
      </c>
      <c r="I1599" s="0" t="inlineStr">
        <is>
          <t>NULL</t>
        </is>
      </c>
      <c r="J1599" s="0" t="inlineStr">
        <is>
          <t>NULL</t>
        </is>
      </c>
      <c r="K1599" s="0" t="inlineStr">
        <is>
          <t>YES! 	 c_varbinary_max2列源备映射正确，源端为varbinary -1位	期望更改为varbinary(n)	实际备端为varbinary -1位</t>
        </is>
      </c>
    </row>
    <row r="1600">
      <c r="B1600" s="0" t="inlineStr">
        <is>
          <t>NULL</t>
        </is>
      </c>
      <c r="C1600" s="0" t="inlineStr">
        <is>
          <t>NULL</t>
        </is>
      </c>
      <c r="D1600" s="0" t="inlineStr">
        <is>
          <t>NULL</t>
        </is>
      </c>
      <c r="E1600" s="0" t="inlineStr">
        <is>
          <t>NULL</t>
        </is>
      </c>
      <c r="F1600" s="0" t="inlineStr">
        <is>
          <t>NULL</t>
        </is>
      </c>
      <c r="G1600" s="0" t="inlineStr">
        <is>
          <t>NULL</t>
        </is>
      </c>
      <c r="H1600" s="0" t="inlineStr">
        <is>
          <t>NULL</t>
        </is>
      </c>
      <c r="I1600" s="0" t="inlineStr">
        <is>
          <t>NULL</t>
        </is>
      </c>
      <c r="J1600" s="0" t="inlineStr">
        <is>
          <t>NULL</t>
        </is>
      </c>
      <c r="K1600" s="0" t="inlineStr">
        <is>
          <t>YES! 	 c_image3列源备映射正确，源端为image 2147483647位	期望更改为image	实际备端为image 2147483647位</t>
        </is>
      </c>
    </row>
    <row r="1601">
      <c r="K1601" s="0" t="inlineStr">
        <is>
          <t>~ 空表</t>
        </is>
      </c>
    </row>
    <row r="1602">
      <c r="A1602" s="0" t="inlineStr">
        <is>
          <t>info_datetimeoffset_dml_single_nopk</t>
        </is>
      </c>
      <c r="K1602" s="0" t="inlineStr">
        <is>
          <t>[0;34m info_datetimeoffset_dml_single_nopk [0m源备字段数相同，源端字段：9 	备端字段9</t>
        </is>
      </c>
      <c r="W1602" s="0" t="inlineStr">
        <is>
          <t>YES 源备无差异</t>
        </is>
      </c>
      <c r="X1602" s="0">
        <f>A1602</f>
        <v/>
      </c>
    </row>
    <row r="1603">
      <c r="B1603" s="0" t="inlineStr">
        <is>
          <t>NULL</t>
        </is>
      </c>
      <c r="C1603" s="0" t="inlineStr">
        <is>
          <t>NULL</t>
        </is>
      </c>
      <c r="D1603" s="0" t="inlineStr">
        <is>
          <t>NULL</t>
        </is>
      </c>
      <c r="E1603" s="0" t="inlineStr">
        <is>
          <t>NULL</t>
        </is>
      </c>
      <c r="F1603" s="0" t="inlineStr">
        <is>
          <t>NULL</t>
        </is>
      </c>
      <c r="G1603" s="0" t="inlineStr">
        <is>
          <t>NULL</t>
        </is>
      </c>
      <c r="H1603" s="0" t="inlineStr">
        <is>
          <t>NULL</t>
        </is>
      </c>
      <c r="I1603" s="0" t="inlineStr">
        <is>
          <t>NULL</t>
        </is>
      </c>
      <c r="J1603" s="0" t="inlineStr">
        <is>
          <t>NULL</t>
        </is>
      </c>
      <c r="K1603" s="0" t="inlineStr">
        <is>
          <t>YES! 	 id列源备映射正确，源端为int None位	期望更改为int	实际备端为int None位</t>
        </is>
      </c>
    </row>
    <row r="1604">
      <c r="B1604" s="0" t="inlineStr">
        <is>
          <t>NULL</t>
        </is>
      </c>
      <c r="C1604" s="0" t="inlineStr">
        <is>
          <t>NULL</t>
        </is>
      </c>
      <c r="D1604" s="0" t="inlineStr">
        <is>
          <t>NULL</t>
        </is>
      </c>
      <c r="E1604" s="0" t="inlineStr">
        <is>
          <t>NULL</t>
        </is>
      </c>
      <c r="F1604" s="0" t="inlineStr">
        <is>
          <t>NULL</t>
        </is>
      </c>
      <c r="G1604" s="0" t="inlineStr">
        <is>
          <t>NULL</t>
        </is>
      </c>
      <c r="H1604" s="0" t="inlineStr">
        <is>
          <t>NULL</t>
        </is>
      </c>
      <c r="I1604" s="0" t="inlineStr">
        <is>
          <t>NULL</t>
        </is>
      </c>
      <c r="J1604" s="0" t="inlineStr">
        <is>
          <t>NULL</t>
        </is>
      </c>
      <c r="K1604" s="0" t="inlineStr">
        <is>
          <t>no,len不存在</t>
        </is>
      </c>
    </row>
    <row r="1605">
      <c r="B1605" s="0" t="inlineStr">
        <is>
          <t>NULL</t>
        </is>
      </c>
      <c r="C1605" s="0" t="inlineStr">
        <is>
          <t>NULL</t>
        </is>
      </c>
      <c r="D1605" s="0" t="inlineStr">
        <is>
          <t>NULL</t>
        </is>
      </c>
      <c r="E1605" s="0" t="inlineStr">
        <is>
          <t>NULL</t>
        </is>
      </c>
      <c r="F1605" s="0" t="inlineStr">
        <is>
          <t>NULL</t>
        </is>
      </c>
      <c r="G1605" s="0" t="inlineStr">
        <is>
          <t>NULL</t>
        </is>
      </c>
      <c r="H1605" s="0" t="inlineStr">
        <is>
          <t>NULL</t>
        </is>
      </c>
      <c r="I1605" s="0" t="inlineStr">
        <is>
          <t>NULL</t>
        </is>
      </c>
      <c r="J1605" s="0" t="inlineStr">
        <is>
          <t>NULL</t>
        </is>
      </c>
      <c r="K1605" s="0" t="inlineStr">
        <is>
          <t>YES! 	 c_dtoffset_1列源备映射正确，源端为datetimeoffset None位	期望更改为datetimeoffset(n)	实际备端为datetimeoffset None位</t>
        </is>
      </c>
    </row>
    <row r="1606">
      <c r="B1606" s="0" t="inlineStr">
        <is>
          <t>NULL</t>
        </is>
      </c>
      <c r="C1606" s="0" t="inlineStr">
        <is>
          <t>NULL</t>
        </is>
      </c>
      <c r="D1606" s="0" t="inlineStr">
        <is>
          <t>NULL</t>
        </is>
      </c>
      <c r="E1606" s="0" t="inlineStr">
        <is>
          <t>NULL</t>
        </is>
      </c>
      <c r="F1606" s="0" t="inlineStr">
        <is>
          <t>NULL</t>
        </is>
      </c>
      <c r="G1606" s="0" t="inlineStr">
        <is>
          <t>NULL</t>
        </is>
      </c>
      <c r="H1606" s="0" t="inlineStr">
        <is>
          <t>NULL</t>
        </is>
      </c>
      <c r="I1606" s="0" t="inlineStr">
        <is>
          <t>NULL</t>
        </is>
      </c>
      <c r="J1606" s="0" t="inlineStr">
        <is>
          <t>NULL</t>
        </is>
      </c>
      <c r="K1606" s="0" t="inlineStr">
        <is>
          <t>YES! 	 c_dtoffset_2列源备映射正确，源端为datetimeoffset None位	期望更改为datetimeoffset(n)	实际备端为datetimeoffset None位</t>
        </is>
      </c>
    </row>
    <row r="1607">
      <c r="B1607" s="0" t="inlineStr">
        <is>
          <t>NULL</t>
        </is>
      </c>
      <c r="C1607" s="0" t="inlineStr">
        <is>
          <t>NULL</t>
        </is>
      </c>
      <c r="D1607" s="0" t="inlineStr">
        <is>
          <t>NULL</t>
        </is>
      </c>
      <c r="E1607" s="0" t="inlineStr">
        <is>
          <t>NULL</t>
        </is>
      </c>
      <c r="F1607" s="0" t="inlineStr">
        <is>
          <t>NULL</t>
        </is>
      </c>
      <c r="G1607" s="0" t="inlineStr">
        <is>
          <t>NULL</t>
        </is>
      </c>
      <c r="H1607" s="0" t="inlineStr">
        <is>
          <t>NULL</t>
        </is>
      </c>
      <c r="I1607" s="0" t="inlineStr">
        <is>
          <t>NULL</t>
        </is>
      </c>
      <c r="J1607" s="0" t="inlineStr">
        <is>
          <t>NULL</t>
        </is>
      </c>
      <c r="K1607" s="0" t="inlineStr">
        <is>
          <t>YES! 	 c_dtoffset_3列源备映射正确，源端为datetimeoffset None位	期望更改为datetimeoffset(n)	实际备端为datetimeoffset None位</t>
        </is>
      </c>
    </row>
    <row r="1608">
      <c r="B1608" s="0" t="inlineStr">
        <is>
          <t>NULL</t>
        </is>
      </c>
      <c r="C1608" s="0" t="inlineStr">
        <is>
          <t>NULL</t>
        </is>
      </c>
      <c r="D1608" s="0" t="inlineStr">
        <is>
          <t>NULL</t>
        </is>
      </c>
      <c r="E1608" s="0" t="inlineStr">
        <is>
          <t>NULL</t>
        </is>
      </c>
      <c r="F1608" s="0" t="inlineStr">
        <is>
          <t>NULL</t>
        </is>
      </c>
      <c r="G1608" s="0" t="inlineStr">
        <is>
          <t>NULL</t>
        </is>
      </c>
      <c r="H1608" s="0" t="inlineStr">
        <is>
          <t>NULL</t>
        </is>
      </c>
      <c r="I1608" s="0" t="inlineStr">
        <is>
          <t>NULL</t>
        </is>
      </c>
      <c r="J1608" s="0" t="inlineStr">
        <is>
          <t>NULL</t>
        </is>
      </c>
      <c r="K1608" s="0" t="inlineStr">
        <is>
          <t>YES! 	 c_dtoffset_4列源备映射正确，源端为datetimeoffset None位	期望更改为datetimeoffset(n)	实际备端为datetimeoffset None位</t>
        </is>
      </c>
    </row>
    <row r="1609">
      <c r="B1609" s="0" t="inlineStr">
        <is>
          <t>NULL</t>
        </is>
      </c>
      <c r="C1609" s="0" t="inlineStr">
        <is>
          <t>NULL</t>
        </is>
      </c>
      <c r="D1609" s="0" t="inlineStr">
        <is>
          <t>NULL</t>
        </is>
      </c>
      <c r="E1609" s="0" t="inlineStr">
        <is>
          <t>NULL</t>
        </is>
      </c>
      <c r="F1609" s="0" t="inlineStr">
        <is>
          <t>NULL</t>
        </is>
      </c>
      <c r="G1609" s="0" t="inlineStr">
        <is>
          <t>NULL</t>
        </is>
      </c>
      <c r="H1609" s="0" t="inlineStr">
        <is>
          <t>NULL</t>
        </is>
      </c>
      <c r="I1609" s="0" t="inlineStr">
        <is>
          <t>NULL</t>
        </is>
      </c>
      <c r="J1609" s="0" t="inlineStr">
        <is>
          <t>NULL</t>
        </is>
      </c>
      <c r="K1609" s="0" t="inlineStr">
        <is>
          <t>YES! 	 c_dtoffset_5列源备映射正确，源端为datetimeoffset None位	期望更改为datetimeoffset(n)	实际备端为datetimeoffset None位</t>
        </is>
      </c>
    </row>
    <row r="1610">
      <c r="B1610" s="0" t="inlineStr">
        <is>
          <t>NULL</t>
        </is>
      </c>
      <c r="C1610" s="0" t="inlineStr">
        <is>
          <t>NULL</t>
        </is>
      </c>
      <c r="D1610" s="0" t="inlineStr">
        <is>
          <t>NULL</t>
        </is>
      </c>
      <c r="E1610" s="0" t="inlineStr">
        <is>
          <t>NULL</t>
        </is>
      </c>
      <c r="F1610" s="0" t="inlineStr">
        <is>
          <t>NULL</t>
        </is>
      </c>
      <c r="G1610" s="0" t="inlineStr">
        <is>
          <t>NULL</t>
        </is>
      </c>
      <c r="H1610" s="0" t="inlineStr">
        <is>
          <t>NULL</t>
        </is>
      </c>
      <c r="I1610" s="0" t="inlineStr">
        <is>
          <t>NULL</t>
        </is>
      </c>
      <c r="J1610" s="0" t="inlineStr">
        <is>
          <t>NULL</t>
        </is>
      </c>
      <c r="K1610" s="0" t="inlineStr">
        <is>
          <t>YES! 	 c_dtoffset_6列源备映射正确，源端为datetimeoffset None位	期望更改为datetimeoffset(n)	实际备端为datetimeoffset None位</t>
        </is>
      </c>
    </row>
    <row r="1611">
      <c r="B1611" s="0" t="inlineStr">
        <is>
          <t>NULL</t>
        </is>
      </c>
      <c r="C1611" s="0" t="inlineStr">
        <is>
          <t>NULL</t>
        </is>
      </c>
      <c r="D1611" s="0" t="inlineStr">
        <is>
          <t>NULL</t>
        </is>
      </c>
      <c r="E1611" s="0" t="inlineStr">
        <is>
          <t>NULL</t>
        </is>
      </c>
      <c r="F1611" s="0" t="inlineStr">
        <is>
          <t>NULL</t>
        </is>
      </c>
      <c r="G1611" s="0" t="inlineStr">
        <is>
          <t>NULL</t>
        </is>
      </c>
      <c r="H1611" s="0" t="inlineStr">
        <is>
          <t>NULL</t>
        </is>
      </c>
      <c r="I1611" s="0" t="inlineStr">
        <is>
          <t>NULL</t>
        </is>
      </c>
      <c r="J1611" s="0" t="inlineStr">
        <is>
          <t>NULL</t>
        </is>
      </c>
      <c r="K1611" s="0" t="inlineStr">
        <is>
          <t>YES! 	 c_dtoffset列源备映射正确，源端为datetimeoffset None位	期望更改为datetimeoffset(n)	实际备端为datetimeoffset None位</t>
        </is>
      </c>
    </row>
    <row r="1612">
      <c r="A1612" s="0" t="inlineStr">
        <is>
          <t>info_varbinary_dml_single_pk_irp</t>
        </is>
      </c>
      <c r="K1612" s="0" t="inlineStr">
        <is>
          <t>[0;34m info_varbinary_dml_single_pk_irp [0m源备字段数相同，源端字段：4 	备端字段4</t>
        </is>
      </c>
      <c r="W1612" s="0" t="inlineStr">
        <is>
          <t>YES 源备无差异</t>
        </is>
      </c>
      <c r="X1612" s="0">
        <f>A1612</f>
        <v/>
      </c>
    </row>
    <row r="1613">
      <c r="B1613" s="0" t="inlineStr">
        <is>
          <t>YES</t>
        </is>
      </c>
      <c r="C1613" s="0" t="inlineStr">
        <is>
          <t>NULL</t>
        </is>
      </c>
      <c r="D1613" s="0" t="inlineStr">
        <is>
          <t>NULL</t>
        </is>
      </c>
      <c r="E1613" s="0" t="inlineStr">
        <is>
          <t>NULL</t>
        </is>
      </c>
      <c r="F1613" s="0" t="inlineStr">
        <is>
          <t>NULL</t>
        </is>
      </c>
      <c r="G1613" s="0" t="inlineStr">
        <is>
          <t>NULL</t>
        </is>
      </c>
      <c r="H1613" s="0" t="inlineStr">
        <is>
          <t>NULL</t>
        </is>
      </c>
      <c r="I1613" s="0" t="inlineStr">
        <is>
          <t>YES!PK__info_var__3213E83F517D3015</t>
        </is>
      </c>
      <c r="J1613" s="0" t="inlineStr">
        <is>
          <t>YES! 主键相关索引</t>
        </is>
      </c>
      <c r="K1613" s="0" t="inlineStr">
        <is>
          <t>YES! 	 id列源备映射正确，源端为int None位	期望更改为int	实际备端为int None位</t>
        </is>
      </c>
    </row>
    <row r="1614">
      <c r="B1614" s="0" t="inlineStr">
        <is>
          <t>NULL</t>
        </is>
      </c>
      <c r="C1614" s="0" t="inlineStr">
        <is>
          <t>NULL</t>
        </is>
      </c>
      <c r="D1614" s="0" t="inlineStr">
        <is>
          <t>NULL</t>
        </is>
      </c>
      <c r="E1614" s="0" t="inlineStr">
        <is>
          <t>NULL</t>
        </is>
      </c>
      <c r="F1614" s="0" t="inlineStr">
        <is>
          <t>NULL</t>
        </is>
      </c>
      <c r="G1614" s="0" t="inlineStr">
        <is>
          <t>NULL</t>
        </is>
      </c>
      <c r="H1614" s="0" t="inlineStr">
        <is>
          <t>NULL</t>
        </is>
      </c>
      <c r="I1614" s="0" t="inlineStr">
        <is>
          <t>NULL</t>
        </is>
      </c>
      <c r="J1614" s="0" t="inlineStr">
        <is>
          <t>NULL</t>
        </is>
      </c>
      <c r="K1614" s="0" t="inlineStr">
        <is>
          <t>YES! 	 c_varbinary列源备映射正确，源端为varbinary 1位	期望更改为varbinary(n)	实际备端为varbinary 1位</t>
        </is>
      </c>
    </row>
    <row r="1615">
      <c r="B1615" s="0" t="inlineStr">
        <is>
          <t>NULL</t>
        </is>
      </c>
      <c r="C1615" s="0" t="inlineStr">
        <is>
          <t>NULL</t>
        </is>
      </c>
      <c r="D1615" s="0" t="inlineStr">
        <is>
          <t>NULL</t>
        </is>
      </c>
      <c r="E1615" s="0" t="inlineStr">
        <is>
          <t>NULL</t>
        </is>
      </c>
      <c r="F1615" s="0" t="inlineStr">
        <is>
          <t>NULL</t>
        </is>
      </c>
      <c r="G1615" s="0" t="inlineStr">
        <is>
          <t>NULL</t>
        </is>
      </c>
      <c r="H1615" s="0" t="inlineStr">
        <is>
          <t>NULL</t>
        </is>
      </c>
      <c r="I1615" s="0" t="inlineStr">
        <is>
          <t>NULL</t>
        </is>
      </c>
      <c r="J1615" s="0" t="inlineStr">
        <is>
          <t>NULL</t>
        </is>
      </c>
      <c r="K1615" s="0" t="inlineStr">
        <is>
          <t>YES! 	 c_varbinary_100列源备映射正确，源端为varbinary 100位	期望更改为varbinary(n)	实际备端为varbinary 100位</t>
        </is>
      </c>
    </row>
    <row r="1616">
      <c r="B1616" s="0" t="inlineStr">
        <is>
          <t>NULL</t>
        </is>
      </c>
      <c r="C1616" s="0" t="inlineStr">
        <is>
          <t>NULL</t>
        </is>
      </c>
      <c r="D1616" s="0" t="inlineStr">
        <is>
          <t>NULL</t>
        </is>
      </c>
      <c r="E1616" s="0" t="inlineStr">
        <is>
          <t>NULL</t>
        </is>
      </c>
      <c r="F1616" s="0" t="inlineStr">
        <is>
          <t>NULL</t>
        </is>
      </c>
      <c r="G1616" s="0" t="inlineStr">
        <is>
          <t>NULL</t>
        </is>
      </c>
      <c r="H1616" s="0" t="inlineStr">
        <is>
          <t>NULL</t>
        </is>
      </c>
      <c r="I1616" s="0" t="inlineStr">
        <is>
          <t>NULL</t>
        </is>
      </c>
      <c r="J1616" s="0" t="inlineStr">
        <is>
          <t>NULL</t>
        </is>
      </c>
      <c r="K1616" s="0" t="inlineStr">
        <is>
          <t>YES! 	 c_varbinary_8000列源备映射正确，源端为varbinary 8000位	期望更改为varbinary(n)	实际备端为varbinary 8000位</t>
        </is>
      </c>
    </row>
    <row r="1617">
      <c r="A1617" s="0" t="inlineStr">
        <is>
          <t>info_varcharmax_dml_batch1_pk_drp2</t>
        </is>
      </c>
      <c r="K1617" s="0" t="inlineStr">
        <is>
          <t>[0;34m info_varcharmax_dml_batch1_pk_drp2 [0m源备字段数相同，源端字段：3 	备端字段3</t>
        </is>
      </c>
      <c r="W1617" s="0" t="inlineStr">
        <is>
          <t>YES 源备无差异</t>
        </is>
      </c>
      <c r="X1617" s="0">
        <f>A1617</f>
        <v/>
      </c>
    </row>
    <row r="1618">
      <c r="B1618" s="0" t="inlineStr">
        <is>
          <t>YES</t>
        </is>
      </c>
      <c r="C1618" s="0" t="inlineStr">
        <is>
          <t>NULL</t>
        </is>
      </c>
      <c r="D1618" s="0" t="inlineStr">
        <is>
          <t>NULL</t>
        </is>
      </c>
      <c r="E1618" s="0" t="inlineStr">
        <is>
          <t>NULL</t>
        </is>
      </c>
      <c r="F1618" s="0" t="inlineStr">
        <is>
          <t>NULL</t>
        </is>
      </c>
      <c r="G1618" s="0" t="inlineStr">
        <is>
          <t>NULL</t>
        </is>
      </c>
      <c r="H1618" s="0" t="inlineStr">
        <is>
          <t>NULL</t>
        </is>
      </c>
      <c r="I1618" s="0" t="inlineStr">
        <is>
          <t>YES!PK__info_var__3213E83FD6AC8B5C</t>
        </is>
      </c>
      <c r="J1618" s="0" t="inlineStr">
        <is>
          <t>YES! 主键相关索引</t>
        </is>
      </c>
      <c r="K1618" s="0" t="inlineStr">
        <is>
          <t>YES! 	 id列源备映射正确，源端为int None位	期望更改为int	实际备端为int None位</t>
        </is>
      </c>
    </row>
    <row r="1619">
      <c r="B1619" s="0" t="inlineStr">
        <is>
          <t>NULL</t>
        </is>
      </c>
      <c r="C1619" s="0" t="inlineStr">
        <is>
          <t>NULL</t>
        </is>
      </c>
      <c r="D1619" s="0" t="inlineStr">
        <is>
          <t>NULL</t>
        </is>
      </c>
      <c r="E1619" s="0" t="inlineStr">
        <is>
          <t>NULL</t>
        </is>
      </c>
      <c r="F1619" s="0" t="inlineStr">
        <is>
          <t>NULL</t>
        </is>
      </c>
      <c r="G1619" s="0" t="inlineStr">
        <is>
          <t>NULL</t>
        </is>
      </c>
      <c r="H1619" s="0" t="inlineStr">
        <is>
          <t>NULL</t>
        </is>
      </c>
      <c r="I1619" s="0" t="inlineStr">
        <is>
          <t>NULL</t>
        </is>
      </c>
      <c r="J1619" s="0" t="inlineStr">
        <is>
          <t>NULL</t>
        </is>
      </c>
      <c r="K1619" s="0" t="inlineStr">
        <is>
          <t>YES! 	 c_varchar_max列源备映射正确，源端为varchar -1位	期望更改为varchar(n)	实际备端为varchar -1位</t>
        </is>
      </c>
    </row>
    <row r="1620">
      <c r="B1620" s="0" t="inlineStr">
        <is>
          <t>NULL</t>
        </is>
      </c>
      <c r="C1620" s="0" t="inlineStr">
        <is>
          <t>NULL</t>
        </is>
      </c>
      <c r="D1620" s="0" t="inlineStr">
        <is>
          <t>NULL</t>
        </is>
      </c>
      <c r="E1620" s="0" t="inlineStr">
        <is>
          <t>NULL</t>
        </is>
      </c>
      <c r="F1620" s="0" t="inlineStr">
        <is>
          <t>NULL</t>
        </is>
      </c>
      <c r="G1620" s="0" t="inlineStr">
        <is>
          <t>NULL</t>
        </is>
      </c>
      <c r="H1620" s="0" t="inlineStr">
        <is>
          <t>NULL</t>
        </is>
      </c>
      <c r="I1620" s="0" t="inlineStr">
        <is>
          <t>NULL</t>
        </is>
      </c>
      <c r="J1620" s="0" t="inlineStr">
        <is>
          <t>NULL</t>
        </is>
      </c>
      <c r="K1620" s="0" t="inlineStr">
        <is>
          <t>YES! 	 c_nvarchar_max列源备映射正确，源端为nvarchar -1位	期望更改为nvarchar(n)	实际备端为nvarchar -1位</t>
        </is>
      </c>
    </row>
    <row r="1621">
      <c r="K1621" s="0" t="inlineStr">
        <is>
          <t>~ 空表</t>
        </is>
      </c>
    </row>
    <row r="1622">
      <c r="A1622" s="0" t="inlineStr">
        <is>
          <t>info_timestamp_dml_single_pk_drp</t>
        </is>
      </c>
      <c r="K1622" s="0" t="inlineStr">
        <is>
          <t>[0;34m info_timestamp_dml_single_pk_drp [0m源备字段数相同，源端字段：2 	备端字段2</t>
        </is>
      </c>
      <c r="W1622" s="0" t="inlineStr">
        <is>
          <t>YES 源备无差异</t>
        </is>
      </c>
      <c r="X1622" s="0">
        <f>A1622</f>
        <v/>
      </c>
    </row>
    <row r="1623">
      <c r="B1623" s="0" t="inlineStr">
        <is>
          <t>YES</t>
        </is>
      </c>
      <c r="C1623" s="0" t="inlineStr">
        <is>
          <t>NULL</t>
        </is>
      </c>
      <c r="D1623" s="0" t="inlineStr">
        <is>
          <t>NULL</t>
        </is>
      </c>
      <c r="E1623" s="0" t="inlineStr">
        <is>
          <t>NULL</t>
        </is>
      </c>
      <c r="F1623" s="0" t="inlineStr">
        <is>
          <t>NULL</t>
        </is>
      </c>
      <c r="G1623" s="0" t="inlineStr">
        <is>
          <t>NULL</t>
        </is>
      </c>
      <c r="H1623" s="0" t="inlineStr">
        <is>
          <t>NULL</t>
        </is>
      </c>
      <c r="I1623" s="0" t="inlineStr">
        <is>
          <t>YES!PK__info_tim__3213E83FED4B4672</t>
        </is>
      </c>
      <c r="J1623" s="0" t="inlineStr">
        <is>
          <t>YES! 主键相关索引</t>
        </is>
      </c>
      <c r="K1623" s="0" t="inlineStr">
        <is>
          <t>YES! 	 id列源备映射正确，源端为int None位	期望更改为int	实际备端为int None位</t>
        </is>
      </c>
    </row>
    <row r="1624">
      <c r="B1624" s="0" t="inlineStr">
        <is>
          <t>NULL</t>
        </is>
      </c>
      <c r="C1624" s="0" t="inlineStr">
        <is>
          <t>NULL</t>
        </is>
      </c>
      <c r="D1624" s="0" t="inlineStr">
        <is>
          <t>NULL</t>
        </is>
      </c>
      <c r="E1624" s="0" t="inlineStr">
        <is>
          <t>NULL</t>
        </is>
      </c>
      <c r="F1624" s="0" t="inlineStr">
        <is>
          <t>NULL</t>
        </is>
      </c>
      <c r="G1624" s="0" t="inlineStr">
        <is>
          <t>NULL</t>
        </is>
      </c>
      <c r="H1624" s="0" t="inlineStr">
        <is>
          <t>NULL</t>
        </is>
      </c>
      <c r="I1624" s="0" t="inlineStr">
        <is>
          <t>NULL</t>
        </is>
      </c>
      <c r="J1624" s="0" t="inlineStr">
        <is>
          <t>NULL</t>
        </is>
      </c>
      <c r="K1624" s="0" t="inlineStr">
        <is>
          <t>YES! 	 c_tiemstamp列源备映射正确，源端为timestamp None位	期望更改为timestamp	实际备端为timestamp None位</t>
        </is>
      </c>
    </row>
    <row r="1625">
      <c r="A1625" s="0" t="inlineStr">
        <is>
          <t>info_varbinary_dml_single_pk_urp</t>
        </is>
      </c>
      <c r="K1625" s="0" t="inlineStr">
        <is>
          <t>[0;34m info_varbinary_dml_single_pk_urp [0m源备字段数相同，源端字段：4 	备端字段4</t>
        </is>
      </c>
      <c r="W1625" s="0" t="inlineStr">
        <is>
          <t>YES 源备无差异</t>
        </is>
      </c>
      <c r="X1625" s="0">
        <f>A1625</f>
        <v/>
      </c>
    </row>
    <row r="1626">
      <c r="B1626" s="0" t="inlineStr">
        <is>
          <t>YES</t>
        </is>
      </c>
      <c r="C1626" s="0" t="inlineStr">
        <is>
          <t>NULL</t>
        </is>
      </c>
      <c r="D1626" s="0" t="inlineStr">
        <is>
          <t>NULL</t>
        </is>
      </c>
      <c r="E1626" s="0" t="inlineStr">
        <is>
          <t>NULL</t>
        </is>
      </c>
      <c r="F1626" s="0" t="inlineStr">
        <is>
          <t>NULL</t>
        </is>
      </c>
      <c r="G1626" s="0" t="inlineStr">
        <is>
          <t>NULL</t>
        </is>
      </c>
      <c r="H1626" s="0" t="inlineStr">
        <is>
          <t>NULL</t>
        </is>
      </c>
      <c r="I1626" s="0" t="inlineStr">
        <is>
          <t>YES!PK__info_var__3213E83FC68DCD0E</t>
        </is>
      </c>
      <c r="J1626" s="0" t="inlineStr">
        <is>
          <t>YES! 主键相关索引</t>
        </is>
      </c>
      <c r="K1626" s="0" t="inlineStr">
        <is>
          <t>YES! 	 id列源备映射正确，源端为int None位	期望更改为int	实际备端为int None位</t>
        </is>
      </c>
    </row>
    <row r="1627">
      <c r="B1627" s="0" t="inlineStr">
        <is>
          <t>NULL</t>
        </is>
      </c>
      <c r="C1627" s="0" t="inlineStr">
        <is>
          <t>NULL</t>
        </is>
      </c>
      <c r="D1627" s="0" t="inlineStr">
        <is>
          <t>NULL</t>
        </is>
      </c>
      <c r="E1627" s="0" t="inlineStr">
        <is>
          <t>NULL</t>
        </is>
      </c>
      <c r="F1627" s="0" t="inlineStr">
        <is>
          <t>NULL</t>
        </is>
      </c>
      <c r="G1627" s="0" t="inlineStr">
        <is>
          <t>NULL</t>
        </is>
      </c>
      <c r="H1627" s="0" t="inlineStr">
        <is>
          <t>NULL</t>
        </is>
      </c>
      <c r="I1627" s="0" t="inlineStr">
        <is>
          <t>NULL</t>
        </is>
      </c>
      <c r="J1627" s="0" t="inlineStr">
        <is>
          <t>NULL</t>
        </is>
      </c>
      <c r="K1627" s="0" t="inlineStr">
        <is>
          <t>YES! 	 c_varbinary列源备映射正确，源端为varbinary 1位	期望更改为varbinary(n)	实际备端为varbinary 1位</t>
        </is>
      </c>
    </row>
    <row r="1628">
      <c r="B1628" s="0" t="inlineStr">
        <is>
          <t>NULL</t>
        </is>
      </c>
      <c r="C1628" s="0" t="inlineStr">
        <is>
          <t>NULL</t>
        </is>
      </c>
      <c r="D1628" s="0" t="inlineStr">
        <is>
          <t>NULL</t>
        </is>
      </c>
      <c r="E1628" s="0" t="inlineStr">
        <is>
          <t>NULL</t>
        </is>
      </c>
      <c r="F1628" s="0" t="inlineStr">
        <is>
          <t>NULL</t>
        </is>
      </c>
      <c r="G1628" s="0" t="inlineStr">
        <is>
          <t>NULL</t>
        </is>
      </c>
      <c r="H1628" s="0" t="inlineStr">
        <is>
          <t>NULL</t>
        </is>
      </c>
      <c r="I1628" s="0" t="inlineStr">
        <is>
          <t>NULL</t>
        </is>
      </c>
      <c r="J1628" s="0" t="inlineStr">
        <is>
          <t>NULL</t>
        </is>
      </c>
      <c r="K1628" s="0" t="inlineStr">
        <is>
          <t>YES! 	 c_varbinary_100列源备映射正确，源端为varbinary 100位	期望更改为varbinary(n)	实际备端为varbinary 100位</t>
        </is>
      </c>
    </row>
    <row r="1629">
      <c r="B1629" s="0" t="inlineStr">
        <is>
          <t>NULL</t>
        </is>
      </c>
      <c r="C1629" s="0" t="inlineStr">
        <is>
          <t>NULL</t>
        </is>
      </c>
      <c r="D1629" s="0" t="inlineStr">
        <is>
          <t>NULL</t>
        </is>
      </c>
      <c r="E1629" s="0" t="inlineStr">
        <is>
          <t>NULL</t>
        </is>
      </c>
      <c r="F1629" s="0" t="inlineStr">
        <is>
          <t>NULL</t>
        </is>
      </c>
      <c r="G1629" s="0" t="inlineStr">
        <is>
          <t>NULL</t>
        </is>
      </c>
      <c r="H1629" s="0" t="inlineStr">
        <is>
          <t>NULL</t>
        </is>
      </c>
      <c r="I1629" s="0" t="inlineStr">
        <is>
          <t>NULL</t>
        </is>
      </c>
      <c r="J1629" s="0" t="inlineStr">
        <is>
          <t>NULL</t>
        </is>
      </c>
      <c r="K1629" s="0" t="inlineStr">
        <is>
          <t>YES! 	 c_varbinary_8000列源备映射正确，源端为varbinary 8000位	期望更改为varbinary(n)	实际备端为varbinary 8000位</t>
        </is>
      </c>
    </row>
    <row r="1630">
      <c r="A1630" s="0" t="inlineStr">
        <is>
          <t>info_varcharmax_dml_batch1_pk</t>
        </is>
      </c>
      <c r="K1630" s="0" t="inlineStr">
        <is>
          <t>[0;34m info_varcharmax_dml_batch1_pk [0m源备字段数相同，源端字段：3 	备端字段3</t>
        </is>
      </c>
      <c r="W1630" s="0" t="inlineStr">
        <is>
          <t>YES 源备无差异</t>
        </is>
      </c>
      <c r="X1630" s="0">
        <f>A1630</f>
        <v/>
      </c>
    </row>
    <row r="1631">
      <c r="B1631" s="0" t="inlineStr">
        <is>
          <t>YES</t>
        </is>
      </c>
      <c r="C1631" s="0" t="inlineStr">
        <is>
          <t>NULL</t>
        </is>
      </c>
      <c r="D1631" s="0" t="inlineStr">
        <is>
          <t>NULL</t>
        </is>
      </c>
      <c r="E1631" s="0" t="inlineStr">
        <is>
          <t>NULL</t>
        </is>
      </c>
      <c r="F1631" s="0" t="inlineStr">
        <is>
          <t>NULL</t>
        </is>
      </c>
      <c r="G1631" s="0" t="inlineStr">
        <is>
          <t>NULL</t>
        </is>
      </c>
      <c r="H1631" s="0" t="inlineStr">
        <is>
          <t>NULL</t>
        </is>
      </c>
      <c r="I1631" s="0" t="inlineStr">
        <is>
          <t>YES!PK__info_var__3213E83F1E5F20A4</t>
        </is>
      </c>
      <c r="J1631" s="0" t="inlineStr">
        <is>
          <t>YES! 主键相关索引</t>
        </is>
      </c>
      <c r="K1631" s="0" t="inlineStr">
        <is>
          <t>YES! 	 id列源备映射正确，源端为int None位	期望更改为int	实际备端为int None位</t>
        </is>
      </c>
    </row>
    <row r="1632">
      <c r="B1632" s="0" t="inlineStr">
        <is>
          <t>NULL</t>
        </is>
      </c>
      <c r="C1632" s="0" t="inlineStr">
        <is>
          <t>NULL</t>
        </is>
      </c>
      <c r="D1632" s="0" t="inlineStr">
        <is>
          <t>NULL</t>
        </is>
      </c>
      <c r="E1632" s="0" t="inlineStr">
        <is>
          <t>NULL</t>
        </is>
      </c>
      <c r="F1632" s="0" t="inlineStr">
        <is>
          <t>NULL</t>
        </is>
      </c>
      <c r="G1632" s="0" t="inlineStr">
        <is>
          <t>NULL</t>
        </is>
      </c>
      <c r="H1632" s="0" t="inlineStr">
        <is>
          <t>NULL</t>
        </is>
      </c>
      <c r="I1632" s="0" t="inlineStr">
        <is>
          <t>NULL</t>
        </is>
      </c>
      <c r="J1632" s="0" t="inlineStr">
        <is>
          <t>NULL</t>
        </is>
      </c>
      <c r="K1632" s="0" t="inlineStr">
        <is>
          <t>YES! 	 c_varchar_max列源备映射正确，源端为varchar -1位	期望更改为varchar(n)	实际备端为varchar -1位</t>
        </is>
      </c>
    </row>
    <row r="1633">
      <c r="B1633" s="0" t="inlineStr">
        <is>
          <t>NULL</t>
        </is>
      </c>
      <c r="C1633" s="0" t="inlineStr">
        <is>
          <t>NULL</t>
        </is>
      </c>
      <c r="D1633" s="0" t="inlineStr">
        <is>
          <t>NULL</t>
        </is>
      </c>
      <c r="E1633" s="0" t="inlineStr">
        <is>
          <t>NULL</t>
        </is>
      </c>
      <c r="F1633" s="0" t="inlineStr">
        <is>
          <t>NULL</t>
        </is>
      </c>
      <c r="G1633" s="0" t="inlineStr">
        <is>
          <t>NULL</t>
        </is>
      </c>
      <c r="H1633" s="0" t="inlineStr">
        <is>
          <t>NULL</t>
        </is>
      </c>
      <c r="I1633" s="0" t="inlineStr">
        <is>
          <t>NULL</t>
        </is>
      </c>
      <c r="J1633" s="0" t="inlineStr">
        <is>
          <t>NULL</t>
        </is>
      </c>
      <c r="K1633" s="0" t="inlineStr">
        <is>
          <t>YES! 	 c_nvarchar_max列源备映射正确，源端为nvarchar -1位	期望更改为nvarchar(n)	实际备端为nvarchar -1位</t>
        </is>
      </c>
    </row>
    <row r="1634">
      <c r="K1634" s="0" t="inlineStr">
        <is>
          <t>~ 空表</t>
        </is>
      </c>
    </row>
    <row r="1635">
      <c r="A1635" s="0" t="inlineStr">
        <is>
          <t>info_uniqueidentifier_dml_single_pk_irp</t>
        </is>
      </c>
      <c r="K1635" s="0" t="inlineStr">
        <is>
          <t>[0;34m info_uniqueidentifier_dml_single_pk_irp [0m源备字段数相同，源端字段：2 	备端字段2</t>
        </is>
      </c>
      <c r="W1635" s="0" t="inlineStr">
        <is>
          <t>YES 源备无差异</t>
        </is>
      </c>
      <c r="X1635" s="0">
        <f>A1635</f>
        <v/>
      </c>
    </row>
    <row r="1636">
      <c r="B1636" s="0" t="inlineStr">
        <is>
          <t>YES</t>
        </is>
      </c>
      <c r="C1636" s="0" t="inlineStr">
        <is>
          <t>NULL</t>
        </is>
      </c>
      <c r="D1636" s="0" t="inlineStr">
        <is>
          <t>NULL</t>
        </is>
      </c>
      <c r="E1636" s="0" t="inlineStr">
        <is>
          <t>NULL</t>
        </is>
      </c>
      <c r="F1636" s="0" t="inlineStr">
        <is>
          <t>NULL</t>
        </is>
      </c>
      <c r="G1636" s="0" t="inlineStr">
        <is>
          <t>NULL</t>
        </is>
      </c>
      <c r="H1636" s="0" t="inlineStr">
        <is>
          <t>NULL</t>
        </is>
      </c>
      <c r="I1636" s="0" t="inlineStr">
        <is>
          <t>YES!PK__info_uni__3213E83F0A588E05</t>
        </is>
      </c>
      <c r="J1636" s="0" t="inlineStr">
        <is>
          <t>YES! 主键相关索引</t>
        </is>
      </c>
      <c r="K1636" s="0" t="inlineStr">
        <is>
          <t>YES! 	 id列源备映射正确，源端为int None位	期望更改为int	实际备端为int None位</t>
        </is>
      </c>
    </row>
    <row r="1637">
      <c r="B1637" s="0" t="inlineStr">
        <is>
          <t>NULL</t>
        </is>
      </c>
      <c r="C1637" s="0" t="inlineStr">
        <is>
          <t>NULL</t>
        </is>
      </c>
      <c r="D1637" s="0" t="inlineStr">
        <is>
          <t>NULL</t>
        </is>
      </c>
      <c r="E1637" s="0" t="inlineStr">
        <is>
          <t>NULL</t>
        </is>
      </c>
      <c r="F1637" s="0" t="inlineStr">
        <is>
          <t>NULL</t>
        </is>
      </c>
      <c r="G1637" s="0" t="inlineStr">
        <is>
          <t>NULL</t>
        </is>
      </c>
      <c r="H1637" s="0" t="inlineStr">
        <is>
          <t>NULL</t>
        </is>
      </c>
      <c r="I1637" s="0" t="inlineStr">
        <is>
          <t>NULL</t>
        </is>
      </c>
      <c r="J1637" s="0" t="inlineStr">
        <is>
          <t>NULL</t>
        </is>
      </c>
      <c r="K1637" s="0" t="inlineStr">
        <is>
          <t>YES! 	 c_uniqueidentifier列源备映射正确，源端为uniqueidentifier None位	期望更改为uniqueidentifier	实际备端为uniqueidentifier None位</t>
        </is>
      </c>
    </row>
    <row r="1638">
      <c r="A1638" s="0" t="inlineStr">
        <is>
          <t>info_varbinary_dml_single_pk_drp</t>
        </is>
      </c>
      <c r="K1638" s="0" t="inlineStr">
        <is>
          <t>[0;34m info_varbinary_dml_single_pk_drp [0m源备字段数相同，源端字段：4 	备端字段4</t>
        </is>
      </c>
      <c r="W1638" s="0" t="inlineStr">
        <is>
          <t>YES 源备无差异</t>
        </is>
      </c>
      <c r="X1638" s="0">
        <f>A1638</f>
        <v/>
      </c>
    </row>
    <row r="1639">
      <c r="B1639" s="0" t="inlineStr">
        <is>
          <t>YES</t>
        </is>
      </c>
      <c r="C1639" s="0" t="inlineStr">
        <is>
          <t>NULL</t>
        </is>
      </c>
      <c r="D1639" s="0" t="inlineStr">
        <is>
          <t>NULL</t>
        </is>
      </c>
      <c r="E1639" s="0" t="inlineStr">
        <is>
          <t>NULL</t>
        </is>
      </c>
      <c r="F1639" s="0" t="inlineStr">
        <is>
          <t>NULL</t>
        </is>
      </c>
      <c r="G1639" s="0" t="inlineStr">
        <is>
          <t>NULL</t>
        </is>
      </c>
      <c r="H1639" s="0" t="inlineStr">
        <is>
          <t>NULL</t>
        </is>
      </c>
      <c r="I1639" s="0" t="inlineStr">
        <is>
          <t>YES!PK__info_var__3213E83F2608C4C6</t>
        </is>
      </c>
      <c r="J1639" s="0" t="inlineStr">
        <is>
          <t>YES! 主键相关索引</t>
        </is>
      </c>
      <c r="K1639" s="0" t="inlineStr">
        <is>
          <t>YES! 	 id列源备映射正确，源端为int None位	期望更改为int	实际备端为int None位</t>
        </is>
      </c>
    </row>
    <row r="1640">
      <c r="B1640" s="0" t="inlineStr">
        <is>
          <t>NULL</t>
        </is>
      </c>
      <c r="C1640" s="0" t="inlineStr">
        <is>
          <t>NULL</t>
        </is>
      </c>
      <c r="D1640" s="0" t="inlineStr">
        <is>
          <t>NULL</t>
        </is>
      </c>
      <c r="E1640" s="0" t="inlineStr">
        <is>
          <t>NULL</t>
        </is>
      </c>
      <c r="F1640" s="0" t="inlineStr">
        <is>
          <t>NULL</t>
        </is>
      </c>
      <c r="G1640" s="0" t="inlineStr">
        <is>
          <t>NULL</t>
        </is>
      </c>
      <c r="H1640" s="0" t="inlineStr">
        <is>
          <t>NULL</t>
        </is>
      </c>
      <c r="I1640" s="0" t="inlineStr">
        <is>
          <t>NULL</t>
        </is>
      </c>
      <c r="J1640" s="0" t="inlineStr">
        <is>
          <t>NULL</t>
        </is>
      </c>
      <c r="K1640" s="0" t="inlineStr">
        <is>
          <t>YES! 	 c_varbinary列源备映射正确，源端为varbinary 1位	期望更改为varbinary(n)	实际备端为varbinary 1位</t>
        </is>
      </c>
    </row>
    <row r="1641">
      <c r="B1641" s="0" t="inlineStr">
        <is>
          <t>NULL</t>
        </is>
      </c>
      <c r="C1641" s="0" t="inlineStr">
        <is>
          <t>NULL</t>
        </is>
      </c>
      <c r="D1641" s="0" t="inlineStr">
        <is>
          <t>NULL</t>
        </is>
      </c>
      <c r="E1641" s="0" t="inlineStr">
        <is>
          <t>NULL</t>
        </is>
      </c>
      <c r="F1641" s="0" t="inlineStr">
        <is>
          <t>NULL</t>
        </is>
      </c>
      <c r="G1641" s="0" t="inlineStr">
        <is>
          <t>NULL</t>
        </is>
      </c>
      <c r="H1641" s="0" t="inlineStr">
        <is>
          <t>NULL</t>
        </is>
      </c>
      <c r="I1641" s="0" t="inlineStr">
        <is>
          <t>NULL</t>
        </is>
      </c>
      <c r="J1641" s="0" t="inlineStr">
        <is>
          <t>NULL</t>
        </is>
      </c>
      <c r="K1641" s="0" t="inlineStr">
        <is>
          <t>YES! 	 c_varbinary_100列源备映射正确，源端为varbinary 100位	期望更改为varbinary(n)	实际备端为varbinary 100位</t>
        </is>
      </c>
    </row>
    <row r="1642">
      <c r="B1642" s="0" t="inlineStr">
        <is>
          <t>NULL</t>
        </is>
      </c>
      <c r="C1642" s="0" t="inlineStr">
        <is>
          <t>NULL</t>
        </is>
      </c>
      <c r="D1642" s="0" t="inlineStr">
        <is>
          <t>NULL</t>
        </is>
      </c>
      <c r="E1642" s="0" t="inlineStr">
        <is>
          <t>NULL</t>
        </is>
      </c>
      <c r="F1642" s="0" t="inlineStr">
        <is>
          <t>NULL</t>
        </is>
      </c>
      <c r="G1642" s="0" t="inlineStr">
        <is>
          <t>NULL</t>
        </is>
      </c>
      <c r="H1642" s="0" t="inlineStr">
        <is>
          <t>NULL</t>
        </is>
      </c>
      <c r="I1642" s="0" t="inlineStr">
        <is>
          <t>NULL</t>
        </is>
      </c>
      <c r="J1642" s="0" t="inlineStr">
        <is>
          <t>NULL</t>
        </is>
      </c>
      <c r="K1642" s="0" t="inlineStr">
        <is>
          <t>YES! 	 c_varbinary_8000列源备映射正确，源端为varbinary 8000位	期望更改为varbinary(n)	实际备端为varbinary 8000位</t>
        </is>
      </c>
    </row>
    <row r="1643">
      <c r="A1643" s="0" t="inlineStr">
        <is>
          <t>info_uniqueidentifier_dml_single_pk_urp</t>
        </is>
      </c>
      <c r="K1643" s="0" t="inlineStr">
        <is>
          <t>[0;34m info_uniqueidentifier_dml_single_pk_urp [0m源备字段数相同，源端字段：2 	备端字段2</t>
        </is>
      </c>
      <c r="W1643" s="0" t="inlineStr">
        <is>
          <t>YES 源备无差异</t>
        </is>
      </c>
      <c r="X1643" s="0">
        <f>A1643</f>
        <v/>
      </c>
    </row>
    <row r="1644">
      <c r="B1644" s="0" t="inlineStr">
        <is>
          <t>YES</t>
        </is>
      </c>
      <c r="C1644" s="0" t="inlineStr">
        <is>
          <t>NULL</t>
        </is>
      </c>
      <c r="D1644" s="0" t="inlineStr">
        <is>
          <t>NULL</t>
        </is>
      </c>
      <c r="E1644" s="0" t="inlineStr">
        <is>
          <t>NULL</t>
        </is>
      </c>
      <c r="F1644" s="0" t="inlineStr">
        <is>
          <t>NULL</t>
        </is>
      </c>
      <c r="G1644" s="0" t="inlineStr">
        <is>
          <t>NULL</t>
        </is>
      </c>
      <c r="H1644" s="0" t="inlineStr">
        <is>
          <t>NULL</t>
        </is>
      </c>
      <c r="I1644" s="0" t="inlineStr">
        <is>
          <t>YES!PK__info_uni__3213E83F481CAA22</t>
        </is>
      </c>
      <c r="J1644" s="0" t="inlineStr">
        <is>
          <t>YES! 主键相关索引</t>
        </is>
      </c>
      <c r="K1644" s="0" t="inlineStr">
        <is>
          <t>YES! 	 id列源备映射正确，源端为int None位	期望更改为int	实际备端为int None位</t>
        </is>
      </c>
    </row>
    <row r="1645">
      <c r="B1645" s="0" t="inlineStr">
        <is>
          <t>NULL</t>
        </is>
      </c>
      <c r="C1645" s="0" t="inlineStr">
        <is>
          <t>NULL</t>
        </is>
      </c>
      <c r="D1645" s="0" t="inlineStr">
        <is>
          <t>NULL</t>
        </is>
      </c>
      <c r="E1645" s="0" t="inlineStr">
        <is>
          <t>NULL</t>
        </is>
      </c>
      <c r="F1645" s="0" t="inlineStr">
        <is>
          <t>NULL</t>
        </is>
      </c>
      <c r="G1645" s="0" t="inlineStr">
        <is>
          <t>NULL</t>
        </is>
      </c>
      <c r="H1645" s="0" t="inlineStr">
        <is>
          <t>NULL</t>
        </is>
      </c>
      <c r="I1645" s="0" t="inlineStr">
        <is>
          <t>NULL</t>
        </is>
      </c>
      <c r="J1645" s="0" t="inlineStr">
        <is>
          <t>NULL</t>
        </is>
      </c>
      <c r="K1645" s="0" t="inlineStr">
        <is>
          <t>YES! 	 c_uniqueidentifier列源备映射正确，源端为uniqueidentifier None位	期望更改为uniqueidentifier	实际备端为uniqueidentifier None位</t>
        </is>
      </c>
    </row>
    <row r="1646">
      <c r="A1646" s="0" t="inlineStr">
        <is>
          <t>info_int_dml_batch1_pk_irp1</t>
        </is>
      </c>
      <c r="K1646" s="0" t="inlineStr">
        <is>
          <t>[0;34m info_int_dml_batch1_pk_irp1 [0m源备字段数相同，源端字段：20 	备端字段20</t>
        </is>
      </c>
      <c r="W1646" s="0" t="inlineStr">
        <is>
          <t>YES 源备无差异</t>
        </is>
      </c>
      <c r="X1646" s="0">
        <f>A1646</f>
        <v/>
      </c>
    </row>
    <row r="1647">
      <c r="B1647" s="0" t="inlineStr">
        <is>
          <t>YES</t>
        </is>
      </c>
      <c r="C1647" s="0" t="inlineStr">
        <is>
          <t>NULL</t>
        </is>
      </c>
      <c r="D1647" s="0" t="inlineStr">
        <is>
          <t>NULL</t>
        </is>
      </c>
      <c r="E1647" s="0" t="inlineStr">
        <is>
          <t>NULL</t>
        </is>
      </c>
      <c r="F1647" s="0" t="inlineStr">
        <is>
          <t>NULL</t>
        </is>
      </c>
      <c r="G1647" s="0" t="inlineStr">
        <is>
          <t>NULL</t>
        </is>
      </c>
      <c r="H1647" s="0" t="inlineStr">
        <is>
          <t>NULL</t>
        </is>
      </c>
      <c r="I1647" s="0" t="inlineStr">
        <is>
          <t>YES!PK__info_int__3213E83FE5FDAB4C</t>
        </is>
      </c>
      <c r="J1647" s="0" t="inlineStr">
        <is>
          <t>YES! 主键相关索引</t>
        </is>
      </c>
      <c r="K1647" s="0" t="inlineStr">
        <is>
          <t>YES! 	 id列源备映射正确，源端为int None位	期望更改为int	实际备端为int None位</t>
        </is>
      </c>
    </row>
    <row r="1648">
      <c r="B1648" s="0" t="inlineStr">
        <is>
          <t>NULL</t>
        </is>
      </c>
      <c r="C1648" s="0" t="inlineStr">
        <is>
          <t>NULL</t>
        </is>
      </c>
      <c r="D1648" s="0" t="inlineStr">
        <is>
          <t>NULL</t>
        </is>
      </c>
      <c r="E1648" s="0" t="inlineStr">
        <is>
          <t>NULL</t>
        </is>
      </c>
      <c r="F1648" s="0" t="inlineStr">
        <is>
          <t>NULL</t>
        </is>
      </c>
      <c r="G1648" s="0" t="inlineStr">
        <is>
          <t>NULL</t>
        </is>
      </c>
      <c r="H1648" s="0" t="inlineStr">
        <is>
          <t>NULL</t>
        </is>
      </c>
      <c r="I1648" s="0" t="inlineStr">
        <is>
          <t>NULL</t>
        </is>
      </c>
      <c r="J1648" s="0" t="inlineStr">
        <is>
          <t>NULL</t>
        </is>
      </c>
      <c r="K1648" s="0" t="inlineStr">
        <is>
          <t>YES! 	 c_tinyint列源备映射正确，源端为tinyint None位	期望更改为tinyint	实际备端为tinyint None位</t>
        </is>
      </c>
    </row>
    <row r="1649">
      <c r="B1649" s="0" t="inlineStr">
        <is>
          <t>NULL</t>
        </is>
      </c>
      <c r="C1649" s="0" t="inlineStr">
        <is>
          <t>NULL</t>
        </is>
      </c>
      <c r="D1649" s="0" t="inlineStr">
        <is>
          <t>NULL</t>
        </is>
      </c>
      <c r="E1649" s="0" t="inlineStr">
        <is>
          <t>NULL</t>
        </is>
      </c>
      <c r="F1649" s="0" t="inlineStr">
        <is>
          <t>NULL</t>
        </is>
      </c>
      <c r="G1649" s="0" t="inlineStr">
        <is>
          <t>NULL</t>
        </is>
      </c>
      <c r="H1649" s="0" t="inlineStr">
        <is>
          <t>NULL</t>
        </is>
      </c>
      <c r="I1649" s="0" t="inlineStr">
        <is>
          <t>NULL</t>
        </is>
      </c>
      <c r="J1649" s="0" t="inlineStr">
        <is>
          <t>NULL</t>
        </is>
      </c>
      <c r="K1649" s="0" t="inlineStr">
        <is>
          <t>YES! 	 c_smallint列源备映射正确，源端为smallint None位	期望更改为smallint	实际备端为smallint None位</t>
        </is>
      </c>
    </row>
    <row r="1650">
      <c r="B1650" s="0" t="inlineStr">
        <is>
          <t>NULL</t>
        </is>
      </c>
      <c r="C1650" s="0" t="inlineStr">
        <is>
          <t>NULL</t>
        </is>
      </c>
      <c r="D1650" s="0" t="inlineStr">
        <is>
          <t>NULL</t>
        </is>
      </c>
      <c r="E1650" s="0" t="inlineStr">
        <is>
          <t>NULL</t>
        </is>
      </c>
      <c r="F1650" s="0" t="inlineStr">
        <is>
          <t>NULL</t>
        </is>
      </c>
      <c r="G1650" s="0" t="inlineStr">
        <is>
          <t>NULL</t>
        </is>
      </c>
      <c r="H1650" s="0" t="inlineStr">
        <is>
          <t>NULL</t>
        </is>
      </c>
      <c r="I1650" s="0" t="inlineStr">
        <is>
          <t>NULL</t>
        </is>
      </c>
      <c r="J1650" s="0" t="inlineStr">
        <is>
          <t>NULL</t>
        </is>
      </c>
      <c r="K1650" s="0" t="inlineStr">
        <is>
          <t>YES! 	 c_int列源备映射正确，源端为int None位	期望更改为int	实际备端为int None位</t>
        </is>
      </c>
    </row>
    <row r="1651">
      <c r="B1651" s="0" t="inlineStr">
        <is>
          <t>NULL</t>
        </is>
      </c>
      <c r="C1651" s="0" t="inlineStr">
        <is>
          <t>NULL</t>
        </is>
      </c>
      <c r="D1651" s="0" t="inlineStr">
        <is>
          <t>NULL</t>
        </is>
      </c>
      <c r="E1651" s="0" t="inlineStr">
        <is>
          <t>NULL</t>
        </is>
      </c>
      <c r="F1651" s="0" t="inlineStr">
        <is>
          <t>NULL</t>
        </is>
      </c>
      <c r="G1651" s="0" t="inlineStr">
        <is>
          <t>NULL</t>
        </is>
      </c>
      <c r="H1651" s="0" t="inlineStr">
        <is>
          <t>NULL</t>
        </is>
      </c>
      <c r="I1651" s="0" t="inlineStr">
        <is>
          <t>NULL</t>
        </is>
      </c>
      <c r="J1651" s="0" t="inlineStr">
        <is>
          <t>NULL</t>
        </is>
      </c>
      <c r="K1651" s="0" t="inlineStr">
        <is>
          <t>YES! 	 c_bigint列源备映射正确，源端为bigint None位	期望更改为bigint	实际备端为bigint None位</t>
        </is>
      </c>
    </row>
    <row r="1652">
      <c r="B1652" s="0" t="inlineStr">
        <is>
          <t>NULL</t>
        </is>
      </c>
      <c r="C1652" s="0" t="inlineStr">
        <is>
          <t>NULL</t>
        </is>
      </c>
      <c r="D1652" s="0" t="inlineStr">
        <is>
          <t>NULL</t>
        </is>
      </c>
      <c r="E1652" s="0" t="inlineStr">
        <is>
          <t>NULL</t>
        </is>
      </c>
      <c r="F1652" s="0" t="inlineStr">
        <is>
          <t>NULL</t>
        </is>
      </c>
      <c r="G1652" s="0" t="inlineStr">
        <is>
          <t>NULL</t>
        </is>
      </c>
      <c r="H1652" s="0" t="inlineStr">
        <is>
          <t>NULL</t>
        </is>
      </c>
      <c r="I1652" s="0" t="inlineStr">
        <is>
          <t>NULL</t>
        </is>
      </c>
      <c r="J1652" s="0" t="inlineStr">
        <is>
          <t>NULL</t>
        </is>
      </c>
      <c r="K1652" s="0" t="inlineStr">
        <is>
          <t>YES! 	 c_decimal列源备映射正确，源端为decimal None位	期望更改为decimal(p,s)	实际备端为decimal None位</t>
        </is>
      </c>
    </row>
    <row r="1653">
      <c r="B1653" s="0" t="inlineStr">
        <is>
          <t>NULL</t>
        </is>
      </c>
      <c r="C1653" s="0" t="inlineStr">
        <is>
          <t>NULL</t>
        </is>
      </c>
      <c r="D1653" s="0" t="inlineStr">
        <is>
          <t>NULL</t>
        </is>
      </c>
      <c r="E1653" s="0" t="inlineStr">
        <is>
          <t>NULL</t>
        </is>
      </c>
      <c r="F1653" s="0" t="inlineStr">
        <is>
          <t>NULL</t>
        </is>
      </c>
      <c r="G1653" s="0" t="inlineStr">
        <is>
          <t>NULL</t>
        </is>
      </c>
      <c r="H1653" s="0" t="inlineStr">
        <is>
          <t>NULL</t>
        </is>
      </c>
      <c r="I1653" s="0" t="inlineStr">
        <is>
          <t>NULL</t>
        </is>
      </c>
      <c r="J1653" s="0" t="inlineStr">
        <is>
          <t>NULL</t>
        </is>
      </c>
      <c r="K1653" s="0" t="inlineStr">
        <is>
          <t>YES! 	 c_decimal38列源备映射正确，源端为decimal None位	期望更改为decimal(p,s)	实际备端为decimal None位</t>
        </is>
      </c>
    </row>
    <row r="1654">
      <c r="B1654" s="0" t="inlineStr">
        <is>
          <t>NULL</t>
        </is>
      </c>
      <c r="C1654" s="0" t="inlineStr">
        <is>
          <t>NULL</t>
        </is>
      </c>
      <c r="D1654" s="0" t="inlineStr">
        <is>
          <t>NULL</t>
        </is>
      </c>
      <c r="E1654" s="0" t="inlineStr">
        <is>
          <t>NULL</t>
        </is>
      </c>
      <c r="F1654" s="0" t="inlineStr">
        <is>
          <t>NULL</t>
        </is>
      </c>
      <c r="G1654" s="0" t="inlineStr">
        <is>
          <t>NULL</t>
        </is>
      </c>
      <c r="H1654" s="0" t="inlineStr">
        <is>
          <t>NULL</t>
        </is>
      </c>
      <c r="I1654" s="0" t="inlineStr">
        <is>
          <t>NULL</t>
        </is>
      </c>
      <c r="J1654" s="0" t="inlineStr">
        <is>
          <t>NULL</t>
        </is>
      </c>
      <c r="K1654" s="0" t="inlineStr">
        <is>
          <t>YES! 	 c_decimal38_38列源备映射正确，源端为decimal None位	期望更改为decimal(p,s)	实际备端为decimal None位</t>
        </is>
      </c>
    </row>
    <row r="1655">
      <c r="B1655" s="0" t="inlineStr">
        <is>
          <t>NULL</t>
        </is>
      </c>
      <c r="C1655" s="0" t="inlineStr">
        <is>
          <t>NULL</t>
        </is>
      </c>
      <c r="D1655" s="0" t="inlineStr">
        <is>
          <t>NULL</t>
        </is>
      </c>
      <c r="E1655" s="0" t="inlineStr">
        <is>
          <t>NULL</t>
        </is>
      </c>
      <c r="F1655" s="0" t="inlineStr">
        <is>
          <t>NULL</t>
        </is>
      </c>
      <c r="G1655" s="0" t="inlineStr">
        <is>
          <t>NULL</t>
        </is>
      </c>
      <c r="H1655" s="0" t="inlineStr">
        <is>
          <t>NULL</t>
        </is>
      </c>
      <c r="I1655" s="0" t="inlineStr">
        <is>
          <t>NULL</t>
        </is>
      </c>
      <c r="J1655" s="0" t="inlineStr">
        <is>
          <t>NULL</t>
        </is>
      </c>
      <c r="K1655" s="0" t="inlineStr">
        <is>
          <t>YES! 	 c_decimal38_10列源备映射正确，源端为decimal None位	期望更改为decimal(p,s)	实际备端为decimal None位</t>
        </is>
      </c>
    </row>
    <row r="1656">
      <c r="B1656" s="0" t="inlineStr">
        <is>
          <t>NULL</t>
        </is>
      </c>
      <c r="C1656" s="0" t="inlineStr">
        <is>
          <t>NULL</t>
        </is>
      </c>
      <c r="D1656" s="0" t="inlineStr">
        <is>
          <t>NULL</t>
        </is>
      </c>
      <c r="E1656" s="0" t="inlineStr">
        <is>
          <t>NULL</t>
        </is>
      </c>
      <c r="F1656" s="0" t="inlineStr">
        <is>
          <t>NULL</t>
        </is>
      </c>
      <c r="G1656" s="0" t="inlineStr">
        <is>
          <t>NULL</t>
        </is>
      </c>
      <c r="H1656" s="0" t="inlineStr">
        <is>
          <t>NULL</t>
        </is>
      </c>
      <c r="I1656" s="0" t="inlineStr">
        <is>
          <t>NULL</t>
        </is>
      </c>
      <c r="J1656" s="0" t="inlineStr">
        <is>
          <t>NULL</t>
        </is>
      </c>
      <c r="K1656" s="0" t="inlineStr">
        <is>
          <t>YES! 	 c_decimal19_4列源备映射正确，源端为decimal None位	期望更改为decimal(p,s)	实际备端为decimal None位</t>
        </is>
      </c>
    </row>
    <row r="1657">
      <c r="B1657" s="0" t="inlineStr">
        <is>
          <t>NULL</t>
        </is>
      </c>
      <c r="C1657" s="0" t="inlineStr">
        <is>
          <t>NULL</t>
        </is>
      </c>
      <c r="D1657" s="0" t="inlineStr">
        <is>
          <t>NULL</t>
        </is>
      </c>
      <c r="E1657" s="0" t="inlineStr">
        <is>
          <t>NULL</t>
        </is>
      </c>
      <c r="F1657" s="0" t="inlineStr">
        <is>
          <t>NULL</t>
        </is>
      </c>
      <c r="G1657" s="0" t="inlineStr">
        <is>
          <t>NULL</t>
        </is>
      </c>
      <c r="H1657" s="0" t="inlineStr">
        <is>
          <t>NULL</t>
        </is>
      </c>
      <c r="I1657" s="0" t="inlineStr">
        <is>
          <t>NULL</t>
        </is>
      </c>
      <c r="J1657" s="0" t="inlineStr">
        <is>
          <t>NULL</t>
        </is>
      </c>
      <c r="K1657" s="0" t="inlineStr">
        <is>
          <t>YES! 	 c_numeric列源备映射正确，源端为numeric None位	期望更改为numeric(p,s)	实际备端为numeric None位</t>
        </is>
      </c>
    </row>
    <row r="1658">
      <c r="B1658" s="0" t="inlineStr">
        <is>
          <t>NULL</t>
        </is>
      </c>
      <c r="C1658" s="0" t="inlineStr">
        <is>
          <t>NULL</t>
        </is>
      </c>
      <c r="D1658" s="0" t="inlineStr">
        <is>
          <t>NULL</t>
        </is>
      </c>
      <c r="E1658" s="0" t="inlineStr">
        <is>
          <t>NULL</t>
        </is>
      </c>
      <c r="F1658" s="0" t="inlineStr">
        <is>
          <t>NULL</t>
        </is>
      </c>
      <c r="G1658" s="0" t="inlineStr">
        <is>
          <t>NULL</t>
        </is>
      </c>
      <c r="H1658" s="0" t="inlineStr">
        <is>
          <t>NULL</t>
        </is>
      </c>
      <c r="I1658" s="0" t="inlineStr">
        <is>
          <t>NULL</t>
        </is>
      </c>
      <c r="J1658" s="0" t="inlineStr">
        <is>
          <t>NULL</t>
        </is>
      </c>
      <c r="K1658" s="0" t="inlineStr">
        <is>
          <t>YES! 	 c_numeric38列源备映射正确，源端为numeric None位	期望更改为numeric(p,s)	实际备端为numeric None位</t>
        </is>
      </c>
    </row>
    <row r="1659">
      <c r="B1659" s="0" t="inlineStr">
        <is>
          <t>NULL</t>
        </is>
      </c>
      <c r="C1659" s="0" t="inlineStr">
        <is>
          <t>NULL</t>
        </is>
      </c>
      <c r="D1659" s="0" t="inlineStr">
        <is>
          <t>NULL</t>
        </is>
      </c>
      <c r="E1659" s="0" t="inlineStr">
        <is>
          <t>NULL</t>
        </is>
      </c>
      <c r="F1659" s="0" t="inlineStr">
        <is>
          <t>NULL</t>
        </is>
      </c>
      <c r="G1659" s="0" t="inlineStr">
        <is>
          <t>NULL</t>
        </is>
      </c>
      <c r="H1659" s="0" t="inlineStr">
        <is>
          <t>NULL</t>
        </is>
      </c>
      <c r="I1659" s="0" t="inlineStr">
        <is>
          <t>NULL</t>
        </is>
      </c>
      <c r="J1659" s="0" t="inlineStr">
        <is>
          <t>NULL</t>
        </is>
      </c>
      <c r="K1659" s="0" t="inlineStr">
        <is>
          <t>YES! 	 c_numeric38_38列源备映射正确，源端为numeric None位	期望更改为numeric(p,s)	实际备端为numeric None位</t>
        </is>
      </c>
    </row>
    <row r="1660">
      <c r="B1660" s="0" t="inlineStr">
        <is>
          <t>NULL</t>
        </is>
      </c>
      <c r="C1660" s="0" t="inlineStr">
        <is>
          <t>NULL</t>
        </is>
      </c>
      <c r="D1660" s="0" t="inlineStr">
        <is>
          <t>NULL</t>
        </is>
      </c>
      <c r="E1660" s="0" t="inlineStr">
        <is>
          <t>NULL</t>
        </is>
      </c>
      <c r="F1660" s="0" t="inlineStr">
        <is>
          <t>NULL</t>
        </is>
      </c>
      <c r="G1660" s="0" t="inlineStr">
        <is>
          <t>NULL</t>
        </is>
      </c>
      <c r="H1660" s="0" t="inlineStr">
        <is>
          <t>NULL</t>
        </is>
      </c>
      <c r="I1660" s="0" t="inlineStr">
        <is>
          <t>NULL</t>
        </is>
      </c>
      <c r="J1660" s="0" t="inlineStr">
        <is>
          <t>NULL</t>
        </is>
      </c>
      <c r="K1660" s="0" t="inlineStr">
        <is>
          <t>YES! 	 c_numeric38_10列源备映射正确，源端为numeric None位	期望更改为numeric(p,s)	实际备端为numeric None位</t>
        </is>
      </c>
    </row>
    <row r="1661">
      <c r="B1661" s="0" t="inlineStr">
        <is>
          <t>NULL</t>
        </is>
      </c>
      <c r="C1661" s="0" t="inlineStr">
        <is>
          <t>NULL</t>
        </is>
      </c>
      <c r="D1661" s="0" t="inlineStr">
        <is>
          <t>NULL</t>
        </is>
      </c>
      <c r="E1661" s="0" t="inlineStr">
        <is>
          <t>NULL</t>
        </is>
      </c>
      <c r="F1661" s="0" t="inlineStr">
        <is>
          <t>NULL</t>
        </is>
      </c>
      <c r="G1661" s="0" t="inlineStr">
        <is>
          <t>NULL</t>
        </is>
      </c>
      <c r="H1661" s="0" t="inlineStr">
        <is>
          <t>NULL</t>
        </is>
      </c>
      <c r="I1661" s="0" t="inlineStr">
        <is>
          <t>NULL</t>
        </is>
      </c>
      <c r="J1661" s="0" t="inlineStr">
        <is>
          <t>NULL</t>
        </is>
      </c>
      <c r="K1661" s="0" t="inlineStr">
        <is>
          <t>YES! 	 c_numeric18_2列源备映射正确，源端为numeric None位	期望更改为numeric(p,s)	实际备端为numeric None位</t>
        </is>
      </c>
    </row>
    <row r="1662">
      <c r="B1662" s="0" t="inlineStr">
        <is>
          <t>NULL</t>
        </is>
      </c>
      <c r="C1662" s="0" t="inlineStr">
        <is>
          <t>NULL</t>
        </is>
      </c>
      <c r="D1662" s="0" t="inlineStr">
        <is>
          <t>NULL</t>
        </is>
      </c>
      <c r="E1662" s="0" t="inlineStr">
        <is>
          <t>NULL</t>
        </is>
      </c>
      <c r="F1662" s="0" t="inlineStr">
        <is>
          <t>NULL</t>
        </is>
      </c>
      <c r="G1662" s="0" t="inlineStr">
        <is>
          <t>NULL</t>
        </is>
      </c>
      <c r="H1662" s="0" t="inlineStr">
        <is>
          <t>NULL</t>
        </is>
      </c>
      <c r="I1662" s="0" t="inlineStr">
        <is>
          <t>NULL</t>
        </is>
      </c>
      <c r="J1662" s="0" t="inlineStr">
        <is>
          <t>NULL</t>
        </is>
      </c>
      <c r="K1662" s="0" t="inlineStr">
        <is>
          <t>YES! 	 c_float列源备映射正确，源端为float None位	期望更改为float	实际备端为float None位</t>
        </is>
      </c>
    </row>
    <row r="1663">
      <c r="B1663" s="0" t="inlineStr">
        <is>
          <t>NULL</t>
        </is>
      </c>
      <c r="C1663" s="0" t="inlineStr">
        <is>
          <t>NULL</t>
        </is>
      </c>
      <c r="D1663" s="0" t="inlineStr">
        <is>
          <t>NULL</t>
        </is>
      </c>
      <c r="E1663" s="0" t="inlineStr">
        <is>
          <t>NULL</t>
        </is>
      </c>
      <c r="F1663" s="0" t="inlineStr">
        <is>
          <t>NULL</t>
        </is>
      </c>
      <c r="G1663" s="0" t="inlineStr">
        <is>
          <t>NULL</t>
        </is>
      </c>
      <c r="H1663" s="0" t="inlineStr">
        <is>
          <t>NULL</t>
        </is>
      </c>
      <c r="I1663" s="0" t="inlineStr">
        <is>
          <t>NULL</t>
        </is>
      </c>
      <c r="J1663" s="0" t="inlineStr">
        <is>
          <t>NULL</t>
        </is>
      </c>
      <c r="K1663" s="0" t="inlineStr">
        <is>
          <t>YES! 	 c_real列源备映射正确，源端为real None位	期望更改为real	实际备端为real None位</t>
        </is>
      </c>
    </row>
    <row r="1664">
      <c r="B1664" s="0" t="inlineStr">
        <is>
          <t>NULL</t>
        </is>
      </c>
      <c r="C1664" s="0" t="inlineStr">
        <is>
          <t>NULL</t>
        </is>
      </c>
      <c r="D1664" s="0" t="inlineStr">
        <is>
          <t>NULL</t>
        </is>
      </c>
      <c r="E1664" s="0" t="inlineStr">
        <is>
          <t>NULL</t>
        </is>
      </c>
      <c r="F1664" s="0" t="inlineStr">
        <is>
          <t>NULL</t>
        </is>
      </c>
      <c r="G1664" s="0" t="inlineStr">
        <is>
          <t>NULL</t>
        </is>
      </c>
      <c r="H1664" s="0" t="inlineStr">
        <is>
          <t>NULL</t>
        </is>
      </c>
      <c r="I1664" s="0" t="inlineStr">
        <is>
          <t>NULL</t>
        </is>
      </c>
      <c r="J1664" s="0" t="inlineStr">
        <is>
          <t>NULL</t>
        </is>
      </c>
      <c r="K1664" s="0" t="inlineStr">
        <is>
          <t>YES! 	 c_money列源备映射正确，源端为money None位	期望更改为money	实际备端为money None位</t>
        </is>
      </c>
    </row>
    <row r="1665">
      <c r="B1665" s="0" t="inlineStr">
        <is>
          <t>NULL</t>
        </is>
      </c>
      <c r="C1665" s="0" t="inlineStr">
        <is>
          <t>NULL</t>
        </is>
      </c>
      <c r="D1665" s="0" t="inlineStr">
        <is>
          <t>NULL</t>
        </is>
      </c>
      <c r="E1665" s="0" t="inlineStr">
        <is>
          <t>NULL</t>
        </is>
      </c>
      <c r="F1665" s="0" t="inlineStr">
        <is>
          <t>NULL</t>
        </is>
      </c>
      <c r="G1665" s="0" t="inlineStr">
        <is>
          <t>NULL</t>
        </is>
      </c>
      <c r="H1665" s="0" t="inlineStr">
        <is>
          <t>NULL</t>
        </is>
      </c>
      <c r="I1665" s="0" t="inlineStr">
        <is>
          <t>NULL</t>
        </is>
      </c>
      <c r="J1665" s="0" t="inlineStr">
        <is>
          <t>NULL</t>
        </is>
      </c>
      <c r="K1665" s="0" t="inlineStr">
        <is>
          <t>YES! 	 c_smallmoney列源备映射正确，源端为smallmoney None位	期望更改为smallmoney	实际备端为smallmoney None位</t>
        </is>
      </c>
    </row>
    <row r="1666">
      <c r="B1666" s="0" t="inlineStr">
        <is>
          <t>NULL</t>
        </is>
      </c>
      <c r="C1666" s="0" t="inlineStr">
        <is>
          <t>NULL</t>
        </is>
      </c>
      <c r="D1666" s="0" t="inlineStr">
        <is>
          <t>NULL</t>
        </is>
      </c>
      <c r="E1666" s="0" t="inlineStr">
        <is>
          <t>NULL</t>
        </is>
      </c>
      <c r="F1666" s="0" t="inlineStr">
        <is>
          <t>NULL</t>
        </is>
      </c>
      <c r="G1666" s="0" t="inlineStr">
        <is>
          <t>NULL</t>
        </is>
      </c>
      <c r="H1666" s="0" t="inlineStr">
        <is>
          <t>NULL</t>
        </is>
      </c>
      <c r="I1666" s="0" t="inlineStr">
        <is>
          <t>NULL</t>
        </is>
      </c>
      <c r="J1666" s="0" t="inlineStr">
        <is>
          <t>NULL</t>
        </is>
      </c>
      <c r="K1666" s="0" t="inlineStr">
        <is>
          <t>YES! 	 c_bit列源备映射正确，源端为bit None位	期望更改为bit	实际备端为bit None位</t>
        </is>
      </c>
    </row>
    <row r="1667">
      <c r="A1667" s="0" t="inlineStr">
        <is>
          <t>info_varbinary_max_dml_single_nopk</t>
        </is>
      </c>
      <c r="K1667" s="0" t="inlineStr">
        <is>
          <t>[0;34m info_varbinary_max_dml_single_nopk [0m源备字段数相同，源端字段：4 	备端字段4</t>
        </is>
      </c>
      <c r="W1667" s="0" t="inlineStr">
        <is>
          <t>YES 源备无差异</t>
        </is>
      </c>
      <c r="X1667" s="0">
        <f>A1667</f>
        <v/>
      </c>
    </row>
    <row r="1668">
      <c r="B1668" s="0" t="inlineStr">
        <is>
          <t>NULL</t>
        </is>
      </c>
      <c r="C1668" s="0" t="inlineStr">
        <is>
          <t>NULL</t>
        </is>
      </c>
      <c r="D1668" s="0" t="inlineStr">
        <is>
          <t>NULL</t>
        </is>
      </c>
      <c r="E1668" s="0" t="inlineStr">
        <is>
          <t>NULL</t>
        </is>
      </c>
      <c r="F1668" s="0" t="inlineStr">
        <is>
          <t>NULL</t>
        </is>
      </c>
      <c r="G1668" s="0" t="inlineStr">
        <is>
          <t>NULL</t>
        </is>
      </c>
      <c r="H1668" s="0" t="inlineStr">
        <is>
          <t>NULL</t>
        </is>
      </c>
      <c r="I1668" s="0" t="inlineStr">
        <is>
          <t>NULL</t>
        </is>
      </c>
      <c r="J1668" s="0" t="inlineStr">
        <is>
          <t>NULL</t>
        </is>
      </c>
      <c r="K1668" s="0" t="inlineStr">
        <is>
          <t>YES! 	 id列源备映射正确，源端为int None位	期望更改为int	实际备端为int None位</t>
        </is>
      </c>
    </row>
    <row r="1669">
      <c r="B1669" s="0" t="inlineStr">
        <is>
          <t>NULL</t>
        </is>
      </c>
      <c r="C1669" s="0" t="inlineStr">
        <is>
          <t>NULL</t>
        </is>
      </c>
      <c r="D1669" s="0" t="inlineStr">
        <is>
          <t>NULL</t>
        </is>
      </c>
      <c r="E1669" s="0" t="inlineStr">
        <is>
          <t>NULL</t>
        </is>
      </c>
      <c r="F1669" s="0" t="inlineStr">
        <is>
          <t>NULL</t>
        </is>
      </c>
      <c r="G1669" s="0" t="inlineStr">
        <is>
          <t>NULL</t>
        </is>
      </c>
      <c r="H1669" s="0" t="inlineStr">
        <is>
          <t>NULL</t>
        </is>
      </c>
      <c r="I1669" s="0" t="inlineStr">
        <is>
          <t>NULL</t>
        </is>
      </c>
      <c r="J1669" s="0" t="inlineStr">
        <is>
          <t>NULL</t>
        </is>
      </c>
      <c r="K1669" s="0" t="inlineStr">
        <is>
          <t>YES! 	 c_varbinary_max1列源备映射正确，源端为varbinary -1位	期望更改为varbinary(n)	实际备端为varbinary -1位</t>
        </is>
      </c>
    </row>
    <row r="1670">
      <c r="B1670" s="0" t="inlineStr">
        <is>
          <t>NULL</t>
        </is>
      </c>
      <c r="C1670" s="0" t="inlineStr">
        <is>
          <t>NULL</t>
        </is>
      </c>
      <c r="D1670" s="0" t="inlineStr">
        <is>
          <t>NULL</t>
        </is>
      </c>
      <c r="E1670" s="0" t="inlineStr">
        <is>
          <t>NULL</t>
        </is>
      </c>
      <c r="F1670" s="0" t="inlineStr">
        <is>
          <t>NULL</t>
        </is>
      </c>
      <c r="G1670" s="0" t="inlineStr">
        <is>
          <t>NULL</t>
        </is>
      </c>
      <c r="H1670" s="0" t="inlineStr">
        <is>
          <t>NULL</t>
        </is>
      </c>
      <c r="I1670" s="0" t="inlineStr">
        <is>
          <t>NULL</t>
        </is>
      </c>
      <c r="J1670" s="0" t="inlineStr">
        <is>
          <t>NULL</t>
        </is>
      </c>
      <c r="K1670" s="0" t="inlineStr">
        <is>
          <t>YES! 	 c_varbinary_max2列源备映射正确，源端为varbinary -1位	期望更改为varbinary(n)	实际备端为varbinary -1位</t>
        </is>
      </c>
    </row>
    <row r="1671">
      <c r="B1671" s="0" t="inlineStr">
        <is>
          <t>NULL</t>
        </is>
      </c>
      <c r="C1671" s="0" t="inlineStr">
        <is>
          <t>NULL</t>
        </is>
      </c>
      <c r="D1671" s="0" t="inlineStr">
        <is>
          <t>NULL</t>
        </is>
      </c>
      <c r="E1671" s="0" t="inlineStr">
        <is>
          <t>NULL</t>
        </is>
      </c>
      <c r="F1671" s="0" t="inlineStr">
        <is>
          <t>NULL</t>
        </is>
      </c>
      <c r="G1671" s="0" t="inlineStr">
        <is>
          <t>NULL</t>
        </is>
      </c>
      <c r="H1671" s="0" t="inlineStr">
        <is>
          <t>NULL</t>
        </is>
      </c>
      <c r="I1671" s="0" t="inlineStr">
        <is>
          <t>NULL</t>
        </is>
      </c>
      <c r="J1671" s="0" t="inlineStr">
        <is>
          <t>NULL</t>
        </is>
      </c>
      <c r="K1671" s="0" t="inlineStr">
        <is>
          <t>YES! 	 c_image3列源备映射正确，源端为image 2147483647位	期望更改为image	实际备端为image 2147483647位</t>
        </is>
      </c>
    </row>
    <row r="1672">
      <c r="A1672" s="0" t="inlineStr">
        <is>
          <t>info_varbinary_dml_single_pk</t>
        </is>
      </c>
      <c r="K1672" s="0" t="inlineStr">
        <is>
          <t>[0;34m info_varbinary_dml_single_pk [0m源备字段数相同，源端字段：4 	备端字段4</t>
        </is>
      </c>
      <c r="W1672" s="0" t="inlineStr">
        <is>
          <t>YES 源备无差异</t>
        </is>
      </c>
      <c r="X1672" s="0">
        <f>A1672</f>
        <v/>
      </c>
    </row>
    <row r="1673">
      <c r="B1673" s="0" t="inlineStr">
        <is>
          <t>YES</t>
        </is>
      </c>
      <c r="C1673" s="0" t="inlineStr">
        <is>
          <t>NULL</t>
        </is>
      </c>
      <c r="D1673" s="0" t="inlineStr">
        <is>
          <t>NULL</t>
        </is>
      </c>
      <c r="E1673" s="0" t="inlineStr">
        <is>
          <t>NULL</t>
        </is>
      </c>
      <c r="F1673" s="0" t="inlineStr">
        <is>
          <t>NULL</t>
        </is>
      </c>
      <c r="G1673" s="0" t="inlineStr">
        <is>
          <t>NULL</t>
        </is>
      </c>
      <c r="H1673" s="0" t="inlineStr">
        <is>
          <t>NULL</t>
        </is>
      </c>
      <c r="I1673" s="0" t="inlineStr">
        <is>
          <t>YES!PK__info_var__3213E83F5409CF8D</t>
        </is>
      </c>
      <c r="J1673" s="0" t="inlineStr">
        <is>
          <t>YES! 主键相关索引</t>
        </is>
      </c>
      <c r="K1673" s="0" t="inlineStr">
        <is>
          <t>YES! 	 id列源备映射正确，源端为int None位	期望更改为int	实际备端为int None位</t>
        </is>
      </c>
    </row>
    <row r="1674">
      <c r="B1674" s="0" t="inlineStr">
        <is>
          <t>NULL</t>
        </is>
      </c>
      <c r="C1674" s="0" t="inlineStr">
        <is>
          <t>NULL</t>
        </is>
      </c>
      <c r="D1674" s="0" t="inlineStr">
        <is>
          <t>NULL</t>
        </is>
      </c>
      <c r="E1674" s="0" t="inlineStr">
        <is>
          <t>NULL</t>
        </is>
      </c>
      <c r="F1674" s="0" t="inlineStr">
        <is>
          <t>NULL</t>
        </is>
      </c>
      <c r="G1674" s="0" t="inlineStr">
        <is>
          <t>NULL</t>
        </is>
      </c>
      <c r="H1674" s="0" t="inlineStr">
        <is>
          <t>NULL</t>
        </is>
      </c>
      <c r="I1674" s="0" t="inlineStr">
        <is>
          <t>NULL</t>
        </is>
      </c>
      <c r="J1674" s="0" t="inlineStr">
        <is>
          <t>NULL</t>
        </is>
      </c>
      <c r="K1674" s="0" t="inlineStr">
        <is>
          <t>YES! 	 c_varbinary列源备映射正确，源端为varbinary 1位	期望更改为varbinary(n)	实际备端为varbinary 1位</t>
        </is>
      </c>
    </row>
    <row r="1675">
      <c r="B1675" s="0" t="inlineStr">
        <is>
          <t>NULL</t>
        </is>
      </c>
      <c r="C1675" s="0" t="inlineStr">
        <is>
          <t>NULL</t>
        </is>
      </c>
      <c r="D1675" s="0" t="inlineStr">
        <is>
          <t>NULL</t>
        </is>
      </c>
      <c r="E1675" s="0" t="inlineStr">
        <is>
          <t>NULL</t>
        </is>
      </c>
      <c r="F1675" s="0" t="inlineStr">
        <is>
          <t>NULL</t>
        </is>
      </c>
      <c r="G1675" s="0" t="inlineStr">
        <is>
          <t>NULL</t>
        </is>
      </c>
      <c r="H1675" s="0" t="inlineStr">
        <is>
          <t>NULL</t>
        </is>
      </c>
      <c r="I1675" s="0" t="inlineStr">
        <is>
          <t>NULL</t>
        </is>
      </c>
      <c r="J1675" s="0" t="inlineStr">
        <is>
          <t>NULL</t>
        </is>
      </c>
      <c r="K1675" s="0" t="inlineStr">
        <is>
          <t>YES! 	 c_varbinary_100列源备映射正确，源端为varbinary 20位	期望更改为varbinary(n)	实际备端为varbinary 20位</t>
        </is>
      </c>
    </row>
    <row r="1676">
      <c r="B1676" s="0" t="inlineStr">
        <is>
          <t>NULL</t>
        </is>
      </c>
      <c r="C1676" s="0" t="inlineStr">
        <is>
          <t>NULL</t>
        </is>
      </c>
      <c r="D1676" s="0" t="inlineStr">
        <is>
          <t>NULL</t>
        </is>
      </c>
      <c r="E1676" s="0" t="inlineStr">
        <is>
          <t>NULL</t>
        </is>
      </c>
      <c r="F1676" s="0" t="inlineStr">
        <is>
          <t>NULL</t>
        </is>
      </c>
      <c r="G1676" s="0" t="inlineStr">
        <is>
          <t>NULL</t>
        </is>
      </c>
      <c r="H1676" s="0" t="inlineStr">
        <is>
          <t>NULL</t>
        </is>
      </c>
      <c r="I1676" s="0" t="inlineStr">
        <is>
          <t>NULL</t>
        </is>
      </c>
      <c r="J1676" s="0" t="inlineStr">
        <is>
          <t>NULL</t>
        </is>
      </c>
      <c r="K1676" s="0" t="inlineStr">
        <is>
          <t>YES! 	 c_varbinary_8000列源备映射正确，源端为varbinary 8000位	期望更改为varbinary(n)	实际备端为varbinary 8000位</t>
        </is>
      </c>
    </row>
    <row r="1677">
      <c r="A1677" s="0" t="inlineStr">
        <is>
          <t>info_uniqueidentifier_dml_single_pk_drp</t>
        </is>
      </c>
      <c r="K1677" s="0" t="inlineStr">
        <is>
          <t>[0;34m info_uniqueidentifier_dml_single_pk_drp [0m源备字段数相同，源端字段：2 	备端字段2</t>
        </is>
      </c>
      <c r="W1677" s="0" t="inlineStr">
        <is>
          <t>YES 源备无差异</t>
        </is>
      </c>
      <c r="X1677" s="0">
        <f>A1677</f>
        <v/>
      </c>
    </row>
    <row r="1678">
      <c r="B1678" s="0" t="inlineStr">
        <is>
          <t>YES</t>
        </is>
      </c>
      <c r="C1678" s="0" t="inlineStr">
        <is>
          <t>NULL</t>
        </is>
      </c>
      <c r="D1678" s="0" t="inlineStr">
        <is>
          <t>NULL</t>
        </is>
      </c>
      <c r="E1678" s="0" t="inlineStr">
        <is>
          <t>NULL</t>
        </is>
      </c>
      <c r="F1678" s="0" t="inlineStr">
        <is>
          <t>NULL</t>
        </is>
      </c>
      <c r="G1678" s="0" t="inlineStr">
        <is>
          <t>NULL</t>
        </is>
      </c>
      <c r="H1678" s="0" t="inlineStr">
        <is>
          <t>NULL</t>
        </is>
      </c>
      <c r="I1678" s="0" t="inlineStr">
        <is>
          <t>YES!PK__info_uni__3213E83F99C036A0</t>
        </is>
      </c>
      <c r="J1678" s="0" t="inlineStr">
        <is>
          <t>YES! 主键相关索引</t>
        </is>
      </c>
      <c r="K1678" s="0" t="inlineStr">
        <is>
          <t>YES! 	 id列源备映射正确，源端为int None位	期望更改为int	实际备端为int None位</t>
        </is>
      </c>
    </row>
    <row r="1679">
      <c r="B1679" s="0" t="inlineStr">
        <is>
          <t>NULL</t>
        </is>
      </c>
      <c r="C1679" s="0" t="inlineStr">
        <is>
          <t>NULL</t>
        </is>
      </c>
      <c r="D1679" s="0" t="inlineStr">
        <is>
          <t>NULL</t>
        </is>
      </c>
      <c r="E1679" s="0" t="inlineStr">
        <is>
          <t>NULL</t>
        </is>
      </c>
      <c r="F1679" s="0" t="inlineStr">
        <is>
          <t>NULL</t>
        </is>
      </c>
      <c r="G1679" s="0" t="inlineStr">
        <is>
          <t>NULL</t>
        </is>
      </c>
      <c r="H1679" s="0" t="inlineStr">
        <is>
          <t>NULL</t>
        </is>
      </c>
      <c r="I1679" s="0" t="inlineStr">
        <is>
          <t>NULL</t>
        </is>
      </c>
      <c r="J1679" s="0" t="inlineStr">
        <is>
          <t>NULL</t>
        </is>
      </c>
      <c r="K1679" s="0" t="inlineStr">
        <is>
          <t>YES! 	 c_uniqueidentifier列源备映射正确，源端为uniqueidentifier None位	期望更改为uniqueidentifier	实际备端为uniqueidentifier None位</t>
        </is>
      </c>
    </row>
    <row r="1680">
      <c r="A1680" s="0" t="inlineStr">
        <is>
          <t>info_int_dml_batch1_pk_irp2</t>
        </is>
      </c>
      <c r="K1680" s="0" t="inlineStr">
        <is>
          <t>[0;34m info_int_dml_batch1_pk_irp2 [0m源备字段数相同，源端字段：20 	备端字段20</t>
        </is>
      </c>
      <c r="W1680" s="0" t="inlineStr">
        <is>
          <t>YES 源备无差异</t>
        </is>
      </c>
      <c r="X1680" s="0">
        <f>A1680</f>
        <v/>
      </c>
    </row>
    <row r="1681">
      <c r="B1681" s="0" t="inlineStr">
        <is>
          <t>YES</t>
        </is>
      </c>
      <c r="C1681" s="0" t="inlineStr">
        <is>
          <t>NULL</t>
        </is>
      </c>
      <c r="D1681" s="0" t="inlineStr">
        <is>
          <t>NULL</t>
        </is>
      </c>
      <c r="E1681" s="0" t="inlineStr">
        <is>
          <t>NULL</t>
        </is>
      </c>
      <c r="F1681" s="0" t="inlineStr">
        <is>
          <t>NULL</t>
        </is>
      </c>
      <c r="G1681" s="0" t="inlineStr">
        <is>
          <t>NULL</t>
        </is>
      </c>
      <c r="H1681" s="0" t="inlineStr">
        <is>
          <t>NULL</t>
        </is>
      </c>
      <c r="I1681" s="0" t="inlineStr">
        <is>
          <t>YES!PK__info_int__3213E83F7FA2DB7C</t>
        </is>
      </c>
      <c r="J1681" s="0" t="inlineStr">
        <is>
          <t>YES! 主键相关索引</t>
        </is>
      </c>
      <c r="K1681" s="0" t="inlineStr">
        <is>
          <t>YES! 	 id列源备映射正确，源端为int None位	期望更改为int	实际备端为int None位</t>
        </is>
      </c>
    </row>
    <row r="1682">
      <c r="B1682" s="0" t="inlineStr">
        <is>
          <t>NULL</t>
        </is>
      </c>
      <c r="C1682" s="0" t="inlineStr">
        <is>
          <t>NULL</t>
        </is>
      </c>
      <c r="D1682" s="0" t="inlineStr">
        <is>
          <t>NULL</t>
        </is>
      </c>
      <c r="E1682" s="0" t="inlineStr">
        <is>
          <t>NULL</t>
        </is>
      </c>
      <c r="F1682" s="0" t="inlineStr">
        <is>
          <t>NULL</t>
        </is>
      </c>
      <c r="G1682" s="0" t="inlineStr">
        <is>
          <t>NULL</t>
        </is>
      </c>
      <c r="H1682" s="0" t="inlineStr">
        <is>
          <t>NULL</t>
        </is>
      </c>
      <c r="I1682" s="0" t="inlineStr">
        <is>
          <t>NULL</t>
        </is>
      </c>
      <c r="J1682" s="0" t="inlineStr">
        <is>
          <t>NULL</t>
        </is>
      </c>
      <c r="K1682" s="0" t="inlineStr">
        <is>
          <t>YES! 	 c_tinyint列源备映射正确，源端为tinyint None位	期望更改为tinyint	实际备端为tinyint None位</t>
        </is>
      </c>
    </row>
    <row r="1683">
      <c r="B1683" s="0" t="inlineStr">
        <is>
          <t>NULL</t>
        </is>
      </c>
      <c r="C1683" s="0" t="inlineStr">
        <is>
          <t>NULL</t>
        </is>
      </c>
      <c r="D1683" s="0" t="inlineStr">
        <is>
          <t>NULL</t>
        </is>
      </c>
      <c r="E1683" s="0" t="inlineStr">
        <is>
          <t>NULL</t>
        </is>
      </c>
      <c r="F1683" s="0" t="inlineStr">
        <is>
          <t>NULL</t>
        </is>
      </c>
      <c r="G1683" s="0" t="inlineStr">
        <is>
          <t>NULL</t>
        </is>
      </c>
      <c r="H1683" s="0" t="inlineStr">
        <is>
          <t>NULL</t>
        </is>
      </c>
      <c r="I1683" s="0" t="inlineStr">
        <is>
          <t>NULL</t>
        </is>
      </c>
      <c r="J1683" s="0" t="inlineStr">
        <is>
          <t>NULL</t>
        </is>
      </c>
      <c r="K1683" s="0" t="inlineStr">
        <is>
          <t>YES! 	 c_smallint列源备映射正确，源端为smallint None位	期望更改为smallint	实际备端为smallint None位</t>
        </is>
      </c>
    </row>
    <row r="1684">
      <c r="B1684" s="0" t="inlineStr">
        <is>
          <t>NULL</t>
        </is>
      </c>
      <c r="C1684" s="0" t="inlineStr">
        <is>
          <t>NULL</t>
        </is>
      </c>
      <c r="D1684" s="0" t="inlineStr">
        <is>
          <t>NULL</t>
        </is>
      </c>
      <c r="E1684" s="0" t="inlineStr">
        <is>
          <t>NULL</t>
        </is>
      </c>
      <c r="F1684" s="0" t="inlineStr">
        <is>
          <t>NULL</t>
        </is>
      </c>
      <c r="G1684" s="0" t="inlineStr">
        <is>
          <t>NULL</t>
        </is>
      </c>
      <c r="H1684" s="0" t="inlineStr">
        <is>
          <t>NULL</t>
        </is>
      </c>
      <c r="I1684" s="0" t="inlineStr">
        <is>
          <t>NULL</t>
        </is>
      </c>
      <c r="J1684" s="0" t="inlineStr">
        <is>
          <t>NULL</t>
        </is>
      </c>
      <c r="K1684" s="0" t="inlineStr">
        <is>
          <t>YES! 	 c_int列源备映射正确，源端为int None位	期望更改为int	实际备端为int None位</t>
        </is>
      </c>
    </row>
    <row r="1685">
      <c r="B1685" s="0" t="inlineStr">
        <is>
          <t>NULL</t>
        </is>
      </c>
      <c r="C1685" s="0" t="inlineStr">
        <is>
          <t>NULL</t>
        </is>
      </c>
      <c r="D1685" s="0" t="inlineStr">
        <is>
          <t>NULL</t>
        </is>
      </c>
      <c r="E1685" s="0" t="inlineStr">
        <is>
          <t>NULL</t>
        </is>
      </c>
      <c r="F1685" s="0" t="inlineStr">
        <is>
          <t>NULL</t>
        </is>
      </c>
      <c r="G1685" s="0" t="inlineStr">
        <is>
          <t>NULL</t>
        </is>
      </c>
      <c r="H1685" s="0" t="inlineStr">
        <is>
          <t>NULL</t>
        </is>
      </c>
      <c r="I1685" s="0" t="inlineStr">
        <is>
          <t>NULL</t>
        </is>
      </c>
      <c r="J1685" s="0" t="inlineStr">
        <is>
          <t>NULL</t>
        </is>
      </c>
      <c r="K1685" s="0" t="inlineStr">
        <is>
          <t>YES! 	 c_bigint列源备映射正确，源端为bigint None位	期望更改为bigint	实际备端为bigint None位</t>
        </is>
      </c>
    </row>
    <row r="1686">
      <c r="B1686" s="0" t="inlineStr">
        <is>
          <t>NULL</t>
        </is>
      </c>
      <c r="C1686" s="0" t="inlineStr">
        <is>
          <t>NULL</t>
        </is>
      </c>
      <c r="D1686" s="0" t="inlineStr">
        <is>
          <t>NULL</t>
        </is>
      </c>
      <c r="E1686" s="0" t="inlineStr">
        <is>
          <t>NULL</t>
        </is>
      </c>
      <c r="F1686" s="0" t="inlineStr">
        <is>
          <t>NULL</t>
        </is>
      </c>
      <c r="G1686" s="0" t="inlineStr">
        <is>
          <t>NULL</t>
        </is>
      </c>
      <c r="H1686" s="0" t="inlineStr">
        <is>
          <t>NULL</t>
        </is>
      </c>
      <c r="I1686" s="0" t="inlineStr">
        <is>
          <t>NULL</t>
        </is>
      </c>
      <c r="J1686" s="0" t="inlineStr">
        <is>
          <t>NULL</t>
        </is>
      </c>
      <c r="K1686" s="0" t="inlineStr">
        <is>
          <t>YES! 	 c_decimal列源备映射正确，源端为decimal None位	期望更改为decimal(p,s)	实际备端为decimal None位</t>
        </is>
      </c>
    </row>
    <row r="1687">
      <c r="B1687" s="0" t="inlineStr">
        <is>
          <t>NULL</t>
        </is>
      </c>
      <c r="C1687" s="0" t="inlineStr">
        <is>
          <t>NULL</t>
        </is>
      </c>
      <c r="D1687" s="0" t="inlineStr">
        <is>
          <t>NULL</t>
        </is>
      </c>
      <c r="E1687" s="0" t="inlineStr">
        <is>
          <t>NULL</t>
        </is>
      </c>
      <c r="F1687" s="0" t="inlineStr">
        <is>
          <t>NULL</t>
        </is>
      </c>
      <c r="G1687" s="0" t="inlineStr">
        <is>
          <t>NULL</t>
        </is>
      </c>
      <c r="H1687" s="0" t="inlineStr">
        <is>
          <t>NULL</t>
        </is>
      </c>
      <c r="I1687" s="0" t="inlineStr">
        <is>
          <t>NULL</t>
        </is>
      </c>
      <c r="J1687" s="0" t="inlineStr">
        <is>
          <t>NULL</t>
        </is>
      </c>
      <c r="K1687" s="0" t="inlineStr">
        <is>
          <t>YES! 	 c_decimal38列源备映射正确，源端为decimal None位	期望更改为decimal(p,s)	实际备端为decimal None位</t>
        </is>
      </c>
    </row>
    <row r="1688">
      <c r="B1688" s="0" t="inlineStr">
        <is>
          <t>NULL</t>
        </is>
      </c>
      <c r="C1688" s="0" t="inlineStr">
        <is>
          <t>NULL</t>
        </is>
      </c>
      <c r="D1688" s="0" t="inlineStr">
        <is>
          <t>NULL</t>
        </is>
      </c>
      <c r="E1688" s="0" t="inlineStr">
        <is>
          <t>NULL</t>
        </is>
      </c>
      <c r="F1688" s="0" t="inlineStr">
        <is>
          <t>NULL</t>
        </is>
      </c>
      <c r="G1688" s="0" t="inlineStr">
        <is>
          <t>NULL</t>
        </is>
      </c>
      <c r="H1688" s="0" t="inlineStr">
        <is>
          <t>NULL</t>
        </is>
      </c>
      <c r="I1688" s="0" t="inlineStr">
        <is>
          <t>NULL</t>
        </is>
      </c>
      <c r="J1688" s="0" t="inlineStr">
        <is>
          <t>NULL</t>
        </is>
      </c>
      <c r="K1688" s="0" t="inlineStr">
        <is>
          <t>YES! 	 c_decimal38_38列源备映射正确，源端为decimal None位	期望更改为decimal(p,s)	实际备端为decimal None位</t>
        </is>
      </c>
    </row>
    <row r="1689">
      <c r="B1689" s="0" t="inlineStr">
        <is>
          <t>NULL</t>
        </is>
      </c>
      <c r="C1689" s="0" t="inlineStr">
        <is>
          <t>NULL</t>
        </is>
      </c>
      <c r="D1689" s="0" t="inlineStr">
        <is>
          <t>NULL</t>
        </is>
      </c>
      <c r="E1689" s="0" t="inlineStr">
        <is>
          <t>NULL</t>
        </is>
      </c>
      <c r="F1689" s="0" t="inlineStr">
        <is>
          <t>NULL</t>
        </is>
      </c>
      <c r="G1689" s="0" t="inlineStr">
        <is>
          <t>NULL</t>
        </is>
      </c>
      <c r="H1689" s="0" t="inlineStr">
        <is>
          <t>NULL</t>
        </is>
      </c>
      <c r="I1689" s="0" t="inlineStr">
        <is>
          <t>NULL</t>
        </is>
      </c>
      <c r="J1689" s="0" t="inlineStr">
        <is>
          <t>NULL</t>
        </is>
      </c>
      <c r="K1689" s="0" t="inlineStr">
        <is>
          <t>YES! 	 c_decimal38_10列源备映射正确，源端为decimal None位	期望更改为decimal(p,s)	实际备端为decimal None位</t>
        </is>
      </c>
    </row>
    <row r="1690">
      <c r="B1690" s="0" t="inlineStr">
        <is>
          <t>NULL</t>
        </is>
      </c>
      <c r="C1690" s="0" t="inlineStr">
        <is>
          <t>NULL</t>
        </is>
      </c>
      <c r="D1690" s="0" t="inlineStr">
        <is>
          <t>NULL</t>
        </is>
      </c>
      <c r="E1690" s="0" t="inlineStr">
        <is>
          <t>NULL</t>
        </is>
      </c>
      <c r="F1690" s="0" t="inlineStr">
        <is>
          <t>NULL</t>
        </is>
      </c>
      <c r="G1690" s="0" t="inlineStr">
        <is>
          <t>NULL</t>
        </is>
      </c>
      <c r="H1690" s="0" t="inlineStr">
        <is>
          <t>NULL</t>
        </is>
      </c>
      <c r="I1690" s="0" t="inlineStr">
        <is>
          <t>NULL</t>
        </is>
      </c>
      <c r="J1690" s="0" t="inlineStr">
        <is>
          <t>NULL</t>
        </is>
      </c>
      <c r="K1690" s="0" t="inlineStr">
        <is>
          <t>YES! 	 c_decimal19_4列源备映射正确，源端为decimal None位	期望更改为decimal(p,s)	实际备端为decimal None位</t>
        </is>
      </c>
    </row>
    <row r="1691">
      <c r="B1691" s="0" t="inlineStr">
        <is>
          <t>NULL</t>
        </is>
      </c>
      <c r="C1691" s="0" t="inlineStr">
        <is>
          <t>NULL</t>
        </is>
      </c>
      <c r="D1691" s="0" t="inlineStr">
        <is>
          <t>NULL</t>
        </is>
      </c>
      <c r="E1691" s="0" t="inlineStr">
        <is>
          <t>NULL</t>
        </is>
      </c>
      <c r="F1691" s="0" t="inlineStr">
        <is>
          <t>NULL</t>
        </is>
      </c>
      <c r="G1691" s="0" t="inlineStr">
        <is>
          <t>NULL</t>
        </is>
      </c>
      <c r="H1691" s="0" t="inlineStr">
        <is>
          <t>NULL</t>
        </is>
      </c>
      <c r="I1691" s="0" t="inlineStr">
        <is>
          <t>NULL</t>
        </is>
      </c>
      <c r="J1691" s="0" t="inlineStr">
        <is>
          <t>NULL</t>
        </is>
      </c>
      <c r="K1691" s="0" t="inlineStr">
        <is>
          <t>YES! 	 c_numeric列源备映射正确，源端为numeric None位	期望更改为numeric(p,s)	实际备端为numeric None位</t>
        </is>
      </c>
    </row>
    <row r="1692">
      <c r="B1692" s="0" t="inlineStr">
        <is>
          <t>NULL</t>
        </is>
      </c>
      <c r="C1692" s="0" t="inlineStr">
        <is>
          <t>NULL</t>
        </is>
      </c>
      <c r="D1692" s="0" t="inlineStr">
        <is>
          <t>NULL</t>
        </is>
      </c>
      <c r="E1692" s="0" t="inlineStr">
        <is>
          <t>NULL</t>
        </is>
      </c>
      <c r="F1692" s="0" t="inlineStr">
        <is>
          <t>NULL</t>
        </is>
      </c>
      <c r="G1692" s="0" t="inlineStr">
        <is>
          <t>NULL</t>
        </is>
      </c>
      <c r="H1692" s="0" t="inlineStr">
        <is>
          <t>NULL</t>
        </is>
      </c>
      <c r="I1692" s="0" t="inlineStr">
        <is>
          <t>NULL</t>
        </is>
      </c>
      <c r="J1692" s="0" t="inlineStr">
        <is>
          <t>NULL</t>
        </is>
      </c>
      <c r="K1692" s="0" t="inlineStr">
        <is>
          <t>YES! 	 c_numeric38列源备映射正确，源端为numeric None位	期望更改为numeric(p,s)	实际备端为numeric None位</t>
        </is>
      </c>
    </row>
    <row r="1693">
      <c r="B1693" s="0" t="inlineStr">
        <is>
          <t>NULL</t>
        </is>
      </c>
      <c r="C1693" s="0" t="inlineStr">
        <is>
          <t>NULL</t>
        </is>
      </c>
      <c r="D1693" s="0" t="inlineStr">
        <is>
          <t>NULL</t>
        </is>
      </c>
      <c r="E1693" s="0" t="inlineStr">
        <is>
          <t>NULL</t>
        </is>
      </c>
      <c r="F1693" s="0" t="inlineStr">
        <is>
          <t>NULL</t>
        </is>
      </c>
      <c r="G1693" s="0" t="inlineStr">
        <is>
          <t>NULL</t>
        </is>
      </c>
      <c r="H1693" s="0" t="inlineStr">
        <is>
          <t>NULL</t>
        </is>
      </c>
      <c r="I1693" s="0" t="inlineStr">
        <is>
          <t>NULL</t>
        </is>
      </c>
      <c r="J1693" s="0" t="inlineStr">
        <is>
          <t>NULL</t>
        </is>
      </c>
      <c r="K1693" s="0" t="inlineStr">
        <is>
          <t>YES! 	 c_numeric38_38列源备映射正确，源端为numeric None位	期望更改为numeric(p,s)	实际备端为numeric None位</t>
        </is>
      </c>
    </row>
    <row r="1694">
      <c r="B1694" s="0" t="inlineStr">
        <is>
          <t>NULL</t>
        </is>
      </c>
      <c r="C1694" s="0" t="inlineStr">
        <is>
          <t>NULL</t>
        </is>
      </c>
      <c r="D1694" s="0" t="inlineStr">
        <is>
          <t>NULL</t>
        </is>
      </c>
      <c r="E1694" s="0" t="inlineStr">
        <is>
          <t>NULL</t>
        </is>
      </c>
      <c r="F1694" s="0" t="inlineStr">
        <is>
          <t>NULL</t>
        </is>
      </c>
      <c r="G1694" s="0" t="inlineStr">
        <is>
          <t>NULL</t>
        </is>
      </c>
      <c r="H1694" s="0" t="inlineStr">
        <is>
          <t>NULL</t>
        </is>
      </c>
      <c r="I1694" s="0" t="inlineStr">
        <is>
          <t>NULL</t>
        </is>
      </c>
      <c r="J1694" s="0" t="inlineStr">
        <is>
          <t>NULL</t>
        </is>
      </c>
      <c r="K1694" s="0" t="inlineStr">
        <is>
          <t>YES! 	 c_numeric38_10列源备映射正确，源端为numeric None位	期望更改为numeric(p,s)	实际备端为numeric None位</t>
        </is>
      </c>
    </row>
    <row r="1695">
      <c r="B1695" s="0" t="inlineStr">
        <is>
          <t>NULL</t>
        </is>
      </c>
      <c r="C1695" s="0" t="inlineStr">
        <is>
          <t>NULL</t>
        </is>
      </c>
      <c r="D1695" s="0" t="inlineStr">
        <is>
          <t>NULL</t>
        </is>
      </c>
      <c r="E1695" s="0" t="inlineStr">
        <is>
          <t>NULL</t>
        </is>
      </c>
      <c r="F1695" s="0" t="inlineStr">
        <is>
          <t>NULL</t>
        </is>
      </c>
      <c r="G1695" s="0" t="inlineStr">
        <is>
          <t>NULL</t>
        </is>
      </c>
      <c r="H1695" s="0" t="inlineStr">
        <is>
          <t>NULL</t>
        </is>
      </c>
      <c r="I1695" s="0" t="inlineStr">
        <is>
          <t>NULL</t>
        </is>
      </c>
      <c r="J1695" s="0" t="inlineStr">
        <is>
          <t>NULL</t>
        </is>
      </c>
      <c r="K1695" s="0" t="inlineStr">
        <is>
          <t>YES! 	 c_numeric18_2列源备映射正确，源端为numeric None位	期望更改为numeric(p,s)	实际备端为numeric None位</t>
        </is>
      </c>
    </row>
    <row r="1696">
      <c r="B1696" s="0" t="inlineStr">
        <is>
          <t>NULL</t>
        </is>
      </c>
      <c r="C1696" s="0" t="inlineStr">
        <is>
          <t>NULL</t>
        </is>
      </c>
      <c r="D1696" s="0" t="inlineStr">
        <is>
          <t>NULL</t>
        </is>
      </c>
      <c r="E1696" s="0" t="inlineStr">
        <is>
          <t>NULL</t>
        </is>
      </c>
      <c r="F1696" s="0" t="inlineStr">
        <is>
          <t>NULL</t>
        </is>
      </c>
      <c r="G1696" s="0" t="inlineStr">
        <is>
          <t>NULL</t>
        </is>
      </c>
      <c r="H1696" s="0" t="inlineStr">
        <is>
          <t>NULL</t>
        </is>
      </c>
      <c r="I1696" s="0" t="inlineStr">
        <is>
          <t>NULL</t>
        </is>
      </c>
      <c r="J1696" s="0" t="inlineStr">
        <is>
          <t>NULL</t>
        </is>
      </c>
      <c r="K1696" s="0" t="inlineStr">
        <is>
          <t>YES! 	 c_float列源备映射正确，源端为float None位	期望更改为float	实际备端为float None位</t>
        </is>
      </c>
    </row>
    <row r="1697">
      <c r="B1697" s="0" t="inlineStr">
        <is>
          <t>NULL</t>
        </is>
      </c>
      <c r="C1697" s="0" t="inlineStr">
        <is>
          <t>NULL</t>
        </is>
      </c>
      <c r="D1697" s="0" t="inlineStr">
        <is>
          <t>NULL</t>
        </is>
      </c>
      <c r="E1697" s="0" t="inlineStr">
        <is>
          <t>NULL</t>
        </is>
      </c>
      <c r="F1697" s="0" t="inlineStr">
        <is>
          <t>NULL</t>
        </is>
      </c>
      <c r="G1697" s="0" t="inlineStr">
        <is>
          <t>NULL</t>
        </is>
      </c>
      <c r="H1697" s="0" t="inlineStr">
        <is>
          <t>NULL</t>
        </is>
      </c>
      <c r="I1697" s="0" t="inlineStr">
        <is>
          <t>NULL</t>
        </is>
      </c>
      <c r="J1697" s="0" t="inlineStr">
        <is>
          <t>NULL</t>
        </is>
      </c>
      <c r="K1697" s="0" t="inlineStr">
        <is>
          <t>YES! 	 c_real列源备映射正确，源端为real None位	期望更改为real	实际备端为real None位</t>
        </is>
      </c>
    </row>
    <row r="1698">
      <c r="B1698" s="0" t="inlineStr">
        <is>
          <t>NULL</t>
        </is>
      </c>
      <c r="C1698" s="0" t="inlineStr">
        <is>
          <t>NULL</t>
        </is>
      </c>
      <c r="D1698" s="0" t="inlineStr">
        <is>
          <t>NULL</t>
        </is>
      </c>
      <c r="E1698" s="0" t="inlineStr">
        <is>
          <t>NULL</t>
        </is>
      </c>
      <c r="F1698" s="0" t="inlineStr">
        <is>
          <t>NULL</t>
        </is>
      </c>
      <c r="G1698" s="0" t="inlineStr">
        <is>
          <t>NULL</t>
        </is>
      </c>
      <c r="H1698" s="0" t="inlineStr">
        <is>
          <t>NULL</t>
        </is>
      </c>
      <c r="I1698" s="0" t="inlineStr">
        <is>
          <t>NULL</t>
        </is>
      </c>
      <c r="J1698" s="0" t="inlineStr">
        <is>
          <t>NULL</t>
        </is>
      </c>
      <c r="K1698" s="0" t="inlineStr">
        <is>
          <t>YES! 	 c_money列源备映射正确，源端为money None位	期望更改为money	实际备端为money None位</t>
        </is>
      </c>
    </row>
    <row r="1699">
      <c r="B1699" s="0" t="inlineStr">
        <is>
          <t>NULL</t>
        </is>
      </c>
      <c r="C1699" s="0" t="inlineStr">
        <is>
          <t>NULL</t>
        </is>
      </c>
      <c r="D1699" s="0" t="inlineStr">
        <is>
          <t>NULL</t>
        </is>
      </c>
      <c r="E1699" s="0" t="inlineStr">
        <is>
          <t>NULL</t>
        </is>
      </c>
      <c r="F1699" s="0" t="inlineStr">
        <is>
          <t>NULL</t>
        </is>
      </c>
      <c r="G1699" s="0" t="inlineStr">
        <is>
          <t>NULL</t>
        </is>
      </c>
      <c r="H1699" s="0" t="inlineStr">
        <is>
          <t>NULL</t>
        </is>
      </c>
      <c r="I1699" s="0" t="inlineStr">
        <is>
          <t>NULL</t>
        </is>
      </c>
      <c r="J1699" s="0" t="inlineStr">
        <is>
          <t>NULL</t>
        </is>
      </c>
      <c r="K1699" s="0" t="inlineStr">
        <is>
          <t>YES! 	 c_smallmoney列源备映射正确，源端为smallmoney None位	期望更改为smallmoney	实际备端为smallmoney None位</t>
        </is>
      </c>
    </row>
    <row r="1700">
      <c r="B1700" s="0" t="inlineStr">
        <is>
          <t>NULL</t>
        </is>
      </c>
      <c r="C1700" s="0" t="inlineStr">
        <is>
          <t>NULL</t>
        </is>
      </c>
      <c r="D1700" s="0" t="inlineStr">
        <is>
          <t>NULL</t>
        </is>
      </c>
      <c r="E1700" s="0" t="inlineStr">
        <is>
          <t>NULL</t>
        </is>
      </c>
      <c r="F1700" s="0" t="inlineStr">
        <is>
          <t>NULL</t>
        </is>
      </c>
      <c r="G1700" s="0" t="inlineStr">
        <is>
          <t>NULL</t>
        </is>
      </c>
      <c r="H1700" s="0" t="inlineStr">
        <is>
          <t>NULL</t>
        </is>
      </c>
      <c r="I1700" s="0" t="inlineStr">
        <is>
          <t>NULL</t>
        </is>
      </c>
      <c r="J1700" s="0" t="inlineStr">
        <is>
          <t>NULL</t>
        </is>
      </c>
      <c r="K1700" s="0" t="inlineStr">
        <is>
          <t>YES! 	 c_bit列源备映射正确，源端为bit None位	期望更改为bit	实际备端为bit None位</t>
        </is>
      </c>
    </row>
    <row r="1701">
      <c r="A1701" s="0" t="inlineStr">
        <is>
          <t>info_varbinary_max_dml_single_pk_irp</t>
        </is>
      </c>
      <c r="K1701" s="0" t="inlineStr">
        <is>
          <t>[0;34m info_varbinary_max_dml_single_pk_irp [0m源备字段数相同，源端字段：4 	备端字段4</t>
        </is>
      </c>
      <c r="W1701" s="0" t="inlineStr">
        <is>
          <t>YES 源备无差异</t>
        </is>
      </c>
      <c r="X1701" s="0">
        <f>A1701</f>
        <v/>
      </c>
    </row>
    <row r="1702">
      <c r="B1702" s="0" t="inlineStr">
        <is>
          <t>YES</t>
        </is>
      </c>
      <c r="C1702" s="0" t="inlineStr">
        <is>
          <t>NULL</t>
        </is>
      </c>
      <c r="D1702" s="0" t="inlineStr">
        <is>
          <t>NULL</t>
        </is>
      </c>
      <c r="E1702" s="0" t="inlineStr">
        <is>
          <t>NULL</t>
        </is>
      </c>
      <c r="F1702" s="0" t="inlineStr">
        <is>
          <t>NULL</t>
        </is>
      </c>
      <c r="G1702" s="0" t="inlineStr">
        <is>
          <t>NULL</t>
        </is>
      </c>
      <c r="H1702" s="0" t="inlineStr">
        <is>
          <t>NULL</t>
        </is>
      </c>
      <c r="I1702" s="0" t="inlineStr">
        <is>
          <t>YES!PK__info_var__3213E83F00D7D29D</t>
        </is>
      </c>
      <c r="J1702" s="0" t="inlineStr">
        <is>
          <t>YES! 主键相关索引</t>
        </is>
      </c>
      <c r="K1702" s="0" t="inlineStr">
        <is>
          <t>YES! 	 id列源备映射正确，源端为int None位	期望更改为int	实际备端为int None位</t>
        </is>
      </c>
    </row>
    <row r="1703">
      <c r="B1703" s="0" t="inlineStr">
        <is>
          <t>NULL</t>
        </is>
      </c>
      <c r="C1703" s="0" t="inlineStr">
        <is>
          <t>NULL</t>
        </is>
      </c>
      <c r="D1703" s="0" t="inlineStr">
        <is>
          <t>NULL</t>
        </is>
      </c>
      <c r="E1703" s="0" t="inlineStr">
        <is>
          <t>NULL</t>
        </is>
      </c>
      <c r="F1703" s="0" t="inlineStr">
        <is>
          <t>NULL</t>
        </is>
      </c>
      <c r="G1703" s="0" t="inlineStr">
        <is>
          <t>NULL</t>
        </is>
      </c>
      <c r="H1703" s="0" t="inlineStr">
        <is>
          <t>NULL</t>
        </is>
      </c>
      <c r="I1703" s="0" t="inlineStr">
        <is>
          <t>NULL</t>
        </is>
      </c>
      <c r="J1703" s="0" t="inlineStr">
        <is>
          <t>NULL</t>
        </is>
      </c>
      <c r="K1703" s="0" t="inlineStr">
        <is>
          <t>YES! 	 c_varbinary_max1列源备映射正确，源端为varbinary -1位	期望更改为varbinary(n)	实际备端为varbinary -1位</t>
        </is>
      </c>
    </row>
    <row r="1704">
      <c r="B1704" s="0" t="inlineStr">
        <is>
          <t>NULL</t>
        </is>
      </c>
      <c r="C1704" s="0" t="inlineStr">
        <is>
          <t>NULL</t>
        </is>
      </c>
      <c r="D1704" s="0" t="inlineStr">
        <is>
          <t>NULL</t>
        </is>
      </c>
      <c r="E1704" s="0" t="inlineStr">
        <is>
          <t>NULL</t>
        </is>
      </c>
      <c r="F1704" s="0" t="inlineStr">
        <is>
          <t>NULL</t>
        </is>
      </c>
      <c r="G1704" s="0" t="inlineStr">
        <is>
          <t>NULL</t>
        </is>
      </c>
      <c r="H1704" s="0" t="inlineStr">
        <is>
          <t>NULL</t>
        </is>
      </c>
      <c r="I1704" s="0" t="inlineStr">
        <is>
          <t>NULL</t>
        </is>
      </c>
      <c r="J1704" s="0" t="inlineStr">
        <is>
          <t>NULL</t>
        </is>
      </c>
      <c r="K1704" s="0" t="inlineStr">
        <is>
          <t>YES! 	 c_varbinary_max2列源备映射正确，源端为varbinary -1位	期望更改为varbinary(n)	实际备端为varbinary -1位</t>
        </is>
      </c>
    </row>
    <row r="1705">
      <c r="B1705" s="0" t="inlineStr">
        <is>
          <t>NULL</t>
        </is>
      </c>
      <c r="C1705" s="0" t="inlineStr">
        <is>
          <t>NULL</t>
        </is>
      </c>
      <c r="D1705" s="0" t="inlineStr">
        <is>
          <t>NULL</t>
        </is>
      </c>
      <c r="E1705" s="0" t="inlineStr">
        <is>
          <t>NULL</t>
        </is>
      </c>
      <c r="F1705" s="0" t="inlineStr">
        <is>
          <t>NULL</t>
        </is>
      </c>
      <c r="G1705" s="0" t="inlineStr">
        <is>
          <t>NULL</t>
        </is>
      </c>
      <c r="H1705" s="0" t="inlineStr">
        <is>
          <t>NULL</t>
        </is>
      </c>
      <c r="I1705" s="0" t="inlineStr">
        <is>
          <t>NULL</t>
        </is>
      </c>
      <c r="J1705" s="0" t="inlineStr">
        <is>
          <t>NULL</t>
        </is>
      </c>
      <c r="K1705" s="0" t="inlineStr">
        <is>
          <t>YES! 	 c_image3列源备映射正确，源端为image 2147483647位	期望更改为image	实际备端为image 2147483647位</t>
        </is>
      </c>
    </row>
    <row r="1706">
      <c r="A1706" s="0" t="inlineStr">
        <is>
          <t>info_int_dml_batch2_pk_irp1</t>
        </is>
      </c>
      <c r="K1706" s="0" t="inlineStr">
        <is>
          <t>[0;34m info_int_dml_batch2_pk_irp1 [0m源备字段数相同，源端字段：20 	备端字段20</t>
        </is>
      </c>
      <c r="W1706" s="0" t="inlineStr">
        <is>
          <t>YES 源备无差异</t>
        </is>
      </c>
      <c r="X1706" s="0">
        <f>A1706</f>
        <v/>
      </c>
    </row>
    <row r="1707">
      <c r="B1707" s="0" t="inlineStr">
        <is>
          <t>YES</t>
        </is>
      </c>
      <c r="C1707" s="0" t="inlineStr">
        <is>
          <t>NULL</t>
        </is>
      </c>
      <c r="D1707" s="0" t="inlineStr">
        <is>
          <t>NULL</t>
        </is>
      </c>
      <c r="E1707" s="0" t="inlineStr">
        <is>
          <t>NULL</t>
        </is>
      </c>
      <c r="F1707" s="0" t="inlineStr">
        <is>
          <t>NULL</t>
        </is>
      </c>
      <c r="G1707" s="0" t="inlineStr">
        <is>
          <t>NULL</t>
        </is>
      </c>
      <c r="H1707" s="0" t="inlineStr">
        <is>
          <t>NULL</t>
        </is>
      </c>
      <c r="I1707" s="0" t="inlineStr">
        <is>
          <t>YES!PK__info_int__3213E83FC4381871</t>
        </is>
      </c>
      <c r="J1707" s="0" t="inlineStr">
        <is>
          <t>YES! 主键相关索引</t>
        </is>
      </c>
      <c r="K1707" s="0" t="inlineStr">
        <is>
          <t>YES! 	 id列源备映射正确，源端为int None位	期望更改为int	实际备端为int None位</t>
        </is>
      </c>
    </row>
    <row r="1708">
      <c r="B1708" s="0" t="inlineStr">
        <is>
          <t>NULL</t>
        </is>
      </c>
      <c r="C1708" s="0" t="inlineStr">
        <is>
          <t>NULL</t>
        </is>
      </c>
      <c r="D1708" s="0" t="inlineStr">
        <is>
          <t>NULL</t>
        </is>
      </c>
      <c r="E1708" s="0" t="inlineStr">
        <is>
          <t>NULL</t>
        </is>
      </c>
      <c r="F1708" s="0" t="inlineStr">
        <is>
          <t>NULL</t>
        </is>
      </c>
      <c r="G1708" s="0" t="inlineStr">
        <is>
          <t>NULL</t>
        </is>
      </c>
      <c r="H1708" s="0" t="inlineStr">
        <is>
          <t>NULL</t>
        </is>
      </c>
      <c r="I1708" s="0" t="inlineStr">
        <is>
          <t>NULL</t>
        </is>
      </c>
      <c r="J1708" s="0" t="inlineStr">
        <is>
          <t>NULL</t>
        </is>
      </c>
      <c r="K1708" s="0" t="inlineStr">
        <is>
          <t>YES! 	 c_tinyint列源备映射正确，源端为tinyint None位	期望更改为tinyint	实际备端为tinyint None位</t>
        </is>
      </c>
    </row>
    <row r="1709">
      <c r="B1709" s="0" t="inlineStr">
        <is>
          <t>NULL</t>
        </is>
      </c>
      <c r="C1709" s="0" t="inlineStr">
        <is>
          <t>NULL</t>
        </is>
      </c>
      <c r="D1709" s="0" t="inlineStr">
        <is>
          <t>NULL</t>
        </is>
      </c>
      <c r="E1709" s="0" t="inlineStr">
        <is>
          <t>NULL</t>
        </is>
      </c>
      <c r="F1709" s="0" t="inlineStr">
        <is>
          <t>NULL</t>
        </is>
      </c>
      <c r="G1709" s="0" t="inlineStr">
        <is>
          <t>NULL</t>
        </is>
      </c>
      <c r="H1709" s="0" t="inlineStr">
        <is>
          <t>NULL</t>
        </is>
      </c>
      <c r="I1709" s="0" t="inlineStr">
        <is>
          <t>NULL</t>
        </is>
      </c>
      <c r="J1709" s="0" t="inlineStr">
        <is>
          <t>NULL</t>
        </is>
      </c>
      <c r="K1709" s="0" t="inlineStr">
        <is>
          <t>YES! 	 c_smallint列源备映射正确，源端为smallint None位	期望更改为smallint	实际备端为smallint None位</t>
        </is>
      </c>
    </row>
    <row r="1710">
      <c r="B1710" s="0" t="inlineStr">
        <is>
          <t>NULL</t>
        </is>
      </c>
      <c r="C1710" s="0" t="inlineStr">
        <is>
          <t>NULL</t>
        </is>
      </c>
      <c r="D1710" s="0" t="inlineStr">
        <is>
          <t>NULL</t>
        </is>
      </c>
      <c r="E1710" s="0" t="inlineStr">
        <is>
          <t>NULL</t>
        </is>
      </c>
      <c r="F1710" s="0" t="inlineStr">
        <is>
          <t>NULL</t>
        </is>
      </c>
      <c r="G1710" s="0" t="inlineStr">
        <is>
          <t>NULL</t>
        </is>
      </c>
      <c r="H1710" s="0" t="inlineStr">
        <is>
          <t>NULL</t>
        </is>
      </c>
      <c r="I1710" s="0" t="inlineStr">
        <is>
          <t>NULL</t>
        </is>
      </c>
      <c r="J1710" s="0" t="inlineStr">
        <is>
          <t>NULL</t>
        </is>
      </c>
      <c r="K1710" s="0" t="inlineStr">
        <is>
          <t>YES! 	 c_int列源备映射正确，源端为int None位	期望更改为int	实际备端为int None位</t>
        </is>
      </c>
    </row>
    <row r="1711">
      <c r="B1711" s="0" t="inlineStr">
        <is>
          <t>NULL</t>
        </is>
      </c>
      <c r="C1711" s="0" t="inlineStr">
        <is>
          <t>NULL</t>
        </is>
      </c>
      <c r="D1711" s="0" t="inlineStr">
        <is>
          <t>NULL</t>
        </is>
      </c>
      <c r="E1711" s="0" t="inlineStr">
        <is>
          <t>NULL</t>
        </is>
      </c>
      <c r="F1711" s="0" t="inlineStr">
        <is>
          <t>NULL</t>
        </is>
      </c>
      <c r="G1711" s="0" t="inlineStr">
        <is>
          <t>NULL</t>
        </is>
      </c>
      <c r="H1711" s="0" t="inlineStr">
        <is>
          <t>NULL</t>
        </is>
      </c>
      <c r="I1711" s="0" t="inlineStr">
        <is>
          <t>NULL</t>
        </is>
      </c>
      <c r="J1711" s="0" t="inlineStr">
        <is>
          <t>NULL</t>
        </is>
      </c>
      <c r="K1711" s="0" t="inlineStr">
        <is>
          <t>YES! 	 c_bigint列源备映射正确，源端为bigint None位	期望更改为bigint	实际备端为bigint None位</t>
        </is>
      </c>
    </row>
    <row r="1712">
      <c r="B1712" s="0" t="inlineStr">
        <is>
          <t>NULL</t>
        </is>
      </c>
      <c r="C1712" s="0" t="inlineStr">
        <is>
          <t>NULL</t>
        </is>
      </c>
      <c r="D1712" s="0" t="inlineStr">
        <is>
          <t>NULL</t>
        </is>
      </c>
      <c r="E1712" s="0" t="inlineStr">
        <is>
          <t>NULL</t>
        </is>
      </c>
      <c r="F1712" s="0" t="inlineStr">
        <is>
          <t>NULL</t>
        </is>
      </c>
      <c r="G1712" s="0" t="inlineStr">
        <is>
          <t>NULL</t>
        </is>
      </c>
      <c r="H1712" s="0" t="inlineStr">
        <is>
          <t>NULL</t>
        </is>
      </c>
      <c r="I1712" s="0" t="inlineStr">
        <is>
          <t>NULL</t>
        </is>
      </c>
      <c r="J1712" s="0" t="inlineStr">
        <is>
          <t>NULL</t>
        </is>
      </c>
      <c r="K1712" s="0" t="inlineStr">
        <is>
          <t>YES! 	 c_decimal列源备映射正确，源端为decimal None位	期望更改为decimal(p,s)	实际备端为decimal None位</t>
        </is>
      </c>
    </row>
    <row r="1713">
      <c r="B1713" s="0" t="inlineStr">
        <is>
          <t>NULL</t>
        </is>
      </c>
      <c r="C1713" s="0" t="inlineStr">
        <is>
          <t>NULL</t>
        </is>
      </c>
      <c r="D1713" s="0" t="inlineStr">
        <is>
          <t>NULL</t>
        </is>
      </c>
      <c r="E1713" s="0" t="inlineStr">
        <is>
          <t>NULL</t>
        </is>
      </c>
      <c r="F1713" s="0" t="inlineStr">
        <is>
          <t>NULL</t>
        </is>
      </c>
      <c r="G1713" s="0" t="inlineStr">
        <is>
          <t>NULL</t>
        </is>
      </c>
      <c r="H1713" s="0" t="inlineStr">
        <is>
          <t>NULL</t>
        </is>
      </c>
      <c r="I1713" s="0" t="inlineStr">
        <is>
          <t>NULL</t>
        </is>
      </c>
      <c r="J1713" s="0" t="inlineStr">
        <is>
          <t>NULL</t>
        </is>
      </c>
      <c r="K1713" s="0" t="inlineStr">
        <is>
          <t>YES! 	 c_decimal38列源备映射正确，源端为decimal None位	期望更改为decimal(p,s)	实际备端为decimal None位</t>
        </is>
      </c>
    </row>
    <row r="1714">
      <c r="B1714" s="0" t="inlineStr">
        <is>
          <t>NULL</t>
        </is>
      </c>
      <c r="C1714" s="0" t="inlineStr">
        <is>
          <t>NULL</t>
        </is>
      </c>
      <c r="D1714" s="0" t="inlineStr">
        <is>
          <t>NULL</t>
        </is>
      </c>
      <c r="E1714" s="0" t="inlineStr">
        <is>
          <t>NULL</t>
        </is>
      </c>
      <c r="F1714" s="0" t="inlineStr">
        <is>
          <t>NULL</t>
        </is>
      </c>
      <c r="G1714" s="0" t="inlineStr">
        <is>
          <t>NULL</t>
        </is>
      </c>
      <c r="H1714" s="0" t="inlineStr">
        <is>
          <t>NULL</t>
        </is>
      </c>
      <c r="I1714" s="0" t="inlineStr">
        <is>
          <t>NULL</t>
        </is>
      </c>
      <c r="J1714" s="0" t="inlineStr">
        <is>
          <t>NULL</t>
        </is>
      </c>
      <c r="K1714" s="0" t="inlineStr">
        <is>
          <t>YES! 	 c_decimal38_38列源备映射正确，源端为decimal None位	期望更改为decimal(p,s)	实际备端为decimal None位</t>
        </is>
      </c>
    </row>
    <row r="1715">
      <c r="B1715" s="0" t="inlineStr">
        <is>
          <t>NULL</t>
        </is>
      </c>
      <c r="C1715" s="0" t="inlineStr">
        <is>
          <t>NULL</t>
        </is>
      </c>
      <c r="D1715" s="0" t="inlineStr">
        <is>
          <t>NULL</t>
        </is>
      </c>
      <c r="E1715" s="0" t="inlineStr">
        <is>
          <t>NULL</t>
        </is>
      </c>
      <c r="F1715" s="0" t="inlineStr">
        <is>
          <t>NULL</t>
        </is>
      </c>
      <c r="G1715" s="0" t="inlineStr">
        <is>
          <t>NULL</t>
        </is>
      </c>
      <c r="H1715" s="0" t="inlineStr">
        <is>
          <t>NULL</t>
        </is>
      </c>
      <c r="I1715" s="0" t="inlineStr">
        <is>
          <t>NULL</t>
        </is>
      </c>
      <c r="J1715" s="0" t="inlineStr">
        <is>
          <t>NULL</t>
        </is>
      </c>
      <c r="K1715" s="0" t="inlineStr">
        <is>
          <t>YES! 	 c_decimal38_10列源备映射正确，源端为decimal None位	期望更改为decimal(p,s)	实际备端为decimal None位</t>
        </is>
      </c>
    </row>
    <row r="1716">
      <c r="B1716" s="0" t="inlineStr">
        <is>
          <t>NULL</t>
        </is>
      </c>
      <c r="C1716" s="0" t="inlineStr">
        <is>
          <t>NULL</t>
        </is>
      </c>
      <c r="D1716" s="0" t="inlineStr">
        <is>
          <t>NULL</t>
        </is>
      </c>
      <c r="E1716" s="0" t="inlineStr">
        <is>
          <t>NULL</t>
        </is>
      </c>
      <c r="F1716" s="0" t="inlineStr">
        <is>
          <t>NULL</t>
        </is>
      </c>
      <c r="G1716" s="0" t="inlineStr">
        <is>
          <t>NULL</t>
        </is>
      </c>
      <c r="H1716" s="0" t="inlineStr">
        <is>
          <t>NULL</t>
        </is>
      </c>
      <c r="I1716" s="0" t="inlineStr">
        <is>
          <t>NULL</t>
        </is>
      </c>
      <c r="J1716" s="0" t="inlineStr">
        <is>
          <t>NULL</t>
        </is>
      </c>
      <c r="K1716" s="0" t="inlineStr">
        <is>
          <t>YES! 	 c_decimal19_4列源备映射正确，源端为decimal None位	期望更改为decimal(p,s)	实际备端为decimal None位</t>
        </is>
      </c>
    </row>
    <row r="1717">
      <c r="B1717" s="0" t="inlineStr">
        <is>
          <t>NULL</t>
        </is>
      </c>
      <c r="C1717" s="0" t="inlineStr">
        <is>
          <t>NULL</t>
        </is>
      </c>
      <c r="D1717" s="0" t="inlineStr">
        <is>
          <t>NULL</t>
        </is>
      </c>
      <c r="E1717" s="0" t="inlineStr">
        <is>
          <t>NULL</t>
        </is>
      </c>
      <c r="F1717" s="0" t="inlineStr">
        <is>
          <t>NULL</t>
        </is>
      </c>
      <c r="G1717" s="0" t="inlineStr">
        <is>
          <t>NULL</t>
        </is>
      </c>
      <c r="H1717" s="0" t="inlineStr">
        <is>
          <t>NULL</t>
        </is>
      </c>
      <c r="I1717" s="0" t="inlineStr">
        <is>
          <t>NULL</t>
        </is>
      </c>
      <c r="J1717" s="0" t="inlineStr">
        <is>
          <t>NULL</t>
        </is>
      </c>
      <c r="K1717" s="0" t="inlineStr">
        <is>
          <t>YES! 	 c_numeric列源备映射正确，源端为numeric None位	期望更改为numeric(p,s)	实际备端为numeric None位</t>
        </is>
      </c>
    </row>
    <row r="1718">
      <c r="B1718" s="0" t="inlineStr">
        <is>
          <t>NULL</t>
        </is>
      </c>
      <c r="C1718" s="0" t="inlineStr">
        <is>
          <t>NULL</t>
        </is>
      </c>
      <c r="D1718" s="0" t="inlineStr">
        <is>
          <t>NULL</t>
        </is>
      </c>
      <c r="E1718" s="0" t="inlineStr">
        <is>
          <t>NULL</t>
        </is>
      </c>
      <c r="F1718" s="0" t="inlineStr">
        <is>
          <t>NULL</t>
        </is>
      </c>
      <c r="G1718" s="0" t="inlineStr">
        <is>
          <t>NULL</t>
        </is>
      </c>
      <c r="H1718" s="0" t="inlineStr">
        <is>
          <t>NULL</t>
        </is>
      </c>
      <c r="I1718" s="0" t="inlineStr">
        <is>
          <t>NULL</t>
        </is>
      </c>
      <c r="J1718" s="0" t="inlineStr">
        <is>
          <t>NULL</t>
        </is>
      </c>
      <c r="K1718" s="0" t="inlineStr">
        <is>
          <t>YES! 	 c_numeric38列源备映射正确，源端为numeric None位	期望更改为numeric(p,s)	实际备端为numeric None位</t>
        </is>
      </c>
    </row>
    <row r="1719">
      <c r="B1719" s="0" t="inlineStr">
        <is>
          <t>NULL</t>
        </is>
      </c>
      <c r="C1719" s="0" t="inlineStr">
        <is>
          <t>NULL</t>
        </is>
      </c>
      <c r="D1719" s="0" t="inlineStr">
        <is>
          <t>NULL</t>
        </is>
      </c>
      <c r="E1719" s="0" t="inlineStr">
        <is>
          <t>NULL</t>
        </is>
      </c>
      <c r="F1719" s="0" t="inlineStr">
        <is>
          <t>NULL</t>
        </is>
      </c>
      <c r="G1719" s="0" t="inlineStr">
        <is>
          <t>NULL</t>
        </is>
      </c>
      <c r="H1719" s="0" t="inlineStr">
        <is>
          <t>NULL</t>
        </is>
      </c>
      <c r="I1719" s="0" t="inlineStr">
        <is>
          <t>NULL</t>
        </is>
      </c>
      <c r="J1719" s="0" t="inlineStr">
        <is>
          <t>NULL</t>
        </is>
      </c>
      <c r="K1719" s="0" t="inlineStr">
        <is>
          <t>YES! 	 c_numeric38_38列源备映射正确，源端为numeric None位	期望更改为numeric(p,s)	实际备端为numeric None位</t>
        </is>
      </c>
    </row>
    <row r="1720">
      <c r="B1720" s="0" t="inlineStr">
        <is>
          <t>NULL</t>
        </is>
      </c>
      <c r="C1720" s="0" t="inlineStr">
        <is>
          <t>NULL</t>
        </is>
      </c>
      <c r="D1720" s="0" t="inlineStr">
        <is>
          <t>NULL</t>
        </is>
      </c>
      <c r="E1720" s="0" t="inlineStr">
        <is>
          <t>NULL</t>
        </is>
      </c>
      <c r="F1720" s="0" t="inlineStr">
        <is>
          <t>NULL</t>
        </is>
      </c>
      <c r="G1720" s="0" t="inlineStr">
        <is>
          <t>NULL</t>
        </is>
      </c>
      <c r="H1720" s="0" t="inlineStr">
        <is>
          <t>NULL</t>
        </is>
      </c>
      <c r="I1720" s="0" t="inlineStr">
        <is>
          <t>NULL</t>
        </is>
      </c>
      <c r="J1720" s="0" t="inlineStr">
        <is>
          <t>NULL</t>
        </is>
      </c>
      <c r="K1720" s="0" t="inlineStr">
        <is>
          <t>YES! 	 c_numeric38_10列源备映射正确，源端为numeric None位	期望更改为numeric(p,s)	实际备端为numeric None位</t>
        </is>
      </c>
    </row>
    <row r="1721">
      <c r="B1721" s="0" t="inlineStr">
        <is>
          <t>NULL</t>
        </is>
      </c>
      <c r="C1721" s="0" t="inlineStr">
        <is>
          <t>NULL</t>
        </is>
      </c>
      <c r="D1721" s="0" t="inlineStr">
        <is>
          <t>NULL</t>
        </is>
      </c>
      <c r="E1721" s="0" t="inlineStr">
        <is>
          <t>NULL</t>
        </is>
      </c>
      <c r="F1721" s="0" t="inlineStr">
        <is>
          <t>NULL</t>
        </is>
      </c>
      <c r="G1721" s="0" t="inlineStr">
        <is>
          <t>NULL</t>
        </is>
      </c>
      <c r="H1721" s="0" t="inlineStr">
        <is>
          <t>NULL</t>
        </is>
      </c>
      <c r="I1721" s="0" t="inlineStr">
        <is>
          <t>NULL</t>
        </is>
      </c>
      <c r="J1721" s="0" t="inlineStr">
        <is>
          <t>NULL</t>
        </is>
      </c>
      <c r="K1721" s="0" t="inlineStr">
        <is>
          <t>YES! 	 c_numeric18_2列源备映射正确，源端为numeric None位	期望更改为numeric(p,s)	实际备端为numeric None位</t>
        </is>
      </c>
    </row>
    <row r="1722">
      <c r="B1722" s="0" t="inlineStr">
        <is>
          <t>NULL</t>
        </is>
      </c>
      <c r="C1722" s="0" t="inlineStr">
        <is>
          <t>NULL</t>
        </is>
      </c>
      <c r="D1722" s="0" t="inlineStr">
        <is>
          <t>NULL</t>
        </is>
      </c>
      <c r="E1722" s="0" t="inlineStr">
        <is>
          <t>NULL</t>
        </is>
      </c>
      <c r="F1722" s="0" t="inlineStr">
        <is>
          <t>NULL</t>
        </is>
      </c>
      <c r="G1722" s="0" t="inlineStr">
        <is>
          <t>NULL</t>
        </is>
      </c>
      <c r="H1722" s="0" t="inlineStr">
        <is>
          <t>NULL</t>
        </is>
      </c>
      <c r="I1722" s="0" t="inlineStr">
        <is>
          <t>NULL</t>
        </is>
      </c>
      <c r="J1722" s="0" t="inlineStr">
        <is>
          <t>NULL</t>
        </is>
      </c>
      <c r="K1722" s="0" t="inlineStr">
        <is>
          <t>YES! 	 c_float列源备映射正确，源端为float None位	期望更改为float	实际备端为float None位</t>
        </is>
      </c>
    </row>
    <row r="1723">
      <c r="B1723" s="0" t="inlineStr">
        <is>
          <t>NULL</t>
        </is>
      </c>
      <c r="C1723" s="0" t="inlineStr">
        <is>
          <t>NULL</t>
        </is>
      </c>
      <c r="D1723" s="0" t="inlineStr">
        <is>
          <t>NULL</t>
        </is>
      </c>
      <c r="E1723" s="0" t="inlineStr">
        <is>
          <t>NULL</t>
        </is>
      </c>
      <c r="F1723" s="0" t="inlineStr">
        <is>
          <t>NULL</t>
        </is>
      </c>
      <c r="G1723" s="0" t="inlineStr">
        <is>
          <t>NULL</t>
        </is>
      </c>
      <c r="H1723" s="0" t="inlineStr">
        <is>
          <t>NULL</t>
        </is>
      </c>
      <c r="I1723" s="0" t="inlineStr">
        <is>
          <t>NULL</t>
        </is>
      </c>
      <c r="J1723" s="0" t="inlineStr">
        <is>
          <t>NULL</t>
        </is>
      </c>
      <c r="K1723" s="0" t="inlineStr">
        <is>
          <t>YES! 	 c_real列源备映射正确，源端为real None位	期望更改为real	实际备端为real None位</t>
        </is>
      </c>
    </row>
    <row r="1724">
      <c r="B1724" s="0" t="inlineStr">
        <is>
          <t>NULL</t>
        </is>
      </c>
      <c r="C1724" s="0" t="inlineStr">
        <is>
          <t>NULL</t>
        </is>
      </c>
      <c r="D1724" s="0" t="inlineStr">
        <is>
          <t>NULL</t>
        </is>
      </c>
      <c r="E1724" s="0" t="inlineStr">
        <is>
          <t>NULL</t>
        </is>
      </c>
      <c r="F1724" s="0" t="inlineStr">
        <is>
          <t>NULL</t>
        </is>
      </c>
      <c r="G1724" s="0" t="inlineStr">
        <is>
          <t>NULL</t>
        </is>
      </c>
      <c r="H1724" s="0" t="inlineStr">
        <is>
          <t>NULL</t>
        </is>
      </c>
      <c r="I1724" s="0" t="inlineStr">
        <is>
          <t>NULL</t>
        </is>
      </c>
      <c r="J1724" s="0" t="inlineStr">
        <is>
          <t>NULL</t>
        </is>
      </c>
      <c r="K1724" s="0" t="inlineStr">
        <is>
          <t>YES! 	 c_money列源备映射正确，源端为money None位	期望更改为money	实际备端为money None位</t>
        </is>
      </c>
    </row>
    <row r="1725">
      <c r="B1725" s="0" t="inlineStr">
        <is>
          <t>NULL</t>
        </is>
      </c>
      <c r="C1725" s="0" t="inlineStr">
        <is>
          <t>NULL</t>
        </is>
      </c>
      <c r="D1725" s="0" t="inlineStr">
        <is>
          <t>NULL</t>
        </is>
      </c>
      <c r="E1725" s="0" t="inlineStr">
        <is>
          <t>NULL</t>
        </is>
      </c>
      <c r="F1725" s="0" t="inlineStr">
        <is>
          <t>NULL</t>
        </is>
      </c>
      <c r="G1725" s="0" t="inlineStr">
        <is>
          <t>NULL</t>
        </is>
      </c>
      <c r="H1725" s="0" t="inlineStr">
        <is>
          <t>NULL</t>
        </is>
      </c>
      <c r="I1725" s="0" t="inlineStr">
        <is>
          <t>NULL</t>
        </is>
      </c>
      <c r="J1725" s="0" t="inlineStr">
        <is>
          <t>NULL</t>
        </is>
      </c>
      <c r="K1725" s="0" t="inlineStr">
        <is>
          <t>YES! 	 c_smallmoney列源备映射正确，源端为smallmoney None位	期望更改为smallmoney	实际备端为smallmoney None位</t>
        </is>
      </c>
    </row>
    <row r="1726">
      <c r="B1726" s="0" t="inlineStr">
        <is>
          <t>NULL</t>
        </is>
      </c>
      <c r="C1726" s="0" t="inlineStr">
        <is>
          <t>NULL</t>
        </is>
      </c>
      <c r="D1726" s="0" t="inlineStr">
        <is>
          <t>NULL</t>
        </is>
      </c>
      <c r="E1726" s="0" t="inlineStr">
        <is>
          <t>NULL</t>
        </is>
      </c>
      <c r="F1726" s="0" t="inlineStr">
        <is>
          <t>NULL</t>
        </is>
      </c>
      <c r="G1726" s="0" t="inlineStr">
        <is>
          <t>NULL</t>
        </is>
      </c>
      <c r="H1726" s="0" t="inlineStr">
        <is>
          <t>NULL</t>
        </is>
      </c>
      <c r="I1726" s="0" t="inlineStr">
        <is>
          <t>NULL</t>
        </is>
      </c>
      <c r="J1726" s="0" t="inlineStr">
        <is>
          <t>NULL</t>
        </is>
      </c>
      <c r="K1726" s="0" t="inlineStr">
        <is>
          <t>YES! 	 c_bit列源备映射正确，源端为bit None位	期望更改为bit	实际备端为bit None位</t>
        </is>
      </c>
    </row>
    <row r="1727">
      <c r="A1727" s="0" t="inlineStr">
        <is>
          <t>info_uniqueidentifier_dml_single_pk</t>
        </is>
      </c>
      <c r="K1727" s="0" t="inlineStr">
        <is>
          <t>[0;34m info_uniqueidentifier_dml_single_pk [0m源备字段数相同，源端字段：2 	备端字段2</t>
        </is>
      </c>
      <c r="W1727" s="0" t="inlineStr">
        <is>
          <t>YES 源备无差异</t>
        </is>
      </c>
      <c r="X1727" s="0">
        <f>A1727</f>
        <v/>
      </c>
    </row>
    <row r="1728">
      <c r="B1728" s="0" t="inlineStr">
        <is>
          <t>YES</t>
        </is>
      </c>
      <c r="C1728" s="0" t="inlineStr">
        <is>
          <t>NULL</t>
        </is>
      </c>
      <c r="D1728" s="0" t="inlineStr">
        <is>
          <t>NULL</t>
        </is>
      </c>
      <c r="E1728" s="0" t="inlineStr">
        <is>
          <t>NULL</t>
        </is>
      </c>
      <c r="F1728" s="0" t="inlineStr">
        <is>
          <t>NULL</t>
        </is>
      </c>
      <c r="G1728" s="0" t="inlineStr">
        <is>
          <t>NULL</t>
        </is>
      </c>
      <c r="H1728" s="0" t="inlineStr">
        <is>
          <t>NULL</t>
        </is>
      </c>
      <c r="I1728" s="0" t="inlineStr">
        <is>
          <t>YES!PK__info_uni__3213E83F8F66C056</t>
        </is>
      </c>
      <c r="J1728" s="0" t="inlineStr">
        <is>
          <t>YES! 主键相关索引</t>
        </is>
      </c>
      <c r="K1728" s="0" t="inlineStr">
        <is>
          <t>YES! 	 id列源备映射正确，源端为int None位	期望更改为int	实际备端为int None位</t>
        </is>
      </c>
    </row>
    <row r="1729">
      <c r="B1729" s="0" t="inlineStr">
        <is>
          <t>NULL</t>
        </is>
      </c>
      <c r="C1729" s="0" t="inlineStr">
        <is>
          <t>NULL</t>
        </is>
      </c>
      <c r="D1729" s="0" t="inlineStr">
        <is>
          <t>NULL</t>
        </is>
      </c>
      <c r="E1729" s="0" t="inlineStr">
        <is>
          <t>NULL</t>
        </is>
      </c>
      <c r="F1729" s="0" t="inlineStr">
        <is>
          <t>NULL</t>
        </is>
      </c>
      <c r="G1729" s="0" t="inlineStr">
        <is>
          <t>NULL</t>
        </is>
      </c>
      <c r="H1729" s="0" t="inlineStr">
        <is>
          <t>NULL</t>
        </is>
      </c>
      <c r="I1729" s="0" t="inlineStr">
        <is>
          <t>NULL</t>
        </is>
      </c>
      <c r="J1729" s="0" t="inlineStr">
        <is>
          <t>NULL</t>
        </is>
      </c>
      <c r="K1729" s="0" t="inlineStr">
        <is>
          <t>YES! 	 c_uniqueidentifier列源备映射正确，源端为uniqueidentifier None位	期望更改为uniqueidentifier	实际备端为uniqueidentifier None位</t>
        </is>
      </c>
    </row>
    <row r="1730">
      <c r="A1730" s="0" t="inlineStr">
        <is>
          <t>info_varbinary_max_dml_single_pk_urp</t>
        </is>
      </c>
      <c r="K1730" s="0" t="inlineStr">
        <is>
          <t>[0;34m info_varbinary_max_dml_single_pk_urp [0m源备字段数相同，源端字段：4 	备端字段4</t>
        </is>
      </c>
      <c r="W1730" s="0" t="inlineStr">
        <is>
          <t>YES 源备无差异</t>
        </is>
      </c>
      <c r="X1730" s="0">
        <f>A1730</f>
        <v/>
      </c>
    </row>
    <row r="1731">
      <c r="B1731" s="0" t="inlineStr">
        <is>
          <t>YES</t>
        </is>
      </c>
      <c r="C1731" s="0" t="inlineStr">
        <is>
          <t>NULL</t>
        </is>
      </c>
      <c r="D1731" s="0" t="inlineStr">
        <is>
          <t>NULL</t>
        </is>
      </c>
      <c r="E1731" s="0" t="inlineStr">
        <is>
          <t>NULL</t>
        </is>
      </c>
      <c r="F1731" s="0" t="inlineStr">
        <is>
          <t>NULL</t>
        </is>
      </c>
      <c r="G1731" s="0" t="inlineStr">
        <is>
          <t>NULL</t>
        </is>
      </c>
      <c r="H1731" s="0" t="inlineStr">
        <is>
          <t>NULL</t>
        </is>
      </c>
      <c r="I1731" s="0" t="inlineStr">
        <is>
          <t>YES!PK__info_var__3213E83FE861EA08</t>
        </is>
      </c>
      <c r="J1731" s="0" t="inlineStr">
        <is>
          <t>YES! 主键相关索引</t>
        </is>
      </c>
      <c r="K1731" s="0" t="inlineStr">
        <is>
          <t>YES! 	 id列源备映射正确，源端为int None位	期望更改为int	实际备端为int None位</t>
        </is>
      </c>
    </row>
    <row r="1732">
      <c r="B1732" s="0" t="inlineStr">
        <is>
          <t>NULL</t>
        </is>
      </c>
      <c r="C1732" s="0" t="inlineStr">
        <is>
          <t>NULL</t>
        </is>
      </c>
      <c r="D1732" s="0" t="inlineStr">
        <is>
          <t>NULL</t>
        </is>
      </c>
      <c r="E1732" s="0" t="inlineStr">
        <is>
          <t>NULL</t>
        </is>
      </c>
      <c r="F1732" s="0" t="inlineStr">
        <is>
          <t>NULL</t>
        </is>
      </c>
      <c r="G1732" s="0" t="inlineStr">
        <is>
          <t>NULL</t>
        </is>
      </c>
      <c r="H1732" s="0" t="inlineStr">
        <is>
          <t>NULL</t>
        </is>
      </c>
      <c r="I1732" s="0" t="inlineStr">
        <is>
          <t>NULL</t>
        </is>
      </c>
      <c r="J1732" s="0" t="inlineStr">
        <is>
          <t>NULL</t>
        </is>
      </c>
      <c r="K1732" s="0" t="inlineStr">
        <is>
          <t>YES! 	 c_varbinary_max1列源备映射正确，源端为varbinary -1位	期望更改为varbinary(n)	实际备端为varbinary -1位</t>
        </is>
      </c>
    </row>
    <row r="1733">
      <c r="B1733" s="0" t="inlineStr">
        <is>
          <t>NULL</t>
        </is>
      </c>
      <c r="C1733" s="0" t="inlineStr">
        <is>
          <t>NULL</t>
        </is>
      </c>
      <c r="D1733" s="0" t="inlineStr">
        <is>
          <t>NULL</t>
        </is>
      </c>
      <c r="E1733" s="0" t="inlineStr">
        <is>
          <t>NULL</t>
        </is>
      </c>
      <c r="F1733" s="0" t="inlineStr">
        <is>
          <t>NULL</t>
        </is>
      </c>
      <c r="G1733" s="0" t="inlineStr">
        <is>
          <t>NULL</t>
        </is>
      </c>
      <c r="H1733" s="0" t="inlineStr">
        <is>
          <t>NULL</t>
        </is>
      </c>
      <c r="I1733" s="0" t="inlineStr">
        <is>
          <t>NULL</t>
        </is>
      </c>
      <c r="J1733" s="0" t="inlineStr">
        <is>
          <t>NULL</t>
        </is>
      </c>
      <c r="K1733" s="0" t="inlineStr">
        <is>
          <t>YES! 	 c_varbinary_max2列源备映射正确，源端为varbinary -1位	期望更改为varbinary(n)	实际备端为varbinary -1位</t>
        </is>
      </c>
    </row>
    <row r="1734">
      <c r="B1734" s="0" t="inlineStr">
        <is>
          <t>NULL</t>
        </is>
      </c>
      <c r="C1734" s="0" t="inlineStr">
        <is>
          <t>NULL</t>
        </is>
      </c>
      <c r="D1734" s="0" t="inlineStr">
        <is>
          <t>NULL</t>
        </is>
      </c>
      <c r="E1734" s="0" t="inlineStr">
        <is>
          <t>NULL</t>
        </is>
      </c>
      <c r="F1734" s="0" t="inlineStr">
        <is>
          <t>NULL</t>
        </is>
      </c>
      <c r="G1734" s="0" t="inlineStr">
        <is>
          <t>NULL</t>
        </is>
      </c>
      <c r="H1734" s="0" t="inlineStr">
        <is>
          <t>NULL</t>
        </is>
      </c>
      <c r="I1734" s="0" t="inlineStr">
        <is>
          <t>NULL</t>
        </is>
      </c>
      <c r="J1734" s="0" t="inlineStr">
        <is>
          <t>NULL</t>
        </is>
      </c>
      <c r="K1734" s="0" t="inlineStr">
        <is>
          <t>YES! 	 c_image3列源备映射正确，源端为image 2147483647位	期望更改为image	实际备端为image 2147483647位</t>
        </is>
      </c>
    </row>
    <row r="1735">
      <c r="A1735" s="0" t="inlineStr">
        <is>
          <t>info_xml_dml_single_pk_irp</t>
        </is>
      </c>
      <c r="K1735" s="0" t="inlineStr">
        <is>
          <t>[0;34m info_xml_dml_single_pk_irp [0m源备字段数相同，源端字段：2 	备端字段2</t>
        </is>
      </c>
      <c r="W1735" s="0" t="inlineStr">
        <is>
          <t>YES 源备无差异</t>
        </is>
      </c>
      <c r="X1735" s="0">
        <f>A1735</f>
        <v/>
      </c>
    </row>
    <row r="1736">
      <c r="B1736" s="0" t="inlineStr">
        <is>
          <t>YES</t>
        </is>
      </c>
      <c r="C1736" s="0" t="inlineStr">
        <is>
          <t>NULL</t>
        </is>
      </c>
      <c r="D1736" s="0" t="inlineStr">
        <is>
          <t>NULL</t>
        </is>
      </c>
      <c r="E1736" s="0" t="inlineStr">
        <is>
          <t>NULL</t>
        </is>
      </c>
      <c r="F1736" s="0" t="inlineStr">
        <is>
          <t>NULL</t>
        </is>
      </c>
      <c r="G1736" s="0" t="inlineStr">
        <is>
          <t>NULL</t>
        </is>
      </c>
      <c r="H1736" s="0" t="inlineStr">
        <is>
          <t>NULL</t>
        </is>
      </c>
      <c r="I1736" s="0" t="inlineStr">
        <is>
          <t>YES!PK__info_xml__3213E83F2267ADE4</t>
        </is>
      </c>
      <c r="J1736" s="0" t="inlineStr">
        <is>
          <t>YES! 主键相关索引</t>
        </is>
      </c>
      <c r="K1736" s="0" t="inlineStr">
        <is>
          <t>YES! 	 id列源备映射正确，源端为int None位	期望更改为int	实际备端为int None位</t>
        </is>
      </c>
    </row>
    <row r="1737">
      <c r="B1737" s="0" t="inlineStr">
        <is>
          <t>NULL</t>
        </is>
      </c>
      <c r="C1737" s="0" t="inlineStr">
        <is>
          <t>NULL</t>
        </is>
      </c>
      <c r="D1737" s="0" t="inlineStr">
        <is>
          <t>NULL</t>
        </is>
      </c>
      <c r="E1737" s="0" t="inlineStr">
        <is>
          <t>NULL</t>
        </is>
      </c>
      <c r="F1737" s="0" t="inlineStr">
        <is>
          <t>NULL</t>
        </is>
      </c>
      <c r="G1737" s="0" t="inlineStr">
        <is>
          <t>NULL</t>
        </is>
      </c>
      <c r="H1737" s="0" t="inlineStr">
        <is>
          <t>NULL</t>
        </is>
      </c>
      <c r="I1737" s="0" t="inlineStr">
        <is>
          <t>NULL</t>
        </is>
      </c>
      <c r="J1737" s="0" t="inlineStr">
        <is>
          <t>NULL</t>
        </is>
      </c>
      <c r="K1737" s="0" t="inlineStr">
        <is>
          <t>YES! 	 c_xml列源备映射正确，源端为xml -1位	期望更改为xml	实际备端为xml -1位</t>
        </is>
      </c>
    </row>
    <row r="1738">
      <c r="A1738" s="0" t="inlineStr">
        <is>
          <t>info_varbinary_max_dml_single_pk_drp</t>
        </is>
      </c>
      <c r="K1738" s="0" t="inlineStr">
        <is>
          <t>[0;34m info_varbinary_max_dml_single_pk_drp [0m源备字段数相同，源端字段：4 	备端字段4</t>
        </is>
      </c>
      <c r="W1738" s="0" t="inlineStr">
        <is>
          <t>YES 源备无差异</t>
        </is>
      </c>
      <c r="X1738" s="0">
        <f>A1738</f>
        <v/>
      </c>
    </row>
    <row r="1739">
      <c r="B1739" s="0" t="inlineStr">
        <is>
          <t>YES</t>
        </is>
      </c>
      <c r="C1739" s="0" t="inlineStr">
        <is>
          <t>NULL</t>
        </is>
      </c>
      <c r="D1739" s="0" t="inlineStr">
        <is>
          <t>NULL</t>
        </is>
      </c>
      <c r="E1739" s="0" t="inlineStr">
        <is>
          <t>NULL</t>
        </is>
      </c>
      <c r="F1739" s="0" t="inlineStr">
        <is>
          <t>NULL</t>
        </is>
      </c>
      <c r="G1739" s="0" t="inlineStr">
        <is>
          <t>NULL</t>
        </is>
      </c>
      <c r="H1739" s="0" t="inlineStr">
        <is>
          <t>NULL</t>
        </is>
      </c>
      <c r="I1739" s="0" t="inlineStr">
        <is>
          <t>YES!PK__info_var__3213E83FC08CB795</t>
        </is>
      </c>
      <c r="J1739" s="0" t="inlineStr">
        <is>
          <t>YES! 主键相关索引</t>
        </is>
      </c>
      <c r="K1739" s="0" t="inlineStr">
        <is>
          <t>YES! 	 id列源备映射正确，源端为int None位	期望更改为int	实际备端为int None位</t>
        </is>
      </c>
    </row>
    <row r="1740">
      <c r="B1740" s="0" t="inlineStr">
        <is>
          <t>NULL</t>
        </is>
      </c>
      <c r="C1740" s="0" t="inlineStr">
        <is>
          <t>NULL</t>
        </is>
      </c>
      <c r="D1740" s="0" t="inlineStr">
        <is>
          <t>NULL</t>
        </is>
      </c>
      <c r="E1740" s="0" t="inlineStr">
        <is>
          <t>NULL</t>
        </is>
      </c>
      <c r="F1740" s="0" t="inlineStr">
        <is>
          <t>NULL</t>
        </is>
      </c>
      <c r="G1740" s="0" t="inlineStr">
        <is>
          <t>NULL</t>
        </is>
      </c>
      <c r="H1740" s="0" t="inlineStr">
        <is>
          <t>NULL</t>
        </is>
      </c>
      <c r="I1740" s="0" t="inlineStr">
        <is>
          <t>NULL</t>
        </is>
      </c>
      <c r="J1740" s="0" t="inlineStr">
        <is>
          <t>NULL</t>
        </is>
      </c>
      <c r="K1740" s="0" t="inlineStr">
        <is>
          <t>YES! 	 c_varbinary_max1列源备映射正确，源端为varbinary -1位	期望更改为varbinary(n)	实际备端为varbinary -1位</t>
        </is>
      </c>
    </row>
    <row r="1741">
      <c r="B1741" s="0" t="inlineStr">
        <is>
          <t>NULL</t>
        </is>
      </c>
      <c r="C1741" s="0" t="inlineStr">
        <is>
          <t>NULL</t>
        </is>
      </c>
      <c r="D1741" s="0" t="inlineStr">
        <is>
          <t>NULL</t>
        </is>
      </c>
      <c r="E1741" s="0" t="inlineStr">
        <is>
          <t>NULL</t>
        </is>
      </c>
      <c r="F1741" s="0" t="inlineStr">
        <is>
          <t>NULL</t>
        </is>
      </c>
      <c r="G1741" s="0" t="inlineStr">
        <is>
          <t>NULL</t>
        </is>
      </c>
      <c r="H1741" s="0" t="inlineStr">
        <is>
          <t>NULL</t>
        </is>
      </c>
      <c r="I1741" s="0" t="inlineStr">
        <is>
          <t>NULL</t>
        </is>
      </c>
      <c r="J1741" s="0" t="inlineStr">
        <is>
          <t>NULL</t>
        </is>
      </c>
      <c r="K1741" s="0" t="inlineStr">
        <is>
          <t>YES! 	 c_varbinary_max2列源备映射正确，源端为varbinary -1位	期望更改为varbinary(n)	实际备端为varbinary -1位</t>
        </is>
      </c>
    </row>
    <row r="1742">
      <c r="B1742" s="0" t="inlineStr">
        <is>
          <t>NULL</t>
        </is>
      </c>
      <c r="C1742" s="0" t="inlineStr">
        <is>
          <t>NULL</t>
        </is>
      </c>
      <c r="D1742" s="0" t="inlineStr">
        <is>
          <t>NULL</t>
        </is>
      </c>
      <c r="E1742" s="0" t="inlineStr">
        <is>
          <t>NULL</t>
        </is>
      </c>
      <c r="F1742" s="0" t="inlineStr">
        <is>
          <t>NULL</t>
        </is>
      </c>
      <c r="G1742" s="0" t="inlineStr">
        <is>
          <t>NULL</t>
        </is>
      </c>
      <c r="H1742" s="0" t="inlineStr">
        <is>
          <t>NULL</t>
        </is>
      </c>
      <c r="I1742" s="0" t="inlineStr">
        <is>
          <t>NULL</t>
        </is>
      </c>
      <c r="J1742" s="0" t="inlineStr">
        <is>
          <t>NULL</t>
        </is>
      </c>
      <c r="K1742" s="0" t="inlineStr">
        <is>
          <t>YES! 	 c_image3列源备映射正确，源端为image 2147483647位	期望更改为image	实际备端为image 2147483647位</t>
        </is>
      </c>
    </row>
    <row r="1743">
      <c r="K1743" s="0" t="inlineStr">
        <is>
          <t>~ 空表</t>
        </is>
      </c>
    </row>
    <row r="1744">
      <c r="A1744" s="0" t="inlineStr">
        <is>
          <t>info_xml_dml_single_pk_urp</t>
        </is>
      </c>
      <c r="K1744" s="0" t="inlineStr">
        <is>
          <t>[0;34m info_xml_dml_single_pk_urp [0m源备字段数相同，源端字段：2 	备端字段2</t>
        </is>
      </c>
      <c r="W1744" s="0" t="inlineStr">
        <is>
          <t>YES 源备无差异</t>
        </is>
      </c>
      <c r="X1744" s="0">
        <f>A1744</f>
        <v/>
      </c>
    </row>
    <row r="1745">
      <c r="B1745" s="0" t="inlineStr">
        <is>
          <t>YES</t>
        </is>
      </c>
      <c r="C1745" s="0" t="inlineStr">
        <is>
          <t>NULL</t>
        </is>
      </c>
      <c r="D1745" s="0" t="inlineStr">
        <is>
          <t>NULL</t>
        </is>
      </c>
      <c r="E1745" s="0" t="inlineStr">
        <is>
          <t>NULL</t>
        </is>
      </c>
      <c r="F1745" s="0" t="inlineStr">
        <is>
          <t>NULL</t>
        </is>
      </c>
      <c r="G1745" s="0" t="inlineStr">
        <is>
          <t>NULL</t>
        </is>
      </c>
      <c r="H1745" s="0" t="inlineStr">
        <is>
          <t>NULL</t>
        </is>
      </c>
      <c r="I1745" s="0" t="inlineStr">
        <is>
          <t>YES!PK__info_xml__3213E83F7193908E</t>
        </is>
      </c>
      <c r="J1745" s="0" t="inlineStr">
        <is>
          <t>YES! 主键相关索引</t>
        </is>
      </c>
      <c r="K1745" s="0" t="inlineStr">
        <is>
          <t>YES! 	 id列源备映射正确，源端为int None位	期望更改为int	实际备端为int None位</t>
        </is>
      </c>
    </row>
    <row r="1746">
      <c r="B1746" s="0" t="inlineStr">
        <is>
          <t>NULL</t>
        </is>
      </c>
      <c r="C1746" s="0" t="inlineStr">
        <is>
          <t>NULL</t>
        </is>
      </c>
      <c r="D1746" s="0" t="inlineStr">
        <is>
          <t>NULL</t>
        </is>
      </c>
      <c r="E1746" s="0" t="inlineStr">
        <is>
          <t>NULL</t>
        </is>
      </c>
      <c r="F1746" s="0" t="inlineStr">
        <is>
          <t>NULL</t>
        </is>
      </c>
      <c r="G1746" s="0" t="inlineStr">
        <is>
          <t>NULL</t>
        </is>
      </c>
      <c r="H1746" s="0" t="inlineStr">
        <is>
          <t>NULL</t>
        </is>
      </c>
      <c r="I1746" s="0" t="inlineStr">
        <is>
          <t>NULL</t>
        </is>
      </c>
      <c r="J1746" s="0" t="inlineStr">
        <is>
          <t>NULL</t>
        </is>
      </c>
      <c r="K1746" s="0" t="inlineStr">
        <is>
          <t>YES! 	 c_xml列源备映射正确，源端为xml -1位	期望更改为xml	实际备端为xml -1位</t>
        </is>
      </c>
    </row>
    <row r="1747">
      <c r="A1747" s="0" t="inlineStr">
        <is>
          <t>info_varbinary_max_dml_single_pk</t>
        </is>
      </c>
      <c r="K1747" s="0" t="inlineStr">
        <is>
          <t>[0;34m info_varbinary_max_dml_single_pk [0m源备字段数相同，源端字段：4 	备端字段4</t>
        </is>
      </c>
      <c r="W1747" s="0" t="inlineStr">
        <is>
          <t>YES 源备无差异</t>
        </is>
      </c>
      <c r="X1747" s="0">
        <f>A1747</f>
        <v/>
      </c>
    </row>
    <row r="1748">
      <c r="B1748" s="0" t="inlineStr">
        <is>
          <t>YES</t>
        </is>
      </c>
      <c r="C1748" s="0" t="inlineStr">
        <is>
          <t>NULL</t>
        </is>
      </c>
      <c r="D1748" s="0" t="inlineStr">
        <is>
          <t>NULL</t>
        </is>
      </c>
      <c r="E1748" s="0" t="inlineStr">
        <is>
          <t>NULL</t>
        </is>
      </c>
      <c r="F1748" s="0" t="inlineStr">
        <is>
          <t>NULL</t>
        </is>
      </c>
      <c r="G1748" s="0" t="inlineStr">
        <is>
          <t>NULL</t>
        </is>
      </c>
      <c r="H1748" s="0" t="inlineStr">
        <is>
          <t>NULL</t>
        </is>
      </c>
      <c r="I1748" s="0" t="inlineStr">
        <is>
          <t>YES!PK__info_var__3213E83FA466D81D</t>
        </is>
      </c>
      <c r="J1748" s="0" t="inlineStr">
        <is>
          <t>YES! 主键相关索引</t>
        </is>
      </c>
      <c r="K1748" s="0" t="inlineStr">
        <is>
          <t>YES! 	 id列源备映射正确，源端为int None位	期望更改为int	实际备端为int None位</t>
        </is>
      </c>
    </row>
    <row r="1749">
      <c r="B1749" s="0" t="inlineStr">
        <is>
          <t>NULL</t>
        </is>
      </c>
      <c r="C1749" s="0" t="inlineStr">
        <is>
          <t>NULL</t>
        </is>
      </c>
      <c r="D1749" s="0" t="inlineStr">
        <is>
          <t>NULL</t>
        </is>
      </c>
      <c r="E1749" s="0" t="inlineStr">
        <is>
          <t>NULL</t>
        </is>
      </c>
      <c r="F1749" s="0" t="inlineStr">
        <is>
          <t>NULL</t>
        </is>
      </c>
      <c r="G1749" s="0" t="inlineStr">
        <is>
          <t>NULL</t>
        </is>
      </c>
      <c r="H1749" s="0" t="inlineStr">
        <is>
          <t>NULL</t>
        </is>
      </c>
      <c r="I1749" s="0" t="inlineStr">
        <is>
          <t>NULL</t>
        </is>
      </c>
      <c r="J1749" s="0" t="inlineStr">
        <is>
          <t>NULL</t>
        </is>
      </c>
      <c r="K1749" s="0" t="inlineStr">
        <is>
          <t>YES! 	 c_varbinary_max1列源备映射正确，源端为varbinary -1位	期望更改为varbinary(n)	实际备端为varbinary -1位</t>
        </is>
      </c>
    </row>
    <row r="1750">
      <c r="B1750" s="0" t="inlineStr">
        <is>
          <t>NULL</t>
        </is>
      </c>
      <c r="C1750" s="0" t="inlineStr">
        <is>
          <t>NULL</t>
        </is>
      </c>
      <c r="D1750" s="0" t="inlineStr">
        <is>
          <t>NULL</t>
        </is>
      </c>
      <c r="E1750" s="0" t="inlineStr">
        <is>
          <t>NULL</t>
        </is>
      </c>
      <c r="F1750" s="0" t="inlineStr">
        <is>
          <t>NULL</t>
        </is>
      </c>
      <c r="G1750" s="0" t="inlineStr">
        <is>
          <t>NULL</t>
        </is>
      </c>
      <c r="H1750" s="0" t="inlineStr">
        <is>
          <t>NULL</t>
        </is>
      </c>
      <c r="I1750" s="0" t="inlineStr">
        <is>
          <t>NULL</t>
        </is>
      </c>
      <c r="J1750" s="0" t="inlineStr">
        <is>
          <t>NULL</t>
        </is>
      </c>
      <c r="K1750" s="0" t="inlineStr">
        <is>
          <t>YES! 	 c_varbinary_max2列源备映射正确，源端为varbinary -1位	期望更改为varbinary(n)	实际备端为varbinary -1位</t>
        </is>
      </c>
    </row>
    <row r="1751">
      <c r="B1751" s="0" t="inlineStr">
        <is>
          <t>NULL</t>
        </is>
      </c>
      <c r="C1751" s="0" t="inlineStr">
        <is>
          <t>NULL</t>
        </is>
      </c>
      <c r="D1751" s="0" t="inlineStr">
        <is>
          <t>NULL</t>
        </is>
      </c>
      <c r="E1751" s="0" t="inlineStr">
        <is>
          <t>NULL</t>
        </is>
      </c>
      <c r="F1751" s="0" t="inlineStr">
        <is>
          <t>NULL</t>
        </is>
      </c>
      <c r="G1751" s="0" t="inlineStr">
        <is>
          <t>NULL</t>
        </is>
      </c>
      <c r="H1751" s="0" t="inlineStr">
        <is>
          <t>NULL</t>
        </is>
      </c>
      <c r="I1751" s="0" t="inlineStr">
        <is>
          <t>NULL</t>
        </is>
      </c>
      <c r="J1751" s="0" t="inlineStr">
        <is>
          <t>NULL</t>
        </is>
      </c>
      <c r="K1751" s="0" t="inlineStr">
        <is>
          <t>YES! 	 c_image3列源备映射正确，源端为image 2147483647位	期望更改为image	实际备端为image 2147483647位</t>
        </is>
      </c>
    </row>
    <row r="1752">
      <c r="A1752" s="0" t="inlineStr">
        <is>
          <t>info_int_dml_batch2_pk_irp2</t>
        </is>
      </c>
      <c r="K1752" s="0" t="inlineStr">
        <is>
          <t>[0;34m info_int_dml_batch2_pk_irp2 [0m源备字段数相同，源端字段：20 	备端字段20</t>
        </is>
      </c>
      <c r="W1752" s="0" t="inlineStr">
        <is>
          <t>YES 源备无差异</t>
        </is>
      </c>
      <c r="X1752" s="0">
        <f>A1752</f>
        <v/>
      </c>
    </row>
    <row r="1753">
      <c r="B1753" s="0" t="inlineStr">
        <is>
          <t>YES</t>
        </is>
      </c>
      <c r="C1753" s="0" t="inlineStr">
        <is>
          <t>NULL</t>
        </is>
      </c>
      <c r="D1753" s="0" t="inlineStr">
        <is>
          <t>NULL</t>
        </is>
      </c>
      <c r="E1753" s="0" t="inlineStr">
        <is>
          <t>NULL</t>
        </is>
      </c>
      <c r="F1753" s="0" t="inlineStr">
        <is>
          <t>NULL</t>
        </is>
      </c>
      <c r="G1753" s="0" t="inlineStr">
        <is>
          <t>NULL</t>
        </is>
      </c>
      <c r="H1753" s="0" t="inlineStr">
        <is>
          <t>NULL</t>
        </is>
      </c>
      <c r="I1753" s="0" t="inlineStr">
        <is>
          <t>YES!PK__info_int__3213E83FE80A05E7</t>
        </is>
      </c>
      <c r="J1753" s="0" t="inlineStr">
        <is>
          <t>YES! 主键相关索引</t>
        </is>
      </c>
      <c r="K1753" s="0" t="inlineStr">
        <is>
          <t>YES! 	 id列源备映射正确，源端为int None位	期望更改为int	实际备端为int None位</t>
        </is>
      </c>
    </row>
    <row r="1754">
      <c r="B1754" s="0" t="inlineStr">
        <is>
          <t>NULL</t>
        </is>
      </c>
      <c r="C1754" s="0" t="inlineStr">
        <is>
          <t>NULL</t>
        </is>
      </c>
      <c r="D1754" s="0" t="inlineStr">
        <is>
          <t>NULL</t>
        </is>
      </c>
      <c r="E1754" s="0" t="inlineStr">
        <is>
          <t>NULL</t>
        </is>
      </c>
      <c r="F1754" s="0" t="inlineStr">
        <is>
          <t>NULL</t>
        </is>
      </c>
      <c r="G1754" s="0" t="inlineStr">
        <is>
          <t>NULL</t>
        </is>
      </c>
      <c r="H1754" s="0" t="inlineStr">
        <is>
          <t>NULL</t>
        </is>
      </c>
      <c r="I1754" s="0" t="inlineStr">
        <is>
          <t>NULL</t>
        </is>
      </c>
      <c r="J1754" s="0" t="inlineStr">
        <is>
          <t>NULL</t>
        </is>
      </c>
      <c r="K1754" s="0" t="inlineStr">
        <is>
          <t>YES! 	 c_tinyint列源备映射正确，源端为tinyint None位	期望更改为tinyint	实际备端为tinyint None位</t>
        </is>
      </c>
    </row>
    <row r="1755">
      <c r="B1755" s="0" t="inlineStr">
        <is>
          <t>NULL</t>
        </is>
      </c>
      <c r="C1755" s="0" t="inlineStr">
        <is>
          <t>NULL</t>
        </is>
      </c>
      <c r="D1755" s="0" t="inlineStr">
        <is>
          <t>NULL</t>
        </is>
      </c>
      <c r="E1755" s="0" t="inlineStr">
        <is>
          <t>NULL</t>
        </is>
      </c>
      <c r="F1755" s="0" t="inlineStr">
        <is>
          <t>NULL</t>
        </is>
      </c>
      <c r="G1755" s="0" t="inlineStr">
        <is>
          <t>NULL</t>
        </is>
      </c>
      <c r="H1755" s="0" t="inlineStr">
        <is>
          <t>NULL</t>
        </is>
      </c>
      <c r="I1755" s="0" t="inlineStr">
        <is>
          <t>NULL</t>
        </is>
      </c>
      <c r="J1755" s="0" t="inlineStr">
        <is>
          <t>NULL</t>
        </is>
      </c>
      <c r="K1755" s="0" t="inlineStr">
        <is>
          <t>YES! 	 c_smallint列源备映射正确，源端为smallint None位	期望更改为smallint	实际备端为smallint None位</t>
        </is>
      </c>
    </row>
    <row r="1756">
      <c r="B1756" s="0" t="inlineStr">
        <is>
          <t>NULL</t>
        </is>
      </c>
      <c r="C1756" s="0" t="inlineStr">
        <is>
          <t>NULL</t>
        </is>
      </c>
      <c r="D1756" s="0" t="inlineStr">
        <is>
          <t>NULL</t>
        </is>
      </c>
      <c r="E1756" s="0" t="inlineStr">
        <is>
          <t>NULL</t>
        </is>
      </c>
      <c r="F1756" s="0" t="inlineStr">
        <is>
          <t>NULL</t>
        </is>
      </c>
      <c r="G1756" s="0" t="inlineStr">
        <is>
          <t>NULL</t>
        </is>
      </c>
      <c r="H1756" s="0" t="inlineStr">
        <is>
          <t>NULL</t>
        </is>
      </c>
      <c r="I1756" s="0" t="inlineStr">
        <is>
          <t>NULL</t>
        </is>
      </c>
      <c r="J1756" s="0" t="inlineStr">
        <is>
          <t>NULL</t>
        </is>
      </c>
      <c r="K1756" s="0" t="inlineStr">
        <is>
          <t>YES! 	 c_int列源备映射正确，源端为int None位	期望更改为int	实际备端为int None位</t>
        </is>
      </c>
    </row>
    <row r="1757">
      <c r="B1757" s="0" t="inlineStr">
        <is>
          <t>NULL</t>
        </is>
      </c>
      <c r="C1757" s="0" t="inlineStr">
        <is>
          <t>NULL</t>
        </is>
      </c>
      <c r="D1757" s="0" t="inlineStr">
        <is>
          <t>NULL</t>
        </is>
      </c>
      <c r="E1757" s="0" t="inlineStr">
        <is>
          <t>NULL</t>
        </is>
      </c>
      <c r="F1757" s="0" t="inlineStr">
        <is>
          <t>NULL</t>
        </is>
      </c>
      <c r="G1757" s="0" t="inlineStr">
        <is>
          <t>NULL</t>
        </is>
      </c>
      <c r="H1757" s="0" t="inlineStr">
        <is>
          <t>NULL</t>
        </is>
      </c>
      <c r="I1757" s="0" t="inlineStr">
        <is>
          <t>NULL</t>
        </is>
      </c>
      <c r="J1757" s="0" t="inlineStr">
        <is>
          <t>NULL</t>
        </is>
      </c>
      <c r="K1757" s="0" t="inlineStr">
        <is>
          <t>YES! 	 c_bigint列源备映射正确，源端为bigint None位	期望更改为bigint	实际备端为bigint None位</t>
        </is>
      </c>
    </row>
    <row r="1758">
      <c r="B1758" s="0" t="inlineStr">
        <is>
          <t>NULL</t>
        </is>
      </c>
      <c r="C1758" s="0" t="inlineStr">
        <is>
          <t>NULL</t>
        </is>
      </c>
      <c r="D1758" s="0" t="inlineStr">
        <is>
          <t>NULL</t>
        </is>
      </c>
      <c r="E1758" s="0" t="inlineStr">
        <is>
          <t>NULL</t>
        </is>
      </c>
      <c r="F1758" s="0" t="inlineStr">
        <is>
          <t>NULL</t>
        </is>
      </c>
      <c r="G1758" s="0" t="inlineStr">
        <is>
          <t>NULL</t>
        </is>
      </c>
      <c r="H1758" s="0" t="inlineStr">
        <is>
          <t>NULL</t>
        </is>
      </c>
      <c r="I1758" s="0" t="inlineStr">
        <is>
          <t>NULL</t>
        </is>
      </c>
      <c r="J1758" s="0" t="inlineStr">
        <is>
          <t>NULL</t>
        </is>
      </c>
      <c r="K1758" s="0" t="inlineStr">
        <is>
          <t>YES! 	 c_decimal列源备映射正确，源端为decimal None位	期望更改为decimal(p,s)	实际备端为decimal None位</t>
        </is>
      </c>
    </row>
    <row r="1759">
      <c r="B1759" s="0" t="inlineStr">
        <is>
          <t>NULL</t>
        </is>
      </c>
      <c r="C1759" s="0" t="inlineStr">
        <is>
          <t>NULL</t>
        </is>
      </c>
      <c r="D1759" s="0" t="inlineStr">
        <is>
          <t>NULL</t>
        </is>
      </c>
      <c r="E1759" s="0" t="inlineStr">
        <is>
          <t>NULL</t>
        </is>
      </c>
      <c r="F1759" s="0" t="inlineStr">
        <is>
          <t>NULL</t>
        </is>
      </c>
      <c r="G1759" s="0" t="inlineStr">
        <is>
          <t>NULL</t>
        </is>
      </c>
      <c r="H1759" s="0" t="inlineStr">
        <is>
          <t>NULL</t>
        </is>
      </c>
      <c r="I1759" s="0" t="inlineStr">
        <is>
          <t>NULL</t>
        </is>
      </c>
      <c r="J1759" s="0" t="inlineStr">
        <is>
          <t>NULL</t>
        </is>
      </c>
      <c r="K1759" s="0" t="inlineStr">
        <is>
          <t>YES! 	 c_decimal38列源备映射正确，源端为decimal None位	期望更改为decimal(p,s)	实际备端为decimal None位</t>
        </is>
      </c>
    </row>
    <row r="1760">
      <c r="B1760" s="0" t="inlineStr">
        <is>
          <t>NULL</t>
        </is>
      </c>
      <c r="C1760" s="0" t="inlineStr">
        <is>
          <t>NULL</t>
        </is>
      </c>
      <c r="D1760" s="0" t="inlineStr">
        <is>
          <t>NULL</t>
        </is>
      </c>
      <c r="E1760" s="0" t="inlineStr">
        <is>
          <t>NULL</t>
        </is>
      </c>
      <c r="F1760" s="0" t="inlineStr">
        <is>
          <t>NULL</t>
        </is>
      </c>
      <c r="G1760" s="0" t="inlineStr">
        <is>
          <t>NULL</t>
        </is>
      </c>
      <c r="H1760" s="0" t="inlineStr">
        <is>
          <t>NULL</t>
        </is>
      </c>
      <c r="I1760" s="0" t="inlineStr">
        <is>
          <t>NULL</t>
        </is>
      </c>
      <c r="J1760" s="0" t="inlineStr">
        <is>
          <t>NULL</t>
        </is>
      </c>
      <c r="K1760" s="0" t="inlineStr">
        <is>
          <t>YES! 	 c_decimal38_38列源备映射正确，源端为decimal None位	期望更改为decimal(p,s)	实际备端为decimal None位</t>
        </is>
      </c>
    </row>
    <row r="1761">
      <c r="B1761" s="0" t="inlineStr">
        <is>
          <t>NULL</t>
        </is>
      </c>
      <c r="C1761" s="0" t="inlineStr">
        <is>
          <t>NULL</t>
        </is>
      </c>
      <c r="D1761" s="0" t="inlineStr">
        <is>
          <t>NULL</t>
        </is>
      </c>
      <c r="E1761" s="0" t="inlineStr">
        <is>
          <t>NULL</t>
        </is>
      </c>
      <c r="F1761" s="0" t="inlineStr">
        <is>
          <t>NULL</t>
        </is>
      </c>
      <c r="G1761" s="0" t="inlineStr">
        <is>
          <t>NULL</t>
        </is>
      </c>
      <c r="H1761" s="0" t="inlineStr">
        <is>
          <t>NULL</t>
        </is>
      </c>
      <c r="I1761" s="0" t="inlineStr">
        <is>
          <t>NULL</t>
        </is>
      </c>
      <c r="J1761" s="0" t="inlineStr">
        <is>
          <t>NULL</t>
        </is>
      </c>
      <c r="K1761" s="0" t="inlineStr">
        <is>
          <t>YES! 	 c_decimal38_10列源备映射正确，源端为decimal None位	期望更改为decimal(p,s)	实际备端为decimal None位</t>
        </is>
      </c>
    </row>
    <row r="1762">
      <c r="B1762" s="0" t="inlineStr">
        <is>
          <t>NULL</t>
        </is>
      </c>
      <c r="C1762" s="0" t="inlineStr">
        <is>
          <t>NULL</t>
        </is>
      </c>
      <c r="D1762" s="0" t="inlineStr">
        <is>
          <t>NULL</t>
        </is>
      </c>
      <c r="E1762" s="0" t="inlineStr">
        <is>
          <t>NULL</t>
        </is>
      </c>
      <c r="F1762" s="0" t="inlineStr">
        <is>
          <t>NULL</t>
        </is>
      </c>
      <c r="G1762" s="0" t="inlineStr">
        <is>
          <t>NULL</t>
        </is>
      </c>
      <c r="H1762" s="0" t="inlineStr">
        <is>
          <t>NULL</t>
        </is>
      </c>
      <c r="I1762" s="0" t="inlineStr">
        <is>
          <t>NULL</t>
        </is>
      </c>
      <c r="J1762" s="0" t="inlineStr">
        <is>
          <t>NULL</t>
        </is>
      </c>
      <c r="K1762" s="0" t="inlineStr">
        <is>
          <t>YES! 	 c_decimal19_4列源备映射正确，源端为decimal None位	期望更改为decimal(p,s)	实际备端为decimal None位</t>
        </is>
      </c>
    </row>
    <row r="1763">
      <c r="B1763" s="0" t="inlineStr">
        <is>
          <t>NULL</t>
        </is>
      </c>
      <c r="C1763" s="0" t="inlineStr">
        <is>
          <t>NULL</t>
        </is>
      </c>
      <c r="D1763" s="0" t="inlineStr">
        <is>
          <t>NULL</t>
        </is>
      </c>
      <c r="E1763" s="0" t="inlineStr">
        <is>
          <t>NULL</t>
        </is>
      </c>
      <c r="F1763" s="0" t="inlineStr">
        <is>
          <t>NULL</t>
        </is>
      </c>
      <c r="G1763" s="0" t="inlineStr">
        <is>
          <t>NULL</t>
        </is>
      </c>
      <c r="H1763" s="0" t="inlineStr">
        <is>
          <t>NULL</t>
        </is>
      </c>
      <c r="I1763" s="0" t="inlineStr">
        <is>
          <t>NULL</t>
        </is>
      </c>
      <c r="J1763" s="0" t="inlineStr">
        <is>
          <t>NULL</t>
        </is>
      </c>
      <c r="K1763" s="0" t="inlineStr">
        <is>
          <t>YES! 	 c_numeric列源备映射正确，源端为numeric None位	期望更改为numeric(p,s)	实际备端为numeric None位</t>
        </is>
      </c>
    </row>
    <row r="1764">
      <c r="B1764" s="0" t="inlineStr">
        <is>
          <t>NULL</t>
        </is>
      </c>
      <c r="C1764" s="0" t="inlineStr">
        <is>
          <t>NULL</t>
        </is>
      </c>
      <c r="D1764" s="0" t="inlineStr">
        <is>
          <t>NULL</t>
        </is>
      </c>
      <c r="E1764" s="0" t="inlineStr">
        <is>
          <t>NULL</t>
        </is>
      </c>
      <c r="F1764" s="0" t="inlineStr">
        <is>
          <t>NULL</t>
        </is>
      </c>
      <c r="G1764" s="0" t="inlineStr">
        <is>
          <t>NULL</t>
        </is>
      </c>
      <c r="H1764" s="0" t="inlineStr">
        <is>
          <t>NULL</t>
        </is>
      </c>
      <c r="I1764" s="0" t="inlineStr">
        <is>
          <t>NULL</t>
        </is>
      </c>
      <c r="J1764" s="0" t="inlineStr">
        <is>
          <t>NULL</t>
        </is>
      </c>
      <c r="K1764" s="0" t="inlineStr">
        <is>
          <t>YES! 	 c_numeric38列源备映射正确，源端为numeric None位	期望更改为numeric(p,s)	实际备端为numeric None位</t>
        </is>
      </c>
    </row>
    <row r="1765">
      <c r="B1765" s="0" t="inlineStr">
        <is>
          <t>NULL</t>
        </is>
      </c>
      <c r="C1765" s="0" t="inlineStr">
        <is>
          <t>NULL</t>
        </is>
      </c>
      <c r="D1765" s="0" t="inlineStr">
        <is>
          <t>NULL</t>
        </is>
      </c>
      <c r="E1765" s="0" t="inlineStr">
        <is>
          <t>NULL</t>
        </is>
      </c>
      <c r="F1765" s="0" t="inlineStr">
        <is>
          <t>NULL</t>
        </is>
      </c>
      <c r="G1765" s="0" t="inlineStr">
        <is>
          <t>NULL</t>
        </is>
      </c>
      <c r="H1765" s="0" t="inlineStr">
        <is>
          <t>NULL</t>
        </is>
      </c>
      <c r="I1765" s="0" t="inlineStr">
        <is>
          <t>NULL</t>
        </is>
      </c>
      <c r="J1765" s="0" t="inlineStr">
        <is>
          <t>NULL</t>
        </is>
      </c>
      <c r="K1765" s="0" t="inlineStr">
        <is>
          <t>YES! 	 c_numeric38_38列源备映射正确，源端为numeric None位	期望更改为numeric(p,s)	实际备端为numeric None位</t>
        </is>
      </c>
    </row>
    <row r="1766">
      <c r="B1766" s="0" t="inlineStr">
        <is>
          <t>NULL</t>
        </is>
      </c>
      <c r="C1766" s="0" t="inlineStr">
        <is>
          <t>NULL</t>
        </is>
      </c>
      <c r="D1766" s="0" t="inlineStr">
        <is>
          <t>NULL</t>
        </is>
      </c>
      <c r="E1766" s="0" t="inlineStr">
        <is>
          <t>NULL</t>
        </is>
      </c>
      <c r="F1766" s="0" t="inlineStr">
        <is>
          <t>NULL</t>
        </is>
      </c>
      <c r="G1766" s="0" t="inlineStr">
        <is>
          <t>NULL</t>
        </is>
      </c>
      <c r="H1766" s="0" t="inlineStr">
        <is>
          <t>NULL</t>
        </is>
      </c>
      <c r="I1766" s="0" t="inlineStr">
        <is>
          <t>NULL</t>
        </is>
      </c>
      <c r="J1766" s="0" t="inlineStr">
        <is>
          <t>NULL</t>
        </is>
      </c>
      <c r="K1766" s="0" t="inlineStr">
        <is>
          <t>YES! 	 c_numeric38_10列源备映射正确，源端为numeric None位	期望更改为numeric(p,s)	实际备端为numeric None位</t>
        </is>
      </c>
    </row>
    <row r="1767">
      <c r="B1767" s="0" t="inlineStr">
        <is>
          <t>NULL</t>
        </is>
      </c>
      <c r="C1767" s="0" t="inlineStr">
        <is>
          <t>NULL</t>
        </is>
      </c>
      <c r="D1767" s="0" t="inlineStr">
        <is>
          <t>NULL</t>
        </is>
      </c>
      <c r="E1767" s="0" t="inlineStr">
        <is>
          <t>NULL</t>
        </is>
      </c>
      <c r="F1767" s="0" t="inlineStr">
        <is>
          <t>NULL</t>
        </is>
      </c>
      <c r="G1767" s="0" t="inlineStr">
        <is>
          <t>NULL</t>
        </is>
      </c>
      <c r="H1767" s="0" t="inlineStr">
        <is>
          <t>NULL</t>
        </is>
      </c>
      <c r="I1767" s="0" t="inlineStr">
        <is>
          <t>NULL</t>
        </is>
      </c>
      <c r="J1767" s="0" t="inlineStr">
        <is>
          <t>NULL</t>
        </is>
      </c>
      <c r="K1767" s="0" t="inlineStr">
        <is>
          <t>YES! 	 c_numeric18_2列源备映射正确，源端为numeric None位	期望更改为numeric(p,s)	实际备端为numeric None位</t>
        </is>
      </c>
    </row>
    <row r="1768">
      <c r="B1768" s="0" t="inlineStr">
        <is>
          <t>NULL</t>
        </is>
      </c>
      <c r="C1768" s="0" t="inlineStr">
        <is>
          <t>NULL</t>
        </is>
      </c>
      <c r="D1768" s="0" t="inlineStr">
        <is>
          <t>NULL</t>
        </is>
      </c>
      <c r="E1768" s="0" t="inlineStr">
        <is>
          <t>NULL</t>
        </is>
      </c>
      <c r="F1768" s="0" t="inlineStr">
        <is>
          <t>NULL</t>
        </is>
      </c>
      <c r="G1768" s="0" t="inlineStr">
        <is>
          <t>NULL</t>
        </is>
      </c>
      <c r="H1768" s="0" t="inlineStr">
        <is>
          <t>NULL</t>
        </is>
      </c>
      <c r="I1768" s="0" t="inlineStr">
        <is>
          <t>NULL</t>
        </is>
      </c>
      <c r="J1768" s="0" t="inlineStr">
        <is>
          <t>NULL</t>
        </is>
      </c>
      <c r="K1768" s="0" t="inlineStr">
        <is>
          <t>YES! 	 c_float列源备映射正确，源端为float None位	期望更改为float	实际备端为float None位</t>
        </is>
      </c>
    </row>
    <row r="1769">
      <c r="B1769" s="0" t="inlineStr">
        <is>
          <t>NULL</t>
        </is>
      </c>
      <c r="C1769" s="0" t="inlineStr">
        <is>
          <t>NULL</t>
        </is>
      </c>
      <c r="D1769" s="0" t="inlineStr">
        <is>
          <t>NULL</t>
        </is>
      </c>
      <c r="E1769" s="0" t="inlineStr">
        <is>
          <t>NULL</t>
        </is>
      </c>
      <c r="F1769" s="0" t="inlineStr">
        <is>
          <t>NULL</t>
        </is>
      </c>
      <c r="G1769" s="0" t="inlineStr">
        <is>
          <t>NULL</t>
        </is>
      </c>
      <c r="H1769" s="0" t="inlineStr">
        <is>
          <t>NULL</t>
        </is>
      </c>
      <c r="I1769" s="0" t="inlineStr">
        <is>
          <t>NULL</t>
        </is>
      </c>
      <c r="J1769" s="0" t="inlineStr">
        <is>
          <t>NULL</t>
        </is>
      </c>
      <c r="K1769" s="0" t="inlineStr">
        <is>
          <t>YES! 	 c_real列源备映射正确，源端为real None位	期望更改为real	实际备端为real None位</t>
        </is>
      </c>
    </row>
    <row r="1770">
      <c r="B1770" s="0" t="inlineStr">
        <is>
          <t>NULL</t>
        </is>
      </c>
      <c r="C1770" s="0" t="inlineStr">
        <is>
          <t>NULL</t>
        </is>
      </c>
      <c r="D1770" s="0" t="inlineStr">
        <is>
          <t>NULL</t>
        </is>
      </c>
      <c r="E1770" s="0" t="inlineStr">
        <is>
          <t>NULL</t>
        </is>
      </c>
      <c r="F1770" s="0" t="inlineStr">
        <is>
          <t>NULL</t>
        </is>
      </c>
      <c r="G1770" s="0" t="inlineStr">
        <is>
          <t>NULL</t>
        </is>
      </c>
      <c r="H1770" s="0" t="inlineStr">
        <is>
          <t>NULL</t>
        </is>
      </c>
      <c r="I1770" s="0" t="inlineStr">
        <is>
          <t>NULL</t>
        </is>
      </c>
      <c r="J1770" s="0" t="inlineStr">
        <is>
          <t>NULL</t>
        </is>
      </c>
      <c r="K1770" s="0" t="inlineStr">
        <is>
          <t>YES! 	 c_money列源备映射正确，源端为money None位	期望更改为money	实际备端为money None位</t>
        </is>
      </c>
    </row>
    <row r="1771">
      <c r="B1771" s="0" t="inlineStr">
        <is>
          <t>NULL</t>
        </is>
      </c>
      <c r="C1771" s="0" t="inlineStr">
        <is>
          <t>NULL</t>
        </is>
      </c>
      <c r="D1771" s="0" t="inlineStr">
        <is>
          <t>NULL</t>
        </is>
      </c>
      <c r="E1771" s="0" t="inlineStr">
        <is>
          <t>NULL</t>
        </is>
      </c>
      <c r="F1771" s="0" t="inlineStr">
        <is>
          <t>NULL</t>
        </is>
      </c>
      <c r="G1771" s="0" t="inlineStr">
        <is>
          <t>NULL</t>
        </is>
      </c>
      <c r="H1771" s="0" t="inlineStr">
        <is>
          <t>NULL</t>
        </is>
      </c>
      <c r="I1771" s="0" t="inlineStr">
        <is>
          <t>NULL</t>
        </is>
      </c>
      <c r="J1771" s="0" t="inlineStr">
        <is>
          <t>NULL</t>
        </is>
      </c>
      <c r="K1771" s="0" t="inlineStr">
        <is>
          <t>YES! 	 c_smallmoney列源备映射正确，源端为smallmoney None位	期望更改为smallmoney	实际备端为smallmoney None位</t>
        </is>
      </c>
    </row>
    <row r="1772">
      <c r="B1772" s="0" t="inlineStr">
        <is>
          <t>NULL</t>
        </is>
      </c>
      <c r="C1772" s="0" t="inlineStr">
        <is>
          <t>NULL</t>
        </is>
      </c>
      <c r="D1772" s="0" t="inlineStr">
        <is>
          <t>NULL</t>
        </is>
      </c>
      <c r="E1772" s="0" t="inlineStr">
        <is>
          <t>NULL</t>
        </is>
      </c>
      <c r="F1772" s="0" t="inlineStr">
        <is>
          <t>NULL</t>
        </is>
      </c>
      <c r="G1772" s="0" t="inlineStr">
        <is>
          <t>NULL</t>
        </is>
      </c>
      <c r="H1772" s="0" t="inlineStr">
        <is>
          <t>NULL</t>
        </is>
      </c>
      <c r="I1772" s="0" t="inlineStr">
        <is>
          <t>NULL</t>
        </is>
      </c>
      <c r="J1772" s="0" t="inlineStr">
        <is>
          <t>NULL</t>
        </is>
      </c>
      <c r="K1772" s="0" t="inlineStr">
        <is>
          <t>YES! 	 c_bit列源备映射正确，源端为bit None位	期望更改为bit	实际备端为bit None位</t>
        </is>
      </c>
    </row>
    <row r="1773">
      <c r="A1773" s="0" t="inlineStr">
        <is>
          <t>info_int_dml_batch1_pk_urp1</t>
        </is>
      </c>
      <c r="K1773" s="0" t="inlineStr">
        <is>
          <t>[0;34m info_int_dml_batch1_pk_urp1 [0m源备字段数相同，源端字段：20 	备端字段20</t>
        </is>
      </c>
      <c r="W1773" s="0" t="inlineStr">
        <is>
          <t>YES 源备无差异</t>
        </is>
      </c>
      <c r="X1773" s="0">
        <f>A1773</f>
        <v/>
      </c>
    </row>
    <row r="1774">
      <c r="B1774" s="0" t="inlineStr">
        <is>
          <t>YES</t>
        </is>
      </c>
      <c r="C1774" s="0" t="inlineStr">
        <is>
          <t>NULL</t>
        </is>
      </c>
      <c r="D1774" s="0" t="inlineStr">
        <is>
          <t>NULL</t>
        </is>
      </c>
      <c r="E1774" s="0" t="inlineStr">
        <is>
          <t>NULL</t>
        </is>
      </c>
      <c r="F1774" s="0" t="inlineStr">
        <is>
          <t>NULL</t>
        </is>
      </c>
      <c r="G1774" s="0" t="inlineStr">
        <is>
          <t>NULL</t>
        </is>
      </c>
      <c r="H1774" s="0" t="inlineStr">
        <is>
          <t>NULL</t>
        </is>
      </c>
      <c r="I1774" s="0" t="inlineStr">
        <is>
          <t>YES!PK__info_int__3213E83FE0417859</t>
        </is>
      </c>
      <c r="J1774" s="0" t="inlineStr">
        <is>
          <t>YES! 主键相关索引</t>
        </is>
      </c>
      <c r="K1774" s="0" t="inlineStr">
        <is>
          <t>YES! 	 id列源备映射正确，源端为int None位	期望更改为int	实际备端为int None位</t>
        </is>
      </c>
    </row>
    <row r="1775">
      <c r="B1775" s="0" t="inlineStr">
        <is>
          <t>NULL</t>
        </is>
      </c>
      <c r="C1775" s="0" t="inlineStr">
        <is>
          <t>NULL</t>
        </is>
      </c>
      <c r="D1775" s="0" t="inlineStr">
        <is>
          <t>NULL</t>
        </is>
      </c>
      <c r="E1775" s="0" t="inlineStr">
        <is>
          <t>NULL</t>
        </is>
      </c>
      <c r="F1775" s="0" t="inlineStr">
        <is>
          <t>NULL</t>
        </is>
      </c>
      <c r="G1775" s="0" t="inlineStr">
        <is>
          <t>NULL</t>
        </is>
      </c>
      <c r="H1775" s="0" t="inlineStr">
        <is>
          <t>NULL</t>
        </is>
      </c>
      <c r="I1775" s="0" t="inlineStr">
        <is>
          <t>NULL</t>
        </is>
      </c>
      <c r="J1775" s="0" t="inlineStr">
        <is>
          <t>NULL</t>
        </is>
      </c>
      <c r="K1775" s="0" t="inlineStr">
        <is>
          <t>YES! 	 c_tinyint列源备映射正确，源端为tinyint None位	期望更改为tinyint	实际备端为tinyint None位</t>
        </is>
      </c>
    </row>
    <row r="1776">
      <c r="B1776" s="0" t="inlineStr">
        <is>
          <t>NULL</t>
        </is>
      </c>
      <c r="C1776" s="0" t="inlineStr">
        <is>
          <t>NULL</t>
        </is>
      </c>
      <c r="D1776" s="0" t="inlineStr">
        <is>
          <t>NULL</t>
        </is>
      </c>
      <c r="E1776" s="0" t="inlineStr">
        <is>
          <t>NULL</t>
        </is>
      </c>
      <c r="F1776" s="0" t="inlineStr">
        <is>
          <t>NULL</t>
        </is>
      </c>
      <c r="G1776" s="0" t="inlineStr">
        <is>
          <t>NULL</t>
        </is>
      </c>
      <c r="H1776" s="0" t="inlineStr">
        <is>
          <t>NULL</t>
        </is>
      </c>
      <c r="I1776" s="0" t="inlineStr">
        <is>
          <t>NULL</t>
        </is>
      </c>
      <c r="J1776" s="0" t="inlineStr">
        <is>
          <t>NULL</t>
        </is>
      </c>
      <c r="K1776" s="0" t="inlineStr">
        <is>
          <t>YES! 	 c_smallint列源备映射正确，源端为smallint None位	期望更改为smallint	实际备端为smallint None位</t>
        </is>
      </c>
    </row>
    <row r="1777">
      <c r="B1777" s="0" t="inlineStr">
        <is>
          <t>NULL</t>
        </is>
      </c>
      <c r="C1777" s="0" t="inlineStr">
        <is>
          <t>NULL</t>
        </is>
      </c>
      <c r="D1777" s="0" t="inlineStr">
        <is>
          <t>NULL</t>
        </is>
      </c>
      <c r="E1777" s="0" t="inlineStr">
        <is>
          <t>NULL</t>
        </is>
      </c>
      <c r="F1777" s="0" t="inlineStr">
        <is>
          <t>NULL</t>
        </is>
      </c>
      <c r="G1777" s="0" t="inlineStr">
        <is>
          <t>NULL</t>
        </is>
      </c>
      <c r="H1777" s="0" t="inlineStr">
        <is>
          <t>NULL</t>
        </is>
      </c>
      <c r="I1777" s="0" t="inlineStr">
        <is>
          <t>NULL</t>
        </is>
      </c>
      <c r="J1777" s="0" t="inlineStr">
        <is>
          <t>NULL</t>
        </is>
      </c>
      <c r="K1777" s="0" t="inlineStr">
        <is>
          <t>YES! 	 c_int列源备映射正确，源端为int None位	期望更改为int	实际备端为int None位</t>
        </is>
      </c>
    </row>
    <row r="1778">
      <c r="B1778" s="0" t="inlineStr">
        <is>
          <t>NULL</t>
        </is>
      </c>
      <c r="C1778" s="0" t="inlineStr">
        <is>
          <t>NULL</t>
        </is>
      </c>
      <c r="D1778" s="0" t="inlineStr">
        <is>
          <t>NULL</t>
        </is>
      </c>
      <c r="E1778" s="0" t="inlineStr">
        <is>
          <t>NULL</t>
        </is>
      </c>
      <c r="F1778" s="0" t="inlineStr">
        <is>
          <t>NULL</t>
        </is>
      </c>
      <c r="G1778" s="0" t="inlineStr">
        <is>
          <t>NULL</t>
        </is>
      </c>
      <c r="H1778" s="0" t="inlineStr">
        <is>
          <t>NULL</t>
        </is>
      </c>
      <c r="I1778" s="0" t="inlineStr">
        <is>
          <t>NULL</t>
        </is>
      </c>
      <c r="J1778" s="0" t="inlineStr">
        <is>
          <t>NULL</t>
        </is>
      </c>
      <c r="K1778" s="0" t="inlineStr">
        <is>
          <t>YES! 	 c_bigint列源备映射正确，源端为bigint None位	期望更改为bigint	实际备端为bigint None位</t>
        </is>
      </c>
    </row>
    <row r="1779">
      <c r="B1779" s="0" t="inlineStr">
        <is>
          <t>NULL</t>
        </is>
      </c>
      <c r="C1779" s="0" t="inlineStr">
        <is>
          <t>NULL</t>
        </is>
      </c>
      <c r="D1779" s="0" t="inlineStr">
        <is>
          <t>NULL</t>
        </is>
      </c>
      <c r="E1779" s="0" t="inlineStr">
        <is>
          <t>NULL</t>
        </is>
      </c>
      <c r="F1779" s="0" t="inlineStr">
        <is>
          <t>NULL</t>
        </is>
      </c>
      <c r="G1779" s="0" t="inlineStr">
        <is>
          <t>NULL</t>
        </is>
      </c>
      <c r="H1779" s="0" t="inlineStr">
        <is>
          <t>NULL</t>
        </is>
      </c>
      <c r="I1779" s="0" t="inlineStr">
        <is>
          <t>NULL</t>
        </is>
      </c>
      <c r="J1779" s="0" t="inlineStr">
        <is>
          <t>NULL</t>
        </is>
      </c>
      <c r="K1779" s="0" t="inlineStr">
        <is>
          <t>YES! 	 c_decimal列源备映射正确，源端为decimal None位	期望更改为decimal(p,s)	实际备端为decimal None位</t>
        </is>
      </c>
    </row>
    <row r="1780">
      <c r="B1780" s="0" t="inlineStr">
        <is>
          <t>NULL</t>
        </is>
      </c>
      <c r="C1780" s="0" t="inlineStr">
        <is>
          <t>NULL</t>
        </is>
      </c>
      <c r="D1780" s="0" t="inlineStr">
        <is>
          <t>NULL</t>
        </is>
      </c>
      <c r="E1780" s="0" t="inlineStr">
        <is>
          <t>NULL</t>
        </is>
      </c>
      <c r="F1780" s="0" t="inlineStr">
        <is>
          <t>NULL</t>
        </is>
      </c>
      <c r="G1780" s="0" t="inlineStr">
        <is>
          <t>NULL</t>
        </is>
      </c>
      <c r="H1780" s="0" t="inlineStr">
        <is>
          <t>NULL</t>
        </is>
      </c>
      <c r="I1780" s="0" t="inlineStr">
        <is>
          <t>NULL</t>
        </is>
      </c>
      <c r="J1780" s="0" t="inlineStr">
        <is>
          <t>NULL</t>
        </is>
      </c>
      <c r="K1780" s="0" t="inlineStr">
        <is>
          <t>YES! 	 c_decimal38列源备映射正确，源端为decimal None位	期望更改为decimal(p,s)	实际备端为decimal None位</t>
        </is>
      </c>
    </row>
    <row r="1781">
      <c r="B1781" s="0" t="inlineStr">
        <is>
          <t>NULL</t>
        </is>
      </c>
      <c r="C1781" s="0" t="inlineStr">
        <is>
          <t>NULL</t>
        </is>
      </c>
      <c r="D1781" s="0" t="inlineStr">
        <is>
          <t>NULL</t>
        </is>
      </c>
      <c r="E1781" s="0" t="inlineStr">
        <is>
          <t>NULL</t>
        </is>
      </c>
      <c r="F1781" s="0" t="inlineStr">
        <is>
          <t>NULL</t>
        </is>
      </c>
      <c r="G1781" s="0" t="inlineStr">
        <is>
          <t>NULL</t>
        </is>
      </c>
      <c r="H1781" s="0" t="inlineStr">
        <is>
          <t>NULL</t>
        </is>
      </c>
      <c r="I1781" s="0" t="inlineStr">
        <is>
          <t>NULL</t>
        </is>
      </c>
      <c r="J1781" s="0" t="inlineStr">
        <is>
          <t>NULL</t>
        </is>
      </c>
      <c r="K1781" s="0" t="inlineStr">
        <is>
          <t>YES! 	 c_decimal38_38列源备映射正确，源端为decimal None位	期望更改为decimal(p,s)	实际备端为decimal None位</t>
        </is>
      </c>
    </row>
    <row r="1782">
      <c r="B1782" s="0" t="inlineStr">
        <is>
          <t>NULL</t>
        </is>
      </c>
      <c r="C1782" s="0" t="inlineStr">
        <is>
          <t>NULL</t>
        </is>
      </c>
      <c r="D1782" s="0" t="inlineStr">
        <is>
          <t>NULL</t>
        </is>
      </c>
      <c r="E1782" s="0" t="inlineStr">
        <is>
          <t>NULL</t>
        </is>
      </c>
      <c r="F1782" s="0" t="inlineStr">
        <is>
          <t>NULL</t>
        </is>
      </c>
      <c r="G1782" s="0" t="inlineStr">
        <is>
          <t>NULL</t>
        </is>
      </c>
      <c r="H1782" s="0" t="inlineStr">
        <is>
          <t>NULL</t>
        </is>
      </c>
      <c r="I1782" s="0" t="inlineStr">
        <is>
          <t>NULL</t>
        </is>
      </c>
      <c r="J1782" s="0" t="inlineStr">
        <is>
          <t>NULL</t>
        </is>
      </c>
      <c r="K1782" s="0" t="inlineStr">
        <is>
          <t>YES! 	 c_decimal38_10列源备映射正确，源端为decimal None位	期望更改为decimal(p,s)	实际备端为decimal None位</t>
        </is>
      </c>
    </row>
    <row r="1783">
      <c r="B1783" s="0" t="inlineStr">
        <is>
          <t>NULL</t>
        </is>
      </c>
      <c r="C1783" s="0" t="inlineStr">
        <is>
          <t>NULL</t>
        </is>
      </c>
      <c r="D1783" s="0" t="inlineStr">
        <is>
          <t>NULL</t>
        </is>
      </c>
      <c r="E1783" s="0" t="inlineStr">
        <is>
          <t>NULL</t>
        </is>
      </c>
      <c r="F1783" s="0" t="inlineStr">
        <is>
          <t>NULL</t>
        </is>
      </c>
      <c r="G1783" s="0" t="inlineStr">
        <is>
          <t>NULL</t>
        </is>
      </c>
      <c r="H1783" s="0" t="inlineStr">
        <is>
          <t>NULL</t>
        </is>
      </c>
      <c r="I1783" s="0" t="inlineStr">
        <is>
          <t>NULL</t>
        </is>
      </c>
      <c r="J1783" s="0" t="inlineStr">
        <is>
          <t>NULL</t>
        </is>
      </c>
      <c r="K1783" s="0" t="inlineStr">
        <is>
          <t>YES! 	 c_decimal19_4列源备映射正确，源端为decimal None位	期望更改为decimal(p,s)	实际备端为decimal None位</t>
        </is>
      </c>
    </row>
    <row r="1784">
      <c r="B1784" s="0" t="inlineStr">
        <is>
          <t>NULL</t>
        </is>
      </c>
      <c r="C1784" s="0" t="inlineStr">
        <is>
          <t>NULL</t>
        </is>
      </c>
      <c r="D1784" s="0" t="inlineStr">
        <is>
          <t>NULL</t>
        </is>
      </c>
      <c r="E1784" s="0" t="inlineStr">
        <is>
          <t>NULL</t>
        </is>
      </c>
      <c r="F1784" s="0" t="inlineStr">
        <is>
          <t>NULL</t>
        </is>
      </c>
      <c r="G1784" s="0" t="inlineStr">
        <is>
          <t>NULL</t>
        </is>
      </c>
      <c r="H1784" s="0" t="inlineStr">
        <is>
          <t>NULL</t>
        </is>
      </c>
      <c r="I1784" s="0" t="inlineStr">
        <is>
          <t>NULL</t>
        </is>
      </c>
      <c r="J1784" s="0" t="inlineStr">
        <is>
          <t>NULL</t>
        </is>
      </c>
      <c r="K1784" s="0" t="inlineStr">
        <is>
          <t>YES! 	 c_numeric列源备映射正确，源端为numeric None位	期望更改为numeric(p,s)	实际备端为numeric None位</t>
        </is>
      </c>
    </row>
    <row r="1785">
      <c r="B1785" s="0" t="inlineStr">
        <is>
          <t>NULL</t>
        </is>
      </c>
      <c r="C1785" s="0" t="inlineStr">
        <is>
          <t>NULL</t>
        </is>
      </c>
      <c r="D1785" s="0" t="inlineStr">
        <is>
          <t>NULL</t>
        </is>
      </c>
      <c r="E1785" s="0" t="inlineStr">
        <is>
          <t>NULL</t>
        </is>
      </c>
      <c r="F1785" s="0" t="inlineStr">
        <is>
          <t>NULL</t>
        </is>
      </c>
      <c r="G1785" s="0" t="inlineStr">
        <is>
          <t>NULL</t>
        </is>
      </c>
      <c r="H1785" s="0" t="inlineStr">
        <is>
          <t>NULL</t>
        </is>
      </c>
      <c r="I1785" s="0" t="inlineStr">
        <is>
          <t>NULL</t>
        </is>
      </c>
      <c r="J1785" s="0" t="inlineStr">
        <is>
          <t>NULL</t>
        </is>
      </c>
      <c r="K1785" s="0" t="inlineStr">
        <is>
          <t>YES! 	 c_numeric38列源备映射正确，源端为numeric None位	期望更改为numeric(p,s)	实际备端为numeric None位</t>
        </is>
      </c>
    </row>
    <row r="1786">
      <c r="B1786" s="0" t="inlineStr">
        <is>
          <t>NULL</t>
        </is>
      </c>
      <c r="C1786" s="0" t="inlineStr">
        <is>
          <t>NULL</t>
        </is>
      </c>
      <c r="D1786" s="0" t="inlineStr">
        <is>
          <t>NULL</t>
        </is>
      </c>
      <c r="E1786" s="0" t="inlineStr">
        <is>
          <t>NULL</t>
        </is>
      </c>
      <c r="F1786" s="0" t="inlineStr">
        <is>
          <t>NULL</t>
        </is>
      </c>
      <c r="G1786" s="0" t="inlineStr">
        <is>
          <t>NULL</t>
        </is>
      </c>
      <c r="H1786" s="0" t="inlineStr">
        <is>
          <t>NULL</t>
        </is>
      </c>
      <c r="I1786" s="0" t="inlineStr">
        <is>
          <t>NULL</t>
        </is>
      </c>
      <c r="J1786" s="0" t="inlineStr">
        <is>
          <t>NULL</t>
        </is>
      </c>
      <c r="K1786" s="0" t="inlineStr">
        <is>
          <t>YES! 	 c_numeric38_38列源备映射正确，源端为numeric None位	期望更改为numeric(p,s)	实际备端为numeric None位</t>
        </is>
      </c>
    </row>
    <row r="1787">
      <c r="B1787" s="0" t="inlineStr">
        <is>
          <t>NULL</t>
        </is>
      </c>
      <c r="C1787" s="0" t="inlineStr">
        <is>
          <t>NULL</t>
        </is>
      </c>
      <c r="D1787" s="0" t="inlineStr">
        <is>
          <t>NULL</t>
        </is>
      </c>
      <c r="E1787" s="0" t="inlineStr">
        <is>
          <t>NULL</t>
        </is>
      </c>
      <c r="F1787" s="0" t="inlineStr">
        <is>
          <t>NULL</t>
        </is>
      </c>
      <c r="G1787" s="0" t="inlineStr">
        <is>
          <t>NULL</t>
        </is>
      </c>
      <c r="H1787" s="0" t="inlineStr">
        <is>
          <t>NULL</t>
        </is>
      </c>
      <c r="I1787" s="0" t="inlineStr">
        <is>
          <t>NULL</t>
        </is>
      </c>
      <c r="J1787" s="0" t="inlineStr">
        <is>
          <t>NULL</t>
        </is>
      </c>
      <c r="K1787" s="0" t="inlineStr">
        <is>
          <t>YES! 	 c_numeric38_10列源备映射正确，源端为numeric None位	期望更改为numeric(p,s)	实际备端为numeric None位</t>
        </is>
      </c>
    </row>
    <row r="1788">
      <c r="B1788" s="0" t="inlineStr">
        <is>
          <t>NULL</t>
        </is>
      </c>
      <c r="C1788" s="0" t="inlineStr">
        <is>
          <t>NULL</t>
        </is>
      </c>
      <c r="D1788" s="0" t="inlineStr">
        <is>
          <t>NULL</t>
        </is>
      </c>
      <c r="E1788" s="0" t="inlineStr">
        <is>
          <t>NULL</t>
        </is>
      </c>
      <c r="F1788" s="0" t="inlineStr">
        <is>
          <t>NULL</t>
        </is>
      </c>
      <c r="G1788" s="0" t="inlineStr">
        <is>
          <t>NULL</t>
        </is>
      </c>
      <c r="H1788" s="0" t="inlineStr">
        <is>
          <t>NULL</t>
        </is>
      </c>
      <c r="I1788" s="0" t="inlineStr">
        <is>
          <t>NULL</t>
        </is>
      </c>
      <c r="J1788" s="0" t="inlineStr">
        <is>
          <t>NULL</t>
        </is>
      </c>
      <c r="K1788" s="0" t="inlineStr">
        <is>
          <t>YES! 	 c_numeric18_2列源备映射正确，源端为numeric None位	期望更改为numeric(p,s)	实际备端为numeric None位</t>
        </is>
      </c>
    </row>
    <row r="1789">
      <c r="B1789" s="0" t="inlineStr">
        <is>
          <t>NULL</t>
        </is>
      </c>
      <c r="C1789" s="0" t="inlineStr">
        <is>
          <t>NULL</t>
        </is>
      </c>
      <c r="D1789" s="0" t="inlineStr">
        <is>
          <t>NULL</t>
        </is>
      </c>
      <c r="E1789" s="0" t="inlineStr">
        <is>
          <t>NULL</t>
        </is>
      </c>
      <c r="F1789" s="0" t="inlineStr">
        <is>
          <t>NULL</t>
        </is>
      </c>
      <c r="G1789" s="0" t="inlineStr">
        <is>
          <t>NULL</t>
        </is>
      </c>
      <c r="H1789" s="0" t="inlineStr">
        <is>
          <t>NULL</t>
        </is>
      </c>
      <c r="I1789" s="0" t="inlineStr">
        <is>
          <t>NULL</t>
        </is>
      </c>
      <c r="J1789" s="0" t="inlineStr">
        <is>
          <t>NULL</t>
        </is>
      </c>
      <c r="K1789" s="0" t="inlineStr">
        <is>
          <t>YES! 	 c_float列源备映射正确，源端为float None位	期望更改为float	实际备端为float None位</t>
        </is>
      </c>
    </row>
    <row r="1790">
      <c r="B1790" s="0" t="inlineStr">
        <is>
          <t>NULL</t>
        </is>
      </c>
      <c r="C1790" s="0" t="inlineStr">
        <is>
          <t>NULL</t>
        </is>
      </c>
      <c r="D1790" s="0" t="inlineStr">
        <is>
          <t>NULL</t>
        </is>
      </c>
      <c r="E1790" s="0" t="inlineStr">
        <is>
          <t>NULL</t>
        </is>
      </c>
      <c r="F1790" s="0" t="inlineStr">
        <is>
          <t>NULL</t>
        </is>
      </c>
      <c r="G1790" s="0" t="inlineStr">
        <is>
          <t>NULL</t>
        </is>
      </c>
      <c r="H1790" s="0" t="inlineStr">
        <is>
          <t>NULL</t>
        </is>
      </c>
      <c r="I1790" s="0" t="inlineStr">
        <is>
          <t>NULL</t>
        </is>
      </c>
      <c r="J1790" s="0" t="inlineStr">
        <is>
          <t>NULL</t>
        </is>
      </c>
      <c r="K1790" s="0" t="inlineStr">
        <is>
          <t>YES! 	 c_real列源备映射正确，源端为real None位	期望更改为real	实际备端为real None位</t>
        </is>
      </c>
    </row>
    <row r="1791">
      <c r="B1791" s="0" t="inlineStr">
        <is>
          <t>NULL</t>
        </is>
      </c>
      <c r="C1791" s="0" t="inlineStr">
        <is>
          <t>NULL</t>
        </is>
      </c>
      <c r="D1791" s="0" t="inlineStr">
        <is>
          <t>NULL</t>
        </is>
      </c>
      <c r="E1791" s="0" t="inlineStr">
        <is>
          <t>NULL</t>
        </is>
      </c>
      <c r="F1791" s="0" t="inlineStr">
        <is>
          <t>NULL</t>
        </is>
      </c>
      <c r="G1791" s="0" t="inlineStr">
        <is>
          <t>NULL</t>
        </is>
      </c>
      <c r="H1791" s="0" t="inlineStr">
        <is>
          <t>NULL</t>
        </is>
      </c>
      <c r="I1791" s="0" t="inlineStr">
        <is>
          <t>NULL</t>
        </is>
      </c>
      <c r="J1791" s="0" t="inlineStr">
        <is>
          <t>NULL</t>
        </is>
      </c>
      <c r="K1791" s="0" t="inlineStr">
        <is>
          <t>YES! 	 c_money列源备映射正确，源端为money None位	期望更改为money	实际备端为money None位</t>
        </is>
      </c>
    </row>
    <row r="1792">
      <c r="B1792" s="0" t="inlineStr">
        <is>
          <t>NULL</t>
        </is>
      </c>
      <c r="C1792" s="0" t="inlineStr">
        <is>
          <t>NULL</t>
        </is>
      </c>
      <c r="D1792" s="0" t="inlineStr">
        <is>
          <t>NULL</t>
        </is>
      </c>
      <c r="E1792" s="0" t="inlineStr">
        <is>
          <t>NULL</t>
        </is>
      </c>
      <c r="F1792" s="0" t="inlineStr">
        <is>
          <t>NULL</t>
        </is>
      </c>
      <c r="G1792" s="0" t="inlineStr">
        <is>
          <t>NULL</t>
        </is>
      </c>
      <c r="H1792" s="0" t="inlineStr">
        <is>
          <t>NULL</t>
        </is>
      </c>
      <c r="I1792" s="0" t="inlineStr">
        <is>
          <t>NULL</t>
        </is>
      </c>
      <c r="J1792" s="0" t="inlineStr">
        <is>
          <t>NULL</t>
        </is>
      </c>
      <c r="K1792" s="0" t="inlineStr">
        <is>
          <t>YES! 	 c_smallmoney列源备映射正确，源端为smallmoney None位	期望更改为smallmoney	实际备端为smallmoney None位</t>
        </is>
      </c>
    </row>
    <row r="1793">
      <c r="B1793" s="0" t="inlineStr">
        <is>
          <t>NULL</t>
        </is>
      </c>
      <c r="C1793" s="0" t="inlineStr">
        <is>
          <t>NULL</t>
        </is>
      </c>
      <c r="D1793" s="0" t="inlineStr">
        <is>
          <t>NULL</t>
        </is>
      </c>
      <c r="E1793" s="0" t="inlineStr">
        <is>
          <t>NULL</t>
        </is>
      </c>
      <c r="F1793" s="0" t="inlineStr">
        <is>
          <t>NULL</t>
        </is>
      </c>
      <c r="G1793" s="0" t="inlineStr">
        <is>
          <t>NULL</t>
        </is>
      </c>
      <c r="H1793" s="0" t="inlineStr">
        <is>
          <t>NULL</t>
        </is>
      </c>
      <c r="I1793" s="0" t="inlineStr">
        <is>
          <t>NULL</t>
        </is>
      </c>
      <c r="J1793" s="0" t="inlineStr">
        <is>
          <t>NULL</t>
        </is>
      </c>
      <c r="K1793" s="0" t="inlineStr">
        <is>
          <t>YES! 	 c_bit列源备映射正确，源端为bit None位	期望更改为bit	实际备端为bit None位</t>
        </is>
      </c>
    </row>
    <row r="1794">
      <c r="A1794" s="0" t="inlineStr">
        <is>
          <t>info_int_dml_batch1_pk_urp2</t>
        </is>
      </c>
      <c r="K1794" s="0" t="inlineStr">
        <is>
          <t>[0;34m info_int_dml_batch1_pk_urp2 [0m源备字段数相同，源端字段：20 	备端字段20</t>
        </is>
      </c>
      <c r="W1794" s="0" t="inlineStr">
        <is>
          <t>YES 源备无差异</t>
        </is>
      </c>
      <c r="X1794" s="0">
        <f>A1794</f>
        <v/>
      </c>
    </row>
    <row r="1795">
      <c r="B1795" s="0" t="inlineStr">
        <is>
          <t>YES</t>
        </is>
      </c>
      <c r="C1795" s="0" t="inlineStr">
        <is>
          <t>NULL</t>
        </is>
      </c>
      <c r="D1795" s="0" t="inlineStr">
        <is>
          <t>NULL</t>
        </is>
      </c>
      <c r="E1795" s="0" t="inlineStr">
        <is>
          <t>NULL</t>
        </is>
      </c>
      <c r="F1795" s="0" t="inlineStr">
        <is>
          <t>NULL</t>
        </is>
      </c>
      <c r="G1795" s="0" t="inlineStr">
        <is>
          <t>NULL</t>
        </is>
      </c>
      <c r="H1795" s="0" t="inlineStr">
        <is>
          <t>NULL</t>
        </is>
      </c>
      <c r="I1795" s="0" t="inlineStr">
        <is>
          <t>YES!PK__info_int__3213E83F144F3BF9</t>
        </is>
      </c>
      <c r="J1795" s="0" t="inlineStr">
        <is>
          <t>YES! 主键相关索引</t>
        </is>
      </c>
      <c r="K1795" s="0" t="inlineStr">
        <is>
          <t>YES! 	 id列源备映射正确，源端为int None位	期望更改为int	实际备端为int None位</t>
        </is>
      </c>
    </row>
    <row r="1796">
      <c r="B1796" s="0" t="inlineStr">
        <is>
          <t>NULL</t>
        </is>
      </c>
      <c r="C1796" s="0" t="inlineStr">
        <is>
          <t>NULL</t>
        </is>
      </c>
      <c r="D1796" s="0" t="inlineStr">
        <is>
          <t>NULL</t>
        </is>
      </c>
      <c r="E1796" s="0" t="inlineStr">
        <is>
          <t>NULL</t>
        </is>
      </c>
      <c r="F1796" s="0" t="inlineStr">
        <is>
          <t>NULL</t>
        </is>
      </c>
      <c r="G1796" s="0" t="inlineStr">
        <is>
          <t>NULL</t>
        </is>
      </c>
      <c r="H1796" s="0" t="inlineStr">
        <is>
          <t>NULL</t>
        </is>
      </c>
      <c r="I1796" s="0" t="inlineStr">
        <is>
          <t>NULL</t>
        </is>
      </c>
      <c r="J1796" s="0" t="inlineStr">
        <is>
          <t>NULL</t>
        </is>
      </c>
      <c r="K1796" s="0" t="inlineStr">
        <is>
          <t>YES! 	 c_tinyint列源备映射正确，源端为tinyint None位	期望更改为tinyint	实际备端为tinyint None位</t>
        </is>
      </c>
    </row>
    <row r="1797">
      <c r="B1797" s="0" t="inlineStr">
        <is>
          <t>NULL</t>
        </is>
      </c>
      <c r="C1797" s="0" t="inlineStr">
        <is>
          <t>NULL</t>
        </is>
      </c>
      <c r="D1797" s="0" t="inlineStr">
        <is>
          <t>NULL</t>
        </is>
      </c>
      <c r="E1797" s="0" t="inlineStr">
        <is>
          <t>NULL</t>
        </is>
      </c>
      <c r="F1797" s="0" t="inlineStr">
        <is>
          <t>NULL</t>
        </is>
      </c>
      <c r="G1797" s="0" t="inlineStr">
        <is>
          <t>NULL</t>
        </is>
      </c>
      <c r="H1797" s="0" t="inlineStr">
        <is>
          <t>NULL</t>
        </is>
      </c>
      <c r="I1797" s="0" t="inlineStr">
        <is>
          <t>NULL</t>
        </is>
      </c>
      <c r="J1797" s="0" t="inlineStr">
        <is>
          <t>NULL</t>
        </is>
      </c>
      <c r="K1797" s="0" t="inlineStr">
        <is>
          <t>YES! 	 c_smallint列源备映射正确，源端为smallint None位	期望更改为smallint	实际备端为smallint None位</t>
        </is>
      </c>
    </row>
    <row r="1798">
      <c r="B1798" s="0" t="inlineStr">
        <is>
          <t>NULL</t>
        </is>
      </c>
      <c r="C1798" s="0" t="inlineStr">
        <is>
          <t>NULL</t>
        </is>
      </c>
      <c r="D1798" s="0" t="inlineStr">
        <is>
          <t>NULL</t>
        </is>
      </c>
      <c r="E1798" s="0" t="inlineStr">
        <is>
          <t>NULL</t>
        </is>
      </c>
      <c r="F1798" s="0" t="inlineStr">
        <is>
          <t>NULL</t>
        </is>
      </c>
      <c r="G1798" s="0" t="inlineStr">
        <is>
          <t>NULL</t>
        </is>
      </c>
      <c r="H1798" s="0" t="inlineStr">
        <is>
          <t>NULL</t>
        </is>
      </c>
      <c r="I1798" s="0" t="inlineStr">
        <is>
          <t>NULL</t>
        </is>
      </c>
      <c r="J1798" s="0" t="inlineStr">
        <is>
          <t>NULL</t>
        </is>
      </c>
      <c r="K1798" s="0" t="inlineStr">
        <is>
          <t>YES! 	 c_int列源备映射正确，源端为int None位	期望更改为int	实际备端为int None位</t>
        </is>
      </c>
    </row>
    <row r="1799">
      <c r="B1799" s="0" t="inlineStr">
        <is>
          <t>NULL</t>
        </is>
      </c>
      <c r="C1799" s="0" t="inlineStr">
        <is>
          <t>NULL</t>
        </is>
      </c>
      <c r="D1799" s="0" t="inlineStr">
        <is>
          <t>NULL</t>
        </is>
      </c>
      <c r="E1799" s="0" t="inlineStr">
        <is>
          <t>NULL</t>
        </is>
      </c>
      <c r="F1799" s="0" t="inlineStr">
        <is>
          <t>NULL</t>
        </is>
      </c>
      <c r="G1799" s="0" t="inlineStr">
        <is>
          <t>NULL</t>
        </is>
      </c>
      <c r="H1799" s="0" t="inlineStr">
        <is>
          <t>NULL</t>
        </is>
      </c>
      <c r="I1799" s="0" t="inlineStr">
        <is>
          <t>NULL</t>
        </is>
      </c>
      <c r="J1799" s="0" t="inlineStr">
        <is>
          <t>NULL</t>
        </is>
      </c>
      <c r="K1799" s="0" t="inlineStr">
        <is>
          <t>YES! 	 c_bigint列源备映射正确，源端为bigint None位	期望更改为bigint	实际备端为bigint None位</t>
        </is>
      </c>
    </row>
    <row r="1800">
      <c r="B1800" s="0" t="inlineStr">
        <is>
          <t>NULL</t>
        </is>
      </c>
      <c r="C1800" s="0" t="inlineStr">
        <is>
          <t>NULL</t>
        </is>
      </c>
      <c r="D1800" s="0" t="inlineStr">
        <is>
          <t>NULL</t>
        </is>
      </c>
      <c r="E1800" s="0" t="inlineStr">
        <is>
          <t>NULL</t>
        </is>
      </c>
      <c r="F1800" s="0" t="inlineStr">
        <is>
          <t>NULL</t>
        </is>
      </c>
      <c r="G1800" s="0" t="inlineStr">
        <is>
          <t>NULL</t>
        </is>
      </c>
      <c r="H1800" s="0" t="inlineStr">
        <is>
          <t>NULL</t>
        </is>
      </c>
      <c r="I1800" s="0" t="inlineStr">
        <is>
          <t>NULL</t>
        </is>
      </c>
      <c r="J1800" s="0" t="inlineStr">
        <is>
          <t>NULL</t>
        </is>
      </c>
      <c r="K1800" s="0" t="inlineStr">
        <is>
          <t>YES! 	 c_decimal列源备映射正确，源端为decimal None位	期望更改为decimal(p,s)	实际备端为decimal None位</t>
        </is>
      </c>
    </row>
    <row r="1801">
      <c r="B1801" s="0" t="inlineStr">
        <is>
          <t>NULL</t>
        </is>
      </c>
      <c r="C1801" s="0" t="inlineStr">
        <is>
          <t>NULL</t>
        </is>
      </c>
      <c r="D1801" s="0" t="inlineStr">
        <is>
          <t>NULL</t>
        </is>
      </c>
      <c r="E1801" s="0" t="inlineStr">
        <is>
          <t>NULL</t>
        </is>
      </c>
      <c r="F1801" s="0" t="inlineStr">
        <is>
          <t>NULL</t>
        </is>
      </c>
      <c r="G1801" s="0" t="inlineStr">
        <is>
          <t>NULL</t>
        </is>
      </c>
      <c r="H1801" s="0" t="inlineStr">
        <is>
          <t>NULL</t>
        </is>
      </c>
      <c r="I1801" s="0" t="inlineStr">
        <is>
          <t>NULL</t>
        </is>
      </c>
      <c r="J1801" s="0" t="inlineStr">
        <is>
          <t>NULL</t>
        </is>
      </c>
      <c r="K1801" s="0" t="inlineStr">
        <is>
          <t>YES! 	 c_decimal38列源备映射正确，源端为decimal None位	期望更改为decimal(p,s)	实际备端为decimal None位</t>
        </is>
      </c>
    </row>
    <row r="1802">
      <c r="B1802" s="0" t="inlineStr">
        <is>
          <t>NULL</t>
        </is>
      </c>
      <c r="C1802" s="0" t="inlineStr">
        <is>
          <t>NULL</t>
        </is>
      </c>
      <c r="D1802" s="0" t="inlineStr">
        <is>
          <t>NULL</t>
        </is>
      </c>
      <c r="E1802" s="0" t="inlineStr">
        <is>
          <t>NULL</t>
        </is>
      </c>
      <c r="F1802" s="0" t="inlineStr">
        <is>
          <t>NULL</t>
        </is>
      </c>
      <c r="G1802" s="0" t="inlineStr">
        <is>
          <t>NULL</t>
        </is>
      </c>
      <c r="H1802" s="0" t="inlineStr">
        <is>
          <t>NULL</t>
        </is>
      </c>
      <c r="I1802" s="0" t="inlineStr">
        <is>
          <t>NULL</t>
        </is>
      </c>
      <c r="J1802" s="0" t="inlineStr">
        <is>
          <t>NULL</t>
        </is>
      </c>
      <c r="K1802" s="0" t="inlineStr">
        <is>
          <t>YES! 	 c_decimal38_38列源备映射正确，源端为decimal None位	期望更改为decimal(p,s)	实际备端为decimal None位</t>
        </is>
      </c>
    </row>
    <row r="1803">
      <c r="B1803" s="0" t="inlineStr">
        <is>
          <t>NULL</t>
        </is>
      </c>
      <c r="C1803" s="0" t="inlineStr">
        <is>
          <t>NULL</t>
        </is>
      </c>
      <c r="D1803" s="0" t="inlineStr">
        <is>
          <t>NULL</t>
        </is>
      </c>
      <c r="E1803" s="0" t="inlineStr">
        <is>
          <t>NULL</t>
        </is>
      </c>
      <c r="F1803" s="0" t="inlineStr">
        <is>
          <t>NULL</t>
        </is>
      </c>
      <c r="G1803" s="0" t="inlineStr">
        <is>
          <t>NULL</t>
        </is>
      </c>
      <c r="H1803" s="0" t="inlineStr">
        <is>
          <t>NULL</t>
        </is>
      </c>
      <c r="I1803" s="0" t="inlineStr">
        <is>
          <t>NULL</t>
        </is>
      </c>
      <c r="J1803" s="0" t="inlineStr">
        <is>
          <t>NULL</t>
        </is>
      </c>
      <c r="K1803" s="0" t="inlineStr">
        <is>
          <t>YES! 	 c_decimal38_10列源备映射正确，源端为decimal None位	期望更改为decimal(p,s)	实际备端为decimal None位</t>
        </is>
      </c>
    </row>
    <row r="1804">
      <c r="B1804" s="0" t="inlineStr">
        <is>
          <t>NULL</t>
        </is>
      </c>
      <c r="C1804" s="0" t="inlineStr">
        <is>
          <t>NULL</t>
        </is>
      </c>
      <c r="D1804" s="0" t="inlineStr">
        <is>
          <t>NULL</t>
        </is>
      </c>
      <c r="E1804" s="0" t="inlineStr">
        <is>
          <t>NULL</t>
        </is>
      </c>
      <c r="F1804" s="0" t="inlineStr">
        <is>
          <t>NULL</t>
        </is>
      </c>
      <c r="G1804" s="0" t="inlineStr">
        <is>
          <t>NULL</t>
        </is>
      </c>
      <c r="H1804" s="0" t="inlineStr">
        <is>
          <t>NULL</t>
        </is>
      </c>
      <c r="I1804" s="0" t="inlineStr">
        <is>
          <t>NULL</t>
        </is>
      </c>
      <c r="J1804" s="0" t="inlineStr">
        <is>
          <t>NULL</t>
        </is>
      </c>
      <c r="K1804" s="0" t="inlineStr">
        <is>
          <t>YES! 	 c_decimal19_4列源备映射正确，源端为decimal None位	期望更改为decimal(p,s)	实际备端为decimal None位</t>
        </is>
      </c>
    </row>
    <row r="1805">
      <c r="B1805" s="0" t="inlineStr">
        <is>
          <t>NULL</t>
        </is>
      </c>
      <c r="C1805" s="0" t="inlineStr">
        <is>
          <t>NULL</t>
        </is>
      </c>
      <c r="D1805" s="0" t="inlineStr">
        <is>
          <t>NULL</t>
        </is>
      </c>
      <c r="E1805" s="0" t="inlineStr">
        <is>
          <t>NULL</t>
        </is>
      </c>
      <c r="F1805" s="0" t="inlineStr">
        <is>
          <t>NULL</t>
        </is>
      </c>
      <c r="G1805" s="0" t="inlineStr">
        <is>
          <t>NULL</t>
        </is>
      </c>
      <c r="H1805" s="0" t="inlineStr">
        <is>
          <t>NULL</t>
        </is>
      </c>
      <c r="I1805" s="0" t="inlineStr">
        <is>
          <t>NULL</t>
        </is>
      </c>
      <c r="J1805" s="0" t="inlineStr">
        <is>
          <t>NULL</t>
        </is>
      </c>
      <c r="K1805" s="0" t="inlineStr">
        <is>
          <t>YES! 	 c_numeric列源备映射正确，源端为numeric None位	期望更改为numeric(p,s)	实际备端为numeric None位</t>
        </is>
      </c>
    </row>
    <row r="1806">
      <c r="B1806" s="0" t="inlineStr">
        <is>
          <t>NULL</t>
        </is>
      </c>
      <c r="C1806" s="0" t="inlineStr">
        <is>
          <t>NULL</t>
        </is>
      </c>
      <c r="D1806" s="0" t="inlineStr">
        <is>
          <t>NULL</t>
        </is>
      </c>
      <c r="E1806" s="0" t="inlineStr">
        <is>
          <t>NULL</t>
        </is>
      </c>
      <c r="F1806" s="0" t="inlineStr">
        <is>
          <t>NULL</t>
        </is>
      </c>
      <c r="G1806" s="0" t="inlineStr">
        <is>
          <t>NULL</t>
        </is>
      </c>
      <c r="H1806" s="0" t="inlineStr">
        <is>
          <t>NULL</t>
        </is>
      </c>
      <c r="I1806" s="0" t="inlineStr">
        <is>
          <t>NULL</t>
        </is>
      </c>
      <c r="J1806" s="0" t="inlineStr">
        <is>
          <t>NULL</t>
        </is>
      </c>
      <c r="K1806" s="0" t="inlineStr">
        <is>
          <t>YES! 	 c_numeric38列源备映射正确，源端为numeric None位	期望更改为numeric(p,s)	实际备端为numeric None位</t>
        </is>
      </c>
    </row>
    <row r="1807">
      <c r="B1807" s="0" t="inlineStr">
        <is>
          <t>NULL</t>
        </is>
      </c>
      <c r="C1807" s="0" t="inlineStr">
        <is>
          <t>NULL</t>
        </is>
      </c>
      <c r="D1807" s="0" t="inlineStr">
        <is>
          <t>NULL</t>
        </is>
      </c>
      <c r="E1807" s="0" t="inlineStr">
        <is>
          <t>NULL</t>
        </is>
      </c>
      <c r="F1807" s="0" t="inlineStr">
        <is>
          <t>NULL</t>
        </is>
      </c>
      <c r="G1807" s="0" t="inlineStr">
        <is>
          <t>NULL</t>
        </is>
      </c>
      <c r="H1807" s="0" t="inlineStr">
        <is>
          <t>NULL</t>
        </is>
      </c>
      <c r="I1807" s="0" t="inlineStr">
        <is>
          <t>NULL</t>
        </is>
      </c>
      <c r="J1807" s="0" t="inlineStr">
        <is>
          <t>NULL</t>
        </is>
      </c>
      <c r="K1807" s="0" t="inlineStr">
        <is>
          <t>YES! 	 c_numeric38_38列源备映射正确，源端为numeric None位	期望更改为numeric(p,s)	实际备端为numeric None位</t>
        </is>
      </c>
    </row>
    <row r="1808">
      <c r="B1808" s="0" t="inlineStr">
        <is>
          <t>NULL</t>
        </is>
      </c>
      <c r="C1808" s="0" t="inlineStr">
        <is>
          <t>NULL</t>
        </is>
      </c>
      <c r="D1808" s="0" t="inlineStr">
        <is>
          <t>NULL</t>
        </is>
      </c>
      <c r="E1808" s="0" t="inlineStr">
        <is>
          <t>NULL</t>
        </is>
      </c>
      <c r="F1808" s="0" t="inlineStr">
        <is>
          <t>NULL</t>
        </is>
      </c>
      <c r="G1808" s="0" t="inlineStr">
        <is>
          <t>NULL</t>
        </is>
      </c>
      <c r="H1808" s="0" t="inlineStr">
        <is>
          <t>NULL</t>
        </is>
      </c>
      <c r="I1808" s="0" t="inlineStr">
        <is>
          <t>NULL</t>
        </is>
      </c>
      <c r="J1808" s="0" t="inlineStr">
        <is>
          <t>NULL</t>
        </is>
      </c>
      <c r="K1808" s="0" t="inlineStr">
        <is>
          <t>YES! 	 c_numeric38_10列源备映射正确，源端为numeric None位	期望更改为numeric(p,s)	实际备端为numeric None位</t>
        </is>
      </c>
    </row>
    <row r="1809">
      <c r="B1809" s="0" t="inlineStr">
        <is>
          <t>NULL</t>
        </is>
      </c>
      <c r="C1809" s="0" t="inlineStr">
        <is>
          <t>NULL</t>
        </is>
      </c>
      <c r="D1809" s="0" t="inlineStr">
        <is>
          <t>NULL</t>
        </is>
      </c>
      <c r="E1809" s="0" t="inlineStr">
        <is>
          <t>NULL</t>
        </is>
      </c>
      <c r="F1809" s="0" t="inlineStr">
        <is>
          <t>NULL</t>
        </is>
      </c>
      <c r="G1809" s="0" t="inlineStr">
        <is>
          <t>NULL</t>
        </is>
      </c>
      <c r="H1809" s="0" t="inlineStr">
        <is>
          <t>NULL</t>
        </is>
      </c>
      <c r="I1809" s="0" t="inlineStr">
        <is>
          <t>NULL</t>
        </is>
      </c>
      <c r="J1809" s="0" t="inlineStr">
        <is>
          <t>NULL</t>
        </is>
      </c>
      <c r="K1809" s="0" t="inlineStr">
        <is>
          <t>YES! 	 c_numeric18_2列源备映射正确，源端为numeric None位	期望更改为numeric(p,s)	实际备端为numeric None位</t>
        </is>
      </c>
    </row>
    <row r="1810">
      <c r="B1810" s="0" t="inlineStr">
        <is>
          <t>NULL</t>
        </is>
      </c>
      <c r="C1810" s="0" t="inlineStr">
        <is>
          <t>NULL</t>
        </is>
      </c>
      <c r="D1810" s="0" t="inlineStr">
        <is>
          <t>NULL</t>
        </is>
      </c>
      <c r="E1810" s="0" t="inlineStr">
        <is>
          <t>NULL</t>
        </is>
      </c>
      <c r="F1810" s="0" t="inlineStr">
        <is>
          <t>NULL</t>
        </is>
      </c>
      <c r="G1810" s="0" t="inlineStr">
        <is>
          <t>NULL</t>
        </is>
      </c>
      <c r="H1810" s="0" t="inlineStr">
        <is>
          <t>NULL</t>
        </is>
      </c>
      <c r="I1810" s="0" t="inlineStr">
        <is>
          <t>NULL</t>
        </is>
      </c>
      <c r="J1810" s="0" t="inlineStr">
        <is>
          <t>NULL</t>
        </is>
      </c>
      <c r="K1810" s="0" t="inlineStr">
        <is>
          <t>YES! 	 c_float列源备映射正确，源端为float None位	期望更改为float	实际备端为float None位</t>
        </is>
      </c>
    </row>
    <row r="1811">
      <c r="B1811" s="0" t="inlineStr">
        <is>
          <t>NULL</t>
        </is>
      </c>
      <c r="C1811" s="0" t="inlineStr">
        <is>
          <t>NULL</t>
        </is>
      </c>
      <c r="D1811" s="0" t="inlineStr">
        <is>
          <t>NULL</t>
        </is>
      </c>
      <c r="E1811" s="0" t="inlineStr">
        <is>
          <t>NULL</t>
        </is>
      </c>
      <c r="F1811" s="0" t="inlineStr">
        <is>
          <t>NULL</t>
        </is>
      </c>
      <c r="G1811" s="0" t="inlineStr">
        <is>
          <t>NULL</t>
        </is>
      </c>
      <c r="H1811" s="0" t="inlineStr">
        <is>
          <t>NULL</t>
        </is>
      </c>
      <c r="I1811" s="0" t="inlineStr">
        <is>
          <t>NULL</t>
        </is>
      </c>
      <c r="J1811" s="0" t="inlineStr">
        <is>
          <t>NULL</t>
        </is>
      </c>
      <c r="K1811" s="0" t="inlineStr">
        <is>
          <t>YES! 	 c_real列源备映射正确，源端为real None位	期望更改为real	实际备端为real None位</t>
        </is>
      </c>
    </row>
    <row r="1812">
      <c r="B1812" s="0" t="inlineStr">
        <is>
          <t>NULL</t>
        </is>
      </c>
      <c r="C1812" s="0" t="inlineStr">
        <is>
          <t>NULL</t>
        </is>
      </c>
      <c r="D1812" s="0" t="inlineStr">
        <is>
          <t>NULL</t>
        </is>
      </c>
      <c r="E1812" s="0" t="inlineStr">
        <is>
          <t>NULL</t>
        </is>
      </c>
      <c r="F1812" s="0" t="inlineStr">
        <is>
          <t>NULL</t>
        </is>
      </c>
      <c r="G1812" s="0" t="inlineStr">
        <is>
          <t>NULL</t>
        </is>
      </c>
      <c r="H1812" s="0" t="inlineStr">
        <is>
          <t>NULL</t>
        </is>
      </c>
      <c r="I1812" s="0" t="inlineStr">
        <is>
          <t>NULL</t>
        </is>
      </c>
      <c r="J1812" s="0" t="inlineStr">
        <is>
          <t>NULL</t>
        </is>
      </c>
      <c r="K1812" s="0" t="inlineStr">
        <is>
          <t>YES! 	 c_money列源备映射正确，源端为money None位	期望更改为money	实际备端为money None位</t>
        </is>
      </c>
    </row>
    <row r="1813">
      <c r="B1813" s="0" t="inlineStr">
        <is>
          <t>NULL</t>
        </is>
      </c>
      <c r="C1813" s="0" t="inlineStr">
        <is>
          <t>NULL</t>
        </is>
      </c>
      <c r="D1813" s="0" t="inlineStr">
        <is>
          <t>NULL</t>
        </is>
      </c>
      <c r="E1813" s="0" t="inlineStr">
        <is>
          <t>NULL</t>
        </is>
      </c>
      <c r="F1813" s="0" t="inlineStr">
        <is>
          <t>NULL</t>
        </is>
      </c>
      <c r="G1813" s="0" t="inlineStr">
        <is>
          <t>NULL</t>
        </is>
      </c>
      <c r="H1813" s="0" t="inlineStr">
        <is>
          <t>NULL</t>
        </is>
      </c>
      <c r="I1813" s="0" t="inlineStr">
        <is>
          <t>NULL</t>
        </is>
      </c>
      <c r="J1813" s="0" t="inlineStr">
        <is>
          <t>NULL</t>
        </is>
      </c>
      <c r="K1813" s="0" t="inlineStr">
        <is>
          <t>YES! 	 c_smallmoney列源备映射正确，源端为smallmoney None位	期望更改为smallmoney	实际备端为smallmoney None位</t>
        </is>
      </c>
    </row>
    <row r="1814">
      <c r="B1814" s="0" t="inlineStr">
        <is>
          <t>NULL</t>
        </is>
      </c>
      <c r="C1814" s="0" t="inlineStr">
        <is>
          <t>NULL</t>
        </is>
      </c>
      <c r="D1814" s="0" t="inlineStr">
        <is>
          <t>NULL</t>
        </is>
      </c>
      <c r="E1814" s="0" t="inlineStr">
        <is>
          <t>NULL</t>
        </is>
      </c>
      <c r="F1814" s="0" t="inlineStr">
        <is>
          <t>NULL</t>
        </is>
      </c>
      <c r="G1814" s="0" t="inlineStr">
        <is>
          <t>NULL</t>
        </is>
      </c>
      <c r="H1814" s="0" t="inlineStr">
        <is>
          <t>NULL</t>
        </is>
      </c>
      <c r="I1814" s="0" t="inlineStr">
        <is>
          <t>NULL</t>
        </is>
      </c>
      <c r="J1814" s="0" t="inlineStr">
        <is>
          <t>NULL</t>
        </is>
      </c>
      <c r="K1814" s="0" t="inlineStr">
        <is>
          <t>YES! 	 c_bit列源备映射正确，源端为bit None位	期望更改为bit	实际备端为bit None位</t>
        </is>
      </c>
    </row>
    <row r="1815">
      <c r="A1815" s="0" t="inlineStr">
        <is>
          <t>info_xml_dml_single_pk_drp</t>
        </is>
      </c>
      <c r="K1815" s="0" t="inlineStr">
        <is>
          <t>[0;34m info_xml_dml_single_pk_drp [0m源备字段数相同，源端字段：2 	备端字段2</t>
        </is>
      </c>
      <c r="W1815" s="0" t="inlineStr">
        <is>
          <t>YES 源备无差异</t>
        </is>
      </c>
      <c r="X1815" s="0">
        <f>A1815</f>
        <v/>
      </c>
    </row>
    <row r="1816">
      <c r="B1816" s="0" t="inlineStr">
        <is>
          <t>YES</t>
        </is>
      </c>
      <c r="C1816" s="0" t="inlineStr">
        <is>
          <t>NULL</t>
        </is>
      </c>
      <c r="D1816" s="0" t="inlineStr">
        <is>
          <t>NULL</t>
        </is>
      </c>
      <c r="E1816" s="0" t="inlineStr">
        <is>
          <t>NULL</t>
        </is>
      </c>
      <c r="F1816" s="0" t="inlineStr">
        <is>
          <t>NULL</t>
        </is>
      </c>
      <c r="G1816" s="0" t="inlineStr">
        <is>
          <t>NULL</t>
        </is>
      </c>
      <c r="H1816" s="0" t="inlineStr">
        <is>
          <t>NULL</t>
        </is>
      </c>
      <c r="I1816" s="0" t="inlineStr">
        <is>
          <t>YES!PK__info_xml__3213E83F1BC1C943</t>
        </is>
      </c>
      <c r="J1816" s="0" t="inlineStr">
        <is>
          <t>YES! 主键相关索引</t>
        </is>
      </c>
      <c r="K1816" s="0" t="inlineStr">
        <is>
          <t>YES! 	 id列源备映射正确，源端为int None位	期望更改为int	实际备端为int None位</t>
        </is>
      </c>
    </row>
    <row r="1817">
      <c r="B1817" s="0" t="inlineStr">
        <is>
          <t>NULL</t>
        </is>
      </c>
      <c r="C1817" s="0" t="inlineStr">
        <is>
          <t>NULL</t>
        </is>
      </c>
      <c r="D1817" s="0" t="inlineStr">
        <is>
          <t>NULL</t>
        </is>
      </c>
      <c r="E1817" s="0" t="inlineStr">
        <is>
          <t>NULL</t>
        </is>
      </c>
      <c r="F1817" s="0" t="inlineStr">
        <is>
          <t>NULL</t>
        </is>
      </c>
      <c r="G1817" s="0" t="inlineStr">
        <is>
          <t>NULL</t>
        </is>
      </c>
      <c r="H1817" s="0" t="inlineStr">
        <is>
          <t>NULL</t>
        </is>
      </c>
      <c r="I1817" s="0" t="inlineStr">
        <is>
          <t>NULL</t>
        </is>
      </c>
      <c r="J1817" s="0" t="inlineStr">
        <is>
          <t>NULL</t>
        </is>
      </c>
      <c r="K1817" s="0" t="inlineStr">
        <is>
          <t>YES! 	 c_xml列源备映射正确，源端为xml -1位	期望更改为xml	实际备端为xml -1位</t>
        </is>
      </c>
    </row>
    <row r="1818">
      <c r="A1818" s="0" t="inlineStr">
        <is>
          <t>info_int_dml_batch1_pk_drp1</t>
        </is>
      </c>
      <c r="K1818" s="0" t="inlineStr">
        <is>
          <t>[0;34m info_int_dml_batch1_pk_drp1 [0m源备字段数相同，源端字段：20 	备端字段20</t>
        </is>
      </c>
      <c r="W1818" s="0" t="inlineStr">
        <is>
          <t>YES 源备无差异</t>
        </is>
      </c>
      <c r="X1818" s="0">
        <f>A1818</f>
        <v/>
      </c>
    </row>
    <row r="1819">
      <c r="B1819" s="0" t="inlineStr">
        <is>
          <t>YES</t>
        </is>
      </c>
      <c r="C1819" s="0" t="inlineStr">
        <is>
          <t>NULL</t>
        </is>
      </c>
      <c r="D1819" s="0" t="inlineStr">
        <is>
          <t>NULL</t>
        </is>
      </c>
      <c r="E1819" s="0" t="inlineStr">
        <is>
          <t>NULL</t>
        </is>
      </c>
      <c r="F1819" s="0" t="inlineStr">
        <is>
          <t>NULL</t>
        </is>
      </c>
      <c r="G1819" s="0" t="inlineStr">
        <is>
          <t>NULL</t>
        </is>
      </c>
      <c r="H1819" s="0" t="inlineStr">
        <is>
          <t>NULL</t>
        </is>
      </c>
      <c r="I1819" s="0" t="inlineStr">
        <is>
          <t>YES!PK__info_int__3213E83F306EE40F</t>
        </is>
      </c>
      <c r="J1819" s="0" t="inlineStr">
        <is>
          <t>YES! 主键相关索引</t>
        </is>
      </c>
      <c r="K1819" s="0" t="inlineStr">
        <is>
          <t>YES! 	 id列源备映射正确，源端为int None位	期望更改为int	实际备端为int None位</t>
        </is>
      </c>
    </row>
    <row r="1820">
      <c r="B1820" s="0" t="inlineStr">
        <is>
          <t>NULL</t>
        </is>
      </c>
      <c r="C1820" s="0" t="inlineStr">
        <is>
          <t>NULL</t>
        </is>
      </c>
      <c r="D1820" s="0" t="inlineStr">
        <is>
          <t>NULL</t>
        </is>
      </c>
      <c r="E1820" s="0" t="inlineStr">
        <is>
          <t>NULL</t>
        </is>
      </c>
      <c r="F1820" s="0" t="inlineStr">
        <is>
          <t>NULL</t>
        </is>
      </c>
      <c r="G1820" s="0" t="inlineStr">
        <is>
          <t>NULL</t>
        </is>
      </c>
      <c r="H1820" s="0" t="inlineStr">
        <is>
          <t>NULL</t>
        </is>
      </c>
      <c r="I1820" s="0" t="inlineStr">
        <is>
          <t>NULL</t>
        </is>
      </c>
      <c r="J1820" s="0" t="inlineStr">
        <is>
          <t>NULL</t>
        </is>
      </c>
      <c r="K1820" s="0" t="inlineStr">
        <is>
          <t>YES! 	 c_tinyint列源备映射正确，源端为tinyint None位	期望更改为tinyint	实际备端为tinyint None位</t>
        </is>
      </c>
    </row>
    <row r="1821">
      <c r="B1821" s="0" t="inlineStr">
        <is>
          <t>NULL</t>
        </is>
      </c>
      <c r="C1821" s="0" t="inlineStr">
        <is>
          <t>NULL</t>
        </is>
      </c>
      <c r="D1821" s="0" t="inlineStr">
        <is>
          <t>NULL</t>
        </is>
      </c>
      <c r="E1821" s="0" t="inlineStr">
        <is>
          <t>NULL</t>
        </is>
      </c>
      <c r="F1821" s="0" t="inlineStr">
        <is>
          <t>NULL</t>
        </is>
      </c>
      <c r="G1821" s="0" t="inlineStr">
        <is>
          <t>NULL</t>
        </is>
      </c>
      <c r="H1821" s="0" t="inlineStr">
        <is>
          <t>NULL</t>
        </is>
      </c>
      <c r="I1821" s="0" t="inlineStr">
        <is>
          <t>NULL</t>
        </is>
      </c>
      <c r="J1821" s="0" t="inlineStr">
        <is>
          <t>NULL</t>
        </is>
      </c>
      <c r="K1821" s="0" t="inlineStr">
        <is>
          <t>YES! 	 c_smallint列源备映射正确，源端为smallint None位	期望更改为smallint	实际备端为smallint None位</t>
        </is>
      </c>
    </row>
    <row r="1822">
      <c r="B1822" s="0" t="inlineStr">
        <is>
          <t>NULL</t>
        </is>
      </c>
      <c r="C1822" s="0" t="inlineStr">
        <is>
          <t>NULL</t>
        </is>
      </c>
      <c r="D1822" s="0" t="inlineStr">
        <is>
          <t>NULL</t>
        </is>
      </c>
      <c r="E1822" s="0" t="inlineStr">
        <is>
          <t>NULL</t>
        </is>
      </c>
      <c r="F1822" s="0" t="inlineStr">
        <is>
          <t>NULL</t>
        </is>
      </c>
      <c r="G1822" s="0" t="inlineStr">
        <is>
          <t>NULL</t>
        </is>
      </c>
      <c r="H1822" s="0" t="inlineStr">
        <is>
          <t>NULL</t>
        </is>
      </c>
      <c r="I1822" s="0" t="inlineStr">
        <is>
          <t>NULL</t>
        </is>
      </c>
      <c r="J1822" s="0" t="inlineStr">
        <is>
          <t>NULL</t>
        </is>
      </c>
      <c r="K1822" s="0" t="inlineStr">
        <is>
          <t>YES! 	 c_int列源备映射正确，源端为int None位	期望更改为int	实际备端为int None位</t>
        </is>
      </c>
    </row>
    <row r="1823">
      <c r="B1823" s="0" t="inlineStr">
        <is>
          <t>NULL</t>
        </is>
      </c>
      <c r="C1823" s="0" t="inlineStr">
        <is>
          <t>NULL</t>
        </is>
      </c>
      <c r="D1823" s="0" t="inlineStr">
        <is>
          <t>NULL</t>
        </is>
      </c>
      <c r="E1823" s="0" t="inlineStr">
        <is>
          <t>NULL</t>
        </is>
      </c>
      <c r="F1823" s="0" t="inlineStr">
        <is>
          <t>NULL</t>
        </is>
      </c>
      <c r="G1823" s="0" t="inlineStr">
        <is>
          <t>NULL</t>
        </is>
      </c>
      <c r="H1823" s="0" t="inlineStr">
        <is>
          <t>NULL</t>
        </is>
      </c>
      <c r="I1823" s="0" t="inlineStr">
        <is>
          <t>NULL</t>
        </is>
      </c>
      <c r="J1823" s="0" t="inlineStr">
        <is>
          <t>NULL</t>
        </is>
      </c>
      <c r="K1823" s="0" t="inlineStr">
        <is>
          <t>YES! 	 c_bigint列源备映射正确，源端为bigint None位	期望更改为bigint	实际备端为bigint None位</t>
        </is>
      </c>
    </row>
    <row r="1824">
      <c r="B1824" s="0" t="inlineStr">
        <is>
          <t>NULL</t>
        </is>
      </c>
      <c r="C1824" s="0" t="inlineStr">
        <is>
          <t>NULL</t>
        </is>
      </c>
      <c r="D1824" s="0" t="inlineStr">
        <is>
          <t>NULL</t>
        </is>
      </c>
      <c r="E1824" s="0" t="inlineStr">
        <is>
          <t>NULL</t>
        </is>
      </c>
      <c r="F1824" s="0" t="inlineStr">
        <is>
          <t>NULL</t>
        </is>
      </c>
      <c r="G1824" s="0" t="inlineStr">
        <is>
          <t>NULL</t>
        </is>
      </c>
      <c r="H1824" s="0" t="inlineStr">
        <is>
          <t>NULL</t>
        </is>
      </c>
      <c r="I1824" s="0" t="inlineStr">
        <is>
          <t>NULL</t>
        </is>
      </c>
      <c r="J1824" s="0" t="inlineStr">
        <is>
          <t>NULL</t>
        </is>
      </c>
      <c r="K1824" s="0" t="inlineStr">
        <is>
          <t>YES! 	 c_decimal列源备映射正确，源端为decimal None位	期望更改为decimal(p,s)	实际备端为decimal None位</t>
        </is>
      </c>
    </row>
    <row r="1825">
      <c r="B1825" s="0" t="inlineStr">
        <is>
          <t>NULL</t>
        </is>
      </c>
      <c r="C1825" s="0" t="inlineStr">
        <is>
          <t>NULL</t>
        </is>
      </c>
      <c r="D1825" s="0" t="inlineStr">
        <is>
          <t>NULL</t>
        </is>
      </c>
      <c r="E1825" s="0" t="inlineStr">
        <is>
          <t>NULL</t>
        </is>
      </c>
      <c r="F1825" s="0" t="inlineStr">
        <is>
          <t>NULL</t>
        </is>
      </c>
      <c r="G1825" s="0" t="inlineStr">
        <is>
          <t>NULL</t>
        </is>
      </c>
      <c r="H1825" s="0" t="inlineStr">
        <is>
          <t>NULL</t>
        </is>
      </c>
      <c r="I1825" s="0" t="inlineStr">
        <is>
          <t>NULL</t>
        </is>
      </c>
      <c r="J1825" s="0" t="inlineStr">
        <is>
          <t>NULL</t>
        </is>
      </c>
      <c r="K1825" s="0" t="inlineStr">
        <is>
          <t>YES! 	 c_decimal38列源备映射正确，源端为decimal None位	期望更改为decimal(p,s)	实际备端为decimal None位</t>
        </is>
      </c>
    </row>
    <row r="1826">
      <c r="B1826" s="0" t="inlineStr">
        <is>
          <t>NULL</t>
        </is>
      </c>
      <c r="C1826" s="0" t="inlineStr">
        <is>
          <t>NULL</t>
        </is>
      </c>
      <c r="D1826" s="0" t="inlineStr">
        <is>
          <t>NULL</t>
        </is>
      </c>
      <c r="E1826" s="0" t="inlineStr">
        <is>
          <t>NULL</t>
        </is>
      </c>
      <c r="F1826" s="0" t="inlineStr">
        <is>
          <t>NULL</t>
        </is>
      </c>
      <c r="G1826" s="0" t="inlineStr">
        <is>
          <t>NULL</t>
        </is>
      </c>
      <c r="H1826" s="0" t="inlineStr">
        <is>
          <t>NULL</t>
        </is>
      </c>
      <c r="I1826" s="0" t="inlineStr">
        <is>
          <t>NULL</t>
        </is>
      </c>
      <c r="J1826" s="0" t="inlineStr">
        <is>
          <t>NULL</t>
        </is>
      </c>
      <c r="K1826" s="0" t="inlineStr">
        <is>
          <t>YES! 	 c_decimal38_38列源备映射正确，源端为decimal None位	期望更改为decimal(p,s)	实际备端为decimal None位</t>
        </is>
      </c>
    </row>
    <row r="1827">
      <c r="B1827" s="0" t="inlineStr">
        <is>
          <t>NULL</t>
        </is>
      </c>
      <c r="C1827" s="0" t="inlineStr">
        <is>
          <t>NULL</t>
        </is>
      </c>
      <c r="D1827" s="0" t="inlineStr">
        <is>
          <t>NULL</t>
        </is>
      </c>
      <c r="E1827" s="0" t="inlineStr">
        <is>
          <t>NULL</t>
        </is>
      </c>
      <c r="F1827" s="0" t="inlineStr">
        <is>
          <t>NULL</t>
        </is>
      </c>
      <c r="G1827" s="0" t="inlineStr">
        <is>
          <t>NULL</t>
        </is>
      </c>
      <c r="H1827" s="0" t="inlineStr">
        <is>
          <t>NULL</t>
        </is>
      </c>
      <c r="I1827" s="0" t="inlineStr">
        <is>
          <t>NULL</t>
        </is>
      </c>
      <c r="J1827" s="0" t="inlineStr">
        <is>
          <t>NULL</t>
        </is>
      </c>
      <c r="K1827" s="0" t="inlineStr">
        <is>
          <t>YES! 	 c_decimal38_10列源备映射正确，源端为decimal None位	期望更改为decimal(p,s)	实际备端为decimal None位</t>
        </is>
      </c>
    </row>
    <row r="1828">
      <c r="B1828" s="0" t="inlineStr">
        <is>
          <t>NULL</t>
        </is>
      </c>
      <c r="C1828" s="0" t="inlineStr">
        <is>
          <t>NULL</t>
        </is>
      </c>
      <c r="D1828" s="0" t="inlineStr">
        <is>
          <t>NULL</t>
        </is>
      </c>
      <c r="E1828" s="0" t="inlineStr">
        <is>
          <t>NULL</t>
        </is>
      </c>
      <c r="F1828" s="0" t="inlineStr">
        <is>
          <t>NULL</t>
        </is>
      </c>
      <c r="G1828" s="0" t="inlineStr">
        <is>
          <t>NULL</t>
        </is>
      </c>
      <c r="H1828" s="0" t="inlineStr">
        <is>
          <t>NULL</t>
        </is>
      </c>
      <c r="I1828" s="0" t="inlineStr">
        <is>
          <t>NULL</t>
        </is>
      </c>
      <c r="J1828" s="0" t="inlineStr">
        <is>
          <t>NULL</t>
        </is>
      </c>
      <c r="K1828" s="0" t="inlineStr">
        <is>
          <t>YES! 	 c_decimal19_4列源备映射正确，源端为decimal None位	期望更改为decimal(p,s)	实际备端为decimal None位</t>
        </is>
      </c>
    </row>
    <row r="1829">
      <c r="B1829" s="0" t="inlineStr">
        <is>
          <t>NULL</t>
        </is>
      </c>
      <c r="C1829" s="0" t="inlineStr">
        <is>
          <t>NULL</t>
        </is>
      </c>
      <c r="D1829" s="0" t="inlineStr">
        <is>
          <t>NULL</t>
        </is>
      </c>
      <c r="E1829" s="0" t="inlineStr">
        <is>
          <t>NULL</t>
        </is>
      </c>
      <c r="F1829" s="0" t="inlineStr">
        <is>
          <t>NULL</t>
        </is>
      </c>
      <c r="G1829" s="0" t="inlineStr">
        <is>
          <t>NULL</t>
        </is>
      </c>
      <c r="H1829" s="0" t="inlineStr">
        <is>
          <t>NULL</t>
        </is>
      </c>
      <c r="I1829" s="0" t="inlineStr">
        <is>
          <t>NULL</t>
        </is>
      </c>
      <c r="J1829" s="0" t="inlineStr">
        <is>
          <t>NULL</t>
        </is>
      </c>
      <c r="K1829" s="0" t="inlineStr">
        <is>
          <t>YES! 	 c_numeric列源备映射正确，源端为numeric None位	期望更改为numeric(p,s)	实际备端为numeric None位</t>
        </is>
      </c>
    </row>
    <row r="1830">
      <c r="B1830" s="0" t="inlineStr">
        <is>
          <t>NULL</t>
        </is>
      </c>
      <c r="C1830" s="0" t="inlineStr">
        <is>
          <t>NULL</t>
        </is>
      </c>
      <c r="D1830" s="0" t="inlineStr">
        <is>
          <t>NULL</t>
        </is>
      </c>
      <c r="E1830" s="0" t="inlineStr">
        <is>
          <t>NULL</t>
        </is>
      </c>
      <c r="F1830" s="0" t="inlineStr">
        <is>
          <t>NULL</t>
        </is>
      </c>
      <c r="G1830" s="0" t="inlineStr">
        <is>
          <t>NULL</t>
        </is>
      </c>
      <c r="H1830" s="0" t="inlineStr">
        <is>
          <t>NULL</t>
        </is>
      </c>
      <c r="I1830" s="0" t="inlineStr">
        <is>
          <t>NULL</t>
        </is>
      </c>
      <c r="J1830" s="0" t="inlineStr">
        <is>
          <t>NULL</t>
        </is>
      </c>
      <c r="K1830" s="0" t="inlineStr">
        <is>
          <t>YES! 	 c_numeric38列源备映射正确，源端为numeric None位	期望更改为numeric(p,s)	实际备端为numeric None位</t>
        </is>
      </c>
    </row>
    <row r="1831">
      <c r="B1831" s="0" t="inlineStr">
        <is>
          <t>NULL</t>
        </is>
      </c>
      <c r="C1831" s="0" t="inlineStr">
        <is>
          <t>NULL</t>
        </is>
      </c>
      <c r="D1831" s="0" t="inlineStr">
        <is>
          <t>NULL</t>
        </is>
      </c>
      <c r="E1831" s="0" t="inlineStr">
        <is>
          <t>NULL</t>
        </is>
      </c>
      <c r="F1831" s="0" t="inlineStr">
        <is>
          <t>NULL</t>
        </is>
      </c>
      <c r="G1831" s="0" t="inlineStr">
        <is>
          <t>NULL</t>
        </is>
      </c>
      <c r="H1831" s="0" t="inlineStr">
        <is>
          <t>NULL</t>
        </is>
      </c>
      <c r="I1831" s="0" t="inlineStr">
        <is>
          <t>NULL</t>
        </is>
      </c>
      <c r="J1831" s="0" t="inlineStr">
        <is>
          <t>NULL</t>
        </is>
      </c>
      <c r="K1831" s="0" t="inlineStr">
        <is>
          <t>YES! 	 c_numeric38_38列源备映射正确，源端为numeric None位	期望更改为numeric(p,s)	实际备端为numeric None位</t>
        </is>
      </c>
    </row>
    <row r="1832">
      <c r="B1832" s="0" t="inlineStr">
        <is>
          <t>NULL</t>
        </is>
      </c>
      <c r="C1832" s="0" t="inlineStr">
        <is>
          <t>NULL</t>
        </is>
      </c>
      <c r="D1832" s="0" t="inlineStr">
        <is>
          <t>NULL</t>
        </is>
      </c>
      <c r="E1832" s="0" t="inlineStr">
        <is>
          <t>NULL</t>
        </is>
      </c>
      <c r="F1832" s="0" t="inlineStr">
        <is>
          <t>NULL</t>
        </is>
      </c>
      <c r="G1832" s="0" t="inlineStr">
        <is>
          <t>NULL</t>
        </is>
      </c>
      <c r="H1832" s="0" t="inlineStr">
        <is>
          <t>NULL</t>
        </is>
      </c>
      <c r="I1832" s="0" t="inlineStr">
        <is>
          <t>NULL</t>
        </is>
      </c>
      <c r="J1832" s="0" t="inlineStr">
        <is>
          <t>NULL</t>
        </is>
      </c>
      <c r="K1832" s="0" t="inlineStr">
        <is>
          <t>YES! 	 c_numeric38_10列源备映射正确，源端为numeric None位	期望更改为numeric(p,s)	实际备端为numeric None位</t>
        </is>
      </c>
    </row>
    <row r="1833">
      <c r="B1833" s="0" t="inlineStr">
        <is>
          <t>NULL</t>
        </is>
      </c>
      <c r="C1833" s="0" t="inlineStr">
        <is>
          <t>NULL</t>
        </is>
      </c>
      <c r="D1833" s="0" t="inlineStr">
        <is>
          <t>NULL</t>
        </is>
      </c>
      <c r="E1833" s="0" t="inlineStr">
        <is>
          <t>NULL</t>
        </is>
      </c>
      <c r="F1833" s="0" t="inlineStr">
        <is>
          <t>NULL</t>
        </is>
      </c>
      <c r="G1833" s="0" t="inlineStr">
        <is>
          <t>NULL</t>
        </is>
      </c>
      <c r="H1833" s="0" t="inlineStr">
        <is>
          <t>NULL</t>
        </is>
      </c>
      <c r="I1833" s="0" t="inlineStr">
        <is>
          <t>NULL</t>
        </is>
      </c>
      <c r="J1833" s="0" t="inlineStr">
        <is>
          <t>NULL</t>
        </is>
      </c>
      <c r="K1833" s="0" t="inlineStr">
        <is>
          <t>YES! 	 c_numeric18_2列源备映射正确，源端为numeric None位	期望更改为numeric(p,s)	实际备端为numeric None位</t>
        </is>
      </c>
    </row>
    <row r="1834">
      <c r="B1834" s="0" t="inlineStr">
        <is>
          <t>NULL</t>
        </is>
      </c>
      <c r="C1834" s="0" t="inlineStr">
        <is>
          <t>NULL</t>
        </is>
      </c>
      <c r="D1834" s="0" t="inlineStr">
        <is>
          <t>NULL</t>
        </is>
      </c>
      <c r="E1834" s="0" t="inlineStr">
        <is>
          <t>NULL</t>
        </is>
      </c>
      <c r="F1834" s="0" t="inlineStr">
        <is>
          <t>NULL</t>
        </is>
      </c>
      <c r="G1834" s="0" t="inlineStr">
        <is>
          <t>NULL</t>
        </is>
      </c>
      <c r="H1834" s="0" t="inlineStr">
        <is>
          <t>NULL</t>
        </is>
      </c>
      <c r="I1834" s="0" t="inlineStr">
        <is>
          <t>NULL</t>
        </is>
      </c>
      <c r="J1834" s="0" t="inlineStr">
        <is>
          <t>NULL</t>
        </is>
      </c>
      <c r="K1834" s="0" t="inlineStr">
        <is>
          <t>YES! 	 c_float列源备映射正确，源端为float None位	期望更改为float	实际备端为float None位</t>
        </is>
      </c>
    </row>
    <row r="1835">
      <c r="B1835" s="0" t="inlineStr">
        <is>
          <t>NULL</t>
        </is>
      </c>
      <c r="C1835" s="0" t="inlineStr">
        <is>
          <t>NULL</t>
        </is>
      </c>
      <c r="D1835" s="0" t="inlineStr">
        <is>
          <t>NULL</t>
        </is>
      </c>
      <c r="E1835" s="0" t="inlineStr">
        <is>
          <t>NULL</t>
        </is>
      </c>
      <c r="F1835" s="0" t="inlineStr">
        <is>
          <t>NULL</t>
        </is>
      </c>
      <c r="G1835" s="0" t="inlineStr">
        <is>
          <t>NULL</t>
        </is>
      </c>
      <c r="H1835" s="0" t="inlineStr">
        <is>
          <t>NULL</t>
        </is>
      </c>
      <c r="I1835" s="0" t="inlineStr">
        <is>
          <t>NULL</t>
        </is>
      </c>
      <c r="J1835" s="0" t="inlineStr">
        <is>
          <t>NULL</t>
        </is>
      </c>
      <c r="K1835" s="0" t="inlineStr">
        <is>
          <t>YES! 	 c_real列源备映射正确，源端为real None位	期望更改为real	实际备端为real None位</t>
        </is>
      </c>
    </row>
    <row r="1836">
      <c r="B1836" s="0" t="inlineStr">
        <is>
          <t>NULL</t>
        </is>
      </c>
      <c r="C1836" s="0" t="inlineStr">
        <is>
          <t>NULL</t>
        </is>
      </c>
      <c r="D1836" s="0" t="inlineStr">
        <is>
          <t>NULL</t>
        </is>
      </c>
      <c r="E1836" s="0" t="inlineStr">
        <is>
          <t>NULL</t>
        </is>
      </c>
      <c r="F1836" s="0" t="inlineStr">
        <is>
          <t>NULL</t>
        </is>
      </c>
      <c r="G1836" s="0" t="inlineStr">
        <is>
          <t>NULL</t>
        </is>
      </c>
      <c r="H1836" s="0" t="inlineStr">
        <is>
          <t>NULL</t>
        </is>
      </c>
      <c r="I1836" s="0" t="inlineStr">
        <is>
          <t>NULL</t>
        </is>
      </c>
      <c r="J1836" s="0" t="inlineStr">
        <is>
          <t>NULL</t>
        </is>
      </c>
      <c r="K1836" s="0" t="inlineStr">
        <is>
          <t>YES! 	 c_money列源备映射正确，源端为money None位	期望更改为money	实际备端为money None位</t>
        </is>
      </c>
    </row>
    <row r="1837">
      <c r="B1837" s="0" t="inlineStr">
        <is>
          <t>NULL</t>
        </is>
      </c>
      <c r="C1837" s="0" t="inlineStr">
        <is>
          <t>NULL</t>
        </is>
      </c>
      <c r="D1837" s="0" t="inlineStr">
        <is>
          <t>NULL</t>
        </is>
      </c>
      <c r="E1837" s="0" t="inlineStr">
        <is>
          <t>NULL</t>
        </is>
      </c>
      <c r="F1837" s="0" t="inlineStr">
        <is>
          <t>NULL</t>
        </is>
      </c>
      <c r="G1837" s="0" t="inlineStr">
        <is>
          <t>NULL</t>
        </is>
      </c>
      <c r="H1837" s="0" t="inlineStr">
        <is>
          <t>NULL</t>
        </is>
      </c>
      <c r="I1837" s="0" t="inlineStr">
        <is>
          <t>NULL</t>
        </is>
      </c>
      <c r="J1837" s="0" t="inlineStr">
        <is>
          <t>NULL</t>
        </is>
      </c>
      <c r="K1837" s="0" t="inlineStr">
        <is>
          <t>YES! 	 c_smallmoney列源备映射正确，源端为smallmoney None位	期望更改为smallmoney	实际备端为smallmoney None位</t>
        </is>
      </c>
    </row>
    <row r="1838">
      <c r="B1838" s="0" t="inlineStr">
        <is>
          <t>NULL</t>
        </is>
      </c>
      <c r="C1838" s="0" t="inlineStr">
        <is>
          <t>NULL</t>
        </is>
      </c>
      <c r="D1838" s="0" t="inlineStr">
        <is>
          <t>NULL</t>
        </is>
      </c>
      <c r="E1838" s="0" t="inlineStr">
        <is>
          <t>NULL</t>
        </is>
      </c>
      <c r="F1838" s="0" t="inlineStr">
        <is>
          <t>NULL</t>
        </is>
      </c>
      <c r="G1838" s="0" t="inlineStr">
        <is>
          <t>NULL</t>
        </is>
      </c>
      <c r="H1838" s="0" t="inlineStr">
        <is>
          <t>NULL</t>
        </is>
      </c>
      <c r="I1838" s="0" t="inlineStr">
        <is>
          <t>NULL</t>
        </is>
      </c>
      <c r="J1838" s="0" t="inlineStr">
        <is>
          <t>NULL</t>
        </is>
      </c>
      <c r="K1838" s="0" t="inlineStr">
        <is>
          <t>YES! 	 c_bit列源备映射正确，源端为bit None位	期望更改为bit	实际备端为bit None位</t>
        </is>
      </c>
    </row>
    <row r="1839">
      <c r="K1839" s="0" t="inlineStr">
        <is>
          <t>~ 空表</t>
        </is>
      </c>
    </row>
    <row r="1840">
      <c r="A1840" s="0" t="inlineStr">
        <is>
          <t>info_xml_dml_single_pk</t>
        </is>
      </c>
      <c r="K1840" s="0" t="inlineStr">
        <is>
          <t>[0;34m info_xml_dml_single_pk [0m源备字段数相同，源端字段：2 	备端字段2</t>
        </is>
      </c>
      <c r="W1840" s="0" t="inlineStr">
        <is>
          <t>YES 源备无差异</t>
        </is>
      </c>
      <c r="X1840" s="0">
        <f>A1840</f>
        <v/>
      </c>
    </row>
    <row r="1841">
      <c r="B1841" s="0" t="inlineStr">
        <is>
          <t>YES</t>
        </is>
      </c>
      <c r="C1841" s="0" t="inlineStr">
        <is>
          <t>NULL</t>
        </is>
      </c>
      <c r="D1841" s="0" t="inlineStr">
        <is>
          <t>NULL</t>
        </is>
      </c>
      <c r="E1841" s="0" t="inlineStr">
        <is>
          <t>NULL</t>
        </is>
      </c>
      <c r="F1841" s="0" t="inlineStr">
        <is>
          <t>NULL</t>
        </is>
      </c>
      <c r="G1841" s="0" t="inlineStr">
        <is>
          <t>NULL</t>
        </is>
      </c>
      <c r="H1841" s="0" t="inlineStr">
        <is>
          <t>NULL</t>
        </is>
      </c>
      <c r="I1841" s="0" t="inlineStr">
        <is>
          <t>YES!PK__info_xml__3213E83F18208475</t>
        </is>
      </c>
      <c r="J1841" s="0" t="inlineStr">
        <is>
          <t>YES! 主键相关索引</t>
        </is>
      </c>
      <c r="K1841" s="0" t="inlineStr">
        <is>
          <t>YES! 	 id列源备映射正确，源端为int None位	期望更改为int	实际备端为int None位</t>
        </is>
      </c>
    </row>
    <row r="1842">
      <c r="B1842" s="0" t="inlineStr">
        <is>
          <t>NULL</t>
        </is>
      </c>
      <c r="C1842" s="0" t="inlineStr">
        <is>
          <t>NULL</t>
        </is>
      </c>
      <c r="D1842" s="0" t="inlineStr">
        <is>
          <t>NULL</t>
        </is>
      </c>
      <c r="E1842" s="0" t="inlineStr">
        <is>
          <t>NULL</t>
        </is>
      </c>
      <c r="F1842" s="0" t="inlineStr">
        <is>
          <t>NULL</t>
        </is>
      </c>
      <c r="G1842" s="0" t="inlineStr">
        <is>
          <t>NULL</t>
        </is>
      </c>
      <c r="H1842" s="0" t="inlineStr">
        <is>
          <t>NULL</t>
        </is>
      </c>
      <c r="I1842" s="0" t="inlineStr">
        <is>
          <t>NULL</t>
        </is>
      </c>
      <c r="J1842" s="0" t="inlineStr">
        <is>
          <t>NULL</t>
        </is>
      </c>
      <c r="K1842" s="0" t="inlineStr">
        <is>
          <t>YES! 	 c_xml列源备映射正确，源端为xml -1位	期望更改为xml	实际备端为xml -1位</t>
        </is>
      </c>
    </row>
    <row r="1843">
      <c r="A1843" s="0" t="inlineStr">
        <is>
          <t>info_int_dml_batch1_pk_drp2</t>
        </is>
      </c>
      <c r="K1843" s="0" t="inlineStr">
        <is>
          <t>[0;34m info_int_dml_batch1_pk_drp2 [0m源备字段数相同，源端字段：20 	备端字段20</t>
        </is>
      </c>
      <c r="W1843" s="0" t="inlineStr">
        <is>
          <t>YES 源备无差异</t>
        </is>
      </c>
      <c r="X1843" s="0">
        <f>A1843</f>
        <v/>
      </c>
    </row>
    <row r="1844">
      <c r="B1844" s="0" t="inlineStr">
        <is>
          <t>YES</t>
        </is>
      </c>
      <c r="C1844" s="0" t="inlineStr">
        <is>
          <t>NULL</t>
        </is>
      </c>
      <c r="D1844" s="0" t="inlineStr">
        <is>
          <t>NULL</t>
        </is>
      </c>
      <c r="E1844" s="0" t="inlineStr">
        <is>
          <t>NULL</t>
        </is>
      </c>
      <c r="F1844" s="0" t="inlineStr">
        <is>
          <t>NULL</t>
        </is>
      </c>
      <c r="G1844" s="0" t="inlineStr">
        <is>
          <t>NULL</t>
        </is>
      </c>
      <c r="H1844" s="0" t="inlineStr">
        <is>
          <t>NULL</t>
        </is>
      </c>
      <c r="I1844" s="0" t="inlineStr">
        <is>
          <t>YES!PK__info_int__3213E83F7F818277</t>
        </is>
      </c>
      <c r="J1844" s="0" t="inlineStr">
        <is>
          <t>YES! 主键相关索引</t>
        </is>
      </c>
      <c r="K1844" s="0" t="inlineStr">
        <is>
          <t>YES! 	 id列源备映射正确，源端为int None位	期望更改为int	实际备端为int None位</t>
        </is>
      </c>
    </row>
    <row r="1845">
      <c r="B1845" s="0" t="inlineStr">
        <is>
          <t>NULL</t>
        </is>
      </c>
      <c r="C1845" s="0" t="inlineStr">
        <is>
          <t>NULL</t>
        </is>
      </c>
      <c r="D1845" s="0" t="inlineStr">
        <is>
          <t>NULL</t>
        </is>
      </c>
      <c r="E1845" s="0" t="inlineStr">
        <is>
          <t>NULL</t>
        </is>
      </c>
      <c r="F1845" s="0" t="inlineStr">
        <is>
          <t>NULL</t>
        </is>
      </c>
      <c r="G1845" s="0" t="inlineStr">
        <is>
          <t>NULL</t>
        </is>
      </c>
      <c r="H1845" s="0" t="inlineStr">
        <is>
          <t>NULL</t>
        </is>
      </c>
      <c r="I1845" s="0" t="inlineStr">
        <is>
          <t>NULL</t>
        </is>
      </c>
      <c r="J1845" s="0" t="inlineStr">
        <is>
          <t>NULL</t>
        </is>
      </c>
      <c r="K1845" s="0" t="inlineStr">
        <is>
          <t>YES! 	 c_tinyint列源备映射正确，源端为tinyint None位	期望更改为tinyint	实际备端为tinyint None位</t>
        </is>
      </c>
    </row>
    <row r="1846">
      <c r="B1846" s="0" t="inlineStr">
        <is>
          <t>NULL</t>
        </is>
      </c>
      <c r="C1846" s="0" t="inlineStr">
        <is>
          <t>NULL</t>
        </is>
      </c>
      <c r="D1846" s="0" t="inlineStr">
        <is>
          <t>NULL</t>
        </is>
      </c>
      <c r="E1846" s="0" t="inlineStr">
        <is>
          <t>NULL</t>
        </is>
      </c>
      <c r="F1846" s="0" t="inlineStr">
        <is>
          <t>NULL</t>
        </is>
      </c>
      <c r="G1846" s="0" t="inlineStr">
        <is>
          <t>NULL</t>
        </is>
      </c>
      <c r="H1846" s="0" t="inlineStr">
        <is>
          <t>NULL</t>
        </is>
      </c>
      <c r="I1846" s="0" t="inlineStr">
        <is>
          <t>NULL</t>
        </is>
      </c>
      <c r="J1846" s="0" t="inlineStr">
        <is>
          <t>NULL</t>
        </is>
      </c>
      <c r="K1846" s="0" t="inlineStr">
        <is>
          <t>YES! 	 c_smallint列源备映射正确，源端为smallint None位	期望更改为smallint	实际备端为smallint None位</t>
        </is>
      </c>
    </row>
    <row r="1847">
      <c r="B1847" s="0" t="inlineStr">
        <is>
          <t>NULL</t>
        </is>
      </c>
      <c r="C1847" s="0" t="inlineStr">
        <is>
          <t>NULL</t>
        </is>
      </c>
      <c r="D1847" s="0" t="inlineStr">
        <is>
          <t>NULL</t>
        </is>
      </c>
      <c r="E1847" s="0" t="inlineStr">
        <is>
          <t>NULL</t>
        </is>
      </c>
      <c r="F1847" s="0" t="inlineStr">
        <is>
          <t>NULL</t>
        </is>
      </c>
      <c r="G1847" s="0" t="inlineStr">
        <is>
          <t>NULL</t>
        </is>
      </c>
      <c r="H1847" s="0" t="inlineStr">
        <is>
          <t>NULL</t>
        </is>
      </c>
      <c r="I1847" s="0" t="inlineStr">
        <is>
          <t>NULL</t>
        </is>
      </c>
      <c r="J1847" s="0" t="inlineStr">
        <is>
          <t>NULL</t>
        </is>
      </c>
      <c r="K1847" s="0" t="inlineStr">
        <is>
          <t>YES! 	 c_int列源备映射正确，源端为int None位	期望更改为int	实际备端为int None位</t>
        </is>
      </c>
    </row>
    <row r="1848">
      <c r="B1848" s="0" t="inlineStr">
        <is>
          <t>NULL</t>
        </is>
      </c>
      <c r="C1848" s="0" t="inlineStr">
        <is>
          <t>NULL</t>
        </is>
      </c>
      <c r="D1848" s="0" t="inlineStr">
        <is>
          <t>NULL</t>
        </is>
      </c>
      <c r="E1848" s="0" t="inlineStr">
        <is>
          <t>NULL</t>
        </is>
      </c>
      <c r="F1848" s="0" t="inlineStr">
        <is>
          <t>NULL</t>
        </is>
      </c>
      <c r="G1848" s="0" t="inlineStr">
        <is>
          <t>NULL</t>
        </is>
      </c>
      <c r="H1848" s="0" t="inlineStr">
        <is>
          <t>NULL</t>
        </is>
      </c>
      <c r="I1848" s="0" t="inlineStr">
        <is>
          <t>NULL</t>
        </is>
      </c>
      <c r="J1848" s="0" t="inlineStr">
        <is>
          <t>NULL</t>
        </is>
      </c>
      <c r="K1848" s="0" t="inlineStr">
        <is>
          <t>YES! 	 c_bigint列源备映射正确，源端为bigint None位	期望更改为bigint	实际备端为bigint None位</t>
        </is>
      </c>
    </row>
    <row r="1849">
      <c r="B1849" s="0" t="inlineStr">
        <is>
          <t>NULL</t>
        </is>
      </c>
      <c r="C1849" s="0" t="inlineStr">
        <is>
          <t>NULL</t>
        </is>
      </c>
      <c r="D1849" s="0" t="inlineStr">
        <is>
          <t>NULL</t>
        </is>
      </c>
      <c r="E1849" s="0" t="inlineStr">
        <is>
          <t>NULL</t>
        </is>
      </c>
      <c r="F1849" s="0" t="inlineStr">
        <is>
          <t>NULL</t>
        </is>
      </c>
      <c r="G1849" s="0" t="inlineStr">
        <is>
          <t>NULL</t>
        </is>
      </c>
      <c r="H1849" s="0" t="inlineStr">
        <is>
          <t>NULL</t>
        </is>
      </c>
      <c r="I1849" s="0" t="inlineStr">
        <is>
          <t>NULL</t>
        </is>
      </c>
      <c r="J1849" s="0" t="inlineStr">
        <is>
          <t>NULL</t>
        </is>
      </c>
      <c r="K1849" s="0" t="inlineStr">
        <is>
          <t>YES! 	 c_decimal列源备映射正确，源端为decimal None位	期望更改为decimal(p,s)	实际备端为decimal None位</t>
        </is>
      </c>
    </row>
    <row r="1850">
      <c r="B1850" s="0" t="inlineStr">
        <is>
          <t>NULL</t>
        </is>
      </c>
      <c r="C1850" s="0" t="inlineStr">
        <is>
          <t>NULL</t>
        </is>
      </c>
      <c r="D1850" s="0" t="inlineStr">
        <is>
          <t>NULL</t>
        </is>
      </c>
      <c r="E1850" s="0" t="inlineStr">
        <is>
          <t>NULL</t>
        </is>
      </c>
      <c r="F1850" s="0" t="inlineStr">
        <is>
          <t>NULL</t>
        </is>
      </c>
      <c r="G1850" s="0" t="inlineStr">
        <is>
          <t>NULL</t>
        </is>
      </c>
      <c r="H1850" s="0" t="inlineStr">
        <is>
          <t>NULL</t>
        </is>
      </c>
      <c r="I1850" s="0" t="inlineStr">
        <is>
          <t>NULL</t>
        </is>
      </c>
      <c r="J1850" s="0" t="inlineStr">
        <is>
          <t>NULL</t>
        </is>
      </c>
      <c r="K1850" s="0" t="inlineStr">
        <is>
          <t>YES! 	 c_decimal38列源备映射正确，源端为decimal None位	期望更改为decimal(p,s)	实际备端为decimal None位</t>
        </is>
      </c>
    </row>
    <row r="1851">
      <c r="B1851" s="0" t="inlineStr">
        <is>
          <t>NULL</t>
        </is>
      </c>
      <c r="C1851" s="0" t="inlineStr">
        <is>
          <t>NULL</t>
        </is>
      </c>
      <c r="D1851" s="0" t="inlineStr">
        <is>
          <t>NULL</t>
        </is>
      </c>
      <c r="E1851" s="0" t="inlineStr">
        <is>
          <t>NULL</t>
        </is>
      </c>
      <c r="F1851" s="0" t="inlineStr">
        <is>
          <t>NULL</t>
        </is>
      </c>
      <c r="G1851" s="0" t="inlineStr">
        <is>
          <t>NULL</t>
        </is>
      </c>
      <c r="H1851" s="0" t="inlineStr">
        <is>
          <t>NULL</t>
        </is>
      </c>
      <c r="I1851" s="0" t="inlineStr">
        <is>
          <t>NULL</t>
        </is>
      </c>
      <c r="J1851" s="0" t="inlineStr">
        <is>
          <t>NULL</t>
        </is>
      </c>
      <c r="K1851" s="0" t="inlineStr">
        <is>
          <t>YES! 	 c_decimal38_38列源备映射正确，源端为decimal None位	期望更改为decimal(p,s)	实际备端为decimal None位</t>
        </is>
      </c>
    </row>
    <row r="1852">
      <c r="B1852" s="0" t="inlineStr">
        <is>
          <t>NULL</t>
        </is>
      </c>
      <c r="C1852" s="0" t="inlineStr">
        <is>
          <t>NULL</t>
        </is>
      </c>
      <c r="D1852" s="0" t="inlineStr">
        <is>
          <t>NULL</t>
        </is>
      </c>
      <c r="E1852" s="0" t="inlineStr">
        <is>
          <t>NULL</t>
        </is>
      </c>
      <c r="F1852" s="0" t="inlineStr">
        <is>
          <t>NULL</t>
        </is>
      </c>
      <c r="G1852" s="0" t="inlineStr">
        <is>
          <t>NULL</t>
        </is>
      </c>
      <c r="H1852" s="0" t="inlineStr">
        <is>
          <t>NULL</t>
        </is>
      </c>
      <c r="I1852" s="0" t="inlineStr">
        <is>
          <t>NULL</t>
        </is>
      </c>
      <c r="J1852" s="0" t="inlineStr">
        <is>
          <t>NULL</t>
        </is>
      </c>
      <c r="K1852" s="0" t="inlineStr">
        <is>
          <t>YES! 	 c_decimal38_10列源备映射正确，源端为decimal None位	期望更改为decimal(p,s)	实际备端为decimal None位</t>
        </is>
      </c>
    </row>
    <row r="1853">
      <c r="B1853" s="0" t="inlineStr">
        <is>
          <t>NULL</t>
        </is>
      </c>
      <c r="C1853" s="0" t="inlineStr">
        <is>
          <t>NULL</t>
        </is>
      </c>
      <c r="D1853" s="0" t="inlineStr">
        <is>
          <t>NULL</t>
        </is>
      </c>
      <c r="E1853" s="0" t="inlineStr">
        <is>
          <t>NULL</t>
        </is>
      </c>
      <c r="F1853" s="0" t="inlineStr">
        <is>
          <t>NULL</t>
        </is>
      </c>
      <c r="G1853" s="0" t="inlineStr">
        <is>
          <t>NULL</t>
        </is>
      </c>
      <c r="H1853" s="0" t="inlineStr">
        <is>
          <t>NULL</t>
        </is>
      </c>
      <c r="I1853" s="0" t="inlineStr">
        <is>
          <t>NULL</t>
        </is>
      </c>
      <c r="J1853" s="0" t="inlineStr">
        <is>
          <t>NULL</t>
        </is>
      </c>
      <c r="K1853" s="0" t="inlineStr">
        <is>
          <t>YES! 	 c_decimal19_4列源备映射正确，源端为decimal None位	期望更改为decimal(p,s)	实际备端为decimal None位</t>
        </is>
      </c>
    </row>
    <row r="1854">
      <c r="B1854" s="0" t="inlineStr">
        <is>
          <t>NULL</t>
        </is>
      </c>
      <c r="C1854" s="0" t="inlineStr">
        <is>
          <t>NULL</t>
        </is>
      </c>
      <c r="D1854" s="0" t="inlineStr">
        <is>
          <t>NULL</t>
        </is>
      </c>
      <c r="E1854" s="0" t="inlineStr">
        <is>
          <t>NULL</t>
        </is>
      </c>
      <c r="F1854" s="0" t="inlineStr">
        <is>
          <t>NULL</t>
        </is>
      </c>
      <c r="G1854" s="0" t="inlineStr">
        <is>
          <t>NULL</t>
        </is>
      </c>
      <c r="H1854" s="0" t="inlineStr">
        <is>
          <t>NULL</t>
        </is>
      </c>
      <c r="I1854" s="0" t="inlineStr">
        <is>
          <t>NULL</t>
        </is>
      </c>
      <c r="J1854" s="0" t="inlineStr">
        <is>
          <t>NULL</t>
        </is>
      </c>
      <c r="K1854" s="0" t="inlineStr">
        <is>
          <t>YES! 	 c_numeric列源备映射正确，源端为numeric None位	期望更改为numeric(p,s)	实际备端为numeric None位</t>
        </is>
      </c>
    </row>
    <row r="1855">
      <c r="B1855" s="0" t="inlineStr">
        <is>
          <t>NULL</t>
        </is>
      </c>
      <c r="C1855" s="0" t="inlineStr">
        <is>
          <t>NULL</t>
        </is>
      </c>
      <c r="D1855" s="0" t="inlineStr">
        <is>
          <t>NULL</t>
        </is>
      </c>
      <c r="E1855" s="0" t="inlineStr">
        <is>
          <t>NULL</t>
        </is>
      </c>
      <c r="F1855" s="0" t="inlineStr">
        <is>
          <t>NULL</t>
        </is>
      </c>
      <c r="G1855" s="0" t="inlineStr">
        <is>
          <t>NULL</t>
        </is>
      </c>
      <c r="H1855" s="0" t="inlineStr">
        <is>
          <t>NULL</t>
        </is>
      </c>
      <c r="I1855" s="0" t="inlineStr">
        <is>
          <t>NULL</t>
        </is>
      </c>
      <c r="J1855" s="0" t="inlineStr">
        <is>
          <t>NULL</t>
        </is>
      </c>
      <c r="K1855" s="0" t="inlineStr">
        <is>
          <t>YES! 	 c_numeric38列源备映射正确，源端为numeric None位	期望更改为numeric(p,s)	实际备端为numeric None位</t>
        </is>
      </c>
    </row>
    <row r="1856">
      <c r="B1856" s="0" t="inlineStr">
        <is>
          <t>NULL</t>
        </is>
      </c>
      <c r="C1856" s="0" t="inlineStr">
        <is>
          <t>NULL</t>
        </is>
      </c>
      <c r="D1856" s="0" t="inlineStr">
        <is>
          <t>NULL</t>
        </is>
      </c>
      <c r="E1856" s="0" t="inlineStr">
        <is>
          <t>NULL</t>
        </is>
      </c>
      <c r="F1856" s="0" t="inlineStr">
        <is>
          <t>NULL</t>
        </is>
      </c>
      <c r="G1856" s="0" t="inlineStr">
        <is>
          <t>NULL</t>
        </is>
      </c>
      <c r="H1856" s="0" t="inlineStr">
        <is>
          <t>NULL</t>
        </is>
      </c>
      <c r="I1856" s="0" t="inlineStr">
        <is>
          <t>NULL</t>
        </is>
      </c>
      <c r="J1856" s="0" t="inlineStr">
        <is>
          <t>NULL</t>
        </is>
      </c>
      <c r="K1856" s="0" t="inlineStr">
        <is>
          <t>YES! 	 c_numeric38_38列源备映射正确，源端为numeric None位	期望更改为numeric(p,s)	实际备端为numeric None位</t>
        </is>
      </c>
    </row>
    <row r="1857">
      <c r="B1857" s="0" t="inlineStr">
        <is>
          <t>NULL</t>
        </is>
      </c>
      <c r="C1857" s="0" t="inlineStr">
        <is>
          <t>NULL</t>
        </is>
      </c>
      <c r="D1857" s="0" t="inlineStr">
        <is>
          <t>NULL</t>
        </is>
      </c>
      <c r="E1857" s="0" t="inlineStr">
        <is>
          <t>NULL</t>
        </is>
      </c>
      <c r="F1857" s="0" t="inlineStr">
        <is>
          <t>NULL</t>
        </is>
      </c>
      <c r="G1857" s="0" t="inlineStr">
        <is>
          <t>NULL</t>
        </is>
      </c>
      <c r="H1857" s="0" t="inlineStr">
        <is>
          <t>NULL</t>
        </is>
      </c>
      <c r="I1857" s="0" t="inlineStr">
        <is>
          <t>NULL</t>
        </is>
      </c>
      <c r="J1857" s="0" t="inlineStr">
        <is>
          <t>NULL</t>
        </is>
      </c>
      <c r="K1857" s="0" t="inlineStr">
        <is>
          <t>YES! 	 c_numeric38_10列源备映射正确，源端为numeric None位	期望更改为numeric(p,s)	实际备端为numeric None位</t>
        </is>
      </c>
    </row>
    <row r="1858">
      <c r="B1858" s="0" t="inlineStr">
        <is>
          <t>NULL</t>
        </is>
      </c>
      <c r="C1858" s="0" t="inlineStr">
        <is>
          <t>NULL</t>
        </is>
      </c>
      <c r="D1858" s="0" t="inlineStr">
        <is>
          <t>NULL</t>
        </is>
      </c>
      <c r="E1858" s="0" t="inlineStr">
        <is>
          <t>NULL</t>
        </is>
      </c>
      <c r="F1858" s="0" t="inlineStr">
        <is>
          <t>NULL</t>
        </is>
      </c>
      <c r="G1858" s="0" t="inlineStr">
        <is>
          <t>NULL</t>
        </is>
      </c>
      <c r="H1858" s="0" t="inlineStr">
        <is>
          <t>NULL</t>
        </is>
      </c>
      <c r="I1858" s="0" t="inlineStr">
        <is>
          <t>NULL</t>
        </is>
      </c>
      <c r="J1858" s="0" t="inlineStr">
        <is>
          <t>NULL</t>
        </is>
      </c>
      <c r="K1858" s="0" t="inlineStr">
        <is>
          <t>YES! 	 c_numeric18_2列源备映射正确，源端为numeric None位	期望更改为numeric(p,s)	实际备端为numeric None位</t>
        </is>
      </c>
    </row>
    <row r="1859">
      <c r="B1859" s="0" t="inlineStr">
        <is>
          <t>NULL</t>
        </is>
      </c>
      <c r="C1859" s="0" t="inlineStr">
        <is>
          <t>NULL</t>
        </is>
      </c>
      <c r="D1859" s="0" t="inlineStr">
        <is>
          <t>NULL</t>
        </is>
      </c>
      <c r="E1859" s="0" t="inlineStr">
        <is>
          <t>NULL</t>
        </is>
      </c>
      <c r="F1859" s="0" t="inlineStr">
        <is>
          <t>NULL</t>
        </is>
      </c>
      <c r="G1859" s="0" t="inlineStr">
        <is>
          <t>NULL</t>
        </is>
      </c>
      <c r="H1859" s="0" t="inlineStr">
        <is>
          <t>NULL</t>
        </is>
      </c>
      <c r="I1859" s="0" t="inlineStr">
        <is>
          <t>NULL</t>
        </is>
      </c>
      <c r="J1859" s="0" t="inlineStr">
        <is>
          <t>NULL</t>
        </is>
      </c>
      <c r="K1859" s="0" t="inlineStr">
        <is>
          <t>YES! 	 c_float列源备映射正确，源端为float None位	期望更改为float	实际备端为float None位</t>
        </is>
      </c>
    </row>
    <row r="1860">
      <c r="B1860" s="0" t="inlineStr">
        <is>
          <t>NULL</t>
        </is>
      </c>
      <c r="C1860" s="0" t="inlineStr">
        <is>
          <t>NULL</t>
        </is>
      </c>
      <c r="D1860" s="0" t="inlineStr">
        <is>
          <t>NULL</t>
        </is>
      </c>
      <c r="E1860" s="0" t="inlineStr">
        <is>
          <t>NULL</t>
        </is>
      </c>
      <c r="F1860" s="0" t="inlineStr">
        <is>
          <t>NULL</t>
        </is>
      </c>
      <c r="G1860" s="0" t="inlineStr">
        <is>
          <t>NULL</t>
        </is>
      </c>
      <c r="H1860" s="0" t="inlineStr">
        <is>
          <t>NULL</t>
        </is>
      </c>
      <c r="I1860" s="0" t="inlineStr">
        <is>
          <t>NULL</t>
        </is>
      </c>
      <c r="J1860" s="0" t="inlineStr">
        <is>
          <t>NULL</t>
        </is>
      </c>
      <c r="K1860" s="0" t="inlineStr">
        <is>
          <t>YES! 	 c_real列源备映射正确，源端为real None位	期望更改为real	实际备端为real None位</t>
        </is>
      </c>
    </row>
    <row r="1861">
      <c r="B1861" s="0" t="inlineStr">
        <is>
          <t>NULL</t>
        </is>
      </c>
      <c r="C1861" s="0" t="inlineStr">
        <is>
          <t>NULL</t>
        </is>
      </c>
      <c r="D1861" s="0" t="inlineStr">
        <is>
          <t>NULL</t>
        </is>
      </c>
      <c r="E1861" s="0" t="inlineStr">
        <is>
          <t>NULL</t>
        </is>
      </c>
      <c r="F1861" s="0" t="inlineStr">
        <is>
          <t>NULL</t>
        </is>
      </c>
      <c r="G1861" s="0" t="inlineStr">
        <is>
          <t>NULL</t>
        </is>
      </c>
      <c r="H1861" s="0" t="inlineStr">
        <is>
          <t>NULL</t>
        </is>
      </c>
      <c r="I1861" s="0" t="inlineStr">
        <is>
          <t>NULL</t>
        </is>
      </c>
      <c r="J1861" s="0" t="inlineStr">
        <is>
          <t>NULL</t>
        </is>
      </c>
      <c r="K1861" s="0" t="inlineStr">
        <is>
          <t>YES! 	 c_money列源备映射正确，源端为money None位	期望更改为money	实际备端为money None位</t>
        </is>
      </c>
    </row>
    <row r="1862">
      <c r="B1862" s="0" t="inlineStr">
        <is>
          <t>NULL</t>
        </is>
      </c>
      <c r="C1862" s="0" t="inlineStr">
        <is>
          <t>NULL</t>
        </is>
      </c>
      <c r="D1862" s="0" t="inlineStr">
        <is>
          <t>NULL</t>
        </is>
      </c>
      <c r="E1862" s="0" t="inlineStr">
        <is>
          <t>NULL</t>
        </is>
      </c>
      <c r="F1862" s="0" t="inlineStr">
        <is>
          <t>NULL</t>
        </is>
      </c>
      <c r="G1862" s="0" t="inlineStr">
        <is>
          <t>NULL</t>
        </is>
      </c>
      <c r="H1862" s="0" t="inlineStr">
        <is>
          <t>NULL</t>
        </is>
      </c>
      <c r="I1862" s="0" t="inlineStr">
        <is>
          <t>NULL</t>
        </is>
      </c>
      <c r="J1862" s="0" t="inlineStr">
        <is>
          <t>NULL</t>
        </is>
      </c>
      <c r="K1862" s="0" t="inlineStr">
        <is>
          <t>YES! 	 c_smallmoney列源备映射正确，源端为smallmoney None位	期望更改为smallmoney	实际备端为smallmoney None位</t>
        </is>
      </c>
    </row>
    <row r="1863">
      <c r="B1863" s="0" t="inlineStr">
        <is>
          <t>NULL</t>
        </is>
      </c>
      <c r="C1863" s="0" t="inlineStr">
        <is>
          <t>NULL</t>
        </is>
      </c>
      <c r="D1863" s="0" t="inlineStr">
        <is>
          <t>NULL</t>
        </is>
      </c>
      <c r="E1863" s="0" t="inlineStr">
        <is>
          <t>NULL</t>
        </is>
      </c>
      <c r="F1863" s="0" t="inlineStr">
        <is>
          <t>NULL</t>
        </is>
      </c>
      <c r="G1863" s="0" t="inlineStr">
        <is>
          <t>NULL</t>
        </is>
      </c>
      <c r="H1863" s="0" t="inlineStr">
        <is>
          <t>NULL</t>
        </is>
      </c>
      <c r="I1863" s="0" t="inlineStr">
        <is>
          <t>NULL</t>
        </is>
      </c>
      <c r="J1863" s="0" t="inlineStr">
        <is>
          <t>NULL</t>
        </is>
      </c>
      <c r="K1863" s="0" t="inlineStr">
        <is>
          <t>YES! 	 c_bit列源备映射正确，源端为bit None位	期望更改为bit	实际备端为bit None位</t>
        </is>
      </c>
    </row>
    <row r="1864">
      <c r="A1864" s="0" t="inlineStr">
        <is>
          <t>info_int_dml_batch1_pk</t>
        </is>
      </c>
      <c r="K1864" s="0" t="inlineStr">
        <is>
          <t>[0;34m info_int_dml_batch1_pk [0m源备字段数相同，源端字段：20 	备端字段20</t>
        </is>
      </c>
      <c r="W1864" s="0" t="inlineStr">
        <is>
          <t>YES 源备无差异</t>
        </is>
      </c>
      <c r="X1864" s="0">
        <f>A1864</f>
        <v/>
      </c>
    </row>
    <row r="1865">
      <c r="B1865" s="0" t="inlineStr">
        <is>
          <t>YES</t>
        </is>
      </c>
      <c r="C1865" s="0" t="inlineStr">
        <is>
          <t>NULL</t>
        </is>
      </c>
      <c r="D1865" s="0" t="inlineStr">
        <is>
          <t>NULL</t>
        </is>
      </c>
      <c r="E1865" s="0" t="inlineStr">
        <is>
          <t>NULL</t>
        </is>
      </c>
      <c r="F1865" s="0" t="inlineStr">
        <is>
          <t>NULL</t>
        </is>
      </c>
      <c r="G1865" s="0" t="inlineStr">
        <is>
          <t>NULL</t>
        </is>
      </c>
      <c r="H1865" s="0" t="inlineStr">
        <is>
          <t>NULL</t>
        </is>
      </c>
      <c r="I1865" s="0" t="inlineStr">
        <is>
          <t>YES!PK__info_int__3213E83FF3EC9625</t>
        </is>
      </c>
      <c r="J1865" s="0" t="inlineStr">
        <is>
          <t>YES! 主键相关索引</t>
        </is>
      </c>
      <c r="K1865" s="0" t="inlineStr">
        <is>
          <t>YES! 	 id列源备映射正确，源端为int None位	期望更改为int	实际备端为int None位</t>
        </is>
      </c>
    </row>
    <row r="1866">
      <c r="B1866" s="0" t="inlineStr">
        <is>
          <t>NULL</t>
        </is>
      </c>
      <c r="C1866" s="0" t="inlineStr">
        <is>
          <t>NULL</t>
        </is>
      </c>
      <c r="D1866" s="0" t="inlineStr">
        <is>
          <t>NULL</t>
        </is>
      </c>
      <c r="E1866" s="0" t="inlineStr">
        <is>
          <t>NULL</t>
        </is>
      </c>
      <c r="F1866" s="0" t="inlineStr">
        <is>
          <t>NULL</t>
        </is>
      </c>
      <c r="G1866" s="0" t="inlineStr">
        <is>
          <t>NULL</t>
        </is>
      </c>
      <c r="H1866" s="0" t="inlineStr">
        <is>
          <t>NULL</t>
        </is>
      </c>
      <c r="I1866" s="0" t="inlineStr">
        <is>
          <t>NULL</t>
        </is>
      </c>
      <c r="J1866" s="0" t="inlineStr">
        <is>
          <t>NULL</t>
        </is>
      </c>
      <c r="K1866" s="0" t="inlineStr">
        <is>
          <t>YES! 	 c_tinyint列源备映射正确，源端为tinyint None位	期望更改为tinyint	实际备端为tinyint None位</t>
        </is>
      </c>
    </row>
    <row r="1867">
      <c r="B1867" s="0" t="inlineStr">
        <is>
          <t>NULL</t>
        </is>
      </c>
      <c r="C1867" s="0" t="inlineStr">
        <is>
          <t>NULL</t>
        </is>
      </c>
      <c r="D1867" s="0" t="inlineStr">
        <is>
          <t>NULL</t>
        </is>
      </c>
      <c r="E1867" s="0" t="inlineStr">
        <is>
          <t>NULL</t>
        </is>
      </c>
      <c r="F1867" s="0" t="inlineStr">
        <is>
          <t>NULL</t>
        </is>
      </c>
      <c r="G1867" s="0" t="inlineStr">
        <is>
          <t>NULL</t>
        </is>
      </c>
      <c r="H1867" s="0" t="inlineStr">
        <is>
          <t>NULL</t>
        </is>
      </c>
      <c r="I1867" s="0" t="inlineStr">
        <is>
          <t>NULL</t>
        </is>
      </c>
      <c r="J1867" s="0" t="inlineStr">
        <is>
          <t>NULL</t>
        </is>
      </c>
      <c r="K1867" s="0" t="inlineStr">
        <is>
          <t>YES! 	 c_smallint列源备映射正确，源端为smallint None位	期望更改为smallint	实际备端为smallint None位</t>
        </is>
      </c>
    </row>
    <row r="1868">
      <c r="B1868" s="0" t="inlineStr">
        <is>
          <t>NULL</t>
        </is>
      </c>
      <c r="C1868" s="0" t="inlineStr">
        <is>
          <t>NULL</t>
        </is>
      </c>
      <c r="D1868" s="0" t="inlineStr">
        <is>
          <t>NULL</t>
        </is>
      </c>
      <c r="E1868" s="0" t="inlineStr">
        <is>
          <t>NULL</t>
        </is>
      </c>
      <c r="F1868" s="0" t="inlineStr">
        <is>
          <t>NULL</t>
        </is>
      </c>
      <c r="G1868" s="0" t="inlineStr">
        <is>
          <t>NULL</t>
        </is>
      </c>
      <c r="H1868" s="0" t="inlineStr">
        <is>
          <t>NULL</t>
        </is>
      </c>
      <c r="I1868" s="0" t="inlineStr">
        <is>
          <t>NULL</t>
        </is>
      </c>
      <c r="J1868" s="0" t="inlineStr">
        <is>
          <t>NULL</t>
        </is>
      </c>
      <c r="K1868" s="0" t="inlineStr">
        <is>
          <t>YES! 	 c_int列源备映射正确，源端为int None位	期望更改为int	实际备端为int None位</t>
        </is>
      </c>
    </row>
    <row r="1869">
      <c r="B1869" s="0" t="inlineStr">
        <is>
          <t>NULL</t>
        </is>
      </c>
      <c r="C1869" s="0" t="inlineStr">
        <is>
          <t>NULL</t>
        </is>
      </c>
      <c r="D1869" s="0" t="inlineStr">
        <is>
          <t>NULL</t>
        </is>
      </c>
      <c r="E1869" s="0" t="inlineStr">
        <is>
          <t>NULL</t>
        </is>
      </c>
      <c r="F1869" s="0" t="inlineStr">
        <is>
          <t>NULL</t>
        </is>
      </c>
      <c r="G1869" s="0" t="inlineStr">
        <is>
          <t>NULL</t>
        </is>
      </c>
      <c r="H1869" s="0" t="inlineStr">
        <is>
          <t>NULL</t>
        </is>
      </c>
      <c r="I1869" s="0" t="inlineStr">
        <is>
          <t>NULL</t>
        </is>
      </c>
      <c r="J1869" s="0" t="inlineStr">
        <is>
          <t>NULL</t>
        </is>
      </c>
      <c r="K1869" s="0" t="inlineStr">
        <is>
          <t>YES! 	 c_bigint列源备映射正确，源端为bigint None位	期望更改为bigint	实际备端为bigint None位</t>
        </is>
      </c>
    </row>
    <row r="1870">
      <c r="B1870" s="0" t="inlineStr">
        <is>
          <t>NULL</t>
        </is>
      </c>
      <c r="C1870" s="0" t="inlineStr">
        <is>
          <t>NULL</t>
        </is>
      </c>
      <c r="D1870" s="0" t="inlineStr">
        <is>
          <t>NULL</t>
        </is>
      </c>
      <c r="E1870" s="0" t="inlineStr">
        <is>
          <t>NULL</t>
        </is>
      </c>
      <c r="F1870" s="0" t="inlineStr">
        <is>
          <t>NULL</t>
        </is>
      </c>
      <c r="G1870" s="0" t="inlineStr">
        <is>
          <t>NULL</t>
        </is>
      </c>
      <c r="H1870" s="0" t="inlineStr">
        <is>
          <t>NULL</t>
        </is>
      </c>
      <c r="I1870" s="0" t="inlineStr">
        <is>
          <t>NULL</t>
        </is>
      </c>
      <c r="J1870" s="0" t="inlineStr">
        <is>
          <t>NULL</t>
        </is>
      </c>
      <c r="K1870" s="0" t="inlineStr">
        <is>
          <t>YES! 	 c_decimal列源备映射正确，源端为decimal None位	期望更改为decimal(p,s)	实际备端为decimal None位</t>
        </is>
      </c>
    </row>
    <row r="1871">
      <c r="B1871" s="0" t="inlineStr">
        <is>
          <t>NULL</t>
        </is>
      </c>
      <c r="C1871" s="0" t="inlineStr">
        <is>
          <t>NULL</t>
        </is>
      </c>
      <c r="D1871" s="0" t="inlineStr">
        <is>
          <t>NULL</t>
        </is>
      </c>
      <c r="E1871" s="0" t="inlineStr">
        <is>
          <t>NULL</t>
        </is>
      </c>
      <c r="F1871" s="0" t="inlineStr">
        <is>
          <t>NULL</t>
        </is>
      </c>
      <c r="G1871" s="0" t="inlineStr">
        <is>
          <t>NULL</t>
        </is>
      </c>
      <c r="H1871" s="0" t="inlineStr">
        <is>
          <t>NULL</t>
        </is>
      </c>
      <c r="I1871" s="0" t="inlineStr">
        <is>
          <t>NULL</t>
        </is>
      </c>
      <c r="J1871" s="0" t="inlineStr">
        <is>
          <t>NULL</t>
        </is>
      </c>
      <c r="K1871" s="0" t="inlineStr">
        <is>
          <t>YES! 	 c_decimal38列源备映射正确，源端为decimal None位	期望更改为decimal(p,s)	实际备端为decimal None位</t>
        </is>
      </c>
    </row>
    <row r="1872">
      <c r="B1872" s="0" t="inlineStr">
        <is>
          <t>NULL</t>
        </is>
      </c>
      <c r="C1872" s="0" t="inlineStr">
        <is>
          <t>NULL</t>
        </is>
      </c>
      <c r="D1872" s="0" t="inlineStr">
        <is>
          <t>NULL</t>
        </is>
      </c>
      <c r="E1872" s="0" t="inlineStr">
        <is>
          <t>NULL</t>
        </is>
      </c>
      <c r="F1872" s="0" t="inlineStr">
        <is>
          <t>NULL</t>
        </is>
      </c>
      <c r="G1872" s="0" t="inlineStr">
        <is>
          <t>NULL</t>
        </is>
      </c>
      <c r="H1872" s="0" t="inlineStr">
        <is>
          <t>NULL</t>
        </is>
      </c>
      <c r="I1872" s="0" t="inlineStr">
        <is>
          <t>NULL</t>
        </is>
      </c>
      <c r="J1872" s="0" t="inlineStr">
        <is>
          <t>NULL</t>
        </is>
      </c>
      <c r="K1872" s="0" t="inlineStr">
        <is>
          <t>YES! 	 c_decimal38_38列源备映射正确，源端为decimal None位	期望更改为decimal(p,s)	实际备端为decimal None位</t>
        </is>
      </c>
    </row>
    <row r="1873">
      <c r="B1873" s="0" t="inlineStr">
        <is>
          <t>NULL</t>
        </is>
      </c>
      <c r="C1873" s="0" t="inlineStr">
        <is>
          <t>NULL</t>
        </is>
      </c>
      <c r="D1873" s="0" t="inlineStr">
        <is>
          <t>NULL</t>
        </is>
      </c>
      <c r="E1873" s="0" t="inlineStr">
        <is>
          <t>NULL</t>
        </is>
      </c>
      <c r="F1873" s="0" t="inlineStr">
        <is>
          <t>NULL</t>
        </is>
      </c>
      <c r="G1873" s="0" t="inlineStr">
        <is>
          <t>NULL</t>
        </is>
      </c>
      <c r="H1873" s="0" t="inlineStr">
        <is>
          <t>NULL</t>
        </is>
      </c>
      <c r="I1873" s="0" t="inlineStr">
        <is>
          <t>NULL</t>
        </is>
      </c>
      <c r="J1873" s="0" t="inlineStr">
        <is>
          <t>NULL</t>
        </is>
      </c>
      <c r="K1873" s="0" t="inlineStr">
        <is>
          <t>YES! 	 c_decimal38_10列源备映射正确，源端为decimal None位	期望更改为decimal(p,s)	实际备端为decimal None位</t>
        </is>
      </c>
    </row>
    <row r="1874">
      <c r="B1874" s="0" t="inlineStr">
        <is>
          <t>NULL</t>
        </is>
      </c>
      <c r="C1874" s="0" t="inlineStr">
        <is>
          <t>NULL</t>
        </is>
      </c>
      <c r="D1874" s="0" t="inlineStr">
        <is>
          <t>NULL</t>
        </is>
      </c>
      <c r="E1874" s="0" t="inlineStr">
        <is>
          <t>NULL</t>
        </is>
      </c>
      <c r="F1874" s="0" t="inlineStr">
        <is>
          <t>NULL</t>
        </is>
      </c>
      <c r="G1874" s="0" t="inlineStr">
        <is>
          <t>NULL</t>
        </is>
      </c>
      <c r="H1874" s="0" t="inlineStr">
        <is>
          <t>NULL</t>
        </is>
      </c>
      <c r="I1874" s="0" t="inlineStr">
        <is>
          <t>NULL</t>
        </is>
      </c>
      <c r="J1874" s="0" t="inlineStr">
        <is>
          <t>NULL</t>
        </is>
      </c>
      <c r="K1874" s="0" t="inlineStr">
        <is>
          <t>YES! 	 c_decimal19_4列源备映射正确，源端为decimal None位	期望更改为decimal(p,s)	实际备端为decimal None位</t>
        </is>
      </c>
    </row>
    <row r="1875">
      <c r="B1875" s="0" t="inlineStr">
        <is>
          <t>NULL</t>
        </is>
      </c>
      <c r="C1875" s="0" t="inlineStr">
        <is>
          <t>NULL</t>
        </is>
      </c>
      <c r="D1875" s="0" t="inlineStr">
        <is>
          <t>NULL</t>
        </is>
      </c>
      <c r="E1875" s="0" t="inlineStr">
        <is>
          <t>NULL</t>
        </is>
      </c>
      <c r="F1875" s="0" t="inlineStr">
        <is>
          <t>NULL</t>
        </is>
      </c>
      <c r="G1875" s="0" t="inlineStr">
        <is>
          <t>NULL</t>
        </is>
      </c>
      <c r="H1875" s="0" t="inlineStr">
        <is>
          <t>NULL</t>
        </is>
      </c>
      <c r="I1875" s="0" t="inlineStr">
        <is>
          <t>NULL</t>
        </is>
      </c>
      <c r="J1875" s="0" t="inlineStr">
        <is>
          <t>NULL</t>
        </is>
      </c>
      <c r="K1875" s="0" t="inlineStr">
        <is>
          <t>YES! 	 c_numeric列源备映射正确，源端为numeric None位	期望更改为numeric(p,s)	实际备端为numeric None位</t>
        </is>
      </c>
    </row>
    <row r="1876">
      <c r="B1876" s="0" t="inlineStr">
        <is>
          <t>NULL</t>
        </is>
      </c>
      <c r="C1876" s="0" t="inlineStr">
        <is>
          <t>NULL</t>
        </is>
      </c>
      <c r="D1876" s="0" t="inlineStr">
        <is>
          <t>NULL</t>
        </is>
      </c>
      <c r="E1876" s="0" t="inlineStr">
        <is>
          <t>NULL</t>
        </is>
      </c>
      <c r="F1876" s="0" t="inlineStr">
        <is>
          <t>NULL</t>
        </is>
      </c>
      <c r="G1876" s="0" t="inlineStr">
        <is>
          <t>NULL</t>
        </is>
      </c>
      <c r="H1876" s="0" t="inlineStr">
        <is>
          <t>NULL</t>
        </is>
      </c>
      <c r="I1876" s="0" t="inlineStr">
        <is>
          <t>NULL</t>
        </is>
      </c>
      <c r="J1876" s="0" t="inlineStr">
        <is>
          <t>NULL</t>
        </is>
      </c>
      <c r="K1876" s="0" t="inlineStr">
        <is>
          <t>YES! 	 c_numeric38列源备映射正确，源端为numeric None位	期望更改为numeric(p,s)	实际备端为numeric None位</t>
        </is>
      </c>
    </row>
    <row r="1877">
      <c r="B1877" s="0" t="inlineStr">
        <is>
          <t>NULL</t>
        </is>
      </c>
      <c r="C1877" s="0" t="inlineStr">
        <is>
          <t>NULL</t>
        </is>
      </c>
      <c r="D1877" s="0" t="inlineStr">
        <is>
          <t>NULL</t>
        </is>
      </c>
      <c r="E1877" s="0" t="inlineStr">
        <is>
          <t>NULL</t>
        </is>
      </c>
      <c r="F1877" s="0" t="inlineStr">
        <is>
          <t>NULL</t>
        </is>
      </c>
      <c r="G1877" s="0" t="inlineStr">
        <is>
          <t>NULL</t>
        </is>
      </c>
      <c r="H1877" s="0" t="inlineStr">
        <is>
          <t>NULL</t>
        </is>
      </c>
      <c r="I1877" s="0" t="inlineStr">
        <is>
          <t>NULL</t>
        </is>
      </c>
      <c r="J1877" s="0" t="inlineStr">
        <is>
          <t>NULL</t>
        </is>
      </c>
      <c r="K1877" s="0" t="inlineStr">
        <is>
          <t>YES! 	 c_numeric38_38列源备映射正确，源端为numeric None位	期望更改为numeric(p,s)	实际备端为numeric None位</t>
        </is>
      </c>
    </row>
    <row r="1878">
      <c r="B1878" s="0" t="inlineStr">
        <is>
          <t>NULL</t>
        </is>
      </c>
      <c r="C1878" s="0" t="inlineStr">
        <is>
          <t>NULL</t>
        </is>
      </c>
      <c r="D1878" s="0" t="inlineStr">
        <is>
          <t>NULL</t>
        </is>
      </c>
      <c r="E1878" s="0" t="inlineStr">
        <is>
          <t>NULL</t>
        </is>
      </c>
      <c r="F1878" s="0" t="inlineStr">
        <is>
          <t>NULL</t>
        </is>
      </c>
      <c r="G1878" s="0" t="inlineStr">
        <is>
          <t>NULL</t>
        </is>
      </c>
      <c r="H1878" s="0" t="inlineStr">
        <is>
          <t>NULL</t>
        </is>
      </c>
      <c r="I1878" s="0" t="inlineStr">
        <is>
          <t>NULL</t>
        </is>
      </c>
      <c r="J1878" s="0" t="inlineStr">
        <is>
          <t>NULL</t>
        </is>
      </c>
      <c r="K1878" s="0" t="inlineStr">
        <is>
          <t>YES! 	 c_numeric38_10列源备映射正确，源端为numeric None位	期望更改为numeric(p,s)	实际备端为numeric None位</t>
        </is>
      </c>
    </row>
    <row r="1879">
      <c r="B1879" s="0" t="inlineStr">
        <is>
          <t>NULL</t>
        </is>
      </c>
      <c r="C1879" s="0" t="inlineStr">
        <is>
          <t>NULL</t>
        </is>
      </c>
      <c r="D1879" s="0" t="inlineStr">
        <is>
          <t>NULL</t>
        </is>
      </c>
      <c r="E1879" s="0" t="inlineStr">
        <is>
          <t>NULL</t>
        </is>
      </c>
      <c r="F1879" s="0" t="inlineStr">
        <is>
          <t>NULL</t>
        </is>
      </c>
      <c r="G1879" s="0" t="inlineStr">
        <is>
          <t>NULL</t>
        </is>
      </c>
      <c r="H1879" s="0" t="inlineStr">
        <is>
          <t>NULL</t>
        </is>
      </c>
      <c r="I1879" s="0" t="inlineStr">
        <is>
          <t>NULL</t>
        </is>
      </c>
      <c r="J1879" s="0" t="inlineStr">
        <is>
          <t>NULL</t>
        </is>
      </c>
      <c r="K1879" s="0" t="inlineStr">
        <is>
          <t>YES! 	 c_numeric18_2列源备映射正确，源端为numeric None位	期望更改为numeric(p,s)	实际备端为numeric None位</t>
        </is>
      </c>
    </row>
    <row r="1880">
      <c r="B1880" s="0" t="inlineStr">
        <is>
          <t>NULL</t>
        </is>
      </c>
      <c r="C1880" s="0" t="inlineStr">
        <is>
          <t>NULL</t>
        </is>
      </c>
      <c r="D1880" s="0" t="inlineStr">
        <is>
          <t>NULL</t>
        </is>
      </c>
      <c r="E1880" s="0" t="inlineStr">
        <is>
          <t>NULL</t>
        </is>
      </c>
      <c r="F1880" s="0" t="inlineStr">
        <is>
          <t>NULL</t>
        </is>
      </c>
      <c r="G1880" s="0" t="inlineStr">
        <is>
          <t>NULL</t>
        </is>
      </c>
      <c r="H1880" s="0" t="inlineStr">
        <is>
          <t>NULL</t>
        </is>
      </c>
      <c r="I1880" s="0" t="inlineStr">
        <is>
          <t>NULL</t>
        </is>
      </c>
      <c r="J1880" s="0" t="inlineStr">
        <is>
          <t>NULL</t>
        </is>
      </c>
      <c r="K1880" s="0" t="inlineStr">
        <is>
          <t>YES! 	 c_float列源备映射正确，源端为float None位	期望更改为float	实际备端为float None位</t>
        </is>
      </c>
    </row>
    <row r="1881">
      <c r="B1881" s="0" t="inlineStr">
        <is>
          <t>NULL</t>
        </is>
      </c>
      <c r="C1881" s="0" t="inlineStr">
        <is>
          <t>NULL</t>
        </is>
      </c>
      <c r="D1881" s="0" t="inlineStr">
        <is>
          <t>NULL</t>
        </is>
      </c>
      <c r="E1881" s="0" t="inlineStr">
        <is>
          <t>NULL</t>
        </is>
      </c>
      <c r="F1881" s="0" t="inlineStr">
        <is>
          <t>NULL</t>
        </is>
      </c>
      <c r="G1881" s="0" t="inlineStr">
        <is>
          <t>NULL</t>
        </is>
      </c>
      <c r="H1881" s="0" t="inlineStr">
        <is>
          <t>NULL</t>
        </is>
      </c>
      <c r="I1881" s="0" t="inlineStr">
        <is>
          <t>NULL</t>
        </is>
      </c>
      <c r="J1881" s="0" t="inlineStr">
        <is>
          <t>NULL</t>
        </is>
      </c>
      <c r="K1881" s="0" t="inlineStr">
        <is>
          <t>YES! 	 c_real列源备映射正确，源端为real None位	期望更改为real	实际备端为real None位</t>
        </is>
      </c>
    </row>
    <row r="1882">
      <c r="B1882" s="0" t="inlineStr">
        <is>
          <t>NULL</t>
        </is>
      </c>
      <c r="C1882" s="0" t="inlineStr">
        <is>
          <t>NULL</t>
        </is>
      </c>
      <c r="D1882" s="0" t="inlineStr">
        <is>
          <t>NULL</t>
        </is>
      </c>
      <c r="E1882" s="0" t="inlineStr">
        <is>
          <t>NULL</t>
        </is>
      </c>
      <c r="F1882" s="0" t="inlineStr">
        <is>
          <t>NULL</t>
        </is>
      </c>
      <c r="G1882" s="0" t="inlineStr">
        <is>
          <t>NULL</t>
        </is>
      </c>
      <c r="H1882" s="0" t="inlineStr">
        <is>
          <t>NULL</t>
        </is>
      </c>
      <c r="I1882" s="0" t="inlineStr">
        <is>
          <t>NULL</t>
        </is>
      </c>
      <c r="J1882" s="0" t="inlineStr">
        <is>
          <t>NULL</t>
        </is>
      </c>
      <c r="K1882" s="0" t="inlineStr">
        <is>
          <t>YES! 	 c_money列源备映射正确，源端为money None位	期望更改为money	实际备端为money None位</t>
        </is>
      </c>
    </row>
    <row r="1883">
      <c r="B1883" s="0" t="inlineStr">
        <is>
          <t>NULL</t>
        </is>
      </c>
      <c r="C1883" s="0" t="inlineStr">
        <is>
          <t>NULL</t>
        </is>
      </c>
      <c r="D1883" s="0" t="inlineStr">
        <is>
          <t>NULL</t>
        </is>
      </c>
      <c r="E1883" s="0" t="inlineStr">
        <is>
          <t>NULL</t>
        </is>
      </c>
      <c r="F1883" s="0" t="inlineStr">
        <is>
          <t>NULL</t>
        </is>
      </c>
      <c r="G1883" s="0" t="inlineStr">
        <is>
          <t>NULL</t>
        </is>
      </c>
      <c r="H1883" s="0" t="inlineStr">
        <is>
          <t>NULL</t>
        </is>
      </c>
      <c r="I1883" s="0" t="inlineStr">
        <is>
          <t>NULL</t>
        </is>
      </c>
      <c r="J1883" s="0" t="inlineStr">
        <is>
          <t>NULL</t>
        </is>
      </c>
      <c r="K1883" s="0" t="inlineStr">
        <is>
          <t>YES! 	 c_smallmoney列源备映射正确，源端为smallmoney None位	期望更改为smallmoney	实际备端为smallmoney None位</t>
        </is>
      </c>
    </row>
    <row r="1884">
      <c r="B1884" s="0" t="inlineStr">
        <is>
          <t>NULL</t>
        </is>
      </c>
      <c r="C1884" s="0" t="inlineStr">
        <is>
          <t>NULL</t>
        </is>
      </c>
      <c r="D1884" s="0" t="inlineStr">
        <is>
          <t>NULL</t>
        </is>
      </c>
      <c r="E1884" s="0" t="inlineStr">
        <is>
          <t>NULL</t>
        </is>
      </c>
      <c r="F1884" s="0" t="inlineStr">
        <is>
          <t>NULL</t>
        </is>
      </c>
      <c r="G1884" s="0" t="inlineStr">
        <is>
          <t>NULL</t>
        </is>
      </c>
      <c r="H1884" s="0" t="inlineStr">
        <is>
          <t>NULL</t>
        </is>
      </c>
      <c r="I1884" s="0" t="inlineStr">
        <is>
          <t>NULL</t>
        </is>
      </c>
      <c r="J1884" s="0" t="inlineStr">
        <is>
          <t>NULL</t>
        </is>
      </c>
      <c r="K1884" s="0" t="inlineStr">
        <is>
          <t>YES! 	 c_bit列源备映射正确，源端为bit None位	期望更改为bit	实际备端为bit None位</t>
        </is>
      </c>
    </row>
    <row r="1885">
      <c r="A1885" s="0" t="inlineStr">
        <is>
          <t>info_binary_dml_batch1_pk_irp1</t>
        </is>
      </c>
      <c r="K1885" s="0" t="inlineStr">
        <is>
          <t>[0;34m info_binary_dml_batch1_pk_irp1 [0m源备字段数相同，源端字段：4 	备端字段4</t>
        </is>
      </c>
      <c r="W1885" s="0" t="inlineStr">
        <is>
          <t>YES 源备无差异</t>
        </is>
      </c>
      <c r="X1885" s="0">
        <f>A1885</f>
        <v/>
      </c>
    </row>
    <row r="1886">
      <c r="B1886" s="0" t="inlineStr">
        <is>
          <t>YES</t>
        </is>
      </c>
      <c r="C1886" s="0" t="inlineStr">
        <is>
          <t>NULL</t>
        </is>
      </c>
      <c r="D1886" s="0" t="inlineStr">
        <is>
          <t>NULL</t>
        </is>
      </c>
      <c r="E1886" s="0" t="inlineStr">
        <is>
          <t>NULL</t>
        </is>
      </c>
      <c r="F1886" s="0" t="inlineStr">
        <is>
          <t>NULL</t>
        </is>
      </c>
      <c r="G1886" s="0" t="inlineStr">
        <is>
          <t>NULL</t>
        </is>
      </c>
      <c r="H1886" s="0" t="inlineStr">
        <is>
          <t>NULL</t>
        </is>
      </c>
      <c r="I1886" s="0" t="inlineStr">
        <is>
          <t>YES!PK__info_bin__3213E83F5AD451F2</t>
        </is>
      </c>
      <c r="J1886" s="0" t="inlineStr">
        <is>
          <t>YES! 主键相关索引</t>
        </is>
      </c>
      <c r="K1886" s="0" t="inlineStr">
        <is>
          <t>YES! 	 id列源备映射正确，源端为int None位	期望更改为int	实际备端为int None位</t>
        </is>
      </c>
    </row>
    <row r="1887">
      <c r="B1887" s="0" t="inlineStr">
        <is>
          <t>NULL</t>
        </is>
      </c>
      <c r="C1887" s="0" t="inlineStr">
        <is>
          <t>NULL</t>
        </is>
      </c>
      <c r="D1887" s="0" t="inlineStr">
        <is>
          <t>NULL</t>
        </is>
      </c>
      <c r="E1887" s="0" t="inlineStr">
        <is>
          <t>NULL</t>
        </is>
      </c>
      <c r="F1887" s="0" t="inlineStr">
        <is>
          <t>NULL</t>
        </is>
      </c>
      <c r="G1887" s="0" t="inlineStr">
        <is>
          <t>NULL</t>
        </is>
      </c>
      <c r="H1887" s="0" t="inlineStr">
        <is>
          <t>NULL</t>
        </is>
      </c>
      <c r="I1887" s="0" t="inlineStr">
        <is>
          <t>NULL</t>
        </is>
      </c>
      <c r="J1887" s="0" t="inlineStr">
        <is>
          <t>NULL</t>
        </is>
      </c>
      <c r="K1887" s="0" t="inlineStr">
        <is>
          <t>YES! 	 c_binary列源备映射正确，源端为binary 1位	期望更改为binary(n)	实际备端为binary 1位</t>
        </is>
      </c>
    </row>
    <row r="1888">
      <c r="B1888" s="0" t="inlineStr">
        <is>
          <t>NULL</t>
        </is>
      </c>
      <c r="C1888" s="0" t="inlineStr">
        <is>
          <t>NULL</t>
        </is>
      </c>
      <c r="D1888" s="0" t="inlineStr">
        <is>
          <t>NULL</t>
        </is>
      </c>
      <c r="E1888" s="0" t="inlineStr">
        <is>
          <t>NULL</t>
        </is>
      </c>
      <c r="F1888" s="0" t="inlineStr">
        <is>
          <t>NULL</t>
        </is>
      </c>
      <c r="G1888" s="0" t="inlineStr">
        <is>
          <t>NULL</t>
        </is>
      </c>
      <c r="H1888" s="0" t="inlineStr">
        <is>
          <t>NULL</t>
        </is>
      </c>
      <c r="I1888" s="0" t="inlineStr">
        <is>
          <t>NULL</t>
        </is>
      </c>
      <c r="J1888" s="0" t="inlineStr">
        <is>
          <t>NULL</t>
        </is>
      </c>
      <c r="K1888" s="0" t="inlineStr">
        <is>
          <t>YES! 	 c_binary_20列源备映射正确，源端为binary 20位	期望更改为binary(n)	实际备端为binary 20位</t>
        </is>
      </c>
    </row>
    <row r="1889">
      <c r="B1889" s="0" t="inlineStr">
        <is>
          <t>NULL</t>
        </is>
      </c>
      <c r="C1889" s="0" t="inlineStr">
        <is>
          <t>NULL</t>
        </is>
      </c>
      <c r="D1889" s="0" t="inlineStr">
        <is>
          <t>NULL</t>
        </is>
      </c>
      <c r="E1889" s="0" t="inlineStr">
        <is>
          <t>NULL</t>
        </is>
      </c>
      <c r="F1889" s="0" t="inlineStr">
        <is>
          <t>NULL</t>
        </is>
      </c>
      <c r="G1889" s="0" t="inlineStr">
        <is>
          <t>NULL</t>
        </is>
      </c>
      <c r="H1889" s="0" t="inlineStr">
        <is>
          <t>NULL</t>
        </is>
      </c>
      <c r="I1889" s="0" t="inlineStr">
        <is>
          <t>NULL</t>
        </is>
      </c>
      <c r="J1889" s="0" t="inlineStr">
        <is>
          <t>NULL</t>
        </is>
      </c>
      <c r="K1889" s="0" t="inlineStr">
        <is>
          <t>YES! 	 c_binary_8000列源备映射正确，源端为binary 8000位	期望更改为binary(n)	实际备端为binary 8000位</t>
        </is>
      </c>
    </row>
    <row r="1890">
      <c r="A1890" s="0" t="inlineStr">
        <is>
          <t>info_date_dml_batch1_pk_irp1</t>
        </is>
      </c>
      <c r="K1890" s="0" t="inlineStr">
        <is>
          <t>[0;34m info_date_dml_batch1_pk_irp1 [0m源备字段数相同，源端字段：2 	备端字段2</t>
        </is>
      </c>
      <c r="W1890" s="0" t="inlineStr">
        <is>
          <t>YES 源备无差异</t>
        </is>
      </c>
      <c r="X1890" s="0">
        <f>A1890</f>
        <v/>
      </c>
    </row>
    <row r="1891">
      <c r="B1891" s="0" t="inlineStr">
        <is>
          <t>YES</t>
        </is>
      </c>
      <c r="C1891" s="0" t="inlineStr">
        <is>
          <t>NULL</t>
        </is>
      </c>
      <c r="D1891" s="0" t="inlineStr">
        <is>
          <t>NULL</t>
        </is>
      </c>
      <c r="E1891" s="0" t="inlineStr">
        <is>
          <t>NULL</t>
        </is>
      </c>
      <c r="F1891" s="0" t="inlineStr">
        <is>
          <t>NULL</t>
        </is>
      </c>
      <c r="G1891" s="0" t="inlineStr">
        <is>
          <t>NULL</t>
        </is>
      </c>
      <c r="H1891" s="0" t="inlineStr">
        <is>
          <t>NULL</t>
        </is>
      </c>
      <c r="I1891" s="0" t="inlineStr">
        <is>
          <t>YES!PK__info_dat__3213E83F1F958682</t>
        </is>
      </c>
      <c r="J1891" s="0" t="inlineStr">
        <is>
          <t>YES! 主键相关索引</t>
        </is>
      </c>
      <c r="K1891" s="0" t="inlineStr">
        <is>
          <t>YES! 	 id列源备映射正确，源端为int None位	期望更改为int	实际备端为int None位</t>
        </is>
      </c>
    </row>
    <row r="1892">
      <c r="B1892" s="0" t="inlineStr">
        <is>
          <t>NULL</t>
        </is>
      </c>
      <c r="C1892" s="0" t="inlineStr">
        <is>
          <t>NULL</t>
        </is>
      </c>
      <c r="D1892" s="0" t="inlineStr">
        <is>
          <t>NULL</t>
        </is>
      </c>
      <c r="E1892" s="0" t="inlineStr">
        <is>
          <t>NULL</t>
        </is>
      </c>
      <c r="F1892" s="0" t="inlineStr">
        <is>
          <t>NULL</t>
        </is>
      </c>
      <c r="G1892" s="0" t="inlineStr">
        <is>
          <t>NULL</t>
        </is>
      </c>
      <c r="H1892" s="0" t="inlineStr">
        <is>
          <t>NULL</t>
        </is>
      </c>
      <c r="I1892" s="0" t="inlineStr">
        <is>
          <t>NULL</t>
        </is>
      </c>
      <c r="J1892" s="0" t="inlineStr">
        <is>
          <t>NULL</t>
        </is>
      </c>
      <c r="K1892" s="0" t="inlineStr">
        <is>
          <t>YES! 	 c_date列源备映射正确，源端为date None位	期望更改为date	实际备端为date None位</t>
        </is>
      </c>
    </row>
    <row r="1893">
      <c r="K1893" s="0" t="inlineStr">
        <is>
          <t>~ 空表</t>
        </is>
      </c>
    </row>
    <row r="1894">
      <c r="A1894" s="0" t="inlineStr">
        <is>
          <t>info_binary_dml_batch1_pk_irp2</t>
        </is>
      </c>
      <c r="K1894" s="0" t="inlineStr">
        <is>
          <t>[0;34m info_binary_dml_batch1_pk_irp2 [0m源备字段数相同，源端字段：4 	备端字段4</t>
        </is>
      </c>
      <c r="W1894" s="0" t="inlineStr">
        <is>
          <t>YES 源备无差异</t>
        </is>
      </c>
      <c r="X1894" s="0">
        <f>A1894</f>
        <v/>
      </c>
    </row>
    <row r="1895">
      <c r="B1895" s="0" t="inlineStr">
        <is>
          <t>YES</t>
        </is>
      </c>
      <c r="C1895" s="0" t="inlineStr">
        <is>
          <t>NULL</t>
        </is>
      </c>
      <c r="D1895" s="0" t="inlineStr">
        <is>
          <t>NULL</t>
        </is>
      </c>
      <c r="E1895" s="0" t="inlineStr">
        <is>
          <t>NULL</t>
        </is>
      </c>
      <c r="F1895" s="0" t="inlineStr">
        <is>
          <t>NULL</t>
        </is>
      </c>
      <c r="G1895" s="0" t="inlineStr">
        <is>
          <t>NULL</t>
        </is>
      </c>
      <c r="H1895" s="0" t="inlineStr">
        <is>
          <t>NULL</t>
        </is>
      </c>
      <c r="I1895" s="0" t="inlineStr">
        <is>
          <t>YES!PK__info_bin__3213E83F477BD939</t>
        </is>
      </c>
      <c r="J1895" s="0" t="inlineStr">
        <is>
          <t>YES! 主键相关索引</t>
        </is>
      </c>
      <c r="K1895" s="0" t="inlineStr">
        <is>
          <t>YES! 	 id列源备映射正确，源端为int None位	期望更改为int	实际备端为int None位</t>
        </is>
      </c>
    </row>
    <row r="1896">
      <c r="B1896" s="0" t="inlineStr">
        <is>
          <t>NULL</t>
        </is>
      </c>
      <c r="C1896" s="0" t="inlineStr">
        <is>
          <t>NULL</t>
        </is>
      </c>
      <c r="D1896" s="0" t="inlineStr">
        <is>
          <t>NULL</t>
        </is>
      </c>
      <c r="E1896" s="0" t="inlineStr">
        <is>
          <t>NULL</t>
        </is>
      </c>
      <c r="F1896" s="0" t="inlineStr">
        <is>
          <t>NULL</t>
        </is>
      </c>
      <c r="G1896" s="0" t="inlineStr">
        <is>
          <t>NULL</t>
        </is>
      </c>
      <c r="H1896" s="0" t="inlineStr">
        <is>
          <t>NULL</t>
        </is>
      </c>
      <c r="I1896" s="0" t="inlineStr">
        <is>
          <t>NULL</t>
        </is>
      </c>
      <c r="J1896" s="0" t="inlineStr">
        <is>
          <t>NULL</t>
        </is>
      </c>
      <c r="K1896" s="0" t="inlineStr">
        <is>
          <t>YES! 	 c_binary列源备映射正确，源端为binary 1位	期望更改为binary(n)	实际备端为binary 1位</t>
        </is>
      </c>
    </row>
    <row r="1897">
      <c r="B1897" s="0" t="inlineStr">
        <is>
          <t>NULL</t>
        </is>
      </c>
      <c r="C1897" s="0" t="inlineStr">
        <is>
          <t>NULL</t>
        </is>
      </c>
      <c r="D1897" s="0" t="inlineStr">
        <is>
          <t>NULL</t>
        </is>
      </c>
      <c r="E1897" s="0" t="inlineStr">
        <is>
          <t>NULL</t>
        </is>
      </c>
      <c r="F1897" s="0" t="inlineStr">
        <is>
          <t>NULL</t>
        </is>
      </c>
      <c r="G1897" s="0" t="inlineStr">
        <is>
          <t>NULL</t>
        </is>
      </c>
      <c r="H1897" s="0" t="inlineStr">
        <is>
          <t>NULL</t>
        </is>
      </c>
      <c r="I1897" s="0" t="inlineStr">
        <is>
          <t>NULL</t>
        </is>
      </c>
      <c r="J1897" s="0" t="inlineStr">
        <is>
          <t>NULL</t>
        </is>
      </c>
      <c r="K1897" s="0" t="inlineStr">
        <is>
          <t>YES! 	 c_binary_20列源备映射正确，源端为binary 20位	期望更改为binary(n)	实际备端为binary 20位</t>
        </is>
      </c>
    </row>
    <row r="1898">
      <c r="B1898" s="0" t="inlineStr">
        <is>
          <t>NULL</t>
        </is>
      </c>
      <c r="C1898" s="0" t="inlineStr">
        <is>
          <t>NULL</t>
        </is>
      </c>
      <c r="D1898" s="0" t="inlineStr">
        <is>
          <t>NULL</t>
        </is>
      </c>
      <c r="E1898" s="0" t="inlineStr">
        <is>
          <t>NULL</t>
        </is>
      </c>
      <c r="F1898" s="0" t="inlineStr">
        <is>
          <t>NULL</t>
        </is>
      </c>
      <c r="G1898" s="0" t="inlineStr">
        <is>
          <t>NULL</t>
        </is>
      </c>
      <c r="H1898" s="0" t="inlineStr">
        <is>
          <t>NULL</t>
        </is>
      </c>
      <c r="I1898" s="0" t="inlineStr">
        <is>
          <t>NULL</t>
        </is>
      </c>
      <c r="J1898" s="0" t="inlineStr">
        <is>
          <t>NULL</t>
        </is>
      </c>
      <c r="K1898" s="0" t="inlineStr">
        <is>
          <t>YES! 	 c_binary_8000列源备映射正确，源端为binary 8000位	期望更改为binary(n)	实际备端为binary 8000位</t>
        </is>
      </c>
    </row>
    <row r="1899">
      <c r="A1899" s="0" t="inlineStr">
        <is>
          <t>info_date_dml_batch1_pk_irp2</t>
        </is>
      </c>
      <c r="K1899" s="0" t="inlineStr">
        <is>
          <t>[0;34m info_date_dml_batch1_pk_irp2 [0m源备字段数相同，源端字段：2 	备端字段2</t>
        </is>
      </c>
      <c r="W1899" s="0" t="inlineStr">
        <is>
          <t>YES 源备无差异</t>
        </is>
      </c>
      <c r="X1899" s="0">
        <f>A1899</f>
        <v/>
      </c>
    </row>
    <row r="1900">
      <c r="B1900" s="0" t="inlineStr">
        <is>
          <t>YES</t>
        </is>
      </c>
      <c r="C1900" s="0" t="inlineStr">
        <is>
          <t>NULL</t>
        </is>
      </c>
      <c r="D1900" s="0" t="inlineStr">
        <is>
          <t>NULL</t>
        </is>
      </c>
      <c r="E1900" s="0" t="inlineStr">
        <is>
          <t>NULL</t>
        </is>
      </c>
      <c r="F1900" s="0" t="inlineStr">
        <is>
          <t>NULL</t>
        </is>
      </c>
      <c r="G1900" s="0" t="inlineStr">
        <is>
          <t>NULL</t>
        </is>
      </c>
      <c r="H1900" s="0" t="inlineStr">
        <is>
          <t>NULL</t>
        </is>
      </c>
      <c r="I1900" s="0" t="inlineStr">
        <is>
          <t>YES!PK__info_dat__3213E83FFDE92A62</t>
        </is>
      </c>
      <c r="J1900" s="0" t="inlineStr">
        <is>
          <t>YES! 主键相关索引</t>
        </is>
      </c>
      <c r="K1900" s="0" t="inlineStr">
        <is>
          <t>YES! 	 id列源备映射正确，源端为int None位	期望更改为int	实际备端为int None位</t>
        </is>
      </c>
    </row>
    <row r="1901">
      <c r="B1901" s="0" t="inlineStr">
        <is>
          <t>NULL</t>
        </is>
      </c>
      <c r="C1901" s="0" t="inlineStr">
        <is>
          <t>NULL</t>
        </is>
      </c>
      <c r="D1901" s="0" t="inlineStr">
        <is>
          <t>NULL</t>
        </is>
      </c>
      <c r="E1901" s="0" t="inlineStr">
        <is>
          <t>NULL</t>
        </is>
      </c>
      <c r="F1901" s="0" t="inlineStr">
        <is>
          <t>NULL</t>
        </is>
      </c>
      <c r="G1901" s="0" t="inlineStr">
        <is>
          <t>NULL</t>
        </is>
      </c>
      <c r="H1901" s="0" t="inlineStr">
        <is>
          <t>NULL</t>
        </is>
      </c>
      <c r="I1901" s="0" t="inlineStr">
        <is>
          <t>NULL</t>
        </is>
      </c>
      <c r="J1901" s="0" t="inlineStr">
        <is>
          <t>NULL</t>
        </is>
      </c>
      <c r="K1901" s="0" t="inlineStr">
        <is>
          <t>YES! 	 c_date列源备映射正确，源端为date None位	期望更改为date	实际备端为date None位</t>
        </is>
      </c>
    </row>
    <row r="1902">
      <c r="A1902" s="0" t="inlineStr">
        <is>
          <t>info_binary_dml_batch2_pk_irp1</t>
        </is>
      </c>
      <c r="K1902" s="0" t="inlineStr">
        <is>
          <t>[0;34m info_binary_dml_batch2_pk_irp1 [0m源备字段数相同，源端字段：4 	备端字段4</t>
        </is>
      </c>
      <c r="W1902" s="0" t="inlineStr">
        <is>
          <t>YES 源备无差异</t>
        </is>
      </c>
      <c r="X1902" s="0">
        <f>A1902</f>
        <v/>
      </c>
    </row>
    <row r="1903">
      <c r="B1903" s="0" t="inlineStr">
        <is>
          <t>YES</t>
        </is>
      </c>
      <c r="C1903" s="0" t="inlineStr">
        <is>
          <t>NULL</t>
        </is>
      </c>
      <c r="D1903" s="0" t="inlineStr">
        <is>
          <t>NULL</t>
        </is>
      </c>
      <c r="E1903" s="0" t="inlineStr">
        <is>
          <t>NULL</t>
        </is>
      </c>
      <c r="F1903" s="0" t="inlineStr">
        <is>
          <t>NULL</t>
        </is>
      </c>
      <c r="G1903" s="0" t="inlineStr">
        <is>
          <t>NULL</t>
        </is>
      </c>
      <c r="H1903" s="0" t="inlineStr">
        <is>
          <t>NULL</t>
        </is>
      </c>
      <c r="I1903" s="0" t="inlineStr">
        <is>
          <t>YES!PK__info_bin__3213E83F840C6C46</t>
        </is>
      </c>
      <c r="J1903" s="0" t="inlineStr">
        <is>
          <t>YES! 主键相关索引</t>
        </is>
      </c>
      <c r="K1903" s="0" t="inlineStr">
        <is>
          <t>YES! 	 id列源备映射正确，源端为int None位	期望更改为int	实际备端为int None位</t>
        </is>
      </c>
    </row>
    <row r="1904">
      <c r="B1904" s="0" t="inlineStr">
        <is>
          <t>NULL</t>
        </is>
      </c>
      <c r="C1904" s="0" t="inlineStr">
        <is>
          <t>NULL</t>
        </is>
      </c>
      <c r="D1904" s="0" t="inlineStr">
        <is>
          <t>NULL</t>
        </is>
      </c>
      <c r="E1904" s="0" t="inlineStr">
        <is>
          <t>NULL</t>
        </is>
      </c>
      <c r="F1904" s="0" t="inlineStr">
        <is>
          <t>NULL</t>
        </is>
      </c>
      <c r="G1904" s="0" t="inlineStr">
        <is>
          <t>NULL</t>
        </is>
      </c>
      <c r="H1904" s="0" t="inlineStr">
        <is>
          <t>NULL</t>
        </is>
      </c>
      <c r="I1904" s="0" t="inlineStr">
        <is>
          <t>NULL</t>
        </is>
      </c>
      <c r="J1904" s="0" t="inlineStr">
        <is>
          <t>NULL</t>
        </is>
      </c>
      <c r="K1904" s="0" t="inlineStr">
        <is>
          <t>YES! 	 c_binary列源备映射正确，源端为binary 1位	期望更改为binary(n)	实际备端为binary 1位</t>
        </is>
      </c>
    </row>
    <row r="1905">
      <c r="B1905" s="0" t="inlineStr">
        <is>
          <t>NULL</t>
        </is>
      </c>
      <c r="C1905" s="0" t="inlineStr">
        <is>
          <t>NULL</t>
        </is>
      </c>
      <c r="D1905" s="0" t="inlineStr">
        <is>
          <t>NULL</t>
        </is>
      </c>
      <c r="E1905" s="0" t="inlineStr">
        <is>
          <t>NULL</t>
        </is>
      </c>
      <c r="F1905" s="0" t="inlineStr">
        <is>
          <t>NULL</t>
        </is>
      </c>
      <c r="G1905" s="0" t="inlineStr">
        <is>
          <t>NULL</t>
        </is>
      </c>
      <c r="H1905" s="0" t="inlineStr">
        <is>
          <t>NULL</t>
        </is>
      </c>
      <c r="I1905" s="0" t="inlineStr">
        <is>
          <t>NULL</t>
        </is>
      </c>
      <c r="J1905" s="0" t="inlineStr">
        <is>
          <t>NULL</t>
        </is>
      </c>
      <c r="K1905" s="0" t="inlineStr">
        <is>
          <t>YES! 	 c_binary_20列源备映射正确，源端为binary 20位	期望更改为binary(n)	实际备端为binary 20位</t>
        </is>
      </c>
    </row>
    <row r="1906">
      <c r="B1906" s="0" t="inlineStr">
        <is>
          <t>NULL</t>
        </is>
      </c>
      <c r="C1906" s="0" t="inlineStr">
        <is>
          <t>NULL</t>
        </is>
      </c>
      <c r="D1906" s="0" t="inlineStr">
        <is>
          <t>NULL</t>
        </is>
      </c>
      <c r="E1906" s="0" t="inlineStr">
        <is>
          <t>NULL</t>
        </is>
      </c>
      <c r="F1906" s="0" t="inlineStr">
        <is>
          <t>NULL</t>
        </is>
      </c>
      <c r="G1906" s="0" t="inlineStr">
        <is>
          <t>NULL</t>
        </is>
      </c>
      <c r="H1906" s="0" t="inlineStr">
        <is>
          <t>NULL</t>
        </is>
      </c>
      <c r="I1906" s="0" t="inlineStr">
        <is>
          <t>NULL</t>
        </is>
      </c>
      <c r="J1906" s="0" t="inlineStr">
        <is>
          <t>NULL</t>
        </is>
      </c>
      <c r="K1906" s="0" t="inlineStr">
        <is>
          <t>YES! 	 c_binary_8000列源备映射正确，源端为binary 8000位	期望更改为binary(n)	实际备端为binary 8000位</t>
        </is>
      </c>
    </row>
    <row r="1907">
      <c r="A1907" s="0" t="inlineStr">
        <is>
          <t>info_date_dml_batch2_pk_irp1</t>
        </is>
      </c>
      <c r="K1907" s="0" t="inlineStr">
        <is>
          <t>[0;34m info_date_dml_batch2_pk_irp1 [0m源备字段数相同，源端字段：2 	备端字段2</t>
        </is>
      </c>
      <c r="W1907" s="0" t="inlineStr">
        <is>
          <t>YES 源备无差异</t>
        </is>
      </c>
      <c r="X1907" s="0">
        <f>A1907</f>
        <v/>
      </c>
    </row>
    <row r="1908">
      <c r="B1908" s="0" t="inlineStr">
        <is>
          <t>YES</t>
        </is>
      </c>
      <c r="C1908" s="0" t="inlineStr">
        <is>
          <t>NULL</t>
        </is>
      </c>
      <c r="D1908" s="0" t="inlineStr">
        <is>
          <t>NULL</t>
        </is>
      </c>
      <c r="E1908" s="0" t="inlineStr">
        <is>
          <t>NULL</t>
        </is>
      </c>
      <c r="F1908" s="0" t="inlineStr">
        <is>
          <t>NULL</t>
        </is>
      </c>
      <c r="G1908" s="0" t="inlineStr">
        <is>
          <t>NULL</t>
        </is>
      </c>
      <c r="H1908" s="0" t="inlineStr">
        <is>
          <t>NULL</t>
        </is>
      </c>
      <c r="I1908" s="0" t="inlineStr">
        <is>
          <t>YES!PK__info_dat__3213E83F33B1CB1D</t>
        </is>
      </c>
      <c r="J1908" s="0" t="inlineStr">
        <is>
          <t>YES! 主键相关索引</t>
        </is>
      </c>
      <c r="K1908" s="0" t="inlineStr">
        <is>
          <t>YES! 	 id列源备映射正确，源端为int None位	期望更改为int	实际备端为int None位</t>
        </is>
      </c>
    </row>
    <row r="1909">
      <c r="B1909" s="0" t="inlineStr">
        <is>
          <t>NULL</t>
        </is>
      </c>
      <c r="C1909" s="0" t="inlineStr">
        <is>
          <t>NULL</t>
        </is>
      </c>
      <c r="D1909" s="0" t="inlineStr">
        <is>
          <t>NULL</t>
        </is>
      </c>
      <c r="E1909" s="0" t="inlineStr">
        <is>
          <t>NULL</t>
        </is>
      </c>
      <c r="F1909" s="0" t="inlineStr">
        <is>
          <t>NULL</t>
        </is>
      </c>
      <c r="G1909" s="0" t="inlineStr">
        <is>
          <t>NULL</t>
        </is>
      </c>
      <c r="H1909" s="0" t="inlineStr">
        <is>
          <t>NULL</t>
        </is>
      </c>
      <c r="I1909" s="0" t="inlineStr">
        <is>
          <t>NULL</t>
        </is>
      </c>
      <c r="J1909" s="0" t="inlineStr">
        <is>
          <t>NULL</t>
        </is>
      </c>
      <c r="K1909" s="0" t="inlineStr">
        <is>
          <t>YES! 	 c_date列源备映射正确，源端为date None位	期望更改为date	实际备端为date None位</t>
        </is>
      </c>
    </row>
    <row r="1910">
      <c r="A1910" s="0" t="inlineStr">
        <is>
          <t>info_binary_dml_batch2_pk_irp2</t>
        </is>
      </c>
      <c r="K1910" s="0" t="inlineStr">
        <is>
          <t>[0;34m info_binary_dml_batch2_pk_irp2 [0m源备字段数相同，源端字段：4 	备端字段4</t>
        </is>
      </c>
      <c r="W1910" s="0" t="inlineStr">
        <is>
          <t>YES 源备无差异</t>
        </is>
      </c>
      <c r="X1910" s="0">
        <f>A1910</f>
        <v/>
      </c>
    </row>
    <row r="1911">
      <c r="B1911" s="0" t="inlineStr">
        <is>
          <t>YES</t>
        </is>
      </c>
      <c r="C1911" s="0" t="inlineStr">
        <is>
          <t>NULL</t>
        </is>
      </c>
      <c r="D1911" s="0" t="inlineStr">
        <is>
          <t>NULL</t>
        </is>
      </c>
      <c r="E1911" s="0" t="inlineStr">
        <is>
          <t>NULL</t>
        </is>
      </c>
      <c r="F1911" s="0" t="inlineStr">
        <is>
          <t>NULL</t>
        </is>
      </c>
      <c r="G1911" s="0" t="inlineStr">
        <is>
          <t>NULL</t>
        </is>
      </c>
      <c r="H1911" s="0" t="inlineStr">
        <is>
          <t>NULL</t>
        </is>
      </c>
      <c r="I1911" s="0" t="inlineStr">
        <is>
          <t>YES!PK__info_bin__3213E83F8A446D33</t>
        </is>
      </c>
      <c r="J1911" s="0" t="inlineStr">
        <is>
          <t>YES! 主键相关索引</t>
        </is>
      </c>
      <c r="K1911" s="0" t="inlineStr">
        <is>
          <t>YES! 	 id列源备映射正确，源端为int None位	期望更改为int	实际备端为int None位</t>
        </is>
      </c>
    </row>
    <row r="1912">
      <c r="B1912" s="0" t="inlineStr">
        <is>
          <t>NULL</t>
        </is>
      </c>
      <c r="C1912" s="0" t="inlineStr">
        <is>
          <t>NULL</t>
        </is>
      </c>
      <c r="D1912" s="0" t="inlineStr">
        <is>
          <t>NULL</t>
        </is>
      </c>
      <c r="E1912" s="0" t="inlineStr">
        <is>
          <t>NULL</t>
        </is>
      </c>
      <c r="F1912" s="0" t="inlineStr">
        <is>
          <t>NULL</t>
        </is>
      </c>
      <c r="G1912" s="0" t="inlineStr">
        <is>
          <t>NULL</t>
        </is>
      </c>
      <c r="H1912" s="0" t="inlineStr">
        <is>
          <t>NULL</t>
        </is>
      </c>
      <c r="I1912" s="0" t="inlineStr">
        <is>
          <t>NULL</t>
        </is>
      </c>
      <c r="J1912" s="0" t="inlineStr">
        <is>
          <t>NULL</t>
        </is>
      </c>
      <c r="K1912" s="0" t="inlineStr">
        <is>
          <t>YES! 	 c_binary列源备映射正确，源端为binary 1位	期望更改为binary(n)	实际备端为binary 1位</t>
        </is>
      </c>
    </row>
    <row r="1913">
      <c r="B1913" s="0" t="inlineStr">
        <is>
          <t>NULL</t>
        </is>
      </c>
      <c r="C1913" s="0" t="inlineStr">
        <is>
          <t>NULL</t>
        </is>
      </c>
      <c r="D1913" s="0" t="inlineStr">
        <is>
          <t>NULL</t>
        </is>
      </c>
      <c r="E1913" s="0" t="inlineStr">
        <is>
          <t>NULL</t>
        </is>
      </c>
      <c r="F1913" s="0" t="inlineStr">
        <is>
          <t>NULL</t>
        </is>
      </c>
      <c r="G1913" s="0" t="inlineStr">
        <is>
          <t>NULL</t>
        </is>
      </c>
      <c r="H1913" s="0" t="inlineStr">
        <is>
          <t>NULL</t>
        </is>
      </c>
      <c r="I1913" s="0" t="inlineStr">
        <is>
          <t>NULL</t>
        </is>
      </c>
      <c r="J1913" s="0" t="inlineStr">
        <is>
          <t>NULL</t>
        </is>
      </c>
      <c r="K1913" s="0" t="inlineStr">
        <is>
          <t>YES! 	 c_binary_20列源备映射正确，源端为binary 20位	期望更改为binary(n)	实际备端为binary 20位</t>
        </is>
      </c>
    </row>
    <row r="1914">
      <c r="B1914" s="0" t="inlineStr">
        <is>
          <t>NULL</t>
        </is>
      </c>
      <c r="C1914" s="0" t="inlineStr">
        <is>
          <t>NULL</t>
        </is>
      </c>
      <c r="D1914" s="0" t="inlineStr">
        <is>
          <t>NULL</t>
        </is>
      </c>
      <c r="E1914" s="0" t="inlineStr">
        <is>
          <t>NULL</t>
        </is>
      </c>
      <c r="F1914" s="0" t="inlineStr">
        <is>
          <t>NULL</t>
        </is>
      </c>
      <c r="G1914" s="0" t="inlineStr">
        <is>
          <t>NULL</t>
        </is>
      </c>
      <c r="H1914" s="0" t="inlineStr">
        <is>
          <t>NULL</t>
        </is>
      </c>
      <c r="I1914" s="0" t="inlineStr">
        <is>
          <t>NULL</t>
        </is>
      </c>
      <c r="J1914" s="0" t="inlineStr">
        <is>
          <t>NULL</t>
        </is>
      </c>
      <c r="K1914" s="0" t="inlineStr">
        <is>
          <t>YES! 	 c_binary_8000列源备映射正确，源端为binary 8000位	期望更改为binary(n)	实际备端为binary 8000位</t>
        </is>
      </c>
    </row>
    <row r="1915">
      <c r="A1915" s="0" t="inlineStr">
        <is>
          <t>info_geography_dml_single_nopk_irp</t>
        </is>
      </c>
      <c r="K1915" s="0" t="inlineStr">
        <is>
          <t>[0;34m info_geography_dml_single_nopk_irp [0m源备字段数相同，源端字段：2 	备端字段2</t>
        </is>
      </c>
      <c r="W1915" s="0" t="inlineStr">
        <is>
          <t>YES 源备无差异</t>
        </is>
      </c>
      <c r="X1915" s="0">
        <f>A1915</f>
        <v/>
      </c>
    </row>
    <row r="1916">
      <c r="B1916" s="0" t="inlineStr">
        <is>
          <t>NULL</t>
        </is>
      </c>
      <c r="C1916" s="0" t="inlineStr">
        <is>
          <t>NULL</t>
        </is>
      </c>
      <c r="D1916" s="0" t="inlineStr">
        <is>
          <t>NULL</t>
        </is>
      </c>
      <c r="E1916" s="0" t="inlineStr">
        <is>
          <t>NULL</t>
        </is>
      </c>
      <c r="F1916" s="0" t="inlineStr">
        <is>
          <t>NULL</t>
        </is>
      </c>
      <c r="G1916" s="0" t="inlineStr">
        <is>
          <t>NULL</t>
        </is>
      </c>
      <c r="H1916" s="0" t="inlineStr">
        <is>
          <t>NULL</t>
        </is>
      </c>
      <c r="I1916" s="0" t="inlineStr">
        <is>
          <t>NULL</t>
        </is>
      </c>
      <c r="J1916" s="0" t="inlineStr">
        <is>
          <t>NULL</t>
        </is>
      </c>
      <c r="K1916" s="0" t="inlineStr">
        <is>
          <t>YES! 	 id列源备映射正确，源端为int None位	期望更改为int	实际备端为int None位</t>
        </is>
      </c>
    </row>
    <row r="1917">
      <c r="B1917" s="0" t="inlineStr">
        <is>
          <t>NULL</t>
        </is>
      </c>
      <c r="C1917" s="0" t="inlineStr">
        <is>
          <t>NULL</t>
        </is>
      </c>
      <c r="D1917" s="0" t="inlineStr">
        <is>
          <t>NULL</t>
        </is>
      </c>
      <c r="E1917" s="0" t="inlineStr">
        <is>
          <t>NULL</t>
        </is>
      </c>
      <c r="F1917" s="0" t="inlineStr">
        <is>
          <t>NULL</t>
        </is>
      </c>
      <c r="G1917" s="0" t="inlineStr">
        <is>
          <t>NULL</t>
        </is>
      </c>
      <c r="H1917" s="0" t="inlineStr">
        <is>
          <t>NULL</t>
        </is>
      </c>
      <c r="I1917" s="0" t="inlineStr">
        <is>
          <t>NULL</t>
        </is>
      </c>
      <c r="J1917" s="0" t="inlineStr">
        <is>
          <t>NULL</t>
        </is>
      </c>
      <c r="K1917" s="0" t="inlineStr">
        <is>
          <t>YES! 	 c_geography列源备映射正确，源端为geography -1位	期望更改为geography	实际备端为geography -1位</t>
        </is>
      </c>
    </row>
    <row r="1918">
      <c r="A1918" s="0" t="inlineStr">
        <is>
          <t>info_binary_dml_batch1_pk_urp1</t>
        </is>
      </c>
      <c r="K1918" s="0" t="inlineStr">
        <is>
          <t>[0;34m info_binary_dml_batch1_pk_urp1 [0m源备字段数相同，源端字段：4 	备端字段4</t>
        </is>
      </c>
      <c r="W1918" s="0" t="inlineStr">
        <is>
          <t>YES 源备无差异</t>
        </is>
      </c>
      <c r="X1918" s="0">
        <f>A1918</f>
        <v/>
      </c>
    </row>
    <row r="1919">
      <c r="B1919" s="0" t="inlineStr">
        <is>
          <t>YES</t>
        </is>
      </c>
      <c r="C1919" s="0" t="inlineStr">
        <is>
          <t>NULL</t>
        </is>
      </c>
      <c r="D1919" s="0" t="inlineStr">
        <is>
          <t>NULL</t>
        </is>
      </c>
      <c r="E1919" s="0" t="inlineStr">
        <is>
          <t>NULL</t>
        </is>
      </c>
      <c r="F1919" s="0" t="inlineStr">
        <is>
          <t>NULL</t>
        </is>
      </c>
      <c r="G1919" s="0" t="inlineStr">
        <is>
          <t>NULL</t>
        </is>
      </c>
      <c r="H1919" s="0" t="inlineStr">
        <is>
          <t>NULL</t>
        </is>
      </c>
      <c r="I1919" s="0" t="inlineStr">
        <is>
          <t>YES!PK__info_bin__3213E83FC8D78F05</t>
        </is>
      </c>
      <c r="J1919" s="0" t="inlineStr">
        <is>
          <t>YES! 主键相关索引</t>
        </is>
      </c>
      <c r="K1919" s="0" t="inlineStr">
        <is>
          <t>YES! 	 id列源备映射正确，源端为int None位	期望更改为int	实际备端为int None位</t>
        </is>
      </c>
    </row>
    <row r="1920">
      <c r="B1920" s="0" t="inlineStr">
        <is>
          <t>NULL</t>
        </is>
      </c>
      <c r="C1920" s="0" t="inlineStr">
        <is>
          <t>NULL</t>
        </is>
      </c>
      <c r="D1920" s="0" t="inlineStr">
        <is>
          <t>NULL</t>
        </is>
      </c>
      <c r="E1920" s="0" t="inlineStr">
        <is>
          <t>NULL</t>
        </is>
      </c>
      <c r="F1920" s="0" t="inlineStr">
        <is>
          <t>NULL</t>
        </is>
      </c>
      <c r="G1920" s="0" t="inlineStr">
        <is>
          <t>NULL</t>
        </is>
      </c>
      <c r="H1920" s="0" t="inlineStr">
        <is>
          <t>NULL</t>
        </is>
      </c>
      <c r="I1920" s="0" t="inlineStr">
        <is>
          <t>NULL</t>
        </is>
      </c>
      <c r="J1920" s="0" t="inlineStr">
        <is>
          <t>NULL</t>
        </is>
      </c>
      <c r="K1920" s="0" t="inlineStr">
        <is>
          <t>YES! 	 c_binary列源备映射正确，源端为binary 1位	期望更改为binary(n)	实际备端为binary 1位</t>
        </is>
      </c>
    </row>
    <row r="1921">
      <c r="B1921" s="0" t="inlineStr">
        <is>
          <t>NULL</t>
        </is>
      </c>
      <c r="C1921" s="0" t="inlineStr">
        <is>
          <t>NULL</t>
        </is>
      </c>
      <c r="D1921" s="0" t="inlineStr">
        <is>
          <t>NULL</t>
        </is>
      </c>
      <c r="E1921" s="0" t="inlineStr">
        <is>
          <t>NULL</t>
        </is>
      </c>
      <c r="F1921" s="0" t="inlineStr">
        <is>
          <t>NULL</t>
        </is>
      </c>
      <c r="G1921" s="0" t="inlineStr">
        <is>
          <t>NULL</t>
        </is>
      </c>
      <c r="H1921" s="0" t="inlineStr">
        <is>
          <t>NULL</t>
        </is>
      </c>
      <c r="I1921" s="0" t="inlineStr">
        <is>
          <t>NULL</t>
        </is>
      </c>
      <c r="J1921" s="0" t="inlineStr">
        <is>
          <t>NULL</t>
        </is>
      </c>
      <c r="K1921" s="0" t="inlineStr">
        <is>
          <t>YES! 	 c_binary_20列源备映射正确，源端为binary 20位	期望更改为binary(n)	实际备端为binary 20位</t>
        </is>
      </c>
    </row>
    <row r="1922">
      <c r="B1922" s="0" t="inlineStr">
        <is>
          <t>NULL</t>
        </is>
      </c>
      <c r="C1922" s="0" t="inlineStr">
        <is>
          <t>NULL</t>
        </is>
      </c>
      <c r="D1922" s="0" t="inlineStr">
        <is>
          <t>NULL</t>
        </is>
      </c>
      <c r="E1922" s="0" t="inlineStr">
        <is>
          <t>NULL</t>
        </is>
      </c>
      <c r="F1922" s="0" t="inlineStr">
        <is>
          <t>NULL</t>
        </is>
      </c>
      <c r="G1922" s="0" t="inlineStr">
        <is>
          <t>NULL</t>
        </is>
      </c>
      <c r="H1922" s="0" t="inlineStr">
        <is>
          <t>NULL</t>
        </is>
      </c>
      <c r="I1922" s="0" t="inlineStr">
        <is>
          <t>NULL</t>
        </is>
      </c>
      <c r="J1922" s="0" t="inlineStr">
        <is>
          <t>NULL</t>
        </is>
      </c>
      <c r="K1922" s="0" t="inlineStr">
        <is>
          <t>YES! 	 c_binary_8000列源备映射正确，源端为binary 8000位	期望更改为binary(n)	实际备端为binary 8000位</t>
        </is>
      </c>
    </row>
    <row r="1923">
      <c r="A1923" s="0" t="inlineStr">
        <is>
          <t>info_date_dml_batch2_pk_irp2</t>
        </is>
      </c>
      <c r="K1923" s="0" t="inlineStr">
        <is>
          <t>[0;34m info_date_dml_batch2_pk_irp2 [0m源备字段数相同，源端字段：2 	备端字段2</t>
        </is>
      </c>
      <c r="W1923" s="0" t="inlineStr">
        <is>
          <t>YES 源备无差异</t>
        </is>
      </c>
      <c r="X1923" s="0">
        <f>A1923</f>
        <v/>
      </c>
    </row>
    <row r="1924">
      <c r="B1924" s="0" t="inlineStr">
        <is>
          <t>YES</t>
        </is>
      </c>
      <c r="C1924" s="0" t="inlineStr">
        <is>
          <t>NULL</t>
        </is>
      </c>
      <c r="D1924" s="0" t="inlineStr">
        <is>
          <t>NULL</t>
        </is>
      </c>
      <c r="E1924" s="0" t="inlineStr">
        <is>
          <t>NULL</t>
        </is>
      </c>
      <c r="F1924" s="0" t="inlineStr">
        <is>
          <t>NULL</t>
        </is>
      </c>
      <c r="G1924" s="0" t="inlineStr">
        <is>
          <t>NULL</t>
        </is>
      </c>
      <c r="H1924" s="0" t="inlineStr">
        <is>
          <t>NULL</t>
        </is>
      </c>
      <c r="I1924" s="0" t="inlineStr">
        <is>
          <t>YES!PK__info_dat__3213E83F431A717B</t>
        </is>
      </c>
      <c r="J1924" s="0" t="inlineStr">
        <is>
          <t>YES! 主键相关索引</t>
        </is>
      </c>
      <c r="K1924" s="0" t="inlineStr">
        <is>
          <t>YES! 	 id列源备映射正确，源端为int None位	期望更改为int	实际备端为int None位</t>
        </is>
      </c>
    </row>
    <row r="1925">
      <c r="B1925" s="0" t="inlineStr">
        <is>
          <t>NULL</t>
        </is>
      </c>
      <c r="C1925" s="0" t="inlineStr">
        <is>
          <t>NULL</t>
        </is>
      </c>
      <c r="D1925" s="0" t="inlineStr">
        <is>
          <t>NULL</t>
        </is>
      </c>
      <c r="E1925" s="0" t="inlineStr">
        <is>
          <t>NULL</t>
        </is>
      </c>
      <c r="F1925" s="0" t="inlineStr">
        <is>
          <t>NULL</t>
        </is>
      </c>
      <c r="G1925" s="0" t="inlineStr">
        <is>
          <t>NULL</t>
        </is>
      </c>
      <c r="H1925" s="0" t="inlineStr">
        <is>
          <t>NULL</t>
        </is>
      </c>
      <c r="I1925" s="0" t="inlineStr">
        <is>
          <t>NULL</t>
        </is>
      </c>
      <c r="J1925" s="0" t="inlineStr">
        <is>
          <t>NULL</t>
        </is>
      </c>
      <c r="K1925" s="0" t="inlineStr">
        <is>
          <t>YES! 	 c_date列源备映射正确，源端为date None位	期望更改为date	实际备端为date None位</t>
        </is>
      </c>
    </row>
    <row r="1926">
      <c r="A1926" s="0" t="inlineStr">
        <is>
          <t>info_geography_dml_single_nopk_urp</t>
        </is>
      </c>
      <c r="K1926" s="0" t="inlineStr">
        <is>
          <t>[0;34m info_geography_dml_single_nopk_urp [0m源备字段数相同，源端字段：2 	备端字段2</t>
        </is>
      </c>
      <c r="W1926" s="0" t="inlineStr">
        <is>
          <t>YES 源备无差异</t>
        </is>
      </c>
      <c r="X1926" s="0">
        <f>A1926</f>
        <v/>
      </c>
    </row>
    <row r="1927">
      <c r="B1927" s="0" t="inlineStr">
        <is>
          <t>NULL</t>
        </is>
      </c>
      <c r="C1927" s="0" t="inlineStr">
        <is>
          <t>NULL</t>
        </is>
      </c>
      <c r="D1927" s="0" t="inlineStr">
        <is>
          <t>NULL</t>
        </is>
      </c>
      <c r="E1927" s="0" t="inlineStr">
        <is>
          <t>NULL</t>
        </is>
      </c>
      <c r="F1927" s="0" t="inlineStr">
        <is>
          <t>NULL</t>
        </is>
      </c>
      <c r="G1927" s="0" t="inlineStr">
        <is>
          <t>NULL</t>
        </is>
      </c>
      <c r="H1927" s="0" t="inlineStr">
        <is>
          <t>NULL</t>
        </is>
      </c>
      <c r="I1927" s="0" t="inlineStr">
        <is>
          <t>NULL</t>
        </is>
      </c>
      <c r="J1927" s="0" t="inlineStr">
        <is>
          <t>NULL</t>
        </is>
      </c>
      <c r="K1927" s="0" t="inlineStr">
        <is>
          <t>YES! 	 id列源备映射正确，源端为int None位	期望更改为int	实际备端为int None位</t>
        </is>
      </c>
    </row>
    <row r="1928">
      <c r="B1928" s="0" t="inlineStr">
        <is>
          <t>NULL</t>
        </is>
      </c>
      <c r="C1928" s="0" t="inlineStr">
        <is>
          <t>NULL</t>
        </is>
      </c>
      <c r="D1928" s="0" t="inlineStr">
        <is>
          <t>NULL</t>
        </is>
      </c>
      <c r="E1928" s="0" t="inlineStr">
        <is>
          <t>NULL</t>
        </is>
      </c>
      <c r="F1928" s="0" t="inlineStr">
        <is>
          <t>NULL</t>
        </is>
      </c>
      <c r="G1928" s="0" t="inlineStr">
        <is>
          <t>NULL</t>
        </is>
      </c>
      <c r="H1928" s="0" t="inlineStr">
        <is>
          <t>NULL</t>
        </is>
      </c>
      <c r="I1928" s="0" t="inlineStr">
        <is>
          <t>NULL</t>
        </is>
      </c>
      <c r="J1928" s="0" t="inlineStr">
        <is>
          <t>NULL</t>
        </is>
      </c>
      <c r="K1928" s="0" t="inlineStr">
        <is>
          <t>YES! 	 c_geography列源备映射正确，源端为geography -1位	期望更改为geography	实际备端为geography -1位</t>
        </is>
      </c>
    </row>
    <row r="1929">
      <c r="A1929" s="0" t="inlineStr">
        <is>
          <t>info_geography_dml_single_nopk_drp</t>
        </is>
      </c>
      <c r="K1929" s="0" t="inlineStr">
        <is>
          <t>[0;34m info_geography_dml_single_nopk_drp [0m源备字段数相同，源端字段：2 	备端字段2</t>
        </is>
      </c>
      <c r="W1929" s="0" t="inlineStr">
        <is>
          <t>YES 源备无差异</t>
        </is>
      </c>
      <c r="X1929" s="0">
        <f>A1929</f>
        <v/>
      </c>
    </row>
    <row r="1930">
      <c r="B1930" s="0" t="inlineStr">
        <is>
          <t>NULL</t>
        </is>
      </c>
      <c r="C1930" s="0" t="inlineStr">
        <is>
          <t>NULL</t>
        </is>
      </c>
      <c r="D1930" s="0" t="inlineStr">
        <is>
          <t>NULL</t>
        </is>
      </c>
      <c r="E1930" s="0" t="inlineStr">
        <is>
          <t>NULL</t>
        </is>
      </c>
      <c r="F1930" s="0" t="inlineStr">
        <is>
          <t>NULL</t>
        </is>
      </c>
      <c r="G1930" s="0" t="inlineStr">
        <is>
          <t>NULL</t>
        </is>
      </c>
      <c r="H1930" s="0" t="inlineStr">
        <is>
          <t>NULL</t>
        </is>
      </c>
      <c r="I1930" s="0" t="inlineStr">
        <is>
          <t>NULL</t>
        </is>
      </c>
      <c r="J1930" s="0" t="inlineStr">
        <is>
          <t>NULL</t>
        </is>
      </c>
      <c r="K1930" s="0" t="inlineStr">
        <is>
          <t>YES! 	 id列源备映射正确，源端为int None位	期望更改为int	实际备端为int None位</t>
        </is>
      </c>
    </row>
    <row r="1931">
      <c r="B1931" s="0" t="inlineStr">
        <is>
          <t>NULL</t>
        </is>
      </c>
      <c r="C1931" s="0" t="inlineStr">
        <is>
          <t>NULL</t>
        </is>
      </c>
      <c r="D1931" s="0" t="inlineStr">
        <is>
          <t>NULL</t>
        </is>
      </c>
      <c r="E1931" s="0" t="inlineStr">
        <is>
          <t>NULL</t>
        </is>
      </c>
      <c r="F1931" s="0" t="inlineStr">
        <is>
          <t>NULL</t>
        </is>
      </c>
      <c r="G1931" s="0" t="inlineStr">
        <is>
          <t>NULL</t>
        </is>
      </c>
      <c r="H1931" s="0" t="inlineStr">
        <is>
          <t>NULL</t>
        </is>
      </c>
      <c r="I1931" s="0" t="inlineStr">
        <is>
          <t>NULL</t>
        </is>
      </c>
      <c r="J1931" s="0" t="inlineStr">
        <is>
          <t>NULL</t>
        </is>
      </c>
      <c r="K1931" s="0" t="inlineStr">
        <is>
          <t>YES! 	 c_geography列源备映射正确，源端为geography -1位	期望更改为geography	实际备端为geography -1位</t>
        </is>
      </c>
    </row>
    <row r="1932">
      <c r="A1932" s="0" t="inlineStr">
        <is>
          <t>info_binary_dml_batch1_pk_urp2</t>
        </is>
      </c>
      <c r="K1932" s="0" t="inlineStr">
        <is>
          <t>[0;34m info_binary_dml_batch1_pk_urp2 [0m源备字段数相同，源端字段：4 	备端字段4</t>
        </is>
      </c>
      <c r="W1932" s="0" t="inlineStr">
        <is>
          <t>YES 源备无差异</t>
        </is>
      </c>
      <c r="X1932" s="0">
        <f>A1932</f>
        <v/>
      </c>
    </row>
    <row r="1933">
      <c r="B1933" s="0" t="inlineStr">
        <is>
          <t>YES</t>
        </is>
      </c>
      <c r="C1933" s="0" t="inlineStr">
        <is>
          <t>NULL</t>
        </is>
      </c>
      <c r="D1933" s="0" t="inlineStr">
        <is>
          <t>NULL</t>
        </is>
      </c>
      <c r="E1933" s="0" t="inlineStr">
        <is>
          <t>NULL</t>
        </is>
      </c>
      <c r="F1933" s="0" t="inlineStr">
        <is>
          <t>NULL</t>
        </is>
      </c>
      <c r="G1933" s="0" t="inlineStr">
        <is>
          <t>NULL</t>
        </is>
      </c>
      <c r="H1933" s="0" t="inlineStr">
        <is>
          <t>NULL</t>
        </is>
      </c>
      <c r="I1933" s="0" t="inlineStr">
        <is>
          <t>YES!PK__info_bin__3213E83F2CFFDD81</t>
        </is>
      </c>
      <c r="J1933" s="0" t="inlineStr">
        <is>
          <t>YES! 主键相关索引</t>
        </is>
      </c>
      <c r="K1933" s="0" t="inlineStr">
        <is>
          <t>YES! 	 id列源备映射正确，源端为int None位	期望更改为int	实际备端为int None位</t>
        </is>
      </c>
    </row>
    <row r="1934">
      <c r="B1934" s="0" t="inlineStr">
        <is>
          <t>NULL</t>
        </is>
      </c>
      <c r="C1934" s="0" t="inlineStr">
        <is>
          <t>NULL</t>
        </is>
      </c>
      <c r="D1934" s="0" t="inlineStr">
        <is>
          <t>NULL</t>
        </is>
      </c>
      <c r="E1934" s="0" t="inlineStr">
        <is>
          <t>NULL</t>
        </is>
      </c>
      <c r="F1934" s="0" t="inlineStr">
        <is>
          <t>NULL</t>
        </is>
      </c>
      <c r="G1934" s="0" t="inlineStr">
        <is>
          <t>NULL</t>
        </is>
      </c>
      <c r="H1934" s="0" t="inlineStr">
        <is>
          <t>NULL</t>
        </is>
      </c>
      <c r="I1934" s="0" t="inlineStr">
        <is>
          <t>NULL</t>
        </is>
      </c>
      <c r="J1934" s="0" t="inlineStr">
        <is>
          <t>NULL</t>
        </is>
      </c>
      <c r="K1934" s="0" t="inlineStr">
        <is>
          <t>YES! 	 c_binary列源备映射正确，源端为binary 1位	期望更改为binary(n)	实际备端为binary 1位</t>
        </is>
      </c>
    </row>
    <row r="1935">
      <c r="B1935" s="0" t="inlineStr">
        <is>
          <t>NULL</t>
        </is>
      </c>
      <c r="C1935" s="0" t="inlineStr">
        <is>
          <t>NULL</t>
        </is>
      </c>
      <c r="D1935" s="0" t="inlineStr">
        <is>
          <t>NULL</t>
        </is>
      </c>
      <c r="E1935" s="0" t="inlineStr">
        <is>
          <t>NULL</t>
        </is>
      </c>
      <c r="F1935" s="0" t="inlineStr">
        <is>
          <t>NULL</t>
        </is>
      </c>
      <c r="G1935" s="0" t="inlineStr">
        <is>
          <t>NULL</t>
        </is>
      </c>
      <c r="H1935" s="0" t="inlineStr">
        <is>
          <t>NULL</t>
        </is>
      </c>
      <c r="I1935" s="0" t="inlineStr">
        <is>
          <t>NULL</t>
        </is>
      </c>
      <c r="J1935" s="0" t="inlineStr">
        <is>
          <t>NULL</t>
        </is>
      </c>
      <c r="K1935" s="0" t="inlineStr">
        <is>
          <t>YES! 	 c_binary_20列源备映射正确，源端为binary 20位	期望更改为binary(n)	实际备端为binary 20位</t>
        </is>
      </c>
    </row>
    <row r="1936">
      <c r="B1936" s="0" t="inlineStr">
        <is>
          <t>NULL</t>
        </is>
      </c>
      <c r="C1936" s="0" t="inlineStr">
        <is>
          <t>NULL</t>
        </is>
      </c>
      <c r="D1936" s="0" t="inlineStr">
        <is>
          <t>NULL</t>
        </is>
      </c>
      <c r="E1936" s="0" t="inlineStr">
        <is>
          <t>NULL</t>
        </is>
      </c>
      <c r="F1936" s="0" t="inlineStr">
        <is>
          <t>NULL</t>
        </is>
      </c>
      <c r="G1936" s="0" t="inlineStr">
        <is>
          <t>NULL</t>
        </is>
      </c>
      <c r="H1936" s="0" t="inlineStr">
        <is>
          <t>NULL</t>
        </is>
      </c>
      <c r="I1936" s="0" t="inlineStr">
        <is>
          <t>NULL</t>
        </is>
      </c>
      <c r="J1936" s="0" t="inlineStr">
        <is>
          <t>NULL</t>
        </is>
      </c>
      <c r="K1936" s="0" t="inlineStr">
        <is>
          <t>YES! 	 c_binary_8000列源备映射正确，源端为binary 8000位	期望更改为binary(n)	实际备端为binary 8000位</t>
        </is>
      </c>
    </row>
    <row r="1937">
      <c r="A1937" s="0" t="inlineStr">
        <is>
          <t>info_date_dml_batch1_pk_urp1</t>
        </is>
      </c>
      <c r="K1937" s="0" t="inlineStr">
        <is>
          <t>[0;34m info_date_dml_batch1_pk_urp1 [0m源备字段数相同，源端字段：2 	备端字段2</t>
        </is>
      </c>
      <c r="W1937" s="0" t="inlineStr">
        <is>
          <t>YES 源备无差异</t>
        </is>
      </c>
      <c r="X1937" s="0">
        <f>A1937</f>
        <v/>
      </c>
    </row>
    <row r="1938">
      <c r="B1938" s="0" t="inlineStr">
        <is>
          <t>YES</t>
        </is>
      </c>
      <c r="C1938" s="0" t="inlineStr">
        <is>
          <t>NULL</t>
        </is>
      </c>
      <c r="D1938" s="0" t="inlineStr">
        <is>
          <t>NULL</t>
        </is>
      </c>
      <c r="E1938" s="0" t="inlineStr">
        <is>
          <t>NULL</t>
        </is>
      </c>
      <c r="F1938" s="0" t="inlineStr">
        <is>
          <t>NULL</t>
        </is>
      </c>
      <c r="G1938" s="0" t="inlineStr">
        <is>
          <t>NULL</t>
        </is>
      </c>
      <c r="H1938" s="0" t="inlineStr">
        <is>
          <t>NULL</t>
        </is>
      </c>
      <c r="I1938" s="0" t="inlineStr">
        <is>
          <t>YES!PK__info_dat__3213E83F255EEA90</t>
        </is>
      </c>
      <c r="J1938" s="0" t="inlineStr">
        <is>
          <t>YES! 主键相关索引</t>
        </is>
      </c>
      <c r="K1938" s="0" t="inlineStr">
        <is>
          <t>YES! 	 id列源备映射正确，源端为int None位	期望更改为int	实际备端为int None位</t>
        </is>
      </c>
    </row>
    <row r="1939">
      <c r="B1939" s="0" t="inlineStr">
        <is>
          <t>NULL</t>
        </is>
      </c>
      <c r="C1939" s="0" t="inlineStr">
        <is>
          <t>NULL</t>
        </is>
      </c>
      <c r="D1939" s="0" t="inlineStr">
        <is>
          <t>NULL</t>
        </is>
      </c>
      <c r="E1939" s="0" t="inlineStr">
        <is>
          <t>NULL</t>
        </is>
      </c>
      <c r="F1939" s="0" t="inlineStr">
        <is>
          <t>NULL</t>
        </is>
      </c>
      <c r="G1939" s="0" t="inlineStr">
        <is>
          <t>NULL</t>
        </is>
      </c>
      <c r="H1939" s="0" t="inlineStr">
        <is>
          <t>NULL</t>
        </is>
      </c>
      <c r="I1939" s="0" t="inlineStr">
        <is>
          <t>NULL</t>
        </is>
      </c>
      <c r="J1939" s="0" t="inlineStr">
        <is>
          <t>NULL</t>
        </is>
      </c>
      <c r="K1939" s="0" t="inlineStr">
        <is>
          <t>YES! 	 c_date列源备映射正确，源端为date None位	期望更改为date	实际备端为date None位</t>
        </is>
      </c>
    </row>
    <row r="1940">
      <c r="A1940" s="0" t="inlineStr">
        <is>
          <t>info_geography_dml_single_nopk</t>
        </is>
      </c>
      <c r="K1940" s="0" t="inlineStr">
        <is>
          <t>[0;34m info_geography_dml_single_nopk [0m源备字段数相同，源端字段：2 	备端字段2</t>
        </is>
      </c>
      <c r="W1940" s="0" t="inlineStr">
        <is>
          <t>YES 源备无差异</t>
        </is>
      </c>
      <c r="X1940" s="0">
        <f>A1940</f>
        <v/>
      </c>
    </row>
    <row r="1941">
      <c r="B1941" s="0" t="inlineStr">
        <is>
          <t>NULL</t>
        </is>
      </c>
      <c r="C1941" s="0" t="inlineStr">
        <is>
          <t>NULL</t>
        </is>
      </c>
      <c r="D1941" s="0" t="inlineStr">
        <is>
          <t>NULL</t>
        </is>
      </c>
      <c r="E1941" s="0" t="inlineStr">
        <is>
          <t>NULL</t>
        </is>
      </c>
      <c r="F1941" s="0" t="inlineStr">
        <is>
          <t>NULL</t>
        </is>
      </c>
      <c r="G1941" s="0" t="inlineStr">
        <is>
          <t>NULL</t>
        </is>
      </c>
      <c r="H1941" s="0" t="inlineStr">
        <is>
          <t>NULL</t>
        </is>
      </c>
      <c r="I1941" s="0" t="inlineStr">
        <is>
          <t>NULL</t>
        </is>
      </c>
      <c r="J1941" s="0" t="inlineStr">
        <is>
          <t>NULL</t>
        </is>
      </c>
      <c r="K1941" s="0" t="inlineStr">
        <is>
          <t>YES! 	 id列源备映射正确，源端为int None位	期望更改为int	实际备端为int None位</t>
        </is>
      </c>
    </row>
    <row r="1942">
      <c r="B1942" s="0" t="inlineStr">
        <is>
          <t>NULL</t>
        </is>
      </c>
      <c r="C1942" s="0" t="inlineStr">
        <is>
          <t>NULL</t>
        </is>
      </c>
      <c r="D1942" s="0" t="inlineStr">
        <is>
          <t>NULL</t>
        </is>
      </c>
      <c r="E1942" s="0" t="inlineStr">
        <is>
          <t>NULL</t>
        </is>
      </c>
      <c r="F1942" s="0" t="inlineStr">
        <is>
          <t>NULL</t>
        </is>
      </c>
      <c r="G1942" s="0" t="inlineStr">
        <is>
          <t>NULL</t>
        </is>
      </c>
      <c r="H1942" s="0" t="inlineStr">
        <is>
          <t>NULL</t>
        </is>
      </c>
      <c r="I1942" s="0" t="inlineStr">
        <is>
          <t>NULL</t>
        </is>
      </c>
      <c r="J1942" s="0" t="inlineStr">
        <is>
          <t>NULL</t>
        </is>
      </c>
      <c r="K1942" s="0" t="inlineStr">
        <is>
          <t>YES! 	 c_geography列源备映射正确，源端为geography -1位	期望更改为geography	实际备端为geography -1位</t>
        </is>
      </c>
    </row>
    <row r="1943">
      <c r="A1943" s="0" t="inlineStr">
        <is>
          <t>info_geometry_dml_single_nopk_irp</t>
        </is>
      </c>
      <c r="K1943" s="0" t="inlineStr">
        <is>
          <t>[0;34m info_geometry_dml_single_nopk_irp [0m源备字段数相同，源端字段：2 	备端字段2</t>
        </is>
      </c>
      <c r="W1943" s="0" t="inlineStr">
        <is>
          <t>YES 源备无差异</t>
        </is>
      </c>
      <c r="X1943" s="0">
        <f>A1943</f>
        <v/>
      </c>
    </row>
    <row r="1944">
      <c r="B1944" s="0" t="inlineStr">
        <is>
          <t>NULL</t>
        </is>
      </c>
      <c r="C1944" s="0" t="inlineStr">
        <is>
          <t>NULL</t>
        </is>
      </c>
      <c r="D1944" s="0" t="inlineStr">
        <is>
          <t>NULL</t>
        </is>
      </c>
      <c r="E1944" s="0" t="inlineStr">
        <is>
          <t>NULL</t>
        </is>
      </c>
      <c r="F1944" s="0" t="inlineStr">
        <is>
          <t>NULL</t>
        </is>
      </c>
      <c r="G1944" s="0" t="inlineStr">
        <is>
          <t>NULL</t>
        </is>
      </c>
      <c r="H1944" s="0" t="inlineStr">
        <is>
          <t>NULL</t>
        </is>
      </c>
      <c r="I1944" s="0" t="inlineStr">
        <is>
          <t>NULL</t>
        </is>
      </c>
      <c r="J1944" s="0" t="inlineStr">
        <is>
          <t>NULL</t>
        </is>
      </c>
      <c r="K1944" s="0" t="inlineStr">
        <is>
          <t>YES! 	 id列源备映射正确，源端为int None位	期望更改为int	实际备端为int None位</t>
        </is>
      </c>
    </row>
    <row r="1945">
      <c r="B1945" s="0" t="inlineStr">
        <is>
          <t>NULL</t>
        </is>
      </c>
      <c r="C1945" s="0" t="inlineStr">
        <is>
          <t>NULL</t>
        </is>
      </c>
      <c r="D1945" s="0" t="inlineStr">
        <is>
          <t>NULL</t>
        </is>
      </c>
      <c r="E1945" s="0" t="inlineStr">
        <is>
          <t>NULL</t>
        </is>
      </c>
      <c r="F1945" s="0" t="inlineStr">
        <is>
          <t>NULL</t>
        </is>
      </c>
      <c r="G1945" s="0" t="inlineStr">
        <is>
          <t>NULL</t>
        </is>
      </c>
      <c r="H1945" s="0" t="inlineStr">
        <is>
          <t>NULL</t>
        </is>
      </c>
      <c r="I1945" s="0" t="inlineStr">
        <is>
          <t>NULL</t>
        </is>
      </c>
      <c r="J1945" s="0" t="inlineStr">
        <is>
          <t>NULL</t>
        </is>
      </c>
      <c r="K1945" s="0" t="inlineStr">
        <is>
          <t>YES! 	 c_geometry列源备映射正确，源端为geometry -1位	期望更改为geometry	实际备端为geometry -1位</t>
        </is>
      </c>
    </row>
    <row r="1946">
      <c r="A1946" s="0" t="inlineStr">
        <is>
          <t>info_binary_dml_batch1_pk_drp1</t>
        </is>
      </c>
      <c r="K1946" s="0" t="inlineStr">
        <is>
          <t>[0;34m info_binary_dml_batch1_pk_drp1 [0m源备字段数相同，源端字段：4 	备端字段4</t>
        </is>
      </c>
      <c r="W1946" s="0" t="inlineStr">
        <is>
          <t>YES 源备无差异</t>
        </is>
      </c>
      <c r="X1946" s="0">
        <f>A1946</f>
        <v/>
      </c>
    </row>
    <row r="1947">
      <c r="B1947" s="0" t="inlineStr">
        <is>
          <t>YES</t>
        </is>
      </c>
      <c r="C1947" s="0" t="inlineStr">
        <is>
          <t>NULL</t>
        </is>
      </c>
      <c r="D1947" s="0" t="inlineStr">
        <is>
          <t>NULL</t>
        </is>
      </c>
      <c r="E1947" s="0" t="inlineStr">
        <is>
          <t>NULL</t>
        </is>
      </c>
      <c r="F1947" s="0" t="inlineStr">
        <is>
          <t>NULL</t>
        </is>
      </c>
      <c r="G1947" s="0" t="inlineStr">
        <is>
          <t>NULL</t>
        </is>
      </c>
      <c r="H1947" s="0" t="inlineStr">
        <is>
          <t>NULL</t>
        </is>
      </c>
      <c r="I1947" s="0" t="inlineStr">
        <is>
          <t>YES!PK__info_bin__3213E83F4B9A4F56</t>
        </is>
      </c>
      <c r="J1947" s="0" t="inlineStr">
        <is>
          <t>YES! 主键相关索引</t>
        </is>
      </c>
      <c r="K1947" s="0" t="inlineStr">
        <is>
          <t>YES! 	 id列源备映射正确，源端为int None位	期望更改为int	实际备端为int None位</t>
        </is>
      </c>
    </row>
    <row r="1948">
      <c r="B1948" s="0" t="inlineStr">
        <is>
          <t>NULL</t>
        </is>
      </c>
      <c r="C1948" s="0" t="inlineStr">
        <is>
          <t>NULL</t>
        </is>
      </c>
      <c r="D1948" s="0" t="inlineStr">
        <is>
          <t>NULL</t>
        </is>
      </c>
      <c r="E1948" s="0" t="inlineStr">
        <is>
          <t>NULL</t>
        </is>
      </c>
      <c r="F1948" s="0" t="inlineStr">
        <is>
          <t>NULL</t>
        </is>
      </c>
      <c r="G1948" s="0" t="inlineStr">
        <is>
          <t>NULL</t>
        </is>
      </c>
      <c r="H1948" s="0" t="inlineStr">
        <is>
          <t>NULL</t>
        </is>
      </c>
      <c r="I1948" s="0" t="inlineStr">
        <is>
          <t>NULL</t>
        </is>
      </c>
      <c r="J1948" s="0" t="inlineStr">
        <is>
          <t>NULL</t>
        </is>
      </c>
      <c r="K1948" s="0" t="inlineStr">
        <is>
          <t>YES! 	 c_binary列源备映射正确，源端为binary 1位	期望更改为binary(n)	实际备端为binary 1位</t>
        </is>
      </c>
    </row>
    <row r="1949">
      <c r="B1949" s="0" t="inlineStr">
        <is>
          <t>NULL</t>
        </is>
      </c>
      <c r="C1949" s="0" t="inlineStr">
        <is>
          <t>NULL</t>
        </is>
      </c>
      <c r="D1949" s="0" t="inlineStr">
        <is>
          <t>NULL</t>
        </is>
      </c>
      <c r="E1949" s="0" t="inlineStr">
        <is>
          <t>NULL</t>
        </is>
      </c>
      <c r="F1949" s="0" t="inlineStr">
        <is>
          <t>NULL</t>
        </is>
      </c>
      <c r="G1949" s="0" t="inlineStr">
        <is>
          <t>NULL</t>
        </is>
      </c>
      <c r="H1949" s="0" t="inlineStr">
        <is>
          <t>NULL</t>
        </is>
      </c>
      <c r="I1949" s="0" t="inlineStr">
        <is>
          <t>NULL</t>
        </is>
      </c>
      <c r="J1949" s="0" t="inlineStr">
        <is>
          <t>NULL</t>
        </is>
      </c>
      <c r="K1949" s="0" t="inlineStr">
        <is>
          <t>YES! 	 c_binary_20列源备映射正确，源端为binary 20位	期望更改为binary(n)	实际备端为binary 20位</t>
        </is>
      </c>
    </row>
    <row r="1950">
      <c r="B1950" s="0" t="inlineStr">
        <is>
          <t>NULL</t>
        </is>
      </c>
      <c r="C1950" s="0" t="inlineStr">
        <is>
          <t>NULL</t>
        </is>
      </c>
      <c r="D1950" s="0" t="inlineStr">
        <is>
          <t>NULL</t>
        </is>
      </c>
      <c r="E1950" s="0" t="inlineStr">
        <is>
          <t>NULL</t>
        </is>
      </c>
      <c r="F1950" s="0" t="inlineStr">
        <is>
          <t>NULL</t>
        </is>
      </c>
      <c r="G1950" s="0" t="inlineStr">
        <is>
          <t>NULL</t>
        </is>
      </c>
      <c r="H1950" s="0" t="inlineStr">
        <is>
          <t>NULL</t>
        </is>
      </c>
      <c r="I1950" s="0" t="inlineStr">
        <is>
          <t>NULL</t>
        </is>
      </c>
      <c r="J1950" s="0" t="inlineStr">
        <is>
          <t>NULL</t>
        </is>
      </c>
      <c r="K1950" s="0" t="inlineStr">
        <is>
          <t>YES! 	 c_binary_8000列源备映射正确，源端为binary 8000位	期望更改为binary(n)	实际备端为binary 8000位</t>
        </is>
      </c>
    </row>
    <row r="1951">
      <c r="K1951" s="0" t="inlineStr">
        <is>
          <t>~ 空表</t>
        </is>
      </c>
    </row>
    <row r="1952">
      <c r="A1952" s="0" t="inlineStr">
        <is>
          <t>info_geography_dml_single_pk_irp</t>
        </is>
      </c>
      <c r="K1952" s="0" t="inlineStr">
        <is>
          <t>[0;34m info_geography_dml_single_pk_irp [0m源备字段数相同，源端字段：2 	备端字段2</t>
        </is>
      </c>
      <c r="W1952" s="0" t="inlineStr">
        <is>
          <t>YES 源备无差异</t>
        </is>
      </c>
      <c r="X1952" s="0">
        <f>A1952</f>
        <v/>
      </c>
    </row>
    <row r="1953">
      <c r="B1953" s="0" t="inlineStr">
        <is>
          <t>YES</t>
        </is>
      </c>
      <c r="C1953" s="0" t="inlineStr">
        <is>
          <t>NULL</t>
        </is>
      </c>
      <c r="D1953" s="0" t="inlineStr">
        <is>
          <t>NULL</t>
        </is>
      </c>
      <c r="E1953" s="0" t="inlineStr">
        <is>
          <t>NULL</t>
        </is>
      </c>
      <c r="F1953" s="0" t="inlineStr">
        <is>
          <t>NULL</t>
        </is>
      </c>
      <c r="G1953" s="0" t="inlineStr">
        <is>
          <t>NULL</t>
        </is>
      </c>
      <c r="H1953" s="0" t="inlineStr">
        <is>
          <t>NULL</t>
        </is>
      </c>
      <c r="I1953" s="0" t="inlineStr">
        <is>
          <t>YES!PK__info_geo__3213E83F168AB9E6</t>
        </is>
      </c>
      <c r="J1953" s="0" t="inlineStr">
        <is>
          <t>YES! 主键相关索引</t>
        </is>
      </c>
      <c r="K1953" s="0" t="inlineStr">
        <is>
          <t>YES! 	 id列源备映射正确，源端为int None位	期望更改为int	实际备端为int None位</t>
        </is>
      </c>
    </row>
    <row r="1954">
      <c r="B1954" s="0" t="inlineStr">
        <is>
          <t>NULL</t>
        </is>
      </c>
      <c r="C1954" s="0" t="inlineStr">
        <is>
          <t>NULL</t>
        </is>
      </c>
      <c r="D1954" s="0" t="inlineStr">
        <is>
          <t>NULL</t>
        </is>
      </c>
      <c r="E1954" s="0" t="inlineStr">
        <is>
          <t>NULL</t>
        </is>
      </c>
      <c r="F1954" s="0" t="inlineStr">
        <is>
          <t>NULL</t>
        </is>
      </c>
      <c r="G1954" s="0" t="inlineStr">
        <is>
          <t>NULL</t>
        </is>
      </c>
      <c r="H1954" s="0" t="inlineStr">
        <is>
          <t>NULL</t>
        </is>
      </c>
      <c r="I1954" s="0" t="inlineStr">
        <is>
          <t>NULL</t>
        </is>
      </c>
      <c r="J1954" s="0" t="inlineStr">
        <is>
          <t>NULL</t>
        </is>
      </c>
      <c r="K1954" s="0" t="inlineStr">
        <is>
          <t>YES! 	 c_geography列源备映射正确，源端为geography -1位	期望更改为geography	实际备端为geography -1位</t>
        </is>
      </c>
    </row>
    <row r="1955">
      <c r="A1955" s="0" t="inlineStr">
        <is>
          <t>info_date_dml_batch1_pk_urp2</t>
        </is>
      </c>
      <c r="K1955" s="0" t="inlineStr">
        <is>
          <t>[0;34m info_date_dml_batch1_pk_urp2 [0m源备字段数相同，源端字段：2 	备端字段2</t>
        </is>
      </c>
      <c r="W1955" s="0" t="inlineStr">
        <is>
          <t>YES 源备无差异</t>
        </is>
      </c>
      <c r="X1955" s="0">
        <f>A1955</f>
        <v/>
      </c>
    </row>
    <row r="1956">
      <c r="B1956" s="0" t="inlineStr">
        <is>
          <t>YES</t>
        </is>
      </c>
      <c r="C1956" s="0" t="inlineStr">
        <is>
          <t>NULL</t>
        </is>
      </c>
      <c r="D1956" s="0" t="inlineStr">
        <is>
          <t>NULL</t>
        </is>
      </c>
      <c r="E1956" s="0" t="inlineStr">
        <is>
          <t>NULL</t>
        </is>
      </c>
      <c r="F1956" s="0" t="inlineStr">
        <is>
          <t>NULL</t>
        </is>
      </c>
      <c r="G1956" s="0" t="inlineStr">
        <is>
          <t>NULL</t>
        </is>
      </c>
      <c r="H1956" s="0" t="inlineStr">
        <is>
          <t>NULL</t>
        </is>
      </c>
      <c r="I1956" s="0" t="inlineStr">
        <is>
          <t>YES!PK__info_dat__3213E83FC684ACA3</t>
        </is>
      </c>
      <c r="J1956" s="0" t="inlineStr">
        <is>
          <t>YES! 主键相关索引</t>
        </is>
      </c>
      <c r="K1956" s="0" t="inlineStr">
        <is>
          <t>YES! 	 id列源备映射正确，源端为int None位	期望更改为int	实际备端为int None位</t>
        </is>
      </c>
    </row>
    <row r="1957">
      <c r="B1957" s="0" t="inlineStr">
        <is>
          <t>NULL</t>
        </is>
      </c>
      <c r="C1957" s="0" t="inlineStr">
        <is>
          <t>NULL</t>
        </is>
      </c>
      <c r="D1957" s="0" t="inlineStr">
        <is>
          <t>NULL</t>
        </is>
      </c>
      <c r="E1957" s="0" t="inlineStr">
        <is>
          <t>NULL</t>
        </is>
      </c>
      <c r="F1957" s="0" t="inlineStr">
        <is>
          <t>NULL</t>
        </is>
      </c>
      <c r="G1957" s="0" t="inlineStr">
        <is>
          <t>NULL</t>
        </is>
      </c>
      <c r="H1957" s="0" t="inlineStr">
        <is>
          <t>NULL</t>
        </is>
      </c>
      <c r="I1957" s="0" t="inlineStr">
        <is>
          <t>NULL</t>
        </is>
      </c>
      <c r="J1957" s="0" t="inlineStr">
        <is>
          <t>NULL</t>
        </is>
      </c>
      <c r="K1957" s="0" t="inlineStr">
        <is>
          <t>YES! 	 c_date列源备映射正确，源端为date None位	期望更改为date	实际备端为date None位</t>
        </is>
      </c>
    </row>
    <row r="1958">
      <c r="A1958" s="0" t="inlineStr">
        <is>
          <t>info_geometry_dml_single_nopk_urp</t>
        </is>
      </c>
      <c r="K1958" s="0" t="inlineStr">
        <is>
          <t>[0;34m info_geometry_dml_single_nopk_urp [0m源备字段数相同，源端字段：2 	备端字段2</t>
        </is>
      </c>
      <c r="W1958" s="0" t="inlineStr">
        <is>
          <t>YES 源备无差异</t>
        </is>
      </c>
      <c r="X1958" s="0">
        <f>A1958</f>
        <v/>
      </c>
    </row>
    <row r="1959">
      <c r="B1959" s="0" t="inlineStr">
        <is>
          <t>NULL</t>
        </is>
      </c>
      <c r="C1959" s="0" t="inlineStr">
        <is>
          <t>NULL</t>
        </is>
      </c>
      <c r="D1959" s="0" t="inlineStr">
        <is>
          <t>NULL</t>
        </is>
      </c>
      <c r="E1959" s="0" t="inlineStr">
        <is>
          <t>NULL</t>
        </is>
      </c>
      <c r="F1959" s="0" t="inlineStr">
        <is>
          <t>NULL</t>
        </is>
      </c>
      <c r="G1959" s="0" t="inlineStr">
        <is>
          <t>NULL</t>
        </is>
      </c>
      <c r="H1959" s="0" t="inlineStr">
        <is>
          <t>NULL</t>
        </is>
      </c>
      <c r="I1959" s="0" t="inlineStr">
        <is>
          <t>NULL</t>
        </is>
      </c>
      <c r="J1959" s="0" t="inlineStr">
        <is>
          <t>NULL</t>
        </is>
      </c>
      <c r="K1959" s="0" t="inlineStr">
        <is>
          <t>YES! 	 id列源备映射正确，源端为int None位	期望更改为int	实际备端为int None位</t>
        </is>
      </c>
    </row>
    <row r="1960">
      <c r="B1960" s="0" t="inlineStr">
        <is>
          <t>NULL</t>
        </is>
      </c>
      <c r="C1960" s="0" t="inlineStr">
        <is>
          <t>NULL</t>
        </is>
      </c>
      <c r="D1960" s="0" t="inlineStr">
        <is>
          <t>NULL</t>
        </is>
      </c>
      <c r="E1960" s="0" t="inlineStr">
        <is>
          <t>NULL</t>
        </is>
      </c>
      <c r="F1960" s="0" t="inlineStr">
        <is>
          <t>NULL</t>
        </is>
      </c>
      <c r="G1960" s="0" t="inlineStr">
        <is>
          <t>NULL</t>
        </is>
      </c>
      <c r="H1960" s="0" t="inlineStr">
        <is>
          <t>NULL</t>
        </is>
      </c>
      <c r="I1960" s="0" t="inlineStr">
        <is>
          <t>NULL</t>
        </is>
      </c>
      <c r="J1960" s="0" t="inlineStr">
        <is>
          <t>NULL</t>
        </is>
      </c>
      <c r="K1960" s="0" t="inlineStr">
        <is>
          <t>YES! 	 c_geometry列源备映射正确，源端为geometry -1位	期望更改为geometry	实际备端为geometry -1位</t>
        </is>
      </c>
    </row>
    <row r="1961">
      <c r="A1961" s="0" t="inlineStr">
        <is>
          <t>info_binary_dml_batch1_pk_drp2</t>
        </is>
      </c>
      <c r="K1961" s="0" t="inlineStr">
        <is>
          <t>[0;34m info_binary_dml_batch1_pk_drp2 [0m源备字段数相同，源端字段：4 	备端字段4</t>
        </is>
      </c>
      <c r="W1961" s="0" t="inlineStr">
        <is>
          <t>YES 源备无差异</t>
        </is>
      </c>
      <c r="X1961" s="0">
        <f>A1961</f>
        <v/>
      </c>
    </row>
    <row r="1962">
      <c r="B1962" s="0" t="inlineStr">
        <is>
          <t>YES</t>
        </is>
      </c>
      <c r="C1962" s="0" t="inlineStr">
        <is>
          <t>NULL</t>
        </is>
      </c>
      <c r="D1962" s="0" t="inlineStr">
        <is>
          <t>NULL</t>
        </is>
      </c>
      <c r="E1962" s="0" t="inlineStr">
        <is>
          <t>NULL</t>
        </is>
      </c>
      <c r="F1962" s="0" t="inlineStr">
        <is>
          <t>NULL</t>
        </is>
      </c>
      <c r="G1962" s="0" t="inlineStr">
        <is>
          <t>NULL</t>
        </is>
      </c>
      <c r="H1962" s="0" t="inlineStr">
        <is>
          <t>NULL</t>
        </is>
      </c>
      <c r="I1962" s="0" t="inlineStr">
        <is>
          <t>YES!PK__info_bin__3213E83F14AE18E3</t>
        </is>
      </c>
      <c r="J1962" s="0" t="inlineStr">
        <is>
          <t>YES! 主键相关索引</t>
        </is>
      </c>
      <c r="K1962" s="0" t="inlineStr">
        <is>
          <t>YES! 	 id列源备映射正确，源端为int None位	期望更改为int	实际备端为int None位</t>
        </is>
      </c>
    </row>
    <row r="1963">
      <c r="B1963" s="0" t="inlineStr">
        <is>
          <t>NULL</t>
        </is>
      </c>
      <c r="C1963" s="0" t="inlineStr">
        <is>
          <t>NULL</t>
        </is>
      </c>
      <c r="D1963" s="0" t="inlineStr">
        <is>
          <t>NULL</t>
        </is>
      </c>
      <c r="E1963" s="0" t="inlineStr">
        <is>
          <t>NULL</t>
        </is>
      </c>
      <c r="F1963" s="0" t="inlineStr">
        <is>
          <t>NULL</t>
        </is>
      </c>
      <c r="G1963" s="0" t="inlineStr">
        <is>
          <t>NULL</t>
        </is>
      </c>
      <c r="H1963" s="0" t="inlineStr">
        <is>
          <t>NULL</t>
        </is>
      </c>
      <c r="I1963" s="0" t="inlineStr">
        <is>
          <t>NULL</t>
        </is>
      </c>
      <c r="J1963" s="0" t="inlineStr">
        <is>
          <t>NULL</t>
        </is>
      </c>
      <c r="K1963" s="0" t="inlineStr">
        <is>
          <t>YES! 	 c_binary列源备映射正确，源端为binary 1位	期望更改为binary(n)	实际备端为binary 1位</t>
        </is>
      </c>
    </row>
    <row r="1964">
      <c r="B1964" s="0" t="inlineStr">
        <is>
          <t>NULL</t>
        </is>
      </c>
      <c r="C1964" s="0" t="inlineStr">
        <is>
          <t>NULL</t>
        </is>
      </c>
      <c r="D1964" s="0" t="inlineStr">
        <is>
          <t>NULL</t>
        </is>
      </c>
      <c r="E1964" s="0" t="inlineStr">
        <is>
          <t>NULL</t>
        </is>
      </c>
      <c r="F1964" s="0" t="inlineStr">
        <is>
          <t>NULL</t>
        </is>
      </c>
      <c r="G1964" s="0" t="inlineStr">
        <is>
          <t>NULL</t>
        </is>
      </c>
      <c r="H1964" s="0" t="inlineStr">
        <is>
          <t>NULL</t>
        </is>
      </c>
      <c r="I1964" s="0" t="inlineStr">
        <is>
          <t>NULL</t>
        </is>
      </c>
      <c r="J1964" s="0" t="inlineStr">
        <is>
          <t>NULL</t>
        </is>
      </c>
      <c r="K1964" s="0" t="inlineStr">
        <is>
          <t>YES! 	 c_binary_20列源备映射正确，源端为binary 20位	期望更改为binary(n)	实际备端为binary 20位</t>
        </is>
      </c>
    </row>
    <row r="1965">
      <c r="B1965" s="0" t="inlineStr">
        <is>
          <t>NULL</t>
        </is>
      </c>
      <c r="C1965" s="0" t="inlineStr">
        <is>
          <t>NULL</t>
        </is>
      </c>
      <c r="D1965" s="0" t="inlineStr">
        <is>
          <t>NULL</t>
        </is>
      </c>
      <c r="E1965" s="0" t="inlineStr">
        <is>
          <t>NULL</t>
        </is>
      </c>
      <c r="F1965" s="0" t="inlineStr">
        <is>
          <t>NULL</t>
        </is>
      </c>
      <c r="G1965" s="0" t="inlineStr">
        <is>
          <t>NULL</t>
        </is>
      </c>
      <c r="H1965" s="0" t="inlineStr">
        <is>
          <t>NULL</t>
        </is>
      </c>
      <c r="I1965" s="0" t="inlineStr">
        <is>
          <t>NULL</t>
        </is>
      </c>
      <c r="J1965" s="0" t="inlineStr">
        <is>
          <t>NULL</t>
        </is>
      </c>
      <c r="K1965" s="0" t="inlineStr">
        <is>
          <t>YES! 	 c_binary_8000列源备映射正确，源端为binary 8000位	期望更改为binary(n)	实际备端为binary 8000位</t>
        </is>
      </c>
    </row>
    <row r="1966">
      <c r="A1966" s="0" t="inlineStr">
        <is>
          <t>info_geometry_dml_single_nopk_drp</t>
        </is>
      </c>
      <c r="K1966" s="0" t="inlineStr">
        <is>
          <t>[0;34m info_geometry_dml_single_nopk_drp [0m源备字段数相同，源端字段：2 	备端字段2</t>
        </is>
      </c>
      <c r="W1966" s="0" t="inlineStr">
        <is>
          <t>YES 源备无差异</t>
        </is>
      </c>
      <c r="X1966" s="0">
        <f>A1966</f>
        <v/>
      </c>
    </row>
    <row r="1967">
      <c r="B1967" s="0" t="inlineStr">
        <is>
          <t>NULL</t>
        </is>
      </c>
      <c r="C1967" s="0" t="inlineStr">
        <is>
          <t>NULL</t>
        </is>
      </c>
      <c r="D1967" s="0" t="inlineStr">
        <is>
          <t>NULL</t>
        </is>
      </c>
      <c r="E1967" s="0" t="inlineStr">
        <is>
          <t>NULL</t>
        </is>
      </c>
      <c r="F1967" s="0" t="inlineStr">
        <is>
          <t>NULL</t>
        </is>
      </c>
      <c r="G1967" s="0" t="inlineStr">
        <is>
          <t>NULL</t>
        </is>
      </c>
      <c r="H1967" s="0" t="inlineStr">
        <is>
          <t>NULL</t>
        </is>
      </c>
      <c r="I1967" s="0" t="inlineStr">
        <is>
          <t>NULL</t>
        </is>
      </c>
      <c r="J1967" s="0" t="inlineStr">
        <is>
          <t>NULL</t>
        </is>
      </c>
      <c r="K1967" s="0" t="inlineStr">
        <is>
          <t>YES! 	 id列源备映射正确，源端为int None位	期望更改为int	实际备端为int None位</t>
        </is>
      </c>
    </row>
    <row r="1968">
      <c r="B1968" s="0" t="inlineStr">
        <is>
          <t>NULL</t>
        </is>
      </c>
      <c r="C1968" s="0" t="inlineStr">
        <is>
          <t>NULL</t>
        </is>
      </c>
      <c r="D1968" s="0" t="inlineStr">
        <is>
          <t>NULL</t>
        </is>
      </c>
      <c r="E1968" s="0" t="inlineStr">
        <is>
          <t>NULL</t>
        </is>
      </c>
      <c r="F1968" s="0" t="inlineStr">
        <is>
          <t>NULL</t>
        </is>
      </c>
      <c r="G1968" s="0" t="inlineStr">
        <is>
          <t>NULL</t>
        </is>
      </c>
      <c r="H1968" s="0" t="inlineStr">
        <is>
          <t>NULL</t>
        </is>
      </c>
      <c r="I1968" s="0" t="inlineStr">
        <is>
          <t>NULL</t>
        </is>
      </c>
      <c r="J1968" s="0" t="inlineStr">
        <is>
          <t>NULL</t>
        </is>
      </c>
      <c r="K1968" s="0" t="inlineStr">
        <is>
          <t>YES! 	 c_geometry列源备映射正确，源端为geometry -1位	期望更改为geometry	实际备端为geometry -1位</t>
        </is>
      </c>
    </row>
    <row r="1969">
      <c r="A1969" s="0" t="inlineStr">
        <is>
          <t>info_geography_dml_single_pk_urp</t>
        </is>
      </c>
      <c r="K1969" s="0" t="inlineStr">
        <is>
          <t>[0;34m info_geography_dml_single_pk_urp [0m源备字段数相同，源端字段：2 	备端字段2</t>
        </is>
      </c>
      <c r="W1969" s="0" t="inlineStr">
        <is>
          <t>YES 源备无差异</t>
        </is>
      </c>
      <c r="X1969" s="0">
        <f>A1969</f>
        <v/>
      </c>
    </row>
    <row r="1970">
      <c r="B1970" s="0" t="inlineStr">
        <is>
          <t>YES</t>
        </is>
      </c>
      <c r="C1970" s="0" t="inlineStr">
        <is>
          <t>NULL</t>
        </is>
      </c>
      <c r="D1970" s="0" t="inlineStr">
        <is>
          <t>NULL</t>
        </is>
      </c>
      <c r="E1970" s="0" t="inlineStr">
        <is>
          <t>NULL</t>
        </is>
      </c>
      <c r="F1970" s="0" t="inlineStr">
        <is>
          <t>NULL</t>
        </is>
      </c>
      <c r="G1970" s="0" t="inlineStr">
        <is>
          <t>NULL</t>
        </is>
      </c>
      <c r="H1970" s="0" t="inlineStr">
        <is>
          <t>NULL</t>
        </is>
      </c>
      <c r="I1970" s="0" t="inlineStr">
        <is>
          <t>YES!PK__info_geo__3213E83F016608C5</t>
        </is>
      </c>
      <c r="J1970" s="0" t="inlineStr">
        <is>
          <t>YES! 主键相关索引</t>
        </is>
      </c>
      <c r="K1970" s="0" t="inlineStr">
        <is>
          <t>YES! 	 id列源备映射正确，源端为int None位	期望更改为int	实际备端为int None位</t>
        </is>
      </c>
    </row>
    <row r="1971">
      <c r="B1971" s="0" t="inlineStr">
        <is>
          <t>NULL</t>
        </is>
      </c>
      <c r="C1971" s="0" t="inlineStr">
        <is>
          <t>NULL</t>
        </is>
      </c>
      <c r="D1971" s="0" t="inlineStr">
        <is>
          <t>NULL</t>
        </is>
      </c>
      <c r="E1971" s="0" t="inlineStr">
        <is>
          <t>NULL</t>
        </is>
      </c>
      <c r="F1971" s="0" t="inlineStr">
        <is>
          <t>NULL</t>
        </is>
      </c>
      <c r="G1971" s="0" t="inlineStr">
        <is>
          <t>NULL</t>
        </is>
      </c>
      <c r="H1971" s="0" t="inlineStr">
        <is>
          <t>NULL</t>
        </is>
      </c>
      <c r="I1971" s="0" t="inlineStr">
        <is>
          <t>NULL</t>
        </is>
      </c>
      <c r="J1971" s="0" t="inlineStr">
        <is>
          <t>NULL</t>
        </is>
      </c>
      <c r="K1971" s="0" t="inlineStr">
        <is>
          <t>YES! 	 c_geography列源备映射正确，源端为geography -1位	期望更改为geography	实际备端为geography -1位</t>
        </is>
      </c>
    </row>
    <row r="1972">
      <c r="A1972" s="0" t="inlineStr">
        <is>
          <t>info_date_dml_batch1_pk_drp1</t>
        </is>
      </c>
      <c r="K1972" s="0" t="inlineStr">
        <is>
          <t>[0;34m info_date_dml_batch1_pk_drp1 [0m源备字段数相同，源端字段：2 	备端字段2</t>
        </is>
      </c>
      <c r="W1972" s="0" t="inlineStr">
        <is>
          <t>YES 源备无差异</t>
        </is>
      </c>
      <c r="X1972" s="0">
        <f>A1972</f>
        <v/>
      </c>
    </row>
    <row r="1973">
      <c r="B1973" s="0" t="inlineStr">
        <is>
          <t>YES</t>
        </is>
      </c>
      <c r="C1973" s="0" t="inlineStr">
        <is>
          <t>NULL</t>
        </is>
      </c>
      <c r="D1973" s="0" t="inlineStr">
        <is>
          <t>NULL</t>
        </is>
      </c>
      <c r="E1973" s="0" t="inlineStr">
        <is>
          <t>NULL</t>
        </is>
      </c>
      <c r="F1973" s="0" t="inlineStr">
        <is>
          <t>NULL</t>
        </is>
      </c>
      <c r="G1973" s="0" t="inlineStr">
        <is>
          <t>NULL</t>
        </is>
      </c>
      <c r="H1973" s="0" t="inlineStr">
        <is>
          <t>NULL</t>
        </is>
      </c>
      <c r="I1973" s="0" t="inlineStr">
        <is>
          <t>YES!PK__info_dat__3213E83F912DB1E0</t>
        </is>
      </c>
      <c r="J1973" s="0" t="inlineStr">
        <is>
          <t>YES! 主键相关索引</t>
        </is>
      </c>
      <c r="K1973" s="0" t="inlineStr">
        <is>
          <t>YES! 	 id列源备映射正确，源端为int None位	期望更改为int	实际备端为int None位</t>
        </is>
      </c>
    </row>
    <row r="1974">
      <c r="B1974" s="0" t="inlineStr">
        <is>
          <t>NULL</t>
        </is>
      </c>
      <c r="C1974" s="0" t="inlineStr">
        <is>
          <t>NULL</t>
        </is>
      </c>
      <c r="D1974" s="0" t="inlineStr">
        <is>
          <t>NULL</t>
        </is>
      </c>
      <c r="E1974" s="0" t="inlineStr">
        <is>
          <t>NULL</t>
        </is>
      </c>
      <c r="F1974" s="0" t="inlineStr">
        <is>
          <t>NULL</t>
        </is>
      </c>
      <c r="G1974" s="0" t="inlineStr">
        <is>
          <t>NULL</t>
        </is>
      </c>
      <c r="H1974" s="0" t="inlineStr">
        <is>
          <t>NULL</t>
        </is>
      </c>
      <c r="I1974" s="0" t="inlineStr">
        <is>
          <t>NULL</t>
        </is>
      </c>
      <c r="J1974" s="0" t="inlineStr">
        <is>
          <t>NULL</t>
        </is>
      </c>
      <c r="K1974" s="0" t="inlineStr">
        <is>
          <t>YES! 	 c_date列源备映射正确，源端为date None位	期望更改为date	实际备端为date None位</t>
        </is>
      </c>
    </row>
    <row r="1975">
      <c r="K1975" s="0" t="inlineStr">
        <is>
          <t>~ 空表</t>
        </is>
      </c>
    </row>
    <row r="1976">
      <c r="A1976" s="0" t="inlineStr">
        <is>
          <t>info_geometry_dml_single_nopk</t>
        </is>
      </c>
      <c r="K1976" s="0" t="inlineStr">
        <is>
          <t>[0;34m info_geometry_dml_single_nopk [0m源备字段数相同，源端字段：2 	备端字段2</t>
        </is>
      </c>
      <c r="W1976" s="0" t="inlineStr">
        <is>
          <t>YES 源备无差异</t>
        </is>
      </c>
      <c r="X1976" s="0">
        <f>A1976</f>
        <v/>
      </c>
    </row>
    <row r="1977">
      <c r="B1977" s="0" t="inlineStr">
        <is>
          <t>NULL</t>
        </is>
      </c>
      <c r="C1977" s="0" t="inlineStr">
        <is>
          <t>NULL</t>
        </is>
      </c>
      <c r="D1977" s="0" t="inlineStr">
        <is>
          <t>NULL</t>
        </is>
      </c>
      <c r="E1977" s="0" t="inlineStr">
        <is>
          <t>NULL</t>
        </is>
      </c>
      <c r="F1977" s="0" t="inlineStr">
        <is>
          <t>NULL</t>
        </is>
      </c>
      <c r="G1977" s="0" t="inlineStr">
        <is>
          <t>NULL</t>
        </is>
      </c>
      <c r="H1977" s="0" t="inlineStr">
        <is>
          <t>NULL</t>
        </is>
      </c>
      <c r="I1977" s="0" t="inlineStr">
        <is>
          <t>NULL</t>
        </is>
      </c>
      <c r="J1977" s="0" t="inlineStr">
        <is>
          <t>NULL</t>
        </is>
      </c>
      <c r="K1977" s="0" t="inlineStr">
        <is>
          <t>YES! 	 id列源备映射正确，源端为int None位	期望更改为int	实际备端为int None位</t>
        </is>
      </c>
    </row>
    <row r="1978">
      <c r="B1978" s="0" t="inlineStr">
        <is>
          <t>NULL</t>
        </is>
      </c>
      <c r="C1978" s="0" t="inlineStr">
        <is>
          <t>NULL</t>
        </is>
      </c>
      <c r="D1978" s="0" t="inlineStr">
        <is>
          <t>NULL</t>
        </is>
      </c>
      <c r="E1978" s="0" t="inlineStr">
        <is>
          <t>NULL</t>
        </is>
      </c>
      <c r="F1978" s="0" t="inlineStr">
        <is>
          <t>NULL</t>
        </is>
      </c>
      <c r="G1978" s="0" t="inlineStr">
        <is>
          <t>NULL</t>
        </is>
      </c>
      <c r="H1978" s="0" t="inlineStr">
        <is>
          <t>NULL</t>
        </is>
      </c>
      <c r="I1978" s="0" t="inlineStr">
        <is>
          <t>NULL</t>
        </is>
      </c>
      <c r="J1978" s="0" t="inlineStr">
        <is>
          <t>NULL</t>
        </is>
      </c>
      <c r="K1978" s="0" t="inlineStr">
        <is>
          <t>YES! 	 c_geometry列源备映射正确，源端为geometry -1位	期望更改为geometry	实际备端为geometry -1位</t>
        </is>
      </c>
    </row>
    <row r="1979">
      <c r="A1979" s="0" t="inlineStr">
        <is>
          <t>info_binary_dml_batch1_pk</t>
        </is>
      </c>
      <c r="K1979" s="0" t="inlineStr">
        <is>
          <t>[0;34m info_binary_dml_batch1_pk [0m源备字段数相同，源端字段：4 	备端字段4</t>
        </is>
      </c>
      <c r="W1979" s="0" t="inlineStr">
        <is>
          <t>YES 源备无差异</t>
        </is>
      </c>
      <c r="X1979" s="0">
        <f>A1979</f>
        <v/>
      </c>
    </row>
    <row r="1980">
      <c r="B1980" s="0" t="inlineStr">
        <is>
          <t>YES</t>
        </is>
      </c>
      <c r="C1980" s="0" t="inlineStr">
        <is>
          <t>NULL</t>
        </is>
      </c>
      <c r="D1980" s="0" t="inlineStr">
        <is>
          <t>NULL</t>
        </is>
      </c>
      <c r="E1980" s="0" t="inlineStr">
        <is>
          <t>NULL</t>
        </is>
      </c>
      <c r="F1980" s="0" t="inlineStr">
        <is>
          <t>NULL</t>
        </is>
      </c>
      <c r="G1980" s="0" t="inlineStr">
        <is>
          <t>NULL</t>
        </is>
      </c>
      <c r="H1980" s="0" t="inlineStr">
        <is>
          <t>NULL</t>
        </is>
      </c>
      <c r="I1980" s="0" t="inlineStr">
        <is>
          <t>YES!PK__info_bin__3213E83FDCC0460B</t>
        </is>
      </c>
      <c r="J1980" s="0" t="inlineStr">
        <is>
          <t>YES! 主键相关索引</t>
        </is>
      </c>
      <c r="K1980" s="0" t="inlineStr">
        <is>
          <t>YES! 	 id列源备映射正确，源端为int None位	期望更改为int	实际备端为int None位</t>
        </is>
      </c>
    </row>
    <row r="1981">
      <c r="B1981" s="0" t="inlineStr">
        <is>
          <t>NULL</t>
        </is>
      </c>
      <c r="C1981" s="0" t="inlineStr">
        <is>
          <t>NULL</t>
        </is>
      </c>
      <c r="D1981" s="0" t="inlineStr">
        <is>
          <t>NULL</t>
        </is>
      </c>
      <c r="E1981" s="0" t="inlineStr">
        <is>
          <t>NULL</t>
        </is>
      </c>
      <c r="F1981" s="0" t="inlineStr">
        <is>
          <t>NULL</t>
        </is>
      </c>
      <c r="G1981" s="0" t="inlineStr">
        <is>
          <t>NULL</t>
        </is>
      </c>
      <c r="H1981" s="0" t="inlineStr">
        <is>
          <t>NULL</t>
        </is>
      </c>
      <c r="I1981" s="0" t="inlineStr">
        <is>
          <t>NULL</t>
        </is>
      </c>
      <c r="J1981" s="0" t="inlineStr">
        <is>
          <t>NULL</t>
        </is>
      </c>
      <c r="K1981" s="0" t="inlineStr">
        <is>
          <t>YES! 	 c_binary列源备映射正确，源端为binary 1位	期望更改为binary(n)	实际备端为binary 1位</t>
        </is>
      </c>
    </row>
    <row r="1982">
      <c r="B1982" s="0" t="inlineStr">
        <is>
          <t>NULL</t>
        </is>
      </c>
      <c r="C1982" s="0" t="inlineStr">
        <is>
          <t>NULL</t>
        </is>
      </c>
      <c r="D1982" s="0" t="inlineStr">
        <is>
          <t>NULL</t>
        </is>
      </c>
      <c r="E1982" s="0" t="inlineStr">
        <is>
          <t>NULL</t>
        </is>
      </c>
      <c r="F1982" s="0" t="inlineStr">
        <is>
          <t>NULL</t>
        </is>
      </c>
      <c r="G1982" s="0" t="inlineStr">
        <is>
          <t>NULL</t>
        </is>
      </c>
      <c r="H1982" s="0" t="inlineStr">
        <is>
          <t>NULL</t>
        </is>
      </c>
      <c r="I1982" s="0" t="inlineStr">
        <is>
          <t>NULL</t>
        </is>
      </c>
      <c r="J1982" s="0" t="inlineStr">
        <is>
          <t>NULL</t>
        </is>
      </c>
      <c r="K1982" s="0" t="inlineStr">
        <is>
          <t>YES! 	 c_binary_20列源备映射正确，源端为binary 20位	期望更改为binary(n)	实际备端为binary 20位</t>
        </is>
      </c>
    </row>
    <row r="1983">
      <c r="B1983" s="0" t="inlineStr">
        <is>
          <t>NULL</t>
        </is>
      </c>
      <c r="C1983" s="0" t="inlineStr">
        <is>
          <t>NULL</t>
        </is>
      </c>
      <c r="D1983" s="0" t="inlineStr">
        <is>
          <t>NULL</t>
        </is>
      </c>
      <c r="E1983" s="0" t="inlineStr">
        <is>
          <t>NULL</t>
        </is>
      </c>
      <c r="F1983" s="0" t="inlineStr">
        <is>
          <t>NULL</t>
        </is>
      </c>
      <c r="G1983" s="0" t="inlineStr">
        <is>
          <t>NULL</t>
        </is>
      </c>
      <c r="H1983" s="0" t="inlineStr">
        <is>
          <t>NULL</t>
        </is>
      </c>
      <c r="I1983" s="0" t="inlineStr">
        <is>
          <t>NULL</t>
        </is>
      </c>
      <c r="J1983" s="0" t="inlineStr">
        <is>
          <t>NULL</t>
        </is>
      </c>
      <c r="K1983" s="0" t="inlineStr">
        <is>
          <t>YES! 	 c_binary_8000列源备映射正确，源端为binary 8000位	期望更改为binary(n)	实际备端为binary 8000位</t>
        </is>
      </c>
    </row>
    <row r="1984">
      <c r="A1984" s="0" t="inlineStr">
        <is>
          <t>info_geography_dml_single_pk_drp</t>
        </is>
      </c>
      <c r="K1984" s="0" t="inlineStr">
        <is>
          <t>[0;34m info_geography_dml_single_pk_drp [0m源备字段数相同，源端字段：2 	备端字段2</t>
        </is>
      </c>
      <c r="W1984" s="0" t="inlineStr">
        <is>
          <t>YES 源备无差异</t>
        </is>
      </c>
      <c r="X1984" s="0">
        <f>A1984</f>
        <v/>
      </c>
    </row>
    <row r="1985">
      <c r="B1985" s="0" t="inlineStr">
        <is>
          <t>YES</t>
        </is>
      </c>
      <c r="C1985" s="0" t="inlineStr">
        <is>
          <t>NULL</t>
        </is>
      </c>
      <c r="D1985" s="0" t="inlineStr">
        <is>
          <t>NULL</t>
        </is>
      </c>
      <c r="E1985" s="0" t="inlineStr">
        <is>
          <t>NULL</t>
        </is>
      </c>
      <c r="F1985" s="0" t="inlineStr">
        <is>
          <t>NULL</t>
        </is>
      </c>
      <c r="G1985" s="0" t="inlineStr">
        <is>
          <t>NULL</t>
        </is>
      </c>
      <c r="H1985" s="0" t="inlineStr">
        <is>
          <t>NULL</t>
        </is>
      </c>
      <c r="I1985" s="0" t="inlineStr">
        <is>
          <t>YES!PK__info_geo__3213E83FCAF7A129</t>
        </is>
      </c>
      <c r="J1985" s="0" t="inlineStr">
        <is>
          <t>YES! 主键相关索引</t>
        </is>
      </c>
      <c r="K1985" s="0" t="inlineStr">
        <is>
          <t>YES! 	 id列源备映射正确，源端为int None位	期望更改为int	实际备端为int None位</t>
        </is>
      </c>
    </row>
    <row r="1986">
      <c r="B1986" s="0" t="inlineStr">
        <is>
          <t>NULL</t>
        </is>
      </c>
      <c r="C1986" s="0" t="inlineStr">
        <is>
          <t>NULL</t>
        </is>
      </c>
      <c r="D1986" s="0" t="inlineStr">
        <is>
          <t>NULL</t>
        </is>
      </c>
      <c r="E1986" s="0" t="inlineStr">
        <is>
          <t>NULL</t>
        </is>
      </c>
      <c r="F1986" s="0" t="inlineStr">
        <is>
          <t>NULL</t>
        </is>
      </c>
      <c r="G1986" s="0" t="inlineStr">
        <is>
          <t>NULL</t>
        </is>
      </c>
      <c r="H1986" s="0" t="inlineStr">
        <is>
          <t>NULL</t>
        </is>
      </c>
      <c r="I1986" s="0" t="inlineStr">
        <is>
          <t>NULL</t>
        </is>
      </c>
      <c r="J1986" s="0" t="inlineStr">
        <is>
          <t>NULL</t>
        </is>
      </c>
      <c r="K1986" s="0" t="inlineStr">
        <is>
          <t>YES! 	 c_geography列源备映射正确，源端为geography -1位	期望更改为geography	实际备端为geography -1位</t>
        </is>
      </c>
    </row>
    <row r="1987">
      <c r="A1987" s="0" t="inlineStr">
        <is>
          <t>info_date_dml_batch1_pk_drp2</t>
        </is>
      </c>
      <c r="K1987" s="0" t="inlineStr">
        <is>
          <t>[0;34m info_date_dml_batch1_pk_drp2 [0m源备字段数相同，源端字段：2 	备端字段2</t>
        </is>
      </c>
      <c r="W1987" s="0" t="inlineStr">
        <is>
          <t>YES 源备无差异</t>
        </is>
      </c>
      <c r="X1987" s="0">
        <f>A1987</f>
        <v/>
      </c>
    </row>
    <row r="1988">
      <c r="B1988" s="0" t="inlineStr">
        <is>
          <t>YES</t>
        </is>
      </c>
      <c r="C1988" s="0" t="inlineStr">
        <is>
          <t>NULL</t>
        </is>
      </c>
      <c r="D1988" s="0" t="inlineStr">
        <is>
          <t>NULL</t>
        </is>
      </c>
      <c r="E1988" s="0" t="inlineStr">
        <is>
          <t>NULL</t>
        </is>
      </c>
      <c r="F1988" s="0" t="inlineStr">
        <is>
          <t>NULL</t>
        </is>
      </c>
      <c r="G1988" s="0" t="inlineStr">
        <is>
          <t>NULL</t>
        </is>
      </c>
      <c r="H1988" s="0" t="inlineStr">
        <is>
          <t>NULL</t>
        </is>
      </c>
      <c r="I1988" s="0" t="inlineStr">
        <is>
          <t>YES!PK__info_dat__3213E83F25800C71</t>
        </is>
      </c>
      <c r="J1988" s="0" t="inlineStr">
        <is>
          <t>YES! 主键相关索引</t>
        </is>
      </c>
      <c r="K1988" s="0" t="inlineStr">
        <is>
          <t>YES! 	 id列源备映射正确，源端为int None位	期望更改为int	实际备端为int None位</t>
        </is>
      </c>
    </row>
    <row r="1989">
      <c r="B1989" s="0" t="inlineStr">
        <is>
          <t>NULL</t>
        </is>
      </c>
      <c r="C1989" s="0" t="inlineStr">
        <is>
          <t>NULL</t>
        </is>
      </c>
      <c r="D1989" s="0" t="inlineStr">
        <is>
          <t>NULL</t>
        </is>
      </c>
      <c r="E1989" s="0" t="inlineStr">
        <is>
          <t>NULL</t>
        </is>
      </c>
      <c r="F1989" s="0" t="inlineStr">
        <is>
          <t>NULL</t>
        </is>
      </c>
      <c r="G1989" s="0" t="inlineStr">
        <is>
          <t>NULL</t>
        </is>
      </c>
      <c r="H1989" s="0" t="inlineStr">
        <is>
          <t>NULL</t>
        </is>
      </c>
      <c r="I1989" s="0" t="inlineStr">
        <is>
          <t>NULL</t>
        </is>
      </c>
      <c r="J1989" s="0" t="inlineStr">
        <is>
          <t>NULL</t>
        </is>
      </c>
      <c r="K1989" s="0" t="inlineStr">
        <is>
          <t>YES! 	 c_date列源备映射正确，源端为date None位	期望更改为date	实际备端为date None位</t>
        </is>
      </c>
    </row>
    <row r="1990">
      <c r="A1990" s="0" t="inlineStr">
        <is>
          <t>info_varbinary_dml_batch1_pk_irp1</t>
        </is>
      </c>
      <c r="K1990" s="0" t="inlineStr">
        <is>
          <t>[0;34m info_varbinary_dml_batch1_pk_irp1 [0m源备字段数相同，源端字段：4 	备端字段4</t>
        </is>
      </c>
      <c r="W1990" s="0" t="inlineStr">
        <is>
          <t>YES 源备无差异</t>
        </is>
      </c>
      <c r="X1990" s="0">
        <f>A1990</f>
        <v/>
      </c>
    </row>
    <row r="1991">
      <c r="B1991" s="0" t="inlineStr">
        <is>
          <t>YES</t>
        </is>
      </c>
      <c r="C1991" s="0" t="inlineStr">
        <is>
          <t>NULL</t>
        </is>
      </c>
      <c r="D1991" s="0" t="inlineStr">
        <is>
          <t>NULL</t>
        </is>
      </c>
      <c r="E1991" s="0" t="inlineStr">
        <is>
          <t>NULL</t>
        </is>
      </c>
      <c r="F1991" s="0" t="inlineStr">
        <is>
          <t>NULL</t>
        </is>
      </c>
      <c r="G1991" s="0" t="inlineStr">
        <is>
          <t>NULL</t>
        </is>
      </c>
      <c r="H1991" s="0" t="inlineStr">
        <is>
          <t>NULL</t>
        </is>
      </c>
      <c r="I1991" s="0" t="inlineStr">
        <is>
          <t>YES!PK__info_var__3213E83F1C6883B8</t>
        </is>
      </c>
      <c r="J1991" s="0" t="inlineStr">
        <is>
          <t>YES! 主键相关索引</t>
        </is>
      </c>
      <c r="K1991" s="0" t="inlineStr">
        <is>
          <t>YES! 	 id列源备映射正确，源端为int None位	期望更改为int	实际备端为int None位</t>
        </is>
      </c>
    </row>
    <row r="1992">
      <c r="B1992" s="0" t="inlineStr">
        <is>
          <t>NULL</t>
        </is>
      </c>
      <c r="C1992" s="0" t="inlineStr">
        <is>
          <t>NULL</t>
        </is>
      </c>
      <c r="D1992" s="0" t="inlineStr">
        <is>
          <t>NULL</t>
        </is>
      </c>
      <c r="E1992" s="0" t="inlineStr">
        <is>
          <t>NULL</t>
        </is>
      </c>
      <c r="F1992" s="0" t="inlineStr">
        <is>
          <t>NULL</t>
        </is>
      </c>
      <c r="G1992" s="0" t="inlineStr">
        <is>
          <t>NULL</t>
        </is>
      </c>
      <c r="H1992" s="0" t="inlineStr">
        <is>
          <t>NULL</t>
        </is>
      </c>
      <c r="I1992" s="0" t="inlineStr">
        <is>
          <t>NULL</t>
        </is>
      </c>
      <c r="J1992" s="0" t="inlineStr">
        <is>
          <t>NULL</t>
        </is>
      </c>
      <c r="K1992" s="0" t="inlineStr">
        <is>
          <t>YES! 	 c_varbinary列源备映射正确，源端为varbinary 1位	期望更改为varbinary(n)	实际备端为varbinary 1位</t>
        </is>
      </c>
    </row>
    <row r="1993">
      <c r="B1993" s="0" t="inlineStr">
        <is>
          <t>NULL</t>
        </is>
      </c>
      <c r="C1993" s="0" t="inlineStr">
        <is>
          <t>NULL</t>
        </is>
      </c>
      <c r="D1993" s="0" t="inlineStr">
        <is>
          <t>NULL</t>
        </is>
      </c>
      <c r="E1993" s="0" t="inlineStr">
        <is>
          <t>NULL</t>
        </is>
      </c>
      <c r="F1993" s="0" t="inlineStr">
        <is>
          <t>NULL</t>
        </is>
      </c>
      <c r="G1993" s="0" t="inlineStr">
        <is>
          <t>NULL</t>
        </is>
      </c>
      <c r="H1993" s="0" t="inlineStr">
        <is>
          <t>NULL</t>
        </is>
      </c>
      <c r="I1993" s="0" t="inlineStr">
        <is>
          <t>NULL</t>
        </is>
      </c>
      <c r="J1993" s="0" t="inlineStr">
        <is>
          <t>NULL</t>
        </is>
      </c>
      <c r="K1993" s="0" t="inlineStr">
        <is>
          <t>YES! 	 c_varbinary_100列源备映射正确，源端为varbinary 100位	期望更改为varbinary(n)	实际备端为varbinary 100位</t>
        </is>
      </c>
    </row>
    <row r="1994">
      <c r="B1994" s="0" t="inlineStr">
        <is>
          <t>NULL</t>
        </is>
      </c>
      <c r="C1994" s="0" t="inlineStr">
        <is>
          <t>NULL</t>
        </is>
      </c>
      <c r="D1994" s="0" t="inlineStr">
        <is>
          <t>NULL</t>
        </is>
      </c>
      <c r="E1994" s="0" t="inlineStr">
        <is>
          <t>NULL</t>
        </is>
      </c>
      <c r="F1994" s="0" t="inlineStr">
        <is>
          <t>NULL</t>
        </is>
      </c>
      <c r="G1994" s="0" t="inlineStr">
        <is>
          <t>NULL</t>
        </is>
      </c>
      <c r="H1994" s="0" t="inlineStr">
        <is>
          <t>NULL</t>
        </is>
      </c>
      <c r="I1994" s="0" t="inlineStr">
        <is>
          <t>NULL</t>
        </is>
      </c>
      <c r="J1994" s="0" t="inlineStr">
        <is>
          <t>NULL</t>
        </is>
      </c>
      <c r="K1994" s="0" t="inlineStr">
        <is>
          <t>YES! 	 c_varbinary_8000列源备映射正确，源端为varbinary 8000位	期望更改为varbinary(n)	实际备端为varbinary 8000位</t>
        </is>
      </c>
    </row>
    <row r="1995">
      <c r="A1995" s="0" t="inlineStr">
        <is>
          <t>info_geography_dml_single_pk</t>
        </is>
      </c>
      <c r="K1995" s="0" t="inlineStr">
        <is>
          <t>[0;34m info_geography_dml_single_pk [0m源备字段数相同，源端字段：2 	备端字段2</t>
        </is>
      </c>
      <c r="W1995" s="0" t="inlineStr">
        <is>
          <t>YES 源备无差异</t>
        </is>
      </c>
      <c r="X1995" s="0">
        <f>A1995</f>
        <v/>
      </c>
    </row>
    <row r="1996">
      <c r="B1996" s="0" t="inlineStr">
        <is>
          <t>YES</t>
        </is>
      </c>
      <c r="C1996" s="0" t="inlineStr">
        <is>
          <t>NULL</t>
        </is>
      </c>
      <c r="D1996" s="0" t="inlineStr">
        <is>
          <t>NULL</t>
        </is>
      </c>
      <c r="E1996" s="0" t="inlineStr">
        <is>
          <t>NULL</t>
        </is>
      </c>
      <c r="F1996" s="0" t="inlineStr">
        <is>
          <t>NULL</t>
        </is>
      </c>
      <c r="G1996" s="0" t="inlineStr">
        <is>
          <t>NULL</t>
        </is>
      </c>
      <c r="H1996" s="0" t="inlineStr">
        <is>
          <t>NULL</t>
        </is>
      </c>
      <c r="I1996" s="0" t="inlineStr">
        <is>
          <t>YES!PK__info_geo__3213E83FFD6B584B</t>
        </is>
      </c>
      <c r="J1996" s="0" t="inlineStr">
        <is>
          <t>YES! 主键相关索引</t>
        </is>
      </c>
      <c r="K1996" s="0" t="inlineStr">
        <is>
          <t>YES! 	 id列源备映射正确，源端为int None位	期望更改为int	实际备端为int None位</t>
        </is>
      </c>
    </row>
    <row r="1997">
      <c r="B1997" s="0" t="inlineStr">
        <is>
          <t>NULL</t>
        </is>
      </c>
      <c r="C1997" s="0" t="inlineStr">
        <is>
          <t>NULL</t>
        </is>
      </c>
      <c r="D1997" s="0" t="inlineStr">
        <is>
          <t>NULL</t>
        </is>
      </c>
      <c r="E1997" s="0" t="inlineStr">
        <is>
          <t>NULL</t>
        </is>
      </c>
      <c r="F1997" s="0" t="inlineStr">
        <is>
          <t>NULL</t>
        </is>
      </c>
      <c r="G1997" s="0" t="inlineStr">
        <is>
          <t>NULL</t>
        </is>
      </c>
      <c r="H1997" s="0" t="inlineStr">
        <is>
          <t>NULL</t>
        </is>
      </c>
      <c r="I1997" s="0" t="inlineStr">
        <is>
          <t>NULL</t>
        </is>
      </c>
      <c r="J1997" s="0" t="inlineStr">
        <is>
          <t>NULL</t>
        </is>
      </c>
      <c r="K1997" s="0" t="inlineStr">
        <is>
          <t>YES! 	 c_geography列源备映射正确，源端为geography -1位	期望更改为geography	实际备端为geography -1位</t>
        </is>
      </c>
    </row>
    <row r="1998">
      <c r="A1998" s="0" t="inlineStr">
        <is>
          <t>info_date_dml_batch1_pk</t>
        </is>
      </c>
      <c r="K1998" s="0" t="inlineStr">
        <is>
          <t>[0;34m info_date_dml_batch1_pk [0m源备字段数相同，源端字段：2 	备端字段2</t>
        </is>
      </c>
      <c r="W1998" s="0" t="inlineStr">
        <is>
          <t>YES 源备无差异</t>
        </is>
      </c>
      <c r="X1998" s="0">
        <f>A1998</f>
        <v/>
      </c>
    </row>
    <row r="1999">
      <c r="B1999" s="0" t="inlineStr">
        <is>
          <t>YES</t>
        </is>
      </c>
      <c r="C1999" s="0" t="inlineStr">
        <is>
          <t>NULL</t>
        </is>
      </c>
      <c r="D1999" s="0" t="inlineStr">
        <is>
          <t>NULL</t>
        </is>
      </c>
      <c r="E1999" s="0" t="inlineStr">
        <is>
          <t>NULL</t>
        </is>
      </c>
      <c r="F1999" s="0" t="inlineStr">
        <is>
          <t>NULL</t>
        </is>
      </c>
      <c r="G1999" s="0" t="inlineStr">
        <is>
          <t>NULL</t>
        </is>
      </c>
      <c r="H1999" s="0" t="inlineStr">
        <is>
          <t>NULL</t>
        </is>
      </c>
      <c r="I1999" s="0" t="inlineStr">
        <is>
          <t>YES!PK__info_dat__3213E83F49C2F59F</t>
        </is>
      </c>
      <c r="J1999" s="0" t="inlineStr">
        <is>
          <t>YES! 主键相关索引</t>
        </is>
      </c>
      <c r="K1999" s="0" t="inlineStr">
        <is>
          <t>YES! 	 id列源备映射正确，源端为int None位	期望更改为int	实际备端为int None位</t>
        </is>
      </c>
    </row>
    <row r="2000">
      <c r="B2000" s="0" t="inlineStr">
        <is>
          <t>NULL</t>
        </is>
      </c>
      <c r="C2000" s="0" t="inlineStr">
        <is>
          <t>NULL</t>
        </is>
      </c>
      <c r="D2000" s="0" t="inlineStr">
        <is>
          <t>NULL</t>
        </is>
      </c>
      <c r="E2000" s="0" t="inlineStr">
        <is>
          <t>NULL</t>
        </is>
      </c>
      <c r="F2000" s="0" t="inlineStr">
        <is>
          <t>NULL</t>
        </is>
      </c>
      <c r="G2000" s="0" t="inlineStr">
        <is>
          <t>NULL</t>
        </is>
      </c>
      <c r="H2000" s="0" t="inlineStr">
        <is>
          <t>NULL</t>
        </is>
      </c>
      <c r="I2000" s="0" t="inlineStr">
        <is>
          <t>NULL</t>
        </is>
      </c>
      <c r="J2000" s="0" t="inlineStr">
        <is>
          <t>NULL</t>
        </is>
      </c>
      <c r="K2000" s="0" t="inlineStr">
        <is>
          <t>YES! 	 c_date列源备映射正确，源端为date None位	期望更改为date	实际备端为date None位</t>
        </is>
      </c>
    </row>
    <row r="2001">
      <c r="A2001" s="0" t="inlineStr">
        <is>
          <t>info_varbinary_dml_batch1_pk_irp2</t>
        </is>
      </c>
      <c r="K2001" s="0" t="inlineStr">
        <is>
          <t>[0;34m info_varbinary_dml_batch1_pk_irp2 [0m源备字段数相同，源端字段：4 	备端字段4</t>
        </is>
      </c>
      <c r="W2001" s="0" t="inlineStr">
        <is>
          <t>YES 源备无差异</t>
        </is>
      </c>
      <c r="X2001" s="0">
        <f>A2001</f>
        <v/>
      </c>
    </row>
    <row r="2002">
      <c r="B2002" s="0" t="inlineStr">
        <is>
          <t>YES</t>
        </is>
      </c>
      <c r="C2002" s="0" t="inlineStr">
        <is>
          <t>NULL</t>
        </is>
      </c>
      <c r="D2002" s="0" t="inlineStr">
        <is>
          <t>NULL</t>
        </is>
      </c>
      <c r="E2002" s="0" t="inlineStr">
        <is>
          <t>NULL</t>
        </is>
      </c>
      <c r="F2002" s="0" t="inlineStr">
        <is>
          <t>NULL</t>
        </is>
      </c>
      <c r="G2002" s="0" t="inlineStr">
        <is>
          <t>NULL</t>
        </is>
      </c>
      <c r="H2002" s="0" t="inlineStr">
        <is>
          <t>NULL</t>
        </is>
      </c>
      <c r="I2002" s="0" t="inlineStr">
        <is>
          <t>YES!PK__info_var__3213E83F34D14596</t>
        </is>
      </c>
      <c r="J2002" s="0" t="inlineStr">
        <is>
          <t>YES! 主键相关索引</t>
        </is>
      </c>
      <c r="K2002" s="0" t="inlineStr">
        <is>
          <t>YES! 	 id列源备映射正确，源端为int None位	期望更改为int	实际备端为int None位</t>
        </is>
      </c>
    </row>
    <row r="2003">
      <c r="B2003" s="0" t="inlineStr">
        <is>
          <t>NULL</t>
        </is>
      </c>
      <c r="C2003" s="0" t="inlineStr">
        <is>
          <t>NULL</t>
        </is>
      </c>
      <c r="D2003" s="0" t="inlineStr">
        <is>
          <t>NULL</t>
        </is>
      </c>
      <c r="E2003" s="0" t="inlineStr">
        <is>
          <t>NULL</t>
        </is>
      </c>
      <c r="F2003" s="0" t="inlineStr">
        <is>
          <t>NULL</t>
        </is>
      </c>
      <c r="G2003" s="0" t="inlineStr">
        <is>
          <t>NULL</t>
        </is>
      </c>
      <c r="H2003" s="0" t="inlineStr">
        <is>
          <t>NULL</t>
        </is>
      </c>
      <c r="I2003" s="0" t="inlineStr">
        <is>
          <t>NULL</t>
        </is>
      </c>
      <c r="J2003" s="0" t="inlineStr">
        <is>
          <t>NULL</t>
        </is>
      </c>
      <c r="K2003" s="0" t="inlineStr">
        <is>
          <t>YES! 	 c_varbinary列源备映射正确，源端为varbinary 1位	期望更改为varbinary(n)	实际备端为varbinary 1位</t>
        </is>
      </c>
    </row>
    <row r="2004">
      <c r="B2004" s="0" t="inlineStr">
        <is>
          <t>NULL</t>
        </is>
      </c>
      <c r="C2004" s="0" t="inlineStr">
        <is>
          <t>NULL</t>
        </is>
      </c>
      <c r="D2004" s="0" t="inlineStr">
        <is>
          <t>NULL</t>
        </is>
      </c>
      <c r="E2004" s="0" t="inlineStr">
        <is>
          <t>NULL</t>
        </is>
      </c>
      <c r="F2004" s="0" t="inlineStr">
        <is>
          <t>NULL</t>
        </is>
      </c>
      <c r="G2004" s="0" t="inlineStr">
        <is>
          <t>NULL</t>
        </is>
      </c>
      <c r="H2004" s="0" t="inlineStr">
        <is>
          <t>NULL</t>
        </is>
      </c>
      <c r="I2004" s="0" t="inlineStr">
        <is>
          <t>NULL</t>
        </is>
      </c>
      <c r="J2004" s="0" t="inlineStr">
        <is>
          <t>NULL</t>
        </is>
      </c>
      <c r="K2004" s="0" t="inlineStr">
        <is>
          <t>YES! 	 c_varbinary_100列源备映射正确，源端为varbinary 100位	期望更改为varbinary(n)	实际备端为varbinary 100位</t>
        </is>
      </c>
    </row>
    <row r="2005">
      <c r="B2005" s="0" t="inlineStr">
        <is>
          <t>NULL</t>
        </is>
      </c>
      <c r="C2005" s="0" t="inlineStr">
        <is>
          <t>NULL</t>
        </is>
      </c>
      <c r="D2005" s="0" t="inlineStr">
        <is>
          <t>NULL</t>
        </is>
      </c>
      <c r="E2005" s="0" t="inlineStr">
        <is>
          <t>NULL</t>
        </is>
      </c>
      <c r="F2005" s="0" t="inlineStr">
        <is>
          <t>NULL</t>
        </is>
      </c>
      <c r="G2005" s="0" t="inlineStr">
        <is>
          <t>NULL</t>
        </is>
      </c>
      <c r="H2005" s="0" t="inlineStr">
        <is>
          <t>NULL</t>
        </is>
      </c>
      <c r="I2005" s="0" t="inlineStr">
        <is>
          <t>NULL</t>
        </is>
      </c>
      <c r="J2005" s="0" t="inlineStr">
        <is>
          <t>NULL</t>
        </is>
      </c>
      <c r="K2005" s="0" t="inlineStr">
        <is>
          <t>YES! 	 c_varbinary_8000列源备映射正确，源端为varbinary 8000位	期望更改为varbinary(n)	实际备端为varbinary 8000位</t>
        </is>
      </c>
    </row>
    <row r="2006">
      <c r="A2006" s="0" t="inlineStr">
        <is>
          <t>info_geometry_dml_single_pk_irp</t>
        </is>
      </c>
      <c r="K2006" s="0" t="inlineStr">
        <is>
          <t>[0;34m info_geometry_dml_single_pk_irp [0m源备字段数相同，源端字段：2 	备端字段2</t>
        </is>
      </c>
      <c r="W2006" s="0" t="inlineStr">
        <is>
          <t>YES 源备无差异</t>
        </is>
      </c>
      <c r="X2006" s="0">
        <f>A2006</f>
        <v/>
      </c>
    </row>
    <row r="2007">
      <c r="B2007" s="0" t="inlineStr">
        <is>
          <t>YES</t>
        </is>
      </c>
      <c r="C2007" s="0" t="inlineStr">
        <is>
          <t>NULL</t>
        </is>
      </c>
      <c r="D2007" s="0" t="inlineStr">
        <is>
          <t>NULL</t>
        </is>
      </c>
      <c r="E2007" s="0" t="inlineStr">
        <is>
          <t>NULL</t>
        </is>
      </c>
      <c r="F2007" s="0" t="inlineStr">
        <is>
          <t>NULL</t>
        </is>
      </c>
      <c r="G2007" s="0" t="inlineStr">
        <is>
          <t>NULL</t>
        </is>
      </c>
      <c r="H2007" s="0" t="inlineStr">
        <is>
          <t>NULL</t>
        </is>
      </c>
      <c r="I2007" s="0" t="inlineStr">
        <is>
          <t>YES!PK__info_geo__3213E83F064D017F</t>
        </is>
      </c>
      <c r="J2007" s="0" t="inlineStr">
        <is>
          <t>YES! 主键相关索引</t>
        </is>
      </c>
      <c r="K2007" s="0" t="inlineStr">
        <is>
          <t>YES! 	 id列源备映射正确，源端为int None位	期望更改为int	实际备端为int None位</t>
        </is>
      </c>
    </row>
    <row r="2008">
      <c r="B2008" s="0" t="inlineStr">
        <is>
          <t>NULL</t>
        </is>
      </c>
      <c r="C2008" s="0" t="inlineStr">
        <is>
          <t>NULL</t>
        </is>
      </c>
      <c r="D2008" s="0" t="inlineStr">
        <is>
          <t>NULL</t>
        </is>
      </c>
      <c r="E2008" s="0" t="inlineStr">
        <is>
          <t>NULL</t>
        </is>
      </c>
      <c r="F2008" s="0" t="inlineStr">
        <is>
          <t>NULL</t>
        </is>
      </c>
      <c r="G2008" s="0" t="inlineStr">
        <is>
          <t>NULL</t>
        </is>
      </c>
      <c r="H2008" s="0" t="inlineStr">
        <is>
          <t>NULL</t>
        </is>
      </c>
      <c r="I2008" s="0" t="inlineStr">
        <is>
          <t>NULL</t>
        </is>
      </c>
      <c r="J2008" s="0" t="inlineStr">
        <is>
          <t>NULL</t>
        </is>
      </c>
      <c r="K2008" s="0" t="inlineStr">
        <is>
          <t>YES! 	 c_geometry列源备映射正确，源端为geometry -1位	期望更改为geometry	实际备端为geometry -1位</t>
        </is>
      </c>
    </row>
    <row r="2009">
      <c r="A2009" s="0" t="inlineStr">
        <is>
          <t>info_time_dml_batch1_pk_irp1</t>
        </is>
      </c>
      <c r="K2009" s="0" t="inlineStr">
        <is>
          <t>[0;34m info_time_dml_batch1_pk_irp1 [0m源备字段数相同，源端字段：9 	备端字段9</t>
        </is>
      </c>
      <c r="W2009" s="0" t="inlineStr">
        <is>
          <t>YES 源备无差异</t>
        </is>
      </c>
      <c r="X2009" s="0">
        <f>A2009</f>
        <v/>
      </c>
    </row>
    <row r="2010">
      <c r="B2010" s="0" t="inlineStr">
        <is>
          <t>YES</t>
        </is>
      </c>
      <c r="C2010" s="0" t="inlineStr">
        <is>
          <t>NULL</t>
        </is>
      </c>
      <c r="D2010" s="0" t="inlineStr">
        <is>
          <t>NULL</t>
        </is>
      </c>
      <c r="E2010" s="0" t="inlineStr">
        <is>
          <t>NULL</t>
        </is>
      </c>
      <c r="F2010" s="0" t="inlineStr">
        <is>
          <t>NULL</t>
        </is>
      </c>
      <c r="G2010" s="0" t="inlineStr">
        <is>
          <t>NULL</t>
        </is>
      </c>
      <c r="H2010" s="0" t="inlineStr">
        <is>
          <t>NULL</t>
        </is>
      </c>
      <c r="I2010" s="0" t="inlineStr">
        <is>
          <t>YES!PK__info_tim__3213E83FE72A75AF</t>
        </is>
      </c>
      <c r="J2010" s="0" t="inlineStr">
        <is>
          <t>YES! 主键相关索引</t>
        </is>
      </c>
      <c r="K2010" s="0" t="inlineStr">
        <is>
          <t>YES! 	 id列源备映射正确，源端为int None位	期望更改为int	实际备端为int None位</t>
        </is>
      </c>
    </row>
    <row r="2011">
      <c r="B2011" s="0" t="inlineStr">
        <is>
          <t>NULL</t>
        </is>
      </c>
      <c r="C2011" s="0" t="inlineStr">
        <is>
          <t>NULL</t>
        </is>
      </c>
      <c r="D2011" s="0" t="inlineStr">
        <is>
          <t>NULL</t>
        </is>
      </c>
      <c r="E2011" s="0" t="inlineStr">
        <is>
          <t>NULL</t>
        </is>
      </c>
      <c r="F2011" s="0" t="inlineStr">
        <is>
          <t>NULL</t>
        </is>
      </c>
      <c r="G2011" s="0" t="inlineStr">
        <is>
          <t>NULL</t>
        </is>
      </c>
      <c r="H2011" s="0" t="inlineStr">
        <is>
          <t>NULL</t>
        </is>
      </c>
      <c r="I2011" s="0" t="inlineStr">
        <is>
          <t>NULL</t>
        </is>
      </c>
      <c r="J2011" s="0" t="inlineStr">
        <is>
          <t>NULL</t>
        </is>
      </c>
      <c r="K2011" s="0" t="inlineStr">
        <is>
          <t>no,len不存在</t>
        </is>
      </c>
    </row>
    <row r="2012">
      <c r="B2012" s="0" t="inlineStr">
        <is>
          <t>NULL</t>
        </is>
      </c>
      <c r="C2012" s="0" t="inlineStr">
        <is>
          <t>NULL</t>
        </is>
      </c>
      <c r="D2012" s="0" t="inlineStr">
        <is>
          <t>NULL</t>
        </is>
      </c>
      <c r="E2012" s="0" t="inlineStr">
        <is>
          <t>NULL</t>
        </is>
      </c>
      <c r="F2012" s="0" t="inlineStr">
        <is>
          <t>NULL</t>
        </is>
      </c>
      <c r="G2012" s="0" t="inlineStr">
        <is>
          <t>NULL</t>
        </is>
      </c>
      <c r="H2012" s="0" t="inlineStr">
        <is>
          <t>NULL</t>
        </is>
      </c>
      <c r="I2012" s="0" t="inlineStr">
        <is>
          <t>NULL</t>
        </is>
      </c>
      <c r="J2012" s="0" t="inlineStr">
        <is>
          <t>NULL</t>
        </is>
      </c>
      <c r="K2012" s="0" t="inlineStr">
        <is>
          <t>YES! 	 c_time1列源备映射正确，源端为time None位	期望更改为time(n)	实际备端为time None位</t>
        </is>
      </c>
    </row>
    <row r="2013">
      <c r="B2013" s="0" t="inlineStr">
        <is>
          <t>NULL</t>
        </is>
      </c>
      <c r="C2013" s="0" t="inlineStr">
        <is>
          <t>NULL</t>
        </is>
      </c>
      <c r="D2013" s="0" t="inlineStr">
        <is>
          <t>NULL</t>
        </is>
      </c>
      <c r="E2013" s="0" t="inlineStr">
        <is>
          <t>NULL</t>
        </is>
      </c>
      <c r="F2013" s="0" t="inlineStr">
        <is>
          <t>NULL</t>
        </is>
      </c>
      <c r="G2013" s="0" t="inlineStr">
        <is>
          <t>NULL</t>
        </is>
      </c>
      <c r="H2013" s="0" t="inlineStr">
        <is>
          <t>NULL</t>
        </is>
      </c>
      <c r="I2013" s="0" t="inlineStr">
        <is>
          <t>NULL</t>
        </is>
      </c>
      <c r="J2013" s="0" t="inlineStr">
        <is>
          <t>NULL</t>
        </is>
      </c>
      <c r="K2013" s="0" t="inlineStr">
        <is>
          <t>YES! 	 c_time2列源备映射正确，源端为time None位	期望更改为time(n)	实际备端为time None位</t>
        </is>
      </c>
    </row>
    <row r="2014">
      <c r="B2014" s="0" t="inlineStr">
        <is>
          <t>NULL</t>
        </is>
      </c>
      <c r="C2014" s="0" t="inlineStr">
        <is>
          <t>NULL</t>
        </is>
      </c>
      <c r="D2014" s="0" t="inlineStr">
        <is>
          <t>NULL</t>
        </is>
      </c>
      <c r="E2014" s="0" t="inlineStr">
        <is>
          <t>NULL</t>
        </is>
      </c>
      <c r="F2014" s="0" t="inlineStr">
        <is>
          <t>NULL</t>
        </is>
      </c>
      <c r="G2014" s="0" t="inlineStr">
        <is>
          <t>NULL</t>
        </is>
      </c>
      <c r="H2014" s="0" t="inlineStr">
        <is>
          <t>NULL</t>
        </is>
      </c>
      <c r="I2014" s="0" t="inlineStr">
        <is>
          <t>NULL</t>
        </is>
      </c>
      <c r="J2014" s="0" t="inlineStr">
        <is>
          <t>NULL</t>
        </is>
      </c>
      <c r="K2014" s="0" t="inlineStr">
        <is>
          <t>YES! 	 c_time3列源备映射正确，源端为time None位	期望更改为time(n)	实际备端为time None位</t>
        </is>
      </c>
    </row>
    <row r="2015">
      <c r="B2015" s="0" t="inlineStr">
        <is>
          <t>NULL</t>
        </is>
      </c>
      <c r="C2015" s="0" t="inlineStr">
        <is>
          <t>NULL</t>
        </is>
      </c>
      <c r="D2015" s="0" t="inlineStr">
        <is>
          <t>NULL</t>
        </is>
      </c>
      <c r="E2015" s="0" t="inlineStr">
        <is>
          <t>NULL</t>
        </is>
      </c>
      <c r="F2015" s="0" t="inlineStr">
        <is>
          <t>NULL</t>
        </is>
      </c>
      <c r="G2015" s="0" t="inlineStr">
        <is>
          <t>NULL</t>
        </is>
      </c>
      <c r="H2015" s="0" t="inlineStr">
        <is>
          <t>NULL</t>
        </is>
      </c>
      <c r="I2015" s="0" t="inlineStr">
        <is>
          <t>NULL</t>
        </is>
      </c>
      <c r="J2015" s="0" t="inlineStr">
        <is>
          <t>NULL</t>
        </is>
      </c>
      <c r="K2015" s="0" t="inlineStr">
        <is>
          <t>YES! 	 c_time4列源备映射正确，源端为time None位	期望更改为time(n)	实际备端为time None位</t>
        </is>
      </c>
    </row>
    <row r="2016">
      <c r="B2016" s="0" t="inlineStr">
        <is>
          <t>NULL</t>
        </is>
      </c>
      <c r="C2016" s="0" t="inlineStr">
        <is>
          <t>NULL</t>
        </is>
      </c>
      <c r="D2016" s="0" t="inlineStr">
        <is>
          <t>NULL</t>
        </is>
      </c>
      <c r="E2016" s="0" t="inlineStr">
        <is>
          <t>NULL</t>
        </is>
      </c>
      <c r="F2016" s="0" t="inlineStr">
        <is>
          <t>NULL</t>
        </is>
      </c>
      <c r="G2016" s="0" t="inlineStr">
        <is>
          <t>NULL</t>
        </is>
      </c>
      <c r="H2016" s="0" t="inlineStr">
        <is>
          <t>NULL</t>
        </is>
      </c>
      <c r="I2016" s="0" t="inlineStr">
        <is>
          <t>NULL</t>
        </is>
      </c>
      <c r="J2016" s="0" t="inlineStr">
        <is>
          <t>NULL</t>
        </is>
      </c>
      <c r="K2016" s="0" t="inlineStr">
        <is>
          <t>YES! 	 c_time5列源备映射正确，源端为time None位	期望更改为time(n)	实际备端为time None位</t>
        </is>
      </c>
    </row>
    <row r="2017">
      <c r="B2017" s="0" t="inlineStr">
        <is>
          <t>NULL</t>
        </is>
      </c>
      <c r="C2017" s="0" t="inlineStr">
        <is>
          <t>NULL</t>
        </is>
      </c>
      <c r="D2017" s="0" t="inlineStr">
        <is>
          <t>NULL</t>
        </is>
      </c>
      <c r="E2017" s="0" t="inlineStr">
        <is>
          <t>NULL</t>
        </is>
      </c>
      <c r="F2017" s="0" t="inlineStr">
        <is>
          <t>NULL</t>
        </is>
      </c>
      <c r="G2017" s="0" t="inlineStr">
        <is>
          <t>NULL</t>
        </is>
      </c>
      <c r="H2017" s="0" t="inlineStr">
        <is>
          <t>NULL</t>
        </is>
      </c>
      <c r="I2017" s="0" t="inlineStr">
        <is>
          <t>NULL</t>
        </is>
      </c>
      <c r="J2017" s="0" t="inlineStr">
        <is>
          <t>NULL</t>
        </is>
      </c>
      <c r="K2017" s="0" t="inlineStr">
        <is>
          <t>YES! 	 c_time6列源备映射正确，源端为time None位	期望更改为time(n)	实际备端为time None位</t>
        </is>
      </c>
    </row>
    <row r="2018">
      <c r="B2018" s="0" t="inlineStr">
        <is>
          <t>NULL</t>
        </is>
      </c>
      <c r="C2018" s="0" t="inlineStr">
        <is>
          <t>NULL</t>
        </is>
      </c>
      <c r="D2018" s="0" t="inlineStr">
        <is>
          <t>NULL</t>
        </is>
      </c>
      <c r="E2018" s="0" t="inlineStr">
        <is>
          <t>NULL</t>
        </is>
      </c>
      <c r="F2018" s="0" t="inlineStr">
        <is>
          <t>NULL</t>
        </is>
      </c>
      <c r="G2018" s="0" t="inlineStr">
        <is>
          <t>NULL</t>
        </is>
      </c>
      <c r="H2018" s="0" t="inlineStr">
        <is>
          <t>NULL</t>
        </is>
      </c>
      <c r="I2018" s="0" t="inlineStr">
        <is>
          <t>NULL</t>
        </is>
      </c>
      <c r="J2018" s="0" t="inlineStr">
        <is>
          <t>NULL</t>
        </is>
      </c>
      <c r="K2018" s="0" t="inlineStr">
        <is>
          <t>YES! 	 c_time列源备映射正确，源端为time None位	期望更改为time(n)	实际备端为time None位</t>
        </is>
      </c>
    </row>
    <row r="2019">
      <c r="A2019" s="0" t="inlineStr">
        <is>
          <t>info_varbinary_dml_batch2_pk_irp1</t>
        </is>
      </c>
      <c r="K2019" s="0" t="inlineStr">
        <is>
          <t>[0;34m info_varbinary_dml_batch2_pk_irp1 [0m源备字段数相同，源端字段：4 	备端字段4</t>
        </is>
      </c>
      <c r="W2019" s="0" t="inlineStr">
        <is>
          <t>YES 源备无差异</t>
        </is>
      </c>
      <c r="X2019" s="0">
        <f>A2019</f>
        <v/>
      </c>
    </row>
    <row r="2020">
      <c r="B2020" s="0" t="inlineStr">
        <is>
          <t>YES</t>
        </is>
      </c>
      <c r="C2020" s="0" t="inlineStr">
        <is>
          <t>NULL</t>
        </is>
      </c>
      <c r="D2020" s="0" t="inlineStr">
        <is>
          <t>NULL</t>
        </is>
      </c>
      <c r="E2020" s="0" t="inlineStr">
        <is>
          <t>NULL</t>
        </is>
      </c>
      <c r="F2020" s="0" t="inlineStr">
        <is>
          <t>NULL</t>
        </is>
      </c>
      <c r="G2020" s="0" t="inlineStr">
        <is>
          <t>NULL</t>
        </is>
      </c>
      <c r="H2020" s="0" t="inlineStr">
        <is>
          <t>NULL</t>
        </is>
      </c>
      <c r="I2020" s="0" t="inlineStr">
        <is>
          <t>YES!PK__info_var__3213E83F593F6778</t>
        </is>
      </c>
      <c r="J2020" s="0" t="inlineStr">
        <is>
          <t>YES! 主键相关索引</t>
        </is>
      </c>
      <c r="K2020" s="0" t="inlineStr">
        <is>
          <t>YES! 	 id列源备映射正确，源端为int None位	期望更改为int	实际备端为int None位</t>
        </is>
      </c>
    </row>
    <row r="2021">
      <c r="B2021" s="0" t="inlineStr">
        <is>
          <t>NULL</t>
        </is>
      </c>
      <c r="C2021" s="0" t="inlineStr">
        <is>
          <t>NULL</t>
        </is>
      </c>
      <c r="D2021" s="0" t="inlineStr">
        <is>
          <t>NULL</t>
        </is>
      </c>
      <c r="E2021" s="0" t="inlineStr">
        <is>
          <t>NULL</t>
        </is>
      </c>
      <c r="F2021" s="0" t="inlineStr">
        <is>
          <t>NULL</t>
        </is>
      </c>
      <c r="G2021" s="0" t="inlineStr">
        <is>
          <t>NULL</t>
        </is>
      </c>
      <c r="H2021" s="0" t="inlineStr">
        <is>
          <t>NULL</t>
        </is>
      </c>
      <c r="I2021" s="0" t="inlineStr">
        <is>
          <t>NULL</t>
        </is>
      </c>
      <c r="J2021" s="0" t="inlineStr">
        <is>
          <t>NULL</t>
        </is>
      </c>
      <c r="K2021" s="0" t="inlineStr">
        <is>
          <t>YES! 	 c_varbinary列源备映射正确，源端为varbinary 1位	期望更改为varbinary(n)	实际备端为varbinary 1位</t>
        </is>
      </c>
    </row>
    <row r="2022">
      <c r="B2022" s="0" t="inlineStr">
        <is>
          <t>NULL</t>
        </is>
      </c>
      <c r="C2022" s="0" t="inlineStr">
        <is>
          <t>NULL</t>
        </is>
      </c>
      <c r="D2022" s="0" t="inlineStr">
        <is>
          <t>NULL</t>
        </is>
      </c>
      <c r="E2022" s="0" t="inlineStr">
        <is>
          <t>NULL</t>
        </is>
      </c>
      <c r="F2022" s="0" t="inlineStr">
        <is>
          <t>NULL</t>
        </is>
      </c>
      <c r="G2022" s="0" t="inlineStr">
        <is>
          <t>NULL</t>
        </is>
      </c>
      <c r="H2022" s="0" t="inlineStr">
        <is>
          <t>NULL</t>
        </is>
      </c>
      <c r="I2022" s="0" t="inlineStr">
        <is>
          <t>NULL</t>
        </is>
      </c>
      <c r="J2022" s="0" t="inlineStr">
        <is>
          <t>NULL</t>
        </is>
      </c>
      <c r="K2022" s="0" t="inlineStr">
        <is>
          <t>YES! 	 c_varbinary_100列源备映射正确，源端为varbinary 100位	期望更改为varbinary(n)	实际备端为varbinary 100位</t>
        </is>
      </c>
    </row>
    <row r="2023">
      <c r="B2023" s="0" t="inlineStr">
        <is>
          <t>NULL</t>
        </is>
      </c>
      <c r="C2023" s="0" t="inlineStr">
        <is>
          <t>NULL</t>
        </is>
      </c>
      <c r="D2023" s="0" t="inlineStr">
        <is>
          <t>NULL</t>
        </is>
      </c>
      <c r="E2023" s="0" t="inlineStr">
        <is>
          <t>NULL</t>
        </is>
      </c>
      <c r="F2023" s="0" t="inlineStr">
        <is>
          <t>NULL</t>
        </is>
      </c>
      <c r="G2023" s="0" t="inlineStr">
        <is>
          <t>NULL</t>
        </is>
      </c>
      <c r="H2023" s="0" t="inlineStr">
        <is>
          <t>NULL</t>
        </is>
      </c>
      <c r="I2023" s="0" t="inlineStr">
        <is>
          <t>NULL</t>
        </is>
      </c>
      <c r="J2023" s="0" t="inlineStr">
        <is>
          <t>NULL</t>
        </is>
      </c>
      <c r="K2023" s="0" t="inlineStr">
        <is>
          <t>YES! 	 c_varbinary_8000列源备映射正确，源端为varbinary 8000位	期望更改为varbinary(n)	实际备端为varbinary 8000位</t>
        </is>
      </c>
    </row>
  </sheetData>
  <mergeCells count="303">
    <mergeCell ref="A645:A649"/>
    <mergeCell ref="A1098:A1100"/>
    <mergeCell ref="A1548:A1557"/>
    <mergeCell ref="A744:A746"/>
    <mergeCell ref="A1054:A1063"/>
    <mergeCell ref="A1667:A1671"/>
    <mergeCell ref="A859:A884"/>
    <mergeCell ref="A1987:A1989"/>
    <mergeCell ref="A265:A267"/>
    <mergeCell ref="A1029:A1032"/>
    <mergeCell ref="A26:A30"/>
    <mergeCell ref="A1334:A1338"/>
    <mergeCell ref="A1004:A1006"/>
    <mergeCell ref="A633:A635"/>
    <mergeCell ref="A900:A909"/>
    <mergeCell ref="A1388:A1398"/>
    <mergeCell ref="A1122:A1126"/>
    <mergeCell ref="A152:A156"/>
    <mergeCell ref="A1483:A1492"/>
    <mergeCell ref="A2009:A2018"/>
    <mergeCell ref="A36:A45"/>
    <mergeCell ref="A77:A81"/>
    <mergeCell ref="A201:A205"/>
    <mergeCell ref="A1021:A1023"/>
    <mergeCell ref="A735:A739"/>
    <mergeCell ref="A848:A852"/>
    <mergeCell ref="A173:A175"/>
    <mergeCell ref="A31:A35"/>
    <mergeCell ref="A1046:A1048"/>
    <mergeCell ref="A1910:A1914"/>
    <mergeCell ref="A1932:A1936"/>
    <mergeCell ref="A1843:A1863"/>
    <mergeCell ref="A338:A342"/>
    <mergeCell ref="A421:A425"/>
    <mergeCell ref="A157:A159"/>
    <mergeCell ref="A641:A644"/>
    <mergeCell ref="A663:A667"/>
    <mergeCell ref="A1425:A1427"/>
    <mergeCell ref="A1508:A1517"/>
    <mergeCell ref="A1894:A1898"/>
    <mergeCell ref="A1958:A1960"/>
    <mergeCell ref="A1706:A1726"/>
    <mergeCell ref="A563:A588"/>
    <mergeCell ref="A628:A632"/>
    <mergeCell ref="A1568:A1577"/>
    <mergeCell ref="A1602:A1611"/>
    <mergeCell ref="A1902:A1906"/>
    <mergeCell ref="A740:A743"/>
    <mergeCell ref="A482:A507"/>
    <mergeCell ref="A1701:A1705"/>
    <mergeCell ref="A118:A122"/>
    <mergeCell ref="A214:A216"/>
    <mergeCell ref="A16:A20"/>
    <mergeCell ref="A636:A640"/>
    <mergeCell ref="A244:A264"/>
    <mergeCell ref="A698:A702"/>
    <mergeCell ref="A1622:A1624"/>
    <mergeCell ref="A1578:A1582"/>
    <mergeCell ref="A1727:A1729"/>
    <mergeCell ref="A1907:A1909"/>
    <mergeCell ref="A1238:A1247"/>
    <mergeCell ref="A1375:A1384"/>
    <mergeCell ref="A1146:A1148"/>
    <mergeCell ref="A1730:A1734"/>
    <mergeCell ref="A2019:A2023"/>
    <mergeCell ref="A1033:A1035"/>
    <mergeCell ref="A1677:A1679"/>
    <mergeCell ref="A1523:A1532"/>
    <mergeCell ref="A2001:A2005"/>
    <mergeCell ref="A1984:A1986"/>
    <mergeCell ref="A1127:A1129"/>
    <mergeCell ref="A385:A389"/>
    <mergeCell ref="A1049:A1053"/>
    <mergeCell ref="A1518:A1522"/>
    <mergeCell ref="A1864:A1884"/>
    <mergeCell ref="A1596:A1601"/>
    <mergeCell ref="A1558:A1562"/>
    <mergeCell ref="A1017:A1020"/>
    <mergeCell ref="A1583:A1585"/>
    <mergeCell ref="A1473:A1482"/>
    <mergeCell ref="A972:A981"/>
    <mergeCell ref="A1533:A1537"/>
    <mergeCell ref="A1402:A1406"/>
    <mergeCell ref="A653:A658"/>
    <mergeCell ref="A134:A138"/>
    <mergeCell ref="A1448:A1457"/>
    <mergeCell ref="A1638:A1642"/>
    <mergeCell ref="A1443:A1447"/>
    <mergeCell ref="A1077:A1087"/>
    <mergeCell ref="A62:A66"/>
    <mergeCell ref="A382:A384"/>
    <mergeCell ref="A969:A971"/>
    <mergeCell ref="A1036:A1045"/>
    <mergeCell ref="A1154:A1158"/>
    <mergeCell ref="A1211:A1213"/>
    <mergeCell ref="A1193:A1195"/>
    <mergeCell ref="A1201:A1210"/>
    <mergeCell ref="A1680:A1700"/>
    <mergeCell ref="A1773:A1793"/>
    <mergeCell ref="A960:A964"/>
    <mergeCell ref="A170:A172"/>
    <mergeCell ref="A1979:A1983"/>
    <mergeCell ref="A241:A243"/>
    <mergeCell ref="A1196:A1200"/>
    <mergeCell ref="A1177:A1179"/>
    <mergeCell ref="A673:A675"/>
    <mergeCell ref="A888:A890"/>
    <mergeCell ref="A1643:A1645"/>
    <mergeCell ref="A1007:A1016"/>
    <mergeCell ref="A6:A15"/>
    <mergeCell ref="A1972:A1975"/>
    <mergeCell ref="A1458:A1467"/>
    <mergeCell ref="A1818:A1839"/>
    <mergeCell ref="A930:A939"/>
    <mergeCell ref="A176:A180"/>
    <mergeCell ref="A426:A446"/>
    <mergeCell ref="A856:A858"/>
    <mergeCell ref="A1114:A1116"/>
    <mergeCell ref="A1283:A1292"/>
    <mergeCell ref="A477:A481"/>
    <mergeCell ref="A1101:A1103"/>
    <mergeCell ref="A1885:A1889"/>
    <mergeCell ref="A793:A818"/>
    <mergeCell ref="A1399:A1401"/>
    <mergeCell ref="A1990:A1994"/>
    <mergeCell ref="A225:A229"/>
    <mergeCell ref="A727:A729"/>
    <mergeCell ref="A950:A959"/>
    <mergeCell ref="A1318:A1320"/>
    <mergeCell ref="A910:A919"/>
    <mergeCell ref="A1308:A1317"/>
    <mergeCell ref="A589:A593"/>
    <mergeCell ref="A703:A707"/>
    <mergeCell ref="A1349:A1353"/>
    <mergeCell ref="A1646:A1666"/>
    <mergeCell ref="A690:A694"/>
    <mergeCell ref="A356:A376"/>
    <mergeCell ref="A1357:A1366"/>
    <mergeCell ref="A1738:A1743"/>
    <mergeCell ref="A346:A350"/>
    <mergeCell ref="A235:A240"/>
    <mergeCell ref="A1966:A1968"/>
    <mergeCell ref="A95:A104"/>
    <mergeCell ref="A1136:A1145"/>
    <mergeCell ref="A139:A141"/>
    <mergeCell ref="A3:A5"/>
    <mergeCell ref="A160:A169"/>
    <mergeCell ref="A965:A968"/>
    <mergeCell ref="A1185:A1187"/>
    <mergeCell ref="A1293:A1302"/>
    <mergeCell ref="A268:A272"/>
    <mergeCell ref="A997:A999"/>
    <mergeCell ref="A1625:A1629"/>
    <mergeCell ref="A1223:A1227"/>
    <mergeCell ref="A1563:A1567"/>
    <mergeCell ref="A1976:A1978"/>
    <mergeCell ref="A553:A557"/>
    <mergeCell ref="A853:A855"/>
    <mergeCell ref="A1093:A1097"/>
    <mergeCell ref="A1258:A1262"/>
    <mergeCell ref="A1952:A1954"/>
    <mergeCell ref="A390:A394"/>
    <mergeCell ref="A377:A381"/>
    <mergeCell ref="A987:A996"/>
    <mergeCell ref="A1744:A1746"/>
    <mergeCell ref="A529:A531"/>
    <mergeCell ref="A1024:A1028"/>
    <mergeCell ref="A1117:A1121"/>
    <mergeCell ref="A1815:A1817"/>
    <mergeCell ref="A747:A750"/>
    <mergeCell ref="A594:A596"/>
    <mergeCell ref="A1064:A1068"/>
    <mergeCell ref="A1937:A1939"/>
    <mergeCell ref="A206:A208"/>
    <mergeCell ref="A708:A711"/>
    <mergeCell ref="A59:A61"/>
    <mergeCell ref="A67:A76"/>
    <mergeCell ref="A333:A337"/>
    <mergeCell ref="A920:A923"/>
    <mergeCell ref="A92:A94"/>
    <mergeCell ref="A1263:A1272"/>
    <mergeCell ref="A82:A91"/>
    <mergeCell ref="A1354:A1356"/>
    <mergeCell ref="A1370:A1374"/>
    <mergeCell ref="A1929:A1931"/>
    <mergeCell ref="A1923:A1925"/>
    <mergeCell ref="A230:A234"/>
    <mergeCell ref="A142:A146"/>
    <mergeCell ref="A1612:A1616"/>
    <mergeCell ref="A1915:A1917"/>
    <mergeCell ref="A1321:A1330"/>
    <mergeCell ref="A343:A345"/>
    <mergeCell ref="A1248:A1257"/>
    <mergeCell ref="A781:A783"/>
    <mergeCell ref="A1130:A1132"/>
    <mergeCell ref="A1214:A1219"/>
    <mergeCell ref="A1899:A1901"/>
    <mergeCell ref="A982:A986"/>
    <mergeCell ref="A1940:A1942"/>
    <mergeCell ref="A1890:A1893"/>
    <mergeCell ref="A1955:A1957"/>
    <mergeCell ref="A712:A714"/>
    <mergeCell ref="A54:A58"/>
    <mergeCell ref="A1946:A1951"/>
    <mergeCell ref="A1273:A1282"/>
    <mergeCell ref="A668:A672"/>
    <mergeCell ref="A123:A133"/>
    <mergeCell ref="A1417:A1419"/>
    <mergeCell ref="A755:A780"/>
    <mergeCell ref="A789:A792"/>
    <mergeCell ref="A891:A895"/>
    <mergeCell ref="A508:A528"/>
    <mergeCell ref="A1794:A1814"/>
    <mergeCell ref="A1367:A1369"/>
    <mergeCell ref="A217:A219"/>
    <mergeCell ref="A278:A298"/>
    <mergeCell ref="A1104:A1113"/>
    <mergeCell ref="A695:A697"/>
    <mergeCell ref="A1926:A1928"/>
    <mergeCell ref="A312:A332"/>
    <mergeCell ref="A273:A277"/>
    <mergeCell ref="A940:A949"/>
    <mergeCell ref="A751:A754"/>
    <mergeCell ref="A1735:A1737"/>
    <mergeCell ref="A2006:A2008"/>
    <mergeCell ref="A1133:A1135"/>
    <mergeCell ref="A1220:A1222"/>
    <mergeCell ref="A307:A311"/>
    <mergeCell ref="A1339:A1348"/>
    <mergeCell ref="A21:A25"/>
    <mergeCell ref="A105:A109"/>
    <mergeCell ref="A451:A471"/>
    <mergeCell ref="A558:A562"/>
    <mergeCell ref="A1438:A1442"/>
    <mergeCell ref="A351:A355"/>
    <mergeCell ref="A113:A117"/>
    <mergeCell ref="A1918:A1922"/>
    <mergeCell ref="A1943:A1945"/>
    <mergeCell ref="A1303:A1307"/>
    <mergeCell ref="A1617:A1621"/>
    <mergeCell ref="A784:A788"/>
    <mergeCell ref="A186:A195"/>
    <mergeCell ref="A650:A652"/>
    <mergeCell ref="A1635:A1637"/>
    <mergeCell ref="A1752:A1772"/>
    <mergeCell ref="A299:A303"/>
    <mergeCell ref="A181:A185"/>
    <mergeCell ref="A1998:A2000"/>
    <mergeCell ref="A597:A601"/>
    <mergeCell ref="A659:A662"/>
    <mergeCell ref="A681:A685"/>
    <mergeCell ref="A1159:A1161"/>
    <mergeCell ref="A209:A213"/>
    <mergeCell ref="A1747:A1751"/>
    <mergeCell ref="A147:A151"/>
    <mergeCell ref="A715:A719"/>
    <mergeCell ref="A924:A929"/>
    <mergeCell ref="A1069:A1071"/>
    <mergeCell ref="A1188:A1192"/>
    <mergeCell ref="A447:A450"/>
    <mergeCell ref="A1969:A1971"/>
    <mergeCell ref="A1428:A1437"/>
    <mergeCell ref="A1228:A1237"/>
    <mergeCell ref="A723:A726"/>
    <mergeCell ref="A730:A734"/>
    <mergeCell ref="A1385:A1387"/>
    <mergeCell ref="A304:A306"/>
    <mergeCell ref="A1498:A1507"/>
    <mergeCell ref="A532:A552"/>
    <mergeCell ref="A1538:A1547"/>
    <mergeCell ref="A49:A53"/>
    <mergeCell ref="A220:A224"/>
    <mergeCell ref="A1840:A1842"/>
    <mergeCell ref="A602:A627"/>
    <mergeCell ref="A110:A112"/>
    <mergeCell ref="A1493:A1497"/>
    <mergeCell ref="A676:A680"/>
    <mergeCell ref="A896:A899"/>
    <mergeCell ref="A1149:A1153"/>
    <mergeCell ref="A819:A821"/>
    <mergeCell ref="A1630:A1634"/>
    <mergeCell ref="A822:A847"/>
    <mergeCell ref="A1331:A1333"/>
    <mergeCell ref="A1468:A1472"/>
    <mergeCell ref="A1407:A1416"/>
    <mergeCell ref="A1586:A1595"/>
    <mergeCell ref="A395:A420"/>
    <mergeCell ref="A1000:A1003"/>
    <mergeCell ref="A1961:A1965"/>
    <mergeCell ref="A1672:A1676"/>
    <mergeCell ref="A196:A200"/>
    <mergeCell ref="A1088:A1092"/>
    <mergeCell ref="A1167:A1176"/>
    <mergeCell ref="A1995:A1997"/>
    <mergeCell ref="A472:A476"/>
    <mergeCell ref="A885:A887"/>
    <mergeCell ref="A1180:A1184"/>
    <mergeCell ref="A1420:A1424"/>
    <mergeCell ref="A686:A689"/>
    <mergeCell ref="A46:A48"/>
    <mergeCell ref="A1162:A1166"/>
    <mergeCell ref="A1072:A1076"/>
    <mergeCell ref="A720:A7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023"/>
  <sheetViews>
    <sheetView workbookViewId="0">
      <selection activeCell="A2" sqref="$A2:$XFD2"/>
    </sheetView>
  </sheetViews>
  <sheetFormatPr baseColWidth="8" defaultColWidth="9" defaultRowHeight="13.5"/>
  <sheetData>
    <row r="1">
      <c r="A1" s="0" t="inlineStr">
        <is>
          <t>sqlserver -- 2026051816sqlserver</t>
        </is>
      </c>
      <c r="E1" s="0" t="inlineStr">
        <is>
          <t>源端共计 303个表，备端共计 303个表</t>
        </is>
      </c>
    </row>
    <row r="2">
      <c r="A2" s="0" t="inlineStr">
        <is>
          <t>表名</t>
        </is>
      </c>
      <c r="B2" s="0" t="inlineStr">
        <is>
          <t>pk</t>
        </is>
      </c>
      <c r="C2" s="0" t="inlineStr">
        <is>
          <t>default</t>
        </is>
      </c>
      <c r="D2" s="0" t="inlineStr">
        <is>
          <t>唯一</t>
        </is>
      </c>
      <c r="E2" s="0" t="inlineStr">
        <is>
          <t>复合唯一</t>
        </is>
      </c>
      <c r="F2" s="0" t="inlineStr">
        <is>
          <t>check</t>
        </is>
      </c>
      <c r="G2" s="0" t="inlineStr">
        <is>
          <t>源ck_def</t>
        </is>
      </c>
      <c r="H2" s="0" t="inlineStr">
        <is>
          <t>备check</t>
        </is>
      </c>
      <c r="I2" s="0" t="inlineStr">
        <is>
          <t>索引</t>
        </is>
      </c>
      <c r="J2" s="0" t="inlineStr">
        <is>
          <t>复合索引</t>
        </is>
      </c>
      <c r="K2" s="0" t="inlineStr">
        <is>
          <t>状态</t>
        </is>
      </c>
      <c r="W2" s="0" t="inlineStr">
        <is>
          <t>表内容</t>
        </is>
      </c>
    </row>
    <row r="3">
      <c r="A3" s="0" t="inlineStr">
        <is>
          <t>info_time_dml_batch1_pk_irp2</t>
        </is>
      </c>
      <c r="K3" s="0" t="inlineStr">
        <is>
          <t>[0;34m info_time_dml_batch1_pk_irp2 [0m源备字段数相同，源端字段：9 	备端字段9</t>
        </is>
      </c>
      <c r="W3" s="0" t="inlineStr">
        <is>
          <t>YES 源备无差异</t>
        </is>
      </c>
      <c r="X3" s="0">
        <f>A3</f>
        <v/>
      </c>
    </row>
    <row r="4">
      <c r="B4" s="0" t="inlineStr">
        <is>
          <t>YES</t>
        </is>
      </c>
      <c r="C4" s="0" t="inlineStr">
        <is>
          <t>NULL</t>
        </is>
      </c>
      <c r="D4" s="0" t="inlineStr">
        <is>
          <t>NULL</t>
        </is>
      </c>
      <c r="E4" s="0" t="inlineStr">
        <is>
          <t>NULL</t>
        </is>
      </c>
      <c r="F4" s="0" t="inlineStr">
        <is>
          <t>NULL</t>
        </is>
      </c>
      <c r="G4" s="0" t="inlineStr">
        <is>
          <t>NULL</t>
        </is>
      </c>
      <c r="H4" s="0" t="inlineStr">
        <is>
          <t>NULL</t>
        </is>
      </c>
      <c r="I4" s="0" t="inlineStr">
        <is>
          <t>YES!PK__info_tim__3213E83F6B8886E9</t>
        </is>
      </c>
      <c r="J4" s="0" t="inlineStr">
        <is>
          <t>YES! 主键相关索引</t>
        </is>
      </c>
      <c r="K4" s="0" t="inlineStr">
        <is>
          <t>YES! 	 id列源备映射正确，源端为int None位	期望更改为int	实际备端为int None位</t>
        </is>
      </c>
    </row>
    <row r="5">
      <c r="B5" s="0" t="inlineStr">
        <is>
          <t>NULL</t>
        </is>
      </c>
      <c r="C5" s="0" t="inlineStr">
        <is>
          <t>NULL</t>
        </is>
      </c>
      <c r="D5" s="0" t="inlineStr">
        <is>
          <t>NULL</t>
        </is>
      </c>
      <c r="E5" s="0" t="inlineStr">
        <is>
          <t>NULL</t>
        </is>
      </c>
      <c r="F5" s="0" t="inlineStr">
        <is>
          <t>NULL</t>
        </is>
      </c>
      <c r="G5" s="0" t="inlineStr">
        <is>
          <t>NULL</t>
        </is>
      </c>
      <c r="H5" s="0" t="inlineStr">
        <is>
          <t>NULL</t>
        </is>
      </c>
      <c r="I5" s="0" t="inlineStr">
        <is>
          <t>NULL</t>
        </is>
      </c>
      <c r="J5" s="0" t="inlineStr">
        <is>
          <t>NULL</t>
        </is>
      </c>
      <c r="K5" s="0" t="inlineStr">
        <is>
          <t>no,len不存在</t>
        </is>
      </c>
    </row>
    <row r="6">
      <c r="B6" s="0" t="inlineStr">
        <is>
          <t>NULL</t>
        </is>
      </c>
      <c r="C6" s="0" t="inlineStr">
        <is>
          <t>NULL</t>
        </is>
      </c>
      <c r="D6" s="0" t="inlineStr">
        <is>
          <t>NULL</t>
        </is>
      </c>
      <c r="E6" s="0" t="inlineStr">
        <is>
          <t>NULL</t>
        </is>
      </c>
      <c r="F6" s="0" t="inlineStr">
        <is>
          <t>NULL</t>
        </is>
      </c>
      <c r="G6" s="0" t="inlineStr">
        <is>
          <t>NULL</t>
        </is>
      </c>
      <c r="H6" s="0" t="inlineStr">
        <is>
          <t>NULL</t>
        </is>
      </c>
      <c r="I6" s="0" t="inlineStr">
        <is>
          <t>NULL</t>
        </is>
      </c>
      <c r="J6" s="0" t="inlineStr">
        <is>
          <t>NULL</t>
        </is>
      </c>
      <c r="K6" s="0" t="inlineStr">
        <is>
          <t>YES! 	 c_time1列源备映射正确，源端为time None位	期望更改为time(n)	实际备端为time None位</t>
        </is>
      </c>
    </row>
    <row r="7">
      <c r="B7" s="0" t="inlineStr">
        <is>
          <t>NULL</t>
        </is>
      </c>
      <c r="C7" s="0" t="inlineStr">
        <is>
          <t>NULL</t>
        </is>
      </c>
      <c r="D7" s="0" t="inlineStr">
        <is>
          <t>NULL</t>
        </is>
      </c>
      <c r="E7" s="0" t="inlineStr">
        <is>
          <t>NULL</t>
        </is>
      </c>
      <c r="F7" s="0" t="inlineStr">
        <is>
          <t>NULL</t>
        </is>
      </c>
      <c r="G7" s="0" t="inlineStr">
        <is>
          <t>NULL</t>
        </is>
      </c>
      <c r="H7" s="0" t="inlineStr">
        <is>
          <t>NULL</t>
        </is>
      </c>
      <c r="I7" s="0" t="inlineStr">
        <is>
          <t>NULL</t>
        </is>
      </c>
      <c r="J7" s="0" t="inlineStr">
        <is>
          <t>NULL</t>
        </is>
      </c>
      <c r="K7" s="0" t="inlineStr">
        <is>
          <t>YES! 	 c_time2列源备映射正确，源端为time None位	期望更改为time(n)	实际备端为time None位</t>
        </is>
      </c>
    </row>
    <row r="8">
      <c r="B8" s="0" t="inlineStr">
        <is>
          <t>NULL</t>
        </is>
      </c>
      <c r="C8" s="0" t="inlineStr">
        <is>
          <t>NULL</t>
        </is>
      </c>
      <c r="D8" s="0" t="inlineStr">
        <is>
          <t>NULL</t>
        </is>
      </c>
      <c r="E8" s="0" t="inlineStr">
        <is>
          <t>NULL</t>
        </is>
      </c>
      <c r="F8" s="0" t="inlineStr">
        <is>
          <t>NULL</t>
        </is>
      </c>
      <c r="G8" s="0" t="inlineStr">
        <is>
          <t>NULL</t>
        </is>
      </c>
      <c r="H8" s="0" t="inlineStr">
        <is>
          <t>NULL</t>
        </is>
      </c>
      <c r="I8" s="0" t="inlineStr">
        <is>
          <t>NULL</t>
        </is>
      </c>
      <c r="J8" s="0" t="inlineStr">
        <is>
          <t>NULL</t>
        </is>
      </c>
      <c r="K8" s="0" t="inlineStr">
        <is>
          <t>YES! 	 c_time3列源备映射正确，源端为time None位	期望更改为time(n)	实际备端为time None位</t>
        </is>
      </c>
    </row>
    <row r="9">
      <c r="B9" s="0" t="inlineStr">
        <is>
          <t>NULL</t>
        </is>
      </c>
      <c r="C9" s="0" t="inlineStr">
        <is>
          <t>NULL</t>
        </is>
      </c>
      <c r="D9" s="0" t="inlineStr">
        <is>
          <t>NULL</t>
        </is>
      </c>
      <c r="E9" s="0" t="inlineStr">
        <is>
          <t>NULL</t>
        </is>
      </c>
      <c r="F9" s="0" t="inlineStr">
        <is>
          <t>NULL</t>
        </is>
      </c>
      <c r="G9" s="0" t="inlineStr">
        <is>
          <t>NULL</t>
        </is>
      </c>
      <c r="H9" s="0" t="inlineStr">
        <is>
          <t>NULL</t>
        </is>
      </c>
      <c r="I9" s="0" t="inlineStr">
        <is>
          <t>NULL</t>
        </is>
      </c>
      <c r="J9" s="0" t="inlineStr">
        <is>
          <t>NULL</t>
        </is>
      </c>
      <c r="K9" s="0" t="inlineStr">
        <is>
          <t>YES! 	 c_time4列源备映射正确，源端为time None位	期望更改为time(n)	实际备端为time None位</t>
        </is>
      </c>
    </row>
    <row r="10">
      <c r="B10" s="0" t="inlineStr">
        <is>
          <t>NULL</t>
        </is>
      </c>
      <c r="C10" s="0" t="inlineStr">
        <is>
          <t>NULL</t>
        </is>
      </c>
      <c r="D10" s="0" t="inlineStr">
        <is>
          <t>NULL</t>
        </is>
      </c>
      <c r="E10" s="0" t="inlineStr">
        <is>
          <t>NULL</t>
        </is>
      </c>
      <c r="F10" s="0" t="inlineStr">
        <is>
          <t>NULL</t>
        </is>
      </c>
      <c r="G10" s="0" t="inlineStr">
        <is>
          <t>NULL</t>
        </is>
      </c>
      <c r="H10" s="0" t="inlineStr">
        <is>
          <t>NULL</t>
        </is>
      </c>
      <c r="I10" s="0" t="inlineStr">
        <is>
          <t>NULL</t>
        </is>
      </c>
      <c r="J10" s="0" t="inlineStr">
        <is>
          <t>NULL</t>
        </is>
      </c>
      <c r="K10" s="0" t="inlineStr">
        <is>
          <t>YES! 	 c_time5列源备映射正确，源端为time None位	期望更改为time(n)	实际备端为time None位</t>
        </is>
      </c>
    </row>
    <row r="11">
      <c r="B11" s="0" t="inlineStr">
        <is>
          <t>NULL</t>
        </is>
      </c>
      <c r="C11" s="0" t="inlineStr">
        <is>
          <t>NULL</t>
        </is>
      </c>
      <c r="D11" s="0" t="inlineStr">
        <is>
          <t>NULL</t>
        </is>
      </c>
      <c r="E11" s="0" t="inlineStr">
        <is>
          <t>NULL</t>
        </is>
      </c>
      <c r="F11" s="0" t="inlineStr">
        <is>
          <t>NULL</t>
        </is>
      </c>
      <c r="G11" s="0" t="inlineStr">
        <is>
          <t>NULL</t>
        </is>
      </c>
      <c r="H11" s="0" t="inlineStr">
        <is>
          <t>NULL</t>
        </is>
      </c>
      <c r="I11" s="0" t="inlineStr">
        <is>
          <t>NULL</t>
        </is>
      </c>
      <c r="J11" s="0" t="inlineStr">
        <is>
          <t>NULL</t>
        </is>
      </c>
      <c r="K11" s="0" t="inlineStr">
        <is>
          <t>YES! 	 c_time6列源备映射正确，源端为time None位	期望更改为time(n)	实际备端为time None位</t>
        </is>
      </c>
    </row>
    <row r="12">
      <c r="B12" s="0" t="inlineStr">
        <is>
          <t>NULL</t>
        </is>
      </c>
      <c r="C12" s="0" t="inlineStr">
        <is>
          <t>NULL</t>
        </is>
      </c>
      <c r="D12" s="0" t="inlineStr">
        <is>
          <t>NULL</t>
        </is>
      </c>
      <c r="E12" s="0" t="inlineStr">
        <is>
          <t>NULL</t>
        </is>
      </c>
      <c r="F12" s="0" t="inlineStr">
        <is>
          <t>NULL</t>
        </is>
      </c>
      <c r="G12" s="0" t="inlineStr">
        <is>
          <t>NULL</t>
        </is>
      </c>
      <c r="H12" s="0" t="inlineStr">
        <is>
          <t>NULL</t>
        </is>
      </c>
      <c r="I12" s="0" t="inlineStr">
        <is>
          <t>NULL</t>
        </is>
      </c>
      <c r="J12" s="0" t="inlineStr">
        <is>
          <t>NULL</t>
        </is>
      </c>
      <c r="K12" s="0" t="inlineStr">
        <is>
          <t>YES! 	 c_time列源备映射正确，源端为time None位	期望更改为time(n)	实际备端为time None位</t>
        </is>
      </c>
    </row>
    <row r="13">
      <c r="A13" s="0" t="inlineStr">
        <is>
          <t>info_varbinary_dml_batch2_pk_irp2</t>
        </is>
      </c>
      <c r="K13" s="0" t="inlineStr">
        <is>
          <t>[0;34m info_varbinary_dml_batch2_pk_irp2 [0m源备字段数相同，源端字段：4 	备端字段4</t>
        </is>
      </c>
      <c r="W13" s="0" t="inlineStr">
        <is>
          <t>YES 源备无差异</t>
        </is>
      </c>
      <c r="X13" s="0">
        <f>A13</f>
        <v/>
      </c>
    </row>
    <row r="14">
      <c r="B14" s="0" t="inlineStr">
        <is>
          <t>YES</t>
        </is>
      </c>
      <c r="C14" s="0" t="inlineStr">
        <is>
          <t>NULL</t>
        </is>
      </c>
      <c r="D14" s="0" t="inlineStr">
        <is>
          <t>NULL</t>
        </is>
      </c>
      <c r="E14" s="0" t="inlineStr">
        <is>
          <t>NULL</t>
        </is>
      </c>
      <c r="F14" s="0" t="inlineStr">
        <is>
          <t>NULL</t>
        </is>
      </c>
      <c r="G14" s="0" t="inlineStr">
        <is>
          <t>NULL</t>
        </is>
      </c>
      <c r="H14" s="0" t="inlineStr">
        <is>
          <t>NULL</t>
        </is>
      </c>
      <c r="I14" s="0" t="inlineStr">
        <is>
          <t>YES!PK__info_var__3213E83F61D7EA8F</t>
        </is>
      </c>
      <c r="J14" s="0" t="inlineStr">
        <is>
          <t>YES! 主键相关索引</t>
        </is>
      </c>
      <c r="K14" s="0" t="inlineStr">
        <is>
          <t>YES! 	 id列源备映射正确，源端为int None位	期望更改为int	实际备端为int None位</t>
        </is>
      </c>
    </row>
    <row r="15">
      <c r="B15" s="0" t="inlineStr">
        <is>
          <t>NULL</t>
        </is>
      </c>
      <c r="C15" s="0" t="inlineStr">
        <is>
          <t>NULL</t>
        </is>
      </c>
      <c r="D15" s="0" t="inlineStr">
        <is>
          <t>NULL</t>
        </is>
      </c>
      <c r="E15" s="0" t="inlineStr">
        <is>
          <t>NULL</t>
        </is>
      </c>
      <c r="F15" s="0" t="inlineStr">
        <is>
          <t>NULL</t>
        </is>
      </c>
      <c r="G15" s="0" t="inlineStr">
        <is>
          <t>NULL</t>
        </is>
      </c>
      <c r="H15" s="0" t="inlineStr">
        <is>
          <t>NULL</t>
        </is>
      </c>
      <c r="I15" s="0" t="inlineStr">
        <is>
          <t>NULL</t>
        </is>
      </c>
      <c r="J15" s="0" t="inlineStr">
        <is>
          <t>NULL</t>
        </is>
      </c>
      <c r="K15" s="0" t="inlineStr">
        <is>
          <t>YES! 	 c_varbinary列源备映射正确，源端为varbinary 1位	期望更改为varbinary(n)	实际备端为varbinary 1位</t>
        </is>
      </c>
    </row>
    <row r="16">
      <c r="B16" s="0" t="inlineStr">
        <is>
          <t>NULL</t>
        </is>
      </c>
      <c r="C16" s="0" t="inlineStr">
        <is>
          <t>NULL</t>
        </is>
      </c>
      <c r="D16" s="0" t="inlineStr">
        <is>
          <t>NULL</t>
        </is>
      </c>
      <c r="E16" s="0" t="inlineStr">
        <is>
          <t>NULL</t>
        </is>
      </c>
      <c r="F16" s="0" t="inlineStr">
        <is>
          <t>NULL</t>
        </is>
      </c>
      <c r="G16" s="0" t="inlineStr">
        <is>
          <t>NULL</t>
        </is>
      </c>
      <c r="H16" s="0" t="inlineStr">
        <is>
          <t>NULL</t>
        </is>
      </c>
      <c r="I16" s="0" t="inlineStr">
        <is>
          <t>NULL</t>
        </is>
      </c>
      <c r="J16" s="0" t="inlineStr">
        <is>
          <t>NULL</t>
        </is>
      </c>
      <c r="K16" s="0" t="inlineStr">
        <is>
          <t>YES! 	 c_varbinary_100列源备映射正确，源端为varbinary 100位	期望更改为varbinary(n)	实际备端为varbinary 100位</t>
        </is>
      </c>
    </row>
    <row r="17">
      <c r="B17" s="0" t="inlineStr">
        <is>
          <t>NULL</t>
        </is>
      </c>
      <c r="C17" s="0" t="inlineStr">
        <is>
          <t>NULL</t>
        </is>
      </c>
      <c r="D17" s="0" t="inlineStr">
        <is>
          <t>NULL</t>
        </is>
      </c>
      <c r="E17" s="0" t="inlineStr">
        <is>
          <t>NULL</t>
        </is>
      </c>
      <c r="F17" s="0" t="inlineStr">
        <is>
          <t>NULL</t>
        </is>
      </c>
      <c r="G17" s="0" t="inlineStr">
        <is>
          <t>NULL</t>
        </is>
      </c>
      <c r="H17" s="0" t="inlineStr">
        <is>
          <t>NULL</t>
        </is>
      </c>
      <c r="I17" s="0" t="inlineStr">
        <is>
          <t>NULL</t>
        </is>
      </c>
      <c r="J17" s="0" t="inlineStr">
        <is>
          <t>NULL</t>
        </is>
      </c>
      <c r="K17" s="0" t="inlineStr">
        <is>
          <t>YES! 	 c_varbinary_8000列源备映射正确，源端为varbinary 8000位	期望更改为varbinary(n)	实际备端为varbinary 8000位</t>
        </is>
      </c>
    </row>
    <row r="18">
      <c r="A18" s="0" t="inlineStr">
        <is>
          <t>info_char_dml_single_nopk_drp</t>
        </is>
      </c>
      <c r="K18" s="0" t="inlineStr">
        <is>
          <t>[0;34m info_char_dml_single_nopk_drp [0m源备字段数相同，源端字段：4 	备端字段4</t>
        </is>
      </c>
      <c r="W18" s="0" t="inlineStr">
        <is>
          <t>YES 源备无差异</t>
        </is>
      </c>
      <c r="X18" s="0">
        <f>A18</f>
        <v/>
      </c>
    </row>
    <row r="19">
      <c r="B19" s="0" t="inlineStr">
        <is>
          <t>NULL</t>
        </is>
      </c>
      <c r="C19" s="0" t="inlineStr">
        <is>
          <t>NULL</t>
        </is>
      </c>
      <c r="D19" s="0" t="inlineStr">
        <is>
          <t>NULL</t>
        </is>
      </c>
      <c r="E19" s="0" t="inlineStr">
        <is>
          <t>NULL</t>
        </is>
      </c>
      <c r="F19" s="0" t="inlineStr">
        <is>
          <t>NULL</t>
        </is>
      </c>
      <c r="G19" s="0" t="inlineStr">
        <is>
          <t>NULL</t>
        </is>
      </c>
      <c r="H19" s="0" t="inlineStr">
        <is>
          <t>NULL</t>
        </is>
      </c>
      <c r="I19" s="0" t="inlineStr">
        <is>
          <t>NULL</t>
        </is>
      </c>
      <c r="J19" s="0" t="inlineStr">
        <is>
          <t>NULL</t>
        </is>
      </c>
      <c r="K19" s="0" t="inlineStr">
        <is>
          <t>YES! 	 id列源备映射正确，源端为int None位	期望更改为int	实际备端为int None位</t>
        </is>
      </c>
    </row>
    <row r="20">
      <c r="B20" s="0" t="inlineStr">
        <is>
          <t>NULL</t>
        </is>
      </c>
      <c r="C20" s="0" t="inlineStr">
        <is>
          <t>NULL</t>
        </is>
      </c>
      <c r="D20" s="0" t="inlineStr">
        <is>
          <t>NULL</t>
        </is>
      </c>
      <c r="E20" s="0" t="inlineStr">
        <is>
          <t>NULL</t>
        </is>
      </c>
      <c r="F20" s="0" t="inlineStr">
        <is>
          <t>NULL</t>
        </is>
      </c>
      <c r="G20" s="0" t="inlineStr">
        <is>
          <t>NULL</t>
        </is>
      </c>
      <c r="H20" s="0" t="inlineStr">
        <is>
          <t>NULL</t>
        </is>
      </c>
      <c r="I20" s="0" t="inlineStr">
        <is>
          <t>NULL</t>
        </is>
      </c>
      <c r="J20" s="0" t="inlineStr">
        <is>
          <t>NULL</t>
        </is>
      </c>
      <c r="K20" s="0" t="inlineStr">
        <is>
          <t>YES! 	 c_char列源备映射正确，源端为char 1位	期望更改为char(n)	实际备端为char 1位</t>
        </is>
      </c>
    </row>
    <row r="21">
      <c r="B21" s="0" t="inlineStr">
        <is>
          <t>NULL</t>
        </is>
      </c>
      <c r="C21" s="0" t="inlineStr">
        <is>
          <t>NULL</t>
        </is>
      </c>
      <c r="D21" s="0" t="inlineStr">
        <is>
          <t>NULL</t>
        </is>
      </c>
      <c r="E21" s="0" t="inlineStr">
        <is>
          <t>NULL</t>
        </is>
      </c>
      <c r="F21" s="0" t="inlineStr">
        <is>
          <t>NULL</t>
        </is>
      </c>
      <c r="G21" s="0" t="inlineStr">
        <is>
          <t>NULL</t>
        </is>
      </c>
      <c r="H21" s="0" t="inlineStr">
        <is>
          <t>NULL</t>
        </is>
      </c>
      <c r="I21" s="0" t="inlineStr">
        <is>
          <t>NULL</t>
        </is>
      </c>
      <c r="J21" s="0" t="inlineStr">
        <is>
          <t>NULL</t>
        </is>
      </c>
      <c r="K21" s="0" t="inlineStr">
        <is>
          <t>YES! 	 c_char20列源备映射正确，源端为char 20位	期望更改为char(n)	实际备端为char 20位</t>
        </is>
      </c>
    </row>
    <row r="22">
      <c r="B22" s="0" t="inlineStr">
        <is>
          <t>NULL</t>
        </is>
      </c>
      <c r="C22" s="0" t="inlineStr">
        <is>
          <t>NULL</t>
        </is>
      </c>
      <c r="D22" s="0" t="inlineStr">
        <is>
          <t>NULL</t>
        </is>
      </c>
      <c r="E22" s="0" t="inlineStr">
        <is>
          <t>NULL</t>
        </is>
      </c>
      <c r="F22" s="0" t="inlineStr">
        <is>
          <t>NULL</t>
        </is>
      </c>
      <c r="G22" s="0" t="inlineStr">
        <is>
          <t>NULL</t>
        </is>
      </c>
      <c r="H22" s="0" t="inlineStr">
        <is>
          <t>NULL</t>
        </is>
      </c>
      <c r="I22" s="0" t="inlineStr">
        <is>
          <t>NULL</t>
        </is>
      </c>
      <c r="J22" s="0" t="inlineStr">
        <is>
          <t>NULL</t>
        </is>
      </c>
      <c r="K22" s="0" t="inlineStr">
        <is>
          <t>YES! 	 c_char7000列源备映射正确，源端为char 7000位	期望更改为char(n)	实际备端为char 7000位</t>
        </is>
      </c>
    </row>
    <row r="23">
      <c r="A23" s="0" t="inlineStr">
        <is>
          <t>info_char_dml_single_nopk_urp</t>
        </is>
      </c>
      <c r="K23" s="0" t="inlineStr">
        <is>
          <t>[0;34m info_char_dml_single_nopk_urp [0m源备字段数相同，源端字段：4 	备端字段4</t>
        </is>
      </c>
      <c r="W23" s="0" t="inlineStr">
        <is>
          <t>YES 源备无差异</t>
        </is>
      </c>
      <c r="X23" s="0">
        <f>A23</f>
        <v/>
      </c>
    </row>
    <row r="24">
      <c r="B24" s="0" t="inlineStr">
        <is>
          <t>NULL</t>
        </is>
      </c>
      <c r="C24" s="0" t="inlineStr">
        <is>
          <t>NULL</t>
        </is>
      </c>
      <c r="D24" s="0" t="inlineStr">
        <is>
          <t>NULL</t>
        </is>
      </c>
      <c r="E24" s="0" t="inlineStr">
        <is>
          <t>NULL</t>
        </is>
      </c>
      <c r="F24" s="0" t="inlineStr">
        <is>
          <t>NULL</t>
        </is>
      </c>
      <c r="G24" s="0" t="inlineStr">
        <is>
          <t>NULL</t>
        </is>
      </c>
      <c r="H24" s="0" t="inlineStr">
        <is>
          <t>NULL</t>
        </is>
      </c>
      <c r="I24" s="0" t="inlineStr">
        <is>
          <t>NULL</t>
        </is>
      </c>
      <c r="J24" s="0" t="inlineStr">
        <is>
          <t>NULL</t>
        </is>
      </c>
      <c r="K24" s="0" t="inlineStr">
        <is>
          <t>YES! 	 id列源备映射正确，源端为int None位	期望更改为int	实际备端为int None位</t>
        </is>
      </c>
    </row>
    <row r="25">
      <c r="B25" s="0" t="inlineStr">
        <is>
          <t>NULL</t>
        </is>
      </c>
      <c r="C25" s="0" t="inlineStr">
        <is>
          <t>NULL</t>
        </is>
      </c>
      <c r="D25" s="0" t="inlineStr">
        <is>
          <t>NULL</t>
        </is>
      </c>
      <c r="E25" s="0" t="inlineStr">
        <is>
          <t>NULL</t>
        </is>
      </c>
      <c r="F25" s="0" t="inlineStr">
        <is>
          <t>NULL</t>
        </is>
      </c>
      <c r="G25" s="0" t="inlineStr">
        <is>
          <t>NULL</t>
        </is>
      </c>
      <c r="H25" s="0" t="inlineStr">
        <is>
          <t>NULL</t>
        </is>
      </c>
      <c r="I25" s="0" t="inlineStr">
        <is>
          <t>NULL</t>
        </is>
      </c>
      <c r="J25" s="0" t="inlineStr">
        <is>
          <t>NULL</t>
        </is>
      </c>
      <c r="K25" s="0" t="inlineStr">
        <is>
          <t>YES! 	 c_char列源备映射正确，源端为char 1位	期望更改为char(n)	实际备端为char 1位</t>
        </is>
      </c>
    </row>
    <row r="26">
      <c r="B26" s="0" t="inlineStr">
        <is>
          <t>NULL</t>
        </is>
      </c>
      <c r="C26" s="0" t="inlineStr">
        <is>
          <t>NULL</t>
        </is>
      </c>
      <c r="D26" s="0" t="inlineStr">
        <is>
          <t>NULL</t>
        </is>
      </c>
      <c r="E26" s="0" t="inlineStr">
        <is>
          <t>NULL</t>
        </is>
      </c>
      <c r="F26" s="0" t="inlineStr">
        <is>
          <t>NULL</t>
        </is>
      </c>
      <c r="G26" s="0" t="inlineStr">
        <is>
          <t>NULL</t>
        </is>
      </c>
      <c r="H26" s="0" t="inlineStr">
        <is>
          <t>NULL</t>
        </is>
      </c>
      <c r="I26" s="0" t="inlineStr">
        <is>
          <t>NULL</t>
        </is>
      </c>
      <c r="J26" s="0" t="inlineStr">
        <is>
          <t>NULL</t>
        </is>
      </c>
      <c r="K26" s="0" t="inlineStr">
        <is>
          <t>YES! 	 c_char20列源备映射正确，源端为char 20位	期望更改为char(n)	实际备端为char 20位</t>
        </is>
      </c>
    </row>
    <row r="27">
      <c r="B27" s="0" t="inlineStr">
        <is>
          <t>NULL</t>
        </is>
      </c>
      <c r="C27" s="0" t="inlineStr">
        <is>
          <t>NULL</t>
        </is>
      </c>
      <c r="D27" s="0" t="inlineStr">
        <is>
          <t>NULL</t>
        </is>
      </c>
      <c r="E27" s="0" t="inlineStr">
        <is>
          <t>NULL</t>
        </is>
      </c>
      <c r="F27" s="0" t="inlineStr">
        <is>
          <t>NULL</t>
        </is>
      </c>
      <c r="G27" s="0" t="inlineStr">
        <is>
          <t>NULL</t>
        </is>
      </c>
      <c r="H27" s="0" t="inlineStr">
        <is>
          <t>NULL</t>
        </is>
      </c>
      <c r="I27" s="0" t="inlineStr">
        <is>
          <t>NULL</t>
        </is>
      </c>
      <c r="J27" s="0" t="inlineStr">
        <is>
          <t>NULL</t>
        </is>
      </c>
      <c r="K27" s="0" t="inlineStr">
        <is>
          <t>YES! 	 c_char7000列源备映射正确，源端为char 7000位	期望更改为char(n)	实际备端为char 7000位</t>
        </is>
      </c>
    </row>
    <row r="28">
      <c r="A28" s="0" t="inlineStr">
        <is>
          <t>info_geometry_dml_single_pk_urp</t>
        </is>
      </c>
      <c r="K28" s="0" t="inlineStr">
        <is>
          <t>[0;34m info_geometry_dml_single_pk_urp [0m源备字段数相同，源端字段：2 	备端字段2</t>
        </is>
      </c>
      <c r="W28" s="0" t="inlineStr">
        <is>
          <t>YES 源备无差异</t>
        </is>
      </c>
      <c r="X28" s="0">
        <f>A28</f>
        <v/>
      </c>
    </row>
    <row r="29">
      <c r="B29" s="0" t="inlineStr">
        <is>
          <t>YES</t>
        </is>
      </c>
      <c r="C29" s="0" t="inlineStr">
        <is>
          <t>NULL</t>
        </is>
      </c>
      <c r="D29" s="0" t="inlineStr">
        <is>
          <t>NULL</t>
        </is>
      </c>
      <c r="E29" s="0" t="inlineStr">
        <is>
          <t>NULL</t>
        </is>
      </c>
      <c r="F29" s="0" t="inlineStr">
        <is>
          <t>NULL</t>
        </is>
      </c>
      <c r="G29" s="0" t="inlineStr">
        <is>
          <t>NULL</t>
        </is>
      </c>
      <c r="H29" s="0" t="inlineStr">
        <is>
          <t>NULL</t>
        </is>
      </c>
      <c r="I29" s="0" t="inlineStr">
        <is>
          <t>YES!PK__info_geo__3213E83F295FBDD4</t>
        </is>
      </c>
      <c r="J29" s="0" t="inlineStr">
        <is>
          <t>YES! 主键相关索引</t>
        </is>
      </c>
      <c r="K29" s="0" t="inlineStr">
        <is>
          <t>YES! 	 id列源备映射正确，源端为int None位	期望更改为int	实际备端为int None位</t>
        </is>
      </c>
    </row>
    <row r="30">
      <c r="B30" s="0" t="inlineStr">
        <is>
          <t>NULL</t>
        </is>
      </c>
      <c r="C30" s="0" t="inlineStr">
        <is>
          <t>NULL</t>
        </is>
      </c>
      <c r="D30" s="0" t="inlineStr">
        <is>
          <t>NULL</t>
        </is>
      </c>
      <c r="E30" s="0" t="inlineStr">
        <is>
          <t>NULL</t>
        </is>
      </c>
      <c r="F30" s="0" t="inlineStr">
        <is>
          <t>NULL</t>
        </is>
      </c>
      <c r="G30" s="0" t="inlineStr">
        <is>
          <t>NULL</t>
        </is>
      </c>
      <c r="H30" s="0" t="inlineStr">
        <is>
          <t>NULL</t>
        </is>
      </c>
      <c r="I30" s="0" t="inlineStr">
        <is>
          <t>NULL</t>
        </is>
      </c>
      <c r="J30" s="0" t="inlineStr">
        <is>
          <t>NULL</t>
        </is>
      </c>
      <c r="K30" s="0" t="inlineStr">
        <is>
          <t>YES! 	 c_geometry列源备映射正确，源端为geometry -1位	期望更改为geometry	实际备端为geometry -1位</t>
        </is>
      </c>
    </row>
    <row r="31">
      <c r="A31" s="0" t="inlineStr">
        <is>
          <t>info_char_dml_single_nopk_irp</t>
        </is>
      </c>
      <c r="K31" s="0" t="inlineStr">
        <is>
          <t>[0;34m info_char_dml_single_nopk_irp [0m源备字段数相同，源端字段：4 	备端字段4</t>
        </is>
      </c>
      <c r="W31" s="0" t="inlineStr">
        <is>
          <t>YES 源备无差异</t>
        </is>
      </c>
      <c r="X31" s="0">
        <f>A31</f>
        <v/>
      </c>
    </row>
    <row r="32">
      <c r="B32" s="0" t="inlineStr">
        <is>
          <t>NULL</t>
        </is>
      </c>
      <c r="C32" s="0" t="inlineStr">
        <is>
          <t>NULL</t>
        </is>
      </c>
      <c r="D32" s="0" t="inlineStr">
        <is>
          <t>NULL</t>
        </is>
      </c>
      <c r="E32" s="0" t="inlineStr">
        <is>
          <t>NULL</t>
        </is>
      </c>
      <c r="F32" s="0" t="inlineStr">
        <is>
          <t>NULL</t>
        </is>
      </c>
      <c r="G32" s="0" t="inlineStr">
        <is>
          <t>NULL</t>
        </is>
      </c>
      <c r="H32" s="0" t="inlineStr">
        <is>
          <t>NULL</t>
        </is>
      </c>
      <c r="I32" s="0" t="inlineStr">
        <is>
          <t>NULL</t>
        </is>
      </c>
      <c r="J32" s="0" t="inlineStr">
        <is>
          <t>NULL</t>
        </is>
      </c>
      <c r="K32" s="0" t="inlineStr">
        <is>
          <t>YES! 	 id列源备映射正确，源端为int None位	期望更改为int	实际备端为int None位</t>
        </is>
      </c>
    </row>
    <row r="33">
      <c r="B33" s="0" t="inlineStr">
        <is>
          <t>NULL</t>
        </is>
      </c>
      <c r="C33" s="0" t="inlineStr">
        <is>
          <t>NULL</t>
        </is>
      </c>
      <c r="D33" s="0" t="inlineStr">
        <is>
          <t>NULL</t>
        </is>
      </c>
      <c r="E33" s="0" t="inlineStr">
        <is>
          <t>NULL</t>
        </is>
      </c>
      <c r="F33" s="0" t="inlineStr">
        <is>
          <t>NULL</t>
        </is>
      </c>
      <c r="G33" s="0" t="inlineStr">
        <is>
          <t>NULL</t>
        </is>
      </c>
      <c r="H33" s="0" t="inlineStr">
        <is>
          <t>NULL</t>
        </is>
      </c>
      <c r="I33" s="0" t="inlineStr">
        <is>
          <t>NULL</t>
        </is>
      </c>
      <c r="J33" s="0" t="inlineStr">
        <is>
          <t>NULL</t>
        </is>
      </c>
      <c r="K33" s="0" t="inlineStr">
        <is>
          <t>YES! 	 c_char列源备映射正确，源端为char 1位	期望更改为char(n)	实际备端为char 1位</t>
        </is>
      </c>
    </row>
    <row r="34">
      <c r="B34" s="0" t="inlineStr">
        <is>
          <t>NULL</t>
        </is>
      </c>
      <c r="C34" s="0" t="inlineStr">
        <is>
          <t>NULL</t>
        </is>
      </c>
      <c r="D34" s="0" t="inlineStr">
        <is>
          <t>NULL</t>
        </is>
      </c>
      <c r="E34" s="0" t="inlineStr">
        <is>
          <t>NULL</t>
        </is>
      </c>
      <c r="F34" s="0" t="inlineStr">
        <is>
          <t>NULL</t>
        </is>
      </c>
      <c r="G34" s="0" t="inlineStr">
        <is>
          <t>NULL</t>
        </is>
      </c>
      <c r="H34" s="0" t="inlineStr">
        <is>
          <t>NULL</t>
        </is>
      </c>
      <c r="I34" s="0" t="inlineStr">
        <is>
          <t>NULL</t>
        </is>
      </c>
      <c r="J34" s="0" t="inlineStr">
        <is>
          <t>NULL</t>
        </is>
      </c>
      <c r="K34" s="0" t="inlineStr">
        <is>
          <t>YES! 	 c_char20列源备映射正确，源端为char 20位	期望更改为char(n)	实际备端为char 20位</t>
        </is>
      </c>
    </row>
    <row r="35">
      <c r="B35" s="0" t="inlineStr">
        <is>
          <t>NULL</t>
        </is>
      </c>
      <c r="C35" s="0" t="inlineStr">
        <is>
          <t>NULL</t>
        </is>
      </c>
      <c r="D35" s="0" t="inlineStr">
        <is>
          <t>NULL</t>
        </is>
      </c>
      <c r="E35" s="0" t="inlineStr">
        <is>
          <t>NULL</t>
        </is>
      </c>
      <c r="F35" s="0" t="inlineStr">
        <is>
          <t>NULL</t>
        </is>
      </c>
      <c r="G35" s="0" t="inlineStr">
        <is>
          <t>NULL</t>
        </is>
      </c>
      <c r="H35" s="0" t="inlineStr">
        <is>
          <t>NULL</t>
        </is>
      </c>
      <c r="I35" s="0" t="inlineStr">
        <is>
          <t>NULL</t>
        </is>
      </c>
      <c r="J35" s="0" t="inlineStr">
        <is>
          <t>NULL</t>
        </is>
      </c>
      <c r="K35" s="0" t="inlineStr">
        <is>
          <t>YES! 	 c_char8000列源备映射正确，源端为char 8000位	期望更改为char(n)	实际备端为char 8000位</t>
        </is>
      </c>
    </row>
    <row r="36">
      <c r="A36" s="0" t="inlineStr">
        <is>
          <t>info_time_dml_batch2_pk_irp1</t>
        </is>
      </c>
      <c r="K36" s="0" t="inlineStr">
        <is>
          <t>[0;34m info_time_dml_batch2_pk_irp1 [0m源备字段数相同，源端字段：9 	备端字段9</t>
        </is>
      </c>
      <c r="W36" s="0" t="inlineStr">
        <is>
          <t>YES 源备无差异</t>
        </is>
      </c>
      <c r="X36" s="0">
        <f>A36</f>
        <v/>
      </c>
    </row>
    <row r="37">
      <c r="B37" s="0" t="inlineStr">
        <is>
          <t>YES</t>
        </is>
      </c>
      <c r="C37" s="0" t="inlineStr">
        <is>
          <t>NULL</t>
        </is>
      </c>
      <c r="D37" s="0" t="inlineStr">
        <is>
          <t>NULL</t>
        </is>
      </c>
      <c r="E37" s="0" t="inlineStr">
        <is>
          <t>NULL</t>
        </is>
      </c>
      <c r="F37" s="0" t="inlineStr">
        <is>
          <t>NULL</t>
        </is>
      </c>
      <c r="G37" s="0" t="inlineStr">
        <is>
          <t>NULL</t>
        </is>
      </c>
      <c r="H37" s="0" t="inlineStr">
        <is>
          <t>NULL</t>
        </is>
      </c>
      <c r="I37" s="0" t="inlineStr">
        <is>
          <t>YES!PK__info_tim__3213E83FCA93B547</t>
        </is>
      </c>
      <c r="J37" s="0" t="inlineStr">
        <is>
          <t>YES! 主键相关索引</t>
        </is>
      </c>
      <c r="K37" s="0" t="inlineStr">
        <is>
          <t>YES! 	 id列源备映射正确，源端为int None位	期望更改为int	实际备端为int None位</t>
        </is>
      </c>
    </row>
    <row r="38">
      <c r="B38" s="0" t="inlineStr">
        <is>
          <t>NULL</t>
        </is>
      </c>
      <c r="C38" s="0" t="inlineStr">
        <is>
          <t>NULL</t>
        </is>
      </c>
      <c r="D38" s="0" t="inlineStr">
        <is>
          <t>NULL</t>
        </is>
      </c>
      <c r="E38" s="0" t="inlineStr">
        <is>
          <t>NULL</t>
        </is>
      </c>
      <c r="F38" s="0" t="inlineStr">
        <is>
          <t>NULL</t>
        </is>
      </c>
      <c r="G38" s="0" t="inlineStr">
        <is>
          <t>NULL</t>
        </is>
      </c>
      <c r="H38" s="0" t="inlineStr">
        <is>
          <t>NULL</t>
        </is>
      </c>
      <c r="I38" s="0" t="inlineStr">
        <is>
          <t>NULL</t>
        </is>
      </c>
      <c r="J38" s="0" t="inlineStr">
        <is>
          <t>NULL</t>
        </is>
      </c>
      <c r="K38" s="0" t="inlineStr">
        <is>
          <t>no,len不存在</t>
        </is>
      </c>
    </row>
    <row r="39">
      <c r="B39" s="0" t="inlineStr">
        <is>
          <t>NULL</t>
        </is>
      </c>
      <c r="C39" s="0" t="inlineStr">
        <is>
          <t>NULL</t>
        </is>
      </c>
      <c r="D39" s="0" t="inlineStr">
        <is>
          <t>NULL</t>
        </is>
      </c>
      <c r="E39" s="0" t="inlineStr">
        <is>
          <t>NULL</t>
        </is>
      </c>
      <c r="F39" s="0" t="inlineStr">
        <is>
          <t>NULL</t>
        </is>
      </c>
      <c r="G39" s="0" t="inlineStr">
        <is>
          <t>NULL</t>
        </is>
      </c>
      <c r="H39" s="0" t="inlineStr">
        <is>
          <t>NULL</t>
        </is>
      </c>
      <c r="I39" s="0" t="inlineStr">
        <is>
          <t>NULL</t>
        </is>
      </c>
      <c r="J39" s="0" t="inlineStr">
        <is>
          <t>NULL</t>
        </is>
      </c>
      <c r="K39" s="0" t="inlineStr">
        <is>
          <t>YES! 	 c_time1列源备映射正确，源端为time None位	期望更改为time(n)	实际备端为time None位</t>
        </is>
      </c>
    </row>
    <row r="40">
      <c r="B40" s="0" t="inlineStr">
        <is>
          <t>NULL</t>
        </is>
      </c>
      <c r="C40" s="0" t="inlineStr">
        <is>
          <t>NULL</t>
        </is>
      </c>
      <c r="D40" s="0" t="inlineStr">
        <is>
          <t>NULL</t>
        </is>
      </c>
      <c r="E40" s="0" t="inlineStr">
        <is>
          <t>NULL</t>
        </is>
      </c>
      <c r="F40" s="0" t="inlineStr">
        <is>
          <t>NULL</t>
        </is>
      </c>
      <c r="G40" s="0" t="inlineStr">
        <is>
          <t>NULL</t>
        </is>
      </c>
      <c r="H40" s="0" t="inlineStr">
        <is>
          <t>NULL</t>
        </is>
      </c>
      <c r="I40" s="0" t="inlineStr">
        <is>
          <t>NULL</t>
        </is>
      </c>
      <c r="J40" s="0" t="inlineStr">
        <is>
          <t>NULL</t>
        </is>
      </c>
      <c r="K40" s="0" t="inlineStr">
        <is>
          <t>YES! 	 c_time2列源备映射正确，源端为time None位	期望更改为time(n)	实际备端为time None位</t>
        </is>
      </c>
    </row>
    <row r="41">
      <c r="B41" s="0" t="inlineStr">
        <is>
          <t>NULL</t>
        </is>
      </c>
      <c r="C41" s="0" t="inlineStr">
        <is>
          <t>NULL</t>
        </is>
      </c>
      <c r="D41" s="0" t="inlineStr">
        <is>
          <t>NULL</t>
        </is>
      </c>
      <c r="E41" s="0" t="inlineStr">
        <is>
          <t>NULL</t>
        </is>
      </c>
      <c r="F41" s="0" t="inlineStr">
        <is>
          <t>NULL</t>
        </is>
      </c>
      <c r="G41" s="0" t="inlineStr">
        <is>
          <t>NULL</t>
        </is>
      </c>
      <c r="H41" s="0" t="inlineStr">
        <is>
          <t>NULL</t>
        </is>
      </c>
      <c r="I41" s="0" t="inlineStr">
        <is>
          <t>NULL</t>
        </is>
      </c>
      <c r="J41" s="0" t="inlineStr">
        <is>
          <t>NULL</t>
        </is>
      </c>
      <c r="K41" s="0" t="inlineStr">
        <is>
          <t>YES! 	 c_time3列源备映射正确，源端为time None位	期望更改为time(n)	实际备端为time None位</t>
        </is>
      </c>
    </row>
    <row r="42">
      <c r="B42" s="0" t="inlineStr">
        <is>
          <t>NULL</t>
        </is>
      </c>
      <c r="C42" s="0" t="inlineStr">
        <is>
          <t>NULL</t>
        </is>
      </c>
      <c r="D42" s="0" t="inlineStr">
        <is>
          <t>NULL</t>
        </is>
      </c>
      <c r="E42" s="0" t="inlineStr">
        <is>
          <t>NULL</t>
        </is>
      </c>
      <c r="F42" s="0" t="inlineStr">
        <is>
          <t>NULL</t>
        </is>
      </c>
      <c r="G42" s="0" t="inlineStr">
        <is>
          <t>NULL</t>
        </is>
      </c>
      <c r="H42" s="0" t="inlineStr">
        <is>
          <t>NULL</t>
        </is>
      </c>
      <c r="I42" s="0" t="inlineStr">
        <is>
          <t>NULL</t>
        </is>
      </c>
      <c r="J42" s="0" t="inlineStr">
        <is>
          <t>NULL</t>
        </is>
      </c>
      <c r="K42" s="0" t="inlineStr">
        <is>
          <t>YES! 	 c_time4列源备映射正确，源端为time None位	期望更改为time(n)	实际备端为time None位</t>
        </is>
      </c>
    </row>
    <row r="43">
      <c r="B43" s="0" t="inlineStr">
        <is>
          <t>NULL</t>
        </is>
      </c>
      <c r="C43" s="0" t="inlineStr">
        <is>
          <t>NULL</t>
        </is>
      </c>
      <c r="D43" s="0" t="inlineStr">
        <is>
          <t>NULL</t>
        </is>
      </c>
      <c r="E43" s="0" t="inlineStr">
        <is>
          <t>NULL</t>
        </is>
      </c>
      <c r="F43" s="0" t="inlineStr">
        <is>
          <t>NULL</t>
        </is>
      </c>
      <c r="G43" s="0" t="inlineStr">
        <is>
          <t>NULL</t>
        </is>
      </c>
      <c r="H43" s="0" t="inlineStr">
        <is>
          <t>NULL</t>
        </is>
      </c>
      <c r="I43" s="0" t="inlineStr">
        <is>
          <t>NULL</t>
        </is>
      </c>
      <c r="J43" s="0" t="inlineStr">
        <is>
          <t>NULL</t>
        </is>
      </c>
      <c r="K43" s="0" t="inlineStr">
        <is>
          <t>YES! 	 c_time5列源备映射正确，源端为time None位	期望更改为time(n)	实际备端为time None位</t>
        </is>
      </c>
    </row>
    <row r="44">
      <c r="B44" s="0" t="inlineStr">
        <is>
          <t>NULL</t>
        </is>
      </c>
      <c r="C44" s="0" t="inlineStr">
        <is>
          <t>NULL</t>
        </is>
      </c>
      <c r="D44" s="0" t="inlineStr">
        <is>
          <t>NULL</t>
        </is>
      </c>
      <c r="E44" s="0" t="inlineStr">
        <is>
          <t>NULL</t>
        </is>
      </c>
      <c r="F44" s="0" t="inlineStr">
        <is>
          <t>NULL</t>
        </is>
      </c>
      <c r="G44" s="0" t="inlineStr">
        <is>
          <t>NULL</t>
        </is>
      </c>
      <c r="H44" s="0" t="inlineStr">
        <is>
          <t>NULL</t>
        </is>
      </c>
      <c r="I44" s="0" t="inlineStr">
        <is>
          <t>NULL</t>
        </is>
      </c>
      <c r="J44" s="0" t="inlineStr">
        <is>
          <t>NULL</t>
        </is>
      </c>
      <c r="K44" s="0" t="inlineStr">
        <is>
          <t>YES! 	 c_time6列源备映射正确，源端为time None位	期望更改为time(n)	实际备端为time None位</t>
        </is>
      </c>
    </row>
    <row r="45">
      <c r="B45" s="0" t="inlineStr">
        <is>
          <t>NULL</t>
        </is>
      </c>
      <c r="C45" s="0" t="inlineStr">
        <is>
          <t>NULL</t>
        </is>
      </c>
      <c r="D45" s="0" t="inlineStr">
        <is>
          <t>NULL</t>
        </is>
      </c>
      <c r="E45" s="0" t="inlineStr">
        <is>
          <t>NULL</t>
        </is>
      </c>
      <c r="F45" s="0" t="inlineStr">
        <is>
          <t>NULL</t>
        </is>
      </c>
      <c r="G45" s="0" t="inlineStr">
        <is>
          <t>NULL</t>
        </is>
      </c>
      <c r="H45" s="0" t="inlineStr">
        <is>
          <t>NULL</t>
        </is>
      </c>
      <c r="I45" s="0" t="inlineStr">
        <is>
          <t>NULL</t>
        </is>
      </c>
      <c r="J45" s="0" t="inlineStr">
        <is>
          <t>NULL</t>
        </is>
      </c>
      <c r="K45" s="0" t="inlineStr">
        <is>
          <t>YES! 	 c_time列源备映射正确，源端为time None位	期望更改为time(n)	实际备端为time None位</t>
        </is>
      </c>
    </row>
    <row r="46">
      <c r="A46" s="0" t="inlineStr">
        <is>
          <t>info_geometry_dml_single_pk_drp</t>
        </is>
      </c>
      <c r="K46" s="0" t="inlineStr">
        <is>
          <t>[0;34m info_geometry_dml_single_pk_drp [0m源备字段数相同，源端字段：2 	备端字段2</t>
        </is>
      </c>
      <c r="W46" s="0" t="inlineStr">
        <is>
          <t>YES 源备无差异</t>
        </is>
      </c>
      <c r="X46" s="0">
        <f>A46</f>
        <v/>
      </c>
    </row>
    <row r="47">
      <c r="B47" s="0" t="inlineStr">
        <is>
          <t>YES</t>
        </is>
      </c>
      <c r="C47" s="0" t="inlineStr">
        <is>
          <t>NULL</t>
        </is>
      </c>
      <c r="D47" s="0" t="inlineStr">
        <is>
          <t>NULL</t>
        </is>
      </c>
      <c r="E47" s="0" t="inlineStr">
        <is>
          <t>NULL</t>
        </is>
      </c>
      <c r="F47" s="0" t="inlineStr">
        <is>
          <t>NULL</t>
        </is>
      </c>
      <c r="G47" s="0" t="inlineStr">
        <is>
          <t>NULL</t>
        </is>
      </c>
      <c r="H47" s="0" t="inlineStr">
        <is>
          <t>NULL</t>
        </is>
      </c>
      <c r="I47" s="0" t="inlineStr">
        <is>
          <t>YES!PK__info_geo__3213E83FD0AD5C3B</t>
        </is>
      </c>
      <c r="J47" s="0" t="inlineStr">
        <is>
          <t>YES! 主键相关索引</t>
        </is>
      </c>
      <c r="K47" s="0" t="inlineStr">
        <is>
          <t>YES! 	 id列源备映射正确，源端为int None位	期望更改为int	实际备端为int None位</t>
        </is>
      </c>
    </row>
    <row r="48">
      <c r="B48" s="0" t="inlineStr">
        <is>
          <t>NULL</t>
        </is>
      </c>
      <c r="C48" s="0" t="inlineStr">
        <is>
          <t>NULL</t>
        </is>
      </c>
      <c r="D48" s="0" t="inlineStr">
        <is>
          <t>NULL</t>
        </is>
      </c>
      <c r="E48" s="0" t="inlineStr">
        <is>
          <t>NULL</t>
        </is>
      </c>
      <c r="F48" s="0" t="inlineStr">
        <is>
          <t>NULL</t>
        </is>
      </c>
      <c r="G48" s="0" t="inlineStr">
        <is>
          <t>NULL</t>
        </is>
      </c>
      <c r="H48" s="0" t="inlineStr">
        <is>
          <t>NULL</t>
        </is>
      </c>
      <c r="I48" s="0" t="inlineStr">
        <is>
          <t>NULL</t>
        </is>
      </c>
      <c r="J48" s="0" t="inlineStr">
        <is>
          <t>NULL</t>
        </is>
      </c>
      <c r="K48" s="0" t="inlineStr">
        <is>
          <t>YES! 	 c_geometry列源备映射正确，源端为geometry -1位	期望更改为geometry	实际备端为geometry -1位</t>
        </is>
      </c>
    </row>
    <row r="49">
      <c r="A49" s="0" t="inlineStr">
        <is>
          <t>info_char_dml_single_nopk</t>
        </is>
      </c>
      <c r="K49" s="0" t="inlineStr">
        <is>
          <t>[0;34m info_char_dml_single_nopk [0m源备字段数相同，源端字段：4 	备端字段4</t>
        </is>
      </c>
      <c r="W49" s="0" t="inlineStr">
        <is>
          <t>YES 源备无差异</t>
        </is>
      </c>
      <c r="X49" s="0">
        <f>A49</f>
        <v/>
      </c>
    </row>
    <row r="50">
      <c r="B50" s="0" t="inlineStr">
        <is>
          <t>NULL</t>
        </is>
      </c>
      <c r="C50" s="0" t="inlineStr">
        <is>
          <t>NULL</t>
        </is>
      </c>
      <c r="D50" s="0" t="inlineStr">
        <is>
          <t>NULL</t>
        </is>
      </c>
      <c r="E50" s="0" t="inlineStr">
        <is>
          <t>NULL</t>
        </is>
      </c>
      <c r="F50" s="0" t="inlineStr">
        <is>
          <t>NULL</t>
        </is>
      </c>
      <c r="G50" s="0" t="inlineStr">
        <is>
          <t>NULL</t>
        </is>
      </c>
      <c r="H50" s="0" t="inlineStr">
        <is>
          <t>NULL</t>
        </is>
      </c>
      <c r="I50" s="0" t="inlineStr">
        <is>
          <t>NULL</t>
        </is>
      </c>
      <c r="J50" s="0" t="inlineStr">
        <is>
          <t>NULL</t>
        </is>
      </c>
      <c r="K50" s="0" t="inlineStr">
        <is>
          <t>YES! 	 id列源备映射正确，源端为int None位	期望更改为int	实际备端为int None位</t>
        </is>
      </c>
    </row>
    <row r="51">
      <c r="B51" s="0" t="inlineStr">
        <is>
          <t>NULL</t>
        </is>
      </c>
      <c r="C51" s="0" t="inlineStr">
        <is>
          <t>NULL</t>
        </is>
      </c>
      <c r="D51" s="0" t="inlineStr">
        <is>
          <t>NULL</t>
        </is>
      </c>
      <c r="E51" s="0" t="inlineStr">
        <is>
          <t>NULL</t>
        </is>
      </c>
      <c r="F51" s="0" t="inlineStr">
        <is>
          <t>NULL</t>
        </is>
      </c>
      <c r="G51" s="0" t="inlineStr">
        <is>
          <t>NULL</t>
        </is>
      </c>
      <c r="H51" s="0" t="inlineStr">
        <is>
          <t>NULL</t>
        </is>
      </c>
      <c r="I51" s="0" t="inlineStr">
        <is>
          <t>NULL</t>
        </is>
      </c>
      <c r="J51" s="0" t="inlineStr">
        <is>
          <t>NULL</t>
        </is>
      </c>
      <c r="K51" s="0" t="inlineStr">
        <is>
          <t>YES! 	 c_char列源备映射正确，源端为char 1位	期望更改为char(n)	实际备端为char 1位</t>
        </is>
      </c>
    </row>
    <row r="52">
      <c r="B52" s="0" t="inlineStr">
        <is>
          <t>NULL</t>
        </is>
      </c>
      <c r="C52" s="0" t="inlineStr">
        <is>
          <t>NULL</t>
        </is>
      </c>
      <c r="D52" s="0" t="inlineStr">
        <is>
          <t>NULL</t>
        </is>
      </c>
      <c r="E52" s="0" t="inlineStr">
        <is>
          <t>NULL</t>
        </is>
      </c>
      <c r="F52" s="0" t="inlineStr">
        <is>
          <t>NULL</t>
        </is>
      </c>
      <c r="G52" s="0" t="inlineStr">
        <is>
          <t>NULL</t>
        </is>
      </c>
      <c r="H52" s="0" t="inlineStr">
        <is>
          <t>NULL</t>
        </is>
      </c>
      <c r="I52" s="0" t="inlineStr">
        <is>
          <t>NULL</t>
        </is>
      </c>
      <c r="J52" s="0" t="inlineStr">
        <is>
          <t>NULL</t>
        </is>
      </c>
      <c r="K52" s="0" t="inlineStr">
        <is>
          <t>YES! 	 c_char20列源备映射正确，源端为char 20位	期望更改为char(n)	实际备端为char 20位</t>
        </is>
      </c>
    </row>
    <row r="53">
      <c r="B53" s="0" t="inlineStr">
        <is>
          <t>NULL</t>
        </is>
      </c>
      <c r="C53" s="0" t="inlineStr">
        <is>
          <t>NULL</t>
        </is>
      </c>
      <c r="D53" s="0" t="inlineStr">
        <is>
          <t>NULL</t>
        </is>
      </c>
      <c r="E53" s="0" t="inlineStr">
        <is>
          <t>NULL</t>
        </is>
      </c>
      <c r="F53" s="0" t="inlineStr">
        <is>
          <t>NULL</t>
        </is>
      </c>
      <c r="G53" s="0" t="inlineStr">
        <is>
          <t>NULL</t>
        </is>
      </c>
      <c r="H53" s="0" t="inlineStr">
        <is>
          <t>NULL</t>
        </is>
      </c>
      <c r="I53" s="0" t="inlineStr">
        <is>
          <t>NULL</t>
        </is>
      </c>
      <c r="J53" s="0" t="inlineStr">
        <is>
          <t>NULL</t>
        </is>
      </c>
      <c r="K53" s="0" t="inlineStr">
        <is>
          <t>YES! 	 c_char7000列源备映射正确，源端为char 7000位	期望更改为char(n)	实际备端为char 7000位</t>
        </is>
      </c>
    </row>
    <row r="54">
      <c r="A54" s="0" t="inlineStr">
        <is>
          <t>info_varbinary_dml_batch1_pk_urp1</t>
        </is>
      </c>
      <c r="K54" s="0" t="inlineStr">
        <is>
          <t>[0;34m info_varbinary_dml_batch1_pk_urp1 [0m源备字段数相同，源端字段：4 	备端字段4</t>
        </is>
      </c>
      <c r="W54" s="0" t="inlineStr">
        <is>
          <t>YES 源备无差异</t>
        </is>
      </c>
      <c r="X54" s="0">
        <f>A54</f>
        <v/>
      </c>
    </row>
    <row r="55">
      <c r="B55" s="0" t="inlineStr">
        <is>
          <t>YES</t>
        </is>
      </c>
      <c r="C55" s="0" t="inlineStr">
        <is>
          <t>NULL</t>
        </is>
      </c>
      <c r="D55" s="0" t="inlineStr">
        <is>
          <t>NULL</t>
        </is>
      </c>
      <c r="E55" s="0" t="inlineStr">
        <is>
          <t>NULL</t>
        </is>
      </c>
      <c r="F55" s="0" t="inlineStr">
        <is>
          <t>NULL</t>
        </is>
      </c>
      <c r="G55" s="0" t="inlineStr">
        <is>
          <t>NULL</t>
        </is>
      </c>
      <c r="H55" s="0" t="inlineStr">
        <is>
          <t>NULL</t>
        </is>
      </c>
      <c r="I55" s="0" t="inlineStr">
        <is>
          <t>YES!PK__info_var__3213E83F21F585F3</t>
        </is>
      </c>
      <c r="J55" s="0" t="inlineStr">
        <is>
          <t>YES! 主键相关索引</t>
        </is>
      </c>
      <c r="K55" s="0" t="inlineStr">
        <is>
          <t>YES! 	 id列源备映射正确，源端为int None位	期望更改为int	实际备端为int None位</t>
        </is>
      </c>
    </row>
    <row r="56">
      <c r="B56" s="0" t="inlineStr">
        <is>
          <t>NULL</t>
        </is>
      </c>
      <c r="C56" s="0" t="inlineStr">
        <is>
          <t>NULL</t>
        </is>
      </c>
      <c r="D56" s="0" t="inlineStr">
        <is>
          <t>NULL</t>
        </is>
      </c>
      <c r="E56" s="0" t="inlineStr">
        <is>
          <t>NULL</t>
        </is>
      </c>
      <c r="F56" s="0" t="inlineStr">
        <is>
          <t>NULL</t>
        </is>
      </c>
      <c r="G56" s="0" t="inlineStr">
        <is>
          <t>NULL</t>
        </is>
      </c>
      <c r="H56" s="0" t="inlineStr">
        <is>
          <t>NULL</t>
        </is>
      </c>
      <c r="I56" s="0" t="inlineStr">
        <is>
          <t>NULL</t>
        </is>
      </c>
      <c r="J56" s="0" t="inlineStr">
        <is>
          <t>NULL</t>
        </is>
      </c>
      <c r="K56" s="0" t="inlineStr">
        <is>
          <t>YES! 	 c_varbinary列源备映射正确，源端为varbinary 1位	期望更改为varbinary(n)	实际备端为varbinary 1位</t>
        </is>
      </c>
    </row>
    <row r="57">
      <c r="B57" s="0" t="inlineStr">
        <is>
          <t>NULL</t>
        </is>
      </c>
      <c r="C57" s="0" t="inlineStr">
        <is>
          <t>NULL</t>
        </is>
      </c>
      <c r="D57" s="0" t="inlineStr">
        <is>
          <t>NULL</t>
        </is>
      </c>
      <c r="E57" s="0" t="inlineStr">
        <is>
          <t>NULL</t>
        </is>
      </c>
      <c r="F57" s="0" t="inlineStr">
        <is>
          <t>NULL</t>
        </is>
      </c>
      <c r="G57" s="0" t="inlineStr">
        <is>
          <t>NULL</t>
        </is>
      </c>
      <c r="H57" s="0" t="inlineStr">
        <is>
          <t>NULL</t>
        </is>
      </c>
      <c r="I57" s="0" t="inlineStr">
        <is>
          <t>NULL</t>
        </is>
      </c>
      <c r="J57" s="0" t="inlineStr">
        <is>
          <t>NULL</t>
        </is>
      </c>
      <c r="K57" s="0" t="inlineStr">
        <is>
          <t>YES! 	 c_varbinary_100列源备映射正确，源端为varbinary 100位	期望更改为varbinary(n)	实际备端为varbinary 100位</t>
        </is>
      </c>
    </row>
    <row r="58">
      <c r="B58" s="0" t="inlineStr">
        <is>
          <t>NULL</t>
        </is>
      </c>
      <c r="C58" s="0" t="inlineStr">
        <is>
          <t>NULL</t>
        </is>
      </c>
      <c r="D58" s="0" t="inlineStr">
        <is>
          <t>NULL</t>
        </is>
      </c>
      <c r="E58" s="0" t="inlineStr">
        <is>
          <t>NULL</t>
        </is>
      </c>
      <c r="F58" s="0" t="inlineStr">
        <is>
          <t>NULL</t>
        </is>
      </c>
      <c r="G58" s="0" t="inlineStr">
        <is>
          <t>NULL</t>
        </is>
      </c>
      <c r="H58" s="0" t="inlineStr">
        <is>
          <t>NULL</t>
        </is>
      </c>
      <c r="I58" s="0" t="inlineStr">
        <is>
          <t>NULL</t>
        </is>
      </c>
      <c r="J58" s="0" t="inlineStr">
        <is>
          <t>NULL</t>
        </is>
      </c>
      <c r="K58" s="0" t="inlineStr">
        <is>
          <t>YES! 	 c_varbinary_8000列源备映射正确，源端为varbinary 8000位	期望更改为varbinary(n)	实际备端为varbinary 8000位</t>
        </is>
      </c>
    </row>
    <row r="59">
      <c r="A59" s="0" t="inlineStr">
        <is>
          <t>info_geometry_dml_single_pk</t>
        </is>
      </c>
      <c r="K59" s="0" t="inlineStr">
        <is>
          <t>[0;34m info_geometry_dml_single_pk [0m源备字段数相同，源端字段：2 	备端字段2</t>
        </is>
      </c>
      <c r="W59" s="0" t="inlineStr">
        <is>
          <t>YES 源备无差异</t>
        </is>
      </c>
      <c r="X59" s="0">
        <f>A59</f>
        <v/>
      </c>
    </row>
    <row r="60">
      <c r="B60" s="0" t="inlineStr">
        <is>
          <t>YES</t>
        </is>
      </c>
      <c r="C60" s="0" t="inlineStr">
        <is>
          <t>NULL</t>
        </is>
      </c>
      <c r="D60" s="0" t="inlineStr">
        <is>
          <t>NULL</t>
        </is>
      </c>
      <c r="E60" s="0" t="inlineStr">
        <is>
          <t>NULL</t>
        </is>
      </c>
      <c r="F60" s="0" t="inlineStr">
        <is>
          <t>NULL</t>
        </is>
      </c>
      <c r="G60" s="0" t="inlineStr">
        <is>
          <t>NULL</t>
        </is>
      </c>
      <c r="H60" s="0" t="inlineStr">
        <is>
          <t>NULL</t>
        </is>
      </c>
      <c r="I60" s="0" t="inlineStr">
        <is>
          <t>YES!PK__info_geo__3213E83FC1F51764</t>
        </is>
      </c>
      <c r="J60" s="0" t="inlineStr">
        <is>
          <t>YES! 主键相关索引</t>
        </is>
      </c>
      <c r="K60" s="0" t="inlineStr">
        <is>
          <t>YES! 	 id列源备映射正确，源端为int None位	期望更改为int	实际备端为int None位</t>
        </is>
      </c>
    </row>
    <row r="61">
      <c r="B61" s="0" t="inlineStr">
        <is>
          <t>NULL</t>
        </is>
      </c>
      <c r="C61" s="0" t="inlineStr">
        <is>
          <t>NULL</t>
        </is>
      </c>
      <c r="D61" s="0" t="inlineStr">
        <is>
          <t>NULL</t>
        </is>
      </c>
      <c r="E61" s="0" t="inlineStr">
        <is>
          <t>NULL</t>
        </is>
      </c>
      <c r="F61" s="0" t="inlineStr">
        <is>
          <t>NULL</t>
        </is>
      </c>
      <c r="G61" s="0" t="inlineStr">
        <is>
          <t>NULL</t>
        </is>
      </c>
      <c r="H61" s="0" t="inlineStr">
        <is>
          <t>NULL</t>
        </is>
      </c>
      <c r="I61" s="0" t="inlineStr">
        <is>
          <t>NULL</t>
        </is>
      </c>
      <c r="J61" s="0" t="inlineStr">
        <is>
          <t>NULL</t>
        </is>
      </c>
      <c r="K61" s="0" t="inlineStr">
        <is>
          <t>YES! 	 c_geometry列源备映射正确，源端为geometry -1位	期望更改为geometry	实际备端为geometry -1位</t>
        </is>
      </c>
    </row>
    <row r="62">
      <c r="A62" s="0" t="inlineStr">
        <is>
          <t>info_varchar_dml_single_nopk_irp</t>
        </is>
      </c>
      <c r="K62" s="0" t="inlineStr">
        <is>
          <t>[0;34m info_varchar_dml_single_nopk_irp [0m源备字段数相同，源端字段：4 	备端字段4</t>
        </is>
      </c>
      <c r="W62" s="0" t="inlineStr">
        <is>
          <t>YES 源备无差异</t>
        </is>
      </c>
      <c r="X62" s="0">
        <f>A62</f>
        <v/>
      </c>
    </row>
    <row r="63">
      <c r="B63" s="0" t="inlineStr">
        <is>
          <t>NULL</t>
        </is>
      </c>
      <c r="C63" s="0" t="inlineStr">
        <is>
          <t>NULL</t>
        </is>
      </c>
      <c r="D63" s="0" t="inlineStr">
        <is>
          <t>NULL</t>
        </is>
      </c>
      <c r="E63" s="0" t="inlineStr">
        <is>
          <t>NULL</t>
        </is>
      </c>
      <c r="F63" s="0" t="inlineStr">
        <is>
          <t>NULL</t>
        </is>
      </c>
      <c r="G63" s="0" t="inlineStr">
        <is>
          <t>NULL</t>
        </is>
      </c>
      <c r="H63" s="0" t="inlineStr">
        <is>
          <t>NULL</t>
        </is>
      </c>
      <c r="I63" s="0" t="inlineStr">
        <is>
          <t>NULL</t>
        </is>
      </c>
      <c r="J63" s="0" t="inlineStr">
        <is>
          <t>NULL</t>
        </is>
      </c>
      <c r="K63" s="0" t="inlineStr">
        <is>
          <t>YES! 	 id列源备映射正确，源端为int None位	期望更改为int	实际备端为int None位</t>
        </is>
      </c>
    </row>
    <row r="64">
      <c r="B64" s="0" t="inlineStr">
        <is>
          <t>NULL</t>
        </is>
      </c>
      <c r="C64" s="0" t="inlineStr">
        <is>
          <t>NULL</t>
        </is>
      </c>
      <c r="D64" s="0" t="inlineStr">
        <is>
          <t>NULL</t>
        </is>
      </c>
      <c r="E64" s="0" t="inlineStr">
        <is>
          <t>NULL</t>
        </is>
      </c>
      <c r="F64" s="0" t="inlineStr">
        <is>
          <t>NULL</t>
        </is>
      </c>
      <c r="G64" s="0" t="inlineStr">
        <is>
          <t>NULL</t>
        </is>
      </c>
      <c r="H64" s="0" t="inlineStr">
        <is>
          <t>NULL</t>
        </is>
      </c>
      <c r="I64" s="0" t="inlineStr">
        <is>
          <t>NULL</t>
        </is>
      </c>
      <c r="J64" s="0" t="inlineStr">
        <is>
          <t>NULL</t>
        </is>
      </c>
      <c r="K64" s="0" t="inlineStr">
        <is>
          <t>YES! 	 c_varchar列源备映射正确，源端为varchar 1位	期望更改为varchar(n)	实际备端为varchar 1位</t>
        </is>
      </c>
    </row>
    <row r="65">
      <c r="B65" s="0" t="inlineStr">
        <is>
          <t>NULL</t>
        </is>
      </c>
      <c r="C65" s="0" t="inlineStr">
        <is>
          <t>NULL</t>
        </is>
      </c>
      <c r="D65" s="0" t="inlineStr">
        <is>
          <t>NULL</t>
        </is>
      </c>
      <c r="E65" s="0" t="inlineStr">
        <is>
          <t>NULL</t>
        </is>
      </c>
      <c r="F65" s="0" t="inlineStr">
        <is>
          <t>NULL</t>
        </is>
      </c>
      <c r="G65" s="0" t="inlineStr">
        <is>
          <t>NULL</t>
        </is>
      </c>
      <c r="H65" s="0" t="inlineStr">
        <is>
          <t>NULL</t>
        </is>
      </c>
      <c r="I65" s="0" t="inlineStr">
        <is>
          <t>NULL</t>
        </is>
      </c>
      <c r="J65" s="0" t="inlineStr">
        <is>
          <t>NULL</t>
        </is>
      </c>
      <c r="K65" s="0" t="inlineStr">
        <is>
          <t>YES! 	 c_varchar50列源备映射正确，源端为varchar 50位	期望更改为varchar(n)	实际备端为varchar 50位</t>
        </is>
      </c>
    </row>
    <row r="66">
      <c r="B66" s="0" t="inlineStr">
        <is>
          <t>NULL</t>
        </is>
      </c>
      <c r="C66" s="0" t="inlineStr">
        <is>
          <t>NULL</t>
        </is>
      </c>
      <c r="D66" s="0" t="inlineStr">
        <is>
          <t>NULL</t>
        </is>
      </c>
      <c r="E66" s="0" t="inlineStr">
        <is>
          <t>NULL</t>
        </is>
      </c>
      <c r="F66" s="0" t="inlineStr">
        <is>
          <t>NULL</t>
        </is>
      </c>
      <c r="G66" s="0" t="inlineStr">
        <is>
          <t>NULL</t>
        </is>
      </c>
      <c r="H66" s="0" t="inlineStr">
        <is>
          <t>NULL</t>
        </is>
      </c>
      <c r="I66" s="0" t="inlineStr">
        <is>
          <t>NULL</t>
        </is>
      </c>
      <c r="J66" s="0" t="inlineStr">
        <is>
          <t>NULL</t>
        </is>
      </c>
      <c r="K66" s="0" t="inlineStr">
        <is>
          <t>YES! 	 c_varchar8000列源备映射正确，源端为varchar 8000位	期望更改为varchar(n)	实际备端为varchar 8000位</t>
        </is>
      </c>
    </row>
    <row r="67">
      <c r="A67" s="0" t="inlineStr">
        <is>
          <t>info_time_dml_batch2_pk_irp2</t>
        </is>
      </c>
      <c r="K67" s="0" t="inlineStr">
        <is>
          <t>[0;34m info_time_dml_batch2_pk_irp2 [0m源备字段数相同，源端字段：9 	备端字段9</t>
        </is>
      </c>
      <c r="W67" s="0" t="inlineStr">
        <is>
          <t>YES 源备无差异</t>
        </is>
      </c>
      <c r="X67" s="0">
        <f>A67</f>
        <v/>
      </c>
    </row>
    <row r="68">
      <c r="B68" s="0" t="inlineStr">
        <is>
          <t>YES</t>
        </is>
      </c>
      <c r="C68" s="0" t="inlineStr">
        <is>
          <t>NULL</t>
        </is>
      </c>
      <c r="D68" s="0" t="inlineStr">
        <is>
          <t>NULL</t>
        </is>
      </c>
      <c r="E68" s="0" t="inlineStr">
        <is>
          <t>NULL</t>
        </is>
      </c>
      <c r="F68" s="0" t="inlineStr">
        <is>
          <t>NULL</t>
        </is>
      </c>
      <c r="G68" s="0" t="inlineStr">
        <is>
          <t>NULL</t>
        </is>
      </c>
      <c r="H68" s="0" t="inlineStr">
        <is>
          <t>NULL</t>
        </is>
      </c>
      <c r="I68" s="0" t="inlineStr">
        <is>
          <t>YES!PK__info_tim__3213E83F0736C131</t>
        </is>
      </c>
      <c r="J68" s="0" t="inlineStr">
        <is>
          <t>YES! 主键相关索引</t>
        </is>
      </c>
      <c r="K68" s="0" t="inlineStr">
        <is>
          <t>YES! 	 id列源备映射正确，源端为int None位	期望更改为int	实际备端为int None位</t>
        </is>
      </c>
    </row>
    <row r="69">
      <c r="B69" s="0" t="inlineStr">
        <is>
          <t>NULL</t>
        </is>
      </c>
      <c r="C69" s="0" t="inlineStr">
        <is>
          <t>NULL</t>
        </is>
      </c>
      <c r="D69" s="0" t="inlineStr">
        <is>
          <t>NULL</t>
        </is>
      </c>
      <c r="E69" s="0" t="inlineStr">
        <is>
          <t>NULL</t>
        </is>
      </c>
      <c r="F69" s="0" t="inlineStr">
        <is>
          <t>NULL</t>
        </is>
      </c>
      <c r="G69" s="0" t="inlineStr">
        <is>
          <t>NULL</t>
        </is>
      </c>
      <c r="H69" s="0" t="inlineStr">
        <is>
          <t>NULL</t>
        </is>
      </c>
      <c r="I69" s="0" t="inlineStr">
        <is>
          <t>NULL</t>
        </is>
      </c>
      <c r="J69" s="0" t="inlineStr">
        <is>
          <t>NULL</t>
        </is>
      </c>
      <c r="K69" s="0" t="inlineStr">
        <is>
          <t>no,len不存在</t>
        </is>
      </c>
    </row>
    <row r="70">
      <c r="B70" s="0" t="inlineStr">
        <is>
          <t>NULL</t>
        </is>
      </c>
      <c r="C70" s="0" t="inlineStr">
        <is>
          <t>NULL</t>
        </is>
      </c>
      <c r="D70" s="0" t="inlineStr">
        <is>
          <t>NULL</t>
        </is>
      </c>
      <c r="E70" s="0" t="inlineStr">
        <is>
          <t>NULL</t>
        </is>
      </c>
      <c r="F70" s="0" t="inlineStr">
        <is>
          <t>NULL</t>
        </is>
      </c>
      <c r="G70" s="0" t="inlineStr">
        <is>
          <t>NULL</t>
        </is>
      </c>
      <c r="H70" s="0" t="inlineStr">
        <is>
          <t>NULL</t>
        </is>
      </c>
      <c r="I70" s="0" t="inlineStr">
        <is>
          <t>NULL</t>
        </is>
      </c>
      <c r="J70" s="0" t="inlineStr">
        <is>
          <t>NULL</t>
        </is>
      </c>
      <c r="K70" s="0" t="inlineStr">
        <is>
          <t>YES! 	 c_time1列源备映射正确，源端为time None位	期望更改为time(n)	实际备端为time None位</t>
        </is>
      </c>
    </row>
    <row r="71">
      <c r="B71" s="0" t="inlineStr">
        <is>
          <t>NULL</t>
        </is>
      </c>
      <c r="C71" s="0" t="inlineStr">
        <is>
          <t>NULL</t>
        </is>
      </c>
      <c r="D71" s="0" t="inlineStr">
        <is>
          <t>NULL</t>
        </is>
      </c>
      <c r="E71" s="0" t="inlineStr">
        <is>
          <t>NULL</t>
        </is>
      </c>
      <c r="F71" s="0" t="inlineStr">
        <is>
          <t>NULL</t>
        </is>
      </c>
      <c r="G71" s="0" t="inlineStr">
        <is>
          <t>NULL</t>
        </is>
      </c>
      <c r="H71" s="0" t="inlineStr">
        <is>
          <t>NULL</t>
        </is>
      </c>
      <c r="I71" s="0" t="inlineStr">
        <is>
          <t>NULL</t>
        </is>
      </c>
      <c r="J71" s="0" t="inlineStr">
        <is>
          <t>NULL</t>
        </is>
      </c>
      <c r="K71" s="0" t="inlineStr">
        <is>
          <t>YES! 	 c_time2列源备映射正确，源端为time None位	期望更改为time(n)	实际备端为time None位</t>
        </is>
      </c>
    </row>
    <row r="72">
      <c r="B72" s="0" t="inlineStr">
        <is>
          <t>NULL</t>
        </is>
      </c>
      <c r="C72" s="0" t="inlineStr">
        <is>
          <t>NULL</t>
        </is>
      </c>
      <c r="D72" s="0" t="inlineStr">
        <is>
          <t>NULL</t>
        </is>
      </c>
      <c r="E72" s="0" t="inlineStr">
        <is>
          <t>NULL</t>
        </is>
      </c>
      <c r="F72" s="0" t="inlineStr">
        <is>
          <t>NULL</t>
        </is>
      </c>
      <c r="G72" s="0" t="inlineStr">
        <is>
          <t>NULL</t>
        </is>
      </c>
      <c r="H72" s="0" t="inlineStr">
        <is>
          <t>NULL</t>
        </is>
      </c>
      <c r="I72" s="0" t="inlineStr">
        <is>
          <t>NULL</t>
        </is>
      </c>
      <c r="J72" s="0" t="inlineStr">
        <is>
          <t>NULL</t>
        </is>
      </c>
      <c r="K72" s="0" t="inlineStr">
        <is>
          <t>YES! 	 c_time3列源备映射正确，源端为time None位	期望更改为time(n)	实际备端为time None位</t>
        </is>
      </c>
    </row>
    <row r="73">
      <c r="B73" s="0" t="inlineStr">
        <is>
          <t>NULL</t>
        </is>
      </c>
      <c r="C73" s="0" t="inlineStr">
        <is>
          <t>NULL</t>
        </is>
      </c>
      <c r="D73" s="0" t="inlineStr">
        <is>
          <t>NULL</t>
        </is>
      </c>
      <c r="E73" s="0" t="inlineStr">
        <is>
          <t>NULL</t>
        </is>
      </c>
      <c r="F73" s="0" t="inlineStr">
        <is>
          <t>NULL</t>
        </is>
      </c>
      <c r="G73" s="0" t="inlineStr">
        <is>
          <t>NULL</t>
        </is>
      </c>
      <c r="H73" s="0" t="inlineStr">
        <is>
          <t>NULL</t>
        </is>
      </c>
      <c r="I73" s="0" t="inlineStr">
        <is>
          <t>NULL</t>
        </is>
      </c>
      <c r="J73" s="0" t="inlineStr">
        <is>
          <t>NULL</t>
        </is>
      </c>
      <c r="K73" s="0" t="inlineStr">
        <is>
          <t>YES! 	 c_time4列源备映射正确，源端为time None位	期望更改为time(n)	实际备端为time None位</t>
        </is>
      </c>
    </row>
    <row r="74">
      <c r="B74" s="0" t="inlineStr">
        <is>
          <t>NULL</t>
        </is>
      </c>
      <c r="C74" s="0" t="inlineStr">
        <is>
          <t>NULL</t>
        </is>
      </c>
      <c r="D74" s="0" t="inlineStr">
        <is>
          <t>NULL</t>
        </is>
      </c>
      <c r="E74" s="0" t="inlineStr">
        <is>
          <t>NULL</t>
        </is>
      </c>
      <c r="F74" s="0" t="inlineStr">
        <is>
          <t>NULL</t>
        </is>
      </c>
      <c r="G74" s="0" t="inlineStr">
        <is>
          <t>NULL</t>
        </is>
      </c>
      <c r="H74" s="0" t="inlineStr">
        <is>
          <t>NULL</t>
        </is>
      </c>
      <c r="I74" s="0" t="inlineStr">
        <is>
          <t>NULL</t>
        </is>
      </c>
      <c r="J74" s="0" t="inlineStr">
        <is>
          <t>NULL</t>
        </is>
      </c>
      <c r="K74" s="0" t="inlineStr">
        <is>
          <t>YES! 	 c_time5列源备映射正确，源端为time None位	期望更改为time(n)	实际备端为time None位</t>
        </is>
      </c>
    </row>
    <row r="75">
      <c r="B75" s="0" t="inlineStr">
        <is>
          <t>NULL</t>
        </is>
      </c>
      <c r="C75" s="0" t="inlineStr">
        <is>
          <t>NULL</t>
        </is>
      </c>
      <c r="D75" s="0" t="inlineStr">
        <is>
          <t>NULL</t>
        </is>
      </c>
      <c r="E75" s="0" t="inlineStr">
        <is>
          <t>NULL</t>
        </is>
      </c>
      <c r="F75" s="0" t="inlineStr">
        <is>
          <t>NULL</t>
        </is>
      </c>
      <c r="G75" s="0" t="inlineStr">
        <is>
          <t>NULL</t>
        </is>
      </c>
      <c r="H75" s="0" t="inlineStr">
        <is>
          <t>NULL</t>
        </is>
      </c>
      <c r="I75" s="0" t="inlineStr">
        <is>
          <t>NULL</t>
        </is>
      </c>
      <c r="J75" s="0" t="inlineStr">
        <is>
          <t>NULL</t>
        </is>
      </c>
      <c r="K75" s="0" t="inlineStr">
        <is>
          <t>YES! 	 c_time6列源备映射正确，源端为time None位	期望更改为time(n)	实际备端为time None位</t>
        </is>
      </c>
    </row>
    <row r="76">
      <c r="B76" s="0" t="inlineStr">
        <is>
          <t>NULL</t>
        </is>
      </c>
      <c r="C76" s="0" t="inlineStr">
        <is>
          <t>NULL</t>
        </is>
      </c>
      <c r="D76" s="0" t="inlineStr">
        <is>
          <t>NULL</t>
        </is>
      </c>
      <c r="E76" s="0" t="inlineStr">
        <is>
          <t>NULL</t>
        </is>
      </c>
      <c r="F76" s="0" t="inlineStr">
        <is>
          <t>NULL</t>
        </is>
      </c>
      <c r="G76" s="0" t="inlineStr">
        <is>
          <t>NULL</t>
        </is>
      </c>
      <c r="H76" s="0" t="inlineStr">
        <is>
          <t>NULL</t>
        </is>
      </c>
      <c r="I76" s="0" t="inlineStr">
        <is>
          <t>NULL</t>
        </is>
      </c>
      <c r="J76" s="0" t="inlineStr">
        <is>
          <t>NULL</t>
        </is>
      </c>
      <c r="K76" s="0" t="inlineStr">
        <is>
          <t>YES! 	 c_time列源备映射正确，源端为time None位	期望更改为time(n)	实际备端为time None位</t>
        </is>
      </c>
    </row>
    <row r="77">
      <c r="A77" s="0" t="inlineStr">
        <is>
          <t>info_varbinary_dml_batch1_pk_urp2</t>
        </is>
      </c>
      <c r="K77" s="0" t="inlineStr">
        <is>
          <t>[0;34m info_varbinary_dml_batch1_pk_urp2 [0m源备字段数相同，源端字段：4 	备端字段4</t>
        </is>
      </c>
      <c r="W77" s="0" t="inlineStr">
        <is>
          <t>YES 源备无差异</t>
        </is>
      </c>
      <c r="X77" s="0">
        <f>A77</f>
        <v/>
      </c>
    </row>
    <row r="78">
      <c r="B78" s="0" t="inlineStr">
        <is>
          <t>YES</t>
        </is>
      </c>
      <c r="C78" s="0" t="inlineStr">
        <is>
          <t>NULL</t>
        </is>
      </c>
      <c r="D78" s="0" t="inlineStr">
        <is>
          <t>NULL</t>
        </is>
      </c>
      <c r="E78" s="0" t="inlineStr">
        <is>
          <t>NULL</t>
        </is>
      </c>
      <c r="F78" s="0" t="inlineStr">
        <is>
          <t>NULL</t>
        </is>
      </c>
      <c r="G78" s="0" t="inlineStr">
        <is>
          <t>NULL</t>
        </is>
      </c>
      <c r="H78" s="0" t="inlineStr">
        <is>
          <t>NULL</t>
        </is>
      </c>
      <c r="I78" s="0" t="inlineStr">
        <is>
          <t>YES!PK__info_var__3213E83F13B34F30</t>
        </is>
      </c>
      <c r="J78" s="0" t="inlineStr">
        <is>
          <t>YES! 主键相关索引</t>
        </is>
      </c>
      <c r="K78" s="0" t="inlineStr">
        <is>
          <t>YES! 	 id列源备映射正确，源端为int None位	期望更改为int	实际备端为int None位</t>
        </is>
      </c>
    </row>
    <row r="79">
      <c r="B79" s="0" t="inlineStr">
        <is>
          <t>NULL</t>
        </is>
      </c>
      <c r="C79" s="0" t="inlineStr">
        <is>
          <t>NULL</t>
        </is>
      </c>
      <c r="D79" s="0" t="inlineStr">
        <is>
          <t>NULL</t>
        </is>
      </c>
      <c r="E79" s="0" t="inlineStr">
        <is>
          <t>NULL</t>
        </is>
      </c>
      <c r="F79" s="0" t="inlineStr">
        <is>
          <t>NULL</t>
        </is>
      </c>
      <c r="G79" s="0" t="inlineStr">
        <is>
          <t>NULL</t>
        </is>
      </c>
      <c r="H79" s="0" t="inlineStr">
        <is>
          <t>NULL</t>
        </is>
      </c>
      <c r="I79" s="0" t="inlineStr">
        <is>
          <t>NULL</t>
        </is>
      </c>
      <c r="J79" s="0" t="inlineStr">
        <is>
          <t>NULL</t>
        </is>
      </c>
      <c r="K79" s="0" t="inlineStr">
        <is>
          <t>YES! 	 c_varbinary列源备映射正确，源端为varbinary 1位	期望更改为varbinary(n)	实际备端为varbinary 1位</t>
        </is>
      </c>
    </row>
    <row r="80">
      <c r="B80" s="0" t="inlineStr">
        <is>
          <t>NULL</t>
        </is>
      </c>
      <c r="C80" s="0" t="inlineStr">
        <is>
          <t>NULL</t>
        </is>
      </c>
      <c r="D80" s="0" t="inlineStr">
        <is>
          <t>NULL</t>
        </is>
      </c>
      <c r="E80" s="0" t="inlineStr">
        <is>
          <t>NULL</t>
        </is>
      </c>
      <c r="F80" s="0" t="inlineStr">
        <is>
          <t>NULL</t>
        </is>
      </c>
      <c r="G80" s="0" t="inlineStr">
        <is>
          <t>NULL</t>
        </is>
      </c>
      <c r="H80" s="0" t="inlineStr">
        <is>
          <t>NULL</t>
        </is>
      </c>
      <c r="I80" s="0" t="inlineStr">
        <is>
          <t>NULL</t>
        </is>
      </c>
      <c r="J80" s="0" t="inlineStr">
        <is>
          <t>NULL</t>
        </is>
      </c>
      <c r="K80" s="0" t="inlineStr">
        <is>
          <t>YES! 	 c_varbinary_100列源备映射正确，源端为varbinary 100位	期望更改为varbinary(n)	实际备端为varbinary 100位</t>
        </is>
      </c>
    </row>
    <row r="81">
      <c r="B81" s="0" t="inlineStr">
        <is>
          <t>NULL</t>
        </is>
      </c>
      <c r="C81" s="0" t="inlineStr">
        <is>
          <t>NULL</t>
        </is>
      </c>
      <c r="D81" s="0" t="inlineStr">
        <is>
          <t>NULL</t>
        </is>
      </c>
      <c r="E81" s="0" t="inlineStr">
        <is>
          <t>NULL</t>
        </is>
      </c>
      <c r="F81" s="0" t="inlineStr">
        <is>
          <t>NULL</t>
        </is>
      </c>
      <c r="G81" s="0" t="inlineStr">
        <is>
          <t>NULL</t>
        </is>
      </c>
      <c r="H81" s="0" t="inlineStr">
        <is>
          <t>NULL</t>
        </is>
      </c>
      <c r="I81" s="0" t="inlineStr">
        <is>
          <t>NULL</t>
        </is>
      </c>
      <c r="J81" s="0" t="inlineStr">
        <is>
          <t>NULL</t>
        </is>
      </c>
      <c r="K81" s="0" t="inlineStr">
        <is>
          <t>YES! 	 c_varbinary_8000列源备映射正确，源端为varbinary 8000位	期望更改为varbinary(n)	实际备端为varbinary 8000位</t>
        </is>
      </c>
    </row>
    <row r="82">
      <c r="A82" s="0" t="inlineStr">
        <is>
          <t>info_time_dml_batch1_pk_urp1</t>
        </is>
      </c>
      <c r="K82" s="0" t="inlineStr">
        <is>
          <t>[0;34m info_time_dml_batch1_pk_urp1 [0m源备字段数相同，源端字段：9 	备端字段9</t>
        </is>
      </c>
      <c r="W82" s="0" t="inlineStr">
        <is>
          <t>YES 源备无差异</t>
        </is>
      </c>
      <c r="X82" s="0">
        <f>A82</f>
        <v/>
      </c>
    </row>
    <row r="83">
      <c r="B83" s="0" t="inlineStr">
        <is>
          <t>YES</t>
        </is>
      </c>
      <c r="C83" s="0" t="inlineStr">
        <is>
          <t>NULL</t>
        </is>
      </c>
      <c r="D83" s="0" t="inlineStr">
        <is>
          <t>NULL</t>
        </is>
      </c>
      <c r="E83" s="0" t="inlineStr">
        <is>
          <t>NULL</t>
        </is>
      </c>
      <c r="F83" s="0" t="inlineStr">
        <is>
          <t>NULL</t>
        </is>
      </c>
      <c r="G83" s="0" t="inlineStr">
        <is>
          <t>NULL</t>
        </is>
      </c>
      <c r="H83" s="0" t="inlineStr">
        <is>
          <t>NULL</t>
        </is>
      </c>
      <c r="I83" s="0" t="inlineStr">
        <is>
          <t>YES!PK__info_tim__3213E83FB7AFA254</t>
        </is>
      </c>
      <c r="J83" s="0" t="inlineStr">
        <is>
          <t>YES! 主键相关索引</t>
        </is>
      </c>
      <c r="K83" s="0" t="inlineStr">
        <is>
          <t>YES! 	 id列源备映射正确，源端为int None位	期望更改为int	实际备端为int None位</t>
        </is>
      </c>
    </row>
    <row r="84">
      <c r="B84" s="0" t="inlineStr">
        <is>
          <t>NULL</t>
        </is>
      </c>
      <c r="C84" s="0" t="inlineStr">
        <is>
          <t>NULL</t>
        </is>
      </c>
      <c r="D84" s="0" t="inlineStr">
        <is>
          <t>NULL</t>
        </is>
      </c>
      <c r="E84" s="0" t="inlineStr">
        <is>
          <t>NULL</t>
        </is>
      </c>
      <c r="F84" s="0" t="inlineStr">
        <is>
          <t>NULL</t>
        </is>
      </c>
      <c r="G84" s="0" t="inlineStr">
        <is>
          <t>NULL</t>
        </is>
      </c>
      <c r="H84" s="0" t="inlineStr">
        <is>
          <t>NULL</t>
        </is>
      </c>
      <c r="I84" s="0" t="inlineStr">
        <is>
          <t>NULL</t>
        </is>
      </c>
      <c r="J84" s="0" t="inlineStr">
        <is>
          <t>NULL</t>
        </is>
      </c>
      <c r="K84" s="0" t="inlineStr">
        <is>
          <t>no,len不存在</t>
        </is>
      </c>
    </row>
    <row r="85">
      <c r="B85" s="0" t="inlineStr">
        <is>
          <t>NULL</t>
        </is>
      </c>
      <c r="C85" s="0" t="inlineStr">
        <is>
          <t>NULL</t>
        </is>
      </c>
      <c r="D85" s="0" t="inlineStr">
        <is>
          <t>NULL</t>
        </is>
      </c>
      <c r="E85" s="0" t="inlineStr">
        <is>
          <t>NULL</t>
        </is>
      </c>
      <c r="F85" s="0" t="inlineStr">
        <is>
          <t>NULL</t>
        </is>
      </c>
      <c r="G85" s="0" t="inlineStr">
        <is>
          <t>NULL</t>
        </is>
      </c>
      <c r="H85" s="0" t="inlineStr">
        <is>
          <t>NULL</t>
        </is>
      </c>
      <c r="I85" s="0" t="inlineStr">
        <is>
          <t>NULL</t>
        </is>
      </c>
      <c r="J85" s="0" t="inlineStr">
        <is>
          <t>NULL</t>
        </is>
      </c>
      <c r="K85" s="0" t="inlineStr">
        <is>
          <t>YES! 	 c_time1列源备映射正确，源端为time None位	期望更改为time(n)	实际备端为time None位</t>
        </is>
      </c>
    </row>
    <row r="86">
      <c r="B86" s="0" t="inlineStr">
        <is>
          <t>NULL</t>
        </is>
      </c>
      <c r="C86" s="0" t="inlineStr">
        <is>
          <t>NULL</t>
        </is>
      </c>
      <c r="D86" s="0" t="inlineStr">
        <is>
          <t>NULL</t>
        </is>
      </c>
      <c r="E86" s="0" t="inlineStr">
        <is>
          <t>NULL</t>
        </is>
      </c>
      <c r="F86" s="0" t="inlineStr">
        <is>
          <t>NULL</t>
        </is>
      </c>
      <c r="G86" s="0" t="inlineStr">
        <is>
          <t>NULL</t>
        </is>
      </c>
      <c r="H86" s="0" t="inlineStr">
        <is>
          <t>NULL</t>
        </is>
      </c>
      <c r="I86" s="0" t="inlineStr">
        <is>
          <t>NULL</t>
        </is>
      </c>
      <c r="J86" s="0" t="inlineStr">
        <is>
          <t>NULL</t>
        </is>
      </c>
      <c r="K86" s="0" t="inlineStr">
        <is>
          <t>YES! 	 c_time2列源备映射正确，源端为time None位	期望更改为time(n)	实际备端为time None位</t>
        </is>
      </c>
    </row>
    <row r="87">
      <c r="B87" s="0" t="inlineStr">
        <is>
          <t>NULL</t>
        </is>
      </c>
      <c r="C87" s="0" t="inlineStr">
        <is>
          <t>NULL</t>
        </is>
      </c>
      <c r="D87" s="0" t="inlineStr">
        <is>
          <t>NULL</t>
        </is>
      </c>
      <c r="E87" s="0" t="inlineStr">
        <is>
          <t>NULL</t>
        </is>
      </c>
      <c r="F87" s="0" t="inlineStr">
        <is>
          <t>NULL</t>
        </is>
      </c>
      <c r="G87" s="0" t="inlineStr">
        <is>
          <t>NULL</t>
        </is>
      </c>
      <c r="H87" s="0" t="inlineStr">
        <is>
          <t>NULL</t>
        </is>
      </c>
      <c r="I87" s="0" t="inlineStr">
        <is>
          <t>NULL</t>
        </is>
      </c>
      <c r="J87" s="0" t="inlineStr">
        <is>
          <t>NULL</t>
        </is>
      </c>
      <c r="K87" s="0" t="inlineStr">
        <is>
          <t>YES! 	 c_time3列源备映射正确，源端为time None位	期望更改为time(n)	实际备端为time None位</t>
        </is>
      </c>
    </row>
    <row r="88">
      <c r="B88" s="0" t="inlineStr">
        <is>
          <t>NULL</t>
        </is>
      </c>
      <c r="C88" s="0" t="inlineStr">
        <is>
          <t>NULL</t>
        </is>
      </c>
      <c r="D88" s="0" t="inlineStr">
        <is>
          <t>NULL</t>
        </is>
      </c>
      <c r="E88" s="0" t="inlineStr">
        <is>
          <t>NULL</t>
        </is>
      </c>
      <c r="F88" s="0" t="inlineStr">
        <is>
          <t>NULL</t>
        </is>
      </c>
      <c r="G88" s="0" t="inlineStr">
        <is>
          <t>NULL</t>
        </is>
      </c>
      <c r="H88" s="0" t="inlineStr">
        <is>
          <t>NULL</t>
        </is>
      </c>
      <c r="I88" s="0" t="inlineStr">
        <is>
          <t>NULL</t>
        </is>
      </c>
      <c r="J88" s="0" t="inlineStr">
        <is>
          <t>NULL</t>
        </is>
      </c>
      <c r="K88" s="0" t="inlineStr">
        <is>
          <t>YES! 	 c_time4列源备映射正确，源端为time None位	期望更改为time(n)	实际备端为time None位</t>
        </is>
      </c>
    </row>
    <row r="89">
      <c r="B89" s="0" t="inlineStr">
        <is>
          <t>NULL</t>
        </is>
      </c>
      <c r="C89" s="0" t="inlineStr">
        <is>
          <t>NULL</t>
        </is>
      </c>
      <c r="D89" s="0" t="inlineStr">
        <is>
          <t>NULL</t>
        </is>
      </c>
      <c r="E89" s="0" t="inlineStr">
        <is>
          <t>NULL</t>
        </is>
      </c>
      <c r="F89" s="0" t="inlineStr">
        <is>
          <t>NULL</t>
        </is>
      </c>
      <c r="G89" s="0" t="inlineStr">
        <is>
          <t>NULL</t>
        </is>
      </c>
      <c r="H89" s="0" t="inlineStr">
        <is>
          <t>NULL</t>
        </is>
      </c>
      <c r="I89" s="0" t="inlineStr">
        <is>
          <t>NULL</t>
        </is>
      </c>
      <c r="J89" s="0" t="inlineStr">
        <is>
          <t>NULL</t>
        </is>
      </c>
      <c r="K89" s="0" t="inlineStr">
        <is>
          <t>YES! 	 c_time5列源备映射正确，源端为time None位	期望更改为time(n)	实际备端为time None位</t>
        </is>
      </c>
    </row>
    <row r="90">
      <c r="B90" s="0" t="inlineStr">
        <is>
          <t>NULL</t>
        </is>
      </c>
      <c r="C90" s="0" t="inlineStr">
        <is>
          <t>NULL</t>
        </is>
      </c>
      <c r="D90" s="0" t="inlineStr">
        <is>
          <t>NULL</t>
        </is>
      </c>
      <c r="E90" s="0" t="inlineStr">
        <is>
          <t>NULL</t>
        </is>
      </c>
      <c r="F90" s="0" t="inlineStr">
        <is>
          <t>NULL</t>
        </is>
      </c>
      <c r="G90" s="0" t="inlineStr">
        <is>
          <t>NULL</t>
        </is>
      </c>
      <c r="H90" s="0" t="inlineStr">
        <is>
          <t>NULL</t>
        </is>
      </c>
      <c r="I90" s="0" t="inlineStr">
        <is>
          <t>NULL</t>
        </is>
      </c>
      <c r="J90" s="0" t="inlineStr">
        <is>
          <t>NULL</t>
        </is>
      </c>
      <c r="K90" s="0" t="inlineStr">
        <is>
          <t>YES! 	 c_time6列源备映射正确，源端为time None位	期望更改为time(n)	实际备端为time None位</t>
        </is>
      </c>
    </row>
    <row r="91">
      <c r="B91" s="0" t="inlineStr">
        <is>
          <t>NULL</t>
        </is>
      </c>
      <c r="C91" s="0" t="inlineStr">
        <is>
          <t>NULL</t>
        </is>
      </c>
      <c r="D91" s="0" t="inlineStr">
        <is>
          <t>NULL</t>
        </is>
      </c>
      <c r="E91" s="0" t="inlineStr">
        <is>
          <t>NULL</t>
        </is>
      </c>
      <c r="F91" s="0" t="inlineStr">
        <is>
          <t>NULL</t>
        </is>
      </c>
      <c r="G91" s="0" t="inlineStr">
        <is>
          <t>NULL</t>
        </is>
      </c>
      <c r="H91" s="0" t="inlineStr">
        <is>
          <t>NULL</t>
        </is>
      </c>
      <c r="I91" s="0" t="inlineStr">
        <is>
          <t>NULL</t>
        </is>
      </c>
      <c r="J91" s="0" t="inlineStr">
        <is>
          <t>NULL</t>
        </is>
      </c>
      <c r="K91" s="0" t="inlineStr">
        <is>
          <t>YES! 	 c_time列源备映射正确，源端为time None位	期望更改为time(n)	实际备端为time None位</t>
        </is>
      </c>
    </row>
    <row r="92">
      <c r="A92" s="0" t="inlineStr">
        <is>
          <t>info_char_dml_batch1_pk_irp1</t>
        </is>
      </c>
      <c r="K92" s="0" t="inlineStr">
        <is>
          <t>[0;34m info_char_dml_batch1_pk_irp1 [0m源备字段数相同，源端字段：4 	备端字段4</t>
        </is>
      </c>
      <c r="W92" s="0" t="inlineStr">
        <is>
          <t>YES 源备无差异</t>
        </is>
      </c>
      <c r="X92" s="0">
        <f>A92</f>
        <v/>
      </c>
    </row>
    <row r="93">
      <c r="B93" s="0" t="inlineStr">
        <is>
          <t>YES</t>
        </is>
      </c>
      <c r="C93" s="0" t="inlineStr">
        <is>
          <t>NULL</t>
        </is>
      </c>
      <c r="D93" s="0" t="inlineStr">
        <is>
          <t>NULL</t>
        </is>
      </c>
      <c r="E93" s="0" t="inlineStr">
        <is>
          <t>NULL</t>
        </is>
      </c>
      <c r="F93" s="0" t="inlineStr">
        <is>
          <t>NULL</t>
        </is>
      </c>
      <c r="G93" s="0" t="inlineStr">
        <is>
          <t>NULL</t>
        </is>
      </c>
      <c r="H93" s="0" t="inlineStr">
        <is>
          <t>NULL</t>
        </is>
      </c>
      <c r="I93" s="0" t="inlineStr">
        <is>
          <t>YES!PK__info_cha__3213E83F0B0734D3</t>
        </is>
      </c>
      <c r="J93" s="0" t="inlineStr">
        <is>
          <t>YES! 主键相关索引</t>
        </is>
      </c>
      <c r="K93" s="0" t="inlineStr">
        <is>
          <t>YES! 	 id列源备映射正确，源端为int None位	期望更改为int	实际备端为int None位</t>
        </is>
      </c>
    </row>
    <row r="94">
      <c r="B94" s="0" t="inlineStr">
        <is>
          <t>NULL</t>
        </is>
      </c>
      <c r="C94" s="0" t="inlineStr">
        <is>
          <t>NULL</t>
        </is>
      </c>
      <c r="D94" s="0" t="inlineStr">
        <is>
          <t>NULL</t>
        </is>
      </c>
      <c r="E94" s="0" t="inlineStr">
        <is>
          <t>NULL</t>
        </is>
      </c>
      <c r="F94" s="0" t="inlineStr">
        <is>
          <t>NULL</t>
        </is>
      </c>
      <c r="G94" s="0" t="inlineStr">
        <is>
          <t>NULL</t>
        </is>
      </c>
      <c r="H94" s="0" t="inlineStr">
        <is>
          <t>NULL</t>
        </is>
      </c>
      <c r="I94" s="0" t="inlineStr">
        <is>
          <t>NULL</t>
        </is>
      </c>
      <c r="J94" s="0" t="inlineStr">
        <is>
          <t>NULL</t>
        </is>
      </c>
      <c r="K94" s="0" t="inlineStr">
        <is>
          <t>YES! 	 c_char列源备映射正确，源端为char 1位	期望更改为char(n)	实际备端为char 1位</t>
        </is>
      </c>
    </row>
    <row r="95">
      <c r="B95" s="0" t="inlineStr">
        <is>
          <t>NULL</t>
        </is>
      </c>
      <c r="C95" s="0" t="inlineStr">
        <is>
          <t>NULL</t>
        </is>
      </c>
      <c r="D95" s="0" t="inlineStr">
        <is>
          <t>NULL</t>
        </is>
      </c>
      <c r="E95" s="0" t="inlineStr">
        <is>
          <t>NULL</t>
        </is>
      </c>
      <c r="F95" s="0" t="inlineStr">
        <is>
          <t>NULL</t>
        </is>
      </c>
      <c r="G95" s="0" t="inlineStr">
        <is>
          <t>NULL</t>
        </is>
      </c>
      <c r="H95" s="0" t="inlineStr">
        <is>
          <t>NULL</t>
        </is>
      </c>
      <c r="I95" s="0" t="inlineStr">
        <is>
          <t>NULL</t>
        </is>
      </c>
      <c r="J95" s="0" t="inlineStr">
        <is>
          <t>NULL</t>
        </is>
      </c>
      <c r="K95" s="0" t="inlineStr">
        <is>
          <t>YES! 	 c_char20列源备映射正确，源端为char 20位	期望更改为char(n)	实际备端为char 20位</t>
        </is>
      </c>
    </row>
    <row r="96">
      <c r="B96" s="0" t="inlineStr">
        <is>
          <t>NULL</t>
        </is>
      </c>
      <c r="C96" s="0" t="inlineStr">
        <is>
          <t>NULL</t>
        </is>
      </c>
      <c r="D96" s="0" t="inlineStr">
        <is>
          <t>NULL</t>
        </is>
      </c>
      <c r="E96" s="0" t="inlineStr">
        <is>
          <t>NULL</t>
        </is>
      </c>
      <c r="F96" s="0" t="inlineStr">
        <is>
          <t>NULL</t>
        </is>
      </c>
      <c r="G96" s="0" t="inlineStr">
        <is>
          <t>NULL</t>
        </is>
      </c>
      <c r="H96" s="0" t="inlineStr">
        <is>
          <t>NULL</t>
        </is>
      </c>
      <c r="I96" s="0" t="inlineStr">
        <is>
          <t>NULL</t>
        </is>
      </c>
      <c r="J96" s="0" t="inlineStr">
        <is>
          <t>NULL</t>
        </is>
      </c>
      <c r="K96" s="0" t="inlineStr">
        <is>
          <t>YES! 	 c_char8000列源备映射正确，源端为char 8000位	期望更改为char(n)	实际备端为char 8000位</t>
        </is>
      </c>
    </row>
    <row r="97">
      <c r="A97" s="0" t="inlineStr">
        <is>
          <t>info_time_dml_batch1_pk_urp2</t>
        </is>
      </c>
      <c r="K97" s="0" t="inlineStr">
        <is>
          <t>[0;34m info_time_dml_batch1_pk_urp2 [0m源备字段数相同，源端字段：9 	备端字段9</t>
        </is>
      </c>
      <c r="W97" s="0" t="inlineStr">
        <is>
          <t>YES 源备无差异</t>
        </is>
      </c>
      <c r="X97" s="0">
        <f>A97</f>
        <v/>
      </c>
    </row>
    <row r="98">
      <c r="B98" s="0" t="inlineStr">
        <is>
          <t>YES</t>
        </is>
      </c>
      <c r="C98" s="0" t="inlineStr">
        <is>
          <t>NULL</t>
        </is>
      </c>
      <c r="D98" s="0" t="inlineStr">
        <is>
          <t>NULL</t>
        </is>
      </c>
      <c r="E98" s="0" t="inlineStr">
        <is>
          <t>NULL</t>
        </is>
      </c>
      <c r="F98" s="0" t="inlineStr">
        <is>
          <t>NULL</t>
        </is>
      </c>
      <c r="G98" s="0" t="inlineStr">
        <is>
          <t>NULL</t>
        </is>
      </c>
      <c r="H98" s="0" t="inlineStr">
        <is>
          <t>NULL</t>
        </is>
      </c>
      <c r="I98" s="0" t="inlineStr">
        <is>
          <t>YES!PK__info_tim__3213E83F7BBC653D</t>
        </is>
      </c>
      <c r="J98" s="0" t="inlineStr">
        <is>
          <t>YES! 主键相关索引</t>
        </is>
      </c>
      <c r="K98" s="0" t="inlineStr">
        <is>
          <t>YES! 	 id列源备映射正确，源端为int None位	期望更改为int	实际备端为int None位</t>
        </is>
      </c>
    </row>
    <row r="99">
      <c r="B99" s="0" t="inlineStr">
        <is>
          <t>NULL</t>
        </is>
      </c>
      <c r="C99" s="0" t="inlineStr">
        <is>
          <t>NULL</t>
        </is>
      </c>
      <c r="D99" s="0" t="inlineStr">
        <is>
          <t>NULL</t>
        </is>
      </c>
      <c r="E99" s="0" t="inlineStr">
        <is>
          <t>NULL</t>
        </is>
      </c>
      <c r="F99" s="0" t="inlineStr">
        <is>
          <t>NULL</t>
        </is>
      </c>
      <c r="G99" s="0" t="inlineStr">
        <is>
          <t>NULL</t>
        </is>
      </c>
      <c r="H99" s="0" t="inlineStr">
        <is>
          <t>NULL</t>
        </is>
      </c>
      <c r="I99" s="0" t="inlineStr">
        <is>
          <t>NULL</t>
        </is>
      </c>
      <c r="J99" s="0" t="inlineStr">
        <is>
          <t>NULL</t>
        </is>
      </c>
      <c r="K99" s="0" t="inlineStr">
        <is>
          <t>no,len不存在</t>
        </is>
      </c>
    </row>
    <row r="100">
      <c r="B100" s="0" t="inlineStr">
        <is>
          <t>NULL</t>
        </is>
      </c>
      <c r="C100" s="0" t="inlineStr">
        <is>
          <t>NULL</t>
        </is>
      </c>
      <c r="D100" s="0" t="inlineStr">
        <is>
          <t>NULL</t>
        </is>
      </c>
      <c r="E100" s="0" t="inlineStr">
        <is>
          <t>NULL</t>
        </is>
      </c>
      <c r="F100" s="0" t="inlineStr">
        <is>
          <t>NULL</t>
        </is>
      </c>
      <c r="G100" s="0" t="inlineStr">
        <is>
          <t>NULL</t>
        </is>
      </c>
      <c r="H100" s="0" t="inlineStr">
        <is>
          <t>NULL</t>
        </is>
      </c>
      <c r="I100" s="0" t="inlineStr">
        <is>
          <t>NULL</t>
        </is>
      </c>
      <c r="J100" s="0" t="inlineStr">
        <is>
          <t>NULL</t>
        </is>
      </c>
      <c r="K100" s="0" t="inlineStr">
        <is>
          <t>YES! 	 c_time1列源备映射正确，源端为time None位	期望更改为time(n)	实际备端为time None位</t>
        </is>
      </c>
    </row>
    <row r="101">
      <c r="B101" s="0" t="inlineStr">
        <is>
          <t>NULL</t>
        </is>
      </c>
      <c r="C101" s="0" t="inlineStr">
        <is>
          <t>NULL</t>
        </is>
      </c>
      <c r="D101" s="0" t="inlineStr">
        <is>
          <t>NULL</t>
        </is>
      </c>
      <c r="E101" s="0" t="inlineStr">
        <is>
          <t>NULL</t>
        </is>
      </c>
      <c r="F101" s="0" t="inlineStr">
        <is>
          <t>NULL</t>
        </is>
      </c>
      <c r="G101" s="0" t="inlineStr">
        <is>
          <t>NULL</t>
        </is>
      </c>
      <c r="H101" s="0" t="inlineStr">
        <is>
          <t>NULL</t>
        </is>
      </c>
      <c r="I101" s="0" t="inlineStr">
        <is>
          <t>NULL</t>
        </is>
      </c>
      <c r="J101" s="0" t="inlineStr">
        <is>
          <t>NULL</t>
        </is>
      </c>
      <c r="K101" s="0" t="inlineStr">
        <is>
          <t>YES! 	 c_time2列源备映射正确，源端为time None位	期望更改为time(n)	实际备端为time None位</t>
        </is>
      </c>
    </row>
    <row r="102">
      <c r="B102" s="0" t="inlineStr">
        <is>
          <t>NULL</t>
        </is>
      </c>
      <c r="C102" s="0" t="inlineStr">
        <is>
          <t>NULL</t>
        </is>
      </c>
      <c r="D102" s="0" t="inlineStr">
        <is>
          <t>NULL</t>
        </is>
      </c>
      <c r="E102" s="0" t="inlineStr">
        <is>
          <t>NULL</t>
        </is>
      </c>
      <c r="F102" s="0" t="inlineStr">
        <is>
          <t>NULL</t>
        </is>
      </c>
      <c r="G102" s="0" t="inlineStr">
        <is>
          <t>NULL</t>
        </is>
      </c>
      <c r="H102" s="0" t="inlineStr">
        <is>
          <t>NULL</t>
        </is>
      </c>
      <c r="I102" s="0" t="inlineStr">
        <is>
          <t>NULL</t>
        </is>
      </c>
      <c r="J102" s="0" t="inlineStr">
        <is>
          <t>NULL</t>
        </is>
      </c>
      <c r="K102" s="0" t="inlineStr">
        <is>
          <t>YES! 	 c_time3列源备映射正确，源端为time None位	期望更改为time(n)	实际备端为time None位</t>
        </is>
      </c>
    </row>
    <row r="103">
      <c r="B103" s="0" t="inlineStr">
        <is>
          <t>NULL</t>
        </is>
      </c>
      <c r="C103" s="0" t="inlineStr">
        <is>
          <t>NULL</t>
        </is>
      </c>
      <c r="D103" s="0" t="inlineStr">
        <is>
          <t>NULL</t>
        </is>
      </c>
      <c r="E103" s="0" t="inlineStr">
        <is>
          <t>NULL</t>
        </is>
      </c>
      <c r="F103" s="0" t="inlineStr">
        <is>
          <t>NULL</t>
        </is>
      </c>
      <c r="G103" s="0" t="inlineStr">
        <is>
          <t>NULL</t>
        </is>
      </c>
      <c r="H103" s="0" t="inlineStr">
        <is>
          <t>NULL</t>
        </is>
      </c>
      <c r="I103" s="0" t="inlineStr">
        <is>
          <t>NULL</t>
        </is>
      </c>
      <c r="J103" s="0" t="inlineStr">
        <is>
          <t>NULL</t>
        </is>
      </c>
      <c r="K103" s="0" t="inlineStr">
        <is>
          <t>YES! 	 c_time4列源备映射正确，源端为time None位	期望更改为time(n)	实际备端为time None位</t>
        </is>
      </c>
    </row>
    <row r="104">
      <c r="B104" s="0" t="inlineStr">
        <is>
          <t>NULL</t>
        </is>
      </c>
      <c r="C104" s="0" t="inlineStr">
        <is>
          <t>NULL</t>
        </is>
      </c>
      <c r="D104" s="0" t="inlineStr">
        <is>
          <t>NULL</t>
        </is>
      </c>
      <c r="E104" s="0" t="inlineStr">
        <is>
          <t>NULL</t>
        </is>
      </c>
      <c r="F104" s="0" t="inlineStr">
        <is>
          <t>NULL</t>
        </is>
      </c>
      <c r="G104" s="0" t="inlineStr">
        <is>
          <t>NULL</t>
        </is>
      </c>
      <c r="H104" s="0" t="inlineStr">
        <is>
          <t>NULL</t>
        </is>
      </c>
      <c r="I104" s="0" t="inlineStr">
        <is>
          <t>NULL</t>
        </is>
      </c>
      <c r="J104" s="0" t="inlineStr">
        <is>
          <t>NULL</t>
        </is>
      </c>
      <c r="K104" s="0" t="inlineStr">
        <is>
          <t>YES! 	 c_time5列源备映射正确，源端为time None位	期望更改为time(n)	实际备端为time None位</t>
        </is>
      </c>
    </row>
    <row r="105">
      <c r="B105" s="0" t="inlineStr">
        <is>
          <t>NULL</t>
        </is>
      </c>
      <c r="C105" s="0" t="inlineStr">
        <is>
          <t>NULL</t>
        </is>
      </c>
      <c r="D105" s="0" t="inlineStr">
        <is>
          <t>NULL</t>
        </is>
      </c>
      <c r="E105" s="0" t="inlineStr">
        <is>
          <t>NULL</t>
        </is>
      </c>
      <c r="F105" s="0" t="inlineStr">
        <is>
          <t>NULL</t>
        </is>
      </c>
      <c r="G105" s="0" t="inlineStr">
        <is>
          <t>NULL</t>
        </is>
      </c>
      <c r="H105" s="0" t="inlineStr">
        <is>
          <t>NULL</t>
        </is>
      </c>
      <c r="I105" s="0" t="inlineStr">
        <is>
          <t>NULL</t>
        </is>
      </c>
      <c r="J105" s="0" t="inlineStr">
        <is>
          <t>NULL</t>
        </is>
      </c>
      <c r="K105" s="0" t="inlineStr">
        <is>
          <t>YES! 	 c_time6列源备映射正确，源端为time None位	期望更改为time(n)	实际备端为time None位</t>
        </is>
      </c>
    </row>
    <row r="106">
      <c r="B106" s="0" t="inlineStr">
        <is>
          <t>NULL</t>
        </is>
      </c>
      <c r="C106" s="0" t="inlineStr">
        <is>
          <t>NULL</t>
        </is>
      </c>
      <c r="D106" s="0" t="inlineStr">
        <is>
          <t>NULL</t>
        </is>
      </c>
      <c r="E106" s="0" t="inlineStr">
        <is>
          <t>NULL</t>
        </is>
      </c>
      <c r="F106" s="0" t="inlineStr">
        <is>
          <t>NULL</t>
        </is>
      </c>
      <c r="G106" s="0" t="inlineStr">
        <is>
          <t>NULL</t>
        </is>
      </c>
      <c r="H106" s="0" t="inlineStr">
        <is>
          <t>NULL</t>
        </is>
      </c>
      <c r="I106" s="0" t="inlineStr">
        <is>
          <t>NULL</t>
        </is>
      </c>
      <c r="J106" s="0" t="inlineStr">
        <is>
          <t>NULL</t>
        </is>
      </c>
      <c r="K106" s="0" t="inlineStr">
        <is>
          <t>YES! 	 c_time列源备映射正确，源端为time None位	期望更改为time(n)	实际备端为time None位</t>
        </is>
      </c>
    </row>
    <row r="107">
      <c r="A107" s="0" t="inlineStr">
        <is>
          <t>info_hierarchyid_dml_single_nopk_irp</t>
        </is>
      </c>
      <c r="K107" s="0" t="inlineStr">
        <is>
          <t>[0;34m info_hierarchyid_dml_single_nopk_irp [0m源备字段数相同，源端字段：2 	备端字段2</t>
        </is>
      </c>
      <c r="W107" s="0" t="inlineStr">
        <is>
          <t>YES 源备无差异</t>
        </is>
      </c>
      <c r="X107" s="0">
        <f>A107</f>
        <v/>
      </c>
    </row>
    <row r="108">
      <c r="B108" s="0" t="inlineStr">
        <is>
          <t>NULL</t>
        </is>
      </c>
      <c r="C108" s="0" t="inlineStr">
        <is>
          <t>NULL</t>
        </is>
      </c>
      <c r="D108" s="0" t="inlineStr">
        <is>
          <t>NULL</t>
        </is>
      </c>
      <c r="E108" s="0" t="inlineStr">
        <is>
          <t>NULL</t>
        </is>
      </c>
      <c r="F108" s="0" t="inlineStr">
        <is>
          <t>NULL</t>
        </is>
      </c>
      <c r="G108" s="0" t="inlineStr">
        <is>
          <t>NULL</t>
        </is>
      </c>
      <c r="H108" s="0" t="inlineStr">
        <is>
          <t>NULL</t>
        </is>
      </c>
      <c r="I108" s="0" t="inlineStr">
        <is>
          <t>NULL</t>
        </is>
      </c>
      <c r="J108" s="0" t="inlineStr">
        <is>
          <t>NULL</t>
        </is>
      </c>
      <c r="K108" s="0" t="inlineStr">
        <is>
          <t>YES! 	 id列源备映射正确，源端为int None位	期望更改为int	实际备端为int None位</t>
        </is>
      </c>
    </row>
    <row r="109">
      <c r="B109" s="0" t="inlineStr">
        <is>
          <t>NULL</t>
        </is>
      </c>
      <c r="C109" s="0" t="inlineStr">
        <is>
          <t>NULL</t>
        </is>
      </c>
      <c r="D109" s="0" t="inlineStr">
        <is>
          <t>NULL</t>
        </is>
      </c>
      <c r="E109" s="0" t="inlineStr">
        <is>
          <t>NULL</t>
        </is>
      </c>
      <c r="F109" s="0" t="inlineStr">
        <is>
          <t>NULL</t>
        </is>
      </c>
      <c r="G109" s="0" t="inlineStr">
        <is>
          <t>NULL</t>
        </is>
      </c>
      <c r="H109" s="0" t="inlineStr">
        <is>
          <t>NULL</t>
        </is>
      </c>
      <c r="I109" s="0" t="inlineStr">
        <is>
          <t>NULL</t>
        </is>
      </c>
      <c r="J109" s="0" t="inlineStr">
        <is>
          <t>NULL</t>
        </is>
      </c>
      <c r="K109" s="0" t="inlineStr">
        <is>
          <t>YES! 	 c_hierarchyid列源备映射正确，源端为hierarchyid 892位	期望更改为hierarchyid	实际备端为hierarchyid 892位</t>
        </is>
      </c>
    </row>
    <row r="110">
      <c r="A110" s="0" t="inlineStr">
        <is>
          <t>info_hierarchyid_dml_single_nopk_urp</t>
        </is>
      </c>
      <c r="K110" s="0" t="inlineStr">
        <is>
          <t>[0;34m info_hierarchyid_dml_single_nopk_urp [0m源备字段数相同，源端字段：2 	备端字段2</t>
        </is>
      </c>
      <c r="W110" s="0" t="inlineStr">
        <is>
          <t>YES 源备无差异</t>
        </is>
      </c>
      <c r="X110" s="0">
        <f>A110</f>
        <v/>
      </c>
    </row>
    <row r="111">
      <c r="B111" s="0" t="inlineStr">
        <is>
          <t>NULL</t>
        </is>
      </c>
      <c r="C111" s="0" t="inlineStr">
        <is>
          <t>NULL</t>
        </is>
      </c>
      <c r="D111" s="0" t="inlineStr">
        <is>
          <t>NULL</t>
        </is>
      </c>
      <c r="E111" s="0" t="inlineStr">
        <is>
          <t>NULL</t>
        </is>
      </c>
      <c r="F111" s="0" t="inlineStr">
        <is>
          <t>NULL</t>
        </is>
      </c>
      <c r="G111" s="0" t="inlineStr">
        <is>
          <t>NULL</t>
        </is>
      </c>
      <c r="H111" s="0" t="inlineStr">
        <is>
          <t>NULL</t>
        </is>
      </c>
      <c r="I111" s="0" t="inlineStr">
        <is>
          <t>NULL</t>
        </is>
      </c>
      <c r="J111" s="0" t="inlineStr">
        <is>
          <t>NULL</t>
        </is>
      </c>
      <c r="K111" s="0" t="inlineStr">
        <is>
          <t>YES! 	 id列源备映射正确，源端为int None位	期望更改为int	实际备端为int None位</t>
        </is>
      </c>
    </row>
    <row r="112">
      <c r="B112" s="0" t="inlineStr">
        <is>
          <t>NULL</t>
        </is>
      </c>
      <c r="C112" s="0" t="inlineStr">
        <is>
          <t>NULL</t>
        </is>
      </c>
      <c r="D112" s="0" t="inlineStr">
        <is>
          <t>NULL</t>
        </is>
      </c>
      <c r="E112" s="0" t="inlineStr">
        <is>
          <t>NULL</t>
        </is>
      </c>
      <c r="F112" s="0" t="inlineStr">
        <is>
          <t>NULL</t>
        </is>
      </c>
      <c r="G112" s="0" t="inlineStr">
        <is>
          <t>NULL</t>
        </is>
      </c>
      <c r="H112" s="0" t="inlineStr">
        <is>
          <t>NULL</t>
        </is>
      </c>
      <c r="I112" s="0" t="inlineStr">
        <is>
          <t>NULL</t>
        </is>
      </c>
      <c r="J112" s="0" t="inlineStr">
        <is>
          <t>NULL</t>
        </is>
      </c>
      <c r="K112" s="0" t="inlineStr">
        <is>
          <t>YES! 	 c_hierarchyid列源备映射正确，源端为hierarchyid 892位	期望更改为hierarchyid	实际备端为hierarchyid 892位</t>
        </is>
      </c>
    </row>
    <row r="113">
      <c r="A113" s="0" t="inlineStr">
        <is>
          <t>info_varchar_dml_single_nopk_urp</t>
        </is>
      </c>
      <c r="K113" s="0" t="inlineStr">
        <is>
          <t>[0;34m info_varchar_dml_single_nopk_urp [0m源备字段数相同，源端字段：4 	备端字段4</t>
        </is>
      </c>
      <c r="W113" s="0" t="inlineStr">
        <is>
          <t>YES 源备无差异</t>
        </is>
      </c>
      <c r="X113" s="0">
        <f>A113</f>
        <v/>
      </c>
    </row>
    <row r="114">
      <c r="B114" s="0" t="inlineStr">
        <is>
          <t>NULL</t>
        </is>
      </c>
      <c r="C114" s="0" t="inlineStr">
        <is>
          <t>NULL</t>
        </is>
      </c>
      <c r="D114" s="0" t="inlineStr">
        <is>
          <t>NULL</t>
        </is>
      </c>
      <c r="E114" s="0" t="inlineStr">
        <is>
          <t>NULL</t>
        </is>
      </c>
      <c r="F114" s="0" t="inlineStr">
        <is>
          <t>NULL</t>
        </is>
      </c>
      <c r="G114" s="0" t="inlineStr">
        <is>
          <t>NULL</t>
        </is>
      </c>
      <c r="H114" s="0" t="inlineStr">
        <is>
          <t>NULL</t>
        </is>
      </c>
      <c r="I114" s="0" t="inlineStr">
        <is>
          <t>NULL</t>
        </is>
      </c>
      <c r="J114" s="0" t="inlineStr">
        <is>
          <t>NULL</t>
        </is>
      </c>
      <c r="K114" s="0" t="inlineStr">
        <is>
          <t>YES! 	 id列源备映射正确，源端为int None位	期望更改为int	实际备端为int None位</t>
        </is>
      </c>
    </row>
    <row r="115">
      <c r="B115" s="0" t="inlineStr">
        <is>
          <t>NULL</t>
        </is>
      </c>
      <c r="C115" s="0" t="inlineStr">
        <is>
          <t>NULL</t>
        </is>
      </c>
      <c r="D115" s="0" t="inlineStr">
        <is>
          <t>NULL</t>
        </is>
      </c>
      <c r="E115" s="0" t="inlineStr">
        <is>
          <t>NULL</t>
        </is>
      </c>
      <c r="F115" s="0" t="inlineStr">
        <is>
          <t>NULL</t>
        </is>
      </c>
      <c r="G115" s="0" t="inlineStr">
        <is>
          <t>NULL</t>
        </is>
      </c>
      <c r="H115" s="0" t="inlineStr">
        <is>
          <t>NULL</t>
        </is>
      </c>
      <c r="I115" s="0" t="inlineStr">
        <is>
          <t>NULL</t>
        </is>
      </c>
      <c r="J115" s="0" t="inlineStr">
        <is>
          <t>NULL</t>
        </is>
      </c>
      <c r="K115" s="0" t="inlineStr">
        <is>
          <t>YES! 	 c_varchar列源备映射正确，源端为varchar 1位	期望更改为varchar(n)	实际备端为varchar 1位</t>
        </is>
      </c>
    </row>
    <row r="116">
      <c r="B116" s="0" t="inlineStr">
        <is>
          <t>NULL</t>
        </is>
      </c>
      <c r="C116" s="0" t="inlineStr">
        <is>
          <t>NULL</t>
        </is>
      </c>
      <c r="D116" s="0" t="inlineStr">
        <is>
          <t>NULL</t>
        </is>
      </c>
      <c r="E116" s="0" t="inlineStr">
        <is>
          <t>NULL</t>
        </is>
      </c>
      <c r="F116" s="0" t="inlineStr">
        <is>
          <t>NULL</t>
        </is>
      </c>
      <c r="G116" s="0" t="inlineStr">
        <is>
          <t>NULL</t>
        </is>
      </c>
      <c r="H116" s="0" t="inlineStr">
        <is>
          <t>NULL</t>
        </is>
      </c>
      <c r="I116" s="0" t="inlineStr">
        <is>
          <t>NULL</t>
        </is>
      </c>
      <c r="J116" s="0" t="inlineStr">
        <is>
          <t>NULL</t>
        </is>
      </c>
      <c r="K116" s="0" t="inlineStr">
        <is>
          <t>YES! 	 c_varchar50列源备映射正确，源端为varchar 50位	期望更改为varchar(n)	实际备端为varchar 50位</t>
        </is>
      </c>
    </row>
    <row r="117">
      <c r="B117" s="0" t="inlineStr">
        <is>
          <t>NULL</t>
        </is>
      </c>
      <c r="C117" s="0" t="inlineStr">
        <is>
          <t>NULL</t>
        </is>
      </c>
      <c r="D117" s="0" t="inlineStr">
        <is>
          <t>NULL</t>
        </is>
      </c>
      <c r="E117" s="0" t="inlineStr">
        <is>
          <t>NULL</t>
        </is>
      </c>
      <c r="F117" s="0" t="inlineStr">
        <is>
          <t>NULL</t>
        </is>
      </c>
      <c r="G117" s="0" t="inlineStr">
        <is>
          <t>NULL</t>
        </is>
      </c>
      <c r="H117" s="0" t="inlineStr">
        <is>
          <t>NULL</t>
        </is>
      </c>
      <c r="I117" s="0" t="inlineStr">
        <is>
          <t>NULL</t>
        </is>
      </c>
      <c r="J117" s="0" t="inlineStr">
        <is>
          <t>NULL</t>
        </is>
      </c>
      <c r="K117" s="0" t="inlineStr">
        <is>
          <t>YES! 	 c_varchar8000列源备映射正确，源端为varchar 8000位	期望更改为varchar(n)	实际备端为varchar 8000位</t>
        </is>
      </c>
    </row>
    <row r="118">
      <c r="A118" s="0" t="inlineStr">
        <is>
          <t>info_hierarchyid_dml_single_nopk_drp</t>
        </is>
      </c>
      <c r="K118" s="0" t="inlineStr">
        <is>
          <t>[0;34m info_hierarchyid_dml_single_nopk_drp [0m源备字段数相同，源端字段：2 	备端字段2</t>
        </is>
      </c>
      <c r="W118" s="0" t="inlineStr">
        <is>
          <t>YES 源备无差异</t>
        </is>
      </c>
      <c r="X118" s="0">
        <f>A118</f>
        <v/>
      </c>
    </row>
    <row r="119">
      <c r="B119" s="0" t="inlineStr">
        <is>
          <t>NULL</t>
        </is>
      </c>
      <c r="C119" s="0" t="inlineStr">
        <is>
          <t>NULL</t>
        </is>
      </c>
      <c r="D119" s="0" t="inlineStr">
        <is>
          <t>NULL</t>
        </is>
      </c>
      <c r="E119" s="0" t="inlineStr">
        <is>
          <t>NULL</t>
        </is>
      </c>
      <c r="F119" s="0" t="inlineStr">
        <is>
          <t>NULL</t>
        </is>
      </c>
      <c r="G119" s="0" t="inlineStr">
        <is>
          <t>NULL</t>
        </is>
      </c>
      <c r="H119" s="0" t="inlineStr">
        <is>
          <t>NULL</t>
        </is>
      </c>
      <c r="I119" s="0" t="inlineStr">
        <is>
          <t>NULL</t>
        </is>
      </c>
      <c r="J119" s="0" t="inlineStr">
        <is>
          <t>NULL</t>
        </is>
      </c>
      <c r="K119" s="0" t="inlineStr">
        <is>
          <t>YES! 	 id列源备映射正确，源端为int None位	期望更改为int	实际备端为int None位</t>
        </is>
      </c>
    </row>
    <row r="120">
      <c r="B120" s="0" t="inlineStr">
        <is>
          <t>NULL</t>
        </is>
      </c>
      <c r="C120" s="0" t="inlineStr">
        <is>
          <t>NULL</t>
        </is>
      </c>
      <c r="D120" s="0" t="inlineStr">
        <is>
          <t>NULL</t>
        </is>
      </c>
      <c r="E120" s="0" t="inlineStr">
        <is>
          <t>NULL</t>
        </is>
      </c>
      <c r="F120" s="0" t="inlineStr">
        <is>
          <t>NULL</t>
        </is>
      </c>
      <c r="G120" s="0" t="inlineStr">
        <is>
          <t>NULL</t>
        </is>
      </c>
      <c r="H120" s="0" t="inlineStr">
        <is>
          <t>NULL</t>
        </is>
      </c>
      <c r="I120" s="0" t="inlineStr">
        <is>
          <t>NULL</t>
        </is>
      </c>
      <c r="J120" s="0" t="inlineStr">
        <is>
          <t>NULL</t>
        </is>
      </c>
      <c r="K120" s="0" t="inlineStr">
        <is>
          <t>YES! 	 c_hierarchyid列源备映射正确，源端为hierarchyid 892位	期望更改为hierarchyid	实际备端为hierarchyid 892位</t>
        </is>
      </c>
    </row>
    <row r="121">
      <c r="A121" s="0" t="inlineStr">
        <is>
          <t>info_time_dml_batch1_pk_drp1</t>
        </is>
      </c>
      <c r="K121" s="0" t="inlineStr">
        <is>
          <t>[0;34m info_time_dml_batch1_pk_drp1 [0m源备字段数相同，源端字段：9 	备端字段9</t>
        </is>
      </c>
      <c r="W121" s="0" t="inlineStr">
        <is>
          <t>YES 源备无差异</t>
        </is>
      </c>
      <c r="X121" s="0">
        <f>A121</f>
        <v/>
      </c>
    </row>
    <row r="122">
      <c r="B122" s="0" t="inlineStr">
        <is>
          <t>YES</t>
        </is>
      </c>
      <c r="C122" s="0" t="inlineStr">
        <is>
          <t>NULL</t>
        </is>
      </c>
      <c r="D122" s="0" t="inlineStr">
        <is>
          <t>NULL</t>
        </is>
      </c>
      <c r="E122" s="0" t="inlineStr">
        <is>
          <t>NULL</t>
        </is>
      </c>
      <c r="F122" s="0" t="inlineStr">
        <is>
          <t>NULL</t>
        </is>
      </c>
      <c r="G122" s="0" t="inlineStr">
        <is>
          <t>NULL</t>
        </is>
      </c>
      <c r="H122" s="0" t="inlineStr">
        <is>
          <t>NULL</t>
        </is>
      </c>
      <c r="I122" s="0" t="inlineStr">
        <is>
          <t>YES!PK__info_tim__3213E83F046A3DFB</t>
        </is>
      </c>
      <c r="J122" s="0" t="inlineStr">
        <is>
          <t>YES! 主键相关索引</t>
        </is>
      </c>
      <c r="K122" s="0" t="inlineStr">
        <is>
          <t>YES! 	 id列源备映射正确，源端为int None位	期望更改为int	实际备端为int None位</t>
        </is>
      </c>
    </row>
    <row r="123">
      <c r="B123" s="0" t="inlineStr">
        <is>
          <t>NULL</t>
        </is>
      </c>
      <c r="C123" s="0" t="inlineStr">
        <is>
          <t>NULL</t>
        </is>
      </c>
      <c r="D123" s="0" t="inlineStr">
        <is>
          <t>NULL</t>
        </is>
      </c>
      <c r="E123" s="0" t="inlineStr">
        <is>
          <t>NULL</t>
        </is>
      </c>
      <c r="F123" s="0" t="inlineStr">
        <is>
          <t>NULL</t>
        </is>
      </c>
      <c r="G123" s="0" t="inlineStr">
        <is>
          <t>NULL</t>
        </is>
      </c>
      <c r="H123" s="0" t="inlineStr">
        <is>
          <t>NULL</t>
        </is>
      </c>
      <c r="I123" s="0" t="inlineStr">
        <is>
          <t>NULL</t>
        </is>
      </c>
      <c r="J123" s="0" t="inlineStr">
        <is>
          <t>NULL</t>
        </is>
      </c>
      <c r="K123" s="0" t="inlineStr">
        <is>
          <t>no,len不存在</t>
        </is>
      </c>
    </row>
    <row r="124">
      <c r="B124" s="0" t="inlineStr">
        <is>
          <t>NULL</t>
        </is>
      </c>
      <c r="C124" s="0" t="inlineStr">
        <is>
          <t>NULL</t>
        </is>
      </c>
      <c r="D124" s="0" t="inlineStr">
        <is>
          <t>NULL</t>
        </is>
      </c>
      <c r="E124" s="0" t="inlineStr">
        <is>
          <t>NULL</t>
        </is>
      </c>
      <c r="F124" s="0" t="inlineStr">
        <is>
          <t>NULL</t>
        </is>
      </c>
      <c r="G124" s="0" t="inlineStr">
        <is>
          <t>NULL</t>
        </is>
      </c>
      <c r="H124" s="0" t="inlineStr">
        <is>
          <t>NULL</t>
        </is>
      </c>
      <c r="I124" s="0" t="inlineStr">
        <is>
          <t>NULL</t>
        </is>
      </c>
      <c r="J124" s="0" t="inlineStr">
        <is>
          <t>NULL</t>
        </is>
      </c>
      <c r="K124" s="0" t="inlineStr">
        <is>
          <t>YES! 	 c_time1列源备映射正确，源端为time None位	期望更改为time(n)	实际备端为time None位</t>
        </is>
      </c>
    </row>
    <row r="125">
      <c r="B125" s="0" t="inlineStr">
        <is>
          <t>NULL</t>
        </is>
      </c>
      <c r="C125" s="0" t="inlineStr">
        <is>
          <t>NULL</t>
        </is>
      </c>
      <c r="D125" s="0" t="inlineStr">
        <is>
          <t>NULL</t>
        </is>
      </c>
      <c r="E125" s="0" t="inlineStr">
        <is>
          <t>NULL</t>
        </is>
      </c>
      <c r="F125" s="0" t="inlineStr">
        <is>
          <t>NULL</t>
        </is>
      </c>
      <c r="G125" s="0" t="inlineStr">
        <is>
          <t>NULL</t>
        </is>
      </c>
      <c r="H125" s="0" t="inlineStr">
        <is>
          <t>NULL</t>
        </is>
      </c>
      <c r="I125" s="0" t="inlineStr">
        <is>
          <t>NULL</t>
        </is>
      </c>
      <c r="J125" s="0" t="inlineStr">
        <is>
          <t>NULL</t>
        </is>
      </c>
      <c r="K125" s="0" t="inlineStr">
        <is>
          <t>YES! 	 c_time2列源备映射正确，源端为time None位	期望更改为time(n)	实际备端为time None位</t>
        </is>
      </c>
    </row>
    <row r="126">
      <c r="B126" s="0" t="inlineStr">
        <is>
          <t>NULL</t>
        </is>
      </c>
      <c r="C126" s="0" t="inlineStr">
        <is>
          <t>NULL</t>
        </is>
      </c>
      <c r="D126" s="0" t="inlineStr">
        <is>
          <t>NULL</t>
        </is>
      </c>
      <c r="E126" s="0" t="inlineStr">
        <is>
          <t>NULL</t>
        </is>
      </c>
      <c r="F126" s="0" t="inlineStr">
        <is>
          <t>NULL</t>
        </is>
      </c>
      <c r="G126" s="0" t="inlineStr">
        <is>
          <t>NULL</t>
        </is>
      </c>
      <c r="H126" s="0" t="inlineStr">
        <is>
          <t>NULL</t>
        </is>
      </c>
      <c r="I126" s="0" t="inlineStr">
        <is>
          <t>NULL</t>
        </is>
      </c>
      <c r="J126" s="0" t="inlineStr">
        <is>
          <t>NULL</t>
        </is>
      </c>
      <c r="K126" s="0" t="inlineStr">
        <is>
          <t>YES! 	 c_time3列源备映射正确，源端为time None位	期望更改为time(n)	实际备端为time None位</t>
        </is>
      </c>
    </row>
    <row r="127">
      <c r="B127" s="0" t="inlineStr">
        <is>
          <t>NULL</t>
        </is>
      </c>
      <c r="C127" s="0" t="inlineStr">
        <is>
          <t>NULL</t>
        </is>
      </c>
      <c r="D127" s="0" t="inlineStr">
        <is>
          <t>NULL</t>
        </is>
      </c>
      <c r="E127" s="0" t="inlineStr">
        <is>
          <t>NULL</t>
        </is>
      </c>
      <c r="F127" s="0" t="inlineStr">
        <is>
          <t>NULL</t>
        </is>
      </c>
      <c r="G127" s="0" t="inlineStr">
        <is>
          <t>NULL</t>
        </is>
      </c>
      <c r="H127" s="0" t="inlineStr">
        <is>
          <t>NULL</t>
        </is>
      </c>
      <c r="I127" s="0" t="inlineStr">
        <is>
          <t>NULL</t>
        </is>
      </c>
      <c r="J127" s="0" t="inlineStr">
        <is>
          <t>NULL</t>
        </is>
      </c>
      <c r="K127" s="0" t="inlineStr">
        <is>
          <t>YES! 	 c_time4列源备映射正确，源端为time None位	期望更改为time(n)	实际备端为time None位</t>
        </is>
      </c>
    </row>
    <row r="128">
      <c r="B128" s="0" t="inlineStr">
        <is>
          <t>NULL</t>
        </is>
      </c>
      <c r="C128" s="0" t="inlineStr">
        <is>
          <t>NULL</t>
        </is>
      </c>
      <c r="D128" s="0" t="inlineStr">
        <is>
          <t>NULL</t>
        </is>
      </c>
      <c r="E128" s="0" t="inlineStr">
        <is>
          <t>NULL</t>
        </is>
      </c>
      <c r="F128" s="0" t="inlineStr">
        <is>
          <t>NULL</t>
        </is>
      </c>
      <c r="G128" s="0" t="inlineStr">
        <is>
          <t>NULL</t>
        </is>
      </c>
      <c r="H128" s="0" t="inlineStr">
        <is>
          <t>NULL</t>
        </is>
      </c>
      <c r="I128" s="0" t="inlineStr">
        <is>
          <t>NULL</t>
        </is>
      </c>
      <c r="J128" s="0" t="inlineStr">
        <is>
          <t>NULL</t>
        </is>
      </c>
      <c r="K128" s="0" t="inlineStr">
        <is>
          <t>YES! 	 c_time5列源备映射正确，源端为time None位	期望更改为time(n)	实际备端为time None位</t>
        </is>
      </c>
    </row>
    <row r="129">
      <c r="B129" s="0" t="inlineStr">
        <is>
          <t>NULL</t>
        </is>
      </c>
      <c r="C129" s="0" t="inlineStr">
        <is>
          <t>NULL</t>
        </is>
      </c>
      <c r="D129" s="0" t="inlineStr">
        <is>
          <t>NULL</t>
        </is>
      </c>
      <c r="E129" s="0" t="inlineStr">
        <is>
          <t>NULL</t>
        </is>
      </c>
      <c r="F129" s="0" t="inlineStr">
        <is>
          <t>NULL</t>
        </is>
      </c>
      <c r="G129" s="0" t="inlineStr">
        <is>
          <t>NULL</t>
        </is>
      </c>
      <c r="H129" s="0" t="inlineStr">
        <is>
          <t>NULL</t>
        </is>
      </c>
      <c r="I129" s="0" t="inlineStr">
        <is>
          <t>NULL</t>
        </is>
      </c>
      <c r="J129" s="0" t="inlineStr">
        <is>
          <t>NULL</t>
        </is>
      </c>
      <c r="K129" s="0" t="inlineStr">
        <is>
          <t>YES! 	 c_time6列源备映射正确，源端为time None位	期望更改为time(n)	实际备端为time None位</t>
        </is>
      </c>
    </row>
    <row r="130">
      <c r="B130" s="0" t="inlineStr">
        <is>
          <t>NULL</t>
        </is>
      </c>
      <c r="C130" s="0" t="inlineStr">
        <is>
          <t>NULL</t>
        </is>
      </c>
      <c r="D130" s="0" t="inlineStr">
        <is>
          <t>NULL</t>
        </is>
      </c>
      <c r="E130" s="0" t="inlineStr">
        <is>
          <t>NULL</t>
        </is>
      </c>
      <c r="F130" s="0" t="inlineStr">
        <is>
          <t>NULL</t>
        </is>
      </c>
      <c r="G130" s="0" t="inlineStr">
        <is>
          <t>NULL</t>
        </is>
      </c>
      <c r="H130" s="0" t="inlineStr">
        <is>
          <t>NULL</t>
        </is>
      </c>
      <c r="I130" s="0" t="inlineStr">
        <is>
          <t>NULL</t>
        </is>
      </c>
      <c r="J130" s="0" t="inlineStr">
        <is>
          <t>NULL</t>
        </is>
      </c>
      <c r="K130" s="0" t="inlineStr">
        <is>
          <t>YES! 	 c_time列源备映射正确，源端为time None位	期望更改为time(n)	实际备端为time None位</t>
        </is>
      </c>
    </row>
    <row r="131">
      <c r="K131" s="0" t="inlineStr">
        <is>
          <t>~ 空表</t>
        </is>
      </c>
    </row>
    <row r="132">
      <c r="A132" s="0" t="inlineStr">
        <is>
          <t>info_varchar_dml_single_nopk_drp</t>
        </is>
      </c>
      <c r="K132" s="0" t="inlineStr">
        <is>
          <t>[0;34m info_varchar_dml_single_nopk_drp [0m源备字段数相同，源端字段：4 	备端字段4</t>
        </is>
      </c>
      <c r="W132" s="0" t="inlineStr">
        <is>
          <t>YES 源备无差异</t>
        </is>
      </c>
      <c r="X132" s="0">
        <f>A132</f>
        <v/>
      </c>
    </row>
    <row r="133">
      <c r="B133" s="0" t="inlineStr">
        <is>
          <t>NULL</t>
        </is>
      </c>
      <c r="C133" s="0" t="inlineStr">
        <is>
          <t>NULL</t>
        </is>
      </c>
      <c r="D133" s="0" t="inlineStr">
        <is>
          <t>NULL</t>
        </is>
      </c>
      <c r="E133" s="0" t="inlineStr">
        <is>
          <t>NULL</t>
        </is>
      </c>
      <c r="F133" s="0" t="inlineStr">
        <is>
          <t>NULL</t>
        </is>
      </c>
      <c r="G133" s="0" t="inlineStr">
        <is>
          <t>NULL</t>
        </is>
      </c>
      <c r="H133" s="0" t="inlineStr">
        <is>
          <t>NULL</t>
        </is>
      </c>
      <c r="I133" s="0" t="inlineStr">
        <is>
          <t>NULL</t>
        </is>
      </c>
      <c r="J133" s="0" t="inlineStr">
        <is>
          <t>NULL</t>
        </is>
      </c>
      <c r="K133" s="0" t="inlineStr">
        <is>
          <t>YES! 	 id列源备映射正确，源端为int None位	期望更改为int	实际备端为int None位</t>
        </is>
      </c>
    </row>
    <row r="134">
      <c r="B134" s="0" t="inlineStr">
        <is>
          <t>NULL</t>
        </is>
      </c>
      <c r="C134" s="0" t="inlineStr">
        <is>
          <t>NULL</t>
        </is>
      </c>
      <c r="D134" s="0" t="inlineStr">
        <is>
          <t>NULL</t>
        </is>
      </c>
      <c r="E134" s="0" t="inlineStr">
        <is>
          <t>NULL</t>
        </is>
      </c>
      <c r="F134" s="0" t="inlineStr">
        <is>
          <t>NULL</t>
        </is>
      </c>
      <c r="G134" s="0" t="inlineStr">
        <is>
          <t>NULL</t>
        </is>
      </c>
      <c r="H134" s="0" t="inlineStr">
        <is>
          <t>NULL</t>
        </is>
      </c>
      <c r="I134" s="0" t="inlineStr">
        <is>
          <t>NULL</t>
        </is>
      </c>
      <c r="J134" s="0" t="inlineStr">
        <is>
          <t>NULL</t>
        </is>
      </c>
      <c r="K134" s="0" t="inlineStr">
        <is>
          <t>YES! 	 c_varchar列源备映射正确，源端为varchar 1位	期望更改为varchar(n)	实际备端为varchar 1位</t>
        </is>
      </c>
    </row>
    <row r="135">
      <c r="B135" s="0" t="inlineStr">
        <is>
          <t>NULL</t>
        </is>
      </c>
      <c r="C135" s="0" t="inlineStr">
        <is>
          <t>NULL</t>
        </is>
      </c>
      <c r="D135" s="0" t="inlineStr">
        <is>
          <t>NULL</t>
        </is>
      </c>
      <c r="E135" s="0" t="inlineStr">
        <is>
          <t>NULL</t>
        </is>
      </c>
      <c r="F135" s="0" t="inlineStr">
        <is>
          <t>NULL</t>
        </is>
      </c>
      <c r="G135" s="0" t="inlineStr">
        <is>
          <t>NULL</t>
        </is>
      </c>
      <c r="H135" s="0" t="inlineStr">
        <is>
          <t>NULL</t>
        </is>
      </c>
      <c r="I135" s="0" t="inlineStr">
        <is>
          <t>NULL</t>
        </is>
      </c>
      <c r="J135" s="0" t="inlineStr">
        <is>
          <t>NULL</t>
        </is>
      </c>
      <c r="K135" s="0" t="inlineStr">
        <is>
          <t>YES! 	 c_varchar50列源备映射正确，源端为varchar 50位	期望更改为varchar(n)	实际备端为varchar 50位</t>
        </is>
      </c>
    </row>
    <row r="136">
      <c r="B136" s="0" t="inlineStr">
        <is>
          <t>NULL</t>
        </is>
      </c>
      <c r="C136" s="0" t="inlineStr">
        <is>
          <t>NULL</t>
        </is>
      </c>
      <c r="D136" s="0" t="inlineStr">
        <is>
          <t>NULL</t>
        </is>
      </c>
      <c r="E136" s="0" t="inlineStr">
        <is>
          <t>NULL</t>
        </is>
      </c>
      <c r="F136" s="0" t="inlineStr">
        <is>
          <t>NULL</t>
        </is>
      </c>
      <c r="G136" s="0" t="inlineStr">
        <is>
          <t>NULL</t>
        </is>
      </c>
      <c r="H136" s="0" t="inlineStr">
        <is>
          <t>NULL</t>
        </is>
      </c>
      <c r="I136" s="0" t="inlineStr">
        <is>
          <t>NULL</t>
        </is>
      </c>
      <c r="J136" s="0" t="inlineStr">
        <is>
          <t>NULL</t>
        </is>
      </c>
      <c r="K136" s="0" t="inlineStr">
        <is>
          <t>YES! 	 c_varchar8000列源备映射正确，源端为varchar 8000位	期望更改为varchar(n)	实际备端为varchar 8000位</t>
        </is>
      </c>
    </row>
    <row r="137">
      <c r="A137" s="0" t="inlineStr">
        <is>
          <t>info_char_dml_single_pk_irp</t>
        </is>
      </c>
      <c r="K137" s="0" t="inlineStr">
        <is>
          <t>[0;34m info_char_dml_single_pk_irp [0m源备字段数相同，源端字段：4 	备端字段4</t>
        </is>
      </c>
      <c r="W137" s="0" t="inlineStr">
        <is>
          <t>YES 源备无差异</t>
        </is>
      </c>
      <c r="X137" s="0">
        <f>A137</f>
        <v/>
      </c>
    </row>
    <row r="138">
      <c r="B138" s="0" t="inlineStr">
        <is>
          <t>YES</t>
        </is>
      </c>
      <c r="C138" s="0" t="inlineStr">
        <is>
          <t>NULL</t>
        </is>
      </c>
      <c r="D138" s="0" t="inlineStr">
        <is>
          <t>NULL</t>
        </is>
      </c>
      <c r="E138" s="0" t="inlineStr">
        <is>
          <t>NULL</t>
        </is>
      </c>
      <c r="F138" s="0" t="inlineStr">
        <is>
          <t>NULL</t>
        </is>
      </c>
      <c r="G138" s="0" t="inlineStr">
        <is>
          <t>NULL</t>
        </is>
      </c>
      <c r="H138" s="0" t="inlineStr">
        <is>
          <t>NULL</t>
        </is>
      </c>
      <c r="I138" s="0" t="inlineStr">
        <is>
          <t>YES!PK__info_cha__3213E83FD6236BC6</t>
        </is>
      </c>
      <c r="J138" s="0" t="inlineStr">
        <is>
          <t>YES! 主键相关索引</t>
        </is>
      </c>
      <c r="K138" s="0" t="inlineStr">
        <is>
          <t>YES! 	 id列源备映射正确，源端为int None位	期望更改为int	实际备端为int None位</t>
        </is>
      </c>
    </row>
    <row r="139">
      <c r="B139" s="0" t="inlineStr">
        <is>
          <t>NULL</t>
        </is>
      </c>
      <c r="C139" s="0" t="inlineStr">
        <is>
          <t>NULL</t>
        </is>
      </c>
      <c r="D139" s="0" t="inlineStr">
        <is>
          <t>NULL</t>
        </is>
      </c>
      <c r="E139" s="0" t="inlineStr">
        <is>
          <t>NULL</t>
        </is>
      </c>
      <c r="F139" s="0" t="inlineStr">
        <is>
          <t>NULL</t>
        </is>
      </c>
      <c r="G139" s="0" t="inlineStr">
        <is>
          <t>NULL</t>
        </is>
      </c>
      <c r="H139" s="0" t="inlineStr">
        <is>
          <t>NULL</t>
        </is>
      </c>
      <c r="I139" s="0" t="inlineStr">
        <is>
          <t>NULL</t>
        </is>
      </c>
      <c r="J139" s="0" t="inlineStr">
        <is>
          <t>NULL</t>
        </is>
      </c>
      <c r="K139" s="0" t="inlineStr">
        <is>
          <t>YES! 	 c_CHAR列源备映射正确，源端为char 1位	期望更改为char(n)	实际备端为char 1位</t>
        </is>
      </c>
    </row>
    <row r="140">
      <c r="B140" s="0" t="inlineStr">
        <is>
          <t>NULL</t>
        </is>
      </c>
      <c r="C140" s="0" t="inlineStr">
        <is>
          <t>NULL</t>
        </is>
      </c>
      <c r="D140" s="0" t="inlineStr">
        <is>
          <t>NULL</t>
        </is>
      </c>
      <c r="E140" s="0" t="inlineStr">
        <is>
          <t>NULL</t>
        </is>
      </c>
      <c r="F140" s="0" t="inlineStr">
        <is>
          <t>NULL</t>
        </is>
      </c>
      <c r="G140" s="0" t="inlineStr">
        <is>
          <t>NULL</t>
        </is>
      </c>
      <c r="H140" s="0" t="inlineStr">
        <is>
          <t>NULL</t>
        </is>
      </c>
      <c r="I140" s="0" t="inlineStr">
        <is>
          <t>NULL</t>
        </is>
      </c>
      <c r="J140" s="0" t="inlineStr">
        <is>
          <t>NULL</t>
        </is>
      </c>
      <c r="K140" s="0" t="inlineStr">
        <is>
          <t>YES! 	 c_char20列源备映射正确，源端为char 20位	期望更改为char(n)	实际备端为char 20位</t>
        </is>
      </c>
    </row>
    <row r="141">
      <c r="B141" s="0" t="inlineStr">
        <is>
          <t>NULL</t>
        </is>
      </c>
      <c r="C141" s="0" t="inlineStr">
        <is>
          <t>NULL</t>
        </is>
      </c>
      <c r="D141" s="0" t="inlineStr">
        <is>
          <t>NULL</t>
        </is>
      </c>
      <c r="E141" s="0" t="inlineStr">
        <is>
          <t>NULL</t>
        </is>
      </c>
      <c r="F141" s="0" t="inlineStr">
        <is>
          <t>NULL</t>
        </is>
      </c>
      <c r="G141" s="0" t="inlineStr">
        <is>
          <t>NULL</t>
        </is>
      </c>
      <c r="H141" s="0" t="inlineStr">
        <is>
          <t>NULL</t>
        </is>
      </c>
      <c r="I141" s="0" t="inlineStr">
        <is>
          <t>NULL</t>
        </is>
      </c>
      <c r="J141" s="0" t="inlineStr">
        <is>
          <t>NULL</t>
        </is>
      </c>
      <c r="K141" s="0" t="inlineStr">
        <is>
          <t>YES! 	 c_char8000列源备映射正确，源端为char 8000位	期望更改为char(n)	实际备端为char 8000位</t>
        </is>
      </c>
    </row>
    <row r="142">
      <c r="A142" s="0" t="inlineStr">
        <is>
          <t>info_char_dml_batch2_pk_irp1</t>
        </is>
      </c>
      <c r="K142" s="0" t="inlineStr">
        <is>
          <t>[0;34m info_char_dml_batch2_pk_irp1 [0m源备字段数相同，源端字段：4 	备端字段4</t>
        </is>
      </c>
      <c r="W142" s="0" t="inlineStr">
        <is>
          <t>YES 源备无差异</t>
        </is>
      </c>
      <c r="X142" s="0">
        <f>A142</f>
        <v/>
      </c>
    </row>
    <row r="143">
      <c r="B143" s="0" t="inlineStr">
        <is>
          <t>YES</t>
        </is>
      </c>
      <c r="C143" s="0" t="inlineStr">
        <is>
          <t>NULL</t>
        </is>
      </c>
      <c r="D143" s="0" t="inlineStr">
        <is>
          <t>NULL</t>
        </is>
      </c>
      <c r="E143" s="0" t="inlineStr">
        <is>
          <t>NULL</t>
        </is>
      </c>
      <c r="F143" s="0" t="inlineStr">
        <is>
          <t>NULL</t>
        </is>
      </c>
      <c r="G143" s="0" t="inlineStr">
        <is>
          <t>NULL</t>
        </is>
      </c>
      <c r="H143" s="0" t="inlineStr">
        <is>
          <t>NULL</t>
        </is>
      </c>
      <c r="I143" s="0" t="inlineStr">
        <is>
          <t>YES!PK__info_cha__3213E83F491E4A05</t>
        </is>
      </c>
      <c r="J143" s="0" t="inlineStr">
        <is>
          <t>YES! 主键相关索引</t>
        </is>
      </c>
      <c r="K143" s="0" t="inlineStr">
        <is>
          <t>YES! 	 id列源备映射正确，源端为int None位	期望更改为int	实际备端为int None位</t>
        </is>
      </c>
    </row>
    <row r="144">
      <c r="B144" s="0" t="inlineStr">
        <is>
          <t>NULL</t>
        </is>
      </c>
      <c r="C144" s="0" t="inlineStr">
        <is>
          <t>NULL</t>
        </is>
      </c>
      <c r="D144" s="0" t="inlineStr">
        <is>
          <t>NULL</t>
        </is>
      </c>
      <c r="E144" s="0" t="inlineStr">
        <is>
          <t>NULL</t>
        </is>
      </c>
      <c r="F144" s="0" t="inlineStr">
        <is>
          <t>NULL</t>
        </is>
      </c>
      <c r="G144" s="0" t="inlineStr">
        <is>
          <t>NULL</t>
        </is>
      </c>
      <c r="H144" s="0" t="inlineStr">
        <is>
          <t>NULL</t>
        </is>
      </c>
      <c r="I144" s="0" t="inlineStr">
        <is>
          <t>NULL</t>
        </is>
      </c>
      <c r="J144" s="0" t="inlineStr">
        <is>
          <t>NULL</t>
        </is>
      </c>
      <c r="K144" s="0" t="inlineStr">
        <is>
          <t>YES! 	 c_char列源备映射正确，源端为char 1位	期望更改为char(n)	实际备端为char 1位</t>
        </is>
      </c>
    </row>
    <row r="145">
      <c r="B145" s="0" t="inlineStr">
        <is>
          <t>NULL</t>
        </is>
      </c>
      <c r="C145" s="0" t="inlineStr">
        <is>
          <t>NULL</t>
        </is>
      </c>
      <c r="D145" s="0" t="inlineStr">
        <is>
          <t>NULL</t>
        </is>
      </c>
      <c r="E145" s="0" t="inlineStr">
        <is>
          <t>NULL</t>
        </is>
      </c>
      <c r="F145" s="0" t="inlineStr">
        <is>
          <t>NULL</t>
        </is>
      </c>
      <c r="G145" s="0" t="inlineStr">
        <is>
          <t>NULL</t>
        </is>
      </c>
      <c r="H145" s="0" t="inlineStr">
        <is>
          <t>NULL</t>
        </is>
      </c>
      <c r="I145" s="0" t="inlineStr">
        <is>
          <t>NULL</t>
        </is>
      </c>
      <c r="J145" s="0" t="inlineStr">
        <is>
          <t>NULL</t>
        </is>
      </c>
      <c r="K145" s="0" t="inlineStr">
        <is>
          <t>YES! 	 c_char20列源备映射正确，源端为char 20位	期望更改为char(n)	实际备端为char 20位</t>
        </is>
      </c>
    </row>
    <row r="146">
      <c r="B146" s="0" t="inlineStr">
        <is>
          <t>NULL</t>
        </is>
      </c>
      <c r="C146" s="0" t="inlineStr">
        <is>
          <t>NULL</t>
        </is>
      </c>
      <c r="D146" s="0" t="inlineStr">
        <is>
          <t>NULL</t>
        </is>
      </c>
      <c r="E146" s="0" t="inlineStr">
        <is>
          <t>NULL</t>
        </is>
      </c>
      <c r="F146" s="0" t="inlineStr">
        <is>
          <t>NULL</t>
        </is>
      </c>
      <c r="G146" s="0" t="inlineStr">
        <is>
          <t>NULL</t>
        </is>
      </c>
      <c r="H146" s="0" t="inlineStr">
        <is>
          <t>NULL</t>
        </is>
      </c>
      <c r="I146" s="0" t="inlineStr">
        <is>
          <t>NULL</t>
        </is>
      </c>
      <c r="J146" s="0" t="inlineStr">
        <is>
          <t>NULL</t>
        </is>
      </c>
      <c r="K146" s="0" t="inlineStr">
        <is>
          <t>YES! 	 c_char8000列源备映射正确，源端为char 8000位	期望更改为char(n)	实际备端为char 8000位</t>
        </is>
      </c>
    </row>
    <row r="147">
      <c r="A147" s="0" t="inlineStr">
        <is>
          <t>info_hierarchyid_dml_single_pk_irp</t>
        </is>
      </c>
      <c r="K147" s="0" t="inlineStr">
        <is>
          <t>[0;34m info_hierarchyid_dml_single_pk_irp [0m源备字段数相同，源端字段：2 	备端字段2</t>
        </is>
      </c>
      <c r="W147" s="0" t="inlineStr">
        <is>
          <t>YES 源备无差异</t>
        </is>
      </c>
      <c r="X147" s="0">
        <f>A147</f>
        <v/>
      </c>
    </row>
    <row r="148">
      <c r="B148" s="0" t="inlineStr">
        <is>
          <t>YES</t>
        </is>
      </c>
      <c r="C148" s="0" t="inlineStr">
        <is>
          <t>NULL</t>
        </is>
      </c>
      <c r="D148" s="0" t="inlineStr">
        <is>
          <t>NULL</t>
        </is>
      </c>
      <c r="E148" s="0" t="inlineStr">
        <is>
          <t>NULL</t>
        </is>
      </c>
      <c r="F148" s="0" t="inlineStr">
        <is>
          <t>NULL</t>
        </is>
      </c>
      <c r="G148" s="0" t="inlineStr">
        <is>
          <t>NULL</t>
        </is>
      </c>
      <c r="H148" s="0" t="inlineStr">
        <is>
          <t>NULL</t>
        </is>
      </c>
      <c r="I148" s="0" t="inlineStr">
        <is>
          <t>YES!PK__info_hie__3213E83FDEFBB5DB</t>
        </is>
      </c>
      <c r="J148" s="0" t="inlineStr">
        <is>
          <t>YES! 主键相关索引</t>
        </is>
      </c>
      <c r="K148" s="0" t="inlineStr">
        <is>
          <t>YES! 	 id列源备映射正确，源端为int None位	期望更改为int	实际备端为int None位</t>
        </is>
      </c>
    </row>
    <row r="149">
      <c r="B149" s="0" t="inlineStr">
        <is>
          <t>NULL</t>
        </is>
      </c>
      <c r="C149" s="0" t="inlineStr">
        <is>
          <t>NULL</t>
        </is>
      </c>
      <c r="D149" s="0" t="inlineStr">
        <is>
          <t>NULL</t>
        </is>
      </c>
      <c r="E149" s="0" t="inlineStr">
        <is>
          <t>NULL</t>
        </is>
      </c>
      <c r="F149" s="0" t="inlineStr">
        <is>
          <t>NULL</t>
        </is>
      </c>
      <c r="G149" s="0" t="inlineStr">
        <is>
          <t>NULL</t>
        </is>
      </c>
      <c r="H149" s="0" t="inlineStr">
        <is>
          <t>NULL</t>
        </is>
      </c>
      <c r="I149" s="0" t="inlineStr">
        <is>
          <t>NULL</t>
        </is>
      </c>
      <c r="J149" s="0" t="inlineStr">
        <is>
          <t>NULL</t>
        </is>
      </c>
      <c r="K149" s="0" t="inlineStr">
        <is>
          <t>YES! 	 c_hierarchyid列源备映射正确，源端为hierarchyid 892位	期望更改为hierarchyid	实际备端为hierarchyid 892位</t>
        </is>
      </c>
    </row>
    <row r="150">
      <c r="A150" s="0" t="inlineStr">
        <is>
          <t>info_hierarchyid_dml_single_nopk</t>
        </is>
      </c>
      <c r="K150" s="0" t="inlineStr">
        <is>
          <t>[0;34m info_hierarchyid_dml_single_nopk [0m源备字段数相同，源端字段：2 	备端字段2</t>
        </is>
      </c>
      <c r="W150" s="0" t="inlineStr">
        <is>
          <t>YES 源备无差异</t>
        </is>
      </c>
      <c r="X150" s="0">
        <f>A150</f>
        <v/>
      </c>
    </row>
    <row r="151">
      <c r="B151" s="0" t="inlineStr">
        <is>
          <t>NULL</t>
        </is>
      </c>
      <c r="C151" s="0" t="inlineStr">
        <is>
          <t>NULL</t>
        </is>
      </c>
      <c r="D151" s="0" t="inlineStr">
        <is>
          <t>NULL</t>
        </is>
      </c>
      <c r="E151" s="0" t="inlineStr">
        <is>
          <t>NULL</t>
        </is>
      </c>
      <c r="F151" s="0" t="inlineStr">
        <is>
          <t>NULL</t>
        </is>
      </c>
      <c r="G151" s="0" t="inlineStr">
        <is>
          <t>NULL</t>
        </is>
      </c>
      <c r="H151" s="0" t="inlineStr">
        <is>
          <t>NULL</t>
        </is>
      </c>
      <c r="I151" s="0" t="inlineStr">
        <is>
          <t>NULL</t>
        </is>
      </c>
      <c r="J151" s="0" t="inlineStr">
        <is>
          <t>NULL</t>
        </is>
      </c>
      <c r="K151" s="0" t="inlineStr">
        <is>
          <t>YES! 	 id列源备映射正确，源端为int None位	期望更改为int	实际备端为int None位</t>
        </is>
      </c>
    </row>
    <row r="152">
      <c r="B152" s="0" t="inlineStr">
        <is>
          <t>NULL</t>
        </is>
      </c>
      <c r="C152" s="0" t="inlineStr">
        <is>
          <t>NULL</t>
        </is>
      </c>
      <c r="D152" s="0" t="inlineStr">
        <is>
          <t>NULL</t>
        </is>
      </c>
      <c r="E152" s="0" t="inlineStr">
        <is>
          <t>NULL</t>
        </is>
      </c>
      <c r="F152" s="0" t="inlineStr">
        <is>
          <t>NULL</t>
        </is>
      </c>
      <c r="G152" s="0" t="inlineStr">
        <is>
          <t>NULL</t>
        </is>
      </c>
      <c r="H152" s="0" t="inlineStr">
        <is>
          <t>NULL</t>
        </is>
      </c>
      <c r="I152" s="0" t="inlineStr">
        <is>
          <t>NULL</t>
        </is>
      </c>
      <c r="J152" s="0" t="inlineStr">
        <is>
          <t>NULL</t>
        </is>
      </c>
      <c r="K152" s="0" t="inlineStr">
        <is>
          <t>YES! 	 c_hierarchyid列源备映射正确，源端为hierarchyid 892位	期望更改为hierarchyid	实际备端为hierarchyid 892位</t>
        </is>
      </c>
    </row>
    <row r="153">
      <c r="A153" s="0" t="inlineStr">
        <is>
          <t>info_char_dml_single_pk_urp</t>
        </is>
      </c>
      <c r="K153" s="0" t="inlineStr">
        <is>
          <t>[0;34m info_char_dml_single_pk_urp [0m源备字段数相同，源端字段：4 	备端字段4</t>
        </is>
      </c>
      <c r="W153" s="0" t="inlineStr">
        <is>
          <t>YES 源备无差异</t>
        </is>
      </c>
      <c r="X153" s="0">
        <f>A153</f>
        <v/>
      </c>
    </row>
    <row r="154">
      <c r="B154" s="0" t="inlineStr">
        <is>
          <t>YES</t>
        </is>
      </c>
      <c r="C154" s="0" t="inlineStr">
        <is>
          <t>NULL</t>
        </is>
      </c>
      <c r="D154" s="0" t="inlineStr">
        <is>
          <t>NULL</t>
        </is>
      </c>
      <c r="E154" s="0" t="inlineStr">
        <is>
          <t>NULL</t>
        </is>
      </c>
      <c r="F154" s="0" t="inlineStr">
        <is>
          <t>NULL</t>
        </is>
      </c>
      <c r="G154" s="0" t="inlineStr">
        <is>
          <t>NULL</t>
        </is>
      </c>
      <c r="H154" s="0" t="inlineStr">
        <is>
          <t>NULL</t>
        </is>
      </c>
      <c r="I154" s="0" t="inlineStr">
        <is>
          <t>YES!PK__info_cha__3213E83FD6E1F870</t>
        </is>
      </c>
      <c r="J154" s="0" t="inlineStr">
        <is>
          <t>YES! 主键相关索引</t>
        </is>
      </c>
      <c r="K154" s="0" t="inlineStr">
        <is>
          <t>YES! 	 id列源备映射正确，源端为int None位	期望更改为int	实际备端为int None位</t>
        </is>
      </c>
    </row>
    <row r="155">
      <c r="B155" s="0" t="inlineStr">
        <is>
          <t>NULL</t>
        </is>
      </c>
      <c r="C155" s="0" t="inlineStr">
        <is>
          <t>NULL</t>
        </is>
      </c>
      <c r="D155" s="0" t="inlineStr">
        <is>
          <t>NULL</t>
        </is>
      </c>
      <c r="E155" s="0" t="inlineStr">
        <is>
          <t>NULL</t>
        </is>
      </c>
      <c r="F155" s="0" t="inlineStr">
        <is>
          <t>NULL</t>
        </is>
      </c>
      <c r="G155" s="0" t="inlineStr">
        <is>
          <t>NULL</t>
        </is>
      </c>
      <c r="H155" s="0" t="inlineStr">
        <is>
          <t>NULL</t>
        </is>
      </c>
      <c r="I155" s="0" t="inlineStr">
        <is>
          <t>NULL</t>
        </is>
      </c>
      <c r="J155" s="0" t="inlineStr">
        <is>
          <t>NULL</t>
        </is>
      </c>
      <c r="K155" s="0" t="inlineStr">
        <is>
          <t>YES! 	 c_char列源备映射正确，源端为char 1位	期望更改为char(n)	实际备端为char 1位</t>
        </is>
      </c>
    </row>
    <row r="156">
      <c r="B156" s="0" t="inlineStr">
        <is>
          <t>NULL</t>
        </is>
      </c>
      <c r="C156" s="0" t="inlineStr">
        <is>
          <t>NULL</t>
        </is>
      </c>
      <c r="D156" s="0" t="inlineStr">
        <is>
          <t>NULL</t>
        </is>
      </c>
      <c r="E156" s="0" t="inlineStr">
        <is>
          <t>NULL</t>
        </is>
      </c>
      <c r="F156" s="0" t="inlineStr">
        <is>
          <t>NULL</t>
        </is>
      </c>
      <c r="G156" s="0" t="inlineStr">
        <is>
          <t>NULL</t>
        </is>
      </c>
      <c r="H156" s="0" t="inlineStr">
        <is>
          <t>NULL</t>
        </is>
      </c>
      <c r="I156" s="0" t="inlineStr">
        <is>
          <t>NULL</t>
        </is>
      </c>
      <c r="J156" s="0" t="inlineStr">
        <is>
          <t>NULL</t>
        </is>
      </c>
      <c r="K156" s="0" t="inlineStr">
        <is>
          <t>YES! 	 c_char20列源备映射正确，源端为char 20位	期望更改为char(n)	实际备端为char 20位</t>
        </is>
      </c>
    </row>
    <row r="157">
      <c r="B157" s="0" t="inlineStr">
        <is>
          <t>NULL</t>
        </is>
      </c>
      <c r="C157" s="0" t="inlineStr">
        <is>
          <t>NULL</t>
        </is>
      </c>
      <c r="D157" s="0" t="inlineStr">
        <is>
          <t>NULL</t>
        </is>
      </c>
      <c r="E157" s="0" t="inlineStr">
        <is>
          <t>NULL</t>
        </is>
      </c>
      <c r="F157" s="0" t="inlineStr">
        <is>
          <t>NULL</t>
        </is>
      </c>
      <c r="G157" s="0" t="inlineStr">
        <is>
          <t>NULL</t>
        </is>
      </c>
      <c r="H157" s="0" t="inlineStr">
        <is>
          <t>NULL</t>
        </is>
      </c>
      <c r="I157" s="0" t="inlineStr">
        <is>
          <t>NULL</t>
        </is>
      </c>
      <c r="J157" s="0" t="inlineStr">
        <is>
          <t>NULL</t>
        </is>
      </c>
      <c r="K157" s="0" t="inlineStr">
        <is>
          <t>YES! 	 c_char7000列源备映射正确，源端为char 7000位	期望更改为char(n)	实际备端为char 7000位</t>
        </is>
      </c>
    </row>
    <row r="158">
      <c r="A158" s="0" t="inlineStr">
        <is>
          <t>info_time_dml_batch1_pk_drp2</t>
        </is>
      </c>
      <c r="K158" s="0" t="inlineStr">
        <is>
          <t>[0;34m info_time_dml_batch1_pk_drp2 [0m源备字段数相同，源端字段：9 	备端字段9</t>
        </is>
      </c>
      <c r="W158" s="0" t="inlineStr">
        <is>
          <t>YES 源备无差异</t>
        </is>
      </c>
      <c r="X158" s="0">
        <f>A158</f>
        <v/>
      </c>
    </row>
    <row r="159">
      <c r="B159" s="0" t="inlineStr">
        <is>
          <t>YES</t>
        </is>
      </c>
      <c r="C159" s="0" t="inlineStr">
        <is>
          <t>NULL</t>
        </is>
      </c>
      <c r="D159" s="0" t="inlineStr">
        <is>
          <t>NULL</t>
        </is>
      </c>
      <c r="E159" s="0" t="inlineStr">
        <is>
          <t>NULL</t>
        </is>
      </c>
      <c r="F159" s="0" t="inlineStr">
        <is>
          <t>NULL</t>
        </is>
      </c>
      <c r="G159" s="0" t="inlineStr">
        <is>
          <t>NULL</t>
        </is>
      </c>
      <c r="H159" s="0" t="inlineStr">
        <is>
          <t>NULL</t>
        </is>
      </c>
      <c r="I159" s="0" t="inlineStr">
        <is>
          <t>YES!PK__info_tim__3213E83FA75E52F7</t>
        </is>
      </c>
      <c r="J159" s="0" t="inlineStr">
        <is>
          <t>YES! 主键相关索引</t>
        </is>
      </c>
      <c r="K159" s="0" t="inlineStr">
        <is>
          <t>YES! 	 id列源备映射正确，源端为int None位	期望更改为int	实际备端为int None位</t>
        </is>
      </c>
    </row>
    <row r="160">
      <c r="B160" s="0" t="inlineStr">
        <is>
          <t>NULL</t>
        </is>
      </c>
      <c r="C160" s="0" t="inlineStr">
        <is>
          <t>NULL</t>
        </is>
      </c>
      <c r="D160" s="0" t="inlineStr">
        <is>
          <t>NULL</t>
        </is>
      </c>
      <c r="E160" s="0" t="inlineStr">
        <is>
          <t>NULL</t>
        </is>
      </c>
      <c r="F160" s="0" t="inlineStr">
        <is>
          <t>NULL</t>
        </is>
      </c>
      <c r="G160" s="0" t="inlineStr">
        <is>
          <t>NULL</t>
        </is>
      </c>
      <c r="H160" s="0" t="inlineStr">
        <is>
          <t>NULL</t>
        </is>
      </c>
      <c r="I160" s="0" t="inlineStr">
        <is>
          <t>NULL</t>
        </is>
      </c>
      <c r="J160" s="0" t="inlineStr">
        <is>
          <t>NULL</t>
        </is>
      </c>
      <c r="K160" s="0" t="inlineStr">
        <is>
          <t>no,len不存在</t>
        </is>
      </c>
    </row>
    <row r="161">
      <c r="B161" s="0" t="inlineStr">
        <is>
          <t>NULL</t>
        </is>
      </c>
      <c r="C161" s="0" t="inlineStr">
        <is>
          <t>NULL</t>
        </is>
      </c>
      <c r="D161" s="0" t="inlineStr">
        <is>
          <t>NULL</t>
        </is>
      </c>
      <c r="E161" s="0" t="inlineStr">
        <is>
          <t>NULL</t>
        </is>
      </c>
      <c r="F161" s="0" t="inlineStr">
        <is>
          <t>NULL</t>
        </is>
      </c>
      <c r="G161" s="0" t="inlineStr">
        <is>
          <t>NULL</t>
        </is>
      </c>
      <c r="H161" s="0" t="inlineStr">
        <is>
          <t>NULL</t>
        </is>
      </c>
      <c r="I161" s="0" t="inlineStr">
        <is>
          <t>NULL</t>
        </is>
      </c>
      <c r="J161" s="0" t="inlineStr">
        <is>
          <t>NULL</t>
        </is>
      </c>
      <c r="K161" s="0" t="inlineStr">
        <is>
          <t>YES! 	 c_time1列源备映射正确，源端为time None位	期望更改为time(n)	实际备端为time None位</t>
        </is>
      </c>
    </row>
    <row r="162">
      <c r="B162" s="0" t="inlineStr">
        <is>
          <t>NULL</t>
        </is>
      </c>
      <c r="C162" s="0" t="inlineStr">
        <is>
          <t>NULL</t>
        </is>
      </c>
      <c r="D162" s="0" t="inlineStr">
        <is>
          <t>NULL</t>
        </is>
      </c>
      <c r="E162" s="0" t="inlineStr">
        <is>
          <t>NULL</t>
        </is>
      </c>
      <c r="F162" s="0" t="inlineStr">
        <is>
          <t>NULL</t>
        </is>
      </c>
      <c r="G162" s="0" t="inlineStr">
        <is>
          <t>NULL</t>
        </is>
      </c>
      <c r="H162" s="0" t="inlineStr">
        <is>
          <t>NULL</t>
        </is>
      </c>
      <c r="I162" s="0" t="inlineStr">
        <is>
          <t>NULL</t>
        </is>
      </c>
      <c r="J162" s="0" t="inlineStr">
        <is>
          <t>NULL</t>
        </is>
      </c>
      <c r="K162" s="0" t="inlineStr">
        <is>
          <t>YES! 	 c_time2列源备映射正确，源端为time None位	期望更改为time(n)	实际备端为time None位</t>
        </is>
      </c>
    </row>
    <row r="163">
      <c r="B163" s="0" t="inlineStr">
        <is>
          <t>NULL</t>
        </is>
      </c>
      <c r="C163" s="0" t="inlineStr">
        <is>
          <t>NULL</t>
        </is>
      </c>
      <c r="D163" s="0" t="inlineStr">
        <is>
          <t>NULL</t>
        </is>
      </c>
      <c r="E163" s="0" t="inlineStr">
        <is>
          <t>NULL</t>
        </is>
      </c>
      <c r="F163" s="0" t="inlineStr">
        <is>
          <t>NULL</t>
        </is>
      </c>
      <c r="G163" s="0" t="inlineStr">
        <is>
          <t>NULL</t>
        </is>
      </c>
      <c r="H163" s="0" t="inlineStr">
        <is>
          <t>NULL</t>
        </is>
      </c>
      <c r="I163" s="0" t="inlineStr">
        <is>
          <t>NULL</t>
        </is>
      </c>
      <c r="J163" s="0" t="inlineStr">
        <is>
          <t>NULL</t>
        </is>
      </c>
      <c r="K163" s="0" t="inlineStr">
        <is>
          <t>YES! 	 c_time3列源备映射正确，源端为time None位	期望更改为time(n)	实际备端为time None位</t>
        </is>
      </c>
    </row>
    <row r="164">
      <c r="B164" s="0" t="inlineStr">
        <is>
          <t>NULL</t>
        </is>
      </c>
      <c r="C164" s="0" t="inlineStr">
        <is>
          <t>NULL</t>
        </is>
      </c>
      <c r="D164" s="0" t="inlineStr">
        <is>
          <t>NULL</t>
        </is>
      </c>
      <c r="E164" s="0" t="inlineStr">
        <is>
          <t>NULL</t>
        </is>
      </c>
      <c r="F164" s="0" t="inlineStr">
        <is>
          <t>NULL</t>
        </is>
      </c>
      <c r="G164" s="0" t="inlineStr">
        <is>
          <t>NULL</t>
        </is>
      </c>
      <c r="H164" s="0" t="inlineStr">
        <is>
          <t>NULL</t>
        </is>
      </c>
      <c r="I164" s="0" t="inlineStr">
        <is>
          <t>NULL</t>
        </is>
      </c>
      <c r="J164" s="0" t="inlineStr">
        <is>
          <t>NULL</t>
        </is>
      </c>
      <c r="K164" s="0" t="inlineStr">
        <is>
          <t>YES! 	 c_time4列源备映射正确，源端为time None位	期望更改为time(n)	实际备端为time None位</t>
        </is>
      </c>
    </row>
    <row r="165">
      <c r="B165" s="0" t="inlineStr">
        <is>
          <t>NULL</t>
        </is>
      </c>
      <c r="C165" s="0" t="inlineStr">
        <is>
          <t>NULL</t>
        </is>
      </c>
      <c r="D165" s="0" t="inlineStr">
        <is>
          <t>NULL</t>
        </is>
      </c>
      <c r="E165" s="0" t="inlineStr">
        <is>
          <t>NULL</t>
        </is>
      </c>
      <c r="F165" s="0" t="inlineStr">
        <is>
          <t>NULL</t>
        </is>
      </c>
      <c r="G165" s="0" t="inlineStr">
        <is>
          <t>NULL</t>
        </is>
      </c>
      <c r="H165" s="0" t="inlineStr">
        <is>
          <t>NULL</t>
        </is>
      </c>
      <c r="I165" s="0" t="inlineStr">
        <is>
          <t>NULL</t>
        </is>
      </c>
      <c r="J165" s="0" t="inlineStr">
        <is>
          <t>NULL</t>
        </is>
      </c>
      <c r="K165" s="0" t="inlineStr">
        <is>
          <t>YES! 	 c_time5列源备映射正确，源端为time None位	期望更改为time(n)	实际备端为time None位</t>
        </is>
      </c>
    </row>
    <row r="166">
      <c r="B166" s="0" t="inlineStr">
        <is>
          <t>NULL</t>
        </is>
      </c>
      <c r="C166" s="0" t="inlineStr">
        <is>
          <t>NULL</t>
        </is>
      </c>
      <c r="D166" s="0" t="inlineStr">
        <is>
          <t>NULL</t>
        </is>
      </c>
      <c r="E166" s="0" t="inlineStr">
        <is>
          <t>NULL</t>
        </is>
      </c>
      <c r="F166" s="0" t="inlineStr">
        <is>
          <t>NULL</t>
        </is>
      </c>
      <c r="G166" s="0" t="inlineStr">
        <is>
          <t>NULL</t>
        </is>
      </c>
      <c r="H166" s="0" t="inlineStr">
        <is>
          <t>NULL</t>
        </is>
      </c>
      <c r="I166" s="0" t="inlineStr">
        <is>
          <t>NULL</t>
        </is>
      </c>
      <c r="J166" s="0" t="inlineStr">
        <is>
          <t>NULL</t>
        </is>
      </c>
      <c r="K166" s="0" t="inlineStr">
        <is>
          <t>YES! 	 c_time6列源备映射正确，源端为time None位	期望更改为time(n)	实际备端为time None位</t>
        </is>
      </c>
    </row>
    <row r="167">
      <c r="B167" s="0" t="inlineStr">
        <is>
          <t>NULL</t>
        </is>
      </c>
      <c r="C167" s="0" t="inlineStr">
        <is>
          <t>NULL</t>
        </is>
      </c>
      <c r="D167" s="0" t="inlineStr">
        <is>
          <t>NULL</t>
        </is>
      </c>
      <c r="E167" s="0" t="inlineStr">
        <is>
          <t>NULL</t>
        </is>
      </c>
      <c r="F167" s="0" t="inlineStr">
        <is>
          <t>NULL</t>
        </is>
      </c>
      <c r="G167" s="0" t="inlineStr">
        <is>
          <t>NULL</t>
        </is>
      </c>
      <c r="H167" s="0" t="inlineStr">
        <is>
          <t>NULL</t>
        </is>
      </c>
      <c r="I167" s="0" t="inlineStr">
        <is>
          <t>NULL</t>
        </is>
      </c>
      <c r="J167" s="0" t="inlineStr">
        <is>
          <t>NULL</t>
        </is>
      </c>
      <c r="K167" s="0" t="inlineStr">
        <is>
          <t>YES! 	 c_time列源备映射正确，源端为time None位	期望更改为time(n)	实际备端为time None位</t>
        </is>
      </c>
    </row>
    <row r="168">
      <c r="A168" s="0" t="inlineStr">
        <is>
          <t>info_hierarchyid_dml_single_pk_urp</t>
        </is>
      </c>
      <c r="K168" s="0" t="inlineStr">
        <is>
          <t>[0;34m info_hierarchyid_dml_single_pk_urp [0m源备字段数相同，源端字段：2 	备端字段2</t>
        </is>
      </c>
      <c r="W168" s="0" t="inlineStr">
        <is>
          <t>YES 源备无差异</t>
        </is>
      </c>
      <c r="X168" s="0">
        <f>A168</f>
        <v/>
      </c>
    </row>
    <row r="169">
      <c r="B169" s="0" t="inlineStr">
        <is>
          <t>YES</t>
        </is>
      </c>
      <c r="C169" s="0" t="inlineStr">
        <is>
          <t>NULL</t>
        </is>
      </c>
      <c r="D169" s="0" t="inlineStr">
        <is>
          <t>NULL</t>
        </is>
      </c>
      <c r="E169" s="0" t="inlineStr">
        <is>
          <t>NULL</t>
        </is>
      </c>
      <c r="F169" s="0" t="inlineStr">
        <is>
          <t>NULL</t>
        </is>
      </c>
      <c r="G169" s="0" t="inlineStr">
        <is>
          <t>NULL</t>
        </is>
      </c>
      <c r="H169" s="0" t="inlineStr">
        <is>
          <t>NULL</t>
        </is>
      </c>
      <c r="I169" s="0" t="inlineStr">
        <is>
          <t>YES!PK__info_hie__3213E83F2943E668</t>
        </is>
      </c>
      <c r="J169" s="0" t="inlineStr">
        <is>
          <t>YES! 主键相关索引</t>
        </is>
      </c>
      <c r="K169" s="0" t="inlineStr">
        <is>
          <t>YES! 	 id列源备映射正确，源端为int None位	期望更改为int	实际备端为int None位</t>
        </is>
      </c>
    </row>
    <row r="170">
      <c r="B170" s="0" t="inlineStr">
        <is>
          <t>NULL</t>
        </is>
      </c>
      <c r="C170" s="0" t="inlineStr">
        <is>
          <t>NULL</t>
        </is>
      </c>
      <c r="D170" s="0" t="inlineStr">
        <is>
          <t>NULL</t>
        </is>
      </c>
      <c r="E170" s="0" t="inlineStr">
        <is>
          <t>NULL</t>
        </is>
      </c>
      <c r="F170" s="0" t="inlineStr">
        <is>
          <t>NULL</t>
        </is>
      </c>
      <c r="G170" s="0" t="inlineStr">
        <is>
          <t>NULL</t>
        </is>
      </c>
      <c r="H170" s="0" t="inlineStr">
        <is>
          <t>NULL</t>
        </is>
      </c>
      <c r="I170" s="0" t="inlineStr">
        <is>
          <t>NULL</t>
        </is>
      </c>
      <c r="J170" s="0" t="inlineStr">
        <is>
          <t>NULL</t>
        </is>
      </c>
      <c r="K170" s="0" t="inlineStr">
        <is>
          <t>YES! 	 c_hierarchyid列源备映射正确，源端为hierarchyid 892位	期望更改为hierarchyid	实际备端为hierarchyid 892位</t>
        </is>
      </c>
    </row>
    <row r="171">
      <c r="A171" s="0" t="inlineStr">
        <is>
          <t>info_char_dml_batch1_pk_irp2</t>
        </is>
      </c>
      <c r="K171" s="0" t="inlineStr">
        <is>
          <t>[0;34m info_char_dml_batch1_pk_irp2 [0m源备字段数相同，源端字段：4 	备端字段4</t>
        </is>
      </c>
      <c r="W171" s="0" t="inlineStr">
        <is>
          <t>YES 源备无差异</t>
        </is>
      </c>
      <c r="X171" s="0">
        <f>A171</f>
        <v/>
      </c>
    </row>
    <row r="172">
      <c r="B172" s="0" t="inlineStr">
        <is>
          <t>YES</t>
        </is>
      </c>
      <c r="C172" s="0" t="inlineStr">
        <is>
          <t>NULL</t>
        </is>
      </c>
      <c r="D172" s="0" t="inlineStr">
        <is>
          <t>NULL</t>
        </is>
      </c>
      <c r="E172" s="0" t="inlineStr">
        <is>
          <t>NULL</t>
        </is>
      </c>
      <c r="F172" s="0" t="inlineStr">
        <is>
          <t>NULL</t>
        </is>
      </c>
      <c r="G172" s="0" t="inlineStr">
        <is>
          <t>NULL</t>
        </is>
      </c>
      <c r="H172" s="0" t="inlineStr">
        <is>
          <t>NULL</t>
        </is>
      </c>
      <c r="I172" s="0" t="inlineStr">
        <is>
          <t>YES!PK__info_cha__3213E83FC0741F30</t>
        </is>
      </c>
      <c r="J172" s="0" t="inlineStr">
        <is>
          <t>YES! 主键相关索引</t>
        </is>
      </c>
      <c r="K172" s="0" t="inlineStr">
        <is>
          <t>YES! 	 id列源备映射正确，源端为int None位	期望更改为int	实际备端为int None位</t>
        </is>
      </c>
    </row>
    <row r="173">
      <c r="B173" s="0" t="inlineStr">
        <is>
          <t>NULL</t>
        </is>
      </c>
      <c r="C173" s="0" t="inlineStr">
        <is>
          <t>NULL</t>
        </is>
      </c>
      <c r="D173" s="0" t="inlineStr">
        <is>
          <t>NULL</t>
        </is>
      </c>
      <c r="E173" s="0" t="inlineStr">
        <is>
          <t>NULL</t>
        </is>
      </c>
      <c r="F173" s="0" t="inlineStr">
        <is>
          <t>NULL</t>
        </is>
      </c>
      <c r="G173" s="0" t="inlineStr">
        <is>
          <t>NULL</t>
        </is>
      </c>
      <c r="H173" s="0" t="inlineStr">
        <is>
          <t>NULL</t>
        </is>
      </c>
      <c r="I173" s="0" t="inlineStr">
        <is>
          <t>NULL</t>
        </is>
      </c>
      <c r="J173" s="0" t="inlineStr">
        <is>
          <t>NULL</t>
        </is>
      </c>
      <c r="K173" s="0" t="inlineStr">
        <is>
          <t>YES! 	 c_char列源备映射正确，源端为char 1位	期望更改为char(n)	实际备端为char 1位</t>
        </is>
      </c>
    </row>
    <row r="174">
      <c r="B174" s="0" t="inlineStr">
        <is>
          <t>NULL</t>
        </is>
      </c>
      <c r="C174" s="0" t="inlineStr">
        <is>
          <t>NULL</t>
        </is>
      </c>
      <c r="D174" s="0" t="inlineStr">
        <is>
          <t>NULL</t>
        </is>
      </c>
      <c r="E174" s="0" t="inlineStr">
        <is>
          <t>NULL</t>
        </is>
      </c>
      <c r="F174" s="0" t="inlineStr">
        <is>
          <t>NULL</t>
        </is>
      </c>
      <c r="G174" s="0" t="inlineStr">
        <is>
          <t>NULL</t>
        </is>
      </c>
      <c r="H174" s="0" t="inlineStr">
        <is>
          <t>NULL</t>
        </is>
      </c>
      <c r="I174" s="0" t="inlineStr">
        <is>
          <t>NULL</t>
        </is>
      </c>
      <c r="J174" s="0" t="inlineStr">
        <is>
          <t>NULL</t>
        </is>
      </c>
      <c r="K174" s="0" t="inlineStr">
        <is>
          <t>YES! 	 c_char20列源备映射正确，源端为char 20位	期望更改为char(n)	实际备端为char 20位</t>
        </is>
      </c>
    </row>
    <row r="175">
      <c r="B175" s="0" t="inlineStr">
        <is>
          <t>NULL</t>
        </is>
      </c>
      <c r="C175" s="0" t="inlineStr">
        <is>
          <t>NULL</t>
        </is>
      </c>
      <c r="D175" s="0" t="inlineStr">
        <is>
          <t>NULL</t>
        </is>
      </c>
      <c r="E175" s="0" t="inlineStr">
        <is>
          <t>NULL</t>
        </is>
      </c>
      <c r="F175" s="0" t="inlineStr">
        <is>
          <t>NULL</t>
        </is>
      </c>
      <c r="G175" s="0" t="inlineStr">
        <is>
          <t>NULL</t>
        </is>
      </c>
      <c r="H175" s="0" t="inlineStr">
        <is>
          <t>NULL</t>
        </is>
      </c>
      <c r="I175" s="0" t="inlineStr">
        <is>
          <t>NULL</t>
        </is>
      </c>
      <c r="J175" s="0" t="inlineStr">
        <is>
          <t>NULL</t>
        </is>
      </c>
      <c r="K175" s="0" t="inlineStr">
        <is>
          <t>YES! 	 c_char8000列源备映射正确，源端为char 8000位	期望更改为char(n)	实际备端为char 8000位</t>
        </is>
      </c>
    </row>
    <row r="176">
      <c r="A176" s="0" t="inlineStr">
        <is>
          <t>info_char_dml_batch2_pk_irp2</t>
        </is>
      </c>
      <c r="K176" s="0" t="inlineStr">
        <is>
          <t>[0;34m info_char_dml_batch2_pk_irp2 [0m源备字段数相同，源端字段：4 	备端字段4</t>
        </is>
      </c>
      <c r="W176" s="0" t="inlineStr">
        <is>
          <t>YES 源备无差异</t>
        </is>
      </c>
      <c r="X176" s="0">
        <f>A176</f>
        <v/>
      </c>
    </row>
    <row r="177">
      <c r="B177" s="0" t="inlineStr">
        <is>
          <t>YES</t>
        </is>
      </c>
      <c r="C177" s="0" t="inlineStr">
        <is>
          <t>NULL</t>
        </is>
      </c>
      <c r="D177" s="0" t="inlineStr">
        <is>
          <t>NULL</t>
        </is>
      </c>
      <c r="E177" s="0" t="inlineStr">
        <is>
          <t>NULL</t>
        </is>
      </c>
      <c r="F177" s="0" t="inlineStr">
        <is>
          <t>NULL</t>
        </is>
      </c>
      <c r="G177" s="0" t="inlineStr">
        <is>
          <t>NULL</t>
        </is>
      </c>
      <c r="H177" s="0" t="inlineStr">
        <is>
          <t>NULL</t>
        </is>
      </c>
      <c r="I177" s="0" t="inlineStr">
        <is>
          <t>YES!PK__info_cha__3213E83F17ECD9F4</t>
        </is>
      </c>
      <c r="J177" s="0" t="inlineStr">
        <is>
          <t>YES! 主键相关索引</t>
        </is>
      </c>
      <c r="K177" s="0" t="inlineStr">
        <is>
          <t>YES! 	 id列源备映射正确，源端为int None位	期望更改为int	实际备端为int None位</t>
        </is>
      </c>
    </row>
    <row r="178">
      <c r="B178" s="0" t="inlineStr">
        <is>
          <t>NULL</t>
        </is>
      </c>
      <c r="C178" s="0" t="inlineStr">
        <is>
          <t>NULL</t>
        </is>
      </c>
      <c r="D178" s="0" t="inlineStr">
        <is>
          <t>NULL</t>
        </is>
      </c>
      <c r="E178" s="0" t="inlineStr">
        <is>
          <t>NULL</t>
        </is>
      </c>
      <c r="F178" s="0" t="inlineStr">
        <is>
          <t>NULL</t>
        </is>
      </c>
      <c r="G178" s="0" t="inlineStr">
        <is>
          <t>NULL</t>
        </is>
      </c>
      <c r="H178" s="0" t="inlineStr">
        <is>
          <t>NULL</t>
        </is>
      </c>
      <c r="I178" s="0" t="inlineStr">
        <is>
          <t>NULL</t>
        </is>
      </c>
      <c r="J178" s="0" t="inlineStr">
        <is>
          <t>NULL</t>
        </is>
      </c>
      <c r="K178" s="0" t="inlineStr">
        <is>
          <t>YES! 	 c_char列源备映射正确，源端为char 1位	期望更改为char(n)	实际备端为char 1位</t>
        </is>
      </c>
    </row>
    <row r="179">
      <c r="B179" s="0" t="inlineStr">
        <is>
          <t>NULL</t>
        </is>
      </c>
      <c r="C179" s="0" t="inlineStr">
        <is>
          <t>NULL</t>
        </is>
      </c>
      <c r="D179" s="0" t="inlineStr">
        <is>
          <t>NULL</t>
        </is>
      </c>
      <c r="E179" s="0" t="inlineStr">
        <is>
          <t>NULL</t>
        </is>
      </c>
      <c r="F179" s="0" t="inlineStr">
        <is>
          <t>NULL</t>
        </is>
      </c>
      <c r="G179" s="0" t="inlineStr">
        <is>
          <t>NULL</t>
        </is>
      </c>
      <c r="H179" s="0" t="inlineStr">
        <is>
          <t>NULL</t>
        </is>
      </c>
      <c r="I179" s="0" t="inlineStr">
        <is>
          <t>NULL</t>
        </is>
      </c>
      <c r="J179" s="0" t="inlineStr">
        <is>
          <t>NULL</t>
        </is>
      </c>
      <c r="K179" s="0" t="inlineStr">
        <is>
          <t>YES! 	 c_char20列源备映射正确，源端为char 20位	期望更改为char(n)	实际备端为char 20位</t>
        </is>
      </c>
    </row>
    <row r="180">
      <c r="B180" s="0" t="inlineStr">
        <is>
          <t>NULL</t>
        </is>
      </c>
      <c r="C180" s="0" t="inlineStr">
        <is>
          <t>NULL</t>
        </is>
      </c>
      <c r="D180" s="0" t="inlineStr">
        <is>
          <t>NULL</t>
        </is>
      </c>
      <c r="E180" s="0" t="inlineStr">
        <is>
          <t>NULL</t>
        </is>
      </c>
      <c r="F180" s="0" t="inlineStr">
        <is>
          <t>NULL</t>
        </is>
      </c>
      <c r="G180" s="0" t="inlineStr">
        <is>
          <t>NULL</t>
        </is>
      </c>
      <c r="H180" s="0" t="inlineStr">
        <is>
          <t>NULL</t>
        </is>
      </c>
      <c r="I180" s="0" t="inlineStr">
        <is>
          <t>NULL</t>
        </is>
      </c>
      <c r="J180" s="0" t="inlineStr">
        <is>
          <t>NULL</t>
        </is>
      </c>
      <c r="K180" s="0" t="inlineStr">
        <is>
          <t>YES! 	 c_char8000列源备映射正确，源端为char 8000位	期望更改为char(n)	实际备端为char 8000位</t>
        </is>
      </c>
    </row>
    <row r="181">
      <c r="A181" s="0" t="inlineStr">
        <is>
          <t>info_char_dml_single_pk_drp</t>
        </is>
      </c>
      <c r="K181" s="0" t="inlineStr">
        <is>
          <t>[0;34m info_char_dml_single_pk_drp [0m源备字段数相同，源端字段：4 	备端字段4</t>
        </is>
      </c>
      <c r="W181" s="0" t="inlineStr">
        <is>
          <t>YES 源备无差异</t>
        </is>
      </c>
      <c r="X181" s="0">
        <f>A181</f>
        <v/>
      </c>
    </row>
    <row r="182">
      <c r="B182" s="0" t="inlineStr">
        <is>
          <t>YES</t>
        </is>
      </c>
      <c r="C182" s="0" t="inlineStr">
        <is>
          <t>NULL</t>
        </is>
      </c>
      <c r="D182" s="0" t="inlineStr">
        <is>
          <t>NULL</t>
        </is>
      </c>
      <c r="E182" s="0" t="inlineStr">
        <is>
          <t>NULL</t>
        </is>
      </c>
      <c r="F182" s="0" t="inlineStr">
        <is>
          <t>NULL</t>
        </is>
      </c>
      <c r="G182" s="0" t="inlineStr">
        <is>
          <t>NULL</t>
        </is>
      </c>
      <c r="H182" s="0" t="inlineStr">
        <is>
          <t>NULL</t>
        </is>
      </c>
      <c r="I182" s="0" t="inlineStr">
        <is>
          <t>YES!PK__info_cha__3213E83F737F950F</t>
        </is>
      </c>
      <c r="J182" s="0" t="inlineStr">
        <is>
          <t>YES! 主键相关索引</t>
        </is>
      </c>
      <c r="K182" s="0" t="inlineStr">
        <is>
          <t>YES! 	 id列源备映射正确，源端为int None位	期望更改为int	实际备端为int None位</t>
        </is>
      </c>
    </row>
    <row r="183">
      <c r="B183" s="0" t="inlineStr">
        <is>
          <t>NULL</t>
        </is>
      </c>
      <c r="C183" s="0" t="inlineStr">
        <is>
          <t>NULL</t>
        </is>
      </c>
      <c r="D183" s="0" t="inlineStr">
        <is>
          <t>NULL</t>
        </is>
      </c>
      <c r="E183" s="0" t="inlineStr">
        <is>
          <t>NULL</t>
        </is>
      </c>
      <c r="F183" s="0" t="inlineStr">
        <is>
          <t>NULL</t>
        </is>
      </c>
      <c r="G183" s="0" t="inlineStr">
        <is>
          <t>NULL</t>
        </is>
      </c>
      <c r="H183" s="0" t="inlineStr">
        <is>
          <t>NULL</t>
        </is>
      </c>
      <c r="I183" s="0" t="inlineStr">
        <is>
          <t>NULL</t>
        </is>
      </c>
      <c r="J183" s="0" t="inlineStr">
        <is>
          <t>NULL</t>
        </is>
      </c>
      <c r="K183" s="0" t="inlineStr">
        <is>
          <t>YES! 	 c_char列源备映射正确，源端为char 1位	期望更改为char(n)	实际备端为char 1位</t>
        </is>
      </c>
    </row>
    <row r="184">
      <c r="B184" s="0" t="inlineStr">
        <is>
          <t>NULL</t>
        </is>
      </c>
      <c r="C184" s="0" t="inlineStr">
        <is>
          <t>NULL</t>
        </is>
      </c>
      <c r="D184" s="0" t="inlineStr">
        <is>
          <t>NULL</t>
        </is>
      </c>
      <c r="E184" s="0" t="inlineStr">
        <is>
          <t>NULL</t>
        </is>
      </c>
      <c r="F184" s="0" t="inlineStr">
        <is>
          <t>NULL</t>
        </is>
      </c>
      <c r="G184" s="0" t="inlineStr">
        <is>
          <t>NULL</t>
        </is>
      </c>
      <c r="H184" s="0" t="inlineStr">
        <is>
          <t>NULL</t>
        </is>
      </c>
      <c r="I184" s="0" t="inlineStr">
        <is>
          <t>NULL</t>
        </is>
      </c>
      <c r="J184" s="0" t="inlineStr">
        <is>
          <t>NULL</t>
        </is>
      </c>
      <c r="K184" s="0" t="inlineStr">
        <is>
          <t>YES! 	 c_char20列源备映射正确，源端为char 20位	期望更改为char(n)	实际备端为char 20位</t>
        </is>
      </c>
    </row>
    <row r="185">
      <c r="B185" s="0" t="inlineStr">
        <is>
          <t>NULL</t>
        </is>
      </c>
      <c r="C185" s="0" t="inlineStr">
        <is>
          <t>NULL</t>
        </is>
      </c>
      <c r="D185" s="0" t="inlineStr">
        <is>
          <t>NULL</t>
        </is>
      </c>
      <c r="E185" s="0" t="inlineStr">
        <is>
          <t>NULL</t>
        </is>
      </c>
      <c r="F185" s="0" t="inlineStr">
        <is>
          <t>NULL</t>
        </is>
      </c>
      <c r="G185" s="0" t="inlineStr">
        <is>
          <t>NULL</t>
        </is>
      </c>
      <c r="H185" s="0" t="inlineStr">
        <is>
          <t>NULL</t>
        </is>
      </c>
      <c r="I185" s="0" t="inlineStr">
        <is>
          <t>NULL</t>
        </is>
      </c>
      <c r="J185" s="0" t="inlineStr">
        <is>
          <t>NULL</t>
        </is>
      </c>
      <c r="K185" s="0" t="inlineStr">
        <is>
          <t>YES! 	 c_char7000列源备映射正确，源端为char 7000位	期望更改为char(n)	实际备端为char 7000位</t>
        </is>
      </c>
    </row>
    <row r="186">
      <c r="A186" s="0" t="inlineStr">
        <is>
          <t>info_time_dml_batch1_pk</t>
        </is>
      </c>
      <c r="K186" s="0" t="inlineStr">
        <is>
          <t>[0;34m info_time_dml_batch1_pk [0m源备字段数相同，源端字段：9 	备端字段9</t>
        </is>
      </c>
      <c r="W186" s="0" t="inlineStr">
        <is>
          <t>YES 源备无差异</t>
        </is>
      </c>
      <c r="X186" s="0">
        <f>A186</f>
        <v/>
      </c>
    </row>
    <row r="187">
      <c r="B187" s="0" t="inlineStr">
        <is>
          <t>YES</t>
        </is>
      </c>
      <c r="C187" s="0" t="inlineStr">
        <is>
          <t>NULL</t>
        </is>
      </c>
      <c r="D187" s="0" t="inlineStr">
        <is>
          <t>NULL</t>
        </is>
      </c>
      <c r="E187" s="0" t="inlineStr">
        <is>
          <t>NULL</t>
        </is>
      </c>
      <c r="F187" s="0" t="inlineStr">
        <is>
          <t>NULL</t>
        </is>
      </c>
      <c r="G187" s="0" t="inlineStr">
        <is>
          <t>NULL</t>
        </is>
      </c>
      <c r="H187" s="0" t="inlineStr">
        <is>
          <t>NULL</t>
        </is>
      </c>
      <c r="I187" s="0" t="inlineStr">
        <is>
          <t>YES!PK__info_tim__3213E83F7708C811</t>
        </is>
      </c>
      <c r="J187" s="0" t="inlineStr">
        <is>
          <t>YES! 主键相关索引</t>
        </is>
      </c>
      <c r="K187" s="0" t="inlineStr">
        <is>
          <t>YES! 	 id列源备映射正确，源端为int None位	期望更改为int	实际备端为int None位</t>
        </is>
      </c>
    </row>
    <row r="188">
      <c r="B188" s="0" t="inlineStr">
        <is>
          <t>NULL</t>
        </is>
      </c>
      <c r="C188" s="0" t="inlineStr">
        <is>
          <t>NULL</t>
        </is>
      </c>
      <c r="D188" s="0" t="inlineStr">
        <is>
          <t>NULL</t>
        </is>
      </c>
      <c r="E188" s="0" t="inlineStr">
        <is>
          <t>NULL</t>
        </is>
      </c>
      <c r="F188" s="0" t="inlineStr">
        <is>
          <t>NULL</t>
        </is>
      </c>
      <c r="G188" s="0" t="inlineStr">
        <is>
          <t>NULL</t>
        </is>
      </c>
      <c r="H188" s="0" t="inlineStr">
        <is>
          <t>NULL</t>
        </is>
      </c>
      <c r="I188" s="0" t="inlineStr">
        <is>
          <t>NULL</t>
        </is>
      </c>
      <c r="J188" s="0" t="inlineStr">
        <is>
          <t>NULL</t>
        </is>
      </c>
      <c r="K188" s="0" t="inlineStr">
        <is>
          <t>no,len不存在</t>
        </is>
      </c>
    </row>
    <row r="189">
      <c r="B189" s="0" t="inlineStr">
        <is>
          <t>NULL</t>
        </is>
      </c>
      <c r="C189" s="0" t="inlineStr">
        <is>
          <t>NULL</t>
        </is>
      </c>
      <c r="D189" s="0" t="inlineStr">
        <is>
          <t>NULL</t>
        </is>
      </c>
      <c r="E189" s="0" t="inlineStr">
        <is>
          <t>NULL</t>
        </is>
      </c>
      <c r="F189" s="0" t="inlineStr">
        <is>
          <t>NULL</t>
        </is>
      </c>
      <c r="G189" s="0" t="inlineStr">
        <is>
          <t>NULL</t>
        </is>
      </c>
      <c r="H189" s="0" t="inlineStr">
        <is>
          <t>NULL</t>
        </is>
      </c>
      <c r="I189" s="0" t="inlineStr">
        <is>
          <t>NULL</t>
        </is>
      </c>
      <c r="J189" s="0" t="inlineStr">
        <is>
          <t>NULL</t>
        </is>
      </c>
      <c r="K189" s="0" t="inlineStr">
        <is>
          <t>YES! 	 c_time1列源备映射正确，源端为time None位	期望更改为time(n)	实际备端为time None位</t>
        </is>
      </c>
    </row>
    <row r="190">
      <c r="B190" s="0" t="inlineStr">
        <is>
          <t>NULL</t>
        </is>
      </c>
      <c r="C190" s="0" t="inlineStr">
        <is>
          <t>NULL</t>
        </is>
      </c>
      <c r="D190" s="0" t="inlineStr">
        <is>
          <t>NULL</t>
        </is>
      </c>
      <c r="E190" s="0" t="inlineStr">
        <is>
          <t>NULL</t>
        </is>
      </c>
      <c r="F190" s="0" t="inlineStr">
        <is>
          <t>NULL</t>
        </is>
      </c>
      <c r="G190" s="0" t="inlineStr">
        <is>
          <t>NULL</t>
        </is>
      </c>
      <c r="H190" s="0" t="inlineStr">
        <is>
          <t>NULL</t>
        </is>
      </c>
      <c r="I190" s="0" t="inlineStr">
        <is>
          <t>NULL</t>
        </is>
      </c>
      <c r="J190" s="0" t="inlineStr">
        <is>
          <t>NULL</t>
        </is>
      </c>
      <c r="K190" s="0" t="inlineStr">
        <is>
          <t>YES! 	 c_time2列源备映射正确，源端为time None位	期望更改为time(n)	实际备端为time None位</t>
        </is>
      </c>
    </row>
    <row r="191">
      <c r="B191" s="0" t="inlineStr">
        <is>
          <t>NULL</t>
        </is>
      </c>
      <c r="C191" s="0" t="inlineStr">
        <is>
          <t>NULL</t>
        </is>
      </c>
      <c r="D191" s="0" t="inlineStr">
        <is>
          <t>NULL</t>
        </is>
      </c>
      <c r="E191" s="0" t="inlineStr">
        <is>
          <t>NULL</t>
        </is>
      </c>
      <c r="F191" s="0" t="inlineStr">
        <is>
          <t>NULL</t>
        </is>
      </c>
      <c r="G191" s="0" t="inlineStr">
        <is>
          <t>NULL</t>
        </is>
      </c>
      <c r="H191" s="0" t="inlineStr">
        <is>
          <t>NULL</t>
        </is>
      </c>
      <c r="I191" s="0" t="inlineStr">
        <is>
          <t>NULL</t>
        </is>
      </c>
      <c r="J191" s="0" t="inlineStr">
        <is>
          <t>NULL</t>
        </is>
      </c>
      <c r="K191" s="0" t="inlineStr">
        <is>
          <t>YES! 	 c_time3列源备映射正确，源端为time None位	期望更改为time(n)	实际备端为time None位</t>
        </is>
      </c>
    </row>
    <row r="192">
      <c r="B192" s="0" t="inlineStr">
        <is>
          <t>NULL</t>
        </is>
      </c>
      <c r="C192" s="0" t="inlineStr">
        <is>
          <t>NULL</t>
        </is>
      </c>
      <c r="D192" s="0" t="inlineStr">
        <is>
          <t>NULL</t>
        </is>
      </c>
      <c r="E192" s="0" t="inlineStr">
        <is>
          <t>NULL</t>
        </is>
      </c>
      <c r="F192" s="0" t="inlineStr">
        <is>
          <t>NULL</t>
        </is>
      </c>
      <c r="G192" s="0" t="inlineStr">
        <is>
          <t>NULL</t>
        </is>
      </c>
      <c r="H192" s="0" t="inlineStr">
        <is>
          <t>NULL</t>
        </is>
      </c>
      <c r="I192" s="0" t="inlineStr">
        <is>
          <t>NULL</t>
        </is>
      </c>
      <c r="J192" s="0" t="inlineStr">
        <is>
          <t>NULL</t>
        </is>
      </c>
      <c r="K192" s="0" t="inlineStr">
        <is>
          <t>YES! 	 c_time4列源备映射正确，源端为time None位	期望更改为time(n)	实际备端为time None位</t>
        </is>
      </c>
    </row>
    <row r="193">
      <c r="B193" s="0" t="inlineStr">
        <is>
          <t>NULL</t>
        </is>
      </c>
      <c r="C193" s="0" t="inlineStr">
        <is>
          <t>NULL</t>
        </is>
      </c>
      <c r="D193" s="0" t="inlineStr">
        <is>
          <t>NULL</t>
        </is>
      </c>
      <c r="E193" s="0" t="inlineStr">
        <is>
          <t>NULL</t>
        </is>
      </c>
      <c r="F193" s="0" t="inlineStr">
        <is>
          <t>NULL</t>
        </is>
      </c>
      <c r="G193" s="0" t="inlineStr">
        <is>
          <t>NULL</t>
        </is>
      </c>
      <c r="H193" s="0" t="inlineStr">
        <is>
          <t>NULL</t>
        </is>
      </c>
      <c r="I193" s="0" t="inlineStr">
        <is>
          <t>NULL</t>
        </is>
      </c>
      <c r="J193" s="0" t="inlineStr">
        <is>
          <t>NULL</t>
        </is>
      </c>
      <c r="K193" s="0" t="inlineStr">
        <is>
          <t>YES! 	 c_time5列源备映射正确，源端为time None位	期望更改为time(n)	实际备端为time None位</t>
        </is>
      </c>
    </row>
    <row r="194">
      <c r="B194" s="0" t="inlineStr">
        <is>
          <t>NULL</t>
        </is>
      </c>
      <c r="C194" s="0" t="inlineStr">
        <is>
          <t>NULL</t>
        </is>
      </c>
      <c r="D194" s="0" t="inlineStr">
        <is>
          <t>NULL</t>
        </is>
      </c>
      <c r="E194" s="0" t="inlineStr">
        <is>
          <t>NULL</t>
        </is>
      </c>
      <c r="F194" s="0" t="inlineStr">
        <is>
          <t>NULL</t>
        </is>
      </c>
      <c r="G194" s="0" t="inlineStr">
        <is>
          <t>NULL</t>
        </is>
      </c>
      <c r="H194" s="0" t="inlineStr">
        <is>
          <t>NULL</t>
        </is>
      </c>
      <c r="I194" s="0" t="inlineStr">
        <is>
          <t>NULL</t>
        </is>
      </c>
      <c r="J194" s="0" t="inlineStr">
        <is>
          <t>NULL</t>
        </is>
      </c>
      <c r="K194" s="0" t="inlineStr">
        <is>
          <t>YES! 	 c_time6列源备映射正确，源端为time None位	期望更改为time(n)	实际备端为time None位</t>
        </is>
      </c>
    </row>
    <row r="195">
      <c r="B195" s="0" t="inlineStr">
        <is>
          <t>NULL</t>
        </is>
      </c>
      <c r="C195" s="0" t="inlineStr">
        <is>
          <t>NULL</t>
        </is>
      </c>
      <c r="D195" s="0" t="inlineStr">
        <is>
          <t>NULL</t>
        </is>
      </c>
      <c r="E195" s="0" t="inlineStr">
        <is>
          <t>NULL</t>
        </is>
      </c>
      <c r="F195" s="0" t="inlineStr">
        <is>
          <t>NULL</t>
        </is>
      </c>
      <c r="G195" s="0" t="inlineStr">
        <is>
          <t>NULL</t>
        </is>
      </c>
      <c r="H195" s="0" t="inlineStr">
        <is>
          <t>NULL</t>
        </is>
      </c>
      <c r="I195" s="0" t="inlineStr">
        <is>
          <t>NULL</t>
        </is>
      </c>
      <c r="J195" s="0" t="inlineStr">
        <is>
          <t>NULL</t>
        </is>
      </c>
      <c r="K195" s="0" t="inlineStr">
        <is>
          <t>YES! 	 c_time列源备映射正确，源端为time None位	期望更改为time(n)	实际备端为time None位</t>
        </is>
      </c>
    </row>
    <row r="196">
      <c r="A196" s="0" t="inlineStr">
        <is>
          <t>info_hierarchyid_dml_single_pk_drp</t>
        </is>
      </c>
      <c r="K196" s="0" t="inlineStr">
        <is>
          <t>[0;34m info_hierarchyid_dml_single_pk_drp [0m源备字段数相同，源端字段：2 	备端字段2</t>
        </is>
      </c>
      <c r="W196" s="0" t="inlineStr">
        <is>
          <t>YES 源备无差异</t>
        </is>
      </c>
      <c r="X196" s="0">
        <f>A196</f>
        <v/>
      </c>
    </row>
    <row r="197">
      <c r="B197" s="0" t="inlineStr">
        <is>
          <t>YES</t>
        </is>
      </c>
      <c r="C197" s="0" t="inlineStr">
        <is>
          <t>NULL</t>
        </is>
      </c>
      <c r="D197" s="0" t="inlineStr">
        <is>
          <t>NULL</t>
        </is>
      </c>
      <c r="E197" s="0" t="inlineStr">
        <is>
          <t>NULL</t>
        </is>
      </c>
      <c r="F197" s="0" t="inlineStr">
        <is>
          <t>NULL</t>
        </is>
      </c>
      <c r="G197" s="0" t="inlineStr">
        <is>
          <t>NULL</t>
        </is>
      </c>
      <c r="H197" s="0" t="inlineStr">
        <is>
          <t>NULL</t>
        </is>
      </c>
      <c r="I197" s="0" t="inlineStr">
        <is>
          <t>YES!PK__info_hie__3213E83F1847B547</t>
        </is>
      </c>
      <c r="J197" s="0" t="inlineStr">
        <is>
          <t>YES! 主键相关索引</t>
        </is>
      </c>
      <c r="K197" s="0" t="inlineStr">
        <is>
          <t>YES! 	 id列源备映射正确，源端为int None位	期望更改为int	实际备端为int None位</t>
        </is>
      </c>
    </row>
    <row r="198">
      <c r="B198" s="0" t="inlineStr">
        <is>
          <t>NULL</t>
        </is>
      </c>
      <c r="C198" s="0" t="inlineStr">
        <is>
          <t>NULL</t>
        </is>
      </c>
      <c r="D198" s="0" t="inlineStr">
        <is>
          <t>NULL</t>
        </is>
      </c>
      <c r="E198" s="0" t="inlineStr">
        <is>
          <t>NULL</t>
        </is>
      </c>
      <c r="F198" s="0" t="inlineStr">
        <is>
          <t>NULL</t>
        </is>
      </c>
      <c r="G198" s="0" t="inlineStr">
        <is>
          <t>NULL</t>
        </is>
      </c>
      <c r="H198" s="0" t="inlineStr">
        <is>
          <t>NULL</t>
        </is>
      </c>
      <c r="I198" s="0" t="inlineStr">
        <is>
          <t>NULL</t>
        </is>
      </c>
      <c r="J198" s="0" t="inlineStr">
        <is>
          <t>NULL</t>
        </is>
      </c>
      <c r="K198" s="0" t="inlineStr">
        <is>
          <t>YES! 	 c_hierarchyid列源备映射正确，源端为hierarchyid 892位	期望更改为hierarchyid	实际备端为hierarchyid 892位</t>
        </is>
      </c>
    </row>
    <row r="199">
      <c r="A199" s="0" t="inlineStr">
        <is>
          <t>info_char_dml_single_pk</t>
        </is>
      </c>
      <c r="K199" s="0" t="inlineStr">
        <is>
          <t>[0;34m info_char_dml_single_pk [0m源备字段数相同，源端字段：4 	备端字段4</t>
        </is>
      </c>
      <c r="W199" s="0" t="inlineStr">
        <is>
          <t>YES 源备无差异</t>
        </is>
      </c>
      <c r="X199" s="0">
        <f>A199</f>
        <v/>
      </c>
    </row>
    <row r="200">
      <c r="B200" s="0" t="inlineStr">
        <is>
          <t>YES</t>
        </is>
      </c>
      <c r="C200" s="0" t="inlineStr">
        <is>
          <t>NULL</t>
        </is>
      </c>
      <c r="D200" s="0" t="inlineStr">
        <is>
          <t>NULL</t>
        </is>
      </c>
      <c r="E200" s="0" t="inlineStr">
        <is>
          <t>NULL</t>
        </is>
      </c>
      <c r="F200" s="0" t="inlineStr">
        <is>
          <t>NULL</t>
        </is>
      </c>
      <c r="G200" s="0" t="inlineStr">
        <is>
          <t>NULL</t>
        </is>
      </c>
      <c r="H200" s="0" t="inlineStr">
        <is>
          <t>NULL</t>
        </is>
      </c>
      <c r="I200" s="0" t="inlineStr">
        <is>
          <t>YES!PK__info_cha__3213E83FE0B552FC</t>
        </is>
      </c>
      <c r="J200" s="0" t="inlineStr">
        <is>
          <t>YES! 主键相关索引</t>
        </is>
      </c>
      <c r="K200" s="0" t="inlineStr">
        <is>
          <t>YES! 	 id列源备映射正确，源端为int None位	期望更改为int	实际备端为int None位</t>
        </is>
      </c>
    </row>
    <row r="201">
      <c r="B201" s="0" t="inlineStr">
        <is>
          <t>NULL</t>
        </is>
      </c>
      <c r="C201" s="0" t="inlineStr">
        <is>
          <t>NULL</t>
        </is>
      </c>
      <c r="D201" s="0" t="inlineStr">
        <is>
          <t>NULL</t>
        </is>
      </c>
      <c r="E201" s="0" t="inlineStr">
        <is>
          <t>NULL</t>
        </is>
      </c>
      <c r="F201" s="0" t="inlineStr">
        <is>
          <t>NULL</t>
        </is>
      </c>
      <c r="G201" s="0" t="inlineStr">
        <is>
          <t>NULL</t>
        </is>
      </c>
      <c r="H201" s="0" t="inlineStr">
        <is>
          <t>NULL</t>
        </is>
      </c>
      <c r="I201" s="0" t="inlineStr">
        <is>
          <t>NULL</t>
        </is>
      </c>
      <c r="J201" s="0" t="inlineStr">
        <is>
          <t>NULL</t>
        </is>
      </c>
      <c r="K201" s="0" t="inlineStr">
        <is>
          <t>YES! 	 c_char列源备映射正确，源端为char 1位	期望更改为char(n)	实际备端为char 1位</t>
        </is>
      </c>
    </row>
    <row r="202">
      <c r="B202" s="0" t="inlineStr">
        <is>
          <t>NULL</t>
        </is>
      </c>
      <c r="C202" s="0" t="inlineStr">
        <is>
          <t>NULL</t>
        </is>
      </c>
      <c r="D202" s="0" t="inlineStr">
        <is>
          <t>NULL</t>
        </is>
      </c>
      <c r="E202" s="0" t="inlineStr">
        <is>
          <t>NULL</t>
        </is>
      </c>
      <c r="F202" s="0" t="inlineStr">
        <is>
          <t>NULL</t>
        </is>
      </c>
      <c r="G202" s="0" t="inlineStr">
        <is>
          <t>NULL</t>
        </is>
      </c>
      <c r="H202" s="0" t="inlineStr">
        <is>
          <t>NULL</t>
        </is>
      </c>
      <c r="I202" s="0" t="inlineStr">
        <is>
          <t>NULL</t>
        </is>
      </c>
      <c r="J202" s="0" t="inlineStr">
        <is>
          <t>NULL</t>
        </is>
      </c>
      <c r="K202" s="0" t="inlineStr">
        <is>
          <t>YES! 	 c_char20列源备映射正确，源端为char 20位	期望更改为char(n)	实际备端为char 20位</t>
        </is>
      </c>
    </row>
    <row r="203">
      <c r="B203" s="0" t="inlineStr">
        <is>
          <t>NULL</t>
        </is>
      </c>
      <c r="C203" s="0" t="inlineStr">
        <is>
          <t>NULL</t>
        </is>
      </c>
      <c r="D203" s="0" t="inlineStr">
        <is>
          <t>NULL</t>
        </is>
      </c>
      <c r="E203" s="0" t="inlineStr">
        <is>
          <t>NULL</t>
        </is>
      </c>
      <c r="F203" s="0" t="inlineStr">
        <is>
          <t>NULL</t>
        </is>
      </c>
      <c r="G203" s="0" t="inlineStr">
        <is>
          <t>NULL</t>
        </is>
      </c>
      <c r="H203" s="0" t="inlineStr">
        <is>
          <t>NULL</t>
        </is>
      </c>
      <c r="I203" s="0" t="inlineStr">
        <is>
          <t>NULL</t>
        </is>
      </c>
      <c r="J203" s="0" t="inlineStr">
        <is>
          <t>NULL</t>
        </is>
      </c>
      <c r="K203" s="0" t="inlineStr">
        <is>
          <t>YES! 	 c_char7000列源备映射正确，源端为char 7000位	期望更改为char(n)	实际备端为char 7000位</t>
        </is>
      </c>
    </row>
    <row r="204">
      <c r="A204" s="0" t="inlineStr">
        <is>
          <t>info_char_dml_batch1_pk_urp1</t>
        </is>
      </c>
      <c r="K204" s="0" t="inlineStr">
        <is>
          <t>[0;34m info_char_dml_batch1_pk_urp1 [0m源备字段数相同，源端字段：4 	备端字段4</t>
        </is>
      </c>
      <c r="W204" s="0" t="inlineStr">
        <is>
          <t>YES 源备无差异</t>
        </is>
      </c>
      <c r="X204" s="0">
        <f>A204</f>
        <v/>
      </c>
    </row>
    <row r="205">
      <c r="B205" s="0" t="inlineStr">
        <is>
          <t>YES</t>
        </is>
      </c>
      <c r="C205" s="0" t="inlineStr">
        <is>
          <t>NULL</t>
        </is>
      </c>
      <c r="D205" s="0" t="inlineStr">
        <is>
          <t>NULL</t>
        </is>
      </c>
      <c r="E205" s="0" t="inlineStr">
        <is>
          <t>NULL</t>
        </is>
      </c>
      <c r="F205" s="0" t="inlineStr">
        <is>
          <t>NULL</t>
        </is>
      </c>
      <c r="G205" s="0" t="inlineStr">
        <is>
          <t>NULL</t>
        </is>
      </c>
      <c r="H205" s="0" t="inlineStr">
        <is>
          <t>NULL</t>
        </is>
      </c>
      <c r="I205" s="0" t="inlineStr">
        <is>
          <t>YES!PK__info_cha__3213E83F919F0F13</t>
        </is>
      </c>
      <c r="J205" s="0" t="inlineStr">
        <is>
          <t>YES! 主键相关索引</t>
        </is>
      </c>
      <c r="K205" s="0" t="inlineStr">
        <is>
          <t>YES! 	 id列源备映射正确，源端为int None位	期望更改为int	实际备端为int None位</t>
        </is>
      </c>
    </row>
    <row r="206">
      <c r="B206" s="0" t="inlineStr">
        <is>
          <t>NULL</t>
        </is>
      </c>
      <c r="C206" s="0" t="inlineStr">
        <is>
          <t>NULL</t>
        </is>
      </c>
      <c r="D206" s="0" t="inlineStr">
        <is>
          <t>NULL</t>
        </is>
      </c>
      <c r="E206" s="0" t="inlineStr">
        <is>
          <t>NULL</t>
        </is>
      </c>
      <c r="F206" s="0" t="inlineStr">
        <is>
          <t>NULL</t>
        </is>
      </c>
      <c r="G206" s="0" t="inlineStr">
        <is>
          <t>NULL</t>
        </is>
      </c>
      <c r="H206" s="0" t="inlineStr">
        <is>
          <t>NULL</t>
        </is>
      </c>
      <c r="I206" s="0" t="inlineStr">
        <is>
          <t>NULL</t>
        </is>
      </c>
      <c r="J206" s="0" t="inlineStr">
        <is>
          <t>NULL</t>
        </is>
      </c>
      <c r="K206" s="0" t="inlineStr">
        <is>
          <t>YES! 	 c_char列源备映射正确，源端为char 1位	期望更改为char(n)	实际备端为char 1位</t>
        </is>
      </c>
    </row>
    <row r="207">
      <c r="B207" s="0" t="inlineStr">
        <is>
          <t>NULL</t>
        </is>
      </c>
      <c r="C207" s="0" t="inlineStr">
        <is>
          <t>NULL</t>
        </is>
      </c>
      <c r="D207" s="0" t="inlineStr">
        <is>
          <t>NULL</t>
        </is>
      </c>
      <c r="E207" s="0" t="inlineStr">
        <is>
          <t>NULL</t>
        </is>
      </c>
      <c r="F207" s="0" t="inlineStr">
        <is>
          <t>NULL</t>
        </is>
      </c>
      <c r="G207" s="0" t="inlineStr">
        <is>
          <t>NULL</t>
        </is>
      </c>
      <c r="H207" s="0" t="inlineStr">
        <is>
          <t>NULL</t>
        </is>
      </c>
      <c r="I207" s="0" t="inlineStr">
        <is>
          <t>NULL</t>
        </is>
      </c>
      <c r="J207" s="0" t="inlineStr">
        <is>
          <t>NULL</t>
        </is>
      </c>
      <c r="K207" s="0" t="inlineStr">
        <is>
          <t>YES! 	 c_char20列源备映射正确，源端为char 20位	期望更改为char(n)	实际备端为char 20位</t>
        </is>
      </c>
    </row>
    <row r="208">
      <c r="B208" s="0" t="inlineStr">
        <is>
          <t>NULL</t>
        </is>
      </c>
      <c r="C208" s="0" t="inlineStr">
        <is>
          <t>NULL</t>
        </is>
      </c>
      <c r="D208" s="0" t="inlineStr">
        <is>
          <t>NULL</t>
        </is>
      </c>
      <c r="E208" s="0" t="inlineStr">
        <is>
          <t>NULL</t>
        </is>
      </c>
      <c r="F208" s="0" t="inlineStr">
        <is>
          <t>NULL</t>
        </is>
      </c>
      <c r="G208" s="0" t="inlineStr">
        <is>
          <t>NULL</t>
        </is>
      </c>
      <c r="H208" s="0" t="inlineStr">
        <is>
          <t>NULL</t>
        </is>
      </c>
      <c r="I208" s="0" t="inlineStr">
        <is>
          <t>NULL</t>
        </is>
      </c>
      <c r="J208" s="0" t="inlineStr">
        <is>
          <t>NULL</t>
        </is>
      </c>
      <c r="K208" s="0" t="inlineStr">
        <is>
          <t>YES! 	 c_char7000列源备映射正确，源端为char 7000位	期望更改为char(n)	实际备端为char 7000位</t>
        </is>
      </c>
    </row>
    <row r="209">
      <c r="A209" s="0" t="inlineStr">
        <is>
          <t>info_varchar_dml_single_nopk</t>
        </is>
      </c>
      <c r="K209" s="0" t="inlineStr">
        <is>
          <t>[0;34m info_varchar_dml_single_nopk [0m源备字段数相同，源端字段：4 	备端字段4</t>
        </is>
      </c>
      <c r="W209" s="0" t="inlineStr">
        <is>
          <t>YES 源备无差异</t>
        </is>
      </c>
      <c r="X209" s="0">
        <f>A209</f>
        <v/>
      </c>
    </row>
    <row r="210">
      <c r="B210" s="0" t="inlineStr">
        <is>
          <t>NULL</t>
        </is>
      </c>
      <c r="C210" s="0" t="inlineStr">
        <is>
          <t>NULL</t>
        </is>
      </c>
      <c r="D210" s="0" t="inlineStr">
        <is>
          <t>NULL</t>
        </is>
      </c>
      <c r="E210" s="0" t="inlineStr">
        <is>
          <t>NULL</t>
        </is>
      </c>
      <c r="F210" s="0" t="inlineStr">
        <is>
          <t>NULL</t>
        </is>
      </c>
      <c r="G210" s="0" t="inlineStr">
        <is>
          <t>NULL</t>
        </is>
      </c>
      <c r="H210" s="0" t="inlineStr">
        <is>
          <t>NULL</t>
        </is>
      </c>
      <c r="I210" s="0" t="inlineStr">
        <is>
          <t>NULL</t>
        </is>
      </c>
      <c r="J210" s="0" t="inlineStr">
        <is>
          <t>NULL</t>
        </is>
      </c>
      <c r="K210" s="0" t="inlineStr">
        <is>
          <t>YES! 	 id列源备映射正确，源端为int None位	期望更改为int	实际备端为int None位</t>
        </is>
      </c>
    </row>
    <row r="211">
      <c r="B211" s="0" t="inlineStr">
        <is>
          <t>NULL</t>
        </is>
      </c>
      <c r="C211" s="0" t="inlineStr">
        <is>
          <t>NULL</t>
        </is>
      </c>
      <c r="D211" s="0" t="inlineStr">
        <is>
          <t>NULL</t>
        </is>
      </c>
      <c r="E211" s="0" t="inlineStr">
        <is>
          <t>NULL</t>
        </is>
      </c>
      <c r="F211" s="0" t="inlineStr">
        <is>
          <t>NULL</t>
        </is>
      </c>
      <c r="G211" s="0" t="inlineStr">
        <is>
          <t>NULL</t>
        </is>
      </c>
      <c r="H211" s="0" t="inlineStr">
        <is>
          <t>NULL</t>
        </is>
      </c>
      <c r="I211" s="0" t="inlineStr">
        <is>
          <t>NULL</t>
        </is>
      </c>
      <c r="J211" s="0" t="inlineStr">
        <is>
          <t>NULL</t>
        </is>
      </c>
      <c r="K211" s="0" t="inlineStr">
        <is>
          <t>YES! 	 c_varchar列源备映射正确，源端为varchar 1位	期望更改为varchar(n)	实际备端为varchar 1位</t>
        </is>
      </c>
    </row>
    <row r="212">
      <c r="B212" s="0" t="inlineStr">
        <is>
          <t>NULL</t>
        </is>
      </c>
      <c r="C212" s="0" t="inlineStr">
        <is>
          <t>NULL</t>
        </is>
      </c>
      <c r="D212" s="0" t="inlineStr">
        <is>
          <t>NULL</t>
        </is>
      </c>
      <c r="E212" s="0" t="inlineStr">
        <is>
          <t>NULL</t>
        </is>
      </c>
      <c r="F212" s="0" t="inlineStr">
        <is>
          <t>NULL</t>
        </is>
      </c>
      <c r="G212" s="0" t="inlineStr">
        <is>
          <t>NULL</t>
        </is>
      </c>
      <c r="H212" s="0" t="inlineStr">
        <is>
          <t>NULL</t>
        </is>
      </c>
      <c r="I212" s="0" t="inlineStr">
        <is>
          <t>NULL</t>
        </is>
      </c>
      <c r="J212" s="0" t="inlineStr">
        <is>
          <t>NULL</t>
        </is>
      </c>
      <c r="K212" s="0" t="inlineStr">
        <is>
          <t>YES! 	 c_varchar50列源备映射正确，源端为varchar 50位	期望更改为varchar(n)	实际备端为varchar 50位</t>
        </is>
      </c>
    </row>
    <row r="213">
      <c r="B213" s="0" t="inlineStr">
        <is>
          <t>NULL</t>
        </is>
      </c>
      <c r="C213" s="0" t="inlineStr">
        <is>
          <t>NULL</t>
        </is>
      </c>
      <c r="D213" s="0" t="inlineStr">
        <is>
          <t>NULL</t>
        </is>
      </c>
      <c r="E213" s="0" t="inlineStr">
        <is>
          <t>NULL</t>
        </is>
      </c>
      <c r="F213" s="0" t="inlineStr">
        <is>
          <t>NULL</t>
        </is>
      </c>
      <c r="G213" s="0" t="inlineStr">
        <is>
          <t>NULL</t>
        </is>
      </c>
      <c r="H213" s="0" t="inlineStr">
        <is>
          <t>NULL</t>
        </is>
      </c>
      <c r="I213" s="0" t="inlineStr">
        <is>
          <t>NULL</t>
        </is>
      </c>
      <c r="J213" s="0" t="inlineStr">
        <is>
          <t>NULL</t>
        </is>
      </c>
      <c r="K213" s="0" t="inlineStr">
        <is>
          <t>YES! 	 c_varchar8000列源备映射正确，源端为varchar 8000位	期望更改为varchar(n)	实际备端为varchar 8000位</t>
        </is>
      </c>
    </row>
    <row r="214">
      <c r="A214" s="0" t="inlineStr">
        <is>
          <t>info_sdt_dml_batch1_pk_irp1</t>
        </is>
      </c>
      <c r="K214" s="0" t="inlineStr">
        <is>
          <t>[0;34m info_sdt_dml_batch1_pk_irp1 [0m源备字段数相同，源端字段：2 	备端字段2</t>
        </is>
      </c>
      <c r="W214" s="0" t="inlineStr">
        <is>
          <t>YES 源备无差异</t>
        </is>
      </c>
      <c r="X214" s="0">
        <f>A214</f>
        <v/>
      </c>
    </row>
    <row r="215">
      <c r="B215" s="0" t="inlineStr">
        <is>
          <t>YES</t>
        </is>
      </c>
      <c r="C215" s="0" t="inlineStr">
        <is>
          <t>NULL</t>
        </is>
      </c>
      <c r="D215" s="0" t="inlineStr">
        <is>
          <t>NULL</t>
        </is>
      </c>
      <c r="E215" s="0" t="inlineStr">
        <is>
          <t>NULL</t>
        </is>
      </c>
      <c r="F215" s="0" t="inlineStr">
        <is>
          <t>NULL</t>
        </is>
      </c>
      <c r="G215" s="0" t="inlineStr">
        <is>
          <t>NULL</t>
        </is>
      </c>
      <c r="H215" s="0" t="inlineStr">
        <is>
          <t>NULL</t>
        </is>
      </c>
      <c r="I215" s="0" t="inlineStr">
        <is>
          <t>YES!PK__info_sdt__3213E83F1B06488F</t>
        </is>
      </c>
      <c r="J215" s="0" t="inlineStr">
        <is>
          <t>YES! 主键相关索引</t>
        </is>
      </c>
      <c r="K215" s="0" t="inlineStr">
        <is>
          <t>YES! 	 id列源备映射正确，源端为int None位	期望更改为int	实际备端为int None位</t>
        </is>
      </c>
    </row>
    <row r="216">
      <c r="B216" s="0" t="inlineStr">
        <is>
          <t>NULL</t>
        </is>
      </c>
      <c r="C216" s="0" t="inlineStr">
        <is>
          <t>NULL</t>
        </is>
      </c>
      <c r="D216" s="0" t="inlineStr">
        <is>
          <t>NULL</t>
        </is>
      </c>
      <c r="E216" s="0" t="inlineStr">
        <is>
          <t>NULL</t>
        </is>
      </c>
      <c r="F216" s="0" t="inlineStr">
        <is>
          <t>NULL</t>
        </is>
      </c>
      <c r="G216" s="0" t="inlineStr">
        <is>
          <t>NULL</t>
        </is>
      </c>
      <c r="H216" s="0" t="inlineStr">
        <is>
          <t>NULL</t>
        </is>
      </c>
      <c r="I216" s="0" t="inlineStr">
        <is>
          <t>NULL</t>
        </is>
      </c>
      <c r="J216" s="0" t="inlineStr">
        <is>
          <t>NULL</t>
        </is>
      </c>
      <c r="K216" s="0" t="inlineStr">
        <is>
          <t>YES! 	 c_sdt列源备映射正确，源端为smalldatetime None位	期望更改为smalldatetime	实际备端为smalldatetime None位</t>
        </is>
      </c>
    </row>
    <row r="217">
      <c r="A217" s="0" t="inlineStr">
        <is>
          <t>info_char_dml_batch1_pk_urp2</t>
        </is>
      </c>
      <c r="K217" s="0" t="inlineStr">
        <is>
          <t>[0;34m info_char_dml_batch1_pk_urp2 [0m源备字段数相同，源端字段：4 	备端字段4</t>
        </is>
      </c>
      <c r="W217" s="0" t="inlineStr">
        <is>
          <t>YES 源备无差异</t>
        </is>
      </c>
      <c r="X217" s="0">
        <f>A217</f>
        <v/>
      </c>
    </row>
    <row r="218">
      <c r="B218" s="0" t="inlineStr">
        <is>
          <t>YES</t>
        </is>
      </c>
      <c r="C218" s="0" t="inlineStr">
        <is>
          <t>NULL</t>
        </is>
      </c>
      <c r="D218" s="0" t="inlineStr">
        <is>
          <t>NULL</t>
        </is>
      </c>
      <c r="E218" s="0" t="inlineStr">
        <is>
          <t>NULL</t>
        </is>
      </c>
      <c r="F218" s="0" t="inlineStr">
        <is>
          <t>NULL</t>
        </is>
      </c>
      <c r="G218" s="0" t="inlineStr">
        <is>
          <t>NULL</t>
        </is>
      </c>
      <c r="H218" s="0" t="inlineStr">
        <is>
          <t>NULL</t>
        </is>
      </c>
      <c r="I218" s="0" t="inlineStr">
        <is>
          <t>YES!PK__info_cha__3213E83FEA22634D</t>
        </is>
      </c>
      <c r="J218" s="0" t="inlineStr">
        <is>
          <t>YES! 主键相关索引</t>
        </is>
      </c>
      <c r="K218" s="0" t="inlineStr">
        <is>
          <t>YES! 	 id列源备映射正确，源端为int None位	期望更改为int	实际备端为int None位</t>
        </is>
      </c>
    </row>
    <row r="219">
      <c r="B219" s="0" t="inlineStr">
        <is>
          <t>NULL</t>
        </is>
      </c>
      <c r="C219" s="0" t="inlineStr">
        <is>
          <t>NULL</t>
        </is>
      </c>
      <c r="D219" s="0" t="inlineStr">
        <is>
          <t>NULL</t>
        </is>
      </c>
      <c r="E219" s="0" t="inlineStr">
        <is>
          <t>NULL</t>
        </is>
      </c>
      <c r="F219" s="0" t="inlineStr">
        <is>
          <t>NULL</t>
        </is>
      </c>
      <c r="G219" s="0" t="inlineStr">
        <is>
          <t>NULL</t>
        </is>
      </c>
      <c r="H219" s="0" t="inlineStr">
        <is>
          <t>NULL</t>
        </is>
      </c>
      <c r="I219" s="0" t="inlineStr">
        <is>
          <t>NULL</t>
        </is>
      </c>
      <c r="J219" s="0" t="inlineStr">
        <is>
          <t>NULL</t>
        </is>
      </c>
      <c r="K219" s="0" t="inlineStr">
        <is>
          <t>YES! 	 c_char列源备映射正确，源端为char 1位	期望更改为char(n)	实际备端为char 1位</t>
        </is>
      </c>
    </row>
    <row r="220">
      <c r="B220" s="0" t="inlineStr">
        <is>
          <t>NULL</t>
        </is>
      </c>
      <c r="C220" s="0" t="inlineStr">
        <is>
          <t>NULL</t>
        </is>
      </c>
      <c r="D220" s="0" t="inlineStr">
        <is>
          <t>NULL</t>
        </is>
      </c>
      <c r="E220" s="0" t="inlineStr">
        <is>
          <t>NULL</t>
        </is>
      </c>
      <c r="F220" s="0" t="inlineStr">
        <is>
          <t>NULL</t>
        </is>
      </c>
      <c r="G220" s="0" t="inlineStr">
        <is>
          <t>NULL</t>
        </is>
      </c>
      <c r="H220" s="0" t="inlineStr">
        <is>
          <t>NULL</t>
        </is>
      </c>
      <c r="I220" s="0" t="inlineStr">
        <is>
          <t>NULL</t>
        </is>
      </c>
      <c r="J220" s="0" t="inlineStr">
        <is>
          <t>NULL</t>
        </is>
      </c>
      <c r="K220" s="0" t="inlineStr">
        <is>
          <t>YES! 	 c_char20列源备映射正确，源端为char 20位	期望更改为char(n)	实际备端为char 20位</t>
        </is>
      </c>
    </row>
    <row r="221">
      <c r="B221" s="0" t="inlineStr">
        <is>
          <t>NULL</t>
        </is>
      </c>
      <c r="C221" s="0" t="inlineStr">
        <is>
          <t>NULL</t>
        </is>
      </c>
      <c r="D221" s="0" t="inlineStr">
        <is>
          <t>NULL</t>
        </is>
      </c>
      <c r="E221" s="0" t="inlineStr">
        <is>
          <t>NULL</t>
        </is>
      </c>
      <c r="F221" s="0" t="inlineStr">
        <is>
          <t>NULL</t>
        </is>
      </c>
      <c r="G221" s="0" t="inlineStr">
        <is>
          <t>NULL</t>
        </is>
      </c>
      <c r="H221" s="0" t="inlineStr">
        <is>
          <t>NULL</t>
        </is>
      </c>
      <c r="I221" s="0" t="inlineStr">
        <is>
          <t>NULL</t>
        </is>
      </c>
      <c r="J221" s="0" t="inlineStr">
        <is>
          <t>NULL</t>
        </is>
      </c>
      <c r="K221" s="0" t="inlineStr">
        <is>
          <t>YES! 	 c_char7000列源备映射正确，源端为char 7000位	期望更改为char(n)	实际备端为char 7000位</t>
        </is>
      </c>
    </row>
    <row r="222">
      <c r="A222" s="0" t="inlineStr">
        <is>
          <t>info_hierarchyid_dml_single_pk</t>
        </is>
      </c>
      <c r="K222" s="0" t="inlineStr">
        <is>
          <t>[0;34m info_hierarchyid_dml_single_pk [0m源备字段数相同，源端字段：2 	备端字段2</t>
        </is>
      </c>
      <c r="W222" s="0" t="inlineStr">
        <is>
          <t>YES 源备无差异</t>
        </is>
      </c>
      <c r="X222" s="0">
        <f>A222</f>
        <v/>
      </c>
    </row>
    <row r="223">
      <c r="B223" s="0" t="inlineStr">
        <is>
          <t>YES</t>
        </is>
      </c>
      <c r="C223" s="0" t="inlineStr">
        <is>
          <t>NULL</t>
        </is>
      </c>
      <c r="D223" s="0" t="inlineStr">
        <is>
          <t>NULL</t>
        </is>
      </c>
      <c r="E223" s="0" t="inlineStr">
        <is>
          <t>NULL</t>
        </is>
      </c>
      <c r="F223" s="0" t="inlineStr">
        <is>
          <t>NULL</t>
        </is>
      </c>
      <c r="G223" s="0" t="inlineStr">
        <is>
          <t>NULL</t>
        </is>
      </c>
      <c r="H223" s="0" t="inlineStr">
        <is>
          <t>NULL</t>
        </is>
      </c>
      <c r="I223" s="0" t="inlineStr">
        <is>
          <t>YES!PK__info_hie__3213E83F2067C9E4</t>
        </is>
      </c>
      <c r="J223" s="0" t="inlineStr">
        <is>
          <t>YES! 主键相关索引</t>
        </is>
      </c>
      <c r="K223" s="0" t="inlineStr">
        <is>
          <t>YES! 	 id列源备映射正确，源端为int None位	期望更改为int	实际备端为int None位</t>
        </is>
      </c>
    </row>
    <row r="224">
      <c r="B224" s="0" t="inlineStr">
        <is>
          <t>NULL</t>
        </is>
      </c>
      <c r="C224" s="0" t="inlineStr">
        <is>
          <t>NULL</t>
        </is>
      </c>
      <c r="D224" s="0" t="inlineStr">
        <is>
          <t>NULL</t>
        </is>
      </c>
      <c r="E224" s="0" t="inlineStr">
        <is>
          <t>NULL</t>
        </is>
      </c>
      <c r="F224" s="0" t="inlineStr">
        <is>
          <t>NULL</t>
        </is>
      </c>
      <c r="G224" s="0" t="inlineStr">
        <is>
          <t>NULL</t>
        </is>
      </c>
      <c r="H224" s="0" t="inlineStr">
        <is>
          <t>NULL</t>
        </is>
      </c>
      <c r="I224" s="0" t="inlineStr">
        <is>
          <t>NULL</t>
        </is>
      </c>
      <c r="J224" s="0" t="inlineStr">
        <is>
          <t>NULL</t>
        </is>
      </c>
      <c r="K224" s="0" t="inlineStr">
        <is>
          <t>YES! 	 c_hierarchyid列源备映射正确，源端为hierarchyid 892位	期望更改为hierarchyid	实际备端为hierarchyid 892位</t>
        </is>
      </c>
    </row>
    <row r="225">
      <c r="A225" s="0" t="inlineStr">
        <is>
          <t>info_varchar_dml_single_pk_irp</t>
        </is>
      </c>
      <c r="K225" s="0" t="inlineStr">
        <is>
          <t>[0;34m info_varchar_dml_single_pk_irp [0m源备字段数相同，源端字段：4 	备端字段4</t>
        </is>
      </c>
      <c r="W225" s="0" t="inlineStr">
        <is>
          <t>YES 源备无差异</t>
        </is>
      </c>
      <c r="X225" s="0">
        <f>A225</f>
        <v/>
      </c>
    </row>
    <row r="226">
      <c r="B226" s="0" t="inlineStr">
        <is>
          <t>YES</t>
        </is>
      </c>
      <c r="C226" s="0" t="inlineStr">
        <is>
          <t>NULL</t>
        </is>
      </c>
      <c r="D226" s="0" t="inlineStr">
        <is>
          <t>NULL</t>
        </is>
      </c>
      <c r="E226" s="0" t="inlineStr">
        <is>
          <t>NULL</t>
        </is>
      </c>
      <c r="F226" s="0" t="inlineStr">
        <is>
          <t>NULL</t>
        </is>
      </c>
      <c r="G226" s="0" t="inlineStr">
        <is>
          <t>NULL</t>
        </is>
      </c>
      <c r="H226" s="0" t="inlineStr">
        <is>
          <t>NULL</t>
        </is>
      </c>
      <c r="I226" s="0" t="inlineStr">
        <is>
          <t>YES!PK__info_var__3213E83F6E448EB5</t>
        </is>
      </c>
      <c r="J226" s="0" t="inlineStr">
        <is>
          <t>YES! 主键相关索引</t>
        </is>
      </c>
      <c r="K226" s="0" t="inlineStr">
        <is>
          <t>YES! 	 id列源备映射正确，源端为int None位	期望更改为int	实际备端为int None位</t>
        </is>
      </c>
    </row>
    <row r="227">
      <c r="B227" s="0" t="inlineStr">
        <is>
          <t>NULL</t>
        </is>
      </c>
      <c r="C227" s="0" t="inlineStr">
        <is>
          <t>NULL</t>
        </is>
      </c>
      <c r="D227" s="0" t="inlineStr">
        <is>
          <t>NULL</t>
        </is>
      </c>
      <c r="E227" s="0" t="inlineStr">
        <is>
          <t>NULL</t>
        </is>
      </c>
      <c r="F227" s="0" t="inlineStr">
        <is>
          <t>NULL</t>
        </is>
      </c>
      <c r="G227" s="0" t="inlineStr">
        <is>
          <t>NULL</t>
        </is>
      </c>
      <c r="H227" s="0" t="inlineStr">
        <is>
          <t>NULL</t>
        </is>
      </c>
      <c r="I227" s="0" t="inlineStr">
        <is>
          <t>NULL</t>
        </is>
      </c>
      <c r="J227" s="0" t="inlineStr">
        <is>
          <t>NULL</t>
        </is>
      </c>
      <c r="K227" s="0" t="inlineStr">
        <is>
          <t>YES! 	 c_varchar列源备映射正确，源端为varchar 1位	期望更改为varchar(n)	实际备端为varchar 1位</t>
        </is>
      </c>
    </row>
    <row r="228">
      <c r="B228" s="0" t="inlineStr">
        <is>
          <t>NULL</t>
        </is>
      </c>
      <c r="C228" s="0" t="inlineStr">
        <is>
          <t>NULL</t>
        </is>
      </c>
      <c r="D228" s="0" t="inlineStr">
        <is>
          <t>NULL</t>
        </is>
      </c>
      <c r="E228" s="0" t="inlineStr">
        <is>
          <t>NULL</t>
        </is>
      </c>
      <c r="F228" s="0" t="inlineStr">
        <is>
          <t>NULL</t>
        </is>
      </c>
      <c r="G228" s="0" t="inlineStr">
        <is>
          <t>NULL</t>
        </is>
      </c>
      <c r="H228" s="0" t="inlineStr">
        <is>
          <t>NULL</t>
        </is>
      </c>
      <c r="I228" s="0" t="inlineStr">
        <is>
          <t>NULL</t>
        </is>
      </c>
      <c r="J228" s="0" t="inlineStr">
        <is>
          <t>NULL</t>
        </is>
      </c>
      <c r="K228" s="0" t="inlineStr">
        <is>
          <t>YES! 	 c_varchar50列源备映射正确，源端为varchar 50位	期望更改为varchar(n)	实际备端为varchar 50位</t>
        </is>
      </c>
    </row>
    <row r="229">
      <c r="B229" s="0" t="inlineStr">
        <is>
          <t>NULL</t>
        </is>
      </c>
      <c r="C229" s="0" t="inlineStr">
        <is>
          <t>NULL</t>
        </is>
      </c>
      <c r="D229" s="0" t="inlineStr">
        <is>
          <t>NULL</t>
        </is>
      </c>
      <c r="E229" s="0" t="inlineStr">
        <is>
          <t>NULL</t>
        </is>
      </c>
      <c r="F229" s="0" t="inlineStr">
        <is>
          <t>NULL</t>
        </is>
      </c>
      <c r="G229" s="0" t="inlineStr">
        <is>
          <t>NULL</t>
        </is>
      </c>
      <c r="H229" s="0" t="inlineStr">
        <is>
          <t>NULL</t>
        </is>
      </c>
      <c r="I229" s="0" t="inlineStr">
        <is>
          <t>NULL</t>
        </is>
      </c>
      <c r="J229" s="0" t="inlineStr">
        <is>
          <t>NULL</t>
        </is>
      </c>
      <c r="K229" s="0" t="inlineStr">
        <is>
          <t>YES! 	 c_varchar8000列源备映射正确，源端为varchar 8000位	期望更改为varchar(n)	实际备端为varchar 8000位</t>
        </is>
      </c>
    </row>
    <row r="230">
      <c r="A230" s="0" t="inlineStr">
        <is>
          <t>info_sdt_dml_batch1_pk_irp2</t>
        </is>
      </c>
      <c r="K230" s="0" t="inlineStr">
        <is>
          <t>[0;34m info_sdt_dml_batch1_pk_irp2 [0m源备字段数相同，源端字段：2 	备端字段2</t>
        </is>
      </c>
      <c r="W230" s="0" t="inlineStr">
        <is>
          <t>YES 源备无差异</t>
        </is>
      </c>
      <c r="X230" s="0">
        <f>A230</f>
        <v/>
      </c>
    </row>
    <row r="231">
      <c r="B231" s="0" t="inlineStr">
        <is>
          <t>YES</t>
        </is>
      </c>
      <c r="C231" s="0" t="inlineStr">
        <is>
          <t>NULL</t>
        </is>
      </c>
      <c r="D231" s="0" t="inlineStr">
        <is>
          <t>NULL</t>
        </is>
      </c>
      <c r="E231" s="0" t="inlineStr">
        <is>
          <t>NULL</t>
        </is>
      </c>
      <c r="F231" s="0" t="inlineStr">
        <is>
          <t>NULL</t>
        </is>
      </c>
      <c r="G231" s="0" t="inlineStr">
        <is>
          <t>NULL</t>
        </is>
      </c>
      <c r="H231" s="0" t="inlineStr">
        <is>
          <t>NULL</t>
        </is>
      </c>
      <c r="I231" s="0" t="inlineStr">
        <is>
          <t>YES!PK__info_sdt__3213E83F0A3BD479</t>
        </is>
      </c>
      <c r="J231" s="0" t="inlineStr">
        <is>
          <t>YES! 主键相关索引</t>
        </is>
      </c>
      <c r="K231" s="0" t="inlineStr">
        <is>
          <t>YES! 	 id列源备映射正确，源端为int None位	期望更改为int	实际备端为int None位</t>
        </is>
      </c>
    </row>
    <row r="232">
      <c r="B232" s="0" t="inlineStr">
        <is>
          <t>NULL</t>
        </is>
      </c>
      <c r="C232" s="0" t="inlineStr">
        <is>
          <t>NULL</t>
        </is>
      </c>
      <c r="D232" s="0" t="inlineStr">
        <is>
          <t>NULL</t>
        </is>
      </c>
      <c r="E232" s="0" t="inlineStr">
        <is>
          <t>NULL</t>
        </is>
      </c>
      <c r="F232" s="0" t="inlineStr">
        <is>
          <t>NULL</t>
        </is>
      </c>
      <c r="G232" s="0" t="inlineStr">
        <is>
          <t>NULL</t>
        </is>
      </c>
      <c r="H232" s="0" t="inlineStr">
        <is>
          <t>NULL</t>
        </is>
      </c>
      <c r="I232" s="0" t="inlineStr">
        <is>
          <t>NULL</t>
        </is>
      </c>
      <c r="J232" s="0" t="inlineStr">
        <is>
          <t>NULL</t>
        </is>
      </c>
      <c r="K232" s="0" t="inlineStr">
        <is>
          <t>YES! 	 c_sdt列源备映射正确，源端为smalldatetime None位	期望更改为smalldatetime	实际备端为smalldatetime None位</t>
        </is>
      </c>
    </row>
    <row r="233">
      <c r="A233" s="0" t="inlineStr">
        <is>
          <t>info_nchar_dml_single_nopk_irp</t>
        </is>
      </c>
      <c r="K233" s="0" t="inlineStr">
        <is>
          <t>[0;34m info_nchar_dml_single_nopk_irp [0m源备字段数相同，源端字段：4 	备端字段4</t>
        </is>
      </c>
      <c r="W233" s="0" t="inlineStr">
        <is>
          <t>YES 源备无差异</t>
        </is>
      </c>
      <c r="X233" s="0">
        <f>A233</f>
        <v/>
      </c>
    </row>
    <row r="234">
      <c r="B234" s="0" t="inlineStr">
        <is>
          <t>NULL</t>
        </is>
      </c>
      <c r="C234" s="0" t="inlineStr">
        <is>
          <t>NULL</t>
        </is>
      </c>
      <c r="D234" s="0" t="inlineStr">
        <is>
          <t>NULL</t>
        </is>
      </c>
      <c r="E234" s="0" t="inlineStr">
        <is>
          <t>NULL</t>
        </is>
      </c>
      <c r="F234" s="0" t="inlineStr">
        <is>
          <t>NULL</t>
        </is>
      </c>
      <c r="G234" s="0" t="inlineStr">
        <is>
          <t>NULL</t>
        </is>
      </c>
      <c r="H234" s="0" t="inlineStr">
        <is>
          <t>NULL</t>
        </is>
      </c>
      <c r="I234" s="0" t="inlineStr">
        <is>
          <t>NULL</t>
        </is>
      </c>
      <c r="J234" s="0" t="inlineStr">
        <is>
          <t>NULL</t>
        </is>
      </c>
      <c r="K234" s="0" t="inlineStr">
        <is>
          <t>YES! 	 id列源备映射正确，源端为int None位	期望更改为int	实际备端为int None位</t>
        </is>
      </c>
    </row>
    <row r="235">
      <c r="B235" s="0" t="inlineStr">
        <is>
          <t>NULL</t>
        </is>
      </c>
      <c r="C235" s="0" t="inlineStr">
        <is>
          <t>NULL</t>
        </is>
      </c>
      <c r="D235" s="0" t="inlineStr">
        <is>
          <t>NULL</t>
        </is>
      </c>
      <c r="E235" s="0" t="inlineStr">
        <is>
          <t>NULL</t>
        </is>
      </c>
      <c r="F235" s="0" t="inlineStr">
        <is>
          <t>NULL</t>
        </is>
      </c>
      <c r="G235" s="0" t="inlineStr">
        <is>
          <t>NULL</t>
        </is>
      </c>
      <c r="H235" s="0" t="inlineStr">
        <is>
          <t>NULL</t>
        </is>
      </c>
      <c r="I235" s="0" t="inlineStr">
        <is>
          <t>NULL</t>
        </is>
      </c>
      <c r="J235" s="0" t="inlineStr">
        <is>
          <t>NULL</t>
        </is>
      </c>
      <c r="K235" s="0" t="inlineStr">
        <is>
          <t>YES! 	 c_nchar列源备映射正确，源端为nchar 2位	期望更改为nchar(n)	实际备端为nchar 2位</t>
        </is>
      </c>
    </row>
    <row r="236">
      <c r="B236" s="0" t="inlineStr">
        <is>
          <t>NULL</t>
        </is>
      </c>
      <c r="C236" s="0" t="inlineStr">
        <is>
          <t>NULL</t>
        </is>
      </c>
      <c r="D236" s="0" t="inlineStr">
        <is>
          <t>NULL</t>
        </is>
      </c>
      <c r="E236" s="0" t="inlineStr">
        <is>
          <t>NULL</t>
        </is>
      </c>
      <c r="F236" s="0" t="inlineStr">
        <is>
          <t>NULL</t>
        </is>
      </c>
      <c r="G236" s="0" t="inlineStr">
        <is>
          <t>NULL</t>
        </is>
      </c>
      <c r="H236" s="0" t="inlineStr">
        <is>
          <t>NULL</t>
        </is>
      </c>
      <c r="I236" s="0" t="inlineStr">
        <is>
          <t>NULL</t>
        </is>
      </c>
      <c r="J236" s="0" t="inlineStr">
        <is>
          <t>NULL</t>
        </is>
      </c>
      <c r="K236" s="0" t="inlineStr">
        <is>
          <t>YES! 	 c_nchar20列源备映射正确，源端为nchar 40位	期望更改为nchar(n)	实际备端为nchar 40位</t>
        </is>
      </c>
    </row>
    <row r="237">
      <c r="B237" s="0" t="inlineStr">
        <is>
          <t>NULL</t>
        </is>
      </c>
      <c r="C237" s="0" t="inlineStr">
        <is>
          <t>NULL</t>
        </is>
      </c>
      <c r="D237" s="0" t="inlineStr">
        <is>
          <t>NULL</t>
        </is>
      </c>
      <c r="E237" s="0" t="inlineStr">
        <is>
          <t>NULL</t>
        </is>
      </c>
      <c r="F237" s="0" t="inlineStr">
        <is>
          <t>NULL</t>
        </is>
      </c>
      <c r="G237" s="0" t="inlineStr">
        <is>
          <t>NULL</t>
        </is>
      </c>
      <c r="H237" s="0" t="inlineStr">
        <is>
          <t>NULL</t>
        </is>
      </c>
      <c r="I237" s="0" t="inlineStr">
        <is>
          <t>NULL</t>
        </is>
      </c>
      <c r="J237" s="0" t="inlineStr">
        <is>
          <t>NULL</t>
        </is>
      </c>
      <c r="K237" s="0" t="inlineStr">
        <is>
          <t>YES! 	 c_nchar4000列源备映射正确，源端为nchar 8000位	期望更改为nchar(n)	实际备端为nchar 8000位</t>
        </is>
      </c>
    </row>
    <row r="238">
      <c r="A238" s="0" t="inlineStr">
        <is>
          <t>info_char_dml_batch1_pk_drp1</t>
        </is>
      </c>
      <c r="K238" s="0" t="inlineStr">
        <is>
          <t>[0;34m info_char_dml_batch1_pk_drp1 [0m源备字段数相同，源端字段：4 	备端字段4</t>
        </is>
      </c>
      <c r="W238" s="0" t="inlineStr">
        <is>
          <t>YES 源备无差异</t>
        </is>
      </c>
      <c r="X238" s="0">
        <f>A238</f>
        <v/>
      </c>
    </row>
    <row r="239">
      <c r="B239" s="0" t="inlineStr">
        <is>
          <t>YES</t>
        </is>
      </c>
      <c r="C239" s="0" t="inlineStr">
        <is>
          <t>NULL</t>
        </is>
      </c>
      <c r="D239" s="0" t="inlineStr">
        <is>
          <t>NULL</t>
        </is>
      </c>
      <c r="E239" s="0" t="inlineStr">
        <is>
          <t>NULL</t>
        </is>
      </c>
      <c r="F239" s="0" t="inlineStr">
        <is>
          <t>NULL</t>
        </is>
      </c>
      <c r="G239" s="0" t="inlineStr">
        <is>
          <t>NULL</t>
        </is>
      </c>
      <c r="H239" s="0" t="inlineStr">
        <is>
          <t>NULL</t>
        </is>
      </c>
      <c r="I239" s="0" t="inlineStr">
        <is>
          <t>YES!PK__info_cha__3213E83F784E87B3</t>
        </is>
      </c>
      <c r="J239" s="0" t="inlineStr">
        <is>
          <t>YES! 主键相关索引</t>
        </is>
      </c>
      <c r="K239" s="0" t="inlineStr">
        <is>
          <t>YES! 	 id列源备映射正确，源端为int None位	期望更改为int	实际备端为int None位</t>
        </is>
      </c>
    </row>
    <row r="240">
      <c r="B240" s="0" t="inlineStr">
        <is>
          <t>NULL</t>
        </is>
      </c>
      <c r="C240" s="0" t="inlineStr">
        <is>
          <t>NULL</t>
        </is>
      </c>
      <c r="D240" s="0" t="inlineStr">
        <is>
          <t>NULL</t>
        </is>
      </c>
      <c r="E240" s="0" t="inlineStr">
        <is>
          <t>NULL</t>
        </is>
      </c>
      <c r="F240" s="0" t="inlineStr">
        <is>
          <t>NULL</t>
        </is>
      </c>
      <c r="G240" s="0" t="inlineStr">
        <is>
          <t>NULL</t>
        </is>
      </c>
      <c r="H240" s="0" t="inlineStr">
        <is>
          <t>NULL</t>
        </is>
      </c>
      <c r="I240" s="0" t="inlineStr">
        <is>
          <t>NULL</t>
        </is>
      </c>
      <c r="J240" s="0" t="inlineStr">
        <is>
          <t>NULL</t>
        </is>
      </c>
      <c r="K240" s="0" t="inlineStr">
        <is>
          <t>YES! 	 c_char列源备映射正确，源端为char 1位	期望更改为char(n)	实际备端为char 1位</t>
        </is>
      </c>
    </row>
    <row r="241">
      <c r="B241" s="0" t="inlineStr">
        <is>
          <t>NULL</t>
        </is>
      </c>
      <c r="C241" s="0" t="inlineStr">
        <is>
          <t>NULL</t>
        </is>
      </c>
      <c r="D241" s="0" t="inlineStr">
        <is>
          <t>NULL</t>
        </is>
      </c>
      <c r="E241" s="0" t="inlineStr">
        <is>
          <t>NULL</t>
        </is>
      </c>
      <c r="F241" s="0" t="inlineStr">
        <is>
          <t>NULL</t>
        </is>
      </c>
      <c r="G241" s="0" t="inlineStr">
        <is>
          <t>NULL</t>
        </is>
      </c>
      <c r="H241" s="0" t="inlineStr">
        <is>
          <t>NULL</t>
        </is>
      </c>
      <c r="I241" s="0" t="inlineStr">
        <is>
          <t>NULL</t>
        </is>
      </c>
      <c r="J241" s="0" t="inlineStr">
        <is>
          <t>NULL</t>
        </is>
      </c>
      <c r="K241" s="0" t="inlineStr">
        <is>
          <t>YES! 	 c_char20列源备映射正确，源端为char 20位	期望更改为char(n)	实际备端为char 20位</t>
        </is>
      </c>
    </row>
    <row r="242">
      <c r="B242" s="0" t="inlineStr">
        <is>
          <t>NULL</t>
        </is>
      </c>
      <c r="C242" s="0" t="inlineStr">
        <is>
          <t>NULL</t>
        </is>
      </c>
      <c r="D242" s="0" t="inlineStr">
        <is>
          <t>NULL</t>
        </is>
      </c>
      <c r="E242" s="0" t="inlineStr">
        <is>
          <t>NULL</t>
        </is>
      </c>
      <c r="F242" s="0" t="inlineStr">
        <is>
          <t>NULL</t>
        </is>
      </c>
      <c r="G242" s="0" t="inlineStr">
        <is>
          <t>NULL</t>
        </is>
      </c>
      <c r="H242" s="0" t="inlineStr">
        <is>
          <t>NULL</t>
        </is>
      </c>
      <c r="I242" s="0" t="inlineStr">
        <is>
          <t>NULL</t>
        </is>
      </c>
      <c r="J242" s="0" t="inlineStr">
        <is>
          <t>NULL</t>
        </is>
      </c>
      <c r="K242" s="0" t="inlineStr">
        <is>
          <t>YES! 	 c_char7000列源备映射正确，源端为char 7000位	期望更改为char(n)	实际备端为char 7000位</t>
        </is>
      </c>
    </row>
    <row r="243">
      <c r="K243" s="0" t="inlineStr">
        <is>
          <t>~ 空表</t>
        </is>
      </c>
    </row>
    <row r="244">
      <c r="A244" s="0" t="inlineStr">
        <is>
          <t>info_int_dml_single_pk_irp</t>
        </is>
      </c>
      <c r="K244" s="0" t="inlineStr">
        <is>
          <t>[0;34m info_int_dml_single_pk_irp [0m源备字段数相同，源端字段：20 	备端字段20</t>
        </is>
      </c>
      <c r="W244" s="0" t="inlineStr">
        <is>
          <t>YES 源备无差异</t>
        </is>
      </c>
      <c r="X244" s="0">
        <f>A244</f>
        <v/>
      </c>
    </row>
    <row r="245">
      <c r="B245" s="0" t="inlineStr">
        <is>
          <t>YES</t>
        </is>
      </c>
      <c r="C245" s="0" t="inlineStr">
        <is>
          <t>NULL</t>
        </is>
      </c>
      <c r="D245" s="0" t="inlineStr">
        <is>
          <t>NULL</t>
        </is>
      </c>
      <c r="E245" s="0" t="inlineStr">
        <is>
          <t>NULL</t>
        </is>
      </c>
      <c r="F245" s="0" t="inlineStr">
        <is>
          <t>NULL</t>
        </is>
      </c>
      <c r="G245" s="0" t="inlineStr">
        <is>
          <t>NULL</t>
        </is>
      </c>
      <c r="H245" s="0" t="inlineStr">
        <is>
          <t>NULL</t>
        </is>
      </c>
      <c r="I245" s="0" t="inlineStr">
        <is>
          <t>YES!PK__info_int__3213E83FB01EAE8E</t>
        </is>
      </c>
      <c r="J245" s="0" t="inlineStr">
        <is>
          <t>YES! 主键相关索引</t>
        </is>
      </c>
      <c r="K245" s="0" t="inlineStr">
        <is>
          <t>YES! 	 id列源备映射正确，源端为int None位	期望更改为int	实际备端为int None位</t>
        </is>
      </c>
    </row>
    <row r="246">
      <c r="B246" s="0" t="inlineStr">
        <is>
          <t>NULL</t>
        </is>
      </c>
      <c r="C246" s="0" t="inlineStr">
        <is>
          <t>NULL</t>
        </is>
      </c>
      <c r="D246" s="0" t="inlineStr">
        <is>
          <t>NULL</t>
        </is>
      </c>
      <c r="E246" s="0" t="inlineStr">
        <is>
          <t>NULL</t>
        </is>
      </c>
      <c r="F246" s="0" t="inlineStr">
        <is>
          <t>NULL</t>
        </is>
      </c>
      <c r="G246" s="0" t="inlineStr">
        <is>
          <t>NULL</t>
        </is>
      </c>
      <c r="H246" s="0" t="inlineStr">
        <is>
          <t>NULL</t>
        </is>
      </c>
      <c r="I246" s="0" t="inlineStr">
        <is>
          <t>NULL</t>
        </is>
      </c>
      <c r="J246" s="0" t="inlineStr">
        <is>
          <t>NULL</t>
        </is>
      </c>
      <c r="K246" s="0" t="inlineStr">
        <is>
          <t>YES! 	 c_tinyint列源备映射正确，源端为tinyint None位	期望更改为tinyint	实际备端为tinyint None位</t>
        </is>
      </c>
    </row>
    <row r="247">
      <c r="B247" s="0" t="inlineStr">
        <is>
          <t>NULL</t>
        </is>
      </c>
      <c r="C247" s="0" t="inlineStr">
        <is>
          <t>NULL</t>
        </is>
      </c>
      <c r="D247" s="0" t="inlineStr">
        <is>
          <t>NULL</t>
        </is>
      </c>
      <c r="E247" s="0" t="inlineStr">
        <is>
          <t>NULL</t>
        </is>
      </c>
      <c r="F247" s="0" t="inlineStr">
        <is>
          <t>NULL</t>
        </is>
      </c>
      <c r="G247" s="0" t="inlineStr">
        <is>
          <t>NULL</t>
        </is>
      </c>
      <c r="H247" s="0" t="inlineStr">
        <is>
          <t>NULL</t>
        </is>
      </c>
      <c r="I247" s="0" t="inlineStr">
        <is>
          <t>NULL</t>
        </is>
      </c>
      <c r="J247" s="0" t="inlineStr">
        <is>
          <t>NULL</t>
        </is>
      </c>
      <c r="K247" s="0" t="inlineStr">
        <is>
          <t>YES! 	 c_smallint列源备映射正确，源端为smallint None位	期望更改为smallint	实际备端为smallint None位</t>
        </is>
      </c>
    </row>
    <row r="248">
      <c r="B248" s="0" t="inlineStr">
        <is>
          <t>NULL</t>
        </is>
      </c>
      <c r="C248" s="0" t="inlineStr">
        <is>
          <t>NULL</t>
        </is>
      </c>
      <c r="D248" s="0" t="inlineStr">
        <is>
          <t>NULL</t>
        </is>
      </c>
      <c r="E248" s="0" t="inlineStr">
        <is>
          <t>NULL</t>
        </is>
      </c>
      <c r="F248" s="0" t="inlineStr">
        <is>
          <t>NULL</t>
        </is>
      </c>
      <c r="G248" s="0" t="inlineStr">
        <is>
          <t>NULL</t>
        </is>
      </c>
      <c r="H248" s="0" t="inlineStr">
        <is>
          <t>NULL</t>
        </is>
      </c>
      <c r="I248" s="0" t="inlineStr">
        <is>
          <t>NULL</t>
        </is>
      </c>
      <c r="J248" s="0" t="inlineStr">
        <is>
          <t>NULL</t>
        </is>
      </c>
      <c r="K248" s="0" t="inlineStr">
        <is>
          <t>YES! 	 c_int列源备映射正确，源端为int None位	期望更改为int	实际备端为int None位</t>
        </is>
      </c>
    </row>
    <row r="249">
      <c r="B249" s="0" t="inlineStr">
        <is>
          <t>NULL</t>
        </is>
      </c>
      <c r="C249" s="0" t="inlineStr">
        <is>
          <t>NULL</t>
        </is>
      </c>
      <c r="D249" s="0" t="inlineStr">
        <is>
          <t>NULL</t>
        </is>
      </c>
      <c r="E249" s="0" t="inlineStr">
        <is>
          <t>NULL</t>
        </is>
      </c>
      <c r="F249" s="0" t="inlineStr">
        <is>
          <t>NULL</t>
        </is>
      </c>
      <c r="G249" s="0" t="inlineStr">
        <is>
          <t>NULL</t>
        </is>
      </c>
      <c r="H249" s="0" t="inlineStr">
        <is>
          <t>NULL</t>
        </is>
      </c>
      <c r="I249" s="0" t="inlineStr">
        <is>
          <t>NULL</t>
        </is>
      </c>
      <c r="J249" s="0" t="inlineStr">
        <is>
          <t>NULL</t>
        </is>
      </c>
      <c r="K249" s="0" t="inlineStr">
        <is>
          <t>YES! 	 c_bigint列源备映射正确，源端为bigint None位	期望更改为bigint	实际备端为bigint None位</t>
        </is>
      </c>
    </row>
    <row r="250">
      <c r="B250" s="0" t="inlineStr">
        <is>
          <t>NULL</t>
        </is>
      </c>
      <c r="C250" s="0" t="inlineStr">
        <is>
          <t>NULL</t>
        </is>
      </c>
      <c r="D250" s="0" t="inlineStr">
        <is>
          <t>NULL</t>
        </is>
      </c>
      <c r="E250" s="0" t="inlineStr">
        <is>
          <t>NULL</t>
        </is>
      </c>
      <c r="F250" s="0" t="inlineStr">
        <is>
          <t>NULL</t>
        </is>
      </c>
      <c r="G250" s="0" t="inlineStr">
        <is>
          <t>NULL</t>
        </is>
      </c>
      <c r="H250" s="0" t="inlineStr">
        <is>
          <t>NULL</t>
        </is>
      </c>
      <c r="I250" s="0" t="inlineStr">
        <is>
          <t>NULL</t>
        </is>
      </c>
      <c r="J250" s="0" t="inlineStr">
        <is>
          <t>NULL</t>
        </is>
      </c>
      <c r="K250" s="0" t="inlineStr">
        <is>
          <t>YES! 	 c_decimal列源备映射正确，源端为decimal None位	期望更改为decimal(p,s)	实际备端为decimal None位</t>
        </is>
      </c>
    </row>
    <row r="251">
      <c r="B251" s="0" t="inlineStr">
        <is>
          <t>NULL</t>
        </is>
      </c>
      <c r="C251" s="0" t="inlineStr">
        <is>
          <t>NULL</t>
        </is>
      </c>
      <c r="D251" s="0" t="inlineStr">
        <is>
          <t>NULL</t>
        </is>
      </c>
      <c r="E251" s="0" t="inlineStr">
        <is>
          <t>NULL</t>
        </is>
      </c>
      <c r="F251" s="0" t="inlineStr">
        <is>
          <t>NULL</t>
        </is>
      </c>
      <c r="G251" s="0" t="inlineStr">
        <is>
          <t>NULL</t>
        </is>
      </c>
      <c r="H251" s="0" t="inlineStr">
        <is>
          <t>NULL</t>
        </is>
      </c>
      <c r="I251" s="0" t="inlineStr">
        <is>
          <t>NULL</t>
        </is>
      </c>
      <c r="J251" s="0" t="inlineStr">
        <is>
          <t>NULL</t>
        </is>
      </c>
      <c r="K251" s="0" t="inlineStr">
        <is>
          <t>YES! 	 c_decimal38列源备映射正确，源端为decimal None位	期望更改为decimal(p,s)	实际备端为decimal None位</t>
        </is>
      </c>
    </row>
    <row r="252">
      <c r="B252" s="0" t="inlineStr">
        <is>
          <t>NULL</t>
        </is>
      </c>
      <c r="C252" s="0" t="inlineStr">
        <is>
          <t>NULL</t>
        </is>
      </c>
      <c r="D252" s="0" t="inlineStr">
        <is>
          <t>NULL</t>
        </is>
      </c>
      <c r="E252" s="0" t="inlineStr">
        <is>
          <t>NULL</t>
        </is>
      </c>
      <c r="F252" s="0" t="inlineStr">
        <is>
          <t>NULL</t>
        </is>
      </c>
      <c r="G252" s="0" t="inlineStr">
        <is>
          <t>NULL</t>
        </is>
      </c>
      <c r="H252" s="0" t="inlineStr">
        <is>
          <t>NULL</t>
        </is>
      </c>
      <c r="I252" s="0" t="inlineStr">
        <is>
          <t>NULL</t>
        </is>
      </c>
      <c r="J252" s="0" t="inlineStr">
        <is>
          <t>NULL</t>
        </is>
      </c>
      <c r="K252" s="0" t="inlineStr">
        <is>
          <t>YES! 	 c_decimal38_38列源备映射正确，源端为decimal None位	期望更改为decimal(p,s)	实际备端为decimal None位</t>
        </is>
      </c>
    </row>
    <row r="253">
      <c r="B253" s="0" t="inlineStr">
        <is>
          <t>NULL</t>
        </is>
      </c>
      <c r="C253" s="0" t="inlineStr">
        <is>
          <t>NULL</t>
        </is>
      </c>
      <c r="D253" s="0" t="inlineStr">
        <is>
          <t>NULL</t>
        </is>
      </c>
      <c r="E253" s="0" t="inlineStr">
        <is>
          <t>NULL</t>
        </is>
      </c>
      <c r="F253" s="0" t="inlineStr">
        <is>
          <t>NULL</t>
        </is>
      </c>
      <c r="G253" s="0" t="inlineStr">
        <is>
          <t>NULL</t>
        </is>
      </c>
      <c r="H253" s="0" t="inlineStr">
        <is>
          <t>NULL</t>
        </is>
      </c>
      <c r="I253" s="0" t="inlineStr">
        <is>
          <t>NULL</t>
        </is>
      </c>
      <c r="J253" s="0" t="inlineStr">
        <is>
          <t>NULL</t>
        </is>
      </c>
      <c r="K253" s="0" t="inlineStr">
        <is>
          <t>YES! 	 c_decimal38_10列源备映射正确，源端为decimal None位	期望更改为decimal(p,s)	实际备端为decimal None位</t>
        </is>
      </c>
    </row>
    <row r="254">
      <c r="B254" s="0" t="inlineStr">
        <is>
          <t>NULL</t>
        </is>
      </c>
      <c r="C254" s="0" t="inlineStr">
        <is>
          <t>NULL</t>
        </is>
      </c>
      <c r="D254" s="0" t="inlineStr">
        <is>
          <t>NULL</t>
        </is>
      </c>
      <c r="E254" s="0" t="inlineStr">
        <is>
          <t>NULL</t>
        </is>
      </c>
      <c r="F254" s="0" t="inlineStr">
        <is>
          <t>NULL</t>
        </is>
      </c>
      <c r="G254" s="0" t="inlineStr">
        <is>
          <t>NULL</t>
        </is>
      </c>
      <c r="H254" s="0" t="inlineStr">
        <is>
          <t>NULL</t>
        </is>
      </c>
      <c r="I254" s="0" t="inlineStr">
        <is>
          <t>NULL</t>
        </is>
      </c>
      <c r="J254" s="0" t="inlineStr">
        <is>
          <t>NULL</t>
        </is>
      </c>
      <c r="K254" s="0" t="inlineStr">
        <is>
          <t>YES! 	 c_decimal19_4列源备映射正确，源端为decimal None位	期望更改为decimal(p,s)	实际备端为decimal None位</t>
        </is>
      </c>
    </row>
    <row r="255">
      <c r="B255" s="0" t="inlineStr">
        <is>
          <t>NULL</t>
        </is>
      </c>
      <c r="C255" s="0" t="inlineStr">
        <is>
          <t>NULL</t>
        </is>
      </c>
      <c r="D255" s="0" t="inlineStr">
        <is>
          <t>NULL</t>
        </is>
      </c>
      <c r="E255" s="0" t="inlineStr">
        <is>
          <t>NULL</t>
        </is>
      </c>
      <c r="F255" s="0" t="inlineStr">
        <is>
          <t>NULL</t>
        </is>
      </c>
      <c r="G255" s="0" t="inlineStr">
        <is>
          <t>NULL</t>
        </is>
      </c>
      <c r="H255" s="0" t="inlineStr">
        <is>
          <t>NULL</t>
        </is>
      </c>
      <c r="I255" s="0" t="inlineStr">
        <is>
          <t>NULL</t>
        </is>
      </c>
      <c r="J255" s="0" t="inlineStr">
        <is>
          <t>NULL</t>
        </is>
      </c>
      <c r="K255" s="0" t="inlineStr">
        <is>
          <t>YES! 	 c_numeric列源备映射正确，源端为numeric None位	期望更改为numeric(p,s)	实际备端为numeric None位</t>
        </is>
      </c>
    </row>
    <row r="256">
      <c r="B256" s="0" t="inlineStr">
        <is>
          <t>NULL</t>
        </is>
      </c>
      <c r="C256" s="0" t="inlineStr">
        <is>
          <t>NULL</t>
        </is>
      </c>
      <c r="D256" s="0" t="inlineStr">
        <is>
          <t>NULL</t>
        </is>
      </c>
      <c r="E256" s="0" t="inlineStr">
        <is>
          <t>NULL</t>
        </is>
      </c>
      <c r="F256" s="0" t="inlineStr">
        <is>
          <t>NULL</t>
        </is>
      </c>
      <c r="G256" s="0" t="inlineStr">
        <is>
          <t>NULL</t>
        </is>
      </c>
      <c r="H256" s="0" t="inlineStr">
        <is>
          <t>NULL</t>
        </is>
      </c>
      <c r="I256" s="0" t="inlineStr">
        <is>
          <t>NULL</t>
        </is>
      </c>
      <c r="J256" s="0" t="inlineStr">
        <is>
          <t>NULL</t>
        </is>
      </c>
      <c r="K256" s="0" t="inlineStr">
        <is>
          <t>YES! 	 c_numeric38列源备映射正确，源端为numeric None位	期望更改为numeric(p,s)	实际备端为numeric None位</t>
        </is>
      </c>
    </row>
    <row r="257">
      <c r="B257" s="0" t="inlineStr">
        <is>
          <t>NULL</t>
        </is>
      </c>
      <c r="C257" s="0" t="inlineStr">
        <is>
          <t>NULL</t>
        </is>
      </c>
      <c r="D257" s="0" t="inlineStr">
        <is>
          <t>NULL</t>
        </is>
      </c>
      <c r="E257" s="0" t="inlineStr">
        <is>
          <t>NULL</t>
        </is>
      </c>
      <c r="F257" s="0" t="inlineStr">
        <is>
          <t>NULL</t>
        </is>
      </c>
      <c r="G257" s="0" t="inlineStr">
        <is>
          <t>NULL</t>
        </is>
      </c>
      <c r="H257" s="0" t="inlineStr">
        <is>
          <t>NULL</t>
        </is>
      </c>
      <c r="I257" s="0" t="inlineStr">
        <is>
          <t>NULL</t>
        </is>
      </c>
      <c r="J257" s="0" t="inlineStr">
        <is>
          <t>NULL</t>
        </is>
      </c>
      <c r="K257" s="0" t="inlineStr">
        <is>
          <t>YES! 	 c_numeric38_38列源备映射正确，源端为numeric None位	期望更改为numeric(p,s)	实际备端为numeric None位</t>
        </is>
      </c>
    </row>
    <row r="258">
      <c r="B258" s="0" t="inlineStr">
        <is>
          <t>NULL</t>
        </is>
      </c>
      <c r="C258" s="0" t="inlineStr">
        <is>
          <t>NULL</t>
        </is>
      </c>
      <c r="D258" s="0" t="inlineStr">
        <is>
          <t>NULL</t>
        </is>
      </c>
      <c r="E258" s="0" t="inlineStr">
        <is>
          <t>NULL</t>
        </is>
      </c>
      <c r="F258" s="0" t="inlineStr">
        <is>
          <t>NULL</t>
        </is>
      </c>
      <c r="G258" s="0" t="inlineStr">
        <is>
          <t>NULL</t>
        </is>
      </c>
      <c r="H258" s="0" t="inlineStr">
        <is>
          <t>NULL</t>
        </is>
      </c>
      <c r="I258" s="0" t="inlineStr">
        <is>
          <t>NULL</t>
        </is>
      </c>
      <c r="J258" s="0" t="inlineStr">
        <is>
          <t>NULL</t>
        </is>
      </c>
      <c r="K258" s="0" t="inlineStr">
        <is>
          <t>YES! 	 c_numeric38_10列源备映射正确，源端为numeric None位	期望更改为numeric(p,s)	实际备端为numeric None位</t>
        </is>
      </c>
    </row>
    <row r="259">
      <c r="B259" s="0" t="inlineStr">
        <is>
          <t>NULL</t>
        </is>
      </c>
      <c r="C259" s="0" t="inlineStr">
        <is>
          <t>NULL</t>
        </is>
      </c>
      <c r="D259" s="0" t="inlineStr">
        <is>
          <t>NULL</t>
        </is>
      </c>
      <c r="E259" s="0" t="inlineStr">
        <is>
          <t>NULL</t>
        </is>
      </c>
      <c r="F259" s="0" t="inlineStr">
        <is>
          <t>NULL</t>
        </is>
      </c>
      <c r="G259" s="0" t="inlineStr">
        <is>
          <t>NULL</t>
        </is>
      </c>
      <c r="H259" s="0" t="inlineStr">
        <is>
          <t>NULL</t>
        </is>
      </c>
      <c r="I259" s="0" t="inlineStr">
        <is>
          <t>NULL</t>
        </is>
      </c>
      <c r="J259" s="0" t="inlineStr">
        <is>
          <t>NULL</t>
        </is>
      </c>
      <c r="K259" s="0" t="inlineStr">
        <is>
          <t>YES! 	 c_numeric18_2列源备映射正确，源端为numeric None位	期望更改为numeric(p,s)	实际备端为numeric None位</t>
        </is>
      </c>
    </row>
    <row r="260">
      <c r="B260" s="0" t="inlineStr">
        <is>
          <t>NULL</t>
        </is>
      </c>
      <c r="C260" s="0" t="inlineStr">
        <is>
          <t>NULL</t>
        </is>
      </c>
      <c r="D260" s="0" t="inlineStr">
        <is>
          <t>NULL</t>
        </is>
      </c>
      <c r="E260" s="0" t="inlineStr">
        <is>
          <t>NULL</t>
        </is>
      </c>
      <c r="F260" s="0" t="inlineStr">
        <is>
          <t>NULL</t>
        </is>
      </c>
      <c r="G260" s="0" t="inlineStr">
        <is>
          <t>NULL</t>
        </is>
      </c>
      <c r="H260" s="0" t="inlineStr">
        <is>
          <t>NULL</t>
        </is>
      </c>
      <c r="I260" s="0" t="inlineStr">
        <is>
          <t>NULL</t>
        </is>
      </c>
      <c r="J260" s="0" t="inlineStr">
        <is>
          <t>NULL</t>
        </is>
      </c>
      <c r="K260" s="0" t="inlineStr">
        <is>
          <t>YES! 	 c_float列源备映射正确，源端为float None位	期望更改为float	实际备端为float None位</t>
        </is>
      </c>
    </row>
    <row r="261">
      <c r="B261" s="0" t="inlineStr">
        <is>
          <t>NULL</t>
        </is>
      </c>
      <c r="C261" s="0" t="inlineStr">
        <is>
          <t>NULL</t>
        </is>
      </c>
      <c r="D261" s="0" t="inlineStr">
        <is>
          <t>NULL</t>
        </is>
      </c>
      <c r="E261" s="0" t="inlineStr">
        <is>
          <t>NULL</t>
        </is>
      </c>
      <c r="F261" s="0" t="inlineStr">
        <is>
          <t>NULL</t>
        </is>
      </c>
      <c r="G261" s="0" t="inlineStr">
        <is>
          <t>NULL</t>
        </is>
      </c>
      <c r="H261" s="0" t="inlineStr">
        <is>
          <t>NULL</t>
        </is>
      </c>
      <c r="I261" s="0" t="inlineStr">
        <is>
          <t>NULL</t>
        </is>
      </c>
      <c r="J261" s="0" t="inlineStr">
        <is>
          <t>NULL</t>
        </is>
      </c>
      <c r="K261" s="0" t="inlineStr">
        <is>
          <t>YES! 	 c_real列源备映射正确，源端为real None位	期望更改为real	实际备端为real None位</t>
        </is>
      </c>
    </row>
    <row r="262">
      <c r="B262" s="0" t="inlineStr">
        <is>
          <t>NULL</t>
        </is>
      </c>
      <c r="C262" s="0" t="inlineStr">
        <is>
          <t>NULL</t>
        </is>
      </c>
      <c r="D262" s="0" t="inlineStr">
        <is>
          <t>NULL</t>
        </is>
      </c>
      <c r="E262" s="0" t="inlineStr">
        <is>
          <t>NULL</t>
        </is>
      </c>
      <c r="F262" s="0" t="inlineStr">
        <is>
          <t>NULL</t>
        </is>
      </c>
      <c r="G262" s="0" t="inlineStr">
        <is>
          <t>NULL</t>
        </is>
      </c>
      <c r="H262" s="0" t="inlineStr">
        <is>
          <t>NULL</t>
        </is>
      </c>
      <c r="I262" s="0" t="inlineStr">
        <is>
          <t>NULL</t>
        </is>
      </c>
      <c r="J262" s="0" t="inlineStr">
        <is>
          <t>NULL</t>
        </is>
      </c>
      <c r="K262" s="0" t="inlineStr">
        <is>
          <t>YES! 	 c_money列源备映射正确，源端为money None位	期望更改为money	实际备端为money None位</t>
        </is>
      </c>
    </row>
    <row r="263">
      <c r="B263" s="0" t="inlineStr">
        <is>
          <t>NULL</t>
        </is>
      </c>
      <c r="C263" s="0" t="inlineStr">
        <is>
          <t>NULL</t>
        </is>
      </c>
      <c r="D263" s="0" t="inlineStr">
        <is>
          <t>NULL</t>
        </is>
      </c>
      <c r="E263" s="0" t="inlineStr">
        <is>
          <t>NULL</t>
        </is>
      </c>
      <c r="F263" s="0" t="inlineStr">
        <is>
          <t>NULL</t>
        </is>
      </c>
      <c r="G263" s="0" t="inlineStr">
        <is>
          <t>NULL</t>
        </is>
      </c>
      <c r="H263" s="0" t="inlineStr">
        <is>
          <t>NULL</t>
        </is>
      </c>
      <c r="I263" s="0" t="inlineStr">
        <is>
          <t>NULL</t>
        </is>
      </c>
      <c r="J263" s="0" t="inlineStr">
        <is>
          <t>NULL</t>
        </is>
      </c>
      <c r="K263" s="0" t="inlineStr">
        <is>
          <t>YES! 	 c_smallmoney列源备映射正确，源端为smallmoney None位	期望更改为smallmoney	实际备端为smallmoney None位</t>
        </is>
      </c>
    </row>
    <row r="264">
      <c r="B264" s="0" t="inlineStr">
        <is>
          <t>NULL</t>
        </is>
      </c>
      <c r="C264" s="0" t="inlineStr">
        <is>
          <t>NULL</t>
        </is>
      </c>
      <c r="D264" s="0" t="inlineStr">
        <is>
          <t>NULL</t>
        </is>
      </c>
      <c r="E264" s="0" t="inlineStr">
        <is>
          <t>NULL</t>
        </is>
      </c>
      <c r="F264" s="0" t="inlineStr">
        <is>
          <t>NULL</t>
        </is>
      </c>
      <c r="G264" s="0" t="inlineStr">
        <is>
          <t>NULL</t>
        </is>
      </c>
      <c r="H264" s="0" t="inlineStr">
        <is>
          <t>NULL</t>
        </is>
      </c>
      <c r="I264" s="0" t="inlineStr">
        <is>
          <t>NULL</t>
        </is>
      </c>
      <c r="J264" s="0" t="inlineStr">
        <is>
          <t>NULL</t>
        </is>
      </c>
      <c r="K264" s="0" t="inlineStr">
        <is>
          <t>YES! 	 c_bit列源备映射正确，源端为bit None位	期望更改为bit	实际备端为bit None位</t>
        </is>
      </c>
    </row>
    <row r="265">
      <c r="A265" s="0" t="inlineStr">
        <is>
          <t>info_char_dml_batch1_pk_drp2</t>
        </is>
      </c>
      <c r="K265" s="0" t="inlineStr">
        <is>
          <t>[0;34m info_char_dml_batch1_pk_drp2 [0m源备字段数相同，源端字段：4 	备端字段4</t>
        </is>
      </c>
      <c r="W265" s="0" t="inlineStr">
        <is>
          <t>YES 源备无差异</t>
        </is>
      </c>
      <c r="X265" s="0">
        <f>A265</f>
        <v/>
      </c>
    </row>
    <row r="266">
      <c r="B266" s="0" t="inlineStr">
        <is>
          <t>YES</t>
        </is>
      </c>
      <c r="C266" s="0" t="inlineStr">
        <is>
          <t>NULL</t>
        </is>
      </c>
      <c r="D266" s="0" t="inlineStr">
        <is>
          <t>NULL</t>
        </is>
      </c>
      <c r="E266" s="0" t="inlineStr">
        <is>
          <t>NULL</t>
        </is>
      </c>
      <c r="F266" s="0" t="inlineStr">
        <is>
          <t>NULL</t>
        </is>
      </c>
      <c r="G266" s="0" t="inlineStr">
        <is>
          <t>NULL</t>
        </is>
      </c>
      <c r="H266" s="0" t="inlineStr">
        <is>
          <t>NULL</t>
        </is>
      </c>
      <c r="I266" s="0" t="inlineStr">
        <is>
          <t>YES!PK__info_cha__3213E83FE351DA10</t>
        </is>
      </c>
      <c r="J266" s="0" t="inlineStr">
        <is>
          <t>YES! 主键相关索引</t>
        </is>
      </c>
      <c r="K266" s="0" t="inlineStr">
        <is>
          <t>YES! 	 id列源备映射正确，源端为int None位	期望更改为int	实际备端为int None位</t>
        </is>
      </c>
    </row>
    <row r="267">
      <c r="B267" s="0" t="inlineStr">
        <is>
          <t>NULL</t>
        </is>
      </c>
      <c r="C267" s="0" t="inlineStr">
        <is>
          <t>NULL</t>
        </is>
      </c>
      <c r="D267" s="0" t="inlineStr">
        <is>
          <t>NULL</t>
        </is>
      </c>
      <c r="E267" s="0" t="inlineStr">
        <is>
          <t>NULL</t>
        </is>
      </c>
      <c r="F267" s="0" t="inlineStr">
        <is>
          <t>NULL</t>
        </is>
      </c>
      <c r="G267" s="0" t="inlineStr">
        <is>
          <t>NULL</t>
        </is>
      </c>
      <c r="H267" s="0" t="inlineStr">
        <is>
          <t>NULL</t>
        </is>
      </c>
      <c r="I267" s="0" t="inlineStr">
        <is>
          <t>NULL</t>
        </is>
      </c>
      <c r="J267" s="0" t="inlineStr">
        <is>
          <t>NULL</t>
        </is>
      </c>
      <c r="K267" s="0" t="inlineStr">
        <is>
          <t>YES! 	 c_char列源备映射正确，源端为char 1位	期望更改为char(n)	实际备端为char 1位</t>
        </is>
      </c>
    </row>
    <row r="268">
      <c r="B268" s="0" t="inlineStr">
        <is>
          <t>NULL</t>
        </is>
      </c>
      <c r="C268" s="0" t="inlineStr">
        <is>
          <t>NULL</t>
        </is>
      </c>
      <c r="D268" s="0" t="inlineStr">
        <is>
          <t>NULL</t>
        </is>
      </c>
      <c r="E268" s="0" t="inlineStr">
        <is>
          <t>NULL</t>
        </is>
      </c>
      <c r="F268" s="0" t="inlineStr">
        <is>
          <t>NULL</t>
        </is>
      </c>
      <c r="G268" s="0" t="inlineStr">
        <is>
          <t>NULL</t>
        </is>
      </c>
      <c r="H268" s="0" t="inlineStr">
        <is>
          <t>NULL</t>
        </is>
      </c>
      <c r="I268" s="0" t="inlineStr">
        <is>
          <t>NULL</t>
        </is>
      </c>
      <c r="J268" s="0" t="inlineStr">
        <is>
          <t>NULL</t>
        </is>
      </c>
      <c r="K268" s="0" t="inlineStr">
        <is>
          <t>YES! 	 c_char20列源备映射正确，源端为char 20位	期望更改为char(n)	实际备端为char 20位</t>
        </is>
      </c>
    </row>
    <row r="269">
      <c r="B269" s="0" t="inlineStr">
        <is>
          <t>NULL</t>
        </is>
      </c>
      <c r="C269" s="0" t="inlineStr">
        <is>
          <t>NULL</t>
        </is>
      </c>
      <c r="D269" s="0" t="inlineStr">
        <is>
          <t>NULL</t>
        </is>
      </c>
      <c r="E269" s="0" t="inlineStr">
        <is>
          <t>NULL</t>
        </is>
      </c>
      <c r="F269" s="0" t="inlineStr">
        <is>
          <t>NULL</t>
        </is>
      </c>
      <c r="G269" s="0" t="inlineStr">
        <is>
          <t>NULL</t>
        </is>
      </c>
      <c r="H269" s="0" t="inlineStr">
        <is>
          <t>NULL</t>
        </is>
      </c>
      <c r="I269" s="0" t="inlineStr">
        <is>
          <t>NULL</t>
        </is>
      </c>
      <c r="J269" s="0" t="inlineStr">
        <is>
          <t>NULL</t>
        </is>
      </c>
      <c r="K269" s="0" t="inlineStr">
        <is>
          <t>YES! 	 c_char7000列源备映射正确，源端为char 7000位	期望更改为char(n)	实际备端为char 7000位</t>
        </is>
      </c>
    </row>
    <row r="270">
      <c r="A270" s="0" t="inlineStr">
        <is>
          <t>info_varchar_dml_single_pk_urp</t>
        </is>
      </c>
      <c r="K270" s="0" t="inlineStr">
        <is>
          <t>[0;34m info_varchar_dml_single_pk_urp [0m源备字段数相同，源端字段：4 	备端字段4</t>
        </is>
      </c>
      <c r="W270" s="0" t="inlineStr">
        <is>
          <t>YES 源备无差异</t>
        </is>
      </c>
      <c r="X270" s="0">
        <f>A270</f>
        <v/>
      </c>
    </row>
    <row r="271">
      <c r="B271" s="0" t="inlineStr">
        <is>
          <t>YES</t>
        </is>
      </c>
      <c r="C271" s="0" t="inlineStr">
        <is>
          <t>NULL</t>
        </is>
      </c>
      <c r="D271" s="0" t="inlineStr">
        <is>
          <t>NULL</t>
        </is>
      </c>
      <c r="E271" s="0" t="inlineStr">
        <is>
          <t>NULL</t>
        </is>
      </c>
      <c r="F271" s="0" t="inlineStr">
        <is>
          <t>NULL</t>
        </is>
      </c>
      <c r="G271" s="0" t="inlineStr">
        <is>
          <t>NULL</t>
        </is>
      </c>
      <c r="H271" s="0" t="inlineStr">
        <is>
          <t>NULL</t>
        </is>
      </c>
      <c r="I271" s="0" t="inlineStr">
        <is>
          <t>YES!PK__info_var__3213E83F339AEA58</t>
        </is>
      </c>
      <c r="J271" s="0" t="inlineStr">
        <is>
          <t>YES! 主键相关索引</t>
        </is>
      </c>
      <c r="K271" s="0" t="inlineStr">
        <is>
          <t>YES! 	 id列源备映射正确，源端为int None位	期望更改为int	实际备端为int None位</t>
        </is>
      </c>
    </row>
    <row r="272">
      <c r="B272" s="0" t="inlineStr">
        <is>
          <t>NULL</t>
        </is>
      </c>
      <c r="C272" s="0" t="inlineStr">
        <is>
          <t>NULL</t>
        </is>
      </c>
      <c r="D272" s="0" t="inlineStr">
        <is>
          <t>NULL</t>
        </is>
      </c>
      <c r="E272" s="0" t="inlineStr">
        <is>
          <t>NULL</t>
        </is>
      </c>
      <c r="F272" s="0" t="inlineStr">
        <is>
          <t>NULL</t>
        </is>
      </c>
      <c r="G272" s="0" t="inlineStr">
        <is>
          <t>NULL</t>
        </is>
      </c>
      <c r="H272" s="0" t="inlineStr">
        <is>
          <t>NULL</t>
        </is>
      </c>
      <c r="I272" s="0" t="inlineStr">
        <is>
          <t>NULL</t>
        </is>
      </c>
      <c r="J272" s="0" t="inlineStr">
        <is>
          <t>NULL</t>
        </is>
      </c>
      <c r="K272" s="0" t="inlineStr">
        <is>
          <t>YES! 	 c_varchar列源备映射正确，源端为varchar 1位	期望更改为varchar(n)	实际备端为varchar 1位</t>
        </is>
      </c>
    </row>
    <row r="273">
      <c r="B273" s="0" t="inlineStr">
        <is>
          <t>NULL</t>
        </is>
      </c>
      <c r="C273" s="0" t="inlineStr">
        <is>
          <t>NULL</t>
        </is>
      </c>
      <c r="D273" s="0" t="inlineStr">
        <is>
          <t>NULL</t>
        </is>
      </c>
      <c r="E273" s="0" t="inlineStr">
        <is>
          <t>NULL</t>
        </is>
      </c>
      <c r="F273" s="0" t="inlineStr">
        <is>
          <t>NULL</t>
        </is>
      </c>
      <c r="G273" s="0" t="inlineStr">
        <is>
          <t>NULL</t>
        </is>
      </c>
      <c r="H273" s="0" t="inlineStr">
        <is>
          <t>NULL</t>
        </is>
      </c>
      <c r="I273" s="0" t="inlineStr">
        <is>
          <t>NULL</t>
        </is>
      </c>
      <c r="J273" s="0" t="inlineStr">
        <is>
          <t>NULL</t>
        </is>
      </c>
      <c r="K273" s="0" t="inlineStr">
        <is>
          <t>YES! 	 c_varchar50列源备映射正确，源端为varchar 50位	期望更改为varchar(n)	实际备端为varchar 50位</t>
        </is>
      </c>
    </row>
    <row r="274">
      <c r="B274" s="0" t="inlineStr">
        <is>
          <t>NULL</t>
        </is>
      </c>
      <c r="C274" s="0" t="inlineStr">
        <is>
          <t>NULL</t>
        </is>
      </c>
      <c r="D274" s="0" t="inlineStr">
        <is>
          <t>NULL</t>
        </is>
      </c>
      <c r="E274" s="0" t="inlineStr">
        <is>
          <t>NULL</t>
        </is>
      </c>
      <c r="F274" s="0" t="inlineStr">
        <is>
          <t>NULL</t>
        </is>
      </c>
      <c r="G274" s="0" t="inlineStr">
        <is>
          <t>NULL</t>
        </is>
      </c>
      <c r="H274" s="0" t="inlineStr">
        <is>
          <t>NULL</t>
        </is>
      </c>
      <c r="I274" s="0" t="inlineStr">
        <is>
          <t>NULL</t>
        </is>
      </c>
      <c r="J274" s="0" t="inlineStr">
        <is>
          <t>NULL</t>
        </is>
      </c>
      <c r="K274" s="0" t="inlineStr">
        <is>
          <t>YES! 	 c_varchar8000列源备映射正确，源端为varchar 8000位	期望更改为varchar(n)	实际备端为varchar 8000位</t>
        </is>
      </c>
    </row>
    <row r="275">
      <c r="A275" s="0" t="inlineStr">
        <is>
          <t>info_sdt_dml_batch2_pk_irp1</t>
        </is>
      </c>
      <c r="K275" s="0" t="inlineStr">
        <is>
          <t>[0;34m info_sdt_dml_batch2_pk_irp1 [0m源备字段数相同，源端字段：2 	备端字段2</t>
        </is>
      </c>
      <c r="W275" s="0" t="inlineStr">
        <is>
          <t>YES 源备无差异</t>
        </is>
      </c>
      <c r="X275" s="0">
        <f>A275</f>
        <v/>
      </c>
    </row>
    <row r="276">
      <c r="B276" s="0" t="inlineStr">
        <is>
          <t>YES</t>
        </is>
      </c>
      <c r="C276" s="0" t="inlineStr">
        <is>
          <t>NULL</t>
        </is>
      </c>
      <c r="D276" s="0" t="inlineStr">
        <is>
          <t>NULL</t>
        </is>
      </c>
      <c r="E276" s="0" t="inlineStr">
        <is>
          <t>NULL</t>
        </is>
      </c>
      <c r="F276" s="0" t="inlineStr">
        <is>
          <t>NULL</t>
        </is>
      </c>
      <c r="G276" s="0" t="inlineStr">
        <is>
          <t>NULL</t>
        </is>
      </c>
      <c r="H276" s="0" t="inlineStr">
        <is>
          <t>NULL</t>
        </is>
      </c>
      <c r="I276" s="0" t="inlineStr">
        <is>
          <t>YES!PK__info_sdt__3213E83F3D82C417</t>
        </is>
      </c>
      <c r="J276" s="0" t="inlineStr">
        <is>
          <t>YES! 主键相关索引</t>
        </is>
      </c>
      <c r="K276" s="0" t="inlineStr">
        <is>
          <t>YES! 	 id列源备映射正确，源端为int None位	期望更改为int	实际备端为int None位</t>
        </is>
      </c>
    </row>
    <row r="277">
      <c r="B277" s="0" t="inlineStr">
        <is>
          <t>NULL</t>
        </is>
      </c>
      <c r="C277" s="0" t="inlineStr">
        <is>
          <t>NULL</t>
        </is>
      </c>
      <c r="D277" s="0" t="inlineStr">
        <is>
          <t>NULL</t>
        </is>
      </c>
      <c r="E277" s="0" t="inlineStr">
        <is>
          <t>NULL</t>
        </is>
      </c>
      <c r="F277" s="0" t="inlineStr">
        <is>
          <t>NULL</t>
        </is>
      </c>
      <c r="G277" s="0" t="inlineStr">
        <is>
          <t>NULL</t>
        </is>
      </c>
      <c r="H277" s="0" t="inlineStr">
        <is>
          <t>NULL</t>
        </is>
      </c>
      <c r="I277" s="0" t="inlineStr">
        <is>
          <t>NULL</t>
        </is>
      </c>
      <c r="J277" s="0" t="inlineStr">
        <is>
          <t>NULL</t>
        </is>
      </c>
      <c r="K277" s="0" t="inlineStr">
        <is>
          <t>YES! 	 c_sdt列源备映射正确，源端为smalldatetime None位	期望更改为smalldatetime	实际备端为smalldatetime None位</t>
        </is>
      </c>
    </row>
    <row r="278">
      <c r="A278" s="0" t="inlineStr">
        <is>
          <t>info_int_dml_single_pk_urp</t>
        </is>
      </c>
      <c r="K278" s="0" t="inlineStr">
        <is>
          <t>[0;34m info_int_dml_single_pk_urp [0m源备字段数相同，源端字段：20 	备端字段20</t>
        </is>
      </c>
      <c r="W278" s="0" t="inlineStr">
        <is>
          <t>YES 源备无差异</t>
        </is>
      </c>
      <c r="X278" s="0">
        <f>A278</f>
        <v/>
      </c>
    </row>
    <row r="279">
      <c r="B279" s="0" t="inlineStr">
        <is>
          <t>YES</t>
        </is>
      </c>
      <c r="C279" s="0" t="inlineStr">
        <is>
          <t>NULL</t>
        </is>
      </c>
      <c r="D279" s="0" t="inlineStr">
        <is>
          <t>NULL</t>
        </is>
      </c>
      <c r="E279" s="0" t="inlineStr">
        <is>
          <t>NULL</t>
        </is>
      </c>
      <c r="F279" s="0" t="inlineStr">
        <is>
          <t>NULL</t>
        </is>
      </c>
      <c r="G279" s="0" t="inlineStr">
        <is>
          <t>NULL</t>
        </is>
      </c>
      <c r="H279" s="0" t="inlineStr">
        <is>
          <t>NULL</t>
        </is>
      </c>
      <c r="I279" s="0" t="inlineStr">
        <is>
          <t>YES!PK__info_int__3213E83FF3C9ADF2</t>
        </is>
      </c>
      <c r="J279" s="0" t="inlineStr">
        <is>
          <t>YES! 主键相关索引</t>
        </is>
      </c>
      <c r="K279" s="0" t="inlineStr">
        <is>
          <t>YES! 	 id列源备映射正确，源端为int None位	期望更改为int	实际备端为int None位</t>
        </is>
      </c>
    </row>
    <row r="280">
      <c r="B280" s="0" t="inlineStr">
        <is>
          <t>NULL</t>
        </is>
      </c>
      <c r="C280" s="0" t="inlineStr">
        <is>
          <t>NULL</t>
        </is>
      </c>
      <c r="D280" s="0" t="inlineStr">
        <is>
          <t>NULL</t>
        </is>
      </c>
      <c r="E280" s="0" t="inlineStr">
        <is>
          <t>NULL</t>
        </is>
      </c>
      <c r="F280" s="0" t="inlineStr">
        <is>
          <t>NULL</t>
        </is>
      </c>
      <c r="G280" s="0" t="inlineStr">
        <is>
          <t>NULL</t>
        </is>
      </c>
      <c r="H280" s="0" t="inlineStr">
        <is>
          <t>NULL</t>
        </is>
      </c>
      <c r="I280" s="0" t="inlineStr">
        <is>
          <t>NULL</t>
        </is>
      </c>
      <c r="J280" s="0" t="inlineStr">
        <is>
          <t>NULL</t>
        </is>
      </c>
      <c r="K280" s="0" t="inlineStr">
        <is>
          <t>YES! 	 c_tinyint列源备映射正确，源端为tinyint None位	期望更改为tinyint	实际备端为tinyint None位</t>
        </is>
      </c>
    </row>
    <row r="281">
      <c r="B281" s="0" t="inlineStr">
        <is>
          <t>NULL</t>
        </is>
      </c>
      <c r="C281" s="0" t="inlineStr">
        <is>
          <t>NULL</t>
        </is>
      </c>
      <c r="D281" s="0" t="inlineStr">
        <is>
          <t>NULL</t>
        </is>
      </c>
      <c r="E281" s="0" t="inlineStr">
        <is>
          <t>NULL</t>
        </is>
      </c>
      <c r="F281" s="0" t="inlineStr">
        <is>
          <t>NULL</t>
        </is>
      </c>
      <c r="G281" s="0" t="inlineStr">
        <is>
          <t>NULL</t>
        </is>
      </c>
      <c r="H281" s="0" t="inlineStr">
        <is>
          <t>NULL</t>
        </is>
      </c>
      <c r="I281" s="0" t="inlineStr">
        <is>
          <t>NULL</t>
        </is>
      </c>
      <c r="J281" s="0" t="inlineStr">
        <is>
          <t>NULL</t>
        </is>
      </c>
      <c r="K281" s="0" t="inlineStr">
        <is>
          <t>YES! 	 c_smallint列源备映射正确，源端为smallint None位	期望更改为smallint	实际备端为smallint None位</t>
        </is>
      </c>
    </row>
    <row r="282">
      <c r="B282" s="0" t="inlineStr">
        <is>
          <t>NULL</t>
        </is>
      </c>
      <c r="C282" s="0" t="inlineStr">
        <is>
          <t>NULL</t>
        </is>
      </c>
      <c r="D282" s="0" t="inlineStr">
        <is>
          <t>NULL</t>
        </is>
      </c>
      <c r="E282" s="0" t="inlineStr">
        <is>
          <t>NULL</t>
        </is>
      </c>
      <c r="F282" s="0" t="inlineStr">
        <is>
          <t>NULL</t>
        </is>
      </c>
      <c r="G282" s="0" t="inlineStr">
        <is>
          <t>NULL</t>
        </is>
      </c>
      <c r="H282" s="0" t="inlineStr">
        <is>
          <t>NULL</t>
        </is>
      </c>
      <c r="I282" s="0" t="inlineStr">
        <is>
          <t>NULL</t>
        </is>
      </c>
      <c r="J282" s="0" t="inlineStr">
        <is>
          <t>NULL</t>
        </is>
      </c>
      <c r="K282" s="0" t="inlineStr">
        <is>
          <t>YES! 	 c_int列源备映射正确，源端为int None位	期望更改为int	实际备端为int None位</t>
        </is>
      </c>
    </row>
    <row r="283">
      <c r="B283" s="0" t="inlineStr">
        <is>
          <t>NULL</t>
        </is>
      </c>
      <c r="C283" s="0" t="inlineStr">
        <is>
          <t>NULL</t>
        </is>
      </c>
      <c r="D283" s="0" t="inlineStr">
        <is>
          <t>NULL</t>
        </is>
      </c>
      <c r="E283" s="0" t="inlineStr">
        <is>
          <t>NULL</t>
        </is>
      </c>
      <c r="F283" s="0" t="inlineStr">
        <is>
          <t>NULL</t>
        </is>
      </c>
      <c r="G283" s="0" t="inlineStr">
        <is>
          <t>NULL</t>
        </is>
      </c>
      <c r="H283" s="0" t="inlineStr">
        <is>
          <t>NULL</t>
        </is>
      </c>
      <c r="I283" s="0" t="inlineStr">
        <is>
          <t>NULL</t>
        </is>
      </c>
      <c r="J283" s="0" t="inlineStr">
        <is>
          <t>NULL</t>
        </is>
      </c>
      <c r="K283" s="0" t="inlineStr">
        <is>
          <t>YES! 	 c_bigint列源备映射正确，源端为bigint None位	期望更改为bigint	实际备端为bigint None位</t>
        </is>
      </c>
    </row>
    <row r="284">
      <c r="B284" s="0" t="inlineStr">
        <is>
          <t>NULL</t>
        </is>
      </c>
      <c r="C284" s="0" t="inlineStr">
        <is>
          <t>NULL</t>
        </is>
      </c>
      <c r="D284" s="0" t="inlineStr">
        <is>
          <t>NULL</t>
        </is>
      </c>
      <c r="E284" s="0" t="inlineStr">
        <is>
          <t>NULL</t>
        </is>
      </c>
      <c r="F284" s="0" t="inlineStr">
        <is>
          <t>NULL</t>
        </is>
      </c>
      <c r="G284" s="0" t="inlineStr">
        <is>
          <t>NULL</t>
        </is>
      </c>
      <c r="H284" s="0" t="inlineStr">
        <is>
          <t>NULL</t>
        </is>
      </c>
      <c r="I284" s="0" t="inlineStr">
        <is>
          <t>NULL</t>
        </is>
      </c>
      <c r="J284" s="0" t="inlineStr">
        <is>
          <t>NULL</t>
        </is>
      </c>
      <c r="K284" s="0" t="inlineStr">
        <is>
          <t>YES! 	 c_decimal列源备映射正确，源端为decimal None位	期望更改为decimal(p,s)	实际备端为decimal None位</t>
        </is>
      </c>
    </row>
    <row r="285">
      <c r="B285" s="0" t="inlineStr">
        <is>
          <t>NULL</t>
        </is>
      </c>
      <c r="C285" s="0" t="inlineStr">
        <is>
          <t>NULL</t>
        </is>
      </c>
      <c r="D285" s="0" t="inlineStr">
        <is>
          <t>NULL</t>
        </is>
      </c>
      <c r="E285" s="0" t="inlineStr">
        <is>
          <t>NULL</t>
        </is>
      </c>
      <c r="F285" s="0" t="inlineStr">
        <is>
          <t>NULL</t>
        </is>
      </c>
      <c r="G285" s="0" t="inlineStr">
        <is>
          <t>NULL</t>
        </is>
      </c>
      <c r="H285" s="0" t="inlineStr">
        <is>
          <t>NULL</t>
        </is>
      </c>
      <c r="I285" s="0" t="inlineStr">
        <is>
          <t>NULL</t>
        </is>
      </c>
      <c r="J285" s="0" t="inlineStr">
        <is>
          <t>NULL</t>
        </is>
      </c>
      <c r="K285" s="0" t="inlineStr">
        <is>
          <t>YES! 	 c_decimal38列源备映射正确，源端为decimal None位	期望更改为decimal(p,s)	实际备端为decimal None位</t>
        </is>
      </c>
    </row>
    <row r="286">
      <c r="B286" s="0" t="inlineStr">
        <is>
          <t>NULL</t>
        </is>
      </c>
      <c r="C286" s="0" t="inlineStr">
        <is>
          <t>NULL</t>
        </is>
      </c>
      <c r="D286" s="0" t="inlineStr">
        <is>
          <t>NULL</t>
        </is>
      </c>
      <c r="E286" s="0" t="inlineStr">
        <is>
          <t>NULL</t>
        </is>
      </c>
      <c r="F286" s="0" t="inlineStr">
        <is>
          <t>NULL</t>
        </is>
      </c>
      <c r="G286" s="0" t="inlineStr">
        <is>
          <t>NULL</t>
        </is>
      </c>
      <c r="H286" s="0" t="inlineStr">
        <is>
          <t>NULL</t>
        </is>
      </c>
      <c r="I286" s="0" t="inlineStr">
        <is>
          <t>NULL</t>
        </is>
      </c>
      <c r="J286" s="0" t="inlineStr">
        <is>
          <t>NULL</t>
        </is>
      </c>
      <c r="K286" s="0" t="inlineStr">
        <is>
          <t>YES! 	 c_decimal38_38列源备映射正确，源端为decimal None位	期望更改为decimal(p,s)	实际备端为decimal None位</t>
        </is>
      </c>
    </row>
    <row r="287">
      <c r="B287" s="0" t="inlineStr">
        <is>
          <t>NULL</t>
        </is>
      </c>
      <c r="C287" s="0" t="inlineStr">
        <is>
          <t>NULL</t>
        </is>
      </c>
      <c r="D287" s="0" t="inlineStr">
        <is>
          <t>NULL</t>
        </is>
      </c>
      <c r="E287" s="0" t="inlineStr">
        <is>
          <t>NULL</t>
        </is>
      </c>
      <c r="F287" s="0" t="inlineStr">
        <is>
          <t>NULL</t>
        </is>
      </c>
      <c r="G287" s="0" t="inlineStr">
        <is>
          <t>NULL</t>
        </is>
      </c>
      <c r="H287" s="0" t="inlineStr">
        <is>
          <t>NULL</t>
        </is>
      </c>
      <c r="I287" s="0" t="inlineStr">
        <is>
          <t>NULL</t>
        </is>
      </c>
      <c r="J287" s="0" t="inlineStr">
        <is>
          <t>NULL</t>
        </is>
      </c>
      <c r="K287" s="0" t="inlineStr">
        <is>
          <t>YES! 	 c_decimal38_10列源备映射正确，源端为decimal None位	期望更改为decimal(p,s)	实际备端为decimal None位</t>
        </is>
      </c>
    </row>
    <row r="288">
      <c r="B288" s="0" t="inlineStr">
        <is>
          <t>NULL</t>
        </is>
      </c>
      <c r="C288" s="0" t="inlineStr">
        <is>
          <t>NULL</t>
        </is>
      </c>
      <c r="D288" s="0" t="inlineStr">
        <is>
          <t>NULL</t>
        </is>
      </c>
      <c r="E288" s="0" t="inlineStr">
        <is>
          <t>NULL</t>
        </is>
      </c>
      <c r="F288" s="0" t="inlineStr">
        <is>
          <t>NULL</t>
        </is>
      </c>
      <c r="G288" s="0" t="inlineStr">
        <is>
          <t>NULL</t>
        </is>
      </c>
      <c r="H288" s="0" t="inlineStr">
        <is>
          <t>NULL</t>
        </is>
      </c>
      <c r="I288" s="0" t="inlineStr">
        <is>
          <t>NULL</t>
        </is>
      </c>
      <c r="J288" s="0" t="inlineStr">
        <is>
          <t>NULL</t>
        </is>
      </c>
      <c r="K288" s="0" t="inlineStr">
        <is>
          <t>YES! 	 c_decimal19_4列源备映射正确，源端为decimal None位	期望更改为decimal(p,s)	实际备端为decimal None位</t>
        </is>
      </c>
    </row>
    <row r="289">
      <c r="B289" s="0" t="inlineStr">
        <is>
          <t>NULL</t>
        </is>
      </c>
      <c r="C289" s="0" t="inlineStr">
        <is>
          <t>NULL</t>
        </is>
      </c>
      <c r="D289" s="0" t="inlineStr">
        <is>
          <t>NULL</t>
        </is>
      </c>
      <c r="E289" s="0" t="inlineStr">
        <is>
          <t>NULL</t>
        </is>
      </c>
      <c r="F289" s="0" t="inlineStr">
        <is>
          <t>NULL</t>
        </is>
      </c>
      <c r="G289" s="0" t="inlineStr">
        <is>
          <t>NULL</t>
        </is>
      </c>
      <c r="H289" s="0" t="inlineStr">
        <is>
          <t>NULL</t>
        </is>
      </c>
      <c r="I289" s="0" t="inlineStr">
        <is>
          <t>NULL</t>
        </is>
      </c>
      <c r="J289" s="0" t="inlineStr">
        <is>
          <t>NULL</t>
        </is>
      </c>
      <c r="K289" s="0" t="inlineStr">
        <is>
          <t>YES! 	 c_numeric列源备映射正确，源端为numeric None位	期望更改为numeric(p,s)	实际备端为numeric None位</t>
        </is>
      </c>
    </row>
    <row r="290">
      <c r="B290" s="0" t="inlineStr">
        <is>
          <t>NULL</t>
        </is>
      </c>
      <c r="C290" s="0" t="inlineStr">
        <is>
          <t>NULL</t>
        </is>
      </c>
      <c r="D290" s="0" t="inlineStr">
        <is>
          <t>NULL</t>
        </is>
      </c>
      <c r="E290" s="0" t="inlineStr">
        <is>
          <t>NULL</t>
        </is>
      </c>
      <c r="F290" s="0" t="inlineStr">
        <is>
          <t>NULL</t>
        </is>
      </c>
      <c r="G290" s="0" t="inlineStr">
        <is>
          <t>NULL</t>
        </is>
      </c>
      <c r="H290" s="0" t="inlineStr">
        <is>
          <t>NULL</t>
        </is>
      </c>
      <c r="I290" s="0" t="inlineStr">
        <is>
          <t>NULL</t>
        </is>
      </c>
      <c r="J290" s="0" t="inlineStr">
        <is>
          <t>NULL</t>
        </is>
      </c>
      <c r="K290" s="0" t="inlineStr">
        <is>
          <t>YES! 	 c_numeric38列源备映射正确，源端为numeric None位	期望更改为numeric(p,s)	实际备端为numeric None位</t>
        </is>
      </c>
    </row>
    <row r="291">
      <c r="B291" s="0" t="inlineStr">
        <is>
          <t>NULL</t>
        </is>
      </c>
      <c r="C291" s="0" t="inlineStr">
        <is>
          <t>NULL</t>
        </is>
      </c>
      <c r="D291" s="0" t="inlineStr">
        <is>
          <t>NULL</t>
        </is>
      </c>
      <c r="E291" s="0" t="inlineStr">
        <is>
          <t>NULL</t>
        </is>
      </c>
      <c r="F291" s="0" t="inlineStr">
        <is>
          <t>NULL</t>
        </is>
      </c>
      <c r="G291" s="0" t="inlineStr">
        <is>
          <t>NULL</t>
        </is>
      </c>
      <c r="H291" s="0" t="inlineStr">
        <is>
          <t>NULL</t>
        </is>
      </c>
      <c r="I291" s="0" t="inlineStr">
        <is>
          <t>NULL</t>
        </is>
      </c>
      <c r="J291" s="0" t="inlineStr">
        <is>
          <t>NULL</t>
        </is>
      </c>
      <c r="K291" s="0" t="inlineStr">
        <is>
          <t>YES! 	 c_numeric38_38列源备映射正确，源端为numeric None位	期望更改为numeric(p,s)	实际备端为numeric None位</t>
        </is>
      </c>
    </row>
    <row r="292">
      <c r="B292" s="0" t="inlineStr">
        <is>
          <t>NULL</t>
        </is>
      </c>
      <c r="C292" s="0" t="inlineStr">
        <is>
          <t>NULL</t>
        </is>
      </c>
      <c r="D292" s="0" t="inlineStr">
        <is>
          <t>NULL</t>
        </is>
      </c>
      <c r="E292" s="0" t="inlineStr">
        <is>
          <t>NULL</t>
        </is>
      </c>
      <c r="F292" s="0" t="inlineStr">
        <is>
          <t>NULL</t>
        </is>
      </c>
      <c r="G292" s="0" t="inlineStr">
        <is>
          <t>NULL</t>
        </is>
      </c>
      <c r="H292" s="0" t="inlineStr">
        <is>
          <t>NULL</t>
        </is>
      </c>
      <c r="I292" s="0" t="inlineStr">
        <is>
          <t>NULL</t>
        </is>
      </c>
      <c r="J292" s="0" t="inlineStr">
        <is>
          <t>NULL</t>
        </is>
      </c>
      <c r="K292" s="0" t="inlineStr">
        <is>
          <t>YES! 	 c_numeric38_10列源备映射正确，源端为numeric None位	期望更改为numeric(p,s)	实际备端为numeric None位</t>
        </is>
      </c>
    </row>
    <row r="293">
      <c r="B293" s="0" t="inlineStr">
        <is>
          <t>NULL</t>
        </is>
      </c>
      <c r="C293" s="0" t="inlineStr">
        <is>
          <t>NULL</t>
        </is>
      </c>
      <c r="D293" s="0" t="inlineStr">
        <is>
          <t>NULL</t>
        </is>
      </c>
      <c r="E293" s="0" t="inlineStr">
        <is>
          <t>NULL</t>
        </is>
      </c>
      <c r="F293" s="0" t="inlineStr">
        <is>
          <t>NULL</t>
        </is>
      </c>
      <c r="G293" s="0" t="inlineStr">
        <is>
          <t>NULL</t>
        </is>
      </c>
      <c r="H293" s="0" t="inlineStr">
        <is>
          <t>NULL</t>
        </is>
      </c>
      <c r="I293" s="0" t="inlineStr">
        <is>
          <t>NULL</t>
        </is>
      </c>
      <c r="J293" s="0" t="inlineStr">
        <is>
          <t>NULL</t>
        </is>
      </c>
      <c r="K293" s="0" t="inlineStr">
        <is>
          <t>YES! 	 c_numeric18_2列源备映射正确，源端为numeric None位	期望更改为numeric(p,s)	实际备端为numeric None位</t>
        </is>
      </c>
    </row>
    <row r="294">
      <c r="B294" s="0" t="inlineStr">
        <is>
          <t>NULL</t>
        </is>
      </c>
      <c r="C294" s="0" t="inlineStr">
        <is>
          <t>NULL</t>
        </is>
      </c>
      <c r="D294" s="0" t="inlineStr">
        <is>
          <t>NULL</t>
        </is>
      </c>
      <c r="E294" s="0" t="inlineStr">
        <is>
          <t>NULL</t>
        </is>
      </c>
      <c r="F294" s="0" t="inlineStr">
        <is>
          <t>NULL</t>
        </is>
      </c>
      <c r="G294" s="0" t="inlineStr">
        <is>
          <t>NULL</t>
        </is>
      </c>
      <c r="H294" s="0" t="inlineStr">
        <is>
          <t>NULL</t>
        </is>
      </c>
      <c r="I294" s="0" t="inlineStr">
        <is>
          <t>NULL</t>
        </is>
      </c>
      <c r="J294" s="0" t="inlineStr">
        <is>
          <t>NULL</t>
        </is>
      </c>
      <c r="K294" s="0" t="inlineStr">
        <is>
          <t>YES! 	 c_float列源备映射正确，源端为float None位	期望更改为float	实际备端为float None位</t>
        </is>
      </c>
    </row>
    <row r="295">
      <c r="B295" s="0" t="inlineStr">
        <is>
          <t>NULL</t>
        </is>
      </c>
      <c r="C295" s="0" t="inlineStr">
        <is>
          <t>NULL</t>
        </is>
      </c>
      <c r="D295" s="0" t="inlineStr">
        <is>
          <t>NULL</t>
        </is>
      </c>
      <c r="E295" s="0" t="inlineStr">
        <is>
          <t>NULL</t>
        </is>
      </c>
      <c r="F295" s="0" t="inlineStr">
        <is>
          <t>NULL</t>
        </is>
      </c>
      <c r="G295" s="0" t="inlineStr">
        <is>
          <t>NULL</t>
        </is>
      </c>
      <c r="H295" s="0" t="inlineStr">
        <is>
          <t>NULL</t>
        </is>
      </c>
      <c r="I295" s="0" t="inlineStr">
        <is>
          <t>NULL</t>
        </is>
      </c>
      <c r="J295" s="0" t="inlineStr">
        <is>
          <t>NULL</t>
        </is>
      </c>
      <c r="K295" s="0" t="inlineStr">
        <is>
          <t>YES! 	 c_real列源备映射正确，源端为real None位	期望更改为real	实际备端为real None位</t>
        </is>
      </c>
    </row>
    <row r="296">
      <c r="B296" s="0" t="inlineStr">
        <is>
          <t>NULL</t>
        </is>
      </c>
      <c r="C296" s="0" t="inlineStr">
        <is>
          <t>NULL</t>
        </is>
      </c>
      <c r="D296" s="0" t="inlineStr">
        <is>
          <t>NULL</t>
        </is>
      </c>
      <c r="E296" s="0" t="inlineStr">
        <is>
          <t>NULL</t>
        </is>
      </c>
      <c r="F296" s="0" t="inlineStr">
        <is>
          <t>NULL</t>
        </is>
      </c>
      <c r="G296" s="0" t="inlineStr">
        <is>
          <t>NULL</t>
        </is>
      </c>
      <c r="H296" s="0" t="inlineStr">
        <is>
          <t>NULL</t>
        </is>
      </c>
      <c r="I296" s="0" t="inlineStr">
        <is>
          <t>NULL</t>
        </is>
      </c>
      <c r="J296" s="0" t="inlineStr">
        <is>
          <t>NULL</t>
        </is>
      </c>
      <c r="K296" s="0" t="inlineStr">
        <is>
          <t>YES! 	 c_money列源备映射正确，源端为money None位	期望更改为money	实际备端为money None位</t>
        </is>
      </c>
    </row>
    <row r="297">
      <c r="B297" s="0" t="inlineStr">
        <is>
          <t>NULL</t>
        </is>
      </c>
      <c r="C297" s="0" t="inlineStr">
        <is>
          <t>NULL</t>
        </is>
      </c>
      <c r="D297" s="0" t="inlineStr">
        <is>
          <t>NULL</t>
        </is>
      </c>
      <c r="E297" s="0" t="inlineStr">
        <is>
          <t>NULL</t>
        </is>
      </c>
      <c r="F297" s="0" t="inlineStr">
        <is>
          <t>NULL</t>
        </is>
      </c>
      <c r="G297" s="0" t="inlineStr">
        <is>
          <t>NULL</t>
        </is>
      </c>
      <c r="H297" s="0" t="inlineStr">
        <is>
          <t>NULL</t>
        </is>
      </c>
      <c r="I297" s="0" t="inlineStr">
        <is>
          <t>NULL</t>
        </is>
      </c>
      <c r="J297" s="0" t="inlineStr">
        <is>
          <t>NULL</t>
        </is>
      </c>
      <c r="K297" s="0" t="inlineStr">
        <is>
          <t>YES! 	 c_smallmoney列源备映射正确，源端为smallmoney None位	期望更改为smallmoney	实际备端为smallmoney None位</t>
        </is>
      </c>
    </row>
    <row r="298">
      <c r="B298" s="0" t="inlineStr">
        <is>
          <t>NULL</t>
        </is>
      </c>
      <c r="C298" s="0" t="inlineStr">
        <is>
          <t>NULL</t>
        </is>
      </c>
      <c r="D298" s="0" t="inlineStr">
        <is>
          <t>NULL</t>
        </is>
      </c>
      <c r="E298" s="0" t="inlineStr">
        <is>
          <t>NULL</t>
        </is>
      </c>
      <c r="F298" s="0" t="inlineStr">
        <is>
          <t>NULL</t>
        </is>
      </c>
      <c r="G298" s="0" t="inlineStr">
        <is>
          <t>NULL</t>
        </is>
      </c>
      <c r="H298" s="0" t="inlineStr">
        <is>
          <t>NULL</t>
        </is>
      </c>
      <c r="I298" s="0" t="inlineStr">
        <is>
          <t>NULL</t>
        </is>
      </c>
      <c r="J298" s="0" t="inlineStr">
        <is>
          <t>NULL</t>
        </is>
      </c>
      <c r="K298" s="0" t="inlineStr">
        <is>
          <t>YES! 	 c_bit列源备映射正确，源端为bit None位	期望更改为bit	实际备端为bit None位</t>
        </is>
      </c>
    </row>
    <row r="299">
      <c r="A299" s="0" t="inlineStr">
        <is>
          <t>info_char_dml_batch1_pk</t>
        </is>
      </c>
      <c r="K299" s="0" t="inlineStr">
        <is>
          <t>[0;34m info_char_dml_batch1_pk [0m源备字段数相同，源端字段：4 	备端字段4</t>
        </is>
      </c>
      <c r="W299" s="0" t="inlineStr">
        <is>
          <t>YES 源备无差异</t>
        </is>
      </c>
      <c r="X299" s="0">
        <f>A299</f>
        <v/>
      </c>
    </row>
    <row r="300">
      <c r="B300" s="0" t="inlineStr">
        <is>
          <t>YES</t>
        </is>
      </c>
      <c r="C300" s="0" t="inlineStr">
        <is>
          <t>NULL</t>
        </is>
      </c>
      <c r="D300" s="0" t="inlineStr">
        <is>
          <t>NULL</t>
        </is>
      </c>
      <c r="E300" s="0" t="inlineStr">
        <is>
          <t>NULL</t>
        </is>
      </c>
      <c r="F300" s="0" t="inlineStr">
        <is>
          <t>NULL</t>
        </is>
      </c>
      <c r="G300" s="0" t="inlineStr">
        <is>
          <t>NULL</t>
        </is>
      </c>
      <c r="H300" s="0" t="inlineStr">
        <is>
          <t>NULL</t>
        </is>
      </c>
      <c r="I300" s="0" t="inlineStr">
        <is>
          <t>YES!PK__info_cha__3213E83F5CF1C334</t>
        </is>
      </c>
      <c r="J300" s="0" t="inlineStr">
        <is>
          <t>YES! 主键相关索引</t>
        </is>
      </c>
      <c r="K300" s="0" t="inlineStr">
        <is>
          <t>YES! 	 id列源备映射正确，源端为int None位	期望更改为int	实际备端为int None位</t>
        </is>
      </c>
    </row>
    <row r="301">
      <c r="B301" s="0" t="inlineStr">
        <is>
          <t>NULL</t>
        </is>
      </c>
      <c r="C301" s="0" t="inlineStr">
        <is>
          <t>NULL</t>
        </is>
      </c>
      <c r="D301" s="0" t="inlineStr">
        <is>
          <t>NULL</t>
        </is>
      </c>
      <c r="E301" s="0" t="inlineStr">
        <is>
          <t>NULL</t>
        </is>
      </c>
      <c r="F301" s="0" t="inlineStr">
        <is>
          <t>NULL</t>
        </is>
      </c>
      <c r="G301" s="0" t="inlineStr">
        <is>
          <t>NULL</t>
        </is>
      </c>
      <c r="H301" s="0" t="inlineStr">
        <is>
          <t>NULL</t>
        </is>
      </c>
      <c r="I301" s="0" t="inlineStr">
        <is>
          <t>NULL</t>
        </is>
      </c>
      <c r="J301" s="0" t="inlineStr">
        <is>
          <t>NULL</t>
        </is>
      </c>
      <c r="K301" s="0" t="inlineStr">
        <is>
          <t>YES! 	 c_char列源备映射正确，源端为char 1位	期望更改为char(n)	实际备端为char 1位</t>
        </is>
      </c>
    </row>
    <row r="302">
      <c r="B302" s="0" t="inlineStr">
        <is>
          <t>NULL</t>
        </is>
      </c>
      <c r="C302" s="0" t="inlineStr">
        <is>
          <t>NULL</t>
        </is>
      </c>
      <c r="D302" s="0" t="inlineStr">
        <is>
          <t>NULL</t>
        </is>
      </c>
      <c r="E302" s="0" t="inlineStr">
        <is>
          <t>NULL</t>
        </is>
      </c>
      <c r="F302" s="0" t="inlineStr">
        <is>
          <t>NULL</t>
        </is>
      </c>
      <c r="G302" s="0" t="inlineStr">
        <is>
          <t>NULL</t>
        </is>
      </c>
      <c r="H302" s="0" t="inlineStr">
        <is>
          <t>NULL</t>
        </is>
      </c>
      <c r="I302" s="0" t="inlineStr">
        <is>
          <t>NULL</t>
        </is>
      </c>
      <c r="J302" s="0" t="inlineStr">
        <is>
          <t>NULL</t>
        </is>
      </c>
      <c r="K302" s="0" t="inlineStr">
        <is>
          <t>YES! 	 c_char20列源备映射正确，源端为char 20位	期望更改为char(n)	实际备端为char 20位</t>
        </is>
      </c>
    </row>
    <row r="303">
      <c r="B303" s="0" t="inlineStr">
        <is>
          <t>NULL</t>
        </is>
      </c>
      <c r="C303" s="0" t="inlineStr">
        <is>
          <t>NULL</t>
        </is>
      </c>
      <c r="D303" s="0" t="inlineStr">
        <is>
          <t>NULL</t>
        </is>
      </c>
      <c r="E303" s="0" t="inlineStr">
        <is>
          <t>NULL</t>
        </is>
      </c>
      <c r="F303" s="0" t="inlineStr">
        <is>
          <t>NULL</t>
        </is>
      </c>
      <c r="G303" s="0" t="inlineStr">
        <is>
          <t>NULL</t>
        </is>
      </c>
      <c r="H303" s="0" t="inlineStr">
        <is>
          <t>NULL</t>
        </is>
      </c>
      <c r="I303" s="0" t="inlineStr">
        <is>
          <t>NULL</t>
        </is>
      </c>
      <c r="J303" s="0" t="inlineStr">
        <is>
          <t>NULL</t>
        </is>
      </c>
      <c r="K303" s="0" t="inlineStr">
        <is>
          <t>YES! 	 c_char7000列源备映射正确，源端为char 7000位	期望更改为char(n)	实际备端为char 7000位</t>
        </is>
      </c>
    </row>
    <row r="304">
      <c r="A304" s="0" t="inlineStr">
        <is>
          <t>info_varchar_dml_single_pk_drp</t>
        </is>
      </c>
      <c r="K304" s="0" t="inlineStr">
        <is>
          <t>[0;34m info_varchar_dml_single_pk_drp [0m源备字段数相同，源端字段：4 	备端字段4</t>
        </is>
      </c>
      <c r="W304" s="0" t="inlineStr">
        <is>
          <t>YES 源备无差异</t>
        </is>
      </c>
      <c r="X304" s="0">
        <f>A304</f>
        <v/>
      </c>
    </row>
    <row r="305">
      <c r="B305" s="0" t="inlineStr">
        <is>
          <t>YES</t>
        </is>
      </c>
      <c r="C305" s="0" t="inlineStr">
        <is>
          <t>NULL</t>
        </is>
      </c>
      <c r="D305" s="0" t="inlineStr">
        <is>
          <t>NULL</t>
        </is>
      </c>
      <c r="E305" s="0" t="inlineStr">
        <is>
          <t>NULL</t>
        </is>
      </c>
      <c r="F305" s="0" t="inlineStr">
        <is>
          <t>NULL</t>
        </is>
      </c>
      <c r="G305" s="0" t="inlineStr">
        <is>
          <t>NULL</t>
        </is>
      </c>
      <c r="H305" s="0" t="inlineStr">
        <is>
          <t>NULL</t>
        </is>
      </c>
      <c r="I305" s="0" t="inlineStr">
        <is>
          <t>YES!PK__info_var__3213E83FEE4FC36C</t>
        </is>
      </c>
      <c r="J305" s="0" t="inlineStr">
        <is>
          <t>YES! 主键相关索引</t>
        </is>
      </c>
      <c r="K305" s="0" t="inlineStr">
        <is>
          <t>YES! 	 id列源备映射正确，源端为int None位	期望更改为int	实际备端为int None位</t>
        </is>
      </c>
    </row>
    <row r="306">
      <c r="B306" s="0" t="inlineStr">
        <is>
          <t>NULL</t>
        </is>
      </c>
      <c r="C306" s="0" t="inlineStr">
        <is>
          <t>NULL</t>
        </is>
      </c>
      <c r="D306" s="0" t="inlineStr">
        <is>
          <t>NULL</t>
        </is>
      </c>
      <c r="E306" s="0" t="inlineStr">
        <is>
          <t>NULL</t>
        </is>
      </c>
      <c r="F306" s="0" t="inlineStr">
        <is>
          <t>NULL</t>
        </is>
      </c>
      <c r="G306" s="0" t="inlineStr">
        <is>
          <t>NULL</t>
        </is>
      </c>
      <c r="H306" s="0" t="inlineStr">
        <is>
          <t>NULL</t>
        </is>
      </c>
      <c r="I306" s="0" t="inlineStr">
        <is>
          <t>NULL</t>
        </is>
      </c>
      <c r="J306" s="0" t="inlineStr">
        <is>
          <t>NULL</t>
        </is>
      </c>
      <c r="K306" s="0" t="inlineStr">
        <is>
          <t>YES! 	 c_varchar列源备映射正确，源端为varchar 1位	期望更改为varchar(n)	实际备端为varchar 1位</t>
        </is>
      </c>
    </row>
    <row r="307">
      <c r="B307" s="0" t="inlineStr">
        <is>
          <t>NULL</t>
        </is>
      </c>
      <c r="C307" s="0" t="inlineStr">
        <is>
          <t>NULL</t>
        </is>
      </c>
      <c r="D307" s="0" t="inlineStr">
        <is>
          <t>NULL</t>
        </is>
      </c>
      <c r="E307" s="0" t="inlineStr">
        <is>
          <t>NULL</t>
        </is>
      </c>
      <c r="F307" s="0" t="inlineStr">
        <is>
          <t>NULL</t>
        </is>
      </c>
      <c r="G307" s="0" t="inlineStr">
        <is>
          <t>NULL</t>
        </is>
      </c>
      <c r="H307" s="0" t="inlineStr">
        <is>
          <t>NULL</t>
        </is>
      </c>
      <c r="I307" s="0" t="inlineStr">
        <is>
          <t>NULL</t>
        </is>
      </c>
      <c r="J307" s="0" t="inlineStr">
        <is>
          <t>NULL</t>
        </is>
      </c>
      <c r="K307" s="0" t="inlineStr">
        <is>
          <t>YES! 	 c_varchar50列源备映射正确，源端为varchar 50位	期望更改为varchar(n)	实际备端为varchar 50位</t>
        </is>
      </c>
    </row>
    <row r="308">
      <c r="B308" s="0" t="inlineStr">
        <is>
          <t>NULL</t>
        </is>
      </c>
      <c r="C308" s="0" t="inlineStr">
        <is>
          <t>NULL</t>
        </is>
      </c>
      <c r="D308" s="0" t="inlineStr">
        <is>
          <t>NULL</t>
        </is>
      </c>
      <c r="E308" s="0" t="inlineStr">
        <is>
          <t>NULL</t>
        </is>
      </c>
      <c r="F308" s="0" t="inlineStr">
        <is>
          <t>NULL</t>
        </is>
      </c>
      <c r="G308" s="0" t="inlineStr">
        <is>
          <t>NULL</t>
        </is>
      </c>
      <c r="H308" s="0" t="inlineStr">
        <is>
          <t>NULL</t>
        </is>
      </c>
      <c r="I308" s="0" t="inlineStr">
        <is>
          <t>NULL</t>
        </is>
      </c>
      <c r="J308" s="0" t="inlineStr">
        <is>
          <t>NULL</t>
        </is>
      </c>
      <c r="K308" s="0" t="inlineStr">
        <is>
          <t>YES! 	 c_varchar8000列源备映射正确，源端为varchar 8000位	期望更改为varchar(n)	实际备端为varchar 8000位</t>
        </is>
      </c>
    </row>
    <row r="309">
      <c r="A309" s="0" t="inlineStr">
        <is>
          <t>info_sdt_dml_batch2_pk_irp2</t>
        </is>
      </c>
      <c r="K309" s="0" t="inlineStr">
        <is>
          <t>[0;34m info_sdt_dml_batch2_pk_irp2 [0m源备字段数相同，源端字段：2 	备端字段2</t>
        </is>
      </c>
      <c r="W309" s="0" t="inlineStr">
        <is>
          <t>YES 源备无差异</t>
        </is>
      </c>
      <c r="X309" s="0">
        <f>A309</f>
        <v/>
      </c>
    </row>
    <row r="310">
      <c r="B310" s="0" t="inlineStr">
        <is>
          <t>YES</t>
        </is>
      </c>
      <c r="C310" s="0" t="inlineStr">
        <is>
          <t>NULL</t>
        </is>
      </c>
      <c r="D310" s="0" t="inlineStr">
        <is>
          <t>NULL</t>
        </is>
      </c>
      <c r="E310" s="0" t="inlineStr">
        <is>
          <t>NULL</t>
        </is>
      </c>
      <c r="F310" s="0" t="inlineStr">
        <is>
          <t>NULL</t>
        </is>
      </c>
      <c r="G310" s="0" t="inlineStr">
        <is>
          <t>NULL</t>
        </is>
      </c>
      <c r="H310" s="0" t="inlineStr">
        <is>
          <t>NULL</t>
        </is>
      </c>
      <c r="I310" s="0" t="inlineStr">
        <is>
          <t>YES!PK__info_sdt__3213E83F8FF1A01C</t>
        </is>
      </c>
      <c r="J310" s="0" t="inlineStr">
        <is>
          <t>YES! 主键相关索引</t>
        </is>
      </c>
      <c r="K310" s="0" t="inlineStr">
        <is>
          <t>YES! 	 id列源备映射正确，源端为int None位	期望更改为int	实际备端为int None位</t>
        </is>
      </c>
    </row>
    <row r="311">
      <c r="B311" s="0" t="inlineStr">
        <is>
          <t>NULL</t>
        </is>
      </c>
      <c r="C311" s="0" t="inlineStr">
        <is>
          <t>NULL</t>
        </is>
      </c>
      <c r="D311" s="0" t="inlineStr">
        <is>
          <t>NULL</t>
        </is>
      </c>
      <c r="E311" s="0" t="inlineStr">
        <is>
          <t>NULL</t>
        </is>
      </c>
      <c r="F311" s="0" t="inlineStr">
        <is>
          <t>NULL</t>
        </is>
      </c>
      <c r="G311" s="0" t="inlineStr">
        <is>
          <t>NULL</t>
        </is>
      </c>
      <c r="H311" s="0" t="inlineStr">
        <is>
          <t>NULL</t>
        </is>
      </c>
      <c r="I311" s="0" t="inlineStr">
        <is>
          <t>NULL</t>
        </is>
      </c>
      <c r="J311" s="0" t="inlineStr">
        <is>
          <t>NULL</t>
        </is>
      </c>
      <c r="K311" s="0" t="inlineStr">
        <is>
          <t>YES! 	 c_sdt列源备映射正确，源端为smalldatetime None位	期望更改为smalldatetime	实际备端为smalldatetime None位</t>
        </is>
      </c>
    </row>
    <row r="312">
      <c r="A312" s="0" t="inlineStr">
        <is>
          <t>info_nchar_dml_single_nopk_urp</t>
        </is>
      </c>
      <c r="K312" s="0" t="inlineStr">
        <is>
          <t>[0;34m info_nchar_dml_single_nopk_urp [0m源备字段数相同，源端字段：4 	备端字段4</t>
        </is>
      </c>
      <c r="W312" s="0" t="inlineStr">
        <is>
          <t>YES 源备无差异</t>
        </is>
      </c>
      <c r="X312" s="0">
        <f>A312</f>
        <v/>
      </c>
    </row>
    <row r="313">
      <c r="B313" s="0" t="inlineStr">
        <is>
          <t>NULL</t>
        </is>
      </c>
      <c r="C313" s="0" t="inlineStr">
        <is>
          <t>NULL</t>
        </is>
      </c>
      <c r="D313" s="0" t="inlineStr">
        <is>
          <t>NULL</t>
        </is>
      </c>
      <c r="E313" s="0" t="inlineStr">
        <is>
          <t>NULL</t>
        </is>
      </c>
      <c r="F313" s="0" t="inlineStr">
        <is>
          <t>NULL</t>
        </is>
      </c>
      <c r="G313" s="0" t="inlineStr">
        <is>
          <t>NULL</t>
        </is>
      </c>
      <c r="H313" s="0" t="inlineStr">
        <is>
          <t>NULL</t>
        </is>
      </c>
      <c r="I313" s="0" t="inlineStr">
        <is>
          <t>NULL</t>
        </is>
      </c>
      <c r="J313" s="0" t="inlineStr">
        <is>
          <t>NULL</t>
        </is>
      </c>
      <c r="K313" s="0" t="inlineStr">
        <is>
          <t>YES! 	 id列源备映射正确，源端为int None位	期望更改为int	实际备端为int None位</t>
        </is>
      </c>
    </row>
    <row r="314">
      <c r="B314" s="0" t="inlineStr">
        <is>
          <t>NULL</t>
        </is>
      </c>
      <c r="C314" s="0" t="inlineStr">
        <is>
          <t>NULL</t>
        </is>
      </c>
      <c r="D314" s="0" t="inlineStr">
        <is>
          <t>NULL</t>
        </is>
      </c>
      <c r="E314" s="0" t="inlineStr">
        <is>
          <t>NULL</t>
        </is>
      </c>
      <c r="F314" s="0" t="inlineStr">
        <is>
          <t>NULL</t>
        </is>
      </c>
      <c r="G314" s="0" t="inlineStr">
        <is>
          <t>NULL</t>
        </is>
      </c>
      <c r="H314" s="0" t="inlineStr">
        <is>
          <t>NULL</t>
        </is>
      </c>
      <c r="I314" s="0" t="inlineStr">
        <is>
          <t>NULL</t>
        </is>
      </c>
      <c r="J314" s="0" t="inlineStr">
        <is>
          <t>NULL</t>
        </is>
      </c>
      <c r="K314" s="0" t="inlineStr">
        <is>
          <t>YES! 	 c_nchar列源备映射正确，源端为nchar 2位	期望更改为nchar(n)	实际备端为nchar 2位</t>
        </is>
      </c>
    </row>
    <row r="315">
      <c r="B315" s="0" t="inlineStr">
        <is>
          <t>NULL</t>
        </is>
      </c>
      <c r="C315" s="0" t="inlineStr">
        <is>
          <t>NULL</t>
        </is>
      </c>
      <c r="D315" s="0" t="inlineStr">
        <is>
          <t>NULL</t>
        </is>
      </c>
      <c r="E315" s="0" t="inlineStr">
        <is>
          <t>NULL</t>
        </is>
      </c>
      <c r="F315" s="0" t="inlineStr">
        <is>
          <t>NULL</t>
        </is>
      </c>
      <c r="G315" s="0" t="inlineStr">
        <is>
          <t>NULL</t>
        </is>
      </c>
      <c r="H315" s="0" t="inlineStr">
        <is>
          <t>NULL</t>
        </is>
      </c>
      <c r="I315" s="0" t="inlineStr">
        <is>
          <t>NULL</t>
        </is>
      </c>
      <c r="J315" s="0" t="inlineStr">
        <is>
          <t>NULL</t>
        </is>
      </c>
      <c r="K315" s="0" t="inlineStr">
        <is>
          <t>YES! 	 c_nchar20列源备映射正确，源端为nchar 40位	期望更改为nchar(n)	实际备端为nchar 40位</t>
        </is>
      </c>
    </row>
    <row r="316">
      <c r="B316" s="0" t="inlineStr">
        <is>
          <t>NULL</t>
        </is>
      </c>
      <c r="C316" s="0" t="inlineStr">
        <is>
          <t>NULL</t>
        </is>
      </c>
      <c r="D316" s="0" t="inlineStr">
        <is>
          <t>NULL</t>
        </is>
      </c>
      <c r="E316" s="0" t="inlineStr">
        <is>
          <t>NULL</t>
        </is>
      </c>
      <c r="F316" s="0" t="inlineStr">
        <is>
          <t>NULL</t>
        </is>
      </c>
      <c r="G316" s="0" t="inlineStr">
        <is>
          <t>NULL</t>
        </is>
      </c>
      <c r="H316" s="0" t="inlineStr">
        <is>
          <t>NULL</t>
        </is>
      </c>
      <c r="I316" s="0" t="inlineStr">
        <is>
          <t>NULL</t>
        </is>
      </c>
      <c r="J316" s="0" t="inlineStr">
        <is>
          <t>NULL</t>
        </is>
      </c>
      <c r="K316" s="0" t="inlineStr">
        <is>
          <t>YES! 	 c_nchar3500列源备映射正确，源端为nchar 7000位	期望更改为nchar(n)	实际备端为nchar 7000位</t>
        </is>
      </c>
    </row>
    <row r="317">
      <c r="A317" s="0" t="inlineStr">
        <is>
          <t>info_varchar_dml_single_pk</t>
        </is>
      </c>
      <c r="K317" s="0" t="inlineStr">
        <is>
          <t>[0;34m info_varchar_dml_single_pk [0m源备字段数相同，源端字段：4 	备端字段4</t>
        </is>
      </c>
      <c r="W317" s="0" t="inlineStr">
        <is>
          <t>YES 源备无差异</t>
        </is>
      </c>
      <c r="X317" s="0">
        <f>A317</f>
        <v/>
      </c>
    </row>
    <row r="318">
      <c r="B318" s="0" t="inlineStr">
        <is>
          <t>YES</t>
        </is>
      </c>
      <c r="C318" s="0" t="inlineStr">
        <is>
          <t>NULL</t>
        </is>
      </c>
      <c r="D318" s="0" t="inlineStr">
        <is>
          <t>NULL</t>
        </is>
      </c>
      <c r="E318" s="0" t="inlineStr">
        <is>
          <t>NULL</t>
        </is>
      </c>
      <c r="F318" s="0" t="inlineStr">
        <is>
          <t>NULL</t>
        </is>
      </c>
      <c r="G318" s="0" t="inlineStr">
        <is>
          <t>NULL</t>
        </is>
      </c>
      <c r="H318" s="0" t="inlineStr">
        <is>
          <t>NULL</t>
        </is>
      </c>
      <c r="I318" s="0" t="inlineStr">
        <is>
          <t>YES!PK__info_var__3213E83F455A32E8</t>
        </is>
      </c>
      <c r="J318" s="0" t="inlineStr">
        <is>
          <t>YES! 主键相关索引</t>
        </is>
      </c>
      <c r="K318" s="0" t="inlineStr">
        <is>
          <t>YES! 	 id列源备映射正确，源端为int None位	期望更改为int	实际备端为int None位</t>
        </is>
      </c>
    </row>
    <row r="319">
      <c r="B319" s="0" t="inlineStr">
        <is>
          <t>NULL</t>
        </is>
      </c>
      <c r="C319" s="0" t="inlineStr">
        <is>
          <t>NULL</t>
        </is>
      </c>
      <c r="D319" s="0" t="inlineStr">
        <is>
          <t>NULL</t>
        </is>
      </c>
      <c r="E319" s="0" t="inlineStr">
        <is>
          <t>NULL</t>
        </is>
      </c>
      <c r="F319" s="0" t="inlineStr">
        <is>
          <t>NULL</t>
        </is>
      </c>
      <c r="G319" s="0" t="inlineStr">
        <is>
          <t>NULL</t>
        </is>
      </c>
      <c r="H319" s="0" t="inlineStr">
        <is>
          <t>NULL</t>
        </is>
      </c>
      <c r="I319" s="0" t="inlineStr">
        <is>
          <t>NULL</t>
        </is>
      </c>
      <c r="J319" s="0" t="inlineStr">
        <is>
          <t>NULL</t>
        </is>
      </c>
      <c r="K319" s="0" t="inlineStr">
        <is>
          <t>YES! 	 c_varchar列源备映射正确，源端为varchar 1位	期望更改为varchar(n)	实际备端为varchar 1位</t>
        </is>
      </c>
    </row>
    <row r="320">
      <c r="B320" s="0" t="inlineStr">
        <is>
          <t>NULL</t>
        </is>
      </c>
      <c r="C320" s="0" t="inlineStr">
        <is>
          <t>NULL</t>
        </is>
      </c>
      <c r="D320" s="0" t="inlineStr">
        <is>
          <t>NULL</t>
        </is>
      </c>
      <c r="E320" s="0" t="inlineStr">
        <is>
          <t>NULL</t>
        </is>
      </c>
      <c r="F320" s="0" t="inlineStr">
        <is>
          <t>NULL</t>
        </is>
      </c>
      <c r="G320" s="0" t="inlineStr">
        <is>
          <t>NULL</t>
        </is>
      </c>
      <c r="H320" s="0" t="inlineStr">
        <is>
          <t>NULL</t>
        </is>
      </c>
      <c r="I320" s="0" t="inlineStr">
        <is>
          <t>NULL</t>
        </is>
      </c>
      <c r="J320" s="0" t="inlineStr">
        <is>
          <t>NULL</t>
        </is>
      </c>
      <c r="K320" s="0" t="inlineStr">
        <is>
          <t>YES! 	 c_varchar50列源备映射正确，源端为varchar 50位	期望更改为varchar(n)	实际备端为varchar 50位</t>
        </is>
      </c>
    </row>
    <row r="321">
      <c r="B321" s="0" t="inlineStr">
        <is>
          <t>NULL</t>
        </is>
      </c>
      <c r="C321" s="0" t="inlineStr">
        <is>
          <t>NULL</t>
        </is>
      </c>
      <c r="D321" s="0" t="inlineStr">
        <is>
          <t>NULL</t>
        </is>
      </c>
      <c r="E321" s="0" t="inlineStr">
        <is>
          <t>NULL</t>
        </is>
      </c>
      <c r="F321" s="0" t="inlineStr">
        <is>
          <t>NULL</t>
        </is>
      </c>
      <c r="G321" s="0" t="inlineStr">
        <is>
          <t>NULL</t>
        </is>
      </c>
      <c r="H321" s="0" t="inlineStr">
        <is>
          <t>NULL</t>
        </is>
      </c>
      <c r="I321" s="0" t="inlineStr">
        <is>
          <t>NULL</t>
        </is>
      </c>
      <c r="J321" s="0" t="inlineStr">
        <is>
          <t>NULL</t>
        </is>
      </c>
      <c r="K321" s="0" t="inlineStr">
        <is>
          <t>YES! 	 c_varchar8000列源备映射正确，源端为varchar 8000位	期望更改为varchar(n)	实际备端为varchar 8000位</t>
        </is>
      </c>
    </row>
    <row r="322">
      <c r="A322" s="0" t="inlineStr">
        <is>
          <t>info_int_dml_single_pk_drp</t>
        </is>
      </c>
      <c r="K322" s="0" t="inlineStr">
        <is>
          <t>[0;34m info_int_dml_single_pk_drp [0m源备字段数相同，源端字段：20 	备端字段20</t>
        </is>
      </c>
      <c r="W322" s="0" t="inlineStr">
        <is>
          <t>YES 源备无差异</t>
        </is>
      </c>
      <c r="X322" s="0">
        <f>A322</f>
        <v/>
      </c>
    </row>
    <row r="323">
      <c r="B323" s="0" t="inlineStr">
        <is>
          <t>YES</t>
        </is>
      </c>
      <c r="C323" s="0" t="inlineStr">
        <is>
          <t>NULL</t>
        </is>
      </c>
      <c r="D323" s="0" t="inlineStr">
        <is>
          <t>NULL</t>
        </is>
      </c>
      <c r="E323" s="0" t="inlineStr">
        <is>
          <t>NULL</t>
        </is>
      </c>
      <c r="F323" s="0" t="inlineStr">
        <is>
          <t>NULL</t>
        </is>
      </c>
      <c r="G323" s="0" t="inlineStr">
        <is>
          <t>NULL</t>
        </is>
      </c>
      <c r="H323" s="0" t="inlineStr">
        <is>
          <t>NULL</t>
        </is>
      </c>
      <c r="I323" s="0" t="inlineStr">
        <is>
          <t>YES!PK__info_int__3213E83FD0B3ADA3</t>
        </is>
      </c>
      <c r="J323" s="0" t="inlineStr">
        <is>
          <t>YES! 主键相关索引</t>
        </is>
      </c>
      <c r="K323" s="0" t="inlineStr">
        <is>
          <t>YES! 	 id列源备映射正确，源端为int None位	期望更改为int	实际备端为int None位</t>
        </is>
      </c>
    </row>
    <row r="324">
      <c r="B324" s="0" t="inlineStr">
        <is>
          <t>NULL</t>
        </is>
      </c>
      <c r="C324" s="0" t="inlineStr">
        <is>
          <t>NULL</t>
        </is>
      </c>
      <c r="D324" s="0" t="inlineStr">
        <is>
          <t>NULL</t>
        </is>
      </c>
      <c r="E324" s="0" t="inlineStr">
        <is>
          <t>NULL</t>
        </is>
      </c>
      <c r="F324" s="0" t="inlineStr">
        <is>
          <t>NULL</t>
        </is>
      </c>
      <c r="G324" s="0" t="inlineStr">
        <is>
          <t>NULL</t>
        </is>
      </c>
      <c r="H324" s="0" t="inlineStr">
        <is>
          <t>NULL</t>
        </is>
      </c>
      <c r="I324" s="0" t="inlineStr">
        <is>
          <t>NULL</t>
        </is>
      </c>
      <c r="J324" s="0" t="inlineStr">
        <is>
          <t>NULL</t>
        </is>
      </c>
      <c r="K324" s="0" t="inlineStr">
        <is>
          <t>YES! 	 c_tinyint列源备映射正确，源端为tinyint None位	期望更改为tinyint	实际备端为tinyint None位</t>
        </is>
      </c>
    </row>
    <row r="325">
      <c r="B325" s="0" t="inlineStr">
        <is>
          <t>NULL</t>
        </is>
      </c>
      <c r="C325" s="0" t="inlineStr">
        <is>
          <t>NULL</t>
        </is>
      </c>
      <c r="D325" s="0" t="inlineStr">
        <is>
          <t>NULL</t>
        </is>
      </c>
      <c r="E325" s="0" t="inlineStr">
        <is>
          <t>NULL</t>
        </is>
      </c>
      <c r="F325" s="0" t="inlineStr">
        <is>
          <t>NULL</t>
        </is>
      </c>
      <c r="G325" s="0" t="inlineStr">
        <is>
          <t>NULL</t>
        </is>
      </c>
      <c r="H325" s="0" t="inlineStr">
        <is>
          <t>NULL</t>
        </is>
      </c>
      <c r="I325" s="0" t="inlineStr">
        <is>
          <t>NULL</t>
        </is>
      </c>
      <c r="J325" s="0" t="inlineStr">
        <is>
          <t>NULL</t>
        </is>
      </c>
      <c r="K325" s="0" t="inlineStr">
        <is>
          <t>YES! 	 c_smallint列源备映射正确，源端为smallint None位	期望更改为smallint	实际备端为smallint None位</t>
        </is>
      </c>
    </row>
    <row r="326">
      <c r="B326" s="0" t="inlineStr">
        <is>
          <t>NULL</t>
        </is>
      </c>
      <c r="C326" s="0" t="inlineStr">
        <is>
          <t>NULL</t>
        </is>
      </c>
      <c r="D326" s="0" t="inlineStr">
        <is>
          <t>NULL</t>
        </is>
      </c>
      <c r="E326" s="0" t="inlineStr">
        <is>
          <t>NULL</t>
        </is>
      </c>
      <c r="F326" s="0" t="inlineStr">
        <is>
          <t>NULL</t>
        </is>
      </c>
      <c r="G326" s="0" t="inlineStr">
        <is>
          <t>NULL</t>
        </is>
      </c>
      <c r="H326" s="0" t="inlineStr">
        <is>
          <t>NULL</t>
        </is>
      </c>
      <c r="I326" s="0" t="inlineStr">
        <is>
          <t>NULL</t>
        </is>
      </c>
      <c r="J326" s="0" t="inlineStr">
        <is>
          <t>NULL</t>
        </is>
      </c>
      <c r="K326" s="0" t="inlineStr">
        <is>
          <t>YES! 	 c_int列源备映射正确，源端为int None位	期望更改为int	实际备端为int None位</t>
        </is>
      </c>
    </row>
    <row r="327">
      <c r="B327" s="0" t="inlineStr">
        <is>
          <t>NULL</t>
        </is>
      </c>
      <c r="C327" s="0" t="inlineStr">
        <is>
          <t>NULL</t>
        </is>
      </c>
      <c r="D327" s="0" t="inlineStr">
        <is>
          <t>NULL</t>
        </is>
      </c>
      <c r="E327" s="0" t="inlineStr">
        <is>
          <t>NULL</t>
        </is>
      </c>
      <c r="F327" s="0" t="inlineStr">
        <is>
          <t>NULL</t>
        </is>
      </c>
      <c r="G327" s="0" t="inlineStr">
        <is>
          <t>NULL</t>
        </is>
      </c>
      <c r="H327" s="0" t="inlineStr">
        <is>
          <t>NULL</t>
        </is>
      </c>
      <c r="I327" s="0" t="inlineStr">
        <is>
          <t>NULL</t>
        </is>
      </c>
      <c r="J327" s="0" t="inlineStr">
        <is>
          <t>NULL</t>
        </is>
      </c>
      <c r="K327" s="0" t="inlineStr">
        <is>
          <t>YES! 	 c_bigint列源备映射正确，源端为bigint None位	期望更改为bigint	实际备端为bigint None位</t>
        </is>
      </c>
    </row>
    <row r="328">
      <c r="B328" s="0" t="inlineStr">
        <is>
          <t>NULL</t>
        </is>
      </c>
      <c r="C328" s="0" t="inlineStr">
        <is>
          <t>NULL</t>
        </is>
      </c>
      <c r="D328" s="0" t="inlineStr">
        <is>
          <t>NULL</t>
        </is>
      </c>
      <c r="E328" s="0" t="inlineStr">
        <is>
          <t>NULL</t>
        </is>
      </c>
      <c r="F328" s="0" t="inlineStr">
        <is>
          <t>NULL</t>
        </is>
      </c>
      <c r="G328" s="0" t="inlineStr">
        <is>
          <t>NULL</t>
        </is>
      </c>
      <c r="H328" s="0" t="inlineStr">
        <is>
          <t>NULL</t>
        </is>
      </c>
      <c r="I328" s="0" t="inlineStr">
        <is>
          <t>NULL</t>
        </is>
      </c>
      <c r="J328" s="0" t="inlineStr">
        <is>
          <t>NULL</t>
        </is>
      </c>
      <c r="K328" s="0" t="inlineStr">
        <is>
          <t>YES! 	 c_decimal列源备映射正确，源端为decimal None位	期望更改为decimal(p,s)	实际备端为decimal None位</t>
        </is>
      </c>
    </row>
    <row r="329">
      <c r="B329" s="0" t="inlineStr">
        <is>
          <t>NULL</t>
        </is>
      </c>
      <c r="C329" s="0" t="inlineStr">
        <is>
          <t>NULL</t>
        </is>
      </c>
      <c r="D329" s="0" t="inlineStr">
        <is>
          <t>NULL</t>
        </is>
      </c>
      <c r="E329" s="0" t="inlineStr">
        <is>
          <t>NULL</t>
        </is>
      </c>
      <c r="F329" s="0" t="inlineStr">
        <is>
          <t>NULL</t>
        </is>
      </c>
      <c r="G329" s="0" t="inlineStr">
        <is>
          <t>NULL</t>
        </is>
      </c>
      <c r="H329" s="0" t="inlineStr">
        <is>
          <t>NULL</t>
        </is>
      </c>
      <c r="I329" s="0" t="inlineStr">
        <is>
          <t>NULL</t>
        </is>
      </c>
      <c r="J329" s="0" t="inlineStr">
        <is>
          <t>NULL</t>
        </is>
      </c>
      <c r="K329" s="0" t="inlineStr">
        <is>
          <t>YES! 	 c_decimal38列源备映射正确，源端为decimal None位	期望更改为decimal(p,s)	实际备端为decimal None位</t>
        </is>
      </c>
    </row>
    <row r="330">
      <c r="B330" s="0" t="inlineStr">
        <is>
          <t>NULL</t>
        </is>
      </c>
      <c r="C330" s="0" t="inlineStr">
        <is>
          <t>NULL</t>
        </is>
      </c>
      <c r="D330" s="0" t="inlineStr">
        <is>
          <t>NULL</t>
        </is>
      </c>
      <c r="E330" s="0" t="inlineStr">
        <is>
          <t>NULL</t>
        </is>
      </c>
      <c r="F330" s="0" t="inlineStr">
        <is>
          <t>NULL</t>
        </is>
      </c>
      <c r="G330" s="0" t="inlineStr">
        <is>
          <t>NULL</t>
        </is>
      </c>
      <c r="H330" s="0" t="inlineStr">
        <is>
          <t>NULL</t>
        </is>
      </c>
      <c r="I330" s="0" t="inlineStr">
        <is>
          <t>NULL</t>
        </is>
      </c>
      <c r="J330" s="0" t="inlineStr">
        <is>
          <t>NULL</t>
        </is>
      </c>
      <c r="K330" s="0" t="inlineStr">
        <is>
          <t>YES! 	 c_decimal38_38列源备映射正确，源端为decimal None位	期望更改为decimal(p,s)	实际备端为decimal None位</t>
        </is>
      </c>
    </row>
    <row r="331">
      <c r="B331" s="0" t="inlineStr">
        <is>
          <t>NULL</t>
        </is>
      </c>
      <c r="C331" s="0" t="inlineStr">
        <is>
          <t>NULL</t>
        </is>
      </c>
      <c r="D331" s="0" t="inlineStr">
        <is>
          <t>NULL</t>
        </is>
      </c>
      <c r="E331" s="0" t="inlineStr">
        <is>
          <t>NULL</t>
        </is>
      </c>
      <c r="F331" s="0" t="inlineStr">
        <is>
          <t>NULL</t>
        </is>
      </c>
      <c r="G331" s="0" t="inlineStr">
        <is>
          <t>NULL</t>
        </is>
      </c>
      <c r="H331" s="0" t="inlineStr">
        <is>
          <t>NULL</t>
        </is>
      </c>
      <c r="I331" s="0" t="inlineStr">
        <is>
          <t>NULL</t>
        </is>
      </c>
      <c r="J331" s="0" t="inlineStr">
        <is>
          <t>NULL</t>
        </is>
      </c>
      <c r="K331" s="0" t="inlineStr">
        <is>
          <t>YES! 	 c_decimal38_10列源备映射正确，源端为decimal None位	期望更改为decimal(p,s)	实际备端为decimal None位</t>
        </is>
      </c>
    </row>
    <row r="332">
      <c r="B332" s="0" t="inlineStr">
        <is>
          <t>NULL</t>
        </is>
      </c>
      <c r="C332" s="0" t="inlineStr">
        <is>
          <t>NULL</t>
        </is>
      </c>
      <c r="D332" s="0" t="inlineStr">
        <is>
          <t>NULL</t>
        </is>
      </c>
      <c r="E332" s="0" t="inlineStr">
        <is>
          <t>NULL</t>
        </is>
      </c>
      <c r="F332" s="0" t="inlineStr">
        <is>
          <t>NULL</t>
        </is>
      </c>
      <c r="G332" s="0" t="inlineStr">
        <is>
          <t>NULL</t>
        </is>
      </c>
      <c r="H332" s="0" t="inlineStr">
        <is>
          <t>NULL</t>
        </is>
      </c>
      <c r="I332" s="0" t="inlineStr">
        <is>
          <t>NULL</t>
        </is>
      </c>
      <c r="J332" s="0" t="inlineStr">
        <is>
          <t>NULL</t>
        </is>
      </c>
      <c r="K332" s="0" t="inlineStr">
        <is>
          <t>YES! 	 c_decimal19_4列源备映射正确，源端为decimal None位	期望更改为decimal(p,s)	实际备端为decimal None位</t>
        </is>
      </c>
    </row>
    <row r="333">
      <c r="B333" s="0" t="inlineStr">
        <is>
          <t>NULL</t>
        </is>
      </c>
      <c r="C333" s="0" t="inlineStr">
        <is>
          <t>NULL</t>
        </is>
      </c>
      <c r="D333" s="0" t="inlineStr">
        <is>
          <t>NULL</t>
        </is>
      </c>
      <c r="E333" s="0" t="inlineStr">
        <is>
          <t>NULL</t>
        </is>
      </c>
      <c r="F333" s="0" t="inlineStr">
        <is>
          <t>NULL</t>
        </is>
      </c>
      <c r="G333" s="0" t="inlineStr">
        <is>
          <t>NULL</t>
        </is>
      </c>
      <c r="H333" s="0" t="inlineStr">
        <is>
          <t>NULL</t>
        </is>
      </c>
      <c r="I333" s="0" t="inlineStr">
        <is>
          <t>NULL</t>
        </is>
      </c>
      <c r="J333" s="0" t="inlineStr">
        <is>
          <t>NULL</t>
        </is>
      </c>
      <c r="K333" s="0" t="inlineStr">
        <is>
          <t>YES! 	 c_numeric列源备映射正确，源端为numeric None位	期望更改为numeric(p,s)	实际备端为numeric None位</t>
        </is>
      </c>
    </row>
    <row r="334">
      <c r="B334" s="0" t="inlineStr">
        <is>
          <t>NULL</t>
        </is>
      </c>
      <c r="C334" s="0" t="inlineStr">
        <is>
          <t>NULL</t>
        </is>
      </c>
      <c r="D334" s="0" t="inlineStr">
        <is>
          <t>NULL</t>
        </is>
      </c>
      <c r="E334" s="0" t="inlineStr">
        <is>
          <t>NULL</t>
        </is>
      </c>
      <c r="F334" s="0" t="inlineStr">
        <is>
          <t>NULL</t>
        </is>
      </c>
      <c r="G334" s="0" t="inlineStr">
        <is>
          <t>NULL</t>
        </is>
      </c>
      <c r="H334" s="0" t="inlineStr">
        <is>
          <t>NULL</t>
        </is>
      </c>
      <c r="I334" s="0" t="inlineStr">
        <is>
          <t>NULL</t>
        </is>
      </c>
      <c r="J334" s="0" t="inlineStr">
        <is>
          <t>NULL</t>
        </is>
      </c>
      <c r="K334" s="0" t="inlineStr">
        <is>
          <t>YES! 	 c_numeric38列源备映射正确，源端为numeric None位	期望更改为numeric(p,s)	实际备端为numeric None位</t>
        </is>
      </c>
    </row>
    <row r="335">
      <c r="B335" s="0" t="inlineStr">
        <is>
          <t>NULL</t>
        </is>
      </c>
      <c r="C335" s="0" t="inlineStr">
        <is>
          <t>NULL</t>
        </is>
      </c>
      <c r="D335" s="0" t="inlineStr">
        <is>
          <t>NULL</t>
        </is>
      </c>
      <c r="E335" s="0" t="inlineStr">
        <is>
          <t>NULL</t>
        </is>
      </c>
      <c r="F335" s="0" t="inlineStr">
        <is>
          <t>NULL</t>
        </is>
      </c>
      <c r="G335" s="0" t="inlineStr">
        <is>
          <t>NULL</t>
        </is>
      </c>
      <c r="H335" s="0" t="inlineStr">
        <is>
          <t>NULL</t>
        </is>
      </c>
      <c r="I335" s="0" t="inlineStr">
        <is>
          <t>NULL</t>
        </is>
      </c>
      <c r="J335" s="0" t="inlineStr">
        <is>
          <t>NULL</t>
        </is>
      </c>
      <c r="K335" s="0" t="inlineStr">
        <is>
          <t>YES! 	 c_numeric38_38列源备映射正确，源端为numeric None位	期望更改为numeric(p,s)	实际备端为numeric None位</t>
        </is>
      </c>
    </row>
    <row r="336">
      <c r="B336" s="0" t="inlineStr">
        <is>
          <t>NULL</t>
        </is>
      </c>
      <c r="C336" s="0" t="inlineStr">
        <is>
          <t>NULL</t>
        </is>
      </c>
      <c r="D336" s="0" t="inlineStr">
        <is>
          <t>NULL</t>
        </is>
      </c>
      <c r="E336" s="0" t="inlineStr">
        <is>
          <t>NULL</t>
        </is>
      </c>
      <c r="F336" s="0" t="inlineStr">
        <is>
          <t>NULL</t>
        </is>
      </c>
      <c r="G336" s="0" t="inlineStr">
        <is>
          <t>NULL</t>
        </is>
      </c>
      <c r="H336" s="0" t="inlineStr">
        <is>
          <t>NULL</t>
        </is>
      </c>
      <c r="I336" s="0" t="inlineStr">
        <is>
          <t>NULL</t>
        </is>
      </c>
      <c r="J336" s="0" t="inlineStr">
        <is>
          <t>NULL</t>
        </is>
      </c>
      <c r="K336" s="0" t="inlineStr">
        <is>
          <t>YES! 	 c_numeric38_10列源备映射正确，源端为numeric None位	期望更改为numeric(p,s)	实际备端为numeric None位</t>
        </is>
      </c>
    </row>
    <row r="337">
      <c r="B337" s="0" t="inlineStr">
        <is>
          <t>NULL</t>
        </is>
      </c>
      <c r="C337" s="0" t="inlineStr">
        <is>
          <t>NULL</t>
        </is>
      </c>
      <c r="D337" s="0" t="inlineStr">
        <is>
          <t>NULL</t>
        </is>
      </c>
      <c r="E337" s="0" t="inlineStr">
        <is>
          <t>NULL</t>
        </is>
      </c>
      <c r="F337" s="0" t="inlineStr">
        <is>
          <t>NULL</t>
        </is>
      </c>
      <c r="G337" s="0" t="inlineStr">
        <is>
          <t>NULL</t>
        </is>
      </c>
      <c r="H337" s="0" t="inlineStr">
        <is>
          <t>NULL</t>
        </is>
      </c>
      <c r="I337" s="0" t="inlineStr">
        <is>
          <t>NULL</t>
        </is>
      </c>
      <c r="J337" s="0" t="inlineStr">
        <is>
          <t>NULL</t>
        </is>
      </c>
      <c r="K337" s="0" t="inlineStr">
        <is>
          <t>YES! 	 c_numeric18_2列源备映射正确，源端为numeric None位	期望更改为numeric(p,s)	实际备端为numeric None位</t>
        </is>
      </c>
    </row>
    <row r="338">
      <c r="B338" s="0" t="inlineStr">
        <is>
          <t>NULL</t>
        </is>
      </c>
      <c r="C338" s="0" t="inlineStr">
        <is>
          <t>NULL</t>
        </is>
      </c>
      <c r="D338" s="0" t="inlineStr">
        <is>
          <t>NULL</t>
        </is>
      </c>
      <c r="E338" s="0" t="inlineStr">
        <is>
          <t>NULL</t>
        </is>
      </c>
      <c r="F338" s="0" t="inlineStr">
        <is>
          <t>NULL</t>
        </is>
      </c>
      <c r="G338" s="0" t="inlineStr">
        <is>
          <t>NULL</t>
        </is>
      </c>
      <c r="H338" s="0" t="inlineStr">
        <is>
          <t>NULL</t>
        </is>
      </c>
      <c r="I338" s="0" t="inlineStr">
        <is>
          <t>NULL</t>
        </is>
      </c>
      <c r="J338" s="0" t="inlineStr">
        <is>
          <t>NULL</t>
        </is>
      </c>
      <c r="K338" s="0" t="inlineStr">
        <is>
          <t>YES! 	 c_float列源备映射正确，源端为float None位	期望更改为float	实际备端为float None位</t>
        </is>
      </c>
    </row>
    <row r="339">
      <c r="B339" s="0" t="inlineStr">
        <is>
          <t>NULL</t>
        </is>
      </c>
      <c r="C339" s="0" t="inlineStr">
        <is>
          <t>NULL</t>
        </is>
      </c>
      <c r="D339" s="0" t="inlineStr">
        <is>
          <t>NULL</t>
        </is>
      </c>
      <c r="E339" s="0" t="inlineStr">
        <is>
          <t>NULL</t>
        </is>
      </c>
      <c r="F339" s="0" t="inlineStr">
        <is>
          <t>NULL</t>
        </is>
      </c>
      <c r="G339" s="0" t="inlineStr">
        <is>
          <t>NULL</t>
        </is>
      </c>
      <c r="H339" s="0" t="inlineStr">
        <is>
          <t>NULL</t>
        </is>
      </c>
      <c r="I339" s="0" t="inlineStr">
        <is>
          <t>NULL</t>
        </is>
      </c>
      <c r="J339" s="0" t="inlineStr">
        <is>
          <t>NULL</t>
        </is>
      </c>
      <c r="K339" s="0" t="inlineStr">
        <is>
          <t>YES! 	 c_real列源备映射正确，源端为real None位	期望更改为real	实际备端为real None位</t>
        </is>
      </c>
    </row>
    <row r="340">
      <c r="B340" s="0" t="inlineStr">
        <is>
          <t>NULL</t>
        </is>
      </c>
      <c r="C340" s="0" t="inlineStr">
        <is>
          <t>NULL</t>
        </is>
      </c>
      <c r="D340" s="0" t="inlineStr">
        <is>
          <t>NULL</t>
        </is>
      </c>
      <c r="E340" s="0" t="inlineStr">
        <is>
          <t>NULL</t>
        </is>
      </c>
      <c r="F340" s="0" t="inlineStr">
        <is>
          <t>NULL</t>
        </is>
      </c>
      <c r="G340" s="0" t="inlineStr">
        <is>
          <t>NULL</t>
        </is>
      </c>
      <c r="H340" s="0" t="inlineStr">
        <is>
          <t>NULL</t>
        </is>
      </c>
      <c r="I340" s="0" t="inlineStr">
        <is>
          <t>NULL</t>
        </is>
      </c>
      <c r="J340" s="0" t="inlineStr">
        <is>
          <t>NULL</t>
        </is>
      </c>
      <c r="K340" s="0" t="inlineStr">
        <is>
          <t>YES! 	 c_money列源备映射正确，源端为money None位	期望更改为money	实际备端为money None位</t>
        </is>
      </c>
    </row>
    <row r="341">
      <c r="B341" s="0" t="inlineStr">
        <is>
          <t>NULL</t>
        </is>
      </c>
      <c r="C341" s="0" t="inlineStr">
        <is>
          <t>NULL</t>
        </is>
      </c>
      <c r="D341" s="0" t="inlineStr">
        <is>
          <t>NULL</t>
        </is>
      </c>
      <c r="E341" s="0" t="inlineStr">
        <is>
          <t>NULL</t>
        </is>
      </c>
      <c r="F341" s="0" t="inlineStr">
        <is>
          <t>NULL</t>
        </is>
      </c>
      <c r="G341" s="0" t="inlineStr">
        <is>
          <t>NULL</t>
        </is>
      </c>
      <c r="H341" s="0" t="inlineStr">
        <is>
          <t>NULL</t>
        </is>
      </c>
      <c r="I341" s="0" t="inlineStr">
        <is>
          <t>NULL</t>
        </is>
      </c>
      <c r="J341" s="0" t="inlineStr">
        <is>
          <t>NULL</t>
        </is>
      </c>
      <c r="K341" s="0" t="inlineStr">
        <is>
          <t>YES! 	 c_smallmoney列源备映射正确，源端为smallmoney None位	期望更改为smallmoney	实际备端为smallmoney None位</t>
        </is>
      </c>
    </row>
    <row r="342">
      <c r="B342" s="0" t="inlineStr">
        <is>
          <t>NULL</t>
        </is>
      </c>
      <c r="C342" s="0" t="inlineStr">
        <is>
          <t>NULL</t>
        </is>
      </c>
      <c r="D342" s="0" t="inlineStr">
        <is>
          <t>NULL</t>
        </is>
      </c>
      <c r="E342" s="0" t="inlineStr">
        <is>
          <t>NULL</t>
        </is>
      </c>
      <c r="F342" s="0" t="inlineStr">
        <is>
          <t>NULL</t>
        </is>
      </c>
      <c r="G342" s="0" t="inlineStr">
        <is>
          <t>NULL</t>
        </is>
      </c>
      <c r="H342" s="0" t="inlineStr">
        <is>
          <t>NULL</t>
        </is>
      </c>
      <c r="I342" s="0" t="inlineStr">
        <is>
          <t>NULL</t>
        </is>
      </c>
      <c r="J342" s="0" t="inlineStr">
        <is>
          <t>NULL</t>
        </is>
      </c>
      <c r="K342" s="0" t="inlineStr">
        <is>
          <t>YES! 	 c_bit列源备映射正确，源端为bit None位	期望更改为bit	实际备端为bit None位</t>
        </is>
      </c>
    </row>
    <row r="343">
      <c r="A343" s="0" t="inlineStr">
        <is>
          <t>info_sdt_dml_batch1_pk_urp1</t>
        </is>
      </c>
      <c r="K343" s="0" t="inlineStr">
        <is>
          <t>[0;34m info_sdt_dml_batch1_pk_urp1 [0m源备字段数相同，源端字段：2 	备端字段2</t>
        </is>
      </c>
      <c r="W343" s="0" t="inlineStr">
        <is>
          <t>YES 源备无差异</t>
        </is>
      </c>
      <c r="X343" s="0">
        <f>A343</f>
        <v/>
      </c>
    </row>
    <row r="344">
      <c r="B344" s="0" t="inlineStr">
        <is>
          <t>YES</t>
        </is>
      </c>
      <c r="C344" s="0" t="inlineStr">
        <is>
          <t>NULL</t>
        </is>
      </c>
      <c r="D344" s="0" t="inlineStr">
        <is>
          <t>NULL</t>
        </is>
      </c>
      <c r="E344" s="0" t="inlineStr">
        <is>
          <t>NULL</t>
        </is>
      </c>
      <c r="F344" s="0" t="inlineStr">
        <is>
          <t>NULL</t>
        </is>
      </c>
      <c r="G344" s="0" t="inlineStr">
        <is>
          <t>NULL</t>
        </is>
      </c>
      <c r="H344" s="0" t="inlineStr">
        <is>
          <t>NULL</t>
        </is>
      </c>
      <c r="I344" s="0" t="inlineStr">
        <is>
          <t>YES!PK__info_sdt__3213E83FC4043C95</t>
        </is>
      </c>
      <c r="J344" s="0" t="inlineStr">
        <is>
          <t>YES! 主键相关索引</t>
        </is>
      </c>
      <c r="K344" s="0" t="inlineStr">
        <is>
          <t>YES! 	 id列源备映射正确，源端为int None位	期望更改为int	实际备端为int None位</t>
        </is>
      </c>
    </row>
    <row r="345">
      <c r="B345" s="0" t="inlineStr">
        <is>
          <t>NULL</t>
        </is>
      </c>
      <c r="C345" s="0" t="inlineStr">
        <is>
          <t>NULL</t>
        </is>
      </c>
      <c r="D345" s="0" t="inlineStr">
        <is>
          <t>NULL</t>
        </is>
      </c>
      <c r="E345" s="0" t="inlineStr">
        <is>
          <t>NULL</t>
        </is>
      </c>
      <c r="F345" s="0" t="inlineStr">
        <is>
          <t>NULL</t>
        </is>
      </c>
      <c r="G345" s="0" t="inlineStr">
        <is>
          <t>NULL</t>
        </is>
      </c>
      <c r="H345" s="0" t="inlineStr">
        <is>
          <t>NULL</t>
        </is>
      </c>
      <c r="I345" s="0" t="inlineStr">
        <is>
          <t>NULL</t>
        </is>
      </c>
      <c r="J345" s="0" t="inlineStr">
        <is>
          <t>NULL</t>
        </is>
      </c>
      <c r="K345" s="0" t="inlineStr">
        <is>
          <t>YES! 	 c_sdt列源备映射正确，源端为smalldatetime None位	期望更改为smalldatetime	实际备端为smalldatetime None位</t>
        </is>
      </c>
    </row>
    <row r="346">
      <c r="A346" s="0" t="inlineStr">
        <is>
          <t>info_nchar_dml_single_nopk_drp</t>
        </is>
      </c>
      <c r="K346" s="0" t="inlineStr">
        <is>
          <t>[0;34m info_nchar_dml_single_nopk_drp [0m源备字段数相同，源端字段：4 	备端字段4</t>
        </is>
      </c>
      <c r="W346" s="0" t="inlineStr">
        <is>
          <t>YES 源备无差异</t>
        </is>
      </c>
      <c r="X346" s="0">
        <f>A346</f>
        <v/>
      </c>
    </row>
    <row r="347">
      <c r="B347" s="0" t="inlineStr">
        <is>
          <t>NULL</t>
        </is>
      </c>
      <c r="C347" s="0" t="inlineStr">
        <is>
          <t>NULL</t>
        </is>
      </c>
      <c r="D347" s="0" t="inlineStr">
        <is>
          <t>NULL</t>
        </is>
      </c>
      <c r="E347" s="0" t="inlineStr">
        <is>
          <t>NULL</t>
        </is>
      </c>
      <c r="F347" s="0" t="inlineStr">
        <is>
          <t>NULL</t>
        </is>
      </c>
      <c r="G347" s="0" t="inlineStr">
        <is>
          <t>NULL</t>
        </is>
      </c>
      <c r="H347" s="0" t="inlineStr">
        <is>
          <t>NULL</t>
        </is>
      </c>
      <c r="I347" s="0" t="inlineStr">
        <is>
          <t>NULL</t>
        </is>
      </c>
      <c r="J347" s="0" t="inlineStr">
        <is>
          <t>NULL</t>
        </is>
      </c>
      <c r="K347" s="0" t="inlineStr">
        <is>
          <t>YES! 	 id列源备映射正确，源端为int None位	期望更改为int	实际备端为int None位</t>
        </is>
      </c>
    </row>
    <row r="348">
      <c r="B348" s="0" t="inlineStr">
        <is>
          <t>NULL</t>
        </is>
      </c>
      <c r="C348" s="0" t="inlineStr">
        <is>
          <t>NULL</t>
        </is>
      </c>
      <c r="D348" s="0" t="inlineStr">
        <is>
          <t>NULL</t>
        </is>
      </c>
      <c r="E348" s="0" t="inlineStr">
        <is>
          <t>NULL</t>
        </is>
      </c>
      <c r="F348" s="0" t="inlineStr">
        <is>
          <t>NULL</t>
        </is>
      </c>
      <c r="G348" s="0" t="inlineStr">
        <is>
          <t>NULL</t>
        </is>
      </c>
      <c r="H348" s="0" t="inlineStr">
        <is>
          <t>NULL</t>
        </is>
      </c>
      <c r="I348" s="0" t="inlineStr">
        <is>
          <t>NULL</t>
        </is>
      </c>
      <c r="J348" s="0" t="inlineStr">
        <is>
          <t>NULL</t>
        </is>
      </c>
      <c r="K348" s="0" t="inlineStr">
        <is>
          <t>YES! 	 c_nchar列源备映射正确，源端为nchar 2位	期望更改为nchar(n)	实际备端为nchar 2位</t>
        </is>
      </c>
    </row>
    <row r="349">
      <c r="B349" s="0" t="inlineStr">
        <is>
          <t>NULL</t>
        </is>
      </c>
      <c r="C349" s="0" t="inlineStr">
        <is>
          <t>NULL</t>
        </is>
      </c>
      <c r="D349" s="0" t="inlineStr">
        <is>
          <t>NULL</t>
        </is>
      </c>
      <c r="E349" s="0" t="inlineStr">
        <is>
          <t>NULL</t>
        </is>
      </c>
      <c r="F349" s="0" t="inlineStr">
        <is>
          <t>NULL</t>
        </is>
      </c>
      <c r="G349" s="0" t="inlineStr">
        <is>
          <t>NULL</t>
        </is>
      </c>
      <c r="H349" s="0" t="inlineStr">
        <is>
          <t>NULL</t>
        </is>
      </c>
      <c r="I349" s="0" t="inlineStr">
        <is>
          <t>NULL</t>
        </is>
      </c>
      <c r="J349" s="0" t="inlineStr">
        <is>
          <t>NULL</t>
        </is>
      </c>
      <c r="K349" s="0" t="inlineStr">
        <is>
          <t>YES! 	 c_nchar20列源备映射正确，源端为nchar 40位	期望更改为nchar(n)	实际备端为nchar 40位</t>
        </is>
      </c>
    </row>
    <row r="350">
      <c r="B350" s="0" t="inlineStr">
        <is>
          <t>NULL</t>
        </is>
      </c>
      <c r="C350" s="0" t="inlineStr">
        <is>
          <t>NULL</t>
        </is>
      </c>
      <c r="D350" s="0" t="inlineStr">
        <is>
          <t>NULL</t>
        </is>
      </c>
      <c r="E350" s="0" t="inlineStr">
        <is>
          <t>NULL</t>
        </is>
      </c>
      <c r="F350" s="0" t="inlineStr">
        <is>
          <t>NULL</t>
        </is>
      </c>
      <c r="G350" s="0" t="inlineStr">
        <is>
          <t>NULL</t>
        </is>
      </c>
      <c r="H350" s="0" t="inlineStr">
        <is>
          <t>NULL</t>
        </is>
      </c>
      <c r="I350" s="0" t="inlineStr">
        <is>
          <t>NULL</t>
        </is>
      </c>
      <c r="J350" s="0" t="inlineStr">
        <is>
          <t>NULL</t>
        </is>
      </c>
      <c r="K350" s="0" t="inlineStr">
        <is>
          <t>YES! 	 c_nchar3500列源备映射正确，源端为nchar 7000位	期望更改为nchar(n)	实际备端为nchar 7000位</t>
        </is>
      </c>
    </row>
    <row r="351">
      <c r="A351" s="0" t="inlineStr">
        <is>
          <t>info_nchar_dml_single_pk_irp</t>
        </is>
      </c>
      <c r="K351" s="0" t="inlineStr">
        <is>
          <t>[0;34m info_nchar_dml_single_pk_irp [0m源备字段数相同，源端字段：4 	备端字段4</t>
        </is>
      </c>
      <c r="W351" s="0" t="inlineStr">
        <is>
          <t>YES 源备无差异</t>
        </is>
      </c>
      <c r="X351" s="0">
        <f>A351</f>
        <v/>
      </c>
    </row>
    <row r="352">
      <c r="B352" s="0" t="inlineStr">
        <is>
          <t>YES</t>
        </is>
      </c>
      <c r="C352" s="0" t="inlineStr">
        <is>
          <t>NULL</t>
        </is>
      </c>
      <c r="D352" s="0" t="inlineStr">
        <is>
          <t>NULL</t>
        </is>
      </c>
      <c r="E352" s="0" t="inlineStr">
        <is>
          <t>NULL</t>
        </is>
      </c>
      <c r="F352" s="0" t="inlineStr">
        <is>
          <t>NULL</t>
        </is>
      </c>
      <c r="G352" s="0" t="inlineStr">
        <is>
          <t>NULL</t>
        </is>
      </c>
      <c r="H352" s="0" t="inlineStr">
        <is>
          <t>NULL</t>
        </is>
      </c>
      <c r="I352" s="0" t="inlineStr">
        <is>
          <t>YES!PK__info_nch__3213E83F5EB3C382</t>
        </is>
      </c>
      <c r="J352" s="0" t="inlineStr">
        <is>
          <t>YES! 主键相关索引</t>
        </is>
      </c>
      <c r="K352" s="0" t="inlineStr">
        <is>
          <t>YES! 	 id列源备映射正确，源端为int None位	期望更改为int	实际备端为int None位</t>
        </is>
      </c>
    </row>
    <row r="353">
      <c r="B353" s="0" t="inlineStr">
        <is>
          <t>NULL</t>
        </is>
      </c>
      <c r="C353" s="0" t="inlineStr">
        <is>
          <t>NULL</t>
        </is>
      </c>
      <c r="D353" s="0" t="inlineStr">
        <is>
          <t>NULL</t>
        </is>
      </c>
      <c r="E353" s="0" t="inlineStr">
        <is>
          <t>NULL</t>
        </is>
      </c>
      <c r="F353" s="0" t="inlineStr">
        <is>
          <t>NULL</t>
        </is>
      </c>
      <c r="G353" s="0" t="inlineStr">
        <is>
          <t>NULL</t>
        </is>
      </c>
      <c r="H353" s="0" t="inlineStr">
        <is>
          <t>NULL</t>
        </is>
      </c>
      <c r="I353" s="0" t="inlineStr">
        <is>
          <t>NULL</t>
        </is>
      </c>
      <c r="J353" s="0" t="inlineStr">
        <is>
          <t>NULL</t>
        </is>
      </c>
      <c r="K353" s="0" t="inlineStr">
        <is>
          <t>YES! 	 c_nchar列源备映射正确，源端为nchar 2位	期望更改为nchar(n)	实际备端为nchar 2位</t>
        </is>
      </c>
    </row>
    <row r="354">
      <c r="B354" s="0" t="inlineStr">
        <is>
          <t>NULL</t>
        </is>
      </c>
      <c r="C354" s="0" t="inlineStr">
        <is>
          <t>NULL</t>
        </is>
      </c>
      <c r="D354" s="0" t="inlineStr">
        <is>
          <t>NULL</t>
        </is>
      </c>
      <c r="E354" s="0" t="inlineStr">
        <is>
          <t>NULL</t>
        </is>
      </c>
      <c r="F354" s="0" t="inlineStr">
        <is>
          <t>NULL</t>
        </is>
      </c>
      <c r="G354" s="0" t="inlineStr">
        <is>
          <t>NULL</t>
        </is>
      </c>
      <c r="H354" s="0" t="inlineStr">
        <is>
          <t>NULL</t>
        </is>
      </c>
      <c r="I354" s="0" t="inlineStr">
        <is>
          <t>NULL</t>
        </is>
      </c>
      <c r="J354" s="0" t="inlineStr">
        <is>
          <t>NULL</t>
        </is>
      </c>
      <c r="K354" s="0" t="inlineStr">
        <is>
          <t>YES! 	 c_nchar20列源备映射正确，源端为nchar 40位	期望更改为nchar(n)	实际备端为nchar 40位</t>
        </is>
      </c>
    </row>
    <row r="355">
      <c r="B355" s="0" t="inlineStr">
        <is>
          <t>NULL</t>
        </is>
      </c>
      <c r="C355" s="0" t="inlineStr">
        <is>
          <t>NULL</t>
        </is>
      </c>
      <c r="D355" s="0" t="inlineStr">
        <is>
          <t>NULL</t>
        </is>
      </c>
      <c r="E355" s="0" t="inlineStr">
        <is>
          <t>NULL</t>
        </is>
      </c>
      <c r="F355" s="0" t="inlineStr">
        <is>
          <t>NULL</t>
        </is>
      </c>
      <c r="G355" s="0" t="inlineStr">
        <is>
          <t>NULL</t>
        </is>
      </c>
      <c r="H355" s="0" t="inlineStr">
        <is>
          <t>NULL</t>
        </is>
      </c>
      <c r="I355" s="0" t="inlineStr">
        <is>
          <t>NULL</t>
        </is>
      </c>
      <c r="J355" s="0" t="inlineStr">
        <is>
          <t>NULL</t>
        </is>
      </c>
      <c r="K355" s="0" t="inlineStr">
        <is>
          <t>YES! 	 c_nchar4000列源备映射正确，源端为nchar 8000位	期望更改为nchar(n)	实际备端为nchar 8000位</t>
        </is>
      </c>
    </row>
    <row r="356">
      <c r="A356" s="0" t="inlineStr">
        <is>
          <t>info_int_dml_single_pk</t>
        </is>
      </c>
      <c r="K356" s="0" t="inlineStr">
        <is>
          <t>[0;34m info_int_dml_single_pk [0m源备字段数相同，源端字段：20 	备端字段20</t>
        </is>
      </c>
      <c r="W356" s="0" t="inlineStr">
        <is>
          <t>YES 源备无差异</t>
        </is>
      </c>
      <c r="X356" s="0">
        <f>A356</f>
        <v/>
      </c>
    </row>
    <row r="357">
      <c r="B357" s="0" t="inlineStr">
        <is>
          <t>YES</t>
        </is>
      </c>
      <c r="C357" s="0" t="inlineStr">
        <is>
          <t>NULL</t>
        </is>
      </c>
      <c r="D357" s="0" t="inlineStr">
        <is>
          <t>NULL</t>
        </is>
      </c>
      <c r="E357" s="0" t="inlineStr">
        <is>
          <t>NULL</t>
        </is>
      </c>
      <c r="F357" s="0" t="inlineStr">
        <is>
          <t>NULL</t>
        </is>
      </c>
      <c r="G357" s="0" t="inlineStr">
        <is>
          <t>NULL</t>
        </is>
      </c>
      <c r="H357" s="0" t="inlineStr">
        <is>
          <t>NULL</t>
        </is>
      </c>
      <c r="I357" s="0" t="inlineStr">
        <is>
          <t>YES!PK__info_int__3213E83F5D7987FF</t>
        </is>
      </c>
      <c r="J357" s="0" t="inlineStr">
        <is>
          <t>YES! 主键相关索引</t>
        </is>
      </c>
      <c r="K357" s="0" t="inlineStr">
        <is>
          <t>YES! 	 id列源备映射正确，源端为int None位	期望更改为int	实际备端为int None位</t>
        </is>
      </c>
    </row>
    <row r="358">
      <c r="B358" s="0" t="inlineStr">
        <is>
          <t>NULL</t>
        </is>
      </c>
      <c r="C358" s="0" t="inlineStr">
        <is>
          <t>NULL</t>
        </is>
      </c>
      <c r="D358" s="0" t="inlineStr">
        <is>
          <t>NULL</t>
        </is>
      </c>
      <c r="E358" s="0" t="inlineStr">
        <is>
          <t>NULL</t>
        </is>
      </c>
      <c r="F358" s="0" t="inlineStr">
        <is>
          <t>NULL</t>
        </is>
      </c>
      <c r="G358" s="0" t="inlineStr">
        <is>
          <t>NULL</t>
        </is>
      </c>
      <c r="H358" s="0" t="inlineStr">
        <is>
          <t>NULL</t>
        </is>
      </c>
      <c r="I358" s="0" t="inlineStr">
        <is>
          <t>NULL</t>
        </is>
      </c>
      <c r="J358" s="0" t="inlineStr">
        <is>
          <t>NULL</t>
        </is>
      </c>
      <c r="K358" s="0" t="inlineStr">
        <is>
          <t>YES! 	 c_tinyint列源备映射正确，源端为tinyint None位	期望更改为tinyint	实际备端为tinyint None位</t>
        </is>
      </c>
    </row>
    <row r="359">
      <c r="B359" s="0" t="inlineStr">
        <is>
          <t>NULL</t>
        </is>
      </c>
      <c r="C359" s="0" t="inlineStr">
        <is>
          <t>NULL</t>
        </is>
      </c>
      <c r="D359" s="0" t="inlineStr">
        <is>
          <t>NULL</t>
        </is>
      </c>
      <c r="E359" s="0" t="inlineStr">
        <is>
          <t>NULL</t>
        </is>
      </c>
      <c r="F359" s="0" t="inlineStr">
        <is>
          <t>NULL</t>
        </is>
      </c>
      <c r="G359" s="0" t="inlineStr">
        <is>
          <t>NULL</t>
        </is>
      </c>
      <c r="H359" s="0" t="inlineStr">
        <is>
          <t>NULL</t>
        </is>
      </c>
      <c r="I359" s="0" t="inlineStr">
        <is>
          <t>NULL</t>
        </is>
      </c>
      <c r="J359" s="0" t="inlineStr">
        <is>
          <t>NULL</t>
        </is>
      </c>
      <c r="K359" s="0" t="inlineStr">
        <is>
          <t>YES! 	 c_smallint列源备映射正确，源端为smallint None位	期望更改为smallint	实际备端为smallint None位</t>
        </is>
      </c>
    </row>
    <row r="360">
      <c r="B360" s="0" t="inlineStr">
        <is>
          <t>NULL</t>
        </is>
      </c>
      <c r="C360" s="0" t="inlineStr">
        <is>
          <t>NULL</t>
        </is>
      </c>
      <c r="D360" s="0" t="inlineStr">
        <is>
          <t>NULL</t>
        </is>
      </c>
      <c r="E360" s="0" t="inlineStr">
        <is>
          <t>NULL</t>
        </is>
      </c>
      <c r="F360" s="0" t="inlineStr">
        <is>
          <t>NULL</t>
        </is>
      </c>
      <c r="G360" s="0" t="inlineStr">
        <is>
          <t>NULL</t>
        </is>
      </c>
      <c r="H360" s="0" t="inlineStr">
        <is>
          <t>NULL</t>
        </is>
      </c>
      <c r="I360" s="0" t="inlineStr">
        <is>
          <t>NULL</t>
        </is>
      </c>
      <c r="J360" s="0" t="inlineStr">
        <is>
          <t>NULL</t>
        </is>
      </c>
      <c r="K360" s="0" t="inlineStr">
        <is>
          <t>YES! 	 c_int列源备映射正确，源端为int None位	期望更改为int	实际备端为int None位</t>
        </is>
      </c>
    </row>
    <row r="361">
      <c r="B361" s="0" t="inlineStr">
        <is>
          <t>NULL</t>
        </is>
      </c>
      <c r="C361" s="0" t="inlineStr">
        <is>
          <t>NULL</t>
        </is>
      </c>
      <c r="D361" s="0" t="inlineStr">
        <is>
          <t>NULL</t>
        </is>
      </c>
      <c r="E361" s="0" t="inlineStr">
        <is>
          <t>NULL</t>
        </is>
      </c>
      <c r="F361" s="0" t="inlineStr">
        <is>
          <t>NULL</t>
        </is>
      </c>
      <c r="G361" s="0" t="inlineStr">
        <is>
          <t>NULL</t>
        </is>
      </c>
      <c r="H361" s="0" t="inlineStr">
        <is>
          <t>NULL</t>
        </is>
      </c>
      <c r="I361" s="0" t="inlineStr">
        <is>
          <t>NULL</t>
        </is>
      </c>
      <c r="J361" s="0" t="inlineStr">
        <is>
          <t>NULL</t>
        </is>
      </c>
      <c r="K361" s="0" t="inlineStr">
        <is>
          <t>YES! 	 c_bigint列源备映射正确，源端为bigint None位	期望更改为bigint	实际备端为bigint None位</t>
        </is>
      </c>
    </row>
    <row r="362">
      <c r="B362" s="0" t="inlineStr">
        <is>
          <t>NULL</t>
        </is>
      </c>
      <c r="C362" s="0" t="inlineStr">
        <is>
          <t>NULL</t>
        </is>
      </c>
      <c r="D362" s="0" t="inlineStr">
        <is>
          <t>NULL</t>
        </is>
      </c>
      <c r="E362" s="0" t="inlineStr">
        <is>
          <t>NULL</t>
        </is>
      </c>
      <c r="F362" s="0" t="inlineStr">
        <is>
          <t>NULL</t>
        </is>
      </c>
      <c r="G362" s="0" t="inlineStr">
        <is>
          <t>NULL</t>
        </is>
      </c>
      <c r="H362" s="0" t="inlineStr">
        <is>
          <t>NULL</t>
        </is>
      </c>
      <c r="I362" s="0" t="inlineStr">
        <is>
          <t>NULL</t>
        </is>
      </c>
      <c r="J362" s="0" t="inlineStr">
        <is>
          <t>NULL</t>
        </is>
      </c>
      <c r="K362" s="0" t="inlineStr">
        <is>
          <t>YES! 	 c_decimal列源备映射正确，源端为decimal None位	期望更改为decimal(p,s)	实际备端为decimal None位</t>
        </is>
      </c>
    </row>
    <row r="363">
      <c r="B363" s="0" t="inlineStr">
        <is>
          <t>NULL</t>
        </is>
      </c>
      <c r="C363" s="0" t="inlineStr">
        <is>
          <t>NULL</t>
        </is>
      </c>
      <c r="D363" s="0" t="inlineStr">
        <is>
          <t>NULL</t>
        </is>
      </c>
      <c r="E363" s="0" t="inlineStr">
        <is>
          <t>NULL</t>
        </is>
      </c>
      <c r="F363" s="0" t="inlineStr">
        <is>
          <t>NULL</t>
        </is>
      </c>
      <c r="G363" s="0" t="inlineStr">
        <is>
          <t>NULL</t>
        </is>
      </c>
      <c r="H363" s="0" t="inlineStr">
        <is>
          <t>NULL</t>
        </is>
      </c>
      <c r="I363" s="0" t="inlineStr">
        <is>
          <t>NULL</t>
        </is>
      </c>
      <c r="J363" s="0" t="inlineStr">
        <is>
          <t>NULL</t>
        </is>
      </c>
      <c r="K363" s="0" t="inlineStr">
        <is>
          <t>YES! 	 c_decimal38列源备映射正确，源端为decimal None位	期望更改为decimal(p,s)	实际备端为decimal None位</t>
        </is>
      </c>
    </row>
    <row r="364">
      <c r="B364" s="0" t="inlineStr">
        <is>
          <t>NULL</t>
        </is>
      </c>
      <c r="C364" s="0" t="inlineStr">
        <is>
          <t>NULL</t>
        </is>
      </c>
      <c r="D364" s="0" t="inlineStr">
        <is>
          <t>NULL</t>
        </is>
      </c>
      <c r="E364" s="0" t="inlineStr">
        <is>
          <t>NULL</t>
        </is>
      </c>
      <c r="F364" s="0" t="inlineStr">
        <is>
          <t>NULL</t>
        </is>
      </c>
      <c r="G364" s="0" t="inlineStr">
        <is>
          <t>NULL</t>
        </is>
      </c>
      <c r="H364" s="0" t="inlineStr">
        <is>
          <t>NULL</t>
        </is>
      </c>
      <c r="I364" s="0" t="inlineStr">
        <is>
          <t>NULL</t>
        </is>
      </c>
      <c r="J364" s="0" t="inlineStr">
        <is>
          <t>NULL</t>
        </is>
      </c>
      <c r="K364" s="0" t="inlineStr">
        <is>
          <t>YES! 	 c_decimal38_38列源备映射正确，源端为decimal None位	期望更改为decimal(p,s)	实际备端为decimal None位</t>
        </is>
      </c>
    </row>
    <row r="365">
      <c r="B365" s="0" t="inlineStr">
        <is>
          <t>NULL</t>
        </is>
      </c>
      <c r="C365" s="0" t="inlineStr">
        <is>
          <t>NULL</t>
        </is>
      </c>
      <c r="D365" s="0" t="inlineStr">
        <is>
          <t>NULL</t>
        </is>
      </c>
      <c r="E365" s="0" t="inlineStr">
        <is>
          <t>NULL</t>
        </is>
      </c>
      <c r="F365" s="0" t="inlineStr">
        <is>
          <t>NULL</t>
        </is>
      </c>
      <c r="G365" s="0" t="inlineStr">
        <is>
          <t>NULL</t>
        </is>
      </c>
      <c r="H365" s="0" t="inlineStr">
        <is>
          <t>NULL</t>
        </is>
      </c>
      <c r="I365" s="0" t="inlineStr">
        <is>
          <t>NULL</t>
        </is>
      </c>
      <c r="J365" s="0" t="inlineStr">
        <is>
          <t>NULL</t>
        </is>
      </c>
      <c r="K365" s="0" t="inlineStr">
        <is>
          <t>YES! 	 c_decimal38_10列源备映射正确，源端为decimal None位	期望更改为decimal(p,s)	实际备端为decimal None位</t>
        </is>
      </c>
    </row>
    <row r="366">
      <c r="B366" s="0" t="inlineStr">
        <is>
          <t>NULL</t>
        </is>
      </c>
      <c r="C366" s="0" t="inlineStr">
        <is>
          <t>NULL</t>
        </is>
      </c>
      <c r="D366" s="0" t="inlineStr">
        <is>
          <t>NULL</t>
        </is>
      </c>
      <c r="E366" s="0" t="inlineStr">
        <is>
          <t>NULL</t>
        </is>
      </c>
      <c r="F366" s="0" t="inlineStr">
        <is>
          <t>NULL</t>
        </is>
      </c>
      <c r="G366" s="0" t="inlineStr">
        <is>
          <t>NULL</t>
        </is>
      </c>
      <c r="H366" s="0" t="inlineStr">
        <is>
          <t>NULL</t>
        </is>
      </c>
      <c r="I366" s="0" t="inlineStr">
        <is>
          <t>NULL</t>
        </is>
      </c>
      <c r="J366" s="0" t="inlineStr">
        <is>
          <t>NULL</t>
        </is>
      </c>
      <c r="K366" s="0" t="inlineStr">
        <is>
          <t>YES! 	 c_decimal19_4列源备映射正确，源端为decimal None位	期望更改为decimal(p,s)	实际备端为decimal None位</t>
        </is>
      </c>
    </row>
    <row r="367">
      <c r="B367" s="0" t="inlineStr">
        <is>
          <t>NULL</t>
        </is>
      </c>
      <c r="C367" s="0" t="inlineStr">
        <is>
          <t>NULL</t>
        </is>
      </c>
      <c r="D367" s="0" t="inlineStr">
        <is>
          <t>NULL</t>
        </is>
      </c>
      <c r="E367" s="0" t="inlineStr">
        <is>
          <t>NULL</t>
        </is>
      </c>
      <c r="F367" s="0" t="inlineStr">
        <is>
          <t>NULL</t>
        </is>
      </c>
      <c r="G367" s="0" t="inlineStr">
        <is>
          <t>NULL</t>
        </is>
      </c>
      <c r="H367" s="0" t="inlineStr">
        <is>
          <t>NULL</t>
        </is>
      </c>
      <c r="I367" s="0" t="inlineStr">
        <is>
          <t>NULL</t>
        </is>
      </c>
      <c r="J367" s="0" t="inlineStr">
        <is>
          <t>NULL</t>
        </is>
      </c>
      <c r="K367" s="0" t="inlineStr">
        <is>
          <t>YES! 	 c_numeric列源备映射正确，源端为numeric None位	期望更改为numeric(p,s)	实际备端为numeric None位</t>
        </is>
      </c>
    </row>
    <row r="368">
      <c r="B368" s="0" t="inlineStr">
        <is>
          <t>NULL</t>
        </is>
      </c>
      <c r="C368" s="0" t="inlineStr">
        <is>
          <t>NULL</t>
        </is>
      </c>
      <c r="D368" s="0" t="inlineStr">
        <is>
          <t>NULL</t>
        </is>
      </c>
      <c r="E368" s="0" t="inlineStr">
        <is>
          <t>NULL</t>
        </is>
      </c>
      <c r="F368" s="0" t="inlineStr">
        <is>
          <t>NULL</t>
        </is>
      </c>
      <c r="G368" s="0" t="inlineStr">
        <is>
          <t>NULL</t>
        </is>
      </c>
      <c r="H368" s="0" t="inlineStr">
        <is>
          <t>NULL</t>
        </is>
      </c>
      <c r="I368" s="0" t="inlineStr">
        <is>
          <t>NULL</t>
        </is>
      </c>
      <c r="J368" s="0" t="inlineStr">
        <is>
          <t>NULL</t>
        </is>
      </c>
      <c r="K368" s="0" t="inlineStr">
        <is>
          <t>YES! 	 c_numeric38列源备映射正确，源端为numeric None位	期望更改为numeric(p,s)	实际备端为numeric None位</t>
        </is>
      </c>
    </row>
    <row r="369">
      <c r="B369" s="0" t="inlineStr">
        <is>
          <t>NULL</t>
        </is>
      </c>
      <c r="C369" s="0" t="inlineStr">
        <is>
          <t>NULL</t>
        </is>
      </c>
      <c r="D369" s="0" t="inlineStr">
        <is>
          <t>NULL</t>
        </is>
      </c>
      <c r="E369" s="0" t="inlineStr">
        <is>
          <t>NULL</t>
        </is>
      </c>
      <c r="F369" s="0" t="inlineStr">
        <is>
          <t>NULL</t>
        </is>
      </c>
      <c r="G369" s="0" t="inlineStr">
        <is>
          <t>NULL</t>
        </is>
      </c>
      <c r="H369" s="0" t="inlineStr">
        <is>
          <t>NULL</t>
        </is>
      </c>
      <c r="I369" s="0" t="inlineStr">
        <is>
          <t>NULL</t>
        </is>
      </c>
      <c r="J369" s="0" t="inlineStr">
        <is>
          <t>NULL</t>
        </is>
      </c>
      <c r="K369" s="0" t="inlineStr">
        <is>
          <t>YES! 	 c_numeric38_38列源备映射正确，源端为numeric None位	期望更改为numeric(p,s)	实际备端为numeric None位</t>
        </is>
      </c>
    </row>
    <row r="370">
      <c r="B370" s="0" t="inlineStr">
        <is>
          <t>NULL</t>
        </is>
      </c>
      <c r="C370" s="0" t="inlineStr">
        <is>
          <t>NULL</t>
        </is>
      </c>
      <c r="D370" s="0" t="inlineStr">
        <is>
          <t>NULL</t>
        </is>
      </c>
      <c r="E370" s="0" t="inlineStr">
        <is>
          <t>NULL</t>
        </is>
      </c>
      <c r="F370" s="0" t="inlineStr">
        <is>
          <t>NULL</t>
        </is>
      </c>
      <c r="G370" s="0" t="inlineStr">
        <is>
          <t>NULL</t>
        </is>
      </c>
      <c r="H370" s="0" t="inlineStr">
        <is>
          <t>NULL</t>
        </is>
      </c>
      <c r="I370" s="0" t="inlineStr">
        <is>
          <t>NULL</t>
        </is>
      </c>
      <c r="J370" s="0" t="inlineStr">
        <is>
          <t>NULL</t>
        </is>
      </c>
      <c r="K370" s="0" t="inlineStr">
        <is>
          <t>YES! 	 c_numeric38_10列源备映射正确，源端为numeric None位	期望更改为numeric(p,s)	实际备端为numeric None位</t>
        </is>
      </c>
    </row>
    <row r="371">
      <c r="B371" s="0" t="inlineStr">
        <is>
          <t>NULL</t>
        </is>
      </c>
      <c r="C371" s="0" t="inlineStr">
        <is>
          <t>NULL</t>
        </is>
      </c>
      <c r="D371" s="0" t="inlineStr">
        <is>
          <t>NULL</t>
        </is>
      </c>
      <c r="E371" s="0" t="inlineStr">
        <is>
          <t>NULL</t>
        </is>
      </c>
      <c r="F371" s="0" t="inlineStr">
        <is>
          <t>NULL</t>
        </is>
      </c>
      <c r="G371" s="0" t="inlineStr">
        <is>
          <t>NULL</t>
        </is>
      </c>
      <c r="H371" s="0" t="inlineStr">
        <is>
          <t>NULL</t>
        </is>
      </c>
      <c r="I371" s="0" t="inlineStr">
        <is>
          <t>NULL</t>
        </is>
      </c>
      <c r="J371" s="0" t="inlineStr">
        <is>
          <t>NULL</t>
        </is>
      </c>
      <c r="K371" s="0" t="inlineStr">
        <is>
          <t>YES! 	 c_numeric18_2列源备映射正确，源端为numeric None位	期望更改为numeric(p,s)	实际备端为numeric None位</t>
        </is>
      </c>
    </row>
    <row r="372">
      <c r="B372" s="0" t="inlineStr">
        <is>
          <t>NULL</t>
        </is>
      </c>
      <c r="C372" s="0" t="inlineStr">
        <is>
          <t>NULL</t>
        </is>
      </c>
      <c r="D372" s="0" t="inlineStr">
        <is>
          <t>NULL</t>
        </is>
      </c>
      <c r="E372" s="0" t="inlineStr">
        <is>
          <t>NULL</t>
        </is>
      </c>
      <c r="F372" s="0" t="inlineStr">
        <is>
          <t>NULL</t>
        </is>
      </c>
      <c r="G372" s="0" t="inlineStr">
        <is>
          <t>NULL</t>
        </is>
      </c>
      <c r="H372" s="0" t="inlineStr">
        <is>
          <t>NULL</t>
        </is>
      </c>
      <c r="I372" s="0" t="inlineStr">
        <is>
          <t>NULL</t>
        </is>
      </c>
      <c r="J372" s="0" t="inlineStr">
        <is>
          <t>NULL</t>
        </is>
      </c>
      <c r="K372" s="0" t="inlineStr">
        <is>
          <t>YES! 	 c_float列源备映射正确，源端为float None位	期望更改为float	实际备端为float None位</t>
        </is>
      </c>
    </row>
    <row r="373">
      <c r="B373" s="0" t="inlineStr">
        <is>
          <t>NULL</t>
        </is>
      </c>
      <c r="C373" s="0" t="inlineStr">
        <is>
          <t>NULL</t>
        </is>
      </c>
      <c r="D373" s="0" t="inlineStr">
        <is>
          <t>NULL</t>
        </is>
      </c>
      <c r="E373" s="0" t="inlineStr">
        <is>
          <t>NULL</t>
        </is>
      </c>
      <c r="F373" s="0" t="inlineStr">
        <is>
          <t>NULL</t>
        </is>
      </c>
      <c r="G373" s="0" t="inlineStr">
        <is>
          <t>NULL</t>
        </is>
      </c>
      <c r="H373" s="0" t="inlineStr">
        <is>
          <t>NULL</t>
        </is>
      </c>
      <c r="I373" s="0" t="inlineStr">
        <is>
          <t>NULL</t>
        </is>
      </c>
      <c r="J373" s="0" t="inlineStr">
        <is>
          <t>NULL</t>
        </is>
      </c>
      <c r="K373" s="0" t="inlineStr">
        <is>
          <t>YES! 	 c_real列源备映射正确，源端为real None位	期望更改为real	实际备端为real None位</t>
        </is>
      </c>
    </row>
    <row r="374">
      <c r="B374" s="0" t="inlineStr">
        <is>
          <t>NULL</t>
        </is>
      </c>
      <c r="C374" s="0" t="inlineStr">
        <is>
          <t>NULL</t>
        </is>
      </c>
      <c r="D374" s="0" t="inlineStr">
        <is>
          <t>NULL</t>
        </is>
      </c>
      <c r="E374" s="0" t="inlineStr">
        <is>
          <t>NULL</t>
        </is>
      </c>
      <c r="F374" s="0" t="inlineStr">
        <is>
          <t>NULL</t>
        </is>
      </c>
      <c r="G374" s="0" t="inlineStr">
        <is>
          <t>NULL</t>
        </is>
      </c>
      <c r="H374" s="0" t="inlineStr">
        <is>
          <t>NULL</t>
        </is>
      </c>
      <c r="I374" s="0" t="inlineStr">
        <is>
          <t>NULL</t>
        </is>
      </c>
      <c r="J374" s="0" t="inlineStr">
        <is>
          <t>NULL</t>
        </is>
      </c>
      <c r="K374" s="0" t="inlineStr">
        <is>
          <t>YES! 	 c_money列源备映射正确，源端为money None位	期望更改为money	实际备端为money None位</t>
        </is>
      </c>
    </row>
    <row r="375">
      <c r="B375" s="0" t="inlineStr">
        <is>
          <t>NULL</t>
        </is>
      </c>
      <c r="C375" s="0" t="inlineStr">
        <is>
          <t>NULL</t>
        </is>
      </c>
      <c r="D375" s="0" t="inlineStr">
        <is>
          <t>NULL</t>
        </is>
      </c>
      <c r="E375" s="0" t="inlineStr">
        <is>
          <t>NULL</t>
        </is>
      </c>
      <c r="F375" s="0" t="inlineStr">
        <is>
          <t>NULL</t>
        </is>
      </c>
      <c r="G375" s="0" t="inlineStr">
        <is>
          <t>NULL</t>
        </is>
      </c>
      <c r="H375" s="0" t="inlineStr">
        <is>
          <t>NULL</t>
        </is>
      </c>
      <c r="I375" s="0" t="inlineStr">
        <is>
          <t>NULL</t>
        </is>
      </c>
      <c r="J375" s="0" t="inlineStr">
        <is>
          <t>NULL</t>
        </is>
      </c>
      <c r="K375" s="0" t="inlineStr">
        <is>
          <t>YES! 	 c_smallmoney列源备映射正确，源端为smallmoney None位	期望更改为smallmoney	实际备端为smallmoney None位</t>
        </is>
      </c>
    </row>
    <row r="376">
      <c r="B376" s="0" t="inlineStr">
        <is>
          <t>NULL</t>
        </is>
      </c>
      <c r="C376" s="0" t="inlineStr">
        <is>
          <t>NULL</t>
        </is>
      </c>
      <c r="D376" s="0" t="inlineStr">
        <is>
          <t>NULL</t>
        </is>
      </c>
      <c r="E376" s="0" t="inlineStr">
        <is>
          <t>NULL</t>
        </is>
      </c>
      <c r="F376" s="0" t="inlineStr">
        <is>
          <t>NULL</t>
        </is>
      </c>
      <c r="G376" s="0" t="inlineStr">
        <is>
          <t>NULL</t>
        </is>
      </c>
      <c r="H376" s="0" t="inlineStr">
        <is>
          <t>NULL</t>
        </is>
      </c>
      <c r="I376" s="0" t="inlineStr">
        <is>
          <t>NULL</t>
        </is>
      </c>
      <c r="J376" s="0" t="inlineStr">
        <is>
          <t>NULL</t>
        </is>
      </c>
      <c r="K376" s="0" t="inlineStr">
        <is>
          <t>YES! 	 c_bit列源备映射正确，源端为bit None位	期望更改为bit	实际备端为bit None位</t>
        </is>
      </c>
    </row>
    <row r="377">
      <c r="A377" s="0" t="inlineStr">
        <is>
          <t>info_varchar_dml_batch1_pk_irp1</t>
        </is>
      </c>
      <c r="K377" s="0" t="inlineStr">
        <is>
          <t>[0;34m info_varchar_dml_batch1_pk_irp1 [0m源备字段数相同，源端字段：4 	备端字段4</t>
        </is>
      </c>
      <c r="W377" s="0" t="inlineStr">
        <is>
          <t>YES 源备无差异</t>
        </is>
      </c>
      <c r="X377" s="0">
        <f>A377</f>
        <v/>
      </c>
    </row>
    <row r="378">
      <c r="B378" s="0" t="inlineStr">
        <is>
          <t>YES</t>
        </is>
      </c>
      <c r="C378" s="0" t="inlineStr">
        <is>
          <t>NULL</t>
        </is>
      </c>
      <c r="D378" s="0" t="inlineStr">
        <is>
          <t>NULL</t>
        </is>
      </c>
      <c r="E378" s="0" t="inlineStr">
        <is>
          <t>NULL</t>
        </is>
      </c>
      <c r="F378" s="0" t="inlineStr">
        <is>
          <t>NULL</t>
        </is>
      </c>
      <c r="G378" s="0" t="inlineStr">
        <is>
          <t>NULL</t>
        </is>
      </c>
      <c r="H378" s="0" t="inlineStr">
        <is>
          <t>NULL</t>
        </is>
      </c>
      <c r="I378" s="0" t="inlineStr">
        <is>
          <t>YES!PK__info_var__3213E83F369F1F96</t>
        </is>
      </c>
      <c r="J378" s="0" t="inlineStr">
        <is>
          <t>YES! 主键相关索引</t>
        </is>
      </c>
      <c r="K378" s="0" t="inlineStr">
        <is>
          <t>YES! 	 id列源备映射正确，源端为int None位	期望更改为int	实际备端为int None位</t>
        </is>
      </c>
    </row>
    <row r="379">
      <c r="B379" s="0" t="inlineStr">
        <is>
          <t>NULL</t>
        </is>
      </c>
      <c r="C379" s="0" t="inlineStr">
        <is>
          <t>NULL</t>
        </is>
      </c>
      <c r="D379" s="0" t="inlineStr">
        <is>
          <t>NULL</t>
        </is>
      </c>
      <c r="E379" s="0" t="inlineStr">
        <is>
          <t>NULL</t>
        </is>
      </c>
      <c r="F379" s="0" t="inlineStr">
        <is>
          <t>NULL</t>
        </is>
      </c>
      <c r="G379" s="0" t="inlineStr">
        <is>
          <t>NULL</t>
        </is>
      </c>
      <c r="H379" s="0" t="inlineStr">
        <is>
          <t>NULL</t>
        </is>
      </c>
      <c r="I379" s="0" t="inlineStr">
        <is>
          <t>NULL</t>
        </is>
      </c>
      <c r="J379" s="0" t="inlineStr">
        <is>
          <t>NULL</t>
        </is>
      </c>
      <c r="K379" s="0" t="inlineStr">
        <is>
          <t>YES! 	 c_varchar列源备映射正确，源端为varchar 1位	期望更改为varchar(n)	实际备端为varchar 1位</t>
        </is>
      </c>
    </row>
    <row r="380">
      <c r="B380" s="0" t="inlineStr">
        <is>
          <t>NULL</t>
        </is>
      </c>
      <c r="C380" s="0" t="inlineStr">
        <is>
          <t>NULL</t>
        </is>
      </c>
      <c r="D380" s="0" t="inlineStr">
        <is>
          <t>NULL</t>
        </is>
      </c>
      <c r="E380" s="0" t="inlineStr">
        <is>
          <t>NULL</t>
        </is>
      </c>
      <c r="F380" s="0" t="inlineStr">
        <is>
          <t>NULL</t>
        </is>
      </c>
      <c r="G380" s="0" t="inlineStr">
        <is>
          <t>NULL</t>
        </is>
      </c>
      <c r="H380" s="0" t="inlineStr">
        <is>
          <t>NULL</t>
        </is>
      </c>
      <c r="I380" s="0" t="inlineStr">
        <is>
          <t>NULL</t>
        </is>
      </c>
      <c r="J380" s="0" t="inlineStr">
        <is>
          <t>NULL</t>
        </is>
      </c>
      <c r="K380" s="0" t="inlineStr">
        <is>
          <t>YES! 	 c_varchar20列源备映射正确，源端为varchar 20位	期望更改为varchar(n)	实际备端为varchar 20位</t>
        </is>
      </c>
    </row>
    <row r="381">
      <c r="B381" s="0" t="inlineStr">
        <is>
          <t>NULL</t>
        </is>
      </c>
      <c r="C381" s="0" t="inlineStr">
        <is>
          <t>NULL</t>
        </is>
      </c>
      <c r="D381" s="0" t="inlineStr">
        <is>
          <t>NULL</t>
        </is>
      </c>
      <c r="E381" s="0" t="inlineStr">
        <is>
          <t>NULL</t>
        </is>
      </c>
      <c r="F381" s="0" t="inlineStr">
        <is>
          <t>NULL</t>
        </is>
      </c>
      <c r="G381" s="0" t="inlineStr">
        <is>
          <t>NULL</t>
        </is>
      </c>
      <c r="H381" s="0" t="inlineStr">
        <is>
          <t>NULL</t>
        </is>
      </c>
      <c r="I381" s="0" t="inlineStr">
        <is>
          <t>NULL</t>
        </is>
      </c>
      <c r="J381" s="0" t="inlineStr">
        <is>
          <t>NULL</t>
        </is>
      </c>
      <c r="K381" s="0" t="inlineStr">
        <is>
          <t>YES! 	 c_varchar8000列源备映射正确，源端为varchar 8000位	期望更改为varchar(n)	实际备端为varchar 8000位</t>
        </is>
      </c>
    </row>
    <row r="382">
      <c r="A382" s="0" t="inlineStr">
        <is>
          <t>info_sdt_dml_batch1_pk_urp2</t>
        </is>
      </c>
      <c r="K382" s="0" t="inlineStr">
        <is>
          <t>[0;34m info_sdt_dml_batch1_pk_urp2 [0m源备字段数相同，源端字段：2 	备端字段2</t>
        </is>
      </c>
      <c r="W382" s="0" t="inlineStr">
        <is>
          <t>YES 源备无差异</t>
        </is>
      </c>
      <c r="X382" s="0">
        <f>A382</f>
        <v/>
      </c>
    </row>
    <row r="383">
      <c r="B383" s="0" t="inlineStr">
        <is>
          <t>YES</t>
        </is>
      </c>
      <c r="C383" s="0" t="inlineStr">
        <is>
          <t>NULL</t>
        </is>
      </c>
      <c r="D383" s="0" t="inlineStr">
        <is>
          <t>NULL</t>
        </is>
      </c>
      <c r="E383" s="0" t="inlineStr">
        <is>
          <t>NULL</t>
        </is>
      </c>
      <c r="F383" s="0" t="inlineStr">
        <is>
          <t>NULL</t>
        </is>
      </c>
      <c r="G383" s="0" t="inlineStr">
        <is>
          <t>NULL</t>
        </is>
      </c>
      <c r="H383" s="0" t="inlineStr">
        <is>
          <t>NULL</t>
        </is>
      </c>
      <c r="I383" s="0" t="inlineStr">
        <is>
          <t>YES!PK__info_sdt__3213E83F9232A2E1</t>
        </is>
      </c>
      <c r="J383" s="0" t="inlineStr">
        <is>
          <t>YES! 主键相关索引</t>
        </is>
      </c>
      <c r="K383" s="0" t="inlineStr">
        <is>
          <t>YES! 	 id列源备映射正确，源端为int None位	期望更改为int	实际备端为int None位</t>
        </is>
      </c>
    </row>
    <row r="384">
      <c r="B384" s="0" t="inlineStr">
        <is>
          <t>NULL</t>
        </is>
      </c>
      <c r="C384" s="0" t="inlineStr">
        <is>
          <t>NULL</t>
        </is>
      </c>
      <c r="D384" s="0" t="inlineStr">
        <is>
          <t>NULL</t>
        </is>
      </c>
      <c r="E384" s="0" t="inlineStr">
        <is>
          <t>NULL</t>
        </is>
      </c>
      <c r="F384" s="0" t="inlineStr">
        <is>
          <t>NULL</t>
        </is>
      </c>
      <c r="G384" s="0" t="inlineStr">
        <is>
          <t>NULL</t>
        </is>
      </c>
      <c r="H384" s="0" t="inlineStr">
        <is>
          <t>NULL</t>
        </is>
      </c>
      <c r="I384" s="0" t="inlineStr">
        <is>
          <t>NULL</t>
        </is>
      </c>
      <c r="J384" s="0" t="inlineStr">
        <is>
          <t>NULL</t>
        </is>
      </c>
      <c r="K384" s="0" t="inlineStr">
        <is>
          <t>YES! 	 c_sdt列源备映射正确，源端为smalldatetime None位	期望更改为smalldatetime	实际备端为smalldatetime None位</t>
        </is>
      </c>
    </row>
    <row r="385">
      <c r="A385" s="0" t="inlineStr">
        <is>
          <t>info_nchar_dml_single_nopk</t>
        </is>
      </c>
      <c r="K385" s="0" t="inlineStr">
        <is>
          <t>[0;34m info_nchar_dml_single_nopk [0m源备字段数相同，源端字段：4 	备端字段4</t>
        </is>
      </c>
      <c r="W385" s="0" t="inlineStr">
        <is>
          <t>YES 源备无差异</t>
        </is>
      </c>
      <c r="X385" s="0">
        <f>A385</f>
        <v/>
      </c>
    </row>
    <row r="386">
      <c r="B386" s="0" t="inlineStr">
        <is>
          <t>NULL</t>
        </is>
      </c>
      <c r="C386" s="0" t="inlineStr">
        <is>
          <t>NULL</t>
        </is>
      </c>
      <c r="D386" s="0" t="inlineStr">
        <is>
          <t>NULL</t>
        </is>
      </c>
      <c r="E386" s="0" t="inlineStr">
        <is>
          <t>NULL</t>
        </is>
      </c>
      <c r="F386" s="0" t="inlineStr">
        <is>
          <t>NULL</t>
        </is>
      </c>
      <c r="G386" s="0" t="inlineStr">
        <is>
          <t>NULL</t>
        </is>
      </c>
      <c r="H386" s="0" t="inlineStr">
        <is>
          <t>NULL</t>
        </is>
      </c>
      <c r="I386" s="0" t="inlineStr">
        <is>
          <t>NULL</t>
        </is>
      </c>
      <c r="J386" s="0" t="inlineStr">
        <is>
          <t>NULL</t>
        </is>
      </c>
      <c r="K386" s="0" t="inlineStr">
        <is>
          <t>YES! 	 id列源备映射正确，源端为int None位	期望更改为int	实际备端为int None位</t>
        </is>
      </c>
    </row>
    <row r="387">
      <c r="B387" s="0" t="inlineStr">
        <is>
          <t>NULL</t>
        </is>
      </c>
      <c r="C387" s="0" t="inlineStr">
        <is>
          <t>NULL</t>
        </is>
      </c>
      <c r="D387" s="0" t="inlineStr">
        <is>
          <t>NULL</t>
        </is>
      </c>
      <c r="E387" s="0" t="inlineStr">
        <is>
          <t>NULL</t>
        </is>
      </c>
      <c r="F387" s="0" t="inlineStr">
        <is>
          <t>NULL</t>
        </is>
      </c>
      <c r="G387" s="0" t="inlineStr">
        <is>
          <t>NULL</t>
        </is>
      </c>
      <c r="H387" s="0" t="inlineStr">
        <is>
          <t>NULL</t>
        </is>
      </c>
      <c r="I387" s="0" t="inlineStr">
        <is>
          <t>NULL</t>
        </is>
      </c>
      <c r="J387" s="0" t="inlineStr">
        <is>
          <t>NULL</t>
        </is>
      </c>
      <c r="K387" s="0" t="inlineStr">
        <is>
          <t>YES! 	 c_nchar列源备映射正确，源端为nchar 2位	期望更改为nchar(n)	实际备端为nchar 2位</t>
        </is>
      </c>
    </row>
    <row r="388">
      <c r="B388" s="0" t="inlineStr">
        <is>
          <t>NULL</t>
        </is>
      </c>
      <c r="C388" s="0" t="inlineStr">
        <is>
          <t>NULL</t>
        </is>
      </c>
      <c r="D388" s="0" t="inlineStr">
        <is>
          <t>NULL</t>
        </is>
      </c>
      <c r="E388" s="0" t="inlineStr">
        <is>
          <t>NULL</t>
        </is>
      </c>
      <c r="F388" s="0" t="inlineStr">
        <is>
          <t>NULL</t>
        </is>
      </c>
      <c r="G388" s="0" t="inlineStr">
        <is>
          <t>NULL</t>
        </is>
      </c>
      <c r="H388" s="0" t="inlineStr">
        <is>
          <t>NULL</t>
        </is>
      </c>
      <c r="I388" s="0" t="inlineStr">
        <is>
          <t>NULL</t>
        </is>
      </c>
      <c r="J388" s="0" t="inlineStr">
        <is>
          <t>NULL</t>
        </is>
      </c>
      <c r="K388" s="0" t="inlineStr">
        <is>
          <t>YES! 	 c_nchar20列源备映射正确，源端为nchar 40位	期望更改为nchar(n)	实际备端为nchar 40位</t>
        </is>
      </c>
    </row>
    <row r="389">
      <c r="B389" s="0" t="inlineStr">
        <is>
          <t>NULL</t>
        </is>
      </c>
      <c r="C389" s="0" t="inlineStr">
        <is>
          <t>NULL</t>
        </is>
      </c>
      <c r="D389" s="0" t="inlineStr">
        <is>
          <t>NULL</t>
        </is>
      </c>
      <c r="E389" s="0" t="inlineStr">
        <is>
          <t>NULL</t>
        </is>
      </c>
      <c r="F389" s="0" t="inlineStr">
        <is>
          <t>NULL</t>
        </is>
      </c>
      <c r="G389" s="0" t="inlineStr">
        <is>
          <t>NULL</t>
        </is>
      </c>
      <c r="H389" s="0" t="inlineStr">
        <is>
          <t>NULL</t>
        </is>
      </c>
      <c r="I389" s="0" t="inlineStr">
        <is>
          <t>NULL</t>
        </is>
      </c>
      <c r="J389" s="0" t="inlineStr">
        <is>
          <t>NULL</t>
        </is>
      </c>
      <c r="K389" s="0" t="inlineStr">
        <is>
          <t>YES! 	 c_nchar3500列源备映射正确，源端为nchar 7000位	期望更改为nchar(n)	实际备端为nchar 7000位</t>
        </is>
      </c>
    </row>
    <row r="390">
      <c r="A390" s="0" t="inlineStr">
        <is>
          <t>info_sql_variant_dml_single_pk_irp</t>
        </is>
      </c>
      <c r="K390" s="0" t="inlineStr">
        <is>
          <t>[0;34m info_sql_variant_dml_single_pk_irp [0m源备字段数相同，源端字段：25 	备端字段25</t>
        </is>
      </c>
      <c r="W390" s="0" t="inlineStr">
        <is>
          <t>YES 源备无差异</t>
        </is>
      </c>
      <c r="X390" s="0">
        <f>A390</f>
        <v/>
      </c>
    </row>
    <row r="391">
      <c r="B391" s="0" t="inlineStr">
        <is>
          <t>YES</t>
        </is>
      </c>
      <c r="C391" s="0" t="inlineStr">
        <is>
          <t>NULL</t>
        </is>
      </c>
      <c r="D391" s="0" t="inlineStr">
        <is>
          <t>NULL</t>
        </is>
      </c>
      <c r="E391" s="0" t="inlineStr">
        <is>
          <t>NULL</t>
        </is>
      </c>
      <c r="F391" s="0" t="inlineStr">
        <is>
          <t>NULL</t>
        </is>
      </c>
      <c r="G391" s="0" t="inlineStr">
        <is>
          <t>NULL</t>
        </is>
      </c>
      <c r="H391" s="0" t="inlineStr">
        <is>
          <t>NULL</t>
        </is>
      </c>
      <c r="I391" s="0" t="inlineStr">
        <is>
          <t>YES!PK__info_sql__3213E83F8AA9C4B2</t>
        </is>
      </c>
      <c r="J391" s="0" t="inlineStr">
        <is>
          <t>YES! 主键相关索引</t>
        </is>
      </c>
      <c r="K391" s="0" t="inlineStr">
        <is>
          <t>YES! 	 id列源备映射正确，源端为int None位	期望更改为int	实际备端为int None位</t>
        </is>
      </c>
    </row>
    <row r="392">
      <c r="B392" s="0" t="inlineStr">
        <is>
          <t>NULL</t>
        </is>
      </c>
      <c r="C392" s="0" t="inlineStr">
        <is>
          <t>NULL</t>
        </is>
      </c>
      <c r="D392" s="0" t="inlineStr">
        <is>
          <t>NULL</t>
        </is>
      </c>
      <c r="E392" s="0" t="inlineStr">
        <is>
          <t>NULL</t>
        </is>
      </c>
      <c r="F392" s="0" t="inlineStr">
        <is>
          <t>NULL</t>
        </is>
      </c>
      <c r="G392" s="0" t="inlineStr">
        <is>
          <t>NULL</t>
        </is>
      </c>
      <c r="H392" s="0" t="inlineStr">
        <is>
          <t>NULL</t>
        </is>
      </c>
      <c r="I392" s="0" t="inlineStr">
        <is>
          <t>NULL</t>
        </is>
      </c>
      <c r="J392" s="0" t="inlineStr">
        <is>
          <t>NULL</t>
        </is>
      </c>
      <c r="K392" s="0" t="inlineStr">
        <is>
          <t>YES! 	 c_date列源备映射正确，源端为sql_variant 0位	期望更改为sql_variant	实际备端为sql_variant 0位</t>
        </is>
      </c>
    </row>
    <row r="393">
      <c r="B393" s="0" t="inlineStr">
        <is>
          <t>NULL</t>
        </is>
      </c>
      <c r="C393" s="0" t="inlineStr">
        <is>
          <t>NULL</t>
        </is>
      </c>
      <c r="D393" s="0" t="inlineStr">
        <is>
          <t>NULL</t>
        </is>
      </c>
      <c r="E393" s="0" t="inlineStr">
        <is>
          <t>NULL</t>
        </is>
      </c>
      <c r="F393" s="0" t="inlineStr">
        <is>
          <t>NULL</t>
        </is>
      </c>
      <c r="G393" s="0" t="inlineStr">
        <is>
          <t>NULL</t>
        </is>
      </c>
      <c r="H393" s="0" t="inlineStr">
        <is>
          <t>NULL</t>
        </is>
      </c>
      <c r="I393" s="0" t="inlineStr">
        <is>
          <t>NULL</t>
        </is>
      </c>
      <c r="J393" s="0" t="inlineStr">
        <is>
          <t>NULL</t>
        </is>
      </c>
      <c r="K393" s="0" t="inlineStr">
        <is>
          <t>YES! 	 c_time列源备映射正确，源端为sql_variant 0位	期望更改为sql_variant	实际备端为sql_variant 0位</t>
        </is>
      </c>
    </row>
    <row r="394">
      <c r="B394" s="0" t="inlineStr">
        <is>
          <t>NULL</t>
        </is>
      </c>
      <c r="C394" s="0" t="inlineStr">
        <is>
          <t>NULL</t>
        </is>
      </c>
      <c r="D394" s="0" t="inlineStr">
        <is>
          <t>NULL</t>
        </is>
      </c>
      <c r="E394" s="0" t="inlineStr">
        <is>
          <t>NULL</t>
        </is>
      </c>
      <c r="F394" s="0" t="inlineStr">
        <is>
          <t>NULL</t>
        </is>
      </c>
      <c r="G394" s="0" t="inlineStr">
        <is>
          <t>NULL</t>
        </is>
      </c>
      <c r="H394" s="0" t="inlineStr">
        <is>
          <t>NULL</t>
        </is>
      </c>
      <c r="I394" s="0" t="inlineStr">
        <is>
          <t>NULL</t>
        </is>
      </c>
      <c r="J394" s="0" t="inlineStr">
        <is>
          <t>NULL</t>
        </is>
      </c>
      <c r="K394" s="0" t="inlineStr">
        <is>
          <t>YES! 	 c_datetime2列源备映射正确，源端为sql_variant 0位	期望更改为sql_variant	实际备端为sql_variant 0位</t>
        </is>
      </c>
    </row>
    <row r="395">
      <c r="B395" s="0" t="inlineStr">
        <is>
          <t>NULL</t>
        </is>
      </c>
      <c r="C395" s="0" t="inlineStr">
        <is>
          <t>NULL</t>
        </is>
      </c>
      <c r="D395" s="0" t="inlineStr">
        <is>
          <t>NULL</t>
        </is>
      </c>
      <c r="E395" s="0" t="inlineStr">
        <is>
          <t>NULL</t>
        </is>
      </c>
      <c r="F395" s="0" t="inlineStr">
        <is>
          <t>NULL</t>
        </is>
      </c>
      <c r="G395" s="0" t="inlineStr">
        <is>
          <t>NULL</t>
        </is>
      </c>
      <c r="H395" s="0" t="inlineStr">
        <is>
          <t>NULL</t>
        </is>
      </c>
      <c r="I395" s="0" t="inlineStr">
        <is>
          <t>NULL</t>
        </is>
      </c>
      <c r="J395" s="0" t="inlineStr">
        <is>
          <t>NULL</t>
        </is>
      </c>
      <c r="K395" s="0" t="inlineStr">
        <is>
          <t>YES! 	 c_datetimeoffset列源备映射正确，源端为sql_variant 0位	期望更改为sql_variant	实际备端为sql_variant 0位</t>
        </is>
      </c>
    </row>
    <row r="396">
      <c r="B396" s="0" t="inlineStr">
        <is>
          <t>NULL</t>
        </is>
      </c>
      <c r="C396" s="0" t="inlineStr">
        <is>
          <t>NULL</t>
        </is>
      </c>
      <c r="D396" s="0" t="inlineStr">
        <is>
          <t>NULL</t>
        </is>
      </c>
      <c r="E396" s="0" t="inlineStr">
        <is>
          <t>NULL</t>
        </is>
      </c>
      <c r="F396" s="0" t="inlineStr">
        <is>
          <t>NULL</t>
        </is>
      </c>
      <c r="G396" s="0" t="inlineStr">
        <is>
          <t>NULL</t>
        </is>
      </c>
      <c r="H396" s="0" t="inlineStr">
        <is>
          <t>NULL</t>
        </is>
      </c>
      <c r="I396" s="0" t="inlineStr">
        <is>
          <t>NULL</t>
        </is>
      </c>
      <c r="J396" s="0" t="inlineStr">
        <is>
          <t>NULL</t>
        </is>
      </c>
      <c r="K396" s="0" t="inlineStr">
        <is>
          <t>YES! 	 c_tinyint列源备映射正确，源端为sql_variant 0位	期望更改为sql_variant	实际备端为sql_variant 0位</t>
        </is>
      </c>
    </row>
    <row r="397">
      <c r="B397" s="0" t="inlineStr">
        <is>
          <t>NULL</t>
        </is>
      </c>
      <c r="C397" s="0" t="inlineStr">
        <is>
          <t>NULL</t>
        </is>
      </c>
      <c r="D397" s="0" t="inlineStr">
        <is>
          <t>NULL</t>
        </is>
      </c>
      <c r="E397" s="0" t="inlineStr">
        <is>
          <t>NULL</t>
        </is>
      </c>
      <c r="F397" s="0" t="inlineStr">
        <is>
          <t>NULL</t>
        </is>
      </c>
      <c r="G397" s="0" t="inlineStr">
        <is>
          <t>NULL</t>
        </is>
      </c>
      <c r="H397" s="0" t="inlineStr">
        <is>
          <t>NULL</t>
        </is>
      </c>
      <c r="I397" s="0" t="inlineStr">
        <is>
          <t>NULL</t>
        </is>
      </c>
      <c r="J397" s="0" t="inlineStr">
        <is>
          <t>NULL</t>
        </is>
      </c>
      <c r="K397" s="0" t="inlineStr">
        <is>
          <t>YES! 	 c_smallint列源备映射正确，源端为sql_variant 0位	期望更改为sql_variant	实际备端为sql_variant 0位</t>
        </is>
      </c>
    </row>
    <row r="398">
      <c r="B398" s="0" t="inlineStr">
        <is>
          <t>NULL</t>
        </is>
      </c>
      <c r="C398" s="0" t="inlineStr">
        <is>
          <t>NULL</t>
        </is>
      </c>
      <c r="D398" s="0" t="inlineStr">
        <is>
          <t>NULL</t>
        </is>
      </c>
      <c r="E398" s="0" t="inlineStr">
        <is>
          <t>NULL</t>
        </is>
      </c>
      <c r="F398" s="0" t="inlineStr">
        <is>
          <t>NULL</t>
        </is>
      </c>
      <c r="G398" s="0" t="inlineStr">
        <is>
          <t>NULL</t>
        </is>
      </c>
      <c r="H398" s="0" t="inlineStr">
        <is>
          <t>NULL</t>
        </is>
      </c>
      <c r="I398" s="0" t="inlineStr">
        <is>
          <t>NULL</t>
        </is>
      </c>
      <c r="J398" s="0" t="inlineStr">
        <is>
          <t>NULL</t>
        </is>
      </c>
      <c r="K398" s="0" t="inlineStr">
        <is>
          <t>YES! 	 c_int列源备映射正确，源端为sql_variant 0位	期望更改为sql_variant	实际备端为sql_variant 0位</t>
        </is>
      </c>
    </row>
    <row r="399">
      <c r="B399" s="0" t="inlineStr">
        <is>
          <t>NULL</t>
        </is>
      </c>
      <c r="C399" s="0" t="inlineStr">
        <is>
          <t>NULL</t>
        </is>
      </c>
      <c r="D399" s="0" t="inlineStr">
        <is>
          <t>NULL</t>
        </is>
      </c>
      <c r="E399" s="0" t="inlineStr">
        <is>
          <t>NULL</t>
        </is>
      </c>
      <c r="F399" s="0" t="inlineStr">
        <is>
          <t>NULL</t>
        </is>
      </c>
      <c r="G399" s="0" t="inlineStr">
        <is>
          <t>NULL</t>
        </is>
      </c>
      <c r="H399" s="0" t="inlineStr">
        <is>
          <t>NULL</t>
        </is>
      </c>
      <c r="I399" s="0" t="inlineStr">
        <is>
          <t>NULL</t>
        </is>
      </c>
      <c r="J399" s="0" t="inlineStr">
        <is>
          <t>NULL</t>
        </is>
      </c>
      <c r="K399" s="0" t="inlineStr">
        <is>
          <t>YES! 	 c_sdt列源备映射正确，源端为sql_variant 0位	期望更改为sql_variant	实际备端为sql_variant 0位</t>
        </is>
      </c>
    </row>
    <row r="400">
      <c r="B400" s="0" t="inlineStr">
        <is>
          <t>NULL</t>
        </is>
      </c>
      <c r="C400" s="0" t="inlineStr">
        <is>
          <t>NULL</t>
        </is>
      </c>
      <c r="D400" s="0" t="inlineStr">
        <is>
          <t>NULL</t>
        </is>
      </c>
      <c r="E400" s="0" t="inlineStr">
        <is>
          <t>NULL</t>
        </is>
      </c>
      <c r="F400" s="0" t="inlineStr">
        <is>
          <t>NULL</t>
        </is>
      </c>
      <c r="G400" s="0" t="inlineStr">
        <is>
          <t>NULL</t>
        </is>
      </c>
      <c r="H400" s="0" t="inlineStr">
        <is>
          <t>NULL</t>
        </is>
      </c>
      <c r="I400" s="0" t="inlineStr">
        <is>
          <t>NULL</t>
        </is>
      </c>
      <c r="J400" s="0" t="inlineStr">
        <is>
          <t>NULL</t>
        </is>
      </c>
      <c r="K400" s="0" t="inlineStr">
        <is>
          <t>YES! 	 c_real列源备映射正确，源端为sql_variant 0位	期望更改为sql_variant	实际备端为sql_variant 0位</t>
        </is>
      </c>
    </row>
    <row r="401">
      <c r="B401" s="0" t="inlineStr">
        <is>
          <t>NULL</t>
        </is>
      </c>
      <c r="C401" s="0" t="inlineStr">
        <is>
          <t>NULL</t>
        </is>
      </c>
      <c r="D401" s="0" t="inlineStr">
        <is>
          <t>NULL</t>
        </is>
      </c>
      <c r="E401" s="0" t="inlineStr">
        <is>
          <t>NULL</t>
        </is>
      </c>
      <c r="F401" s="0" t="inlineStr">
        <is>
          <t>NULL</t>
        </is>
      </c>
      <c r="G401" s="0" t="inlineStr">
        <is>
          <t>NULL</t>
        </is>
      </c>
      <c r="H401" s="0" t="inlineStr">
        <is>
          <t>NULL</t>
        </is>
      </c>
      <c r="I401" s="0" t="inlineStr">
        <is>
          <t>NULL</t>
        </is>
      </c>
      <c r="J401" s="0" t="inlineStr">
        <is>
          <t>NULL</t>
        </is>
      </c>
      <c r="K401" s="0" t="inlineStr">
        <is>
          <t>YES! 	 c_money列源备映射正确，源端为sql_variant 0位	期望更改为sql_variant	实际备端为sql_variant 0位</t>
        </is>
      </c>
    </row>
    <row r="402">
      <c r="B402" s="0" t="inlineStr">
        <is>
          <t>NULL</t>
        </is>
      </c>
      <c r="C402" s="0" t="inlineStr">
        <is>
          <t>NULL</t>
        </is>
      </c>
      <c r="D402" s="0" t="inlineStr">
        <is>
          <t>NULL</t>
        </is>
      </c>
      <c r="E402" s="0" t="inlineStr">
        <is>
          <t>NULL</t>
        </is>
      </c>
      <c r="F402" s="0" t="inlineStr">
        <is>
          <t>NULL</t>
        </is>
      </c>
      <c r="G402" s="0" t="inlineStr">
        <is>
          <t>NULL</t>
        </is>
      </c>
      <c r="H402" s="0" t="inlineStr">
        <is>
          <t>NULL</t>
        </is>
      </c>
      <c r="I402" s="0" t="inlineStr">
        <is>
          <t>NULL</t>
        </is>
      </c>
      <c r="J402" s="0" t="inlineStr">
        <is>
          <t>NULL</t>
        </is>
      </c>
      <c r="K402" s="0" t="inlineStr">
        <is>
          <t>YES! 	 c_datetime列源备映射正确，源端为sql_variant 0位	期望更改为sql_variant	实际备端为sql_variant 0位</t>
        </is>
      </c>
    </row>
    <row r="403">
      <c r="B403" s="0" t="inlineStr">
        <is>
          <t>NULL</t>
        </is>
      </c>
      <c r="C403" s="0" t="inlineStr">
        <is>
          <t>NULL</t>
        </is>
      </c>
      <c r="D403" s="0" t="inlineStr">
        <is>
          <t>NULL</t>
        </is>
      </c>
      <c r="E403" s="0" t="inlineStr">
        <is>
          <t>NULL</t>
        </is>
      </c>
      <c r="F403" s="0" t="inlineStr">
        <is>
          <t>NULL</t>
        </is>
      </c>
      <c r="G403" s="0" t="inlineStr">
        <is>
          <t>NULL</t>
        </is>
      </c>
      <c r="H403" s="0" t="inlineStr">
        <is>
          <t>NULL</t>
        </is>
      </c>
      <c r="I403" s="0" t="inlineStr">
        <is>
          <t>NULL</t>
        </is>
      </c>
      <c r="J403" s="0" t="inlineStr">
        <is>
          <t>NULL</t>
        </is>
      </c>
      <c r="K403" s="0" t="inlineStr">
        <is>
          <t>YES! 	 c_float列源备映射正确，源端为sql_variant 0位	期望更改为sql_variant	实际备端为sql_variant 0位</t>
        </is>
      </c>
    </row>
    <row r="404">
      <c r="B404" s="0" t="inlineStr">
        <is>
          <t>NULL</t>
        </is>
      </c>
      <c r="C404" s="0" t="inlineStr">
        <is>
          <t>NULL</t>
        </is>
      </c>
      <c r="D404" s="0" t="inlineStr">
        <is>
          <t>NULL</t>
        </is>
      </c>
      <c r="E404" s="0" t="inlineStr">
        <is>
          <t>NULL</t>
        </is>
      </c>
      <c r="F404" s="0" t="inlineStr">
        <is>
          <t>NULL</t>
        </is>
      </c>
      <c r="G404" s="0" t="inlineStr">
        <is>
          <t>NULL</t>
        </is>
      </c>
      <c r="H404" s="0" t="inlineStr">
        <is>
          <t>NULL</t>
        </is>
      </c>
      <c r="I404" s="0" t="inlineStr">
        <is>
          <t>NULL</t>
        </is>
      </c>
      <c r="J404" s="0" t="inlineStr">
        <is>
          <t>NULL</t>
        </is>
      </c>
      <c r="K404" s="0" t="inlineStr">
        <is>
          <t>YES! 	 c_bit列源备映射正确，源端为sql_variant 0位	期望更改为sql_variant	实际备端为sql_variant 0位</t>
        </is>
      </c>
    </row>
    <row r="405">
      <c r="B405" s="0" t="inlineStr">
        <is>
          <t>NULL</t>
        </is>
      </c>
      <c r="C405" s="0" t="inlineStr">
        <is>
          <t>NULL</t>
        </is>
      </c>
      <c r="D405" s="0" t="inlineStr">
        <is>
          <t>NULL</t>
        </is>
      </c>
      <c r="E405" s="0" t="inlineStr">
        <is>
          <t>NULL</t>
        </is>
      </c>
      <c r="F405" s="0" t="inlineStr">
        <is>
          <t>NULL</t>
        </is>
      </c>
      <c r="G405" s="0" t="inlineStr">
        <is>
          <t>NULL</t>
        </is>
      </c>
      <c r="H405" s="0" t="inlineStr">
        <is>
          <t>NULL</t>
        </is>
      </c>
      <c r="I405" s="0" t="inlineStr">
        <is>
          <t>NULL</t>
        </is>
      </c>
      <c r="J405" s="0" t="inlineStr">
        <is>
          <t>NULL</t>
        </is>
      </c>
      <c r="K405" s="0" t="inlineStr">
        <is>
          <t>YES! 	 c_decimal列源备映射正确，源端为sql_variant 0位	期望更改为sql_variant	实际备端为sql_variant 0位</t>
        </is>
      </c>
    </row>
    <row r="406">
      <c r="B406" s="0" t="inlineStr">
        <is>
          <t>NULL</t>
        </is>
      </c>
      <c r="C406" s="0" t="inlineStr">
        <is>
          <t>NULL</t>
        </is>
      </c>
      <c r="D406" s="0" t="inlineStr">
        <is>
          <t>NULL</t>
        </is>
      </c>
      <c r="E406" s="0" t="inlineStr">
        <is>
          <t>NULL</t>
        </is>
      </c>
      <c r="F406" s="0" t="inlineStr">
        <is>
          <t>NULL</t>
        </is>
      </c>
      <c r="G406" s="0" t="inlineStr">
        <is>
          <t>NULL</t>
        </is>
      </c>
      <c r="H406" s="0" t="inlineStr">
        <is>
          <t>NULL</t>
        </is>
      </c>
      <c r="I406" s="0" t="inlineStr">
        <is>
          <t>NULL</t>
        </is>
      </c>
      <c r="J406" s="0" t="inlineStr">
        <is>
          <t>NULL</t>
        </is>
      </c>
      <c r="K406" s="0" t="inlineStr">
        <is>
          <t>YES! 	 c_uniqueidentifier列源备映射正确，源端为sql_variant 0位	期望更改为sql_variant	实际备端为sql_variant 0位</t>
        </is>
      </c>
    </row>
    <row r="407">
      <c r="B407" s="0" t="inlineStr">
        <is>
          <t>NULL</t>
        </is>
      </c>
      <c r="C407" s="0" t="inlineStr">
        <is>
          <t>NULL</t>
        </is>
      </c>
      <c r="D407" s="0" t="inlineStr">
        <is>
          <t>NULL</t>
        </is>
      </c>
      <c r="E407" s="0" t="inlineStr">
        <is>
          <t>NULL</t>
        </is>
      </c>
      <c r="F407" s="0" t="inlineStr">
        <is>
          <t>NULL</t>
        </is>
      </c>
      <c r="G407" s="0" t="inlineStr">
        <is>
          <t>NULL</t>
        </is>
      </c>
      <c r="H407" s="0" t="inlineStr">
        <is>
          <t>NULL</t>
        </is>
      </c>
      <c r="I407" s="0" t="inlineStr">
        <is>
          <t>NULL</t>
        </is>
      </c>
      <c r="J407" s="0" t="inlineStr">
        <is>
          <t>NULL</t>
        </is>
      </c>
      <c r="K407" s="0" t="inlineStr">
        <is>
          <t>YES! 	 c_smallmoney列源备映射正确，源端为sql_variant 0位	期望更改为sql_variant	实际备端为sql_variant 0位</t>
        </is>
      </c>
    </row>
    <row r="408">
      <c r="B408" s="0" t="inlineStr">
        <is>
          <t>NULL</t>
        </is>
      </c>
      <c r="C408" s="0" t="inlineStr">
        <is>
          <t>NULL</t>
        </is>
      </c>
      <c r="D408" s="0" t="inlineStr">
        <is>
          <t>NULL</t>
        </is>
      </c>
      <c r="E408" s="0" t="inlineStr">
        <is>
          <t>NULL</t>
        </is>
      </c>
      <c r="F408" s="0" t="inlineStr">
        <is>
          <t>NULL</t>
        </is>
      </c>
      <c r="G408" s="0" t="inlineStr">
        <is>
          <t>NULL</t>
        </is>
      </c>
      <c r="H408" s="0" t="inlineStr">
        <is>
          <t>NULL</t>
        </is>
      </c>
      <c r="I408" s="0" t="inlineStr">
        <is>
          <t>NULL</t>
        </is>
      </c>
      <c r="J408" s="0" t="inlineStr">
        <is>
          <t>NULL</t>
        </is>
      </c>
      <c r="K408" s="0" t="inlineStr">
        <is>
          <t>YES! 	 c_bigint列源备映射正确，源端为sql_variant 0位	期望更改为sql_variant	实际备端为sql_variant 0位</t>
        </is>
      </c>
    </row>
    <row r="409">
      <c r="B409" s="0" t="inlineStr">
        <is>
          <t>NULL</t>
        </is>
      </c>
      <c r="C409" s="0" t="inlineStr">
        <is>
          <t>NULL</t>
        </is>
      </c>
      <c r="D409" s="0" t="inlineStr">
        <is>
          <t>NULL</t>
        </is>
      </c>
      <c r="E409" s="0" t="inlineStr">
        <is>
          <t>NULL</t>
        </is>
      </c>
      <c r="F409" s="0" t="inlineStr">
        <is>
          <t>NULL</t>
        </is>
      </c>
      <c r="G409" s="0" t="inlineStr">
        <is>
          <t>NULL</t>
        </is>
      </c>
      <c r="H409" s="0" t="inlineStr">
        <is>
          <t>NULL</t>
        </is>
      </c>
      <c r="I409" s="0" t="inlineStr">
        <is>
          <t>NULL</t>
        </is>
      </c>
      <c r="J409" s="0" t="inlineStr">
        <is>
          <t>NULL</t>
        </is>
      </c>
      <c r="K409" s="0" t="inlineStr">
        <is>
          <t>YES! 	 c_varbinary_20列源备映射正确，源端为sql_variant 0位	期望更改为sql_variant	实际备端为sql_variant 0位</t>
        </is>
      </c>
    </row>
    <row r="410">
      <c r="B410" s="0" t="inlineStr">
        <is>
          <t>NULL</t>
        </is>
      </c>
      <c r="C410" s="0" t="inlineStr">
        <is>
          <t>NULL</t>
        </is>
      </c>
      <c r="D410" s="0" t="inlineStr">
        <is>
          <t>NULL</t>
        </is>
      </c>
      <c r="E410" s="0" t="inlineStr">
        <is>
          <t>NULL</t>
        </is>
      </c>
      <c r="F410" s="0" t="inlineStr">
        <is>
          <t>NULL</t>
        </is>
      </c>
      <c r="G410" s="0" t="inlineStr">
        <is>
          <t>NULL</t>
        </is>
      </c>
      <c r="H410" s="0" t="inlineStr">
        <is>
          <t>NULL</t>
        </is>
      </c>
      <c r="I410" s="0" t="inlineStr">
        <is>
          <t>NULL</t>
        </is>
      </c>
      <c r="J410" s="0" t="inlineStr">
        <is>
          <t>NULL</t>
        </is>
      </c>
      <c r="K410" s="0" t="inlineStr">
        <is>
          <t>YES! 	 c_varchar_20列源备映射正确，源端为sql_variant 0位	期望更改为sql_variant	实际备端为sql_variant 0位</t>
        </is>
      </c>
    </row>
    <row r="411">
      <c r="B411" s="0" t="inlineStr">
        <is>
          <t>NULL</t>
        </is>
      </c>
      <c r="C411" s="0" t="inlineStr">
        <is>
          <t>NULL</t>
        </is>
      </c>
      <c r="D411" s="0" t="inlineStr">
        <is>
          <t>NULL</t>
        </is>
      </c>
      <c r="E411" s="0" t="inlineStr">
        <is>
          <t>NULL</t>
        </is>
      </c>
      <c r="F411" s="0" t="inlineStr">
        <is>
          <t>NULL</t>
        </is>
      </c>
      <c r="G411" s="0" t="inlineStr">
        <is>
          <t>NULL</t>
        </is>
      </c>
      <c r="H411" s="0" t="inlineStr">
        <is>
          <t>NULL</t>
        </is>
      </c>
      <c r="I411" s="0" t="inlineStr">
        <is>
          <t>NULL</t>
        </is>
      </c>
      <c r="J411" s="0" t="inlineStr">
        <is>
          <t>NULL</t>
        </is>
      </c>
      <c r="K411" s="0" t="inlineStr">
        <is>
          <t>YES! 	 c_binary_20列源备映射正确，源端为sql_variant 0位	期望更改为sql_variant	实际备端为sql_variant 0位</t>
        </is>
      </c>
    </row>
    <row r="412">
      <c r="B412" s="0" t="inlineStr">
        <is>
          <t>NULL</t>
        </is>
      </c>
      <c r="C412" s="0" t="inlineStr">
        <is>
          <t>NULL</t>
        </is>
      </c>
      <c r="D412" s="0" t="inlineStr">
        <is>
          <t>NULL</t>
        </is>
      </c>
      <c r="E412" s="0" t="inlineStr">
        <is>
          <t>NULL</t>
        </is>
      </c>
      <c r="F412" s="0" t="inlineStr">
        <is>
          <t>NULL</t>
        </is>
      </c>
      <c r="G412" s="0" t="inlineStr">
        <is>
          <t>NULL</t>
        </is>
      </c>
      <c r="H412" s="0" t="inlineStr">
        <is>
          <t>NULL</t>
        </is>
      </c>
      <c r="I412" s="0" t="inlineStr">
        <is>
          <t>NULL</t>
        </is>
      </c>
      <c r="J412" s="0" t="inlineStr">
        <is>
          <t>NULL</t>
        </is>
      </c>
      <c r="K412" s="0" t="inlineStr">
        <is>
          <t>YES! 	 c_char_20列源备映射正确，源端为sql_variant 0位	期望更改为sql_variant	实际备端为sql_variant 0位</t>
        </is>
      </c>
    </row>
    <row r="413">
      <c r="B413" s="0" t="inlineStr">
        <is>
          <t>NULL</t>
        </is>
      </c>
      <c r="C413" s="0" t="inlineStr">
        <is>
          <t>NULL</t>
        </is>
      </c>
      <c r="D413" s="0" t="inlineStr">
        <is>
          <t>NULL</t>
        </is>
      </c>
      <c r="E413" s="0" t="inlineStr">
        <is>
          <t>NULL</t>
        </is>
      </c>
      <c r="F413" s="0" t="inlineStr">
        <is>
          <t>NULL</t>
        </is>
      </c>
      <c r="G413" s="0" t="inlineStr">
        <is>
          <t>NULL</t>
        </is>
      </c>
      <c r="H413" s="0" t="inlineStr">
        <is>
          <t>NULL</t>
        </is>
      </c>
      <c r="I413" s="0" t="inlineStr">
        <is>
          <t>NULL</t>
        </is>
      </c>
      <c r="J413" s="0" t="inlineStr">
        <is>
          <t>NULL</t>
        </is>
      </c>
      <c r="K413" s="0" t="inlineStr">
        <is>
          <t>YES! 	 c_nvarchar_20列源备映射正确，源端为sql_variant 0位	期望更改为sql_variant	实际备端为sql_variant 0位</t>
        </is>
      </c>
    </row>
    <row r="414">
      <c r="B414" s="0" t="inlineStr">
        <is>
          <t>NULL</t>
        </is>
      </c>
      <c r="C414" s="0" t="inlineStr">
        <is>
          <t>NULL</t>
        </is>
      </c>
      <c r="D414" s="0" t="inlineStr">
        <is>
          <t>NULL</t>
        </is>
      </c>
      <c r="E414" s="0" t="inlineStr">
        <is>
          <t>NULL</t>
        </is>
      </c>
      <c r="F414" s="0" t="inlineStr">
        <is>
          <t>NULL</t>
        </is>
      </c>
      <c r="G414" s="0" t="inlineStr">
        <is>
          <t>NULL</t>
        </is>
      </c>
      <c r="H414" s="0" t="inlineStr">
        <is>
          <t>NULL</t>
        </is>
      </c>
      <c r="I414" s="0" t="inlineStr">
        <is>
          <t>NULL</t>
        </is>
      </c>
      <c r="J414" s="0" t="inlineStr">
        <is>
          <t>NULL</t>
        </is>
      </c>
      <c r="K414" s="0" t="inlineStr">
        <is>
          <t>YES! 	 c_nchar_20列源备映射正确，源端为sql_variant 0位	期望更改为sql_variant	实际备端为sql_variant 0位</t>
        </is>
      </c>
    </row>
    <row r="415">
      <c r="B415" s="0" t="inlineStr">
        <is>
          <t>NULL</t>
        </is>
      </c>
      <c r="C415" s="0" t="inlineStr">
        <is>
          <t>NULL</t>
        </is>
      </c>
      <c r="D415" s="0" t="inlineStr">
        <is>
          <t>NULL</t>
        </is>
      </c>
      <c r="E415" s="0" t="inlineStr">
        <is>
          <t>NULL</t>
        </is>
      </c>
      <c r="F415" s="0" t="inlineStr">
        <is>
          <t>NULL</t>
        </is>
      </c>
      <c r="G415" s="0" t="inlineStr">
        <is>
          <t>NULL</t>
        </is>
      </c>
      <c r="H415" s="0" t="inlineStr">
        <is>
          <t>NULL</t>
        </is>
      </c>
      <c r="I415" s="0" t="inlineStr">
        <is>
          <t>NULL</t>
        </is>
      </c>
      <c r="J415" s="0" t="inlineStr">
        <is>
          <t>NULL</t>
        </is>
      </c>
      <c r="K415" s="0" t="inlineStr">
        <is>
          <t>YES! 	 c_timestamp列源备映射正确，源端为timestamp None位	期望更改为timestamp	实际备端为timestamp None位</t>
        </is>
      </c>
    </row>
    <row r="416">
      <c r="A416" s="0" t="inlineStr">
        <is>
          <t>info_varchar_dml_batch1_pk_irp2</t>
        </is>
      </c>
      <c r="K416" s="0" t="inlineStr">
        <is>
          <t>[0;34m info_varchar_dml_batch1_pk_irp2 [0m源备字段数相同，源端字段：4 	备端字段4</t>
        </is>
      </c>
      <c r="W416" s="0" t="inlineStr">
        <is>
          <t>YES 源备无差异</t>
        </is>
      </c>
      <c r="X416" s="0">
        <f>A416</f>
        <v/>
      </c>
    </row>
    <row r="417">
      <c r="B417" s="0" t="inlineStr">
        <is>
          <t>YES</t>
        </is>
      </c>
      <c r="C417" s="0" t="inlineStr">
        <is>
          <t>NULL</t>
        </is>
      </c>
      <c r="D417" s="0" t="inlineStr">
        <is>
          <t>NULL</t>
        </is>
      </c>
      <c r="E417" s="0" t="inlineStr">
        <is>
          <t>NULL</t>
        </is>
      </c>
      <c r="F417" s="0" t="inlineStr">
        <is>
          <t>NULL</t>
        </is>
      </c>
      <c r="G417" s="0" t="inlineStr">
        <is>
          <t>NULL</t>
        </is>
      </c>
      <c r="H417" s="0" t="inlineStr">
        <is>
          <t>NULL</t>
        </is>
      </c>
      <c r="I417" s="0" t="inlineStr">
        <is>
          <t>YES!PK__info_var__3213E83FA0841A50</t>
        </is>
      </c>
      <c r="J417" s="0" t="inlineStr">
        <is>
          <t>YES! 主键相关索引</t>
        </is>
      </c>
      <c r="K417" s="0" t="inlineStr">
        <is>
          <t>YES! 	 id列源备映射正确，源端为int None位	期望更改为int	实际备端为int None位</t>
        </is>
      </c>
    </row>
    <row r="418">
      <c r="B418" s="0" t="inlineStr">
        <is>
          <t>NULL</t>
        </is>
      </c>
      <c r="C418" s="0" t="inlineStr">
        <is>
          <t>NULL</t>
        </is>
      </c>
      <c r="D418" s="0" t="inlineStr">
        <is>
          <t>NULL</t>
        </is>
      </c>
      <c r="E418" s="0" t="inlineStr">
        <is>
          <t>NULL</t>
        </is>
      </c>
      <c r="F418" s="0" t="inlineStr">
        <is>
          <t>NULL</t>
        </is>
      </c>
      <c r="G418" s="0" t="inlineStr">
        <is>
          <t>NULL</t>
        </is>
      </c>
      <c r="H418" s="0" t="inlineStr">
        <is>
          <t>NULL</t>
        </is>
      </c>
      <c r="I418" s="0" t="inlineStr">
        <is>
          <t>NULL</t>
        </is>
      </c>
      <c r="J418" s="0" t="inlineStr">
        <is>
          <t>NULL</t>
        </is>
      </c>
      <c r="K418" s="0" t="inlineStr">
        <is>
          <t>YES! 	 c_varchar列源备映射正确，源端为varchar 1位	期望更改为varchar(n)	实际备端为varchar 1位</t>
        </is>
      </c>
    </row>
    <row r="419">
      <c r="B419" s="0" t="inlineStr">
        <is>
          <t>NULL</t>
        </is>
      </c>
      <c r="C419" s="0" t="inlineStr">
        <is>
          <t>NULL</t>
        </is>
      </c>
      <c r="D419" s="0" t="inlineStr">
        <is>
          <t>NULL</t>
        </is>
      </c>
      <c r="E419" s="0" t="inlineStr">
        <is>
          <t>NULL</t>
        </is>
      </c>
      <c r="F419" s="0" t="inlineStr">
        <is>
          <t>NULL</t>
        </is>
      </c>
      <c r="G419" s="0" t="inlineStr">
        <is>
          <t>NULL</t>
        </is>
      </c>
      <c r="H419" s="0" t="inlineStr">
        <is>
          <t>NULL</t>
        </is>
      </c>
      <c r="I419" s="0" t="inlineStr">
        <is>
          <t>NULL</t>
        </is>
      </c>
      <c r="J419" s="0" t="inlineStr">
        <is>
          <t>NULL</t>
        </is>
      </c>
      <c r="K419" s="0" t="inlineStr">
        <is>
          <t>YES! 	 c_varchar20列源备映射正确，源端为varchar 20位	期望更改为varchar(n)	实际备端为varchar 20位</t>
        </is>
      </c>
    </row>
    <row r="420">
      <c r="B420" s="0" t="inlineStr">
        <is>
          <t>NULL</t>
        </is>
      </c>
      <c r="C420" s="0" t="inlineStr">
        <is>
          <t>NULL</t>
        </is>
      </c>
      <c r="D420" s="0" t="inlineStr">
        <is>
          <t>NULL</t>
        </is>
      </c>
      <c r="E420" s="0" t="inlineStr">
        <is>
          <t>NULL</t>
        </is>
      </c>
      <c r="F420" s="0" t="inlineStr">
        <is>
          <t>NULL</t>
        </is>
      </c>
      <c r="G420" s="0" t="inlineStr">
        <is>
          <t>NULL</t>
        </is>
      </c>
      <c r="H420" s="0" t="inlineStr">
        <is>
          <t>NULL</t>
        </is>
      </c>
      <c r="I420" s="0" t="inlineStr">
        <is>
          <t>NULL</t>
        </is>
      </c>
      <c r="J420" s="0" t="inlineStr">
        <is>
          <t>NULL</t>
        </is>
      </c>
      <c r="K420" s="0" t="inlineStr">
        <is>
          <t>YES! 	 c_varchar8000列源备映射正确，源端为varchar 8000位	期望更改为varchar(n)	实际备端为varchar 8000位</t>
        </is>
      </c>
    </row>
    <row r="421">
      <c r="A421" s="0" t="inlineStr">
        <is>
          <t>info_nchar_dml_single_pk_urp</t>
        </is>
      </c>
      <c r="K421" s="0" t="inlineStr">
        <is>
          <t>[0;34m info_nchar_dml_single_pk_urp [0m源备字段数相同，源端字段：4 	备端字段4</t>
        </is>
      </c>
      <c r="W421" s="0" t="inlineStr">
        <is>
          <t>YES 源备无差异</t>
        </is>
      </c>
      <c r="X421" s="0">
        <f>A421</f>
        <v/>
      </c>
    </row>
    <row r="422">
      <c r="B422" s="0" t="inlineStr">
        <is>
          <t>YES</t>
        </is>
      </c>
      <c r="C422" s="0" t="inlineStr">
        <is>
          <t>NULL</t>
        </is>
      </c>
      <c r="D422" s="0" t="inlineStr">
        <is>
          <t>NULL</t>
        </is>
      </c>
      <c r="E422" s="0" t="inlineStr">
        <is>
          <t>NULL</t>
        </is>
      </c>
      <c r="F422" s="0" t="inlineStr">
        <is>
          <t>NULL</t>
        </is>
      </c>
      <c r="G422" s="0" t="inlineStr">
        <is>
          <t>NULL</t>
        </is>
      </c>
      <c r="H422" s="0" t="inlineStr">
        <is>
          <t>NULL</t>
        </is>
      </c>
      <c r="I422" s="0" t="inlineStr">
        <is>
          <t>YES!PK__info_nch__3213E83FF1080D2F</t>
        </is>
      </c>
      <c r="J422" s="0" t="inlineStr">
        <is>
          <t>YES! 主键相关索引</t>
        </is>
      </c>
      <c r="K422" s="0" t="inlineStr">
        <is>
          <t>YES! 	 id列源备映射正确，源端为int None位	期望更改为int	实际备端为int None位</t>
        </is>
      </c>
    </row>
    <row r="423">
      <c r="B423" s="0" t="inlineStr">
        <is>
          <t>NULL</t>
        </is>
      </c>
      <c r="C423" s="0" t="inlineStr">
        <is>
          <t>NULL</t>
        </is>
      </c>
      <c r="D423" s="0" t="inlineStr">
        <is>
          <t>NULL</t>
        </is>
      </c>
      <c r="E423" s="0" t="inlineStr">
        <is>
          <t>NULL</t>
        </is>
      </c>
      <c r="F423" s="0" t="inlineStr">
        <is>
          <t>NULL</t>
        </is>
      </c>
      <c r="G423" s="0" t="inlineStr">
        <is>
          <t>NULL</t>
        </is>
      </c>
      <c r="H423" s="0" t="inlineStr">
        <is>
          <t>NULL</t>
        </is>
      </c>
      <c r="I423" s="0" t="inlineStr">
        <is>
          <t>NULL</t>
        </is>
      </c>
      <c r="J423" s="0" t="inlineStr">
        <is>
          <t>NULL</t>
        </is>
      </c>
      <c r="K423" s="0" t="inlineStr">
        <is>
          <t>YES! 	 c_nchar列源备映射正确，源端为nchar 2位	期望更改为nchar(n)	实际备端为nchar 2位</t>
        </is>
      </c>
    </row>
    <row r="424">
      <c r="B424" s="0" t="inlineStr">
        <is>
          <t>NULL</t>
        </is>
      </c>
      <c r="C424" s="0" t="inlineStr">
        <is>
          <t>NULL</t>
        </is>
      </c>
      <c r="D424" s="0" t="inlineStr">
        <is>
          <t>NULL</t>
        </is>
      </c>
      <c r="E424" s="0" t="inlineStr">
        <is>
          <t>NULL</t>
        </is>
      </c>
      <c r="F424" s="0" t="inlineStr">
        <is>
          <t>NULL</t>
        </is>
      </c>
      <c r="G424" s="0" t="inlineStr">
        <is>
          <t>NULL</t>
        </is>
      </c>
      <c r="H424" s="0" t="inlineStr">
        <is>
          <t>NULL</t>
        </is>
      </c>
      <c r="I424" s="0" t="inlineStr">
        <is>
          <t>NULL</t>
        </is>
      </c>
      <c r="J424" s="0" t="inlineStr">
        <is>
          <t>NULL</t>
        </is>
      </c>
      <c r="K424" s="0" t="inlineStr">
        <is>
          <t>YES! 	 c_nchar20列源备映射正确，源端为nchar 40位	期望更改为nchar(n)	实际备端为nchar 40位</t>
        </is>
      </c>
    </row>
    <row r="425">
      <c r="B425" s="0" t="inlineStr">
        <is>
          <t>NULL</t>
        </is>
      </c>
      <c r="C425" s="0" t="inlineStr">
        <is>
          <t>NULL</t>
        </is>
      </c>
      <c r="D425" s="0" t="inlineStr">
        <is>
          <t>NULL</t>
        </is>
      </c>
      <c r="E425" s="0" t="inlineStr">
        <is>
          <t>NULL</t>
        </is>
      </c>
      <c r="F425" s="0" t="inlineStr">
        <is>
          <t>NULL</t>
        </is>
      </c>
      <c r="G425" s="0" t="inlineStr">
        <is>
          <t>NULL</t>
        </is>
      </c>
      <c r="H425" s="0" t="inlineStr">
        <is>
          <t>NULL</t>
        </is>
      </c>
      <c r="I425" s="0" t="inlineStr">
        <is>
          <t>NULL</t>
        </is>
      </c>
      <c r="J425" s="0" t="inlineStr">
        <is>
          <t>NULL</t>
        </is>
      </c>
      <c r="K425" s="0" t="inlineStr">
        <is>
          <t>YES! 	 c_nchar3500列源备映射正确，源端为nchar 7000位	期望更改为nchar(n)	实际备端为nchar 7000位</t>
        </is>
      </c>
    </row>
    <row r="426">
      <c r="A426" s="0" t="inlineStr">
        <is>
          <t>info_int_dml_single_nopk_irp</t>
        </is>
      </c>
      <c r="K426" s="0" t="inlineStr">
        <is>
          <t>[0;34m info_int_dml_single_nopk_irp [0m源备字段数相同，源端字段：20 	备端字段20</t>
        </is>
      </c>
      <c r="W426" s="0" t="inlineStr">
        <is>
          <t>YES 源备无差异</t>
        </is>
      </c>
      <c r="X426" s="0">
        <f>A426</f>
        <v/>
      </c>
    </row>
    <row r="427">
      <c r="B427" s="0" t="inlineStr">
        <is>
          <t>NULL</t>
        </is>
      </c>
      <c r="C427" s="0" t="inlineStr">
        <is>
          <t>NULL</t>
        </is>
      </c>
      <c r="D427" s="0" t="inlineStr">
        <is>
          <t>NULL</t>
        </is>
      </c>
      <c r="E427" s="0" t="inlineStr">
        <is>
          <t>NULL</t>
        </is>
      </c>
      <c r="F427" s="0" t="inlineStr">
        <is>
          <t>NULL</t>
        </is>
      </c>
      <c r="G427" s="0" t="inlineStr">
        <is>
          <t>NULL</t>
        </is>
      </c>
      <c r="H427" s="0" t="inlineStr">
        <is>
          <t>NULL</t>
        </is>
      </c>
      <c r="I427" s="0" t="inlineStr">
        <is>
          <t>NULL</t>
        </is>
      </c>
      <c r="J427" s="0" t="inlineStr">
        <is>
          <t>NULL</t>
        </is>
      </c>
      <c r="K427" s="0" t="inlineStr">
        <is>
          <t>YES! 	 id列源备映射正确，源端为int None位	期望更改为int	实际备端为int None位</t>
        </is>
      </c>
    </row>
    <row r="428">
      <c r="B428" s="0" t="inlineStr">
        <is>
          <t>NULL</t>
        </is>
      </c>
      <c r="C428" s="0" t="inlineStr">
        <is>
          <t>NULL</t>
        </is>
      </c>
      <c r="D428" s="0" t="inlineStr">
        <is>
          <t>NULL</t>
        </is>
      </c>
      <c r="E428" s="0" t="inlineStr">
        <is>
          <t>NULL</t>
        </is>
      </c>
      <c r="F428" s="0" t="inlineStr">
        <is>
          <t>NULL</t>
        </is>
      </c>
      <c r="G428" s="0" t="inlineStr">
        <is>
          <t>NULL</t>
        </is>
      </c>
      <c r="H428" s="0" t="inlineStr">
        <is>
          <t>NULL</t>
        </is>
      </c>
      <c r="I428" s="0" t="inlineStr">
        <is>
          <t>NULL</t>
        </is>
      </c>
      <c r="J428" s="0" t="inlineStr">
        <is>
          <t>NULL</t>
        </is>
      </c>
      <c r="K428" s="0" t="inlineStr">
        <is>
          <t>YES! 	 c_tinyint列源备映射正确，源端为tinyint None位	期望更改为tinyint	实际备端为tinyint None位</t>
        </is>
      </c>
    </row>
    <row r="429">
      <c r="B429" s="0" t="inlineStr">
        <is>
          <t>NULL</t>
        </is>
      </c>
      <c r="C429" s="0" t="inlineStr">
        <is>
          <t>NULL</t>
        </is>
      </c>
      <c r="D429" s="0" t="inlineStr">
        <is>
          <t>NULL</t>
        </is>
      </c>
      <c r="E429" s="0" t="inlineStr">
        <is>
          <t>NULL</t>
        </is>
      </c>
      <c r="F429" s="0" t="inlineStr">
        <is>
          <t>NULL</t>
        </is>
      </c>
      <c r="G429" s="0" t="inlineStr">
        <is>
          <t>NULL</t>
        </is>
      </c>
      <c r="H429" s="0" t="inlineStr">
        <is>
          <t>NULL</t>
        </is>
      </c>
      <c r="I429" s="0" t="inlineStr">
        <is>
          <t>NULL</t>
        </is>
      </c>
      <c r="J429" s="0" t="inlineStr">
        <is>
          <t>NULL</t>
        </is>
      </c>
      <c r="K429" s="0" t="inlineStr">
        <is>
          <t>YES! 	 c_smallint列源备映射正确，源端为smallint None位	期望更改为smallint	实际备端为smallint None位</t>
        </is>
      </c>
    </row>
    <row r="430">
      <c r="B430" s="0" t="inlineStr">
        <is>
          <t>NULL</t>
        </is>
      </c>
      <c r="C430" s="0" t="inlineStr">
        <is>
          <t>NULL</t>
        </is>
      </c>
      <c r="D430" s="0" t="inlineStr">
        <is>
          <t>NULL</t>
        </is>
      </c>
      <c r="E430" s="0" t="inlineStr">
        <is>
          <t>NULL</t>
        </is>
      </c>
      <c r="F430" s="0" t="inlineStr">
        <is>
          <t>NULL</t>
        </is>
      </c>
      <c r="G430" s="0" t="inlineStr">
        <is>
          <t>NULL</t>
        </is>
      </c>
      <c r="H430" s="0" t="inlineStr">
        <is>
          <t>NULL</t>
        </is>
      </c>
      <c r="I430" s="0" t="inlineStr">
        <is>
          <t>NULL</t>
        </is>
      </c>
      <c r="J430" s="0" t="inlineStr">
        <is>
          <t>NULL</t>
        </is>
      </c>
      <c r="K430" s="0" t="inlineStr">
        <is>
          <t>YES! 	 c_int列源备映射正确，源端为int None位	期望更改为int	实际备端为int None位</t>
        </is>
      </c>
    </row>
    <row r="431">
      <c r="B431" s="0" t="inlineStr">
        <is>
          <t>NULL</t>
        </is>
      </c>
      <c r="C431" s="0" t="inlineStr">
        <is>
          <t>NULL</t>
        </is>
      </c>
      <c r="D431" s="0" t="inlineStr">
        <is>
          <t>NULL</t>
        </is>
      </c>
      <c r="E431" s="0" t="inlineStr">
        <is>
          <t>NULL</t>
        </is>
      </c>
      <c r="F431" s="0" t="inlineStr">
        <is>
          <t>NULL</t>
        </is>
      </c>
      <c r="G431" s="0" t="inlineStr">
        <is>
          <t>NULL</t>
        </is>
      </c>
      <c r="H431" s="0" t="inlineStr">
        <is>
          <t>NULL</t>
        </is>
      </c>
      <c r="I431" s="0" t="inlineStr">
        <is>
          <t>NULL</t>
        </is>
      </c>
      <c r="J431" s="0" t="inlineStr">
        <is>
          <t>NULL</t>
        </is>
      </c>
      <c r="K431" s="0" t="inlineStr">
        <is>
          <t>YES! 	 c_bigint列源备映射正确，源端为bigint None位	期望更改为bigint	实际备端为bigint None位</t>
        </is>
      </c>
    </row>
    <row r="432">
      <c r="B432" s="0" t="inlineStr">
        <is>
          <t>NULL</t>
        </is>
      </c>
      <c r="C432" s="0" t="inlineStr">
        <is>
          <t>NULL</t>
        </is>
      </c>
      <c r="D432" s="0" t="inlineStr">
        <is>
          <t>NULL</t>
        </is>
      </c>
      <c r="E432" s="0" t="inlineStr">
        <is>
          <t>NULL</t>
        </is>
      </c>
      <c r="F432" s="0" t="inlineStr">
        <is>
          <t>NULL</t>
        </is>
      </c>
      <c r="G432" s="0" t="inlineStr">
        <is>
          <t>NULL</t>
        </is>
      </c>
      <c r="H432" s="0" t="inlineStr">
        <is>
          <t>NULL</t>
        </is>
      </c>
      <c r="I432" s="0" t="inlineStr">
        <is>
          <t>NULL</t>
        </is>
      </c>
      <c r="J432" s="0" t="inlineStr">
        <is>
          <t>NULL</t>
        </is>
      </c>
      <c r="K432" s="0" t="inlineStr">
        <is>
          <t>YES! 	 c_decimal列源备映射正确，源端为decimal None位	期望更改为decimal(p,s)	实际备端为decimal None位</t>
        </is>
      </c>
    </row>
    <row r="433">
      <c r="B433" s="0" t="inlineStr">
        <is>
          <t>NULL</t>
        </is>
      </c>
      <c r="C433" s="0" t="inlineStr">
        <is>
          <t>NULL</t>
        </is>
      </c>
      <c r="D433" s="0" t="inlineStr">
        <is>
          <t>NULL</t>
        </is>
      </c>
      <c r="E433" s="0" t="inlineStr">
        <is>
          <t>NULL</t>
        </is>
      </c>
      <c r="F433" s="0" t="inlineStr">
        <is>
          <t>NULL</t>
        </is>
      </c>
      <c r="G433" s="0" t="inlineStr">
        <is>
          <t>NULL</t>
        </is>
      </c>
      <c r="H433" s="0" t="inlineStr">
        <is>
          <t>NULL</t>
        </is>
      </c>
      <c r="I433" s="0" t="inlineStr">
        <is>
          <t>NULL</t>
        </is>
      </c>
      <c r="J433" s="0" t="inlineStr">
        <is>
          <t>NULL</t>
        </is>
      </c>
      <c r="K433" s="0" t="inlineStr">
        <is>
          <t>YES! 	 c_decimal38列源备映射正确，源端为decimal None位	期望更改为decimal(p,s)	实际备端为decimal None位</t>
        </is>
      </c>
    </row>
    <row r="434">
      <c r="B434" s="0" t="inlineStr">
        <is>
          <t>NULL</t>
        </is>
      </c>
      <c r="C434" s="0" t="inlineStr">
        <is>
          <t>NULL</t>
        </is>
      </c>
      <c r="D434" s="0" t="inlineStr">
        <is>
          <t>NULL</t>
        </is>
      </c>
      <c r="E434" s="0" t="inlineStr">
        <is>
          <t>NULL</t>
        </is>
      </c>
      <c r="F434" s="0" t="inlineStr">
        <is>
          <t>NULL</t>
        </is>
      </c>
      <c r="G434" s="0" t="inlineStr">
        <is>
          <t>NULL</t>
        </is>
      </c>
      <c r="H434" s="0" t="inlineStr">
        <is>
          <t>NULL</t>
        </is>
      </c>
      <c r="I434" s="0" t="inlineStr">
        <is>
          <t>NULL</t>
        </is>
      </c>
      <c r="J434" s="0" t="inlineStr">
        <is>
          <t>NULL</t>
        </is>
      </c>
      <c r="K434" s="0" t="inlineStr">
        <is>
          <t>YES! 	 c_decimal38_38列源备映射正确，源端为decimal None位	期望更改为decimal(p,s)	实际备端为decimal None位</t>
        </is>
      </c>
    </row>
    <row r="435">
      <c r="B435" s="0" t="inlineStr">
        <is>
          <t>NULL</t>
        </is>
      </c>
      <c r="C435" s="0" t="inlineStr">
        <is>
          <t>NULL</t>
        </is>
      </c>
      <c r="D435" s="0" t="inlineStr">
        <is>
          <t>NULL</t>
        </is>
      </c>
      <c r="E435" s="0" t="inlineStr">
        <is>
          <t>NULL</t>
        </is>
      </c>
      <c r="F435" s="0" t="inlineStr">
        <is>
          <t>NULL</t>
        </is>
      </c>
      <c r="G435" s="0" t="inlineStr">
        <is>
          <t>NULL</t>
        </is>
      </c>
      <c r="H435" s="0" t="inlineStr">
        <is>
          <t>NULL</t>
        </is>
      </c>
      <c r="I435" s="0" t="inlineStr">
        <is>
          <t>NULL</t>
        </is>
      </c>
      <c r="J435" s="0" t="inlineStr">
        <is>
          <t>NULL</t>
        </is>
      </c>
      <c r="K435" s="0" t="inlineStr">
        <is>
          <t>YES! 	 c_decimal38_10列源备映射正确，源端为decimal None位	期望更改为decimal(p,s)	实际备端为decimal None位</t>
        </is>
      </c>
    </row>
    <row r="436">
      <c r="B436" s="0" t="inlineStr">
        <is>
          <t>NULL</t>
        </is>
      </c>
      <c r="C436" s="0" t="inlineStr">
        <is>
          <t>NULL</t>
        </is>
      </c>
      <c r="D436" s="0" t="inlineStr">
        <is>
          <t>NULL</t>
        </is>
      </c>
      <c r="E436" s="0" t="inlineStr">
        <is>
          <t>NULL</t>
        </is>
      </c>
      <c r="F436" s="0" t="inlineStr">
        <is>
          <t>NULL</t>
        </is>
      </c>
      <c r="G436" s="0" t="inlineStr">
        <is>
          <t>NULL</t>
        </is>
      </c>
      <c r="H436" s="0" t="inlineStr">
        <is>
          <t>NULL</t>
        </is>
      </c>
      <c r="I436" s="0" t="inlineStr">
        <is>
          <t>NULL</t>
        </is>
      </c>
      <c r="J436" s="0" t="inlineStr">
        <is>
          <t>NULL</t>
        </is>
      </c>
      <c r="K436" s="0" t="inlineStr">
        <is>
          <t>YES! 	 c_decimal19_4列源备映射正确，源端为decimal None位	期望更改为decimal(p,s)	实际备端为decimal None位</t>
        </is>
      </c>
    </row>
    <row r="437">
      <c r="B437" s="0" t="inlineStr">
        <is>
          <t>NULL</t>
        </is>
      </c>
      <c r="C437" s="0" t="inlineStr">
        <is>
          <t>NULL</t>
        </is>
      </c>
      <c r="D437" s="0" t="inlineStr">
        <is>
          <t>NULL</t>
        </is>
      </c>
      <c r="E437" s="0" t="inlineStr">
        <is>
          <t>NULL</t>
        </is>
      </c>
      <c r="F437" s="0" t="inlineStr">
        <is>
          <t>NULL</t>
        </is>
      </c>
      <c r="G437" s="0" t="inlineStr">
        <is>
          <t>NULL</t>
        </is>
      </c>
      <c r="H437" s="0" t="inlineStr">
        <is>
          <t>NULL</t>
        </is>
      </c>
      <c r="I437" s="0" t="inlineStr">
        <is>
          <t>NULL</t>
        </is>
      </c>
      <c r="J437" s="0" t="inlineStr">
        <is>
          <t>NULL</t>
        </is>
      </c>
      <c r="K437" s="0" t="inlineStr">
        <is>
          <t>YES! 	 c_numeric列源备映射正确，源端为numeric None位	期望更改为numeric(p,s)	实际备端为numeric None位</t>
        </is>
      </c>
    </row>
    <row r="438">
      <c r="B438" s="0" t="inlineStr">
        <is>
          <t>NULL</t>
        </is>
      </c>
      <c r="C438" s="0" t="inlineStr">
        <is>
          <t>NULL</t>
        </is>
      </c>
      <c r="D438" s="0" t="inlineStr">
        <is>
          <t>NULL</t>
        </is>
      </c>
      <c r="E438" s="0" t="inlineStr">
        <is>
          <t>NULL</t>
        </is>
      </c>
      <c r="F438" s="0" t="inlineStr">
        <is>
          <t>NULL</t>
        </is>
      </c>
      <c r="G438" s="0" t="inlineStr">
        <is>
          <t>NULL</t>
        </is>
      </c>
      <c r="H438" s="0" t="inlineStr">
        <is>
          <t>NULL</t>
        </is>
      </c>
      <c r="I438" s="0" t="inlineStr">
        <is>
          <t>NULL</t>
        </is>
      </c>
      <c r="J438" s="0" t="inlineStr">
        <is>
          <t>NULL</t>
        </is>
      </c>
      <c r="K438" s="0" t="inlineStr">
        <is>
          <t>YES! 	 c_numeric38列源备映射正确，源端为numeric None位	期望更改为numeric(p,s)	实际备端为numeric None位</t>
        </is>
      </c>
    </row>
    <row r="439">
      <c r="B439" s="0" t="inlineStr">
        <is>
          <t>NULL</t>
        </is>
      </c>
      <c r="C439" s="0" t="inlineStr">
        <is>
          <t>NULL</t>
        </is>
      </c>
      <c r="D439" s="0" t="inlineStr">
        <is>
          <t>NULL</t>
        </is>
      </c>
      <c r="E439" s="0" t="inlineStr">
        <is>
          <t>NULL</t>
        </is>
      </c>
      <c r="F439" s="0" t="inlineStr">
        <is>
          <t>NULL</t>
        </is>
      </c>
      <c r="G439" s="0" t="inlineStr">
        <is>
          <t>NULL</t>
        </is>
      </c>
      <c r="H439" s="0" t="inlineStr">
        <is>
          <t>NULL</t>
        </is>
      </c>
      <c r="I439" s="0" t="inlineStr">
        <is>
          <t>NULL</t>
        </is>
      </c>
      <c r="J439" s="0" t="inlineStr">
        <is>
          <t>NULL</t>
        </is>
      </c>
      <c r="K439" s="0" t="inlineStr">
        <is>
          <t>YES! 	 c_numeric38_38列源备映射正确，源端为numeric None位	期望更改为numeric(p,s)	实际备端为numeric None位</t>
        </is>
      </c>
    </row>
    <row r="440">
      <c r="B440" s="0" t="inlineStr">
        <is>
          <t>NULL</t>
        </is>
      </c>
      <c r="C440" s="0" t="inlineStr">
        <is>
          <t>NULL</t>
        </is>
      </c>
      <c r="D440" s="0" t="inlineStr">
        <is>
          <t>NULL</t>
        </is>
      </c>
      <c r="E440" s="0" t="inlineStr">
        <is>
          <t>NULL</t>
        </is>
      </c>
      <c r="F440" s="0" t="inlineStr">
        <is>
          <t>NULL</t>
        </is>
      </c>
      <c r="G440" s="0" t="inlineStr">
        <is>
          <t>NULL</t>
        </is>
      </c>
      <c r="H440" s="0" t="inlineStr">
        <is>
          <t>NULL</t>
        </is>
      </c>
      <c r="I440" s="0" t="inlineStr">
        <is>
          <t>NULL</t>
        </is>
      </c>
      <c r="J440" s="0" t="inlineStr">
        <is>
          <t>NULL</t>
        </is>
      </c>
      <c r="K440" s="0" t="inlineStr">
        <is>
          <t>YES! 	 c_numeric38_10列源备映射正确，源端为numeric None位	期望更改为numeric(p,s)	实际备端为numeric None位</t>
        </is>
      </c>
    </row>
    <row r="441">
      <c r="B441" s="0" t="inlineStr">
        <is>
          <t>NULL</t>
        </is>
      </c>
      <c r="C441" s="0" t="inlineStr">
        <is>
          <t>NULL</t>
        </is>
      </c>
      <c r="D441" s="0" t="inlineStr">
        <is>
          <t>NULL</t>
        </is>
      </c>
      <c r="E441" s="0" t="inlineStr">
        <is>
          <t>NULL</t>
        </is>
      </c>
      <c r="F441" s="0" t="inlineStr">
        <is>
          <t>NULL</t>
        </is>
      </c>
      <c r="G441" s="0" t="inlineStr">
        <is>
          <t>NULL</t>
        </is>
      </c>
      <c r="H441" s="0" t="inlineStr">
        <is>
          <t>NULL</t>
        </is>
      </c>
      <c r="I441" s="0" t="inlineStr">
        <is>
          <t>NULL</t>
        </is>
      </c>
      <c r="J441" s="0" t="inlineStr">
        <is>
          <t>NULL</t>
        </is>
      </c>
      <c r="K441" s="0" t="inlineStr">
        <is>
          <t>YES! 	 c_numeric18_2列源备映射正确，源端为numeric None位	期望更改为numeric(p,s)	实际备端为numeric None位</t>
        </is>
      </c>
    </row>
    <row r="442">
      <c r="B442" s="0" t="inlineStr">
        <is>
          <t>NULL</t>
        </is>
      </c>
      <c r="C442" s="0" t="inlineStr">
        <is>
          <t>NULL</t>
        </is>
      </c>
      <c r="D442" s="0" t="inlineStr">
        <is>
          <t>NULL</t>
        </is>
      </c>
      <c r="E442" s="0" t="inlineStr">
        <is>
          <t>NULL</t>
        </is>
      </c>
      <c r="F442" s="0" t="inlineStr">
        <is>
          <t>NULL</t>
        </is>
      </c>
      <c r="G442" s="0" t="inlineStr">
        <is>
          <t>NULL</t>
        </is>
      </c>
      <c r="H442" s="0" t="inlineStr">
        <is>
          <t>NULL</t>
        </is>
      </c>
      <c r="I442" s="0" t="inlineStr">
        <is>
          <t>NULL</t>
        </is>
      </c>
      <c r="J442" s="0" t="inlineStr">
        <is>
          <t>NULL</t>
        </is>
      </c>
      <c r="K442" s="0" t="inlineStr">
        <is>
          <t>YES! 	 c_float列源备映射正确，源端为float None位	期望更改为float	实际备端为float None位</t>
        </is>
      </c>
    </row>
    <row r="443">
      <c r="B443" s="0" t="inlineStr">
        <is>
          <t>NULL</t>
        </is>
      </c>
      <c r="C443" s="0" t="inlineStr">
        <is>
          <t>NULL</t>
        </is>
      </c>
      <c r="D443" s="0" t="inlineStr">
        <is>
          <t>NULL</t>
        </is>
      </c>
      <c r="E443" s="0" t="inlineStr">
        <is>
          <t>NULL</t>
        </is>
      </c>
      <c r="F443" s="0" t="inlineStr">
        <is>
          <t>NULL</t>
        </is>
      </c>
      <c r="G443" s="0" t="inlineStr">
        <is>
          <t>NULL</t>
        </is>
      </c>
      <c r="H443" s="0" t="inlineStr">
        <is>
          <t>NULL</t>
        </is>
      </c>
      <c r="I443" s="0" t="inlineStr">
        <is>
          <t>NULL</t>
        </is>
      </c>
      <c r="J443" s="0" t="inlineStr">
        <is>
          <t>NULL</t>
        </is>
      </c>
      <c r="K443" s="0" t="inlineStr">
        <is>
          <t>YES! 	 c_real列源备映射正确，源端为real None位	期望更改为real	实际备端为real None位</t>
        </is>
      </c>
    </row>
    <row r="444">
      <c r="B444" s="0" t="inlineStr">
        <is>
          <t>NULL</t>
        </is>
      </c>
      <c r="C444" s="0" t="inlineStr">
        <is>
          <t>NULL</t>
        </is>
      </c>
      <c r="D444" s="0" t="inlineStr">
        <is>
          <t>NULL</t>
        </is>
      </c>
      <c r="E444" s="0" t="inlineStr">
        <is>
          <t>NULL</t>
        </is>
      </c>
      <c r="F444" s="0" t="inlineStr">
        <is>
          <t>NULL</t>
        </is>
      </c>
      <c r="G444" s="0" t="inlineStr">
        <is>
          <t>NULL</t>
        </is>
      </c>
      <c r="H444" s="0" t="inlineStr">
        <is>
          <t>NULL</t>
        </is>
      </c>
      <c r="I444" s="0" t="inlineStr">
        <is>
          <t>NULL</t>
        </is>
      </c>
      <c r="J444" s="0" t="inlineStr">
        <is>
          <t>NULL</t>
        </is>
      </c>
      <c r="K444" s="0" t="inlineStr">
        <is>
          <t>YES! 	 c_money列源备映射正确，源端为money None位	期望更改为money	实际备端为money None位</t>
        </is>
      </c>
    </row>
    <row r="445">
      <c r="B445" s="0" t="inlineStr">
        <is>
          <t>NULL</t>
        </is>
      </c>
      <c r="C445" s="0" t="inlineStr">
        <is>
          <t>NULL</t>
        </is>
      </c>
      <c r="D445" s="0" t="inlineStr">
        <is>
          <t>NULL</t>
        </is>
      </c>
      <c r="E445" s="0" t="inlineStr">
        <is>
          <t>NULL</t>
        </is>
      </c>
      <c r="F445" s="0" t="inlineStr">
        <is>
          <t>NULL</t>
        </is>
      </c>
      <c r="G445" s="0" t="inlineStr">
        <is>
          <t>NULL</t>
        </is>
      </c>
      <c r="H445" s="0" t="inlineStr">
        <is>
          <t>NULL</t>
        </is>
      </c>
      <c r="I445" s="0" t="inlineStr">
        <is>
          <t>NULL</t>
        </is>
      </c>
      <c r="J445" s="0" t="inlineStr">
        <is>
          <t>NULL</t>
        </is>
      </c>
      <c r="K445" s="0" t="inlineStr">
        <is>
          <t>YES! 	 c_smallmoney列源备映射正确，源端为smallmoney None位	期望更改为smallmoney	实际备端为smallmoney None位</t>
        </is>
      </c>
    </row>
    <row r="446">
      <c r="B446" s="0" t="inlineStr">
        <is>
          <t>NULL</t>
        </is>
      </c>
      <c r="C446" s="0" t="inlineStr">
        <is>
          <t>NULL</t>
        </is>
      </c>
      <c r="D446" s="0" t="inlineStr">
        <is>
          <t>NULL</t>
        </is>
      </c>
      <c r="E446" s="0" t="inlineStr">
        <is>
          <t>NULL</t>
        </is>
      </c>
      <c r="F446" s="0" t="inlineStr">
        <is>
          <t>NULL</t>
        </is>
      </c>
      <c r="G446" s="0" t="inlineStr">
        <is>
          <t>NULL</t>
        </is>
      </c>
      <c r="H446" s="0" t="inlineStr">
        <is>
          <t>NULL</t>
        </is>
      </c>
      <c r="I446" s="0" t="inlineStr">
        <is>
          <t>NULL</t>
        </is>
      </c>
      <c r="J446" s="0" t="inlineStr">
        <is>
          <t>NULL</t>
        </is>
      </c>
      <c r="K446" s="0" t="inlineStr">
        <is>
          <t>YES! 	 c_bit列源备映射正确，源端为bit None位	期望更改为bit	实际备端为bit None位</t>
        </is>
      </c>
    </row>
    <row r="447">
      <c r="A447" s="0" t="inlineStr">
        <is>
          <t>info_sdt_dml_batch1_pk_drp1</t>
        </is>
      </c>
      <c r="K447" s="0" t="inlineStr">
        <is>
          <t>[0;34m info_sdt_dml_batch1_pk_drp1 [0m源备字段数相同，源端字段：2 	备端字段2</t>
        </is>
      </c>
      <c r="W447" s="0" t="inlineStr">
        <is>
          <t>YES 源备无差异</t>
        </is>
      </c>
      <c r="X447" s="0">
        <f>A447</f>
        <v/>
      </c>
    </row>
    <row r="448">
      <c r="B448" s="0" t="inlineStr">
        <is>
          <t>YES</t>
        </is>
      </c>
      <c r="C448" s="0" t="inlineStr">
        <is>
          <t>NULL</t>
        </is>
      </c>
      <c r="D448" s="0" t="inlineStr">
        <is>
          <t>NULL</t>
        </is>
      </c>
      <c r="E448" s="0" t="inlineStr">
        <is>
          <t>NULL</t>
        </is>
      </c>
      <c r="F448" s="0" t="inlineStr">
        <is>
          <t>NULL</t>
        </is>
      </c>
      <c r="G448" s="0" t="inlineStr">
        <is>
          <t>NULL</t>
        </is>
      </c>
      <c r="H448" s="0" t="inlineStr">
        <is>
          <t>NULL</t>
        </is>
      </c>
      <c r="I448" s="0" t="inlineStr">
        <is>
          <t>YES!PK__info_sdt__3213E83F8E7E5405</t>
        </is>
      </c>
      <c r="J448" s="0" t="inlineStr">
        <is>
          <t>YES! 主键相关索引</t>
        </is>
      </c>
      <c r="K448" s="0" t="inlineStr">
        <is>
          <t>YES! 	 id列源备映射正确，源端为int None位	期望更改为int	实际备端为int None位</t>
        </is>
      </c>
    </row>
    <row r="449">
      <c r="B449" s="0" t="inlineStr">
        <is>
          <t>NULL</t>
        </is>
      </c>
      <c r="C449" s="0" t="inlineStr">
        <is>
          <t>NULL</t>
        </is>
      </c>
      <c r="D449" s="0" t="inlineStr">
        <is>
          <t>NULL</t>
        </is>
      </c>
      <c r="E449" s="0" t="inlineStr">
        <is>
          <t>NULL</t>
        </is>
      </c>
      <c r="F449" s="0" t="inlineStr">
        <is>
          <t>NULL</t>
        </is>
      </c>
      <c r="G449" s="0" t="inlineStr">
        <is>
          <t>NULL</t>
        </is>
      </c>
      <c r="H449" s="0" t="inlineStr">
        <is>
          <t>NULL</t>
        </is>
      </c>
      <c r="I449" s="0" t="inlineStr">
        <is>
          <t>NULL</t>
        </is>
      </c>
      <c r="J449" s="0" t="inlineStr">
        <is>
          <t>NULL</t>
        </is>
      </c>
      <c r="K449" s="0" t="inlineStr">
        <is>
          <t>YES! 	 c_sdt列源备映射正确，源端为smalldatetime None位	期望更改为smalldatetime	实际备端为smalldatetime None位</t>
        </is>
      </c>
    </row>
    <row r="450">
      <c r="K450" s="0" t="inlineStr">
        <is>
          <t>~ 空表</t>
        </is>
      </c>
    </row>
    <row r="451">
      <c r="A451" s="0" t="inlineStr">
        <is>
          <t>info_int_dml_single_nopk_urp</t>
        </is>
      </c>
      <c r="K451" s="0" t="inlineStr">
        <is>
          <t>[0;34m info_int_dml_single_nopk_urp [0m源备字段数相同，源端字段：20 	备端字段20</t>
        </is>
      </c>
      <c r="W451" s="0" t="inlineStr">
        <is>
          <t>YES 源备无差异</t>
        </is>
      </c>
      <c r="X451" s="0">
        <f>A451</f>
        <v/>
      </c>
    </row>
    <row r="452">
      <c r="B452" s="0" t="inlineStr">
        <is>
          <t>NULL</t>
        </is>
      </c>
      <c r="C452" s="0" t="inlineStr">
        <is>
          <t>NULL</t>
        </is>
      </c>
      <c r="D452" s="0" t="inlineStr">
        <is>
          <t>NULL</t>
        </is>
      </c>
      <c r="E452" s="0" t="inlineStr">
        <is>
          <t>NULL</t>
        </is>
      </c>
      <c r="F452" s="0" t="inlineStr">
        <is>
          <t>NULL</t>
        </is>
      </c>
      <c r="G452" s="0" t="inlineStr">
        <is>
          <t>NULL</t>
        </is>
      </c>
      <c r="H452" s="0" t="inlineStr">
        <is>
          <t>NULL</t>
        </is>
      </c>
      <c r="I452" s="0" t="inlineStr">
        <is>
          <t>NULL</t>
        </is>
      </c>
      <c r="J452" s="0" t="inlineStr">
        <is>
          <t>NULL</t>
        </is>
      </c>
      <c r="K452" s="0" t="inlineStr">
        <is>
          <t>YES! 	 id列源备映射正确，源端为int None位	期望更改为int	实际备端为int None位</t>
        </is>
      </c>
    </row>
    <row r="453">
      <c r="B453" s="0" t="inlineStr">
        <is>
          <t>NULL</t>
        </is>
      </c>
      <c r="C453" s="0" t="inlineStr">
        <is>
          <t>NULL</t>
        </is>
      </c>
      <c r="D453" s="0" t="inlineStr">
        <is>
          <t>NULL</t>
        </is>
      </c>
      <c r="E453" s="0" t="inlineStr">
        <is>
          <t>NULL</t>
        </is>
      </c>
      <c r="F453" s="0" t="inlineStr">
        <is>
          <t>NULL</t>
        </is>
      </c>
      <c r="G453" s="0" t="inlineStr">
        <is>
          <t>NULL</t>
        </is>
      </c>
      <c r="H453" s="0" t="inlineStr">
        <is>
          <t>NULL</t>
        </is>
      </c>
      <c r="I453" s="0" t="inlineStr">
        <is>
          <t>NULL</t>
        </is>
      </c>
      <c r="J453" s="0" t="inlineStr">
        <is>
          <t>NULL</t>
        </is>
      </c>
      <c r="K453" s="0" t="inlineStr">
        <is>
          <t>YES! 	 c_tinyint列源备映射正确，源端为tinyint None位	期望更改为tinyint	实际备端为tinyint None位</t>
        </is>
      </c>
    </row>
    <row r="454">
      <c r="B454" s="0" t="inlineStr">
        <is>
          <t>NULL</t>
        </is>
      </c>
      <c r="C454" s="0" t="inlineStr">
        <is>
          <t>NULL</t>
        </is>
      </c>
      <c r="D454" s="0" t="inlineStr">
        <is>
          <t>NULL</t>
        </is>
      </c>
      <c r="E454" s="0" t="inlineStr">
        <is>
          <t>NULL</t>
        </is>
      </c>
      <c r="F454" s="0" t="inlineStr">
        <is>
          <t>NULL</t>
        </is>
      </c>
      <c r="G454" s="0" t="inlineStr">
        <is>
          <t>NULL</t>
        </is>
      </c>
      <c r="H454" s="0" t="inlineStr">
        <is>
          <t>NULL</t>
        </is>
      </c>
      <c r="I454" s="0" t="inlineStr">
        <is>
          <t>NULL</t>
        </is>
      </c>
      <c r="J454" s="0" t="inlineStr">
        <is>
          <t>NULL</t>
        </is>
      </c>
      <c r="K454" s="0" t="inlineStr">
        <is>
          <t>YES! 	 c_smallint列源备映射正确，源端为smallint None位	期望更改为smallint	实际备端为smallint None位</t>
        </is>
      </c>
    </row>
    <row r="455">
      <c r="B455" s="0" t="inlineStr">
        <is>
          <t>NULL</t>
        </is>
      </c>
      <c r="C455" s="0" t="inlineStr">
        <is>
          <t>NULL</t>
        </is>
      </c>
      <c r="D455" s="0" t="inlineStr">
        <is>
          <t>NULL</t>
        </is>
      </c>
      <c r="E455" s="0" t="inlineStr">
        <is>
          <t>NULL</t>
        </is>
      </c>
      <c r="F455" s="0" t="inlineStr">
        <is>
          <t>NULL</t>
        </is>
      </c>
      <c r="G455" s="0" t="inlineStr">
        <is>
          <t>NULL</t>
        </is>
      </c>
      <c r="H455" s="0" t="inlineStr">
        <is>
          <t>NULL</t>
        </is>
      </c>
      <c r="I455" s="0" t="inlineStr">
        <is>
          <t>NULL</t>
        </is>
      </c>
      <c r="J455" s="0" t="inlineStr">
        <is>
          <t>NULL</t>
        </is>
      </c>
      <c r="K455" s="0" t="inlineStr">
        <is>
          <t>YES! 	 c_int列源备映射正确，源端为int None位	期望更改为int	实际备端为int None位</t>
        </is>
      </c>
    </row>
    <row r="456">
      <c r="B456" s="0" t="inlineStr">
        <is>
          <t>NULL</t>
        </is>
      </c>
      <c r="C456" s="0" t="inlineStr">
        <is>
          <t>NULL</t>
        </is>
      </c>
      <c r="D456" s="0" t="inlineStr">
        <is>
          <t>NULL</t>
        </is>
      </c>
      <c r="E456" s="0" t="inlineStr">
        <is>
          <t>NULL</t>
        </is>
      </c>
      <c r="F456" s="0" t="inlineStr">
        <is>
          <t>NULL</t>
        </is>
      </c>
      <c r="G456" s="0" t="inlineStr">
        <is>
          <t>NULL</t>
        </is>
      </c>
      <c r="H456" s="0" t="inlineStr">
        <is>
          <t>NULL</t>
        </is>
      </c>
      <c r="I456" s="0" t="inlineStr">
        <is>
          <t>NULL</t>
        </is>
      </c>
      <c r="J456" s="0" t="inlineStr">
        <is>
          <t>NULL</t>
        </is>
      </c>
      <c r="K456" s="0" t="inlineStr">
        <is>
          <t>YES! 	 c_bigint列源备映射正确，源端为bigint None位	期望更改为bigint	实际备端为bigint None位</t>
        </is>
      </c>
    </row>
    <row r="457">
      <c r="B457" s="0" t="inlineStr">
        <is>
          <t>NULL</t>
        </is>
      </c>
      <c r="C457" s="0" t="inlineStr">
        <is>
          <t>NULL</t>
        </is>
      </c>
      <c r="D457" s="0" t="inlineStr">
        <is>
          <t>NULL</t>
        </is>
      </c>
      <c r="E457" s="0" t="inlineStr">
        <is>
          <t>NULL</t>
        </is>
      </c>
      <c r="F457" s="0" t="inlineStr">
        <is>
          <t>NULL</t>
        </is>
      </c>
      <c r="G457" s="0" t="inlineStr">
        <is>
          <t>NULL</t>
        </is>
      </c>
      <c r="H457" s="0" t="inlineStr">
        <is>
          <t>NULL</t>
        </is>
      </c>
      <c r="I457" s="0" t="inlineStr">
        <is>
          <t>NULL</t>
        </is>
      </c>
      <c r="J457" s="0" t="inlineStr">
        <is>
          <t>NULL</t>
        </is>
      </c>
      <c r="K457" s="0" t="inlineStr">
        <is>
          <t>YES! 	 c_decimal列源备映射正确，源端为decimal None位	期望更改为decimal(p,s)	实际备端为decimal None位</t>
        </is>
      </c>
    </row>
    <row r="458">
      <c r="B458" s="0" t="inlineStr">
        <is>
          <t>NULL</t>
        </is>
      </c>
      <c r="C458" s="0" t="inlineStr">
        <is>
          <t>NULL</t>
        </is>
      </c>
      <c r="D458" s="0" t="inlineStr">
        <is>
          <t>NULL</t>
        </is>
      </c>
      <c r="E458" s="0" t="inlineStr">
        <is>
          <t>NULL</t>
        </is>
      </c>
      <c r="F458" s="0" t="inlineStr">
        <is>
          <t>NULL</t>
        </is>
      </c>
      <c r="G458" s="0" t="inlineStr">
        <is>
          <t>NULL</t>
        </is>
      </c>
      <c r="H458" s="0" t="inlineStr">
        <is>
          <t>NULL</t>
        </is>
      </c>
      <c r="I458" s="0" t="inlineStr">
        <is>
          <t>NULL</t>
        </is>
      </c>
      <c r="J458" s="0" t="inlineStr">
        <is>
          <t>NULL</t>
        </is>
      </c>
      <c r="K458" s="0" t="inlineStr">
        <is>
          <t>YES! 	 c_decimal38列源备映射正确，源端为decimal None位	期望更改为decimal(p,s)	实际备端为decimal None位</t>
        </is>
      </c>
    </row>
    <row r="459">
      <c r="B459" s="0" t="inlineStr">
        <is>
          <t>NULL</t>
        </is>
      </c>
      <c r="C459" s="0" t="inlineStr">
        <is>
          <t>NULL</t>
        </is>
      </c>
      <c r="D459" s="0" t="inlineStr">
        <is>
          <t>NULL</t>
        </is>
      </c>
      <c r="E459" s="0" t="inlineStr">
        <is>
          <t>NULL</t>
        </is>
      </c>
      <c r="F459" s="0" t="inlineStr">
        <is>
          <t>NULL</t>
        </is>
      </c>
      <c r="G459" s="0" t="inlineStr">
        <is>
          <t>NULL</t>
        </is>
      </c>
      <c r="H459" s="0" t="inlineStr">
        <is>
          <t>NULL</t>
        </is>
      </c>
      <c r="I459" s="0" t="inlineStr">
        <is>
          <t>NULL</t>
        </is>
      </c>
      <c r="J459" s="0" t="inlineStr">
        <is>
          <t>NULL</t>
        </is>
      </c>
      <c r="K459" s="0" t="inlineStr">
        <is>
          <t>YES! 	 c_decimal38_38列源备映射正确，源端为decimal None位	期望更改为decimal(p,s)	实际备端为decimal None位</t>
        </is>
      </c>
    </row>
    <row r="460">
      <c r="B460" s="0" t="inlineStr">
        <is>
          <t>NULL</t>
        </is>
      </c>
      <c r="C460" s="0" t="inlineStr">
        <is>
          <t>NULL</t>
        </is>
      </c>
      <c r="D460" s="0" t="inlineStr">
        <is>
          <t>NULL</t>
        </is>
      </c>
      <c r="E460" s="0" t="inlineStr">
        <is>
          <t>NULL</t>
        </is>
      </c>
      <c r="F460" s="0" t="inlineStr">
        <is>
          <t>NULL</t>
        </is>
      </c>
      <c r="G460" s="0" t="inlineStr">
        <is>
          <t>NULL</t>
        </is>
      </c>
      <c r="H460" s="0" t="inlineStr">
        <is>
          <t>NULL</t>
        </is>
      </c>
      <c r="I460" s="0" t="inlineStr">
        <is>
          <t>NULL</t>
        </is>
      </c>
      <c r="J460" s="0" t="inlineStr">
        <is>
          <t>NULL</t>
        </is>
      </c>
      <c r="K460" s="0" t="inlineStr">
        <is>
          <t>YES! 	 c_decimal38_10列源备映射正确，源端为decimal None位	期望更改为decimal(p,s)	实际备端为decimal None位</t>
        </is>
      </c>
    </row>
    <row r="461">
      <c r="B461" s="0" t="inlineStr">
        <is>
          <t>NULL</t>
        </is>
      </c>
      <c r="C461" s="0" t="inlineStr">
        <is>
          <t>NULL</t>
        </is>
      </c>
      <c r="D461" s="0" t="inlineStr">
        <is>
          <t>NULL</t>
        </is>
      </c>
      <c r="E461" s="0" t="inlineStr">
        <is>
          <t>NULL</t>
        </is>
      </c>
      <c r="F461" s="0" t="inlineStr">
        <is>
          <t>NULL</t>
        </is>
      </c>
      <c r="G461" s="0" t="inlineStr">
        <is>
          <t>NULL</t>
        </is>
      </c>
      <c r="H461" s="0" t="inlineStr">
        <is>
          <t>NULL</t>
        </is>
      </c>
      <c r="I461" s="0" t="inlineStr">
        <is>
          <t>NULL</t>
        </is>
      </c>
      <c r="J461" s="0" t="inlineStr">
        <is>
          <t>NULL</t>
        </is>
      </c>
      <c r="K461" s="0" t="inlineStr">
        <is>
          <t>YES! 	 c_decimal19_4列源备映射正确，源端为decimal None位	期望更改为decimal(p,s)	实际备端为decimal None位</t>
        </is>
      </c>
    </row>
    <row r="462">
      <c r="B462" s="0" t="inlineStr">
        <is>
          <t>NULL</t>
        </is>
      </c>
      <c r="C462" s="0" t="inlineStr">
        <is>
          <t>NULL</t>
        </is>
      </c>
      <c r="D462" s="0" t="inlineStr">
        <is>
          <t>NULL</t>
        </is>
      </c>
      <c r="E462" s="0" t="inlineStr">
        <is>
          <t>NULL</t>
        </is>
      </c>
      <c r="F462" s="0" t="inlineStr">
        <is>
          <t>NULL</t>
        </is>
      </c>
      <c r="G462" s="0" t="inlineStr">
        <is>
          <t>NULL</t>
        </is>
      </c>
      <c r="H462" s="0" t="inlineStr">
        <is>
          <t>NULL</t>
        </is>
      </c>
      <c r="I462" s="0" t="inlineStr">
        <is>
          <t>NULL</t>
        </is>
      </c>
      <c r="J462" s="0" t="inlineStr">
        <is>
          <t>NULL</t>
        </is>
      </c>
      <c r="K462" s="0" t="inlineStr">
        <is>
          <t>YES! 	 c_numeric列源备映射正确，源端为numeric None位	期望更改为numeric(p,s)	实际备端为numeric None位</t>
        </is>
      </c>
    </row>
    <row r="463">
      <c r="B463" s="0" t="inlineStr">
        <is>
          <t>NULL</t>
        </is>
      </c>
      <c r="C463" s="0" t="inlineStr">
        <is>
          <t>NULL</t>
        </is>
      </c>
      <c r="D463" s="0" t="inlineStr">
        <is>
          <t>NULL</t>
        </is>
      </c>
      <c r="E463" s="0" t="inlineStr">
        <is>
          <t>NULL</t>
        </is>
      </c>
      <c r="F463" s="0" t="inlineStr">
        <is>
          <t>NULL</t>
        </is>
      </c>
      <c r="G463" s="0" t="inlineStr">
        <is>
          <t>NULL</t>
        </is>
      </c>
      <c r="H463" s="0" t="inlineStr">
        <is>
          <t>NULL</t>
        </is>
      </c>
      <c r="I463" s="0" t="inlineStr">
        <is>
          <t>NULL</t>
        </is>
      </c>
      <c r="J463" s="0" t="inlineStr">
        <is>
          <t>NULL</t>
        </is>
      </c>
      <c r="K463" s="0" t="inlineStr">
        <is>
          <t>YES! 	 c_numeric38列源备映射正确，源端为numeric None位	期望更改为numeric(p,s)	实际备端为numeric None位</t>
        </is>
      </c>
    </row>
    <row r="464">
      <c r="B464" s="0" t="inlineStr">
        <is>
          <t>NULL</t>
        </is>
      </c>
      <c r="C464" s="0" t="inlineStr">
        <is>
          <t>NULL</t>
        </is>
      </c>
      <c r="D464" s="0" t="inlineStr">
        <is>
          <t>NULL</t>
        </is>
      </c>
      <c r="E464" s="0" t="inlineStr">
        <is>
          <t>NULL</t>
        </is>
      </c>
      <c r="F464" s="0" t="inlineStr">
        <is>
          <t>NULL</t>
        </is>
      </c>
      <c r="G464" s="0" t="inlineStr">
        <is>
          <t>NULL</t>
        </is>
      </c>
      <c r="H464" s="0" t="inlineStr">
        <is>
          <t>NULL</t>
        </is>
      </c>
      <c r="I464" s="0" t="inlineStr">
        <is>
          <t>NULL</t>
        </is>
      </c>
      <c r="J464" s="0" t="inlineStr">
        <is>
          <t>NULL</t>
        </is>
      </c>
      <c r="K464" s="0" t="inlineStr">
        <is>
          <t>YES! 	 c_numeric38_38列源备映射正确，源端为numeric None位	期望更改为numeric(p,s)	实际备端为numeric None位</t>
        </is>
      </c>
    </row>
    <row r="465">
      <c r="B465" s="0" t="inlineStr">
        <is>
          <t>NULL</t>
        </is>
      </c>
      <c r="C465" s="0" t="inlineStr">
        <is>
          <t>NULL</t>
        </is>
      </c>
      <c r="D465" s="0" t="inlineStr">
        <is>
          <t>NULL</t>
        </is>
      </c>
      <c r="E465" s="0" t="inlineStr">
        <is>
          <t>NULL</t>
        </is>
      </c>
      <c r="F465" s="0" t="inlineStr">
        <is>
          <t>NULL</t>
        </is>
      </c>
      <c r="G465" s="0" t="inlineStr">
        <is>
          <t>NULL</t>
        </is>
      </c>
      <c r="H465" s="0" t="inlineStr">
        <is>
          <t>NULL</t>
        </is>
      </c>
      <c r="I465" s="0" t="inlineStr">
        <is>
          <t>NULL</t>
        </is>
      </c>
      <c r="J465" s="0" t="inlineStr">
        <is>
          <t>NULL</t>
        </is>
      </c>
      <c r="K465" s="0" t="inlineStr">
        <is>
          <t>YES! 	 c_numeric38_10列源备映射正确，源端为numeric None位	期望更改为numeric(p,s)	实际备端为numeric None位</t>
        </is>
      </c>
    </row>
    <row r="466">
      <c r="B466" s="0" t="inlineStr">
        <is>
          <t>NULL</t>
        </is>
      </c>
      <c r="C466" s="0" t="inlineStr">
        <is>
          <t>NULL</t>
        </is>
      </c>
      <c r="D466" s="0" t="inlineStr">
        <is>
          <t>NULL</t>
        </is>
      </c>
      <c r="E466" s="0" t="inlineStr">
        <is>
          <t>NULL</t>
        </is>
      </c>
      <c r="F466" s="0" t="inlineStr">
        <is>
          <t>NULL</t>
        </is>
      </c>
      <c r="G466" s="0" t="inlineStr">
        <is>
          <t>NULL</t>
        </is>
      </c>
      <c r="H466" s="0" t="inlineStr">
        <is>
          <t>NULL</t>
        </is>
      </c>
      <c r="I466" s="0" t="inlineStr">
        <is>
          <t>NULL</t>
        </is>
      </c>
      <c r="J466" s="0" t="inlineStr">
        <is>
          <t>NULL</t>
        </is>
      </c>
      <c r="K466" s="0" t="inlineStr">
        <is>
          <t>YES! 	 c_numeric18_2列源备映射正确，源端为numeric None位	期望更改为numeric(p,s)	实际备端为numeric None位</t>
        </is>
      </c>
    </row>
    <row r="467">
      <c r="B467" s="0" t="inlineStr">
        <is>
          <t>NULL</t>
        </is>
      </c>
      <c r="C467" s="0" t="inlineStr">
        <is>
          <t>NULL</t>
        </is>
      </c>
      <c r="D467" s="0" t="inlineStr">
        <is>
          <t>NULL</t>
        </is>
      </c>
      <c r="E467" s="0" t="inlineStr">
        <is>
          <t>NULL</t>
        </is>
      </c>
      <c r="F467" s="0" t="inlineStr">
        <is>
          <t>NULL</t>
        </is>
      </c>
      <c r="G467" s="0" t="inlineStr">
        <is>
          <t>NULL</t>
        </is>
      </c>
      <c r="H467" s="0" t="inlineStr">
        <is>
          <t>NULL</t>
        </is>
      </c>
      <c r="I467" s="0" t="inlineStr">
        <is>
          <t>NULL</t>
        </is>
      </c>
      <c r="J467" s="0" t="inlineStr">
        <is>
          <t>NULL</t>
        </is>
      </c>
      <c r="K467" s="0" t="inlineStr">
        <is>
          <t>YES! 	 c_float列源备映射正确，源端为float None位	期望更改为float	实际备端为float None位</t>
        </is>
      </c>
    </row>
    <row r="468">
      <c r="B468" s="0" t="inlineStr">
        <is>
          <t>NULL</t>
        </is>
      </c>
      <c r="C468" s="0" t="inlineStr">
        <is>
          <t>NULL</t>
        </is>
      </c>
      <c r="D468" s="0" t="inlineStr">
        <is>
          <t>NULL</t>
        </is>
      </c>
      <c r="E468" s="0" t="inlineStr">
        <is>
          <t>NULL</t>
        </is>
      </c>
      <c r="F468" s="0" t="inlineStr">
        <is>
          <t>NULL</t>
        </is>
      </c>
      <c r="G468" s="0" t="inlineStr">
        <is>
          <t>NULL</t>
        </is>
      </c>
      <c r="H468" s="0" t="inlineStr">
        <is>
          <t>NULL</t>
        </is>
      </c>
      <c r="I468" s="0" t="inlineStr">
        <is>
          <t>NULL</t>
        </is>
      </c>
      <c r="J468" s="0" t="inlineStr">
        <is>
          <t>NULL</t>
        </is>
      </c>
      <c r="K468" s="0" t="inlineStr">
        <is>
          <t>YES! 	 c_real列源备映射正确，源端为real None位	期望更改为real	实际备端为real None位</t>
        </is>
      </c>
    </row>
    <row r="469">
      <c r="B469" s="0" t="inlineStr">
        <is>
          <t>NULL</t>
        </is>
      </c>
      <c r="C469" s="0" t="inlineStr">
        <is>
          <t>NULL</t>
        </is>
      </c>
      <c r="D469" s="0" t="inlineStr">
        <is>
          <t>NULL</t>
        </is>
      </c>
      <c r="E469" s="0" t="inlineStr">
        <is>
          <t>NULL</t>
        </is>
      </c>
      <c r="F469" s="0" t="inlineStr">
        <is>
          <t>NULL</t>
        </is>
      </c>
      <c r="G469" s="0" t="inlineStr">
        <is>
          <t>NULL</t>
        </is>
      </c>
      <c r="H469" s="0" t="inlineStr">
        <is>
          <t>NULL</t>
        </is>
      </c>
      <c r="I469" s="0" t="inlineStr">
        <is>
          <t>NULL</t>
        </is>
      </c>
      <c r="J469" s="0" t="inlineStr">
        <is>
          <t>NULL</t>
        </is>
      </c>
      <c r="K469" s="0" t="inlineStr">
        <is>
          <t>YES! 	 c_money列源备映射正确，源端为money None位	期望更改为money	实际备端为money None位</t>
        </is>
      </c>
    </row>
    <row r="470">
      <c r="B470" s="0" t="inlineStr">
        <is>
          <t>NULL</t>
        </is>
      </c>
      <c r="C470" s="0" t="inlineStr">
        <is>
          <t>NULL</t>
        </is>
      </c>
      <c r="D470" s="0" t="inlineStr">
        <is>
          <t>NULL</t>
        </is>
      </c>
      <c r="E470" s="0" t="inlineStr">
        <is>
          <t>NULL</t>
        </is>
      </c>
      <c r="F470" s="0" t="inlineStr">
        <is>
          <t>NULL</t>
        </is>
      </c>
      <c r="G470" s="0" t="inlineStr">
        <is>
          <t>NULL</t>
        </is>
      </c>
      <c r="H470" s="0" t="inlineStr">
        <is>
          <t>NULL</t>
        </is>
      </c>
      <c r="I470" s="0" t="inlineStr">
        <is>
          <t>NULL</t>
        </is>
      </c>
      <c r="J470" s="0" t="inlineStr">
        <is>
          <t>NULL</t>
        </is>
      </c>
      <c r="K470" s="0" t="inlineStr">
        <is>
          <t>YES! 	 c_smallmoney列源备映射正确，源端为smallmoney None位	期望更改为smallmoney	实际备端为smallmoney None位</t>
        </is>
      </c>
    </row>
    <row r="471">
      <c r="B471" s="0" t="inlineStr">
        <is>
          <t>NULL</t>
        </is>
      </c>
      <c r="C471" s="0" t="inlineStr">
        <is>
          <t>NULL</t>
        </is>
      </c>
      <c r="D471" s="0" t="inlineStr">
        <is>
          <t>NULL</t>
        </is>
      </c>
      <c r="E471" s="0" t="inlineStr">
        <is>
          <t>NULL</t>
        </is>
      </c>
      <c r="F471" s="0" t="inlineStr">
        <is>
          <t>NULL</t>
        </is>
      </c>
      <c r="G471" s="0" t="inlineStr">
        <is>
          <t>NULL</t>
        </is>
      </c>
      <c r="H471" s="0" t="inlineStr">
        <is>
          <t>NULL</t>
        </is>
      </c>
      <c r="I471" s="0" t="inlineStr">
        <is>
          <t>NULL</t>
        </is>
      </c>
      <c r="J471" s="0" t="inlineStr">
        <is>
          <t>NULL</t>
        </is>
      </c>
      <c r="K471" s="0" t="inlineStr">
        <is>
          <t>YES! 	 c_bit列源备映射正确，源端为bit None位	期望更改为bit	实际备端为bit None位</t>
        </is>
      </c>
    </row>
    <row r="472">
      <c r="A472" s="0" t="inlineStr">
        <is>
          <t>info_varchar_dml_batch2_pk_irp1</t>
        </is>
      </c>
      <c r="K472" s="0" t="inlineStr">
        <is>
          <t>[0;34m info_varchar_dml_batch2_pk_irp1 [0m源备字段数相同，源端字段：4 	备端字段4</t>
        </is>
      </c>
      <c r="W472" s="0" t="inlineStr">
        <is>
          <t>YES 源备无差异</t>
        </is>
      </c>
      <c r="X472" s="0">
        <f>A472</f>
        <v/>
      </c>
    </row>
    <row r="473">
      <c r="B473" s="0" t="inlineStr">
        <is>
          <t>YES</t>
        </is>
      </c>
      <c r="C473" s="0" t="inlineStr">
        <is>
          <t>NULL</t>
        </is>
      </c>
      <c r="D473" s="0" t="inlineStr">
        <is>
          <t>NULL</t>
        </is>
      </c>
      <c r="E473" s="0" t="inlineStr">
        <is>
          <t>NULL</t>
        </is>
      </c>
      <c r="F473" s="0" t="inlineStr">
        <is>
          <t>NULL</t>
        </is>
      </c>
      <c r="G473" s="0" t="inlineStr">
        <is>
          <t>NULL</t>
        </is>
      </c>
      <c r="H473" s="0" t="inlineStr">
        <is>
          <t>NULL</t>
        </is>
      </c>
      <c r="I473" s="0" t="inlineStr">
        <is>
          <t>YES!PK__info_var__3213E83FAC523603</t>
        </is>
      </c>
      <c r="J473" s="0" t="inlineStr">
        <is>
          <t>YES! 主键相关索引</t>
        </is>
      </c>
      <c r="K473" s="0" t="inlineStr">
        <is>
          <t>YES! 	 id列源备映射正确，源端为int None位	期望更改为int	实际备端为int None位</t>
        </is>
      </c>
    </row>
    <row r="474">
      <c r="B474" s="0" t="inlineStr">
        <is>
          <t>NULL</t>
        </is>
      </c>
      <c r="C474" s="0" t="inlineStr">
        <is>
          <t>NULL</t>
        </is>
      </c>
      <c r="D474" s="0" t="inlineStr">
        <is>
          <t>NULL</t>
        </is>
      </c>
      <c r="E474" s="0" t="inlineStr">
        <is>
          <t>NULL</t>
        </is>
      </c>
      <c r="F474" s="0" t="inlineStr">
        <is>
          <t>NULL</t>
        </is>
      </c>
      <c r="G474" s="0" t="inlineStr">
        <is>
          <t>NULL</t>
        </is>
      </c>
      <c r="H474" s="0" t="inlineStr">
        <is>
          <t>NULL</t>
        </is>
      </c>
      <c r="I474" s="0" t="inlineStr">
        <is>
          <t>NULL</t>
        </is>
      </c>
      <c r="J474" s="0" t="inlineStr">
        <is>
          <t>NULL</t>
        </is>
      </c>
      <c r="K474" s="0" t="inlineStr">
        <is>
          <t>YES! 	 c_varchar列源备映射正确，源端为varchar 1位	期望更改为varchar(n)	实际备端为varchar 1位</t>
        </is>
      </c>
    </row>
    <row r="475">
      <c r="B475" s="0" t="inlineStr">
        <is>
          <t>NULL</t>
        </is>
      </c>
      <c r="C475" s="0" t="inlineStr">
        <is>
          <t>NULL</t>
        </is>
      </c>
      <c r="D475" s="0" t="inlineStr">
        <is>
          <t>NULL</t>
        </is>
      </c>
      <c r="E475" s="0" t="inlineStr">
        <is>
          <t>NULL</t>
        </is>
      </c>
      <c r="F475" s="0" t="inlineStr">
        <is>
          <t>NULL</t>
        </is>
      </c>
      <c r="G475" s="0" t="inlineStr">
        <is>
          <t>NULL</t>
        </is>
      </c>
      <c r="H475" s="0" t="inlineStr">
        <is>
          <t>NULL</t>
        </is>
      </c>
      <c r="I475" s="0" t="inlineStr">
        <is>
          <t>NULL</t>
        </is>
      </c>
      <c r="J475" s="0" t="inlineStr">
        <is>
          <t>NULL</t>
        </is>
      </c>
      <c r="K475" s="0" t="inlineStr">
        <is>
          <t>YES! 	 c_varchar20列源备映射正确，源端为varchar 20位	期望更改为varchar(n)	实际备端为varchar 20位</t>
        </is>
      </c>
    </row>
    <row r="476">
      <c r="B476" s="0" t="inlineStr">
        <is>
          <t>NULL</t>
        </is>
      </c>
      <c r="C476" s="0" t="inlineStr">
        <is>
          <t>NULL</t>
        </is>
      </c>
      <c r="D476" s="0" t="inlineStr">
        <is>
          <t>NULL</t>
        </is>
      </c>
      <c r="E476" s="0" t="inlineStr">
        <is>
          <t>NULL</t>
        </is>
      </c>
      <c r="F476" s="0" t="inlineStr">
        <is>
          <t>NULL</t>
        </is>
      </c>
      <c r="G476" s="0" t="inlineStr">
        <is>
          <t>NULL</t>
        </is>
      </c>
      <c r="H476" s="0" t="inlineStr">
        <is>
          <t>NULL</t>
        </is>
      </c>
      <c r="I476" s="0" t="inlineStr">
        <is>
          <t>NULL</t>
        </is>
      </c>
      <c r="J476" s="0" t="inlineStr">
        <is>
          <t>NULL</t>
        </is>
      </c>
      <c r="K476" s="0" t="inlineStr">
        <is>
          <t>YES! 	 c_varchar8000列源备映射正确，源端为varchar 8000位	期望更改为varchar(n)	实际备端为varchar 8000位</t>
        </is>
      </c>
    </row>
    <row r="477">
      <c r="A477" s="0" t="inlineStr">
        <is>
          <t>info_sql_variant_dml_single_pk_urp</t>
        </is>
      </c>
      <c r="K477" s="0" t="inlineStr">
        <is>
          <t>[0;34m info_sql_variant_dml_single_pk_urp [0m源备字段数相同，源端字段：25 	备端字段25</t>
        </is>
      </c>
      <c r="W477" s="0" t="inlineStr">
        <is>
          <t>YES 源备无差异</t>
        </is>
      </c>
      <c r="X477" s="0">
        <f>A477</f>
        <v/>
      </c>
    </row>
    <row r="478">
      <c r="B478" s="0" t="inlineStr">
        <is>
          <t>YES</t>
        </is>
      </c>
      <c r="C478" s="0" t="inlineStr">
        <is>
          <t>NULL</t>
        </is>
      </c>
      <c r="D478" s="0" t="inlineStr">
        <is>
          <t>NULL</t>
        </is>
      </c>
      <c r="E478" s="0" t="inlineStr">
        <is>
          <t>NULL</t>
        </is>
      </c>
      <c r="F478" s="0" t="inlineStr">
        <is>
          <t>NULL</t>
        </is>
      </c>
      <c r="G478" s="0" t="inlineStr">
        <is>
          <t>NULL</t>
        </is>
      </c>
      <c r="H478" s="0" t="inlineStr">
        <is>
          <t>NULL</t>
        </is>
      </c>
      <c r="I478" s="0" t="inlineStr">
        <is>
          <t>YES!PK__info_sql__3213E83F919861E2</t>
        </is>
      </c>
      <c r="J478" s="0" t="inlineStr">
        <is>
          <t>YES! 主键相关索引</t>
        </is>
      </c>
      <c r="K478" s="0" t="inlineStr">
        <is>
          <t>YES! 	 id列源备映射正确，源端为int None位	期望更改为int	实际备端为int None位</t>
        </is>
      </c>
    </row>
    <row r="479">
      <c r="B479" s="0" t="inlineStr">
        <is>
          <t>NULL</t>
        </is>
      </c>
      <c r="C479" s="0" t="inlineStr">
        <is>
          <t>NULL</t>
        </is>
      </c>
      <c r="D479" s="0" t="inlineStr">
        <is>
          <t>NULL</t>
        </is>
      </c>
      <c r="E479" s="0" t="inlineStr">
        <is>
          <t>NULL</t>
        </is>
      </c>
      <c r="F479" s="0" t="inlineStr">
        <is>
          <t>NULL</t>
        </is>
      </c>
      <c r="G479" s="0" t="inlineStr">
        <is>
          <t>NULL</t>
        </is>
      </c>
      <c r="H479" s="0" t="inlineStr">
        <is>
          <t>NULL</t>
        </is>
      </c>
      <c r="I479" s="0" t="inlineStr">
        <is>
          <t>NULL</t>
        </is>
      </c>
      <c r="J479" s="0" t="inlineStr">
        <is>
          <t>NULL</t>
        </is>
      </c>
      <c r="K479" s="0" t="inlineStr">
        <is>
          <t>YES! 	 c_date列源备映射正确，源端为sql_variant 0位	期望更改为sql_variant	实际备端为sql_variant 0位</t>
        </is>
      </c>
    </row>
    <row r="480">
      <c r="B480" s="0" t="inlineStr">
        <is>
          <t>NULL</t>
        </is>
      </c>
      <c r="C480" s="0" t="inlineStr">
        <is>
          <t>NULL</t>
        </is>
      </c>
      <c r="D480" s="0" t="inlineStr">
        <is>
          <t>NULL</t>
        </is>
      </c>
      <c r="E480" s="0" t="inlineStr">
        <is>
          <t>NULL</t>
        </is>
      </c>
      <c r="F480" s="0" t="inlineStr">
        <is>
          <t>NULL</t>
        </is>
      </c>
      <c r="G480" s="0" t="inlineStr">
        <is>
          <t>NULL</t>
        </is>
      </c>
      <c r="H480" s="0" t="inlineStr">
        <is>
          <t>NULL</t>
        </is>
      </c>
      <c r="I480" s="0" t="inlineStr">
        <is>
          <t>NULL</t>
        </is>
      </c>
      <c r="J480" s="0" t="inlineStr">
        <is>
          <t>NULL</t>
        </is>
      </c>
      <c r="K480" s="0" t="inlineStr">
        <is>
          <t>YES! 	 c_time列源备映射正确，源端为sql_variant 0位	期望更改为sql_variant	实际备端为sql_variant 0位</t>
        </is>
      </c>
    </row>
    <row r="481">
      <c r="B481" s="0" t="inlineStr">
        <is>
          <t>NULL</t>
        </is>
      </c>
      <c r="C481" s="0" t="inlineStr">
        <is>
          <t>NULL</t>
        </is>
      </c>
      <c r="D481" s="0" t="inlineStr">
        <is>
          <t>NULL</t>
        </is>
      </c>
      <c r="E481" s="0" t="inlineStr">
        <is>
          <t>NULL</t>
        </is>
      </c>
      <c r="F481" s="0" t="inlineStr">
        <is>
          <t>NULL</t>
        </is>
      </c>
      <c r="G481" s="0" t="inlineStr">
        <is>
          <t>NULL</t>
        </is>
      </c>
      <c r="H481" s="0" t="inlineStr">
        <is>
          <t>NULL</t>
        </is>
      </c>
      <c r="I481" s="0" t="inlineStr">
        <is>
          <t>NULL</t>
        </is>
      </c>
      <c r="J481" s="0" t="inlineStr">
        <is>
          <t>NULL</t>
        </is>
      </c>
      <c r="K481" s="0" t="inlineStr">
        <is>
          <t>YES! 	 c_datetime2列源备映射正确，源端为sql_variant 0位	期望更改为sql_variant	实际备端为sql_variant 0位</t>
        </is>
      </c>
    </row>
    <row r="482">
      <c r="B482" s="0" t="inlineStr">
        <is>
          <t>NULL</t>
        </is>
      </c>
      <c r="C482" s="0" t="inlineStr">
        <is>
          <t>NULL</t>
        </is>
      </c>
      <c r="D482" s="0" t="inlineStr">
        <is>
          <t>NULL</t>
        </is>
      </c>
      <c r="E482" s="0" t="inlineStr">
        <is>
          <t>NULL</t>
        </is>
      </c>
      <c r="F482" s="0" t="inlineStr">
        <is>
          <t>NULL</t>
        </is>
      </c>
      <c r="G482" s="0" t="inlineStr">
        <is>
          <t>NULL</t>
        </is>
      </c>
      <c r="H482" s="0" t="inlineStr">
        <is>
          <t>NULL</t>
        </is>
      </c>
      <c r="I482" s="0" t="inlineStr">
        <is>
          <t>NULL</t>
        </is>
      </c>
      <c r="J482" s="0" t="inlineStr">
        <is>
          <t>NULL</t>
        </is>
      </c>
      <c r="K482" s="0" t="inlineStr">
        <is>
          <t>YES! 	 c_datetimeoffset列源备映射正确，源端为sql_variant 0位	期望更改为sql_variant	实际备端为sql_variant 0位</t>
        </is>
      </c>
    </row>
    <row r="483">
      <c r="B483" s="0" t="inlineStr">
        <is>
          <t>NULL</t>
        </is>
      </c>
      <c r="C483" s="0" t="inlineStr">
        <is>
          <t>NULL</t>
        </is>
      </c>
      <c r="D483" s="0" t="inlineStr">
        <is>
          <t>NULL</t>
        </is>
      </c>
      <c r="E483" s="0" t="inlineStr">
        <is>
          <t>NULL</t>
        </is>
      </c>
      <c r="F483" s="0" t="inlineStr">
        <is>
          <t>NULL</t>
        </is>
      </c>
      <c r="G483" s="0" t="inlineStr">
        <is>
          <t>NULL</t>
        </is>
      </c>
      <c r="H483" s="0" t="inlineStr">
        <is>
          <t>NULL</t>
        </is>
      </c>
      <c r="I483" s="0" t="inlineStr">
        <is>
          <t>NULL</t>
        </is>
      </c>
      <c r="J483" s="0" t="inlineStr">
        <is>
          <t>NULL</t>
        </is>
      </c>
      <c r="K483" s="0" t="inlineStr">
        <is>
          <t>YES! 	 c_tinyint列源备映射正确，源端为sql_variant 0位	期望更改为sql_variant	实际备端为sql_variant 0位</t>
        </is>
      </c>
    </row>
    <row r="484">
      <c r="B484" s="0" t="inlineStr">
        <is>
          <t>NULL</t>
        </is>
      </c>
      <c r="C484" s="0" t="inlineStr">
        <is>
          <t>NULL</t>
        </is>
      </c>
      <c r="D484" s="0" t="inlineStr">
        <is>
          <t>NULL</t>
        </is>
      </c>
      <c r="E484" s="0" t="inlineStr">
        <is>
          <t>NULL</t>
        </is>
      </c>
      <c r="F484" s="0" t="inlineStr">
        <is>
          <t>NULL</t>
        </is>
      </c>
      <c r="G484" s="0" t="inlineStr">
        <is>
          <t>NULL</t>
        </is>
      </c>
      <c r="H484" s="0" t="inlineStr">
        <is>
          <t>NULL</t>
        </is>
      </c>
      <c r="I484" s="0" t="inlineStr">
        <is>
          <t>NULL</t>
        </is>
      </c>
      <c r="J484" s="0" t="inlineStr">
        <is>
          <t>NULL</t>
        </is>
      </c>
      <c r="K484" s="0" t="inlineStr">
        <is>
          <t>YES! 	 c_smallint列源备映射正确，源端为sql_variant 0位	期望更改为sql_variant	实际备端为sql_variant 0位</t>
        </is>
      </c>
    </row>
    <row r="485">
      <c r="B485" s="0" t="inlineStr">
        <is>
          <t>NULL</t>
        </is>
      </c>
      <c r="C485" s="0" t="inlineStr">
        <is>
          <t>NULL</t>
        </is>
      </c>
      <c r="D485" s="0" t="inlineStr">
        <is>
          <t>NULL</t>
        </is>
      </c>
      <c r="E485" s="0" t="inlineStr">
        <is>
          <t>NULL</t>
        </is>
      </c>
      <c r="F485" s="0" t="inlineStr">
        <is>
          <t>NULL</t>
        </is>
      </c>
      <c r="G485" s="0" t="inlineStr">
        <is>
          <t>NULL</t>
        </is>
      </c>
      <c r="H485" s="0" t="inlineStr">
        <is>
          <t>NULL</t>
        </is>
      </c>
      <c r="I485" s="0" t="inlineStr">
        <is>
          <t>NULL</t>
        </is>
      </c>
      <c r="J485" s="0" t="inlineStr">
        <is>
          <t>NULL</t>
        </is>
      </c>
      <c r="K485" s="0" t="inlineStr">
        <is>
          <t>YES! 	 c_int列源备映射正确，源端为sql_variant 0位	期望更改为sql_variant	实际备端为sql_variant 0位</t>
        </is>
      </c>
    </row>
    <row r="486">
      <c r="B486" s="0" t="inlineStr">
        <is>
          <t>NULL</t>
        </is>
      </c>
      <c r="C486" s="0" t="inlineStr">
        <is>
          <t>NULL</t>
        </is>
      </c>
      <c r="D486" s="0" t="inlineStr">
        <is>
          <t>NULL</t>
        </is>
      </c>
      <c r="E486" s="0" t="inlineStr">
        <is>
          <t>NULL</t>
        </is>
      </c>
      <c r="F486" s="0" t="inlineStr">
        <is>
          <t>NULL</t>
        </is>
      </c>
      <c r="G486" s="0" t="inlineStr">
        <is>
          <t>NULL</t>
        </is>
      </c>
      <c r="H486" s="0" t="inlineStr">
        <is>
          <t>NULL</t>
        </is>
      </c>
      <c r="I486" s="0" t="inlineStr">
        <is>
          <t>NULL</t>
        </is>
      </c>
      <c r="J486" s="0" t="inlineStr">
        <is>
          <t>NULL</t>
        </is>
      </c>
      <c r="K486" s="0" t="inlineStr">
        <is>
          <t>YES! 	 c_sdt列源备映射正确，源端为sql_variant 0位	期望更改为sql_variant	实际备端为sql_variant 0位</t>
        </is>
      </c>
    </row>
    <row r="487">
      <c r="B487" s="0" t="inlineStr">
        <is>
          <t>NULL</t>
        </is>
      </c>
      <c r="C487" s="0" t="inlineStr">
        <is>
          <t>NULL</t>
        </is>
      </c>
      <c r="D487" s="0" t="inlineStr">
        <is>
          <t>NULL</t>
        </is>
      </c>
      <c r="E487" s="0" t="inlineStr">
        <is>
          <t>NULL</t>
        </is>
      </c>
      <c r="F487" s="0" t="inlineStr">
        <is>
          <t>NULL</t>
        </is>
      </c>
      <c r="G487" s="0" t="inlineStr">
        <is>
          <t>NULL</t>
        </is>
      </c>
      <c r="H487" s="0" t="inlineStr">
        <is>
          <t>NULL</t>
        </is>
      </c>
      <c r="I487" s="0" t="inlineStr">
        <is>
          <t>NULL</t>
        </is>
      </c>
      <c r="J487" s="0" t="inlineStr">
        <is>
          <t>NULL</t>
        </is>
      </c>
      <c r="K487" s="0" t="inlineStr">
        <is>
          <t>YES! 	 c_real列源备映射正确，源端为sql_variant 0位	期望更改为sql_variant	实际备端为sql_variant 0位</t>
        </is>
      </c>
    </row>
    <row r="488">
      <c r="B488" s="0" t="inlineStr">
        <is>
          <t>NULL</t>
        </is>
      </c>
      <c r="C488" s="0" t="inlineStr">
        <is>
          <t>NULL</t>
        </is>
      </c>
      <c r="D488" s="0" t="inlineStr">
        <is>
          <t>NULL</t>
        </is>
      </c>
      <c r="E488" s="0" t="inlineStr">
        <is>
          <t>NULL</t>
        </is>
      </c>
      <c r="F488" s="0" t="inlineStr">
        <is>
          <t>NULL</t>
        </is>
      </c>
      <c r="G488" s="0" t="inlineStr">
        <is>
          <t>NULL</t>
        </is>
      </c>
      <c r="H488" s="0" t="inlineStr">
        <is>
          <t>NULL</t>
        </is>
      </c>
      <c r="I488" s="0" t="inlineStr">
        <is>
          <t>NULL</t>
        </is>
      </c>
      <c r="J488" s="0" t="inlineStr">
        <is>
          <t>NULL</t>
        </is>
      </c>
      <c r="K488" s="0" t="inlineStr">
        <is>
          <t>YES! 	 c_money列源备映射正确，源端为sql_variant 0位	期望更改为sql_variant	实际备端为sql_variant 0位</t>
        </is>
      </c>
    </row>
    <row r="489">
      <c r="B489" s="0" t="inlineStr">
        <is>
          <t>NULL</t>
        </is>
      </c>
      <c r="C489" s="0" t="inlineStr">
        <is>
          <t>NULL</t>
        </is>
      </c>
      <c r="D489" s="0" t="inlineStr">
        <is>
          <t>NULL</t>
        </is>
      </c>
      <c r="E489" s="0" t="inlineStr">
        <is>
          <t>NULL</t>
        </is>
      </c>
      <c r="F489" s="0" t="inlineStr">
        <is>
          <t>NULL</t>
        </is>
      </c>
      <c r="G489" s="0" t="inlineStr">
        <is>
          <t>NULL</t>
        </is>
      </c>
      <c r="H489" s="0" t="inlineStr">
        <is>
          <t>NULL</t>
        </is>
      </c>
      <c r="I489" s="0" t="inlineStr">
        <is>
          <t>NULL</t>
        </is>
      </c>
      <c r="J489" s="0" t="inlineStr">
        <is>
          <t>NULL</t>
        </is>
      </c>
      <c r="K489" s="0" t="inlineStr">
        <is>
          <t>YES! 	 c_datetime列源备映射正确，源端为sql_variant 0位	期望更改为sql_variant	实际备端为sql_variant 0位</t>
        </is>
      </c>
    </row>
    <row r="490">
      <c r="B490" s="0" t="inlineStr">
        <is>
          <t>NULL</t>
        </is>
      </c>
      <c r="C490" s="0" t="inlineStr">
        <is>
          <t>NULL</t>
        </is>
      </c>
      <c r="D490" s="0" t="inlineStr">
        <is>
          <t>NULL</t>
        </is>
      </c>
      <c r="E490" s="0" t="inlineStr">
        <is>
          <t>NULL</t>
        </is>
      </c>
      <c r="F490" s="0" t="inlineStr">
        <is>
          <t>NULL</t>
        </is>
      </c>
      <c r="G490" s="0" t="inlineStr">
        <is>
          <t>NULL</t>
        </is>
      </c>
      <c r="H490" s="0" t="inlineStr">
        <is>
          <t>NULL</t>
        </is>
      </c>
      <c r="I490" s="0" t="inlineStr">
        <is>
          <t>NULL</t>
        </is>
      </c>
      <c r="J490" s="0" t="inlineStr">
        <is>
          <t>NULL</t>
        </is>
      </c>
      <c r="K490" s="0" t="inlineStr">
        <is>
          <t>YES! 	 c_float列源备映射正确，源端为sql_variant 0位	期望更改为sql_variant	实际备端为sql_variant 0位</t>
        </is>
      </c>
    </row>
    <row r="491">
      <c r="B491" s="0" t="inlineStr">
        <is>
          <t>NULL</t>
        </is>
      </c>
      <c r="C491" s="0" t="inlineStr">
        <is>
          <t>NULL</t>
        </is>
      </c>
      <c r="D491" s="0" t="inlineStr">
        <is>
          <t>NULL</t>
        </is>
      </c>
      <c r="E491" s="0" t="inlineStr">
        <is>
          <t>NULL</t>
        </is>
      </c>
      <c r="F491" s="0" t="inlineStr">
        <is>
          <t>NULL</t>
        </is>
      </c>
      <c r="G491" s="0" t="inlineStr">
        <is>
          <t>NULL</t>
        </is>
      </c>
      <c r="H491" s="0" t="inlineStr">
        <is>
          <t>NULL</t>
        </is>
      </c>
      <c r="I491" s="0" t="inlineStr">
        <is>
          <t>NULL</t>
        </is>
      </c>
      <c r="J491" s="0" t="inlineStr">
        <is>
          <t>NULL</t>
        </is>
      </c>
      <c r="K491" s="0" t="inlineStr">
        <is>
          <t>YES! 	 c_bit列源备映射正确，源端为sql_variant 0位	期望更改为sql_variant	实际备端为sql_variant 0位</t>
        </is>
      </c>
    </row>
    <row r="492">
      <c r="B492" s="0" t="inlineStr">
        <is>
          <t>NULL</t>
        </is>
      </c>
      <c r="C492" s="0" t="inlineStr">
        <is>
          <t>NULL</t>
        </is>
      </c>
      <c r="D492" s="0" t="inlineStr">
        <is>
          <t>NULL</t>
        </is>
      </c>
      <c r="E492" s="0" t="inlineStr">
        <is>
          <t>NULL</t>
        </is>
      </c>
      <c r="F492" s="0" t="inlineStr">
        <is>
          <t>NULL</t>
        </is>
      </c>
      <c r="G492" s="0" t="inlineStr">
        <is>
          <t>NULL</t>
        </is>
      </c>
      <c r="H492" s="0" t="inlineStr">
        <is>
          <t>NULL</t>
        </is>
      </c>
      <c r="I492" s="0" t="inlineStr">
        <is>
          <t>NULL</t>
        </is>
      </c>
      <c r="J492" s="0" t="inlineStr">
        <is>
          <t>NULL</t>
        </is>
      </c>
      <c r="K492" s="0" t="inlineStr">
        <is>
          <t>YES! 	 c_decimal列源备映射正确，源端为sql_variant 0位	期望更改为sql_variant	实际备端为sql_variant 0位</t>
        </is>
      </c>
    </row>
    <row r="493">
      <c r="B493" s="0" t="inlineStr">
        <is>
          <t>NULL</t>
        </is>
      </c>
      <c r="C493" s="0" t="inlineStr">
        <is>
          <t>NULL</t>
        </is>
      </c>
      <c r="D493" s="0" t="inlineStr">
        <is>
          <t>NULL</t>
        </is>
      </c>
      <c r="E493" s="0" t="inlineStr">
        <is>
          <t>NULL</t>
        </is>
      </c>
      <c r="F493" s="0" t="inlineStr">
        <is>
          <t>NULL</t>
        </is>
      </c>
      <c r="G493" s="0" t="inlineStr">
        <is>
          <t>NULL</t>
        </is>
      </c>
      <c r="H493" s="0" t="inlineStr">
        <is>
          <t>NULL</t>
        </is>
      </c>
      <c r="I493" s="0" t="inlineStr">
        <is>
          <t>NULL</t>
        </is>
      </c>
      <c r="J493" s="0" t="inlineStr">
        <is>
          <t>NULL</t>
        </is>
      </c>
      <c r="K493" s="0" t="inlineStr">
        <is>
          <t>YES! 	 c_uniqueidentifier列源备映射正确，源端为sql_variant 0位	期望更改为sql_variant	实际备端为sql_variant 0位</t>
        </is>
      </c>
    </row>
    <row r="494">
      <c r="B494" s="0" t="inlineStr">
        <is>
          <t>NULL</t>
        </is>
      </c>
      <c r="C494" s="0" t="inlineStr">
        <is>
          <t>NULL</t>
        </is>
      </c>
      <c r="D494" s="0" t="inlineStr">
        <is>
          <t>NULL</t>
        </is>
      </c>
      <c r="E494" s="0" t="inlineStr">
        <is>
          <t>NULL</t>
        </is>
      </c>
      <c r="F494" s="0" t="inlineStr">
        <is>
          <t>NULL</t>
        </is>
      </c>
      <c r="G494" s="0" t="inlineStr">
        <is>
          <t>NULL</t>
        </is>
      </c>
      <c r="H494" s="0" t="inlineStr">
        <is>
          <t>NULL</t>
        </is>
      </c>
      <c r="I494" s="0" t="inlineStr">
        <is>
          <t>NULL</t>
        </is>
      </c>
      <c r="J494" s="0" t="inlineStr">
        <is>
          <t>NULL</t>
        </is>
      </c>
      <c r="K494" s="0" t="inlineStr">
        <is>
          <t>YES! 	 c_smallmoney列源备映射正确，源端为sql_variant 0位	期望更改为sql_variant	实际备端为sql_variant 0位</t>
        </is>
      </c>
    </row>
    <row r="495">
      <c r="B495" s="0" t="inlineStr">
        <is>
          <t>NULL</t>
        </is>
      </c>
      <c r="C495" s="0" t="inlineStr">
        <is>
          <t>NULL</t>
        </is>
      </c>
      <c r="D495" s="0" t="inlineStr">
        <is>
          <t>NULL</t>
        </is>
      </c>
      <c r="E495" s="0" t="inlineStr">
        <is>
          <t>NULL</t>
        </is>
      </c>
      <c r="F495" s="0" t="inlineStr">
        <is>
          <t>NULL</t>
        </is>
      </c>
      <c r="G495" s="0" t="inlineStr">
        <is>
          <t>NULL</t>
        </is>
      </c>
      <c r="H495" s="0" t="inlineStr">
        <is>
          <t>NULL</t>
        </is>
      </c>
      <c r="I495" s="0" t="inlineStr">
        <is>
          <t>NULL</t>
        </is>
      </c>
      <c r="J495" s="0" t="inlineStr">
        <is>
          <t>NULL</t>
        </is>
      </c>
      <c r="K495" s="0" t="inlineStr">
        <is>
          <t>YES! 	 c_bigint列源备映射正确，源端为sql_variant 0位	期望更改为sql_variant	实际备端为sql_variant 0位</t>
        </is>
      </c>
    </row>
    <row r="496">
      <c r="B496" s="0" t="inlineStr">
        <is>
          <t>NULL</t>
        </is>
      </c>
      <c r="C496" s="0" t="inlineStr">
        <is>
          <t>NULL</t>
        </is>
      </c>
      <c r="D496" s="0" t="inlineStr">
        <is>
          <t>NULL</t>
        </is>
      </c>
      <c r="E496" s="0" t="inlineStr">
        <is>
          <t>NULL</t>
        </is>
      </c>
      <c r="F496" s="0" t="inlineStr">
        <is>
          <t>NULL</t>
        </is>
      </c>
      <c r="G496" s="0" t="inlineStr">
        <is>
          <t>NULL</t>
        </is>
      </c>
      <c r="H496" s="0" t="inlineStr">
        <is>
          <t>NULL</t>
        </is>
      </c>
      <c r="I496" s="0" t="inlineStr">
        <is>
          <t>NULL</t>
        </is>
      </c>
      <c r="J496" s="0" t="inlineStr">
        <is>
          <t>NULL</t>
        </is>
      </c>
      <c r="K496" s="0" t="inlineStr">
        <is>
          <t>YES! 	 c_varbinary_20列源备映射正确，源端为sql_variant 0位	期望更改为sql_variant	实际备端为sql_variant 0位</t>
        </is>
      </c>
    </row>
    <row r="497">
      <c r="B497" s="0" t="inlineStr">
        <is>
          <t>NULL</t>
        </is>
      </c>
      <c r="C497" s="0" t="inlineStr">
        <is>
          <t>NULL</t>
        </is>
      </c>
      <c r="D497" s="0" t="inlineStr">
        <is>
          <t>NULL</t>
        </is>
      </c>
      <c r="E497" s="0" t="inlineStr">
        <is>
          <t>NULL</t>
        </is>
      </c>
      <c r="F497" s="0" t="inlineStr">
        <is>
          <t>NULL</t>
        </is>
      </c>
      <c r="G497" s="0" t="inlineStr">
        <is>
          <t>NULL</t>
        </is>
      </c>
      <c r="H497" s="0" t="inlineStr">
        <is>
          <t>NULL</t>
        </is>
      </c>
      <c r="I497" s="0" t="inlineStr">
        <is>
          <t>NULL</t>
        </is>
      </c>
      <c r="J497" s="0" t="inlineStr">
        <is>
          <t>NULL</t>
        </is>
      </c>
      <c r="K497" s="0" t="inlineStr">
        <is>
          <t>YES! 	 c_varchar_20列源备映射正确，源端为sql_variant 0位	期望更改为sql_variant	实际备端为sql_variant 0位</t>
        </is>
      </c>
    </row>
    <row r="498">
      <c r="B498" s="0" t="inlineStr">
        <is>
          <t>NULL</t>
        </is>
      </c>
      <c r="C498" s="0" t="inlineStr">
        <is>
          <t>NULL</t>
        </is>
      </c>
      <c r="D498" s="0" t="inlineStr">
        <is>
          <t>NULL</t>
        </is>
      </c>
      <c r="E498" s="0" t="inlineStr">
        <is>
          <t>NULL</t>
        </is>
      </c>
      <c r="F498" s="0" t="inlineStr">
        <is>
          <t>NULL</t>
        </is>
      </c>
      <c r="G498" s="0" t="inlineStr">
        <is>
          <t>NULL</t>
        </is>
      </c>
      <c r="H498" s="0" t="inlineStr">
        <is>
          <t>NULL</t>
        </is>
      </c>
      <c r="I498" s="0" t="inlineStr">
        <is>
          <t>NULL</t>
        </is>
      </c>
      <c r="J498" s="0" t="inlineStr">
        <is>
          <t>NULL</t>
        </is>
      </c>
      <c r="K498" s="0" t="inlineStr">
        <is>
          <t>YES! 	 c_binary_20列源备映射正确，源端为sql_variant 0位	期望更改为sql_variant	实际备端为sql_variant 0位</t>
        </is>
      </c>
    </row>
    <row r="499">
      <c r="B499" s="0" t="inlineStr">
        <is>
          <t>NULL</t>
        </is>
      </c>
      <c r="C499" s="0" t="inlineStr">
        <is>
          <t>NULL</t>
        </is>
      </c>
      <c r="D499" s="0" t="inlineStr">
        <is>
          <t>NULL</t>
        </is>
      </c>
      <c r="E499" s="0" t="inlineStr">
        <is>
          <t>NULL</t>
        </is>
      </c>
      <c r="F499" s="0" t="inlineStr">
        <is>
          <t>NULL</t>
        </is>
      </c>
      <c r="G499" s="0" t="inlineStr">
        <is>
          <t>NULL</t>
        </is>
      </c>
      <c r="H499" s="0" t="inlineStr">
        <is>
          <t>NULL</t>
        </is>
      </c>
      <c r="I499" s="0" t="inlineStr">
        <is>
          <t>NULL</t>
        </is>
      </c>
      <c r="J499" s="0" t="inlineStr">
        <is>
          <t>NULL</t>
        </is>
      </c>
      <c r="K499" s="0" t="inlineStr">
        <is>
          <t>YES! 	 c_char_20列源备映射正确，源端为sql_variant 0位	期望更改为sql_variant	实际备端为sql_variant 0位</t>
        </is>
      </c>
    </row>
    <row r="500">
      <c r="B500" s="0" t="inlineStr">
        <is>
          <t>NULL</t>
        </is>
      </c>
      <c r="C500" s="0" t="inlineStr">
        <is>
          <t>NULL</t>
        </is>
      </c>
      <c r="D500" s="0" t="inlineStr">
        <is>
          <t>NULL</t>
        </is>
      </c>
      <c r="E500" s="0" t="inlineStr">
        <is>
          <t>NULL</t>
        </is>
      </c>
      <c r="F500" s="0" t="inlineStr">
        <is>
          <t>NULL</t>
        </is>
      </c>
      <c r="G500" s="0" t="inlineStr">
        <is>
          <t>NULL</t>
        </is>
      </c>
      <c r="H500" s="0" t="inlineStr">
        <is>
          <t>NULL</t>
        </is>
      </c>
      <c r="I500" s="0" t="inlineStr">
        <is>
          <t>NULL</t>
        </is>
      </c>
      <c r="J500" s="0" t="inlineStr">
        <is>
          <t>NULL</t>
        </is>
      </c>
      <c r="K500" s="0" t="inlineStr">
        <is>
          <t>YES! 	 c_nvarchar_20列源备映射正确，源端为sql_variant 0位	期望更改为sql_variant	实际备端为sql_variant 0位</t>
        </is>
      </c>
    </row>
    <row r="501">
      <c r="B501" s="0" t="inlineStr">
        <is>
          <t>NULL</t>
        </is>
      </c>
      <c r="C501" s="0" t="inlineStr">
        <is>
          <t>NULL</t>
        </is>
      </c>
      <c r="D501" s="0" t="inlineStr">
        <is>
          <t>NULL</t>
        </is>
      </c>
      <c r="E501" s="0" t="inlineStr">
        <is>
          <t>NULL</t>
        </is>
      </c>
      <c r="F501" s="0" t="inlineStr">
        <is>
          <t>NULL</t>
        </is>
      </c>
      <c r="G501" s="0" t="inlineStr">
        <is>
          <t>NULL</t>
        </is>
      </c>
      <c r="H501" s="0" t="inlineStr">
        <is>
          <t>NULL</t>
        </is>
      </c>
      <c r="I501" s="0" t="inlineStr">
        <is>
          <t>NULL</t>
        </is>
      </c>
      <c r="J501" s="0" t="inlineStr">
        <is>
          <t>NULL</t>
        </is>
      </c>
      <c r="K501" s="0" t="inlineStr">
        <is>
          <t>YES! 	 c_nchar_20列源备映射正确，源端为sql_variant 0位	期望更改为sql_variant	实际备端为sql_variant 0位</t>
        </is>
      </c>
    </row>
    <row r="502">
      <c r="B502" s="0" t="inlineStr">
        <is>
          <t>NULL</t>
        </is>
      </c>
      <c r="C502" s="0" t="inlineStr">
        <is>
          <t>NULL</t>
        </is>
      </c>
      <c r="D502" s="0" t="inlineStr">
        <is>
          <t>NULL</t>
        </is>
      </c>
      <c r="E502" s="0" t="inlineStr">
        <is>
          <t>NULL</t>
        </is>
      </c>
      <c r="F502" s="0" t="inlineStr">
        <is>
          <t>NULL</t>
        </is>
      </c>
      <c r="G502" s="0" t="inlineStr">
        <is>
          <t>NULL</t>
        </is>
      </c>
      <c r="H502" s="0" t="inlineStr">
        <is>
          <t>NULL</t>
        </is>
      </c>
      <c r="I502" s="0" t="inlineStr">
        <is>
          <t>NULL</t>
        </is>
      </c>
      <c r="J502" s="0" t="inlineStr">
        <is>
          <t>NULL</t>
        </is>
      </c>
      <c r="K502" s="0" t="inlineStr">
        <is>
          <t>YES! 	 c_timestamp列源备映射正确，源端为timestamp None位	期望更改为timestamp	实际备端为timestamp None位</t>
        </is>
      </c>
    </row>
    <row r="503">
      <c r="A503" s="0" t="inlineStr">
        <is>
          <t>info_nchar_dml_single_pk_drp</t>
        </is>
      </c>
      <c r="K503" s="0" t="inlineStr">
        <is>
          <t>[0;34m info_nchar_dml_single_pk_drp [0m源备字段数相同，源端字段：4 	备端字段4</t>
        </is>
      </c>
      <c r="W503" s="0" t="inlineStr">
        <is>
          <t>YES 源备无差异</t>
        </is>
      </c>
      <c r="X503" s="0">
        <f>A503</f>
        <v/>
      </c>
    </row>
    <row r="504">
      <c r="B504" s="0" t="inlineStr">
        <is>
          <t>YES</t>
        </is>
      </c>
      <c r="C504" s="0" t="inlineStr">
        <is>
          <t>NULL</t>
        </is>
      </c>
      <c r="D504" s="0" t="inlineStr">
        <is>
          <t>NULL</t>
        </is>
      </c>
      <c r="E504" s="0" t="inlineStr">
        <is>
          <t>NULL</t>
        </is>
      </c>
      <c r="F504" s="0" t="inlineStr">
        <is>
          <t>NULL</t>
        </is>
      </c>
      <c r="G504" s="0" t="inlineStr">
        <is>
          <t>NULL</t>
        </is>
      </c>
      <c r="H504" s="0" t="inlineStr">
        <is>
          <t>NULL</t>
        </is>
      </c>
      <c r="I504" s="0" t="inlineStr">
        <is>
          <t>YES!PK__info_nch__3213E83FFD93D76F</t>
        </is>
      </c>
      <c r="J504" s="0" t="inlineStr">
        <is>
          <t>YES! 主键相关索引</t>
        </is>
      </c>
      <c r="K504" s="0" t="inlineStr">
        <is>
          <t>YES! 	 id列源备映射正确，源端为int None位	期望更改为int	实际备端为int None位</t>
        </is>
      </c>
    </row>
    <row r="505">
      <c r="B505" s="0" t="inlineStr">
        <is>
          <t>NULL</t>
        </is>
      </c>
      <c r="C505" s="0" t="inlineStr">
        <is>
          <t>NULL</t>
        </is>
      </c>
      <c r="D505" s="0" t="inlineStr">
        <is>
          <t>NULL</t>
        </is>
      </c>
      <c r="E505" s="0" t="inlineStr">
        <is>
          <t>NULL</t>
        </is>
      </c>
      <c r="F505" s="0" t="inlineStr">
        <is>
          <t>NULL</t>
        </is>
      </c>
      <c r="G505" s="0" t="inlineStr">
        <is>
          <t>NULL</t>
        </is>
      </c>
      <c r="H505" s="0" t="inlineStr">
        <is>
          <t>NULL</t>
        </is>
      </c>
      <c r="I505" s="0" t="inlineStr">
        <is>
          <t>NULL</t>
        </is>
      </c>
      <c r="J505" s="0" t="inlineStr">
        <is>
          <t>NULL</t>
        </is>
      </c>
      <c r="K505" s="0" t="inlineStr">
        <is>
          <t>YES! 	 c_nchar列源备映射正确，源端为nchar 2位	期望更改为nchar(n)	实际备端为nchar 2位</t>
        </is>
      </c>
    </row>
    <row r="506">
      <c r="B506" s="0" t="inlineStr">
        <is>
          <t>NULL</t>
        </is>
      </c>
      <c r="C506" s="0" t="inlineStr">
        <is>
          <t>NULL</t>
        </is>
      </c>
      <c r="D506" s="0" t="inlineStr">
        <is>
          <t>NULL</t>
        </is>
      </c>
      <c r="E506" s="0" t="inlineStr">
        <is>
          <t>NULL</t>
        </is>
      </c>
      <c r="F506" s="0" t="inlineStr">
        <is>
          <t>NULL</t>
        </is>
      </c>
      <c r="G506" s="0" t="inlineStr">
        <is>
          <t>NULL</t>
        </is>
      </c>
      <c r="H506" s="0" t="inlineStr">
        <is>
          <t>NULL</t>
        </is>
      </c>
      <c r="I506" s="0" t="inlineStr">
        <is>
          <t>NULL</t>
        </is>
      </c>
      <c r="J506" s="0" t="inlineStr">
        <is>
          <t>NULL</t>
        </is>
      </c>
      <c r="K506" s="0" t="inlineStr">
        <is>
          <t>YES! 	 c_nchar20列源备映射正确，源端为nchar 40位	期望更改为nchar(n)	实际备端为nchar 40位</t>
        </is>
      </c>
    </row>
    <row r="507">
      <c r="B507" s="0" t="inlineStr">
        <is>
          <t>NULL</t>
        </is>
      </c>
      <c r="C507" s="0" t="inlineStr">
        <is>
          <t>NULL</t>
        </is>
      </c>
      <c r="D507" s="0" t="inlineStr">
        <is>
          <t>NULL</t>
        </is>
      </c>
      <c r="E507" s="0" t="inlineStr">
        <is>
          <t>NULL</t>
        </is>
      </c>
      <c r="F507" s="0" t="inlineStr">
        <is>
          <t>NULL</t>
        </is>
      </c>
      <c r="G507" s="0" t="inlineStr">
        <is>
          <t>NULL</t>
        </is>
      </c>
      <c r="H507" s="0" t="inlineStr">
        <is>
          <t>NULL</t>
        </is>
      </c>
      <c r="I507" s="0" t="inlineStr">
        <is>
          <t>NULL</t>
        </is>
      </c>
      <c r="J507" s="0" t="inlineStr">
        <is>
          <t>NULL</t>
        </is>
      </c>
      <c r="K507" s="0" t="inlineStr">
        <is>
          <t>YES! 	 c_nchar3500列源备映射正确，源端为nchar 7000位	期望更改为nchar(n)	实际备端为nchar 7000位</t>
        </is>
      </c>
    </row>
    <row r="508">
      <c r="A508" s="0" t="inlineStr">
        <is>
          <t>info_int_dml_single_nopk_drp</t>
        </is>
      </c>
      <c r="K508" s="0" t="inlineStr">
        <is>
          <t>[0;34m info_int_dml_single_nopk_drp [0m源备字段数相同，源端字段：20 	备端字段20</t>
        </is>
      </c>
      <c r="W508" s="0" t="inlineStr">
        <is>
          <t>YES 源备无差异</t>
        </is>
      </c>
      <c r="X508" s="0">
        <f>A508</f>
        <v/>
      </c>
    </row>
    <row r="509">
      <c r="B509" s="0" t="inlineStr">
        <is>
          <t>NULL</t>
        </is>
      </c>
      <c r="C509" s="0" t="inlineStr">
        <is>
          <t>NULL</t>
        </is>
      </c>
      <c r="D509" s="0" t="inlineStr">
        <is>
          <t>NULL</t>
        </is>
      </c>
      <c r="E509" s="0" t="inlineStr">
        <is>
          <t>NULL</t>
        </is>
      </c>
      <c r="F509" s="0" t="inlineStr">
        <is>
          <t>NULL</t>
        </is>
      </c>
      <c r="G509" s="0" t="inlineStr">
        <is>
          <t>NULL</t>
        </is>
      </c>
      <c r="H509" s="0" t="inlineStr">
        <is>
          <t>NULL</t>
        </is>
      </c>
      <c r="I509" s="0" t="inlineStr">
        <is>
          <t>NULL</t>
        </is>
      </c>
      <c r="J509" s="0" t="inlineStr">
        <is>
          <t>NULL</t>
        </is>
      </c>
      <c r="K509" s="0" t="inlineStr">
        <is>
          <t>YES! 	 id列源备映射正确，源端为int None位	期望更改为int	实际备端为int None位</t>
        </is>
      </c>
    </row>
    <row r="510">
      <c r="B510" s="0" t="inlineStr">
        <is>
          <t>NULL</t>
        </is>
      </c>
      <c r="C510" s="0" t="inlineStr">
        <is>
          <t>NULL</t>
        </is>
      </c>
      <c r="D510" s="0" t="inlineStr">
        <is>
          <t>NULL</t>
        </is>
      </c>
      <c r="E510" s="0" t="inlineStr">
        <is>
          <t>NULL</t>
        </is>
      </c>
      <c r="F510" s="0" t="inlineStr">
        <is>
          <t>NULL</t>
        </is>
      </c>
      <c r="G510" s="0" t="inlineStr">
        <is>
          <t>NULL</t>
        </is>
      </c>
      <c r="H510" s="0" t="inlineStr">
        <is>
          <t>NULL</t>
        </is>
      </c>
      <c r="I510" s="0" t="inlineStr">
        <is>
          <t>NULL</t>
        </is>
      </c>
      <c r="J510" s="0" t="inlineStr">
        <is>
          <t>NULL</t>
        </is>
      </c>
      <c r="K510" s="0" t="inlineStr">
        <is>
          <t>YES! 	 c_tinyint列源备映射正确，源端为tinyint None位	期望更改为tinyint	实际备端为tinyint None位</t>
        </is>
      </c>
    </row>
    <row r="511">
      <c r="B511" s="0" t="inlineStr">
        <is>
          <t>NULL</t>
        </is>
      </c>
      <c r="C511" s="0" t="inlineStr">
        <is>
          <t>NULL</t>
        </is>
      </c>
      <c r="D511" s="0" t="inlineStr">
        <is>
          <t>NULL</t>
        </is>
      </c>
      <c r="E511" s="0" t="inlineStr">
        <is>
          <t>NULL</t>
        </is>
      </c>
      <c r="F511" s="0" t="inlineStr">
        <is>
          <t>NULL</t>
        </is>
      </c>
      <c r="G511" s="0" t="inlineStr">
        <is>
          <t>NULL</t>
        </is>
      </c>
      <c r="H511" s="0" t="inlineStr">
        <is>
          <t>NULL</t>
        </is>
      </c>
      <c r="I511" s="0" t="inlineStr">
        <is>
          <t>NULL</t>
        </is>
      </c>
      <c r="J511" s="0" t="inlineStr">
        <is>
          <t>NULL</t>
        </is>
      </c>
      <c r="K511" s="0" t="inlineStr">
        <is>
          <t>YES! 	 c_smallint列源备映射正确，源端为smallint None位	期望更改为smallint	实际备端为smallint None位</t>
        </is>
      </c>
    </row>
    <row r="512">
      <c r="B512" s="0" t="inlineStr">
        <is>
          <t>NULL</t>
        </is>
      </c>
      <c r="C512" s="0" t="inlineStr">
        <is>
          <t>NULL</t>
        </is>
      </c>
      <c r="D512" s="0" t="inlineStr">
        <is>
          <t>NULL</t>
        </is>
      </c>
      <c r="E512" s="0" t="inlineStr">
        <is>
          <t>NULL</t>
        </is>
      </c>
      <c r="F512" s="0" t="inlineStr">
        <is>
          <t>NULL</t>
        </is>
      </c>
      <c r="G512" s="0" t="inlineStr">
        <is>
          <t>NULL</t>
        </is>
      </c>
      <c r="H512" s="0" t="inlineStr">
        <is>
          <t>NULL</t>
        </is>
      </c>
      <c r="I512" s="0" t="inlineStr">
        <is>
          <t>NULL</t>
        </is>
      </c>
      <c r="J512" s="0" t="inlineStr">
        <is>
          <t>NULL</t>
        </is>
      </c>
      <c r="K512" s="0" t="inlineStr">
        <is>
          <t>YES! 	 c_int列源备映射正确，源端为int None位	期望更改为int	实际备端为int None位</t>
        </is>
      </c>
    </row>
    <row r="513">
      <c r="B513" s="0" t="inlineStr">
        <is>
          <t>NULL</t>
        </is>
      </c>
      <c r="C513" s="0" t="inlineStr">
        <is>
          <t>NULL</t>
        </is>
      </c>
      <c r="D513" s="0" t="inlineStr">
        <is>
          <t>NULL</t>
        </is>
      </c>
      <c r="E513" s="0" t="inlineStr">
        <is>
          <t>NULL</t>
        </is>
      </c>
      <c r="F513" s="0" t="inlineStr">
        <is>
          <t>NULL</t>
        </is>
      </c>
      <c r="G513" s="0" t="inlineStr">
        <is>
          <t>NULL</t>
        </is>
      </c>
      <c r="H513" s="0" t="inlineStr">
        <is>
          <t>NULL</t>
        </is>
      </c>
      <c r="I513" s="0" t="inlineStr">
        <is>
          <t>NULL</t>
        </is>
      </c>
      <c r="J513" s="0" t="inlineStr">
        <is>
          <t>NULL</t>
        </is>
      </c>
      <c r="K513" s="0" t="inlineStr">
        <is>
          <t>YES! 	 c_bigint列源备映射正确，源端为bigint None位	期望更改为bigint	实际备端为bigint None位</t>
        </is>
      </c>
    </row>
    <row r="514">
      <c r="B514" s="0" t="inlineStr">
        <is>
          <t>NULL</t>
        </is>
      </c>
      <c r="C514" s="0" t="inlineStr">
        <is>
          <t>NULL</t>
        </is>
      </c>
      <c r="D514" s="0" t="inlineStr">
        <is>
          <t>NULL</t>
        </is>
      </c>
      <c r="E514" s="0" t="inlineStr">
        <is>
          <t>NULL</t>
        </is>
      </c>
      <c r="F514" s="0" t="inlineStr">
        <is>
          <t>NULL</t>
        </is>
      </c>
      <c r="G514" s="0" t="inlineStr">
        <is>
          <t>NULL</t>
        </is>
      </c>
      <c r="H514" s="0" t="inlineStr">
        <is>
          <t>NULL</t>
        </is>
      </c>
      <c r="I514" s="0" t="inlineStr">
        <is>
          <t>NULL</t>
        </is>
      </c>
      <c r="J514" s="0" t="inlineStr">
        <is>
          <t>NULL</t>
        </is>
      </c>
      <c r="K514" s="0" t="inlineStr">
        <is>
          <t>YES! 	 c_decimal列源备映射正确，源端为decimal None位	期望更改为decimal(p,s)	实际备端为decimal None位</t>
        </is>
      </c>
    </row>
    <row r="515">
      <c r="B515" s="0" t="inlineStr">
        <is>
          <t>NULL</t>
        </is>
      </c>
      <c r="C515" s="0" t="inlineStr">
        <is>
          <t>NULL</t>
        </is>
      </c>
      <c r="D515" s="0" t="inlineStr">
        <is>
          <t>NULL</t>
        </is>
      </c>
      <c r="E515" s="0" t="inlineStr">
        <is>
          <t>NULL</t>
        </is>
      </c>
      <c r="F515" s="0" t="inlineStr">
        <is>
          <t>NULL</t>
        </is>
      </c>
      <c r="G515" s="0" t="inlineStr">
        <is>
          <t>NULL</t>
        </is>
      </c>
      <c r="H515" s="0" t="inlineStr">
        <is>
          <t>NULL</t>
        </is>
      </c>
      <c r="I515" s="0" t="inlineStr">
        <is>
          <t>NULL</t>
        </is>
      </c>
      <c r="J515" s="0" t="inlineStr">
        <is>
          <t>NULL</t>
        </is>
      </c>
      <c r="K515" s="0" t="inlineStr">
        <is>
          <t>YES! 	 c_decimal38列源备映射正确，源端为decimal None位	期望更改为decimal(p,s)	实际备端为decimal None位</t>
        </is>
      </c>
    </row>
    <row r="516">
      <c r="B516" s="0" t="inlineStr">
        <is>
          <t>NULL</t>
        </is>
      </c>
      <c r="C516" s="0" t="inlineStr">
        <is>
          <t>NULL</t>
        </is>
      </c>
      <c r="D516" s="0" t="inlineStr">
        <is>
          <t>NULL</t>
        </is>
      </c>
      <c r="E516" s="0" t="inlineStr">
        <is>
          <t>NULL</t>
        </is>
      </c>
      <c r="F516" s="0" t="inlineStr">
        <is>
          <t>NULL</t>
        </is>
      </c>
      <c r="G516" s="0" t="inlineStr">
        <is>
          <t>NULL</t>
        </is>
      </c>
      <c r="H516" s="0" t="inlineStr">
        <is>
          <t>NULL</t>
        </is>
      </c>
      <c r="I516" s="0" t="inlineStr">
        <is>
          <t>NULL</t>
        </is>
      </c>
      <c r="J516" s="0" t="inlineStr">
        <is>
          <t>NULL</t>
        </is>
      </c>
      <c r="K516" s="0" t="inlineStr">
        <is>
          <t>YES! 	 c_decimal38_38列源备映射正确，源端为decimal None位	期望更改为decimal(p,s)	实际备端为decimal None位</t>
        </is>
      </c>
    </row>
    <row r="517">
      <c r="B517" s="0" t="inlineStr">
        <is>
          <t>NULL</t>
        </is>
      </c>
      <c r="C517" s="0" t="inlineStr">
        <is>
          <t>NULL</t>
        </is>
      </c>
      <c r="D517" s="0" t="inlineStr">
        <is>
          <t>NULL</t>
        </is>
      </c>
      <c r="E517" s="0" t="inlineStr">
        <is>
          <t>NULL</t>
        </is>
      </c>
      <c r="F517" s="0" t="inlineStr">
        <is>
          <t>NULL</t>
        </is>
      </c>
      <c r="G517" s="0" t="inlineStr">
        <is>
          <t>NULL</t>
        </is>
      </c>
      <c r="H517" s="0" t="inlineStr">
        <is>
          <t>NULL</t>
        </is>
      </c>
      <c r="I517" s="0" t="inlineStr">
        <is>
          <t>NULL</t>
        </is>
      </c>
      <c r="J517" s="0" t="inlineStr">
        <is>
          <t>NULL</t>
        </is>
      </c>
      <c r="K517" s="0" t="inlineStr">
        <is>
          <t>YES! 	 c_decimal38_10列源备映射正确，源端为decimal None位	期望更改为decimal(p,s)	实际备端为decimal None位</t>
        </is>
      </c>
    </row>
    <row r="518">
      <c r="B518" s="0" t="inlineStr">
        <is>
          <t>NULL</t>
        </is>
      </c>
      <c r="C518" s="0" t="inlineStr">
        <is>
          <t>NULL</t>
        </is>
      </c>
      <c r="D518" s="0" t="inlineStr">
        <is>
          <t>NULL</t>
        </is>
      </c>
      <c r="E518" s="0" t="inlineStr">
        <is>
          <t>NULL</t>
        </is>
      </c>
      <c r="F518" s="0" t="inlineStr">
        <is>
          <t>NULL</t>
        </is>
      </c>
      <c r="G518" s="0" t="inlineStr">
        <is>
          <t>NULL</t>
        </is>
      </c>
      <c r="H518" s="0" t="inlineStr">
        <is>
          <t>NULL</t>
        </is>
      </c>
      <c r="I518" s="0" t="inlineStr">
        <is>
          <t>NULL</t>
        </is>
      </c>
      <c r="J518" s="0" t="inlineStr">
        <is>
          <t>NULL</t>
        </is>
      </c>
      <c r="K518" s="0" t="inlineStr">
        <is>
          <t>YES! 	 c_decimal19_4列源备映射正确，源端为decimal None位	期望更改为decimal(p,s)	实际备端为decimal None位</t>
        </is>
      </c>
    </row>
    <row r="519">
      <c r="B519" s="0" t="inlineStr">
        <is>
          <t>NULL</t>
        </is>
      </c>
      <c r="C519" s="0" t="inlineStr">
        <is>
          <t>NULL</t>
        </is>
      </c>
      <c r="D519" s="0" t="inlineStr">
        <is>
          <t>NULL</t>
        </is>
      </c>
      <c r="E519" s="0" t="inlineStr">
        <is>
          <t>NULL</t>
        </is>
      </c>
      <c r="F519" s="0" t="inlineStr">
        <is>
          <t>NULL</t>
        </is>
      </c>
      <c r="G519" s="0" t="inlineStr">
        <is>
          <t>NULL</t>
        </is>
      </c>
      <c r="H519" s="0" t="inlineStr">
        <is>
          <t>NULL</t>
        </is>
      </c>
      <c r="I519" s="0" t="inlineStr">
        <is>
          <t>NULL</t>
        </is>
      </c>
      <c r="J519" s="0" t="inlineStr">
        <is>
          <t>NULL</t>
        </is>
      </c>
      <c r="K519" s="0" t="inlineStr">
        <is>
          <t>YES! 	 c_numeric列源备映射正确，源端为numeric None位	期望更改为numeric(p,s)	实际备端为numeric None位</t>
        </is>
      </c>
    </row>
    <row r="520">
      <c r="B520" s="0" t="inlineStr">
        <is>
          <t>NULL</t>
        </is>
      </c>
      <c r="C520" s="0" t="inlineStr">
        <is>
          <t>NULL</t>
        </is>
      </c>
      <c r="D520" s="0" t="inlineStr">
        <is>
          <t>NULL</t>
        </is>
      </c>
      <c r="E520" s="0" t="inlineStr">
        <is>
          <t>NULL</t>
        </is>
      </c>
      <c r="F520" s="0" t="inlineStr">
        <is>
          <t>NULL</t>
        </is>
      </c>
      <c r="G520" s="0" t="inlineStr">
        <is>
          <t>NULL</t>
        </is>
      </c>
      <c r="H520" s="0" t="inlineStr">
        <is>
          <t>NULL</t>
        </is>
      </c>
      <c r="I520" s="0" t="inlineStr">
        <is>
          <t>NULL</t>
        </is>
      </c>
      <c r="J520" s="0" t="inlineStr">
        <is>
          <t>NULL</t>
        </is>
      </c>
      <c r="K520" s="0" t="inlineStr">
        <is>
          <t>YES! 	 c_numeric38列源备映射正确，源端为numeric None位	期望更改为numeric(p,s)	实际备端为numeric None位</t>
        </is>
      </c>
    </row>
    <row r="521">
      <c r="B521" s="0" t="inlineStr">
        <is>
          <t>NULL</t>
        </is>
      </c>
      <c r="C521" s="0" t="inlineStr">
        <is>
          <t>NULL</t>
        </is>
      </c>
      <c r="D521" s="0" t="inlineStr">
        <is>
          <t>NULL</t>
        </is>
      </c>
      <c r="E521" s="0" t="inlineStr">
        <is>
          <t>NULL</t>
        </is>
      </c>
      <c r="F521" s="0" t="inlineStr">
        <is>
          <t>NULL</t>
        </is>
      </c>
      <c r="G521" s="0" t="inlineStr">
        <is>
          <t>NULL</t>
        </is>
      </c>
      <c r="H521" s="0" t="inlineStr">
        <is>
          <t>NULL</t>
        </is>
      </c>
      <c r="I521" s="0" t="inlineStr">
        <is>
          <t>NULL</t>
        </is>
      </c>
      <c r="J521" s="0" t="inlineStr">
        <is>
          <t>NULL</t>
        </is>
      </c>
      <c r="K521" s="0" t="inlineStr">
        <is>
          <t>YES! 	 c_numeric38_38列源备映射正确，源端为numeric None位	期望更改为numeric(p,s)	实际备端为numeric None位</t>
        </is>
      </c>
    </row>
    <row r="522">
      <c r="B522" s="0" t="inlineStr">
        <is>
          <t>NULL</t>
        </is>
      </c>
      <c r="C522" s="0" t="inlineStr">
        <is>
          <t>NULL</t>
        </is>
      </c>
      <c r="D522" s="0" t="inlineStr">
        <is>
          <t>NULL</t>
        </is>
      </c>
      <c r="E522" s="0" t="inlineStr">
        <is>
          <t>NULL</t>
        </is>
      </c>
      <c r="F522" s="0" t="inlineStr">
        <is>
          <t>NULL</t>
        </is>
      </c>
      <c r="G522" s="0" t="inlineStr">
        <is>
          <t>NULL</t>
        </is>
      </c>
      <c r="H522" s="0" t="inlineStr">
        <is>
          <t>NULL</t>
        </is>
      </c>
      <c r="I522" s="0" t="inlineStr">
        <is>
          <t>NULL</t>
        </is>
      </c>
      <c r="J522" s="0" t="inlineStr">
        <is>
          <t>NULL</t>
        </is>
      </c>
      <c r="K522" s="0" t="inlineStr">
        <is>
          <t>YES! 	 c_numeric38_10列源备映射正确，源端为numeric None位	期望更改为numeric(p,s)	实际备端为numeric None位</t>
        </is>
      </c>
    </row>
    <row r="523">
      <c r="B523" s="0" t="inlineStr">
        <is>
          <t>NULL</t>
        </is>
      </c>
      <c r="C523" s="0" t="inlineStr">
        <is>
          <t>NULL</t>
        </is>
      </c>
      <c r="D523" s="0" t="inlineStr">
        <is>
          <t>NULL</t>
        </is>
      </c>
      <c r="E523" s="0" t="inlineStr">
        <is>
          <t>NULL</t>
        </is>
      </c>
      <c r="F523" s="0" t="inlineStr">
        <is>
          <t>NULL</t>
        </is>
      </c>
      <c r="G523" s="0" t="inlineStr">
        <is>
          <t>NULL</t>
        </is>
      </c>
      <c r="H523" s="0" t="inlineStr">
        <is>
          <t>NULL</t>
        </is>
      </c>
      <c r="I523" s="0" t="inlineStr">
        <is>
          <t>NULL</t>
        </is>
      </c>
      <c r="J523" s="0" t="inlineStr">
        <is>
          <t>NULL</t>
        </is>
      </c>
      <c r="K523" s="0" t="inlineStr">
        <is>
          <t>YES! 	 c_numeric18_2列源备映射正确，源端为numeric None位	期望更改为numeric(p,s)	实际备端为numeric None位</t>
        </is>
      </c>
    </row>
    <row r="524">
      <c r="B524" s="0" t="inlineStr">
        <is>
          <t>NULL</t>
        </is>
      </c>
      <c r="C524" s="0" t="inlineStr">
        <is>
          <t>NULL</t>
        </is>
      </c>
      <c r="D524" s="0" t="inlineStr">
        <is>
          <t>NULL</t>
        </is>
      </c>
      <c r="E524" s="0" t="inlineStr">
        <is>
          <t>NULL</t>
        </is>
      </c>
      <c r="F524" s="0" t="inlineStr">
        <is>
          <t>NULL</t>
        </is>
      </c>
      <c r="G524" s="0" t="inlineStr">
        <is>
          <t>NULL</t>
        </is>
      </c>
      <c r="H524" s="0" t="inlineStr">
        <is>
          <t>NULL</t>
        </is>
      </c>
      <c r="I524" s="0" t="inlineStr">
        <is>
          <t>NULL</t>
        </is>
      </c>
      <c r="J524" s="0" t="inlineStr">
        <is>
          <t>NULL</t>
        </is>
      </c>
      <c r="K524" s="0" t="inlineStr">
        <is>
          <t>YES! 	 c_float列源备映射正确，源端为float None位	期望更改为float	实际备端为float None位</t>
        </is>
      </c>
    </row>
    <row r="525">
      <c r="B525" s="0" t="inlineStr">
        <is>
          <t>NULL</t>
        </is>
      </c>
      <c r="C525" s="0" t="inlineStr">
        <is>
          <t>NULL</t>
        </is>
      </c>
      <c r="D525" s="0" t="inlineStr">
        <is>
          <t>NULL</t>
        </is>
      </c>
      <c r="E525" s="0" t="inlineStr">
        <is>
          <t>NULL</t>
        </is>
      </c>
      <c r="F525" s="0" t="inlineStr">
        <is>
          <t>NULL</t>
        </is>
      </c>
      <c r="G525" s="0" t="inlineStr">
        <is>
          <t>NULL</t>
        </is>
      </c>
      <c r="H525" s="0" t="inlineStr">
        <is>
          <t>NULL</t>
        </is>
      </c>
      <c r="I525" s="0" t="inlineStr">
        <is>
          <t>NULL</t>
        </is>
      </c>
      <c r="J525" s="0" t="inlineStr">
        <is>
          <t>NULL</t>
        </is>
      </c>
      <c r="K525" s="0" t="inlineStr">
        <is>
          <t>YES! 	 c_real列源备映射正确，源端为real None位	期望更改为real	实际备端为real None位</t>
        </is>
      </c>
    </row>
    <row r="526">
      <c r="B526" s="0" t="inlineStr">
        <is>
          <t>NULL</t>
        </is>
      </c>
      <c r="C526" s="0" t="inlineStr">
        <is>
          <t>NULL</t>
        </is>
      </c>
      <c r="D526" s="0" t="inlineStr">
        <is>
          <t>NULL</t>
        </is>
      </c>
      <c r="E526" s="0" t="inlineStr">
        <is>
          <t>NULL</t>
        </is>
      </c>
      <c r="F526" s="0" t="inlineStr">
        <is>
          <t>NULL</t>
        </is>
      </c>
      <c r="G526" s="0" t="inlineStr">
        <is>
          <t>NULL</t>
        </is>
      </c>
      <c r="H526" s="0" t="inlineStr">
        <is>
          <t>NULL</t>
        </is>
      </c>
      <c r="I526" s="0" t="inlineStr">
        <is>
          <t>NULL</t>
        </is>
      </c>
      <c r="J526" s="0" t="inlineStr">
        <is>
          <t>NULL</t>
        </is>
      </c>
      <c r="K526" s="0" t="inlineStr">
        <is>
          <t>YES! 	 c_money列源备映射正确，源端为money None位	期望更改为money	实际备端为money None位</t>
        </is>
      </c>
    </row>
    <row r="527">
      <c r="B527" s="0" t="inlineStr">
        <is>
          <t>NULL</t>
        </is>
      </c>
      <c r="C527" s="0" t="inlineStr">
        <is>
          <t>NULL</t>
        </is>
      </c>
      <c r="D527" s="0" t="inlineStr">
        <is>
          <t>NULL</t>
        </is>
      </c>
      <c r="E527" s="0" t="inlineStr">
        <is>
          <t>NULL</t>
        </is>
      </c>
      <c r="F527" s="0" t="inlineStr">
        <is>
          <t>NULL</t>
        </is>
      </c>
      <c r="G527" s="0" t="inlineStr">
        <is>
          <t>NULL</t>
        </is>
      </c>
      <c r="H527" s="0" t="inlineStr">
        <is>
          <t>NULL</t>
        </is>
      </c>
      <c r="I527" s="0" t="inlineStr">
        <is>
          <t>NULL</t>
        </is>
      </c>
      <c r="J527" s="0" t="inlineStr">
        <is>
          <t>NULL</t>
        </is>
      </c>
      <c r="K527" s="0" t="inlineStr">
        <is>
          <t>YES! 	 c_smallmoney列源备映射正确，源端为smallmoney None位	期望更改为smallmoney	实际备端为smallmoney None位</t>
        </is>
      </c>
    </row>
    <row r="528">
      <c r="B528" s="0" t="inlineStr">
        <is>
          <t>NULL</t>
        </is>
      </c>
      <c r="C528" s="0" t="inlineStr">
        <is>
          <t>NULL</t>
        </is>
      </c>
      <c r="D528" s="0" t="inlineStr">
        <is>
          <t>NULL</t>
        </is>
      </c>
      <c r="E528" s="0" t="inlineStr">
        <is>
          <t>NULL</t>
        </is>
      </c>
      <c r="F528" s="0" t="inlineStr">
        <is>
          <t>NULL</t>
        </is>
      </c>
      <c r="G528" s="0" t="inlineStr">
        <is>
          <t>NULL</t>
        </is>
      </c>
      <c r="H528" s="0" t="inlineStr">
        <is>
          <t>NULL</t>
        </is>
      </c>
      <c r="I528" s="0" t="inlineStr">
        <is>
          <t>NULL</t>
        </is>
      </c>
      <c r="J528" s="0" t="inlineStr">
        <is>
          <t>NULL</t>
        </is>
      </c>
      <c r="K528" s="0" t="inlineStr">
        <is>
          <t>YES! 	 c_bit列源备映射正确，源端为bit None位	期望更改为bit	实际备端为bit None位</t>
        </is>
      </c>
    </row>
    <row r="529">
      <c r="A529" s="0" t="inlineStr">
        <is>
          <t>info_sdt_dml_batch1_pk_drp2</t>
        </is>
      </c>
      <c r="K529" s="0" t="inlineStr">
        <is>
          <t>[0;34m info_sdt_dml_batch1_pk_drp2 [0m源备字段数相同，源端字段：2 	备端字段2</t>
        </is>
      </c>
      <c r="W529" s="0" t="inlineStr">
        <is>
          <t>YES 源备无差异</t>
        </is>
      </c>
      <c r="X529" s="0">
        <f>A529</f>
        <v/>
      </c>
    </row>
    <row r="530">
      <c r="B530" s="0" t="inlineStr">
        <is>
          <t>YES</t>
        </is>
      </c>
      <c r="C530" s="0" t="inlineStr">
        <is>
          <t>NULL</t>
        </is>
      </c>
      <c r="D530" s="0" t="inlineStr">
        <is>
          <t>NULL</t>
        </is>
      </c>
      <c r="E530" s="0" t="inlineStr">
        <is>
          <t>NULL</t>
        </is>
      </c>
      <c r="F530" s="0" t="inlineStr">
        <is>
          <t>NULL</t>
        </is>
      </c>
      <c r="G530" s="0" t="inlineStr">
        <is>
          <t>NULL</t>
        </is>
      </c>
      <c r="H530" s="0" t="inlineStr">
        <is>
          <t>NULL</t>
        </is>
      </c>
      <c r="I530" s="0" t="inlineStr">
        <is>
          <t>YES!PK__info_sdt__3213E83FFF98C716</t>
        </is>
      </c>
      <c r="J530" s="0" t="inlineStr">
        <is>
          <t>YES! 主键相关索引</t>
        </is>
      </c>
      <c r="K530" s="0" t="inlineStr">
        <is>
          <t>YES! 	 id列源备映射正确，源端为int None位	期望更改为int	实际备端为int None位</t>
        </is>
      </c>
    </row>
    <row r="531">
      <c r="B531" s="0" t="inlineStr">
        <is>
          <t>NULL</t>
        </is>
      </c>
      <c r="C531" s="0" t="inlineStr">
        <is>
          <t>NULL</t>
        </is>
      </c>
      <c r="D531" s="0" t="inlineStr">
        <is>
          <t>NULL</t>
        </is>
      </c>
      <c r="E531" s="0" t="inlineStr">
        <is>
          <t>NULL</t>
        </is>
      </c>
      <c r="F531" s="0" t="inlineStr">
        <is>
          <t>NULL</t>
        </is>
      </c>
      <c r="G531" s="0" t="inlineStr">
        <is>
          <t>NULL</t>
        </is>
      </c>
      <c r="H531" s="0" t="inlineStr">
        <is>
          <t>NULL</t>
        </is>
      </c>
      <c r="I531" s="0" t="inlineStr">
        <is>
          <t>NULL</t>
        </is>
      </c>
      <c r="J531" s="0" t="inlineStr">
        <is>
          <t>NULL</t>
        </is>
      </c>
      <c r="K531" s="0" t="inlineStr">
        <is>
          <t>YES! 	 c_sdt列源备映射正确，源端为smalldatetime None位	期望更改为smalldatetime	实际备端为smalldatetime None位</t>
        </is>
      </c>
    </row>
    <row r="532">
      <c r="A532" s="0" t="inlineStr">
        <is>
          <t>info_int_dml_single_nopk</t>
        </is>
      </c>
      <c r="K532" s="0" t="inlineStr">
        <is>
          <t>[0;34m info_int_dml_single_nopk [0m源备字段数相同，源端字段：20 	备端字段20</t>
        </is>
      </c>
      <c r="W532" s="0" t="inlineStr">
        <is>
          <t>YES 源备无差异</t>
        </is>
      </c>
      <c r="X532" s="0">
        <f>A532</f>
        <v/>
      </c>
    </row>
    <row r="533">
      <c r="B533" s="0" t="inlineStr">
        <is>
          <t>NULL</t>
        </is>
      </c>
      <c r="C533" s="0" t="inlineStr">
        <is>
          <t>NULL</t>
        </is>
      </c>
      <c r="D533" s="0" t="inlineStr">
        <is>
          <t>NULL</t>
        </is>
      </c>
      <c r="E533" s="0" t="inlineStr">
        <is>
          <t>NULL</t>
        </is>
      </c>
      <c r="F533" s="0" t="inlineStr">
        <is>
          <t>NULL</t>
        </is>
      </c>
      <c r="G533" s="0" t="inlineStr">
        <is>
          <t>NULL</t>
        </is>
      </c>
      <c r="H533" s="0" t="inlineStr">
        <is>
          <t>NULL</t>
        </is>
      </c>
      <c r="I533" s="0" t="inlineStr">
        <is>
          <t>NULL</t>
        </is>
      </c>
      <c r="J533" s="0" t="inlineStr">
        <is>
          <t>NULL</t>
        </is>
      </c>
      <c r="K533" s="0" t="inlineStr">
        <is>
          <t>YES! 	 id列源备映射正确，源端为int None位	期望更改为int	实际备端为int None位</t>
        </is>
      </c>
    </row>
    <row r="534">
      <c r="B534" s="0" t="inlineStr">
        <is>
          <t>NULL</t>
        </is>
      </c>
      <c r="C534" s="0" t="inlineStr">
        <is>
          <t>NULL</t>
        </is>
      </c>
      <c r="D534" s="0" t="inlineStr">
        <is>
          <t>NULL</t>
        </is>
      </c>
      <c r="E534" s="0" t="inlineStr">
        <is>
          <t>NULL</t>
        </is>
      </c>
      <c r="F534" s="0" t="inlineStr">
        <is>
          <t>NULL</t>
        </is>
      </c>
      <c r="G534" s="0" t="inlineStr">
        <is>
          <t>NULL</t>
        </is>
      </c>
      <c r="H534" s="0" t="inlineStr">
        <is>
          <t>NULL</t>
        </is>
      </c>
      <c r="I534" s="0" t="inlineStr">
        <is>
          <t>NULL</t>
        </is>
      </c>
      <c r="J534" s="0" t="inlineStr">
        <is>
          <t>NULL</t>
        </is>
      </c>
      <c r="K534" s="0" t="inlineStr">
        <is>
          <t>YES! 	 c_tinyint列源备映射正确，源端为tinyint None位	期望更改为tinyint	实际备端为tinyint None位</t>
        </is>
      </c>
    </row>
    <row r="535">
      <c r="B535" s="0" t="inlineStr">
        <is>
          <t>NULL</t>
        </is>
      </c>
      <c r="C535" s="0" t="inlineStr">
        <is>
          <t>NULL</t>
        </is>
      </c>
      <c r="D535" s="0" t="inlineStr">
        <is>
          <t>NULL</t>
        </is>
      </c>
      <c r="E535" s="0" t="inlineStr">
        <is>
          <t>NULL</t>
        </is>
      </c>
      <c r="F535" s="0" t="inlineStr">
        <is>
          <t>NULL</t>
        </is>
      </c>
      <c r="G535" s="0" t="inlineStr">
        <is>
          <t>NULL</t>
        </is>
      </c>
      <c r="H535" s="0" t="inlineStr">
        <is>
          <t>NULL</t>
        </is>
      </c>
      <c r="I535" s="0" t="inlineStr">
        <is>
          <t>NULL</t>
        </is>
      </c>
      <c r="J535" s="0" t="inlineStr">
        <is>
          <t>NULL</t>
        </is>
      </c>
      <c r="K535" s="0" t="inlineStr">
        <is>
          <t>YES! 	 c_smallint列源备映射正确，源端为smallint None位	期望更改为smallint	实际备端为smallint None位</t>
        </is>
      </c>
    </row>
    <row r="536">
      <c r="B536" s="0" t="inlineStr">
        <is>
          <t>NULL</t>
        </is>
      </c>
      <c r="C536" s="0" t="inlineStr">
        <is>
          <t>NULL</t>
        </is>
      </c>
      <c r="D536" s="0" t="inlineStr">
        <is>
          <t>NULL</t>
        </is>
      </c>
      <c r="E536" s="0" t="inlineStr">
        <is>
          <t>NULL</t>
        </is>
      </c>
      <c r="F536" s="0" t="inlineStr">
        <is>
          <t>NULL</t>
        </is>
      </c>
      <c r="G536" s="0" t="inlineStr">
        <is>
          <t>NULL</t>
        </is>
      </c>
      <c r="H536" s="0" t="inlineStr">
        <is>
          <t>NULL</t>
        </is>
      </c>
      <c r="I536" s="0" t="inlineStr">
        <is>
          <t>NULL</t>
        </is>
      </c>
      <c r="J536" s="0" t="inlineStr">
        <is>
          <t>NULL</t>
        </is>
      </c>
      <c r="K536" s="0" t="inlineStr">
        <is>
          <t>YES! 	 c_int列源备映射正确，源端为int None位	期望更改为int	实际备端为int None位</t>
        </is>
      </c>
    </row>
    <row r="537">
      <c r="B537" s="0" t="inlineStr">
        <is>
          <t>NULL</t>
        </is>
      </c>
      <c r="C537" s="0" t="inlineStr">
        <is>
          <t>NULL</t>
        </is>
      </c>
      <c r="D537" s="0" t="inlineStr">
        <is>
          <t>NULL</t>
        </is>
      </c>
      <c r="E537" s="0" t="inlineStr">
        <is>
          <t>NULL</t>
        </is>
      </c>
      <c r="F537" s="0" t="inlineStr">
        <is>
          <t>NULL</t>
        </is>
      </c>
      <c r="G537" s="0" t="inlineStr">
        <is>
          <t>NULL</t>
        </is>
      </c>
      <c r="H537" s="0" t="inlineStr">
        <is>
          <t>NULL</t>
        </is>
      </c>
      <c r="I537" s="0" t="inlineStr">
        <is>
          <t>NULL</t>
        </is>
      </c>
      <c r="J537" s="0" t="inlineStr">
        <is>
          <t>NULL</t>
        </is>
      </c>
      <c r="K537" s="0" t="inlineStr">
        <is>
          <t>YES! 	 c_bigint列源备映射正确，源端为bigint None位	期望更改为bigint	实际备端为bigint None位</t>
        </is>
      </c>
    </row>
    <row r="538">
      <c r="B538" s="0" t="inlineStr">
        <is>
          <t>NULL</t>
        </is>
      </c>
      <c r="C538" s="0" t="inlineStr">
        <is>
          <t>NULL</t>
        </is>
      </c>
      <c r="D538" s="0" t="inlineStr">
        <is>
          <t>NULL</t>
        </is>
      </c>
      <c r="E538" s="0" t="inlineStr">
        <is>
          <t>NULL</t>
        </is>
      </c>
      <c r="F538" s="0" t="inlineStr">
        <is>
          <t>NULL</t>
        </is>
      </c>
      <c r="G538" s="0" t="inlineStr">
        <is>
          <t>NULL</t>
        </is>
      </c>
      <c r="H538" s="0" t="inlineStr">
        <is>
          <t>NULL</t>
        </is>
      </c>
      <c r="I538" s="0" t="inlineStr">
        <is>
          <t>NULL</t>
        </is>
      </c>
      <c r="J538" s="0" t="inlineStr">
        <is>
          <t>NULL</t>
        </is>
      </c>
      <c r="K538" s="0" t="inlineStr">
        <is>
          <t>YES! 	 c_decimal列源备映射正确，源端为decimal None位	期望更改为decimal(p,s)	实际备端为decimal None位</t>
        </is>
      </c>
    </row>
    <row r="539">
      <c r="B539" s="0" t="inlineStr">
        <is>
          <t>NULL</t>
        </is>
      </c>
      <c r="C539" s="0" t="inlineStr">
        <is>
          <t>NULL</t>
        </is>
      </c>
      <c r="D539" s="0" t="inlineStr">
        <is>
          <t>NULL</t>
        </is>
      </c>
      <c r="E539" s="0" t="inlineStr">
        <is>
          <t>NULL</t>
        </is>
      </c>
      <c r="F539" s="0" t="inlineStr">
        <is>
          <t>NULL</t>
        </is>
      </c>
      <c r="G539" s="0" t="inlineStr">
        <is>
          <t>NULL</t>
        </is>
      </c>
      <c r="H539" s="0" t="inlineStr">
        <is>
          <t>NULL</t>
        </is>
      </c>
      <c r="I539" s="0" t="inlineStr">
        <is>
          <t>NULL</t>
        </is>
      </c>
      <c r="J539" s="0" t="inlineStr">
        <is>
          <t>NULL</t>
        </is>
      </c>
      <c r="K539" s="0" t="inlineStr">
        <is>
          <t>YES! 	 c_decimal38列源备映射正确，源端为decimal None位	期望更改为decimal(p,s)	实际备端为decimal None位</t>
        </is>
      </c>
    </row>
    <row r="540">
      <c r="B540" s="0" t="inlineStr">
        <is>
          <t>NULL</t>
        </is>
      </c>
      <c r="C540" s="0" t="inlineStr">
        <is>
          <t>NULL</t>
        </is>
      </c>
      <c r="D540" s="0" t="inlineStr">
        <is>
          <t>NULL</t>
        </is>
      </c>
      <c r="E540" s="0" t="inlineStr">
        <is>
          <t>NULL</t>
        </is>
      </c>
      <c r="F540" s="0" t="inlineStr">
        <is>
          <t>NULL</t>
        </is>
      </c>
      <c r="G540" s="0" t="inlineStr">
        <is>
          <t>NULL</t>
        </is>
      </c>
      <c r="H540" s="0" t="inlineStr">
        <is>
          <t>NULL</t>
        </is>
      </c>
      <c r="I540" s="0" t="inlineStr">
        <is>
          <t>NULL</t>
        </is>
      </c>
      <c r="J540" s="0" t="inlineStr">
        <is>
          <t>NULL</t>
        </is>
      </c>
      <c r="K540" s="0" t="inlineStr">
        <is>
          <t>YES! 	 c_decimal38_38列源备映射正确，源端为decimal None位	期望更改为decimal(p,s)	实际备端为decimal None位</t>
        </is>
      </c>
    </row>
    <row r="541">
      <c r="B541" s="0" t="inlineStr">
        <is>
          <t>NULL</t>
        </is>
      </c>
      <c r="C541" s="0" t="inlineStr">
        <is>
          <t>NULL</t>
        </is>
      </c>
      <c r="D541" s="0" t="inlineStr">
        <is>
          <t>NULL</t>
        </is>
      </c>
      <c r="E541" s="0" t="inlineStr">
        <is>
          <t>NULL</t>
        </is>
      </c>
      <c r="F541" s="0" t="inlineStr">
        <is>
          <t>NULL</t>
        </is>
      </c>
      <c r="G541" s="0" t="inlineStr">
        <is>
          <t>NULL</t>
        </is>
      </c>
      <c r="H541" s="0" t="inlineStr">
        <is>
          <t>NULL</t>
        </is>
      </c>
      <c r="I541" s="0" t="inlineStr">
        <is>
          <t>NULL</t>
        </is>
      </c>
      <c r="J541" s="0" t="inlineStr">
        <is>
          <t>NULL</t>
        </is>
      </c>
      <c r="K541" s="0" t="inlineStr">
        <is>
          <t>YES! 	 c_decimal38_10列源备映射正确，源端为decimal None位	期望更改为decimal(p,s)	实际备端为decimal None位</t>
        </is>
      </c>
    </row>
    <row r="542">
      <c r="B542" s="0" t="inlineStr">
        <is>
          <t>NULL</t>
        </is>
      </c>
      <c r="C542" s="0" t="inlineStr">
        <is>
          <t>NULL</t>
        </is>
      </c>
      <c r="D542" s="0" t="inlineStr">
        <is>
          <t>NULL</t>
        </is>
      </c>
      <c r="E542" s="0" t="inlineStr">
        <is>
          <t>NULL</t>
        </is>
      </c>
      <c r="F542" s="0" t="inlineStr">
        <is>
          <t>NULL</t>
        </is>
      </c>
      <c r="G542" s="0" t="inlineStr">
        <is>
          <t>NULL</t>
        </is>
      </c>
      <c r="H542" s="0" t="inlineStr">
        <is>
          <t>NULL</t>
        </is>
      </c>
      <c r="I542" s="0" t="inlineStr">
        <is>
          <t>NULL</t>
        </is>
      </c>
      <c r="J542" s="0" t="inlineStr">
        <is>
          <t>NULL</t>
        </is>
      </c>
      <c r="K542" s="0" t="inlineStr">
        <is>
          <t>YES! 	 c_decimal19_4列源备映射正确，源端为decimal None位	期望更改为decimal(p,s)	实际备端为decimal None位</t>
        </is>
      </c>
    </row>
    <row r="543">
      <c r="B543" s="0" t="inlineStr">
        <is>
          <t>NULL</t>
        </is>
      </c>
      <c r="C543" s="0" t="inlineStr">
        <is>
          <t>NULL</t>
        </is>
      </c>
      <c r="D543" s="0" t="inlineStr">
        <is>
          <t>NULL</t>
        </is>
      </c>
      <c r="E543" s="0" t="inlineStr">
        <is>
          <t>NULL</t>
        </is>
      </c>
      <c r="F543" s="0" t="inlineStr">
        <is>
          <t>NULL</t>
        </is>
      </c>
      <c r="G543" s="0" t="inlineStr">
        <is>
          <t>NULL</t>
        </is>
      </c>
      <c r="H543" s="0" t="inlineStr">
        <is>
          <t>NULL</t>
        </is>
      </c>
      <c r="I543" s="0" t="inlineStr">
        <is>
          <t>NULL</t>
        </is>
      </c>
      <c r="J543" s="0" t="inlineStr">
        <is>
          <t>NULL</t>
        </is>
      </c>
      <c r="K543" s="0" t="inlineStr">
        <is>
          <t>YES! 	 c_numeric列源备映射正确，源端为numeric None位	期望更改为numeric(p,s)	实际备端为numeric None位</t>
        </is>
      </c>
    </row>
    <row r="544">
      <c r="B544" s="0" t="inlineStr">
        <is>
          <t>NULL</t>
        </is>
      </c>
      <c r="C544" s="0" t="inlineStr">
        <is>
          <t>NULL</t>
        </is>
      </c>
      <c r="D544" s="0" t="inlineStr">
        <is>
          <t>NULL</t>
        </is>
      </c>
      <c r="E544" s="0" t="inlineStr">
        <is>
          <t>NULL</t>
        </is>
      </c>
      <c r="F544" s="0" t="inlineStr">
        <is>
          <t>NULL</t>
        </is>
      </c>
      <c r="G544" s="0" t="inlineStr">
        <is>
          <t>NULL</t>
        </is>
      </c>
      <c r="H544" s="0" t="inlineStr">
        <is>
          <t>NULL</t>
        </is>
      </c>
      <c r="I544" s="0" t="inlineStr">
        <is>
          <t>NULL</t>
        </is>
      </c>
      <c r="J544" s="0" t="inlineStr">
        <is>
          <t>NULL</t>
        </is>
      </c>
      <c r="K544" s="0" t="inlineStr">
        <is>
          <t>YES! 	 c_numeric38列源备映射正确，源端为numeric None位	期望更改为numeric(p,s)	实际备端为numeric None位</t>
        </is>
      </c>
    </row>
    <row r="545">
      <c r="B545" s="0" t="inlineStr">
        <is>
          <t>NULL</t>
        </is>
      </c>
      <c r="C545" s="0" t="inlineStr">
        <is>
          <t>NULL</t>
        </is>
      </c>
      <c r="D545" s="0" t="inlineStr">
        <is>
          <t>NULL</t>
        </is>
      </c>
      <c r="E545" s="0" t="inlineStr">
        <is>
          <t>NULL</t>
        </is>
      </c>
      <c r="F545" s="0" t="inlineStr">
        <is>
          <t>NULL</t>
        </is>
      </c>
      <c r="G545" s="0" t="inlineStr">
        <is>
          <t>NULL</t>
        </is>
      </c>
      <c r="H545" s="0" t="inlineStr">
        <is>
          <t>NULL</t>
        </is>
      </c>
      <c r="I545" s="0" t="inlineStr">
        <is>
          <t>NULL</t>
        </is>
      </c>
      <c r="J545" s="0" t="inlineStr">
        <is>
          <t>NULL</t>
        </is>
      </c>
      <c r="K545" s="0" t="inlineStr">
        <is>
          <t>YES! 	 c_numeric38_38列源备映射正确，源端为numeric None位	期望更改为numeric(p,s)	实际备端为numeric None位</t>
        </is>
      </c>
    </row>
    <row r="546">
      <c r="B546" s="0" t="inlineStr">
        <is>
          <t>NULL</t>
        </is>
      </c>
      <c r="C546" s="0" t="inlineStr">
        <is>
          <t>NULL</t>
        </is>
      </c>
      <c r="D546" s="0" t="inlineStr">
        <is>
          <t>NULL</t>
        </is>
      </c>
      <c r="E546" s="0" t="inlineStr">
        <is>
          <t>NULL</t>
        </is>
      </c>
      <c r="F546" s="0" t="inlineStr">
        <is>
          <t>NULL</t>
        </is>
      </c>
      <c r="G546" s="0" t="inlineStr">
        <is>
          <t>NULL</t>
        </is>
      </c>
      <c r="H546" s="0" t="inlineStr">
        <is>
          <t>NULL</t>
        </is>
      </c>
      <c r="I546" s="0" t="inlineStr">
        <is>
          <t>NULL</t>
        </is>
      </c>
      <c r="J546" s="0" t="inlineStr">
        <is>
          <t>NULL</t>
        </is>
      </c>
      <c r="K546" s="0" t="inlineStr">
        <is>
          <t>YES! 	 c_numeric38_10列源备映射正确，源端为numeric None位	期望更改为numeric(p,s)	实际备端为numeric None位</t>
        </is>
      </c>
    </row>
    <row r="547">
      <c r="B547" s="0" t="inlineStr">
        <is>
          <t>NULL</t>
        </is>
      </c>
      <c r="C547" s="0" t="inlineStr">
        <is>
          <t>NULL</t>
        </is>
      </c>
      <c r="D547" s="0" t="inlineStr">
        <is>
          <t>NULL</t>
        </is>
      </c>
      <c r="E547" s="0" t="inlineStr">
        <is>
          <t>NULL</t>
        </is>
      </c>
      <c r="F547" s="0" t="inlineStr">
        <is>
          <t>NULL</t>
        </is>
      </c>
      <c r="G547" s="0" t="inlineStr">
        <is>
          <t>NULL</t>
        </is>
      </c>
      <c r="H547" s="0" t="inlineStr">
        <is>
          <t>NULL</t>
        </is>
      </c>
      <c r="I547" s="0" t="inlineStr">
        <is>
          <t>NULL</t>
        </is>
      </c>
      <c r="J547" s="0" t="inlineStr">
        <is>
          <t>NULL</t>
        </is>
      </c>
      <c r="K547" s="0" t="inlineStr">
        <is>
          <t>YES! 	 c_numeric18_2列源备映射正确，源端为numeric None位	期望更改为numeric(p,s)	实际备端为numeric None位</t>
        </is>
      </c>
    </row>
    <row r="548">
      <c r="B548" s="0" t="inlineStr">
        <is>
          <t>NULL</t>
        </is>
      </c>
      <c r="C548" s="0" t="inlineStr">
        <is>
          <t>NULL</t>
        </is>
      </c>
      <c r="D548" s="0" t="inlineStr">
        <is>
          <t>NULL</t>
        </is>
      </c>
      <c r="E548" s="0" t="inlineStr">
        <is>
          <t>NULL</t>
        </is>
      </c>
      <c r="F548" s="0" t="inlineStr">
        <is>
          <t>NULL</t>
        </is>
      </c>
      <c r="G548" s="0" t="inlineStr">
        <is>
          <t>NULL</t>
        </is>
      </c>
      <c r="H548" s="0" t="inlineStr">
        <is>
          <t>NULL</t>
        </is>
      </c>
      <c r="I548" s="0" t="inlineStr">
        <is>
          <t>NULL</t>
        </is>
      </c>
      <c r="J548" s="0" t="inlineStr">
        <is>
          <t>NULL</t>
        </is>
      </c>
      <c r="K548" s="0" t="inlineStr">
        <is>
          <t>YES! 	 c_float列源备映射正确，源端为float None位	期望更改为float	实际备端为float None位</t>
        </is>
      </c>
    </row>
    <row r="549">
      <c r="B549" s="0" t="inlineStr">
        <is>
          <t>NULL</t>
        </is>
      </c>
      <c r="C549" s="0" t="inlineStr">
        <is>
          <t>NULL</t>
        </is>
      </c>
      <c r="D549" s="0" t="inlineStr">
        <is>
          <t>NULL</t>
        </is>
      </c>
      <c r="E549" s="0" t="inlineStr">
        <is>
          <t>NULL</t>
        </is>
      </c>
      <c r="F549" s="0" t="inlineStr">
        <is>
          <t>NULL</t>
        </is>
      </c>
      <c r="G549" s="0" t="inlineStr">
        <is>
          <t>NULL</t>
        </is>
      </c>
      <c r="H549" s="0" t="inlineStr">
        <is>
          <t>NULL</t>
        </is>
      </c>
      <c r="I549" s="0" t="inlineStr">
        <is>
          <t>NULL</t>
        </is>
      </c>
      <c r="J549" s="0" t="inlineStr">
        <is>
          <t>NULL</t>
        </is>
      </c>
      <c r="K549" s="0" t="inlineStr">
        <is>
          <t>YES! 	 c_real列源备映射正确，源端为real None位	期望更改为real	实际备端为real None位</t>
        </is>
      </c>
    </row>
    <row r="550">
      <c r="B550" s="0" t="inlineStr">
        <is>
          <t>NULL</t>
        </is>
      </c>
      <c r="C550" s="0" t="inlineStr">
        <is>
          <t>NULL</t>
        </is>
      </c>
      <c r="D550" s="0" t="inlineStr">
        <is>
          <t>NULL</t>
        </is>
      </c>
      <c r="E550" s="0" t="inlineStr">
        <is>
          <t>NULL</t>
        </is>
      </c>
      <c r="F550" s="0" t="inlineStr">
        <is>
          <t>NULL</t>
        </is>
      </c>
      <c r="G550" s="0" t="inlineStr">
        <is>
          <t>NULL</t>
        </is>
      </c>
      <c r="H550" s="0" t="inlineStr">
        <is>
          <t>NULL</t>
        </is>
      </c>
      <c r="I550" s="0" t="inlineStr">
        <is>
          <t>NULL</t>
        </is>
      </c>
      <c r="J550" s="0" t="inlineStr">
        <is>
          <t>NULL</t>
        </is>
      </c>
      <c r="K550" s="0" t="inlineStr">
        <is>
          <t>YES! 	 c_money列源备映射正确，源端为money None位	期望更改为money	实际备端为money None位</t>
        </is>
      </c>
    </row>
    <row r="551">
      <c r="B551" s="0" t="inlineStr">
        <is>
          <t>NULL</t>
        </is>
      </c>
      <c r="C551" s="0" t="inlineStr">
        <is>
          <t>NULL</t>
        </is>
      </c>
      <c r="D551" s="0" t="inlineStr">
        <is>
          <t>NULL</t>
        </is>
      </c>
      <c r="E551" s="0" t="inlineStr">
        <is>
          <t>NULL</t>
        </is>
      </c>
      <c r="F551" s="0" t="inlineStr">
        <is>
          <t>NULL</t>
        </is>
      </c>
      <c r="G551" s="0" t="inlineStr">
        <is>
          <t>NULL</t>
        </is>
      </c>
      <c r="H551" s="0" t="inlineStr">
        <is>
          <t>NULL</t>
        </is>
      </c>
      <c r="I551" s="0" t="inlineStr">
        <is>
          <t>NULL</t>
        </is>
      </c>
      <c r="J551" s="0" t="inlineStr">
        <is>
          <t>NULL</t>
        </is>
      </c>
      <c r="K551" s="0" t="inlineStr">
        <is>
          <t>YES! 	 c_smallmoney列源备映射正确，源端为smallmoney None位	期望更改为smallmoney	实际备端为smallmoney None位</t>
        </is>
      </c>
    </row>
    <row r="552">
      <c r="B552" s="0" t="inlineStr">
        <is>
          <t>NULL</t>
        </is>
      </c>
      <c r="C552" s="0" t="inlineStr">
        <is>
          <t>NULL</t>
        </is>
      </c>
      <c r="D552" s="0" t="inlineStr">
        <is>
          <t>NULL</t>
        </is>
      </c>
      <c r="E552" s="0" t="inlineStr">
        <is>
          <t>NULL</t>
        </is>
      </c>
      <c r="F552" s="0" t="inlineStr">
        <is>
          <t>NULL</t>
        </is>
      </c>
      <c r="G552" s="0" t="inlineStr">
        <is>
          <t>NULL</t>
        </is>
      </c>
      <c r="H552" s="0" t="inlineStr">
        <is>
          <t>NULL</t>
        </is>
      </c>
      <c r="I552" s="0" t="inlineStr">
        <is>
          <t>NULL</t>
        </is>
      </c>
      <c r="J552" s="0" t="inlineStr">
        <is>
          <t>NULL</t>
        </is>
      </c>
      <c r="K552" s="0" t="inlineStr">
        <is>
          <t>YES! 	 c_bit列源备映射正确，源端为bit None位	期望更改为bit	实际备端为bit None位</t>
        </is>
      </c>
    </row>
    <row r="553">
      <c r="A553" s="0" t="inlineStr">
        <is>
          <t>info_varchar_dml_batch2_pk_irp2</t>
        </is>
      </c>
      <c r="K553" s="0" t="inlineStr">
        <is>
          <t>[0;34m info_varchar_dml_batch2_pk_irp2 [0m源备字段数相同，源端字段：4 	备端字段4</t>
        </is>
      </c>
      <c r="W553" s="0" t="inlineStr">
        <is>
          <t>YES 源备无差异</t>
        </is>
      </c>
      <c r="X553" s="0">
        <f>A553</f>
        <v/>
      </c>
    </row>
    <row r="554">
      <c r="B554" s="0" t="inlineStr">
        <is>
          <t>YES</t>
        </is>
      </c>
      <c r="C554" s="0" t="inlineStr">
        <is>
          <t>NULL</t>
        </is>
      </c>
      <c r="D554" s="0" t="inlineStr">
        <is>
          <t>NULL</t>
        </is>
      </c>
      <c r="E554" s="0" t="inlineStr">
        <is>
          <t>NULL</t>
        </is>
      </c>
      <c r="F554" s="0" t="inlineStr">
        <is>
          <t>NULL</t>
        </is>
      </c>
      <c r="G554" s="0" t="inlineStr">
        <is>
          <t>NULL</t>
        </is>
      </c>
      <c r="H554" s="0" t="inlineStr">
        <is>
          <t>NULL</t>
        </is>
      </c>
      <c r="I554" s="0" t="inlineStr">
        <is>
          <t>YES!PK__info_var__3213E83F3FF2B9DE</t>
        </is>
      </c>
      <c r="J554" s="0" t="inlineStr">
        <is>
          <t>YES! 主键相关索引</t>
        </is>
      </c>
      <c r="K554" s="0" t="inlineStr">
        <is>
          <t>YES! 	 id列源备映射正确，源端为int None位	期望更改为int	实际备端为int None位</t>
        </is>
      </c>
    </row>
    <row r="555">
      <c r="B555" s="0" t="inlineStr">
        <is>
          <t>NULL</t>
        </is>
      </c>
      <c r="C555" s="0" t="inlineStr">
        <is>
          <t>NULL</t>
        </is>
      </c>
      <c r="D555" s="0" t="inlineStr">
        <is>
          <t>NULL</t>
        </is>
      </c>
      <c r="E555" s="0" t="inlineStr">
        <is>
          <t>NULL</t>
        </is>
      </c>
      <c r="F555" s="0" t="inlineStr">
        <is>
          <t>NULL</t>
        </is>
      </c>
      <c r="G555" s="0" t="inlineStr">
        <is>
          <t>NULL</t>
        </is>
      </c>
      <c r="H555" s="0" t="inlineStr">
        <is>
          <t>NULL</t>
        </is>
      </c>
      <c r="I555" s="0" t="inlineStr">
        <is>
          <t>NULL</t>
        </is>
      </c>
      <c r="J555" s="0" t="inlineStr">
        <is>
          <t>NULL</t>
        </is>
      </c>
      <c r="K555" s="0" t="inlineStr">
        <is>
          <t>YES! 	 c_varchar列源备映射正确，源端为varchar 1位	期望更改为varchar(n)	实际备端为varchar 1位</t>
        </is>
      </c>
    </row>
    <row r="556">
      <c r="B556" s="0" t="inlineStr">
        <is>
          <t>NULL</t>
        </is>
      </c>
      <c r="C556" s="0" t="inlineStr">
        <is>
          <t>NULL</t>
        </is>
      </c>
      <c r="D556" s="0" t="inlineStr">
        <is>
          <t>NULL</t>
        </is>
      </c>
      <c r="E556" s="0" t="inlineStr">
        <is>
          <t>NULL</t>
        </is>
      </c>
      <c r="F556" s="0" t="inlineStr">
        <is>
          <t>NULL</t>
        </is>
      </c>
      <c r="G556" s="0" t="inlineStr">
        <is>
          <t>NULL</t>
        </is>
      </c>
      <c r="H556" s="0" t="inlineStr">
        <is>
          <t>NULL</t>
        </is>
      </c>
      <c r="I556" s="0" t="inlineStr">
        <is>
          <t>NULL</t>
        </is>
      </c>
      <c r="J556" s="0" t="inlineStr">
        <is>
          <t>NULL</t>
        </is>
      </c>
      <c r="K556" s="0" t="inlineStr">
        <is>
          <t>YES! 	 c_varchar20列源备映射正确，源端为varchar 20位	期望更改为varchar(n)	实际备端为varchar 20位</t>
        </is>
      </c>
    </row>
    <row r="557">
      <c r="B557" s="0" t="inlineStr">
        <is>
          <t>NULL</t>
        </is>
      </c>
      <c r="C557" s="0" t="inlineStr">
        <is>
          <t>NULL</t>
        </is>
      </c>
      <c r="D557" s="0" t="inlineStr">
        <is>
          <t>NULL</t>
        </is>
      </c>
      <c r="E557" s="0" t="inlineStr">
        <is>
          <t>NULL</t>
        </is>
      </c>
      <c r="F557" s="0" t="inlineStr">
        <is>
          <t>NULL</t>
        </is>
      </c>
      <c r="G557" s="0" t="inlineStr">
        <is>
          <t>NULL</t>
        </is>
      </c>
      <c r="H557" s="0" t="inlineStr">
        <is>
          <t>NULL</t>
        </is>
      </c>
      <c r="I557" s="0" t="inlineStr">
        <is>
          <t>NULL</t>
        </is>
      </c>
      <c r="J557" s="0" t="inlineStr">
        <is>
          <t>NULL</t>
        </is>
      </c>
      <c r="K557" s="0" t="inlineStr">
        <is>
          <t>YES! 	 c_varchar8000列源备映射正确，源端为varchar 8000位	期望更改为varchar(n)	实际备端为varchar 8000位</t>
        </is>
      </c>
    </row>
    <row r="558">
      <c r="A558" s="0" t="inlineStr">
        <is>
          <t>info_nchar_dml_single_pk</t>
        </is>
      </c>
      <c r="K558" s="0" t="inlineStr">
        <is>
          <t>[0;34m info_nchar_dml_single_pk [0m源备字段数相同，源端字段：4 	备端字段4</t>
        </is>
      </c>
      <c r="W558" s="0" t="inlineStr">
        <is>
          <t>YES 源备无差异</t>
        </is>
      </c>
      <c r="X558" s="0">
        <f>A558</f>
        <v/>
      </c>
    </row>
    <row r="559">
      <c r="B559" s="0" t="inlineStr">
        <is>
          <t>YES</t>
        </is>
      </c>
      <c r="C559" s="0" t="inlineStr">
        <is>
          <t>NULL</t>
        </is>
      </c>
      <c r="D559" s="0" t="inlineStr">
        <is>
          <t>NULL</t>
        </is>
      </c>
      <c r="E559" s="0" t="inlineStr">
        <is>
          <t>NULL</t>
        </is>
      </c>
      <c r="F559" s="0" t="inlineStr">
        <is>
          <t>NULL</t>
        </is>
      </c>
      <c r="G559" s="0" t="inlineStr">
        <is>
          <t>NULL</t>
        </is>
      </c>
      <c r="H559" s="0" t="inlineStr">
        <is>
          <t>NULL</t>
        </is>
      </c>
      <c r="I559" s="0" t="inlineStr">
        <is>
          <t>YES!PK__info_nch__3213E83F0FC1BC65</t>
        </is>
      </c>
      <c r="J559" s="0" t="inlineStr">
        <is>
          <t>YES! 主键相关索引</t>
        </is>
      </c>
      <c r="K559" s="0" t="inlineStr">
        <is>
          <t>YES! 	 id列源备映射正确，源端为int None位	期望更改为int	实际备端为int None位</t>
        </is>
      </c>
    </row>
    <row r="560">
      <c r="B560" s="0" t="inlineStr">
        <is>
          <t>NULL</t>
        </is>
      </c>
      <c r="C560" s="0" t="inlineStr">
        <is>
          <t>NULL</t>
        </is>
      </c>
      <c r="D560" s="0" t="inlineStr">
        <is>
          <t>NULL</t>
        </is>
      </c>
      <c r="E560" s="0" t="inlineStr">
        <is>
          <t>NULL</t>
        </is>
      </c>
      <c r="F560" s="0" t="inlineStr">
        <is>
          <t>NULL</t>
        </is>
      </c>
      <c r="G560" s="0" t="inlineStr">
        <is>
          <t>NULL</t>
        </is>
      </c>
      <c r="H560" s="0" t="inlineStr">
        <is>
          <t>NULL</t>
        </is>
      </c>
      <c r="I560" s="0" t="inlineStr">
        <is>
          <t>NULL</t>
        </is>
      </c>
      <c r="J560" s="0" t="inlineStr">
        <is>
          <t>NULL</t>
        </is>
      </c>
      <c r="K560" s="0" t="inlineStr">
        <is>
          <t>YES! 	 c_nchar列源备映射正确，源端为nchar 2位	期望更改为nchar(n)	实际备端为nchar 2位</t>
        </is>
      </c>
    </row>
    <row r="561">
      <c r="B561" s="0" t="inlineStr">
        <is>
          <t>NULL</t>
        </is>
      </c>
      <c r="C561" s="0" t="inlineStr">
        <is>
          <t>NULL</t>
        </is>
      </c>
      <c r="D561" s="0" t="inlineStr">
        <is>
          <t>NULL</t>
        </is>
      </c>
      <c r="E561" s="0" t="inlineStr">
        <is>
          <t>NULL</t>
        </is>
      </c>
      <c r="F561" s="0" t="inlineStr">
        <is>
          <t>NULL</t>
        </is>
      </c>
      <c r="G561" s="0" t="inlineStr">
        <is>
          <t>NULL</t>
        </is>
      </c>
      <c r="H561" s="0" t="inlineStr">
        <is>
          <t>NULL</t>
        </is>
      </c>
      <c r="I561" s="0" t="inlineStr">
        <is>
          <t>NULL</t>
        </is>
      </c>
      <c r="J561" s="0" t="inlineStr">
        <is>
          <t>NULL</t>
        </is>
      </c>
      <c r="K561" s="0" t="inlineStr">
        <is>
          <t>YES! 	 c_nchar20列源备映射正确，源端为nchar 40位	期望更改为nchar(n)	实际备端为nchar 40位</t>
        </is>
      </c>
    </row>
    <row r="562">
      <c r="B562" s="0" t="inlineStr">
        <is>
          <t>NULL</t>
        </is>
      </c>
      <c r="C562" s="0" t="inlineStr">
        <is>
          <t>NULL</t>
        </is>
      </c>
      <c r="D562" s="0" t="inlineStr">
        <is>
          <t>NULL</t>
        </is>
      </c>
      <c r="E562" s="0" t="inlineStr">
        <is>
          <t>NULL</t>
        </is>
      </c>
      <c r="F562" s="0" t="inlineStr">
        <is>
          <t>NULL</t>
        </is>
      </c>
      <c r="G562" s="0" t="inlineStr">
        <is>
          <t>NULL</t>
        </is>
      </c>
      <c r="H562" s="0" t="inlineStr">
        <is>
          <t>NULL</t>
        </is>
      </c>
      <c r="I562" s="0" t="inlineStr">
        <is>
          <t>NULL</t>
        </is>
      </c>
      <c r="J562" s="0" t="inlineStr">
        <is>
          <t>NULL</t>
        </is>
      </c>
      <c r="K562" s="0" t="inlineStr">
        <is>
          <t>YES! 	 c_nchar3500列源备映射正确，源端为nchar 7000位	期望更改为nchar(n)	实际备端为nchar 7000位</t>
        </is>
      </c>
    </row>
    <row r="563">
      <c r="A563" s="0" t="inlineStr">
        <is>
          <t>info_sql_variant_dml_single_pk_drp</t>
        </is>
      </c>
      <c r="K563" s="0" t="inlineStr">
        <is>
          <t>[0;34m info_sql_variant_dml_single_pk_drp [0m源备字段数相同，源端字段：25 	备端字段25</t>
        </is>
      </c>
      <c r="W563" s="0" t="inlineStr">
        <is>
          <t>YES 源备无差异</t>
        </is>
      </c>
      <c r="X563" s="0">
        <f>A563</f>
        <v/>
      </c>
    </row>
    <row r="564">
      <c r="B564" s="0" t="inlineStr">
        <is>
          <t>YES</t>
        </is>
      </c>
      <c r="C564" s="0" t="inlineStr">
        <is>
          <t>NULL</t>
        </is>
      </c>
      <c r="D564" s="0" t="inlineStr">
        <is>
          <t>NULL</t>
        </is>
      </c>
      <c r="E564" s="0" t="inlineStr">
        <is>
          <t>NULL</t>
        </is>
      </c>
      <c r="F564" s="0" t="inlineStr">
        <is>
          <t>NULL</t>
        </is>
      </c>
      <c r="G564" s="0" t="inlineStr">
        <is>
          <t>NULL</t>
        </is>
      </c>
      <c r="H564" s="0" t="inlineStr">
        <is>
          <t>NULL</t>
        </is>
      </c>
      <c r="I564" s="0" t="inlineStr">
        <is>
          <t>YES!PK__info_sql__3213E83FE63D4520</t>
        </is>
      </c>
      <c r="J564" s="0" t="inlineStr">
        <is>
          <t>YES! 主键相关索引</t>
        </is>
      </c>
      <c r="K564" s="0" t="inlineStr">
        <is>
          <t>YES! 	 id列源备映射正确，源端为int None位	期望更改为int	实际备端为int None位</t>
        </is>
      </c>
    </row>
    <row r="565">
      <c r="B565" s="0" t="inlineStr">
        <is>
          <t>NULL</t>
        </is>
      </c>
      <c r="C565" s="0" t="inlineStr">
        <is>
          <t>NULL</t>
        </is>
      </c>
      <c r="D565" s="0" t="inlineStr">
        <is>
          <t>NULL</t>
        </is>
      </c>
      <c r="E565" s="0" t="inlineStr">
        <is>
          <t>NULL</t>
        </is>
      </c>
      <c r="F565" s="0" t="inlineStr">
        <is>
          <t>NULL</t>
        </is>
      </c>
      <c r="G565" s="0" t="inlineStr">
        <is>
          <t>NULL</t>
        </is>
      </c>
      <c r="H565" s="0" t="inlineStr">
        <is>
          <t>NULL</t>
        </is>
      </c>
      <c r="I565" s="0" t="inlineStr">
        <is>
          <t>NULL</t>
        </is>
      </c>
      <c r="J565" s="0" t="inlineStr">
        <is>
          <t>NULL</t>
        </is>
      </c>
      <c r="K565" s="0" t="inlineStr">
        <is>
          <t>YES! 	 c_date列源备映射正确，源端为sql_variant 0位	期望更改为sql_variant	实际备端为sql_variant 0位</t>
        </is>
      </c>
    </row>
    <row r="566">
      <c r="B566" s="0" t="inlineStr">
        <is>
          <t>NULL</t>
        </is>
      </c>
      <c r="C566" s="0" t="inlineStr">
        <is>
          <t>NULL</t>
        </is>
      </c>
      <c r="D566" s="0" t="inlineStr">
        <is>
          <t>NULL</t>
        </is>
      </c>
      <c r="E566" s="0" t="inlineStr">
        <is>
          <t>NULL</t>
        </is>
      </c>
      <c r="F566" s="0" t="inlineStr">
        <is>
          <t>NULL</t>
        </is>
      </c>
      <c r="G566" s="0" t="inlineStr">
        <is>
          <t>NULL</t>
        </is>
      </c>
      <c r="H566" s="0" t="inlineStr">
        <is>
          <t>NULL</t>
        </is>
      </c>
      <c r="I566" s="0" t="inlineStr">
        <is>
          <t>NULL</t>
        </is>
      </c>
      <c r="J566" s="0" t="inlineStr">
        <is>
          <t>NULL</t>
        </is>
      </c>
      <c r="K566" s="0" t="inlineStr">
        <is>
          <t>YES! 	 c_time列源备映射正确，源端为sql_variant 0位	期望更改为sql_variant	实际备端为sql_variant 0位</t>
        </is>
      </c>
    </row>
    <row r="567">
      <c r="B567" s="0" t="inlineStr">
        <is>
          <t>NULL</t>
        </is>
      </c>
      <c r="C567" s="0" t="inlineStr">
        <is>
          <t>NULL</t>
        </is>
      </c>
      <c r="D567" s="0" t="inlineStr">
        <is>
          <t>NULL</t>
        </is>
      </c>
      <c r="E567" s="0" t="inlineStr">
        <is>
          <t>NULL</t>
        </is>
      </c>
      <c r="F567" s="0" t="inlineStr">
        <is>
          <t>NULL</t>
        </is>
      </c>
      <c r="G567" s="0" t="inlineStr">
        <is>
          <t>NULL</t>
        </is>
      </c>
      <c r="H567" s="0" t="inlineStr">
        <is>
          <t>NULL</t>
        </is>
      </c>
      <c r="I567" s="0" t="inlineStr">
        <is>
          <t>NULL</t>
        </is>
      </c>
      <c r="J567" s="0" t="inlineStr">
        <is>
          <t>NULL</t>
        </is>
      </c>
      <c r="K567" s="0" t="inlineStr">
        <is>
          <t>YES! 	 c_datetime2列源备映射正确，源端为sql_variant 0位	期望更改为sql_variant	实际备端为sql_variant 0位</t>
        </is>
      </c>
    </row>
    <row r="568">
      <c r="B568" s="0" t="inlineStr">
        <is>
          <t>NULL</t>
        </is>
      </c>
      <c r="C568" s="0" t="inlineStr">
        <is>
          <t>NULL</t>
        </is>
      </c>
      <c r="D568" s="0" t="inlineStr">
        <is>
          <t>NULL</t>
        </is>
      </c>
      <c r="E568" s="0" t="inlineStr">
        <is>
          <t>NULL</t>
        </is>
      </c>
      <c r="F568" s="0" t="inlineStr">
        <is>
          <t>NULL</t>
        </is>
      </c>
      <c r="G568" s="0" t="inlineStr">
        <is>
          <t>NULL</t>
        </is>
      </c>
      <c r="H568" s="0" t="inlineStr">
        <is>
          <t>NULL</t>
        </is>
      </c>
      <c r="I568" s="0" t="inlineStr">
        <is>
          <t>NULL</t>
        </is>
      </c>
      <c r="J568" s="0" t="inlineStr">
        <is>
          <t>NULL</t>
        </is>
      </c>
      <c r="K568" s="0" t="inlineStr">
        <is>
          <t>YES! 	 c_datetimeoffset列源备映射正确，源端为sql_variant 0位	期望更改为sql_variant	实际备端为sql_variant 0位</t>
        </is>
      </c>
    </row>
    <row r="569">
      <c r="B569" s="0" t="inlineStr">
        <is>
          <t>NULL</t>
        </is>
      </c>
      <c r="C569" s="0" t="inlineStr">
        <is>
          <t>NULL</t>
        </is>
      </c>
      <c r="D569" s="0" t="inlineStr">
        <is>
          <t>NULL</t>
        </is>
      </c>
      <c r="E569" s="0" t="inlineStr">
        <is>
          <t>NULL</t>
        </is>
      </c>
      <c r="F569" s="0" t="inlineStr">
        <is>
          <t>NULL</t>
        </is>
      </c>
      <c r="G569" s="0" t="inlineStr">
        <is>
          <t>NULL</t>
        </is>
      </c>
      <c r="H569" s="0" t="inlineStr">
        <is>
          <t>NULL</t>
        </is>
      </c>
      <c r="I569" s="0" t="inlineStr">
        <is>
          <t>NULL</t>
        </is>
      </c>
      <c r="J569" s="0" t="inlineStr">
        <is>
          <t>NULL</t>
        </is>
      </c>
      <c r="K569" s="0" t="inlineStr">
        <is>
          <t>YES! 	 c_tinyint列源备映射正确，源端为sql_variant 0位	期望更改为sql_variant	实际备端为sql_variant 0位</t>
        </is>
      </c>
    </row>
    <row r="570">
      <c r="B570" s="0" t="inlineStr">
        <is>
          <t>NULL</t>
        </is>
      </c>
      <c r="C570" s="0" t="inlineStr">
        <is>
          <t>NULL</t>
        </is>
      </c>
      <c r="D570" s="0" t="inlineStr">
        <is>
          <t>NULL</t>
        </is>
      </c>
      <c r="E570" s="0" t="inlineStr">
        <is>
          <t>NULL</t>
        </is>
      </c>
      <c r="F570" s="0" t="inlineStr">
        <is>
          <t>NULL</t>
        </is>
      </c>
      <c r="G570" s="0" t="inlineStr">
        <is>
          <t>NULL</t>
        </is>
      </c>
      <c r="H570" s="0" t="inlineStr">
        <is>
          <t>NULL</t>
        </is>
      </c>
      <c r="I570" s="0" t="inlineStr">
        <is>
          <t>NULL</t>
        </is>
      </c>
      <c r="J570" s="0" t="inlineStr">
        <is>
          <t>NULL</t>
        </is>
      </c>
      <c r="K570" s="0" t="inlineStr">
        <is>
          <t>YES! 	 c_smallint列源备映射正确，源端为sql_variant 0位	期望更改为sql_variant	实际备端为sql_variant 0位</t>
        </is>
      </c>
    </row>
    <row r="571">
      <c r="B571" s="0" t="inlineStr">
        <is>
          <t>NULL</t>
        </is>
      </c>
      <c r="C571" s="0" t="inlineStr">
        <is>
          <t>NULL</t>
        </is>
      </c>
      <c r="D571" s="0" t="inlineStr">
        <is>
          <t>NULL</t>
        </is>
      </c>
      <c r="E571" s="0" t="inlineStr">
        <is>
          <t>NULL</t>
        </is>
      </c>
      <c r="F571" s="0" t="inlineStr">
        <is>
          <t>NULL</t>
        </is>
      </c>
      <c r="G571" s="0" t="inlineStr">
        <is>
          <t>NULL</t>
        </is>
      </c>
      <c r="H571" s="0" t="inlineStr">
        <is>
          <t>NULL</t>
        </is>
      </c>
      <c r="I571" s="0" t="inlineStr">
        <is>
          <t>NULL</t>
        </is>
      </c>
      <c r="J571" s="0" t="inlineStr">
        <is>
          <t>NULL</t>
        </is>
      </c>
      <c r="K571" s="0" t="inlineStr">
        <is>
          <t>YES! 	 c_int列源备映射正确，源端为sql_variant 0位	期望更改为sql_variant	实际备端为sql_variant 0位</t>
        </is>
      </c>
    </row>
    <row r="572">
      <c r="B572" s="0" t="inlineStr">
        <is>
          <t>NULL</t>
        </is>
      </c>
      <c r="C572" s="0" t="inlineStr">
        <is>
          <t>NULL</t>
        </is>
      </c>
      <c r="D572" s="0" t="inlineStr">
        <is>
          <t>NULL</t>
        </is>
      </c>
      <c r="E572" s="0" t="inlineStr">
        <is>
          <t>NULL</t>
        </is>
      </c>
      <c r="F572" s="0" t="inlineStr">
        <is>
          <t>NULL</t>
        </is>
      </c>
      <c r="G572" s="0" t="inlineStr">
        <is>
          <t>NULL</t>
        </is>
      </c>
      <c r="H572" s="0" t="inlineStr">
        <is>
          <t>NULL</t>
        </is>
      </c>
      <c r="I572" s="0" t="inlineStr">
        <is>
          <t>NULL</t>
        </is>
      </c>
      <c r="J572" s="0" t="inlineStr">
        <is>
          <t>NULL</t>
        </is>
      </c>
      <c r="K572" s="0" t="inlineStr">
        <is>
          <t>YES! 	 c_sdt列源备映射正确，源端为sql_variant 0位	期望更改为sql_variant	实际备端为sql_variant 0位</t>
        </is>
      </c>
    </row>
    <row r="573">
      <c r="B573" s="0" t="inlineStr">
        <is>
          <t>NULL</t>
        </is>
      </c>
      <c r="C573" s="0" t="inlineStr">
        <is>
          <t>NULL</t>
        </is>
      </c>
      <c r="D573" s="0" t="inlineStr">
        <is>
          <t>NULL</t>
        </is>
      </c>
      <c r="E573" s="0" t="inlineStr">
        <is>
          <t>NULL</t>
        </is>
      </c>
      <c r="F573" s="0" t="inlineStr">
        <is>
          <t>NULL</t>
        </is>
      </c>
      <c r="G573" s="0" t="inlineStr">
        <is>
          <t>NULL</t>
        </is>
      </c>
      <c r="H573" s="0" t="inlineStr">
        <is>
          <t>NULL</t>
        </is>
      </c>
      <c r="I573" s="0" t="inlineStr">
        <is>
          <t>NULL</t>
        </is>
      </c>
      <c r="J573" s="0" t="inlineStr">
        <is>
          <t>NULL</t>
        </is>
      </c>
      <c r="K573" s="0" t="inlineStr">
        <is>
          <t>YES! 	 c_real列源备映射正确，源端为sql_variant 0位	期望更改为sql_variant	实际备端为sql_variant 0位</t>
        </is>
      </c>
    </row>
    <row r="574">
      <c r="B574" s="0" t="inlineStr">
        <is>
          <t>NULL</t>
        </is>
      </c>
      <c r="C574" s="0" t="inlineStr">
        <is>
          <t>NULL</t>
        </is>
      </c>
      <c r="D574" s="0" t="inlineStr">
        <is>
          <t>NULL</t>
        </is>
      </c>
      <c r="E574" s="0" t="inlineStr">
        <is>
          <t>NULL</t>
        </is>
      </c>
      <c r="F574" s="0" t="inlineStr">
        <is>
          <t>NULL</t>
        </is>
      </c>
      <c r="G574" s="0" t="inlineStr">
        <is>
          <t>NULL</t>
        </is>
      </c>
      <c r="H574" s="0" t="inlineStr">
        <is>
          <t>NULL</t>
        </is>
      </c>
      <c r="I574" s="0" t="inlineStr">
        <is>
          <t>NULL</t>
        </is>
      </c>
      <c r="J574" s="0" t="inlineStr">
        <is>
          <t>NULL</t>
        </is>
      </c>
      <c r="K574" s="0" t="inlineStr">
        <is>
          <t>YES! 	 c_money列源备映射正确，源端为sql_variant 0位	期望更改为sql_variant	实际备端为sql_variant 0位</t>
        </is>
      </c>
    </row>
    <row r="575">
      <c r="B575" s="0" t="inlineStr">
        <is>
          <t>NULL</t>
        </is>
      </c>
      <c r="C575" s="0" t="inlineStr">
        <is>
          <t>NULL</t>
        </is>
      </c>
      <c r="D575" s="0" t="inlineStr">
        <is>
          <t>NULL</t>
        </is>
      </c>
      <c r="E575" s="0" t="inlineStr">
        <is>
          <t>NULL</t>
        </is>
      </c>
      <c r="F575" s="0" t="inlineStr">
        <is>
          <t>NULL</t>
        </is>
      </c>
      <c r="G575" s="0" t="inlineStr">
        <is>
          <t>NULL</t>
        </is>
      </c>
      <c r="H575" s="0" t="inlineStr">
        <is>
          <t>NULL</t>
        </is>
      </c>
      <c r="I575" s="0" t="inlineStr">
        <is>
          <t>NULL</t>
        </is>
      </c>
      <c r="J575" s="0" t="inlineStr">
        <is>
          <t>NULL</t>
        </is>
      </c>
      <c r="K575" s="0" t="inlineStr">
        <is>
          <t>YES! 	 c_datetime列源备映射正确，源端为sql_variant 0位	期望更改为sql_variant	实际备端为sql_variant 0位</t>
        </is>
      </c>
    </row>
    <row r="576">
      <c r="B576" s="0" t="inlineStr">
        <is>
          <t>NULL</t>
        </is>
      </c>
      <c r="C576" s="0" t="inlineStr">
        <is>
          <t>NULL</t>
        </is>
      </c>
      <c r="D576" s="0" t="inlineStr">
        <is>
          <t>NULL</t>
        </is>
      </c>
      <c r="E576" s="0" t="inlineStr">
        <is>
          <t>NULL</t>
        </is>
      </c>
      <c r="F576" s="0" t="inlineStr">
        <is>
          <t>NULL</t>
        </is>
      </c>
      <c r="G576" s="0" t="inlineStr">
        <is>
          <t>NULL</t>
        </is>
      </c>
      <c r="H576" s="0" t="inlineStr">
        <is>
          <t>NULL</t>
        </is>
      </c>
      <c r="I576" s="0" t="inlineStr">
        <is>
          <t>NULL</t>
        </is>
      </c>
      <c r="J576" s="0" t="inlineStr">
        <is>
          <t>NULL</t>
        </is>
      </c>
      <c r="K576" s="0" t="inlineStr">
        <is>
          <t>YES! 	 c_float列源备映射正确，源端为sql_variant 0位	期望更改为sql_variant	实际备端为sql_variant 0位</t>
        </is>
      </c>
    </row>
    <row r="577">
      <c r="B577" s="0" t="inlineStr">
        <is>
          <t>NULL</t>
        </is>
      </c>
      <c r="C577" s="0" t="inlineStr">
        <is>
          <t>NULL</t>
        </is>
      </c>
      <c r="D577" s="0" t="inlineStr">
        <is>
          <t>NULL</t>
        </is>
      </c>
      <c r="E577" s="0" t="inlineStr">
        <is>
          <t>NULL</t>
        </is>
      </c>
      <c r="F577" s="0" t="inlineStr">
        <is>
          <t>NULL</t>
        </is>
      </c>
      <c r="G577" s="0" t="inlineStr">
        <is>
          <t>NULL</t>
        </is>
      </c>
      <c r="H577" s="0" t="inlineStr">
        <is>
          <t>NULL</t>
        </is>
      </c>
      <c r="I577" s="0" t="inlineStr">
        <is>
          <t>NULL</t>
        </is>
      </c>
      <c r="J577" s="0" t="inlineStr">
        <is>
          <t>NULL</t>
        </is>
      </c>
      <c r="K577" s="0" t="inlineStr">
        <is>
          <t>YES! 	 c_bit列源备映射正确，源端为sql_variant 0位	期望更改为sql_variant	实际备端为sql_variant 0位</t>
        </is>
      </c>
    </row>
    <row r="578">
      <c r="B578" s="0" t="inlineStr">
        <is>
          <t>NULL</t>
        </is>
      </c>
      <c r="C578" s="0" t="inlineStr">
        <is>
          <t>NULL</t>
        </is>
      </c>
      <c r="D578" s="0" t="inlineStr">
        <is>
          <t>NULL</t>
        </is>
      </c>
      <c r="E578" s="0" t="inlineStr">
        <is>
          <t>NULL</t>
        </is>
      </c>
      <c r="F578" s="0" t="inlineStr">
        <is>
          <t>NULL</t>
        </is>
      </c>
      <c r="G578" s="0" t="inlineStr">
        <is>
          <t>NULL</t>
        </is>
      </c>
      <c r="H578" s="0" t="inlineStr">
        <is>
          <t>NULL</t>
        </is>
      </c>
      <c r="I578" s="0" t="inlineStr">
        <is>
          <t>NULL</t>
        </is>
      </c>
      <c r="J578" s="0" t="inlineStr">
        <is>
          <t>NULL</t>
        </is>
      </c>
      <c r="K578" s="0" t="inlineStr">
        <is>
          <t>YES! 	 c_decimal列源备映射正确，源端为sql_variant 0位	期望更改为sql_variant	实际备端为sql_variant 0位</t>
        </is>
      </c>
    </row>
    <row r="579">
      <c r="B579" s="0" t="inlineStr">
        <is>
          <t>NULL</t>
        </is>
      </c>
      <c r="C579" s="0" t="inlineStr">
        <is>
          <t>NULL</t>
        </is>
      </c>
      <c r="D579" s="0" t="inlineStr">
        <is>
          <t>NULL</t>
        </is>
      </c>
      <c r="E579" s="0" t="inlineStr">
        <is>
          <t>NULL</t>
        </is>
      </c>
      <c r="F579" s="0" t="inlineStr">
        <is>
          <t>NULL</t>
        </is>
      </c>
      <c r="G579" s="0" t="inlineStr">
        <is>
          <t>NULL</t>
        </is>
      </c>
      <c r="H579" s="0" t="inlineStr">
        <is>
          <t>NULL</t>
        </is>
      </c>
      <c r="I579" s="0" t="inlineStr">
        <is>
          <t>NULL</t>
        </is>
      </c>
      <c r="J579" s="0" t="inlineStr">
        <is>
          <t>NULL</t>
        </is>
      </c>
      <c r="K579" s="0" t="inlineStr">
        <is>
          <t>YES! 	 c_uniqueidentifier列源备映射正确，源端为sql_variant 0位	期望更改为sql_variant	实际备端为sql_variant 0位</t>
        </is>
      </c>
    </row>
    <row r="580">
      <c r="B580" s="0" t="inlineStr">
        <is>
          <t>NULL</t>
        </is>
      </c>
      <c r="C580" s="0" t="inlineStr">
        <is>
          <t>NULL</t>
        </is>
      </c>
      <c r="D580" s="0" t="inlineStr">
        <is>
          <t>NULL</t>
        </is>
      </c>
      <c r="E580" s="0" t="inlineStr">
        <is>
          <t>NULL</t>
        </is>
      </c>
      <c r="F580" s="0" t="inlineStr">
        <is>
          <t>NULL</t>
        </is>
      </c>
      <c r="G580" s="0" t="inlineStr">
        <is>
          <t>NULL</t>
        </is>
      </c>
      <c r="H580" s="0" t="inlineStr">
        <is>
          <t>NULL</t>
        </is>
      </c>
      <c r="I580" s="0" t="inlineStr">
        <is>
          <t>NULL</t>
        </is>
      </c>
      <c r="J580" s="0" t="inlineStr">
        <is>
          <t>NULL</t>
        </is>
      </c>
      <c r="K580" s="0" t="inlineStr">
        <is>
          <t>YES! 	 c_smallmoney列源备映射正确，源端为sql_variant 0位	期望更改为sql_variant	实际备端为sql_variant 0位</t>
        </is>
      </c>
    </row>
    <row r="581">
      <c r="B581" s="0" t="inlineStr">
        <is>
          <t>NULL</t>
        </is>
      </c>
      <c r="C581" s="0" t="inlineStr">
        <is>
          <t>NULL</t>
        </is>
      </c>
      <c r="D581" s="0" t="inlineStr">
        <is>
          <t>NULL</t>
        </is>
      </c>
      <c r="E581" s="0" t="inlineStr">
        <is>
          <t>NULL</t>
        </is>
      </c>
      <c r="F581" s="0" t="inlineStr">
        <is>
          <t>NULL</t>
        </is>
      </c>
      <c r="G581" s="0" t="inlineStr">
        <is>
          <t>NULL</t>
        </is>
      </c>
      <c r="H581" s="0" t="inlineStr">
        <is>
          <t>NULL</t>
        </is>
      </c>
      <c r="I581" s="0" t="inlineStr">
        <is>
          <t>NULL</t>
        </is>
      </c>
      <c r="J581" s="0" t="inlineStr">
        <is>
          <t>NULL</t>
        </is>
      </c>
      <c r="K581" s="0" t="inlineStr">
        <is>
          <t>YES! 	 c_bigint列源备映射正确，源端为sql_variant 0位	期望更改为sql_variant	实际备端为sql_variant 0位</t>
        </is>
      </c>
    </row>
    <row r="582">
      <c r="B582" s="0" t="inlineStr">
        <is>
          <t>NULL</t>
        </is>
      </c>
      <c r="C582" s="0" t="inlineStr">
        <is>
          <t>NULL</t>
        </is>
      </c>
      <c r="D582" s="0" t="inlineStr">
        <is>
          <t>NULL</t>
        </is>
      </c>
      <c r="E582" s="0" t="inlineStr">
        <is>
          <t>NULL</t>
        </is>
      </c>
      <c r="F582" s="0" t="inlineStr">
        <is>
          <t>NULL</t>
        </is>
      </c>
      <c r="G582" s="0" t="inlineStr">
        <is>
          <t>NULL</t>
        </is>
      </c>
      <c r="H582" s="0" t="inlineStr">
        <is>
          <t>NULL</t>
        </is>
      </c>
      <c r="I582" s="0" t="inlineStr">
        <is>
          <t>NULL</t>
        </is>
      </c>
      <c r="J582" s="0" t="inlineStr">
        <is>
          <t>NULL</t>
        </is>
      </c>
      <c r="K582" s="0" t="inlineStr">
        <is>
          <t>YES! 	 c_varbinary_20列源备映射正确，源端为sql_variant 0位	期望更改为sql_variant	实际备端为sql_variant 0位</t>
        </is>
      </c>
    </row>
    <row r="583">
      <c r="B583" s="0" t="inlineStr">
        <is>
          <t>NULL</t>
        </is>
      </c>
      <c r="C583" s="0" t="inlineStr">
        <is>
          <t>NULL</t>
        </is>
      </c>
      <c r="D583" s="0" t="inlineStr">
        <is>
          <t>NULL</t>
        </is>
      </c>
      <c r="E583" s="0" t="inlineStr">
        <is>
          <t>NULL</t>
        </is>
      </c>
      <c r="F583" s="0" t="inlineStr">
        <is>
          <t>NULL</t>
        </is>
      </c>
      <c r="G583" s="0" t="inlineStr">
        <is>
          <t>NULL</t>
        </is>
      </c>
      <c r="H583" s="0" t="inlineStr">
        <is>
          <t>NULL</t>
        </is>
      </c>
      <c r="I583" s="0" t="inlineStr">
        <is>
          <t>NULL</t>
        </is>
      </c>
      <c r="J583" s="0" t="inlineStr">
        <is>
          <t>NULL</t>
        </is>
      </c>
      <c r="K583" s="0" t="inlineStr">
        <is>
          <t>YES! 	 c_varchar_20列源备映射正确，源端为sql_variant 0位	期望更改为sql_variant	实际备端为sql_variant 0位</t>
        </is>
      </c>
    </row>
    <row r="584">
      <c r="B584" s="0" t="inlineStr">
        <is>
          <t>NULL</t>
        </is>
      </c>
      <c r="C584" s="0" t="inlineStr">
        <is>
          <t>NULL</t>
        </is>
      </c>
      <c r="D584" s="0" t="inlineStr">
        <is>
          <t>NULL</t>
        </is>
      </c>
      <c r="E584" s="0" t="inlineStr">
        <is>
          <t>NULL</t>
        </is>
      </c>
      <c r="F584" s="0" t="inlineStr">
        <is>
          <t>NULL</t>
        </is>
      </c>
      <c r="G584" s="0" t="inlineStr">
        <is>
          <t>NULL</t>
        </is>
      </c>
      <c r="H584" s="0" t="inlineStr">
        <is>
          <t>NULL</t>
        </is>
      </c>
      <c r="I584" s="0" t="inlineStr">
        <is>
          <t>NULL</t>
        </is>
      </c>
      <c r="J584" s="0" t="inlineStr">
        <is>
          <t>NULL</t>
        </is>
      </c>
      <c r="K584" s="0" t="inlineStr">
        <is>
          <t>YES! 	 c_binary_20列源备映射正确，源端为sql_variant 0位	期望更改为sql_variant	实际备端为sql_variant 0位</t>
        </is>
      </c>
    </row>
    <row r="585">
      <c r="B585" s="0" t="inlineStr">
        <is>
          <t>NULL</t>
        </is>
      </c>
      <c r="C585" s="0" t="inlineStr">
        <is>
          <t>NULL</t>
        </is>
      </c>
      <c r="D585" s="0" t="inlineStr">
        <is>
          <t>NULL</t>
        </is>
      </c>
      <c r="E585" s="0" t="inlineStr">
        <is>
          <t>NULL</t>
        </is>
      </c>
      <c r="F585" s="0" t="inlineStr">
        <is>
          <t>NULL</t>
        </is>
      </c>
      <c r="G585" s="0" t="inlineStr">
        <is>
          <t>NULL</t>
        </is>
      </c>
      <c r="H585" s="0" t="inlineStr">
        <is>
          <t>NULL</t>
        </is>
      </c>
      <c r="I585" s="0" t="inlineStr">
        <is>
          <t>NULL</t>
        </is>
      </c>
      <c r="J585" s="0" t="inlineStr">
        <is>
          <t>NULL</t>
        </is>
      </c>
      <c r="K585" s="0" t="inlineStr">
        <is>
          <t>YES! 	 c_char_20列源备映射正确，源端为sql_variant 0位	期望更改为sql_variant	实际备端为sql_variant 0位</t>
        </is>
      </c>
    </row>
    <row r="586">
      <c r="B586" s="0" t="inlineStr">
        <is>
          <t>NULL</t>
        </is>
      </c>
      <c r="C586" s="0" t="inlineStr">
        <is>
          <t>NULL</t>
        </is>
      </c>
      <c r="D586" s="0" t="inlineStr">
        <is>
          <t>NULL</t>
        </is>
      </c>
      <c r="E586" s="0" t="inlineStr">
        <is>
          <t>NULL</t>
        </is>
      </c>
      <c r="F586" s="0" t="inlineStr">
        <is>
          <t>NULL</t>
        </is>
      </c>
      <c r="G586" s="0" t="inlineStr">
        <is>
          <t>NULL</t>
        </is>
      </c>
      <c r="H586" s="0" t="inlineStr">
        <is>
          <t>NULL</t>
        </is>
      </c>
      <c r="I586" s="0" t="inlineStr">
        <is>
          <t>NULL</t>
        </is>
      </c>
      <c r="J586" s="0" t="inlineStr">
        <is>
          <t>NULL</t>
        </is>
      </c>
      <c r="K586" s="0" t="inlineStr">
        <is>
          <t>YES! 	 c_nvarchar_20列源备映射正确，源端为sql_variant 0位	期望更改为sql_variant	实际备端为sql_variant 0位</t>
        </is>
      </c>
    </row>
    <row r="587">
      <c r="B587" s="0" t="inlineStr">
        <is>
          <t>NULL</t>
        </is>
      </c>
      <c r="C587" s="0" t="inlineStr">
        <is>
          <t>NULL</t>
        </is>
      </c>
      <c r="D587" s="0" t="inlineStr">
        <is>
          <t>NULL</t>
        </is>
      </c>
      <c r="E587" s="0" t="inlineStr">
        <is>
          <t>NULL</t>
        </is>
      </c>
      <c r="F587" s="0" t="inlineStr">
        <is>
          <t>NULL</t>
        </is>
      </c>
      <c r="G587" s="0" t="inlineStr">
        <is>
          <t>NULL</t>
        </is>
      </c>
      <c r="H587" s="0" t="inlineStr">
        <is>
          <t>NULL</t>
        </is>
      </c>
      <c r="I587" s="0" t="inlineStr">
        <is>
          <t>NULL</t>
        </is>
      </c>
      <c r="J587" s="0" t="inlineStr">
        <is>
          <t>NULL</t>
        </is>
      </c>
      <c r="K587" s="0" t="inlineStr">
        <is>
          <t>YES! 	 c_nchar_20列源备映射正确，源端为sql_variant 0位	期望更改为sql_variant	实际备端为sql_variant 0位</t>
        </is>
      </c>
    </row>
    <row r="588">
      <c r="B588" s="0" t="inlineStr">
        <is>
          <t>NULL</t>
        </is>
      </c>
      <c r="C588" s="0" t="inlineStr">
        <is>
          <t>NULL</t>
        </is>
      </c>
      <c r="D588" s="0" t="inlineStr">
        <is>
          <t>NULL</t>
        </is>
      </c>
      <c r="E588" s="0" t="inlineStr">
        <is>
          <t>NULL</t>
        </is>
      </c>
      <c r="F588" s="0" t="inlineStr">
        <is>
          <t>NULL</t>
        </is>
      </c>
      <c r="G588" s="0" t="inlineStr">
        <is>
          <t>NULL</t>
        </is>
      </c>
      <c r="H588" s="0" t="inlineStr">
        <is>
          <t>NULL</t>
        </is>
      </c>
      <c r="I588" s="0" t="inlineStr">
        <is>
          <t>NULL</t>
        </is>
      </c>
      <c r="J588" s="0" t="inlineStr">
        <is>
          <t>NULL</t>
        </is>
      </c>
      <c r="K588" s="0" t="inlineStr">
        <is>
          <t>YES! 	 c_timestamp列源备映射正确，源端为timestamp None位	期望更改为timestamp	实际备端为timestamp None位</t>
        </is>
      </c>
    </row>
    <row r="589">
      <c r="A589" s="0" t="inlineStr">
        <is>
          <t>info_sdt_dml_batch1_pk</t>
        </is>
      </c>
      <c r="K589" s="0" t="inlineStr">
        <is>
          <t>[0;34m info_sdt_dml_batch1_pk [0m源备字段数相同，源端字段：2 	备端字段2</t>
        </is>
      </c>
      <c r="W589" s="0" t="inlineStr">
        <is>
          <t>YES 源备无差异</t>
        </is>
      </c>
      <c r="X589" s="0">
        <f>A589</f>
        <v/>
      </c>
    </row>
    <row r="590">
      <c r="B590" s="0" t="inlineStr">
        <is>
          <t>YES</t>
        </is>
      </c>
      <c r="C590" s="0" t="inlineStr">
        <is>
          <t>NULL</t>
        </is>
      </c>
      <c r="D590" s="0" t="inlineStr">
        <is>
          <t>NULL</t>
        </is>
      </c>
      <c r="E590" s="0" t="inlineStr">
        <is>
          <t>NULL</t>
        </is>
      </c>
      <c r="F590" s="0" t="inlineStr">
        <is>
          <t>NULL</t>
        </is>
      </c>
      <c r="G590" s="0" t="inlineStr">
        <is>
          <t>NULL</t>
        </is>
      </c>
      <c r="H590" s="0" t="inlineStr">
        <is>
          <t>NULL</t>
        </is>
      </c>
      <c r="I590" s="0" t="inlineStr">
        <is>
          <t>YES!PK__info_sdt__3213E83FA1971A79</t>
        </is>
      </c>
      <c r="J590" s="0" t="inlineStr">
        <is>
          <t>YES! 主键相关索引</t>
        </is>
      </c>
      <c r="K590" s="0" t="inlineStr">
        <is>
          <t>YES! 	 id列源备映射正确，源端为int None位	期望更改为int	实际备端为int None位</t>
        </is>
      </c>
    </row>
    <row r="591">
      <c r="B591" s="0" t="inlineStr">
        <is>
          <t>NULL</t>
        </is>
      </c>
      <c r="C591" s="0" t="inlineStr">
        <is>
          <t>NULL</t>
        </is>
      </c>
      <c r="D591" s="0" t="inlineStr">
        <is>
          <t>NULL</t>
        </is>
      </c>
      <c r="E591" s="0" t="inlineStr">
        <is>
          <t>NULL</t>
        </is>
      </c>
      <c r="F591" s="0" t="inlineStr">
        <is>
          <t>NULL</t>
        </is>
      </c>
      <c r="G591" s="0" t="inlineStr">
        <is>
          <t>NULL</t>
        </is>
      </c>
      <c r="H591" s="0" t="inlineStr">
        <is>
          <t>NULL</t>
        </is>
      </c>
      <c r="I591" s="0" t="inlineStr">
        <is>
          <t>NULL</t>
        </is>
      </c>
      <c r="J591" s="0" t="inlineStr">
        <is>
          <t>NULL</t>
        </is>
      </c>
      <c r="K591" s="0" t="inlineStr">
        <is>
          <t>YES! 	 c_sdt列源备映射正确，源端为smalldatetime None位	期望更改为smalldatetime	实际备端为smalldatetime None位</t>
        </is>
      </c>
    </row>
    <row r="592">
      <c r="A592" s="0" t="inlineStr">
        <is>
          <t>info_nvarchar_dml_single_nopk_irp</t>
        </is>
      </c>
      <c r="K592" s="0" t="inlineStr">
        <is>
          <t>[0;34m info_nvarchar_dml_single_nopk_irp [0m源备字段数相同，源端字段：4 	备端字段4</t>
        </is>
      </c>
      <c r="W592" s="0" t="inlineStr">
        <is>
          <t>YES 源备无差异</t>
        </is>
      </c>
      <c r="X592" s="0">
        <f>A592</f>
        <v/>
      </c>
    </row>
    <row r="593">
      <c r="B593" s="0" t="inlineStr">
        <is>
          <t>NULL</t>
        </is>
      </c>
      <c r="C593" s="0" t="inlineStr">
        <is>
          <t>NULL</t>
        </is>
      </c>
      <c r="D593" s="0" t="inlineStr">
        <is>
          <t>NULL</t>
        </is>
      </c>
      <c r="E593" s="0" t="inlineStr">
        <is>
          <t>NULL</t>
        </is>
      </c>
      <c r="F593" s="0" t="inlineStr">
        <is>
          <t>NULL</t>
        </is>
      </c>
      <c r="G593" s="0" t="inlineStr">
        <is>
          <t>NULL</t>
        </is>
      </c>
      <c r="H593" s="0" t="inlineStr">
        <is>
          <t>NULL</t>
        </is>
      </c>
      <c r="I593" s="0" t="inlineStr">
        <is>
          <t>NULL</t>
        </is>
      </c>
      <c r="J593" s="0" t="inlineStr">
        <is>
          <t>NULL</t>
        </is>
      </c>
      <c r="K593" s="0" t="inlineStr">
        <is>
          <t>YES! 	 id列源备映射正确，源端为int None位	期望更改为int	实际备端为int None位</t>
        </is>
      </c>
    </row>
    <row r="594">
      <c r="B594" s="0" t="inlineStr">
        <is>
          <t>NULL</t>
        </is>
      </c>
      <c r="C594" s="0" t="inlineStr">
        <is>
          <t>NULL</t>
        </is>
      </c>
      <c r="D594" s="0" t="inlineStr">
        <is>
          <t>NULL</t>
        </is>
      </c>
      <c r="E594" s="0" t="inlineStr">
        <is>
          <t>NULL</t>
        </is>
      </c>
      <c r="F594" s="0" t="inlineStr">
        <is>
          <t>NULL</t>
        </is>
      </c>
      <c r="G594" s="0" t="inlineStr">
        <is>
          <t>NULL</t>
        </is>
      </c>
      <c r="H594" s="0" t="inlineStr">
        <is>
          <t>NULL</t>
        </is>
      </c>
      <c r="I594" s="0" t="inlineStr">
        <is>
          <t>NULL</t>
        </is>
      </c>
      <c r="J594" s="0" t="inlineStr">
        <is>
          <t>NULL</t>
        </is>
      </c>
      <c r="K594" s="0" t="inlineStr">
        <is>
          <t>YES! 	 c_nvarchar列源备映射正确，源端为nvarchar 2位	期望更改为nvarchar(n)	实际备端为nvarchar 2位</t>
        </is>
      </c>
    </row>
    <row r="595">
      <c r="B595" s="0" t="inlineStr">
        <is>
          <t>NULL</t>
        </is>
      </c>
      <c r="C595" s="0" t="inlineStr">
        <is>
          <t>NULL</t>
        </is>
      </c>
      <c r="D595" s="0" t="inlineStr">
        <is>
          <t>NULL</t>
        </is>
      </c>
      <c r="E595" s="0" t="inlineStr">
        <is>
          <t>NULL</t>
        </is>
      </c>
      <c r="F595" s="0" t="inlineStr">
        <is>
          <t>NULL</t>
        </is>
      </c>
      <c r="G595" s="0" t="inlineStr">
        <is>
          <t>NULL</t>
        </is>
      </c>
      <c r="H595" s="0" t="inlineStr">
        <is>
          <t>NULL</t>
        </is>
      </c>
      <c r="I595" s="0" t="inlineStr">
        <is>
          <t>NULL</t>
        </is>
      </c>
      <c r="J595" s="0" t="inlineStr">
        <is>
          <t>NULL</t>
        </is>
      </c>
      <c r="K595" s="0" t="inlineStr">
        <is>
          <t>YES! 	 c_nvarchar20列源备映射正确，源端为nvarchar 40位	期望更改为nvarchar(n)	实际备端为nvarchar 40位</t>
        </is>
      </c>
    </row>
    <row r="596">
      <c r="B596" s="0" t="inlineStr">
        <is>
          <t>NULL</t>
        </is>
      </c>
      <c r="C596" s="0" t="inlineStr">
        <is>
          <t>NULL</t>
        </is>
      </c>
      <c r="D596" s="0" t="inlineStr">
        <is>
          <t>NULL</t>
        </is>
      </c>
      <c r="E596" s="0" t="inlineStr">
        <is>
          <t>NULL</t>
        </is>
      </c>
      <c r="F596" s="0" t="inlineStr">
        <is>
          <t>NULL</t>
        </is>
      </c>
      <c r="G596" s="0" t="inlineStr">
        <is>
          <t>NULL</t>
        </is>
      </c>
      <c r="H596" s="0" t="inlineStr">
        <is>
          <t>NULL</t>
        </is>
      </c>
      <c r="I596" s="0" t="inlineStr">
        <is>
          <t>NULL</t>
        </is>
      </c>
      <c r="J596" s="0" t="inlineStr">
        <is>
          <t>NULL</t>
        </is>
      </c>
      <c r="K596" s="0" t="inlineStr">
        <is>
          <t>YES! 	 c_nvarchar4000列源备映射正确，源端为nvarchar 8000位	期望更改为nvarchar(n)	实际备端为nvarchar 8000位</t>
        </is>
      </c>
    </row>
    <row r="597">
      <c r="A597" s="0" t="inlineStr">
        <is>
          <t>info_sql_variant_dml_single_pk</t>
        </is>
      </c>
      <c r="K597" s="0" t="inlineStr">
        <is>
          <t>[0;34m info_sql_variant_dml_single_pk [0m源备字段数相同，源端字段：25 	备端字段25</t>
        </is>
      </c>
      <c r="W597" s="0" t="inlineStr">
        <is>
          <t>YES 源备无差异</t>
        </is>
      </c>
      <c r="X597" s="0">
        <f>A597</f>
        <v/>
      </c>
    </row>
    <row r="598">
      <c r="B598" s="0" t="inlineStr">
        <is>
          <t>YES</t>
        </is>
      </c>
      <c r="C598" s="0" t="inlineStr">
        <is>
          <t>NULL</t>
        </is>
      </c>
      <c r="D598" s="0" t="inlineStr">
        <is>
          <t>NULL</t>
        </is>
      </c>
      <c r="E598" s="0" t="inlineStr">
        <is>
          <t>NULL</t>
        </is>
      </c>
      <c r="F598" s="0" t="inlineStr">
        <is>
          <t>NULL</t>
        </is>
      </c>
      <c r="G598" s="0" t="inlineStr">
        <is>
          <t>NULL</t>
        </is>
      </c>
      <c r="H598" s="0" t="inlineStr">
        <is>
          <t>NULL</t>
        </is>
      </c>
      <c r="I598" s="0" t="inlineStr">
        <is>
          <t>YES!PK__info_sql__3213E83F0AEFC72B</t>
        </is>
      </c>
      <c r="J598" s="0" t="inlineStr">
        <is>
          <t>YES! 主键相关索引</t>
        </is>
      </c>
      <c r="K598" s="0" t="inlineStr">
        <is>
          <t>YES! 	 id列源备映射正确，源端为int None位	期望更改为int	实际备端为int None位</t>
        </is>
      </c>
    </row>
    <row r="599">
      <c r="B599" s="0" t="inlineStr">
        <is>
          <t>NULL</t>
        </is>
      </c>
      <c r="C599" s="0" t="inlineStr">
        <is>
          <t>NULL</t>
        </is>
      </c>
      <c r="D599" s="0" t="inlineStr">
        <is>
          <t>NULL</t>
        </is>
      </c>
      <c r="E599" s="0" t="inlineStr">
        <is>
          <t>NULL</t>
        </is>
      </c>
      <c r="F599" s="0" t="inlineStr">
        <is>
          <t>NULL</t>
        </is>
      </c>
      <c r="G599" s="0" t="inlineStr">
        <is>
          <t>NULL</t>
        </is>
      </c>
      <c r="H599" s="0" t="inlineStr">
        <is>
          <t>NULL</t>
        </is>
      </c>
      <c r="I599" s="0" t="inlineStr">
        <is>
          <t>NULL</t>
        </is>
      </c>
      <c r="J599" s="0" t="inlineStr">
        <is>
          <t>NULL</t>
        </is>
      </c>
      <c r="K599" s="0" t="inlineStr">
        <is>
          <t>YES! 	 c_date列源备映射正确，源端为sql_variant 0位	期望更改为sql_variant	实际备端为sql_variant 0位</t>
        </is>
      </c>
    </row>
    <row r="600">
      <c r="B600" s="0" t="inlineStr">
        <is>
          <t>NULL</t>
        </is>
      </c>
      <c r="C600" s="0" t="inlineStr">
        <is>
          <t>NULL</t>
        </is>
      </c>
      <c r="D600" s="0" t="inlineStr">
        <is>
          <t>NULL</t>
        </is>
      </c>
      <c r="E600" s="0" t="inlineStr">
        <is>
          <t>NULL</t>
        </is>
      </c>
      <c r="F600" s="0" t="inlineStr">
        <is>
          <t>NULL</t>
        </is>
      </c>
      <c r="G600" s="0" t="inlineStr">
        <is>
          <t>NULL</t>
        </is>
      </c>
      <c r="H600" s="0" t="inlineStr">
        <is>
          <t>NULL</t>
        </is>
      </c>
      <c r="I600" s="0" t="inlineStr">
        <is>
          <t>NULL</t>
        </is>
      </c>
      <c r="J600" s="0" t="inlineStr">
        <is>
          <t>NULL</t>
        </is>
      </c>
      <c r="K600" s="0" t="inlineStr">
        <is>
          <t>YES! 	 c_time列源备映射正确，源端为sql_variant 0位	期望更改为sql_variant	实际备端为sql_variant 0位</t>
        </is>
      </c>
    </row>
    <row r="601">
      <c r="B601" s="0" t="inlineStr">
        <is>
          <t>NULL</t>
        </is>
      </c>
      <c r="C601" s="0" t="inlineStr">
        <is>
          <t>NULL</t>
        </is>
      </c>
      <c r="D601" s="0" t="inlineStr">
        <is>
          <t>NULL</t>
        </is>
      </c>
      <c r="E601" s="0" t="inlineStr">
        <is>
          <t>NULL</t>
        </is>
      </c>
      <c r="F601" s="0" t="inlineStr">
        <is>
          <t>NULL</t>
        </is>
      </c>
      <c r="G601" s="0" t="inlineStr">
        <is>
          <t>NULL</t>
        </is>
      </c>
      <c r="H601" s="0" t="inlineStr">
        <is>
          <t>NULL</t>
        </is>
      </c>
      <c r="I601" s="0" t="inlineStr">
        <is>
          <t>NULL</t>
        </is>
      </c>
      <c r="J601" s="0" t="inlineStr">
        <is>
          <t>NULL</t>
        </is>
      </c>
      <c r="K601" s="0" t="inlineStr">
        <is>
          <t>YES! 	 c_datetime2列源备映射正确，源端为sql_variant 0位	期望更改为sql_variant	实际备端为sql_variant 0位</t>
        </is>
      </c>
    </row>
    <row r="602">
      <c r="B602" s="0" t="inlineStr">
        <is>
          <t>NULL</t>
        </is>
      </c>
      <c r="C602" s="0" t="inlineStr">
        <is>
          <t>NULL</t>
        </is>
      </c>
      <c r="D602" s="0" t="inlineStr">
        <is>
          <t>NULL</t>
        </is>
      </c>
      <c r="E602" s="0" t="inlineStr">
        <is>
          <t>NULL</t>
        </is>
      </c>
      <c r="F602" s="0" t="inlineStr">
        <is>
          <t>NULL</t>
        </is>
      </c>
      <c r="G602" s="0" t="inlineStr">
        <is>
          <t>NULL</t>
        </is>
      </c>
      <c r="H602" s="0" t="inlineStr">
        <is>
          <t>NULL</t>
        </is>
      </c>
      <c r="I602" s="0" t="inlineStr">
        <is>
          <t>NULL</t>
        </is>
      </c>
      <c r="J602" s="0" t="inlineStr">
        <is>
          <t>NULL</t>
        </is>
      </c>
      <c r="K602" s="0" t="inlineStr">
        <is>
          <t>YES! 	 c_datetimeoffset列源备映射正确，源端为sql_variant 0位	期望更改为sql_variant	实际备端为sql_variant 0位</t>
        </is>
      </c>
    </row>
    <row r="603">
      <c r="B603" s="0" t="inlineStr">
        <is>
          <t>NULL</t>
        </is>
      </c>
      <c r="C603" s="0" t="inlineStr">
        <is>
          <t>NULL</t>
        </is>
      </c>
      <c r="D603" s="0" t="inlineStr">
        <is>
          <t>NULL</t>
        </is>
      </c>
      <c r="E603" s="0" t="inlineStr">
        <is>
          <t>NULL</t>
        </is>
      </c>
      <c r="F603" s="0" t="inlineStr">
        <is>
          <t>NULL</t>
        </is>
      </c>
      <c r="G603" s="0" t="inlineStr">
        <is>
          <t>NULL</t>
        </is>
      </c>
      <c r="H603" s="0" t="inlineStr">
        <is>
          <t>NULL</t>
        </is>
      </c>
      <c r="I603" s="0" t="inlineStr">
        <is>
          <t>NULL</t>
        </is>
      </c>
      <c r="J603" s="0" t="inlineStr">
        <is>
          <t>NULL</t>
        </is>
      </c>
      <c r="K603" s="0" t="inlineStr">
        <is>
          <t>YES! 	 c_tinyint列源备映射正确，源端为sql_variant 0位	期望更改为sql_variant	实际备端为sql_variant 0位</t>
        </is>
      </c>
    </row>
    <row r="604">
      <c r="B604" s="0" t="inlineStr">
        <is>
          <t>NULL</t>
        </is>
      </c>
      <c r="C604" s="0" t="inlineStr">
        <is>
          <t>NULL</t>
        </is>
      </c>
      <c r="D604" s="0" t="inlineStr">
        <is>
          <t>NULL</t>
        </is>
      </c>
      <c r="E604" s="0" t="inlineStr">
        <is>
          <t>NULL</t>
        </is>
      </c>
      <c r="F604" s="0" t="inlineStr">
        <is>
          <t>NULL</t>
        </is>
      </c>
      <c r="G604" s="0" t="inlineStr">
        <is>
          <t>NULL</t>
        </is>
      </c>
      <c r="H604" s="0" t="inlineStr">
        <is>
          <t>NULL</t>
        </is>
      </c>
      <c r="I604" s="0" t="inlineStr">
        <is>
          <t>NULL</t>
        </is>
      </c>
      <c r="J604" s="0" t="inlineStr">
        <is>
          <t>NULL</t>
        </is>
      </c>
      <c r="K604" s="0" t="inlineStr">
        <is>
          <t>YES! 	 c_smallint列源备映射正确，源端为sql_variant 0位	期望更改为sql_variant	实际备端为sql_variant 0位</t>
        </is>
      </c>
    </row>
    <row r="605">
      <c r="B605" s="0" t="inlineStr">
        <is>
          <t>NULL</t>
        </is>
      </c>
      <c r="C605" s="0" t="inlineStr">
        <is>
          <t>NULL</t>
        </is>
      </c>
      <c r="D605" s="0" t="inlineStr">
        <is>
          <t>NULL</t>
        </is>
      </c>
      <c r="E605" s="0" t="inlineStr">
        <is>
          <t>NULL</t>
        </is>
      </c>
      <c r="F605" s="0" t="inlineStr">
        <is>
          <t>NULL</t>
        </is>
      </c>
      <c r="G605" s="0" t="inlineStr">
        <is>
          <t>NULL</t>
        </is>
      </c>
      <c r="H605" s="0" t="inlineStr">
        <is>
          <t>NULL</t>
        </is>
      </c>
      <c r="I605" s="0" t="inlineStr">
        <is>
          <t>NULL</t>
        </is>
      </c>
      <c r="J605" s="0" t="inlineStr">
        <is>
          <t>NULL</t>
        </is>
      </c>
      <c r="K605" s="0" t="inlineStr">
        <is>
          <t>YES! 	 c_int列源备映射正确，源端为sql_variant 0位	期望更改为sql_variant	实际备端为sql_variant 0位</t>
        </is>
      </c>
    </row>
    <row r="606">
      <c r="B606" s="0" t="inlineStr">
        <is>
          <t>NULL</t>
        </is>
      </c>
      <c r="C606" s="0" t="inlineStr">
        <is>
          <t>NULL</t>
        </is>
      </c>
      <c r="D606" s="0" t="inlineStr">
        <is>
          <t>NULL</t>
        </is>
      </c>
      <c r="E606" s="0" t="inlineStr">
        <is>
          <t>NULL</t>
        </is>
      </c>
      <c r="F606" s="0" t="inlineStr">
        <is>
          <t>NULL</t>
        </is>
      </c>
      <c r="G606" s="0" t="inlineStr">
        <is>
          <t>NULL</t>
        </is>
      </c>
      <c r="H606" s="0" t="inlineStr">
        <is>
          <t>NULL</t>
        </is>
      </c>
      <c r="I606" s="0" t="inlineStr">
        <is>
          <t>NULL</t>
        </is>
      </c>
      <c r="J606" s="0" t="inlineStr">
        <is>
          <t>NULL</t>
        </is>
      </c>
      <c r="K606" s="0" t="inlineStr">
        <is>
          <t>YES! 	 c_sdt列源备映射正确，源端为sql_variant 0位	期望更改为sql_variant	实际备端为sql_variant 0位</t>
        </is>
      </c>
    </row>
    <row r="607">
      <c r="B607" s="0" t="inlineStr">
        <is>
          <t>NULL</t>
        </is>
      </c>
      <c r="C607" s="0" t="inlineStr">
        <is>
          <t>NULL</t>
        </is>
      </c>
      <c r="D607" s="0" t="inlineStr">
        <is>
          <t>NULL</t>
        </is>
      </c>
      <c r="E607" s="0" t="inlineStr">
        <is>
          <t>NULL</t>
        </is>
      </c>
      <c r="F607" s="0" t="inlineStr">
        <is>
          <t>NULL</t>
        </is>
      </c>
      <c r="G607" s="0" t="inlineStr">
        <is>
          <t>NULL</t>
        </is>
      </c>
      <c r="H607" s="0" t="inlineStr">
        <is>
          <t>NULL</t>
        </is>
      </c>
      <c r="I607" s="0" t="inlineStr">
        <is>
          <t>NULL</t>
        </is>
      </c>
      <c r="J607" s="0" t="inlineStr">
        <is>
          <t>NULL</t>
        </is>
      </c>
      <c r="K607" s="0" t="inlineStr">
        <is>
          <t>YES! 	 c_real列源备映射正确，源端为sql_variant 0位	期望更改为sql_variant	实际备端为sql_variant 0位</t>
        </is>
      </c>
    </row>
    <row r="608">
      <c r="B608" s="0" t="inlineStr">
        <is>
          <t>NULL</t>
        </is>
      </c>
      <c r="C608" s="0" t="inlineStr">
        <is>
          <t>NULL</t>
        </is>
      </c>
      <c r="D608" s="0" t="inlineStr">
        <is>
          <t>NULL</t>
        </is>
      </c>
      <c r="E608" s="0" t="inlineStr">
        <is>
          <t>NULL</t>
        </is>
      </c>
      <c r="F608" s="0" t="inlineStr">
        <is>
          <t>NULL</t>
        </is>
      </c>
      <c r="G608" s="0" t="inlineStr">
        <is>
          <t>NULL</t>
        </is>
      </c>
      <c r="H608" s="0" t="inlineStr">
        <is>
          <t>NULL</t>
        </is>
      </c>
      <c r="I608" s="0" t="inlineStr">
        <is>
          <t>NULL</t>
        </is>
      </c>
      <c r="J608" s="0" t="inlineStr">
        <is>
          <t>NULL</t>
        </is>
      </c>
      <c r="K608" s="0" t="inlineStr">
        <is>
          <t>YES! 	 c_money列源备映射正确，源端为sql_variant 0位	期望更改为sql_variant	实际备端为sql_variant 0位</t>
        </is>
      </c>
    </row>
    <row r="609">
      <c r="B609" s="0" t="inlineStr">
        <is>
          <t>NULL</t>
        </is>
      </c>
      <c r="C609" s="0" t="inlineStr">
        <is>
          <t>NULL</t>
        </is>
      </c>
      <c r="D609" s="0" t="inlineStr">
        <is>
          <t>NULL</t>
        </is>
      </c>
      <c r="E609" s="0" t="inlineStr">
        <is>
          <t>NULL</t>
        </is>
      </c>
      <c r="F609" s="0" t="inlineStr">
        <is>
          <t>NULL</t>
        </is>
      </c>
      <c r="G609" s="0" t="inlineStr">
        <is>
          <t>NULL</t>
        </is>
      </c>
      <c r="H609" s="0" t="inlineStr">
        <is>
          <t>NULL</t>
        </is>
      </c>
      <c r="I609" s="0" t="inlineStr">
        <is>
          <t>NULL</t>
        </is>
      </c>
      <c r="J609" s="0" t="inlineStr">
        <is>
          <t>NULL</t>
        </is>
      </c>
      <c r="K609" s="0" t="inlineStr">
        <is>
          <t>YES! 	 c_datetime列源备映射正确，源端为sql_variant 0位	期望更改为sql_variant	实际备端为sql_variant 0位</t>
        </is>
      </c>
    </row>
    <row r="610">
      <c r="B610" s="0" t="inlineStr">
        <is>
          <t>NULL</t>
        </is>
      </c>
      <c r="C610" s="0" t="inlineStr">
        <is>
          <t>NULL</t>
        </is>
      </c>
      <c r="D610" s="0" t="inlineStr">
        <is>
          <t>NULL</t>
        </is>
      </c>
      <c r="E610" s="0" t="inlineStr">
        <is>
          <t>NULL</t>
        </is>
      </c>
      <c r="F610" s="0" t="inlineStr">
        <is>
          <t>NULL</t>
        </is>
      </c>
      <c r="G610" s="0" t="inlineStr">
        <is>
          <t>NULL</t>
        </is>
      </c>
      <c r="H610" s="0" t="inlineStr">
        <is>
          <t>NULL</t>
        </is>
      </c>
      <c r="I610" s="0" t="inlineStr">
        <is>
          <t>NULL</t>
        </is>
      </c>
      <c r="J610" s="0" t="inlineStr">
        <is>
          <t>NULL</t>
        </is>
      </c>
      <c r="K610" s="0" t="inlineStr">
        <is>
          <t>YES! 	 c_float列源备映射正确，源端为sql_variant 0位	期望更改为sql_variant	实际备端为sql_variant 0位</t>
        </is>
      </c>
    </row>
    <row r="611">
      <c r="B611" s="0" t="inlineStr">
        <is>
          <t>NULL</t>
        </is>
      </c>
      <c r="C611" s="0" t="inlineStr">
        <is>
          <t>NULL</t>
        </is>
      </c>
      <c r="D611" s="0" t="inlineStr">
        <is>
          <t>NULL</t>
        </is>
      </c>
      <c r="E611" s="0" t="inlineStr">
        <is>
          <t>NULL</t>
        </is>
      </c>
      <c r="F611" s="0" t="inlineStr">
        <is>
          <t>NULL</t>
        </is>
      </c>
      <c r="G611" s="0" t="inlineStr">
        <is>
          <t>NULL</t>
        </is>
      </c>
      <c r="H611" s="0" t="inlineStr">
        <is>
          <t>NULL</t>
        </is>
      </c>
      <c r="I611" s="0" t="inlineStr">
        <is>
          <t>NULL</t>
        </is>
      </c>
      <c r="J611" s="0" t="inlineStr">
        <is>
          <t>NULL</t>
        </is>
      </c>
      <c r="K611" s="0" t="inlineStr">
        <is>
          <t>YES! 	 c_bit列源备映射正确，源端为sql_variant 0位	期望更改为sql_variant	实际备端为sql_variant 0位</t>
        </is>
      </c>
    </row>
    <row r="612">
      <c r="B612" s="0" t="inlineStr">
        <is>
          <t>NULL</t>
        </is>
      </c>
      <c r="C612" s="0" t="inlineStr">
        <is>
          <t>NULL</t>
        </is>
      </c>
      <c r="D612" s="0" t="inlineStr">
        <is>
          <t>NULL</t>
        </is>
      </c>
      <c r="E612" s="0" t="inlineStr">
        <is>
          <t>NULL</t>
        </is>
      </c>
      <c r="F612" s="0" t="inlineStr">
        <is>
          <t>NULL</t>
        </is>
      </c>
      <c r="G612" s="0" t="inlineStr">
        <is>
          <t>NULL</t>
        </is>
      </c>
      <c r="H612" s="0" t="inlineStr">
        <is>
          <t>NULL</t>
        </is>
      </c>
      <c r="I612" s="0" t="inlineStr">
        <is>
          <t>NULL</t>
        </is>
      </c>
      <c r="J612" s="0" t="inlineStr">
        <is>
          <t>NULL</t>
        </is>
      </c>
      <c r="K612" s="0" t="inlineStr">
        <is>
          <t>YES! 	 c_decimal列源备映射正确，源端为sql_variant 0位	期望更改为sql_variant	实际备端为sql_variant 0位</t>
        </is>
      </c>
    </row>
    <row r="613">
      <c r="B613" s="0" t="inlineStr">
        <is>
          <t>NULL</t>
        </is>
      </c>
      <c r="C613" s="0" t="inlineStr">
        <is>
          <t>NULL</t>
        </is>
      </c>
      <c r="D613" s="0" t="inlineStr">
        <is>
          <t>NULL</t>
        </is>
      </c>
      <c r="E613" s="0" t="inlineStr">
        <is>
          <t>NULL</t>
        </is>
      </c>
      <c r="F613" s="0" t="inlineStr">
        <is>
          <t>NULL</t>
        </is>
      </c>
      <c r="G613" s="0" t="inlineStr">
        <is>
          <t>NULL</t>
        </is>
      </c>
      <c r="H613" s="0" t="inlineStr">
        <is>
          <t>NULL</t>
        </is>
      </c>
      <c r="I613" s="0" t="inlineStr">
        <is>
          <t>NULL</t>
        </is>
      </c>
      <c r="J613" s="0" t="inlineStr">
        <is>
          <t>NULL</t>
        </is>
      </c>
      <c r="K613" s="0" t="inlineStr">
        <is>
          <t>YES! 	 c_uniqueidentifier列源备映射正确，源端为sql_variant 0位	期望更改为sql_variant	实际备端为sql_variant 0位</t>
        </is>
      </c>
    </row>
    <row r="614">
      <c r="B614" s="0" t="inlineStr">
        <is>
          <t>NULL</t>
        </is>
      </c>
      <c r="C614" s="0" t="inlineStr">
        <is>
          <t>NULL</t>
        </is>
      </c>
      <c r="D614" s="0" t="inlineStr">
        <is>
          <t>NULL</t>
        </is>
      </c>
      <c r="E614" s="0" t="inlineStr">
        <is>
          <t>NULL</t>
        </is>
      </c>
      <c r="F614" s="0" t="inlineStr">
        <is>
          <t>NULL</t>
        </is>
      </c>
      <c r="G614" s="0" t="inlineStr">
        <is>
          <t>NULL</t>
        </is>
      </c>
      <c r="H614" s="0" t="inlineStr">
        <is>
          <t>NULL</t>
        </is>
      </c>
      <c r="I614" s="0" t="inlineStr">
        <is>
          <t>NULL</t>
        </is>
      </c>
      <c r="J614" s="0" t="inlineStr">
        <is>
          <t>NULL</t>
        </is>
      </c>
      <c r="K614" s="0" t="inlineStr">
        <is>
          <t>YES! 	 c_smallmoney列源备映射正确，源端为sql_variant 0位	期望更改为sql_variant	实际备端为sql_variant 0位</t>
        </is>
      </c>
    </row>
    <row r="615">
      <c r="B615" s="0" t="inlineStr">
        <is>
          <t>NULL</t>
        </is>
      </c>
      <c r="C615" s="0" t="inlineStr">
        <is>
          <t>NULL</t>
        </is>
      </c>
      <c r="D615" s="0" t="inlineStr">
        <is>
          <t>NULL</t>
        </is>
      </c>
      <c r="E615" s="0" t="inlineStr">
        <is>
          <t>NULL</t>
        </is>
      </c>
      <c r="F615" s="0" t="inlineStr">
        <is>
          <t>NULL</t>
        </is>
      </c>
      <c r="G615" s="0" t="inlineStr">
        <is>
          <t>NULL</t>
        </is>
      </c>
      <c r="H615" s="0" t="inlineStr">
        <is>
          <t>NULL</t>
        </is>
      </c>
      <c r="I615" s="0" t="inlineStr">
        <is>
          <t>NULL</t>
        </is>
      </c>
      <c r="J615" s="0" t="inlineStr">
        <is>
          <t>NULL</t>
        </is>
      </c>
      <c r="K615" s="0" t="inlineStr">
        <is>
          <t>YES! 	 c_bigint列源备映射正确，源端为sql_variant 0位	期望更改为sql_variant	实际备端为sql_variant 0位</t>
        </is>
      </c>
    </row>
    <row r="616">
      <c r="B616" s="0" t="inlineStr">
        <is>
          <t>NULL</t>
        </is>
      </c>
      <c r="C616" s="0" t="inlineStr">
        <is>
          <t>NULL</t>
        </is>
      </c>
      <c r="D616" s="0" t="inlineStr">
        <is>
          <t>NULL</t>
        </is>
      </c>
      <c r="E616" s="0" t="inlineStr">
        <is>
          <t>NULL</t>
        </is>
      </c>
      <c r="F616" s="0" t="inlineStr">
        <is>
          <t>NULL</t>
        </is>
      </c>
      <c r="G616" s="0" t="inlineStr">
        <is>
          <t>NULL</t>
        </is>
      </c>
      <c r="H616" s="0" t="inlineStr">
        <is>
          <t>NULL</t>
        </is>
      </c>
      <c r="I616" s="0" t="inlineStr">
        <is>
          <t>NULL</t>
        </is>
      </c>
      <c r="J616" s="0" t="inlineStr">
        <is>
          <t>NULL</t>
        </is>
      </c>
      <c r="K616" s="0" t="inlineStr">
        <is>
          <t>YES! 	 c_varbinary_20列源备映射正确，源端为sql_variant 0位	期望更改为sql_variant	实际备端为sql_variant 0位</t>
        </is>
      </c>
    </row>
    <row r="617">
      <c r="B617" s="0" t="inlineStr">
        <is>
          <t>NULL</t>
        </is>
      </c>
      <c r="C617" s="0" t="inlineStr">
        <is>
          <t>NULL</t>
        </is>
      </c>
      <c r="D617" s="0" t="inlineStr">
        <is>
          <t>NULL</t>
        </is>
      </c>
      <c r="E617" s="0" t="inlineStr">
        <is>
          <t>NULL</t>
        </is>
      </c>
      <c r="F617" s="0" t="inlineStr">
        <is>
          <t>NULL</t>
        </is>
      </c>
      <c r="G617" s="0" t="inlineStr">
        <is>
          <t>NULL</t>
        </is>
      </c>
      <c r="H617" s="0" t="inlineStr">
        <is>
          <t>NULL</t>
        </is>
      </c>
      <c r="I617" s="0" t="inlineStr">
        <is>
          <t>NULL</t>
        </is>
      </c>
      <c r="J617" s="0" t="inlineStr">
        <is>
          <t>NULL</t>
        </is>
      </c>
      <c r="K617" s="0" t="inlineStr">
        <is>
          <t>YES! 	 c_varchar_20列源备映射正确，源端为sql_variant 0位	期望更改为sql_variant	实际备端为sql_variant 0位</t>
        </is>
      </c>
    </row>
    <row r="618">
      <c r="B618" s="0" t="inlineStr">
        <is>
          <t>NULL</t>
        </is>
      </c>
      <c r="C618" s="0" t="inlineStr">
        <is>
          <t>NULL</t>
        </is>
      </c>
      <c r="D618" s="0" t="inlineStr">
        <is>
          <t>NULL</t>
        </is>
      </c>
      <c r="E618" s="0" t="inlineStr">
        <is>
          <t>NULL</t>
        </is>
      </c>
      <c r="F618" s="0" t="inlineStr">
        <is>
          <t>NULL</t>
        </is>
      </c>
      <c r="G618" s="0" t="inlineStr">
        <is>
          <t>NULL</t>
        </is>
      </c>
      <c r="H618" s="0" t="inlineStr">
        <is>
          <t>NULL</t>
        </is>
      </c>
      <c r="I618" s="0" t="inlineStr">
        <is>
          <t>NULL</t>
        </is>
      </c>
      <c r="J618" s="0" t="inlineStr">
        <is>
          <t>NULL</t>
        </is>
      </c>
      <c r="K618" s="0" t="inlineStr">
        <is>
          <t>YES! 	 c_binary_20列源备映射正确，源端为sql_variant 0位	期望更改为sql_variant	实际备端为sql_variant 0位</t>
        </is>
      </c>
    </row>
    <row r="619">
      <c r="B619" s="0" t="inlineStr">
        <is>
          <t>NULL</t>
        </is>
      </c>
      <c r="C619" s="0" t="inlineStr">
        <is>
          <t>NULL</t>
        </is>
      </c>
      <c r="D619" s="0" t="inlineStr">
        <is>
          <t>NULL</t>
        </is>
      </c>
      <c r="E619" s="0" t="inlineStr">
        <is>
          <t>NULL</t>
        </is>
      </c>
      <c r="F619" s="0" t="inlineStr">
        <is>
          <t>NULL</t>
        </is>
      </c>
      <c r="G619" s="0" t="inlineStr">
        <is>
          <t>NULL</t>
        </is>
      </c>
      <c r="H619" s="0" t="inlineStr">
        <is>
          <t>NULL</t>
        </is>
      </c>
      <c r="I619" s="0" t="inlineStr">
        <is>
          <t>NULL</t>
        </is>
      </c>
      <c r="J619" s="0" t="inlineStr">
        <is>
          <t>NULL</t>
        </is>
      </c>
      <c r="K619" s="0" t="inlineStr">
        <is>
          <t>YES! 	 c_char_20列源备映射正确，源端为sql_variant 0位	期望更改为sql_variant	实际备端为sql_variant 0位</t>
        </is>
      </c>
    </row>
    <row r="620">
      <c r="B620" s="0" t="inlineStr">
        <is>
          <t>NULL</t>
        </is>
      </c>
      <c r="C620" s="0" t="inlineStr">
        <is>
          <t>NULL</t>
        </is>
      </c>
      <c r="D620" s="0" t="inlineStr">
        <is>
          <t>NULL</t>
        </is>
      </c>
      <c r="E620" s="0" t="inlineStr">
        <is>
          <t>NULL</t>
        </is>
      </c>
      <c r="F620" s="0" t="inlineStr">
        <is>
          <t>NULL</t>
        </is>
      </c>
      <c r="G620" s="0" t="inlineStr">
        <is>
          <t>NULL</t>
        </is>
      </c>
      <c r="H620" s="0" t="inlineStr">
        <is>
          <t>NULL</t>
        </is>
      </c>
      <c r="I620" s="0" t="inlineStr">
        <is>
          <t>NULL</t>
        </is>
      </c>
      <c r="J620" s="0" t="inlineStr">
        <is>
          <t>NULL</t>
        </is>
      </c>
      <c r="K620" s="0" t="inlineStr">
        <is>
          <t>YES! 	 c_nvarchar_20列源备映射正确，源端为sql_variant 0位	期望更改为sql_variant	实际备端为sql_variant 0位</t>
        </is>
      </c>
    </row>
    <row r="621">
      <c r="B621" s="0" t="inlineStr">
        <is>
          <t>NULL</t>
        </is>
      </c>
      <c r="C621" s="0" t="inlineStr">
        <is>
          <t>NULL</t>
        </is>
      </c>
      <c r="D621" s="0" t="inlineStr">
        <is>
          <t>NULL</t>
        </is>
      </c>
      <c r="E621" s="0" t="inlineStr">
        <is>
          <t>NULL</t>
        </is>
      </c>
      <c r="F621" s="0" t="inlineStr">
        <is>
          <t>NULL</t>
        </is>
      </c>
      <c r="G621" s="0" t="inlineStr">
        <is>
          <t>NULL</t>
        </is>
      </c>
      <c r="H621" s="0" t="inlineStr">
        <is>
          <t>NULL</t>
        </is>
      </c>
      <c r="I621" s="0" t="inlineStr">
        <is>
          <t>NULL</t>
        </is>
      </c>
      <c r="J621" s="0" t="inlineStr">
        <is>
          <t>NULL</t>
        </is>
      </c>
      <c r="K621" s="0" t="inlineStr">
        <is>
          <t>YES! 	 c_nchar_20列源备映射正确，源端为sql_variant 0位	期望更改为sql_variant	实际备端为sql_variant 0位</t>
        </is>
      </c>
    </row>
    <row r="622">
      <c r="B622" s="0" t="inlineStr">
        <is>
          <t>NULL</t>
        </is>
      </c>
      <c r="C622" s="0" t="inlineStr">
        <is>
          <t>NULL</t>
        </is>
      </c>
      <c r="D622" s="0" t="inlineStr">
        <is>
          <t>NULL</t>
        </is>
      </c>
      <c r="E622" s="0" t="inlineStr">
        <is>
          <t>NULL</t>
        </is>
      </c>
      <c r="F622" s="0" t="inlineStr">
        <is>
          <t>NULL</t>
        </is>
      </c>
      <c r="G622" s="0" t="inlineStr">
        <is>
          <t>NULL</t>
        </is>
      </c>
      <c r="H622" s="0" t="inlineStr">
        <is>
          <t>NULL</t>
        </is>
      </c>
      <c r="I622" s="0" t="inlineStr">
        <is>
          <t>NULL</t>
        </is>
      </c>
      <c r="J622" s="0" t="inlineStr">
        <is>
          <t>NULL</t>
        </is>
      </c>
      <c r="K622" s="0" t="inlineStr">
        <is>
          <t>YES! 	 c_timestamp列源备映射正确，源端为timestamp None位	期望更改为timestamp	实际备端为timestamp None位</t>
        </is>
      </c>
    </row>
    <row r="623">
      <c r="A623" s="0" t="inlineStr">
        <is>
          <t>info_varchar_dml_batch1_pk_urp1</t>
        </is>
      </c>
      <c r="K623" s="0" t="inlineStr">
        <is>
          <t>[0;34m info_varchar_dml_batch1_pk_urp1 [0m源备字段数相同，源端字段：4 	备端字段4</t>
        </is>
      </c>
      <c r="W623" s="0" t="inlineStr">
        <is>
          <t>YES 源备无差异</t>
        </is>
      </c>
      <c r="X623" s="0">
        <f>A623</f>
        <v/>
      </c>
    </row>
    <row r="624">
      <c r="B624" s="0" t="inlineStr">
        <is>
          <t>YES</t>
        </is>
      </c>
      <c r="C624" s="0" t="inlineStr">
        <is>
          <t>NULL</t>
        </is>
      </c>
      <c r="D624" s="0" t="inlineStr">
        <is>
          <t>NULL</t>
        </is>
      </c>
      <c r="E624" s="0" t="inlineStr">
        <is>
          <t>NULL</t>
        </is>
      </c>
      <c r="F624" s="0" t="inlineStr">
        <is>
          <t>NULL</t>
        </is>
      </c>
      <c r="G624" s="0" t="inlineStr">
        <is>
          <t>NULL</t>
        </is>
      </c>
      <c r="H624" s="0" t="inlineStr">
        <is>
          <t>NULL</t>
        </is>
      </c>
      <c r="I624" s="0" t="inlineStr">
        <is>
          <t>YES!PK__info_var__3213E83F95050969</t>
        </is>
      </c>
      <c r="J624" s="0" t="inlineStr">
        <is>
          <t>YES! 主键相关索引</t>
        </is>
      </c>
      <c r="K624" s="0" t="inlineStr">
        <is>
          <t>YES! 	 id列源备映射正确，源端为int None位	期望更改为int	实际备端为int None位</t>
        </is>
      </c>
    </row>
    <row r="625">
      <c r="B625" s="0" t="inlineStr">
        <is>
          <t>NULL</t>
        </is>
      </c>
      <c r="C625" s="0" t="inlineStr">
        <is>
          <t>NULL</t>
        </is>
      </c>
      <c r="D625" s="0" t="inlineStr">
        <is>
          <t>NULL</t>
        </is>
      </c>
      <c r="E625" s="0" t="inlineStr">
        <is>
          <t>NULL</t>
        </is>
      </c>
      <c r="F625" s="0" t="inlineStr">
        <is>
          <t>NULL</t>
        </is>
      </c>
      <c r="G625" s="0" t="inlineStr">
        <is>
          <t>NULL</t>
        </is>
      </c>
      <c r="H625" s="0" t="inlineStr">
        <is>
          <t>NULL</t>
        </is>
      </c>
      <c r="I625" s="0" t="inlineStr">
        <is>
          <t>NULL</t>
        </is>
      </c>
      <c r="J625" s="0" t="inlineStr">
        <is>
          <t>NULL</t>
        </is>
      </c>
      <c r="K625" s="0" t="inlineStr">
        <is>
          <t>YES! 	 c_varchar列源备映射正确，源端为varchar 1位	期望更改为varchar(n)	实际备端为varchar 1位</t>
        </is>
      </c>
    </row>
    <row r="626">
      <c r="B626" s="0" t="inlineStr">
        <is>
          <t>NULL</t>
        </is>
      </c>
      <c r="C626" s="0" t="inlineStr">
        <is>
          <t>NULL</t>
        </is>
      </c>
      <c r="D626" s="0" t="inlineStr">
        <is>
          <t>NULL</t>
        </is>
      </c>
      <c r="E626" s="0" t="inlineStr">
        <is>
          <t>NULL</t>
        </is>
      </c>
      <c r="F626" s="0" t="inlineStr">
        <is>
          <t>NULL</t>
        </is>
      </c>
      <c r="G626" s="0" t="inlineStr">
        <is>
          <t>NULL</t>
        </is>
      </c>
      <c r="H626" s="0" t="inlineStr">
        <is>
          <t>NULL</t>
        </is>
      </c>
      <c r="I626" s="0" t="inlineStr">
        <is>
          <t>NULL</t>
        </is>
      </c>
      <c r="J626" s="0" t="inlineStr">
        <is>
          <t>NULL</t>
        </is>
      </c>
      <c r="K626" s="0" t="inlineStr">
        <is>
          <t>YES! 	 c_varchar20列源备映射正确，源端为varchar 20位	期望更改为varchar(n)	实际备端为varchar 20位</t>
        </is>
      </c>
    </row>
    <row r="627">
      <c r="B627" s="0" t="inlineStr">
        <is>
          <t>NULL</t>
        </is>
      </c>
      <c r="C627" s="0" t="inlineStr">
        <is>
          <t>NULL</t>
        </is>
      </c>
      <c r="D627" s="0" t="inlineStr">
        <is>
          <t>NULL</t>
        </is>
      </c>
      <c r="E627" s="0" t="inlineStr">
        <is>
          <t>NULL</t>
        </is>
      </c>
      <c r="F627" s="0" t="inlineStr">
        <is>
          <t>NULL</t>
        </is>
      </c>
      <c r="G627" s="0" t="inlineStr">
        <is>
          <t>NULL</t>
        </is>
      </c>
      <c r="H627" s="0" t="inlineStr">
        <is>
          <t>NULL</t>
        </is>
      </c>
      <c r="I627" s="0" t="inlineStr">
        <is>
          <t>NULL</t>
        </is>
      </c>
      <c r="J627" s="0" t="inlineStr">
        <is>
          <t>NULL</t>
        </is>
      </c>
      <c r="K627" s="0" t="inlineStr">
        <is>
          <t>YES! 	 c_varchar7000列源备映射正确，源端为varchar 7000位	期望更改为varchar(n)	实际备端为varchar 7000位</t>
        </is>
      </c>
    </row>
    <row r="628">
      <c r="A628" s="0" t="inlineStr">
        <is>
          <t>info_nvarchar_dml_single_pk_irp</t>
        </is>
      </c>
      <c r="K628" s="0" t="inlineStr">
        <is>
          <t>[0;34m info_nvarchar_dml_single_pk_irp [0m源备字段数相同，源端字段：4 	备端字段4</t>
        </is>
      </c>
      <c r="W628" s="0" t="inlineStr">
        <is>
          <t>YES 源备无差异</t>
        </is>
      </c>
      <c r="X628" s="0">
        <f>A628</f>
        <v/>
      </c>
    </row>
    <row r="629">
      <c r="B629" s="0" t="inlineStr">
        <is>
          <t>YES</t>
        </is>
      </c>
      <c r="C629" s="0" t="inlineStr">
        <is>
          <t>NULL</t>
        </is>
      </c>
      <c r="D629" s="0" t="inlineStr">
        <is>
          <t>NULL</t>
        </is>
      </c>
      <c r="E629" s="0" t="inlineStr">
        <is>
          <t>NULL</t>
        </is>
      </c>
      <c r="F629" s="0" t="inlineStr">
        <is>
          <t>NULL</t>
        </is>
      </c>
      <c r="G629" s="0" t="inlineStr">
        <is>
          <t>NULL</t>
        </is>
      </c>
      <c r="H629" s="0" t="inlineStr">
        <is>
          <t>NULL</t>
        </is>
      </c>
      <c r="I629" s="0" t="inlineStr">
        <is>
          <t>YES!PK__info_nva__3213E83F20750FC0</t>
        </is>
      </c>
      <c r="J629" s="0" t="inlineStr">
        <is>
          <t>YES! 主键相关索引</t>
        </is>
      </c>
      <c r="K629" s="0" t="inlineStr">
        <is>
          <t>YES! 	 id列源备映射正确，源端为int None位	期望更改为int	实际备端为int None位</t>
        </is>
      </c>
    </row>
    <row r="630">
      <c r="B630" s="0" t="inlineStr">
        <is>
          <t>NULL</t>
        </is>
      </c>
      <c r="C630" s="0" t="inlineStr">
        <is>
          <t>NULL</t>
        </is>
      </c>
      <c r="D630" s="0" t="inlineStr">
        <is>
          <t>NULL</t>
        </is>
      </c>
      <c r="E630" s="0" t="inlineStr">
        <is>
          <t>NULL</t>
        </is>
      </c>
      <c r="F630" s="0" t="inlineStr">
        <is>
          <t>NULL</t>
        </is>
      </c>
      <c r="G630" s="0" t="inlineStr">
        <is>
          <t>NULL</t>
        </is>
      </c>
      <c r="H630" s="0" t="inlineStr">
        <is>
          <t>NULL</t>
        </is>
      </c>
      <c r="I630" s="0" t="inlineStr">
        <is>
          <t>NULL</t>
        </is>
      </c>
      <c r="J630" s="0" t="inlineStr">
        <is>
          <t>NULL</t>
        </is>
      </c>
      <c r="K630" s="0" t="inlineStr">
        <is>
          <t>YES! 	 c_nvarchar列源备映射正确，源端为nvarchar 2位	期望更改为nvarchar(n)	实际备端为nvarchar 2位</t>
        </is>
      </c>
    </row>
    <row r="631">
      <c r="B631" s="0" t="inlineStr">
        <is>
          <t>NULL</t>
        </is>
      </c>
      <c r="C631" s="0" t="inlineStr">
        <is>
          <t>NULL</t>
        </is>
      </c>
      <c r="D631" s="0" t="inlineStr">
        <is>
          <t>NULL</t>
        </is>
      </c>
      <c r="E631" s="0" t="inlineStr">
        <is>
          <t>NULL</t>
        </is>
      </c>
      <c r="F631" s="0" t="inlineStr">
        <is>
          <t>NULL</t>
        </is>
      </c>
      <c r="G631" s="0" t="inlineStr">
        <is>
          <t>NULL</t>
        </is>
      </c>
      <c r="H631" s="0" t="inlineStr">
        <is>
          <t>NULL</t>
        </is>
      </c>
      <c r="I631" s="0" t="inlineStr">
        <is>
          <t>NULL</t>
        </is>
      </c>
      <c r="J631" s="0" t="inlineStr">
        <is>
          <t>NULL</t>
        </is>
      </c>
      <c r="K631" s="0" t="inlineStr">
        <is>
          <t>YES! 	 c_nvarchar20列源备映射正确，源端为nvarchar 40位	期望更改为nvarchar(n)	实际备端为nvarchar 40位</t>
        </is>
      </c>
    </row>
    <row r="632">
      <c r="B632" s="0" t="inlineStr">
        <is>
          <t>NULL</t>
        </is>
      </c>
      <c r="C632" s="0" t="inlineStr">
        <is>
          <t>NULL</t>
        </is>
      </c>
      <c r="D632" s="0" t="inlineStr">
        <is>
          <t>NULL</t>
        </is>
      </c>
      <c r="E632" s="0" t="inlineStr">
        <is>
          <t>NULL</t>
        </is>
      </c>
      <c r="F632" s="0" t="inlineStr">
        <is>
          <t>NULL</t>
        </is>
      </c>
      <c r="G632" s="0" t="inlineStr">
        <is>
          <t>NULL</t>
        </is>
      </c>
      <c r="H632" s="0" t="inlineStr">
        <is>
          <t>NULL</t>
        </is>
      </c>
      <c r="I632" s="0" t="inlineStr">
        <is>
          <t>NULL</t>
        </is>
      </c>
      <c r="J632" s="0" t="inlineStr">
        <is>
          <t>NULL</t>
        </is>
      </c>
      <c r="K632" s="0" t="inlineStr">
        <is>
          <t>YES! 	 c_nvarchar4000列源备映射正确，源端为nvarchar 8000位	期望更改为nvarchar(n)	实际备端为nvarchar 8000位</t>
        </is>
      </c>
    </row>
    <row r="633">
      <c r="A633" s="0" t="inlineStr">
        <is>
          <t>info_datetime_dml_batch1_pk_irp1</t>
        </is>
      </c>
      <c r="K633" s="0" t="inlineStr">
        <is>
          <t>[0;34m info_datetime_dml_batch1_pk_irp1 [0m源备字段数相同，源端字段：2 	备端字段2</t>
        </is>
      </c>
      <c r="W633" s="0" t="inlineStr">
        <is>
          <t>YES 源备无差异</t>
        </is>
      </c>
      <c r="X633" s="0">
        <f>A633</f>
        <v/>
      </c>
    </row>
    <row r="634">
      <c r="B634" s="0" t="inlineStr">
        <is>
          <t>YES</t>
        </is>
      </c>
      <c r="C634" s="0" t="inlineStr">
        <is>
          <t>NULL</t>
        </is>
      </c>
      <c r="D634" s="0" t="inlineStr">
        <is>
          <t>NULL</t>
        </is>
      </c>
      <c r="E634" s="0" t="inlineStr">
        <is>
          <t>NULL</t>
        </is>
      </c>
      <c r="F634" s="0" t="inlineStr">
        <is>
          <t>NULL</t>
        </is>
      </c>
      <c r="G634" s="0" t="inlineStr">
        <is>
          <t>NULL</t>
        </is>
      </c>
      <c r="H634" s="0" t="inlineStr">
        <is>
          <t>NULL</t>
        </is>
      </c>
      <c r="I634" s="0" t="inlineStr">
        <is>
          <t>YES!PK__info_dat__3213E83F68737736</t>
        </is>
      </c>
      <c r="J634" s="0" t="inlineStr">
        <is>
          <t>YES! 主键相关索引</t>
        </is>
      </c>
      <c r="K634" s="0" t="inlineStr">
        <is>
          <t>YES! 	 id列源备映射正确，源端为int None位	期望更改为int	实际备端为int None位</t>
        </is>
      </c>
    </row>
    <row r="635">
      <c r="B635" s="0" t="inlineStr">
        <is>
          <t>NULL</t>
        </is>
      </c>
      <c r="C635" s="0" t="inlineStr">
        <is>
          <t>NULL</t>
        </is>
      </c>
      <c r="D635" s="0" t="inlineStr">
        <is>
          <t>NULL</t>
        </is>
      </c>
      <c r="E635" s="0" t="inlineStr">
        <is>
          <t>NULL</t>
        </is>
      </c>
      <c r="F635" s="0" t="inlineStr">
        <is>
          <t>NULL</t>
        </is>
      </c>
      <c r="G635" s="0" t="inlineStr">
        <is>
          <t>NULL</t>
        </is>
      </c>
      <c r="H635" s="0" t="inlineStr">
        <is>
          <t>NULL</t>
        </is>
      </c>
      <c r="I635" s="0" t="inlineStr">
        <is>
          <t>NULL</t>
        </is>
      </c>
      <c r="J635" s="0" t="inlineStr">
        <is>
          <t>NULL</t>
        </is>
      </c>
      <c r="K635" s="0" t="inlineStr">
        <is>
          <t>YES! 	 c_datetime列源备映射正确，源端为datetime None位	期望更改为datetime	实际备端为datetime None位</t>
        </is>
      </c>
    </row>
    <row r="636">
      <c r="A636" s="0" t="inlineStr">
        <is>
          <t>info_varchar_dml_batch1_pk_urp2</t>
        </is>
      </c>
      <c r="K636" s="0" t="inlineStr">
        <is>
          <t>[0;34m info_varchar_dml_batch1_pk_urp2 [0m源备字段数相同，源端字段：4 	备端字段4</t>
        </is>
      </c>
      <c r="W636" s="0" t="inlineStr">
        <is>
          <t>YES 源备无差异</t>
        </is>
      </c>
      <c r="X636" s="0">
        <f>A636</f>
        <v/>
      </c>
    </row>
    <row r="637">
      <c r="B637" s="0" t="inlineStr">
        <is>
          <t>YES</t>
        </is>
      </c>
      <c r="C637" s="0" t="inlineStr">
        <is>
          <t>NULL</t>
        </is>
      </c>
      <c r="D637" s="0" t="inlineStr">
        <is>
          <t>NULL</t>
        </is>
      </c>
      <c r="E637" s="0" t="inlineStr">
        <is>
          <t>NULL</t>
        </is>
      </c>
      <c r="F637" s="0" t="inlineStr">
        <is>
          <t>NULL</t>
        </is>
      </c>
      <c r="G637" s="0" t="inlineStr">
        <is>
          <t>NULL</t>
        </is>
      </c>
      <c r="H637" s="0" t="inlineStr">
        <is>
          <t>NULL</t>
        </is>
      </c>
      <c r="I637" s="0" t="inlineStr">
        <is>
          <t>YES!PK__info_var__3213E83F4CFCFE42</t>
        </is>
      </c>
      <c r="J637" s="0" t="inlineStr">
        <is>
          <t>YES! 主键相关索引</t>
        </is>
      </c>
      <c r="K637" s="0" t="inlineStr">
        <is>
          <t>YES! 	 id列源备映射正确，源端为int None位	期望更改为int	实际备端为int None位</t>
        </is>
      </c>
    </row>
    <row r="638">
      <c r="B638" s="0" t="inlineStr">
        <is>
          <t>NULL</t>
        </is>
      </c>
      <c r="C638" s="0" t="inlineStr">
        <is>
          <t>NULL</t>
        </is>
      </c>
      <c r="D638" s="0" t="inlineStr">
        <is>
          <t>NULL</t>
        </is>
      </c>
      <c r="E638" s="0" t="inlineStr">
        <is>
          <t>NULL</t>
        </is>
      </c>
      <c r="F638" s="0" t="inlineStr">
        <is>
          <t>NULL</t>
        </is>
      </c>
      <c r="G638" s="0" t="inlineStr">
        <is>
          <t>NULL</t>
        </is>
      </c>
      <c r="H638" s="0" t="inlineStr">
        <is>
          <t>NULL</t>
        </is>
      </c>
      <c r="I638" s="0" t="inlineStr">
        <is>
          <t>NULL</t>
        </is>
      </c>
      <c r="J638" s="0" t="inlineStr">
        <is>
          <t>NULL</t>
        </is>
      </c>
      <c r="K638" s="0" t="inlineStr">
        <is>
          <t>YES! 	 c_varchar列源备映射正确，源端为varchar 1位	期望更改为varchar(n)	实际备端为varchar 1位</t>
        </is>
      </c>
    </row>
    <row r="639">
      <c r="B639" s="0" t="inlineStr">
        <is>
          <t>NULL</t>
        </is>
      </c>
      <c r="C639" s="0" t="inlineStr">
        <is>
          <t>NULL</t>
        </is>
      </c>
      <c r="D639" s="0" t="inlineStr">
        <is>
          <t>NULL</t>
        </is>
      </c>
      <c r="E639" s="0" t="inlineStr">
        <is>
          <t>NULL</t>
        </is>
      </c>
      <c r="F639" s="0" t="inlineStr">
        <is>
          <t>NULL</t>
        </is>
      </c>
      <c r="G639" s="0" t="inlineStr">
        <is>
          <t>NULL</t>
        </is>
      </c>
      <c r="H639" s="0" t="inlineStr">
        <is>
          <t>NULL</t>
        </is>
      </c>
      <c r="I639" s="0" t="inlineStr">
        <is>
          <t>NULL</t>
        </is>
      </c>
      <c r="J639" s="0" t="inlineStr">
        <is>
          <t>NULL</t>
        </is>
      </c>
      <c r="K639" s="0" t="inlineStr">
        <is>
          <t>YES! 	 c_varchar20列源备映射正确，源端为varchar 20位	期望更改为varchar(n)	实际备端为varchar 20位</t>
        </is>
      </c>
    </row>
    <row r="640">
      <c r="B640" s="0" t="inlineStr">
        <is>
          <t>NULL</t>
        </is>
      </c>
      <c r="C640" s="0" t="inlineStr">
        <is>
          <t>NULL</t>
        </is>
      </c>
      <c r="D640" s="0" t="inlineStr">
        <is>
          <t>NULL</t>
        </is>
      </c>
      <c r="E640" s="0" t="inlineStr">
        <is>
          <t>NULL</t>
        </is>
      </c>
      <c r="F640" s="0" t="inlineStr">
        <is>
          <t>NULL</t>
        </is>
      </c>
      <c r="G640" s="0" t="inlineStr">
        <is>
          <t>NULL</t>
        </is>
      </c>
      <c r="H640" s="0" t="inlineStr">
        <is>
          <t>NULL</t>
        </is>
      </c>
      <c r="I640" s="0" t="inlineStr">
        <is>
          <t>NULL</t>
        </is>
      </c>
      <c r="J640" s="0" t="inlineStr">
        <is>
          <t>NULL</t>
        </is>
      </c>
      <c r="K640" s="0" t="inlineStr">
        <is>
          <t>YES! 	 c_varchar7000列源备映射正确，源端为varchar 7000位	期望更改为varchar(n)	实际备端为varchar 7000位</t>
        </is>
      </c>
    </row>
    <row r="641">
      <c r="A641" s="0" t="inlineStr">
        <is>
          <t>info_text_dml_single_pk_irp</t>
        </is>
      </c>
      <c r="K641" s="0" t="inlineStr">
        <is>
          <t>[0;34m info_text_dml_single_pk_irp [0m源备字段数相同，源端字段：3 	备端字段3</t>
        </is>
      </c>
      <c r="W641" s="0" t="inlineStr">
        <is>
          <t>YES 源备无差异</t>
        </is>
      </c>
      <c r="X641" s="0">
        <f>A641</f>
        <v/>
      </c>
    </row>
    <row r="642">
      <c r="B642" s="0" t="inlineStr">
        <is>
          <t>YES</t>
        </is>
      </c>
      <c r="C642" s="0" t="inlineStr">
        <is>
          <t>NULL</t>
        </is>
      </c>
      <c r="D642" s="0" t="inlineStr">
        <is>
          <t>NULL</t>
        </is>
      </c>
      <c r="E642" s="0" t="inlineStr">
        <is>
          <t>NULL</t>
        </is>
      </c>
      <c r="F642" s="0" t="inlineStr">
        <is>
          <t>NULL</t>
        </is>
      </c>
      <c r="G642" s="0" t="inlineStr">
        <is>
          <t>NULL</t>
        </is>
      </c>
      <c r="H642" s="0" t="inlineStr">
        <is>
          <t>NULL</t>
        </is>
      </c>
      <c r="I642" s="0" t="inlineStr">
        <is>
          <t>YES!PK__info_tex__3213E83F50700C1A</t>
        </is>
      </c>
      <c r="J642" s="0" t="inlineStr">
        <is>
          <t>YES! 主键相关索引</t>
        </is>
      </c>
      <c r="K642" s="0" t="inlineStr">
        <is>
          <t>YES! 	 id列源备映射正确，源端为int None位	期望更改为int	实际备端为int None位</t>
        </is>
      </c>
    </row>
    <row r="643">
      <c r="B643" s="0" t="inlineStr">
        <is>
          <t>NULL</t>
        </is>
      </c>
      <c r="C643" s="0" t="inlineStr">
        <is>
          <t>NULL</t>
        </is>
      </c>
      <c r="D643" s="0" t="inlineStr">
        <is>
          <t>NULL</t>
        </is>
      </c>
      <c r="E643" s="0" t="inlineStr">
        <is>
          <t>NULL</t>
        </is>
      </c>
      <c r="F643" s="0" t="inlineStr">
        <is>
          <t>NULL</t>
        </is>
      </c>
      <c r="G643" s="0" t="inlineStr">
        <is>
          <t>NULL</t>
        </is>
      </c>
      <c r="H643" s="0" t="inlineStr">
        <is>
          <t>NULL</t>
        </is>
      </c>
      <c r="I643" s="0" t="inlineStr">
        <is>
          <t>NULL</t>
        </is>
      </c>
      <c r="J643" s="0" t="inlineStr">
        <is>
          <t>NULL</t>
        </is>
      </c>
      <c r="K643" s="0" t="inlineStr">
        <is>
          <t>YES! 	 c_text列源备映射正确，源端为text 2147483647位	期望更改为text	实际备端为text 2147483647位</t>
        </is>
      </c>
    </row>
    <row r="644">
      <c r="B644" s="0" t="inlineStr">
        <is>
          <t>NULL</t>
        </is>
      </c>
      <c r="C644" s="0" t="inlineStr">
        <is>
          <t>NULL</t>
        </is>
      </c>
      <c r="D644" s="0" t="inlineStr">
        <is>
          <t>NULL</t>
        </is>
      </c>
      <c r="E644" s="0" t="inlineStr">
        <is>
          <t>NULL</t>
        </is>
      </c>
      <c r="F644" s="0" t="inlineStr">
        <is>
          <t>NULL</t>
        </is>
      </c>
      <c r="G644" s="0" t="inlineStr">
        <is>
          <t>NULL</t>
        </is>
      </c>
      <c r="H644" s="0" t="inlineStr">
        <is>
          <t>NULL</t>
        </is>
      </c>
      <c r="I644" s="0" t="inlineStr">
        <is>
          <t>NULL</t>
        </is>
      </c>
      <c r="J644" s="0" t="inlineStr">
        <is>
          <t>NULL</t>
        </is>
      </c>
      <c r="K644" s="0" t="inlineStr">
        <is>
          <t>YES! 	 c_ntext列源备映射正确，源端为ntext 2147483646位	期望更改为ntext	实际备端为ntext 2147483646位</t>
        </is>
      </c>
    </row>
    <row r="645">
      <c r="A645" s="0" t="inlineStr">
        <is>
          <t>info_datetime_dml_batch1_pk_irp2</t>
        </is>
      </c>
      <c r="K645" s="0" t="inlineStr">
        <is>
          <t>[0;34m info_datetime_dml_batch1_pk_irp2 [0m源备字段数相同，源端字段：2 	备端字段2</t>
        </is>
      </c>
      <c r="W645" s="0" t="inlineStr">
        <is>
          <t>YES 源备无差异</t>
        </is>
      </c>
      <c r="X645" s="0">
        <f>A645</f>
        <v/>
      </c>
    </row>
    <row r="646">
      <c r="B646" s="0" t="inlineStr">
        <is>
          <t>YES</t>
        </is>
      </c>
      <c r="C646" s="0" t="inlineStr">
        <is>
          <t>NULL</t>
        </is>
      </c>
      <c r="D646" s="0" t="inlineStr">
        <is>
          <t>NULL</t>
        </is>
      </c>
      <c r="E646" s="0" t="inlineStr">
        <is>
          <t>NULL</t>
        </is>
      </c>
      <c r="F646" s="0" t="inlineStr">
        <is>
          <t>NULL</t>
        </is>
      </c>
      <c r="G646" s="0" t="inlineStr">
        <is>
          <t>NULL</t>
        </is>
      </c>
      <c r="H646" s="0" t="inlineStr">
        <is>
          <t>NULL</t>
        </is>
      </c>
      <c r="I646" s="0" t="inlineStr">
        <is>
          <t>YES!PK__info_dat__3213E83F21CD4C86</t>
        </is>
      </c>
      <c r="J646" s="0" t="inlineStr">
        <is>
          <t>YES! 主键相关索引</t>
        </is>
      </c>
      <c r="K646" s="0" t="inlineStr">
        <is>
          <t>YES! 	 id列源备映射正确，源端为int None位	期望更改为int	实际备端为int None位</t>
        </is>
      </c>
    </row>
    <row r="647">
      <c r="B647" s="0" t="inlineStr">
        <is>
          <t>NULL</t>
        </is>
      </c>
      <c r="C647" s="0" t="inlineStr">
        <is>
          <t>NULL</t>
        </is>
      </c>
      <c r="D647" s="0" t="inlineStr">
        <is>
          <t>NULL</t>
        </is>
      </c>
      <c r="E647" s="0" t="inlineStr">
        <is>
          <t>NULL</t>
        </is>
      </c>
      <c r="F647" s="0" t="inlineStr">
        <is>
          <t>NULL</t>
        </is>
      </c>
      <c r="G647" s="0" t="inlineStr">
        <is>
          <t>NULL</t>
        </is>
      </c>
      <c r="H647" s="0" t="inlineStr">
        <is>
          <t>NULL</t>
        </is>
      </c>
      <c r="I647" s="0" t="inlineStr">
        <is>
          <t>NULL</t>
        </is>
      </c>
      <c r="J647" s="0" t="inlineStr">
        <is>
          <t>NULL</t>
        </is>
      </c>
      <c r="K647" s="0" t="inlineStr">
        <is>
          <t>YES! 	 c_datetime列源备映射正确，源端为datetime None位	期望更改为datetime	实际备端为datetime None位</t>
        </is>
      </c>
    </row>
    <row r="648">
      <c r="A648" s="0" t="inlineStr">
        <is>
          <t>info_nvarchar_dml_single_pk_urp</t>
        </is>
      </c>
      <c r="K648" s="0" t="inlineStr">
        <is>
          <t>[0;34m info_nvarchar_dml_single_pk_urp [0m源备字段数相同，源端字段：4 	备端字段4</t>
        </is>
      </c>
      <c r="W648" s="0" t="inlineStr">
        <is>
          <t>YES 源备无差异</t>
        </is>
      </c>
      <c r="X648" s="0">
        <f>A648</f>
        <v/>
      </c>
    </row>
    <row r="649">
      <c r="B649" s="0" t="inlineStr">
        <is>
          <t>YES</t>
        </is>
      </c>
      <c r="C649" s="0" t="inlineStr">
        <is>
          <t>NULL</t>
        </is>
      </c>
      <c r="D649" s="0" t="inlineStr">
        <is>
          <t>NULL</t>
        </is>
      </c>
      <c r="E649" s="0" t="inlineStr">
        <is>
          <t>NULL</t>
        </is>
      </c>
      <c r="F649" s="0" t="inlineStr">
        <is>
          <t>NULL</t>
        </is>
      </c>
      <c r="G649" s="0" t="inlineStr">
        <is>
          <t>NULL</t>
        </is>
      </c>
      <c r="H649" s="0" t="inlineStr">
        <is>
          <t>NULL</t>
        </is>
      </c>
      <c r="I649" s="0" t="inlineStr">
        <is>
          <t>YES!PK__info_nva__3213E83F53891649</t>
        </is>
      </c>
      <c r="J649" s="0" t="inlineStr">
        <is>
          <t>YES! 主键相关索引</t>
        </is>
      </c>
      <c r="K649" s="0" t="inlineStr">
        <is>
          <t>YES! 	 id列源备映射正确，源端为int None位	期望更改为int	实际备端为int None位</t>
        </is>
      </c>
    </row>
    <row r="650">
      <c r="B650" s="0" t="inlineStr">
        <is>
          <t>NULL</t>
        </is>
      </c>
      <c r="C650" s="0" t="inlineStr">
        <is>
          <t>NULL</t>
        </is>
      </c>
      <c r="D650" s="0" t="inlineStr">
        <is>
          <t>NULL</t>
        </is>
      </c>
      <c r="E650" s="0" t="inlineStr">
        <is>
          <t>NULL</t>
        </is>
      </c>
      <c r="F650" s="0" t="inlineStr">
        <is>
          <t>NULL</t>
        </is>
      </c>
      <c r="G650" s="0" t="inlineStr">
        <is>
          <t>NULL</t>
        </is>
      </c>
      <c r="H650" s="0" t="inlineStr">
        <is>
          <t>NULL</t>
        </is>
      </c>
      <c r="I650" s="0" t="inlineStr">
        <is>
          <t>NULL</t>
        </is>
      </c>
      <c r="J650" s="0" t="inlineStr">
        <is>
          <t>NULL</t>
        </is>
      </c>
      <c r="K650" s="0" t="inlineStr">
        <is>
          <t>YES! 	 c_nvarchar列源备映射正确，源端为nvarchar 2位	期望更改为nvarchar(n)	实际备端为nvarchar 2位</t>
        </is>
      </c>
    </row>
    <row r="651">
      <c r="B651" s="0" t="inlineStr">
        <is>
          <t>NULL</t>
        </is>
      </c>
      <c r="C651" s="0" t="inlineStr">
        <is>
          <t>NULL</t>
        </is>
      </c>
      <c r="D651" s="0" t="inlineStr">
        <is>
          <t>NULL</t>
        </is>
      </c>
      <c r="E651" s="0" t="inlineStr">
        <is>
          <t>NULL</t>
        </is>
      </c>
      <c r="F651" s="0" t="inlineStr">
        <is>
          <t>NULL</t>
        </is>
      </c>
      <c r="G651" s="0" t="inlineStr">
        <is>
          <t>NULL</t>
        </is>
      </c>
      <c r="H651" s="0" t="inlineStr">
        <is>
          <t>NULL</t>
        </is>
      </c>
      <c r="I651" s="0" t="inlineStr">
        <is>
          <t>NULL</t>
        </is>
      </c>
      <c r="J651" s="0" t="inlineStr">
        <is>
          <t>NULL</t>
        </is>
      </c>
      <c r="K651" s="0" t="inlineStr">
        <is>
          <t>YES! 	 c_nvarchar20列源备映射正确，源端为nvarchar 40位	期望更改为nvarchar(n)	实际备端为nvarchar 40位</t>
        </is>
      </c>
    </row>
    <row r="652">
      <c r="B652" s="0" t="inlineStr">
        <is>
          <t>NULL</t>
        </is>
      </c>
      <c r="C652" s="0" t="inlineStr">
        <is>
          <t>NULL</t>
        </is>
      </c>
      <c r="D652" s="0" t="inlineStr">
        <is>
          <t>NULL</t>
        </is>
      </c>
      <c r="E652" s="0" t="inlineStr">
        <is>
          <t>NULL</t>
        </is>
      </c>
      <c r="F652" s="0" t="inlineStr">
        <is>
          <t>NULL</t>
        </is>
      </c>
      <c r="G652" s="0" t="inlineStr">
        <is>
          <t>NULL</t>
        </is>
      </c>
      <c r="H652" s="0" t="inlineStr">
        <is>
          <t>NULL</t>
        </is>
      </c>
      <c r="I652" s="0" t="inlineStr">
        <is>
          <t>NULL</t>
        </is>
      </c>
      <c r="J652" s="0" t="inlineStr">
        <is>
          <t>NULL</t>
        </is>
      </c>
      <c r="K652" s="0" t="inlineStr">
        <is>
          <t>YES! 	 c_nvarchar4000列源备映射正确，源端为nvarchar 8000位	期望更改为nvarchar(n)	实际备端为nvarchar 8000位</t>
        </is>
      </c>
    </row>
    <row r="653">
      <c r="A653" s="0" t="inlineStr">
        <is>
          <t>info_varchar_dml_batch1_pk_drp1</t>
        </is>
      </c>
      <c r="K653" s="0" t="inlineStr">
        <is>
          <t>[0;34m info_varchar_dml_batch1_pk_drp1 [0m源备字段数相同，源端字段：4 	备端字段4</t>
        </is>
      </c>
      <c r="W653" s="0" t="inlineStr">
        <is>
          <t>YES 源备无差异</t>
        </is>
      </c>
      <c r="X653" s="0">
        <f>A653</f>
        <v/>
      </c>
    </row>
    <row r="654">
      <c r="B654" s="0" t="inlineStr">
        <is>
          <t>YES</t>
        </is>
      </c>
      <c r="C654" s="0" t="inlineStr">
        <is>
          <t>NULL</t>
        </is>
      </c>
      <c r="D654" s="0" t="inlineStr">
        <is>
          <t>NULL</t>
        </is>
      </c>
      <c r="E654" s="0" t="inlineStr">
        <is>
          <t>NULL</t>
        </is>
      </c>
      <c r="F654" s="0" t="inlineStr">
        <is>
          <t>NULL</t>
        </is>
      </c>
      <c r="G654" s="0" t="inlineStr">
        <is>
          <t>NULL</t>
        </is>
      </c>
      <c r="H654" s="0" t="inlineStr">
        <is>
          <t>NULL</t>
        </is>
      </c>
      <c r="I654" s="0" t="inlineStr">
        <is>
          <t>YES!PK__info_var__3213E83F0FF499FE</t>
        </is>
      </c>
      <c r="J654" s="0" t="inlineStr">
        <is>
          <t>YES! 主键相关索引</t>
        </is>
      </c>
      <c r="K654" s="0" t="inlineStr">
        <is>
          <t>YES! 	 id列源备映射正确，源端为int None位	期望更改为int	实际备端为int None位</t>
        </is>
      </c>
    </row>
    <row r="655">
      <c r="B655" s="0" t="inlineStr">
        <is>
          <t>NULL</t>
        </is>
      </c>
      <c r="C655" s="0" t="inlineStr">
        <is>
          <t>NULL</t>
        </is>
      </c>
      <c r="D655" s="0" t="inlineStr">
        <is>
          <t>NULL</t>
        </is>
      </c>
      <c r="E655" s="0" t="inlineStr">
        <is>
          <t>NULL</t>
        </is>
      </c>
      <c r="F655" s="0" t="inlineStr">
        <is>
          <t>NULL</t>
        </is>
      </c>
      <c r="G655" s="0" t="inlineStr">
        <is>
          <t>NULL</t>
        </is>
      </c>
      <c r="H655" s="0" t="inlineStr">
        <is>
          <t>NULL</t>
        </is>
      </c>
      <c r="I655" s="0" t="inlineStr">
        <is>
          <t>NULL</t>
        </is>
      </c>
      <c r="J655" s="0" t="inlineStr">
        <is>
          <t>NULL</t>
        </is>
      </c>
      <c r="K655" s="0" t="inlineStr">
        <is>
          <t>YES! 	 c_varchar列源备映射正确，源端为varchar 1位	期望更改为varchar(n)	实际备端为varchar 1位</t>
        </is>
      </c>
    </row>
    <row r="656">
      <c r="B656" s="0" t="inlineStr">
        <is>
          <t>NULL</t>
        </is>
      </c>
      <c r="C656" s="0" t="inlineStr">
        <is>
          <t>NULL</t>
        </is>
      </c>
      <c r="D656" s="0" t="inlineStr">
        <is>
          <t>NULL</t>
        </is>
      </c>
      <c r="E656" s="0" t="inlineStr">
        <is>
          <t>NULL</t>
        </is>
      </c>
      <c r="F656" s="0" t="inlineStr">
        <is>
          <t>NULL</t>
        </is>
      </c>
      <c r="G656" s="0" t="inlineStr">
        <is>
          <t>NULL</t>
        </is>
      </c>
      <c r="H656" s="0" t="inlineStr">
        <is>
          <t>NULL</t>
        </is>
      </c>
      <c r="I656" s="0" t="inlineStr">
        <is>
          <t>NULL</t>
        </is>
      </c>
      <c r="J656" s="0" t="inlineStr">
        <is>
          <t>NULL</t>
        </is>
      </c>
      <c r="K656" s="0" t="inlineStr">
        <is>
          <t>YES! 	 c_varchar20列源备映射正确，源端为varchar 20位	期望更改为varchar(n)	实际备端为varchar 20位</t>
        </is>
      </c>
    </row>
    <row r="657">
      <c r="B657" s="0" t="inlineStr">
        <is>
          <t>NULL</t>
        </is>
      </c>
      <c r="C657" s="0" t="inlineStr">
        <is>
          <t>NULL</t>
        </is>
      </c>
      <c r="D657" s="0" t="inlineStr">
        <is>
          <t>NULL</t>
        </is>
      </c>
      <c r="E657" s="0" t="inlineStr">
        <is>
          <t>NULL</t>
        </is>
      </c>
      <c r="F657" s="0" t="inlineStr">
        <is>
          <t>NULL</t>
        </is>
      </c>
      <c r="G657" s="0" t="inlineStr">
        <is>
          <t>NULL</t>
        </is>
      </c>
      <c r="H657" s="0" t="inlineStr">
        <is>
          <t>NULL</t>
        </is>
      </c>
      <c r="I657" s="0" t="inlineStr">
        <is>
          <t>NULL</t>
        </is>
      </c>
      <c r="J657" s="0" t="inlineStr">
        <is>
          <t>NULL</t>
        </is>
      </c>
      <c r="K657" s="0" t="inlineStr">
        <is>
          <t>YES! 	 c_varchar7000列源备映射正确，源端为varchar 7000位	期望更改为varchar(n)	实际备端为varchar 7000位</t>
        </is>
      </c>
    </row>
    <row r="658">
      <c r="K658" s="0" t="inlineStr">
        <is>
          <t>~ 空表</t>
        </is>
      </c>
    </row>
    <row r="659">
      <c r="A659" s="0" t="inlineStr">
        <is>
          <t>info_text_dml_single_pk_urp</t>
        </is>
      </c>
      <c r="K659" s="0" t="inlineStr">
        <is>
          <t>[0;34m info_text_dml_single_pk_urp [0m源备字段数相同，源端字段：3 	备端字段3</t>
        </is>
      </c>
      <c r="W659" s="0" t="inlineStr">
        <is>
          <t>YES 源备无差异</t>
        </is>
      </c>
      <c r="X659" s="0">
        <f>A659</f>
        <v/>
      </c>
    </row>
    <row r="660">
      <c r="B660" s="0" t="inlineStr">
        <is>
          <t>YES</t>
        </is>
      </c>
      <c r="C660" s="0" t="inlineStr">
        <is>
          <t>NULL</t>
        </is>
      </c>
      <c r="D660" s="0" t="inlineStr">
        <is>
          <t>NULL</t>
        </is>
      </c>
      <c r="E660" s="0" t="inlineStr">
        <is>
          <t>NULL</t>
        </is>
      </c>
      <c r="F660" s="0" t="inlineStr">
        <is>
          <t>NULL</t>
        </is>
      </c>
      <c r="G660" s="0" t="inlineStr">
        <is>
          <t>NULL</t>
        </is>
      </c>
      <c r="H660" s="0" t="inlineStr">
        <is>
          <t>NULL</t>
        </is>
      </c>
      <c r="I660" s="0" t="inlineStr">
        <is>
          <t>YES!PK__info_tex__3213E83FEE1A52C4</t>
        </is>
      </c>
      <c r="J660" s="0" t="inlineStr">
        <is>
          <t>YES! 主键相关索引</t>
        </is>
      </c>
      <c r="K660" s="0" t="inlineStr">
        <is>
          <t>YES! 	 id列源备映射正确，源端为int None位	期望更改为int	实际备端为int None位</t>
        </is>
      </c>
    </row>
    <row r="661">
      <c r="B661" s="0" t="inlineStr">
        <is>
          <t>NULL</t>
        </is>
      </c>
      <c r="C661" s="0" t="inlineStr">
        <is>
          <t>NULL</t>
        </is>
      </c>
      <c r="D661" s="0" t="inlineStr">
        <is>
          <t>NULL</t>
        </is>
      </c>
      <c r="E661" s="0" t="inlineStr">
        <is>
          <t>NULL</t>
        </is>
      </c>
      <c r="F661" s="0" t="inlineStr">
        <is>
          <t>NULL</t>
        </is>
      </c>
      <c r="G661" s="0" t="inlineStr">
        <is>
          <t>NULL</t>
        </is>
      </c>
      <c r="H661" s="0" t="inlineStr">
        <is>
          <t>NULL</t>
        </is>
      </c>
      <c r="I661" s="0" t="inlineStr">
        <is>
          <t>NULL</t>
        </is>
      </c>
      <c r="J661" s="0" t="inlineStr">
        <is>
          <t>NULL</t>
        </is>
      </c>
      <c r="K661" s="0" t="inlineStr">
        <is>
          <t>YES! 	 c_text列源备映射正确，源端为text 2147483647位	期望更改为text	实际备端为text 2147483647位</t>
        </is>
      </c>
    </row>
    <row r="662">
      <c r="B662" s="0" t="inlineStr">
        <is>
          <t>NULL</t>
        </is>
      </c>
      <c r="C662" s="0" t="inlineStr">
        <is>
          <t>NULL</t>
        </is>
      </c>
      <c r="D662" s="0" t="inlineStr">
        <is>
          <t>NULL</t>
        </is>
      </c>
      <c r="E662" s="0" t="inlineStr">
        <is>
          <t>NULL</t>
        </is>
      </c>
      <c r="F662" s="0" t="inlineStr">
        <is>
          <t>NULL</t>
        </is>
      </c>
      <c r="G662" s="0" t="inlineStr">
        <is>
          <t>NULL</t>
        </is>
      </c>
      <c r="H662" s="0" t="inlineStr">
        <is>
          <t>NULL</t>
        </is>
      </c>
      <c r="I662" s="0" t="inlineStr">
        <is>
          <t>NULL</t>
        </is>
      </c>
      <c r="J662" s="0" t="inlineStr">
        <is>
          <t>NULL</t>
        </is>
      </c>
      <c r="K662" s="0" t="inlineStr">
        <is>
          <t>YES! 	 c_ntext列源备映射正确，源端为ntext 2147483646位	期望更改为ntext	实际备端为ntext 2147483646位</t>
        </is>
      </c>
    </row>
    <row r="663">
      <c r="A663" s="0" t="inlineStr">
        <is>
          <t>info_nvarchar_dml_single_pk_drp</t>
        </is>
      </c>
      <c r="K663" s="0" t="inlineStr">
        <is>
          <t>[0;34m info_nvarchar_dml_single_pk_drp [0m源备字段数相同，源端字段：4 	备端字段4</t>
        </is>
      </c>
      <c r="W663" s="0" t="inlineStr">
        <is>
          <t>YES 源备无差异</t>
        </is>
      </c>
      <c r="X663" s="0">
        <f>A663</f>
        <v/>
      </c>
    </row>
    <row r="664">
      <c r="B664" s="0" t="inlineStr">
        <is>
          <t>YES</t>
        </is>
      </c>
      <c r="C664" s="0" t="inlineStr">
        <is>
          <t>NULL</t>
        </is>
      </c>
      <c r="D664" s="0" t="inlineStr">
        <is>
          <t>NULL</t>
        </is>
      </c>
      <c r="E664" s="0" t="inlineStr">
        <is>
          <t>NULL</t>
        </is>
      </c>
      <c r="F664" s="0" t="inlineStr">
        <is>
          <t>NULL</t>
        </is>
      </c>
      <c r="G664" s="0" t="inlineStr">
        <is>
          <t>NULL</t>
        </is>
      </c>
      <c r="H664" s="0" t="inlineStr">
        <is>
          <t>NULL</t>
        </is>
      </c>
      <c r="I664" s="0" t="inlineStr">
        <is>
          <t>YES!PK__info_nva__3213E83FA5AB5E4B</t>
        </is>
      </c>
      <c r="J664" s="0" t="inlineStr">
        <is>
          <t>YES! 主键相关索引</t>
        </is>
      </c>
      <c r="K664" s="0" t="inlineStr">
        <is>
          <t>YES! 	 id列源备映射正确，源端为int None位	期望更改为int	实际备端为int None位</t>
        </is>
      </c>
    </row>
    <row r="665">
      <c r="B665" s="0" t="inlineStr">
        <is>
          <t>NULL</t>
        </is>
      </c>
      <c r="C665" s="0" t="inlineStr">
        <is>
          <t>NULL</t>
        </is>
      </c>
      <c r="D665" s="0" t="inlineStr">
        <is>
          <t>NULL</t>
        </is>
      </c>
      <c r="E665" s="0" t="inlineStr">
        <is>
          <t>NULL</t>
        </is>
      </c>
      <c r="F665" s="0" t="inlineStr">
        <is>
          <t>NULL</t>
        </is>
      </c>
      <c r="G665" s="0" t="inlineStr">
        <is>
          <t>NULL</t>
        </is>
      </c>
      <c r="H665" s="0" t="inlineStr">
        <is>
          <t>NULL</t>
        </is>
      </c>
      <c r="I665" s="0" t="inlineStr">
        <is>
          <t>NULL</t>
        </is>
      </c>
      <c r="J665" s="0" t="inlineStr">
        <is>
          <t>NULL</t>
        </is>
      </c>
      <c r="K665" s="0" t="inlineStr">
        <is>
          <t>YES! 	 c_nvarchar列源备映射正确，源端为nvarchar 2位	期望更改为nvarchar(n)	实际备端为nvarchar 2位</t>
        </is>
      </c>
    </row>
    <row r="666">
      <c r="B666" s="0" t="inlineStr">
        <is>
          <t>NULL</t>
        </is>
      </c>
      <c r="C666" s="0" t="inlineStr">
        <is>
          <t>NULL</t>
        </is>
      </c>
      <c r="D666" s="0" t="inlineStr">
        <is>
          <t>NULL</t>
        </is>
      </c>
      <c r="E666" s="0" t="inlineStr">
        <is>
          <t>NULL</t>
        </is>
      </c>
      <c r="F666" s="0" t="inlineStr">
        <is>
          <t>NULL</t>
        </is>
      </c>
      <c r="G666" s="0" t="inlineStr">
        <is>
          <t>NULL</t>
        </is>
      </c>
      <c r="H666" s="0" t="inlineStr">
        <is>
          <t>NULL</t>
        </is>
      </c>
      <c r="I666" s="0" t="inlineStr">
        <is>
          <t>NULL</t>
        </is>
      </c>
      <c r="J666" s="0" t="inlineStr">
        <is>
          <t>NULL</t>
        </is>
      </c>
      <c r="K666" s="0" t="inlineStr">
        <is>
          <t>YES! 	 c_nvarchar20列源备映射正确，源端为nvarchar 40位	期望更改为nvarchar(n)	实际备端为nvarchar 40位</t>
        </is>
      </c>
    </row>
    <row r="667">
      <c r="B667" s="0" t="inlineStr">
        <is>
          <t>NULL</t>
        </is>
      </c>
      <c r="C667" s="0" t="inlineStr">
        <is>
          <t>NULL</t>
        </is>
      </c>
      <c r="D667" s="0" t="inlineStr">
        <is>
          <t>NULL</t>
        </is>
      </c>
      <c r="E667" s="0" t="inlineStr">
        <is>
          <t>NULL</t>
        </is>
      </c>
      <c r="F667" s="0" t="inlineStr">
        <is>
          <t>NULL</t>
        </is>
      </c>
      <c r="G667" s="0" t="inlineStr">
        <is>
          <t>NULL</t>
        </is>
      </c>
      <c r="H667" s="0" t="inlineStr">
        <is>
          <t>NULL</t>
        </is>
      </c>
      <c r="I667" s="0" t="inlineStr">
        <is>
          <t>NULL</t>
        </is>
      </c>
      <c r="J667" s="0" t="inlineStr">
        <is>
          <t>NULL</t>
        </is>
      </c>
      <c r="K667" s="0" t="inlineStr">
        <is>
          <t>YES! 	 c_nvarchar4000列源备映射正确，源端为nvarchar 8000位	期望更改为nvarchar(n)	实际备端为nvarchar 8000位</t>
        </is>
      </c>
    </row>
    <row r="668">
      <c r="A668" s="0" t="inlineStr">
        <is>
          <t>info_nvarchar_dml_single_nopk_urp</t>
        </is>
      </c>
      <c r="K668" s="0" t="inlineStr">
        <is>
          <t>[0;34m info_nvarchar_dml_single_nopk_urp [0m源备字段数相同，源端字段：4 	备端字段4</t>
        </is>
      </c>
      <c r="W668" s="0" t="inlineStr">
        <is>
          <t>YES 源备无差异</t>
        </is>
      </c>
      <c r="X668" s="0">
        <f>A668</f>
        <v/>
      </c>
    </row>
    <row r="669">
      <c r="B669" s="0" t="inlineStr">
        <is>
          <t>NULL</t>
        </is>
      </c>
      <c r="C669" s="0" t="inlineStr">
        <is>
          <t>NULL</t>
        </is>
      </c>
      <c r="D669" s="0" t="inlineStr">
        <is>
          <t>NULL</t>
        </is>
      </c>
      <c r="E669" s="0" t="inlineStr">
        <is>
          <t>NULL</t>
        </is>
      </c>
      <c r="F669" s="0" t="inlineStr">
        <is>
          <t>NULL</t>
        </is>
      </c>
      <c r="G669" s="0" t="inlineStr">
        <is>
          <t>NULL</t>
        </is>
      </c>
      <c r="H669" s="0" t="inlineStr">
        <is>
          <t>NULL</t>
        </is>
      </c>
      <c r="I669" s="0" t="inlineStr">
        <is>
          <t>NULL</t>
        </is>
      </c>
      <c r="J669" s="0" t="inlineStr">
        <is>
          <t>NULL</t>
        </is>
      </c>
      <c r="K669" s="0" t="inlineStr">
        <is>
          <t>YES! 	 id列源备映射正确，源端为int None位	期望更改为int	实际备端为int None位</t>
        </is>
      </c>
    </row>
    <row r="670">
      <c r="B670" s="0" t="inlineStr">
        <is>
          <t>NULL</t>
        </is>
      </c>
      <c r="C670" s="0" t="inlineStr">
        <is>
          <t>NULL</t>
        </is>
      </c>
      <c r="D670" s="0" t="inlineStr">
        <is>
          <t>NULL</t>
        </is>
      </c>
      <c r="E670" s="0" t="inlineStr">
        <is>
          <t>NULL</t>
        </is>
      </c>
      <c r="F670" s="0" t="inlineStr">
        <is>
          <t>NULL</t>
        </is>
      </c>
      <c r="G670" s="0" t="inlineStr">
        <is>
          <t>NULL</t>
        </is>
      </c>
      <c r="H670" s="0" t="inlineStr">
        <is>
          <t>NULL</t>
        </is>
      </c>
      <c r="I670" s="0" t="inlineStr">
        <is>
          <t>NULL</t>
        </is>
      </c>
      <c r="J670" s="0" t="inlineStr">
        <is>
          <t>NULL</t>
        </is>
      </c>
      <c r="K670" s="0" t="inlineStr">
        <is>
          <t>YES! 	 c_nvarchar列源备映射正确，源端为nvarchar 2位	期望更改为nvarchar(n)	实际备端为nvarchar 2位</t>
        </is>
      </c>
    </row>
    <row r="671">
      <c r="B671" s="0" t="inlineStr">
        <is>
          <t>NULL</t>
        </is>
      </c>
      <c r="C671" s="0" t="inlineStr">
        <is>
          <t>NULL</t>
        </is>
      </c>
      <c r="D671" s="0" t="inlineStr">
        <is>
          <t>NULL</t>
        </is>
      </c>
      <c r="E671" s="0" t="inlineStr">
        <is>
          <t>NULL</t>
        </is>
      </c>
      <c r="F671" s="0" t="inlineStr">
        <is>
          <t>NULL</t>
        </is>
      </c>
      <c r="G671" s="0" t="inlineStr">
        <is>
          <t>NULL</t>
        </is>
      </c>
      <c r="H671" s="0" t="inlineStr">
        <is>
          <t>NULL</t>
        </is>
      </c>
      <c r="I671" s="0" t="inlineStr">
        <is>
          <t>NULL</t>
        </is>
      </c>
      <c r="J671" s="0" t="inlineStr">
        <is>
          <t>NULL</t>
        </is>
      </c>
      <c r="K671" s="0" t="inlineStr">
        <is>
          <t>YES! 	 c_nvarchar20列源备映射正确，源端为nvarchar 40位	期望更改为nvarchar(n)	实际备端为nvarchar 40位</t>
        </is>
      </c>
    </row>
    <row r="672">
      <c r="B672" s="0" t="inlineStr">
        <is>
          <t>NULL</t>
        </is>
      </c>
      <c r="C672" s="0" t="inlineStr">
        <is>
          <t>NULL</t>
        </is>
      </c>
      <c r="D672" s="0" t="inlineStr">
        <is>
          <t>NULL</t>
        </is>
      </c>
      <c r="E672" s="0" t="inlineStr">
        <is>
          <t>NULL</t>
        </is>
      </c>
      <c r="F672" s="0" t="inlineStr">
        <is>
          <t>NULL</t>
        </is>
      </c>
      <c r="G672" s="0" t="inlineStr">
        <is>
          <t>NULL</t>
        </is>
      </c>
      <c r="H672" s="0" t="inlineStr">
        <is>
          <t>NULL</t>
        </is>
      </c>
      <c r="I672" s="0" t="inlineStr">
        <is>
          <t>NULL</t>
        </is>
      </c>
      <c r="J672" s="0" t="inlineStr">
        <is>
          <t>NULL</t>
        </is>
      </c>
      <c r="K672" s="0" t="inlineStr">
        <is>
          <t>YES! 	 c_nvarchar4000列源备映射正确，源端为nvarchar 8000位	期望更改为nvarchar(n)	实际备端为nvarchar 8000位</t>
        </is>
      </c>
    </row>
    <row r="673">
      <c r="A673" s="0" t="inlineStr">
        <is>
          <t>info_datetime_dml_batch2_pk_irp1</t>
        </is>
      </c>
      <c r="K673" s="0" t="inlineStr">
        <is>
          <t>[0;34m info_datetime_dml_batch2_pk_irp1 [0m源备字段数相同，源端字段：2 	备端字段2</t>
        </is>
      </c>
      <c r="W673" s="0" t="inlineStr">
        <is>
          <t>YES 源备无差异</t>
        </is>
      </c>
      <c r="X673" s="0">
        <f>A673</f>
        <v/>
      </c>
    </row>
    <row r="674">
      <c r="B674" s="0" t="inlineStr">
        <is>
          <t>YES</t>
        </is>
      </c>
      <c r="C674" s="0" t="inlineStr">
        <is>
          <t>NULL</t>
        </is>
      </c>
      <c r="D674" s="0" t="inlineStr">
        <is>
          <t>NULL</t>
        </is>
      </c>
      <c r="E674" s="0" t="inlineStr">
        <is>
          <t>NULL</t>
        </is>
      </c>
      <c r="F674" s="0" t="inlineStr">
        <is>
          <t>NULL</t>
        </is>
      </c>
      <c r="G674" s="0" t="inlineStr">
        <is>
          <t>NULL</t>
        </is>
      </c>
      <c r="H674" s="0" t="inlineStr">
        <is>
          <t>NULL</t>
        </is>
      </c>
      <c r="I674" s="0" t="inlineStr">
        <is>
          <t>YES!PK__info_dat__3213E83F87685DE4</t>
        </is>
      </c>
      <c r="J674" s="0" t="inlineStr">
        <is>
          <t>YES! 主键相关索引</t>
        </is>
      </c>
      <c r="K674" s="0" t="inlineStr">
        <is>
          <t>YES! 	 id列源备映射正确，源端为int None位	期望更改为int	实际备端为int None位</t>
        </is>
      </c>
    </row>
    <row r="675">
      <c r="B675" s="0" t="inlineStr">
        <is>
          <t>NULL</t>
        </is>
      </c>
      <c r="C675" s="0" t="inlineStr">
        <is>
          <t>NULL</t>
        </is>
      </c>
      <c r="D675" s="0" t="inlineStr">
        <is>
          <t>NULL</t>
        </is>
      </c>
      <c r="E675" s="0" t="inlineStr">
        <is>
          <t>NULL</t>
        </is>
      </c>
      <c r="F675" s="0" t="inlineStr">
        <is>
          <t>NULL</t>
        </is>
      </c>
      <c r="G675" s="0" t="inlineStr">
        <is>
          <t>NULL</t>
        </is>
      </c>
      <c r="H675" s="0" t="inlineStr">
        <is>
          <t>NULL</t>
        </is>
      </c>
      <c r="I675" s="0" t="inlineStr">
        <is>
          <t>NULL</t>
        </is>
      </c>
      <c r="J675" s="0" t="inlineStr">
        <is>
          <t>NULL</t>
        </is>
      </c>
      <c r="K675" s="0" t="inlineStr">
        <is>
          <t>YES! 	 c_datetime列源备映射正确，源端为datetime None位	期望更改为datetime	实际备端为datetime None位</t>
        </is>
      </c>
    </row>
    <row r="676">
      <c r="A676" s="0" t="inlineStr">
        <is>
          <t>info_varchar_dml_batch1_pk_drp2</t>
        </is>
      </c>
      <c r="K676" s="0" t="inlineStr">
        <is>
          <t>[0;34m info_varchar_dml_batch1_pk_drp2 [0m源备字段数相同，源端字段：4 	备端字段4</t>
        </is>
      </c>
      <c r="W676" s="0" t="inlineStr">
        <is>
          <t>YES 源备无差异</t>
        </is>
      </c>
      <c r="X676" s="0">
        <f>A676</f>
        <v/>
      </c>
    </row>
    <row r="677">
      <c r="B677" s="0" t="inlineStr">
        <is>
          <t>YES</t>
        </is>
      </c>
      <c r="C677" s="0" t="inlineStr">
        <is>
          <t>NULL</t>
        </is>
      </c>
      <c r="D677" s="0" t="inlineStr">
        <is>
          <t>NULL</t>
        </is>
      </c>
      <c r="E677" s="0" t="inlineStr">
        <is>
          <t>NULL</t>
        </is>
      </c>
      <c r="F677" s="0" t="inlineStr">
        <is>
          <t>NULL</t>
        </is>
      </c>
      <c r="G677" s="0" t="inlineStr">
        <is>
          <t>NULL</t>
        </is>
      </c>
      <c r="H677" s="0" t="inlineStr">
        <is>
          <t>NULL</t>
        </is>
      </c>
      <c r="I677" s="0" t="inlineStr">
        <is>
          <t>YES!PK__info_var__3213E83F35EFE402</t>
        </is>
      </c>
      <c r="J677" s="0" t="inlineStr">
        <is>
          <t>YES! 主键相关索引</t>
        </is>
      </c>
      <c r="K677" s="0" t="inlineStr">
        <is>
          <t>YES! 	 id列源备映射正确，源端为int None位	期望更改为int	实际备端为int None位</t>
        </is>
      </c>
    </row>
    <row r="678">
      <c r="B678" s="0" t="inlineStr">
        <is>
          <t>NULL</t>
        </is>
      </c>
      <c r="C678" s="0" t="inlineStr">
        <is>
          <t>NULL</t>
        </is>
      </c>
      <c r="D678" s="0" t="inlineStr">
        <is>
          <t>NULL</t>
        </is>
      </c>
      <c r="E678" s="0" t="inlineStr">
        <is>
          <t>NULL</t>
        </is>
      </c>
      <c r="F678" s="0" t="inlineStr">
        <is>
          <t>NULL</t>
        </is>
      </c>
      <c r="G678" s="0" t="inlineStr">
        <is>
          <t>NULL</t>
        </is>
      </c>
      <c r="H678" s="0" t="inlineStr">
        <is>
          <t>NULL</t>
        </is>
      </c>
      <c r="I678" s="0" t="inlineStr">
        <is>
          <t>NULL</t>
        </is>
      </c>
      <c r="J678" s="0" t="inlineStr">
        <is>
          <t>NULL</t>
        </is>
      </c>
      <c r="K678" s="0" t="inlineStr">
        <is>
          <t>YES! 	 c_varchar列源备映射正确，源端为varchar 1位	期望更改为varchar(n)	实际备端为varchar 1位</t>
        </is>
      </c>
    </row>
    <row r="679">
      <c r="B679" s="0" t="inlineStr">
        <is>
          <t>NULL</t>
        </is>
      </c>
      <c r="C679" s="0" t="inlineStr">
        <is>
          <t>NULL</t>
        </is>
      </c>
      <c r="D679" s="0" t="inlineStr">
        <is>
          <t>NULL</t>
        </is>
      </c>
      <c r="E679" s="0" t="inlineStr">
        <is>
          <t>NULL</t>
        </is>
      </c>
      <c r="F679" s="0" t="inlineStr">
        <is>
          <t>NULL</t>
        </is>
      </c>
      <c r="G679" s="0" t="inlineStr">
        <is>
          <t>NULL</t>
        </is>
      </c>
      <c r="H679" s="0" t="inlineStr">
        <is>
          <t>NULL</t>
        </is>
      </c>
      <c r="I679" s="0" t="inlineStr">
        <is>
          <t>NULL</t>
        </is>
      </c>
      <c r="J679" s="0" t="inlineStr">
        <is>
          <t>NULL</t>
        </is>
      </c>
      <c r="K679" s="0" t="inlineStr">
        <is>
          <t>YES! 	 c_varchar20列源备映射正确，源端为varchar 20位	期望更改为varchar(n)	实际备端为varchar 20位</t>
        </is>
      </c>
    </row>
    <row r="680">
      <c r="B680" s="0" t="inlineStr">
        <is>
          <t>NULL</t>
        </is>
      </c>
      <c r="C680" s="0" t="inlineStr">
        <is>
          <t>NULL</t>
        </is>
      </c>
      <c r="D680" s="0" t="inlineStr">
        <is>
          <t>NULL</t>
        </is>
      </c>
      <c r="E680" s="0" t="inlineStr">
        <is>
          <t>NULL</t>
        </is>
      </c>
      <c r="F680" s="0" t="inlineStr">
        <is>
          <t>NULL</t>
        </is>
      </c>
      <c r="G680" s="0" t="inlineStr">
        <is>
          <t>NULL</t>
        </is>
      </c>
      <c r="H680" s="0" t="inlineStr">
        <is>
          <t>NULL</t>
        </is>
      </c>
      <c r="I680" s="0" t="inlineStr">
        <is>
          <t>NULL</t>
        </is>
      </c>
      <c r="J680" s="0" t="inlineStr">
        <is>
          <t>NULL</t>
        </is>
      </c>
      <c r="K680" s="0" t="inlineStr">
        <is>
          <t>YES! 	 c_varchar7000列源备映射正确，源端为varchar 7000位	期望更改为varchar(n)	实际备端为varchar 7000位</t>
        </is>
      </c>
    </row>
    <row r="681">
      <c r="A681" s="0" t="inlineStr">
        <is>
          <t>info_nvarchar_dml_single_nopk_drp</t>
        </is>
      </c>
      <c r="K681" s="0" t="inlineStr">
        <is>
          <t>[0;34m info_nvarchar_dml_single_nopk_drp [0m源备字段数相同，源端字段：4 	备端字段4</t>
        </is>
      </c>
      <c r="W681" s="0" t="inlineStr">
        <is>
          <t>YES 源备无差异</t>
        </is>
      </c>
      <c r="X681" s="0">
        <f>A681</f>
        <v/>
      </c>
    </row>
    <row r="682">
      <c r="B682" s="0" t="inlineStr">
        <is>
          <t>NULL</t>
        </is>
      </c>
      <c r="C682" s="0" t="inlineStr">
        <is>
          <t>NULL</t>
        </is>
      </c>
      <c r="D682" s="0" t="inlineStr">
        <is>
          <t>NULL</t>
        </is>
      </c>
      <c r="E682" s="0" t="inlineStr">
        <is>
          <t>NULL</t>
        </is>
      </c>
      <c r="F682" s="0" t="inlineStr">
        <is>
          <t>NULL</t>
        </is>
      </c>
      <c r="G682" s="0" t="inlineStr">
        <is>
          <t>NULL</t>
        </is>
      </c>
      <c r="H682" s="0" t="inlineStr">
        <is>
          <t>NULL</t>
        </is>
      </c>
      <c r="I682" s="0" t="inlineStr">
        <is>
          <t>NULL</t>
        </is>
      </c>
      <c r="J682" s="0" t="inlineStr">
        <is>
          <t>NULL</t>
        </is>
      </c>
      <c r="K682" s="0" t="inlineStr">
        <is>
          <t>YES! 	 id列源备映射正确，源端为int None位	期望更改为int	实际备端为int None位</t>
        </is>
      </c>
    </row>
    <row r="683">
      <c r="B683" s="0" t="inlineStr">
        <is>
          <t>NULL</t>
        </is>
      </c>
      <c r="C683" s="0" t="inlineStr">
        <is>
          <t>NULL</t>
        </is>
      </c>
      <c r="D683" s="0" t="inlineStr">
        <is>
          <t>NULL</t>
        </is>
      </c>
      <c r="E683" s="0" t="inlineStr">
        <is>
          <t>NULL</t>
        </is>
      </c>
      <c r="F683" s="0" t="inlineStr">
        <is>
          <t>NULL</t>
        </is>
      </c>
      <c r="G683" s="0" t="inlineStr">
        <is>
          <t>NULL</t>
        </is>
      </c>
      <c r="H683" s="0" t="inlineStr">
        <is>
          <t>NULL</t>
        </is>
      </c>
      <c r="I683" s="0" t="inlineStr">
        <is>
          <t>NULL</t>
        </is>
      </c>
      <c r="J683" s="0" t="inlineStr">
        <is>
          <t>NULL</t>
        </is>
      </c>
      <c r="K683" s="0" t="inlineStr">
        <is>
          <t>YES! 	 c_nvarchar列源备映射正确，源端为nvarchar 2位	期望更改为nvarchar(n)	实际备端为nvarchar 2位</t>
        </is>
      </c>
    </row>
    <row r="684">
      <c r="B684" s="0" t="inlineStr">
        <is>
          <t>NULL</t>
        </is>
      </c>
      <c r="C684" s="0" t="inlineStr">
        <is>
          <t>NULL</t>
        </is>
      </c>
      <c r="D684" s="0" t="inlineStr">
        <is>
          <t>NULL</t>
        </is>
      </c>
      <c r="E684" s="0" t="inlineStr">
        <is>
          <t>NULL</t>
        </is>
      </c>
      <c r="F684" s="0" t="inlineStr">
        <is>
          <t>NULL</t>
        </is>
      </c>
      <c r="G684" s="0" t="inlineStr">
        <is>
          <t>NULL</t>
        </is>
      </c>
      <c r="H684" s="0" t="inlineStr">
        <is>
          <t>NULL</t>
        </is>
      </c>
      <c r="I684" s="0" t="inlineStr">
        <is>
          <t>NULL</t>
        </is>
      </c>
      <c r="J684" s="0" t="inlineStr">
        <is>
          <t>NULL</t>
        </is>
      </c>
      <c r="K684" s="0" t="inlineStr">
        <is>
          <t>YES! 	 c_nvarchar20列源备映射正确，源端为nvarchar 40位	期望更改为nvarchar(n)	实际备端为nvarchar 40位</t>
        </is>
      </c>
    </row>
    <row r="685">
      <c r="B685" s="0" t="inlineStr">
        <is>
          <t>NULL</t>
        </is>
      </c>
      <c r="C685" s="0" t="inlineStr">
        <is>
          <t>NULL</t>
        </is>
      </c>
      <c r="D685" s="0" t="inlineStr">
        <is>
          <t>NULL</t>
        </is>
      </c>
      <c r="E685" s="0" t="inlineStr">
        <is>
          <t>NULL</t>
        </is>
      </c>
      <c r="F685" s="0" t="inlineStr">
        <is>
          <t>NULL</t>
        </is>
      </c>
      <c r="G685" s="0" t="inlineStr">
        <is>
          <t>NULL</t>
        </is>
      </c>
      <c r="H685" s="0" t="inlineStr">
        <is>
          <t>NULL</t>
        </is>
      </c>
      <c r="I685" s="0" t="inlineStr">
        <is>
          <t>NULL</t>
        </is>
      </c>
      <c r="J685" s="0" t="inlineStr">
        <is>
          <t>NULL</t>
        </is>
      </c>
      <c r="K685" s="0" t="inlineStr">
        <is>
          <t>YES! 	 c_nvarchar4000列源备映射正确，源端为nvarchar 8000位	期望更改为nvarchar(n)	实际备端为nvarchar 8000位</t>
        </is>
      </c>
    </row>
    <row r="686">
      <c r="A686" s="0" t="inlineStr">
        <is>
          <t>info_text_dml_single_pk_drp</t>
        </is>
      </c>
      <c r="K686" s="0" t="inlineStr">
        <is>
          <t>[0;34m info_text_dml_single_pk_drp [0m源备字段数相同，源端字段：3 	备端字段3</t>
        </is>
      </c>
      <c r="W686" s="0" t="inlineStr">
        <is>
          <t>YES 源备无差异</t>
        </is>
      </c>
      <c r="X686" s="0">
        <f>A686</f>
        <v/>
      </c>
    </row>
    <row r="687">
      <c r="B687" s="0" t="inlineStr">
        <is>
          <t>YES</t>
        </is>
      </c>
      <c r="C687" s="0" t="inlineStr">
        <is>
          <t>NULL</t>
        </is>
      </c>
      <c r="D687" s="0" t="inlineStr">
        <is>
          <t>NULL</t>
        </is>
      </c>
      <c r="E687" s="0" t="inlineStr">
        <is>
          <t>NULL</t>
        </is>
      </c>
      <c r="F687" s="0" t="inlineStr">
        <is>
          <t>NULL</t>
        </is>
      </c>
      <c r="G687" s="0" t="inlineStr">
        <is>
          <t>NULL</t>
        </is>
      </c>
      <c r="H687" s="0" t="inlineStr">
        <is>
          <t>NULL</t>
        </is>
      </c>
      <c r="I687" s="0" t="inlineStr">
        <is>
          <t>YES!PK__info_tex__3213E83FEC81611A</t>
        </is>
      </c>
      <c r="J687" s="0" t="inlineStr">
        <is>
          <t>YES! 主键相关索引</t>
        </is>
      </c>
      <c r="K687" s="0" t="inlineStr">
        <is>
          <t>YES! 	 id列源备映射正确，源端为int None位	期望更改为int	实际备端为int None位</t>
        </is>
      </c>
    </row>
    <row r="688">
      <c r="B688" s="0" t="inlineStr">
        <is>
          <t>NULL</t>
        </is>
      </c>
      <c r="C688" s="0" t="inlineStr">
        <is>
          <t>NULL</t>
        </is>
      </c>
      <c r="D688" s="0" t="inlineStr">
        <is>
          <t>NULL</t>
        </is>
      </c>
      <c r="E688" s="0" t="inlineStr">
        <is>
          <t>NULL</t>
        </is>
      </c>
      <c r="F688" s="0" t="inlineStr">
        <is>
          <t>NULL</t>
        </is>
      </c>
      <c r="G688" s="0" t="inlineStr">
        <is>
          <t>NULL</t>
        </is>
      </c>
      <c r="H688" s="0" t="inlineStr">
        <is>
          <t>NULL</t>
        </is>
      </c>
      <c r="I688" s="0" t="inlineStr">
        <is>
          <t>NULL</t>
        </is>
      </c>
      <c r="J688" s="0" t="inlineStr">
        <is>
          <t>NULL</t>
        </is>
      </c>
      <c r="K688" s="0" t="inlineStr">
        <is>
          <t>YES! 	 c_text列源备映射正确，源端为text 2147483647位	期望更改为text	实际备端为text 2147483647位</t>
        </is>
      </c>
    </row>
    <row r="689">
      <c r="B689" s="0" t="inlineStr">
        <is>
          <t>NULL</t>
        </is>
      </c>
      <c r="C689" s="0" t="inlineStr">
        <is>
          <t>NULL</t>
        </is>
      </c>
      <c r="D689" s="0" t="inlineStr">
        <is>
          <t>NULL</t>
        </is>
      </c>
      <c r="E689" s="0" t="inlineStr">
        <is>
          <t>NULL</t>
        </is>
      </c>
      <c r="F689" s="0" t="inlineStr">
        <is>
          <t>NULL</t>
        </is>
      </c>
      <c r="G689" s="0" t="inlineStr">
        <is>
          <t>NULL</t>
        </is>
      </c>
      <c r="H689" s="0" t="inlineStr">
        <is>
          <t>NULL</t>
        </is>
      </c>
      <c r="I689" s="0" t="inlineStr">
        <is>
          <t>NULL</t>
        </is>
      </c>
      <c r="J689" s="0" t="inlineStr">
        <is>
          <t>NULL</t>
        </is>
      </c>
      <c r="K689" s="0" t="inlineStr">
        <is>
          <t>YES! 	 c_ntext列源备映射正确，源端为ntext 2147483646位	期望更改为ntext	实际备端为ntext 2147483646位</t>
        </is>
      </c>
    </row>
    <row r="690">
      <c r="A690" s="0" t="inlineStr">
        <is>
          <t>info_nvarchar_dml_single_pk</t>
        </is>
      </c>
      <c r="K690" s="0" t="inlineStr">
        <is>
          <t>[0;34m info_nvarchar_dml_single_pk [0m源备字段数相同，源端字段：4 	备端字段4</t>
        </is>
      </c>
      <c r="W690" s="0" t="inlineStr">
        <is>
          <t>YES 源备无差异</t>
        </is>
      </c>
      <c r="X690" s="0">
        <f>A690</f>
        <v/>
      </c>
    </row>
    <row r="691">
      <c r="B691" s="0" t="inlineStr">
        <is>
          <t>YES</t>
        </is>
      </c>
      <c r="C691" s="0" t="inlineStr">
        <is>
          <t>NULL</t>
        </is>
      </c>
      <c r="D691" s="0" t="inlineStr">
        <is>
          <t>NULL</t>
        </is>
      </c>
      <c r="E691" s="0" t="inlineStr">
        <is>
          <t>NULL</t>
        </is>
      </c>
      <c r="F691" s="0" t="inlineStr">
        <is>
          <t>NULL</t>
        </is>
      </c>
      <c r="G691" s="0" t="inlineStr">
        <is>
          <t>NULL</t>
        </is>
      </c>
      <c r="H691" s="0" t="inlineStr">
        <is>
          <t>NULL</t>
        </is>
      </c>
      <c r="I691" s="0" t="inlineStr">
        <is>
          <t>YES!PK__info_nva__3213E83F88384AD8</t>
        </is>
      </c>
      <c r="J691" s="0" t="inlineStr">
        <is>
          <t>YES! 主键相关索引</t>
        </is>
      </c>
      <c r="K691" s="0" t="inlineStr">
        <is>
          <t>YES! 	 id列源备映射正确，源端为int None位	期望更改为int	实际备端为int None位</t>
        </is>
      </c>
    </row>
    <row r="692">
      <c r="B692" s="0" t="inlineStr">
        <is>
          <t>NULL</t>
        </is>
      </c>
      <c r="C692" s="0" t="inlineStr">
        <is>
          <t>NULL</t>
        </is>
      </c>
      <c r="D692" s="0" t="inlineStr">
        <is>
          <t>NULL</t>
        </is>
      </c>
      <c r="E692" s="0" t="inlineStr">
        <is>
          <t>NULL</t>
        </is>
      </c>
      <c r="F692" s="0" t="inlineStr">
        <is>
          <t>NULL</t>
        </is>
      </c>
      <c r="G692" s="0" t="inlineStr">
        <is>
          <t>NULL</t>
        </is>
      </c>
      <c r="H692" s="0" t="inlineStr">
        <is>
          <t>NULL</t>
        </is>
      </c>
      <c r="I692" s="0" t="inlineStr">
        <is>
          <t>NULL</t>
        </is>
      </c>
      <c r="J692" s="0" t="inlineStr">
        <is>
          <t>NULL</t>
        </is>
      </c>
      <c r="K692" s="0" t="inlineStr">
        <is>
          <t>YES! 	 c_nvarchar列源备映射正确，源端为nvarchar 2位	期望更改为nvarchar(n)	实际备端为nvarchar 2位</t>
        </is>
      </c>
    </row>
    <row r="693">
      <c r="B693" s="0" t="inlineStr">
        <is>
          <t>NULL</t>
        </is>
      </c>
      <c r="C693" s="0" t="inlineStr">
        <is>
          <t>NULL</t>
        </is>
      </c>
      <c r="D693" s="0" t="inlineStr">
        <is>
          <t>NULL</t>
        </is>
      </c>
      <c r="E693" s="0" t="inlineStr">
        <is>
          <t>NULL</t>
        </is>
      </c>
      <c r="F693" s="0" t="inlineStr">
        <is>
          <t>NULL</t>
        </is>
      </c>
      <c r="G693" s="0" t="inlineStr">
        <is>
          <t>NULL</t>
        </is>
      </c>
      <c r="H693" s="0" t="inlineStr">
        <is>
          <t>NULL</t>
        </is>
      </c>
      <c r="I693" s="0" t="inlineStr">
        <is>
          <t>NULL</t>
        </is>
      </c>
      <c r="J693" s="0" t="inlineStr">
        <is>
          <t>NULL</t>
        </is>
      </c>
      <c r="K693" s="0" t="inlineStr">
        <is>
          <t>YES! 	 c_nvarchar20列源备映射正确，源端为nvarchar 40位	期望更改为nvarchar(n)	实际备端为nvarchar 40位</t>
        </is>
      </c>
    </row>
    <row r="694">
      <c r="B694" s="0" t="inlineStr">
        <is>
          <t>NULL</t>
        </is>
      </c>
      <c r="C694" s="0" t="inlineStr">
        <is>
          <t>NULL</t>
        </is>
      </c>
      <c r="D694" s="0" t="inlineStr">
        <is>
          <t>NULL</t>
        </is>
      </c>
      <c r="E694" s="0" t="inlineStr">
        <is>
          <t>NULL</t>
        </is>
      </c>
      <c r="F694" s="0" t="inlineStr">
        <is>
          <t>NULL</t>
        </is>
      </c>
      <c r="G694" s="0" t="inlineStr">
        <is>
          <t>NULL</t>
        </is>
      </c>
      <c r="H694" s="0" t="inlineStr">
        <is>
          <t>NULL</t>
        </is>
      </c>
      <c r="I694" s="0" t="inlineStr">
        <is>
          <t>NULL</t>
        </is>
      </c>
      <c r="J694" s="0" t="inlineStr">
        <is>
          <t>NULL</t>
        </is>
      </c>
      <c r="K694" s="0" t="inlineStr">
        <is>
          <t>YES! 	 c_nvarchar4000列源备映射正确，源端为nvarchar 8000位	期望更改为nvarchar(n)	实际备端为nvarchar 8000位</t>
        </is>
      </c>
    </row>
    <row r="695">
      <c r="A695" s="0" t="inlineStr">
        <is>
          <t>info_datetime_dml_batch2_pk_irp2</t>
        </is>
      </c>
      <c r="K695" s="0" t="inlineStr">
        <is>
          <t>[0;34m info_datetime_dml_batch2_pk_irp2 [0m源备字段数相同，源端字段：2 	备端字段2</t>
        </is>
      </c>
      <c r="W695" s="0" t="inlineStr">
        <is>
          <t>YES 源备无差异</t>
        </is>
      </c>
      <c r="X695" s="0">
        <f>A695</f>
        <v/>
      </c>
    </row>
    <row r="696">
      <c r="B696" s="0" t="inlineStr">
        <is>
          <t>YES</t>
        </is>
      </c>
      <c r="C696" s="0" t="inlineStr">
        <is>
          <t>NULL</t>
        </is>
      </c>
      <c r="D696" s="0" t="inlineStr">
        <is>
          <t>NULL</t>
        </is>
      </c>
      <c r="E696" s="0" t="inlineStr">
        <is>
          <t>NULL</t>
        </is>
      </c>
      <c r="F696" s="0" t="inlineStr">
        <is>
          <t>NULL</t>
        </is>
      </c>
      <c r="G696" s="0" t="inlineStr">
        <is>
          <t>NULL</t>
        </is>
      </c>
      <c r="H696" s="0" t="inlineStr">
        <is>
          <t>NULL</t>
        </is>
      </c>
      <c r="I696" s="0" t="inlineStr">
        <is>
          <t>YES!PK__info_dat__3213E83F297599A4</t>
        </is>
      </c>
      <c r="J696" s="0" t="inlineStr">
        <is>
          <t>YES! 主键相关索引</t>
        </is>
      </c>
      <c r="K696" s="0" t="inlineStr">
        <is>
          <t>YES! 	 id列源备映射正确，源端为int None位	期望更改为int	实际备端为int None位</t>
        </is>
      </c>
    </row>
    <row r="697">
      <c r="B697" s="0" t="inlineStr">
        <is>
          <t>NULL</t>
        </is>
      </c>
      <c r="C697" s="0" t="inlineStr">
        <is>
          <t>NULL</t>
        </is>
      </c>
      <c r="D697" s="0" t="inlineStr">
        <is>
          <t>NULL</t>
        </is>
      </c>
      <c r="E697" s="0" t="inlineStr">
        <is>
          <t>NULL</t>
        </is>
      </c>
      <c r="F697" s="0" t="inlineStr">
        <is>
          <t>NULL</t>
        </is>
      </c>
      <c r="G697" s="0" t="inlineStr">
        <is>
          <t>NULL</t>
        </is>
      </c>
      <c r="H697" s="0" t="inlineStr">
        <is>
          <t>NULL</t>
        </is>
      </c>
      <c r="I697" s="0" t="inlineStr">
        <is>
          <t>NULL</t>
        </is>
      </c>
      <c r="J697" s="0" t="inlineStr">
        <is>
          <t>NULL</t>
        </is>
      </c>
      <c r="K697" s="0" t="inlineStr">
        <is>
          <t>YES! 	 c_datetime列源备映射正确，源端为datetime None位	期望更改为datetime	实际备端为datetime None位</t>
        </is>
      </c>
    </row>
    <row r="698">
      <c r="A698" s="0" t="inlineStr">
        <is>
          <t>info_varchar_dml_batch1_pk</t>
        </is>
      </c>
      <c r="K698" s="0" t="inlineStr">
        <is>
          <t>[0;34m info_varchar_dml_batch1_pk [0m源备字段数相同，源端字段：4 	备端字段4</t>
        </is>
      </c>
      <c r="W698" s="0" t="inlineStr">
        <is>
          <t>YES 源备无差异</t>
        </is>
      </c>
      <c r="X698" s="0">
        <f>A698</f>
        <v/>
      </c>
    </row>
    <row r="699">
      <c r="B699" s="0" t="inlineStr">
        <is>
          <t>YES</t>
        </is>
      </c>
      <c r="C699" s="0" t="inlineStr">
        <is>
          <t>NULL</t>
        </is>
      </c>
      <c r="D699" s="0" t="inlineStr">
        <is>
          <t>NULL</t>
        </is>
      </c>
      <c r="E699" s="0" t="inlineStr">
        <is>
          <t>NULL</t>
        </is>
      </c>
      <c r="F699" s="0" t="inlineStr">
        <is>
          <t>NULL</t>
        </is>
      </c>
      <c r="G699" s="0" t="inlineStr">
        <is>
          <t>NULL</t>
        </is>
      </c>
      <c r="H699" s="0" t="inlineStr">
        <is>
          <t>NULL</t>
        </is>
      </c>
      <c r="I699" s="0" t="inlineStr">
        <is>
          <t>YES!PK__info_var__3213E83FFA843D84</t>
        </is>
      </c>
      <c r="J699" s="0" t="inlineStr">
        <is>
          <t>YES! 主键相关索引</t>
        </is>
      </c>
      <c r="K699" s="0" t="inlineStr">
        <is>
          <t>YES! 	 id列源备映射正确，源端为int None位	期望更改为int	实际备端为int None位</t>
        </is>
      </c>
    </row>
    <row r="700">
      <c r="B700" s="0" t="inlineStr">
        <is>
          <t>NULL</t>
        </is>
      </c>
      <c r="C700" s="0" t="inlineStr">
        <is>
          <t>NULL</t>
        </is>
      </c>
      <c r="D700" s="0" t="inlineStr">
        <is>
          <t>NULL</t>
        </is>
      </c>
      <c r="E700" s="0" t="inlineStr">
        <is>
          <t>NULL</t>
        </is>
      </c>
      <c r="F700" s="0" t="inlineStr">
        <is>
          <t>NULL</t>
        </is>
      </c>
      <c r="G700" s="0" t="inlineStr">
        <is>
          <t>NULL</t>
        </is>
      </c>
      <c r="H700" s="0" t="inlineStr">
        <is>
          <t>NULL</t>
        </is>
      </c>
      <c r="I700" s="0" t="inlineStr">
        <is>
          <t>NULL</t>
        </is>
      </c>
      <c r="J700" s="0" t="inlineStr">
        <is>
          <t>NULL</t>
        </is>
      </c>
      <c r="K700" s="0" t="inlineStr">
        <is>
          <t>YES! 	 c_varchar列源备映射正确，源端为varchar 1位	期望更改为varchar(n)	实际备端为varchar 1位</t>
        </is>
      </c>
    </row>
    <row r="701">
      <c r="B701" s="0" t="inlineStr">
        <is>
          <t>NULL</t>
        </is>
      </c>
      <c r="C701" s="0" t="inlineStr">
        <is>
          <t>NULL</t>
        </is>
      </c>
      <c r="D701" s="0" t="inlineStr">
        <is>
          <t>NULL</t>
        </is>
      </c>
      <c r="E701" s="0" t="inlineStr">
        <is>
          <t>NULL</t>
        </is>
      </c>
      <c r="F701" s="0" t="inlineStr">
        <is>
          <t>NULL</t>
        </is>
      </c>
      <c r="G701" s="0" t="inlineStr">
        <is>
          <t>NULL</t>
        </is>
      </c>
      <c r="H701" s="0" t="inlineStr">
        <is>
          <t>NULL</t>
        </is>
      </c>
      <c r="I701" s="0" t="inlineStr">
        <is>
          <t>NULL</t>
        </is>
      </c>
      <c r="J701" s="0" t="inlineStr">
        <is>
          <t>NULL</t>
        </is>
      </c>
      <c r="K701" s="0" t="inlineStr">
        <is>
          <t>YES! 	 c_varchar20列源备映射正确，源端为varchar 20位	期望更改为varchar(n)	实际备端为varchar 20位</t>
        </is>
      </c>
    </row>
    <row r="702">
      <c r="B702" s="0" t="inlineStr">
        <is>
          <t>NULL</t>
        </is>
      </c>
      <c r="C702" s="0" t="inlineStr">
        <is>
          <t>NULL</t>
        </is>
      </c>
      <c r="D702" s="0" t="inlineStr">
        <is>
          <t>NULL</t>
        </is>
      </c>
      <c r="E702" s="0" t="inlineStr">
        <is>
          <t>NULL</t>
        </is>
      </c>
      <c r="F702" s="0" t="inlineStr">
        <is>
          <t>NULL</t>
        </is>
      </c>
      <c r="G702" s="0" t="inlineStr">
        <is>
          <t>NULL</t>
        </is>
      </c>
      <c r="H702" s="0" t="inlineStr">
        <is>
          <t>NULL</t>
        </is>
      </c>
      <c r="I702" s="0" t="inlineStr">
        <is>
          <t>NULL</t>
        </is>
      </c>
      <c r="J702" s="0" t="inlineStr">
        <is>
          <t>NULL</t>
        </is>
      </c>
      <c r="K702" s="0" t="inlineStr">
        <is>
          <t>YES! 	 c_varchar7000列源备映射正确，源端为varchar 7000位	期望更改为varchar(n)	实际备端为varchar 7000位</t>
        </is>
      </c>
    </row>
    <row r="703">
      <c r="A703" s="0" t="inlineStr">
        <is>
          <t>info_varcharmax_dml_single_pk_irp</t>
        </is>
      </c>
      <c r="K703" s="0" t="inlineStr">
        <is>
          <t>[0;34m info_varcharmax_dml_single_pk_irp [0m源备字段数相同，源端字段：3 	备端字段3</t>
        </is>
      </c>
      <c r="W703" s="0" t="inlineStr">
        <is>
          <t>YES 源备无差异</t>
        </is>
      </c>
      <c r="X703" s="0">
        <f>A703</f>
        <v/>
      </c>
    </row>
    <row r="704">
      <c r="B704" s="0" t="inlineStr">
        <is>
          <t>YES</t>
        </is>
      </c>
      <c r="C704" s="0" t="inlineStr">
        <is>
          <t>NULL</t>
        </is>
      </c>
      <c r="D704" s="0" t="inlineStr">
        <is>
          <t>NULL</t>
        </is>
      </c>
      <c r="E704" s="0" t="inlineStr">
        <is>
          <t>NULL</t>
        </is>
      </c>
      <c r="F704" s="0" t="inlineStr">
        <is>
          <t>NULL</t>
        </is>
      </c>
      <c r="G704" s="0" t="inlineStr">
        <is>
          <t>NULL</t>
        </is>
      </c>
      <c r="H704" s="0" t="inlineStr">
        <is>
          <t>NULL</t>
        </is>
      </c>
      <c r="I704" s="0" t="inlineStr">
        <is>
          <t>YES!PK__info_var__3213E83F850C6496</t>
        </is>
      </c>
      <c r="J704" s="0" t="inlineStr">
        <is>
          <t>YES! 主键相关索引</t>
        </is>
      </c>
      <c r="K704" s="0" t="inlineStr">
        <is>
          <t>YES! 	 id列源备映射正确，源端为int None位	期望更改为int	实际备端为int None位</t>
        </is>
      </c>
    </row>
    <row r="705">
      <c r="B705" s="0" t="inlineStr">
        <is>
          <t>NULL</t>
        </is>
      </c>
      <c r="C705" s="0" t="inlineStr">
        <is>
          <t>NULL</t>
        </is>
      </c>
      <c r="D705" s="0" t="inlineStr">
        <is>
          <t>NULL</t>
        </is>
      </c>
      <c r="E705" s="0" t="inlineStr">
        <is>
          <t>NULL</t>
        </is>
      </c>
      <c r="F705" s="0" t="inlineStr">
        <is>
          <t>NULL</t>
        </is>
      </c>
      <c r="G705" s="0" t="inlineStr">
        <is>
          <t>NULL</t>
        </is>
      </c>
      <c r="H705" s="0" t="inlineStr">
        <is>
          <t>NULL</t>
        </is>
      </c>
      <c r="I705" s="0" t="inlineStr">
        <is>
          <t>NULL</t>
        </is>
      </c>
      <c r="J705" s="0" t="inlineStr">
        <is>
          <t>NULL</t>
        </is>
      </c>
      <c r="K705" s="0" t="inlineStr">
        <is>
          <t>YES! 	 c_varchar_max列源备映射正确，源端为varchar -1位	期望更改为varchar(n)	实际备端为varchar -1位</t>
        </is>
      </c>
    </row>
    <row r="706">
      <c r="B706" s="0" t="inlineStr">
        <is>
          <t>NULL</t>
        </is>
      </c>
      <c r="C706" s="0" t="inlineStr">
        <is>
          <t>NULL</t>
        </is>
      </c>
      <c r="D706" s="0" t="inlineStr">
        <is>
          <t>NULL</t>
        </is>
      </c>
      <c r="E706" s="0" t="inlineStr">
        <is>
          <t>NULL</t>
        </is>
      </c>
      <c r="F706" s="0" t="inlineStr">
        <is>
          <t>NULL</t>
        </is>
      </c>
      <c r="G706" s="0" t="inlineStr">
        <is>
          <t>NULL</t>
        </is>
      </c>
      <c r="H706" s="0" t="inlineStr">
        <is>
          <t>NULL</t>
        </is>
      </c>
      <c r="I706" s="0" t="inlineStr">
        <is>
          <t>NULL</t>
        </is>
      </c>
      <c r="J706" s="0" t="inlineStr">
        <is>
          <t>NULL</t>
        </is>
      </c>
      <c r="K706" s="0" t="inlineStr">
        <is>
          <t>YES! 	 c_nvarchar_max列源备映射正确，源端为nvarchar -1位	期望更改为nvarchar(n)	实际备端为nvarchar -1位</t>
        </is>
      </c>
    </row>
    <row r="707">
      <c r="A707" s="0" t="inlineStr">
        <is>
          <t>info_text_dml_single_pk</t>
        </is>
      </c>
      <c r="K707" s="0" t="inlineStr">
        <is>
          <t>[0;34m info_text_dml_single_pk [0m源备字段数相同，源端字段：3 	备端字段3</t>
        </is>
      </c>
      <c r="W707" s="0" t="inlineStr">
        <is>
          <t>YES 源备无差异</t>
        </is>
      </c>
      <c r="X707" s="0">
        <f>A707</f>
        <v/>
      </c>
    </row>
    <row r="708">
      <c r="B708" s="0" t="inlineStr">
        <is>
          <t>YES</t>
        </is>
      </c>
      <c r="C708" s="0" t="inlineStr">
        <is>
          <t>NULL</t>
        </is>
      </c>
      <c r="D708" s="0" t="inlineStr">
        <is>
          <t>NULL</t>
        </is>
      </c>
      <c r="E708" s="0" t="inlineStr">
        <is>
          <t>NULL</t>
        </is>
      </c>
      <c r="F708" s="0" t="inlineStr">
        <is>
          <t>NULL</t>
        </is>
      </c>
      <c r="G708" s="0" t="inlineStr">
        <is>
          <t>NULL</t>
        </is>
      </c>
      <c r="H708" s="0" t="inlineStr">
        <is>
          <t>NULL</t>
        </is>
      </c>
      <c r="I708" s="0" t="inlineStr">
        <is>
          <t>YES!PK__info_tex__3213E83F041B8173</t>
        </is>
      </c>
      <c r="J708" s="0" t="inlineStr">
        <is>
          <t>YES! 主键相关索引</t>
        </is>
      </c>
      <c r="K708" s="0" t="inlineStr">
        <is>
          <t>YES! 	 id列源备映射正确，源端为int None位	期望更改为int	实际备端为int None位</t>
        </is>
      </c>
    </row>
    <row r="709">
      <c r="B709" s="0" t="inlineStr">
        <is>
          <t>NULL</t>
        </is>
      </c>
      <c r="C709" s="0" t="inlineStr">
        <is>
          <t>NULL</t>
        </is>
      </c>
      <c r="D709" s="0" t="inlineStr">
        <is>
          <t>NULL</t>
        </is>
      </c>
      <c r="E709" s="0" t="inlineStr">
        <is>
          <t>NULL</t>
        </is>
      </c>
      <c r="F709" s="0" t="inlineStr">
        <is>
          <t>NULL</t>
        </is>
      </c>
      <c r="G709" s="0" t="inlineStr">
        <is>
          <t>NULL</t>
        </is>
      </c>
      <c r="H709" s="0" t="inlineStr">
        <is>
          <t>NULL</t>
        </is>
      </c>
      <c r="I709" s="0" t="inlineStr">
        <is>
          <t>NULL</t>
        </is>
      </c>
      <c r="J709" s="0" t="inlineStr">
        <is>
          <t>NULL</t>
        </is>
      </c>
      <c r="K709" s="0" t="inlineStr">
        <is>
          <t>YES! 	 c_text列源备映射正确，源端为text 2147483647位	期望更改为text	实际备端为text 2147483647位</t>
        </is>
      </c>
    </row>
    <row r="710">
      <c r="B710" s="0" t="inlineStr">
        <is>
          <t>NULL</t>
        </is>
      </c>
      <c r="C710" s="0" t="inlineStr">
        <is>
          <t>NULL</t>
        </is>
      </c>
      <c r="D710" s="0" t="inlineStr">
        <is>
          <t>NULL</t>
        </is>
      </c>
      <c r="E710" s="0" t="inlineStr">
        <is>
          <t>NULL</t>
        </is>
      </c>
      <c r="F710" s="0" t="inlineStr">
        <is>
          <t>NULL</t>
        </is>
      </c>
      <c r="G710" s="0" t="inlineStr">
        <is>
          <t>NULL</t>
        </is>
      </c>
      <c r="H710" s="0" t="inlineStr">
        <is>
          <t>NULL</t>
        </is>
      </c>
      <c r="I710" s="0" t="inlineStr">
        <is>
          <t>NULL</t>
        </is>
      </c>
      <c r="J710" s="0" t="inlineStr">
        <is>
          <t>NULL</t>
        </is>
      </c>
      <c r="K710" s="0" t="inlineStr">
        <is>
          <t>YES! 	 c_ntext列源备映射正确，源端为ntext 2147483646位	期望更改为ntext	实际备端为ntext 2147483646位</t>
        </is>
      </c>
    </row>
    <row r="711">
      <c r="K711" s="0" t="inlineStr">
        <is>
          <t>~ 空表</t>
        </is>
      </c>
    </row>
    <row r="712">
      <c r="A712" s="0" t="inlineStr">
        <is>
          <t>info_datetime_dml_batch1_pk_urp1</t>
        </is>
      </c>
      <c r="K712" s="0" t="inlineStr">
        <is>
          <t>[0;34m info_datetime_dml_batch1_pk_urp1 [0m源备字段数相同，源端字段：2 	备端字段2</t>
        </is>
      </c>
      <c r="W712" s="0" t="inlineStr">
        <is>
          <t>YES 源备无差异</t>
        </is>
      </c>
      <c r="X712" s="0">
        <f>A712</f>
        <v/>
      </c>
    </row>
    <row r="713">
      <c r="B713" s="0" t="inlineStr">
        <is>
          <t>YES</t>
        </is>
      </c>
      <c r="C713" s="0" t="inlineStr">
        <is>
          <t>NULL</t>
        </is>
      </c>
      <c r="D713" s="0" t="inlineStr">
        <is>
          <t>NULL</t>
        </is>
      </c>
      <c r="E713" s="0" t="inlineStr">
        <is>
          <t>NULL</t>
        </is>
      </c>
      <c r="F713" s="0" t="inlineStr">
        <is>
          <t>NULL</t>
        </is>
      </c>
      <c r="G713" s="0" t="inlineStr">
        <is>
          <t>NULL</t>
        </is>
      </c>
      <c r="H713" s="0" t="inlineStr">
        <is>
          <t>NULL</t>
        </is>
      </c>
      <c r="I713" s="0" t="inlineStr">
        <is>
          <t>YES!PK__info_dat__3213E83FFC5CACE2</t>
        </is>
      </c>
      <c r="J713" s="0" t="inlineStr">
        <is>
          <t>YES! 主键相关索引</t>
        </is>
      </c>
      <c r="K713" s="0" t="inlineStr">
        <is>
          <t>YES! 	 id列源备映射正确，源端为int None位	期望更改为int	实际备端为int None位</t>
        </is>
      </c>
    </row>
    <row r="714">
      <c r="B714" s="0" t="inlineStr">
        <is>
          <t>NULL</t>
        </is>
      </c>
      <c r="C714" s="0" t="inlineStr">
        <is>
          <t>NULL</t>
        </is>
      </c>
      <c r="D714" s="0" t="inlineStr">
        <is>
          <t>NULL</t>
        </is>
      </c>
      <c r="E714" s="0" t="inlineStr">
        <is>
          <t>NULL</t>
        </is>
      </c>
      <c r="F714" s="0" t="inlineStr">
        <is>
          <t>NULL</t>
        </is>
      </c>
      <c r="G714" s="0" t="inlineStr">
        <is>
          <t>NULL</t>
        </is>
      </c>
      <c r="H714" s="0" t="inlineStr">
        <is>
          <t>NULL</t>
        </is>
      </c>
      <c r="I714" s="0" t="inlineStr">
        <is>
          <t>NULL</t>
        </is>
      </c>
      <c r="J714" s="0" t="inlineStr">
        <is>
          <t>NULL</t>
        </is>
      </c>
      <c r="K714" s="0" t="inlineStr">
        <is>
          <t>YES! 	 c_datetime列源备映射正确，源端为datetime None位	期望更改为datetime	实际备端为datetime None位</t>
        </is>
      </c>
    </row>
    <row r="715">
      <c r="A715" s="0" t="inlineStr">
        <is>
          <t>info_date_dml_single_pk_irp</t>
        </is>
      </c>
      <c r="K715" s="0" t="inlineStr">
        <is>
          <t>[0;34m info_date_dml_single_pk_irp [0m源备字段数相同，源端字段：2 	备端字段2</t>
        </is>
      </c>
      <c r="W715" s="0" t="inlineStr">
        <is>
          <t>YES 源备无差异</t>
        </is>
      </c>
      <c r="X715" s="0">
        <f>A715</f>
        <v/>
      </c>
    </row>
    <row r="716">
      <c r="B716" s="0" t="inlineStr">
        <is>
          <t>YES</t>
        </is>
      </c>
      <c r="C716" s="0" t="inlineStr">
        <is>
          <t>NULL</t>
        </is>
      </c>
      <c r="D716" s="0" t="inlineStr">
        <is>
          <t>NULL</t>
        </is>
      </c>
      <c r="E716" s="0" t="inlineStr">
        <is>
          <t>NULL</t>
        </is>
      </c>
      <c r="F716" s="0" t="inlineStr">
        <is>
          <t>NULL</t>
        </is>
      </c>
      <c r="G716" s="0" t="inlineStr">
        <is>
          <t>NULL</t>
        </is>
      </c>
      <c r="H716" s="0" t="inlineStr">
        <is>
          <t>NULL</t>
        </is>
      </c>
      <c r="I716" s="0" t="inlineStr">
        <is>
          <t>YES!PK__info_dat__3213E83FA4D0597A</t>
        </is>
      </c>
      <c r="J716" s="0" t="inlineStr">
        <is>
          <t>YES! 主键相关索引</t>
        </is>
      </c>
      <c r="K716" s="0" t="inlineStr">
        <is>
          <t>YES! 	 id列源备映射正确，源端为int None位	期望更改为int	实际备端为int None位</t>
        </is>
      </c>
    </row>
    <row r="717">
      <c r="B717" s="0" t="inlineStr">
        <is>
          <t>NULL</t>
        </is>
      </c>
      <c r="C717" s="0" t="inlineStr">
        <is>
          <t>NULL</t>
        </is>
      </c>
      <c r="D717" s="0" t="inlineStr">
        <is>
          <t>NULL</t>
        </is>
      </c>
      <c r="E717" s="0" t="inlineStr">
        <is>
          <t>NULL</t>
        </is>
      </c>
      <c r="F717" s="0" t="inlineStr">
        <is>
          <t>NULL</t>
        </is>
      </c>
      <c r="G717" s="0" t="inlineStr">
        <is>
          <t>NULL</t>
        </is>
      </c>
      <c r="H717" s="0" t="inlineStr">
        <is>
          <t>NULL</t>
        </is>
      </c>
      <c r="I717" s="0" t="inlineStr">
        <is>
          <t>NULL</t>
        </is>
      </c>
      <c r="J717" s="0" t="inlineStr">
        <is>
          <t>NULL</t>
        </is>
      </c>
      <c r="K717" s="0" t="inlineStr">
        <is>
          <t>YES! 	 c_date列源备映射正确，源端为date None位	期望更改为date	实际备端为date None位</t>
        </is>
      </c>
    </row>
    <row r="718">
      <c r="A718" s="0" t="inlineStr">
        <is>
          <t>info_varcharmax_dml_single_pk_urp</t>
        </is>
      </c>
      <c r="K718" s="0" t="inlineStr">
        <is>
          <t>[0;34m info_varcharmax_dml_single_pk_urp [0m源备字段数相同，源端字段：3 	备端字段3</t>
        </is>
      </c>
      <c r="W718" s="0" t="inlineStr">
        <is>
          <t>YES 源备无差异</t>
        </is>
      </c>
      <c r="X718" s="0">
        <f>A718</f>
        <v/>
      </c>
    </row>
    <row r="719">
      <c r="B719" s="0" t="inlineStr">
        <is>
          <t>YES</t>
        </is>
      </c>
      <c r="C719" s="0" t="inlineStr">
        <is>
          <t>NULL</t>
        </is>
      </c>
      <c r="D719" s="0" t="inlineStr">
        <is>
          <t>NULL</t>
        </is>
      </c>
      <c r="E719" s="0" t="inlineStr">
        <is>
          <t>NULL</t>
        </is>
      </c>
      <c r="F719" s="0" t="inlineStr">
        <is>
          <t>NULL</t>
        </is>
      </c>
      <c r="G719" s="0" t="inlineStr">
        <is>
          <t>NULL</t>
        </is>
      </c>
      <c r="H719" s="0" t="inlineStr">
        <is>
          <t>NULL</t>
        </is>
      </c>
      <c r="I719" s="0" t="inlineStr">
        <is>
          <t>YES!PK__info_var__3213E83FDD33FE7B</t>
        </is>
      </c>
      <c r="J719" s="0" t="inlineStr">
        <is>
          <t>YES! 主键相关索引</t>
        </is>
      </c>
      <c r="K719" s="0" t="inlineStr">
        <is>
          <t>YES! 	 id列源备映射正确，源端为int None位	期望更改为int	实际备端为int None位</t>
        </is>
      </c>
    </row>
    <row r="720">
      <c r="B720" s="0" t="inlineStr">
        <is>
          <t>NULL</t>
        </is>
      </c>
      <c r="C720" s="0" t="inlineStr">
        <is>
          <t>NULL</t>
        </is>
      </c>
      <c r="D720" s="0" t="inlineStr">
        <is>
          <t>NULL</t>
        </is>
      </c>
      <c r="E720" s="0" t="inlineStr">
        <is>
          <t>NULL</t>
        </is>
      </c>
      <c r="F720" s="0" t="inlineStr">
        <is>
          <t>NULL</t>
        </is>
      </c>
      <c r="G720" s="0" t="inlineStr">
        <is>
          <t>NULL</t>
        </is>
      </c>
      <c r="H720" s="0" t="inlineStr">
        <is>
          <t>NULL</t>
        </is>
      </c>
      <c r="I720" s="0" t="inlineStr">
        <is>
          <t>NULL</t>
        </is>
      </c>
      <c r="J720" s="0" t="inlineStr">
        <is>
          <t>NULL</t>
        </is>
      </c>
      <c r="K720" s="0" t="inlineStr">
        <is>
          <t>YES! 	 c_varchar_max列源备映射正确，源端为varchar -1位	期望更改为varchar(n)	实际备端为varchar -1位</t>
        </is>
      </c>
    </row>
    <row r="721">
      <c r="B721" s="0" t="inlineStr">
        <is>
          <t>NULL</t>
        </is>
      </c>
      <c r="C721" s="0" t="inlineStr">
        <is>
          <t>NULL</t>
        </is>
      </c>
      <c r="D721" s="0" t="inlineStr">
        <is>
          <t>NULL</t>
        </is>
      </c>
      <c r="E721" s="0" t="inlineStr">
        <is>
          <t>NULL</t>
        </is>
      </c>
      <c r="F721" s="0" t="inlineStr">
        <is>
          <t>NULL</t>
        </is>
      </c>
      <c r="G721" s="0" t="inlineStr">
        <is>
          <t>NULL</t>
        </is>
      </c>
      <c r="H721" s="0" t="inlineStr">
        <is>
          <t>NULL</t>
        </is>
      </c>
      <c r="I721" s="0" t="inlineStr">
        <is>
          <t>NULL</t>
        </is>
      </c>
      <c r="J721" s="0" t="inlineStr">
        <is>
          <t>NULL</t>
        </is>
      </c>
      <c r="K721" s="0" t="inlineStr">
        <is>
          <t>YES! 	 c_nvarchar_max列源备映射正确，源端为nvarchar -1位	期望更改为nvarchar(n)	实际备端为nvarchar -1位</t>
        </is>
      </c>
    </row>
    <row r="722">
      <c r="A722" s="0" t="inlineStr">
        <is>
          <t>info_nchar_dml_batch1_pk_irp1</t>
        </is>
      </c>
      <c r="K722" s="0" t="inlineStr">
        <is>
          <t>[0;34m info_nchar_dml_batch1_pk_irp1 [0m源备字段数相同，源端字段：4 	备端字段4</t>
        </is>
      </c>
      <c r="W722" s="0" t="inlineStr">
        <is>
          <t>YES 源备无差异</t>
        </is>
      </c>
      <c r="X722" s="0">
        <f>A722</f>
        <v/>
      </c>
    </row>
    <row r="723">
      <c r="B723" s="0" t="inlineStr">
        <is>
          <t>YES</t>
        </is>
      </c>
      <c r="C723" s="0" t="inlineStr">
        <is>
          <t>NULL</t>
        </is>
      </c>
      <c r="D723" s="0" t="inlineStr">
        <is>
          <t>NULL</t>
        </is>
      </c>
      <c r="E723" s="0" t="inlineStr">
        <is>
          <t>NULL</t>
        </is>
      </c>
      <c r="F723" s="0" t="inlineStr">
        <is>
          <t>NULL</t>
        </is>
      </c>
      <c r="G723" s="0" t="inlineStr">
        <is>
          <t>NULL</t>
        </is>
      </c>
      <c r="H723" s="0" t="inlineStr">
        <is>
          <t>NULL</t>
        </is>
      </c>
      <c r="I723" s="0" t="inlineStr">
        <is>
          <t>YES!PK__info_nch__3213E83F3F983448</t>
        </is>
      </c>
      <c r="J723" s="0" t="inlineStr">
        <is>
          <t>YES! 主键相关索引</t>
        </is>
      </c>
      <c r="K723" s="0" t="inlineStr">
        <is>
          <t>YES! 	 id列源备映射正确，源端为int None位	期望更改为int	实际备端为int None位</t>
        </is>
      </c>
    </row>
    <row r="724">
      <c r="B724" s="0" t="inlineStr">
        <is>
          <t>NULL</t>
        </is>
      </c>
      <c r="C724" s="0" t="inlineStr">
        <is>
          <t>NULL</t>
        </is>
      </c>
      <c r="D724" s="0" t="inlineStr">
        <is>
          <t>NULL</t>
        </is>
      </c>
      <c r="E724" s="0" t="inlineStr">
        <is>
          <t>NULL</t>
        </is>
      </c>
      <c r="F724" s="0" t="inlineStr">
        <is>
          <t>NULL</t>
        </is>
      </c>
      <c r="G724" s="0" t="inlineStr">
        <is>
          <t>NULL</t>
        </is>
      </c>
      <c r="H724" s="0" t="inlineStr">
        <is>
          <t>NULL</t>
        </is>
      </c>
      <c r="I724" s="0" t="inlineStr">
        <is>
          <t>NULL</t>
        </is>
      </c>
      <c r="J724" s="0" t="inlineStr">
        <is>
          <t>NULL</t>
        </is>
      </c>
      <c r="K724" s="0" t="inlineStr">
        <is>
          <t>YES! 	 c_nchar列源备映射正确，源端为nchar 2位	期望更改为nchar(n)	实际备端为nchar 2位</t>
        </is>
      </c>
    </row>
    <row r="725">
      <c r="B725" s="0" t="inlineStr">
        <is>
          <t>NULL</t>
        </is>
      </c>
      <c r="C725" s="0" t="inlineStr">
        <is>
          <t>NULL</t>
        </is>
      </c>
      <c r="D725" s="0" t="inlineStr">
        <is>
          <t>NULL</t>
        </is>
      </c>
      <c r="E725" s="0" t="inlineStr">
        <is>
          <t>NULL</t>
        </is>
      </c>
      <c r="F725" s="0" t="inlineStr">
        <is>
          <t>NULL</t>
        </is>
      </c>
      <c r="G725" s="0" t="inlineStr">
        <is>
          <t>NULL</t>
        </is>
      </c>
      <c r="H725" s="0" t="inlineStr">
        <is>
          <t>NULL</t>
        </is>
      </c>
      <c r="I725" s="0" t="inlineStr">
        <is>
          <t>NULL</t>
        </is>
      </c>
      <c r="J725" s="0" t="inlineStr">
        <is>
          <t>NULL</t>
        </is>
      </c>
      <c r="K725" s="0" t="inlineStr">
        <is>
          <t>YES! 	 c_nchar20列源备映射正确，源端为nchar 40位	期望更改为nchar(n)	实际备端为nchar 40位</t>
        </is>
      </c>
    </row>
    <row r="726">
      <c r="B726" s="0" t="inlineStr">
        <is>
          <t>NULL</t>
        </is>
      </c>
      <c r="C726" s="0" t="inlineStr">
        <is>
          <t>NULL</t>
        </is>
      </c>
      <c r="D726" s="0" t="inlineStr">
        <is>
          <t>NULL</t>
        </is>
      </c>
      <c r="E726" s="0" t="inlineStr">
        <is>
          <t>NULL</t>
        </is>
      </c>
      <c r="F726" s="0" t="inlineStr">
        <is>
          <t>NULL</t>
        </is>
      </c>
      <c r="G726" s="0" t="inlineStr">
        <is>
          <t>NULL</t>
        </is>
      </c>
      <c r="H726" s="0" t="inlineStr">
        <is>
          <t>NULL</t>
        </is>
      </c>
      <c r="I726" s="0" t="inlineStr">
        <is>
          <t>NULL</t>
        </is>
      </c>
      <c r="J726" s="0" t="inlineStr">
        <is>
          <t>NULL</t>
        </is>
      </c>
      <c r="K726" s="0" t="inlineStr">
        <is>
          <t>YES! 	 c_nchar4000列源备映射正确，源端为nchar 8000位	期望更改为nchar(n)	实际备端为nchar 8000位</t>
        </is>
      </c>
    </row>
    <row r="727">
      <c r="A727" s="0" t="inlineStr">
        <is>
          <t>info_datetime_dml_batch1_pk_urp2</t>
        </is>
      </c>
      <c r="K727" s="0" t="inlineStr">
        <is>
          <t>[0;34m info_datetime_dml_batch1_pk_urp2 [0m源备字段数相同，源端字段：2 	备端字段2</t>
        </is>
      </c>
      <c r="W727" s="0" t="inlineStr">
        <is>
          <t>YES 源备无差异</t>
        </is>
      </c>
      <c r="X727" s="0">
        <f>A727</f>
        <v/>
      </c>
    </row>
    <row r="728">
      <c r="B728" s="0" t="inlineStr">
        <is>
          <t>YES</t>
        </is>
      </c>
      <c r="C728" s="0" t="inlineStr">
        <is>
          <t>NULL</t>
        </is>
      </c>
      <c r="D728" s="0" t="inlineStr">
        <is>
          <t>NULL</t>
        </is>
      </c>
      <c r="E728" s="0" t="inlineStr">
        <is>
          <t>NULL</t>
        </is>
      </c>
      <c r="F728" s="0" t="inlineStr">
        <is>
          <t>NULL</t>
        </is>
      </c>
      <c r="G728" s="0" t="inlineStr">
        <is>
          <t>NULL</t>
        </is>
      </c>
      <c r="H728" s="0" t="inlineStr">
        <is>
          <t>NULL</t>
        </is>
      </c>
      <c r="I728" s="0" t="inlineStr">
        <is>
          <t>YES!PK__info_dat__3213E83F3FB40563</t>
        </is>
      </c>
      <c r="J728" s="0" t="inlineStr">
        <is>
          <t>YES! 主键相关索引</t>
        </is>
      </c>
      <c r="K728" s="0" t="inlineStr">
        <is>
          <t>YES! 	 id列源备映射正确，源端为int None位	期望更改为int	实际备端为int None位</t>
        </is>
      </c>
    </row>
    <row r="729">
      <c r="B729" s="0" t="inlineStr">
        <is>
          <t>NULL</t>
        </is>
      </c>
      <c r="C729" s="0" t="inlineStr">
        <is>
          <t>NULL</t>
        </is>
      </c>
      <c r="D729" s="0" t="inlineStr">
        <is>
          <t>NULL</t>
        </is>
      </c>
      <c r="E729" s="0" t="inlineStr">
        <is>
          <t>NULL</t>
        </is>
      </c>
      <c r="F729" s="0" t="inlineStr">
        <is>
          <t>NULL</t>
        </is>
      </c>
      <c r="G729" s="0" t="inlineStr">
        <is>
          <t>NULL</t>
        </is>
      </c>
      <c r="H729" s="0" t="inlineStr">
        <is>
          <t>NULL</t>
        </is>
      </c>
      <c r="I729" s="0" t="inlineStr">
        <is>
          <t>NULL</t>
        </is>
      </c>
      <c r="J729" s="0" t="inlineStr">
        <is>
          <t>NULL</t>
        </is>
      </c>
      <c r="K729" s="0" t="inlineStr">
        <is>
          <t>YES! 	 c_datetime列源备映射正确，源端为datetime None位	期望更改为datetime	实际备端为datetime None位</t>
        </is>
      </c>
    </row>
    <row r="730">
      <c r="A730" s="0" t="inlineStr">
        <is>
          <t>info_nvarchar_dml_single_nopk</t>
        </is>
      </c>
      <c r="K730" s="0" t="inlineStr">
        <is>
          <t>[0;34m info_nvarchar_dml_single_nopk [0m源备字段数相同，源端字段：4 	备端字段4</t>
        </is>
      </c>
      <c r="W730" s="0" t="inlineStr">
        <is>
          <t>YES 源备无差异</t>
        </is>
      </c>
      <c r="X730" s="0">
        <f>A730</f>
        <v/>
      </c>
    </row>
    <row r="731">
      <c r="B731" s="0" t="inlineStr">
        <is>
          <t>NULL</t>
        </is>
      </c>
      <c r="C731" s="0" t="inlineStr">
        <is>
          <t>NULL</t>
        </is>
      </c>
      <c r="D731" s="0" t="inlineStr">
        <is>
          <t>NULL</t>
        </is>
      </c>
      <c r="E731" s="0" t="inlineStr">
        <is>
          <t>NULL</t>
        </is>
      </c>
      <c r="F731" s="0" t="inlineStr">
        <is>
          <t>NULL</t>
        </is>
      </c>
      <c r="G731" s="0" t="inlineStr">
        <is>
          <t>NULL</t>
        </is>
      </c>
      <c r="H731" s="0" t="inlineStr">
        <is>
          <t>NULL</t>
        </is>
      </c>
      <c r="I731" s="0" t="inlineStr">
        <is>
          <t>NULL</t>
        </is>
      </c>
      <c r="J731" s="0" t="inlineStr">
        <is>
          <t>NULL</t>
        </is>
      </c>
      <c r="K731" s="0" t="inlineStr">
        <is>
          <t>YES! 	 id列源备映射正确，源端为int None位	期望更改为int	实际备端为int None位</t>
        </is>
      </c>
    </row>
    <row r="732">
      <c r="B732" s="0" t="inlineStr">
        <is>
          <t>NULL</t>
        </is>
      </c>
      <c r="C732" s="0" t="inlineStr">
        <is>
          <t>NULL</t>
        </is>
      </c>
      <c r="D732" s="0" t="inlineStr">
        <is>
          <t>NULL</t>
        </is>
      </c>
      <c r="E732" s="0" t="inlineStr">
        <is>
          <t>NULL</t>
        </is>
      </c>
      <c r="F732" s="0" t="inlineStr">
        <is>
          <t>NULL</t>
        </is>
      </c>
      <c r="G732" s="0" t="inlineStr">
        <is>
          <t>NULL</t>
        </is>
      </c>
      <c r="H732" s="0" t="inlineStr">
        <is>
          <t>NULL</t>
        </is>
      </c>
      <c r="I732" s="0" t="inlineStr">
        <is>
          <t>NULL</t>
        </is>
      </c>
      <c r="J732" s="0" t="inlineStr">
        <is>
          <t>NULL</t>
        </is>
      </c>
      <c r="K732" s="0" t="inlineStr">
        <is>
          <t>YES! 	 c_nvarchar列源备映射正确，源端为nvarchar 2位	期望更改为nvarchar(n)	实际备端为nvarchar 2位</t>
        </is>
      </c>
    </row>
    <row r="733">
      <c r="B733" s="0" t="inlineStr">
        <is>
          <t>NULL</t>
        </is>
      </c>
      <c r="C733" s="0" t="inlineStr">
        <is>
          <t>NULL</t>
        </is>
      </c>
      <c r="D733" s="0" t="inlineStr">
        <is>
          <t>NULL</t>
        </is>
      </c>
      <c r="E733" s="0" t="inlineStr">
        <is>
          <t>NULL</t>
        </is>
      </c>
      <c r="F733" s="0" t="inlineStr">
        <is>
          <t>NULL</t>
        </is>
      </c>
      <c r="G733" s="0" t="inlineStr">
        <is>
          <t>NULL</t>
        </is>
      </c>
      <c r="H733" s="0" t="inlineStr">
        <is>
          <t>NULL</t>
        </is>
      </c>
      <c r="I733" s="0" t="inlineStr">
        <is>
          <t>NULL</t>
        </is>
      </c>
      <c r="J733" s="0" t="inlineStr">
        <is>
          <t>NULL</t>
        </is>
      </c>
      <c r="K733" s="0" t="inlineStr">
        <is>
          <t>YES! 	 c_nvarchar20列源备映射正确，源端为nvarchar 40位	期望更改为nvarchar(n)	实际备端为nvarchar 40位</t>
        </is>
      </c>
    </row>
    <row r="734">
      <c r="B734" s="0" t="inlineStr">
        <is>
          <t>NULL</t>
        </is>
      </c>
      <c r="C734" s="0" t="inlineStr">
        <is>
          <t>NULL</t>
        </is>
      </c>
      <c r="D734" s="0" t="inlineStr">
        <is>
          <t>NULL</t>
        </is>
      </c>
      <c r="E734" s="0" t="inlineStr">
        <is>
          <t>NULL</t>
        </is>
      </c>
      <c r="F734" s="0" t="inlineStr">
        <is>
          <t>NULL</t>
        </is>
      </c>
      <c r="G734" s="0" t="inlineStr">
        <is>
          <t>NULL</t>
        </is>
      </c>
      <c r="H734" s="0" t="inlineStr">
        <is>
          <t>NULL</t>
        </is>
      </c>
      <c r="I734" s="0" t="inlineStr">
        <is>
          <t>NULL</t>
        </is>
      </c>
      <c r="J734" s="0" t="inlineStr">
        <is>
          <t>NULL</t>
        </is>
      </c>
      <c r="K734" s="0" t="inlineStr">
        <is>
          <t>YES! 	 c_nvarchar4000列源备映射正确，源端为nvarchar 8000位	期望更改为nvarchar(n)	实际备端为nvarchar 8000位</t>
        </is>
      </c>
    </row>
    <row r="735">
      <c r="A735" s="0" t="inlineStr">
        <is>
          <t>info_date_dml_single_pk_urp</t>
        </is>
      </c>
      <c r="K735" s="0" t="inlineStr">
        <is>
          <t>[0;34m info_date_dml_single_pk_urp [0m源备字段数相同，源端字段：2 	备端字段2</t>
        </is>
      </c>
      <c r="W735" s="0" t="inlineStr">
        <is>
          <t>YES 源备无差异</t>
        </is>
      </c>
      <c r="X735" s="0">
        <f>A735</f>
        <v/>
      </c>
    </row>
    <row r="736">
      <c r="B736" s="0" t="inlineStr">
        <is>
          <t>YES</t>
        </is>
      </c>
      <c r="C736" s="0" t="inlineStr">
        <is>
          <t>NULL</t>
        </is>
      </c>
      <c r="D736" s="0" t="inlineStr">
        <is>
          <t>NULL</t>
        </is>
      </c>
      <c r="E736" s="0" t="inlineStr">
        <is>
          <t>NULL</t>
        </is>
      </c>
      <c r="F736" s="0" t="inlineStr">
        <is>
          <t>NULL</t>
        </is>
      </c>
      <c r="G736" s="0" t="inlineStr">
        <is>
          <t>NULL</t>
        </is>
      </c>
      <c r="H736" s="0" t="inlineStr">
        <is>
          <t>NULL</t>
        </is>
      </c>
      <c r="I736" s="0" t="inlineStr">
        <is>
          <t>YES!PK__info_dat__3213E83F54C67E83</t>
        </is>
      </c>
      <c r="J736" s="0" t="inlineStr">
        <is>
          <t>YES! 主键相关索引</t>
        </is>
      </c>
      <c r="K736" s="0" t="inlineStr">
        <is>
          <t>YES! 	 id列源备映射正确，源端为int None位	期望更改为int	实际备端为int None位</t>
        </is>
      </c>
    </row>
    <row r="737">
      <c r="B737" s="0" t="inlineStr">
        <is>
          <t>NULL</t>
        </is>
      </c>
      <c r="C737" s="0" t="inlineStr">
        <is>
          <t>NULL</t>
        </is>
      </c>
      <c r="D737" s="0" t="inlineStr">
        <is>
          <t>NULL</t>
        </is>
      </c>
      <c r="E737" s="0" t="inlineStr">
        <is>
          <t>NULL</t>
        </is>
      </c>
      <c r="F737" s="0" t="inlineStr">
        <is>
          <t>NULL</t>
        </is>
      </c>
      <c r="G737" s="0" t="inlineStr">
        <is>
          <t>NULL</t>
        </is>
      </c>
      <c r="H737" s="0" t="inlineStr">
        <is>
          <t>NULL</t>
        </is>
      </c>
      <c r="I737" s="0" t="inlineStr">
        <is>
          <t>NULL</t>
        </is>
      </c>
      <c r="J737" s="0" t="inlineStr">
        <is>
          <t>NULL</t>
        </is>
      </c>
      <c r="K737" s="0" t="inlineStr">
        <is>
          <t>YES! 	 c_date列源备映射正确，源端为date None位	期望更改为date	实际备端为date None位</t>
        </is>
      </c>
    </row>
    <row r="738">
      <c r="A738" s="0" t="inlineStr">
        <is>
          <t>info_nchar_dml_batch1_pk_irp2</t>
        </is>
      </c>
      <c r="K738" s="0" t="inlineStr">
        <is>
          <t>[0;34m info_nchar_dml_batch1_pk_irp2 [0m源备字段数相同，源端字段：4 	备端字段4</t>
        </is>
      </c>
      <c r="W738" s="0" t="inlineStr">
        <is>
          <t>YES 源备无差异</t>
        </is>
      </c>
      <c r="X738" s="0">
        <f>A738</f>
        <v/>
      </c>
    </row>
    <row r="739">
      <c r="B739" s="0" t="inlineStr">
        <is>
          <t>YES</t>
        </is>
      </c>
      <c r="C739" s="0" t="inlineStr">
        <is>
          <t>NULL</t>
        </is>
      </c>
      <c r="D739" s="0" t="inlineStr">
        <is>
          <t>NULL</t>
        </is>
      </c>
      <c r="E739" s="0" t="inlineStr">
        <is>
          <t>NULL</t>
        </is>
      </c>
      <c r="F739" s="0" t="inlineStr">
        <is>
          <t>NULL</t>
        </is>
      </c>
      <c r="G739" s="0" t="inlineStr">
        <is>
          <t>NULL</t>
        </is>
      </c>
      <c r="H739" s="0" t="inlineStr">
        <is>
          <t>NULL</t>
        </is>
      </c>
      <c r="I739" s="0" t="inlineStr">
        <is>
          <t>YES!PK__info_nch__3213E83F8697A893</t>
        </is>
      </c>
      <c r="J739" s="0" t="inlineStr">
        <is>
          <t>YES! 主键相关索引</t>
        </is>
      </c>
      <c r="K739" s="0" t="inlineStr">
        <is>
          <t>YES! 	 id列源备映射正确，源端为int None位	期望更改为int	实际备端为int None位</t>
        </is>
      </c>
    </row>
    <row r="740">
      <c r="B740" s="0" t="inlineStr">
        <is>
          <t>NULL</t>
        </is>
      </c>
      <c r="C740" s="0" t="inlineStr">
        <is>
          <t>NULL</t>
        </is>
      </c>
      <c r="D740" s="0" t="inlineStr">
        <is>
          <t>NULL</t>
        </is>
      </c>
      <c r="E740" s="0" t="inlineStr">
        <is>
          <t>NULL</t>
        </is>
      </c>
      <c r="F740" s="0" t="inlineStr">
        <is>
          <t>NULL</t>
        </is>
      </c>
      <c r="G740" s="0" t="inlineStr">
        <is>
          <t>NULL</t>
        </is>
      </c>
      <c r="H740" s="0" t="inlineStr">
        <is>
          <t>NULL</t>
        </is>
      </c>
      <c r="I740" s="0" t="inlineStr">
        <is>
          <t>NULL</t>
        </is>
      </c>
      <c r="J740" s="0" t="inlineStr">
        <is>
          <t>NULL</t>
        </is>
      </c>
      <c r="K740" s="0" t="inlineStr">
        <is>
          <t>YES! 	 c_nchar列源备映射正确，源端为nchar 2位	期望更改为nchar(n)	实际备端为nchar 2位</t>
        </is>
      </c>
    </row>
    <row r="741">
      <c r="B741" s="0" t="inlineStr">
        <is>
          <t>NULL</t>
        </is>
      </c>
      <c r="C741" s="0" t="inlineStr">
        <is>
          <t>NULL</t>
        </is>
      </c>
      <c r="D741" s="0" t="inlineStr">
        <is>
          <t>NULL</t>
        </is>
      </c>
      <c r="E741" s="0" t="inlineStr">
        <is>
          <t>NULL</t>
        </is>
      </c>
      <c r="F741" s="0" t="inlineStr">
        <is>
          <t>NULL</t>
        </is>
      </c>
      <c r="G741" s="0" t="inlineStr">
        <is>
          <t>NULL</t>
        </is>
      </c>
      <c r="H741" s="0" t="inlineStr">
        <is>
          <t>NULL</t>
        </is>
      </c>
      <c r="I741" s="0" t="inlineStr">
        <is>
          <t>NULL</t>
        </is>
      </c>
      <c r="J741" s="0" t="inlineStr">
        <is>
          <t>NULL</t>
        </is>
      </c>
      <c r="K741" s="0" t="inlineStr">
        <is>
          <t>YES! 	 c_nchar20列源备映射正确，源端为nchar 40位	期望更改为nchar(n)	实际备端为nchar 40位</t>
        </is>
      </c>
    </row>
    <row r="742">
      <c r="B742" s="0" t="inlineStr">
        <is>
          <t>NULL</t>
        </is>
      </c>
      <c r="C742" s="0" t="inlineStr">
        <is>
          <t>NULL</t>
        </is>
      </c>
      <c r="D742" s="0" t="inlineStr">
        <is>
          <t>NULL</t>
        </is>
      </c>
      <c r="E742" s="0" t="inlineStr">
        <is>
          <t>NULL</t>
        </is>
      </c>
      <c r="F742" s="0" t="inlineStr">
        <is>
          <t>NULL</t>
        </is>
      </c>
      <c r="G742" s="0" t="inlineStr">
        <is>
          <t>NULL</t>
        </is>
      </c>
      <c r="H742" s="0" t="inlineStr">
        <is>
          <t>NULL</t>
        </is>
      </c>
      <c r="I742" s="0" t="inlineStr">
        <is>
          <t>NULL</t>
        </is>
      </c>
      <c r="J742" s="0" t="inlineStr">
        <is>
          <t>NULL</t>
        </is>
      </c>
      <c r="K742" s="0" t="inlineStr">
        <is>
          <t>YES! 	 c_nchar3500列源备映射正确，源端为nchar 7000位	期望更改为nchar(n)	实际备端为nchar 7000位</t>
        </is>
      </c>
    </row>
    <row r="743">
      <c r="A743" s="0" t="inlineStr">
        <is>
          <t>info_varcharmax_dml_single_pk_drp</t>
        </is>
      </c>
      <c r="K743" s="0" t="inlineStr">
        <is>
          <t>[0;34m info_varcharmax_dml_single_pk_drp [0m源备字段数相同，源端字段：3 	备端字段3</t>
        </is>
      </c>
      <c r="W743" s="0" t="inlineStr">
        <is>
          <t>YES 源备无差异</t>
        </is>
      </c>
      <c r="X743" s="0">
        <f>A743</f>
        <v/>
      </c>
    </row>
    <row r="744">
      <c r="B744" s="0" t="inlineStr">
        <is>
          <t>YES</t>
        </is>
      </c>
      <c r="C744" s="0" t="inlineStr">
        <is>
          <t>NULL</t>
        </is>
      </c>
      <c r="D744" s="0" t="inlineStr">
        <is>
          <t>NULL</t>
        </is>
      </c>
      <c r="E744" s="0" t="inlineStr">
        <is>
          <t>NULL</t>
        </is>
      </c>
      <c r="F744" s="0" t="inlineStr">
        <is>
          <t>NULL</t>
        </is>
      </c>
      <c r="G744" s="0" t="inlineStr">
        <is>
          <t>NULL</t>
        </is>
      </c>
      <c r="H744" s="0" t="inlineStr">
        <is>
          <t>NULL</t>
        </is>
      </c>
      <c r="I744" s="0" t="inlineStr">
        <is>
          <t>YES!PK__info_var__3213E83FA49B8609</t>
        </is>
      </c>
      <c r="J744" s="0" t="inlineStr">
        <is>
          <t>YES! 主键相关索引</t>
        </is>
      </c>
      <c r="K744" s="0" t="inlineStr">
        <is>
          <t>YES! 	 id列源备映射正确，源端为int None位	期望更改为int	实际备端为int None位</t>
        </is>
      </c>
    </row>
    <row r="745">
      <c r="B745" s="0" t="inlineStr">
        <is>
          <t>NULL</t>
        </is>
      </c>
      <c r="C745" s="0" t="inlineStr">
        <is>
          <t>NULL</t>
        </is>
      </c>
      <c r="D745" s="0" t="inlineStr">
        <is>
          <t>NULL</t>
        </is>
      </c>
      <c r="E745" s="0" t="inlineStr">
        <is>
          <t>NULL</t>
        </is>
      </c>
      <c r="F745" s="0" t="inlineStr">
        <is>
          <t>NULL</t>
        </is>
      </c>
      <c r="G745" s="0" t="inlineStr">
        <is>
          <t>NULL</t>
        </is>
      </c>
      <c r="H745" s="0" t="inlineStr">
        <is>
          <t>NULL</t>
        </is>
      </c>
      <c r="I745" s="0" t="inlineStr">
        <is>
          <t>NULL</t>
        </is>
      </c>
      <c r="J745" s="0" t="inlineStr">
        <is>
          <t>NULL</t>
        </is>
      </c>
      <c r="K745" s="0" t="inlineStr">
        <is>
          <t>YES! 	 c_varchar_max列源备映射正确，源端为varchar -1位	期望更改为varchar(n)	实际备端为varchar -1位</t>
        </is>
      </c>
    </row>
    <row r="746">
      <c r="B746" s="0" t="inlineStr">
        <is>
          <t>NULL</t>
        </is>
      </c>
      <c r="C746" s="0" t="inlineStr">
        <is>
          <t>NULL</t>
        </is>
      </c>
      <c r="D746" s="0" t="inlineStr">
        <is>
          <t>NULL</t>
        </is>
      </c>
      <c r="E746" s="0" t="inlineStr">
        <is>
          <t>NULL</t>
        </is>
      </c>
      <c r="F746" s="0" t="inlineStr">
        <is>
          <t>NULL</t>
        </is>
      </c>
      <c r="G746" s="0" t="inlineStr">
        <is>
          <t>NULL</t>
        </is>
      </c>
      <c r="H746" s="0" t="inlineStr">
        <is>
          <t>NULL</t>
        </is>
      </c>
      <c r="I746" s="0" t="inlineStr">
        <is>
          <t>NULL</t>
        </is>
      </c>
      <c r="J746" s="0" t="inlineStr">
        <is>
          <t>NULL</t>
        </is>
      </c>
      <c r="K746" s="0" t="inlineStr">
        <is>
          <t>YES! 	 c_nvarchar_max列源备映射正确，源端为nvarchar -1位	期望更改为nvarchar(n)	实际备端为nvarchar -1位</t>
        </is>
      </c>
    </row>
    <row r="747">
      <c r="A747" s="0" t="inlineStr">
        <is>
          <t>info_varcharmax_dml_single_nopk_irp</t>
        </is>
      </c>
      <c r="K747" s="0" t="inlineStr">
        <is>
          <t>[0;34m info_varcharmax_dml_single_nopk_irp [0m源备字段数相同，源端字段：3 	备端字段3</t>
        </is>
      </c>
      <c r="W747" s="0" t="inlineStr">
        <is>
          <t>YES 源备无差异</t>
        </is>
      </c>
      <c r="X747" s="0">
        <f>A747</f>
        <v/>
      </c>
    </row>
    <row r="748">
      <c r="B748" s="0" t="inlineStr">
        <is>
          <t>NULL</t>
        </is>
      </c>
      <c r="C748" s="0" t="inlineStr">
        <is>
          <t>NULL</t>
        </is>
      </c>
      <c r="D748" s="0" t="inlineStr">
        <is>
          <t>NULL</t>
        </is>
      </c>
      <c r="E748" s="0" t="inlineStr">
        <is>
          <t>NULL</t>
        </is>
      </c>
      <c r="F748" s="0" t="inlineStr">
        <is>
          <t>NULL</t>
        </is>
      </c>
      <c r="G748" s="0" t="inlineStr">
        <is>
          <t>NULL</t>
        </is>
      </c>
      <c r="H748" s="0" t="inlineStr">
        <is>
          <t>NULL</t>
        </is>
      </c>
      <c r="I748" s="0" t="inlineStr">
        <is>
          <t>NULL</t>
        </is>
      </c>
      <c r="J748" s="0" t="inlineStr">
        <is>
          <t>NULL</t>
        </is>
      </c>
      <c r="K748" s="0" t="inlineStr">
        <is>
          <t>YES! 	 id列源备映射正确，源端为int None位	期望更改为int	实际备端为int None位</t>
        </is>
      </c>
    </row>
    <row r="749">
      <c r="B749" s="0" t="inlineStr">
        <is>
          <t>NULL</t>
        </is>
      </c>
      <c r="C749" s="0" t="inlineStr">
        <is>
          <t>NULL</t>
        </is>
      </c>
      <c r="D749" s="0" t="inlineStr">
        <is>
          <t>NULL</t>
        </is>
      </c>
      <c r="E749" s="0" t="inlineStr">
        <is>
          <t>NULL</t>
        </is>
      </c>
      <c r="F749" s="0" t="inlineStr">
        <is>
          <t>NULL</t>
        </is>
      </c>
      <c r="G749" s="0" t="inlineStr">
        <is>
          <t>NULL</t>
        </is>
      </c>
      <c r="H749" s="0" t="inlineStr">
        <is>
          <t>NULL</t>
        </is>
      </c>
      <c r="I749" s="0" t="inlineStr">
        <is>
          <t>NULL</t>
        </is>
      </c>
      <c r="J749" s="0" t="inlineStr">
        <is>
          <t>NULL</t>
        </is>
      </c>
      <c r="K749" s="0" t="inlineStr">
        <is>
          <t>YES! 	 c_varchar_max列源备映射正确，源端为varchar -1位	期望更改为varchar(n)	实际备端为varchar -1位</t>
        </is>
      </c>
    </row>
    <row r="750">
      <c r="B750" s="0" t="inlineStr">
        <is>
          <t>NULL</t>
        </is>
      </c>
      <c r="C750" s="0" t="inlineStr">
        <is>
          <t>NULL</t>
        </is>
      </c>
      <c r="D750" s="0" t="inlineStr">
        <is>
          <t>NULL</t>
        </is>
      </c>
      <c r="E750" s="0" t="inlineStr">
        <is>
          <t>NULL</t>
        </is>
      </c>
      <c r="F750" s="0" t="inlineStr">
        <is>
          <t>NULL</t>
        </is>
      </c>
      <c r="G750" s="0" t="inlineStr">
        <is>
          <t>NULL</t>
        </is>
      </c>
      <c r="H750" s="0" t="inlineStr">
        <is>
          <t>NULL</t>
        </is>
      </c>
      <c r="I750" s="0" t="inlineStr">
        <is>
          <t>NULL</t>
        </is>
      </c>
      <c r="J750" s="0" t="inlineStr">
        <is>
          <t>NULL</t>
        </is>
      </c>
      <c r="K750" s="0" t="inlineStr">
        <is>
          <t>YES! 	 c_nvarchar_max列源备映射正确，源端为nvarchar -1位	期望更改为nvarchar(n)	实际备端为nvarchar -1位</t>
        </is>
      </c>
    </row>
    <row r="751">
      <c r="A751" s="0" t="inlineStr">
        <is>
          <t>info_datetime_dml_batch1_pk_drp1</t>
        </is>
      </c>
      <c r="K751" s="0" t="inlineStr">
        <is>
          <t>[0;34m info_datetime_dml_batch1_pk_drp1 [0m源备字段数相同，源端字段：2 	备端字段2</t>
        </is>
      </c>
      <c r="W751" s="0" t="inlineStr">
        <is>
          <t>YES 源备无差异</t>
        </is>
      </c>
      <c r="X751" s="0">
        <f>A751</f>
        <v/>
      </c>
    </row>
    <row r="752">
      <c r="B752" s="0" t="inlineStr">
        <is>
          <t>YES</t>
        </is>
      </c>
      <c r="C752" s="0" t="inlineStr">
        <is>
          <t>NULL</t>
        </is>
      </c>
      <c r="D752" s="0" t="inlineStr">
        <is>
          <t>NULL</t>
        </is>
      </c>
      <c r="E752" s="0" t="inlineStr">
        <is>
          <t>NULL</t>
        </is>
      </c>
      <c r="F752" s="0" t="inlineStr">
        <is>
          <t>NULL</t>
        </is>
      </c>
      <c r="G752" s="0" t="inlineStr">
        <is>
          <t>NULL</t>
        </is>
      </c>
      <c r="H752" s="0" t="inlineStr">
        <is>
          <t>NULL</t>
        </is>
      </c>
      <c r="I752" s="0" t="inlineStr">
        <is>
          <t>YES!PK__info_dat__3213E83F32B4DE99</t>
        </is>
      </c>
      <c r="J752" s="0" t="inlineStr">
        <is>
          <t>YES! 主键相关索引</t>
        </is>
      </c>
      <c r="K752" s="0" t="inlineStr">
        <is>
          <t>YES! 	 id列源备映射正确，源端为int None位	期望更改为int	实际备端为int None位</t>
        </is>
      </c>
    </row>
    <row r="753">
      <c r="B753" s="0" t="inlineStr">
        <is>
          <t>NULL</t>
        </is>
      </c>
      <c r="C753" s="0" t="inlineStr">
        <is>
          <t>NULL</t>
        </is>
      </c>
      <c r="D753" s="0" t="inlineStr">
        <is>
          <t>NULL</t>
        </is>
      </c>
      <c r="E753" s="0" t="inlineStr">
        <is>
          <t>NULL</t>
        </is>
      </c>
      <c r="F753" s="0" t="inlineStr">
        <is>
          <t>NULL</t>
        </is>
      </c>
      <c r="G753" s="0" t="inlineStr">
        <is>
          <t>NULL</t>
        </is>
      </c>
      <c r="H753" s="0" t="inlineStr">
        <is>
          <t>NULL</t>
        </is>
      </c>
      <c r="I753" s="0" t="inlineStr">
        <is>
          <t>NULL</t>
        </is>
      </c>
      <c r="J753" s="0" t="inlineStr">
        <is>
          <t>NULL</t>
        </is>
      </c>
      <c r="K753" s="0" t="inlineStr">
        <is>
          <t>YES! 	 c_datetime列源备映射正确，源端为datetime None位	期望更改为datetime	实际备端为datetime None位</t>
        </is>
      </c>
    </row>
    <row r="754">
      <c r="K754" s="0" t="inlineStr">
        <is>
          <t>~ 空表</t>
        </is>
      </c>
    </row>
    <row r="755">
      <c r="A755" s="0" t="inlineStr">
        <is>
          <t>info_sql_variant_dml_single_nopk_irp</t>
        </is>
      </c>
      <c r="K755" s="0" t="inlineStr">
        <is>
          <t>[0;34m info_sql_variant_dml_single_nopk_irp [0m源备字段数相同，源端字段：25 	备端字段25</t>
        </is>
      </c>
      <c r="W755" s="0" t="inlineStr">
        <is>
          <t>YES 源备无差异</t>
        </is>
      </c>
      <c r="X755" s="0">
        <f>A755</f>
        <v/>
      </c>
    </row>
    <row r="756">
      <c r="B756" s="0" t="inlineStr">
        <is>
          <t>NULL</t>
        </is>
      </c>
      <c r="C756" s="0" t="inlineStr">
        <is>
          <t>NULL</t>
        </is>
      </c>
      <c r="D756" s="0" t="inlineStr">
        <is>
          <t>NULL</t>
        </is>
      </c>
      <c r="E756" s="0" t="inlineStr">
        <is>
          <t>NULL</t>
        </is>
      </c>
      <c r="F756" s="0" t="inlineStr">
        <is>
          <t>NULL</t>
        </is>
      </c>
      <c r="G756" s="0" t="inlineStr">
        <is>
          <t>NULL</t>
        </is>
      </c>
      <c r="H756" s="0" t="inlineStr">
        <is>
          <t>NULL</t>
        </is>
      </c>
      <c r="I756" s="0" t="inlineStr">
        <is>
          <t>NULL</t>
        </is>
      </c>
      <c r="J756" s="0" t="inlineStr">
        <is>
          <t>NULL</t>
        </is>
      </c>
      <c r="K756" s="0" t="inlineStr">
        <is>
          <t>YES! 	 id列源备映射正确，源端为int None位	期望更改为int	实际备端为int None位</t>
        </is>
      </c>
    </row>
    <row r="757">
      <c r="B757" s="0" t="inlineStr">
        <is>
          <t>NULL</t>
        </is>
      </c>
      <c r="C757" s="0" t="inlineStr">
        <is>
          <t>NULL</t>
        </is>
      </c>
      <c r="D757" s="0" t="inlineStr">
        <is>
          <t>NULL</t>
        </is>
      </c>
      <c r="E757" s="0" t="inlineStr">
        <is>
          <t>NULL</t>
        </is>
      </c>
      <c r="F757" s="0" t="inlineStr">
        <is>
          <t>NULL</t>
        </is>
      </c>
      <c r="G757" s="0" t="inlineStr">
        <is>
          <t>NULL</t>
        </is>
      </c>
      <c r="H757" s="0" t="inlineStr">
        <is>
          <t>NULL</t>
        </is>
      </c>
      <c r="I757" s="0" t="inlineStr">
        <is>
          <t>NULL</t>
        </is>
      </c>
      <c r="J757" s="0" t="inlineStr">
        <is>
          <t>NULL</t>
        </is>
      </c>
      <c r="K757" s="0" t="inlineStr">
        <is>
          <t>YES! 	 c_date列源备映射正确，源端为sql_variant 0位	期望更改为sql_variant	实际备端为sql_variant 0位</t>
        </is>
      </c>
    </row>
    <row r="758">
      <c r="B758" s="0" t="inlineStr">
        <is>
          <t>NULL</t>
        </is>
      </c>
      <c r="C758" s="0" t="inlineStr">
        <is>
          <t>NULL</t>
        </is>
      </c>
      <c r="D758" s="0" t="inlineStr">
        <is>
          <t>NULL</t>
        </is>
      </c>
      <c r="E758" s="0" t="inlineStr">
        <is>
          <t>NULL</t>
        </is>
      </c>
      <c r="F758" s="0" t="inlineStr">
        <is>
          <t>NULL</t>
        </is>
      </c>
      <c r="G758" s="0" t="inlineStr">
        <is>
          <t>NULL</t>
        </is>
      </c>
      <c r="H758" s="0" t="inlineStr">
        <is>
          <t>NULL</t>
        </is>
      </c>
      <c r="I758" s="0" t="inlineStr">
        <is>
          <t>NULL</t>
        </is>
      </c>
      <c r="J758" s="0" t="inlineStr">
        <is>
          <t>NULL</t>
        </is>
      </c>
      <c r="K758" s="0" t="inlineStr">
        <is>
          <t>YES! 	 c_time列源备映射正确，源端为sql_variant 0位	期望更改为sql_variant	实际备端为sql_variant 0位</t>
        </is>
      </c>
    </row>
    <row r="759">
      <c r="B759" s="0" t="inlineStr">
        <is>
          <t>NULL</t>
        </is>
      </c>
      <c r="C759" s="0" t="inlineStr">
        <is>
          <t>NULL</t>
        </is>
      </c>
      <c r="D759" s="0" t="inlineStr">
        <is>
          <t>NULL</t>
        </is>
      </c>
      <c r="E759" s="0" t="inlineStr">
        <is>
          <t>NULL</t>
        </is>
      </c>
      <c r="F759" s="0" t="inlineStr">
        <is>
          <t>NULL</t>
        </is>
      </c>
      <c r="G759" s="0" t="inlineStr">
        <is>
          <t>NULL</t>
        </is>
      </c>
      <c r="H759" s="0" t="inlineStr">
        <is>
          <t>NULL</t>
        </is>
      </c>
      <c r="I759" s="0" t="inlineStr">
        <is>
          <t>NULL</t>
        </is>
      </c>
      <c r="J759" s="0" t="inlineStr">
        <is>
          <t>NULL</t>
        </is>
      </c>
      <c r="K759" s="0" t="inlineStr">
        <is>
          <t>YES! 	 c_datetime2列源备映射正确，源端为sql_variant 0位	期望更改为sql_variant	实际备端为sql_variant 0位</t>
        </is>
      </c>
    </row>
    <row r="760">
      <c r="B760" s="0" t="inlineStr">
        <is>
          <t>NULL</t>
        </is>
      </c>
      <c r="C760" s="0" t="inlineStr">
        <is>
          <t>NULL</t>
        </is>
      </c>
      <c r="D760" s="0" t="inlineStr">
        <is>
          <t>NULL</t>
        </is>
      </c>
      <c r="E760" s="0" t="inlineStr">
        <is>
          <t>NULL</t>
        </is>
      </c>
      <c r="F760" s="0" t="inlineStr">
        <is>
          <t>NULL</t>
        </is>
      </c>
      <c r="G760" s="0" t="inlineStr">
        <is>
          <t>NULL</t>
        </is>
      </c>
      <c r="H760" s="0" t="inlineStr">
        <is>
          <t>NULL</t>
        </is>
      </c>
      <c r="I760" s="0" t="inlineStr">
        <is>
          <t>NULL</t>
        </is>
      </c>
      <c r="J760" s="0" t="inlineStr">
        <is>
          <t>NULL</t>
        </is>
      </c>
      <c r="K760" s="0" t="inlineStr">
        <is>
          <t>YES! 	 c_datetimeoffset列源备映射正确，源端为sql_variant 0位	期望更改为sql_variant	实际备端为sql_variant 0位</t>
        </is>
      </c>
    </row>
    <row r="761">
      <c r="B761" s="0" t="inlineStr">
        <is>
          <t>NULL</t>
        </is>
      </c>
      <c r="C761" s="0" t="inlineStr">
        <is>
          <t>NULL</t>
        </is>
      </c>
      <c r="D761" s="0" t="inlineStr">
        <is>
          <t>NULL</t>
        </is>
      </c>
      <c r="E761" s="0" t="inlineStr">
        <is>
          <t>NULL</t>
        </is>
      </c>
      <c r="F761" s="0" t="inlineStr">
        <is>
          <t>NULL</t>
        </is>
      </c>
      <c r="G761" s="0" t="inlineStr">
        <is>
          <t>NULL</t>
        </is>
      </c>
      <c r="H761" s="0" t="inlineStr">
        <is>
          <t>NULL</t>
        </is>
      </c>
      <c r="I761" s="0" t="inlineStr">
        <is>
          <t>NULL</t>
        </is>
      </c>
      <c r="J761" s="0" t="inlineStr">
        <is>
          <t>NULL</t>
        </is>
      </c>
      <c r="K761" s="0" t="inlineStr">
        <is>
          <t>YES! 	 c_tinyint列源备映射正确，源端为sql_variant 0位	期望更改为sql_variant	实际备端为sql_variant 0位</t>
        </is>
      </c>
    </row>
    <row r="762">
      <c r="B762" s="0" t="inlineStr">
        <is>
          <t>NULL</t>
        </is>
      </c>
      <c r="C762" s="0" t="inlineStr">
        <is>
          <t>NULL</t>
        </is>
      </c>
      <c r="D762" s="0" t="inlineStr">
        <is>
          <t>NULL</t>
        </is>
      </c>
      <c r="E762" s="0" t="inlineStr">
        <is>
          <t>NULL</t>
        </is>
      </c>
      <c r="F762" s="0" t="inlineStr">
        <is>
          <t>NULL</t>
        </is>
      </c>
      <c r="G762" s="0" t="inlineStr">
        <is>
          <t>NULL</t>
        </is>
      </c>
      <c r="H762" s="0" t="inlineStr">
        <is>
          <t>NULL</t>
        </is>
      </c>
      <c r="I762" s="0" t="inlineStr">
        <is>
          <t>NULL</t>
        </is>
      </c>
      <c r="J762" s="0" t="inlineStr">
        <is>
          <t>NULL</t>
        </is>
      </c>
      <c r="K762" s="0" t="inlineStr">
        <is>
          <t>YES! 	 c_smallint列源备映射正确，源端为sql_variant 0位	期望更改为sql_variant	实际备端为sql_variant 0位</t>
        </is>
      </c>
    </row>
    <row r="763">
      <c r="B763" s="0" t="inlineStr">
        <is>
          <t>NULL</t>
        </is>
      </c>
      <c r="C763" s="0" t="inlineStr">
        <is>
          <t>NULL</t>
        </is>
      </c>
      <c r="D763" s="0" t="inlineStr">
        <is>
          <t>NULL</t>
        </is>
      </c>
      <c r="E763" s="0" t="inlineStr">
        <is>
          <t>NULL</t>
        </is>
      </c>
      <c r="F763" s="0" t="inlineStr">
        <is>
          <t>NULL</t>
        </is>
      </c>
      <c r="G763" s="0" t="inlineStr">
        <is>
          <t>NULL</t>
        </is>
      </c>
      <c r="H763" s="0" t="inlineStr">
        <is>
          <t>NULL</t>
        </is>
      </c>
      <c r="I763" s="0" t="inlineStr">
        <is>
          <t>NULL</t>
        </is>
      </c>
      <c r="J763" s="0" t="inlineStr">
        <is>
          <t>NULL</t>
        </is>
      </c>
      <c r="K763" s="0" t="inlineStr">
        <is>
          <t>YES! 	 c_int列源备映射正确，源端为sql_variant 0位	期望更改为sql_variant	实际备端为sql_variant 0位</t>
        </is>
      </c>
    </row>
    <row r="764">
      <c r="B764" s="0" t="inlineStr">
        <is>
          <t>NULL</t>
        </is>
      </c>
      <c r="C764" s="0" t="inlineStr">
        <is>
          <t>NULL</t>
        </is>
      </c>
      <c r="D764" s="0" t="inlineStr">
        <is>
          <t>NULL</t>
        </is>
      </c>
      <c r="E764" s="0" t="inlineStr">
        <is>
          <t>NULL</t>
        </is>
      </c>
      <c r="F764" s="0" t="inlineStr">
        <is>
          <t>NULL</t>
        </is>
      </c>
      <c r="G764" s="0" t="inlineStr">
        <is>
          <t>NULL</t>
        </is>
      </c>
      <c r="H764" s="0" t="inlineStr">
        <is>
          <t>NULL</t>
        </is>
      </c>
      <c r="I764" s="0" t="inlineStr">
        <is>
          <t>NULL</t>
        </is>
      </c>
      <c r="J764" s="0" t="inlineStr">
        <is>
          <t>NULL</t>
        </is>
      </c>
      <c r="K764" s="0" t="inlineStr">
        <is>
          <t>YES! 	 c_sdt列源备映射正确，源端为sql_variant 0位	期望更改为sql_variant	实际备端为sql_variant 0位</t>
        </is>
      </c>
    </row>
    <row r="765">
      <c r="B765" s="0" t="inlineStr">
        <is>
          <t>NULL</t>
        </is>
      </c>
      <c r="C765" s="0" t="inlineStr">
        <is>
          <t>NULL</t>
        </is>
      </c>
      <c r="D765" s="0" t="inlineStr">
        <is>
          <t>NULL</t>
        </is>
      </c>
      <c r="E765" s="0" t="inlineStr">
        <is>
          <t>NULL</t>
        </is>
      </c>
      <c r="F765" s="0" t="inlineStr">
        <is>
          <t>NULL</t>
        </is>
      </c>
      <c r="G765" s="0" t="inlineStr">
        <is>
          <t>NULL</t>
        </is>
      </c>
      <c r="H765" s="0" t="inlineStr">
        <is>
          <t>NULL</t>
        </is>
      </c>
      <c r="I765" s="0" t="inlineStr">
        <is>
          <t>NULL</t>
        </is>
      </c>
      <c r="J765" s="0" t="inlineStr">
        <is>
          <t>NULL</t>
        </is>
      </c>
      <c r="K765" s="0" t="inlineStr">
        <is>
          <t>YES! 	 c_real列源备映射正确，源端为sql_variant 0位	期望更改为sql_variant	实际备端为sql_variant 0位</t>
        </is>
      </c>
    </row>
    <row r="766">
      <c r="B766" s="0" t="inlineStr">
        <is>
          <t>NULL</t>
        </is>
      </c>
      <c r="C766" s="0" t="inlineStr">
        <is>
          <t>NULL</t>
        </is>
      </c>
      <c r="D766" s="0" t="inlineStr">
        <is>
          <t>NULL</t>
        </is>
      </c>
      <c r="E766" s="0" t="inlineStr">
        <is>
          <t>NULL</t>
        </is>
      </c>
      <c r="F766" s="0" t="inlineStr">
        <is>
          <t>NULL</t>
        </is>
      </c>
      <c r="G766" s="0" t="inlineStr">
        <is>
          <t>NULL</t>
        </is>
      </c>
      <c r="H766" s="0" t="inlineStr">
        <is>
          <t>NULL</t>
        </is>
      </c>
      <c r="I766" s="0" t="inlineStr">
        <is>
          <t>NULL</t>
        </is>
      </c>
      <c r="J766" s="0" t="inlineStr">
        <is>
          <t>NULL</t>
        </is>
      </c>
      <c r="K766" s="0" t="inlineStr">
        <is>
          <t>YES! 	 c_money列源备映射正确，源端为sql_variant 0位	期望更改为sql_variant	实际备端为sql_variant 0位</t>
        </is>
      </c>
    </row>
    <row r="767">
      <c r="B767" s="0" t="inlineStr">
        <is>
          <t>NULL</t>
        </is>
      </c>
      <c r="C767" s="0" t="inlineStr">
        <is>
          <t>NULL</t>
        </is>
      </c>
      <c r="D767" s="0" t="inlineStr">
        <is>
          <t>NULL</t>
        </is>
      </c>
      <c r="E767" s="0" t="inlineStr">
        <is>
          <t>NULL</t>
        </is>
      </c>
      <c r="F767" s="0" t="inlineStr">
        <is>
          <t>NULL</t>
        </is>
      </c>
      <c r="G767" s="0" t="inlineStr">
        <is>
          <t>NULL</t>
        </is>
      </c>
      <c r="H767" s="0" t="inlineStr">
        <is>
          <t>NULL</t>
        </is>
      </c>
      <c r="I767" s="0" t="inlineStr">
        <is>
          <t>NULL</t>
        </is>
      </c>
      <c r="J767" s="0" t="inlineStr">
        <is>
          <t>NULL</t>
        </is>
      </c>
      <c r="K767" s="0" t="inlineStr">
        <is>
          <t>YES! 	 c_datetime列源备映射正确，源端为sql_variant 0位	期望更改为sql_variant	实际备端为sql_variant 0位</t>
        </is>
      </c>
    </row>
    <row r="768">
      <c r="B768" s="0" t="inlineStr">
        <is>
          <t>NULL</t>
        </is>
      </c>
      <c r="C768" s="0" t="inlineStr">
        <is>
          <t>NULL</t>
        </is>
      </c>
      <c r="D768" s="0" t="inlineStr">
        <is>
          <t>NULL</t>
        </is>
      </c>
      <c r="E768" s="0" t="inlineStr">
        <is>
          <t>NULL</t>
        </is>
      </c>
      <c r="F768" s="0" t="inlineStr">
        <is>
          <t>NULL</t>
        </is>
      </c>
      <c r="G768" s="0" t="inlineStr">
        <is>
          <t>NULL</t>
        </is>
      </c>
      <c r="H768" s="0" t="inlineStr">
        <is>
          <t>NULL</t>
        </is>
      </c>
      <c r="I768" s="0" t="inlineStr">
        <is>
          <t>NULL</t>
        </is>
      </c>
      <c r="J768" s="0" t="inlineStr">
        <is>
          <t>NULL</t>
        </is>
      </c>
      <c r="K768" s="0" t="inlineStr">
        <is>
          <t>YES! 	 c_float列源备映射正确，源端为sql_variant 0位	期望更改为sql_variant	实际备端为sql_variant 0位</t>
        </is>
      </c>
    </row>
    <row r="769">
      <c r="B769" s="0" t="inlineStr">
        <is>
          <t>NULL</t>
        </is>
      </c>
      <c r="C769" s="0" t="inlineStr">
        <is>
          <t>NULL</t>
        </is>
      </c>
      <c r="D769" s="0" t="inlineStr">
        <is>
          <t>NULL</t>
        </is>
      </c>
      <c r="E769" s="0" t="inlineStr">
        <is>
          <t>NULL</t>
        </is>
      </c>
      <c r="F769" s="0" t="inlineStr">
        <is>
          <t>NULL</t>
        </is>
      </c>
      <c r="G769" s="0" t="inlineStr">
        <is>
          <t>NULL</t>
        </is>
      </c>
      <c r="H769" s="0" t="inlineStr">
        <is>
          <t>NULL</t>
        </is>
      </c>
      <c r="I769" s="0" t="inlineStr">
        <is>
          <t>NULL</t>
        </is>
      </c>
      <c r="J769" s="0" t="inlineStr">
        <is>
          <t>NULL</t>
        </is>
      </c>
      <c r="K769" s="0" t="inlineStr">
        <is>
          <t>YES! 	 c_bit列源备映射正确，源端为sql_variant 0位	期望更改为sql_variant	实际备端为sql_variant 0位</t>
        </is>
      </c>
    </row>
    <row r="770">
      <c r="B770" s="0" t="inlineStr">
        <is>
          <t>NULL</t>
        </is>
      </c>
      <c r="C770" s="0" t="inlineStr">
        <is>
          <t>NULL</t>
        </is>
      </c>
      <c r="D770" s="0" t="inlineStr">
        <is>
          <t>NULL</t>
        </is>
      </c>
      <c r="E770" s="0" t="inlineStr">
        <is>
          <t>NULL</t>
        </is>
      </c>
      <c r="F770" s="0" t="inlineStr">
        <is>
          <t>NULL</t>
        </is>
      </c>
      <c r="G770" s="0" t="inlineStr">
        <is>
          <t>NULL</t>
        </is>
      </c>
      <c r="H770" s="0" t="inlineStr">
        <is>
          <t>NULL</t>
        </is>
      </c>
      <c r="I770" s="0" t="inlineStr">
        <is>
          <t>NULL</t>
        </is>
      </c>
      <c r="J770" s="0" t="inlineStr">
        <is>
          <t>NULL</t>
        </is>
      </c>
      <c r="K770" s="0" t="inlineStr">
        <is>
          <t>YES! 	 c_decimal列源备映射正确，源端为sql_variant 0位	期望更改为sql_variant	实际备端为sql_variant 0位</t>
        </is>
      </c>
    </row>
    <row r="771">
      <c r="B771" s="0" t="inlineStr">
        <is>
          <t>NULL</t>
        </is>
      </c>
      <c r="C771" s="0" t="inlineStr">
        <is>
          <t>NULL</t>
        </is>
      </c>
      <c r="D771" s="0" t="inlineStr">
        <is>
          <t>NULL</t>
        </is>
      </c>
      <c r="E771" s="0" t="inlineStr">
        <is>
          <t>NULL</t>
        </is>
      </c>
      <c r="F771" s="0" t="inlineStr">
        <is>
          <t>NULL</t>
        </is>
      </c>
      <c r="G771" s="0" t="inlineStr">
        <is>
          <t>NULL</t>
        </is>
      </c>
      <c r="H771" s="0" t="inlineStr">
        <is>
          <t>NULL</t>
        </is>
      </c>
      <c r="I771" s="0" t="inlineStr">
        <is>
          <t>NULL</t>
        </is>
      </c>
      <c r="J771" s="0" t="inlineStr">
        <is>
          <t>NULL</t>
        </is>
      </c>
      <c r="K771" s="0" t="inlineStr">
        <is>
          <t>YES! 	 c_uniqueidentifier列源备映射正确，源端为sql_variant 0位	期望更改为sql_variant	实际备端为sql_variant 0位</t>
        </is>
      </c>
    </row>
    <row r="772">
      <c r="B772" s="0" t="inlineStr">
        <is>
          <t>NULL</t>
        </is>
      </c>
      <c r="C772" s="0" t="inlineStr">
        <is>
          <t>NULL</t>
        </is>
      </c>
      <c r="D772" s="0" t="inlineStr">
        <is>
          <t>NULL</t>
        </is>
      </c>
      <c r="E772" s="0" t="inlineStr">
        <is>
          <t>NULL</t>
        </is>
      </c>
      <c r="F772" s="0" t="inlineStr">
        <is>
          <t>NULL</t>
        </is>
      </c>
      <c r="G772" s="0" t="inlineStr">
        <is>
          <t>NULL</t>
        </is>
      </c>
      <c r="H772" s="0" t="inlineStr">
        <is>
          <t>NULL</t>
        </is>
      </c>
      <c r="I772" s="0" t="inlineStr">
        <is>
          <t>NULL</t>
        </is>
      </c>
      <c r="J772" s="0" t="inlineStr">
        <is>
          <t>NULL</t>
        </is>
      </c>
      <c r="K772" s="0" t="inlineStr">
        <is>
          <t>YES! 	 c_smallmoney列源备映射正确，源端为sql_variant 0位	期望更改为sql_variant	实际备端为sql_variant 0位</t>
        </is>
      </c>
    </row>
    <row r="773">
      <c r="B773" s="0" t="inlineStr">
        <is>
          <t>NULL</t>
        </is>
      </c>
      <c r="C773" s="0" t="inlineStr">
        <is>
          <t>NULL</t>
        </is>
      </c>
      <c r="D773" s="0" t="inlineStr">
        <is>
          <t>NULL</t>
        </is>
      </c>
      <c r="E773" s="0" t="inlineStr">
        <is>
          <t>NULL</t>
        </is>
      </c>
      <c r="F773" s="0" t="inlineStr">
        <is>
          <t>NULL</t>
        </is>
      </c>
      <c r="G773" s="0" t="inlineStr">
        <is>
          <t>NULL</t>
        </is>
      </c>
      <c r="H773" s="0" t="inlineStr">
        <is>
          <t>NULL</t>
        </is>
      </c>
      <c r="I773" s="0" t="inlineStr">
        <is>
          <t>NULL</t>
        </is>
      </c>
      <c r="J773" s="0" t="inlineStr">
        <is>
          <t>NULL</t>
        </is>
      </c>
      <c r="K773" s="0" t="inlineStr">
        <is>
          <t>YES! 	 c_bigint列源备映射正确，源端为sql_variant 0位	期望更改为sql_variant	实际备端为sql_variant 0位</t>
        </is>
      </c>
    </row>
    <row r="774">
      <c r="B774" s="0" t="inlineStr">
        <is>
          <t>NULL</t>
        </is>
      </c>
      <c r="C774" s="0" t="inlineStr">
        <is>
          <t>NULL</t>
        </is>
      </c>
      <c r="D774" s="0" t="inlineStr">
        <is>
          <t>NULL</t>
        </is>
      </c>
      <c r="E774" s="0" t="inlineStr">
        <is>
          <t>NULL</t>
        </is>
      </c>
      <c r="F774" s="0" t="inlineStr">
        <is>
          <t>NULL</t>
        </is>
      </c>
      <c r="G774" s="0" t="inlineStr">
        <is>
          <t>NULL</t>
        </is>
      </c>
      <c r="H774" s="0" t="inlineStr">
        <is>
          <t>NULL</t>
        </is>
      </c>
      <c r="I774" s="0" t="inlineStr">
        <is>
          <t>NULL</t>
        </is>
      </c>
      <c r="J774" s="0" t="inlineStr">
        <is>
          <t>NULL</t>
        </is>
      </c>
      <c r="K774" s="0" t="inlineStr">
        <is>
          <t>YES! 	 c_varbinary_20列源备映射正确，源端为sql_variant 0位	期望更改为sql_variant	实际备端为sql_variant 0位</t>
        </is>
      </c>
    </row>
    <row r="775">
      <c r="B775" s="0" t="inlineStr">
        <is>
          <t>NULL</t>
        </is>
      </c>
      <c r="C775" s="0" t="inlineStr">
        <is>
          <t>NULL</t>
        </is>
      </c>
      <c r="D775" s="0" t="inlineStr">
        <is>
          <t>NULL</t>
        </is>
      </c>
      <c r="E775" s="0" t="inlineStr">
        <is>
          <t>NULL</t>
        </is>
      </c>
      <c r="F775" s="0" t="inlineStr">
        <is>
          <t>NULL</t>
        </is>
      </c>
      <c r="G775" s="0" t="inlineStr">
        <is>
          <t>NULL</t>
        </is>
      </c>
      <c r="H775" s="0" t="inlineStr">
        <is>
          <t>NULL</t>
        </is>
      </c>
      <c r="I775" s="0" t="inlineStr">
        <is>
          <t>NULL</t>
        </is>
      </c>
      <c r="J775" s="0" t="inlineStr">
        <is>
          <t>NULL</t>
        </is>
      </c>
      <c r="K775" s="0" t="inlineStr">
        <is>
          <t>YES! 	 c_varchar_20列源备映射正确，源端为sql_variant 0位	期望更改为sql_variant	实际备端为sql_variant 0位</t>
        </is>
      </c>
    </row>
    <row r="776">
      <c r="B776" s="0" t="inlineStr">
        <is>
          <t>NULL</t>
        </is>
      </c>
      <c r="C776" s="0" t="inlineStr">
        <is>
          <t>NULL</t>
        </is>
      </c>
      <c r="D776" s="0" t="inlineStr">
        <is>
          <t>NULL</t>
        </is>
      </c>
      <c r="E776" s="0" t="inlineStr">
        <is>
          <t>NULL</t>
        </is>
      </c>
      <c r="F776" s="0" t="inlineStr">
        <is>
          <t>NULL</t>
        </is>
      </c>
      <c r="G776" s="0" t="inlineStr">
        <is>
          <t>NULL</t>
        </is>
      </c>
      <c r="H776" s="0" t="inlineStr">
        <is>
          <t>NULL</t>
        </is>
      </c>
      <c r="I776" s="0" t="inlineStr">
        <is>
          <t>NULL</t>
        </is>
      </c>
      <c r="J776" s="0" t="inlineStr">
        <is>
          <t>NULL</t>
        </is>
      </c>
      <c r="K776" s="0" t="inlineStr">
        <is>
          <t>YES! 	 c_binary_20列源备映射正确，源端为sql_variant 0位	期望更改为sql_variant	实际备端为sql_variant 0位</t>
        </is>
      </c>
    </row>
    <row r="777">
      <c r="B777" s="0" t="inlineStr">
        <is>
          <t>NULL</t>
        </is>
      </c>
      <c r="C777" s="0" t="inlineStr">
        <is>
          <t>NULL</t>
        </is>
      </c>
      <c r="D777" s="0" t="inlineStr">
        <is>
          <t>NULL</t>
        </is>
      </c>
      <c r="E777" s="0" t="inlineStr">
        <is>
          <t>NULL</t>
        </is>
      </c>
      <c r="F777" s="0" t="inlineStr">
        <is>
          <t>NULL</t>
        </is>
      </c>
      <c r="G777" s="0" t="inlineStr">
        <is>
          <t>NULL</t>
        </is>
      </c>
      <c r="H777" s="0" t="inlineStr">
        <is>
          <t>NULL</t>
        </is>
      </c>
      <c r="I777" s="0" t="inlineStr">
        <is>
          <t>NULL</t>
        </is>
      </c>
      <c r="J777" s="0" t="inlineStr">
        <is>
          <t>NULL</t>
        </is>
      </c>
      <c r="K777" s="0" t="inlineStr">
        <is>
          <t>YES! 	 c_char_20列源备映射正确，源端为sql_variant 0位	期望更改为sql_variant	实际备端为sql_variant 0位</t>
        </is>
      </c>
    </row>
    <row r="778">
      <c r="B778" s="0" t="inlineStr">
        <is>
          <t>NULL</t>
        </is>
      </c>
      <c r="C778" s="0" t="inlineStr">
        <is>
          <t>NULL</t>
        </is>
      </c>
      <c r="D778" s="0" t="inlineStr">
        <is>
          <t>NULL</t>
        </is>
      </c>
      <c r="E778" s="0" t="inlineStr">
        <is>
          <t>NULL</t>
        </is>
      </c>
      <c r="F778" s="0" t="inlineStr">
        <is>
          <t>NULL</t>
        </is>
      </c>
      <c r="G778" s="0" t="inlineStr">
        <is>
          <t>NULL</t>
        </is>
      </c>
      <c r="H778" s="0" t="inlineStr">
        <is>
          <t>NULL</t>
        </is>
      </c>
      <c r="I778" s="0" t="inlineStr">
        <is>
          <t>NULL</t>
        </is>
      </c>
      <c r="J778" s="0" t="inlineStr">
        <is>
          <t>NULL</t>
        </is>
      </c>
      <c r="K778" s="0" t="inlineStr">
        <is>
          <t>YES! 	 c_nvarchar_20列源备映射正确，源端为sql_variant 0位	期望更改为sql_variant	实际备端为sql_variant 0位</t>
        </is>
      </c>
    </row>
    <row r="779">
      <c r="B779" s="0" t="inlineStr">
        <is>
          <t>NULL</t>
        </is>
      </c>
      <c r="C779" s="0" t="inlineStr">
        <is>
          <t>NULL</t>
        </is>
      </c>
      <c r="D779" s="0" t="inlineStr">
        <is>
          <t>NULL</t>
        </is>
      </c>
      <c r="E779" s="0" t="inlineStr">
        <is>
          <t>NULL</t>
        </is>
      </c>
      <c r="F779" s="0" t="inlineStr">
        <is>
          <t>NULL</t>
        </is>
      </c>
      <c r="G779" s="0" t="inlineStr">
        <is>
          <t>NULL</t>
        </is>
      </c>
      <c r="H779" s="0" t="inlineStr">
        <is>
          <t>NULL</t>
        </is>
      </c>
      <c r="I779" s="0" t="inlineStr">
        <is>
          <t>NULL</t>
        </is>
      </c>
      <c r="J779" s="0" t="inlineStr">
        <is>
          <t>NULL</t>
        </is>
      </c>
      <c r="K779" s="0" t="inlineStr">
        <is>
          <t>YES! 	 c_nchar_20列源备映射正确，源端为sql_variant 0位	期望更改为sql_variant	实际备端为sql_variant 0位</t>
        </is>
      </c>
    </row>
    <row r="780">
      <c r="B780" s="0" t="inlineStr">
        <is>
          <t>NULL</t>
        </is>
      </c>
      <c r="C780" s="0" t="inlineStr">
        <is>
          <t>NULL</t>
        </is>
      </c>
      <c r="D780" s="0" t="inlineStr">
        <is>
          <t>NULL</t>
        </is>
      </c>
      <c r="E780" s="0" t="inlineStr">
        <is>
          <t>NULL</t>
        </is>
      </c>
      <c r="F780" s="0" t="inlineStr">
        <is>
          <t>NULL</t>
        </is>
      </c>
      <c r="G780" s="0" t="inlineStr">
        <is>
          <t>NULL</t>
        </is>
      </c>
      <c r="H780" s="0" t="inlineStr">
        <is>
          <t>NULL</t>
        </is>
      </c>
      <c r="I780" s="0" t="inlineStr">
        <is>
          <t>NULL</t>
        </is>
      </c>
      <c r="J780" s="0" t="inlineStr">
        <is>
          <t>NULL</t>
        </is>
      </c>
      <c r="K780" s="0" t="inlineStr">
        <is>
          <t>YES! 	 c_timestamp列源备映射正确，源端为timestamp None位	期望更改为timestamp	实际备端为timestamp None位</t>
        </is>
      </c>
    </row>
    <row r="781">
      <c r="A781" s="0" t="inlineStr">
        <is>
          <t>info_nchar_dml_batch2_pk_irp1</t>
        </is>
      </c>
      <c r="K781" s="0" t="inlineStr">
        <is>
          <t>[0;34m info_nchar_dml_batch2_pk_irp1 [0m源备字段数相同，源端字段：4 	备端字段4</t>
        </is>
      </c>
      <c r="W781" s="0" t="inlineStr">
        <is>
          <t>YES 源备无差异</t>
        </is>
      </c>
      <c r="X781" s="0">
        <f>A781</f>
        <v/>
      </c>
    </row>
    <row r="782">
      <c r="B782" s="0" t="inlineStr">
        <is>
          <t>YES</t>
        </is>
      </c>
      <c r="C782" s="0" t="inlineStr">
        <is>
          <t>NULL</t>
        </is>
      </c>
      <c r="D782" s="0" t="inlineStr">
        <is>
          <t>NULL</t>
        </is>
      </c>
      <c r="E782" s="0" t="inlineStr">
        <is>
          <t>NULL</t>
        </is>
      </c>
      <c r="F782" s="0" t="inlineStr">
        <is>
          <t>NULL</t>
        </is>
      </c>
      <c r="G782" s="0" t="inlineStr">
        <is>
          <t>NULL</t>
        </is>
      </c>
      <c r="H782" s="0" t="inlineStr">
        <is>
          <t>NULL</t>
        </is>
      </c>
      <c r="I782" s="0" t="inlineStr">
        <is>
          <t>YES!PK__info_nch__3213E83F71E2BC7E</t>
        </is>
      </c>
      <c r="J782" s="0" t="inlineStr">
        <is>
          <t>YES! 主键相关索引</t>
        </is>
      </c>
      <c r="K782" s="0" t="inlineStr">
        <is>
          <t>YES! 	 id列源备映射正确，源端为int None位	期望更改为int	实际备端为int None位</t>
        </is>
      </c>
    </row>
    <row r="783">
      <c r="B783" s="0" t="inlineStr">
        <is>
          <t>NULL</t>
        </is>
      </c>
      <c r="C783" s="0" t="inlineStr">
        <is>
          <t>NULL</t>
        </is>
      </c>
      <c r="D783" s="0" t="inlineStr">
        <is>
          <t>NULL</t>
        </is>
      </c>
      <c r="E783" s="0" t="inlineStr">
        <is>
          <t>NULL</t>
        </is>
      </c>
      <c r="F783" s="0" t="inlineStr">
        <is>
          <t>NULL</t>
        </is>
      </c>
      <c r="G783" s="0" t="inlineStr">
        <is>
          <t>NULL</t>
        </is>
      </c>
      <c r="H783" s="0" t="inlineStr">
        <is>
          <t>NULL</t>
        </is>
      </c>
      <c r="I783" s="0" t="inlineStr">
        <is>
          <t>NULL</t>
        </is>
      </c>
      <c r="J783" s="0" t="inlineStr">
        <is>
          <t>NULL</t>
        </is>
      </c>
      <c r="K783" s="0" t="inlineStr">
        <is>
          <t>YES! 	 c_nchar列源备映射正确，源端为nchar 2位	期望更改为nchar(n)	实际备端为nchar 2位</t>
        </is>
      </c>
    </row>
    <row r="784">
      <c r="B784" s="0" t="inlineStr">
        <is>
          <t>NULL</t>
        </is>
      </c>
      <c r="C784" s="0" t="inlineStr">
        <is>
          <t>NULL</t>
        </is>
      </c>
      <c r="D784" s="0" t="inlineStr">
        <is>
          <t>NULL</t>
        </is>
      </c>
      <c r="E784" s="0" t="inlineStr">
        <is>
          <t>NULL</t>
        </is>
      </c>
      <c r="F784" s="0" t="inlineStr">
        <is>
          <t>NULL</t>
        </is>
      </c>
      <c r="G784" s="0" t="inlineStr">
        <is>
          <t>NULL</t>
        </is>
      </c>
      <c r="H784" s="0" t="inlineStr">
        <is>
          <t>NULL</t>
        </is>
      </c>
      <c r="I784" s="0" t="inlineStr">
        <is>
          <t>NULL</t>
        </is>
      </c>
      <c r="J784" s="0" t="inlineStr">
        <is>
          <t>NULL</t>
        </is>
      </c>
      <c r="K784" s="0" t="inlineStr">
        <is>
          <t>YES! 	 c_nchar20列源备映射正确，源端为nchar 40位	期望更改为nchar(n)	实际备端为nchar 40位</t>
        </is>
      </c>
    </row>
    <row r="785">
      <c r="B785" s="0" t="inlineStr">
        <is>
          <t>NULL</t>
        </is>
      </c>
      <c r="C785" s="0" t="inlineStr">
        <is>
          <t>NULL</t>
        </is>
      </c>
      <c r="D785" s="0" t="inlineStr">
        <is>
          <t>NULL</t>
        </is>
      </c>
      <c r="E785" s="0" t="inlineStr">
        <is>
          <t>NULL</t>
        </is>
      </c>
      <c r="F785" s="0" t="inlineStr">
        <is>
          <t>NULL</t>
        </is>
      </c>
      <c r="G785" s="0" t="inlineStr">
        <is>
          <t>NULL</t>
        </is>
      </c>
      <c r="H785" s="0" t="inlineStr">
        <is>
          <t>NULL</t>
        </is>
      </c>
      <c r="I785" s="0" t="inlineStr">
        <is>
          <t>NULL</t>
        </is>
      </c>
      <c r="J785" s="0" t="inlineStr">
        <is>
          <t>NULL</t>
        </is>
      </c>
      <c r="K785" s="0" t="inlineStr">
        <is>
          <t>YES! 	 c_nchar3500列源备映射正确，源端为nchar 7000位	期望更改为nchar(n)	实际备端为nchar 7000位</t>
        </is>
      </c>
    </row>
    <row r="786">
      <c r="A786" s="0" t="inlineStr">
        <is>
          <t>info_date_dml_single_pk_drp</t>
        </is>
      </c>
      <c r="K786" s="0" t="inlineStr">
        <is>
          <t>[0;34m info_date_dml_single_pk_drp [0m源备字段数相同，源端字段：2 	备端字段2</t>
        </is>
      </c>
      <c r="W786" s="0" t="inlineStr">
        <is>
          <t>YES 源备无差异</t>
        </is>
      </c>
      <c r="X786" s="0">
        <f>A786</f>
        <v/>
      </c>
    </row>
    <row r="787">
      <c r="B787" s="0" t="inlineStr">
        <is>
          <t>YES</t>
        </is>
      </c>
      <c r="C787" s="0" t="inlineStr">
        <is>
          <t>NULL</t>
        </is>
      </c>
      <c r="D787" s="0" t="inlineStr">
        <is>
          <t>NULL</t>
        </is>
      </c>
      <c r="E787" s="0" t="inlineStr">
        <is>
          <t>NULL</t>
        </is>
      </c>
      <c r="F787" s="0" t="inlineStr">
        <is>
          <t>NULL</t>
        </is>
      </c>
      <c r="G787" s="0" t="inlineStr">
        <is>
          <t>NULL</t>
        </is>
      </c>
      <c r="H787" s="0" t="inlineStr">
        <is>
          <t>NULL</t>
        </is>
      </c>
      <c r="I787" s="0" t="inlineStr">
        <is>
          <t>YES!PK__info_dat__3213E83FC7ACFD5F</t>
        </is>
      </c>
      <c r="J787" s="0" t="inlineStr">
        <is>
          <t>YES! 主键相关索引</t>
        </is>
      </c>
      <c r="K787" s="0" t="inlineStr">
        <is>
          <t>YES! 	 id列源备映射正确，源端为int None位	期望更改为int	实际备端为int None位</t>
        </is>
      </c>
    </row>
    <row r="788">
      <c r="B788" s="0" t="inlineStr">
        <is>
          <t>NULL</t>
        </is>
      </c>
      <c r="C788" s="0" t="inlineStr">
        <is>
          <t>NULL</t>
        </is>
      </c>
      <c r="D788" s="0" t="inlineStr">
        <is>
          <t>NULL</t>
        </is>
      </c>
      <c r="E788" s="0" t="inlineStr">
        <is>
          <t>NULL</t>
        </is>
      </c>
      <c r="F788" s="0" t="inlineStr">
        <is>
          <t>NULL</t>
        </is>
      </c>
      <c r="G788" s="0" t="inlineStr">
        <is>
          <t>NULL</t>
        </is>
      </c>
      <c r="H788" s="0" t="inlineStr">
        <is>
          <t>NULL</t>
        </is>
      </c>
      <c r="I788" s="0" t="inlineStr">
        <is>
          <t>NULL</t>
        </is>
      </c>
      <c r="J788" s="0" t="inlineStr">
        <is>
          <t>NULL</t>
        </is>
      </c>
      <c r="K788" s="0" t="inlineStr">
        <is>
          <t>YES! 	 c_date列源备映射正确，源端为date None位	期望更改为date	实际备端为date None位</t>
        </is>
      </c>
    </row>
    <row r="789">
      <c r="A789" s="0" t="inlineStr">
        <is>
          <t>info_varcharmax_dml_single_pk</t>
        </is>
      </c>
      <c r="K789" s="0" t="inlineStr">
        <is>
          <t>[0;34m info_varcharmax_dml_single_pk [0m源备字段数相同，源端字段：3 	备端字段3</t>
        </is>
      </c>
      <c r="W789" s="0" t="inlineStr">
        <is>
          <t>YES 源备无差异</t>
        </is>
      </c>
      <c r="X789" s="0">
        <f>A789</f>
        <v/>
      </c>
    </row>
    <row r="790">
      <c r="B790" s="0" t="inlineStr">
        <is>
          <t>YES</t>
        </is>
      </c>
      <c r="C790" s="0" t="inlineStr">
        <is>
          <t>NULL</t>
        </is>
      </c>
      <c r="D790" s="0" t="inlineStr">
        <is>
          <t>NULL</t>
        </is>
      </c>
      <c r="E790" s="0" t="inlineStr">
        <is>
          <t>NULL</t>
        </is>
      </c>
      <c r="F790" s="0" t="inlineStr">
        <is>
          <t>NULL</t>
        </is>
      </c>
      <c r="G790" s="0" t="inlineStr">
        <is>
          <t>NULL</t>
        </is>
      </c>
      <c r="H790" s="0" t="inlineStr">
        <is>
          <t>NULL</t>
        </is>
      </c>
      <c r="I790" s="0" t="inlineStr">
        <is>
          <t>YES!PK__info_var__3213E83FAA8F1DB7</t>
        </is>
      </c>
      <c r="J790" s="0" t="inlineStr">
        <is>
          <t>YES! 主键相关索引</t>
        </is>
      </c>
      <c r="K790" s="0" t="inlineStr">
        <is>
          <t>YES! 	 id列源备映射正确，源端为int None位	期望更改为int	实际备端为int None位</t>
        </is>
      </c>
    </row>
    <row r="791">
      <c r="B791" s="0" t="inlineStr">
        <is>
          <t>NULL</t>
        </is>
      </c>
      <c r="C791" s="0" t="inlineStr">
        <is>
          <t>NULL</t>
        </is>
      </c>
      <c r="D791" s="0" t="inlineStr">
        <is>
          <t>NULL</t>
        </is>
      </c>
      <c r="E791" s="0" t="inlineStr">
        <is>
          <t>NULL</t>
        </is>
      </c>
      <c r="F791" s="0" t="inlineStr">
        <is>
          <t>NULL</t>
        </is>
      </c>
      <c r="G791" s="0" t="inlineStr">
        <is>
          <t>NULL</t>
        </is>
      </c>
      <c r="H791" s="0" t="inlineStr">
        <is>
          <t>NULL</t>
        </is>
      </c>
      <c r="I791" s="0" t="inlineStr">
        <is>
          <t>NULL</t>
        </is>
      </c>
      <c r="J791" s="0" t="inlineStr">
        <is>
          <t>NULL</t>
        </is>
      </c>
      <c r="K791" s="0" t="inlineStr">
        <is>
          <t>YES! 	 c_varchar_max列源备映射正确，源端为varchar -1位	期望更改为varchar(n)	实际备端为varchar -1位</t>
        </is>
      </c>
    </row>
    <row r="792">
      <c r="B792" s="0" t="inlineStr">
        <is>
          <t>NULL</t>
        </is>
      </c>
      <c r="C792" s="0" t="inlineStr">
        <is>
          <t>NULL</t>
        </is>
      </c>
      <c r="D792" s="0" t="inlineStr">
        <is>
          <t>NULL</t>
        </is>
      </c>
      <c r="E792" s="0" t="inlineStr">
        <is>
          <t>NULL</t>
        </is>
      </c>
      <c r="F792" s="0" t="inlineStr">
        <is>
          <t>NULL</t>
        </is>
      </c>
      <c r="G792" s="0" t="inlineStr">
        <is>
          <t>NULL</t>
        </is>
      </c>
      <c r="H792" s="0" t="inlineStr">
        <is>
          <t>NULL</t>
        </is>
      </c>
      <c r="I792" s="0" t="inlineStr">
        <is>
          <t>NULL</t>
        </is>
      </c>
      <c r="J792" s="0" t="inlineStr">
        <is>
          <t>NULL</t>
        </is>
      </c>
      <c r="K792" s="0" t="inlineStr">
        <is>
          <t>YES! 	 c_nvarchar_max列源备映射正确，源端为nvarchar -1位	期望更改为nvarchar(n)	实际备端为nvarchar -1位</t>
        </is>
      </c>
    </row>
    <row r="793">
      <c r="A793" s="0" t="inlineStr">
        <is>
          <t>info_datetime_dml_batch1_pk_drp2</t>
        </is>
      </c>
      <c r="K793" s="0" t="inlineStr">
        <is>
          <t>[0;34m info_datetime_dml_batch1_pk_drp2 [0m源备字段数相同，源端字段：2 	备端字段2</t>
        </is>
      </c>
      <c r="W793" s="0" t="inlineStr">
        <is>
          <t>YES 源备无差异</t>
        </is>
      </c>
      <c r="X793" s="0">
        <f>A793</f>
        <v/>
      </c>
    </row>
    <row r="794">
      <c r="B794" s="0" t="inlineStr">
        <is>
          <t>YES</t>
        </is>
      </c>
      <c r="C794" s="0" t="inlineStr">
        <is>
          <t>NULL</t>
        </is>
      </c>
      <c r="D794" s="0" t="inlineStr">
        <is>
          <t>NULL</t>
        </is>
      </c>
      <c r="E794" s="0" t="inlineStr">
        <is>
          <t>NULL</t>
        </is>
      </c>
      <c r="F794" s="0" t="inlineStr">
        <is>
          <t>NULL</t>
        </is>
      </c>
      <c r="G794" s="0" t="inlineStr">
        <is>
          <t>NULL</t>
        </is>
      </c>
      <c r="H794" s="0" t="inlineStr">
        <is>
          <t>NULL</t>
        </is>
      </c>
      <c r="I794" s="0" t="inlineStr">
        <is>
          <t>YES!PK__info_dat__3213E83F0270B48C</t>
        </is>
      </c>
      <c r="J794" s="0" t="inlineStr">
        <is>
          <t>YES! 主键相关索引</t>
        </is>
      </c>
      <c r="K794" s="0" t="inlineStr">
        <is>
          <t>YES! 	 id列源备映射正确，源端为int None位	期望更改为int	实际备端为int None位</t>
        </is>
      </c>
    </row>
    <row r="795">
      <c r="B795" s="0" t="inlineStr">
        <is>
          <t>NULL</t>
        </is>
      </c>
      <c r="C795" s="0" t="inlineStr">
        <is>
          <t>NULL</t>
        </is>
      </c>
      <c r="D795" s="0" t="inlineStr">
        <is>
          <t>NULL</t>
        </is>
      </c>
      <c r="E795" s="0" t="inlineStr">
        <is>
          <t>NULL</t>
        </is>
      </c>
      <c r="F795" s="0" t="inlineStr">
        <is>
          <t>NULL</t>
        </is>
      </c>
      <c r="G795" s="0" t="inlineStr">
        <is>
          <t>NULL</t>
        </is>
      </c>
      <c r="H795" s="0" t="inlineStr">
        <is>
          <t>NULL</t>
        </is>
      </c>
      <c r="I795" s="0" t="inlineStr">
        <is>
          <t>NULL</t>
        </is>
      </c>
      <c r="J795" s="0" t="inlineStr">
        <is>
          <t>NULL</t>
        </is>
      </c>
      <c r="K795" s="0" t="inlineStr">
        <is>
          <t>YES! 	 c_datetime列源备映射正确，源端为datetime None位	期望更改为datetime	实际备端为datetime None位</t>
        </is>
      </c>
    </row>
    <row r="796">
      <c r="A796" s="0" t="inlineStr">
        <is>
          <t>info_sql_variant_dml_single_nopk_urp</t>
        </is>
      </c>
      <c r="K796" s="0" t="inlineStr">
        <is>
          <t>[0;34m info_sql_variant_dml_single_nopk_urp [0m源备字段数相同，源端字段：25 	备端字段25</t>
        </is>
      </c>
      <c r="W796" s="0" t="inlineStr">
        <is>
          <t>YES 源备无差异</t>
        </is>
      </c>
      <c r="X796" s="0">
        <f>A796</f>
        <v/>
      </c>
    </row>
    <row r="797">
      <c r="B797" s="0" t="inlineStr">
        <is>
          <t>NULL</t>
        </is>
      </c>
      <c r="C797" s="0" t="inlineStr">
        <is>
          <t>NULL</t>
        </is>
      </c>
      <c r="D797" s="0" t="inlineStr">
        <is>
          <t>NULL</t>
        </is>
      </c>
      <c r="E797" s="0" t="inlineStr">
        <is>
          <t>NULL</t>
        </is>
      </c>
      <c r="F797" s="0" t="inlineStr">
        <is>
          <t>NULL</t>
        </is>
      </c>
      <c r="G797" s="0" t="inlineStr">
        <is>
          <t>NULL</t>
        </is>
      </c>
      <c r="H797" s="0" t="inlineStr">
        <is>
          <t>NULL</t>
        </is>
      </c>
      <c r="I797" s="0" t="inlineStr">
        <is>
          <t>NULL</t>
        </is>
      </c>
      <c r="J797" s="0" t="inlineStr">
        <is>
          <t>NULL</t>
        </is>
      </c>
      <c r="K797" s="0" t="inlineStr">
        <is>
          <t>YES! 	 id列源备映射正确，源端为int None位	期望更改为int	实际备端为int None位</t>
        </is>
      </c>
    </row>
    <row r="798">
      <c r="B798" s="0" t="inlineStr">
        <is>
          <t>NULL</t>
        </is>
      </c>
      <c r="C798" s="0" t="inlineStr">
        <is>
          <t>NULL</t>
        </is>
      </c>
      <c r="D798" s="0" t="inlineStr">
        <is>
          <t>NULL</t>
        </is>
      </c>
      <c r="E798" s="0" t="inlineStr">
        <is>
          <t>NULL</t>
        </is>
      </c>
      <c r="F798" s="0" t="inlineStr">
        <is>
          <t>NULL</t>
        </is>
      </c>
      <c r="G798" s="0" t="inlineStr">
        <is>
          <t>NULL</t>
        </is>
      </c>
      <c r="H798" s="0" t="inlineStr">
        <is>
          <t>NULL</t>
        </is>
      </c>
      <c r="I798" s="0" t="inlineStr">
        <is>
          <t>NULL</t>
        </is>
      </c>
      <c r="J798" s="0" t="inlineStr">
        <is>
          <t>NULL</t>
        </is>
      </c>
      <c r="K798" s="0" t="inlineStr">
        <is>
          <t>YES! 	 c_date列源备映射正确，源端为sql_variant 0位	期望更改为sql_variant	实际备端为sql_variant 0位</t>
        </is>
      </c>
    </row>
    <row r="799">
      <c r="B799" s="0" t="inlineStr">
        <is>
          <t>NULL</t>
        </is>
      </c>
      <c r="C799" s="0" t="inlineStr">
        <is>
          <t>NULL</t>
        </is>
      </c>
      <c r="D799" s="0" t="inlineStr">
        <is>
          <t>NULL</t>
        </is>
      </c>
      <c r="E799" s="0" t="inlineStr">
        <is>
          <t>NULL</t>
        </is>
      </c>
      <c r="F799" s="0" t="inlineStr">
        <is>
          <t>NULL</t>
        </is>
      </c>
      <c r="G799" s="0" t="inlineStr">
        <is>
          <t>NULL</t>
        </is>
      </c>
      <c r="H799" s="0" t="inlineStr">
        <is>
          <t>NULL</t>
        </is>
      </c>
      <c r="I799" s="0" t="inlineStr">
        <is>
          <t>NULL</t>
        </is>
      </c>
      <c r="J799" s="0" t="inlineStr">
        <is>
          <t>NULL</t>
        </is>
      </c>
      <c r="K799" s="0" t="inlineStr">
        <is>
          <t>YES! 	 c_time列源备映射正确，源端为sql_variant 0位	期望更改为sql_variant	实际备端为sql_variant 0位</t>
        </is>
      </c>
    </row>
    <row r="800">
      <c r="B800" s="0" t="inlineStr">
        <is>
          <t>NULL</t>
        </is>
      </c>
      <c r="C800" s="0" t="inlineStr">
        <is>
          <t>NULL</t>
        </is>
      </c>
      <c r="D800" s="0" t="inlineStr">
        <is>
          <t>NULL</t>
        </is>
      </c>
      <c r="E800" s="0" t="inlineStr">
        <is>
          <t>NULL</t>
        </is>
      </c>
      <c r="F800" s="0" t="inlineStr">
        <is>
          <t>NULL</t>
        </is>
      </c>
      <c r="G800" s="0" t="inlineStr">
        <is>
          <t>NULL</t>
        </is>
      </c>
      <c r="H800" s="0" t="inlineStr">
        <is>
          <t>NULL</t>
        </is>
      </c>
      <c r="I800" s="0" t="inlineStr">
        <is>
          <t>NULL</t>
        </is>
      </c>
      <c r="J800" s="0" t="inlineStr">
        <is>
          <t>NULL</t>
        </is>
      </c>
      <c r="K800" s="0" t="inlineStr">
        <is>
          <t>YES! 	 c_datetime2列源备映射正确，源端为sql_variant 0位	期望更改为sql_variant	实际备端为sql_variant 0位</t>
        </is>
      </c>
    </row>
    <row r="801">
      <c r="B801" s="0" t="inlineStr">
        <is>
          <t>NULL</t>
        </is>
      </c>
      <c r="C801" s="0" t="inlineStr">
        <is>
          <t>NULL</t>
        </is>
      </c>
      <c r="D801" s="0" t="inlineStr">
        <is>
          <t>NULL</t>
        </is>
      </c>
      <c r="E801" s="0" t="inlineStr">
        <is>
          <t>NULL</t>
        </is>
      </c>
      <c r="F801" s="0" t="inlineStr">
        <is>
          <t>NULL</t>
        </is>
      </c>
      <c r="G801" s="0" t="inlineStr">
        <is>
          <t>NULL</t>
        </is>
      </c>
      <c r="H801" s="0" t="inlineStr">
        <is>
          <t>NULL</t>
        </is>
      </c>
      <c r="I801" s="0" t="inlineStr">
        <is>
          <t>NULL</t>
        </is>
      </c>
      <c r="J801" s="0" t="inlineStr">
        <is>
          <t>NULL</t>
        </is>
      </c>
      <c r="K801" s="0" t="inlineStr">
        <is>
          <t>YES! 	 c_datetimeoffset列源备映射正确，源端为sql_variant 0位	期望更改为sql_variant	实际备端为sql_variant 0位</t>
        </is>
      </c>
    </row>
    <row r="802">
      <c r="B802" s="0" t="inlineStr">
        <is>
          <t>NULL</t>
        </is>
      </c>
      <c r="C802" s="0" t="inlineStr">
        <is>
          <t>NULL</t>
        </is>
      </c>
      <c r="D802" s="0" t="inlineStr">
        <is>
          <t>NULL</t>
        </is>
      </c>
      <c r="E802" s="0" t="inlineStr">
        <is>
          <t>NULL</t>
        </is>
      </c>
      <c r="F802" s="0" t="inlineStr">
        <is>
          <t>NULL</t>
        </is>
      </c>
      <c r="G802" s="0" t="inlineStr">
        <is>
          <t>NULL</t>
        </is>
      </c>
      <c r="H802" s="0" t="inlineStr">
        <is>
          <t>NULL</t>
        </is>
      </c>
      <c r="I802" s="0" t="inlineStr">
        <is>
          <t>NULL</t>
        </is>
      </c>
      <c r="J802" s="0" t="inlineStr">
        <is>
          <t>NULL</t>
        </is>
      </c>
      <c r="K802" s="0" t="inlineStr">
        <is>
          <t>YES! 	 c_tinyint列源备映射正确，源端为sql_variant 0位	期望更改为sql_variant	实际备端为sql_variant 0位</t>
        </is>
      </c>
    </row>
    <row r="803">
      <c r="B803" s="0" t="inlineStr">
        <is>
          <t>NULL</t>
        </is>
      </c>
      <c r="C803" s="0" t="inlineStr">
        <is>
          <t>NULL</t>
        </is>
      </c>
      <c r="D803" s="0" t="inlineStr">
        <is>
          <t>NULL</t>
        </is>
      </c>
      <c r="E803" s="0" t="inlineStr">
        <is>
          <t>NULL</t>
        </is>
      </c>
      <c r="F803" s="0" t="inlineStr">
        <is>
          <t>NULL</t>
        </is>
      </c>
      <c r="G803" s="0" t="inlineStr">
        <is>
          <t>NULL</t>
        </is>
      </c>
      <c r="H803" s="0" t="inlineStr">
        <is>
          <t>NULL</t>
        </is>
      </c>
      <c r="I803" s="0" t="inlineStr">
        <is>
          <t>NULL</t>
        </is>
      </c>
      <c r="J803" s="0" t="inlineStr">
        <is>
          <t>NULL</t>
        </is>
      </c>
      <c r="K803" s="0" t="inlineStr">
        <is>
          <t>YES! 	 c_smallint列源备映射正确，源端为sql_variant 0位	期望更改为sql_variant	实际备端为sql_variant 0位</t>
        </is>
      </c>
    </row>
    <row r="804">
      <c r="B804" s="0" t="inlineStr">
        <is>
          <t>NULL</t>
        </is>
      </c>
      <c r="C804" s="0" t="inlineStr">
        <is>
          <t>NULL</t>
        </is>
      </c>
      <c r="D804" s="0" t="inlineStr">
        <is>
          <t>NULL</t>
        </is>
      </c>
      <c r="E804" s="0" t="inlineStr">
        <is>
          <t>NULL</t>
        </is>
      </c>
      <c r="F804" s="0" t="inlineStr">
        <is>
          <t>NULL</t>
        </is>
      </c>
      <c r="G804" s="0" t="inlineStr">
        <is>
          <t>NULL</t>
        </is>
      </c>
      <c r="H804" s="0" t="inlineStr">
        <is>
          <t>NULL</t>
        </is>
      </c>
      <c r="I804" s="0" t="inlineStr">
        <is>
          <t>NULL</t>
        </is>
      </c>
      <c r="J804" s="0" t="inlineStr">
        <is>
          <t>NULL</t>
        </is>
      </c>
      <c r="K804" s="0" t="inlineStr">
        <is>
          <t>YES! 	 c_int列源备映射正确，源端为sql_variant 0位	期望更改为sql_variant	实际备端为sql_variant 0位</t>
        </is>
      </c>
    </row>
    <row r="805">
      <c r="B805" s="0" t="inlineStr">
        <is>
          <t>NULL</t>
        </is>
      </c>
      <c r="C805" s="0" t="inlineStr">
        <is>
          <t>NULL</t>
        </is>
      </c>
      <c r="D805" s="0" t="inlineStr">
        <is>
          <t>NULL</t>
        </is>
      </c>
      <c r="E805" s="0" t="inlineStr">
        <is>
          <t>NULL</t>
        </is>
      </c>
      <c r="F805" s="0" t="inlineStr">
        <is>
          <t>NULL</t>
        </is>
      </c>
      <c r="G805" s="0" t="inlineStr">
        <is>
          <t>NULL</t>
        </is>
      </c>
      <c r="H805" s="0" t="inlineStr">
        <is>
          <t>NULL</t>
        </is>
      </c>
      <c r="I805" s="0" t="inlineStr">
        <is>
          <t>NULL</t>
        </is>
      </c>
      <c r="J805" s="0" t="inlineStr">
        <is>
          <t>NULL</t>
        </is>
      </c>
      <c r="K805" s="0" t="inlineStr">
        <is>
          <t>YES! 	 c_sdt列源备映射正确，源端为sql_variant 0位	期望更改为sql_variant	实际备端为sql_variant 0位</t>
        </is>
      </c>
    </row>
    <row r="806">
      <c r="B806" s="0" t="inlineStr">
        <is>
          <t>NULL</t>
        </is>
      </c>
      <c r="C806" s="0" t="inlineStr">
        <is>
          <t>NULL</t>
        </is>
      </c>
      <c r="D806" s="0" t="inlineStr">
        <is>
          <t>NULL</t>
        </is>
      </c>
      <c r="E806" s="0" t="inlineStr">
        <is>
          <t>NULL</t>
        </is>
      </c>
      <c r="F806" s="0" t="inlineStr">
        <is>
          <t>NULL</t>
        </is>
      </c>
      <c r="G806" s="0" t="inlineStr">
        <is>
          <t>NULL</t>
        </is>
      </c>
      <c r="H806" s="0" t="inlineStr">
        <is>
          <t>NULL</t>
        </is>
      </c>
      <c r="I806" s="0" t="inlineStr">
        <is>
          <t>NULL</t>
        </is>
      </c>
      <c r="J806" s="0" t="inlineStr">
        <is>
          <t>NULL</t>
        </is>
      </c>
      <c r="K806" s="0" t="inlineStr">
        <is>
          <t>YES! 	 c_real列源备映射正确，源端为sql_variant 0位	期望更改为sql_variant	实际备端为sql_variant 0位</t>
        </is>
      </c>
    </row>
    <row r="807">
      <c r="B807" s="0" t="inlineStr">
        <is>
          <t>NULL</t>
        </is>
      </c>
      <c r="C807" s="0" t="inlineStr">
        <is>
          <t>NULL</t>
        </is>
      </c>
      <c r="D807" s="0" t="inlineStr">
        <is>
          <t>NULL</t>
        </is>
      </c>
      <c r="E807" s="0" t="inlineStr">
        <is>
          <t>NULL</t>
        </is>
      </c>
      <c r="F807" s="0" t="inlineStr">
        <is>
          <t>NULL</t>
        </is>
      </c>
      <c r="G807" s="0" t="inlineStr">
        <is>
          <t>NULL</t>
        </is>
      </c>
      <c r="H807" s="0" t="inlineStr">
        <is>
          <t>NULL</t>
        </is>
      </c>
      <c r="I807" s="0" t="inlineStr">
        <is>
          <t>NULL</t>
        </is>
      </c>
      <c r="J807" s="0" t="inlineStr">
        <is>
          <t>NULL</t>
        </is>
      </c>
      <c r="K807" s="0" t="inlineStr">
        <is>
          <t>YES! 	 c_money列源备映射正确，源端为sql_variant 0位	期望更改为sql_variant	实际备端为sql_variant 0位</t>
        </is>
      </c>
    </row>
    <row r="808">
      <c r="B808" s="0" t="inlineStr">
        <is>
          <t>NULL</t>
        </is>
      </c>
      <c r="C808" s="0" t="inlineStr">
        <is>
          <t>NULL</t>
        </is>
      </c>
      <c r="D808" s="0" t="inlineStr">
        <is>
          <t>NULL</t>
        </is>
      </c>
      <c r="E808" s="0" t="inlineStr">
        <is>
          <t>NULL</t>
        </is>
      </c>
      <c r="F808" s="0" t="inlineStr">
        <is>
          <t>NULL</t>
        </is>
      </c>
      <c r="G808" s="0" t="inlineStr">
        <is>
          <t>NULL</t>
        </is>
      </c>
      <c r="H808" s="0" t="inlineStr">
        <is>
          <t>NULL</t>
        </is>
      </c>
      <c r="I808" s="0" t="inlineStr">
        <is>
          <t>NULL</t>
        </is>
      </c>
      <c r="J808" s="0" t="inlineStr">
        <is>
          <t>NULL</t>
        </is>
      </c>
      <c r="K808" s="0" t="inlineStr">
        <is>
          <t>YES! 	 c_datetime列源备映射正确，源端为sql_variant 0位	期望更改为sql_variant	实际备端为sql_variant 0位</t>
        </is>
      </c>
    </row>
    <row r="809">
      <c r="B809" s="0" t="inlineStr">
        <is>
          <t>NULL</t>
        </is>
      </c>
      <c r="C809" s="0" t="inlineStr">
        <is>
          <t>NULL</t>
        </is>
      </c>
      <c r="D809" s="0" t="inlineStr">
        <is>
          <t>NULL</t>
        </is>
      </c>
      <c r="E809" s="0" t="inlineStr">
        <is>
          <t>NULL</t>
        </is>
      </c>
      <c r="F809" s="0" t="inlineStr">
        <is>
          <t>NULL</t>
        </is>
      </c>
      <c r="G809" s="0" t="inlineStr">
        <is>
          <t>NULL</t>
        </is>
      </c>
      <c r="H809" s="0" t="inlineStr">
        <is>
          <t>NULL</t>
        </is>
      </c>
      <c r="I809" s="0" t="inlineStr">
        <is>
          <t>NULL</t>
        </is>
      </c>
      <c r="J809" s="0" t="inlineStr">
        <is>
          <t>NULL</t>
        </is>
      </c>
      <c r="K809" s="0" t="inlineStr">
        <is>
          <t>YES! 	 c_float列源备映射正确，源端为sql_variant 0位	期望更改为sql_variant	实际备端为sql_variant 0位</t>
        </is>
      </c>
    </row>
    <row r="810">
      <c r="B810" s="0" t="inlineStr">
        <is>
          <t>NULL</t>
        </is>
      </c>
      <c r="C810" s="0" t="inlineStr">
        <is>
          <t>NULL</t>
        </is>
      </c>
      <c r="D810" s="0" t="inlineStr">
        <is>
          <t>NULL</t>
        </is>
      </c>
      <c r="E810" s="0" t="inlineStr">
        <is>
          <t>NULL</t>
        </is>
      </c>
      <c r="F810" s="0" t="inlineStr">
        <is>
          <t>NULL</t>
        </is>
      </c>
      <c r="G810" s="0" t="inlineStr">
        <is>
          <t>NULL</t>
        </is>
      </c>
      <c r="H810" s="0" t="inlineStr">
        <is>
          <t>NULL</t>
        </is>
      </c>
      <c r="I810" s="0" t="inlineStr">
        <is>
          <t>NULL</t>
        </is>
      </c>
      <c r="J810" s="0" t="inlineStr">
        <is>
          <t>NULL</t>
        </is>
      </c>
      <c r="K810" s="0" t="inlineStr">
        <is>
          <t>YES! 	 c_bit列源备映射正确，源端为sql_variant 0位	期望更改为sql_variant	实际备端为sql_variant 0位</t>
        </is>
      </c>
    </row>
    <row r="811">
      <c r="B811" s="0" t="inlineStr">
        <is>
          <t>NULL</t>
        </is>
      </c>
      <c r="C811" s="0" t="inlineStr">
        <is>
          <t>NULL</t>
        </is>
      </c>
      <c r="D811" s="0" t="inlineStr">
        <is>
          <t>NULL</t>
        </is>
      </c>
      <c r="E811" s="0" t="inlineStr">
        <is>
          <t>NULL</t>
        </is>
      </c>
      <c r="F811" s="0" t="inlineStr">
        <is>
          <t>NULL</t>
        </is>
      </c>
      <c r="G811" s="0" t="inlineStr">
        <is>
          <t>NULL</t>
        </is>
      </c>
      <c r="H811" s="0" t="inlineStr">
        <is>
          <t>NULL</t>
        </is>
      </c>
      <c r="I811" s="0" t="inlineStr">
        <is>
          <t>NULL</t>
        </is>
      </c>
      <c r="J811" s="0" t="inlineStr">
        <is>
          <t>NULL</t>
        </is>
      </c>
      <c r="K811" s="0" t="inlineStr">
        <is>
          <t>YES! 	 c_decimal列源备映射正确，源端为sql_variant 0位	期望更改为sql_variant	实际备端为sql_variant 0位</t>
        </is>
      </c>
    </row>
    <row r="812">
      <c r="B812" s="0" t="inlineStr">
        <is>
          <t>NULL</t>
        </is>
      </c>
      <c r="C812" s="0" t="inlineStr">
        <is>
          <t>NULL</t>
        </is>
      </c>
      <c r="D812" s="0" t="inlineStr">
        <is>
          <t>NULL</t>
        </is>
      </c>
      <c r="E812" s="0" t="inlineStr">
        <is>
          <t>NULL</t>
        </is>
      </c>
      <c r="F812" s="0" t="inlineStr">
        <is>
          <t>NULL</t>
        </is>
      </c>
      <c r="G812" s="0" t="inlineStr">
        <is>
          <t>NULL</t>
        </is>
      </c>
      <c r="H812" s="0" t="inlineStr">
        <is>
          <t>NULL</t>
        </is>
      </c>
      <c r="I812" s="0" t="inlineStr">
        <is>
          <t>NULL</t>
        </is>
      </c>
      <c r="J812" s="0" t="inlineStr">
        <is>
          <t>NULL</t>
        </is>
      </c>
      <c r="K812" s="0" t="inlineStr">
        <is>
          <t>YES! 	 c_uniqueidentifier列源备映射正确，源端为sql_variant 0位	期望更改为sql_variant	实际备端为sql_variant 0位</t>
        </is>
      </c>
    </row>
    <row r="813">
      <c r="B813" s="0" t="inlineStr">
        <is>
          <t>NULL</t>
        </is>
      </c>
      <c r="C813" s="0" t="inlineStr">
        <is>
          <t>NULL</t>
        </is>
      </c>
      <c r="D813" s="0" t="inlineStr">
        <is>
          <t>NULL</t>
        </is>
      </c>
      <c r="E813" s="0" t="inlineStr">
        <is>
          <t>NULL</t>
        </is>
      </c>
      <c r="F813" s="0" t="inlineStr">
        <is>
          <t>NULL</t>
        </is>
      </c>
      <c r="G813" s="0" t="inlineStr">
        <is>
          <t>NULL</t>
        </is>
      </c>
      <c r="H813" s="0" t="inlineStr">
        <is>
          <t>NULL</t>
        </is>
      </c>
      <c r="I813" s="0" t="inlineStr">
        <is>
          <t>NULL</t>
        </is>
      </c>
      <c r="J813" s="0" t="inlineStr">
        <is>
          <t>NULL</t>
        </is>
      </c>
      <c r="K813" s="0" t="inlineStr">
        <is>
          <t>YES! 	 c_smallmoney列源备映射正确，源端为sql_variant 0位	期望更改为sql_variant	实际备端为sql_variant 0位</t>
        </is>
      </c>
    </row>
    <row r="814">
      <c r="B814" s="0" t="inlineStr">
        <is>
          <t>NULL</t>
        </is>
      </c>
      <c r="C814" s="0" t="inlineStr">
        <is>
          <t>NULL</t>
        </is>
      </c>
      <c r="D814" s="0" t="inlineStr">
        <is>
          <t>NULL</t>
        </is>
      </c>
      <c r="E814" s="0" t="inlineStr">
        <is>
          <t>NULL</t>
        </is>
      </c>
      <c r="F814" s="0" t="inlineStr">
        <is>
          <t>NULL</t>
        </is>
      </c>
      <c r="G814" s="0" t="inlineStr">
        <is>
          <t>NULL</t>
        </is>
      </c>
      <c r="H814" s="0" t="inlineStr">
        <is>
          <t>NULL</t>
        </is>
      </c>
      <c r="I814" s="0" t="inlineStr">
        <is>
          <t>NULL</t>
        </is>
      </c>
      <c r="J814" s="0" t="inlineStr">
        <is>
          <t>NULL</t>
        </is>
      </c>
      <c r="K814" s="0" t="inlineStr">
        <is>
          <t>YES! 	 c_bigint列源备映射正确，源端为sql_variant 0位	期望更改为sql_variant	实际备端为sql_variant 0位</t>
        </is>
      </c>
    </row>
    <row r="815">
      <c r="B815" s="0" t="inlineStr">
        <is>
          <t>NULL</t>
        </is>
      </c>
      <c r="C815" s="0" t="inlineStr">
        <is>
          <t>NULL</t>
        </is>
      </c>
      <c r="D815" s="0" t="inlineStr">
        <is>
          <t>NULL</t>
        </is>
      </c>
      <c r="E815" s="0" t="inlineStr">
        <is>
          <t>NULL</t>
        </is>
      </c>
      <c r="F815" s="0" t="inlineStr">
        <is>
          <t>NULL</t>
        </is>
      </c>
      <c r="G815" s="0" t="inlineStr">
        <is>
          <t>NULL</t>
        </is>
      </c>
      <c r="H815" s="0" t="inlineStr">
        <is>
          <t>NULL</t>
        </is>
      </c>
      <c r="I815" s="0" t="inlineStr">
        <is>
          <t>NULL</t>
        </is>
      </c>
      <c r="J815" s="0" t="inlineStr">
        <is>
          <t>NULL</t>
        </is>
      </c>
      <c r="K815" s="0" t="inlineStr">
        <is>
          <t>YES! 	 c_varbinary_20列源备映射正确，源端为sql_variant 0位	期望更改为sql_variant	实际备端为sql_variant 0位</t>
        </is>
      </c>
    </row>
    <row r="816">
      <c r="B816" s="0" t="inlineStr">
        <is>
          <t>NULL</t>
        </is>
      </c>
      <c r="C816" s="0" t="inlineStr">
        <is>
          <t>NULL</t>
        </is>
      </c>
      <c r="D816" s="0" t="inlineStr">
        <is>
          <t>NULL</t>
        </is>
      </c>
      <c r="E816" s="0" t="inlineStr">
        <is>
          <t>NULL</t>
        </is>
      </c>
      <c r="F816" s="0" t="inlineStr">
        <is>
          <t>NULL</t>
        </is>
      </c>
      <c r="G816" s="0" t="inlineStr">
        <is>
          <t>NULL</t>
        </is>
      </c>
      <c r="H816" s="0" t="inlineStr">
        <is>
          <t>NULL</t>
        </is>
      </c>
      <c r="I816" s="0" t="inlineStr">
        <is>
          <t>NULL</t>
        </is>
      </c>
      <c r="J816" s="0" t="inlineStr">
        <is>
          <t>NULL</t>
        </is>
      </c>
      <c r="K816" s="0" t="inlineStr">
        <is>
          <t>YES! 	 c_varchar_20列源备映射正确，源端为sql_variant 0位	期望更改为sql_variant	实际备端为sql_variant 0位</t>
        </is>
      </c>
    </row>
    <row r="817">
      <c r="B817" s="0" t="inlineStr">
        <is>
          <t>NULL</t>
        </is>
      </c>
      <c r="C817" s="0" t="inlineStr">
        <is>
          <t>NULL</t>
        </is>
      </c>
      <c r="D817" s="0" t="inlineStr">
        <is>
          <t>NULL</t>
        </is>
      </c>
      <c r="E817" s="0" t="inlineStr">
        <is>
          <t>NULL</t>
        </is>
      </c>
      <c r="F817" s="0" t="inlineStr">
        <is>
          <t>NULL</t>
        </is>
      </c>
      <c r="G817" s="0" t="inlineStr">
        <is>
          <t>NULL</t>
        </is>
      </c>
      <c r="H817" s="0" t="inlineStr">
        <is>
          <t>NULL</t>
        </is>
      </c>
      <c r="I817" s="0" t="inlineStr">
        <is>
          <t>NULL</t>
        </is>
      </c>
      <c r="J817" s="0" t="inlineStr">
        <is>
          <t>NULL</t>
        </is>
      </c>
      <c r="K817" s="0" t="inlineStr">
        <is>
          <t>YES! 	 c_binary_20列源备映射正确，源端为sql_variant 0位	期望更改为sql_variant	实际备端为sql_variant 0位</t>
        </is>
      </c>
    </row>
    <row r="818">
      <c r="B818" s="0" t="inlineStr">
        <is>
          <t>NULL</t>
        </is>
      </c>
      <c r="C818" s="0" t="inlineStr">
        <is>
          <t>NULL</t>
        </is>
      </c>
      <c r="D818" s="0" t="inlineStr">
        <is>
          <t>NULL</t>
        </is>
      </c>
      <c r="E818" s="0" t="inlineStr">
        <is>
          <t>NULL</t>
        </is>
      </c>
      <c r="F818" s="0" t="inlineStr">
        <is>
          <t>NULL</t>
        </is>
      </c>
      <c r="G818" s="0" t="inlineStr">
        <is>
          <t>NULL</t>
        </is>
      </c>
      <c r="H818" s="0" t="inlineStr">
        <is>
          <t>NULL</t>
        </is>
      </c>
      <c r="I818" s="0" t="inlineStr">
        <is>
          <t>NULL</t>
        </is>
      </c>
      <c r="J818" s="0" t="inlineStr">
        <is>
          <t>NULL</t>
        </is>
      </c>
      <c r="K818" s="0" t="inlineStr">
        <is>
          <t>YES! 	 c_char_20列源备映射正确，源端为sql_variant 0位	期望更改为sql_variant	实际备端为sql_variant 0位</t>
        </is>
      </c>
    </row>
    <row r="819">
      <c r="B819" s="0" t="inlineStr">
        <is>
          <t>NULL</t>
        </is>
      </c>
      <c r="C819" s="0" t="inlineStr">
        <is>
          <t>NULL</t>
        </is>
      </c>
      <c r="D819" s="0" t="inlineStr">
        <is>
          <t>NULL</t>
        </is>
      </c>
      <c r="E819" s="0" t="inlineStr">
        <is>
          <t>NULL</t>
        </is>
      </c>
      <c r="F819" s="0" t="inlineStr">
        <is>
          <t>NULL</t>
        </is>
      </c>
      <c r="G819" s="0" t="inlineStr">
        <is>
          <t>NULL</t>
        </is>
      </c>
      <c r="H819" s="0" t="inlineStr">
        <is>
          <t>NULL</t>
        </is>
      </c>
      <c r="I819" s="0" t="inlineStr">
        <is>
          <t>NULL</t>
        </is>
      </c>
      <c r="J819" s="0" t="inlineStr">
        <is>
          <t>NULL</t>
        </is>
      </c>
      <c r="K819" s="0" t="inlineStr">
        <is>
          <t>YES! 	 c_nvarchar_20列源备映射正确，源端为sql_variant 0位	期望更改为sql_variant	实际备端为sql_variant 0位</t>
        </is>
      </c>
    </row>
    <row r="820">
      <c r="B820" s="0" t="inlineStr">
        <is>
          <t>NULL</t>
        </is>
      </c>
      <c r="C820" s="0" t="inlineStr">
        <is>
          <t>NULL</t>
        </is>
      </c>
      <c r="D820" s="0" t="inlineStr">
        <is>
          <t>NULL</t>
        </is>
      </c>
      <c r="E820" s="0" t="inlineStr">
        <is>
          <t>NULL</t>
        </is>
      </c>
      <c r="F820" s="0" t="inlineStr">
        <is>
          <t>NULL</t>
        </is>
      </c>
      <c r="G820" s="0" t="inlineStr">
        <is>
          <t>NULL</t>
        </is>
      </c>
      <c r="H820" s="0" t="inlineStr">
        <is>
          <t>NULL</t>
        </is>
      </c>
      <c r="I820" s="0" t="inlineStr">
        <is>
          <t>NULL</t>
        </is>
      </c>
      <c r="J820" s="0" t="inlineStr">
        <is>
          <t>NULL</t>
        </is>
      </c>
      <c r="K820" s="0" t="inlineStr">
        <is>
          <t>YES! 	 c_nchar_20列源备映射正确，源端为sql_variant 0位	期望更改为sql_variant	实际备端为sql_variant 0位</t>
        </is>
      </c>
    </row>
    <row r="821">
      <c r="B821" s="0" t="inlineStr">
        <is>
          <t>NULL</t>
        </is>
      </c>
      <c r="C821" s="0" t="inlineStr">
        <is>
          <t>NULL</t>
        </is>
      </c>
      <c r="D821" s="0" t="inlineStr">
        <is>
          <t>NULL</t>
        </is>
      </c>
      <c r="E821" s="0" t="inlineStr">
        <is>
          <t>NULL</t>
        </is>
      </c>
      <c r="F821" s="0" t="inlineStr">
        <is>
          <t>NULL</t>
        </is>
      </c>
      <c r="G821" s="0" t="inlineStr">
        <is>
          <t>NULL</t>
        </is>
      </c>
      <c r="H821" s="0" t="inlineStr">
        <is>
          <t>NULL</t>
        </is>
      </c>
      <c r="I821" s="0" t="inlineStr">
        <is>
          <t>NULL</t>
        </is>
      </c>
      <c r="J821" s="0" t="inlineStr">
        <is>
          <t>NULL</t>
        </is>
      </c>
      <c r="K821" s="0" t="inlineStr">
        <is>
          <t>YES! 	 c_timestamp列源备映射正确，源端为timestamp None位	期望更改为timestamp	实际备端为timestamp None位</t>
        </is>
      </c>
    </row>
    <row r="822">
      <c r="A822" s="0" t="inlineStr">
        <is>
          <t>info_sql_variant_dml_single_nopk_drp</t>
        </is>
      </c>
      <c r="K822" s="0" t="inlineStr">
        <is>
          <t>[0;34m info_sql_variant_dml_single_nopk_drp [0m源备字段数相同，源端字段：25 	备端字段25</t>
        </is>
      </c>
      <c r="W822" s="0" t="inlineStr">
        <is>
          <t>YES 源备无差异</t>
        </is>
      </c>
      <c r="X822" s="0">
        <f>A822</f>
        <v/>
      </c>
    </row>
    <row r="823">
      <c r="B823" s="0" t="inlineStr">
        <is>
          <t>NULL</t>
        </is>
      </c>
      <c r="C823" s="0" t="inlineStr">
        <is>
          <t>NULL</t>
        </is>
      </c>
      <c r="D823" s="0" t="inlineStr">
        <is>
          <t>NULL</t>
        </is>
      </c>
      <c r="E823" s="0" t="inlineStr">
        <is>
          <t>NULL</t>
        </is>
      </c>
      <c r="F823" s="0" t="inlineStr">
        <is>
          <t>NULL</t>
        </is>
      </c>
      <c r="G823" s="0" t="inlineStr">
        <is>
          <t>NULL</t>
        </is>
      </c>
      <c r="H823" s="0" t="inlineStr">
        <is>
          <t>NULL</t>
        </is>
      </c>
      <c r="I823" s="0" t="inlineStr">
        <is>
          <t>NULL</t>
        </is>
      </c>
      <c r="J823" s="0" t="inlineStr">
        <is>
          <t>NULL</t>
        </is>
      </c>
      <c r="K823" s="0" t="inlineStr">
        <is>
          <t>YES! 	 id列源备映射正确，源端为int None位	期望更改为int	实际备端为int None位</t>
        </is>
      </c>
    </row>
    <row r="824">
      <c r="B824" s="0" t="inlineStr">
        <is>
          <t>NULL</t>
        </is>
      </c>
      <c r="C824" s="0" t="inlineStr">
        <is>
          <t>NULL</t>
        </is>
      </c>
      <c r="D824" s="0" t="inlineStr">
        <is>
          <t>NULL</t>
        </is>
      </c>
      <c r="E824" s="0" t="inlineStr">
        <is>
          <t>NULL</t>
        </is>
      </c>
      <c r="F824" s="0" t="inlineStr">
        <is>
          <t>NULL</t>
        </is>
      </c>
      <c r="G824" s="0" t="inlineStr">
        <is>
          <t>NULL</t>
        </is>
      </c>
      <c r="H824" s="0" t="inlineStr">
        <is>
          <t>NULL</t>
        </is>
      </c>
      <c r="I824" s="0" t="inlineStr">
        <is>
          <t>NULL</t>
        </is>
      </c>
      <c r="J824" s="0" t="inlineStr">
        <is>
          <t>NULL</t>
        </is>
      </c>
      <c r="K824" s="0" t="inlineStr">
        <is>
          <t>YES! 	 c_date列源备映射正确，源端为sql_variant 0位	期望更改为sql_variant	实际备端为sql_variant 0位</t>
        </is>
      </c>
    </row>
    <row r="825">
      <c r="B825" s="0" t="inlineStr">
        <is>
          <t>NULL</t>
        </is>
      </c>
      <c r="C825" s="0" t="inlineStr">
        <is>
          <t>NULL</t>
        </is>
      </c>
      <c r="D825" s="0" t="inlineStr">
        <is>
          <t>NULL</t>
        </is>
      </c>
      <c r="E825" s="0" t="inlineStr">
        <is>
          <t>NULL</t>
        </is>
      </c>
      <c r="F825" s="0" t="inlineStr">
        <is>
          <t>NULL</t>
        </is>
      </c>
      <c r="G825" s="0" t="inlineStr">
        <is>
          <t>NULL</t>
        </is>
      </c>
      <c r="H825" s="0" t="inlineStr">
        <is>
          <t>NULL</t>
        </is>
      </c>
      <c r="I825" s="0" t="inlineStr">
        <is>
          <t>NULL</t>
        </is>
      </c>
      <c r="J825" s="0" t="inlineStr">
        <is>
          <t>NULL</t>
        </is>
      </c>
      <c r="K825" s="0" t="inlineStr">
        <is>
          <t>YES! 	 c_time列源备映射正确，源端为sql_variant 0位	期望更改为sql_variant	实际备端为sql_variant 0位</t>
        </is>
      </c>
    </row>
    <row r="826">
      <c r="B826" s="0" t="inlineStr">
        <is>
          <t>NULL</t>
        </is>
      </c>
      <c r="C826" s="0" t="inlineStr">
        <is>
          <t>NULL</t>
        </is>
      </c>
      <c r="D826" s="0" t="inlineStr">
        <is>
          <t>NULL</t>
        </is>
      </c>
      <c r="E826" s="0" t="inlineStr">
        <is>
          <t>NULL</t>
        </is>
      </c>
      <c r="F826" s="0" t="inlineStr">
        <is>
          <t>NULL</t>
        </is>
      </c>
      <c r="G826" s="0" t="inlineStr">
        <is>
          <t>NULL</t>
        </is>
      </c>
      <c r="H826" s="0" t="inlineStr">
        <is>
          <t>NULL</t>
        </is>
      </c>
      <c r="I826" s="0" t="inlineStr">
        <is>
          <t>NULL</t>
        </is>
      </c>
      <c r="J826" s="0" t="inlineStr">
        <is>
          <t>NULL</t>
        </is>
      </c>
      <c r="K826" s="0" t="inlineStr">
        <is>
          <t>YES! 	 c_datetime2列源备映射正确，源端为sql_variant 0位	期望更改为sql_variant	实际备端为sql_variant 0位</t>
        </is>
      </c>
    </row>
    <row r="827">
      <c r="B827" s="0" t="inlineStr">
        <is>
          <t>NULL</t>
        </is>
      </c>
      <c r="C827" s="0" t="inlineStr">
        <is>
          <t>NULL</t>
        </is>
      </c>
      <c r="D827" s="0" t="inlineStr">
        <is>
          <t>NULL</t>
        </is>
      </c>
      <c r="E827" s="0" t="inlineStr">
        <is>
          <t>NULL</t>
        </is>
      </c>
      <c r="F827" s="0" t="inlineStr">
        <is>
          <t>NULL</t>
        </is>
      </c>
      <c r="G827" s="0" t="inlineStr">
        <is>
          <t>NULL</t>
        </is>
      </c>
      <c r="H827" s="0" t="inlineStr">
        <is>
          <t>NULL</t>
        </is>
      </c>
      <c r="I827" s="0" t="inlineStr">
        <is>
          <t>NULL</t>
        </is>
      </c>
      <c r="J827" s="0" t="inlineStr">
        <is>
          <t>NULL</t>
        </is>
      </c>
      <c r="K827" s="0" t="inlineStr">
        <is>
          <t>YES! 	 c_datetimeoffset列源备映射正确，源端为sql_variant 0位	期望更改为sql_variant	实际备端为sql_variant 0位</t>
        </is>
      </c>
    </row>
    <row r="828">
      <c r="B828" s="0" t="inlineStr">
        <is>
          <t>NULL</t>
        </is>
      </c>
      <c r="C828" s="0" t="inlineStr">
        <is>
          <t>NULL</t>
        </is>
      </c>
      <c r="D828" s="0" t="inlineStr">
        <is>
          <t>NULL</t>
        </is>
      </c>
      <c r="E828" s="0" t="inlineStr">
        <is>
          <t>NULL</t>
        </is>
      </c>
      <c r="F828" s="0" t="inlineStr">
        <is>
          <t>NULL</t>
        </is>
      </c>
      <c r="G828" s="0" t="inlineStr">
        <is>
          <t>NULL</t>
        </is>
      </c>
      <c r="H828" s="0" t="inlineStr">
        <is>
          <t>NULL</t>
        </is>
      </c>
      <c r="I828" s="0" t="inlineStr">
        <is>
          <t>NULL</t>
        </is>
      </c>
      <c r="J828" s="0" t="inlineStr">
        <is>
          <t>NULL</t>
        </is>
      </c>
      <c r="K828" s="0" t="inlineStr">
        <is>
          <t>YES! 	 c_tinyint列源备映射正确，源端为sql_variant 0位	期望更改为sql_variant	实际备端为sql_variant 0位</t>
        </is>
      </c>
    </row>
    <row r="829">
      <c r="B829" s="0" t="inlineStr">
        <is>
          <t>NULL</t>
        </is>
      </c>
      <c r="C829" s="0" t="inlineStr">
        <is>
          <t>NULL</t>
        </is>
      </c>
      <c r="D829" s="0" t="inlineStr">
        <is>
          <t>NULL</t>
        </is>
      </c>
      <c r="E829" s="0" t="inlineStr">
        <is>
          <t>NULL</t>
        </is>
      </c>
      <c r="F829" s="0" t="inlineStr">
        <is>
          <t>NULL</t>
        </is>
      </c>
      <c r="G829" s="0" t="inlineStr">
        <is>
          <t>NULL</t>
        </is>
      </c>
      <c r="H829" s="0" t="inlineStr">
        <is>
          <t>NULL</t>
        </is>
      </c>
      <c r="I829" s="0" t="inlineStr">
        <is>
          <t>NULL</t>
        </is>
      </c>
      <c r="J829" s="0" t="inlineStr">
        <is>
          <t>NULL</t>
        </is>
      </c>
      <c r="K829" s="0" t="inlineStr">
        <is>
          <t>YES! 	 c_smallint列源备映射正确，源端为sql_variant 0位	期望更改为sql_variant	实际备端为sql_variant 0位</t>
        </is>
      </c>
    </row>
    <row r="830">
      <c r="B830" s="0" t="inlineStr">
        <is>
          <t>NULL</t>
        </is>
      </c>
      <c r="C830" s="0" t="inlineStr">
        <is>
          <t>NULL</t>
        </is>
      </c>
      <c r="D830" s="0" t="inlineStr">
        <is>
          <t>NULL</t>
        </is>
      </c>
      <c r="E830" s="0" t="inlineStr">
        <is>
          <t>NULL</t>
        </is>
      </c>
      <c r="F830" s="0" t="inlineStr">
        <is>
          <t>NULL</t>
        </is>
      </c>
      <c r="G830" s="0" t="inlineStr">
        <is>
          <t>NULL</t>
        </is>
      </c>
      <c r="H830" s="0" t="inlineStr">
        <is>
          <t>NULL</t>
        </is>
      </c>
      <c r="I830" s="0" t="inlineStr">
        <is>
          <t>NULL</t>
        </is>
      </c>
      <c r="J830" s="0" t="inlineStr">
        <is>
          <t>NULL</t>
        </is>
      </c>
      <c r="K830" s="0" t="inlineStr">
        <is>
          <t>YES! 	 c_int列源备映射正确，源端为sql_variant 0位	期望更改为sql_variant	实际备端为sql_variant 0位</t>
        </is>
      </c>
    </row>
    <row r="831">
      <c r="B831" s="0" t="inlineStr">
        <is>
          <t>NULL</t>
        </is>
      </c>
      <c r="C831" s="0" t="inlineStr">
        <is>
          <t>NULL</t>
        </is>
      </c>
      <c r="D831" s="0" t="inlineStr">
        <is>
          <t>NULL</t>
        </is>
      </c>
      <c r="E831" s="0" t="inlineStr">
        <is>
          <t>NULL</t>
        </is>
      </c>
      <c r="F831" s="0" t="inlineStr">
        <is>
          <t>NULL</t>
        </is>
      </c>
      <c r="G831" s="0" t="inlineStr">
        <is>
          <t>NULL</t>
        </is>
      </c>
      <c r="H831" s="0" t="inlineStr">
        <is>
          <t>NULL</t>
        </is>
      </c>
      <c r="I831" s="0" t="inlineStr">
        <is>
          <t>NULL</t>
        </is>
      </c>
      <c r="J831" s="0" t="inlineStr">
        <is>
          <t>NULL</t>
        </is>
      </c>
      <c r="K831" s="0" t="inlineStr">
        <is>
          <t>YES! 	 c_sdt列源备映射正确，源端为sql_variant 0位	期望更改为sql_variant	实际备端为sql_variant 0位</t>
        </is>
      </c>
    </row>
    <row r="832">
      <c r="B832" s="0" t="inlineStr">
        <is>
          <t>NULL</t>
        </is>
      </c>
      <c r="C832" s="0" t="inlineStr">
        <is>
          <t>NULL</t>
        </is>
      </c>
      <c r="D832" s="0" t="inlineStr">
        <is>
          <t>NULL</t>
        </is>
      </c>
      <c r="E832" s="0" t="inlineStr">
        <is>
          <t>NULL</t>
        </is>
      </c>
      <c r="F832" s="0" t="inlineStr">
        <is>
          <t>NULL</t>
        </is>
      </c>
      <c r="G832" s="0" t="inlineStr">
        <is>
          <t>NULL</t>
        </is>
      </c>
      <c r="H832" s="0" t="inlineStr">
        <is>
          <t>NULL</t>
        </is>
      </c>
      <c r="I832" s="0" t="inlineStr">
        <is>
          <t>NULL</t>
        </is>
      </c>
      <c r="J832" s="0" t="inlineStr">
        <is>
          <t>NULL</t>
        </is>
      </c>
      <c r="K832" s="0" t="inlineStr">
        <is>
          <t>YES! 	 c_real列源备映射正确，源端为sql_variant 0位	期望更改为sql_variant	实际备端为sql_variant 0位</t>
        </is>
      </c>
    </row>
    <row r="833">
      <c r="B833" s="0" t="inlineStr">
        <is>
          <t>NULL</t>
        </is>
      </c>
      <c r="C833" s="0" t="inlineStr">
        <is>
          <t>NULL</t>
        </is>
      </c>
      <c r="D833" s="0" t="inlineStr">
        <is>
          <t>NULL</t>
        </is>
      </c>
      <c r="E833" s="0" t="inlineStr">
        <is>
          <t>NULL</t>
        </is>
      </c>
      <c r="F833" s="0" t="inlineStr">
        <is>
          <t>NULL</t>
        </is>
      </c>
      <c r="G833" s="0" t="inlineStr">
        <is>
          <t>NULL</t>
        </is>
      </c>
      <c r="H833" s="0" t="inlineStr">
        <is>
          <t>NULL</t>
        </is>
      </c>
      <c r="I833" s="0" t="inlineStr">
        <is>
          <t>NULL</t>
        </is>
      </c>
      <c r="J833" s="0" t="inlineStr">
        <is>
          <t>NULL</t>
        </is>
      </c>
      <c r="K833" s="0" t="inlineStr">
        <is>
          <t>YES! 	 c_money列源备映射正确，源端为sql_variant 0位	期望更改为sql_variant	实际备端为sql_variant 0位</t>
        </is>
      </c>
    </row>
    <row r="834">
      <c r="B834" s="0" t="inlineStr">
        <is>
          <t>NULL</t>
        </is>
      </c>
      <c r="C834" s="0" t="inlineStr">
        <is>
          <t>NULL</t>
        </is>
      </c>
      <c r="D834" s="0" t="inlineStr">
        <is>
          <t>NULL</t>
        </is>
      </c>
      <c r="E834" s="0" t="inlineStr">
        <is>
          <t>NULL</t>
        </is>
      </c>
      <c r="F834" s="0" t="inlineStr">
        <is>
          <t>NULL</t>
        </is>
      </c>
      <c r="G834" s="0" t="inlineStr">
        <is>
          <t>NULL</t>
        </is>
      </c>
      <c r="H834" s="0" t="inlineStr">
        <is>
          <t>NULL</t>
        </is>
      </c>
      <c r="I834" s="0" t="inlineStr">
        <is>
          <t>NULL</t>
        </is>
      </c>
      <c r="J834" s="0" t="inlineStr">
        <is>
          <t>NULL</t>
        </is>
      </c>
      <c r="K834" s="0" t="inlineStr">
        <is>
          <t>YES! 	 c_datetime列源备映射正确，源端为sql_variant 0位	期望更改为sql_variant	实际备端为sql_variant 0位</t>
        </is>
      </c>
    </row>
    <row r="835">
      <c r="B835" s="0" t="inlineStr">
        <is>
          <t>NULL</t>
        </is>
      </c>
      <c r="C835" s="0" t="inlineStr">
        <is>
          <t>NULL</t>
        </is>
      </c>
      <c r="D835" s="0" t="inlineStr">
        <is>
          <t>NULL</t>
        </is>
      </c>
      <c r="E835" s="0" t="inlineStr">
        <is>
          <t>NULL</t>
        </is>
      </c>
      <c r="F835" s="0" t="inlineStr">
        <is>
          <t>NULL</t>
        </is>
      </c>
      <c r="G835" s="0" t="inlineStr">
        <is>
          <t>NULL</t>
        </is>
      </c>
      <c r="H835" s="0" t="inlineStr">
        <is>
          <t>NULL</t>
        </is>
      </c>
      <c r="I835" s="0" t="inlineStr">
        <is>
          <t>NULL</t>
        </is>
      </c>
      <c r="J835" s="0" t="inlineStr">
        <is>
          <t>NULL</t>
        </is>
      </c>
      <c r="K835" s="0" t="inlineStr">
        <is>
          <t>YES! 	 c_float列源备映射正确，源端为sql_variant 0位	期望更改为sql_variant	实际备端为sql_variant 0位</t>
        </is>
      </c>
    </row>
    <row r="836">
      <c r="B836" s="0" t="inlineStr">
        <is>
          <t>NULL</t>
        </is>
      </c>
      <c r="C836" s="0" t="inlineStr">
        <is>
          <t>NULL</t>
        </is>
      </c>
      <c r="D836" s="0" t="inlineStr">
        <is>
          <t>NULL</t>
        </is>
      </c>
      <c r="E836" s="0" t="inlineStr">
        <is>
          <t>NULL</t>
        </is>
      </c>
      <c r="F836" s="0" t="inlineStr">
        <is>
          <t>NULL</t>
        </is>
      </c>
      <c r="G836" s="0" t="inlineStr">
        <is>
          <t>NULL</t>
        </is>
      </c>
      <c r="H836" s="0" t="inlineStr">
        <is>
          <t>NULL</t>
        </is>
      </c>
      <c r="I836" s="0" t="inlineStr">
        <is>
          <t>NULL</t>
        </is>
      </c>
      <c r="J836" s="0" t="inlineStr">
        <is>
          <t>NULL</t>
        </is>
      </c>
      <c r="K836" s="0" t="inlineStr">
        <is>
          <t>YES! 	 c_bit列源备映射正确，源端为sql_variant 0位	期望更改为sql_variant	实际备端为sql_variant 0位</t>
        </is>
      </c>
    </row>
    <row r="837">
      <c r="B837" s="0" t="inlineStr">
        <is>
          <t>NULL</t>
        </is>
      </c>
      <c r="C837" s="0" t="inlineStr">
        <is>
          <t>NULL</t>
        </is>
      </c>
      <c r="D837" s="0" t="inlineStr">
        <is>
          <t>NULL</t>
        </is>
      </c>
      <c r="E837" s="0" t="inlineStr">
        <is>
          <t>NULL</t>
        </is>
      </c>
      <c r="F837" s="0" t="inlineStr">
        <is>
          <t>NULL</t>
        </is>
      </c>
      <c r="G837" s="0" t="inlineStr">
        <is>
          <t>NULL</t>
        </is>
      </c>
      <c r="H837" s="0" t="inlineStr">
        <is>
          <t>NULL</t>
        </is>
      </c>
      <c r="I837" s="0" t="inlineStr">
        <is>
          <t>NULL</t>
        </is>
      </c>
      <c r="J837" s="0" t="inlineStr">
        <is>
          <t>NULL</t>
        </is>
      </c>
      <c r="K837" s="0" t="inlineStr">
        <is>
          <t>YES! 	 c_decimal列源备映射正确，源端为sql_variant 0位	期望更改为sql_variant	实际备端为sql_variant 0位</t>
        </is>
      </c>
    </row>
    <row r="838">
      <c r="B838" s="0" t="inlineStr">
        <is>
          <t>NULL</t>
        </is>
      </c>
      <c r="C838" s="0" t="inlineStr">
        <is>
          <t>NULL</t>
        </is>
      </c>
      <c r="D838" s="0" t="inlineStr">
        <is>
          <t>NULL</t>
        </is>
      </c>
      <c r="E838" s="0" t="inlineStr">
        <is>
          <t>NULL</t>
        </is>
      </c>
      <c r="F838" s="0" t="inlineStr">
        <is>
          <t>NULL</t>
        </is>
      </c>
      <c r="G838" s="0" t="inlineStr">
        <is>
          <t>NULL</t>
        </is>
      </c>
      <c r="H838" s="0" t="inlineStr">
        <is>
          <t>NULL</t>
        </is>
      </c>
      <c r="I838" s="0" t="inlineStr">
        <is>
          <t>NULL</t>
        </is>
      </c>
      <c r="J838" s="0" t="inlineStr">
        <is>
          <t>NULL</t>
        </is>
      </c>
      <c r="K838" s="0" t="inlineStr">
        <is>
          <t>YES! 	 c_uniqueidentifier列源备映射正确，源端为sql_variant 0位	期望更改为sql_variant	实际备端为sql_variant 0位</t>
        </is>
      </c>
    </row>
    <row r="839">
      <c r="B839" s="0" t="inlineStr">
        <is>
          <t>NULL</t>
        </is>
      </c>
      <c r="C839" s="0" t="inlineStr">
        <is>
          <t>NULL</t>
        </is>
      </c>
      <c r="D839" s="0" t="inlineStr">
        <is>
          <t>NULL</t>
        </is>
      </c>
      <c r="E839" s="0" t="inlineStr">
        <is>
          <t>NULL</t>
        </is>
      </c>
      <c r="F839" s="0" t="inlineStr">
        <is>
          <t>NULL</t>
        </is>
      </c>
      <c r="G839" s="0" t="inlineStr">
        <is>
          <t>NULL</t>
        </is>
      </c>
      <c r="H839" s="0" t="inlineStr">
        <is>
          <t>NULL</t>
        </is>
      </c>
      <c r="I839" s="0" t="inlineStr">
        <is>
          <t>NULL</t>
        </is>
      </c>
      <c r="J839" s="0" t="inlineStr">
        <is>
          <t>NULL</t>
        </is>
      </c>
      <c r="K839" s="0" t="inlineStr">
        <is>
          <t>YES! 	 c_smallmoney列源备映射正确，源端为sql_variant 0位	期望更改为sql_variant	实际备端为sql_variant 0位</t>
        </is>
      </c>
    </row>
    <row r="840">
      <c r="B840" s="0" t="inlineStr">
        <is>
          <t>NULL</t>
        </is>
      </c>
      <c r="C840" s="0" t="inlineStr">
        <is>
          <t>NULL</t>
        </is>
      </c>
      <c r="D840" s="0" t="inlineStr">
        <is>
          <t>NULL</t>
        </is>
      </c>
      <c r="E840" s="0" t="inlineStr">
        <is>
          <t>NULL</t>
        </is>
      </c>
      <c r="F840" s="0" t="inlineStr">
        <is>
          <t>NULL</t>
        </is>
      </c>
      <c r="G840" s="0" t="inlineStr">
        <is>
          <t>NULL</t>
        </is>
      </c>
      <c r="H840" s="0" t="inlineStr">
        <is>
          <t>NULL</t>
        </is>
      </c>
      <c r="I840" s="0" t="inlineStr">
        <is>
          <t>NULL</t>
        </is>
      </c>
      <c r="J840" s="0" t="inlineStr">
        <is>
          <t>NULL</t>
        </is>
      </c>
      <c r="K840" s="0" t="inlineStr">
        <is>
          <t>YES! 	 c_bigint列源备映射正确，源端为sql_variant 0位	期望更改为sql_variant	实际备端为sql_variant 0位</t>
        </is>
      </c>
    </row>
    <row r="841">
      <c r="B841" s="0" t="inlineStr">
        <is>
          <t>NULL</t>
        </is>
      </c>
      <c r="C841" s="0" t="inlineStr">
        <is>
          <t>NULL</t>
        </is>
      </c>
      <c r="D841" s="0" t="inlineStr">
        <is>
          <t>NULL</t>
        </is>
      </c>
      <c r="E841" s="0" t="inlineStr">
        <is>
          <t>NULL</t>
        </is>
      </c>
      <c r="F841" s="0" t="inlineStr">
        <is>
          <t>NULL</t>
        </is>
      </c>
      <c r="G841" s="0" t="inlineStr">
        <is>
          <t>NULL</t>
        </is>
      </c>
      <c r="H841" s="0" t="inlineStr">
        <is>
          <t>NULL</t>
        </is>
      </c>
      <c r="I841" s="0" t="inlineStr">
        <is>
          <t>NULL</t>
        </is>
      </c>
      <c r="J841" s="0" t="inlineStr">
        <is>
          <t>NULL</t>
        </is>
      </c>
      <c r="K841" s="0" t="inlineStr">
        <is>
          <t>YES! 	 c_varbinary_20列源备映射正确，源端为sql_variant 0位	期望更改为sql_variant	实际备端为sql_variant 0位</t>
        </is>
      </c>
    </row>
    <row r="842">
      <c r="B842" s="0" t="inlineStr">
        <is>
          <t>NULL</t>
        </is>
      </c>
      <c r="C842" s="0" t="inlineStr">
        <is>
          <t>NULL</t>
        </is>
      </c>
      <c r="D842" s="0" t="inlineStr">
        <is>
          <t>NULL</t>
        </is>
      </c>
      <c r="E842" s="0" t="inlineStr">
        <is>
          <t>NULL</t>
        </is>
      </c>
      <c r="F842" s="0" t="inlineStr">
        <is>
          <t>NULL</t>
        </is>
      </c>
      <c r="G842" s="0" t="inlineStr">
        <is>
          <t>NULL</t>
        </is>
      </c>
      <c r="H842" s="0" t="inlineStr">
        <is>
          <t>NULL</t>
        </is>
      </c>
      <c r="I842" s="0" t="inlineStr">
        <is>
          <t>NULL</t>
        </is>
      </c>
      <c r="J842" s="0" t="inlineStr">
        <is>
          <t>NULL</t>
        </is>
      </c>
      <c r="K842" s="0" t="inlineStr">
        <is>
          <t>YES! 	 c_varchar_20列源备映射正确，源端为sql_variant 0位	期望更改为sql_variant	实际备端为sql_variant 0位</t>
        </is>
      </c>
    </row>
    <row r="843">
      <c r="B843" s="0" t="inlineStr">
        <is>
          <t>NULL</t>
        </is>
      </c>
      <c r="C843" s="0" t="inlineStr">
        <is>
          <t>NULL</t>
        </is>
      </c>
      <c r="D843" s="0" t="inlineStr">
        <is>
          <t>NULL</t>
        </is>
      </c>
      <c r="E843" s="0" t="inlineStr">
        <is>
          <t>NULL</t>
        </is>
      </c>
      <c r="F843" s="0" t="inlineStr">
        <is>
          <t>NULL</t>
        </is>
      </c>
      <c r="G843" s="0" t="inlineStr">
        <is>
          <t>NULL</t>
        </is>
      </c>
      <c r="H843" s="0" t="inlineStr">
        <is>
          <t>NULL</t>
        </is>
      </c>
      <c r="I843" s="0" t="inlineStr">
        <is>
          <t>NULL</t>
        </is>
      </c>
      <c r="J843" s="0" t="inlineStr">
        <is>
          <t>NULL</t>
        </is>
      </c>
      <c r="K843" s="0" t="inlineStr">
        <is>
          <t>YES! 	 c_binary_20列源备映射正确，源端为sql_variant 0位	期望更改为sql_variant	实际备端为sql_variant 0位</t>
        </is>
      </c>
    </row>
    <row r="844">
      <c r="B844" s="0" t="inlineStr">
        <is>
          <t>NULL</t>
        </is>
      </c>
      <c r="C844" s="0" t="inlineStr">
        <is>
          <t>NULL</t>
        </is>
      </c>
      <c r="D844" s="0" t="inlineStr">
        <is>
          <t>NULL</t>
        </is>
      </c>
      <c r="E844" s="0" t="inlineStr">
        <is>
          <t>NULL</t>
        </is>
      </c>
      <c r="F844" s="0" t="inlineStr">
        <is>
          <t>NULL</t>
        </is>
      </c>
      <c r="G844" s="0" t="inlineStr">
        <is>
          <t>NULL</t>
        </is>
      </c>
      <c r="H844" s="0" t="inlineStr">
        <is>
          <t>NULL</t>
        </is>
      </c>
      <c r="I844" s="0" t="inlineStr">
        <is>
          <t>NULL</t>
        </is>
      </c>
      <c r="J844" s="0" t="inlineStr">
        <is>
          <t>NULL</t>
        </is>
      </c>
      <c r="K844" s="0" t="inlineStr">
        <is>
          <t>YES! 	 c_char_20列源备映射正确，源端为sql_variant 0位	期望更改为sql_variant	实际备端为sql_variant 0位</t>
        </is>
      </c>
    </row>
    <row r="845">
      <c r="B845" s="0" t="inlineStr">
        <is>
          <t>NULL</t>
        </is>
      </c>
      <c r="C845" s="0" t="inlineStr">
        <is>
          <t>NULL</t>
        </is>
      </c>
      <c r="D845" s="0" t="inlineStr">
        <is>
          <t>NULL</t>
        </is>
      </c>
      <c r="E845" s="0" t="inlineStr">
        <is>
          <t>NULL</t>
        </is>
      </c>
      <c r="F845" s="0" t="inlineStr">
        <is>
          <t>NULL</t>
        </is>
      </c>
      <c r="G845" s="0" t="inlineStr">
        <is>
          <t>NULL</t>
        </is>
      </c>
      <c r="H845" s="0" t="inlineStr">
        <is>
          <t>NULL</t>
        </is>
      </c>
      <c r="I845" s="0" t="inlineStr">
        <is>
          <t>NULL</t>
        </is>
      </c>
      <c r="J845" s="0" t="inlineStr">
        <is>
          <t>NULL</t>
        </is>
      </c>
      <c r="K845" s="0" t="inlineStr">
        <is>
          <t>YES! 	 c_nvarchar_20列源备映射正确，源端为sql_variant 0位	期望更改为sql_variant	实际备端为sql_variant 0位</t>
        </is>
      </c>
    </row>
    <row r="846">
      <c r="B846" s="0" t="inlineStr">
        <is>
          <t>NULL</t>
        </is>
      </c>
      <c r="C846" s="0" t="inlineStr">
        <is>
          <t>NULL</t>
        </is>
      </c>
      <c r="D846" s="0" t="inlineStr">
        <is>
          <t>NULL</t>
        </is>
      </c>
      <c r="E846" s="0" t="inlineStr">
        <is>
          <t>NULL</t>
        </is>
      </c>
      <c r="F846" s="0" t="inlineStr">
        <is>
          <t>NULL</t>
        </is>
      </c>
      <c r="G846" s="0" t="inlineStr">
        <is>
          <t>NULL</t>
        </is>
      </c>
      <c r="H846" s="0" t="inlineStr">
        <is>
          <t>NULL</t>
        </is>
      </c>
      <c r="I846" s="0" t="inlineStr">
        <is>
          <t>NULL</t>
        </is>
      </c>
      <c r="J846" s="0" t="inlineStr">
        <is>
          <t>NULL</t>
        </is>
      </c>
      <c r="K846" s="0" t="inlineStr">
        <is>
          <t>YES! 	 c_nchar_20列源备映射正确，源端为sql_variant 0位	期望更改为sql_variant	实际备端为sql_variant 0位</t>
        </is>
      </c>
    </row>
    <row r="847">
      <c r="B847" s="0" t="inlineStr">
        <is>
          <t>NULL</t>
        </is>
      </c>
      <c r="C847" s="0" t="inlineStr">
        <is>
          <t>NULL</t>
        </is>
      </c>
      <c r="D847" s="0" t="inlineStr">
        <is>
          <t>NULL</t>
        </is>
      </c>
      <c r="E847" s="0" t="inlineStr">
        <is>
          <t>NULL</t>
        </is>
      </c>
      <c r="F847" s="0" t="inlineStr">
        <is>
          <t>NULL</t>
        </is>
      </c>
      <c r="G847" s="0" t="inlineStr">
        <is>
          <t>NULL</t>
        </is>
      </c>
      <c r="H847" s="0" t="inlineStr">
        <is>
          <t>NULL</t>
        </is>
      </c>
      <c r="I847" s="0" t="inlineStr">
        <is>
          <t>NULL</t>
        </is>
      </c>
      <c r="J847" s="0" t="inlineStr">
        <is>
          <t>NULL</t>
        </is>
      </c>
      <c r="K847" s="0" t="inlineStr">
        <is>
          <t>YES! 	 c_timestamp列源备映射正确，源端为timestamp None位	期望更改为timestamp	实际备端为timestamp None位</t>
        </is>
      </c>
    </row>
    <row r="848">
      <c r="A848" s="0" t="inlineStr">
        <is>
          <t>info_nchar_dml_batch2_pk_irp2</t>
        </is>
      </c>
      <c r="K848" s="0" t="inlineStr">
        <is>
          <t>[0;34m info_nchar_dml_batch2_pk_irp2 [0m源备字段数相同，源端字段：4 	备端字段4</t>
        </is>
      </c>
      <c r="W848" s="0" t="inlineStr">
        <is>
          <t>YES 源备无差异</t>
        </is>
      </c>
      <c r="X848" s="0">
        <f>A848</f>
        <v/>
      </c>
    </row>
    <row r="849">
      <c r="B849" s="0" t="inlineStr">
        <is>
          <t>YES</t>
        </is>
      </c>
      <c r="C849" s="0" t="inlineStr">
        <is>
          <t>NULL</t>
        </is>
      </c>
      <c r="D849" s="0" t="inlineStr">
        <is>
          <t>NULL</t>
        </is>
      </c>
      <c r="E849" s="0" t="inlineStr">
        <is>
          <t>NULL</t>
        </is>
      </c>
      <c r="F849" s="0" t="inlineStr">
        <is>
          <t>NULL</t>
        </is>
      </c>
      <c r="G849" s="0" t="inlineStr">
        <is>
          <t>NULL</t>
        </is>
      </c>
      <c r="H849" s="0" t="inlineStr">
        <is>
          <t>NULL</t>
        </is>
      </c>
      <c r="I849" s="0" t="inlineStr">
        <is>
          <t>YES!PK__info_nch__3213E83FAF7F0A51</t>
        </is>
      </c>
      <c r="J849" s="0" t="inlineStr">
        <is>
          <t>YES! 主键相关索引</t>
        </is>
      </c>
      <c r="K849" s="0" t="inlineStr">
        <is>
          <t>YES! 	 id列源备映射正确，源端为int None位	期望更改为int	实际备端为int None位</t>
        </is>
      </c>
    </row>
    <row r="850">
      <c r="B850" s="0" t="inlineStr">
        <is>
          <t>NULL</t>
        </is>
      </c>
      <c r="C850" s="0" t="inlineStr">
        <is>
          <t>NULL</t>
        </is>
      </c>
      <c r="D850" s="0" t="inlineStr">
        <is>
          <t>NULL</t>
        </is>
      </c>
      <c r="E850" s="0" t="inlineStr">
        <is>
          <t>NULL</t>
        </is>
      </c>
      <c r="F850" s="0" t="inlineStr">
        <is>
          <t>NULL</t>
        </is>
      </c>
      <c r="G850" s="0" t="inlineStr">
        <is>
          <t>NULL</t>
        </is>
      </c>
      <c r="H850" s="0" t="inlineStr">
        <is>
          <t>NULL</t>
        </is>
      </c>
      <c r="I850" s="0" t="inlineStr">
        <is>
          <t>NULL</t>
        </is>
      </c>
      <c r="J850" s="0" t="inlineStr">
        <is>
          <t>NULL</t>
        </is>
      </c>
      <c r="K850" s="0" t="inlineStr">
        <is>
          <t>YES! 	 c_nchar列源备映射正确，源端为nchar 2位	期望更改为nchar(n)	实际备端为nchar 2位</t>
        </is>
      </c>
    </row>
    <row r="851">
      <c r="B851" s="0" t="inlineStr">
        <is>
          <t>NULL</t>
        </is>
      </c>
      <c r="C851" s="0" t="inlineStr">
        <is>
          <t>NULL</t>
        </is>
      </c>
      <c r="D851" s="0" t="inlineStr">
        <is>
          <t>NULL</t>
        </is>
      </c>
      <c r="E851" s="0" t="inlineStr">
        <is>
          <t>NULL</t>
        </is>
      </c>
      <c r="F851" s="0" t="inlineStr">
        <is>
          <t>NULL</t>
        </is>
      </c>
      <c r="G851" s="0" t="inlineStr">
        <is>
          <t>NULL</t>
        </is>
      </c>
      <c r="H851" s="0" t="inlineStr">
        <is>
          <t>NULL</t>
        </is>
      </c>
      <c r="I851" s="0" t="inlineStr">
        <is>
          <t>NULL</t>
        </is>
      </c>
      <c r="J851" s="0" t="inlineStr">
        <is>
          <t>NULL</t>
        </is>
      </c>
      <c r="K851" s="0" t="inlineStr">
        <is>
          <t>YES! 	 c_nchar20列源备映射正确，源端为nchar 40位	期望更改为nchar(n)	实际备端为nchar 40位</t>
        </is>
      </c>
    </row>
    <row r="852">
      <c r="B852" s="0" t="inlineStr">
        <is>
          <t>NULL</t>
        </is>
      </c>
      <c r="C852" s="0" t="inlineStr">
        <is>
          <t>NULL</t>
        </is>
      </c>
      <c r="D852" s="0" t="inlineStr">
        <is>
          <t>NULL</t>
        </is>
      </c>
      <c r="E852" s="0" t="inlineStr">
        <is>
          <t>NULL</t>
        </is>
      </c>
      <c r="F852" s="0" t="inlineStr">
        <is>
          <t>NULL</t>
        </is>
      </c>
      <c r="G852" s="0" t="inlineStr">
        <is>
          <t>NULL</t>
        </is>
      </c>
      <c r="H852" s="0" t="inlineStr">
        <is>
          <t>NULL</t>
        </is>
      </c>
      <c r="I852" s="0" t="inlineStr">
        <is>
          <t>NULL</t>
        </is>
      </c>
      <c r="J852" s="0" t="inlineStr">
        <is>
          <t>NULL</t>
        </is>
      </c>
      <c r="K852" s="0" t="inlineStr">
        <is>
          <t>YES! 	 c_nchar3500列源备映射正确，源端为nchar 7000位	期望更改为nchar(n)	实际备端为nchar 7000位</t>
        </is>
      </c>
    </row>
    <row r="853">
      <c r="A853" s="0" t="inlineStr">
        <is>
          <t>info_date_dml_single_pk</t>
        </is>
      </c>
      <c r="K853" s="0" t="inlineStr">
        <is>
          <t>[0;34m info_date_dml_single_pk [0m源备字段数相同，源端字段：2 	备端字段2</t>
        </is>
      </c>
      <c r="W853" s="0" t="inlineStr">
        <is>
          <t>YES 源备无差异</t>
        </is>
      </c>
      <c r="X853" s="0">
        <f>A853</f>
        <v/>
      </c>
    </row>
    <row r="854">
      <c r="B854" s="0" t="inlineStr">
        <is>
          <t>YES</t>
        </is>
      </c>
      <c r="C854" s="0" t="inlineStr">
        <is>
          <t>NULL</t>
        </is>
      </c>
      <c r="D854" s="0" t="inlineStr">
        <is>
          <t>NULL</t>
        </is>
      </c>
      <c r="E854" s="0" t="inlineStr">
        <is>
          <t>NULL</t>
        </is>
      </c>
      <c r="F854" s="0" t="inlineStr">
        <is>
          <t>NULL</t>
        </is>
      </c>
      <c r="G854" s="0" t="inlineStr">
        <is>
          <t>NULL</t>
        </is>
      </c>
      <c r="H854" s="0" t="inlineStr">
        <is>
          <t>NULL</t>
        </is>
      </c>
      <c r="I854" s="0" t="inlineStr">
        <is>
          <t>YES!PK__info_dat__3213E83FBC98E2C8</t>
        </is>
      </c>
      <c r="J854" s="0" t="inlineStr">
        <is>
          <t>YES! 主键相关索引</t>
        </is>
      </c>
      <c r="K854" s="0" t="inlineStr">
        <is>
          <t>YES! 	 id列源备映射正确，源端为int None位	期望更改为int	实际备端为int None位</t>
        </is>
      </c>
    </row>
    <row r="855">
      <c r="B855" s="0" t="inlineStr">
        <is>
          <t>NULL</t>
        </is>
      </c>
      <c r="C855" s="0" t="inlineStr">
        <is>
          <t>NULL</t>
        </is>
      </c>
      <c r="D855" s="0" t="inlineStr">
        <is>
          <t>NULL</t>
        </is>
      </c>
      <c r="E855" s="0" t="inlineStr">
        <is>
          <t>NULL</t>
        </is>
      </c>
      <c r="F855" s="0" t="inlineStr">
        <is>
          <t>NULL</t>
        </is>
      </c>
      <c r="G855" s="0" t="inlineStr">
        <is>
          <t>NULL</t>
        </is>
      </c>
      <c r="H855" s="0" t="inlineStr">
        <is>
          <t>NULL</t>
        </is>
      </c>
      <c r="I855" s="0" t="inlineStr">
        <is>
          <t>NULL</t>
        </is>
      </c>
      <c r="J855" s="0" t="inlineStr">
        <is>
          <t>NULL</t>
        </is>
      </c>
      <c r="K855" s="0" t="inlineStr">
        <is>
          <t>YES! 	 c_date列源备映射正确，源端为date None位	期望更改为date	实际备端为date None位</t>
        </is>
      </c>
    </row>
    <row r="856">
      <c r="A856" s="0" t="inlineStr">
        <is>
          <t>info_timestamp_dml_single_nopk_irp</t>
        </is>
      </c>
      <c r="K856" s="0" t="inlineStr">
        <is>
          <t>[0;34m info_timestamp_dml_single_nopk_irp [0m源备字段数相同，源端字段：2 	备端字段2</t>
        </is>
      </c>
      <c r="W856" s="0" t="inlineStr">
        <is>
          <t>YES 源备无差异</t>
        </is>
      </c>
      <c r="X856" s="0">
        <f>A856</f>
        <v/>
      </c>
    </row>
    <row r="857">
      <c r="B857" s="0" t="inlineStr">
        <is>
          <t>NULL</t>
        </is>
      </c>
      <c r="C857" s="0" t="inlineStr">
        <is>
          <t>NULL</t>
        </is>
      </c>
      <c r="D857" s="0" t="inlineStr">
        <is>
          <t>NULL</t>
        </is>
      </c>
      <c r="E857" s="0" t="inlineStr">
        <is>
          <t>NULL</t>
        </is>
      </c>
      <c r="F857" s="0" t="inlineStr">
        <is>
          <t>NULL</t>
        </is>
      </c>
      <c r="G857" s="0" t="inlineStr">
        <is>
          <t>NULL</t>
        </is>
      </c>
      <c r="H857" s="0" t="inlineStr">
        <is>
          <t>NULL</t>
        </is>
      </c>
      <c r="I857" s="0" t="inlineStr">
        <is>
          <t>NULL</t>
        </is>
      </c>
      <c r="J857" s="0" t="inlineStr">
        <is>
          <t>NULL</t>
        </is>
      </c>
      <c r="K857" s="0" t="inlineStr">
        <is>
          <t>YES! 	 id列源备映射正确，源端为int None位	期望更改为int	实际备端为int None位</t>
        </is>
      </c>
    </row>
    <row r="858">
      <c r="B858" s="0" t="inlineStr">
        <is>
          <t>NULL</t>
        </is>
      </c>
      <c r="C858" s="0" t="inlineStr">
        <is>
          <t>NULL</t>
        </is>
      </c>
      <c r="D858" s="0" t="inlineStr">
        <is>
          <t>NULL</t>
        </is>
      </c>
      <c r="E858" s="0" t="inlineStr">
        <is>
          <t>NULL</t>
        </is>
      </c>
      <c r="F858" s="0" t="inlineStr">
        <is>
          <t>NULL</t>
        </is>
      </c>
      <c r="G858" s="0" t="inlineStr">
        <is>
          <t>NULL</t>
        </is>
      </c>
      <c r="H858" s="0" t="inlineStr">
        <is>
          <t>NULL</t>
        </is>
      </c>
      <c r="I858" s="0" t="inlineStr">
        <is>
          <t>NULL</t>
        </is>
      </c>
      <c r="J858" s="0" t="inlineStr">
        <is>
          <t>NULL</t>
        </is>
      </c>
      <c r="K858" s="0" t="inlineStr">
        <is>
          <t>YES! 	 c_tiemstamp列源备映射正确，源端为timestamp None位	期望更改为timestamp	实际备端为timestamp None位</t>
        </is>
      </c>
    </row>
    <row r="859">
      <c r="A859" s="0" t="inlineStr">
        <is>
          <t>info_sql_variant_dml_single_nopk</t>
        </is>
      </c>
      <c r="K859" s="0" t="inlineStr">
        <is>
          <t>[0;34m info_sql_variant_dml_single_nopk [0m源备字段数相同，源端字段：25 	备端字段25</t>
        </is>
      </c>
      <c r="W859" s="0" t="inlineStr">
        <is>
          <t>YES 源备无差异</t>
        </is>
      </c>
      <c r="X859" s="0">
        <f>A859</f>
        <v/>
      </c>
    </row>
    <row r="860">
      <c r="B860" s="0" t="inlineStr">
        <is>
          <t>NULL</t>
        </is>
      </c>
      <c r="C860" s="0" t="inlineStr">
        <is>
          <t>NULL</t>
        </is>
      </c>
      <c r="D860" s="0" t="inlineStr">
        <is>
          <t>NULL</t>
        </is>
      </c>
      <c r="E860" s="0" t="inlineStr">
        <is>
          <t>NULL</t>
        </is>
      </c>
      <c r="F860" s="0" t="inlineStr">
        <is>
          <t>NULL</t>
        </is>
      </c>
      <c r="G860" s="0" t="inlineStr">
        <is>
          <t>NULL</t>
        </is>
      </c>
      <c r="H860" s="0" t="inlineStr">
        <is>
          <t>NULL</t>
        </is>
      </c>
      <c r="I860" s="0" t="inlineStr">
        <is>
          <t>NULL</t>
        </is>
      </c>
      <c r="J860" s="0" t="inlineStr">
        <is>
          <t>NULL</t>
        </is>
      </c>
      <c r="K860" s="0" t="inlineStr">
        <is>
          <t>YES! 	 id列源备映射正确，源端为int None位	期望更改为int	实际备端为int None位</t>
        </is>
      </c>
    </row>
    <row r="861">
      <c r="B861" s="0" t="inlineStr">
        <is>
          <t>NULL</t>
        </is>
      </c>
      <c r="C861" s="0" t="inlineStr">
        <is>
          <t>NULL</t>
        </is>
      </c>
      <c r="D861" s="0" t="inlineStr">
        <is>
          <t>NULL</t>
        </is>
      </c>
      <c r="E861" s="0" t="inlineStr">
        <is>
          <t>NULL</t>
        </is>
      </c>
      <c r="F861" s="0" t="inlineStr">
        <is>
          <t>NULL</t>
        </is>
      </c>
      <c r="G861" s="0" t="inlineStr">
        <is>
          <t>NULL</t>
        </is>
      </c>
      <c r="H861" s="0" t="inlineStr">
        <is>
          <t>NULL</t>
        </is>
      </c>
      <c r="I861" s="0" t="inlineStr">
        <is>
          <t>NULL</t>
        </is>
      </c>
      <c r="J861" s="0" t="inlineStr">
        <is>
          <t>NULL</t>
        </is>
      </c>
      <c r="K861" s="0" t="inlineStr">
        <is>
          <t>YES! 	 c_date列源备映射正确，源端为sql_variant 0位	期望更改为sql_variant	实际备端为sql_variant 0位</t>
        </is>
      </c>
    </row>
    <row r="862">
      <c r="B862" s="0" t="inlineStr">
        <is>
          <t>NULL</t>
        </is>
      </c>
      <c r="C862" s="0" t="inlineStr">
        <is>
          <t>NULL</t>
        </is>
      </c>
      <c r="D862" s="0" t="inlineStr">
        <is>
          <t>NULL</t>
        </is>
      </c>
      <c r="E862" s="0" t="inlineStr">
        <is>
          <t>NULL</t>
        </is>
      </c>
      <c r="F862" s="0" t="inlineStr">
        <is>
          <t>NULL</t>
        </is>
      </c>
      <c r="G862" s="0" t="inlineStr">
        <is>
          <t>NULL</t>
        </is>
      </c>
      <c r="H862" s="0" t="inlineStr">
        <is>
          <t>NULL</t>
        </is>
      </c>
      <c r="I862" s="0" t="inlineStr">
        <is>
          <t>NULL</t>
        </is>
      </c>
      <c r="J862" s="0" t="inlineStr">
        <is>
          <t>NULL</t>
        </is>
      </c>
      <c r="K862" s="0" t="inlineStr">
        <is>
          <t>YES! 	 c_time列源备映射正确，源端为sql_variant 0位	期望更改为sql_variant	实际备端为sql_variant 0位</t>
        </is>
      </c>
    </row>
    <row r="863">
      <c r="B863" s="0" t="inlineStr">
        <is>
          <t>NULL</t>
        </is>
      </c>
      <c r="C863" s="0" t="inlineStr">
        <is>
          <t>NULL</t>
        </is>
      </c>
      <c r="D863" s="0" t="inlineStr">
        <is>
          <t>NULL</t>
        </is>
      </c>
      <c r="E863" s="0" t="inlineStr">
        <is>
          <t>NULL</t>
        </is>
      </c>
      <c r="F863" s="0" t="inlineStr">
        <is>
          <t>NULL</t>
        </is>
      </c>
      <c r="G863" s="0" t="inlineStr">
        <is>
          <t>NULL</t>
        </is>
      </c>
      <c r="H863" s="0" t="inlineStr">
        <is>
          <t>NULL</t>
        </is>
      </c>
      <c r="I863" s="0" t="inlineStr">
        <is>
          <t>NULL</t>
        </is>
      </c>
      <c r="J863" s="0" t="inlineStr">
        <is>
          <t>NULL</t>
        </is>
      </c>
      <c r="K863" s="0" t="inlineStr">
        <is>
          <t>YES! 	 c_datetime2列源备映射正确，源端为sql_variant 0位	期望更改为sql_variant	实际备端为sql_variant 0位</t>
        </is>
      </c>
    </row>
    <row r="864">
      <c r="B864" s="0" t="inlineStr">
        <is>
          <t>NULL</t>
        </is>
      </c>
      <c r="C864" s="0" t="inlineStr">
        <is>
          <t>NULL</t>
        </is>
      </c>
      <c r="D864" s="0" t="inlineStr">
        <is>
          <t>NULL</t>
        </is>
      </c>
      <c r="E864" s="0" t="inlineStr">
        <is>
          <t>NULL</t>
        </is>
      </c>
      <c r="F864" s="0" t="inlineStr">
        <is>
          <t>NULL</t>
        </is>
      </c>
      <c r="G864" s="0" t="inlineStr">
        <is>
          <t>NULL</t>
        </is>
      </c>
      <c r="H864" s="0" t="inlineStr">
        <is>
          <t>NULL</t>
        </is>
      </c>
      <c r="I864" s="0" t="inlineStr">
        <is>
          <t>NULL</t>
        </is>
      </c>
      <c r="J864" s="0" t="inlineStr">
        <is>
          <t>NULL</t>
        </is>
      </c>
      <c r="K864" s="0" t="inlineStr">
        <is>
          <t>YES! 	 c_datetimeoffset列源备映射正确，源端为sql_variant 0位	期望更改为sql_variant	实际备端为sql_variant 0位</t>
        </is>
      </c>
    </row>
    <row r="865">
      <c r="B865" s="0" t="inlineStr">
        <is>
          <t>NULL</t>
        </is>
      </c>
      <c r="C865" s="0" t="inlineStr">
        <is>
          <t>NULL</t>
        </is>
      </c>
      <c r="D865" s="0" t="inlineStr">
        <is>
          <t>NULL</t>
        </is>
      </c>
      <c r="E865" s="0" t="inlineStr">
        <is>
          <t>NULL</t>
        </is>
      </c>
      <c r="F865" s="0" t="inlineStr">
        <is>
          <t>NULL</t>
        </is>
      </c>
      <c r="G865" s="0" t="inlineStr">
        <is>
          <t>NULL</t>
        </is>
      </c>
      <c r="H865" s="0" t="inlineStr">
        <is>
          <t>NULL</t>
        </is>
      </c>
      <c r="I865" s="0" t="inlineStr">
        <is>
          <t>NULL</t>
        </is>
      </c>
      <c r="J865" s="0" t="inlineStr">
        <is>
          <t>NULL</t>
        </is>
      </c>
      <c r="K865" s="0" t="inlineStr">
        <is>
          <t>YES! 	 c_tinyint列源备映射正确，源端为sql_variant 0位	期望更改为sql_variant	实际备端为sql_variant 0位</t>
        </is>
      </c>
    </row>
    <row r="866">
      <c r="B866" s="0" t="inlineStr">
        <is>
          <t>NULL</t>
        </is>
      </c>
      <c r="C866" s="0" t="inlineStr">
        <is>
          <t>NULL</t>
        </is>
      </c>
      <c r="D866" s="0" t="inlineStr">
        <is>
          <t>NULL</t>
        </is>
      </c>
      <c r="E866" s="0" t="inlineStr">
        <is>
          <t>NULL</t>
        </is>
      </c>
      <c r="F866" s="0" t="inlineStr">
        <is>
          <t>NULL</t>
        </is>
      </c>
      <c r="G866" s="0" t="inlineStr">
        <is>
          <t>NULL</t>
        </is>
      </c>
      <c r="H866" s="0" t="inlineStr">
        <is>
          <t>NULL</t>
        </is>
      </c>
      <c r="I866" s="0" t="inlineStr">
        <is>
          <t>NULL</t>
        </is>
      </c>
      <c r="J866" s="0" t="inlineStr">
        <is>
          <t>NULL</t>
        </is>
      </c>
      <c r="K866" s="0" t="inlineStr">
        <is>
          <t>YES! 	 c_smallint列源备映射正确，源端为sql_variant 0位	期望更改为sql_variant	实际备端为sql_variant 0位</t>
        </is>
      </c>
    </row>
    <row r="867">
      <c r="B867" s="0" t="inlineStr">
        <is>
          <t>NULL</t>
        </is>
      </c>
      <c r="C867" s="0" t="inlineStr">
        <is>
          <t>NULL</t>
        </is>
      </c>
      <c r="D867" s="0" t="inlineStr">
        <is>
          <t>NULL</t>
        </is>
      </c>
      <c r="E867" s="0" t="inlineStr">
        <is>
          <t>NULL</t>
        </is>
      </c>
      <c r="F867" s="0" t="inlineStr">
        <is>
          <t>NULL</t>
        </is>
      </c>
      <c r="G867" s="0" t="inlineStr">
        <is>
          <t>NULL</t>
        </is>
      </c>
      <c r="H867" s="0" t="inlineStr">
        <is>
          <t>NULL</t>
        </is>
      </c>
      <c r="I867" s="0" t="inlineStr">
        <is>
          <t>NULL</t>
        </is>
      </c>
      <c r="J867" s="0" t="inlineStr">
        <is>
          <t>NULL</t>
        </is>
      </c>
      <c r="K867" s="0" t="inlineStr">
        <is>
          <t>YES! 	 c_int列源备映射正确，源端为sql_variant 0位	期望更改为sql_variant	实际备端为sql_variant 0位</t>
        </is>
      </c>
    </row>
    <row r="868">
      <c r="B868" s="0" t="inlineStr">
        <is>
          <t>NULL</t>
        </is>
      </c>
      <c r="C868" s="0" t="inlineStr">
        <is>
          <t>NULL</t>
        </is>
      </c>
      <c r="D868" s="0" t="inlineStr">
        <is>
          <t>NULL</t>
        </is>
      </c>
      <c r="E868" s="0" t="inlineStr">
        <is>
          <t>NULL</t>
        </is>
      </c>
      <c r="F868" s="0" t="inlineStr">
        <is>
          <t>NULL</t>
        </is>
      </c>
      <c r="G868" s="0" t="inlineStr">
        <is>
          <t>NULL</t>
        </is>
      </c>
      <c r="H868" s="0" t="inlineStr">
        <is>
          <t>NULL</t>
        </is>
      </c>
      <c r="I868" s="0" t="inlineStr">
        <is>
          <t>NULL</t>
        </is>
      </c>
      <c r="J868" s="0" t="inlineStr">
        <is>
          <t>NULL</t>
        </is>
      </c>
      <c r="K868" s="0" t="inlineStr">
        <is>
          <t>YES! 	 c_sdt列源备映射正确，源端为sql_variant 0位	期望更改为sql_variant	实际备端为sql_variant 0位</t>
        </is>
      </c>
    </row>
    <row r="869">
      <c r="B869" s="0" t="inlineStr">
        <is>
          <t>NULL</t>
        </is>
      </c>
      <c r="C869" s="0" t="inlineStr">
        <is>
          <t>NULL</t>
        </is>
      </c>
      <c r="D869" s="0" t="inlineStr">
        <is>
          <t>NULL</t>
        </is>
      </c>
      <c r="E869" s="0" t="inlineStr">
        <is>
          <t>NULL</t>
        </is>
      </c>
      <c r="F869" s="0" t="inlineStr">
        <is>
          <t>NULL</t>
        </is>
      </c>
      <c r="G869" s="0" t="inlineStr">
        <is>
          <t>NULL</t>
        </is>
      </c>
      <c r="H869" s="0" t="inlineStr">
        <is>
          <t>NULL</t>
        </is>
      </c>
      <c r="I869" s="0" t="inlineStr">
        <is>
          <t>NULL</t>
        </is>
      </c>
      <c r="J869" s="0" t="inlineStr">
        <is>
          <t>NULL</t>
        </is>
      </c>
      <c r="K869" s="0" t="inlineStr">
        <is>
          <t>YES! 	 c_real列源备映射正确，源端为sql_variant 0位	期望更改为sql_variant	实际备端为sql_variant 0位</t>
        </is>
      </c>
    </row>
    <row r="870">
      <c r="B870" s="0" t="inlineStr">
        <is>
          <t>NULL</t>
        </is>
      </c>
      <c r="C870" s="0" t="inlineStr">
        <is>
          <t>NULL</t>
        </is>
      </c>
      <c r="D870" s="0" t="inlineStr">
        <is>
          <t>NULL</t>
        </is>
      </c>
      <c r="E870" s="0" t="inlineStr">
        <is>
          <t>NULL</t>
        </is>
      </c>
      <c r="F870" s="0" t="inlineStr">
        <is>
          <t>NULL</t>
        </is>
      </c>
      <c r="G870" s="0" t="inlineStr">
        <is>
          <t>NULL</t>
        </is>
      </c>
      <c r="H870" s="0" t="inlineStr">
        <is>
          <t>NULL</t>
        </is>
      </c>
      <c r="I870" s="0" t="inlineStr">
        <is>
          <t>NULL</t>
        </is>
      </c>
      <c r="J870" s="0" t="inlineStr">
        <is>
          <t>NULL</t>
        </is>
      </c>
      <c r="K870" s="0" t="inlineStr">
        <is>
          <t>YES! 	 c_money列源备映射正确，源端为sql_variant 0位	期望更改为sql_variant	实际备端为sql_variant 0位</t>
        </is>
      </c>
    </row>
    <row r="871">
      <c r="B871" s="0" t="inlineStr">
        <is>
          <t>NULL</t>
        </is>
      </c>
      <c r="C871" s="0" t="inlineStr">
        <is>
          <t>NULL</t>
        </is>
      </c>
      <c r="D871" s="0" t="inlineStr">
        <is>
          <t>NULL</t>
        </is>
      </c>
      <c r="E871" s="0" t="inlineStr">
        <is>
          <t>NULL</t>
        </is>
      </c>
      <c r="F871" s="0" t="inlineStr">
        <is>
          <t>NULL</t>
        </is>
      </c>
      <c r="G871" s="0" t="inlineStr">
        <is>
          <t>NULL</t>
        </is>
      </c>
      <c r="H871" s="0" t="inlineStr">
        <is>
          <t>NULL</t>
        </is>
      </c>
      <c r="I871" s="0" t="inlineStr">
        <is>
          <t>NULL</t>
        </is>
      </c>
      <c r="J871" s="0" t="inlineStr">
        <is>
          <t>NULL</t>
        </is>
      </c>
      <c r="K871" s="0" t="inlineStr">
        <is>
          <t>YES! 	 c_datetime列源备映射正确，源端为sql_variant 0位	期望更改为sql_variant	实际备端为sql_variant 0位</t>
        </is>
      </c>
    </row>
    <row r="872">
      <c r="B872" s="0" t="inlineStr">
        <is>
          <t>NULL</t>
        </is>
      </c>
      <c r="C872" s="0" t="inlineStr">
        <is>
          <t>NULL</t>
        </is>
      </c>
      <c r="D872" s="0" t="inlineStr">
        <is>
          <t>NULL</t>
        </is>
      </c>
      <c r="E872" s="0" t="inlineStr">
        <is>
          <t>NULL</t>
        </is>
      </c>
      <c r="F872" s="0" t="inlineStr">
        <is>
          <t>NULL</t>
        </is>
      </c>
      <c r="G872" s="0" t="inlineStr">
        <is>
          <t>NULL</t>
        </is>
      </c>
      <c r="H872" s="0" t="inlineStr">
        <is>
          <t>NULL</t>
        </is>
      </c>
      <c r="I872" s="0" t="inlineStr">
        <is>
          <t>NULL</t>
        </is>
      </c>
      <c r="J872" s="0" t="inlineStr">
        <is>
          <t>NULL</t>
        </is>
      </c>
      <c r="K872" s="0" t="inlineStr">
        <is>
          <t>YES! 	 c_float列源备映射正确，源端为sql_variant 0位	期望更改为sql_variant	实际备端为sql_variant 0位</t>
        </is>
      </c>
    </row>
    <row r="873">
      <c r="B873" s="0" t="inlineStr">
        <is>
          <t>NULL</t>
        </is>
      </c>
      <c r="C873" s="0" t="inlineStr">
        <is>
          <t>NULL</t>
        </is>
      </c>
      <c r="D873" s="0" t="inlineStr">
        <is>
          <t>NULL</t>
        </is>
      </c>
      <c r="E873" s="0" t="inlineStr">
        <is>
          <t>NULL</t>
        </is>
      </c>
      <c r="F873" s="0" t="inlineStr">
        <is>
          <t>NULL</t>
        </is>
      </c>
      <c r="G873" s="0" t="inlineStr">
        <is>
          <t>NULL</t>
        </is>
      </c>
      <c r="H873" s="0" t="inlineStr">
        <is>
          <t>NULL</t>
        </is>
      </c>
      <c r="I873" s="0" t="inlineStr">
        <is>
          <t>NULL</t>
        </is>
      </c>
      <c r="J873" s="0" t="inlineStr">
        <is>
          <t>NULL</t>
        </is>
      </c>
      <c r="K873" s="0" t="inlineStr">
        <is>
          <t>YES! 	 c_bit列源备映射正确，源端为sql_variant 0位	期望更改为sql_variant	实际备端为sql_variant 0位</t>
        </is>
      </c>
    </row>
    <row r="874">
      <c r="B874" s="0" t="inlineStr">
        <is>
          <t>NULL</t>
        </is>
      </c>
      <c r="C874" s="0" t="inlineStr">
        <is>
          <t>NULL</t>
        </is>
      </c>
      <c r="D874" s="0" t="inlineStr">
        <is>
          <t>NULL</t>
        </is>
      </c>
      <c r="E874" s="0" t="inlineStr">
        <is>
          <t>NULL</t>
        </is>
      </c>
      <c r="F874" s="0" t="inlineStr">
        <is>
          <t>NULL</t>
        </is>
      </c>
      <c r="G874" s="0" t="inlineStr">
        <is>
          <t>NULL</t>
        </is>
      </c>
      <c r="H874" s="0" t="inlineStr">
        <is>
          <t>NULL</t>
        </is>
      </c>
      <c r="I874" s="0" t="inlineStr">
        <is>
          <t>NULL</t>
        </is>
      </c>
      <c r="J874" s="0" t="inlineStr">
        <is>
          <t>NULL</t>
        </is>
      </c>
      <c r="K874" s="0" t="inlineStr">
        <is>
          <t>YES! 	 c_decimal列源备映射正确，源端为sql_variant 0位	期望更改为sql_variant	实际备端为sql_variant 0位</t>
        </is>
      </c>
    </row>
    <row r="875">
      <c r="B875" s="0" t="inlineStr">
        <is>
          <t>NULL</t>
        </is>
      </c>
      <c r="C875" s="0" t="inlineStr">
        <is>
          <t>NULL</t>
        </is>
      </c>
      <c r="D875" s="0" t="inlineStr">
        <is>
          <t>NULL</t>
        </is>
      </c>
      <c r="E875" s="0" t="inlineStr">
        <is>
          <t>NULL</t>
        </is>
      </c>
      <c r="F875" s="0" t="inlineStr">
        <is>
          <t>NULL</t>
        </is>
      </c>
      <c r="G875" s="0" t="inlineStr">
        <is>
          <t>NULL</t>
        </is>
      </c>
      <c r="H875" s="0" t="inlineStr">
        <is>
          <t>NULL</t>
        </is>
      </c>
      <c r="I875" s="0" t="inlineStr">
        <is>
          <t>NULL</t>
        </is>
      </c>
      <c r="J875" s="0" t="inlineStr">
        <is>
          <t>NULL</t>
        </is>
      </c>
      <c r="K875" s="0" t="inlineStr">
        <is>
          <t>YES! 	 c_uniqueidentifier列源备映射正确，源端为sql_variant 0位	期望更改为sql_variant	实际备端为sql_variant 0位</t>
        </is>
      </c>
    </row>
    <row r="876">
      <c r="B876" s="0" t="inlineStr">
        <is>
          <t>NULL</t>
        </is>
      </c>
      <c r="C876" s="0" t="inlineStr">
        <is>
          <t>NULL</t>
        </is>
      </c>
      <c r="D876" s="0" t="inlineStr">
        <is>
          <t>NULL</t>
        </is>
      </c>
      <c r="E876" s="0" t="inlineStr">
        <is>
          <t>NULL</t>
        </is>
      </c>
      <c r="F876" s="0" t="inlineStr">
        <is>
          <t>NULL</t>
        </is>
      </c>
      <c r="G876" s="0" t="inlineStr">
        <is>
          <t>NULL</t>
        </is>
      </c>
      <c r="H876" s="0" t="inlineStr">
        <is>
          <t>NULL</t>
        </is>
      </c>
      <c r="I876" s="0" t="inlineStr">
        <is>
          <t>NULL</t>
        </is>
      </c>
      <c r="J876" s="0" t="inlineStr">
        <is>
          <t>NULL</t>
        </is>
      </c>
      <c r="K876" s="0" t="inlineStr">
        <is>
          <t>YES! 	 c_smallmoney列源备映射正确，源端为sql_variant 0位	期望更改为sql_variant	实际备端为sql_variant 0位</t>
        </is>
      </c>
    </row>
    <row r="877">
      <c r="B877" s="0" t="inlineStr">
        <is>
          <t>NULL</t>
        </is>
      </c>
      <c r="C877" s="0" t="inlineStr">
        <is>
          <t>NULL</t>
        </is>
      </c>
      <c r="D877" s="0" t="inlineStr">
        <is>
          <t>NULL</t>
        </is>
      </c>
      <c r="E877" s="0" t="inlineStr">
        <is>
          <t>NULL</t>
        </is>
      </c>
      <c r="F877" s="0" t="inlineStr">
        <is>
          <t>NULL</t>
        </is>
      </c>
      <c r="G877" s="0" t="inlineStr">
        <is>
          <t>NULL</t>
        </is>
      </c>
      <c r="H877" s="0" t="inlineStr">
        <is>
          <t>NULL</t>
        </is>
      </c>
      <c r="I877" s="0" t="inlineStr">
        <is>
          <t>NULL</t>
        </is>
      </c>
      <c r="J877" s="0" t="inlineStr">
        <is>
          <t>NULL</t>
        </is>
      </c>
      <c r="K877" s="0" t="inlineStr">
        <is>
          <t>YES! 	 c_bigint列源备映射正确，源端为sql_variant 0位	期望更改为sql_variant	实际备端为sql_variant 0位</t>
        </is>
      </c>
    </row>
    <row r="878">
      <c r="B878" s="0" t="inlineStr">
        <is>
          <t>NULL</t>
        </is>
      </c>
      <c r="C878" s="0" t="inlineStr">
        <is>
          <t>NULL</t>
        </is>
      </c>
      <c r="D878" s="0" t="inlineStr">
        <is>
          <t>NULL</t>
        </is>
      </c>
      <c r="E878" s="0" t="inlineStr">
        <is>
          <t>NULL</t>
        </is>
      </c>
      <c r="F878" s="0" t="inlineStr">
        <is>
          <t>NULL</t>
        </is>
      </c>
      <c r="G878" s="0" t="inlineStr">
        <is>
          <t>NULL</t>
        </is>
      </c>
      <c r="H878" s="0" t="inlineStr">
        <is>
          <t>NULL</t>
        </is>
      </c>
      <c r="I878" s="0" t="inlineStr">
        <is>
          <t>NULL</t>
        </is>
      </c>
      <c r="J878" s="0" t="inlineStr">
        <is>
          <t>NULL</t>
        </is>
      </c>
      <c r="K878" s="0" t="inlineStr">
        <is>
          <t>YES! 	 c_varbinary_20列源备映射正确，源端为sql_variant 0位	期望更改为sql_variant	实际备端为sql_variant 0位</t>
        </is>
      </c>
    </row>
    <row r="879">
      <c r="B879" s="0" t="inlineStr">
        <is>
          <t>NULL</t>
        </is>
      </c>
      <c r="C879" s="0" t="inlineStr">
        <is>
          <t>NULL</t>
        </is>
      </c>
      <c r="D879" s="0" t="inlineStr">
        <is>
          <t>NULL</t>
        </is>
      </c>
      <c r="E879" s="0" t="inlineStr">
        <is>
          <t>NULL</t>
        </is>
      </c>
      <c r="F879" s="0" t="inlineStr">
        <is>
          <t>NULL</t>
        </is>
      </c>
      <c r="G879" s="0" t="inlineStr">
        <is>
          <t>NULL</t>
        </is>
      </c>
      <c r="H879" s="0" t="inlineStr">
        <is>
          <t>NULL</t>
        </is>
      </c>
      <c r="I879" s="0" t="inlineStr">
        <is>
          <t>NULL</t>
        </is>
      </c>
      <c r="J879" s="0" t="inlineStr">
        <is>
          <t>NULL</t>
        </is>
      </c>
      <c r="K879" s="0" t="inlineStr">
        <is>
          <t>YES! 	 c_varchar_20列源备映射正确，源端为sql_variant 0位	期望更改为sql_variant	实际备端为sql_variant 0位</t>
        </is>
      </c>
    </row>
    <row r="880">
      <c r="B880" s="0" t="inlineStr">
        <is>
          <t>NULL</t>
        </is>
      </c>
      <c r="C880" s="0" t="inlineStr">
        <is>
          <t>NULL</t>
        </is>
      </c>
      <c r="D880" s="0" t="inlineStr">
        <is>
          <t>NULL</t>
        </is>
      </c>
      <c r="E880" s="0" t="inlineStr">
        <is>
          <t>NULL</t>
        </is>
      </c>
      <c r="F880" s="0" t="inlineStr">
        <is>
          <t>NULL</t>
        </is>
      </c>
      <c r="G880" s="0" t="inlineStr">
        <is>
          <t>NULL</t>
        </is>
      </c>
      <c r="H880" s="0" t="inlineStr">
        <is>
          <t>NULL</t>
        </is>
      </c>
      <c r="I880" s="0" t="inlineStr">
        <is>
          <t>NULL</t>
        </is>
      </c>
      <c r="J880" s="0" t="inlineStr">
        <is>
          <t>NULL</t>
        </is>
      </c>
      <c r="K880" s="0" t="inlineStr">
        <is>
          <t>YES! 	 c_binary_20列源备映射正确，源端为sql_variant 0位	期望更改为sql_variant	实际备端为sql_variant 0位</t>
        </is>
      </c>
    </row>
    <row r="881">
      <c r="B881" s="0" t="inlineStr">
        <is>
          <t>NULL</t>
        </is>
      </c>
      <c r="C881" s="0" t="inlineStr">
        <is>
          <t>NULL</t>
        </is>
      </c>
      <c r="D881" s="0" t="inlineStr">
        <is>
          <t>NULL</t>
        </is>
      </c>
      <c r="E881" s="0" t="inlineStr">
        <is>
          <t>NULL</t>
        </is>
      </c>
      <c r="F881" s="0" t="inlineStr">
        <is>
          <t>NULL</t>
        </is>
      </c>
      <c r="G881" s="0" t="inlineStr">
        <is>
          <t>NULL</t>
        </is>
      </c>
      <c r="H881" s="0" t="inlineStr">
        <is>
          <t>NULL</t>
        </is>
      </c>
      <c r="I881" s="0" t="inlineStr">
        <is>
          <t>NULL</t>
        </is>
      </c>
      <c r="J881" s="0" t="inlineStr">
        <is>
          <t>NULL</t>
        </is>
      </c>
      <c r="K881" s="0" t="inlineStr">
        <is>
          <t>YES! 	 c_char_20列源备映射正确，源端为sql_variant 0位	期望更改为sql_variant	实际备端为sql_variant 0位</t>
        </is>
      </c>
    </row>
    <row r="882">
      <c r="B882" s="0" t="inlineStr">
        <is>
          <t>NULL</t>
        </is>
      </c>
      <c r="C882" s="0" t="inlineStr">
        <is>
          <t>NULL</t>
        </is>
      </c>
      <c r="D882" s="0" t="inlineStr">
        <is>
          <t>NULL</t>
        </is>
      </c>
      <c r="E882" s="0" t="inlineStr">
        <is>
          <t>NULL</t>
        </is>
      </c>
      <c r="F882" s="0" t="inlineStr">
        <is>
          <t>NULL</t>
        </is>
      </c>
      <c r="G882" s="0" t="inlineStr">
        <is>
          <t>NULL</t>
        </is>
      </c>
      <c r="H882" s="0" t="inlineStr">
        <is>
          <t>NULL</t>
        </is>
      </c>
      <c r="I882" s="0" t="inlineStr">
        <is>
          <t>NULL</t>
        </is>
      </c>
      <c r="J882" s="0" t="inlineStr">
        <is>
          <t>NULL</t>
        </is>
      </c>
      <c r="K882" s="0" t="inlineStr">
        <is>
          <t>YES! 	 c_nvarchar_20列源备映射正确，源端为sql_variant 0位	期望更改为sql_variant	实际备端为sql_variant 0位</t>
        </is>
      </c>
    </row>
    <row r="883">
      <c r="B883" s="0" t="inlineStr">
        <is>
          <t>NULL</t>
        </is>
      </c>
      <c r="C883" s="0" t="inlineStr">
        <is>
          <t>NULL</t>
        </is>
      </c>
      <c r="D883" s="0" t="inlineStr">
        <is>
          <t>NULL</t>
        </is>
      </c>
      <c r="E883" s="0" t="inlineStr">
        <is>
          <t>NULL</t>
        </is>
      </c>
      <c r="F883" s="0" t="inlineStr">
        <is>
          <t>NULL</t>
        </is>
      </c>
      <c r="G883" s="0" t="inlineStr">
        <is>
          <t>NULL</t>
        </is>
      </c>
      <c r="H883" s="0" t="inlineStr">
        <is>
          <t>NULL</t>
        </is>
      </c>
      <c r="I883" s="0" t="inlineStr">
        <is>
          <t>NULL</t>
        </is>
      </c>
      <c r="J883" s="0" t="inlineStr">
        <is>
          <t>NULL</t>
        </is>
      </c>
      <c r="K883" s="0" t="inlineStr">
        <is>
          <t>YES! 	 c_nchar_20列源备映射正确，源端为sql_variant 0位	期望更改为sql_variant	实际备端为sql_variant 0位</t>
        </is>
      </c>
    </row>
    <row r="884">
      <c r="B884" s="0" t="inlineStr">
        <is>
          <t>NULL</t>
        </is>
      </c>
      <c r="C884" s="0" t="inlineStr">
        <is>
          <t>NULL</t>
        </is>
      </c>
      <c r="D884" s="0" t="inlineStr">
        <is>
          <t>NULL</t>
        </is>
      </c>
      <c r="E884" s="0" t="inlineStr">
        <is>
          <t>NULL</t>
        </is>
      </c>
      <c r="F884" s="0" t="inlineStr">
        <is>
          <t>NULL</t>
        </is>
      </c>
      <c r="G884" s="0" t="inlineStr">
        <is>
          <t>NULL</t>
        </is>
      </c>
      <c r="H884" s="0" t="inlineStr">
        <is>
          <t>NULL</t>
        </is>
      </c>
      <c r="I884" s="0" t="inlineStr">
        <is>
          <t>NULL</t>
        </is>
      </c>
      <c r="J884" s="0" t="inlineStr">
        <is>
          <t>NULL</t>
        </is>
      </c>
      <c r="K884" s="0" t="inlineStr">
        <is>
          <t>YES! 	 c_timestamp列源备映射正确，源端为timestamp None位	期望更改为timestamp	实际备端为timestamp None位</t>
        </is>
      </c>
    </row>
    <row r="885">
      <c r="A885" s="0" t="inlineStr">
        <is>
          <t>info_timestamp_dml_single_nopk_drp</t>
        </is>
      </c>
      <c r="K885" s="0" t="inlineStr">
        <is>
          <t>[0;34m info_timestamp_dml_single_nopk_drp [0m源备字段数相同，源端字段：2 	备端字段2</t>
        </is>
      </c>
      <c r="W885" s="0" t="inlineStr">
        <is>
          <t>YES 源备无差异</t>
        </is>
      </c>
      <c r="X885" s="0">
        <f>A885</f>
        <v/>
      </c>
    </row>
    <row r="886">
      <c r="B886" s="0" t="inlineStr">
        <is>
          <t>NULL</t>
        </is>
      </c>
      <c r="C886" s="0" t="inlineStr">
        <is>
          <t>NULL</t>
        </is>
      </c>
      <c r="D886" s="0" t="inlineStr">
        <is>
          <t>NULL</t>
        </is>
      </c>
      <c r="E886" s="0" t="inlineStr">
        <is>
          <t>NULL</t>
        </is>
      </c>
      <c r="F886" s="0" t="inlineStr">
        <is>
          <t>NULL</t>
        </is>
      </c>
      <c r="G886" s="0" t="inlineStr">
        <is>
          <t>NULL</t>
        </is>
      </c>
      <c r="H886" s="0" t="inlineStr">
        <is>
          <t>NULL</t>
        </is>
      </c>
      <c r="I886" s="0" t="inlineStr">
        <is>
          <t>NULL</t>
        </is>
      </c>
      <c r="J886" s="0" t="inlineStr">
        <is>
          <t>NULL</t>
        </is>
      </c>
      <c r="K886" s="0" t="inlineStr">
        <is>
          <t>YES! 	 id列源备映射正确，源端为int None位	期望更改为int	实际备端为int None位</t>
        </is>
      </c>
    </row>
    <row r="887">
      <c r="B887" s="0" t="inlineStr">
        <is>
          <t>NULL</t>
        </is>
      </c>
      <c r="C887" s="0" t="inlineStr">
        <is>
          <t>NULL</t>
        </is>
      </c>
      <c r="D887" s="0" t="inlineStr">
        <is>
          <t>NULL</t>
        </is>
      </c>
      <c r="E887" s="0" t="inlineStr">
        <is>
          <t>NULL</t>
        </is>
      </c>
      <c r="F887" s="0" t="inlineStr">
        <is>
          <t>NULL</t>
        </is>
      </c>
      <c r="G887" s="0" t="inlineStr">
        <is>
          <t>NULL</t>
        </is>
      </c>
      <c r="H887" s="0" t="inlineStr">
        <is>
          <t>NULL</t>
        </is>
      </c>
      <c r="I887" s="0" t="inlineStr">
        <is>
          <t>NULL</t>
        </is>
      </c>
      <c r="J887" s="0" t="inlineStr">
        <is>
          <t>NULL</t>
        </is>
      </c>
      <c r="K887" s="0" t="inlineStr">
        <is>
          <t>YES! 	 c_tiemstamp列源备映射正确，源端为timestamp None位	期望更改为timestamp	实际备端为timestamp None位</t>
        </is>
      </c>
    </row>
    <row r="888">
      <c r="A888" s="0" t="inlineStr">
        <is>
          <t>info_datetime_dml_batch1_pk</t>
        </is>
      </c>
      <c r="K888" s="0" t="inlineStr">
        <is>
          <t>[0;34m info_datetime_dml_batch1_pk [0m源备字段数相同，源端字段：2 	备端字段2</t>
        </is>
      </c>
      <c r="W888" s="0" t="inlineStr">
        <is>
          <t>YES 源备无差异</t>
        </is>
      </c>
      <c r="X888" s="0">
        <f>A888</f>
        <v/>
      </c>
    </row>
    <row r="889">
      <c r="B889" s="0" t="inlineStr">
        <is>
          <t>YES</t>
        </is>
      </c>
      <c r="C889" s="0" t="inlineStr">
        <is>
          <t>NULL</t>
        </is>
      </c>
      <c r="D889" s="0" t="inlineStr">
        <is>
          <t>NULL</t>
        </is>
      </c>
      <c r="E889" s="0" t="inlineStr">
        <is>
          <t>NULL</t>
        </is>
      </c>
      <c r="F889" s="0" t="inlineStr">
        <is>
          <t>NULL</t>
        </is>
      </c>
      <c r="G889" s="0" t="inlineStr">
        <is>
          <t>NULL</t>
        </is>
      </c>
      <c r="H889" s="0" t="inlineStr">
        <is>
          <t>NULL</t>
        </is>
      </c>
      <c r="I889" s="0" t="inlineStr">
        <is>
          <t>YES!PK__info_dat__3213E83FF22C8314</t>
        </is>
      </c>
      <c r="J889" s="0" t="inlineStr">
        <is>
          <t>YES! 主键相关索引</t>
        </is>
      </c>
      <c r="K889" s="0" t="inlineStr">
        <is>
          <t>YES! 	 id列源备映射正确，源端为int None位	期望更改为int	实际备端为int None位</t>
        </is>
      </c>
    </row>
    <row r="890">
      <c r="B890" s="0" t="inlineStr">
        <is>
          <t>NULL</t>
        </is>
      </c>
      <c r="C890" s="0" t="inlineStr">
        <is>
          <t>NULL</t>
        </is>
      </c>
      <c r="D890" s="0" t="inlineStr">
        <is>
          <t>NULL</t>
        </is>
      </c>
      <c r="E890" s="0" t="inlineStr">
        <is>
          <t>NULL</t>
        </is>
      </c>
      <c r="F890" s="0" t="inlineStr">
        <is>
          <t>NULL</t>
        </is>
      </c>
      <c r="G890" s="0" t="inlineStr">
        <is>
          <t>NULL</t>
        </is>
      </c>
      <c r="H890" s="0" t="inlineStr">
        <is>
          <t>NULL</t>
        </is>
      </c>
      <c r="I890" s="0" t="inlineStr">
        <is>
          <t>NULL</t>
        </is>
      </c>
      <c r="J890" s="0" t="inlineStr">
        <is>
          <t>NULL</t>
        </is>
      </c>
      <c r="K890" s="0" t="inlineStr">
        <is>
          <t>YES! 	 c_datetime列源备映射正确，源端为datetime None位	期望更改为datetime	实际备端为datetime None位</t>
        </is>
      </c>
    </row>
    <row r="891">
      <c r="A891" s="0" t="inlineStr">
        <is>
          <t>info_nchar_dml_batch1_pk_urp1</t>
        </is>
      </c>
      <c r="K891" s="0" t="inlineStr">
        <is>
          <t>[0;34m info_nchar_dml_batch1_pk_urp1 [0m源备字段数相同，源端字段：4 	备端字段4</t>
        </is>
      </c>
      <c r="W891" s="0" t="inlineStr">
        <is>
          <t>YES 源备无差异</t>
        </is>
      </c>
      <c r="X891" s="0">
        <f>A891</f>
        <v/>
      </c>
    </row>
    <row r="892">
      <c r="B892" s="0" t="inlineStr">
        <is>
          <t>YES</t>
        </is>
      </c>
      <c r="C892" s="0" t="inlineStr">
        <is>
          <t>NULL</t>
        </is>
      </c>
      <c r="D892" s="0" t="inlineStr">
        <is>
          <t>NULL</t>
        </is>
      </c>
      <c r="E892" s="0" t="inlineStr">
        <is>
          <t>NULL</t>
        </is>
      </c>
      <c r="F892" s="0" t="inlineStr">
        <is>
          <t>NULL</t>
        </is>
      </c>
      <c r="G892" s="0" t="inlineStr">
        <is>
          <t>NULL</t>
        </is>
      </c>
      <c r="H892" s="0" t="inlineStr">
        <is>
          <t>NULL</t>
        </is>
      </c>
      <c r="I892" s="0" t="inlineStr">
        <is>
          <t>YES!PK__info_nch__3213E83F7342E96E</t>
        </is>
      </c>
      <c r="J892" s="0" t="inlineStr">
        <is>
          <t>YES! 主键相关索引</t>
        </is>
      </c>
      <c r="K892" s="0" t="inlineStr">
        <is>
          <t>YES! 	 id列源备映射正确，源端为int None位	期望更改为int	实际备端为int None位</t>
        </is>
      </c>
    </row>
    <row r="893">
      <c r="B893" s="0" t="inlineStr">
        <is>
          <t>NULL</t>
        </is>
      </c>
      <c r="C893" s="0" t="inlineStr">
        <is>
          <t>NULL</t>
        </is>
      </c>
      <c r="D893" s="0" t="inlineStr">
        <is>
          <t>NULL</t>
        </is>
      </c>
      <c r="E893" s="0" t="inlineStr">
        <is>
          <t>NULL</t>
        </is>
      </c>
      <c r="F893" s="0" t="inlineStr">
        <is>
          <t>NULL</t>
        </is>
      </c>
      <c r="G893" s="0" t="inlineStr">
        <is>
          <t>NULL</t>
        </is>
      </c>
      <c r="H893" s="0" t="inlineStr">
        <is>
          <t>NULL</t>
        </is>
      </c>
      <c r="I893" s="0" t="inlineStr">
        <is>
          <t>NULL</t>
        </is>
      </c>
      <c r="J893" s="0" t="inlineStr">
        <is>
          <t>NULL</t>
        </is>
      </c>
      <c r="K893" s="0" t="inlineStr">
        <is>
          <t>YES! 	 c_nchar列源备映射正确，源端为nchar 2位	期望更改为nchar(n)	实际备端为nchar 2位</t>
        </is>
      </c>
    </row>
    <row r="894">
      <c r="B894" s="0" t="inlineStr">
        <is>
          <t>NULL</t>
        </is>
      </c>
      <c r="C894" s="0" t="inlineStr">
        <is>
          <t>NULL</t>
        </is>
      </c>
      <c r="D894" s="0" t="inlineStr">
        <is>
          <t>NULL</t>
        </is>
      </c>
      <c r="E894" s="0" t="inlineStr">
        <is>
          <t>NULL</t>
        </is>
      </c>
      <c r="F894" s="0" t="inlineStr">
        <is>
          <t>NULL</t>
        </is>
      </c>
      <c r="G894" s="0" t="inlineStr">
        <is>
          <t>NULL</t>
        </is>
      </c>
      <c r="H894" s="0" t="inlineStr">
        <is>
          <t>NULL</t>
        </is>
      </c>
      <c r="I894" s="0" t="inlineStr">
        <is>
          <t>NULL</t>
        </is>
      </c>
      <c r="J894" s="0" t="inlineStr">
        <is>
          <t>NULL</t>
        </is>
      </c>
      <c r="K894" s="0" t="inlineStr">
        <is>
          <t>YES! 	 c_nchar20列源备映射正确，源端为nchar 40位	期望更改为nchar(n)	实际备端为nchar 40位</t>
        </is>
      </c>
    </row>
    <row r="895">
      <c r="B895" s="0" t="inlineStr">
        <is>
          <t>NULL</t>
        </is>
      </c>
      <c r="C895" s="0" t="inlineStr">
        <is>
          <t>NULL</t>
        </is>
      </c>
      <c r="D895" s="0" t="inlineStr">
        <is>
          <t>NULL</t>
        </is>
      </c>
      <c r="E895" s="0" t="inlineStr">
        <is>
          <t>NULL</t>
        </is>
      </c>
      <c r="F895" s="0" t="inlineStr">
        <is>
          <t>NULL</t>
        </is>
      </c>
      <c r="G895" s="0" t="inlineStr">
        <is>
          <t>NULL</t>
        </is>
      </c>
      <c r="H895" s="0" t="inlineStr">
        <is>
          <t>NULL</t>
        </is>
      </c>
      <c r="I895" s="0" t="inlineStr">
        <is>
          <t>NULL</t>
        </is>
      </c>
      <c r="J895" s="0" t="inlineStr">
        <is>
          <t>NULL</t>
        </is>
      </c>
      <c r="K895" s="0" t="inlineStr">
        <is>
          <t>YES! 	 c_nchar3500列源备映射正确，源端为nchar 7000位	期望更改为nchar(n)	实际备端为nchar 7000位</t>
        </is>
      </c>
    </row>
    <row r="896">
      <c r="A896" s="0" t="inlineStr">
        <is>
          <t>info_varcharmax_dml_single_nopk_urp</t>
        </is>
      </c>
      <c r="K896" s="0" t="inlineStr">
        <is>
          <t>[0;34m info_varcharmax_dml_single_nopk_urp [0m源备字段数相同，源端字段：3 	备端字段3</t>
        </is>
      </c>
      <c r="W896" s="0" t="inlineStr">
        <is>
          <t>YES 源备无差异</t>
        </is>
      </c>
      <c r="X896" s="0">
        <f>A896</f>
        <v/>
      </c>
    </row>
    <row r="897">
      <c r="B897" s="0" t="inlineStr">
        <is>
          <t>NULL</t>
        </is>
      </c>
      <c r="C897" s="0" t="inlineStr">
        <is>
          <t>NULL</t>
        </is>
      </c>
      <c r="D897" s="0" t="inlineStr">
        <is>
          <t>NULL</t>
        </is>
      </c>
      <c r="E897" s="0" t="inlineStr">
        <is>
          <t>NULL</t>
        </is>
      </c>
      <c r="F897" s="0" t="inlineStr">
        <is>
          <t>NULL</t>
        </is>
      </c>
      <c r="G897" s="0" t="inlineStr">
        <is>
          <t>NULL</t>
        </is>
      </c>
      <c r="H897" s="0" t="inlineStr">
        <is>
          <t>NULL</t>
        </is>
      </c>
      <c r="I897" s="0" t="inlineStr">
        <is>
          <t>NULL</t>
        </is>
      </c>
      <c r="J897" s="0" t="inlineStr">
        <is>
          <t>NULL</t>
        </is>
      </c>
      <c r="K897" s="0" t="inlineStr">
        <is>
          <t>YES! 	 id列源备映射正确，源端为int None位	期望更改为int	实际备端为int None位</t>
        </is>
      </c>
    </row>
    <row r="898">
      <c r="B898" s="0" t="inlineStr">
        <is>
          <t>NULL</t>
        </is>
      </c>
      <c r="C898" s="0" t="inlineStr">
        <is>
          <t>NULL</t>
        </is>
      </c>
      <c r="D898" s="0" t="inlineStr">
        <is>
          <t>NULL</t>
        </is>
      </c>
      <c r="E898" s="0" t="inlineStr">
        <is>
          <t>NULL</t>
        </is>
      </c>
      <c r="F898" s="0" t="inlineStr">
        <is>
          <t>NULL</t>
        </is>
      </c>
      <c r="G898" s="0" t="inlineStr">
        <is>
          <t>NULL</t>
        </is>
      </c>
      <c r="H898" s="0" t="inlineStr">
        <is>
          <t>NULL</t>
        </is>
      </c>
      <c r="I898" s="0" t="inlineStr">
        <is>
          <t>NULL</t>
        </is>
      </c>
      <c r="J898" s="0" t="inlineStr">
        <is>
          <t>NULL</t>
        </is>
      </c>
      <c r="K898" s="0" t="inlineStr">
        <is>
          <t>YES! 	 c_varchar_max列源备映射正确，源端为varchar -1位	期望更改为varchar(n)	实际备端为varchar -1位</t>
        </is>
      </c>
    </row>
    <row r="899">
      <c r="B899" s="0" t="inlineStr">
        <is>
          <t>NULL</t>
        </is>
      </c>
      <c r="C899" s="0" t="inlineStr">
        <is>
          <t>NULL</t>
        </is>
      </c>
      <c r="D899" s="0" t="inlineStr">
        <is>
          <t>NULL</t>
        </is>
      </c>
      <c r="E899" s="0" t="inlineStr">
        <is>
          <t>NULL</t>
        </is>
      </c>
      <c r="F899" s="0" t="inlineStr">
        <is>
          <t>NULL</t>
        </is>
      </c>
      <c r="G899" s="0" t="inlineStr">
        <is>
          <t>NULL</t>
        </is>
      </c>
      <c r="H899" s="0" t="inlineStr">
        <is>
          <t>NULL</t>
        </is>
      </c>
      <c r="I899" s="0" t="inlineStr">
        <is>
          <t>NULL</t>
        </is>
      </c>
      <c r="J899" s="0" t="inlineStr">
        <is>
          <t>NULL</t>
        </is>
      </c>
      <c r="K899" s="0" t="inlineStr">
        <is>
          <t>YES! 	 c_nvarchar_max列源备映射正确，源端为nvarchar -1位	期望更改为nvarchar(n)	实际备端为nvarchar -1位</t>
        </is>
      </c>
    </row>
    <row r="900">
      <c r="A900" s="0" t="inlineStr">
        <is>
          <t>info_time_dml_single_pk_irp</t>
        </is>
      </c>
      <c r="K900" s="0" t="inlineStr">
        <is>
          <t>[0;34m info_time_dml_single_pk_irp [0m源备字段数相同，源端字段：9 	备端字段9</t>
        </is>
      </c>
      <c r="W900" s="0" t="inlineStr">
        <is>
          <t>YES 源备无差异</t>
        </is>
      </c>
      <c r="X900" s="0">
        <f>A900</f>
        <v/>
      </c>
    </row>
    <row r="901">
      <c r="B901" s="0" t="inlineStr">
        <is>
          <t>YES</t>
        </is>
      </c>
      <c r="C901" s="0" t="inlineStr">
        <is>
          <t>NULL</t>
        </is>
      </c>
      <c r="D901" s="0" t="inlineStr">
        <is>
          <t>NULL</t>
        </is>
      </c>
      <c r="E901" s="0" t="inlineStr">
        <is>
          <t>NULL</t>
        </is>
      </c>
      <c r="F901" s="0" t="inlineStr">
        <is>
          <t>NULL</t>
        </is>
      </c>
      <c r="G901" s="0" t="inlineStr">
        <is>
          <t>NULL</t>
        </is>
      </c>
      <c r="H901" s="0" t="inlineStr">
        <is>
          <t>NULL</t>
        </is>
      </c>
      <c r="I901" s="0" t="inlineStr">
        <is>
          <t>YES!PK__info_tim__3213E83F20F79211</t>
        </is>
      </c>
      <c r="J901" s="0" t="inlineStr">
        <is>
          <t>YES! 主键相关索引</t>
        </is>
      </c>
      <c r="K901" s="0" t="inlineStr">
        <is>
          <t>YES! 	 id列源备映射正确，源端为int None位	期望更改为int	实际备端为int None位</t>
        </is>
      </c>
    </row>
    <row r="902">
      <c r="B902" s="0" t="inlineStr">
        <is>
          <t>NULL</t>
        </is>
      </c>
      <c r="C902" s="0" t="inlineStr">
        <is>
          <t>NULL</t>
        </is>
      </c>
      <c r="D902" s="0" t="inlineStr">
        <is>
          <t>NULL</t>
        </is>
      </c>
      <c r="E902" s="0" t="inlineStr">
        <is>
          <t>NULL</t>
        </is>
      </c>
      <c r="F902" s="0" t="inlineStr">
        <is>
          <t>NULL</t>
        </is>
      </c>
      <c r="G902" s="0" t="inlineStr">
        <is>
          <t>NULL</t>
        </is>
      </c>
      <c r="H902" s="0" t="inlineStr">
        <is>
          <t>NULL</t>
        </is>
      </c>
      <c r="I902" s="0" t="inlineStr">
        <is>
          <t>NULL</t>
        </is>
      </c>
      <c r="J902" s="0" t="inlineStr">
        <is>
          <t>NULL</t>
        </is>
      </c>
      <c r="K902" s="0" t="inlineStr">
        <is>
          <t>no,len不存在</t>
        </is>
      </c>
    </row>
    <row r="903">
      <c r="B903" s="0" t="inlineStr">
        <is>
          <t>NULL</t>
        </is>
      </c>
      <c r="C903" s="0" t="inlineStr">
        <is>
          <t>NULL</t>
        </is>
      </c>
      <c r="D903" s="0" t="inlineStr">
        <is>
          <t>NULL</t>
        </is>
      </c>
      <c r="E903" s="0" t="inlineStr">
        <is>
          <t>NULL</t>
        </is>
      </c>
      <c r="F903" s="0" t="inlineStr">
        <is>
          <t>NULL</t>
        </is>
      </c>
      <c r="G903" s="0" t="inlineStr">
        <is>
          <t>NULL</t>
        </is>
      </c>
      <c r="H903" s="0" t="inlineStr">
        <is>
          <t>NULL</t>
        </is>
      </c>
      <c r="I903" s="0" t="inlineStr">
        <is>
          <t>NULL</t>
        </is>
      </c>
      <c r="J903" s="0" t="inlineStr">
        <is>
          <t>NULL</t>
        </is>
      </c>
      <c r="K903" s="0" t="inlineStr">
        <is>
          <t>YES! 	 c_time1列源备映射正确，源端为time None位	期望更改为time(n)	实际备端为time None位</t>
        </is>
      </c>
    </row>
    <row r="904">
      <c r="B904" s="0" t="inlineStr">
        <is>
          <t>NULL</t>
        </is>
      </c>
      <c r="C904" s="0" t="inlineStr">
        <is>
          <t>NULL</t>
        </is>
      </c>
      <c r="D904" s="0" t="inlineStr">
        <is>
          <t>NULL</t>
        </is>
      </c>
      <c r="E904" s="0" t="inlineStr">
        <is>
          <t>NULL</t>
        </is>
      </c>
      <c r="F904" s="0" t="inlineStr">
        <is>
          <t>NULL</t>
        </is>
      </c>
      <c r="G904" s="0" t="inlineStr">
        <is>
          <t>NULL</t>
        </is>
      </c>
      <c r="H904" s="0" t="inlineStr">
        <is>
          <t>NULL</t>
        </is>
      </c>
      <c r="I904" s="0" t="inlineStr">
        <is>
          <t>NULL</t>
        </is>
      </c>
      <c r="J904" s="0" t="inlineStr">
        <is>
          <t>NULL</t>
        </is>
      </c>
      <c r="K904" s="0" t="inlineStr">
        <is>
          <t>YES! 	 c_time2列源备映射正确，源端为time None位	期望更改为time(n)	实际备端为time None位</t>
        </is>
      </c>
    </row>
    <row r="905">
      <c r="B905" s="0" t="inlineStr">
        <is>
          <t>NULL</t>
        </is>
      </c>
      <c r="C905" s="0" t="inlineStr">
        <is>
          <t>NULL</t>
        </is>
      </c>
      <c r="D905" s="0" t="inlineStr">
        <is>
          <t>NULL</t>
        </is>
      </c>
      <c r="E905" s="0" t="inlineStr">
        <is>
          <t>NULL</t>
        </is>
      </c>
      <c r="F905" s="0" t="inlineStr">
        <is>
          <t>NULL</t>
        </is>
      </c>
      <c r="G905" s="0" t="inlineStr">
        <is>
          <t>NULL</t>
        </is>
      </c>
      <c r="H905" s="0" t="inlineStr">
        <is>
          <t>NULL</t>
        </is>
      </c>
      <c r="I905" s="0" t="inlineStr">
        <is>
          <t>NULL</t>
        </is>
      </c>
      <c r="J905" s="0" t="inlineStr">
        <is>
          <t>NULL</t>
        </is>
      </c>
      <c r="K905" s="0" t="inlineStr">
        <is>
          <t>YES! 	 c_time3列源备映射正确，源端为time None位	期望更改为time(n)	实际备端为time None位</t>
        </is>
      </c>
    </row>
    <row r="906">
      <c r="B906" s="0" t="inlineStr">
        <is>
          <t>NULL</t>
        </is>
      </c>
      <c r="C906" s="0" t="inlineStr">
        <is>
          <t>NULL</t>
        </is>
      </c>
      <c r="D906" s="0" t="inlineStr">
        <is>
          <t>NULL</t>
        </is>
      </c>
      <c r="E906" s="0" t="inlineStr">
        <is>
          <t>NULL</t>
        </is>
      </c>
      <c r="F906" s="0" t="inlineStr">
        <is>
          <t>NULL</t>
        </is>
      </c>
      <c r="G906" s="0" t="inlineStr">
        <is>
          <t>NULL</t>
        </is>
      </c>
      <c r="H906" s="0" t="inlineStr">
        <is>
          <t>NULL</t>
        </is>
      </c>
      <c r="I906" s="0" t="inlineStr">
        <is>
          <t>NULL</t>
        </is>
      </c>
      <c r="J906" s="0" t="inlineStr">
        <is>
          <t>NULL</t>
        </is>
      </c>
      <c r="K906" s="0" t="inlineStr">
        <is>
          <t>YES! 	 c_time4列源备映射正确，源端为time None位	期望更改为time(n)	实际备端为time None位</t>
        </is>
      </c>
    </row>
    <row r="907">
      <c r="B907" s="0" t="inlineStr">
        <is>
          <t>NULL</t>
        </is>
      </c>
      <c r="C907" s="0" t="inlineStr">
        <is>
          <t>NULL</t>
        </is>
      </c>
      <c r="D907" s="0" t="inlineStr">
        <is>
          <t>NULL</t>
        </is>
      </c>
      <c r="E907" s="0" t="inlineStr">
        <is>
          <t>NULL</t>
        </is>
      </c>
      <c r="F907" s="0" t="inlineStr">
        <is>
          <t>NULL</t>
        </is>
      </c>
      <c r="G907" s="0" t="inlineStr">
        <is>
          <t>NULL</t>
        </is>
      </c>
      <c r="H907" s="0" t="inlineStr">
        <is>
          <t>NULL</t>
        </is>
      </c>
      <c r="I907" s="0" t="inlineStr">
        <is>
          <t>NULL</t>
        </is>
      </c>
      <c r="J907" s="0" t="inlineStr">
        <is>
          <t>NULL</t>
        </is>
      </c>
      <c r="K907" s="0" t="inlineStr">
        <is>
          <t>YES! 	 c_time5列源备映射正确，源端为time None位	期望更改为time(n)	实际备端为time None位</t>
        </is>
      </c>
    </row>
    <row r="908">
      <c r="B908" s="0" t="inlineStr">
        <is>
          <t>NULL</t>
        </is>
      </c>
      <c r="C908" s="0" t="inlineStr">
        <is>
          <t>NULL</t>
        </is>
      </c>
      <c r="D908" s="0" t="inlineStr">
        <is>
          <t>NULL</t>
        </is>
      </c>
      <c r="E908" s="0" t="inlineStr">
        <is>
          <t>NULL</t>
        </is>
      </c>
      <c r="F908" s="0" t="inlineStr">
        <is>
          <t>NULL</t>
        </is>
      </c>
      <c r="G908" s="0" t="inlineStr">
        <is>
          <t>NULL</t>
        </is>
      </c>
      <c r="H908" s="0" t="inlineStr">
        <is>
          <t>NULL</t>
        </is>
      </c>
      <c r="I908" s="0" t="inlineStr">
        <is>
          <t>NULL</t>
        </is>
      </c>
      <c r="J908" s="0" t="inlineStr">
        <is>
          <t>NULL</t>
        </is>
      </c>
      <c r="K908" s="0" t="inlineStr">
        <is>
          <t>YES! 	 c_time6列源备映射正确，源端为time None位	期望更改为time(n)	实际备端为time None位</t>
        </is>
      </c>
    </row>
    <row r="909">
      <c r="B909" s="0" t="inlineStr">
        <is>
          <t>NULL</t>
        </is>
      </c>
      <c r="C909" s="0" t="inlineStr">
        <is>
          <t>NULL</t>
        </is>
      </c>
      <c r="D909" s="0" t="inlineStr">
        <is>
          <t>NULL</t>
        </is>
      </c>
      <c r="E909" s="0" t="inlineStr">
        <is>
          <t>NULL</t>
        </is>
      </c>
      <c r="F909" s="0" t="inlineStr">
        <is>
          <t>NULL</t>
        </is>
      </c>
      <c r="G909" s="0" t="inlineStr">
        <is>
          <t>NULL</t>
        </is>
      </c>
      <c r="H909" s="0" t="inlineStr">
        <is>
          <t>NULL</t>
        </is>
      </c>
      <c r="I909" s="0" t="inlineStr">
        <is>
          <t>NULL</t>
        </is>
      </c>
      <c r="J909" s="0" t="inlineStr">
        <is>
          <t>NULL</t>
        </is>
      </c>
      <c r="K909" s="0" t="inlineStr">
        <is>
          <t>YES! 	 c_time列源备映射正确，源端为time None位	期望更改为time(n)	实际备端为time None位</t>
        </is>
      </c>
    </row>
    <row r="910">
      <c r="A910" s="0" t="inlineStr">
        <is>
          <t>info_datetime2_dml_batch1_pk_irp1</t>
        </is>
      </c>
      <c r="K910" s="0" t="inlineStr">
        <is>
          <t>[0;34m info_datetime2_dml_batch1_pk_irp1 [0m源备字段数相同，源端字段：9 	备端字段9</t>
        </is>
      </c>
      <c r="W910" s="0" t="inlineStr">
        <is>
          <t>YES 源备无差异</t>
        </is>
      </c>
      <c r="X910" s="0">
        <f>A910</f>
        <v/>
      </c>
    </row>
    <row r="911">
      <c r="B911" s="0" t="inlineStr">
        <is>
          <t>YES</t>
        </is>
      </c>
      <c r="C911" s="0" t="inlineStr">
        <is>
          <t>NULL</t>
        </is>
      </c>
      <c r="D911" s="0" t="inlineStr">
        <is>
          <t>NULL</t>
        </is>
      </c>
      <c r="E911" s="0" t="inlineStr">
        <is>
          <t>NULL</t>
        </is>
      </c>
      <c r="F911" s="0" t="inlineStr">
        <is>
          <t>NULL</t>
        </is>
      </c>
      <c r="G911" s="0" t="inlineStr">
        <is>
          <t>NULL</t>
        </is>
      </c>
      <c r="H911" s="0" t="inlineStr">
        <is>
          <t>NULL</t>
        </is>
      </c>
      <c r="I911" s="0" t="inlineStr">
        <is>
          <t>YES!PK__info_dat__3213E83FC6B7B484</t>
        </is>
      </c>
      <c r="J911" s="0" t="inlineStr">
        <is>
          <t>YES! 主键相关索引</t>
        </is>
      </c>
      <c r="K911" s="0" t="inlineStr">
        <is>
          <t>YES! 	 id列源备映射正确，源端为int None位	期望更改为int	实际备端为int None位</t>
        </is>
      </c>
    </row>
    <row r="912">
      <c r="B912" s="0" t="inlineStr">
        <is>
          <t>NULL</t>
        </is>
      </c>
      <c r="C912" s="0" t="inlineStr">
        <is>
          <t>NULL</t>
        </is>
      </c>
      <c r="D912" s="0" t="inlineStr">
        <is>
          <t>NULL</t>
        </is>
      </c>
      <c r="E912" s="0" t="inlineStr">
        <is>
          <t>NULL</t>
        </is>
      </c>
      <c r="F912" s="0" t="inlineStr">
        <is>
          <t>NULL</t>
        </is>
      </c>
      <c r="G912" s="0" t="inlineStr">
        <is>
          <t>NULL</t>
        </is>
      </c>
      <c r="H912" s="0" t="inlineStr">
        <is>
          <t>NULL</t>
        </is>
      </c>
      <c r="I912" s="0" t="inlineStr">
        <is>
          <t>NULL</t>
        </is>
      </c>
      <c r="J912" s="0" t="inlineStr">
        <is>
          <t>NULL</t>
        </is>
      </c>
      <c r="K912" s="0" t="inlineStr">
        <is>
          <t>no,len不存在</t>
        </is>
      </c>
    </row>
    <row r="913">
      <c r="B913" s="0" t="inlineStr">
        <is>
          <t>NULL</t>
        </is>
      </c>
      <c r="C913" s="0" t="inlineStr">
        <is>
          <t>NULL</t>
        </is>
      </c>
      <c r="D913" s="0" t="inlineStr">
        <is>
          <t>NULL</t>
        </is>
      </c>
      <c r="E913" s="0" t="inlineStr">
        <is>
          <t>NULL</t>
        </is>
      </c>
      <c r="F913" s="0" t="inlineStr">
        <is>
          <t>NULL</t>
        </is>
      </c>
      <c r="G913" s="0" t="inlineStr">
        <is>
          <t>NULL</t>
        </is>
      </c>
      <c r="H913" s="0" t="inlineStr">
        <is>
          <t>NULL</t>
        </is>
      </c>
      <c r="I913" s="0" t="inlineStr">
        <is>
          <t>NULL</t>
        </is>
      </c>
      <c r="J913" s="0" t="inlineStr">
        <is>
          <t>NULL</t>
        </is>
      </c>
      <c r="K913" s="0" t="inlineStr">
        <is>
          <t>YES! 	 c_dt2_1列源备映射正确，源端为datetime2 None位	期望更改为datetime2(n)	实际备端为datetime2 None位</t>
        </is>
      </c>
    </row>
    <row r="914">
      <c r="B914" s="0" t="inlineStr">
        <is>
          <t>NULL</t>
        </is>
      </c>
      <c r="C914" s="0" t="inlineStr">
        <is>
          <t>NULL</t>
        </is>
      </c>
      <c r="D914" s="0" t="inlineStr">
        <is>
          <t>NULL</t>
        </is>
      </c>
      <c r="E914" s="0" t="inlineStr">
        <is>
          <t>NULL</t>
        </is>
      </c>
      <c r="F914" s="0" t="inlineStr">
        <is>
          <t>NULL</t>
        </is>
      </c>
      <c r="G914" s="0" t="inlineStr">
        <is>
          <t>NULL</t>
        </is>
      </c>
      <c r="H914" s="0" t="inlineStr">
        <is>
          <t>NULL</t>
        </is>
      </c>
      <c r="I914" s="0" t="inlineStr">
        <is>
          <t>NULL</t>
        </is>
      </c>
      <c r="J914" s="0" t="inlineStr">
        <is>
          <t>NULL</t>
        </is>
      </c>
      <c r="K914" s="0" t="inlineStr">
        <is>
          <t>YES! 	 c_dt2_2列源备映射正确，源端为datetime2 None位	期望更改为datetime2(n)	实际备端为datetime2 None位</t>
        </is>
      </c>
    </row>
    <row r="915">
      <c r="B915" s="0" t="inlineStr">
        <is>
          <t>NULL</t>
        </is>
      </c>
      <c r="C915" s="0" t="inlineStr">
        <is>
          <t>NULL</t>
        </is>
      </c>
      <c r="D915" s="0" t="inlineStr">
        <is>
          <t>NULL</t>
        </is>
      </c>
      <c r="E915" s="0" t="inlineStr">
        <is>
          <t>NULL</t>
        </is>
      </c>
      <c r="F915" s="0" t="inlineStr">
        <is>
          <t>NULL</t>
        </is>
      </c>
      <c r="G915" s="0" t="inlineStr">
        <is>
          <t>NULL</t>
        </is>
      </c>
      <c r="H915" s="0" t="inlineStr">
        <is>
          <t>NULL</t>
        </is>
      </c>
      <c r="I915" s="0" t="inlineStr">
        <is>
          <t>NULL</t>
        </is>
      </c>
      <c r="J915" s="0" t="inlineStr">
        <is>
          <t>NULL</t>
        </is>
      </c>
      <c r="K915" s="0" t="inlineStr">
        <is>
          <t>YES! 	 c_dt2_3列源备映射正确，源端为datetime2 None位	期望更改为datetime2(n)	实际备端为datetime2 None位</t>
        </is>
      </c>
    </row>
    <row r="916">
      <c r="B916" s="0" t="inlineStr">
        <is>
          <t>NULL</t>
        </is>
      </c>
      <c r="C916" s="0" t="inlineStr">
        <is>
          <t>NULL</t>
        </is>
      </c>
      <c r="D916" s="0" t="inlineStr">
        <is>
          <t>NULL</t>
        </is>
      </c>
      <c r="E916" s="0" t="inlineStr">
        <is>
          <t>NULL</t>
        </is>
      </c>
      <c r="F916" s="0" t="inlineStr">
        <is>
          <t>NULL</t>
        </is>
      </c>
      <c r="G916" s="0" t="inlineStr">
        <is>
          <t>NULL</t>
        </is>
      </c>
      <c r="H916" s="0" t="inlineStr">
        <is>
          <t>NULL</t>
        </is>
      </c>
      <c r="I916" s="0" t="inlineStr">
        <is>
          <t>NULL</t>
        </is>
      </c>
      <c r="J916" s="0" t="inlineStr">
        <is>
          <t>NULL</t>
        </is>
      </c>
      <c r="K916" s="0" t="inlineStr">
        <is>
          <t>YES! 	 c_dt2_4列源备映射正确，源端为datetime2 None位	期望更改为datetime2(n)	实际备端为datetime2 None位</t>
        </is>
      </c>
    </row>
    <row r="917">
      <c r="B917" s="0" t="inlineStr">
        <is>
          <t>NULL</t>
        </is>
      </c>
      <c r="C917" s="0" t="inlineStr">
        <is>
          <t>NULL</t>
        </is>
      </c>
      <c r="D917" s="0" t="inlineStr">
        <is>
          <t>NULL</t>
        </is>
      </c>
      <c r="E917" s="0" t="inlineStr">
        <is>
          <t>NULL</t>
        </is>
      </c>
      <c r="F917" s="0" t="inlineStr">
        <is>
          <t>NULL</t>
        </is>
      </c>
      <c r="G917" s="0" t="inlineStr">
        <is>
          <t>NULL</t>
        </is>
      </c>
      <c r="H917" s="0" t="inlineStr">
        <is>
          <t>NULL</t>
        </is>
      </c>
      <c r="I917" s="0" t="inlineStr">
        <is>
          <t>NULL</t>
        </is>
      </c>
      <c r="J917" s="0" t="inlineStr">
        <is>
          <t>NULL</t>
        </is>
      </c>
      <c r="K917" s="0" t="inlineStr">
        <is>
          <t>YES! 	 c_dt2_5列源备映射正确，源端为datetime2 None位	期望更改为datetime2(n)	实际备端为datetime2 None位</t>
        </is>
      </c>
    </row>
    <row r="918">
      <c r="B918" s="0" t="inlineStr">
        <is>
          <t>NULL</t>
        </is>
      </c>
      <c r="C918" s="0" t="inlineStr">
        <is>
          <t>NULL</t>
        </is>
      </c>
      <c r="D918" s="0" t="inlineStr">
        <is>
          <t>NULL</t>
        </is>
      </c>
      <c r="E918" s="0" t="inlineStr">
        <is>
          <t>NULL</t>
        </is>
      </c>
      <c r="F918" s="0" t="inlineStr">
        <is>
          <t>NULL</t>
        </is>
      </c>
      <c r="G918" s="0" t="inlineStr">
        <is>
          <t>NULL</t>
        </is>
      </c>
      <c r="H918" s="0" t="inlineStr">
        <is>
          <t>NULL</t>
        </is>
      </c>
      <c r="I918" s="0" t="inlineStr">
        <is>
          <t>NULL</t>
        </is>
      </c>
      <c r="J918" s="0" t="inlineStr">
        <is>
          <t>NULL</t>
        </is>
      </c>
      <c r="K918" s="0" t="inlineStr">
        <is>
          <t>YES! 	 c_dt2_6列源备映射正确，源端为datetime2 None位	期望更改为datetime2(n)	实际备端为datetime2 None位</t>
        </is>
      </c>
    </row>
    <row r="919">
      <c r="B919" s="0" t="inlineStr">
        <is>
          <t>NULL</t>
        </is>
      </c>
      <c r="C919" s="0" t="inlineStr">
        <is>
          <t>NULL</t>
        </is>
      </c>
      <c r="D919" s="0" t="inlineStr">
        <is>
          <t>NULL</t>
        </is>
      </c>
      <c r="E919" s="0" t="inlineStr">
        <is>
          <t>NULL</t>
        </is>
      </c>
      <c r="F919" s="0" t="inlineStr">
        <is>
          <t>NULL</t>
        </is>
      </c>
      <c r="G919" s="0" t="inlineStr">
        <is>
          <t>NULL</t>
        </is>
      </c>
      <c r="H919" s="0" t="inlineStr">
        <is>
          <t>NULL</t>
        </is>
      </c>
      <c r="I919" s="0" t="inlineStr">
        <is>
          <t>NULL</t>
        </is>
      </c>
      <c r="J919" s="0" t="inlineStr">
        <is>
          <t>NULL</t>
        </is>
      </c>
      <c r="K919" s="0" t="inlineStr">
        <is>
          <t>YES! 	 c_dt2列源备映射正确，源端为datetime2 None位	期望更改为datetime2(n)	实际备端为datetime2 None位</t>
        </is>
      </c>
    </row>
    <row r="920">
      <c r="A920" s="0" t="inlineStr">
        <is>
          <t>info_nchar_dml_batch2_pk_urp2</t>
        </is>
      </c>
      <c r="K920" s="0" t="inlineStr">
        <is>
          <t>[0;34m info_nchar_dml_batch2_pk_urp2 [0m源备字段数相同，源端字段：4 	备端字段4</t>
        </is>
      </c>
      <c r="W920" s="0" t="inlineStr">
        <is>
          <t>YES 源备无差异</t>
        </is>
      </c>
      <c r="X920" s="0">
        <f>A920</f>
        <v/>
      </c>
    </row>
    <row r="921">
      <c r="B921" s="0" t="inlineStr">
        <is>
          <t>YES</t>
        </is>
      </c>
      <c r="C921" s="0" t="inlineStr">
        <is>
          <t>NULL</t>
        </is>
      </c>
      <c r="D921" s="0" t="inlineStr">
        <is>
          <t>NULL</t>
        </is>
      </c>
      <c r="E921" s="0" t="inlineStr">
        <is>
          <t>NULL</t>
        </is>
      </c>
      <c r="F921" s="0" t="inlineStr">
        <is>
          <t>NULL</t>
        </is>
      </c>
      <c r="G921" s="0" t="inlineStr">
        <is>
          <t>NULL</t>
        </is>
      </c>
      <c r="H921" s="0" t="inlineStr">
        <is>
          <t>NULL</t>
        </is>
      </c>
      <c r="I921" s="0" t="inlineStr">
        <is>
          <t>YES!PK__info_nch__3213E83F61A8127B</t>
        </is>
      </c>
      <c r="J921" s="0" t="inlineStr">
        <is>
          <t>YES! 主键相关索引</t>
        </is>
      </c>
      <c r="K921" s="0" t="inlineStr">
        <is>
          <t>YES! 	 id列源备映射正确，源端为int None位	期望更改为int	实际备端为int None位</t>
        </is>
      </c>
    </row>
    <row r="922">
      <c r="B922" s="0" t="inlineStr">
        <is>
          <t>NULL</t>
        </is>
      </c>
      <c r="C922" s="0" t="inlineStr">
        <is>
          <t>NULL</t>
        </is>
      </c>
      <c r="D922" s="0" t="inlineStr">
        <is>
          <t>NULL</t>
        </is>
      </c>
      <c r="E922" s="0" t="inlineStr">
        <is>
          <t>NULL</t>
        </is>
      </c>
      <c r="F922" s="0" t="inlineStr">
        <is>
          <t>NULL</t>
        </is>
      </c>
      <c r="G922" s="0" t="inlineStr">
        <is>
          <t>NULL</t>
        </is>
      </c>
      <c r="H922" s="0" t="inlineStr">
        <is>
          <t>NULL</t>
        </is>
      </c>
      <c r="I922" s="0" t="inlineStr">
        <is>
          <t>NULL</t>
        </is>
      </c>
      <c r="J922" s="0" t="inlineStr">
        <is>
          <t>NULL</t>
        </is>
      </c>
      <c r="K922" s="0" t="inlineStr">
        <is>
          <t>YES! 	 c_nchar列源备映射正确，源端为nchar 2位	期望更改为nchar(n)	实际备端为nchar 2位</t>
        </is>
      </c>
    </row>
    <row r="923">
      <c r="B923" s="0" t="inlineStr">
        <is>
          <t>NULL</t>
        </is>
      </c>
      <c r="C923" s="0" t="inlineStr">
        <is>
          <t>NULL</t>
        </is>
      </c>
      <c r="D923" s="0" t="inlineStr">
        <is>
          <t>NULL</t>
        </is>
      </c>
      <c r="E923" s="0" t="inlineStr">
        <is>
          <t>NULL</t>
        </is>
      </c>
      <c r="F923" s="0" t="inlineStr">
        <is>
          <t>NULL</t>
        </is>
      </c>
      <c r="G923" s="0" t="inlineStr">
        <is>
          <t>NULL</t>
        </is>
      </c>
      <c r="H923" s="0" t="inlineStr">
        <is>
          <t>NULL</t>
        </is>
      </c>
      <c r="I923" s="0" t="inlineStr">
        <is>
          <t>NULL</t>
        </is>
      </c>
      <c r="J923" s="0" t="inlineStr">
        <is>
          <t>NULL</t>
        </is>
      </c>
      <c r="K923" s="0" t="inlineStr">
        <is>
          <t>YES! 	 c_nchar20列源备映射正确，源端为nchar 40位	期望更改为nchar(n)	实际备端为nchar 40位</t>
        </is>
      </c>
    </row>
    <row r="924">
      <c r="B924" s="0" t="inlineStr">
        <is>
          <t>NULL</t>
        </is>
      </c>
      <c r="C924" s="0" t="inlineStr">
        <is>
          <t>NULL</t>
        </is>
      </c>
      <c r="D924" s="0" t="inlineStr">
        <is>
          <t>NULL</t>
        </is>
      </c>
      <c r="E924" s="0" t="inlineStr">
        <is>
          <t>NULL</t>
        </is>
      </c>
      <c r="F924" s="0" t="inlineStr">
        <is>
          <t>NULL</t>
        </is>
      </c>
      <c r="G924" s="0" t="inlineStr">
        <is>
          <t>NULL</t>
        </is>
      </c>
      <c r="H924" s="0" t="inlineStr">
        <is>
          <t>NULL</t>
        </is>
      </c>
      <c r="I924" s="0" t="inlineStr">
        <is>
          <t>NULL</t>
        </is>
      </c>
      <c r="J924" s="0" t="inlineStr">
        <is>
          <t>NULL</t>
        </is>
      </c>
      <c r="K924" s="0" t="inlineStr">
        <is>
          <t>YES! 	 c_nchar3500列源备映射正确，源端为nchar 7000位	期望更改为nchar(n)	实际备端为nchar 7000位</t>
        </is>
      </c>
    </row>
    <row r="925">
      <c r="A925" s="0" t="inlineStr">
        <is>
          <t>info_varcharmax_dml_single_nopk_drp</t>
        </is>
      </c>
      <c r="K925" s="0" t="inlineStr">
        <is>
          <t>[0;34m info_varcharmax_dml_single_nopk_drp [0m源备字段数相同，源端字段：3 	备端字段3</t>
        </is>
      </c>
      <c r="W925" s="0" t="inlineStr">
        <is>
          <t>YES 源备无差异</t>
        </is>
      </c>
      <c r="X925" s="0">
        <f>A925</f>
        <v/>
      </c>
    </row>
    <row r="926">
      <c r="B926" s="0" t="inlineStr">
        <is>
          <t>NULL</t>
        </is>
      </c>
      <c r="C926" s="0" t="inlineStr">
        <is>
          <t>NULL</t>
        </is>
      </c>
      <c r="D926" s="0" t="inlineStr">
        <is>
          <t>NULL</t>
        </is>
      </c>
      <c r="E926" s="0" t="inlineStr">
        <is>
          <t>NULL</t>
        </is>
      </c>
      <c r="F926" s="0" t="inlineStr">
        <is>
          <t>NULL</t>
        </is>
      </c>
      <c r="G926" s="0" t="inlineStr">
        <is>
          <t>NULL</t>
        </is>
      </c>
      <c r="H926" s="0" t="inlineStr">
        <is>
          <t>NULL</t>
        </is>
      </c>
      <c r="I926" s="0" t="inlineStr">
        <is>
          <t>NULL</t>
        </is>
      </c>
      <c r="J926" s="0" t="inlineStr">
        <is>
          <t>NULL</t>
        </is>
      </c>
      <c r="K926" s="0" t="inlineStr">
        <is>
          <t>YES! 	 id列源备映射正确，源端为int None位	期望更改为int	实际备端为int None位</t>
        </is>
      </c>
    </row>
    <row r="927">
      <c r="B927" s="0" t="inlineStr">
        <is>
          <t>NULL</t>
        </is>
      </c>
      <c r="C927" s="0" t="inlineStr">
        <is>
          <t>NULL</t>
        </is>
      </c>
      <c r="D927" s="0" t="inlineStr">
        <is>
          <t>NULL</t>
        </is>
      </c>
      <c r="E927" s="0" t="inlineStr">
        <is>
          <t>NULL</t>
        </is>
      </c>
      <c r="F927" s="0" t="inlineStr">
        <is>
          <t>NULL</t>
        </is>
      </c>
      <c r="G927" s="0" t="inlineStr">
        <is>
          <t>NULL</t>
        </is>
      </c>
      <c r="H927" s="0" t="inlineStr">
        <is>
          <t>NULL</t>
        </is>
      </c>
      <c r="I927" s="0" t="inlineStr">
        <is>
          <t>NULL</t>
        </is>
      </c>
      <c r="J927" s="0" t="inlineStr">
        <is>
          <t>NULL</t>
        </is>
      </c>
      <c r="K927" s="0" t="inlineStr">
        <is>
          <t>YES! 	 c_varchar_max列源备映射正确，源端为varchar -1位	期望更改为varchar(n)	实际备端为varchar -1位</t>
        </is>
      </c>
    </row>
    <row r="928">
      <c r="B928" s="0" t="inlineStr">
        <is>
          <t>NULL</t>
        </is>
      </c>
      <c r="C928" s="0" t="inlineStr">
        <is>
          <t>NULL</t>
        </is>
      </c>
      <c r="D928" s="0" t="inlineStr">
        <is>
          <t>NULL</t>
        </is>
      </c>
      <c r="E928" s="0" t="inlineStr">
        <is>
          <t>NULL</t>
        </is>
      </c>
      <c r="F928" s="0" t="inlineStr">
        <is>
          <t>NULL</t>
        </is>
      </c>
      <c r="G928" s="0" t="inlineStr">
        <is>
          <t>NULL</t>
        </is>
      </c>
      <c r="H928" s="0" t="inlineStr">
        <is>
          <t>NULL</t>
        </is>
      </c>
      <c r="I928" s="0" t="inlineStr">
        <is>
          <t>NULL</t>
        </is>
      </c>
      <c r="J928" s="0" t="inlineStr">
        <is>
          <t>NULL</t>
        </is>
      </c>
      <c r="K928" s="0" t="inlineStr">
        <is>
          <t>YES! 	 c_nvarchar_max列源备映射正确，源端为nvarchar -1位	期望更改为nvarchar(n)	实际备端为nvarchar -1位</t>
        </is>
      </c>
    </row>
    <row r="929">
      <c r="A929" s="0" t="inlineStr">
        <is>
          <t>info_time_dml_single_pk_urp</t>
        </is>
      </c>
      <c r="K929" s="0" t="inlineStr">
        <is>
          <t>[0;34m info_time_dml_single_pk_urp [0m源备字段数相同，源端字段：9 	备端字段9</t>
        </is>
      </c>
      <c r="W929" s="0" t="inlineStr">
        <is>
          <t>YES 源备无差异</t>
        </is>
      </c>
      <c r="X929" s="0">
        <f>A929</f>
        <v/>
      </c>
    </row>
    <row r="930">
      <c r="B930" s="0" t="inlineStr">
        <is>
          <t>YES</t>
        </is>
      </c>
      <c r="C930" s="0" t="inlineStr">
        <is>
          <t>NULL</t>
        </is>
      </c>
      <c r="D930" s="0" t="inlineStr">
        <is>
          <t>NULL</t>
        </is>
      </c>
      <c r="E930" s="0" t="inlineStr">
        <is>
          <t>NULL</t>
        </is>
      </c>
      <c r="F930" s="0" t="inlineStr">
        <is>
          <t>NULL</t>
        </is>
      </c>
      <c r="G930" s="0" t="inlineStr">
        <is>
          <t>NULL</t>
        </is>
      </c>
      <c r="H930" s="0" t="inlineStr">
        <is>
          <t>NULL</t>
        </is>
      </c>
      <c r="I930" s="0" t="inlineStr">
        <is>
          <t>YES!PK__info_tim__3213E83F1D372851</t>
        </is>
      </c>
      <c r="J930" s="0" t="inlineStr">
        <is>
          <t>YES! 主键相关索引</t>
        </is>
      </c>
      <c r="K930" s="0" t="inlineStr">
        <is>
          <t>YES! 	 id列源备映射正确，源端为int None位	期望更改为int	实际备端为int None位</t>
        </is>
      </c>
    </row>
    <row r="931">
      <c r="B931" s="0" t="inlineStr">
        <is>
          <t>NULL</t>
        </is>
      </c>
      <c r="C931" s="0" t="inlineStr">
        <is>
          <t>NULL</t>
        </is>
      </c>
      <c r="D931" s="0" t="inlineStr">
        <is>
          <t>NULL</t>
        </is>
      </c>
      <c r="E931" s="0" t="inlineStr">
        <is>
          <t>NULL</t>
        </is>
      </c>
      <c r="F931" s="0" t="inlineStr">
        <is>
          <t>NULL</t>
        </is>
      </c>
      <c r="G931" s="0" t="inlineStr">
        <is>
          <t>NULL</t>
        </is>
      </c>
      <c r="H931" s="0" t="inlineStr">
        <is>
          <t>NULL</t>
        </is>
      </c>
      <c r="I931" s="0" t="inlineStr">
        <is>
          <t>NULL</t>
        </is>
      </c>
      <c r="J931" s="0" t="inlineStr">
        <is>
          <t>NULL</t>
        </is>
      </c>
      <c r="K931" s="0" t="inlineStr">
        <is>
          <t>no,len不存在</t>
        </is>
      </c>
    </row>
    <row r="932">
      <c r="B932" s="0" t="inlineStr">
        <is>
          <t>NULL</t>
        </is>
      </c>
      <c r="C932" s="0" t="inlineStr">
        <is>
          <t>NULL</t>
        </is>
      </c>
      <c r="D932" s="0" t="inlineStr">
        <is>
          <t>NULL</t>
        </is>
      </c>
      <c r="E932" s="0" t="inlineStr">
        <is>
          <t>NULL</t>
        </is>
      </c>
      <c r="F932" s="0" t="inlineStr">
        <is>
          <t>NULL</t>
        </is>
      </c>
      <c r="G932" s="0" t="inlineStr">
        <is>
          <t>NULL</t>
        </is>
      </c>
      <c r="H932" s="0" t="inlineStr">
        <is>
          <t>NULL</t>
        </is>
      </c>
      <c r="I932" s="0" t="inlineStr">
        <is>
          <t>NULL</t>
        </is>
      </c>
      <c r="J932" s="0" t="inlineStr">
        <is>
          <t>NULL</t>
        </is>
      </c>
      <c r="K932" s="0" t="inlineStr">
        <is>
          <t>YES! 	 c_time1列源备映射正确，源端为time None位	期望更改为time(n)	实际备端为time None位</t>
        </is>
      </c>
    </row>
    <row r="933">
      <c r="B933" s="0" t="inlineStr">
        <is>
          <t>NULL</t>
        </is>
      </c>
      <c r="C933" s="0" t="inlineStr">
        <is>
          <t>NULL</t>
        </is>
      </c>
      <c r="D933" s="0" t="inlineStr">
        <is>
          <t>NULL</t>
        </is>
      </c>
      <c r="E933" s="0" t="inlineStr">
        <is>
          <t>NULL</t>
        </is>
      </c>
      <c r="F933" s="0" t="inlineStr">
        <is>
          <t>NULL</t>
        </is>
      </c>
      <c r="G933" s="0" t="inlineStr">
        <is>
          <t>NULL</t>
        </is>
      </c>
      <c r="H933" s="0" t="inlineStr">
        <is>
          <t>NULL</t>
        </is>
      </c>
      <c r="I933" s="0" t="inlineStr">
        <is>
          <t>NULL</t>
        </is>
      </c>
      <c r="J933" s="0" t="inlineStr">
        <is>
          <t>NULL</t>
        </is>
      </c>
      <c r="K933" s="0" t="inlineStr">
        <is>
          <t>YES! 	 c_time2列源备映射正确，源端为time None位	期望更改为time(n)	实际备端为time None位</t>
        </is>
      </c>
    </row>
    <row r="934">
      <c r="B934" s="0" t="inlineStr">
        <is>
          <t>NULL</t>
        </is>
      </c>
      <c r="C934" s="0" t="inlineStr">
        <is>
          <t>NULL</t>
        </is>
      </c>
      <c r="D934" s="0" t="inlineStr">
        <is>
          <t>NULL</t>
        </is>
      </c>
      <c r="E934" s="0" t="inlineStr">
        <is>
          <t>NULL</t>
        </is>
      </c>
      <c r="F934" s="0" t="inlineStr">
        <is>
          <t>NULL</t>
        </is>
      </c>
      <c r="G934" s="0" t="inlineStr">
        <is>
          <t>NULL</t>
        </is>
      </c>
      <c r="H934" s="0" t="inlineStr">
        <is>
          <t>NULL</t>
        </is>
      </c>
      <c r="I934" s="0" t="inlineStr">
        <is>
          <t>NULL</t>
        </is>
      </c>
      <c r="J934" s="0" t="inlineStr">
        <is>
          <t>NULL</t>
        </is>
      </c>
      <c r="K934" s="0" t="inlineStr">
        <is>
          <t>YES! 	 c_time3列源备映射正确，源端为time None位	期望更改为time(n)	实际备端为time None位</t>
        </is>
      </c>
    </row>
    <row r="935">
      <c r="B935" s="0" t="inlineStr">
        <is>
          <t>NULL</t>
        </is>
      </c>
      <c r="C935" s="0" t="inlineStr">
        <is>
          <t>NULL</t>
        </is>
      </c>
      <c r="D935" s="0" t="inlineStr">
        <is>
          <t>NULL</t>
        </is>
      </c>
      <c r="E935" s="0" t="inlineStr">
        <is>
          <t>NULL</t>
        </is>
      </c>
      <c r="F935" s="0" t="inlineStr">
        <is>
          <t>NULL</t>
        </is>
      </c>
      <c r="G935" s="0" t="inlineStr">
        <is>
          <t>NULL</t>
        </is>
      </c>
      <c r="H935" s="0" t="inlineStr">
        <is>
          <t>NULL</t>
        </is>
      </c>
      <c r="I935" s="0" t="inlineStr">
        <is>
          <t>NULL</t>
        </is>
      </c>
      <c r="J935" s="0" t="inlineStr">
        <is>
          <t>NULL</t>
        </is>
      </c>
      <c r="K935" s="0" t="inlineStr">
        <is>
          <t>YES! 	 c_time4列源备映射正确，源端为time None位	期望更改为time(n)	实际备端为time None位</t>
        </is>
      </c>
    </row>
    <row r="936">
      <c r="B936" s="0" t="inlineStr">
        <is>
          <t>NULL</t>
        </is>
      </c>
      <c r="C936" s="0" t="inlineStr">
        <is>
          <t>NULL</t>
        </is>
      </c>
      <c r="D936" s="0" t="inlineStr">
        <is>
          <t>NULL</t>
        </is>
      </c>
      <c r="E936" s="0" t="inlineStr">
        <is>
          <t>NULL</t>
        </is>
      </c>
      <c r="F936" s="0" t="inlineStr">
        <is>
          <t>NULL</t>
        </is>
      </c>
      <c r="G936" s="0" t="inlineStr">
        <is>
          <t>NULL</t>
        </is>
      </c>
      <c r="H936" s="0" t="inlineStr">
        <is>
          <t>NULL</t>
        </is>
      </c>
      <c r="I936" s="0" t="inlineStr">
        <is>
          <t>NULL</t>
        </is>
      </c>
      <c r="J936" s="0" t="inlineStr">
        <is>
          <t>NULL</t>
        </is>
      </c>
      <c r="K936" s="0" t="inlineStr">
        <is>
          <t>YES! 	 c_time5列源备映射正确，源端为time None位	期望更改为time(n)	实际备端为time None位</t>
        </is>
      </c>
    </row>
    <row r="937">
      <c r="B937" s="0" t="inlineStr">
        <is>
          <t>NULL</t>
        </is>
      </c>
      <c r="C937" s="0" t="inlineStr">
        <is>
          <t>NULL</t>
        </is>
      </c>
      <c r="D937" s="0" t="inlineStr">
        <is>
          <t>NULL</t>
        </is>
      </c>
      <c r="E937" s="0" t="inlineStr">
        <is>
          <t>NULL</t>
        </is>
      </c>
      <c r="F937" s="0" t="inlineStr">
        <is>
          <t>NULL</t>
        </is>
      </c>
      <c r="G937" s="0" t="inlineStr">
        <is>
          <t>NULL</t>
        </is>
      </c>
      <c r="H937" s="0" t="inlineStr">
        <is>
          <t>NULL</t>
        </is>
      </c>
      <c r="I937" s="0" t="inlineStr">
        <is>
          <t>NULL</t>
        </is>
      </c>
      <c r="J937" s="0" t="inlineStr">
        <is>
          <t>NULL</t>
        </is>
      </c>
      <c r="K937" s="0" t="inlineStr">
        <is>
          <t>YES! 	 c_time6列源备映射正确，源端为time None位	期望更改为time(n)	实际备端为time None位</t>
        </is>
      </c>
    </row>
    <row r="938">
      <c r="B938" s="0" t="inlineStr">
        <is>
          <t>NULL</t>
        </is>
      </c>
      <c r="C938" s="0" t="inlineStr">
        <is>
          <t>NULL</t>
        </is>
      </c>
      <c r="D938" s="0" t="inlineStr">
        <is>
          <t>NULL</t>
        </is>
      </c>
      <c r="E938" s="0" t="inlineStr">
        <is>
          <t>NULL</t>
        </is>
      </c>
      <c r="F938" s="0" t="inlineStr">
        <is>
          <t>NULL</t>
        </is>
      </c>
      <c r="G938" s="0" t="inlineStr">
        <is>
          <t>NULL</t>
        </is>
      </c>
      <c r="H938" s="0" t="inlineStr">
        <is>
          <t>NULL</t>
        </is>
      </c>
      <c r="I938" s="0" t="inlineStr">
        <is>
          <t>NULL</t>
        </is>
      </c>
      <c r="J938" s="0" t="inlineStr">
        <is>
          <t>NULL</t>
        </is>
      </c>
      <c r="K938" s="0" t="inlineStr">
        <is>
          <t>YES! 	 c_time列源备映射正确，源端为time None位	期望更改为time(n)	实际备端为time None位</t>
        </is>
      </c>
    </row>
    <row r="939">
      <c r="A939" s="0" t="inlineStr">
        <is>
          <t>info_nchar_dml_batch1_pk_drp1</t>
        </is>
      </c>
      <c r="K939" s="0" t="inlineStr">
        <is>
          <t>[0;34m info_nchar_dml_batch1_pk_drp1 [0m源备字段数相同，源端字段：4 	备端字段4</t>
        </is>
      </c>
      <c r="W939" s="0" t="inlineStr">
        <is>
          <t>YES 源备无差异</t>
        </is>
      </c>
      <c r="X939" s="0">
        <f>A939</f>
        <v/>
      </c>
    </row>
    <row r="940">
      <c r="B940" s="0" t="inlineStr">
        <is>
          <t>YES</t>
        </is>
      </c>
      <c r="C940" s="0" t="inlineStr">
        <is>
          <t>NULL</t>
        </is>
      </c>
      <c r="D940" s="0" t="inlineStr">
        <is>
          <t>NULL</t>
        </is>
      </c>
      <c r="E940" s="0" t="inlineStr">
        <is>
          <t>NULL</t>
        </is>
      </c>
      <c r="F940" s="0" t="inlineStr">
        <is>
          <t>NULL</t>
        </is>
      </c>
      <c r="G940" s="0" t="inlineStr">
        <is>
          <t>NULL</t>
        </is>
      </c>
      <c r="H940" s="0" t="inlineStr">
        <is>
          <t>NULL</t>
        </is>
      </c>
      <c r="I940" s="0" t="inlineStr">
        <is>
          <t>YES!PK__info_nch__3213E83F969B1219</t>
        </is>
      </c>
      <c r="J940" s="0" t="inlineStr">
        <is>
          <t>YES! 主键相关索引</t>
        </is>
      </c>
      <c r="K940" s="0" t="inlineStr">
        <is>
          <t>YES! 	 id列源备映射正确，源端为int None位	期望更改为int	实际备端为int None位</t>
        </is>
      </c>
    </row>
    <row r="941">
      <c r="B941" s="0" t="inlineStr">
        <is>
          <t>NULL</t>
        </is>
      </c>
      <c r="C941" s="0" t="inlineStr">
        <is>
          <t>NULL</t>
        </is>
      </c>
      <c r="D941" s="0" t="inlineStr">
        <is>
          <t>NULL</t>
        </is>
      </c>
      <c r="E941" s="0" t="inlineStr">
        <is>
          <t>NULL</t>
        </is>
      </c>
      <c r="F941" s="0" t="inlineStr">
        <is>
          <t>NULL</t>
        </is>
      </c>
      <c r="G941" s="0" t="inlineStr">
        <is>
          <t>NULL</t>
        </is>
      </c>
      <c r="H941" s="0" t="inlineStr">
        <is>
          <t>NULL</t>
        </is>
      </c>
      <c r="I941" s="0" t="inlineStr">
        <is>
          <t>NULL</t>
        </is>
      </c>
      <c r="J941" s="0" t="inlineStr">
        <is>
          <t>NULL</t>
        </is>
      </c>
      <c r="K941" s="0" t="inlineStr">
        <is>
          <t>YES! 	 c_nchar列源备映射正确，源端为nchar 2位	期望更改为nchar(n)	实际备端为nchar 2位</t>
        </is>
      </c>
    </row>
    <row r="942">
      <c r="B942" s="0" t="inlineStr">
        <is>
          <t>NULL</t>
        </is>
      </c>
      <c r="C942" s="0" t="inlineStr">
        <is>
          <t>NULL</t>
        </is>
      </c>
      <c r="D942" s="0" t="inlineStr">
        <is>
          <t>NULL</t>
        </is>
      </c>
      <c r="E942" s="0" t="inlineStr">
        <is>
          <t>NULL</t>
        </is>
      </c>
      <c r="F942" s="0" t="inlineStr">
        <is>
          <t>NULL</t>
        </is>
      </c>
      <c r="G942" s="0" t="inlineStr">
        <is>
          <t>NULL</t>
        </is>
      </c>
      <c r="H942" s="0" t="inlineStr">
        <is>
          <t>NULL</t>
        </is>
      </c>
      <c r="I942" s="0" t="inlineStr">
        <is>
          <t>NULL</t>
        </is>
      </c>
      <c r="J942" s="0" t="inlineStr">
        <is>
          <t>NULL</t>
        </is>
      </c>
      <c r="K942" s="0" t="inlineStr">
        <is>
          <t>YES! 	 c_nchar20列源备映射正确，源端为nchar 40位	期望更改为nchar(n)	实际备端为nchar 40位</t>
        </is>
      </c>
    </row>
    <row r="943">
      <c r="B943" s="0" t="inlineStr">
        <is>
          <t>NULL</t>
        </is>
      </c>
      <c r="C943" s="0" t="inlineStr">
        <is>
          <t>NULL</t>
        </is>
      </c>
      <c r="D943" s="0" t="inlineStr">
        <is>
          <t>NULL</t>
        </is>
      </c>
      <c r="E943" s="0" t="inlineStr">
        <is>
          <t>NULL</t>
        </is>
      </c>
      <c r="F943" s="0" t="inlineStr">
        <is>
          <t>NULL</t>
        </is>
      </c>
      <c r="G943" s="0" t="inlineStr">
        <is>
          <t>NULL</t>
        </is>
      </c>
      <c r="H943" s="0" t="inlineStr">
        <is>
          <t>NULL</t>
        </is>
      </c>
      <c r="I943" s="0" t="inlineStr">
        <is>
          <t>NULL</t>
        </is>
      </c>
      <c r="J943" s="0" t="inlineStr">
        <is>
          <t>NULL</t>
        </is>
      </c>
      <c r="K943" s="0" t="inlineStr">
        <is>
          <t>YES! 	 c_nchar3500列源备映射正确，源端为nchar 7000位	期望更改为nchar(n)	实际备端为nchar 7000位</t>
        </is>
      </c>
    </row>
    <row r="944">
      <c r="K944" s="0" t="inlineStr">
        <is>
          <t>~ 空表</t>
        </is>
      </c>
    </row>
    <row r="945">
      <c r="A945" s="0" t="inlineStr">
        <is>
          <t>info_datetime2_dml_batch1_pk_irp2</t>
        </is>
      </c>
      <c r="K945" s="0" t="inlineStr">
        <is>
          <t>[0;34m info_datetime2_dml_batch1_pk_irp2 [0m源备字段数相同，源端字段：9 	备端字段9</t>
        </is>
      </c>
      <c r="W945" s="0" t="inlineStr">
        <is>
          <t>YES 源备无差异</t>
        </is>
      </c>
      <c r="X945" s="0">
        <f>A945</f>
        <v/>
      </c>
    </row>
    <row r="946">
      <c r="B946" s="0" t="inlineStr">
        <is>
          <t>YES</t>
        </is>
      </c>
      <c r="C946" s="0" t="inlineStr">
        <is>
          <t>NULL</t>
        </is>
      </c>
      <c r="D946" s="0" t="inlineStr">
        <is>
          <t>NULL</t>
        </is>
      </c>
      <c r="E946" s="0" t="inlineStr">
        <is>
          <t>NULL</t>
        </is>
      </c>
      <c r="F946" s="0" t="inlineStr">
        <is>
          <t>NULL</t>
        </is>
      </c>
      <c r="G946" s="0" t="inlineStr">
        <is>
          <t>NULL</t>
        </is>
      </c>
      <c r="H946" s="0" t="inlineStr">
        <is>
          <t>NULL</t>
        </is>
      </c>
      <c r="I946" s="0" t="inlineStr">
        <is>
          <t>YES!PK__info_dat__3213E83F477FF471</t>
        </is>
      </c>
      <c r="J946" s="0" t="inlineStr">
        <is>
          <t>YES! 主键相关索引</t>
        </is>
      </c>
      <c r="K946" s="0" t="inlineStr">
        <is>
          <t>YES! 	 id列源备映射正确，源端为int None位	期望更改为int	实际备端为int None位</t>
        </is>
      </c>
    </row>
    <row r="947">
      <c r="B947" s="0" t="inlineStr">
        <is>
          <t>NULL</t>
        </is>
      </c>
      <c r="C947" s="0" t="inlineStr">
        <is>
          <t>NULL</t>
        </is>
      </c>
      <c r="D947" s="0" t="inlineStr">
        <is>
          <t>NULL</t>
        </is>
      </c>
      <c r="E947" s="0" t="inlineStr">
        <is>
          <t>NULL</t>
        </is>
      </c>
      <c r="F947" s="0" t="inlineStr">
        <is>
          <t>NULL</t>
        </is>
      </c>
      <c r="G947" s="0" t="inlineStr">
        <is>
          <t>NULL</t>
        </is>
      </c>
      <c r="H947" s="0" t="inlineStr">
        <is>
          <t>NULL</t>
        </is>
      </c>
      <c r="I947" s="0" t="inlineStr">
        <is>
          <t>NULL</t>
        </is>
      </c>
      <c r="J947" s="0" t="inlineStr">
        <is>
          <t>NULL</t>
        </is>
      </c>
      <c r="K947" s="0" t="inlineStr">
        <is>
          <t>no,len不存在</t>
        </is>
      </c>
    </row>
    <row r="948">
      <c r="B948" s="0" t="inlineStr">
        <is>
          <t>NULL</t>
        </is>
      </c>
      <c r="C948" s="0" t="inlineStr">
        <is>
          <t>NULL</t>
        </is>
      </c>
      <c r="D948" s="0" t="inlineStr">
        <is>
          <t>NULL</t>
        </is>
      </c>
      <c r="E948" s="0" t="inlineStr">
        <is>
          <t>NULL</t>
        </is>
      </c>
      <c r="F948" s="0" t="inlineStr">
        <is>
          <t>NULL</t>
        </is>
      </c>
      <c r="G948" s="0" t="inlineStr">
        <is>
          <t>NULL</t>
        </is>
      </c>
      <c r="H948" s="0" t="inlineStr">
        <is>
          <t>NULL</t>
        </is>
      </c>
      <c r="I948" s="0" t="inlineStr">
        <is>
          <t>NULL</t>
        </is>
      </c>
      <c r="J948" s="0" t="inlineStr">
        <is>
          <t>NULL</t>
        </is>
      </c>
      <c r="K948" s="0" t="inlineStr">
        <is>
          <t>YES! 	 c_dt2_1列源备映射正确，源端为datetime2 None位	期望更改为datetime2(n)	实际备端为datetime2 None位</t>
        </is>
      </c>
    </row>
    <row r="949">
      <c r="B949" s="0" t="inlineStr">
        <is>
          <t>NULL</t>
        </is>
      </c>
      <c r="C949" s="0" t="inlineStr">
        <is>
          <t>NULL</t>
        </is>
      </c>
      <c r="D949" s="0" t="inlineStr">
        <is>
          <t>NULL</t>
        </is>
      </c>
      <c r="E949" s="0" t="inlineStr">
        <is>
          <t>NULL</t>
        </is>
      </c>
      <c r="F949" s="0" t="inlineStr">
        <is>
          <t>NULL</t>
        </is>
      </c>
      <c r="G949" s="0" t="inlineStr">
        <is>
          <t>NULL</t>
        </is>
      </c>
      <c r="H949" s="0" t="inlineStr">
        <is>
          <t>NULL</t>
        </is>
      </c>
      <c r="I949" s="0" t="inlineStr">
        <is>
          <t>NULL</t>
        </is>
      </c>
      <c r="J949" s="0" t="inlineStr">
        <is>
          <t>NULL</t>
        </is>
      </c>
      <c r="K949" s="0" t="inlineStr">
        <is>
          <t>YES! 	 c_dt2_2列源备映射正确，源端为datetime2 None位	期望更改为datetime2(n)	实际备端为datetime2 None位</t>
        </is>
      </c>
    </row>
    <row r="950">
      <c r="B950" s="0" t="inlineStr">
        <is>
          <t>NULL</t>
        </is>
      </c>
      <c r="C950" s="0" t="inlineStr">
        <is>
          <t>NULL</t>
        </is>
      </c>
      <c r="D950" s="0" t="inlineStr">
        <is>
          <t>NULL</t>
        </is>
      </c>
      <c r="E950" s="0" t="inlineStr">
        <is>
          <t>NULL</t>
        </is>
      </c>
      <c r="F950" s="0" t="inlineStr">
        <is>
          <t>NULL</t>
        </is>
      </c>
      <c r="G950" s="0" t="inlineStr">
        <is>
          <t>NULL</t>
        </is>
      </c>
      <c r="H950" s="0" t="inlineStr">
        <is>
          <t>NULL</t>
        </is>
      </c>
      <c r="I950" s="0" t="inlineStr">
        <is>
          <t>NULL</t>
        </is>
      </c>
      <c r="J950" s="0" t="inlineStr">
        <is>
          <t>NULL</t>
        </is>
      </c>
      <c r="K950" s="0" t="inlineStr">
        <is>
          <t>YES! 	 c_dt2_3列源备映射正确，源端为datetime2 None位	期望更改为datetime2(n)	实际备端为datetime2 None位</t>
        </is>
      </c>
    </row>
    <row r="951">
      <c r="B951" s="0" t="inlineStr">
        <is>
          <t>NULL</t>
        </is>
      </c>
      <c r="C951" s="0" t="inlineStr">
        <is>
          <t>NULL</t>
        </is>
      </c>
      <c r="D951" s="0" t="inlineStr">
        <is>
          <t>NULL</t>
        </is>
      </c>
      <c r="E951" s="0" t="inlineStr">
        <is>
          <t>NULL</t>
        </is>
      </c>
      <c r="F951" s="0" t="inlineStr">
        <is>
          <t>NULL</t>
        </is>
      </c>
      <c r="G951" s="0" t="inlineStr">
        <is>
          <t>NULL</t>
        </is>
      </c>
      <c r="H951" s="0" t="inlineStr">
        <is>
          <t>NULL</t>
        </is>
      </c>
      <c r="I951" s="0" t="inlineStr">
        <is>
          <t>NULL</t>
        </is>
      </c>
      <c r="J951" s="0" t="inlineStr">
        <is>
          <t>NULL</t>
        </is>
      </c>
      <c r="K951" s="0" t="inlineStr">
        <is>
          <t>YES! 	 c_dt2_4列源备映射正确，源端为datetime2 None位	期望更改为datetime2(n)	实际备端为datetime2 None位</t>
        </is>
      </c>
    </row>
    <row r="952">
      <c r="B952" s="0" t="inlineStr">
        <is>
          <t>NULL</t>
        </is>
      </c>
      <c r="C952" s="0" t="inlineStr">
        <is>
          <t>NULL</t>
        </is>
      </c>
      <c r="D952" s="0" t="inlineStr">
        <is>
          <t>NULL</t>
        </is>
      </c>
      <c r="E952" s="0" t="inlineStr">
        <is>
          <t>NULL</t>
        </is>
      </c>
      <c r="F952" s="0" t="inlineStr">
        <is>
          <t>NULL</t>
        </is>
      </c>
      <c r="G952" s="0" t="inlineStr">
        <is>
          <t>NULL</t>
        </is>
      </c>
      <c r="H952" s="0" t="inlineStr">
        <is>
          <t>NULL</t>
        </is>
      </c>
      <c r="I952" s="0" t="inlineStr">
        <is>
          <t>NULL</t>
        </is>
      </c>
      <c r="J952" s="0" t="inlineStr">
        <is>
          <t>NULL</t>
        </is>
      </c>
      <c r="K952" s="0" t="inlineStr">
        <is>
          <t>YES! 	 c_dt2_5列源备映射正确，源端为datetime2 None位	期望更改为datetime2(n)	实际备端为datetime2 None位</t>
        </is>
      </c>
    </row>
    <row r="953">
      <c r="B953" s="0" t="inlineStr">
        <is>
          <t>NULL</t>
        </is>
      </c>
      <c r="C953" s="0" t="inlineStr">
        <is>
          <t>NULL</t>
        </is>
      </c>
      <c r="D953" s="0" t="inlineStr">
        <is>
          <t>NULL</t>
        </is>
      </c>
      <c r="E953" s="0" t="inlineStr">
        <is>
          <t>NULL</t>
        </is>
      </c>
      <c r="F953" s="0" t="inlineStr">
        <is>
          <t>NULL</t>
        </is>
      </c>
      <c r="G953" s="0" t="inlineStr">
        <is>
          <t>NULL</t>
        </is>
      </c>
      <c r="H953" s="0" t="inlineStr">
        <is>
          <t>NULL</t>
        </is>
      </c>
      <c r="I953" s="0" t="inlineStr">
        <is>
          <t>NULL</t>
        </is>
      </c>
      <c r="J953" s="0" t="inlineStr">
        <is>
          <t>NULL</t>
        </is>
      </c>
      <c r="K953" s="0" t="inlineStr">
        <is>
          <t>YES! 	 c_dt2_6列源备映射正确，源端为datetime2 None位	期望更改为datetime2(n)	实际备端为datetime2 None位</t>
        </is>
      </c>
    </row>
    <row r="954">
      <c r="B954" s="0" t="inlineStr">
        <is>
          <t>NULL</t>
        </is>
      </c>
      <c r="C954" s="0" t="inlineStr">
        <is>
          <t>NULL</t>
        </is>
      </c>
      <c r="D954" s="0" t="inlineStr">
        <is>
          <t>NULL</t>
        </is>
      </c>
      <c r="E954" s="0" t="inlineStr">
        <is>
          <t>NULL</t>
        </is>
      </c>
      <c r="F954" s="0" t="inlineStr">
        <is>
          <t>NULL</t>
        </is>
      </c>
      <c r="G954" s="0" t="inlineStr">
        <is>
          <t>NULL</t>
        </is>
      </c>
      <c r="H954" s="0" t="inlineStr">
        <is>
          <t>NULL</t>
        </is>
      </c>
      <c r="I954" s="0" t="inlineStr">
        <is>
          <t>NULL</t>
        </is>
      </c>
      <c r="J954" s="0" t="inlineStr">
        <is>
          <t>NULL</t>
        </is>
      </c>
      <c r="K954" s="0" t="inlineStr">
        <is>
          <t>YES! 	 c_dt2列源备映射正确，源端为datetime2 None位	期望更改为datetime2(n)	实际备端为datetime2 None位</t>
        </is>
      </c>
    </row>
    <row r="955">
      <c r="A955" s="0" t="inlineStr">
        <is>
          <t>info_time_dml_single_pk_drp</t>
        </is>
      </c>
      <c r="K955" s="0" t="inlineStr">
        <is>
          <t>[0;34m info_time_dml_single_pk_drp [0m源备字段数相同，源端字段：9 	备端字段9</t>
        </is>
      </c>
      <c r="W955" s="0" t="inlineStr">
        <is>
          <t>YES 源备无差异</t>
        </is>
      </c>
      <c r="X955" s="0">
        <f>A955</f>
        <v/>
      </c>
    </row>
    <row r="956">
      <c r="B956" s="0" t="inlineStr">
        <is>
          <t>YES</t>
        </is>
      </c>
      <c r="C956" s="0" t="inlineStr">
        <is>
          <t>NULL</t>
        </is>
      </c>
      <c r="D956" s="0" t="inlineStr">
        <is>
          <t>NULL</t>
        </is>
      </c>
      <c r="E956" s="0" t="inlineStr">
        <is>
          <t>NULL</t>
        </is>
      </c>
      <c r="F956" s="0" t="inlineStr">
        <is>
          <t>NULL</t>
        </is>
      </c>
      <c r="G956" s="0" t="inlineStr">
        <is>
          <t>NULL</t>
        </is>
      </c>
      <c r="H956" s="0" t="inlineStr">
        <is>
          <t>NULL</t>
        </is>
      </c>
      <c r="I956" s="0" t="inlineStr">
        <is>
          <t>YES!PK__info_tim__3213E83FC101F4AB</t>
        </is>
      </c>
      <c r="J956" s="0" t="inlineStr">
        <is>
          <t>YES! 主键相关索引</t>
        </is>
      </c>
      <c r="K956" s="0" t="inlineStr">
        <is>
          <t>YES! 	 id列源备映射正确，源端为int None位	期望更改为int	实际备端为int None位</t>
        </is>
      </c>
    </row>
    <row r="957">
      <c r="B957" s="0" t="inlineStr">
        <is>
          <t>NULL</t>
        </is>
      </c>
      <c r="C957" s="0" t="inlineStr">
        <is>
          <t>NULL</t>
        </is>
      </c>
      <c r="D957" s="0" t="inlineStr">
        <is>
          <t>NULL</t>
        </is>
      </c>
      <c r="E957" s="0" t="inlineStr">
        <is>
          <t>NULL</t>
        </is>
      </c>
      <c r="F957" s="0" t="inlineStr">
        <is>
          <t>NULL</t>
        </is>
      </c>
      <c r="G957" s="0" t="inlineStr">
        <is>
          <t>NULL</t>
        </is>
      </c>
      <c r="H957" s="0" t="inlineStr">
        <is>
          <t>NULL</t>
        </is>
      </c>
      <c r="I957" s="0" t="inlineStr">
        <is>
          <t>NULL</t>
        </is>
      </c>
      <c r="J957" s="0" t="inlineStr">
        <is>
          <t>NULL</t>
        </is>
      </c>
      <c r="K957" s="0" t="inlineStr">
        <is>
          <t>no,len不存在</t>
        </is>
      </c>
    </row>
    <row r="958">
      <c r="B958" s="0" t="inlineStr">
        <is>
          <t>NULL</t>
        </is>
      </c>
      <c r="C958" s="0" t="inlineStr">
        <is>
          <t>NULL</t>
        </is>
      </c>
      <c r="D958" s="0" t="inlineStr">
        <is>
          <t>NULL</t>
        </is>
      </c>
      <c r="E958" s="0" t="inlineStr">
        <is>
          <t>NULL</t>
        </is>
      </c>
      <c r="F958" s="0" t="inlineStr">
        <is>
          <t>NULL</t>
        </is>
      </c>
      <c r="G958" s="0" t="inlineStr">
        <is>
          <t>NULL</t>
        </is>
      </c>
      <c r="H958" s="0" t="inlineStr">
        <is>
          <t>NULL</t>
        </is>
      </c>
      <c r="I958" s="0" t="inlineStr">
        <is>
          <t>NULL</t>
        </is>
      </c>
      <c r="J958" s="0" t="inlineStr">
        <is>
          <t>NULL</t>
        </is>
      </c>
      <c r="K958" s="0" t="inlineStr">
        <is>
          <t>YES! 	 c_time1列源备映射正确，源端为time None位	期望更改为time(n)	实际备端为time None位</t>
        </is>
      </c>
    </row>
    <row r="959">
      <c r="B959" s="0" t="inlineStr">
        <is>
          <t>NULL</t>
        </is>
      </c>
      <c r="C959" s="0" t="inlineStr">
        <is>
          <t>NULL</t>
        </is>
      </c>
      <c r="D959" s="0" t="inlineStr">
        <is>
          <t>NULL</t>
        </is>
      </c>
      <c r="E959" s="0" t="inlineStr">
        <is>
          <t>NULL</t>
        </is>
      </c>
      <c r="F959" s="0" t="inlineStr">
        <is>
          <t>NULL</t>
        </is>
      </c>
      <c r="G959" s="0" t="inlineStr">
        <is>
          <t>NULL</t>
        </is>
      </c>
      <c r="H959" s="0" t="inlineStr">
        <is>
          <t>NULL</t>
        </is>
      </c>
      <c r="I959" s="0" t="inlineStr">
        <is>
          <t>NULL</t>
        </is>
      </c>
      <c r="J959" s="0" t="inlineStr">
        <is>
          <t>NULL</t>
        </is>
      </c>
      <c r="K959" s="0" t="inlineStr">
        <is>
          <t>YES! 	 c_time2列源备映射正确，源端为time None位	期望更改为time(n)	实际备端为time None位</t>
        </is>
      </c>
    </row>
    <row r="960">
      <c r="B960" s="0" t="inlineStr">
        <is>
          <t>NULL</t>
        </is>
      </c>
      <c r="C960" s="0" t="inlineStr">
        <is>
          <t>NULL</t>
        </is>
      </c>
      <c r="D960" s="0" t="inlineStr">
        <is>
          <t>NULL</t>
        </is>
      </c>
      <c r="E960" s="0" t="inlineStr">
        <is>
          <t>NULL</t>
        </is>
      </c>
      <c r="F960" s="0" t="inlineStr">
        <is>
          <t>NULL</t>
        </is>
      </c>
      <c r="G960" s="0" t="inlineStr">
        <is>
          <t>NULL</t>
        </is>
      </c>
      <c r="H960" s="0" t="inlineStr">
        <is>
          <t>NULL</t>
        </is>
      </c>
      <c r="I960" s="0" t="inlineStr">
        <is>
          <t>NULL</t>
        </is>
      </c>
      <c r="J960" s="0" t="inlineStr">
        <is>
          <t>NULL</t>
        </is>
      </c>
      <c r="K960" s="0" t="inlineStr">
        <is>
          <t>YES! 	 c_time3列源备映射正确，源端为time None位	期望更改为time(n)	实际备端为time None位</t>
        </is>
      </c>
    </row>
    <row r="961">
      <c r="B961" s="0" t="inlineStr">
        <is>
          <t>NULL</t>
        </is>
      </c>
      <c r="C961" s="0" t="inlineStr">
        <is>
          <t>NULL</t>
        </is>
      </c>
      <c r="D961" s="0" t="inlineStr">
        <is>
          <t>NULL</t>
        </is>
      </c>
      <c r="E961" s="0" t="inlineStr">
        <is>
          <t>NULL</t>
        </is>
      </c>
      <c r="F961" s="0" t="inlineStr">
        <is>
          <t>NULL</t>
        </is>
      </c>
      <c r="G961" s="0" t="inlineStr">
        <is>
          <t>NULL</t>
        </is>
      </c>
      <c r="H961" s="0" t="inlineStr">
        <is>
          <t>NULL</t>
        </is>
      </c>
      <c r="I961" s="0" t="inlineStr">
        <is>
          <t>NULL</t>
        </is>
      </c>
      <c r="J961" s="0" t="inlineStr">
        <is>
          <t>NULL</t>
        </is>
      </c>
      <c r="K961" s="0" t="inlineStr">
        <is>
          <t>YES! 	 c_time4列源备映射正确，源端为time None位	期望更改为time(n)	实际备端为time None位</t>
        </is>
      </c>
    </row>
    <row r="962">
      <c r="B962" s="0" t="inlineStr">
        <is>
          <t>NULL</t>
        </is>
      </c>
      <c r="C962" s="0" t="inlineStr">
        <is>
          <t>NULL</t>
        </is>
      </c>
      <c r="D962" s="0" t="inlineStr">
        <is>
          <t>NULL</t>
        </is>
      </c>
      <c r="E962" s="0" t="inlineStr">
        <is>
          <t>NULL</t>
        </is>
      </c>
      <c r="F962" s="0" t="inlineStr">
        <is>
          <t>NULL</t>
        </is>
      </c>
      <c r="G962" s="0" t="inlineStr">
        <is>
          <t>NULL</t>
        </is>
      </c>
      <c r="H962" s="0" t="inlineStr">
        <is>
          <t>NULL</t>
        </is>
      </c>
      <c r="I962" s="0" t="inlineStr">
        <is>
          <t>NULL</t>
        </is>
      </c>
      <c r="J962" s="0" t="inlineStr">
        <is>
          <t>NULL</t>
        </is>
      </c>
      <c r="K962" s="0" t="inlineStr">
        <is>
          <t>YES! 	 c_time5列源备映射正确，源端为time None位	期望更改为time(n)	实际备端为time None位</t>
        </is>
      </c>
    </row>
    <row r="963">
      <c r="B963" s="0" t="inlineStr">
        <is>
          <t>NULL</t>
        </is>
      </c>
      <c r="C963" s="0" t="inlineStr">
        <is>
          <t>NULL</t>
        </is>
      </c>
      <c r="D963" s="0" t="inlineStr">
        <is>
          <t>NULL</t>
        </is>
      </c>
      <c r="E963" s="0" t="inlineStr">
        <is>
          <t>NULL</t>
        </is>
      </c>
      <c r="F963" s="0" t="inlineStr">
        <is>
          <t>NULL</t>
        </is>
      </c>
      <c r="G963" s="0" t="inlineStr">
        <is>
          <t>NULL</t>
        </is>
      </c>
      <c r="H963" s="0" t="inlineStr">
        <is>
          <t>NULL</t>
        </is>
      </c>
      <c r="I963" s="0" t="inlineStr">
        <is>
          <t>NULL</t>
        </is>
      </c>
      <c r="J963" s="0" t="inlineStr">
        <is>
          <t>NULL</t>
        </is>
      </c>
      <c r="K963" s="0" t="inlineStr">
        <is>
          <t>YES! 	 c_time6列源备映射正确，源端为time None位	期望更改为time(n)	实际备端为time None位</t>
        </is>
      </c>
    </row>
    <row r="964">
      <c r="B964" s="0" t="inlineStr">
        <is>
          <t>NULL</t>
        </is>
      </c>
      <c r="C964" s="0" t="inlineStr">
        <is>
          <t>NULL</t>
        </is>
      </c>
      <c r="D964" s="0" t="inlineStr">
        <is>
          <t>NULL</t>
        </is>
      </c>
      <c r="E964" s="0" t="inlineStr">
        <is>
          <t>NULL</t>
        </is>
      </c>
      <c r="F964" s="0" t="inlineStr">
        <is>
          <t>NULL</t>
        </is>
      </c>
      <c r="G964" s="0" t="inlineStr">
        <is>
          <t>NULL</t>
        </is>
      </c>
      <c r="H964" s="0" t="inlineStr">
        <is>
          <t>NULL</t>
        </is>
      </c>
      <c r="I964" s="0" t="inlineStr">
        <is>
          <t>NULL</t>
        </is>
      </c>
      <c r="J964" s="0" t="inlineStr">
        <is>
          <t>NULL</t>
        </is>
      </c>
      <c r="K964" s="0" t="inlineStr">
        <is>
          <t>YES! 	 c_time列源备映射正确，源端为time None位	期望更改为time(n)	实际备端为time None位</t>
        </is>
      </c>
    </row>
    <row r="965">
      <c r="A965" s="0" t="inlineStr">
        <is>
          <t>info_text_dml_single_nopk_irp</t>
        </is>
      </c>
      <c r="K965" s="0" t="inlineStr">
        <is>
          <t>[0;34m info_text_dml_single_nopk_irp [0m源备字段数相同，源端字段：3 	备端字段3</t>
        </is>
      </c>
      <c r="W965" s="0" t="inlineStr">
        <is>
          <t>YES 源备无差异</t>
        </is>
      </c>
      <c r="X965" s="0">
        <f>A965</f>
        <v/>
      </c>
    </row>
    <row r="966">
      <c r="B966" s="0" t="inlineStr">
        <is>
          <t>NULL</t>
        </is>
      </c>
      <c r="C966" s="0" t="inlineStr">
        <is>
          <t>NULL</t>
        </is>
      </c>
      <c r="D966" s="0" t="inlineStr">
        <is>
          <t>NULL</t>
        </is>
      </c>
      <c r="E966" s="0" t="inlineStr">
        <is>
          <t>NULL</t>
        </is>
      </c>
      <c r="F966" s="0" t="inlineStr">
        <is>
          <t>NULL</t>
        </is>
      </c>
      <c r="G966" s="0" t="inlineStr">
        <is>
          <t>NULL</t>
        </is>
      </c>
      <c r="H966" s="0" t="inlineStr">
        <is>
          <t>NULL</t>
        </is>
      </c>
      <c r="I966" s="0" t="inlineStr">
        <is>
          <t>NULL</t>
        </is>
      </c>
      <c r="J966" s="0" t="inlineStr">
        <is>
          <t>NULL</t>
        </is>
      </c>
      <c r="K966" s="0" t="inlineStr">
        <is>
          <t>YES! 	 id列源备映射正确，源端为int None位	期望更改为int	实际备端为int None位</t>
        </is>
      </c>
    </row>
    <row r="967">
      <c r="B967" s="0" t="inlineStr">
        <is>
          <t>NULL</t>
        </is>
      </c>
      <c r="C967" s="0" t="inlineStr">
        <is>
          <t>NULL</t>
        </is>
      </c>
      <c r="D967" s="0" t="inlineStr">
        <is>
          <t>NULL</t>
        </is>
      </c>
      <c r="E967" s="0" t="inlineStr">
        <is>
          <t>NULL</t>
        </is>
      </c>
      <c r="F967" s="0" t="inlineStr">
        <is>
          <t>NULL</t>
        </is>
      </c>
      <c r="G967" s="0" t="inlineStr">
        <is>
          <t>NULL</t>
        </is>
      </c>
      <c r="H967" s="0" t="inlineStr">
        <is>
          <t>NULL</t>
        </is>
      </c>
      <c r="I967" s="0" t="inlineStr">
        <is>
          <t>NULL</t>
        </is>
      </c>
      <c r="J967" s="0" t="inlineStr">
        <is>
          <t>NULL</t>
        </is>
      </c>
      <c r="K967" s="0" t="inlineStr">
        <is>
          <t>YES! 	 c_text列源备映射正确，源端为text 2147483647位	期望更改为text	实际备端为text 2147483647位</t>
        </is>
      </c>
    </row>
    <row r="968">
      <c r="B968" s="0" t="inlineStr">
        <is>
          <t>NULL</t>
        </is>
      </c>
      <c r="C968" s="0" t="inlineStr">
        <is>
          <t>NULL</t>
        </is>
      </c>
      <c r="D968" s="0" t="inlineStr">
        <is>
          <t>NULL</t>
        </is>
      </c>
      <c r="E968" s="0" t="inlineStr">
        <is>
          <t>NULL</t>
        </is>
      </c>
      <c r="F968" s="0" t="inlineStr">
        <is>
          <t>NULL</t>
        </is>
      </c>
      <c r="G968" s="0" t="inlineStr">
        <is>
          <t>NULL</t>
        </is>
      </c>
      <c r="H968" s="0" t="inlineStr">
        <is>
          <t>NULL</t>
        </is>
      </c>
      <c r="I968" s="0" t="inlineStr">
        <is>
          <t>NULL</t>
        </is>
      </c>
      <c r="J968" s="0" t="inlineStr">
        <is>
          <t>NULL</t>
        </is>
      </c>
      <c r="K968" s="0" t="inlineStr">
        <is>
          <t>YES! 	 c_ntext列源备映射正确，源端为ntext 2147483646位	期望更改为ntext	实际备端为ntext 2147483646位</t>
        </is>
      </c>
    </row>
    <row r="969">
      <c r="A969" s="0" t="inlineStr">
        <is>
          <t>info_uniqueidentifier_dml_single_nopk_irp</t>
        </is>
      </c>
      <c r="K969" s="0" t="inlineStr">
        <is>
          <t>[0;34m info_uniqueidentifier_dml_single_nopk_irp [0m源备字段数相同，源端字段：2 	备端字段2</t>
        </is>
      </c>
      <c r="W969" s="0" t="inlineStr">
        <is>
          <t>YES 源备无差异</t>
        </is>
      </c>
      <c r="X969" s="0">
        <f>A969</f>
        <v/>
      </c>
    </row>
    <row r="970">
      <c r="B970" s="0" t="inlineStr">
        <is>
          <t>NULL</t>
        </is>
      </c>
      <c r="C970" s="0" t="inlineStr">
        <is>
          <t>NULL</t>
        </is>
      </c>
      <c r="D970" s="0" t="inlineStr">
        <is>
          <t>NULL</t>
        </is>
      </c>
      <c r="E970" s="0" t="inlineStr">
        <is>
          <t>NULL</t>
        </is>
      </c>
      <c r="F970" s="0" t="inlineStr">
        <is>
          <t>NULL</t>
        </is>
      </c>
      <c r="G970" s="0" t="inlineStr">
        <is>
          <t>NULL</t>
        </is>
      </c>
      <c r="H970" s="0" t="inlineStr">
        <is>
          <t>NULL</t>
        </is>
      </c>
      <c r="I970" s="0" t="inlineStr">
        <is>
          <t>NULL</t>
        </is>
      </c>
      <c r="J970" s="0" t="inlineStr">
        <is>
          <t>NULL</t>
        </is>
      </c>
      <c r="K970" s="0" t="inlineStr">
        <is>
          <t>YES! 	 id列源备映射正确，源端为int None位	期望更改为int	实际备端为int None位</t>
        </is>
      </c>
    </row>
    <row r="971">
      <c r="B971" s="0" t="inlineStr">
        <is>
          <t>NULL</t>
        </is>
      </c>
      <c r="C971" s="0" t="inlineStr">
        <is>
          <t>NULL</t>
        </is>
      </c>
      <c r="D971" s="0" t="inlineStr">
        <is>
          <t>NULL</t>
        </is>
      </c>
      <c r="E971" s="0" t="inlineStr">
        <is>
          <t>NULL</t>
        </is>
      </c>
      <c r="F971" s="0" t="inlineStr">
        <is>
          <t>NULL</t>
        </is>
      </c>
      <c r="G971" s="0" t="inlineStr">
        <is>
          <t>NULL</t>
        </is>
      </c>
      <c r="H971" s="0" t="inlineStr">
        <is>
          <t>NULL</t>
        </is>
      </c>
      <c r="I971" s="0" t="inlineStr">
        <is>
          <t>NULL</t>
        </is>
      </c>
      <c r="J971" s="0" t="inlineStr">
        <is>
          <t>NULL</t>
        </is>
      </c>
      <c r="K971" s="0" t="inlineStr">
        <is>
          <t>YES! 	 c_uniqueidentifier列源备映射正确，源端为uniqueidentifier None位	期望更改为uniqueidentifier	实际备端为uniqueidentifier None位</t>
        </is>
      </c>
    </row>
    <row r="972">
      <c r="A972" s="0" t="inlineStr">
        <is>
          <t>info_datetime2_dml_batch2_pk_irp1</t>
        </is>
      </c>
      <c r="K972" s="0" t="inlineStr">
        <is>
          <t>[0;34m info_datetime2_dml_batch2_pk_irp1 [0m源备字段数相同，源端字段：9 	备端字段9</t>
        </is>
      </c>
      <c r="W972" s="0" t="inlineStr">
        <is>
          <t>YES 源备无差异</t>
        </is>
      </c>
      <c r="X972" s="0">
        <f>A972</f>
        <v/>
      </c>
    </row>
    <row r="973">
      <c r="B973" s="0" t="inlineStr">
        <is>
          <t>YES</t>
        </is>
      </c>
      <c r="C973" s="0" t="inlineStr">
        <is>
          <t>NULL</t>
        </is>
      </c>
      <c r="D973" s="0" t="inlineStr">
        <is>
          <t>NULL</t>
        </is>
      </c>
      <c r="E973" s="0" t="inlineStr">
        <is>
          <t>NULL</t>
        </is>
      </c>
      <c r="F973" s="0" t="inlineStr">
        <is>
          <t>NULL</t>
        </is>
      </c>
      <c r="G973" s="0" t="inlineStr">
        <is>
          <t>NULL</t>
        </is>
      </c>
      <c r="H973" s="0" t="inlineStr">
        <is>
          <t>NULL</t>
        </is>
      </c>
      <c r="I973" s="0" t="inlineStr">
        <is>
          <t>YES!PK__info_dat__3213E83FD21814D0</t>
        </is>
      </c>
      <c r="J973" s="0" t="inlineStr">
        <is>
          <t>YES! 主键相关索引</t>
        </is>
      </c>
      <c r="K973" s="0" t="inlineStr">
        <is>
          <t>YES! 	 id列源备映射正确，源端为int None位	期望更改为int	实际备端为int None位</t>
        </is>
      </c>
    </row>
    <row r="974">
      <c r="B974" s="0" t="inlineStr">
        <is>
          <t>NULL</t>
        </is>
      </c>
      <c r="C974" s="0" t="inlineStr">
        <is>
          <t>NULL</t>
        </is>
      </c>
      <c r="D974" s="0" t="inlineStr">
        <is>
          <t>NULL</t>
        </is>
      </c>
      <c r="E974" s="0" t="inlineStr">
        <is>
          <t>NULL</t>
        </is>
      </c>
      <c r="F974" s="0" t="inlineStr">
        <is>
          <t>NULL</t>
        </is>
      </c>
      <c r="G974" s="0" t="inlineStr">
        <is>
          <t>NULL</t>
        </is>
      </c>
      <c r="H974" s="0" t="inlineStr">
        <is>
          <t>NULL</t>
        </is>
      </c>
      <c r="I974" s="0" t="inlineStr">
        <is>
          <t>NULL</t>
        </is>
      </c>
      <c r="J974" s="0" t="inlineStr">
        <is>
          <t>NULL</t>
        </is>
      </c>
      <c r="K974" s="0" t="inlineStr">
        <is>
          <t>no,len不存在</t>
        </is>
      </c>
    </row>
    <row r="975">
      <c r="B975" s="0" t="inlineStr">
        <is>
          <t>NULL</t>
        </is>
      </c>
      <c r="C975" s="0" t="inlineStr">
        <is>
          <t>NULL</t>
        </is>
      </c>
      <c r="D975" s="0" t="inlineStr">
        <is>
          <t>NULL</t>
        </is>
      </c>
      <c r="E975" s="0" t="inlineStr">
        <is>
          <t>NULL</t>
        </is>
      </c>
      <c r="F975" s="0" t="inlineStr">
        <is>
          <t>NULL</t>
        </is>
      </c>
      <c r="G975" s="0" t="inlineStr">
        <is>
          <t>NULL</t>
        </is>
      </c>
      <c r="H975" s="0" t="inlineStr">
        <is>
          <t>NULL</t>
        </is>
      </c>
      <c r="I975" s="0" t="inlineStr">
        <is>
          <t>NULL</t>
        </is>
      </c>
      <c r="J975" s="0" t="inlineStr">
        <is>
          <t>NULL</t>
        </is>
      </c>
      <c r="K975" s="0" t="inlineStr">
        <is>
          <t>YES! 	 c_dt2_1列源备映射正确，源端为datetime2 None位	期望更改为datetime2(n)	实际备端为datetime2 None位</t>
        </is>
      </c>
    </row>
    <row r="976">
      <c r="B976" s="0" t="inlineStr">
        <is>
          <t>NULL</t>
        </is>
      </c>
      <c r="C976" s="0" t="inlineStr">
        <is>
          <t>NULL</t>
        </is>
      </c>
      <c r="D976" s="0" t="inlineStr">
        <is>
          <t>NULL</t>
        </is>
      </c>
      <c r="E976" s="0" t="inlineStr">
        <is>
          <t>NULL</t>
        </is>
      </c>
      <c r="F976" s="0" t="inlineStr">
        <is>
          <t>NULL</t>
        </is>
      </c>
      <c r="G976" s="0" t="inlineStr">
        <is>
          <t>NULL</t>
        </is>
      </c>
      <c r="H976" s="0" t="inlineStr">
        <is>
          <t>NULL</t>
        </is>
      </c>
      <c r="I976" s="0" t="inlineStr">
        <is>
          <t>NULL</t>
        </is>
      </c>
      <c r="J976" s="0" t="inlineStr">
        <is>
          <t>NULL</t>
        </is>
      </c>
      <c r="K976" s="0" t="inlineStr">
        <is>
          <t>YES! 	 c_dt2_2列源备映射正确，源端为datetime2 None位	期望更改为datetime2(n)	实际备端为datetime2 None位</t>
        </is>
      </c>
    </row>
    <row r="977">
      <c r="B977" s="0" t="inlineStr">
        <is>
          <t>NULL</t>
        </is>
      </c>
      <c r="C977" s="0" t="inlineStr">
        <is>
          <t>NULL</t>
        </is>
      </c>
      <c r="D977" s="0" t="inlineStr">
        <is>
          <t>NULL</t>
        </is>
      </c>
      <c r="E977" s="0" t="inlineStr">
        <is>
          <t>NULL</t>
        </is>
      </c>
      <c r="F977" s="0" t="inlineStr">
        <is>
          <t>NULL</t>
        </is>
      </c>
      <c r="G977" s="0" t="inlineStr">
        <is>
          <t>NULL</t>
        </is>
      </c>
      <c r="H977" s="0" t="inlineStr">
        <is>
          <t>NULL</t>
        </is>
      </c>
      <c r="I977" s="0" t="inlineStr">
        <is>
          <t>NULL</t>
        </is>
      </c>
      <c r="J977" s="0" t="inlineStr">
        <is>
          <t>NULL</t>
        </is>
      </c>
      <c r="K977" s="0" t="inlineStr">
        <is>
          <t>YES! 	 c_dt2_3列源备映射正确，源端为datetime2 None位	期望更改为datetime2(n)	实际备端为datetime2 None位</t>
        </is>
      </c>
    </row>
    <row r="978">
      <c r="B978" s="0" t="inlineStr">
        <is>
          <t>NULL</t>
        </is>
      </c>
      <c r="C978" s="0" t="inlineStr">
        <is>
          <t>NULL</t>
        </is>
      </c>
      <c r="D978" s="0" t="inlineStr">
        <is>
          <t>NULL</t>
        </is>
      </c>
      <c r="E978" s="0" t="inlineStr">
        <is>
          <t>NULL</t>
        </is>
      </c>
      <c r="F978" s="0" t="inlineStr">
        <is>
          <t>NULL</t>
        </is>
      </c>
      <c r="G978" s="0" t="inlineStr">
        <is>
          <t>NULL</t>
        </is>
      </c>
      <c r="H978" s="0" t="inlineStr">
        <is>
          <t>NULL</t>
        </is>
      </c>
      <c r="I978" s="0" t="inlineStr">
        <is>
          <t>NULL</t>
        </is>
      </c>
      <c r="J978" s="0" t="inlineStr">
        <is>
          <t>NULL</t>
        </is>
      </c>
      <c r="K978" s="0" t="inlineStr">
        <is>
          <t>YES! 	 c_dt2_4列源备映射正确，源端为datetime2 None位	期望更改为datetime2(n)	实际备端为datetime2 None位</t>
        </is>
      </c>
    </row>
    <row r="979">
      <c r="B979" s="0" t="inlineStr">
        <is>
          <t>NULL</t>
        </is>
      </c>
      <c r="C979" s="0" t="inlineStr">
        <is>
          <t>NULL</t>
        </is>
      </c>
      <c r="D979" s="0" t="inlineStr">
        <is>
          <t>NULL</t>
        </is>
      </c>
      <c r="E979" s="0" t="inlineStr">
        <is>
          <t>NULL</t>
        </is>
      </c>
      <c r="F979" s="0" t="inlineStr">
        <is>
          <t>NULL</t>
        </is>
      </c>
      <c r="G979" s="0" t="inlineStr">
        <is>
          <t>NULL</t>
        </is>
      </c>
      <c r="H979" s="0" t="inlineStr">
        <is>
          <t>NULL</t>
        </is>
      </c>
      <c r="I979" s="0" t="inlineStr">
        <is>
          <t>NULL</t>
        </is>
      </c>
      <c r="J979" s="0" t="inlineStr">
        <is>
          <t>NULL</t>
        </is>
      </c>
      <c r="K979" s="0" t="inlineStr">
        <is>
          <t>YES! 	 c_dt2_5列源备映射正确，源端为datetime2 None位	期望更改为datetime2(n)	实际备端为datetime2 None位</t>
        </is>
      </c>
    </row>
    <row r="980">
      <c r="B980" s="0" t="inlineStr">
        <is>
          <t>NULL</t>
        </is>
      </c>
      <c r="C980" s="0" t="inlineStr">
        <is>
          <t>NULL</t>
        </is>
      </c>
      <c r="D980" s="0" t="inlineStr">
        <is>
          <t>NULL</t>
        </is>
      </c>
      <c r="E980" s="0" t="inlineStr">
        <is>
          <t>NULL</t>
        </is>
      </c>
      <c r="F980" s="0" t="inlineStr">
        <is>
          <t>NULL</t>
        </is>
      </c>
      <c r="G980" s="0" t="inlineStr">
        <is>
          <t>NULL</t>
        </is>
      </c>
      <c r="H980" s="0" t="inlineStr">
        <is>
          <t>NULL</t>
        </is>
      </c>
      <c r="I980" s="0" t="inlineStr">
        <is>
          <t>NULL</t>
        </is>
      </c>
      <c r="J980" s="0" t="inlineStr">
        <is>
          <t>NULL</t>
        </is>
      </c>
      <c r="K980" s="0" t="inlineStr">
        <is>
          <t>YES! 	 c_dt2_6列源备映射正确，源端为datetime2 None位	期望更改为datetime2(n)	实际备端为datetime2 None位</t>
        </is>
      </c>
    </row>
    <row r="981">
      <c r="B981" s="0" t="inlineStr">
        <is>
          <t>NULL</t>
        </is>
      </c>
      <c r="C981" s="0" t="inlineStr">
        <is>
          <t>NULL</t>
        </is>
      </c>
      <c r="D981" s="0" t="inlineStr">
        <is>
          <t>NULL</t>
        </is>
      </c>
      <c r="E981" s="0" t="inlineStr">
        <is>
          <t>NULL</t>
        </is>
      </c>
      <c r="F981" s="0" t="inlineStr">
        <is>
          <t>NULL</t>
        </is>
      </c>
      <c r="G981" s="0" t="inlineStr">
        <is>
          <t>NULL</t>
        </is>
      </c>
      <c r="H981" s="0" t="inlineStr">
        <is>
          <t>NULL</t>
        </is>
      </c>
      <c r="I981" s="0" t="inlineStr">
        <is>
          <t>NULL</t>
        </is>
      </c>
      <c r="J981" s="0" t="inlineStr">
        <is>
          <t>NULL</t>
        </is>
      </c>
      <c r="K981" s="0" t="inlineStr">
        <is>
          <t>YES! 	 c_dt2列源备映射正确，源端为datetime2 None位	期望更改为datetime2(n)	实际备端为datetime2 None位</t>
        </is>
      </c>
    </row>
    <row r="982">
      <c r="A982" s="0" t="inlineStr">
        <is>
          <t>info_text_dml_single_nopk_urp</t>
        </is>
      </c>
      <c r="K982" s="0" t="inlineStr">
        <is>
          <t>[0;34m info_text_dml_single_nopk_urp [0m源备字段数相同，源端字段：3 	备端字段3</t>
        </is>
      </c>
      <c r="W982" s="0" t="inlineStr">
        <is>
          <t>YES 源备无差异</t>
        </is>
      </c>
      <c r="X982" s="0">
        <f>A982</f>
        <v/>
      </c>
    </row>
    <row r="983">
      <c r="B983" s="0" t="inlineStr">
        <is>
          <t>NULL</t>
        </is>
      </c>
      <c r="C983" s="0" t="inlineStr">
        <is>
          <t>NULL</t>
        </is>
      </c>
      <c r="D983" s="0" t="inlineStr">
        <is>
          <t>NULL</t>
        </is>
      </c>
      <c r="E983" s="0" t="inlineStr">
        <is>
          <t>NULL</t>
        </is>
      </c>
      <c r="F983" s="0" t="inlineStr">
        <is>
          <t>NULL</t>
        </is>
      </c>
      <c r="G983" s="0" t="inlineStr">
        <is>
          <t>NULL</t>
        </is>
      </c>
      <c r="H983" s="0" t="inlineStr">
        <is>
          <t>NULL</t>
        </is>
      </c>
      <c r="I983" s="0" t="inlineStr">
        <is>
          <t>NULL</t>
        </is>
      </c>
      <c r="J983" s="0" t="inlineStr">
        <is>
          <t>NULL</t>
        </is>
      </c>
      <c r="K983" s="0" t="inlineStr">
        <is>
          <t>YES! 	 id列源备映射正确，源端为int None位	期望更改为int	实际备端为int None位</t>
        </is>
      </c>
    </row>
    <row r="984">
      <c r="B984" s="0" t="inlineStr">
        <is>
          <t>NULL</t>
        </is>
      </c>
      <c r="C984" s="0" t="inlineStr">
        <is>
          <t>NULL</t>
        </is>
      </c>
      <c r="D984" s="0" t="inlineStr">
        <is>
          <t>NULL</t>
        </is>
      </c>
      <c r="E984" s="0" t="inlineStr">
        <is>
          <t>NULL</t>
        </is>
      </c>
      <c r="F984" s="0" t="inlineStr">
        <is>
          <t>NULL</t>
        </is>
      </c>
      <c r="G984" s="0" t="inlineStr">
        <is>
          <t>NULL</t>
        </is>
      </c>
      <c r="H984" s="0" t="inlineStr">
        <is>
          <t>NULL</t>
        </is>
      </c>
      <c r="I984" s="0" t="inlineStr">
        <is>
          <t>NULL</t>
        </is>
      </c>
      <c r="J984" s="0" t="inlineStr">
        <is>
          <t>NULL</t>
        </is>
      </c>
      <c r="K984" s="0" t="inlineStr">
        <is>
          <t>YES! 	 c_text列源备映射正确，源端为text 2147483647位	期望更改为text	实际备端为text 2147483647位</t>
        </is>
      </c>
    </row>
    <row r="985">
      <c r="B985" s="0" t="inlineStr">
        <is>
          <t>NULL</t>
        </is>
      </c>
      <c r="C985" s="0" t="inlineStr">
        <is>
          <t>NULL</t>
        </is>
      </c>
      <c r="D985" s="0" t="inlineStr">
        <is>
          <t>NULL</t>
        </is>
      </c>
      <c r="E985" s="0" t="inlineStr">
        <is>
          <t>NULL</t>
        </is>
      </c>
      <c r="F985" s="0" t="inlineStr">
        <is>
          <t>NULL</t>
        </is>
      </c>
      <c r="G985" s="0" t="inlineStr">
        <is>
          <t>NULL</t>
        </is>
      </c>
      <c r="H985" s="0" t="inlineStr">
        <is>
          <t>NULL</t>
        </is>
      </c>
      <c r="I985" s="0" t="inlineStr">
        <is>
          <t>NULL</t>
        </is>
      </c>
      <c r="J985" s="0" t="inlineStr">
        <is>
          <t>NULL</t>
        </is>
      </c>
      <c r="K985" s="0" t="inlineStr">
        <is>
          <t>YES! 	 c_ntext列源备映射正确，源端为ntext 2147483646位	期望更改为ntext	实际备端为ntext 2147483646位</t>
        </is>
      </c>
    </row>
    <row r="986">
      <c r="A986" s="0" t="inlineStr">
        <is>
          <t>info_nchar_dml_batch1_pk_drp2</t>
        </is>
      </c>
      <c r="K986" s="0" t="inlineStr">
        <is>
          <t>[0;34m info_nchar_dml_batch1_pk_drp2 [0m源备字段数相同，源端字段：4 	备端字段4</t>
        </is>
      </c>
      <c r="W986" s="0" t="inlineStr">
        <is>
          <t>YES 源备无差异</t>
        </is>
      </c>
      <c r="X986" s="0">
        <f>A986</f>
        <v/>
      </c>
    </row>
    <row r="987">
      <c r="B987" s="0" t="inlineStr">
        <is>
          <t>YES</t>
        </is>
      </c>
      <c r="C987" s="0" t="inlineStr">
        <is>
          <t>NULL</t>
        </is>
      </c>
      <c r="D987" s="0" t="inlineStr">
        <is>
          <t>NULL</t>
        </is>
      </c>
      <c r="E987" s="0" t="inlineStr">
        <is>
          <t>NULL</t>
        </is>
      </c>
      <c r="F987" s="0" t="inlineStr">
        <is>
          <t>NULL</t>
        </is>
      </c>
      <c r="G987" s="0" t="inlineStr">
        <is>
          <t>NULL</t>
        </is>
      </c>
      <c r="H987" s="0" t="inlineStr">
        <is>
          <t>NULL</t>
        </is>
      </c>
      <c r="I987" s="0" t="inlineStr">
        <is>
          <t>YES!PK__info_nch__3213E83F73BB4B53</t>
        </is>
      </c>
      <c r="J987" s="0" t="inlineStr">
        <is>
          <t>YES! 主键相关索引</t>
        </is>
      </c>
      <c r="K987" s="0" t="inlineStr">
        <is>
          <t>YES! 	 id列源备映射正确，源端为int None位	期望更改为int	实际备端为int None位</t>
        </is>
      </c>
    </row>
    <row r="988">
      <c r="B988" s="0" t="inlineStr">
        <is>
          <t>NULL</t>
        </is>
      </c>
      <c r="C988" s="0" t="inlineStr">
        <is>
          <t>NULL</t>
        </is>
      </c>
      <c r="D988" s="0" t="inlineStr">
        <is>
          <t>NULL</t>
        </is>
      </c>
      <c r="E988" s="0" t="inlineStr">
        <is>
          <t>NULL</t>
        </is>
      </c>
      <c r="F988" s="0" t="inlineStr">
        <is>
          <t>NULL</t>
        </is>
      </c>
      <c r="G988" s="0" t="inlineStr">
        <is>
          <t>NULL</t>
        </is>
      </c>
      <c r="H988" s="0" t="inlineStr">
        <is>
          <t>NULL</t>
        </is>
      </c>
      <c r="I988" s="0" t="inlineStr">
        <is>
          <t>NULL</t>
        </is>
      </c>
      <c r="J988" s="0" t="inlineStr">
        <is>
          <t>NULL</t>
        </is>
      </c>
      <c r="K988" s="0" t="inlineStr">
        <is>
          <t>YES! 	 c_nchar列源备映射正确，源端为nchar 2位	期望更改为nchar(n)	实际备端为nchar 2位</t>
        </is>
      </c>
    </row>
    <row r="989">
      <c r="B989" s="0" t="inlineStr">
        <is>
          <t>NULL</t>
        </is>
      </c>
      <c r="C989" s="0" t="inlineStr">
        <is>
          <t>NULL</t>
        </is>
      </c>
      <c r="D989" s="0" t="inlineStr">
        <is>
          <t>NULL</t>
        </is>
      </c>
      <c r="E989" s="0" t="inlineStr">
        <is>
          <t>NULL</t>
        </is>
      </c>
      <c r="F989" s="0" t="inlineStr">
        <is>
          <t>NULL</t>
        </is>
      </c>
      <c r="G989" s="0" t="inlineStr">
        <is>
          <t>NULL</t>
        </is>
      </c>
      <c r="H989" s="0" t="inlineStr">
        <is>
          <t>NULL</t>
        </is>
      </c>
      <c r="I989" s="0" t="inlineStr">
        <is>
          <t>NULL</t>
        </is>
      </c>
      <c r="J989" s="0" t="inlineStr">
        <is>
          <t>NULL</t>
        </is>
      </c>
      <c r="K989" s="0" t="inlineStr">
        <is>
          <t>YES! 	 c_nchar20列源备映射正确，源端为nchar 40位	期望更改为nchar(n)	实际备端为nchar 40位</t>
        </is>
      </c>
    </row>
    <row r="990">
      <c r="B990" s="0" t="inlineStr">
        <is>
          <t>NULL</t>
        </is>
      </c>
      <c r="C990" s="0" t="inlineStr">
        <is>
          <t>NULL</t>
        </is>
      </c>
      <c r="D990" s="0" t="inlineStr">
        <is>
          <t>NULL</t>
        </is>
      </c>
      <c r="E990" s="0" t="inlineStr">
        <is>
          <t>NULL</t>
        </is>
      </c>
      <c r="F990" s="0" t="inlineStr">
        <is>
          <t>NULL</t>
        </is>
      </c>
      <c r="G990" s="0" t="inlineStr">
        <is>
          <t>NULL</t>
        </is>
      </c>
      <c r="H990" s="0" t="inlineStr">
        <is>
          <t>NULL</t>
        </is>
      </c>
      <c r="I990" s="0" t="inlineStr">
        <is>
          <t>NULL</t>
        </is>
      </c>
      <c r="J990" s="0" t="inlineStr">
        <is>
          <t>NULL</t>
        </is>
      </c>
      <c r="K990" s="0" t="inlineStr">
        <is>
          <t>YES! 	 c_nchar3500列源备映射正确，源端为nchar 7000位	期望更改为nchar(n)	实际备端为nchar 7000位</t>
        </is>
      </c>
    </row>
    <row r="991">
      <c r="A991" s="0" t="inlineStr">
        <is>
          <t>info_uniqueidentifier_dml_single_nopk_urp</t>
        </is>
      </c>
      <c r="K991" s="0" t="inlineStr">
        <is>
          <t>[0;34m info_uniqueidentifier_dml_single_nopk_urp [0m源备字段数相同，源端字段：2 	备端字段2</t>
        </is>
      </c>
      <c r="W991" s="0" t="inlineStr">
        <is>
          <t>YES 源备无差异</t>
        </is>
      </c>
      <c r="X991" s="0">
        <f>A991</f>
        <v/>
      </c>
    </row>
    <row r="992">
      <c r="B992" s="0" t="inlineStr">
        <is>
          <t>NULL</t>
        </is>
      </c>
      <c r="C992" s="0" t="inlineStr">
        <is>
          <t>NULL</t>
        </is>
      </c>
      <c r="D992" s="0" t="inlineStr">
        <is>
          <t>NULL</t>
        </is>
      </c>
      <c r="E992" s="0" t="inlineStr">
        <is>
          <t>NULL</t>
        </is>
      </c>
      <c r="F992" s="0" t="inlineStr">
        <is>
          <t>NULL</t>
        </is>
      </c>
      <c r="G992" s="0" t="inlineStr">
        <is>
          <t>NULL</t>
        </is>
      </c>
      <c r="H992" s="0" t="inlineStr">
        <is>
          <t>NULL</t>
        </is>
      </c>
      <c r="I992" s="0" t="inlineStr">
        <is>
          <t>NULL</t>
        </is>
      </c>
      <c r="J992" s="0" t="inlineStr">
        <is>
          <t>NULL</t>
        </is>
      </c>
      <c r="K992" s="0" t="inlineStr">
        <is>
          <t>YES! 	 id列源备映射正确，源端为int None位	期望更改为int	实际备端为int None位</t>
        </is>
      </c>
    </row>
    <row r="993">
      <c r="B993" s="0" t="inlineStr">
        <is>
          <t>NULL</t>
        </is>
      </c>
      <c r="C993" s="0" t="inlineStr">
        <is>
          <t>NULL</t>
        </is>
      </c>
      <c r="D993" s="0" t="inlineStr">
        <is>
          <t>NULL</t>
        </is>
      </c>
      <c r="E993" s="0" t="inlineStr">
        <is>
          <t>NULL</t>
        </is>
      </c>
      <c r="F993" s="0" t="inlineStr">
        <is>
          <t>NULL</t>
        </is>
      </c>
      <c r="G993" s="0" t="inlineStr">
        <is>
          <t>NULL</t>
        </is>
      </c>
      <c r="H993" s="0" t="inlineStr">
        <is>
          <t>NULL</t>
        </is>
      </c>
      <c r="I993" s="0" t="inlineStr">
        <is>
          <t>NULL</t>
        </is>
      </c>
      <c r="J993" s="0" t="inlineStr">
        <is>
          <t>NULL</t>
        </is>
      </c>
      <c r="K993" s="0" t="inlineStr">
        <is>
          <t>YES! 	 c_uniqueidentifier列源备映射正确，源端为uniqueidentifier None位	期望更改为uniqueidentifier	实际备端为uniqueidentifier None位</t>
        </is>
      </c>
    </row>
    <row r="994">
      <c r="A994" s="0" t="inlineStr">
        <is>
          <t>info_time_dml_single_pk</t>
        </is>
      </c>
      <c r="K994" s="0" t="inlineStr">
        <is>
          <t>[0;34m info_time_dml_single_pk [0m源备字段数相同，源端字段：9 	备端字段9</t>
        </is>
      </c>
      <c r="W994" s="0" t="inlineStr">
        <is>
          <t>YES 源备无差异</t>
        </is>
      </c>
      <c r="X994" s="0">
        <f>A994</f>
        <v/>
      </c>
    </row>
    <row r="995">
      <c r="B995" s="0" t="inlineStr">
        <is>
          <t>YES</t>
        </is>
      </c>
      <c r="C995" s="0" t="inlineStr">
        <is>
          <t>NULL</t>
        </is>
      </c>
      <c r="D995" s="0" t="inlineStr">
        <is>
          <t>NULL</t>
        </is>
      </c>
      <c r="E995" s="0" t="inlineStr">
        <is>
          <t>NULL</t>
        </is>
      </c>
      <c r="F995" s="0" t="inlineStr">
        <is>
          <t>NULL</t>
        </is>
      </c>
      <c r="G995" s="0" t="inlineStr">
        <is>
          <t>NULL</t>
        </is>
      </c>
      <c r="H995" s="0" t="inlineStr">
        <is>
          <t>NULL</t>
        </is>
      </c>
      <c r="I995" s="0" t="inlineStr">
        <is>
          <t>YES!PK__info_tim__3213E83F4F90D1A9</t>
        </is>
      </c>
      <c r="J995" s="0" t="inlineStr">
        <is>
          <t>YES! 主键相关索引</t>
        </is>
      </c>
      <c r="K995" s="0" t="inlineStr">
        <is>
          <t>YES! 	 id列源备映射正确，源端为int None位	期望更改为int	实际备端为int None位</t>
        </is>
      </c>
    </row>
    <row r="996">
      <c r="B996" s="0" t="inlineStr">
        <is>
          <t>NULL</t>
        </is>
      </c>
      <c r="C996" s="0" t="inlineStr">
        <is>
          <t>NULL</t>
        </is>
      </c>
      <c r="D996" s="0" t="inlineStr">
        <is>
          <t>NULL</t>
        </is>
      </c>
      <c r="E996" s="0" t="inlineStr">
        <is>
          <t>NULL</t>
        </is>
      </c>
      <c r="F996" s="0" t="inlineStr">
        <is>
          <t>NULL</t>
        </is>
      </c>
      <c r="G996" s="0" t="inlineStr">
        <is>
          <t>NULL</t>
        </is>
      </c>
      <c r="H996" s="0" t="inlineStr">
        <is>
          <t>NULL</t>
        </is>
      </c>
      <c r="I996" s="0" t="inlineStr">
        <is>
          <t>NULL</t>
        </is>
      </c>
      <c r="J996" s="0" t="inlineStr">
        <is>
          <t>NULL</t>
        </is>
      </c>
      <c r="K996" s="0" t="inlineStr">
        <is>
          <t>no,len不存在</t>
        </is>
      </c>
    </row>
    <row r="997">
      <c r="B997" s="0" t="inlineStr">
        <is>
          <t>NULL</t>
        </is>
      </c>
      <c r="C997" s="0" t="inlineStr">
        <is>
          <t>NULL</t>
        </is>
      </c>
      <c r="D997" s="0" t="inlineStr">
        <is>
          <t>NULL</t>
        </is>
      </c>
      <c r="E997" s="0" t="inlineStr">
        <is>
          <t>NULL</t>
        </is>
      </c>
      <c r="F997" s="0" t="inlineStr">
        <is>
          <t>NULL</t>
        </is>
      </c>
      <c r="G997" s="0" t="inlineStr">
        <is>
          <t>NULL</t>
        </is>
      </c>
      <c r="H997" s="0" t="inlineStr">
        <is>
          <t>NULL</t>
        </is>
      </c>
      <c r="I997" s="0" t="inlineStr">
        <is>
          <t>NULL</t>
        </is>
      </c>
      <c r="J997" s="0" t="inlineStr">
        <is>
          <t>NULL</t>
        </is>
      </c>
      <c r="K997" s="0" t="inlineStr">
        <is>
          <t>YES! 	 c_time1列源备映射正确，源端为time None位	期望更改为time(n)	实际备端为time None位</t>
        </is>
      </c>
    </row>
    <row r="998">
      <c r="B998" s="0" t="inlineStr">
        <is>
          <t>NULL</t>
        </is>
      </c>
      <c r="C998" s="0" t="inlineStr">
        <is>
          <t>NULL</t>
        </is>
      </c>
      <c r="D998" s="0" t="inlineStr">
        <is>
          <t>NULL</t>
        </is>
      </c>
      <c r="E998" s="0" t="inlineStr">
        <is>
          <t>NULL</t>
        </is>
      </c>
      <c r="F998" s="0" t="inlineStr">
        <is>
          <t>NULL</t>
        </is>
      </c>
      <c r="G998" s="0" t="inlineStr">
        <is>
          <t>NULL</t>
        </is>
      </c>
      <c r="H998" s="0" t="inlineStr">
        <is>
          <t>NULL</t>
        </is>
      </c>
      <c r="I998" s="0" t="inlineStr">
        <is>
          <t>NULL</t>
        </is>
      </c>
      <c r="J998" s="0" t="inlineStr">
        <is>
          <t>NULL</t>
        </is>
      </c>
      <c r="K998" s="0" t="inlineStr">
        <is>
          <t>YES! 	 c_time2列源备映射正确，源端为time None位	期望更改为time(n)	实际备端为time None位</t>
        </is>
      </c>
    </row>
    <row r="999">
      <c r="B999" s="0" t="inlineStr">
        <is>
          <t>NULL</t>
        </is>
      </c>
      <c r="C999" s="0" t="inlineStr">
        <is>
          <t>NULL</t>
        </is>
      </c>
      <c r="D999" s="0" t="inlineStr">
        <is>
          <t>NULL</t>
        </is>
      </c>
      <c r="E999" s="0" t="inlineStr">
        <is>
          <t>NULL</t>
        </is>
      </c>
      <c r="F999" s="0" t="inlineStr">
        <is>
          <t>NULL</t>
        </is>
      </c>
      <c r="G999" s="0" t="inlineStr">
        <is>
          <t>NULL</t>
        </is>
      </c>
      <c r="H999" s="0" t="inlineStr">
        <is>
          <t>NULL</t>
        </is>
      </c>
      <c r="I999" s="0" t="inlineStr">
        <is>
          <t>NULL</t>
        </is>
      </c>
      <c r="J999" s="0" t="inlineStr">
        <is>
          <t>NULL</t>
        </is>
      </c>
      <c r="K999" s="0" t="inlineStr">
        <is>
          <t>YES! 	 c_time3列源备映射正确，源端为time None位	期望更改为time(n)	实际备端为time None位</t>
        </is>
      </c>
    </row>
    <row r="1000">
      <c r="B1000" s="0" t="inlineStr">
        <is>
          <t>NULL</t>
        </is>
      </c>
      <c r="C1000" s="0" t="inlineStr">
        <is>
          <t>NULL</t>
        </is>
      </c>
      <c r="D1000" s="0" t="inlineStr">
        <is>
          <t>NULL</t>
        </is>
      </c>
      <c r="E1000" s="0" t="inlineStr">
        <is>
          <t>NULL</t>
        </is>
      </c>
      <c r="F1000" s="0" t="inlineStr">
        <is>
          <t>NULL</t>
        </is>
      </c>
      <c r="G1000" s="0" t="inlineStr">
        <is>
          <t>NULL</t>
        </is>
      </c>
      <c r="H1000" s="0" t="inlineStr">
        <is>
          <t>NULL</t>
        </is>
      </c>
      <c r="I1000" s="0" t="inlineStr">
        <is>
          <t>NULL</t>
        </is>
      </c>
      <c r="J1000" s="0" t="inlineStr">
        <is>
          <t>NULL</t>
        </is>
      </c>
      <c r="K1000" s="0" t="inlineStr">
        <is>
          <t>YES! 	 c_time4列源备映射正确，源端为time None位	期望更改为time(n)	实际备端为time None位</t>
        </is>
      </c>
    </row>
    <row r="1001">
      <c r="B1001" s="0" t="inlineStr">
        <is>
          <t>NULL</t>
        </is>
      </c>
      <c r="C1001" s="0" t="inlineStr">
        <is>
          <t>NULL</t>
        </is>
      </c>
      <c r="D1001" s="0" t="inlineStr">
        <is>
          <t>NULL</t>
        </is>
      </c>
      <c r="E1001" s="0" t="inlineStr">
        <is>
          <t>NULL</t>
        </is>
      </c>
      <c r="F1001" s="0" t="inlineStr">
        <is>
          <t>NULL</t>
        </is>
      </c>
      <c r="G1001" s="0" t="inlineStr">
        <is>
          <t>NULL</t>
        </is>
      </c>
      <c r="H1001" s="0" t="inlineStr">
        <is>
          <t>NULL</t>
        </is>
      </c>
      <c r="I1001" s="0" t="inlineStr">
        <is>
          <t>NULL</t>
        </is>
      </c>
      <c r="J1001" s="0" t="inlineStr">
        <is>
          <t>NULL</t>
        </is>
      </c>
      <c r="K1001" s="0" t="inlineStr">
        <is>
          <t>YES! 	 c_time5列源备映射正确，源端为time None位	期望更改为time(n)	实际备端为time None位</t>
        </is>
      </c>
    </row>
    <row r="1002">
      <c r="B1002" s="0" t="inlineStr">
        <is>
          <t>NULL</t>
        </is>
      </c>
      <c r="C1002" s="0" t="inlineStr">
        <is>
          <t>NULL</t>
        </is>
      </c>
      <c r="D1002" s="0" t="inlineStr">
        <is>
          <t>NULL</t>
        </is>
      </c>
      <c r="E1002" s="0" t="inlineStr">
        <is>
          <t>NULL</t>
        </is>
      </c>
      <c r="F1002" s="0" t="inlineStr">
        <is>
          <t>NULL</t>
        </is>
      </c>
      <c r="G1002" s="0" t="inlineStr">
        <is>
          <t>NULL</t>
        </is>
      </c>
      <c r="H1002" s="0" t="inlineStr">
        <is>
          <t>NULL</t>
        </is>
      </c>
      <c r="I1002" s="0" t="inlineStr">
        <is>
          <t>NULL</t>
        </is>
      </c>
      <c r="J1002" s="0" t="inlineStr">
        <is>
          <t>NULL</t>
        </is>
      </c>
      <c r="K1002" s="0" t="inlineStr">
        <is>
          <t>YES! 	 c_time6列源备映射正确，源端为time None位	期望更改为time(n)	实际备端为time None位</t>
        </is>
      </c>
    </row>
    <row r="1003">
      <c r="B1003" s="0" t="inlineStr">
        <is>
          <t>NULL</t>
        </is>
      </c>
      <c r="C1003" s="0" t="inlineStr">
        <is>
          <t>NULL</t>
        </is>
      </c>
      <c r="D1003" s="0" t="inlineStr">
        <is>
          <t>NULL</t>
        </is>
      </c>
      <c r="E1003" s="0" t="inlineStr">
        <is>
          <t>NULL</t>
        </is>
      </c>
      <c r="F1003" s="0" t="inlineStr">
        <is>
          <t>NULL</t>
        </is>
      </c>
      <c r="G1003" s="0" t="inlineStr">
        <is>
          <t>NULL</t>
        </is>
      </c>
      <c r="H1003" s="0" t="inlineStr">
        <is>
          <t>NULL</t>
        </is>
      </c>
      <c r="I1003" s="0" t="inlineStr">
        <is>
          <t>NULL</t>
        </is>
      </c>
      <c r="J1003" s="0" t="inlineStr">
        <is>
          <t>NULL</t>
        </is>
      </c>
      <c r="K1003" s="0" t="inlineStr">
        <is>
          <t>YES! 	 c_time列源备映射正确，源端为time None位	期望更改为time(n)	实际备端为time None位</t>
        </is>
      </c>
    </row>
    <row r="1004">
      <c r="A1004" s="0" t="inlineStr">
        <is>
          <t>info_text_dml_single_nopk_drp</t>
        </is>
      </c>
      <c r="K1004" s="0" t="inlineStr">
        <is>
          <t>[0;34m info_text_dml_single_nopk_drp [0m源备字段数相同，源端字段：3 	备端字段3</t>
        </is>
      </c>
      <c r="W1004" s="0" t="inlineStr">
        <is>
          <t>YES 源备无差异</t>
        </is>
      </c>
      <c r="X1004" s="0">
        <f>A1004</f>
        <v/>
      </c>
    </row>
    <row r="1005">
      <c r="B1005" s="0" t="inlineStr">
        <is>
          <t>NULL</t>
        </is>
      </c>
      <c r="C1005" s="0" t="inlineStr">
        <is>
          <t>NULL</t>
        </is>
      </c>
      <c r="D1005" s="0" t="inlineStr">
        <is>
          <t>NULL</t>
        </is>
      </c>
      <c r="E1005" s="0" t="inlineStr">
        <is>
          <t>NULL</t>
        </is>
      </c>
      <c r="F1005" s="0" t="inlineStr">
        <is>
          <t>NULL</t>
        </is>
      </c>
      <c r="G1005" s="0" t="inlineStr">
        <is>
          <t>NULL</t>
        </is>
      </c>
      <c r="H1005" s="0" t="inlineStr">
        <is>
          <t>NULL</t>
        </is>
      </c>
      <c r="I1005" s="0" t="inlineStr">
        <is>
          <t>NULL</t>
        </is>
      </c>
      <c r="J1005" s="0" t="inlineStr">
        <is>
          <t>NULL</t>
        </is>
      </c>
      <c r="K1005" s="0" t="inlineStr">
        <is>
          <t>YES! 	 id列源备映射正确，源端为int None位	期望更改为int	实际备端为int None位</t>
        </is>
      </c>
    </row>
    <row r="1006">
      <c r="B1006" s="0" t="inlineStr">
        <is>
          <t>NULL</t>
        </is>
      </c>
      <c r="C1006" s="0" t="inlineStr">
        <is>
          <t>NULL</t>
        </is>
      </c>
      <c r="D1006" s="0" t="inlineStr">
        <is>
          <t>NULL</t>
        </is>
      </c>
      <c r="E1006" s="0" t="inlineStr">
        <is>
          <t>NULL</t>
        </is>
      </c>
      <c r="F1006" s="0" t="inlineStr">
        <is>
          <t>NULL</t>
        </is>
      </c>
      <c r="G1006" s="0" t="inlineStr">
        <is>
          <t>NULL</t>
        </is>
      </c>
      <c r="H1006" s="0" t="inlineStr">
        <is>
          <t>NULL</t>
        </is>
      </c>
      <c r="I1006" s="0" t="inlineStr">
        <is>
          <t>NULL</t>
        </is>
      </c>
      <c r="J1006" s="0" t="inlineStr">
        <is>
          <t>NULL</t>
        </is>
      </c>
      <c r="K1006" s="0" t="inlineStr">
        <is>
          <t>YES! 	 c_text列源备映射正确，源端为text 2147483647位	期望更改为text	实际备端为text 2147483647位</t>
        </is>
      </c>
    </row>
    <row r="1007">
      <c r="B1007" s="0" t="inlineStr">
        <is>
          <t>NULL</t>
        </is>
      </c>
      <c r="C1007" s="0" t="inlineStr">
        <is>
          <t>NULL</t>
        </is>
      </c>
      <c r="D1007" s="0" t="inlineStr">
        <is>
          <t>NULL</t>
        </is>
      </c>
      <c r="E1007" s="0" t="inlineStr">
        <is>
          <t>NULL</t>
        </is>
      </c>
      <c r="F1007" s="0" t="inlineStr">
        <is>
          <t>NULL</t>
        </is>
      </c>
      <c r="G1007" s="0" t="inlineStr">
        <is>
          <t>NULL</t>
        </is>
      </c>
      <c r="H1007" s="0" t="inlineStr">
        <is>
          <t>NULL</t>
        </is>
      </c>
      <c r="I1007" s="0" t="inlineStr">
        <is>
          <t>NULL</t>
        </is>
      </c>
      <c r="J1007" s="0" t="inlineStr">
        <is>
          <t>NULL</t>
        </is>
      </c>
      <c r="K1007" s="0" t="inlineStr">
        <is>
          <t>YES! 	 c_ntext列源备映射正确，源端为ntext 2147483646位	期望更改为ntext	实际备端为ntext 2147483646位</t>
        </is>
      </c>
    </row>
    <row r="1008">
      <c r="A1008" s="0" t="inlineStr">
        <is>
          <t>info_varcharmax_dml_single_nopk</t>
        </is>
      </c>
      <c r="K1008" s="0" t="inlineStr">
        <is>
          <t>[0;34m info_varcharmax_dml_single_nopk [0m源备字段数相同，源端字段：3 	备端字段3</t>
        </is>
      </c>
      <c r="W1008" s="0" t="inlineStr">
        <is>
          <t>YES 源备无差异</t>
        </is>
      </c>
      <c r="X1008" s="0">
        <f>A1008</f>
        <v/>
      </c>
    </row>
    <row r="1009">
      <c r="B1009" s="0" t="inlineStr">
        <is>
          <t>NULL</t>
        </is>
      </c>
      <c r="C1009" s="0" t="inlineStr">
        <is>
          <t>NULL</t>
        </is>
      </c>
      <c r="D1009" s="0" t="inlineStr">
        <is>
          <t>NULL</t>
        </is>
      </c>
      <c r="E1009" s="0" t="inlineStr">
        <is>
          <t>NULL</t>
        </is>
      </c>
      <c r="F1009" s="0" t="inlineStr">
        <is>
          <t>NULL</t>
        </is>
      </c>
      <c r="G1009" s="0" t="inlineStr">
        <is>
          <t>NULL</t>
        </is>
      </c>
      <c r="H1009" s="0" t="inlineStr">
        <is>
          <t>NULL</t>
        </is>
      </c>
      <c r="I1009" s="0" t="inlineStr">
        <is>
          <t>NULL</t>
        </is>
      </c>
      <c r="J1009" s="0" t="inlineStr">
        <is>
          <t>NULL</t>
        </is>
      </c>
      <c r="K1009" s="0" t="inlineStr">
        <is>
          <t>YES! 	 id列源备映射正确，源端为int None位	期望更改为int	实际备端为int None位</t>
        </is>
      </c>
    </row>
    <row r="1010">
      <c r="B1010" s="0" t="inlineStr">
        <is>
          <t>NULL</t>
        </is>
      </c>
      <c r="C1010" s="0" t="inlineStr">
        <is>
          <t>NULL</t>
        </is>
      </c>
      <c r="D1010" s="0" t="inlineStr">
        <is>
          <t>NULL</t>
        </is>
      </c>
      <c r="E1010" s="0" t="inlineStr">
        <is>
          <t>NULL</t>
        </is>
      </c>
      <c r="F1010" s="0" t="inlineStr">
        <is>
          <t>NULL</t>
        </is>
      </c>
      <c r="G1010" s="0" t="inlineStr">
        <is>
          <t>NULL</t>
        </is>
      </c>
      <c r="H1010" s="0" t="inlineStr">
        <is>
          <t>NULL</t>
        </is>
      </c>
      <c r="I1010" s="0" t="inlineStr">
        <is>
          <t>NULL</t>
        </is>
      </c>
      <c r="J1010" s="0" t="inlineStr">
        <is>
          <t>NULL</t>
        </is>
      </c>
      <c r="K1010" s="0" t="inlineStr">
        <is>
          <t>YES! 	 c_varchar_max列源备映射正确，源端为varchar -1位	期望更改为varchar(n)	实际备端为varchar -1位</t>
        </is>
      </c>
    </row>
    <row r="1011">
      <c r="B1011" s="0" t="inlineStr">
        <is>
          <t>NULL</t>
        </is>
      </c>
      <c r="C1011" s="0" t="inlineStr">
        <is>
          <t>NULL</t>
        </is>
      </c>
      <c r="D1011" s="0" t="inlineStr">
        <is>
          <t>NULL</t>
        </is>
      </c>
      <c r="E1011" s="0" t="inlineStr">
        <is>
          <t>NULL</t>
        </is>
      </c>
      <c r="F1011" s="0" t="inlineStr">
        <is>
          <t>NULL</t>
        </is>
      </c>
      <c r="G1011" s="0" t="inlineStr">
        <is>
          <t>NULL</t>
        </is>
      </c>
      <c r="H1011" s="0" t="inlineStr">
        <is>
          <t>NULL</t>
        </is>
      </c>
      <c r="I1011" s="0" t="inlineStr">
        <is>
          <t>NULL</t>
        </is>
      </c>
      <c r="J1011" s="0" t="inlineStr">
        <is>
          <t>NULL</t>
        </is>
      </c>
      <c r="K1011" s="0" t="inlineStr">
        <is>
          <t>YES! 	 c_nvarchar_max列源备映射正确，源端为nvarchar -1位	期望更改为nvarchar(n)	实际备端为nvarchar -1位</t>
        </is>
      </c>
    </row>
    <row r="1012">
      <c r="A1012" s="0" t="inlineStr">
        <is>
          <t>info_uniqueidentifier_dml_single_nopk_drp</t>
        </is>
      </c>
      <c r="K1012" s="0" t="inlineStr">
        <is>
          <t>[0;34m info_uniqueidentifier_dml_single_nopk_drp [0m源备字段数相同，源端字段：2 	备端字段2</t>
        </is>
      </c>
      <c r="W1012" s="0" t="inlineStr">
        <is>
          <t>YES 源备无差异</t>
        </is>
      </c>
      <c r="X1012" s="0">
        <f>A1012</f>
        <v/>
      </c>
    </row>
    <row r="1013">
      <c r="B1013" s="0" t="inlineStr">
        <is>
          <t>NULL</t>
        </is>
      </c>
      <c r="C1013" s="0" t="inlineStr">
        <is>
          <t>NULL</t>
        </is>
      </c>
      <c r="D1013" s="0" t="inlineStr">
        <is>
          <t>NULL</t>
        </is>
      </c>
      <c r="E1013" s="0" t="inlineStr">
        <is>
          <t>NULL</t>
        </is>
      </c>
      <c r="F1013" s="0" t="inlineStr">
        <is>
          <t>NULL</t>
        </is>
      </c>
      <c r="G1013" s="0" t="inlineStr">
        <is>
          <t>NULL</t>
        </is>
      </c>
      <c r="H1013" s="0" t="inlineStr">
        <is>
          <t>NULL</t>
        </is>
      </c>
      <c r="I1013" s="0" t="inlineStr">
        <is>
          <t>NULL</t>
        </is>
      </c>
      <c r="J1013" s="0" t="inlineStr">
        <is>
          <t>NULL</t>
        </is>
      </c>
      <c r="K1013" s="0" t="inlineStr">
        <is>
          <t>YES! 	 id列源备映射正确，源端为int None位	期望更改为int	实际备端为int None位</t>
        </is>
      </c>
    </row>
    <row r="1014">
      <c r="B1014" s="0" t="inlineStr">
        <is>
          <t>NULL</t>
        </is>
      </c>
      <c r="C1014" s="0" t="inlineStr">
        <is>
          <t>NULL</t>
        </is>
      </c>
      <c r="D1014" s="0" t="inlineStr">
        <is>
          <t>NULL</t>
        </is>
      </c>
      <c r="E1014" s="0" t="inlineStr">
        <is>
          <t>NULL</t>
        </is>
      </c>
      <c r="F1014" s="0" t="inlineStr">
        <is>
          <t>NULL</t>
        </is>
      </c>
      <c r="G1014" s="0" t="inlineStr">
        <is>
          <t>NULL</t>
        </is>
      </c>
      <c r="H1014" s="0" t="inlineStr">
        <is>
          <t>NULL</t>
        </is>
      </c>
      <c r="I1014" s="0" t="inlineStr">
        <is>
          <t>NULL</t>
        </is>
      </c>
      <c r="J1014" s="0" t="inlineStr">
        <is>
          <t>NULL</t>
        </is>
      </c>
      <c r="K1014" s="0" t="inlineStr">
        <is>
          <t>YES! 	 c_uniqueidentifier列源备映射正确，源端为uniqueidentifier None位	期望更改为uniqueidentifier	实际备端为uniqueidentifier None位</t>
        </is>
      </c>
    </row>
    <row r="1015">
      <c r="A1015" s="0" t="inlineStr">
        <is>
          <t>info_datetime2_dml_batch2_pk_irp2</t>
        </is>
      </c>
      <c r="K1015" s="0" t="inlineStr">
        <is>
          <t>[0;34m info_datetime2_dml_batch2_pk_irp2 [0m源备字段数相同，源端字段：9 	备端字段9</t>
        </is>
      </c>
      <c r="W1015" s="0" t="inlineStr">
        <is>
          <t>YES 源备无差异</t>
        </is>
      </c>
      <c r="X1015" s="0">
        <f>A1015</f>
        <v/>
      </c>
    </row>
    <row r="1016">
      <c r="B1016" s="0" t="inlineStr">
        <is>
          <t>YES</t>
        </is>
      </c>
      <c r="C1016" s="0" t="inlineStr">
        <is>
          <t>NULL</t>
        </is>
      </c>
      <c r="D1016" s="0" t="inlineStr">
        <is>
          <t>NULL</t>
        </is>
      </c>
      <c r="E1016" s="0" t="inlineStr">
        <is>
          <t>NULL</t>
        </is>
      </c>
      <c r="F1016" s="0" t="inlineStr">
        <is>
          <t>NULL</t>
        </is>
      </c>
      <c r="G1016" s="0" t="inlineStr">
        <is>
          <t>NULL</t>
        </is>
      </c>
      <c r="H1016" s="0" t="inlineStr">
        <is>
          <t>NULL</t>
        </is>
      </c>
      <c r="I1016" s="0" t="inlineStr">
        <is>
          <t>YES!PK__info_dat__3213E83FDFC319CF</t>
        </is>
      </c>
      <c r="J1016" s="0" t="inlineStr">
        <is>
          <t>YES! 主键相关索引</t>
        </is>
      </c>
      <c r="K1016" s="0" t="inlineStr">
        <is>
          <t>YES! 	 id列源备映射正确，源端为int None位	期望更改为int	实际备端为int None位</t>
        </is>
      </c>
    </row>
    <row r="1017">
      <c r="B1017" s="0" t="inlineStr">
        <is>
          <t>NULL</t>
        </is>
      </c>
      <c r="C1017" s="0" t="inlineStr">
        <is>
          <t>NULL</t>
        </is>
      </c>
      <c r="D1017" s="0" t="inlineStr">
        <is>
          <t>NULL</t>
        </is>
      </c>
      <c r="E1017" s="0" t="inlineStr">
        <is>
          <t>NULL</t>
        </is>
      </c>
      <c r="F1017" s="0" t="inlineStr">
        <is>
          <t>NULL</t>
        </is>
      </c>
      <c r="G1017" s="0" t="inlineStr">
        <is>
          <t>NULL</t>
        </is>
      </c>
      <c r="H1017" s="0" t="inlineStr">
        <is>
          <t>NULL</t>
        </is>
      </c>
      <c r="I1017" s="0" t="inlineStr">
        <is>
          <t>NULL</t>
        </is>
      </c>
      <c r="J1017" s="0" t="inlineStr">
        <is>
          <t>NULL</t>
        </is>
      </c>
      <c r="K1017" s="0" t="inlineStr">
        <is>
          <t>no,len不存在</t>
        </is>
      </c>
    </row>
    <row r="1018">
      <c r="B1018" s="0" t="inlineStr">
        <is>
          <t>NULL</t>
        </is>
      </c>
      <c r="C1018" s="0" t="inlineStr">
        <is>
          <t>NULL</t>
        </is>
      </c>
      <c r="D1018" s="0" t="inlineStr">
        <is>
          <t>NULL</t>
        </is>
      </c>
      <c r="E1018" s="0" t="inlineStr">
        <is>
          <t>NULL</t>
        </is>
      </c>
      <c r="F1018" s="0" t="inlineStr">
        <is>
          <t>NULL</t>
        </is>
      </c>
      <c r="G1018" s="0" t="inlineStr">
        <is>
          <t>NULL</t>
        </is>
      </c>
      <c r="H1018" s="0" t="inlineStr">
        <is>
          <t>NULL</t>
        </is>
      </c>
      <c r="I1018" s="0" t="inlineStr">
        <is>
          <t>NULL</t>
        </is>
      </c>
      <c r="J1018" s="0" t="inlineStr">
        <is>
          <t>NULL</t>
        </is>
      </c>
      <c r="K1018" s="0" t="inlineStr">
        <is>
          <t>YES! 	 c_dt2_1列源备映射正确，源端为datetime2 None位	期望更改为datetime2(n)	实际备端为datetime2 None位</t>
        </is>
      </c>
    </row>
    <row r="1019">
      <c r="B1019" s="0" t="inlineStr">
        <is>
          <t>NULL</t>
        </is>
      </c>
      <c r="C1019" s="0" t="inlineStr">
        <is>
          <t>NULL</t>
        </is>
      </c>
      <c r="D1019" s="0" t="inlineStr">
        <is>
          <t>NULL</t>
        </is>
      </c>
      <c r="E1019" s="0" t="inlineStr">
        <is>
          <t>NULL</t>
        </is>
      </c>
      <c r="F1019" s="0" t="inlineStr">
        <is>
          <t>NULL</t>
        </is>
      </c>
      <c r="G1019" s="0" t="inlineStr">
        <is>
          <t>NULL</t>
        </is>
      </c>
      <c r="H1019" s="0" t="inlineStr">
        <is>
          <t>NULL</t>
        </is>
      </c>
      <c r="I1019" s="0" t="inlineStr">
        <is>
          <t>NULL</t>
        </is>
      </c>
      <c r="J1019" s="0" t="inlineStr">
        <is>
          <t>NULL</t>
        </is>
      </c>
      <c r="K1019" s="0" t="inlineStr">
        <is>
          <t>YES! 	 c_dt2_2列源备映射正确，源端为datetime2 None位	期望更改为datetime2(n)	实际备端为datetime2 None位</t>
        </is>
      </c>
    </row>
    <row r="1020">
      <c r="B1020" s="0" t="inlineStr">
        <is>
          <t>NULL</t>
        </is>
      </c>
      <c r="C1020" s="0" t="inlineStr">
        <is>
          <t>NULL</t>
        </is>
      </c>
      <c r="D1020" s="0" t="inlineStr">
        <is>
          <t>NULL</t>
        </is>
      </c>
      <c r="E1020" s="0" t="inlineStr">
        <is>
          <t>NULL</t>
        </is>
      </c>
      <c r="F1020" s="0" t="inlineStr">
        <is>
          <t>NULL</t>
        </is>
      </c>
      <c r="G1020" s="0" t="inlineStr">
        <is>
          <t>NULL</t>
        </is>
      </c>
      <c r="H1020" s="0" t="inlineStr">
        <is>
          <t>NULL</t>
        </is>
      </c>
      <c r="I1020" s="0" t="inlineStr">
        <is>
          <t>NULL</t>
        </is>
      </c>
      <c r="J1020" s="0" t="inlineStr">
        <is>
          <t>NULL</t>
        </is>
      </c>
      <c r="K1020" s="0" t="inlineStr">
        <is>
          <t>YES! 	 c_dt2_3列源备映射正确，源端为datetime2 None位	期望更改为datetime2(n)	实际备端为datetime2 None位</t>
        </is>
      </c>
    </row>
    <row r="1021">
      <c r="B1021" s="0" t="inlineStr">
        <is>
          <t>NULL</t>
        </is>
      </c>
      <c r="C1021" s="0" t="inlineStr">
        <is>
          <t>NULL</t>
        </is>
      </c>
      <c r="D1021" s="0" t="inlineStr">
        <is>
          <t>NULL</t>
        </is>
      </c>
      <c r="E1021" s="0" t="inlineStr">
        <is>
          <t>NULL</t>
        </is>
      </c>
      <c r="F1021" s="0" t="inlineStr">
        <is>
          <t>NULL</t>
        </is>
      </c>
      <c r="G1021" s="0" t="inlineStr">
        <is>
          <t>NULL</t>
        </is>
      </c>
      <c r="H1021" s="0" t="inlineStr">
        <is>
          <t>NULL</t>
        </is>
      </c>
      <c r="I1021" s="0" t="inlineStr">
        <is>
          <t>NULL</t>
        </is>
      </c>
      <c r="J1021" s="0" t="inlineStr">
        <is>
          <t>NULL</t>
        </is>
      </c>
      <c r="K1021" s="0" t="inlineStr">
        <is>
          <t>YES! 	 c_dt2_4列源备映射正确，源端为datetime2 None位	期望更改为datetime2(n)	实际备端为datetime2 None位</t>
        </is>
      </c>
    </row>
    <row r="1022">
      <c r="B1022" s="0" t="inlineStr">
        <is>
          <t>NULL</t>
        </is>
      </c>
      <c r="C1022" s="0" t="inlineStr">
        <is>
          <t>NULL</t>
        </is>
      </c>
      <c r="D1022" s="0" t="inlineStr">
        <is>
          <t>NULL</t>
        </is>
      </c>
      <c r="E1022" s="0" t="inlineStr">
        <is>
          <t>NULL</t>
        </is>
      </c>
      <c r="F1022" s="0" t="inlineStr">
        <is>
          <t>NULL</t>
        </is>
      </c>
      <c r="G1022" s="0" t="inlineStr">
        <is>
          <t>NULL</t>
        </is>
      </c>
      <c r="H1022" s="0" t="inlineStr">
        <is>
          <t>NULL</t>
        </is>
      </c>
      <c r="I1022" s="0" t="inlineStr">
        <is>
          <t>NULL</t>
        </is>
      </c>
      <c r="J1022" s="0" t="inlineStr">
        <is>
          <t>NULL</t>
        </is>
      </c>
      <c r="K1022" s="0" t="inlineStr">
        <is>
          <t>YES! 	 c_dt2_5列源备映射正确，源端为datetime2 None位	期望更改为datetime2(n)	实际备端为datetime2 None位</t>
        </is>
      </c>
    </row>
    <row r="1023">
      <c r="B1023" s="0" t="inlineStr">
        <is>
          <t>NULL</t>
        </is>
      </c>
      <c r="C1023" s="0" t="inlineStr">
        <is>
          <t>NULL</t>
        </is>
      </c>
      <c r="D1023" s="0" t="inlineStr">
        <is>
          <t>NULL</t>
        </is>
      </c>
      <c r="E1023" s="0" t="inlineStr">
        <is>
          <t>NULL</t>
        </is>
      </c>
      <c r="F1023" s="0" t="inlineStr">
        <is>
          <t>NULL</t>
        </is>
      </c>
      <c r="G1023" s="0" t="inlineStr">
        <is>
          <t>NULL</t>
        </is>
      </c>
      <c r="H1023" s="0" t="inlineStr">
        <is>
          <t>NULL</t>
        </is>
      </c>
      <c r="I1023" s="0" t="inlineStr">
        <is>
          <t>NULL</t>
        </is>
      </c>
      <c r="J1023" s="0" t="inlineStr">
        <is>
          <t>NULL</t>
        </is>
      </c>
      <c r="K1023" s="0" t="inlineStr">
        <is>
          <t>YES! 	 c_dt2_6列源备映射正确，源端为datetime2 None位	期望更改为datetime2(n)	实际备端为datetime2 None位</t>
        </is>
      </c>
    </row>
    <row r="1024">
      <c r="B1024" s="0" t="inlineStr">
        <is>
          <t>NULL</t>
        </is>
      </c>
      <c r="C1024" s="0" t="inlineStr">
        <is>
          <t>NULL</t>
        </is>
      </c>
      <c r="D1024" s="0" t="inlineStr">
        <is>
          <t>NULL</t>
        </is>
      </c>
      <c r="E1024" s="0" t="inlineStr">
        <is>
          <t>NULL</t>
        </is>
      </c>
      <c r="F1024" s="0" t="inlineStr">
        <is>
          <t>NULL</t>
        </is>
      </c>
      <c r="G1024" s="0" t="inlineStr">
        <is>
          <t>NULL</t>
        </is>
      </c>
      <c r="H1024" s="0" t="inlineStr">
        <is>
          <t>NULL</t>
        </is>
      </c>
      <c r="I1024" s="0" t="inlineStr">
        <is>
          <t>NULL</t>
        </is>
      </c>
      <c r="J1024" s="0" t="inlineStr">
        <is>
          <t>NULL</t>
        </is>
      </c>
      <c r="K1024" s="0" t="inlineStr">
        <is>
          <t>YES! 	 c_dt2列源备映射正确，源端为datetime2 None位	期望更改为datetime2(n)	实际备端为datetime2 None位</t>
        </is>
      </c>
    </row>
    <row r="1025">
      <c r="A1025" s="0" t="inlineStr">
        <is>
          <t>info_text_dml_single_nopk</t>
        </is>
      </c>
      <c r="K1025" s="0" t="inlineStr">
        <is>
          <t>[0;34m info_text_dml_single_nopk [0m源备字段数相同，源端字段：3 	备端字段3</t>
        </is>
      </c>
      <c r="W1025" s="0" t="inlineStr">
        <is>
          <t>YES 源备无差异</t>
        </is>
      </c>
      <c r="X1025" s="0">
        <f>A1025</f>
        <v/>
      </c>
    </row>
    <row r="1026">
      <c r="B1026" s="0" t="inlineStr">
        <is>
          <t>NULL</t>
        </is>
      </c>
      <c r="C1026" s="0" t="inlineStr">
        <is>
          <t>NULL</t>
        </is>
      </c>
      <c r="D1026" s="0" t="inlineStr">
        <is>
          <t>NULL</t>
        </is>
      </c>
      <c r="E1026" s="0" t="inlineStr">
        <is>
          <t>NULL</t>
        </is>
      </c>
      <c r="F1026" s="0" t="inlineStr">
        <is>
          <t>NULL</t>
        </is>
      </c>
      <c r="G1026" s="0" t="inlineStr">
        <is>
          <t>NULL</t>
        </is>
      </c>
      <c r="H1026" s="0" t="inlineStr">
        <is>
          <t>NULL</t>
        </is>
      </c>
      <c r="I1026" s="0" t="inlineStr">
        <is>
          <t>NULL</t>
        </is>
      </c>
      <c r="J1026" s="0" t="inlineStr">
        <is>
          <t>NULL</t>
        </is>
      </c>
      <c r="K1026" s="0" t="inlineStr">
        <is>
          <t>YES! 	 id列源备映射正确，源端为int None位	期望更改为int	实际备端为int None位</t>
        </is>
      </c>
    </row>
    <row r="1027">
      <c r="B1027" s="0" t="inlineStr">
        <is>
          <t>NULL</t>
        </is>
      </c>
      <c r="C1027" s="0" t="inlineStr">
        <is>
          <t>NULL</t>
        </is>
      </c>
      <c r="D1027" s="0" t="inlineStr">
        <is>
          <t>NULL</t>
        </is>
      </c>
      <c r="E1027" s="0" t="inlineStr">
        <is>
          <t>NULL</t>
        </is>
      </c>
      <c r="F1027" s="0" t="inlineStr">
        <is>
          <t>NULL</t>
        </is>
      </c>
      <c r="G1027" s="0" t="inlineStr">
        <is>
          <t>NULL</t>
        </is>
      </c>
      <c r="H1027" s="0" t="inlineStr">
        <is>
          <t>NULL</t>
        </is>
      </c>
      <c r="I1027" s="0" t="inlineStr">
        <is>
          <t>NULL</t>
        </is>
      </c>
      <c r="J1027" s="0" t="inlineStr">
        <is>
          <t>NULL</t>
        </is>
      </c>
      <c r="K1027" s="0" t="inlineStr">
        <is>
          <t>YES! 	 c_text列源备映射正确，源端为text 2147483647位	期望更改为text	实际备端为text 2147483647位</t>
        </is>
      </c>
    </row>
    <row r="1028">
      <c r="B1028" s="0" t="inlineStr">
        <is>
          <t>NULL</t>
        </is>
      </c>
      <c r="C1028" s="0" t="inlineStr">
        <is>
          <t>NULL</t>
        </is>
      </c>
      <c r="D1028" s="0" t="inlineStr">
        <is>
          <t>NULL</t>
        </is>
      </c>
      <c r="E1028" s="0" t="inlineStr">
        <is>
          <t>NULL</t>
        </is>
      </c>
      <c r="F1028" s="0" t="inlineStr">
        <is>
          <t>NULL</t>
        </is>
      </c>
      <c r="G1028" s="0" t="inlineStr">
        <is>
          <t>NULL</t>
        </is>
      </c>
      <c r="H1028" s="0" t="inlineStr">
        <is>
          <t>NULL</t>
        </is>
      </c>
      <c r="I1028" s="0" t="inlineStr">
        <is>
          <t>NULL</t>
        </is>
      </c>
      <c r="J1028" s="0" t="inlineStr">
        <is>
          <t>NULL</t>
        </is>
      </c>
      <c r="K1028" s="0" t="inlineStr">
        <is>
          <t>YES! 	 c_ntext列源备映射正确，源端为ntext 2147483646位	期望更改为ntext	实际备端为ntext 2147483646位</t>
        </is>
      </c>
    </row>
    <row r="1029">
      <c r="K1029" s="0" t="inlineStr">
        <is>
          <t>~ 空表</t>
        </is>
      </c>
    </row>
    <row r="1030">
      <c r="A1030" s="0" t="inlineStr">
        <is>
          <t>info_nchar_dml_batch1_pk</t>
        </is>
      </c>
      <c r="K1030" s="0" t="inlineStr">
        <is>
          <t>[0;34m info_nchar_dml_batch1_pk [0m源备字段数相同，源端字段：4 	备端字段4</t>
        </is>
      </c>
      <c r="W1030" s="0" t="inlineStr">
        <is>
          <t>YES 源备无差异</t>
        </is>
      </c>
      <c r="X1030" s="0">
        <f>A1030</f>
        <v/>
      </c>
    </row>
    <row r="1031">
      <c r="B1031" s="0" t="inlineStr">
        <is>
          <t>YES</t>
        </is>
      </c>
      <c r="C1031" s="0" t="inlineStr">
        <is>
          <t>NULL</t>
        </is>
      </c>
      <c r="D1031" s="0" t="inlineStr">
        <is>
          <t>NULL</t>
        </is>
      </c>
      <c r="E1031" s="0" t="inlineStr">
        <is>
          <t>NULL</t>
        </is>
      </c>
      <c r="F1031" s="0" t="inlineStr">
        <is>
          <t>NULL</t>
        </is>
      </c>
      <c r="G1031" s="0" t="inlineStr">
        <is>
          <t>NULL</t>
        </is>
      </c>
      <c r="H1031" s="0" t="inlineStr">
        <is>
          <t>NULL</t>
        </is>
      </c>
      <c r="I1031" s="0" t="inlineStr">
        <is>
          <t>YES!PK__info_nch__3213E83F565E5991</t>
        </is>
      </c>
      <c r="J1031" s="0" t="inlineStr">
        <is>
          <t>YES! 主键相关索引</t>
        </is>
      </c>
      <c r="K1031" s="0" t="inlineStr">
        <is>
          <t>YES! 	 id列源备映射正确，源端为int None位	期望更改为int	实际备端为int None位</t>
        </is>
      </c>
    </row>
    <row r="1032">
      <c r="B1032" s="0" t="inlineStr">
        <is>
          <t>NULL</t>
        </is>
      </c>
      <c r="C1032" s="0" t="inlineStr">
        <is>
          <t>NULL</t>
        </is>
      </c>
      <c r="D1032" s="0" t="inlineStr">
        <is>
          <t>NULL</t>
        </is>
      </c>
      <c r="E1032" s="0" t="inlineStr">
        <is>
          <t>NULL</t>
        </is>
      </c>
      <c r="F1032" s="0" t="inlineStr">
        <is>
          <t>NULL</t>
        </is>
      </c>
      <c r="G1032" s="0" t="inlineStr">
        <is>
          <t>NULL</t>
        </is>
      </c>
      <c r="H1032" s="0" t="inlineStr">
        <is>
          <t>NULL</t>
        </is>
      </c>
      <c r="I1032" s="0" t="inlineStr">
        <is>
          <t>NULL</t>
        </is>
      </c>
      <c r="J1032" s="0" t="inlineStr">
        <is>
          <t>NULL</t>
        </is>
      </c>
      <c r="K1032" s="0" t="inlineStr">
        <is>
          <t>YES! 	 c_nchar列源备映射正确，源端为nchar 2位	期望更改为nchar(n)	实际备端为nchar 2位</t>
        </is>
      </c>
    </row>
    <row r="1033">
      <c r="B1033" s="0" t="inlineStr">
        <is>
          <t>NULL</t>
        </is>
      </c>
      <c r="C1033" s="0" t="inlineStr">
        <is>
          <t>NULL</t>
        </is>
      </c>
      <c r="D1033" s="0" t="inlineStr">
        <is>
          <t>NULL</t>
        </is>
      </c>
      <c r="E1033" s="0" t="inlineStr">
        <is>
          <t>NULL</t>
        </is>
      </c>
      <c r="F1033" s="0" t="inlineStr">
        <is>
          <t>NULL</t>
        </is>
      </c>
      <c r="G1033" s="0" t="inlineStr">
        <is>
          <t>NULL</t>
        </is>
      </c>
      <c r="H1033" s="0" t="inlineStr">
        <is>
          <t>NULL</t>
        </is>
      </c>
      <c r="I1033" s="0" t="inlineStr">
        <is>
          <t>NULL</t>
        </is>
      </c>
      <c r="J1033" s="0" t="inlineStr">
        <is>
          <t>NULL</t>
        </is>
      </c>
      <c r="K1033" s="0" t="inlineStr">
        <is>
          <t>YES! 	 c_nchar20列源备映射正确，源端为nchar 40位	期望更改为nchar(n)	实际备端为nchar 40位</t>
        </is>
      </c>
    </row>
    <row r="1034">
      <c r="B1034" s="0" t="inlineStr">
        <is>
          <t>NULL</t>
        </is>
      </c>
      <c r="C1034" s="0" t="inlineStr">
        <is>
          <t>NULL</t>
        </is>
      </c>
      <c r="D1034" s="0" t="inlineStr">
        <is>
          <t>NULL</t>
        </is>
      </c>
      <c r="E1034" s="0" t="inlineStr">
        <is>
          <t>NULL</t>
        </is>
      </c>
      <c r="F1034" s="0" t="inlineStr">
        <is>
          <t>NULL</t>
        </is>
      </c>
      <c r="G1034" s="0" t="inlineStr">
        <is>
          <t>NULL</t>
        </is>
      </c>
      <c r="H1034" s="0" t="inlineStr">
        <is>
          <t>NULL</t>
        </is>
      </c>
      <c r="I1034" s="0" t="inlineStr">
        <is>
          <t>NULL</t>
        </is>
      </c>
      <c r="J1034" s="0" t="inlineStr">
        <is>
          <t>NULL</t>
        </is>
      </c>
      <c r="K1034" s="0" t="inlineStr">
        <is>
          <t>YES! 	 c_nchar3500列源备映射正确，源端为nchar 7000位	期望更改为nchar(n)	实际备端为nchar 7000位</t>
        </is>
      </c>
    </row>
    <row r="1035">
      <c r="A1035" s="0" t="inlineStr">
        <is>
          <t>info_sdt_dml_single_pk_irp</t>
        </is>
      </c>
      <c r="K1035" s="0" t="inlineStr">
        <is>
          <t>[0;34m info_sdt_dml_single_pk_irp [0m源备字段数相同，源端字段：2 	备端字段2</t>
        </is>
      </c>
      <c r="W1035" s="0" t="inlineStr">
        <is>
          <t>YES 源备无差异</t>
        </is>
      </c>
      <c r="X1035" s="0">
        <f>A1035</f>
        <v/>
      </c>
    </row>
    <row r="1036">
      <c r="B1036" s="0" t="inlineStr">
        <is>
          <t>YES</t>
        </is>
      </c>
      <c r="C1036" s="0" t="inlineStr">
        <is>
          <t>NULL</t>
        </is>
      </c>
      <c r="D1036" s="0" t="inlineStr">
        <is>
          <t>NULL</t>
        </is>
      </c>
      <c r="E1036" s="0" t="inlineStr">
        <is>
          <t>NULL</t>
        </is>
      </c>
      <c r="F1036" s="0" t="inlineStr">
        <is>
          <t>NULL</t>
        </is>
      </c>
      <c r="G1036" s="0" t="inlineStr">
        <is>
          <t>NULL</t>
        </is>
      </c>
      <c r="H1036" s="0" t="inlineStr">
        <is>
          <t>NULL</t>
        </is>
      </c>
      <c r="I1036" s="0" t="inlineStr">
        <is>
          <t>YES!PK__info_sdt__3213E83F63FCCC00</t>
        </is>
      </c>
      <c r="J1036" s="0" t="inlineStr">
        <is>
          <t>YES! 主键相关索引</t>
        </is>
      </c>
      <c r="K1036" s="0" t="inlineStr">
        <is>
          <t>YES! 	 id列源备映射正确，源端为int None位	期望更改为int	实际备端为int None位</t>
        </is>
      </c>
    </row>
    <row r="1037">
      <c r="B1037" s="0" t="inlineStr">
        <is>
          <t>NULL</t>
        </is>
      </c>
      <c r="C1037" s="0" t="inlineStr">
        <is>
          <t>NULL</t>
        </is>
      </c>
      <c r="D1037" s="0" t="inlineStr">
        <is>
          <t>NULL</t>
        </is>
      </c>
      <c r="E1037" s="0" t="inlineStr">
        <is>
          <t>NULL</t>
        </is>
      </c>
      <c r="F1037" s="0" t="inlineStr">
        <is>
          <t>NULL</t>
        </is>
      </c>
      <c r="G1037" s="0" t="inlineStr">
        <is>
          <t>NULL</t>
        </is>
      </c>
      <c r="H1037" s="0" t="inlineStr">
        <is>
          <t>NULL</t>
        </is>
      </c>
      <c r="I1037" s="0" t="inlineStr">
        <is>
          <t>NULL</t>
        </is>
      </c>
      <c r="J1037" s="0" t="inlineStr">
        <is>
          <t>NULL</t>
        </is>
      </c>
      <c r="K1037" s="0" t="inlineStr">
        <is>
          <t>YES! 	 c_sdt列源备映射正确，源端为smalldatetime None位	期望更改为smalldatetime	实际备端为smalldatetime None位</t>
        </is>
      </c>
    </row>
    <row r="1038">
      <c r="A1038" s="0" t="inlineStr">
        <is>
          <t>info_uniqueidentifier_dml_single_nopk</t>
        </is>
      </c>
      <c r="K1038" s="0" t="inlineStr">
        <is>
          <t>[0;34m info_uniqueidentifier_dml_single_nopk [0m源备字段数相同，源端字段：2 	备端字段2</t>
        </is>
      </c>
      <c r="W1038" s="0" t="inlineStr">
        <is>
          <t>YES 源备无差异</t>
        </is>
      </c>
      <c r="X1038" s="0">
        <f>A1038</f>
        <v/>
      </c>
    </row>
    <row r="1039">
      <c r="B1039" s="0" t="inlineStr">
        <is>
          <t>NULL</t>
        </is>
      </c>
      <c r="C1039" s="0" t="inlineStr">
        <is>
          <t>NULL</t>
        </is>
      </c>
      <c r="D1039" s="0" t="inlineStr">
        <is>
          <t>NULL</t>
        </is>
      </c>
      <c r="E1039" s="0" t="inlineStr">
        <is>
          <t>NULL</t>
        </is>
      </c>
      <c r="F1039" s="0" t="inlineStr">
        <is>
          <t>NULL</t>
        </is>
      </c>
      <c r="G1039" s="0" t="inlineStr">
        <is>
          <t>NULL</t>
        </is>
      </c>
      <c r="H1039" s="0" t="inlineStr">
        <is>
          <t>NULL</t>
        </is>
      </c>
      <c r="I1039" s="0" t="inlineStr">
        <is>
          <t>NULL</t>
        </is>
      </c>
      <c r="J1039" s="0" t="inlineStr">
        <is>
          <t>NULL</t>
        </is>
      </c>
      <c r="K1039" s="0" t="inlineStr">
        <is>
          <t>YES! 	 id列源备映射正确，源端为int None位	期望更改为int	实际备端为int None位</t>
        </is>
      </c>
    </row>
    <row r="1040">
      <c r="B1040" s="0" t="inlineStr">
        <is>
          <t>NULL</t>
        </is>
      </c>
      <c r="C1040" s="0" t="inlineStr">
        <is>
          <t>NULL</t>
        </is>
      </c>
      <c r="D1040" s="0" t="inlineStr">
        <is>
          <t>NULL</t>
        </is>
      </c>
      <c r="E1040" s="0" t="inlineStr">
        <is>
          <t>NULL</t>
        </is>
      </c>
      <c r="F1040" s="0" t="inlineStr">
        <is>
          <t>NULL</t>
        </is>
      </c>
      <c r="G1040" s="0" t="inlineStr">
        <is>
          <t>NULL</t>
        </is>
      </c>
      <c r="H1040" s="0" t="inlineStr">
        <is>
          <t>NULL</t>
        </is>
      </c>
      <c r="I1040" s="0" t="inlineStr">
        <is>
          <t>NULL</t>
        </is>
      </c>
      <c r="J1040" s="0" t="inlineStr">
        <is>
          <t>NULL</t>
        </is>
      </c>
      <c r="K1040" s="0" t="inlineStr">
        <is>
          <t>YES! 	 c_uniqueidentifier列源备映射正确，源端为uniqueidentifier None位	期望更改为uniqueidentifier	实际备端为uniqueidentifier None位</t>
        </is>
      </c>
    </row>
    <row r="1041">
      <c r="A1041" s="0" t="inlineStr">
        <is>
          <t>info_datetime2_dml_batch1_pk_urp1</t>
        </is>
      </c>
      <c r="K1041" s="0" t="inlineStr">
        <is>
          <t>[0;34m info_datetime2_dml_batch1_pk_urp1 [0m源备字段数相同，源端字段：9 	备端字段9</t>
        </is>
      </c>
      <c r="W1041" s="0" t="inlineStr">
        <is>
          <t>YES 源备无差异</t>
        </is>
      </c>
      <c r="X1041" s="0">
        <f>A1041</f>
        <v/>
      </c>
    </row>
    <row r="1042">
      <c r="B1042" s="0" t="inlineStr">
        <is>
          <t>YES</t>
        </is>
      </c>
      <c r="C1042" s="0" t="inlineStr">
        <is>
          <t>NULL</t>
        </is>
      </c>
      <c r="D1042" s="0" t="inlineStr">
        <is>
          <t>NULL</t>
        </is>
      </c>
      <c r="E1042" s="0" t="inlineStr">
        <is>
          <t>NULL</t>
        </is>
      </c>
      <c r="F1042" s="0" t="inlineStr">
        <is>
          <t>NULL</t>
        </is>
      </c>
      <c r="G1042" s="0" t="inlineStr">
        <is>
          <t>NULL</t>
        </is>
      </c>
      <c r="H1042" s="0" t="inlineStr">
        <is>
          <t>NULL</t>
        </is>
      </c>
      <c r="I1042" s="0" t="inlineStr">
        <is>
          <t>YES!PK__info_dat__3213E83F0F515F5B</t>
        </is>
      </c>
      <c r="J1042" s="0" t="inlineStr">
        <is>
          <t>YES! 主键相关索引</t>
        </is>
      </c>
      <c r="K1042" s="0" t="inlineStr">
        <is>
          <t>YES! 	 id列源备映射正确，源端为int None位	期望更改为int	实际备端为int None位</t>
        </is>
      </c>
    </row>
    <row r="1043">
      <c r="B1043" s="0" t="inlineStr">
        <is>
          <t>NULL</t>
        </is>
      </c>
      <c r="C1043" s="0" t="inlineStr">
        <is>
          <t>NULL</t>
        </is>
      </c>
      <c r="D1043" s="0" t="inlineStr">
        <is>
          <t>NULL</t>
        </is>
      </c>
      <c r="E1043" s="0" t="inlineStr">
        <is>
          <t>NULL</t>
        </is>
      </c>
      <c r="F1043" s="0" t="inlineStr">
        <is>
          <t>NULL</t>
        </is>
      </c>
      <c r="G1043" s="0" t="inlineStr">
        <is>
          <t>NULL</t>
        </is>
      </c>
      <c r="H1043" s="0" t="inlineStr">
        <is>
          <t>NULL</t>
        </is>
      </c>
      <c r="I1043" s="0" t="inlineStr">
        <is>
          <t>NULL</t>
        </is>
      </c>
      <c r="J1043" s="0" t="inlineStr">
        <is>
          <t>NULL</t>
        </is>
      </c>
      <c r="K1043" s="0" t="inlineStr">
        <is>
          <t>no,len不存在</t>
        </is>
      </c>
    </row>
    <row r="1044">
      <c r="B1044" s="0" t="inlineStr">
        <is>
          <t>NULL</t>
        </is>
      </c>
      <c r="C1044" s="0" t="inlineStr">
        <is>
          <t>NULL</t>
        </is>
      </c>
      <c r="D1044" s="0" t="inlineStr">
        <is>
          <t>NULL</t>
        </is>
      </c>
      <c r="E1044" s="0" t="inlineStr">
        <is>
          <t>NULL</t>
        </is>
      </c>
      <c r="F1044" s="0" t="inlineStr">
        <is>
          <t>NULL</t>
        </is>
      </c>
      <c r="G1044" s="0" t="inlineStr">
        <is>
          <t>NULL</t>
        </is>
      </c>
      <c r="H1044" s="0" t="inlineStr">
        <is>
          <t>NULL</t>
        </is>
      </c>
      <c r="I1044" s="0" t="inlineStr">
        <is>
          <t>NULL</t>
        </is>
      </c>
      <c r="J1044" s="0" t="inlineStr">
        <is>
          <t>NULL</t>
        </is>
      </c>
      <c r="K1044" s="0" t="inlineStr">
        <is>
          <t>YES! 	 c_dt2_1列源备映射正确，源端为datetime2 None位	期望更改为datetime2(n)	实际备端为datetime2 None位</t>
        </is>
      </c>
    </row>
    <row r="1045">
      <c r="B1045" s="0" t="inlineStr">
        <is>
          <t>NULL</t>
        </is>
      </c>
      <c r="C1045" s="0" t="inlineStr">
        <is>
          <t>NULL</t>
        </is>
      </c>
      <c r="D1045" s="0" t="inlineStr">
        <is>
          <t>NULL</t>
        </is>
      </c>
      <c r="E1045" s="0" t="inlineStr">
        <is>
          <t>NULL</t>
        </is>
      </c>
      <c r="F1045" s="0" t="inlineStr">
        <is>
          <t>NULL</t>
        </is>
      </c>
      <c r="G1045" s="0" t="inlineStr">
        <is>
          <t>NULL</t>
        </is>
      </c>
      <c r="H1045" s="0" t="inlineStr">
        <is>
          <t>NULL</t>
        </is>
      </c>
      <c r="I1045" s="0" t="inlineStr">
        <is>
          <t>NULL</t>
        </is>
      </c>
      <c r="J1045" s="0" t="inlineStr">
        <is>
          <t>NULL</t>
        </is>
      </c>
      <c r="K1045" s="0" t="inlineStr">
        <is>
          <t>YES! 	 c_dt2_2列源备映射正确，源端为datetime2 None位	期望更改为datetime2(n)	实际备端为datetime2 None位</t>
        </is>
      </c>
    </row>
    <row r="1046">
      <c r="B1046" s="0" t="inlineStr">
        <is>
          <t>NULL</t>
        </is>
      </c>
      <c r="C1046" s="0" t="inlineStr">
        <is>
          <t>NULL</t>
        </is>
      </c>
      <c r="D1046" s="0" t="inlineStr">
        <is>
          <t>NULL</t>
        </is>
      </c>
      <c r="E1046" s="0" t="inlineStr">
        <is>
          <t>NULL</t>
        </is>
      </c>
      <c r="F1046" s="0" t="inlineStr">
        <is>
          <t>NULL</t>
        </is>
      </c>
      <c r="G1046" s="0" t="inlineStr">
        <is>
          <t>NULL</t>
        </is>
      </c>
      <c r="H1046" s="0" t="inlineStr">
        <is>
          <t>NULL</t>
        </is>
      </c>
      <c r="I1046" s="0" t="inlineStr">
        <is>
          <t>NULL</t>
        </is>
      </c>
      <c r="J1046" s="0" t="inlineStr">
        <is>
          <t>NULL</t>
        </is>
      </c>
      <c r="K1046" s="0" t="inlineStr">
        <is>
          <t>YES! 	 c_dt2_3列源备映射正确，源端为datetime2 None位	期望更改为datetime2(n)	实际备端为datetime2 None位</t>
        </is>
      </c>
    </row>
    <row r="1047">
      <c r="B1047" s="0" t="inlineStr">
        <is>
          <t>NULL</t>
        </is>
      </c>
      <c r="C1047" s="0" t="inlineStr">
        <is>
          <t>NULL</t>
        </is>
      </c>
      <c r="D1047" s="0" t="inlineStr">
        <is>
          <t>NULL</t>
        </is>
      </c>
      <c r="E1047" s="0" t="inlineStr">
        <is>
          <t>NULL</t>
        </is>
      </c>
      <c r="F1047" s="0" t="inlineStr">
        <is>
          <t>NULL</t>
        </is>
      </c>
      <c r="G1047" s="0" t="inlineStr">
        <is>
          <t>NULL</t>
        </is>
      </c>
      <c r="H1047" s="0" t="inlineStr">
        <is>
          <t>NULL</t>
        </is>
      </c>
      <c r="I1047" s="0" t="inlineStr">
        <is>
          <t>NULL</t>
        </is>
      </c>
      <c r="J1047" s="0" t="inlineStr">
        <is>
          <t>NULL</t>
        </is>
      </c>
      <c r="K1047" s="0" t="inlineStr">
        <is>
          <t>YES! 	 c_dt2_4列源备映射正确，源端为datetime2 None位	期望更改为datetime2(n)	实际备端为datetime2 None位</t>
        </is>
      </c>
    </row>
    <row r="1048">
      <c r="B1048" s="0" t="inlineStr">
        <is>
          <t>NULL</t>
        </is>
      </c>
      <c r="C1048" s="0" t="inlineStr">
        <is>
          <t>NULL</t>
        </is>
      </c>
      <c r="D1048" s="0" t="inlineStr">
        <is>
          <t>NULL</t>
        </is>
      </c>
      <c r="E1048" s="0" t="inlineStr">
        <is>
          <t>NULL</t>
        </is>
      </c>
      <c r="F1048" s="0" t="inlineStr">
        <is>
          <t>NULL</t>
        </is>
      </c>
      <c r="G1048" s="0" t="inlineStr">
        <is>
          <t>NULL</t>
        </is>
      </c>
      <c r="H1048" s="0" t="inlineStr">
        <is>
          <t>NULL</t>
        </is>
      </c>
      <c r="I1048" s="0" t="inlineStr">
        <is>
          <t>NULL</t>
        </is>
      </c>
      <c r="J1048" s="0" t="inlineStr">
        <is>
          <t>NULL</t>
        </is>
      </c>
      <c r="K1048" s="0" t="inlineStr">
        <is>
          <t>YES! 	 c_dt2_5列源备映射正确，源端为datetime2 None位	期望更改为datetime2(n)	实际备端为datetime2 None位</t>
        </is>
      </c>
    </row>
    <row r="1049">
      <c r="B1049" s="0" t="inlineStr">
        <is>
          <t>NULL</t>
        </is>
      </c>
      <c r="C1049" s="0" t="inlineStr">
        <is>
          <t>NULL</t>
        </is>
      </c>
      <c r="D1049" s="0" t="inlineStr">
        <is>
          <t>NULL</t>
        </is>
      </c>
      <c r="E1049" s="0" t="inlineStr">
        <is>
          <t>NULL</t>
        </is>
      </c>
      <c r="F1049" s="0" t="inlineStr">
        <is>
          <t>NULL</t>
        </is>
      </c>
      <c r="G1049" s="0" t="inlineStr">
        <is>
          <t>NULL</t>
        </is>
      </c>
      <c r="H1049" s="0" t="inlineStr">
        <is>
          <t>NULL</t>
        </is>
      </c>
      <c r="I1049" s="0" t="inlineStr">
        <is>
          <t>NULL</t>
        </is>
      </c>
      <c r="J1049" s="0" t="inlineStr">
        <is>
          <t>NULL</t>
        </is>
      </c>
      <c r="K1049" s="0" t="inlineStr">
        <is>
          <t>YES! 	 c_dt2_6列源备映射正确，源端为datetime2 None位	期望更改为datetime2(n)	实际备端为datetime2 None位</t>
        </is>
      </c>
    </row>
    <row r="1050">
      <c r="B1050" s="0" t="inlineStr">
        <is>
          <t>NULL</t>
        </is>
      </c>
      <c r="C1050" s="0" t="inlineStr">
        <is>
          <t>NULL</t>
        </is>
      </c>
      <c r="D1050" s="0" t="inlineStr">
        <is>
          <t>NULL</t>
        </is>
      </c>
      <c r="E1050" s="0" t="inlineStr">
        <is>
          <t>NULL</t>
        </is>
      </c>
      <c r="F1050" s="0" t="inlineStr">
        <is>
          <t>NULL</t>
        </is>
      </c>
      <c r="G1050" s="0" t="inlineStr">
        <is>
          <t>NULL</t>
        </is>
      </c>
      <c r="H1050" s="0" t="inlineStr">
        <is>
          <t>NULL</t>
        </is>
      </c>
      <c r="I1050" s="0" t="inlineStr">
        <is>
          <t>NULL</t>
        </is>
      </c>
      <c r="J1050" s="0" t="inlineStr">
        <is>
          <t>NULL</t>
        </is>
      </c>
      <c r="K1050" s="0" t="inlineStr">
        <is>
          <t>YES! 	 c_dt2列源备映射正确，源端为datetime2 None位	期望更改为datetime2(n)	实际备端为datetime2 None位</t>
        </is>
      </c>
    </row>
    <row r="1051">
      <c r="A1051" s="0" t="inlineStr">
        <is>
          <t>info_nvarchar_dml_batch1_pk_irp1</t>
        </is>
      </c>
      <c r="K1051" s="0" t="inlineStr">
        <is>
          <t>[0;34m info_nvarchar_dml_batch1_pk_irp1 [0m源备字段数相同，源端字段：4 	备端字段4</t>
        </is>
      </c>
      <c r="W1051" s="0" t="inlineStr">
        <is>
          <t>YES 源备无差异</t>
        </is>
      </c>
      <c r="X1051" s="0">
        <f>A1051</f>
        <v/>
      </c>
    </row>
    <row r="1052">
      <c r="B1052" s="0" t="inlineStr">
        <is>
          <t>YES</t>
        </is>
      </c>
      <c r="C1052" s="0" t="inlineStr">
        <is>
          <t>NULL</t>
        </is>
      </c>
      <c r="D1052" s="0" t="inlineStr">
        <is>
          <t>NULL</t>
        </is>
      </c>
      <c r="E1052" s="0" t="inlineStr">
        <is>
          <t>NULL</t>
        </is>
      </c>
      <c r="F1052" s="0" t="inlineStr">
        <is>
          <t>NULL</t>
        </is>
      </c>
      <c r="G1052" s="0" t="inlineStr">
        <is>
          <t>NULL</t>
        </is>
      </c>
      <c r="H1052" s="0" t="inlineStr">
        <is>
          <t>NULL</t>
        </is>
      </c>
      <c r="I1052" s="0" t="inlineStr">
        <is>
          <t>YES!PK__info_nva__3213E83FD4B93CAE</t>
        </is>
      </c>
      <c r="J1052" s="0" t="inlineStr">
        <is>
          <t>YES! 主键相关索引</t>
        </is>
      </c>
      <c r="K1052" s="0" t="inlineStr">
        <is>
          <t>YES! 	 id列源备映射正确，源端为int None位	期望更改为int	实际备端为int None位</t>
        </is>
      </c>
    </row>
    <row r="1053">
      <c r="B1053" s="0" t="inlineStr">
        <is>
          <t>NULL</t>
        </is>
      </c>
      <c r="C1053" s="0" t="inlineStr">
        <is>
          <t>NULL</t>
        </is>
      </c>
      <c r="D1053" s="0" t="inlineStr">
        <is>
          <t>NULL</t>
        </is>
      </c>
      <c r="E1053" s="0" t="inlineStr">
        <is>
          <t>NULL</t>
        </is>
      </c>
      <c r="F1053" s="0" t="inlineStr">
        <is>
          <t>NULL</t>
        </is>
      </c>
      <c r="G1053" s="0" t="inlineStr">
        <is>
          <t>NULL</t>
        </is>
      </c>
      <c r="H1053" s="0" t="inlineStr">
        <is>
          <t>NULL</t>
        </is>
      </c>
      <c r="I1053" s="0" t="inlineStr">
        <is>
          <t>NULL</t>
        </is>
      </c>
      <c r="J1053" s="0" t="inlineStr">
        <is>
          <t>NULL</t>
        </is>
      </c>
      <c r="K1053" s="0" t="inlineStr">
        <is>
          <t>YES! 	 c_nvarchar列源备映射正确，源端为nvarchar 2位	期望更改为nvarchar(n)	实际备端为nvarchar 2位</t>
        </is>
      </c>
    </row>
    <row r="1054">
      <c r="B1054" s="0" t="inlineStr">
        <is>
          <t>NULL</t>
        </is>
      </c>
      <c r="C1054" s="0" t="inlineStr">
        <is>
          <t>NULL</t>
        </is>
      </c>
      <c r="D1054" s="0" t="inlineStr">
        <is>
          <t>NULL</t>
        </is>
      </c>
      <c r="E1054" s="0" t="inlineStr">
        <is>
          <t>NULL</t>
        </is>
      </c>
      <c r="F1054" s="0" t="inlineStr">
        <is>
          <t>NULL</t>
        </is>
      </c>
      <c r="G1054" s="0" t="inlineStr">
        <is>
          <t>NULL</t>
        </is>
      </c>
      <c r="H1054" s="0" t="inlineStr">
        <is>
          <t>NULL</t>
        </is>
      </c>
      <c r="I1054" s="0" t="inlineStr">
        <is>
          <t>NULL</t>
        </is>
      </c>
      <c r="J1054" s="0" t="inlineStr">
        <is>
          <t>NULL</t>
        </is>
      </c>
      <c r="K1054" s="0" t="inlineStr">
        <is>
          <t>YES! 	 c_nvarchar20列源备映射正确，源端为nvarchar 40位	期望更改为nvarchar(n)	实际备端为nvarchar 40位</t>
        </is>
      </c>
    </row>
    <row r="1055">
      <c r="B1055" s="0" t="inlineStr">
        <is>
          <t>NULL</t>
        </is>
      </c>
      <c r="C1055" s="0" t="inlineStr">
        <is>
          <t>NULL</t>
        </is>
      </c>
      <c r="D1055" s="0" t="inlineStr">
        <is>
          <t>NULL</t>
        </is>
      </c>
      <c r="E1055" s="0" t="inlineStr">
        <is>
          <t>NULL</t>
        </is>
      </c>
      <c r="F1055" s="0" t="inlineStr">
        <is>
          <t>NULL</t>
        </is>
      </c>
      <c r="G1055" s="0" t="inlineStr">
        <is>
          <t>NULL</t>
        </is>
      </c>
      <c r="H1055" s="0" t="inlineStr">
        <is>
          <t>NULL</t>
        </is>
      </c>
      <c r="I1055" s="0" t="inlineStr">
        <is>
          <t>NULL</t>
        </is>
      </c>
      <c r="J1055" s="0" t="inlineStr">
        <is>
          <t>NULL</t>
        </is>
      </c>
      <c r="K1055" s="0" t="inlineStr">
        <is>
          <t>YES! 	 c_nvarchar4000列源备映射正确，源端为nvarchar 8000位	期望更改为nvarchar(n)	实际备端为nvarchar 8000位</t>
        </is>
      </c>
    </row>
    <row r="1056">
      <c r="A1056" s="0" t="inlineStr">
        <is>
          <t>info_sdt_dml_single_pk_urp</t>
        </is>
      </c>
      <c r="K1056" s="0" t="inlineStr">
        <is>
          <t>[0;34m info_sdt_dml_single_pk_urp [0m源备字段数相同，源端字段：2 	备端字段2</t>
        </is>
      </c>
      <c r="W1056" s="0" t="inlineStr">
        <is>
          <t>YES 源备无差异</t>
        </is>
      </c>
      <c r="X1056" s="0">
        <f>A1056</f>
        <v/>
      </c>
    </row>
    <row r="1057">
      <c r="B1057" s="0" t="inlineStr">
        <is>
          <t>YES</t>
        </is>
      </c>
      <c r="C1057" s="0" t="inlineStr">
        <is>
          <t>NULL</t>
        </is>
      </c>
      <c r="D1057" s="0" t="inlineStr">
        <is>
          <t>NULL</t>
        </is>
      </c>
      <c r="E1057" s="0" t="inlineStr">
        <is>
          <t>NULL</t>
        </is>
      </c>
      <c r="F1057" s="0" t="inlineStr">
        <is>
          <t>NULL</t>
        </is>
      </c>
      <c r="G1057" s="0" t="inlineStr">
        <is>
          <t>NULL</t>
        </is>
      </c>
      <c r="H1057" s="0" t="inlineStr">
        <is>
          <t>NULL</t>
        </is>
      </c>
      <c r="I1057" s="0" t="inlineStr">
        <is>
          <t>YES!PK__info_sdt__3213E83F06D79574</t>
        </is>
      </c>
      <c r="J1057" s="0" t="inlineStr">
        <is>
          <t>YES! 主键相关索引</t>
        </is>
      </c>
      <c r="K1057" s="0" t="inlineStr">
        <is>
          <t>YES! 	 id列源备映射正确，源端为int None位	期望更改为int	实际备端为int None位</t>
        </is>
      </c>
    </row>
    <row r="1058">
      <c r="B1058" s="0" t="inlineStr">
        <is>
          <t>NULL</t>
        </is>
      </c>
      <c r="C1058" s="0" t="inlineStr">
        <is>
          <t>NULL</t>
        </is>
      </c>
      <c r="D1058" s="0" t="inlineStr">
        <is>
          <t>NULL</t>
        </is>
      </c>
      <c r="E1058" s="0" t="inlineStr">
        <is>
          <t>NULL</t>
        </is>
      </c>
      <c r="F1058" s="0" t="inlineStr">
        <is>
          <t>NULL</t>
        </is>
      </c>
      <c r="G1058" s="0" t="inlineStr">
        <is>
          <t>NULL</t>
        </is>
      </c>
      <c r="H1058" s="0" t="inlineStr">
        <is>
          <t>NULL</t>
        </is>
      </c>
      <c r="I1058" s="0" t="inlineStr">
        <is>
          <t>NULL</t>
        </is>
      </c>
      <c r="J1058" s="0" t="inlineStr">
        <is>
          <t>NULL</t>
        </is>
      </c>
      <c r="K1058" s="0" t="inlineStr">
        <is>
          <t>YES! 	 c_sdt列源备映射正确，源端为smalldatetime None位	期望更改为smalldatetime	实际备端为smalldatetime None位</t>
        </is>
      </c>
    </row>
    <row r="1059">
      <c r="A1059" s="0" t="inlineStr">
        <is>
          <t>info_binary_dml_single_nopk_irp</t>
        </is>
      </c>
      <c r="K1059" s="0" t="inlineStr">
        <is>
          <t>[0;34m info_binary_dml_single_nopk_irp [0m源备字段数相同，源端字段：4 	备端字段4</t>
        </is>
      </c>
      <c r="W1059" s="0" t="inlineStr">
        <is>
          <t>YES 源备无差异</t>
        </is>
      </c>
      <c r="X1059" s="0">
        <f>A1059</f>
        <v/>
      </c>
    </row>
    <row r="1060">
      <c r="B1060" s="0" t="inlineStr">
        <is>
          <t>NULL</t>
        </is>
      </c>
      <c r="C1060" s="0" t="inlineStr">
        <is>
          <t>NULL</t>
        </is>
      </c>
      <c r="D1060" s="0" t="inlineStr">
        <is>
          <t>NULL</t>
        </is>
      </c>
      <c r="E1060" s="0" t="inlineStr">
        <is>
          <t>NULL</t>
        </is>
      </c>
      <c r="F1060" s="0" t="inlineStr">
        <is>
          <t>NULL</t>
        </is>
      </c>
      <c r="G1060" s="0" t="inlineStr">
        <is>
          <t>NULL</t>
        </is>
      </c>
      <c r="H1060" s="0" t="inlineStr">
        <is>
          <t>NULL</t>
        </is>
      </c>
      <c r="I1060" s="0" t="inlineStr">
        <is>
          <t>NULL</t>
        </is>
      </c>
      <c r="J1060" s="0" t="inlineStr">
        <is>
          <t>NULL</t>
        </is>
      </c>
      <c r="K1060" s="0" t="inlineStr">
        <is>
          <t>YES! 	 id列源备映射正确，源端为int None位	期望更改为int	实际备端为int None位</t>
        </is>
      </c>
    </row>
    <row r="1061">
      <c r="B1061" s="0" t="inlineStr">
        <is>
          <t>NULL</t>
        </is>
      </c>
      <c r="C1061" s="0" t="inlineStr">
        <is>
          <t>NULL</t>
        </is>
      </c>
      <c r="D1061" s="0" t="inlineStr">
        <is>
          <t>NULL</t>
        </is>
      </c>
      <c r="E1061" s="0" t="inlineStr">
        <is>
          <t>NULL</t>
        </is>
      </c>
      <c r="F1061" s="0" t="inlineStr">
        <is>
          <t>NULL</t>
        </is>
      </c>
      <c r="G1061" s="0" t="inlineStr">
        <is>
          <t>NULL</t>
        </is>
      </c>
      <c r="H1061" s="0" t="inlineStr">
        <is>
          <t>NULL</t>
        </is>
      </c>
      <c r="I1061" s="0" t="inlineStr">
        <is>
          <t>NULL</t>
        </is>
      </c>
      <c r="J1061" s="0" t="inlineStr">
        <is>
          <t>NULL</t>
        </is>
      </c>
      <c r="K1061" s="0" t="inlineStr">
        <is>
          <t>YES! 	 c_binary列源备映射正确，源端为binary 1位	期望更改为binary(n)	实际备端为binary 1位</t>
        </is>
      </c>
    </row>
    <row r="1062">
      <c r="B1062" s="0" t="inlineStr">
        <is>
          <t>NULL</t>
        </is>
      </c>
      <c r="C1062" s="0" t="inlineStr">
        <is>
          <t>NULL</t>
        </is>
      </c>
      <c r="D1062" s="0" t="inlineStr">
        <is>
          <t>NULL</t>
        </is>
      </c>
      <c r="E1062" s="0" t="inlineStr">
        <is>
          <t>NULL</t>
        </is>
      </c>
      <c r="F1062" s="0" t="inlineStr">
        <is>
          <t>NULL</t>
        </is>
      </c>
      <c r="G1062" s="0" t="inlineStr">
        <is>
          <t>NULL</t>
        </is>
      </c>
      <c r="H1062" s="0" t="inlineStr">
        <is>
          <t>NULL</t>
        </is>
      </c>
      <c r="I1062" s="0" t="inlineStr">
        <is>
          <t>NULL</t>
        </is>
      </c>
      <c r="J1062" s="0" t="inlineStr">
        <is>
          <t>NULL</t>
        </is>
      </c>
      <c r="K1062" s="0" t="inlineStr">
        <is>
          <t>YES! 	 c_binary_20列源备映射正确，源端为binary 20位	期望更改为binary(n)	实际备端为binary 20位</t>
        </is>
      </c>
    </row>
    <row r="1063">
      <c r="B1063" s="0" t="inlineStr">
        <is>
          <t>NULL</t>
        </is>
      </c>
      <c r="C1063" s="0" t="inlineStr">
        <is>
          <t>NULL</t>
        </is>
      </c>
      <c r="D1063" s="0" t="inlineStr">
        <is>
          <t>NULL</t>
        </is>
      </c>
      <c r="E1063" s="0" t="inlineStr">
        <is>
          <t>NULL</t>
        </is>
      </c>
      <c r="F1063" s="0" t="inlineStr">
        <is>
          <t>NULL</t>
        </is>
      </c>
      <c r="G1063" s="0" t="inlineStr">
        <is>
          <t>NULL</t>
        </is>
      </c>
      <c r="H1063" s="0" t="inlineStr">
        <is>
          <t>NULL</t>
        </is>
      </c>
      <c r="I1063" s="0" t="inlineStr">
        <is>
          <t>NULL</t>
        </is>
      </c>
      <c r="J1063" s="0" t="inlineStr">
        <is>
          <t>NULL</t>
        </is>
      </c>
      <c r="K1063" s="0" t="inlineStr">
        <is>
          <t>YES! 	 c_binary_8000列源备映射正确，源端为binary 8000位	期望更改为binary(n)	实际备端为binary 8000位</t>
        </is>
      </c>
    </row>
    <row r="1064">
      <c r="A1064" s="0" t="inlineStr">
        <is>
          <t>info_datetime2_dml_batch1_pk_urp2</t>
        </is>
      </c>
      <c r="K1064" s="0" t="inlineStr">
        <is>
          <t>[0;34m info_datetime2_dml_batch1_pk_urp2 [0m源备字段数相同，源端字段：9 	备端字段9</t>
        </is>
      </c>
      <c r="W1064" s="0" t="inlineStr">
        <is>
          <t>YES 源备无差异</t>
        </is>
      </c>
      <c r="X1064" s="0">
        <f>A1064</f>
        <v/>
      </c>
    </row>
    <row r="1065">
      <c r="B1065" s="0" t="inlineStr">
        <is>
          <t>YES</t>
        </is>
      </c>
      <c r="C1065" s="0" t="inlineStr">
        <is>
          <t>NULL</t>
        </is>
      </c>
      <c r="D1065" s="0" t="inlineStr">
        <is>
          <t>NULL</t>
        </is>
      </c>
      <c r="E1065" s="0" t="inlineStr">
        <is>
          <t>NULL</t>
        </is>
      </c>
      <c r="F1065" s="0" t="inlineStr">
        <is>
          <t>NULL</t>
        </is>
      </c>
      <c r="G1065" s="0" t="inlineStr">
        <is>
          <t>NULL</t>
        </is>
      </c>
      <c r="H1065" s="0" t="inlineStr">
        <is>
          <t>NULL</t>
        </is>
      </c>
      <c r="I1065" s="0" t="inlineStr">
        <is>
          <t>YES!PK__info_dat__3213E83FB73D9BC9</t>
        </is>
      </c>
      <c r="J1065" s="0" t="inlineStr">
        <is>
          <t>YES! 主键相关索引</t>
        </is>
      </c>
      <c r="K1065" s="0" t="inlineStr">
        <is>
          <t>YES! 	 id列源备映射正确，源端为int None位	期望更改为int	实际备端为int None位</t>
        </is>
      </c>
    </row>
    <row r="1066">
      <c r="B1066" s="0" t="inlineStr">
        <is>
          <t>NULL</t>
        </is>
      </c>
      <c r="C1066" s="0" t="inlineStr">
        <is>
          <t>NULL</t>
        </is>
      </c>
      <c r="D1066" s="0" t="inlineStr">
        <is>
          <t>NULL</t>
        </is>
      </c>
      <c r="E1066" s="0" t="inlineStr">
        <is>
          <t>NULL</t>
        </is>
      </c>
      <c r="F1066" s="0" t="inlineStr">
        <is>
          <t>NULL</t>
        </is>
      </c>
      <c r="G1066" s="0" t="inlineStr">
        <is>
          <t>NULL</t>
        </is>
      </c>
      <c r="H1066" s="0" t="inlineStr">
        <is>
          <t>NULL</t>
        </is>
      </c>
      <c r="I1066" s="0" t="inlineStr">
        <is>
          <t>NULL</t>
        </is>
      </c>
      <c r="J1066" s="0" t="inlineStr">
        <is>
          <t>NULL</t>
        </is>
      </c>
      <c r="K1066" s="0" t="inlineStr">
        <is>
          <t>no,len不存在</t>
        </is>
      </c>
    </row>
    <row r="1067">
      <c r="B1067" s="0" t="inlineStr">
        <is>
          <t>NULL</t>
        </is>
      </c>
      <c r="C1067" s="0" t="inlineStr">
        <is>
          <t>NULL</t>
        </is>
      </c>
      <c r="D1067" s="0" t="inlineStr">
        <is>
          <t>NULL</t>
        </is>
      </c>
      <c r="E1067" s="0" t="inlineStr">
        <is>
          <t>NULL</t>
        </is>
      </c>
      <c r="F1067" s="0" t="inlineStr">
        <is>
          <t>NULL</t>
        </is>
      </c>
      <c r="G1067" s="0" t="inlineStr">
        <is>
          <t>NULL</t>
        </is>
      </c>
      <c r="H1067" s="0" t="inlineStr">
        <is>
          <t>NULL</t>
        </is>
      </c>
      <c r="I1067" s="0" t="inlineStr">
        <is>
          <t>NULL</t>
        </is>
      </c>
      <c r="J1067" s="0" t="inlineStr">
        <is>
          <t>NULL</t>
        </is>
      </c>
      <c r="K1067" s="0" t="inlineStr">
        <is>
          <t>YES! 	 c_dt2_1列源备映射正确，源端为datetime2 None位	期望更改为datetime2(n)	实际备端为datetime2 None位</t>
        </is>
      </c>
    </row>
    <row r="1068">
      <c r="B1068" s="0" t="inlineStr">
        <is>
          <t>NULL</t>
        </is>
      </c>
      <c r="C1068" s="0" t="inlineStr">
        <is>
          <t>NULL</t>
        </is>
      </c>
      <c r="D1068" s="0" t="inlineStr">
        <is>
          <t>NULL</t>
        </is>
      </c>
      <c r="E1068" s="0" t="inlineStr">
        <is>
          <t>NULL</t>
        </is>
      </c>
      <c r="F1068" s="0" t="inlineStr">
        <is>
          <t>NULL</t>
        </is>
      </c>
      <c r="G1068" s="0" t="inlineStr">
        <is>
          <t>NULL</t>
        </is>
      </c>
      <c r="H1068" s="0" t="inlineStr">
        <is>
          <t>NULL</t>
        </is>
      </c>
      <c r="I1068" s="0" t="inlineStr">
        <is>
          <t>NULL</t>
        </is>
      </c>
      <c r="J1068" s="0" t="inlineStr">
        <is>
          <t>NULL</t>
        </is>
      </c>
      <c r="K1068" s="0" t="inlineStr">
        <is>
          <t>YES! 	 c_dt2_2列源备映射正确，源端为datetime2 None位	期望更改为datetime2(n)	实际备端为datetime2 None位</t>
        </is>
      </c>
    </row>
    <row r="1069">
      <c r="B1069" s="0" t="inlineStr">
        <is>
          <t>NULL</t>
        </is>
      </c>
      <c r="C1069" s="0" t="inlineStr">
        <is>
          <t>NULL</t>
        </is>
      </c>
      <c r="D1069" s="0" t="inlineStr">
        <is>
          <t>NULL</t>
        </is>
      </c>
      <c r="E1069" s="0" t="inlineStr">
        <is>
          <t>NULL</t>
        </is>
      </c>
      <c r="F1069" s="0" t="inlineStr">
        <is>
          <t>NULL</t>
        </is>
      </c>
      <c r="G1069" s="0" t="inlineStr">
        <is>
          <t>NULL</t>
        </is>
      </c>
      <c r="H1069" s="0" t="inlineStr">
        <is>
          <t>NULL</t>
        </is>
      </c>
      <c r="I1069" s="0" t="inlineStr">
        <is>
          <t>NULL</t>
        </is>
      </c>
      <c r="J1069" s="0" t="inlineStr">
        <is>
          <t>NULL</t>
        </is>
      </c>
      <c r="K1069" s="0" t="inlineStr">
        <is>
          <t>YES! 	 c_dt2_3列源备映射正确，源端为datetime2 None位	期望更改为datetime2(n)	实际备端为datetime2 None位</t>
        </is>
      </c>
    </row>
    <row r="1070">
      <c r="B1070" s="0" t="inlineStr">
        <is>
          <t>NULL</t>
        </is>
      </c>
      <c r="C1070" s="0" t="inlineStr">
        <is>
          <t>NULL</t>
        </is>
      </c>
      <c r="D1070" s="0" t="inlineStr">
        <is>
          <t>NULL</t>
        </is>
      </c>
      <c r="E1070" s="0" t="inlineStr">
        <is>
          <t>NULL</t>
        </is>
      </c>
      <c r="F1070" s="0" t="inlineStr">
        <is>
          <t>NULL</t>
        </is>
      </c>
      <c r="G1070" s="0" t="inlineStr">
        <is>
          <t>NULL</t>
        </is>
      </c>
      <c r="H1070" s="0" t="inlineStr">
        <is>
          <t>NULL</t>
        </is>
      </c>
      <c r="I1070" s="0" t="inlineStr">
        <is>
          <t>NULL</t>
        </is>
      </c>
      <c r="J1070" s="0" t="inlineStr">
        <is>
          <t>NULL</t>
        </is>
      </c>
      <c r="K1070" s="0" t="inlineStr">
        <is>
          <t>YES! 	 c_dt2_4列源备映射正确，源端为datetime2 None位	期望更改为datetime2(n)	实际备端为datetime2 None位</t>
        </is>
      </c>
    </row>
    <row r="1071">
      <c r="B1071" s="0" t="inlineStr">
        <is>
          <t>NULL</t>
        </is>
      </c>
      <c r="C1071" s="0" t="inlineStr">
        <is>
          <t>NULL</t>
        </is>
      </c>
      <c r="D1071" s="0" t="inlineStr">
        <is>
          <t>NULL</t>
        </is>
      </c>
      <c r="E1071" s="0" t="inlineStr">
        <is>
          <t>NULL</t>
        </is>
      </c>
      <c r="F1071" s="0" t="inlineStr">
        <is>
          <t>NULL</t>
        </is>
      </c>
      <c r="G1071" s="0" t="inlineStr">
        <is>
          <t>NULL</t>
        </is>
      </c>
      <c r="H1071" s="0" t="inlineStr">
        <is>
          <t>NULL</t>
        </is>
      </c>
      <c r="I1071" s="0" t="inlineStr">
        <is>
          <t>NULL</t>
        </is>
      </c>
      <c r="J1071" s="0" t="inlineStr">
        <is>
          <t>NULL</t>
        </is>
      </c>
      <c r="K1071" s="0" t="inlineStr">
        <is>
          <t>YES! 	 c_dt2_5列源备映射正确，源端为datetime2 None位	期望更改为datetime2(n)	实际备端为datetime2 None位</t>
        </is>
      </c>
    </row>
    <row r="1072">
      <c r="B1072" s="0" t="inlineStr">
        <is>
          <t>NULL</t>
        </is>
      </c>
      <c r="C1072" s="0" t="inlineStr">
        <is>
          <t>NULL</t>
        </is>
      </c>
      <c r="D1072" s="0" t="inlineStr">
        <is>
          <t>NULL</t>
        </is>
      </c>
      <c r="E1072" s="0" t="inlineStr">
        <is>
          <t>NULL</t>
        </is>
      </c>
      <c r="F1072" s="0" t="inlineStr">
        <is>
          <t>NULL</t>
        </is>
      </c>
      <c r="G1072" s="0" t="inlineStr">
        <is>
          <t>NULL</t>
        </is>
      </c>
      <c r="H1072" s="0" t="inlineStr">
        <is>
          <t>NULL</t>
        </is>
      </c>
      <c r="I1072" s="0" t="inlineStr">
        <is>
          <t>NULL</t>
        </is>
      </c>
      <c r="J1072" s="0" t="inlineStr">
        <is>
          <t>NULL</t>
        </is>
      </c>
      <c r="K1072" s="0" t="inlineStr">
        <is>
          <t>YES! 	 c_dt2_6列源备映射正确，源端为datetime2 None位	期望更改为datetime2(n)	实际备端为datetime2 None位</t>
        </is>
      </c>
    </row>
    <row r="1073">
      <c r="B1073" s="0" t="inlineStr">
        <is>
          <t>NULL</t>
        </is>
      </c>
      <c r="C1073" s="0" t="inlineStr">
        <is>
          <t>NULL</t>
        </is>
      </c>
      <c r="D1073" s="0" t="inlineStr">
        <is>
          <t>NULL</t>
        </is>
      </c>
      <c r="E1073" s="0" t="inlineStr">
        <is>
          <t>NULL</t>
        </is>
      </c>
      <c r="F1073" s="0" t="inlineStr">
        <is>
          <t>NULL</t>
        </is>
      </c>
      <c r="G1073" s="0" t="inlineStr">
        <is>
          <t>NULL</t>
        </is>
      </c>
      <c r="H1073" s="0" t="inlineStr">
        <is>
          <t>NULL</t>
        </is>
      </c>
      <c r="I1073" s="0" t="inlineStr">
        <is>
          <t>NULL</t>
        </is>
      </c>
      <c r="J1073" s="0" t="inlineStr">
        <is>
          <t>NULL</t>
        </is>
      </c>
      <c r="K1073" s="0" t="inlineStr">
        <is>
          <t>YES! 	 c_dt2列源备映射正确，源端为datetime2 None位	期望更改为datetime2(n)	实际备端为datetime2 None位</t>
        </is>
      </c>
    </row>
    <row r="1074">
      <c r="A1074" s="0" t="inlineStr">
        <is>
          <t>info_nvarchar_dml_batch1_pk_irp2</t>
        </is>
      </c>
      <c r="K1074" s="0" t="inlineStr">
        <is>
          <t>[0;34m info_nvarchar_dml_batch1_pk_irp2 [0m源备字段数相同，源端字段：4 	备端字段4</t>
        </is>
      </c>
      <c r="W1074" s="0" t="inlineStr">
        <is>
          <t>YES 源备无差异</t>
        </is>
      </c>
      <c r="X1074" s="0">
        <f>A1074</f>
        <v/>
      </c>
    </row>
    <row r="1075">
      <c r="B1075" s="0" t="inlineStr">
        <is>
          <t>YES</t>
        </is>
      </c>
      <c r="C1075" s="0" t="inlineStr">
        <is>
          <t>NULL</t>
        </is>
      </c>
      <c r="D1075" s="0" t="inlineStr">
        <is>
          <t>NULL</t>
        </is>
      </c>
      <c r="E1075" s="0" t="inlineStr">
        <is>
          <t>NULL</t>
        </is>
      </c>
      <c r="F1075" s="0" t="inlineStr">
        <is>
          <t>NULL</t>
        </is>
      </c>
      <c r="G1075" s="0" t="inlineStr">
        <is>
          <t>NULL</t>
        </is>
      </c>
      <c r="H1075" s="0" t="inlineStr">
        <is>
          <t>NULL</t>
        </is>
      </c>
      <c r="I1075" s="0" t="inlineStr">
        <is>
          <t>YES!PK__info_nva__3213E83FF8A54FF1</t>
        </is>
      </c>
      <c r="J1075" s="0" t="inlineStr">
        <is>
          <t>YES! 主键相关索引</t>
        </is>
      </c>
      <c r="K1075" s="0" t="inlineStr">
        <is>
          <t>YES! 	 id列源备映射正确，源端为int None位	期望更改为int	实际备端为int None位</t>
        </is>
      </c>
    </row>
    <row r="1076">
      <c r="B1076" s="0" t="inlineStr">
        <is>
          <t>NULL</t>
        </is>
      </c>
      <c r="C1076" s="0" t="inlineStr">
        <is>
          <t>NULL</t>
        </is>
      </c>
      <c r="D1076" s="0" t="inlineStr">
        <is>
          <t>NULL</t>
        </is>
      </c>
      <c r="E1076" s="0" t="inlineStr">
        <is>
          <t>NULL</t>
        </is>
      </c>
      <c r="F1076" s="0" t="inlineStr">
        <is>
          <t>NULL</t>
        </is>
      </c>
      <c r="G1076" s="0" t="inlineStr">
        <is>
          <t>NULL</t>
        </is>
      </c>
      <c r="H1076" s="0" t="inlineStr">
        <is>
          <t>NULL</t>
        </is>
      </c>
      <c r="I1076" s="0" t="inlineStr">
        <is>
          <t>NULL</t>
        </is>
      </c>
      <c r="J1076" s="0" t="inlineStr">
        <is>
          <t>NULL</t>
        </is>
      </c>
      <c r="K1076" s="0" t="inlineStr">
        <is>
          <t>YES! 	 c_nvarchar列源备映射正确，源端为nvarchar 2位	期望更改为nvarchar(n)	实际备端为nvarchar 2位</t>
        </is>
      </c>
    </row>
    <row r="1077">
      <c r="B1077" s="0" t="inlineStr">
        <is>
          <t>NULL</t>
        </is>
      </c>
      <c r="C1077" s="0" t="inlineStr">
        <is>
          <t>NULL</t>
        </is>
      </c>
      <c r="D1077" s="0" t="inlineStr">
        <is>
          <t>NULL</t>
        </is>
      </c>
      <c r="E1077" s="0" t="inlineStr">
        <is>
          <t>NULL</t>
        </is>
      </c>
      <c r="F1077" s="0" t="inlineStr">
        <is>
          <t>NULL</t>
        </is>
      </c>
      <c r="G1077" s="0" t="inlineStr">
        <is>
          <t>NULL</t>
        </is>
      </c>
      <c r="H1077" s="0" t="inlineStr">
        <is>
          <t>NULL</t>
        </is>
      </c>
      <c r="I1077" s="0" t="inlineStr">
        <is>
          <t>NULL</t>
        </is>
      </c>
      <c r="J1077" s="0" t="inlineStr">
        <is>
          <t>NULL</t>
        </is>
      </c>
      <c r="K1077" s="0" t="inlineStr">
        <is>
          <t>YES! 	 c_nvarchar20列源备映射正确，源端为nvarchar 40位	期望更改为nvarchar(n)	实际备端为nvarchar 40位</t>
        </is>
      </c>
    </row>
    <row r="1078">
      <c r="B1078" s="0" t="inlineStr">
        <is>
          <t>NULL</t>
        </is>
      </c>
      <c r="C1078" s="0" t="inlineStr">
        <is>
          <t>NULL</t>
        </is>
      </c>
      <c r="D1078" s="0" t="inlineStr">
        <is>
          <t>NULL</t>
        </is>
      </c>
      <c r="E1078" s="0" t="inlineStr">
        <is>
          <t>NULL</t>
        </is>
      </c>
      <c r="F1078" s="0" t="inlineStr">
        <is>
          <t>NULL</t>
        </is>
      </c>
      <c r="G1078" s="0" t="inlineStr">
        <is>
          <t>NULL</t>
        </is>
      </c>
      <c r="H1078" s="0" t="inlineStr">
        <is>
          <t>NULL</t>
        </is>
      </c>
      <c r="I1078" s="0" t="inlineStr">
        <is>
          <t>NULL</t>
        </is>
      </c>
      <c r="J1078" s="0" t="inlineStr">
        <is>
          <t>NULL</t>
        </is>
      </c>
      <c r="K1078" s="0" t="inlineStr">
        <is>
          <t>YES! 	 c_nvarchar3500列源备映射正确，源端为nvarchar 7000位	期望更改为nvarchar(n)	实际备端为nvarchar 7000位</t>
        </is>
      </c>
    </row>
    <row r="1079">
      <c r="A1079" s="0" t="inlineStr">
        <is>
          <t>info_sdt_dml_single_pk_drp</t>
        </is>
      </c>
      <c r="K1079" s="0" t="inlineStr">
        <is>
          <t>[0;34m info_sdt_dml_single_pk_drp [0m源备字段数相同，源端字段：2 	备端字段2</t>
        </is>
      </c>
      <c r="W1079" s="0" t="inlineStr">
        <is>
          <t>YES 源备无差异</t>
        </is>
      </c>
      <c r="X1079" s="0">
        <f>A1079</f>
        <v/>
      </c>
    </row>
    <row r="1080">
      <c r="B1080" s="0" t="inlineStr">
        <is>
          <t>YES</t>
        </is>
      </c>
      <c r="C1080" s="0" t="inlineStr">
        <is>
          <t>NULL</t>
        </is>
      </c>
      <c r="D1080" s="0" t="inlineStr">
        <is>
          <t>NULL</t>
        </is>
      </c>
      <c r="E1080" s="0" t="inlineStr">
        <is>
          <t>NULL</t>
        </is>
      </c>
      <c r="F1080" s="0" t="inlineStr">
        <is>
          <t>NULL</t>
        </is>
      </c>
      <c r="G1080" s="0" t="inlineStr">
        <is>
          <t>NULL</t>
        </is>
      </c>
      <c r="H1080" s="0" t="inlineStr">
        <is>
          <t>NULL</t>
        </is>
      </c>
      <c r="I1080" s="0" t="inlineStr">
        <is>
          <t>YES!PK__info_sdt__3213E83FD9FF0613</t>
        </is>
      </c>
      <c r="J1080" s="0" t="inlineStr">
        <is>
          <t>YES! 主键相关索引</t>
        </is>
      </c>
      <c r="K1080" s="0" t="inlineStr">
        <is>
          <t>YES! 	 id列源备映射正确，源端为int None位	期望更改为int	实际备端为int None位</t>
        </is>
      </c>
    </row>
    <row r="1081">
      <c r="B1081" s="0" t="inlineStr">
        <is>
          <t>NULL</t>
        </is>
      </c>
      <c r="C1081" s="0" t="inlineStr">
        <is>
          <t>NULL</t>
        </is>
      </c>
      <c r="D1081" s="0" t="inlineStr">
        <is>
          <t>NULL</t>
        </is>
      </c>
      <c r="E1081" s="0" t="inlineStr">
        <is>
          <t>NULL</t>
        </is>
      </c>
      <c r="F1081" s="0" t="inlineStr">
        <is>
          <t>NULL</t>
        </is>
      </c>
      <c r="G1081" s="0" t="inlineStr">
        <is>
          <t>NULL</t>
        </is>
      </c>
      <c r="H1081" s="0" t="inlineStr">
        <is>
          <t>NULL</t>
        </is>
      </c>
      <c r="I1081" s="0" t="inlineStr">
        <is>
          <t>NULL</t>
        </is>
      </c>
      <c r="J1081" s="0" t="inlineStr">
        <is>
          <t>NULL</t>
        </is>
      </c>
      <c r="K1081" s="0" t="inlineStr">
        <is>
          <t>YES! 	 c_sdt列源备映射正确，源端为smalldatetime None位	期望更改为smalldatetime	实际备端为smalldatetime None位</t>
        </is>
      </c>
    </row>
    <row r="1082">
      <c r="A1082" s="0" t="inlineStr">
        <is>
          <t>info_datetime2_dml_batch1_pk_drp1</t>
        </is>
      </c>
      <c r="K1082" s="0" t="inlineStr">
        <is>
          <t>[0;34m info_datetime2_dml_batch1_pk_drp1 [0m源备字段数相同，源端字段：9 	备端字段9</t>
        </is>
      </c>
      <c r="W1082" s="0" t="inlineStr">
        <is>
          <t>YES 源备无差异</t>
        </is>
      </c>
      <c r="X1082" s="0">
        <f>A1082</f>
        <v/>
      </c>
    </row>
    <row r="1083">
      <c r="B1083" s="0" t="inlineStr">
        <is>
          <t>YES</t>
        </is>
      </c>
      <c r="C1083" s="0" t="inlineStr">
        <is>
          <t>NULL</t>
        </is>
      </c>
      <c r="D1083" s="0" t="inlineStr">
        <is>
          <t>NULL</t>
        </is>
      </c>
      <c r="E1083" s="0" t="inlineStr">
        <is>
          <t>NULL</t>
        </is>
      </c>
      <c r="F1083" s="0" t="inlineStr">
        <is>
          <t>NULL</t>
        </is>
      </c>
      <c r="G1083" s="0" t="inlineStr">
        <is>
          <t>NULL</t>
        </is>
      </c>
      <c r="H1083" s="0" t="inlineStr">
        <is>
          <t>NULL</t>
        </is>
      </c>
      <c r="I1083" s="0" t="inlineStr">
        <is>
          <t>YES!PK__info_dat__3213E83F6849006D</t>
        </is>
      </c>
      <c r="J1083" s="0" t="inlineStr">
        <is>
          <t>YES! 主键相关索引</t>
        </is>
      </c>
      <c r="K1083" s="0" t="inlineStr">
        <is>
          <t>YES! 	 id列源备映射正确，源端为int None位	期望更改为int	实际备端为int None位</t>
        </is>
      </c>
    </row>
    <row r="1084">
      <c r="B1084" s="0" t="inlineStr">
        <is>
          <t>NULL</t>
        </is>
      </c>
      <c r="C1084" s="0" t="inlineStr">
        <is>
          <t>NULL</t>
        </is>
      </c>
      <c r="D1084" s="0" t="inlineStr">
        <is>
          <t>NULL</t>
        </is>
      </c>
      <c r="E1084" s="0" t="inlineStr">
        <is>
          <t>NULL</t>
        </is>
      </c>
      <c r="F1084" s="0" t="inlineStr">
        <is>
          <t>NULL</t>
        </is>
      </c>
      <c r="G1084" s="0" t="inlineStr">
        <is>
          <t>NULL</t>
        </is>
      </c>
      <c r="H1084" s="0" t="inlineStr">
        <is>
          <t>NULL</t>
        </is>
      </c>
      <c r="I1084" s="0" t="inlineStr">
        <is>
          <t>NULL</t>
        </is>
      </c>
      <c r="J1084" s="0" t="inlineStr">
        <is>
          <t>NULL</t>
        </is>
      </c>
      <c r="K1084" s="0" t="inlineStr">
        <is>
          <t>no,len不存在</t>
        </is>
      </c>
    </row>
    <row r="1085">
      <c r="B1085" s="0" t="inlineStr">
        <is>
          <t>NULL</t>
        </is>
      </c>
      <c r="C1085" s="0" t="inlineStr">
        <is>
          <t>NULL</t>
        </is>
      </c>
      <c r="D1085" s="0" t="inlineStr">
        <is>
          <t>NULL</t>
        </is>
      </c>
      <c r="E1085" s="0" t="inlineStr">
        <is>
          <t>NULL</t>
        </is>
      </c>
      <c r="F1085" s="0" t="inlineStr">
        <is>
          <t>NULL</t>
        </is>
      </c>
      <c r="G1085" s="0" t="inlineStr">
        <is>
          <t>NULL</t>
        </is>
      </c>
      <c r="H1085" s="0" t="inlineStr">
        <is>
          <t>NULL</t>
        </is>
      </c>
      <c r="I1085" s="0" t="inlineStr">
        <is>
          <t>NULL</t>
        </is>
      </c>
      <c r="J1085" s="0" t="inlineStr">
        <is>
          <t>NULL</t>
        </is>
      </c>
      <c r="K1085" s="0" t="inlineStr">
        <is>
          <t>YES! 	 c_dt2_1列源备映射正确，源端为datetime2 None位	期望更改为datetime2(n)	实际备端为datetime2 None位</t>
        </is>
      </c>
    </row>
    <row r="1086">
      <c r="B1086" s="0" t="inlineStr">
        <is>
          <t>NULL</t>
        </is>
      </c>
      <c r="C1086" s="0" t="inlineStr">
        <is>
          <t>NULL</t>
        </is>
      </c>
      <c r="D1086" s="0" t="inlineStr">
        <is>
          <t>NULL</t>
        </is>
      </c>
      <c r="E1086" s="0" t="inlineStr">
        <is>
          <t>NULL</t>
        </is>
      </c>
      <c r="F1086" s="0" t="inlineStr">
        <is>
          <t>NULL</t>
        </is>
      </c>
      <c r="G1086" s="0" t="inlineStr">
        <is>
          <t>NULL</t>
        </is>
      </c>
      <c r="H1086" s="0" t="inlineStr">
        <is>
          <t>NULL</t>
        </is>
      </c>
      <c r="I1086" s="0" t="inlineStr">
        <is>
          <t>NULL</t>
        </is>
      </c>
      <c r="J1086" s="0" t="inlineStr">
        <is>
          <t>NULL</t>
        </is>
      </c>
      <c r="K1086" s="0" t="inlineStr">
        <is>
          <t>YES! 	 c_dt2_2列源备映射正确，源端为datetime2 None位	期望更改为datetime2(n)	实际备端为datetime2 None位</t>
        </is>
      </c>
    </row>
    <row r="1087">
      <c r="B1087" s="0" t="inlineStr">
        <is>
          <t>NULL</t>
        </is>
      </c>
      <c r="C1087" s="0" t="inlineStr">
        <is>
          <t>NULL</t>
        </is>
      </c>
      <c r="D1087" s="0" t="inlineStr">
        <is>
          <t>NULL</t>
        </is>
      </c>
      <c r="E1087" s="0" t="inlineStr">
        <is>
          <t>NULL</t>
        </is>
      </c>
      <c r="F1087" s="0" t="inlineStr">
        <is>
          <t>NULL</t>
        </is>
      </c>
      <c r="G1087" s="0" t="inlineStr">
        <is>
          <t>NULL</t>
        </is>
      </c>
      <c r="H1087" s="0" t="inlineStr">
        <is>
          <t>NULL</t>
        </is>
      </c>
      <c r="I1087" s="0" t="inlineStr">
        <is>
          <t>NULL</t>
        </is>
      </c>
      <c r="J1087" s="0" t="inlineStr">
        <is>
          <t>NULL</t>
        </is>
      </c>
      <c r="K1087" s="0" t="inlineStr">
        <is>
          <t>YES! 	 c_dt2_3列源备映射正确，源端为datetime2 None位	期望更改为datetime2(n)	实际备端为datetime2 None位</t>
        </is>
      </c>
    </row>
    <row r="1088">
      <c r="B1088" s="0" t="inlineStr">
        <is>
          <t>NULL</t>
        </is>
      </c>
      <c r="C1088" s="0" t="inlineStr">
        <is>
          <t>NULL</t>
        </is>
      </c>
      <c r="D1088" s="0" t="inlineStr">
        <is>
          <t>NULL</t>
        </is>
      </c>
      <c r="E1088" s="0" t="inlineStr">
        <is>
          <t>NULL</t>
        </is>
      </c>
      <c r="F1088" s="0" t="inlineStr">
        <is>
          <t>NULL</t>
        </is>
      </c>
      <c r="G1088" s="0" t="inlineStr">
        <is>
          <t>NULL</t>
        </is>
      </c>
      <c r="H1088" s="0" t="inlineStr">
        <is>
          <t>NULL</t>
        </is>
      </c>
      <c r="I1088" s="0" t="inlineStr">
        <is>
          <t>NULL</t>
        </is>
      </c>
      <c r="J1088" s="0" t="inlineStr">
        <is>
          <t>NULL</t>
        </is>
      </c>
      <c r="K1088" s="0" t="inlineStr">
        <is>
          <t>YES! 	 c_dt2_4列源备映射正确，源端为datetime2 None位	期望更改为datetime2(n)	实际备端为datetime2 None位</t>
        </is>
      </c>
    </row>
    <row r="1089">
      <c r="B1089" s="0" t="inlineStr">
        <is>
          <t>NULL</t>
        </is>
      </c>
      <c r="C1089" s="0" t="inlineStr">
        <is>
          <t>NULL</t>
        </is>
      </c>
      <c r="D1089" s="0" t="inlineStr">
        <is>
          <t>NULL</t>
        </is>
      </c>
      <c r="E1089" s="0" t="inlineStr">
        <is>
          <t>NULL</t>
        </is>
      </c>
      <c r="F1089" s="0" t="inlineStr">
        <is>
          <t>NULL</t>
        </is>
      </c>
      <c r="G1089" s="0" t="inlineStr">
        <is>
          <t>NULL</t>
        </is>
      </c>
      <c r="H1089" s="0" t="inlineStr">
        <is>
          <t>NULL</t>
        </is>
      </c>
      <c r="I1089" s="0" t="inlineStr">
        <is>
          <t>NULL</t>
        </is>
      </c>
      <c r="J1089" s="0" t="inlineStr">
        <is>
          <t>NULL</t>
        </is>
      </c>
      <c r="K1089" s="0" t="inlineStr">
        <is>
          <t>YES! 	 c_dt2_5列源备映射正确，源端为datetime2 None位	期望更改为datetime2(n)	实际备端为datetime2 None位</t>
        </is>
      </c>
    </row>
    <row r="1090">
      <c r="B1090" s="0" t="inlineStr">
        <is>
          <t>NULL</t>
        </is>
      </c>
      <c r="C1090" s="0" t="inlineStr">
        <is>
          <t>NULL</t>
        </is>
      </c>
      <c r="D1090" s="0" t="inlineStr">
        <is>
          <t>NULL</t>
        </is>
      </c>
      <c r="E1090" s="0" t="inlineStr">
        <is>
          <t>NULL</t>
        </is>
      </c>
      <c r="F1090" s="0" t="inlineStr">
        <is>
          <t>NULL</t>
        </is>
      </c>
      <c r="G1090" s="0" t="inlineStr">
        <is>
          <t>NULL</t>
        </is>
      </c>
      <c r="H1090" s="0" t="inlineStr">
        <is>
          <t>NULL</t>
        </is>
      </c>
      <c r="I1090" s="0" t="inlineStr">
        <is>
          <t>NULL</t>
        </is>
      </c>
      <c r="J1090" s="0" t="inlineStr">
        <is>
          <t>NULL</t>
        </is>
      </c>
      <c r="K1090" s="0" t="inlineStr">
        <is>
          <t>YES! 	 c_dt2_6列源备映射正确，源端为datetime2 None位	期望更改为datetime2(n)	实际备端为datetime2 None位</t>
        </is>
      </c>
    </row>
    <row r="1091">
      <c r="B1091" s="0" t="inlineStr">
        <is>
          <t>NULL</t>
        </is>
      </c>
      <c r="C1091" s="0" t="inlineStr">
        <is>
          <t>NULL</t>
        </is>
      </c>
      <c r="D1091" s="0" t="inlineStr">
        <is>
          <t>NULL</t>
        </is>
      </c>
      <c r="E1091" s="0" t="inlineStr">
        <is>
          <t>NULL</t>
        </is>
      </c>
      <c r="F1091" s="0" t="inlineStr">
        <is>
          <t>NULL</t>
        </is>
      </c>
      <c r="G1091" s="0" t="inlineStr">
        <is>
          <t>NULL</t>
        </is>
      </c>
      <c r="H1091" s="0" t="inlineStr">
        <is>
          <t>NULL</t>
        </is>
      </c>
      <c r="I1091" s="0" t="inlineStr">
        <is>
          <t>NULL</t>
        </is>
      </c>
      <c r="J1091" s="0" t="inlineStr">
        <is>
          <t>NULL</t>
        </is>
      </c>
      <c r="K1091" s="0" t="inlineStr">
        <is>
          <t>YES! 	 c_dt2列源备映射正确，源端为datetime2 None位	期望更改为datetime2(n)	实际备端为datetime2 None位</t>
        </is>
      </c>
    </row>
    <row r="1092">
      <c r="K1092" s="0" t="inlineStr">
        <is>
          <t>~ 空表</t>
        </is>
      </c>
    </row>
    <row r="1093">
      <c r="A1093" s="0" t="inlineStr">
        <is>
          <t>info_nvarchar_dml_batch2_pk_irp1</t>
        </is>
      </c>
      <c r="K1093" s="0" t="inlineStr">
        <is>
          <t>[0;34m info_nvarchar_dml_batch2_pk_irp1 [0m源备字段数相同，源端字段：4 	备端字段4</t>
        </is>
      </c>
      <c r="W1093" s="0" t="inlineStr">
        <is>
          <t>YES 源备无差异</t>
        </is>
      </c>
      <c r="X1093" s="0">
        <f>A1093</f>
        <v/>
      </c>
    </row>
    <row r="1094">
      <c r="B1094" s="0" t="inlineStr">
        <is>
          <t>YES</t>
        </is>
      </c>
      <c r="C1094" s="0" t="inlineStr">
        <is>
          <t>NULL</t>
        </is>
      </c>
      <c r="D1094" s="0" t="inlineStr">
        <is>
          <t>NULL</t>
        </is>
      </c>
      <c r="E1094" s="0" t="inlineStr">
        <is>
          <t>NULL</t>
        </is>
      </c>
      <c r="F1094" s="0" t="inlineStr">
        <is>
          <t>NULL</t>
        </is>
      </c>
      <c r="G1094" s="0" t="inlineStr">
        <is>
          <t>NULL</t>
        </is>
      </c>
      <c r="H1094" s="0" t="inlineStr">
        <is>
          <t>NULL</t>
        </is>
      </c>
      <c r="I1094" s="0" t="inlineStr">
        <is>
          <t>YES!PK__info_nva__3213E83F98EA7D40</t>
        </is>
      </c>
      <c r="J1094" s="0" t="inlineStr">
        <is>
          <t>YES! 主键相关索引</t>
        </is>
      </c>
      <c r="K1094" s="0" t="inlineStr">
        <is>
          <t>YES! 	 id列源备映射正确，源端为int None位	期望更改为int	实际备端为int None位</t>
        </is>
      </c>
    </row>
    <row r="1095">
      <c r="B1095" s="0" t="inlineStr">
        <is>
          <t>NULL</t>
        </is>
      </c>
      <c r="C1095" s="0" t="inlineStr">
        <is>
          <t>NULL</t>
        </is>
      </c>
      <c r="D1095" s="0" t="inlineStr">
        <is>
          <t>NULL</t>
        </is>
      </c>
      <c r="E1095" s="0" t="inlineStr">
        <is>
          <t>NULL</t>
        </is>
      </c>
      <c r="F1095" s="0" t="inlineStr">
        <is>
          <t>NULL</t>
        </is>
      </c>
      <c r="G1095" s="0" t="inlineStr">
        <is>
          <t>NULL</t>
        </is>
      </c>
      <c r="H1095" s="0" t="inlineStr">
        <is>
          <t>NULL</t>
        </is>
      </c>
      <c r="I1095" s="0" t="inlineStr">
        <is>
          <t>NULL</t>
        </is>
      </c>
      <c r="J1095" s="0" t="inlineStr">
        <is>
          <t>NULL</t>
        </is>
      </c>
      <c r="K1095" s="0" t="inlineStr">
        <is>
          <t>YES! 	 c_nvarchar列源备映射正确，源端为nvarchar 2位	期望更改为nvarchar(n)	实际备端为nvarchar 2位</t>
        </is>
      </c>
    </row>
    <row r="1096">
      <c r="B1096" s="0" t="inlineStr">
        <is>
          <t>NULL</t>
        </is>
      </c>
      <c r="C1096" s="0" t="inlineStr">
        <is>
          <t>NULL</t>
        </is>
      </c>
      <c r="D1096" s="0" t="inlineStr">
        <is>
          <t>NULL</t>
        </is>
      </c>
      <c r="E1096" s="0" t="inlineStr">
        <is>
          <t>NULL</t>
        </is>
      </c>
      <c r="F1096" s="0" t="inlineStr">
        <is>
          <t>NULL</t>
        </is>
      </c>
      <c r="G1096" s="0" t="inlineStr">
        <is>
          <t>NULL</t>
        </is>
      </c>
      <c r="H1096" s="0" t="inlineStr">
        <is>
          <t>NULL</t>
        </is>
      </c>
      <c r="I1096" s="0" t="inlineStr">
        <is>
          <t>NULL</t>
        </is>
      </c>
      <c r="J1096" s="0" t="inlineStr">
        <is>
          <t>NULL</t>
        </is>
      </c>
      <c r="K1096" s="0" t="inlineStr">
        <is>
          <t>YES! 	 c_nvarchar20列源备映射正确，源端为nvarchar 40位	期望更改为nvarchar(n)	实际备端为nvarchar 40位</t>
        </is>
      </c>
    </row>
    <row r="1097">
      <c r="B1097" s="0" t="inlineStr">
        <is>
          <t>NULL</t>
        </is>
      </c>
      <c r="C1097" s="0" t="inlineStr">
        <is>
          <t>NULL</t>
        </is>
      </c>
      <c r="D1097" s="0" t="inlineStr">
        <is>
          <t>NULL</t>
        </is>
      </c>
      <c r="E1097" s="0" t="inlineStr">
        <is>
          <t>NULL</t>
        </is>
      </c>
      <c r="F1097" s="0" t="inlineStr">
        <is>
          <t>NULL</t>
        </is>
      </c>
      <c r="G1097" s="0" t="inlineStr">
        <is>
          <t>NULL</t>
        </is>
      </c>
      <c r="H1097" s="0" t="inlineStr">
        <is>
          <t>NULL</t>
        </is>
      </c>
      <c r="I1097" s="0" t="inlineStr">
        <is>
          <t>NULL</t>
        </is>
      </c>
      <c r="J1097" s="0" t="inlineStr">
        <is>
          <t>NULL</t>
        </is>
      </c>
      <c r="K1097" s="0" t="inlineStr">
        <is>
          <t>YES! 	 c_nvarchar3500列源备映射正确，源端为nvarchar 7000位	期望更改为nvarchar(n)	实际备端为nvarchar 7000位</t>
        </is>
      </c>
    </row>
    <row r="1098">
      <c r="A1098" s="0" t="inlineStr">
        <is>
          <t>info_xml_dml_single_nopk_irp</t>
        </is>
      </c>
      <c r="K1098" s="0" t="inlineStr">
        <is>
          <t>[0;34m info_xml_dml_single_nopk_irp [0m源备字段数相同，源端字段：2 	备端字段2</t>
        </is>
      </c>
      <c r="W1098" s="0" t="inlineStr">
        <is>
          <t>YES 源备无差异</t>
        </is>
      </c>
      <c r="X1098" s="0">
        <f>A1098</f>
        <v/>
      </c>
    </row>
    <row r="1099">
      <c r="B1099" s="0" t="inlineStr">
        <is>
          <t>NULL</t>
        </is>
      </c>
      <c r="C1099" s="0" t="inlineStr">
        <is>
          <t>NULL</t>
        </is>
      </c>
      <c r="D1099" s="0" t="inlineStr">
        <is>
          <t>NULL</t>
        </is>
      </c>
      <c r="E1099" s="0" t="inlineStr">
        <is>
          <t>NULL</t>
        </is>
      </c>
      <c r="F1099" s="0" t="inlineStr">
        <is>
          <t>NULL</t>
        </is>
      </c>
      <c r="G1099" s="0" t="inlineStr">
        <is>
          <t>NULL</t>
        </is>
      </c>
      <c r="H1099" s="0" t="inlineStr">
        <is>
          <t>NULL</t>
        </is>
      </c>
      <c r="I1099" s="0" t="inlineStr">
        <is>
          <t>NULL</t>
        </is>
      </c>
      <c r="J1099" s="0" t="inlineStr">
        <is>
          <t>NULL</t>
        </is>
      </c>
      <c r="K1099" s="0" t="inlineStr">
        <is>
          <t>YES! 	 id列源备映射正确，源端为int None位	期望更改为int	实际备端为int None位</t>
        </is>
      </c>
    </row>
    <row r="1100">
      <c r="B1100" s="0" t="inlineStr">
        <is>
          <t>NULL</t>
        </is>
      </c>
      <c r="C1100" s="0" t="inlineStr">
        <is>
          <t>NULL</t>
        </is>
      </c>
      <c r="D1100" s="0" t="inlineStr">
        <is>
          <t>NULL</t>
        </is>
      </c>
      <c r="E1100" s="0" t="inlineStr">
        <is>
          <t>NULL</t>
        </is>
      </c>
      <c r="F1100" s="0" t="inlineStr">
        <is>
          <t>NULL</t>
        </is>
      </c>
      <c r="G1100" s="0" t="inlineStr">
        <is>
          <t>NULL</t>
        </is>
      </c>
      <c r="H1100" s="0" t="inlineStr">
        <is>
          <t>NULL</t>
        </is>
      </c>
      <c r="I1100" s="0" t="inlineStr">
        <is>
          <t>NULL</t>
        </is>
      </c>
      <c r="J1100" s="0" t="inlineStr">
        <is>
          <t>NULL</t>
        </is>
      </c>
      <c r="K1100" s="0" t="inlineStr">
        <is>
          <t>YES! 	 c_xml列源备映射正确，源端为xml -1位	期望更改为xml	实际备端为xml -1位</t>
        </is>
      </c>
    </row>
    <row r="1101">
      <c r="A1101" s="0" t="inlineStr">
        <is>
          <t>info_sdt_dml_single_pk</t>
        </is>
      </c>
      <c r="K1101" s="0" t="inlineStr">
        <is>
          <t>[0;34m info_sdt_dml_single_pk [0m源备字段数相同，源端字段：2 	备端字段2</t>
        </is>
      </c>
      <c r="W1101" s="0" t="inlineStr">
        <is>
          <t>YES 源备无差异</t>
        </is>
      </c>
      <c r="X1101" s="0">
        <f>A1101</f>
        <v/>
      </c>
    </row>
    <row r="1102">
      <c r="B1102" s="0" t="inlineStr">
        <is>
          <t>YES</t>
        </is>
      </c>
      <c r="C1102" s="0" t="inlineStr">
        <is>
          <t>NULL</t>
        </is>
      </c>
      <c r="D1102" s="0" t="inlineStr">
        <is>
          <t>NULL</t>
        </is>
      </c>
      <c r="E1102" s="0" t="inlineStr">
        <is>
          <t>NULL</t>
        </is>
      </c>
      <c r="F1102" s="0" t="inlineStr">
        <is>
          <t>NULL</t>
        </is>
      </c>
      <c r="G1102" s="0" t="inlineStr">
        <is>
          <t>NULL</t>
        </is>
      </c>
      <c r="H1102" s="0" t="inlineStr">
        <is>
          <t>NULL</t>
        </is>
      </c>
      <c r="I1102" s="0" t="inlineStr">
        <is>
          <t>YES!PK__info_sdt__3213E83F38803C50</t>
        </is>
      </c>
      <c r="J1102" s="0" t="inlineStr">
        <is>
          <t>YES! 主键相关索引</t>
        </is>
      </c>
      <c r="K1102" s="0" t="inlineStr">
        <is>
          <t>YES! 	 id列源备映射正确，源端为int None位	期望更改为int	实际备端为int None位</t>
        </is>
      </c>
    </row>
    <row r="1103">
      <c r="B1103" s="0" t="inlineStr">
        <is>
          <t>NULL</t>
        </is>
      </c>
      <c r="C1103" s="0" t="inlineStr">
        <is>
          <t>NULL</t>
        </is>
      </c>
      <c r="D1103" s="0" t="inlineStr">
        <is>
          <t>NULL</t>
        </is>
      </c>
      <c r="E1103" s="0" t="inlineStr">
        <is>
          <t>NULL</t>
        </is>
      </c>
      <c r="F1103" s="0" t="inlineStr">
        <is>
          <t>NULL</t>
        </is>
      </c>
      <c r="G1103" s="0" t="inlineStr">
        <is>
          <t>NULL</t>
        </is>
      </c>
      <c r="H1103" s="0" t="inlineStr">
        <is>
          <t>NULL</t>
        </is>
      </c>
      <c r="I1103" s="0" t="inlineStr">
        <is>
          <t>NULL</t>
        </is>
      </c>
      <c r="J1103" s="0" t="inlineStr">
        <is>
          <t>NULL</t>
        </is>
      </c>
      <c r="K1103" s="0" t="inlineStr">
        <is>
          <t>YES! 	 c_sdt列源备映射正确，源端为smalldatetime None位	期望更改为smalldatetime	实际备端为smalldatetime None位</t>
        </is>
      </c>
    </row>
    <row r="1104">
      <c r="A1104" s="0" t="inlineStr">
        <is>
          <t>info_xml_dml_single_nopk_urp</t>
        </is>
      </c>
      <c r="K1104" s="0" t="inlineStr">
        <is>
          <t>[0;34m info_xml_dml_single_nopk_urp [0m源备字段数相同，源端字段：2 	备端字段2</t>
        </is>
      </c>
      <c r="W1104" s="0" t="inlineStr">
        <is>
          <t>YES 源备无差异</t>
        </is>
      </c>
      <c r="X1104" s="0">
        <f>A1104</f>
        <v/>
      </c>
    </row>
    <row r="1105">
      <c r="B1105" s="0" t="inlineStr">
        <is>
          <t>NULL</t>
        </is>
      </c>
      <c r="C1105" s="0" t="inlineStr">
        <is>
          <t>NULL</t>
        </is>
      </c>
      <c r="D1105" s="0" t="inlineStr">
        <is>
          <t>NULL</t>
        </is>
      </c>
      <c r="E1105" s="0" t="inlineStr">
        <is>
          <t>NULL</t>
        </is>
      </c>
      <c r="F1105" s="0" t="inlineStr">
        <is>
          <t>NULL</t>
        </is>
      </c>
      <c r="G1105" s="0" t="inlineStr">
        <is>
          <t>NULL</t>
        </is>
      </c>
      <c r="H1105" s="0" t="inlineStr">
        <is>
          <t>NULL</t>
        </is>
      </c>
      <c r="I1105" s="0" t="inlineStr">
        <is>
          <t>NULL</t>
        </is>
      </c>
      <c r="J1105" s="0" t="inlineStr">
        <is>
          <t>NULL</t>
        </is>
      </c>
      <c r="K1105" s="0" t="inlineStr">
        <is>
          <t>YES! 	 id列源备映射正确，源端为int None位	期望更改为int	实际备端为int None位</t>
        </is>
      </c>
    </row>
    <row r="1106">
      <c r="B1106" s="0" t="inlineStr">
        <is>
          <t>NULL</t>
        </is>
      </c>
      <c r="C1106" s="0" t="inlineStr">
        <is>
          <t>NULL</t>
        </is>
      </c>
      <c r="D1106" s="0" t="inlineStr">
        <is>
          <t>NULL</t>
        </is>
      </c>
      <c r="E1106" s="0" t="inlineStr">
        <is>
          <t>NULL</t>
        </is>
      </c>
      <c r="F1106" s="0" t="inlineStr">
        <is>
          <t>NULL</t>
        </is>
      </c>
      <c r="G1106" s="0" t="inlineStr">
        <is>
          <t>NULL</t>
        </is>
      </c>
      <c r="H1106" s="0" t="inlineStr">
        <is>
          <t>NULL</t>
        </is>
      </c>
      <c r="I1106" s="0" t="inlineStr">
        <is>
          <t>NULL</t>
        </is>
      </c>
      <c r="J1106" s="0" t="inlineStr">
        <is>
          <t>NULL</t>
        </is>
      </c>
      <c r="K1106" s="0" t="inlineStr">
        <is>
          <t>YES! 	 c_xml列源备映射正确，源端为xml -1位	期望更改为xml	实际备端为xml -1位</t>
        </is>
      </c>
    </row>
    <row r="1107">
      <c r="A1107" s="0" t="inlineStr">
        <is>
          <t>info_datetime2_dml_batch1_pk_drp2</t>
        </is>
      </c>
      <c r="K1107" s="0" t="inlineStr">
        <is>
          <t>[0;34m info_datetime2_dml_batch1_pk_drp2 [0m源备字段数相同，源端字段：9 	备端字段9</t>
        </is>
      </c>
      <c r="W1107" s="0" t="inlineStr">
        <is>
          <t>YES 源备无差异</t>
        </is>
      </c>
      <c r="X1107" s="0">
        <f>A1107</f>
        <v/>
      </c>
    </row>
    <row r="1108">
      <c r="B1108" s="0" t="inlineStr">
        <is>
          <t>YES</t>
        </is>
      </c>
      <c r="C1108" s="0" t="inlineStr">
        <is>
          <t>NULL</t>
        </is>
      </c>
      <c r="D1108" s="0" t="inlineStr">
        <is>
          <t>NULL</t>
        </is>
      </c>
      <c r="E1108" s="0" t="inlineStr">
        <is>
          <t>NULL</t>
        </is>
      </c>
      <c r="F1108" s="0" t="inlineStr">
        <is>
          <t>NULL</t>
        </is>
      </c>
      <c r="G1108" s="0" t="inlineStr">
        <is>
          <t>NULL</t>
        </is>
      </c>
      <c r="H1108" s="0" t="inlineStr">
        <is>
          <t>NULL</t>
        </is>
      </c>
      <c r="I1108" s="0" t="inlineStr">
        <is>
          <t>YES!PK__info_dat__3213E83F9BDAC31B</t>
        </is>
      </c>
      <c r="J1108" s="0" t="inlineStr">
        <is>
          <t>YES! 主键相关索引</t>
        </is>
      </c>
      <c r="K1108" s="0" t="inlineStr">
        <is>
          <t>YES! 	 id列源备映射正确，源端为int None位	期望更改为int	实际备端为int None位</t>
        </is>
      </c>
    </row>
    <row r="1109">
      <c r="B1109" s="0" t="inlineStr">
        <is>
          <t>NULL</t>
        </is>
      </c>
      <c r="C1109" s="0" t="inlineStr">
        <is>
          <t>NULL</t>
        </is>
      </c>
      <c r="D1109" s="0" t="inlineStr">
        <is>
          <t>NULL</t>
        </is>
      </c>
      <c r="E1109" s="0" t="inlineStr">
        <is>
          <t>NULL</t>
        </is>
      </c>
      <c r="F1109" s="0" t="inlineStr">
        <is>
          <t>NULL</t>
        </is>
      </c>
      <c r="G1109" s="0" t="inlineStr">
        <is>
          <t>NULL</t>
        </is>
      </c>
      <c r="H1109" s="0" t="inlineStr">
        <is>
          <t>NULL</t>
        </is>
      </c>
      <c r="I1109" s="0" t="inlineStr">
        <is>
          <t>NULL</t>
        </is>
      </c>
      <c r="J1109" s="0" t="inlineStr">
        <is>
          <t>NULL</t>
        </is>
      </c>
      <c r="K1109" s="0" t="inlineStr">
        <is>
          <t>no,len不存在</t>
        </is>
      </c>
    </row>
    <row r="1110">
      <c r="B1110" s="0" t="inlineStr">
        <is>
          <t>NULL</t>
        </is>
      </c>
      <c r="C1110" s="0" t="inlineStr">
        <is>
          <t>NULL</t>
        </is>
      </c>
      <c r="D1110" s="0" t="inlineStr">
        <is>
          <t>NULL</t>
        </is>
      </c>
      <c r="E1110" s="0" t="inlineStr">
        <is>
          <t>NULL</t>
        </is>
      </c>
      <c r="F1110" s="0" t="inlineStr">
        <is>
          <t>NULL</t>
        </is>
      </c>
      <c r="G1110" s="0" t="inlineStr">
        <is>
          <t>NULL</t>
        </is>
      </c>
      <c r="H1110" s="0" t="inlineStr">
        <is>
          <t>NULL</t>
        </is>
      </c>
      <c r="I1110" s="0" t="inlineStr">
        <is>
          <t>NULL</t>
        </is>
      </c>
      <c r="J1110" s="0" t="inlineStr">
        <is>
          <t>NULL</t>
        </is>
      </c>
      <c r="K1110" s="0" t="inlineStr">
        <is>
          <t>YES! 	 c_dt2_1列源备映射正确，源端为datetime2 None位	期望更改为datetime2(n)	实际备端为datetime2 None位</t>
        </is>
      </c>
    </row>
    <row r="1111">
      <c r="B1111" s="0" t="inlineStr">
        <is>
          <t>NULL</t>
        </is>
      </c>
      <c r="C1111" s="0" t="inlineStr">
        <is>
          <t>NULL</t>
        </is>
      </c>
      <c r="D1111" s="0" t="inlineStr">
        <is>
          <t>NULL</t>
        </is>
      </c>
      <c r="E1111" s="0" t="inlineStr">
        <is>
          <t>NULL</t>
        </is>
      </c>
      <c r="F1111" s="0" t="inlineStr">
        <is>
          <t>NULL</t>
        </is>
      </c>
      <c r="G1111" s="0" t="inlineStr">
        <is>
          <t>NULL</t>
        </is>
      </c>
      <c r="H1111" s="0" t="inlineStr">
        <is>
          <t>NULL</t>
        </is>
      </c>
      <c r="I1111" s="0" t="inlineStr">
        <is>
          <t>NULL</t>
        </is>
      </c>
      <c r="J1111" s="0" t="inlineStr">
        <is>
          <t>NULL</t>
        </is>
      </c>
      <c r="K1111" s="0" t="inlineStr">
        <is>
          <t>YES! 	 c_dt2_2列源备映射正确，源端为datetime2 None位	期望更改为datetime2(n)	实际备端为datetime2 None位</t>
        </is>
      </c>
    </row>
    <row r="1112">
      <c r="B1112" s="0" t="inlineStr">
        <is>
          <t>NULL</t>
        </is>
      </c>
      <c r="C1112" s="0" t="inlineStr">
        <is>
          <t>NULL</t>
        </is>
      </c>
      <c r="D1112" s="0" t="inlineStr">
        <is>
          <t>NULL</t>
        </is>
      </c>
      <c r="E1112" s="0" t="inlineStr">
        <is>
          <t>NULL</t>
        </is>
      </c>
      <c r="F1112" s="0" t="inlineStr">
        <is>
          <t>NULL</t>
        </is>
      </c>
      <c r="G1112" s="0" t="inlineStr">
        <is>
          <t>NULL</t>
        </is>
      </c>
      <c r="H1112" s="0" t="inlineStr">
        <is>
          <t>NULL</t>
        </is>
      </c>
      <c r="I1112" s="0" t="inlineStr">
        <is>
          <t>NULL</t>
        </is>
      </c>
      <c r="J1112" s="0" t="inlineStr">
        <is>
          <t>NULL</t>
        </is>
      </c>
      <c r="K1112" s="0" t="inlineStr">
        <is>
          <t>YES! 	 c_dt2_3列源备映射正确，源端为datetime2 None位	期望更改为datetime2(n)	实际备端为datetime2 None位</t>
        </is>
      </c>
    </row>
    <row r="1113">
      <c r="B1113" s="0" t="inlineStr">
        <is>
          <t>NULL</t>
        </is>
      </c>
      <c r="C1113" s="0" t="inlineStr">
        <is>
          <t>NULL</t>
        </is>
      </c>
      <c r="D1113" s="0" t="inlineStr">
        <is>
          <t>NULL</t>
        </is>
      </c>
      <c r="E1113" s="0" t="inlineStr">
        <is>
          <t>NULL</t>
        </is>
      </c>
      <c r="F1113" s="0" t="inlineStr">
        <is>
          <t>NULL</t>
        </is>
      </c>
      <c r="G1113" s="0" t="inlineStr">
        <is>
          <t>NULL</t>
        </is>
      </c>
      <c r="H1113" s="0" t="inlineStr">
        <is>
          <t>NULL</t>
        </is>
      </c>
      <c r="I1113" s="0" t="inlineStr">
        <is>
          <t>NULL</t>
        </is>
      </c>
      <c r="J1113" s="0" t="inlineStr">
        <is>
          <t>NULL</t>
        </is>
      </c>
      <c r="K1113" s="0" t="inlineStr">
        <is>
          <t>YES! 	 c_dt2_4列源备映射正确，源端为datetime2 None位	期望更改为datetime2(n)	实际备端为datetime2 None位</t>
        </is>
      </c>
    </row>
    <row r="1114">
      <c r="B1114" s="0" t="inlineStr">
        <is>
          <t>NULL</t>
        </is>
      </c>
      <c r="C1114" s="0" t="inlineStr">
        <is>
          <t>NULL</t>
        </is>
      </c>
      <c r="D1114" s="0" t="inlineStr">
        <is>
          <t>NULL</t>
        </is>
      </c>
      <c r="E1114" s="0" t="inlineStr">
        <is>
          <t>NULL</t>
        </is>
      </c>
      <c r="F1114" s="0" t="inlineStr">
        <is>
          <t>NULL</t>
        </is>
      </c>
      <c r="G1114" s="0" t="inlineStr">
        <is>
          <t>NULL</t>
        </is>
      </c>
      <c r="H1114" s="0" t="inlineStr">
        <is>
          <t>NULL</t>
        </is>
      </c>
      <c r="I1114" s="0" t="inlineStr">
        <is>
          <t>NULL</t>
        </is>
      </c>
      <c r="J1114" s="0" t="inlineStr">
        <is>
          <t>NULL</t>
        </is>
      </c>
      <c r="K1114" s="0" t="inlineStr">
        <is>
          <t>YES! 	 c_dt2_5列源备映射正确，源端为datetime2 None位	期望更改为datetime2(n)	实际备端为datetime2 None位</t>
        </is>
      </c>
    </row>
    <row r="1115">
      <c r="B1115" s="0" t="inlineStr">
        <is>
          <t>NULL</t>
        </is>
      </c>
      <c r="C1115" s="0" t="inlineStr">
        <is>
          <t>NULL</t>
        </is>
      </c>
      <c r="D1115" s="0" t="inlineStr">
        <is>
          <t>NULL</t>
        </is>
      </c>
      <c r="E1115" s="0" t="inlineStr">
        <is>
          <t>NULL</t>
        </is>
      </c>
      <c r="F1115" s="0" t="inlineStr">
        <is>
          <t>NULL</t>
        </is>
      </c>
      <c r="G1115" s="0" t="inlineStr">
        <is>
          <t>NULL</t>
        </is>
      </c>
      <c r="H1115" s="0" t="inlineStr">
        <is>
          <t>NULL</t>
        </is>
      </c>
      <c r="I1115" s="0" t="inlineStr">
        <is>
          <t>NULL</t>
        </is>
      </c>
      <c r="J1115" s="0" t="inlineStr">
        <is>
          <t>NULL</t>
        </is>
      </c>
      <c r="K1115" s="0" t="inlineStr">
        <is>
          <t>YES! 	 c_dt2_6列源备映射正确，源端为datetime2 None位	期望更改为datetime2(n)	实际备端为datetime2 None位</t>
        </is>
      </c>
    </row>
    <row r="1116">
      <c r="B1116" s="0" t="inlineStr">
        <is>
          <t>NULL</t>
        </is>
      </c>
      <c r="C1116" s="0" t="inlineStr">
        <is>
          <t>NULL</t>
        </is>
      </c>
      <c r="D1116" s="0" t="inlineStr">
        <is>
          <t>NULL</t>
        </is>
      </c>
      <c r="E1116" s="0" t="inlineStr">
        <is>
          <t>NULL</t>
        </is>
      </c>
      <c r="F1116" s="0" t="inlineStr">
        <is>
          <t>NULL</t>
        </is>
      </c>
      <c r="G1116" s="0" t="inlineStr">
        <is>
          <t>NULL</t>
        </is>
      </c>
      <c r="H1116" s="0" t="inlineStr">
        <is>
          <t>NULL</t>
        </is>
      </c>
      <c r="I1116" s="0" t="inlineStr">
        <is>
          <t>NULL</t>
        </is>
      </c>
      <c r="J1116" s="0" t="inlineStr">
        <is>
          <t>NULL</t>
        </is>
      </c>
      <c r="K1116" s="0" t="inlineStr">
        <is>
          <t>YES! 	 c_dt2列源备映射正确，源端为datetime2 None位	期望更改为datetime2(n)	实际备端为datetime2 None位</t>
        </is>
      </c>
    </row>
    <row r="1117">
      <c r="A1117" s="0" t="inlineStr">
        <is>
          <t>info_nvarchar_dml_batch2_pk_irp2</t>
        </is>
      </c>
      <c r="K1117" s="0" t="inlineStr">
        <is>
          <t>[0;34m info_nvarchar_dml_batch2_pk_irp2 [0m源备字段数相同，源端字段：4 	备端字段4</t>
        </is>
      </c>
      <c r="W1117" s="0" t="inlineStr">
        <is>
          <t>YES 源备无差异</t>
        </is>
      </c>
      <c r="X1117" s="0">
        <f>A1117</f>
        <v/>
      </c>
    </row>
    <row r="1118">
      <c r="B1118" s="0" t="inlineStr">
        <is>
          <t>YES</t>
        </is>
      </c>
      <c r="C1118" s="0" t="inlineStr">
        <is>
          <t>NULL</t>
        </is>
      </c>
      <c r="D1118" s="0" t="inlineStr">
        <is>
          <t>NULL</t>
        </is>
      </c>
      <c r="E1118" s="0" t="inlineStr">
        <is>
          <t>NULL</t>
        </is>
      </c>
      <c r="F1118" s="0" t="inlineStr">
        <is>
          <t>NULL</t>
        </is>
      </c>
      <c r="G1118" s="0" t="inlineStr">
        <is>
          <t>NULL</t>
        </is>
      </c>
      <c r="H1118" s="0" t="inlineStr">
        <is>
          <t>NULL</t>
        </is>
      </c>
      <c r="I1118" s="0" t="inlineStr">
        <is>
          <t>YES!PK__info_nva__3213E83F40A54535</t>
        </is>
      </c>
      <c r="J1118" s="0" t="inlineStr">
        <is>
          <t>YES! 主键相关索引</t>
        </is>
      </c>
      <c r="K1118" s="0" t="inlineStr">
        <is>
          <t>YES! 	 id列源备映射正确，源端为int None位	期望更改为int	实际备端为int None位</t>
        </is>
      </c>
    </row>
    <row r="1119">
      <c r="B1119" s="0" t="inlineStr">
        <is>
          <t>NULL</t>
        </is>
      </c>
      <c r="C1119" s="0" t="inlineStr">
        <is>
          <t>NULL</t>
        </is>
      </c>
      <c r="D1119" s="0" t="inlineStr">
        <is>
          <t>NULL</t>
        </is>
      </c>
      <c r="E1119" s="0" t="inlineStr">
        <is>
          <t>NULL</t>
        </is>
      </c>
      <c r="F1119" s="0" t="inlineStr">
        <is>
          <t>NULL</t>
        </is>
      </c>
      <c r="G1119" s="0" t="inlineStr">
        <is>
          <t>NULL</t>
        </is>
      </c>
      <c r="H1119" s="0" t="inlineStr">
        <is>
          <t>NULL</t>
        </is>
      </c>
      <c r="I1119" s="0" t="inlineStr">
        <is>
          <t>NULL</t>
        </is>
      </c>
      <c r="J1119" s="0" t="inlineStr">
        <is>
          <t>NULL</t>
        </is>
      </c>
      <c r="K1119" s="0" t="inlineStr">
        <is>
          <t>YES! 	 c_nvarchar列源备映射正确，源端为nvarchar 2位	期望更改为nvarchar(n)	实际备端为nvarchar 2位</t>
        </is>
      </c>
    </row>
    <row r="1120">
      <c r="B1120" s="0" t="inlineStr">
        <is>
          <t>NULL</t>
        </is>
      </c>
      <c r="C1120" s="0" t="inlineStr">
        <is>
          <t>NULL</t>
        </is>
      </c>
      <c r="D1120" s="0" t="inlineStr">
        <is>
          <t>NULL</t>
        </is>
      </c>
      <c r="E1120" s="0" t="inlineStr">
        <is>
          <t>NULL</t>
        </is>
      </c>
      <c r="F1120" s="0" t="inlineStr">
        <is>
          <t>NULL</t>
        </is>
      </c>
      <c r="G1120" s="0" t="inlineStr">
        <is>
          <t>NULL</t>
        </is>
      </c>
      <c r="H1120" s="0" t="inlineStr">
        <is>
          <t>NULL</t>
        </is>
      </c>
      <c r="I1120" s="0" t="inlineStr">
        <is>
          <t>NULL</t>
        </is>
      </c>
      <c r="J1120" s="0" t="inlineStr">
        <is>
          <t>NULL</t>
        </is>
      </c>
      <c r="K1120" s="0" t="inlineStr">
        <is>
          <t>YES! 	 c_nvarchar20列源备映射正确，源端为nvarchar 40位	期望更改为nvarchar(n)	实际备端为nvarchar 40位</t>
        </is>
      </c>
    </row>
    <row r="1121">
      <c r="B1121" s="0" t="inlineStr">
        <is>
          <t>NULL</t>
        </is>
      </c>
      <c r="C1121" s="0" t="inlineStr">
        <is>
          <t>NULL</t>
        </is>
      </c>
      <c r="D1121" s="0" t="inlineStr">
        <is>
          <t>NULL</t>
        </is>
      </c>
      <c r="E1121" s="0" t="inlineStr">
        <is>
          <t>NULL</t>
        </is>
      </c>
      <c r="F1121" s="0" t="inlineStr">
        <is>
          <t>NULL</t>
        </is>
      </c>
      <c r="G1121" s="0" t="inlineStr">
        <is>
          <t>NULL</t>
        </is>
      </c>
      <c r="H1121" s="0" t="inlineStr">
        <is>
          <t>NULL</t>
        </is>
      </c>
      <c r="I1121" s="0" t="inlineStr">
        <is>
          <t>NULL</t>
        </is>
      </c>
      <c r="J1121" s="0" t="inlineStr">
        <is>
          <t>NULL</t>
        </is>
      </c>
      <c r="K1121" s="0" t="inlineStr">
        <is>
          <t>YES! 	 c_nvarchar3500列源备映射正确，源端为nvarchar 7000位	期望更改为nvarchar(n)	实际备端为nvarchar 7000位</t>
        </is>
      </c>
    </row>
    <row r="1122">
      <c r="A1122" s="0" t="inlineStr">
        <is>
          <t>info_datetime_dml_single_pk_irp</t>
        </is>
      </c>
      <c r="K1122" s="0" t="inlineStr">
        <is>
          <t>[0;34m info_datetime_dml_single_pk_irp [0m源备字段数相同，源端字段：2 	备端字段2</t>
        </is>
      </c>
      <c r="W1122" s="0" t="inlineStr">
        <is>
          <t>YES 源备无差异</t>
        </is>
      </c>
      <c r="X1122" s="0">
        <f>A1122</f>
        <v/>
      </c>
    </row>
    <row r="1123">
      <c r="B1123" s="0" t="inlineStr">
        <is>
          <t>YES</t>
        </is>
      </c>
      <c r="C1123" s="0" t="inlineStr">
        <is>
          <t>NULL</t>
        </is>
      </c>
      <c r="D1123" s="0" t="inlineStr">
        <is>
          <t>NULL</t>
        </is>
      </c>
      <c r="E1123" s="0" t="inlineStr">
        <is>
          <t>NULL</t>
        </is>
      </c>
      <c r="F1123" s="0" t="inlineStr">
        <is>
          <t>NULL</t>
        </is>
      </c>
      <c r="G1123" s="0" t="inlineStr">
        <is>
          <t>NULL</t>
        </is>
      </c>
      <c r="H1123" s="0" t="inlineStr">
        <is>
          <t>NULL</t>
        </is>
      </c>
      <c r="I1123" s="0" t="inlineStr">
        <is>
          <t>YES!PK__info_dat__3213E83F9B704CC8</t>
        </is>
      </c>
      <c r="J1123" s="0" t="inlineStr">
        <is>
          <t>YES! 主键相关索引</t>
        </is>
      </c>
      <c r="K1123" s="0" t="inlineStr">
        <is>
          <t>YES! 	 id列源备映射正确，源端为int None位	期望更改为int	实际备端为int None位</t>
        </is>
      </c>
    </row>
    <row r="1124">
      <c r="B1124" s="0" t="inlineStr">
        <is>
          <t>NULL</t>
        </is>
      </c>
      <c r="C1124" s="0" t="inlineStr">
        <is>
          <t>NULL</t>
        </is>
      </c>
      <c r="D1124" s="0" t="inlineStr">
        <is>
          <t>NULL</t>
        </is>
      </c>
      <c r="E1124" s="0" t="inlineStr">
        <is>
          <t>NULL</t>
        </is>
      </c>
      <c r="F1124" s="0" t="inlineStr">
        <is>
          <t>NULL</t>
        </is>
      </c>
      <c r="G1124" s="0" t="inlineStr">
        <is>
          <t>NULL</t>
        </is>
      </c>
      <c r="H1124" s="0" t="inlineStr">
        <is>
          <t>NULL</t>
        </is>
      </c>
      <c r="I1124" s="0" t="inlineStr">
        <is>
          <t>NULL</t>
        </is>
      </c>
      <c r="J1124" s="0" t="inlineStr">
        <is>
          <t>NULL</t>
        </is>
      </c>
      <c r="K1124" s="0" t="inlineStr">
        <is>
          <t>YES! 	 c_datetime列源备映射正确，源端为datetime None位	期望更改为datetime	实际备端为datetime None位</t>
        </is>
      </c>
    </row>
    <row r="1125">
      <c r="A1125" s="0" t="inlineStr">
        <is>
          <t>info_binary_dml_single_nopk_urp</t>
        </is>
      </c>
      <c r="K1125" s="0" t="inlineStr">
        <is>
          <t>[0;34m info_binary_dml_single_nopk_urp [0m源备字段数相同，源端字段：4 	备端字段4</t>
        </is>
      </c>
      <c r="W1125" s="0" t="inlineStr">
        <is>
          <t>YES 源备无差异</t>
        </is>
      </c>
      <c r="X1125" s="0">
        <f>A1125</f>
        <v/>
      </c>
    </row>
    <row r="1126">
      <c r="B1126" s="0" t="inlineStr">
        <is>
          <t>NULL</t>
        </is>
      </c>
      <c r="C1126" s="0" t="inlineStr">
        <is>
          <t>NULL</t>
        </is>
      </c>
      <c r="D1126" s="0" t="inlineStr">
        <is>
          <t>NULL</t>
        </is>
      </c>
      <c r="E1126" s="0" t="inlineStr">
        <is>
          <t>NULL</t>
        </is>
      </c>
      <c r="F1126" s="0" t="inlineStr">
        <is>
          <t>NULL</t>
        </is>
      </c>
      <c r="G1126" s="0" t="inlineStr">
        <is>
          <t>NULL</t>
        </is>
      </c>
      <c r="H1126" s="0" t="inlineStr">
        <is>
          <t>NULL</t>
        </is>
      </c>
      <c r="I1126" s="0" t="inlineStr">
        <is>
          <t>NULL</t>
        </is>
      </c>
      <c r="J1126" s="0" t="inlineStr">
        <is>
          <t>NULL</t>
        </is>
      </c>
      <c r="K1126" s="0" t="inlineStr">
        <is>
          <t>YES! 	 id列源备映射正确，源端为int None位	期望更改为int	实际备端为int None位</t>
        </is>
      </c>
    </row>
    <row r="1127">
      <c r="B1127" s="0" t="inlineStr">
        <is>
          <t>NULL</t>
        </is>
      </c>
      <c r="C1127" s="0" t="inlineStr">
        <is>
          <t>NULL</t>
        </is>
      </c>
      <c r="D1127" s="0" t="inlineStr">
        <is>
          <t>NULL</t>
        </is>
      </c>
      <c r="E1127" s="0" t="inlineStr">
        <is>
          <t>NULL</t>
        </is>
      </c>
      <c r="F1127" s="0" t="inlineStr">
        <is>
          <t>NULL</t>
        </is>
      </c>
      <c r="G1127" s="0" t="inlineStr">
        <is>
          <t>NULL</t>
        </is>
      </c>
      <c r="H1127" s="0" t="inlineStr">
        <is>
          <t>NULL</t>
        </is>
      </c>
      <c r="I1127" s="0" t="inlineStr">
        <is>
          <t>NULL</t>
        </is>
      </c>
      <c r="J1127" s="0" t="inlineStr">
        <is>
          <t>NULL</t>
        </is>
      </c>
      <c r="K1127" s="0" t="inlineStr">
        <is>
          <t>YES! 	 c_binary列源备映射正确，源端为binary 1位	期望更改为binary(n)	实际备端为binary 1位</t>
        </is>
      </c>
    </row>
    <row r="1128">
      <c r="B1128" s="0" t="inlineStr">
        <is>
          <t>NULL</t>
        </is>
      </c>
      <c r="C1128" s="0" t="inlineStr">
        <is>
          <t>NULL</t>
        </is>
      </c>
      <c r="D1128" s="0" t="inlineStr">
        <is>
          <t>NULL</t>
        </is>
      </c>
      <c r="E1128" s="0" t="inlineStr">
        <is>
          <t>NULL</t>
        </is>
      </c>
      <c r="F1128" s="0" t="inlineStr">
        <is>
          <t>NULL</t>
        </is>
      </c>
      <c r="G1128" s="0" t="inlineStr">
        <is>
          <t>NULL</t>
        </is>
      </c>
      <c r="H1128" s="0" t="inlineStr">
        <is>
          <t>NULL</t>
        </is>
      </c>
      <c r="I1128" s="0" t="inlineStr">
        <is>
          <t>NULL</t>
        </is>
      </c>
      <c r="J1128" s="0" t="inlineStr">
        <is>
          <t>NULL</t>
        </is>
      </c>
      <c r="K1128" s="0" t="inlineStr">
        <is>
          <t>YES! 	 c_binary_20列源备映射正确，源端为binary 20位	期望更改为binary(n)	实际备端为binary 20位</t>
        </is>
      </c>
    </row>
    <row r="1129">
      <c r="B1129" s="0" t="inlineStr">
        <is>
          <t>NULL</t>
        </is>
      </c>
      <c r="C1129" s="0" t="inlineStr">
        <is>
          <t>NULL</t>
        </is>
      </c>
      <c r="D1129" s="0" t="inlineStr">
        <is>
          <t>NULL</t>
        </is>
      </c>
      <c r="E1129" s="0" t="inlineStr">
        <is>
          <t>NULL</t>
        </is>
      </c>
      <c r="F1129" s="0" t="inlineStr">
        <is>
          <t>NULL</t>
        </is>
      </c>
      <c r="G1129" s="0" t="inlineStr">
        <is>
          <t>NULL</t>
        </is>
      </c>
      <c r="H1129" s="0" t="inlineStr">
        <is>
          <t>NULL</t>
        </is>
      </c>
      <c r="I1129" s="0" t="inlineStr">
        <is>
          <t>NULL</t>
        </is>
      </c>
      <c r="J1129" s="0" t="inlineStr">
        <is>
          <t>NULL</t>
        </is>
      </c>
      <c r="K1129" s="0" t="inlineStr">
        <is>
          <t>YES! 	 c_binary_8000列源备映射正确，源端为binary 8000位	期望更改为binary(n)	实际备端为binary 8000位</t>
        </is>
      </c>
    </row>
    <row r="1130">
      <c r="A1130" s="0" t="inlineStr">
        <is>
          <t>info_xml_dml_single_nopk_drp</t>
        </is>
      </c>
      <c r="K1130" s="0" t="inlineStr">
        <is>
          <t>[0;34m info_xml_dml_single_nopk_drp [0m源备字段数相同，源端字段：2 	备端字段2</t>
        </is>
      </c>
      <c r="W1130" s="0" t="inlineStr">
        <is>
          <t>YES 源备无差异</t>
        </is>
      </c>
      <c r="X1130" s="0">
        <f>A1130</f>
        <v/>
      </c>
    </row>
    <row r="1131">
      <c r="B1131" s="0" t="inlineStr">
        <is>
          <t>NULL</t>
        </is>
      </c>
      <c r="C1131" s="0" t="inlineStr">
        <is>
          <t>NULL</t>
        </is>
      </c>
      <c r="D1131" s="0" t="inlineStr">
        <is>
          <t>NULL</t>
        </is>
      </c>
      <c r="E1131" s="0" t="inlineStr">
        <is>
          <t>NULL</t>
        </is>
      </c>
      <c r="F1131" s="0" t="inlineStr">
        <is>
          <t>NULL</t>
        </is>
      </c>
      <c r="G1131" s="0" t="inlineStr">
        <is>
          <t>NULL</t>
        </is>
      </c>
      <c r="H1131" s="0" t="inlineStr">
        <is>
          <t>NULL</t>
        </is>
      </c>
      <c r="I1131" s="0" t="inlineStr">
        <is>
          <t>NULL</t>
        </is>
      </c>
      <c r="J1131" s="0" t="inlineStr">
        <is>
          <t>NULL</t>
        </is>
      </c>
      <c r="K1131" s="0" t="inlineStr">
        <is>
          <t>YES! 	 id列源备映射正确，源端为int None位	期望更改为int	实际备端为int None位</t>
        </is>
      </c>
    </row>
    <row r="1132">
      <c r="B1132" s="0" t="inlineStr">
        <is>
          <t>NULL</t>
        </is>
      </c>
      <c r="C1132" s="0" t="inlineStr">
        <is>
          <t>NULL</t>
        </is>
      </c>
      <c r="D1132" s="0" t="inlineStr">
        <is>
          <t>NULL</t>
        </is>
      </c>
      <c r="E1132" s="0" t="inlineStr">
        <is>
          <t>NULL</t>
        </is>
      </c>
      <c r="F1132" s="0" t="inlineStr">
        <is>
          <t>NULL</t>
        </is>
      </c>
      <c r="G1132" s="0" t="inlineStr">
        <is>
          <t>NULL</t>
        </is>
      </c>
      <c r="H1132" s="0" t="inlineStr">
        <is>
          <t>NULL</t>
        </is>
      </c>
      <c r="I1132" s="0" t="inlineStr">
        <is>
          <t>NULL</t>
        </is>
      </c>
      <c r="J1132" s="0" t="inlineStr">
        <is>
          <t>NULL</t>
        </is>
      </c>
      <c r="K1132" s="0" t="inlineStr">
        <is>
          <t>YES! 	 c_xml列源备映射正确，源端为xml -1位	期望更改为xml	实际备端为xml -1位</t>
        </is>
      </c>
    </row>
    <row r="1133">
      <c r="A1133" s="0" t="inlineStr">
        <is>
          <t>info_xml_dml_single_nopk</t>
        </is>
      </c>
      <c r="K1133" s="0" t="inlineStr">
        <is>
          <t>[0;34m info_xml_dml_single_nopk [0m源备字段数相同，源端字段：2 	备端字段2</t>
        </is>
      </c>
      <c r="W1133" s="0" t="inlineStr">
        <is>
          <t>YES 源备无差异</t>
        </is>
      </c>
      <c r="X1133" s="0">
        <f>A1133</f>
        <v/>
      </c>
    </row>
    <row r="1134">
      <c r="B1134" s="0" t="inlineStr">
        <is>
          <t>NULL</t>
        </is>
      </c>
      <c r="C1134" s="0" t="inlineStr">
        <is>
          <t>NULL</t>
        </is>
      </c>
      <c r="D1134" s="0" t="inlineStr">
        <is>
          <t>NULL</t>
        </is>
      </c>
      <c r="E1134" s="0" t="inlineStr">
        <is>
          <t>NULL</t>
        </is>
      </c>
      <c r="F1134" s="0" t="inlineStr">
        <is>
          <t>NULL</t>
        </is>
      </c>
      <c r="G1134" s="0" t="inlineStr">
        <is>
          <t>NULL</t>
        </is>
      </c>
      <c r="H1134" s="0" t="inlineStr">
        <is>
          <t>NULL</t>
        </is>
      </c>
      <c r="I1134" s="0" t="inlineStr">
        <is>
          <t>NULL</t>
        </is>
      </c>
      <c r="J1134" s="0" t="inlineStr">
        <is>
          <t>NULL</t>
        </is>
      </c>
      <c r="K1134" s="0" t="inlineStr">
        <is>
          <t>YES! 	 id列源备映射正确，源端为int None位	期望更改为int	实际备端为int None位</t>
        </is>
      </c>
    </row>
    <row r="1135">
      <c r="B1135" s="0" t="inlineStr">
        <is>
          <t>NULL</t>
        </is>
      </c>
      <c r="C1135" s="0" t="inlineStr">
        <is>
          <t>NULL</t>
        </is>
      </c>
      <c r="D1135" s="0" t="inlineStr">
        <is>
          <t>NULL</t>
        </is>
      </c>
      <c r="E1135" s="0" t="inlineStr">
        <is>
          <t>NULL</t>
        </is>
      </c>
      <c r="F1135" s="0" t="inlineStr">
        <is>
          <t>NULL</t>
        </is>
      </c>
      <c r="G1135" s="0" t="inlineStr">
        <is>
          <t>NULL</t>
        </is>
      </c>
      <c r="H1135" s="0" t="inlineStr">
        <is>
          <t>NULL</t>
        </is>
      </c>
      <c r="I1135" s="0" t="inlineStr">
        <is>
          <t>NULL</t>
        </is>
      </c>
      <c r="J1135" s="0" t="inlineStr">
        <is>
          <t>NULL</t>
        </is>
      </c>
      <c r="K1135" s="0" t="inlineStr">
        <is>
          <t>YES! 	 c_xml列源备映射正确，源端为xml -1位	期望更改为xml	实际备端为xml -1位</t>
        </is>
      </c>
    </row>
    <row r="1136">
      <c r="A1136" s="0" t="inlineStr">
        <is>
          <t>info_datetime2_dml_batch1_pk</t>
        </is>
      </c>
      <c r="K1136" s="0" t="inlineStr">
        <is>
          <t>[0;34m info_datetime2_dml_batch1_pk [0m源备字段数相同，源端字段：9 	备端字段9</t>
        </is>
      </c>
      <c r="W1136" s="0" t="inlineStr">
        <is>
          <t>YES 源备无差异</t>
        </is>
      </c>
      <c r="X1136" s="0">
        <f>A1136</f>
        <v/>
      </c>
    </row>
    <row r="1137">
      <c r="B1137" s="0" t="inlineStr">
        <is>
          <t>YES</t>
        </is>
      </c>
      <c r="C1137" s="0" t="inlineStr">
        <is>
          <t>NULL</t>
        </is>
      </c>
      <c r="D1137" s="0" t="inlineStr">
        <is>
          <t>NULL</t>
        </is>
      </c>
      <c r="E1137" s="0" t="inlineStr">
        <is>
          <t>NULL</t>
        </is>
      </c>
      <c r="F1137" s="0" t="inlineStr">
        <is>
          <t>NULL</t>
        </is>
      </c>
      <c r="G1137" s="0" t="inlineStr">
        <is>
          <t>NULL</t>
        </is>
      </c>
      <c r="H1137" s="0" t="inlineStr">
        <is>
          <t>NULL</t>
        </is>
      </c>
      <c r="I1137" s="0" t="inlineStr">
        <is>
          <t>YES!PK__info_dat__3213E83F40C47290</t>
        </is>
      </c>
      <c r="J1137" s="0" t="inlineStr">
        <is>
          <t>YES! 主键相关索引</t>
        </is>
      </c>
      <c r="K1137" s="0" t="inlineStr">
        <is>
          <t>YES! 	 id列源备映射正确，源端为int None位	期望更改为int	实际备端为int None位</t>
        </is>
      </c>
    </row>
    <row r="1138">
      <c r="B1138" s="0" t="inlineStr">
        <is>
          <t>NULL</t>
        </is>
      </c>
      <c r="C1138" s="0" t="inlineStr">
        <is>
          <t>NULL</t>
        </is>
      </c>
      <c r="D1138" s="0" t="inlineStr">
        <is>
          <t>NULL</t>
        </is>
      </c>
      <c r="E1138" s="0" t="inlineStr">
        <is>
          <t>NULL</t>
        </is>
      </c>
      <c r="F1138" s="0" t="inlineStr">
        <is>
          <t>NULL</t>
        </is>
      </c>
      <c r="G1138" s="0" t="inlineStr">
        <is>
          <t>NULL</t>
        </is>
      </c>
      <c r="H1138" s="0" t="inlineStr">
        <is>
          <t>NULL</t>
        </is>
      </c>
      <c r="I1138" s="0" t="inlineStr">
        <is>
          <t>NULL</t>
        </is>
      </c>
      <c r="J1138" s="0" t="inlineStr">
        <is>
          <t>NULL</t>
        </is>
      </c>
      <c r="K1138" s="0" t="inlineStr">
        <is>
          <t>no,len不存在</t>
        </is>
      </c>
    </row>
    <row r="1139">
      <c r="B1139" s="0" t="inlineStr">
        <is>
          <t>NULL</t>
        </is>
      </c>
      <c r="C1139" s="0" t="inlineStr">
        <is>
          <t>NULL</t>
        </is>
      </c>
      <c r="D1139" s="0" t="inlineStr">
        <is>
          <t>NULL</t>
        </is>
      </c>
      <c r="E1139" s="0" t="inlineStr">
        <is>
          <t>NULL</t>
        </is>
      </c>
      <c r="F1139" s="0" t="inlineStr">
        <is>
          <t>NULL</t>
        </is>
      </c>
      <c r="G1139" s="0" t="inlineStr">
        <is>
          <t>NULL</t>
        </is>
      </c>
      <c r="H1139" s="0" t="inlineStr">
        <is>
          <t>NULL</t>
        </is>
      </c>
      <c r="I1139" s="0" t="inlineStr">
        <is>
          <t>NULL</t>
        </is>
      </c>
      <c r="J1139" s="0" t="inlineStr">
        <is>
          <t>NULL</t>
        </is>
      </c>
      <c r="K1139" s="0" t="inlineStr">
        <is>
          <t>YES! 	 c_dt2_1列源备映射正确，源端为datetime2 None位	期望更改为datetime2(n)	实际备端为datetime2 None位</t>
        </is>
      </c>
    </row>
    <row r="1140">
      <c r="B1140" s="0" t="inlineStr">
        <is>
          <t>NULL</t>
        </is>
      </c>
      <c r="C1140" s="0" t="inlineStr">
        <is>
          <t>NULL</t>
        </is>
      </c>
      <c r="D1140" s="0" t="inlineStr">
        <is>
          <t>NULL</t>
        </is>
      </c>
      <c r="E1140" s="0" t="inlineStr">
        <is>
          <t>NULL</t>
        </is>
      </c>
      <c r="F1140" s="0" t="inlineStr">
        <is>
          <t>NULL</t>
        </is>
      </c>
      <c r="G1140" s="0" t="inlineStr">
        <is>
          <t>NULL</t>
        </is>
      </c>
      <c r="H1140" s="0" t="inlineStr">
        <is>
          <t>NULL</t>
        </is>
      </c>
      <c r="I1140" s="0" t="inlineStr">
        <is>
          <t>NULL</t>
        </is>
      </c>
      <c r="J1140" s="0" t="inlineStr">
        <is>
          <t>NULL</t>
        </is>
      </c>
      <c r="K1140" s="0" t="inlineStr">
        <is>
          <t>YES! 	 c_dt2_2列源备映射正确，源端为datetime2 None位	期望更改为datetime2(n)	实际备端为datetime2 None位</t>
        </is>
      </c>
    </row>
    <row r="1141">
      <c r="B1141" s="0" t="inlineStr">
        <is>
          <t>NULL</t>
        </is>
      </c>
      <c r="C1141" s="0" t="inlineStr">
        <is>
          <t>NULL</t>
        </is>
      </c>
      <c r="D1141" s="0" t="inlineStr">
        <is>
          <t>NULL</t>
        </is>
      </c>
      <c r="E1141" s="0" t="inlineStr">
        <is>
          <t>NULL</t>
        </is>
      </c>
      <c r="F1141" s="0" t="inlineStr">
        <is>
          <t>NULL</t>
        </is>
      </c>
      <c r="G1141" s="0" t="inlineStr">
        <is>
          <t>NULL</t>
        </is>
      </c>
      <c r="H1141" s="0" t="inlineStr">
        <is>
          <t>NULL</t>
        </is>
      </c>
      <c r="I1141" s="0" t="inlineStr">
        <is>
          <t>NULL</t>
        </is>
      </c>
      <c r="J1141" s="0" t="inlineStr">
        <is>
          <t>NULL</t>
        </is>
      </c>
      <c r="K1141" s="0" t="inlineStr">
        <is>
          <t>YES! 	 c_dt2_3列源备映射正确，源端为datetime2 None位	期望更改为datetime2(n)	实际备端为datetime2 None位</t>
        </is>
      </c>
    </row>
    <row r="1142">
      <c r="B1142" s="0" t="inlineStr">
        <is>
          <t>NULL</t>
        </is>
      </c>
      <c r="C1142" s="0" t="inlineStr">
        <is>
          <t>NULL</t>
        </is>
      </c>
      <c r="D1142" s="0" t="inlineStr">
        <is>
          <t>NULL</t>
        </is>
      </c>
      <c r="E1142" s="0" t="inlineStr">
        <is>
          <t>NULL</t>
        </is>
      </c>
      <c r="F1142" s="0" t="inlineStr">
        <is>
          <t>NULL</t>
        </is>
      </c>
      <c r="G1142" s="0" t="inlineStr">
        <is>
          <t>NULL</t>
        </is>
      </c>
      <c r="H1142" s="0" t="inlineStr">
        <is>
          <t>NULL</t>
        </is>
      </c>
      <c r="I1142" s="0" t="inlineStr">
        <is>
          <t>NULL</t>
        </is>
      </c>
      <c r="J1142" s="0" t="inlineStr">
        <is>
          <t>NULL</t>
        </is>
      </c>
      <c r="K1142" s="0" t="inlineStr">
        <is>
          <t>YES! 	 c_dt2_4列源备映射正确，源端为datetime2 None位	期望更改为datetime2(n)	实际备端为datetime2 None位</t>
        </is>
      </c>
    </row>
    <row r="1143">
      <c r="B1143" s="0" t="inlineStr">
        <is>
          <t>NULL</t>
        </is>
      </c>
      <c r="C1143" s="0" t="inlineStr">
        <is>
          <t>NULL</t>
        </is>
      </c>
      <c r="D1143" s="0" t="inlineStr">
        <is>
          <t>NULL</t>
        </is>
      </c>
      <c r="E1143" s="0" t="inlineStr">
        <is>
          <t>NULL</t>
        </is>
      </c>
      <c r="F1143" s="0" t="inlineStr">
        <is>
          <t>NULL</t>
        </is>
      </c>
      <c r="G1143" s="0" t="inlineStr">
        <is>
          <t>NULL</t>
        </is>
      </c>
      <c r="H1143" s="0" t="inlineStr">
        <is>
          <t>NULL</t>
        </is>
      </c>
      <c r="I1143" s="0" t="inlineStr">
        <is>
          <t>NULL</t>
        </is>
      </c>
      <c r="J1143" s="0" t="inlineStr">
        <is>
          <t>NULL</t>
        </is>
      </c>
      <c r="K1143" s="0" t="inlineStr">
        <is>
          <t>YES! 	 c_dt2_5列源备映射正确，源端为datetime2 None位	期望更改为datetime2(n)	实际备端为datetime2 None位</t>
        </is>
      </c>
    </row>
    <row r="1144">
      <c r="B1144" s="0" t="inlineStr">
        <is>
          <t>NULL</t>
        </is>
      </c>
      <c r="C1144" s="0" t="inlineStr">
        <is>
          <t>NULL</t>
        </is>
      </c>
      <c r="D1144" s="0" t="inlineStr">
        <is>
          <t>NULL</t>
        </is>
      </c>
      <c r="E1144" s="0" t="inlineStr">
        <is>
          <t>NULL</t>
        </is>
      </c>
      <c r="F1144" s="0" t="inlineStr">
        <is>
          <t>NULL</t>
        </is>
      </c>
      <c r="G1144" s="0" t="inlineStr">
        <is>
          <t>NULL</t>
        </is>
      </c>
      <c r="H1144" s="0" t="inlineStr">
        <is>
          <t>NULL</t>
        </is>
      </c>
      <c r="I1144" s="0" t="inlineStr">
        <is>
          <t>NULL</t>
        </is>
      </c>
      <c r="J1144" s="0" t="inlineStr">
        <is>
          <t>NULL</t>
        </is>
      </c>
      <c r="K1144" s="0" t="inlineStr">
        <is>
          <t>YES! 	 c_dt2_6列源备映射正确，源端为datetime2 None位	期望更改为datetime2(n)	实际备端为datetime2 None位</t>
        </is>
      </c>
    </row>
    <row r="1145">
      <c r="B1145" s="0" t="inlineStr">
        <is>
          <t>NULL</t>
        </is>
      </c>
      <c r="C1145" s="0" t="inlineStr">
        <is>
          <t>NULL</t>
        </is>
      </c>
      <c r="D1145" s="0" t="inlineStr">
        <is>
          <t>NULL</t>
        </is>
      </c>
      <c r="E1145" s="0" t="inlineStr">
        <is>
          <t>NULL</t>
        </is>
      </c>
      <c r="F1145" s="0" t="inlineStr">
        <is>
          <t>NULL</t>
        </is>
      </c>
      <c r="G1145" s="0" t="inlineStr">
        <is>
          <t>NULL</t>
        </is>
      </c>
      <c r="H1145" s="0" t="inlineStr">
        <is>
          <t>NULL</t>
        </is>
      </c>
      <c r="I1145" s="0" t="inlineStr">
        <is>
          <t>NULL</t>
        </is>
      </c>
      <c r="J1145" s="0" t="inlineStr">
        <is>
          <t>NULL</t>
        </is>
      </c>
      <c r="K1145" s="0" t="inlineStr">
        <is>
          <t>YES! 	 c_dt2列源备映射正确，源端为datetime2 None位	期望更改为datetime2(n)	实际备端为datetime2 None位</t>
        </is>
      </c>
    </row>
    <row r="1146">
      <c r="A1146" s="0" t="inlineStr">
        <is>
          <t>info_nvarchar_dml_batch1_pk_urp1</t>
        </is>
      </c>
      <c r="K1146" s="0" t="inlineStr">
        <is>
          <t>[0;34m info_nvarchar_dml_batch1_pk_urp1 [0m源备字段数相同，源端字段：4 	备端字段4</t>
        </is>
      </c>
      <c r="W1146" s="0" t="inlineStr">
        <is>
          <t>YES 源备无差异</t>
        </is>
      </c>
      <c r="X1146" s="0">
        <f>A1146</f>
        <v/>
      </c>
    </row>
    <row r="1147">
      <c r="B1147" s="0" t="inlineStr">
        <is>
          <t>YES</t>
        </is>
      </c>
      <c r="C1147" s="0" t="inlineStr">
        <is>
          <t>NULL</t>
        </is>
      </c>
      <c r="D1147" s="0" t="inlineStr">
        <is>
          <t>NULL</t>
        </is>
      </c>
      <c r="E1147" s="0" t="inlineStr">
        <is>
          <t>NULL</t>
        </is>
      </c>
      <c r="F1147" s="0" t="inlineStr">
        <is>
          <t>NULL</t>
        </is>
      </c>
      <c r="G1147" s="0" t="inlineStr">
        <is>
          <t>NULL</t>
        </is>
      </c>
      <c r="H1147" s="0" t="inlineStr">
        <is>
          <t>NULL</t>
        </is>
      </c>
      <c r="I1147" s="0" t="inlineStr">
        <is>
          <t>YES!PK__info_nva__3213E83F96E49186</t>
        </is>
      </c>
      <c r="J1147" s="0" t="inlineStr">
        <is>
          <t>YES! 主键相关索引</t>
        </is>
      </c>
      <c r="K1147" s="0" t="inlineStr">
        <is>
          <t>YES! 	 id列源备映射正确，源端为int None位	期望更改为int	实际备端为int None位</t>
        </is>
      </c>
    </row>
    <row r="1148">
      <c r="B1148" s="0" t="inlineStr">
        <is>
          <t>NULL</t>
        </is>
      </c>
      <c r="C1148" s="0" t="inlineStr">
        <is>
          <t>NULL</t>
        </is>
      </c>
      <c r="D1148" s="0" t="inlineStr">
        <is>
          <t>NULL</t>
        </is>
      </c>
      <c r="E1148" s="0" t="inlineStr">
        <is>
          <t>NULL</t>
        </is>
      </c>
      <c r="F1148" s="0" t="inlineStr">
        <is>
          <t>NULL</t>
        </is>
      </c>
      <c r="G1148" s="0" t="inlineStr">
        <is>
          <t>NULL</t>
        </is>
      </c>
      <c r="H1148" s="0" t="inlineStr">
        <is>
          <t>NULL</t>
        </is>
      </c>
      <c r="I1148" s="0" t="inlineStr">
        <is>
          <t>NULL</t>
        </is>
      </c>
      <c r="J1148" s="0" t="inlineStr">
        <is>
          <t>NULL</t>
        </is>
      </c>
      <c r="K1148" s="0" t="inlineStr">
        <is>
          <t>YES! 	 c_nvarchar列源备映射正确，源端为nvarchar 2位	期望更改为nvarchar(n)	实际备端为nvarchar 2位</t>
        </is>
      </c>
    </row>
    <row r="1149">
      <c r="B1149" s="0" t="inlineStr">
        <is>
          <t>NULL</t>
        </is>
      </c>
      <c r="C1149" s="0" t="inlineStr">
        <is>
          <t>NULL</t>
        </is>
      </c>
      <c r="D1149" s="0" t="inlineStr">
        <is>
          <t>NULL</t>
        </is>
      </c>
      <c r="E1149" s="0" t="inlineStr">
        <is>
          <t>NULL</t>
        </is>
      </c>
      <c r="F1149" s="0" t="inlineStr">
        <is>
          <t>NULL</t>
        </is>
      </c>
      <c r="G1149" s="0" t="inlineStr">
        <is>
          <t>NULL</t>
        </is>
      </c>
      <c r="H1149" s="0" t="inlineStr">
        <is>
          <t>NULL</t>
        </is>
      </c>
      <c r="I1149" s="0" t="inlineStr">
        <is>
          <t>NULL</t>
        </is>
      </c>
      <c r="J1149" s="0" t="inlineStr">
        <is>
          <t>NULL</t>
        </is>
      </c>
      <c r="K1149" s="0" t="inlineStr">
        <is>
          <t>YES! 	 c_nvarchar20列源备映射正确，源端为nvarchar 40位	期望更改为nvarchar(n)	实际备端为nvarchar 40位</t>
        </is>
      </c>
    </row>
    <row r="1150">
      <c r="B1150" s="0" t="inlineStr">
        <is>
          <t>NULL</t>
        </is>
      </c>
      <c r="C1150" s="0" t="inlineStr">
        <is>
          <t>NULL</t>
        </is>
      </c>
      <c r="D1150" s="0" t="inlineStr">
        <is>
          <t>NULL</t>
        </is>
      </c>
      <c r="E1150" s="0" t="inlineStr">
        <is>
          <t>NULL</t>
        </is>
      </c>
      <c r="F1150" s="0" t="inlineStr">
        <is>
          <t>NULL</t>
        </is>
      </c>
      <c r="G1150" s="0" t="inlineStr">
        <is>
          <t>NULL</t>
        </is>
      </c>
      <c r="H1150" s="0" t="inlineStr">
        <is>
          <t>NULL</t>
        </is>
      </c>
      <c r="I1150" s="0" t="inlineStr">
        <is>
          <t>NULL</t>
        </is>
      </c>
      <c r="J1150" s="0" t="inlineStr">
        <is>
          <t>NULL</t>
        </is>
      </c>
      <c r="K1150" s="0" t="inlineStr">
        <is>
          <t>YES! 	 c_nvarchar3500列源备映射正确，源端为nvarchar 7000位	期望更改为nvarchar(n)	实际备端为nvarchar 7000位</t>
        </is>
      </c>
    </row>
    <row r="1151">
      <c r="A1151" s="0" t="inlineStr">
        <is>
          <t>info_datetime_dml_single_pk_urp</t>
        </is>
      </c>
      <c r="K1151" s="0" t="inlineStr">
        <is>
          <t>[0;34m info_datetime_dml_single_pk_urp [0m源备字段数相同，源端字段：2 	备端字段2</t>
        </is>
      </c>
      <c r="W1151" s="0" t="inlineStr">
        <is>
          <t>YES 源备无差异</t>
        </is>
      </c>
      <c r="X1151" s="0">
        <f>A1151</f>
        <v/>
      </c>
    </row>
    <row r="1152">
      <c r="B1152" s="0" t="inlineStr">
        <is>
          <t>YES</t>
        </is>
      </c>
      <c r="C1152" s="0" t="inlineStr">
        <is>
          <t>NULL</t>
        </is>
      </c>
      <c r="D1152" s="0" t="inlineStr">
        <is>
          <t>NULL</t>
        </is>
      </c>
      <c r="E1152" s="0" t="inlineStr">
        <is>
          <t>NULL</t>
        </is>
      </c>
      <c r="F1152" s="0" t="inlineStr">
        <is>
          <t>NULL</t>
        </is>
      </c>
      <c r="G1152" s="0" t="inlineStr">
        <is>
          <t>NULL</t>
        </is>
      </c>
      <c r="H1152" s="0" t="inlineStr">
        <is>
          <t>NULL</t>
        </is>
      </c>
      <c r="I1152" s="0" t="inlineStr">
        <is>
          <t>YES!PK__info_dat__3213E83F0D54FDEB</t>
        </is>
      </c>
      <c r="J1152" s="0" t="inlineStr">
        <is>
          <t>YES! 主键相关索引</t>
        </is>
      </c>
      <c r="K1152" s="0" t="inlineStr">
        <is>
          <t>YES! 	 id列源备映射正确，源端为int None位	期望更改为int	实际备端为int None位</t>
        </is>
      </c>
    </row>
    <row r="1153">
      <c r="B1153" s="0" t="inlineStr">
        <is>
          <t>NULL</t>
        </is>
      </c>
      <c r="C1153" s="0" t="inlineStr">
        <is>
          <t>NULL</t>
        </is>
      </c>
      <c r="D1153" s="0" t="inlineStr">
        <is>
          <t>NULL</t>
        </is>
      </c>
      <c r="E1153" s="0" t="inlineStr">
        <is>
          <t>NULL</t>
        </is>
      </c>
      <c r="F1153" s="0" t="inlineStr">
        <is>
          <t>NULL</t>
        </is>
      </c>
      <c r="G1153" s="0" t="inlineStr">
        <is>
          <t>NULL</t>
        </is>
      </c>
      <c r="H1153" s="0" t="inlineStr">
        <is>
          <t>NULL</t>
        </is>
      </c>
      <c r="I1153" s="0" t="inlineStr">
        <is>
          <t>NULL</t>
        </is>
      </c>
      <c r="J1153" s="0" t="inlineStr">
        <is>
          <t>NULL</t>
        </is>
      </c>
      <c r="K1153" s="0" t="inlineStr">
        <is>
          <t>YES! 	 c_datetime列源备映射正确，源端为datetime None位	期望更改为datetime	实际备端为datetime None位</t>
        </is>
      </c>
    </row>
    <row r="1154">
      <c r="A1154" s="0" t="inlineStr">
        <is>
          <t>info_binary_dml_single_nopk_drp</t>
        </is>
      </c>
      <c r="K1154" s="0" t="inlineStr">
        <is>
          <t>[0;34m info_binary_dml_single_nopk_drp [0m源备字段数相同，源端字段：4 	备端字段4</t>
        </is>
      </c>
      <c r="W1154" s="0" t="inlineStr">
        <is>
          <t>YES 源备无差异</t>
        </is>
      </c>
      <c r="X1154" s="0">
        <f>A1154</f>
        <v/>
      </c>
    </row>
    <row r="1155">
      <c r="B1155" s="0" t="inlineStr">
        <is>
          <t>NULL</t>
        </is>
      </c>
      <c r="C1155" s="0" t="inlineStr">
        <is>
          <t>NULL</t>
        </is>
      </c>
      <c r="D1155" s="0" t="inlineStr">
        <is>
          <t>NULL</t>
        </is>
      </c>
      <c r="E1155" s="0" t="inlineStr">
        <is>
          <t>NULL</t>
        </is>
      </c>
      <c r="F1155" s="0" t="inlineStr">
        <is>
          <t>NULL</t>
        </is>
      </c>
      <c r="G1155" s="0" t="inlineStr">
        <is>
          <t>NULL</t>
        </is>
      </c>
      <c r="H1155" s="0" t="inlineStr">
        <is>
          <t>NULL</t>
        </is>
      </c>
      <c r="I1155" s="0" t="inlineStr">
        <is>
          <t>NULL</t>
        </is>
      </c>
      <c r="J1155" s="0" t="inlineStr">
        <is>
          <t>NULL</t>
        </is>
      </c>
      <c r="K1155" s="0" t="inlineStr">
        <is>
          <t>YES! 	 id列源备映射正确，源端为int None位	期望更改为int	实际备端为int None位</t>
        </is>
      </c>
    </row>
    <row r="1156">
      <c r="B1156" s="0" t="inlineStr">
        <is>
          <t>NULL</t>
        </is>
      </c>
      <c r="C1156" s="0" t="inlineStr">
        <is>
          <t>NULL</t>
        </is>
      </c>
      <c r="D1156" s="0" t="inlineStr">
        <is>
          <t>NULL</t>
        </is>
      </c>
      <c r="E1156" s="0" t="inlineStr">
        <is>
          <t>NULL</t>
        </is>
      </c>
      <c r="F1156" s="0" t="inlineStr">
        <is>
          <t>NULL</t>
        </is>
      </c>
      <c r="G1156" s="0" t="inlineStr">
        <is>
          <t>NULL</t>
        </is>
      </c>
      <c r="H1156" s="0" t="inlineStr">
        <is>
          <t>NULL</t>
        </is>
      </c>
      <c r="I1156" s="0" t="inlineStr">
        <is>
          <t>NULL</t>
        </is>
      </c>
      <c r="J1156" s="0" t="inlineStr">
        <is>
          <t>NULL</t>
        </is>
      </c>
      <c r="K1156" s="0" t="inlineStr">
        <is>
          <t>YES! 	 c_binary列源备映射正确，源端为binary 1位	期望更改为binary(n)	实际备端为binary 1位</t>
        </is>
      </c>
    </row>
    <row r="1157">
      <c r="B1157" s="0" t="inlineStr">
        <is>
          <t>NULL</t>
        </is>
      </c>
      <c r="C1157" s="0" t="inlineStr">
        <is>
          <t>NULL</t>
        </is>
      </c>
      <c r="D1157" s="0" t="inlineStr">
        <is>
          <t>NULL</t>
        </is>
      </c>
      <c r="E1157" s="0" t="inlineStr">
        <is>
          <t>NULL</t>
        </is>
      </c>
      <c r="F1157" s="0" t="inlineStr">
        <is>
          <t>NULL</t>
        </is>
      </c>
      <c r="G1157" s="0" t="inlineStr">
        <is>
          <t>NULL</t>
        </is>
      </c>
      <c r="H1157" s="0" t="inlineStr">
        <is>
          <t>NULL</t>
        </is>
      </c>
      <c r="I1157" s="0" t="inlineStr">
        <is>
          <t>NULL</t>
        </is>
      </c>
      <c r="J1157" s="0" t="inlineStr">
        <is>
          <t>NULL</t>
        </is>
      </c>
      <c r="K1157" s="0" t="inlineStr">
        <is>
          <t>YES! 	 c_binary_20列源备映射正确，源端为binary 20位	期望更改为binary(n)	实际备端为binary 20位</t>
        </is>
      </c>
    </row>
    <row r="1158">
      <c r="B1158" s="0" t="inlineStr">
        <is>
          <t>NULL</t>
        </is>
      </c>
      <c r="C1158" s="0" t="inlineStr">
        <is>
          <t>NULL</t>
        </is>
      </c>
      <c r="D1158" s="0" t="inlineStr">
        <is>
          <t>NULL</t>
        </is>
      </c>
      <c r="E1158" s="0" t="inlineStr">
        <is>
          <t>NULL</t>
        </is>
      </c>
      <c r="F1158" s="0" t="inlineStr">
        <is>
          <t>NULL</t>
        </is>
      </c>
      <c r="G1158" s="0" t="inlineStr">
        <is>
          <t>NULL</t>
        </is>
      </c>
      <c r="H1158" s="0" t="inlineStr">
        <is>
          <t>NULL</t>
        </is>
      </c>
      <c r="I1158" s="0" t="inlineStr">
        <is>
          <t>NULL</t>
        </is>
      </c>
      <c r="J1158" s="0" t="inlineStr">
        <is>
          <t>NULL</t>
        </is>
      </c>
      <c r="K1158" s="0" t="inlineStr">
        <is>
          <t>YES! 	 c_binary_8000列源备映射正确，源端为binary 8000位	期望更改为binary(n)	实际备端为binary 8000位</t>
        </is>
      </c>
    </row>
    <row r="1159">
      <c r="A1159" s="0" t="inlineStr">
        <is>
          <t>info_date_dml_single_nopk_irp</t>
        </is>
      </c>
      <c r="K1159" s="0" t="inlineStr">
        <is>
          <t>[0;34m info_date_dml_single_nopk_irp [0m源备字段数相同，源端字段：2 	备端字段2</t>
        </is>
      </c>
      <c r="W1159" s="0" t="inlineStr">
        <is>
          <t>YES 源备无差异</t>
        </is>
      </c>
      <c r="X1159" s="0">
        <f>A1159</f>
        <v/>
      </c>
    </row>
    <row r="1160">
      <c r="B1160" s="0" t="inlineStr">
        <is>
          <t>NULL</t>
        </is>
      </c>
      <c r="C1160" s="0" t="inlineStr">
        <is>
          <t>NULL</t>
        </is>
      </c>
      <c r="D1160" s="0" t="inlineStr">
        <is>
          <t>NULL</t>
        </is>
      </c>
      <c r="E1160" s="0" t="inlineStr">
        <is>
          <t>NULL</t>
        </is>
      </c>
      <c r="F1160" s="0" t="inlineStr">
        <is>
          <t>NULL</t>
        </is>
      </c>
      <c r="G1160" s="0" t="inlineStr">
        <is>
          <t>NULL</t>
        </is>
      </c>
      <c r="H1160" s="0" t="inlineStr">
        <is>
          <t>NULL</t>
        </is>
      </c>
      <c r="I1160" s="0" t="inlineStr">
        <is>
          <t>NULL</t>
        </is>
      </c>
      <c r="J1160" s="0" t="inlineStr">
        <is>
          <t>NULL</t>
        </is>
      </c>
      <c r="K1160" s="0" t="inlineStr">
        <is>
          <t>YES! 	 id列源备映射正确，源端为int None位	期望更改为int	实际备端为int None位</t>
        </is>
      </c>
    </row>
    <row r="1161">
      <c r="B1161" s="0" t="inlineStr">
        <is>
          <t>NULL</t>
        </is>
      </c>
      <c r="C1161" s="0" t="inlineStr">
        <is>
          <t>NULL</t>
        </is>
      </c>
      <c r="D1161" s="0" t="inlineStr">
        <is>
          <t>NULL</t>
        </is>
      </c>
      <c r="E1161" s="0" t="inlineStr">
        <is>
          <t>NULL</t>
        </is>
      </c>
      <c r="F1161" s="0" t="inlineStr">
        <is>
          <t>NULL</t>
        </is>
      </c>
      <c r="G1161" s="0" t="inlineStr">
        <is>
          <t>NULL</t>
        </is>
      </c>
      <c r="H1161" s="0" t="inlineStr">
        <is>
          <t>NULL</t>
        </is>
      </c>
      <c r="I1161" s="0" t="inlineStr">
        <is>
          <t>NULL</t>
        </is>
      </c>
      <c r="J1161" s="0" t="inlineStr">
        <is>
          <t>NULL</t>
        </is>
      </c>
      <c r="K1161" s="0" t="inlineStr">
        <is>
          <t>YES! 	 c_date列源备映射正确，源端为date None位	期望更改为date	实际备端为date None位</t>
        </is>
      </c>
    </row>
    <row r="1162">
      <c r="A1162" s="0" t="inlineStr">
        <is>
          <t>info_binary_dml_single_nopk</t>
        </is>
      </c>
      <c r="K1162" s="0" t="inlineStr">
        <is>
          <t>[0;34m info_binary_dml_single_nopk [0m源备字段数相同，源端字段：4 	备端字段4</t>
        </is>
      </c>
      <c r="W1162" s="0" t="inlineStr">
        <is>
          <t>YES 源备无差异</t>
        </is>
      </c>
      <c r="X1162" s="0">
        <f>A1162</f>
        <v/>
      </c>
    </row>
    <row r="1163">
      <c r="B1163" s="0" t="inlineStr">
        <is>
          <t>NULL</t>
        </is>
      </c>
      <c r="C1163" s="0" t="inlineStr">
        <is>
          <t>NULL</t>
        </is>
      </c>
      <c r="D1163" s="0" t="inlineStr">
        <is>
          <t>NULL</t>
        </is>
      </c>
      <c r="E1163" s="0" t="inlineStr">
        <is>
          <t>NULL</t>
        </is>
      </c>
      <c r="F1163" s="0" t="inlineStr">
        <is>
          <t>NULL</t>
        </is>
      </c>
      <c r="G1163" s="0" t="inlineStr">
        <is>
          <t>NULL</t>
        </is>
      </c>
      <c r="H1163" s="0" t="inlineStr">
        <is>
          <t>NULL</t>
        </is>
      </c>
      <c r="I1163" s="0" t="inlineStr">
        <is>
          <t>NULL</t>
        </is>
      </c>
      <c r="J1163" s="0" t="inlineStr">
        <is>
          <t>NULL</t>
        </is>
      </c>
      <c r="K1163" s="0" t="inlineStr">
        <is>
          <t>YES! 	 id列源备映射正确，源端为int None位	期望更改为int	实际备端为int None位</t>
        </is>
      </c>
    </row>
    <row r="1164">
      <c r="B1164" s="0" t="inlineStr">
        <is>
          <t>NULL</t>
        </is>
      </c>
      <c r="C1164" s="0" t="inlineStr">
        <is>
          <t>NULL</t>
        </is>
      </c>
      <c r="D1164" s="0" t="inlineStr">
        <is>
          <t>NULL</t>
        </is>
      </c>
      <c r="E1164" s="0" t="inlineStr">
        <is>
          <t>NULL</t>
        </is>
      </c>
      <c r="F1164" s="0" t="inlineStr">
        <is>
          <t>NULL</t>
        </is>
      </c>
      <c r="G1164" s="0" t="inlineStr">
        <is>
          <t>NULL</t>
        </is>
      </c>
      <c r="H1164" s="0" t="inlineStr">
        <is>
          <t>NULL</t>
        </is>
      </c>
      <c r="I1164" s="0" t="inlineStr">
        <is>
          <t>NULL</t>
        </is>
      </c>
      <c r="J1164" s="0" t="inlineStr">
        <is>
          <t>NULL</t>
        </is>
      </c>
      <c r="K1164" s="0" t="inlineStr">
        <is>
          <t>YES! 	 c_binary列源备映射正确，源端为binary 1位	期望更改为binary(n)	实际备端为binary 1位</t>
        </is>
      </c>
    </row>
    <row r="1165">
      <c r="B1165" s="0" t="inlineStr">
        <is>
          <t>NULL</t>
        </is>
      </c>
      <c r="C1165" s="0" t="inlineStr">
        <is>
          <t>NULL</t>
        </is>
      </c>
      <c r="D1165" s="0" t="inlineStr">
        <is>
          <t>NULL</t>
        </is>
      </c>
      <c r="E1165" s="0" t="inlineStr">
        <is>
          <t>NULL</t>
        </is>
      </c>
      <c r="F1165" s="0" t="inlineStr">
        <is>
          <t>NULL</t>
        </is>
      </c>
      <c r="G1165" s="0" t="inlineStr">
        <is>
          <t>NULL</t>
        </is>
      </c>
      <c r="H1165" s="0" t="inlineStr">
        <is>
          <t>NULL</t>
        </is>
      </c>
      <c r="I1165" s="0" t="inlineStr">
        <is>
          <t>NULL</t>
        </is>
      </c>
      <c r="J1165" s="0" t="inlineStr">
        <is>
          <t>NULL</t>
        </is>
      </c>
      <c r="K1165" s="0" t="inlineStr">
        <is>
          <t>YES! 	 c_binary_20列源备映射正确，源端为binary 20位	期望更改为binary(n)	实际备端为binary 20位</t>
        </is>
      </c>
    </row>
    <row r="1166">
      <c r="B1166" s="0" t="inlineStr">
        <is>
          <t>NULL</t>
        </is>
      </c>
      <c r="C1166" s="0" t="inlineStr">
        <is>
          <t>NULL</t>
        </is>
      </c>
      <c r="D1166" s="0" t="inlineStr">
        <is>
          <t>NULL</t>
        </is>
      </c>
      <c r="E1166" s="0" t="inlineStr">
        <is>
          <t>NULL</t>
        </is>
      </c>
      <c r="F1166" s="0" t="inlineStr">
        <is>
          <t>NULL</t>
        </is>
      </c>
      <c r="G1166" s="0" t="inlineStr">
        <is>
          <t>NULL</t>
        </is>
      </c>
      <c r="H1166" s="0" t="inlineStr">
        <is>
          <t>NULL</t>
        </is>
      </c>
      <c r="I1166" s="0" t="inlineStr">
        <is>
          <t>NULL</t>
        </is>
      </c>
      <c r="J1166" s="0" t="inlineStr">
        <is>
          <t>NULL</t>
        </is>
      </c>
      <c r="K1166" s="0" t="inlineStr">
        <is>
          <t>YES! 	 c_binary_8000列源备映射正确，源端为binary 8000位	期望更改为binary(n)	实际备端为binary 8000位</t>
        </is>
      </c>
    </row>
    <row r="1167">
      <c r="A1167" s="0" t="inlineStr">
        <is>
          <t>info_datetimeoffset_dml_batch1_pk_irp1</t>
        </is>
      </c>
      <c r="K1167" s="0" t="inlineStr">
        <is>
          <t>[0;34m info_datetimeoffset_dml_batch1_pk_irp1 [0m源备字段数相同，源端字段：9 	备端字段9</t>
        </is>
      </c>
      <c r="W1167" s="0" t="inlineStr">
        <is>
          <t>YES 源备无差异</t>
        </is>
      </c>
      <c r="X1167" s="0">
        <f>A1167</f>
        <v/>
      </c>
    </row>
    <row r="1168">
      <c r="B1168" s="0" t="inlineStr">
        <is>
          <t>YES</t>
        </is>
      </c>
      <c r="C1168" s="0" t="inlineStr">
        <is>
          <t>NULL</t>
        </is>
      </c>
      <c r="D1168" s="0" t="inlineStr">
        <is>
          <t>NULL</t>
        </is>
      </c>
      <c r="E1168" s="0" t="inlineStr">
        <is>
          <t>NULL</t>
        </is>
      </c>
      <c r="F1168" s="0" t="inlineStr">
        <is>
          <t>NULL</t>
        </is>
      </c>
      <c r="G1168" s="0" t="inlineStr">
        <is>
          <t>NULL</t>
        </is>
      </c>
      <c r="H1168" s="0" t="inlineStr">
        <is>
          <t>NULL</t>
        </is>
      </c>
      <c r="I1168" s="0" t="inlineStr">
        <is>
          <t>YES!PK__info_dat__3213E83F5DFBACE1</t>
        </is>
      </c>
      <c r="J1168" s="0" t="inlineStr">
        <is>
          <t>YES! 主键相关索引</t>
        </is>
      </c>
      <c r="K1168" s="0" t="inlineStr">
        <is>
          <t>YES! 	 id列源备映射正确，源端为int None位	期望更改为int	实际备端为int None位</t>
        </is>
      </c>
    </row>
    <row r="1169">
      <c r="B1169" s="0" t="inlineStr">
        <is>
          <t>NULL</t>
        </is>
      </c>
      <c r="C1169" s="0" t="inlineStr">
        <is>
          <t>NULL</t>
        </is>
      </c>
      <c r="D1169" s="0" t="inlineStr">
        <is>
          <t>NULL</t>
        </is>
      </c>
      <c r="E1169" s="0" t="inlineStr">
        <is>
          <t>NULL</t>
        </is>
      </c>
      <c r="F1169" s="0" t="inlineStr">
        <is>
          <t>NULL</t>
        </is>
      </c>
      <c r="G1169" s="0" t="inlineStr">
        <is>
          <t>NULL</t>
        </is>
      </c>
      <c r="H1169" s="0" t="inlineStr">
        <is>
          <t>NULL</t>
        </is>
      </c>
      <c r="I1169" s="0" t="inlineStr">
        <is>
          <t>NULL</t>
        </is>
      </c>
      <c r="J1169" s="0" t="inlineStr">
        <is>
          <t>NULL</t>
        </is>
      </c>
      <c r="K1169" s="0" t="inlineStr">
        <is>
          <t>no,len不存在</t>
        </is>
      </c>
    </row>
    <row r="1170">
      <c r="B1170" s="0" t="inlineStr">
        <is>
          <t>NULL</t>
        </is>
      </c>
      <c r="C1170" s="0" t="inlineStr">
        <is>
          <t>NULL</t>
        </is>
      </c>
      <c r="D1170" s="0" t="inlineStr">
        <is>
          <t>NULL</t>
        </is>
      </c>
      <c r="E1170" s="0" t="inlineStr">
        <is>
          <t>NULL</t>
        </is>
      </c>
      <c r="F1170" s="0" t="inlineStr">
        <is>
          <t>NULL</t>
        </is>
      </c>
      <c r="G1170" s="0" t="inlineStr">
        <is>
          <t>NULL</t>
        </is>
      </c>
      <c r="H1170" s="0" t="inlineStr">
        <is>
          <t>NULL</t>
        </is>
      </c>
      <c r="I1170" s="0" t="inlineStr">
        <is>
          <t>NULL</t>
        </is>
      </c>
      <c r="J1170" s="0" t="inlineStr">
        <is>
          <t>NULL</t>
        </is>
      </c>
      <c r="K1170" s="0" t="inlineStr">
        <is>
          <t>YES! 	 c_dtoffset_1列源备映射正确，源端为datetimeoffset None位	期望更改为datetimeoffset(n)	实际备端为datetimeoffset None位</t>
        </is>
      </c>
    </row>
    <row r="1171">
      <c r="B1171" s="0" t="inlineStr">
        <is>
          <t>NULL</t>
        </is>
      </c>
      <c r="C1171" s="0" t="inlineStr">
        <is>
          <t>NULL</t>
        </is>
      </c>
      <c r="D1171" s="0" t="inlineStr">
        <is>
          <t>NULL</t>
        </is>
      </c>
      <c r="E1171" s="0" t="inlineStr">
        <is>
          <t>NULL</t>
        </is>
      </c>
      <c r="F1171" s="0" t="inlineStr">
        <is>
          <t>NULL</t>
        </is>
      </c>
      <c r="G1171" s="0" t="inlineStr">
        <is>
          <t>NULL</t>
        </is>
      </c>
      <c r="H1171" s="0" t="inlineStr">
        <is>
          <t>NULL</t>
        </is>
      </c>
      <c r="I1171" s="0" t="inlineStr">
        <is>
          <t>NULL</t>
        </is>
      </c>
      <c r="J1171" s="0" t="inlineStr">
        <is>
          <t>NULL</t>
        </is>
      </c>
      <c r="K1171" s="0" t="inlineStr">
        <is>
          <t>YES! 	 c_dtoffset_2列源备映射正确，源端为datetimeoffset None位	期望更改为datetimeoffset(n)	实际备端为datetimeoffset None位</t>
        </is>
      </c>
    </row>
    <row r="1172">
      <c r="B1172" s="0" t="inlineStr">
        <is>
          <t>NULL</t>
        </is>
      </c>
      <c r="C1172" s="0" t="inlineStr">
        <is>
          <t>NULL</t>
        </is>
      </c>
      <c r="D1172" s="0" t="inlineStr">
        <is>
          <t>NULL</t>
        </is>
      </c>
      <c r="E1172" s="0" t="inlineStr">
        <is>
          <t>NULL</t>
        </is>
      </c>
      <c r="F1172" s="0" t="inlineStr">
        <is>
          <t>NULL</t>
        </is>
      </c>
      <c r="G1172" s="0" t="inlineStr">
        <is>
          <t>NULL</t>
        </is>
      </c>
      <c r="H1172" s="0" t="inlineStr">
        <is>
          <t>NULL</t>
        </is>
      </c>
      <c r="I1172" s="0" t="inlineStr">
        <is>
          <t>NULL</t>
        </is>
      </c>
      <c r="J1172" s="0" t="inlineStr">
        <is>
          <t>NULL</t>
        </is>
      </c>
      <c r="K1172" s="0" t="inlineStr">
        <is>
          <t>YES! 	 c_dtoffset_3列源备映射正确，源端为datetimeoffset None位	期望更改为datetimeoffset(n)	实际备端为datetimeoffset None位</t>
        </is>
      </c>
    </row>
    <row r="1173">
      <c r="B1173" s="0" t="inlineStr">
        <is>
          <t>NULL</t>
        </is>
      </c>
      <c r="C1173" s="0" t="inlineStr">
        <is>
          <t>NULL</t>
        </is>
      </c>
      <c r="D1173" s="0" t="inlineStr">
        <is>
          <t>NULL</t>
        </is>
      </c>
      <c r="E1173" s="0" t="inlineStr">
        <is>
          <t>NULL</t>
        </is>
      </c>
      <c r="F1173" s="0" t="inlineStr">
        <is>
          <t>NULL</t>
        </is>
      </c>
      <c r="G1173" s="0" t="inlineStr">
        <is>
          <t>NULL</t>
        </is>
      </c>
      <c r="H1173" s="0" t="inlineStr">
        <is>
          <t>NULL</t>
        </is>
      </c>
      <c r="I1173" s="0" t="inlineStr">
        <is>
          <t>NULL</t>
        </is>
      </c>
      <c r="J1173" s="0" t="inlineStr">
        <is>
          <t>NULL</t>
        </is>
      </c>
      <c r="K1173" s="0" t="inlineStr">
        <is>
          <t>YES! 	 c_dtoffset_4列源备映射正确，源端为datetimeoffset None位	期望更改为datetimeoffset(n)	实际备端为datetimeoffset None位</t>
        </is>
      </c>
    </row>
    <row r="1174">
      <c r="B1174" s="0" t="inlineStr">
        <is>
          <t>NULL</t>
        </is>
      </c>
      <c r="C1174" s="0" t="inlineStr">
        <is>
          <t>NULL</t>
        </is>
      </c>
      <c r="D1174" s="0" t="inlineStr">
        <is>
          <t>NULL</t>
        </is>
      </c>
      <c r="E1174" s="0" t="inlineStr">
        <is>
          <t>NULL</t>
        </is>
      </c>
      <c r="F1174" s="0" t="inlineStr">
        <is>
          <t>NULL</t>
        </is>
      </c>
      <c r="G1174" s="0" t="inlineStr">
        <is>
          <t>NULL</t>
        </is>
      </c>
      <c r="H1174" s="0" t="inlineStr">
        <is>
          <t>NULL</t>
        </is>
      </c>
      <c r="I1174" s="0" t="inlineStr">
        <is>
          <t>NULL</t>
        </is>
      </c>
      <c r="J1174" s="0" t="inlineStr">
        <is>
          <t>NULL</t>
        </is>
      </c>
      <c r="K1174" s="0" t="inlineStr">
        <is>
          <t>YES! 	 c_dtoffset_5列源备映射正确，源端为datetimeoffset None位	期望更改为datetimeoffset(n)	实际备端为datetimeoffset None位</t>
        </is>
      </c>
    </row>
    <row r="1175">
      <c r="B1175" s="0" t="inlineStr">
        <is>
          <t>NULL</t>
        </is>
      </c>
      <c r="C1175" s="0" t="inlineStr">
        <is>
          <t>NULL</t>
        </is>
      </c>
      <c r="D1175" s="0" t="inlineStr">
        <is>
          <t>NULL</t>
        </is>
      </c>
      <c r="E1175" s="0" t="inlineStr">
        <is>
          <t>NULL</t>
        </is>
      </c>
      <c r="F1175" s="0" t="inlineStr">
        <is>
          <t>NULL</t>
        </is>
      </c>
      <c r="G1175" s="0" t="inlineStr">
        <is>
          <t>NULL</t>
        </is>
      </c>
      <c r="H1175" s="0" t="inlineStr">
        <is>
          <t>NULL</t>
        </is>
      </c>
      <c r="I1175" s="0" t="inlineStr">
        <is>
          <t>NULL</t>
        </is>
      </c>
      <c r="J1175" s="0" t="inlineStr">
        <is>
          <t>NULL</t>
        </is>
      </c>
      <c r="K1175" s="0" t="inlineStr">
        <is>
          <t>YES! 	 c_dtoffset_6列源备映射正确，源端为datetimeoffset None位	期望更改为datetimeoffset(n)	实际备端为datetimeoffset None位</t>
        </is>
      </c>
    </row>
    <row r="1176">
      <c r="B1176" s="0" t="inlineStr">
        <is>
          <t>NULL</t>
        </is>
      </c>
      <c r="C1176" s="0" t="inlineStr">
        <is>
          <t>NULL</t>
        </is>
      </c>
      <c r="D1176" s="0" t="inlineStr">
        <is>
          <t>NULL</t>
        </is>
      </c>
      <c r="E1176" s="0" t="inlineStr">
        <is>
          <t>NULL</t>
        </is>
      </c>
      <c r="F1176" s="0" t="inlineStr">
        <is>
          <t>NULL</t>
        </is>
      </c>
      <c r="G1176" s="0" t="inlineStr">
        <is>
          <t>NULL</t>
        </is>
      </c>
      <c r="H1176" s="0" t="inlineStr">
        <is>
          <t>NULL</t>
        </is>
      </c>
      <c r="I1176" s="0" t="inlineStr">
        <is>
          <t>NULL</t>
        </is>
      </c>
      <c r="J1176" s="0" t="inlineStr">
        <is>
          <t>NULL</t>
        </is>
      </c>
      <c r="K1176" s="0" t="inlineStr">
        <is>
          <t>YES! 	 c_dtoffset列源备映射正确，源端为datetimeoffset None位	期望更改为datetimeoffset(n)	实际备端为datetimeoffset None位</t>
        </is>
      </c>
    </row>
    <row r="1177">
      <c r="A1177" s="0" t="inlineStr">
        <is>
          <t>info_date_dml_single_nopk_urp</t>
        </is>
      </c>
      <c r="K1177" s="0" t="inlineStr">
        <is>
          <t>[0;34m info_date_dml_single_nopk_urp [0m源备字段数相同，源端字段：2 	备端字段2</t>
        </is>
      </c>
      <c r="W1177" s="0" t="inlineStr">
        <is>
          <t>YES 源备无差异</t>
        </is>
      </c>
      <c r="X1177" s="0">
        <f>A1177</f>
        <v/>
      </c>
    </row>
    <row r="1178">
      <c r="B1178" s="0" t="inlineStr">
        <is>
          <t>NULL</t>
        </is>
      </c>
      <c r="C1178" s="0" t="inlineStr">
        <is>
          <t>NULL</t>
        </is>
      </c>
      <c r="D1178" s="0" t="inlineStr">
        <is>
          <t>NULL</t>
        </is>
      </c>
      <c r="E1178" s="0" t="inlineStr">
        <is>
          <t>NULL</t>
        </is>
      </c>
      <c r="F1178" s="0" t="inlineStr">
        <is>
          <t>NULL</t>
        </is>
      </c>
      <c r="G1178" s="0" t="inlineStr">
        <is>
          <t>NULL</t>
        </is>
      </c>
      <c r="H1178" s="0" t="inlineStr">
        <is>
          <t>NULL</t>
        </is>
      </c>
      <c r="I1178" s="0" t="inlineStr">
        <is>
          <t>NULL</t>
        </is>
      </c>
      <c r="J1178" s="0" t="inlineStr">
        <is>
          <t>NULL</t>
        </is>
      </c>
      <c r="K1178" s="0" t="inlineStr">
        <is>
          <t>YES! 	 id列源备映射正确，源端为int None位	期望更改为int	实际备端为int None位</t>
        </is>
      </c>
    </row>
    <row r="1179">
      <c r="B1179" s="0" t="inlineStr">
        <is>
          <t>NULL</t>
        </is>
      </c>
      <c r="C1179" s="0" t="inlineStr">
        <is>
          <t>NULL</t>
        </is>
      </c>
      <c r="D1179" s="0" t="inlineStr">
        <is>
          <t>NULL</t>
        </is>
      </c>
      <c r="E1179" s="0" t="inlineStr">
        <is>
          <t>NULL</t>
        </is>
      </c>
      <c r="F1179" s="0" t="inlineStr">
        <is>
          <t>NULL</t>
        </is>
      </c>
      <c r="G1179" s="0" t="inlineStr">
        <is>
          <t>NULL</t>
        </is>
      </c>
      <c r="H1179" s="0" t="inlineStr">
        <is>
          <t>NULL</t>
        </is>
      </c>
      <c r="I1179" s="0" t="inlineStr">
        <is>
          <t>NULL</t>
        </is>
      </c>
      <c r="J1179" s="0" t="inlineStr">
        <is>
          <t>NULL</t>
        </is>
      </c>
      <c r="K1179" s="0" t="inlineStr">
        <is>
          <t>YES! 	 c_date列源备映射正确，源端为date None位	期望更改为date	实际备端为date None位</t>
        </is>
      </c>
    </row>
    <row r="1180">
      <c r="A1180" s="0" t="inlineStr">
        <is>
          <t>info_nvarchar_dml_batch2_pk_urp2</t>
        </is>
      </c>
      <c r="K1180" s="0" t="inlineStr">
        <is>
          <t>[0;34m info_nvarchar_dml_batch2_pk_urp2 [0m源备字段数相同，源端字段：4 	备端字段4</t>
        </is>
      </c>
      <c r="W1180" s="0" t="inlineStr">
        <is>
          <t>YES 源备无差异</t>
        </is>
      </c>
      <c r="X1180" s="0">
        <f>A1180</f>
        <v/>
      </c>
    </row>
    <row r="1181">
      <c r="B1181" s="0" t="inlineStr">
        <is>
          <t>YES</t>
        </is>
      </c>
      <c r="C1181" s="0" t="inlineStr">
        <is>
          <t>NULL</t>
        </is>
      </c>
      <c r="D1181" s="0" t="inlineStr">
        <is>
          <t>NULL</t>
        </is>
      </c>
      <c r="E1181" s="0" t="inlineStr">
        <is>
          <t>NULL</t>
        </is>
      </c>
      <c r="F1181" s="0" t="inlineStr">
        <is>
          <t>NULL</t>
        </is>
      </c>
      <c r="G1181" s="0" t="inlineStr">
        <is>
          <t>NULL</t>
        </is>
      </c>
      <c r="H1181" s="0" t="inlineStr">
        <is>
          <t>NULL</t>
        </is>
      </c>
      <c r="I1181" s="0" t="inlineStr">
        <is>
          <t>YES!PK__info_nva__3213E83FC6E75F78</t>
        </is>
      </c>
      <c r="J1181" s="0" t="inlineStr">
        <is>
          <t>YES! 主键相关索引</t>
        </is>
      </c>
      <c r="K1181" s="0" t="inlineStr">
        <is>
          <t>YES! 	 id列源备映射正确，源端为int None位	期望更改为int	实际备端为int None位</t>
        </is>
      </c>
    </row>
    <row r="1182">
      <c r="B1182" s="0" t="inlineStr">
        <is>
          <t>NULL</t>
        </is>
      </c>
      <c r="C1182" s="0" t="inlineStr">
        <is>
          <t>NULL</t>
        </is>
      </c>
      <c r="D1182" s="0" t="inlineStr">
        <is>
          <t>NULL</t>
        </is>
      </c>
      <c r="E1182" s="0" t="inlineStr">
        <is>
          <t>NULL</t>
        </is>
      </c>
      <c r="F1182" s="0" t="inlineStr">
        <is>
          <t>NULL</t>
        </is>
      </c>
      <c r="G1182" s="0" t="inlineStr">
        <is>
          <t>NULL</t>
        </is>
      </c>
      <c r="H1182" s="0" t="inlineStr">
        <is>
          <t>NULL</t>
        </is>
      </c>
      <c r="I1182" s="0" t="inlineStr">
        <is>
          <t>NULL</t>
        </is>
      </c>
      <c r="J1182" s="0" t="inlineStr">
        <is>
          <t>NULL</t>
        </is>
      </c>
      <c r="K1182" s="0" t="inlineStr">
        <is>
          <t>YES! 	 c_nvarchar列源备映射正确，源端为nvarchar 2位	期望更改为nvarchar(n)	实际备端为nvarchar 2位</t>
        </is>
      </c>
    </row>
    <row r="1183">
      <c r="B1183" s="0" t="inlineStr">
        <is>
          <t>NULL</t>
        </is>
      </c>
      <c r="C1183" s="0" t="inlineStr">
        <is>
          <t>NULL</t>
        </is>
      </c>
      <c r="D1183" s="0" t="inlineStr">
        <is>
          <t>NULL</t>
        </is>
      </c>
      <c r="E1183" s="0" t="inlineStr">
        <is>
          <t>NULL</t>
        </is>
      </c>
      <c r="F1183" s="0" t="inlineStr">
        <is>
          <t>NULL</t>
        </is>
      </c>
      <c r="G1183" s="0" t="inlineStr">
        <is>
          <t>NULL</t>
        </is>
      </c>
      <c r="H1183" s="0" t="inlineStr">
        <is>
          <t>NULL</t>
        </is>
      </c>
      <c r="I1183" s="0" t="inlineStr">
        <is>
          <t>NULL</t>
        </is>
      </c>
      <c r="J1183" s="0" t="inlineStr">
        <is>
          <t>NULL</t>
        </is>
      </c>
      <c r="K1183" s="0" t="inlineStr">
        <is>
          <t>YES! 	 c_nvarchar20列源备映射正确，源端为nvarchar 40位	期望更改为nvarchar(n)	实际备端为nvarchar 40位</t>
        </is>
      </c>
    </row>
    <row r="1184">
      <c r="B1184" s="0" t="inlineStr">
        <is>
          <t>NULL</t>
        </is>
      </c>
      <c r="C1184" s="0" t="inlineStr">
        <is>
          <t>NULL</t>
        </is>
      </c>
      <c r="D1184" s="0" t="inlineStr">
        <is>
          <t>NULL</t>
        </is>
      </c>
      <c r="E1184" s="0" t="inlineStr">
        <is>
          <t>NULL</t>
        </is>
      </c>
      <c r="F1184" s="0" t="inlineStr">
        <is>
          <t>NULL</t>
        </is>
      </c>
      <c r="G1184" s="0" t="inlineStr">
        <is>
          <t>NULL</t>
        </is>
      </c>
      <c r="H1184" s="0" t="inlineStr">
        <is>
          <t>NULL</t>
        </is>
      </c>
      <c r="I1184" s="0" t="inlineStr">
        <is>
          <t>NULL</t>
        </is>
      </c>
      <c r="J1184" s="0" t="inlineStr">
        <is>
          <t>NULL</t>
        </is>
      </c>
      <c r="K1184" s="0" t="inlineStr">
        <is>
          <t>YES! 	 c_nvarchar3500列源备映射正确，源端为nvarchar 7000位	期望更改为nvarchar(n)	实际备端为nvarchar 7000位</t>
        </is>
      </c>
    </row>
    <row r="1185">
      <c r="A1185" s="0" t="inlineStr">
        <is>
          <t>info_datetime_dml_single_pk_drp</t>
        </is>
      </c>
      <c r="K1185" s="0" t="inlineStr">
        <is>
          <t>[0;34m info_datetime_dml_single_pk_drp [0m源备字段数相同，源端字段：2 	备端字段2</t>
        </is>
      </c>
      <c r="W1185" s="0" t="inlineStr">
        <is>
          <t>YES 源备无差异</t>
        </is>
      </c>
      <c r="X1185" s="0">
        <f>A1185</f>
        <v/>
      </c>
    </row>
    <row r="1186">
      <c r="B1186" s="0" t="inlineStr">
        <is>
          <t>YES</t>
        </is>
      </c>
      <c r="C1186" s="0" t="inlineStr">
        <is>
          <t>NULL</t>
        </is>
      </c>
      <c r="D1186" s="0" t="inlineStr">
        <is>
          <t>NULL</t>
        </is>
      </c>
      <c r="E1186" s="0" t="inlineStr">
        <is>
          <t>NULL</t>
        </is>
      </c>
      <c r="F1186" s="0" t="inlineStr">
        <is>
          <t>NULL</t>
        </is>
      </c>
      <c r="G1186" s="0" t="inlineStr">
        <is>
          <t>NULL</t>
        </is>
      </c>
      <c r="H1186" s="0" t="inlineStr">
        <is>
          <t>NULL</t>
        </is>
      </c>
      <c r="I1186" s="0" t="inlineStr">
        <is>
          <t>YES!PK__info_dat__3213E83F6C5AB8FE</t>
        </is>
      </c>
      <c r="J1186" s="0" t="inlineStr">
        <is>
          <t>YES! 主键相关索引</t>
        </is>
      </c>
      <c r="K1186" s="0" t="inlineStr">
        <is>
          <t>YES! 	 id列源备映射正确，源端为int None位	期望更改为int	实际备端为int None位</t>
        </is>
      </c>
    </row>
    <row r="1187">
      <c r="B1187" s="0" t="inlineStr">
        <is>
          <t>NULL</t>
        </is>
      </c>
      <c r="C1187" s="0" t="inlineStr">
        <is>
          <t>NULL</t>
        </is>
      </c>
      <c r="D1187" s="0" t="inlineStr">
        <is>
          <t>NULL</t>
        </is>
      </c>
      <c r="E1187" s="0" t="inlineStr">
        <is>
          <t>NULL</t>
        </is>
      </c>
      <c r="F1187" s="0" t="inlineStr">
        <is>
          <t>NULL</t>
        </is>
      </c>
      <c r="G1187" s="0" t="inlineStr">
        <is>
          <t>NULL</t>
        </is>
      </c>
      <c r="H1187" s="0" t="inlineStr">
        <is>
          <t>NULL</t>
        </is>
      </c>
      <c r="I1187" s="0" t="inlineStr">
        <is>
          <t>NULL</t>
        </is>
      </c>
      <c r="J1187" s="0" t="inlineStr">
        <is>
          <t>NULL</t>
        </is>
      </c>
      <c r="K1187" s="0" t="inlineStr">
        <is>
          <t>YES! 	 c_datetime列源备映射正确，源端为datetime None位	期望更改为datetime	实际备端为datetime None位</t>
        </is>
      </c>
    </row>
    <row r="1188">
      <c r="A1188" s="0" t="inlineStr">
        <is>
          <t>info_varbinary_dml_single_nopk_irp</t>
        </is>
      </c>
      <c r="K1188" s="0" t="inlineStr">
        <is>
          <t>[0;34m info_varbinary_dml_single_nopk_irp [0m源备字段数相同，源端字段：4 	备端字段4</t>
        </is>
      </c>
      <c r="W1188" s="0" t="inlineStr">
        <is>
          <t>YES 源备无差异</t>
        </is>
      </c>
      <c r="X1188" s="0">
        <f>A1188</f>
        <v/>
      </c>
    </row>
    <row r="1189">
      <c r="B1189" s="0" t="inlineStr">
        <is>
          <t>NULL</t>
        </is>
      </c>
      <c r="C1189" s="0" t="inlineStr">
        <is>
          <t>NULL</t>
        </is>
      </c>
      <c r="D1189" s="0" t="inlineStr">
        <is>
          <t>NULL</t>
        </is>
      </c>
      <c r="E1189" s="0" t="inlineStr">
        <is>
          <t>NULL</t>
        </is>
      </c>
      <c r="F1189" s="0" t="inlineStr">
        <is>
          <t>NULL</t>
        </is>
      </c>
      <c r="G1189" s="0" t="inlineStr">
        <is>
          <t>NULL</t>
        </is>
      </c>
      <c r="H1189" s="0" t="inlineStr">
        <is>
          <t>NULL</t>
        </is>
      </c>
      <c r="I1189" s="0" t="inlineStr">
        <is>
          <t>NULL</t>
        </is>
      </c>
      <c r="J1189" s="0" t="inlineStr">
        <is>
          <t>NULL</t>
        </is>
      </c>
      <c r="K1189" s="0" t="inlineStr">
        <is>
          <t>YES! 	 id列源备映射正确，源端为int None位	期望更改为int	实际备端为int None位</t>
        </is>
      </c>
    </row>
    <row r="1190">
      <c r="B1190" s="0" t="inlineStr">
        <is>
          <t>NULL</t>
        </is>
      </c>
      <c r="C1190" s="0" t="inlineStr">
        <is>
          <t>NULL</t>
        </is>
      </c>
      <c r="D1190" s="0" t="inlineStr">
        <is>
          <t>NULL</t>
        </is>
      </c>
      <c r="E1190" s="0" t="inlineStr">
        <is>
          <t>NULL</t>
        </is>
      </c>
      <c r="F1190" s="0" t="inlineStr">
        <is>
          <t>NULL</t>
        </is>
      </c>
      <c r="G1190" s="0" t="inlineStr">
        <is>
          <t>NULL</t>
        </is>
      </c>
      <c r="H1190" s="0" t="inlineStr">
        <is>
          <t>NULL</t>
        </is>
      </c>
      <c r="I1190" s="0" t="inlineStr">
        <is>
          <t>NULL</t>
        </is>
      </c>
      <c r="J1190" s="0" t="inlineStr">
        <is>
          <t>NULL</t>
        </is>
      </c>
      <c r="K1190" s="0" t="inlineStr">
        <is>
          <t>YES! 	 c_varbinary列源备映射正确，源端为varbinary 1位	期望更改为varbinary(n)	实际备端为varbinary 1位</t>
        </is>
      </c>
    </row>
    <row r="1191">
      <c r="B1191" s="0" t="inlineStr">
        <is>
          <t>NULL</t>
        </is>
      </c>
      <c r="C1191" s="0" t="inlineStr">
        <is>
          <t>NULL</t>
        </is>
      </c>
      <c r="D1191" s="0" t="inlineStr">
        <is>
          <t>NULL</t>
        </is>
      </c>
      <c r="E1191" s="0" t="inlineStr">
        <is>
          <t>NULL</t>
        </is>
      </c>
      <c r="F1191" s="0" t="inlineStr">
        <is>
          <t>NULL</t>
        </is>
      </c>
      <c r="G1191" s="0" t="inlineStr">
        <is>
          <t>NULL</t>
        </is>
      </c>
      <c r="H1191" s="0" t="inlineStr">
        <is>
          <t>NULL</t>
        </is>
      </c>
      <c r="I1191" s="0" t="inlineStr">
        <is>
          <t>NULL</t>
        </is>
      </c>
      <c r="J1191" s="0" t="inlineStr">
        <is>
          <t>NULL</t>
        </is>
      </c>
      <c r="K1191" s="0" t="inlineStr">
        <is>
          <t>YES! 	 c_varbinary_100列源备映射正确，源端为varbinary 100位	期望更改为varbinary(n)	实际备端为varbinary 100位</t>
        </is>
      </c>
    </row>
    <row r="1192">
      <c r="B1192" s="0" t="inlineStr">
        <is>
          <t>NULL</t>
        </is>
      </c>
      <c r="C1192" s="0" t="inlineStr">
        <is>
          <t>NULL</t>
        </is>
      </c>
      <c r="D1192" s="0" t="inlineStr">
        <is>
          <t>NULL</t>
        </is>
      </c>
      <c r="E1192" s="0" t="inlineStr">
        <is>
          <t>NULL</t>
        </is>
      </c>
      <c r="F1192" s="0" t="inlineStr">
        <is>
          <t>NULL</t>
        </is>
      </c>
      <c r="G1192" s="0" t="inlineStr">
        <is>
          <t>NULL</t>
        </is>
      </c>
      <c r="H1192" s="0" t="inlineStr">
        <is>
          <t>NULL</t>
        </is>
      </c>
      <c r="I1192" s="0" t="inlineStr">
        <is>
          <t>NULL</t>
        </is>
      </c>
      <c r="J1192" s="0" t="inlineStr">
        <is>
          <t>NULL</t>
        </is>
      </c>
      <c r="K1192" s="0" t="inlineStr">
        <is>
          <t>YES! 	 c_varbinary_8000列源备映射正确，源端为varbinary 8000位	期望更改为varbinary(n)	实际备端为varbinary 8000位</t>
        </is>
      </c>
    </row>
    <row r="1193">
      <c r="A1193" s="0" t="inlineStr">
        <is>
          <t>info_date_dml_single_nopk_drp</t>
        </is>
      </c>
      <c r="K1193" s="0" t="inlineStr">
        <is>
          <t>[0;34m info_date_dml_single_nopk_drp [0m源备字段数相同，源端字段：2 	备端字段2</t>
        </is>
      </c>
      <c r="W1193" s="0" t="inlineStr">
        <is>
          <t>YES 源备无差异</t>
        </is>
      </c>
      <c r="X1193" s="0">
        <f>A1193</f>
        <v/>
      </c>
    </row>
    <row r="1194">
      <c r="B1194" s="0" t="inlineStr">
        <is>
          <t>NULL</t>
        </is>
      </c>
      <c r="C1194" s="0" t="inlineStr">
        <is>
          <t>NULL</t>
        </is>
      </c>
      <c r="D1194" s="0" t="inlineStr">
        <is>
          <t>NULL</t>
        </is>
      </c>
      <c r="E1194" s="0" t="inlineStr">
        <is>
          <t>NULL</t>
        </is>
      </c>
      <c r="F1194" s="0" t="inlineStr">
        <is>
          <t>NULL</t>
        </is>
      </c>
      <c r="G1194" s="0" t="inlineStr">
        <is>
          <t>NULL</t>
        </is>
      </c>
      <c r="H1194" s="0" t="inlineStr">
        <is>
          <t>NULL</t>
        </is>
      </c>
      <c r="I1194" s="0" t="inlineStr">
        <is>
          <t>NULL</t>
        </is>
      </c>
      <c r="J1194" s="0" t="inlineStr">
        <is>
          <t>NULL</t>
        </is>
      </c>
      <c r="K1194" s="0" t="inlineStr">
        <is>
          <t>YES! 	 id列源备映射正确，源端为int None位	期望更改为int	实际备端为int None位</t>
        </is>
      </c>
    </row>
    <row r="1195">
      <c r="B1195" s="0" t="inlineStr">
        <is>
          <t>NULL</t>
        </is>
      </c>
      <c r="C1195" s="0" t="inlineStr">
        <is>
          <t>NULL</t>
        </is>
      </c>
      <c r="D1195" s="0" t="inlineStr">
        <is>
          <t>NULL</t>
        </is>
      </c>
      <c r="E1195" s="0" t="inlineStr">
        <is>
          <t>NULL</t>
        </is>
      </c>
      <c r="F1195" s="0" t="inlineStr">
        <is>
          <t>NULL</t>
        </is>
      </c>
      <c r="G1195" s="0" t="inlineStr">
        <is>
          <t>NULL</t>
        </is>
      </c>
      <c r="H1195" s="0" t="inlineStr">
        <is>
          <t>NULL</t>
        </is>
      </c>
      <c r="I1195" s="0" t="inlineStr">
        <is>
          <t>NULL</t>
        </is>
      </c>
      <c r="J1195" s="0" t="inlineStr">
        <is>
          <t>NULL</t>
        </is>
      </c>
      <c r="K1195" s="0" t="inlineStr">
        <is>
          <t>YES! 	 c_date列源备映射正确，源端为date None位	期望更改为date	实际备端为date None位</t>
        </is>
      </c>
    </row>
    <row r="1196">
      <c r="A1196" s="0" t="inlineStr">
        <is>
          <t>info_varbinary_dml_single_nopk_urp</t>
        </is>
      </c>
      <c r="K1196" s="0" t="inlineStr">
        <is>
          <t>[0;34m info_varbinary_dml_single_nopk_urp [0m源备字段数相同，源端字段：4 	备端字段4</t>
        </is>
      </c>
      <c r="W1196" s="0" t="inlineStr">
        <is>
          <t>YES 源备无差异</t>
        </is>
      </c>
      <c r="X1196" s="0">
        <f>A1196</f>
        <v/>
      </c>
    </row>
    <row r="1197">
      <c r="B1197" s="0" t="inlineStr">
        <is>
          <t>NULL</t>
        </is>
      </c>
      <c r="C1197" s="0" t="inlineStr">
        <is>
          <t>NULL</t>
        </is>
      </c>
      <c r="D1197" s="0" t="inlineStr">
        <is>
          <t>NULL</t>
        </is>
      </c>
      <c r="E1197" s="0" t="inlineStr">
        <is>
          <t>NULL</t>
        </is>
      </c>
      <c r="F1197" s="0" t="inlineStr">
        <is>
          <t>NULL</t>
        </is>
      </c>
      <c r="G1197" s="0" t="inlineStr">
        <is>
          <t>NULL</t>
        </is>
      </c>
      <c r="H1197" s="0" t="inlineStr">
        <is>
          <t>NULL</t>
        </is>
      </c>
      <c r="I1197" s="0" t="inlineStr">
        <is>
          <t>NULL</t>
        </is>
      </c>
      <c r="J1197" s="0" t="inlineStr">
        <is>
          <t>NULL</t>
        </is>
      </c>
      <c r="K1197" s="0" t="inlineStr">
        <is>
          <t>YES! 	 id列源备映射正确，源端为int None位	期望更改为int	实际备端为int None位</t>
        </is>
      </c>
    </row>
    <row r="1198">
      <c r="B1198" s="0" t="inlineStr">
        <is>
          <t>NULL</t>
        </is>
      </c>
      <c r="C1198" s="0" t="inlineStr">
        <is>
          <t>NULL</t>
        </is>
      </c>
      <c r="D1198" s="0" t="inlineStr">
        <is>
          <t>NULL</t>
        </is>
      </c>
      <c r="E1198" s="0" t="inlineStr">
        <is>
          <t>NULL</t>
        </is>
      </c>
      <c r="F1198" s="0" t="inlineStr">
        <is>
          <t>NULL</t>
        </is>
      </c>
      <c r="G1198" s="0" t="inlineStr">
        <is>
          <t>NULL</t>
        </is>
      </c>
      <c r="H1198" s="0" t="inlineStr">
        <is>
          <t>NULL</t>
        </is>
      </c>
      <c r="I1198" s="0" t="inlineStr">
        <is>
          <t>NULL</t>
        </is>
      </c>
      <c r="J1198" s="0" t="inlineStr">
        <is>
          <t>NULL</t>
        </is>
      </c>
      <c r="K1198" s="0" t="inlineStr">
        <is>
          <t>YES! 	 c_varbinary列源备映射正确，源端为varbinary 1位	期望更改为varbinary(n)	实际备端为varbinary 1位</t>
        </is>
      </c>
    </row>
    <row r="1199">
      <c r="B1199" s="0" t="inlineStr">
        <is>
          <t>NULL</t>
        </is>
      </c>
      <c r="C1199" s="0" t="inlineStr">
        <is>
          <t>NULL</t>
        </is>
      </c>
      <c r="D1199" s="0" t="inlineStr">
        <is>
          <t>NULL</t>
        </is>
      </c>
      <c r="E1199" s="0" t="inlineStr">
        <is>
          <t>NULL</t>
        </is>
      </c>
      <c r="F1199" s="0" t="inlineStr">
        <is>
          <t>NULL</t>
        </is>
      </c>
      <c r="G1199" s="0" t="inlineStr">
        <is>
          <t>NULL</t>
        </is>
      </c>
      <c r="H1199" s="0" t="inlineStr">
        <is>
          <t>NULL</t>
        </is>
      </c>
      <c r="I1199" s="0" t="inlineStr">
        <is>
          <t>NULL</t>
        </is>
      </c>
      <c r="J1199" s="0" t="inlineStr">
        <is>
          <t>NULL</t>
        </is>
      </c>
      <c r="K1199" s="0" t="inlineStr">
        <is>
          <t>YES! 	 c_varbinary_100列源备映射正确，源端为varbinary 100位	期望更改为varbinary(n)	实际备端为varbinary 100位</t>
        </is>
      </c>
    </row>
    <row r="1200">
      <c r="B1200" s="0" t="inlineStr">
        <is>
          <t>NULL</t>
        </is>
      </c>
      <c r="C1200" s="0" t="inlineStr">
        <is>
          <t>NULL</t>
        </is>
      </c>
      <c r="D1200" s="0" t="inlineStr">
        <is>
          <t>NULL</t>
        </is>
      </c>
      <c r="E1200" s="0" t="inlineStr">
        <is>
          <t>NULL</t>
        </is>
      </c>
      <c r="F1200" s="0" t="inlineStr">
        <is>
          <t>NULL</t>
        </is>
      </c>
      <c r="G1200" s="0" t="inlineStr">
        <is>
          <t>NULL</t>
        </is>
      </c>
      <c r="H1200" s="0" t="inlineStr">
        <is>
          <t>NULL</t>
        </is>
      </c>
      <c r="I1200" s="0" t="inlineStr">
        <is>
          <t>NULL</t>
        </is>
      </c>
      <c r="J1200" s="0" t="inlineStr">
        <is>
          <t>NULL</t>
        </is>
      </c>
      <c r="K1200" s="0" t="inlineStr">
        <is>
          <t>YES! 	 c_varbinary_8000列源备映射正确，源端为varbinary 8000位	期望更改为varbinary(n)	实际备端为varbinary 8000位</t>
        </is>
      </c>
    </row>
    <row r="1201">
      <c r="A1201" s="0" t="inlineStr">
        <is>
          <t>info_date_dml_single_nopk</t>
        </is>
      </c>
      <c r="K1201" s="0" t="inlineStr">
        <is>
          <t>[0;34m info_date_dml_single_nopk [0m源备字段数相同，源端字段：2 	备端字段2</t>
        </is>
      </c>
      <c r="W1201" s="0" t="inlineStr">
        <is>
          <t>YES 源备无差异</t>
        </is>
      </c>
      <c r="X1201" s="0">
        <f>A1201</f>
        <v/>
      </c>
    </row>
    <row r="1202">
      <c r="B1202" s="0" t="inlineStr">
        <is>
          <t>NULL</t>
        </is>
      </c>
      <c r="C1202" s="0" t="inlineStr">
        <is>
          <t>NULL</t>
        </is>
      </c>
      <c r="D1202" s="0" t="inlineStr">
        <is>
          <t>NULL</t>
        </is>
      </c>
      <c r="E1202" s="0" t="inlineStr">
        <is>
          <t>NULL</t>
        </is>
      </c>
      <c r="F1202" s="0" t="inlineStr">
        <is>
          <t>NULL</t>
        </is>
      </c>
      <c r="G1202" s="0" t="inlineStr">
        <is>
          <t>NULL</t>
        </is>
      </c>
      <c r="H1202" s="0" t="inlineStr">
        <is>
          <t>NULL</t>
        </is>
      </c>
      <c r="I1202" s="0" t="inlineStr">
        <is>
          <t>NULL</t>
        </is>
      </c>
      <c r="J1202" s="0" t="inlineStr">
        <is>
          <t>NULL</t>
        </is>
      </c>
      <c r="K1202" s="0" t="inlineStr">
        <is>
          <t>YES! 	 id列源备映射正确，源端为int None位	期望更改为int	实际备端为int None位</t>
        </is>
      </c>
    </row>
    <row r="1203">
      <c r="B1203" s="0" t="inlineStr">
        <is>
          <t>NULL</t>
        </is>
      </c>
      <c r="C1203" s="0" t="inlineStr">
        <is>
          <t>NULL</t>
        </is>
      </c>
      <c r="D1203" s="0" t="inlineStr">
        <is>
          <t>NULL</t>
        </is>
      </c>
      <c r="E1203" s="0" t="inlineStr">
        <is>
          <t>NULL</t>
        </is>
      </c>
      <c r="F1203" s="0" t="inlineStr">
        <is>
          <t>NULL</t>
        </is>
      </c>
      <c r="G1203" s="0" t="inlineStr">
        <is>
          <t>NULL</t>
        </is>
      </c>
      <c r="H1203" s="0" t="inlineStr">
        <is>
          <t>NULL</t>
        </is>
      </c>
      <c r="I1203" s="0" t="inlineStr">
        <is>
          <t>NULL</t>
        </is>
      </c>
      <c r="J1203" s="0" t="inlineStr">
        <is>
          <t>NULL</t>
        </is>
      </c>
      <c r="K1203" s="0" t="inlineStr">
        <is>
          <t>YES! 	 c_date列源备映射正确，源端为date None位	期望更改为date	实际备端为date None位</t>
        </is>
      </c>
    </row>
    <row r="1204">
      <c r="A1204" s="0" t="inlineStr">
        <is>
          <t>info_nvarchar_dml_batch1_pk_drp1</t>
        </is>
      </c>
      <c r="K1204" s="0" t="inlineStr">
        <is>
          <t>[0;34m info_nvarchar_dml_batch1_pk_drp1 [0m源备字段数相同，源端字段：4 	备端字段4</t>
        </is>
      </c>
      <c r="W1204" s="0" t="inlineStr">
        <is>
          <t>YES 源备无差异</t>
        </is>
      </c>
      <c r="X1204" s="0">
        <f>A1204</f>
        <v/>
      </c>
    </row>
    <row r="1205">
      <c r="B1205" s="0" t="inlineStr">
        <is>
          <t>YES</t>
        </is>
      </c>
      <c r="C1205" s="0" t="inlineStr">
        <is>
          <t>NULL</t>
        </is>
      </c>
      <c r="D1205" s="0" t="inlineStr">
        <is>
          <t>NULL</t>
        </is>
      </c>
      <c r="E1205" s="0" t="inlineStr">
        <is>
          <t>NULL</t>
        </is>
      </c>
      <c r="F1205" s="0" t="inlineStr">
        <is>
          <t>NULL</t>
        </is>
      </c>
      <c r="G1205" s="0" t="inlineStr">
        <is>
          <t>NULL</t>
        </is>
      </c>
      <c r="H1205" s="0" t="inlineStr">
        <is>
          <t>NULL</t>
        </is>
      </c>
      <c r="I1205" s="0" t="inlineStr">
        <is>
          <t>YES!PK__info_nva__3213E83F3B807937</t>
        </is>
      </c>
      <c r="J1205" s="0" t="inlineStr">
        <is>
          <t>YES! 主键相关索引</t>
        </is>
      </c>
      <c r="K1205" s="0" t="inlineStr">
        <is>
          <t>YES! 	 id列源备映射正确，源端为int None位	期望更改为int	实际备端为int None位</t>
        </is>
      </c>
    </row>
    <row r="1206">
      <c r="B1206" s="0" t="inlineStr">
        <is>
          <t>NULL</t>
        </is>
      </c>
      <c r="C1206" s="0" t="inlineStr">
        <is>
          <t>NULL</t>
        </is>
      </c>
      <c r="D1206" s="0" t="inlineStr">
        <is>
          <t>NULL</t>
        </is>
      </c>
      <c r="E1206" s="0" t="inlineStr">
        <is>
          <t>NULL</t>
        </is>
      </c>
      <c r="F1206" s="0" t="inlineStr">
        <is>
          <t>NULL</t>
        </is>
      </c>
      <c r="G1206" s="0" t="inlineStr">
        <is>
          <t>NULL</t>
        </is>
      </c>
      <c r="H1206" s="0" t="inlineStr">
        <is>
          <t>NULL</t>
        </is>
      </c>
      <c r="I1206" s="0" t="inlineStr">
        <is>
          <t>NULL</t>
        </is>
      </c>
      <c r="J1206" s="0" t="inlineStr">
        <is>
          <t>NULL</t>
        </is>
      </c>
      <c r="K1206" s="0" t="inlineStr">
        <is>
          <t>YES! 	 c_nvarchar列源备映射正确，源端为nvarchar 2位	期望更改为nvarchar(n)	实际备端为nvarchar 2位</t>
        </is>
      </c>
    </row>
    <row r="1207">
      <c r="B1207" s="0" t="inlineStr">
        <is>
          <t>NULL</t>
        </is>
      </c>
      <c r="C1207" s="0" t="inlineStr">
        <is>
          <t>NULL</t>
        </is>
      </c>
      <c r="D1207" s="0" t="inlineStr">
        <is>
          <t>NULL</t>
        </is>
      </c>
      <c r="E1207" s="0" t="inlineStr">
        <is>
          <t>NULL</t>
        </is>
      </c>
      <c r="F1207" s="0" t="inlineStr">
        <is>
          <t>NULL</t>
        </is>
      </c>
      <c r="G1207" s="0" t="inlineStr">
        <is>
          <t>NULL</t>
        </is>
      </c>
      <c r="H1207" s="0" t="inlineStr">
        <is>
          <t>NULL</t>
        </is>
      </c>
      <c r="I1207" s="0" t="inlineStr">
        <is>
          <t>NULL</t>
        </is>
      </c>
      <c r="J1207" s="0" t="inlineStr">
        <is>
          <t>NULL</t>
        </is>
      </c>
      <c r="K1207" s="0" t="inlineStr">
        <is>
          <t>YES! 	 c_nvarchar20列源备映射正确，源端为nvarchar 40位	期望更改为nvarchar(n)	实际备端为nvarchar 40位</t>
        </is>
      </c>
    </row>
    <row r="1208">
      <c r="B1208" s="0" t="inlineStr">
        <is>
          <t>NULL</t>
        </is>
      </c>
      <c r="C1208" s="0" t="inlineStr">
        <is>
          <t>NULL</t>
        </is>
      </c>
      <c r="D1208" s="0" t="inlineStr">
        <is>
          <t>NULL</t>
        </is>
      </c>
      <c r="E1208" s="0" t="inlineStr">
        <is>
          <t>NULL</t>
        </is>
      </c>
      <c r="F1208" s="0" t="inlineStr">
        <is>
          <t>NULL</t>
        </is>
      </c>
      <c r="G1208" s="0" t="inlineStr">
        <is>
          <t>NULL</t>
        </is>
      </c>
      <c r="H1208" s="0" t="inlineStr">
        <is>
          <t>NULL</t>
        </is>
      </c>
      <c r="I1208" s="0" t="inlineStr">
        <is>
          <t>NULL</t>
        </is>
      </c>
      <c r="J1208" s="0" t="inlineStr">
        <is>
          <t>NULL</t>
        </is>
      </c>
      <c r="K1208" s="0" t="inlineStr">
        <is>
          <t>YES! 	 c_nvarchar3500列源备映射正确，源端为nvarchar 7000位	期望更改为nvarchar(n)	实际备端为nvarchar 7000位</t>
        </is>
      </c>
    </row>
    <row r="1209">
      <c r="K1209" s="0" t="inlineStr">
        <is>
          <t>~ 空表</t>
        </is>
      </c>
    </row>
    <row r="1210">
      <c r="A1210" s="0" t="inlineStr">
        <is>
          <t>info_datetime_dml_single_pk</t>
        </is>
      </c>
      <c r="K1210" s="0" t="inlineStr">
        <is>
          <t>[0;34m info_datetime_dml_single_pk [0m源备字段数相同，源端字段：2 	备端字段2</t>
        </is>
      </c>
      <c r="W1210" s="0" t="inlineStr">
        <is>
          <t>YES 源备无差异</t>
        </is>
      </c>
      <c r="X1210" s="0">
        <f>A1210</f>
        <v/>
      </c>
    </row>
    <row r="1211">
      <c r="B1211" s="0" t="inlineStr">
        <is>
          <t>YES</t>
        </is>
      </c>
      <c r="C1211" s="0" t="inlineStr">
        <is>
          <t>NULL</t>
        </is>
      </c>
      <c r="D1211" s="0" t="inlineStr">
        <is>
          <t>NULL</t>
        </is>
      </c>
      <c r="E1211" s="0" t="inlineStr">
        <is>
          <t>NULL</t>
        </is>
      </c>
      <c r="F1211" s="0" t="inlineStr">
        <is>
          <t>NULL</t>
        </is>
      </c>
      <c r="G1211" s="0" t="inlineStr">
        <is>
          <t>NULL</t>
        </is>
      </c>
      <c r="H1211" s="0" t="inlineStr">
        <is>
          <t>NULL</t>
        </is>
      </c>
      <c r="I1211" s="0" t="inlineStr">
        <is>
          <t>YES!PK__info_dat__3213E83FFC8EEB2A</t>
        </is>
      </c>
      <c r="J1211" s="0" t="inlineStr">
        <is>
          <t>YES! 主键相关索引</t>
        </is>
      </c>
      <c r="K1211" s="0" t="inlineStr">
        <is>
          <t>YES! 	 id列源备映射正确，源端为int None位	期望更改为int	实际备端为int None位</t>
        </is>
      </c>
    </row>
    <row r="1212">
      <c r="B1212" s="0" t="inlineStr">
        <is>
          <t>NULL</t>
        </is>
      </c>
      <c r="C1212" s="0" t="inlineStr">
        <is>
          <t>NULL</t>
        </is>
      </c>
      <c r="D1212" s="0" t="inlineStr">
        <is>
          <t>NULL</t>
        </is>
      </c>
      <c r="E1212" s="0" t="inlineStr">
        <is>
          <t>NULL</t>
        </is>
      </c>
      <c r="F1212" s="0" t="inlineStr">
        <is>
          <t>NULL</t>
        </is>
      </c>
      <c r="G1212" s="0" t="inlineStr">
        <is>
          <t>NULL</t>
        </is>
      </c>
      <c r="H1212" s="0" t="inlineStr">
        <is>
          <t>NULL</t>
        </is>
      </c>
      <c r="I1212" s="0" t="inlineStr">
        <is>
          <t>NULL</t>
        </is>
      </c>
      <c r="J1212" s="0" t="inlineStr">
        <is>
          <t>NULL</t>
        </is>
      </c>
      <c r="K1212" s="0" t="inlineStr">
        <is>
          <t>YES! 	 c_datetime列源备映射正确，源端为datetime None位	期望更改为datetime	实际备端为datetime None位</t>
        </is>
      </c>
    </row>
    <row r="1213">
      <c r="A1213" s="0" t="inlineStr">
        <is>
          <t>info_datetimeoffset_dml_batch1_pk_irp2</t>
        </is>
      </c>
      <c r="K1213" s="0" t="inlineStr">
        <is>
          <t>[0;34m info_datetimeoffset_dml_batch1_pk_irp2 [0m源备字段数相同，源端字段：9 	备端字段9</t>
        </is>
      </c>
      <c r="W1213" s="0" t="inlineStr">
        <is>
          <t>YES 源备无差异</t>
        </is>
      </c>
      <c r="X1213" s="0">
        <f>A1213</f>
        <v/>
      </c>
    </row>
    <row r="1214">
      <c r="B1214" s="0" t="inlineStr">
        <is>
          <t>YES</t>
        </is>
      </c>
      <c r="C1214" s="0" t="inlineStr">
        <is>
          <t>NULL</t>
        </is>
      </c>
      <c r="D1214" s="0" t="inlineStr">
        <is>
          <t>NULL</t>
        </is>
      </c>
      <c r="E1214" s="0" t="inlineStr">
        <is>
          <t>NULL</t>
        </is>
      </c>
      <c r="F1214" s="0" t="inlineStr">
        <is>
          <t>NULL</t>
        </is>
      </c>
      <c r="G1214" s="0" t="inlineStr">
        <is>
          <t>NULL</t>
        </is>
      </c>
      <c r="H1214" s="0" t="inlineStr">
        <is>
          <t>NULL</t>
        </is>
      </c>
      <c r="I1214" s="0" t="inlineStr">
        <is>
          <t>YES!PK__info_dat__3213E83F631E24C3</t>
        </is>
      </c>
      <c r="J1214" s="0" t="inlineStr">
        <is>
          <t>YES! 主键相关索引</t>
        </is>
      </c>
      <c r="K1214" s="0" t="inlineStr">
        <is>
          <t>YES! 	 id列源备映射正确，源端为int None位	期望更改为int	实际备端为int None位</t>
        </is>
      </c>
    </row>
    <row r="1215">
      <c r="B1215" s="0" t="inlineStr">
        <is>
          <t>NULL</t>
        </is>
      </c>
      <c r="C1215" s="0" t="inlineStr">
        <is>
          <t>NULL</t>
        </is>
      </c>
      <c r="D1215" s="0" t="inlineStr">
        <is>
          <t>NULL</t>
        </is>
      </c>
      <c r="E1215" s="0" t="inlineStr">
        <is>
          <t>NULL</t>
        </is>
      </c>
      <c r="F1215" s="0" t="inlineStr">
        <is>
          <t>NULL</t>
        </is>
      </c>
      <c r="G1215" s="0" t="inlineStr">
        <is>
          <t>NULL</t>
        </is>
      </c>
      <c r="H1215" s="0" t="inlineStr">
        <is>
          <t>NULL</t>
        </is>
      </c>
      <c r="I1215" s="0" t="inlineStr">
        <is>
          <t>NULL</t>
        </is>
      </c>
      <c r="J1215" s="0" t="inlineStr">
        <is>
          <t>NULL</t>
        </is>
      </c>
      <c r="K1215" s="0" t="inlineStr">
        <is>
          <t>no,len不存在</t>
        </is>
      </c>
    </row>
    <row r="1216">
      <c r="B1216" s="0" t="inlineStr">
        <is>
          <t>NULL</t>
        </is>
      </c>
      <c r="C1216" s="0" t="inlineStr">
        <is>
          <t>NULL</t>
        </is>
      </c>
      <c r="D1216" s="0" t="inlineStr">
        <is>
          <t>NULL</t>
        </is>
      </c>
      <c r="E1216" s="0" t="inlineStr">
        <is>
          <t>NULL</t>
        </is>
      </c>
      <c r="F1216" s="0" t="inlineStr">
        <is>
          <t>NULL</t>
        </is>
      </c>
      <c r="G1216" s="0" t="inlineStr">
        <is>
          <t>NULL</t>
        </is>
      </c>
      <c r="H1216" s="0" t="inlineStr">
        <is>
          <t>NULL</t>
        </is>
      </c>
      <c r="I1216" s="0" t="inlineStr">
        <is>
          <t>NULL</t>
        </is>
      </c>
      <c r="J1216" s="0" t="inlineStr">
        <is>
          <t>NULL</t>
        </is>
      </c>
      <c r="K1216" s="0" t="inlineStr">
        <is>
          <t>YES! 	 c_dtoffset_1列源备映射正确，源端为datetimeoffset None位	期望更改为datetimeoffset(n)	实际备端为datetimeoffset None位</t>
        </is>
      </c>
    </row>
    <row r="1217">
      <c r="B1217" s="0" t="inlineStr">
        <is>
          <t>NULL</t>
        </is>
      </c>
      <c r="C1217" s="0" t="inlineStr">
        <is>
          <t>NULL</t>
        </is>
      </c>
      <c r="D1217" s="0" t="inlineStr">
        <is>
          <t>NULL</t>
        </is>
      </c>
      <c r="E1217" s="0" t="inlineStr">
        <is>
          <t>NULL</t>
        </is>
      </c>
      <c r="F1217" s="0" t="inlineStr">
        <is>
          <t>NULL</t>
        </is>
      </c>
      <c r="G1217" s="0" t="inlineStr">
        <is>
          <t>NULL</t>
        </is>
      </c>
      <c r="H1217" s="0" t="inlineStr">
        <is>
          <t>NULL</t>
        </is>
      </c>
      <c r="I1217" s="0" t="inlineStr">
        <is>
          <t>NULL</t>
        </is>
      </c>
      <c r="J1217" s="0" t="inlineStr">
        <is>
          <t>NULL</t>
        </is>
      </c>
      <c r="K1217" s="0" t="inlineStr">
        <is>
          <t>YES! 	 c_dtoffset_2列源备映射正确，源端为datetimeoffset None位	期望更改为datetimeoffset(n)	实际备端为datetimeoffset None位</t>
        </is>
      </c>
    </row>
    <row r="1218">
      <c r="B1218" s="0" t="inlineStr">
        <is>
          <t>NULL</t>
        </is>
      </c>
      <c r="C1218" s="0" t="inlineStr">
        <is>
          <t>NULL</t>
        </is>
      </c>
      <c r="D1218" s="0" t="inlineStr">
        <is>
          <t>NULL</t>
        </is>
      </c>
      <c r="E1218" s="0" t="inlineStr">
        <is>
          <t>NULL</t>
        </is>
      </c>
      <c r="F1218" s="0" t="inlineStr">
        <is>
          <t>NULL</t>
        </is>
      </c>
      <c r="G1218" s="0" t="inlineStr">
        <is>
          <t>NULL</t>
        </is>
      </c>
      <c r="H1218" s="0" t="inlineStr">
        <is>
          <t>NULL</t>
        </is>
      </c>
      <c r="I1218" s="0" t="inlineStr">
        <is>
          <t>NULL</t>
        </is>
      </c>
      <c r="J1218" s="0" t="inlineStr">
        <is>
          <t>NULL</t>
        </is>
      </c>
      <c r="K1218" s="0" t="inlineStr">
        <is>
          <t>YES! 	 c_dtoffset_3列源备映射正确，源端为datetimeoffset None位	期望更改为datetimeoffset(n)	实际备端为datetimeoffset None位</t>
        </is>
      </c>
    </row>
    <row r="1219">
      <c r="B1219" s="0" t="inlineStr">
        <is>
          <t>NULL</t>
        </is>
      </c>
      <c r="C1219" s="0" t="inlineStr">
        <is>
          <t>NULL</t>
        </is>
      </c>
      <c r="D1219" s="0" t="inlineStr">
        <is>
          <t>NULL</t>
        </is>
      </c>
      <c r="E1219" s="0" t="inlineStr">
        <is>
          <t>NULL</t>
        </is>
      </c>
      <c r="F1219" s="0" t="inlineStr">
        <is>
          <t>NULL</t>
        </is>
      </c>
      <c r="G1219" s="0" t="inlineStr">
        <is>
          <t>NULL</t>
        </is>
      </c>
      <c r="H1219" s="0" t="inlineStr">
        <is>
          <t>NULL</t>
        </is>
      </c>
      <c r="I1219" s="0" t="inlineStr">
        <is>
          <t>NULL</t>
        </is>
      </c>
      <c r="J1219" s="0" t="inlineStr">
        <is>
          <t>NULL</t>
        </is>
      </c>
      <c r="K1219" s="0" t="inlineStr">
        <is>
          <t>YES! 	 c_dtoffset_4列源备映射正确，源端为datetimeoffset None位	期望更改为datetimeoffset(n)	实际备端为datetimeoffset None位</t>
        </is>
      </c>
    </row>
    <row r="1220">
      <c r="B1220" s="0" t="inlineStr">
        <is>
          <t>NULL</t>
        </is>
      </c>
      <c r="C1220" s="0" t="inlineStr">
        <is>
          <t>NULL</t>
        </is>
      </c>
      <c r="D1220" s="0" t="inlineStr">
        <is>
          <t>NULL</t>
        </is>
      </c>
      <c r="E1220" s="0" t="inlineStr">
        <is>
          <t>NULL</t>
        </is>
      </c>
      <c r="F1220" s="0" t="inlineStr">
        <is>
          <t>NULL</t>
        </is>
      </c>
      <c r="G1220" s="0" t="inlineStr">
        <is>
          <t>NULL</t>
        </is>
      </c>
      <c r="H1220" s="0" t="inlineStr">
        <is>
          <t>NULL</t>
        </is>
      </c>
      <c r="I1220" s="0" t="inlineStr">
        <is>
          <t>NULL</t>
        </is>
      </c>
      <c r="J1220" s="0" t="inlineStr">
        <is>
          <t>NULL</t>
        </is>
      </c>
      <c r="K1220" s="0" t="inlineStr">
        <is>
          <t>YES! 	 c_dtoffset_5列源备映射正确，源端为datetimeoffset None位	期望更改为datetimeoffset(n)	实际备端为datetimeoffset None位</t>
        </is>
      </c>
    </row>
    <row r="1221">
      <c r="B1221" s="0" t="inlineStr">
        <is>
          <t>NULL</t>
        </is>
      </c>
      <c r="C1221" s="0" t="inlineStr">
        <is>
          <t>NULL</t>
        </is>
      </c>
      <c r="D1221" s="0" t="inlineStr">
        <is>
          <t>NULL</t>
        </is>
      </c>
      <c r="E1221" s="0" t="inlineStr">
        <is>
          <t>NULL</t>
        </is>
      </c>
      <c r="F1221" s="0" t="inlineStr">
        <is>
          <t>NULL</t>
        </is>
      </c>
      <c r="G1221" s="0" t="inlineStr">
        <is>
          <t>NULL</t>
        </is>
      </c>
      <c r="H1221" s="0" t="inlineStr">
        <is>
          <t>NULL</t>
        </is>
      </c>
      <c r="I1221" s="0" t="inlineStr">
        <is>
          <t>NULL</t>
        </is>
      </c>
      <c r="J1221" s="0" t="inlineStr">
        <is>
          <t>NULL</t>
        </is>
      </c>
      <c r="K1221" s="0" t="inlineStr">
        <is>
          <t>YES! 	 c_dtoffset_6列源备映射正确，源端为datetimeoffset None位	期望更改为datetimeoffset(n)	实际备端为datetimeoffset None位</t>
        </is>
      </c>
    </row>
    <row r="1222">
      <c r="B1222" s="0" t="inlineStr">
        <is>
          <t>NULL</t>
        </is>
      </c>
      <c r="C1222" s="0" t="inlineStr">
        <is>
          <t>NULL</t>
        </is>
      </c>
      <c r="D1222" s="0" t="inlineStr">
        <is>
          <t>NULL</t>
        </is>
      </c>
      <c r="E1222" s="0" t="inlineStr">
        <is>
          <t>NULL</t>
        </is>
      </c>
      <c r="F1222" s="0" t="inlineStr">
        <is>
          <t>NULL</t>
        </is>
      </c>
      <c r="G1222" s="0" t="inlineStr">
        <is>
          <t>NULL</t>
        </is>
      </c>
      <c r="H1222" s="0" t="inlineStr">
        <is>
          <t>NULL</t>
        </is>
      </c>
      <c r="I1222" s="0" t="inlineStr">
        <is>
          <t>NULL</t>
        </is>
      </c>
      <c r="J1222" s="0" t="inlineStr">
        <is>
          <t>NULL</t>
        </is>
      </c>
      <c r="K1222" s="0" t="inlineStr">
        <is>
          <t>YES! 	 c_dtoffset列源备映射正确，源端为datetimeoffset None位	期望更改为datetimeoffset(n)	实际备端为datetimeoffset None位</t>
        </is>
      </c>
    </row>
    <row r="1223">
      <c r="A1223" s="0" t="inlineStr">
        <is>
          <t>info_varbinary_dml_single_nopk_drp</t>
        </is>
      </c>
      <c r="K1223" s="0" t="inlineStr">
        <is>
          <t>[0;34m info_varbinary_dml_single_nopk_drp [0m源备字段数相同，源端字段：4 	备端字段4</t>
        </is>
      </c>
      <c r="W1223" s="0" t="inlineStr">
        <is>
          <t>YES 源备无差异</t>
        </is>
      </c>
      <c r="X1223" s="0">
        <f>A1223</f>
        <v/>
      </c>
    </row>
    <row r="1224">
      <c r="B1224" s="0" t="inlineStr">
        <is>
          <t>NULL</t>
        </is>
      </c>
      <c r="C1224" s="0" t="inlineStr">
        <is>
          <t>NULL</t>
        </is>
      </c>
      <c r="D1224" s="0" t="inlineStr">
        <is>
          <t>NULL</t>
        </is>
      </c>
      <c r="E1224" s="0" t="inlineStr">
        <is>
          <t>NULL</t>
        </is>
      </c>
      <c r="F1224" s="0" t="inlineStr">
        <is>
          <t>NULL</t>
        </is>
      </c>
      <c r="G1224" s="0" t="inlineStr">
        <is>
          <t>NULL</t>
        </is>
      </c>
      <c r="H1224" s="0" t="inlineStr">
        <is>
          <t>NULL</t>
        </is>
      </c>
      <c r="I1224" s="0" t="inlineStr">
        <is>
          <t>NULL</t>
        </is>
      </c>
      <c r="J1224" s="0" t="inlineStr">
        <is>
          <t>NULL</t>
        </is>
      </c>
      <c r="K1224" s="0" t="inlineStr">
        <is>
          <t>YES! 	 id列源备映射正确，源端为int None位	期望更改为int	实际备端为int None位</t>
        </is>
      </c>
    </row>
    <row r="1225">
      <c r="B1225" s="0" t="inlineStr">
        <is>
          <t>NULL</t>
        </is>
      </c>
      <c r="C1225" s="0" t="inlineStr">
        <is>
          <t>NULL</t>
        </is>
      </c>
      <c r="D1225" s="0" t="inlineStr">
        <is>
          <t>NULL</t>
        </is>
      </c>
      <c r="E1225" s="0" t="inlineStr">
        <is>
          <t>NULL</t>
        </is>
      </c>
      <c r="F1225" s="0" t="inlineStr">
        <is>
          <t>NULL</t>
        </is>
      </c>
      <c r="G1225" s="0" t="inlineStr">
        <is>
          <t>NULL</t>
        </is>
      </c>
      <c r="H1225" s="0" t="inlineStr">
        <is>
          <t>NULL</t>
        </is>
      </c>
      <c r="I1225" s="0" t="inlineStr">
        <is>
          <t>NULL</t>
        </is>
      </c>
      <c r="J1225" s="0" t="inlineStr">
        <is>
          <t>NULL</t>
        </is>
      </c>
      <c r="K1225" s="0" t="inlineStr">
        <is>
          <t>YES! 	 c_varbinary列源备映射正确，源端为varbinary 1位	期望更改为varbinary(n)	实际备端为varbinary 1位</t>
        </is>
      </c>
    </row>
    <row r="1226">
      <c r="B1226" s="0" t="inlineStr">
        <is>
          <t>NULL</t>
        </is>
      </c>
      <c r="C1226" s="0" t="inlineStr">
        <is>
          <t>NULL</t>
        </is>
      </c>
      <c r="D1226" s="0" t="inlineStr">
        <is>
          <t>NULL</t>
        </is>
      </c>
      <c r="E1226" s="0" t="inlineStr">
        <is>
          <t>NULL</t>
        </is>
      </c>
      <c r="F1226" s="0" t="inlineStr">
        <is>
          <t>NULL</t>
        </is>
      </c>
      <c r="G1226" s="0" t="inlineStr">
        <is>
          <t>NULL</t>
        </is>
      </c>
      <c r="H1226" s="0" t="inlineStr">
        <is>
          <t>NULL</t>
        </is>
      </c>
      <c r="I1226" s="0" t="inlineStr">
        <is>
          <t>NULL</t>
        </is>
      </c>
      <c r="J1226" s="0" t="inlineStr">
        <is>
          <t>NULL</t>
        </is>
      </c>
      <c r="K1226" s="0" t="inlineStr">
        <is>
          <t>YES! 	 c_varbinary_100列源备映射正确，源端为varbinary 100位	期望更改为varbinary(n)	实际备端为varbinary 100位</t>
        </is>
      </c>
    </row>
    <row r="1227">
      <c r="B1227" s="0" t="inlineStr">
        <is>
          <t>NULL</t>
        </is>
      </c>
      <c r="C1227" s="0" t="inlineStr">
        <is>
          <t>NULL</t>
        </is>
      </c>
      <c r="D1227" s="0" t="inlineStr">
        <is>
          <t>NULL</t>
        </is>
      </c>
      <c r="E1227" s="0" t="inlineStr">
        <is>
          <t>NULL</t>
        </is>
      </c>
      <c r="F1227" s="0" t="inlineStr">
        <is>
          <t>NULL</t>
        </is>
      </c>
      <c r="G1227" s="0" t="inlineStr">
        <is>
          <t>NULL</t>
        </is>
      </c>
      <c r="H1227" s="0" t="inlineStr">
        <is>
          <t>NULL</t>
        </is>
      </c>
      <c r="I1227" s="0" t="inlineStr">
        <is>
          <t>NULL</t>
        </is>
      </c>
      <c r="J1227" s="0" t="inlineStr">
        <is>
          <t>NULL</t>
        </is>
      </c>
      <c r="K1227" s="0" t="inlineStr">
        <is>
          <t>YES! 	 c_varbinary_8000列源备映射正确，源端为varbinary 8000位	期望更改为varbinary(n)	实际备端为varbinary 8000位</t>
        </is>
      </c>
    </row>
    <row r="1228">
      <c r="A1228" s="0" t="inlineStr">
        <is>
          <t>info_time_dml_single_nopk_irp</t>
        </is>
      </c>
      <c r="K1228" s="0" t="inlineStr">
        <is>
          <t>[0;34m info_time_dml_single_nopk_irp [0m源备字段数相同，源端字段：9 	备端字段9</t>
        </is>
      </c>
      <c r="W1228" s="0" t="inlineStr">
        <is>
          <t>YES 源备无差异</t>
        </is>
      </c>
      <c r="X1228" s="0">
        <f>A1228</f>
        <v/>
      </c>
    </row>
    <row r="1229">
      <c r="B1229" s="0" t="inlineStr">
        <is>
          <t>NULL</t>
        </is>
      </c>
      <c r="C1229" s="0" t="inlineStr">
        <is>
          <t>NULL</t>
        </is>
      </c>
      <c r="D1229" s="0" t="inlineStr">
        <is>
          <t>NULL</t>
        </is>
      </c>
      <c r="E1229" s="0" t="inlineStr">
        <is>
          <t>NULL</t>
        </is>
      </c>
      <c r="F1229" s="0" t="inlineStr">
        <is>
          <t>NULL</t>
        </is>
      </c>
      <c r="G1229" s="0" t="inlineStr">
        <is>
          <t>NULL</t>
        </is>
      </c>
      <c r="H1229" s="0" t="inlineStr">
        <is>
          <t>NULL</t>
        </is>
      </c>
      <c r="I1229" s="0" t="inlineStr">
        <is>
          <t>NULL</t>
        </is>
      </c>
      <c r="J1229" s="0" t="inlineStr">
        <is>
          <t>NULL</t>
        </is>
      </c>
      <c r="K1229" s="0" t="inlineStr">
        <is>
          <t>YES! 	 id列源备映射正确，源端为int None位	期望更改为int	实际备端为int None位</t>
        </is>
      </c>
    </row>
    <row r="1230">
      <c r="B1230" s="0" t="inlineStr">
        <is>
          <t>NULL</t>
        </is>
      </c>
      <c r="C1230" s="0" t="inlineStr">
        <is>
          <t>NULL</t>
        </is>
      </c>
      <c r="D1230" s="0" t="inlineStr">
        <is>
          <t>NULL</t>
        </is>
      </c>
      <c r="E1230" s="0" t="inlineStr">
        <is>
          <t>NULL</t>
        </is>
      </c>
      <c r="F1230" s="0" t="inlineStr">
        <is>
          <t>NULL</t>
        </is>
      </c>
      <c r="G1230" s="0" t="inlineStr">
        <is>
          <t>NULL</t>
        </is>
      </c>
      <c r="H1230" s="0" t="inlineStr">
        <is>
          <t>NULL</t>
        </is>
      </c>
      <c r="I1230" s="0" t="inlineStr">
        <is>
          <t>NULL</t>
        </is>
      </c>
      <c r="J1230" s="0" t="inlineStr">
        <is>
          <t>NULL</t>
        </is>
      </c>
      <c r="K1230" s="0" t="inlineStr">
        <is>
          <t>no,len不存在</t>
        </is>
      </c>
    </row>
    <row r="1231">
      <c r="B1231" s="0" t="inlineStr">
        <is>
          <t>NULL</t>
        </is>
      </c>
      <c r="C1231" s="0" t="inlineStr">
        <is>
          <t>NULL</t>
        </is>
      </c>
      <c r="D1231" s="0" t="inlineStr">
        <is>
          <t>NULL</t>
        </is>
      </c>
      <c r="E1231" s="0" t="inlineStr">
        <is>
          <t>NULL</t>
        </is>
      </c>
      <c r="F1231" s="0" t="inlineStr">
        <is>
          <t>NULL</t>
        </is>
      </c>
      <c r="G1231" s="0" t="inlineStr">
        <is>
          <t>NULL</t>
        </is>
      </c>
      <c r="H1231" s="0" t="inlineStr">
        <is>
          <t>NULL</t>
        </is>
      </c>
      <c r="I1231" s="0" t="inlineStr">
        <is>
          <t>NULL</t>
        </is>
      </c>
      <c r="J1231" s="0" t="inlineStr">
        <is>
          <t>NULL</t>
        </is>
      </c>
      <c r="K1231" s="0" t="inlineStr">
        <is>
          <t>YES! 	 c_time1列源备映射正确，源端为time None位	期望更改为time(n)	实际备端为time None位</t>
        </is>
      </c>
    </row>
    <row r="1232">
      <c r="B1232" s="0" t="inlineStr">
        <is>
          <t>NULL</t>
        </is>
      </c>
      <c r="C1232" s="0" t="inlineStr">
        <is>
          <t>NULL</t>
        </is>
      </c>
      <c r="D1232" s="0" t="inlineStr">
        <is>
          <t>NULL</t>
        </is>
      </c>
      <c r="E1232" s="0" t="inlineStr">
        <is>
          <t>NULL</t>
        </is>
      </c>
      <c r="F1232" s="0" t="inlineStr">
        <is>
          <t>NULL</t>
        </is>
      </c>
      <c r="G1232" s="0" t="inlineStr">
        <is>
          <t>NULL</t>
        </is>
      </c>
      <c r="H1232" s="0" t="inlineStr">
        <is>
          <t>NULL</t>
        </is>
      </c>
      <c r="I1232" s="0" t="inlineStr">
        <is>
          <t>NULL</t>
        </is>
      </c>
      <c r="J1232" s="0" t="inlineStr">
        <is>
          <t>NULL</t>
        </is>
      </c>
      <c r="K1232" s="0" t="inlineStr">
        <is>
          <t>YES! 	 c_time2列源备映射正确，源端为time None位	期望更改为time(n)	实际备端为time None位</t>
        </is>
      </c>
    </row>
    <row r="1233">
      <c r="B1233" s="0" t="inlineStr">
        <is>
          <t>NULL</t>
        </is>
      </c>
      <c r="C1233" s="0" t="inlineStr">
        <is>
          <t>NULL</t>
        </is>
      </c>
      <c r="D1233" s="0" t="inlineStr">
        <is>
          <t>NULL</t>
        </is>
      </c>
      <c r="E1233" s="0" t="inlineStr">
        <is>
          <t>NULL</t>
        </is>
      </c>
      <c r="F1233" s="0" t="inlineStr">
        <is>
          <t>NULL</t>
        </is>
      </c>
      <c r="G1233" s="0" t="inlineStr">
        <is>
          <t>NULL</t>
        </is>
      </c>
      <c r="H1233" s="0" t="inlineStr">
        <is>
          <t>NULL</t>
        </is>
      </c>
      <c r="I1233" s="0" t="inlineStr">
        <is>
          <t>NULL</t>
        </is>
      </c>
      <c r="J1233" s="0" t="inlineStr">
        <is>
          <t>NULL</t>
        </is>
      </c>
      <c r="K1233" s="0" t="inlineStr">
        <is>
          <t>YES! 	 c_time3列源备映射正确，源端为time None位	期望更改为time(n)	实际备端为time None位</t>
        </is>
      </c>
    </row>
    <row r="1234">
      <c r="B1234" s="0" t="inlineStr">
        <is>
          <t>NULL</t>
        </is>
      </c>
      <c r="C1234" s="0" t="inlineStr">
        <is>
          <t>NULL</t>
        </is>
      </c>
      <c r="D1234" s="0" t="inlineStr">
        <is>
          <t>NULL</t>
        </is>
      </c>
      <c r="E1234" s="0" t="inlineStr">
        <is>
          <t>NULL</t>
        </is>
      </c>
      <c r="F1234" s="0" t="inlineStr">
        <is>
          <t>NULL</t>
        </is>
      </c>
      <c r="G1234" s="0" t="inlineStr">
        <is>
          <t>NULL</t>
        </is>
      </c>
      <c r="H1234" s="0" t="inlineStr">
        <is>
          <t>NULL</t>
        </is>
      </c>
      <c r="I1234" s="0" t="inlineStr">
        <is>
          <t>NULL</t>
        </is>
      </c>
      <c r="J1234" s="0" t="inlineStr">
        <is>
          <t>NULL</t>
        </is>
      </c>
      <c r="K1234" s="0" t="inlineStr">
        <is>
          <t>YES! 	 c_time4列源备映射正确，源端为time None位	期望更改为time(n)	实际备端为time None位</t>
        </is>
      </c>
    </row>
    <row r="1235">
      <c r="B1235" s="0" t="inlineStr">
        <is>
          <t>NULL</t>
        </is>
      </c>
      <c r="C1235" s="0" t="inlineStr">
        <is>
          <t>NULL</t>
        </is>
      </c>
      <c r="D1235" s="0" t="inlineStr">
        <is>
          <t>NULL</t>
        </is>
      </c>
      <c r="E1235" s="0" t="inlineStr">
        <is>
          <t>NULL</t>
        </is>
      </c>
      <c r="F1235" s="0" t="inlineStr">
        <is>
          <t>NULL</t>
        </is>
      </c>
      <c r="G1235" s="0" t="inlineStr">
        <is>
          <t>NULL</t>
        </is>
      </c>
      <c r="H1235" s="0" t="inlineStr">
        <is>
          <t>NULL</t>
        </is>
      </c>
      <c r="I1235" s="0" t="inlineStr">
        <is>
          <t>NULL</t>
        </is>
      </c>
      <c r="J1235" s="0" t="inlineStr">
        <is>
          <t>NULL</t>
        </is>
      </c>
      <c r="K1235" s="0" t="inlineStr">
        <is>
          <t>YES! 	 c_time5列源备映射正确，源端为time None位	期望更改为time(n)	实际备端为time None位</t>
        </is>
      </c>
    </row>
    <row r="1236">
      <c r="B1236" s="0" t="inlineStr">
        <is>
          <t>NULL</t>
        </is>
      </c>
      <c r="C1236" s="0" t="inlineStr">
        <is>
          <t>NULL</t>
        </is>
      </c>
      <c r="D1236" s="0" t="inlineStr">
        <is>
          <t>NULL</t>
        </is>
      </c>
      <c r="E1236" s="0" t="inlineStr">
        <is>
          <t>NULL</t>
        </is>
      </c>
      <c r="F1236" s="0" t="inlineStr">
        <is>
          <t>NULL</t>
        </is>
      </c>
      <c r="G1236" s="0" t="inlineStr">
        <is>
          <t>NULL</t>
        </is>
      </c>
      <c r="H1236" s="0" t="inlineStr">
        <is>
          <t>NULL</t>
        </is>
      </c>
      <c r="I1236" s="0" t="inlineStr">
        <is>
          <t>NULL</t>
        </is>
      </c>
      <c r="J1236" s="0" t="inlineStr">
        <is>
          <t>NULL</t>
        </is>
      </c>
      <c r="K1236" s="0" t="inlineStr">
        <is>
          <t>YES! 	 c_time6列源备映射正确，源端为time None位	期望更改为time(n)	实际备端为time None位</t>
        </is>
      </c>
    </row>
    <row r="1237">
      <c r="B1237" s="0" t="inlineStr">
        <is>
          <t>NULL</t>
        </is>
      </c>
      <c r="C1237" s="0" t="inlineStr">
        <is>
          <t>NULL</t>
        </is>
      </c>
      <c r="D1237" s="0" t="inlineStr">
        <is>
          <t>NULL</t>
        </is>
      </c>
      <c r="E1237" s="0" t="inlineStr">
        <is>
          <t>NULL</t>
        </is>
      </c>
      <c r="F1237" s="0" t="inlineStr">
        <is>
          <t>NULL</t>
        </is>
      </c>
      <c r="G1237" s="0" t="inlineStr">
        <is>
          <t>NULL</t>
        </is>
      </c>
      <c r="H1237" s="0" t="inlineStr">
        <is>
          <t>NULL</t>
        </is>
      </c>
      <c r="I1237" s="0" t="inlineStr">
        <is>
          <t>NULL</t>
        </is>
      </c>
      <c r="J1237" s="0" t="inlineStr">
        <is>
          <t>NULL</t>
        </is>
      </c>
      <c r="K1237" s="0" t="inlineStr">
        <is>
          <t>YES! 	 c_time列源备映射正确，源端为time None位	期望更改为time(n)	实际备端为time None位</t>
        </is>
      </c>
    </row>
    <row r="1238">
      <c r="A1238" s="0" t="inlineStr">
        <is>
          <t>info_datetimeoffset_dml_batch2_pk_irp1</t>
        </is>
      </c>
      <c r="K1238" s="0" t="inlineStr">
        <is>
          <t>[0;34m info_datetimeoffset_dml_batch2_pk_irp1 [0m源备字段数相同，源端字段：9 	备端字段9</t>
        </is>
      </c>
      <c r="W1238" s="0" t="inlineStr">
        <is>
          <t>YES 源备无差异</t>
        </is>
      </c>
      <c r="X1238" s="0">
        <f>A1238</f>
        <v/>
      </c>
    </row>
    <row r="1239">
      <c r="B1239" s="0" t="inlineStr">
        <is>
          <t>YES</t>
        </is>
      </c>
      <c r="C1239" s="0" t="inlineStr">
        <is>
          <t>NULL</t>
        </is>
      </c>
      <c r="D1239" s="0" t="inlineStr">
        <is>
          <t>NULL</t>
        </is>
      </c>
      <c r="E1239" s="0" t="inlineStr">
        <is>
          <t>NULL</t>
        </is>
      </c>
      <c r="F1239" s="0" t="inlineStr">
        <is>
          <t>NULL</t>
        </is>
      </c>
      <c r="G1239" s="0" t="inlineStr">
        <is>
          <t>NULL</t>
        </is>
      </c>
      <c r="H1239" s="0" t="inlineStr">
        <is>
          <t>NULL</t>
        </is>
      </c>
      <c r="I1239" s="0" t="inlineStr">
        <is>
          <t>YES!PK__info_dat__3213E83FCC9DEC18</t>
        </is>
      </c>
      <c r="J1239" s="0" t="inlineStr">
        <is>
          <t>YES! 主键相关索引</t>
        </is>
      </c>
      <c r="K1239" s="0" t="inlineStr">
        <is>
          <t>YES! 	 id列源备映射正确，源端为int None位	期望更改为int	实际备端为int None位</t>
        </is>
      </c>
    </row>
    <row r="1240">
      <c r="B1240" s="0" t="inlineStr">
        <is>
          <t>NULL</t>
        </is>
      </c>
      <c r="C1240" s="0" t="inlineStr">
        <is>
          <t>NULL</t>
        </is>
      </c>
      <c r="D1240" s="0" t="inlineStr">
        <is>
          <t>NULL</t>
        </is>
      </c>
      <c r="E1240" s="0" t="inlineStr">
        <is>
          <t>NULL</t>
        </is>
      </c>
      <c r="F1240" s="0" t="inlineStr">
        <is>
          <t>NULL</t>
        </is>
      </c>
      <c r="G1240" s="0" t="inlineStr">
        <is>
          <t>NULL</t>
        </is>
      </c>
      <c r="H1240" s="0" t="inlineStr">
        <is>
          <t>NULL</t>
        </is>
      </c>
      <c r="I1240" s="0" t="inlineStr">
        <is>
          <t>NULL</t>
        </is>
      </c>
      <c r="J1240" s="0" t="inlineStr">
        <is>
          <t>NULL</t>
        </is>
      </c>
      <c r="K1240" s="0" t="inlineStr">
        <is>
          <t>no,len不存在</t>
        </is>
      </c>
    </row>
    <row r="1241">
      <c r="B1241" s="0" t="inlineStr">
        <is>
          <t>NULL</t>
        </is>
      </c>
      <c r="C1241" s="0" t="inlineStr">
        <is>
          <t>NULL</t>
        </is>
      </c>
      <c r="D1241" s="0" t="inlineStr">
        <is>
          <t>NULL</t>
        </is>
      </c>
      <c r="E1241" s="0" t="inlineStr">
        <is>
          <t>NULL</t>
        </is>
      </c>
      <c r="F1241" s="0" t="inlineStr">
        <is>
          <t>NULL</t>
        </is>
      </c>
      <c r="G1241" s="0" t="inlineStr">
        <is>
          <t>NULL</t>
        </is>
      </c>
      <c r="H1241" s="0" t="inlineStr">
        <is>
          <t>NULL</t>
        </is>
      </c>
      <c r="I1241" s="0" t="inlineStr">
        <is>
          <t>NULL</t>
        </is>
      </c>
      <c r="J1241" s="0" t="inlineStr">
        <is>
          <t>NULL</t>
        </is>
      </c>
      <c r="K1241" s="0" t="inlineStr">
        <is>
          <t>YES! 	 c_dtoffset_1列源备映射正确，源端为datetimeoffset None位	期望更改为datetimeoffset(n)	实际备端为datetimeoffset None位</t>
        </is>
      </c>
    </row>
    <row r="1242">
      <c r="B1242" s="0" t="inlineStr">
        <is>
          <t>NULL</t>
        </is>
      </c>
      <c r="C1242" s="0" t="inlineStr">
        <is>
          <t>NULL</t>
        </is>
      </c>
      <c r="D1242" s="0" t="inlineStr">
        <is>
          <t>NULL</t>
        </is>
      </c>
      <c r="E1242" s="0" t="inlineStr">
        <is>
          <t>NULL</t>
        </is>
      </c>
      <c r="F1242" s="0" t="inlineStr">
        <is>
          <t>NULL</t>
        </is>
      </c>
      <c r="G1242" s="0" t="inlineStr">
        <is>
          <t>NULL</t>
        </is>
      </c>
      <c r="H1242" s="0" t="inlineStr">
        <is>
          <t>NULL</t>
        </is>
      </c>
      <c r="I1242" s="0" t="inlineStr">
        <is>
          <t>NULL</t>
        </is>
      </c>
      <c r="J1242" s="0" t="inlineStr">
        <is>
          <t>NULL</t>
        </is>
      </c>
      <c r="K1242" s="0" t="inlineStr">
        <is>
          <t>YES! 	 c_dtoffset_2列源备映射正确，源端为datetimeoffset None位	期望更改为datetimeoffset(n)	实际备端为datetimeoffset None位</t>
        </is>
      </c>
    </row>
    <row r="1243">
      <c r="B1243" s="0" t="inlineStr">
        <is>
          <t>NULL</t>
        </is>
      </c>
      <c r="C1243" s="0" t="inlineStr">
        <is>
          <t>NULL</t>
        </is>
      </c>
      <c r="D1243" s="0" t="inlineStr">
        <is>
          <t>NULL</t>
        </is>
      </c>
      <c r="E1243" s="0" t="inlineStr">
        <is>
          <t>NULL</t>
        </is>
      </c>
      <c r="F1243" s="0" t="inlineStr">
        <is>
          <t>NULL</t>
        </is>
      </c>
      <c r="G1243" s="0" t="inlineStr">
        <is>
          <t>NULL</t>
        </is>
      </c>
      <c r="H1243" s="0" t="inlineStr">
        <is>
          <t>NULL</t>
        </is>
      </c>
      <c r="I1243" s="0" t="inlineStr">
        <is>
          <t>NULL</t>
        </is>
      </c>
      <c r="J1243" s="0" t="inlineStr">
        <is>
          <t>NULL</t>
        </is>
      </c>
      <c r="K1243" s="0" t="inlineStr">
        <is>
          <t>YES! 	 c_dtoffset_3列源备映射正确，源端为datetimeoffset None位	期望更改为datetimeoffset(n)	实际备端为datetimeoffset None位</t>
        </is>
      </c>
    </row>
    <row r="1244">
      <c r="B1244" s="0" t="inlineStr">
        <is>
          <t>NULL</t>
        </is>
      </c>
      <c r="C1244" s="0" t="inlineStr">
        <is>
          <t>NULL</t>
        </is>
      </c>
      <c r="D1244" s="0" t="inlineStr">
        <is>
          <t>NULL</t>
        </is>
      </c>
      <c r="E1244" s="0" t="inlineStr">
        <is>
          <t>NULL</t>
        </is>
      </c>
      <c r="F1244" s="0" t="inlineStr">
        <is>
          <t>NULL</t>
        </is>
      </c>
      <c r="G1244" s="0" t="inlineStr">
        <is>
          <t>NULL</t>
        </is>
      </c>
      <c r="H1244" s="0" t="inlineStr">
        <is>
          <t>NULL</t>
        </is>
      </c>
      <c r="I1244" s="0" t="inlineStr">
        <is>
          <t>NULL</t>
        </is>
      </c>
      <c r="J1244" s="0" t="inlineStr">
        <is>
          <t>NULL</t>
        </is>
      </c>
      <c r="K1244" s="0" t="inlineStr">
        <is>
          <t>YES! 	 c_dtoffset_4列源备映射正确，源端为datetimeoffset None位	期望更改为datetimeoffset(n)	实际备端为datetimeoffset None位</t>
        </is>
      </c>
    </row>
    <row r="1245">
      <c r="B1245" s="0" t="inlineStr">
        <is>
          <t>NULL</t>
        </is>
      </c>
      <c r="C1245" s="0" t="inlineStr">
        <is>
          <t>NULL</t>
        </is>
      </c>
      <c r="D1245" s="0" t="inlineStr">
        <is>
          <t>NULL</t>
        </is>
      </c>
      <c r="E1245" s="0" t="inlineStr">
        <is>
          <t>NULL</t>
        </is>
      </c>
      <c r="F1245" s="0" t="inlineStr">
        <is>
          <t>NULL</t>
        </is>
      </c>
      <c r="G1245" s="0" t="inlineStr">
        <is>
          <t>NULL</t>
        </is>
      </c>
      <c r="H1245" s="0" t="inlineStr">
        <is>
          <t>NULL</t>
        </is>
      </c>
      <c r="I1245" s="0" t="inlineStr">
        <is>
          <t>NULL</t>
        </is>
      </c>
      <c r="J1245" s="0" t="inlineStr">
        <is>
          <t>NULL</t>
        </is>
      </c>
      <c r="K1245" s="0" t="inlineStr">
        <is>
          <t>YES! 	 c_dtoffset_5列源备映射正确，源端为datetimeoffset None位	期望更改为datetimeoffset(n)	实际备端为datetimeoffset None位</t>
        </is>
      </c>
    </row>
    <row r="1246">
      <c r="B1246" s="0" t="inlineStr">
        <is>
          <t>NULL</t>
        </is>
      </c>
      <c r="C1246" s="0" t="inlineStr">
        <is>
          <t>NULL</t>
        </is>
      </c>
      <c r="D1246" s="0" t="inlineStr">
        <is>
          <t>NULL</t>
        </is>
      </c>
      <c r="E1246" s="0" t="inlineStr">
        <is>
          <t>NULL</t>
        </is>
      </c>
      <c r="F1246" s="0" t="inlineStr">
        <is>
          <t>NULL</t>
        </is>
      </c>
      <c r="G1246" s="0" t="inlineStr">
        <is>
          <t>NULL</t>
        </is>
      </c>
      <c r="H1246" s="0" t="inlineStr">
        <is>
          <t>NULL</t>
        </is>
      </c>
      <c r="I1246" s="0" t="inlineStr">
        <is>
          <t>NULL</t>
        </is>
      </c>
      <c r="J1246" s="0" t="inlineStr">
        <is>
          <t>NULL</t>
        </is>
      </c>
      <c r="K1246" s="0" t="inlineStr">
        <is>
          <t>YES! 	 c_dtoffset_6列源备映射正确，源端为datetimeoffset None位	期望更改为datetimeoffset(n)	实际备端为datetimeoffset None位</t>
        </is>
      </c>
    </row>
    <row r="1247">
      <c r="B1247" s="0" t="inlineStr">
        <is>
          <t>NULL</t>
        </is>
      </c>
      <c r="C1247" s="0" t="inlineStr">
        <is>
          <t>NULL</t>
        </is>
      </c>
      <c r="D1247" s="0" t="inlineStr">
        <is>
          <t>NULL</t>
        </is>
      </c>
      <c r="E1247" s="0" t="inlineStr">
        <is>
          <t>NULL</t>
        </is>
      </c>
      <c r="F1247" s="0" t="inlineStr">
        <is>
          <t>NULL</t>
        </is>
      </c>
      <c r="G1247" s="0" t="inlineStr">
        <is>
          <t>NULL</t>
        </is>
      </c>
      <c r="H1247" s="0" t="inlineStr">
        <is>
          <t>NULL</t>
        </is>
      </c>
      <c r="I1247" s="0" t="inlineStr">
        <is>
          <t>NULL</t>
        </is>
      </c>
      <c r="J1247" s="0" t="inlineStr">
        <is>
          <t>NULL</t>
        </is>
      </c>
      <c r="K1247" s="0" t="inlineStr">
        <is>
          <t>YES! 	 c_dtoffset列源备映射正确，源端为datetimeoffset None位	期望更改为datetimeoffset(n)	实际备端为datetimeoffset None位</t>
        </is>
      </c>
    </row>
    <row r="1248">
      <c r="A1248" s="0" t="inlineStr">
        <is>
          <t>info_time_dml_single_nopk_urp</t>
        </is>
      </c>
      <c r="K1248" s="0" t="inlineStr">
        <is>
          <t>[0;34m info_time_dml_single_nopk_urp [0m源备字段数相同，源端字段：9 	备端字段9</t>
        </is>
      </c>
      <c r="W1248" s="0" t="inlineStr">
        <is>
          <t>YES 源备无差异</t>
        </is>
      </c>
      <c r="X1248" s="0">
        <f>A1248</f>
        <v/>
      </c>
    </row>
    <row r="1249">
      <c r="B1249" s="0" t="inlineStr">
        <is>
          <t>NULL</t>
        </is>
      </c>
      <c r="C1249" s="0" t="inlineStr">
        <is>
          <t>NULL</t>
        </is>
      </c>
      <c r="D1249" s="0" t="inlineStr">
        <is>
          <t>NULL</t>
        </is>
      </c>
      <c r="E1249" s="0" t="inlineStr">
        <is>
          <t>NULL</t>
        </is>
      </c>
      <c r="F1249" s="0" t="inlineStr">
        <is>
          <t>NULL</t>
        </is>
      </c>
      <c r="G1249" s="0" t="inlineStr">
        <is>
          <t>NULL</t>
        </is>
      </c>
      <c r="H1249" s="0" t="inlineStr">
        <is>
          <t>NULL</t>
        </is>
      </c>
      <c r="I1249" s="0" t="inlineStr">
        <is>
          <t>NULL</t>
        </is>
      </c>
      <c r="J1249" s="0" t="inlineStr">
        <is>
          <t>NULL</t>
        </is>
      </c>
      <c r="K1249" s="0" t="inlineStr">
        <is>
          <t>YES! 	 id列源备映射正确，源端为int None位	期望更改为int	实际备端为int None位</t>
        </is>
      </c>
    </row>
    <row r="1250">
      <c r="B1250" s="0" t="inlineStr">
        <is>
          <t>NULL</t>
        </is>
      </c>
      <c r="C1250" s="0" t="inlineStr">
        <is>
          <t>NULL</t>
        </is>
      </c>
      <c r="D1250" s="0" t="inlineStr">
        <is>
          <t>NULL</t>
        </is>
      </c>
      <c r="E1250" s="0" t="inlineStr">
        <is>
          <t>NULL</t>
        </is>
      </c>
      <c r="F1250" s="0" t="inlineStr">
        <is>
          <t>NULL</t>
        </is>
      </c>
      <c r="G1250" s="0" t="inlineStr">
        <is>
          <t>NULL</t>
        </is>
      </c>
      <c r="H1250" s="0" t="inlineStr">
        <is>
          <t>NULL</t>
        </is>
      </c>
      <c r="I1250" s="0" t="inlineStr">
        <is>
          <t>NULL</t>
        </is>
      </c>
      <c r="J1250" s="0" t="inlineStr">
        <is>
          <t>NULL</t>
        </is>
      </c>
      <c r="K1250" s="0" t="inlineStr">
        <is>
          <t>no,len不存在</t>
        </is>
      </c>
    </row>
    <row r="1251">
      <c r="B1251" s="0" t="inlineStr">
        <is>
          <t>NULL</t>
        </is>
      </c>
      <c r="C1251" s="0" t="inlineStr">
        <is>
          <t>NULL</t>
        </is>
      </c>
      <c r="D1251" s="0" t="inlineStr">
        <is>
          <t>NULL</t>
        </is>
      </c>
      <c r="E1251" s="0" t="inlineStr">
        <is>
          <t>NULL</t>
        </is>
      </c>
      <c r="F1251" s="0" t="inlineStr">
        <is>
          <t>NULL</t>
        </is>
      </c>
      <c r="G1251" s="0" t="inlineStr">
        <is>
          <t>NULL</t>
        </is>
      </c>
      <c r="H1251" s="0" t="inlineStr">
        <is>
          <t>NULL</t>
        </is>
      </c>
      <c r="I1251" s="0" t="inlineStr">
        <is>
          <t>NULL</t>
        </is>
      </c>
      <c r="J1251" s="0" t="inlineStr">
        <is>
          <t>NULL</t>
        </is>
      </c>
      <c r="K1251" s="0" t="inlineStr">
        <is>
          <t>YES! 	 c_time1列源备映射正确，源端为time None位	期望更改为time(n)	实际备端为time None位</t>
        </is>
      </c>
    </row>
    <row r="1252">
      <c r="B1252" s="0" t="inlineStr">
        <is>
          <t>NULL</t>
        </is>
      </c>
      <c r="C1252" s="0" t="inlineStr">
        <is>
          <t>NULL</t>
        </is>
      </c>
      <c r="D1252" s="0" t="inlineStr">
        <is>
          <t>NULL</t>
        </is>
      </c>
      <c r="E1252" s="0" t="inlineStr">
        <is>
          <t>NULL</t>
        </is>
      </c>
      <c r="F1252" s="0" t="inlineStr">
        <is>
          <t>NULL</t>
        </is>
      </c>
      <c r="G1252" s="0" t="inlineStr">
        <is>
          <t>NULL</t>
        </is>
      </c>
      <c r="H1252" s="0" t="inlineStr">
        <is>
          <t>NULL</t>
        </is>
      </c>
      <c r="I1252" s="0" t="inlineStr">
        <is>
          <t>NULL</t>
        </is>
      </c>
      <c r="J1252" s="0" t="inlineStr">
        <is>
          <t>NULL</t>
        </is>
      </c>
      <c r="K1252" s="0" t="inlineStr">
        <is>
          <t>YES! 	 c_time2列源备映射正确，源端为time None位	期望更改为time(n)	实际备端为time None位</t>
        </is>
      </c>
    </row>
    <row r="1253">
      <c r="B1253" s="0" t="inlineStr">
        <is>
          <t>NULL</t>
        </is>
      </c>
      <c r="C1253" s="0" t="inlineStr">
        <is>
          <t>NULL</t>
        </is>
      </c>
      <c r="D1253" s="0" t="inlineStr">
        <is>
          <t>NULL</t>
        </is>
      </c>
      <c r="E1253" s="0" t="inlineStr">
        <is>
          <t>NULL</t>
        </is>
      </c>
      <c r="F1253" s="0" t="inlineStr">
        <is>
          <t>NULL</t>
        </is>
      </c>
      <c r="G1253" s="0" t="inlineStr">
        <is>
          <t>NULL</t>
        </is>
      </c>
      <c r="H1253" s="0" t="inlineStr">
        <is>
          <t>NULL</t>
        </is>
      </c>
      <c r="I1253" s="0" t="inlineStr">
        <is>
          <t>NULL</t>
        </is>
      </c>
      <c r="J1253" s="0" t="inlineStr">
        <is>
          <t>NULL</t>
        </is>
      </c>
      <c r="K1253" s="0" t="inlineStr">
        <is>
          <t>YES! 	 c_time3列源备映射正确，源端为time None位	期望更改为time(n)	实际备端为time None位</t>
        </is>
      </c>
    </row>
    <row r="1254">
      <c r="B1254" s="0" t="inlineStr">
        <is>
          <t>NULL</t>
        </is>
      </c>
      <c r="C1254" s="0" t="inlineStr">
        <is>
          <t>NULL</t>
        </is>
      </c>
      <c r="D1254" s="0" t="inlineStr">
        <is>
          <t>NULL</t>
        </is>
      </c>
      <c r="E1254" s="0" t="inlineStr">
        <is>
          <t>NULL</t>
        </is>
      </c>
      <c r="F1254" s="0" t="inlineStr">
        <is>
          <t>NULL</t>
        </is>
      </c>
      <c r="G1254" s="0" t="inlineStr">
        <is>
          <t>NULL</t>
        </is>
      </c>
      <c r="H1254" s="0" t="inlineStr">
        <is>
          <t>NULL</t>
        </is>
      </c>
      <c r="I1254" s="0" t="inlineStr">
        <is>
          <t>NULL</t>
        </is>
      </c>
      <c r="J1254" s="0" t="inlineStr">
        <is>
          <t>NULL</t>
        </is>
      </c>
      <c r="K1254" s="0" t="inlineStr">
        <is>
          <t>YES! 	 c_time4列源备映射正确，源端为time None位	期望更改为time(n)	实际备端为time None位</t>
        </is>
      </c>
    </row>
    <row r="1255">
      <c r="B1255" s="0" t="inlineStr">
        <is>
          <t>NULL</t>
        </is>
      </c>
      <c r="C1255" s="0" t="inlineStr">
        <is>
          <t>NULL</t>
        </is>
      </c>
      <c r="D1255" s="0" t="inlineStr">
        <is>
          <t>NULL</t>
        </is>
      </c>
      <c r="E1255" s="0" t="inlineStr">
        <is>
          <t>NULL</t>
        </is>
      </c>
      <c r="F1255" s="0" t="inlineStr">
        <is>
          <t>NULL</t>
        </is>
      </c>
      <c r="G1255" s="0" t="inlineStr">
        <is>
          <t>NULL</t>
        </is>
      </c>
      <c r="H1255" s="0" t="inlineStr">
        <is>
          <t>NULL</t>
        </is>
      </c>
      <c r="I1255" s="0" t="inlineStr">
        <is>
          <t>NULL</t>
        </is>
      </c>
      <c r="J1255" s="0" t="inlineStr">
        <is>
          <t>NULL</t>
        </is>
      </c>
      <c r="K1255" s="0" t="inlineStr">
        <is>
          <t>YES! 	 c_time5列源备映射正确，源端为time None位	期望更改为time(n)	实际备端为time None位</t>
        </is>
      </c>
    </row>
    <row r="1256">
      <c r="B1256" s="0" t="inlineStr">
        <is>
          <t>NULL</t>
        </is>
      </c>
      <c r="C1256" s="0" t="inlineStr">
        <is>
          <t>NULL</t>
        </is>
      </c>
      <c r="D1256" s="0" t="inlineStr">
        <is>
          <t>NULL</t>
        </is>
      </c>
      <c r="E1256" s="0" t="inlineStr">
        <is>
          <t>NULL</t>
        </is>
      </c>
      <c r="F1256" s="0" t="inlineStr">
        <is>
          <t>NULL</t>
        </is>
      </c>
      <c r="G1256" s="0" t="inlineStr">
        <is>
          <t>NULL</t>
        </is>
      </c>
      <c r="H1256" s="0" t="inlineStr">
        <is>
          <t>NULL</t>
        </is>
      </c>
      <c r="I1256" s="0" t="inlineStr">
        <is>
          <t>NULL</t>
        </is>
      </c>
      <c r="J1256" s="0" t="inlineStr">
        <is>
          <t>NULL</t>
        </is>
      </c>
      <c r="K1256" s="0" t="inlineStr">
        <is>
          <t>YES! 	 c_time6列源备映射正确，源端为time None位	期望更改为time(n)	实际备端为time None位</t>
        </is>
      </c>
    </row>
    <row r="1257">
      <c r="B1257" s="0" t="inlineStr">
        <is>
          <t>NULL</t>
        </is>
      </c>
      <c r="C1257" s="0" t="inlineStr">
        <is>
          <t>NULL</t>
        </is>
      </c>
      <c r="D1257" s="0" t="inlineStr">
        <is>
          <t>NULL</t>
        </is>
      </c>
      <c r="E1257" s="0" t="inlineStr">
        <is>
          <t>NULL</t>
        </is>
      </c>
      <c r="F1257" s="0" t="inlineStr">
        <is>
          <t>NULL</t>
        </is>
      </c>
      <c r="G1257" s="0" t="inlineStr">
        <is>
          <t>NULL</t>
        </is>
      </c>
      <c r="H1257" s="0" t="inlineStr">
        <is>
          <t>NULL</t>
        </is>
      </c>
      <c r="I1257" s="0" t="inlineStr">
        <is>
          <t>NULL</t>
        </is>
      </c>
      <c r="J1257" s="0" t="inlineStr">
        <is>
          <t>NULL</t>
        </is>
      </c>
      <c r="K1257" s="0" t="inlineStr">
        <is>
          <t>YES! 	 c_time列源备映射正确，源端为time None位	期望更改为time(n)	实际备端为time None位</t>
        </is>
      </c>
    </row>
    <row r="1258">
      <c r="A1258" s="0" t="inlineStr">
        <is>
          <t>info_nvarchar_dml_batch1_pk_drp2</t>
        </is>
      </c>
      <c r="K1258" s="0" t="inlineStr">
        <is>
          <t>[0;34m info_nvarchar_dml_batch1_pk_drp2 [0m源备字段数相同，源端字段：4 	备端字段4</t>
        </is>
      </c>
      <c r="W1258" s="0" t="inlineStr">
        <is>
          <t>YES 源备无差异</t>
        </is>
      </c>
      <c r="X1258" s="0">
        <f>A1258</f>
        <v/>
      </c>
    </row>
    <row r="1259">
      <c r="B1259" s="0" t="inlineStr">
        <is>
          <t>YES</t>
        </is>
      </c>
      <c r="C1259" s="0" t="inlineStr">
        <is>
          <t>NULL</t>
        </is>
      </c>
      <c r="D1259" s="0" t="inlineStr">
        <is>
          <t>NULL</t>
        </is>
      </c>
      <c r="E1259" s="0" t="inlineStr">
        <is>
          <t>NULL</t>
        </is>
      </c>
      <c r="F1259" s="0" t="inlineStr">
        <is>
          <t>NULL</t>
        </is>
      </c>
      <c r="G1259" s="0" t="inlineStr">
        <is>
          <t>NULL</t>
        </is>
      </c>
      <c r="H1259" s="0" t="inlineStr">
        <is>
          <t>NULL</t>
        </is>
      </c>
      <c r="I1259" s="0" t="inlineStr">
        <is>
          <t>YES!PK__info_nva__3213E83FF3212B0C</t>
        </is>
      </c>
      <c r="J1259" s="0" t="inlineStr">
        <is>
          <t>YES! 主键相关索引</t>
        </is>
      </c>
      <c r="K1259" s="0" t="inlineStr">
        <is>
          <t>YES! 	 id列源备映射正确，源端为int None位	期望更改为int	实际备端为int None位</t>
        </is>
      </c>
    </row>
    <row r="1260">
      <c r="B1260" s="0" t="inlineStr">
        <is>
          <t>NULL</t>
        </is>
      </c>
      <c r="C1260" s="0" t="inlineStr">
        <is>
          <t>NULL</t>
        </is>
      </c>
      <c r="D1260" s="0" t="inlineStr">
        <is>
          <t>NULL</t>
        </is>
      </c>
      <c r="E1260" s="0" t="inlineStr">
        <is>
          <t>NULL</t>
        </is>
      </c>
      <c r="F1260" s="0" t="inlineStr">
        <is>
          <t>NULL</t>
        </is>
      </c>
      <c r="G1260" s="0" t="inlineStr">
        <is>
          <t>NULL</t>
        </is>
      </c>
      <c r="H1260" s="0" t="inlineStr">
        <is>
          <t>NULL</t>
        </is>
      </c>
      <c r="I1260" s="0" t="inlineStr">
        <is>
          <t>NULL</t>
        </is>
      </c>
      <c r="J1260" s="0" t="inlineStr">
        <is>
          <t>NULL</t>
        </is>
      </c>
      <c r="K1260" s="0" t="inlineStr">
        <is>
          <t>YES! 	 c_nvarchar列源备映射正确，源端为nvarchar 2位	期望更改为nvarchar(n)	实际备端为nvarchar 2位</t>
        </is>
      </c>
    </row>
    <row r="1261">
      <c r="B1261" s="0" t="inlineStr">
        <is>
          <t>NULL</t>
        </is>
      </c>
      <c r="C1261" s="0" t="inlineStr">
        <is>
          <t>NULL</t>
        </is>
      </c>
      <c r="D1261" s="0" t="inlineStr">
        <is>
          <t>NULL</t>
        </is>
      </c>
      <c r="E1261" s="0" t="inlineStr">
        <is>
          <t>NULL</t>
        </is>
      </c>
      <c r="F1261" s="0" t="inlineStr">
        <is>
          <t>NULL</t>
        </is>
      </c>
      <c r="G1261" s="0" t="inlineStr">
        <is>
          <t>NULL</t>
        </is>
      </c>
      <c r="H1261" s="0" t="inlineStr">
        <is>
          <t>NULL</t>
        </is>
      </c>
      <c r="I1261" s="0" t="inlineStr">
        <is>
          <t>NULL</t>
        </is>
      </c>
      <c r="J1261" s="0" t="inlineStr">
        <is>
          <t>NULL</t>
        </is>
      </c>
      <c r="K1261" s="0" t="inlineStr">
        <is>
          <t>YES! 	 c_nvarchar20列源备映射正确，源端为nvarchar 40位	期望更改为nvarchar(n)	实际备端为nvarchar 40位</t>
        </is>
      </c>
    </row>
    <row r="1262">
      <c r="B1262" s="0" t="inlineStr">
        <is>
          <t>NULL</t>
        </is>
      </c>
      <c r="C1262" s="0" t="inlineStr">
        <is>
          <t>NULL</t>
        </is>
      </c>
      <c r="D1262" s="0" t="inlineStr">
        <is>
          <t>NULL</t>
        </is>
      </c>
      <c r="E1262" s="0" t="inlineStr">
        <is>
          <t>NULL</t>
        </is>
      </c>
      <c r="F1262" s="0" t="inlineStr">
        <is>
          <t>NULL</t>
        </is>
      </c>
      <c r="G1262" s="0" t="inlineStr">
        <is>
          <t>NULL</t>
        </is>
      </c>
      <c r="H1262" s="0" t="inlineStr">
        <is>
          <t>NULL</t>
        </is>
      </c>
      <c r="I1262" s="0" t="inlineStr">
        <is>
          <t>NULL</t>
        </is>
      </c>
      <c r="J1262" s="0" t="inlineStr">
        <is>
          <t>NULL</t>
        </is>
      </c>
      <c r="K1262" s="0" t="inlineStr">
        <is>
          <t>YES! 	 c_nvarchar3500列源备映射正确，源端为nchar 7000位	期望更改为nchar(n)	实际备端为nchar 7000位</t>
        </is>
      </c>
    </row>
    <row r="1263">
      <c r="A1263" s="0" t="inlineStr">
        <is>
          <t>info_time_dml_single_nopk_drp</t>
        </is>
      </c>
      <c r="K1263" s="0" t="inlineStr">
        <is>
          <t>[0;34m info_time_dml_single_nopk_drp [0m源备字段数相同，源端字段：9 	备端字段9</t>
        </is>
      </c>
      <c r="W1263" s="0" t="inlineStr">
        <is>
          <t>YES 源备无差异</t>
        </is>
      </c>
      <c r="X1263" s="0">
        <f>A1263</f>
        <v/>
      </c>
    </row>
    <row r="1264">
      <c r="B1264" s="0" t="inlineStr">
        <is>
          <t>NULL</t>
        </is>
      </c>
      <c r="C1264" s="0" t="inlineStr">
        <is>
          <t>NULL</t>
        </is>
      </c>
      <c r="D1264" s="0" t="inlineStr">
        <is>
          <t>NULL</t>
        </is>
      </c>
      <c r="E1264" s="0" t="inlineStr">
        <is>
          <t>NULL</t>
        </is>
      </c>
      <c r="F1264" s="0" t="inlineStr">
        <is>
          <t>NULL</t>
        </is>
      </c>
      <c r="G1264" s="0" t="inlineStr">
        <is>
          <t>NULL</t>
        </is>
      </c>
      <c r="H1264" s="0" t="inlineStr">
        <is>
          <t>NULL</t>
        </is>
      </c>
      <c r="I1264" s="0" t="inlineStr">
        <is>
          <t>NULL</t>
        </is>
      </c>
      <c r="J1264" s="0" t="inlineStr">
        <is>
          <t>NULL</t>
        </is>
      </c>
      <c r="K1264" s="0" t="inlineStr">
        <is>
          <t>YES! 	 id列源备映射正确，源端为int None位	期望更改为int	实际备端为int None位</t>
        </is>
      </c>
    </row>
    <row r="1265">
      <c r="B1265" s="0" t="inlineStr">
        <is>
          <t>NULL</t>
        </is>
      </c>
      <c r="C1265" s="0" t="inlineStr">
        <is>
          <t>NULL</t>
        </is>
      </c>
      <c r="D1265" s="0" t="inlineStr">
        <is>
          <t>NULL</t>
        </is>
      </c>
      <c r="E1265" s="0" t="inlineStr">
        <is>
          <t>NULL</t>
        </is>
      </c>
      <c r="F1265" s="0" t="inlineStr">
        <is>
          <t>NULL</t>
        </is>
      </c>
      <c r="G1265" s="0" t="inlineStr">
        <is>
          <t>NULL</t>
        </is>
      </c>
      <c r="H1265" s="0" t="inlineStr">
        <is>
          <t>NULL</t>
        </is>
      </c>
      <c r="I1265" s="0" t="inlineStr">
        <is>
          <t>NULL</t>
        </is>
      </c>
      <c r="J1265" s="0" t="inlineStr">
        <is>
          <t>NULL</t>
        </is>
      </c>
      <c r="K1265" s="0" t="inlineStr">
        <is>
          <t>no,len不存在</t>
        </is>
      </c>
    </row>
    <row r="1266">
      <c r="B1266" s="0" t="inlineStr">
        <is>
          <t>NULL</t>
        </is>
      </c>
      <c r="C1266" s="0" t="inlineStr">
        <is>
          <t>NULL</t>
        </is>
      </c>
      <c r="D1266" s="0" t="inlineStr">
        <is>
          <t>NULL</t>
        </is>
      </c>
      <c r="E1266" s="0" t="inlineStr">
        <is>
          <t>NULL</t>
        </is>
      </c>
      <c r="F1266" s="0" t="inlineStr">
        <is>
          <t>NULL</t>
        </is>
      </c>
      <c r="G1266" s="0" t="inlineStr">
        <is>
          <t>NULL</t>
        </is>
      </c>
      <c r="H1266" s="0" t="inlineStr">
        <is>
          <t>NULL</t>
        </is>
      </c>
      <c r="I1266" s="0" t="inlineStr">
        <is>
          <t>NULL</t>
        </is>
      </c>
      <c r="J1266" s="0" t="inlineStr">
        <is>
          <t>NULL</t>
        </is>
      </c>
      <c r="K1266" s="0" t="inlineStr">
        <is>
          <t>YES! 	 c_time1列源备映射正确，源端为time None位	期望更改为time(n)	实际备端为time None位</t>
        </is>
      </c>
    </row>
    <row r="1267">
      <c r="B1267" s="0" t="inlineStr">
        <is>
          <t>NULL</t>
        </is>
      </c>
      <c r="C1267" s="0" t="inlineStr">
        <is>
          <t>NULL</t>
        </is>
      </c>
      <c r="D1267" s="0" t="inlineStr">
        <is>
          <t>NULL</t>
        </is>
      </c>
      <c r="E1267" s="0" t="inlineStr">
        <is>
          <t>NULL</t>
        </is>
      </c>
      <c r="F1267" s="0" t="inlineStr">
        <is>
          <t>NULL</t>
        </is>
      </c>
      <c r="G1267" s="0" t="inlineStr">
        <is>
          <t>NULL</t>
        </is>
      </c>
      <c r="H1267" s="0" t="inlineStr">
        <is>
          <t>NULL</t>
        </is>
      </c>
      <c r="I1267" s="0" t="inlineStr">
        <is>
          <t>NULL</t>
        </is>
      </c>
      <c r="J1267" s="0" t="inlineStr">
        <is>
          <t>NULL</t>
        </is>
      </c>
      <c r="K1267" s="0" t="inlineStr">
        <is>
          <t>YES! 	 c_time2列源备映射正确，源端为time None位	期望更改为time(n)	实际备端为time None位</t>
        </is>
      </c>
    </row>
    <row r="1268">
      <c r="B1268" s="0" t="inlineStr">
        <is>
          <t>NULL</t>
        </is>
      </c>
      <c r="C1268" s="0" t="inlineStr">
        <is>
          <t>NULL</t>
        </is>
      </c>
      <c r="D1268" s="0" t="inlineStr">
        <is>
          <t>NULL</t>
        </is>
      </c>
      <c r="E1268" s="0" t="inlineStr">
        <is>
          <t>NULL</t>
        </is>
      </c>
      <c r="F1268" s="0" t="inlineStr">
        <is>
          <t>NULL</t>
        </is>
      </c>
      <c r="G1268" s="0" t="inlineStr">
        <is>
          <t>NULL</t>
        </is>
      </c>
      <c r="H1268" s="0" t="inlineStr">
        <is>
          <t>NULL</t>
        </is>
      </c>
      <c r="I1268" s="0" t="inlineStr">
        <is>
          <t>NULL</t>
        </is>
      </c>
      <c r="J1268" s="0" t="inlineStr">
        <is>
          <t>NULL</t>
        </is>
      </c>
      <c r="K1268" s="0" t="inlineStr">
        <is>
          <t>YES! 	 c_time3列源备映射正确，源端为time None位	期望更改为time(n)	实际备端为time None位</t>
        </is>
      </c>
    </row>
    <row r="1269">
      <c r="B1269" s="0" t="inlineStr">
        <is>
          <t>NULL</t>
        </is>
      </c>
      <c r="C1269" s="0" t="inlineStr">
        <is>
          <t>NULL</t>
        </is>
      </c>
      <c r="D1269" s="0" t="inlineStr">
        <is>
          <t>NULL</t>
        </is>
      </c>
      <c r="E1269" s="0" t="inlineStr">
        <is>
          <t>NULL</t>
        </is>
      </c>
      <c r="F1269" s="0" t="inlineStr">
        <is>
          <t>NULL</t>
        </is>
      </c>
      <c r="G1269" s="0" t="inlineStr">
        <is>
          <t>NULL</t>
        </is>
      </c>
      <c r="H1269" s="0" t="inlineStr">
        <is>
          <t>NULL</t>
        </is>
      </c>
      <c r="I1269" s="0" t="inlineStr">
        <is>
          <t>NULL</t>
        </is>
      </c>
      <c r="J1269" s="0" t="inlineStr">
        <is>
          <t>NULL</t>
        </is>
      </c>
      <c r="K1269" s="0" t="inlineStr">
        <is>
          <t>YES! 	 c_time4列源备映射正确，源端为time None位	期望更改为time(n)	实际备端为time None位</t>
        </is>
      </c>
    </row>
    <row r="1270">
      <c r="B1270" s="0" t="inlineStr">
        <is>
          <t>NULL</t>
        </is>
      </c>
      <c r="C1270" s="0" t="inlineStr">
        <is>
          <t>NULL</t>
        </is>
      </c>
      <c r="D1270" s="0" t="inlineStr">
        <is>
          <t>NULL</t>
        </is>
      </c>
      <c r="E1270" s="0" t="inlineStr">
        <is>
          <t>NULL</t>
        </is>
      </c>
      <c r="F1270" s="0" t="inlineStr">
        <is>
          <t>NULL</t>
        </is>
      </c>
      <c r="G1270" s="0" t="inlineStr">
        <is>
          <t>NULL</t>
        </is>
      </c>
      <c r="H1270" s="0" t="inlineStr">
        <is>
          <t>NULL</t>
        </is>
      </c>
      <c r="I1270" s="0" t="inlineStr">
        <is>
          <t>NULL</t>
        </is>
      </c>
      <c r="J1270" s="0" t="inlineStr">
        <is>
          <t>NULL</t>
        </is>
      </c>
      <c r="K1270" s="0" t="inlineStr">
        <is>
          <t>YES! 	 c_time5列源备映射正确，源端为time None位	期望更改为time(n)	实际备端为time None位</t>
        </is>
      </c>
    </row>
    <row r="1271">
      <c r="B1271" s="0" t="inlineStr">
        <is>
          <t>NULL</t>
        </is>
      </c>
      <c r="C1271" s="0" t="inlineStr">
        <is>
          <t>NULL</t>
        </is>
      </c>
      <c r="D1271" s="0" t="inlineStr">
        <is>
          <t>NULL</t>
        </is>
      </c>
      <c r="E1271" s="0" t="inlineStr">
        <is>
          <t>NULL</t>
        </is>
      </c>
      <c r="F1271" s="0" t="inlineStr">
        <is>
          <t>NULL</t>
        </is>
      </c>
      <c r="G1271" s="0" t="inlineStr">
        <is>
          <t>NULL</t>
        </is>
      </c>
      <c r="H1271" s="0" t="inlineStr">
        <is>
          <t>NULL</t>
        </is>
      </c>
      <c r="I1271" s="0" t="inlineStr">
        <is>
          <t>NULL</t>
        </is>
      </c>
      <c r="J1271" s="0" t="inlineStr">
        <is>
          <t>NULL</t>
        </is>
      </c>
      <c r="K1271" s="0" t="inlineStr">
        <is>
          <t>YES! 	 c_time6列源备映射正确，源端为time None位	期望更改为time(n)	实际备端为time None位</t>
        </is>
      </c>
    </row>
    <row r="1272">
      <c r="B1272" s="0" t="inlineStr">
        <is>
          <t>NULL</t>
        </is>
      </c>
      <c r="C1272" s="0" t="inlineStr">
        <is>
          <t>NULL</t>
        </is>
      </c>
      <c r="D1272" s="0" t="inlineStr">
        <is>
          <t>NULL</t>
        </is>
      </c>
      <c r="E1272" s="0" t="inlineStr">
        <is>
          <t>NULL</t>
        </is>
      </c>
      <c r="F1272" s="0" t="inlineStr">
        <is>
          <t>NULL</t>
        </is>
      </c>
      <c r="G1272" s="0" t="inlineStr">
        <is>
          <t>NULL</t>
        </is>
      </c>
      <c r="H1272" s="0" t="inlineStr">
        <is>
          <t>NULL</t>
        </is>
      </c>
      <c r="I1272" s="0" t="inlineStr">
        <is>
          <t>NULL</t>
        </is>
      </c>
      <c r="J1272" s="0" t="inlineStr">
        <is>
          <t>NULL</t>
        </is>
      </c>
      <c r="K1272" s="0" t="inlineStr">
        <is>
          <t>YES! 	 c_time列源备映射正确，源端为time None位	期望更改为time(n)	实际备端为time None位</t>
        </is>
      </c>
    </row>
    <row r="1273">
      <c r="A1273" s="0" t="inlineStr">
        <is>
          <t>info_datetime2_dml_single_pk_irp</t>
        </is>
      </c>
      <c r="K1273" s="0" t="inlineStr">
        <is>
          <t>[0;34m info_datetime2_dml_single_pk_irp [0m源备字段数相同，源端字段：9 	备端字段9</t>
        </is>
      </c>
      <c r="W1273" s="0" t="inlineStr">
        <is>
          <t>YES 源备无差异</t>
        </is>
      </c>
      <c r="X1273" s="0">
        <f>A1273</f>
        <v/>
      </c>
    </row>
    <row r="1274">
      <c r="B1274" s="0" t="inlineStr">
        <is>
          <t>YES</t>
        </is>
      </c>
      <c r="C1274" s="0" t="inlineStr">
        <is>
          <t>NULL</t>
        </is>
      </c>
      <c r="D1274" s="0" t="inlineStr">
        <is>
          <t>NULL</t>
        </is>
      </c>
      <c r="E1274" s="0" t="inlineStr">
        <is>
          <t>NULL</t>
        </is>
      </c>
      <c r="F1274" s="0" t="inlineStr">
        <is>
          <t>NULL</t>
        </is>
      </c>
      <c r="G1274" s="0" t="inlineStr">
        <is>
          <t>NULL</t>
        </is>
      </c>
      <c r="H1274" s="0" t="inlineStr">
        <is>
          <t>NULL</t>
        </is>
      </c>
      <c r="I1274" s="0" t="inlineStr">
        <is>
          <t>YES!PK__info_dat__3213E83F033181D9</t>
        </is>
      </c>
      <c r="J1274" s="0" t="inlineStr">
        <is>
          <t>YES! 主键相关索引</t>
        </is>
      </c>
      <c r="K1274" s="0" t="inlineStr">
        <is>
          <t>YES! 	 id列源备映射正确，源端为int None位	期望更改为int	实际备端为int None位</t>
        </is>
      </c>
    </row>
    <row r="1275">
      <c r="B1275" s="0" t="inlineStr">
        <is>
          <t>NULL</t>
        </is>
      </c>
      <c r="C1275" s="0" t="inlineStr">
        <is>
          <t>NULL</t>
        </is>
      </c>
      <c r="D1275" s="0" t="inlineStr">
        <is>
          <t>NULL</t>
        </is>
      </c>
      <c r="E1275" s="0" t="inlineStr">
        <is>
          <t>NULL</t>
        </is>
      </c>
      <c r="F1275" s="0" t="inlineStr">
        <is>
          <t>NULL</t>
        </is>
      </c>
      <c r="G1275" s="0" t="inlineStr">
        <is>
          <t>NULL</t>
        </is>
      </c>
      <c r="H1275" s="0" t="inlineStr">
        <is>
          <t>NULL</t>
        </is>
      </c>
      <c r="I1275" s="0" t="inlineStr">
        <is>
          <t>NULL</t>
        </is>
      </c>
      <c r="J1275" s="0" t="inlineStr">
        <is>
          <t>NULL</t>
        </is>
      </c>
      <c r="K1275" s="0" t="inlineStr">
        <is>
          <t>no,len不存在</t>
        </is>
      </c>
    </row>
    <row r="1276">
      <c r="B1276" s="0" t="inlineStr">
        <is>
          <t>NULL</t>
        </is>
      </c>
      <c r="C1276" s="0" t="inlineStr">
        <is>
          <t>NULL</t>
        </is>
      </c>
      <c r="D1276" s="0" t="inlineStr">
        <is>
          <t>NULL</t>
        </is>
      </c>
      <c r="E1276" s="0" t="inlineStr">
        <is>
          <t>NULL</t>
        </is>
      </c>
      <c r="F1276" s="0" t="inlineStr">
        <is>
          <t>NULL</t>
        </is>
      </c>
      <c r="G1276" s="0" t="inlineStr">
        <is>
          <t>NULL</t>
        </is>
      </c>
      <c r="H1276" s="0" t="inlineStr">
        <is>
          <t>NULL</t>
        </is>
      </c>
      <c r="I1276" s="0" t="inlineStr">
        <is>
          <t>NULL</t>
        </is>
      </c>
      <c r="J1276" s="0" t="inlineStr">
        <is>
          <t>NULL</t>
        </is>
      </c>
      <c r="K1276" s="0" t="inlineStr">
        <is>
          <t>YES! 	 c_dt2_1列源备映射正确，源端为datetime2 None位	期望更改为datetime2(n)	实际备端为datetime2 None位</t>
        </is>
      </c>
    </row>
    <row r="1277">
      <c r="B1277" s="0" t="inlineStr">
        <is>
          <t>NULL</t>
        </is>
      </c>
      <c r="C1277" s="0" t="inlineStr">
        <is>
          <t>NULL</t>
        </is>
      </c>
      <c r="D1277" s="0" t="inlineStr">
        <is>
          <t>NULL</t>
        </is>
      </c>
      <c r="E1277" s="0" t="inlineStr">
        <is>
          <t>NULL</t>
        </is>
      </c>
      <c r="F1277" s="0" t="inlineStr">
        <is>
          <t>NULL</t>
        </is>
      </c>
      <c r="G1277" s="0" t="inlineStr">
        <is>
          <t>NULL</t>
        </is>
      </c>
      <c r="H1277" s="0" t="inlineStr">
        <is>
          <t>NULL</t>
        </is>
      </c>
      <c r="I1277" s="0" t="inlineStr">
        <is>
          <t>NULL</t>
        </is>
      </c>
      <c r="J1277" s="0" t="inlineStr">
        <is>
          <t>NULL</t>
        </is>
      </c>
      <c r="K1277" s="0" t="inlineStr">
        <is>
          <t>YES! 	 c_dt2_2列源备映射正确，源端为datetime2 None位	期望更改为datetime2(n)	实际备端为datetime2 None位</t>
        </is>
      </c>
    </row>
    <row r="1278">
      <c r="B1278" s="0" t="inlineStr">
        <is>
          <t>NULL</t>
        </is>
      </c>
      <c r="C1278" s="0" t="inlineStr">
        <is>
          <t>NULL</t>
        </is>
      </c>
      <c r="D1278" s="0" t="inlineStr">
        <is>
          <t>NULL</t>
        </is>
      </c>
      <c r="E1278" s="0" t="inlineStr">
        <is>
          <t>NULL</t>
        </is>
      </c>
      <c r="F1278" s="0" t="inlineStr">
        <is>
          <t>NULL</t>
        </is>
      </c>
      <c r="G1278" s="0" t="inlineStr">
        <is>
          <t>NULL</t>
        </is>
      </c>
      <c r="H1278" s="0" t="inlineStr">
        <is>
          <t>NULL</t>
        </is>
      </c>
      <c r="I1278" s="0" t="inlineStr">
        <is>
          <t>NULL</t>
        </is>
      </c>
      <c r="J1278" s="0" t="inlineStr">
        <is>
          <t>NULL</t>
        </is>
      </c>
      <c r="K1278" s="0" t="inlineStr">
        <is>
          <t>YES! 	 c_dt2_3列源备映射正确，源端为datetime2 None位	期望更改为datetime2(n)	实际备端为datetime2 None位</t>
        </is>
      </c>
    </row>
    <row r="1279">
      <c r="B1279" s="0" t="inlineStr">
        <is>
          <t>NULL</t>
        </is>
      </c>
      <c r="C1279" s="0" t="inlineStr">
        <is>
          <t>NULL</t>
        </is>
      </c>
      <c r="D1279" s="0" t="inlineStr">
        <is>
          <t>NULL</t>
        </is>
      </c>
      <c r="E1279" s="0" t="inlineStr">
        <is>
          <t>NULL</t>
        </is>
      </c>
      <c r="F1279" s="0" t="inlineStr">
        <is>
          <t>NULL</t>
        </is>
      </c>
      <c r="G1279" s="0" t="inlineStr">
        <is>
          <t>NULL</t>
        </is>
      </c>
      <c r="H1279" s="0" t="inlineStr">
        <is>
          <t>NULL</t>
        </is>
      </c>
      <c r="I1279" s="0" t="inlineStr">
        <is>
          <t>NULL</t>
        </is>
      </c>
      <c r="J1279" s="0" t="inlineStr">
        <is>
          <t>NULL</t>
        </is>
      </c>
      <c r="K1279" s="0" t="inlineStr">
        <is>
          <t>YES! 	 c_dt2_4列源备映射正确，源端为datetime2 None位	期望更改为datetime2(n)	实际备端为datetime2 None位</t>
        </is>
      </c>
    </row>
    <row r="1280">
      <c r="B1280" s="0" t="inlineStr">
        <is>
          <t>NULL</t>
        </is>
      </c>
      <c r="C1280" s="0" t="inlineStr">
        <is>
          <t>NULL</t>
        </is>
      </c>
      <c r="D1280" s="0" t="inlineStr">
        <is>
          <t>NULL</t>
        </is>
      </c>
      <c r="E1280" s="0" t="inlineStr">
        <is>
          <t>NULL</t>
        </is>
      </c>
      <c r="F1280" s="0" t="inlineStr">
        <is>
          <t>NULL</t>
        </is>
      </c>
      <c r="G1280" s="0" t="inlineStr">
        <is>
          <t>NULL</t>
        </is>
      </c>
      <c r="H1280" s="0" t="inlineStr">
        <is>
          <t>NULL</t>
        </is>
      </c>
      <c r="I1280" s="0" t="inlineStr">
        <is>
          <t>NULL</t>
        </is>
      </c>
      <c r="J1280" s="0" t="inlineStr">
        <is>
          <t>NULL</t>
        </is>
      </c>
      <c r="K1280" s="0" t="inlineStr">
        <is>
          <t>YES! 	 c_dt2_5列源备映射正确，源端为datetime2 None位	期望更改为datetime2(n)	实际备端为datetime2 None位</t>
        </is>
      </c>
    </row>
    <row r="1281">
      <c r="B1281" s="0" t="inlineStr">
        <is>
          <t>NULL</t>
        </is>
      </c>
      <c r="C1281" s="0" t="inlineStr">
        <is>
          <t>NULL</t>
        </is>
      </c>
      <c r="D1281" s="0" t="inlineStr">
        <is>
          <t>NULL</t>
        </is>
      </c>
      <c r="E1281" s="0" t="inlineStr">
        <is>
          <t>NULL</t>
        </is>
      </c>
      <c r="F1281" s="0" t="inlineStr">
        <is>
          <t>NULL</t>
        </is>
      </c>
      <c r="G1281" s="0" t="inlineStr">
        <is>
          <t>NULL</t>
        </is>
      </c>
      <c r="H1281" s="0" t="inlineStr">
        <is>
          <t>NULL</t>
        </is>
      </c>
      <c r="I1281" s="0" t="inlineStr">
        <is>
          <t>NULL</t>
        </is>
      </c>
      <c r="J1281" s="0" t="inlineStr">
        <is>
          <t>NULL</t>
        </is>
      </c>
      <c r="K1281" s="0" t="inlineStr">
        <is>
          <t>YES! 	 c_dt2_6列源备映射正确，源端为datetime2 None位	期望更改为datetime2(n)	实际备端为datetime2 None位</t>
        </is>
      </c>
    </row>
    <row r="1282">
      <c r="B1282" s="0" t="inlineStr">
        <is>
          <t>NULL</t>
        </is>
      </c>
      <c r="C1282" s="0" t="inlineStr">
        <is>
          <t>NULL</t>
        </is>
      </c>
      <c r="D1282" s="0" t="inlineStr">
        <is>
          <t>NULL</t>
        </is>
      </c>
      <c r="E1282" s="0" t="inlineStr">
        <is>
          <t>NULL</t>
        </is>
      </c>
      <c r="F1282" s="0" t="inlineStr">
        <is>
          <t>NULL</t>
        </is>
      </c>
      <c r="G1282" s="0" t="inlineStr">
        <is>
          <t>NULL</t>
        </is>
      </c>
      <c r="H1282" s="0" t="inlineStr">
        <is>
          <t>NULL</t>
        </is>
      </c>
      <c r="I1282" s="0" t="inlineStr">
        <is>
          <t>NULL</t>
        </is>
      </c>
      <c r="J1282" s="0" t="inlineStr">
        <is>
          <t>NULL</t>
        </is>
      </c>
      <c r="K1282" s="0" t="inlineStr">
        <is>
          <t>YES! 	 c_dt2列源备映射正确，源端为datetime2 None位	期望更改为datetime2(n)	实际备端为datetime2 None位</t>
        </is>
      </c>
    </row>
    <row r="1283">
      <c r="A1283" s="0" t="inlineStr">
        <is>
          <t>info_datetimeoffset_dml_batch2_pk_irp2</t>
        </is>
      </c>
      <c r="K1283" s="0" t="inlineStr">
        <is>
          <t>[0;34m info_datetimeoffset_dml_batch2_pk_irp2 [0m源备字段数相同，源端字段：9 	备端字段9</t>
        </is>
      </c>
      <c r="W1283" s="0" t="inlineStr">
        <is>
          <t>YES 源备无差异</t>
        </is>
      </c>
      <c r="X1283" s="0">
        <f>A1283</f>
        <v/>
      </c>
    </row>
    <row r="1284">
      <c r="B1284" s="0" t="inlineStr">
        <is>
          <t>YES</t>
        </is>
      </c>
      <c r="C1284" s="0" t="inlineStr">
        <is>
          <t>NULL</t>
        </is>
      </c>
      <c r="D1284" s="0" t="inlineStr">
        <is>
          <t>NULL</t>
        </is>
      </c>
      <c r="E1284" s="0" t="inlineStr">
        <is>
          <t>NULL</t>
        </is>
      </c>
      <c r="F1284" s="0" t="inlineStr">
        <is>
          <t>NULL</t>
        </is>
      </c>
      <c r="G1284" s="0" t="inlineStr">
        <is>
          <t>NULL</t>
        </is>
      </c>
      <c r="H1284" s="0" t="inlineStr">
        <is>
          <t>NULL</t>
        </is>
      </c>
      <c r="I1284" s="0" t="inlineStr">
        <is>
          <t>YES!PK__info_dat__3213E83FAEDFA5B2</t>
        </is>
      </c>
      <c r="J1284" s="0" t="inlineStr">
        <is>
          <t>YES! 主键相关索引</t>
        </is>
      </c>
      <c r="K1284" s="0" t="inlineStr">
        <is>
          <t>YES! 	 id列源备映射正确，源端为int None位	期望更改为int	实际备端为int None位</t>
        </is>
      </c>
    </row>
    <row r="1285">
      <c r="B1285" s="0" t="inlineStr">
        <is>
          <t>NULL</t>
        </is>
      </c>
      <c r="C1285" s="0" t="inlineStr">
        <is>
          <t>NULL</t>
        </is>
      </c>
      <c r="D1285" s="0" t="inlineStr">
        <is>
          <t>NULL</t>
        </is>
      </c>
      <c r="E1285" s="0" t="inlineStr">
        <is>
          <t>NULL</t>
        </is>
      </c>
      <c r="F1285" s="0" t="inlineStr">
        <is>
          <t>NULL</t>
        </is>
      </c>
      <c r="G1285" s="0" t="inlineStr">
        <is>
          <t>NULL</t>
        </is>
      </c>
      <c r="H1285" s="0" t="inlineStr">
        <is>
          <t>NULL</t>
        </is>
      </c>
      <c r="I1285" s="0" t="inlineStr">
        <is>
          <t>NULL</t>
        </is>
      </c>
      <c r="J1285" s="0" t="inlineStr">
        <is>
          <t>NULL</t>
        </is>
      </c>
      <c r="K1285" s="0" t="inlineStr">
        <is>
          <t>no,len不存在</t>
        </is>
      </c>
    </row>
    <row r="1286">
      <c r="B1286" s="0" t="inlineStr">
        <is>
          <t>NULL</t>
        </is>
      </c>
      <c r="C1286" s="0" t="inlineStr">
        <is>
          <t>NULL</t>
        </is>
      </c>
      <c r="D1286" s="0" t="inlineStr">
        <is>
          <t>NULL</t>
        </is>
      </c>
      <c r="E1286" s="0" t="inlineStr">
        <is>
          <t>NULL</t>
        </is>
      </c>
      <c r="F1286" s="0" t="inlineStr">
        <is>
          <t>NULL</t>
        </is>
      </c>
      <c r="G1286" s="0" t="inlineStr">
        <is>
          <t>NULL</t>
        </is>
      </c>
      <c r="H1286" s="0" t="inlineStr">
        <is>
          <t>NULL</t>
        </is>
      </c>
      <c r="I1286" s="0" t="inlineStr">
        <is>
          <t>NULL</t>
        </is>
      </c>
      <c r="J1286" s="0" t="inlineStr">
        <is>
          <t>NULL</t>
        </is>
      </c>
      <c r="K1286" s="0" t="inlineStr">
        <is>
          <t>YES! 	 c_dtoffset_1列源备映射正确，源端为datetimeoffset None位	期望更改为datetimeoffset(n)	实际备端为datetimeoffset None位</t>
        </is>
      </c>
    </row>
    <row r="1287">
      <c r="B1287" s="0" t="inlineStr">
        <is>
          <t>NULL</t>
        </is>
      </c>
      <c r="C1287" s="0" t="inlineStr">
        <is>
          <t>NULL</t>
        </is>
      </c>
      <c r="D1287" s="0" t="inlineStr">
        <is>
          <t>NULL</t>
        </is>
      </c>
      <c r="E1287" s="0" t="inlineStr">
        <is>
          <t>NULL</t>
        </is>
      </c>
      <c r="F1287" s="0" t="inlineStr">
        <is>
          <t>NULL</t>
        </is>
      </c>
      <c r="G1287" s="0" t="inlineStr">
        <is>
          <t>NULL</t>
        </is>
      </c>
      <c r="H1287" s="0" t="inlineStr">
        <is>
          <t>NULL</t>
        </is>
      </c>
      <c r="I1287" s="0" t="inlineStr">
        <is>
          <t>NULL</t>
        </is>
      </c>
      <c r="J1287" s="0" t="inlineStr">
        <is>
          <t>NULL</t>
        </is>
      </c>
      <c r="K1287" s="0" t="inlineStr">
        <is>
          <t>YES! 	 c_dtoffset_2列源备映射正确，源端为datetimeoffset None位	期望更改为datetimeoffset(n)	实际备端为datetimeoffset None位</t>
        </is>
      </c>
    </row>
    <row r="1288">
      <c r="B1288" s="0" t="inlineStr">
        <is>
          <t>NULL</t>
        </is>
      </c>
      <c r="C1288" s="0" t="inlineStr">
        <is>
          <t>NULL</t>
        </is>
      </c>
      <c r="D1288" s="0" t="inlineStr">
        <is>
          <t>NULL</t>
        </is>
      </c>
      <c r="E1288" s="0" t="inlineStr">
        <is>
          <t>NULL</t>
        </is>
      </c>
      <c r="F1288" s="0" t="inlineStr">
        <is>
          <t>NULL</t>
        </is>
      </c>
      <c r="G1288" s="0" t="inlineStr">
        <is>
          <t>NULL</t>
        </is>
      </c>
      <c r="H1288" s="0" t="inlineStr">
        <is>
          <t>NULL</t>
        </is>
      </c>
      <c r="I1288" s="0" t="inlineStr">
        <is>
          <t>NULL</t>
        </is>
      </c>
      <c r="J1288" s="0" t="inlineStr">
        <is>
          <t>NULL</t>
        </is>
      </c>
      <c r="K1288" s="0" t="inlineStr">
        <is>
          <t>YES! 	 c_dtoffset_3列源备映射正确，源端为datetimeoffset None位	期望更改为datetimeoffset(n)	实际备端为datetimeoffset None位</t>
        </is>
      </c>
    </row>
    <row r="1289">
      <c r="B1289" s="0" t="inlineStr">
        <is>
          <t>NULL</t>
        </is>
      </c>
      <c r="C1289" s="0" t="inlineStr">
        <is>
          <t>NULL</t>
        </is>
      </c>
      <c r="D1289" s="0" t="inlineStr">
        <is>
          <t>NULL</t>
        </is>
      </c>
      <c r="E1289" s="0" t="inlineStr">
        <is>
          <t>NULL</t>
        </is>
      </c>
      <c r="F1289" s="0" t="inlineStr">
        <is>
          <t>NULL</t>
        </is>
      </c>
      <c r="G1289" s="0" t="inlineStr">
        <is>
          <t>NULL</t>
        </is>
      </c>
      <c r="H1289" s="0" t="inlineStr">
        <is>
          <t>NULL</t>
        </is>
      </c>
      <c r="I1289" s="0" t="inlineStr">
        <is>
          <t>NULL</t>
        </is>
      </c>
      <c r="J1289" s="0" t="inlineStr">
        <is>
          <t>NULL</t>
        </is>
      </c>
      <c r="K1289" s="0" t="inlineStr">
        <is>
          <t>YES! 	 c_dtoffset_4列源备映射正确，源端为datetimeoffset None位	期望更改为datetimeoffset(n)	实际备端为datetimeoffset None位</t>
        </is>
      </c>
    </row>
    <row r="1290">
      <c r="B1290" s="0" t="inlineStr">
        <is>
          <t>NULL</t>
        </is>
      </c>
      <c r="C1290" s="0" t="inlineStr">
        <is>
          <t>NULL</t>
        </is>
      </c>
      <c r="D1290" s="0" t="inlineStr">
        <is>
          <t>NULL</t>
        </is>
      </c>
      <c r="E1290" s="0" t="inlineStr">
        <is>
          <t>NULL</t>
        </is>
      </c>
      <c r="F1290" s="0" t="inlineStr">
        <is>
          <t>NULL</t>
        </is>
      </c>
      <c r="G1290" s="0" t="inlineStr">
        <is>
          <t>NULL</t>
        </is>
      </c>
      <c r="H1290" s="0" t="inlineStr">
        <is>
          <t>NULL</t>
        </is>
      </c>
      <c r="I1290" s="0" t="inlineStr">
        <is>
          <t>NULL</t>
        </is>
      </c>
      <c r="J1290" s="0" t="inlineStr">
        <is>
          <t>NULL</t>
        </is>
      </c>
      <c r="K1290" s="0" t="inlineStr">
        <is>
          <t>YES! 	 c_dtoffset_5列源备映射正确，源端为datetimeoffset None位	期望更改为datetimeoffset(n)	实际备端为datetimeoffset None位</t>
        </is>
      </c>
    </row>
    <row r="1291">
      <c r="B1291" s="0" t="inlineStr">
        <is>
          <t>NULL</t>
        </is>
      </c>
      <c r="C1291" s="0" t="inlineStr">
        <is>
          <t>NULL</t>
        </is>
      </c>
      <c r="D1291" s="0" t="inlineStr">
        <is>
          <t>NULL</t>
        </is>
      </c>
      <c r="E1291" s="0" t="inlineStr">
        <is>
          <t>NULL</t>
        </is>
      </c>
      <c r="F1291" s="0" t="inlineStr">
        <is>
          <t>NULL</t>
        </is>
      </c>
      <c r="G1291" s="0" t="inlineStr">
        <is>
          <t>NULL</t>
        </is>
      </c>
      <c r="H1291" s="0" t="inlineStr">
        <is>
          <t>NULL</t>
        </is>
      </c>
      <c r="I1291" s="0" t="inlineStr">
        <is>
          <t>NULL</t>
        </is>
      </c>
      <c r="J1291" s="0" t="inlineStr">
        <is>
          <t>NULL</t>
        </is>
      </c>
      <c r="K1291" s="0" t="inlineStr">
        <is>
          <t>YES! 	 c_dtoffset_6列源备映射正确，源端为datetimeoffset None位	期望更改为datetimeoffset(n)	实际备端为datetimeoffset None位</t>
        </is>
      </c>
    </row>
    <row r="1292">
      <c r="B1292" s="0" t="inlineStr">
        <is>
          <t>NULL</t>
        </is>
      </c>
      <c r="C1292" s="0" t="inlineStr">
        <is>
          <t>NULL</t>
        </is>
      </c>
      <c r="D1292" s="0" t="inlineStr">
        <is>
          <t>NULL</t>
        </is>
      </c>
      <c r="E1292" s="0" t="inlineStr">
        <is>
          <t>NULL</t>
        </is>
      </c>
      <c r="F1292" s="0" t="inlineStr">
        <is>
          <t>NULL</t>
        </is>
      </c>
      <c r="G1292" s="0" t="inlineStr">
        <is>
          <t>NULL</t>
        </is>
      </c>
      <c r="H1292" s="0" t="inlineStr">
        <is>
          <t>NULL</t>
        </is>
      </c>
      <c r="I1292" s="0" t="inlineStr">
        <is>
          <t>NULL</t>
        </is>
      </c>
      <c r="J1292" s="0" t="inlineStr">
        <is>
          <t>NULL</t>
        </is>
      </c>
      <c r="K1292" s="0" t="inlineStr">
        <is>
          <t>YES! 	 c_dtoffset列源备映射正确，源端为datetimeoffset None位	期望更改为datetimeoffset(n)	实际备端为datetimeoffset None位</t>
        </is>
      </c>
    </row>
    <row r="1293">
      <c r="A1293" s="0" t="inlineStr">
        <is>
          <t>info_time_dml_single_nopk</t>
        </is>
      </c>
      <c r="K1293" s="0" t="inlineStr">
        <is>
          <t>[0;34m info_time_dml_single_nopk [0m源备字段数相同，源端字段：9 	备端字段9</t>
        </is>
      </c>
      <c r="W1293" s="0" t="inlineStr">
        <is>
          <t>YES 源备无差异</t>
        </is>
      </c>
      <c r="X1293" s="0">
        <f>A1293</f>
        <v/>
      </c>
    </row>
    <row r="1294">
      <c r="B1294" s="0" t="inlineStr">
        <is>
          <t>NULL</t>
        </is>
      </c>
      <c r="C1294" s="0" t="inlineStr">
        <is>
          <t>NULL</t>
        </is>
      </c>
      <c r="D1294" s="0" t="inlineStr">
        <is>
          <t>NULL</t>
        </is>
      </c>
      <c r="E1294" s="0" t="inlineStr">
        <is>
          <t>NULL</t>
        </is>
      </c>
      <c r="F1294" s="0" t="inlineStr">
        <is>
          <t>NULL</t>
        </is>
      </c>
      <c r="G1294" s="0" t="inlineStr">
        <is>
          <t>NULL</t>
        </is>
      </c>
      <c r="H1294" s="0" t="inlineStr">
        <is>
          <t>NULL</t>
        </is>
      </c>
      <c r="I1294" s="0" t="inlineStr">
        <is>
          <t>NULL</t>
        </is>
      </c>
      <c r="J1294" s="0" t="inlineStr">
        <is>
          <t>NULL</t>
        </is>
      </c>
      <c r="K1294" s="0" t="inlineStr">
        <is>
          <t>YES! 	 id列源备映射正确，源端为int None位	期望更改为int	实际备端为int None位</t>
        </is>
      </c>
    </row>
    <row r="1295">
      <c r="B1295" s="0" t="inlineStr">
        <is>
          <t>NULL</t>
        </is>
      </c>
      <c r="C1295" s="0" t="inlineStr">
        <is>
          <t>NULL</t>
        </is>
      </c>
      <c r="D1295" s="0" t="inlineStr">
        <is>
          <t>NULL</t>
        </is>
      </c>
      <c r="E1295" s="0" t="inlineStr">
        <is>
          <t>NULL</t>
        </is>
      </c>
      <c r="F1295" s="0" t="inlineStr">
        <is>
          <t>NULL</t>
        </is>
      </c>
      <c r="G1295" s="0" t="inlineStr">
        <is>
          <t>NULL</t>
        </is>
      </c>
      <c r="H1295" s="0" t="inlineStr">
        <is>
          <t>NULL</t>
        </is>
      </c>
      <c r="I1295" s="0" t="inlineStr">
        <is>
          <t>NULL</t>
        </is>
      </c>
      <c r="J1295" s="0" t="inlineStr">
        <is>
          <t>NULL</t>
        </is>
      </c>
      <c r="K1295" s="0" t="inlineStr">
        <is>
          <t>no,len不存在</t>
        </is>
      </c>
    </row>
    <row r="1296">
      <c r="B1296" s="0" t="inlineStr">
        <is>
          <t>NULL</t>
        </is>
      </c>
      <c r="C1296" s="0" t="inlineStr">
        <is>
          <t>NULL</t>
        </is>
      </c>
      <c r="D1296" s="0" t="inlineStr">
        <is>
          <t>NULL</t>
        </is>
      </c>
      <c r="E1296" s="0" t="inlineStr">
        <is>
          <t>NULL</t>
        </is>
      </c>
      <c r="F1296" s="0" t="inlineStr">
        <is>
          <t>NULL</t>
        </is>
      </c>
      <c r="G1296" s="0" t="inlineStr">
        <is>
          <t>NULL</t>
        </is>
      </c>
      <c r="H1296" s="0" t="inlineStr">
        <is>
          <t>NULL</t>
        </is>
      </c>
      <c r="I1296" s="0" t="inlineStr">
        <is>
          <t>NULL</t>
        </is>
      </c>
      <c r="J1296" s="0" t="inlineStr">
        <is>
          <t>NULL</t>
        </is>
      </c>
      <c r="K1296" s="0" t="inlineStr">
        <is>
          <t>YES! 	 c_time1列源备映射正确，源端为time None位	期望更改为time(n)	实际备端为time None位</t>
        </is>
      </c>
    </row>
    <row r="1297">
      <c r="B1297" s="0" t="inlineStr">
        <is>
          <t>NULL</t>
        </is>
      </c>
      <c r="C1297" s="0" t="inlineStr">
        <is>
          <t>NULL</t>
        </is>
      </c>
      <c r="D1297" s="0" t="inlineStr">
        <is>
          <t>NULL</t>
        </is>
      </c>
      <c r="E1297" s="0" t="inlineStr">
        <is>
          <t>NULL</t>
        </is>
      </c>
      <c r="F1297" s="0" t="inlineStr">
        <is>
          <t>NULL</t>
        </is>
      </c>
      <c r="G1297" s="0" t="inlineStr">
        <is>
          <t>NULL</t>
        </is>
      </c>
      <c r="H1297" s="0" t="inlineStr">
        <is>
          <t>NULL</t>
        </is>
      </c>
      <c r="I1297" s="0" t="inlineStr">
        <is>
          <t>NULL</t>
        </is>
      </c>
      <c r="J1297" s="0" t="inlineStr">
        <is>
          <t>NULL</t>
        </is>
      </c>
      <c r="K1297" s="0" t="inlineStr">
        <is>
          <t>YES! 	 c_time2列源备映射正确，源端为time None位	期望更改为time(n)	实际备端为time None位</t>
        </is>
      </c>
    </row>
    <row r="1298">
      <c r="B1298" s="0" t="inlineStr">
        <is>
          <t>NULL</t>
        </is>
      </c>
      <c r="C1298" s="0" t="inlineStr">
        <is>
          <t>NULL</t>
        </is>
      </c>
      <c r="D1298" s="0" t="inlineStr">
        <is>
          <t>NULL</t>
        </is>
      </c>
      <c r="E1298" s="0" t="inlineStr">
        <is>
          <t>NULL</t>
        </is>
      </c>
      <c r="F1298" s="0" t="inlineStr">
        <is>
          <t>NULL</t>
        </is>
      </c>
      <c r="G1298" s="0" t="inlineStr">
        <is>
          <t>NULL</t>
        </is>
      </c>
      <c r="H1298" s="0" t="inlineStr">
        <is>
          <t>NULL</t>
        </is>
      </c>
      <c r="I1298" s="0" t="inlineStr">
        <is>
          <t>NULL</t>
        </is>
      </c>
      <c r="J1298" s="0" t="inlineStr">
        <is>
          <t>NULL</t>
        </is>
      </c>
      <c r="K1298" s="0" t="inlineStr">
        <is>
          <t>YES! 	 c_time3列源备映射正确，源端为time None位	期望更改为time(n)	实际备端为time None位</t>
        </is>
      </c>
    </row>
    <row r="1299">
      <c r="B1299" s="0" t="inlineStr">
        <is>
          <t>NULL</t>
        </is>
      </c>
      <c r="C1299" s="0" t="inlineStr">
        <is>
          <t>NULL</t>
        </is>
      </c>
      <c r="D1299" s="0" t="inlineStr">
        <is>
          <t>NULL</t>
        </is>
      </c>
      <c r="E1299" s="0" t="inlineStr">
        <is>
          <t>NULL</t>
        </is>
      </c>
      <c r="F1299" s="0" t="inlineStr">
        <is>
          <t>NULL</t>
        </is>
      </c>
      <c r="G1299" s="0" t="inlineStr">
        <is>
          <t>NULL</t>
        </is>
      </c>
      <c r="H1299" s="0" t="inlineStr">
        <is>
          <t>NULL</t>
        </is>
      </c>
      <c r="I1299" s="0" t="inlineStr">
        <is>
          <t>NULL</t>
        </is>
      </c>
      <c r="J1299" s="0" t="inlineStr">
        <is>
          <t>NULL</t>
        </is>
      </c>
      <c r="K1299" s="0" t="inlineStr">
        <is>
          <t>YES! 	 c_time4列源备映射正确，源端为time None位	期望更改为time(n)	实际备端为time None位</t>
        </is>
      </c>
    </row>
    <row r="1300">
      <c r="B1300" s="0" t="inlineStr">
        <is>
          <t>NULL</t>
        </is>
      </c>
      <c r="C1300" s="0" t="inlineStr">
        <is>
          <t>NULL</t>
        </is>
      </c>
      <c r="D1300" s="0" t="inlineStr">
        <is>
          <t>NULL</t>
        </is>
      </c>
      <c r="E1300" s="0" t="inlineStr">
        <is>
          <t>NULL</t>
        </is>
      </c>
      <c r="F1300" s="0" t="inlineStr">
        <is>
          <t>NULL</t>
        </is>
      </c>
      <c r="G1300" s="0" t="inlineStr">
        <is>
          <t>NULL</t>
        </is>
      </c>
      <c r="H1300" s="0" t="inlineStr">
        <is>
          <t>NULL</t>
        </is>
      </c>
      <c r="I1300" s="0" t="inlineStr">
        <is>
          <t>NULL</t>
        </is>
      </c>
      <c r="J1300" s="0" t="inlineStr">
        <is>
          <t>NULL</t>
        </is>
      </c>
      <c r="K1300" s="0" t="inlineStr">
        <is>
          <t>YES! 	 c_time5列源备映射正确，源端为time None位	期望更改为time(n)	实际备端为time None位</t>
        </is>
      </c>
    </row>
    <row r="1301">
      <c r="B1301" s="0" t="inlineStr">
        <is>
          <t>NULL</t>
        </is>
      </c>
      <c r="C1301" s="0" t="inlineStr">
        <is>
          <t>NULL</t>
        </is>
      </c>
      <c r="D1301" s="0" t="inlineStr">
        <is>
          <t>NULL</t>
        </is>
      </c>
      <c r="E1301" s="0" t="inlineStr">
        <is>
          <t>NULL</t>
        </is>
      </c>
      <c r="F1301" s="0" t="inlineStr">
        <is>
          <t>NULL</t>
        </is>
      </c>
      <c r="G1301" s="0" t="inlineStr">
        <is>
          <t>NULL</t>
        </is>
      </c>
      <c r="H1301" s="0" t="inlineStr">
        <is>
          <t>NULL</t>
        </is>
      </c>
      <c r="I1301" s="0" t="inlineStr">
        <is>
          <t>NULL</t>
        </is>
      </c>
      <c r="J1301" s="0" t="inlineStr">
        <is>
          <t>NULL</t>
        </is>
      </c>
      <c r="K1301" s="0" t="inlineStr">
        <is>
          <t>YES! 	 c_time6列源备映射正确，源端为time None位	期望更改为time(n)	实际备端为time None位</t>
        </is>
      </c>
    </row>
    <row r="1302">
      <c r="B1302" s="0" t="inlineStr">
        <is>
          <t>NULL</t>
        </is>
      </c>
      <c r="C1302" s="0" t="inlineStr">
        <is>
          <t>NULL</t>
        </is>
      </c>
      <c r="D1302" s="0" t="inlineStr">
        <is>
          <t>NULL</t>
        </is>
      </c>
      <c r="E1302" s="0" t="inlineStr">
        <is>
          <t>NULL</t>
        </is>
      </c>
      <c r="F1302" s="0" t="inlineStr">
        <is>
          <t>NULL</t>
        </is>
      </c>
      <c r="G1302" s="0" t="inlineStr">
        <is>
          <t>NULL</t>
        </is>
      </c>
      <c r="H1302" s="0" t="inlineStr">
        <is>
          <t>NULL</t>
        </is>
      </c>
      <c r="I1302" s="0" t="inlineStr">
        <is>
          <t>NULL</t>
        </is>
      </c>
      <c r="J1302" s="0" t="inlineStr">
        <is>
          <t>NULL</t>
        </is>
      </c>
      <c r="K1302" s="0" t="inlineStr">
        <is>
          <t>YES! 	 c_time列源备映射正确，源端为time None位	期望更改为time(n)	实际备端为time None位</t>
        </is>
      </c>
    </row>
    <row r="1303">
      <c r="A1303" s="0" t="inlineStr">
        <is>
          <t>info_datetime2_dml_single_pk_urp</t>
        </is>
      </c>
      <c r="K1303" s="0" t="inlineStr">
        <is>
          <t>[0;34m info_datetime2_dml_single_pk_urp [0m源备字段数相同，源端字段：9 	备端字段9</t>
        </is>
      </c>
      <c r="W1303" s="0" t="inlineStr">
        <is>
          <t>YES 源备无差异</t>
        </is>
      </c>
      <c r="X1303" s="0">
        <f>A1303</f>
        <v/>
      </c>
    </row>
    <row r="1304">
      <c r="B1304" s="0" t="inlineStr">
        <is>
          <t>YES</t>
        </is>
      </c>
      <c r="C1304" s="0" t="inlineStr">
        <is>
          <t>NULL</t>
        </is>
      </c>
      <c r="D1304" s="0" t="inlineStr">
        <is>
          <t>NULL</t>
        </is>
      </c>
      <c r="E1304" s="0" t="inlineStr">
        <is>
          <t>NULL</t>
        </is>
      </c>
      <c r="F1304" s="0" t="inlineStr">
        <is>
          <t>NULL</t>
        </is>
      </c>
      <c r="G1304" s="0" t="inlineStr">
        <is>
          <t>NULL</t>
        </is>
      </c>
      <c r="H1304" s="0" t="inlineStr">
        <is>
          <t>NULL</t>
        </is>
      </c>
      <c r="I1304" s="0" t="inlineStr">
        <is>
          <t>YES!PK__info_dat__3213E83F2B423AF7</t>
        </is>
      </c>
      <c r="J1304" s="0" t="inlineStr">
        <is>
          <t>YES! 主键相关索引</t>
        </is>
      </c>
      <c r="K1304" s="0" t="inlineStr">
        <is>
          <t>YES! 	 id列源备映射正确，源端为int None位	期望更改为int	实际备端为int None位</t>
        </is>
      </c>
    </row>
    <row r="1305">
      <c r="B1305" s="0" t="inlineStr">
        <is>
          <t>NULL</t>
        </is>
      </c>
      <c r="C1305" s="0" t="inlineStr">
        <is>
          <t>NULL</t>
        </is>
      </c>
      <c r="D1305" s="0" t="inlineStr">
        <is>
          <t>NULL</t>
        </is>
      </c>
      <c r="E1305" s="0" t="inlineStr">
        <is>
          <t>NULL</t>
        </is>
      </c>
      <c r="F1305" s="0" t="inlineStr">
        <is>
          <t>NULL</t>
        </is>
      </c>
      <c r="G1305" s="0" t="inlineStr">
        <is>
          <t>NULL</t>
        </is>
      </c>
      <c r="H1305" s="0" t="inlineStr">
        <is>
          <t>NULL</t>
        </is>
      </c>
      <c r="I1305" s="0" t="inlineStr">
        <is>
          <t>NULL</t>
        </is>
      </c>
      <c r="J1305" s="0" t="inlineStr">
        <is>
          <t>NULL</t>
        </is>
      </c>
      <c r="K1305" s="0" t="inlineStr">
        <is>
          <t>no,len不存在</t>
        </is>
      </c>
    </row>
    <row r="1306">
      <c r="B1306" s="0" t="inlineStr">
        <is>
          <t>NULL</t>
        </is>
      </c>
      <c r="C1306" s="0" t="inlineStr">
        <is>
          <t>NULL</t>
        </is>
      </c>
      <c r="D1306" s="0" t="inlineStr">
        <is>
          <t>NULL</t>
        </is>
      </c>
      <c r="E1306" s="0" t="inlineStr">
        <is>
          <t>NULL</t>
        </is>
      </c>
      <c r="F1306" s="0" t="inlineStr">
        <is>
          <t>NULL</t>
        </is>
      </c>
      <c r="G1306" s="0" t="inlineStr">
        <is>
          <t>NULL</t>
        </is>
      </c>
      <c r="H1306" s="0" t="inlineStr">
        <is>
          <t>NULL</t>
        </is>
      </c>
      <c r="I1306" s="0" t="inlineStr">
        <is>
          <t>NULL</t>
        </is>
      </c>
      <c r="J1306" s="0" t="inlineStr">
        <is>
          <t>NULL</t>
        </is>
      </c>
      <c r="K1306" s="0" t="inlineStr">
        <is>
          <t>YES! 	 c_dt2_1列源备映射正确，源端为datetime2 None位	期望更改为datetime2(n)	实际备端为datetime2 None位</t>
        </is>
      </c>
    </row>
    <row r="1307">
      <c r="B1307" s="0" t="inlineStr">
        <is>
          <t>NULL</t>
        </is>
      </c>
      <c r="C1307" s="0" t="inlineStr">
        <is>
          <t>NULL</t>
        </is>
      </c>
      <c r="D1307" s="0" t="inlineStr">
        <is>
          <t>NULL</t>
        </is>
      </c>
      <c r="E1307" s="0" t="inlineStr">
        <is>
          <t>NULL</t>
        </is>
      </c>
      <c r="F1307" s="0" t="inlineStr">
        <is>
          <t>NULL</t>
        </is>
      </c>
      <c r="G1307" s="0" t="inlineStr">
        <is>
          <t>NULL</t>
        </is>
      </c>
      <c r="H1307" s="0" t="inlineStr">
        <is>
          <t>NULL</t>
        </is>
      </c>
      <c r="I1307" s="0" t="inlineStr">
        <is>
          <t>NULL</t>
        </is>
      </c>
      <c r="J1307" s="0" t="inlineStr">
        <is>
          <t>NULL</t>
        </is>
      </c>
      <c r="K1307" s="0" t="inlineStr">
        <is>
          <t>YES! 	 c_dt2_2列源备映射正确，源端为datetime2 None位	期望更改为datetime2(n)	实际备端为datetime2 None位</t>
        </is>
      </c>
    </row>
    <row r="1308">
      <c r="B1308" s="0" t="inlineStr">
        <is>
          <t>NULL</t>
        </is>
      </c>
      <c r="C1308" s="0" t="inlineStr">
        <is>
          <t>NULL</t>
        </is>
      </c>
      <c r="D1308" s="0" t="inlineStr">
        <is>
          <t>NULL</t>
        </is>
      </c>
      <c r="E1308" s="0" t="inlineStr">
        <is>
          <t>NULL</t>
        </is>
      </c>
      <c r="F1308" s="0" t="inlineStr">
        <is>
          <t>NULL</t>
        </is>
      </c>
      <c r="G1308" s="0" t="inlineStr">
        <is>
          <t>NULL</t>
        </is>
      </c>
      <c r="H1308" s="0" t="inlineStr">
        <is>
          <t>NULL</t>
        </is>
      </c>
      <c r="I1308" s="0" t="inlineStr">
        <is>
          <t>NULL</t>
        </is>
      </c>
      <c r="J1308" s="0" t="inlineStr">
        <is>
          <t>NULL</t>
        </is>
      </c>
      <c r="K1308" s="0" t="inlineStr">
        <is>
          <t>YES! 	 c_dt2_3列源备映射正确，源端为datetime2 None位	期望更改为datetime2(n)	实际备端为datetime2 None位</t>
        </is>
      </c>
    </row>
    <row r="1309">
      <c r="B1309" s="0" t="inlineStr">
        <is>
          <t>NULL</t>
        </is>
      </c>
      <c r="C1309" s="0" t="inlineStr">
        <is>
          <t>NULL</t>
        </is>
      </c>
      <c r="D1309" s="0" t="inlineStr">
        <is>
          <t>NULL</t>
        </is>
      </c>
      <c r="E1309" s="0" t="inlineStr">
        <is>
          <t>NULL</t>
        </is>
      </c>
      <c r="F1309" s="0" t="inlineStr">
        <is>
          <t>NULL</t>
        </is>
      </c>
      <c r="G1309" s="0" t="inlineStr">
        <is>
          <t>NULL</t>
        </is>
      </c>
      <c r="H1309" s="0" t="inlineStr">
        <is>
          <t>NULL</t>
        </is>
      </c>
      <c r="I1309" s="0" t="inlineStr">
        <is>
          <t>NULL</t>
        </is>
      </c>
      <c r="J1309" s="0" t="inlineStr">
        <is>
          <t>NULL</t>
        </is>
      </c>
      <c r="K1309" s="0" t="inlineStr">
        <is>
          <t>YES! 	 c_dt2_4列源备映射正确，源端为datetime2 None位	期望更改为datetime2(n)	实际备端为datetime2 None位</t>
        </is>
      </c>
    </row>
    <row r="1310">
      <c r="B1310" s="0" t="inlineStr">
        <is>
          <t>NULL</t>
        </is>
      </c>
      <c r="C1310" s="0" t="inlineStr">
        <is>
          <t>NULL</t>
        </is>
      </c>
      <c r="D1310" s="0" t="inlineStr">
        <is>
          <t>NULL</t>
        </is>
      </c>
      <c r="E1310" s="0" t="inlineStr">
        <is>
          <t>NULL</t>
        </is>
      </c>
      <c r="F1310" s="0" t="inlineStr">
        <is>
          <t>NULL</t>
        </is>
      </c>
      <c r="G1310" s="0" t="inlineStr">
        <is>
          <t>NULL</t>
        </is>
      </c>
      <c r="H1310" s="0" t="inlineStr">
        <is>
          <t>NULL</t>
        </is>
      </c>
      <c r="I1310" s="0" t="inlineStr">
        <is>
          <t>NULL</t>
        </is>
      </c>
      <c r="J1310" s="0" t="inlineStr">
        <is>
          <t>NULL</t>
        </is>
      </c>
      <c r="K1310" s="0" t="inlineStr">
        <is>
          <t>YES! 	 c_dt2_5列源备映射正确，源端为datetime2 None位	期望更改为datetime2(n)	实际备端为datetime2 None位</t>
        </is>
      </c>
    </row>
    <row r="1311">
      <c r="B1311" s="0" t="inlineStr">
        <is>
          <t>NULL</t>
        </is>
      </c>
      <c r="C1311" s="0" t="inlineStr">
        <is>
          <t>NULL</t>
        </is>
      </c>
      <c r="D1311" s="0" t="inlineStr">
        <is>
          <t>NULL</t>
        </is>
      </c>
      <c r="E1311" s="0" t="inlineStr">
        <is>
          <t>NULL</t>
        </is>
      </c>
      <c r="F1311" s="0" t="inlineStr">
        <is>
          <t>NULL</t>
        </is>
      </c>
      <c r="G1311" s="0" t="inlineStr">
        <is>
          <t>NULL</t>
        </is>
      </c>
      <c r="H1311" s="0" t="inlineStr">
        <is>
          <t>NULL</t>
        </is>
      </c>
      <c r="I1311" s="0" t="inlineStr">
        <is>
          <t>NULL</t>
        </is>
      </c>
      <c r="J1311" s="0" t="inlineStr">
        <is>
          <t>NULL</t>
        </is>
      </c>
      <c r="K1311" s="0" t="inlineStr">
        <is>
          <t>YES! 	 c_dt2_6列源备映射正确，源端为datetime2 None位	期望更改为datetime2(n)	实际备端为datetime2 None位</t>
        </is>
      </c>
    </row>
    <row r="1312">
      <c r="B1312" s="0" t="inlineStr">
        <is>
          <t>NULL</t>
        </is>
      </c>
      <c r="C1312" s="0" t="inlineStr">
        <is>
          <t>NULL</t>
        </is>
      </c>
      <c r="D1312" s="0" t="inlineStr">
        <is>
          <t>NULL</t>
        </is>
      </c>
      <c r="E1312" s="0" t="inlineStr">
        <is>
          <t>NULL</t>
        </is>
      </c>
      <c r="F1312" s="0" t="inlineStr">
        <is>
          <t>NULL</t>
        </is>
      </c>
      <c r="G1312" s="0" t="inlineStr">
        <is>
          <t>NULL</t>
        </is>
      </c>
      <c r="H1312" s="0" t="inlineStr">
        <is>
          <t>NULL</t>
        </is>
      </c>
      <c r="I1312" s="0" t="inlineStr">
        <is>
          <t>NULL</t>
        </is>
      </c>
      <c r="J1312" s="0" t="inlineStr">
        <is>
          <t>NULL</t>
        </is>
      </c>
      <c r="K1312" s="0" t="inlineStr">
        <is>
          <t>YES! 	 c_dt2列源备映射正确，源端为datetime2 None位	期望更改为datetime2(n)	实际备端为datetime2 None位</t>
        </is>
      </c>
    </row>
    <row r="1313">
      <c r="A1313" s="0" t="inlineStr">
        <is>
          <t>info_nvarchar_dml_batch1_pk</t>
        </is>
      </c>
      <c r="K1313" s="0" t="inlineStr">
        <is>
          <t>[0;34m info_nvarchar_dml_batch1_pk [0m源备字段数相同，源端字段：4 	备端字段4</t>
        </is>
      </c>
      <c r="W1313" s="0" t="inlineStr">
        <is>
          <t>YES 源备无差异</t>
        </is>
      </c>
      <c r="X1313" s="0">
        <f>A1313</f>
        <v/>
      </c>
    </row>
    <row r="1314">
      <c r="B1314" s="0" t="inlineStr">
        <is>
          <t>YES</t>
        </is>
      </c>
      <c r="C1314" s="0" t="inlineStr">
        <is>
          <t>NULL</t>
        </is>
      </c>
      <c r="D1314" s="0" t="inlineStr">
        <is>
          <t>NULL</t>
        </is>
      </c>
      <c r="E1314" s="0" t="inlineStr">
        <is>
          <t>NULL</t>
        </is>
      </c>
      <c r="F1314" s="0" t="inlineStr">
        <is>
          <t>NULL</t>
        </is>
      </c>
      <c r="G1314" s="0" t="inlineStr">
        <is>
          <t>NULL</t>
        </is>
      </c>
      <c r="H1314" s="0" t="inlineStr">
        <is>
          <t>NULL</t>
        </is>
      </c>
      <c r="I1314" s="0" t="inlineStr">
        <is>
          <t>YES!PK__info_nva__3213E83F25B073D3</t>
        </is>
      </c>
      <c r="J1314" s="0" t="inlineStr">
        <is>
          <t>YES! 主键相关索引</t>
        </is>
      </c>
      <c r="K1314" s="0" t="inlineStr">
        <is>
          <t>YES! 	 id列源备映射正确，源端为int None位	期望更改为int	实际备端为int None位</t>
        </is>
      </c>
    </row>
    <row r="1315">
      <c r="B1315" s="0" t="inlineStr">
        <is>
          <t>NULL</t>
        </is>
      </c>
      <c r="C1315" s="0" t="inlineStr">
        <is>
          <t>NULL</t>
        </is>
      </c>
      <c r="D1315" s="0" t="inlineStr">
        <is>
          <t>NULL</t>
        </is>
      </c>
      <c r="E1315" s="0" t="inlineStr">
        <is>
          <t>NULL</t>
        </is>
      </c>
      <c r="F1315" s="0" t="inlineStr">
        <is>
          <t>NULL</t>
        </is>
      </c>
      <c r="G1315" s="0" t="inlineStr">
        <is>
          <t>NULL</t>
        </is>
      </c>
      <c r="H1315" s="0" t="inlineStr">
        <is>
          <t>NULL</t>
        </is>
      </c>
      <c r="I1315" s="0" t="inlineStr">
        <is>
          <t>NULL</t>
        </is>
      </c>
      <c r="J1315" s="0" t="inlineStr">
        <is>
          <t>NULL</t>
        </is>
      </c>
      <c r="K1315" s="0" t="inlineStr">
        <is>
          <t>YES! 	 c_nvarchar列源备映射正确，源端为nvarchar 2位	期望更改为nvarchar(n)	实际备端为nvarchar 2位</t>
        </is>
      </c>
    </row>
    <row r="1316">
      <c r="B1316" s="0" t="inlineStr">
        <is>
          <t>NULL</t>
        </is>
      </c>
      <c r="C1316" s="0" t="inlineStr">
        <is>
          <t>NULL</t>
        </is>
      </c>
      <c r="D1316" s="0" t="inlineStr">
        <is>
          <t>NULL</t>
        </is>
      </c>
      <c r="E1316" s="0" t="inlineStr">
        <is>
          <t>NULL</t>
        </is>
      </c>
      <c r="F1316" s="0" t="inlineStr">
        <is>
          <t>NULL</t>
        </is>
      </c>
      <c r="G1316" s="0" t="inlineStr">
        <is>
          <t>NULL</t>
        </is>
      </c>
      <c r="H1316" s="0" t="inlineStr">
        <is>
          <t>NULL</t>
        </is>
      </c>
      <c r="I1316" s="0" t="inlineStr">
        <is>
          <t>NULL</t>
        </is>
      </c>
      <c r="J1316" s="0" t="inlineStr">
        <is>
          <t>NULL</t>
        </is>
      </c>
      <c r="K1316" s="0" t="inlineStr">
        <is>
          <t>YES! 	 c_nvarchar20列源备映射正确，源端为nvarchar 40位	期望更改为nvarchar(n)	实际备端为nvarchar 40位</t>
        </is>
      </c>
    </row>
    <row r="1317">
      <c r="B1317" s="0" t="inlineStr">
        <is>
          <t>NULL</t>
        </is>
      </c>
      <c r="C1317" s="0" t="inlineStr">
        <is>
          <t>NULL</t>
        </is>
      </c>
      <c r="D1317" s="0" t="inlineStr">
        <is>
          <t>NULL</t>
        </is>
      </c>
      <c r="E1317" s="0" t="inlineStr">
        <is>
          <t>NULL</t>
        </is>
      </c>
      <c r="F1317" s="0" t="inlineStr">
        <is>
          <t>NULL</t>
        </is>
      </c>
      <c r="G1317" s="0" t="inlineStr">
        <is>
          <t>NULL</t>
        </is>
      </c>
      <c r="H1317" s="0" t="inlineStr">
        <is>
          <t>NULL</t>
        </is>
      </c>
      <c r="I1317" s="0" t="inlineStr">
        <is>
          <t>NULL</t>
        </is>
      </c>
      <c r="J1317" s="0" t="inlineStr">
        <is>
          <t>NULL</t>
        </is>
      </c>
      <c r="K1317" s="0" t="inlineStr">
        <is>
          <t>YES! 	 c_nvarchar3500列源备映射正确，源端为nchar 7000位	期望更改为nchar(n)	实际备端为nchar 7000位</t>
        </is>
      </c>
    </row>
    <row r="1318">
      <c r="A1318" s="0" t="inlineStr">
        <is>
          <t>info_sdt_dml_single_nopk_irp</t>
        </is>
      </c>
      <c r="K1318" s="0" t="inlineStr">
        <is>
          <t>[0;34m info_sdt_dml_single_nopk_irp [0m源备字段数相同，源端字段：2 	备端字段2</t>
        </is>
      </c>
      <c r="W1318" s="0" t="inlineStr">
        <is>
          <t>YES 源备无差异</t>
        </is>
      </c>
      <c r="X1318" s="0">
        <f>A1318</f>
        <v/>
      </c>
    </row>
    <row r="1319">
      <c r="B1319" s="0" t="inlineStr">
        <is>
          <t>NULL</t>
        </is>
      </c>
      <c r="C1319" s="0" t="inlineStr">
        <is>
          <t>NULL</t>
        </is>
      </c>
      <c r="D1319" s="0" t="inlineStr">
        <is>
          <t>NULL</t>
        </is>
      </c>
      <c r="E1319" s="0" t="inlineStr">
        <is>
          <t>NULL</t>
        </is>
      </c>
      <c r="F1319" s="0" t="inlineStr">
        <is>
          <t>NULL</t>
        </is>
      </c>
      <c r="G1319" s="0" t="inlineStr">
        <is>
          <t>NULL</t>
        </is>
      </c>
      <c r="H1319" s="0" t="inlineStr">
        <is>
          <t>NULL</t>
        </is>
      </c>
      <c r="I1319" s="0" t="inlineStr">
        <is>
          <t>NULL</t>
        </is>
      </c>
      <c r="J1319" s="0" t="inlineStr">
        <is>
          <t>NULL</t>
        </is>
      </c>
      <c r="K1319" s="0" t="inlineStr">
        <is>
          <t>YES! 	 id列源备映射正确，源端为int None位	期望更改为int	实际备端为int None位</t>
        </is>
      </c>
    </row>
    <row r="1320">
      <c r="B1320" s="0" t="inlineStr">
        <is>
          <t>NULL</t>
        </is>
      </c>
      <c r="C1320" s="0" t="inlineStr">
        <is>
          <t>NULL</t>
        </is>
      </c>
      <c r="D1320" s="0" t="inlineStr">
        <is>
          <t>NULL</t>
        </is>
      </c>
      <c r="E1320" s="0" t="inlineStr">
        <is>
          <t>NULL</t>
        </is>
      </c>
      <c r="F1320" s="0" t="inlineStr">
        <is>
          <t>NULL</t>
        </is>
      </c>
      <c r="G1320" s="0" t="inlineStr">
        <is>
          <t>NULL</t>
        </is>
      </c>
      <c r="H1320" s="0" t="inlineStr">
        <is>
          <t>NULL</t>
        </is>
      </c>
      <c r="I1320" s="0" t="inlineStr">
        <is>
          <t>NULL</t>
        </is>
      </c>
      <c r="J1320" s="0" t="inlineStr">
        <is>
          <t>NULL</t>
        </is>
      </c>
      <c r="K1320" s="0" t="inlineStr">
        <is>
          <t>YES! 	 c_sdt列源备映射正确，源端为smalldatetime None位	期望更改为smalldatetime	实际备端为smalldatetime None位</t>
        </is>
      </c>
    </row>
    <row r="1321">
      <c r="A1321" s="0" t="inlineStr">
        <is>
          <t>info_datetimeoffset_dml_batch1_pk_urp1</t>
        </is>
      </c>
      <c r="K1321" s="0" t="inlineStr">
        <is>
          <t>[0;34m info_datetimeoffset_dml_batch1_pk_urp1 [0m源备字段数相同，源端字段：9 	备端字段9</t>
        </is>
      </c>
      <c r="W1321" s="0" t="inlineStr">
        <is>
          <t>YES 源备无差异</t>
        </is>
      </c>
      <c r="X1321" s="0">
        <f>A1321</f>
        <v/>
      </c>
    </row>
    <row r="1322">
      <c r="B1322" s="0" t="inlineStr">
        <is>
          <t>YES</t>
        </is>
      </c>
      <c r="C1322" s="0" t="inlineStr">
        <is>
          <t>NULL</t>
        </is>
      </c>
      <c r="D1322" s="0" t="inlineStr">
        <is>
          <t>NULL</t>
        </is>
      </c>
      <c r="E1322" s="0" t="inlineStr">
        <is>
          <t>NULL</t>
        </is>
      </c>
      <c r="F1322" s="0" t="inlineStr">
        <is>
          <t>NULL</t>
        </is>
      </c>
      <c r="G1322" s="0" t="inlineStr">
        <is>
          <t>NULL</t>
        </is>
      </c>
      <c r="H1322" s="0" t="inlineStr">
        <is>
          <t>NULL</t>
        </is>
      </c>
      <c r="I1322" s="0" t="inlineStr">
        <is>
          <t>YES!PK__info_dat__3213E83F38BE76EF</t>
        </is>
      </c>
      <c r="J1322" s="0" t="inlineStr">
        <is>
          <t>YES! 主键相关索引</t>
        </is>
      </c>
      <c r="K1322" s="0" t="inlineStr">
        <is>
          <t>YES! 	 id列源备映射正确，源端为int None位	期望更改为int	实际备端为int None位</t>
        </is>
      </c>
    </row>
    <row r="1323">
      <c r="B1323" s="0" t="inlineStr">
        <is>
          <t>NULL</t>
        </is>
      </c>
      <c r="C1323" s="0" t="inlineStr">
        <is>
          <t>NULL</t>
        </is>
      </c>
      <c r="D1323" s="0" t="inlineStr">
        <is>
          <t>NULL</t>
        </is>
      </c>
      <c r="E1323" s="0" t="inlineStr">
        <is>
          <t>NULL</t>
        </is>
      </c>
      <c r="F1323" s="0" t="inlineStr">
        <is>
          <t>NULL</t>
        </is>
      </c>
      <c r="G1323" s="0" t="inlineStr">
        <is>
          <t>NULL</t>
        </is>
      </c>
      <c r="H1323" s="0" t="inlineStr">
        <is>
          <t>NULL</t>
        </is>
      </c>
      <c r="I1323" s="0" t="inlineStr">
        <is>
          <t>NULL</t>
        </is>
      </c>
      <c r="J1323" s="0" t="inlineStr">
        <is>
          <t>NULL</t>
        </is>
      </c>
      <c r="K1323" s="0" t="inlineStr">
        <is>
          <t>no,len不存在</t>
        </is>
      </c>
    </row>
    <row r="1324">
      <c r="B1324" s="0" t="inlineStr">
        <is>
          <t>NULL</t>
        </is>
      </c>
      <c r="C1324" s="0" t="inlineStr">
        <is>
          <t>NULL</t>
        </is>
      </c>
      <c r="D1324" s="0" t="inlineStr">
        <is>
          <t>NULL</t>
        </is>
      </c>
      <c r="E1324" s="0" t="inlineStr">
        <is>
          <t>NULL</t>
        </is>
      </c>
      <c r="F1324" s="0" t="inlineStr">
        <is>
          <t>NULL</t>
        </is>
      </c>
      <c r="G1324" s="0" t="inlineStr">
        <is>
          <t>NULL</t>
        </is>
      </c>
      <c r="H1324" s="0" t="inlineStr">
        <is>
          <t>NULL</t>
        </is>
      </c>
      <c r="I1324" s="0" t="inlineStr">
        <is>
          <t>NULL</t>
        </is>
      </c>
      <c r="J1324" s="0" t="inlineStr">
        <is>
          <t>NULL</t>
        </is>
      </c>
      <c r="K1324" s="0" t="inlineStr">
        <is>
          <t>YES! 	 c_dtoffset_1列源备映射正确，源端为datetimeoffset None位	期望更改为datetimeoffset(n)	实际备端为datetimeoffset None位</t>
        </is>
      </c>
    </row>
    <row r="1325">
      <c r="B1325" s="0" t="inlineStr">
        <is>
          <t>NULL</t>
        </is>
      </c>
      <c r="C1325" s="0" t="inlineStr">
        <is>
          <t>NULL</t>
        </is>
      </c>
      <c r="D1325" s="0" t="inlineStr">
        <is>
          <t>NULL</t>
        </is>
      </c>
      <c r="E1325" s="0" t="inlineStr">
        <is>
          <t>NULL</t>
        </is>
      </c>
      <c r="F1325" s="0" t="inlineStr">
        <is>
          <t>NULL</t>
        </is>
      </c>
      <c r="G1325" s="0" t="inlineStr">
        <is>
          <t>NULL</t>
        </is>
      </c>
      <c r="H1325" s="0" t="inlineStr">
        <is>
          <t>NULL</t>
        </is>
      </c>
      <c r="I1325" s="0" t="inlineStr">
        <is>
          <t>NULL</t>
        </is>
      </c>
      <c r="J1325" s="0" t="inlineStr">
        <is>
          <t>NULL</t>
        </is>
      </c>
      <c r="K1325" s="0" t="inlineStr">
        <is>
          <t>YES! 	 c_dtoffset_2列源备映射正确，源端为datetimeoffset None位	期望更改为datetimeoffset(n)	实际备端为datetimeoffset None位</t>
        </is>
      </c>
    </row>
    <row r="1326">
      <c r="B1326" s="0" t="inlineStr">
        <is>
          <t>NULL</t>
        </is>
      </c>
      <c r="C1326" s="0" t="inlineStr">
        <is>
          <t>NULL</t>
        </is>
      </c>
      <c r="D1326" s="0" t="inlineStr">
        <is>
          <t>NULL</t>
        </is>
      </c>
      <c r="E1326" s="0" t="inlineStr">
        <is>
          <t>NULL</t>
        </is>
      </c>
      <c r="F1326" s="0" t="inlineStr">
        <is>
          <t>NULL</t>
        </is>
      </c>
      <c r="G1326" s="0" t="inlineStr">
        <is>
          <t>NULL</t>
        </is>
      </c>
      <c r="H1326" s="0" t="inlineStr">
        <is>
          <t>NULL</t>
        </is>
      </c>
      <c r="I1326" s="0" t="inlineStr">
        <is>
          <t>NULL</t>
        </is>
      </c>
      <c r="J1326" s="0" t="inlineStr">
        <is>
          <t>NULL</t>
        </is>
      </c>
      <c r="K1326" s="0" t="inlineStr">
        <is>
          <t>YES! 	 c_dtoffset_3列源备映射正确，源端为datetimeoffset None位	期望更改为datetimeoffset(n)	实际备端为datetimeoffset None位</t>
        </is>
      </c>
    </row>
    <row r="1327">
      <c r="B1327" s="0" t="inlineStr">
        <is>
          <t>NULL</t>
        </is>
      </c>
      <c r="C1327" s="0" t="inlineStr">
        <is>
          <t>NULL</t>
        </is>
      </c>
      <c r="D1327" s="0" t="inlineStr">
        <is>
          <t>NULL</t>
        </is>
      </c>
      <c r="E1327" s="0" t="inlineStr">
        <is>
          <t>NULL</t>
        </is>
      </c>
      <c r="F1327" s="0" t="inlineStr">
        <is>
          <t>NULL</t>
        </is>
      </c>
      <c r="G1327" s="0" t="inlineStr">
        <is>
          <t>NULL</t>
        </is>
      </c>
      <c r="H1327" s="0" t="inlineStr">
        <is>
          <t>NULL</t>
        </is>
      </c>
      <c r="I1327" s="0" t="inlineStr">
        <is>
          <t>NULL</t>
        </is>
      </c>
      <c r="J1327" s="0" t="inlineStr">
        <is>
          <t>NULL</t>
        </is>
      </c>
      <c r="K1327" s="0" t="inlineStr">
        <is>
          <t>YES! 	 c_dtoffset_4列源备映射正确，源端为datetimeoffset None位	期望更改为datetimeoffset(n)	实际备端为datetimeoffset None位</t>
        </is>
      </c>
    </row>
    <row r="1328">
      <c r="B1328" s="0" t="inlineStr">
        <is>
          <t>NULL</t>
        </is>
      </c>
      <c r="C1328" s="0" t="inlineStr">
        <is>
          <t>NULL</t>
        </is>
      </c>
      <c r="D1328" s="0" t="inlineStr">
        <is>
          <t>NULL</t>
        </is>
      </c>
      <c r="E1328" s="0" t="inlineStr">
        <is>
          <t>NULL</t>
        </is>
      </c>
      <c r="F1328" s="0" t="inlineStr">
        <is>
          <t>NULL</t>
        </is>
      </c>
      <c r="G1328" s="0" t="inlineStr">
        <is>
          <t>NULL</t>
        </is>
      </c>
      <c r="H1328" s="0" t="inlineStr">
        <is>
          <t>NULL</t>
        </is>
      </c>
      <c r="I1328" s="0" t="inlineStr">
        <is>
          <t>NULL</t>
        </is>
      </c>
      <c r="J1328" s="0" t="inlineStr">
        <is>
          <t>NULL</t>
        </is>
      </c>
      <c r="K1328" s="0" t="inlineStr">
        <is>
          <t>YES! 	 c_dtoffset_5列源备映射正确，源端为datetimeoffset None位	期望更改为datetimeoffset(n)	实际备端为datetimeoffset None位</t>
        </is>
      </c>
    </row>
    <row r="1329">
      <c r="B1329" s="0" t="inlineStr">
        <is>
          <t>NULL</t>
        </is>
      </c>
      <c r="C1329" s="0" t="inlineStr">
        <is>
          <t>NULL</t>
        </is>
      </c>
      <c r="D1329" s="0" t="inlineStr">
        <is>
          <t>NULL</t>
        </is>
      </c>
      <c r="E1329" s="0" t="inlineStr">
        <is>
          <t>NULL</t>
        </is>
      </c>
      <c r="F1329" s="0" t="inlineStr">
        <is>
          <t>NULL</t>
        </is>
      </c>
      <c r="G1329" s="0" t="inlineStr">
        <is>
          <t>NULL</t>
        </is>
      </c>
      <c r="H1329" s="0" t="inlineStr">
        <is>
          <t>NULL</t>
        </is>
      </c>
      <c r="I1329" s="0" t="inlineStr">
        <is>
          <t>NULL</t>
        </is>
      </c>
      <c r="J1329" s="0" t="inlineStr">
        <is>
          <t>NULL</t>
        </is>
      </c>
      <c r="K1329" s="0" t="inlineStr">
        <is>
          <t>YES! 	 c_dtoffset_6列源备映射正确，源端为datetimeoffset None位	期望更改为datetimeoffset(n)	实际备端为datetimeoffset None位</t>
        </is>
      </c>
    </row>
    <row r="1330">
      <c r="B1330" s="0" t="inlineStr">
        <is>
          <t>NULL</t>
        </is>
      </c>
      <c r="C1330" s="0" t="inlineStr">
        <is>
          <t>NULL</t>
        </is>
      </c>
      <c r="D1330" s="0" t="inlineStr">
        <is>
          <t>NULL</t>
        </is>
      </c>
      <c r="E1330" s="0" t="inlineStr">
        <is>
          <t>NULL</t>
        </is>
      </c>
      <c r="F1330" s="0" t="inlineStr">
        <is>
          <t>NULL</t>
        </is>
      </c>
      <c r="G1330" s="0" t="inlineStr">
        <is>
          <t>NULL</t>
        </is>
      </c>
      <c r="H1330" s="0" t="inlineStr">
        <is>
          <t>NULL</t>
        </is>
      </c>
      <c r="I1330" s="0" t="inlineStr">
        <is>
          <t>NULL</t>
        </is>
      </c>
      <c r="J1330" s="0" t="inlineStr">
        <is>
          <t>NULL</t>
        </is>
      </c>
      <c r="K1330" s="0" t="inlineStr">
        <is>
          <t>YES! 	 c_dtoffset列源备映射正确，源端为datetimeoffset None位	期望更改为datetimeoffset(n)	实际备端为datetimeoffset None位</t>
        </is>
      </c>
    </row>
    <row r="1331">
      <c r="A1331" s="0" t="inlineStr">
        <is>
          <t>info_sdt_dml_single_nopk_urp</t>
        </is>
      </c>
      <c r="K1331" s="0" t="inlineStr">
        <is>
          <t>[0;34m info_sdt_dml_single_nopk_urp [0m源备字段数相同，源端字段：2 	备端字段2</t>
        </is>
      </c>
      <c r="W1331" s="0" t="inlineStr">
        <is>
          <t>YES 源备无差异</t>
        </is>
      </c>
      <c r="X1331" s="0">
        <f>A1331</f>
        <v/>
      </c>
    </row>
    <row r="1332">
      <c r="B1332" s="0" t="inlineStr">
        <is>
          <t>NULL</t>
        </is>
      </c>
      <c r="C1332" s="0" t="inlineStr">
        <is>
          <t>NULL</t>
        </is>
      </c>
      <c r="D1332" s="0" t="inlineStr">
        <is>
          <t>NULL</t>
        </is>
      </c>
      <c r="E1332" s="0" t="inlineStr">
        <is>
          <t>NULL</t>
        </is>
      </c>
      <c r="F1332" s="0" t="inlineStr">
        <is>
          <t>NULL</t>
        </is>
      </c>
      <c r="G1332" s="0" t="inlineStr">
        <is>
          <t>NULL</t>
        </is>
      </c>
      <c r="H1332" s="0" t="inlineStr">
        <is>
          <t>NULL</t>
        </is>
      </c>
      <c r="I1332" s="0" t="inlineStr">
        <is>
          <t>NULL</t>
        </is>
      </c>
      <c r="J1332" s="0" t="inlineStr">
        <is>
          <t>NULL</t>
        </is>
      </c>
      <c r="K1332" s="0" t="inlineStr">
        <is>
          <t>YES! 	 id列源备映射正确，源端为int None位	期望更改为int	实际备端为int None位</t>
        </is>
      </c>
    </row>
    <row r="1333">
      <c r="B1333" s="0" t="inlineStr">
        <is>
          <t>NULL</t>
        </is>
      </c>
      <c r="C1333" s="0" t="inlineStr">
        <is>
          <t>NULL</t>
        </is>
      </c>
      <c r="D1333" s="0" t="inlineStr">
        <is>
          <t>NULL</t>
        </is>
      </c>
      <c r="E1333" s="0" t="inlineStr">
        <is>
          <t>NULL</t>
        </is>
      </c>
      <c r="F1333" s="0" t="inlineStr">
        <is>
          <t>NULL</t>
        </is>
      </c>
      <c r="G1333" s="0" t="inlineStr">
        <is>
          <t>NULL</t>
        </is>
      </c>
      <c r="H1333" s="0" t="inlineStr">
        <is>
          <t>NULL</t>
        </is>
      </c>
      <c r="I1333" s="0" t="inlineStr">
        <is>
          <t>NULL</t>
        </is>
      </c>
      <c r="J1333" s="0" t="inlineStr">
        <is>
          <t>NULL</t>
        </is>
      </c>
      <c r="K1333" s="0" t="inlineStr">
        <is>
          <t>YES! 	 c_sdt列源备映射正确，源端为smalldatetime None位	期望更改为smalldatetime	实际备端为smalldatetime None位</t>
        </is>
      </c>
    </row>
    <row r="1334">
      <c r="A1334" s="0" t="inlineStr">
        <is>
          <t>info_varcharmax_dml_batch1_pk_irp1</t>
        </is>
      </c>
      <c r="K1334" s="0" t="inlineStr">
        <is>
          <t>[0;34m info_varcharmax_dml_batch1_pk_irp1 [0m源备字段数相同，源端字段：3 	备端字段3</t>
        </is>
      </c>
      <c r="W1334" s="0" t="inlineStr">
        <is>
          <t>YES 源备无差异</t>
        </is>
      </c>
      <c r="X1334" s="0">
        <f>A1334</f>
        <v/>
      </c>
    </row>
    <row r="1335">
      <c r="B1335" s="0" t="inlineStr">
        <is>
          <t>YES</t>
        </is>
      </c>
      <c r="C1335" s="0" t="inlineStr">
        <is>
          <t>NULL</t>
        </is>
      </c>
      <c r="D1335" s="0" t="inlineStr">
        <is>
          <t>NULL</t>
        </is>
      </c>
      <c r="E1335" s="0" t="inlineStr">
        <is>
          <t>NULL</t>
        </is>
      </c>
      <c r="F1335" s="0" t="inlineStr">
        <is>
          <t>NULL</t>
        </is>
      </c>
      <c r="G1335" s="0" t="inlineStr">
        <is>
          <t>NULL</t>
        </is>
      </c>
      <c r="H1335" s="0" t="inlineStr">
        <is>
          <t>NULL</t>
        </is>
      </c>
      <c r="I1335" s="0" t="inlineStr">
        <is>
          <t>YES!PK__info_var__3213E83F4FAC50C4</t>
        </is>
      </c>
      <c r="J1335" s="0" t="inlineStr">
        <is>
          <t>YES! 主键相关索引</t>
        </is>
      </c>
      <c r="K1335" s="0" t="inlineStr">
        <is>
          <t>YES! 	 id列源备映射正确，源端为int None位	期望更改为int	实际备端为int None位</t>
        </is>
      </c>
    </row>
    <row r="1336">
      <c r="B1336" s="0" t="inlineStr">
        <is>
          <t>NULL</t>
        </is>
      </c>
      <c r="C1336" s="0" t="inlineStr">
        <is>
          <t>NULL</t>
        </is>
      </c>
      <c r="D1336" s="0" t="inlineStr">
        <is>
          <t>NULL</t>
        </is>
      </c>
      <c r="E1336" s="0" t="inlineStr">
        <is>
          <t>NULL</t>
        </is>
      </c>
      <c r="F1336" s="0" t="inlineStr">
        <is>
          <t>NULL</t>
        </is>
      </c>
      <c r="G1336" s="0" t="inlineStr">
        <is>
          <t>NULL</t>
        </is>
      </c>
      <c r="H1336" s="0" t="inlineStr">
        <is>
          <t>NULL</t>
        </is>
      </c>
      <c r="I1336" s="0" t="inlineStr">
        <is>
          <t>NULL</t>
        </is>
      </c>
      <c r="J1336" s="0" t="inlineStr">
        <is>
          <t>NULL</t>
        </is>
      </c>
      <c r="K1336" s="0" t="inlineStr">
        <is>
          <t>YES! 	 c_varchar_max列源备映射正确，源端为varchar -1位	期望更改为varchar(n)	实际备端为varchar -1位</t>
        </is>
      </c>
    </row>
    <row r="1337">
      <c r="B1337" s="0" t="inlineStr">
        <is>
          <t>NULL</t>
        </is>
      </c>
      <c r="C1337" s="0" t="inlineStr">
        <is>
          <t>NULL</t>
        </is>
      </c>
      <c r="D1337" s="0" t="inlineStr">
        <is>
          <t>NULL</t>
        </is>
      </c>
      <c r="E1337" s="0" t="inlineStr">
        <is>
          <t>NULL</t>
        </is>
      </c>
      <c r="F1337" s="0" t="inlineStr">
        <is>
          <t>NULL</t>
        </is>
      </c>
      <c r="G1337" s="0" t="inlineStr">
        <is>
          <t>NULL</t>
        </is>
      </c>
      <c r="H1337" s="0" t="inlineStr">
        <is>
          <t>NULL</t>
        </is>
      </c>
      <c r="I1337" s="0" t="inlineStr">
        <is>
          <t>NULL</t>
        </is>
      </c>
      <c r="J1337" s="0" t="inlineStr">
        <is>
          <t>NULL</t>
        </is>
      </c>
      <c r="K1337" s="0" t="inlineStr">
        <is>
          <t>YES! 	 c_nvarchar_max列源备映射正确，源端为nvarchar -1位	期望更改为nvarchar(n)	实际备端为nvarchar -1位</t>
        </is>
      </c>
    </row>
    <row r="1338">
      <c r="K1338" s="0" t="inlineStr">
        <is>
          <t>~ 空表</t>
        </is>
      </c>
    </row>
    <row r="1339">
      <c r="A1339" s="0" t="inlineStr">
        <is>
          <t>info_datetime2_dml_single_pk_drp</t>
        </is>
      </c>
      <c r="K1339" s="0" t="inlineStr">
        <is>
          <t>[0;34m info_datetime2_dml_single_pk_drp [0m源备字段数相同，源端字段：9 	备端字段9</t>
        </is>
      </c>
      <c r="W1339" s="0" t="inlineStr">
        <is>
          <t>YES 源备无差异</t>
        </is>
      </c>
      <c r="X1339" s="0">
        <f>A1339</f>
        <v/>
      </c>
    </row>
    <row r="1340">
      <c r="B1340" s="0" t="inlineStr">
        <is>
          <t>YES</t>
        </is>
      </c>
      <c r="C1340" s="0" t="inlineStr">
        <is>
          <t>NULL</t>
        </is>
      </c>
      <c r="D1340" s="0" t="inlineStr">
        <is>
          <t>NULL</t>
        </is>
      </c>
      <c r="E1340" s="0" t="inlineStr">
        <is>
          <t>NULL</t>
        </is>
      </c>
      <c r="F1340" s="0" t="inlineStr">
        <is>
          <t>NULL</t>
        </is>
      </c>
      <c r="G1340" s="0" t="inlineStr">
        <is>
          <t>NULL</t>
        </is>
      </c>
      <c r="H1340" s="0" t="inlineStr">
        <is>
          <t>NULL</t>
        </is>
      </c>
      <c r="I1340" s="0" t="inlineStr">
        <is>
          <t>YES!PK__info_dat__3213E83FF3CB7347</t>
        </is>
      </c>
      <c r="J1340" s="0" t="inlineStr">
        <is>
          <t>YES! 主键相关索引</t>
        </is>
      </c>
      <c r="K1340" s="0" t="inlineStr">
        <is>
          <t>YES! 	 id列源备映射正确，源端为int None位	期望更改为int	实际备端为int None位</t>
        </is>
      </c>
    </row>
    <row r="1341">
      <c r="B1341" s="0" t="inlineStr">
        <is>
          <t>NULL</t>
        </is>
      </c>
      <c r="C1341" s="0" t="inlineStr">
        <is>
          <t>NULL</t>
        </is>
      </c>
      <c r="D1341" s="0" t="inlineStr">
        <is>
          <t>NULL</t>
        </is>
      </c>
      <c r="E1341" s="0" t="inlineStr">
        <is>
          <t>NULL</t>
        </is>
      </c>
      <c r="F1341" s="0" t="inlineStr">
        <is>
          <t>NULL</t>
        </is>
      </c>
      <c r="G1341" s="0" t="inlineStr">
        <is>
          <t>NULL</t>
        </is>
      </c>
      <c r="H1341" s="0" t="inlineStr">
        <is>
          <t>NULL</t>
        </is>
      </c>
      <c r="I1341" s="0" t="inlineStr">
        <is>
          <t>NULL</t>
        </is>
      </c>
      <c r="J1341" s="0" t="inlineStr">
        <is>
          <t>NULL</t>
        </is>
      </c>
      <c r="K1341" s="0" t="inlineStr">
        <is>
          <t>no,len不存在</t>
        </is>
      </c>
    </row>
    <row r="1342">
      <c r="B1342" s="0" t="inlineStr">
        <is>
          <t>NULL</t>
        </is>
      </c>
      <c r="C1342" s="0" t="inlineStr">
        <is>
          <t>NULL</t>
        </is>
      </c>
      <c r="D1342" s="0" t="inlineStr">
        <is>
          <t>NULL</t>
        </is>
      </c>
      <c r="E1342" s="0" t="inlineStr">
        <is>
          <t>NULL</t>
        </is>
      </c>
      <c r="F1342" s="0" t="inlineStr">
        <is>
          <t>NULL</t>
        </is>
      </c>
      <c r="G1342" s="0" t="inlineStr">
        <is>
          <t>NULL</t>
        </is>
      </c>
      <c r="H1342" s="0" t="inlineStr">
        <is>
          <t>NULL</t>
        </is>
      </c>
      <c r="I1342" s="0" t="inlineStr">
        <is>
          <t>NULL</t>
        </is>
      </c>
      <c r="J1342" s="0" t="inlineStr">
        <is>
          <t>NULL</t>
        </is>
      </c>
      <c r="K1342" s="0" t="inlineStr">
        <is>
          <t>YES! 	 c_dt2_1列源备映射正确，源端为datetime2 None位	期望更改为datetime2(n)	实际备端为datetime2 None位</t>
        </is>
      </c>
    </row>
    <row r="1343">
      <c r="B1343" s="0" t="inlineStr">
        <is>
          <t>NULL</t>
        </is>
      </c>
      <c r="C1343" s="0" t="inlineStr">
        <is>
          <t>NULL</t>
        </is>
      </c>
      <c r="D1343" s="0" t="inlineStr">
        <is>
          <t>NULL</t>
        </is>
      </c>
      <c r="E1343" s="0" t="inlineStr">
        <is>
          <t>NULL</t>
        </is>
      </c>
      <c r="F1343" s="0" t="inlineStr">
        <is>
          <t>NULL</t>
        </is>
      </c>
      <c r="G1343" s="0" t="inlineStr">
        <is>
          <t>NULL</t>
        </is>
      </c>
      <c r="H1343" s="0" t="inlineStr">
        <is>
          <t>NULL</t>
        </is>
      </c>
      <c r="I1343" s="0" t="inlineStr">
        <is>
          <t>NULL</t>
        </is>
      </c>
      <c r="J1343" s="0" t="inlineStr">
        <is>
          <t>NULL</t>
        </is>
      </c>
      <c r="K1343" s="0" t="inlineStr">
        <is>
          <t>YES! 	 c_dt2_2列源备映射正确，源端为datetime2 None位	期望更改为datetime2(n)	实际备端为datetime2 None位</t>
        </is>
      </c>
    </row>
    <row r="1344">
      <c r="B1344" s="0" t="inlineStr">
        <is>
          <t>NULL</t>
        </is>
      </c>
      <c r="C1344" s="0" t="inlineStr">
        <is>
          <t>NULL</t>
        </is>
      </c>
      <c r="D1344" s="0" t="inlineStr">
        <is>
          <t>NULL</t>
        </is>
      </c>
      <c r="E1344" s="0" t="inlineStr">
        <is>
          <t>NULL</t>
        </is>
      </c>
      <c r="F1344" s="0" t="inlineStr">
        <is>
          <t>NULL</t>
        </is>
      </c>
      <c r="G1344" s="0" t="inlineStr">
        <is>
          <t>NULL</t>
        </is>
      </c>
      <c r="H1344" s="0" t="inlineStr">
        <is>
          <t>NULL</t>
        </is>
      </c>
      <c r="I1344" s="0" t="inlineStr">
        <is>
          <t>NULL</t>
        </is>
      </c>
      <c r="J1344" s="0" t="inlineStr">
        <is>
          <t>NULL</t>
        </is>
      </c>
      <c r="K1344" s="0" t="inlineStr">
        <is>
          <t>YES! 	 c_dt2_3列源备映射正确，源端为datetime2 None位	期望更改为datetime2(n)	实际备端为datetime2 None位</t>
        </is>
      </c>
    </row>
    <row r="1345">
      <c r="B1345" s="0" t="inlineStr">
        <is>
          <t>NULL</t>
        </is>
      </c>
      <c r="C1345" s="0" t="inlineStr">
        <is>
          <t>NULL</t>
        </is>
      </c>
      <c r="D1345" s="0" t="inlineStr">
        <is>
          <t>NULL</t>
        </is>
      </c>
      <c r="E1345" s="0" t="inlineStr">
        <is>
          <t>NULL</t>
        </is>
      </c>
      <c r="F1345" s="0" t="inlineStr">
        <is>
          <t>NULL</t>
        </is>
      </c>
      <c r="G1345" s="0" t="inlineStr">
        <is>
          <t>NULL</t>
        </is>
      </c>
      <c r="H1345" s="0" t="inlineStr">
        <is>
          <t>NULL</t>
        </is>
      </c>
      <c r="I1345" s="0" t="inlineStr">
        <is>
          <t>NULL</t>
        </is>
      </c>
      <c r="J1345" s="0" t="inlineStr">
        <is>
          <t>NULL</t>
        </is>
      </c>
      <c r="K1345" s="0" t="inlineStr">
        <is>
          <t>YES! 	 c_dt2_4列源备映射正确，源端为datetime2 None位	期望更改为datetime2(n)	实际备端为datetime2 None位</t>
        </is>
      </c>
    </row>
    <row r="1346">
      <c r="B1346" s="0" t="inlineStr">
        <is>
          <t>NULL</t>
        </is>
      </c>
      <c r="C1346" s="0" t="inlineStr">
        <is>
          <t>NULL</t>
        </is>
      </c>
      <c r="D1346" s="0" t="inlineStr">
        <is>
          <t>NULL</t>
        </is>
      </c>
      <c r="E1346" s="0" t="inlineStr">
        <is>
          <t>NULL</t>
        </is>
      </c>
      <c r="F1346" s="0" t="inlineStr">
        <is>
          <t>NULL</t>
        </is>
      </c>
      <c r="G1346" s="0" t="inlineStr">
        <is>
          <t>NULL</t>
        </is>
      </c>
      <c r="H1346" s="0" t="inlineStr">
        <is>
          <t>NULL</t>
        </is>
      </c>
      <c r="I1346" s="0" t="inlineStr">
        <is>
          <t>NULL</t>
        </is>
      </c>
      <c r="J1346" s="0" t="inlineStr">
        <is>
          <t>NULL</t>
        </is>
      </c>
      <c r="K1346" s="0" t="inlineStr">
        <is>
          <t>YES! 	 c_dt2_5列源备映射正确，源端为datetime2 None位	期望更改为datetime2(n)	实际备端为datetime2 None位</t>
        </is>
      </c>
    </row>
    <row r="1347">
      <c r="B1347" s="0" t="inlineStr">
        <is>
          <t>NULL</t>
        </is>
      </c>
      <c r="C1347" s="0" t="inlineStr">
        <is>
          <t>NULL</t>
        </is>
      </c>
      <c r="D1347" s="0" t="inlineStr">
        <is>
          <t>NULL</t>
        </is>
      </c>
      <c r="E1347" s="0" t="inlineStr">
        <is>
          <t>NULL</t>
        </is>
      </c>
      <c r="F1347" s="0" t="inlineStr">
        <is>
          <t>NULL</t>
        </is>
      </c>
      <c r="G1347" s="0" t="inlineStr">
        <is>
          <t>NULL</t>
        </is>
      </c>
      <c r="H1347" s="0" t="inlineStr">
        <is>
          <t>NULL</t>
        </is>
      </c>
      <c r="I1347" s="0" t="inlineStr">
        <is>
          <t>NULL</t>
        </is>
      </c>
      <c r="J1347" s="0" t="inlineStr">
        <is>
          <t>NULL</t>
        </is>
      </c>
      <c r="K1347" s="0" t="inlineStr">
        <is>
          <t>YES! 	 c_dt2_6列源备映射正确，源端为datetime2 None位	期望更改为datetime2(n)	实际备端为datetime2 None位</t>
        </is>
      </c>
    </row>
    <row r="1348">
      <c r="B1348" s="0" t="inlineStr">
        <is>
          <t>NULL</t>
        </is>
      </c>
      <c r="C1348" s="0" t="inlineStr">
        <is>
          <t>NULL</t>
        </is>
      </c>
      <c r="D1348" s="0" t="inlineStr">
        <is>
          <t>NULL</t>
        </is>
      </c>
      <c r="E1348" s="0" t="inlineStr">
        <is>
          <t>NULL</t>
        </is>
      </c>
      <c r="F1348" s="0" t="inlineStr">
        <is>
          <t>NULL</t>
        </is>
      </c>
      <c r="G1348" s="0" t="inlineStr">
        <is>
          <t>NULL</t>
        </is>
      </c>
      <c r="H1348" s="0" t="inlineStr">
        <is>
          <t>NULL</t>
        </is>
      </c>
      <c r="I1348" s="0" t="inlineStr">
        <is>
          <t>NULL</t>
        </is>
      </c>
      <c r="J1348" s="0" t="inlineStr">
        <is>
          <t>NULL</t>
        </is>
      </c>
      <c r="K1348" s="0" t="inlineStr">
        <is>
          <t>YES! 	 c_dt2列源备映射正确，源端为datetime2 None位	期望更改为datetime2(n)	实际备端为datetime2 None位</t>
        </is>
      </c>
    </row>
    <row r="1349">
      <c r="A1349" s="0" t="inlineStr">
        <is>
          <t>info_varbinary_dml_single_nopk</t>
        </is>
      </c>
      <c r="K1349" s="0" t="inlineStr">
        <is>
          <t>[0;34m info_varbinary_dml_single_nopk [0m源备字段数相同，源端字段：4 	备端字段4</t>
        </is>
      </c>
      <c r="W1349" s="0" t="inlineStr">
        <is>
          <t>YES 源备无差异</t>
        </is>
      </c>
      <c r="X1349" s="0">
        <f>A1349</f>
        <v/>
      </c>
    </row>
    <row r="1350">
      <c r="B1350" s="0" t="inlineStr">
        <is>
          <t>NULL</t>
        </is>
      </c>
      <c r="C1350" s="0" t="inlineStr">
        <is>
          <t>NULL</t>
        </is>
      </c>
      <c r="D1350" s="0" t="inlineStr">
        <is>
          <t>NULL</t>
        </is>
      </c>
      <c r="E1350" s="0" t="inlineStr">
        <is>
          <t>NULL</t>
        </is>
      </c>
      <c r="F1350" s="0" t="inlineStr">
        <is>
          <t>NULL</t>
        </is>
      </c>
      <c r="G1350" s="0" t="inlineStr">
        <is>
          <t>NULL</t>
        </is>
      </c>
      <c r="H1350" s="0" t="inlineStr">
        <is>
          <t>NULL</t>
        </is>
      </c>
      <c r="I1350" s="0" t="inlineStr">
        <is>
          <t>NULL</t>
        </is>
      </c>
      <c r="J1350" s="0" t="inlineStr">
        <is>
          <t>NULL</t>
        </is>
      </c>
      <c r="K1350" s="0" t="inlineStr">
        <is>
          <t>YES! 	 id列源备映射正确，源端为int None位	期望更改为int	实际备端为int None位</t>
        </is>
      </c>
    </row>
    <row r="1351">
      <c r="B1351" s="0" t="inlineStr">
        <is>
          <t>NULL</t>
        </is>
      </c>
      <c r="C1351" s="0" t="inlineStr">
        <is>
          <t>NULL</t>
        </is>
      </c>
      <c r="D1351" s="0" t="inlineStr">
        <is>
          <t>NULL</t>
        </is>
      </c>
      <c r="E1351" s="0" t="inlineStr">
        <is>
          <t>NULL</t>
        </is>
      </c>
      <c r="F1351" s="0" t="inlineStr">
        <is>
          <t>NULL</t>
        </is>
      </c>
      <c r="G1351" s="0" t="inlineStr">
        <is>
          <t>NULL</t>
        </is>
      </c>
      <c r="H1351" s="0" t="inlineStr">
        <is>
          <t>NULL</t>
        </is>
      </c>
      <c r="I1351" s="0" t="inlineStr">
        <is>
          <t>NULL</t>
        </is>
      </c>
      <c r="J1351" s="0" t="inlineStr">
        <is>
          <t>NULL</t>
        </is>
      </c>
      <c r="K1351" s="0" t="inlineStr">
        <is>
          <t>YES! 	 c_varbinary列源备映射正确，源端为varbinary 1位	期望更改为varbinary(n)	实际备端为varbinary 1位</t>
        </is>
      </c>
    </row>
    <row r="1352">
      <c r="B1352" s="0" t="inlineStr">
        <is>
          <t>NULL</t>
        </is>
      </c>
      <c r="C1352" s="0" t="inlineStr">
        <is>
          <t>NULL</t>
        </is>
      </c>
      <c r="D1352" s="0" t="inlineStr">
        <is>
          <t>NULL</t>
        </is>
      </c>
      <c r="E1352" s="0" t="inlineStr">
        <is>
          <t>NULL</t>
        </is>
      </c>
      <c r="F1352" s="0" t="inlineStr">
        <is>
          <t>NULL</t>
        </is>
      </c>
      <c r="G1352" s="0" t="inlineStr">
        <is>
          <t>NULL</t>
        </is>
      </c>
      <c r="H1352" s="0" t="inlineStr">
        <is>
          <t>NULL</t>
        </is>
      </c>
      <c r="I1352" s="0" t="inlineStr">
        <is>
          <t>NULL</t>
        </is>
      </c>
      <c r="J1352" s="0" t="inlineStr">
        <is>
          <t>NULL</t>
        </is>
      </c>
      <c r="K1352" s="0" t="inlineStr">
        <is>
          <t>YES! 	 c_varbinary_100列源备映射正确，源端为varbinary 20位	期望更改为varbinary(n)	实际备端为varbinary 20位</t>
        </is>
      </c>
    </row>
    <row r="1353">
      <c r="B1353" s="0" t="inlineStr">
        <is>
          <t>NULL</t>
        </is>
      </c>
      <c r="C1353" s="0" t="inlineStr">
        <is>
          <t>NULL</t>
        </is>
      </c>
      <c r="D1353" s="0" t="inlineStr">
        <is>
          <t>NULL</t>
        </is>
      </c>
      <c r="E1353" s="0" t="inlineStr">
        <is>
          <t>NULL</t>
        </is>
      </c>
      <c r="F1353" s="0" t="inlineStr">
        <is>
          <t>NULL</t>
        </is>
      </c>
      <c r="G1353" s="0" t="inlineStr">
        <is>
          <t>NULL</t>
        </is>
      </c>
      <c r="H1353" s="0" t="inlineStr">
        <is>
          <t>NULL</t>
        </is>
      </c>
      <c r="I1353" s="0" t="inlineStr">
        <is>
          <t>NULL</t>
        </is>
      </c>
      <c r="J1353" s="0" t="inlineStr">
        <is>
          <t>NULL</t>
        </is>
      </c>
      <c r="K1353" s="0" t="inlineStr">
        <is>
          <t>YES! 	 c_varbinary_8000列源备映射正确，源端为varbinary 8000位	期望更改为varbinary(n)	实际备端为varbinary 8000位</t>
        </is>
      </c>
    </row>
    <row r="1354">
      <c r="A1354" s="0" t="inlineStr">
        <is>
          <t>info_sdt_dml_single_nopk_drp</t>
        </is>
      </c>
      <c r="K1354" s="0" t="inlineStr">
        <is>
          <t>[0;34m info_sdt_dml_single_nopk_drp [0m源备字段数相同，源端字段：2 	备端字段2</t>
        </is>
      </c>
      <c r="W1354" s="0" t="inlineStr">
        <is>
          <t>YES 源备无差异</t>
        </is>
      </c>
      <c r="X1354" s="0">
        <f>A1354</f>
        <v/>
      </c>
    </row>
    <row r="1355">
      <c r="B1355" s="0" t="inlineStr">
        <is>
          <t>NULL</t>
        </is>
      </c>
      <c r="C1355" s="0" t="inlineStr">
        <is>
          <t>NULL</t>
        </is>
      </c>
      <c r="D1355" s="0" t="inlineStr">
        <is>
          <t>NULL</t>
        </is>
      </c>
      <c r="E1355" s="0" t="inlineStr">
        <is>
          <t>NULL</t>
        </is>
      </c>
      <c r="F1355" s="0" t="inlineStr">
        <is>
          <t>NULL</t>
        </is>
      </c>
      <c r="G1355" s="0" t="inlineStr">
        <is>
          <t>NULL</t>
        </is>
      </c>
      <c r="H1355" s="0" t="inlineStr">
        <is>
          <t>NULL</t>
        </is>
      </c>
      <c r="I1355" s="0" t="inlineStr">
        <is>
          <t>NULL</t>
        </is>
      </c>
      <c r="J1355" s="0" t="inlineStr">
        <is>
          <t>NULL</t>
        </is>
      </c>
      <c r="K1355" s="0" t="inlineStr">
        <is>
          <t>YES! 	 id列源备映射正确，源端为int None位	期望更改为int	实际备端为int None位</t>
        </is>
      </c>
    </row>
    <row r="1356">
      <c r="B1356" s="0" t="inlineStr">
        <is>
          <t>NULL</t>
        </is>
      </c>
      <c r="C1356" s="0" t="inlineStr">
        <is>
          <t>NULL</t>
        </is>
      </c>
      <c r="D1356" s="0" t="inlineStr">
        <is>
          <t>NULL</t>
        </is>
      </c>
      <c r="E1356" s="0" t="inlineStr">
        <is>
          <t>NULL</t>
        </is>
      </c>
      <c r="F1356" s="0" t="inlineStr">
        <is>
          <t>NULL</t>
        </is>
      </c>
      <c r="G1356" s="0" t="inlineStr">
        <is>
          <t>NULL</t>
        </is>
      </c>
      <c r="H1356" s="0" t="inlineStr">
        <is>
          <t>NULL</t>
        </is>
      </c>
      <c r="I1356" s="0" t="inlineStr">
        <is>
          <t>NULL</t>
        </is>
      </c>
      <c r="J1356" s="0" t="inlineStr">
        <is>
          <t>NULL</t>
        </is>
      </c>
      <c r="K1356" s="0" t="inlineStr">
        <is>
          <t>YES! 	 c_sdt列源备映射正确，源端为smalldatetime None位	期望更改为smalldatetime	实际备端为smalldatetime None位</t>
        </is>
      </c>
    </row>
    <row r="1357">
      <c r="A1357" s="0" t="inlineStr">
        <is>
          <t>info_datetimeoffset_dml_batch1_pk_urp2</t>
        </is>
      </c>
      <c r="K1357" s="0" t="inlineStr">
        <is>
          <t>[0;34m info_datetimeoffset_dml_batch1_pk_urp2 [0m源备字段数相同，源端字段：9 	备端字段9</t>
        </is>
      </c>
      <c r="W1357" s="0" t="inlineStr">
        <is>
          <t>YES 源备无差异</t>
        </is>
      </c>
      <c r="X1357" s="0">
        <f>A1357</f>
        <v/>
      </c>
    </row>
    <row r="1358">
      <c r="B1358" s="0" t="inlineStr">
        <is>
          <t>YES</t>
        </is>
      </c>
      <c r="C1358" s="0" t="inlineStr">
        <is>
          <t>NULL</t>
        </is>
      </c>
      <c r="D1358" s="0" t="inlineStr">
        <is>
          <t>NULL</t>
        </is>
      </c>
      <c r="E1358" s="0" t="inlineStr">
        <is>
          <t>NULL</t>
        </is>
      </c>
      <c r="F1358" s="0" t="inlineStr">
        <is>
          <t>NULL</t>
        </is>
      </c>
      <c r="G1358" s="0" t="inlineStr">
        <is>
          <t>NULL</t>
        </is>
      </c>
      <c r="H1358" s="0" t="inlineStr">
        <is>
          <t>NULL</t>
        </is>
      </c>
      <c r="I1358" s="0" t="inlineStr">
        <is>
          <t>YES!PK__info_dat__3213E83F54E654A8</t>
        </is>
      </c>
      <c r="J1358" s="0" t="inlineStr">
        <is>
          <t>YES! 主键相关索引</t>
        </is>
      </c>
      <c r="K1358" s="0" t="inlineStr">
        <is>
          <t>YES! 	 id列源备映射正确，源端为int None位	期望更改为int	实际备端为int None位</t>
        </is>
      </c>
    </row>
    <row r="1359">
      <c r="B1359" s="0" t="inlineStr">
        <is>
          <t>NULL</t>
        </is>
      </c>
      <c r="C1359" s="0" t="inlineStr">
        <is>
          <t>NULL</t>
        </is>
      </c>
      <c r="D1359" s="0" t="inlineStr">
        <is>
          <t>NULL</t>
        </is>
      </c>
      <c r="E1359" s="0" t="inlineStr">
        <is>
          <t>NULL</t>
        </is>
      </c>
      <c r="F1359" s="0" t="inlineStr">
        <is>
          <t>NULL</t>
        </is>
      </c>
      <c r="G1359" s="0" t="inlineStr">
        <is>
          <t>NULL</t>
        </is>
      </c>
      <c r="H1359" s="0" t="inlineStr">
        <is>
          <t>NULL</t>
        </is>
      </c>
      <c r="I1359" s="0" t="inlineStr">
        <is>
          <t>NULL</t>
        </is>
      </c>
      <c r="J1359" s="0" t="inlineStr">
        <is>
          <t>NULL</t>
        </is>
      </c>
      <c r="K1359" s="0" t="inlineStr">
        <is>
          <t>no,len不存在</t>
        </is>
      </c>
    </row>
    <row r="1360">
      <c r="B1360" s="0" t="inlineStr">
        <is>
          <t>NULL</t>
        </is>
      </c>
      <c r="C1360" s="0" t="inlineStr">
        <is>
          <t>NULL</t>
        </is>
      </c>
      <c r="D1360" s="0" t="inlineStr">
        <is>
          <t>NULL</t>
        </is>
      </c>
      <c r="E1360" s="0" t="inlineStr">
        <is>
          <t>NULL</t>
        </is>
      </c>
      <c r="F1360" s="0" t="inlineStr">
        <is>
          <t>NULL</t>
        </is>
      </c>
      <c r="G1360" s="0" t="inlineStr">
        <is>
          <t>NULL</t>
        </is>
      </c>
      <c r="H1360" s="0" t="inlineStr">
        <is>
          <t>NULL</t>
        </is>
      </c>
      <c r="I1360" s="0" t="inlineStr">
        <is>
          <t>NULL</t>
        </is>
      </c>
      <c r="J1360" s="0" t="inlineStr">
        <is>
          <t>NULL</t>
        </is>
      </c>
      <c r="K1360" s="0" t="inlineStr">
        <is>
          <t>YES! 	 c_dtoffset_1列源备映射正确，源端为datetimeoffset None位	期望更改为datetimeoffset(n)	实际备端为datetimeoffset None位</t>
        </is>
      </c>
    </row>
    <row r="1361">
      <c r="B1361" s="0" t="inlineStr">
        <is>
          <t>NULL</t>
        </is>
      </c>
      <c r="C1361" s="0" t="inlineStr">
        <is>
          <t>NULL</t>
        </is>
      </c>
      <c r="D1361" s="0" t="inlineStr">
        <is>
          <t>NULL</t>
        </is>
      </c>
      <c r="E1361" s="0" t="inlineStr">
        <is>
          <t>NULL</t>
        </is>
      </c>
      <c r="F1361" s="0" t="inlineStr">
        <is>
          <t>NULL</t>
        </is>
      </c>
      <c r="G1361" s="0" t="inlineStr">
        <is>
          <t>NULL</t>
        </is>
      </c>
      <c r="H1361" s="0" t="inlineStr">
        <is>
          <t>NULL</t>
        </is>
      </c>
      <c r="I1361" s="0" t="inlineStr">
        <is>
          <t>NULL</t>
        </is>
      </c>
      <c r="J1361" s="0" t="inlineStr">
        <is>
          <t>NULL</t>
        </is>
      </c>
      <c r="K1361" s="0" t="inlineStr">
        <is>
          <t>YES! 	 c_dtoffset_2列源备映射正确，源端为datetimeoffset None位	期望更改为datetimeoffset(n)	实际备端为datetimeoffset None位</t>
        </is>
      </c>
    </row>
    <row r="1362">
      <c r="B1362" s="0" t="inlineStr">
        <is>
          <t>NULL</t>
        </is>
      </c>
      <c r="C1362" s="0" t="inlineStr">
        <is>
          <t>NULL</t>
        </is>
      </c>
      <c r="D1362" s="0" t="inlineStr">
        <is>
          <t>NULL</t>
        </is>
      </c>
      <c r="E1362" s="0" t="inlineStr">
        <is>
          <t>NULL</t>
        </is>
      </c>
      <c r="F1362" s="0" t="inlineStr">
        <is>
          <t>NULL</t>
        </is>
      </c>
      <c r="G1362" s="0" t="inlineStr">
        <is>
          <t>NULL</t>
        </is>
      </c>
      <c r="H1362" s="0" t="inlineStr">
        <is>
          <t>NULL</t>
        </is>
      </c>
      <c r="I1362" s="0" t="inlineStr">
        <is>
          <t>NULL</t>
        </is>
      </c>
      <c r="J1362" s="0" t="inlineStr">
        <is>
          <t>NULL</t>
        </is>
      </c>
      <c r="K1362" s="0" t="inlineStr">
        <is>
          <t>YES! 	 c_dtoffset_3列源备映射正确，源端为datetimeoffset None位	期望更改为datetimeoffset(n)	实际备端为datetimeoffset None位</t>
        </is>
      </c>
    </row>
    <row r="1363">
      <c r="B1363" s="0" t="inlineStr">
        <is>
          <t>NULL</t>
        </is>
      </c>
      <c r="C1363" s="0" t="inlineStr">
        <is>
          <t>NULL</t>
        </is>
      </c>
      <c r="D1363" s="0" t="inlineStr">
        <is>
          <t>NULL</t>
        </is>
      </c>
      <c r="E1363" s="0" t="inlineStr">
        <is>
          <t>NULL</t>
        </is>
      </c>
      <c r="F1363" s="0" t="inlineStr">
        <is>
          <t>NULL</t>
        </is>
      </c>
      <c r="G1363" s="0" t="inlineStr">
        <is>
          <t>NULL</t>
        </is>
      </c>
      <c r="H1363" s="0" t="inlineStr">
        <is>
          <t>NULL</t>
        </is>
      </c>
      <c r="I1363" s="0" t="inlineStr">
        <is>
          <t>NULL</t>
        </is>
      </c>
      <c r="J1363" s="0" t="inlineStr">
        <is>
          <t>NULL</t>
        </is>
      </c>
      <c r="K1363" s="0" t="inlineStr">
        <is>
          <t>YES! 	 c_dtoffset_4列源备映射正确，源端为datetimeoffset None位	期望更改为datetimeoffset(n)	实际备端为datetimeoffset None位</t>
        </is>
      </c>
    </row>
    <row r="1364">
      <c r="B1364" s="0" t="inlineStr">
        <is>
          <t>NULL</t>
        </is>
      </c>
      <c r="C1364" s="0" t="inlineStr">
        <is>
          <t>NULL</t>
        </is>
      </c>
      <c r="D1364" s="0" t="inlineStr">
        <is>
          <t>NULL</t>
        </is>
      </c>
      <c r="E1364" s="0" t="inlineStr">
        <is>
          <t>NULL</t>
        </is>
      </c>
      <c r="F1364" s="0" t="inlineStr">
        <is>
          <t>NULL</t>
        </is>
      </c>
      <c r="G1364" s="0" t="inlineStr">
        <is>
          <t>NULL</t>
        </is>
      </c>
      <c r="H1364" s="0" t="inlineStr">
        <is>
          <t>NULL</t>
        </is>
      </c>
      <c r="I1364" s="0" t="inlineStr">
        <is>
          <t>NULL</t>
        </is>
      </c>
      <c r="J1364" s="0" t="inlineStr">
        <is>
          <t>NULL</t>
        </is>
      </c>
      <c r="K1364" s="0" t="inlineStr">
        <is>
          <t>YES! 	 c_dtoffset_5列源备映射正确，源端为datetimeoffset None位	期望更改为datetimeoffset(n)	实际备端为datetimeoffset None位</t>
        </is>
      </c>
    </row>
    <row r="1365">
      <c r="B1365" s="0" t="inlineStr">
        <is>
          <t>NULL</t>
        </is>
      </c>
      <c r="C1365" s="0" t="inlineStr">
        <is>
          <t>NULL</t>
        </is>
      </c>
      <c r="D1365" s="0" t="inlineStr">
        <is>
          <t>NULL</t>
        </is>
      </c>
      <c r="E1365" s="0" t="inlineStr">
        <is>
          <t>NULL</t>
        </is>
      </c>
      <c r="F1365" s="0" t="inlineStr">
        <is>
          <t>NULL</t>
        </is>
      </c>
      <c r="G1365" s="0" t="inlineStr">
        <is>
          <t>NULL</t>
        </is>
      </c>
      <c r="H1365" s="0" t="inlineStr">
        <is>
          <t>NULL</t>
        </is>
      </c>
      <c r="I1365" s="0" t="inlineStr">
        <is>
          <t>NULL</t>
        </is>
      </c>
      <c r="J1365" s="0" t="inlineStr">
        <is>
          <t>NULL</t>
        </is>
      </c>
      <c r="K1365" s="0" t="inlineStr">
        <is>
          <t>YES! 	 c_dtoffset_6列源备映射正确，源端为datetimeoffset None位	期望更改为datetimeoffset(n)	实际备端为datetimeoffset None位</t>
        </is>
      </c>
    </row>
    <row r="1366">
      <c r="B1366" s="0" t="inlineStr">
        <is>
          <t>NULL</t>
        </is>
      </c>
      <c r="C1366" s="0" t="inlineStr">
        <is>
          <t>NULL</t>
        </is>
      </c>
      <c r="D1366" s="0" t="inlineStr">
        <is>
          <t>NULL</t>
        </is>
      </c>
      <c r="E1366" s="0" t="inlineStr">
        <is>
          <t>NULL</t>
        </is>
      </c>
      <c r="F1366" s="0" t="inlineStr">
        <is>
          <t>NULL</t>
        </is>
      </c>
      <c r="G1366" s="0" t="inlineStr">
        <is>
          <t>NULL</t>
        </is>
      </c>
      <c r="H1366" s="0" t="inlineStr">
        <is>
          <t>NULL</t>
        </is>
      </c>
      <c r="I1366" s="0" t="inlineStr">
        <is>
          <t>NULL</t>
        </is>
      </c>
      <c r="J1366" s="0" t="inlineStr">
        <is>
          <t>NULL</t>
        </is>
      </c>
      <c r="K1366" s="0" t="inlineStr">
        <is>
          <t>YES! 	 c_dtoffset列源备映射正确，源端为datetimeoffset None位	期望更改为datetimeoffset(n)	实际备端为datetimeoffset None位</t>
        </is>
      </c>
    </row>
    <row r="1367">
      <c r="A1367" s="0" t="inlineStr">
        <is>
          <t>info_sdt_dml_single_nopk</t>
        </is>
      </c>
      <c r="K1367" s="0" t="inlineStr">
        <is>
          <t>[0;34m info_sdt_dml_single_nopk [0m源备字段数相同，源端字段：2 	备端字段2</t>
        </is>
      </c>
      <c r="W1367" s="0" t="inlineStr">
        <is>
          <t>YES 源备无差异</t>
        </is>
      </c>
      <c r="X1367" s="0">
        <f>A1367</f>
        <v/>
      </c>
    </row>
    <row r="1368">
      <c r="B1368" s="0" t="inlineStr">
        <is>
          <t>NULL</t>
        </is>
      </c>
      <c r="C1368" s="0" t="inlineStr">
        <is>
          <t>NULL</t>
        </is>
      </c>
      <c r="D1368" s="0" t="inlineStr">
        <is>
          <t>NULL</t>
        </is>
      </c>
      <c r="E1368" s="0" t="inlineStr">
        <is>
          <t>NULL</t>
        </is>
      </c>
      <c r="F1368" s="0" t="inlineStr">
        <is>
          <t>NULL</t>
        </is>
      </c>
      <c r="G1368" s="0" t="inlineStr">
        <is>
          <t>NULL</t>
        </is>
      </c>
      <c r="H1368" s="0" t="inlineStr">
        <is>
          <t>NULL</t>
        </is>
      </c>
      <c r="I1368" s="0" t="inlineStr">
        <is>
          <t>NULL</t>
        </is>
      </c>
      <c r="J1368" s="0" t="inlineStr">
        <is>
          <t>NULL</t>
        </is>
      </c>
      <c r="K1368" s="0" t="inlineStr">
        <is>
          <t>YES! 	 id列源备映射正确，源端为int None位	期望更改为int	实际备端为int None位</t>
        </is>
      </c>
    </row>
    <row r="1369">
      <c r="B1369" s="0" t="inlineStr">
        <is>
          <t>NULL</t>
        </is>
      </c>
      <c r="C1369" s="0" t="inlineStr">
        <is>
          <t>NULL</t>
        </is>
      </c>
      <c r="D1369" s="0" t="inlineStr">
        <is>
          <t>NULL</t>
        </is>
      </c>
      <c r="E1369" s="0" t="inlineStr">
        <is>
          <t>NULL</t>
        </is>
      </c>
      <c r="F1369" s="0" t="inlineStr">
        <is>
          <t>NULL</t>
        </is>
      </c>
      <c r="G1369" s="0" t="inlineStr">
        <is>
          <t>NULL</t>
        </is>
      </c>
      <c r="H1369" s="0" t="inlineStr">
        <is>
          <t>NULL</t>
        </is>
      </c>
      <c r="I1369" s="0" t="inlineStr">
        <is>
          <t>NULL</t>
        </is>
      </c>
      <c r="J1369" s="0" t="inlineStr">
        <is>
          <t>NULL</t>
        </is>
      </c>
      <c r="K1369" s="0" t="inlineStr">
        <is>
          <t>YES! 	 c_sdt列源备映射正确，源端为smalldatetime None位	期望更改为smalldatetime	实际备端为smalldatetime None位</t>
        </is>
      </c>
    </row>
    <row r="1370">
      <c r="A1370" s="0" t="inlineStr">
        <is>
          <t>info_varcharmax_dml_batch1_pk_irp2</t>
        </is>
      </c>
      <c r="K1370" s="0" t="inlineStr">
        <is>
          <t>[0;34m info_varcharmax_dml_batch1_pk_irp2 [0m源备字段数相同，源端字段：3 	备端字段3</t>
        </is>
      </c>
      <c r="W1370" s="0" t="inlineStr">
        <is>
          <t>YES 源备无差异</t>
        </is>
      </c>
      <c r="X1370" s="0">
        <f>A1370</f>
        <v/>
      </c>
    </row>
    <row r="1371">
      <c r="B1371" s="0" t="inlineStr">
        <is>
          <t>YES</t>
        </is>
      </c>
      <c r="C1371" s="0" t="inlineStr">
        <is>
          <t>NULL</t>
        </is>
      </c>
      <c r="D1371" s="0" t="inlineStr">
        <is>
          <t>NULL</t>
        </is>
      </c>
      <c r="E1371" s="0" t="inlineStr">
        <is>
          <t>NULL</t>
        </is>
      </c>
      <c r="F1371" s="0" t="inlineStr">
        <is>
          <t>NULL</t>
        </is>
      </c>
      <c r="G1371" s="0" t="inlineStr">
        <is>
          <t>NULL</t>
        </is>
      </c>
      <c r="H1371" s="0" t="inlineStr">
        <is>
          <t>NULL</t>
        </is>
      </c>
      <c r="I1371" s="0" t="inlineStr">
        <is>
          <t>YES!PK__info_var__3213E83F44B37052</t>
        </is>
      </c>
      <c r="J1371" s="0" t="inlineStr">
        <is>
          <t>YES! 主键相关索引</t>
        </is>
      </c>
      <c r="K1371" s="0" t="inlineStr">
        <is>
          <t>YES! 	 id列源备映射正确，源端为int None位	期望更改为int	实际备端为int None位</t>
        </is>
      </c>
    </row>
    <row r="1372">
      <c r="B1372" s="0" t="inlineStr">
        <is>
          <t>NULL</t>
        </is>
      </c>
      <c r="C1372" s="0" t="inlineStr">
        <is>
          <t>NULL</t>
        </is>
      </c>
      <c r="D1372" s="0" t="inlineStr">
        <is>
          <t>NULL</t>
        </is>
      </c>
      <c r="E1372" s="0" t="inlineStr">
        <is>
          <t>NULL</t>
        </is>
      </c>
      <c r="F1372" s="0" t="inlineStr">
        <is>
          <t>NULL</t>
        </is>
      </c>
      <c r="G1372" s="0" t="inlineStr">
        <is>
          <t>NULL</t>
        </is>
      </c>
      <c r="H1372" s="0" t="inlineStr">
        <is>
          <t>NULL</t>
        </is>
      </c>
      <c r="I1372" s="0" t="inlineStr">
        <is>
          <t>NULL</t>
        </is>
      </c>
      <c r="J1372" s="0" t="inlineStr">
        <is>
          <t>NULL</t>
        </is>
      </c>
      <c r="K1372" s="0" t="inlineStr">
        <is>
          <t>YES! 	 c_varchar_max列源备映射正确，源端为varchar -1位	期望更改为varchar(n)	实际备端为varchar -1位</t>
        </is>
      </c>
    </row>
    <row r="1373">
      <c r="B1373" s="0" t="inlineStr">
        <is>
          <t>NULL</t>
        </is>
      </c>
      <c r="C1373" s="0" t="inlineStr">
        <is>
          <t>NULL</t>
        </is>
      </c>
      <c r="D1373" s="0" t="inlineStr">
        <is>
          <t>NULL</t>
        </is>
      </c>
      <c r="E1373" s="0" t="inlineStr">
        <is>
          <t>NULL</t>
        </is>
      </c>
      <c r="F1373" s="0" t="inlineStr">
        <is>
          <t>NULL</t>
        </is>
      </c>
      <c r="G1373" s="0" t="inlineStr">
        <is>
          <t>NULL</t>
        </is>
      </c>
      <c r="H1373" s="0" t="inlineStr">
        <is>
          <t>NULL</t>
        </is>
      </c>
      <c r="I1373" s="0" t="inlineStr">
        <is>
          <t>NULL</t>
        </is>
      </c>
      <c r="J1373" s="0" t="inlineStr">
        <is>
          <t>NULL</t>
        </is>
      </c>
      <c r="K1373" s="0" t="inlineStr">
        <is>
          <t>YES! 	 c_nvarchar_max列源备映射正确，源端为nvarchar -1位	期望更改为nvarchar(n)	实际备端为nvarchar -1位</t>
        </is>
      </c>
    </row>
    <row r="1374">
      <c r="K1374" s="0" t="inlineStr">
        <is>
          <t>~ 空表</t>
        </is>
      </c>
    </row>
    <row r="1375">
      <c r="A1375" s="0" t="inlineStr">
        <is>
          <t>info_datetime_dml_single_nopk_urp</t>
        </is>
      </c>
      <c r="K1375" s="0" t="inlineStr">
        <is>
          <t>[0;34m info_datetime_dml_single_nopk_urp [0m源备字段数相同，源端字段：2 	备端字段2</t>
        </is>
      </c>
      <c r="W1375" s="0" t="inlineStr">
        <is>
          <t>YES 源备无差异</t>
        </is>
      </c>
      <c r="X1375" s="0">
        <f>A1375</f>
        <v/>
      </c>
    </row>
    <row r="1376">
      <c r="B1376" s="0" t="inlineStr">
        <is>
          <t>NULL</t>
        </is>
      </c>
      <c r="C1376" s="0" t="inlineStr">
        <is>
          <t>NULL</t>
        </is>
      </c>
      <c r="D1376" s="0" t="inlineStr">
        <is>
          <t>NULL</t>
        </is>
      </c>
      <c r="E1376" s="0" t="inlineStr">
        <is>
          <t>NULL</t>
        </is>
      </c>
      <c r="F1376" s="0" t="inlineStr">
        <is>
          <t>NULL</t>
        </is>
      </c>
      <c r="G1376" s="0" t="inlineStr">
        <is>
          <t>NULL</t>
        </is>
      </c>
      <c r="H1376" s="0" t="inlineStr">
        <is>
          <t>NULL</t>
        </is>
      </c>
      <c r="I1376" s="0" t="inlineStr">
        <is>
          <t>NULL</t>
        </is>
      </c>
      <c r="J1376" s="0" t="inlineStr">
        <is>
          <t>NULL</t>
        </is>
      </c>
      <c r="K1376" s="0" t="inlineStr">
        <is>
          <t>YES! 	 id列源备映射正确，源端为int None位	期望更改为int	实际备端为int None位</t>
        </is>
      </c>
    </row>
    <row r="1377">
      <c r="B1377" s="0" t="inlineStr">
        <is>
          <t>NULL</t>
        </is>
      </c>
      <c r="C1377" s="0" t="inlineStr">
        <is>
          <t>NULL</t>
        </is>
      </c>
      <c r="D1377" s="0" t="inlineStr">
        <is>
          <t>NULL</t>
        </is>
      </c>
      <c r="E1377" s="0" t="inlineStr">
        <is>
          <t>NULL</t>
        </is>
      </c>
      <c r="F1377" s="0" t="inlineStr">
        <is>
          <t>NULL</t>
        </is>
      </c>
      <c r="G1377" s="0" t="inlineStr">
        <is>
          <t>NULL</t>
        </is>
      </c>
      <c r="H1377" s="0" t="inlineStr">
        <is>
          <t>NULL</t>
        </is>
      </c>
      <c r="I1377" s="0" t="inlineStr">
        <is>
          <t>NULL</t>
        </is>
      </c>
      <c r="J1377" s="0" t="inlineStr">
        <is>
          <t>NULL</t>
        </is>
      </c>
      <c r="K1377" s="0" t="inlineStr">
        <is>
          <t>YES! 	 c_datetime列源备映射正确，源端为datetime None位	期望更改为datetime	实际备端为datetime None位</t>
        </is>
      </c>
    </row>
    <row r="1378">
      <c r="A1378" s="0" t="inlineStr">
        <is>
          <t>info_datetime2_dml_single_pk</t>
        </is>
      </c>
      <c r="K1378" s="0" t="inlineStr">
        <is>
          <t>[0;34m info_datetime2_dml_single_pk [0m源备字段数相同，源端字段：9 	备端字段9</t>
        </is>
      </c>
      <c r="W1378" s="0" t="inlineStr">
        <is>
          <t>YES 源备无差异</t>
        </is>
      </c>
      <c r="X1378" s="0">
        <f>A1378</f>
        <v/>
      </c>
    </row>
    <row r="1379">
      <c r="B1379" s="0" t="inlineStr">
        <is>
          <t>YES</t>
        </is>
      </c>
      <c r="C1379" s="0" t="inlineStr">
        <is>
          <t>NULL</t>
        </is>
      </c>
      <c r="D1379" s="0" t="inlineStr">
        <is>
          <t>NULL</t>
        </is>
      </c>
      <c r="E1379" s="0" t="inlineStr">
        <is>
          <t>NULL</t>
        </is>
      </c>
      <c r="F1379" s="0" t="inlineStr">
        <is>
          <t>NULL</t>
        </is>
      </c>
      <c r="G1379" s="0" t="inlineStr">
        <is>
          <t>NULL</t>
        </is>
      </c>
      <c r="H1379" s="0" t="inlineStr">
        <is>
          <t>NULL</t>
        </is>
      </c>
      <c r="I1379" s="0" t="inlineStr">
        <is>
          <t>YES!PK__info_dat__3213E83FBD2E2D87</t>
        </is>
      </c>
      <c r="J1379" s="0" t="inlineStr">
        <is>
          <t>YES! 主键相关索引</t>
        </is>
      </c>
      <c r="K1379" s="0" t="inlineStr">
        <is>
          <t>YES! 	 id列源备映射正确，源端为int None位	期望更改为int	实际备端为int None位</t>
        </is>
      </c>
    </row>
    <row r="1380">
      <c r="B1380" s="0" t="inlineStr">
        <is>
          <t>NULL</t>
        </is>
      </c>
      <c r="C1380" s="0" t="inlineStr">
        <is>
          <t>NULL</t>
        </is>
      </c>
      <c r="D1380" s="0" t="inlineStr">
        <is>
          <t>NULL</t>
        </is>
      </c>
      <c r="E1380" s="0" t="inlineStr">
        <is>
          <t>NULL</t>
        </is>
      </c>
      <c r="F1380" s="0" t="inlineStr">
        <is>
          <t>NULL</t>
        </is>
      </c>
      <c r="G1380" s="0" t="inlineStr">
        <is>
          <t>NULL</t>
        </is>
      </c>
      <c r="H1380" s="0" t="inlineStr">
        <is>
          <t>NULL</t>
        </is>
      </c>
      <c r="I1380" s="0" t="inlineStr">
        <is>
          <t>NULL</t>
        </is>
      </c>
      <c r="J1380" s="0" t="inlineStr">
        <is>
          <t>NULL</t>
        </is>
      </c>
      <c r="K1380" s="0" t="inlineStr">
        <is>
          <t>no,len不存在</t>
        </is>
      </c>
    </row>
    <row r="1381">
      <c r="B1381" s="0" t="inlineStr">
        <is>
          <t>NULL</t>
        </is>
      </c>
      <c r="C1381" s="0" t="inlineStr">
        <is>
          <t>NULL</t>
        </is>
      </c>
      <c r="D1381" s="0" t="inlineStr">
        <is>
          <t>NULL</t>
        </is>
      </c>
      <c r="E1381" s="0" t="inlineStr">
        <is>
          <t>NULL</t>
        </is>
      </c>
      <c r="F1381" s="0" t="inlineStr">
        <is>
          <t>NULL</t>
        </is>
      </c>
      <c r="G1381" s="0" t="inlineStr">
        <is>
          <t>NULL</t>
        </is>
      </c>
      <c r="H1381" s="0" t="inlineStr">
        <is>
          <t>NULL</t>
        </is>
      </c>
      <c r="I1381" s="0" t="inlineStr">
        <is>
          <t>NULL</t>
        </is>
      </c>
      <c r="J1381" s="0" t="inlineStr">
        <is>
          <t>NULL</t>
        </is>
      </c>
      <c r="K1381" s="0" t="inlineStr">
        <is>
          <t>YES! 	 c_dt2_1列源备映射正确，源端为datetime2 None位	期望更改为datetime2(n)	实际备端为datetime2 None位</t>
        </is>
      </c>
    </row>
    <row r="1382">
      <c r="B1382" s="0" t="inlineStr">
        <is>
          <t>NULL</t>
        </is>
      </c>
      <c r="C1382" s="0" t="inlineStr">
        <is>
          <t>NULL</t>
        </is>
      </c>
      <c r="D1382" s="0" t="inlineStr">
        <is>
          <t>NULL</t>
        </is>
      </c>
      <c r="E1382" s="0" t="inlineStr">
        <is>
          <t>NULL</t>
        </is>
      </c>
      <c r="F1382" s="0" t="inlineStr">
        <is>
          <t>NULL</t>
        </is>
      </c>
      <c r="G1382" s="0" t="inlineStr">
        <is>
          <t>NULL</t>
        </is>
      </c>
      <c r="H1382" s="0" t="inlineStr">
        <is>
          <t>NULL</t>
        </is>
      </c>
      <c r="I1382" s="0" t="inlineStr">
        <is>
          <t>NULL</t>
        </is>
      </c>
      <c r="J1382" s="0" t="inlineStr">
        <is>
          <t>NULL</t>
        </is>
      </c>
      <c r="K1382" s="0" t="inlineStr">
        <is>
          <t>YES! 	 c_dt2_2列源备映射正确，源端为datetime2 None位	期望更改为datetime2(n)	实际备端为datetime2 None位</t>
        </is>
      </c>
    </row>
    <row r="1383">
      <c r="B1383" s="0" t="inlineStr">
        <is>
          <t>NULL</t>
        </is>
      </c>
      <c r="C1383" s="0" t="inlineStr">
        <is>
          <t>NULL</t>
        </is>
      </c>
      <c r="D1383" s="0" t="inlineStr">
        <is>
          <t>NULL</t>
        </is>
      </c>
      <c r="E1383" s="0" t="inlineStr">
        <is>
          <t>NULL</t>
        </is>
      </c>
      <c r="F1383" s="0" t="inlineStr">
        <is>
          <t>NULL</t>
        </is>
      </c>
      <c r="G1383" s="0" t="inlineStr">
        <is>
          <t>NULL</t>
        </is>
      </c>
      <c r="H1383" s="0" t="inlineStr">
        <is>
          <t>NULL</t>
        </is>
      </c>
      <c r="I1383" s="0" t="inlineStr">
        <is>
          <t>NULL</t>
        </is>
      </c>
      <c r="J1383" s="0" t="inlineStr">
        <is>
          <t>NULL</t>
        </is>
      </c>
      <c r="K1383" s="0" t="inlineStr">
        <is>
          <t>YES! 	 c_dt2_3列源备映射正确，源端为datetime2 None位	期望更改为datetime2(n)	实际备端为datetime2 None位</t>
        </is>
      </c>
    </row>
    <row r="1384">
      <c r="B1384" s="0" t="inlineStr">
        <is>
          <t>NULL</t>
        </is>
      </c>
      <c r="C1384" s="0" t="inlineStr">
        <is>
          <t>NULL</t>
        </is>
      </c>
      <c r="D1384" s="0" t="inlineStr">
        <is>
          <t>NULL</t>
        </is>
      </c>
      <c r="E1384" s="0" t="inlineStr">
        <is>
          <t>NULL</t>
        </is>
      </c>
      <c r="F1384" s="0" t="inlineStr">
        <is>
          <t>NULL</t>
        </is>
      </c>
      <c r="G1384" s="0" t="inlineStr">
        <is>
          <t>NULL</t>
        </is>
      </c>
      <c r="H1384" s="0" t="inlineStr">
        <is>
          <t>NULL</t>
        </is>
      </c>
      <c r="I1384" s="0" t="inlineStr">
        <is>
          <t>NULL</t>
        </is>
      </c>
      <c r="J1384" s="0" t="inlineStr">
        <is>
          <t>NULL</t>
        </is>
      </c>
      <c r="K1384" s="0" t="inlineStr">
        <is>
          <t>YES! 	 c_dt2_4列源备映射正确，源端为datetime2 None位	期望更改为datetime2(n)	实际备端为datetime2 None位</t>
        </is>
      </c>
    </row>
    <row r="1385">
      <c r="B1385" s="0" t="inlineStr">
        <is>
          <t>NULL</t>
        </is>
      </c>
      <c r="C1385" s="0" t="inlineStr">
        <is>
          <t>NULL</t>
        </is>
      </c>
      <c r="D1385" s="0" t="inlineStr">
        <is>
          <t>NULL</t>
        </is>
      </c>
      <c r="E1385" s="0" t="inlineStr">
        <is>
          <t>NULL</t>
        </is>
      </c>
      <c r="F1385" s="0" t="inlineStr">
        <is>
          <t>NULL</t>
        </is>
      </c>
      <c r="G1385" s="0" t="inlineStr">
        <is>
          <t>NULL</t>
        </is>
      </c>
      <c r="H1385" s="0" t="inlineStr">
        <is>
          <t>NULL</t>
        </is>
      </c>
      <c r="I1385" s="0" t="inlineStr">
        <is>
          <t>NULL</t>
        </is>
      </c>
      <c r="J1385" s="0" t="inlineStr">
        <is>
          <t>NULL</t>
        </is>
      </c>
      <c r="K1385" s="0" t="inlineStr">
        <is>
          <t>YES! 	 c_dt2_5列源备映射正确，源端为datetime2 None位	期望更改为datetime2(n)	实际备端为datetime2 None位</t>
        </is>
      </c>
    </row>
    <row r="1386">
      <c r="B1386" s="0" t="inlineStr">
        <is>
          <t>NULL</t>
        </is>
      </c>
      <c r="C1386" s="0" t="inlineStr">
        <is>
          <t>NULL</t>
        </is>
      </c>
      <c r="D1386" s="0" t="inlineStr">
        <is>
          <t>NULL</t>
        </is>
      </c>
      <c r="E1386" s="0" t="inlineStr">
        <is>
          <t>NULL</t>
        </is>
      </c>
      <c r="F1386" s="0" t="inlineStr">
        <is>
          <t>NULL</t>
        </is>
      </c>
      <c r="G1386" s="0" t="inlineStr">
        <is>
          <t>NULL</t>
        </is>
      </c>
      <c r="H1386" s="0" t="inlineStr">
        <is>
          <t>NULL</t>
        </is>
      </c>
      <c r="I1386" s="0" t="inlineStr">
        <is>
          <t>NULL</t>
        </is>
      </c>
      <c r="J1386" s="0" t="inlineStr">
        <is>
          <t>NULL</t>
        </is>
      </c>
      <c r="K1386" s="0" t="inlineStr">
        <is>
          <t>YES! 	 c_dt2_6列源备映射正确，源端为datetime2 None位	期望更改为datetime2(n)	实际备端为datetime2 None位</t>
        </is>
      </c>
    </row>
    <row r="1387">
      <c r="B1387" s="0" t="inlineStr">
        <is>
          <t>NULL</t>
        </is>
      </c>
      <c r="C1387" s="0" t="inlineStr">
        <is>
          <t>NULL</t>
        </is>
      </c>
      <c r="D1387" s="0" t="inlineStr">
        <is>
          <t>NULL</t>
        </is>
      </c>
      <c r="E1387" s="0" t="inlineStr">
        <is>
          <t>NULL</t>
        </is>
      </c>
      <c r="F1387" s="0" t="inlineStr">
        <is>
          <t>NULL</t>
        </is>
      </c>
      <c r="G1387" s="0" t="inlineStr">
        <is>
          <t>NULL</t>
        </is>
      </c>
      <c r="H1387" s="0" t="inlineStr">
        <is>
          <t>NULL</t>
        </is>
      </c>
      <c r="I1387" s="0" t="inlineStr">
        <is>
          <t>NULL</t>
        </is>
      </c>
      <c r="J1387" s="0" t="inlineStr">
        <is>
          <t>NULL</t>
        </is>
      </c>
      <c r="K1387" s="0" t="inlineStr">
        <is>
          <t>YES! 	 c_dt2列源备映射正确，源端为datetime2 None位	期望更改为datetime2(n)	实际备端为datetime2 None位</t>
        </is>
      </c>
    </row>
    <row r="1388">
      <c r="A1388" s="0" t="inlineStr">
        <is>
          <t>info_varcharmax_dml_batch2_pk_irp1</t>
        </is>
      </c>
      <c r="K1388" s="0" t="inlineStr">
        <is>
          <t>[0;34m info_varcharmax_dml_batch2_pk_irp1 [0m源备字段数相同，源端字段：3 	备端字段3</t>
        </is>
      </c>
      <c r="W1388" s="0" t="inlineStr">
        <is>
          <t>YES 源备无差异</t>
        </is>
      </c>
      <c r="X1388" s="0">
        <f>A1388</f>
        <v/>
      </c>
    </row>
    <row r="1389">
      <c r="B1389" s="0" t="inlineStr">
        <is>
          <t>YES</t>
        </is>
      </c>
      <c r="C1389" s="0" t="inlineStr">
        <is>
          <t>NULL</t>
        </is>
      </c>
      <c r="D1389" s="0" t="inlineStr">
        <is>
          <t>NULL</t>
        </is>
      </c>
      <c r="E1389" s="0" t="inlineStr">
        <is>
          <t>NULL</t>
        </is>
      </c>
      <c r="F1389" s="0" t="inlineStr">
        <is>
          <t>NULL</t>
        </is>
      </c>
      <c r="G1389" s="0" t="inlineStr">
        <is>
          <t>NULL</t>
        </is>
      </c>
      <c r="H1389" s="0" t="inlineStr">
        <is>
          <t>NULL</t>
        </is>
      </c>
      <c r="I1389" s="0" t="inlineStr">
        <is>
          <t>YES!PK__info_var__3213E83F7B4AD6A5</t>
        </is>
      </c>
      <c r="J1389" s="0" t="inlineStr">
        <is>
          <t>YES! 主键相关索引</t>
        </is>
      </c>
      <c r="K1389" s="0" t="inlineStr">
        <is>
          <t>YES! 	 id列源备映射正确，源端为int None位	期望更改为int	实际备端为int None位</t>
        </is>
      </c>
    </row>
    <row r="1390">
      <c r="B1390" s="0" t="inlineStr">
        <is>
          <t>NULL</t>
        </is>
      </c>
      <c r="C1390" s="0" t="inlineStr">
        <is>
          <t>NULL</t>
        </is>
      </c>
      <c r="D1390" s="0" t="inlineStr">
        <is>
          <t>NULL</t>
        </is>
      </c>
      <c r="E1390" s="0" t="inlineStr">
        <is>
          <t>NULL</t>
        </is>
      </c>
      <c r="F1390" s="0" t="inlineStr">
        <is>
          <t>NULL</t>
        </is>
      </c>
      <c r="G1390" s="0" t="inlineStr">
        <is>
          <t>NULL</t>
        </is>
      </c>
      <c r="H1390" s="0" t="inlineStr">
        <is>
          <t>NULL</t>
        </is>
      </c>
      <c r="I1390" s="0" t="inlineStr">
        <is>
          <t>NULL</t>
        </is>
      </c>
      <c r="J1390" s="0" t="inlineStr">
        <is>
          <t>NULL</t>
        </is>
      </c>
      <c r="K1390" s="0" t="inlineStr">
        <is>
          <t>YES! 	 c_varchar_max列源备映射正确，源端为varchar -1位	期望更改为varchar(n)	实际备端为varchar -1位</t>
        </is>
      </c>
    </row>
    <row r="1391">
      <c r="B1391" s="0" t="inlineStr">
        <is>
          <t>NULL</t>
        </is>
      </c>
      <c r="C1391" s="0" t="inlineStr">
        <is>
          <t>NULL</t>
        </is>
      </c>
      <c r="D1391" s="0" t="inlineStr">
        <is>
          <t>NULL</t>
        </is>
      </c>
      <c r="E1391" s="0" t="inlineStr">
        <is>
          <t>NULL</t>
        </is>
      </c>
      <c r="F1391" s="0" t="inlineStr">
        <is>
          <t>NULL</t>
        </is>
      </c>
      <c r="G1391" s="0" t="inlineStr">
        <is>
          <t>NULL</t>
        </is>
      </c>
      <c r="H1391" s="0" t="inlineStr">
        <is>
          <t>NULL</t>
        </is>
      </c>
      <c r="I1391" s="0" t="inlineStr">
        <is>
          <t>NULL</t>
        </is>
      </c>
      <c r="J1391" s="0" t="inlineStr">
        <is>
          <t>NULL</t>
        </is>
      </c>
      <c r="K1391" s="0" t="inlineStr">
        <is>
          <t>YES! 	 c_nvarchar_max列源备映射正确，源端为nvarchar -1位	期望更改为nvarchar(n)	实际备端为nvarchar -1位</t>
        </is>
      </c>
    </row>
    <row r="1392">
      <c r="K1392" s="0" t="inlineStr">
        <is>
          <t>~ 空表</t>
        </is>
      </c>
    </row>
    <row r="1393">
      <c r="A1393" s="0" t="inlineStr">
        <is>
          <t>info_datetime_dml_single_nopk_irp</t>
        </is>
      </c>
      <c r="K1393" s="0" t="inlineStr">
        <is>
          <t>[0;34m info_datetime_dml_single_nopk_irp [0m源备字段数相同，源端字段：2 	备端字段2</t>
        </is>
      </c>
      <c r="W1393" s="0" t="inlineStr">
        <is>
          <t>YES 源备无差异</t>
        </is>
      </c>
      <c r="X1393" s="0">
        <f>A1393</f>
        <v/>
      </c>
    </row>
    <row r="1394">
      <c r="B1394" s="0" t="inlineStr">
        <is>
          <t>NULL</t>
        </is>
      </c>
      <c r="C1394" s="0" t="inlineStr">
        <is>
          <t>NULL</t>
        </is>
      </c>
      <c r="D1394" s="0" t="inlineStr">
        <is>
          <t>NULL</t>
        </is>
      </c>
      <c r="E1394" s="0" t="inlineStr">
        <is>
          <t>NULL</t>
        </is>
      </c>
      <c r="F1394" s="0" t="inlineStr">
        <is>
          <t>NULL</t>
        </is>
      </c>
      <c r="G1394" s="0" t="inlineStr">
        <is>
          <t>NULL</t>
        </is>
      </c>
      <c r="H1394" s="0" t="inlineStr">
        <is>
          <t>NULL</t>
        </is>
      </c>
      <c r="I1394" s="0" t="inlineStr">
        <is>
          <t>NULL</t>
        </is>
      </c>
      <c r="J1394" s="0" t="inlineStr">
        <is>
          <t>NULL</t>
        </is>
      </c>
      <c r="K1394" s="0" t="inlineStr">
        <is>
          <t>YES! 	 id列源备映射正确，源端为int None位	期望更改为int	实际备端为int None位</t>
        </is>
      </c>
    </row>
    <row r="1395">
      <c r="B1395" s="0" t="inlineStr">
        <is>
          <t>NULL</t>
        </is>
      </c>
      <c r="C1395" s="0" t="inlineStr">
        <is>
          <t>NULL</t>
        </is>
      </c>
      <c r="D1395" s="0" t="inlineStr">
        <is>
          <t>NULL</t>
        </is>
      </c>
      <c r="E1395" s="0" t="inlineStr">
        <is>
          <t>NULL</t>
        </is>
      </c>
      <c r="F1395" s="0" t="inlineStr">
        <is>
          <t>NULL</t>
        </is>
      </c>
      <c r="G1395" s="0" t="inlineStr">
        <is>
          <t>NULL</t>
        </is>
      </c>
      <c r="H1395" s="0" t="inlineStr">
        <is>
          <t>NULL</t>
        </is>
      </c>
      <c r="I1395" s="0" t="inlineStr">
        <is>
          <t>NULL</t>
        </is>
      </c>
      <c r="J1395" s="0" t="inlineStr">
        <is>
          <t>NULL</t>
        </is>
      </c>
      <c r="K1395" s="0" t="inlineStr">
        <is>
          <t>YES! 	 c_datetime列源备映射正确，源端为datetime None位	期望更改为datetime	实际备端为datetime None位</t>
        </is>
      </c>
    </row>
    <row r="1396">
      <c r="A1396" s="0" t="inlineStr">
        <is>
          <t>info_datetimeoffset_dml_batch1_pk_drp1</t>
        </is>
      </c>
      <c r="K1396" s="0" t="inlineStr">
        <is>
          <t>[0;34m info_datetimeoffset_dml_batch1_pk_drp1 [0m源备字段数相同，源端字段：9 	备端字段9</t>
        </is>
      </c>
      <c r="W1396" s="0" t="inlineStr">
        <is>
          <t>YES 源备无差异</t>
        </is>
      </c>
      <c r="X1396" s="0">
        <f>A1396</f>
        <v/>
      </c>
    </row>
    <row r="1397">
      <c r="B1397" s="0" t="inlineStr">
        <is>
          <t>YES</t>
        </is>
      </c>
      <c r="C1397" s="0" t="inlineStr">
        <is>
          <t>NULL</t>
        </is>
      </c>
      <c r="D1397" s="0" t="inlineStr">
        <is>
          <t>NULL</t>
        </is>
      </c>
      <c r="E1397" s="0" t="inlineStr">
        <is>
          <t>NULL</t>
        </is>
      </c>
      <c r="F1397" s="0" t="inlineStr">
        <is>
          <t>NULL</t>
        </is>
      </c>
      <c r="G1397" s="0" t="inlineStr">
        <is>
          <t>NULL</t>
        </is>
      </c>
      <c r="H1397" s="0" t="inlineStr">
        <is>
          <t>NULL</t>
        </is>
      </c>
      <c r="I1397" s="0" t="inlineStr">
        <is>
          <t>YES!PK__info_dat__3213E83F0155A89F</t>
        </is>
      </c>
      <c r="J1397" s="0" t="inlineStr">
        <is>
          <t>YES! 主键相关索引</t>
        </is>
      </c>
      <c r="K1397" s="0" t="inlineStr">
        <is>
          <t>YES! 	 id列源备映射正确，源端为int None位	期望更改为int	实际备端为int None位</t>
        </is>
      </c>
    </row>
    <row r="1398">
      <c r="B1398" s="0" t="inlineStr">
        <is>
          <t>NULL</t>
        </is>
      </c>
      <c r="C1398" s="0" t="inlineStr">
        <is>
          <t>NULL</t>
        </is>
      </c>
      <c r="D1398" s="0" t="inlineStr">
        <is>
          <t>NULL</t>
        </is>
      </c>
      <c r="E1398" s="0" t="inlineStr">
        <is>
          <t>NULL</t>
        </is>
      </c>
      <c r="F1398" s="0" t="inlineStr">
        <is>
          <t>NULL</t>
        </is>
      </c>
      <c r="G1398" s="0" t="inlineStr">
        <is>
          <t>NULL</t>
        </is>
      </c>
      <c r="H1398" s="0" t="inlineStr">
        <is>
          <t>NULL</t>
        </is>
      </c>
      <c r="I1398" s="0" t="inlineStr">
        <is>
          <t>NULL</t>
        </is>
      </c>
      <c r="J1398" s="0" t="inlineStr">
        <is>
          <t>NULL</t>
        </is>
      </c>
      <c r="K1398" s="0" t="inlineStr">
        <is>
          <t>no,len不存在</t>
        </is>
      </c>
    </row>
    <row r="1399">
      <c r="B1399" s="0" t="inlineStr">
        <is>
          <t>NULL</t>
        </is>
      </c>
      <c r="C1399" s="0" t="inlineStr">
        <is>
          <t>NULL</t>
        </is>
      </c>
      <c r="D1399" s="0" t="inlineStr">
        <is>
          <t>NULL</t>
        </is>
      </c>
      <c r="E1399" s="0" t="inlineStr">
        <is>
          <t>NULL</t>
        </is>
      </c>
      <c r="F1399" s="0" t="inlineStr">
        <is>
          <t>NULL</t>
        </is>
      </c>
      <c r="G1399" s="0" t="inlineStr">
        <is>
          <t>NULL</t>
        </is>
      </c>
      <c r="H1399" s="0" t="inlineStr">
        <is>
          <t>NULL</t>
        </is>
      </c>
      <c r="I1399" s="0" t="inlineStr">
        <is>
          <t>NULL</t>
        </is>
      </c>
      <c r="J1399" s="0" t="inlineStr">
        <is>
          <t>NULL</t>
        </is>
      </c>
      <c r="K1399" s="0" t="inlineStr">
        <is>
          <t>YES! 	 c_dtoffset_1列源备映射正确，源端为datetimeoffset None位	期望更改为datetimeoffset(n)	实际备端为datetimeoffset None位</t>
        </is>
      </c>
    </row>
    <row r="1400">
      <c r="B1400" s="0" t="inlineStr">
        <is>
          <t>NULL</t>
        </is>
      </c>
      <c r="C1400" s="0" t="inlineStr">
        <is>
          <t>NULL</t>
        </is>
      </c>
      <c r="D1400" s="0" t="inlineStr">
        <is>
          <t>NULL</t>
        </is>
      </c>
      <c r="E1400" s="0" t="inlineStr">
        <is>
          <t>NULL</t>
        </is>
      </c>
      <c r="F1400" s="0" t="inlineStr">
        <is>
          <t>NULL</t>
        </is>
      </c>
      <c r="G1400" s="0" t="inlineStr">
        <is>
          <t>NULL</t>
        </is>
      </c>
      <c r="H1400" s="0" t="inlineStr">
        <is>
          <t>NULL</t>
        </is>
      </c>
      <c r="I1400" s="0" t="inlineStr">
        <is>
          <t>NULL</t>
        </is>
      </c>
      <c r="J1400" s="0" t="inlineStr">
        <is>
          <t>NULL</t>
        </is>
      </c>
      <c r="K1400" s="0" t="inlineStr">
        <is>
          <t>YES! 	 c_dtoffset_2列源备映射正确，源端为datetimeoffset None位	期望更改为datetimeoffset(n)	实际备端为datetimeoffset None位</t>
        </is>
      </c>
    </row>
    <row r="1401">
      <c r="B1401" s="0" t="inlineStr">
        <is>
          <t>NULL</t>
        </is>
      </c>
      <c r="C1401" s="0" t="inlineStr">
        <is>
          <t>NULL</t>
        </is>
      </c>
      <c r="D1401" s="0" t="inlineStr">
        <is>
          <t>NULL</t>
        </is>
      </c>
      <c r="E1401" s="0" t="inlineStr">
        <is>
          <t>NULL</t>
        </is>
      </c>
      <c r="F1401" s="0" t="inlineStr">
        <is>
          <t>NULL</t>
        </is>
      </c>
      <c r="G1401" s="0" t="inlineStr">
        <is>
          <t>NULL</t>
        </is>
      </c>
      <c r="H1401" s="0" t="inlineStr">
        <is>
          <t>NULL</t>
        </is>
      </c>
      <c r="I1401" s="0" t="inlineStr">
        <is>
          <t>NULL</t>
        </is>
      </c>
      <c r="J1401" s="0" t="inlineStr">
        <is>
          <t>NULL</t>
        </is>
      </c>
      <c r="K1401" s="0" t="inlineStr">
        <is>
          <t>YES! 	 c_dtoffset_3列源备映射正确，源端为datetimeoffset None位	期望更改为datetimeoffset(n)	实际备端为datetimeoffset None位</t>
        </is>
      </c>
    </row>
    <row r="1402">
      <c r="B1402" s="0" t="inlineStr">
        <is>
          <t>NULL</t>
        </is>
      </c>
      <c r="C1402" s="0" t="inlineStr">
        <is>
          <t>NULL</t>
        </is>
      </c>
      <c r="D1402" s="0" t="inlineStr">
        <is>
          <t>NULL</t>
        </is>
      </c>
      <c r="E1402" s="0" t="inlineStr">
        <is>
          <t>NULL</t>
        </is>
      </c>
      <c r="F1402" s="0" t="inlineStr">
        <is>
          <t>NULL</t>
        </is>
      </c>
      <c r="G1402" s="0" t="inlineStr">
        <is>
          <t>NULL</t>
        </is>
      </c>
      <c r="H1402" s="0" t="inlineStr">
        <is>
          <t>NULL</t>
        </is>
      </c>
      <c r="I1402" s="0" t="inlineStr">
        <is>
          <t>NULL</t>
        </is>
      </c>
      <c r="J1402" s="0" t="inlineStr">
        <is>
          <t>NULL</t>
        </is>
      </c>
      <c r="K1402" s="0" t="inlineStr">
        <is>
          <t>YES! 	 c_dtoffset_4列源备映射正确，源端为datetimeoffset None位	期望更改为datetimeoffset(n)	实际备端为datetimeoffset None位</t>
        </is>
      </c>
    </row>
    <row r="1403">
      <c r="B1403" s="0" t="inlineStr">
        <is>
          <t>NULL</t>
        </is>
      </c>
      <c r="C1403" s="0" t="inlineStr">
        <is>
          <t>NULL</t>
        </is>
      </c>
      <c r="D1403" s="0" t="inlineStr">
        <is>
          <t>NULL</t>
        </is>
      </c>
      <c r="E1403" s="0" t="inlineStr">
        <is>
          <t>NULL</t>
        </is>
      </c>
      <c r="F1403" s="0" t="inlineStr">
        <is>
          <t>NULL</t>
        </is>
      </c>
      <c r="G1403" s="0" t="inlineStr">
        <is>
          <t>NULL</t>
        </is>
      </c>
      <c r="H1403" s="0" t="inlineStr">
        <is>
          <t>NULL</t>
        </is>
      </c>
      <c r="I1403" s="0" t="inlineStr">
        <is>
          <t>NULL</t>
        </is>
      </c>
      <c r="J1403" s="0" t="inlineStr">
        <is>
          <t>NULL</t>
        </is>
      </c>
      <c r="K1403" s="0" t="inlineStr">
        <is>
          <t>YES! 	 c_dtoffset_5列源备映射正确，源端为datetimeoffset None位	期望更改为datetimeoffset(n)	实际备端为datetimeoffset None位</t>
        </is>
      </c>
    </row>
    <row r="1404">
      <c r="B1404" s="0" t="inlineStr">
        <is>
          <t>NULL</t>
        </is>
      </c>
      <c r="C1404" s="0" t="inlineStr">
        <is>
          <t>NULL</t>
        </is>
      </c>
      <c r="D1404" s="0" t="inlineStr">
        <is>
          <t>NULL</t>
        </is>
      </c>
      <c r="E1404" s="0" t="inlineStr">
        <is>
          <t>NULL</t>
        </is>
      </c>
      <c r="F1404" s="0" t="inlineStr">
        <is>
          <t>NULL</t>
        </is>
      </c>
      <c r="G1404" s="0" t="inlineStr">
        <is>
          <t>NULL</t>
        </is>
      </c>
      <c r="H1404" s="0" t="inlineStr">
        <is>
          <t>NULL</t>
        </is>
      </c>
      <c r="I1404" s="0" t="inlineStr">
        <is>
          <t>NULL</t>
        </is>
      </c>
      <c r="J1404" s="0" t="inlineStr">
        <is>
          <t>NULL</t>
        </is>
      </c>
      <c r="K1404" s="0" t="inlineStr">
        <is>
          <t>YES! 	 c_dtoffset_6列源备映射正确，源端为datetimeoffset None位	期望更改为datetimeoffset(n)	实际备端为datetimeoffset None位</t>
        </is>
      </c>
    </row>
    <row r="1405">
      <c r="B1405" s="0" t="inlineStr">
        <is>
          <t>NULL</t>
        </is>
      </c>
      <c r="C1405" s="0" t="inlineStr">
        <is>
          <t>NULL</t>
        </is>
      </c>
      <c r="D1405" s="0" t="inlineStr">
        <is>
          <t>NULL</t>
        </is>
      </c>
      <c r="E1405" s="0" t="inlineStr">
        <is>
          <t>NULL</t>
        </is>
      </c>
      <c r="F1405" s="0" t="inlineStr">
        <is>
          <t>NULL</t>
        </is>
      </c>
      <c r="G1405" s="0" t="inlineStr">
        <is>
          <t>NULL</t>
        </is>
      </c>
      <c r="H1405" s="0" t="inlineStr">
        <is>
          <t>NULL</t>
        </is>
      </c>
      <c r="I1405" s="0" t="inlineStr">
        <is>
          <t>NULL</t>
        </is>
      </c>
      <c r="J1405" s="0" t="inlineStr">
        <is>
          <t>NULL</t>
        </is>
      </c>
      <c r="K1405" s="0" t="inlineStr">
        <is>
          <t>YES! 	 c_dtoffset列源备映射正确，源端为datetimeoffset None位	期望更改为datetimeoffset(n)	实际备端为datetimeoffset None位</t>
        </is>
      </c>
    </row>
    <row r="1406">
      <c r="K1406" s="0" t="inlineStr">
        <is>
          <t>~ 空表</t>
        </is>
      </c>
    </row>
    <row r="1407">
      <c r="A1407" s="0" t="inlineStr">
        <is>
          <t>info_datetimeoffset_dml_single_pk_irp</t>
        </is>
      </c>
      <c r="K1407" s="0" t="inlineStr">
        <is>
          <t>[0;34m info_datetimeoffset_dml_single_pk_irp [0m源备字段数相同，源端字段：9 	备端字段9</t>
        </is>
      </c>
      <c r="W1407" s="0" t="inlineStr">
        <is>
          <t>YES 源备无差异</t>
        </is>
      </c>
      <c r="X1407" s="0">
        <f>A1407</f>
        <v/>
      </c>
    </row>
    <row r="1408">
      <c r="B1408" s="0" t="inlineStr">
        <is>
          <t>YES</t>
        </is>
      </c>
      <c r="C1408" s="0" t="inlineStr">
        <is>
          <t>NULL</t>
        </is>
      </c>
      <c r="D1408" s="0" t="inlineStr">
        <is>
          <t>NULL</t>
        </is>
      </c>
      <c r="E1408" s="0" t="inlineStr">
        <is>
          <t>NULL</t>
        </is>
      </c>
      <c r="F1408" s="0" t="inlineStr">
        <is>
          <t>NULL</t>
        </is>
      </c>
      <c r="G1408" s="0" t="inlineStr">
        <is>
          <t>NULL</t>
        </is>
      </c>
      <c r="H1408" s="0" t="inlineStr">
        <is>
          <t>NULL</t>
        </is>
      </c>
      <c r="I1408" s="0" t="inlineStr">
        <is>
          <t>YES!PK__info_dat__3213E83FC574CA33</t>
        </is>
      </c>
      <c r="J1408" s="0" t="inlineStr">
        <is>
          <t>YES! 主键相关索引</t>
        </is>
      </c>
      <c r="K1408" s="0" t="inlineStr">
        <is>
          <t>YES! 	 id列源备映射正确，源端为int None位	期望更改为int	实际备端为int None位</t>
        </is>
      </c>
    </row>
    <row r="1409">
      <c r="B1409" s="0" t="inlineStr">
        <is>
          <t>NULL</t>
        </is>
      </c>
      <c r="C1409" s="0" t="inlineStr">
        <is>
          <t>NULL</t>
        </is>
      </c>
      <c r="D1409" s="0" t="inlineStr">
        <is>
          <t>NULL</t>
        </is>
      </c>
      <c r="E1409" s="0" t="inlineStr">
        <is>
          <t>NULL</t>
        </is>
      </c>
      <c r="F1409" s="0" t="inlineStr">
        <is>
          <t>NULL</t>
        </is>
      </c>
      <c r="G1409" s="0" t="inlineStr">
        <is>
          <t>NULL</t>
        </is>
      </c>
      <c r="H1409" s="0" t="inlineStr">
        <is>
          <t>NULL</t>
        </is>
      </c>
      <c r="I1409" s="0" t="inlineStr">
        <is>
          <t>NULL</t>
        </is>
      </c>
      <c r="J1409" s="0" t="inlineStr">
        <is>
          <t>NULL</t>
        </is>
      </c>
      <c r="K1409" s="0" t="inlineStr">
        <is>
          <t>no,len不存在</t>
        </is>
      </c>
    </row>
    <row r="1410">
      <c r="B1410" s="0" t="inlineStr">
        <is>
          <t>NULL</t>
        </is>
      </c>
      <c r="C1410" s="0" t="inlineStr">
        <is>
          <t>NULL</t>
        </is>
      </c>
      <c r="D1410" s="0" t="inlineStr">
        <is>
          <t>NULL</t>
        </is>
      </c>
      <c r="E1410" s="0" t="inlineStr">
        <is>
          <t>NULL</t>
        </is>
      </c>
      <c r="F1410" s="0" t="inlineStr">
        <is>
          <t>NULL</t>
        </is>
      </c>
      <c r="G1410" s="0" t="inlineStr">
        <is>
          <t>NULL</t>
        </is>
      </c>
      <c r="H1410" s="0" t="inlineStr">
        <is>
          <t>NULL</t>
        </is>
      </c>
      <c r="I1410" s="0" t="inlineStr">
        <is>
          <t>NULL</t>
        </is>
      </c>
      <c r="J1410" s="0" t="inlineStr">
        <is>
          <t>NULL</t>
        </is>
      </c>
      <c r="K1410" s="0" t="inlineStr">
        <is>
          <t>YES! 	 c_dtoffset_1列源备映射正确，源端为datetimeoffset None位	期望更改为datetimeoffset(n)	实际备端为datetimeoffset None位</t>
        </is>
      </c>
    </row>
    <row r="1411">
      <c r="B1411" s="0" t="inlineStr">
        <is>
          <t>NULL</t>
        </is>
      </c>
      <c r="C1411" s="0" t="inlineStr">
        <is>
          <t>NULL</t>
        </is>
      </c>
      <c r="D1411" s="0" t="inlineStr">
        <is>
          <t>NULL</t>
        </is>
      </c>
      <c r="E1411" s="0" t="inlineStr">
        <is>
          <t>NULL</t>
        </is>
      </c>
      <c r="F1411" s="0" t="inlineStr">
        <is>
          <t>NULL</t>
        </is>
      </c>
      <c r="G1411" s="0" t="inlineStr">
        <is>
          <t>NULL</t>
        </is>
      </c>
      <c r="H1411" s="0" t="inlineStr">
        <is>
          <t>NULL</t>
        </is>
      </c>
      <c r="I1411" s="0" t="inlineStr">
        <is>
          <t>NULL</t>
        </is>
      </c>
      <c r="J1411" s="0" t="inlineStr">
        <is>
          <t>NULL</t>
        </is>
      </c>
      <c r="K1411" s="0" t="inlineStr">
        <is>
          <t>YES! 	 c_dtoffset_2列源备映射正确，源端为datetimeoffset None位	期望更改为datetimeoffset(n)	实际备端为datetimeoffset None位</t>
        </is>
      </c>
    </row>
    <row r="1412">
      <c r="B1412" s="0" t="inlineStr">
        <is>
          <t>NULL</t>
        </is>
      </c>
      <c r="C1412" s="0" t="inlineStr">
        <is>
          <t>NULL</t>
        </is>
      </c>
      <c r="D1412" s="0" t="inlineStr">
        <is>
          <t>NULL</t>
        </is>
      </c>
      <c r="E1412" s="0" t="inlineStr">
        <is>
          <t>NULL</t>
        </is>
      </c>
      <c r="F1412" s="0" t="inlineStr">
        <is>
          <t>NULL</t>
        </is>
      </c>
      <c r="G1412" s="0" t="inlineStr">
        <is>
          <t>NULL</t>
        </is>
      </c>
      <c r="H1412" s="0" t="inlineStr">
        <is>
          <t>NULL</t>
        </is>
      </c>
      <c r="I1412" s="0" t="inlineStr">
        <is>
          <t>NULL</t>
        </is>
      </c>
      <c r="J1412" s="0" t="inlineStr">
        <is>
          <t>NULL</t>
        </is>
      </c>
      <c r="K1412" s="0" t="inlineStr">
        <is>
          <t>YES! 	 c_dtoffset_3列源备映射正确，源端为datetimeoffset None位	期望更改为datetimeoffset(n)	实际备端为datetimeoffset None位</t>
        </is>
      </c>
    </row>
    <row r="1413">
      <c r="B1413" s="0" t="inlineStr">
        <is>
          <t>NULL</t>
        </is>
      </c>
      <c r="C1413" s="0" t="inlineStr">
        <is>
          <t>NULL</t>
        </is>
      </c>
      <c r="D1413" s="0" t="inlineStr">
        <is>
          <t>NULL</t>
        </is>
      </c>
      <c r="E1413" s="0" t="inlineStr">
        <is>
          <t>NULL</t>
        </is>
      </c>
      <c r="F1413" s="0" t="inlineStr">
        <is>
          <t>NULL</t>
        </is>
      </c>
      <c r="G1413" s="0" t="inlineStr">
        <is>
          <t>NULL</t>
        </is>
      </c>
      <c r="H1413" s="0" t="inlineStr">
        <is>
          <t>NULL</t>
        </is>
      </c>
      <c r="I1413" s="0" t="inlineStr">
        <is>
          <t>NULL</t>
        </is>
      </c>
      <c r="J1413" s="0" t="inlineStr">
        <is>
          <t>NULL</t>
        </is>
      </c>
      <c r="K1413" s="0" t="inlineStr">
        <is>
          <t>YES! 	 c_dtoffset_4列源备映射正确，源端为datetimeoffset None位	期望更改为datetimeoffset(n)	实际备端为datetimeoffset None位</t>
        </is>
      </c>
    </row>
    <row r="1414">
      <c r="B1414" s="0" t="inlineStr">
        <is>
          <t>NULL</t>
        </is>
      </c>
      <c r="C1414" s="0" t="inlineStr">
        <is>
          <t>NULL</t>
        </is>
      </c>
      <c r="D1414" s="0" t="inlineStr">
        <is>
          <t>NULL</t>
        </is>
      </c>
      <c r="E1414" s="0" t="inlineStr">
        <is>
          <t>NULL</t>
        </is>
      </c>
      <c r="F1414" s="0" t="inlineStr">
        <is>
          <t>NULL</t>
        </is>
      </c>
      <c r="G1414" s="0" t="inlineStr">
        <is>
          <t>NULL</t>
        </is>
      </c>
      <c r="H1414" s="0" t="inlineStr">
        <is>
          <t>NULL</t>
        </is>
      </c>
      <c r="I1414" s="0" t="inlineStr">
        <is>
          <t>NULL</t>
        </is>
      </c>
      <c r="J1414" s="0" t="inlineStr">
        <is>
          <t>NULL</t>
        </is>
      </c>
      <c r="K1414" s="0" t="inlineStr">
        <is>
          <t>YES! 	 c_dtoffset_5列源备映射正确，源端为datetimeoffset None位	期望更改为datetimeoffset(n)	实际备端为datetimeoffset None位</t>
        </is>
      </c>
    </row>
    <row r="1415">
      <c r="B1415" s="0" t="inlineStr">
        <is>
          <t>NULL</t>
        </is>
      </c>
      <c r="C1415" s="0" t="inlineStr">
        <is>
          <t>NULL</t>
        </is>
      </c>
      <c r="D1415" s="0" t="inlineStr">
        <is>
          <t>NULL</t>
        </is>
      </c>
      <c r="E1415" s="0" t="inlineStr">
        <is>
          <t>NULL</t>
        </is>
      </c>
      <c r="F1415" s="0" t="inlineStr">
        <is>
          <t>NULL</t>
        </is>
      </c>
      <c r="G1415" s="0" t="inlineStr">
        <is>
          <t>NULL</t>
        </is>
      </c>
      <c r="H1415" s="0" t="inlineStr">
        <is>
          <t>NULL</t>
        </is>
      </c>
      <c r="I1415" s="0" t="inlineStr">
        <is>
          <t>NULL</t>
        </is>
      </c>
      <c r="J1415" s="0" t="inlineStr">
        <is>
          <t>NULL</t>
        </is>
      </c>
      <c r="K1415" s="0" t="inlineStr">
        <is>
          <t>YES! 	 c_dtoffset_6列源备映射正确，源端为datetimeoffset None位	期望更改为datetimeoffset(n)	实际备端为datetimeoffset None位</t>
        </is>
      </c>
    </row>
    <row r="1416">
      <c r="B1416" s="0" t="inlineStr">
        <is>
          <t>NULL</t>
        </is>
      </c>
      <c r="C1416" s="0" t="inlineStr">
        <is>
          <t>NULL</t>
        </is>
      </c>
      <c r="D1416" s="0" t="inlineStr">
        <is>
          <t>NULL</t>
        </is>
      </c>
      <c r="E1416" s="0" t="inlineStr">
        <is>
          <t>NULL</t>
        </is>
      </c>
      <c r="F1416" s="0" t="inlineStr">
        <is>
          <t>NULL</t>
        </is>
      </c>
      <c r="G1416" s="0" t="inlineStr">
        <is>
          <t>NULL</t>
        </is>
      </c>
      <c r="H1416" s="0" t="inlineStr">
        <is>
          <t>NULL</t>
        </is>
      </c>
      <c r="I1416" s="0" t="inlineStr">
        <is>
          <t>NULL</t>
        </is>
      </c>
      <c r="J1416" s="0" t="inlineStr">
        <is>
          <t>NULL</t>
        </is>
      </c>
      <c r="K1416" s="0" t="inlineStr">
        <is>
          <t>YES! 	 c_dtoffset列源备映射正确，源端为datetimeoffset None位	期望更改为datetimeoffset(n)	实际备端为datetimeoffset None位</t>
        </is>
      </c>
    </row>
    <row r="1417">
      <c r="A1417" s="0" t="inlineStr">
        <is>
          <t>info_datetime_dml_single_nopk_drp</t>
        </is>
      </c>
      <c r="K1417" s="0" t="inlineStr">
        <is>
          <t>[0;34m info_datetime_dml_single_nopk_drp [0m源备字段数相同，源端字段：2 	备端字段2</t>
        </is>
      </c>
      <c r="W1417" s="0" t="inlineStr">
        <is>
          <t>YES 源备无差异</t>
        </is>
      </c>
      <c r="X1417" s="0">
        <f>A1417</f>
        <v/>
      </c>
    </row>
    <row r="1418">
      <c r="B1418" s="0" t="inlineStr">
        <is>
          <t>NULL</t>
        </is>
      </c>
      <c r="C1418" s="0" t="inlineStr">
        <is>
          <t>NULL</t>
        </is>
      </c>
      <c r="D1418" s="0" t="inlineStr">
        <is>
          <t>NULL</t>
        </is>
      </c>
      <c r="E1418" s="0" t="inlineStr">
        <is>
          <t>NULL</t>
        </is>
      </c>
      <c r="F1418" s="0" t="inlineStr">
        <is>
          <t>NULL</t>
        </is>
      </c>
      <c r="G1418" s="0" t="inlineStr">
        <is>
          <t>NULL</t>
        </is>
      </c>
      <c r="H1418" s="0" t="inlineStr">
        <is>
          <t>NULL</t>
        </is>
      </c>
      <c r="I1418" s="0" t="inlineStr">
        <is>
          <t>NULL</t>
        </is>
      </c>
      <c r="J1418" s="0" t="inlineStr">
        <is>
          <t>NULL</t>
        </is>
      </c>
      <c r="K1418" s="0" t="inlineStr">
        <is>
          <t>YES! 	 id列源备映射正确，源端为int None位	期望更改为int	实际备端为int None位</t>
        </is>
      </c>
    </row>
    <row r="1419">
      <c r="B1419" s="0" t="inlineStr">
        <is>
          <t>NULL</t>
        </is>
      </c>
      <c r="C1419" s="0" t="inlineStr">
        <is>
          <t>NULL</t>
        </is>
      </c>
      <c r="D1419" s="0" t="inlineStr">
        <is>
          <t>NULL</t>
        </is>
      </c>
      <c r="E1419" s="0" t="inlineStr">
        <is>
          <t>NULL</t>
        </is>
      </c>
      <c r="F1419" s="0" t="inlineStr">
        <is>
          <t>NULL</t>
        </is>
      </c>
      <c r="G1419" s="0" t="inlineStr">
        <is>
          <t>NULL</t>
        </is>
      </c>
      <c r="H1419" s="0" t="inlineStr">
        <is>
          <t>NULL</t>
        </is>
      </c>
      <c r="I1419" s="0" t="inlineStr">
        <is>
          <t>NULL</t>
        </is>
      </c>
      <c r="J1419" s="0" t="inlineStr">
        <is>
          <t>NULL</t>
        </is>
      </c>
      <c r="K1419" s="0" t="inlineStr">
        <is>
          <t>YES! 	 c_datetime列源备映射正确，源端为datetime None位	期望更改为datetime	实际备端为datetime None位</t>
        </is>
      </c>
    </row>
    <row r="1420">
      <c r="A1420" s="0" t="inlineStr">
        <is>
          <t>info_varbinary_max_dml_single_nopk_irp</t>
        </is>
      </c>
      <c r="K1420" s="0" t="inlineStr">
        <is>
          <t>[0;34m info_varbinary_max_dml_single_nopk_irp [0m源备字段数相同，源端字段：4 	备端字段4</t>
        </is>
      </c>
      <c r="W1420" s="0" t="inlineStr">
        <is>
          <t>YES 源备无差异</t>
        </is>
      </c>
      <c r="X1420" s="0">
        <f>A1420</f>
        <v/>
      </c>
    </row>
    <row r="1421">
      <c r="B1421" s="0" t="inlineStr">
        <is>
          <t>NULL</t>
        </is>
      </c>
      <c r="C1421" s="0" t="inlineStr">
        <is>
          <t>NULL</t>
        </is>
      </c>
      <c r="D1421" s="0" t="inlineStr">
        <is>
          <t>NULL</t>
        </is>
      </c>
      <c r="E1421" s="0" t="inlineStr">
        <is>
          <t>NULL</t>
        </is>
      </c>
      <c r="F1421" s="0" t="inlineStr">
        <is>
          <t>NULL</t>
        </is>
      </c>
      <c r="G1421" s="0" t="inlineStr">
        <is>
          <t>NULL</t>
        </is>
      </c>
      <c r="H1421" s="0" t="inlineStr">
        <is>
          <t>NULL</t>
        </is>
      </c>
      <c r="I1421" s="0" t="inlineStr">
        <is>
          <t>NULL</t>
        </is>
      </c>
      <c r="J1421" s="0" t="inlineStr">
        <is>
          <t>NULL</t>
        </is>
      </c>
      <c r="K1421" s="0" t="inlineStr">
        <is>
          <t>YES! 	 id列源备映射正确，源端为int None位	期望更改为int	实际备端为int None位</t>
        </is>
      </c>
    </row>
    <row r="1422">
      <c r="B1422" s="0" t="inlineStr">
        <is>
          <t>NULL</t>
        </is>
      </c>
      <c r="C1422" s="0" t="inlineStr">
        <is>
          <t>NULL</t>
        </is>
      </c>
      <c r="D1422" s="0" t="inlineStr">
        <is>
          <t>NULL</t>
        </is>
      </c>
      <c r="E1422" s="0" t="inlineStr">
        <is>
          <t>NULL</t>
        </is>
      </c>
      <c r="F1422" s="0" t="inlineStr">
        <is>
          <t>NULL</t>
        </is>
      </c>
      <c r="G1422" s="0" t="inlineStr">
        <is>
          <t>NULL</t>
        </is>
      </c>
      <c r="H1422" s="0" t="inlineStr">
        <is>
          <t>NULL</t>
        </is>
      </c>
      <c r="I1422" s="0" t="inlineStr">
        <is>
          <t>NULL</t>
        </is>
      </c>
      <c r="J1422" s="0" t="inlineStr">
        <is>
          <t>NULL</t>
        </is>
      </c>
      <c r="K1422" s="0" t="inlineStr">
        <is>
          <t>YES! 	 c_varbinary_max1列源备映射正确，源端为varbinary -1位	期望更改为varbinary(n)	实际备端为varbinary -1位</t>
        </is>
      </c>
    </row>
    <row r="1423">
      <c r="B1423" s="0" t="inlineStr">
        <is>
          <t>NULL</t>
        </is>
      </c>
      <c r="C1423" s="0" t="inlineStr">
        <is>
          <t>NULL</t>
        </is>
      </c>
      <c r="D1423" s="0" t="inlineStr">
        <is>
          <t>NULL</t>
        </is>
      </c>
      <c r="E1423" s="0" t="inlineStr">
        <is>
          <t>NULL</t>
        </is>
      </c>
      <c r="F1423" s="0" t="inlineStr">
        <is>
          <t>NULL</t>
        </is>
      </c>
      <c r="G1423" s="0" t="inlineStr">
        <is>
          <t>NULL</t>
        </is>
      </c>
      <c r="H1423" s="0" t="inlineStr">
        <is>
          <t>NULL</t>
        </is>
      </c>
      <c r="I1423" s="0" t="inlineStr">
        <is>
          <t>NULL</t>
        </is>
      </c>
      <c r="J1423" s="0" t="inlineStr">
        <is>
          <t>NULL</t>
        </is>
      </c>
      <c r="K1423" s="0" t="inlineStr">
        <is>
          <t>YES! 	 c_varbinary_max2列源备映射正确，源端为varbinary -1位	期望更改为varbinary(n)	实际备端为varbinary -1位</t>
        </is>
      </c>
    </row>
    <row r="1424">
      <c r="B1424" s="0" t="inlineStr">
        <is>
          <t>NULL</t>
        </is>
      </c>
      <c r="C1424" s="0" t="inlineStr">
        <is>
          <t>NULL</t>
        </is>
      </c>
      <c r="D1424" s="0" t="inlineStr">
        <is>
          <t>NULL</t>
        </is>
      </c>
      <c r="E1424" s="0" t="inlineStr">
        <is>
          <t>NULL</t>
        </is>
      </c>
      <c r="F1424" s="0" t="inlineStr">
        <is>
          <t>NULL</t>
        </is>
      </c>
      <c r="G1424" s="0" t="inlineStr">
        <is>
          <t>NULL</t>
        </is>
      </c>
      <c r="H1424" s="0" t="inlineStr">
        <is>
          <t>NULL</t>
        </is>
      </c>
      <c r="I1424" s="0" t="inlineStr">
        <is>
          <t>NULL</t>
        </is>
      </c>
      <c r="J1424" s="0" t="inlineStr">
        <is>
          <t>NULL</t>
        </is>
      </c>
      <c r="K1424" s="0" t="inlineStr">
        <is>
          <t>YES! 	 c_image3列源备映射正确，源端为image 2147483647位	期望更改为image	实际备端为image 2147483647位</t>
        </is>
      </c>
    </row>
    <row r="1425">
      <c r="A1425" s="0" t="inlineStr">
        <is>
          <t>info_binary_dml_single_pk_irp</t>
        </is>
      </c>
      <c r="K1425" s="0" t="inlineStr">
        <is>
          <t>[0;34m info_binary_dml_single_pk_irp [0m源备字段数相同，源端字段：4 	备端字段4</t>
        </is>
      </c>
      <c r="W1425" s="0" t="inlineStr">
        <is>
          <t>YES 源备无差异</t>
        </is>
      </c>
      <c r="X1425" s="0">
        <f>A1425</f>
        <v/>
      </c>
    </row>
    <row r="1426">
      <c r="B1426" s="0" t="inlineStr">
        <is>
          <t>YES</t>
        </is>
      </c>
      <c r="C1426" s="0" t="inlineStr">
        <is>
          <t>NULL</t>
        </is>
      </c>
      <c r="D1426" s="0" t="inlineStr">
        <is>
          <t>NULL</t>
        </is>
      </c>
      <c r="E1426" s="0" t="inlineStr">
        <is>
          <t>NULL</t>
        </is>
      </c>
      <c r="F1426" s="0" t="inlineStr">
        <is>
          <t>NULL</t>
        </is>
      </c>
      <c r="G1426" s="0" t="inlineStr">
        <is>
          <t>NULL</t>
        </is>
      </c>
      <c r="H1426" s="0" t="inlineStr">
        <is>
          <t>NULL</t>
        </is>
      </c>
      <c r="I1426" s="0" t="inlineStr">
        <is>
          <t>YES!PK__info_bin__3213E83FFC5F28A0</t>
        </is>
      </c>
      <c r="J1426" s="0" t="inlineStr">
        <is>
          <t>YES! 主键相关索引</t>
        </is>
      </c>
      <c r="K1426" s="0" t="inlineStr">
        <is>
          <t>YES! 	 id列源备映射正确，源端为int None位	期望更改为int	实际备端为int None位</t>
        </is>
      </c>
    </row>
    <row r="1427">
      <c r="B1427" s="0" t="inlineStr">
        <is>
          <t>NULL</t>
        </is>
      </c>
      <c r="C1427" s="0" t="inlineStr">
        <is>
          <t>NULL</t>
        </is>
      </c>
      <c r="D1427" s="0" t="inlineStr">
        <is>
          <t>NULL</t>
        </is>
      </c>
      <c r="E1427" s="0" t="inlineStr">
        <is>
          <t>NULL</t>
        </is>
      </c>
      <c r="F1427" s="0" t="inlineStr">
        <is>
          <t>NULL</t>
        </is>
      </c>
      <c r="G1427" s="0" t="inlineStr">
        <is>
          <t>NULL</t>
        </is>
      </c>
      <c r="H1427" s="0" t="inlineStr">
        <is>
          <t>NULL</t>
        </is>
      </c>
      <c r="I1427" s="0" t="inlineStr">
        <is>
          <t>NULL</t>
        </is>
      </c>
      <c r="J1427" s="0" t="inlineStr">
        <is>
          <t>NULL</t>
        </is>
      </c>
      <c r="K1427" s="0" t="inlineStr">
        <is>
          <t>YES! 	 c_binary列源备映射正确，源端为binary 1位	期望更改为binary(n)	实际备端为binary 1位</t>
        </is>
      </c>
    </row>
    <row r="1428">
      <c r="B1428" s="0" t="inlineStr">
        <is>
          <t>NULL</t>
        </is>
      </c>
      <c r="C1428" s="0" t="inlineStr">
        <is>
          <t>NULL</t>
        </is>
      </c>
      <c r="D1428" s="0" t="inlineStr">
        <is>
          <t>NULL</t>
        </is>
      </c>
      <c r="E1428" s="0" t="inlineStr">
        <is>
          <t>NULL</t>
        </is>
      </c>
      <c r="F1428" s="0" t="inlineStr">
        <is>
          <t>NULL</t>
        </is>
      </c>
      <c r="G1428" s="0" t="inlineStr">
        <is>
          <t>NULL</t>
        </is>
      </c>
      <c r="H1428" s="0" t="inlineStr">
        <is>
          <t>NULL</t>
        </is>
      </c>
      <c r="I1428" s="0" t="inlineStr">
        <is>
          <t>NULL</t>
        </is>
      </c>
      <c r="J1428" s="0" t="inlineStr">
        <is>
          <t>NULL</t>
        </is>
      </c>
      <c r="K1428" s="0" t="inlineStr">
        <is>
          <t>YES! 	 c_binary_20列源备映射正确，源端为binary 20位	期望更改为binary(n)	实际备端为binary 20位</t>
        </is>
      </c>
    </row>
    <row r="1429">
      <c r="B1429" s="0" t="inlineStr">
        <is>
          <t>NULL</t>
        </is>
      </c>
      <c r="C1429" s="0" t="inlineStr">
        <is>
          <t>NULL</t>
        </is>
      </c>
      <c r="D1429" s="0" t="inlineStr">
        <is>
          <t>NULL</t>
        </is>
      </c>
      <c r="E1429" s="0" t="inlineStr">
        <is>
          <t>NULL</t>
        </is>
      </c>
      <c r="F1429" s="0" t="inlineStr">
        <is>
          <t>NULL</t>
        </is>
      </c>
      <c r="G1429" s="0" t="inlineStr">
        <is>
          <t>NULL</t>
        </is>
      </c>
      <c r="H1429" s="0" t="inlineStr">
        <is>
          <t>NULL</t>
        </is>
      </c>
      <c r="I1429" s="0" t="inlineStr">
        <is>
          <t>NULL</t>
        </is>
      </c>
      <c r="J1429" s="0" t="inlineStr">
        <is>
          <t>NULL</t>
        </is>
      </c>
      <c r="K1429" s="0" t="inlineStr">
        <is>
          <t>YES! 	 c_binary_8000列源备映射正确，源端为binary 8000位	期望更改为binary(n)	实际备端为binary 8000位</t>
        </is>
      </c>
    </row>
    <row r="1430">
      <c r="A1430" s="0" t="inlineStr">
        <is>
          <t>info_datetime_dml_single_nopk</t>
        </is>
      </c>
      <c r="K1430" s="0" t="inlineStr">
        <is>
          <t>[0;34m info_datetime_dml_single_nopk [0m源备字段数相同，源端字段：2 	备端字段2</t>
        </is>
      </c>
      <c r="W1430" s="0" t="inlineStr">
        <is>
          <t>YES 源备无差异</t>
        </is>
      </c>
      <c r="X1430" s="0">
        <f>A1430</f>
        <v/>
      </c>
    </row>
    <row r="1431">
      <c r="B1431" s="0" t="inlineStr">
        <is>
          <t>NULL</t>
        </is>
      </c>
      <c r="C1431" s="0" t="inlineStr">
        <is>
          <t>NULL</t>
        </is>
      </c>
      <c r="D1431" s="0" t="inlineStr">
        <is>
          <t>NULL</t>
        </is>
      </c>
      <c r="E1431" s="0" t="inlineStr">
        <is>
          <t>NULL</t>
        </is>
      </c>
      <c r="F1431" s="0" t="inlineStr">
        <is>
          <t>NULL</t>
        </is>
      </c>
      <c r="G1431" s="0" t="inlineStr">
        <is>
          <t>NULL</t>
        </is>
      </c>
      <c r="H1431" s="0" t="inlineStr">
        <is>
          <t>NULL</t>
        </is>
      </c>
      <c r="I1431" s="0" t="inlineStr">
        <is>
          <t>NULL</t>
        </is>
      </c>
      <c r="J1431" s="0" t="inlineStr">
        <is>
          <t>NULL</t>
        </is>
      </c>
      <c r="K1431" s="0" t="inlineStr">
        <is>
          <t>YES! 	 id列源备映射正确，源端为int None位	期望更改为int	实际备端为int None位</t>
        </is>
      </c>
    </row>
    <row r="1432">
      <c r="B1432" s="0" t="inlineStr">
        <is>
          <t>NULL</t>
        </is>
      </c>
      <c r="C1432" s="0" t="inlineStr">
        <is>
          <t>NULL</t>
        </is>
      </c>
      <c r="D1432" s="0" t="inlineStr">
        <is>
          <t>NULL</t>
        </is>
      </c>
      <c r="E1432" s="0" t="inlineStr">
        <is>
          <t>NULL</t>
        </is>
      </c>
      <c r="F1432" s="0" t="inlineStr">
        <is>
          <t>NULL</t>
        </is>
      </c>
      <c r="G1432" s="0" t="inlineStr">
        <is>
          <t>NULL</t>
        </is>
      </c>
      <c r="H1432" s="0" t="inlineStr">
        <is>
          <t>NULL</t>
        </is>
      </c>
      <c r="I1432" s="0" t="inlineStr">
        <is>
          <t>NULL</t>
        </is>
      </c>
      <c r="J1432" s="0" t="inlineStr">
        <is>
          <t>NULL</t>
        </is>
      </c>
      <c r="K1432" s="0" t="inlineStr">
        <is>
          <t>YES! 	 c_datetime列源备映射正确，源端为datetime None位	期望更改为datetime	实际备端为datetime None位</t>
        </is>
      </c>
    </row>
    <row r="1433">
      <c r="A1433" s="0" t="inlineStr">
        <is>
          <t>info_varcharmax_dml_batch2_pk_irp2</t>
        </is>
      </c>
      <c r="K1433" s="0" t="inlineStr">
        <is>
          <t>[0;34m info_varcharmax_dml_batch2_pk_irp2 [0m源备字段数相同，源端字段：3 	备端字段3</t>
        </is>
      </c>
      <c r="W1433" s="0" t="inlineStr">
        <is>
          <t>YES 源备无差异</t>
        </is>
      </c>
      <c r="X1433" s="0">
        <f>A1433</f>
        <v/>
      </c>
    </row>
    <row r="1434">
      <c r="B1434" s="0" t="inlineStr">
        <is>
          <t>YES</t>
        </is>
      </c>
      <c r="C1434" s="0" t="inlineStr">
        <is>
          <t>NULL</t>
        </is>
      </c>
      <c r="D1434" s="0" t="inlineStr">
        <is>
          <t>NULL</t>
        </is>
      </c>
      <c r="E1434" s="0" t="inlineStr">
        <is>
          <t>NULL</t>
        </is>
      </c>
      <c r="F1434" s="0" t="inlineStr">
        <is>
          <t>NULL</t>
        </is>
      </c>
      <c r="G1434" s="0" t="inlineStr">
        <is>
          <t>NULL</t>
        </is>
      </c>
      <c r="H1434" s="0" t="inlineStr">
        <is>
          <t>NULL</t>
        </is>
      </c>
      <c r="I1434" s="0" t="inlineStr">
        <is>
          <t>YES!PK__info_var__3213E83FBB95D9E3</t>
        </is>
      </c>
      <c r="J1434" s="0" t="inlineStr">
        <is>
          <t>YES! 主键相关索引</t>
        </is>
      </c>
      <c r="K1434" s="0" t="inlineStr">
        <is>
          <t>YES! 	 id列源备映射正确，源端为int None位	期望更改为int	实际备端为int None位</t>
        </is>
      </c>
    </row>
    <row r="1435">
      <c r="B1435" s="0" t="inlineStr">
        <is>
          <t>NULL</t>
        </is>
      </c>
      <c r="C1435" s="0" t="inlineStr">
        <is>
          <t>NULL</t>
        </is>
      </c>
      <c r="D1435" s="0" t="inlineStr">
        <is>
          <t>NULL</t>
        </is>
      </c>
      <c r="E1435" s="0" t="inlineStr">
        <is>
          <t>NULL</t>
        </is>
      </c>
      <c r="F1435" s="0" t="inlineStr">
        <is>
          <t>NULL</t>
        </is>
      </c>
      <c r="G1435" s="0" t="inlineStr">
        <is>
          <t>NULL</t>
        </is>
      </c>
      <c r="H1435" s="0" t="inlineStr">
        <is>
          <t>NULL</t>
        </is>
      </c>
      <c r="I1435" s="0" t="inlineStr">
        <is>
          <t>NULL</t>
        </is>
      </c>
      <c r="J1435" s="0" t="inlineStr">
        <is>
          <t>NULL</t>
        </is>
      </c>
      <c r="K1435" s="0" t="inlineStr">
        <is>
          <t>YES! 	 c_varchar_max列源备映射正确，源端为varchar -1位	期望更改为varchar(n)	实际备端为varchar -1位</t>
        </is>
      </c>
    </row>
    <row r="1436">
      <c r="B1436" s="0" t="inlineStr">
        <is>
          <t>NULL</t>
        </is>
      </c>
      <c r="C1436" s="0" t="inlineStr">
        <is>
          <t>NULL</t>
        </is>
      </c>
      <c r="D1436" s="0" t="inlineStr">
        <is>
          <t>NULL</t>
        </is>
      </c>
      <c r="E1436" s="0" t="inlineStr">
        <is>
          <t>NULL</t>
        </is>
      </c>
      <c r="F1436" s="0" t="inlineStr">
        <is>
          <t>NULL</t>
        </is>
      </c>
      <c r="G1436" s="0" t="inlineStr">
        <is>
          <t>NULL</t>
        </is>
      </c>
      <c r="H1436" s="0" t="inlineStr">
        <is>
          <t>NULL</t>
        </is>
      </c>
      <c r="I1436" s="0" t="inlineStr">
        <is>
          <t>NULL</t>
        </is>
      </c>
      <c r="J1436" s="0" t="inlineStr">
        <is>
          <t>NULL</t>
        </is>
      </c>
      <c r="K1436" s="0" t="inlineStr">
        <is>
          <t>YES! 	 c_nvarchar_max列源备映射正确，源端为nvarchar -1位	期望更改为nvarchar(n)	实际备端为nvarchar -1位</t>
        </is>
      </c>
    </row>
    <row r="1437">
      <c r="K1437" s="0" t="inlineStr">
        <is>
          <t>~ 空表</t>
        </is>
      </c>
    </row>
    <row r="1438">
      <c r="A1438" s="0" t="inlineStr">
        <is>
          <t>info_datetimeoffset_dml_batch1_pk_drp2</t>
        </is>
      </c>
      <c r="K1438" s="0" t="inlineStr">
        <is>
          <t>[0;34m info_datetimeoffset_dml_batch1_pk_drp2 [0m源备字段数相同，源端字段：9 	备端字段9</t>
        </is>
      </c>
      <c r="W1438" s="0" t="inlineStr">
        <is>
          <t>YES 源备无差异</t>
        </is>
      </c>
      <c r="X1438" s="0">
        <f>A1438</f>
        <v/>
      </c>
    </row>
    <row r="1439">
      <c r="B1439" s="0" t="inlineStr">
        <is>
          <t>YES</t>
        </is>
      </c>
      <c r="C1439" s="0" t="inlineStr">
        <is>
          <t>NULL</t>
        </is>
      </c>
      <c r="D1439" s="0" t="inlineStr">
        <is>
          <t>NULL</t>
        </is>
      </c>
      <c r="E1439" s="0" t="inlineStr">
        <is>
          <t>NULL</t>
        </is>
      </c>
      <c r="F1439" s="0" t="inlineStr">
        <is>
          <t>NULL</t>
        </is>
      </c>
      <c r="G1439" s="0" t="inlineStr">
        <is>
          <t>NULL</t>
        </is>
      </c>
      <c r="H1439" s="0" t="inlineStr">
        <is>
          <t>NULL</t>
        </is>
      </c>
      <c r="I1439" s="0" t="inlineStr">
        <is>
          <t>YES!PK__info_dat__3213E83F76C7AF85</t>
        </is>
      </c>
      <c r="J1439" s="0" t="inlineStr">
        <is>
          <t>YES! 主键相关索引</t>
        </is>
      </c>
      <c r="K1439" s="0" t="inlineStr">
        <is>
          <t>YES! 	 id列源备映射正确，源端为int None位	期望更改为int	实际备端为int None位</t>
        </is>
      </c>
    </row>
    <row r="1440">
      <c r="B1440" s="0" t="inlineStr">
        <is>
          <t>NULL</t>
        </is>
      </c>
      <c r="C1440" s="0" t="inlineStr">
        <is>
          <t>NULL</t>
        </is>
      </c>
      <c r="D1440" s="0" t="inlineStr">
        <is>
          <t>NULL</t>
        </is>
      </c>
      <c r="E1440" s="0" t="inlineStr">
        <is>
          <t>NULL</t>
        </is>
      </c>
      <c r="F1440" s="0" t="inlineStr">
        <is>
          <t>NULL</t>
        </is>
      </c>
      <c r="G1440" s="0" t="inlineStr">
        <is>
          <t>NULL</t>
        </is>
      </c>
      <c r="H1440" s="0" t="inlineStr">
        <is>
          <t>NULL</t>
        </is>
      </c>
      <c r="I1440" s="0" t="inlineStr">
        <is>
          <t>NULL</t>
        </is>
      </c>
      <c r="J1440" s="0" t="inlineStr">
        <is>
          <t>NULL</t>
        </is>
      </c>
      <c r="K1440" s="0" t="inlineStr">
        <is>
          <t>no,len不存在</t>
        </is>
      </c>
    </row>
    <row r="1441">
      <c r="B1441" s="0" t="inlineStr">
        <is>
          <t>NULL</t>
        </is>
      </c>
      <c r="C1441" s="0" t="inlineStr">
        <is>
          <t>NULL</t>
        </is>
      </c>
      <c r="D1441" s="0" t="inlineStr">
        <is>
          <t>NULL</t>
        </is>
      </c>
      <c r="E1441" s="0" t="inlineStr">
        <is>
          <t>NULL</t>
        </is>
      </c>
      <c r="F1441" s="0" t="inlineStr">
        <is>
          <t>NULL</t>
        </is>
      </c>
      <c r="G1441" s="0" t="inlineStr">
        <is>
          <t>NULL</t>
        </is>
      </c>
      <c r="H1441" s="0" t="inlineStr">
        <is>
          <t>NULL</t>
        </is>
      </c>
      <c r="I1441" s="0" t="inlineStr">
        <is>
          <t>NULL</t>
        </is>
      </c>
      <c r="J1441" s="0" t="inlineStr">
        <is>
          <t>NULL</t>
        </is>
      </c>
      <c r="K1441" s="0" t="inlineStr">
        <is>
          <t>YES! 	 c_dtoffset_1列源备映射正确，源端为datetimeoffset None位	期望更改为datetimeoffset(n)	实际备端为datetimeoffset None位</t>
        </is>
      </c>
    </row>
    <row r="1442">
      <c r="B1442" s="0" t="inlineStr">
        <is>
          <t>NULL</t>
        </is>
      </c>
      <c r="C1442" s="0" t="inlineStr">
        <is>
          <t>NULL</t>
        </is>
      </c>
      <c r="D1442" s="0" t="inlineStr">
        <is>
          <t>NULL</t>
        </is>
      </c>
      <c r="E1442" s="0" t="inlineStr">
        <is>
          <t>NULL</t>
        </is>
      </c>
      <c r="F1442" s="0" t="inlineStr">
        <is>
          <t>NULL</t>
        </is>
      </c>
      <c r="G1442" s="0" t="inlineStr">
        <is>
          <t>NULL</t>
        </is>
      </c>
      <c r="H1442" s="0" t="inlineStr">
        <is>
          <t>NULL</t>
        </is>
      </c>
      <c r="I1442" s="0" t="inlineStr">
        <is>
          <t>NULL</t>
        </is>
      </c>
      <c r="J1442" s="0" t="inlineStr">
        <is>
          <t>NULL</t>
        </is>
      </c>
      <c r="K1442" s="0" t="inlineStr">
        <is>
          <t>YES! 	 c_dtoffset_2列源备映射正确，源端为datetimeoffset None位	期望更改为datetimeoffset(n)	实际备端为datetimeoffset None位</t>
        </is>
      </c>
    </row>
    <row r="1443">
      <c r="B1443" s="0" t="inlineStr">
        <is>
          <t>NULL</t>
        </is>
      </c>
      <c r="C1443" s="0" t="inlineStr">
        <is>
          <t>NULL</t>
        </is>
      </c>
      <c r="D1443" s="0" t="inlineStr">
        <is>
          <t>NULL</t>
        </is>
      </c>
      <c r="E1443" s="0" t="inlineStr">
        <is>
          <t>NULL</t>
        </is>
      </c>
      <c r="F1443" s="0" t="inlineStr">
        <is>
          <t>NULL</t>
        </is>
      </c>
      <c r="G1443" s="0" t="inlineStr">
        <is>
          <t>NULL</t>
        </is>
      </c>
      <c r="H1443" s="0" t="inlineStr">
        <is>
          <t>NULL</t>
        </is>
      </c>
      <c r="I1443" s="0" t="inlineStr">
        <is>
          <t>NULL</t>
        </is>
      </c>
      <c r="J1443" s="0" t="inlineStr">
        <is>
          <t>NULL</t>
        </is>
      </c>
      <c r="K1443" s="0" t="inlineStr">
        <is>
          <t>YES! 	 c_dtoffset_3列源备映射正确，源端为datetimeoffset None位	期望更改为datetimeoffset(n)	实际备端为datetimeoffset None位</t>
        </is>
      </c>
    </row>
    <row r="1444">
      <c r="B1444" s="0" t="inlineStr">
        <is>
          <t>NULL</t>
        </is>
      </c>
      <c r="C1444" s="0" t="inlineStr">
        <is>
          <t>NULL</t>
        </is>
      </c>
      <c r="D1444" s="0" t="inlineStr">
        <is>
          <t>NULL</t>
        </is>
      </c>
      <c r="E1444" s="0" t="inlineStr">
        <is>
          <t>NULL</t>
        </is>
      </c>
      <c r="F1444" s="0" t="inlineStr">
        <is>
          <t>NULL</t>
        </is>
      </c>
      <c r="G1444" s="0" t="inlineStr">
        <is>
          <t>NULL</t>
        </is>
      </c>
      <c r="H1444" s="0" t="inlineStr">
        <is>
          <t>NULL</t>
        </is>
      </c>
      <c r="I1444" s="0" t="inlineStr">
        <is>
          <t>NULL</t>
        </is>
      </c>
      <c r="J1444" s="0" t="inlineStr">
        <is>
          <t>NULL</t>
        </is>
      </c>
      <c r="K1444" s="0" t="inlineStr">
        <is>
          <t>YES! 	 c_dtoffset_4列源备映射正确，源端为datetimeoffset None位	期望更改为datetimeoffset(n)	实际备端为datetimeoffset None位</t>
        </is>
      </c>
    </row>
    <row r="1445">
      <c r="B1445" s="0" t="inlineStr">
        <is>
          <t>NULL</t>
        </is>
      </c>
      <c r="C1445" s="0" t="inlineStr">
        <is>
          <t>NULL</t>
        </is>
      </c>
      <c r="D1445" s="0" t="inlineStr">
        <is>
          <t>NULL</t>
        </is>
      </c>
      <c r="E1445" s="0" t="inlineStr">
        <is>
          <t>NULL</t>
        </is>
      </c>
      <c r="F1445" s="0" t="inlineStr">
        <is>
          <t>NULL</t>
        </is>
      </c>
      <c r="G1445" s="0" t="inlineStr">
        <is>
          <t>NULL</t>
        </is>
      </c>
      <c r="H1445" s="0" t="inlineStr">
        <is>
          <t>NULL</t>
        </is>
      </c>
      <c r="I1445" s="0" t="inlineStr">
        <is>
          <t>NULL</t>
        </is>
      </c>
      <c r="J1445" s="0" t="inlineStr">
        <is>
          <t>NULL</t>
        </is>
      </c>
      <c r="K1445" s="0" t="inlineStr">
        <is>
          <t>YES! 	 c_dtoffset_5列源备映射正确，源端为datetimeoffset None位	期望更改为datetimeoffset(n)	实际备端为datetimeoffset None位</t>
        </is>
      </c>
    </row>
    <row r="1446">
      <c r="B1446" s="0" t="inlineStr">
        <is>
          <t>NULL</t>
        </is>
      </c>
      <c r="C1446" s="0" t="inlineStr">
        <is>
          <t>NULL</t>
        </is>
      </c>
      <c r="D1446" s="0" t="inlineStr">
        <is>
          <t>NULL</t>
        </is>
      </c>
      <c r="E1446" s="0" t="inlineStr">
        <is>
          <t>NULL</t>
        </is>
      </c>
      <c r="F1446" s="0" t="inlineStr">
        <is>
          <t>NULL</t>
        </is>
      </c>
      <c r="G1446" s="0" t="inlineStr">
        <is>
          <t>NULL</t>
        </is>
      </c>
      <c r="H1446" s="0" t="inlineStr">
        <is>
          <t>NULL</t>
        </is>
      </c>
      <c r="I1446" s="0" t="inlineStr">
        <is>
          <t>NULL</t>
        </is>
      </c>
      <c r="J1446" s="0" t="inlineStr">
        <is>
          <t>NULL</t>
        </is>
      </c>
      <c r="K1446" s="0" t="inlineStr">
        <is>
          <t>YES! 	 c_dtoffset_6列源备映射正确，源端为datetimeoffset None位	期望更改为datetimeoffset(n)	实际备端为datetimeoffset None位</t>
        </is>
      </c>
    </row>
    <row r="1447">
      <c r="B1447" s="0" t="inlineStr">
        <is>
          <t>NULL</t>
        </is>
      </c>
      <c r="C1447" s="0" t="inlineStr">
        <is>
          <t>NULL</t>
        </is>
      </c>
      <c r="D1447" s="0" t="inlineStr">
        <is>
          <t>NULL</t>
        </is>
      </c>
      <c r="E1447" s="0" t="inlineStr">
        <is>
          <t>NULL</t>
        </is>
      </c>
      <c r="F1447" s="0" t="inlineStr">
        <is>
          <t>NULL</t>
        </is>
      </c>
      <c r="G1447" s="0" t="inlineStr">
        <is>
          <t>NULL</t>
        </is>
      </c>
      <c r="H1447" s="0" t="inlineStr">
        <is>
          <t>NULL</t>
        </is>
      </c>
      <c r="I1447" s="0" t="inlineStr">
        <is>
          <t>NULL</t>
        </is>
      </c>
      <c r="J1447" s="0" t="inlineStr">
        <is>
          <t>NULL</t>
        </is>
      </c>
      <c r="K1447" s="0" t="inlineStr">
        <is>
          <t>YES! 	 c_dtoffset列源备映射正确，源端为datetimeoffset None位	期望更改为datetimeoffset(n)	实际备端为datetimeoffset None位</t>
        </is>
      </c>
    </row>
    <row r="1448">
      <c r="A1448" s="0" t="inlineStr">
        <is>
          <t>info_datetimeoffset_dml_single_pk_urp</t>
        </is>
      </c>
      <c r="K1448" s="0" t="inlineStr">
        <is>
          <t>[0;34m info_datetimeoffset_dml_single_pk_urp [0m源备字段数相同，源端字段：9 	备端字段9</t>
        </is>
      </c>
      <c r="W1448" s="0" t="inlineStr">
        <is>
          <t>YES 源备无差异</t>
        </is>
      </c>
      <c r="X1448" s="0">
        <f>A1448</f>
        <v/>
      </c>
    </row>
    <row r="1449">
      <c r="B1449" s="0" t="inlineStr">
        <is>
          <t>YES</t>
        </is>
      </c>
      <c r="C1449" s="0" t="inlineStr">
        <is>
          <t>NULL</t>
        </is>
      </c>
      <c r="D1449" s="0" t="inlineStr">
        <is>
          <t>NULL</t>
        </is>
      </c>
      <c r="E1449" s="0" t="inlineStr">
        <is>
          <t>NULL</t>
        </is>
      </c>
      <c r="F1449" s="0" t="inlineStr">
        <is>
          <t>NULL</t>
        </is>
      </c>
      <c r="G1449" s="0" t="inlineStr">
        <is>
          <t>NULL</t>
        </is>
      </c>
      <c r="H1449" s="0" t="inlineStr">
        <is>
          <t>NULL</t>
        </is>
      </c>
      <c r="I1449" s="0" t="inlineStr">
        <is>
          <t>YES!PK__info_dat__3213E83F615F1D58</t>
        </is>
      </c>
      <c r="J1449" s="0" t="inlineStr">
        <is>
          <t>YES! 主键相关索引</t>
        </is>
      </c>
      <c r="K1449" s="0" t="inlineStr">
        <is>
          <t>YES! 	 id列源备映射正确，源端为int None位	期望更改为int	实际备端为int None位</t>
        </is>
      </c>
    </row>
    <row r="1450">
      <c r="B1450" s="0" t="inlineStr">
        <is>
          <t>NULL</t>
        </is>
      </c>
      <c r="C1450" s="0" t="inlineStr">
        <is>
          <t>NULL</t>
        </is>
      </c>
      <c r="D1450" s="0" t="inlineStr">
        <is>
          <t>NULL</t>
        </is>
      </c>
      <c r="E1450" s="0" t="inlineStr">
        <is>
          <t>NULL</t>
        </is>
      </c>
      <c r="F1450" s="0" t="inlineStr">
        <is>
          <t>NULL</t>
        </is>
      </c>
      <c r="G1450" s="0" t="inlineStr">
        <is>
          <t>NULL</t>
        </is>
      </c>
      <c r="H1450" s="0" t="inlineStr">
        <is>
          <t>NULL</t>
        </is>
      </c>
      <c r="I1450" s="0" t="inlineStr">
        <is>
          <t>NULL</t>
        </is>
      </c>
      <c r="J1450" s="0" t="inlineStr">
        <is>
          <t>NULL</t>
        </is>
      </c>
      <c r="K1450" s="0" t="inlineStr">
        <is>
          <t>no,len不存在</t>
        </is>
      </c>
    </row>
    <row r="1451">
      <c r="B1451" s="0" t="inlineStr">
        <is>
          <t>NULL</t>
        </is>
      </c>
      <c r="C1451" s="0" t="inlineStr">
        <is>
          <t>NULL</t>
        </is>
      </c>
      <c r="D1451" s="0" t="inlineStr">
        <is>
          <t>NULL</t>
        </is>
      </c>
      <c r="E1451" s="0" t="inlineStr">
        <is>
          <t>NULL</t>
        </is>
      </c>
      <c r="F1451" s="0" t="inlineStr">
        <is>
          <t>NULL</t>
        </is>
      </c>
      <c r="G1451" s="0" t="inlineStr">
        <is>
          <t>NULL</t>
        </is>
      </c>
      <c r="H1451" s="0" t="inlineStr">
        <is>
          <t>NULL</t>
        </is>
      </c>
      <c r="I1451" s="0" t="inlineStr">
        <is>
          <t>NULL</t>
        </is>
      </c>
      <c r="J1451" s="0" t="inlineStr">
        <is>
          <t>NULL</t>
        </is>
      </c>
      <c r="K1451" s="0" t="inlineStr">
        <is>
          <t>YES! 	 c_dtoffset_1列源备映射正确，源端为datetimeoffset None位	期望更改为datetimeoffset(n)	实际备端为datetimeoffset None位</t>
        </is>
      </c>
    </row>
    <row r="1452">
      <c r="B1452" s="0" t="inlineStr">
        <is>
          <t>NULL</t>
        </is>
      </c>
      <c r="C1452" s="0" t="inlineStr">
        <is>
          <t>NULL</t>
        </is>
      </c>
      <c r="D1452" s="0" t="inlineStr">
        <is>
          <t>NULL</t>
        </is>
      </c>
      <c r="E1452" s="0" t="inlineStr">
        <is>
          <t>NULL</t>
        </is>
      </c>
      <c r="F1452" s="0" t="inlineStr">
        <is>
          <t>NULL</t>
        </is>
      </c>
      <c r="G1452" s="0" t="inlineStr">
        <is>
          <t>NULL</t>
        </is>
      </c>
      <c r="H1452" s="0" t="inlineStr">
        <is>
          <t>NULL</t>
        </is>
      </c>
      <c r="I1452" s="0" t="inlineStr">
        <is>
          <t>NULL</t>
        </is>
      </c>
      <c r="J1452" s="0" t="inlineStr">
        <is>
          <t>NULL</t>
        </is>
      </c>
      <c r="K1452" s="0" t="inlineStr">
        <is>
          <t>YES! 	 c_dtoffset_2列源备映射正确，源端为datetimeoffset None位	期望更改为datetimeoffset(n)	实际备端为datetimeoffset None位</t>
        </is>
      </c>
    </row>
    <row r="1453">
      <c r="B1453" s="0" t="inlineStr">
        <is>
          <t>NULL</t>
        </is>
      </c>
      <c r="C1453" s="0" t="inlineStr">
        <is>
          <t>NULL</t>
        </is>
      </c>
      <c r="D1453" s="0" t="inlineStr">
        <is>
          <t>NULL</t>
        </is>
      </c>
      <c r="E1453" s="0" t="inlineStr">
        <is>
          <t>NULL</t>
        </is>
      </c>
      <c r="F1453" s="0" t="inlineStr">
        <is>
          <t>NULL</t>
        </is>
      </c>
      <c r="G1453" s="0" t="inlineStr">
        <is>
          <t>NULL</t>
        </is>
      </c>
      <c r="H1453" s="0" t="inlineStr">
        <is>
          <t>NULL</t>
        </is>
      </c>
      <c r="I1453" s="0" t="inlineStr">
        <is>
          <t>NULL</t>
        </is>
      </c>
      <c r="J1453" s="0" t="inlineStr">
        <is>
          <t>NULL</t>
        </is>
      </c>
      <c r="K1453" s="0" t="inlineStr">
        <is>
          <t>YES! 	 c_dtoffset_3列源备映射正确，源端为datetimeoffset None位	期望更改为datetimeoffset(n)	实际备端为datetimeoffset None位</t>
        </is>
      </c>
    </row>
    <row r="1454">
      <c r="B1454" s="0" t="inlineStr">
        <is>
          <t>NULL</t>
        </is>
      </c>
      <c r="C1454" s="0" t="inlineStr">
        <is>
          <t>NULL</t>
        </is>
      </c>
      <c r="D1454" s="0" t="inlineStr">
        <is>
          <t>NULL</t>
        </is>
      </c>
      <c r="E1454" s="0" t="inlineStr">
        <is>
          <t>NULL</t>
        </is>
      </c>
      <c r="F1454" s="0" t="inlineStr">
        <is>
          <t>NULL</t>
        </is>
      </c>
      <c r="G1454" s="0" t="inlineStr">
        <is>
          <t>NULL</t>
        </is>
      </c>
      <c r="H1454" s="0" t="inlineStr">
        <is>
          <t>NULL</t>
        </is>
      </c>
      <c r="I1454" s="0" t="inlineStr">
        <is>
          <t>NULL</t>
        </is>
      </c>
      <c r="J1454" s="0" t="inlineStr">
        <is>
          <t>NULL</t>
        </is>
      </c>
      <c r="K1454" s="0" t="inlineStr">
        <is>
          <t>YES! 	 c_dtoffset_4列源备映射正确，源端为datetimeoffset None位	期望更改为datetimeoffset(n)	实际备端为datetimeoffset None位</t>
        </is>
      </c>
    </row>
    <row r="1455">
      <c r="B1455" s="0" t="inlineStr">
        <is>
          <t>NULL</t>
        </is>
      </c>
      <c r="C1455" s="0" t="inlineStr">
        <is>
          <t>NULL</t>
        </is>
      </c>
      <c r="D1455" s="0" t="inlineStr">
        <is>
          <t>NULL</t>
        </is>
      </c>
      <c r="E1455" s="0" t="inlineStr">
        <is>
          <t>NULL</t>
        </is>
      </c>
      <c r="F1455" s="0" t="inlineStr">
        <is>
          <t>NULL</t>
        </is>
      </c>
      <c r="G1455" s="0" t="inlineStr">
        <is>
          <t>NULL</t>
        </is>
      </c>
      <c r="H1455" s="0" t="inlineStr">
        <is>
          <t>NULL</t>
        </is>
      </c>
      <c r="I1455" s="0" t="inlineStr">
        <is>
          <t>NULL</t>
        </is>
      </c>
      <c r="J1455" s="0" t="inlineStr">
        <is>
          <t>NULL</t>
        </is>
      </c>
      <c r="K1455" s="0" t="inlineStr">
        <is>
          <t>YES! 	 c_dtoffset_5列源备映射正确，源端为datetimeoffset None位	期望更改为datetimeoffset(n)	实际备端为datetimeoffset None位</t>
        </is>
      </c>
    </row>
    <row r="1456">
      <c r="B1456" s="0" t="inlineStr">
        <is>
          <t>NULL</t>
        </is>
      </c>
      <c r="C1456" s="0" t="inlineStr">
        <is>
          <t>NULL</t>
        </is>
      </c>
      <c r="D1456" s="0" t="inlineStr">
        <is>
          <t>NULL</t>
        </is>
      </c>
      <c r="E1456" s="0" t="inlineStr">
        <is>
          <t>NULL</t>
        </is>
      </c>
      <c r="F1456" s="0" t="inlineStr">
        <is>
          <t>NULL</t>
        </is>
      </c>
      <c r="G1456" s="0" t="inlineStr">
        <is>
          <t>NULL</t>
        </is>
      </c>
      <c r="H1456" s="0" t="inlineStr">
        <is>
          <t>NULL</t>
        </is>
      </c>
      <c r="I1456" s="0" t="inlineStr">
        <is>
          <t>NULL</t>
        </is>
      </c>
      <c r="J1456" s="0" t="inlineStr">
        <is>
          <t>NULL</t>
        </is>
      </c>
      <c r="K1456" s="0" t="inlineStr">
        <is>
          <t>YES! 	 c_dtoffset_6列源备映射正确，源端为datetimeoffset None位	期望更改为datetimeoffset(n)	实际备端为datetimeoffset None位</t>
        </is>
      </c>
    </row>
    <row r="1457">
      <c r="B1457" s="0" t="inlineStr">
        <is>
          <t>NULL</t>
        </is>
      </c>
      <c r="C1457" s="0" t="inlineStr">
        <is>
          <t>NULL</t>
        </is>
      </c>
      <c r="D1457" s="0" t="inlineStr">
        <is>
          <t>NULL</t>
        </is>
      </c>
      <c r="E1457" s="0" t="inlineStr">
        <is>
          <t>NULL</t>
        </is>
      </c>
      <c r="F1457" s="0" t="inlineStr">
        <is>
          <t>NULL</t>
        </is>
      </c>
      <c r="G1457" s="0" t="inlineStr">
        <is>
          <t>NULL</t>
        </is>
      </c>
      <c r="H1457" s="0" t="inlineStr">
        <is>
          <t>NULL</t>
        </is>
      </c>
      <c r="I1457" s="0" t="inlineStr">
        <is>
          <t>NULL</t>
        </is>
      </c>
      <c r="J1457" s="0" t="inlineStr">
        <is>
          <t>NULL</t>
        </is>
      </c>
      <c r="K1457" s="0" t="inlineStr">
        <is>
          <t>YES! 	 c_dtoffset列源备映射正确，源端为datetimeoffset None位	期望更改为datetimeoffset(n)	实际备端为datetimeoffset None位</t>
        </is>
      </c>
    </row>
    <row r="1458">
      <c r="A1458" s="0" t="inlineStr">
        <is>
          <t>info_binary_dml_single_pk_urp</t>
        </is>
      </c>
      <c r="K1458" s="0" t="inlineStr">
        <is>
          <t>[0;34m info_binary_dml_single_pk_urp [0m源备字段数相同，源端字段：4 	备端字段4</t>
        </is>
      </c>
      <c r="W1458" s="0" t="inlineStr">
        <is>
          <t>YES 源备无差异</t>
        </is>
      </c>
      <c r="X1458" s="0">
        <f>A1458</f>
        <v/>
      </c>
    </row>
    <row r="1459">
      <c r="B1459" s="0" t="inlineStr">
        <is>
          <t>YES</t>
        </is>
      </c>
      <c r="C1459" s="0" t="inlineStr">
        <is>
          <t>NULL</t>
        </is>
      </c>
      <c r="D1459" s="0" t="inlineStr">
        <is>
          <t>NULL</t>
        </is>
      </c>
      <c r="E1459" s="0" t="inlineStr">
        <is>
          <t>NULL</t>
        </is>
      </c>
      <c r="F1459" s="0" t="inlineStr">
        <is>
          <t>NULL</t>
        </is>
      </c>
      <c r="G1459" s="0" t="inlineStr">
        <is>
          <t>NULL</t>
        </is>
      </c>
      <c r="H1459" s="0" t="inlineStr">
        <is>
          <t>NULL</t>
        </is>
      </c>
      <c r="I1459" s="0" t="inlineStr">
        <is>
          <t>YES!PK__info_bin__3213E83FF5F75715</t>
        </is>
      </c>
      <c r="J1459" s="0" t="inlineStr">
        <is>
          <t>YES! 主键相关索引</t>
        </is>
      </c>
      <c r="K1459" s="0" t="inlineStr">
        <is>
          <t>YES! 	 id列源备映射正确，源端为int None位	期望更改为int	实际备端为int None位</t>
        </is>
      </c>
    </row>
    <row r="1460">
      <c r="B1460" s="0" t="inlineStr">
        <is>
          <t>NULL</t>
        </is>
      </c>
      <c r="C1460" s="0" t="inlineStr">
        <is>
          <t>NULL</t>
        </is>
      </c>
      <c r="D1460" s="0" t="inlineStr">
        <is>
          <t>NULL</t>
        </is>
      </c>
      <c r="E1460" s="0" t="inlineStr">
        <is>
          <t>NULL</t>
        </is>
      </c>
      <c r="F1460" s="0" t="inlineStr">
        <is>
          <t>NULL</t>
        </is>
      </c>
      <c r="G1460" s="0" t="inlineStr">
        <is>
          <t>NULL</t>
        </is>
      </c>
      <c r="H1460" s="0" t="inlineStr">
        <is>
          <t>NULL</t>
        </is>
      </c>
      <c r="I1460" s="0" t="inlineStr">
        <is>
          <t>NULL</t>
        </is>
      </c>
      <c r="J1460" s="0" t="inlineStr">
        <is>
          <t>NULL</t>
        </is>
      </c>
      <c r="K1460" s="0" t="inlineStr">
        <is>
          <t>YES! 	 c_binary列源备映射正确，源端为binary 1位	期望更改为binary(n)	实际备端为binary 1位</t>
        </is>
      </c>
    </row>
    <row r="1461">
      <c r="B1461" s="0" t="inlineStr">
        <is>
          <t>NULL</t>
        </is>
      </c>
      <c r="C1461" s="0" t="inlineStr">
        <is>
          <t>NULL</t>
        </is>
      </c>
      <c r="D1461" s="0" t="inlineStr">
        <is>
          <t>NULL</t>
        </is>
      </c>
      <c r="E1461" s="0" t="inlineStr">
        <is>
          <t>NULL</t>
        </is>
      </c>
      <c r="F1461" s="0" t="inlineStr">
        <is>
          <t>NULL</t>
        </is>
      </c>
      <c r="G1461" s="0" t="inlineStr">
        <is>
          <t>NULL</t>
        </is>
      </c>
      <c r="H1461" s="0" t="inlineStr">
        <is>
          <t>NULL</t>
        </is>
      </c>
      <c r="I1461" s="0" t="inlineStr">
        <is>
          <t>NULL</t>
        </is>
      </c>
      <c r="J1461" s="0" t="inlineStr">
        <is>
          <t>NULL</t>
        </is>
      </c>
      <c r="K1461" s="0" t="inlineStr">
        <is>
          <t>YES! 	 c_binary_20列源备映射正确，源端为binary 20位	期望更改为binary(n)	实际备端为binary 20位</t>
        </is>
      </c>
    </row>
    <row r="1462">
      <c r="B1462" s="0" t="inlineStr">
        <is>
          <t>NULL</t>
        </is>
      </c>
      <c r="C1462" s="0" t="inlineStr">
        <is>
          <t>NULL</t>
        </is>
      </c>
      <c r="D1462" s="0" t="inlineStr">
        <is>
          <t>NULL</t>
        </is>
      </c>
      <c r="E1462" s="0" t="inlineStr">
        <is>
          <t>NULL</t>
        </is>
      </c>
      <c r="F1462" s="0" t="inlineStr">
        <is>
          <t>NULL</t>
        </is>
      </c>
      <c r="G1462" s="0" t="inlineStr">
        <is>
          <t>NULL</t>
        </is>
      </c>
      <c r="H1462" s="0" t="inlineStr">
        <is>
          <t>NULL</t>
        </is>
      </c>
      <c r="I1462" s="0" t="inlineStr">
        <is>
          <t>NULL</t>
        </is>
      </c>
      <c r="J1462" s="0" t="inlineStr">
        <is>
          <t>NULL</t>
        </is>
      </c>
      <c r="K1462" s="0" t="inlineStr">
        <is>
          <t>YES! 	 c_binary_8000列源备映射正确，源端为binary 8000位	期望更改为binary(n)	实际备端为binary 8000位</t>
        </is>
      </c>
    </row>
    <row r="1463">
      <c r="A1463" s="0" t="inlineStr">
        <is>
          <t>info_datetimeoffset_dml_batch1_pk</t>
        </is>
      </c>
      <c r="K1463" s="0" t="inlineStr">
        <is>
          <t>[0;34m info_datetimeoffset_dml_batch1_pk [0m源备字段数相同，源端字段：9 	备端字段9</t>
        </is>
      </c>
      <c r="W1463" s="0" t="inlineStr">
        <is>
          <t>YES 源备无差异</t>
        </is>
      </c>
      <c r="X1463" s="0">
        <f>A1463</f>
        <v/>
      </c>
    </row>
    <row r="1464">
      <c r="B1464" s="0" t="inlineStr">
        <is>
          <t>YES</t>
        </is>
      </c>
      <c r="C1464" s="0" t="inlineStr">
        <is>
          <t>NULL</t>
        </is>
      </c>
      <c r="D1464" s="0" t="inlineStr">
        <is>
          <t>NULL</t>
        </is>
      </c>
      <c r="E1464" s="0" t="inlineStr">
        <is>
          <t>NULL</t>
        </is>
      </c>
      <c r="F1464" s="0" t="inlineStr">
        <is>
          <t>NULL</t>
        </is>
      </c>
      <c r="G1464" s="0" t="inlineStr">
        <is>
          <t>NULL</t>
        </is>
      </c>
      <c r="H1464" s="0" t="inlineStr">
        <is>
          <t>NULL</t>
        </is>
      </c>
      <c r="I1464" s="0" t="inlineStr">
        <is>
          <t>YES!PK__info_dat__3213E83F51752AA8</t>
        </is>
      </c>
      <c r="J1464" s="0" t="inlineStr">
        <is>
          <t>YES! 主键相关索引</t>
        </is>
      </c>
      <c r="K1464" s="0" t="inlineStr">
        <is>
          <t>YES! 	 id列源备映射正确，源端为int None位	期望更改为int	实际备端为int None位</t>
        </is>
      </c>
    </row>
    <row r="1465">
      <c r="B1465" s="0" t="inlineStr">
        <is>
          <t>NULL</t>
        </is>
      </c>
      <c r="C1465" s="0" t="inlineStr">
        <is>
          <t>NULL</t>
        </is>
      </c>
      <c r="D1465" s="0" t="inlineStr">
        <is>
          <t>NULL</t>
        </is>
      </c>
      <c r="E1465" s="0" t="inlineStr">
        <is>
          <t>NULL</t>
        </is>
      </c>
      <c r="F1465" s="0" t="inlineStr">
        <is>
          <t>NULL</t>
        </is>
      </c>
      <c r="G1465" s="0" t="inlineStr">
        <is>
          <t>NULL</t>
        </is>
      </c>
      <c r="H1465" s="0" t="inlineStr">
        <is>
          <t>NULL</t>
        </is>
      </c>
      <c r="I1465" s="0" t="inlineStr">
        <is>
          <t>NULL</t>
        </is>
      </c>
      <c r="J1465" s="0" t="inlineStr">
        <is>
          <t>NULL</t>
        </is>
      </c>
      <c r="K1465" s="0" t="inlineStr">
        <is>
          <t>no,len不存在</t>
        </is>
      </c>
    </row>
    <row r="1466">
      <c r="B1466" s="0" t="inlineStr">
        <is>
          <t>NULL</t>
        </is>
      </c>
      <c r="C1466" s="0" t="inlineStr">
        <is>
          <t>NULL</t>
        </is>
      </c>
      <c r="D1466" s="0" t="inlineStr">
        <is>
          <t>NULL</t>
        </is>
      </c>
      <c r="E1466" s="0" t="inlineStr">
        <is>
          <t>NULL</t>
        </is>
      </c>
      <c r="F1466" s="0" t="inlineStr">
        <is>
          <t>NULL</t>
        </is>
      </c>
      <c r="G1466" s="0" t="inlineStr">
        <is>
          <t>NULL</t>
        </is>
      </c>
      <c r="H1466" s="0" t="inlineStr">
        <is>
          <t>NULL</t>
        </is>
      </c>
      <c r="I1466" s="0" t="inlineStr">
        <is>
          <t>NULL</t>
        </is>
      </c>
      <c r="J1466" s="0" t="inlineStr">
        <is>
          <t>NULL</t>
        </is>
      </c>
      <c r="K1466" s="0" t="inlineStr">
        <is>
          <t>YES! 	 c_dtoffset_1列源备映射正确，源端为datetimeoffset None位	期望更改为datetimeoffset(n)	实际备端为datetimeoffset None位</t>
        </is>
      </c>
    </row>
    <row r="1467">
      <c r="B1467" s="0" t="inlineStr">
        <is>
          <t>NULL</t>
        </is>
      </c>
      <c r="C1467" s="0" t="inlineStr">
        <is>
          <t>NULL</t>
        </is>
      </c>
      <c r="D1467" s="0" t="inlineStr">
        <is>
          <t>NULL</t>
        </is>
      </c>
      <c r="E1467" s="0" t="inlineStr">
        <is>
          <t>NULL</t>
        </is>
      </c>
      <c r="F1467" s="0" t="inlineStr">
        <is>
          <t>NULL</t>
        </is>
      </c>
      <c r="G1467" s="0" t="inlineStr">
        <is>
          <t>NULL</t>
        </is>
      </c>
      <c r="H1467" s="0" t="inlineStr">
        <is>
          <t>NULL</t>
        </is>
      </c>
      <c r="I1467" s="0" t="inlineStr">
        <is>
          <t>NULL</t>
        </is>
      </c>
      <c r="J1467" s="0" t="inlineStr">
        <is>
          <t>NULL</t>
        </is>
      </c>
      <c r="K1467" s="0" t="inlineStr">
        <is>
          <t>YES! 	 c_dtoffset_2列源备映射正确，源端为datetimeoffset None位	期望更改为datetimeoffset(n)	实际备端为datetimeoffset None位</t>
        </is>
      </c>
    </row>
    <row r="1468">
      <c r="B1468" s="0" t="inlineStr">
        <is>
          <t>NULL</t>
        </is>
      </c>
      <c r="C1468" s="0" t="inlineStr">
        <is>
          <t>NULL</t>
        </is>
      </c>
      <c r="D1468" s="0" t="inlineStr">
        <is>
          <t>NULL</t>
        </is>
      </c>
      <c r="E1468" s="0" t="inlineStr">
        <is>
          <t>NULL</t>
        </is>
      </c>
      <c r="F1468" s="0" t="inlineStr">
        <is>
          <t>NULL</t>
        </is>
      </c>
      <c r="G1468" s="0" t="inlineStr">
        <is>
          <t>NULL</t>
        </is>
      </c>
      <c r="H1468" s="0" t="inlineStr">
        <is>
          <t>NULL</t>
        </is>
      </c>
      <c r="I1468" s="0" t="inlineStr">
        <is>
          <t>NULL</t>
        </is>
      </c>
      <c r="J1468" s="0" t="inlineStr">
        <is>
          <t>NULL</t>
        </is>
      </c>
      <c r="K1468" s="0" t="inlineStr">
        <is>
          <t>YES! 	 c_dtoffset_3列源备映射正确，源端为datetimeoffset None位	期望更改为datetimeoffset(n)	实际备端为datetimeoffset None位</t>
        </is>
      </c>
    </row>
    <row r="1469">
      <c r="B1469" s="0" t="inlineStr">
        <is>
          <t>NULL</t>
        </is>
      </c>
      <c r="C1469" s="0" t="inlineStr">
        <is>
          <t>NULL</t>
        </is>
      </c>
      <c r="D1469" s="0" t="inlineStr">
        <is>
          <t>NULL</t>
        </is>
      </c>
      <c r="E1469" s="0" t="inlineStr">
        <is>
          <t>NULL</t>
        </is>
      </c>
      <c r="F1469" s="0" t="inlineStr">
        <is>
          <t>NULL</t>
        </is>
      </c>
      <c r="G1469" s="0" t="inlineStr">
        <is>
          <t>NULL</t>
        </is>
      </c>
      <c r="H1469" s="0" t="inlineStr">
        <is>
          <t>NULL</t>
        </is>
      </c>
      <c r="I1469" s="0" t="inlineStr">
        <is>
          <t>NULL</t>
        </is>
      </c>
      <c r="J1469" s="0" t="inlineStr">
        <is>
          <t>NULL</t>
        </is>
      </c>
      <c r="K1469" s="0" t="inlineStr">
        <is>
          <t>YES! 	 c_dtoffset_4列源备映射正确，源端为datetimeoffset None位	期望更改为datetimeoffset(n)	实际备端为datetimeoffset None位</t>
        </is>
      </c>
    </row>
    <row r="1470">
      <c r="B1470" s="0" t="inlineStr">
        <is>
          <t>NULL</t>
        </is>
      </c>
      <c r="C1470" s="0" t="inlineStr">
        <is>
          <t>NULL</t>
        </is>
      </c>
      <c r="D1470" s="0" t="inlineStr">
        <is>
          <t>NULL</t>
        </is>
      </c>
      <c r="E1470" s="0" t="inlineStr">
        <is>
          <t>NULL</t>
        </is>
      </c>
      <c r="F1470" s="0" t="inlineStr">
        <is>
          <t>NULL</t>
        </is>
      </c>
      <c r="G1470" s="0" t="inlineStr">
        <is>
          <t>NULL</t>
        </is>
      </c>
      <c r="H1470" s="0" t="inlineStr">
        <is>
          <t>NULL</t>
        </is>
      </c>
      <c r="I1470" s="0" t="inlineStr">
        <is>
          <t>NULL</t>
        </is>
      </c>
      <c r="J1470" s="0" t="inlineStr">
        <is>
          <t>NULL</t>
        </is>
      </c>
      <c r="K1470" s="0" t="inlineStr">
        <is>
          <t>YES! 	 c_dtoffset_5列源备映射正确，源端为datetimeoffset None位	期望更改为datetimeoffset(n)	实际备端为datetimeoffset None位</t>
        </is>
      </c>
    </row>
    <row r="1471">
      <c r="B1471" s="0" t="inlineStr">
        <is>
          <t>NULL</t>
        </is>
      </c>
      <c r="C1471" s="0" t="inlineStr">
        <is>
          <t>NULL</t>
        </is>
      </c>
      <c r="D1471" s="0" t="inlineStr">
        <is>
          <t>NULL</t>
        </is>
      </c>
      <c r="E1471" s="0" t="inlineStr">
        <is>
          <t>NULL</t>
        </is>
      </c>
      <c r="F1471" s="0" t="inlineStr">
        <is>
          <t>NULL</t>
        </is>
      </c>
      <c r="G1471" s="0" t="inlineStr">
        <is>
          <t>NULL</t>
        </is>
      </c>
      <c r="H1471" s="0" t="inlineStr">
        <is>
          <t>NULL</t>
        </is>
      </c>
      <c r="I1471" s="0" t="inlineStr">
        <is>
          <t>NULL</t>
        </is>
      </c>
      <c r="J1471" s="0" t="inlineStr">
        <is>
          <t>NULL</t>
        </is>
      </c>
      <c r="K1471" s="0" t="inlineStr">
        <is>
          <t>YES! 	 c_dtoffset_6列源备映射正确，源端为datetimeoffset None位	期望更改为datetimeoffset(n)	实际备端为datetimeoffset None位</t>
        </is>
      </c>
    </row>
    <row r="1472">
      <c r="B1472" s="0" t="inlineStr">
        <is>
          <t>NULL</t>
        </is>
      </c>
      <c r="C1472" s="0" t="inlineStr">
        <is>
          <t>NULL</t>
        </is>
      </c>
      <c r="D1472" s="0" t="inlineStr">
        <is>
          <t>NULL</t>
        </is>
      </c>
      <c r="E1472" s="0" t="inlineStr">
        <is>
          <t>NULL</t>
        </is>
      </c>
      <c r="F1472" s="0" t="inlineStr">
        <is>
          <t>NULL</t>
        </is>
      </c>
      <c r="G1472" s="0" t="inlineStr">
        <is>
          <t>NULL</t>
        </is>
      </c>
      <c r="H1472" s="0" t="inlineStr">
        <is>
          <t>NULL</t>
        </is>
      </c>
      <c r="I1472" s="0" t="inlineStr">
        <is>
          <t>NULL</t>
        </is>
      </c>
      <c r="J1472" s="0" t="inlineStr">
        <is>
          <t>NULL</t>
        </is>
      </c>
      <c r="K1472" s="0" t="inlineStr">
        <is>
          <t>YES! 	 c_dtoffset列源备映射正确，源端为datetimeoffset None位	期望更改为datetimeoffset(n)	实际备端为datetimeoffset None位</t>
        </is>
      </c>
    </row>
    <row r="1473">
      <c r="A1473" s="0" t="inlineStr">
        <is>
          <t>info_datetime2_dml_single_nopk_urp</t>
        </is>
      </c>
      <c r="K1473" s="0" t="inlineStr">
        <is>
          <t>[0;34m info_datetime2_dml_single_nopk_urp [0m源备字段数相同，源端字段：9 	备端字段9</t>
        </is>
      </c>
      <c r="W1473" s="0" t="inlineStr">
        <is>
          <t>YES 源备无差异</t>
        </is>
      </c>
      <c r="X1473" s="0">
        <f>A1473</f>
        <v/>
      </c>
    </row>
    <row r="1474">
      <c r="B1474" s="0" t="inlineStr">
        <is>
          <t>NULL</t>
        </is>
      </c>
      <c r="C1474" s="0" t="inlineStr">
        <is>
          <t>NULL</t>
        </is>
      </c>
      <c r="D1474" s="0" t="inlineStr">
        <is>
          <t>NULL</t>
        </is>
      </c>
      <c r="E1474" s="0" t="inlineStr">
        <is>
          <t>NULL</t>
        </is>
      </c>
      <c r="F1474" s="0" t="inlineStr">
        <is>
          <t>NULL</t>
        </is>
      </c>
      <c r="G1474" s="0" t="inlineStr">
        <is>
          <t>NULL</t>
        </is>
      </c>
      <c r="H1474" s="0" t="inlineStr">
        <is>
          <t>NULL</t>
        </is>
      </c>
      <c r="I1474" s="0" t="inlineStr">
        <is>
          <t>NULL</t>
        </is>
      </c>
      <c r="J1474" s="0" t="inlineStr">
        <is>
          <t>NULL</t>
        </is>
      </c>
      <c r="K1474" s="0" t="inlineStr">
        <is>
          <t>YES! 	 id列源备映射正确，源端为int None位	期望更改为int	实际备端为int None位</t>
        </is>
      </c>
    </row>
    <row r="1475">
      <c r="B1475" s="0" t="inlineStr">
        <is>
          <t>NULL</t>
        </is>
      </c>
      <c r="C1475" s="0" t="inlineStr">
        <is>
          <t>NULL</t>
        </is>
      </c>
      <c r="D1475" s="0" t="inlineStr">
        <is>
          <t>NULL</t>
        </is>
      </c>
      <c r="E1475" s="0" t="inlineStr">
        <is>
          <t>NULL</t>
        </is>
      </c>
      <c r="F1475" s="0" t="inlineStr">
        <is>
          <t>NULL</t>
        </is>
      </c>
      <c r="G1475" s="0" t="inlineStr">
        <is>
          <t>NULL</t>
        </is>
      </c>
      <c r="H1475" s="0" t="inlineStr">
        <is>
          <t>NULL</t>
        </is>
      </c>
      <c r="I1475" s="0" t="inlineStr">
        <is>
          <t>NULL</t>
        </is>
      </c>
      <c r="J1475" s="0" t="inlineStr">
        <is>
          <t>NULL</t>
        </is>
      </c>
      <c r="K1475" s="0" t="inlineStr">
        <is>
          <t>no,len不存在</t>
        </is>
      </c>
    </row>
    <row r="1476">
      <c r="B1476" s="0" t="inlineStr">
        <is>
          <t>NULL</t>
        </is>
      </c>
      <c r="C1476" s="0" t="inlineStr">
        <is>
          <t>NULL</t>
        </is>
      </c>
      <c r="D1476" s="0" t="inlineStr">
        <is>
          <t>NULL</t>
        </is>
      </c>
      <c r="E1476" s="0" t="inlineStr">
        <is>
          <t>NULL</t>
        </is>
      </c>
      <c r="F1476" s="0" t="inlineStr">
        <is>
          <t>NULL</t>
        </is>
      </c>
      <c r="G1476" s="0" t="inlineStr">
        <is>
          <t>NULL</t>
        </is>
      </c>
      <c r="H1476" s="0" t="inlineStr">
        <is>
          <t>NULL</t>
        </is>
      </c>
      <c r="I1476" s="0" t="inlineStr">
        <is>
          <t>NULL</t>
        </is>
      </c>
      <c r="J1476" s="0" t="inlineStr">
        <is>
          <t>NULL</t>
        </is>
      </c>
      <c r="K1476" s="0" t="inlineStr">
        <is>
          <t>YES! 	 c_dt2_1列源备映射正确，源端为datetime2 None位	期望更改为datetime2(n)	实际备端为datetime2 None位</t>
        </is>
      </c>
    </row>
    <row r="1477">
      <c r="B1477" s="0" t="inlineStr">
        <is>
          <t>NULL</t>
        </is>
      </c>
      <c r="C1477" s="0" t="inlineStr">
        <is>
          <t>NULL</t>
        </is>
      </c>
      <c r="D1477" s="0" t="inlineStr">
        <is>
          <t>NULL</t>
        </is>
      </c>
      <c r="E1477" s="0" t="inlineStr">
        <is>
          <t>NULL</t>
        </is>
      </c>
      <c r="F1477" s="0" t="inlineStr">
        <is>
          <t>NULL</t>
        </is>
      </c>
      <c r="G1477" s="0" t="inlineStr">
        <is>
          <t>NULL</t>
        </is>
      </c>
      <c r="H1477" s="0" t="inlineStr">
        <is>
          <t>NULL</t>
        </is>
      </c>
      <c r="I1477" s="0" t="inlineStr">
        <is>
          <t>NULL</t>
        </is>
      </c>
      <c r="J1477" s="0" t="inlineStr">
        <is>
          <t>NULL</t>
        </is>
      </c>
      <c r="K1477" s="0" t="inlineStr">
        <is>
          <t>YES! 	 c_dt2_2列源备映射正确，源端为datetime2 None位	期望更改为datetime2(n)	实际备端为datetime2 None位</t>
        </is>
      </c>
    </row>
    <row r="1478">
      <c r="B1478" s="0" t="inlineStr">
        <is>
          <t>NULL</t>
        </is>
      </c>
      <c r="C1478" s="0" t="inlineStr">
        <is>
          <t>NULL</t>
        </is>
      </c>
      <c r="D1478" s="0" t="inlineStr">
        <is>
          <t>NULL</t>
        </is>
      </c>
      <c r="E1478" s="0" t="inlineStr">
        <is>
          <t>NULL</t>
        </is>
      </c>
      <c r="F1478" s="0" t="inlineStr">
        <is>
          <t>NULL</t>
        </is>
      </c>
      <c r="G1478" s="0" t="inlineStr">
        <is>
          <t>NULL</t>
        </is>
      </c>
      <c r="H1478" s="0" t="inlineStr">
        <is>
          <t>NULL</t>
        </is>
      </c>
      <c r="I1478" s="0" t="inlineStr">
        <is>
          <t>NULL</t>
        </is>
      </c>
      <c r="J1478" s="0" t="inlineStr">
        <is>
          <t>NULL</t>
        </is>
      </c>
      <c r="K1478" s="0" t="inlineStr">
        <is>
          <t>YES! 	 c_dt2_3列源备映射正确，源端为datetime2 None位	期望更改为datetime2(n)	实际备端为datetime2 None位</t>
        </is>
      </c>
    </row>
    <row r="1479">
      <c r="B1479" s="0" t="inlineStr">
        <is>
          <t>NULL</t>
        </is>
      </c>
      <c r="C1479" s="0" t="inlineStr">
        <is>
          <t>NULL</t>
        </is>
      </c>
      <c r="D1479" s="0" t="inlineStr">
        <is>
          <t>NULL</t>
        </is>
      </c>
      <c r="E1479" s="0" t="inlineStr">
        <is>
          <t>NULL</t>
        </is>
      </c>
      <c r="F1479" s="0" t="inlineStr">
        <is>
          <t>NULL</t>
        </is>
      </c>
      <c r="G1479" s="0" t="inlineStr">
        <is>
          <t>NULL</t>
        </is>
      </c>
      <c r="H1479" s="0" t="inlineStr">
        <is>
          <t>NULL</t>
        </is>
      </c>
      <c r="I1479" s="0" t="inlineStr">
        <is>
          <t>NULL</t>
        </is>
      </c>
      <c r="J1479" s="0" t="inlineStr">
        <is>
          <t>NULL</t>
        </is>
      </c>
      <c r="K1479" s="0" t="inlineStr">
        <is>
          <t>YES! 	 c_dt2_4列源备映射正确，源端为datetime2 None位	期望更改为datetime2(n)	实际备端为datetime2 None位</t>
        </is>
      </c>
    </row>
    <row r="1480">
      <c r="B1480" s="0" t="inlineStr">
        <is>
          <t>NULL</t>
        </is>
      </c>
      <c r="C1480" s="0" t="inlineStr">
        <is>
          <t>NULL</t>
        </is>
      </c>
      <c r="D1480" s="0" t="inlineStr">
        <is>
          <t>NULL</t>
        </is>
      </c>
      <c r="E1480" s="0" t="inlineStr">
        <is>
          <t>NULL</t>
        </is>
      </c>
      <c r="F1480" s="0" t="inlineStr">
        <is>
          <t>NULL</t>
        </is>
      </c>
      <c r="G1480" s="0" t="inlineStr">
        <is>
          <t>NULL</t>
        </is>
      </c>
      <c r="H1480" s="0" t="inlineStr">
        <is>
          <t>NULL</t>
        </is>
      </c>
      <c r="I1480" s="0" t="inlineStr">
        <is>
          <t>NULL</t>
        </is>
      </c>
      <c r="J1480" s="0" t="inlineStr">
        <is>
          <t>NULL</t>
        </is>
      </c>
      <c r="K1480" s="0" t="inlineStr">
        <is>
          <t>YES! 	 c_dt2_5列源备映射正确，源端为datetime2 None位	期望更改为datetime2(n)	实际备端为datetime2 None位</t>
        </is>
      </c>
    </row>
    <row r="1481">
      <c r="B1481" s="0" t="inlineStr">
        <is>
          <t>NULL</t>
        </is>
      </c>
      <c r="C1481" s="0" t="inlineStr">
        <is>
          <t>NULL</t>
        </is>
      </c>
      <c r="D1481" s="0" t="inlineStr">
        <is>
          <t>NULL</t>
        </is>
      </c>
      <c r="E1481" s="0" t="inlineStr">
        <is>
          <t>NULL</t>
        </is>
      </c>
      <c r="F1481" s="0" t="inlineStr">
        <is>
          <t>NULL</t>
        </is>
      </c>
      <c r="G1481" s="0" t="inlineStr">
        <is>
          <t>NULL</t>
        </is>
      </c>
      <c r="H1481" s="0" t="inlineStr">
        <is>
          <t>NULL</t>
        </is>
      </c>
      <c r="I1481" s="0" t="inlineStr">
        <is>
          <t>NULL</t>
        </is>
      </c>
      <c r="J1481" s="0" t="inlineStr">
        <is>
          <t>NULL</t>
        </is>
      </c>
      <c r="K1481" s="0" t="inlineStr">
        <is>
          <t>YES! 	 c_dt2_6列源备映射正确，源端为datetime2 None位	期望更改为datetime2(n)	实际备端为datetime2 None位</t>
        </is>
      </c>
    </row>
    <row r="1482">
      <c r="B1482" s="0" t="inlineStr">
        <is>
          <t>NULL</t>
        </is>
      </c>
      <c r="C1482" s="0" t="inlineStr">
        <is>
          <t>NULL</t>
        </is>
      </c>
      <c r="D1482" s="0" t="inlineStr">
        <is>
          <t>NULL</t>
        </is>
      </c>
      <c r="E1482" s="0" t="inlineStr">
        <is>
          <t>NULL</t>
        </is>
      </c>
      <c r="F1482" s="0" t="inlineStr">
        <is>
          <t>NULL</t>
        </is>
      </c>
      <c r="G1482" s="0" t="inlineStr">
        <is>
          <t>NULL</t>
        </is>
      </c>
      <c r="H1482" s="0" t="inlineStr">
        <is>
          <t>NULL</t>
        </is>
      </c>
      <c r="I1482" s="0" t="inlineStr">
        <is>
          <t>NULL</t>
        </is>
      </c>
      <c r="J1482" s="0" t="inlineStr">
        <is>
          <t>NULL</t>
        </is>
      </c>
      <c r="K1482" s="0" t="inlineStr">
        <is>
          <t>YES! 	 c_dt2列源备映射正确，源端为datetime2 None位	期望更改为datetime2(n)	实际备端为datetime2 None位</t>
        </is>
      </c>
    </row>
    <row r="1483">
      <c r="A1483" s="0" t="inlineStr">
        <is>
          <t>info_varcharmax_dml_batch1_pk_urp1</t>
        </is>
      </c>
      <c r="K1483" s="0" t="inlineStr">
        <is>
          <t>[0;34m info_varcharmax_dml_batch1_pk_urp1 [0m源备字段数相同，源端字段：3 	备端字段3</t>
        </is>
      </c>
      <c r="W1483" s="0" t="inlineStr">
        <is>
          <t>YES 源备无差异</t>
        </is>
      </c>
      <c r="X1483" s="0">
        <f>A1483</f>
        <v/>
      </c>
    </row>
    <row r="1484">
      <c r="B1484" s="0" t="inlineStr">
        <is>
          <t>YES</t>
        </is>
      </c>
      <c r="C1484" s="0" t="inlineStr">
        <is>
          <t>NULL</t>
        </is>
      </c>
      <c r="D1484" s="0" t="inlineStr">
        <is>
          <t>NULL</t>
        </is>
      </c>
      <c r="E1484" s="0" t="inlineStr">
        <is>
          <t>NULL</t>
        </is>
      </c>
      <c r="F1484" s="0" t="inlineStr">
        <is>
          <t>NULL</t>
        </is>
      </c>
      <c r="G1484" s="0" t="inlineStr">
        <is>
          <t>NULL</t>
        </is>
      </c>
      <c r="H1484" s="0" t="inlineStr">
        <is>
          <t>NULL</t>
        </is>
      </c>
      <c r="I1484" s="0" t="inlineStr">
        <is>
          <t>YES!PK__info_var__3213E83FDE4211B1</t>
        </is>
      </c>
      <c r="J1484" s="0" t="inlineStr">
        <is>
          <t>YES! 主键相关索引</t>
        </is>
      </c>
      <c r="K1484" s="0" t="inlineStr">
        <is>
          <t>YES! 	 id列源备映射正确，源端为int None位	期望更改为int	实际备端为int None位</t>
        </is>
      </c>
    </row>
    <row r="1485">
      <c r="B1485" s="0" t="inlineStr">
        <is>
          <t>NULL</t>
        </is>
      </c>
      <c r="C1485" s="0" t="inlineStr">
        <is>
          <t>NULL</t>
        </is>
      </c>
      <c r="D1485" s="0" t="inlineStr">
        <is>
          <t>NULL</t>
        </is>
      </c>
      <c r="E1485" s="0" t="inlineStr">
        <is>
          <t>NULL</t>
        </is>
      </c>
      <c r="F1485" s="0" t="inlineStr">
        <is>
          <t>NULL</t>
        </is>
      </c>
      <c r="G1485" s="0" t="inlineStr">
        <is>
          <t>NULL</t>
        </is>
      </c>
      <c r="H1485" s="0" t="inlineStr">
        <is>
          <t>NULL</t>
        </is>
      </c>
      <c r="I1485" s="0" t="inlineStr">
        <is>
          <t>NULL</t>
        </is>
      </c>
      <c r="J1485" s="0" t="inlineStr">
        <is>
          <t>NULL</t>
        </is>
      </c>
      <c r="K1485" s="0" t="inlineStr">
        <is>
          <t>YES! 	 c_varchar_max列源备映射正确，源端为varchar -1位	期望更改为varchar(n)	实际备端为varchar -1位</t>
        </is>
      </c>
    </row>
    <row r="1486">
      <c r="B1486" s="0" t="inlineStr">
        <is>
          <t>NULL</t>
        </is>
      </c>
      <c r="C1486" s="0" t="inlineStr">
        <is>
          <t>NULL</t>
        </is>
      </c>
      <c r="D1486" s="0" t="inlineStr">
        <is>
          <t>NULL</t>
        </is>
      </c>
      <c r="E1486" s="0" t="inlineStr">
        <is>
          <t>NULL</t>
        </is>
      </c>
      <c r="F1486" s="0" t="inlineStr">
        <is>
          <t>NULL</t>
        </is>
      </c>
      <c r="G1486" s="0" t="inlineStr">
        <is>
          <t>NULL</t>
        </is>
      </c>
      <c r="H1486" s="0" t="inlineStr">
        <is>
          <t>NULL</t>
        </is>
      </c>
      <c r="I1486" s="0" t="inlineStr">
        <is>
          <t>NULL</t>
        </is>
      </c>
      <c r="J1486" s="0" t="inlineStr">
        <is>
          <t>NULL</t>
        </is>
      </c>
      <c r="K1486" s="0" t="inlineStr">
        <is>
          <t>YES! 	 c_nvarchar_max列源备映射正确，源端为nvarchar -1位	期望更改为nvarchar(n)	实际备端为nvarchar -1位</t>
        </is>
      </c>
    </row>
    <row r="1487">
      <c r="K1487" s="0" t="inlineStr">
        <is>
          <t>~ 空表</t>
        </is>
      </c>
    </row>
    <row r="1488">
      <c r="A1488" s="0" t="inlineStr">
        <is>
          <t>info_datetimeoffset_dml_single_pk_drp</t>
        </is>
      </c>
      <c r="K1488" s="0" t="inlineStr">
        <is>
          <t>[0;34m info_datetimeoffset_dml_single_pk_drp [0m源备字段数相同，源端字段：9 	备端字段9</t>
        </is>
      </c>
      <c r="W1488" s="0" t="inlineStr">
        <is>
          <t>YES 源备无差异</t>
        </is>
      </c>
      <c r="X1488" s="0">
        <f>A1488</f>
        <v/>
      </c>
    </row>
    <row r="1489">
      <c r="B1489" s="0" t="inlineStr">
        <is>
          <t>YES</t>
        </is>
      </c>
      <c r="C1489" s="0" t="inlineStr">
        <is>
          <t>NULL</t>
        </is>
      </c>
      <c r="D1489" s="0" t="inlineStr">
        <is>
          <t>NULL</t>
        </is>
      </c>
      <c r="E1489" s="0" t="inlineStr">
        <is>
          <t>NULL</t>
        </is>
      </c>
      <c r="F1489" s="0" t="inlineStr">
        <is>
          <t>NULL</t>
        </is>
      </c>
      <c r="G1489" s="0" t="inlineStr">
        <is>
          <t>NULL</t>
        </is>
      </c>
      <c r="H1489" s="0" t="inlineStr">
        <is>
          <t>NULL</t>
        </is>
      </c>
      <c r="I1489" s="0" t="inlineStr">
        <is>
          <t>YES!PK__info_dat__3213E83FB13C2792</t>
        </is>
      </c>
      <c r="J1489" s="0" t="inlineStr">
        <is>
          <t>YES! 主键相关索引</t>
        </is>
      </c>
      <c r="K1489" s="0" t="inlineStr">
        <is>
          <t>YES! 	 id列源备映射正确，源端为int None位	期望更改为int	实际备端为int None位</t>
        </is>
      </c>
    </row>
    <row r="1490">
      <c r="B1490" s="0" t="inlineStr">
        <is>
          <t>NULL</t>
        </is>
      </c>
      <c r="C1490" s="0" t="inlineStr">
        <is>
          <t>NULL</t>
        </is>
      </c>
      <c r="D1490" s="0" t="inlineStr">
        <is>
          <t>NULL</t>
        </is>
      </c>
      <c r="E1490" s="0" t="inlineStr">
        <is>
          <t>NULL</t>
        </is>
      </c>
      <c r="F1490" s="0" t="inlineStr">
        <is>
          <t>NULL</t>
        </is>
      </c>
      <c r="G1490" s="0" t="inlineStr">
        <is>
          <t>NULL</t>
        </is>
      </c>
      <c r="H1490" s="0" t="inlineStr">
        <is>
          <t>NULL</t>
        </is>
      </c>
      <c r="I1490" s="0" t="inlineStr">
        <is>
          <t>NULL</t>
        </is>
      </c>
      <c r="J1490" s="0" t="inlineStr">
        <is>
          <t>NULL</t>
        </is>
      </c>
      <c r="K1490" s="0" t="inlineStr">
        <is>
          <t>no,len不存在</t>
        </is>
      </c>
    </row>
    <row r="1491">
      <c r="B1491" s="0" t="inlineStr">
        <is>
          <t>NULL</t>
        </is>
      </c>
      <c r="C1491" s="0" t="inlineStr">
        <is>
          <t>NULL</t>
        </is>
      </c>
      <c r="D1491" s="0" t="inlineStr">
        <is>
          <t>NULL</t>
        </is>
      </c>
      <c r="E1491" s="0" t="inlineStr">
        <is>
          <t>NULL</t>
        </is>
      </c>
      <c r="F1491" s="0" t="inlineStr">
        <is>
          <t>NULL</t>
        </is>
      </c>
      <c r="G1491" s="0" t="inlineStr">
        <is>
          <t>NULL</t>
        </is>
      </c>
      <c r="H1491" s="0" t="inlineStr">
        <is>
          <t>NULL</t>
        </is>
      </c>
      <c r="I1491" s="0" t="inlineStr">
        <is>
          <t>NULL</t>
        </is>
      </c>
      <c r="J1491" s="0" t="inlineStr">
        <is>
          <t>NULL</t>
        </is>
      </c>
      <c r="K1491" s="0" t="inlineStr">
        <is>
          <t>YES! 	 c_dtoffset_1列源备映射正确，源端为datetimeoffset None位	期望更改为datetimeoffset(n)	实际备端为datetimeoffset None位</t>
        </is>
      </c>
    </row>
    <row r="1492">
      <c r="B1492" s="0" t="inlineStr">
        <is>
          <t>NULL</t>
        </is>
      </c>
      <c r="C1492" s="0" t="inlineStr">
        <is>
          <t>NULL</t>
        </is>
      </c>
      <c r="D1492" s="0" t="inlineStr">
        <is>
          <t>NULL</t>
        </is>
      </c>
      <c r="E1492" s="0" t="inlineStr">
        <is>
          <t>NULL</t>
        </is>
      </c>
      <c r="F1492" s="0" t="inlineStr">
        <is>
          <t>NULL</t>
        </is>
      </c>
      <c r="G1492" s="0" t="inlineStr">
        <is>
          <t>NULL</t>
        </is>
      </c>
      <c r="H1492" s="0" t="inlineStr">
        <is>
          <t>NULL</t>
        </is>
      </c>
      <c r="I1492" s="0" t="inlineStr">
        <is>
          <t>NULL</t>
        </is>
      </c>
      <c r="J1492" s="0" t="inlineStr">
        <is>
          <t>NULL</t>
        </is>
      </c>
      <c r="K1492" s="0" t="inlineStr">
        <is>
          <t>YES! 	 c_dtoffset_2列源备映射正确，源端为datetimeoffset None位	期望更改为datetimeoffset(n)	实际备端为datetimeoffset None位</t>
        </is>
      </c>
    </row>
    <row r="1493">
      <c r="B1493" s="0" t="inlineStr">
        <is>
          <t>NULL</t>
        </is>
      </c>
      <c r="C1493" s="0" t="inlineStr">
        <is>
          <t>NULL</t>
        </is>
      </c>
      <c r="D1493" s="0" t="inlineStr">
        <is>
          <t>NULL</t>
        </is>
      </c>
      <c r="E1493" s="0" t="inlineStr">
        <is>
          <t>NULL</t>
        </is>
      </c>
      <c r="F1493" s="0" t="inlineStr">
        <is>
          <t>NULL</t>
        </is>
      </c>
      <c r="G1493" s="0" t="inlineStr">
        <is>
          <t>NULL</t>
        </is>
      </c>
      <c r="H1493" s="0" t="inlineStr">
        <is>
          <t>NULL</t>
        </is>
      </c>
      <c r="I1493" s="0" t="inlineStr">
        <is>
          <t>NULL</t>
        </is>
      </c>
      <c r="J1493" s="0" t="inlineStr">
        <is>
          <t>NULL</t>
        </is>
      </c>
      <c r="K1493" s="0" t="inlineStr">
        <is>
          <t>YES! 	 c_dtoffset_3列源备映射正确，源端为datetimeoffset None位	期望更改为datetimeoffset(n)	实际备端为datetimeoffset None位</t>
        </is>
      </c>
    </row>
    <row r="1494">
      <c r="B1494" s="0" t="inlineStr">
        <is>
          <t>NULL</t>
        </is>
      </c>
      <c r="C1494" s="0" t="inlineStr">
        <is>
          <t>NULL</t>
        </is>
      </c>
      <c r="D1494" s="0" t="inlineStr">
        <is>
          <t>NULL</t>
        </is>
      </c>
      <c r="E1494" s="0" t="inlineStr">
        <is>
          <t>NULL</t>
        </is>
      </c>
      <c r="F1494" s="0" t="inlineStr">
        <is>
          <t>NULL</t>
        </is>
      </c>
      <c r="G1494" s="0" t="inlineStr">
        <is>
          <t>NULL</t>
        </is>
      </c>
      <c r="H1494" s="0" t="inlineStr">
        <is>
          <t>NULL</t>
        </is>
      </c>
      <c r="I1494" s="0" t="inlineStr">
        <is>
          <t>NULL</t>
        </is>
      </c>
      <c r="J1494" s="0" t="inlineStr">
        <is>
          <t>NULL</t>
        </is>
      </c>
      <c r="K1494" s="0" t="inlineStr">
        <is>
          <t>YES! 	 c_dtoffset_4列源备映射正确，源端为datetimeoffset None位	期望更改为datetimeoffset(n)	实际备端为datetimeoffset None位</t>
        </is>
      </c>
    </row>
    <row r="1495">
      <c r="B1495" s="0" t="inlineStr">
        <is>
          <t>NULL</t>
        </is>
      </c>
      <c r="C1495" s="0" t="inlineStr">
        <is>
          <t>NULL</t>
        </is>
      </c>
      <c r="D1495" s="0" t="inlineStr">
        <is>
          <t>NULL</t>
        </is>
      </c>
      <c r="E1495" s="0" t="inlineStr">
        <is>
          <t>NULL</t>
        </is>
      </c>
      <c r="F1495" s="0" t="inlineStr">
        <is>
          <t>NULL</t>
        </is>
      </c>
      <c r="G1495" s="0" t="inlineStr">
        <is>
          <t>NULL</t>
        </is>
      </c>
      <c r="H1495" s="0" t="inlineStr">
        <is>
          <t>NULL</t>
        </is>
      </c>
      <c r="I1495" s="0" t="inlineStr">
        <is>
          <t>NULL</t>
        </is>
      </c>
      <c r="J1495" s="0" t="inlineStr">
        <is>
          <t>NULL</t>
        </is>
      </c>
      <c r="K1495" s="0" t="inlineStr">
        <is>
          <t>YES! 	 c_dtoffset_5列源备映射正确，源端为datetimeoffset None位	期望更改为datetimeoffset(n)	实际备端为datetimeoffset None位</t>
        </is>
      </c>
    </row>
    <row r="1496">
      <c r="B1496" s="0" t="inlineStr">
        <is>
          <t>NULL</t>
        </is>
      </c>
      <c r="C1496" s="0" t="inlineStr">
        <is>
          <t>NULL</t>
        </is>
      </c>
      <c r="D1496" s="0" t="inlineStr">
        <is>
          <t>NULL</t>
        </is>
      </c>
      <c r="E1496" s="0" t="inlineStr">
        <is>
          <t>NULL</t>
        </is>
      </c>
      <c r="F1496" s="0" t="inlineStr">
        <is>
          <t>NULL</t>
        </is>
      </c>
      <c r="G1496" s="0" t="inlineStr">
        <is>
          <t>NULL</t>
        </is>
      </c>
      <c r="H1496" s="0" t="inlineStr">
        <is>
          <t>NULL</t>
        </is>
      </c>
      <c r="I1496" s="0" t="inlineStr">
        <is>
          <t>NULL</t>
        </is>
      </c>
      <c r="J1496" s="0" t="inlineStr">
        <is>
          <t>NULL</t>
        </is>
      </c>
      <c r="K1496" s="0" t="inlineStr">
        <is>
          <t>YES! 	 c_dtoffset_6列源备映射正确，源端为datetimeoffset None位	期望更改为datetimeoffset(n)	实际备端为datetimeoffset None位</t>
        </is>
      </c>
    </row>
    <row r="1497">
      <c r="B1497" s="0" t="inlineStr">
        <is>
          <t>NULL</t>
        </is>
      </c>
      <c r="C1497" s="0" t="inlineStr">
        <is>
          <t>NULL</t>
        </is>
      </c>
      <c r="D1497" s="0" t="inlineStr">
        <is>
          <t>NULL</t>
        </is>
      </c>
      <c r="E1497" s="0" t="inlineStr">
        <is>
          <t>NULL</t>
        </is>
      </c>
      <c r="F1497" s="0" t="inlineStr">
        <is>
          <t>NULL</t>
        </is>
      </c>
      <c r="G1497" s="0" t="inlineStr">
        <is>
          <t>NULL</t>
        </is>
      </c>
      <c r="H1497" s="0" t="inlineStr">
        <is>
          <t>NULL</t>
        </is>
      </c>
      <c r="I1497" s="0" t="inlineStr">
        <is>
          <t>NULL</t>
        </is>
      </c>
      <c r="J1497" s="0" t="inlineStr">
        <is>
          <t>NULL</t>
        </is>
      </c>
      <c r="K1497" s="0" t="inlineStr">
        <is>
          <t>YES! 	 c_dtoffset列源备映射正确，源端为datetimeoffset None位	期望更改为datetimeoffset(n)	实际备端为datetimeoffset None位</t>
        </is>
      </c>
    </row>
    <row r="1498">
      <c r="A1498" s="0" t="inlineStr">
        <is>
          <t>info_datetime2_dml_single_nopk_irp</t>
        </is>
      </c>
      <c r="K1498" s="0" t="inlineStr">
        <is>
          <t>[0;34m info_datetime2_dml_single_nopk_irp [0m源备字段数相同，源端字段：9 	备端字段9</t>
        </is>
      </c>
      <c r="W1498" s="0" t="inlineStr">
        <is>
          <t>YES 源备无差异</t>
        </is>
      </c>
      <c r="X1498" s="0">
        <f>A1498</f>
        <v/>
      </c>
    </row>
    <row r="1499">
      <c r="B1499" s="0" t="inlineStr">
        <is>
          <t>NULL</t>
        </is>
      </c>
      <c r="C1499" s="0" t="inlineStr">
        <is>
          <t>NULL</t>
        </is>
      </c>
      <c r="D1499" s="0" t="inlineStr">
        <is>
          <t>NULL</t>
        </is>
      </c>
      <c r="E1499" s="0" t="inlineStr">
        <is>
          <t>NULL</t>
        </is>
      </c>
      <c r="F1499" s="0" t="inlineStr">
        <is>
          <t>NULL</t>
        </is>
      </c>
      <c r="G1499" s="0" t="inlineStr">
        <is>
          <t>NULL</t>
        </is>
      </c>
      <c r="H1499" s="0" t="inlineStr">
        <is>
          <t>NULL</t>
        </is>
      </c>
      <c r="I1499" s="0" t="inlineStr">
        <is>
          <t>NULL</t>
        </is>
      </c>
      <c r="J1499" s="0" t="inlineStr">
        <is>
          <t>NULL</t>
        </is>
      </c>
      <c r="K1499" s="0" t="inlineStr">
        <is>
          <t>YES! 	 id列源备映射正确，源端为int None位	期望更改为int	实际备端为int None位</t>
        </is>
      </c>
    </row>
    <row r="1500">
      <c r="B1500" s="0" t="inlineStr">
        <is>
          <t>NULL</t>
        </is>
      </c>
      <c r="C1500" s="0" t="inlineStr">
        <is>
          <t>NULL</t>
        </is>
      </c>
      <c r="D1500" s="0" t="inlineStr">
        <is>
          <t>NULL</t>
        </is>
      </c>
      <c r="E1500" s="0" t="inlineStr">
        <is>
          <t>NULL</t>
        </is>
      </c>
      <c r="F1500" s="0" t="inlineStr">
        <is>
          <t>NULL</t>
        </is>
      </c>
      <c r="G1500" s="0" t="inlineStr">
        <is>
          <t>NULL</t>
        </is>
      </c>
      <c r="H1500" s="0" t="inlineStr">
        <is>
          <t>NULL</t>
        </is>
      </c>
      <c r="I1500" s="0" t="inlineStr">
        <is>
          <t>NULL</t>
        </is>
      </c>
      <c r="J1500" s="0" t="inlineStr">
        <is>
          <t>NULL</t>
        </is>
      </c>
      <c r="K1500" s="0" t="inlineStr">
        <is>
          <t>no,len不存在</t>
        </is>
      </c>
    </row>
    <row r="1501">
      <c r="B1501" s="0" t="inlineStr">
        <is>
          <t>NULL</t>
        </is>
      </c>
      <c r="C1501" s="0" t="inlineStr">
        <is>
          <t>NULL</t>
        </is>
      </c>
      <c r="D1501" s="0" t="inlineStr">
        <is>
          <t>NULL</t>
        </is>
      </c>
      <c r="E1501" s="0" t="inlineStr">
        <is>
          <t>NULL</t>
        </is>
      </c>
      <c r="F1501" s="0" t="inlineStr">
        <is>
          <t>NULL</t>
        </is>
      </c>
      <c r="G1501" s="0" t="inlineStr">
        <is>
          <t>NULL</t>
        </is>
      </c>
      <c r="H1501" s="0" t="inlineStr">
        <is>
          <t>NULL</t>
        </is>
      </c>
      <c r="I1501" s="0" t="inlineStr">
        <is>
          <t>NULL</t>
        </is>
      </c>
      <c r="J1501" s="0" t="inlineStr">
        <is>
          <t>NULL</t>
        </is>
      </c>
      <c r="K1501" s="0" t="inlineStr">
        <is>
          <t>YES! 	 c_dt2_1列源备映射正确，源端为datetime2 None位	期望更改为datetime2(n)	实际备端为datetime2 None位</t>
        </is>
      </c>
    </row>
    <row r="1502">
      <c r="B1502" s="0" t="inlineStr">
        <is>
          <t>NULL</t>
        </is>
      </c>
      <c r="C1502" s="0" t="inlineStr">
        <is>
          <t>NULL</t>
        </is>
      </c>
      <c r="D1502" s="0" t="inlineStr">
        <is>
          <t>NULL</t>
        </is>
      </c>
      <c r="E1502" s="0" t="inlineStr">
        <is>
          <t>NULL</t>
        </is>
      </c>
      <c r="F1502" s="0" t="inlineStr">
        <is>
          <t>NULL</t>
        </is>
      </c>
      <c r="G1502" s="0" t="inlineStr">
        <is>
          <t>NULL</t>
        </is>
      </c>
      <c r="H1502" s="0" t="inlineStr">
        <is>
          <t>NULL</t>
        </is>
      </c>
      <c r="I1502" s="0" t="inlineStr">
        <is>
          <t>NULL</t>
        </is>
      </c>
      <c r="J1502" s="0" t="inlineStr">
        <is>
          <t>NULL</t>
        </is>
      </c>
      <c r="K1502" s="0" t="inlineStr">
        <is>
          <t>YES! 	 c_dt2_2列源备映射正确，源端为datetime2 None位	期望更改为datetime2(n)	实际备端为datetime2 None位</t>
        </is>
      </c>
    </row>
    <row r="1503">
      <c r="B1503" s="0" t="inlineStr">
        <is>
          <t>NULL</t>
        </is>
      </c>
      <c r="C1503" s="0" t="inlineStr">
        <is>
          <t>NULL</t>
        </is>
      </c>
      <c r="D1503" s="0" t="inlineStr">
        <is>
          <t>NULL</t>
        </is>
      </c>
      <c r="E1503" s="0" t="inlineStr">
        <is>
          <t>NULL</t>
        </is>
      </c>
      <c r="F1503" s="0" t="inlineStr">
        <is>
          <t>NULL</t>
        </is>
      </c>
      <c r="G1503" s="0" t="inlineStr">
        <is>
          <t>NULL</t>
        </is>
      </c>
      <c r="H1503" s="0" t="inlineStr">
        <is>
          <t>NULL</t>
        </is>
      </c>
      <c r="I1503" s="0" t="inlineStr">
        <is>
          <t>NULL</t>
        </is>
      </c>
      <c r="J1503" s="0" t="inlineStr">
        <is>
          <t>NULL</t>
        </is>
      </c>
      <c r="K1503" s="0" t="inlineStr">
        <is>
          <t>YES! 	 c_dt2_3列源备映射正确，源端为datetime2 None位	期望更改为datetime2(n)	实际备端为datetime2 None位</t>
        </is>
      </c>
    </row>
    <row r="1504">
      <c r="B1504" s="0" t="inlineStr">
        <is>
          <t>NULL</t>
        </is>
      </c>
      <c r="C1504" s="0" t="inlineStr">
        <is>
          <t>NULL</t>
        </is>
      </c>
      <c r="D1504" s="0" t="inlineStr">
        <is>
          <t>NULL</t>
        </is>
      </c>
      <c r="E1504" s="0" t="inlineStr">
        <is>
          <t>NULL</t>
        </is>
      </c>
      <c r="F1504" s="0" t="inlineStr">
        <is>
          <t>NULL</t>
        </is>
      </c>
      <c r="G1504" s="0" t="inlineStr">
        <is>
          <t>NULL</t>
        </is>
      </c>
      <c r="H1504" s="0" t="inlineStr">
        <is>
          <t>NULL</t>
        </is>
      </c>
      <c r="I1504" s="0" t="inlineStr">
        <is>
          <t>NULL</t>
        </is>
      </c>
      <c r="J1504" s="0" t="inlineStr">
        <is>
          <t>NULL</t>
        </is>
      </c>
      <c r="K1504" s="0" t="inlineStr">
        <is>
          <t>YES! 	 c_dt2_4列源备映射正确，源端为datetime2 None位	期望更改为datetime2(n)	实际备端为datetime2 None位</t>
        </is>
      </c>
    </row>
    <row r="1505">
      <c r="B1505" s="0" t="inlineStr">
        <is>
          <t>NULL</t>
        </is>
      </c>
      <c r="C1505" s="0" t="inlineStr">
        <is>
          <t>NULL</t>
        </is>
      </c>
      <c r="D1505" s="0" t="inlineStr">
        <is>
          <t>NULL</t>
        </is>
      </c>
      <c r="E1505" s="0" t="inlineStr">
        <is>
          <t>NULL</t>
        </is>
      </c>
      <c r="F1505" s="0" t="inlineStr">
        <is>
          <t>NULL</t>
        </is>
      </c>
      <c r="G1505" s="0" t="inlineStr">
        <is>
          <t>NULL</t>
        </is>
      </c>
      <c r="H1505" s="0" t="inlineStr">
        <is>
          <t>NULL</t>
        </is>
      </c>
      <c r="I1505" s="0" t="inlineStr">
        <is>
          <t>NULL</t>
        </is>
      </c>
      <c r="J1505" s="0" t="inlineStr">
        <is>
          <t>NULL</t>
        </is>
      </c>
      <c r="K1505" s="0" t="inlineStr">
        <is>
          <t>YES! 	 c_dt2_5列源备映射正确，源端为datetime2 None位	期望更改为datetime2(n)	实际备端为datetime2 None位</t>
        </is>
      </c>
    </row>
    <row r="1506">
      <c r="B1506" s="0" t="inlineStr">
        <is>
          <t>NULL</t>
        </is>
      </c>
      <c r="C1506" s="0" t="inlineStr">
        <is>
          <t>NULL</t>
        </is>
      </c>
      <c r="D1506" s="0" t="inlineStr">
        <is>
          <t>NULL</t>
        </is>
      </c>
      <c r="E1506" s="0" t="inlineStr">
        <is>
          <t>NULL</t>
        </is>
      </c>
      <c r="F1506" s="0" t="inlineStr">
        <is>
          <t>NULL</t>
        </is>
      </c>
      <c r="G1506" s="0" t="inlineStr">
        <is>
          <t>NULL</t>
        </is>
      </c>
      <c r="H1506" s="0" t="inlineStr">
        <is>
          <t>NULL</t>
        </is>
      </c>
      <c r="I1506" s="0" t="inlineStr">
        <is>
          <t>NULL</t>
        </is>
      </c>
      <c r="J1506" s="0" t="inlineStr">
        <is>
          <t>NULL</t>
        </is>
      </c>
      <c r="K1506" s="0" t="inlineStr">
        <is>
          <t>YES! 	 c_dt2_6列源备映射正确，源端为datetime2 None位	期望更改为datetime2(n)	实际备端为datetime2 None位</t>
        </is>
      </c>
    </row>
    <row r="1507">
      <c r="B1507" s="0" t="inlineStr">
        <is>
          <t>NULL</t>
        </is>
      </c>
      <c r="C1507" s="0" t="inlineStr">
        <is>
          <t>NULL</t>
        </is>
      </c>
      <c r="D1507" s="0" t="inlineStr">
        <is>
          <t>NULL</t>
        </is>
      </c>
      <c r="E1507" s="0" t="inlineStr">
        <is>
          <t>NULL</t>
        </is>
      </c>
      <c r="F1507" s="0" t="inlineStr">
        <is>
          <t>NULL</t>
        </is>
      </c>
      <c r="G1507" s="0" t="inlineStr">
        <is>
          <t>NULL</t>
        </is>
      </c>
      <c r="H1507" s="0" t="inlineStr">
        <is>
          <t>NULL</t>
        </is>
      </c>
      <c r="I1507" s="0" t="inlineStr">
        <is>
          <t>NULL</t>
        </is>
      </c>
      <c r="J1507" s="0" t="inlineStr">
        <is>
          <t>NULL</t>
        </is>
      </c>
      <c r="K1507" s="0" t="inlineStr">
        <is>
          <t>YES! 	 c_dt2列源备映射正确，源端为datetime2 None位	期望更改为datetime2(n)	实际备端为datetime2 None位</t>
        </is>
      </c>
    </row>
    <row r="1508">
      <c r="A1508" s="0" t="inlineStr">
        <is>
          <t>info_binary_dml_single_pk_drp</t>
        </is>
      </c>
      <c r="K1508" s="0" t="inlineStr">
        <is>
          <t>[0;34m info_binary_dml_single_pk_drp [0m源备字段数相同，源端字段：4 	备端字段4</t>
        </is>
      </c>
      <c r="W1508" s="0" t="inlineStr">
        <is>
          <t>YES 源备无差异</t>
        </is>
      </c>
      <c r="X1508" s="0">
        <f>A1508</f>
        <v/>
      </c>
    </row>
    <row r="1509">
      <c r="B1509" s="0" t="inlineStr">
        <is>
          <t>YES</t>
        </is>
      </c>
      <c r="C1509" s="0" t="inlineStr">
        <is>
          <t>NULL</t>
        </is>
      </c>
      <c r="D1509" s="0" t="inlineStr">
        <is>
          <t>NULL</t>
        </is>
      </c>
      <c r="E1509" s="0" t="inlineStr">
        <is>
          <t>NULL</t>
        </is>
      </c>
      <c r="F1509" s="0" t="inlineStr">
        <is>
          <t>NULL</t>
        </is>
      </c>
      <c r="G1509" s="0" t="inlineStr">
        <is>
          <t>NULL</t>
        </is>
      </c>
      <c r="H1509" s="0" t="inlineStr">
        <is>
          <t>NULL</t>
        </is>
      </c>
      <c r="I1509" s="0" t="inlineStr">
        <is>
          <t>YES!PK__info_bin__3213E83F5ED736A6</t>
        </is>
      </c>
      <c r="J1509" s="0" t="inlineStr">
        <is>
          <t>YES! 主键相关索引</t>
        </is>
      </c>
      <c r="K1509" s="0" t="inlineStr">
        <is>
          <t>YES! 	 id列源备映射正确，源端为int None位	期望更改为int	实际备端为int None位</t>
        </is>
      </c>
    </row>
    <row r="1510">
      <c r="B1510" s="0" t="inlineStr">
        <is>
          <t>NULL</t>
        </is>
      </c>
      <c r="C1510" s="0" t="inlineStr">
        <is>
          <t>NULL</t>
        </is>
      </c>
      <c r="D1510" s="0" t="inlineStr">
        <is>
          <t>NULL</t>
        </is>
      </c>
      <c r="E1510" s="0" t="inlineStr">
        <is>
          <t>NULL</t>
        </is>
      </c>
      <c r="F1510" s="0" t="inlineStr">
        <is>
          <t>NULL</t>
        </is>
      </c>
      <c r="G1510" s="0" t="inlineStr">
        <is>
          <t>NULL</t>
        </is>
      </c>
      <c r="H1510" s="0" t="inlineStr">
        <is>
          <t>NULL</t>
        </is>
      </c>
      <c r="I1510" s="0" t="inlineStr">
        <is>
          <t>NULL</t>
        </is>
      </c>
      <c r="J1510" s="0" t="inlineStr">
        <is>
          <t>NULL</t>
        </is>
      </c>
      <c r="K1510" s="0" t="inlineStr">
        <is>
          <t>YES! 	 c_binary列源备映射正确，源端为binary 1位	期望更改为binary(n)	实际备端为binary 1位</t>
        </is>
      </c>
    </row>
    <row r="1511">
      <c r="B1511" s="0" t="inlineStr">
        <is>
          <t>NULL</t>
        </is>
      </c>
      <c r="C1511" s="0" t="inlineStr">
        <is>
          <t>NULL</t>
        </is>
      </c>
      <c r="D1511" s="0" t="inlineStr">
        <is>
          <t>NULL</t>
        </is>
      </c>
      <c r="E1511" s="0" t="inlineStr">
        <is>
          <t>NULL</t>
        </is>
      </c>
      <c r="F1511" s="0" t="inlineStr">
        <is>
          <t>NULL</t>
        </is>
      </c>
      <c r="G1511" s="0" t="inlineStr">
        <is>
          <t>NULL</t>
        </is>
      </c>
      <c r="H1511" s="0" t="inlineStr">
        <is>
          <t>NULL</t>
        </is>
      </c>
      <c r="I1511" s="0" t="inlineStr">
        <is>
          <t>NULL</t>
        </is>
      </c>
      <c r="J1511" s="0" t="inlineStr">
        <is>
          <t>NULL</t>
        </is>
      </c>
      <c r="K1511" s="0" t="inlineStr">
        <is>
          <t>YES! 	 c_binary_20列源备映射正确，源端为binary 20位	期望更改为binary(n)	实际备端为binary 20位</t>
        </is>
      </c>
    </row>
    <row r="1512">
      <c r="B1512" s="0" t="inlineStr">
        <is>
          <t>NULL</t>
        </is>
      </c>
      <c r="C1512" s="0" t="inlineStr">
        <is>
          <t>NULL</t>
        </is>
      </c>
      <c r="D1512" s="0" t="inlineStr">
        <is>
          <t>NULL</t>
        </is>
      </c>
      <c r="E1512" s="0" t="inlineStr">
        <is>
          <t>NULL</t>
        </is>
      </c>
      <c r="F1512" s="0" t="inlineStr">
        <is>
          <t>NULL</t>
        </is>
      </c>
      <c r="G1512" s="0" t="inlineStr">
        <is>
          <t>NULL</t>
        </is>
      </c>
      <c r="H1512" s="0" t="inlineStr">
        <is>
          <t>NULL</t>
        </is>
      </c>
      <c r="I1512" s="0" t="inlineStr">
        <is>
          <t>NULL</t>
        </is>
      </c>
      <c r="J1512" s="0" t="inlineStr">
        <is>
          <t>NULL</t>
        </is>
      </c>
      <c r="K1512" s="0" t="inlineStr">
        <is>
          <t>YES! 	 c_binary_8000列源备映射正确，源端为binary 8000位	期望更改为binary(n)	实际备端为binary 8000位</t>
        </is>
      </c>
    </row>
    <row r="1513">
      <c r="A1513" s="0" t="inlineStr">
        <is>
          <t>info_datetime2_dml_single_nopk_drp</t>
        </is>
      </c>
      <c r="K1513" s="0" t="inlineStr">
        <is>
          <t>[0;34m info_datetime2_dml_single_nopk_drp [0m源备字段数相同，源端字段：9 	备端字段9</t>
        </is>
      </c>
      <c r="W1513" s="0" t="inlineStr">
        <is>
          <t>YES 源备无差异</t>
        </is>
      </c>
      <c r="X1513" s="0">
        <f>A1513</f>
        <v/>
      </c>
    </row>
    <row r="1514">
      <c r="B1514" s="0" t="inlineStr">
        <is>
          <t>NULL</t>
        </is>
      </c>
      <c r="C1514" s="0" t="inlineStr">
        <is>
          <t>NULL</t>
        </is>
      </c>
      <c r="D1514" s="0" t="inlineStr">
        <is>
          <t>NULL</t>
        </is>
      </c>
      <c r="E1514" s="0" t="inlineStr">
        <is>
          <t>NULL</t>
        </is>
      </c>
      <c r="F1514" s="0" t="inlineStr">
        <is>
          <t>NULL</t>
        </is>
      </c>
      <c r="G1514" s="0" t="inlineStr">
        <is>
          <t>NULL</t>
        </is>
      </c>
      <c r="H1514" s="0" t="inlineStr">
        <is>
          <t>NULL</t>
        </is>
      </c>
      <c r="I1514" s="0" t="inlineStr">
        <is>
          <t>NULL</t>
        </is>
      </c>
      <c r="J1514" s="0" t="inlineStr">
        <is>
          <t>NULL</t>
        </is>
      </c>
      <c r="K1514" s="0" t="inlineStr">
        <is>
          <t>YES! 	 id列源备映射正确，源端为int None位	期望更改为int	实际备端为int None位</t>
        </is>
      </c>
    </row>
    <row r="1515">
      <c r="B1515" s="0" t="inlineStr">
        <is>
          <t>NULL</t>
        </is>
      </c>
      <c r="C1515" s="0" t="inlineStr">
        <is>
          <t>NULL</t>
        </is>
      </c>
      <c r="D1515" s="0" t="inlineStr">
        <is>
          <t>NULL</t>
        </is>
      </c>
      <c r="E1515" s="0" t="inlineStr">
        <is>
          <t>NULL</t>
        </is>
      </c>
      <c r="F1515" s="0" t="inlineStr">
        <is>
          <t>NULL</t>
        </is>
      </c>
      <c r="G1515" s="0" t="inlineStr">
        <is>
          <t>NULL</t>
        </is>
      </c>
      <c r="H1515" s="0" t="inlineStr">
        <is>
          <t>NULL</t>
        </is>
      </c>
      <c r="I1515" s="0" t="inlineStr">
        <is>
          <t>NULL</t>
        </is>
      </c>
      <c r="J1515" s="0" t="inlineStr">
        <is>
          <t>NULL</t>
        </is>
      </c>
      <c r="K1515" s="0" t="inlineStr">
        <is>
          <t>no,len不存在</t>
        </is>
      </c>
    </row>
    <row r="1516">
      <c r="B1516" s="0" t="inlineStr">
        <is>
          <t>NULL</t>
        </is>
      </c>
      <c r="C1516" s="0" t="inlineStr">
        <is>
          <t>NULL</t>
        </is>
      </c>
      <c r="D1516" s="0" t="inlineStr">
        <is>
          <t>NULL</t>
        </is>
      </c>
      <c r="E1516" s="0" t="inlineStr">
        <is>
          <t>NULL</t>
        </is>
      </c>
      <c r="F1516" s="0" t="inlineStr">
        <is>
          <t>NULL</t>
        </is>
      </c>
      <c r="G1516" s="0" t="inlineStr">
        <is>
          <t>NULL</t>
        </is>
      </c>
      <c r="H1516" s="0" t="inlineStr">
        <is>
          <t>NULL</t>
        </is>
      </c>
      <c r="I1516" s="0" t="inlineStr">
        <is>
          <t>NULL</t>
        </is>
      </c>
      <c r="J1516" s="0" t="inlineStr">
        <is>
          <t>NULL</t>
        </is>
      </c>
      <c r="K1516" s="0" t="inlineStr">
        <is>
          <t>YES! 	 c_dt2_1列源备映射正确，源端为datetime2 None位	期望更改为datetime2(n)	实际备端为datetime2 None位</t>
        </is>
      </c>
    </row>
    <row r="1517">
      <c r="B1517" s="0" t="inlineStr">
        <is>
          <t>NULL</t>
        </is>
      </c>
      <c r="C1517" s="0" t="inlineStr">
        <is>
          <t>NULL</t>
        </is>
      </c>
      <c r="D1517" s="0" t="inlineStr">
        <is>
          <t>NULL</t>
        </is>
      </c>
      <c r="E1517" s="0" t="inlineStr">
        <is>
          <t>NULL</t>
        </is>
      </c>
      <c r="F1517" s="0" t="inlineStr">
        <is>
          <t>NULL</t>
        </is>
      </c>
      <c r="G1517" s="0" t="inlineStr">
        <is>
          <t>NULL</t>
        </is>
      </c>
      <c r="H1517" s="0" t="inlineStr">
        <is>
          <t>NULL</t>
        </is>
      </c>
      <c r="I1517" s="0" t="inlineStr">
        <is>
          <t>NULL</t>
        </is>
      </c>
      <c r="J1517" s="0" t="inlineStr">
        <is>
          <t>NULL</t>
        </is>
      </c>
      <c r="K1517" s="0" t="inlineStr">
        <is>
          <t>YES! 	 c_dt2_2列源备映射正确，源端为datetime2 None位	期望更改为datetime2(n)	实际备端为datetime2 None位</t>
        </is>
      </c>
    </row>
    <row r="1518">
      <c r="B1518" s="0" t="inlineStr">
        <is>
          <t>NULL</t>
        </is>
      </c>
      <c r="C1518" s="0" t="inlineStr">
        <is>
          <t>NULL</t>
        </is>
      </c>
      <c r="D1518" s="0" t="inlineStr">
        <is>
          <t>NULL</t>
        </is>
      </c>
      <c r="E1518" s="0" t="inlineStr">
        <is>
          <t>NULL</t>
        </is>
      </c>
      <c r="F1518" s="0" t="inlineStr">
        <is>
          <t>NULL</t>
        </is>
      </c>
      <c r="G1518" s="0" t="inlineStr">
        <is>
          <t>NULL</t>
        </is>
      </c>
      <c r="H1518" s="0" t="inlineStr">
        <is>
          <t>NULL</t>
        </is>
      </c>
      <c r="I1518" s="0" t="inlineStr">
        <is>
          <t>NULL</t>
        </is>
      </c>
      <c r="J1518" s="0" t="inlineStr">
        <is>
          <t>NULL</t>
        </is>
      </c>
      <c r="K1518" s="0" t="inlineStr">
        <is>
          <t>YES! 	 c_dt2_3列源备映射正确，源端为datetime2 None位	期望更改为datetime2(n)	实际备端为datetime2 None位</t>
        </is>
      </c>
    </row>
    <row r="1519">
      <c r="B1519" s="0" t="inlineStr">
        <is>
          <t>NULL</t>
        </is>
      </c>
      <c r="C1519" s="0" t="inlineStr">
        <is>
          <t>NULL</t>
        </is>
      </c>
      <c r="D1519" s="0" t="inlineStr">
        <is>
          <t>NULL</t>
        </is>
      </c>
      <c r="E1519" s="0" t="inlineStr">
        <is>
          <t>NULL</t>
        </is>
      </c>
      <c r="F1519" s="0" t="inlineStr">
        <is>
          <t>NULL</t>
        </is>
      </c>
      <c r="G1519" s="0" t="inlineStr">
        <is>
          <t>NULL</t>
        </is>
      </c>
      <c r="H1519" s="0" t="inlineStr">
        <is>
          <t>NULL</t>
        </is>
      </c>
      <c r="I1519" s="0" t="inlineStr">
        <is>
          <t>NULL</t>
        </is>
      </c>
      <c r="J1519" s="0" t="inlineStr">
        <is>
          <t>NULL</t>
        </is>
      </c>
      <c r="K1519" s="0" t="inlineStr">
        <is>
          <t>YES! 	 c_dt2_4列源备映射正确，源端为datetime2 None位	期望更改为datetime2(n)	实际备端为datetime2 None位</t>
        </is>
      </c>
    </row>
    <row r="1520">
      <c r="B1520" s="0" t="inlineStr">
        <is>
          <t>NULL</t>
        </is>
      </c>
      <c r="C1520" s="0" t="inlineStr">
        <is>
          <t>NULL</t>
        </is>
      </c>
      <c r="D1520" s="0" t="inlineStr">
        <is>
          <t>NULL</t>
        </is>
      </c>
      <c r="E1520" s="0" t="inlineStr">
        <is>
          <t>NULL</t>
        </is>
      </c>
      <c r="F1520" s="0" t="inlineStr">
        <is>
          <t>NULL</t>
        </is>
      </c>
      <c r="G1520" s="0" t="inlineStr">
        <is>
          <t>NULL</t>
        </is>
      </c>
      <c r="H1520" s="0" t="inlineStr">
        <is>
          <t>NULL</t>
        </is>
      </c>
      <c r="I1520" s="0" t="inlineStr">
        <is>
          <t>NULL</t>
        </is>
      </c>
      <c r="J1520" s="0" t="inlineStr">
        <is>
          <t>NULL</t>
        </is>
      </c>
      <c r="K1520" s="0" t="inlineStr">
        <is>
          <t>YES! 	 c_dt2_5列源备映射正确，源端为datetime2 None位	期望更改为datetime2(n)	实际备端为datetime2 None位</t>
        </is>
      </c>
    </row>
    <row r="1521">
      <c r="B1521" s="0" t="inlineStr">
        <is>
          <t>NULL</t>
        </is>
      </c>
      <c r="C1521" s="0" t="inlineStr">
        <is>
          <t>NULL</t>
        </is>
      </c>
      <c r="D1521" s="0" t="inlineStr">
        <is>
          <t>NULL</t>
        </is>
      </c>
      <c r="E1521" s="0" t="inlineStr">
        <is>
          <t>NULL</t>
        </is>
      </c>
      <c r="F1521" s="0" t="inlineStr">
        <is>
          <t>NULL</t>
        </is>
      </c>
      <c r="G1521" s="0" t="inlineStr">
        <is>
          <t>NULL</t>
        </is>
      </c>
      <c r="H1521" s="0" t="inlineStr">
        <is>
          <t>NULL</t>
        </is>
      </c>
      <c r="I1521" s="0" t="inlineStr">
        <is>
          <t>NULL</t>
        </is>
      </c>
      <c r="J1521" s="0" t="inlineStr">
        <is>
          <t>NULL</t>
        </is>
      </c>
      <c r="K1521" s="0" t="inlineStr">
        <is>
          <t>YES! 	 c_dt2_6列源备映射正确，源端为datetime2 None位	期望更改为datetime2(n)	实际备端为datetime2 None位</t>
        </is>
      </c>
    </row>
    <row r="1522">
      <c r="B1522" s="0" t="inlineStr">
        <is>
          <t>NULL</t>
        </is>
      </c>
      <c r="C1522" s="0" t="inlineStr">
        <is>
          <t>NULL</t>
        </is>
      </c>
      <c r="D1522" s="0" t="inlineStr">
        <is>
          <t>NULL</t>
        </is>
      </c>
      <c r="E1522" s="0" t="inlineStr">
        <is>
          <t>NULL</t>
        </is>
      </c>
      <c r="F1522" s="0" t="inlineStr">
        <is>
          <t>NULL</t>
        </is>
      </c>
      <c r="G1522" s="0" t="inlineStr">
        <is>
          <t>NULL</t>
        </is>
      </c>
      <c r="H1522" s="0" t="inlineStr">
        <is>
          <t>NULL</t>
        </is>
      </c>
      <c r="I1522" s="0" t="inlineStr">
        <is>
          <t>NULL</t>
        </is>
      </c>
      <c r="J1522" s="0" t="inlineStr">
        <is>
          <t>NULL</t>
        </is>
      </c>
      <c r="K1522" s="0" t="inlineStr">
        <is>
          <t>YES! 	 c_dt2列源备映射正确，源端为datetime2 None位	期望更改为datetime2(n)	实际备端为datetime2 None位</t>
        </is>
      </c>
    </row>
    <row r="1523">
      <c r="A1523" s="0" t="inlineStr">
        <is>
          <t>info_datetime2_dml_single_nopk</t>
        </is>
      </c>
      <c r="K1523" s="0" t="inlineStr">
        <is>
          <t>[0;34m info_datetime2_dml_single_nopk [0m源备字段数相同，源端字段：9 	备端字段9</t>
        </is>
      </c>
      <c r="W1523" s="0" t="inlineStr">
        <is>
          <t>YES 源备无差异</t>
        </is>
      </c>
      <c r="X1523" s="0">
        <f>A1523</f>
        <v/>
      </c>
    </row>
    <row r="1524">
      <c r="B1524" s="0" t="inlineStr">
        <is>
          <t>NULL</t>
        </is>
      </c>
      <c r="C1524" s="0" t="inlineStr">
        <is>
          <t>NULL</t>
        </is>
      </c>
      <c r="D1524" s="0" t="inlineStr">
        <is>
          <t>NULL</t>
        </is>
      </c>
      <c r="E1524" s="0" t="inlineStr">
        <is>
          <t>NULL</t>
        </is>
      </c>
      <c r="F1524" s="0" t="inlineStr">
        <is>
          <t>NULL</t>
        </is>
      </c>
      <c r="G1524" s="0" t="inlineStr">
        <is>
          <t>NULL</t>
        </is>
      </c>
      <c r="H1524" s="0" t="inlineStr">
        <is>
          <t>NULL</t>
        </is>
      </c>
      <c r="I1524" s="0" t="inlineStr">
        <is>
          <t>NULL</t>
        </is>
      </c>
      <c r="J1524" s="0" t="inlineStr">
        <is>
          <t>NULL</t>
        </is>
      </c>
      <c r="K1524" s="0" t="inlineStr">
        <is>
          <t>YES! 	 id列源备映射正确，源端为int None位	期望更改为int	实际备端为int None位</t>
        </is>
      </c>
    </row>
    <row r="1525">
      <c r="B1525" s="0" t="inlineStr">
        <is>
          <t>NULL</t>
        </is>
      </c>
      <c r="C1525" s="0" t="inlineStr">
        <is>
          <t>NULL</t>
        </is>
      </c>
      <c r="D1525" s="0" t="inlineStr">
        <is>
          <t>NULL</t>
        </is>
      </c>
      <c r="E1525" s="0" t="inlineStr">
        <is>
          <t>NULL</t>
        </is>
      </c>
      <c r="F1525" s="0" t="inlineStr">
        <is>
          <t>NULL</t>
        </is>
      </c>
      <c r="G1525" s="0" t="inlineStr">
        <is>
          <t>NULL</t>
        </is>
      </c>
      <c r="H1525" s="0" t="inlineStr">
        <is>
          <t>NULL</t>
        </is>
      </c>
      <c r="I1525" s="0" t="inlineStr">
        <is>
          <t>NULL</t>
        </is>
      </c>
      <c r="J1525" s="0" t="inlineStr">
        <is>
          <t>NULL</t>
        </is>
      </c>
      <c r="K1525" s="0" t="inlineStr">
        <is>
          <t>no,len不存在</t>
        </is>
      </c>
    </row>
    <row r="1526">
      <c r="B1526" s="0" t="inlineStr">
        <is>
          <t>NULL</t>
        </is>
      </c>
      <c r="C1526" s="0" t="inlineStr">
        <is>
          <t>NULL</t>
        </is>
      </c>
      <c r="D1526" s="0" t="inlineStr">
        <is>
          <t>NULL</t>
        </is>
      </c>
      <c r="E1526" s="0" t="inlineStr">
        <is>
          <t>NULL</t>
        </is>
      </c>
      <c r="F1526" s="0" t="inlineStr">
        <is>
          <t>NULL</t>
        </is>
      </c>
      <c r="G1526" s="0" t="inlineStr">
        <is>
          <t>NULL</t>
        </is>
      </c>
      <c r="H1526" s="0" t="inlineStr">
        <is>
          <t>NULL</t>
        </is>
      </c>
      <c r="I1526" s="0" t="inlineStr">
        <is>
          <t>NULL</t>
        </is>
      </c>
      <c r="J1526" s="0" t="inlineStr">
        <is>
          <t>NULL</t>
        </is>
      </c>
      <c r="K1526" s="0" t="inlineStr">
        <is>
          <t>YES! 	 c_dt2_1列源备映射正确，源端为datetime2 None位	期望更改为datetime2(n)	实际备端为datetime2 None位</t>
        </is>
      </c>
    </row>
    <row r="1527">
      <c r="B1527" s="0" t="inlineStr">
        <is>
          <t>NULL</t>
        </is>
      </c>
      <c r="C1527" s="0" t="inlineStr">
        <is>
          <t>NULL</t>
        </is>
      </c>
      <c r="D1527" s="0" t="inlineStr">
        <is>
          <t>NULL</t>
        </is>
      </c>
      <c r="E1527" s="0" t="inlineStr">
        <is>
          <t>NULL</t>
        </is>
      </c>
      <c r="F1527" s="0" t="inlineStr">
        <is>
          <t>NULL</t>
        </is>
      </c>
      <c r="G1527" s="0" t="inlineStr">
        <is>
          <t>NULL</t>
        </is>
      </c>
      <c r="H1527" s="0" t="inlineStr">
        <is>
          <t>NULL</t>
        </is>
      </c>
      <c r="I1527" s="0" t="inlineStr">
        <is>
          <t>NULL</t>
        </is>
      </c>
      <c r="J1527" s="0" t="inlineStr">
        <is>
          <t>NULL</t>
        </is>
      </c>
      <c r="K1527" s="0" t="inlineStr">
        <is>
          <t>YES! 	 c_dt2_2列源备映射正确，源端为datetime2 None位	期望更改为datetime2(n)	实际备端为datetime2 None位</t>
        </is>
      </c>
    </row>
    <row r="1528">
      <c r="B1528" s="0" t="inlineStr">
        <is>
          <t>NULL</t>
        </is>
      </c>
      <c r="C1528" s="0" t="inlineStr">
        <is>
          <t>NULL</t>
        </is>
      </c>
      <c r="D1528" s="0" t="inlineStr">
        <is>
          <t>NULL</t>
        </is>
      </c>
      <c r="E1528" s="0" t="inlineStr">
        <is>
          <t>NULL</t>
        </is>
      </c>
      <c r="F1528" s="0" t="inlineStr">
        <is>
          <t>NULL</t>
        </is>
      </c>
      <c r="G1528" s="0" t="inlineStr">
        <is>
          <t>NULL</t>
        </is>
      </c>
      <c r="H1528" s="0" t="inlineStr">
        <is>
          <t>NULL</t>
        </is>
      </c>
      <c r="I1528" s="0" t="inlineStr">
        <is>
          <t>NULL</t>
        </is>
      </c>
      <c r="J1528" s="0" t="inlineStr">
        <is>
          <t>NULL</t>
        </is>
      </c>
      <c r="K1528" s="0" t="inlineStr">
        <is>
          <t>YES! 	 c_dt2_3列源备映射正确，源端为datetime2 None位	期望更改为datetime2(n)	实际备端为datetime2 None位</t>
        </is>
      </c>
    </row>
    <row r="1529">
      <c r="B1529" s="0" t="inlineStr">
        <is>
          <t>NULL</t>
        </is>
      </c>
      <c r="C1529" s="0" t="inlineStr">
        <is>
          <t>NULL</t>
        </is>
      </c>
      <c r="D1529" s="0" t="inlineStr">
        <is>
          <t>NULL</t>
        </is>
      </c>
      <c r="E1529" s="0" t="inlineStr">
        <is>
          <t>NULL</t>
        </is>
      </c>
      <c r="F1529" s="0" t="inlineStr">
        <is>
          <t>NULL</t>
        </is>
      </c>
      <c r="G1529" s="0" t="inlineStr">
        <is>
          <t>NULL</t>
        </is>
      </c>
      <c r="H1529" s="0" t="inlineStr">
        <is>
          <t>NULL</t>
        </is>
      </c>
      <c r="I1529" s="0" t="inlineStr">
        <is>
          <t>NULL</t>
        </is>
      </c>
      <c r="J1529" s="0" t="inlineStr">
        <is>
          <t>NULL</t>
        </is>
      </c>
      <c r="K1529" s="0" t="inlineStr">
        <is>
          <t>YES! 	 c_dt2_4列源备映射正确，源端为datetime2 None位	期望更改为datetime2(n)	实际备端为datetime2 None位</t>
        </is>
      </c>
    </row>
    <row r="1530">
      <c r="B1530" s="0" t="inlineStr">
        <is>
          <t>NULL</t>
        </is>
      </c>
      <c r="C1530" s="0" t="inlineStr">
        <is>
          <t>NULL</t>
        </is>
      </c>
      <c r="D1530" s="0" t="inlineStr">
        <is>
          <t>NULL</t>
        </is>
      </c>
      <c r="E1530" s="0" t="inlineStr">
        <is>
          <t>NULL</t>
        </is>
      </c>
      <c r="F1530" s="0" t="inlineStr">
        <is>
          <t>NULL</t>
        </is>
      </c>
      <c r="G1530" s="0" t="inlineStr">
        <is>
          <t>NULL</t>
        </is>
      </c>
      <c r="H1530" s="0" t="inlineStr">
        <is>
          <t>NULL</t>
        </is>
      </c>
      <c r="I1530" s="0" t="inlineStr">
        <is>
          <t>NULL</t>
        </is>
      </c>
      <c r="J1530" s="0" t="inlineStr">
        <is>
          <t>NULL</t>
        </is>
      </c>
      <c r="K1530" s="0" t="inlineStr">
        <is>
          <t>YES! 	 c_dt2_5列源备映射正确，源端为datetime2 None位	期望更改为datetime2(n)	实际备端为datetime2 None位</t>
        </is>
      </c>
    </row>
    <row r="1531">
      <c r="B1531" s="0" t="inlineStr">
        <is>
          <t>NULL</t>
        </is>
      </c>
      <c r="C1531" s="0" t="inlineStr">
        <is>
          <t>NULL</t>
        </is>
      </c>
      <c r="D1531" s="0" t="inlineStr">
        <is>
          <t>NULL</t>
        </is>
      </c>
      <c r="E1531" s="0" t="inlineStr">
        <is>
          <t>NULL</t>
        </is>
      </c>
      <c r="F1531" s="0" t="inlineStr">
        <is>
          <t>NULL</t>
        </is>
      </c>
      <c r="G1531" s="0" t="inlineStr">
        <is>
          <t>NULL</t>
        </is>
      </c>
      <c r="H1531" s="0" t="inlineStr">
        <is>
          <t>NULL</t>
        </is>
      </c>
      <c r="I1531" s="0" t="inlineStr">
        <is>
          <t>NULL</t>
        </is>
      </c>
      <c r="J1531" s="0" t="inlineStr">
        <is>
          <t>NULL</t>
        </is>
      </c>
      <c r="K1531" s="0" t="inlineStr">
        <is>
          <t>YES! 	 c_dt2_6列源备映射正确，源端为datetime2 None位	期望更改为datetime2(n)	实际备端为datetime2 None位</t>
        </is>
      </c>
    </row>
    <row r="1532">
      <c r="B1532" s="0" t="inlineStr">
        <is>
          <t>NULL</t>
        </is>
      </c>
      <c r="C1532" s="0" t="inlineStr">
        <is>
          <t>NULL</t>
        </is>
      </c>
      <c r="D1532" s="0" t="inlineStr">
        <is>
          <t>NULL</t>
        </is>
      </c>
      <c r="E1532" s="0" t="inlineStr">
        <is>
          <t>NULL</t>
        </is>
      </c>
      <c r="F1532" s="0" t="inlineStr">
        <is>
          <t>NULL</t>
        </is>
      </c>
      <c r="G1532" s="0" t="inlineStr">
        <is>
          <t>NULL</t>
        </is>
      </c>
      <c r="H1532" s="0" t="inlineStr">
        <is>
          <t>NULL</t>
        </is>
      </c>
      <c r="I1532" s="0" t="inlineStr">
        <is>
          <t>NULL</t>
        </is>
      </c>
      <c r="J1532" s="0" t="inlineStr">
        <is>
          <t>NULL</t>
        </is>
      </c>
      <c r="K1532" s="0" t="inlineStr">
        <is>
          <t>YES! 	 c_dt2列源备映射正确，源端为datetime2 None位	期望更改为datetime2(n)	实际备端为datetime2 None位</t>
        </is>
      </c>
    </row>
    <row r="1533">
      <c r="A1533" s="0" t="inlineStr">
        <is>
          <t>info_varcharmax_dml_batch1_pk_urp2</t>
        </is>
      </c>
      <c r="K1533" s="0" t="inlineStr">
        <is>
          <t>[0;34m info_varcharmax_dml_batch1_pk_urp2 [0m源备字段数相同，源端字段：3 	备端字段3</t>
        </is>
      </c>
      <c r="W1533" s="0" t="inlineStr">
        <is>
          <t>YES 源备无差异</t>
        </is>
      </c>
      <c r="X1533" s="0">
        <f>A1533</f>
        <v/>
      </c>
    </row>
    <row r="1534">
      <c r="B1534" s="0" t="inlineStr">
        <is>
          <t>YES</t>
        </is>
      </c>
      <c r="C1534" s="0" t="inlineStr">
        <is>
          <t>NULL</t>
        </is>
      </c>
      <c r="D1534" s="0" t="inlineStr">
        <is>
          <t>NULL</t>
        </is>
      </c>
      <c r="E1534" s="0" t="inlineStr">
        <is>
          <t>NULL</t>
        </is>
      </c>
      <c r="F1534" s="0" t="inlineStr">
        <is>
          <t>NULL</t>
        </is>
      </c>
      <c r="G1534" s="0" t="inlineStr">
        <is>
          <t>NULL</t>
        </is>
      </c>
      <c r="H1534" s="0" t="inlineStr">
        <is>
          <t>NULL</t>
        </is>
      </c>
      <c r="I1534" s="0" t="inlineStr">
        <is>
          <t>YES!PK__info_var__3213E83F08B8F603</t>
        </is>
      </c>
      <c r="J1534" s="0" t="inlineStr">
        <is>
          <t>YES! 主键相关索引</t>
        </is>
      </c>
      <c r="K1534" s="0" t="inlineStr">
        <is>
          <t>YES! 	 id列源备映射正确，源端为int None位	期望更改为int	实际备端为int None位</t>
        </is>
      </c>
    </row>
    <row r="1535">
      <c r="B1535" s="0" t="inlineStr">
        <is>
          <t>NULL</t>
        </is>
      </c>
      <c r="C1535" s="0" t="inlineStr">
        <is>
          <t>NULL</t>
        </is>
      </c>
      <c r="D1535" s="0" t="inlineStr">
        <is>
          <t>NULL</t>
        </is>
      </c>
      <c r="E1535" s="0" t="inlineStr">
        <is>
          <t>NULL</t>
        </is>
      </c>
      <c r="F1535" s="0" t="inlineStr">
        <is>
          <t>NULL</t>
        </is>
      </c>
      <c r="G1535" s="0" t="inlineStr">
        <is>
          <t>NULL</t>
        </is>
      </c>
      <c r="H1535" s="0" t="inlineStr">
        <is>
          <t>NULL</t>
        </is>
      </c>
      <c r="I1535" s="0" t="inlineStr">
        <is>
          <t>NULL</t>
        </is>
      </c>
      <c r="J1535" s="0" t="inlineStr">
        <is>
          <t>NULL</t>
        </is>
      </c>
      <c r="K1535" s="0" t="inlineStr">
        <is>
          <t>YES! 	 c_varchar_max列源备映射正确，源端为varchar -1位	期望更改为varchar(n)	实际备端为varchar -1位</t>
        </is>
      </c>
    </row>
    <row r="1536">
      <c r="B1536" s="0" t="inlineStr">
        <is>
          <t>NULL</t>
        </is>
      </c>
      <c r="C1536" s="0" t="inlineStr">
        <is>
          <t>NULL</t>
        </is>
      </c>
      <c r="D1536" s="0" t="inlineStr">
        <is>
          <t>NULL</t>
        </is>
      </c>
      <c r="E1536" s="0" t="inlineStr">
        <is>
          <t>NULL</t>
        </is>
      </c>
      <c r="F1536" s="0" t="inlineStr">
        <is>
          <t>NULL</t>
        </is>
      </c>
      <c r="G1536" s="0" t="inlineStr">
        <is>
          <t>NULL</t>
        </is>
      </c>
      <c r="H1536" s="0" t="inlineStr">
        <is>
          <t>NULL</t>
        </is>
      </c>
      <c r="I1536" s="0" t="inlineStr">
        <is>
          <t>NULL</t>
        </is>
      </c>
      <c r="J1536" s="0" t="inlineStr">
        <is>
          <t>NULL</t>
        </is>
      </c>
      <c r="K1536" s="0" t="inlineStr">
        <is>
          <t>YES! 	 c_nvarchar_max列源备映射正确，源端为nvarchar -1位	期望更改为nvarchar(n)	实际备端为nvarchar -1位</t>
        </is>
      </c>
    </row>
    <row r="1537">
      <c r="K1537" s="0" t="inlineStr">
        <is>
          <t>~ 空表</t>
        </is>
      </c>
    </row>
    <row r="1538">
      <c r="A1538" s="0" t="inlineStr">
        <is>
          <t>info_datetimeoffset_dml_single_pk</t>
        </is>
      </c>
      <c r="K1538" s="0" t="inlineStr">
        <is>
          <t>[0;34m info_datetimeoffset_dml_single_pk [0m源备字段数相同，源端字段：9 	备端字段9</t>
        </is>
      </c>
      <c r="W1538" s="0" t="inlineStr">
        <is>
          <t>YES 源备无差异</t>
        </is>
      </c>
      <c r="X1538" s="0">
        <f>A1538</f>
        <v/>
      </c>
    </row>
    <row r="1539">
      <c r="B1539" s="0" t="inlineStr">
        <is>
          <t>YES</t>
        </is>
      </c>
      <c r="C1539" s="0" t="inlineStr">
        <is>
          <t>NULL</t>
        </is>
      </c>
      <c r="D1539" s="0" t="inlineStr">
        <is>
          <t>NULL</t>
        </is>
      </c>
      <c r="E1539" s="0" t="inlineStr">
        <is>
          <t>NULL</t>
        </is>
      </c>
      <c r="F1539" s="0" t="inlineStr">
        <is>
          <t>NULL</t>
        </is>
      </c>
      <c r="G1539" s="0" t="inlineStr">
        <is>
          <t>NULL</t>
        </is>
      </c>
      <c r="H1539" s="0" t="inlineStr">
        <is>
          <t>NULL</t>
        </is>
      </c>
      <c r="I1539" s="0" t="inlineStr">
        <is>
          <t>YES!PK__info_dat__3213E83F4E94B57E</t>
        </is>
      </c>
      <c r="J1539" s="0" t="inlineStr">
        <is>
          <t>YES! 主键相关索引</t>
        </is>
      </c>
      <c r="K1539" s="0" t="inlineStr">
        <is>
          <t>YES! 	 id列源备映射正确，源端为int None位	期望更改为int	实际备端为int None位</t>
        </is>
      </c>
    </row>
    <row r="1540">
      <c r="B1540" s="0" t="inlineStr">
        <is>
          <t>NULL</t>
        </is>
      </c>
      <c r="C1540" s="0" t="inlineStr">
        <is>
          <t>NULL</t>
        </is>
      </c>
      <c r="D1540" s="0" t="inlineStr">
        <is>
          <t>NULL</t>
        </is>
      </c>
      <c r="E1540" s="0" t="inlineStr">
        <is>
          <t>NULL</t>
        </is>
      </c>
      <c r="F1540" s="0" t="inlineStr">
        <is>
          <t>NULL</t>
        </is>
      </c>
      <c r="G1540" s="0" t="inlineStr">
        <is>
          <t>NULL</t>
        </is>
      </c>
      <c r="H1540" s="0" t="inlineStr">
        <is>
          <t>NULL</t>
        </is>
      </c>
      <c r="I1540" s="0" t="inlineStr">
        <is>
          <t>NULL</t>
        </is>
      </c>
      <c r="J1540" s="0" t="inlineStr">
        <is>
          <t>NULL</t>
        </is>
      </c>
      <c r="K1540" s="0" t="inlineStr">
        <is>
          <t>no,len不存在</t>
        </is>
      </c>
    </row>
    <row r="1541">
      <c r="B1541" s="0" t="inlineStr">
        <is>
          <t>NULL</t>
        </is>
      </c>
      <c r="C1541" s="0" t="inlineStr">
        <is>
          <t>NULL</t>
        </is>
      </c>
      <c r="D1541" s="0" t="inlineStr">
        <is>
          <t>NULL</t>
        </is>
      </c>
      <c r="E1541" s="0" t="inlineStr">
        <is>
          <t>NULL</t>
        </is>
      </c>
      <c r="F1541" s="0" t="inlineStr">
        <is>
          <t>NULL</t>
        </is>
      </c>
      <c r="G1541" s="0" t="inlineStr">
        <is>
          <t>NULL</t>
        </is>
      </c>
      <c r="H1541" s="0" t="inlineStr">
        <is>
          <t>NULL</t>
        </is>
      </c>
      <c r="I1541" s="0" t="inlineStr">
        <is>
          <t>NULL</t>
        </is>
      </c>
      <c r="J1541" s="0" t="inlineStr">
        <is>
          <t>NULL</t>
        </is>
      </c>
      <c r="K1541" s="0" t="inlineStr">
        <is>
          <t>YES! 	 c_dtoffset_1列源备映射正确，源端为datetimeoffset None位	期望更改为datetimeoffset(n)	实际备端为datetimeoffset None位</t>
        </is>
      </c>
    </row>
    <row r="1542">
      <c r="B1542" s="0" t="inlineStr">
        <is>
          <t>NULL</t>
        </is>
      </c>
      <c r="C1542" s="0" t="inlineStr">
        <is>
          <t>NULL</t>
        </is>
      </c>
      <c r="D1542" s="0" t="inlineStr">
        <is>
          <t>NULL</t>
        </is>
      </c>
      <c r="E1542" s="0" t="inlineStr">
        <is>
          <t>NULL</t>
        </is>
      </c>
      <c r="F1542" s="0" t="inlineStr">
        <is>
          <t>NULL</t>
        </is>
      </c>
      <c r="G1542" s="0" t="inlineStr">
        <is>
          <t>NULL</t>
        </is>
      </c>
      <c r="H1542" s="0" t="inlineStr">
        <is>
          <t>NULL</t>
        </is>
      </c>
      <c r="I1542" s="0" t="inlineStr">
        <is>
          <t>NULL</t>
        </is>
      </c>
      <c r="J1542" s="0" t="inlineStr">
        <is>
          <t>NULL</t>
        </is>
      </c>
      <c r="K1542" s="0" t="inlineStr">
        <is>
          <t>YES! 	 c_dtoffset_2列源备映射正确，源端为datetimeoffset None位	期望更改为datetimeoffset(n)	实际备端为datetimeoffset None位</t>
        </is>
      </c>
    </row>
    <row r="1543">
      <c r="B1543" s="0" t="inlineStr">
        <is>
          <t>NULL</t>
        </is>
      </c>
      <c r="C1543" s="0" t="inlineStr">
        <is>
          <t>NULL</t>
        </is>
      </c>
      <c r="D1543" s="0" t="inlineStr">
        <is>
          <t>NULL</t>
        </is>
      </c>
      <c r="E1543" s="0" t="inlineStr">
        <is>
          <t>NULL</t>
        </is>
      </c>
      <c r="F1543" s="0" t="inlineStr">
        <is>
          <t>NULL</t>
        </is>
      </c>
      <c r="G1543" s="0" t="inlineStr">
        <is>
          <t>NULL</t>
        </is>
      </c>
      <c r="H1543" s="0" t="inlineStr">
        <is>
          <t>NULL</t>
        </is>
      </c>
      <c r="I1543" s="0" t="inlineStr">
        <is>
          <t>NULL</t>
        </is>
      </c>
      <c r="J1543" s="0" t="inlineStr">
        <is>
          <t>NULL</t>
        </is>
      </c>
      <c r="K1543" s="0" t="inlineStr">
        <is>
          <t>YES! 	 c_dtoffset_3列源备映射正确，源端为datetimeoffset None位	期望更改为datetimeoffset(n)	实际备端为datetimeoffset None位</t>
        </is>
      </c>
    </row>
    <row r="1544">
      <c r="B1544" s="0" t="inlineStr">
        <is>
          <t>NULL</t>
        </is>
      </c>
      <c r="C1544" s="0" t="inlineStr">
        <is>
          <t>NULL</t>
        </is>
      </c>
      <c r="D1544" s="0" t="inlineStr">
        <is>
          <t>NULL</t>
        </is>
      </c>
      <c r="E1544" s="0" t="inlineStr">
        <is>
          <t>NULL</t>
        </is>
      </c>
      <c r="F1544" s="0" t="inlineStr">
        <is>
          <t>NULL</t>
        </is>
      </c>
      <c r="G1544" s="0" t="inlineStr">
        <is>
          <t>NULL</t>
        </is>
      </c>
      <c r="H1544" s="0" t="inlineStr">
        <is>
          <t>NULL</t>
        </is>
      </c>
      <c r="I1544" s="0" t="inlineStr">
        <is>
          <t>NULL</t>
        </is>
      </c>
      <c r="J1544" s="0" t="inlineStr">
        <is>
          <t>NULL</t>
        </is>
      </c>
      <c r="K1544" s="0" t="inlineStr">
        <is>
          <t>YES! 	 c_dtoffset_4列源备映射正确，源端为datetimeoffset None位	期望更改为datetimeoffset(n)	实际备端为datetimeoffset None位</t>
        </is>
      </c>
    </row>
    <row r="1545">
      <c r="B1545" s="0" t="inlineStr">
        <is>
          <t>NULL</t>
        </is>
      </c>
      <c r="C1545" s="0" t="inlineStr">
        <is>
          <t>NULL</t>
        </is>
      </c>
      <c r="D1545" s="0" t="inlineStr">
        <is>
          <t>NULL</t>
        </is>
      </c>
      <c r="E1545" s="0" t="inlineStr">
        <is>
          <t>NULL</t>
        </is>
      </c>
      <c r="F1545" s="0" t="inlineStr">
        <is>
          <t>NULL</t>
        </is>
      </c>
      <c r="G1545" s="0" t="inlineStr">
        <is>
          <t>NULL</t>
        </is>
      </c>
      <c r="H1545" s="0" t="inlineStr">
        <is>
          <t>NULL</t>
        </is>
      </c>
      <c r="I1545" s="0" t="inlineStr">
        <is>
          <t>NULL</t>
        </is>
      </c>
      <c r="J1545" s="0" t="inlineStr">
        <is>
          <t>NULL</t>
        </is>
      </c>
      <c r="K1545" s="0" t="inlineStr">
        <is>
          <t>YES! 	 c_dtoffset_5列源备映射正确，源端为datetimeoffset None位	期望更改为datetimeoffset(n)	实际备端为datetimeoffset None位</t>
        </is>
      </c>
    </row>
    <row r="1546">
      <c r="B1546" s="0" t="inlineStr">
        <is>
          <t>NULL</t>
        </is>
      </c>
      <c r="C1546" s="0" t="inlineStr">
        <is>
          <t>NULL</t>
        </is>
      </c>
      <c r="D1546" s="0" t="inlineStr">
        <is>
          <t>NULL</t>
        </is>
      </c>
      <c r="E1546" s="0" t="inlineStr">
        <is>
          <t>NULL</t>
        </is>
      </c>
      <c r="F1546" s="0" t="inlineStr">
        <is>
          <t>NULL</t>
        </is>
      </c>
      <c r="G1546" s="0" t="inlineStr">
        <is>
          <t>NULL</t>
        </is>
      </c>
      <c r="H1546" s="0" t="inlineStr">
        <is>
          <t>NULL</t>
        </is>
      </c>
      <c r="I1546" s="0" t="inlineStr">
        <is>
          <t>NULL</t>
        </is>
      </c>
      <c r="J1546" s="0" t="inlineStr">
        <is>
          <t>NULL</t>
        </is>
      </c>
      <c r="K1546" s="0" t="inlineStr">
        <is>
          <t>YES! 	 c_dtoffset_6列源备映射正确，源端为datetimeoffset None位	期望更改为datetimeoffset(n)	实际备端为datetimeoffset None位</t>
        </is>
      </c>
    </row>
    <row r="1547">
      <c r="B1547" s="0" t="inlineStr">
        <is>
          <t>NULL</t>
        </is>
      </c>
      <c r="C1547" s="0" t="inlineStr">
        <is>
          <t>NULL</t>
        </is>
      </c>
      <c r="D1547" s="0" t="inlineStr">
        <is>
          <t>NULL</t>
        </is>
      </c>
      <c r="E1547" s="0" t="inlineStr">
        <is>
          <t>NULL</t>
        </is>
      </c>
      <c r="F1547" s="0" t="inlineStr">
        <is>
          <t>NULL</t>
        </is>
      </c>
      <c r="G1547" s="0" t="inlineStr">
        <is>
          <t>NULL</t>
        </is>
      </c>
      <c r="H1547" s="0" t="inlineStr">
        <is>
          <t>NULL</t>
        </is>
      </c>
      <c r="I1547" s="0" t="inlineStr">
        <is>
          <t>NULL</t>
        </is>
      </c>
      <c r="J1547" s="0" t="inlineStr">
        <is>
          <t>NULL</t>
        </is>
      </c>
      <c r="K1547" s="0" t="inlineStr">
        <is>
          <t>YES! 	 c_dtoffset列源备映射正确，源端为datetimeoffset None位	期望更改为datetimeoffset(n)	实际备端为datetimeoffset None位</t>
        </is>
      </c>
    </row>
    <row r="1548">
      <c r="A1548" s="0" t="inlineStr">
        <is>
          <t>info_datetimeoffset_dml_single_nopk_irp</t>
        </is>
      </c>
      <c r="K1548" s="0" t="inlineStr">
        <is>
          <t>[0;34m info_datetimeoffset_dml_single_nopk_irp [0m源备字段数相同，源端字段：9 	备端字段9</t>
        </is>
      </c>
      <c r="W1548" s="0" t="inlineStr">
        <is>
          <t>YES 源备无差异</t>
        </is>
      </c>
      <c r="X1548" s="0">
        <f>A1548</f>
        <v/>
      </c>
    </row>
    <row r="1549">
      <c r="B1549" s="0" t="inlineStr">
        <is>
          <t>NULL</t>
        </is>
      </c>
      <c r="C1549" s="0" t="inlineStr">
        <is>
          <t>NULL</t>
        </is>
      </c>
      <c r="D1549" s="0" t="inlineStr">
        <is>
          <t>NULL</t>
        </is>
      </c>
      <c r="E1549" s="0" t="inlineStr">
        <is>
          <t>NULL</t>
        </is>
      </c>
      <c r="F1549" s="0" t="inlineStr">
        <is>
          <t>NULL</t>
        </is>
      </c>
      <c r="G1549" s="0" t="inlineStr">
        <is>
          <t>NULL</t>
        </is>
      </c>
      <c r="H1549" s="0" t="inlineStr">
        <is>
          <t>NULL</t>
        </is>
      </c>
      <c r="I1549" s="0" t="inlineStr">
        <is>
          <t>NULL</t>
        </is>
      </c>
      <c r="J1549" s="0" t="inlineStr">
        <is>
          <t>NULL</t>
        </is>
      </c>
      <c r="K1549" s="0" t="inlineStr">
        <is>
          <t>YES! 	 id列源备映射正确，源端为int None位	期望更改为int	实际备端为int None位</t>
        </is>
      </c>
    </row>
    <row r="1550">
      <c r="B1550" s="0" t="inlineStr">
        <is>
          <t>NULL</t>
        </is>
      </c>
      <c r="C1550" s="0" t="inlineStr">
        <is>
          <t>NULL</t>
        </is>
      </c>
      <c r="D1550" s="0" t="inlineStr">
        <is>
          <t>NULL</t>
        </is>
      </c>
      <c r="E1550" s="0" t="inlineStr">
        <is>
          <t>NULL</t>
        </is>
      </c>
      <c r="F1550" s="0" t="inlineStr">
        <is>
          <t>NULL</t>
        </is>
      </c>
      <c r="G1550" s="0" t="inlineStr">
        <is>
          <t>NULL</t>
        </is>
      </c>
      <c r="H1550" s="0" t="inlineStr">
        <is>
          <t>NULL</t>
        </is>
      </c>
      <c r="I1550" s="0" t="inlineStr">
        <is>
          <t>NULL</t>
        </is>
      </c>
      <c r="J1550" s="0" t="inlineStr">
        <is>
          <t>NULL</t>
        </is>
      </c>
      <c r="K1550" s="0" t="inlineStr">
        <is>
          <t>no,len不存在</t>
        </is>
      </c>
    </row>
    <row r="1551">
      <c r="B1551" s="0" t="inlineStr">
        <is>
          <t>NULL</t>
        </is>
      </c>
      <c r="C1551" s="0" t="inlineStr">
        <is>
          <t>NULL</t>
        </is>
      </c>
      <c r="D1551" s="0" t="inlineStr">
        <is>
          <t>NULL</t>
        </is>
      </c>
      <c r="E1551" s="0" t="inlineStr">
        <is>
          <t>NULL</t>
        </is>
      </c>
      <c r="F1551" s="0" t="inlineStr">
        <is>
          <t>NULL</t>
        </is>
      </c>
      <c r="G1551" s="0" t="inlineStr">
        <is>
          <t>NULL</t>
        </is>
      </c>
      <c r="H1551" s="0" t="inlineStr">
        <is>
          <t>NULL</t>
        </is>
      </c>
      <c r="I1551" s="0" t="inlineStr">
        <is>
          <t>NULL</t>
        </is>
      </c>
      <c r="J1551" s="0" t="inlineStr">
        <is>
          <t>NULL</t>
        </is>
      </c>
      <c r="K1551" s="0" t="inlineStr">
        <is>
          <t>YES! 	 c_dtoffset_1列源备映射正确，源端为datetimeoffset None位	期望更改为datetimeoffset(n)	实际备端为datetimeoffset None位</t>
        </is>
      </c>
    </row>
    <row r="1552">
      <c r="B1552" s="0" t="inlineStr">
        <is>
          <t>NULL</t>
        </is>
      </c>
      <c r="C1552" s="0" t="inlineStr">
        <is>
          <t>NULL</t>
        </is>
      </c>
      <c r="D1552" s="0" t="inlineStr">
        <is>
          <t>NULL</t>
        </is>
      </c>
      <c r="E1552" s="0" t="inlineStr">
        <is>
          <t>NULL</t>
        </is>
      </c>
      <c r="F1552" s="0" t="inlineStr">
        <is>
          <t>NULL</t>
        </is>
      </c>
      <c r="G1552" s="0" t="inlineStr">
        <is>
          <t>NULL</t>
        </is>
      </c>
      <c r="H1552" s="0" t="inlineStr">
        <is>
          <t>NULL</t>
        </is>
      </c>
      <c r="I1552" s="0" t="inlineStr">
        <is>
          <t>NULL</t>
        </is>
      </c>
      <c r="J1552" s="0" t="inlineStr">
        <is>
          <t>NULL</t>
        </is>
      </c>
      <c r="K1552" s="0" t="inlineStr">
        <is>
          <t>YES! 	 c_dtoffset_2列源备映射正确，源端为datetimeoffset None位	期望更改为datetimeoffset(n)	实际备端为datetimeoffset None位</t>
        </is>
      </c>
    </row>
    <row r="1553">
      <c r="B1553" s="0" t="inlineStr">
        <is>
          <t>NULL</t>
        </is>
      </c>
      <c r="C1553" s="0" t="inlineStr">
        <is>
          <t>NULL</t>
        </is>
      </c>
      <c r="D1553" s="0" t="inlineStr">
        <is>
          <t>NULL</t>
        </is>
      </c>
      <c r="E1553" s="0" t="inlineStr">
        <is>
          <t>NULL</t>
        </is>
      </c>
      <c r="F1553" s="0" t="inlineStr">
        <is>
          <t>NULL</t>
        </is>
      </c>
      <c r="G1553" s="0" t="inlineStr">
        <is>
          <t>NULL</t>
        </is>
      </c>
      <c r="H1553" s="0" t="inlineStr">
        <is>
          <t>NULL</t>
        </is>
      </c>
      <c r="I1553" s="0" t="inlineStr">
        <is>
          <t>NULL</t>
        </is>
      </c>
      <c r="J1553" s="0" t="inlineStr">
        <is>
          <t>NULL</t>
        </is>
      </c>
      <c r="K1553" s="0" t="inlineStr">
        <is>
          <t>YES! 	 c_dtoffset_3列源备映射正确，源端为datetimeoffset None位	期望更改为datetimeoffset(n)	实际备端为datetimeoffset None位</t>
        </is>
      </c>
    </row>
    <row r="1554">
      <c r="B1554" s="0" t="inlineStr">
        <is>
          <t>NULL</t>
        </is>
      </c>
      <c r="C1554" s="0" t="inlineStr">
        <is>
          <t>NULL</t>
        </is>
      </c>
      <c r="D1554" s="0" t="inlineStr">
        <is>
          <t>NULL</t>
        </is>
      </c>
      <c r="E1554" s="0" t="inlineStr">
        <is>
          <t>NULL</t>
        </is>
      </c>
      <c r="F1554" s="0" t="inlineStr">
        <is>
          <t>NULL</t>
        </is>
      </c>
      <c r="G1554" s="0" t="inlineStr">
        <is>
          <t>NULL</t>
        </is>
      </c>
      <c r="H1554" s="0" t="inlineStr">
        <is>
          <t>NULL</t>
        </is>
      </c>
      <c r="I1554" s="0" t="inlineStr">
        <is>
          <t>NULL</t>
        </is>
      </c>
      <c r="J1554" s="0" t="inlineStr">
        <is>
          <t>NULL</t>
        </is>
      </c>
      <c r="K1554" s="0" t="inlineStr">
        <is>
          <t>YES! 	 c_dtoffset_4列源备映射正确，源端为datetimeoffset None位	期望更改为datetimeoffset(n)	实际备端为datetimeoffset None位</t>
        </is>
      </c>
    </row>
    <row r="1555">
      <c r="B1555" s="0" t="inlineStr">
        <is>
          <t>NULL</t>
        </is>
      </c>
      <c r="C1555" s="0" t="inlineStr">
        <is>
          <t>NULL</t>
        </is>
      </c>
      <c r="D1555" s="0" t="inlineStr">
        <is>
          <t>NULL</t>
        </is>
      </c>
      <c r="E1555" s="0" t="inlineStr">
        <is>
          <t>NULL</t>
        </is>
      </c>
      <c r="F1555" s="0" t="inlineStr">
        <is>
          <t>NULL</t>
        </is>
      </c>
      <c r="G1555" s="0" t="inlineStr">
        <is>
          <t>NULL</t>
        </is>
      </c>
      <c r="H1555" s="0" t="inlineStr">
        <is>
          <t>NULL</t>
        </is>
      </c>
      <c r="I1555" s="0" t="inlineStr">
        <is>
          <t>NULL</t>
        </is>
      </c>
      <c r="J1555" s="0" t="inlineStr">
        <is>
          <t>NULL</t>
        </is>
      </c>
      <c r="K1555" s="0" t="inlineStr">
        <is>
          <t>YES! 	 c_dtoffset_5列源备映射正确，源端为datetimeoffset None位	期望更改为datetimeoffset(n)	实际备端为datetimeoffset None位</t>
        </is>
      </c>
    </row>
    <row r="1556">
      <c r="B1556" s="0" t="inlineStr">
        <is>
          <t>NULL</t>
        </is>
      </c>
      <c r="C1556" s="0" t="inlineStr">
        <is>
          <t>NULL</t>
        </is>
      </c>
      <c r="D1556" s="0" t="inlineStr">
        <is>
          <t>NULL</t>
        </is>
      </c>
      <c r="E1556" s="0" t="inlineStr">
        <is>
          <t>NULL</t>
        </is>
      </c>
      <c r="F1556" s="0" t="inlineStr">
        <is>
          <t>NULL</t>
        </is>
      </c>
      <c r="G1556" s="0" t="inlineStr">
        <is>
          <t>NULL</t>
        </is>
      </c>
      <c r="H1556" s="0" t="inlineStr">
        <is>
          <t>NULL</t>
        </is>
      </c>
      <c r="I1556" s="0" t="inlineStr">
        <is>
          <t>NULL</t>
        </is>
      </c>
      <c r="J1556" s="0" t="inlineStr">
        <is>
          <t>NULL</t>
        </is>
      </c>
      <c r="K1556" s="0" t="inlineStr">
        <is>
          <t>YES! 	 c_dtoffset_6列源备映射正确，源端为datetimeoffset None位	期望更改为datetimeoffset(n)	实际备端为datetimeoffset None位</t>
        </is>
      </c>
    </row>
    <row r="1557">
      <c r="B1557" s="0" t="inlineStr">
        <is>
          <t>NULL</t>
        </is>
      </c>
      <c r="C1557" s="0" t="inlineStr">
        <is>
          <t>NULL</t>
        </is>
      </c>
      <c r="D1557" s="0" t="inlineStr">
        <is>
          <t>NULL</t>
        </is>
      </c>
      <c r="E1557" s="0" t="inlineStr">
        <is>
          <t>NULL</t>
        </is>
      </c>
      <c r="F1557" s="0" t="inlineStr">
        <is>
          <t>NULL</t>
        </is>
      </c>
      <c r="G1557" s="0" t="inlineStr">
        <is>
          <t>NULL</t>
        </is>
      </c>
      <c r="H1557" s="0" t="inlineStr">
        <is>
          <t>NULL</t>
        </is>
      </c>
      <c r="I1557" s="0" t="inlineStr">
        <is>
          <t>NULL</t>
        </is>
      </c>
      <c r="J1557" s="0" t="inlineStr">
        <is>
          <t>NULL</t>
        </is>
      </c>
      <c r="K1557" s="0" t="inlineStr">
        <is>
          <t>YES! 	 c_dtoffset列源备映射正确，源端为datetimeoffset None位	期望更改为datetimeoffset(n)	实际备端为datetimeoffset None位</t>
        </is>
      </c>
    </row>
    <row r="1558">
      <c r="A1558" s="0" t="inlineStr">
        <is>
          <t>info_varbinary_max_dml_single_nopk_urp</t>
        </is>
      </c>
      <c r="K1558" s="0" t="inlineStr">
        <is>
          <t>[0;34m info_varbinary_max_dml_single_nopk_urp [0m源备字段数相同，源端字段：4 	备端字段4</t>
        </is>
      </c>
      <c r="W1558" s="0" t="inlineStr">
        <is>
          <t>YES 源备无差异</t>
        </is>
      </c>
      <c r="X1558" s="0">
        <f>A1558</f>
        <v/>
      </c>
    </row>
    <row r="1559">
      <c r="B1559" s="0" t="inlineStr">
        <is>
          <t>NULL</t>
        </is>
      </c>
      <c r="C1559" s="0" t="inlineStr">
        <is>
          <t>NULL</t>
        </is>
      </c>
      <c r="D1559" s="0" t="inlineStr">
        <is>
          <t>NULL</t>
        </is>
      </c>
      <c r="E1559" s="0" t="inlineStr">
        <is>
          <t>NULL</t>
        </is>
      </c>
      <c r="F1559" s="0" t="inlineStr">
        <is>
          <t>NULL</t>
        </is>
      </c>
      <c r="G1559" s="0" t="inlineStr">
        <is>
          <t>NULL</t>
        </is>
      </c>
      <c r="H1559" s="0" t="inlineStr">
        <is>
          <t>NULL</t>
        </is>
      </c>
      <c r="I1559" s="0" t="inlineStr">
        <is>
          <t>NULL</t>
        </is>
      </c>
      <c r="J1559" s="0" t="inlineStr">
        <is>
          <t>NULL</t>
        </is>
      </c>
      <c r="K1559" s="0" t="inlineStr">
        <is>
          <t>YES! 	 id列源备映射正确，源端为int None位	期望更改为int	实际备端为int None位</t>
        </is>
      </c>
    </row>
    <row r="1560">
      <c r="B1560" s="0" t="inlineStr">
        <is>
          <t>NULL</t>
        </is>
      </c>
      <c r="C1560" s="0" t="inlineStr">
        <is>
          <t>NULL</t>
        </is>
      </c>
      <c r="D1560" s="0" t="inlineStr">
        <is>
          <t>NULL</t>
        </is>
      </c>
      <c r="E1560" s="0" t="inlineStr">
        <is>
          <t>NULL</t>
        </is>
      </c>
      <c r="F1560" s="0" t="inlineStr">
        <is>
          <t>NULL</t>
        </is>
      </c>
      <c r="G1560" s="0" t="inlineStr">
        <is>
          <t>NULL</t>
        </is>
      </c>
      <c r="H1560" s="0" t="inlineStr">
        <is>
          <t>NULL</t>
        </is>
      </c>
      <c r="I1560" s="0" t="inlineStr">
        <is>
          <t>NULL</t>
        </is>
      </c>
      <c r="J1560" s="0" t="inlineStr">
        <is>
          <t>NULL</t>
        </is>
      </c>
      <c r="K1560" s="0" t="inlineStr">
        <is>
          <t>YES! 	 c_varbinary_max1列源备映射正确，源端为varbinary -1位	期望更改为varbinary(n)	实际备端为varbinary -1位</t>
        </is>
      </c>
    </row>
    <row r="1561">
      <c r="B1561" s="0" t="inlineStr">
        <is>
          <t>NULL</t>
        </is>
      </c>
      <c r="C1561" s="0" t="inlineStr">
        <is>
          <t>NULL</t>
        </is>
      </c>
      <c r="D1561" s="0" t="inlineStr">
        <is>
          <t>NULL</t>
        </is>
      </c>
      <c r="E1561" s="0" t="inlineStr">
        <is>
          <t>NULL</t>
        </is>
      </c>
      <c r="F1561" s="0" t="inlineStr">
        <is>
          <t>NULL</t>
        </is>
      </c>
      <c r="G1561" s="0" t="inlineStr">
        <is>
          <t>NULL</t>
        </is>
      </c>
      <c r="H1561" s="0" t="inlineStr">
        <is>
          <t>NULL</t>
        </is>
      </c>
      <c r="I1561" s="0" t="inlineStr">
        <is>
          <t>NULL</t>
        </is>
      </c>
      <c r="J1561" s="0" t="inlineStr">
        <is>
          <t>NULL</t>
        </is>
      </c>
      <c r="K1561" s="0" t="inlineStr">
        <is>
          <t>YES! 	 c_varbinary_max2列源备映射正确，源端为varbinary -1位	期望更改为varbinary(n)	实际备端为varbinary -1位</t>
        </is>
      </c>
    </row>
    <row r="1562">
      <c r="B1562" s="0" t="inlineStr">
        <is>
          <t>NULL</t>
        </is>
      </c>
      <c r="C1562" s="0" t="inlineStr">
        <is>
          <t>NULL</t>
        </is>
      </c>
      <c r="D1562" s="0" t="inlineStr">
        <is>
          <t>NULL</t>
        </is>
      </c>
      <c r="E1562" s="0" t="inlineStr">
        <is>
          <t>NULL</t>
        </is>
      </c>
      <c r="F1562" s="0" t="inlineStr">
        <is>
          <t>NULL</t>
        </is>
      </c>
      <c r="G1562" s="0" t="inlineStr">
        <is>
          <t>NULL</t>
        </is>
      </c>
      <c r="H1562" s="0" t="inlineStr">
        <is>
          <t>NULL</t>
        </is>
      </c>
      <c r="I1562" s="0" t="inlineStr">
        <is>
          <t>NULL</t>
        </is>
      </c>
      <c r="J1562" s="0" t="inlineStr">
        <is>
          <t>NULL</t>
        </is>
      </c>
      <c r="K1562" s="0" t="inlineStr">
        <is>
          <t>YES! 	 c_image3列源备映射正确，源端为image 2147483647位	期望更改为image	实际备端为image 2147483647位</t>
        </is>
      </c>
    </row>
    <row r="1563">
      <c r="A1563" s="0" t="inlineStr">
        <is>
          <t>info_datetimeoffset_dml_single_nopk_urp</t>
        </is>
      </c>
      <c r="K1563" s="0" t="inlineStr">
        <is>
          <t>[0;34m info_datetimeoffset_dml_single_nopk_urp [0m源备字段数相同，源端字段：9 	备端字段9</t>
        </is>
      </c>
      <c r="W1563" s="0" t="inlineStr">
        <is>
          <t>YES 源备无差异</t>
        </is>
      </c>
      <c r="X1563" s="0">
        <f>A1563</f>
        <v/>
      </c>
    </row>
    <row r="1564">
      <c r="B1564" s="0" t="inlineStr">
        <is>
          <t>NULL</t>
        </is>
      </c>
      <c r="C1564" s="0" t="inlineStr">
        <is>
          <t>NULL</t>
        </is>
      </c>
      <c r="D1564" s="0" t="inlineStr">
        <is>
          <t>NULL</t>
        </is>
      </c>
      <c r="E1564" s="0" t="inlineStr">
        <is>
          <t>NULL</t>
        </is>
      </c>
      <c r="F1564" s="0" t="inlineStr">
        <is>
          <t>NULL</t>
        </is>
      </c>
      <c r="G1564" s="0" t="inlineStr">
        <is>
          <t>NULL</t>
        </is>
      </c>
      <c r="H1564" s="0" t="inlineStr">
        <is>
          <t>NULL</t>
        </is>
      </c>
      <c r="I1564" s="0" t="inlineStr">
        <is>
          <t>NULL</t>
        </is>
      </c>
      <c r="J1564" s="0" t="inlineStr">
        <is>
          <t>NULL</t>
        </is>
      </c>
      <c r="K1564" s="0" t="inlineStr">
        <is>
          <t>YES! 	 id列源备映射正确，源端为int None位	期望更改为int	实际备端为int None位</t>
        </is>
      </c>
    </row>
    <row r="1565">
      <c r="B1565" s="0" t="inlineStr">
        <is>
          <t>NULL</t>
        </is>
      </c>
      <c r="C1565" s="0" t="inlineStr">
        <is>
          <t>NULL</t>
        </is>
      </c>
      <c r="D1565" s="0" t="inlineStr">
        <is>
          <t>NULL</t>
        </is>
      </c>
      <c r="E1565" s="0" t="inlineStr">
        <is>
          <t>NULL</t>
        </is>
      </c>
      <c r="F1565" s="0" t="inlineStr">
        <is>
          <t>NULL</t>
        </is>
      </c>
      <c r="G1565" s="0" t="inlineStr">
        <is>
          <t>NULL</t>
        </is>
      </c>
      <c r="H1565" s="0" t="inlineStr">
        <is>
          <t>NULL</t>
        </is>
      </c>
      <c r="I1565" s="0" t="inlineStr">
        <is>
          <t>NULL</t>
        </is>
      </c>
      <c r="J1565" s="0" t="inlineStr">
        <is>
          <t>NULL</t>
        </is>
      </c>
      <c r="K1565" s="0" t="inlineStr">
        <is>
          <t>no,len不存在</t>
        </is>
      </c>
    </row>
    <row r="1566">
      <c r="B1566" s="0" t="inlineStr">
        <is>
          <t>NULL</t>
        </is>
      </c>
      <c r="C1566" s="0" t="inlineStr">
        <is>
          <t>NULL</t>
        </is>
      </c>
      <c r="D1566" s="0" t="inlineStr">
        <is>
          <t>NULL</t>
        </is>
      </c>
      <c r="E1566" s="0" t="inlineStr">
        <is>
          <t>NULL</t>
        </is>
      </c>
      <c r="F1566" s="0" t="inlineStr">
        <is>
          <t>NULL</t>
        </is>
      </c>
      <c r="G1566" s="0" t="inlineStr">
        <is>
          <t>NULL</t>
        </is>
      </c>
      <c r="H1566" s="0" t="inlineStr">
        <is>
          <t>NULL</t>
        </is>
      </c>
      <c r="I1566" s="0" t="inlineStr">
        <is>
          <t>NULL</t>
        </is>
      </c>
      <c r="J1566" s="0" t="inlineStr">
        <is>
          <t>NULL</t>
        </is>
      </c>
      <c r="K1566" s="0" t="inlineStr">
        <is>
          <t>YES! 	 c_dtoffset_1列源备映射正确，源端为datetimeoffset None位	期望更改为datetimeoffset(n)	实际备端为datetimeoffset None位</t>
        </is>
      </c>
    </row>
    <row r="1567">
      <c r="B1567" s="0" t="inlineStr">
        <is>
          <t>NULL</t>
        </is>
      </c>
      <c r="C1567" s="0" t="inlineStr">
        <is>
          <t>NULL</t>
        </is>
      </c>
      <c r="D1567" s="0" t="inlineStr">
        <is>
          <t>NULL</t>
        </is>
      </c>
      <c r="E1567" s="0" t="inlineStr">
        <is>
          <t>NULL</t>
        </is>
      </c>
      <c r="F1567" s="0" t="inlineStr">
        <is>
          <t>NULL</t>
        </is>
      </c>
      <c r="G1567" s="0" t="inlineStr">
        <is>
          <t>NULL</t>
        </is>
      </c>
      <c r="H1567" s="0" t="inlineStr">
        <is>
          <t>NULL</t>
        </is>
      </c>
      <c r="I1567" s="0" t="inlineStr">
        <is>
          <t>NULL</t>
        </is>
      </c>
      <c r="J1567" s="0" t="inlineStr">
        <is>
          <t>NULL</t>
        </is>
      </c>
      <c r="K1567" s="0" t="inlineStr">
        <is>
          <t>YES! 	 c_dtoffset_2列源备映射正确，源端为datetimeoffset None位	期望更改为datetimeoffset(n)	实际备端为datetimeoffset None位</t>
        </is>
      </c>
    </row>
    <row r="1568">
      <c r="B1568" s="0" t="inlineStr">
        <is>
          <t>NULL</t>
        </is>
      </c>
      <c r="C1568" s="0" t="inlineStr">
        <is>
          <t>NULL</t>
        </is>
      </c>
      <c r="D1568" s="0" t="inlineStr">
        <is>
          <t>NULL</t>
        </is>
      </c>
      <c r="E1568" s="0" t="inlineStr">
        <is>
          <t>NULL</t>
        </is>
      </c>
      <c r="F1568" s="0" t="inlineStr">
        <is>
          <t>NULL</t>
        </is>
      </c>
      <c r="G1568" s="0" t="inlineStr">
        <is>
          <t>NULL</t>
        </is>
      </c>
      <c r="H1568" s="0" t="inlineStr">
        <is>
          <t>NULL</t>
        </is>
      </c>
      <c r="I1568" s="0" t="inlineStr">
        <is>
          <t>NULL</t>
        </is>
      </c>
      <c r="J1568" s="0" t="inlineStr">
        <is>
          <t>NULL</t>
        </is>
      </c>
      <c r="K1568" s="0" t="inlineStr">
        <is>
          <t>YES! 	 c_dtoffset_3列源备映射正确，源端为datetimeoffset None位	期望更改为datetimeoffset(n)	实际备端为datetimeoffset None位</t>
        </is>
      </c>
    </row>
    <row r="1569">
      <c r="B1569" s="0" t="inlineStr">
        <is>
          <t>NULL</t>
        </is>
      </c>
      <c r="C1569" s="0" t="inlineStr">
        <is>
          <t>NULL</t>
        </is>
      </c>
      <c r="D1569" s="0" t="inlineStr">
        <is>
          <t>NULL</t>
        </is>
      </c>
      <c r="E1569" s="0" t="inlineStr">
        <is>
          <t>NULL</t>
        </is>
      </c>
      <c r="F1569" s="0" t="inlineStr">
        <is>
          <t>NULL</t>
        </is>
      </c>
      <c r="G1569" s="0" t="inlineStr">
        <is>
          <t>NULL</t>
        </is>
      </c>
      <c r="H1569" s="0" t="inlineStr">
        <is>
          <t>NULL</t>
        </is>
      </c>
      <c r="I1569" s="0" t="inlineStr">
        <is>
          <t>NULL</t>
        </is>
      </c>
      <c r="J1569" s="0" t="inlineStr">
        <is>
          <t>NULL</t>
        </is>
      </c>
      <c r="K1569" s="0" t="inlineStr">
        <is>
          <t>YES! 	 c_dtoffset_4列源备映射正确，源端为datetimeoffset None位	期望更改为datetimeoffset(n)	实际备端为datetimeoffset None位</t>
        </is>
      </c>
    </row>
    <row r="1570">
      <c r="B1570" s="0" t="inlineStr">
        <is>
          <t>NULL</t>
        </is>
      </c>
      <c r="C1570" s="0" t="inlineStr">
        <is>
          <t>NULL</t>
        </is>
      </c>
      <c r="D1570" s="0" t="inlineStr">
        <is>
          <t>NULL</t>
        </is>
      </c>
      <c r="E1570" s="0" t="inlineStr">
        <is>
          <t>NULL</t>
        </is>
      </c>
      <c r="F1570" s="0" t="inlineStr">
        <is>
          <t>NULL</t>
        </is>
      </c>
      <c r="G1570" s="0" t="inlineStr">
        <is>
          <t>NULL</t>
        </is>
      </c>
      <c r="H1570" s="0" t="inlineStr">
        <is>
          <t>NULL</t>
        </is>
      </c>
      <c r="I1570" s="0" t="inlineStr">
        <is>
          <t>NULL</t>
        </is>
      </c>
      <c r="J1570" s="0" t="inlineStr">
        <is>
          <t>NULL</t>
        </is>
      </c>
      <c r="K1570" s="0" t="inlineStr">
        <is>
          <t>YES! 	 c_dtoffset_5列源备映射正确，源端为datetimeoffset None位	期望更改为datetimeoffset(n)	实际备端为datetimeoffset None位</t>
        </is>
      </c>
    </row>
    <row r="1571">
      <c r="B1571" s="0" t="inlineStr">
        <is>
          <t>NULL</t>
        </is>
      </c>
      <c r="C1571" s="0" t="inlineStr">
        <is>
          <t>NULL</t>
        </is>
      </c>
      <c r="D1571" s="0" t="inlineStr">
        <is>
          <t>NULL</t>
        </is>
      </c>
      <c r="E1571" s="0" t="inlineStr">
        <is>
          <t>NULL</t>
        </is>
      </c>
      <c r="F1571" s="0" t="inlineStr">
        <is>
          <t>NULL</t>
        </is>
      </c>
      <c r="G1571" s="0" t="inlineStr">
        <is>
          <t>NULL</t>
        </is>
      </c>
      <c r="H1571" s="0" t="inlineStr">
        <is>
          <t>NULL</t>
        </is>
      </c>
      <c r="I1571" s="0" t="inlineStr">
        <is>
          <t>NULL</t>
        </is>
      </c>
      <c r="J1571" s="0" t="inlineStr">
        <is>
          <t>NULL</t>
        </is>
      </c>
      <c r="K1571" s="0" t="inlineStr">
        <is>
          <t>YES! 	 c_dtoffset_6列源备映射正确，源端为datetimeoffset None位	期望更改为datetimeoffset(n)	实际备端为datetimeoffset None位</t>
        </is>
      </c>
    </row>
    <row r="1572">
      <c r="B1572" s="0" t="inlineStr">
        <is>
          <t>NULL</t>
        </is>
      </c>
      <c r="C1572" s="0" t="inlineStr">
        <is>
          <t>NULL</t>
        </is>
      </c>
      <c r="D1572" s="0" t="inlineStr">
        <is>
          <t>NULL</t>
        </is>
      </c>
      <c r="E1572" s="0" t="inlineStr">
        <is>
          <t>NULL</t>
        </is>
      </c>
      <c r="F1572" s="0" t="inlineStr">
        <is>
          <t>NULL</t>
        </is>
      </c>
      <c r="G1572" s="0" t="inlineStr">
        <is>
          <t>NULL</t>
        </is>
      </c>
      <c r="H1572" s="0" t="inlineStr">
        <is>
          <t>NULL</t>
        </is>
      </c>
      <c r="I1572" s="0" t="inlineStr">
        <is>
          <t>NULL</t>
        </is>
      </c>
      <c r="J1572" s="0" t="inlineStr">
        <is>
          <t>NULL</t>
        </is>
      </c>
      <c r="K1572" s="0" t="inlineStr">
        <is>
          <t>YES! 	 c_dtoffset列源备映射正确，源端为datetimeoffset None位	期望更改为datetimeoffset(n)	实际备端为datetimeoffset None位</t>
        </is>
      </c>
    </row>
    <row r="1573">
      <c r="A1573" s="0" t="inlineStr">
        <is>
          <t>info_binary_dml_single_pk</t>
        </is>
      </c>
      <c r="K1573" s="0" t="inlineStr">
        <is>
          <t>[0;34m info_binary_dml_single_pk [0m源备字段数相同，源端字段：4 	备端字段4</t>
        </is>
      </c>
      <c r="W1573" s="0" t="inlineStr">
        <is>
          <t>YES 源备无差异</t>
        </is>
      </c>
      <c r="X1573" s="0">
        <f>A1573</f>
        <v/>
      </c>
    </row>
    <row r="1574">
      <c r="B1574" s="0" t="inlineStr">
        <is>
          <t>YES</t>
        </is>
      </c>
      <c r="C1574" s="0" t="inlineStr">
        <is>
          <t>NULL</t>
        </is>
      </c>
      <c r="D1574" s="0" t="inlineStr">
        <is>
          <t>NULL</t>
        </is>
      </c>
      <c r="E1574" s="0" t="inlineStr">
        <is>
          <t>NULL</t>
        </is>
      </c>
      <c r="F1574" s="0" t="inlineStr">
        <is>
          <t>NULL</t>
        </is>
      </c>
      <c r="G1574" s="0" t="inlineStr">
        <is>
          <t>NULL</t>
        </is>
      </c>
      <c r="H1574" s="0" t="inlineStr">
        <is>
          <t>NULL</t>
        </is>
      </c>
      <c r="I1574" s="0" t="inlineStr">
        <is>
          <t>YES!PK__info_bin__3213E83F4311331F</t>
        </is>
      </c>
      <c r="J1574" s="0" t="inlineStr">
        <is>
          <t>YES! 主键相关索引</t>
        </is>
      </c>
      <c r="K1574" s="0" t="inlineStr">
        <is>
          <t>YES! 	 id列源备映射正确，源端为int None位	期望更改为int	实际备端为int None位</t>
        </is>
      </c>
    </row>
    <row r="1575">
      <c r="B1575" s="0" t="inlineStr">
        <is>
          <t>NULL</t>
        </is>
      </c>
      <c r="C1575" s="0" t="inlineStr">
        <is>
          <t>NULL</t>
        </is>
      </c>
      <c r="D1575" s="0" t="inlineStr">
        <is>
          <t>NULL</t>
        </is>
      </c>
      <c r="E1575" s="0" t="inlineStr">
        <is>
          <t>NULL</t>
        </is>
      </c>
      <c r="F1575" s="0" t="inlineStr">
        <is>
          <t>NULL</t>
        </is>
      </c>
      <c r="G1575" s="0" t="inlineStr">
        <is>
          <t>NULL</t>
        </is>
      </c>
      <c r="H1575" s="0" t="inlineStr">
        <is>
          <t>NULL</t>
        </is>
      </c>
      <c r="I1575" s="0" t="inlineStr">
        <is>
          <t>NULL</t>
        </is>
      </c>
      <c r="J1575" s="0" t="inlineStr">
        <is>
          <t>NULL</t>
        </is>
      </c>
      <c r="K1575" s="0" t="inlineStr">
        <is>
          <t>YES! 	 c_binary列源备映射正确，源端为binary 1位	期望更改为binary(n)	实际备端为binary 1位</t>
        </is>
      </c>
    </row>
    <row r="1576">
      <c r="B1576" s="0" t="inlineStr">
        <is>
          <t>NULL</t>
        </is>
      </c>
      <c r="C1576" s="0" t="inlineStr">
        <is>
          <t>NULL</t>
        </is>
      </c>
      <c r="D1576" s="0" t="inlineStr">
        <is>
          <t>NULL</t>
        </is>
      </c>
      <c r="E1576" s="0" t="inlineStr">
        <is>
          <t>NULL</t>
        </is>
      </c>
      <c r="F1576" s="0" t="inlineStr">
        <is>
          <t>NULL</t>
        </is>
      </c>
      <c r="G1576" s="0" t="inlineStr">
        <is>
          <t>NULL</t>
        </is>
      </c>
      <c r="H1576" s="0" t="inlineStr">
        <is>
          <t>NULL</t>
        </is>
      </c>
      <c r="I1576" s="0" t="inlineStr">
        <is>
          <t>NULL</t>
        </is>
      </c>
      <c r="J1576" s="0" t="inlineStr">
        <is>
          <t>NULL</t>
        </is>
      </c>
      <c r="K1576" s="0" t="inlineStr">
        <is>
          <t>YES! 	 c_binary_20列源备映射正确，源端为binary 20位	期望更改为binary(n)	实际备端为binary 20位</t>
        </is>
      </c>
    </row>
    <row r="1577">
      <c r="B1577" s="0" t="inlineStr">
        <is>
          <t>NULL</t>
        </is>
      </c>
      <c r="C1577" s="0" t="inlineStr">
        <is>
          <t>NULL</t>
        </is>
      </c>
      <c r="D1577" s="0" t="inlineStr">
        <is>
          <t>NULL</t>
        </is>
      </c>
      <c r="E1577" s="0" t="inlineStr">
        <is>
          <t>NULL</t>
        </is>
      </c>
      <c r="F1577" s="0" t="inlineStr">
        <is>
          <t>NULL</t>
        </is>
      </c>
      <c r="G1577" s="0" t="inlineStr">
        <is>
          <t>NULL</t>
        </is>
      </c>
      <c r="H1577" s="0" t="inlineStr">
        <is>
          <t>NULL</t>
        </is>
      </c>
      <c r="I1577" s="0" t="inlineStr">
        <is>
          <t>NULL</t>
        </is>
      </c>
      <c r="J1577" s="0" t="inlineStr">
        <is>
          <t>NULL</t>
        </is>
      </c>
      <c r="K1577" s="0" t="inlineStr">
        <is>
          <t>YES! 	 c_binary_8000列源备映射正确，源端为binary 8000位	期望更改为binary(n)	实际备端为binary 8000位</t>
        </is>
      </c>
    </row>
    <row r="1578">
      <c r="A1578" s="0" t="inlineStr">
        <is>
          <t>info_varcharmax_dml_batch1_pk_drp1</t>
        </is>
      </c>
      <c r="K1578" s="0" t="inlineStr">
        <is>
          <t>[0;34m info_varcharmax_dml_batch1_pk_drp1 [0m源备字段数相同，源端字段：3 	备端字段3</t>
        </is>
      </c>
      <c r="W1578" s="0" t="inlineStr">
        <is>
          <t>YES 源备无差异</t>
        </is>
      </c>
      <c r="X1578" s="0">
        <f>A1578</f>
        <v/>
      </c>
    </row>
    <row r="1579">
      <c r="B1579" s="0" t="inlineStr">
        <is>
          <t>YES</t>
        </is>
      </c>
      <c r="C1579" s="0" t="inlineStr">
        <is>
          <t>NULL</t>
        </is>
      </c>
      <c r="D1579" s="0" t="inlineStr">
        <is>
          <t>NULL</t>
        </is>
      </c>
      <c r="E1579" s="0" t="inlineStr">
        <is>
          <t>NULL</t>
        </is>
      </c>
      <c r="F1579" s="0" t="inlineStr">
        <is>
          <t>NULL</t>
        </is>
      </c>
      <c r="G1579" s="0" t="inlineStr">
        <is>
          <t>NULL</t>
        </is>
      </c>
      <c r="H1579" s="0" t="inlineStr">
        <is>
          <t>NULL</t>
        </is>
      </c>
      <c r="I1579" s="0" t="inlineStr">
        <is>
          <t>YES!PK__info_var__3213E83FE68E1CD5</t>
        </is>
      </c>
      <c r="J1579" s="0" t="inlineStr">
        <is>
          <t>YES! 主键相关索引</t>
        </is>
      </c>
      <c r="K1579" s="0" t="inlineStr">
        <is>
          <t>YES! 	 id列源备映射正确，源端为int None位	期望更改为int	实际备端为int None位</t>
        </is>
      </c>
    </row>
    <row r="1580">
      <c r="B1580" s="0" t="inlineStr">
        <is>
          <t>NULL</t>
        </is>
      </c>
      <c r="C1580" s="0" t="inlineStr">
        <is>
          <t>NULL</t>
        </is>
      </c>
      <c r="D1580" s="0" t="inlineStr">
        <is>
          <t>NULL</t>
        </is>
      </c>
      <c r="E1580" s="0" t="inlineStr">
        <is>
          <t>NULL</t>
        </is>
      </c>
      <c r="F1580" s="0" t="inlineStr">
        <is>
          <t>NULL</t>
        </is>
      </c>
      <c r="G1580" s="0" t="inlineStr">
        <is>
          <t>NULL</t>
        </is>
      </c>
      <c r="H1580" s="0" t="inlineStr">
        <is>
          <t>NULL</t>
        </is>
      </c>
      <c r="I1580" s="0" t="inlineStr">
        <is>
          <t>NULL</t>
        </is>
      </c>
      <c r="J1580" s="0" t="inlineStr">
        <is>
          <t>NULL</t>
        </is>
      </c>
      <c r="K1580" s="0" t="inlineStr">
        <is>
          <t>YES! 	 c_varchar_max列源备映射正确，源端为varchar -1位	期望更改为varchar(n)	实际备端为varchar -1位</t>
        </is>
      </c>
    </row>
    <row r="1581">
      <c r="B1581" s="0" t="inlineStr">
        <is>
          <t>NULL</t>
        </is>
      </c>
      <c r="C1581" s="0" t="inlineStr">
        <is>
          <t>NULL</t>
        </is>
      </c>
      <c r="D1581" s="0" t="inlineStr">
        <is>
          <t>NULL</t>
        </is>
      </c>
      <c r="E1581" s="0" t="inlineStr">
        <is>
          <t>NULL</t>
        </is>
      </c>
      <c r="F1581" s="0" t="inlineStr">
        <is>
          <t>NULL</t>
        </is>
      </c>
      <c r="G1581" s="0" t="inlineStr">
        <is>
          <t>NULL</t>
        </is>
      </c>
      <c r="H1581" s="0" t="inlineStr">
        <is>
          <t>NULL</t>
        </is>
      </c>
      <c r="I1581" s="0" t="inlineStr">
        <is>
          <t>NULL</t>
        </is>
      </c>
      <c r="J1581" s="0" t="inlineStr">
        <is>
          <t>NULL</t>
        </is>
      </c>
      <c r="K1581" s="0" t="inlineStr">
        <is>
          <t>YES! 	 c_nvarchar_max列源备映射正确，源端为nvarchar -1位	期望更改为nvarchar(n)	实际备端为nvarchar -1位</t>
        </is>
      </c>
    </row>
    <row r="1582">
      <c r="K1582" s="0" t="inlineStr">
        <is>
          <t>~ 空表</t>
        </is>
      </c>
    </row>
    <row r="1583">
      <c r="A1583" s="0" t="inlineStr">
        <is>
          <t>info_timestamp_dml_single_pk_irp</t>
        </is>
      </c>
      <c r="K1583" s="0" t="inlineStr">
        <is>
          <t>[0;34m info_timestamp_dml_single_pk_irp [0m源备字段数相同，源端字段：2 	备端字段2</t>
        </is>
      </c>
      <c r="W1583" s="0" t="inlineStr">
        <is>
          <t>YES 源备无差异</t>
        </is>
      </c>
      <c r="X1583" s="0">
        <f>A1583</f>
        <v/>
      </c>
    </row>
    <row r="1584">
      <c r="B1584" s="0" t="inlineStr">
        <is>
          <t>YES</t>
        </is>
      </c>
      <c r="C1584" s="0" t="inlineStr">
        <is>
          <t>NULL</t>
        </is>
      </c>
      <c r="D1584" s="0" t="inlineStr">
        <is>
          <t>NULL</t>
        </is>
      </c>
      <c r="E1584" s="0" t="inlineStr">
        <is>
          <t>NULL</t>
        </is>
      </c>
      <c r="F1584" s="0" t="inlineStr">
        <is>
          <t>NULL</t>
        </is>
      </c>
      <c r="G1584" s="0" t="inlineStr">
        <is>
          <t>NULL</t>
        </is>
      </c>
      <c r="H1584" s="0" t="inlineStr">
        <is>
          <t>NULL</t>
        </is>
      </c>
      <c r="I1584" s="0" t="inlineStr">
        <is>
          <t>YES!PK__info_tim__3213E83F0A74409F</t>
        </is>
      </c>
      <c r="J1584" s="0" t="inlineStr">
        <is>
          <t>YES! 主键相关索引</t>
        </is>
      </c>
      <c r="K1584" s="0" t="inlineStr">
        <is>
          <t>YES! 	 id列源备映射正确，源端为int None位	期望更改为int	实际备端为int None位</t>
        </is>
      </c>
    </row>
    <row r="1585">
      <c r="B1585" s="0" t="inlineStr">
        <is>
          <t>NULL</t>
        </is>
      </c>
      <c r="C1585" s="0" t="inlineStr">
        <is>
          <t>NULL</t>
        </is>
      </c>
      <c r="D1585" s="0" t="inlineStr">
        <is>
          <t>NULL</t>
        </is>
      </c>
      <c r="E1585" s="0" t="inlineStr">
        <is>
          <t>NULL</t>
        </is>
      </c>
      <c r="F1585" s="0" t="inlineStr">
        <is>
          <t>NULL</t>
        </is>
      </c>
      <c r="G1585" s="0" t="inlineStr">
        <is>
          <t>NULL</t>
        </is>
      </c>
      <c r="H1585" s="0" t="inlineStr">
        <is>
          <t>NULL</t>
        </is>
      </c>
      <c r="I1585" s="0" t="inlineStr">
        <is>
          <t>NULL</t>
        </is>
      </c>
      <c r="J1585" s="0" t="inlineStr">
        <is>
          <t>NULL</t>
        </is>
      </c>
      <c r="K1585" s="0" t="inlineStr">
        <is>
          <t>YES! 	 c_tiemstamp列源备映射正确，源端为timestamp None位	期望更改为timestamp	实际备端为timestamp None位</t>
        </is>
      </c>
    </row>
    <row r="1586">
      <c r="A1586" s="0" t="inlineStr">
        <is>
          <t>info_varbinary_max_dml_single_nopk_drp</t>
        </is>
      </c>
      <c r="K1586" s="0" t="inlineStr">
        <is>
          <t>[0;34m info_varbinary_max_dml_single_nopk_drp [0m源备字段数相同，源端字段：4 	备端字段4</t>
        </is>
      </c>
      <c r="W1586" s="0" t="inlineStr">
        <is>
          <t>YES 源备无差异</t>
        </is>
      </c>
      <c r="X1586" s="0">
        <f>A1586</f>
        <v/>
      </c>
    </row>
    <row r="1587">
      <c r="B1587" s="0" t="inlineStr">
        <is>
          <t>NULL</t>
        </is>
      </c>
      <c r="C1587" s="0" t="inlineStr">
        <is>
          <t>NULL</t>
        </is>
      </c>
      <c r="D1587" s="0" t="inlineStr">
        <is>
          <t>NULL</t>
        </is>
      </c>
      <c r="E1587" s="0" t="inlineStr">
        <is>
          <t>NULL</t>
        </is>
      </c>
      <c r="F1587" s="0" t="inlineStr">
        <is>
          <t>NULL</t>
        </is>
      </c>
      <c r="G1587" s="0" t="inlineStr">
        <is>
          <t>NULL</t>
        </is>
      </c>
      <c r="H1587" s="0" t="inlineStr">
        <is>
          <t>NULL</t>
        </is>
      </c>
      <c r="I1587" s="0" t="inlineStr">
        <is>
          <t>NULL</t>
        </is>
      </c>
      <c r="J1587" s="0" t="inlineStr">
        <is>
          <t>NULL</t>
        </is>
      </c>
      <c r="K1587" s="0" t="inlineStr">
        <is>
          <t>YES! 	 id列源备映射正确，源端为int None位	期望更改为int	实际备端为int None位</t>
        </is>
      </c>
    </row>
    <row r="1588">
      <c r="B1588" s="0" t="inlineStr">
        <is>
          <t>NULL</t>
        </is>
      </c>
      <c r="C1588" s="0" t="inlineStr">
        <is>
          <t>NULL</t>
        </is>
      </c>
      <c r="D1588" s="0" t="inlineStr">
        <is>
          <t>NULL</t>
        </is>
      </c>
      <c r="E1588" s="0" t="inlineStr">
        <is>
          <t>NULL</t>
        </is>
      </c>
      <c r="F1588" s="0" t="inlineStr">
        <is>
          <t>NULL</t>
        </is>
      </c>
      <c r="G1588" s="0" t="inlineStr">
        <is>
          <t>NULL</t>
        </is>
      </c>
      <c r="H1588" s="0" t="inlineStr">
        <is>
          <t>NULL</t>
        </is>
      </c>
      <c r="I1588" s="0" t="inlineStr">
        <is>
          <t>NULL</t>
        </is>
      </c>
      <c r="J1588" s="0" t="inlineStr">
        <is>
          <t>NULL</t>
        </is>
      </c>
      <c r="K1588" s="0" t="inlineStr">
        <is>
          <t>YES! 	 c_varbinary_max1列源备映射正确，源端为varbinary -1位	期望更改为varbinary(n)	实际备端为varbinary -1位</t>
        </is>
      </c>
    </row>
    <row r="1589">
      <c r="B1589" s="0" t="inlineStr">
        <is>
          <t>NULL</t>
        </is>
      </c>
      <c r="C1589" s="0" t="inlineStr">
        <is>
          <t>NULL</t>
        </is>
      </c>
      <c r="D1589" s="0" t="inlineStr">
        <is>
          <t>NULL</t>
        </is>
      </c>
      <c r="E1589" s="0" t="inlineStr">
        <is>
          <t>NULL</t>
        </is>
      </c>
      <c r="F1589" s="0" t="inlineStr">
        <is>
          <t>NULL</t>
        </is>
      </c>
      <c r="G1589" s="0" t="inlineStr">
        <is>
          <t>NULL</t>
        </is>
      </c>
      <c r="H1589" s="0" t="inlineStr">
        <is>
          <t>NULL</t>
        </is>
      </c>
      <c r="I1589" s="0" t="inlineStr">
        <is>
          <t>NULL</t>
        </is>
      </c>
      <c r="J1589" s="0" t="inlineStr">
        <is>
          <t>NULL</t>
        </is>
      </c>
      <c r="K1589" s="0" t="inlineStr">
        <is>
          <t>YES! 	 c_varbinary_max2列源备映射正确，源端为varbinary -1位	期望更改为varbinary(n)	实际备端为varbinary -1位</t>
        </is>
      </c>
    </row>
    <row r="1590">
      <c r="B1590" s="0" t="inlineStr">
        <is>
          <t>NULL</t>
        </is>
      </c>
      <c r="C1590" s="0" t="inlineStr">
        <is>
          <t>NULL</t>
        </is>
      </c>
      <c r="D1590" s="0" t="inlineStr">
        <is>
          <t>NULL</t>
        </is>
      </c>
      <c r="E1590" s="0" t="inlineStr">
        <is>
          <t>NULL</t>
        </is>
      </c>
      <c r="F1590" s="0" t="inlineStr">
        <is>
          <t>NULL</t>
        </is>
      </c>
      <c r="G1590" s="0" t="inlineStr">
        <is>
          <t>NULL</t>
        </is>
      </c>
      <c r="H1590" s="0" t="inlineStr">
        <is>
          <t>NULL</t>
        </is>
      </c>
      <c r="I1590" s="0" t="inlineStr">
        <is>
          <t>NULL</t>
        </is>
      </c>
      <c r="J1590" s="0" t="inlineStr">
        <is>
          <t>NULL</t>
        </is>
      </c>
      <c r="K1590" s="0" t="inlineStr">
        <is>
          <t>YES! 	 c_image3列源备映射正确，源端为image 2147483647位	期望更改为image	实际备端为image 2147483647位</t>
        </is>
      </c>
    </row>
    <row r="1591">
      <c r="K1591" s="0" t="inlineStr">
        <is>
          <t>~ 空表</t>
        </is>
      </c>
    </row>
    <row r="1592">
      <c r="A1592" s="0" t="inlineStr">
        <is>
          <t>info_datetimeoffset_dml_single_nopk_drp</t>
        </is>
      </c>
      <c r="K1592" s="0" t="inlineStr">
        <is>
          <t>[0;34m info_datetimeoffset_dml_single_nopk_drp [0m源备字段数相同，源端字段：9 	备端字段9</t>
        </is>
      </c>
      <c r="W1592" s="0" t="inlineStr">
        <is>
          <t>YES 源备无差异</t>
        </is>
      </c>
      <c r="X1592" s="0">
        <f>A1592</f>
        <v/>
      </c>
    </row>
    <row r="1593">
      <c r="B1593" s="0" t="inlineStr">
        <is>
          <t>NULL</t>
        </is>
      </c>
      <c r="C1593" s="0" t="inlineStr">
        <is>
          <t>NULL</t>
        </is>
      </c>
      <c r="D1593" s="0" t="inlineStr">
        <is>
          <t>NULL</t>
        </is>
      </c>
      <c r="E1593" s="0" t="inlineStr">
        <is>
          <t>NULL</t>
        </is>
      </c>
      <c r="F1593" s="0" t="inlineStr">
        <is>
          <t>NULL</t>
        </is>
      </c>
      <c r="G1593" s="0" t="inlineStr">
        <is>
          <t>NULL</t>
        </is>
      </c>
      <c r="H1593" s="0" t="inlineStr">
        <is>
          <t>NULL</t>
        </is>
      </c>
      <c r="I1593" s="0" t="inlineStr">
        <is>
          <t>NULL</t>
        </is>
      </c>
      <c r="J1593" s="0" t="inlineStr">
        <is>
          <t>NULL</t>
        </is>
      </c>
      <c r="K1593" s="0" t="inlineStr">
        <is>
          <t>YES! 	 id列源备映射正确，源端为int None位	期望更改为int	实际备端为int None位</t>
        </is>
      </c>
    </row>
    <row r="1594">
      <c r="B1594" s="0" t="inlineStr">
        <is>
          <t>NULL</t>
        </is>
      </c>
      <c r="C1594" s="0" t="inlineStr">
        <is>
          <t>NULL</t>
        </is>
      </c>
      <c r="D1594" s="0" t="inlineStr">
        <is>
          <t>NULL</t>
        </is>
      </c>
      <c r="E1594" s="0" t="inlineStr">
        <is>
          <t>NULL</t>
        </is>
      </c>
      <c r="F1594" s="0" t="inlineStr">
        <is>
          <t>NULL</t>
        </is>
      </c>
      <c r="G1594" s="0" t="inlineStr">
        <is>
          <t>NULL</t>
        </is>
      </c>
      <c r="H1594" s="0" t="inlineStr">
        <is>
          <t>NULL</t>
        </is>
      </c>
      <c r="I1594" s="0" t="inlineStr">
        <is>
          <t>NULL</t>
        </is>
      </c>
      <c r="J1594" s="0" t="inlineStr">
        <is>
          <t>NULL</t>
        </is>
      </c>
      <c r="K1594" s="0" t="inlineStr">
        <is>
          <t>no,len不存在</t>
        </is>
      </c>
    </row>
    <row r="1595">
      <c r="B1595" s="0" t="inlineStr">
        <is>
          <t>NULL</t>
        </is>
      </c>
      <c r="C1595" s="0" t="inlineStr">
        <is>
          <t>NULL</t>
        </is>
      </c>
      <c r="D1595" s="0" t="inlineStr">
        <is>
          <t>NULL</t>
        </is>
      </c>
      <c r="E1595" s="0" t="inlineStr">
        <is>
          <t>NULL</t>
        </is>
      </c>
      <c r="F1595" s="0" t="inlineStr">
        <is>
          <t>NULL</t>
        </is>
      </c>
      <c r="G1595" s="0" t="inlineStr">
        <is>
          <t>NULL</t>
        </is>
      </c>
      <c r="H1595" s="0" t="inlineStr">
        <is>
          <t>NULL</t>
        </is>
      </c>
      <c r="I1595" s="0" t="inlineStr">
        <is>
          <t>NULL</t>
        </is>
      </c>
      <c r="J1595" s="0" t="inlineStr">
        <is>
          <t>NULL</t>
        </is>
      </c>
      <c r="K1595" s="0" t="inlineStr">
        <is>
          <t>YES! 	 c_dtoffset_1列源备映射正确，源端为datetimeoffset None位	期望更改为datetimeoffset(n)	实际备端为datetimeoffset None位</t>
        </is>
      </c>
    </row>
    <row r="1596">
      <c r="B1596" s="0" t="inlineStr">
        <is>
          <t>NULL</t>
        </is>
      </c>
      <c r="C1596" s="0" t="inlineStr">
        <is>
          <t>NULL</t>
        </is>
      </c>
      <c r="D1596" s="0" t="inlineStr">
        <is>
          <t>NULL</t>
        </is>
      </c>
      <c r="E1596" s="0" t="inlineStr">
        <is>
          <t>NULL</t>
        </is>
      </c>
      <c r="F1596" s="0" t="inlineStr">
        <is>
          <t>NULL</t>
        </is>
      </c>
      <c r="G1596" s="0" t="inlineStr">
        <is>
          <t>NULL</t>
        </is>
      </c>
      <c r="H1596" s="0" t="inlineStr">
        <is>
          <t>NULL</t>
        </is>
      </c>
      <c r="I1596" s="0" t="inlineStr">
        <is>
          <t>NULL</t>
        </is>
      </c>
      <c r="J1596" s="0" t="inlineStr">
        <is>
          <t>NULL</t>
        </is>
      </c>
      <c r="K1596" s="0" t="inlineStr">
        <is>
          <t>YES! 	 c_dtoffset_2列源备映射正确，源端为datetimeoffset None位	期望更改为datetimeoffset(n)	实际备端为datetimeoffset None位</t>
        </is>
      </c>
    </row>
    <row r="1597">
      <c r="B1597" s="0" t="inlineStr">
        <is>
          <t>NULL</t>
        </is>
      </c>
      <c r="C1597" s="0" t="inlineStr">
        <is>
          <t>NULL</t>
        </is>
      </c>
      <c r="D1597" s="0" t="inlineStr">
        <is>
          <t>NULL</t>
        </is>
      </c>
      <c r="E1597" s="0" t="inlineStr">
        <is>
          <t>NULL</t>
        </is>
      </c>
      <c r="F1597" s="0" t="inlineStr">
        <is>
          <t>NULL</t>
        </is>
      </c>
      <c r="G1597" s="0" t="inlineStr">
        <is>
          <t>NULL</t>
        </is>
      </c>
      <c r="H1597" s="0" t="inlineStr">
        <is>
          <t>NULL</t>
        </is>
      </c>
      <c r="I1597" s="0" t="inlineStr">
        <is>
          <t>NULL</t>
        </is>
      </c>
      <c r="J1597" s="0" t="inlineStr">
        <is>
          <t>NULL</t>
        </is>
      </c>
      <c r="K1597" s="0" t="inlineStr">
        <is>
          <t>YES! 	 c_dtoffset_3列源备映射正确，源端为datetimeoffset None位	期望更改为datetimeoffset(n)	实际备端为datetimeoffset None位</t>
        </is>
      </c>
    </row>
    <row r="1598">
      <c r="B1598" s="0" t="inlineStr">
        <is>
          <t>NULL</t>
        </is>
      </c>
      <c r="C1598" s="0" t="inlineStr">
        <is>
          <t>NULL</t>
        </is>
      </c>
      <c r="D1598" s="0" t="inlineStr">
        <is>
          <t>NULL</t>
        </is>
      </c>
      <c r="E1598" s="0" t="inlineStr">
        <is>
          <t>NULL</t>
        </is>
      </c>
      <c r="F1598" s="0" t="inlineStr">
        <is>
          <t>NULL</t>
        </is>
      </c>
      <c r="G1598" s="0" t="inlineStr">
        <is>
          <t>NULL</t>
        </is>
      </c>
      <c r="H1598" s="0" t="inlineStr">
        <is>
          <t>NULL</t>
        </is>
      </c>
      <c r="I1598" s="0" t="inlineStr">
        <is>
          <t>NULL</t>
        </is>
      </c>
      <c r="J1598" s="0" t="inlineStr">
        <is>
          <t>NULL</t>
        </is>
      </c>
      <c r="K1598" s="0" t="inlineStr">
        <is>
          <t>YES! 	 c_dtoffset_4列源备映射正确，源端为datetimeoffset None位	期望更改为datetimeoffset(n)	实际备端为datetimeoffset None位</t>
        </is>
      </c>
    </row>
    <row r="1599">
      <c r="B1599" s="0" t="inlineStr">
        <is>
          <t>NULL</t>
        </is>
      </c>
      <c r="C1599" s="0" t="inlineStr">
        <is>
          <t>NULL</t>
        </is>
      </c>
      <c r="D1599" s="0" t="inlineStr">
        <is>
          <t>NULL</t>
        </is>
      </c>
      <c r="E1599" s="0" t="inlineStr">
        <is>
          <t>NULL</t>
        </is>
      </c>
      <c r="F1599" s="0" t="inlineStr">
        <is>
          <t>NULL</t>
        </is>
      </c>
      <c r="G1599" s="0" t="inlineStr">
        <is>
          <t>NULL</t>
        </is>
      </c>
      <c r="H1599" s="0" t="inlineStr">
        <is>
          <t>NULL</t>
        </is>
      </c>
      <c r="I1599" s="0" t="inlineStr">
        <is>
          <t>NULL</t>
        </is>
      </c>
      <c r="J1599" s="0" t="inlineStr">
        <is>
          <t>NULL</t>
        </is>
      </c>
      <c r="K1599" s="0" t="inlineStr">
        <is>
          <t>YES! 	 c_dtoffset_5列源备映射正确，源端为datetimeoffset None位	期望更改为datetimeoffset(n)	实际备端为datetimeoffset None位</t>
        </is>
      </c>
    </row>
    <row r="1600">
      <c r="B1600" s="0" t="inlineStr">
        <is>
          <t>NULL</t>
        </is>
      </c>
      <c r="C1600" s="0" t="inlineStr">
        <is>
          <t>NULL</t>
        </is>
      </c>
      <c r="D1600" s="0" t="inlineStr">
        <is>
          <t>NULL</t>
        </is>
      </c>
      <c r="E1600" s="0" t="inlineStr">
        <is>
          <t>NULL</t>
        </is>
      </c>
      <c r="F1600" s="0" t="inlineStr">
        <is>
          <t>NULL</t>
        </is>
      </c>
      <c r="G1600" s="0" t="inlineStr">
        <is>
          <t>NULL</t>
        </is>
      </c>
      <c r="H1600" s="0" t="inlineStr">
        <is>
          <t>NULL</t>
        </is>
      </c>
      <c r="I1600" s="0" t="inlineStr">
        <is>
          <t>NULL</t>
        </is>
      </c>
      <c r="J1600" s="0" t="inlineStr">
        <is>
          <t>NULL</t>
        </is>
      </c>
      <c r="K1600" s="0" t="inlineStr">
        <is>
          <t>YES! 	 c_dtoffset_6列源备映射正确，源端为datetimeoffset None位	期望更改为datetimeoffset(n)	实际备端为datetimeoffset None位</t>
        </is>
      </c>
    </row>
    <row r="1601">
      <c r="B1601" s="0" t="inlineStr">
        <is>
          <t>NULL</t>
        </is>
      </c>
      <c r="C1601" s="0" t="inlineStr">
        <is>
          <t>NULL</t>
        </is>
      </c>
      <c r="D1601" s="0" t="inlineStr">
        <is>
          <t>NULL</t>
        </is>
      </c>
      <c r="E1601" s="0" t="inlineStr">
        <is>
          <t>NULL</t>
        </is>
      </c>
      <c r="F1601" s="0" t="inlineStr">
        <is>
          <t>NULL</t>
        </is>
      </c>
      <c r="G1601" s="0" t="inlineStr">
        <is>
          <t>NULL</t>
        </is>
      </c>
      <c r="H1601" s="0" t="inlineStr">
        <is>
          <t>NULL</t>
        </is>
      </c>
      <c r="I1601" s="0" t="inlineStr">
        <is>
          <t>NULL</t>
        </is>
      </c>
      <c r="J1601" s="0" t="inlineStr">
        <is>
          <t>NULL</t>
        </is>
      </c>
      <c r="K1601" s="0" t="inlineStr">
        <is>
          <t>YES! 	 c_dtoffset列源备映射正确，源端为datetimeoffset None位	期望更改为datetimeoffset(n)	实际备端为datetimeoffset None位</t>
        </is>
      </c>
    </row>
    <row r="1602">
      <c r="A1602" s="0" t="inlineStr">
        <is>
          <t>info_varbinary_dml_single_pk_irp</t>
        </is>
      </c>
      <c r="K1602" s="0" t="inlineStr">
        <is>
          <t>[0;34m info_varbinary_dml_single_pk_irp [0m源备字段数相同，源端字段：4 	备端字段4</t>
        </is>
      </c>
      <c r="W1602" s="0" t="inlineStr">
        <is>
          <t>YES 源备无差异</t>
        </is>
      </c>
      <c r="X1602" s="0">
        <f>A1602</f>
        <v/>
      </c>
    </row>
    <row r="1603">
      <c r="B1603" s="0" t="inlineStr">
        <is>
          <t>YES</t>
        </is>
      </c>
      <c r="C1603" s="0" t="inlineStr">
        <is>
          <t>NULL</t>
        </is>
      </c>
      <c r="D1603" s="0" t="inlineStr">
        <is>
          <t>NULL</t>
        </is>
      </c>
      <c r="E1603" s="0" t="inlineStr">
        <is>
          <t>NULL</t>
        </is>
      </c>
      <c r="F1603" s="0" t="inlineStr">
        <is>
          <t>NULL</t>
        </is>
      </c>
      <c r="G1603" s="0" t="inlineStr">
        <is>
          <t>NULL</t>
        </is>
      </c>
      <c r="H1603" s="0" t="inlineStr">
        <is>
          <t>NULL</t>
        </is>
      </c>
      <c r="I1603" s="0" t="inlineStr">
        <is>
          <t>YES!PK__info_var__3213E83F517D3015</t>
        </is>
      </c>
      <c r="J1603" s="0" t="inlineStr">
        <is>
          <t>YES! 主键相关索引</t>
        </is>
      </c>
      <c r="K1603" s="0" t="inlineStr">
        <is>
          <t>YES! 	 id列源备映射正确，源端为int None位	期望更改为int	实际备端为int None位</t>
        </is>
      </c>
    </row>
    <row r="1604">
      <c r="B1604" s="0" t="inlineStr">
        <is>
          <t>NULL</t>
        </is>
      </c>
      <c r="C1604" s="0" t="inlineStr">
        <is>
          <t>NULL</t>
        </is>
      </c>
      <c r="D1604" s="0" t="inlineStr">
        <is>
          <t>NULL</t>
        </is>
      </c>
      <c r="E1604" s="0" t="inlineStr">
        <is>
          <t>NULL</t>
        </is>
      </c>
      <c r="F1604" s="0" t="inlineStr">
        <is>
          <t>NULL</t>
        </is>
      </c>
      <c r="G1604" s="0" t="inlineStr">
        <is>
          <t>NULL</t>
        </is>
      </c>
      <c r="H1604" s="0" t="inlineStr">
        <is>
          <t>NULL</t>
        </is>
      </c>
      <c r="I1604" s="0" t="inlineStr">
        <is>
          <t>NULL</t>
        </is>
      </c>
      <c r="J1604" s="0" t="inlineStr">
        <is>
          <t>NULL</t>
        </is>
      </c>
      <c r="K1604" s="0" t="inlineStr">
        <is>
          <t>YES! 	 c_varbinary列源备映射正确，源端为varbinary 1位	期望更改为varbinary(n)	实际备端为varbinary 1位</t>
        </is>
      </c>
    </row>
    <row r="1605">
      <c r="B1605" s="0" t="inlineStr">
        <is>
          <t>NULL</t>
        </is>
      </c>
      <c r="C1605" s="0" t="inlineStr">
        <is>
          <t>NULL</t>
        </is>
      </c>
      <c r="D1605" s="0" t="inlineStr">
        <is>
          <t>NULL</t>
        </is>
      </c>
      <c r="E1605" s="0" t="inlineStr">
        <is>
          <t>NULL</t>
        </is>
      </c>
      <c r="F1605" s="0" t="inlineStr">
        <is>
          <t>NULL</t>
        </is>
      </c>
      <c r="G1605" s="0" t="inlineStr">
        <is>
          <t>NULL</t>
        </is>
      </c>
      <c r="H1605" s="0" t="inlineStr">
        <is>
          <t>NULL</t>
        </is>
      </c>
      <c r="I1605" s="0" t="inlineStr">
        <is>
          <t>NULL</t>
        </is>
      </c>
      <c r="J1605" s="0" t="inlineStr">
        <is>
          <t>NULL</t>
        </is>
      </c>
      <c r="K1605" s="0" t="inlineStr">
        <is>
          <t>YES! 	 c_varbinary_100列源备映射正确，源端为varbinary 100位	期望更改为varbinary(n)	实际备端为varbinary 100位</t>
        </is>
      </c>
    </row>
    <row r="1606">
      <c r="B1606" s="0" t="inlineStr">
        <is>
          <t>NULL</t>
        </is>
      </c>
      <c r="C1606" s="0" t="inlineStr">
        <is>
          <t>NULL</t>
        </is>
      </c>
      <c r="D1606" s="0" t="inlineStr">
        <is>
          <t>NULL</t>
        </is>
      </c>
      <c r="E1606" s="0" t="inlineStr">
        <is>
          <t>NULL</t>
        </is>
      </c>
      <c r="F1606" s="0" t="inlineStr">
        <is>
          <t>NULL</t>
        </is>
      </c>
      <c r="G1606" s="0" t="inlineStr">
        <is>
          <t>NULL</t>
        </is>
      </c>
      <c r="H1606" s="0" t="inlineStr">
        <is>
          <t>NULL</t>
        </is>
      </c>
      <c r="I1606" s="0" t="inlineStr">
        <is>
          <t>NULL</t>
        </is>
      </c>
      <c r="J1606" s="0" t="inlineStr">
        <is>
          <t>NULL</t>
        </is>
      </c>
      <c r="K1606" s="0" t="inlineStr">
        <is>
          <t>YES! 	 c_varbinary_8000列源备映射正确，源端为varbinary 8000位	期望更改为varbinary(n)	实际备端为varbinary 8000位</t>
        </is>
      </c>
    </row>
    <row r="1607">
      <c r="A1607" s="0" t="inlineStr">
        <is>
          <t>info_datetimeoffset_dml_single_nopk</t>
        </is>
      </c>
      <c r="K1607" s="0" t="inlineStr">
        <is>
          <t>[0;34m info_datetimeoffset_dml_single_nopk [0m源备字段数相同，源端字段：9 	备端字段9</t>
        </is>
      </c>
      <c r="W1607" s="0" t="inlineStr">
        <is>
          <t>YES 源备无差异</t>
        </is>
      </c>
      <c r="X1607" s="0">
        <f>A1607</f>
        <v/>
      </c>
    </row>
    <row r="1608">
      <c r="B1608" s="0" t="inlineStr">
        <is>
          <t>NULL</t>
        </is>
      </c>
      <c r="C1608" s="0" t="inlineStr">
        <is>
          <t>NULL</t>
        </is>
      </c>
      <c r="D1608" s="0" t="inlineStr">
        <is>
          <t>NULL</t>
        </is>
      </c>
      <c r="E1608" s="0" t="inlineStr">
        <is>
          <t>NULL</t>
        </is>
      </c>
      <c r="F1608" s="0" t="inlineStr">
        <is>
          <t>NULL</t>
        </is>
      </c>
      <c r="G1608" s="0" t="inlineStr">
        <is>
          <t>NULL</t>
        </is>
      </c>
      <c r="H1608" s="0" t="inlineStr">
        <is>
          <t>NULL</t>
        </is>
      </c>
      <c r="I1608" s="0" t="inlineStr">
        <is>
          <t>NULL</t>
        </is>
      </c>
      <c r="J1608" s="0" t="inlineStr">
        <is>
          <t>NULL</t>
        </is>
      </c>
      <c r="K1608" s="0" t="inlineStr">
        <is>
          <t>YES! 	 id列源备映射正确，源端为int None位	期望更改为int	实际备端为int None位</t>
        </is>
      </c>
    </row>
    <row r="1609">
      <c r="B1609" s="0" t="inlineStr">
        <is>
          <t>NULL</t>
        </is>
      </c>
      <c r="C1609" s="0" t="inlineStr">
        <is>
          <t>NULL</t>
        </is>
      </c>
      <c r="D1609" s="0" t="inlineStr">
        <is>
          <t>NULL</t>
        </is>
      </c>
      <c r="E1609" s="0" t="inlineStr">
        <is>
          <t>NULL</t>
        </is>
      </c>
      <c r="F1609" s="0" t="inlineStr">
        <is>
          <t>NULL</t>
        </is>
      </c>
      <c r="G1609" s="0" t="inlineStr">
        <is>
          <t>NULL</t>
        </is>
      </c>
      <c r="H1609" s="0" t="inlineStr">
        <is>
          <t>NULL</t>
        </is>
      </c>
      <c r="I1609" s="0" t="inlineStr">
        <is>
          <t>NULL</t>
        </is>
      </c>
      <c r="J1609" s="0" t="inlineStr">
        <is>
          <t>NULL</t>
        </is>
      </c>
      <c r="K1609" s="0" t="inlineStr">
        <is>
          <t>no,len不存在</t>
        </is>
      </c>
    </row>
    <row r="1610">
      <c r="B1610" s="0" t="inlineStr">
        <is>
          <t>NULL</t>
        </is>
      </c>
      <c r="C1610" s="0" t="inlineStr">
        <is>
          <t>NULL</t>
        </is>
      </c>
      <c r="D1610" s="0" t="inlineStr">
        <is>
          <t>NULL</t>
        </is>
      </c>
      <c r="E1610" s="0" t="inlineStr">
        <is>
          <t>NULL</t>
        </is>
      </c>
      <c r="F1610" s="0" t="inlineStr">
        <is>
          <t>NULL</t>
        </is>
      </c>
      <c r="G1610" s="0" t="inlineStr">
        <is>
          <t>NULL</t>
        </is>
      </c>
      <c r="H1610" s="0" t="inlineStr">
        <is>
          <t>NULL</t>
        </is>
      </c>
      <c r="I1610" s="0" t="inlineStr">
        <is>
          <t>NULL</t>
        </is>
      </c>
      <c r="J1610" s="0" t="inlineStr">
        <is>
          <t>NULL</t>
        </is>
      </c>
      <c r="K1610" s="0" t="inlineStr">
        <is>
          <t>YES! 	 c_dtoffset_1列源备映射正确，源端为datetimeoffset None位	期望更改为datetimeoffset(n)	实际备端为datetimeoffset None位</t>
        </is>
      </c>
    </row>
    <row r="1611">
      <c r="B1611" s="0" t="inlineStr">
        <is>
          <t>NULL</t>
        </is>
      </c>
      <c r="C1611" s="0" t="inlineStr">
        <is>
          <t>NULL</t>
        </is>
      </c>
      <c r="D1611" s="0" t="inlineStr">
        <is>
          <t>NULL</t>
        </is>
      </c>
      <c r="E1611" s="0" t="inlineStr">
        <is>
          <t>NULL</t>
        </is>
      </c>
      <c r="F1611" s="0" t="inlineStr">
        <is>
          <t>NULL</t>
        </is>
      </c>
      <c r="G1611" s="0" t="inlineStr">
        <is>
          <t>NULL</t>
        </is>
      </c>
      <c r="H1611" s="0" t="inlineStr">
        <is>
          <t>NULL</t>
        </is>
      </c>
      <c r="I1611" s="0" t="inlineStr">
        <is>
          <t>NULL</t>
        </is>
      </c>
      <c r="J1611" s="0" t="inlineStr">
        <is>
          <t>NULL</t>
        </is>
      </c>
      <c r="K1611" s="0" t="inlineStr">
        <is>
          <t>YES! 	 c_dtoffset_2列源备映射正确，源端为datetimeoffset None位	期望更改为datetimeoffset(n)	实际备端为datetimeoffset None位</t>
        </is>
      </c>
    </row>
    <row r="1612">
      <c r="B1612" s="0" t="inlineStr">
        <is>
          <t>NULL</t>
        </is>
      </c>
      <c r="C1612" s="0" t="inlineStr">
        <is>
          <t>NULL</t>
        </is>
      </c>
      <c r="D1612" s="0" t="inlineStr">
        <is>
          <t>NULL</t>
        </is>
      </c>
      <c r="E1612" s="0" t="inlineStr">
        <is>
          <t>NULL</t>
        </is>
      </c>
      <c r="F1612" s="0" t="inlineStr">
        <is>
          <t>NULL</t>
        </is>
      </c>
      <c r="G1612" s="0" t="inlineStr">
        <is>
          <t>NULL</t>
        </is>
      </c>
      <c r="H1612" s="0" t="inlineStr">
        <is>
          <t>NULL</t>
        </is>
      </c>
      <c r="I1612" s="0" t="inlineStr">
        <is>
          <t>NULL</t>
        </is>
      </c>
      <c r="J1612" s="0" t="inlineStr">
        <is>
          <t>NULL</t>
        </is>
      </c>
      <c r="K1612" s="0" t="inlineStr">
        <is>
          <t>YES! 	 c_dtoffset_3列源备映射正确，源端为datetimeoffset None位	期望更改为datetimeoffset(n)	实际备端为datetimeoffset None位</t>
        </is>
      </c>
    </row>
    <row r="1613">
      <c r="B1613" s="0" t="inlineStr">
        <is>
          <t>NULL</t>
        </is>
      </c>
      <c r="C1613" s="0" t="inlineStr">
        <is>
          <t>NULL</t>
        </is>
      </c>
      <c r="D1613" s="0" t="inlineStr">
        <is>
          <t>NULL</t>
        </is>
      </c>
      <c r="E1613" s="0" t="inlineStr">
        <is>
          <t>NULL</t>
        </is>
      </c>
      <c r="F1613" s="0" t="inlineStr">
        <is>
          <t>NULL</t>
        </is>
      </c>
      <c r="G1613" s="0" t="inlineStr">
        <is>
          <t>NULL</t>
        </is>
      </c>
      <c r="H1613" s="0" t="inlineStr">
        <is>
          <t>NULL</t>
        </is>
      </c>
      <c r="I1613" s="0" t="inlineStr">
        <is>
          <t>NULL</t>
        </is>
      </c>
      <c r="J1613" s="0" t="inlineStr">
        <is>
          <t>NULL</t>
        </is>
      </c>
      <c r="K1613" s="0" t="inlineStr">
        <is>
          <t>YES! 	 c_dtoffset_4列源备映射正确，源端为datetimeoffset None位	期望更改为datetimeoffset(n)	实际备端为datetimeoffset None位</t>
        </is>
      </c>
    </row>
    <row r="1614">
      <c r="B1614" s="0" t="inlineStr">
        <is>
          <t>NULL</t>
        </is>
      </c>
      <c r="C1614" s="0" t="inlineStr">
        <is>
          <t>NULL</t>
        </is>
      </c>
      <c r="D1614" s="0" t="inlineStr">
        <is>
          <t>NULL</t>
        </is>
      </c>
      <c r="E1614" s="0" t="inlineStr">
        <is>
          <t>NULL</t>
        </is>
      </c>
      <c r="F1614" s="0" t="inlineStr">
        <is>
          <t>NULL</t>
        </is>
      </c>
      <c r="G1614" s="0" t="inlineStr">
        <is>
          <t>NULL</t>
        </is>
      </c>
      <c r="H1614" s="0" t="inlineStr">
        <is>
          <t>NULL</t>
        </is>
      </c>
      <c r="I1614" s="0" t="inlineStr">
        <is>
          <t>NULL</t>
        </is>
      </c>
      <c r="J1614" s="0" t="inlineStr">
        <is>
          <t>NULL</t>
        </is>
      </c>
      <c r="K1614" s="0" t="inlineStr">
        <is>
          <t>YES! 	 c_dtoffset_5列源备映射正确，源端为datetimeoffset None位	期望更改为datetimeoffset(n)	实际备端为datetimeoffset None位</t>
        </is>
      </c>
    </row>
    <row r="1615">
      <c r="B1615" s="0" t="inlineStr">
        <is>
          <t>NULL</t>
        </is>
      </c>
      <c r="C1615" s="0" t="inlineStr">
        <is>
          <t>NULL</t>
        </is>
      </c>
      <c r="D1615" s="0" t="inlineStr">
        <is>
          <t>NULL</t>
        </is>
      </c>
      <c r="E1615" s="0" t="inlineStr">
        <is>
          <t>NULL</t>
        </is>
      </c>
      <c r="F1615" s="0" t="inlineStr">
        <is>
          <t>NULL</t>
        </is>
      </c>
      <c r="G1615" s="0" t="inlineStr">
        <is>
          <t>NULL</t>
        </is>
      </c>
      <c r="H1615" s="0" t="inlineStr">
        <is>
          <t>NULL</t>
        </is>
      </c>
      <c r="I1615" s="0" t="inlineStr">
        <is>
          <t>NULL</t>
        </is>
      </c>
      <c r="J1615" s="0" t="inlineStr">
        <is>
          <t>NULL</t>
        </is>
      </c>
      <c r="K1615" s="0" t="inlineStr">
        <is>
          <t>YES! 	 c_dtoffset_6列源备映射正确，源端为datetimeoffset None位	期望更改为datetimeoffset(n)	实际备端为datetimeoffset None位</t>
        </is>
      </c>
    </row>
    <row r="1616">
      <c r="B1616" s="0" t="inlineStr">
        <is>
          <t>NULL</t>
        </is>
      </c>
      <c r="C1616" s="0" t="inlineStr">
        <is>
          <t>NULL</t>
        </is>
      </c>
      <c r="D1616" s="0" t="inlineStr">
        <is>
          <t>NULL</t>
        </is>
      </c>
      <c r="E1616" s="0" t="inlineStr">
        <is>
          <t>NULL</t>
        </is>
      </c>
      <c r="F1616" s="0" t="inlineStr">
        <is>
          <t>NULL</t>
        </is>
      </c>
      <c r="G1616" s="0" t="inlineStr">
        <is>
          <t>NULL</t>
        </is>
      </c>
      <c r="H1616" s="0" t="inlineStr">
        <is>
          <t>NULL</t>
        </is>
      </c>
      <c r="I1616" s="0" t="inlineStr">
        <is>
          <t>NULL</t>
        </is>
      </c>
      <c r="J1616" s="0" t="inlineStr">
        <is>
          <t>NULL</t>
        </is>
      </c>
      <c r="K1616" s="0" t="inlineStr">
        <is>
          <t>YES! 	 c_dtoffset列源备映射正确，源端为datetimeoffset None位	期望更改为datetimeoffset(n)	实际备端为datetimeoffset None位</t>
        </is>
      </c>
    </row>
    <row r="1617">
      <c r="A1617" s="0" t="inlineStr">
        <is>
          <t>info_varcharmax_dml_batch1_pk_drp2</t>
        </is>
      </c>
      <c r="K1617" s="0" t="inlineStr">
        <is>
          <t>[0;34m info_varcharmax_dml_batch1_pk_drp2 [0m源备字段数相同，源端字段：3 	备端字段3</t>
        </is>
      </c>
      <c r="W1617" s="0" t="inlineStr">
        <is>
          <t>YES 源备无差异</t>
        </is>
      </c>
      <c r="X1617" s="0">
        <f>A1617</f>
        <v/>
      </c>
    </row>
    <row r="1618">
      <c r="B1618" s="0" t="inlineStr">
        <is>
          <t>YES</t>
        </is>
      </c>
      <c r="C1618" s="0" t="inlineStr">
        <is>
          <t>NULL</t>
        </is>
      </c>
      <c r="D1618" s="0" t="inlineStr">
        <is>
          <t>NULL</t>
        </is>
      </c>
      <c r="E1618" s="0" t="inlineStr">
        <is>
          <t>NULL</t>
        </is>
      </c>
      <c r="F1618" s="0" t="inlineStr">
        <is>
          <t>NULL</t>
        </is>
      </c>
      <c r="G1618" s="0" t="inlineStr">
        <is>
          <t>NULL</t>
        </is>
      </c>
      <c r="H1618" s="0" t="inlineStr">
        <is>
          <t>NULL</t>
        </is>
      </c>
      <c r="I1618" s="0" t="inlineStr">
        <is>
          <t>YES!PK__info_var__3213E83FD6AC8B5C</t>
        </is>
      </c>
      <c r="J1618" s="0" t="inlineStr">
        <is>
          <t>YES! 主键相关索引</t>
        </is>
      </c>
      <c r="K1618" s="0" t="inlineStr">
        <is>
          <t>YES! 	 id列源备映射正确，源端为int None位	期望更改为int	实际备端为int None位</t>
        </is>
      </c>
    </row>
    <row r="1619">
      <c r="B1619" s="0" t="inlineStr">
        <is>
          <t>NULL</t>
        </is>
      </c>
      <c r="C1619" s="0" t="inlineStr">
        <is>
          <t>NULL</t>
        </is>
      </c>
      <c r="D1619" s="0" t="inlineStr">
        <is>
          <t>NULL</t>
        </is>
      </c>
      <c r="E1619" s="0" t="inlineStr">
        <is>
          <t>NULL</t>
        </is>
      </c>
      <c r="F1619" s="0" t="inlineStr">
        <is>
          <t>NULL</t>
        </is>
      </c>
      <c r="G1619" s="0" t="inlineStr">
        <is>
          <t>NULL</t>
        </is>
      </c>
      <c r="H1619" s="0" t="inlineStr">
        <is>
          <t>NULL</t>
        </is>
      </c>
      <c r="I1619" s="0" t="inlineStr">
        <is>
          <t>NULL</t>
        </is>
      </c>
      <c r="J1619" s="0" t="inlineStr">
        <is>
          <t>NULL</t>
        </is>
      </c>
      <c r="K1619" s="0" t="inlineStr">
        <is>
          <t>YES! 	 c_varchar_max列源备映射正确，源端为varchar -1位	期望更改为varchar(n)	实际备端为varchar -1位</t>
        </is>
      </c>
    </row>
    <row r="1620">
      <c r="B1620" s="0" t="inlineStr">
        <is>
          <t>NULL</t>
        </is>
      </c>
      <c r="C1620" s="0" t="inlineStr">
        <is>
          <t>NULL</t>
        </is>
      </c>
      <c r="D1620" s="0" t="inlineStr">
        <is>
          <t>NULL</t>
        </is>
      </c>
      <c r="E1620" s="0" t="inlineStr">
        <is>
          <t>NULL</t>
        </is>
      </c>
      <c r="F1620" s="0" t="inlineStr">
        <is>
          <t>NULL</t>
        </is>
      </c>
      <c r="G1620" s="0" t="inlineStr">
        <is>
          <t>NULL</t>
        </is>
      </c>
      <c r="H1620" s="0" t="inlineStr">
        <is>
          <t>NULL</t>
        </is>
      </c>
      <c r="I1620" s="0" t="inlineStr">
        <is>
          <t>NULL</t>
        </is>
      </c>
      <c r="J1620" s="0" t="inlineStr">
        <is>
          <t>NULL</t>
        </is>
      </c>
      <c r="K1620" s="0" t="inlineStr">
        <is>
          <t>YES! 	 c_nvarchar_max列源备映射正确，源端为nvarchar -1位	期望更改为nvarchar(n)	实际备端为nvarchar -1位</t>
        </is>
      </c>
    </row>
    <row r="1621">
      <c r="K1621" s="0" t="inlineStr">
        <is>
          <t>~ 空表</t>
        </is>
      </c>
    </row>
    <row r="1622">
      <c r="A1622" s="0" t="inlineStr">
        <is>
          <t>info_timestamp_dml_single_pk_drp</t>
        </is>
      </c>
      <c r="K1622" s="0" t="inlineStr">
        <is>
          <t>[0;34m info_timestamp_dml_single_pk_drp [0m源备字段数相同，源端字段：2 	备端字段2</t>
        </is>
      </c>
      <c r="W1622" s="0" t="inlineStr">
        <is>
          <t>YES 源备无差异</t>
        </is>
      </c>
      <c r="X1622" s="0">
        <f>A1622</f>
        <v/>
      </c>
    </row>
    <row r="1623">
      <c r="B1623" s="0" t="inlineStr">
        <is>
          <t>YES</t>
        </is>
      </c>
      <c r="C1623" s="0" t="inlineStr">
        <is>
          <t>NULL</t>
        </is>
      </c>
      <c r="D1623" s="0" t="inlineStr">
        <is>
          <t>NULL</t>
        </is>
      </c>
      <c r="E1623" s="0" t="inlineStr">
        <is>
          <t>NULL</t>
        </is>
      </c>
      <c r="F1623" s="0" t="inlineStr">
        <is>
          <t>NULL</t>
        </is>
      </c>
      <c r="G1623" s="0" t="inlineStr">
        <is>
          <t>NULL</t>
        </is>
      </c>
      <c r="H1623" s="0" t="inlineStr">
        <is>
          <t>NULL</t>
        </is>
      </c>
      <c r="I1623" s="0" t="inlineStr">
        <is>
          <t>YES!PK__info_tim__3213E83FED4B4672</t>
        </is>
      </c>
      <c r="J1623" s="0" t="inlineStr">
        <is>
          <t>YES! 主键相关索引</t>
        </is>
      </c>
      <c r="K1623" s="0" t="inlineStr">
        <is>
          <t>YES! 	 id列源备映射正确，源端为int None位	期望更改为int	实际备端为int None位</t>
        </is>
      </c>
    </row>
    <row r="1624">
      <c r="B1624" s="0" t="inlineStr">
        <is>
          <t>NULL</t>
        </is>
      </c>
      <c r="C1624" s="0" t="inlineStr">
        <is>
          <t>NULL</t>
        </is>
      </c>
      <c r="D1624" s="0" t="inlineStr">
        <is>
          <t>NULL</t>
        </is>
      </c>
      <c r="E1624" s="0" t="inlineStr">
        <is>
          <t>NULL</t>
        </is>
      </c>
      <c r="F1624" s="0" t="inlineStr">
        <is>
          <t>NULL</t>
        </is>
      </c>
      <c r="G1624" s="0" t="inlineStr">
        <is>
          <t>NULL</t>
        </is>
      </c>
      <c r="H1624" s="0" t="inlineStr">
        <is>
          <t>NULL</t>
        </is>
      </c>
      <c r="I1624" s="0" t="inlineStr">
        <is>
          <t>NULL</t>
        </is>
      </c>
      <c r="J1624" s="0" t="inlineStr">
        <is>
          <t>NULL</t>
        </is>
      </c>
      <c r="K1624" s="0" t="inlineStr">
        <is>
          <t>YES! 	 c_tiemstamp列源备映射正确，源端为timestamp None位	期望更改为timestamp	实际备端为timestamp None位</t>
        </is>
      </c>
    </row>
    <row r="1625">
      <c r="A1625" s="0" t="inlineStr">
        <is>
          <t>info_varbinary_dml_single_pk_urp</t>
        </is>
      </c>
      <c r="K1625" s="0" t="inlineStr">
        <is>
          <t>[0;34m info_varbinary_dml_single_pk_urp [0m源备字段数相同，源端字段：4 	备端字段4</t>
        </is>
      </c>
      <c r="W1625" s="0" t="inlineStr">
        <is>
          <t>YES 源备无差异</t>
        </is>
      </c>
      <c r="X1625" s="0">
        <f>A1625</f>
        <v/>
      </c>
    </row>
    <row r="1626">
      <c r="B1626" s="0" t="inlineStr">
        <is>
          <t>YES</t>
        </is>
      </c>
      <c r="C1626" s="0" t="inlineStr">
        <is>
          <t>NULL</t>
        </is>
      </c>
      <c r="D1626" s="0" t="inlineStr">
        <is>
          <t>NULL</t>
        </is>
      </c>
      <c r="E1626" s="0" t="inlineStr">
        <is>
          <t>NULL</t>
        </is>
      </c>
      <c r="F1626" s="0" t="inlineStr">
        <is>
          <t>NULL</t>
        </is>
      </c>
      <c r="G1626" s="0" t="inlineStr">
        <is>
          <t>NULL</t>
        </is>
      </c>
      <c r="H1626" s="0" t="inlineStr">
        <is>
          <t>NULL</t>
        </is>
      </c>
      <c r="I1626" s="0" t="inlineStr">
        <is>
          <t>YES!PK__info_var__3213E83FC68DCD0E</t>
        </is>
      </c>
      <c r="J1626" s="0" t="inlineStr">
        <is>
          <t>YES! 主键相关索引</t>
        </is>
      </c>
      <c r="K1626" s="0" t="inlineStr">
        <is>
          <t>YES! 	 id列源备映射正确，源端为int None位	期望更改为int	实际备端为int None位</t>
        </is>
      </c>
    </row>
    <row r="1627">
      <c r="B1627" s="0" t="inlineStr">
        <is>
          <t>NULL</t>
        </is>
      </c>
      <c r="C1627" s="0" t="inlineStr">
        <is>
          <t>NULL</t>
        </is>
      </c>
      <c r="D1627" s="0" t="inlineStr">
        <is>
          <t>NULL</t>
        </is>
      </c>
      <c r="E1627" s="0" t="inlineStr">
        <is>
          <t>NULL</t>
        </is>
      </c>
      <c r="F1627" s="0" t="inlineStr">
        <is>
          <t>NULL</t>
        </is>
      </c>
      <c r="G1627" s="0" t="inlineStr">
        <is>
          <t>NULL</t>
        </is>
      </c>
      <c r="H1627" s="0" t="inlineStr">
        <is>
          <t>NULL</t>
        </is>
      </c>
      <c r="I1627" s="0" t="inlineStr">
        <is>
          <t>NULL</t>
        </is>
      </c>
      <c r="J1627" s="0" t="inlineStr">
        <is>
          <t>NULL</t>
        </is>
      </c>
      <c r="K1627" s="0" t="inlineStr">
        <is>
          <t>YES! 	 c_varbinary列源备映射正确，源端为varbinary 1位	期望更改为varbinary(n)	实际备端为varbinary 1位</t>
        </is>
      </c>
    </row>
    <row r="1628">
      <c r="B1628" s="0" t="inlineStr">
        <is>
          <t>NULL</t>
        </is>
      </c>
      <c r="C1628" s="0" t="inlineStr">
        <is>
          <t>NULL</t>
        </is>
      </c>
      <c r="D1628" s="0" t="inlineStr">
        <is>
          <t>NULL</t>
        </is>
      </c>
      <c r="E1628" s="0" t="inlineStr">
        <is>
          <t>NULL</t>
        </is>
      </c>
      <c r="F1628" s="0" t="inlineStr">
        <is>
          <t>NULL</t>
        </is>
      </c>
      <c r="G1628" s="0" t="inlineStr">
        <is>
          <t>NULL</t>
        </is>
      </c>
      <c r="H1628" s="0" t="inlineStr">
        <is>
          <t>NULL</t>
        </is>
      </c>
      <c r="I1628" s="0" t="inlineStr">
        <is>
          <t>NULL</t>
        </is>
      </c>
      <c r="J1628" s="0" t="inlineStr">
        <is>
          <t>NULL</t>
        </is>
      </c>
      <c r="K1628" s="0" t="inlineStr">
        <is>
          <t>YES! 	 c_varbinary_100列源备映射正确，源端为varbinary 100位	期望更改为varbinary(n)	实际备端为varbinary 100位</t>
        </is>
      </c>
    </row>
    <row r="1629">
      <c r="B1629" s="0" t="inlineStr">
        <is>
          <t>NULL</t>
        </is>
      </c>
      <c r="C1629" s="0" t="inlineStr">
        <is>
          <t>NULL</t>
        </is>
      </c>
      <c r="D1629" s="0" t="inlineStr">
        <is>
          <t>NULL</t>
        </is>
      </c>
      <c r="E1629" s="0" t="inlineStr">
        <is>
          <t>NULL</t>
        </is>
      </c>
      <c r="F1629" s="0" t="inlineStr">
        <is>
          <t>NULL</t>
        </is>
      </c>
      <c r="G1629" s="0" t="inlineStr">
        <is>
          <t>NULL</t>
        </is>
      </c>
      <c r="H1629" s="0" t="inlineStr">
        <is>
          <t>NULL</t>
        </is>
      </c>
      <c r="I1629" s="0" t="inlineStr">
        <is>
          <t>NULL</t>
        </is>
      </c>
      <c r="J1629" s="0" t="inlineStr">
        <is>
          <t>NULL</t>
        </is>
      </c>
      <c r="K1629" s="0" t="inlineStr">
        <is>
          <t>YES! 	 c_varbinary_8000列源备映射正确，源端为varbinary 8000位	期望更改为varbinary(n)	实际备端为varbinary 8000位</t>
        </is>
      </c>
    </row>
    <row r="1630">
      <c r="A1630" s="0" t="inlineStr">
        <is>
          <t>info_varcharmax_dml_batch1_pk</t>
        </is>
      </c>
      <c r="K1630" s="0" t="inlineStr">
        <is>
          <t>[0;34m info_varcharmax_dml_batch1_pk [0m源备字段数相同，源端字段：3 	备端字段3</t>
        </is>
      </c>
      <c r="W1630" s="0" t="inlineStr">
        <is>
          <t>YES 源备无差异</t>
        </is>
      </c>
      <c r="X1630" s="0">
        <f>A1630</f>
        <v/>
      </c>
    </row>
    <row r="1631">
      <c r="B1631" s="0" t="inlineStr">
        <is>
          <t>YES</t>
        </is>
      </c>
      <c r="C1631" s="0" t="inlineStr">
        <is>
          <t>NULL</t>
        </is>
      </c>
      <c r="D1631" s="0" t="inlineStr">
        <is>
          <t>NULL</t>
        </is>
      </c>
      <c r="E1631" s="0" t="inlineStr">
        <is>
          <t>NULL</t>
        </is>
      </c>
      <c r="F1631" s="0" t="inlineStr">
        <is>
          <t>NULL</t>
        </is>
      </c>
      <c r="G1631" s="0" t="inlineStr">
        <is>
          <t>NULL</t>
        </is>
      </c>
      <c r="H1631" s="0" t="inlineStr">
        <is>
          <t>NULL</t>
        </is>
      </c>
      <c r="I1631" s="0" t="inlineStr">
        <is>
          <t>YES!PK__info_var__3213E83F1E5F20A4</t>
        </is>
      </c>
      <c r="J1631" s="0" t="inlineStr">
        <is>
          <t>YES! 主键相关索引</t>
        </is>
      </c>
      <c r="K1631" s="0" t="inlineStr">
        <is>
          <t>YES! 	 id列源备映射正确，源端为int None位	期望更改为int	实际备端为int None位</t>
        </is>
      </c>
    </row>
    <row r="1632">
      <c r="B1632" s="0" t="inlineStr">
        <is>
          <t>NULL</t>
        </is>
      </c>
      <c r="C1632" s="0" t="inlineStr">
        <is>
          <t>NULL</t>
        </is>
      </c>
      <c r="D1632" s="0" t="inlineStr">
        <is>
          <t>NULL</t>
        </is>
      </c>
      <c r="E1632" s="0" t="inlineStr">
        <is>
          <t>NULL</t>
        </is>
      </c>
      <c r="F1632" s="0" t="inlineStr">
        <is>
          <t>NULL</t>
        </is>
      </c>
      <c r="G1632" s="0" t="inlineStr">
        <is>
          <t>NULL</t>
        </is>
      </c>
      <c r="H1632" s="0" t="inlineStr">
        <is>
          <t>NULL</t>
        </is>
      </c>
      <c r="I1632" s="0" t="inlineStr">
        <is>
          <t>NULL</t>
        </is>
      </c>
      <c r="J1632" s="0" t="inlineStr">
        <is>
          <t>NULL</t>
        </is>
      </c>
      <c r="K1632" s="0" t="inlineStr">
        <is>
          <t>YES! 	 c_varchar_max列源备映射正确，源端为varchar -1位	期望更改为varchar(n)	实际备端为varchar -1位</t>
        </is>
      </c>
    </row>
    <row r="1633">
      <c r="B1633" s="0" t="inlineStr">
        <is>
          <t>NULL</t>
        </is>
      </c>
      <c r="C1633" s="0" t="inlineStr">
        <is>
          <t>NULL</t>
        </is>
      </c>
      <c r="D1633" s="0" t="inlineStr">
        <is>
          <t>NULL</t>
        </is>
      </c>
      <c r="E1633" s="0" t="inlineStr">
        <is>
          <t>NULL</t>
        </is>
      </c>
      <c r="F1633" s="0" t="inlineStr">
        <is>
          <t>NULL</t>
        </is>
      </c>
      <c r="G1633" s="0" t="inlineStr">
        <is>
          <t>NULL</t>
        </is>
      </c>
      <c r="H1633" s="0" t="inlineStr">
        <is>
          <t>NULL</t>
        </is>
      </c>
      <c r="I1633" s="0" t="inlineStr">
        <is>
          <t>NULL</t>
        </is>
      </c>
      <c r="J1633" s="0" t="inlineStr">
        <is>
          <t>NULL</t>
        </is>
      </c>
      <c r="K1633" s="0" t="inlineStr">
        <is>
          <t>YES! 	 c_nvarchar_max列源备映射正确，源端为nvarchar -1位	期望更改为nvarchar(n)	实际备端为nvarchar -1位</t>
        </is>
      </c>
    </row>
    <row r="1634">
      <c r="K1634" s="0" t="inlineStr">
        <is>
          <t>~ 空表</t>
        </is>
      </c>
    </row>
    <row r="1635">
      <c r="A1635" s="0" t="inlineStr">
        <is>
          <t>info_uniqueidentifier_dml_single_pk_irp</t>
        </is>
      </c>
      <c r="K1635" s="0" t="inlineStr">
        <is>
          <t>[0;34m info_uniqueidentifier_dml_single_pk_irp [0m源备字段数相同，源端字段：2 	备端字段2</t>
        </is>
      </c>
      <c r="W1635" s="0" t="inlineStr">
        <is>
          <t>YES 源备无差异</t>
        </is>
      </c>
      <c r="X1635" s="0">
        <f>A1635</f>
        <v/>
      </c>
    </row>
    <row r="1636">
      <c r="B1636" s="0" t="inlineStr">
        <is>
          <t>YES</t>
        </is>
      </c>
      <c r="C1636" s="0" t="inlineStr">
        <is>
          <t>NULL</t>
        </is>
      </c>
      <c r="D1636" s="0" t="inlineStr">
        <is>
          <t>NULL</t>
        </is>
      </c>
      <c r="E1636" s="0" t="inlineStr">
        <is>
          <t>NULL</t>
        </is>
      </c>
      <c r="F1636" s="0" t="inlineStr">
        <is>
          <t>NULL</t>
        </is>
      </c>
      <c r="G1636" s="0" t="inlineStr">
        <is>
          <t>NULL</t>
        </is>
      </c>
      <c r="H1636" s="0" t="inlineStr">
        <is>
          <t>NULL</t>
        </is>
      </c>
      <c r="I1636" s="0" t="inlineStr">
        <is>
          <t>YES!PK__info_uni__3213E83F0A588E05</t>
        </is>
      </c>
      <c r="J1636" s="0" t="inlineStr">
        <is>
          <t>YES! 主键相关索引</t>
        </is>
      </c>
      <c r="K1636" s="0" t="inlineStr">
        <is>
          <t>YES! 	 id列源备映射正确，源端为int None位	期望更改为int	实际备端为int None位</t>
        </is>
      </c>
    </row>
    <row r="1637">
      <c r="B1637" s="0" t="inlineStr">
        <is>
          <t>NULL</t>
        </is>
      </c>
      <c r="C1637" s="0" t="inlineStr">
        <is>
          <t>NULL</t>
        </is>
      </c>
      <c r="D1637" s="0" t="inlineStr">
        <is>
          <t>NULL</t>
        </is>
      </c>
      <c r="E1637" s="0" t="inlineStr">
        <is>
          <t>NULL</t>
        </is>
      </c>
      <c r="F1637" s="0" t="inlineStr">
        <is>
          <t>NULL</t>
        </is>
      </c>
      <c r="G1637" s="0" t="inlineStr">
        <is>
          <t>NULL</t>
        </is>
      </c>
      <c r="H1637" s="0" t="inlineStr">
        <is>
          <t>NULL</t>
        </is>
      </c>
      <c r="I1637" s="0" t="inlineStr">
        <is>
          <t>NULL</t>
        </is>
      </c>
      <c r="J1637" s="0" t="inlineStr">
        <is>
          <t>NULL</t>
        </is>
      </c>
      <c r="K1637" s="0" t="inlineStr">
        <is>
          <t>YES! 	 c_uniqueidentifier列源备映射正确，源端为uniqueidentifier None位	期望更改为uniqueidentifier	实际备端为uniqueidentifier None位</t>
        </is>
      </c>
    </row>
    <row r="1638">
      <c r="A1638" s="0" t="inlineStr">
        <is>
          <t>info_varbinary_dml_single_pk_drp</t>
        </is>
      </c>
      <c r="K1638" s="0" t="inlineStr">
        <is>
          <t>[0;34m info_varbinary_dml_single_pk_drp [0m源备字段数相同，源端字段：4 	备端字段4</t>
        </is>
      </c>
      <c r="W1638" s="0" t="inlineStr">
        <is>
          <t>YES 源备无差异</t>
        </is>
      </c>
      <c r="X1638" s="0">
        <f>A1638</f>
        <v/>
      </c>
    </row>
    <row r="1639">
      <c r="B1639" s="0" t="inlineStr">
        <is>
          <t>YES</t>
        </is>
      </c>
      <c r="C1639" s="0" t="inlineStr">
        <is>
          <t>NULL</t>
        </is>
      </c>
      <c r="D1639" s="0" t="inlineStr">
        <is>
          <t>NULL</t>
        </is>
      </c>
      <c r="E1639" s="0" t="inlineStr">
        <is>
          <t>NULL</t>
        </is>
      </c>
      <c r="F1639" s="0" t="inlineStr">
        <is>
          <t>NULL</t>
        </is>
      </c>
      <c r="G1639" s="0" t="inlineStr">
        <is>
          <t>NULL</t>
        </is>
      </c>
      <c r="H1639" s="0" t="inlineStr">
        <is>
          <t>NULL</t>
        </is>
      </c>
      <c r="I1639" s="0" t="inlineStr">
        <is>
          <t>YES!PK__info_var__3213E83F2608C4C6</t>
        </is>
      </c>
      <c r="J1639" s="0" t="inlineStr">
        <is>
          <t>YES! 主键相关索引</t>
        </is>
      </c>
      <c r="K1639" s="0" t="inlineStr">
        <is>
          <t>YES! 	 id列源备映射正确，源端为int None位	期望更改为int	实际备端为int None位</t>
        </is>
      </c>
    </row>
    <row r="1640">
      <c r="B1640" s="0" t="inlineStr">
        <is>
          <t>NULL</t>
        </is>
      </c>
      <c r="C1640" s="0" t="inlineStr">
        <is>
          <t>NULL</t>
        </is>
      </c>
      <c r="D1640" s="0" t="inlineStr">
        <is>
          <t>NULL</t>
        </is>
      </c>
      <c r="E1640" s="0" t="inlineStr">
        <is>
          <t>NULL</t>
        </is>
      </c>
      <c r="F1640" s="0" t="inlineStr">
        <is>
          <t>NULL</t>
        </is>
      </c>
      <c r="G1640" s="0" t="inlineStr">
        <is>
          <t>NULL</t>
        </is>
      </c>
      <c r="H1640" s="0" t="inlineStr">
        <is>
          <t>NULL</t>
        </is>
      </c>
      <c r="I1640" s="0" t="inlineStr">
        <is>
          <t>NULL</t>
        </is>
      </c>
      <c r="J1640" s="0" t="inlineStr">
        <is>
          <t>NULL</t>
        </is>
      </c>
      <c r="K1640" s="0" t="inlineStr">
        <is>
          <t>YES! 	 c_varbinary列源备映射正确，源端为varbinary 1位	期望更改为varbinary(n)	实际备端为varbinary 1位</t>
        </is>
      </c>
    </row>
    <row r="1641">
      <c r="B1641" s="0" t="inlineStr">
        <is>
          <t>NULL</t>
        </is>
      </c>
      <c r="C1641" s="0" t="inlineStr">
        <is>
          <t>NULL</t>
        </is>
      </c>
      <c r="D1641" s="0" t="inlineStr">
        <is>
          <t>NULL</t>
        </is>
      </c>
      <c r="E1641" s="0" t="inlineStr">
        <is>
          <t>NULL</t>
        </is>
      </c>
      <c r="F1641" s="0" t="inlineStr">
        <is>
          <t>NULL</t>
        </is>
      </c>
      <c r="G1641" s="0" t="inlineStr">
        <is>
          <t>NULL</t>
        </is>
      </c>
      <c r="H1641" s="0" t="inlineStr">
        <is>
          <t>NULL</t>
        </is>
      </c>
      <c r="I1641" s="0" t="inlineStr">
        <is>
          <t>NULL</t>
        </is>
      </c>
      <c r="J1641" s="0" t="inlineStr">
        <is>
          <t>NULL</t>
        </is>
      </c>
      <c r="K1641" s="0" t="inlineStr">
        <is>
          <t>YES! 	 c_varbinary_100列源备映射正确，源端为varbinary 100位	期望更改为varbinary(n)	实际备端为varbinary 100位</t>
        </is>
      </c>
    </row>
    <row r="1642">
      <c r="B1642" s="0" t="inlineStr">
        <is>
          <t>NULL</t>
        </is>
      </c>
      <c r="C1642" s="0" t="inlineStr">
        <is>
          <t>NULL</t>
        </is>
      </c>
      <c r="D1642" s="0" t="inlineStr">
        <is>
          <t>NULL</t>
        </is>
      </c>
      <c r="E1642" s="0" t="inlineStr">
        <is>
          <t>NULL</t>
        </is>
      </c>
      <c r="F1642" s="0" t="inlineStr">
        <is>
          <t>NULL</t>
        </is>
      </c>
      <c r="G1642" s="0" t="inlineStr">
        <is>
          <t>NULL</t>
        </is>
      </c>
      <c r="H1642" s="0" t="inlineStr">
        <is>
          <t>NULL</t>
        </is>
      </c>
      <c r="I1642" s="0" t="inlineStr">
        <is>
          <t>NULL</t>
        </is>
      </c>
      <c r="J1642" s="0" t="inlineStr">
        <is>
          <t>NULL</t>
        </is>
      </c>
      <c r="K1642" s="0" t="inlineStr">
        <is>
          <t>YES! 	 c_varbinary_8000列源备映射正确，源端为varbinary 8000位	期望更改为varbinary(n)	实际备端为varbinary 8000位</t>
        </is>
      </c>
    </row>
    <row r="1643">
      <c r="A1643" s="0" t="inlineStr">
        <is>
          <t>info_int_dml_batch1_pk_irp1</t>
        </is>
      </c>
      <c r="K1643" s="0" t="inlineStr">
        <is>
          <t>[0;34m info_int_dml_batch1_pk_irp1 [0m源备字段数相同，源端字段：20 	备端字段20</t>
        </is>
      </c>
      <c r="W1643" s="0" t="inlineStr">
        <is>
          <t>YES 源备无差异</t>
        </is>
      </c>
      <c r="X1643" s="0">
        <f>A1643</f>
        <v/>
      </c>
    </row>
    <row r="1644">
      <c r="B1644" s="0" t="inlineStr">
        <is>
          <t>YES</t>
        </is>
      </c>
      <c r="C1644" s="0" t="inlineStr">
        <is>
          <t>NULL</t>
        </is>
      </c>
      <c r="D1644" s="0" t="inlineStr">
        <is>
          <t>NULL</t>
        </is>
      </c>
      <c r="E1644" s="0" t="inlineStr">
        <is>
          <t>NULL</t>
        </is>
      </c>
      <c r="F1644" s="0" t="inlineStr">
        <is>
          <t>NULL</t>
        </is>
      </c>
      <c r="G1644" s="0" t="inlineStr">
        <is>
          <t>NULL</t>
        </is>
      </c>
      <c r="H1644" s="0" t="inlineStr">
        <is>
          <t>NULL</t>
        </is>
      </c>
      <c r="I1644" s="0" t="inlineStr">
        <is>
          <t>YES!PK__info_int__3213E83FE5FDAB4C</t>
        </is>
      </c>
      <c r="J1644" s="0" t="inlineStr">
        <is>
          <t>YES! 主键相关索引</t>
        </is>
      </c>
      <c r="K1644" s="0" t="inlineStr">
        <is>
          <t>YES! 	 id列源备映射正确，源端为int None位	期望更改为int	实际备端为int None位</t>
        </is>
      </c>
    </row>
    <row r="1645">
      <c r="B1645" s="0" t="inlineStr">
        <is>
          <t>NULL</t>
        </is>
      </c>
      <c r="C1645" s="0" t="inlineStr">
        <is>
          <t>NULL</t>
        </is>
      </c>
      <c r="D1645" s="0" t="inlineStr">
        <is>
          <t>NULL</t>
        </is>
      </c>
      <c r="E1645" s="0" t="inlineStr">
        <is>
          <t>NULL</t>
        </is>
      </c>
      <c r="F1645" s="0" t="inlineStr">
        <is>
          <t>NULL</t>
        </is>
      </c>
      <c r="G1645" s="0" t="inlineStr">
        <is>
          <t>NULL</t>
        </is>
      </c>
      <c r="H1645" s="0" t="inlineStr">
        <is>
          <t>NULL</t>
        </is>
      </c>
      <c r="I1645" s="0" t="inlineStr">
        <is>
          <t>NULL</t>
        </is>
      </c>
      <c r="J1645" s="0" t="inlineStr">
        <is>
          <t>NULL</t>
        </is>
      </c>
      <c r="K1645" s="0" t="inlineStr">
        <is>
          <t>YES! 	 c_tinyint列源备映射正确，源端为tinyint None位	期望更改为tinyint	实际备端为tinyint None位</t>
        </is>
      </c>
    </row>
    <row r="1646">
      <c r="B1646" s="0" t="inlineStr">
        <is>
          <t>NULL</t>
        </is>
      </c>
      <c r="C1646" s="0" t="inlineStr">
        <is>
          <t>NULL</t>
        </is>
      </c>
      <c r="D1646" s="0" t="inlineStr">
        <is>
          <t>NULL</t>
        </is>
      </c>
      <c r="E1646" s="0" t="inlineStr">
        <is>
          <t>NULL</t>
        </is>
      </c>
      <c r="F1646" s="0" t="inlineStr">
        <is>
          <t>NULL</t>
        </is>
      </c>
      <c r="G1646" s="0" t="inlineStr">
        <is>
          <t>NULL</t>
        </is>
      </c>
      <c r="H1646" s="0" t="inlineStr">
        <is>
          <t>NULL</t>
        </is>
      </c>
      <c r="I1646" s="0" t="inlineStr">
        <is>
          <t>NULL</t>
        </is>
      </c>
      <c r="J1646" s="0" t="inlineStr">
        <is>
          <t>NULL</t>
        </is>
      </c>
      <c r="K1646" s="0" t="inlineStr">
        <is>
          <t>YES! 	 c_smallint列源备映射正确，源端为smallint None位	期望更改为smallint	实际备端为smallint None位</t>
        </is>
      </c>
    </row>
    <row r="1647">
      <c r="B1647" s="0" t="inlineStr">
        <is>
          <t>NULL</t>
        </is>
      </c>
      <c r="C1647" s="0" t="inlineStr">
        <is>
          <t>NULL</t>
        </is>
      </c>
      <c r="D1647" s="0" t="inlineStr">
        <is>
          <t>NULL</t>
        </is>
      </c>
      <c r="E1647" s="0" t="inlineStr">
        <is>
          <t>NULL</t>
        </is>
      </c>
      <c r="F1647" s="0" t="inlineStr">
        <is>
          <t>NULL</t>
        </is>
      </c>
      <c r="G1647" s="0" t="inlineStr">
        <is>
          <t>NULL</t>
        </is>
      </c>
      <c r="H1647" s="0" t="inlineStr">
        <is>
          <t>NULL</t>
        </is>
      </c>
      <c r="I1647" s="0" t="inlineStr">
        <is>
          <t>NULL</t>
        </is>
      </c>
      <c r="J1647" s="0" t="inlineStr">
        <is>
          <t>NULL</t>
        </is>
      </c>
      <c r="K1647" s="0" t="inlineStr">
        <is>
          <t>YES! 	 c_int列源备映射正确，源端为int None位	期望更改为int	实际备端为int None位</t>
        </is>
      </c>
    </row>
    <row r="1648">
      <c r="B1648" s="0" t="inlineStr">
        <is>
          <t>NULL</t>
        </is>
      </c>
      <c r="C1648" s="0" t="inlineStr">
        <is>
          <t>NULL</t>
        </is>
      </c>
      <c r="D1648" s="0" t="inlineStr">
        <is>
          <t>NULL</t>
        </is>
      </c>
      <c r="E1648" s="0" t="inlineStr">
        <is>
          <t>NULL</t>
        </is>
      </c>
      <c r="F1648" s="0" t="inlineStr">
        <is>
          <t>NULL</t>
        </is>
      </c>
      <c r="G1648" s="0" t="inlineStr">
        <is>
          <t>NULL</t>
        </is>
      </c>
      <c r="H1648" s="0" t="inlineStr">
        <is>
          <t>NULL</t>
        </is>
      </c>
      <c r="I1648" s="0" t="inlineStr">
        <is>
          <t>NULL</t>
        </is>
      </c>
      <c r="J1648" s="0" t="inlineStr">
        <is>
          <t>NULL</t>
        </is>
      </c>
      <c r="K1648" s="0" t="inlineStr">
        <is>
          <t>YES! 	 c_bigint列源备映射正确，源端为bigint None位	期望更改为bigint	实际备端为bigint None位</t>
        </is>
      </c>
    </row>
    <row r="1649">
      <c r="B1649" s="0" t="inlineStr">
        <is>
          <t>NULL</t>
        </is>
      </c>
      <c r="C1649" s="0" t="inlineStr">
        <is>
          <t>NULL</t>
        </is>
      </c>
      <c r="D1649" s="0" t="inlineStr">
        <is>
          <t>NULL</t>
        </is>
      </c>
      <c r="E1649" s="0" t="inlineStr">
        <is>
          <t>NULL</t>
        </is>
      </c>
      <c r="F1649" s="0" t="inlineStr">
        <is>
          <t>NULL</t>
        </is>
      </c>
      <c r="G1649" s="0" t="inlineStr">
        <is>
          <t>NULL</t>
        </is>
      </c>
      <c r="H1649" s="0" t="inlineStr">
        <is>
          <t>NULL</t>
        </is>
      </c>
      <c r="I1649" s="0" t="inlineStr">
        <is>
          <t>NULL</t>
        </is>
      </c>
      <c r="J1649" s="0" t="inlineStr">
        <is>
          <t>NULL</t>
        </is>
      </c>
      <c r="K1649" s="0" t="inlineStr">
        <is>
          <t>YES! 	 c_decimal列源备映射正确，源端为decimal None位	期望更改为decimal(p,s)	实际备端为decimal None位</t>
        </is>
      </c>
    </row>
    <row r="1650">
      <c r="B1650" s="0" t="inlineStr">
        <is>
          <t>NULL</t>
        </is>
      </c>
      <c r="C1650" s="0" t="inlineStr">
        <is>
          <t>NULL</t>
        </is>
      </c>
      <c r="D1650" s="0" t="inlineStr">
        <is>
          <t>NULL</t>
        </is>
      </c>
      <c r="E1650" s="0" t="inlineStr">
        <is>
          <t>NULL</t>
        </is>
      </c>
      <c r="F1650" s="0" t="inlineStr">
        <is>
          <t>NULL</t>
        </is>
      </c>
      <c r="G1650" s="0" t="inlineStr">
        <is>
          <t>NULL</t>
        </is>
      </c>
      <c r="H1650" s="0" t="inlineStr">
        <is>
          <t>NULL</t>
        </is>
      </c>
      <c r="I1650" s="0" t="inlineStr">
        <is>
          <t>NULL</t>
        </is>
      </c>
      <c r="J1650" s="0" t="inlineStr">
        <is>
          <t>NULL</t>
        </is>
      </c>
      <c r="K1650" s="0" t="inlineStr">
        <is>
          <t>YES! 	 c_decimal38列源备映射正确，源端为decimal None位	期望更改为decimal(p,s)	实际备端为decimal None位</t>
        </is>
      </c>
    </row>
    <row r="1651">
      <c r="B1651" s="0" t="inlineStr">
        <is>
          <t>NULL</t>
        </is>
      </c>
      <c r="C1651" s="0" t="inlineStr">
        <is>
          <t>NULL</t>
        </is>
      </c>
      <c r="D1651" s="0" t="inlineStr">
        <is>
          <t>NULL</t>
        </is>
      </c>
      <c r="E1651" s="0" t="inlineStr">
        <is>
          <t>NULL</t>
        </is>
      </c>
      <c r="F1651" s="0" t="inlineStr">
        <is>
          <t>NULL</t>
        </is>
      </c>
      <c r="G1651" s="0" t="inlineStr">
        <is>
          <t>NULL</t>
        </is>
      </c>
      <c r="H1651" s="0" t="inlineStr">
        <is>
          <t>NULL</t>
        </is>
      </c>
      <c r="I1651" s="0" t="inlineStr">
        <is>
          <t>NULL</t>
        </is>
      </c>
      <c r="J1651" s="0" t="inlineStr">
        <is>
          <t>NULL</t>
        </is>
      </c>
      <c r="K1651" s="0" t="inlineStr">
        <is>
          <t>YES! 	 c_decimal38_38列源备映射正确，源端为decimal None位	期望更改为decimal(p,s)	实际备端为decimal None位</t>
        </is>
      </c>
    </row>
    <row r="1652">
      <c r="B1652" s="0" t="inlineStr">
        <is>
          <t>NULL</t>
        </is>
      </c>
      <c r="C1652" s="0" t="inlineStr">
        <is>
          <t>NULL</t>
        </is>
      </c>
      <c r="D1652" s="0" t="inlineStr">
        <is>
          <t>NULL</t>
        </is>
      </c>
      <c r="E1652" s="0" t="inlineStr">
        <is>
          <t>NULL</t>
        </is>
      </c>
      <c r="F1652" s="0" t="inlineStr">
        <is>
          <t>NULL</t>
        </is>
      </c>
      <c r="G1652" s="0" t="inlineStr">
        <is>
          <t>NULL</t>
        </is>
      </c>
      <c r="H1652" s="0" t="inlineStr">
        <is>
          <t>NULL</t>
        </is>
      </c>
      <c r="I1652" s="0" t="inlineStr">
        <is>
          <t>NULL</t>
        </is>
      </c>
      <c r="J1652" s="0" t="inlineStr">
        <is>
          <t>NULL</t>
        </is>
      </c>
      <c r="K1652" s="0" t="inlineStr">
        <is>
          <t>YES! 	 c_decimal38_10列源备映射正确，源端为decimal None位	期望更改为decimal(p,s)	实际备端为decimal None位</t>
        </is>
      </c>
    </row>
    <row r="1653">
      <c r="B1653" s="0" t="inlineStr">
        <is>
          <t>NULL</t>
        </is>
      </c>
      <c r="C1653" s="0" t="inlineStr">
        <is>
          <t>NULL</t>
        </is>
      </c>
      <c r="D1653" s="0" t="inlineStr">
        <is>
          <t>NULL</t>
        </is>
      </c>
      <c r="E1653" s="0" t="inlineStr">
        <is>
          <t>NULL</t>
        </is>
      </c>
      <c r="F1653" s="0" t="inlineStr">
        <is>
          <t>NULL</t>
        </is>
      </c>
      <c r="G1653" s="0" t="inlineStr">
        <is>
          <t>NULL</t>
        </is>
      </c>
      <c r="H1653" s="0" t="inlineStr">
        <is>
          <t>NULL</t>
        </is>
      </c>
      <c r="I1653" s="0" t="inlineStr">
        <is>
          <t>NULL</t>
        </is>
      </c>
      <c r="J1653" s="0" t="inlineStr">
        <is>
          <t>NULL</t>
        </is>
      </c>
      <c r="K1653" s="0" t="inlineStr">
        <is>
          <t>YES! 	 c_decimal19_4列源备映射正确，源端为decimal None位	期望更改为decimal(p,s)	实际备端为decimal None位</t>
        </is>
      </c>
    </row>
    <row r="1654">
      <c r="B1654" s="0" t="inlineStr">
        <is>
          <t>NULL</t>
        </is>
      </c>
      <c r="C1654" s="0" t="inlineStr">
        <is>
          <t>NULL</t>
        </is>
      </c>
      <c r="D1654" s="0" t="inlineStr">
        <is>
          <t>NULL</t>
        </is>
      </c>
      <c r="E1654" s="0" t="inlineStr">
        <is>
          <t>NULL</t>
        </is>
      </c>
      <c r="F1654" s="0" t="inlineStr">
        <is>
          <t>NULL</t>
        </is>
      </c>
      <c r="G1654" s="0" t="inlineStr">
        <is>
          <t>NULL</t>
        </is>
      </c>
      <c r="H1654" s="0" t="inlineStr">
        <is>
          <t>NULL</t>
        </is>
      </c>
      <c r="I1654" s="0" t="inlineStr">
        <is>
          <t>NULL</t>
        </is>
      </c>
      <c r="J1654" s="0" t="inlineStr">
        <is>
          <t>NULL</t>
        </is>
      </c>
      <c r="K1654" s="0" t="inlineStr">
        <is>
          <t>YES! 	 c_numeric列源备映射正确，源端为numeric None位	期望更改为numeric(p,s)	实际备端为numeric None位</t>
        </is>
      </c>
    </row>
    <row r="1655">
      <c r="B1655" s="0" t="inlineStr">
        <is>
          <t>NULL</t>
        </is>
      </c>
      <c r="C1655" s="0" t="inlineStr">
        <is>
          <t>NULL</t>
        </is>
      </c>
      <c r="D1655" s="0" t="inlineStr">
        <is>
          <t>NULL</t>
        </is>
      </c>
      <c r="E1655" s="0" t="inlineStr">
        <is>
          <t>NULL</t>
        </is>
      </c>
      <c r="F1655" s="0" t="inlineStr">
        <is>
          <t>NULL</t>
        </is>
      </c>
      <c r="G1655" s="0" t="inlineStr">
        <is>
          <t>NULL</t>
        </is>
      </c>
      <c r="H1655" s="0" t="inlineStr">
        <is>
          <t>NULL</t>
        </is>
      </c>
      <c r="I1655" s="0" t="inlineStr">
        <is>
          <t>NULL</t>
        </is>
      </c>
      <c r="J1655" s="0" t="inlineStr">
        <is>
          <t>NULL</t>
        </is>
      </c>
      <c r="K1655" s="0" t="inlineStr">
        <is>
          <t>YES! 	 c_numeric38列源备映射正确，源端为numeric None位	期望更改为numeric(p,s)	实际备端为numeric None位</t>
        </is>
      </c>
    </row>
    <row r="1656">
      <c r="B1656" s="0" t="inlineStr">
        <is>
          <t>NULL</t>
        </is>
      </c>
      <c r="C1656" s="0" t="inlineStr">
        <is>
          <t>NULL</t>
        </is>
      </c>
      <c r="D1656" s="0" t="inlineStr">
        <is>
          <t>NULL</t>
        </is>
      </c>
      <c r="E1656" s="0" t="inlineStr">
        <is>
          <t>NULL</t>
        </is>
      </c>
      <c r="F1656" s="0" t="inlineStr">
        <is>
          <t>NULL</t>
        </is>
      </c>
      <c r="G1656" s="0" t="inlineStr">
        <is>
          <t>NULL</t>
        </is>
      </c>
      <c r="H1656" s="0" t="inlineStr">
        <is>
          <t>NULL</t>
        </is>
      </c>
      <c r="I1656" s="0" t="inlineStr">
        <is>
          <t>NULL</t>
        </is>
      </c>
      <c r="J1656" s="0" t="inlineStr">
        <is>
          <t>NULL</t>
        </is>
      </c>
      <c r="K1656" s="0" t="inlineStr">
        <is>
          <t>YES! 	 c_numeric38_38列源备映射正确，源端为numeric None位	期望更改为numeric(p,s)	实际备端为numeric None位</t>
        </is>
      </c>
    </row>
    <row r="1657">
      <c r="B1657" s="0" t="inlineStr">
        <is>
          <t>NULL</t>
        </is>
      </c>
      <c r="C1657" s="0" t="inlineStr">
        <is>
          <t>NULL</t>
        </is>
      </c>
      <c r="D1657" s="0" t="inlineStr">
        <is>
          <t>NULL</t>
        </is>
      </c>
      <c r="E1657" s="0" t="inlineStr">
        <is>
          <t>NULL</t>
        </is>
      </c>
      <c r="F1657" s="0" t="inlineStr">
        <is>
          <t>NULL</t>
        </is>
      </c>
      <c r="G1657" s="0" t="inlineStr">
        <is>
          <t>NULL</t>
        </is>
      </c>
      <c r="H1657" s="0" t="inlineStr">
        <is>
          <t>NULL</t>
        </is>
      </c>
      <c r="I1657" s="0" t="inlineStr">
        <is>
          <t>NULL</t>
        </is>
      </c>
      <c r="J1657" s="0" t="inlineStr">
        <is>
          <t>NULL</t>
        </is>
      </c>
      <c r="K1657" s="0" t="inlineStr">
        <is>
          <t>YES! 	 c_numeric38_10列源备映射正确，源端为numeric None位	期望更改为numeric(p,s)	实际备端为numeric None位</t>
        </is>
      </c>
    </row>
    <row r="1658">
      <c r="B1658" s="0" t="inlineStr">
        <is>
          <t>NULL</t>
        </is>
      </c>
      <c r="C1658" s="0" t="inlineStr">
        <is>
          <t>NULL</t>
        </is>
      </c>
      <c r="D1658" s="0" t="inlineStr">
        <is>
          <t>NULL</t>
        </is>
      </c>
      <c r="E1658" s="0" t="inlineStr">
        <is>
          <t>NULL</t>
        </is>
      </c>
      <c r="F1658" s="0" t="inlineStr">
        <is>
          <t>NULL</t>
        </is>
      </c>
      <c r="G1658" s="0" t="inlineStr">
        <is>
          <t>NULL</t>
        </is>
      </c>
      <c r="H1658" s="0" t="inlineStr">
        <is>
          <t>NULL</t>
        </is>
      </c>
      <c r="I1658" s="0" t="inlineStr">
        <is>
          <t>NULL</t>
        </is>
      </c>
      <c r="J1658" s="0" t="inlineStr">
        <is>
          <t>NULL</t>
        </is>
      </c>
      <c r="K1658" s="0" t="inlineStr">
        <is>
          <t>YES! 	 c_numeric18_2列源备映射正确，源端为numeric None位	期望更改为numeric(p,s)	实际备端为numeric None位</t>
        </is>
      </c>
    </row>
    <row r="1659">
      <c r="B1659" s="0" t="inlineStr">
        <is>
          <t>NULL</t>
        </is>
      </c>
      <c r="C1659" s="0" t="inlineStr">
        <is>
          <t>NULL</t>
        </is>
      </c>
      <c r="D1659" s="0" t="inlineStr">
        <is>
          <t>NULL</t>
        </is>
      </c>
      <c r="E1659" s="0" t="inlineStr">
        <is>
          <t>NULL</t>
        </is>
      </c>
      <c r="F1659" s="0" t="inlineStr">
        <is>
          <t>NULL</t>
        </is>
      </c>
      <c r="G1659" s="0" t="inlineStr">
        <is>
          <t>NULL</t>
        </is>
      </c>
      <c r="H1659" s="0" t="inlineStr">
        <is>
          <t>NULL</t>
        </is>
      </c>
      <c r="I1659" s="0" t="inlineStr">
        <is>
          <t>NULL</t>
        </is>
      </c>
      <c r="J1659" s="0" t="inlineStr">
        <is>
          <t>NULL</t>
        </is>
      </c>
      <c r="K1659" s="0" t="inlineStr">
        <is>
          <t>YES! 	 c_float列源备映射正确，源端为float None位	期望更改为float	实际备端为float None位</t>
        </is>
      </c>
    </row>
    <row r="1660">
      <c r="B1660" s="0" t="inlineStr">
        <is>
          <t>NULL</t>
        </is>
      </c>
      <c r="C1660" s="0" t="inlineStr">
        <is>
          <t>NULL</t>
        </is>
      </c>
      <c r="D1660" s="0" t="inlineStr">
        <is>
          <t>NULL</t>
        </is>
      </c>
      <c r="E1660" s="0" t="inlineStr">
        <is>
          <t>NULL</t>
        </is>
      </c>
      <c r="F1660" s="0" t="inlineStr">
        <is>
          <t>NULL</t>
        </is>
      </c>
      <c r="G1660" s="0" t="inlineStr">
        <is>
          <t>NULL</t>
        </is>
      </c>
      <c r="H1660" s="0" t="inlineStr">
        <is>
          <t>NULL</t>
        </is>
      </c>
      <c r="I1660" s="0" t="inlineStr">
        <is>
          <t>NULL</t>
        </is>
      </c>
      <c r="J1660" s="0" t="inlineStr">
        <is>
          <t>NULL</t>
        </is>
      </c>
      <c r="K1660" s="0" t="inlineStr">
        <is>
          <t>YES! 	 c_real列源备映射正确，源端为real None位	期望更改为real	实际备端为real None位</t>
        </is>
      </c>
    </row>
    <row r="1661">
      <c r="B1661" s="0" t="inlineStr">
        <is>
          <t>NULL</t>
        </is>
      </c>
      <c r="C1661" s="0" t="inlineStr">
        <is>
          <t>NULL</t>
        </is>
      </c>
      <c r="D1661" s="0" t="inlineStr">
        <is>
          <t>NULL</t>
        </is>
      </c>
      <c r="E1661" s="0" t="inlineStr">
        <is>
          <t>NULL</t>
        </is>
      </c>
      <c r="F1661" s="0" t="inlineStr">
        <is>
          <t>NULL</t>
        </is>
      </c>
      <c r="G1661" s="0" t="inlineStr">
        <is>
          <t>NULL</t>
        </is>
      </c>
      <c r="H1661" s="0" t="inlineStr">
        <is>
          <t>NULL</t>
        </is>
      </c>
      <c r="I1661" s="0" t="inlineStr">
        <is>
          <t>NULL</t>
        </is>
      </c>
      <c r="J1661" s="0" t="inlineStr">
        <is>
          <t>NULL</t>
        </is>
      </c>
      <c r="K1661" s="0" t="inlineStr">
        <is>
          <t>YES! 	 c_money列源备映射正确，源端为money None位	期望更改为money	实际备端为money None位</t>
        </is>
      </c>
    </row>
    <row r="1662">
      <c r="B1662" s="0" t="inlineStr">
        <is>
          <t>NULL</t>
        </is>
      </c>
      <c r="C1662" s="0" t="inlineStr">
        <is>
          <t>NULL</t>
        </is>
      </c>
      <c r="D1662" s="0" t="inlineStr">
        <is>
          <t>NULL</t>
        </is>
      </c>
      <c r="E1662" s="0" t="inlineStr">
        <is>
          <t>NULL</t>
        </is>
      </c>
      <c r="F1662" s="0" t="inlineStr">
        <is>
          <t>NULL</t>
        </is>
      </c>
      <c r="G1662" s="0" t="inlineStr">
        <is>
          <t>NULL</t>
        </is>
      </c>
      <c r="H1662" s="0" t="inlineStr">
        <is>
          <t>NULL</t>
        </is>
      </c>
      <c r="I1662" s="0" t="inlineStr">
        <is>
          <t>NULL</t>
        </is>
      </c>
      <c r="J1662" s="0" t="inlineStr">
        <is>
          <t>NULL</t>
        </is>
      </c>
      <c r="K1662" s="0" t="inlineStr">
        <is>
          <t>YES! 	 c_smallmoney列源备映射正确，源端为smallmoney None位	期望更改为smallmoney	实际备端为smallmoney None位</t>
        </is>
      </c>
    </row>
    <row r="1663">
      <c r="B1663" s="0" t="inlineStr">
        <is>
          <t>NULL</t>
        </is>
      </c>
      <c r="C1663" s="0" t="inlineStr">
        <is>
          <t>NULL</t>
        </is>
      </c>
      <c r="D1663" s="0" t="inlineStr">
        <is>
          <t>NULL</t>
        </is>
      </c>
      <c r="E1663" s="0" t="inlineStr">
        <is>
          <t>NULL</t>
        </is>
      </c>
      <c r="F1663" s="0" t="inlineStr">
        <is>
          <t>NULL</t>
        </is>
      </c>
      <c r="G1663" s="0" t="inlineStr">
        <is>
          <t>NULL</t>
        </is>
      </c>
      <c r="H1663" s="0" t="inlineStr">
        <is>
          <t>NULL</t>
        </is>
      </c>
      <c r="I1663" s="0" t="inlineStr">
        <is>
          <t>NULL</t>
        </is>
      </c>
      <c r="J1663" s="0" t="inlineStr">
        <is>
          <t>NULL</t>
        </is>
      </c>
      <c r="K1663" s="0" t="inlineStr">
        <is>
          <t>YES! 	 c_bit列源备映射正确，源端为bit None位	期望更改为bit	实际备端为bit None位</t>
        </is>
      </c>
    </row>
    <row r="1664">
      <c r="A1664" s="0" t="inlineStr">
        <is>
          <t>info_uniqueidentifier_dml_single_pk_urp</t>
        </is>
      </c>
      <c r="K1664" s="0" t="inlineStr">
        <is>
          <t>[0;34m info_uniqueidentifier_dml_single_pk_urp [0m源备字段数相同，源端字段：2 	备端字段2</t>
        </is>
      </c>
      <c r="W1664" s="0" t="inlineStr">
        <is>
          <t>YES 源备无差异</t>
        </is>
      </c>
      <c r="X1664" s="0">
        <f>A1664</f>
        <v/>
      </c>
    </row>
    <row r="1665">
      <c r="B1665" s="0" t="inlineStr">
        <is>
          <t>YES</t>
        </is>
      </c>
      <c r="C1665" s="0" t="inlineStr">
        <is>
          <t>NULL</t>
        </is>
      </c>
      <c r="D1665" s="0" t="inlineStr">
        <is>
          <t>NULL</t>
        </is>
      </c>
      <c r="E1665" s="0" t="inlineStr">
        <is>
          <t>NULL</t>
        </is>
      </c>
      <c r="F1665" s="0" t="inlineStr">
        <is>
          <t>NULL</t>
        </is>
      </c>
      <c r="G1665" s="0" t="inlineStr">
        <is>
          <t>NULL</t>
        </is>
      </c>
      <c r="H1665" s="0" t="inlineStr">
        <is>
          <t>NULL</t>
        </is>
      </c>
      <c r="I1665" s="0" t="inlineStr">
        <is>
          <t>YES!PK__info_uni__3213E83F481CAA22</t>
        </is>
      </c>
      <c r="J1665" s="0" t="inlineStr">
        <is>
          <t>YES! 主键相关索引</t>
        </is>
      </c>
      <c r="K1665" s="0" t="inlineStr">
        <is>
          <t>YES! 	 id列源备映射正确，源端为int None位	期望更改为int	实际备端为int None位</t>
        </is>
      </c>
    </row>
    <row r="1666">
      <c r="B1666" s="0" t="inlineStr">
        <is>
          <t>NULL</t>
        </is>
      </c>
      <c r="C1666" s="0" t="inlineStr">
        <is>
          <t>NULL</t>
        </is>
      </c>
      <c r="D1666" s="0" t="inlineStr">
        <is>
          <t>NULL</t>
        </is>
      </c>
      <c r="E1666" s="0" t="inlineStr">
        <is>
          <t>NULL</t>
        </is>
      </c>
      <c r="F1666" s="0" t="inlineStr">
        <is>
          <t>NULL</t>
        </is>
      </c>
      <c r="G1666" s="0" t="inlineStr">
        <is>
          <t>NULL</t>
        </is>
      </c>
      <c r="H1666" s="0" t="inlineStr">
        <is>
          <t>NULL</t>
        </is>
      </c>
      <c r="I1666" s="0" t="inlineStr">
        <is>
          <t>NULL</t>
        </is>
      </c>
      <c r="J1666" s="0" t="inlineStr">
        <is>
          <t>NULL</t>
        </is>
      </c>
      <c r="K1666" s="0" t="inlineStr">
        <is>
          <t>YES! 	 c_uniqueidentifier列源备映射正确，源端为uniqueidentifier None位	期望更改为uniqueidentifier	实际备端为uniqueidentifier None位</t>
        </is>
      </c>
    </row>
    <row r="1667">
      <c r="A1667" s="0" t="inlineStr">
        <is>
          <t>info_varbinary_max_dml_single_nopk</t>
        </is>
      </c>
      <c r="K1667" s="0" t="inlineStr">
        <is>
          <t>[0;34m info_varbinary_max_dml_single_nopk [0m源备字段数相同，源端字段：4 	备端字段4</t>
        </is>
      </c>
      <c r="W1667" s="0" t="inlineStr">
        <is>
          <t>YES 源备无差异</t>
        </is>
      </c>
      <c r="X1667" s="0">
        <f>A1667</f>
        <v/>
      </c>
    </row>
    <row r="1668">
      <c r="B1668" s="0" t="inlineStr">
        <is>
          <t>NULL</t>
        </is>
      </c>
      <c r="C1668" s="0" t="inlineStr">
        <is>
          <t>NULL</t>
        </is>
      </c>
      <c r="D1668" s="0" t="inlineStr">
        <is>
          <t>NULL</t>
        </is>
      </c>
      <c r="E1668" s="0" t="inlineStr">
        <is>
          <t>NULL</t>
        </is>
      </c>
      <c r="F1668" s="0" t="inlineStr">
        <is>
          <t>NULL</t>
        </is>
      </c>
      <c r="G1668" s="0" t="inlineStr">
        <is>
          <t>NULL</t>
        </is>
      </c>
      <c r="H1668" s="0" t="inlineStr">
        <is>
          <t>NULL</t>
        </is>
      </c>
      <c r="I1668" s="0" t="inlineStr">
        <is>
          <t>NULL</t>
        </is>
      </c>
      <c r="J1668" s="0" t="inlineStr">
        <is>
          <t>NULL</t>
        </is>
      </c>
      <c r="K1668" s="0" t="inlineStr">
        <is>
          <t>YES! 	 id列源备映射正确，源端为int None位	期望更改为int	实际备端为int None位</t>
        </is>
      </c>
    </row>
    <row r="1669">
      <c r="B1669" s="0" t="inlineStr">
        <is>
          <t>NULL</t>
        </is>
      </c>
      <c r="C1669" s="0" t="inlineStr">
        <is>
          <t>NULL</t>
        </is>
      </c>
      <c r="D1669" s="0" t="inlineStr">
        <is>
          <t>NULL</t>
        </is>
      </c>
      <c r="E1669" s="0" t="inlineStr">
        <is>
          <t>NULL</t>
        </is>
      </c>
      <c r="F1669" s="0" t="inlineStr">
        <is>
          <t>NULL</t>
        </is>
      </c>
      <c r="G1669" s="0" t="inlineStr">
        <is>
          <t>NULL</t>
        </is>
      </c>
      <c r="H1669" s="0" t="inlineStr">
        <is>
          <t>NULL</t>
        </is>
      </c>
      <c r="I1669" s="0" t="inlineStr">
        <is>
          <t>NULL</t>
        </is>
      </c>
      <c r="J1669" s="0" t="inlineStr">
        <is>
          <t>NULL</t>
        </is>
      </c>
      <c r="K1669" s="0" t="inlineStr">
        <is>
          <t>YES! 	 c_varbinary_max1列源备映射正确，源端为varbinary -1位	期望更改为varbinary(n)	实际备端为varbinary -1位</t>
        </is>
      </c>
    </row>
    <row r="1670">
      <c r="B1670" s="0" t="inlineStr">
        <is>
          <t>NULL</t>
        </is>
      </c>
      <c r="C1670" s="0" t="inlineStr">
        <is>
          <t>NULL</t>
        </is>
      </c>
      <c r="D1670" s="0" t="inlineStr">
        <is>
          <t>NULL</t>
        </is>
      </c>
      <c r="E1670" s="0" t="inlineStr">
        <is>
          <t>NULL</t>
        </is>
      </c>
      <c r="F1670" s="0" t="inlineStr">
        <is>
          <t>NULL</t>
        </is>
      </c>
      <c r="G1670" s="0" t="inlineStr">
        <is>
          <t>NULL</t>
        </is>
      </c>
      <c r="H1670" s="0" t="inlineStr">
        <is>
          <t>NULL</t>
        </is>
      </c>
      <c r="I1670" s="0" t="inlineStr">
        <is>
          <t>NULL</t>
        </is>
      </c>
      <c r="J1670" s="0" t="inlineStr">
        <is>
          <t>NULL</t>
        </is>
      </c>
      <c r="K1670" s="0" t="inlineStr">
        <is>
          <t>YES! 	 c_varbinary_max2列源备映射正确，源端为varbinary -1位	期望更改为varbinary(n)	实际备端为varbinary -1位</t>
        </is>
      </c>
    </row>
    <row r="1671">
      <c r="B1671" s="0" t="inlineStr">
        <is>
          <t>NULL</t>
        </is>
      </c>
      <c r="C1671" s="0" t="inlineStr">
        <is>
          <t>NULL</t>
        </is>
      </c>
      <c r="D1671" s="0" t="inlineStr">
        <is>
          <t>NULL</t>
        </is>
      </c>
      <c r="E1671" s="0" t="inlineStr">
        <is>
          <t>NULL</t>
        </is>
      </c>
      <c r="F1671" s="0" t="inlineStr">
        <is>
          <t>NULL</t>
        </is>
      </c>
      <c r="G1671" s="0" t="inlineStr">
        <is>
          <t>NULL</t>
        </is>
      </c>
      <c r="H1671" s="0" t="inlineStr">
        <is>
          <t>NULL</t>
        </is>
      </c>
      <c r="I1671" s="0" t="inlineStr">
        <is>
          <t>NULL</t>
        </is>
      </c>
      <c r="J1671" s="0" t="inlineStr">
        <is>
          <t>NULL</t>
        </is>
      </c>
      <c r="K1671" s="0" t="inlineStr">
        <is>
          <t>YES! 	 c_image3列源备映射正确，源端为image 2147483647位	期望更改为image	实际备端为image 2147483647位</t>
        </is>
      </c>
    </row>
    <row r="1672">
      <c r="A1672" s="0" t="inlineStr">
        <is>
          <t>info_varbinary_dml_single_pk</t>
        </is>
      </c>
      <c r="K1672" s="0" t="inlineStr">
        <is>
          <t>[0;34m info_varbinary_dml_single_pk [0m源备字段数相同，源端字段：4 	备端字段4</t>
        </is>
      </c>
      <c r="W1672" s="0" t="inlineStr">
        <is>
          <t>YES 源备无差异</t>
        </is>
      </c>
      <c r="X1672" s="0">
        <f>A1672</f>
        <v/>
      </c>
    </row>
    <row r="1673">
      <c r="B1673" s="0" t="inlineStr">
        <is>
          <t>YES</t>
        </is>
      </c>
      <c r="C1673" s="0" t="inlineStr">
        <is>
          <t>NULL</t>
        </is>
      </c>
      <c r="D1673" s="0" t="inlineStr">
        <is>
          <t>NULL</t>
        </is>
      </c>
      <c r="E1673" s="0" t="inlineStr">
        <is>
          <t>NULL</t>
        </is>
      </c>
      <c r="F1673" s="0" t="inlineStr">
        <is>
          <t>NULL</t>
        </is>
      </c>
      <c r="G1673" s="0" t="inlineStr">
        <is>
          <t>NULL</t>
        </is>
      </c>
      <c r="H1673" s="0" t="inlineStr">
        <is>
          <t>NULL</t>
        </is>
      </c>
      <c r="I1673" s="0" t="inlineStr">
        <is>
          <t>YES!PK__info_var__3213E83F5409CF8D</t>
        </is>
      </c>
      <c r="J1673" s="0" t="inlineStr">
        <is>
          <t>YES! 主键相关索引</t>
        </is>
      </c>
      <c r="K1673" s="0" t="inlineStr">
        <is>
          <t>YES! 	 id列源备映射正确，源端为int None位	期望更改为int	实际备端为int None位</t>
        </is>
      </c>
    </row>
    <row r="1674">
      <c r="B1674" s="0" t="inlineStr">
        <is>
          <t>NULL</t>
        </is>
      </c>
      <c r="C1674" s="0" t="inlineStr">
        <is>
          <t>NULL</t>
        </is>
      </c>
      <c r="D1674" s="0" t="inlineStr">
        <is>
          <t>NULL</t>
        </is>
      </c>
      <c r="E1674" s="0" t="inlineStr">
        <is>
          <t>NULL</t>
        </is>
      </c>
      <c r="F1674" s="0" t="inlineStr">
        <is>
          <t>NULL</t>
        </is>
      </c>
      <c r="G1674" s="0" t="inlineStr">
        <is>
          <t>NULL</t>
        </is>
      </c>
      <c r="H1674" s="0" t="inlineStr">
        <is>
          <t>NULL</t>
        </is>
      </c>
      <c r="I1674" s="0" t="inlineStr">
        <is>
          <t>NULL</t>
        </is>
      </c>
      <c r="J1674" s="0" t="inlineStr">
        <is>
          <t>NULL</t>
        </is>
      </c>
      <c r="K1674" s="0" t="inlineStr">
        <is>
          <t>YES! 	 c_varbinary列源备映射正确，源端为varbinary 1位	期望更改为varbinary(n)	实际备端为varbinary 1位</t>
        </is>
      </c>
    </row>
    <row r="1675">
      <c r="B1675" s="0" t="inlineStr">
        <is>
          <t>NULL</t>
        </is>
      </c>
      <c r="C1675" s="0" t="inlineStr">
        <is>
          <t>NULL</t>
        </is>
      </c>
      <c r="D1675" s="0" t="inlineStr">
        <is>
          <t>NULL</t>
        </is>
      </c>
      <c r="E1675" s="0" t="inlineStr">
        <is>
          <t>NULL</t>
        </is>
      </c>
      <c r="F1675" s="0" t="inlineStr">
        <is>
          <t>NULL</t>
        </is>
      </c>
      <c r="G1675" s="0" t="inlineStr">
        <is>
          <t>NULL</t>
        </is>
      </c>
      <c r="H1675" s="0" t="inlineStr">
        <is>
          <t>NULL</t>
        </is>
      </c>
      <c r="I1675" s="0" t="inlineStr">
        <is>
          <t>NULL</t>
        </is>
      </c>
      <c r="J1675" s="0" t="inlineStr">
        <is>
          <t>NULL</t>
        </is>
      </c>
      <c r="K1675" s="0" t="inlineStr">
        <is>
          <t>YES! 	 c_varbinary_100列源备映射正确，源端为varbinary 20位	期望更改为varbinary(n)	实际备端为varbinary 20位</t>
        </is>
      </c>
    </row>
    <row r="1676">
      <c r="B1676" s="0" t="inlineStr">
        <is>
          <t>NULL</t>
        </is>
      </c>
      <c r="C1676" s="0" t="inlineStr">
        <is>
          <t>NULL</t>
        </is>
      </c>
      <c r="D1676" s="0" t="inlineStr">
        <is>
          <t>NULL</t>
        </is>
      </c>
      <c r="E1676" s="0" t="inlineStr">
        <is>
          <t>NULL</t>
        </is>
      </c>
      <c r="F1676" s="0" t="inlineStr">
        <is>
          <t>NULL</t>
        </is>
      </c>
      <c r="G1676" s="0" t="inlineStr">
        <is>
          <t>NULL</t>
        </is>
      </c>
      <c r="H1676" s="0" t="inlineStr">
        <is>
          <t>NULL</t>
        </is>
      </c>
      <c r="I1676" s="0" t="inlineStr">
        <is>
          <t>NULL</t>
        </is>
      </c>
      <c r="J1676" s="0" t="inlineStr">
        <is>
          <t>NULL</t>
        </is>
      </c>
      <c r="K1676" s="0" t="inlineStr">
        <is>
          <t>YES! 	 c_varbinary_8000列源备映射正确，源端为varbinary 8000位	期望更改为varbinary(n)	实际备端为varbinary 8000位</t>
        </is>
      </c>
    </row>
    <row r="1677">
      <c r="A1677" s="0" t="inlineStr">
        <is>
          <t>info_varbinary_max_dml_single_pk_irp</t>
        </is>
      </c>
      <c r="K1677" s="0" t="inlineStr">
        <is>
          <t>[0;34m info_varbinary_max_dml_single_pk_irp [0m源备字段数相同，源端字段：4 	备端字段4</t>
        </is>
      </c>
      <c r="W1677" s="0" t="inlineStr">
        <is>
          <t>YES 源备无差异</t>
        </is>
      </c>
      <c r="X1677" s="0">
        <f>A1677</f>
        <v/>
      </c>
    </row>
    <row r="1678">
      <c r="B1678" s="0" t="inlineStr">
        <is>
          <t>YES</t>
        </is>
      </c>
      <c r="C1678" s="0" t="inlineStr">
        <is>
          <t>NULL</t>
        </is>
      </c>
      <c r="D1678" s="0" t="inlineStr">
        <is>
          <t>NULL</t>
        </is>
      </c>
      <c r="E1678" s="0" t="inlineStr">
        <is>
          <t>NULL</t>
        </is>
      </c>
      <c r="F1678" s="0" t="inlineStr">
        <is>
          <t>NULL</t>
        </is>
      </c>
      <c r="G1678" s="0" t="inlineStr">
        <is>
          <t>NULL</t>
        </is>
      </c>
      <c r="H1678" s="0" t="inlineStr">
        <is>
          <t>NULL</t>
        </is>
      </c>
      <c r="I1678" s="0" t="inlineStr">
        <is>
          <t>YES!PK__info_var__3213E83F00D7D29D</t>
        </is>
      </c>
      <c r="J1678" s="0" t="inlineStr">
        <is>
          <t>YES! 主键相关索引</t>
        </is>
      </c>
      <c r="K1678" s="0" t="inlineStr">
        <is>
          <t>YES! 	 id列源备映射正确，源端为int None位	期望更改为int	实际备端为int None位</t>
        </is>
      </c>
    </row>
    <row r="1679">
      <c r="B1679" s="0" t="inlineStr">
        <is>
          <t>NULL</t>
        </is>
      </c>
      <c r="C1679" s="0" t="inlineStr">
        <is>
          <t>NULL</t>
        </is>
      </c>
      <c r="D1679" s="0" t="inlineStr">
        <is>
          <t>NULL</t>
        </is>
      </c>
      <c r="E1679" s="0" t="inlineStr">
        <is>
          <t>NULL</t>
        </is>
      </c>
      <c r="F1679" s="0" t="inlineStr">
        <is>
          <t>NULL</t>
        </is>
      </c>
      <c r="G1679" s="0" t="inlineStr">
        <is>
          <t>NULL</t>
        </is>
      </c>
      <c r="H1679" s="0" t="inlineStr">
        <is>
          <t>NULL</t>
        </is>
      </c>
      <c r="I1679" s="0" t="inlineStr">
        <is>
          <t>NULL</t>
        </is>
      </c>
      <c r="J1679" s="0" t="inlineStr">
        <is>
          <t>NULL</t>
        </is>
      </c>
      <c r="K1679" s="0" t="inlineStr">
        <is>
          <t>YES! 	 c_varbinary_max1列源备映射正确，源端为varbinary -1位	期望更改为varbinary(n)	实际备端为varbinary -1位</t>
        </is>
      </c>
    </row>
    <row r="1680">
      <c r="B1680" s="0" t="inlineStr">
        <is>
          <t>NULL</t>
        </is>
      </c>
      <c r="C1680" s="0" t="inlineStr">
        <is>
          <t>NULL</t>
        </is>
      </c>
      <c r="D1680" s="0" t="inlineStr">
        <is>
          <t>NULL</t>
        </is>
      </c>
      <c r="E1680" s="0" t="inlineStr">
        <is>
          <t>NULL</t>
        </is>
      </c>
      <c r="F1680" s="0" t="inlineStr">
        <is>
          <t>NULL</t>
        </is>
      </c>
      <c r="G1680" s="0" t="inlineStr">
        <is>
          <t>NULL</t>
        </is>
      </c>
      <c r="H1680" s="0" t="inlineStr">
        <is>
          <t>NULL</t>
        </is>
      </c>
      <c r="I1680" s="0" t="inlineStr">
        <is>
          <t>NULL</t>
        </is>
      </c>
      <c r="J1680" s="0" t="inlineStr">
        <is>
          <t>NULL</t>
        </is>
      </c>
      <c r="K1680" s="0" t="inlineStr">
        <is>
          <t>YES! 	 c_varbinary_max2列源备映射正确，源端为varbinary -1位	期望更改为varbinary(n)	实际备端为varbinary -1位</t>
        </is>
      </c>
    </row>
    <row r="1681">
      <c r="B1681" s="0" t="inlineStr">
        <is>
          <t>NULL</t>
        </is>
      </c>
      <c r="C1681" s="0" t="inlineStr">
        <is>
          <t>NULL</t>
        </is>
      </c>
      <c r="D1681" s="0" t="inlineStr">
        <is>
          <t>NULL</t>
        </is>
      </c>
      <c r="E1681" s="0" t="inlineStr">
        <is>
          <t>NULL</t>
        </is>
      </c>
      <c r="F1681" s="0" t="inlineStr">
        <is>
          <t>NULL</t>
        </is>
      </c>
      <c r="G1681" s="0" t="inlineStr">
        <is>
          <t>NULL</t>
        </is>
      </c>
      <c r="H1681" s="0" t="inlineStr">
        <is>
          <t>NULL</t>
        </is>
      </c>
      <c r="I1681" s="0" t="inlineStr">
        <is>
          <t>NULL</t>
        </is>
      </c>
      <c r="J1681" s="0" t="inlineStr">
        <is>
          <t>NULL</t>
        </is>
      </c>
      <c r="K1681" s="0" t="inlineStr">
        <is>
          <t>YES! 	 c_image3列源备映射正确，源端为image 2147483647位	期望更改为image	实际备端为image 2147483647位</t>
        </is>
      </c>
    </row>
    <row r="1682">
      <c r="A1682" s="0" t="inlineStr">
        <is>
          <t>info_uniqueidentifier_dml_single_pk_drp</t>
        </is>
      </c>
      <c r="K1682" s="0" t="inlineStr">
        <is>
          <t>[0;34m info_uniqueidentifier_dml_single_pk_drp [0m源备字段数相同，源端字段：2 	备端字段2</t>
        </is>
      </c>
      <c r="W1682" s="0" t="inlineStr">
        <is>
          <t>YES 源备无差异</t>
        </is>
      </c>
      <c r="X1682" s="0">
        <f>A1682</f>
        <v/>
      </c>
    </row>
    <row r="1683">
      <c r="B1683" s="0" t="inlineStr">
        <is>
          <t>YES</t>
        </is>
      </c>
      <c r="C1683" s="0" t="inlineStr">
        <is>
          <t>NULL</t>
        </is>
      </c>
      <c r="D1683" s="0" t="inlineStr">
        <is>
          <t>NULL</t>
        </is>
      </c>
      <c r="E1683" s="0" t="inlineStr">
        <is>
          <t>NULL</t>
        </is>
      </c>
      <c r="F1683" s="0" t="inlineStr">
        <is>
          <t>NULL</t>
        </is>
      </c>
      <c r="G1683" s="0" t="inlineStr">
        <is>
          <t>NULL</t>
        </is>
      </c>
      <c r="H1683" s="0" t="inlineStr">
        <is>
          <t>NULL</t>
        </is>
      </c>
      <c r="I1683" s="0" t="inlineStr">
        <is>
          <t>YES!PK__info_uni__3213E83F99C036A0</t>
        </is>
      </c>
      <c r="J1683" s="0" t="inlineStr">
        <is>
          <t>YES! 主键相关索引</t>
        </is>
      </c>
      <c r="K1683" s="0" t="inlineStr">
        <is>
          <t>YES! 	 id列源备映射正确，源端为int None位	期望更改为int	实际备端为int None位</t>
        </is>
      </c>
    </row>
    <row r="1684">
      <c r="B1684" s="0" t="inlineStr">
        <is>
          <t>NULL</t>
        </is>
      </c>
      <c r="C1684" s="0" t="inlineStr">
        <is>
          <t>NULL</t>
        </is>
      </c>
      <c r="D1684" s="0" t="inlineStr">
        <is>
          <t>NULL</t>
        </is>
      </c>
      <c r="E1684" s="0" t="inlineStr">
        <is>
          <t>NULL</t>
        </is>
      </c>
      <c r="F1684" s="0" t="inlineStr">
        <is>
          <t>NULL</t>
        </is>
      </c>
      <c r="G1684" s="0" t="inlineStr">
        <is>
          <t>NULL</t>
        </is>
      </c>
      <c r="H1684" s="0" t="inlineStr">
        <is>
          <t>NULL</t>
        </is>
      </c>
      <c r="I1684" s="0" t="inlineStr">
        <is>
          <t>NULL</t>
        </is>
      </c>
      <c r="J1684" s="0" t="inlineStr">
        <is>
          <t>NULL</t>
        </is>
      </c>
      <c r="K1684" s="0" t="inlineStr">
        <is>
          <t>YES! 	 c_uniqueidentifier列源备映射正确，源端为uniqueidentifier None位	期望更改为uniqueidentifier	实际备端为uniqueidentifier None位</t>
        </is>
      </c>
    </row>
    <row r="1685">
      <c r="A1685" s="0" t="inlineStr">
        <is>
          <t>info_int_dml_batch1_pk_irp2</t>
        </is>
      </c>
      <c r="K1685" s="0" t="inlineStr">
        <is>
          <t>[0;34m info_int_dml_batch1_pk_irp2 [0m源备字段数相同，源端字段：20 	备端字段20</t>
        </is>
      </c>
      <c r="W1685" s="0" t="inlineStr">
        <is>
          <t>YES 源备无差异</t>
        </is>
      </c>
      <c r="X1685" s="0">
        <f>A1685</f>
        <v/>
      </c>
    </row>
    <row r="1686">
      <c r="B1686" s="0" t="inlineStr">
        <is>
          <t>YES</t>
        </is>
      </c>
      <c r="C1686" s="0" t="inlineStr">
        <is>
          <t>NULL</t>
        </is>
      </c>
      <c r="D1686" s="0" t="inlineStr">
        <is>
          <t>NULL</t>
        </is>
      </c>
      <c r="E1686" s="0" t="inlineStr">
        <is>
          <t>NULL</t>
        </is>
      </c>
      <c r="F1686" s="0" t="inlineStr">
        <is>
          <t>NULL</t>
        </is>
      </c>
      <c r="G1686" s="0" t="inlineStr">
        <is>
          <t>NULL</t>
        </is>
      </c>
      <c r="H1686" s="0" t="inlineStr">
        <is>
          <t>NULL</t>
        </is>
      </c>
      <c r="I1686" s="0" t="inlineStr">
        <is>
          <t>YES!PK__info_int__3213E83F7FA2DB7C</t>
        </is>
      </c>
      <c r="J1686" s="0" t="inlineStr">
        <is>
          <t>YES! 主键相关索引</t>
        </is>
      </c>
      <c r="K1686" s="0" t="inlineStr">
        <is>
          <t>YES! 	 id列源备映射正确，源端为int None位	期望更改为int	实际备端为int None位</t>
        </is>
      </c>
    </row>
    <row r="1687">
      <c r="B1687" s="0" t="inlineStr">
        <is>
          <t>NULL</t>
        </is>
      </c>
      <c r="C1687" s="0" t="inlineStr">
        <is>
          <t>NULL</t>
        </is>
      </c>
      <c r="D1687" s="0" t="inlineStr">
        <is>
          <t>NULL</t>
        </is>
      </c>
      <c r="E1687" s="0" t="inlineStr">
        <is>
          <t>NULL</t>
        </is>
      </c>
      <c r="F1687" s="0" t="inlineStr">
        <is>
          <t>NULL</t>
        </is>
      </c>
      <c r="G1687" s="0" t="inlineStr">
        <is>
          <t>NULL</t>
        </is>
      </c>
      <c r="H1687" s="0" t="inlineStr">
        <is>
          <t>NULL</t>
        </is>
      </c>
      <c r="I1687" s="0" t="inlineStr">
        <is>
          <t>NULL</t>
        </is>
      </c>
      <c r="J1687" s="0" t="inlineStr">
        <is>
          <t>NULL</t>
        </is>
      </c>
      <c r="K1687" s="0" t="inlineStr">
        <is>
          <t>YES! 	 c_tinyint列源备映射正确，源端为tinyint None位	期望更改为tinyint	实际备端为tinyint None位</t>
        </is>
      </c>
    </row>
    <row r="1688">
      <c r="B1688" s="0" t="inlineStr">
        <is>
          <t>NULL</t>
        </is>
      </c>
      <c r="C1688" s="0" t="inlineStr">
        <is>
          <t>NULL</t>
        </is>
      </c>
      <c r="D1688" s="0" t="inlineStr">
        <is>
          <t>NULL</t>
        </is>
      </c>
      <c r="E1688" s="0" t="inlineStr">
        <is>
          <t>NULL</t>
        </is>
      </c>
      <c r="F1688" s="0" t="inlineStr">
        <is>
          <t>NULL</t>
        </is>
      </c>
      <c r="G1688" s="0" t="inlineStr">
        <is>
          <t>NULL</t>
        </is>
      </c>
      <c r="H1688" s="0" t="inlineStr">
        <is>
          <t>NULL</t>
        </is>
      </c>
      <c r="I1688" s="0" t="inlineStr">
        <is>
          <t>NULL</t>
        </is>
      </c>
      <c r="J1688" s="0" t="inlineStr">
        <is>
          <t>NULL</t>
        </is>
      </c>
      <c r="K1688" s="0" t="inlineStr">
        <is>
          <t>YES! 	 c_smallint列源备映射正确，源端为smallint None位	期望更改为smallint	实际备端为smallint None位</t>
        </is>
      </c>
    </row>
    <row r="1689">
      <c r="B1689" s="0" t="inlineStr">
        <is>
          <t>NULL</t>
        </is>
      </c>
      <c r="C1689" s="0" t="inlineStr">
        <is>
          <t>NULL</t>
        </is>
      </c>
      <c r="D1689" s="0" t="inlineStr">
        <is>
          <t>NULL</t>
        </is>
      </c>
      <c r="E1689" s="0" t="inlineStr">
        <is>
          <t>NULL</t>
        </is>
      </c>
      <c r="F1689" s="0" t="inlineStr">
        <is>
          <t>NULL</t>
        </is>
      </c>
      <c r="G1689" s="0" t="inlineStr">
        <is>
          <t>NULL</t>
        </is>
      </c>
      <c r="H1689" s="0" t="inlineStr">
        <is>
          <t>NULL</t>
        </is>
      </c>
      <c r="I1689" s="0" t="inlineStr">
        <is>
          <t>NULL</t>
        </is>
      </c>
      <c r="J1689" s="0" t="inlineStr">
        <is>
          <t>NULL</t>
        </is>
      </c>
      <c r="K1689" s="0" t="inlineStr">
        <is>
          <t>YES! 	 c_int列源备映射正确，源端为int None位	期望更改为int	实际备端为int None位</t>
        </is>
      </c>
    </row>
    <row r="1690">
      <c r="B1690" s="0" t="inlineStr">
        <is>
          <t>NULL</t>
        </is>
      </c>
      <c r="C1690" s="0" t="inlineStr">
        <is>
          <t>NULL</t>
        </is>
      </c>
      <c r="D1690" s="0" t="inlineStr">
        <is>
          <t>NULL</t>
        </is>
      </c>
      <c r="E1690" s="0" t="inlineStr">
        <is>
          <t>NULL</t>
        </is>
      </c>
      <c r="F1690" s="0" t="inlineStr">
        <is>
          <t>NULL</t>
        </is>
      </c>
      <c r="G1690" s="0" t="inlineStr">
        <is>
          <t>NULL</t>
        </is>
      </c>
      <c r="H1690" s="0" t="inlineStr">
        <is>
          <t>NULL</t>
        </is>
      </c>
      <c r="I1690" s="0" t="inlineStr">
        <is>
          <t>NULL</t>
        </is>
      </c>
      <c r="J1690" s="0" t="inlineStr">
        <is>
          <t>NULL</t>
        </is>
      </c>
      <c r="K1690" s="0" t="inlineStr">
        <is>
          <t>YES! 	 c_bigint列源备映射正确，源端为bigint None位	期望更改为bigint	实际备端为bigint None位</t>
        </is>
      </c>
    </row>
    <row r="1691">
      <c r="B1691" s="0" t="inlineStr">
        <is>
          <t>NULL</t>
        </is>
      </c>
      <c r="C1691" s="0" t="inlineStr">
        <is>
          <t>NULL</t>
        </is>
      </c>
      <c r="D1691" s="0" t="inlineStr">
        <is>
          <t>NULL</t>
        </is>
      </c>
      <c r="E1691" s="0" t="inlineStr">
        <is>
          <t>NULL</t>
        </is>
      </c>
      <c r="F1691" s="0" t="inlineStr">
        <is>
          <t>NULL</t>
        </is>
      </c>
      <c r="G1691" s="0" t="inlineStr">
        <is>
          <t>NULL</t>
        </is>
      </c>
      <c r="H1691" s="0" t="inlineStr">
        <is>
          <t>NULL</t>
        </is>
      </c>
      <c r="I1691" s="0" t="inlineStr">
        <is>
          <t>NULL</t>
        </is>
      </c>
      <c r="J1691" s="0" t="inlineStr">
        <is>
          <t>NULL</t>
        </is>
      </c>
      <c r="K1691" s="0" t="inlineStr">
        <is>
          <t>YES! 	 c_decimal列源备映射正确，源端为decimal None位	期望更改为decimal(p,s)	实际备端为decimal None位</t>
        </is>
      </c>
    </row>
    <row r="1692">
      <c r="B1692" s="0" t="inlineStr">
        <is>
          <t>NULL</t>
        </is>
      </c>
      <c r="C1692" s="0" t="inlineStr">
        <is>
          <t>NULL</t>
        </is>
      </c>
      <c r="D1692" s="0" t="inlineStr">
        <is>
          <t>NULL</t>
        </is>
      </c>
      <c r="E1692" s="0" t="inlineStr">
        <is>
          <t>NULL</t>
        </is>
      </c>
      <c r="F1692" s="0" t="inlineStr">
        <is>
          <t>NULL</t>
        </is>
      </c>
      <c r="G1692" s="0" t="inlineStr">
        <is>
          <t>NULL</t>
        </is>
      </c>
      <c r="H1692" s="0" t="inlineStr">
        <is>
          <t>NULL</t>
        </is>
      </c>
      <c r="I1692" s="0" t="inlineStr">
        <is>
          <t>NULL</t>
        </is>
      </c>
      <c r="J1692" s="0" t="inlineStr">
        <is>
          <t>NULL</t>
        </is>
      </c>
      <c r="K1692" s="0" t="inlineStr">
        <is>
          <t>YES! 	 c_decimal38列源备映射正确，源端为decimal None位	期望更改为decimal(p,s)	实际备端为decimal None位</t>
        </is>
      </c>
    </row>
    <row r="1693">
      <c r="B1693" s="0" t="inlineStr">
        <is>
          <t>NULL</t>
        </is>
      </c>
      <c r="C1693" s="0" t="inlineStr">
        <is>
          <t>NULL</t>
        </is>
      </c>
      <c r="D1693" s="0" t="inlineStr">
        <is>
          <t>NULL</t>
        </is>
      </c>
      <c r="E1693" s="0" t="inlineStr">
        <is>
          <t>NULL</t>
        </is>
      </c>
      <c r="F1693" s="0" t="inlineStr">
        <is>
          <t>NULL</t>
        </is>
      </c>
      <c r="G1693" s="0" t="inlineStr">
        <is>
          <t>NULL</t>
        </is>
      </c>
      <c r="H1693" s="0" t="inlineStr">
        <is>
          <t>NULL</t>
        </is>
      </c>
      <c r="I1693" s="0" t="inlineStr">
        <is>
          <t>NULL</t>
        </is>
      </c>
      <c r="J1693" s="0" t="inlineStr">
        <is>
          <t>NULL</t>
        </is>
      </c>
      <c r="K1693" s="0" t="inlineStr">
        <is>
          <t>YES! 	 c_decimal38_38列源备映射正确，源端为decimal None位	期望更改为decimal(p,s)	实际备端为decimal None位</t>
        </is>
      </c>
    </row>
    <row r="1694">
      <c r="B1694" s="0" t="inlineStr">
        <is>
          <t>NULL</t>
        </is>
      </c>
      <c r="C1694" s="0" t="inlineStr">
        <is>
          <t>NULL</t>
        </is>
      </c>
      <c r="D1694" s="0" t="inlineStr">
        <is>
          <t>NULL</t>
        </is>
      </c>
      <c r="E1694" s="0" t="inlineStr">
        <is>
          <t>NULL</t>
        </is>
      </c>
      <c r="F1694" s="0" t="inlineStr">
        <is>
          <t>NULL</t>
        </is>
      </c>
      <c r="G1694" s="0" t="inlineStr">
        <is>
          <t>NULL</t>
        </is>
      </c>
      <c r="H1694" s="0" t="inlineStr">
        <is>
          <t>NULL</t>
        </is>
      </c>
      <c r="I1694" s="0" t="inlineStr">
        <is>
          <t>NULL</t>
        </is>
      </c>
      <c r="J1694" s="0" t="inlineStr">
        <is>
          <t>NULL</t>
        </is>
      </c>
      <c r="K1694" s="0" t="inlineStr">
        <is>
          <t>YES! 	 c_decimal38_10列源备映射正确，源端为decimal None位	期望更改为decimal(p,s)	实际备端为decimal None位</t>
        </is>
      </c>
    </row>
    <row r="1695">
      <c r="B1695" s="0" t="inlineStr">
        <is>
          <t>NULL</t>
        </is>
      </c>
      <c r="C1695" s="0" t="inlineStr">
        <is>
          <t>NULL</t>
        </is>
      </c>
      <c r="D1695" s="0" t="inlineStr">
        <is>
          <t>NULL</t>
        </is>
      </c>
      <c r="E1695" s="0" t="inlineStr">
        <is>
          <t>NULL</t>
        </is>
      </c>
      <c r="F1695" s="0" t="inlineStr">
        <is>
          <t>NULL</t>
        </is>
      </c>
      <c r="G1695" s="0" t="inlineStr">
        <is>
          <t>NULL</t>
        </is>
      </c>
      <c r="H1695" s="0" t="inlineStr">
        <is>
          <t>NULL</t>
        </is>
      </c>
      <c r="I1695" s="0" t="inlineStr">
        <is>
          <t>NULL</t>
        </is>
      </c>
      <c r="J1695" s="0" t="inlineStr">
        <is>
          <t>NULL</t>
        </is>
      </c>
      <c r="K1695" s="0" t="inlineStr">
        <is>
          <t>YES! 	 c_decimal19_4列源备映射正确，源端为decimal None位	期望更改为decimal(p,s)	实际备端为decimal None位</t>
        </is>
      </c>
    </row>
    <row r="1696">
      <c r="B1696" s="0" t="inlineStr">
        <is>
          <t>NULL</t>
        </is>
      </c>
      <c r="C1696" s="0" t="inlineStr">
        <is>
          <t>NULL</t>
        </is>
      </c>
      <c r="D1696" s="0" t="inlineStr">
        <is>
          <t>NULL</t>
        </is>
      </c>
      <c r="E1696" s="0" t="inlineStr">
        <is>
          <t>NULL</t>
        </is>
      </c>
      <c r="F1696" s="0" t="inlineStr">
        <is>
          <t>NULL</t>
        </is>
      </c>
      <c r="G1696" s="0" t="inlineStr">
        <is>
          <t>NULL</t>
        </is>
      </c>
      <c r="H1696" s="0" t="inlineStr">
        <is>
          <t>NULL</t>
        </is>
      </c>
      <c r="I1696" s="0" t="inlineStr">
        <is>
          <t>NULL</t>
        </is>
      </c>
      <c r="J1696" s="0" t="inlineStr">
        <is>
          <t>NULL</t>
        </is>
      </c>
      <c r="K1696" s="0" t="inlineStr">
        <is>
          <t>YES! 	 c_numeric列源备映射正确，源端为numeric None位	期望更改为numeric(p,s)	实际备端为numeric None位</t>
        </is>
      </c>
    </row>
    <row r="1697">
      <c r="B1697" s="0" t="inlineStr">
        <is>
          <t>NULL</t>
        </is>
      </c>
      <c r="C1697" s="0" t="inlineStr">
        <is>
          <t>NULL</t>
        </is>
      </c>
      <c r="D1697" s="0" t="inlineStr">
        <is>
          <t>NULL</t>
        </is>
      </c>
      <c r="E1697" s="0" t="inlineStr">
        <is>
          <t>NULL</t>
        </is>
      </c>
      <c r="F1697" s="0" t="inlineStr">
        <is>
          <t>NULL</t>
        </is>
      </c>
      <c r="G1697" s="0" t="inlineStr">
        <is>
          <t>NULL</t>
        </is>
      </c>
      <c r="H1697" s="0" t="inlineStr">
        <is>
          <t>NULL</t>
        </is>
      </c>
      <c r="I1697" s="0" t="inlineStr">
        <is>
          <t>NULL</t>
        </is>
      </c>
      <c r="J1697" s="0" t="inlineStr">
        <is>
          <t>NULL</t>
        </is>
      </c>
      <c r="K1697" s="0" t="inlineStr">
        <is>
          <t>YES! 	 c_numeric38列源备映射正确，源端为numeric None位	期望更改为numeric(p,s)	实际备端为numeric None位</t>
        </is>
      </c>
    </row>
    <row r="1698">
      <c r="B1698" s="0" t="inlineStr">
        <is>
          <t>NULL</t>
        </is>
      </c>
      <c r="C1698" s="0" t="inlineStr">
        <is>
          <t>NULL</t>
        </is>
      </c>
      <c r="D1698" s="0" t="inlineStr">
        <is>
          <t>NULL</t>
        </is>
      </c>
      <c r="E1698" s="0" t="inlineStr">
        <is>
          <t>NULL</t>
        </is>
      </c>
      <c r="F1698" s="0" t="inlineStr">
        <is>
          <t>NULL</t>
        </is>
      </c>
      <c r="G1698" s="0" t="inlineStr">
        <is>
          <t>NULL</t>
        </is>
      </c>
      <c r="H1698" s="0" t="inlineStr">
        <is>
          <t>NULL</t>
        </is>
      </c>
      <c r="I1698" s="0" t="inlineStr">
        <is>
          <t>NULL</t>
        </is>
      </c>
      <c r="J1698" s="0" t="inlineStr">
        <is>
          <t>NULL</t>
        </is>
      </c>
      <c r="K1698" s="0" t="inlineStr">
        <is>
          <t>YES! 	 c_numeric38_38列源备映射正确，源端为numeric None位	期望更改为numeric(p,s)	实际备端为numeric None位</t>
        </is>
      </c>
    </row>
    <row r="1699">
      <c r="B1699" s="0" t="inlineStr">
        <is>
          <t>NULL</t>
        </is>
      </c>
      <c r="C1699" s="0" t="inlineStr">
        <is>
          <t>NULL</t>
        </is>
      </c>
      <c r="D1699" s="0" t="inlineStr">
        <is>
          <t>NULL</t>
        </is>
      </c>
      <c r="E1699" s="0" t="inlineStr">
        <is>
          <t>NULL</t>
        </is>
      </c>
      <c r="F1699" s="0" t="inlineStr">
        <is>
          <t>NULL</t>
        </is>
      </c>
      <c r="G1699" s="0" t="inlineStr">
        <is>
          <t>NULL</t>
        </is>
      </c>
      <c r="H1699" s="0" t="inlineStr">
        <is>
          <t>NULL</t>
        </is>
      </c>
      <c r="I1699" s="0" t="inlineStr">
        <is>
          <t>NULL</t>
        </is>
      </c>
      <c r="J1699" s="0" t="inlineStr">
        <is>
          <t>NULL</t>
        </is>
      </c>
      <c r="K1699" s="0" t="inlineStr">
        <is>
          <t>YES! 	 c_numeric38_10列源备映射正确，源端为numeric None位	期望更改为numeric(p,s)	实际备端为numeric None位</t>
        </is>
      </c>
    </row>
    <row r="1700">
      <c r="B1700" s="0" t="inlineStr">
        <is>
          <t>NULL</t>
        </is>
      </c>
      <c r="C1700" s="0" t="inlineStr">
        <is>
          <t>NULL</t>
        </is>
      </c>
      <c r="D1700" s="0" t="inlineStr">
        <is>
          <t>NULL</t>
        </is>
      </c>
      <c r="E1700" s="0" t="inlineStr">
        <is>
          <t>NULL</t>
        </is>
      </c>
      <c r="F1700" s="0" t="inlineStr">
        <is>
          <t>NULL</t>
        </is>
      </c>
      <c r="G1700" s="0" t="inlineStr">
        <is>
          <t>NULL</t>
        </is>
      </c>
      <c r="H1700" s="0" t="inlineStr">
        <is>
          <t>NULL</t>
        </is>
      </c>
      <c r="I1700" s="0" t="inlineStr">
        <is>
          <t>NULL</t>
        </is>
      </c>
      <c r="J1700" s="0" t="inlineStr">
        <is>
          <t>NULL</t>
        </is>
      </c>
      <c r="K1700" s="0" t="inlineStr">
        <is>
          <t>YES! 	 c_numeric18_2列源备映射正确，源端为numeric None位	期望更改为numeric(p,s)	实际备端为numeric None位</t>
        </is>
      </c>
    </row>
    <row r="1701">
      <c r="B1701" s="0" t="inlineStr">
        <is>
          <t>NULL</t>
        </is>
      </c>
      <c r="C1701" s="0" t="inlineStr">
        <is>
          <t>NULL</t>
        </is>
      </c>
      <c r="D1701" s="0" t="inlineStr">
        <is>
          <t>NULL</t>
        </is>
      </c>
      <c r="E1701" s="0" t="inlineStr">
        <is>
          <t>NULL</t>
        </is>
      </c>
      <c r="F1701" s="0" t="inlineStr">
        <is>
          <t>NULL</t>
        </is>
      </c>
      <c r="G1701" s="0" t="inlineStr">
        <is>
          <t>NULL</t>
        </is>
      </c>
      <c r="H1701" s="0" t="inlineStr">
        <is>
          <t>NULL</t>
        </is>
      </c>
      <c r="I1701" s="0" t="inlineStr">
        <is>
          <t>NULL</t>
        </is>
      </c>
      <c r="J1701" s="0" t="inlineStr">
        <is>
          <t>NULL</t>
        </is>
      </c>
      <c r="K1701" s="0" t="inlineStr">
        <is>
          <t>YES! 	 c_float列源备映射正确，源端为float None位	期望更改为float	实际备端为float None位</t>
        </is>
      </c>
    </row>
    <row r="1702">
      <c r="B1702" s="0" t="inlineStr">
        <is>
          <t>NULL</t>
        </is>
      </c>
      <c r="C1702" s="0" t="inlineStr">
        <is>
          <t>NULL</t>
        </is>
      </c>
      <c r="D1702" s="0" t="inlineStr">
        <is>
          <t>NULL</t>
        </is>
      </c>
      <c r="E1702" s="0" t="inlineStr">
        <is>
          <t>NULL</t>
        </is>
      </c>
      <c r="F1702" s="0" t="inlineStr">
        <is>
          <t>NULL</t>
        </is>
      </c>
      <c r="G1702" s="0" t="inlineStr">
        <is>
          <t>NULL</t>
        </is>
      </c>
      <c r="H1702" s="0" t="inlineStr">
        <is>
          <t>NULL</t>
        </is>
      </c>
      <c r="I1702" s="0" t="inlineStr">
        <is>
          <t>NULL</t>
        </is>
      </c>
      <c r="J1702" s="0" t="inlineStr">
        <is>
          <t>NULL</t>
        </is>
      </c>
      <c r="K1702" s="0" t="inlineStr">
        <is>
          <t>YES! 	 c_real列源备映射正确，源端为real None位	期望更改为real	实际备端为real None位</t>
        </is>
      </c>
    </row>
    <row r="1703">
      <c r="B1703" s="0" t="inlineStr">
        <is>
          <t>NULL</t>
        </is>
      </c>
      <c r="C1703" s="0" t="inlineStr">
        <is>
          <t>NULL</t>
        </is>
      </c>
      <c r="D1703" s="0" t="inlineStr">
        <is>
          <t>NULL</t>
        </is>
      </c>
      <c r="E1703" s="0" t="inlineStr">
        <is>
          <t>NULL</t>
        </is>
      </c>
      <c r="F1703" s="0" t="inlineStr">
        <is>
          <t>NULL</t>
        </is>
      </c>
      <c r="G1703" s="0" t="inlineStr">
        <is>
          <t>NULL</t>
        </is>
      </c>
      <c r="H1703" s="0" t="inlineStr">
        <is>
          <t>NULL</t>
        </is>
      </c>
      <c r="I1703" s="0" t="inlineStr">
        <is>
          <t>NULL</t>
        </is>
      </c>
      <c r="J1703" s="0" t="inlineStr">
        <is>
          <t>NULL</t>
        </is>
      </c>
      <c r="K1703" s="0" t="inlineStr">
        <is>
          <t>YES! 	 c_money列源备映射正确，源端为money None位	期望更改为money	实际备端为money None位</t>
        </is>
      </c>
    </row>
    <row r="1704">
      <c r="B1704" s="0" t="inlineStr">
        <is>
          <t>NULL</t>
        </is>
      </c>
      <c r="C1704" s="0" t="inlineStr">
        <is>
          <t>NULL</t>
        </is>
      </c>
      <c r="D1704" s="0" t="inlineStr">
        <is>
          <t>NULL</t>
        </is>
      </c>
      <c r="E1704" s="0" t="inlineStr">
        <is>
          <t>NULL</t>
        </is>
      </c>
      <c r="F1704" s="0" t="inlineStr">
        <is>
          <t>NULL</t>
        </is>
      </c>
      <c r="G1704" s="0" t="inlineStr">
        <is>
          <t>NULL</t>
        </is>
      </c>
      <c r="H1704" s="0" t="inlineStr">
        <is>
          <t>NULL</t>
        </is>
      </c>
      <c r="I1704" s="0" t="inlineStr">
        <is>
          <t>NULL</t>
        </is>
      </c>
      <c r="J1704" s="0" t="inlineStr">
        <is>
          <t>NULL</t>
        </is>
      </c>
      <c r="K1704" s="0" t="inlineStr">
        <is>
          <t>YES! 	 c_smallmoney列源备映射正确，源端为smallmoney None位	期望更改为smallmoney	实际备端为smallmoney None位</t>
        </is>
      </c>
    </row>
    <row r="1705">
      <c r="B1705" s="0" t="inlineStr">
        <is>
          <t>NULL</t>
        </is>
      </c>
      <c r="C1705" s="0" t="inlineStr">
        <is>
          <t>NULL</t>
        </is>
      </c>
      <c r="D1705" s="0" t="inlineStr">
        <is>
          <t>NULL</t>
        </is>
      </c>
      <c r="E1705" s="0" t="inlineStr">
        <is>
          <t>NULL</t>
        </is>
      </c>
      <c r="F1705" s="0" t="inlineStr">
        <is>
          <t>NULL</t>
        </is>
      </c>
      <c r="G1705" s="0" t="inlineStr">
        <is>
          <t>NULL</t>
        </is>
      </c>
      <c r="H1705" s="0" t="inlineStr">
        <is>
          <t>NULL</t>
        </is>
      </c>
      <c r="I1705" s="0" t="inlineStr">
        <is>
          <t>NULL</t>
        </is>
      </c>
      <c r="J1705" s="0" t="inlineStr">
        <is>
          <t>NULL</t>
        </is>
      </c>
      <c r="K1705" s="0" t="inlineStr">
        <is>
          <t>YES! 	 c_bit列源备映射正确，源端为bit None位	期望更改为bit	实际备端为bit None位</t>
        </is>
      </c>
    </row>
    <row r="1706">
      <c r="A1706" s="0" t="inlineStr">
        <is>
          <t>info_int_dml_batch2_pk_irp1</t>
        </is>
      </c>
      <c r="K1706" s="0" t="inlineStr">
        <is>
          <t>[0;34m info_int_dml_batch2_pk_irp1 [0m源备字段数相同，源端字段：20 	备端字段20</t>
        </is>
      </c>
      <c r="W1706" s="0" t="inlineStr">
        <is>
          <t>YES 源备无差异</t>
        </is>
      </c>
      <c r="X1706" s="0">
        <f>A1706</f>
        <v/>
      </c>
    </row>
    <row r="1707">
      <c r="B1707" s="0" t="inlineStr">
        <is>
          <t>YES</t>
        </is>
      </c>
      <c r="C1707" s="0" t="inlineStr">
        <is>
          <t>NULL</t>
        </is>
      </c>
      <c r="D1707" s="0" t="inlineStr">
        <is>
          <t>NULL</t>
        </is>
      </c>
      <c r="E1707" s="0" t="inlineStr">
        <is>
          <t>NULL</t>
        </is>
      </c>
      <c r="F1707" s="0" t="inlineStr">
        <is>
          <t>NULL</t>
        </is>
      </c>
      <c r="G1707" s="0" t="inlineStr">
        <is>
          <t>NULL</t>
        </is>
      </c>
      <c r="H1707" s="0" t="inlineStr">
        <is>
          <t>NULL</t>
        </is>
      </c>
      <c r="I1707" s="0" t="inlineStr">
        <is>
          <t>YES!PK__info_int__3213E83FC4381871</t>
        </is>
      </c>
      <c r="J1707" s="0" t="inlineStr">
        <is>
          <t>YES! 主键相关索引</t>
        </is>
      </c>
      <c r="K1707" s="0" t="inlineStr">
        <is>
          <t>YES! 	 id列源备映射正确，源端为int None位	期望更改为int	实际备端为int None位</t>
        </is>
      </c>
    </row>
    <row r="1708">
      <c r="B1708" s="0" t="inlineStr">
        <is>
          <t>NULL</t>
        </is>
      </c>
      <c r="C1708" s="0" t="inlineStr">
        <is>
          <t>NULL</t>
        </is>
      </c>
      <c r="D1708" s="0" t="inlineStr">
        <is>
          <t>NULL</t>
        </is>
      </c>
      <c r="E1708" s="0" t="inlineStr">
        <is>
          <t>NULL</t>
        </is>
      </c>
      <c r="F1708" s="0" t="inlineStr">
        <is>
          <t>NULL</t>
        </is>
      </c>
      <c r="G1708" s="0" t="inlineStr">
        <is>
          <t>NULL</t>
        </is>
      </c>
      <c r="H1708" s="0" t="inlineStr">
        <is>
          <t>NULL</t>
        </is>
      </c>
      <c r="I1708" s="0" t="inlineStr">
        <is>
          <t>NULL</t>
        </is>
      </c>
      <c r="J1708" s="0" t="inlineStr">
        <is>
          <t>NULL</t>
        </is>
      </c>
      <c r="K1708" s="0" t="inlineStr">
        <is>
          <t>YES! 	 c_tinyint列源备映射正确，源端为tinyint None位	期望更改为tinyint	实际备端为tinyint None位</t>
        </is>
      </c>
    </row>
    <row r="1709">
      <c r="B1709" s="0" t="inlineStr">
        <is>
          <t>NULL</t>
        </is>
      </c>
      <c r="C1709" s="0" t="inlineStr">
        <is>
          <t>NULL</t>
        </is>
      </c>
      <c r="D1709" s="0" t="inlineStr">
        <is>
          <t>NULL</t>
        </is>
      </c>
      <c r="E1709" s="0" t="inlineStr">
        <is>
          <t>NULL</t>
        </is>
      </c>
      <c r="F1709" s="0" t="inlineStr">
        <is>
          <t>NULL</t>
        </is>
      </c>
      <c r="G1709" s="0" t="inlineStr">
        <is>
          <t>NULL</t>
        </is>
      </c>
      <c r="H1709" s="0" t="inlineStr">
        <is>
          <t>NULL</t>
        </is>
      </c>
      <c r="I1709" s="0" t="inlineStr">
        <is>
          <t>NULL</t>
        </is>
      </c>
      <c r="J1709" s="0" t="inlineStr">
        <is>
          <t>NULL</t>
        </is>
      </c>
      <c r="K1709" s="0" t="inlineStr">
        <is>
          <t>YES! 	 c_smallint列源备映射正确，源端为smallint None位	期望更改为smallint	实际备端为smallint None位</t>
        </is>
      </c>
    </row>
    <row r="1710">
      <c r="B1710" s="0" t="inlineStr">
        <is>
          <t>NULL</t>
        </is>
      </c>
      <c r="C1710" s="0" t="inlineStr">
        <is>
          <t>NULL</t>
        </is>
      </c>
      <c r="D1710" s="0" t="inlineStr">
        <is>
          <t>NULL</t>
        </is>
      </c>
      <c r="E1710" s="0" t="inlineStr">
        <is>
          <t>NULL</t>
        </is>
      </c>
      <c r="F1710" s="0" t="inlineStr">
        <is>
          <t>NULL</t>
        </is>
      </c>
      <c r="G1710" s="0" t="inlineStr">
        <is>
          <t>NULL</t>
        </is>
      </c>
      <c r="H1710" s="0" t="inlineStr">
        <is>
          <t>NULL</t>
        </is>
      </c>
      <c r="I1710" s="0" t="inlineStr">
        <is>
          <t>NULL</t>
        </is>
      </c>
      <c r="J1710" s="0" t="inlineStr">
        <is>
          <t>NULL</t>
        </is>
      </c>
      <c r="K1710" s="0" t="inlineStr">
        <is>
          <t>YES! 	 c_int列源备映射正确，源端为int None位	期望更改为int	实际备端为int None位</t>
        </is>
      </c>
    </row>
    <row r="1711">
      <c r="B1711" s="0" t="inlineStr">
        <is>
          <t>NULL</t>
        </is>
      </c>
      <c r="C1711" s="0" t="inlineStr">
        <is>
          <t>NULL</t>
        </is>
      </c>
      <c r="D1711" s="0" t="inlineStr">
        <is>
          <t>NULL</t>
        </is>
      </c>
      <c r="E1711" s="0" t="inlineStr">
        <is>
          <t>NULL</t>
        </is>
      </c>
      <c r="F1711" s="0" t="inlineStr">
        <is>
          <t>NULL</t>
        </is>
      </c>
      <c r="G1711" s="0" t="inlineStr">
        <is>
          <t>NULL</t>
        </is>
      </c>
      <c r="H1711" s="0" t="inlineStr">
        <is>
          <t>NULL</t>
        </is>
      </c>
      <c r="I1711" s="0" t="inlineStr">
        <is>
          <t>NULL</t>
        </is>
      </c>
      <c r="J1711" s="0" t="inlineStr">
        <is>
          <t>NULL</t>
        </is>
      </c>
      <c r="K1711" s="0" t="inlineStr">
        <is>
          <t>YES! 	 c_bigint列源备映射正确，源端为bigint None位	期望更改为bigint	实际备端为bigint None位</t>
        </is>
      </c>
    </row>
    <row r="1712">
      <c r="B1712" s="0" t="inlineStr">
        <is>
          <t>NULL</t>
        </is>
      </c>
      <c r="C1712" s="0" t="inlineStr">
        <is>
          <t>NULL</t>
        </is>
      </c>
      <c r="D1712" s="0" t="inlineStr">
        <is>
          <t>NULL</t>
        </is>
      </c>
      <c r="E1712" s="0" t="inlineStr">
        <is>
          <t>NULL</t>
        </is>
      </c>
      <c r="F1712" s="0" t="inlineStr">
        <is>
          <t>NULL</t>
        </is>
      </c>
      <c r="G1712" s="0" t="inlineStr">
        <is>
          <t>NULL</t>
        </is>
      </c>
      <c r="H1712" s="0" t="inlineStr">
        <is>
          <t>NULL</t>
        </is>
      </c>
      <c r="I1712" s="0" t="inlineStr">
        <is>
          <t>NULL</t>
        </is>
      </c>
      <c r="J1712" s="0" t="inlineStr">
        <is>
          <t>NULL</t>
        </is>
      </c>
      <c r="K1712" s="0" t="inlineStr">
        <is>
          <t>YES! 	 c_decimal列源备映射正确，源端为decimal None位	期望更改为decimal(p,s)	实际备端为decimal None位</t>
        </is>
      </c>
    </row>
    <row r="1713">
      <c r="B1713" s="0" t="inlineStr">
        <is>
          <t>NULL</t>
        </is>
      </c>
      <c r="C1713" s="0" t="inlineStr">
        <is>
          <t>NULL</t>
        </is>
      </c>
      <c r="D1713" s="0" t="inlineStr">
        <is>
          <t>NULL</t>
        </is>
      </c>
      <c r="E1713" s="0" t="inlineStr">
        <is>
          <t>NULL</t>
        </is>
      </c>
      <c r="F1713" s="0" t="inlineStr">
        <is>
          <t>NULL</t>
        </is>
      </c>
      <c r="G1713" s="0" t="inlineStr">
        <is>
          <t>NULL</t>
        </is>
      </c>
      <c r="H1713" s="0" t="inlineStr">
        <is>
          <t>NULL</t>
        </is>
      </c>
      <c r="I1713" s="0" t="inlineStr">
        <is>
          <t>NULL</t>
        </is>
      </c>
      <c r="J1713" s="0" t="inlineStr">
        <is>
          <t>NULL</t>
        </is>
      </c>
      <c r="K1713" s="0" t="inlineStr">
        <is>
          <t>YES! 	 c_decimal38列源备映射正确，源端为decimal None位	期望更改为decimal(p,s)	实际备端为decimal None位</t>
        </is>
      </c>
    </row>
    <row r="1714">
      <c r="B1714" s="0" t="inlineStr">
        <is>
          <t>NULL</t>
        </is>
      </c>
      <c r="C1714" s="0" t="inlineStr">
        <is>
          <t>NULL</t>
        </is>
      </c>
      <c r="D1714" s="0" t="inlineStr">
        <is>
          <t>NULL</t>
        </is>
      </c>
      <c r="E1714" s="0" t="inlineStr">
        <is>
          <t>NULL</t>
        </is>
      </c>
      <c r="F1714" s="0" t="inlineStr">
        <is>
          <t>NULL</t>
        </is>
      </c>
      <c r="G1714" s="0" t="inlineStr">
        <is>
          <t>NULL</t>
        </is>
      </c>
      <c r="H1714" s="0" t="inlineStr">
        <is>
          <t>NULL</t>
        </is>
      </c>
      <c r="I1714" s="0" t="inlineStr">
        <is>
          <t>NULL</t>
        </is>
      </c>
      <c r="J1714" s="0" t="inlineStr">
        <is>
          <t>NULL</t>
        </is>
      </c>
      <c r="K1714" s="0" t="inlineStr">
        <is>
          <t>YES! 	 c_decimal38_38列源备映射正确，源端为decimal None位	期望更改为decimal(p,s)	实际备端为decimal None位</t>
        </is>
      </c>
    </row>
    <row r="1715">
      <c r="B1715" s="0" t="inlineStr">
        <is>
          <t>NULL</t>
        </is>
      </c>
      <c r="C1715" s="0" t="inlineStr">
        <is>
          <t>NULL</t>
        </is>
      </c>
      <c r="D1715" s="0" t="inlineStr">
        <is>
          <t>NULL</t>
        </is>
      </c>
      <c r="E1715" s="0" t="inlineStr">
        <is>
          <t>NULL</t>
        </is>
      </c>
      <c r="F1715" s="0" t="inlineStr">
        <is>
          <t>NULL</t>
        </is>
      </c>
      <c r="G1715" s="0" t="inlineStr">
        <is>
          <t>NULL</t>
        </is>
      </c>
      <c r="H1715" s="0" t="inlineStr">
        <is>
          <t>NULL</t>
        </is>
      </c>
      <c r="I1715" s="0" t="inlineStr">
        <is>
          <t>NULL</t>
        </is>
      </c>
      <c r="J1715" s="0" t="inlineStr">
        <is>
          <t>NULL</t>
        </is>
      </c>
      <c r="K1715" s="0" t="inlineStr">
        <is>
          <t>YES! 	 c_decimal38_10列源备映射正确，源端为decimal None位	期望更改为decimal(p,s)	实际备端为decimal None位</t>
        </is>
      </c>
    </row>
    <row r="1716">
      <c r="B1716" s="0" t="inlineStr">
        <is>
          <t>NULL</t>
        </is>
      </c>
      <c r="C1716" s="0" t="inlineStr">
        <is>
          <t>NULL</t>
        </is>
      </c>
      <c r="D1716" s="0" t="inlineStr">
        <is>
          <t>NULL</t>
        </is>
      </c>
      <c r="E1716" s="0" t="inlineStr">
        <is>
          <t>NULL</t>
        </is>
      </c>
      <c r="F1716" s="0" t="inlineStr">
        <is>
          <t>NULL</t>
        </is>
      </c>
      <c r="G1716" s="0" t="inlineStr">
        <is>
          <t>NULL</t>
        </is>
      </c>
      <c r="H1716" s="0" t="inlineStr">
        <is>
          <t>NULL</t>
        </is>
      </c>
      <c r="I1716" s="0" t="inlineStr">
        <is>
          <t>NULL</t>
        </is>
      </c>
      <c r="J1716" s="0" t="inlineStr">
        <is>
          <t>NULL</t>
        </is>
      </c>
      <c r="K1716" s="0" t="inlineStr">
        <is>
          <t>YES! 	 c_decimal19_4列源备映射正确，源端为decimal None位	期望更改为decimal(p,s)	实际备端为decimal None位</t>
        </is>
      </c>
    </row>
    <row r="1717">
      <c r="B1717" s="0" t="inlineStr">
        <is>
          <t>NULL</t>
        </is>
      </c>
      <c r="C1717" s="0" t="inlineStr">
        <is>
          <t>NULL</t>
        </is>
      </c>
      <c r="D1717" s="0" t="inlineStr">
        <is>
          <t>NULL</t>
        </is>
      </c>
      <c r="E1717" s="0" t="inlineStr">
        <is>
          <t>NULL</t>
        </is>
      </c>
      <c r="F1717" s="0" t="inlineStr">
        <is>
          <t>NULL</t>
        </is>
      </c>
      <c r="G1717" s="0" t="inlineStr">
        <is>
          <t>NULL</t>
        </is>
      </c>
      <c r="H1717" s="0" t="inlineStr">
        <is>
          <t>NULL</t>
        </is>
      </c>
      <c r="I1717" s="0" t="inlineStr">
        <is>
          <t>NULL</t>
        </is>
      </c>
      <c r="J1717" s="0" t="inlineStr">
        <is>
          <t>NULL</t>
        </is>
      </c>
      <c r="K1717" s="0" t="inlineStr">
        <is>
          <t>YES! 	 c_numeric列源备映射正确，源端为numeric None位	期望更改为numeric(p,s)	实际备端为numeric None位</t>
        </is>
      </c>
    </row>
    <row r="1718">
      <c r="B1718" s="0" t="inlineStr">
        <is>
          <t>NULL</t>
        </is>
      </c>
      <c r="C1718" s="0" t="inlineStr">
        <is>
          <t>NULL</t>
        </is>
      </c>
      <c r="D1718" s="0" t="inlineStr">
        <is>
          <t>NULL</t>
        </is>
      </c>
      <c r="E1718" s="0" t="inlineStr">
        <is>
          <t>NULL</t>
        </is>
      </c>
      <c r="F1718" s="0" t="inlineStr">
        <is>
          <t>NULL</t>
        </is>
      </c>
      <c r="G1718" s="0" t="inlineStr">
        <is>
          <t>NULL</t>
        </is>
      </c>
      <c r="H1718" s="0" t="inlineStr">
        <is>
          <t>NULL</t>
        </is>
      </c>
      <c r="I1718" s="0" t="inlineStr">
        <is>
          <t>NULL</t>
        </is>
      </c>
      <c r="J1718" s="0" t="inlineStr">
        <is>
          <t>NULL</t>
        </is>
      </c>
      <c r="K1718" s="0" t="inlineStr">
        <is>
          <t>YES! 	 c_numeric38列源备映射正确，源端为numeric None位	期望更改为numeric(p,s)	实际备端为numeric None位</t>
        </is>
      </c>
    </row>
    <row r="1719">
      <c r="B1719" s="0" t="inlineStr">
        <is>
          <t>NULL</t>
        </is>
      </c>
      <c r="C1719" s="0" t="inlineStr">
        <is>
          <t>NULL</t>
        </is>
      </c>
      <c r="D1719" s="0" t="inlineStr">
        <is>
          <t>NULL</t>
        </is>
      </c>
      <c r="E1719" s="0" t="inlineStr">
        <is>
          <t>NULL</t>
        </is>
      </c>
      <c r="F1719" s="0" t="inlineStr">
        <is>
          <t>NULL</t>
        </is>
      </c>
      <c r="G1719" s="0" t="inlineStr">
        <is>
          <t>NULL</t>
        </is>
      </c>
      <c r="H1719" s="0" t="inlineStr">
        <is>
          <t>NULL</t>
        </is>
      </c>
      <c r="I1719" s="0" t="inlineStr">
        <is>
          <t>NULL</t>
        </is>
      </c>
      <c r="J1719" s="0" t="inlineStr">
        <is>
          <t>NULL</t>
        </is>
      </c>
      <c r="K1719" s="0" t="inlineStr">
        <is>
          <t>YES! 	 c_numeric38_38列源备映射正确，源端为numeric None位	期望更改为numeric(p,s)	实际备端为numeric None位</t>
        </is>
      </c>
    </row>
    <row r="1720">
      <c r="B1720" s="0" t="inlineStr">
        <is>
          <t>NULL</t>
        </is>
      </c>
      <c r="C1720" s="0" t="inlineStr">
        <is>
          <t>NULL</t>
        </is>
      </c>
      <c r="D1720" s="0" t="inlineStr">
        <is>
          <t>NULL</t>
        </is>
      </c>
      <c r="E1720" s="0" t="inlineStr">
        <is>
          <t>NULL</t>
        </is>
      </c>
      <c r="F1720" s="0" t="inlineStr">
        <is>
          <t>NULL</t>
        </is>
      </c>
      <c r="G1720" s="0" t="inlineStr">
        <is>
          <t>NULL</t>
        </is>
      </c>
      <c r="H1720" s="0" t="inlineStr">
        <is>
          <t>NULL</t>
        </is>
      </c>
      <c r="I1720" s="0" t="inlineStr">
        <is>
          <t>NULL</t>
        </is>
      </c>
      <c r="J1720" s="0" t="inlineStr">
        <is>
          <t>NULL</t>
        </is>
      </c>
      <c r="K1720" s="0" t="inlineStr">
        <is>
          <t>YES! 	 c_numeric38_10列源备映射正确，源端为numeric None位	期望更改为numeric(p,s)	实际备端为numeric None位</t>
        </is>
      </c>
    </row>
    <row r="1721">
      <c r="B1721" s="0" t="inlineStr">
        <is>
          <t>NULL</t>
        </is>
      </c>
      <c r="C1721" s="0" t="inlineStr">
        <is>
          <t>NULL</t>
        </is>
      </c>
      <c r="D1721" s="0" t="inlineStr">
        <is>
          <t>NULL</t>
        </is>
      </c>
      <c r="E1721" s="0" t="inlineStr">
        <is>
          <t>NULL</t>
        </is>
      </c>
      <c r="F1721" s="0" t="inlineStr">
        <is>
          <t>NULL</t>
        </is>
      </c>
      <c r="G1721" s="0" t="inlineStr">
        <is>
          <t>NULL</t>
        </is>
      </c>
      <c r="H1721" s="0" t="inlineStr">
        <is>
          <t>NULL</t>
        </is>
      </c>
      <c r="I1721" s="0" t="inlineStr">
        <is>
          <t>NULL</t>
        </is>
      </c>
      <c r="J1721" s="0" t="inlineStr">
        <is>
          <t>NULL</t>
        </is>
      </c>
      <c r="K1721" s="0" t="inlineStr">
        <is>
          <t>YES! 	 c_numeric18_2列源备映射正确，源端为numeric None位	期望更改为numeric(p,s)	实际备端为numeric None位</t>
        </is>
      </c>
    </row>
    <row r="1722">
      <c r="B1722" s="0" t="inlineStr">
        <is>
          <t>NULL</t>
        </is>
      </c>
      <c r="C1722" s="0" t="inlineStr">
        <is>
          <t>NULL</t>
        </is>
      </c>
      <c r="D1722" s="0" t="inlineStr">
        <is>
          <t>NULL</t>
        </is>
      </c>
      <c r="E1722" s="0" t="inlineStr">
        <is>
          <t>NULL</t>
        </is>
      </c>
      <c r="F1722" s="0" t="inlineStr">
        <is>
          <t>NULL</t>
        </is>
      </c>
      <c r="G1722" s="0" t="inlineStr">
        <is>
          <t>NULL</t>
        </is>
      </c>
      <c r="H1722" s="0" t="inlineStr">
        <is>
          <t>NULL</t>
        </is>
      </c>
      <c r="I1722" s="0" t="inlineStr">
        <is>
          <t>NULL</t>
        </is>
      </c>
      <c r="J1722" s="0" t="inlineStr">
        <is>
          <t>NULL</t>
        </is>
      </c>
      <c r="K1722" s="0" t="inlineStr">
        <is>
          <t>YES! 	 c_float列源备映射正确，源端为float None位	期望更改为float	实际备端为float None位</t>
        </is>
      </c>
    </row>
    <row r="1723">
      <c r="B1723" s="0" t="inlineStr">
        <is>
          <t>NULL</t>
        </is>
      </c>
      <c r="C1723" s="0" t="inlineStr">
        <is>
          <t>NULL</t>
        </is>
      </c>
      <c r="D1723" s="0" t="inlineStr">
        <is>
          <t>NULL</t>
        </is>
      </c>
      <c r="E1723" s="0" t="inlineStr">
        <is>
          <t>NULL</t>
        </is>
      </c>
      <c r="F1723" s="0" t="inlineStr">
        <is>
          <t>NULL</t>
        </is>
      </c>
      <c r="G1723" s="0" t="inlineStr">
        <is>
          <t>NULL</t>
        </is>
      </c>
      <c r="H1723" s="0" t="inlineStr">
        <is>
          <t>NULL</t>
        </is>
      </c>
      <c r="I1723" s="0" t="inlineStr">
        <is>
          <t>NULL</t>
        </is>
      </c>
      <c r="J1723" s="0" t="inlineStr">
        <is>
          <t>NULL</t>
        </is>
      </c>
      <c r="K1723" s="0" t="inlineStr">
        <is>
          <t>YES! 	 c_real列源备映射正确，源端为real None位	期望更改为real	实际备端为real None位</t>
        </is>
      </c>
    </row>
    <row r="1724">
      <c r="B1724" s="0" t="inlineStr">
        <is>
          <t>NULL</t>
        </is>
      </c>
      <c r="C1724" s="0" t="inlineStr">
        <is>
          <t>NULL</t>
        </is>
      </c>
      <c r="D1724" s="0" t="inlineStr">
        <is>
          <t>NULL</t>
        </is>
      </c>
      <c r="E1724" s="0" t="inlineStr">
        <is>
          <t>NULL</t>
        </is>
      </c>
      <c r="F1724" s="0" t="inlineStr">
        <is>
          <t>NULL</t>
        </is>
      </c>
      <c r="G1724" s="0" t="inlineStr">
        <is>
          <t>NULL</t>
        </is>
      </c>
      <c r="H1724" s="0" t="inlineStr">
        <is>
          <t>NULL</t>
        </is>
      </c>
      <c r="I1724" s="0" t="inlineStr">
        <is>
          <t>NULL</t>
        </is>
      </c>
      <c r="J1724" s="0" t="inlineStr">
        <is>
          <t>NULL</t>
        </is>
      </c>
      <c r="K1724" s="0" t="inlineStr">
        <is>
          <t>YES! 	 c_money列源备映射正确，源端为money None位	期望更改为money	实际备端为money None位</t>
        </is>
      </c>
    </row>
    <row r="1725">
      <c r="B1725" s="0" t="inlineStr">
        <is>
          <t>NULL</t>
        </is>
      </c>
      <c r="C1725" s="0" t="inlineStr">
        <is>
          <t>NULL</t>
        </is>
      </c>
      <c r="D1725" s="0" t="inlineStr">
        <is>
          <t>NULL</t>
        </is>
      </c>
      <c r="E1725" s="0" t="inlineStr">
        <is>
          <t>NULL</t>
        </is>
      </c>
      <c r="F1725" s="0" t="inlineStr">
        <is>
          <t>NULL</t>
        </is>
      </c>
      <c r="G1725" s="0" t="inlineStr">
        <is>
          <t>NULL</t>
        </is>
      </c>
      <c r="H1725" s="0" t="inlineStr">
        <is>
          <t>NULL</t>
        </is>
      </c>
      <c r="I1725" s="0" t="inlineStr">
        <is>
          <t>NULL</t>
        </is>
      </c>
      <c r="J1725" s="0" t="inlineStr">
        <is>
          <t>NULL</t>
        </is>
      </c>
      <c r="K1725" s="0" t="inlineStr">
        <is>
          <t>YES! 	 c_smallmoney列源备映射正确，源端为smallmoney None位	期望更改为smallmoney	实际备端为smallmoney None位</t>
        </is>
      </c>
    </row>
    <row r="1726">
      <c r="B1726" s="0" t="inlineStr">
        <is>
          <t>NULL</t>
        </is>
      </c>
      <c r="C1726" s="0" t="inlineStr">
        <is>
          <t>NULL</t>
        </is>
      </c>
      <c r="D1726" s="0" t="inlineStr">
        <is>
          <t>NULL</t>
        </is>
      </c>
      <c r="E1726" s="0" t="inlineStr">
        <is>
          <t>NULL</t>
        </is>
      </c>
      <c r="F1726" s="0" t="inlineStr">
        <is>
          <t>NULL</t>
        </is>
      </c>
      <c r="G1726" s="0" t="inlineStr">
        <is>
          <t>NULL</t>
        </is>
      </c>
      <c r="H1726" s="0" t="inlineStr">
        <is>
          <t>NULL</t>
        </is>
      </c>
      <c r="I1726" s="0" t="inlineStr">
        <is>
          <t>NULL</t>
        </is>
      </c>
      <c r="J1726" s="0" t="inlineStr">
        <is>
          <t>NULL</t>
        </is>
      </c>
      <c r="K1726" s="0" t="inlineStr">
        <is>
          <t>YES! 	 c_bit列源备映射正确，源端为bit None位	期望更改为bit	实际备端为bit None位</t>
        </is>
      </c>
    </row>
    <row r="1727">
      <c r="A1727" s="0" t="inlineStr">
        <is>
          <t>info_uniqueidentifier_dml_single_pk</t>
        </is>
      </c>
      <c r="K1727" s="0" t="inlineStr">
        <is>
          <t>[0;34m info_uniqueidentifier_dml_single_pk [0m源备字段数相同，源端字段：2 	备端字段2</t>
        </is>
      </c>
      <c r="W1727" s="0" t="inlineStr">
        <is>
          <t>YES 源备无差异</t>
        </is>
      </c>
      <c r="X1727" s="0">
        <f>A1727</f>
        <v/>
      </c>
    </row>
    <row r="1728">
      <c r="B1728" s="0" t="inlineStr">
        <is>
          <t>YES</t>
        </is>
      </c>
      <c r="C1728" s="0" t="inlineStr">
        <is>
          <t>NULL</t>
        </is>
      </c>
      <c r="D1728" s="0" t="inlineStr">
        <is>
          <t>NULL</t>
        </is>
      </c>
      <c r="E1728" s="0" t="inlineStr">
        <is>
          <t>NULL</t>
        </is>
      </c>
      <c r="F1728" s="0" t="inlineStr">
        <is>
          <t>NULL</t>
        </is>
      </c>
      <c r="G1728" s="0" t="inlineStr">
        <is>
          <t>NULL</t>
        </is>
      </c>
      <c r="H1728" s="0" t="inlineStr">
        <is>
          <t>NULL</t>
        </is>
      </c>
      <c r="I1728" s="0" t="inlineStr">
        <is>
          <t>YES!PK__info_uni__3213E83F8F66C056</t>
        </is>
      </c>
      <c r="J1728" s="0" t="inlineStr">
        <is>
          <t>YES! 主键相关索引</t>
        </is>
      </c>
      <c r="K1728" s="0" t="inlineStr">
        <is>
          <t>YES! 	 id列源备映射正确，源端为int None位	期望更改为int	实际备端为int None位</t>
        </is>
      </c>
    </row>
    <row r="1729">
      <c r="B1729" s="0" t="inlineStr">
        <is>
          <t>NULL</t>
        </is>
      </c>
      <c r="C1729" s="0" t="inlineStr">
        <is>
          <t>NULL</t>
        </is>
      </c>
      <c r="D1729" s="0" t="inlineStr">
        <is>
          <t>NULL</t>
        </is>
      </c>
      <c r="E1729" s="0" t="inlineStr">
        <is>
          <t>NULL</t>
        </is>
      </c>
      <c r="F1729" s="0" t="inlineStr">
        <is>
          <t>NULL</t>
        </is>
      </c>
      <c r="G1729" s="0" t="inlineStr">
        <is>
          <t>NULL</t>
        </is>
      </c>
      <c r="H1729" s="0" t="inlineStr">
        <is>
          <t>NULL</t>
        </is>
      </c>
      <c r="I1729" s="0" t="inlineStr">
        <is>
          <t>NULL</t>
        </is>
      </c>
      <c r="J1729" s="0" t="inlineStr">
        <is>
          <t>NULL</t>
        </is>
      </c>
      <c r="K1729" s="0" t="inlineStr">
        <is>
          <t>YES! 	 c_uniqueidentifier列源备映射正确，源端为uniqueidentifier None位	期望更改为uniqueidentifier	实际备端为uniqueidentifier None位</t>
        </is>
      </c>
    </row>
    <row r="1730">
      <c r="A1730" s="0" t="inlineStr">
        <is>
          <t>info_varbinary_max_dml_single_pk_urp</t>
        </is>
      </c>
      <c r="K1730" s="0" t="inlineStr">
        <is>
          <t>[0;34m info_varbinary_max_dml_single_pk_urp [0m源备字段数相同，源端字段：4 	备端字段4</t>
        </is>
      </c>
      <c r="W1730" s="0" t="inlineStr">
        <is>
          <t>YES 源备无差异</t>
        </is>
      </c>
      <c r="X1730" s="0">
        <f>A1730</f>
        <v/>
      </c>
    </row>
    <row r="1731">
      <c r="B1731" s="0" t="inlineStr">
        <is>
          <t>YES</t>
        </is>
      </c>
      <c r="C1731" s="0" t="inlineStr">
        <is>
          <t>NULL</t>
        </is>
      </c>
      <c r="D1731" s="0" t="inlineStr">
        <is>
          <t>NULL</t>
        </is>
      </c>
      <c r="E1731" s="0" t="inlineStr">
        <is>
          <t>NULL</t>
        </is>
      </c>
      <c r="F1731" s="0" t="inlineStr">
        <is>
          <t>NULL</t>
        </is>
      </c>
      <c r="G1731" s="0" t="inlineStr">
        <is>
          <t>NULL</t>
        </is>
      </c>
      <c r="H1731" s="0" t="inlineStr">
        <is>
          <t>NULL</t>
        </is>
      </c>
      <c r="I1731" s="0" t="inlineStr">
        <is>
          <t>YES!PK__info_var__3213E83FE861EA08</t>
        </is>
      </c>
      <c r="J1731" s="0" t="inlineStr">
        <is>
          <t>YES! 主键相关索引</t>
        </is>
      </c>
      <c r="K1731" s="0" t="inlineStr">
        <is>
          <t>YES! 	 id列源备映射正确，源端为int None位	期望更改为int	实际备端为int None位</t>
        </is>
      </c>
    </row>
    <row r="1732">
      <c r="B1732" s="0" t="inlineStr">
        <is>
          <t>NULL</t>
        </is>
      </c>
      <c r="C1732" s="0" t="inlineStr">
        <is>
          <t>NULL</t>
        </is>
      </c>
      <c r="D1732" s="0" t="inlineStr">
        <is>
          <t>NULL</t>
        </is>
      </c>
      <c r="E1732" s="0" t="inlineStr">
        <is>
          <t>NULL</t>
        </is>
      </c>
      <c r="F1732" s="0" t="inlineStr">
        <is>
          <t>NULL</t>
        </is>
      </c>
      <c r="G1732" s="0" t="inlineStr">
        <is>
          <t>NULL</t>
        </is>
      </c>
      <c r="H1732" s="0" t="inlineStr">
        <is>
          <t>NULL</t>
        </is>
      </c>
      <c r="I1732" s="0" t="inlineStr">
        <is>
          <t>NULL</t>
        </is>
      </c>
      <c r="J1732" s="0" t="inlineStr">
        <is>
          <t>NULL</t>
        </is>
      </c>
      <c r="K1732" s="0" t="inlineStr">
        <is>
          <t>YES! 	 c_varbinary_max1列源备映射正确，源端为varbinary -1位	期望更改为varbinary(n)	实际备端为varbinary -1位</t>
        </is>
      </c>
    </row>
    <row r="1733">
      <c r="B1733" s="0" t="inlineStr">
        <is>
          <t>NULL</t>
        </is>
      </c>
      <c r="C1733" s="0" t="inlineStr">
        <is>
          <t>NULL</t>
        </is>
      </c>
      <c r="D1733" s="0" t="inlineStr">
        <is>
          <t>NULL</t>
        </is>
      </c>
      <c r="E1733" s="0" t="inlineStr">
        <is>
          <t>NULL</t>
        </is>
      </c>
      <c r="F1733" s="0" t="inlineStr">
        <is>
          <t>NULL</t>
        </is>
      </c>
      <c r="G1733" s="0" t="inlineStr">
        <is>
          <t>NULL</t>
        </is>
      </c>
      <c r="H1733" s="0" t="inlineStr">
        <is>
          <t>NULL</t>
        </is>
      </c>
      <c r="I1733" s="0" t="inlineStr">
        <is>
          <t>NULL</t>
        </is>
      </c>
      <c r="J1733" s="0" t="inlineStr">
        <is>
          <t>NULL</t>
        </is>
      </c>
      <c r="K1733" s="0" t="inlineStr">
        <is>
          <t>YES! 	 c_varbinary_max2列源备映射正确，源端为varbinary -1位	期望更改为varbinary(n)	实际备端为varbinary -1位</t>
        </is>
      </c>
    </row>
    <row r="1734">
      <c r="B1734" s="0" t="inlineStr">
        <is>
          <t>NULL</t>
        </is>
      </c>
      <c r="C1734" s="0" t="inlineStr">
        <is>
          <t>NULL</t>
        </is>
      </c>
      <c r="D1734" s="0" t="inlineStr">
        <is>
          <t>NULL</t>
        </is>
      </c>
      <c r="E1734" s="0" t="inlineStr">
        <is>
          <t>NULL</t>
        </is>
      </c>
      <c r="F1734" s="0" t="inlineStr">
        <is>
          <t>NULL</t>
        </is>
      </c>
      <c r="G1734" s="0" t="inlineStr">
        <is>
          <t>NULL</t>
        </is>
      </c>
      <c r="H1734" s="0" t="inlineStr">
        <is>
          <t>NULL</t>
        </is>
      </c>
      <c r="I1734" s="0" t="inlineStr">
        <is>
          <t>NULL</t>
        </is>
      </c>
      <c r="J1734" s="0" t="inlineStr">
        <is>
          <t>NULL</t>
        </is>
      </c>
      <c r="K1734" s="0" t="inlineStr">
        <is>
          <t>YES! 	 c_image3列源备映射正确，源端为image 2147483647位	期望更改为image	实际备端为image 2147483647位</t>
        </is>
      </c>
    </row>
    <row r="1735">
      <c r="A1735" s="0" t="inlineStr">
        <is>
          <t>info_int_dml_batch2_pk_irp2</t>
        </is>
      </c>
      <c r="K1735" s="0" t="inlineStr">
        <is>
          <t>[0;34m info_int_dml_batch2_pk_irp2 [0m源备字段数相同，源端字段：20 	备端字段20</t>
        </is>
      </c>
      <c r="W1735" s="0" t="inlineStr">
        <is>
          <t>YES 源备无差异</t>
        </is>
      </c>
      <c r="X1735" s="0">
        <f>A1735</f>
        <v/>
      </c>
    </row>
    <row r="1736">
      <c r="B1736" s="0" t="inlineStr">
        <is>
          <t>YES</t>
        </is>
      </c>
      <c r="C1736" s="0" t="inlineStr">
        <is>
          <t>NULL</t>
        </is>
      </c>
      <c r="D1736" s="0" t="inlineStr">
        <is>
          <t>NULL</t>
        </is>
      </c>
      <c r="E1736" s="0" t="inlineStr">
        <is>
          <t>NULL</t>
        </is>
      </c>
      <c r="F1736" s="0" t="inlineStr">
        <is>
          <t>NULL</t>
        </is>
      </c>
      <c r="G1736" s="0" t="inlineStr">
        <is>
          <t>NULL</t>
        </is>
      </c>
      <c r="H1736" s="0" t="inlineStr">
        <is>
          <t>NULL</t>
        </is>
      </c>
      <c r="I1736" s="0" t="inlineStr">
        <is>
          <t>YES!PK__info_int__3213E83FE80A05E7</t>
        </is>
      </c>
      <c r="J1736" s="0" t="inlineStr">
        <is>
          <t>YES! 主键相关索引</t>
        </is>
      </c>
      <c r="K1736" s="0" t="inlineStr">
        <is>
          <t>YES! 	 id列源备映射正确，源端为int None位	期望更改为int	实际备端为int None位</t>
        </is>
      </c>
    </row>
    <row r="1737">
      <c r="B1737" s="0" t="inlineStr">
        <is>
          <t>NULL</t>
        </is>
      </c>
      <c r="C1737" s="0" t="inlineStr">
        <is>
          <t>NULL</t>
        </is>
      </c>
      <c r="D1737" s="0" t="inlineStr">
        <is>
          <t>NULL</t>
        </is>
      </c>
      <c r="E1737" s="0" t="inlineStr">
        <is>
          <t>NULL</t>
        </is>
      </c>
      <c r="F1737" s="0" t="inlineStr">
        <is>
          <t>NULL</t>
        </is>
      </c>
      <c r="G1737" s="0" t="inlineStr">
        <is>
          <t>NULL</t>
        </is>
      </c>
      <c r="H1737" s="0" t="inlineStr">
        <is>
          <t>NULL</t>
        </is>
      </c>
      <c r="I1737" s="0" t="inlineStr">
        <is>
          <t>NULL</t>
        </is>
      </c>
      <c r="J1737" s="0" t="inlineStr">
        <is>
          <t>NULL</t>
        </is>
      </c>
      <c r="K1737" s="0" t="inlineStr">
        <is>
          <t>YES! 	 c_tinyint列源备映射正确，源端为tinyint None位	期望更改为tinyint	实际备端为tinyint None位</t>
        </is>
      </c>
    </row>
    <row r="1738">
      <c r="B1738" s="0" t="inlineStr">
        <is>
          <t>NULL</t>
        </is>
      </c>
      <c r="C1738" s="0" t="inlineStr">
        <is>
          <t>NULL</t>
        </is>
      </c>
      <c r="D1738" s="0" t="inlineStr">
        <is>
          <t>NULL</t>
        </is>
      </c>
      <c r="E1738" s="0" t="inlineStr">
        <is>
          <t>NULL</t>
        </is>
      </c>
      <c r="F1738" s="0" t="inlineStr">
        <is>
          <t>NULL</t>
        </is>
      </c>
      <c r="G1738" s="0" t="inlineStr">
        <is>
          <t>NULL</t>
        </is>
      </c>
      <c r="H1738" s="0" t="inlineStr">
        <is>
          <t>NULL</t>
        </is>
      </c>
      <c r="I1738" s="0" t="inlineStr">
        <is>
          <t>NULL</t>
        </is>
      </c>
      <c r="J1738" s="0" t="inlineStr">
        <is>
          <t>NULL</t>
        </is>
      </c>
      <c r="K1738" s="0" t="inlineStr">
        <is>
          <t>YES! 	 c_smallint列源备映射正确，源端为smallint None位	期望更改为smallint	实际备端为smallint None位</t>
        </is>
      </c>
    </row>
    <row r="1739">
      <c r="B1739" s="0" t="inlineStr">
        <is>
          <t>NULL</t>
        </is>
      </c>
      <c r="C1739" s="0" t="inlineStr">
        <is>
          <t>NULL</t>
        </is>
      </c>
      <c r="D1739" s="0" t="inlineStr">
        <is>
          <t>NULL</t>
        </is>
      </c>
      <c r="E1739" s="0" t="inlineStr">
        <is>
          <t>NULL</t>
        </is>
      </c>
      <c r="F1739" s="0" t="inlineStr">
        <is>
          <t>NULL</t>
        </is>
      </c>
      <c r="G1739" s="0" t="inlineStr">
        <is>
          <t>NULL</t>
        </is>
      </c>
      <c r="H1739" s="0" t="inlineStr">
        <is>
          <t>NULL</t>
        </is>
      </c>
      <c r="I1739" s="0" t="inlineStr">
        <is>
          <t>NULL</t>
        </is>
      </c>
      <c r="J1739" s="0" t="inlineStr">
        <is>
          <t>NULL</t>
        </is>
      </c>
      <c r="K1739" s="0" t="inlineStr">
        <is>
          <t>YES! 	 c_int列源备映射正确，源端为int None位	期望更改为int	实际备端为int None位</t>
        </is>
      </c>
    </row>
    <row r="1740">
      <c r="B1740" s="0" t="inlineStr">
        <is>
          <t>NULL</t>
        </is>
      </c>
      <c r="C1740" s="0" t="inlineStr">
        <is>
          <t>NULL</t>
        </is>
      </c>
      <c r="D1740" s="0" t="inlineStr">
        <is>
          <t>NULL</t>
        </is>
      </c>
      <c r="E1740" s="0" t="inlineStr">
        <is>
          <t>NULL</t>
        </is>
      </c>
      <c r="F1740" s="0" t="inlineStr">
        <is>
          <t>NULL</t>
        </is>
      </c>
      <c r="G1740" s="0" t="inlineStr">
        <is>
          <t>NULL</t>
        </is>
      </c>
      <c r="H1740" s="0" t="inlineStr">
        <is>
          <t>NULL</t>
        </is>
      </c>
      <c r="I1740" s="0" t="inlineStr">
        <is>
          <t>NULL</t>
        </is>
      </c>
      <c r="J1740" s="0" t="inlineStr">
        <is>
          <t>NULL</t>
        </is>
      </c>
      <c r="K1740" s="0" t="inlineStr">
        <is>
          <t>YES! 	 c_bigint列源备映射正确，源端为bigint None位	期望更改为bigint	实际备端为bigint None位</t>
        </is>
      </c>
    </row>
    <row r="1741">
      <c r="B1741" s="0" t="inlineStr">
        <is>
          <t>NULL</t>
        </is>
      </c>
      <c r="C1741" s="0" t="inlineStr">
        <is>
          <t>NULL</t>
        </is>
      </c>
      <c r="D1741" s="0" t="inlineStr">
        <is>
          <t>NULL</t>
        </is>
      </c>
      <c r="E1741" s="0" t="inlineStr">
        <is>
          <t>NULL</t>
        </is>
      </c>
      <c r="F1741" s="0" t="inlineStr">
        <is>
          <t>NULL</t>
        </is>
      </c>
      <c r="G1741" s="0" t="inlineStr">
        <is>
          <t>NULL</t>
        </is>
      </c>
      <c r="H1741" s="0" t="inlineStr">
        <is>
          <t>NULL</t>
        </is>
      </c>
      <c r="I1741" s="0" t="inlineStr">
        <is>
          <t>NULL</t>
        </is>
      </c>
      <c r="J1741" s="0" t="inlineStr">
        <is>
          <t>NULL</t>
        </is>
      </c>
      <c r="K1741" s="0" t="inlineStr">
        <is>
          <t>YES! 	 c_decimal列源备映射正确，源端为decimal None位	期望更改为decimal(p,s)	实际备端为decimal None位</t>
        </is>
      </c>
    </row>
    <row r="1742">
      <c r="B1742" s="0" t="inlineStr">
        <is>
          <t>NULL</t>
        </is>
      </c>
      <c r="C1742" s="0" t="inlineStr">
        <is>
          <t>NULL</t>
        </is>
      </c>
      <c r="D1742" s="0" t="inlineStr">
        <is>
          <t>NULL</t>
        </is>
      </c>
      <c r="E1742" s="0" t="inlineStr">
        <is>
          <t>NULL</t>
        </is>
      </c>
      <c r="F1742" s="0" t="inlineStr">
        <is>
          <t>NULL</t>
        </is>
      </c>
      <c r="G1742" s="0" t="inlineStr">
        <is>
          <t>NULL</t>
        </is>
      </c>
      <c r="H1742" s="0" t="inlineStr">
        <is>
          <t>NULL</t>
        </is>
      </c>
      <c r="I1742" s="0" t="inlineStr">
        <is>
          <t>NULL</t>
        </is>
      </c>
      <c r="J1742" s="0" t="inlineStr">
        <is>
          <t>NULL</t>
        </is>
      </c>
      <c r="K1742" s="0" t="inlineStr">
        <is>
          <t>YES! 	 c_decimal38列源备映射正确，源端为decimal None位	期望更改为decimal(p,s)	实际备端为decimal None位</t>
        </is>
      </c>
    </row>
    <row r="1743">
      <c r="B1743" s="0" t="inlineStr">
        <is>
          <t>NULL</t>
        </is>
      </c>
      <c r="C1743" s="0" t="inlineStr">
        <is>
          <t>NULL</t>
        </is>
      </c>
      <c r="D1743" s="0" t="inlineStr">
        <is>
          <t>NULL</t>
        </is>
      </c>
      <c r="E1743" s="0" t="inlineStr">
        <is>
          <t>NULL</t>
        </is>
      </c>
      <c r="F1743" s="0" t="inlineStr">
        <is>
          <t>NULL</t>
        </is>
      </c>
      <c r="G1743" s="0" t="inlineStr">
        <is>
          <t>NULL</t>
        </is>
      </c>
      <c r="H1743" s="0" t="inlineStr">
        <is>
          <t>NULL</t>
        </is>
      </c>
      <c r="I1743" s="0" t="inlineStr">
        <is>
          <t>NULL</t>
        </is>
      </c>
      <c r="J1743" s="0" t="inlineStr">
        <is>
          <t>NULL</t>
        </is>
      </c>
      <c r="K1743" s="0" t="inlineStr">
        <is>
          <t>YES! 	 c_decimal38_38列源备映射正确，源端为decimal None位	期望更改为decimal(p,s)	实际备端为decimal None位</t>
        </is>
      </c>
    </row>
    <row r="1744">
      <c r="B1744" s="0" t="inlineStr">
        <is>
          <t>NULL</t>
        </is>
      </c>
      <c r="C1744" s="0" t="inlineStr">
        <is>
          <t>NULL</t>
        </is>
      </c>
      <c r="D1744" s="0" t="inlineStr">
        <is>
          <t>NULL</t>
        </is>
      </c>
      <c r="E1744" s="0" t="inlineStr">
        <is>
          <t>NULL</t>
        </is>
      </c>
      <c r="F1744" s="0" t="inlineStr">
        <is>
          <t>NULL</t>
        </is>
      </c>
      <c r="G1744" s="0" t="inlineStr">
        <is>
          <t>NULL</t>
        </is>
      </c>
      <c r="H1744" s="0" t="inlineStr">
        <is>
          <t>NULL</t>
        </is>
      </c>
      <c r="I1744" s="0" t="inlineStr">
        <is>
          <t>NULL</t>
        </is>
      </c>
      <c r="J1744" s="0" t="inlineStr">
        <is>
          <t>NULL</t>
        </is>
      </c>
      <c r="K1744" s="0" t="inlineStr">
        <is>
          <t>YES! 	 c_decimal38_10列源备映射正确，源端为decimal None位	期望更改为decimal(p,s)	实际备端为decimal None位</t>
        </is>
      </c>
    </row>
    <row r="1745">
      <c r="B1745" s="0" t="inlineStr">
        <is>
          <t>NULL</t>
        </is>
      </c>
      <c r="C1745" s="0" t="inlineStr">
        <is>
          <t>NULL</t>
        </is>
      </c>
      <c r="D1745" s="0" t="inlineStr">
        <is>
          <t>NULL</t>
        </is>
      </c>
      <c r="E1745" s="0" t="inlineStr">
        <is>
          <t>NULL</t>
        </is>
      </c>
      <c r="F1745" s="0" t="inlineStr">
        <is>
          <t>NULL</t>
        </is>
      </c>
      <c r="G1745" s="0" t="inlineStr">
        <is>
          <t>NULL</t>
        </is>
      </c>
      <c r="H1745" s="0" t="inlineStr">
        <is>
          <t>NULL</t>
        </is>
      </c>
      <c r="I1745" s="0" t="inlineStr">
        <is>
          <t>NULL</t>
        </is>
      </c>
      <c r="J1745" s="0" t="inlineStr">
        <is>
          <t>NULL</t>
        </is>
      </c>
      <c r="K1745" s="0" t="inlineStr">
        <is>
          <t>YES! 	 c_decimal19_4列源备映射正确，源端为decimal None位	期望更改为decimal(p,s)	实际备端为decimal None位</t>
        </is>
      </c>
    </row>
    <row r="1746">
      <c r="B1746" s="0" t="inlineStr">
        <is>
          <t>NULL</t>
        </is>
      </c>
      <c r="C1746" s="0" t="inlineStr">
        <is>
          <t>NULL</t>
        </is>
      </c>
      <c r="D1746" s="0" t="inlineStr">
        <is>
          <t>NULL</t>
        </is>
      </c>
      <c r="E1746" s="0" t="inlineStr">
        <is>
          <t>NULL</t>
        </is>
      </c>
      <c r="F1746" s="0" t="inlineStr">
        <is>
          <t>NULL</t>
        </is>
      </c>
      <c r="G1746" s="0" t="inlineStr">
        <is>
          <t>NULL</t>
        </is>
      </c>
      <c r="H1746" s="0" t="inlineStr">
        <is>
          <t>NULL</t>
        </is>
      </c>
      <c r="I1746" s="0" t="inlineStr">
        <is>
          <t>NULL</t>
        </is>
      </c>
      <c r="J1746" s="0" t="inlineStr">
        <is>
          <t>NULL</t>
        </is>
      </c>
      <c r="K1746" s="0" t="inlineStr">
        <is>
          <t>YES! 	 c_numeric列源备映射正确，源端为numeric None位	期望更改为numeric(p,s)	实际备端为numeric None位</t>
        </is>
      </c>
    </row>
    <row r="1747">
      <c r="B1747" s="0" t="inlineStr">
        <is>
          <t>NULL</t>
        </is>
      </c>
      <c r="C1747" s="0" t="inlineStr">
        <is>
          <t>NULL</t>
        </is>
      </c>
      <c r="D1747" s="0" t="inlineStr">
        <is>
          <t>NULL</t>
        </is>
      </c>
      <c r="E1747" s="0" t="inlineStr">
        <is>
          <t>NULL</t>
        </is>
      </c>
      <c r="F1747" s="0" t="inlineStr">
        <is>
          <t>NULL</t>
        </is>
      </c>
      <c r="G1747" s="0" t="inlineStr">
        <is>
          <t>NULL</t>
        </is>
      </c>
      <c r="H1747" s="0" t="inlineStr">
        <is>
          <t>NULL</t>
        </is>
      </c>
      <c r="I1747" s="0" t="inlineStr">
        <is>
          <t>NULL</t>
        </is>
      </c>
      <c r="J1747" s="0" t="inlineStr">
        <is>
          <t>NULL</t>
        </is>
      </c>
      <c r="K1747" s="0" t="inlineStr">
        <is>
          <t>YES! 	 c_numeric38列源备映射正确，源端为numeric None位	期望更改为numeric(p,s)	实际备端为numeric None位</t>
        </is>
      </c>
    </row>
    <row r="1748">
      <c r="B1748" s="0" t="inlineStr">
        <is>
          <t>NULL</t>
        </is>
      </c>
      <c r="C1748" s="0" t="inlineStr">
        <is>
          <t>NULL</t>
        </is>
      </c>
      <c r="D1748" s="0" t="inlineStr">
        <is>
          <t>NULL</t>
        </is>
      </c>
      <c r="E1748" s="0" t="inlineStr">
        <is>
          <t>NULL</t>
        </is>
      </c>
      <c r="F1748" s="0" t="inlineStr">
        <is>
          <t>NULL</t>
        </is>
      </c>
      <c r="G1748" s="0" t="inlineStr">
        <is>
          <t>NULL</t>
        </is>
      </c>
      <c r="H1748" s="0" t="inlineStr">
        <is>
          <t>NULL</t>
        </is>
      </c>
      <c r="I1748" s="0" t="inlineStr">
        <is>
          <t>NULL</t>
        </is>
      </c>
      <c r="J1748" s="0" t="inlineStr">
        <is>
          <t>NULL</t>
        </is>
      </c>
      <c r="K1748" s="0" t="inlineStr">
        <is>
          <t>YES! 	 c_numeric38_38列源备映射正确，源端为numeric None位	期望更改为numeric(p,s)	实际备端为numeric None位</t>
        </is>
      </c>
    </row>
    <row r="1749">
      <c r="B1749" s="0" t="inlineStr">
        <is>
          <t>NULL</t>
        </is>
      </c>
      <c r="C1749" s="0" t="inlineStr">
        <is>
          <t>NULL</t>
        </is>
      </c>
      <c r="D1749" s="0" t="inlineStr">
        <is>
          <t>NULL</t>
        </is>
      </c>
      <c r="E1749" s="0" t="inlineStr">
        <is>
          <t>NULL</t>
        </is>
      </c>
      <c r="F1749" s="0" t="inlineStr">
        <is>
          <t>NULL</t>
        </is>
      </c>
      <c r="G1749" s="0" t="inlineStr">
        <is>
          <t>NULL</t>
        </is>
      </c>
      <c r="H1749" s="0" t="inlineStr">
        <is>
          <t>NULL</t>
        </is>
      </c>
      <c r="I1749" s="0" t="inlineStr">
        <is>
          <t>NULL</t>
        </is>
      </c>
      <c r="J1749" s="0" t="inlineStr">
        <is>
          <t>NULL</t>
        </is>
      </c>
      <c r="K1749" s="0" t="inlineStr">
        <is>
          <t>YES! 	 c_numeric38_10列源备映射正确，源端为numeric None位	期望更改为numeric(p,s)	实际备端为numeric None位</t>
        </is>
      </c>
    </row>
    <row r="1750">
      <c r="B1750" s="0" t="inlineStr">
        <is>
          <t>NULL</t>
        </is>
      </c>
      <c r="C1750" s="0" t="inlineStr">
        <is>
          <t>NULL</t>
        </is>
      </c>
      <c r="D1750" s="0" t="inlineStr">
        <is>
          <t>NULL</t>
        </is>
      </c>
      <c r="E1750" s="0" t="inlineStr">
        <is>
          <t>NULL</t>
        </is>
      </c>
      <c r="F1750" s="0" t="inlineStr">
        <is>
          <t>NULL</t>
        </is>
      </c>
      <c r="G1750" s="0" t="inlineStr">
        <is>
          <t>NULL</t>
        </is>
      </c>
      <c r="H1750" s="0" t="inlineStr">
        <is>
          <t>NULL</t>
        </is>
      </c>
      <c r="I1750" s="0" t="inlineStr">
        <is>
          <t>NULL</t>
        </is>
      </c>
      <c r="J1750" s="0" t="inlineStr">
        <is>
          <t>NULL</t>
        </is>
      </c>
      <c r="K1750" s="0" t="inlineStr">
        <is>
          <t>YES! 	 c_numeric18_2列源备映射正确，源端为numeric None位	期望更改为numeric(p,s)	实际备端为numeric None位</t>
        </is>
      </c>
    </row>
    <row r="1751">
      <c r="B1751" s="0" t="inlineStr">
        <is>
          <t>NULL</t>
        </is>
      </c>
      <c r="C1751" s="0" t="inlineStr">
        <is>
          <t>NULL</t>
        </is>
      </c>
      <c r="D1751" s="0" t="inlineStr">
        <is>
          <t>NULL</t>
        </is>
      </c>
      <c r="E1751" s="0" t="inlineStr">
        <is>
          <t>NULL</t>
        </is>
      </c>
      <c r="F1751" s="0" t="inlineStr">
        <is>
          <t>NULL</t>
        </is>
      </c>
      <c r="G1751" s="0" t="inlineStr">
        <is>
          <t>NULL</t>
        </is>
      </c>
      <c r="H1751" s="0" t="inlineStr">
        <is>
          <t>NULL</t>
        </is>
      </c>
      <c r="I1751" s="0" t="inlineStr">
        <is>
          <t>NULL</t>
        </is>
      </c>
      <c r="J1751" s="0" t="inlineStr">
        <is>
          <t>NULL</t>
        </is>
      </c>
      <c r="K1751" s="0" t="inlineStr">
        <is>
          <t>YES! 	 c_float列源备映射正确，源端为float None位	期望更改为float	实际备端为float None位</t>
        </is>
      </c>
    </row>
    <row r="1752">
      <c r="B1752" s="0" t="inlineStr">
        <is>
          <t>NULL</t>
        </is>
      </c>
      <c r="C1752" s="0" t="inlineStr">
        <is>
          <t>NULL</t>
        </is>
      </c>
      <c r="D1752" s="0" t="inlineStr">
        <is>
          <t>NULL</t>
        </is>
      </c>
      <c r="E1752" s="0" t="inlineStr">
        <is>
          <t>NULL</t>
        </is>
      </c>
      <c r="F1752" s="0" t="inlineStr">
        <is>
          <t>NULL</t>
        </is>
      </c>
      <c r="G1752" s="0" t="inlineStr">
        <is>
          <t>NULL</t>
        </is>
      </c>
      <c r="H1752" s="0" t="inlineStr">
        <is>
          <t>NULL</t>
        </is>
      </c>
      <c r="I1752" s="0" t="inlineStr">
        <is>
          <t>NULL</t>
        </is>
      </c>
      <c r="J1752" s="0" t="inlineStr">
        <is>
          <t>NULL</t>
        </is>
      </c>
      <c r="K1752" s="0" t="inlineStr">
        <is>
          <t>YES! 	 c_real列源备映射正确，源端为real None位	期望更改为real	实际备端为real None位</t>
        </is>
      </c>
    </row>
    <row r="1753">
      <c r="B1753" s="0" t="inlineStr">
        <is>
          <t>NULL</t>
        </is>
      </c>
      <c r="C1753" s="0" t="inlineStr">
        <is>
          <t>NULL</t>
        </is>
      </c>
      <c r="D1753" s="0" t="inlineStr">
        <is>
          <t>NULL</t>
        </is>
      </c>
      <c r="E1753" s="0" t="inlineStr">
        <is>
          <t>NULL</t>
        </is>
      </c>
      <c r="F1753" s="0" t="inlineStr">
        <is>
          <t>NULL</t>
        </is>
      </c>
      <c r="G1753" s="0" t="inlineStr">
        <is>
          <t>NULL</t>
        </is>
      </c>
      <c r="H1753" s="0" t="inlineStr">
        <is>
          <t>NULL</t>
        </is>
      </c>
      <c r="I1753" s="0" t="inlineStr">
        <is>
          <t>NULL</t>
        </is>
      </c>
      <c r="J1753" s="0" t="inlineStr">
        <is>
          <t>NULL</t>
        </is>
      </c>
      <c r="K1753" s="0" t="inlineStr">
        <is>
          <t>YES! 	 c_money列源备映射正确，源端为money None位	期望更改为money	实际备端为money None位</t>
        </is>
      </c>
    </row>
    <row r="1754">
      <c r="B1754" s="0" t="inlineStr">
        <is>
          <t>NULL</t>
        </is>
      </c>
      <c r="C1754" s="0" t="inlineStr">
        <is>
          <t>NULL</t>
        </is>
      </c>
      <c r="D1754" s="0" t="inlineStr">
        <is>
          <t>NULL</t>
        </is>
      </c>
      <c r="E1754" s="0" t="inlineStr">
        <is>
          <t>NULL</t>
        </is>
      </c>
      <c r="F1754" s="0" t="inlineStr">
        <is>
          <t>NULL</t>
        </is>
      </c>
      <c r="G1754" s="0" t="inlineStr">
        <is>
          <t>NULL</t>
        </is>
      </c>
      <c r="H1754" s="0" t="inlineStr">
        <is>
          <t>NULL</t>
        </is>
      </c>
      <c r="I1754" s="0" t="inlineStr">
        <is>
          <t>NULL</t>
        </is>
      </c>
      <c r="J1754" s="0" t="inlineStr">
        <is>
          <t>NULL</t>
        </is>
      </c>
      <c r="K1754" s="0" t="inlineStr">
        <is>
          <t>YES! 	 c_smallmoney列源备映射正确，源端为smallmoney None位	期望更改为smallmoney	实际备端为smallmoney None位</t>
        </is>
      </c>
    </row>
    <row r="1755">
      <c r="B1755" s="0" t="inlineStr">
        <is>
          <t>NULL</t>
        </is>
      </c>
      <c r="C1755" s="0" t="inlineStr">
        <is>
          <t>NULL</t>
        </is>
      </c>
      <c r="D1755" s="0" t="inlineStr">
        <is>
          <t>NULL</t>
        </is>
      </c>
      <c r="E1755" s="0" t="inlineStr">
        <is>
          <t>NULL</t>
        </is>
      </c>
      <c r="F1755" s="0" t="inlineStr">
        <is>
          <t>NULL</t>
        </is>
      </c>
      <c r="G1755" s="0" t="inlineStr">
        <is>
          <t>NULL</t>
        </is>
      </c>
      <c r="H1755" s="0" t="inlineStr">
        <is>
          <t>NULL</t>
        </is>
      </c>
      <c r="I1755" s="0" t="inlineStr">
        <is>
          <t>NULL</t>
        </is>
      </c>
      <c r="J1755" s="0" t="inlineStr">
        <is>
          <t>NULL</t>
        </is>
      </c>
      <c r="K1755" s="0" t="inlineStr">
        <is>
          <t>YES! 	 c_bit列源备映射正确，源端为bit None位	期望更改为bit	实际备端为bit None位</t>
        </is>
      </c>
    </row>
    <row r="1756">
      <c r="A1756" s="0" t="inlineStr">
        <is>
          <t>info_xml_dml_single_pk_irp</t>
        </is>
      </c>
      <c r="K1756" s="0" t="inlineStr">
        <is>
          <t>[0;34m info_xml_dml_single_pk_irp [0m源备字段数相同，源端字段：2 	备端字段2</t>
        </is>
      </c>
      <c r="W1756" s="0" t="inlineStr">
        <is>
          <t>YES 源备无差异</t>
        </is>
      </c>
      <c r="X1756" s="0">
        <f>A1756</f>
        <v/>
      </c>
    </row>
    <row r="1757">
      <c r="B1757" s="0" t="inlineStr">
        <is>
          <t>YES</t>
        </is>
      </c>
      <c r="C1757" s="0" t="inlineStr">
        <is>
          <t>NULL</t>
        </is>
      </c>
      <c r="D1757" s="0" t="inlineStr">
        <is>
          <t>NULL</t>
        </is>
      </c>
      <c r="E1757" s="0" t="inlineStr">
        <is>
          <t>NULL</t>
        </is>
      </c>
      <c r="F1757" s="0" t="inlineStr">
        <is>
          <t>NULL</t>
        </is>
      </c>
      <c r="G1757" s="0" t="inlineStr">
        <is>
          <t>NULL</t>
        </is>
      </c>
      <c r="H1757" s="0" t="inlineStr">
        <is>
          <t>NULL</t>
        </is>
      </c>
      <c r="I1757" s="0" t="inlineStr">
        <is>
          <t>YES!PK__info_xml__3213E83F2267ADE4</t>
        </is>
      </c>
      <c r="J1757" s="0" t="inlineStr">
        <is>
          <t>YES! 主键相关索引</t>
        </is>
      </c>
      <c r="K1757" s="0" t="inlineStr">
        <is>
          <t>YES! 	 id列源备映射正确，源端为int None位	期望更改为int	实际备端为int None位</t>
        </is>
      </c>
    </row>
    <row r="1758">
      <c r="B1758" s="0" t="inlineStr">
        <is>
          <t>NULL</t>
        </is>
      </c>
      <c r="C1758" s="0" t="inlineStr">
        <is>
          <t>NULL</t>
        </is>
      </c>
      <c r="D1758" s="0" t="inlineStr">
        <is>
          <t>NULL</t>
        </is>
      </c>
      <c r="E1758" s="0" t="inlineStr">
        <is>
          <t>NULL</t>
        </is>
      </c>
      <c r="F1758" s="0" t="inlineStr">
        <is>
          <t>NULL</t>
        </is>
      </c>
      <c r="G1758" s="0" t="inlineStr">
        <is>
          <t>NULL</t>
        </is>
      </c>
      <c r="H1758" s="0" t="inlineStr">
        <is>
          <t>NULL</t>
        </is>
      </c>
      <c r="I1758" s="0" t="inlineStr">
        <is>
          <t>NULL</t>
        </is>
      </c>
      <c r="J1758" s="0" t="inlineStr">
        <is>
          <t>NULL</t>
        </is>
      </c>
      <c r="K1758" s="0" t="inlineStr">
        <is>
          <t>YES! 	 c_xml列源备映射正确，源端为xml -1位	期望更改为xml	实际备端为xml -1位</t>
        </is>
      </c>
    </row>
    <row r="1759">
      <c r="A1759" s="0" t="inlineStr">
        <is>
          <t>info_varbinary_max_dml_single_pk_drp</t>
        </is>
      </c>
      <c r="K1759" s="0" t="inlineStr">
        <is>
          <t>[0;34m info_varbinary_max_dml_single_pk_drp [0m源备字段数相同，源端字段：4 	备端字段4</t>
        </is>
      </c>
      <c r="W1759" s="0" t="inlineStr">
        <is>
          <t>YES 源备无差异</t>
        </is>
      </c>
      <c r="X1759" s="0">
        <f>A1759</f>
        <v/>
      </c>
    </row>
    <row r="1760">
      <c r="B1760" s="0" t="inlineStr">
        <is>
          <t>YES</t>
        </is>
      </c>
      <c r="C1760" s="0" t="inlineStr">
        <is>
          <t>NULL</t>
        </is>
      </c>
      <c r="D1760" s="0" t="inlineStr">
        <is>
          <t>NULL</t>
        </is>
      </c>
      <c r="E1760" s="0" t="inlineStr">
        <is>
          <t>NULL</t>
        </is>
      </c>
      <c r="F1760" s="0" t="inlineStr">
        <is>
          <t>NULL</t>
        </is>
      </c>
      <c r="G1760" s="0" t="inlineStr">
        <is>
          <t>NULL</t>
        </is>
      </c>
      <c r="H1760" s="0" t="inlineStr">
        <is>
          <t>NULL</t>
        </is>
      </c>
      <c r="I1760" s="0" t="inlineStr">
        <is>
          <t>YES!PK__info_var__3213E83FC08CB795</t>
        </is>
      </c>
      <c r="J1760" s="0" t="inlineStr">
        <is>
          <t>YES! 主键相关索引</t>
        </is>
      </c>
      <c r="K1760" s="0" t="inlineStr">
        <is>
          <t>YES! 	 id列源备映射正确，源端为int None位	期望更改为int	实际备端为int None位</t>
        </is>
      </c>
    </row>
    <row r="1761">
      <c r="B1761" s="0" t="inlineStr">
        <is>
          <t>NULL</t>
        </is>
      </c>
      <c r="C1761" s="0" t="inlineStr">
        <is>
          <t>NULL</t>
        </is>
      </c>
      <c r="D1761" s="0" t="inlineStr">
        <is>
          <t>NULL</t>
        </is>
      </c>
      <c r="E1761" s="0" t="inlineStr">
        <is>
          <t>NULL</t>
        </is>
      </c>
      <c r="F1761" s="0" t="inlineStr">
        <is>
          <t>NULL</t>
        </is>
      </c>
      <c r="G1761" s="0" t="inlineStr">
        <is>
          <t>NULL</t>
        </is>
      </c>
      <c r="H1761" s="0" t="inlineStr">
        <is>
          <t>NULL</t>
        </is>
      </c>
      <c r="I1761" s="0" t="inlineStr">
        <is>
          <t>NULL</t>
        </is>
      </c>
      <c r="J1761" s="0" t="inlineStr">
        <is>
          <t>NULL</t>
        </is>
      </c>
      <c r="K1761" s="0" t="inlineStr">
        <is>
          <t>YES! 	 c_varbinary_max1列源备映射正确，源端为varbinary -1位	期望更改为varbinary(n)	实际备端为varbinary -1位</t>
        </is>
      </c>
    </row>
    <row r="1762">
      <c r="B1762" s="0" t="inlineStr">
        <is>
          <t>NULL</t>
        </is>
      </c>
      <c r="C1762" s="0" t="inlineStr">
        <is>
          <t>NULL</t>
        </is>
      </c>
      <c r="D1762" s="0" t="inlineStr">
        <is>
          <t>NULL</t>
        </is>
      </c>
      <c r="E1762" s="0" t="inlineStr">
        <is>
          <t>NULL</t>
        </is>
      </c>
      <c r="F1762" s="0" t="inlineStr">
        <is>
          <t>NULL</t>
        </is>
      </c>
      <c r="G1762" s="0" t="inlineStr">
        <is>
          <t>NULL</t>
        </is>
      </c>
      <c r="H1762" s="0" t="inlineStr">
        <is>
          <t>NULL</t>
        </is>
      </c>
      <c r="I1762" s="0" t="inlineStr">
        <is>
          <t>NULL</t>
        </is>
      </c>
      <c r="J1762" s="0" t="inlineStr">
        <is>
          <t>NULL</t>
        </is>
      </c>
      <c r="K1762" s="0" t="inlineStr">
        <is>
          <t>YES! 	 c_varbinary_max2列源备映射正确，源端为varbinary -1位	期望更改为varbinary(n)	实际备端为varbinary -1位</t>
        </is>
      </c>
    </row>
    <row r="1763">
      <c r="B1763" s="0" t="inlineStr">
        <is>
          <t>NULL</t>
        </is>
      </c>
      <c r="C1763" s="0" t="inlineStr">
        <is>
          <t>NULL</t>
        </is>
      </c>
      <c r="D1763" s="0" t="inlineStr">
        <is>
          <t>NULL</t>
        </is>
      </c>
      <c r="E1763" s="0" t="inlineStr">
        <is>
          <t>NULL</t>
        </is>
      </c>
      <c r="F1763" s="0" t="inlineStr">
        <is>
          <t>NULL</t>
        </is>
      </c>
      <c r="G1763" s="0" t="inlineStr">
        <is>
          <t>NULL</t>
        </is>
      </c>
      <c r="H1763" s="0" t="inlineStr">
        <is>
          <t>NULL</t>
        </is>
      </c>
      <c r="I1763" s="0" t="inlineStr">
        <is>
          <t>NULL</t>
        </is>
      </c>
      <c r="J1763" s="0" t="inlineStr">
        <is>
          <t>NULL</t>
        </is>
      </c>
      <c r="K1763" s="0" t="inlineStr">
        <is>
          <t>YES! 	 c_image3列源备映射正确，源端为image 2147483647位	期望更改为image	实际备端为image 2147483647位</t>
        </is>
      </c>
    </row>
    <row r="1764">
      <c r="K1764" s="0" t="inlineStr">
        <is>
          <t>~ 空表</t>
        </is>
      </c>
    </row>
    <row r="1765">
      <c r="A1765" s="0" t="inlineStr">
        <is>
          <t>info_int_dml_batch1_pk_urp1</t>
        </is>
      </c>
      <c r="K1765" s="0" t="inlineStr">
        <is>
          <t>[0;34m info_int_dml_batch1_pk_urp1 [0m源备字段数相同，源端字段：20 	备端字段20</t>
        </is>
      </c>
      <c r="W1765" s="0" t="inlineStr">
        <is>
          <t>YES 源备无差异</t>
        </is>
      </c>
      <c r="X1765" s="0">
        <f>A1765</f>
        <v/>
      </c>
    </row>
    <row r="1766">
      <c r="B1766" s="0" t="inlineStr">
        <is>
          <t>YES</t>
        </is>
      </c>
      <c r="C1766" s="0" t="inlineStr">
        <is>
          <t>NULL</t>
        </is>
      </c>
      <c r="D1766" s="0" t="inlineStr">
        <is>
          <t>NULL</t>
        </is>
      </c>
      <c r="E1766" s="0" t="inlineStr">
        <is>
          <t>NULL</t>
        </is>
      </c>
      <c r="F1766" s="0" t="inlineStr">
        <is>
          <t>NULL</t>
        </is>
      </c>
      <c r="G1766" s="0" t="inlineStr">
        <is>
          <t>NULL</t>
        </is>
      </c>
      <c r="H1766" s="0" t="inlineStr">
        <is>
          <t>NULL</t>
        </is>
      </c>
      <c r="I1766" s="0" t="inlineStr">
        <is>
          <t>YES!PK__info_int__3213E83FE0417859</t>
        </is>
      </c>
      <c r="J1766" s="0" t="inlineStr">
        <is>
          <t>YES! 主键相关索引</t>
        </is>
      </c>
      <c r="K1766" s="0" t="inlineStr">
        <is>
          <t>YES! 	 id列源备映射正确，源端为int None位	期望更改为int	实际备端为int None位</t>
        </is>
      </c>
    </row>
    <row r="1767">
      <c r="B1767" s="0" t="inlineStr">
        <is>
          <t>NULL</t>
        </is>
      </c>
      <c r="C1767" s="0" t="inlineStr">
        <is>
          <t>NULL</t>
        </is>
      </c>
      <c r="D1767" s="0" t="inlineStr">
        <is>
          <t>NULL</t>
        </is>
      </c>
      <c r="E1767" s="0" t="inlineStr">
        <is>
          <t>NULL</t>
        </is>
      </c>
      <c r="F1767" s="0" t="inlineStr">
        <is>
          <t>NULL</t>
        </is>
      </c>
      <c r="G1767" s="0" t="inlineStr">
        <is>
          <t>NULL</t>
        </is>
      </c>
      <c r="H1767" s="0" t="inlineStr">
        <is>
          <t>NULL</t>
        </is>
      </c>
      <c r="I1767" s="0" t="inlineStr">
        <is>
          <t>NULL</t>
        </is>
      </c>
      <c r="J1767" s="0" t="inlineStr">
        <is>
          <t>NULL</t>
        </is>
      </c>
      <c r="K1767" s="0" t="inlineStr">
        <is>
          <t>YES! 	 c_tinyint列源备映射正确，源端为tinyint None位	期望更改为tinyint	实际备端为tinyint None位</t>
        </is>
      </c>
    </row>
    <row r="1768">
      <c r="B1768" s="0" t="inlineStr">
        <is>
          <t>NULL</t>
        </is>
      </c>
      <c r="C1768" s="0" t="inlineStr">
        <is>
          <t>NULL</t>
        </is>
      </c>
      <c r="D1768" s="0" t="inlineStr">
        <is>
          <t>NULL</t>
        </is>
      </c>
      <c r="E1768" s="0" t="inlineStr">
        <is>
          <t>NULL</t>
        </is>
      </c>
      <c r="F1768" s="0" t="inlineStr">
        <is>
          <t>NULL</t>
        </is>
      </c>
      <c r="G1768" s="0" t="inlineStr">
        <is>
          <t>NULL</t>
        </is>
      </c>
      <c r="H1768" s="0" t="inlineStr">
        <is>
          <t>NULL</t>
        </is>
      </c>
      <c r="I1768" s="0" t="inlineStr">
        <is>
          <t>NULL</t>
        </is>
      </c>
      <c r="J1768" s="0" t="inlineStr">
        <is>
          <t>NULL</t>
        </is>
      </c>
      <c r="K1768" s="0" t="inlineStr">
        <is>
          <t>YES! 	 c_smallint列源备映射正确，源端为smallint None位	期望更改为smallint	实际备端为smallint None位</t>
        </is>
      </c>
    </row>
    <row r="1769">
      <c r="B1769" s="0" t="inlineStr">
        <is>
          <t>NULL</t>
        </is>
      </c>
      <c r="C1769" s="0" t="inlineStr">
        <is>
          <t>NULL</t>
        </is>
      </c>
      <c r="D1769" s="0" t="inlineStr">
        <is>
          <t>NULL</t>
        </is>
      </c>
      <c r="E1769" s="0" t="inlineStr">
        <is>
          <t>NULL</t>
        </is>
      </c>
      <c r="F1769" s="0" t="inlineStr">
        <is>
          <t>NULL</t>
        </is>
      </c>
      <c r="G1769" s="0" t="inlineStr">
        <is>
          <t>NULL</t>
        </is>
      </c>
      <c r="H1769" s="0" t="inlineStr">
        <is>
          <t>NULL</t>
        </is>
      </c>
      <c r="I1769" s="0" t="inlineStr">
        <is>
          <t>NULL</t>
        </is>
      </c>
      <c r="J1769" s="0" t="inlineStr">
        <is>
          <t>NULL</t>
        </is>
      </c>
      <c r="K1769" s="0" t="inlineStr">
        <is>
          <t>YES! 	 c_int列源备映射正确，源端为int None位	期望更改为int	实际备端为int None位</t>
        </is>
      </c>
    </row>
    <row r="1770">
      <c r="B1770" s="0" t="inlineStr">
        <is>
          <t>NULL</t>
        </is>
      </c>
      <c r="C1770" s="0" t="inlineStr">
        <is>
          <t>NULL</t>
        </is>
      </c>
      <c r="D1770" s="0" t="inlineStr">
        <is>
          <t>NULL</t>
        </is>
      </c>
      <c r="E1770" s="0" t="inlineStr">
        <is>
          <t>NULL</t>
        </is>
      </c>
      <c r="F1770" s="0" t="inlineStr">
        <is>
          <t>NULL</t>
        </is>
      </c>
      <c r="G1770" s="0" t="inlineStr">
        <is>
          <t>NULL</t>
        </is>
      </c>
      <c r="H1770" s="0" t="inlineStr">
        <is>
          <t>NULL</t>
        </is>
      </c>
      <c r="I1770" s="0" t="inlineStr">
        <is>
          <t>NULL</t>
        </is>
      </c>
      <c r="J1770" s="0" t="inlineStr">
        <is>
          <t>NULL</t>
        </is>
      </c>
      <c r="K1770" s="0" t="inlineStr">
        <is>
          <t>YES! 	 c_bigint列源备映射正确，源端为bigint None位	期望更改为bigint	实际备端为bigint None位</t>
        </is>
      </c>
    </row>
    <row r="1771">
      <c r="B1771" s="0" t="inlineStr">
        <is>
          <t>NULL</t>
        </is>
      </c>
      <c r="C1771" s="0" t="inlineStr">
        <is>
          <t>NULL</t>
        </is>
      </c>
      <c r="D1771" s="0" t="inlineStr">
        <is>
          <t>NULL</t>
        </is>
      </c>
      <c r="E1771" s="0" t="inlineStr">
        <is>
          <t>NULL</t>
        </is>
      </c>
      <c r="F1771" s="0" t="inlineStr">
        <is>
          <t>NULL</t>
        </is>
      </c>
      <c r="G1771" s="0" t="inlineStr">
        <is>
          <t>NULL</t>
        </is>
      </c>
      <c r="H1771" s="0" t="inlineStr">
        <is>
          <t>NULL</t>
        </is>
      </c>
      <c r="I1771" s="0" t="inlineStr">
        <is>
          <t>NULL</t>
        </is>
      </c>
      <c r="J1771" s="0" t="inlineStr">
        <is>
          <t>NULL</t>
        </is>
      </c>
      <c r="K1771" s="0" t="inlineStr">
        <is>
          <t>YES! 	 c_decimal列源备映射正确，源端为decimal None位	期望更改为decimal(p,s)	实际备端为decimal None位</t>
        </is>
      </c>
    </row>
    <row r="1772">
      <c r="B1772" s="0" t="inlineStr">
        <is>
          <t>NULL</t>
        </is>
      </c>
      <c r="C1772" s="0" t="inlineStr">
        <is>
          <t>NULL</t>
        </is>
      </c>
      <c r="D1772" s="0" t="inlineStr">
        <is>
          <t>NULL</t>
        </is>
      </c>
      <c r="E1772" s="0" t="inlineStr">
        <is>
          <t>NULL</t>
        </is>
      </c>
      <c r="F1772" s="0" t="inlineStr">
        <is>
          <t>NULL</t>
        </is>
      </c>
      <c r="G1772" s="0" t="inlineStr">
        <is>
          <t>NULL</t>
        </is>
      </c>
      <c r="H1772" s="0" t="inlineStr">
        <is>
          <t>NULL</t>
        </is>
      </c>
      <c r="I1772" s="0" t="inlineStr">
        <is>
          <t>NULL</t>
        </is>
      </c>
      <c r="J1772" s="0" t="inlineStr">
        <is>
          <t>NULL</t>
        </is>
      </c>
      <c r="K1772" s="0" t="inlineStr">
        <is>
          <t>YES! 	 c_decimal38列源备映射正确，源端为decimal None位	期望更改为decimal(p,s)	实际备端为decimal None位</t>
        </is>
      </c>
    </row>
    <row r="1773">
      <c r="B1773" s="0" t="inlineStr">
        <is>
          <t>NULL</t>
        </is>
      </c>
      <c r="C1773" s="0" t="inlineStr">
        <is>
          <t>NULL</t>
        </is>
      </c>
      <c r="D1773" s="0" t="inlineStr">
        <is>
          <t>NULL</t>
        </is>
      </c>
      <c r="E1773" s="0" t="inlineStr">
        <is>
          <t>NULL</t>
        </is>
      </c>
      <c r="F1773" s="0" t="inlineStr">
        <is>
          <t>NULL</t>
        </is>
      </c>
      <c r="G1773" s="0" t="inlineStr">
        <is>
          <t>NULL</t>
        </is>
      </c>
      <c r="H1773" s="0" t="inlineStr">
        <is>
          <t>NULL</t>
        </is>
      </c>
      <c r="I1773" s="0" t="inlineStr">
        <is>
          <t>NULL</t>
        </is>
      </c>
      <c r="J1773" s="0" t="inlineStr">
        <is>
          <t>NULL</t>
        </is>
      </c>
      <c r="K1773" s="0" t="inlineStr">
        <is>
          <t>YES! 	 c_decimal38_38列源备映射正确，源端为decimal None位	期望更改为decimal(p,s)	实际备端为decimal None位</t>
        </is>
      </c>
    </row>
    <row r="1774">
      <c r="B1774" s="0" t="inlineStr">
        <is>
          <t>NULL</t>
        </is>
      </c>
      <c r="C1774" s="0" t="inlineStr">
        <is>
          <t>NULL</t>
        </is>
      </c>
      <c r="D1774" s="0" t="inlineStr">
        <is>
          <t>NULL</t>
        </is>
      </c>
      <c r="E1774" s="0" t="inlineStr">
        <is>
          <t>NULL</t>
        </is>
      </c>
      <c r="F1774" s="0" t="inlineStr">
        <is>
          <t>NULL</t>
        </is>
      </c>
      <c r="G1774" s="0" t="inlineStr">
        <is>
          <t>NULL</t>
        </is>
      </c>
      <c r="H1774" s="0" t="inlineStr">
        <is>
          <t>NULL</t>
        </is>
      </c>
      <c r="I1774" s="0" t="inlineStr">
        <is>
          <t>NULL</t>
        </is>
      </c>
      <c r="J1774" s="0" t="inlineStr">
        <is>
          <t>NULL</t>
        </is>
      </c>
      <c r="K1774" s="0" t="inlineStr">
        <is>
          <t>YES! 	 c_decimal38_10列源备映射正确，源端为decimal None位	期望更改为decimal(p,s)	实际备端为decimal None位</t>
        </is>
      </c>
    </row>
    <row r="1775">
      <c r="B1775" s="0" t="inlineStr">
        <is>
          <t>NULL</t>
        </is>
      </c>
      <c r="C1775" s="0" t="inlineStr">
        <is>
          <t>NULL</t>
        </is>
      </c>
      <c r="D1775" s="0" t="inlineStr">
        <is>
          <t>NULL</t>
        </is>
      </c>
      <c r="E1775" s="0" t="inlineStr">
        <is>
          <t>NULL</t>
        </is>
      </c>
      <c r="F1775" s="0" t="inlineStr">
        <is>
          <t>NULL</t>
        </is>
      </c>
      <c r="G1775" s="0" t="inlineStr">
        <is>
          <t>NULL</t>
        </is>
      </c>
      <c r="H1775" s="0" t="inlineStr">
        <is>
          <t>NULL</t>
        </is>
      </c>
      <c r="I1775" s="0" t="inlineStr">
        <is>
          <t>NULL</t>
        </is>
      </c>
      <c r="J1775" s="0" t="inlineStr">
        <is>
          <t>NULL</t>
        </is>
      </c>
      <c r="K1775" s="0" t="inlineStr">
        <is>
          <t>YES! 	 c_decimal19_4列源备映射正确，源端为decimal None位	期望更改为decimal(p,s)	实际备端为decimal None位</t>
        </is>
      </c>
    </row>
    <row r="1776">
      <c r="B1776" s="0" t="inlineStr">
        <is>
          <t>NULL</t>
        </is>
      </c>
      <c r="C1776" s="0" t="inlineStr">
        <is>
          <t>NULL</t>
        </is>
      </c>
      <c r="D1776" s="0" t="inlineStr">
        <is>
          <t>NULL</t>
        </is>
      </c>
      <c r="E1776" s="0" t="inlineStr">
        <is>
          <t>NULL</t>
        </is>
      </c>
      <c r="F1776" s="0" t="inlineStr">
        <is>
          <t>NULL</t>
        </is>
      </c>
      <c r="G1776" s="0" t="inlineStr">
        <is>
          <t>NULL</t>
        </is>
      </c>
      <c r="H1776" s="0" t="inlineStr">
        <is>
          <t>NULL</t>
        </is>
      </c>
      <c r="I1776" s="0" t="inlineStr">
        <is>
          <t>NULL</t>
        </is>
      </c>
      <c r="J1776" s="0" t="inlineStr">
        <is>
          <t>NULL</t>
        </is>
      </c>
      <c r="K1776" s="0" t="inlineStr">
        <is>
          <t>YES! 	 c_numeric列源备映射正确，源端为numeric None位	期望更改为numeric(p,s)	实际备端为numeric None位</t>
        </is>
      </c>
    </row>
    <row r="1777">
      <c r="B1777" s="0" t="inlineStr">
        <is>
          <t>NULL</t>
        </is>
      </c>
      <c r="C1777" s="0" t="inlineStr">
        <is>
          <t>NULL</t>
        </is>
      </c>
      <c r="D1777" s="0" t="inlineStr">
        <is>
          <t>NULL</t>
        </is>
      </c>
      <c r="E1777" s="0" t="inlineStr">
        <is>
          <t>NULL</t>
        </is>
      </c>
      <c r="F1777" s="0" t="inlineStr">
        <is>
          <t>NULL</t>
        </is>
      </c>
      <c r="G1777" s="0" t="inlineStr">
        <is>
          <t>NULL</t>
        </is>
      </c>
      <c r="H1777" s="0" t="inlineStr">
        <is>
          <t>NULL</t>
        </is>
      </c>
      <c r="I1777" s="0" t="inlineStr">
        <is>
          <t>NULL</t>
        </is>
      </c>
      <c r="J1777" s="0" t="inlineStr">
        <is>
          <t>NULL</t>
        </is>
      </c>
      <c r="K1777" s="0" t="inlineStr">
        <is>
          <t>YES! 	 c_numeric38列源备映射正确，源端为numeric None位	期望更改为numeric(p,s)	实际备端为numeric None位</t>
        </is>
      </c>
    </row>
    <row r="1778">
      <c r="B1778" s="0" t="inlineStr">
        <is>
          <t>NULL</t>
        </is>
      </c>
      <c r="C1778" s="0" t="inlineStr">
        <is>
          <t>NULL</t>
        </is>
      </c>
      <c r="D1778" s="0" t="inlineStr">
        <is>
          <t>NULL</t>
        </is>
      </c>
      <c r="E1778" s="0" t="inlineStr">
        <is>
          <t>NULL</t>
        </is>
      </c>
      <c r="F1778" s="0" t="inlineStr">
        <is>
          <t>NULL</t>
        </is>
      </c>
      <c r="G1778" s="0" t="inlineStr">
        <is>
          <t>NULL</t>
        </is>
      </c>
      <c r="H1778" s="0" t="inlineStr">
        <is>
          <t>NULL</t>
        </is>
      </c>
      <c r="I1778" s="0" t="inlineStr">
        <is>
          <t>NULL</t>
        </is>
      </c>
      <c r="J1778" s="0" t="inlineStr">
        <is>
          <t>NULL</t>
        </is>
      </c>
      <c r="K1778" s="0" t="inlineStr">
        <is>
          <t>YES! 	 c_numeric38_38列源备映射正确，源端为numeric None位	期望更改为numeric(p,s)	实际备端为numeric None位</t>
        </is>
      </c>
    </row>
    <row r="1779">
      <c r="B1779" s="0" t="inlineStr">
        <is>
          <t>NULL</t>
        </is>
      </c>
      <c r="C1779" s="0" t="inlineStr">
        <is>
          <t>NULL</t>
        </is>
      </c>
      <c r="D1779" s="0" t="inlineStr">
        <is>
          <t>NULL</t>
        </is>
      </c>
      <c r="E1779" s="0" t="inlineStr">
        <is>
          <t>NULL</t>
        </is>
      </c>
      <c r="F1779" s="0" t="inlineStr">
        <is>
          <t>NULL</t>
        </is>
      </c>
      <c r="G1779" s="0" t="inlineStr">
        <is>
          <t>NULL</t>
        </is>
      </c>
      <c r="H1779" s="0" t="inlineStr">
        <is>
          <t>NULL</t>
        </is>
      </c>
      <c r="I1779" s="0" t="inlineStr">
        <is>
          <t>NULL</t>
        </is>
      </c>
      <c r="J1779" s="0" t="inlineStr">
        <is>
          <t>NULL</t>
        </is>
      </c>
      <c r="K1779" s="0" t="inlineStr">
        <is>
          <t>YES! 	 c_numeric38_10列源备映射正确，源端为numeric None位	期望更改为numeric(p,s)	实际备端为numeric None位</t>
        </is>
      </c>
    </row>
    <row r="1780">
      <c r="B1780" s="0" t="inlineStr">
        <is>
          <t>NULL</t>
        </is>
      </c>
      <c r="C1780" s="0" t="inlineStr">
        <is>
          <t>NULL</t>
        </is>
      </c>
      <c r="D1780" s="0" t="inlineStr">
        <is>
          <t>NULL</t>
        </is>
      </c>
      <c r="E1780" s="0" t="inlineStr">
        <is>
          <t>NULL</t>
        </is>
      </c>
      <c r="F1780" s="0" t="inlineStr">
        <is>
          <t>NULL</t>
        </is>
      </c>
      <c r="G1780" s="0" t="inlineStr">
        <is>
          <t>NULL</t>
        </is>
      </c>
      <c r="H1780" s="0" t="inlineStr">
        <is>
          <t>NULL</t>
        </is>
      </c>
      <c r="I1780" s="0" t="inlineStr">
        <is>
          <t>NULL</t>
        </is>
      </c>
      <c r="J1780" s="0" t="inlineStr">
        <is>
          <t>NULL</t>
        </is>
      </c>
      <c r="K1780" s="0" t="inlineStr">
        <is>
          <t>YES! 	 c_numeric18_2列源备映射正确，源端为numeric None位	期望更改为numeric(p,s)	实际备端为numeric None位</t>
        </is>
      </c>
    </row>
    <row r="1781">
      <c r="B1781" s="0" t="inlineStr">
        <is>
          <t>NULL</t>
        </is>
      </c>
      <c r="C1781" s="0" t="inlineStr">
        <is>
          <t>NULL</t>
        </is>
      </c>
      <c r="D1781" s="0" t="inlineStr">
        <is>
          <t>NULL</t>
        </is>
      </c>
      <c r="E1781" s="0" t="inlineStr">
        <is>
          <t>NULL</t>
        </is>
      </c>
      <c r="F1781" s="0" t="inlineStr">
        <is>
          <t>NULL</t>
        </is>
      </c>
      <c r="G1781" s="0" t="inlineStr">
        <is>
          <t>NULL</t>
        </is>
      </c>
      <c r="H1781" s="0" t="inlineStr">
        <is>
          <t>NULL</t>
        </is>
      </c>
      <c r="I1781" s="0" t="inlineStr">
        <is>
          <t>NULL</t>
        </is>
      </c>
      <c r="J1781" s="0" t="inlineStr">
        <is>
          <t>NULL</t>
        </is>
      </c>
      <c r="K1781" s="0" t="inlineStr">
        <is>
          <t>YES! 	 c_float列源备映射正确，源端为float None位	期望更改为float	实际备端为float None位</t>
        </is>
      </c>
    </row>
    <row r="1782">
      <c r="B1782" s="0" t="inlineStr">
        <is>
          <t>NULL</t>
        </is>
      </c>
      <c r="C1782" s="0" t="inlineStr">
        <is>
          <t>NULL</t>
        </is>
      </c>
      <c r="D1782" s="0" t="inlineStr">
        <is>
          <t>NULL</t>
        </is>
      </c>
      <c r="E1782" s="0" t="inlineStr">
        <is>
          <t>NULL</t>
        </is>
      </c>
      <c r="F1782" s="0" t="inlineStr">
        <is>
          <t>NULL</t>
        </is>
      </c>
      <c r="G1782" s="0" t="inlineStr">
        <is>
          <t>NULL</t>
        </is>
      </c>
      <c r="H1782" s="0" t="inlineStr">
        <is>
          <t>NULL</t>
        </is>
      </c>
      <c r="I1782" s="0" t="inlineStr">
        <is>
          <t>NULL</t>
        </is>
      </c>
      <c r="J1782" s="0" t="inlineStr">
        <is>
          <t>NULL</t>
        </is>
      </c>
      <c r="K1782" s="0" t="inlineStr">
        <is>
          <t>YES! 	 c_real列源备映射正确，源端为real None位	期望更改为real	实际备端为real None位</t>
        </is>
      </c>
    </row>
    <row r="1783">
      <c r="B1783" s="0" t="inlineStr">
        <is>
          <t>NULL</t>
        </is>
      </c>
      <c r="C1783" s="0" t="inlineStr">
        <is>
          <t>NULL</t>
        </is>
      </c>
      <c r="D1783" s="0" t="inlineStr">
        <is>
          <t>NULL</t>
        </is>
      </c>
      <c r="E1783" s="0" t="inlineStr">
        <is>
          <t>NULL</t>
        </is>
      </c>
      <c r="F1783" s="0" t="inlineStr">
        <is>
          <t>NULL</t>
        </is>
      </c>
      <c r="G1783" s="0" t="inlineStr">
        <is>
          <t>NULL</t>
        </is>
      </c>
      <c r="H1783" s="0" t="inlineStr">
        <is>
          <t>NULL</t>
        </is>
      </c>
      <c r="I1783" s="0" t="inlineStr">
        <is>
          <t>NULL</t>
        </is>
      </c>
      <c r="J1783" s="0" t="inlineStr">
        <is>
          <t>NULL</t>
        </is>
      </c>
      <c r="K1783" s="0" t="inlineStr">
        <is>
          <t>YES! 	 c_money列源备映射正确，源端为money None位	期望更改为money	实际备端为money None位</t>
        </is>
      </c>
    </row>
    <row r="1784">
      <c r="B1784" s="0" t="inlineStr">
        <is>
          <t>NULL</t>
        </is>
      </c>
      <c r="C1784" s="0" t="inlineStr">
        <is>
          <t>NULL</t>
        </is>
      </c>
      <c r="D1784" s="0" t="inlineStr">
        <is>
          <t>NULL</t>
        </is>
      </c>
      <c r="E1784" s="0" t="inlineStr">
        <is>
          <t>NULL</t>
        </is>
      </c>
      <c r="F1784" s="0" t="inlineStr">
        <is>
          <t>NULL</t>
        </is>
      </c>
      <c r="G1784" s="0" t="inlineStr">
        <is>
          <t>NULL</t>
        </is>
      </c>
      <c r="H1784" s="0" t="inlineStr">
        <is>
          <t>NULL</t>
        </is>
      </c>
      <c r="I1784" s="0" t="inlineStr">
        <is>
          <t>NULL</t>
        </is>
      </c>
      <c r="J1784" s="0" t="inlineStr">
        <is>
          <t>NULL</t>
        </is>
      </c>
      <c r="K1784" s="0" t="inlineStr">
        <is>
          <t>YES! 	 c_smallmoney列源备映射正确，源端为smallmoney None位	期望更改为smallmoney	实际备端为smallmoney None位</t>
        </is>
      </c>
    </row>
    <row r="1785">
      <c r="B1785" s="0" t="inlineStr">
        <is>
          <t>NULL</t>
        </is>
      </c>
      <c r="C1785" s="0" t="inlineStr">
        <is>
          <t>NULL</t>
        </is>
      </c>
      <c r="D1785" s="0" t="inlineStr">
        <is>
          <t>NULL</t>
        </is>
      </c>
      <c r="E1785" s="0" t="inlineStr">
        <is>
          <t>NULL</t>
        </is>
      </c>
      <c r="F1785" s="0" t="inlineStr">
        <is>
          <t>NULL</t>
        </is>
      </c>
      <c r="G1785" s="0" t="inlineStr">
        <is>
          <t>NULL</t>
        </is>
      </c>
      <c r="H1785" s="0" t="inlineStr">
        <is>
          <t>NULL</t>
        </is>
      </c>
      <c r="I1785" s="0" t="inlineStr">
        <is>
          <t>NULL</t>
        </is>
      </c>
      <c r="J1785" s="0" t="inlineStr">
        <is>
          <t>NULL</t>
        </is>
      </c>
      <c r="K1785" s="0" t="inlineStr">
        <is>
          <t>YES! 	 c_bit列源备映射正确，源端为bit None位	期望更改为bit	实际备端为bit None位</t>
        </is>
      </c>
    </row>
    <row r="1786">
      <c r="A1786" s="0" t="inlineStr">
        <is>
          <t>info_xml_dml_single_pk_urp</t>
        </is>
      </c>
      <c r="K1786" s="0" t="inlineStr">
        <is>
          <t>[0;34m info_xml_dml_single_pk_urp [0m源备字段数相同，源端字段：2 	备端字段2</t>
        </is>
      </c>
      <c r="W1786" s="0" t="inlineStr">
        <is>
          <t>YES 源备无差异</t>
        </is>
      </c>
      <c r="X1786" s="0">
        <f>A1786</f>
        <v/>
      </c>
    </row>
    <row r="1787">
      <c r="B1787" s="0" t="inlineStr">
        <is>
          <t>YES</t>
        </is>
      </c>
      <c r="C1787" s="0" t="inlineStr">
        <is>
          <t>NULL</t>
        </is>
      </c>
      <c r="D1787" s="0" t="inlineStr">
        <is>
          <t>NULL</t>
        </is>
      </c>
      <c r="E1787" s="0" t="inlineStr">
        <is>
          <t>NULL</t>
        </is>
      </c>
      <c r="F1787" s="0" t="inlineStr">
        <is>
          <t>NULL</t>
        </is>
      </c>
      <c r="G1787" s="0" t="inlineStr">
        <is>
          <t>NULL</t>
        </is>
      </c>
      <c r="H1787" s="0" t="inlineStr">
        <is>
          <t>NULL</t>
        </is>
      </c>
      <c r="I1787" s="0" t="inlineStr">
        <is>
          <t>YES!PK__info_xml__3213E83F7193908E</t>
        </is>
      </c>
      <c r="J1787" s="0" t="inlineStr">
        <is>
          <t>YES! 主键相关索引</t>
        </is>
      </c>
      <c r="K1787" s="0" t="inlineStr">
        <is>
          <t>YES! 	 id列源备映射正确，源端为int None位	期望更改为int	实际备端为int None位</t>
        </is>
      </c>
    </row>
    <row r="1788">
      <c r="B1788" s="0" t="inlineStr">
        <is>
          <t>NULL</t>
        </is>
      </c>
      <c r="C1788" s="0" t="inlineStr">
        <is>
          <t>NULL</t>
        </is>
      </c>
      <c r="D1788" s="0" t="inlineStr">
        <is>
          <t>NULL</t>
        </is>
      </c>
      <c r="E1788" s="0" t="inlineStr">
        <is>
          <t>NULL</t>
        </is>
      </c>
      <c r="F1788" s="0" t="inlineStr">
        <is>
          <t>NULL</t>
        </is>
      </c>
      <c r="G1788" s="0" t="inlineStr">
        <is>
          <t>NULL</t>
        </is>
      </c>
      <c r="H1788" s="0" t="inlineStr">
        <is>
          <t>NULL</t>
        </is>
      </c>
      <c r="I1788" s="0" t="inlineStr">
        <is>
          <t>NULL</t>
        </is>
      </c>
      <c r="J1788" s="0" t="inlineStr">
        <is>
          <t>NULL</t>
        </is>
      </c>
      <c r="K1788" s="0" t="inlineStr">
        <is>
          <t>YES! 	 c_xml列源备映射正确，源端为xml -1位	期望更改为xml	实际备端为xml -1位</t>
        </is>
      </c>
    </row>
    <row r="1789">
      <c r="A1789" s="0" t="inlineStr">
        <is>
          <t>info_varbinary_max_dml_single_pk</t>
        </is>
      </c>
      <c r="K1789" s="0" t="inlineStr">
        <is>
          <t>[0;34m info_varbinary_max_dml_single_pk [0m源备字段数相同，源端字段：4 	备端字段4</t>
        </is>
      </c>
      <c r="W1789" s="0" t="inlineStr">
        <is>
          <t>YES 源备无差异</t>
        </is>
      </c>
      <c r="X1789" s="0">
        <f>A1789</f>
        <v/>
      </c>
    </row>
    <row r="1790">
      <c r="B1790" s="0" t="inlineStr">
        <is>
          <t>YES</t>
        </is>
      </c>
      <c r="C1790" s="0" t="inlineStr">
        <is>
          <t>NULL</t>
        </is>
      </c>
      <c r="D1790" s="0" t="inlineStr">
        <is>
          <t>NULL</t>
        </is>
      </c>
      <c r="E1790" s="0" t="inlineStr">
        <is>
          <t>NULL</t>
        </is>
      </c>
      <c r="F1790" s="0" t="inlineStr">
        <is>
          <t>NULL</t>
        </is>
      </c>
      <c r="G1790" s="0" t="inlineStr">
        <is>
          <t>NULL</t>
        </is>
      </c>
      <c r="H1790" s="0" t="inlineStr">
        <is>
          <t>NULL</t>
        </is>
      </c>
      <c r="I1790" s="0" t="inlineStr">
        <is>
          <t>YES!PK__info_var__3213E83FA466D81D</t>
        </is>
      </c>
      <c r="J1790" s="0" t="inlineStr">
        <is>
          <t>YES! 主键相关索引</t>
        </is>
      </c>
      <c r="K1790" s="0" t="inlineStr">
        <is>
          <t>YES! 	 id列源备映射正确，源端为int None位	期望更改为int	实际备端为int None位</t>
        </is>
      </c>
    </row>
    <row r="1791">
      <c r="B1791" s="0" t="inlineStr">
        <is>
          <t>NULL</t>
        </is>
      </c>
      <c r="C1791" s="0" t="inlineStr">
        <is>
          <t>NULL</t>
        </is>
      </c>
      <c r="D1791" s="0" t="inlineStr">
        <is>
          <t>NULL</t>
        </is>
      </c>
      <c r="E1791" s="0" t="inlineStr">
        <is>
          <t>NULL</t>
        </is>
      </c>
      <c r="F1791" s="0" t="inlineStr">
        <is>
          <t>NULL</t>
        </is>
      </c>
      <c r="G1791" s="0" t="inlineStr">
        <is>
          <t>NULL</t>
        </is>
      </c>
      <c r="H1791" s="0" t="inlineStr">
        <is>
          <t>NULL</t>
        </is>
      </c>
      <c r="I1791" s="0" t="inlineStr">
        <is>
          <t>NULL</t>
        </is>
      </c>
      <c r="J1791" s="0" t="inlineStr">
        <is>
          <t>NULL</t>
        </is>
      </c>
      <c r="K1791" s="0" t="inlineStr">
        <is>
          <t>YES! 	 c_varbinary_max1列源备映射正确，源端为varbinary -1位	期望更改为varbinary(n)	实际备端为varbinary -1位</t>
        </is>
      </c>
    </row>
    <row r="1792">
      <c r="B1792" s="0" t="inlineStr">
        <is>
          <t>NULL</t>
        </is>
      </c>
      <c r="C1792" s="0" t="inlineStr">
        <is>
          <t>NULL</t>
        </is>
      </c>
      <c r="D1792" s="0" t="inlineStr">
        <is>
          <t>NULL</t>
        </is>
      </c>
      <c r="E1792" s="0" t="inlineStr">
        <is>
          <t>NULL</t>
        </is>
      </c>
      <c r="F1792" s="0" t="inlineStr">
        <is>
          <t>NULL</t>
        </is>
      </c>
      <c r="G1792" s="0" t="inlineStr">
        <is>
          <t>NULL</t>
        </is>
      </c>
      <c r="H1792" s="0" t="inlineStr">
        <is>
          <t>NULL</t>
        </is>
      </c>
      <c r="I1792" s="0" t="inlineStr">
        <is>
          <t>NULL</t>
        </is>
      </c>
      <c r="J1792" s="0" t="inlineStr">
        <is>
          <t>NULL</t>
        </is>
      </c>
      <c r="K1792" s="0" t="inlineStr">
        <is>
          <t>YES! 	 c_varbinary_max2列源备映射正确，源端为varbinary -1位	期望更改为varbinary(n)	实际备端为varbinary -1位</t>
        </is>
      </c>
    </row>
    <row r="1793">
      <c r="B1793" s="0" t="inlineStr">
        <is>
          <t>NULL</t>
        </is>
      </c>
      <c r="C1793" s="0" t="inlineStr">
        <is>
          <t>NULL</t>
        </is>
      </c>
      <c r="D1793" s="0" t="inlineStr">
        <is>
          <t>NULL</t>
        </is>
      </c>
      <c r="E1793" s="0" t="inlineStr">
        <is>
          <t>NULL</t>
        </is>
      </c>
      <c r="F1793" s="0" t="inlineStr">
        <is>
          <t>NULL</t>
        </is>
      </c>
      <c r="G1793" s="0" t="inlineStr">
        <is>
          <t>NULL</t>
        </is>
      </c>
      <c r="H1793" s="0" t="inlineStr">
        <is>
          <t>NULL</t>
        </is>
      </c>
      <c r="I1793" s="0" t="inlineStr">
        <is>
          <t>NULL</t>
        </is>
      </c>
      <c r="J1793" s="0" t="inlineStr">
        <is>
          <t>NULL</t>
        </is>
      </c>
      <c r="K1793" s="0" t="inlineStr">
        <is>
          <t>YES! 	 c_image3列源备映射正确，源端为image 2147483647位	期望更改为image	实际备端为image 2147483647位</t>
        </is>
      </c>
    </row>
    <row r="1794">
      <c r="A1794" s="0" t="inlineStr">
        <is>
          <t>info_int_dml_batch1_pk_urp2</t>
        </is>
      </c>
      <c r="K1794" s="0" t="inlineStr">
        <is>
          <t>[0;34m info_int_dml_batch1_pk_urp2 [0m源备字段数相同，源端字段：20 	备端字段20</t>
        </is>
      </c>
      <c r="W1794" s="0" t="inlineStr">
        <is>
          <t>YES 源备无差异</t>
        </is>
      </c>
      <c r="X1794" s="0">
        <f>A1794</f>
        <v/>
      </c>
    </row>
    <row r="1795">
      <c r="B1795" s="0" t="inlineStr">
        <is>
          <t>YES</t>
        </is>
      </c>
      <c r="C1795" s="0" t="inlineStr">
        <is>
          <t>NULL</t>
        </is>
      </c>
      <c r="D1795" s="0" t="inlineStr">
        <is>
          <t>NULL</t>
        </is>
      </c>
      <c r="E1795" s="0" t="inlineStr">
        <is>
          <t>NULL</t>
        </is>
      </c>
      <c r="F1795" s="0" t="inlineStr">
        <is>
          <t>NULL</t>
        </is>
      </c>
      <c r="G1795" s="0" t="inlineStr">
        <is>
          <t>NULL</t>
        </is>
      </c>
      <c r="H1795" s="0" t="inlineStr">
        <is>
          <t>NULL</t>
        </is>
      </c>
      <c r="I1795" s="0" t="inlineStr">
        <is>
          <t>YES!PK__info_int__3213E83F144F3BF9</t>
        </is>
      </c>
      <c r="J1795" s="0" t="inlineStr">
        <is>
          <t>YES! 主键相关索引</t>
        </is>
      </c>
      <c r="K1795" s="0" t="inlineStr">
        <is>
          <t>YES! 	 id列源备映射正确，源端为int None位	期望更改为int	实际备端为int None位</t>
        </is>
      </c>
    </row>
    <row r="1796">
      <c r="B1796" s="0" t="inlineStr">
        <is>
          <t>NULL</t>
        </is>
      </c>
      <c r="C1796" s="0" t="inlineStr">
        <is>
          <t>NULL</t>
        </is>
      </c>
      <c r="D1796" s="0" t="inlineStr">
        <is>
          <t>NULL</t>
        </is>
      </c>
      <c r="E1796" s="0" t="inlineStr">
        <is>
          <t>NULL</t>
        </is>
      </c>
      <c r="F1796" s="0" t="inlineStr">
        <is>
          <t>NULL</t>
        </is>
      </c>
      <c r="G1796" s="0" t="inlineStr">
        <is>
          <t>NULL</t>
        </is>
      </c>
      <c r="H1796" s="0" t="inlineStr">
        <is>
          <t>NULL</t>
        </is>
      </c>
      <c r="I1796" s="0" t="inlineStr">
        <is>
          <t>NULL</t>
        </is>
      </c>
      <c r="J1796" s="0" t="inlineStr">
        <is>
          <t>NULL</t>
        </is>
      </c>
      <c r="K1796" s="0" t="inlineStr">
        <is>
          <t>YES! 	 c_tinyint列源备映射正确，源端为tinyint None位	期望更改为tinyint	实际备端为tinyint None位</t>
        </is>
      </c>
    </row>
    <row r="1797">
      <c r="B1797" s="0" t="inlineStr">
        <is>
          <t>NULL</t>
        </is>
      </c>
      <c r="C1797" s="0" t="inlineStr">
        <is>
          <t>NULL</t>
        </is>
      </c>
      <c r="D1797" s="0" t="inlineStr">
        <is>
          <t>NULL</t>
        </is>
      </c>
      <c r="E1797" s="0" t="inlineStr">
        <is>
          <t>NULL</t>
        </is>
      </c>
      <c r="F1797" s="0" t="inlineStr">
        <is>
          <t>NULL</t>
        </is>
      </c>
      <c r="G1797" s="0" t="inlineStr">
        <is>
          <t>NULL</t>
        </is>
      </c>
      <c r="H1797" s="0" t="inlineStr">
        <is>
          <t>NULL</t>
        </is>
      </c>
      <c r="I1797" s="0" t="inlineStr">
        <is>
          <t>NULL</t>
        </is>
      </c>
      <c r="J1797" s="0" t="inlineStr">
        <is>
          <t>NULL</t>
        </is>
      </c>
      <c r="K1797" s="0" t="inlineStr">
        <is>
          <t>YES! 	 c_smallint列源备映射正确，源端为smallint None位	期望更改为smallint	实际备端为smallint None位</t>
        </is>
      </c>
    </row>
    <row r="1798">
      <c r="B1798" s="0" t="inlineStr">
        <is>
          <t>NULL</t>
        </is>
      </c>
      <c r="C1798" s="0" t="inlineStr">
        <is>
          <t>NULL</t>
        </is>
      </c>
      <c r="D1798" s="0" t="inlineStr">
        <is>
          <t>NULL</t>
        </is>
      </c>
      <c r="E1798" s="0" t="inlineStr">
        <is>
          <t>NULL</t>
        </is>
      </c>
      <c r="F1798" s="0" t="inlineStr">
        <is>
          <t>NULL</t>
        </is>
      </c>
      <c r="G1798" s="0" t="inlineStr">
        <is>
          <t>NULL</t>
        </is>
      </c>
      <c r="H1798" s="0" t="inlineStr">
        <is>
          <t>NULL</t>
        </is>
      </c>
      <c r="I1798" s="0" t="inlineStr">
        <is>
          <t>NULL</t>
        </is>
      </c>
      <c r="J1798" s="0" t="inlineStr">
        <is>
          <t>NULL</t>
        </is>
      </c>
      <c r="K1798" s="0" t="inlineStr">
        <is>
          <t>YES! 	 c_int列源备映射正确，源端为int None位	期望更改为int	实际备端为int None位</t>
        </is>
      </c>
    </row>
    <row r="1799">
      <c r="B1799" s="0" t="inlineStr">
        <is>
          <t>NULL</t>
        </is>
      </c>
      <c r="C1799" s="0" t="inlineStr">
        <is>
          <t>NULL</t>
        </is>
      </c>
      <c r="D1799" s="0" t="inlineStr">
        <is>
          <t>NULL</t>
        </is>
      </c>
      <c r="E1799" s="0" t="inlineStr">
        <is>
          <t>NULL</t>
        </is>
      </c>
      <c r="F1799" s="0" t="inlineStr">
        <is>
          <t>NULL</t>
        </is>
      </c>
      <c r="G1799" s="0" t="inlineStr">
        <is>
          <t>NULL</t>
        </is>
      </c>
      <c r="H1799" s="0" t="inlineStr">
        <is>
          <t>NULL</t>
        </is>
      </c>
      <c r="I1799" s="0" t="inlineStr">
        <is>
          <t>NULL</t>
        </is>
      </c>
      <c r="J1799" s="0" t="inlineStr">
        <is>
          <t>NULL</t>
        </is>
      </c>
      <c r="K1799" s="0" t="inlineStr">
        <is>
          <t>YES! 	 c_bigint列源备映射正确，源端为bigint None位	期望更改为bigint	实际备端为bigint None位</t>
        </is>
      </c>
    </row>
    <row r="1800">
      <c r="B1800" s="0" t="inlineStr">
        <is>
          <t>NULL</t>
        </is>
      </c>
      <c r="C1800" s="0" t="inlineStr">
        <is>
          <t>NULL</t>
        </is>
      </c>
      <c r="D1800" s="0" t="inlineStr">
        <is>
          <t>NULL</t>
        </is>
      </c>
      <c r="E1800" s="0" t="inlineStr">
        <is>
          <t>NULL</t>
        </is>
      </c>
      <c r="F1800" s="0" t="inlineStr">
        <is>
          <t>NULL</t>
        </is>
      </c>
      <c r="G1800" s="0" t="inlineStr">
        <is>
          <t>NULL</t>
        </is>
      </c>
      <c r="H1800" s="0" t="inlineStr">
        <is>
          <t>NULL</t>
        </is>
      </c>
      <c r="I1800" s="0" t="inlineStr">
        <is>
          <t>NULL</t>
        </is>
      </c>
      <c r="J1800" s="0" t="inlineStr">
        <is>
          <t>NULL</t>
        </is>
      </c>
      <c r="K1800" s="0" t="inlineStr">
        <is>
          <t>YES! 	 c_decimal列源备映射正确，源端为decimal None位	期望更改为decimal(p,s)	实际备端为decimal None位</t>
        </is>
      </c>
    </row>
    <row r="1801">
      <c r="B1801" s="0" t="inlineStr">
        <is>
          <t>NULL</t>
        </is>
      </c>
      <c r="C1801" s="0" t="inlineStr">
        <is>
          <t>NULL</t>
        </is>
      </c>
      <c r="D1801" s="0" t="inlineStr">
        <is>
          <t>NULL</t>
        </is>
      </c>
      <c r="E1801" s="0" t="inlineStr">
        <is>
          <t>NULL</t>
        </is>
      </c>
      <c r="F1801" s="0" t="inlineStr">
        <is>
          <t>NULL</t>
        </is>
      </c>
      <c r="G1801" s="0" t="inlineStr">
        <is>
          <t>NULL</t>
        </is>
      </c>
      <c r="H1801" s="0" t="inlineStr">
        <is>
          <t>NULL</t>
        </is>
      </c>
      <c r="I1801" s="0" t="inlineStr">
        <is>
          <t>NULL</t>
        </is>
      </c>
      <c r="J1801" s="0" t="inlineStr">
        <is>
          <t>NULL</t>
        </is>
      </c>
      <c r="K1801" s="0" t="inlineStr">
        <is>
          <t>YES! 	 c_decimal38列源备映射正确，源端为decimal None位	期望更改为decimal(p,s)	实际备端为decimal None位</t>
        </is>
      </c>
    </row>
    <row r="1802">
      <c r="B1802" s="0" t="inlineStr">
        <is>
          <t>NULL</t>
        </is>
      </c>
      <c r="C1802" s="0" t="inlineStr">
        <is>
          <t>NULL</t>
        </is>
      </c>
      <c r="D1802" s="0" t="inlineStr">
        <is>
          <t>NULL</t>
        </is>
      </c>
      <c r="E1802" s="0" t="inlineStr">
        <is>
          <t>NULL</t>
        </is>
      </c>
      <c r="F1802" s="0" t="inlineStr">
        <is>
          <t>NULL</t>
        </is>
      </c>
      <c r="G1802" s="0" t="inlineStr">
        <is>
          <t>NULL</t>
        </is>
      </c>
      <c r="H1802" s="0" t="inlineStr">
        <is>
          <t>NULL</t>
        </is>
      </c>
      <c r="I1802" s="0" t="inlineStr">
        <is>
          <t>NULL</t>
        </is>
      </c>
      <c r="J1802" s="0" t="inlineStr">
        <is>
          <t>NULL</t>
        </is>
      </c>
      <c r="K1802" s="0" t="inlineStr">
        <is>
          <t>YES! 	 c_decimal38_38列源备映射正确，源端为decimal None位	期望更改为decimal(p,s)	实际备端为decimal None位</t>
        </is>
      </c>
    </row>
    <row r="1803">
      <c r="B1803" s="0" t="inlineStr">
        <is>
          <t>NULL</t>
        </is>
      </c>
      <c r="C1803" s="0" t="inlineStr">
        <is>
          <t>NULL</t>
        </is>
      </c>
      <c r="D1803" s="0" t="inlineStr">
        <is>
          <t>NULL</t>
        </is>
      </c>
      <c r="E1803" s="0" t="inlineStr">
        <is>
          <t>NULL</t>
        </is>
      </c>
      <c r="F1803" s="0" t="inlineStr">
        <is>
          <t>NULL</t>
        </is>
      </c>
      <c r="G1803" s="0" t="inlineStr">
        <is>
          <t>NULL</t>
        </is>
      </c>
      <c r="H1803" s="0" t="inlineStr">
        <is>
          <t>NULL</t>
        </is>
      </c>
      <c r="I1803" s="0" t="inlineStr">
        <is>
          <t>NULL</t>
        </is>
      </c>
      <c r="J1803" s="0" t="inlineStr">
        <is>
          <t>NULL</t>
        </is>
      </c>
      <c r="K1803" s="0" t="inlineStr">
        <is>
          <t>YES! 	 c_decimal38_10列源备映射正确，源端为decimal None位	期望更改为decimal(p,s)	实际备端为decimal None位</t>
        </is>
      </c>
    </row>
    <row r="1804">
      <c r="B1804" s="0" t="inlineStr">
        <is>
          <t>NULL</t>
        </is>
      </c>
      <c r="C1804" s="0" t="inlineStr">
        <is>
          <t>NULL</t>
        </is>
      </c>
      <c r="D1804" s="0" t="inlineStr">
        <is>
          <t>NULL</t>
        </is>
      </c>
      <c r="E1804" s="0" t="inlineStr">
        <is>
          <t>NULL</t>
        </is>
      </c>
      <c r="F1804" s="0" t="inlineStr">
        <is>
          <t>NULL</t>
        </is>
      </c>
      <c r="G1804" s="0" t="inlineStr">
        <is>
          <t>NULL</t>
        </is>
      </c>
      <c r="H1804" s="0" t="inlineStr">
        <is>
          <t>NULL</t>
        </is>
      </c>
      <c r="I1804" s="0" t="inlineStr">
        <is>
          <t>NULL</t>
        </is>
      </c>
      <c r="J1804" s="0" t="inlineStr">
        <is>
          <t>NULL</t>
        </is>
      </c>
      <c r="K1804" s="0" t="inlineStr">
        <is>
          <t>YES! 	 c_decimal19_4列源备映射正确，源端为decimal None位	期望更改为decimal(p,s)	实际备端为decimal None位</t>
        </is>
      </c>
    </row>
    <row r="1805">
      <c r="B1805" s="0" t="inlineStr">
        <is>
          <t>NULL</t>
        </is>
      </c>
      <c r="C1805" s="0" t="inlineStr">
        <is>
          <t>NULL</t>
        </is>
      </c>
      <c r="D1805" s="0" t="inlineStr">
        <is>
          <t>NULL</t>
        </is>
      </c>
      <c r="E1805" s="0" t="inlineStr">
        <is>
          <t>NULL</t>
        </is>
      </c>
      <c r="F1805" s="0" t="inlineStr">
        <is>
          <t>NULL</t>
        </is>
      </c>
      <c r="G1805" s="0" t="inlineStr">
        <is>
          <t>NULL</t>
        </is>
      </c>
      <c r="H1805" s="0" t="inlineStr">
        <is>
          <t>NULL</t>
        </is>
      </c>
      <c r="I1805" s="0" t="inlineStr">
        <is>
          <t>NULL</t>
        </is>
      </c>
      <c r="J1805" s="0" t="inlineStr">
        <is>
          <t>NULL</t>
        </is>
      </c>
      <c r="K1805" s="0" t="inlineStr">
        <is>
          <t>YES! 	 c_numeric列源备映射正确，源端为numeric None位	期望更改为numeric(p,s)	实际备端为numeric None位</t>
        </is>
      </c>
    </row>
    <row r="1806">
      <c r="B1806" s="0" t="inlineStr">
        <is>
          <t>NULL</t>
        </is>
      </c>
      <c r="C1806" s="0" t="inlineStr">
        <is>
          <t>NULL</t>
        </is>
      </c>
      <c r="D1806" s="0" t="inlineStr">
        <is>
          <t>NULL</t>
        </is>
      </c>
      <c r="E1806" s="0" t="inlineStr">
        <is>
          <t>NULL</t>
        </is>
      </c>
      <c r="F1806" s="0" t="inlineStr">
        <is>
          <t>NULL</t>
        </is>
      </c>
      <c r="G1806" s="0" t="inlineStr">
        <is>
          <t>NULL</t>
        </is>
      </c>
      <c r="H1806" s="0" t="inlineStr">
        <is>
          <t>NULL</t>
        </is>
      </c>
      <c r="I1806" s="0" t="inlineStr">
        <is>
          <t>NULL</t>
        </is>
      </c>
      <c r="J1806" s="0" t="inlineStr">
        <is>
          <t>NULL</t>
        </is>
      </c>
      <c r="K1806" s="0" t="inlineStr">
        <is>
          <t>YES! 	 c_numeric38列源备映射正确，源端为numeric None位	期望更改为numeric(p,s)	实际备端为numeric None位</t>
        </is>
      </c>
    </row>
    <row r="1807">
      <c r="B1807" s="0" t="inlineStr">
        <is>
          <t>NULL</t>
        </is>
      </c>
      <c r="C1807" s="0" t="inlineStr">
        <is>
          <t>NULL</t>
        </is>
      </c>
      <c r="D1807" s="0" t="inlineStr">
        <is>
          <t>NULL</t>
        </is>
      </c>
      <c r="E1807" s="0" t="inlineStr">
        <is>
          <t>NULL</t>
        </is>
      </c>
      <c r="F1807" s="0" t="inlineStr">
        <is>
          <t>NULL</t>
        </is>
      </c>
      <c r="G1807" s="0" t="inlineStr">
        <is>
          <t>NULL</t>
        </is>
      </c>
      <c r="H1807" s="0" t="inlineStr">
        <is>
          <t>NULL</t>
        </is>
      </c>
      <c r="I1807" s="0" t="inlineStr">
        <is>
          <t>NULL</t>
        </is>
      </c>
      <c r="J1807" s="0" t="inlineStr">
        <is>
          <t>NULL</t>
        </is>
      </c>
      <c r="K1807" s="0" t="inlineStr">
        <is>
          <t>YES! 	 c_numeric38_38列源备映射正确，源端为numeric None位	期望更改为numeric(p,s)	实际备端为numeric None位</t>
        </is>
      </c>
    </row>
    <row r="1808">
      <c r="B1808" s="0" t="inlineStr">
        <is>
          <t>NULL</t>
        </is>
      </c>
      <c r="C1808" s="0" t="inlineStr">
        <is>
          <t>NULL</t>
        </is>
      </c>
      <c r="D1808" s="0" t="inlineStr">
        <is>
          <t>NULL</t>
        </is>
      </c>
      <c r="E1808" s="0" t="inlineStr">
        <is>
          <t>NULL</t>
        </is>
      </c>
      <c r="F1808" s="0" t="inlineStr">
        <is>
          <t>NULL</t>
        </is>
      </c>
      <c r="G1808" s="0" t="inlineStr">
        <is>
          <t>NULL</t>
        </is>
      </c>
      <c r="H1808" s="0" t="inlineStr">
        <is>
          <t>NULL</t>
        </is>
      </c>
      <c r="I1808" s="0" t="inlineStr">
        <is>
          <t>NULL</t>
        </is>
      </c>
      <c r="J1808" s="0" t="inlineStr">
        <is>
          <t>NULL</t>
        </is>
      </c>
      <c r="K1808" s="0" t="inlineStr">
        <is>
          <t>YES! 	 c_numeric38_10列源备映射正确，源端为numeric None位	期望更改为numeric(p,s)	实际备端为numeric None位</t>
        </is>
      </c>
    </row>
    <row r="1809">
      <c r="B1809" s="0" t="inlineStr">
        <is>
          <t>NULL</t>
        </is>
      </c>
      <c r="C1809" s="0" t="inlineStr">
        <is>
          <t>NULL</t>
        </is>
      </c>
      <c r="D1809" s="0" t="inlineStr">
        <is>
          <t>NULL</t>
        </is>
      </c>
      <c r="E1809" s="0" t="inlineStr">
        <is>
          <t>NULL</t>
        </is>
      </c>
      <c r="F1809" s="0" t="inlineStr">
        <is>
          <t>NULL</t>
        </is>
      </c>
      <c r="G1809" s="0" t="inlineStr">
        <is>
          <t>NULL</t>
        </is>
      </c>
      <c r="H1809" s="0" t="inlineStr">
        <is>
          <t>NULL</t>
        </is>
      </c>
      <c r="I1809" s="0" t="inlineStr">
        <is>
          <t>NULL</t>
        </is>
      </c>
      <c r="J1809" s="0" t="inlineStr">
        <is>
          <t>NULL</t>
        </is>
      </c>
      <c r="K1809" s="0" t="inlineStr">
        <is>
          <t>YES! 	 c_numeric18_2列源备映射正确，源端为numeric None位	期望更改为numeric(p,s)	实际备端为numeric None位</t>
        </is>
      </c>
    </row>
    <row r="1810">
      <c r="B1810" s="0" t="inlineStr">
        <is>
          <t>NULL</t>
        </is>
      </c>
      <c r="C1810" s="0" t="inlineStr">
        <is>
          <t>NULL</t>
        </is>
      </c>
      <c r="D1810" s="0" t="inlineStr">
        <is>
          <t>NULL</t>
        </is>
      </c>
      <c r="E1810" s="0" t="inlineStr">
        <is>
          <t>NULL</t>
        </is>
      </c>
      <c r="F1810" s="0" t="inlineStr">
        <is>
          <t>NULL</t>
        </is>
      </c>
      <c r="G1810" s="0" t="inlineStr">
        <is>
          <t>NULL</t>
        </is>
      </c>
      <c r="H1810" s="0" t="inlineStr">
        <is>
          <t>NULL</t>
        </is>
      </c>
      <c r="I1810" s="0" t="inlineStr">
        <is>
          <t>NULL</t>
        </is>
      </c>
      <c r="J1810" s="0" t="inlineStr">
        <is>
          <t>NULL</t>
        </is>
      </c>
      <c r="K1810" s="0" t="inlineStr">
        <is>
          <t>YES! 	 c_float列源备映射正确，源端为float None位	期望更改为float	实际备端为float None位</t>
        </is>
      </c>
    </row>
    <row r="1811">
      <c r="B1811" s="0" t="inlineStr">
        <is>
          <t>NULL</t>
        </is>
      </c>
      <c r="C1811" s="0" t="inlineStr">
        <is>
          <t>NULL</t>
        </is>
      </c>
      <c r="D1811" s="0" t="inlineStr">
        <is>
          <t>NULL</t>
        </is>
      </c>
      <c r="E1811" s="0" t="inlineStr">
        <is>
          <t>NULL</t>
        </is>
      </c>
      <c r="F1811" s="0" t="inlineStr">
        <is>
          <t>NULL</t>
        </is>
      </c>
      <c r="G1811" s="0" t="inlineStr">
        <is>
          <t>NULL</t>
        </is>
      </c>
      <c r="H1811" s="0" t="inlineStr">
        <is>
          <t>NULL</t>
        </is>
      </c>
      <c r="I1811" s="0" t="inlineStr">
        <is>
          <t>NULL</t>
        </is>
      </c>
      <c r="J1811" s="0" t="inlineStr">
        <is>
          <t>NULL</t>
        </is>
      </c>
      <c r="K1811" s="0" t="inlineStr">
        <is>
          <t>YES! 	 c_real列源备映射正确，源端为real None位	期望更改为real	实际备端为real None位</t>
        </is>
      </c>
    </row>
    <row r="1812">
      <c r="B1812" s="0" t="inlineStr">
        <is>
          <t>NULL</t>
        </is>
      </c>
      <c r="C1812" s="0" t="inlineStr">
        <is>
          <t>NULL</t>
        </is>
      </c>
      <c r="D1812" s="0" t="inlineStr">
        <is>
          <t>NULL</t>
        </is>
      </c>
      <c r="E1812" s="0" t="inlineStr">
        <is>
          <t>NULL</t>
        </is>
      </c>
      <c r="F1812" s="0" t="inlineStr">
        <is>
          <t>NULL</t>
        </is>
      </c>
      <c r="G1812" s="0" t="inlineStr">
        <is>
          <t>NULL</t>
        </is>
      </c>
      <c r="H1812" s="0" t="inlineStr">
        <is>
          <t>NULL</t>
        </is>
      </c>
      <c r="I1812" s="0" t="inlineStr">
        <is>
          <t>NULL</t>
        </is>
      </c>
      <c r="J1812" s="0" t="inlineStr">
        <is>
          <t>NULL</t>
        </is>
      </c>
      <c r="K1812" s="0" t="inlineStr">
        <is>
          <t>YES! 	 c_money列源备映射正确，源端为money None位	期望更改为money	实际备端为money None位</t>
        </is>
      </c>
    </row>
    <row r="1813">
      <c r="B1813" s="0" t="inlineStr">
        <is>
          <t>NULL</t>
        </is>
      </c>
      <c r="C1813" s="0" t="inlineStr">
        <is>
          <t>NULL</t>
        </is>
      </c>
      <c r="D1813" s="0" t="inlineStr">
        <is>
          <t>NULL</t>
        </is>
      </c>
      <c r="E1813" s="0" t="inlineStr">
        <is>
          <t>NULL</t>
        </is>
      </c>
      <c r="F1813" s="0" t="inlineStr">
        <is>
          <t>NULL</t>
        </is>
      </c>
      <c r="G1813" s="0" t="inlineStr">
        <is>
          <t>NULL</t>
        </is>
      </c>
      <c r="H1813" s="0" t="inlineStr">
        <is>
          <t>NULL</t>
        </is>
      </c>
      <c r="I1813" s="0" t="inlineStr">
        <is>
          <t>NULL</t>
        </is>
      </c>
      <c r="J1813" s="0" t="inlineStr">
        <is>
          <t>NULL</t>
        </is>
      </c>
      <c r="K1813" s="0" t="inlineStr">
        <is>
          <t>YES! 	 c_smallmoney列源备映射正确，源端为smallmoney None位	期望更改为smallmoney	实际备端为smallmoney None位</t>
        </is>
      </c>
    </row>
    <row r="1814">
      <c r="B1814" s="0" t="inlineStr">
        <is>
          <t>NULL</t>
        </is>
      </c>
      <c r="C1814" s="0" t="inlineStr">
        <is>
          <t>NULL</t>
        </is>
      </c>
      <c r="D1814" s="0" t="inlineStr">
        <is>
          <t>NULL</t>
        </is>
      </c>
      <c r="E1814" s="0" t="inlineStr">
        <is>
          <t>NULL</t>
        </is>
      </c>
      <c r="F1814" s="0" t="inlineStr">
        <is>
          <t>NULL</t>
        </is>
      </c>
      <c r="G1814" s="0" t="inlineStr">
        <is>
          <t>NULL</t>
        </is>
      </c>
      <c r="H1814" s="0" t="inlineStr">
        <is>
          <t>NULL</t>
        </is>
      </c>
      <c r="I1814" s="0" t="inlineStr">
        <is>
          <t>NULL</t>
        </is>
      </c>
      <c r="J1814" s="0" t="inlineStr">
        <is>
          <t>NULL</t>
        </is>
      </c>
      <c r="K1814" s="0" t="inlineStr">
        <is>
          <t>YES! 	 c_bit列源备映射正确，源端为bit None位	期望更改为bit	实际备端为bit None位</t>
        </is>
      </c>
    </row>
    <row r="1815">
      <c r="A1815" s="0" t="inlineStr">
        <is>
          <t>info_xml_dml_single_pk_drp</t>
        </is>
      </c>
      <c r="K1815" s="0" t="inlineStr">
        <is>
          <t>[0;34m info_xml_dml_single_pk_drp [0m源备字段数相同，源端字段：2 	备端字段2</t>
        </is>
      </c>
      <c r="W1815" s="0" t="inlineStr">
        <is>
          <t>YES 源备无差异</t>
        </is>
      </c>
      <c r="X1815" s="0">
        <f>A1815</f>
        <v/>
      </c>
    </row>
    <row r="1816">
      <c r="B1816" s="0" t="inlineStr">
        <is>
          <t>YES</t>
        </is>
      </c>
      <c r="C1816" s="0" t="inlineStr">
        <is>
          <t>NULL</t>
        </is>
      </c>
      <c r="D1816" s="0" t="inlineStr">
        <is>
          <t>NULL</t>
        </is>
      </c>
      <c r="E1816" s="0" t="inlineStr">
        <is>
          <t>NULL</t>
        </is>
      </c>
      <c r="F1816" s="0" t="inlineStr">
        <is>
          <t>NULL</t>
        </is>
      </c>
      <c r="G1816" s="0" t="inlineStr">
        <is>
          <t>NULL</t>
        </is>
      </c>
      <c r="H1816" s="0" t="inlineStr">
        <is>
          <t>NULL</t>
        </is>
      </c>
      <c r="I1816" s="0" t="inlineStr">
        <is>
          <t>YES!PK__info_xml__3213E83F1BC1C943</t>
        </is>
      </c>
      <c r="J1816" s="0" t="inlineStr">
        <is>
          <t>YES! 主键相关索引</t>
        </is>
      </c>
      <c r="K1816" s="0" t="inlineStr">
        <is>
          <t>YES! 	 id列源备映射正确，源端为int None位	期望更改为int	实际备端为int None位</t>
        </is>
      </c>
    </row>
    <row r="1817">
      <c r="B1817" s="0" t="inlineStr">
        <is>
          <t>NULL</t>
        </is>
      </c>
      <c r="C1817" s="0" t="inlineStr">
        <is>
          <t>NULL</t>
        </is>
      </c>
      <c r="D1817" s="0" t="inlineStr">
        <is>
          <t>NULL</t>
        </is>
      </c>
      <c r="E1817" s="0" t="inlineStr">
        <is>
          <t>NULL</t>
        </is>
      </c>
      <c r="F1817" s="0" t="inlineStr">
        <is>
          <t>NULL</t>
        </is>
      </c>
      <c r="G1817" s="0" t="inlineStr">
        <is>
          <t>NULL</t>
        </is>
      </c>
      <c r="H1817" s="0" t="inlineStr">
        <is>
          <t>NULL</t>
        </is>
      </c>
      <c r="I1817" s="0" t="inlineStr">
        <is>
          <t>NULL</t>
        </is>
      </c>
      <c r="J1817" s="0" t="inlineStr">
        <is>
          <t>NULL</t>
        </is>
      </c>
      <c r="K1817" s="0" t="inlineStr">
        <is>
          <t>YES! 	 c_xml列源备映射正确，源端为xml -1位	期望更改为xml	实际备端为xml -1位</t>
        </is>
      </c>
    </row>
    <row r="1818">
      <c r="A1818" s="0" t="inlineStr">
        <is>
          <t>info_int_dml_batch1_pk_drp1</t>
        </is>
      </c>
      <c r="K1818" s="0" t="inlineStr">
        <is>
          <t>[0;34m info_int_dml_batch1_pk_drp1 [0m源备字段数相同，源端字段：20 	备端字段20</t>
        </is>
      </c>
      <c r="W1818" s="0" t="inlineStr">
        <is>
          <t>YES 源备无差异</t>
        </is>
      </c>
      <c r="X1818" s="0">
        <f>A1818</f>
        <v/>
      </c>
    </row>
    <row r="1819">
      <c r="B1819" s="0" t="inlineStr">
        <is>
          <t>YES</t>
        </is>
      </c>
      <c r="C1819" s="0" t="inlineStr">
        <is>
          <t>NULL</t>
        </is>
      </c>
      <c r="D1819" s="0" t="inlineStr">
        <is>
          <t>NULL</t>
        </is>
      </c>
      <c r="E1819" s="0" t="inlineStr">
        <is>
          <t>NULL</t>
        </is>
      </c>
      <c r="F1819" s="0" t="inlineStr">
        <is>
          <t>NULL</t>
        </is>
      </c>
      <c r="G1819" s="0" t="inlineStr">
        <is>
          <t>NULL</t>
        </is>
      </c>
      <c r="H1819" s="0" t="inlineStr">
        <is>
          <t>NULL</t>
        </is>
      </c>
      <c r="I1819" s="0" t="inlineStr">
        <is>
          <t>YES!PK__info_int__3213E83F306EE40F</t>
        </is>
      </c>
      <c r="J1819" s="0" t="inlineStr">
        <is>
          <t>YES! 主键相关索引</t>
        </is>
      </c>
      <c r="K1819" s="0" t="inlineStr">
        <is>
          <t>YES! 	 id列源备映射正确，源端为int None位	期望更改为int	实际备端为int None位</t>
        </is>
      </c>
    </row>
    <row r="1820">
      <c r="B1820" s="0" t="inlineStr">
        <is>
          <t>NULL</t>
        </is>
      </c>
      <c r="C1820" s="0" t="inlineStr">
        <is>
          <t>NULL</t>
        </is>
      </c>
      <c r="D1820" s="0" t="inlineStr">
        <is>
          <t>NULL</t>
        </is>
      </c>
      <c r="E1820" s="0" t="inlineStr">
        <is>
          <t>NULL</t>
        </is>
      </c>
      <c r="F1820" s="0" t="inlineStr">
        <is>
          <t>NULL</t>
        </is>
      </c>
      <c r="G1820" s="0" t="inlineStr">
        <is>
          <t>NULL</t>
        </is>
      </c>
      <c r="H1820" s="0" t="inlineStr">
        <is>
          <t>NULL</t>
        </is>
      </c>
      <c r="I1820" s="0" t="inlineStr">
        <is>
          <t>NULL</t>
        </is>
      </c>
      <c r="J1820" s="0" t="inlineStr">
        <is>
          <t>NULL</t>
        </is>
      </c>
      <c r="K1820" s="0" t="inlineStr">
        <is>
          <t>YES! 	 c_tinyint列源备映射正确，源端为tinyint None位	期望更改为tinyint	实际备端为tinyint None位</t>
        </is>
      </c>
    </row>
    <row r="1821">
      <c r="B1821" s="0" t="inlineStr">
        <is>
          <t>NULL</t>
        </is>
      </c>
      <c r="C1821" s="0" t="inlineStr">
        <is>
          <t>NULL</t>
        </is>
      </c>
      <c r="D1821" s="0" t="inlineStr">
        <is>
          <t>NULL</t>
        </is>
      </c>
      <c r="E1821" s="0" t="inlineStr">
        <is>
          <t>NULL</t>
        </is>
      </c>
      <c r="F1821" s="0" t="inlineStr">
        <is>
          <t>NULL</t>
        </is>
      </c>
      <c r="G1821" s="0" t="inlineStr">
        <is>
          <t>NULL</t>
        </is>
      </c>
      <c r="H1821" s="0" t="inlineStr">
        <is>
          <t>NULL</t>
        </is>
      </c>
      <c r="I1821" s="0" t="inlineStr">
        <is>
          <t>NULL</t>
        </is>
      </c>
      <c r="J1821" s="0" t="inlineStr">
        <is>
          <t>NULL</t>
        </is>
      </c>
      <c r="K1821" s="0" t="inlineStr">
        <is>
          <t>YES! 	 c_smallint列源备映射正确，源端为smallint None位	期望更改为smallint	实际备端为smallint None位</t>
        </is>
      </c>
    </row>
    <row r="1822">
      <c r="B1822" s="0" t="inlineStr">
        <is>
          <t>NULL</t>
        </is>
      </c>
      <c r="C1822" s="0" t="inlineStr">
        <is>
          <t>NULL</t>
        </is>
      </c>
      <c r="D1822" s="0" t="inlineStr">
        <is>
          <t>NULL</t>
        </is>
      </c>
      <c r="E1822" s="0" t="inlineStr">
        <is>
          <t>NULL</t>
        </is>
      </c>
      <c r="F1822" s="0" t="inlineStr">
        <is>
          <t>NULL</t>
        </is>
      </c>
      <c r="G1822" s="0" t="inlineStr">
        <is>
          <t>NULL</t>
        </is>
      </c>
      <c r="H1822" s="0" t="inlineStr">
        <is>
          <t>NULL</t>
        </is>
      </c>
      <c r="I1822" s="0" t="inlineStr">
        <is>
          <t>NULL</t>
        </is>
      </c>
      <c r="J1822" s="0" t="inlineStr">
        <is>
          <t>NULL</t>
        </is>
      </c>
      <c r="K1822" s="0" t="inlineStr">
        <is>
          <t>YES! 	 c_int列源备映射正确，源端为int None位	期望更改为int	实际备端为int None位</t>
        </is>
      </c>
    </row>
    <row r="1823">
      <c r="B1823" s="0" t="inlineStr">
        <is>
          <t>NULL</t>
        </is>
      </c>
      <c r="C1823" s="0" t="inlineStr">
        <is>
          <t>NULL</t>
        </is>
      </c>
      <c r="D1823" s="0" t="inlineStr">
        <is>
          <t>NULL</t>
        </is>
      </c>
      <c r="E1823" s="0" t="inlineStr">
        <is>
          <t>NULL</t>
        </is>
      </c>
      <c r="F1823" s="0" t="inlineStr">
        <is>
          <t>NULL</t>
        </is>
      </c>
      <c r="G1823" s="0" t="inlineStr">
        <is>
          <t>NULL</t>
        </is>
      </c>
      <c r="H1823" s="0" t="inlineStr">
        <is>
          <t>NULL</t>
        </is>
      </c>
      <c r="I1823" s="0" t="inlineStr">
        <is>
          <t>NULL</t>
        </is>
      </c>
      <c r="J1823" s="0" t="inlineStr">
        <is>
          <t>NULL</t>
        </is>
      </c>
      <c r="K1823" s="0" t="inlineStr">
        <is>
          <t>YES! 	 c_bigint列源备映射正确，源端为bigint None位	期望更改为bigint	实际备端为bigint None位</t>
        </is>
      </c>
    </row>
    <row r="1824">
      <c r="B1824" s="0" t="inlineStr">
        <is>
          <t>NULL</t>
        </is>
      </c>
      <c r="C1824" s="0" t="inlineStr">
        <is>
          <t>NULL</t>
        </is>
      </c>
      <c r="D1824" s="0" t="inlineStr">
        <is>
          <t>NULL</t>
        </is>
      </c>
      <c r="E1824" s="0" t="inlineStr">
        <is>
          <t>NULL</t>
        </is>
      </c>
      <c r="F1824" s="0" t="inlineStr">
        <is>
          <t>NULL</t>
        </is>
      </c>
      <c r="G1824" s="0" t="inlineStr">
        <is>
          <t>NULL</t>
        </is>
      </c>
      <c r="H1824" s="0" t="inlineStr">
        <is>
          <t>NULL</t>
        </is>
      </c>
      <c r="I1824" s="0" t="inlineStr">
        <is>
          <t>NULL</t>
        </is>
      </c>
      <c r="J1824" s="0" t="inlineStr">
        <is>
          <t>NULL</t>
        </is>
      </c>
      <c r="K1824" s="0" t="inlineStr">
        <is>
          <t>YES! 	 c_decimal列源备映射正确，源端为decimal None位	期望更改为decimal(p,s)	实际备端为decimal None位</t>
        </is>
      </c>
    </row>
    <row r="1825">
      <c r="B1825" s="0" t="inlineStr">
        <is>
          <t>NULL</t>
        </is>
      </c>
      <c r="C1825" s="0" t="inlineStr">
        <is>
          <t>NULL</t>
        </is>
      </c>
      <c r="D1825" s="0" t="inlineStr">
        <is>
          <t>NULL</t>
        </is>
      </c>
      <c r="E1825" s="0" t="inlineStr">
        <is>
          <t>NULL</t>
        </is>
      </c>
      <c r="F1825" s="0" t="inlineStr">
        <is>
          <t>NULL</t>
        </is>
      </c>
      <c r="G1825" s="0" t="inlineStr">
        <is>
          <t>NULL</t>
        </is>
      </c>
      <c r="H1825" s="0" t="inlineStr">
        <is>
          <t>NULL</t>
        </is>
      </c>
      <c r="I1825" s="0" t="inlineStr">
        <is>
          <t>NULL</t>
        </is>
      </c>
      <c r="J1825" s="0" t="inlineStr">
        <is>
          <t>NULL</t>
        </is>
      </c>
      <c r="K1825" s="0" t="inlineStr">
        <is>
          <t>YES! 	 c_decimal38列源备映射正确，源端为decimal None位	期望更改为decimal(p,s)	实际备端为decimal None位</t>
        </is>
      </c>
    </row>
    <row r="1826">
      <c r="B1826" s="0" t="inlineStr">
        <is>
          <t>NULL</t>
        </is>
      </c>
      <c r="C1826" s="0" t="inlineStr">
        <is>
          <t>NULL</t>
        </is>
      </c>
      <c r="D1826" s="0" t="inlineStr">
        <is>
          <t>NULL</t>
        </is>
      </c>
      <c r="E1826" s="0" t="inlineStr">
        <is>
          <t>NULL</t>
        </is>
      </c>
      <c r="F1826" s="0" t="inlineStr">
        <is>
          <t>NULL</t>
        </is>
      </c>
      <c r="G1826" s="0" t="inlineStr">
        <is>
          <t>NULL</t>
        </is>
      </c>
      <c r="H1826" s="0" t="inlineStr">
        <is>
          <t>NULL</t>
        </is>
      </c>
      <c r="I1826" s="0" t="inlineStr">
        <is>
          <t>NULL</t>
        </is>
      </c>
      <c r="J1826" s="0" t="inlineStr">
        <is>
          <t>NULL</t>
        </is>
      </c>
      <c r="K1826" s="0" t="inlineStr">
        <is>
          <t>YES! 	 c_decimal38_38列源备映射正确，源端为decimal None位	期望更改为decimal(p,s)	实际备端为decimal None位</t>
        </is>
      </c>
    </row>
    <row r="1827">
      <c r="B1827" s="0" t="inlineStr">
        <is>
          <t>NULL</t>
        </is>
      </c>
      <c r="C1827" s="0" t="inlineStr">
        <is>
          <t>NULL</t>
        </is>
      </c>
      <c r="D1827" s="0" t="inlineStr">
        <is>
          <t>NULL</t>
        </is>
      </c>
      <c r="E1827" s="0" t="inlineStr">
        <is>
          <t>NULL</t>
        </is>
      </c>
      <c r="F1827" s="0" t="inlineStr">
        <is>
          <t>NULL</t>
        </is>
      </c>
      <c r="G1827" s="0" t="inlineStr">
        <is>
          <t>NULL</t>
        </is>
      </c>
      <c r="H1827" s="0" t="inlineStr">
        <is>
          <t>NULL</t>
        </is>
      </c>
      <c r="I1827" s="0" t="inlineStr">
        <is>
          <t>NULL</t>
        </is>
      </c>
      <c r="J1827" s="0" t="inlineStr">
        <is>
          <t>NULL</t>
        </is>
      </c>
      <c r="K1827" s="0" t="inlineStr">
        <is>
          <t>YES! 	 c_decimal38_10列源备映射正确，源端为decimal None位	期望更改为decimal(p,s)	实际备端为decimal None位</t>
        </is>
      </c>
    </row>
    <row r="1828">
      <c r="B1828" s="0" t="inlineStr">
        <is>
          <t>NULL</t>
        </is>
      </c>
      <c r="C1828" s="0" t="inlineStr">
        <is>
          <t>NULL</t>
        </is>
      </c>
      <c r="D1828" s="0" t="inlineStr">
        <is>
          <t>NULL</t>
        </is>
      </c>
      <c r="E1828" s="0" t="inlineStr">
        <is>
          <t>NULL</t>
        </is>
      </c>
      <c r="F1828" s="0" t="inlineStr">
        <is>
          <t>NULL</t>
        </is>
      </c>
      <c r="G1828" s="0" t="inlineStr">
        <is>
          <t>NULL</t>
        </is>
      </c>
      <c r="H1828" s="0" t="inlineStr">
        <is>
          <t>NULL</t>
        </is>
      </c>
      <c r="I1828" s="0" t="inlineStr">
        <is>
          <t>NULL</t>
        </is>
      </c>
      <c r="J1828" s="0" t="inlineStr">
        <is>
          <t>NULL</t>
        </is>
      </c>
      <c r="K1828" s="0" t="inlineStr">
        <is>
          <t>YES! 	 c_decimal19_4列源备映射正确，源端为decimal None位	期望更改为decimal(p,s)	实际备端为decimal None位</t>
        </is>
      </c>
    </row>
    <row r="1829">
      <c r="B1829" s="0" t="inlineStr">
        <is>
          <t>NULL</t>
        </is>
      </c>
      <c r="C1829" s="0" t="inlineStr">
        <is>
          <t>NULL</t>
        </is>
      </c>
      <c r="D1829" s="0" t="inlineStr">
        <is>
          <t>NULL</t>
        </is>
      </c>
      <c r="E1829" s="0" t="inlineStr">
        <is>
          <t>NULL</t>
        </is>
      </c>
      <c r="F1829" s="0" t="inlineStr">
        <is>
          <t>NULL</t>
        </is>
      </c>
      <c r="G1829" s="0" t="inlineStr">
        <is>
          <t>NULL</t>
        </is>
      </c>
      <c r="H1829" s="0" t="inlineStr">
        <is>
          <t>NULL</t>
        </is>
      </c>
      <c r="I1829" s="0" t="inlineStr">
        <is>
          <t>NULL</t>
        </is>
      </c>
      <c r="J1829" s="0" t="inlineStr">
        <is>
          <t>NULL</t>
        </is>
      </c>
      <c r="K1829" s="0" t="inlineStr">
        <is>
          <t>YES! 	 c_numeric列源备映射正确，源端为numeric None位	期望更改为numeric(p,s)	实际备端为numeric None位</t>
        </is>
      </c>
    </row>
    <row r="1830">
      <c r="B1830" s="0" t="inlineStr">
        <is>
          <t>NULL</t>
        </is>
      </c>
      <c r="C1830" s="0" t="inlineStr">
        <is>
          <t>NULL</t>
        </is>
      </c>
      <c r="D1830" s="0" t="inlineStr">
        <is>
          <t>NULL</t>
        </is>
      </c>
      <c r="E1830" s="0" t="inlineStr">
        <is>
          <t>NULL</t>
        </is>
      </c>
      <c r="F1830" s="0" t="inlineStr">
        <is>
          <t>NULL</t>
        </is>
      </c>
      <c r="G1830" s="0" t="inlineStr">
        <is>
          <t>NULL</t>
        </is>
      </c>
      <c r="H1830" s="0" t="inlineStr">
        <is>
          <t>NULL</t>
        </is>
      </c>
      <c r="I1830" s="0" t="inlineStr">
        <is>
          <t>NULL</t>
        </is>
      </c>
      <c r="J1830" s="0" t="inlineStr">
        <is>
          <t>NULL</t>
        </is>
      </c>
      <c r="K1830" s="0" t="inlineStr">
        <is>
          <t>YES! 	 c_numeric38列源备映射正确，源端为numeric None位	期望更改为numeric(p,s)	实际备端为numeric None位</t>
        </is>
      </c>
    </row>
    <row r="1831">
      <c r="B1831" s="0" t="inlineStr">
        <is>
          <t>NULL</t>
        </is>
      </c>
      <c r="C1831" s="0" t="inlineStr">
        <is>
          <t>NULL</t>
        </is>
      </c>
      <c r="D1831" s="0" t="inlineStr">
        <is>
          <t>NULL</t>
        </is>
      </c>
      <c r="E1831" s="0" t="inlineStr">
        <is>
          <t>NULL</t>
        </is>
      </c>
      <c r="F1831" s="0" t="inlineStr">
        <is>
          <t>NULL</t>
        </is>
      </c>
      <c r="G1831" s="0" t="inlineStr">
        <is>
          <t>NULL</t>
        </is>
      </c>
      <c r="H1831" s="0" t="inlineStr">
        <is>
          <t>NULL</t>
        </is>
      </c>
      <c r="I1831" s="0" t="inlineStr">
        <is>
          <t>NULL</t>
        </is>
      </c>
      <c r="J1831" s="0" t="inlineStr">
        <is>
          <t>NULL</t>
        </is>
      </c>
      <c r="K1831" s="0" t="inlineStr">
        <is>
          <t>YES! 	 c_numeric38_38列源备映射正确，源端为numeric None位	期望更改为numeric(p,s)	实际备端为numeric None位</t>
        </is>
      </c>
    </row>
    <row r="1832">
      <c r="B1832" s="0" t="inlineStr">
        <is>
          <t>NULL</t>
        </is>
      </c>
      <c r="C1832" s="0" t="inlineStr">
        <is>
          <t>NULL</t>
        </is>
      </c>
      <c r="D1832" s="0" t="inlineStr">
        <is>
          <t>NULL</t>
        </is>
      </c>
      <c r="E1832" s="0" t="inlineStr">
        <is>
          <t>NULL</t>
        </is>
      </c>
      <c r="F1832" s="0" t="inlineStr">
        <is>
          <t>NULL</t>
        </is>
      </c>
      <c r="G1832" s="0" t="inlineStr">
        <is>
          <t>NULL</t>
        </is>
      </c>
      <c r="H1832" s="0" t="inlineStr">
        <is>
          <t>NULL</t>
        </is>
      </c>
      <c r="I1832" s="0" t="inlineStr">
        <is>
          <t>NULL</t>
        </is>
      </c>
      <c r="J1832" s="0" t="inlineStr">
        <is>
          <t>NULL</t>
        </is>
      </c>
      <c r="K1832" s="0" t="inlineStr">
        <is>
          <t>YES! 	 c_numeric38_10列源备映射正确，源端为numeric None位	期望更改为numeric(p,s)	实际备端为numeric None位</t>
        </is>
      </c>
    </row>
    <row r="1833">
      <c r="B1833" s="0" t="inlineStr">
        <is>
          <t>NULL</t>
        </is>
      </c>
      <c r="C1833" s="0" t="inlineStr">
        <is>
          <t>NULL</t>
        </is>
      </c>
      <c r="D1833" s="0" t="inlineStr">
        <is>
          <t>NULL</t>
        </is>
      </c>
      <c r="E1833" s="0" t="inlineStr">
        <is>
          <t>NULL</t>
        </is>
      </c>
      <c r="F1833" s="0" t="inlineStr">
        <is>
          <t>NULL</t>
        </is>
      </c>
      <c r="G1833" s="0" t="inlineStr">
        <is>
          <t>NULL</t>
        </is>
      </c>
      <c r="H1833" s="0" t="inlineStr">
        <is>
          <t>NULL</t>
        </is>
      </c>
      <c r="I1833" s="0" t="inlineStr">
        <is>
          <t>NULL</t>
        </is>
      </c>
      <c r="J1833" s="0" t="inlineStr">
        <is>
          <t>NULL</t>
        </is>
      </c>
      <c r="K1833" s="0" t="inlineStr">
        <is>
          <t>YES! 	 c_numeric18_2列源备映射正确，源端为numeric None位	期望更改为numeric(p,s)	实际备端为numeric None位</t>
        </is>
      </c>
    </row>
    <row r="1834">
      <c r="B1834" s="0" t="inlineStr">
        <is>
          <t>NULL</t>
        </is>
      </c>
      <c r="C1834" s="0" t="inlineStr">
        <is>
          <t>NULL</t>
        </is>
      </c>
      <c r="D1834" s="0" t="inlineStr">
        <is>
          <t>NULL</t>
        </is>
      </c>
      <c r="E1834" s="0" t="inlineStr">
        <is>
          <t>NULL</t>
        </is>
      </c>
      <c r="F1834" s="0" t="inlineStr">
        <is>
          <t>NULL</t>
        </is>
      </c>
      <c r="G1834" s="0" t="inlineStr">
        <is>
          <t>NULL</t>
        </is>
      </c>
      <c r="H1834" s="0" t="inlineStr">
        <is>
          <t>NULL</t>
        </is>
      </c>
      <c r="I1834" s="0" t="inlineStr">
        <is>
          <t>NULL</t>
        </is>
      </c>
      <c r="J1834" s="0" t="inlineStr">
        <is>
          <t>NULL</t>
        </is>
      </c>
      <c r="K1834" s="0" t="inlineStr">
        <is>
          <t>YES! 	 c_float列源备映射正确，源端为float None位	期望更改为float	实际备端为float None位</t>
        </is>
      </c>
    </row>
    <row r="1835">
      <c r="B1835" s="0" t="inlineStr">
        <is>
          <t>NULL</t>
        </is>
      </c>
      <c r="C1835" s="0" t="inlineStr">
        <is>
          <t>NULL</t>
        </is>
      </c>
      <c r="D1835" s="0" t="inlineStr">
        <is>
          <t>NULL</t>
        </is>
      </c>
      <c r="E1835" s="0" t="inlineStr">
        <is>
          <t>NULL</t>
        </is>
      </c>
      <c r="F1835" s="0" t="inlineStr">
        <is>
          <t>NULL</t>
        </is>
      </c>
      <c r="G1835" s="0" t="inlineStr">
        <is>
          <t>NULL</t>
        </is>
      </c>
      <c r="H1835" s="0" t="inlineStr">
        <is>
          <t>NULL</t>
        </is>
      </c>
      <c r="I1835" s="0" t="inlineStr">
        <is>
          <t>NULL</t>
        </is>
      </c>
      <c r="J1835" s="0" t="inlineStr">
        <is>
          <t>NULL</t>
        </is>
      </c>
      <c r="K1835" s="0" t="inlineStr">
        <is>
          <t>YES! 	 c_real列源备映射正确，源端为real None位	期望更改为real	实际备端为real None位</t>
        </is>
      </c>
    </row>
    <row r="1836">
      <c r="B1836" s="0" t="inlineStr">
        <is>
          <t>NULL</t>
        </is>
      </c>
      <c r="C1836" s="0" t="inlineStr">
        <is>
          <t>NULL</t>
        </is>
      </c>
      <c r="D1836" s="0" t="inlineStr">
        <is>
          <t>NULL</t>
        </is>
      </c>
      <c r="E1836" s="0" t="inlineStr">
        <is>
          <t>NULL</t>
        </is>
      </c>
      <c r="F1836" s="0" t="inlineStr">
        <is>
          <t>NULL</t>
        </is>
      </c>
      <c r="G1836" s="0" t="inlineStr">
        <is>
          <t>NULL</t>
        </is>
      </c>
      <c r="H1836" s="0" t="inlineStr">
        <is>
          <t>NULL</t>
        </is>
      </c>
      <c r="I1836" s="0" t="inlineStr">
        <is>
          <t>NULL</t>
        </is>
      </c>
      <c r="J1836" s="0" t="inlineStr">
        <is>
          <t>NULL</t>
        </is>
      </c>
      <c r="K1836" s="0" t="inlineStr">
        <is>
          <t>YES! 	 c_money列源备映射正确，源端为money None位	期望更改为money	实际备端为money None位</t>
        </is>
      </c>
    </row>
    <row r="1837">
      <c r="B1837" s="0" t="inlineStr">
        <is>
          <t>NULL</t>
        </is>
      </c>
      <c r="C1837" s="0" t="inlineStr">
        <is>
          <t>NULL</t>
        </is>
      </c>
      <c r="D1837" s="0" t="inlineStr">
        <is>
          <t>NULL</t>
        </is>
      </c>
      <c r="E1837" s="0" t="inlineStr">
        <is>
          <t>NULL</t>
        </is>
      </c>
      <c r="F1837" s="0" t="inlineStr">
        <is>
          <t>NULL</t>
        </is>
      </c>
      <c r="G1837" s="0" t="inlineStr">
        <is>
          <t>NULL</t>
        </is>
      </c>
      <c r="H1837" s="0" t="inlineStr">
        <is>
          <t>NULL</t>
        </is>
      </c>
      <c r="I1837" s="0" t="inlineStr">
        <is>
          <t>NULL</t>
        </is>
      </c>
      <c r="J1837" s="0" t="inlineStr">
        <is>
          <t>NULL</t>
        </is>
      </c>
      <c r="K1837" s="0" t="inlineStr">
        <is>
          <t>YES! 	 c_smallmoney列源备映射正确，源端为smallmoney None位	期望更改为smallmoney	实际备端为smallmoney None位</t>
        </is>
      </c>
    </row>
    <row r="1838">
      <c r="B1838" s="0" t="inlineStr">
        <is>
          <t>NULL</t>
        </is>
      </c>
      <c r="C1838" s="0" t="inlineStr">
        <is>
          <t>NULL</t>
        </is>
      </c>
      <c r="D1838" s="0" t="inlineStr">
        <is>
          <t>NULL</t>
        </is>
      </c>
      <c r="E1838" s="0" t="inlineStr">
        <is>
          <t>NULL</t>
        </is>
      </c>
      <c r="F1838" s="0" t="inlineStr">
        <is>
          <t>NULL</t>
        </is>
      </c>
      <c r="G1838" s="0" t="inlineStr">
        <is>
          <t>NULL</t>
        </is>
      </c>
      <c r="H1838" s="0" t="inlineStr">
        <is>
          <t>NULL</t>
        </is>
      </c>
      <c r="I1838" s="0" t="inlineStr">
        <is>
          <t>NULL</t>
        </is>
      </c>
      <c r="J1838" s="0" t="inlineStr">
        <is>
          <t>NULL</t>
        </is>
      </c>
      <c r="K1838" s="0" t="inlineStr">
        <is>
          <t>YES! 	 c_bit列源备映射正确，源端为bit None位	期望更改为bit	实际备端为bit None位</t>
        </is>
      </c>
    </row>
    <row r="1839">
      <c r="K1839" s="0" t="inlineStr">
        <is>
          <t>~ 空表</t>
        </is>
      </c>
    </row>
    <row r="1840">
      <c r="A1840" s="0" t="inlineStr">
        <is>
          <t>info_xml_dml_single_pk</t>
        </is>
      </c>
      <c r="K1840" s="0" t="inlineStr">
        <is>
          <t>[0;34m info_xml_dml_single_pk [0m源备字段数相同，源端字段：2 	备端字段2</t>
        </is>
      </c>
      <c r="W1840" s="0" t="inlineStr">
        <is>
          <t>YES 源备无差异</t>
        </is>
      </c>
      <c r="X1840" s="0">
        <f>A1840</f>
        <v/>
      </c>
    </row>
    <row r="1841">
      <c r="B1841" s="0" t="inlineStr">
        <is>
          <t>YES</t>
        </is>
      </c>
      <c r="C1841" s="0" t="inlineStr">
        <is>
          <t>NULL</t>
        </is>
      </c>
      <c r="D1841" s="0" t="inlineStr">
        <is>
          <t>NULL</t>
        </is>
      </c>
      <c r="E1841" s="0" t="inlineStr">
        <is>
          <t>NULL</t>
        </is>
      </c>
      <c r="F1841" s="0" t="inlineStr">
        <is>
          <t>NULL</t>
        </is>
      </c>
      <c r="G1841" s="0" t="inlineStr">
        <is>
          <t>NULL</t>
        </is>
      </c>
      <c r="H1841" s="0" t="inlineStr">
        <is>
          <t>NULL</t>
        </is>
      </c>
      <c r="I1841" s="0" t="inlineStr">
        <is>
          <t>YES!PK__info_xml__3213E83F18208475</t>
        </is>
      </c>
      <c r="J1841" s="0" t="inlineStr">
        <is>
          <t>YES! 主键相关索引</t>
        </is>
      </c>
      <c r="K1841" s="0" t="inlineStr">
        <is>
          <t>YES! 	 id列源备映射正确，源端为int None位	期望更改为int	实际备端为int None位</t>
        </is>
      </c>
    </row>
    <row r="1842">
      <c r="B1842" s="0" t="inlineStr">
        <is>
          <t>NULL</t>
        </is>
      </c>
      <c r="C1842" s="0" t="inlineStr">
        <is>
          <t>NULL</t>
        </is>
      </c>
      <c r="D1842" s="0" t="inlineStr">
        <is>
          <t>NULL</t>
        </is>
      </c>
      <c r="E1842" s="0" t="inlineStr">
        <is>
          <t>NULL</t>
        </is>
      </c>
      <c r="F1842" s="0" t="inlineStr">
        <is>
          <t>NULL</t>
        </is>
      </c>
      <c r="G1842" s="0" t="inlineStr">
        <is>
          <t>NULL</t>
        </is>
      </c>
      <c r="H1842" s="0" t="inlineStr">
        <is>
          <t>NULL</t>
        </is>
      </c>
      <c r="I1842" s="0" t="inlineStr">
        <is>
          <t>NULL</t>
        </is>
      </c>
      <c r="J1842" s="0" t="inlineStr">
        <is>
          <t>NULL</t>
        </is>
      </c>
      <c r="K1842" s="0" t="inlineStr">
        <is>
          <t>YES! 	 c_xml列源备映射正确，源端为xml -1位	期望更改为xml	实际备端为xml -1位</t>
        </is>
      </c>
    </row>
    <row r="1843">
      <c r="A1843" s="0" t="inlineStr">
        <is>
          <t>info_int_dml_batch1_pk_drp2</t>
        </is>
      </c>
      <c r="K1843" s="0" t="inlineStr">
        <is>
          <t>[0;34m info_int_dml_batch1_pk_drp2 [0m源备字段数相同，源端字段：20 	备端字段20</t>
        </is>
      </c>
      <c r="W1843" s="0" t="inlineStr">
        <is>
          <t>YES 源备无差异</t>
        </is>
      </c>
      <c r="X1843" s="0">
        <f>A1843</f>
        <v/>
      </c>
    </row>
    <row r="1844">
      <c r="B1844" s="0" t="inlineStr">
        <is>
          <t>YES</t>
        </is>
      </c>
      <c r="C1844" s="0" t="inlineStr">
        <is>
          <t>NULL</t>
        </is>
      </c>
      <c r="D1844" s="0" t="inlineStr">
        <is>
          <t>NULL</t>
        </is>
      </c>
      <c r="E1844" s="0" t="inlineStr">
        <is>
          <t>NULL</t>
        </is>
      </c>
      <c r="F1844" s="0" t="inlineStr">
        <is>
          <t>NULL</t>
        </is>
      </c>
      <c r="G1844" s="0" t="inlineStr">
        <is>
          <t>NULL</t>
        </is>
      </c>
      <c r="H1844" s="0" t="inlineStr">
        <is>
          <t>NULL</t>
        </is>
      </c>
      <c r="I1844" s="0" t="inlineStr">
        <is>
          <t>YES!PK__info_int__3213E83F7F818277</t>
        </is>
      </c>
      <c r="J1844" s="0" t="inlineStr">
        <is>
          <t>YES! 主键相关索引</t>
        </is>
      </c>
      <c r="K1844" s="0" t="inlineStr">
        <is>
          <t>YES! 	 id列源备映射正确，源端为int None位	期望更改为int	实际备端为int None位</t>
        </is>
      </c>
    </row>
    <row r="1845">
      <c r="B1845" s="0" t="inlineStr">
        <is>
          <t>NULL</t>
        </is>
      </c>
      <c r="C1845" s="0" t="inlineStr">
        <is>
          <t>NULL</t>
        </is>
      </c>
      <c r="D1845" s="0" t="inlineStr">
        <is>
          <t>NULL</t>
        </is>
      </c>
      <c r="E1845" s="0" t="inlineStr">
        <is>
          <t>NULL</t>
        </is>
      </c>
      <c r="F1845" s="0" t="inlineStr">
        <is>
          <t>NULL</t>
        </is>
      </c>
      <c r="G1845" s="0" t="inlineStr">
        <is>
          <t>NULL</t>
        </is>
      </c>
      <c r="H1845" s="0" t="inlineStr">
        <is>
          <t>NULL</t>
        </is>
      </c>
      <c r="I1845" s="0" t="inlineStr">
        <is>
          <t>NULL</t>
        </is>
      </c>
      <c r="J1845" s="0" t="inlineStr">
        <is>
          <t>NULL</t>
        </is>
      </c>
      <c r="K1845" s="0" t="inlineStr">
        <is>
          <t>YES! 	 c_tinyint列源备映射正确，源端为tinyint None位	期望更改为tinyint	实际备端为tinyint None位</t>
        </is>
      </c>
    </row>
    <row r="1846">
      <c r="B1846" s="0" t="inlineStr">
        <is>
          <t>NULL</t>
        </is>
      </c>
      <c r="C1846" s="0" t="inlineStr">
        <is>
          <t>NULL</t>
        </is>
      </c>
      <c r="D1846" s="0" t="inlineStr">
        <is>
          <t>NULL</t>
        </is>
      </c>
      <c r="E1846" s="0" t="inlineStr">
        <is>
          <t>NULL</t>
        </is>
      </c>
      <c r="F1846" s="0" t="inlineStr">
        <is>
          <t>NULL</t>
        </is>
      </c>
      <c r="G1846" s="0" t="inlineStr">
        <is>
          <t>NULL</t>
        </is>
      </c>
      <c r="H1846" s="0" t="inlineStr">
        <is>
          <t>NULL</t>
        </is>
      </c>
      <c r="I1846" s="0" t="inlineStr">
        <is>
          <t>NULL</t>
        </is>
      </c>
      <c r="J1846" s="0" t="inlineStr">
        <is>
          <t>NULL</t>
        </is>
      </c>
      <c r="K1846" s="0" t="inlineStr">
        <is>
          <t>YES! 	 c_smallint列源备映射正确，源端为smallint None位	期望更改为smallint	实际备端为smallint None位</t>
        </is>
      </c>
    </row>
    <row r="1847">
      <c r="B1847" s="0" t="inlineStr">
        <is>
          <t>NULL</t>
        </is>
      </c>
      <c r="C1847" s="0" t="inlineStr">
        <is>
          <t>NULL</t>
        </is>
      </c>
      <c r="D1847" s="0" t="inlineStr">
        <is>
          <t>NULL</t>
        </is>
      </c>
      <c r="E1847" s="0" t="inlineStr">
        <is>
          <t>NULL</t>
        </is>
      </c>
      <c r="F1847" s="0" t="inlineStr">
        <is>
          <t>NULL</t>
        </is>
      </c>
      <c r="G1847" s="0" t="inlineStr">
        <is>
          <t>NULL</t>
        </is>
      </c>
      <c r="H1847" s="0" t="inlineStr">
        <is>
          <t>NULL</t>
        </is>
      </c>
      <c r="I1847" s="0" t="inlineStr">
        <is>
          <t>NULL</t>
        </is>
      </c>
      <c r="J1847" s="0" t="inlineStr">
        <is>
          <t>NULL</t>
        </is>
      </c>
      <c r="K1847" s="0" t="inlineStr">
        <is>
          <t>YES! 	 c_int列源备映射正确，源端为int None位	期望更改为int	实际备端为int None位</t>
        </is>
      </c>
    </row>
    <row r="1848">
      <c r="B1848" s="0" t="inlineStr">
        <is>
          <t>NULL</t>
        </is>
      </c>
      <c r="C1848" s="0" t="inlineStr">
        <is>
          <t>NULL</t>
        </is>
      </c>
      <c r="D1848" s="0" t="inlineStr">
        <is>
          <t>NULL</t>
        </is>
      </c>
      <c r="E1848" s="0" t="inlineStr">
        <is>
          <t>NULL</t>
        </is>
      </c>
      <c r="F1848" s="0" t="inlineStr">
        <is>
          <t>NULL</t>
        </is>
      </c>
      <c r="G1848" s="0" t="inlineStr">
        <is>
          <t>NULL</t>
        </is>
      </c>
      <c r="H1848" s="0" t="inlineStr">
        <is>
          <t>NULL</t>
        </is>
      </c>
      <c r="I1848" s="0" t="inlineStr">
        <is>
          <t>NULL</t>
        </is>
      </c>
      <c r="J1848" s="0" t="inlineStr">
        <is>
          <t>NULL</t>
        </is>
      </c>
      <c r="K1848" s="0" t="inlineStr">
        <is>
          <t>YES! 	 c_bigint列源备映射正确，源端为bigint None位	期望更改为bigint	实际备端为bigint None位</t>
        </is>
      </c>
    </row>
    <row r="1849">
      <c r="B1849" s="0" t="inlineStr">
        <is>
          <t>NULL</t>
        </is>
      </c>
      <c r="C1849" s="0" t="inlineStr">
        <is>
          <t>NULL</t>
        </is>
      </c>
      <c r="D1849" s="0" t="inlineStr">
        <is>
          <t>NULL</t>
        </is>
      </c>
      <c r="E1849" s="0" t="inlineStr">
        <is>
          <t>NULL</t>
        </is>
      </c>
      <c r="F1849" s="0" t="inlineStr">
        <is>
          <t>NULL</t>
        </is>
      </c>
      <c r="G1849" s="0" t="inlineStr">
        <is>
          <t>NULL</t>
        </is>
      </c>
      <c r="H1849" s="0" t="inlineStr">
        <is>
          <t>NULL</t>
        </is>
      </c>
      <c r="I1849" s="0" t="inlineStr">
        <is>
          <t>NULL</t>
        </is>
      </c>
      <c r="J1849" s="0" t="inlineStr">
        <is>
          <t>NULL</t>
        </is>
      </c>
      <c r="K1849" s="0" t="inlineStr">
        <is>
          <t>YES! 	 c_decimal列源备映射正确，源端为decimal None位	期望更改为decimal(p,s)	实际备端为decimal None位</t>
        </is>
      </c>
    </row>
    <row r="1850">
      <c r="B1850" s="0" t="inlineStr">
        <is>
          <t>NULL</t>
        </is>
      </c>
      <c r="C1850" s="0" t="inlineStr">
        <is>
          <t>NULL</t>
        </is>
      </c>
      <c r="D1850" s="0" t="inlineStr">
        <is>
          <t>NULL</t>
        </is>
      </c>
      <c r="E1850" s="0" t="inlineStr">
        <is>
          <t>NULL</t>
        </is>
      </c>
      <c r="F1850" s="0" t="inlineStr">
        <is>
          <t>NULL</t>
        </is>
      </c>
      <c r="G1850" s="0" t="inlineStr">
        <is>
          <t>NULL</t>
        </is>
      </c>
      <c r="H1850" s="0" t="inlineStr">
        <is>
          <t>NULL</t>
        </is>
      </c>
      <c r="I1850" s="0" t="inlineStr">
        <is>
          <t>NULL</t>
        </is>
      </c>
      <c r="J1850" s="0" t="inlineStr">
        <is>
          <t>NULL</t>
        </is>
      </c>
      <c r="K1850" s="0" t="inlineStr">
        <is>
          <t>YES! 	 c_decimal38列源备映射正确，源端为decimal None位	期望更改为decimal(p,s)	实际备端为decimal None位</t>
        </is>
      </c>
    </row>
    <row r="1851">
      <c r="B1851" s="0" t="inlineStr">
        <is>
          <t>NULL</t>
        </is>
      </c>
      <c r="C1851" s="0" t="inlineStr">
        <is>
          <t>NULL</t>
        </is>
      </c>
      <c r="D1851" s="0" t="inlineStr">
        <is>
          <t>NULL</t>
        </is>
      </c>
      <c r="E1851" s="0" t="inlineStr">
        <is>
          <t>NULL</t>
        </is>
      </c>
      <c r="F1851" s="0" t="inlineStr">
        <is>
          <t>NULL</t>
        </is>
      </c>
      <c r="G1851" s="0" t="inlineStr">
        <is>
          <t>NULL</t>
        </is>
      </c>
      <c r="H1851" s="0" t="inlineStr">
        <is>
          <t>NULL</t>
        </is>
      </c>
      <c r="I1851" s="0" t="inlineStr">
        <is>
          <t>NULL</t>
        </is>
      </c>
      <c r="J1851" s="0" t="inlineStr">
        <is>
          <t>NULL</t>
        </is>
      </c>
      <c r="K1851" s="0" t="inlineStr">
        <is>
          <t>YES! 	 c_decimal38_38列源备映射正确，源端为decimal None位	期望更改为decimal(p,s)	实际备端为decimal None位</t>
        </is>
      </c>
    </row>
    <row r="1852">
      <c r="B1852" s="0" t="inlineStr">
        <is>
          <t>NULL</t>
        </is>
      </c>
      <c r="C1852" s="0" t="inlineStr">
        <is>
          <t>NULL</t>
        </is>
      </c>
      <c r="D1852" s="0" t="inlineStr">
        <is>
          <t>NULL</t>
        </is>
      </c>
      <c r="E1852" s="0" t="inlineStr">
        <is>
          <t>NULL</t>
        </is>
      </c>
      <c r="F1852" s="0" t="inlineStr">
        <is>
          <t>NULL</t>
        </is>
      </c>
      <c r="G1852" s="0" t="inlineStr">
        <is>
          <t>NULL</t>
        </is>
      </c>
      <c r="H1852" s="0" t="inlineStr">
        <is>
          <t>NULL</t>
        </is>
      </c>
      <c r="I1852" s="0" t="inlineStr">
        <is>
          <t>NULL</t>
        </is>
      </c>
      <c r="J1852" s="0" t="inlineStr">
        <is>
          <t>NULL</t>
        </is>
      </c>
      <c r="K1852" s="0" t="inlineStr">
        <is>
          <t>YES! 	 c_decimal38_10列源备映射正确，源端为decimal None位	期望更改为decimal(p,s)	实际备端为decimal None位</t>
        </is>
      </c>
    </row>
    <row r="1853">
      <c r="B1853" s="0" t="inlineStr">
        <is>
          <t>NULL</t>
        </is>
      </c>
      <c r="C1853" s="0" t="inlineStr">
        <is>
          <t>NULL</t>
        </is>
      </c>
      <c r="D1853" s="0" t="inlineStr">
        <is>
          <t>NULL</t>
        </is>
      </c>
      <c r="E1853" s="0" t="inlineStr">
        <is>
          <t>NULL</t>
        </is>
      </c>
      <c r="F1853" s="0" t="inlineStr">
        <is>
          <t>NULL</t>
        </is>
      </c>
      <c r="G1853" s="0" t="inlineStr">
        <is>
          <t>NULL</t>
        </is>
      </c>
      <c r="H1853" s="0" t="inlineStr">
        <is>
          <t>NULL</t>
        </is>
      </c>
      <c r="I1853" s="0" t="inlineStr">
        <is>
          <t>NULL</t>
        </is>
      </c>
      <c r="J1853" s="0" t="inlineStr">
        <is>
          <t>NULL</t>
        </is>
      </c>
      <c r="K1853" s="0" t="inlineStr">
        <is>
          <t>YES! 	 c_decimal19_4列源备映射正确，源端为decimal None位	期望更改为decimal(p,s)	实际备端为decimal None位</t>
        </is>
      </c>
    </row>
    <row r="1854">
      <c r="B1854" s="0" t="inlineStr">
        <is>
          <t>NULL</t>
        </is>
      </c>
      <c r="C1854" s="0" t="inlineStr">
        <is>
          <t>NULL</t>
        </is>
      </c>
      <c r="D1854" s="0" t="inlineStr">
        <is>
          <t>NULL</t>
        </is>
      </c>
      <c r="E1854" s="0" t="inlineStr">
        <is>
          <t>NULL</t>
        </is>
      </c>
      <c r="F1854" s="0" t="inlineStr">
        <is>
          <t>NULL</t>
        </is>
      </c>
      <c r="G1854" s="0" t="inlineStr">
        <is>
          <t>NULL</t>
        </is>
      </c>
      <c r="H1854" s="0" t="inlineStr">
        <is>
          <t>NULL</t>
        </is>
      </c>
      <c r="I1854" s="0" t="inlineStr">
        <is>
          <t>NULL</t>
        </is>
      </c>
      <c r="J1854" s="0" t="inlineStr">
        <is>
          <t>NULL</t>
        </is>
      </c>
      <c r="K1854" s="0" t="inlineStr">
        <is>
          <t>YES! 	 c_numeric列源备映射正确，源端为numeric None位	期望更改为numeric(p,s)	实际备端为numeric None位</t>
        </is>
      </c>
    </row>
    <row r="1855">
      <c r="B1855" s="0" t="inlineStr">
        <is>
          <t>NULL</t>
        </is>
      </c>
      <c r="C1855" s="0" t="inlineStr">
        <is>
          <t>NULL</t>
        </is>
      </c>
      <c r="D1855" s="0" t="inlineStr">
        <is>
          <t>NULL</t>
        </is>
      </c>
      <c r="E1855" s="0" t="inlineStr">
        <is>
          <t>NULL</t>
        </is>
      </c>
      <c r="F1855" s="0" t="inlineStr">
        <is>
          <t>NULL</t>
        </is>
      </c>
      <c r="G1855" s="0" t="inlineStr">
        <is>
          <t>NULL</t>
        </is>
      </c>
      <c r="H1855" s="0" t="inlineStr">
        <is>
          <t>NULL</t>
        </is>
      </c>
      <c r="I1855" s="0" t="inlineStr">
        <is>
          <t>NULL</t>
        </is>
      </c>
      <c r="J1855" s="0" t="inlineStr">
        <is>
          <t>NULL</t>
        </is>
      </c>
      <c r="K1855" s="0" t="inlineStr">
        <is>
          <t>YES! 	 c_numeric38列源备映射正确，源端为numeric None位	期望更改为numeric(p,s)	实际备端为numeric None位</t>
        </is>
      </c>
    </row>
    <row r="1856">
      <c r="B1856" s="0" t="inlineStr">
        <is>
          <t>NULL</t>
        </is>
      </c>
      <c r="C1856" s="0" t="inlineStr">
        <is>
          <t>NULL</t>
        </is>
      </c>
      <c r="D1856" s="0" t="inlineStr">
        <is>
          <t>NULL</t>
        </is>
      </c>
      <c r="E1856" s="0" t="inlineStr">
        <is>
          <t>NULL</t>
        </is>
      </c>
      <c r="F1856" s="0" t="inlineStr">
        <is>
          <t>NULL</t>
        </is>
      </c>
      <c r="G1856" s="0" t="inlineStr">
        <is>
          <t>NULL</t>
        </is>
      </c>
      <c r="H1856" s="0" t="inlineStr">
        <is>
          <t>NULL</t>
        </is>
      </c>
      <c r="I1856" s="0" t="inlineStr">
        <is>
          <t>NULL</t>
        </is>
      </c>
      <c r="J1856" s="0" t="inlineStr">
        <is>
          <t>NULL</t>
        </is>
      </c>
      <c r="K1856" s="0" t="inlineStr">
        <is>
          <t>YES! 	 c_numeric38_38列源备映射正确，源端为numeric None位	期望更改为numeric(p,s)	实际备端为numeric None位</t>
        </is>
      </c>
    </row>
    <row r="1857">
      <c r="B1857" s="0" t="inlineStr">
        <is>
          <t>NULL</t>
        </is>
      </c>
      <c r="C1857" s="0" t="inlineStr">
        <is>
          <t>NULL</t>
        </is>
      </c>
      <c r="D1857" s="0" t="inlineStr">
        <is>
          <t>NULL</t>
        </is>
      </c>
      <c r="E1857" s="0" t="inlineStr">
        <is>
          <t>NULL</t>
        </is>
      </c>
      <c r="F1857" s="0" t="inlineStr">
        <is>
          <t>NULL</t>
        </is>
      </c>
      <c r="G1857" s="0" t="inlineStr">
        <is>
          <t>NULL</t>
        </is>
      </c>
      <c r="H1857" s="0" t="inlineStr">
        <is>
          <t>NULL</t>
        </is>
      </c>
      <c r="I1857" s="0" t="inlineStr">
        <is>
          <t>NULL</t>
        </is>
      </c>
      <c r="J1857" s="0" t="inlineStr">
        <is>
          <t>NULL</t>
        </is>
      </c>
      <c r="K1857" s="0" t="inlineStr">
        <is>
          <t>YES! 	 c_numeric38_10列源备映射正确，源端为numeric None位	期望更改为numeric(p,s)	实际备端为numeric None位</t>
        </is>
      </c>
    </row>
    <row r="1858">
      <c r="B1858" s="0" t="inlineStr">
        <is>
          <t>NULL</t>
        </is>
      </c>
      <c r="C1858" s="0" t="inlineStr">
        <is>
          <t>NULL</t>
        </is>
      </c>
      <c r="D1858" s="0" t="inlineStr">
        <is>
          <t>NULL</t>
        </is>
      </c>
      <c r="E1858" s="0" t="inlineStr">
        <is>
          <t>NULL</t>
        </is>
      </c>
      <c r="F1858" s="0" t="inlineStr">
        <is>
          <t>NULL</t>
        </is>
      </c>
      <c r="G1858" s="0" t="inlineStr">
        <is>
          <t>NULL</t>
        </is>
      </c>
      <c r="H1858" s="0" t="inlineStr">
        <is>
          <t>NULL</t>
        </is>
      </c>
      <c r="I1858" s="0" t="inlineStr">
        <is>
          <t>NULL</t>
        </is>
      </c>
      <c r="J1858" s="0" t="inlineStr">
        <is>
          <t>NULL</t>
        </is>
      </c>
      <c r="K1858" s="0" t="inlineStr">
        <is>
          <t>YES! 	 c_numeric18_2列源备映射正确，源端为numeric None位	期望更改为numeric(p,s)	实际备端为numeric None位</t>
        </is>
      </c>
    </row>
    <row r="1859">
      <c r="B1859" s="0" t="inlineStr">
        <is>
          <t>NULL</t>
        </is>
      </c>
      <c r="C1859" s="0" t="inlineStr">
        <is>
          <t>NULL</t>
        </is>
      </c>
      <c r="D1859" s="0" t="inlineStr">
        <is>
          <t>NULL</t>
        </is>
      </c>
      <c r="E1859" s="0" t="inlineStr">
        <is>
          <t>NULL</t>
        </is>
      </c>
      <c r="F1859" s="0" t="inlineStr">
        <is>
          <t>NULL</t>
        </is>
      </c>
      <c r="G1859" s="0" t="inlineStr">
        <is>
          <t>NULL</t>
        </is>
      </c>
      <c r="H1859" s="0" t="inlineStr">
        <is>
          <t>NULL</t>
        </is>
      </c>
      <c r="I1859" s="0" t="inlineStr">
        <is>
          <t>NULL</t>
        </is>
      </c>
      <c r="J1859" s="0" t="inlineStr">
        <is>
          <t>NULL</t>
        </is>
      </c>
      <c r="K1859" s="0" t="inlineStr">
        <is>
          <t>YES! 	 c_float列源备映射正确，源端为float None位	期望更改为float	实际备端为float None位</t>
        </is>
      </c>
    </row>
    <row r="1860">
      <c r="B1860" s="0" t="inlineStr">
        <is>
          <t>NULL</t>
        </is>
      </c>
      <c r="C1860" s="0" t="inlineStr">
        <is>
          <t>NULL</t>
        </is>
      </c>
      <c r="D1860" s="0" t="inlineStr">
        <is>
          <t>NULL</t>
        </is>
      </c>
      <c r="E1860" s="0" t="inlineStr">
        <is>
          <t>NULL</t>
        </is>
      </c>
      <c r="F1860" s="0" t="inlineStr">
        <is>
          <t>NULL</t>
        </is>
      </c>
      <c r="G1860" s="0" t="inlineStr">
        <is>
          <t>NULL</t>
        </is>
      </c>
      <c r="H1860" s="0" t="inlineStr">
        <is>
          <t>NULL</t>
        </is>
      </c>
      <c r="I1860" s="0" t="inlineStr">
        <is>
          <t>NULL</t>
        </is>
      </c>
      <c r="J1860" s="0" t="inlineStr">
        <is>
          <t>NULL</t>
        </is>
      </c>
      <c r="K1860" s="0" t="inlineStr">
        <is>
          <t>YES! 	 c_real列源备映射正确，源端为real None位	期望更改为real	实际备端为real None位</t>
        </is>
      </c>
    </row>
    <row r="1861">
      <c r="B1861" s="0" t="inlineStr">
        <is>
          <t>NULL</t>
        </is>
      </c>
      <c r="C1861" s="0" t="inlineStr">
        <is>
          <t>NULL</t>
        </is>
      </c>
      <c r="D1861" s="0" t="inlineStr">
        <is>
          <t>NULL</t>
        </is>
      </c>
      <c r="E1861" s="0" t="inlineStr">
        <is>
          <t>NULL</t>
        </is>
      </c>
      <c r="F1861" s="0" t="inlineStr">
        <is>
          <t>NULL</t>
        </is>
      </c>
      <c r="G1861" s="0" t="inlineStr">
        <is>
          <t>NULL</t>
        </is>
      </c>
      <c r="H1861" s="0" t="inlineStr">
        <is>
          <t>NULL</t>
        </is>
      </c>
      <c r="I1861" s="0" t="inlineStr">
        <is>
          <t>NULL</t>
        </is>
      </c>
      <c r="J1861" s="0" t="inlineStr">
        <is>
          <t>NULL</t>
        </is>
      </c>
      <c r="K1861" s="0" t="inlineStr">
        <is>
          <t>YES! 	 c_money列源备映射正确，源端为money None位	期望更改为money	实际备端为money None位</t>
        </is>
      </c>
    </row>
    <row r="1862">
      <c r="B1862" s="0" t="inlineStr">
        <is>
          <t>NULL</t>
        </is>
      </c>
      <c r="C1862" s="0" t="inlineStr">
        <is>
          <t>NULL</t>
        </is>
      </c>
      <c r="D1862" s="0" t="inlineStr">
        <is>
          <t>NULL</t>
        </is>
      </c>
      <c r="E1862" s="0" t="inlineStr">
        <is>
          <t>NULL</t>
        </is>
      </c>
      <c r="F1862" s="0" t="inlineStr">
        <is>
          <t>NULL</t>
        </is>
      </c>
      <c r="G1862" s="0" t="inlineStr">
        <is>
          <t>NULL</t>
        </is>
      </c>
      <c r="H1862" s="0" t="inlineStr">
        <is>
          <t>NULL</t>
        </is>
      </c>
      <c r="I1862" s="0" t="inlineStr">
        <is>
          <t>NULL</t>
        </is>
      </c>
      <c r="J1862" s="0" t="inlineStr">
        <is>
          <t>NULL</t>
        </is>
      </c>
      <c r="K1862" s="0" t="inlineStr">
        <is>
          <t>YES! 	 c_smallmoney列源备映射正确，源端为smallmoney None位	期望更改为smallmoney	实际备端为smallmoney None位</t>
        </is>
      </c>
    </row>
    <row r="1863">
      <c r="B1863" s="0" t="inlineStr">
        <is>
          <t>NULL</t>
        </is>
      </c>
      <c r="C1863" s="0" t="inlineStr">
        <is>
          <t>NULL</t>
        </is>
      </c>
      <c r="D1863" s="0" t="inlineStr">
        <is>
          <t>NULL</t>
        </is>
      </c>
      <c r="E1863" s="0" t="inlineStr">
        <is>
          <t>NULL</t>
        </is>
      </c>
      <c r="F1863" s="0" t="inlineStr">
        <is>
          <t>NULL</t>
        </is>
      </c>
      <c r="G1863" s="0" t="inlineStr">
        <is>
          <t>NULL</t>
        </is>
      </c>
      <c r="H1863" s="0" t="inlineStr">
        <is>
          <t>NULL</t>
        </is>
      </c>
      <c r="I1863" s="0" t="inlineStr">
        <is>
          <t>NULL</t>
        </is>
      </c>
      <c r="J1863" s="0" t="inlineStr">
        <is>
          <t>NULL</t>
        </is>
      </c>
      <c r="K1863" s="0" t="inlineStr">
        <is>
          <t>YES! 	 c_bit列源备映射正确，源端为bit None位	期望更改为bit	实际备端为bit None位</t>
        </is>
      </c>
    </row>
    <row r="1864">
      <c r="A1864" s="0" t="inlineStr">
        <is>
          <t>info_binary_dml_batch1_pk_irp1</t>
        </is>
      </c>
      <c r="K1864" s="0" t="inlineStr">
        <is>
          <t>[0;34m info_binary_dml_batch1_pk_irp1 [0m源备字段数相同，源端字段：4 	备端字段4</t>
        </is>
      </c>
      <c r="W1864" s="0" t="inlineStr">
        <is>
          <t>YES 源备无差异</t>
        </is>
      </c>
      <c r="X1864" s="0">
        <f>A1864</f>
        <v/>
      </c>
    </row>
    <row r="1865">
      <c r="B1865" s="0" t="inlineStr">
        <is>
          <t>YES</t>
        </is>
      </c>
      <c r="C1865" s="0" t="inlineStr">
        <is>
          <t>NULL</t>
        </is>
      </c>
      <c r="D1865" s="0" t="inlineStr">
        <is>
          <t>NULL</t>
        </is>
      </c>
      <c r="E1865" s="0" t="inlineStr">
        <is>
          <t>NULL</t>
        </is>
      </c>
      <c r="F1865" s="0" t="inlineStr">
        <is>
          <t>NULL</t>
        </is>
      </c>
      <c r="G1865" s="0" t="inlineStr">
        <is>
          <t>NULL</t>
        </is>
      </c>
      <c r="H1865" s="0" t="inlineStr">
        <is>
          <t>NULL</t>
        </is>
      </c>
      <c r="I1865" s="0" t="inlineStr">
        <is>
          <t>YES!PK__info_bin__3213E83F5AD451F2</t>
        </is>
      </c>
      <c r="J1865" s="0" t="inlineStr">
        <is>
          <t>YES! 主键相关索引</t>
        </is>
      </c>
      <c r="K1865" s="0" t="inlineStr">
        <is>
          <t>YES! 	 id列源备映射正确，源端为int None位	期望更改为int	实际备端为int None位</t>
        </is>
      </c>
    </row>
    <row r="1866">
      <c r="B1866" s="0" t="inlineStr">
        <is>
          <t>NULL</t>
        </is>
      </c>
      <c r="C1866" s="0" t="inlineStr">
        <is>
          <t>NULL</t>
        </is>
      </c>
      <c r="D1866" s="0" t="inlineStr">
        <is>
          <t>NULL</t>
        </is>
      </c>
      <c r="E1866" s="0" t="inlineStr">
        <is>
          <t>NULL</t>
        </is>
      </c>
      <c r="F1866" s="0" t="inlineStr">
        <is>
          <t>NULL</t>
        </is>
      </c>
      <c r="G1866" s="0" t="inlineStr">
        <is>
          <t>NULL</t>
        </is>
      </c>
      <c r="H1866" s="0" t="inlineStr">
        <is>
          <t>NULL</t>
        </is>
      </c>
      <c r="I1866" s="0" t="inlineStr">
        <is>
          <t>NULL</t>
        </is>
      </c>
      <c r="J1866" s="0" t="inlineStr">
        <is>
          <t>NULL</t>
        </is>
      </c>
      <c r="K1866" s="0" t="inlineStr">
        <is>
          <t>YES! 	 c_binary列源备映射正确，源端为binary 1位	期望更改为binary(n)	实际备端为binary 1位</t>
        </is>
      </c>
    </row>
    <row r="1867">
      <c r="B1867" s="0" t="inlineStr">
        <is>
          <t>NULL</t>
        </is>
      </c>
      <c r="C1867" s="0" t="inlineStr">
        <is>
          <t>NULL</t>
        </is>
      </c>
      <c r="D1867" s="0" t="inlineStr">
        <is>
          <t>NULL</t>
        </is>
      </c>
      <c r="E1867" s="0" t="inlineStr">
        <is>
          <t>NULL</t>
        </is>
      </c>
      <c r="F1867" s="0" t="inlineStr">
        <is>
          <t>NULL</t>
        </is>
      </c>
      <c r="G1867" s="0" t="inlineStr">
        <is>
          <t>NULL</t>
        </is>
      </c>
      <c r="H1867" s="0" t="inlineStr">
        <is>
          <t>NULL</t>
        </is>
      </c>
      <c r="I1867" s="0" t="inlineStr">
        <is>
          <t>NULL</t>
        </is>
      </c>
      <c r="J1867" s="0" t="inlineStr">
        <is>
          <t>NULL</t>
        </is>
      </c>
      <c r="K1867" s="0" t="inlineStr">
        <is>
          <t>YES! 	 c_binary_20列源备映射正确，源端为binary 20位	期望更改为binary(n)	实际备端为binary 20位</t>
        </is>
      </c>
    </row>
    <row r="1868">
      <c r="B1868" s="0" t="inlineStr">
        <is>
          <t>NULL</t>
        </is>
      </c>
      <c r="C1868" s="0" t="inlineStr">
        <is>
          <t>NULL</t>
        </is>
      </c>
      <c r="D1868" s="0" t="inlineStr">
        <is>
          <t>NULL</t>
        </is>
      </c>
      <c r="E1868" s="0" t="inlineStr">
        <is>
          <t>NULL</t>
        </is>
      </c>
      <c r="F1868" s="0" t="inlineStr">
        <is>
          <t>NULL</t>
        </is>
      </c>
      <c r="G1868" s="0" t="inlineStr">
        <is>
          <t>NULL</t>
        </is>
      </c>
      <c r="H1868" s="0" t="inlineStr">
        <is>
          <t>NULL</t>
        </is>
      </c>
      <c r="I1868" s="0" t="inlineStr">
        <is>
          <t>NULL</t>
        </is>
      </c>
      <c r="J1868" s="0" t="inlineStr">
        <is>
          <t>NULL</t>
        </is>
      </c>
      <c r="K1868" s="0" t="inlineStr">
        <is>
          <t>YES! 	 c_binary_8000列源备映射正确，源端为binary 8000位	期望更改为binary(n)	实际备端为binary 8000位</t>
        </is>
      </c>
    </row>
    <row r="1869">
      <c r="A1869" s="0" t="inlineStr">
        <is>
          <t>info_int_dml_batch1_pk</t>
        </is>
      </c>
      <c r="K1869" s="0" t="inlineStr">
        <is>
          <t>[0;34m info_int_dml_batch1_pk [0m源备字段数相同，源端字段：20 	备端字段20</t>
        </is>
      </c>
      <c r="W1869" s="0" t="inlineStr">
        <is>
          <t>YES 源备无差异</t>
        </is>
      </c>
      <c r="X1869" s="0">
        <f>A1869</f>
        <v/>
      </c>
    </row>
    <row r="1870">
      <c r="B1870" s="0" t="inlineStr">
        <is>
          <t>YES</t>
        </is>
      </c>
      <c r="C1870" s="0" t="inlineStr">
        <is>
          <t>NULL</t>
        </is>
      </c>
      <c r="D1870" s="0" t="inlineStr">
        <is>
          <t>NULL</t>
        </is>
      </c>
      <c r="E1870" s="0" t="inlineStr">
        <is>
          <t>NULL</t>
        </is>
      </c>
      <c r="F1870" s="0" t="inlineStr">
        <is>
          <t>NULL</t>
        </is>
      </c>
      <c r="G1870" s="0" t="inlineStr">
        <is>
          <t>NULL</t>
        </is>
      </c>
      <c r="H1870" s="0" t="inlineStr">
        <is>
          <t>NULL</t>
        </is>
      </c>
      <c r="I1870" s="0" t="inlineStr">
        <is>
          <t>YES!PK__info_int__3213E83FF3EC9625</t>
        </is>
      </c>
      <c r="J1870" s="0" t="inlineStr">
        <is>
          <t>YES! 主键相关索引</t>
        </is>
      </c>
      <c r="K1870" s="0" t="inlineStr">
        <is>
          <t>YES! 	 id列源备映射正确，源端为int None位	期望更改为int	实际备端为int None位</t>
        </is>
      </c>
    </row>
    <row r="1871">
      <c r="B1871" s="0" t="inlineStr">
        <is>
          <t>NULL</t>
        </is>
      </c>
      <c r="C1871" s="0" t="inlineStr">
        <is>
          <t>NULL</t>
        </is>
      </c>
      <c r="D1871" s="0" t="inlineStr">
        <is>
          <t>NULL</t>
        </is>
      </c>
      <c r="E1871" s="0" t="inlineStr">
        <is>
          <t>NULL</t>
        </is>
      </c>
      <c r="F1871" s="0" t="inlineStr">
        <is>
          <t>NULL</t>
        </is>
      </c>
      <c r="G1871" s="0" t="inlineStr">
        <is>
          <t>NULL</t>
        </is>
      </c>
      <c r="H1871" s="0" t="inlineStr">
        <is>
          <t>NULL</t>
        </is>
      </c>
      <c r="I1871" s="0" t="inlineStr">
        <is>
          <t>NULL</t>
        </is>
      </c>
      <c r="J1871" s="0" t="inlineStr">
        <is>
          <t>NULL</t>
        </is>
      </c>
      <c r="K1871" s="0" t="inlineStr">
        <is>
          <t>YES! 	 c_tinyint列源备映射正确，源端为tinyint None位	期望更改为tinyint	实际备端为tinyint None位</t>
        </is>
      </c>
    </row>
    <row r="1872">
      <c r="B1872" s="0" t="inlineStr">
        <is>
          <t>NULL</t>
        </is>
      </c>
      <c r="C1872" s="0" t="inlineStr">
        <is>
          <t>NULL</t>
        </is>
      </c>
      <c r="D1872" s="0" t="inlineStr">
        <is>
          <t>NULL</t>
        </is>
      </c>
      <c r="E1872" s="0" t="inlineStr">
        <is>
          <t>NULL</t>
        </is>
      </c>
      <c r="F1872" s="0" t="inlineStr">
        <is>
          <t>NULL</t>
        </is>
      </c>
      <c r="G1872" s="0" t="inlineStr">
        <is>
          <t>NULL</t>
        </is>
      </c>
      <c r="H1872" s="0" t="inlineStr">
        <is>
          <t>NULL</t>
        </is>
      </c>
      <c r="I1872" s="0" t="inlineStr">
        <is>
          <t>NULL</t>
        </is>
      </c>
      <c r="J1872" s="0" t="inlineStr">
        <is>
          <t>NULL</t>
        </is>
      </c>
      <c r="K1872" s="0" t="inlineStr">
        <is>
          <t>YES! 	 c_smallint列源备映射正确，源端为smallint None位	期望更改为smallint	实际备端为smallint None位</t>
        </is>
      </c>
    </row>
    <row r="1873">
      <c r="B1873" s="0" t="inlineStr">
        <is>
          <t>NULL</t>
        </is>
      </c>
      <c r="C1873" s="0" t="inlineStr">
        <is>
          <t>NULL</t>
        </is>
      </c>
      <c r="D1873" s="0" t="inlineStr">
        <is>
          <t>NULL</t>
        </is>
      </c>
      <c r="E1873" s="0" t="inlineStr">
        <is>
          <t>NULL</t>
        </is>
      </c>
      <c r="F1873" s="0" t="inlineStr">
        <is>
          <t>NULL</t>
        </is>
      </c>
      <c r="G1873" s="0" t="inlineStr">
        <is>
          <t>NULL</t>
        </is>
      </c>
      <c r="H1873" s="0" t="inlineStr">
        <is>
          <t>NULL</t>
        </is>
      </c>
      <c r="I1873" s="0" t="inlineStr">
        <is>
          <t>NULL</t>
        </is>
      </c>
      <c r="J1873" s="0" t="inlineStr">
        <is>
          <t>NULL</t>
        </is>
      </c>
      <c r="K1873" s="0" t="inlineStr">
        <is>
          <t>YES! 	 c_int列源备映射正确，源端为int None位	期望更改为int	实际备端为int None位</t>
        </is>
      </c>
    </row>
    <row r="1874">
      <c r="B1874" s="0" t="inlineStr">
        <is>
          <t>NULL</t>
        </is>
      </c>
      <c r="C1874" s="0" t="inlineStr">
        <is>
          <t>NULL</t>
        </is>
      </c>
      <c r="D1874" s="0" t="inlineStr">
        <is>
          <t>NULL</t>
        </is>
      </c>
      <c r="E1874" s="0" t="inlineStr">
        <is>
          <t>NULL</t>
        </is>
      </c>
      <c r="F1874" s="0" t="inlineStr">
        <is>
          <t>NULL</t>
        </is>
      </c>
      <c r="G1874" s="0" t="inlineStr">
        <is>
          <t>NULL</t>
        </is>
      </c>
      <c r="H1874" s="0" t="inlineStr">
        <is>
          <t>NULL</t>
        </is>
      </c>
      <c r="I1874" s="0" t="inlineStr">
        <is>
          <t>NULL</t>
        </is>
      </c>
      <c r="J1874" s="0" t="inlineStr">
        <is>
          <t>NULL</t>
        </is>
      </c>
      <c r="K1874" s="0" t="inlineStr">
        <is>
          <t>YES! 	 c_bigint列源备映射正确，源端为bigint None位	期望更改为bigint	实际备端为bigint None位</t>
        </is>
      </c>
    </row>
    <row r="1875">
      <c r="B1875" s="0" t="inlineStr">
        <is>
          <t>NULL</t>
        </is>
      </c>
      <c r="C1875" s="0" t="inlineStr">
        <is>
          <t>NULL</t>
        </is>
      </c>
      <c r="D1875" s="0" t="inlineStr">
        <is>
          <t>NULL</t>
        </is>
      </c>
      <c r="E1875" s="0" t="inlineStr">
        <is>
          <t>NULL</t>
        </is>
      </c>
      <c r="F1875" s="0" t="inlineStr">
        <is>
          <t>NULL</t>
        </is>
      </c>
      <c r="G1875" s="0" t="inlineStr">
        <is>
          <t>NULL</t>
        </is>
      </c>
      <c r="H1875" s="0" t="inlineStr">
        <is>
          <t>NULL</t>
        </is>
      </c>
      <c r="I1875" s="0" t="inlineStr">
        <is>
          <t>NULL</t>
        </is>
      </c>
      <c r="J1875" s="0" t="inlineStr">
        <is>
          <t>NULL</t>
        </is>
      </c>
      <c r="K1875" s="0" t="inlineStr">
        <is>
          <t>YES! 	 c_decimal列源备映射正确，源端为decimal None位	期望更改为decimal(p,s)	实际备端为decimal None位</t>
        </is>
      </c>
    </row>
    <row r="1876">
      <c r="B1876" s="0" t="inlineStr">
        <is>
          <t>NULL</t>
        </is>
      </c>
      <c r="C1876" s="0" t="inlineStr">
        <is>
          <t>NULL</t>
        </is>
      </c>
      <c r="D1876" s="0" t="inlineStr">
        <is>
          <t>NULL</t>
        </is>
      </c>
      <c r="E1876" s="0" t="inlineStr">
        <is>
          <t>NULL</t>
        </is>
      </c>
      <c r="F1876" s="0" t="inlineStr">
        <is>
          <t>NULL</t>
        </is>
      </c>
      <c r="G1876" s="0" t="inlineStr">
        <is>
          <t>NULL</t>
        </is>
      </c>
      <c r="H1876" s="0" t="inlineStr">
        <is>
          <t>NULL</t>
        </is>
      </c>
      <c r="I1876" s="0" t="inlineStr">
        <is>
          <t>NULL</t>
        </is>
      </c>
      <c r="J1876" s="0" t="inlineStr">
        <is>
          <t>NULL</t>
        </is>
      </c>
      <c r="K1876" s="0" t="inlineStr">
        <is>
          <t>YES! 	 c_decimal38列源备映射正确，源端为decimal None位	期望更改为decimal(p,s)	实际备端为decimal None位</t>
        </is>
      </c>
    </row>
    <row r="1877">
      <c r="B1877" s="0" t="inlineStr">
        <is>
          <t>NULL</t>
        </is>
      </c>
      <c r="C1877" s="0" t="inlineStr">
        <is>
          <t>NULL</t>
        </is>
      </c>
      <c r="D1877" s="0" t="inlineStr">
        <is>
          <t>NULL</t>
        </is>
      </c>
      <c r="E1877" s="0" t="inlineStr">
        <is>
          <t>NULL</t>
        </is>
      </c>
      <c r="F1877" s="0" t="inlineStr">
        <is>
          <t>NULL</t>
        </is>
      </c>
      <c r="G1877" s="0" t="inlineStr">
        <is>
          <t>NULL</t>
        </is>
      </c>
      <c r="H1877" s="0" t="inlineStr">
        <is>
          <t>NULL</t>
        </is>
      </c>
      <c r="I1877" s="0" t="inlineStr">
        <is>
          <t>NULL</t>
        </is>
      </c>
      <c r="J1877" s="0" t="inlineStr">
        <is>
          <t>NULL</t>
        </is>
      </c>
      <c r="K1877" s="0" t="inlineStr">
        <is>
          <t>YES! 	 c_decimal38_38列源备映射正确，源端为decimal None位	期望更改为decimal(p,s)	实际备端为decimal None位</t>
        </is>
      </c>
    </row>
    <row r="1878">
      <c r="B1878" s="0" t="inlineStr">
        <is>
          <t>NULL</t>
        </is>
      </c>
      <c r="C1878" s="0" t="inlineStr">
        <is>
          <t>NULL</t>
        </is>
      </c>
      <c r="D1878" s="0" t="inlineStr">
        <is>
          <t>NULL</t>
        </is>
      </c>
      <c r="E1878" s="0" t="inlineStr">
        <is>
          <t>NULL</t>
        </is>
      </c>
      <c r="F1878" s="0" t="inlineStr">
        <is>
          <t>NULL</t>
        </is>
      </c>
      <c r="G1878" s="0" t="inlineStr">
        <is>
          <t>NULL</t>
        </is>
      </c>
      <c r="H1878" s="0" t="inlineStr">
        <is>
          <t>NULL</t>
        </is>
      </c>
      <c r="I1878" s="0" t="inlineStr">
        <is>
          <t>NULL</t>
        </is>
      </c>
      <c r="J1878" s="0" t="inlineStr">
        <is>
          <t>NULL</t>
        </is>
      </c>
      <c r="K1878" s="0" t="inlineStr">
        <is>
          <t>YES! 	 c_decimal38_10列源备映射正确，源端为decimal None位	期望更改为decimal(p,s)	实际备端为decimal None位</t>
        </is>
      </c>
    </row>
    <row r="1879">
      <c r="B1879" s="0" t="inlineStr">
        <is>
          <t>NULL</t>
        </is>
      </c>
      <c r="C1879" s="0" t="inlineStr">
        <is>
          <t>NULL</t>
        </is>
      </c>
      <c r="D1879" s="0" t="inlineStr">
        <is>
          <t>NULL</t>
        </is>
      </c>
      <c r="E1879" s="0" t="inlineStr">
        <is>
          <t>NULL</t>
        </is>
      </c>
      <c r="F1879" s="0" t="inlineStr">
        <is>
          <t>NULL</t>
        </is>
      </c>
      <c r="G1879" s="0" t="inlineStr">
        <is>
          <t>NULL</t>
        </is>
      </c>
      <c r="H1879" s="0" t="inlineStr">
        <is>
          <t>NULL</t>
        </is>
      </c>
      <c r="I1879" s="0" t="inlineStr">
        <is>
          <t>NULL</t>
        </is>
      </c>
      <c r="J1879" s="0" t="inlineStr">
        <is>
          <t>NULL</t>
        </is>
      </c>
      <c r="K1879" s="0" t="inlineStr">
        <is>
          <t>YES! 	 c_decimal19_4列源备映射正确，源端为decimal None位	期望更改为decimal(p,s)	实际备端为decimal None位</t>
        </is>
      </c>
    </row>
    <row r="1880">
      <c r="B1880" s="0" t="inlineStr">
        <is>
          <t>NULL</t>
        </is>
      </c>
      <c r="C1880" s="0" t="inlineStr">
        <is>
          <t>NULL</t>
        </is>
      </c>
      <c r="D1880" s="0" t="inlineStr">
        <is>
          <t>NULL</t>
        </is>
      </c>
      <c r="E1880" s="0" t="inlineStr">
        <is>
          <t>NULL</t>
        </is>
      </c>
      <c r="F1880" s="0" t="inlineStr">
        <is>
          <t>NULL</t>
        </is>
      </c>
      <c r="G1880" s="0" t="inlineStr">
        <is>
          <t>NULL</t>
        </is>
      </c>
      <c r="H1880" s="0" t="inlineStr">
        <is>
          <t>NULL</t>
        </is>
      </c>
      <c r="I1880" s="0" t="inlineStr">
        <is>
          <t>NULL</t>
        </is>
      </c>
      <c r="J1880" s="0" t="inlineStr">
        <is>
          <t>NULL</t>
        </is>
      </c>
      <c r="K1880" s="0" t="inlineStr">
        <is>
          <t>YES! 	 c_numeric列源备映射正确，源端为numeric None位	期望更改为numeric(p,s)	实际备端为numeric None位</t>
        </is>
      </c>
    </row>
    <row r="1881">
      <c r="B1881" s="0" t="inlineStr">
        <is>
          <t>NULL</t>
        </is>
      </c>
      <c r="C1881" s="0" t="inlineStr">
        <is>
          <t>NULL</t>
        </is>
      </c>
      <c r="D1881" s="0" t="inlineStr">
        <is>
          <t>NULL</t>
        </is>
      </c>
      <c r="E1881" s="0" t="inlineStr">
        <is>
          <t>NULL</t>
        </is>
      </c>
      <c r="F1881" s="0" t="inlineStr">
        <is>
          <t>NULL</t>
        </is>
      </c>
      <c r="G1881" s="0" t="inlineStr">
        <is>
          <t>NULL</t>
        </is>
      </c>
      <c r="H1881" s="0" t="inlineStr">
        <is>
          <t>NULL</t>
        </is>
      </c>
      <c r="I1881" s="0" t="inlineStr">
        <is>
          <t>NULL</t>
        </is>
      </c>
      <c r="J1881" s="0" t="inlineStr">
        <is>
          <t>NULL</t>
        </is>
      </c>
      <c r="K1881" s="0" t="inlineStr">
        <is>
          <t>YES! 	 c_numeric38列源备映射正确，源端为numeric None位	期望更改为numeric(p,s)	实际备端为numeric None位</t>
        </is>
      </c>
    </row>
    <row r="1882">
      <c r="B1882" s="0" t="inlineStr">
        <is>
          <t>NULL</t>
        </is>
      </c>
      <c r="C1882" s="0" t="inlineStr">
        <is>
          <t>NULL</t>
        </is>
      </c>
      <c r="D1882" s="0" t="inlineStr">
        <is>
          <t>NULL</t>
        </is>
      </c>
      <c r="E1882" s="0" t="inlineStr">
        <is>
          <t>NULL</t>
        </is>
      </c>
      <c r="F1882" s="0" t="inlineStr">
        <is>
          <t>NULL</t>
        </is>
      </c>
      <c r="G1882" s="0" t="inlineStr">
        <is>
          <t>NULL</t>
        </is>
      </c>
      <c r="H1882" s="0" t="inlineStr">
        <is>
          <t>NULL</t>
        </is>
      </c>
      <c r="I1882" s="0" t="inlineStr">
        <is>
          <t>NULL</t>
        </is>
      </c>
      <c r="J1882" s="0" t="inlineStr">
        <is>
          <t>NULL</t>
        </is>
      </c>
      <c r="K1882" s="0" t="inlineStr">
        <is>
          <t>YES! 	 c_numeric38_38列源备映射正确，源端为numeric None位	期望更改为numeric(p,s)	实际备端为numeric None位</t>
        </is>
      </c>
    </row>
    <row r="1883">
      <c r="B1883" s="0" t="inlineStr">
        <is>
          <t>NULL</t>
        </is>
      </c>
      <c r="C1883" s="0" t="inlineStr">
        <is>
          <t>NULL</t>
        </is>
      </c>
      <c r="D1883" s="0" t="inlineStr">
        <is>
          <t>NULL</t>
        </is>
      </c>
      <c r="E1883" s="0" t="inlineStr">
        <is>
          <t>NULL</t>
        </is>
      </c>
      <c r="F1883" s="0" t="inlineStr">
        <is>
          <t>NULL</t>
        </is>
      </c>
      <c r="G1883" s="0" t="inlineStr">
        <is>
          <t>NULL</t>
        </is>
      </c>
      <c r="H1883" s="0" t="inlineStr">
        <is>
          <t>NULL</t>
        </is>
      </c>
      <c r="I1883" s="0" t="inlineStr">
        <is>
          <t>NULL</t>
        </is>
      </c>
      <c r="J1883" s="0" t="inlineStr">
        <is>
          <t>NULL</t>
        </is>
      </c>
      <c r="K1883" s="0" t="inlineStr">
        <is>
          <t>YES! 	 c_numeric38_10列源备映射正确，源端为numeric None位	期望更改为numeric(p,s)	实际备端为numeric None位</t>
        </is>
      </c>
    </row>
    <row r="1884">
      <c r="B1884" s="0" t="inlineStr">
        <is>
          <t>NULL</t>
        </is>
      </c>
      <c r="C1884" s="0" t="inlineStr">
        <is>
          <t>NULL</t>
        </is>
      </c>
      <c r="D1884" s="0" t="inlineStr">
        <is>
          <t>NULL</t>
        </is>
      </c>
      <c r="E1884" s="0" t="inlineStr">
        <is>
          <t>NULL</t>
        </is>
      </c>
      <c r="F1884" s="0" t="inlineStr">
        <is>
          <t>NULL</t>
        </is>
      </c>
      <c r="G1884" s="0" t="inlineStr">
        <is>
          <t>NULL</t>
        </is>
      </c>
      <c r="H1884" s="0" t="inlineStr">
        <is>
          <t>NULL</t>
        </is>
      </c>
      <c r="I1884" s="0" t="inlineStr">
        <is>
          <t>NULL</t>
        </is>
      </c>
      <c r="J1884" s="0" t="inlineStr">
        <is>
          <t>NULL</t>
        </is>
      </c>
      <c r="K1884" s="0" t="inlineStr">
        <is>
          <t>YES! 	 c_numeric18_2列源备映射正确，源端为numeric None位	期望更改为numeric(p,s)	实际备端为numeric None位</t>
        </is>
      </c>
    </row>
    <row r="1885">
      <c r="B1885" s="0" t="inlineStr">
        <is>
          <t>NULL</t>
        </is>
      </c>
      <c r="C1885" s="0" t="inlineStr">
        <is>
          <t>NULL</t>
        </is>
      </c>
      <c r="D1885" s="0" t="inlineStr">
        <is>
          <t>NULL</t>
        </is>
      </c>
      <c r="E1885" s="0" t="inlineStr">
        <is>
          <t>NULL</t>
        </is>
      </c>
      <c r="F1885" s="0" t="inlineStr">
        <is>
          <t>NULL</t>
        </is>
      </c>
      <c r="G1885" s="0" t="inlineStr">
        <is>
          <t>NULL</t>
        </is>
      </c>
      <c r="H1885" s="0" t="inlineStr">
        <is>
          <t>NULL</t>
        </is>
      </c>
      <c r="I1885" s="0" t="inlineStr">
        <is>
          <t>NULL</t>
        </is>
      </c>
      <c r="J1885" s="0" t="inlineStr">
        <is>
          <t>NULL</t>
        </is>
      </c>
      <c r="K1885" s="0" t="inlineStr">
        <is>
          <t>YES! 	 c_float列源备映射正确，源端为float None位	期望更改为float	实际备端为float None位</t>
        </is>
      </c>
    </row>
    <row r="1886">
      <c r="B1886" s="0" t="inlineStr">
        <is>
          <t>NULL</t>
        </is>
      </c>
      <c r="C1886" s="0" t="inlineStr">
        <is>
          <t>NULL</t>
        </is>
      </c>
      <c r="D1886" s="0" t="inlineStr">
        <is>
          <t>NULL</t>
        </is>
      </c>
      <c r="E1886" s="0" t="inlineStr">
        <is>
          <t>NULL</t>
        </is>
      </c>
      <c r="F1886" s="0" t="inlineStr">
        <is>
          <t>NULL</t>
        </is>
      </c>
      <c r="G1886" s="0" t="inlineStr">
        <is>
          <t>NULL</t>
        </is>
      </c>
      <c r="H1886" s="0" t="inlineStr">
        <is>
          <t>NULL</t>
        </is>
      </c>
      <c r="I1886" s="0" t="inlineStr">
        <is>
          <t>NULL</t>
        </is>
      </c>
      <c r="J1886" s="0" t="inlineStr">
        <is>
          <t>NULL</t>
        </is>
      </c>
      <c r="K1886" s="0" t="inlineStr">
        <is>
          <t>YES! 	 c_real列源备映射正确，源端为real None位	期望更改为real	实际备端为real None位</t>
        </is>
      </c>
    </row>
    <row r="1887">
      <c r="B1887" s="0" t="inlineStr">
        <is>
          <t>NULL</t>
        </is>
      </c>
      <c r="C1887" s="0" t="inlineStr">
        <is>
          <t>NULL</t>
        </is>
      </c>
      <c r="D1887" s="0" t="inlineStr">
        <is>
          <t>NULL</t>
        </is>
      </c>
      <c r="E1887" s="0" t="inlineStr">
        <is>
          <t>NULL</t>
        </is>
      </c>
      <c r="F1887" s="0" t="inlineStr">
        <is>
          <t>NULL</t>
        </is>
      </c>
      <c r="G1887" s="0" t="inlineStr">
        <is>
          <t>NULL</t>
        </is>
      </c>
      <c r="H1887" s="0" t="inlineStr">
        <is>
          <t>NULL</t>
        </is>
      </c>
      <c r="I1887" s="0" t="inlineStr">
        <is>
          <t>NULL</t>
        </is>
      </c>
      <c r="J1887" s="0" t="inlineStr">
        <is>
          <t>NULL</t>
        </is>
      </c>
      <c r="K1887" s="0" t="inlineStr">
        <is>
          <t>YES! 	 c_money列源备映射正确，源端为money None位	期望更改为money	实际备端为money None位</t>
        </is>
      </c>
    </row>
    <row r="1888">
      <c r="B1888" s="0" t="inlineStr">
        <is>
          <t>NULL</t>
        </is>
      </c>
      <c r="C1888" s="0" t="inlineStr">
        <is>
          <t>NULL</t>
        </is>
      </c>
      <c r="D1888" s="0" t="inlineStr">
        <is>
          <t>NULL</t>
        </is>
      </c>
      <c r="E1888" s="0" t="inlineStr">
        <is>
          <t>NULL</t>
        </is>
      </c>
      <c r="F1888" s="0" t="inlineStr">
        <is>
          <t>NULL</t>
        </is>
      </c>
      <c r="G1888" s="0" t="inlineStr">
        <is>
          <t>NULL</t>
        </is>
      </c>
      <c r="H1888" s="0" t="inlineStr">
        <is>
          <t>NULL</t>
        </is>
      </c>
      <c r="I1888" s="0" t="inlineStr">
        <is>
          <t>NULL</t>
        </is>
      </c>
      <c r="J1888" s="0" t="inlineStr">
        <is>
          <t>NULL</t>
        </is>
      </c>
      <c r="K1888" s="0" t="inlineStr">
        <is>
          <t>YES! 	 c_smallmoney列源备映射正确，源端为smallmoney None位	期望更改为smallmoney	实际备端为smallmoney None位</t>
        </is>
      </c>
    </row>
    <row r="1889">
      <c r="B1889" s="0" t="inlineStr">
        <is>
          <t>NULL</t>
        </is>
      </c>
      <c r="C1889" s="0" t="inlineStr">
        <is>
          <t>NULL</t>
        </is>
      </c>
      <c r="D1889" s="0" t="inlineStr">
        <is>
          <t>NULL</t>
        </is>
      </c>
      <c r="E1889" s="0" t="inlineStr">
        <is>
          <t>NULL</t>
        </is>
      </c>
      <c r="F1889" s="0" t="inlineStr">
        <is>
          <t>NULL</t>
        </is>
      </c>
      <c r="G1889" s="0" t="inlineStr">
        <is>
          <t>NULL</t>
        </is>
      </c>
      <c r="H1889" s="0" t="inlineStr">
        <is>
          <t>NULL</t>
        </is>
      </c>
      <c r="I1889" s="0" t="inlineStr">
        <is>
          <t>NULL</t>
        </is>
      </c>
      <c r="J1889" s="0" t="inlineStr">
        <is>
          <t>NULL</t>
        </is>
      </c>
      <c r="K1889" s="0" t="inlineStr">
        <is>
          <t>YES! 	 c_bit列源备映射正确，源端为bit None位	期望更改为bit	实际备端为bit None位</t>
        </is>
      </c>
    </row>
    <row r="1890">
      <c r="A1890" s="0" t="inlineStr">
        <is>
          <t>info_binary_dml_batch2_pk_irp1</t>
        </is>
      </c>
      <c r="K1890" s="0" t="inlineStr">
        <is>
          <t>[0;34m info_binary_dml_batch2_pk_irp1 [0m源备字段数相同，源端字段：4 	备端字段4</t>
        </is>
      </c>
      <c r="W1890" s="0" t="inlineStr">
        <is>
          <t>YES 源备无差异</t>
        </is>
      </c>
      <c r="X1890" s="0">
        <f>A1890</f>
        <v/>
      </c>
    </row>
    <row r="1891">
      <c r="B1891" s="0" t="inlineStr">
        <is>
          <t>YES</t>
        </is>
      </c>
      <c r="C1891" s="0" t="inlineStr">
        <is>
          <t>NULL</t>
        </is>
      </c>
      <c r="D1891" s="0" t="inlineStr">
        <is>
          <t>NULL</t>
        </is>
      </c>
      <c r="E1891" s="0" t="inlineStr">
        <is>
          <t>NULL</t>
        </is>
      </c>
      <c r="F1891" s="0" t="inlineStr">
        <is>
          <t>NULL</t>
        </is>
      </c>
      <c r="G1891" s="0" t="inlineStr">
        <is>
          <t>NULL</t>
        </is>
      </c>
      <c r="H1891" s="0" t="inlineStr">
        <is>
          <t>NULL</t>
        </is>
      </c>
      <c r="I1891" s="0" t="inlineStr">
        <is>
          <t>YES!PK__info_bin__3213E83F840C6C46</t>
        </is>
      </c>
      <c r="J1891" s="0" t="inlineStr">
        <is>
          <t>YES! 主键相关索引</t>
        </is>
      </c>
      <c r="K1891" s="0" t="inlineStr">
        <is>
          <t>YES! 	 id列源备映射正确，源端为int None位	期望更改为int	实际备端为int None位</t>
        </is>
      </c>
    </row>
    <row r="1892">
      <c r="B1892" s="0" t="inlineStr">
        <is>
          <t>NULL</t>
        </is>
      </c>
      <c r="C1892" s="0" t="inlineStr">
        <is>
          <t>NULL</t>
        </is>
      </c>
      <c r="D1892" s="0" t="inlineStr">
        <is>
          <t>NULL</t>
        </is>
      </c>
      <c r="E1892" s="0" t="inlineStr">
        <is>
          <t>NULL</t>
        </is>
      </c>
      <c r="F1892" s="0" t="inlineStr">
        <is>
          <t>NULL</t>
        </is>
      </c>
      <c r="G1892" s="0" t="inlineStr">
        <is>
          <t>NULL</t>
        </is>
      </c>
      <c r="H1892" s="0" t="inlineStr">
        <is>
          <t>NULL</t>
        </is>
      </c>
      <c r="I1892" s="0" t="inlineStr">
        <is>
          <t>NULL</t>
        </is>
      </c>
      <c r="J1892" s="0" t="inlineStr">
        <is>
          <t>NULL</t>
        </is>
      </c>
      <c r="K1892" s="0" t="inlineStr">
        <is>
          <t>YES! 	 c_binary列源备映射正确，源端为binary 1位	期望更改为binary(n)	实际备端为binary 1位</t>
        </is>
      </c>
    </row>
    <row r="1893">
      <c r="B1893" s="0" t="inlineStr">
        <is>
          <t>NULL</t>
        </is>
      </c>
      <c r="C1893" s="0" t="inlineStr">
        <is>
          <t>NULL</t>
        </is>
      </c>
      <c r="D1893" s="0" t="inlineStr">
        <is>
          <t>NULL</t>
        </is>
      </c>
      <c r="E1893" s="0" t="inlineStr">
        <is>
          <t>NULL</t>
        </is>
      </c>
      <c r="F1893" s="0" t="inlineStr">
        <is>
          <t>NULL</t>
        </is>
      </c>
      <c r="G1893" s="0" t="inlineStr">
        <is>
          <t>NULL</t>
        </is>
      </c>
      <c r="H1893" s="0" t="inlineStr">
        <is>
          <t>NULL</t>
        </is>
      </c>
      <c r="I1893" s="0" t="inlineStr">
        <is>
          <t>NULL</t>
        </is>
      </c>
      <c r="J1893" s="0" t="inlineStr">
        <is>
          <t>NULL</t>
        </is>
      </c>
      <c r="K1893" s="0" t="inlineStr">
        <is>
          <t>YES! 	 c_binary_20列源备映射正确，源端为binary 20位	期望更改为binary(n)	实际备端为binary 20位</t>
        </is>
      </c>
    </row>
    <row r="1894">
      <c r="B1894" s="0" t="inlineStr">
        <is>
          <t>NULL</t>
        </is>
      </c>
      <c r="C1894" s="0" t="inlineStr">
        <is>
          <t>NULL</t>
        </is>
      </c>
      <c r="D1894" s="0" t="inlineStr">
        <is>
          <t>NULL</t>
        </is>
      </c>
      <c r="E1894" s="0" t="inlineStr">
        <is>
          <t>NULL</t>
        </is>
      </c>
      <c r="F1894" s="0" t="inlineStr">
        <is>
          <t>NULL</t>
        </is>
      </c>
      <c r="G1894" s="0" t="inlineStr">
        <is>
          <t>NULL</t>
        </is>
      </c>
      <c r="H1894" s="0" t="inlineStr">
        <is>
          <t>NULL</t>
        </is>
      </c>
      <c r="I1894" s="0" t="inlineStr">
        <is>
          <t>NULL</t>
        </is>
      </c>
      <c r="J1894" s="0" t="inlineStr">
        <is>
          <t>NULL</t>
        </is>
      </c>
      <c r="K1894" s="0" t="inlineStr">
        <is>
          <t>YES! 	 c_binary_8000列源备映射正确，源端为binary 8000位	期望更改为binary(n)	实际备端为binary 8000位</t>
        </is>
      </c>
    </row>
    <row r="1895">
      <c r="A1895" s="0" t="inlineStr">
        <is>
          <t>info_date_dml_batch1_pk_irp1</t>
        </is>
      </c>
      <c r="K1895" s="0" t="inlineStr">
        <is>
          <t>[0;34m info_date_dml_batch1_pk_irp1 [0m源备字段数相同，源端字段：2 	备端字段2</t>
        </is>
      </c>
      <c r="W1895" s="0" t="inlineStr">
        <is>
          <t>YES 源备无差异</t>
        </is>
      </c>
      <c r="X1895" s="0">
        <f>A1895</f>
        <v/>
      </c>
    </row>
    <row r="1896">
      <c r="B1896" s="0" t="inlineStr">
        <is>
          <t>YES</t>
        </is>
      </c>
      <c r="C1896" s="0" t="inlineStr">
        <is>
          <t>NULL</t>
        </is>
      </c>
      <c r="D1896" s="0" t="inlineStr">
        <is>
          <t>NULL</t>
        </is>
      </c>
      <c r="E1896" s="0" t="inlineStr">
        <is>
          <t>NULL</t>
        </is>
      </c>
      <c r="F1896" s="0" t="inlineStr">
        <is>
          <t>NULL</t>
        </is>
      </c>
      <c r="G1896" s="0" t="inlineStr">
        <is>
          <t>NULL</t>
        </is>
      </c>
      <c r="H1896" s="0" t="inlineStr">
        <is>
          <t>NULL</t>
        </is>
      </c>
      <c r="I1896" s="0" t="inlineStr">
        <is>
          <t>YES!PK__info_dat__3213E83F1F958682</t>
        </is>
      </c>
      <c r="J1896" s="0" t="inlineStr">
        <is>
          <t>YES! 主键相关索引</t>
        </is>
      </c>
      <c r="K1896" s="0" t="inlineStr">
        <is>
          <t>YES! 	 id列源备映射正确，源端为int None位	期望更改为int	实际备端为int None位</t>
        </is>
      </c>
    </row>
    <row r="1897">
      <c r="B1897" s="0" t="inlineStr">
        <is>
          <t>NULL</t>
        </is>
      </c>
      <c r="C1897" s="0" t="inlineStr">
        <is>
          <t>NULL</t>
        </is>
      </c>
      <c r="D1897" s="0" t="inlineStr">
        <is>
          <t>NULL</t>
        </is>
      </c>
      <c r="E1897" s="0" t="inlineStr">
        <is>
          <t>NULL</t>
        </is>
      </c>
      <c r="F1897" s="0" t="inlineStr">
        <is>
          <t>NULL</t>
        </is>
      </c>
      <c r="G1897" s="0" t="inlineStr">
        <is>
          <t>NULL</t>
        </is>
      </c>
      <c r="H1897" s="0" t="inlineStr">
        <is>
          <t>NULL</t>
        </is>
      </c>
      <c r="I1897" s="0" t="inlineStr">
        <is>
          <t>NULL</t>
        </is>
      </c>
      <c r="J1897" s="0" t="inlineStr">
        <is>
          <t>NULL</t>
        </is>
      </c>
      <c r="K1897" s="0" t="inlineStr">
        <is>
          <t>YES! 	 c_date列源备映射正确，源端为date None位	期望更改为date	实际备端为date None位</t>
        </is>
      </c>
    </row>
    <row r="1898">
      <c r="K1898" s="0" t="inlineStr">
        <is>
          <t>~ 空表</t>
        </is>
      </c>
    </row>
    <row r="1899">
      <c r="A1899" s="0" t="inlineStr">
        <is>
          <t>info_binary_dml_batch1_pk_irp2</t>
        </is>
      </c>
      <c r="K1899" s="0" t="inlineStr">
        <is>
          <t>[0;34m info_binary_dml_batch1_pk_irp2 [0m源备字段数相同，源端字段：4 	备端字段4</t>
        </is>
      </c>
      <c r="W1899" s="0" t="inlineStr">
        <is>
          <t>YES 源备无差异</t>
        </is>
      </c>
      <c r="X1899" s="0">
        <f>A1899</f>
        <v/>
      </c>
    </row>
    <row r="1900">
      <c r="B1900" s="0" t="inlineStr">
        <is>
          <t>YES</t>
        </is>
      </c>
      <c r="C1900" s="0" t="inlineStr">
        <is>
          <t>NULL</t>
        </is>
      </c>
      <c r="D1900" s="0" t="inlineStr">
        <is>
          <t>NULL</t>
        </is>
      </c>
      <c r="E1900" s="0" t="inlineStr">
        <is>
          <t>NULL</t>
        </is>
      </c>
      <c r="F1900" s="0" t="inlineStr">
        <is>
          <t>NULL</t>
        </is>
      </c>
      <c r="G1900" s="0" t="inlineStr">
        <is>
          <t>NULL</t>
        </is>
      </c>
      <c r="H1900" s="0" t="inlineStr">
        <is>
          <t>NULL</t>
        </is>
      </c>
      <c r="I1900" s="0" t="inlineStr">
        <is>
          <t>YES!PK__info_bin__3213E83F477BD939</t>
        </is>
      </c>
      <c r="J1900" s="0" t="inlineStr">
        <is>
          <t>YES! 主键相关索引</t>
        </is>
      </c>
      <c r="K1900" s="0" t="inlineStr">
        <is>
          <t>YES! 	 id列源备映射正确，源端为int None位	期望更改为int	实际备端为int None位</t>
        </is>
      </c>
    </row>
    <row r="1901">
      <c r="B1901" s="0" t="inlineStr">
        <is>
          <t>NULL</t>
        </is>
      </c>
      <c r="C1901" s="0" t="inlineStr">
        <is>
          <t>NULL</t>
        </is>
      </c>
      <c r="D1901" s="0" t="inlineStr">
        <is>
          <t>NULL</t>
        </is>
      </c>
      <c r="E1901" s="0" t="inlineStr">
        <is>
          <t>NULL</t>
        </is>
      </c>
      <c r="F1901" s="0" t="inlineStr">
        <is>
          <t>NULL</t>
        </is>
      </c>
      <c r="G1901" s="0" t="inlineStr">
        <is>
          <t>NULL</t>
        </is>
      </c>
      <c r="H1901" s="0" t="inlineStr">
        <is>
          <t>NULL</t>
        </is>
      </c>
      <c r="I1901" s="0" t="inlineStr">
        <is>
          <t>NULL</t>
        </is>
      </c>
      <c r="J1901" s="0" t="inlineStr">
        <is>
          <t>NULL</t>
        </is>
      </c>
      <c r="K1901" s="0" t="inlineStr">
        <is>
          <t>YES! 	 c_binary列源备映射正确，源端为binary 1位	期望更改为binary(n)	实际备端为binary 1位</t>
        </is>
      </c>
    </row>
    <row r="1902">
      <c r="B1902" s="0" t="inlineStr">
        <is>
          <t>NULL</t>
        </is>
      </c>
      <c r="C1902" s="0" t="inlineStr">
        <is>
          <t>NULL</t>
        </is>
      </c>
      <c r="D1902" s="0" t="inlineStr">
        <is>
          <t>NULL</t>
        </is>
      </c>
      <c r="E1902" s="0" t="inlineStr">
        <is>
          <t>NULL</t>
        </is>
      </c>
      <c r="F1902" s="0" t="inlineStr">
        <is>
          <t>NULL</t>
        </is>
      </c>
      <c r="G1902" s="0" t="inlineStr">
        <is>
          <t>NULL</t>
        </is>
      </c>
      <c r="H1902" s="0" t="inlineStr">
        <is>
          <t>NULL</t>
        </is>
      </c>
      <c r="I1902" s="0" t="inlineStr">
        <is>
          <t>NULL</t>
        </is>
      </c>
      <c r="J1902" s="0" t="inlineStr">
        <is>
          <t>NULL</t>
        </is>
      </c>
      <c r="K1902" s="0" t="inlineStr">
        <is>
          <t>YES! 	 c_binary_20列源备映射正确，源端为binary 20位	期望更改为binary(n)	实际备端为binary 20位</t>
        </is>
      </c>
    </row>
    <row r="1903">
      <c r="B1903" s="0" t="inlineStr">
        <is>
          <t>NULL</t>
        </is>
      </c>
      <c r="C1903" s="0" t="inlineStr">
        <is>
          <t>NULL</t>
        </is>
      </c>
      <c r="D1903" s="0" t="inlineStr">
        <is>
          <t>NULL</t>
        </is>
      </c>
      <c r="E1903" s="0" t="inlineStr">
        <is>
          <t>NULL</t>
        </is>
      </c>
      <c r="F1903" s="0" t="inlineStr">
        <is>
          <t>NULL</t>
        </is>
      </c>
      <c r="G1903" s="0" t="inlineStr">
        <is>
          <t>NULL</t>
        </is>
      </c>
      <c r="H1903" s="0" t="inlineStr">
        <is>
          <t>NULL</t>
        </is>
      </c>
      <c r="I1903" s="0" t="inlineStr">
        <is>
          <t>NULL</t>
        </is>
      </c>
      <c r="J1903" s="0" t="inlineStr">
        <is>
          <t>NULL</t>
        </is>
      </c>
      <c r="K1903" s="0" t="inlineStr">
        <is>
          <t>YES! 	 c_binary_8000列源备映射正确，源端为binary 8000位	期望更改为binary(n)	实际备端为binary 8000位</t>
        </is>
      </c>
    </row>
    <row r="1904">
      <c r="A1904" s="0" t="inlineStr">
        <is>
          <t>info_date_dml_batch1_pk_irp2</t>
        </is>
      </c>
      <c r="K1904" s="0" t="inlineStr">
        <is>
          <t>[0;34m info_date_dml_batch1_pk_irp2 [0m源备字段数相同，源端字段：2 	备端字段2</t>
        </is>
      </c>
      <c r="W1904" s="0" t="inlineStr">
        <is>
          <t>YES 源备无差异</t>
        </is>
      </c>
      <c r="X1904" s="0">
        <f>A1904</f>
        <v/>
      </c>
    </row>
    <row r="1905">
      <c r="B1905" s="0" t="inlineStr">
        <is>
          <t>YES</t>
        </is>
      </c>
      <c r="C1905" s="0" t="inlineStr">
        <is>
          <t>NULL</t>
        </is>
      </c>
      <c r="D1905" s="0" t="inlineStr">
        <is>
          <t>NULL</t>
        </is>
      </c>
      <c r="E1905" s="0" t="inlineStr">
        <is>
          <t>NULL</t>
        </is>
      </c>
      <c r="F1905" s="0" t="inlineStr">
        <is>
          <t>NULL</t>
        </is>
      </c>
      <c r="G1905" s="0" t="inlineStr">
        <is>
          <t>NULL</t>
        </is>
      </c>
      <c r="H1905" s="0" t="inlineStr">
        <is>
          <t>NULL</t>
        </is>
      </c>
      <c r="I1905" s="0" t="inlineStr">
        <is>
          <t>YES!PK__info_dat__3213E83FFDE92A62</t>
        </is>
      </c>
      <c r="J1905" s="0" t="inlineStr">
        <is>
          <t>YES! 主键相关索引</t>
        </is>
      </c>
      <c r="K1905" s="0" t="inlineStr">
        <is>
          <t>YES! 	 id列源备映射正确，源端为int None位	期望更改为int	实际备端为int None位</t>
        </is>
      </c>
    </row>
    <row r="1906">
      <c r="B1906" s="0" t="inlineStr">
        <is>
          <t>NULL</t>
        </is>
      </c>
      <c r="C1906" s="0" t="inlineStr">
        <is>
          <t>NULL</t>
        </is>
      </c>
      <c r="D1906" s="0" t="inlineStr">
        <is>
          <t>NULL</t>
        </is>
      </c>
      <c r="E1906" s="0" t="inlineStr">
        <is>
          <t>NULL</t>
        </is>
      </c>
      <c r="F1906" s="0" t="inlineStr">
        <is>
          <t>NULL</t>
        </is>
      </c>
      <c r="G1906" s="0" t="inlineStr">
        <is>
          <t>NULL</t>
        </is>
      </c>
      <c r="H1906" s="0" t="inlineStr">
        <is>
          <t>NULL</t>
        </is>
      </c>
      <c r="I1906" s="0" t="inlineStr">
        <is>
          <t>NULL</t>
        </is>
      </c>
      <c r="J1906" s="0" t="inlineStr">
        <is>
          <t>NULL</t>
        </is>
      </c>
      <c r="K1906" s="0" t="inlineStr">
        <is>
          <t>YES! 	 c_date列源备映射正确，源端为date None位	期望更改为date	实际备端为date None位</t>
        </is>
      </c>
    </row>
    <row r="1907">
      <c r="A1907" s="0" t="inlineStr">
        <is>
          <t>info_binary_dml_batch1_pk_urp1</t>
        </is>
      </c>
      <c r="K1907" s="0" t="inlineStr">
        <is>
          <t>[0;34m info_binary_dml_batch1_pk_urp1 [0m源备字段数相同，源端字段：4 	备端字段4</t>
        </is>
      </c>
      <c r="W1907" s="0" t="inlineStr">
        <is>
          <t>YES 源备无差异</t>
        </is>
      </c>
      <c r="X1907" s="0">
        <f>A1907</f>
        <v/>
      </c>
    </row>
    <row r="1908">
      <c r="B1908" s="0" t="inlineStr">
        <is>
          <t>YES</t>
        </is>
      </c>
      <c r="C1908" s="0" t="inlineStr">
        <is>
          <t>NULL</t>
        </is>
      </c>
      <c r="D1908" s="0" t="inlineStr">
        <is>
          <t>NULL</t>
        </is>
      </c>
      <c r="E1908" s="0" t="inlineStr">
        <is>
          <t>NULL</t>
        </is>
      </c>
      <c r="F1908" s="0" t="inlineStr">
        <is>
          <t>NULL</t>
        </is>
      </c>
      <c r="G1908" s="0" t="inlineStr">
        <is>
          <t>NULL</t>
        </is>
      </c>
      <c r="H1908" s="0" t="inlineStr">
        <is>
          <t>NULL</t>
        </is>
      </c>
      <c r="I1908" s="0" t="inlineStr">
        <is>
          <t>YES!PK__info_bin__3213E83FC8D78F05</t>
        </is>
      </c>
      <c r="J1908" s="0" t="inlineStr">
        <is>
          <t>YES! 主键相关索引</t>
        </is>
      </c>
      <c r="K1908" s="0" t="inlineStr">
        <is>
          <t>YES! 	 id列源备映射正确，源端为int None位	期望更改为int	实际备端为int None位</t>
        </is>
      </c>
    </row>
    <row r="1909">
      <c r="B1909" s="0" t="inlineStr">
        <is>
          <t>NULL</t>
        </is>
      </c>
      <c r="C1909" s="0" t="inlineStr">
        <is>
          <t>NULL</t>
        </is>
      </c>
      <c r="D1909" s="0" t="inlineStr">
        <is>
          <t>NULL</t>
        </is>
      </c>
      <c r="E1909" s="0" t="inlineStr">
        <is>
          <t>NULL</t>
        </is>
      </c>
      <c r="F1909" s="0" t="inlineStr">
        <is>
          <t>NULL</t>
        </is>
      </c>
      <c r="G1909" s="0" t="inlineStr">
        <is>
          <t>NULL</t>
        </is>
      </c>
      <c r="H1909" s="0" t="inlineStr">
        <is>
          <t>NULL</t>
        </is>
      </c>
      <c r="I1909" s="0" t="inlineStr">
        <is>
          <t>NULL</t>
        </is>
      </c>
      <c r="J1909" s="0" t="inlineStr">
        <is>
          <t>NULL</t>
        </is>
      </c>
      <c r="K1909" s="0" t="inlineStr">
        <is>
          <t>YES! 	 c_binary列源备映射正确，源端为binary 1位	期望更改为binary(n)	实际备端为binary 1位</t>
        </is>
      </c>
    </row>
    <row r="1910">
      <c r="B1910" s="0" t="inlineStr">
        <is>
          <t>NULL</t>
        </is>
      </c>
      <c r="C1910" s="0" t="inlineStr">
        <is>
          <t>NULL</t>
        </is>
      </c>
      <c r="D1910" s="0" t="inlineStr">
        <is>
          <t>NULL</t>
        </is>
      </c>
      <c r="E1910" s="0" t="inlineStr">
        <is>
          <t>NULL</t>
        </is>
      </c>
      <c r="F1910" s="0" t="inlineStr">
        <is>
          <t>NULL</t>
        </is>
      </c>
      <c r="G1910" s="0" t="inlineStr">
        <is>
          <t>NULL</t>
        </is>
      </c>
      <c r="H1910" s="0" t="inlineStr">
        <is>
          <t>NULL</t>
        </is>
      </c>
      <c r="I1910" s="0" t="inlineStr">
        <is>
          <t>NULL</t>
        </is>
      </c>
      <c r="J1910" s="0" t="inlineStr">
        <is>
          <t>NULL</t>
        </is>
      </c>
      <c r="K1910" s="0" t="inlineStr">
        <is>
          <t>YES! 	 c_binary_20列源备映射正确，源端为binary 20位	期望更改为binary(n)	实际备端为binary 20位</t>
        </is>
      </c>
    </row>
    <row r="1911">
      <c r="B1911" s="0" t="inlineStr">
        <is>
          <t>NULL</t>
        </is>
      </c>
      <c r="C1911" s="0" t="inlineStr">
        <is>
          <t>NULL</t>
        </is>
      </c>
      <c r="D1911" s="0" t="inlineStr">
        <is>
          <t>NULL</t>
        </is>
      </c>
      <c r="E1911" s="0" t="inlineStr">
        <is>
          <t>NULL</t>
        </is>
      </c>
      <c r="F1911" s="0" t="inlineStr">
        <is>
          <t>NULL</t>
        </is>
      </c>
      <c r="G1911" s="0" t="inlineStr">
        <is>
          <t>NULL</t>
        </is>
      </c>
      <c r="H1911" s="0" t="inlineStr">
        <is>
          <t>NULL</t>
        </is>
      </c>
      <c r="I1911" s="0" t="inlineStr">
        <is>
          <t>NULL</t>
        </is>
      </c>
      <c r="J1911" s="0" t="inlineStr">
        <is>
          <t>NULL</t>
        </is>
      </c>
      <c r="K1911" s="0" t="inlineStr">
        <is>
          <t>YES! 	 c_binary_8000列源备映射正确，源端为binary 8000位	期望更改为binary(n)	实际备端为binary 8000位</t>
        </is>
      </c>
    </row>
    <row r="1912">
      <c r="A1912" s="0" t="inlineStr">
        <is>
          <t>info_date_dml_batch2_pk_irp1</t>
        </is>
      </c>
      <c r="K1912" s="0" t="inlineStr">
        <is>
          <t>[0;34m info_date_dml_batch2_pk_irp1 [0m源备字段数相同，源端字段：2 	备端字段2</t>
        </is>
      </c>
      <c r="W1912" s="0" t="inlineStr">
        <is>
          <t>YES 源备无差异</t>
        </is>
      </c>
      <c r="X1912" s="0">
        <f>A1912</f>
        <v/>
      </c>
    </row>
    <row r="1913">
      <c r="B1913" s="0" t="inlineStr">
        <is>
          <t>YES</t>
        </is>
      </c>
      <c r="C1913" s="0" t="inlineStr">
        <is>
          <t>NULL</t>
        </is>
      </c>
      <c r="D1913" s="0" t="inlineStr">
        <is>
          <t>NULL</t>
        </is>
      </c>
      <c r="E1913" s="0" t="inlineStr">
        <is>
          <t>NULL</t>
        </is>
      </c>
      <c r="F1913" s="0" t="inlineStr">
        <is>
          <t>NULL</t>
        </is>
      </c>
      <c r="G1913" s="0" t="inlineStr">
        <is>
          <t>NULL</t>
        </is>
      </c>
      <c r="H1913" s="0" t="inlineStr">
        <is>
          <t>NULL</t>
        </is>
      </c>
      <c r="I1913" s="0" t="inlineStr">
        <is>
          <t>YES!PK__info_dat__3213E83F33B1CB1D</t>
        </is>
      </c>
      <c r="J1913" s="0" t="inlineStr">
        <is>
          <t>YES! 主键相关索引</t>
        </is>
      </c>
      <c r="K1913" s="0" t="inlineStr">
        <is>
          <t>YES! 	 id列源备映射正确，源端为int None位	期望更改为int	实际备端为int None位</t>
        </is>
      </c>
    </row>
    <row r="1914">
      <c r="B1914" s="0" t="inlineStr">
        <is>
          <t>NULL</t>
        </is>
      </c>
      <c r="C1914" s="0" t="inlineStr">
        <is>
          <t>NULL</t>
        </is>
      </c>
      <c r="D1914" s="0" t="inlineStr">
        <is>
          <t>NULL</t>
        </is>
      </c>
      <c r="E1914" s="0" t="inlineStr">
        <is>
          <t>NULL</t>
        </is>
      </c>
      <c r="F1914" s="0" t="inlineStr">
        <is>
          <t>NULL</t>
        </is>
      </c>
      <c r="G1914" s="0" t="inlineStr">
        <is>
          <t>NULL</t>
        </is>
      </c>
      <c r="H1914" s="0" t="inlineStr">
        <is>
          <t>NULL</t>
        </is>
      </c>
      <c r="I1914" s="0" t="inlineStr">
        <is>
          <t>NULL</t>
        </is>
      </c>
      <c r="J1914" s="0" t="inlineStr">
        <is>
          <t>NULL</t>
        </is>
      </c>
      <c r="K1914" s="0" t="inlineStr">
        <is>
          <t>YES! 	 c_date列源备映射正确，源端为date None位	期望更改为date	实际备端为date None位</t>
        </is>
      </c>
    </row>
    <row r="1915">
      <c r="A1915" s="0" t="inlineStr">
        <is>
          <t>info_binary_dml_batch2_pk_irp2</t>
        </is>
      </c>
      <c r="K1915" s="0" t="inlineStr">
        <is>
          <t>[0;34m info_binary_dml_batch2_pk_irp2 [0m源备字段数相同，源端字段：4 	备端字段4</t>
        </is>
      </c>
      <c r="W1915" s="0" t="inlineStr">
        <is>
          <t>YES 源备无差异</t>
        </is>
      </c>
      <c r="X1915" s="0">
        <f>A1915</f>
        <v/>
      </c>
    </row>
    <row r="1916">
      <c r="B1916" s="0" t="inlineStr">
        <is>
          <t>YES</t>
        </is>
      </c>
      <c r="C1916" s="0" t="inlineStr">
        <is>
          <t>NULL</t>
        </is>
      </c>
      <c r="D1916" s="0" t="inlineStr">
        <is>
          <t>NULL</t>
        </is>
      </c>
      <c r="E1916" s="0" t="inlineStr">
        <is>
          <t>NULL</t>
        </is>
      </c>
      <c r="F1916" s="0" t="inlineStr">
        <is>
          <t>NULL</t>
        </is>
      </c>
      <c r="G1916" s="0" t="inlineStr">
        <is>
          <t>NULL</t>
        </is>
      </c>
      <c r="H1916" s="0" t="inlineStr">
        <is>
          <t>NULL</t>
        </is>
      </c>
      <c r="I1916" s="0" t="inlineStr">
        <is>
          <t>YES!PK__info_bin__3213E83F8A446D33</t>
        </is>
      </c>
      <c r="J1916" s="0" t="inlineStr">
        <is>
          <t>YES! 主键相关索引</t>
        </is>
      </c>
      <c r="K1916" s="0" t="inlineStr">
        <is>
          <t>YES! 	 id列源备映射正确，源端为int None位	期望更改为int	实际备端为int None位</t>
        </is>
      </c>
    </row>
    <row r="1917">
      <c r="B1917" s="0" t="inlineStr">
        <is>
          <t>NULL</t>
        </is>
      </c>
      <c r="C1917" s="0" t="inlineStr">
        <is>
          <t>NULL</t>
        </is>
      </c>
      <c r="D1917" s="0" t="inlineStr">
        <is>
          <t>NULL</t>
        </is>
      </c>
      <c r="E1917" s="0" t="inlineStr">
        <is>
          <t>NULL</t>
        </is>
      </c>
      <c r="F1917" s="0" t="inlineStr">
        <is>
          <t>NULL</t>
        </is>
      </c>
      <c r="G1917" s="0" t="inlineStr">
        <is>
          <t>NULL</t>
        </is>
      </c>
      <c r="H1917" s="0" t="inlineStr">
        <is>
          <t>NULL</t>
        </is>
      </c>
      <c r="I1917" s="0" t="inlineStr">
        <is>
          <t>NULL</t>
        </is>
      </c>
      <c r="J1917" s="0" t="inlineStr">
        <is>
          <t>NULL</t>
        </is>
      </c>
      <c r="K1917" s="0" t="inlineStr">
        <is>
          <t>YES! 	 c_binary列源备映射正确，源端为binary 1位	期望更改为binary(n)	实际备端为binary 1位</t>
        </is>
      </c>
    </row>
    <row r="1918">
      <c r="B1918" s="0" t="inlineStr">
        <is>
          <t>NULL</t>
        </is>
      </c>
      <c r="C1918" s="0" t="inlineStr">
        <is>
          <t>NULL</t>
        </is>
      </c>
      <c r="D1918" s="0" t="inlineStr">
        <is>
          <t>NULL</t>
        </is>
      </c>
      <c r="E1918" s="0" t="inlineStr">
        <is>
          <t>NULL</t>
        </is>
      </c>
      <c r="F1918" s="0" t="inlineStr">
        <is>
          <t>NULL</t>
        </is>
      </c>
      <c r="G1918" s="0" t="inlineStr">
        <is>
          <t>NULL</t>
        </is>
      </c>
      <c r="H1918" s="0" t="inlineStr">
        <is>
          <t>NULL</t>
        </is>
      </c>
      <c r="I1918" s="0" t="inlineStr">
        <is>
          <t>NULL</t>
        </is>
      </c>
      <c r="J1918" s="0" t="inlineStr">
        <is>
          <t>NULL</t>
        </is>
      </c>
      <c r="K1918" s="0" t="inlineStr">
        <is>
          <t>YES! 	 c_binary_20列源备映射正确，源端为binary 20位	期望更改为binary(n)	实际备端为binary 20位</t>
        </is>
      </c>
    </row>
    <row r="1919">
      <c r="B1919" s="0" t="inlineStr">
        <is>
          <t>NULL</t>
        </is>
      </c>
      <c r="C1919" s="0" t="inlineStr">
        <is>
          <t>NULL</t>
        </is>
      </c>
      <c r="D1919" s="0" t="inlineStr">
        <is>
          <t>NULL</t>
        </is>
      </c>
      <c r="E1919" s="0" t="inlineStr">
        <is>
          <t>NULL</t>
        </is>
      </c>
      <c r="F1919" s="0" t="inlineStr">
        <is>
          <t>NULL</t>
        </is>
      </c>
      <c r="G1919" s="0" t="inlineStr">
        <is>
          <t>NULL</t>
        </is>
      </c>
      <c r="H1919" s="0" t="inlineStr">
        <is>
          <t>NULL</t>
        </is>
      </c>
      <c r="I1919" s="0" t="inlineStr">
        <is>
          <t>NULL</t>
        </is>
      </c>
      <c r="J1919" s="0" t="inlineStr">
        <is>
          <t>NULL</t>
        </is>
      </c>
      <c r="K1919" s="0" t="inlineStr">
        <is>
          <t>YES! 	 c_binary_8000列源备映射正确，源端为binary 8000位	期望更改为binary(n)	实际备端为binary 8000位</t>
        </is>
      </c>
    </row>
    <row r="1920">
      <c r="A1920" s="0" t="inlineStr">
        <is>
          <t>info_date_dml_batch2_pk_irp2</t>
        </is>
      </c>
      <c r="K1920" s="0" t="inlineStr">
        <is>
          <t>[0;34m info_date_dml_batch2_pk_irp2 [0m源备字段数相同，源端字段：2 	备端字段2</t>
        </is>
      </c>
      <c r="W1920" s="0" t="inlineStr">
        <is>
          <t>YES 源备无差异</t>
        </is>
      </c>
      <c r="X1920" s="0">
        <f>A1920</f>
        <v/>
      </c>
    </row>
    <row r="1921">
      <c r="B1921" s="0" t="inlineStr">
        <is>
          <t>YES</t>
        </is>
      </c>
      <c r="C1921" s="0" t="inlineStr">
        <is>
          <t>NULL</t>
        </is>
      </c>
      <c r="D1921" s="0" t="inlineStr">
        <is>
          <t>NULL</t>
        </is>
      </c>
      <c r="E1921" s="0" t="inlineStr">
        <is>
          <t>NULL</t>
        </is>
      </c>
      <c r="F1921" s="0" t="inlineStr">
        <is>
          <t>NULL</t>
        </is>
      </c>
      <c r="G1921" s="0" t="inlineStr">
        <is>
          <t>NULL</t>
        </is>
      </c>
      <c r="H1921" s="0" t="inlineStr">
        <is>
          <t>NULL</t>
        </is>
      </c>
      <c r="I1921" s="0" t="inlineStr">
        <is>
          <t>YES!PK__info_dat__3213E83F431A717B</t>
        </is>
      </c>
      <c r="J1921" s="0" t="inlineStr">
        <is>
          <t>YES! 主键相关索引</t>
        </is>
      </c>
      <c r="K1921" s="0" t="inlineStr">
        <is>
          <t>YES! 	 id列源备映射正确，源端为int None位	期望更改为int	实际备端为int None位</t>
        </is>
      </c>
    </row>
    <row r="1922">
      <c r="B1922" s="0" t="inlineStr">
        <is>
          <t>NULL</t>
        </is>
      </c>
      <c r="C1922" s="0" t="inlineStr">
        <is>
          <t>NULL</t>
        </is>
      </c>
      <c r="D1922" s="0" t="inlineStr">
        <is>
          <t>NULL</t>
        </is>
      </c>
      <c r="E1922" s="0" t="inlineStr">
        <is>
          <t>NULL</t>
        </is>
      </c>
      <c r="F1922" s="0" t="inlineStr">
        <is>
          <t>NULL</t>
        </is>
      </c>
      <c r="G1922" s="0" t="inlineStr">
        <is>
          <t>NULL</t>
        </is>
      </c>
      <c r="H1922" s="0" t="inlineStr">
        <is>
          <t>NULL</t>
        </is>
      </c>
      <c r="I1922" s="0" t="inlineStr">
        <is>
          <t>NULL</t>
        </is>
      </c>
      <c r="J1922" s="0" t="inlineStr">
        <is>
          <t>NULL</t>
        </is>
      </c>
      <c r="K1922" s="0" t="inlineStr">
        <is>
          <t>YES! 	 c_date列源备映射正确，源端为date None位	期望更改为date	实际备端为date None位</t>
        </is>
      </c>
    </row>
    <row r="1923">
      <c r="A1923" s="0" t="inlineStr">
        <is>
          <t>info_geography_dml_single_nopk_irp</t>
        </is>
      </c>
      <c r="K1923" s="0" t="inlineStr">
        <is>
          <t>[0;34m info_geography_dml_single_nopk_irp [0m源备字段数相同，源端字段：2 	备端字段2</t>
        </is>
      </c>
      <c r="W1923" s="0" t="inlineStr">
        <is>
          <t>YES 源备无差异</t>
        </is>
      </c>
      <c r="X1923" s="0">
        <f>A1923</f>
        <v/>
      </c>
    </row>
    <row r="1924">
      <c r="B1924" s="0" t="inlineStr">
        <is>
          <t>NULL</t>
        </is>
      </c>
      <c r="C1924" s="0" t="inlineStr">
        <is>
          <t>NULL</t>
        </is>
      </c>
      <c r="D1924" s="0" t="inlineStr">
        <is>
          <t>NULL</t>
        </is>
      </c>
      <c r="E1924" s="0" t="inlineStr">
        <is>
          <t>NULL</t>
        </is>
      </c>
      <c r="F1924" s="0" t="inlineStr">
        <is>
          <t>NULL</t>
        </is>
      </c>
      <c r="G1924" s="0" t="inlineStr">
        <is>
          <t>NULL</t>
        </is>
      </c>
      <c r="H1924" s="0" t="inlineStr">
        <is>
          <t>NULL</t>
        </is>
      </c>
      <c r="I1924" s="0" t="inlineStr">
        <is>
          <t>NULL</t>
        </is>
      </c>
      <c r="J1924" s="0" t="inlineStr">
        <is>
          <t>NULL</t>
        </is>
      </c>
      <c r="K1924" s="0" t="inlineStr">
        <is>
          <t>YES! 	 id列源备映射正确，源端为int None位	期望更改为int	实际备端为int None位</t>
        </is>
      </c>
    </row>
    <row r="1925">
      <c r="B1925" s="0" t="inlineStr">
        <is>
          <t>NULL</t>
        </is>
      </c>
      <c r="C1925" s="0" t="inlineStr">
        <is>
          <t>NULL</t>
        </is>
      </c>
      <c r="D1925" s="0" t="inlineStr">
        <is>
          <t>NULL</t>
        </is>
      </c>
      <c r="E1925" s="0" t="inlineStr">
        <is>
          <t>NULL</t>
        </is>
      </c>
      <c r="F1925" s="0" t="inlineStr">
        <is>
          <t>NULL</t>
        </is>
      </c>
      <c r="G1925" s="0" t="inlineStr">
        <is>
          <t>NULL</t>
        </is>
      </c>
      <c r="H1925" s="0" t="inlineStr">
        <is>
          <t>NULL</t>
        </is>
      </c>
      <c r="I1925" s="0" t="inlineStr">
        <is>
          <t>NULL</t>
        </is>
      </c>
      <c r="J1925" s="0" t="inlineStr">
        <is>
          <t>NULL</t>
        </is>
      </c>
      <c r="K1925" s="0" t="inlineStr">
        <is>
          <t>YES! 	 c_geography列源备映射正确，源端为geography -1位	期望更改为geography	实际备端为geography -1位</t>
        </is>
      </c>
    </row>
    <row r="1926">
      <c r="A1926" s="0" t="inlineStr">
        <is>
          <t>info_geography_dml_single_nopk_urp</t>
        </is>
      </c>
      <c r="K1926" s="0" t="inlineStr">
        <is>
          <t>[0;34m info_geography_dml_single_nopk_urp [0m源备字段数相同，源端字段：2 	备端字段2</t>
        </is>
      </c>
      <c r="W1926" s="0" t="inlineStr">
        <is>
          <t>YES 源备无差异</t>
        </is>
      </c>
      <c r="X1926" s="0">
        <f>A1926</f>
        <v/>
      </c>
    </row>
    <row r="1927">
      <c r="B1927" s="0" t="inlineStr">
        <is>
          <t>NULL</t>
        </is>
      </c>
      <c r="C1927" s="0" t="inlineStr">
        <is>
          <t>NULL</t>
        </is>
      </c>
      <c r="D1927" s="0" t="inlineStr">
        <is>
          <t>NULL</t>
        </is>
      </c>
      <c r="E1927" s="0" t="inlineStr">
        <is>
          <t>NULL</t>
        </is>
      </c>
      <c r="F1927" s="0" t="inlineStr">
        <is>
          <t>NULL</t>
        </is>
      </c>
      <c r="G1927" s="0" t="inlineStr">
        <is>
          <t>NULL</t>
        </is>
      </c>
      <c r="H1927" s="0" t="inlineStr">
        <is>
          <t>NULL</t>
        </is>
      </c>
      <c r="I1927" s="0" t="inlineStr">
        <is>
          <t>NULL</t>
        </is>
      </c>
      <c r="J1927" s="0" t="inlineStr">
        <is>
          <t>NULL</t>
        </is>
      </c>
      <c r="K1927" s="0" t="inlineStr">
        <is>
          <t>YES! 	 id列源备映射正确，源端为int None位	期望更改为int	实际备端为int None位</t>
        </is>
      </c>
    </row>
    <row r="1928">
      <c r="B1928" s="0" t="inlineStr">
        <is>
          <t>NULL</t>
        </is>
      </c>
      <c r="C1928" s="0" t="inlineStr">
        <is>
          <t>NULL</t>
        </is>
      </c>
      <c r="D1928" s="0" t="inlineStr">
        <is>
          <t>NULL</t>
        </is>
      </c>
      <c r="E1928" s="0" t="inlineStr">
        <is>
          <t>NULL</t>
        </is>
      </c>
      <c r="F1928" s="0" t="inlineStr">
        <is>
          <t>NULL</t>
        </is>
      </c>
      <c r="G1928" s="0" t="inlineStr">
        <is>
          <t>NULL</t>
        </is>
      </c>
      <c r="H1928" s="0" t="inlineStr">
        <is>
          <t>NULL</t>
        </is>
      </c>
      <c r="I1928" s="0" t="inlineStr">
        <is>
          <t>NULL</t>
        </is>
      </c>
      <c r="J1928" s="0" t="inlineStr">
        <is>
          <t>NULL</t>
        </is>
      </c>
      <c r="K1928" s="0" t="inlineStr">
        <is>
          <t>YES! 	 c_geography列源备映射正确，源端为geography -1位	期望更改为geography	实际备端为geography -1位</t>
        </is>
      </c>
    </row>
    <row r="1929">
      <c r="A1929" s="0" t="inlineStr">
        <is>
          <t>info_geography_dml_single_nopk_drp</t>
        </is>
      </c>
      <c r="K1929" s="0" t="inlineStr">
        <is>
          <t>[0;34m info_geography_dml_single_nopk_drp [0m源备字段数相同，源端字段：2 	备端字段2</t>
        </is>
      </c>
      <c r="W1929" s="0" t="inlineStr">
        <is>
          <t>YES 源备无差异</t>
        </is>
      </c>
      <c r="X1929" s="0">
        <f>A1929</f>
        <v/>
      </c>
    </row>
    <row r="1930">
      <c r="B1930" s="0" t="inlineStr">
        <is>
          <t>NULL</t>
        </is>
      </c>
      <c r="C1930" s="0" t="inlineStr">
        <is>
          <t>NULL</t>
        </is>
      </c>
      <c r="D1930" s="0" t="inlineStr">
        <is>
          <t>NULL</t>
        </is>
      </c>
      <c r="E1930" s="0" t="inlineStr">
        <is>
          <t>NULL</t>
        </is>
      </c>
      <c r="F1930" s="0" t="inlineStr">
        <is>
          <t>NULL</t>
        </is>
      </c>
      <c r="G1930" s="0" t="inlineStr">
        <is>
          <t>NULL</t>
        </is>
      </c>
      <c r="H1930" s="0" t="inlineStr">
        <is>
          <t>NULL</t>
        </is>
      </c>
      <c r="I1930" s="0" t="inlineStr">
        <is>
          <t>NULL</t>
        </is>
      </c>
      <c r="J1930" s="0" t="inlineStr">
        <is>
          <t>NULL</t>
        </is>
      </c>
      <c r="K1930" s="0" t="inlineStr">
        <is>
          <t>YES! 	 id列源备映射正确，源端为int None位	期望更改为int	实际备端为int None位</t>
        </is>
      </c>
    </row>
    <row r="1931">
      <c r="B1931" s="0" t="inlineStr">
        <is>
          <t>NULL</t>
        </is>
      </c>
      <c r="C1931" s="0" t="inlineStr">
        <is>
          <t>NULL</t>
        </is>
      </c>
      <c r="D1931" s="0" t="inlineStr">
        <is>
          <t>NULL</t>
        </is>
      </c>
      <c r="E1931" s="0" t="inlineStr">
        <is>
          <t>NULL</t>
        </is>
      </c>
      <c r="F1931" s="0" t="inlineStr">
        <is>
          <t>NULL</t>
        </is>
      </c>
      <c r="G1931" s="0" t="inlineStr">
        <is>
          <t>NULL</t>
        </is>
      </c>
      <c r="H1931" s="0" t="inlineStr">
        <is>
          <t>NULL</t>
        </is>
      </c>
      <c r="I1931" s="0" t="inlineStr">
        <is>
          <t>NULL</t>
        </is>
      </c>
      <c r="J1931" s="0" t="inlineStr">
        <is>
          <t>NULL</t>
        </is>
      </c>
      <c r="K1931" s="0" t="inlineStr">
        <is>
          <t>YES! 	 c_geography列源备映射正确，源端为geography -1位	期望更改为geography	实际备端为geography -1位</t>
        </is>
      </c>
    </row>
    <row r="1932">
      <c r="A1932" s="0" t="inlineStr">
        <is>
          <t>info_binary_dml_batch1_pk_urp2</t>
        </is>
      </c>
      <c r="K1932" s="0" t="inlineStr">
        <is>
          <t>[0;34m info_binary_dml_batch1_pk_urp2 [0m源备字段数相同，源端字段：4 	备端字段4</t>
        </is>
      </c>
      <c r="W1932" s="0" t="inlineStr">
        <is>
          <t>YES 源备无差异</t>
        </is>
      </c>
      <c r="X1932" s="0">
        <f>A1932</f>
        <v/>
      </c>
    </row>
    <row r="1933">
      <c r="B1933" s="0" t="inlineStr">
        <is>
          <t>YES</t>
        </is>
      </c>
      <c r="C1933" s="0" t="inlineStr">
        <is>
          <t>NULL</t>
        </is>
      </c>
      <c r="D1933" s="0" t="inlineStr">
        <is>
          <t>NULL</t>
        </is>
      </c>
      <c r="E1933" s="0" t="inlineStr">
        <is>
          <t>NULL</t>
        </is>
      </c>
      <c r="F1933" s="0" t="inlineStr">
        <is>
          <t>NULL</t>
        </is>
      </c>
      <c r="G1933" s="0" t="inlineStr">
        <is>
          <t>NULL</t>
        </is>
      </c>
      <c r="H1933" s="0" t="inlineStr">
        <is>
          <t>NULL</t>
        </is>
      </c>
      <c r="I1933" s="0" t="inlineStr">
        <is>
          <t>YES!PK__info_bin__3213E83F2CFFDD81</t>
        </is>
      </c>
      <c r="J1933" s="0" t="inlineStr">
        <is>
          <t>YES! 主键相关索引</t>
        </is>
      </c>
      <c r="K1933" s="0" t="inlineStr">
        <is>
          <t>YES! 	 id列源备映射正确，源端为int None位	期望更改为int	实际备端为int None位</t>
        </is>
      </c>
    </row>
    <row r="1934">
      <c r="B1934" s="0" t="inlineStr">
        <is>
          <t>NULL</t>
        </is>
      </c>
      <c r="C1934" s="0" t="inlineStr">
        <is>
          <t>NULL</t>
        </is>
      </c>
      <c r="D1934" s="0" t="inlineStr">
        <is>
          <t>NULL</t>
        </is>
      </c>
      <c r="E1934" s="0" t="inlineStr">
        <is>
          <t>NULL</t>
        </is>
      </c>
      <c r="F1934" s="0" t="inlineStr">
        <is>
          <t>NULL</t>
        </is>
      </c>
      <c r="G1934" s="0" t="inlineStr">
        <is>
          <t>NULL</t>
        </is>
      </c>
      <c r="H1934" s="0" t="inlineStr">
        <is>
          <t>NULL</t>
        </is>
      </c>
      <c r="I1934" s="0" t="inlineStr">
        <is>
          <t>NULL</t>
        </is>
      </c>
      <c r="J1934" s="0" t="inlineStr">
        <is>
          <t>NULL</t>
        </is>
      </c>
      <c r="K1934" s="0" t="inlineStr">
        <is>
          <t>YES! 	 c_binary列源备映射正确，源端为binary 1位	期望更改为binary(n)	实际备端为binary 1位</t>
        </is>
      </c>
    </row>
    <row r="1935">
      <c r="B1935" s="0" t="inlineStr">
        <is>
          <t>NULL</t>
        </is>
      </c>
      <c r="C1935" s="0" t="inlineStr">
        <is>
          <t>NULL</t>
        </is>
      </c>
      <c r="D1935" s="0" t="inlineStr">
        <is>
          <t>NULL</t>
        </is>
      </c>
      <c r="E1935" s="0" t="inlineStr">
        <is>
          <t>NULL</t>
        </is>
      </c>
      <c r="F1935" s="0" t="inlineStr">
        <is>
          <t>NULL</t>
        </is>
      </c>
      <c r="G1935" s="0" t="inlineStr">
        <is>
          <t>NULL</t>
        </is>
      </c>
      <c r="H1935" s="0" t="inlineStr">
        <is>
          <t>NULL</t>
        </is>
      </c>
      <c r="I1935" s="0" t="inlineStr">
        <is>
          <t>NULL</t>
        </is>
      </c>
      <c r="J1935" s="0" t="inlineStr">
        <is>
          <t>NULL</t>
        </is>
      </c>
      <c r="K1935" s="0" t="inlineStr">
        <is>
          <t>YES! 	 c_binary_20列源备映射正确，源端为binary 20位	期望更改为binary(n)	实际备端为binary 20位</t>
        </is>
      </c>
    </row>
    <row r="1936">
      <c r="B1936" s="0" t="inlineStr">
        <is>
          <t>NULL</t>
        </is>
      </c>
      <c r="C1936" s="0" t="inlineStr">
        <is>
          <t>NULL</t>
        </is>
      </c>
      <c r="D1936" s="0" t="inlineStr">
        <is>
          <t>NULL</t>
        </is>
      </c>
      <c r="E1936" s="0" t="inlineStr">
        <is>
          <t>NULL</t>
        </is>
      </c>
      <c r="F1936" s="0" t="inlineStr">
        <is>
          <t>NULL</t>
        </is>
      </c>
      <c r="G1936" s="0" t="inlineStr">
        <is>
          <t>NULL</t>
        </is>
      </c>
      <c r="H1936" s="0" t="inlineStr">
        <is>
          <t>NULL</t>
        </is>
      </c>
      <c r="I1936" s="0" t="inlineStr">
        <is>
          <t>NULL</t>
        </is>
      </c>
      <c r="J1936" s="0" t="inlineStr">
        <is>
          <t>NULL</t>
        </is>
      </c>
      <c r="K1936" s="0" t="inlineStr">
        <is>
          <t>YES! 	 c_binary_8000列源备映射正确，源端为binary 8000位	期望更改为binary(n)	实际备端为binary 8000位</t>
        </is>
      </c>
    </row>
    <row r="1937">
      <c r="A1937" s="0" t="inlineStr">
        <is>
          <t>info_date_dml_batch1_pk_urp1</t>
        </is>
      </c>
      <c r="K1937" s="0" t="inlineStr">
        <is>
          <t>[0;34m info_date_dml_batch1_pk_urp1 [0m源备字段数相同，源端字段：2 	备端字段2</t>
        </is>
      </c>
      <c r="W1937" s="0" t="inlineStr">
        <is>
          <t>YES 源备无差异</t>
        </is>
      </c>
      <c r="X1937" s="0">
        <f>A1937</f>
        <v/>
      </c>
    </row>
    <row r="1938">
      <c r="B1938" s="0" t="inlineStr">
        <is>
          <t>YES</t>
        </is>
      </c>
      <c r="C1938" s="0" t="inlineStr">
        <is>
          <t>NULL</t>
        </is>
      </c>
      <c r="D1938" s="0" t="inlineStr">
        <is>
          <t>NULL</t>
        </is>
      </c>
      <c r="E1938" s="0" t="inlineStr">
        <is>
          <t>NULL</t>
        </is>
      </c>
      <c r="F1938" s="0" t="inlineStr">
        <is>
          <t>NULL</t>
        </is>
      </c>
      <c r="G1938" s="0" t="inlineStr">
        <is>
          <t>NULL</t>
        </is>
      </c>
      <c r="H1938" s="0" t="inlineStr">
        <is>
          <t>NULL</t>
        </is>
      </c>
      <c r="I1938" s="0" t="inlineStr">
        <is>
          <t>YES!PK__info_dat__3213E83F255EEA90</t>
        </is>
      </c>
      <c r="J1938" s="0" t="inlineStr">
        <is>
          <t>YES! 主键相关索引</t>
        </is>
      </c>
      <c r="K1938" s="0" t="inlineStr">
        <is>
          <t>YES! 	 id列源备映射正确，源端为int None位	期望更改为int	实际备端为int None位</t>
        </is>
      </c>
    </row>
    <row r="1939">
      <c r="B1939" s="0" t="inlineStr">
        <is>
          <t>NULL</t>
        </is>
      </c>
      <c r="C1939" s="0" t="inlineStr">
        <is>
          <t>NULL</t>
        </is>
      </c>
      <c r="D1939" s="0" t="inlineStr">
        <is>
          <t>NULL</t>
        </is>
      </c>
      <c r="E1939" s="0" t="inlineStr">
        <is>
          <t>NULL</t>
        </is>
      </c>
      <c r="F1939" s="0" t="inlineStr">
        <is>
          <t>NULL</t>
        </is>
      </c>
      <c r="G1939" s="0" t="inlineStr">
        <is>
          <t>NULL</t>
        </is>
      </c>
      <c r="H1939" s="0" t="inlineStr">
        <is>
          <t>NULL</t>
        </is>
      </c>
      <c r="I1939" s="0" t="inlineStr">
        <is>
          <t>NULL</t>
        </is>
      </c>
      <c r="J1939" s="0" t="inlineStr">
        <is>
          <t>NULL</t>
        </is>
      </c>
      <c r="K1939" s="0" t="inlineStr">
        <is>
          <t>YES! 	 c_date列源备映射正确，源端为date None位	期望更改为date	实际备端为date None位</t>
        </is>
      </c>
    </row>
    <row r="1940">
      <c r="A1940" s="0" t="inlineStr">
        <is>
          <t>info_binary_dml_batch1_pk_drp1</t>
        </is>
      </c>
      <c r="K1940" s="0" t="inlineStr">
        <is>
          <t>[0;34m info_binary_dml_batch1_pk_drp1 [0m源备字段数相同，源端字段：4 	备端字段4</t>
        </is>
      </c>
      <c r="W1940" s="0" t="inlineStr">
        <is>
          <t>YES 源备无差异</t>
        </is>
      </c>
      <c r="X1940" s="0">
        <f>A1940</f>
        <v/>
      </c>
    </row>
    <row r="1941">
      <c r="B1941" s="0" t="inlineStr">
        <is>
          <t>YES</t>
        </is>
      </c>
      <c r="C1941" s="0" t="inlineStr">
        <is>
          <t>NULL</t>
        </is>
      </c>
      <c r="D1941" s="0" t="inlineStr">
        <is>
          <t>NULL</t>
        </is>
      </c>
      <c r="E1941" s="0" t="inlineStr">
        <is>
          <t>NULL</t>
        </is>
      </c>
      <c r="F1941" s="0" t="inlineStr">
        <is>
          <t>NULL</t>
        </is>
      </c>
      <c r="G1941" s="0" t="inlineStr">
        <is>
          <t>NULL</t>
        </is>
      </c>
      <c r="H1941" s="0" t="inlineStr">
        <is>
          <t>NULL</t>
        </is>
      </c>
      <c r="I1941" s="0" t="inlineStr">
        <is>
          <t>YES!PK__info_bin__3213E83F4B9A4F56</t>
        </is>
      </c>
      <c r="J1941" s="0" t="inlineStr">
        <is>
          <t>YES! 主键相关索引</t>
        </is>
      </c>
      <c r="K1941" s="0" t="inlineStr">
        <is>
          <t>YES! 	 id列源备映射正确，源端为int None位	期望更改为int	实际备端为int None位</t>
        </is>
      </c>
    </row>
    <row r="1942">
      <c r="B1942" s="0" t="inlineStr">
        <is>
          <t>NULL</t>
        </is>
      </c>
      <c r="C1942" s="0" t="inlineStr">
        <is>
          <t>NULL</t>
        </is>
      </c>
      <c r="D1942" s="0" t="inlineStr">
        <is>
          <t>NULL</t>
        </is>
      </c>
      <c r="E1942" s="0" t="inlineStr">
        <is>
          <t>NULL</t>
        </is>
      </c>
      <c r="F1942" s="0" t="inlineStr">
        <is>
          <t>NULL</t>
        </is>
      </c>
      <c r="G1942" s="0" t="inlineStr">
        <is>
          <t>NULL</t>
        </is>
      </c>
      <c r="H1942" s="0" t="inlineStr">
        <is>
          <t>NULL</t>
        </is>
      </c>
      <c r="I1942" s="0" t="inlineStr">
        <is>
          <t>NULL</t>
        </is>
      </c>
      <c r="J1942" s="0" t="inlineStr">
        <is>
          <t>NULL</t>
        </is>
      </c>
      <c r="K1942" s="0" t="inlineStr">
        <is>
          <t>YES! 	 c_binary列源备映射正确，源端为binary 1位	期望更改为binary(n)	实际备端为binary 1位</t>
        </is>
      </c>
    </row>
    <row r="1943">
      <c r="B1943" s="0" t="inlineStr">
        <is>
          <t>NULL</t>
        </is>
      </c>
      <c r="C1943" s="0" t="inlineStr">
        <is>
          <t>NULL</t>
        </is>
      </c>
      <c r="D1943" s="0" t="inlineStr">
        <is>
          <t>NULL</t>
        </is>
      </c>
      <c r="E1943" s="0" t="inlineStr">
        <is>
          <t>NULL</t>
        </is>
      </c>
      <c r="F1943" s="0" t="inlineStr">
        <is>
          <t>NULL</t>
        </is>
      </c>
      <c r="G1943" s="0" t="inlineStr">
        <is>
          <t>NULL</t>
        </is>
      </c>
      <c r="H1943" s="0" t="inlineStr">
        <is>
          <t>NULL</t>
        </is>
      </c>
      <c r="I1943" s="0" t="inlineStr">
        <is>
          <t>NULL</t>
        </is>
      </c>
      <c r="J1943" s="0" t="inlineStr">
        <is>
          <t>NULL</t>
        </is>
      </c>
      <c r="K1943" s="0" t="inlineStr">
        <is>
          <t>YES! 	 c_binary_20列源备映射正确，源端为binary 20位	期望更改为binary(n)	实际备端为binary 20位</t>
        </is>
      </c>
    </row>
    <row r="1944">
      <c r="B1944" s="0" t="inlineStr">
        <is>
          <t>NULL</t>
        </is>
      </c>
      <c r="C1944" s="0" t="inlineStr">
        <is>
          <t>NULL</t>
        </is>
      </c>
      <c r="D1944" s="0" t="inlineStr">
        <is>
          <t>NULL</t>
        </is>
      </c>
      <c r="E1944" s="0" t="inlineStr">
        <is>
          <t>NULL</t>
        </is>
      </c>
      <c r="F1944" s="0" t="inlineStr">
        <is>
          <t>NULL</t>
        </is>
      </c>
      <c r="G1944" s="0" t="inlineStr">
        <is>
          <t>NULL</t>
        </is>
      </c>
      <c r="H1944" s="0" t="inlineStr">
        <is>
          <t>NULL</t>
        </is>
      </c>
      <c r="I1944" s="0" t="inlineStr">
        <is>
          <t>NULL</t>
        </is>
      </c>
      <c r="J1944" s="0" t="inlineStr">
        <is>
          <t>NULL</t>
        </is>
      </c>
      <c r="K1944" s="0" t="inlineStr">
        <is>
          <t>YES! 	 c_binary_8000列源备映射正确，源端为binary 8000位	期望更改为binary(n)	实际备端为binary 8000位</t>
        </is>
      </c>
    </row>
    <row r="1945">
      <c r="K1945" s="0" t="inlineStr">
        <is>
          <t>~ 空表</t>
        </is>
      </c>
    </row>
    <row r="1946">
      <c r="A1946" s="0" t="inlineStr">
        <is>
          <t>info_geography_dml_single_nopk</t>
        </is>
      </c>
      <c r="K1946" s="0" t="inlineStr">
        <is>
          <t>[0;34m info_geography_dml_single_nopk [0m源备字段数相同，源端字段：2 	备端字段2</t>
        </is>
      </c>
      <c r="W1946" s="0" t="inlineStr">
        <is>
          <t>YES 源备无差异</t>
        </is>
      </c>
      <c r="X1946" s="0">
        <f>A1946</f>
        <v/>
      </c>
    </row>
    <row r="1947">
      <c r="B1947" s="0" t="inlineStr">
        <is>
          <t>NULL</t>
        </is>
      </c>
      <c r="C1947" s="0" t="inlineStr">
        <is>
          <t>NULL</t>
        </is>
      </c>
      <c r="D1947" s="0" t="inlineStr">
        <is>
          <t>NULL</t>
        </is>
      </c>
      <c r="E1947" s="0" t="inlineStr">
        <is>
          <t>NULL</t>
        </is>
      </c>
      <c r="F1947" s="0" t="inlineStr">
        <is>
          <t>NULL</t>
        </is>
      </c>
      <c r="G1947" s="0" t="inlineStr">
        <is>
          <t>NULL</t>
        </is>
      </c>
      <c r="H1947" s="0" t="inlineStr">
        <is>
          <t>NULL</t>
        </is>
      </c>
      <c r="I1947" s="0" t="inlineStr">
        <is>
          <t>NULL</t>
        </is>
      </c>
      <c r="J1947" s="0" t="inlineStr">
        <is>
          <t>NULL</t>
        </is>
      </c>
      <c r="K1947" s="0" t="inlineStr">
        <is>
          <t>YES! 	 id列源备映射正确，源端为int None位	期望更改为int	实际备端为int None位</t>
        </is>
      </c>
    </row>
    <row r="1948">
      <c r="B1948" s="0" t="inlineStr">
        <is>
          <t>NULL</t>
        </is>
      </c>
      <c r="C1948" s="0" t="inlineStr">
        <is>
          <t>NULL</t>
        </is>
      </c>
      <c r="D1948" s="0" t="inlineStr">
        <is>
          <t>NULL</t>
        </is>
      </c>
      <c r="E1948" s="0" t="inlineStr">
        <is>
          <t>NULL</t>
        </is>
      </c>
      <c r="F1948" s="0" t="inlineStr">
        <is>
          <t>NULL</t>
        </is>
      </c>
      <c r="G1948" s="0" t="inlineStr">
        <is>
          <t>NULL</t>
        </is>
      </c>
      <c r="H1948" s="0" t="inlineStr">
        <is>
          <t>NULL</t>
        </is>
      </c>
      <c r="I1948" s="0" t="inlineStr">
        <is>
          <t>NULL</t>
        </is>
      </c>
      <c r="J1948" s="0" t="inlineStr">
        <is>
          <t>NULL</t>
        </is>
      </c>
      <c r="K1948" s="0" t="inlineStr">
        <is>
          <t>YES! 	 c_geography列源备映射正确，源端为geography -1位	期望更改为geography	实际备端为geography -1位</t>
        </is>
      </c>
    </row>
    <row r="1949">
      <c r="A1949" s="0" t="inlineStr">
        <is>
          <t>info_geometry_dml_single_nopk_irp</t>
        </is>
      </c>
      <c r="K1949" s="0" t="inlineStr">
        <is>
          <t>[0;34m info_geometry_dml_single_nopk_irp [0m源备字段数相同，源端字段：2 	备端字段2</t>
        </is>
      </c>
      <c r="W1949" s="0" t="inlineStr">
        <is>
          <t>YES 源备无差异</t>
        </is>
      </c>
      <c r="X1949" s="0">
        <f>A1949</f>
        <v/>
      </c>
    </row>
    <row r="1950">
      <c r="B1950" s="0" t="inlineStr">
        <is>
          <t>NULL</t>
        </is>
      </c>
      <c r="C1950" s="0" t="inlineStr">
        <is>
          <t>NULL</t>
        </is>
      </c>
      <c r="D1950" s="0" t="inlineStr">
        <is>
          <t>NULL</t>
        </is>
      </c>
      <c r="E1950" s="0" t="inlineStr">
        <is>
          <t>NULL</t>
        </is>
      </c>
      <c r="F1950" s="0" t="inlineStr">
        <is>
          <t>NULL</t>
        </is>
      </c>
      <c r="G1950" s="0" t="inlineStr">
        <is>
          <t>NULL</t>
        </is>
      </c>
      <c r="H1950" s="0" t="inlineStr">
        <is>
          <t>NULL</t>
        </is>
      </c>
      <c r="I1950" s="0" t="inlineStr">
        <is>
          <t>NULL</t>
        </is>
      </c>
      <c r="J1950" s="0" t="inlineStr">
        <is>
          <t>NULL</t>
        </is>
      </c>
      <c r="K1950" s="0" t="inlineStr">
        <is>
          <t>YES! 	 id列源备映射正确，源端为int None位	期望更改为int	实际备端为int None位</t>
        </is>
      </c>
    </row>
    <row r="1951">
      <c r="B1951" s="0" t="inlineStr">
        <is>
          <t>NULL</t>
        </is>
      </c>
      <c r="C1951" s="0" t="inlineStr">
        <is>
          <t>NULL</t>
        </is>
      </c>
      <c r="D1951" s="0" t="inlineStr">
        <is>
          <t>NULL</t>
        </is>
      </c>
      <c r="E1951" s="0" t="inlineStr">
        <is>
          <t>NULL</t>
        </is>
      </c>
      <c r="F1951" s="0" t="inlineStr">
        <is>
          <t>NULL</t>
        </is>
      </c>
      <c r="G1951" s="0" t="inlineStr">
        <is>
          <t>NULL</t>
        </is>
      </c>
      <c r="H1951" s="0" t="inlineStr">
        <is>
          <t>NULL</t>
        </is>
      </c>
      <c r="I1951" s="0" t="inlineStr">
        <is>
          <t>NULL</t>
        </is>
      </c>
      <c r="J1951" s="0" t="inlineStr">
        <is>
          <t>NULL</t>
        </is>
      </c>
      <c r="K1951" s="0" t="inlineStr">
        <is>
          <t>YES! 	 c_geometry列源备映射正确，源端为geometry -1位	期望更改为geometry	实际备端为geometry -1位</t>
        </is>
      </c>
    </row>
    <row r="1952">
      <c r="A1952" s="0" t="inlineStr">
        <is>
          <t>info_geography_dml_single_pk_irp</t>
        </is>
      </c>
      <c r="K1952" s="0" t="inlineStr">
        <is>
          <t>[0;34m info_geography_dml_single_pk_irp [0m源备字段数相同，源端字段：2 	备端字段2</t>
        </is>
      </c>
      <c r="W1952" s="0" t="inlineStr">
        <is>
          <t>YES 源备无差异</t>
        </is>
      </c>
      <c r="X1952" s="0">
        <f>A1952</f>
        <v/>
      </c>
    </row>
    <row r="1953">
      <c r="B1953" s="0" t="inlineStr">
        <is>
          <t>YES</t>
        </is>
      </c>
      <c r="C1953" s="0" t="inlineStr">
        <is>
          <t>NULL</t>
        </is>
      </c>
      <c r="D1953" s="0" t="inlineStr">
        <is>
          <t>NULL</t>
        </is>
      </c>
      <c r="E1953" s="0" t="inlineStr">
        <is>
          <t>NULL</t>
        </is>
      </c>
      <c r="F1953" s="0" t="inlineStr">
        <is>
          <t>NULL</t>
        </is>
      </c>
      <c r="G1953" s="0" t="inlineStr">
        <is>
          <t>NULL</t>
        </is>
      </c>
      <c r="H1953" s="0" t="inlineStr">
        <is>
          <t>NULL</t>
        </is>
      </c>
      <c r="I1953" s="0" t="inlineStr">
        <is>
          <t>YES!PK__info_geo__3213E83F168AB9E6</t>
        </is>
      </c>
      <c r="J1953" s="0" t="inlineStr">
        <is>
          <t>YES! 主键相关索引</t>
        </is>
      </c>
      <c r="K1953" s="0" t="inlineStr">
        <is>
          <t>YES! 	 id列源备映射正确，源端为int None位	期望更改为int	实际备端为int None位</t>
        </is>
      </c>
    </row>
    <row r="1954">
      <c r="B1954" s="0" t="inlineStr">
        <is>
          <t>NULL</t>
        </is>
      </c>
      <c r="C1954" s="0" t="inlineStr">
        <is>
          <t>NULL</t>
        </is>
      </c>
      <c r="D1954" s="0" t="inlineStr">
        <is>
          <t>NULL</t>
        </is>
      </c>
      <c r="E1954" s="0" t="inlineStr">
        <is>
          <t>NULL</t>
        </is>
      </c>
      <c r="F1954" s="0" t="inlineStr">
        <is>
          <t>NULL</t>
        </is>
      </c>
      <c r="G1954" s="0" t="inlineStr">
        <is>
          <t>NULL</t>
        </is>
      </c>
      <c r="H1954" s="0" t="inlineStr">
        <is>
          <t>NULL</t>
        </is>
      </c>
      <c r="I1954" s="0" t="inlineStr">
        <is>
          <t>NULL</t>
        </is>
      </c>
      <c r="J1954" s="0" t="inlineStr">
        <is>
          <t>NULL</t>
        </is>
      </c>
      <c r="K1954" s="0" t="inlineStr">
        <is>
          <t>YES! 	 c_geography列源备映射正确，源端为geography -1位	期望更改为geography	实际备端为geography -1位</t>
        </is>
      </c>
    </row>
    <row r="1955">
      <c r="A1955" s="0" t="inlineStr">
        <is>
          <t>info_date_dml_batch1_pk_urp2</t>
        </is>
      </c>
      <c r="K1955" s="0" t="inlineStr">
        <is>
          <t>[0;34m info_date_dml_batch1_pk_urp2 [0m源备字段数相同，源端字段：2 	备端字段2</t>
        </is>
      </c>
      <c r="W1955" s="0" t="inlineStr">
        <is>
          <t>YES 源备无差异</t>
        </is>
      </c>
      <c r="X1955" s="0">
        <f>A1955</f>
        <v/>
      </c>
    </row>
    <row r="1956">
      <c r="B1956" s="0" t="inlineStr">
        <is>
          <t>YES</t>
        </is>
      </c>
      <c r="C1956" s="0" t="inlineStr">
        <is>
          <t>NULL</t>
        </is>
      </c>
      <c r="D1956" s="0" t="inlineStr">
        <is>
          <t>NULL</t>
        </is>
      </c>
      <c r="E1956" s="0" t="inlineStr">
        <is>
          <t>NULL</t>
        </is>
      </c>
      <c r="F1956" s="0" t="inlineStr">
        <is>
          <t>NULL</t>
        </is>
      </c>
      <c r="G1956" s="0" t="inlineStr">
        <is>
          <t>NULL</t>
        </is>
      </c>
      <c r="H1956" s="0" t="inlineStr">
        <is>
          <t>NULL</t>
        </is>
      </c>
      <c r="I1956" s="0" t="inlineStr">
        <is>
          <t>YES!PK__info_dat__3213E83FC684ACA3</t>
        </is>
      </c>
      <c r="J1956" s="0" t="inlineStr">
        <is>
          <t>YES! 主键相关索引</t>
        </is>
      </c>
      <c r="K1956" s="0" t="inlineStr">
        <is>
          <t>YES! 	 id列源备映射正确，源端为int None位	期望更改为int	实际备端为int None位</t>
        </is>
      </c>
    </row>
    <row r="1957">
      <c r="B1957" s="0" t="inlineStr">
        <is>
          <t>NULL</t>
        </is>
      </c>
      <c r="C1957" s="0" t="inlineStr">
        <is>
          <t>NULL</t>
        </is>
      </c>
      <c r="D1957" s="0" t="inlineStr">
        <is>
          <t>NULL</t>
        </is>
      </c>
      <c r="E1957" s="0" t="inlineStr">
        <is>
          <t>NULL</t>
        </is>
      </c>
      <c r="F1957" s="0" t="inlineStr">
        <is>
          <t>NULL</t>
        </is>
      </c>
      <c r="G1957" s="0" t="inlineStr">
        <is>
          <t>NULL</t>
        </is>
      </c>
      <c r="H1957" s="0" t="inlineStr">
        <is>
          <t>NULL</t>
        </is>
      </c>
      <c r="I1957" s="0" t="inlineStr">
        <is>
          <t>NULL</t>
        </is>
      </c>
      <c r="J1957" s="0" t="inlineStr">
        <is>
          <t>NULL</t>
        </is>
      </c>
      <c r="K1957" s="0" t="inlineStr">
        <is>
          <t>YES! 	 c_date列源备映射正确，源端为date None位	期望更改为date	实际备端为date None位</t>
        </is>
      </c>
    </row>
    <row r="1958">
      <c r="A1958" s="0" t="inlineStr">
        <is>
          <t>info_geometry_dml_single_nopk_urp</t>
        </is>
      </c>
      <c r="K1958" s="0" t="inlineStr">
        <is>
          <t>[0;34m info_geometry_dml_single_nopk_urp [0m源备字段数相同，源端字段：2 	备端字段2</t>
        </is>
      </c>
      <c r="W1958" s="0" t="inlineStr">
        <is>
          <t>YES 源备无差异</t>
        </is>
      </c>
      <c r="X1958" s="0">
        <f>A1958</f>
        <v/>
      </c>
    </row>
    <row r="1959">
      <c r="B1959" s="0" t="inlineStr">
        <is>
          <t>NULL</t>
        </is>
      </c>
      <c r="C1959" s="0" t="inlineStr">
        <is>
          <t>NULL</t>
        </is>
      </c>
      <c r="D1959" s="0" t="inlineStr">
        <is>
          <t>NULL</t>
        </is>
      </c>
      <c r="E1959" s="0" t="inlineStr">
        <is>
          <t>NULL</t>
        </is>
      </c>
      <c r="F1959" s="0" t="inlineStr">
        <is>
          <t>NULL</t>
        </is>
      </c>
      <c r="G1959" s="0" t="inlineStr">
        <is>
          <t>NULL</t>
        </is>
      </c>
      <c r="H1959" s="0" t="inlineStr">
        <is>
          <t>NULL</t>
        </is>
      </c>
      <c r="I1959" s="0" t="inlineStr">
        <is>
          <t>NULL</t>
        </is>
      </c>
      <c r="J1959" s="0" t="inlineStr">
        <is>
          <t>NULL</t>
        </is>
      </c>
      <c r="K1959" s="0" t="inlineStr">
        <is>
          <t>YES! 	 id列源备映射正确，源端为int None位	期望更改为int	实际备端为int None位</t>
        </is>
      </c>
    </row>
    <row r="1960">
      <c r="B1960" s="0" t="inlineStr">
        <is>
          <t>NULL</t>
        </is>
      </c>
      <c r="C1960" s="0" t="inlineStr">
        <is>
          <t>NULL</t>
        </is>
      </c>
      <c r="D1960" s="0" t="inlineStr">
        <is>
          <t>NULL</t>
        </is>
      </c>
      <c r="E1960" s="0" t="inlineStr">
        <is>
          <t>NULL</t>
        </is>
      </c>
      <c r="F1960" s="0" t="inlineStr">
        <is>
          <t>NULL</t>
        </is>
      </c>
      <c r="G1960" s="0" t="inlineStr">
        <is>
          <t>NULL</t>
        </is>
      </c>
      <c r="H1960" s="0" t="inlineStr">
        <is>
          <t>NULL</t>
        </is>
      </c>
      <c r="I1960" s="0" t="inlineStr">
        <is>
          <t>NULL</t>
        </is>
      </c>
      <c r="J1960" s="0" t="inlineStr">
        <is>
          <t>NULL</t>
        </is>
      </c>
      <c r="K1960" s="0" t="inlineStr">
        <is>
          <t>YES! 	 c_geometry列源备映射正确，源端为geometry -1位	期望更改为geometry	实际备端为geometry -1位</t>
        </is>
      </c>
    </row>
    <row r="1961">
      <c r="A1961" s="0" t="inlineStr">
        <is>
          <t>info_binary_dml_batch1_pk_drp2</t>
        </is>
      </c>
      <c r="K1961" s="0" t="inlineStr">
        <is>
          <t>[0;34m info_binary_dml_batch1_pk_drp2 [0m源备字段数相同，源端字段：4 	备端字段4</t>
        </is>
      </c>
      <c r="W1961" s="0" t="inlineStr">
        <is>
          <t>YES 源备无差异</t>
        </is>
      </c>
      <c r="X1961" s="0">
        <f>A1961</f>
        <v/>
      </c>
    </row>
    <row r="1962">
      <c r="B1962" s="0" t="inlineStr">
        <is>
          <t>YES</t>
        </is>
      </c>
      <c r="C1962" s="0" t="inlineStr">
        <is>
          <t>NULL</t>
        </is>
      </c>
      <c r="D1962" s="0" t="inlineStr">
        <is>
          <t>NULL</t>
        </is>
      </c>
      <c r="E1962" s="0" t="inlineStr">
        <is>
          <t>NULL</t>
        </is>
      </c>
      <c r="F1962" s="0" t="inlineStr">
        <is>
          <t>NULL</t>
        </is>
      </c>
      <c r="G1962" s="0" t="inlineStr">
        <is>
          <t>NULL</t>
        </is>
      </c>
      <c r="H1962" s="0" t="inlineStr">
        <is>
          <t>NULL</t>
        </is>
      </c>
      <c r="I1962" s="0" t="inlineStr">
        <is>
          <t>YES!PK__info_bin__3213E83F14AE18E3</t>
        </is>
      </c>
      <c r="J1962" s="0" t="inlineStr">
        <is>
          <t>YES! 主键相关索引</t>
        </is>
      </c>
      <c r="K1962" s="0" t="inlineStr">
        <is>
          <t>YES! 	 id列源备映射正确，源端为int None位	期望更改为int	实际备端为int None位</t>
        </is>
      </c>
    </row>
    <row r="1963">
      <c r="B1963" s="0" t="inlineStr">
        <is>
          <t>NULL</t>
        </is>
      </c>
      <c r="C1963" s="0" t="inlineStr">
        <is>
          <t>NULL</t>
        </is>
      </c>
      <c r="D1963" s="0" t="inlineStr">
        <is>
          <t>NULL</t>
        </is>
      </c>
      <c r="E1963" s="0" t="inlineStr">
        <is>
          <t>NULL</t>
        </is>
      </c>
      <c r="F1963" s="0" t="inlineStr">
        <is>
          <t>NULL</t>
        </is>
      </c>
      <c r="G1963" s="0" t="inlineStr">
        <is>
          <t>NULL</t>
        </is>
      </c>
      <c r="H1963" s="0" t="inlineStr">
        <is>
          <t>NULL</t>
        </is>
      </c>
      <c r="I1963" s="0" t="inlineStr">
        <is>
          <t>NULL</t>
        </is>
      </c>
      <c r="J1963" s="0" t="inlineStr">
        <is>
          <t>NULL</t>
        </is>
      </c>
      <c r="K1963" s="0" t="inlineStr">
        <is>
          <t>YES! 	 c_binary列源备映射正确，源端为binary 1位	期望更改为binary(n)	实际备端为binary 1位</t>
        </is>
      </c>
    </row>
    <row r="1964">
      <c r="B1964" s="0" t="inlineStr">
        <is>
          <t>NULL</t>
        </is>
      </c>
      <c r="C1964" s="0" t="inlineStr">
        <is>
          <t>NULL</t>
        </is>
      </c>
      <c r="D1964" s="0" t="inlineStr">
        <is>
          <t>NULL</t>
        </is>
      </c>
      <c r="E1964" s="0" t="inlineStr">
        <is>
          <t>NULL</t>
        </is>
      </c>
      <c r="F1964" s="0" t="inlineStr">
        <is>
          <t>NULL</t>
        </is>
      </c>
      <c r="G1964" s="0" t="inlineStr">
        <is>
          <t>NULL</t>
        </is>
      </c>
      <c r="H1964" s="0" t="inlineStr">
        <is>
          <t>NULL</t>
        </is>
      </c>
      <c r="I1964" s="0" t="inlineStr">
        <is>
          <t>NULL</t>
        </is>
      </c>
      <c r="J1964" s="0" t="inlineStr">
        <is>
          <t>NULL</t>
        </is>
      </c>
      <c r="K1964" s="0" t="inlineStr">
        <is>
          <t>YES! 	 c_binary_20列源备映射正确，源端为binary 20位	期望更改为binary(n)	实际备端为binary 20位</t>
        </is>
      </c>
    </row>
    <row r="1965">
      <c r="B1965" s="0" t="inlineStr">
        <is>
          <t>NULL</t>
        </is>
      </c>
      <c r="C1965" s="0" t="inlineStr">
        <is>
          <t>NULL</t>
        </is>
      </c>
      <c r="D1965" s="0" t="inlineStr">
        <is>
          <t>NULL</t>
        </is>
      </c>
      <c r="E1965" s="0" t="inlineStr">
        <is>
          <t>NULL</t>
        </is>
      </c>
      <c r="F1965" s="0" t="inlineStr">
        <is>
          <t>NULL</t>
        </is>
      </c>
      <c r="G1965" s="0" t="inlineStr">
        <is>
          <t>NULL</t>
        </is>
      </c>
      <c r="H1965" s="0" t="inlineStr">
        <is>
          <t>NULL</t>
        </is>
      </c>
      <c r="I1965" s="0" t="inlineStr">
        <is>
          <t>NULL</t>
        </is>
      </c>
      <c r="J1965" s="0" t="inlineStr">
        <is>
          <t>NULL</t>
        </is>
      </c>
      <c r="K1965" s="0" t="inlineStr">
        <is>
          <t>YES! 	 c_binary_8000列源备映射正确，源端为binary 8000位	期望更改为binary(n)	实际备端为binary 8000位</t>
        </is>
      </c>
    </row>
    <row r="1966">
      <c r="A1966" s="0" t="inlineStr">
        <is>
          <t>info_geometry_dml_single_nopk_drp</t>
        </is>
      </c>
      <c r="K1966" s="0" t="inlineStr">
        <is>
          <t>[0;34m info_geometry_dml_single_nopk_drp [0m源备字段数相同，源端字段：2 	备端字段2</t>
        </is>
      </c>
      <c r="W1966" s="0" t="inlineStr">
        <is>
          <t>YES 源备无差异</t>
        </is>
      </c>
      <c r="X1966" s="0">
        <f>A1966</f>
        <v/>
      </c>
    </row>
    <row r="1967">
      <c r="B1967" s="0" t="inlineStr">
        <is>
          <t>NULL</t>
        </is>
      </c>
      <c r="C1967" s="0" t="inlineStr">
        <is>
          <t>NULL</t>
        </is>
      </c>
      <c r="D1967" s="0" t="inlineStr">
        <is>
          <t>NULL</t>
        </is>
      </c>
      <c r="E1967" s="0" t="inlineStr">
        <is>
          <t>NULL</t>
        </is>
      </c>
      <c r="F1967" s="0" t="inlineStr">
        <is>
          <t>NULL</t>
        </is>
      </c>
      <c r="G1967" s="0" t="inlineStr">
        <is>
          <t>NULL</t>
        </is>
      </c>
      <c r="H1967" s="0" t="inlineStr">
        <is>
          <t>NULL</t>
        </is>
      </c>
      <c r="I1967" s="0" t="inlineStr">
        <is>
          <t>NULL</t>
        </is>
      </c>
      <c r="J1967" s="0" t="inlineStr">
        <is>
          <t>NULL</t>
        </is>
      </c>
      <c r="K1967" s="0" t="inlineStr">
        <is>
          <t>YES! 	 id列源备映射正确，源端为int None位	期望更改为int	实际备端为int None位</t>
        </is>
      </c>
    </row>
    <row r="1968">
      <c r="B1968" s="0" t="inlineStr">
        <is>
          <t>NULL</t>
        </is>
      </c>
      <c r="C1968" s="0" t="inlineStr">
        <is>
          <t>NULL</t>
        </is>
      </c>
      <c r="D1968" s="0" t="inlineStr">
        <is>
          <t>NULL</t>
        </is>
      </c>
      <c r="E1968" s="0" t="inlineStr">
        <is>
          <t>NULL</t>
        </is>
      </c>
      <c r="F1968" s="0" t="inlineStr">
        <is>
          <t>NULL</t>
        </is>
      </c>
      <c r="G1968" s="0" t="inlineStr">
        <is>
          <t>NULL</t>
        </is>
      </c>
      <c r="H1968" s="0" t="inlineStr">
        <is>
          <t>NULL</t>
        </is>
      </c>
      <c r="I1968" s="0" t="inlineStr">
        <is>
          <t>NULL</t>
        </is>
      </c>
      <c r="J1968" s="0" t="inlineStr">
        <is>
          <t>NULL</t>
        </is>
      </c>
      <c r="K1968" s="0" t="inlineStr">
        <is>
          <t>YES! 	 c_geometry列源备映射正确，源端为geometry -1位	期望更改为geometry	实际备端为geometry -1位</t>
        </is>
      </c>
    </row>
    <row r="1969">
      <c r="A1969" s="0" t="inlineStr">
        <is>
          <t>info_geography_dml_single_pk_urp</t>
        </is>
      </c>
      <c r="K1969" s="0" t="inlineStr">
        <is>
          <t>[0;34m info_geography_dml_single_pk_urp [0m源备字段数相同，源端字段：2 	备端字段2</t>
        </is>
      </c>
      <c r="W1969" s="0" t="inlineStr">
        <is>
          <t>YES 源备无差异</t>
        </is>
      </c>
      <c r="X1969" s="0">
        <f>A1969</f>
        <v/>
      </c>
    </row>
    <row r="1970">
      <c r="B1970" s="0" t="inlineStr">
        <is>
          <t>YES</t>
        </is>
      </c>
      <c r="C1970" s="0" t="inlineStr">
        <is>
          <t>NULL</t>
        </is>
      </c>
      <c r="D1970" s="0" t="inlineStr">
        <is>
          <t>NULL</t>
        </is>
      </c>
      <c r="E1970" s="0" t="inlineStr">
        <is>
          <t>NULL</t>
        </is>
      </c>
      <c r="F1970" s="0" t="inlineStr">
        <is>
          <t>NULL</t>
        </is>
      </c>
      <c r="G1970" s="0" t="inlineStr">
        <is>
          <t>NULL</t>
        </is>
      </c>
      <c r="H1970" s="0" t="inlineStr">
        <is>
          <t>NULL</t>
        </is>
      </c>
      <c r="I1970" s="0" t="inlineStr">
        <is>
          <t>YES!PK__info_geo__3213E83F016608C5</t>
        </is>
      </c>
      <c r="J1970" s="0" t="inlineStr">
        <is>
          <t>YES! 主键相关索引</t>
        </is>
      </c>
      <c r="K1970" s="0" t="inlineStr">
        <is>
          <t>YES! 	 id列源备映射正确，源端为int None位	期望更改为int	实际备端为int None位</t>
        </is>
      </c>
    </row>
    <row r="1971">
      <c r="B1971" s="0" t="inlineStr">
        <is>
          <t>NULL</t>
        </is>
      </c>
      <c r="C1971" s="0" t="inlineStr">
        <is>
          <t>NULL</t>
        </is>
      </c>
      <c r="D1971" s="0" t="inlineStr">
        <is>
          <t>NULL</t>
        </is>
      </c>
      <c r="E1971" s="0" t="inlineStr">
        <is>
          <t>NULL</t>
        </is>
      </c>
      <c r="F1971" s="0" t="inlineStr">
        <is>
          <t>NULL</t>
        </is>
      </c>
      <c r="G1971" s="0" t="inlineStr">
        <is>
          <t>NULL</t>
        </is>
      </c>
      <c r="H1971" s="0" t="inlineStr">
        <is>
          <t>NULL</t>
        </is>
      </c>
      <c r="I1971" s="0" t="inlineStr">
        <is>
          <t>NULL</t>
        </is>
      </c>
      <c r="J1971" s="0" t="inlineStr">
        <is>
          <t>NULL</t>
        </is>
      </c>
      <c r="K1971" s="0" t="inlineStr">
        <is>
          <t>YES! 	 c_geography列源备映射正确，源端为geography -1位	期望更改为geography	实际备端为geography -1位</t>
        </is>
      </c>
    </row>
    <row r="1972">
      <c r="A1972" s="0" t="inlineStr">
        <is>
          <t>info_date_dml_batch1_pk_drp1</t>
        </is>
      </c>
      <c r="K1972" s="0" t="inlineStr">
        <is>
          <t>[0;34m info_date_dml_batch1_pk_drp1 [0m源备字段数相同，源端字段：2 	备端字段2</t>
        </is>
      </c>
      <c r="W1972" s="0" t="inlineStr">
        <is>
          <t>YES 源备无差异</t>
        </is>
      </c>
      <c r="X1972" s="0">
        <f>A1972</f>
        <v/>
      </c>
    </row>
    <row r="1973">
      <c r="B1973" s="0" t="inlineStr">
        <is>
          <t>YES</t>
        </is>
      </c>
      <c r="C1973" s="0" t="inlineStr">
        <is>
          <t>NULL</t>
        </is>
      </c>
      <c r="D1973" s="0" t="inlineStr">
        <is>
          <t>NULL</t>
        </is>
      </c>
      <c r="E1973" s="0" t="inlineStr">
        <is>
          <t>NULL</t>
        </is>
      </c>
      <c r="F1973" s="0" t="inlineStr">
        <is>
          <t>NULL</t>
        </is>
      </c>
      <c r="G1973" s="0" t="inlineStr">
        <is>
          <t>NULL</t>
        </is>
      </c>
      <c r="H1973" s="0" t="inlineStr">
        <is>
          <t>NULL</t>
        </is>
      </c>
      <c r="I1973" s="0" t="inlineStr">
        <is>
          <t>YES!PK__info_dat__3213E83F912DB1E0</t>
        </is>
      </c>
      <c r="J1973" s="0" t="inlineStr">
        <is>
          <t>YES! 主键相关索引</t>
        </is>
      </c>
      <c r="K1973" s="0" t="inlineStr">
        <is>
          <t>YES! 	 id列源备映射正确，源端为int None位	期望更改为int	实际备端为int None位</t>
        </is>
      </c>
    </row>
    <row r="1974">
      <c r="B1974" s="0" t="inlineStr">
        <is>
          <t>NULL</t>
        </is>
      </c>
      <c r="C1974" s="0" t="inlineStr">
        <is>
          <t>NULL</t>
        </is>
      </c>
      <c r="D1974" s="0" t="inlineStr">
        <is>
          <t>NULL</t>
        </is>
      </c>
      <c r="E1974" s="0" t="inlineStr">
        <is>
          <t>NULL</t>
        </is>
      </c>
      <c r="F1974" s="0" t="inlineStr">
        <is>
          <t>NULL</t>
        </is>
      </c>
      <c r="G1974" s="0" t="inlineStr">
        <is>
          <t>NULL</t>
        </is>
      </c>
      <c r="H1974" s="0" t="inlineStr">
        <is>
          <t>NULL</t>
        </is>
      </c>
      <c r="I1974" s="0" t="inlineStr">
        <is>
          <t>NULL</t>
        </is>
      </c>
      <c r="J1974" s="0" t="inlineStr">
        <is>
          <t>NULL</t>
        </is>
      </c>
      <c r="K1974" s="0" t="inlineStr">
        <is>
          <t>YES! 	 c_date列源备映射正确，源端为date None位	期望更改为date	实际备端为date None位</t>
        </is>
      </c>
    </row>
    <row r="1975">
      <c r="K1975" s="0" t="inlineStr">
        <is>
          <t>~ 空表</t>
        </is>
      </c>
    </row>
    <row r="1976">
      <c r="A1976" s="0" t="inlineStr">
        <is>
          <t>info_geometry_dml_single_nopk</t>
        </is>
      </c>
      <c r="K1976" s="0" t="inlineStr">
        <is>
          <t>[0;34m info_geometry_dml_single_nopk [0m源备字段数相同，源端字段：2 	备端字段2</t>
        </is>
      </c>
      <c r="W1976" s="0" t="inlineStr">
        <is>
          <t>YES 源备无差异</t>
        </is>
      </c>
      <c r="X1976" s="0">
        <f>A1976</f>
        <v/>
      </c>
    </row>
    <row r="1977">
      <c r="B1977" s="0" t="inlineStr">
        <is>
          <t>NULL</t>
        </is>
      </c>
      <c r="C1977" s="0" t="inlineStr">
        <is>
          <t>NULL</t>
        </is>
      </c>
      <c r="D1977" s="0" t="inlineStr">
        <is>
          <t>NULL</t>
        </is>
      </c>
      <c r="E1977" s="0" t="inlineStr">
        <is>
          <t>NULL</t>
        </is>
      </c>
      <c r="F1977" s="0" t="inlineStr">
        <is>
          <t>NULL</t>
        </is>
      </c>
      <c r="G1977" s="0" t="inlineStr">
        <is>
          <t>NULL</t>
        </is>
      </c>
      <c r="H1977" s="0" t="inlineStr">
        <is>
          <t>NULL</t>
        </is>
      </c>
      <c r="I1977" s="0" t="inlineStr">
        <is>
          <t>NULL</t>
        </is>
      </c>
      <c r="J1977" s="0" t="inlineStr">
        <is>
          <t>NULL</t>
        </is>
      </c>
      <c r="K1977" s="0" t="inlineStr">
        <is>
          <t>YES! 	 id列源备映射正确，源端为int None位	期望更改为int	实际备端为int None位</t>
        </is>
      </c>
    </row>
    <row r="1978">
      <c r="B1978" s="0" t="inlineStr">
        <is>
          <t>NULL</t>
        </is>
      </c>
      <c r="C1978" s="0" t="inlineStr">
        <is>
          <t>NULL</t>
        </is>
      </c>
      <c r="D1978" s="0" t="inlineStr">
        <is>
          <t>NULL</t>
        </is>
      </c>
      <c r="E1978" s="0" t="inlineStr">
        <is>
          <t>NULL</t>
        </is>
      </c>
      <c r="F1978" s="0" t="inlineStr">
        <is>
          <t>NULL</t>
        </is>
      </c>
      <c r="G1978" s="0" t="inlineStr">
        <is>
          <t>NULL</t>
        </is>
      </c>
      <c r="H1978" s="0" t="inlineStr">
        <is>
          <t>NULL</t>
        </is>
      </c>
      <c r="I1978" s="0" t="inlineStr">
        <is>
          <t>NULL</t>
        </is>
      </c>
      <c r="J1978" s="0" t="inlineStr">
        <is>
          <t>NULL</t>
        </is>
      </c>
      <c r="K1978" s="0" t="inlineStr">
        <is>
          <t>YES! 	 c_geometry列源备映射正确，源端为geometry -1位	期望更改为geometry	实际备端为geometry -1位</t>
        </is>
      </c>
    </row>
    <row r="1979">
      <c r="A1979" s="0" t="inlineStr">
        <is>
          <t>info_binary_dml_batch1_pk</t>
        </is>
      </c>
      <c r="K1979" s="0" t="inlineStr">
        <is>
          <t>[0;34m info_binary_dml_batch1_pk [0m源备字段数相同，源端字段：4 	备端字段4</t>
        </is>
      </c>
      <c r="W1979" s="0" t="inlineStr">
        <is>
          <t>YES 源备无差异</t>
        </is>
      </c>
      <c r="X1979" s="0">
        <f>A1979</f>
        <v/>
      </c>
    </row>
    <row r="1980">
      <c r="B1980" s="0" t="inlineStr">
        <is>
          <t>YES</t>
        </is>
      </c>
      <c r="C1980" s="0" t="inlineStr">
        <is>
          <t>NULL</t>
        </is>
      </c>
      <c r="D1980" s="0" t="inlineStr">
        <is>
          <t>NULL</t>
        </is>
      </c>
      <c r="E1980" s="0" t="inlineStr">
        <is>
          <t>NULL</t>
        </is>
      </c>
      <c r="F1980" s="0" t="inlineStr">
        <is>
          <t>NULL</t>
        </is>
      </c>
      <c r="G1980" s="0" t="inlineStr">
        <is>
          <t>NULL</t>
        </is>
      </c>
      <c r="H1980" s="0" t="inlineStr">
        <is>
          <t>NULL</t>
        </is>
      </c>
      <c r="I1980" s="0" t="inlineStr">
        <is>
          <t>YES!PK__info_bin__3213E83FDCC0460B</t>
        </is>
      </c>
      <c r="J1980" s="0" t="inlineStr">
        <is>
          <t>YES! 主键相关索引</t>
        </is>
      </c>
      <c r="K1980" s="0" t="inlineStr">
        <is>
          <t>YES! 	 id列源备映射正确，源端为int None位	期望更改为int	实际备端为int None位</t>
        </is>
      </c>
    </row>
    <row r="1981">
      <c r="B1981" s="0" t="inlineStr">
        <is>
          <t>NULL</t>
        </is>
      </c>
      <c r="C1981" s="0" t="inlineStr">
        <is>
          <t>NULL</t>
        </is>
      </c>
      <c r="D1981" s="0" t="inlineStr">
        <is>
          <t>NULL</t>
        </is>
      </c>
      <c r="E1981" s="0" t="inlineStr">
        <is>
          <t>NULL</t>
        </is>
      </c>
      <c r="F1981" s="0" t="inlineStr">
        <is>
          <t>NULL</t>
        </is>
      </c>
      <c r="G1981" s="0" t="inlineStr">
        <is>
          <t>NULL</t>
        </is>
      </c>
      <c r="H1981" s="0" t="inlineStr">
        <is>
          <t>NULL</t>
        </is>
      </c>
      <c r="I1981" s="0" t="inlineStr">
        <is>
          <t>NULL</t>
        </is>
      </c>
      <c r="J1981" s="0" t="inlineStr">
        <is>
          <t>NULL</t>
        </is>
      </c>
      <c r="K1981" s="0" t="inlineStr">
        <is>
          <t>YES! 	 c_binary列源备映射正确，源端为binary 1位	期望更改为binary(n)	实际备端为binary 1位</t>
        </is>
      </c>
    </row>
    <row r="1982">
      <c r="B1982" s="0" t="inlineStr">
        <is>
          <t>NULL</t>
        </is>
      </c>
      <c r="C1982" s="0" t="inlineStr">
        <is>
          <t>NULL</t>
        </is>
      </c>
      <c r="D1982" s="0" t="inlineStr">
        <is>
          <t>NULL</t>
        </is>
      </c>
      <c r="E1982" s="0" t="inlineStr">
        <is>
          <t>NULL</t>
        </is>
      </c>
      <c r="F1982" s="0" t="inlineStr">
        <is>
          <t>NULL</t>
        </is>
      </c>
      <c r="G1982" s="0" t="inlineStr">
        <is>
          <t>NULL</t>
        </is>
      </c>
      <c r="H1982" s="0" t="inlineStr">
        <is>
          <t>NULL</t>
        </is>
      </c>
      <c r="I1982" s="0" t="inlineStr">
        <is>
          <t>NULL</t>
        </is>
      </c>
      <c r="J1982" s="0" t="inlineStr">
        <is>
          <t>NULL</t>
        </is>
      </c>
      <c r="K1982" s="0" t="inlineStr">
        <is>
          <t>YES! 	 c_binary_20列源备映射正确，源端为binary 20位	期望更改为binary(n)	实际备端为binary 20位</t>
        </is>
      </c>
    </row>
    <row r="1983">
      <c r="B1983" s="0" t="inlineStr">
        <is>
          <t>NULL</t>
        </is>
      </c>
      <c r="C1983" s="0" t="inlineStr">
        <is>
          <t>NULL</t>
        </is>
      </c>
      <c r="D1983" s="0" t="inlineStr">
        <is>
          <t>NULL</t>
        </is>
      </c>
      <c r="E1983" s="0" t="inlineStr">
        <is>
          <t>NULL</t>
        </is>
      </c>
      <c r="F1983" s="0" t="inlineStr">
        <is>
          <t>NULL</t>
        </is>
      </c>
      <c r="G1983" s="0" t="inlineStr">
        <is>
          <t>NULL</t>
        </is>
      </c>
      <c r="H1983" s="0" t="inlineStr">
        <is>
          <t>NULL</t>
        </is>
      </c>
      <c r="I1983" s="0" t="inlineStr">
        <is>
          <t>NULL</t>
        </is>
      </c>
      <c r="J1983" s="0" t="inlineStr">
        <is>
          <t>NULL</t>
        </is>
      </c>
      <c r="K1983" s="0" t="inlineStr">
        <is>
          <t>YES! 	 c_binary_8000列源备映射正确，源端为binary 8000位	期望更改为binary(n)	实际备端为binary 8000位</t>
        </is>
      </c>
    </row>
    <row r="1984">
      <c r="A1984" s="0" t="inlineStr">
        <is>
          <t>info_geography_dml_single_pk_drp</t>
        </is>
      </c>
      <c r="K1984" s="0" t="inlineStr">
        <is>
          <t>[0;34m info_geography_dml_single_pk_drp [0m源备字段数相同，源端字段：2 	备端字段2</t>
        </is>
      </c>
      <c r="W1984" s="0" t="inlineStr">
        <is>
          <t>YES 源备无差异</t>
        </is>
      </c>
      <c r="X1984" s="0">
        <f>A1984</f>
        <v/>
      </c>
    </row>
    <row r="1985">
      <c r="B1985" s="0" t="inlineStr">
        <is>
          <t>YES</t>
        </is>
      </c>
      <c r="C1985" s="0" t="inlineStr">
        <is>
          <t>NULL</t>
        </is>
      </c>
      <c r="D1985" s="0" t="inlineStr">
        <is>
          <t>NULL</t>
        </is>
      </c>
      <c r="E1985" s="0" t="inlineStr">
        <is>
          <t>NULL</t>
        </is>
      </c>
      <c r="F1985" s="0" t="inlineStr">
        <is>
          <t>NULL</t>
        </is>
      </c>
      <c r="G1985" s="0" t="inlineStr">
        <is>
          <t>NULL</t>
        </is>
      </c>
      <c r="H1985" s="0" t="inlineStr">
        <is>
          <t>NULL</t>
        </is>
      </c>
      <c r="I1985" s="0" t="inlineStr">
        <is>
          <t>YES!PK__info_geo__3213E83FCAF7A129</t>
        </is>
      </c>
      <c r="J1985" s="0" t="inlineStr">
        <is>
          <t>YES! 主键相关索引</t>
        </is>
      </c>
      <c r="K1985" s="0" t="inlineStr">
        <is>
          <t>YES! 	 id列源备映射正确，源端为int None位	期望更改为int	实际备端为int None位</t>
        </is>
      </c>
    </row>
    <row r="1986">
      <c r="B1986" s="0" t="inlineStr">
        <is>
          <t>NULL</t>
        </is>
      </c>
      <c r="C1986" s="0" t="inlineStr">
        <is>
          <t>NULL</t>
        </is>
      </c>
      <c r="D1986" s="0" t="inlineStr">
        <is>
          <t>NULL</t>
        </is>
      </c>
      <c r="E1986" s="0" t="inlineStr">
        <is>
          <t>NULL</t>
        </is>
      </c>
      <c r="F1986" s="0" t="inlineStr">
        <is>
          <t>NULL</t>
        </is>
      </c>
      <c r="G1986" s="0" t="inlineStr">
        <is>
          <t>NULL</t>
        </is>
      </c>
      <c r="H1986" s="0" t="inlineStr">
        <is>
          <t>NULL</t>
        </is>
      </c>
      <c r="I1986" s="0" t="inlineStr">
        <is>
          <t>NULL</t>
        </is>
      </c>
      <c r="J1986" s="0" t="inlineStr">
        <is>
          <t>NULL</t>
        </is>
      </c>
      <c r="K1986" s="0" t="inlineStr">
        <is>
          <t>YES! 	 c_geography列源备映射正确，源端为geography -1位	期望更改为geography	实际备端为geography -1位</t>
        </is>
      </c>
    </row>
    <row r="1987">
      <c r="A1987" s="0" t="inlineStr">
        <is>
          <t>info_date_dml_batch1_pk_drp2</t>
        </is>
      </c>
      <c r="K1987" s="0" t="inlineStr">
        <is>
          <t>[0;34m info_date_dml_batch1_pk_drp2 [0m源备字段数相同，源端字段：2 	备端字段2</t>
        </is>
      </c>
      <c r="W1987" s="0" t="inlineStr">
        <is>
          <t>YES 源备无差异</t>
        </is>
      </c>
      <c r="X1987" s="0">
        <f>A1987</f>
        <v/>
      </c>
    </row>
    <row r="1988">
      <c r="B1988" s="0" t="inlineStr">
        <is>
          <t>YES</t>
        </is>
      </c>
      <c r="C1988" s="0" t="inlineStr">
        <is>
          <t>NULL</t>
        </is>
      </c>
      <c r="D1988" s="0" t="inlineStr">
        <is>
          <t>NULL</t>
        </is>
      </c>
      <c r="E1988" s="0" t="inlineStr">
        <is>
          <t>NULL</t>
        </is>
      </c>
      <c r="F1988" s="0" t="inlineStr">
        <is>
          <t>NULL</t>
        </is>
      </c>
      <c r="G1988" s="0" t="inlineStr">
        <is>
          <t>NULL</t>
        </is>
      </c>
      <c r="H1988" s="0" t="inlineStr">
        <is>
          <t>NULL</t>
        </is>
      </c>
      <c r="I1988" s="0" t="inlineStr">
        <is>
          <t>YES!PK__info_dat__3213E83F25800C71</t>
        </is>
      </c>
      <c r="J1988" s="0" t="inlineStr">
        <is>
          <t>YES! 主键相关索引</t>
        </is>
      </c>
      <c r="K1988" s="0" t="inlineStr">
        <is>
          <t>YES! 	 id列源备映射正确，源端为int None位	期望更改为int	实际备端为int None位</t>
        </is>
      </c>
    </row>
    <row r="1989">
      <c r="B1989" s="0" t="inlineStr">
        <is>
          <t>NULL</t>
        </is>
      </c>
      <c r="C1989" s="0" t="inlineStr">
        <is>
          <t>NULL</t>
        </is>
      </c>
      <c r="D1989" s="0" t="inlineStr">
        <is>
          <t>NULL</t>
        </is>
      </c>
      <c r="E1989" s="0" t="inlineStr">
        <is>
          <t>NULL</t>
        </is>
      </c>
      <c r="F1989" s="0" t="inlineStr">
        <is>
          <t>NULL</t>
        </is>
      </c>
      <c r="G1989" s="0" t="inlineStr">
        <is>
          <t>NULL</t>
        </is>
      </c>
      <c r="H1989" s="0" t="inlineStr">
        <is>
          <t>NULL</t>
        </is>
      </c>
      <c r="I1989" s="0" t="inlineStr">
        <is>
          <t>NULL</t>
        </is>
      </c>
      <c r="J1989" s="0" t="inlineStr">
        <is>
          <t>NULL</t>
        </is>
      </c>
      <c r="K1989" s="0" t="inlineStr">
        <is>
          <t>YES! 	 c_date列源备映射正确，源端为date None位	期望更改为date	实际备端为date None位</t>
        </is>
      </c>
    </row>
    <row r="1990">
      <c r="A1990" s="0" t="inlineStr">
        <is>
          <t>info_varbinary_dml_batch1_pk_irp1</t>
        </is>
      </c>
      <c r="K1990" s="0" t="inlineStr">
        <is>
          <t>[0;34m info_varbinary_dml_batch1_pk_irp1 [0m源备字段数相同，源端字段：4 	备端字段4</t>
        </is>
      </c>
      <c r="W1990" s="0" t="inlineStr">
        <is>
          <t>YES 源备无差异</t>
        </is>
      </c>
      <c r="X1990" s="0">
        <f>A1990</f>
        <v/>
      </c>
    </row>
    <row r="1991">
      <c r="B1991" s="0" t="inlineStr">
        <is>
          <t>YES</t>
        </is>
      </c>
      <c r="C1991" s="0" t="inlineStr">
        <is>
          <t>NULL</t>
        </is>
      </c>
      <c r="D1991" s="0" t="inlineStr">
        <is>
          <t>NULL</t>
        </is>
      </c>
      <c r="E1991" s="0" t="inlineStr">
        <is>
          <t>NULL</t>
        </is>
      </c>
      <c r="F1991" s="0" t="inlineStr">
        <is>
          <t>NULL</t>
        </is>
      </c>
      <c r="G1991" s="0" t="inlineStr">
        <is>
          <t>NULL</t>
        </is>
      </c>
      <c r="H1991" s="0" t="inlineStr">
        <is>
          <t>NULL</t>
        </is>
      </c>
      <c r="I1991" s="0" t="inlineStr">
        <is>
          <t>YES!PK__info_var__3213E83F1C6883B8</t>
        </is>
      </c>
      <c r="J1991" s="0" t="inlineStr">
        <is>
          <t>YES! 主键相关索引</t>
        </is>
      </c>
      <c r="K1991" s="0" t="inlineStr">
        <is>
          <t>YES! 	 id列源备映射正确，源端为int None位	期望更改为int	实际备端为int None位</t>
        </is>
      </c>
    </row>
    <row r="1992">
      <c r="B1992" s="0" t="inlineStr">
        <is>
          <t>NULL</t>
        </is>
      </c>
      <c r="C1992" s="0" t="inlineStr">
        <is>
          <t>NULL</t>
        </is>
      </c>
      <c r="D1992" s="0" t="inlineStr">
        <is>
          <t>NULL</t>
        </is>
      </c>
      <c r="E1992" s="0" t="inlineStr">
        <is>
          <t>NULL</t>
        </is>
      </c>
      <c r="F1992" s="0" t="inlineStr">
        <is>
          <t>NULL</t>
        </is>
      </c>
      <c r="G1992" s="0" t="inlineStr">
        <is>
          <t>NULL</t>
        </is>
      </c>
      <c r="H1992" s="0" t="inlineStr">
        <is>
          <t>NULL</t>
        </is>
      </c>
      <c r="I1992" s="0" t="inlineStr">
        <is>
          <t>NULL</t>
        </is>
      </c>
      <c r="J1992" s="0" t="inlineStr">
        <is>
          <t>NULL</t>
        </is>
      </c>
      <c r="K1992" s="0" t="inlineStr">
        <is>
          <t>YES! 	 c_varbinary列源备映射正确，源端为varbinary 1位	期望更改为varbinary(n)	实际备端为varbinary 1位</t>
        </is>
      </c>
    </row>
    <row r="1993">
      <c r="B1993" s="0" t="inlineStr">
        <is>
          <t>NULL</t>
        </is>
      </c>
      <c r="C1993" s="0" t="inlineStr">
        <is>
          <t>NULL</t>
        </is>
      </c>
      <c r="D1993" s="0" t="inlineStr">
        <is>
          <t>NULL</t>
        </is>
      </c>
      <c r="E1993" s="0" t="inlineStr">
        <is>
          <t>NULL</t>
        </is>
      </c>
      <c r="F1993" s="0" t="inlineStr">
        <is>
          <t>NULL</t>
        </is>
      </c>
      <c r="G1993" s="0" t="inlineStr">
        <is>
          <t>NULL</t>
        </is>
      </c>
      <c r="H1993" s="0" t="inlineStr">
        <is>
          <t>NULL</t>
        </is>
      </c>
      <c r="I1993" s="0" t="inlineStr">
        <is>
          <t>NULL</t>
        </is>
      </c>
      <c r="J1993" s="0" t="inlineStr">
        <is>
          <t>NULL</t>
        </is>
      </c>
      <c r="K1993" s="0" t="inlineStr">
        <is>
          <t>YES! 	 c_varbinary_100列源备映射正确，源端为varbinary 100位	期望更改为varbinary(n)	实际备端为varbinary 100位</t>
        </is>
      </c>
    </row>
    <row r="1994">
      <c r="B1994" s="0" t="inlineStr">
        <is>
          <t>NULL</t>
        </is>
      </c>
      <c r="C1994" s="0" t="inlineStr">
        <is>
          <t>NULL</t>
        </is>
      </c>
      <c r="D1994" s="0" t="inlineStr">
        <is>
          <t>NULL</t>
        </is>
      </c>
      <c r="E1994" s="0" t="inlineStr">
        <is>
          <t>NULL</t>
        </is>
      </c>
      <c r="F1994" s="0" t="inlineStr">
        <is>
          <t>NULL</t>
        </is>
      </c>
      <c r="G1994" s="0" t="inlineStr">
        <is>
          <t>NULL</t>
        </is>
      </c>
      <c r="H1994" s="0" t="inlineStr">
        <is>
          <t>NULL</t>
        </is>
      </c>
      <c r="I1994" s="0" t="inlineStr">
        <is>
          <t>NULL</t>
        </is>
      </c>
      <c r="J1994" s="0" t="inlineStr">
        <is>
          <t>NULL</t>
        </is>
      </c>
      <c r="K1994" s="0" t="inlineStr">
        <is>
          <t>YES! 	 c_varbinary_8000列源备映射正确，源端为varbinary 8000位	期望更改为varbinary(n)	实际备端为varbinary 8000位</t>
        </is>
      </c>
    </row>
    <row r="1995">
      <c r="A1995" s="0" t="inlineStr">
        <is>
          <t>info_geography_dml_single_pk</t>
        </is>
      </c>
      <c r="K1995" s="0" t="inlineStr">
        <is>
          <t>[0;34m info_geography_dml_single_pk [0m源备字段数相同，源端字段：2 	备端字段2</t>
        </is>
      </c>
      <c r="W1995" s="0" t="inlineStr">
        <is>
          <t>YES 源备无差异</t>
        </is>
      </c>
      <c r="X1995" s="0">
        <f>A1995</f>
        <v/>
      </c>
    </row>
    <row r="1996">
      <c r="B1996" s="0" t="inlineStr">
        <is>
          <t>YES</t>
        </is>
      </c>
      <c r="C1996" s="0" t="inlineStr">
        <is>
          <t>NULL</t>
        </is>
      </c>
      <c r="D1996" s="0" t="inlineStr">
        <is>
          <t>NULL</t>
        </is>
      </c>
      <c r="E1996" s="0" t="inlineStr">
        <is>
          <t>NULL</t>
        </is>
      </c>
      <c r="F1996" s="0" t="inlineStr">
        <is>
          <t>NULL</t>
        </is>
      </c>
      <c r="G1996" s="0" t="inlineStr">
        <is>
          <t>NULL</t>
        </is>
      </c>
      <c r="H1996" s="0" t="inlineStr">
        <is>
          <t>NULL</t>
        </is>
      </c>
      <c r="I1996" s="0" t="inlineStr">
        <is>
          <t>YES!PK__info_geo__3213E83FFD6B584B</t>
        </is>
      </c>
      <c r="J1996" s="0" t="inlineStr">
        <is>
          <t>YES! 主键相关索引</t>
        </is>
      </c>
      <c r="K1996" s="0" t="inlineStr">
        <is>
          <t>YES! 	 id列源备映射正确，源端为int None位	期望更改为int	实际备端为int None位</t>
        </is>
      </c>
    </row>
    <row r="1997">
      <c r="B1997" s="0" t="inlineStr">
        <is>
          <t>NULL</t>
        </is>
      </c>
      <c r="C1997" s="0" t="inlineStr">
        <is>
          <t>NULL</t>
        </is>
      </c>
      <c r="D1997" s="0" t="inlineStr">
        <is>
          <t>NULL</t>
        </is>
      </c>
      <c r="E1997" s="0" t="inlineStr">
        <is>
          <t>NULL</t>
        </is>
      </c>
      <c r="F1997" s="0" t="inlineStr">
        <is>
          <t>NULL</t>
        </is>
      </c>
      <c r="G1997" s="0" t="inlineStr">
        <is>
          <t>NULL</t>
        </is>
      </c>
      <c r="H1997" s="0" t="inlineStr">
        <is>
          <t>NULL</t>
        </is>
      </c>
      <c r="I1997" s="0" t="inlineStr">
        <is>
          <t>NULL</t>
        </is>
      </c>
      <c r="J1997" s="0" t="inlineStr">
        <is>
          <t>NULL</t>
        </is>
      </c>
      <c r="K1997" s="0" t="inlineStr">
        <is>
          <t>YES! 	 c_geography列源备映射正确，源端为geography -1位	期望更改为geography	实际备端为geography -1位</t>
        </is>
      </c>
    </row>
    <row r="1998">
      <c r="A1998" s="0" t="inlineStr">
        <is>
          <t>info_date_dml_batch1_pk</t>
        </is>
      </c>
      <c r="K1998" s="0" t="inlineStr">
        <is>
          <t>[0;34m info_date_dml_batch1_pk [0m源备字段数相同，源端字段：2 	备端字段2</t>
        </is>
      </c>
      <c r="W1998" s="0" t="inlineStr">
        <is>
          <t>YES 源备无差异</t>
        </is>
      </c>
      <c r="X1998" s="0">
        <f>A1998</f>
        <v/>
      </c>
    </row>
    <row r="1999">
      <c r="B1999" s="0" t="inlineStr">
        <is>
          <t>YES</t>
        </is>
      </c>
      <c r="C1999" s="0" t="inlineStr">
        <is>
          <t>NULL</t>
        </is>
      </c>
      <c r="D1999" s="0" t="inlineStr">
        <is>
          <t>NULL</t>
        </is>
      </c>
      <c r="E1999" s="0" t="inlineStr">
        <is>
          <t>NULL</t>
        </is>
      </c>
      <c r="F1999" s="0" t="inlineStr">
        <is>
          <t>NULL</t>
        </is>
      </c>
      <c r="G1999" s="0" t="inlineStr">
        <is>
          <t>NULL</t>
        </is>
      </c>
      <c r="H1999" s="0" t="inlineStr">
        <is>
          <t>NULL</t>
        </is>
      </c>
      <c r="I1999" s="0" t="inlineStr">
        <is>
          <t>YES!PK__info_dat__3213E83F49C2F59F</t>
        </is>
      </c>
      <c r="J1999" s="0" t="inlineStr">
        <is>
          <t>YES! 主键相关索引</t>
        </is>
      </c>
      <c r="K1999" s="0" t="inlineStr">
        <is>
          <t>YES! 	 id列源备映射正确，源端为int None位	期望更改为int	实际备端为int None位</t>
        </is>
      </c>
    </row>
    <row r="2000">
      <c r="B2000" s="0" t="inlineStr">
        <is>
          <t>NULL</t>
        </is>
      </c>
      <c r="C2000" s="0" t="inlineStr">
        <is>
          <t>NULL</t>
        </is>
      </c>
      <c r="D2000" s="0" t="inlineStr">
        <is>
          <t>NULL</t>
        </is>
      </c>
      <c r="E2000" s="0" t="inlineStr">
        <is>
          <t>NULL</t>
        </is>
      </c>
      <c r="F2000" s="0" t="inlineStr">
        <is>
          <t>NULL</t>
        </is>
      </c>
      <c r="G2000" s="0" t="inlineStr">
        <is>
          <t>NULL</t>
        </is>
      </c>
      <c r="H2000" s="0" t="inlineStr">
        <is>
          <t>NULL</t>
        </is>
      </c>
      <c r="I2000" s="0" t="inlineStr">
        <is>
          <t>NULL</t>
        </is>
      </c>
      <c r="J2000" s="0" t="inlineStr">
        <is>
          <t>NULL</t>
        </is>
      </c>
      <c r="K2000" s="0" t="inlineStr">
        <is>
          <t>YES! 	 c_date列源备映射正确，源端为date None位	期望更改为date	实际备端为date None位</t>
        </is>
      </c>
    </row>
    <row r="2001">
      <c r="A2001" s="0" t="inlineStr">
        <is>
          <t>info_geometry_dml_single_pk_irp</t>
        </is>
      </c>
      <c r="K2001" s="0" t="inlineStr">
        <is>
          <t>[0;34m info_geometry_dml_single_pk_irp [0m源备字段数相同，源端字段：2 	备端字段2</t>
        </is>
      </c>
      <c r="W2001" s="0" t="inlineStr">
        <is>
          <t>YES 源备无差异</t>
        </is>
      </c>
      <c r="X2001" s="0">
        <f>A2001</f>
        <v/>
      </c>
    </row>
    <row r="2002">
      <c r="B2002" s="0" t="inlineStr">
        <is>
          <t>YES</t>
        </is>
      </c>
      <c r="C2002" s="0" t="inlineStr">
        <is>
          <t>NULL</t>
        </is>
      </c>
      <c r="D2002" s="0" t="inlineStr">
        <is>
          <t>NULL</t>
        </is>
      </c>
      <c r="E2002" s="0" t="inlineStr">
        <is>
          <t>NULL</t>
        </is>
      </c>
      <c r="F2002" s="0" t="inlineStr">
        <is>
          <t>NULL</t>
        </is>
      </c>
      <c r="G2002" s="0" t="inlineStr">
        <is>
          <t>NULL</t>
        </is>
      </c>
      <c r="H2002" s="0" t="inlineStr">
        <is>
          <t>NULL</t>
        </is>
      </c>
      <c r="I2002" s="0" t="inlineStr">
        <is>
          <t>YES!PK__info_geo__3213E83F064D017F</t>
        </is>
      </c>
      <c r="J2002" s="0" t="inlineStr">
        <is>
          <t>YES! 主键相关索引</t>
        </is>
      </c>
      <c r="K2002" s="0" t="inlineStr">
        <is>
          <t>YES! 	 id列源备映射正确，源端为int None位	期望更改为int	实际备端为int None位</t>
        </is>
      </c>
    </row>
    <row r="2003">
      <c r="B2003" s="0" t="inlineStr">
        <is>
          <t>NULL</t>
        </is>
      </c>
      <c r="C2003" s="0" t="inlineStr">
        <is>
          <t>NULL</t>
        </is>
      </c>
      <c r="D2003" s="0" t="inlineStr">
        <is>
          <t>NULL</t>
        </is>
      </c>
      <c r="E2003" s="0" t="inlineStr">
        <is>
          <t>NULL</t>
        </is>
      </c>
      <c r="F2003" s="0" t="inlineStr">
        <is>
          <t>NULL</t>
        </is>
      </c>
      <c r="G2003" s="0" t="inlineStr">
        <is>
          <t>NULL</t>
        </is>
      </c>
      <c r="H2003" s="0" t="inlineStr">
        <is>
          <t>NULL</t>
        </is>
      </c>
      <c r="I2003" s="0" t="inlineStr">
        <is>
          <t>NULL</t>
        </is>
      </c>
      <c r="J2003" s="0" t="inlineStr">
        <is>
          <t>NULL</t>
        </is>
      </c>
      <c r="K2003" s="0" t="inlineStr">
        <is>
          <t>YES! 	 c_geometry列源备映射正确，源端为geometry -1位	期望更改为geometry	实际备端为geometry -1位</t>
        </is>
      </c>
    </row>
    <row r="2004">
      <c r="A2004" s="0" t="inlineStr">
        <is>
          <t>info_varbinary_dml_batch1_pk_irp2</t>
        </is>
      </c>
      <c r="K2004" s="0" t="inlineStr">
        <is>
          <t>[0;34m info_varbinary_dml_batch1_pk_irp2 [0m源备字段数相同，源端字段：4 	备端字段4</t>
        </is>
      </c>
      <c r="W2004" s="0" t="inlineStr">
        <is>
          <t>YES 源备无差异</t>
        </is>
      </c>
      <c r="X2004" s="0">
        <f>A2004</f>
        <v/>
      </c>
    </row>
    <row r="2005">
      <c r="B2005" s="0" t="inlineStr">
        <is>
          <t>YES</t>
        </is>
      </c>
      <c r="C2005" s="0" t="inlineStr">
        <is>
          <t>NULL</t>
        </is>
      </c>
      <c r="D2005" s="0" t="inlineStr">
        <is>
          <t>NULL</t>
        </is>
      </c>
      <c r="E2005" s="0" t="inlineStr">
        <is>
          <t>NULL</t>
        </is>
      </c>
      <c r="F2005" s="0" t="inlineStr">
        <is>
          <t>NULL</t>
        </is>
      </c>
      <c r="G2005" s="0" t="inlineStr">
        <is>
          <t>NULL</t>
        </is>
      </c>
      <c r="H2005" s="0" t="inlineStr">
        <is>
          <t>NULL</t>
        </is>
      </c>
      <c r="I2005" s="0" t="inlineStr">
        <is>
          <t>YES!PK__info_var__3213E83F34D14596</t>
        </is>
      </c>
      <c r="J2005" s="0" t="inlineStr">
        <is>
          <t>YES! 主键相关索引</t>
        </is>
      </c>
      <c r="K2005" s="0" t="inlineStr">
        <is>
          <t>YES! 	 id列源备映射正确，源端为int None位	期望更改为int	实际备端为int None位</t>
        </is>
      </c>
    </row>
    <row r="2006">
      <c r="B2006" s="0" t="inlineStr">
        <is>
          <t>NULL</t>
        </is>
      </c>
      <c r="C2006" s="0" t="inlineStr">
        <is>
          <t>NULL</t>
        </is>
      </c>
      <c r="D2006" s="0" t="inlineStr">
        <is>
          <t>NULL</t>
        </is>
      </c>
      <c r="E2006" s="0" t="inlineStr">
        <is>
          <t>NULL</t>
        </is>
      </c>
      <c r="F2006" s="0" t="inlineStr">
        <is>
          <t>NULL</t>
        </is>
      </c>
      <c r="G2006" s="0" t="inlineStr">
        <is>
          <t>NULL</t>
        </is>
      </c>
      <c r="H2006" s="0" t="inlineStr">
        <is>
          <t>NULL</t>
        </is>
      </c>
      <c r="I2006" s="0" t="inlineStr">
        <is>
          <t>NULL</t>
        </is>
      </c>
      <c r="J2006" s="0" t="inlineStr">
        <is>
          <t>NULL</t>
        </is>
      </c>
      <c r="K2006" s="0" t="inlineStr">
        <is>
          <t>YES! 	 c_varbinary列源备映射正确，源端为varbinary 1位	期望更改为varbinary(n)	实际备端为varbinary 1位</t>
        </is>
      </c>
    </row>
    <row r="2007">
      <c r="B2007" s="0" t="inlineStr">
        <is>
          <t>NULL</t>
        </is>
      </c>
      <c r="C2007" s="0" t="inlineStr">
        <is>
          <t>NULL</t>
        </is>
      </c>
      <c r="D2007" s="0" t="inlineStr">
        <is>
          <t>NULL</t>
        </is>
      </c>
      <c r="E2007" s="0" t="inlineStr">
        <is>
          <t>NULL</t>
        </is>
      </c>
      <c r="F2007" s="0" t="inlineStr">
        <is>
          <t>NULL</t>
        </is>
      </c>
      <c r="G2007" s="0" t="inlineStr">
        <is>
          <t>NULL</t>
        </is>
      </c>
      <c r="H2007" s="0" t="inlineStr">
        <is>
          <t>NULL</t>
        </is>
      </c>
      <c r="I2007" s="0" t="inlineStr">
        <is>
          <t>NULL</t>
        </is>
      </c>
      <c r="J2007" s="0" t="inlineStr">
        <is>
          <t>NULL</t>
        </is>
      </c>
      <c r="K2007" s="0" t="inlineStr">
        <is>
          <t>YES! 	 c_varbinary_100列源备映射正确，源端为varbinary 100位	期望更改为varbinary(n)	实际备端为varbinary 100位</t>
        </is>
      </c>
    </row>
    <row r="2008">
      <c r="B2008" s="0" t="inlineStr">
        <is>
          <t>NULL</t>
        </is>
      </c>
      <c r="C2008" s="0" t="inlineStr">
        <is>
          <t>NULL</t>
        </is>
      </c>
      <c r="D2008" s="0" t="inlineStr">
        <is>
          <t>NULL</t>
        </is>
      </c>
      <c r="E2008" s="0" t="inlineStr">
        <is>
          <t>NULL</t>
        </is>
      </c>
      <c r="F2008" s="0" t="inlineStr">
        <is>
          <t>NULL</t>
        </is>
      </c>
      <c r="G2008" s="0" t="inlineStr">
        <is>
          <t>NULL</t>
        </is>
      </c>
      <c r="H2008" s="0" t="inlineStr">
        <is>
          <t>NULL</t>
        </is>
      </c>
      <c r="I2008" s="0" t="inlineStr">
        <is>
          <t>NULL</t>
        </is>
      </c>
      <c r="J2008" s="0" t="inlineStr">
        <is>
          <t>NULL</t>
        </is>
      </c>
      <c r="K2008" s="0" t="inlineStr">
        <is>
          <t>YES! 	 c_varbinary_8000列源备映射正确，源端为varbinary 8000位	期望更改为varbinary(n)	实际备端为varbinary 8000位</t>
        </is>
      </c>
    </row>
    <row r="2009">
      <c r="A2009" s="0" t="inlineStr">
        <is>
          <t>info_time_dml_batch1_pk_irp1</t>
        </is>
      </c>
      <c r="K2009" s="0" t="inlineStr">
        <is>
          <t>[0;34m info_time_dml_batch1_pk_irp1 [0m源备字段数相同，源端字段：9 	备端字段9</t>
        </is>
      </c>
      <c r="W2009" s="0" t="inlineStr">
        <is>
          <t>YES 源备无差异</t>
        </is>
      </c>
      <c r="X2009" s="0">
        <f>A2009</f>
        <v/>
      </c>
    </row>
    <row r="2010">
      <c r="B2010" s="0" t="inlineStr">
        <is>
          <t>YES</t>
        </is>
      </c>
      <c r="C2010" s="0" t="inlineStr">
        <is>
          <t>NULL</t>
        </is>
      </c>
      <c r="D2010" s="0" t="inlineStr">
        <is>
          <t>NULL</t>
        </is>
      </c>
      <c r="E2010" s="0" t="inlineStr">
        <is>
          <t>NULL</t>
        </is>
      </c>
      <c r="F2010" s="0" t="inlineStr">
        <is>
          <t>NULL</t>
        </is>
      </c>
      <c r="G2010" s="0" t="inlineStr">
        <is>
          <t>NULL</t>
        </is>
      </c>
      <c r="H2010" s="0" t="inlineStr">
        <is>
          <t>NULL</t>
        </is>
      </c>
      <c r="I2010" s="0" t="inlineStr">
        <is>
          <t>YES!PK__info_tim__3213E83FE72A75AF</t>
        </is>
      </c>
      <c r="J2010" s="0" t="inlineStr">
        <is>
          <t>YES! 主键相关索引</t>
        </is>
      </c>
      <c r="K2010" s="0" t="inlineStr">
        <is>
          <t>YES! 	 id列源备映射正确，源端为int None位	期望更改为int	实际备端为int None位</t>
        </is>
      </c>
    </row>
    <row r="2011">
      <c r="B2011" s="0" t="inlineStr">
        <is>
          <t>NULL</t>
        </is>
      </c>
      <c r="C2011" s="0" t="inlineStr">
        <is>
          <t>NULL</t>
        </is>
      </c>
      <c r="D2011" s="0" t="inlineStr">
        <is>
          <t>NULL</t>
        </is>
      </c>
      <c r="E2011" s="0" t="inlineStr">
        <is>
          <t>NULL</t>
        </is>
      </c>
      <c r="F2011" s="0" t="inlineStr">
        <is>
          <t>NULL</t>
        </is>
      </c>
      <c r="G2011" s="0" t="inlineStr">
        <is>
          <t>NULL</t>
        </is>
      </c>
      <c r="H2011" s="0" t="inlineStr">
        <is>
          <t>NULL</t>
        </is>
      </c>
      <c r="I2011" s="0" t="inlineStr">
        <is>
          <t>NULL</t>
        </is>
      </c>
      <c r="J2011" s="0" t="inlineStr">
        <is>
          <t>NULL</t>
        </is>
      </c>
      <c r="K2011" s="0" t="inlineStr">
        <is>
          <t>no,len不存在</t>
        </is>
      </c>
    </row>
    <row r="2012">
      <c r="B2012" s="0" t="inlineStr">
        <is>
          <t>NULL</t>
        </is>
      </c>
      <c r="C2012" s="0" t="inlineStr">
        <is>
          <t>NULL</t>
        </is>
      </c>
      <c r="D2012" s="0" t="inlineStr">
        <is>
          <t>NULL</t>
        </is>
      </c>
      <c r="E2012" s="0" t="inlineStr">
        <is>
          <t>NULL</t>
        </is>
      </c>
      <c r="F2012" s="0" t="inlineStr">
        <is>
          <t>NULL</t>
        </is>
      </c>
      <c r="G2012" s="0" t="inlineStr">
        <is>
          <t>NULL</t>
        </is>
      </c>
      <c r="H2012" s="0" t="inlineStr">
        <is>
          <t>NULL</t>
        </is>
      </c>
      <c r="I2012" s="0" t="inlineStr">
        <is>
          <t>NULL</t>
        </is>
      </c>
      <c r="J2012" s="0" t="inlineStr">
        <is>
          <t>NULL</t>
        </is>
      </c>
      <c r="K2012" s="0" t="inlineStr">
        <is>
          <t>YES! 	 c_time1列源备映射正确，源端为time None位	期望更改为time(n)	实际备端为time None位</t>
        </is>
      </c>
    </row>
    <row r="2013">
      <c r="B2013" s="0" t="inlineStr">
        <is>
          <t>NULL</t>
        </is>
      </c>
      <c r="C2013" s="0" t="inlineStr">
        <is>
          <t>NULL</t>
        </is>
      </c>
      <c r="D2013" s="0" t="inlineStr">
        <is>
          <t>NULL</t>
        </is>
      </c>
      <c r="E2013" s="0" t="inlineStr">
        <is>
          <t>NULL</t>
        </is>
      </c>
      <c r="F2013" s="0" t="inlineStr">
        <is>
          <t>NULL</t>
        </is>
      </c>
      <c r="G2013" s="0" t="inlineStr">
        <is>
          <t>NULL</t>
        </is>
      </c>
      <c r="H2013" s="0" t="inlineStr">
        <is>
          <t>NULL</t>
        </is>
      </c>
      <c r="I2013" s="0" t="inlineStr">
        <is>
          <t>NULL</t>
        </is>
      </c>
      <c r="J2013" s="0" t="inlineStr">
        <is>
          <t>NULL</t>
        </is>
      </c>
      <c r="K2013" s="0" t="inlineStr">
        <is>
          <t>YES! 	 c_time2列源备映射正确，源端为time None位	期望更改为time(n)	实际备端为time None位</t>
        </is>
      </c>
    </row>
    <row r="2014">
      <c r="B2014" s="0" t="inlineStr">
        <is>
          <t>NULL</t>
        </is>
      </c>
      <c r="C2014" s="0" t="inlineStr">
        <is>
          <t>NULL</t>
        </is>
      </c>
      <c r="D2014" s="0" t="inlineStr">
        <is>
          <t>NULL</t>
        </is>
      </c>
      <c r="E2014" s="0" t="inlineStr">
        <is>
          <t>NULL</t>
        </is>
      </c>
      <c r="F2014" s="0" t="inlineStr">
        <is>
          <t>NULL</t>
        </is>
      </c>
      <c r="G2014" s="0" t="inlineStr">
        <is>
          <t>NULL</t>
        </is>
      </c>
      <c r="H2014" s="0" t="inlineStr">
        <is>
          <t>NULL</t>
        </is>
      </c>
      <c r="I2014" s="0" t="inlineStr">
        <is>
          <t>NULL</t>
        </is>
      </c>
      <c r="J2014" s="0" t="inlineStr">
        <is>
          <t>NULL</t>
        </is>
      </c>
      <c r="K2014" s="0" t="inlineStr">
        <is>
          <t>YES! 	 c_time3列源备映射正确，源端为time None位	期望更改为time(n)	实际备端为time None位</t>
        </is>
      </c>
    </row>
    <row r="2015">
      <c r="B2015" s="0" t="inlineStr">
        <is>
          <t>NULL</t>
        </is>
      </c>
      <c r="C2015" s="0" t="inlineStr">
        <is>
          <t>NULL</t>
        </is>
      </c>
      <c r="D2015" s="0" t="inlineStr">
        <is>
          <t>NULL</t>
        </is>
      </c>
      <c r="E2015" s="0" t="inlineStr">
        <is>
          <t>NULL</t>
        </is>
      </c>
      <c r="F2015" s="0" t="inlineStr">
        <is>
          <t>NULL</t>
        </is>
      </c>
      <c r="G2015" s="0" t="inlineStr">
        <is>
          <t>NULL</t>
        </is>
      </c>
      <c r="H2015" s="0" t="inlineStr">
        <is>
          <t>NULL</t>
        </is>
      </c>
      <c r="I2015" s="0" t="inlineStr">
        <is>
          <t>NULL</t>
        </is>
      </c>
      <c r="J2015" s="0" t="inlineStr">
        <is>
          <t>NULL</t>
        </is>
      </c>
      <c r="K2015" s="0" t="inlineStr">
        <is>
          <t>YES! 	 c_time4列源备映射正确，源端为time None位	期望更改为time(n)	实际备端为time None位</t>
        </is>
      </c>
    </row>
    <row r="2016">
      <c r="B2016" s="0" t="inlineStr">
        <is>
          <t>NULL</t>
        </is>
      </c>
      <c r="C2016" s="0" t="inlineStr">
        <is>
          <t>NULL</t>
        </is>
      </c>
      <c r="D2016" s="0" t="inlineStr">
        <is>
          <t>NULL</t>
        </is>
      </c>
      <c r="E2016" s="0" t="inlineStr">
        <is>
          <t>NULL</t>
        </is>
      </c>
      <c r="F2016" s="0" t="inlineStr">
        <is>
          <t>NULL</t>
        </is>
      </c>
      <c r="G2016" s="0" t="inlineStr">
        <is>
          <t>NULL</t>
        </is>
      </c>
      <c r="H2016" s="0" t="inlineStr">
        <is>
          <t>NULL</t>
        </is>
      </c>
      <c r="I2016" s="0" t="inlineStr">
        <is>
          <t>NULL</t>
        </is>
      </c>
      <c r="J2016" s="0" t="inlineStr">
        <is>
          <t>NULL</t>
        </is>
      </c>
      <c r="K2016" s="0" t="inlineStr">
        <is>
          <t>YES! 	 c_time5列源备映射正确，源端为time None位	期望更改为time(n)	实际备端为time None位</t>
        </is>
      </c>
    </row>
    <row r="2017">
      <c r="B2017" s="0" t="inlineStr">
        <is>
          <t>NULL</t>
        </is>
      </c>
      <c r="C2017" s="0" t="inlineStr">
        <is>
          <t>NULL</t>
        </is>
      </c>
      <c r="D2017" s="0" t="inlineStr">
        <is>
          <t>NULL</t>
        </is>
      </c>
      <c r="E2017" s="0" t="inlineStr">
        <is>
          <t>NULL</t>
        </is>
      </c>
      <c r="F2017" s="0" t="inlineStr">
        <is>
          <t>NULL</t>
        </is>
      </c>
      <c r="G2017" s="0" t="inlineStr">
        <is>
          <t>NULL</t>
        </is>
      </c>
      <c r="H2017" s="0" t="inlineStr">
        <is>
          <t>NULL</t>
        </is>
      </c>
      <c r="I2017" s="0" t="inlineStr">
        <is>
          <t>NULL</t>
        </is>
      </c>
      <c r="J2017" s="0" t="inlineStr">
        <is>
          <t>NULL</t>
        </is>
      </c>
      <c r="K2017" s="0" t="inlineStr">
        <is>
          <t>YES! 	 c_time6列源备映射正确，源端为time None位	期望更改为time(n)	实际备端为time None位</t>
        </is>
      </c>
    </row>
    <row r="2018">
      <c r="B2018" s="0" t="inlineStr">
        <is>
          <t>NULL</t>
        </is>
      </c>
      <c r="C2018" s="0" t="inlineStr">
        <is>
          <t>NULL</t>
        </is>
      </c>
      <c r="D2018" s="0" t="inlineStr">
        <is>
          <t>NULL</t>
        </is>
      </c>
      <c r="E2018" s="0" t="inlineStr">
        <is>
          <t>NULL</t>
        </is>
      </c>
      <c r="F2018" s="0" t="inlineStr">
        <is>
          <t>NULL</t>
        </is>
      </c>
      <c r="G2018" s="0" t="inlineStr">
        <is>
          <t>NULL</t>
        </is>
      </c>
      <c r="H2018" s="0" t="inlineStr">
        <is>
          <t>NULL</t>
        </is>
      </c>
      <c r="I2018" s="0" t="inlineStr">
        <is>
          <t>NULL</t>
        </is>
      </c>
      <c r="J2018" s="0" t="inlineStr">
        <is>
          <t>NULL</t>
        </is>
      </c>
      <c r="K2018" s="0" t="inlineStr">
        <is>
          <t>YES! 	 c_time列源备映射正确，源端为time None位	期望更改为time(n)	实际备端为time None位</t>
        </is>
      </c>
    </row>
    <row r="2019">
      <c r="A2019" s="0" t="inlineStr">
        <is>
          <t>info_varbinary_dml_batch2_pk_irp1</t>
        </is>
      </c>
      <c r="K2019" s="0" t="inlineStr">
        <is>
          <t>[0;34m info_varbinary_dml_batch2_pk_irp1 [0m源备字段数相同，源端字段：4 	备端字段4</t>
        </is>
      </c>
      <c r="W2019" s="0" t="inlineStr">
        <is>
          <t>YES 源备无差异</t>
        </is>
      </c>
      <c r="X2019" s="0">
        <f>A2019</f>
        <v/>
      </c>
    </row>
    <row r="2020">
      <c r="B2020" s="0" t="inlineStr">
        <is>
          <t>YES</t>
        </is>
      </c>
      <c r="C2020" s="0" t="inlineStr">
        <is>
          <t>NULL</t>
        </is>
      </c>
      <c r="D2020" s="0" t="inlineStr">
        <is>
          <t>NULL</t>
        </is>
      </c>
      <c r="E2020" s="0" t="inlineStr">
        <is>
          <t>NULL</t>
        </is>
      </c>
      <c r="F2020" s="0" t="inlineStr">
        <is>
          <t>NULL</t>
        </is>
      </c>
      <c r="G2020" s="0" t="inlineStr">
        <is>
          <t>NULL</t>
        </is>
      </c>
      <c r="H2020" s="0" t="inlineStr">
        <is>
          <t>NULL</t>
        </is>
      </c>
      <c r="I2020" s="0" t="inlineStr">
        <is>
          <t>YES!PK__info_var__3213E83F593F6778</t>
        </is>
      </c>
      <c r="J2020" s="0" t="inlineStr">
        <is>
          <t>YES! 主键相关索引</t>
        </is>
      </c>
      <c r="K2020" s="0" t="inlineStr">
        <is>
          <t>YES! 	 id列源备映射正确，源端为int None位	期望更改为int	实际备端为int None位</t>
        </is>
      </c>
    </row>
    <row r="2021">
      <c r="B2021" s="0" t="inlineStr">
        <is>
          <t>NULL</t>
        </is>
      </c>
      <c r="C2021" s="0" t="inlineStr">
        <is>
          <t>NULL</t>
        </is>
      </c>
      <c r="D2021" s="0" t="inlineStr">
        <is>
          <t>NULL</t>
        </is>
      </c>
      <c r="E2021" s="0" t="inlineStr">
        <is>
          <t>NULL</t>
        </is>
      </c>
      <c r="F2021" s="0" t="inlineStr">
        <is>
          <t>NULL</t>
        </is>
      </c>
      <c r="G2021" s="0" t="inlineStr">
        <is>
          <t>NULL</t>
        </is>
      </c>
      <c r="H2021" s="0" t="inlineStr">
        <is>
          <t>NULL</t>
        </is>
      </c>
      <c r="I2021" s="0" t="inlineStr">
        <is>
          <t>NULL</t>
        </is>
      </c>
      <c r="J2021" s="0" t="inlineStr">
        <is>
          <t>NULL</t>
        </is>
      </c>
      <c r="K2021" s="0" t="inlineStr">
        <is>
          <t>YES! 	 c_varbinary列源备映射正确，源端为varbinary 1位	期望更改为varbinary(n)	实际备端为varbinary 1位</t>
        </is>
      </c>
    </row>
    <row r="2022">
      <c r="B2022" s="0" t="inlineStr">
        <is>
          <t>NULL</t>
        </is>
      </c>
      <c r="C2022" s="0" t="inlineStr">
        <is>
          <t>NULL</t>
        </is>
      </c>
      <c r="D2022" s="0" t="inlineStr">
        <is>
          <t>NULL</t>
        </is>
      </c>
      <c r="E2022" s="0" t="inlineStr">
        <is>
          <t>NULL</t>
        </is>
      </c>
      <c r="F2022" s="0" t="inlineStr">
        <is>
          <t>NULL</t>
        </is>
      </c>
      <c r="G2022" s="0" t="inlineStr">
        <is>
          <t>NULL</t>
        </is>
      </c>
      <c r="H2022" s="0" t="inlineStr">
        <is>
          <t>NULL</t>
        </is>
      </c>
      <c r="I2022" s="0" t="inlineStr">
        <is>
          <t>NULL</t>
        </is>
      </c>
      <c r="J2022" s="0" t="inlineStr">
        <is>
          <t>NULL</t>
        </is>
      </c>
      <c r="K2022" s="0" t="inlineStr">
        <is>
          <t>YES! 	 c_varbinary_100列源备映射正确，源端为varbinary 100位	期望更改为varbinary(n)	实际备端为varbinary 100位</t>
        </is>
      </c>
    </row>
    <row r="2023">
      <c r="B2023" s="0" t="inlineStr">
        <is>
          <t>NULL</t>
        </is>
      </c>
      <c r="C2023" s="0" t="inlineStr">
        <is>
          <t>NULL</t>
        </is>
      </c>
      <c r="D2023" s="0" t="inlineStr">
        <is>
          <t>NULL</t>
        </is>
      </c>
      <c r="E2023" s="0" t="inlineStr">
        <is>
          <t>NULL</t>
        </is>
      </c>
      <c r="F2023" s="0" t="inlineStr">
        <is>
          <t>NULL</t>
        </is>
      </c>
      <c r="G2023" s="0" t="inlineStr">
        <is>
          <t>NULL</t>
        </is>
      </c>
      <c r="H2023" s="0" t="inlineStr">
        <is>
          <t>NULL</t>
        </is>
      </c>
      <c r="I2023" s="0" t="inlineStr">
        <is>
          <t>NULL</t>
        </is>
      </c>
      <c r="J2023" s="0" t="inlineStr">
        <is>
          <t>NULL</t>
        </is>
      </c>
      <c r="K2023" s="0" t="inlineStr">
        <is>
          <t>YES! 	 c_varbinary_8000列源备映射正确，源端为varbinary 8000位	期望更改为varbinary(n)	实际备端为varbinary 8000位</t>
        </is>
      </c>
    </row>
  </sheetData>
  <autoFilter ref="A2:X2023"/>
  <mergeCells count="303">
    <mergeCell ref="A1146:A1150"/>
    <mergeCell ref="A1396:A1406"/>
    <mergeCell ref="A1098:A1100"/>
    <mergeCell ref="A1548:A1557"/>
    <mergeCell ref="A1074:A1078"/>
    <mergeCell ref="A1667:A1671"/>
    <mergeCell ref="A1987:A1989"/>
    <mergeCell ref="A859:A884"/>
    <mergeCell ref="A1375:A1377"/>
    <mergeCell ref="A793:A795"/>
    <mergeCell ref="A1756:A1758"/>
    <mergeCell ref="A1334:A1338"/>
    <mergeCell ref="A1940:A1945"/>
    <mergeCell ref="A633:A635"/>
    <mergeCell ref="A715:A717"/>
    <mergeCell ref="A786:A788"/>
    <mergeCell ref="A900:A909"/>
    <mergeCell ref="A991:A993"/>
    <mergeCell ref="A1378:A1387"/>
    <mergeCell ref="A265:A269"/>
    <mergeCell ref="A1592:A1601"/>
    <mergeCell ref="A2009:A2018"/>
    <mergeCell ref="A36:A45"/>
    <mergeCell ref="A13:A17"/>
    <mergeCell ref="A77:A81"/>
    <mergeCell ref="A107:A109"/>
    <mergeCell ref="A848:A852"/>
    <mergeCell ref="A929:A938"/>
    <mergeCell ref="A1932:A1936"/>
    <mergeCell ref="A31:A35"/>
    <mergeCell ref="A589:A591"/>
    <mergeCell ref="A1843:A1863"/>
    <mergeCell ref="A925:A928"/>
    <mergeCell ref="A275:A277"/>
    <mergeCell ref="A132:A136"/>
    <mergeCell ref="A421:A425"/>
    <mergeCell ref="A158:A167"/>
    <mergeCell ref="A641:A644"/>
    <mergeCell ref="A663:A667"/>
    <mergeCell ref="A222:A224"/>
    <mergeCell ref="A1958:A1960"/>
    <mergeCell ref="A707:A711"/>
    <mergeCell ref="A1038:A1040"/>
    <mergeCell ref="A1151:A1153"/>
    <mergeCell ref="A1759:A1764"/>
    <mergeCell ref="A1706:A1726"/>
    <mergeCell ref="A563:A588"/>
    <mergeCell ref="A628:A632"/>
    <mergeCell ref="A1425:A1429"/>
    <mergeCell ref="A322:A342"/>
    <mergeCell ref="A196:A198"/>
    <mergeCell ref="A2001:A2003"/>
    <mergeCell ref="A1438:A1447"/>
    <mergeCell ref="A214:A216"/>
    <mergeCell ref="A317:A321"/>
    <mergeCell ref="A1622:A1624"/>
    <mergeCell ref="A636:A640"/>
    <mergeCell ref="A244:A264"/>
    <mergeCell ref="A698:A702"/>
    <mergeCell ref="A920:A924"/>
    <mergeCell ref="A1303:A1312"/>
    <mergeCell ref="A1578:A1582"/>
    <mergeCell ref="A955:A964"/>
    <mergeCell ref="A1727:A1729"/>
    <mergeCell ref="A1238:A1247"/>
    <mergeCell ref="A1735:A1755"/>
    <mergeCell ref="A1920:A1922"/>
    <mergeCell ref="A2019:A2023"/>
    <mergeCell ref="A1730:A1734"/>
    <mergeCell ref="A645:A647"/>
    <mergeCell ref="A1523:A1532"/>
    <mergeCell ref="A18:A22"/>
    <mergeCell ref="A1984:A1986"/>
    <mergeCell ref="A385:A389"/>
    <mergeCell ref="A477:A502"/>
    <mergeCell ref="A592:A596"/>
    <mergeCell ref="A1558:A1562"/>
    <mergeCell ref="A1583:A1585"/>
    <mergeCell ref="A1473:A1482"/>
    <mergeCell ref="A1388:A1392"/>
    <mergeCell ref="A1946:A1948"/>
    <mergeCell ref="A972:A981"/>
    <mergeCell ref="A1533:A1537"/>
    <mergeCell ref="A1573:A1577"/>
    <mergeCell ref="A653:A658"/>
    <mergeCell ref="A1204:A1209"/>
    <mergeCell ref="A1448:A1457"/>
    <mergeCell ref="A230:A232"/>
    <mergeCell ref="A703:A706"/>
    <mergeCell ref="A718:A721"/>
    <mergeCell ref="A1638:A1642"/>
    <mergeCell ref="A1154:A1158"/>
    <mergeCell ref="A62:A66"/>
    <mergeCell ref="A382:A384"/>
    <mergeCell ref="A969:A971"/>
    <mergeCell ref="A1122:A1124"/>
    <mergeCell ref="A1193:A1195"/>
    <mergeCell ref="A1979:A1983"/>
    <mergeCell ref="A199:A203"/>
    <mergeCell ref="A1025:A1029"/>
    <mergeCell ref="A1196:A1200"/>
    <mergeCell ref="A735:A737"/>
    <mergeCell ref="A1177:A1179"/>
    <mergeCell ref="A673:A675"/>
    <mergeCell ref="A888:A890"/>
    <mergeCell ref="A1972:A1975"/>
    <mergeCell ref="A1818:A1839"/>
    <mergeCell ref="A1283:A1292"/>
    <mergeCell ref="A176:A180"/>
    <mergeCell ref="A426:A446"/>
    <mergeCell ref="A856:A858"/>
    <mergeCell ref="A1012:A1014"/>
    <mergeCell ref="A1488:A1497"/>
    <mergeCell ref="A1607:A1616"/>
    <mergeCell ref="A1949:A1951"/>
    <mergeCell ref="A1059:A1063"/>
    <mergeCell ref="A648:A652"/>
    <mergeCell ref="A1101:A1103"/>
    <mergeCell ref="A986:A990"/>
    <mergeCell ref="A1004:A1007"/>
    <mergeCell ref="A1899:A1903"/>
    <mergeCell ref="A1990:A1994"/>
    <mergeCell ref="A225:A229"/>
    <mergeCell ref="A727:A729"/>
    <mergeCell ref="A1051:A1055"/>
    <mergeCell ref="A1318:A1320"/>
    <mergeCell ref="A743:A746"/>
    <mergeCell ref="A910:A919"/>
    <mergeCell ref="A1349:A1353"/>
    <mergeCell ref="A1064:A1073"/>
    <mergeCell ref="A690:A694"/>
    <mergeCell ref="A356:A376"/>
    <mergeCell ref="A153:A157"/>
    <mergeCell ref="A1357:A1366"/>
    <mergeCell ref="A346:A350"/>
    <mergeCell ref="A1966:A1968"/>
    <mergeCell ref="A1136:A1145"/>
    <mergeCell ref="A1869:A1889"/>
    <mergeCell ref="A503:A507"/>
    <mergeCell ref="A2004:A2008"/>
    <mergeCell ref="A137:A141"/>
    <mergeCell ref="A965:A968"/>
    <mergeCell ref="A1185:A1187"/>
    <mergeCell ref="A1293:A1302"/>
    <mergeCell ref="A1765:A1785"/>
    <mergeCell ref="A1976:A1978"/>
    <mergeCell ref="A217:A221"/>
    <mergeCell ref="A1223:A1227"/>
    <mergeCell ref="A1625:A1629"/>
    <mergeCell ref="A945:A954"/>
    <mergeCell ref="A204:A208"/>
    <mergeCell ref="A553:A557"/>
    <mergeCell ref="A97:A106"/>
    <mergeCell ref="A853:A855"/>
    <mergeCell ref="A1107:A1116"/>
    <mergeCell ref="A994:A1003"/>
    <mergeCell ref="A1093:A1097"/>
    <mergeCell ref="A1677:A1681"/>
    <mergeCell ref="A738:A742"/>
    <mergeCell ref="A1258:A1262"/>
    <mergeCell ref="A1952:A1954"/>
    <mergeCell ref="A1104:A1106"/>
    <mergeCell ref="A1079:A1081"/>
    <mergeCell ref="A377:A381"/>
    <mergeCell ref="A529:A531"/>
    <mergeCell ref="A1117:A1121"/>
    <mergeCell ref="A1313:A1317"/>
    <mergeCell ref="A1463:A1472"/>
    <mergeCell ref="A747:A750"/>
    <mergeCell ref="A1815:A1817"/>
    <mergeCell ref="A1643:A1663"/>
    <mergeCell ref="A1937:A1939"/>
    <mergeCell ref="A150:A152"/>
    <mergeCell ref="A59:A61"/>
    <mergeCell ref="A67:A76"/>
    <mergeCell ref="A1786:A1788"/>
    <mergeCell ref="A1895:A1898"/>
    <mergeCell ref="A28:A30"/>
    <mergeCell ref="A982:A985"/>
    <mergeCell ref="A416:A420"/>
    <mergeCell ref="A82:A91"/>
    <mergeCell ref="A1263:A1272"/>
    <mergeCell ref="A1354:A1356"/>
    <mergeCell ref="A1370:A1374"/>
    <mergeCell ref="A1929:A1931"/>
    <mergeCell ref="A390:A415"/>
    <mergeCell ref="A1923:A1925"/>
    <mergeCell ref="A142:A146"/>
    <mergeCell ref="A304:A308"/>
    <mergeCell ref="A238:A243"/>
    <mergeCell ref="A1321:A1330"/>
    <mergeCell ref="A92:A96"/>
    <mergeCell ref="A270:A274"/>
    <mergeCell ref="A343:A345"/>
    <mergeCell ref="A623:A627"/>
    <mergeCell ref="A1248:A1257"/>
    <mergeCell ref="A1130:A1132"/>
    <mergeCell ref="A121:A131"/>
    <mergeCell ref="A1210:A1212"/>
    <mergeCell ref="A3:A12"/>
    <mergeCell ref="A1664:A1666"/>
    <mergeCell ref="A1890:A1894"/>
    <mergeCell ref="A1955:A1957"/>
    <mergeCell ref="A712:A714"/>
    <mergeCell ref="A54:A58"/>
    <mergeCell ref="A1273:A1282"/>
    <mergeCell ref="A597:A622"/>
    <mergeCell ref="A668:A672"/>
    <mergeCell ref="A781:A785"/>
    <mergeCell ref="A1430:A1432"/>
    <mergeCell ref="A1417:A1419"/>
    <mergeCell ref="A755:A780"/>
    <mergeCell ref="A789:A792"/>
    <mergeCell ref="A891:A895"/>
    <mergeCell ref="A508:A528"/>
    <mergeCell ref="A1508:A1512"/>
    <mergeCell ref="A1794:A1814"/>
    <mergeCell ref="A1367:A1369"/>
    <mergeCell ref="A278:A298"/>
    <mergeCell ref="A695:A697"/>
    <mergeCell ref="A1789:A1793"/>
    <mergeCell ref="A1926:A1928"/>
    <mergeCell ref="A233:A237"/>
    <mergeCell ref="A751:A754"/>
    <mergeCell ref="A1133:A1135"/>
    <mergeCell ref="A1041:A1050"/>
    <mergeCell ref="A1602:A1606"/>
    <mergeCell ref="A1339:A1348"/>
    <mergeCell ref="A451:A471"/>
    <mergeCell ref="A558:A562"/>
    <mergeCell ref="A113:A117"/>
    <mergeCell ref="A1912:A1914"/>
    <mergeCell ref="A1035:A1037"/>
    <mergeCell ref="A147:A149"/>
    <mergeCell ref="A1617:A1621"/>
    <mergeCell ref="A1682:A1684"/>
    <mergeCell ref="A309:A311"/>
    <mergeCell ref="A1393:A1395"/>
    <mergeCell ref="A186:A195"/>
    <mergeCell ref="A796:A821"/>
    <mergeCell ref="A312:A316"/>
    <mergeCell ref="A23:A27"/>
    <mergeCell ref="A1015:A1024"/>
    <mergeCell ref="A1635:A1637"/>
    <mergeCell ref="A299:A303"/>
    <mergeCell ref="A181:A185"/>
    <mergeCell ref="A1125:A1129"/>
    <mergeCell ref="A659:A662"/>
    <mergeCell ref="A681:A685"/>
    <mergeCell ref="A1159:A1161"/>
    <mergeCell ref="A1998:A2000"/>
    <mergeCell ref="A209:A213"/>
    <mergeCell ref="A939:A944"/>
    <mergeCell ref="A1188:A1192"/>
    <mergeCell ref="A171:A175"/>
    <mergeCell ref="A447:A450"/>
    <mergeCell ref="A1904:A1906"/>
    <mergeCell ref="A1969:A1971"/>
    <mergeCell ref="A1213:A1222"/>
    <mergeCell ref="A1228:A1237"/>
    <mergeCell ref="A730:A734"/>
    <mergeCell ref="A1201:A1203"/>
    <mergeCell ref="A1082:A1092"/>
    <mergeCell ref="A532:A552"/>
    <mergeCell ref="A1498:A1507"/>
    <mergeCell ref="A49:A53"/>
    <mergeCell ref="A1538:A1547"/>
    <mergeCell ref="A1685:A1705"/>
    <mergeCell ref="A1840:A1842"/>
    <mergeCell ref="A1864:A1868"/>
    <mergeCell ref="A110:A112"/>
    <mergeCell ref="A676:A680"/>
    <mergeCell ref="A896:A899"/>
    <mergeCell ref="A1513:A1522"/>
    <mergeCell ref="A1008:A1011"/>
    <mergeCell ref="A1030:A1034"/>
    <mergeCell ref="A1630:A1634"/>
    <mergeCell ref="A822:A847"/>
    <mergeCell ref="A722:A726"/>
    <mergeCell ref="A1331:A1333"/>
    <mergeCell ref="A1586:A1591"/>
    <mergeCell ref="A1563:A1572"/>
    <mergeCell ref="A168:A170"/>
    <mergeCell ref="A1407:A1416"/>
    <mergeCell ref="A1915:A1919"/>
    <mergeCell ref="A118:A120"/>
    <mergeCell ref="A1458:A1462"/>
    <mergeCell ref="A1483:A1487"/>
    <mergeCell ref="A1961:A1965"/>
    <mergeCell ref="A1672:A1676"/>
    <mergeCell ref="A1167:A1176"/>
    <mergeCell ref="A1433:A1437"/>
    <mergeCell ref="A1995:A1997"/>
    <mergeCell ref="A472:A476"/>
    <mergeCell ref="A885:A887"/>
    <mergeCell ref="A1056:A1058"/>
    <mergeCell ref="A1180:A1184"/>
    <mergeCell ref="A686:A689"/>
    <mergeCell ref="A46:A48"/>
    <mergeCell ref="A1162:A1166"/>
    <mergeCell ref="A1420:A1424"/>
    <mergeCell ref="A1907:A1911"/>
    <mergeCell ref="A351:A3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155"/>
  <sheetViews>
    <sheetView workbookViewId="0">
      <selection activeCell="A1" sqref="A1"/>
    </sheetView>
  </sheetViews>
  <sheetFormatPr baseColWidth="8" defaultRowHeight="15"/>
  <sheetData>
    <row r="1">
      <c r="A1" s="0" t="inlineStr">
        <is>
          <t>sqlserver -- 2026051816mysql</t>
        </is>
      </c>
      <c r="E1" s="0" t="inlineStr">
        <is>
          <t>源备表数量不一致，源端共计 303个表，备端共计 159个表，
 缺失表单['info_geometry_dml_single_pk_urp', 'info_time_dml_batch1_pk_irp2', 'info_varbinary_dml_batch2_pk_irp2', 'info_geometry_dml_single_pk_drp', 'info_time_dml_batch2_pk_irp1', 'info_varbinary_dml_batch1_pk_urp1', 'info_geometry_dml_single_pk', 'info_time_dml_batch2_pk_irp2', 'info_varbinary_dml_batch1_pk_urp2', 'info_time_dml_batch1_pk_urp1', 'info_char_dml_batch1_pk_irp1', 'info_char_dml_single_pk_irp', 'info_time_dml_batch1_pk_drp1', 'info_char_dml_batch2_pk_irp1', 'info_hierarchyid_dml_single_pk_irp', 'info_char_dml_single_pk_urp', 'info_time_dml_batch1_pk_drp2', 'info_hierarchyid_dml_single_pk_urp', 'info_char_dml_single_pk_drp', 'info_time_dml_batch1_pk', 'info_char_dml_batch1_pk_urp1', 'info_char_dml_batch1_pk_urp2', 'info_hierarchyid_dml_single_pk', 'info_varchar_dml_single_pk_irp', 'info_char_dml_batch1_pk_drp1', 'info_varchar_dml_single_pk_urp', 'info_sdt_dml_batch2_pk_irp1', 'info_char_dml_batch1_pk_drp2', 'info_int_dml_single_pk_urp', 'info_int_dml_single_pk_drp', 'info_varchar_dml_single_pk', 'info_sdt_dml_batch1_pk_urp1', 'info_varchar_dml_batch1_pk_irp1', 'info_varchar_dml_batch1_pk_irp2', 'info_sql_variant_dml_single_pk_irp', 'info_nchar_dml_single_pk_urp', 'info_nchar_dml_single_pk_drp', 'info_sdt_dml_batch1_pk_drp2', 'info_varchar_dml_batch2_pk_irp2', 'info_sql_variant_dml_single_pk_drp', 'info_sql_variant_dml_single_pk', 'info_nvarchar_dml_single_pk_irp', 'info_datetime_dml_batch1_pk_irp1', 'info_varchar_dml_batch1_pk_urp2', 'info_varchar_dml_batch1_pk_drp1', 'info_text_dml_single_pk_urp', 'info_nvarchar_dml_single_pk_drp', 'info_datetime_dml_batch2_pk_irp1', 'info_nvarchar_dml_single_pk', 'info_datetime_dml_batch2_pk_irp2', 'info_varchar_dml_batch1_pk', 'info_text_dml_single_pk', 'info_varcharmax_dml_single_pk_irp', 'info_datetime_dml_batch1_pk_urp1', 'info_date_dml_single_pk_irp', 'info_varcharmax_dml_single_pk_urp', 'info_datetime_dml_batch1_pk_urp2', 'info_nchar_dml_batch1_pk_irp2', 'info_date_dml_single_pk_urp', 'info_varcharmax_dml_single_pk_drp', 'info_datetime_dml_batch1_pk_drp1', 'info_nchar_dml_batch2_pk_irp1', 'info_date_dml_single_pk_drp', 'info_varcharmax_dml_single_pk', 'info_datetime_dml_batch1_pk_drp2', 'info_nchar_dml_batch2_pk_irp2', 'info_date_dml_single_pk', 'info_nchar_dml_batch1_pk_urp1', 'info_time_dml_single_pk_irp', 'info_datetime2_dml_batch1_pk_irp1', 'info_nchar_dml_batch2_pk_urp2', 'info_time_dml_single_pk_urp', 'info_time_dml_single_pk_drp', 'info_datetime2_dml_batch2_pk_irp1', 'info_datetime2_dml_batch2_pk_irp2', 'info_nchar_dml_batch1_pk', 'info_sdt_dml_single_pk_irp', 'info_datetime2_dml_batch1_pk_urp2', 'info_nvarchar_dml_batch1_pk_irp2', 'info_sdt_dml_single_pk', 'info_datetime2_dml_batch1_pk_drp2', 'info_datetime2_dml_batch1_pk', 'info_nvarchar_dml_batch1_pk_urp1', 'info_datetime_dml_single_pk_urp', 'info_datetimeoffset_dml_batch1_pk_irp2', 'info_nvarchar_dml_batch1_pk_drp1', 'info_datetime2_dml_single_pk_irp', 'info_datetimeoffset_dml_batch2_pk_irp2', 'info_nvarchar_dml_batch1_pk', 'info_datetimeoffset_dml_batch1_pk_urp1', 'info_varcharmax_dml_batch1_pk_irp1', 'info_datetime2_dml_single_pk_drp', 'info_datetimeoffset_dml_batch1_pk_urp2', 'info_datetime2_dml_single_pk', 'info_datetimeoffset_dml_batch1_pk_drp1', 'info_varcharmax_dml_batch2_pk_irp1', 'info_datetimeoffset_dml_single_pk_irp', 'info_datetimeoffset_dml_single_pk_urp', 'info_binary_dml_single_pk_urp', 'info_datetimeoffset_dml_batch1_pk', 'info_varcharmax_dml_batch1_pk_urp1', 'info_datetimeoffset_dml_single_pk_drp', 'info_varcharmax_dml_batch1_pk_urp2', 'info_datetimeoffset_dml_single_pk', 'info_binary_dml_single_pk', 'info_varcharmax_dml_batch1_pk_drp1', 'info_timestamp_dml_single_pk_irp', 'info_varbinary_dml_single_pk_irp', 'info_varcharmax_dml_batch1_pk_drp2', 'info_timestamp_dml_single_pk_drp', 'info_varbinary_dml_single_pk_urp', 'info_varcharmax_dml_batch1_pk', 'info_varbinary_dml_single_pk_drp', 'info_int_dml_batch1_pk_irp1', 'info_uniqueidentifier_dml_single_pk_urp', 'info_varbinary_dml_single_pk', 'info_varbinary_max_dml_single_pk_irp', 'info_int_dml_batch2_pk_irp1', 'info_uniqueidentifier_dml_single_pk', 'info_xml_dml_single_pk_irp', 'info_varbinary_max_dml_single_pk_drp', 'info_int_dml_batch1_pk_urp1', 'info_int_dml_batch1_pk_urp2', 'info_xml_dml_single_pk_drp', 'info_int_dml_batch1_pk_drp2', 'info_binary_dml_batch1_pk_irp1', 'info_binary_dml_batch1_pk_irp2', 'info_date_dml_batch1_pk_irp1', 'info_date_dml_batch1_pk_irp2', 'info_binary_dml_batch2_pk_irp2', 'info_date_dml_batch2_pk_irp2', 'info_binary_dml_batch1_pk_urp2', 'info_binary_dml_batch1_pk_drp1', 'info_geography_dml_single_pk_irp', 'info_date_dml_batch1_pk_urp2', 'info_date_dml_batch1_pk_drp1', 'info_binary_dml_batch1_pk', 'info_geography_dml_single_pk_drp', 'info_date_dml_batch1_pk_drp2', 'info_date_dml_batch1_pk', 'info_varbinary_dml_batch1_pk_irp2', 'info_geometry_dml_single_pk_irp', 'info_time_dml_batch1_pk_irp1', 'info_varbinary_dml_batch2_pk_irp1']</t>
        </is>
      </c>
    </row>
    <row r="2">
      <c r="A2" s="0" t="inlineStr">
        <is>
          <t>表名</t>
        </is>
      </c>
      <c r="B2" s="0" t="inlineStr">
        <is>
          <t>pk</t>
        </is>
      </c>
      <c r="C2" s="0" t="inlineStr">
        <is>
          <t>default</t>
        </is>
      </c>
      <c r="D2" s="0" t="inlineStr">
        <is>
          <t>唯一</t>
        </is>
      </c>
      <c r="E2" s="0" t="inlineStr">
        <is>
          <t>复合唯一</t>
        </is>
      </c>
      <c r="F2" s="0" t="inlineStr">
        <is>
          <t>check</t>
        </is>
      </c>
      <c r="G2" s="0" t="inlineStr">
        <is>
          <t>源ck_def</t>
        </is>
      </c>
      <c r="H2" s="0" t="inlineStr">
        <is>
          <t>备check</t>
        </is>
      </c>
      <c r="I2" s="0" t="inlineStr">
        <is>
          <t>索引</t>
        </is>
      </c>
      <c r="J2" s="0" t="inlineStr">
        <is>
          <t>复合索引</t>
        </is>
      </c>
      <c r="K2" s="0" t="inlineStr">
        <is>
          <t>状态</t>
        </is>
      </c>
      <c r="W2" s="0" t="inlineStr">
        <is>
          <t>表内容</t>
        </is>
      </c>
      <c r="Y2" s="15">
        <f>HYPERLINK("#2026051816mysql0!W9","info_char_dml_single_nopk")</f>
        <v/>
      </c>
      <c r="Z2" s="15">
        <f>HYPERLINK("#2026051816mysql0!W14","info_char_dml_single_nopk_drp")</f>
        <v/>
      </c>
      <c r="AA2" s="15">
        <f>HYPERLINK("#2026051816mysql0!W19","info_char_dml_single_nopk_irp")</f>
        <v/>
      </c>
      <c r="AB2" s="15">
        <f>HYPERLINK("#2026051816mysql0!W191","info_nchar_dml_single_nopk")</f>
        <v/>
      </c>
      <c r="AC2" s="15">
        <f>HYPERLINK("#2026051816mysql0!W294","info_int_dml_single_nopk_drp")</f>
        <v/>
      </c>
      <c r="AD2" s="15">
        <f>HYPERLINK("#2026051816mysql0!W416","info_sql_variant_dml_single_nopk_urp")</f>
        <v/>
      </c>
      <c r="AE2" s="15">
        <f>HYPERLINK("#2026051816mysql0!W442","info_sql_variant_dml_single_nopk_drp")</f>
        <v/>
      </c>
      <c r="AF2" s="15">
        <f>HYPERLINK("#2026051816mysql0!W471","info_sql_variant_dml_single_nopk")</f>
        <v/>
      </c>
    </row>
    <row r="3">
      <c r="A3" s="0" t="inlineStr">
        <is>
          <t>info_char_dml_single_nopk_urp</t>
        </is>
      </c>
      <c r="K3" s="0" t="inlineStr">
        <is>
          <t>[0;34m info_char_dml_single_nopk_urp [0m源备字段数相同，源端字段：4 	备端字段4</t>
        </is>
      </c>
      <c r="W3" s="0" t="inlineStr">
        <is>
          <t>YES 源备无差异</t>
        </is>
      </c>
      <c r="X3" s="0">
        <f>A3</f>
        <v/>
      </c>
      <c r="Y3" s="0" t="inlineStr">
        <is>
          <t>tgt行 ['2', '', '', '                                                                                                                                                                                                                                                                                                                                                                                                                                                                                                                                                                                                                                                                                                                                                                                                                                                                                                                                                                                                                                                                                                                                                                                                                                                                                                                                                                                                                                                                                                                                                                                                                                                                                                                                                                                                                                                                                                                                                                                                                                                                                                                                                                                                                                                                                                                                                                                                                                                                                                                                                                                                                                                                                                                                                                                                                                                                                                                                                                                                                                                                                                                                                                                                                                                                                                                                                                                                                                                                                                                                                                                                                                                                                                                                                                                                                                                                                                                                                                                                                                                                                                                                                                                                                                                                                                                                                                                                                                                                                                                                                                                                                                                                                                                                                                                                                                                                                                                                                                                                                                                                                                                                                                                                                                                                                                                                                                                                                                                                                                                                                                                                                                                                                                                                                                                                                                                                                                                                                                                                                                                                                                                                                                                                                                                                                                                                                                                                                                                                                                                                                                                                                                                                                                                                                                                                                                                                                                                                                                                                                                                                                                                                                                                                                                                                                        ']列，源：None 备：adfc7b63a288f9e068cee3ae698e6187</t>
        </is>
      </c>
      <c r="Z3" s="0" t="inlineStr">
        <is>
          <t>tgt行 ['2', '', '', '                                                                                                                                                                                                                                                                                                                                                                                                                                                                                                                                                                                                                                                                                                                                                                                                                                                                                                                                                                                                                                                                                                                                                                                                                                                                                                                                                                                                                                                                                                                                                                                                                                                                                                                                                                                                                                                                                                                                                                                                                                                                                                                                                                                                                                                                                                                                                                                                                                                                                                                                                                                                                                                                                                                                                                                                                                                                                                                                                                                                                                                                                                                                                                                                                                                                                                                                                                                                                                                                                                                                                                                                                                                                                                                                                                                                                                                                                                                                                                                                                                                                                                                                                                                                                                                                                                                                                                                                                                                                                                                                                                                                                                                                                                                                                                                                                                                                                                                                                                                                                                                                                                                                                                                                                                                                                                                                                                                                                                                                                                                                                                                                                                                                                                                                                                                                                                                                                                                                                                                                                                                                                                                                                                                                                                                                                                                                                                                                                                                                                                                                                                                                                                                                                                                                                                                                                                                                                                                                                                                                                                                                                                                                                                                                                                                                                        ']列，源：None 备：adfc7b63a288f9e068cee3ae698e6187</t>
        </is>
      </c>
      <c r="AA3" s="0" t="inlineStr">
        <is>
          <t>tgt行 ['2', '', '', '                                                                                                                                                                                                                                                                                                                                                                                                                                                                                                                                                                                                                                                                                                                                                                                                                                                                                                                                                                                                                                                                                                                                                                                                                                                                                                                                                                                                                                                                                                                                                                                                                                                                                                                                                                                                                                                                                                                                                                                                                                                                                                                                                                                                                                                                                                                                                                                                                                                                                                                                                                                                                                                                                                                                                                                                                                                                                                                                                                                                                                                                                                                                                                                                                                                                                                                                                                                                                                                                                                                                                                                                                                                                                                                                                                                                                                                                                                                                                                                                                                                                                                                                                                                                                                                                                                                                                                                                                                                                                                                                                                                                                                                                                                                                                                                                                                                                                                                                                                                                                                                                                                                                                                                                                                                                                                                                                                                                                                                                                                                                                                                                                                                                                                                                                                                                                                                                                                                                                                                                                                                                                                                                                                                                                                                                                                                                                                                                                                                                                                                                                                                                                                                                                                                                                                                                                                                                                                                                                                                                                                                                                                                                                                                                                                                                                                                                                                                                                                                                                                                                                                                                                                                                                                                                                                                                                                                                                                                                                                                                                                                                                                                                                                                                                                                                                                                                ']列，源：None 备：512c57ed09deb3da564132dbbe7d4f86</t>
        </is>
      </c>
      <c r="AB3" s="0" t="inlineStr">
        <is>
          <t>tgt行 ['2', '', '', '                                                                                                                                                                                                                                                                                                                                                                                                                                                                                                                                                                                                                                                                                                                                                                                                                                                                                                                                                                                                                                                                                                                                                                                                                                                                                                                                                                                                                                                                                                                                                                                                                                                                                                                                                                                                                                                                                                                                                                                                                                                                                                                                                                                                                                                                                                                                                                                                                                                                                                                                                                                                                                                                                                                                                                                                                                                                                                                                                                                                                                                                                                                                                                                                                                                                                                                                                                                                                                                                                                                                                                                                                                            ']列，源：None 备：0bb8f1d20540822f7cd467954d7939b9</t>
        </is>
      </c>
      <c r="AC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D3" s="0" t="inlineStr">
        <is>
          <t>tgt行 ['1', '2046-05-11 00:00', '2026-05-18 18:10', '2012-05-11 14:30', '1999-05-11 15:30+01:00', '255', '32767', '2147483647', '2012-10-01 14:30', '0', '922337203685477.5807', '2000-05-01 23:59', '6.62607e-34', '1', '123456789012.1234', 'B6B0C3D4-E8F9-4A5B-6C7D-8E9F0A1B2C3E', '1234.5678', '1234567890123', '0x7661726961626C65206C656E6774682062696E61', '这是一个中文字符串', '0xC9CFBAA32324255E262A2D3D0000000000000000', '*TEST英255Val方&amp;    ', '*TEST英255Val方&amp;', '&amp;TooLong英255Val方!   ']列，源：None 备：692ae6ff0cbab19aa5c43e171371dec9</t>
        </is>
      </c>
      <c r="AE3" s="0" t="inlineStr">
        <is>
          <t>tgt行 ['3', '2034-02-21 00:00', '2026-05-18 03:59', '2012-05-11 14:30', '1991-05-11 00:00+14:00', '10', '-12768', '-147483648', '2013-10-01 14:30', '-1.4e+38', '-122337203685477.5808', '1999-12-30 23:59', '-1.79e+30', '1', '-2000000000000', 'C1B0C3D4-E8F9-4A5B-6C7D-8E9F0A1B2C3D', '2026-05-18 11:47', '-1223372036854775808', '0x31313131313031323334353637383930', '!TooLong英255Val方&amp;', '0x4023D3A2B7BDC8EDBCFEB9C9B7DDB9ABCBBE0000', '*TooLong英255Val方&amp; ', '~Long英255Val方&amp;', '`Long英255Val方&amp;      ']列，源：None 备：3e59b79f8be264751b658bcb33950020</t>
        </is>
      </c>
      <c r="AF3" s="0" t="inlineStr">
        <is>
          <t>tgt行 ['4', '2054-02-21 00:00', '2026-05-18 23:19', '2002-05-11 14:30', '1991-05-11 00:00+14:00', '77', '1768-05-18 00:00', '-17483648', '2023-09-01 14:30', '-1.4e+38', '-12337203685477.5808', '1995-12-30 23:59', '-1.79e+30', '0', '-2000000000000', 'C1B0C3D4-E8F9-4A5B-6C7D-8E9F0A1B2C3D', '2026-05-18 11:47', '-1223372036854775808', '0x31313131313031323334353637383930', '!TooLong英255Val方&amp;', '0x4023D3A2B7BDC8EDBCFEB9C9B7DDB9ABCBBE0000', '*TooLong英255Val方&amp; ', '~Long英255Val方&amp;', '`Long英255Val方&amp;      ']列，源：None 备：e17954198590d58493e48f75a916dc3f</t>
        </is>
      </c>
    </row>
    <row r="4">
      <c r="B4" s="0" t="inlineStr">
        <is>
          <t>NULL</t>
        </is>
      </c>
      <c r="C4" s="0" t="inlineStr">
        <is>
          <t>NULL</t>
        </is>
      </c>
      <c r="D4" s="0" t="inlineStr">
        <is>
          <t>NULL</t>
        </is>
      </c>
      <c r="E4" s="0" t="inlineStr">
        <is>
          <t>NULL</t>
        </is>
      </c>
      <c r="F4" s="0" t="inlineStr">
        <is>
          <t>NULL</t>
        </is>
      </c>
      <c r="G4" s="0" t="inlineStr">
        <is>
          <t>NULL</t>
        </is>
      </c>
      <c r="H4" s="0" t="inlineStr">
        <is>
          <t>NULL</t>
        </is>
      </c>
      <c r="I4" s="0" t="inlineStr">
        <is>
          <t>NULL</t>
        </is>
      </c>
      <c r="J4" s="0" t="inlineStr">
        <is>
          <t>NULL</t>
        </is>
      </c>
      <c r="K4" s="0" t="inlineStr">
        <is>
          <t>YES! 	 id列源备映射正确，源端为int None位	期望更改为int	实际备端为int None位</t>
        </is>
      </c>
      <c r="Y4" s="0" t="inlineStr">
        <is>
          <t>tgt行 ['4', '', '', '                                                                                                                                                                                                                                                                                                                                                                                                                                                                                                                                                                                                                                                                                                                                                                                                                                                                                                                                                                                                                                                                                                                                                                                                                                                                                                                                                                                                                                                                                                                                                                                                                                                                                                                                                                                                                                                                                                                                                                                                                                                                                                                                                                                                                                                                                                                                                                                                                                                                                                                                                                                                                                                                                                                                                                                                                                                                                                                                                                                                                                                                                                                                                                                                                                                                                                                                                                                                                                                                                                                                                                                                                                                                                                                                                                                                                                                                                                                                                                                                                                                                                                                                                                                                                                                                                                                                                                                                                                                                                                                                                                                                                                                                                                                                                                                                                                                                                                                                                                                                                                                                                                                                                                                                                                                                                                                                                                                                                                                                                                                                                                                                                                                                                                                                                                                                                                                                                                                                                                                                                                                                                                                                                                                                                                                                                                                                                                                                                                                                                                                                                                                                                                                                                                                                                                                                                                                                                                                                                                                                                                                                                                                                                                                                                                                                                        ']列，源：None 备：6513d7866b5552d16b48bd1761452a95</t>
        </is>
      </c>
      <c r="Z4" s="0" t="inlineStr">
        <is>
          <t>tgt行 ['4', '', '', '                                                                                                                                                                                                                                                                                                                                                                                                                                                                                                                                                                                                                                                                                                                                                                                                                                                                                                                                                                                                                                                                                                                                                                                                                                                                                                                                                                                                                                                                                                                                                                                                                                                                                                                                                                                                                                                                                                                                                                                                                                                                                                                                                                                                                                                                                                                                                                                                                                                                                                                                                                                                                                                                                                                                                                                                                                                                                                                                                                                                                                                                                                                                                                                                                                                                                                                                                                                                                                                                                                                                                                                                                                                                                                                                                                                                                                                                                                                                                                                                                                                                                                                                                                                                                                                                                                                                                                                                                                                                                                                                                                                                                                                                                                                                                                                                                                                                                                                                                                                                                                                                                                                                                                                                                                                                                                                                                                                                                                                                                                                                                                                                                                                                                                                                                                                                                                                                                                                                                                                                                                                                                                                                                                                                                                                                                                                                                                                                                                                                                                                                                                                                                                                                                                                                                                                                                                                                                                                                                                                                                                                                                                                                                                                                                                                                                        ']列，源：None 备：6513d7866b5552d16b48bd1761452a95</t>
        </is>
      </c>
      <c r="AA4" s="0" t="inlineStr">
        <is>
          <t>tgt行 ['3', '', '', '                                                                                                                                                                                                                                                                                                                                                                                                                                                                                                                                                                                                                                                                                                                                                                                                                                                                                                                                                                                                                                                                                                                                                                                                                                                                                                                                                                                                                                                                                                                                                                                                                                                                                                                                                                                                                                                                                                                                                                                                                                                                                                                                                                                                                                                                                                                                                                                                                                                                                                                                                                                                                                                                                                                                                                                                                                                                                                                                                                                                                                                                                                                                                                                                                                                                                                                                                                                                                                                                                                                                                                                                                                                                                                                                                                                                                                                                                                                                                                                                                                                                                                                                                                                                                                                                                                                                                                                                                                                                                                                                                                                                                                                                                                                                                                                                                                                                                                                                                                                                                                                                                                                                                                                                                                                                                                                                                                                                                                                                                                                                                                                                                                                                                                                                                                                                                                                                                                                                                                                                                                                                                                                                                                                                                                                                                                                                                                                                                                                                                                                                                                                                                                                                                                                                                                                                                                                                                                                                                                                                                                                                                                                                                                                                                                                                                                                                                                                                                                                                                                                                                                                                                                                                                                                                                                                                                                                                                                                                                                                                                                                                                                                                                                                                                                                                                                                                ']列，源：None 备：b04285f5f4cda3087283e5bf12a63f6d</t>
        </is>
      </c>
      <c r="AB4" s="0" t="inlineStr">
        <is>
          <t>tgt行 ['4', '', '', '                                                                                                                                                                                                                                                                                                                                                                                                                                                                                                                                                                                                                                                                                                                                                                                                                                                                                                                                                                                                                                                                                                                                                                                                                                                                                                                                                                                                                                                                                                                                                                                                                                                                                                                                                                                                                                                                                                                                                                                                                                                                                                                                                                                                                                                                                                                                                                                                                                                                                                                                                                                                                                                                                                                                                                                                                                                                                                                                                                                                                                                                                                                                                                                                                                                                                                                                                                                                                                                                                                                                                                                                                                            ']列，源：None 备：9a7c351bdd451155eeaa79ff29f5267d</t>
        </is>
      </c>
      <c r="AC4"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D4" s="0" t="inlineStr">
        <is>
          <t>src行 ['1', '2046-05-11 00:00', '2026-05-18 18:10', '2012-05-11 14:30', '1999-05-11 15:30+01:00', '255', '32767', '2147483647', '2012-10-01 14:30', '0', '922337203685477.5807', '2000-05-01 23:59', '6.62607e-034', '1', '123456789012.1234', 'B6B0C3D4-E8F9-4A5B-6C7D-8E9F0A1B2C3E', '1234.5678', '1234567890123', '0x7661726961626C65206C656E6774682062696E61', '这是一个中文字符串', '0xC9CFBAA32324255E262A2D3D0000000000000000', '*TEST英255Val方&amp;    ', '*TEST英255Val方&amp;', '&amp;TooLong英255Val方!   ']列，源：8031a497b62be0baf3c1feaa086a83c3 备：None</t>
        </is>
      </c>
      <c r="AE4" s="0" t="inlineStr">
        <is>
          <t>src行 ['3', '2034-02-21 00:00', '2026-05-18 03:59', '2012-05-11 14:30', '1991-05-11 00:00+14:00', '10', '-12768', '-147483648', '2013-10-01 14:30', '-1.4e+038', '-122337203685477.58', '1999-12-30 23:59', '-1.79e+030', '1', '-2000000000000', 'C1B0C3D4-E8F9-4A5B-6C7D-8E9F0A1B2C3D', '2026-05-18 11:47', '-1223372036854775808', '0x31313131313031323334353637383930', '!TooLong英255Val方&amp;', '0x4023D3A2B7BDC8EDBCFEB9C9B7DDB9ABCBBE0000', '*TooLong英255Val方&amp; ', '~Long英255Val方&amp;', '`Long英255Val方&amp;      ']列，源：48dca9537159844f8938d7236a8a2ae4 备：None</t>
        </is>
      </c>
      <c r="AF4" s="0" t="inlineStr">
        <is>
          <t>src行 ['4', '2054-02-21 00:00', '2026-05-18 23:19', '2002-05-11 14:30', '1991-05-11 00:00+14:00', '77', '1768-05-18 00:00', '-17483648', '2023-09-01 14:30', '-1.4e+038', '-12337203685477.58', '1995-12-30 23:59', '-1.79e+030', '0', '-2000000000000', 'C1B0C3D4-E8F9-4A5B-6C7D-8E9F0A1B2C3D', '2026-05-18 11:47', '-1223372036854775808', '0x31313131313031323334353637383930', '!TooLong英255Val方&amp;', '0x4023D3A2B7BDC8EDBCFEB9C9B7DDB9ABCBBE0000', '*TooLong英255Val方&amp; ', '~Long英255Val方&amp;', '`Long英255Val方&amp;      ']列，源：4f32451d1e31c057cb1b9437b5d5c10c 备：None</t>
        </is>
      </c>
    </row>
    <row r="5">
      <c r="B5" s="0" t="inlineStr">
        <is>
          <t>NULL</t>
        </is>
      </c>
      <c r="C5" s="0" t="inlineStr">
        <is>
          <t>NULL</t>
        </is>
      </c>
      <c r="D5" s="0" t="inlineStr">
        <is>
          <t>NULL</t>
        </is>
      </c>
      <c r="E5" s="0" t="inlineStr">
        <is>
          <t>NULL</t>
        </is>
      </c>
      <c r="F5" s="0" t="inlineStr">
        <is>
          <t>NULL</t>
        </is>
      </c>
      <c r="G5" s="0" t="inlineStr">
        <is>
          <t>NULL</t>
        </is>
      </c>
      <c r="H5" s="0" t="inlineStr">
        <is>
          <t>NULL</t>
        </is>
      </c>
      <c r="I5" s="0" t="inlineStr">
        <is>
          <t>NULL</t>
        </is>
      </c>
      <c r="J5" s="0" t="inlineStr">
        <is>
          <t>NULL</t>
        </is>
      </c>
      <c r="K5" s="0" t="inlineStr">
        <is>
          <t>YES! 	 c_char列源备映射正确，源端为char 1位	期望更改为char(n)	实际备端为char 4位</t>
        </is>
      </c>
      <c r="Y5" s="0" t="inlineStr">
        <is>
          <t>src行 ['2', ' ', '                    ', '                                                                                                                                                                                                                                                                                                                                                                                                                                                                                                                                                                                                                                                                                                                                                                                                                                                                                                                                                                                                                                                                                                                                                                                                                                                                                                                                                                                                                                                                                                                                                                                                                                                                                                                                                                                                                                                                                                                                                                                                                                                                                                                                                                                                                                                                                                                                                                                                                                                                                                                                                                                                                                                                                                                                                                                                                                                                                                                                                                                                                                                                                                                                                                                                                                                                                                                                                                                                                                                                                                                                                                                                                                                                                                                                                                                                                                                                                                                                                                                                                                                                                                                                                                                                                                                                                                                                                                                                                                                                                                                                                                                                                                                                                                                                                                                                                                                                                                                                                                                                                                                                                                                                                                                                                                                                                                                                                                                                                                                                                                                                                                                                                                                                                                                                                                                                                                                                                                                                                                                                                                                                                                                                                                                                                                                                                                                                                                                                                                                                                                                                                                                                                                                                                                                                                                                                                                                                                                                                                                                                                                                                                                                                                                                                                                                                                        ']列，源：e6e9184d117f9a63cd2a757d28d0a88d 备：None</t>
        </is>
      </c>
      <c r="Z5" s="0" t="inlineStr">
        <is>
          <t>src行 ['2', ' ', '                    ', '                                                                                                                                                                                                                                                                                                                                                                                                                                                                                                                                                                                                                                                                                                                                                                                                                                                                                                                                                                                                                                                                                                                                                                                                                                                                                                                                                                                                                                                                                                                                                                                                                                                                                                                                                                                                                                                                                                                                                                                                                                                                                                                                                                                                                                                                                                                                                                                                                                                                                                                                                                                                                                                                                                                                                                                                                                                                                                                                                                                                                                                                                                                                                                                                                                                                                                                                                                                                                                                                                                                                                                                                                                                                                                                                                                                                                                                                                                                                                                                                                                                                                                                                                                                                                                                                                                                                                                                                                                                                                                                                                                                                                                                                                                                                                                                                                                                                                                                                                                                                                                                                                                                                                                                                                                                                                                                                                                                                                                                                                                                                                                                                                                                                                                                                                                                                                                                                                                                                                                                                                                                                                                                                                                                                                                                                                                                                                                                                                                                                                                                                                                                                                                                                                                                                                                                                                                                                                                                                                                                                                                                                                                                                                                                                                                                                                        ']列，源：e6e9184d117f9a63cd2a757d28d0a88d 备：None</t>
        </is>
      </c>
      <c r="AA5" s="0" t="inlineStr">
        <is>
          <t>tgt行 ['4', '', '', '                                                                                                                                                                                                                                                                                                                                                                                                                                                                                                                                                                                                                                                                                                                                                                                                                                                                                                                                                                                                                                                                                                                                                                                                                                                                                                                                                                                                                                                                                                                                                                                                                                                                                                                                                                                                                                                                                                                                                                                                                                                                                                                                                                                                                                                                                                                                                                                                                                                                                                                                                                                                                                                                                                                                                                                                                                                                                                                                                                                                                                                                                                                                                                                                                                                                                                                                                                                                                                                                                                                                                                                                                                                                                                                                                                                                                                                                                                                                                                                                                                                                                                                                                                                                                                                                                                                                                                                                                                                                                                                                                                                                                                                                                                                                                                                                                                                                                                                                                                                                                                                                                                                                                                                                                                                                                                                                                                                                                                                                                                                                                                                                                                                                                                                                                                                                                                                                                                                                                                                                                                                                                                                                                                                                                                                                                                                                                                                                                                                                                                                                                                                                                                                                                                                                                                                                                                                                                                                                                                                                                                                                                                                                                                                                                                                                                                                                                                                                                                                                                                                                                                                                                                                                                                                                                                                                                                                                                                                                                                                                                                                                                                                                                                                                                                                                                                                                ']列，源：None 备：ca3b4ecac068926407fdab0f959c9b50</t>
        </is>
      </c>
      <c r="AB5" s="0" t="inlineStr">
        <is>
          <t>src行 ['2', ' ', '                    ', '                                                                                                                                                                                                                                                                                                                                                                                                                                                                                                                                                                                                                                                                                                                                                                                                                                                                                                                                                                                                                                                                                                                                                                                                                                                                                                                                                                                                                                                                                                                                                                                                                                                                                                                                                                                                                                                                                                                                                                                                                                                                                                                                                                                                                                                                                                                                                                                                                                                                                                                                                                                                                                                                                                                                                                                                                                                                                                                                                                                                                                                                                                                                                                                                                                                                                                                                                                                                                                                                                                                                                                                                                                            ']列，源：02d9880d07a3d705c0a13a24433be8c8 备：None</t>
        </is>
      </c>
    </row>
    <row r="6">
      <c r="B6" s="0" t="inlineStr">
        <is>
          <t>NULL</t>
        </is>
      </c>
      <c r="C6" s="0" t="inlineStr">
        <is>
          <t>NULL</t>
        </is>
      </c>
      <c r="D6" s="0" t="inlineStr">
        <is>
          <t>NULL</t>
        </is>
      </c>
      <c r="E6" s="0" t="inlineStr">
        <is>
          <t>NULL</t>
        </is>
      </c>
      <c r="F6" s="0" t="inlineStr">
        <is>
          <t>NULL</t>
        </is>
      </c>
      <c r="G6" s="0" t="inlineStr">
        <is>
          <t>NULL</t>
        </is>
      </c>
      <c r="H6" s="0" t="inlineStr">
        <is>
          <t>NULL</t>
        </is>
      </c>
      <c r="I6" s="0" t="inlineStr">
        <is>
          <t>NULL</t>
        </is>
      </c>
      <c r="J6" s="0" t="inlineStr">
        <is>
          <t>NULL</t>
        </is>
      </c>
      <c r="K6" s="0" t="inlineStr">
        <is>
          <t>YES! 	 c_char20列源备映射正确，源端为char 20位	期望更改为char(n)	实际备端为char 80位</t>
        </is>
      </c>
      <c r="Y6" s="0" t="inlineStr">
        <is>
          <t>src行 ['4', ' ', '                    ', '                                                                                                                                                                                                                                                                                                                                                                                                                                                                                                                                                                                                                                                                                                                                                                                                                                                                                                                                                                                                                                                                                                                                                                                                                                                                                                                                                                                                                                                                                                                                                                                                                                                                                                                                                                                                                                                                                                                                                                                                                                                                                                                                                                                                                                                                                                                                                                                                                                                                                                                                                                                                                                                                                                                                                                                                                                                                                                                                                                                                                                                                                                                                                                                                                                                                                                                                                                                                                                                                                                                                                                                                                                                                                                                                                                                                                                                                                                                                                                                                                                                                                                                                                                                                                                                                                                                                                                                                                                                                                                                                                                                                                                                                                                                                                                                                                                                                                                                                                                                                                                                                                                                                                                                                                                                                                                                                                                                                                                                                                                                                                                                                                                                                                                                                                                                                                                                                                                                                                                                                                                                                                                                                                                                                                                                                                                                                                                                                                                                                                                                                                                                                                                                                                                                                                                                                                                                                                                                                                                                                                                                                                                                                                                                                                                                                                        ']列，源：95ad0c0fc0728efd6176ee2613a1550d 备：None</t>
        </is>
      </c>
      <c r="Z6" s="0" t="inlineStr">
        <is>
          <t>src行 ['4', ' ', '                    ', '                                                                                                                                                                                                                                                                                                                                                                                                                                                                                                                                                                                                                                                                                                                                                                                                                                                                                                                                                                                                                                                                                                                                                                                                                                                                                                                                                                                                                                                                                                                                                                                                                                                                                                                                                                                                                                                                                                                                                                                                                                                                                                                                                                                                                                                                                                                                                                                                                                                                                                                                                                                                                                                                                                                                                                                                                                                                                                                                                                                                                                                                                                                                                                                                                                                                                                                                                                                                                                                                                                                                                                                                                                                                                                                                                                                                                                                                                                                                                                                                                                                                                                                                                                                                                                                                                                                                                                                                                                                                                                                                                                                                                                                                                                                                                                                                                                                                                                                                                                                                                                                                                                                                                                                                                                                                                                                                                                                                                                                                                                                                                                                                                                                                                                                                                                                                                                                                                                                                                                                                                                                                                                                                                                                                                                                                                                                                                                                                                                                                                                                                                                                                                                                                                                                                                                                                                                                                                                                                                                                                                                                                                                                                                                                                                                                                                        ']列，源：95ad0c0fc0728efd6176ee2613a1550d 备：None</t>
        </is>
      </c>
      <c r="AA6" s="0"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备：d019d4aebff49513606feb0fa9e75d20</t>
        </is>
      </c>
      <c r="AB6" s="0" t="inlineStr">
        <is>
          <t>src行 ['4', ' ', '                    ', '                                                                                                                                                                                                                                                                                                                                                                                                                                                                                                                                                                                                                                                                                                                                                                                                                                                                                                                                                                                                                                                                                                                                                                                                                                                                                                                                                                                                                                                                                                                                                                                                                                                                                                                                                                                                                                                                                                                                                                                                                                                                                                                                                                                                                                                                                                                                                                                                                                                                                                                                                                                                                                                                                                                                                                                                                                                                                                                                                                                                                                                                                                                                                                                                                                                                                                                                                                                                                                                                                                                                                                                                                                            ']列，源：adc5a8ebac2e7f1001c11b5a60a574e6 备：None</t>
        </is>
      </c>
    </row>
    <row r="7">
      <c r="B7" s="0" t="inlineStr">
        <is>
          <t>NULL</t>
        </is>
      </c>
      <c r="C7" s="0" t="inlineStr">
        <is>
          <t>NULL</t>
        </is>
      </c>
      <c r="D7" s="0" t="inlineStr">
        <is>
          <t>NULL</t>
        </is>
      </c>
      <c r="E7" s="0" t="inlineStr">
        <is>
          <t>NULL</t>
        </is>
      </c>
      <c r="F7" s="0" t="inlineStr">
        <is>
          <t>NULL</t>
        </is>
      </c>
      <c r="G7" s="0" t="inlineStr">
        <is>
          <t>NULL</t>
        </is>
      </c>
      <c r="H7" s="0" t="inlineStr">
        <is>
          <t>NULL</t>
        </is>
      </c>
      <c r="I7" s="0" t="inlineStr">
        <is>
          <t>NULL</t>
        </is>
      </c>
      <c r="J7" s="0" t="inlineStr">
        <is>
          <t>NULL</t>
        </is>
      </c>
      <c r="K7" s="0" t="inlineStr">
        <is>
          <t>YES! 	 c_char7000列源备映射正确，源端为char 7000位	期望更改为text	实际备端为text 65535位</t>
        </is>
      </c>
      <c r="AA7" s="0"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备：11336239bb24c640ac27443d2d8a3a3c</t>
        </is>
      </c>
    </row>
    <row r="8">
      <c r="K8" s="0" t="inlineStr">
        <is>
          <t>[0;31m NO! [0m 	  行数不同,源8行,备端空表</t>
        </is>
      </c>
      <c r="AA8" s="0"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备：898fa726310e60b77cebda58e9ff4ca1</t>
        </is>
      </c>
    </row>
    <row r="9">
      <c r="A9" s="0" t="inlineStr">
        <is>
          <t>info_char_dml_single_nopk</t>
        </is>
      </c>
      <c r="K9" s="0" t="inlineStr">
        <is>
          <t>[0;34m info_char_dml_single_nopk [0m源备字段数相同，源端字段：4 	备端字段4</t>
        </is>
      </c>
      <c r="W9" s="15">
        <f>HYPERLINK("#2026051816mysql0!Y2","NO 源备存在差异，共4个")</f>
        <v/>
      </c>
      <c r="X9" s="0">
        <f>A9</f>
        <v/>
      </c>
      <c r="AA9" s="0" t="inlineStr">
        <is>
          <t>tgt行 ['15', '?', '€?6€?',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']列，源：None 备：d13d995bf19ae1f6cd9c89f6f97aa265</t>
        </is>
      </c>
    </row>
    <row r="10">
      <c r="B10" s="0" t="inlineStr">
        <is>
          <t>NULL</t>
        </is>
      </c>
      <c r="C10" s="0" t="inlineStr">
        <is>
          <t>NULL</t>
        </is>
      </c>
      <c r="D10" s="0" t="inlineStr">
        <is>
          <t>NULL</t>
        </is>
      </c>
      <c r="E10" s="0" t="inlineStr">
        <is>
          <t>NULL</t>
        </is>
      </c>
      <c r="F10" s="0" t="inlineStr">
        <is>
          <t>NULL</t>
        </is>
      </c>
      <c r="G10" s="0" t="inlineStr">
        <is>
          <t>NULL</t>
        </is>
      </c>
      <c r="H10" s="0" t="inlineStr">
        <is>
          <t>NULL</t>
        </is>
      </c>
      <c r="I10" s="0" t="inlineStr">
        <is>
          <t>NULL</t>
        </is>
      </c>
      <c r="J10" s="0" t="inlineStr">
        <is>
          <t>NULL</t>
        </is>
      </c>
      <c r="K10" s="0" t="inlineStr">
        <is>
          <t>YES! 	 id列源备映射正确，源端为int None位	期望更改为int	实际备端为int None位</t>
        </is>
      </c>
      <c r="AA10" s="0" t="inlineStr">
        <is>
          <t>src行 ['2', ' ', '                    ', '                                                                                                                                                                                                                                                                                                                                                                                                                                                                                                                                                                                                                                                                                                                                                                                                                                                                                                                                                                                                                                                                                                                                                                                                                                                                                                                                                                                                                                                                                                                                                                                                                                                                                                                                                                                                                                                                                                                                                                                                                                                                                                                                                                                                                                                                                                                                                                                                                                                                                                                                                                                                                                                                                                                                                                                                                                                                                                                                                                                                                                                                                                                                                                                                                                                                                                                                                                                                                                                                                                                                                                                                                                                                                                                                                                                                                                                                                                                                                                                                                                                                                                                                                                                                                                                                                                                                                                                                                                                                                                                                                                                                                                                                                                                                                                                                                                                                                                                                                                                                                                                                                                                                                                                                                                                                                                                                                                                                                                                                                                                                                                                                                                                                                                                                                                                                                                                                                                                                                                                                                                                                                                                                                                                                                                                                                                                                                                                                                                                                                                                                                                                                                                                                                                                                                                                                                                                                                                                                                                                                                                                                                                                                                                                                                                                                                                                                                                                                                                                                                                                                                                                                                                                                                                                                                                                                                                                                                                                                                                                                                                                                                                                                                                                                                                                                                                                                ']列，源：f6f27b4fce84894f44b4fe1b2769a4af 备：None</t>
        </is>
      </c>
    </row>
    <row r="11">
      <c r="B11" s="0" t="inlineStr">
        <is>
          <t>NULL</t>
        </is>
      </c>
      <c r="C11" s="0" t="inlineStr">
        <is>
          <t>NULL</t>
        </is>
      </c>
      <c r="D11" s="0" t="inlineStr">
        <is>
          <t>NULL</t>
        </is>
      </c>
      <c r="E11" s="0" t="inlineStr">
        <is>
          <t>NULL</t>
        </is>
      </c>
      <c r="F11" s="0" t="inlineStr">
        <is>
          <t>NULL</t>
        </is>
      </c>
      <c r="G11" s="0" t="inlineStr">
        <is>
          <t>NULL</t>
        </is>
      </c>
      <c r="H11" s="0" t="inlineStr">
        <is>
          <t>NULL</t>
        </is>
      </c>
      <c r="I11" s="0" t="inlineStr">
        <is>
          <t>NULL</t>
        </is>
      </c>
      <c r="J11" s="0" t="inlineStr">
        <is>
          <t>NULL</t>
        </is>
      </c>
      <c r="K11" s="0" t="inlineStr">
        <is>
          <t>YES! 	 c_char列源备映射正确，源端为char 1位	期望更改为char(n)	实际备端为char 4位</t>
        </is>
      </c>
      <c r="AA11" s="0" t="inlineStr">
        <is>
          <t>src行 ['3', ' ', '                    ', '                                                                                                                                                                                                                                                                                                                                                                                                                                                                                                                                                                                                                                                                                                                                                                                                                                                                                                                                                                                                                                                                                                                                                                                                                                                                                                                                                                                                                                                                                                                                                                                                                                                                                                                                                                                                                                                                                                                                                                                                                                                                                                                                                                                                                                                                                                                                                                                                                                                                                                                                                                                                                                                                                                                                                                                                                                                                                                                                                                                                                                                                                                                                                                                                                                                                                                                                                                                                                                                                                                                                                                                                                                                                                                                                                                                                                                                                                                                                                                                                                                                                                                                                                                                                                                                                                                                                                                                                                                                                                                                                                                                                                                                                                                                                                                                                                                                                                                                                                                                                                                                                                                                                                                                                                                                                                                                                                                                                                                                                                                                                                                                                                                                                                                                                                                                                                                                                                                                                                                                                                                                                                                                                                                                                                                                                                                                                                                                                                                                                                                                                                                                                                                                                                                                                                                                                                                                                                                                                                                                                                                                                                                                                                                                                                                                                                                                                                                                                                                                                                                                                                                                                                                                                                                                                                                                                                                                                                                                                                                                                                                                                                                                                                                                                                                                                                                                                ']列，源：86ceb7aa3eed9bd3ac1278b34fa397a9 备：None</t>
        </is>
      </c>
    </row>
    <row r="12">
      <c r="B12" s="0" t="inlineStr">
        <is>
          <t>NULL</t>
        </is>
      </c>
      <c r="C12" s="0" t="inlineStr">
        <is>
          <t>NULL</t>
        </is>
      </c>
      <c r="D12" s="0" t="inlineStr">
        <is>
          <t>NULL</t>
        </is>
      </c>
      <c r="E12" s="0" t="inlineStr">
        <is>
          <t>NULL</t>
        </is>
      </c>
      <c r="F12" s="0" t="inlineStr">
        <is>
          <t>NULL</t>
        </is>
      </c>
      <c r="G12" s="0" t="inlineStr">
        <is>
          <t>NULL</t>
        </is>
      </c>
      <c r="H12" s="0" t="inlineStr">
        <is>
          <t>NULL</t>
        </is>
      </c>
      <c r="I12" s="0" t="inlineStr">
        <is>
          <t>NULL</t>
        </is>
      </c>
      <c r="J12" s="0" t="inlineStr">
        <is>
          <t>NULL</t>
        </is>
      </c>
      <c r="K12" s="0" t="inlineStr">
        <is>
          <t>YES! 	 c_char20列源备映射正确，源端为char 20位	期望更改为char(n)	实际备端为char 80位</t>
        </is>
      </c>
      <c r="AA12" s="0" t="inlineStr">
        <is>
          <t>src行 ['4', ' ', '                    ', '                                                                                                                                                                                                                                                                                                                                                                                                                                                                                                                                                                                                                                                                                                                                                                                                                                                                                                                                                                                                                                                                                                                                                                                                                                                                                                                                                                                                                                                                                                                                                                                                                                                                                                                                                                                                                                                                                                                                                                                                                                                                                                                                                                                                                                                                                                                                                                                                                                                                                                                                                                                                                                                                                                                                                                                                                                                                                                                                                                                                                                                                                                                                                                                                                                                                                                                                                                                                                                                                                                                                                                                                                                                                                                                                                                                                                                                                                                                                                                                                                                                                                                                                                                                                                                                                                                                                                                                                                                                                                                                                                                                                                                                                                                                                                                                                                                                                                                                                                                                                                                                                                                                                                                                                                                                                                                                                                                                                                                                                                                                                                                                                                                                                                                                                                                                                                                                                                                                                                                                                                                                                                                                                                                                                                                                                                                                                                                                                                                                                                                                                                                                                                                                                                                                                                                                                                                                                                                                                                                                                                                                                                                                                                                                                                                                                                                                                                                                                                                                                                                                                                                                                                                                                                                                                                                                                                                                                                                                                                                                                                                                                                                                                                                                                                                                                                                                                ']列，源：b8699aa6b337420856845b5ab0934925 备：None</t>
        </is>
      </c>
    </row>
    <row r="13">
      <c r="B13" s="0" t="inlineStr">
        <is>
          <t>NULL</t>
        </is>
      </c>
      <c r="C13" s="0" t="inlineStr">
        <is>
          <t>NULL</t>
        </is>
      </c>
      <c r="D13" s="0" t="inlineStr">
        <is>
          <t>NULL</t>
        </is>
      </c>
      <c r="E13" s="0" t="inlineStr">
        <is>
          <t>NULL</t>
        </is>
      </c>
      <c r="F13" s="0" t="inlineStr">
        <is>
          <t>NULL</t>
        </is>
      </c>
      <c r="G13" s="0" t="inlineStr">
        <is>
          <t>NULL</t>
        </is>
      </c>
      <c r="H13" s="0" t="inlineStr">
        <is>
          <t>NULL</t>
        </is>
      </c>
      <c r="I13" s="0" t="inlineStr">
        <is>
          <t>NULL</t>
        </is>
      </c>
      <c r="J13" s="0" t="inlineStr">
        <is>
          <t>NULL</t>
        </is>
      </c>
      <c r="K13" s="0" t="inlineStr">
        <is>
          <t>YES! 	 c_char7000列源备映射正确，源端为char 7000位	期望更改为text	实际备端为text 65535位</t>
        </is>
      </c>
      <c r="AA13" s="0"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']列，源：74b304ec22e1dccf8261f102294b1bcd 备：None</t>
        </is>
      </c>
    </row>
    <row r="14">
      <c r="A14" s="0" t="inlineStr">
        <is>
          <t>info_char_dml_single_nopk_drp</t>
        </is>
      </c>
      <c r="K14" s="0" t="inlineStr">
        <is>
          <t>[0;34m info_char_dml_single_nopk_drp [0m源备字段数相同，源端字段：4 	备端字段4</t>
        </is>
      </c>
      <c r="W14" s="15">
        <f>HYPERLINK("#2026051816mysql0!Z2","NO 源备存在差异，共4个")</f>
        <v/>
      </c>
      <c r="X14" s="0">
        <f>A14</f>
        <v/>
      </c>
      <c r="AA14" s="0"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']列，源：6e1808a1eaecdeff3bdb84402fecccdd 备：None</t>
        </is>
      </c>
    </row>
    <row r="15">
      <c r="B15" s="0" t="inlineStr">
        <is>
          <t>NULL</t>
        </is>
      </c>
      <c r="C15" s="0" t="inlineStr">
        <is>
          <t>NULL</t>
        </is>
      </c>
      <c r="D15" s="0" t="inlineStr">
        <is>
          <t>NULL</t>
        </is>
      </c>
      <c r="E15" s="0" t="inlineStr">
        <is>
          <t>NULL</t>
        </is>
      </c>
      <c r="F15" s="0" t="inlineStr">
        <is>
          <t>NULL</t>
        </is>
      </c>
      <c r="G15" s="0" t="inlineStr">
        <is>
          <t>NULL</t>
        </is>
      </c>
      <c r="H15" s="0" t="inlineStr">
        <is>
          <t>NULL</t>
        </is>
      </c>
      <c r="I15" s="0" t="inlineStr">
        <is>
          <t>NULL</t>
        </is>
      </c>
      <c r="J15" s="0" t="inlineStr">
        <is>
          <t>NULL</t>
        </is>
      </c>
      <c r="K15" s="0" t="inlineStr">
        <is>
          <t>YES! 	 id列源备映射正确，源端为int None位	期望更改为int	实际备端为int None位</t>
        </is>
      </c>
      <c r="AA15" s="0"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']列，源：7aad3c80cd620720da53e2ea4e026ba0 备：None</t>
        </is>
      </c>
    </row>
    <row r="16">
      <c r="B16" s="0" t="inlineStr">
        <is>
          <t>NULL</t>
        </is>
      </c>
      <c r="C16" s="0" t="inlineStr">
        <is>
          <t>NULL</t>
        </is>
      </c>
      <c r="D16" s="0" t="inlineStr">
        <is>
          <t>NULL</t>
        </is>
      </c>
      <c r="E16" s="0" t="inlineStr">
        <is>
          <t>NULL</t>
        </is>
      </c>
      <c r="F16" s="0" t="inlineStr">
        <is>
          <t>NULL</t>
        </is>
      </c>
      <c r="G16" s="0" t="inlineStr">
        <is>
          <t>NULL</t>
        </is>
      </c>
      <c r="H16" s="0" t="inlineStr">
        <is>
          <t>NULL</t>
        </is>
      </c>
      <c r="I16" s="0" t="inlineStr">
        <is>
          <t>NULL</t>
        </is>
      </c>
      <c r="J16" s="0" t="inlineStr">
        <is>
          <t>NULL</t>
        </is>
      </c>
      <c r="K16" s="0" t="inlineStr">
        <is>
          <t>YES! 	 c_char列源备映射正确，源端为char 1位	期望更改为char(n)	实际备端为char 4位</t>
        </is>
      </c>
      <c r="AA16" s="0" t="inlineStr">
        <is>
          <t>src行 ['15', '?', '€?6€?               ',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']列，源：2f371b35195b1331ce39ea281163e205 备：None</t>
        </is>
      </c>
    </row>
    <row r="17">
      <c r="B17" s="0" t="inlineStr">
        <is>
          <t>NULL</t>
        </is>
      </c>
      <c r="C17" s="0" t="inlineStr">
        <is>
          <t>NULL</t>
        </is>
      </c>
      <c r="D17" s="0" t="inlineStr">
        <is>
          <t>NULL</t>
        </is>
      </c>
      <c r="E17" s="0" t="inlineStr">
        <is>
          <t>NULL</t>
        </is>
      </c>
      <c r="F17" s="0" t="inlineStr">
        <is>
          <t>NULL</t>
        </is>
      </c>
      <c r="G17" s="0" t="inlineStr">
        <is>
          <t>NULL</t>
        </is>
      </c>
      <c r="H17" s="0" t="inlineStr">
        <is>
          <t>NULL</t>
        </is>
      </c>
      <c r="I17" s="0" t="inlineStr">
        <is>
          <t>NULL</t>
        </is>
      </c>
      <c r="J17" s="0" t="inlineStr">
        <is>
          <t>NULL</t>
        </is>
      </c>
      <c r="K17" s="0" t="inlineStr">
        <is>
          <t>YES! 	 c_char20列源备映射正确，源端为char 20位	期望更改为char(n)	实际备端为char 80位</t>
        </is>
      </c>
    </row>
    <row r="18">
      <c r="B18" s="0" t="inlineStr">
        <is>
          <t>NULL</t>
        </is>
      </c>
      <c r="C18" s="0" t="inlineStr">
        <is>
          <t>NULL</t>
        </is>
      </c>
      <c r="D18" s="0" t="inlineStr">
        <is>
          <t>NULL</t>
        </is>
      </c>
      <c r="E18" s="0" t="inlineStr">
        <is>
          <t>NULL</t>
        </is>
      </c>
      <c r="F18" s="0" t="inlineStr">
        <is>
          <t>NULL</t>
        </is>
      </c>
      <c r="G18" s="0" t="inlineStr">
        <is>
          <t>NULL</t>
        </is>
      </c>
      <c r="H18" s="0" t="inlineStr">
        <is>
          <t>NULL</t>
        </is>
      </c>
      <c r="I18" s="0" t="inlineStr">
        <is>
          <t>NULL</t>
        </is>
      </c>
      <c r="J18" s="0" t="inlineStr">
        <is>
          <t>NULL</t>
        </is>
      </c>
      <c r="K18" s="0" t="inlineStr">
        <is>
          <t>YES! 	 c_char7000列源备映射正确，源端为char 7000位	期望更改为text	实际备端为text 65535位</t>
        </is>
      </c>
    </row>
    <row r="19">
      <c r="A19" s="0" t="inlineStr">
        <is>
          <t>info_char_dml_single_nopk_irp</t>
        </is>
      </c>
      <c r="K19" s="0" t="inlineStr">
        <is>
          <t>[0;34m info_char_dml_single_nopk_irp [0m源备字段数相同，源端字段：4 	备端字段4</t>
        </is>
      </c>
      <c r="W19" s="15">
        <f>HYPERLINK("#2026051816mysql0!AA2","NO 源备存在差异，共14个")</f>
        <v/>
      </c>
      <c r="X19" s="0">
        <f>A19</f>
        <v/>
      </c>
    </row>
    <row r="20">
      <c r="B20" s="0" t="inlineStr">
        <is>
          <t>NULL</t>
        </is>
      </c>
      <c r="C20" s="0" t="inlineStr">
        <is>
          <t>NULL</t>
        </is>
      </c>
      <c r="D20" s="0" t="inlineStr">
        <is>
          <t>NULL</t>
        </is>
      </c>
      <c r="E20" s="0" t="inlineStr">
        <is>
          <t>NULL</t>
        </is>
      </c>
      <c r="F20" s="0" t="inlineStr">
        <is>
          <t>NULL</t>
        </is>
      </c>
      <c r="G20" s="0" t="inlineStr">
        <is>
          <t>NULL</t>
        </is>
      </c>
      <c r="H20" s="0" t="inlineStr">
        <is>
          <t>NULL</t>
        </is>
      </c>
      <c r="I20" s="0" t="inlineStr">
        <is>
          <t>NULL</t>
        </is>
      </c>
      <c r="J20" s="0" t="inlineStr">
        <is>
          <t>NULL</t>
        </is>
      </c>
      <c r="K20" s="0" t="inlineStr">
        <is>
          <t>YES! 	 id列源备映射正确，源端为int None位	期望更改为int	实际备端为int None位</t>
        </is>
      </c>
    </row>
    <row r="21">
      <c r="B21" s="0" t="inlineStr">
        <is>
          <t>NULL</t>
        </is>
      </c>
      <c r="C21" s="0" t="inlineStr">
        <is>
          <t>NULL</t>
        </is>
      </c>
      <c r="D21" s="0" t="inlineStr">
        <is>
          <t>NULL</t>
        </is>
      </c>
      <c r="E21" s="0" t="inlineStr">
        <is>
          <t>NULL</t>
        </is>
      </c>
      <c r="F21" s="0" t="inlineStr">
        <is>
          <t>NULL</t>
        </is>
      </c>
      <c r="G21" s="0" t="inlineStr">
        <is>
          <t>NULL</t>
        </is>
      </c>
      <c r="H21" s="0" t="inlineStr">
        <is>
          <t>NULL</t>
        </is>
      </c>
      <c r="I21" s="0" t="inlineStr">
        <is>
          <t>NULL</t>
        </is>
      </c>
      <c r="J21" s="0" t="inlineStr">
        <is>
          <t>NULL</t>
        </is>
      </c>
      <c r="K21" s="0" t="inlineStr">
        <is>
          <t>YES! 	 c_char列源备映射正确，源端为char 1位	期望更改为char(n)	实际备端为char 4位</t>
        </is>
      </c>
    </row>
    <row r="22">
      <c r="B22" s="0" t="inlineStr">
        <is>
          <t>NULL</t>
        </is>
      </c>
      <c r="C22" s="0" t="inlineStr">
        <is>
          <t>NULL</t>
        </is>
      </c>
      <c r="D22" s="0" t="inlineStr">
        <is>
          <t>NULL</t>
        </is>
      </c>
      <c r="E22" s="0" t="inlineStr">
        <is>
          <t>NULL</t>
        </is>
      </c>
      <c r="F22" s="0" t="inlineStr">
        <is>
          <t>NULL</t>
        </is>
      </c>
      <c r="G22" s="0" t="inlineStr">
        <is>
          <t>NULL</t>
        </is>
      </c>
      <c r="H22" s="0" t="inlineStr">
        <is>
          <t>NULL</t>
        </is>
      </c>
      <c r="I22" s="0" t="inlineStr">
        <is>
          <t>NULL</t>
        </is>
      </c>
      <c r="J22" s="0" t="inlineStr">
        <is>
          <t>NULL</t>
        </is>
      </c>
      <c r="K22" s="0" t="inlineStr">
        <is>
          <t>YES! 	 c_char20列源备映射正确，源端为char 20位	期望更改为char(n)	实际备端为char 80位</t>
        </is>
      </c>
    </row>
    <row r="23">
      <c r="B23" s="0" t="inlineStr">
        <is>
          <t>NULL</t>
        </is>
      </c>
      <c r="C23" s="0" t="inlineStr">
        <is>
          <t>NULL</t>
        </is>
      </c>
      <c r="D23" s="0" t="inlineStr">
        <is>
          <t>NULL</t>
        </is>
      </c>
      <c r="E23" s="0" t="inlineStr">
        <is>
          <t>NULL</t>
        </is>
      </c>
      <c r="F23" s="0" t="inlineStr">
        <is>
          <t>NULL</t>
        </is>
      </c>
      <c r="G23" s="0" t="inlineStr">
        <is>
          <t>NULL</t>
        </is>
      </c>
      <c r="H23" s="0" t="inlineStr">
        <is>
          <t>NULL</t>
        </is>
      </c>
      <c r="I23" s="0" t="inlineStr">
        <is>
          <t>NULL</t>
        </is>
      </c>
      <c r="J23" s="0" t="inlineStr">
        <is>
          <t>NULL</t>
        </is>
      </c>
      <c r="K23" s="0" t="inlineStr">
        <is>
          <t>YES! 	 c_char8000列源备映射正确，源端为char 8000位	期望更改为text	实际备端为text 65535位</t>
        </is>
      </c>
    </row>
    <row r="24">
      <c r="A24" s="0" t="inlineStr">
        <is>
          <t>info_time_dml_batch1_pk_urp2</t>
        </is>
      </c>
      <c r="K24" s="0" t="inlineStr">
        <is>
          <t>[0;34m info_time_dml_batch1_pk_urp2 [0m源备字段数相同，源端字段：9 	备端字段9</t>
        </is>
      </c>
      <c r="W24" s="0" t="inlineStr">
        <is>
          <t>YES 源备无差异</t>
        </is>
      </c>
      <c r="X24" s="0">
        <f>A24</f>
        <v/>
      </c>
    </row>
    <row r="25">
      <c r="B25" s="0" t="inlineStr">
        <is>
          <t>NO! 主键不正常，源YES备None</t>
        </is>
      </c>
      <c r="C25" s="0" t="inlineStr">
        <is>
          <t>NULL</t>
        </is>
      </c>
      <c r="D25" s="0" t="inlineStr">
        <is>
          <t>NULL</t>
        </is>
      </c>
      <c r="E25" s="0" t="inlineStr">
        <is>
          <t>NULL</t>
        </is>
      </c>
      <c r="F25" s="0" t="inlineStr">
        <is>
          <t>NULL</t>
        </is>
      </c>
      <c r="G25" s="0" t="inlineStr">
        <is>
          <t>NULL</t>
        </is>
      </c>
      <c r="H25" s="0" t="inlineStr">
        <is>
          <t>NULL</t>
        </is>
      </c>
      <c r="I25" s="0" t="inlineStr">
        <is>
          <t>NO! 源备索引不一致源PK__info_tim__3213E83F7BBC653D备None</t>
        </is>
      </c>
      <c r="J25" s="0" t="inlineStr">
        <is>
          <t>NULL</t>
        </is>
      </c>
      <c r="K25" s="0" t="inlineStr">
        <is>
          <t>YES! 	 id列源备映射正确，源端为int None位	期望更改为int	实际备端为int None位</t>
        </is>
      </c>
    </row>
    <row r="26">
      <c r="B26" s="0" t="inlineStr">
        <is>
          <t>NULL</t>
        </is>
      </c>
      <c r="C26" s="0" t="inlineStr">
        <is>
          <t>NULL</t>
        </is>
      </c>
      <c r="D26" s="0" t="inlineStr">
        <is>
          <t>NULL</t>
        </is>
      </c>
      <c r="E26" s="0" t="inlineStr">
        <is>
          <t>NULL</t>
        </is>
      </c>
      <c r="F26" s="0" t="inlineStr">
        <is>
          <t>NULL</t>
        </is>
      </c>
      <c r="G26" s="0" t="inlineStr">
        <is>
          <t>NULL</t>
        </is>
      </c>
      <c r="H26" s="0" t="inlineStr">
        <is>
          <t>NULL</t>
        </is>
      </c>
      <c r="I26" s="0" t="inlineStr">
        <is>
          <t>NULL</t>
        </is>
      </c>
      <c r="J26" s="0" t="inlineStr">
        <is>
          <t>NULL</t>
        </is>
      </c>
      <c r="K26" s="0" t="inlineStr">
        <is>
          <t>[0;32m YES! [0m 	 c_time0列源备映射正确，源端为time None位	期望更改为varchar(20)	实际备端为varchar 80位	位数精度不存在，通过长度比较</t>
        </is>
      </c>
    </row>
    <row r="27">
      <c r="B27" s="0" t="inlineStr">
        <is>
          <t>NULL</t>
        </is>
      </c>
      <c r="C27" s="0" t="inlineStr">
        <is>
          <t>NULL</t>
        </is>
      </c>
      <c r="D27" s="0" t="inlineStr">
        <is>
          <t>NULL</t>
        </is>
      </c>
      <c r="E27" s="0" t="inlineStr">
        <is>
          <t>NULL</t>
        </is>
      </c>
      <c r="F27" s="0" t="inlineStr">
        <is>
          <t>NULL</t>
        </is>
      </c>
      <c r="G27" s="0" t="inlineStr">
        <is>
          <t>NULL</t>
        </is>
      </c>
      <c r="H27" s="0" t="inlineStr">
        <is>
          <t>NULL</t>
        </is>
      </c>
      <c r="I27" s="0" t="inlineStr">
        <is>
          <t>NULL</t>
        </is>
      </c>
      <c r="J27" s="0" t="inlineStr">
        <is>
          <t>NULL</t>
        </is>
      </c>
      <c r="K27" s="0" t="inlineStr">
        <is>
          <t>[0;32m YES! [0m 	 c_time1列源备映射正确，源端为time None位	期望更改为varchar(20)	实际备端为varchar 80位	位数精度不存在，通过长度比较</t>
        </is>
      </c>
    </row>
    <row r="28">
      <c r="B28" s="0" t="inlineStr">
        <is>
          <t>NULL</t>
        </is>
      </c>
      <c r="C28" s="0" t="inlineStr">
        <is>
          <t>NULL</t>
        </is>
      </c>
      <c r="D28" s="0" t="inlineStr">
        <is>
          <t>NULL</t>
        </is>
      </c>
      <c r="E28" s="0" t="inlineStr">
        <is>
          <t>NULL</t>
        </is>
      </c>
      <c r="F28" s="0" t="inlineStr">
        <is>
          <t>NULL</t>
        </is>
      </c>
      <c r="G28" s="0" t="inlineStr">
        <is>
          <t>NULL</t>
        </is>
      </c>
      <c r="H28" s="0" t="inlineStr">
        <is>
          <t>NULL</t>
        </is>
      </c>
      <c r="I28" s="0" t="inlineStr">
        <is>
          <t>NULL</t>
        </is>
      </c>
      <c r="J28" s="0" t="inlineStr">
        <is>
          <t>NULL</t>
        </is>
      </c>
      <c r="K28" s="0" t="inlineStr">
        <is>
          <t>[0;32m YES! [0m 	 c_time2列源备映射正确，源端为time None位	期望更改为varchar(20)	实际备端为varchar 80位	位数精度不存在，通过长度比较</t>
        </is>
      </c>
    </row>
    <row r="29">
      <c r="B29" s="0" t="inlineStr">
        <is>
          <t>NULL</t>
        </is>
      </c>
      <c r="C29" s="0" t="inlineStr">
        <is>
          <t>NULL</t>
        </is>
      </c>
      <c r="D29" s="0" t="inlineStr">
        <is>
          <t>NULL</t>
        </is>
      </c>
      <c r="E29" s="0" t="inlineStr">
        <is>
          <t>NULL</t>
        </is>
      </c>
      <c r="F29" s="0" t="inlineStr">
        <is>
          <t>NULL</t>
        </is>
      </c>
      <c r="G29" s="0" t="inlineStr">
        <is>
          <t>NULL</t>
        </is>
      </c>
      <c r="H29" s="0" t="inlineStr">
        <is>
          <t>NULL</t>
        </is>
      </c>
      <c r="I29" s="0" t="inlineStr">
        <is>
          <t>NULL</t>
        </is>
      </c>
      <c r="J29" s="0" t="inlineStr">
        <is>
          <t>NULL</t>
        </is>
      </c>
      <c r="K29" s="0" t="inlineStr">
        <is>
          <t>[0;32m YES! [0m 	 c_time3列源备映射正确，源端为time None位	期望更改为varchar(20)	实际备端为varchar 80位	位数精度不存在，通过长度比较</t>
        </is>
      </c>
    </row>
    <row r="30">
      <c r="B30" s="0" t="inlineStr">
        <is>
          <t>NULL</t>
        </is>
      </c>
      <c r="C30" s="0" t="inlineStr">
        <is>
          <t>NULL</t>
        </is>
      </c>
      <c r="D30" s="0" t="inlineStr">
        <is>
          <t>NULL</t>
        </is>
      </c>
      <c r="E30" s="0" t="inlineStr">
        <is>
          <t>NULL</t>
        </is>
      </c>
      <c r="F30" s="0" t="inlineStr">
        <is>
          <t>NULL</t>
        </is>
      </c>
      <c r="G30" s="0" t="inlineStr">
        <is>
          <t>NULL</t>
        </is>
      </c>
      <c r="H30" s="0" t="inlineStr">
        <is>
          <t>NULL</t>
        </is>
      </c>
      <c r="I30" s="0" t="inlineStr">
        <is>
          <t>NULL</t>
        </is>
      </c>
      <c r="J30" s="0" t="inlineStr">
        <is>
          <t>NULL</t>
        </is>
      </c>
      <c r="K30" s="0" t="inlineStr">
        <is>
          <t>[0;32m YES! [0m 	 c_time4列源备映射正确，源端为time None位	期望更改为varchar(20)	实际备端为varchar 80位	位数精度不存在，通过长度比较</t>
        </is>
      </c>
    </row>
    <row r="31">
      <c r="B31" s="0" t="inlineStr">
        <is>
          <t>NULL</t>
        </is>
      </c>
      <c r="C31" s="0" t="inlineStr">
        <is>
          <t>NULL</t>
        </is>
      </c>
      <c r="D31" s="0" t="inlineStr">
        <is>
          <t>NULL</t>
        </is>
      </c>
      <c r="E31" s="0" t="inlineStr">
        <is>
          <t>NULL</t>
        </is>
      </c>
      <c r="F31" s="0" t="inlineStr">
        <is>
          <t>NULL</t>
        </is>
      </c>
      <c r="G31" s="0" t="inlineStr">
        <is>
          <t>NULL</t>
        </is>
      </c>
      <c r="H31" s="0" t="inlineStr">
        <is>
          <t>NULL</t>
        </is>
      </c>
      <c r="I31" s="0" t="inlineStr">
        <is>
          <t>NULL</t>
        </is>
      </c>
      <c r="J31" s="0" t="inlineStr">
        <is>
          <t>NULL</t>
        </is>
      </c>
      <c r="K31" s="0" t="inlineStr">
        <is>
          <t>[0;32m YES! [0m 	 c_time5列源备映射正确，源端为time None位	期望更改为varchar(20)	实际备端为varchar 80位	位数精度不存在，通过长度比较</t>
        </is>
      </c>
    </row>
    <row r="32">
      <c r="B32" s="0" t="inlineStr">
        <is>
          <t>NULL</t>
        </is>
      </c>
      <c r="C32" s="0" t="inlineStr">
        <is>
          <t>NULL</t>
        </is>
      </c>
      <c r="D32" s="0" t="inlineStr">
        <is>
          <t>NULL</t>
        </is>
      </c>
      <c r="E32" s="0" t="inlineStr">
        <is>
          <t>NULL</t>
        </is>
      </c>
      <c r="F32" s="0" t="inlineStr">
        <is>
          <t>NULL</t>
        </is>
      </c>
      <c r="G32" s="0" t="inlineStr">
        <is>
          <t>NULL</t>
        </is>
      </c>
      <c r="H32" s="0" t="inlineStr">
        <is>
          <t>NULL</t>
        </is>
      </c>
      <c r="I32" s="0" t="inlineStr">
        <is>
          <t>NULL</t>
        </is>
      </c>
      <c r="J32" s="0" t="inlineStr">
        <is>
          <t>NULL</t>
        </is>
      </c>
      <c r="K32" s="0" t="inlineStr">
        <is>
          <t>[0;32m YES! [0m 	 c_time6列源备映射正确，源端为time None位	期望更改为varchar(20)	实际备端为varchar 80位	位数精度不存在，通过长度比较</t>
        </is>
      </c>
    </row>
    <row r="33">
      <c r="B33" s="0" t="inlineStr">
        <is>
          <t>NULL</t>
        </is>
      </c>
      <c r="C33" s="0" t="inlineStr">
        <is>
          <t>NO!源None备NUL</t>
        </is>
      </c>
      <c r="D33" s="0" t="inlineStr">
        <is>
          <t>NULL</t>
        </is>
      </c>
      <c r="E33" s="0" t="inlineStr">
        <is>
          <t>NULL</t>
        </is>
      </c>
      <c r="F33" s="0" t="inlineStr">
        <is>
          <t>NULL</t>
        </is>
      </c>
      <c r="G33" s="0" t="inlineStr">
        <is>
          <t>NULL</t>
        </is>
      </c>
      <c r="H33" s="0" t="inlineStr">
        <is>
          <t>NULL</t>
        </is>
      </c>
      <c r="I33" s="0" t="inlineStr">
        <is>
          <t>NULL</t>
        </is>
      </c>
      <c r="J33" s="0" t="inlineStr">
        <is>
          <t>NULL</t>
        </is>
      </c>
      <c r="K33" s="0" t="inlineStr">
        <is>
          <t>[0;32m YES! [0m 	 c_time列源备映射正确，源端为time None位	期望更改为varchar(20)	实际备端为varchar 80位	位数精度不存在，通过长度比较</t>
        </is>
      </c>
    </row>
    <row r="34">
      <c r="K34" s="0" t="inlineStr">
        <is>
          <t>[0;31m NO! [0m 	  行数不同,源16行,备端空表</t>
        </is>
      </c>
    </row>
    <row r="35">
      <c r="A35" s="0" t="inlineStr">
        <is>
          <t>info_hierarchyid_dml_single_nopk_irp</t>
        </is>
      </c>
      <c r="K35" s="0" t="inlineStr">
        <is>
          <t>[0;34m info_hierarchyid_dml_single_nopk_irp [0m源备字段数相同，源端字段：2 	备端字段2</t>
        </is>
      </c>
      <c r="W35" s="0" t="inlineStr">
        <is>
          <t>YES 源备无差异</t>
        </is>
      </c>
      <c r="X35" s="0">
        <f>A35</f>
        <v/>
      </c>
    </row>
    <row r="36">
      <c r="B36" s="0" t="inlineStr">
        <is>
          <t>NULL</t>
        </is>
      </c>
      <c r="C36" s="0" t="inlineStr">
        <is>
          <t>NULL</t>
        </is>
      </c>
      <c r="D36" s="0" t="inlineStr">
        <is>
          <t>NULL</t>
        </is>
      </c>
      <c r="E36" s="0" t="inlineStr">
        <is>
          <t>NULL</t>
        </is>
      </c>
      <c r="F36" s="0" t="inlineStr">
        <is>
          <t>NULL</t>
        </is>
      </c>
      <c r="G36" s="0" t="inlineStr">
        <is>
          <t>NULL</t>
        </is>
      </c>
      <c r="H36" s="0" t="inlineStr">
        <is>
          <t>NULL</t>
        </is>
      </c>
      <c r="I36" s="0" t="inlineStr">
        <is>
          <t>NULL</t>
        </is>
      </c>
      <c r="J36" s="0" t="inlineStr">
        <is>
          <t>NULL</t>
        </is>
      </c>
      <c r="K36" s="0" t="inlineStr">
        <is>
          <t>YES! 	 id列源备映射正确，源端为int None位	期望更改为int	实际备端为int None位</t>
        </is>
      </c>
    </row>
    <row r="37">
      <c r="B37" s="0" t="inlineStr">
        <is>
          <t>NULL</t>
        </is>
      </c>
      <c r="C37" s="0" t="inlineStr">
        <is>
          <t>NO!源None备NUL</t>
        </is>
      </c>
      <c r="D37" s="0" t="inlineStr">
        <is>
          <t>NULL</t>
        </is>
      </c>
      <c r="E37" s="0" t="inlineStr">
        <is>
          <t>NULL</t>
        </is>
      </c>
      <c r="F37" s="0" t="inlineStr">
        <is>
          <t>NULL</t>
        </is>
      </c>
      <c r="G37" s="0" t="inlineStr">
        <is>
          <t>NULL</t>
        </is>
      </c>
      <c r="H37" s="0" t="inlineStr">
        <is>
          <t>NULL</t>
        </is>
      </c>
      <c r="I37" s="0" t="inlineStr">
        <is>
          <t>NULL</t>
        </is>
      </c>
      <c r="J37" s="0" t="inlineStr">
        <is>
          <t>NULL</t>
        </is>
      </c>
      <c r="K37" s="0" t="inlineStr">
        <is>
          <t>[0;32m YES! [0m 	 c_hierarchyid列源备映射正确，源端为hierarchyid 892位	期望更改为varchar(200)	实际备端为varchar 800位	位数精度不存在，通过长度比较</t>
        </is>
      </c>
    </row>
    <row r="38">
      <c r="K38" s="0" t="inlineStr">
        <is>
          <t>[0;31m NO! [0m 	  行数不同,源8行,备端空表</t>
        </is>
      </c>
    </row>
    <row r="39">
      <c r="A39" s="0" t="inlineStr">
        <is>
          <t>info_varchar_dml_single_nopk_irp</t>
        </is>
      </c>
      <c r="K39" s="0" t="inlineStr">
        <is>
          <t>[0;34m info_varchar_dml_single_nopk_irp [0m源备字段数相同，源端字段：4 	备端字段4</t>
        </is>
      </c>
      <c r="W39" s="0" t="inlineStr">
        <is>
          <t>YES 源备无差异</t>
        </is>
      </c>
      <c r="X39" s="0">
        <f>A39</f>
        <v/>
      </c>
    </row>
    <row r="40">
      <c r="B40" s="0" t="inlineStr">
        <is>
          <t>NULL</t>
        </is>
      </c>
      <c r="C40" s="0" t="inlineStr">
        <is>
          <t>NULL</t>
        </is>
      </c>
      <c r="D40" s="0" t="inlineStr">
        <is>
          <t>NULL</t>
        </is>
      </c>
      <c r="E40" s="0" t="inlineStr">
        <is>
          <t>NULL</t>
        </is>
      </c>
      <c r="F40" s="0" t="inlineStr">
        <is>
          <t>NULL</t>
        </is>
      </c>
      <c r="G40" s="0" t="inlineStr">
        <is>
          <t>NULL</t>
        </is>
      </c>
      <c r="H40" s="0" t="inlineStr">
        <is>
          <t>NULL</t>
        </is>
      </c>
      <c r="I40" s="0" t="inlineStr">
        <is>
          <t>NULL</t>
        </is>
      </c>
      <c r="J40" s="0" t="inlineStr">
        <is>
          <t>NULL</t>
        </is>
      </c>
      <c r="K40" s="0" t="inlineStr">
        <is>
          <t>YES! 	 id列源备映射正确，源端为int None位	期望更改为int	实际备端为int None位</t>
        </is>
      </c>
    </row>
    <row r="41">
      <c r="B41" s="0" t="inlineStr">
        <is>
          <t>NULL</t>
        </is>
      </c>
      <c r="C41" s="0" t="inlineStr">
        <is>
          <t>NULL</t>
        </is>
      </c>
      <c r="D41" s="0" t="inlineStr">
        <is>
          <t>NULL</t>
        </is>
      </c>
      <c r="E41" s="0" t="inlineStr">
        <is>
          <t>NULL</t>
        </is>
      </c>
      <c r="F41" s="0" t="inlineStr">
        <is>
          <t>NULL</t>
        </is>
      </c>
      <c r="G41" s="0" t="inlineStr">
        <is>
          <t>NULL</t>
        </is>
      </c>
      <c r="H41" s="0" t="inlineStr">
        <is>
          <t>NULL</t>
        </is>
      </c>
      <c r="I41" s="0" t="inlineStr">
        <is>
          <t>NULL</t>
        </is>
      </c>
      <c r="J41" s="0" t="inlineStr">
        <is>
          <t>NULL</t>
        </is>
      </c>
      <c r="K41" s="0" t="inlineStr">
        <is>
          <t>YES! 	 c_varchar列源备映射正确，源端为varchar 1位	期望更改为varchar(n)	实际备端为varchar 4位</t>
        </is>
      </c>
    </row>
    <row r="42">
      <c r="B42" s="0" t="inlineStr">
        <is>
          <t>NULL</t>
        </is>
      </c>
      <c r="C42" s="0" t="inlineStr">
        <is>
          <t>NULL</t>
        </is>
      </c>
      <c r="D42" s="0" t="inlineStr">
        <is>
          <t>NULL</t>
        </is>
      </c>
      <c r="E42" s="0" t="inlineStr">
        <is>
          <t>NULL</t>
        </is>
      </c>
      <c r="F42" s="0" t="inlineStr">
        <is>
          <t>NULL</t>
        </is>
      </c>
      <c r="G42" s="0" t="inlineStr">
        <is>
          <t>NULL</t>
        </is>
      </c>
      <c r="H42" s="0" t="inlineStr">
        <is>
          <t>NULL</t>
        </is>
      </c>
      <c r="I42" s="0" t="inlineStr">
        <is>
          <t>NULL</t>
        </is>
      </c>
      <c r="J42" s="0" t="inlineStr">
        <is>
          <t>NULL</t>
        </is>
      </c>
      <c r="K42" s="0" t="inlineStr">
        <is>
          <t>YES! 	 c_varchar50列源备映射正确，源端为varchar 50位	期望更改为varchar(n)	实际备端为varchar 200位</t>
        </is>
      </c>
    </row>
    <row r="43">
      <c r="B43" s="0" t="inlineStr">
        <is>
          <t>NULL</t>
        </is>
      </c>
      <c r="C43" s="0" t="inlineStr">
        <is>
          <t>NULL</t>
        </is>
      </c>
      <c r="D43" s="0" t="inlineStr">
        <is>
          <t>NULL</t>
        </is>
      </c>
      <c r="E43" s="0" t="inlineStr">
        <is>
          <t>NULL</t>
        </is>
      </c>
      <c r="F43" s="0" t="inlineStr">
        <is>
          <t>NULL</t>
        </is>
      </c>
      <c r="G43" s="0" t="inlineStr">
        <is>
          <t>NULL</t>
        </is>
      </c>
      <c r="H43" s="0" t="inlineStr">
        <is>
          <t>NULL</t>
        </is>
      </c>
      <c r="I43" s="0" t="inlineStr">
        <is>
          <t>NULL</t>
        </is>
      </c>
      <c r="J43" s="0" t="inlineStr">
        <is>
          <t>NULL</t>
        </is>
      </c>
      <c r="K43" s="0" t="inlineStr">
        <is>
          <t xml:space="preserve"> NO!  	 c_varchar8000列源备映射错误，源端为varchar 8000位	期望更改为longtext	实际备端为text 65535位</t>
        </is>
      </c>
    </row>
    <row r="44">
      <c r="A44" s="0" t="inlineStr">
        <is>
          <t>info_hierarchyid_dml_single_nopk_urp</t>
        </is>
      </c>
      <c r="K44" s="0" t="inlineStr">
        <is>
          <t>[0;34m info_hierarchyid_dml_single_nopk_urp [0m源备字段数相同，源端字段：2 	备端字段2</t>
        </is>
      </c>
      <c r="W44" s="0" t="inlineStr">
        <is>
          <t>YES 源备无差异</t>
        </is>
      </c>
      <c r="X44" s="0">
        <f>A44</f>
        <v/>
      </c>
    </row>
    <row r="45">
      <c r="B45" s="0" t="inlineStr">
        <is>
          <t>NULL</t>
        </is>
      </c>
      <c r="C45" s="0" t="inlineStr">
        <is>
          <t>NULL</t>
        </is>
      </c>
      <c r="D45" s="0" t="inlineStr">
        <is>
          <t>NULL</t>
        </is>
      </c>
      <c r="E45" s="0" t="inlineStr">
        <is>
          <t>NULL</t>
        </is>
      </c>
      <c r="F45" s="0" t="inlineStr">
        <is>
          <t>NULL</t>
        </is>
      </c>
      <c r="G45" s="0" t="inlineStr">
        <is>
          <t>NULL</t>
        </is>
      </c>
      <c r="H45" s="0" t="inlineStr">
        <is>
          <t>NULL</t>
        </is>
      </c>
      <c r="I45" s="0" t="inlineStr">
        <is>
          <t>NULL</t>
        </is>
      </c>
      <c r="J45" s="0" t="inlineStr">
        <is>
          <t>NULL</t>
        </is>
      </c>
      <c r="K45" s="0" t="inlineStr">
        <is>
          <t>YES! 	 id列源备映射正确，源端为int None位	期望更改为int	实际备端为int None位</t>
        </is>
      </c>
    </row>
    <row r="46">
      <c r="B46" s="0" t="inlineStr">
        <is>
          <t>NULL</t>
        </is>
      </c>
      <c r="C46" s="0" t="inlineStr">
        <is>
          <t>NO!源None备NUL</t>
        </is>
      </c>
      <c r="D46" s="0" t="inlineStr">
        <is>
          <t>NULL</t>
        </is>
      </c>
      <c r="E46" s="0" t="inlineStr">
        <is>
          <t>NULL</t>
        </is>
      </c>
      <c r="F46" s="0" t="inlineStr">
        <is>
          <t>NULL</t>
        </is>
      </c>
      <c r="G46" s="0" t="inlineStr">
        <is>
          <t>NULL</t>
        </is>
      </c>
      <c r="H46" s="0" t="inlineStr">
        <is>
          <t>NULL</t>
        </is>
      </c>
      <c r="I46" s="0" t="inlineStr">
        <is>
          <t>NULL</t>
        </is>
      </c>
      <c r="J46" s="0" t="inlineStr">
        <is>
          <t>NULL</t>
        </is>
      </c>
      <c r="K46" s="0" t="inlineStr">
        <is>
          <t>[0;32m YES! [0m 	 c_hierarchyid列源备映射正确，源端为hierarchyid 892位	期望更改为varchar(200)	实际备端为varchar 800位	位数精度不存在，通过长度比较</t>
        </is>
      </c>
    </row>
    <row r="47">
      <c r="A47" s="0" t="inlineStr">
        <is>
          <t>info_varchar_dml_single_nopk_urp</t>
        </is>
      </c>
      <c r="K47" s="0" t="inlineStr">
        <is>
          <t>[0;34m info_varchar_dml_single_nopk_urp [0m源备字段数相同，源端字段：4 	备端字段4</t>
        </is>
      </c>
      <c r="W47" s="0" t="inlineStr">
        <is>
          <t>YES 源备无差异</t>
        </is>
      </c>
      <c r="X47" s="0">
        <f>A47</f>
        <v/>
      </c>
    </row>
    <row r="48">
      <c r="B48" s="0" t="inlineStr">
        <is>
          <t>NULL</t>
        </is>
      </c>
      <c r="C48" s="0" t="inlineStr">
        <is>
          <t>NULL</t>
        </is>
      </c>
      <c r="D48" s="0" t="inlineStr">
        <is>
          <t>NULL</t>
        </is>
      </c>
      <c r="E48" s="0" t="inlineStr">
        <is>
          <t>NULL</t>
        </is>
      </c>
      <c r="F48" s="0" t="inlineStr">
        <is>
          <t>NULL</t>
        </is>
      </c>
      <c r="G48" s="0" t="inlineStr">
        <is>
          <t>NULL</t>
        </is>
      </c>
      <c r="H48" s="0" t="inlineStr">
        <is>
          <t>NULL</t>
        </is>
      </c>
      <c r="I48" s="0" t="inlineStr">
        <is>
          <t>NULL</t>
        </is>
      </c>
      <c r="J48" s="0" t="inlineStr">
        <is>
          <t>NULL</t>
        </is>
      </c>
      <c r="K48" s="0" t="inlineStr">
        <is>
          <t>YES! 	 id列源备映射正确，源端为int None位	期望更改为int	实际备端为int None位</t>
        </is>
      </c>
    </row>
    <row r="49">
      <c r="B49" s="0" t="inlineStr">
        <is>
          <t>NULL</t>
        </is>
      </c>
      <c r="C49" s="0" t="inlineStr">
        <is>
          <t>NULL</t>
        </is>
      </c>
      <c r="D49" s="0" t="inlineStr">
        <is>
          <t>NULL</t>
        </is>
      </c>
      <c r="E49" s="0" t="inlineStr">
        <is>
          <t>NULL</t>
        </is>
      </c>
      <c r="F49" s="0" t="inlineStr">
        <is>
          <t>NULL</t>
        </is>
      </c>
      <c r="G49" s="0" t="inlineStr">
        <is>
          <t>NULL</t>
        </is>
      </c>
      <c r="H49" s="0" t="inlineStr">
        <is>
          <t>NULL</t>
        </is>
      </c>
      <c r="I49" s="0" t="inlineStr">
        <is>
          <t>NULL</t>
        </is>
      </c>
      <c r="J49" s="0" t="inlineStr">
        <is>
          <t>NULL</t>
        </is>
      </c>
      <c r="K49" s="0" t="inlineStr">
        <is>
          <t>YES! 	 c_varchar列源备映射正确，源端为varchar 1位	期望更改为varchar(n)	实际备端为varchar 4位</t>
        </is>
      </c>
    </row>
    <row r="50">
      <c r="B50" s="0" t="inlineStr">
        <is>
          <t>NULL</t>
        </is>
      </c>
      <c r="C50" s="0" t="inlineStr">
        <is>
          <t>NULL</t>
        </is>
      </c>
      <c r="D50" s="0" t="inlineStr">
        <is>
          <t>NULL</t>
        </is>
      </c>
      <c r="E50" s="0" t="inlineStr">
        <is>
          <t>NULL</t>
        </is>
      </c>
      <c r="F50" s="0" t="inlineStr">
        <is>
          <t>NULL</t>
        </is>
      </c>
      <c r="G50" s="0" t="inlineStr">
        <is>
          <t>NULL</t>
        </is>
      </c>
      <c r="H50" s="0" t="inlineStr">
        <is>
          <t>NULL</t>
        </is>
      </c>
      <c r="I50" s="0" t="inlineStr">
        <is>
          <t>NULL</t>
        </is>
      </c>
      <c r="J50" s="0" t="inlineStr">
        <is>
          <t>NULL</t>
        </is>
      </c>
      <c r="K50" s="0" t="inlineStr">
        <is>
          <t>YES! 	 c_varchar50列源备映射正确，源端为varchar 50位	期望更改为varchar(n)	实际备端为varchar 200位</t>
        </is>
      </c>
    </row>
    <row r="51">
      <c r="B51" s="0" t="inlineStr">
        <is>
          <t>NULL</t>
        </is>
      </c>
      <c r="C51" s="0" t="inlineStr">
        <is>
          <t>NULL</t>
        </is>
      </c>
      <c r="D51" s="0" t="inlineStr">
        <is>
          <t>NULL</t>
        </is>
      </c>
      <c r="E51" s="0" t="inlineStr">
        <is>
          <t>NULL</t>
        </is>
      </c>
      <c r="F51" s="0" t="inlineStr">
        <is>
          <t>NULL</t>
        </is>
      </c>
      <c r="G51" s="0" t="inlineStr">
        <is>
          <t>NULL</t>
        </is>
      </c>
      <c r="H51" s="0" t="inlineStr">
        <is>
          <t>NULL</t>
        </is>
      </c>
      <c r="I51" s="0" t="inlineStr">
        <is>
          <t>NULL</t>
        </is>
      </c>
      <c r="J51" s="0" t="inlineStr">
        <is>
          <t>NULL</t>
        </is>
      </c>
      <c r="K51" s="0" t="inlineStr">
        <is>
          <t xml:space="preserve"> NO!  	 c_varchar8000列源备映射错误，源端为varchar 8000位	期望更改为longtext	实际备端为text 65535位</t>
        </is>
      </c>
    </row>
    <row r="52">
      <c r="K52" s="0" t="inlineStr">
        <is>
          <t>[0;31m NO! [0m 	  行数不同,源8行,备端空表</t>
        </is>
      </c>
    </row>
    <row r="53">
      <c r="A53" s="0" t="inlineStr">
        <is>
          <t>info_char_dml_batch1_pk_irp2</t>
        </is>
      </c>
      <c r="K53" s="0" t="inlineStr">
        <is>
          <t>[0;34m info_char_dml_batch1_pk_irp2 [0m源备字段数相同，源端字段：4 	备端字段4</t>
        </is>
      </c>
      <c r="W53" s="0" t="inlineStr">
        <is>
          <t>YES 源备无差异</t>
        </is>
      </c>
      <c r="X53" s="0">
        <f>A53</f>
        <v/>
      </c>
    </row>
    <row r="54">
      <c r="B54" s="0" t="inlineStr">
        <is>
          <t>NO! 主键不正常，源YES备None</t>
        </is>
      </c>
      <c r="C54" s="0" t="inlineStr">
        <is>
          <t>NULL</t>
        </is>
      </c>
      <c r="D54" s="0" t="inlineStr">
        <is>
          <t>NULL</t>
        </is>
      </c>
      <c r="E54" s="0" t="inlineStr">
        <is>
          <t>NULL</t>
        </is>
      </c>
      <c r="F54" s="0" t="inlineStr">
        <is>
          <t>NULL</t>
        </is>
      </c>
      <c r="G54" s="0" t="inlineStr">
        <is>
          <t>NULL</t>
        </is>
      </c>
      <c r="H54" s="0" t="inlineStr">
        <is>
          <t>NULL</t>
        </is>
      </c>
      <c r="I54" s="0" t="inlineStr">
        <is>
          <t>NO! 源备索引不一致源PK__info_cha__3213E83FC0741F30备None</t>
        </is>
      </c>
      <c r="J54" s="0" t="inlineStr">
        <is>
          <t>NULL</t>
        </is>
      </c>
      <c r="K54" s="0" t="inlineStr">
        <is>
          <t>YES! 	 id列源备映射正确，源端为int None位	期望更改为int	实际备端为int None位</t>
        </is>
      </c>
    </row>
    <row r="55">
      <c r="B55" s="0" t="inlineStr">
        <is>
          <t>NULL</t>
        </is>
      </c>
      <c r="C55" s="0" t="inlineStr">
        <is>
          <t>NULL</t>
        </is>
      </c>
      <c r="D55" s="0" t="inlineStr">
        <is>
          <t>NULL</t>
        </is>
      </c>
      <c r="E55" s="0" t="inlineStr">
        <is>
          <t>NULL</t>
        </is>
      </c>
      <c r="F55" s="0" t="inlineStr">
        <is>
          <t>NULL</t>
        </is>
      </c>
      <c r="G55" s="0" t="inlineStr">
        <is>
          <t>NULL</t>
        </is>
      </c>
      <c r="H55" s="0" t="inlineStr">
        <is>
          <t>NULL</t>
        </is>
      </c>
      <c r="I55" s="0" t="inlineStr">
        <is>
          <t>NULL</t>
        </is>
      </c>
      <c r="J55" s="0" t="inlineStr">
        <is>
          <t>NULL</t>
        </is>
      </c>
      <c r="K55" s="0" t="inlineStr">
        <is>
          <t>YES! 	 c_char列源备映射正确，源端为char 1位	期望更改为char(n)	实际备端为char 4位</t>
        </is>
      </c>
    </row>
    <row r="56">
      <c r="B56" s="0" t="inlineStr">
        <is>
          <t>NULL</t>
        </is>
      </c>
      <c r="C56" s="0" t="inlineStr">
        <is>
          <t>NULL</t>
        </is>
      </c>
      <c r="D56" s="0" t="inlineStr">
        <is>
          <t>NULL</t>
        </is>
      </c>
      <c r="E56" s="0" t="inlineStr">
        <is>
          <t>NULL</t>
        </is>
      </c>
      <c r="F56" s="0" t="inlineStr">
        <is>
          <t>NULL</t>
        </is>
      </c>
      <c r="G56" s="0" t="inlineStr">
        <is>
          <t>NULL</t>
        </is>
      </c>
      <c r="H56" s="0" t="inlineStr">
        <is>
          <t>NULL</t>
        </is>
      </c>
      <c r="I56" s="0" t="inlineStr">
        <is>
          <t>NULL</t>
        </is>
      </c>
      <c r="J56" s="0" t="inlineStr">
        <is>
          <t>NULL</t>
        </is>
      </c>
      <c r="K56" s="0" t="inlineStr">
        <is>
          <t>YES! 	 c_char20列源备映射正确，源端为char 20位	期望更改为char(n)	实际备端为char 80位</t>
        </is>
      </c>
    </row>
    <row r="57">
      <c r="B57" s="0" t="inlineStr">
        <is>
          <t>NULL</t>
        </is>
      </c>
      <c r="C57" s="0" t="inlineStr">
        <is>
          <t>NULL</t>
        </is>
      </c>
      <c r="D57" s="0" t="inlineStr">
        <is>
          <t>NULL</t>
        </is>
      </c>
      <c r="E57" s="0" t="inlineStr">
        <is>
          <t>NULL</t>
        </is>
      </c>
      <c r="F57" s="0" t="inlineStr">
        <is>
          <t>NULL</t>
        </is>
      </c>
      <c r="G57" s="0" t="inlineStr">
        <is>
          <t>NULL</t>
        </is>
      </c>
      <c r="H57" s="0" t="inlineStr">
        <is>
          <t>NULL</t>
        </is>
      </c>
      <c r="I57" s="0" t="inlineStr">
        <is>
          <t>NULL</t>
        </is>
      </c>
      <c r="J57" s="0" t="inlineStr">
        <is>
          <t>NULL</t>
        </is>
      </c>
      <c r="K57" s="0" t="inlineStr">
        <is>
          <t>YES! 	 c_char8000列源备映射正确，源端为char 8000位	期望更改为text	实际备端为text 65535位</t>
        </is>
      </c>
    </row>
    <row r="58">
      <c r="K58" s="0" t="inlineStr">
        <is>
          <t>[0;31m NO! [0m 	  行数不同,源33行,备端空表</t>
        </is>
      </c>
    </row>
    <row r="59">
      <c r="A59" s="0" t="inlineStr">
        <is>
          <t>info_hierarchyid_dml_single_nopk_drp</t>
        </is>
      </c>
      <c r="K59" s="0" t="inlineStr">
        <is>
          <t>[0;34m info_hierarchyid_dml_single_nopk_drp [0m源备字段数相同，源端字段：2 	备端字段2</t>
        </is>
      </c>
      <c r="W59" s="0" t="inlineStr">
        <is>
          <t>YES 源备无差异</t>
        </is>
      </c>
      <c r="X59" s="0">
        <f>A59</f>
        <v/>
      </c>
    </row>
    <row r="60">
      <c r="B60" s="0" t="inlineStr">
        <is>
          <t>NULL</t>
        </is>
      </c>
      <c r="C60" s="0" t="inlineStr">
        <is>
          <t>NULL</t>
        </is>
      </c>
      <c r="D60" s="0" t="inlineStr">
        <is>
          <t>NULL</t>
        </is>
      </c>
      <c r="E60" s="0" t="inlineStr">
        <is>
          <t>NULL</t>
        </is>
      </c>
      <c r="F60" s="0" t="inlineStr">
        <is>
          <t>NULL</t>
        </is>
      </c>
      <c r="G60" s="0" t="inlineStr">
        <is>
          <t>NULL</t>
        </is>
      </c>
      <c r="H60" s="0" t="inlineStr">
        <is>
          <t>NULL</t>
        </is>
      </c>
      <c r="I60" s="0" t="inlineStr">
        <is>
          <t>NULL</t>
        </is>
      </c>
      <c r="J60" s="0" t="inlineStr">
        <is>
          <t>NULL</t>
        </is>
      </c>
      <c r="K60" s="0" t="inlineStr">
        <is>
          <t>YES! 	 id列源备映射正确，源端为int None位	期望更改为int	实际备端为int None位</t>
        </is>
      </c>
    </row>
    <row r="61">
      <c r="B61" s="0" t="inlineStr">
        <is>
          <t>NULL</t>
        </is>
      </c>
      <c r="C61" s="0" t="inlineStr">
        <is>
          <t>NO!源None备NUL</t>
        </is>
      </c>
      <c r="D61" s="0" t="inlineStr">
        <is>
          <t>NULL</t>
        </is>
      </c>
      <c r="E61" s="0" t="inlineStr">
        <is>
          <t>NULL</t>
        </is>
      </c>
      <c r="F61" s="0" t="inlineStr">
        <is>
          <t>NULL</t>
        </is>
      </c>
      <c r="G61" s="0" t="inlineStr">
        <is>
          <t>NULL</t>
        </is>
      </c>
      <c r="H61" s="0" t="inlineStr">
        <is>
          <t>NULL</t>
        </is>
      </c>
      <c r="I61" s="0" t="inlineStr">
        <is>
          <t>NULL</t>
        </is>
      </c>
      <c r="J61" s="0" t="inlineStr">
        <is>
          <t>NULL</t>
        </is>
      </c>
      <c r="K61" s="0" t="inlineStr">
        <is>
          <t>[0;32m YES! [0m 	 c_hierarchyid列源备映射正确，源端为hierarchyid 892位	期望更改为varchar(200)	实际备端为varchar 800位	位数精度不存在，通过长度比较</t>
        </is>
      </c>
    </row>
    <row r="62">
      <c r="A62" s="0" t="inlineStr">
        <is>
          <t>info_varchar_dml_single_nopk_drp</t>
        </is>
      </c>
      <c r="K62" s="0" t="inlineStr">
        <is>
          <t>[0;34m info_varchar_dml_single_nopk_drp [0m源备字段数相同，源端字段：4 	备端字段4</t>
        </is>
      </c>
      <c r="W62" s="0" t="inlineStr">
        <is>
          <t>YES 源备无差异</t>
        </is>
      </c>
      <c r="X62" s="0">
        <f>A62</f>
        <v/>
      </c>
    </row>
    <row r="63">
      <c r="B63" s="0" t="inlineStr">
        <is>
          <t>NULL</t>
        </is>
      </c>
      <c r="C63" s="0" t="inlineStr">
        <is>
          <t>NULL</t>
        </is>
      </c>
      <c r="D63" s="0" t="inlineStr">
        <is>
          <t>NULL</t>
        </is>
      </c>
      <c r="E63" s="0" t="inlineStr">
        <is>
          <t>NULL</t>
        </is>
      </c>
      <c r="F63" s="0" t="inlineStr">
        <is>
          <t>NULL</t>
        </is>
      </c>
      <c r="G63" s="0" t="inlineStr">
        <is>
          <t>NULL</t>
        </is>
      </c>
      <c r="H63" s="0" t="inlineStr">
        <is>
          <t>NULL</t>
        </is>
      </c>
      <c r="I63" s="0" t="inlineStr">
        <is>
          <t>NULL</t>
        </is>
      </c>
      <c r="J63" s="0" t="inlineStr">
        <is>
          <t>NULL</t>
        </is>
      </c>
      <c r="K63" s="0" t="inlineStr">
        <is>
          <t>YES! 	 id列源备映射正确，源端为int None位	期望更改为int	实际备端为int None位</t>
        </is>
      </c>
    </row>
    <row r="64">
      <c r="B64" s="0" t="inlineStr">
        <is>
          <t>NULL</t>
        </is>
      </c>
      <c r="C64" s="0" t="inlineStr">
        <is>
          <t>NULL</t>
        </is>
      </c>
      <c r="D64" s="0" t="inlineStr">
        <is>
          <t>NULL</t>
        </is>
      </c>
      <c r="E64" s="0" t="inlineStr">
        <is>
          <t>NULL</t>
        </is>
      </c>
      <c r="F64" s="0" t="inlineStr">
        <is>
          <t>NULL</t>
        </is>
      </c>
      <c r="G64" s="0" t="inlineStr">
        <is>
          <t>NULL</t>
        </is>
      </c>
      <c r="H64" s="0" t="inlineStr">
        <is>
          <t>NULL</t>
        </is>
      </c>
      <c r="I64" s="0" t="inlineStr">
        <is>
          <t>NULL</t>
        </is>
      </c>
      <c r="J64" s="0" t="inlineStr">
        <is>
          <t>NULL</t>
        </is>
      </c>
      <c r="K64" s="0" t="inlineStr">
        <is>
          <t>YES! 	 c_varchar列源备映射正确，源端为varchar 1位	期望更改为varchar(n)	实际备端为varchar 4位</t>
        </is>
      </c>
    </row>
    <row r="65">
      <c r="B65" s="0" t="inlineStr">
        <is>
          <t>NULL</t>
        </is>
      </c>
      <c r="C65" s="0" t="inlineStr">
        <is>
          <t>NULL</t>
        </is>
      </c>
      <c r="D65" s="0" t="inlineStr">
        <is>
          <t>NULL</t>
        </is>
      </c>
      <c r="E65" s="0" t="inlineStr">
        <is>
          <t>NULL</t>
        </is>
      </c>
      <c r="F65" s="0" t="inlineStr">
        <is>
          <t>NULL</t>
        </is>
      </c>
      <c r="G65" s="0" t="inlineStr">
        <is>
          <t>NULL</t>
        </is>
      </c>
      <c r="H65" s="0" t="inlineStr">
        <is>
          <t>NULL</t>
        </is>
      </c>
      <c r="I65" s="0" t="inlineStr">
        <is>
          <t>NULL</t>
        </is>
      </c>
      <c r="J65" s="0" t="inlineStr">
        <is>
          <t>NULL</t>
        </is>
      </c>
      <c r="K65" s="0" t="inlineStr">
        <is>
          <t>YES! 	 c_varchar50列源备映射正确，源端为varchar 50位	期望更改为varchar(n)	实际备端为varchar 200位</t>
        </is>
      </c>
    </row>
    <row r="66">
      <c r="B66" s="0" t="inlineStr">
        <is>
          <t>NULL</t>
        </is>
      </c>
      <c r="C66" s="0" t="inlineStr">
        <is>
          <t>NULL</t>
        </is>
      </c>
      <c r="D66" s="0" t="inlineStr">
        <is>
          <t>NULL</t>
        </is>
      </c>
      <c r="E66" s="0" t="inlineStr">
        <is>
          <t>NULL</t>
        </is>
      </c>
      <c r="F66" s="0" t="inlineStr">
        <is>
          <t>NULL</t>
        </is>
      </c>
      <c r="G66" s="0" t="inlineStr">
        <is>
          <t>NULL</t>
        </is>
      </c>
      <c r="H66" s="0" t="inlineStr">
        <is>
          <t>NULL</t>
        </is>
      </c>
      <c r="I66" s="0" t="inlineStr">
        <is>
          <t>NULL</t>
        </is>
      </c>
      <c r="J66" s="0" t="inlineStr">
        <is>
          <t>NULL</t>
        </is>
      </c>
      <c r="K66" s="0" t="inlineStr">
        <is>
          <t xml:space="preserve"> NO!  	 c_varchar8000列源备映射错误，源端为varchar 8000位	期望更改为longtext	实际备端为text 65535位</t>
        </is>
      </c>
    </row>
    <row r="67">
      <c r="A67" s="0" t="inlineStr">
        <is>
          <t>info_hierarchyid_dml_single_nopk</t>
        </is>
      </c>
      <c r="K67" s="0" t="inlineStr">
        <is>
          <t>[0;34m info_hierarchyid_dml_single_nopk [0m源备字段数相同，源端字段：2 	备端字段2</t>
        </is>
      </c>
      <c r="W67" s="0" t="inlineStr">
        <is>
          <t>YES 源备无差异</t>
        </is>
      </c>
      <c r="X67" s="0">
        <f>A67</f>
        <v/>
      </c>
    </row>
    <row r="68">
      <c r="B68" s="0" t="inlineStr">
        <is>
          <t>NULL</t>
        </is>
      </c>
      <c r="C68" s="0" t="inlineStr">
        <is>
          <t>NULL</t>
        </is>
      </c>
      <c r="D68" s="0" t="inlineStr">
        <is>
          <t>NULL</t>
        </is>
      </c>
      <c r="E68" s="0" t="inlineStr">
        <is>
          <t>NULL</t>
        </is>
      </c>
      <c r="F68" s="0" t="inlineStr">
        <is>
          <t>NULL</t>
        </is>
      </c>
      <c r="G68" s="0" t="inlineStr">
        <is>
          <t>NULL</t>
        </is>
      </c>
      <c r="H68" s="0" t="inlineStr">
        <is>
          <t>NULL</t>
        </is>
      </c>
      <c r="I68" s="0" t="inlineStr">
        <is>
          <t>NULL</t>
        </is>
      </c>
      <c r="J68" s="0" t="inlineStr">
        <is>
          <t>NULL</t>
        </is>
      </c>
      <c r="K68" s="0" t="inlineStr">
        <is>
          <t>YES! 	 id列源备映射正确，源端为int None位	期望更改为int	实际备端为int None位</t>
        </is>
      </c>
    </row>
    <row r="69">
      <c r="B69" s="0" t="inlineStr">
        <is>
          <t>NULL</t>
        </is>
      </c>
      <c r="C69" s="0" t="inlineStr">
        <is>
          <t>NO!源None备NUL</t>
        </is>
      </c>
      <c r="D69" s="0" t="inlineStr">
        <is>
          <t>NULL</t>
        </is>
      </c>
      <c r="E69" s="0" t="inlineStr">
        <is>
          <t>NULL</t>
        </is>
      </c>
      <c r="F69" s="0" t="inlineStr">
        <is>
          <t>NULL</t>
        </is>
      </c>
      <c r="G69" s="0" t="inlineStr">
        <is>
          <t>NULL</t>
        </is>
      </c>
      <c r="H69" s="0" t="inlineStr">
        <is>
          <t>NULL</t>
        </is>
      </c>
      <c r="I69" s="0" t="inlineStr">
        <is>
          <t>NULL</t>
        </is>
      </c>
      <c r="J69" s="0" t="inlineStr">
        <is>
          <t>NULL</t>
        </is>
      </c>
      <c r="K69" s="0" t="inlineStr">
        <is>
          <t>[0;32m YES! [0m 	 c_hierarchyid列源备映射正确，源端为hierarchyid 892位	期望更改为varchar(200)	实际备端为varchar 800位	位数精度不存在，通过长度比较</t>
        </is>
      </c>
    </row>
    <row r="70">
      <c r="A70" s="0" t="inlineStr">
        <is>
          <t>info_char_dml_batch2_pk_irp2</t>
        </is>
      </c>
      <c r="K70" s="0" t="inlineStr">
        <is>
          <t>[0;34m info_char_dml_batch2_pk_irp2 [0m源备字段数相同，源端字段：4 	备端字段4</t>
        </is>
      </c>
      <c r="W70" s="0" t="inlineStr">
        <is>
          <t>YES 源备无差异</t>
        </is>
      </c>
      <c r="X70" s="0">
        <f>A70</f>
        <v/>
      </c>
    </row>
    <row r="71">
      <c r="B71" s="0" t="inlineStr">
        <is>
          <t>NO! 主键不正常，源YES备None</t>
        </is>
      </c>
      <c r="C71" s="0" t="inlineStr">
        <is>
          <t>NULL</t>
        </is>
      </c>
      <c r="D71" s="0" t="inlineStr">
        <is>
          <t>NULL</t>
        </is>
      </c>
      <c r="E71" s="0" t="inlineStr">
        <is>
          <t>NULL</t>
        </is>
      </c>
      <c r="F71" s="0" t="inlineStr">
        <is>
          <t>NULL</t>
        </is>
      </c>
      <c r="G71" s="0" t="inlineStr">
        <is>
          <t>NULL</t>
        </is>
      </c>
      <c r="H71" s="0" t="inlineStr">
        <is>
          <t>NULL</t>
        </is>
      </c>
      <c r="I71" s="0" t="inlineStr">
        <is>
          <t>NO! 源备索引不一致源PK__info_cha__3213E83F17ECD9F4备None</t>
        </is>
      </c>
      <c r="J71" s="0" t="inlineStr">
        <is>
          <t>NULL</t>
        </is>
      </c>
      <c r="K71" s="0" t="inlineStr">
        <is>
          <t>YES! 	 id列源备映射正确，源端为int None位	期望更改为int	实际备端为int None位</t>
        </is>
      </c>
    </row>
    <row r="72">
      <c r="B72" s="0" t="inlineStr">
        <is>
          <t>NULL</t>
        </is>
      </c>
      <c r="C72" s="0" t="inlineStr">
        <is>
          <t>NULL</t>
        </is>
      </c>
      <c r="D72" s="0" t="inlineStr">
        <is>
          <t>NULL</t>
        </is>
      </c>
      <c r="E72" s="0" t="inlineStr">
        <is>
          <t>NULL</t>
        </is>
      </c>
      <c r="F72" s="0" t="inlineStr">
        <is>
          <t>NULL</t>
        </is>
      </c>
      <c r="G72" s="0" t="inlineStr">
        <is>
          <t>NULL</t>
        </is>
      </c>
      <c r="H72" s="0" t="inlineStr">
        <is>
          <t>NULL</t>
        </is>
      </c>
      <c r="I72" s="0" t="inlineStr">
        <is>
          <t>NULL</t>
        </is>
      </c>
      <c r="J72" s="0" t="inlineStr">
        <is>
          <t>NULL</t>
        </is>
      </c>
      <c r="K72" s="0" t="inlineStr">
        <is>
          <t>YES! 	 c_char列源备映射正确，源端为char 1位	期望更改为char(n)	实际备端为char 4位</t>
        </is>
      </c>
    </row>
    <row r="73">
      <c r="B73" s="0" t="inlineStr">
        <is>
          <t>NULL</t>
        </is>
      </c>
      <c r="C73" s="0" t="inlineStr">
        <is>
          <t>NULL</t>
        </is>
      </c>
      <c r="D73" s="0" t="inlineStr">
        <is>
          <t>NULL</t>
        </is>
      </c>
      <c r="E73" s="0" t="inlineStr">
        <is>
          <t>NULL</t>
        </is>
      </c>
      <c r="F73" s="0" t="inlineStr">
        <is>
          <t>NULL</t>
        </is>
      </c>
      <c r="G73" s="0" t="inlineStr">
        <is>
          <t>NULL</t>
        </is>
      </c>
      <c r="H73" s="0" t="inlineStr">
        <is>
          <t>NULL</t>
        </is>
      </c>
      <c r="I73" s="0" t="inlineStr">
        <is>
          <t>NULL</t>
        </is>
      </c>
      <c r="J73" s="0" t="inlineStr">
        <is>
          <t>NULL</t>
        </is>
      </c>
      <c r="K73" s="0" t="inlineStr">
        <is>
          <t>YES! 	 c_char20列源备映射正确，源端为char 20位	期望更改为char(n)	实际备端为char 80位</t>
        </is>
      </c>
    </row>
    <row r="74">
      <c r="B74" s="0" t="inlineStr">
        <is>
          <t>NULL</t>
        </is>
      </c>
      <c r="C74" s="0" t="inlineStr">
        <is>
          <t>NULL</t>
        </is>
      </c>
      <c r="D74" s="0" t="inlineStr">
        <is>
          <t>NULL</t>
        </is>
      </c>
      <c r="E74" s="0" t="inlineStr">
        <is>
          <t>NULL</t>
        </is>
      </c>
      <c r="F74" s="0" t="inlineStr">
        <is>
          <t>NULL</t>
        </is>
      </c>
      <c r="G74" s="0" t="inlineStr">
        <is>
          <t>NULL</t>
        </is>
      </c>
      <c r="H74" s="0" t="inlineStr">
        <is>
          <t>NULL</t>
        </is>
      </c>
      <c r="I74" s="0" t="inlineStr">
        <is>
          <t>NULL</t>
        </is>
      </c>
      <c r="J74" s="0" t="inlineStr">
        <is>
          <t>NULL</t>
        </is>
      </c>
      <c r="K74" s="0" t="inlineStr">
        <is>
          <t>YES! 	 c_char8000列源备映射正确，源端为char 8000位	期望更改为text	实际备端为text 65535位</t>
        </is>
      </c>
    </row>
    <row r="75">
      <c r="K75" s="0" t="inlineStr">
        <is>
          <t>[0;31m NO! [0m 	  行数不同,源14行,备端空表</t>
        </is>
      </c>
    </row>
    <row r="76">
      <c r="A76" s="0" t="inlineStr">
        <is>
          <t>info_hierarchyid_dml_single_pk_drp</t>
        </is>
      </c>
      <c r="K76" s="0" t="inlineStr">
        <is>
          <t>[0;34m info_hierarchyid_dml_single_pk_drp [0m源备字段数相同，源端字段：2 	备端字段2</t>
        </is>
      </c>
      <c r="W76" s="0" t="inlineStr">
        <is>
          <t>YES 源备无差异</t>
        </is>
      </c>
      <c r="X76" s="0">
        <f>A76</f>
        <v/>
      </c>
    </row>
    <row r="77">
      <c r="B77" s="0" t="inlineStr">
        <is>
          <t>NO! 主键不正常，源YES备None</t>
        </is>
      </c>
      <c r="C77" s="0" t="inlineStr">
        <is>
          <t>NULL</t>
        </is>
      </c>
      <c r="D77" s="0" t="inlineStr">
        <is>
          <t>NULL</t>
        </is>
      </c>
      <c r="E77" s="0" t="inlineStr">
        <is>
          <t>NULL</t>
        </is>
      </c>
      <c r="F77" s="0" t="inlineStr">
        <is>
          <t>NULL</t>
        </is>
      </c>
      <c r="G77" s="0" t="inlineStr">
        <is>
          <t>NULL</t>
        </is>
      </c>
      <c r="H77" s="0" t="inlineStr">
        <is>
          <t>NULL</t>
        </is>
      </c>
      <c r="I77" s="0" t="inlineStr">
        <is>
          <t>NO! 源备索引不一致源PK__info_hie__3213E83F1847B547备None</t>
        </is>
      </c>
      <c r="J77" s="0" t="inlineStr">
        <is>
          <t>NULL</t>
        </is>
      </c>
      <c r="K77" s="0" t="inlineStr">
        <is>
          <t>YES! 	 id列源备映射正确，源端为int None位	期望更改为int	实际备端为int None位</t>
        </is>
      </c>
    </row>
    <row r="78">
      <c r="B78" s="0" t="inlineStr">
        <is>
          <t>NULL</t>
        </is>
      </c>
      <c r="C78" s="0" t="inlineStr">
        <is>
          <t>NO!源None备NUL</t>
        </is>
      </c>
      <c r="D78" s="0" t="inlineStr">
        <is>
          <t>NULL</t>
        </is>
      </c>
      <c r="E78" s="0" t="inlineStr">
        <is>
          <t>NULL</t>
        </is>
      </c>
      <c r="F78" s="0" t="inlineStr">
        <is>
          <t>NULL</t>
        </is>
      </c>
      <c r="G78" s="0" t="inlineStr">
        <is>
          <t>NULL</t>
        </is>
      </c>
      <c r="H78" s="0" t="inlineStr">
        <is>
          <t>NULL</t>
        </is>
      </c>
      <c r="I78" s="0" t="inlineStr">
        <is>
          <t>NULL</t>
        </is>
      </c>
      <c r="J78" s="0" t="inlineStr">
        <is>
          <t>NULL</t>
        </is>
      </c>
      <c r="K78" s="0" t="inlineStr">
        <is>
          <t>[0;32m YES! [0m 	 c_hierarchyid列源备映射正确，源端为hierarchyid 892位	期望更改为varchar(200)	实际备端为varchar 800位	位数精度不存在，通过长度比较</t>
        </is>
      </c>
    </row>
    <row r="79">
      <c r="K79" s="0" t="inlineStr">
        <is>
          <t>[0;31m NO! [0m 	  行数不同,源2行,备端空表</t>
        </is>
      </c>
    </row>
    <row r="80">
      <c r="A80" s="0" t="inlineStr">
        <is>
          <t>info_varchar_dml_single_nopk</t>
        </is>
      </c>
      <c r="K80" s="0" t="inlineStr">
        <is>
          <t>[0;34m info_varchar_dml_single_nopk [0m源备字段数相同，源端字段：4 	备端字段4</t>
        </is>
      </c>
      <c r="W80" s="0" t="inlineStr">
        <is>
          <t>YES 源备无差异</t>
        </is>
      </c>
      <c r="X80" s="0">
        <f>A80</f>
        <v/>
      </c>
    </row>
    <row r="81">
      <c r="B81" s="0" t="inlineStr">
        <is>
          <t>NULL</t>
        </is>
      </c>
      <c r="C81" s="0" t="inlineStr">
        <is>
          <t>NULL</t>
        </is>
      </c>
      <c r="D81" s="0" t="inlineStr">
        <is>
          <t>NULL</t>
        </is>
      </c>
      <c r="E81" s="0" t="inlineStr">
        <is>
          <t>NULL</t>
        </is>
      </c>
      <c r="F81" s="0" t="inlineStr">
        <is>
          <t>NULL</t>
        </is>
      </c>
      <c r="G81" s="0" t="inlineStr">
        <is>
          <t>NULL</t>
        </is>
      </c>
      <c r="H81" s="0" t="inlineStr">
        <is>
          <t>NULL</t>
        </is>
      </c>
      <c r="I81" s="0" t="inlineStr">
        <is>
          <t>NULL</t>
        </is>
      </c>
      <c r="J81" s="0" t="inlineStr">
        <is>
          <t>NULL</t>
        </is>
      </c>
      <c r="K81" s="0" t="inlineStr">
        <is>
          <t>YES! 	 id列源备映射正确，源端为int None位	期望更改为int	实际备端为int None位</t>
        </is>
      </c>
    </row>
    <row r="82">
      <c r="B82" s="0" t="inlineStr">
        <is>
          <t>NULL</t>
        </is>
      </c>
      <c r="C82" s="0" t="inlineStr">
        <is>
          <t>NULL</t>
        </is>
      </c>
      <c r="D82" s="0" t="inlineStr">
        <is>
          <t>NULL</t>
        </is>
      </c>
      <c r="E82" s="0" t="inlineStr">
        <is>
          <t>NULL</t>
        </is>
      </c>
      <c r="F82" s="0" t="inlineStr">
        <is>
          <t>NULL</t>
        </is>
      </c>
      <c r="G82" s="0" t="inlineStr">
        <is>
          <t>NULL</t>
        </is>
      </c>
      <c r="H82" s="0" t="inlineStr">
        <is>
          <t>NULL</t>
        </is>
      </c>
      <c r="I82" s="0" t="inlineStr">
        <is>
          <t>NULL</t>
        </is>
      </c>
      <c r="J82" s="0" t="inlineStr">
        <is>
          <t>NULL</t>
        </is>
      </c>
      <c r="K82" s="0" t="inlineStr">
        <is>
          <t>YES! 	 c_varchar列源备映射正确，源端为varchar 1位	期望更改为varchar(n)	实际备端为varchar 4位</t>
        </is>
      </c>
    </row>
    <row r="83">
      <c r="B83" s="0" t="inlineStr">
        <is>
          <t>NULL</t>
        </is>
      </c>
      <c r="C83" s="0" t="inlineStr">
        <is>
          <t>NULL</t>
        </is>
      </c>
      <c r="D83" s="0" t="inlineStr">
        <is>
          <t>NULL</t>
        </is>
      </c>
      <c r="E83" s="0" t="inlineStr">
        <is>
          <t>NULL</t>
        </is>
      </c>
      <c r="F83" s="0" t="inlineStr">
        <is>
          <t>NULL</t>
        </is>
      </c>
      <c r="G83" s="0" t="inlineStr">
        <is>
          <t>NULL</t>
        </is>
      </c>
      <c r="H83" s="0" t="inlineStr">
        <is>
          <t>NULL</t>
        </is>
      </c>
      <c r="I83" s="0" t="inlineStr">
        <is>
          <t>NULL</t>
        </is>
      </c>
      <c r="J83" s="0" t="inlineStr">
        <is>
          <t>NULL</t>
        </is>
      </c>
      <c r="K83" s="0" t="inlineStr">
        <is>
          <t>YES! 	 c_varchar50列源备映射正确，源端为varchar 50位	期望更改为varchar(n)	实际备端为varchar 200位</t>
        </is>
      </c>
    </row>
    <row r="84">
      <c r="B84" s="0" t="inlineStr">
        <is>
          <t>NULL</t>
        </is>
      </c>
      <c r="C84" s="0" t="inlineStr">
        <is>
          <t>NULL</t>
        </is>
      </c>
      <c r="D84" s="0" t="inlineStr">
        <is>
          <t>NULL</t>
        </is>
      </c>
      <c r="E84" s="0" t="inlineStr">
        <is>
          <t>NULL</t>
        </is>
      </c>
      <c r="F84" s="0" t="inlineStr">
        <is>
          <t>NULL</t>
        </is>
      </c>
      <c r="G84" s="0" t="inlineStr">
        <is>
          <t>NULL</t>
        </is>
      </c>
      <c r="H84" s="0" t="inlineStr">
        <is>
          <t>NULL</t>
        </is>
      </c>
      <c r="I84" s="0" t="inlineStr">
        <is>
          <t>NULL</t>
        </is>
      </c>
      <c r="J84" s="0" t="inlineStr">
        <is>
          <t>NULL</t>
        </is>
      </c>
      <c r="K84" s="0" t="inlineStr">
        <is>
          <t xml:space="preserve"> NO!  	 c_varchar8000列源备映射错误，源端为varchar 8000位	期望更改为longtext	实际备端为text 65535位</t>
        </is>
      </c>
    </row>
    <row r="85">
      <c r="A85" s="0" t="inlineStr">
        <is>
          <t>info_char_dml_single_pk</t>
        </is>
      </c>
      <c r="K85" s="0" t="inlineStr">
        <is>
          <t>[0;34m info_char_dml_single_pk [0m源备字段数相同，源端字段：4 	备端字段4</t>
        </is>
      </c>
      <c r="W85" s="0" t="inlineStr">
        <is>
          <t>YES 源备无差异</t>
        </is>
      </c>
      <c r="X85" s="0">
        <f>A85</f>
        <v/>
      </c>
    </row>
    <row r="86">
      <c r="B86" s="0" t="inlineStr">
        <is>
          <t>NO! 主键不正常，源YES备None</t>
        </is>
      </c>
      <c r="C86" s="0" t="inlineStr">
        <is>
          <t>NULL</t>
        </is>
      </c>
      <c r="D86" s="0" t="inlineStr">
        <is>
          <t>NULL</t>
        </is>
      </c>
      <c r="E86" s="0" t="inlineStr">
        <is>
          <t>NULL</t>
        </is>
      </c>
      <c r="F86" s="0" t="inlineStr">
        <is>
          <t>NULL</t>
        </is>
      </c>
      <c r="G86" s="0" t="inlineStr">
        <is>
          <t>NULL</t>
        </is>
      </c>
      <c r="H86" s="0" t="inlineStr">
        <is>
          <t>NULL</t>
        </is>
      </c>
      <c r="I86" s="0" t="inlineStr">
        <is>
          <t>NO! 源备索引不一致源PK__info_cha__3213E83FE0B552FC备None</t>
        </is>
      </c>
      <c r="J86" s="0" t="inlineStr">
        <is>
          <t>NULL</t>
        </is>
      </c>
      <c r="K86" s="0" t="inlineStr">
        <is>
          <t>YES! 	 id列源备映射正确，源端为int None位	期望更改为int	实际备端为int None位</t>
        </is>
      </c>
    </row>
    <row r="87">
      <c r="B87" s="0" t="inlineStr">
        <is>
          <t>NULL</t>
        </is>
      </c>
      <c r="C87" s="0" t="inlineStr">
        <is>
          <t>NULL</t>
        </is>
      </c>
      <c r="D87" s="0" t="inlineStr">
        <is>
          <t>NULL</t>
        </is>
      </c>
      <c r="E87" s="0" t="inlineStr">
        <is>
          <t>NULL</t>
        </is>
      </c>
      <c r="F87" s="0" t="inlineStr">
        <is>
          <t>NULL</t>
        </is>
      </c>
      <c r="G87" s="0" t="inlineStr">
        <is>
          <t>NULL</t>
        </is>
      </c>
      <c r="H87" s="0" t="inlineStr">
        <is>
          <t>NULL</t>
        </is>
      </c>
      <c r="I87" s="0" t="inlineStr">
        <is>
          <t>NULL</t>
        </is>
      </c>
      <c r="J87" s="0" t="inlineStr">
        <is>
          <t>NULL</t>
        </is>
      </c>
      <c r="K87" s="0" t="inlineStr">
        <is>
          <t>YES! 	 c_char列源备映射正确，源端为char 1位	期望更改为char(n)	实际备端为char 4位</t>
        </is>
      </c>
    </row>
    <row r="88">
      <c r="B88" s="0" t="inlineStr">
        <is>
          <t>NULL</t>
        </is>
      </c>
      <c r="C88" s="0" t="inlineStr">
        <is>
          <t>NULL</t>
        </is>
      </c>
      <c r="D88" s="0" t="inlineStr">
        <is>
          <t>NULL</t>
        </is>
      </c>
      <c r="E88" s="0" t="inlineStr">
        <is>
          <t>NULL</t>
        </is>
      </c>
      <c r="F88" s="0" t="inlineStr">
        <is>
          <t>NULL</t>
        </is>
      </c>
      <c r="G88" s="0" t="inlineStr">
        <is>
          <t>NULL</t>
        </is>
      </c>
      <c r="H88" s="0" t="inlineStr">
        <is>
          <t>NULL</t>
        </is>
      </c>
      <c r="I88" s="0" t="inlineStr">
        <is>
          <t>NULL</t>
        </is>
      </c>
      <c r="J88" s="0" t="inlineStr">
        <is>
          <t>NULL</t>
        </is>
      </c>
      <c r="K88" s="0" t="inlineStr">
        <is>
          <t>YES! 	 c_char20列源备映射正确，源端为char 20位	期望更改为char(n)	实际备端为char 80位</t>
        </is>
      </c>
    </row>
    <row r="89">
      <c r="B89" s="0" t="inlineStr">
        <is>
          <t>NULL</t>
        </is>
      </c>
      <c r="C89" s="0" t="inlineStr">
        <is>
          <t>NULL</t>
        </is>
      </c>
      <c r="D89" s="0" t="inlineStr">
        <is>
          <t>NULL</t>
        </is>
      </c>
      <c r="E89" s="0" t="inlineStr">
        <is>
          <t>NULL</t>
        </is>
      </c>
      <c r="F89" s="0" t="inlineStr">
        <is>
          <t>NULL</t>
        </is>
      </c>
      <c r="G89" s="0" t="inlineStr">
        <is>
          <t>NULL</t>
        </is>
      </c>
      <c r="H89" s="0" t="inlineStr">
        <is>
          <t>NULL</t>
        </is>
      </c>
      <c r="I89" s="0" t="inlineStr">
        <is>
          <t>NULL</t>
        </is>
      </c>
      <c r="J89" s="0" t="inlineStr">
        <is>
          <t>NULL</t>
        </is>
      </c>
      <c r="K89" s="0" t="inlineStr">
        <is>
          <t>YES! 	 c_char7000列源备映射正确，源端为char 7000位	期望更改为text	实际备端为text 65535位</t>
        </is>
      </c>
    </row>
    <row r="90">
      <c r="K90" s="0" t="inlineStr">
        <is>
          <t>[0;31m NO! [0m 	  行数不同,源2行,备端空表</t>
        </is>
      </c>
    </row>
    <row r="91">
      <c r="A91" s="0" t="inlineStr">
        <is>
          <t>info_sdt_dml_batch1_pk_irp1</t>
        </is>
      </c>
      <c r="K91" s="0" t="inlineStr">
        <is>
          <t>[0;34m info_sdt_dml_batch1_pk_irp1 [0m源备字段数相同，源端字段：2 	备端字段2</t>
        </is>
      </c>
      <c r="W91" s="0" t="inlineStr">
        <is>
          <t>YES 源备无差异</t>
        </is>
      </c>
      <c r="X91" s="0">
        <f>A91</f>
        <v/>
      </c>
    </row>
    <row r="92">
      <c r="B92" s="0" t="inlineStr">
        <is>
          <t>NO! 主键不正常，源YES备None</t>
        </is>
      </c>
      <c r="C92" s="0" t="inlineStr">
        <is>
          <t>NULL</t>
        </is>
      </c>
      <c r="D92" s="0" t="inlineStr">
        <is>
          <t>NULL</t>
        </is>
      </c>
      <c r="E92" s="0" t="inlineStr">
        <is>
          <t>NULL</t>
        </is>
      </c>
      <c r="F92" s="0" t="inlineStr">
        <is>
          <t>NULL</t>
        </is>
      </c>
      <c r="G92" s="0" t="inlineStr">
        <is>
          <t>NULL</t>
        </is>
      </c>
      <c r="H92" s="0" t="inlineStr">
        <is>
          <t>NULL</t>
        </is>
      </c>
      <c r="I92" s="0" t="inlineStr">
        <is>
          <t>NO! 源备索引不一致源PK__info_sdt__3213E83F1B06488F备None</t>
        </is>
      </c>
      <c r="J92" s="0" t="inlineStr">
        <is>
          <t>NULL</t>
        </is>
      </c>
      <c r="K92" s="0" t="inlineStr">
        <is>
          <t>YES! 	 id列源备映射正确，源端为int None位	期望更改为int	实际备端为int None位</t>
        </is>
      </c>
    </row>
    <row r="93">
      <c r="B93" s="0" t="inlineStr">
        <is>
          <t>NULL</t>
        </is>
      </c>
      <c r="C93" s="0" t="inlineStr">
        <is>
          <t>NO!源None备NUL</t>
        </is>
      </c>
      <c r="D93" s="0" t="inlineStr">
        <is>
          <t>NULL</t>
        </is>
      </c>
      <c r="E93" s="0" t="inlineStr">
        <is>
          <t>NULL</t>
        </is>
      </c>
      <c r="F93" s="0" t="inlineStr">
        <is>
          <t>NULL</t>
        </is>
      </c>
      <c r="G93" s="0" t="inlineStr">
        <is>
          <t>NULL</t>
        </is>
      </c>
      <c r="H93" s="0" t="inlineStr">
        <is>
          <t>NULL</t>
        </is>
      </c>
      <c r="I93" s="0" t="inlineStr">
        <is>
          <t>NULL</t>
        </is>
      </c>
      <c r="J93" s="0" t="inlineStr">
        <is>
          <t>NULL</t>
        </is>
      </c>
      <c r="K93" s="0" t="inlineStr">
        <is>
          <t>YES! 	 c_sdt列源备映射正确，源端为smalldatetime None位	期望更改为datetime	实际备端为datetime None位</t>
        </is>
      </c>
    </row>
    <row r="94">
      <c r="K94" s="0" t="inlineStr">
        <is>
          <t>[0;31m NO! [0m 	  行数不同,源14行,备端空表</t>
        </is>
      </c>
    </row>
    <row r="95">
      <c r="A95" s="0" t="inlineStr">
        <is>
          <t>info_nchar_dml_single_nopk_irp</t>
        </is>
      </c>
      <c r="K95" s="0" t="inlineStr">
        <is>
          <t>[0;34m info_nchar_dml_single_nopk_irp [0m源备字段数相同，源端字段：4 	备端字段4</t>
        </is>
      </c>
      <c r="W95" s="0" t="inlineStr">
        <is>
          <t>YES 源备无差异</t>
        </is>
      </c>
      <c r="X95" s="0">
        <f>A95</f>
        <v/>
      </c>
    </row>
    <row r="96">
      <c r="B96" s="0" t="inlineStr">
        <is>
          <t>NULL</t>
        </is>
      </c>
      <c r="C96" s="0" t="inlineStr">
        <is>
          <t>NULL</t>
        </is>
      </c>
      <c r="D96" s="0" t="inlineStr">
        <is>
          <t>NULL</t>
        </is>
      </c>
      <c r="E96" s="0" t="inlineStr">
        <is>
          <t>NULL</t>
        </is>
      </c>
      <c r="F96" s="0" t="inlineStr">
        <is>
          <t>NULL</t>
        </is>
      </c>
      <c r="G96" s="0" t="inlineStr">
        <is>
          <t>NULL</t>
        </is>
      </c>
      <c r="H96" s="0" t="inlineStr">
        <is>
          <t>NULL</t>
        </is>
      </c>
      <c r="I96" s="0" t="inlineStr">
        <is>
          <t>NULL</t>
        </is>
      </c>
      <c r="J96" s="0" t="inlineStr">
        <is>
          <t>NULL</t>
        </is>
      </c>
      <c r="K96" s="0" t="inlineStr">
        <is>
          <t>YES! 	 id列源备映射正确，源端为int None位	期望更改为int	实际备端为int None位</t>
        </is>
      </c>
    </row>
    <row r="97">
      <c r="B97" s="0" t="inlineStr">
        <is>
          <t>NULL</t>
        </is>
      </c>
      <c r="C97" s="0" t="inlineStr">
        <is>
          <t>NULL</t>
        </is>
      </c>
      <c r="D97" s="0" t="inlineStr">
        <is>
          <t>NULL</t>
        </is>
      </c>
      <c r="E97" s="0" t="inlineStr">
        <is>
          <t>NULL</t>
        </is>
      </c>
      <c r="F97" s="0" t="inlineStr">
        <is>
          <t>NULL</t>
        </is>
      </c>
      <c r="G97" s="0" t="inlineStr">
        <is>
          <t>NULL</t>
        </is>
      </c>
      <c r="H97" s="0" t="inlineStr">
        <is>
          <t>NULL</t>
        </is>
      </c>
      <c r="I97" s="0" t="inlineStr">
        <is>
          <t>NULL</t>
        </is>
      </c>
      <c r="J97" s="0" t="inlineStr">
        <is>
          <t>NULL</t>
        </is>
      </c>
      <c r="K97" s="0" t="inlineStr">
        <is>
          <t>YES! 	 c_nchar列源备映射正确，源端为nchar 2位	期望更改为char(n)	实际备端为char 4位</t>
        </is>
      </c>
    </row>
    <row r="98">
      <c r="B98" s="0" t="inlineStr">
        <is>
          <t>NULL</t>
        </is>
      </c>
      <c r="C98" s="0" t="inlineStr">
        <is>
          <t>NULL</t>
        </is>
      </c>
      <c r="D98" s="0" t="inlineStr">
        <is>
          <t>NULL</t>
        </is>
      </c>
      <c r="E98" s="0" t="inlineStr">
        <is>
          <t>NULL</t>
        </is>
      </c>
      <c r="F98" s="0" t="inlineStr">
        <is>
          <t>NULL</t>
        </is>
      </c>
      <c r="G98" s="0" t="inlineStr">
        <is>
          <t>NULL</t>
        </is>
      </c>
      <c r="H98" s="0" t="inlineStr">
        <is>
          <t>NULL</t>
        </is>
      </c>
      <c r="I98" s="0" t="inlineStr">
        <is>
          <t>NULL</t>
        </is>
      </c>
      <c r="J98" s="0" t="inlineStr">
        <is>
          <t>NULL</t>
        </is>
      </c>
      <c r="K98" s="0" t="inlineStr">
        <is>
          <t>YES! 	 c_nchar20列源备映射正确，源端为nchar 40位	期望更改为char(n)	实际备端为char 80位</t>
        </is>
      </c>
    </row>
    <row r="99">
      <c r="B99" s="0" t="inlineStr">
        <is>
          <t>NULL</t>
        </is>
      </c>
      <c r="C99" s="0" t="inlineStr">
        <is>
          <t>NULL</t>
        </is>
      </c>
      <c r="D99" s="0" t="inlineStr">
        <is>
          <t>NULL</t>
        </is>
      </c>
      <c r="E99" s="0" t="inlineStr">
        <is>
          <t>NULL</t>
        </is>
      </c>
      <c r="F99" s="0" t="inlineStr">
        <is>
          <t>NULL</t>
        </is>
      </c>
      <c r="G99" s="0" t="inlineStr">
        <is>
          <t>NULL</t>
        </is>
      </c>
      <c r="H99" s="0" t="inlineStr">
        <is>
          <t>NULL</t>
        </is>
      </c>
      <c r="I99" s="0" t="inlineStr">
        <is>
          <t>NULL</t>
        </is>
      </c>
      <c r="J99" s="0" t="inlineStr">
        <is>
          <t>NULL</t>
        </is>
      </c>
      <c r="K99" s="0" t="inlineStr">
        <is>
          <t>YES! 	 c_nchar4000列源备映射正确，源端为nchar 8000位	期望更改为text	实际备端为text 65535位</t>
        </is>
      </c>
    </row>
    <row r="100">
      <c r="K100" s="0" t="inlineStr">
        <is>
          <t>[0;31m NO! [0m 	  行数不同,源16行,备端空表</t>
        </is>
      </c>
    </row>
    <row r="101">
      <c r="A101" s="0" t="inlineStr">
        <is>
          <t>info_sdt_dml_batch1_pk_irp2</t>
        </is>
      </c>
      <c r="K101" s="0" t="inlineStr">
        <is>
          <t>[0;34m info_sdt_dml_batch1_pk_irp2 [0m源备字段数相同，源端字段：2 	备端字段2</t>
        </is>
      </c>
      <c r="W101" s="0" t="inlineStr">
        <is>
          <t>YES 源备无差异</t>
        </is>
      </c>
      <c r="X101" s="0">
        <f>A101</f>
        <v/>
      </c>
    </row>
    <row r="102">
      <c r="B102" s="0" t="inlineStr">
        <is>
          <t>NO! 主键不正常，源YES备None</t>
        </is>
      </c>
      <c r="C102" s="0" t="inlineStr">
        <is>
          <t>NULL</t>
        </is>
      </c>
      <c r="D102" s="0" t="inlineStr">
        <is>
          <t>NULL</t>
        </is>
      </c>
      <c r="E102" s="0" t="inlineStr">
        <is>
          <t>NULL</t>
        </is>
      </c>
      <c r="F102" s="0" t="inlineStr">
        <is>
          <t>NULL</t>
        </is>
      </c>
      <c r="G102" s="0" t="inlineStr">
        <is>
          <t>NULL</t>
        </is>
      </c>
      <c r="H102" s="0" t="inlineStr">
        <is>
          <t>NULL</t>
        </is>
      </c>
      <c r="I102" s="0" t="inlineStr">
        <is>
          <t>NO! 源备索引不一致源PK__info_sdt__3213E83F0A3BD479备None</t>
        </is>
      </c>
      <c r="J102" s="0" t="inlineStr">
        <is>
          <t>NULL</t>
        </is>
      </c>
      <c r="K102" s="0" t="inlineStr">
        <is>
          <t>YES! 	 id列源备映射正确，源端为int None位	期望更改为int	实际备端为int None位</t>
        </is>
      </c>
    </row>
    <row r="103">
      <c r="B103" s="0" t="inlineStr">
        <is>
          <t>NULL</t>
        </is>
      </c>
      <c r="C103" s="0" t="inlineStr">
        <is>
          <t>NO!源None备NUL</t>
        </is>
      </c>
      <c r="D103" s="0" t="inlineStr">
        <is>
          <t>NULL</t>
        </is>
      </c>
      <c r="E103" s="0" t="inlineStr">
        <is>
          <t>NULL</t>
        </is>
      </c>
      <c r="F103" s="0" t="inlineStr">
        <is>
          <t>NULL</t>
        </is>
      </c>
      <c r="G103" s="0" t="inlineStr">
        <is>
          <t>NULL</t>
        </is>
      </c>
      <c r="H103" s="0" t="inlineStr">
        <is>
          <t>NULL</t>
        </is>
      </c>
      <c r="I103" s="0" t="inlineStr">
        <is>
          <t>NULL</t>
        </is>
      </c>
      <c r="J103" s="0" t="inlineStr">
        <is>
          <t>NULL</t>
        </is>
      </c>
      <c r="K103" s="0" t="inlineStr">
        <is>
          <t>YES! 	 c_sdt列源备映射正确，源端为smalldatetime None位	期望更改为datetime	实际备端为datetime None位</t>
        </is>
      </c>
    </row>
    <row r="104">
      <c r="K104" s="0" t="inlineStr">
        <is>
          <t>[0;31m NO! [0m 	  行数不同,源49行,备端空表</t>
        </is>
      </c>
    </row>
    <row r="105">
      <c r="A105" s="0" t="inlineStr">
        <is>
          <t>info_int_dml_single_pk_irp</t>
        </is>
      </c>
      <c r="K105" s="0" t="inlineStr">
        <is>
          <t>[0;34m info_int_dml_single_pk_irp [0m源备字段数相同，源端字段：20 	备端字段20</t>
        </is>
      </c>
      <c r="W105" s="0" t="inlineStr">
        <is>
          <t>YES 源备无差异</t>
        </is>
      </c>
      <c r="X105" s="0">
        <f>A105</f>
        <v/>
      </c>
    </row>
    <row r="106">
      <c r="B106" s="0" t="inlineStr">
        <is>
          <t>NO! 主键不正常，源YES备None</t>
        </is>
      </c>
      <c r="C106" s="0" t="inlineStr">
        <is>
          <t>NULL</t>
        </is>
      </c>
      <c r="D106" s="0" t="inlineStr">
        <is>
          <t>NULL</t>
        </is>
      </c>
      <c r="E106" s="0" t="inlineStr">
        <is>
          <t>NULL</t>
        </is>
      </c>
      <c r="F106" s="0" t="inlineStr">
        <is>
          <t>NULL</t>
        </is>
      </c>
      <c r="G106" s="0" t="inlineStr">
        <is>
          <t>NULL</t>
        </is>
      </c>
      <c r="H106" s="0" t="inlineStr">
        <is>
          <t>NULL</t>
        </is>
      </c>
      <c r="I106" s="0" t="inlineStr">
        <is>
          <t>NO! 源备索引不一致源PK__info_int__3213E83FB01EAE8E备None</t>
        </is>
      </c>
      <c r="J106" s="0" t="inlineStr">
        <is>
          <t>NULL</t>
        </is>
      </c>
      <c r="K106" s="0" t="inlineStr">
        <is>
          <t>YES! 	 id列源备映射正确，源端为int None位	期望更改为int	实际备端为int None位</t>
        </is>
      </c>
    </row>
    <row r="107">
      <c r="B107" s="0" t="inlineStr">
        <is>
          <t>NULL</t>
        </is>
      </c>
      <c r="C107" s="0" t="inlineStr">
        <is>
          <t>NULL</t>
        </is>
      </c>
      <c r="D107" s="0" t="inlineStr">
        <is>
          <t>NULL</t>
        </is>
      </c>
      <c r="E107" s="0" t="inlineStr">
        <is>
          <t>NULL</t>
        </is>
      </c>
      <c r="F107" s="0" t="inlineStr">
        <is>
          <t>NULL</t>
        </is>
      </c>
      <c r="G107" s="0" t="inlineStr">
        <is>
          <t>NULL</t>
        </is>
      </c>
      <c r="H107" s="0" t="inlineStr">
        <is>
          <t>NULL</t>
        </is>
      </c>
      <c r="I107" s="0" t="inlineStr">
        <is>
          <t>NULL</t>
        </is>
      </c>
      <c r="J107" s="0" t="inlineStr">
        <is>
          <t>NULL</t>
        </is>
      </c>
      <c r="K107" s="0" t="inlineStr">
        <is>
          <t>YES! 	 c_tinyint列源备映射正确，源端为tinyint None位	期望更改为tinyint	实际备端为tinyint None位</t>
        </is>
      </c>
    </row>
    <row r="108">
      <c r="B108" s="0" t="inlineStr">
        <is>
          <t>NULL</t>
        </is>
      </c>
      <c r="C108" s="0" t="inlineStr">
        <is>
          <t>NULL</t>
        </is>
      </c>
      <c r="D108" s="0" t="inlineStr">
        <is>
          <t>NULL</t>
        </is>
      </c>
      <c r="E108" s="0" t="inlineStr">
        <is>
          <t>NULL</t>
        </is>
      </c>
      <c r="F108" s="0" t="inlineStr">
        <is>
          <t>NULL</t>
        </is>
      </c>
      <c r="G108" s="0" t="inlineStr">
        <is>
          <t>NULL</t>
        </is>
      </c>
      <c r="H108" s="0" t="inlineStr">
        <is>
          <t>NULL</t>
        </is>
      </c>
      <c r="I108" s="0" t="inlineStr">
        <is>
          <t>NULL</t>
        </is>
      </c>
      <c r="J108" s="0" t="inlineStr">
        <is>
          <t>NULL</t>
        </is>
      </c>
      <c r="K108" s="0" t="inlineStr">
        <is>
          <t>YES! 	 c_smallint列源备映射正确，源端为smallint None位	期望更改为smallint	实际备端为smallint None位</t>
        </is>
      </c>
    </row>
    <row r="109">
      <c r="B109" s="0" t="inlineStr">
        <is>
          <t>NULL</t>
        </is>
      </c>
      <c r="C109" s="0" t="inlineStr">
        <is>
          <t>NULL</t>
        </is>
      </c>
      <c r="D109" s="0" t="inlineStr">
        <is>
          <t>NULL</t>
        </is>
      </c>
      <c r="E109" s="0" t="inlineStr">
        <is>
          <t>NULL</t>
        </is>
      </c>
      <c r="F109" s="0" t="inlineStr">
        <is>
          <t>NULL</t>
        </is>
      </c>
      <c r="G109" s="0" t="inlineStr">
        <is>
          <t>NULL</t>
        </is>
      </c>
      <c r="H109" s="0" t="inlineStr">
        <is>
          <t>NULL</t>
        </is>
      </c>
      <c r="I109" s="0" t="inlineStr">
        <is>
          <t>NULL</t>
        </is>
      </c>
      <c r="J109" s="0" t="inlineStr">
        <is>
          <t>NULL</t>
        </is>
      </c>
      <c r="K109" s="0" t="inlineStr">
        <is>
          <t>YES! 	 c_int列源备映射正确，源端为int None位	期望更改为int	实际备端为int None位</t>
        </is>
      </c>
    </row>
    <row r="110">
      <c r="B110" s="0" t="inlineStr">
        <is>
          <t>NULL</t>
        </is>
      </c>
      <c r="C110" s="0" t="inlineStr">
        <is>
          <t>NULL</t>
        </is>
      </c>
      <c r="D110" s="0" t="inlineStr">
        <is>
          <t>NULL</t>
        </is>
      </c>
      <c r="E110" s="0" t="inlineStr">
        <is>
          <t>NULL</t>
        </is>
      </c>
      <c r="F110" s="0" t="inlineStr">
        <is>
          <t>NULL</t>
        </is>
      </c>
      <c r="G110" s="0" t="inlineStr">
        <is>
          <t>NULL</t>
        </is>
      </c>
      <c r="H110" s="0" t="inlineStr">
        <is>
          <t>NULL</t>
        </is>
      </c>
      <c r="I110" s="0" t="inlineStr">
        <is>
          <t>NULL</t>
        </is>
      </c>
      <c r="J110" s="0" t="inlineStr">
        <is>
          <t>NULL</t>
        </is>
      </c>
      <c r="K110" s="0" t="inlineStr">
        <is>
          <t>YES! 	 c_bigint列源备映射正确，源端为bigint None位	期望更改为bigint	实际备端为bigint None位</t>
        </is>
      </c>
    </row>
    <row r="111">
      <c r="B111" s="0" t="inlineStr">
        <is>
          <t>NULL</t>
        </is>
      </c>
      <c r="C111" s="0" t="inlineStr">
        <is>
          <t>NULL</t>
        </is>
      </c>
      <c r="D111" s="0" t="inlineStr">
        <is>
          <t>NULL</t>
        </is>
      </c>
      <c r="E111" s="0" t="inlineStr">
        <is>
          <t>NULL</t>
        </is>
      </c>
      <c r="F111" s="0" t="inlineStr">
        <is>
          <t>NULL</t>
        </is>
      </c>
      <c r="G111" s="0" t="inlineStr">
        <is>
          <t>NULL</t>
        </is>
      </c>
      <c r="H111" s="0" t="inlineStr">
        <is>
          <t>NULL</t>
        </is>
      </c>
      <c r="I111" s="0" t="inlineStr">
        <is>
          <t>NULL</t>
        </is>
      </c>
      <c r="J111" s="0" t="inlineStr">
        <is>
          <t>NULL</t>
        </is>
      </c>
      <c r="K111" s="0" t="inlineStr">
        <is>
          <t>YES! 	 c_decimal列源备映射正确，源端为decimal None位	期望更改为decimal(p,s)	实际备端为decimal None位</t>
        </is>
      </c>
    </row>
    <row r="112">
      <c r="B112" s="0" t="inlineStr">
        <is>
          <t>NULL</t>
        </is>
      </c>
      <c r="C112" s="0" t="inlineStr">
        <is>
          <t>NULL</t>
        </is>
      </c>
      <c r="D112" s="0" t="inlineStr">
        <is>
          <t>NULL</t>
        </is>
      </c>
      <c r="E112" s="0" t="inlineStr">
        <is>
          <t>NULL</t>
        </is>
      </c>
      <c r="F112" s="0" t="inlineStr">
        <is>
          <t>NULL</t>
        </is>
      </c>
      <c r="G112" s="0" t="inlineStr">
        <is>
          <t>NULL</t>
        </is>
      </c>
      <c r="H112" s="0" t="inlineStr">
        <is>
          <t>NULL</t>
        </is>
      </c>
      <c r="I112" s="0" t="inlineStr">
        <is>
          <t>NULL</t>
        </is>
      </c>
      <c r="J112" s="0" t="inlineStr">
        <is>
          <t>NULL</t>
        </is>
      </c>
      <c r="K112" s="0" t="inlineStr">
        <is>
          <t>YES! 	 c_decimal38列源备映射正确，源端为decimal None位	期望更改为decimal(p,s)	实际备端为decimal None位</t>
        </is>
      </c>
    </row>
    <row r="113">
      <c r="B113" s="0" t="inlineStr">
        <is>
          <t>NULL</t>
        </is>
      </c>
      <c r="C113" s="0" t="inlineStr">
        <is>
          <t>NULL</t>
        </is>
      </c>
      <c r="D113" s="0" t="inlineStr">
        <is>
          <t>NULL</t>
        </is>
      </c>
      <c r="E113" s="0" t="inlineStr">
        <is>
          <t>NULL</t>
        </is>
      </c>
      <c r="F113" s="0" t="inlineStr">
        <is>
          <t>NULL</t>
        </is>
      </c>
      <c r="G113" s="0" t="inlineStr">
        <is>
          <t>NULL</t>
        </is>
      </c>
      <c r="H113" s="0" t="inlineStr">
        <is>
          <t>NULL</t>
        </is>
      </c>
      <c r="I113" s="0" t="inlineStr">
        <is>
          <t>NULL</t>
        </is>
      </c>
      <c r="J113" s="0" t="inlineStr">
        <is>
          <t>NULL</t>
        </is>
      </c>
      <c r="K113" s="0" t="inlineStr">
        <is>
          <t xml:space="preserve"> NO!  	 c_decimal38_38列源备映射错误，源端为decimal None位	期望更改为decimal(p,s)	实际备端为varchar 168位</t>
        </is>
      </c>
    </row>
    <row r="114">
      <c r="B114" s="0" t="inlineStr">
        <is>
          <t>NULL</t>
        </is>
      </c>
      <c r="C114" s="0" t="inlineStr">
        <is>
          <t>NULL</t>
        </is>
      </c>
      <c r="D114" s="0" t="inlineStr">
        <is>
          <t>NULL</t>
        </is>
      </c>
      <c r="E114" s="0" t="inlineStr">
        <is>
          <t>NULL</t>
        </is>
      </c>
      <c r="F114" s="0" t="inlineStr">
        <is>
          <t>NULL</t>
        </is>
      </c>
      <c r="G114" s="0" t="inlineStr">
        <is>
          <t>NULL</t>
        </is>
      </c>
      <c r="H114" s="0" t="inlineStr">
        <is>
          <t>NULL</t>
        </is>
      </c>
      <c r="I114" s="0" t="inlineStr">
        <is>
          <t>NULL</t>
        </is>
      </c>
      <c r="J114" s="0" t="inlineStr">
        <is>
          <t>NULL</t>
        </is>
      </c>
      <c r="K114" s="0" t="inlineStr">
        <is>
          <t>YES! 	 c_decimal38_10列源备映射正确，源端为decimal None位	期望更改为decimal(p,s)	实际备端为decimal None位</t>
        </is>
      </c>
    </row>
    <row r="115">
      <c r="B115" s="0" t="inlineStr">
        <is>
          <t>NULL</t>
        </is>
      </c>
      <c r="C115" s="0" t="inlineStr">
        <is>
          <t>NULL</t>
        </is>
      </c>
      <c r="D115" s="0" t="inlineStr">
        <is>
          <t>NULL</t>
        </is>
      </c>
      <c r="E115" s="0" t="inlineStr">
        <is>
          <t>NULL</t>
        </is>
      </c>
      <c r="F115" s="0" t="inlineStr">
        <is>
          <t>NULL</t>
        </is>
      </c>
      <c r="G115" s="0" t="inlineStr">
        <is>
          <t>NULL</t>
        </is>
      </c>
      <c r="H115" s="0" t="inlineStr">
        <is>
          <t>NULL</t>
        </is>
      </c>
      <c r="I115" s="0" t="inlineStr">
        <is>
          <t>NULL</t>
        </is>
      </c>
      <c r="J115" s="0" t="inlineStr">
        <is>
          <t>NULL</t>
        </is>
      </c>
      <c r="K115" s="0" t="inlineStr">
        <is>
          <t>YES! 	 c_decimal19_4列源备映射正确，源端为decimal None位	期望更改为decimal(p,s)	实际备端为decimal None位</t>
        </is>
      </c>
    </row>
    <row r="116">
      <c r="B116" s="0" t="inlineStr">
        <is>
          <t>NULL</t>
        </is>
      </c>
      <c r="C116" s="0" t="inlineStr">
        <is>
          <t>NULL</t>
        </is>
      </c>
      <c r="D116" s="0" t="inlineStr">
        <is>
          <t>NULL</t>
        </is>
      </c>
      <c r="E116" s="0" t="inlineStr">
        <is>
          <t>NULL</t>
        </is>
      </c>
      <c r="F116" s="0" t="inlineStr">
        <is>
          <t>NULL</t>
        </is>
      </c>
      <c r="G116" s="0" t="inlineStr">
        <is>
          <t>NULL</t>
        </is>
      </c>
      <c r="H116" s="0" t="inlineStr">
        <is>
          <t>NULL</t>
        </is>
      </c>
      <c r="I116" s="0" t="inlineStr">
        <is>
          <t>NULL</t>
        </is>
      </c>
      <c r="J116" s="0" t="inlineStr">
        <is>
          <t>NULL</t>
        </is>
      </c>
      <c r="K116" s="0" t="inlineStr">
        <is>
          <t>YES! 	 c_numeric列源备映射正确，源端为numeric None位	期望更改为decimal(p,s)	实际备端为decimal None位</t>
        </is>
      </c>
    </row>
    <row r="117">
      <c r="B117" s="0" t="inlineStr">
        <is>
          <t>NULL</t>
        </is>
      </c>
      <c r="C117" s="0" t="inlineStr">
        <is>
          <t>NULL</t>
        </is>
      </c>
      <c r="D117" s="0" t="inlineStr">
        <is>
          <t>NULL</t>
        </is>
      </c>
      <c r="E117" s="0" t="inlineStr">
        <is>
          <t>NULL</t>
        </is>
      </c>
      <c r="F117" s="0" t="inlineStr">
        <is>
          <t>NULL</t>
        </is>
      </c>
      <c r="G117" s="0" t="inlineStr">
        <is>
          <t>NULL</t>
        </is>
      </c>
      <c r="H117" s="0" t="inlineStr">
        <is>
          <t>NULL</t>
        </is>
      </c>
      <c r="I117" s="0" t="inlineStr">
        <is>
          <t>NULL</t>
        </is>
      </c>
      <c r="J117" s="0" t="inlineStr">
        <is>
          <t>NULL</t>
        </is>
      </c>
      <c r="K117" s="0" t="inlineStr">
        <is>
          <t>YES! 	 c_numeric38列源备映射正确，源端为numeric None位	期望更改为decimal(p,s)	实际备端为decimal None位</t>
        </is>
      </c>
    </row>
    <row r="118">
      <c r="B118" s="0" t="inlineStr">
        <is>
          <t>NULL</t>
        </is>
      </c>
      <c r="C118" s="0" t="inlineStr">
        <is>
          <t>NULL</t>
        </is>
      </c>
      <c r="D118" s="0" t="inlineStr">
        <is>
          <t>NULL</t>
        </is>
      </c>
      <c r="E118" s="0" t="inlineStr">
        <is>
          <t>NULL</t>
        </is>
      </c>
      <c r="F118" s="0" t="inlineStr">
        <is>
          <t>NULL</t>
        </is>
      </c>
      <c r="G118" s="0" t="inlineStr">
        <is>
          <t>NULL</t>
        </is>
      </c>
      <c r="H118" s="0" t="inlineStr">
        <is>
          <t>NULL</t>
        </is>
      </c>
      <c r="I118" s="0" t="inlineStr">
        <is>
          <t>NULL</t>
        </is>
      </c>
      <c r="J118" s="0" t="inlineStr">
        <is>
          <t>NULL</t>
        </is>
      </c>
      <c r="K118" s="0" t="inlineStr">
        <is>
          <t xml:space="preserve"> NO!  	 c_numeric38_38列源备映射错误，源端为numeric None位	期望更改为decimal(p,s)	实际备端为varchar 168位</t>
        </is>
      </c>
    </row>
    <row r="119">
      <c r="B119" s="0" t="inlineStr">
        <is>
          <t>NULL</t>
        </is>
      </c>
      <c r="C119" s="0" t="inlineStr">
        <is>
          <t>NULL</t>
        </is>
      </c>
      <c r="D119" s="0" t="inlineStr">
        <is>
          <t>NULL</t>
        </is>
      </c>
      <c r="E119" s="0" t="inlineStr">
        <is>
          <t>NULL</t>
        </is>
      </c>
      <c r="F119" s="0" t="inlineStr">
        <is>
          <t>NULL</t>
        </is>
      </c>
      <c r="G119" s="0" t="inlineStr">
        <is>
          <t>NULL</t>
        </is>
      </c>
      <c r="H119" s="0" t="inlineStr">
        <is>
          <t>NULL</t>
        </is>
      </c>
      <c r="I119" s="0" t="inlineStr">
        <is>
          <t>NULL</t>
        </is>
      </c>
      <c r="J119" s="0" t="inlineStr">
        <is>
          <t>NULL</t>
        </is>
      </c>
      <c r="K119" s="0" t="inlineStr">
        <is>
          <t>YES! 	 c_numeric38_10列源备映射正确，源端为numeric None位	期望更改为decimal(p,s)	实际备端为decimal None位</t>
        </is>
      </c>
    </row>
    <row r="120">
      <c r="B120" s="0" t="inlineStr">
        <is>
          <t>NULL</t>
        </is>
      </c>
      <c r="C120" s="0" t="inlineStr">
        <is>
          <t>NULL</t>
        </is>
      </c>
      <c r="D120" s="0" t="inlineStr">
        <is>
          <t>NULL</t>
        </is>
      </c>
      <c r="E120" s="0" t="inlineStr">
        <is>
          <t>NULL</t>
        </is>
      </c>
      <c r="F120" s="0" t="inlineStr">
        <is>
          <t>NULL</t>
        </is>
      </c>
      <c r="G120" s="0" t="inlineStr">
        <is>
          <t>NULL</t>
        </is>
      </c>
      <c r="H120" s="0" t="inlineStr">
        <is>
          <t>NULL</t>
        </is>
      </c>
      <c r="I120" s="0" t="inlineStr">
        <is>
          <t>NULL</t>
        </is>
      </c>
      <c r="J120" s="0" t="inlineStr">
        <is>
          <t>NULL</t>
        </is>
      </c>
      <c r="K120" s="0" t="inlineStr">
        <is>
          <t>YES! 	 c_numeric18_2列源备映射正确，源端为numeric None位	期望更改为decimal(p,s)	实际备端为decimal None位</t>
        </is>
      </c>
    </row>
    <row r="121">
      <c r="B121" s="0" t="inlineStr">
        <is>
          <t>NULL</t>
        </is>
      </c>
      <c r="C121" s="0" t="inlineStr">
        <is>
          <t>NULL</t>
        </is>
      </c>
      <c r="D121" s="0" t="inlineStr">
        <is>
          <t>NULL</t>
        </is>
      </c>
      <c r="E121" s="0" t="inlineStr">
        <is>
          <t>NULL</t>
        </is>
      </c>
      <c r="F121" s="0" t="inlineStr">
        <is>
          <t>NULL</t>
        </is>
      </c>
      <c r="G121" s="0" t="inlineStr">
        <is>
          <t>NULL</t>
        </is>
      </c>
      <c r="H121" s="0" t="inlineStr">
        <is>
          <t>NULL</t>
        </is>
      </c>
      <c r="I121" s="0" t="inlineStr">
        <is>
          <t>NULL</t>
        </is>
      </c>
      <c r="J121" s="0" t="inlineStr">
        <is>
          <t>NULL</t>
        </is>
      </c>
      <c r="K121" s="0" t="inlineStr">
        <is>
          <t>YES! 	 c_float列源备映射正确，源端为float None位	期望更改为double	实际备端为double None位</t>
        </is>
      </c>
    </row>
    <row r="122">
      <c r="B122" s="0" t="inlineStr">
        <is>
          <t>NULL</t>
        </is>
      </c>
      <c r="C122" s="0" t="inlineStr">
        <is>
          <t>NULL</t>
        </is>
      </c>
      <c r="D122" s="0" t="inlineStr">
        <is>
          <t>NULL</t>
        </is>
      </c>
      <c r="E122" s="0" t="inlineStr">
        <is>
          <t>NULL</t>
        </is>
      </c>
      <c r="F122" s="0" t="inlineStr">
        <is>
          <t>NULL</t>
        </is>
      </c>
      <c r="G122" s="0" t="inlineStr">
        <is>
          <t>NULL</t>
        </is>
      </c>
      <c r="H122" s="0" t="inlineStr">
        <is>
          <t>NULL</t>
        </is>
      </c>
      <c r="I122" s="0" t="inlineStr">
        <is>
          <t>NULL</t>
        </is>
      </c>
      <c r="J122" s="0" t="inlineStr">
        <is>
          <t>NULL</t>
        </is>
      </c>
      <c r="K122" s="0" t="inlineStr">
        <is>
          <t>YES! 	 c_real列源备映射正确，源端为real None位	期望更改为double	实际备端为double None位</t>
        </is>
      </c>
    </row>
    <row r="123">
      <c r="B123" s="0" t="inlineStr">
        <is>
          <t>NULL</t>
        </is>
      </c>
      <c r="C123" s="0" t="inlineStr">
        <is>
          <t>NULL</t>
        </is>
      </c>
      <c r="D123" s="0" t="inlineStr">
        <is>
          <t>NULL</t>
        </is>
      </c>
      <c r="E123" s="0" t="inlineStr">
        <is>
          <t>NULL</t>
        </is>
      </c>
      <c r="F123" s="0" t="inlineStr">
        <is>
          <t>NULL</t>
        </is>
      </c>
      <c r="G123" s="0" t="inlineStr">
        <is>
          <t>NULL</t>
        </is>
      </c>
      <c r="H123" s="0" t="inlineStr">
        <is>
          <t>NULL</t>
        </is>
      </c>
      <c r="I123" s="0" t="inlineStr">
        <is>
          <t>NULL</t>
        </is>
      </c>
      <c r="J123" s="0" t="inlineStr">
        <is>
          <t>NULL</t>
        </is>
      </c>
      <c r="K123" s="0" t="inlineStr">
        <is>
          <t>YES! 	 c_money列源备映射正确，源端为money None位	期望更改为decimal(19,4)	实际备端为decimal None位</t>
        </is>
      </c>
    </row>
    <row r="124">
      <c r="B124" s="0" t="inlineStr">
        <is>
          <t>NULL</t>
        </is>
      </c>
      <c r="C124" s="0" t="inlineStr">
        <is>
          <t>NULL</t>
        </is>
      </c>
      <c r="D124" s="0" t="inlineStr">
        <is>
          <t>NULL</t>
        </is>
      </c>
      <c r="E124" s="0" t="inlineStr">
        <is>
          <t>NULL</t>
        </is>
      </c>
      <c r="F124" s="0" t="inlineStr">
        <is>
          <t>NULL</t>
        </is>
      </c>
      <c r="G124" s="0" t="inlineStr">
        <is>
          <t>NULL</t>
        </is>
      </c>
      <c r="H124" s="0" t="inlineStr">
        <is>
          <t>NULL</t>
        </is>
      </c>
      <c r="I124" s="0" t="inlineStr">
        <is>
          <t>NULL</t>
        </is>
      </c>
      <c r="J124" s="0" t="inlineStr">
        <is>
          <t>NULL</t>
        </is>
      </c>
      <c r="K124" s="0" t="inlineStr">
        <is>
          <t>YES! 	 c_smallmoney列源备映射正确，源端为smallmoney None位	期望更改为decimal(10,4)	实际备端为decimal None位</t>
        </is>
      </c>
    </row>
    <row r="125">
      <c r="B125" s="0" t="inlineStr">
        <is>
          <t>NULL</t>
        </is>
      </c>
      <c r="C125" s="0" t="inlineStr">
        <is>
          <t>NO!源None备NUL</t>
        </is>
      </c>
      <c r="D125" s="0" t="inlineStr">
        <is>
          <t>NULL</t>
        </is>
      </c>
      <c r="E125" s="0" t="inlineStr">
        <is>
          <t>NULL</t>
        </is>
      </c>
      <c r="F125" s="0" t="inlineStr">
        <is>
          <t>NULL</t>
        </is>
      </c>
      <c r="G125" s="0" t="inlineStr">
        <is>
          <t>NULL</t>
        </is>
      </c>
      <c r="H125" s="0" t="inlineStr">
        <is>
          <t>NULL</t>
        </is>
      </c>
      <c r="I125" s="0" t="inlineStr">
        <is>
          <t>NULL</t>
        </is>
      </c>
      <c r="J125" s="0" t="inlineStr">
        <is>
          <t>NULL</t>
        </is>
      </c>
      <c r="K125" s="0" t="inlineStr">
        <is>
          <t>YES! 	 c_bit列源备映射正确，源端为bit None位	期望更改为tinyint(1) 	实际备端为tinyint None位</t>
        </is>
      </c>
    </row>
    <row r="126">
      <c r="K126" s="0" t="inlineStr">
        <is>
          <t>[0;31m NO! [0m 	  行数不同,源23行,备端空表</t>
        </is>
      </c>
    </row>
    <row r="127">
      <c r="A127" s="0" t="inlineStr">
        <is>
          <t>info_varchar_dml_single_pk_drp</t>
        </is>
      </c>
      <c r="K127" s="0" t="inlineStr">
        <is>
          <t>[0;34m info_varchar_dml_single_pk_drp [0m源备字段数相同，源端字段：4 	备端字段4</t>
        </is>
      </c>
      <c r="W127" s="0" t="inlineStr">
        <is>
          <t>YES 源备无差异</t>
        </is>
      </c>
      <c r="X127" s="0">
        <f>A127</f>
        <v/>
      </c>
    </row>
    <row r="128">
      <c r="B128" s="0" t="inlineStr">
        <is>
          <t>NO! 主键不正常，源YES备None</t>
        </is>
      </c>
      <c r="C128" s="0" t="inlineStr">
        <is>
          <t>NULL</t>
        </is>
      </c>
      <c r="D128" s="0" t="inlineStr">
        <is>
          <t>NULL</t>
        </is>
      </c>
      <c r="E128" s="0" t="inlineStr">
        <is>
          <t>NULL</t>
        </is>
      </c>
      <c r="F128" s="0" t="inlineStr">
        <is>
          <t>NULL</t>
        </is>
      </c>
      <c r="G128" s="0" t="inlineStr">
        <is>
          <t>NULL</t>
        </is>
      </c>
      <c r="H128" s="0" t="inlineStr">
        <is>
          <t>NULL</t>
        </is>
      </c>
      <c r="I128" s="0" t="inlineStr">
        <is>
          <t>NO! 源备索引不一致源PK__info_var__3213E83FEE4FC36C备None</t>
        </is>
      </c>
      <c r="J128" s="0" t="inlineStr">
        <is>
          <t>NULL</t>
        </is>
      </c>
      <c r="K128" s="0" t="inlineStr">
        <is>
          <t>YES! 	 id列源备映射正确，源端为int None位	期望更改为int	实际备端为int None位</t>
        </is>
      </c>
    </row>
    <row r="129">
      <c r="B129" s="0" t="inlineStr">
        <is>
          <t>NULL</t>
        </is>
      </c>
      <c r="C129" s="0" t="inlineStr">
        <is>
          <t>NULL</t>
        </is>
      </c>
      <c r="D129" s="0" t="inlineStr">
        <is>
          <t>NULL</t>
        </is>
      </c>
      <c r="E129" s="0" t="inlineStr">
        <is>
          <t>NULL</t>
        </is>
      </c>
      <c r="F129" s="0" t="inlineStr">
        <is>
          <t>NULL</t>
        </is>
      </c>
      <c r="G129" s="0" t="inlineStr">
        <is>
          <t>NULL</t>
        </is>
      </c>
      <c r="H129" s="0" t="inlineStr">
        <is>
          <t>NULL</t>
        </is>
      </c>
      <c r="I129" s="0" t="inlineStr">
        <is>
          <t>NULL</t>
        </is>
      </c>
      <c r="J129" s="0" t="inlineStr">
        <is>
          <t>NULL</t>
        </is>
      </c>
      <c r="K129" s="0" t="inlineStr">
        <is>
          <t>YES! 	 c_varchar列源备映射正确，源端为varchar 1位	期望更改为varchar(n)	实际备端为varchar 4位</t>
        </is>
      </c>
    </row>
    <row r="130">
      <c r="B130" s="0" t="inlineStr">
        <is>
          <t>NULL</t>
        </is>
      </c>
      <c r="C130" s="0" t="inlineStr">
        <is>
          <t>NULL</t>
        </is>
      </c>
      <c r="D130" s="0" t="inlineStr">
        <is>
          <t>NULL</t>
        </is>
      </c>
      <c r="E130" s="0" t="inlineStr">
        <is>
          <t>NULL</t>
        </is>
      </c>
      <c r="F130" s="0" t="inlineStr">
        <is>
          <t>NULL</t>
        </is>
      </c>
      <c r="G130" s="0" t="inlineStr">
        <is>
          <t>NULL</t>
        </is>
      </c>
      <c r="H130" s="0" t="inlineStr">
        <is>
          <t>NULL</t>
        </is>
      </c>
      <c r="I130" s="0" t="inlineStr">
        <is>
          <t>NULL</t>
        </is>
      </c>
      <c r="J130" s="0" t="inlineStr">
        <is>
          <t>NULL</t>
        </is>
      </c>
      <c r="K130" s="0" t="inlineStr">
        <is>
          <t>YES! 	 c_varchar50列源备映射正确，源端为varchar 50位	期望更改为varchar(n)	实际备端为varchar 200位</t>
        </is>
      </c>
    </row>
    <row r="131">
      <c r="B131" s="0" t="inlineStr">
        <is>
          <t>NULL</t>
        </is>
      </c>
      <c r="C131" s="0" t="inlineStr">
        <is>
          <t>NULL</t>
        </is>
      </c>
      <c r="D131" s="0" t="inlineStr">
        <is>
          <t>NULL</t>
        </is>
      </c>
      <c r="E131" s="0" t="inlineStr">
        <is>
          <t>NULL</t>
        </is>
      </c>
      <c r="F131" s="0" t="inlineStr">
        <is>
          <t>NULL</t>
        </is>
      </c>
      <c r="G131" s="0" t="inlineStr">
        <is>
          <t>NULL</t>
        </is>
      </c>
      <c r="H131" s="0" t="inlineStr">
        <is>
          <t>NULL</t>
        </is>
      </c>
      <c r="I131" s="0" t="inlineStr">
        <is>
          <t>NULL</t>
        </is>
      </c>
      <c r="J131" s="0" t="inlineStr">
        <is>
          <t>NULL</t>
        </is>
      </c>
      <c r="K131" s="0" t="inlineStr">
        <is>
          <t xml:space="preserve"> NO!  	 c_varchar8000列源备映射错误，源端为varchar 8000位	期望更改为longtext	实际备端为text 65535位</t>
        </is>
      </c>
    </row>
    <row r="132">
      <c r="K132" s="0" t="inlineStr">
        <is>
          <t>[0;31m NO! [0m 	  行数不同,源1行,备端空表</t>
        </is>
      </c>
    </row>
    <row r="133">
      <c r="A133" s="0" t="inlineStr">
        <is>
          <t>info_sdt_dml_batch2_pk_irp2</t>
        </is>
      </c>
      <c r="K133" s="0" t="inlineStr">
        <is>
          <t>[0;34m info_sdt_dml_batch2_pk_irp2 [0m源备字段数相同，源端字段：2 	备端字段2</t>
        </is>
      </c>
      <c r="W133" s="0" t="inlineStr">
        <is>
          <t>YES 源备无差异</t>
        </is>
      </c>
      <c r="X133" s="0">
        <f>A133</f>
        <v/>
      </c>
    </row>
    <row r="134">
      <c r="B134" s="0" t="inlineStr">
        <is>
          <t>NO! 主键不正常，源YES备None</t>
        </is>
      </c>
      <c r="C134" s="0" t="inlineStr">
        <is>
          <t>NULL</t>
        </is>
      </c>
      <c r="D134" s="0" t="inlineStr">
        <is>
          <t>NULL</t>
        </is>
      </c>
      <c r="E134" s="0" t="inlineStr">
        <is>
          <t>NULL</t>
        </is>
      </c>
      <c r="F134" s="0" t="inlineStr">
        <is>
          <t>NULL</t>
        </is>
      </c>
      <c r="G134" s="0" t="inlineStr">
        <is>
          <t>NULL</t>
        </is>
      </c>
      <c r="H134" s="0" t="inlineStr">
        <is>
          <t>NULL</t>
        </is>
      </c>
      <c r="I134" s="0" t="inlineStr">
        <is>
          <t>NO! 源备索引不一致源PK__info_sdt__3213E83F8FF1A01C备None</t>
        </is>
      </c>
      <c r="J134" s="0" t="inlineStr">
        <is>
          <t>NULL</t>
        </is>
      </c>
      <c r="K134" s="0" t="inlineStr">
        <is>
          <t>YES! 	 id列源备映射正确，源端为int None位	期望更改为int	实际备端为int None位</t>
        </is>
      </c>
    </row>
    <row r="135">
      <c r="B135" s="0" t="inlineStr">
        <is>
          <t>NULL</t>
        </is>
      </c>
      <c r="C135" s="0" t="inlineStr">
        <is>
          <t>NO!源None备NUL</t>
        </is>
      </c>
      <c r="D135" s="0" t="inlineStr">
        <is>
          <t>NULL</t>
        </is>
      </c>
      <c r="E135" s="0" t="inlineStr">
        <is>
          <t>NULL</t>
        </is>
      </c>
      <c r="F135" s="0" t="inlineStr">
        <is>
          <t>NULL</t>
        </is>
      </c>
      <c r="G135" s="0" t="inlineStr">
        <is>
          <t>NULL</t>
        </is>
      </c>
      <c r="H135" s="0" t="inlineStr">
        <is>
          <t>NULL</t>
        </is>
      </c>
      <c r="I135" s="0" t="inlineStr">
        <is>
          <t>NULL</t>
        </is>
      </c>
      <c r="J135" s="0" t="inlineStr">
        <is>
          <t>NULL</t>
        </is>
      </c>
      <c r="K135" s="0" t="inlineStr">
        <is>
          <t>YES! 	 c_sdt列源备映射正确，源端为smalldatetime None位	期望更改为datetime	实际备端为datetime None位</t>
        </is>
      </c>
    </row>
    <row r="136">
      <c r="K136" s="0" t="inlineStr">
        <is>
          <t>[0;31m NO! [0m 	  行数不同,源27行,备端空表</t>
        </is>
      </c>
    </row>
    <row r="137">
      <c r="A137" s="0" t="inlineStr">
        <is>
          <t>info_nchar_dml_single_nopk_urp</t>
        </is>
      </c>
      <c r="K137" s="0" t="inlineStr">
        <is>
          <t>[0;34m info_nchar_dml_single_nopk_urp [0m源备字段数相同，源端字段：4 	备端字段4</t>
        </is>
      </c>
      <c r="W137" s="0" t="inlineStr">
        <is>
          <t>YES 源备无差异</t>
        </is>
      </c>
      <c r="X137" s="0">
        <f>A137</f>
        <v/>
      </c>
    </row>
    <row r="138">
      <c r="B138" s="0" t="inlineStr">
        <is>
          <t>NULL</t>
        </is>
      </c>
      <c r="C138" s="0" t="inlineStr">
        <is>
          <t>NULL</t>
        </is>
      </c>
      <c r="D138" s="0" t="inlineStr">
        <is>
          <t>NULL</t>
        </is>
      </c>
      <c r="E138" s="0" t="inlineStr">
        <is>
          <t>NULL</t>
        </is>
      </c>
      <c r="F138" s="0" t="inlineStr">
        <is>
          <t>NULL</t>
        </is>
      </c>
      <c r="G138" s="0" t="inlineStr">
        <is>
          <t>NULL</t>
        </is>
      </c>
      <c r="H138" s="0" t="inlineStr">
        <is>
          <t>NULL</t>
        </is>
      </c>
      <c r="I138" s="0" t="inlineStr">
        <is>
          <t>NULL</t>
        </is>
      </c>
      <c r="J138" s="0" t="inlineStr">
        <is>
          <t>NULL</t>
        </is>
      </c>
      <c r="K138" s="0" t="inlineStr">
        <is>
          <t>YES! 	 id列源备映射正确，源端为int None位	期望更改为int	实际备端为int None位</t>
        </is>
      </c>
    </row>
    <row r="139">
      <c r="B139" s="0" t="inlineStr">
        <is>
          <t>NULL</t>
        </is>
      </c>
      <c r="C139" s="0" t="inlineStr">
        <is>
          <t>NULL</t>
        </is>
      </c>
      <c r="D139" s="0" t="inlineStr">
        <is>
          <t>NULL</t>
        </is>
      </c>
      <c r="E139" s="0" t="inlineStr">
        <is>
          <t>NULL</t>
        </is>
      </c>
      <c r="F139" s="0" t="inlineStr">
        <is>
          <t>NULL</t>
        </is>
      </c>
      <c r="G139" s="0" t="inlineStr">
        <is>
          <t>NULL</t>
        </is>
      </c>
      <c r="H139" s="0" t="inlineStr">
        <is>
          <t>NULL</t>
        </is>
      </c>
      <c r="I139" s="0" t="inlineStr">
        <is>
          <t>NULL</t>
        </is>
      </c>
      <c r="J139" s="0" t="inlineStr">
        <is>
          <t>NULL</t>
        </is>
      </c>
      <c r="K139" s="0" t="inlineStr">
        <is>
          <t>YES! 	 c_nchar列源备映射正确，源端为nchar 2位	期望更改为char(n)	实际备端为char 4位</t>
        </is>
      </c>
    </row>
    <row r="140">
      <c r="B140" s="0" t="inlineStr">
        <is>
          <t>NULL</t>
        </is>
      </c>
      <c r="C140" s="0" t="inlineStr">
        <is>
          <t>NULL</t>
        </is>
      </c>
      <c r="D140" s="0" t="inlineStr">
        <is>
          <t>NULL</t>
        </is>
      </c>
      <c r="E140" s="0" t="inlineStr">
        <is>
          <t>NULL</t>
        </is>
      </c>
      <c r="F140" s="0" t="inlineStr">
        <is>
          <t>NULL</t>
        </is>
      </c>
      <c r="G140" s="0" t="inlineStr">
        <is>
          <t>NULL</t>
        </is>
      </c>
      <c r="H140" s="0" t="inlineStr">
        <is>
          <t>NULL</t>
        </is>
      </c>
      <c r="I140" s="0" t="inlineStr">
        <is>
          <t>NULL</t>
        </is>
      </c>
      <c r="J140" s="0" t="inlineStr">
        <is>
          <t>NULL</t>
        </is>
      </c>
      <c r="K140" s="0" t="inlineStr">
        <is>
          <t>YES! 	 c_nchar20列源备映射正确，源端为nchar 40位	期望更改为char(n)	实际备端为char 80位</t>
        </is>
      </c>
    </row>
    <row r="141">
      <c r="B141" s="0" t="inlineStr">
        <is>
          <t>NULL</t>
        </is>
      </c>
      <c r="C141" s="0" t="inlineStr">
        <is>
          <t>NULL</t>
        </is>
      </c>
      <c r="D141" s="0" t="inlineStr">
        <is>
          <t>NULL</t>
        </is>
      </c>
      <c r="E141" s="0" t="inlineStr">
        <is>
          <t>NULL</t>
        </is>
      </c>
      <c r="F141" s="0" t="inlineStr">
        <is>
          <t>NULL</t>
        </is>
      </c>
      <c r="G141" s="0" t="inlineStr">
        <is>
          <t>NULL</t>
        </is>
      </c>
      <c r="H141" s="0" t="inlineStr">
        <is>
          <t>NULL</t>
        </is>
      </c>
      <c r="I141" s="0" t="inlineStr">
        <is>
          <t>NULL</t>
        </is>
      </c>
      <c r="J141" s="0" t="inlineStr">
        <is>
          <t>NULL</t>
        </is>
      </c>
      <c r="K141" s="0" t="inlineStr">
        <is>
          <t xml:space="preserve"> NO!  	 c_nchar3500列源备映射错误，源端为nchar 7000位	期望更改为varchar(n)	实际备端为text 65535位</t>
        </is>
      </c>
    </row>
    <row r="142">
      <c r="K142" s="0" t="inlineStr">
        <is>
          <t>[0;31m NO! [0m 	  行数不同,源10行,备端空表</t>
        </is>
      </c>
    </row>
    <row r="143">
      <c r="A143" s="0" t="inlineStr">
        <is>
          <t>info_char_dml_batch1_pk</t>
        </is>
      </c>
      <c r="K143" s="0" t="inlineStr">
        <is>
          <t>[0;34m info_char_dml_batch1_pk [0m源备字段数相同，源端字段：4 	备端字段4</t>
        </is>
      </c>
      <c r="W143" s="0" t="inlineStr">
        <is>
          <t>YES 源备无差异</t>
        </is>
      </c>
      <c r="X143" s="0">
        <f>A143</f>
        <v/>
      </c>
    </row>
    <row r="144">
      <c r="B144" s="0" t="inlineStr">
        <is>
          <t>NO! 主键不正常，源YES备None</t>
        </is>
      </c>
      <c r="C144" s="0" t="inlineStr">
        <is>
          <t>NULL</t>
        </is>
      </c>
      <c r="D144" s="0" t="inlineStr">
        <is>
          <t>NULL</t>
        </is>
      </c>
      <c r="E144" s="0" t="inlineStr">
        <is>
          <t>NULL</t>
        </is>
      </c>
      <c r="F144" s="0" t="inlineStr">
        <is>
          <t>NULL</t>
        </is>
      </c>
      <c r="G144" s="0" t="inlineStr">
        <is>
          <t>NULL</t>
        </is>
      </c>
      <c r="H144" s="0" t="inlineStr">
        <is>
          <t>NULL</t>
        </is>
      </c>
      <c r="I144" s="0" t="inlineStr">
        <is>
          <t>NO! 源备索引不一致源PK__info_cha__3213E83F5CF1C334备None</t>
        </is>
      </c>
      <c r="J144" s="0" t="inlineStr">
        <is>
          <t>NULL</t>
        </is>
      </c>
      <c r="K144" s="0" t="inlineStr">
        <is>
          <t>YES! 	 id列源备映射正确，源端为int None位	期望更改为int	实际备端为int None位</t>
        </is>
      </c>
    </row>
    <row r="145">
      <c r="B145" s="0" t="inlineStr">
        <is>
          <t>NULL</t>
        </is>
      </c>
      <c r="C145" s="0" t="inlineStr">
        <is>
          <t>NULL</t>
        </is>
      </c>
      <c r="D145" s="0" t="inlineStr">
        <is>
          <t>NULL</t>
        </is>
      </c>
      <c r="E145" s="0" t="inlineStr">
        <is>
          <t>NULL</t>
        </is>
      </c>
      <c r="F145" s="0" t="inlineStr">
        <is>
          <t>NULL</t>
        </is>
      </c>
      <c r="G145" s="0" t="inlineStr">
        <is>
          <t>NULL</t>
        </is>
      </c>
      <c r="H145" s="0" t="inlineStr">
        <is>
          <t>NULL</t>
        </is>
      </c>
      <c r="I145" s="0" t="inlineStr">
        <is>
          <t>NULL</t>
        </is>
      </c>
      <c r="J145" s="0" t="inlineStr">
        <is>
          <t>NULL</t>
        </is>
      </c>
      <c r="K145" s="0" t="inlineStr">
        <is>
          <t>YES! 	 c_char列源备映射正确，源端为char 1位	期望更改为char(n)	实际备端为char 4位</t>
        </is>
      </c>
    </row>
    <row r="146">
      <c r="B146" s="0" t="inlineStr">
        <is>
          <t>NULL</t>
        </is>
      </c>
      <c r="C146" s="0" t="inlineStr">
        <is>
          <t>NULL</t>
        </is>
      </c>
      <c r="D146" s="0" t="inlineStr">
        <is>
          <t>NULL</t>
        </is>
      </c>
      <c r="E146" s="0" t="inlineStr">
        <is>
          <t>NULL</t>
        </is>
      </c>
      <c r="F146" s="0" t="inlineStr">
        <is>
          <t>NULL</t>
        </is>
      </c>
      <c r="G146" s="0" t="inlineStr">
        <is>
          <t>NULL</t>
        </is>
      </c>
      <c r="H146" s="0" t="inlineStr">
        <is>
          <t>NULL</t>
        </is>
      </c>
      <c r="I146" s="0" t="inlineStr">
        <is>
          <t>NULL</t>
        </is>
      </c>
      <c r="J146" s="0" t="inlineStr">
        <is>
          <t>NULL</t>
        </is>
      </c>
      <c r="K146" s="0" t="inlineStr">
        <is>
          <t>YES! 	 c_char20列源备映射正确，源端为char 20位	期望更改为char(n)	实际备端为char 80位</t>
        </is>
      </c>
    </row>
    <row r="147">
      <c r="B147" s="0" t="inlineStr">
        <is>
          <t>NULL</t>
        </is>
      </c>
      <c r="C147" s="0" t="inlineStr">
        <is>
          <t>NULL</t>
        </is>
      </c>
      <c r="D147" s="0" t="inlineStr">
        <is>
          <t>NULL</t>
        </is>
      </c>
      <c r="E147" s="0" t="inlineStr">
        <is>
          <t>NULL</t>
        </is>
      </c>
      <c r="F147" s="0" t="inlineStr">
        <is>
          <t>NULL</t>
        </is>
      </c>
      <c r="G147" s="0" t="inlineStr">
        <is>
          <t>NULL</t>
        </is>
      </c>
      <c r="H147" s="0" t="inlineStr">
        <is>
          <t>NULL</t>
        </is>
      </c>
      <c r="I147" s="0" t="inlineStr">
        <is>
          <t>NULL</t>
        </is>
      </c>
      <c r="J147" s="0" t="inlineStr">
        <is>
          <t>NULL</t>
        </is>
      </c>
      <c r="K147" s="0" t="inlineStr">
        <is>
          <t>YES! 	 c_char7000列源备映射正确，源端为char 7000位	期望更改为text	实际备端为text 65535位</t>
        </is>
      </c>
    </row>
    <row r="148">
      <c r="K148" s="0" t="inlineStr">
        <is>
          <t>[0;31m NO! [0m 	  行数不同,源2行,备端空表</t>
        </is>
      </c>
    </row>
    <row r="149">
      <c r="A149" s="0" t="inlineStr">
        <is>
          <t>info_nchar_dml_single_nopk_drp</t>
        </is>
      </c>
      <c r="K149" s="0" t="inlineStr">
        <is>
          <t>[0;34m info_nchar_dml_single_nopk_drp [0m源备字段数相同，源端字段：4 	备端字段4</t>
        </is>
      </c>
      <c r="W149" s="0" t="inlineStr">
        <is>
          <t>YES 源备无差异</t>
        </is>
      </c>
      <c r="X149" s="0">
        <f>A149</f>
        <v/>
      </c>
    </row>
    <row r="150">
      <c r="B150" s="0" t="inlineStr">
        <is>
          <t>NULL</t>
        </is>
      </c>
      <c r="C150" s="0" t="inlineStr">
        <is>
          <t>NULL</t>
        </is>
      </c>
      <c r="D150" s="0" t="inlineStr">
        <is>
          <t>NULL</t>
        </is>
      </c>
      <c r="E150" s="0" t="inlineStr">
        <is>
          <t>NULL</t>
        </is>
      </c>
      <c r="F150" s="0" t="inlineStr">
        <is>
          <t>NULL</t>
        </is>
      </c>
      <c r="G150" s="0" t="inlineStr">
        <is>
          <t>NULL</t>
        </is>
      </c>
      <c r="H150" s="0" t="inlineStr">
        <is>
          <t>NULL</t>
        </is>
      </c>
      <c r="I150" s="0" t="inlineStr">
        <is>
          <t>NULL</t>
        </is>
      </c>
      <c r="J150" s="0" t="inlineStr">
        <is>
          <t>NULL</t>
        </is>
      </c>
      <c r="K150" s="0" t="inlineStr">
        <is>
          <t>YES! 	 id列源备映射正确，源端为int None位	期望更改为int	实际备端为int None位</t>
        </is>
      </c>
    </row>
    <row r="151">
      <c r="B151" s="0" t="inlineStr">
        <is>
          <t>NULL</t>
        </is>
      </c>
      <c r="C151" s="0" t="inlineStr">
        <is>
          <t>NULL</t>
        </is>
      </c>
      <c r="D151" s="0" t="inlineStr">
        <is>
          <t>NULL</t>
        </is>
      </c>
      <c r="E151" s="0" t="inlineStr">
        <is>
          <t>NULL</t>
        </is>
      </c>
      <c r="F151" s="0" t="inlineStr">
        <is>
          <t>NULL</t>
        </is>
      </c>
      <c r="G151" s="0" t="inlineStr">
        <is>
          <t>NULL</t>
        </is>
      </c>
      <c r="H151" s="0" t="inlineStr">
        <is>
          <t>NULL</t>
        </is>
      </c>
      <c r="I151" s="0" t="inlineStr">
        <is>
          <t>NULL</t>
        </is>
      </c>
      <c r="J151" s="0" t="inlineStr">
        <is>
          <t>NULL</t>
        </is>
      </c>
      <c r="K151" s="0" t="inlineStr">
        <is>
          <t>YES! 	 c_nchar列源备映射正确，源端为nchar 2位	期望更改为char(n)	实际备端为char 4位</t>
        </is>
      </c>
    </row>
    <row r="152">
      <c r="B152" s="0" t="inlineStr">
        <is>
          <t>NULL</t>
        </is>
      </c>
      <c r="C152" s="0" t="inlineStr">
        <is>
          <t>NULL</t>
        </is>
      </c>
      <c r="D152" s="0" t="inlineStr">
        <is>
          <t>NULL</t>
        </is>
      </c>
      <c r="E152" s="0" t="inlineStr">
        <is>
          <t>NULL</t>
        </is>
      </c>
      <c r="F152" s="0" t="inlineStr">
        <is>
          <t>NULL</t>
        </is>
      </c>
      <c r="G152" s="0" t="inlineStr">
        <is>
          <t>NULL</t>
        </is>
      </c>
      <c r="H152" s="0" t="inlineStr">
        <is>
          <t>NULL</t>
        </is>
      </c>
      <c r="I152" s="0" t="inlineStr">
        <is>
          <t>NULL</t>
        </is>
      </c>
      <c r="J152" s="0" t="inlineStr">
        <is>
          <t>NULL</t>
        </is>
      </c>
      <c r="K152" s="0" t="inlineStr">
        <is>
          <t>YES! 	 c_nchar20列源备映射正确，源端为nchar 40位	期望更改为char(n)	实际备端为char 80位</t>
        </is>
      </c>
    </row>
    <row r="153">
      <c r="B153" s="0" t="inlineStr">
        <is>
          <t>NULL</t>
        </is>
      </c>
      <c r="C153" s="0" t="inlineStr">
        <is>
          <t>NULL</t>
        </is>
      </c>
      <c r="D153" s="0" t="inlineStr">
        <is>
          <t>NULL</t>
        </is>
      </c>
      <c r="E153" s="0" t="inlineStr">
        <is>
          <t>NULL</t>
        </is>
      </c>
      <c r="F153" s="0" t="inlineStr">
        <is>
          <t>NULL</t>
        </is>
      </c>
      <c r="G153" s="0" t="inlineStr">
        <is>
          <t>NULL</t>
        </is>
      </c>
      <c r="H153" s="0" t="inlineStr">
        <is>
          <t>NULL</t>
        </is>
      </c>
      <c r="I153" s="0" t="inlineStr">
        <is>
          <t>NULL</t>
        </is>
      </c>
      <c r="J153" s="0" t="inlineStr">
        <is>
          <t>NULL</t>
        </is>
      </c>
      <c r="K153" s="0" t="inlineStr">
        <is>
          <t xml:space="preserve"> NO!  	 c_nchar3500列源备映射错误，源端为nchar 7000位	期望更改为varchar(n)	实际备端为text 65535位</t>
        </is>
      </c>
    </row>
    <row r="154">
      <c r="K154" s="0" t="inlineStr">
        <is>
          <t>[0;31m NO! [0m 	  行数不同,源2行,备端空表</t>
        </is>
      </c>
    </row>
    <row r="155">
      <c r="A155" s="0" t="inlineStr">
        <is>
          <t>info_int_dml_single_pk</t>
        </is>
      </c>
      <c r="K155" s="0" t="inlineStr">
        <is>
          <t>[0;34m info_int_dml_single_pk [0m源备字段数相同，源端字段：20 	备端字段20</t>
        </is>
      </c>
      <c r="W155" s="0" t="inlineStr">
        <is>
          <t>YES 源备无差异</t>
        </is>
      </c>
      <c r="X155" s="0">
        <f>A155</f>
        <v/>
      </c>
    </row>
    <row r="156">
      <c r="B156" s="0" t="inlineStr">
        <is>
          <t>NO! 主键不正常，源YES备None</t>
        </is>
      </c>
      <c r="C156" s="0" t="inlineStr">
        <is>
          <t>NULL</t>
        </is>
      </c>
      <c r="D156" s="0" t="inlineStr">
        <is>
          <t>NULL</t>
        </is>
      </c>
      <c r="E156" s="0" t="inlineStr">
        <is>
          <t>NULL</t>
        </is>
      </c>
      <c r="F156" s="0" t="inlineStr">
        <is>
          <t>NULL</t>
        </is>
      </c>
      <c r="G156" s="0" t="inlineStr">
        <is>
          <t>NULL</t>
        </is>
      </c>
      <c r="H156" s="0" t="inlineStr">
        <is>
          <t>NULL</t>
        </is>
      </c>
      <c r="I156" s="0" t="inlineStr">
        <is>
          <t>NO! 源备索引不一致源PK__info_int__3213E83F5D7987FF备None</t>
        </is>
      </c>
      <c r="J156" s="0" t="inlineStr">
        <is>
          <t>NULL</t>
        </is>
      </c>
      <c r="K156" s="0" t="inlineStr">
        <is>
          <t>YES! 	 id列源备映射正确，源端为int None位	期望更改为int	实际备端为int None位</t>
        </is>
      </c>
    </row>
    <row r="157">
      <c r="B157" s="0" t="inlineStr">
        <is>
          <t>NULL</t>
        </is>
      </c>
      <c r="C157" s="0" t="inlineStr">
        <is>
          <t>NULL</t>
        </is>
      </c>
      <c r="D157" s="0" t="inlineStr">
        <is>
          <t>NULL</t>
        </is>
      </c>
      <c r="E157" s="0" t="inlineStr">
        <is>
          <t>NULL</t>
        </is>
      </c>
      <c r="F157" s="0" t="inlineStr">
        <is>
          <t>NULL</t>
        </is>
      </c>
      <c r="G157" s="0" t="inlineStr">
        <is>
          <t>NULL</t>
        </is>
      </c>
      <c r="H157" s="0" t="inlineStr">
        <is>
          <t>NULL</t>
        </is>
      </c>
      <c r="I157" s="0" t="inlineStr">
        <is>
          <t>NULL</t>
        </is>
      </c>
      <c r="J157" s="0" t="inlineStr">
        <is>
          <t>NULL</t>
        </is>
      </c>
      <c r="K157" s="0" t="inlineStr">
        <is>
          <t>YES! 	 c_tinyint列源备映射正确，源端为tinyint None位	期望更改为tinyint	实际备端为tinyint None位</t>
        </is>
      </c>
    </row>
    <row r="158">
      <c r="B158" s="0" t="inlineStr">
        <is>
          <t>NULL</t>
        </is>
      </c>
      <c r="C158" s="0" t="inlineStr">
        <is>
          <t>NULL</t>
        </is>
      </c>
      <c r="D158" s="0" t="inlineStr">
        <is>
          <t>NULL</t>
        </is>
      </c>
      <c r="E158" s="0" t="inlineStr">
        <is>
          <t>NULL</t>
        </is>
      </c>
      <c r="F158" s="0" t="inlineStr">
        <is>
          <t>NULL</t>
        </is>
      </c>
      <c r="G158" s="0" t="inlineStr">
        <is>
          <t>NULL</t>
        </is>
      </c>
      <c r="H158" s="0" t="inlineStr">
        <is>
          <t>NULL</t>
        </is>
      </c>
      <c r="I158" s="0" t="inlineStr">
        <is>
          <t>NULL</t>
        </is>
      </c>
      <c r="J158" s="0" t="inlineStr">
        <is>
          <t>NULL</t>
        </is>
      </c>
      <c r="K158" s="0" t="inlineStr">
        <is>
          <t>YES! 	 c_smallint列源备映射正确，源端为smallint None位	期望更改为smallint	实际备端为smallint None位</t>
        </is>
      </c>
    </row>
    <row r="159">
      <c r="B159" s="0" t="inlineStr">
        <is>
          <t>NULL</t>
        </is>
      </c>
      <c r="C159" s="0" t="inlineStr">
        <is>
          <t>NULL</t>
        </is>
      </c>
      <c r="D159" s="0" t="inlineStr">
        <is>
          <t>NULL</t>
        </is>
      </c>
      <c r="E159" s="0" t="inlineStr">
        <is>
          <t>NULL</t>
        </is>
      </c>
      <c r="F159" s="0" t="inlineStr">
        <is>
          <t>NULL</t>
        </is>
      </c>
      <c r="G159" s="0" t="inlineStr">
        <is>
          <t>NULL</t>
        </is>
      </c>
      <c r="H159" s="0" t="inlineStr">
        <is>
          <t>NULL</t>
        </is>
      </c>
      <c r="I159" s="0" t="inlineStr">
        <is>
          <t>NULL</t>
        </is>
      </c>
      <c r="J159" s="0" t="inlineStr">
        <is>
          <t>NULL</t>
        </is>
      </c>
      <c r="K159" s="0" t="inlineStr">
        <is>
          <t>YES! 	 c_int列源备映射正确，源端为int None位	期望更改为int	实际备端为int None位</t>
        </is>
      </c>
    </row>
    <row r="160">
      <c r="B160" s="0" t="inlineStr">
        <is>
          <t>NULL</t>
        </is>
      </c>
      <c r="C160" s="0" t="inlineStr">
        <is>
          <t>NULL</t>
        </is>
      </c>
      <c r="D160" s="0" t="inlineStr">
        <is>
          <t>NULL</t>
        </is>
      </c>
      <c r="E160" s="0" t="inlineStr">
        <is>
          <t>NULL</t>
        </is>
      </c>
      <c r="F160" s="0" t="inlineStr">
        <is>
          <t>NULL</t>
        </is>
      </c>
      <c r="G160" s="0" t="inlineStr">
        <is>
          <t>NULL</t>
        </is>
      </c>
      <c r="H160" s="0" t="inlineStr">
        <is>
          <t>NULL</t>
        </is>
      </c>
      <c r="I160" s="0" t="inlineStr">
        <is>
          <t>NULL</t>
        </is>
      </c>
      <c r="J160" s="0" t="inlineStr">
        <is>
          <t>NULL</t>
        </is>
      </c>
      <c r="K160" s="0" t="inlineStr">
        <is>
          <t>YES! 	 c_bigint列源备映射正确，源端为bigint None位	期望更改为bigint	实际备端为bigint None位</t>
        </is>
      </c>
    </row>
    <row r="161">
      <c r="B161" s="0" t="inlineStr">
        <is>
          <t>NULL</t>
        </is>
      </c>
      <c r="C161" s="0" t="inlineStr">
        <is>
          <t>NULL</t>
        </is>
      </c>
      <c r="D161" s="0" t="inlineStr">
        <is>
          <t>NULL</t>
        </is>
      </c>
      <c r="E161" s="0" t="inlineStr">
        <is>
          <t>NULL</t>
        </is>
      </c>
      <c r="F161" s="0" t="inlineStr">
        <is>
          <t>NULL</t>
        </is>
      </c>
      <c r="G161" s="0" t="inlineStr">
        <is>
          <t>NULL</t>
        </is>
      </c>
      <c r="H161" s="0" t="inlineStr">
        <is>
          <t>NULL</t>
        </is>
      </c>
      <c r="I161" s="0" t="inlineStr">
        <is>
          <t>NULL</t>
        </is>
      </c>
      <c r="J161" s="0" t="inlineStr">
        <is>
          <t>NULL</t>
        </is>
      </c>
      <c r="K161" s="0" t="inlineStr">
        <is>
          <t>YES! 	 c_decimal列源备映射正确，源端为decimal None位	期望更改为decimal(p,s)	实际备端为decimal None位</t>
        </is>
      </c>
    </row>
    <row r="162">
      <c r="B162" s="0" t="inlineStr">
        <is>
          <t>NULL</t>
        </is>
      </c>
      <c r="C162" s="0" t="inlineStr">
        <is>
          <t>NULL</t>
        </is>
      </c>
      <c r="D162" s="0" t="inlineStr">
        <is>
          <t>NULL</t>
        </is>
      </c>
      <c r="E162" s="0" t="inlineStr">
        <is>
          <t>NULL</t>
        </is>
      </c>
      <c r="F162" s="0" t="inlineStr">
        <is>
          <t>NULL</t>
        </is>
      </c>
      <c r="G162" s="0" t="inlineStr">
        <is>
          <t>NULL</t>
        </is>
      </c>
      <c r="H162" s="0" t="inlineStr">
        <is>
          <t>NULL</t>
        </is>
      </c>
      <c r="I162" s="0" t="inlineStr">
        <is>
          <t>NULL</t>
        </is>
      </c>
      <c r="J162" s="0" t="inlineStr">
        <is>
          <t>NULL</t>
        </is>
      </c>
      <c r="K162" s="0" t="inlineStr">
        <is>
          <t>YES! 	 c_decimal38列源备映射正确，源端为decimal None位	期望更改为decimal(p,s)	实际备端为decimal None位</t>
        </is>
      </c>
    </row>
    <row r="163">
      <c r="B163" s="0" t="inlineStr">
        <is>
          <t>NULL</t>
        </is>
      </c>
      <c r="C163" s="0" t="inlineStr">
        <is>
          <t>NULL</t>
        </is>
      </c>
      <c r="D163" s="0" t="inlineStr">
        <is>
          <t>NULL</t>
        </is>
      </c>
      <c r="E163" s="0" t="inlineStr">
        <is>
          <t>NULL</t>
        </is>
      </c>
      <c r="F163" s="0" t="inlineStr">
        <is>
          <t>NULL</t>
        </is>
      </c>
      <c r="G163" s="0" t="inlineStr">
        <is>
          <t>NULL</t>
        </is>
      </c>
      <c r="H163" s="0" t="inlineStr">
        <is>
          <t>NULL</t>
        </is>
      </c>
      <c r="I163" s="0" t="inlineStr">
        <is>
          <t>NULL</t>
        </is>
      </c>
      <c r="J163" s="0" t="inlineStr">
        <is>
          <t>NULL</t>
        </is>
      </c>
      <c r="K163" s="0" t="inlineStr">
        <is>
          <t xml:space="preserve"> NO!  	 c_decimal38_38列源备映射错误，源端为decimal None位	期望更改为decimal(p,s)	实际备端为varchar 168位</t>
        </is>
      </c>
    </row>
    <row r="164">
      <c r="B164" s="0" t="inlineStr">
        <is>
          <t>NULL</t>
        </is>
      </c>
      <c r="C164" s="0" t="inlineStr">
        <is>
          <t>NULL</t>
        </is>
      </c>
      <c r="D164" s="0" t="inlineStr">
        <is>
          <t>NULL</t>
        </is>
      </c>
      <c r="E164" s="0" t="inlineStr">
        <is>
          <t>NULL</t>
        </is>
      </c>
      <c r="F164" s="0" t="inlineStr">
        <is>
          <t>NULL</t>
        </is>
      </c>
      <c r="G164" s="0" t="inlineStr">
        <is>
          <t>NULL</t>
        </is>
      </c>
      <c r="H164" s="0" t="inlineStr">
        <is>
          <t>NULL</t>
        </is>
      </c>
      <c r="I164" s="0" t="inlineStr">
        <is>
          <t>NULL</t>
        </is>
      </c>
      <c r="J164" s="0" t="inlineStr">
        <is>
          <t>NULL</t>
        </is>
      </c>
      <c r="K164" s="0" t="inlineStr">
        <is>
          <t>YES! 	 c_decimal38_10列源备映射正确，源端为decimal None位	期望更改为decimal(p,s)	实际备端为decimal None位</t>
        </is>
      </c>
    </row>
    <row r="165">
      <c r="B165" s="0" t="inlineStr">
        <is>
          <t>NULL</t>
        </is>
      </c>
      <c r="C165" s="0" t="inlineStr">
        <is>
          <t>NULL</t>
        </is>
      </c>
      <c r="D165" s="0" t="inlineStr">
        <is>
          <t>NULL</t>
        </is>
      </c>
      <c r="E165" s="0" t="inlineStr">
        <is>
          <t>NULL</t>
        </is>
      </c>
      <c r="F165" s="0" t="inlineStr">
        <is>
          <t>NULL</t>
        </is>
      </c>
      <c r="G165" s="0" t="inlineStr">
        <is>
          <t>NULL</t>
        </is>
      </c>
      <c r="H165" s="0" t="inlineStr">
        <is>
          <t>NULL</t>
        </is>
      </c>
      <c r="I165" s="0" t="inlineStr">
        <is>
          <t>NULL</t>
        </is>
      </c>
      <c r="J165" s="0" t="inlineStr">
        <is>
          <t>NULL</t>
        </is>
      </c>
      <c r="K165" s="0" t="inlineStr">
        <is>
          <t>YES! 	 c_decimal19_4列源备映射正确，源端为decimal None位	期望更改为decimal(p,s)	实际备端为decimal None位</t>
        </is>
      </c>
    </row>
    <row r="166">
      <c r="B166" s="0" t="inlineStr">
        <is>
          <t>NULL</t>
        </is>
      </c>
      <c r="C166" s="0" t="inlineStr">
        <is>
          <t>NULL</t>
        </is>
      </c>
      <c r="D166" s="0" t="inlineStr">
        <is>
          <t>NULL</t>
        </is>
      </c>
      <c r="E166" s="0" t="inlineStr">
        <is>
          <t>NULL</t>
        </is>
      </c>
      <c r="F166" s="0" t="inlineStr">
        <is>
          <t>NULL</t>
        </is>
      </c>
      <c r="G166" s="0" t="inlineStr">
        <is>
          <t>NULL</t>
        </is>
      </c>
      <c r="H166" s="0" t="inlineStr">
        <is>
          <t>NULL</t>
        </is>
      </c>
      <c r="I166" s="0" t="inlineStr">
        <is>
          <t>NULL</t>
        </is>
      </c>
      <c r="J166" s="0" t="inlineStr">
        <is>
          <t>NULL</t>
        </is>
      </c>
      <c r="K166" s="0" t="inlineStr">
        <is>
          <t>YES! 	 c_numeric列源备映射正确，源端为numeric None位	期望更改为decimal(p,s)	实际备端为decimal None位</t>
        </is>
      </c>
    </row>
    <row r="167">
      <c r="B167" s="0" t="inlineStr">
        <is>
          <t>NULL</t>
        </is>
      </c>
      <c r="C167" s="0" t="inlineStr">
        <is>
          <t>NULL</t>
        </is>
      </c>
      <c r="D167" s="0" t="inlineStr">
        <is>
          <t>NULL</t>
        </is>
      </c>
      <c r="E167" s="0" t="inlineStr">
        <is>
          <t>NULL</t>
        </is>
      </c>
      <c r="F167" s="0" t="inlineStr">
        <is>
          <t>NULL</t>
        </is>
      </c>
      <c r="G167" s="0" t="inlineStr">
        <is>
          <t>NULL</t>
        </is>
      </c>
      <c r="H167" s="0" t="inlineStr">
        <is>
          <t>NULL</t>
        </is>
      </c>
      <c r="I167" s="0" t="inlineStr">
        <is>
          <t>NULL</t>
        </is>
      </c>
      <c r="J167" s="0" t="inlineStr">
        <is>
          <t>NULL</t>
        </is>
      </c>
      <c r="K167" s="0" t="inlineStr">
        <is>
          <t>YES! 	 c_numeric38列源备映射正确，源端为numeric None位	期望更改为decimal(p,s)	实际备端为decimal None位</t>
        </is>
      </c>
    </row>
    <row r="168">
      <c r="B168" s="0" t="inlineStr">
        <is>
          <t>NULL</t>
        </is>
      </c>
      <c r="C168" s="0" t="inlineStr">
        <is>
          <t>NULL</t>
        </is>
      </c>
      <c r="D168" s="0" t="inlineStr">
        <is>
          <t>NULL</t>
        </is>
      </c>
      <c r="E168" s="0" t="inlineStr">
        <is>
          <t>NULL</t>
        </is>
      </c>
      <c r="F168" s="0" t="inlineStr">
        <is>
          <t>NULL</t>
        </is>
      </c>
      <c r="G168" s="0" t="inlineStr">
        <is>
          <t>NULL</t>
        </is>
      </c>
      <c r="H168" s="0" t="inlineStr">
        <is>
          <t>NULL</t>
        </is>
      </c>
      <c r="I168" s="0" t="inlineStr">
        <is>
          <t>NULL</t>
        </is>
      </c>
      <c r="J168" s="0" t="inlineStr">
        <is>
          <t>NULL</t>
        </is>
      </c>
      <c r="K168" s="0" t="inlineStr">
        <is>
          <t xml:space="preserve"> NO!  	 c_numeric38_38列源备映射错误，源端为numeric None位	期望更改为decimal(p,s)	实际备端为varchar 168位</t>
        </is>
      </c>
    </row>
    <row r="169">
      <c r="B169" s="0" t="inlineStr">
        <is>
          <t>NULL</t>
        </is>
      </c>
      <c r="C169" s="0" t="inlineStr">
        <is>
          <t>NULL</t>
        </is>
      </c>
      <c r="D169" s="0" t="inlineStr">
        <is>
          <t>NULL</t>
        </is>
      </c>
      <c r="E169" s="0" t="inlineStr">
        <is>
          <t>NULL</t>
        </is>
      </c>
      <c r="F169" s="0" t="inlineStr">
        <is>
          <t>NULL</t>
        </is>
      </c>
      <c r="G169" s="0" t="inlineStr">
        <is>
          <t>NULL</t>
        </is>
      </c>
      <c r="H169" s="0" t="inlineStr">
        <is>
          <t>NULL</t>
        </is>
      </c>
      <c r="I169" s="0" t="inlineStr">
        <is>
          <t>NULL</t>
        </is>
      </c>
      <c r="J169" s="0" t="inlineStr">
        <is>
          <t>NULL</t>
        </is>
      </c>
      <c r="K169" s="0" t="inlineStr">
        <is>
          <t>YES! 	 c_numeric38_10列源备映射正确，源端为numeric None位	期望更改为decimal(p,s)	实际备端为decimal None位</t>
        </is>
      </c>
    </row>
    <row r="170">
      <c r="B170" s="0" t="inlineStr">
        <is>
          <t>NULL</t>
        </is>
      </c>
      <c r="C170" s="0" t="inlineStr">
        <is>
          <t>NULL</t>
        </is>
      </c>
      <c r="D170" s="0" t="inlineStr">
        <is>
          <t>NULL</t>
        </is>
      </c>
      <c r="E170" s="0" t="inlineStr">
        <is>
          <t>NULL</t>
        </is>
      </c>
      <c r="F170" s="0" t="inlineStr">
        <is>
          <t>NULL</t>
        </is>
      </c>
      <c r="G170" s="0" t="inlineStr">
        <is>
          <t>NULL</t>
        </is>
      </c>
      <c r="H170" s="0" t="inlineStr">
        <is>
          <t>NULL</t>
        </is>
      </c>
      <c r="I170" s="0" t="inlineStr">
        <is>
          <t>NULL</t>
        </is>
      </c>
      <c r="J170" s="0" t="inlineStr">
        <is>
          <t>NULL</t>
        </is>
      </c>
      <c r="K170" s="0" t="inlineStr">
        <is>
          <t>YES! 	 c_numeric18_2列源备映射正确，源端为numeric None位	期望更改为decimal(p,s)	实际备端为decimal None位</t>
        </is>
      </c>
    </row>
    <row r="171">
      <c r="B171" s="0" t="inlineStr">
        <is>
          <t>NULL</t>
        </is>
      </c>
      <c r="C171" s="0" t="inlineStr">
        <is>
          <t>NULL</t>
        </is>
      </c>
      <c r="D171" s="0" t="inlineStr">
        <is>
          <t>NULL</t>
        </is>
      </c>
      <c r="E171" s="0" t="inlineStr">
        <is>
          <t>NULL</t>
        </is>
      </c>
      <c r="F171" s="0" t="inlineStr">
        <is>
          <t>NULL</t>
        </is>
      </c>
      <c r="G171" s="0" t="inlineStr">
        <is>
          <t>NULL</t>
        </is>
      </c>
      <c r="H171" s="0" t="inlineStr">
        <is>
          <t>NULL</t>
        </is>
      </c>
      <c r="I171" s="0" t="inlineStr">
        <is>
          <t>NULL</t>
        </is>
      </c>
      <c r="J171" s="0" t="inlineStr">
        <is>
          <t>NULL</t>
        </is>
      </c>
      <c r="K171" s="0" t="inlineStr">
        <is>
          <t>YES! 	 c_float列源备映射正确，源端为float None位	期望更改为double	实际备端为double None位</t>
        </is>
      </c>
    </row>
    <row r="172">
      <c r="B172" s="0" t="inlineStr">
        <is>
          <t>NULL</t>
        </is>
      </c>
      <c r="C172" s="0" t="inlineStr">
        <is>
          <t>NULL</t>
        </is>
      </c>
      <c r="D172" s="0" t="inlineStr">
        <is>
          <t>NULL</t>
        </is>
      </c>
      <c r="E172" s="0" t="inlineStr">
        <is>
          <t>NULL</t>
        </is>
      </c>
      <c r="F172" s="0" t="inlineStr">
        <is>
          <t>NULL</t>
        </is>
      </c>
      <c r="G172" s="0" t="inlineStr">
        <is>
          <t>NULL</t>
        </is>
      </c>
      <c r="H172" s="0" t="inlineStr">
        <is>
          <t>NULL</t>
        </is>
      </c>
      <c r="I172" s="0" t="inlineStr">
        <is>
          <t>NULL</t>
        </is>
      </c>
      <c r="J172" s="0" t="inlineStr">
        <is>
          <t>NULL</t>
        </is>
      </c>
      <c r="K172" s="0" t="inlineStr">
        <is>
          <t>YES! 	 c_real列源备映射正确，源端为real None位	期望更改为double	实际备端为double None位</t>
        </is>
      </c>
    </row>
    <row r="173">
      <c r="B173" s="0" t="inlineStr">
        <is>
          <t>NULL</t>
        </is>
      </c>
      <c r="C173" s="0" t="inlineStr">
        <is>
          <t>NULL</t>
        </is>
      </c>
      <c r="D173" s="0" t="inlineStr">
        <is>
          <t>NULL</t>
        </is>
      </c>
      <c r="E173" s="0" t="inlineStr">
        <is>
          <t>NULL</t>
        </is>
      </c>
      <c r="F173" s="0" t="inlineStr">
        <is>
          <t>NULL</t>
        </is>
      </c>
      <c r="G173" s="0" t="inlineStr">
        <is>
          <t>NULL</t>
        </is>
      </c>
      <c r="H173" s="0" t="inlineStr">
        <is>
          <t>NULL</t>
        </is>
      </c>
      <c r="I173" s="0" t="inlineStr">
        <is>
          <t>NULL</t>
        </is>
      </c>
      <c r="J173" s="0" t="inlineStr">
        <is>
          <t>NULL</t>
        </is>
      </c>
      <c r="K173" s="0" t="inlineStr">
        <is>
          <t>YES! 	 c_money列源备映射正确，源端为money None位	期望更改为decimal(19,4)	实际备端为decimal None位</t>
        </is>
      </c>
    </row>
    <row r="174">
      <c r="B174" s="0" t="inlineStr">
        <is>
          <t>NULL</t>
        </is>
      </c>
      <c r="C174" s="0" t="inlineStr">
        <is>
          <t>NULL</t>
        </is>
      </c>
      <c r="D174" s="0" t="inlineStr">
        <is>
          <t>NULL</t>
        </is>
      </c>
      <c r="E174" s="0" t="inlineStr">
        <is>
          <t>NULL</t>
        </is>
      </c>
      <c r="F174" s="0" t="inlineStr">
        <is>
          <t>NULL</t>
        </is>
      </c>
      <c r="G174" s="0" t="inlineStr">
        <is>
          <t>NULL</t>
        </is>
      </c>
      <c r="H174" s="0" t="inlineStr">
        <is>
          <t>NULL</t>
        </is>
      </c>
      <c r="I174" s="0" t="inlineStr">
        <is>
          <t>NULL</t>
        </is>
      </c>
      <c r="J174" s="0" t="inlineStr">
        <is>
          <t>NULL</t>
        </is>
      </c>
      <c r="K174" s="0" t="inlineStr">
        <is>
          <t>YES! 	 c_smallmoney列源备映射正确，源端为smallmoney None位	期望更改为decimal(10,4)	实际备端为decimal None位</t>
        </is>
      </c>
    </row>
    <row r="175">
      <c r="B175" s="0" t="inlineStr">
        <is>
          <t>NULL</t>
        </is>
      </c>
      <c r="C175" s="0" t="inlineStr">
        <is>
          <t>NO!源None备NUL</t>
        </is>
      </c>
      <c r="D175" s="0" t="inlineStr">
        <is>
          <t>NULL</t>
        </is>
      </c>
      <c r="E175" s="0" t="inlineStr">
        <is>
          <t>NULL</t>
        </is>
      </c>
      <c r="F175" s="0" t="inlineStr">
        <is>
          <t>NULL</t>
        </is>
      </c>
      <c r="G175" s="0" t="inlineStr">
        <is>
          <t>NULL</t>
        </is>
      </c>
      <c r="H175" s="0" t="inlineStr">
        <is>
          <t>NULL</t>
        </is>
      </c>
      <c r="I175" s="0" t="inlineStr">
        <is>
          <t>NULL</t>
        </is>
      </c>
      <c r="J175" s="0" t="inlineStr">
        <is>
          <t>NULL</t>
        </is>
      </c>
      <c r="K175" s="0" t="inlineStr">
        <is>
          <t>YES! 	 c_bit列源备映射正确，源端为bit None位	期望更改为tinyint(1) 	实际备端为tinyint None位</t>
        </is>
      </c>
    </row>
    <row r="176">
      <c r="K176" s="0" t="inlineStr">
        <is>
          <t>[0;31m NO! [0m 	  行数不同,源2行,备端空表</t>
        </is>
      </c>
    </row>
    <row r="177">
      <c r="A177" s="0" t="inlineStr">
        <is>
          <t>info_sdt_dml_batch1_pk_urp2</t>
        </is>
      </c>
      <c r="K177" s="0" t="inlineStr">
        <is>
          <t>[0;34m info_sdt_dml_batch1_pk_urp2 [0m源备字段数相同，源端字段：2 	备端字段2</t>
        </is>
      </c>
      <c r="W177" s="0" t="inlineStr">
        <is>
          <t>YES 源备无差异</t>
        </is>
      </c>
      <c r="X177" s="0">
        <f>A177</f>
        <v/>
      </c>
    </row>
    <row r="178">
      <c r="B178" s="0" t="inlineStr">
        <is>
          <t>NO! 主键不正常，源YES备None</t>
        </is>
      </c>
      <c r="C178" s="0" t="inlineStr">
        <is>
          <t>NULL</t>
        </is>
      </c>
      <c r="D178" s="0" t="inlineStr">
        <is>
          <t>NULL</t>
        </is>
      </c>
      <c r="E178" s="0" t="inlineStr">
        <is>
          <t>NULL</t>
        </is>
      </c>
      <c r="F178" s="0" t="inlineStr">
        <is>
          <t>NULL</t>
        </is>
      </c>
      <c r="G178" s="0" t="inlineStr">
        <is>
          <t>NULL</t>
        </is>
      </c>
      <c r="H178" s="0" t="inlineStr">
        <is>
          <t>NULL</t>
        </is>
      </c>
      <c r="I178" s="0" t="inlineStr">
        <is>
          <t>NO! 源备索引不一致源PK__info_sdt__3213E83F9232A2E1备None</t>
        </is>
      </c>
      <c r="J178" s="0" t="inlineStr">
        <is>
          <t>NULL</t>
        </is>
      </c>
      <c r="K178" s="0" t="inlineStr">
        <is>
          <t>YES! 	 id列源备映射正确，源端为int None位	期望更改为int	实际备端为int None位</t>
        </is>
      </c>
    </row>
    <row r="179">
      <c r="B179" s="0" t="inlineStr">
        <is>
          <t>NULL</t>
        </is>
      </c>
      <c r="C179" s="0" t="inlineStr">
        <is>
          <t>NO!源None备NUL</t>
        </is>
      </c>
      <c r="D179" s="0" t="inlineStr">
        <is>
          <t>NULL</t>
        </is>
      </c>
      <c r="E179" s="0" t="inlineStr">
        <is>
          <t>NULL</t>
        </is>
      </c>
      <c r="F179" s="0" t="inlineStr">
        <is>
          <t>NULL</t>
        </is>
      </c>
      <c r="G179" s="0" t="inlineStr">
        <is>
          <t>NULL</t>
        </is>
      </c>
      <c r="H179" s="0" t="inlineStr">
        <is>
          <t>NULL</t>
        </is>
      </c>
      <c r="I179" s="0" t="inlineStr">
        <is>
          <t>NULL</t>
        </is>
      </c>
      <c r="J179" s="0" t="inlineStr">
        <is>
          <t>NULL</t>
        </is>
      </c>
      <c r="K179" s="0" t="inlineStr">
        <is>
          <t>YES! 	 c_sdt列源备映射正确，源端为smalldatetime None位	期望更改为datetime	实际备端为datetime None位</t>
        </is>
      </c>
    </row>
    <row r="180">
      <c r="K180" s="0" t="inlineStr">
        <is>
          <t>[0;31m NO! [0m 	  行数不同,源14行,备端空表</t>
        </is>
      </c>
    </row>
    <row r="181">
      <c r="A181" s="0" t="inlineStr">
        <is>
          <t>info_sdt_dml_batch1_pk_drp1</t>
        </is>
      </c>
      <c r="K181" s="0" t="inlineStr">
        <is>
          <t>[0;34m info_sdt_dml_batch1_pk_drp1 [0m源备字段数相同，源端字段：2 	备端字段2</t>
        </is>
      </c>
      <c r="W181" s="0" t="inlineStr">
        <is>
          <t>YES 源备无差异</t>
        </is>
      </c>
      <c r="X181" s="0">
        <f>A181</f>
        <v/>
      </c>
    </row>
    <row r="182">
      <c r="B182" s="0" t="inlineStr">
        <is>
          <t>NO! 主键不正常，源YES备None</t>
        </is>
      </c>
      <c r="C182" s="0" t="inlineStr">
        <is>
          <t>NULL</t>
        </is>
      </c>
      <c r="D182" s="0" t="inlineStr">
        <is>
          <t>NULL</t>
        </is>
      </c>
      <c r="E182" s="0" t="inlineStr">
        <is>
          <t>NULL</t>
        </is>
      </c>
      <c r="F182" s="0" t="inlineStr">
        <is>
          <t>NULL</t>
        </is>
      </c>
      <c r="G182" s="0" t="inlineStr">
        <is>
          <t>NULL</t>
        </is>
      </c>
      <c r="H182" s="0" t="inlineStr">
        <is>
          <t>NULL</t>
        </is>
      </c>
      <c r="I182" s="0" t="inlineStr">
        <is>
          <t>NO! 源备索引不一致源PK__info_sdt__3213E83F8E7E5405备None</t>
        </is>
      </c>
      <c r="J182" s="0" t="inlineStr">
        <is>
          <t>NULL</t>
        </is>
      </c>
      <c r="K182" s="0" t="inlineStr">
        <is>
          <t>YES! 	 id列源备映射正确，源端为int None位	期望更改为int	实际备端为int None位</t>
        </is>
      </c>
    </row>
    <row r="183">
      <c r="B183" s="0" t="inlineStr">
        <is>
          <t>NULL</t>
        </is>
      </c>
      <c r="C183" s="0" t="inlineStr">
        <is>
          <t>NO!源None备NUL</t>
        </is>
      </c>
      <c r="D183" s="0" t="inlineStr">
        <is>
          <t>NULL</t>
        </is>
      </c>
      <c r="E183" s="0" t="inlineStr">
        <is>
          <t>NULL</t>
        </is>
      </c>
      <c r="F183" s="0" t="inlineStr">
        <is>
          <t>NULL</t>
        </is>
      </c>
      <c r="G183" s="0" t="inlineStr">
        <is>
          <t>NULL</t>
        </is>
      </c>
      <c r="H183" s="0" t="inlineStr">
        <is>
          <t>NULL</t>
        </is>
      </c>
      <c r="I183" s="0" t="inlineStr">
        <is>
          <t>NULL</t>
        </is>
      </c>
      <c r="J183" s="0" t="inlineStr">
        <is>
          <t>NULL</t>
        </is>
      </c>
      <c r="K183" s="0" t="inlineStr">
        <is>
          <t>YES! 	 c_sdt列源备映射正确，源端为smalldatetime None位	期望更改为datetime	实际备端为datetime None位</t>
        </is>
      </c>
    </row>
    <row r="184">
      <c r="K184" s="0" t="inlineStr">
        <is>
          <t>~ 空表</t>
        </is>
      </c>
    </row>
    <row r="185">
      <c r="A185" s="0" t="inlineStr">
        <is>
          <t>info_nchar_dml_single_pk_irp</t>
        </is>
      </c>
      <c r="K185" s="0" t="inlineStr">
        <is>
          <t>[0;34m info_nchar_dml_single_pk_irp [0m源备字段数相同，源端字段：4 	备端字段4</t>
        </is>
      </c>
      <c r="W185" s="0" t="inlineStr">
        <is>
          <t>YES 源备无差异</t>
        </is>
      </c>
      <c r="X185" s="0">
        <f>A185</f>
        <v/>
      </c>
    </row>
    <row r="186">
      <c r="B186" s="0" t="inlineStr">
        <is>
          <t>NO! 主键不正常，源YES备None</t>
        </is>
      </c>
      <c r="C186" s="0" t="inlineStr">
        <is>
          <t>NULL</t>
        </is>
      </c>
      <c r="D186" s="0" t="inlineStr">
        <is>
          <t>NULL</t>
        </is>
      </c>
      <c r="E186" s="0" t="inlineStr">
        <is>
          <t>NULL</t>
        </is>
      </c>
      <c r="F186" s="0" t="inlineStr">
        <is>
          <t>NULL</t>
        </is>
      </c>
      <c r="G186" s="0" t="inlineStr">
        <is>
          <t>NULL</t>
        </is>
      </c>
      <c r="H186" s="0" t="inlineStr">
        <is>
          <t>NULL</t>
        </is>
      </c>
      <c r="I186" s="0" t="inlineStr">
        <is>
          <t>NO! 源备索引不一致源PK__info_nch__3213E83F5EB3C382备None</t>
        </is>
      </c>
      <c r="J186" s="0" t="inlineStr">
        <is>
          <t>NULL</t>
        </is>
      </c>
      <c r="K186" s="0" t="inlineStr">
        <is>
          <t>YES! 	 id列源备映射正确，源端为int None位	期望更改为int	实际备端为int None位</t>
        </is>
      </c>
    </row>
    <row r="187">
      <c r="B187" s="0" t="inlineStr">
        <is>
          <t>NULL</t>
        </is>
      </c>
      <c r="C187" s="0" t="inlineStr">
        <is>
          <t>NULL</t>
        </is>
      </c>
      <c r="D187" s="0" t="inlineStr">
        <is>
          <t>NULL</t>
        </is>
      </c>
      <c r="E187" s="0" t="inlineStr">
        <is>
          <t>NULL</t>
        </is>
      </c>
      <c r="F187" s="0" t="inlineStr">
        <is>
          <t>NULL</t>
        </is>
      </c>
      <c r="G187" s="0" t="inlineStr">
        <is>
          <t>NULL</t>
        </is>
      </c>
      <c r="H187" s="0" t="inlineStr">
        <is>
          <t>NULL</t>
        </is>
      </c>
      <c r="I187" s="0" t="inlineStr">
        <is>
          <t>NULL</t>
        </is>
      </c>
      <c r="J187" s="0" t="inlineStr">
        <is>
          <t>NULL</t>
        </is>
      </c>
      <c r="K187" s="0" t="inlineStr">
        <is>
          <t>YES! 	 c_nchar列源备映射正确，源端为nchar 2位	期望更改为char(n)	实际备端为char 4位</t>
        </is>
      </c>
    </row>
    <row r="188">
      <c r="B188" s="0" t="inlineStr">
        <is>
          <t>NULL</t>
        </is>
      </c>
      <c r="C188" s="0" t="inlineStr">
        <is>
          <t>NULL</t>
        </is>
      </c>
      <c r="D188" s="0" t="inlineStr">
        <is>
          <t>NULL</t>
        </is>
      </c>
      <c r="E188" s="0" t="inlineStr">
        <is>
          <t>NULL</t>
        </is>
      </c>
      <c r="F188" s="0" t="inlineStr">
        <is>
          <t>NULL</t>
        </is>
      </c>
      <c r="G188" s="0" t="inlineStr">
        <is>
          <t>NULL</t>
        </is>
      </c>
      <c r="H188" s="0" t="inlineStr">
        <is>
          <t>NULL</t>
        </is>
      </c>
      <c r="I188" s="0" t="inlineStr">
        <is>
          <t>NULL</t>
        </is>
      </c>
      <c r="J188" s="0" t="inlineStr">
        <is>
          <t>NULL</t>
        </is>
      </c>
      <c r="K188" s="0" t="inlineStr">
        <is>
          <t>YES! 	 c_nchar20列源备映射正确，源端为nchar 40位	期望更改为char(n)	实际备端为char 80位</t>
        </is>
      </c>
    </row>
    <row r="189">
      <c r="B189" s="0" t="inlineStr">
        <is>
          <t>NULL</t>
        </is>
      </c>
      <c r="C189" s="0" t="inlineStr">
        <is>
          <t>NULL</t>
        </is>
      </c>
      <c r="D189" s="0" t="inlineStr">
        <is>
          <t>NULL</t>
        </is>
      </c>
      <c r="E189" s="0" t="inlineStr">
        <is>
          <t>NULL</t>
        </is>
      </c>
      <c r="F189" s="0" t="inlineStr">
        <is>
          <t>NULL</t>
        </is>
      </c>
      <c r="G189" s="0" t="inlineStr">
        <is>
          <t>NULL</t>
        </is>
      </c>
      <c r="H189" s="0" t="inlineStr">
        <is>
          <t>NULL</t>
        </is>
      </c>
      <c r="I189" s="0" t="inlineStr">
        <is>
          <t>NULL</t>
        </is>
      </c>
      <c r="J189" s="0" t="inlineStr">
        <is>
          <t>NULL</t>
        </is>
      </c>
      <c r="K189" s="0" t="inlineStr">
        <is>
          <t>YES! 	 c_nchar4000列源备映射正确，源端为nchar 8000位	期望更改为text	实际备端为text 65535位</t>
        </is>
      </c>
    </row>
    <row r="190">
      <c r="K190" s="0" t="inlineStr">
        <is>
          <t>[0;31m NO! [0m 	  行数不同,源16行,备端空表</t>
        </is>
      </c>
    </row>
    <row r="191">
      <c r="A191" s="0" t="inlineStr">
        <is>
          <t>info_nchar_dml_single_nopk</t>
        </is>
      </c>
      <c r="K191" s="0" t="inlineStr">
        <is>
          <t>[0;34m info_nchar_dml_single_nopk [0m源备字段数相同，源端字段：4 	备端字段4</t>
        </is>
      </c>
      <c r="W191" s="15">
        <f>HYPERLINK("#2026051816mysql0!AB2","NO 源备存在差异，共4个")</f>
        <v/>
      </c>
      <c r="X191" s="0">
        <f>A191</f>
        <v/>
      </c>
    </row>
    <row r="192">
      <c r="B192" s="0" t="inlineStr">
        <is>
          <t>NULL</t>
        </is>
      </c>
      <c r="C192" s="0" t="inlineStr">
        <is>
          <t>NULL</t>
        </is>
      </c>
      <c r="D192" s="0" t="inlineStr">
        <is>
          <t>NULL</t>
        </is>
      </c>
      <c r="E192" s="0" t="inlineStr">
        <is>
          <t>NULL</t>
        </is>
      </c>
      <c r="F192" s="0" t="inlineStr">
        <is>
          <t>NULL</t>
        </is>
      </c>
      <c r="G192" s="0" t="inlineStr">
        <is>
          <t>NULL</t>
        </is>
      </c>
      <c r="H192" s="0" t="inlineStr">
        <is>
          <t>NULL</t>
        </is>
      </c>
      <c r="I192" s="0" t="inlineStr">
        <is>
          <t>NULL</t>
        </is>
      </c>
      <c r="J192" s="0" t="inlineStr">
        <is>
          <t>NULL</t>
        </is>
      </c>
      <c r="K192" s="0" t="inlineStr">
        <is>
          <t>YES! 	 id列源备映射正确，源端为int None位	期望更改为int	实际备端为int None位</t>
        </is>
      </c>
    </row>
    <row r="193">
      <c r="B193" s="0" t="inlineStr">
        <is>
          <t>NULL</t>
        </is>
      </c>
      <c r="C193" s="0" t="inlineStr">
        <is>
          <t>NULL</t>
        </is>
      </c>
      <c r="D193" s="0" t="inlineStr">
        <is>
          <t>NULL</t>
        </is>
      </c>
      <c r="E193" s="0" t="inlineStr">
        <is>
          <t>NULL</t>
        </is>
      </c>
      <c r="F193" s="0" t="inlineStr">
        <is>
          <t>NULL</t>
        </is>
      </c>
      <c r="G193" s="0" t="inlineStr">
        <is>
          <t>NULL</t>
        </is>
      </c>
      <c r="H193" s="0" t="inlineStr">
        <is>
          <t>NULL</t>
        </is>
      </c>
      <c r="I193" s="0" t="inlineStr">
        <is>
          <t>NULL</t>
        </is>
      </c>
      <c r="J193" s="0" t="inlineStr">
        <is>
          <t>NULL</t>
        </is>
      </c>
      <c r="K193" s="0" t="inlineStr">
        <is>
          <t>YES! 	 c_nchar列源备映射正确，源端为nchar 2位	期望更改为char(n)	实际备端为char 4位</t>
        </is>
      </c>
    </row>
    <row r="194">
      <c r="B194" s="0" t="inlineStr">
        <is>
          <t>NULL</t>
        </is>
      </c>
      <c r="C194" s="0" t="inlineStr">
        <is>
          <t>NULL</t>
        </is>
      </c>
      <c r="D194" s="0" t="inlineStr">
        <is>
          <t>NULL</t>
        </is>
      </c>
      <c r="E194" s="0" t="inlineStr">
        <is>
          <t>NULL</t>
        </is>
      </c>
      <c r="F194" s="0" t="inlineStr">
        <is>
          <t>NULL</t>
        </is>
      </c>
      <c r="G194" s="0" t="inlineStr">
        <is>
          <t>NULL</t>
        </is>
      </c>
      <c r="H194" s="0" t="inlineStr">
        <is>
          <t>NULL</t>
        </is>
      </c>
      <c r="I194" s="0" t="inlineStr">
        <is>
          <t>NULL</t>
        </is>
      </c>
      <c r="J194" s="0" t="inlineStr">
        <is>
          <t>NULL</t>
        </is>
      </c>
      <c r="K194" s="0" t="inlineStr">
        <is>
          <t>YES! 	 c_nchar20列源备映射正确，源端为nchar 40位	期望更改为char(n)	实际备端为char 80位</t>
        </is>
      </c>
    </row>
    <row r="195">
      <c r="B195" s="0" t="inlineStr">
        <is>
          <t>NULL</t>
        </is>
      </c>
      <c r="C195" s="0" t="inlineStr">
        <is>
          <t>NULL</t>
        </is>
      </c>
      <c r="D195" s="0" t="inlineStr">
        <is>
          <t>NULL</t>
        </is>
      </c>
      <c r="E195" s="0" t="inlineStr">
        <is>
          <t>NULL</t>
        </is>
      </c>
      <c r="F195" s="0" t="inlineStr">
        <is>
          <t>NULL</t>
        </is>
      </c>
      <c r="G195" s="0" t="inlineStr">
        <is>
          <t>NULL</t>
        </is>
      </c>
      <c r="H195" s="0" t="inlineStr">
        <is>
          <t>NULL</t>
        </is>
      </c>
      <c r="I195" s="0" t="inlineStr">
        <is>
          <t>NULL</t>
        </is>
      </c>
      <c r="J195" s="0" t="inlineStr">
        <is>
          <t>NULL</t>
        </is>
      </c>
      <c r="K195" s="0" t="inlineStr">
        <is>
          <t xml:space="preserve"> NO!  	 c_nchar3500列源备映射错误，源端为nchar 7000位	期望更改为varchar(n)	实际备端为text 65535位</t>
        </is>
      </c>
    </row>
    <row r="196">
      <c r="A196" s="0" t="inlineStr">
        <is>
          <t>info_int_dml_single_nopk_urp</t>
        </is>
      </c>
      <c r="K196" s="0" t="inlineStr">
        <is>
          <t>[0;34m info_int_dml_single_nopk_urp [0m源备字段数相同，源端字段：20 	备端字段20</t>
        </is>
      </c>
      <c r="W196" s="0" t="inlineStr">
        <is>
          <t>YES 源备无差异</t>
        </is>
      </c>
      <c r="X196" s="0">
        <f>A196</f>
        <v/>
      </c>
    </row>
    <row r="197">
      <c r="B197" s="0" t="inlineStr">
        <is>
          <t>NULL</t>
        </is>
      </c>
      <c r="C197" s="0" t="inlineStr">
        <is>
          <t>NULL</t>
        </is>
      </c>
      <c r="D197" s="0" t="inlineStr">
        <is>
          <t>NULL</t>
        </is>
      </c>
      <c r="E197" s="0" t="inlineStr">
        <is>
          <t>NULL</t>
        </is>
      </c>
      <c r="F197" s="0" t="inlineStr">
        <is>
          <t>NULL</t>
        </is>
      </c>
      <c r="G197" s="0" t="inlineStr">
        <is>
          <t>NULL</t>
        </is>
      </c>
      <c r="H197" s="0" t="inlineStr">
        <is>
          <t>NULL</t>
        </is>
      </c>
      <c r="I197" s="0" t="inlineStr">
        <is>
          <t>NULL</t>
        </is>
      </c>
      <c r="J197" s="0" t="inlineStr">
        <is>
          <t>NULL</t>
        </is>
      </c>
      <c r="K197" s="0" t="inlineStr">
        <is>
          <t>YES! 	 id列源备映射正确，源端为int None位	期望更改为int	实际备端为int None位</t>
        </is>
      </c>
    </row>
    <row r="198">
      <c r="B198" s="0" t="inlineStr">
        <is>
          <t>NULL</t>
        </is>
      </c>
      <c r="C198" s="0" t="inlineStr">
        <is>
          <t>NULL</t>
        </is>
      </c>
      <c r="D198" s="0" t="inlineStr">
        <is>
          <t>NULL</t>
        </is>
      </c>
      <c r="E198" s="0" t="inlineStr">
        <is>
          <t>NULL</t>
        </is>
      </c>
      <c r="F198" s="0" t="inlineStr">
        <is>
          <t>NULL</t>
        </is>
      </c>
      <c r="G198" s="0" t="inlineStr">
        <is>
          <t>NULL</t>
        </is>
      </c>
      <c r="H198" s="0" t="inlineStr">
        <is>
          <t>NULL</t>
        </is>
      </c>
      <c r="I198" s="0" t="inlineStr">
        <is>
          <t>NULL</t>
        </is>
      </c>
      <c r="J198" s="0" t="inlineStr">
        <is>
          <t>NULL</t>
        </is>
      </c>
      <c r="K198" s="0" t="inlineStr">
        <is>
          <t>YES! 	 c_tinyint列源备映射正确，源端为tinyint None位	期望更改为tinyint	实际备端为tinyint None位</t>
        </is>
      </c>
    </row>
    <row r="199">
      <c r="B199" s="0" t="inlineStr">
        <is>
          <t>NULL</t>
        </is>
      </c>
      <c r="C199" s="0" t="inlineStr">
        <is>
          <t>NULL</t>
        </is>
      </c>
      <c r="D199" s="0" t="inlineStr">
        <is>
          <t>NULL</t>
        </is>
      </c>
      <c r="E199" s="0" t="inlineStr">
        <is>
          <t>NULL</t>
        </is>
      </c>
      <c r="F199" s="0" t="inlineStr">
        <is>
          <t>NULL</t>
        </is>
      </c>
      <c r="G199" s="0" t="inlineStr">
        <is>
          <t>NULL</t>
        </is>
      </c>
      <c r="H199" s="0" t="inlineStr">
        <is>
          <t>NULL</t>
        </is>
      </c>
      <c r="I199" s="0" t="inlineStr">
        <is>
          <t>NULL</t>
        </is>
      </c>
      <c r="J199" s="0" t="inlineStr">
        <is>
          <t>NULL</t>
        </is>
      </c>
      <c r="K199" s="0" t="inlineStr">
        <is>
          <t>YES! 	 c_smallint列源备映射正确，源端为smallint None位	期望更改为smallint	实际备端为smallint None位</t>
        </is>
      </c>
    </row>
    <row r="200">
      <c r="B200" s="0" t="inlineStr">
        <is>
          <t>NULL</t>
        </is>
      </c>
      <c r="C200" s="0" t="inlineStr">
        <is>
          <t>NULL</t>
        </is>
      </c>
      <c r="D200" s="0" t="inlineStr">
        <is>
          <t>NULL</t>
        </is>
      </c>
      <c r="E200" s="0" t="inlineStr">
        <is>
          <t>NULL</t>
        </is>
      </c>
      <c r="F200" s="0" t="inlineStr">
        <is>
          <t>NULL</t>
        </is>
      </c>
      <c r="G200" s="0" t="inlineStr">
        <is>
          <t>NULL</t>
        </is>
      </c>
      <c r="H200" s="0" t="inlineStr">
        <is>
          <t>NULL</t>
        </is>
      </c>
      <c r="I200" s="0" t="inlineStr">
        <is>
          <t>NULL</t>
        </is>
      </c>
      <c r="J200" s="0" t="inlineStr">
        <is>
          <t>NULL</t>
        </is>
      </c>
      <c r="K200" s="0" t="inlineStr">
        <is>
          <t>YES! 	 c_int列源备映射正确，源端为int None位	期望更改为int	实际备端为int None位</t>
        </is>
      </c>
    </row>
    <row r="201">
      <c r="B201" s="0" t="inlineStr">
        <is>
          <t>NULL</t>
        </is>
      </c>
      <c r="C201" s="0" t="inlineStr">
        <is>
          <t>NULL</t>
        </is>
      </c>
      <c r="D201" s="0" t="inlineStr">
        <is>
          <t>NULL</t>
        </is>
      </c>
      <c r="E201" s="0" t="inlineStr">
        <is>
          <t>NULL</t>
        </is>
      </c>
      <c r="F201" s="0" t="inlineStr">
        <is>
          <t>NULL</t>
        </is>
      </c>
      <c r="G201" s="0" t="inlineStr">
        <is>
          <t>NULL</t>
        </is>
      </c>
      <c r="H201" s="0" t="inlineStr">
        <is>
          <t>NULL</t>
        </is>
      </c>
      <c r="I201" s="0" t="inlineStr">
        <is>
          <t>NULL</t>
        </is>
      </c>
      <c r="J201" s="0" t="inlineStr">
        <is>
          <t>NULL</t>
        </is>
      </c>
      <c r="K201" s="0" t="inlineStr">
        <is>
          <t>YES! 	 c_bigint列源备映射正确，源端为bigint None位	期望更改为bigint	实际备端为bigint None位</t>
        </is>
      </c>
    </row>
    <row r="202">
      <c r="B202" s="0" t="inlineStr">
        <is>
          <t>NULL</t>
        </is>
      </c>
      <c r="C202" s="0" t="inlineStr">
        <is>
          <t>NULL</t>
        </is>
      </c>
      <c r="D202" s="0" t="inlineStr">
        <is>
          <t>NULL</t>
        </is>
      </c>
      <c r="E202" s="0" t="inlineStr">
        <is>
          <t>NULL</t>
        </is>
      </c>
      <c r="F202" s="0" t="inlineStr">
        <is>
          <t>NULL</t>
        </is>
      </c>
      <c r="G202" s="0" t="inlineStr">
        <is>
          <t>NULL</t>
        </is>
      </c>
      <c r="H202" s="0" t="inlineStr">
        <is>
          <t>NULL</t>
        </is>
      </c>
      <c r="I202" s="0" t="inlineStr">
        <is>
          <t>NULL</t>
        </is>
      </c>
      <c r="J202" s="0" t="inlineStr">
        <is>
          <t>NULL</t>
        </is>
      </c>
      <c r="K202" s="0" t="inlineStr">
        <is>
          <t>YES! 	 c_decimal列源备映射正确，源端为decimal None位	期望更改为decimal(p,s)	实际备端为decimal None位</t>
        </is>
      </c>
    </row>
    <row r="203">
      <c r="B203" s="0" t="inlineStr">
        <is>
          <t>NULL</t>
        </is>
      </c>
      <c r="C203" s="0" t="inlineStr">
        <is>
          <t>NULL</t>
        </is>
      </c>
      <c r="D203" s="0" t="inlineStr">
        <is>
          <t>NULL</t>
        </is>
      </c>
      <c r="E203" s="0" t="inlineStr">
        <is>
          <t>NULL</t>
        </is>
      </c>
      <c r="F203" s="0" t="inlineStr">
        <is>
          <t>NULL</t>
        </is>
      </c>
      <c r="G203" s="0" t="inlineStr">
        <is>
          <t>NULL</t>
        </is>
      </c>
      <c r="H203" s="0" t="inlineStr">
        <is>
          <t>NULL</t>
        </is>
      </c>
      <c r="I203" s="0" t="inlineStr">
        <is>
          <t>NULL</t>
        </is>
      </c>
      <c r="J203" s="0" t="inlineStr">
        <is>
          <t>NULL</t>
        </is>
      </c>
      <c r="K203" s="0" t="inlineStr">
        <is>
          <t>YES! 	 c_decimal38列源备映射正确，源端为decimal None位	期望更改为decimal(p,s)	实际备端为decimal None位</t>
        </is>
      </c>
    </row>
    <row r="204">
      <c r="B204" s="0" t="inlineStr">
        <is>
          <t>NULL</t>
        </is>
      </c>
      <c r="C204" s="0" t="inlineStr">
        <is>
          <t>NULL</t>
        </is>
      </c>
      <c r="D204" s="0" t="inlineStr">
        <is>
          <t>NULL</t>
        </is>
      </c>
      <c r="E204" s="0" t="inlineStr">
        <is>
          <t>NULL</t>
        </is>
      </c>
      <c r="F204" s="0" t="inlineStr">
        <is>
          <t>NULL</t>
        </is>
      </c>
      <c r="G204" s="0" t="inlineStr">
        <is>
          <t>NULL</t>
        </is>
      </c>
      <c r="H204" s="0" t="inlineStr">
        <is>
          <t>NULL</t>
        </is>
      </c>
      <c r="I204" s="0" t="inlineStr">
        <is>
          <t>NULL</t>
        </is>
      </c>
      <c r="J204" s="0" t="inlineStr">
        <is>
          <t>NULL</t>
        </is>
      </c>
      <c r="K204" s="0" t="inlineStr">
        <is>
          <t xml:space="preserve"> NO!  	 c_decimal38_38列源备映射错误，源端为decimal None位	期望更改为decimal(p,s)	实际备端为varchar 168位</t>
        </is>
      </c>
    </row>
    <row r="205">
      <c r="B205" s="0" t="inlineStr">
        <is>
          <t>NULL</t>
        </is>
      </c>
      <c r="C205" s="0" t="inlineStr">
        <is>
          <t>NULL</t>
        </is>
      </c>
      <c r="D205" s="0" t="inlineStr">
        <is>
          <t>NULL</t>
        </is>
      </c>
      <c r="E205" s="0" t="inlineStr">
        <is>
          <t>NULL</t>
        </is>
      </c>
      <c r="F205" s="0" t="inlineStr">
        <is>
          <t>NULL</t>
        </is>
      </c>
      <c r="G205" s="0" t="inlineStr">
        <is>
          <t>NULL</t>
        </is>
      </c>
      <c r="H205" s="0" t="inlineStr">
        <is>
          <t>NULL</t>
        </is>
      </c>
      <c r="I205" s="0" t="inlineStr">
        <is>
          <t>NULL</t>
        </is>
      </c>
      <c r="J205" s="0" t="inlineStr">
        <is>
          <t>NULL</t>
        </is>
      </c>
      <c r="K205" s="0" t="inlineStr">
        <is>
          <t>YES! 	 c_decimal38_10列源备映射正确，源端为decimal None位	期望更改为decimal(p,s)	实际备端为decimal None位</t>
        </is>
      </c>
    </row>
    <row r="206">
      <c r="B206" s="0" t="inlineStr">
        <is>
          <t>NULL</t>
        </is>
      </c>
      <c r="C206" s="0" t="inlineStr">
        <is>
          <t>NULL</t>
        </is>
      </c>
      <c r="D206" s="0" t="inlineStr">
        <is>
          <t>NULL</t>
        </is>
      </c>
      <c r="E206" s="0" t="inlineStr">
        <is>
          <t>NULL</t>
        </is>
      </c>
      <c r="F206" s="0" t="inlineStr">
        <is>
          <t>NULL</t>
        </is>
      </c>
      <c r="G206" s="0" t="inlineStr">
        <is>
          <t>NULL</t>
        </is>
      </c>
      <c r="H206" s="0" t="inlineStr">
        <is>
          <t>NULL</t>
        </is>
      </c>
      <c r="I206" s="0" t="inlineStr">
        <is>
          <t>NULL</t>
        </is>
      </c>
      <c r="J206" s="0" t="inlineStr">
        <is>
          <t>NULL</t>
        </is>
      </c>
      <c r="K206" s="0" t="inlineStr">
        <is>
          <t>YES! 	 c_decimal19_4列源备映射正确，源端为decimal None位	期望更改为decimal(p,s)	实际备端为decimal None位</t>
        </is>
      </c>
    </row>
    <row r="207">
      <c r="B207" s="0" t="inlineStr">
        <is>
          <t>NULL</t>
        </is>
      </c>
      <c r="C207" s="0" t="inlineStr">
        <is>
          <t>NULL</t>
        </is>
      </c>
      <c r="D207" s="0" t="inlineStr">
        <is>
          <t>NULL</t>
        </is>
      </c>
      <c r="E207" s="0" t="inlineStr">
        <is>
          <t>NULL</t>
        </is>
      </c>
      <c r="F207" s="0" t="inlineStr">
        <is>
          <t>NULL</t>
        </is>
      </c>
      <c r="G207" s="0" t="inlineStr">
        <is>
          <t>NULL</t>
        </is>
      </c>
      <c r="H207" s="0" t="inlineStr">
        <is>
          <t>NULL</t>
        </is>
      </c>
      <c r="I207" s="0" t="inlineStr">
        <is>
          <t>NULL</t>
        </is>
      </c>
      <c r="J207" s="0" t="inlineStr">
        <is>
          <t>NULL</t>
        </is>
      </c>
      <c r="K207" s="0" t="inlineStr">
        <is>
          <t>YES! 	 c_numeric列源备映射正确，源端为numeric None位	期望更改为decimal(p,s)	实际备端为decimal None位</t>
        </is>
      </c>
    </row>
    <row r="208">
      <c r="B208" s="0" t="inlineStr">
        <is>
          <t>NULL</t>
        </is>
      </c>
      <c r="C208" s="0" t="inlineStr">
        <is>
          <t>NULL</t>
        </is>
      </c>
      <c r="D208" s="0" t="inlineStr">
        <is>
          <t>NULL</t>
        </is>
      </c>
      <c r="E208" s="0" t="inlineStr">
        <is>
          <t>NULL</t>
        </is>
      </c>
      <c r="F208" s="0" t="inlineStr">
        <is>
          <t>NULL</t>
        </is>
      </c>
      <c r="G208" s="0" t="inlineStr">
        <is>
          <t>NULL</t>
        </is>
      </c>
      <c r="H208" s="0" t="inlineStr">
        <is>
          <t>NULL</t>
        </is>
      </c>
      <c r="I208" s="0" t="inlineStr">
        <is>
          <t>NULL</t>
        </is>
      </c>
      <c r="J208" s="0" t="inlineStr">
        <is>
          <t>NULL</t>
        </is>
      </c>
      <c r="K208" s="0" t="inlineStr">
        <is>
          <t>YES! 	 c_numeric38列源备映射正确，源端为numeric None位	期望更改为decimal(p,s)	实际备端为decimal None位</t>
        </is>
      </c>
    </row>
    <row r="209">
      <c r="B209" s="0" t="inlineStr">
        <is>
          <t>NULL</t>
        </is>
      </c>
      <c r="C209" s="0" t="inlineStr">
        <is>
          <t>NULL</t>
        </is>
      </c>
      <c r="D209" s="0" t="inlineStr">
        <is>
          <t>NULL</t>
        </is>
      </c>
      <c r="E209" s="0" t="inlineStr">
        <is>
          <t>NULL</t>
        </is>
      </c>
      <c r="F209" s="0" t="inlineStr">
        <is>
          <t>NULL</t>
        </is>
      </c>
      <c r="G209" s="0" t="inlineStr">
        <is>
          <t>NULL</t>
        </is>
      </c>
      <c r="H209" s="0" t="inlineStr">
        <is>
          <t>NULL</t>
        </is>
      </c>
      <c r="I209" s="0" t="inlineStr">
        <is>
          <t>NULL</t>
        </is>
      </c>
      <c r="J209" s="0" t="inlineStr">
        <is>
          <t>NULL</t>
        </is>
      </c>
      <c r="K209" s="0" t="inlineStr">
        <is>
          <t xml:space="preserve"> NO!  	 c_numeric38_38列源备映射错误，源端为numeric None位	期望更改为decimal(p,s)	实际备端为varchar 168位</t>
        </is>
      </c>
    </row>
    <row r="210">
      <c r="B210" s="0" t="inlineStr">
        <is>
          <t>NULL</t>
        </is>
      </c>
      <c r="C210" s="0" t="inlineStr">
        <is>
          <t>NULL</t>
        </is>
      </c>
      <c r="D210" s="0" t="inlineStr">
        <is>
          <t>NULL</t>
        </is>
      </c>
      <c r="E210" s="0" t="inlineStr">
        <is>
          <t>NULL</t>
        </is>
      </c>
      <c r="F210" s="0" t="inlineStr">
        <is>
          <t>NULL</t>
        </is>
      </c>
      <c r="G210" s="0" t="inlineStr">
        <is>
          <t>NULL</t>
        </is>
      </c>
      <c r="H210" s="0" t="inlineStr">
        <is>
          <t>NULL</t>
        </is>
      </c>
      <c r="I210" s="0" t="inlineStr">
        <is>
          <t>NULL</t>
        </is>
      </c>
      <c r="J210" s="0" t="inlineStr">
        <is>
          <t>NULL</t>
        </is>
      </c>
      <c r="K210" s="0" t="inlineStr">
        <is>
          <t>YES! 	 c_numeric38_10列源备映射正确，源端为numeric None位	期望更改为decimal(p,s)	实际备端为decimal None位</t>
        </is>
      </c>
    </row>
    <row r="211">
      <c r="B211" s="0" t="inlineStr">
        <is>
          <t>NULL</t>
        </is>
      </c>
      <c r="C211" s="0" t="inlineStr">
        <is>
          <t>NULL</t>
        </is>
      </c>
      <c r="D211" s="0" t="inlineStr">
        <is>
          <t>NULL</t>
        </is>
      </c>
      <c r="E211" s="0" t="inlineStr">
        <is>
          <t>NULL</t>
        </is>
      </c>
      <c r="F211" s="0" t="inlineStr">
        <is>
          <t>NULL</t>
        </is>
      </c>
      <c r="G211" s="0" t="inlineStr">
        <is>
          <t>NULL</t>
        </is>
      </c>
      <c r="H211" s="0" t="inlineStr">
        <is>
          <t>NULL</t>
        </is>
      </c>
      <c r="I211" s="0" t="inlineStr">
        <is>
          <t>NULL</t>
        </is>
      </c>
      <c r="J211" s="0" t="inlineStr">
        <is>
          <t>NULL</t>
        </is>
      </c>
      <c r="K211" s="0" t="inlineStr">
        <is>
          <t>YES! 	 c_numeric18_2列源备映射正确，源端为numeric None位	期望更改为decimal(p,s)	实际备端为decimal None位</t>
        </is>
      </c>
    </row>
    <row r="212">
      <c r="B212" s="0" t="inlineStr">
        <is>
          <t>NULL</t>
        </is>
      </c>
      <c r="C212" s="0" t="inlineStr">
        <is>
          <t>NULL</t>
        </is>
      </c>
      <c r="D212" s="0" t="inlineStr">
        <is>
          <t>NULL</t>
        </is>
      </c>
      <c r="E212" s="0" t="inlineStr">
        <is>
          <t>NULL</t>
        </is>
      </c>
      <c r="F212" s="0" t="inlineStr">
        <is>
          <t>NULL</t>
        </is>
      </c>
      <c r="G212" s="0" t="inlineStr">
        <is>
          <t>NULL</t>
        </is>
      </c>
      <c r="H212" s="0" t="inlineStr">
        <is>
          <t>NULL</t>
        </is>
      </c>
      <c r="I212" s="0" t="inlineStr">
        <is>
          <t>NULL</t>
        </is>
      </c>
      <c r="J212" s="0" t="inlineStr">
        <is>
          <t>NULL</t>
        </is>
      </c>
      <c r="K212" s="0" t="inlineStr">
        <is>
          <t>YES! 	 c_float列源备映射正确，源端为float None位	期望更改为double	实际备端为double None位</t>
        </is>
      </c>
    </row>
    <row r="213">
      <c r="B213" s="0" t="inlineStr">
        <is>
          <t>NULL</t>
        </is>
      </c>
      <c r="C213" s="0" t="inlineStr">
        <is>
          <t>NULL</t>
        </is>
      </c>
      <c r="D213" s="0" t="inlineStr">
        <is>
          <t>NULL</t>
        </is>
      </c>
      <c r="E213" s="0" t="inlineStr">
        <is>
          <t>NULL</t>
        </is>
      </c>
      <c r="F213" s="0" t="inlineStr">
        <is>
          <t>NULL</t>
        </is>
      </c>
      <c r="G213" s="0" t="inlineStr">
        <is>
          <t>NULL</t>
        </is>
      </c>
      <c r="H213" s="0" t="inlineStr">
        <is>
          <t>NULL</t>
        </is>
      </c>
      <c r="I213" s="0" t="inlineStr">
        <is>
          <t>NULL</t>
        </is>
      </c>
      <c r="J213" s="0" t="inlineStr">
        <is>
          <t>NULL</t>
        </is>
      </c>
      <c r="K213" s="0" t="inlineStr">
        <is>
          <t>YES! 	 c_real列源备映射正确，源端为real None位	期望更改为double	实际备端为double None位</t>
        </is>
      </c>
    </row>
    <row r="214">
      <c r="B214" s="0" t="inlineStr">
        <is>
          <t>NULL</t>
        </is>
      </c>
      <c r="C214" s="0" t="inlineStr">
        <is>
          <t>NULL</t>
        </is>
      </c>
      <c r="D214" s="0" t="inlineStr">
        <is>
          <t>NULL</t>
        </is>
      </c>
      <c r="E214" s="0" t="inlineStr">
        <is>
          <t>NULL</t>
        </is>
      </c>
      <c r="F214" s="0" t="inlineStr">
        <is>
          <t>NULL</t>
        </is>
      </c>
      <c r="G214" s="0" t="inlineStr">
        <is>
          <t>NULL</t>
        </is>
      </c>
      <c r="H214" s="0" t="inlineStr">
        <is>
          <t>NULL</t>
        </is>
      </c>
      <c r="I214" s="0" t="inlineStr">
        <is>
          <t>NULL</t>
        </is>
      </c>
      <c r="J214" s="0" t="inlineStr">
        <is>
          <t>NULL</t>
        </is>
      </c>
      <c r="K214" s="0" t="inlineStr">
        <is>
          <t>YES! 	 c_money列源备映射正确，源端为money None位	期望更改为decimal(19,4)	实际备端为decimal None位</t>
        </is>
      </c>
    </row>
    <row r="215">
      <c r="B215" s="0" t="inlineStr">
        <is>
          <t>NULL</t>
        </is>
      </c>
      <c r="C215" s="0" t="inlineStr">
        <is>
          <t>NULL</t>
        </is>
      </c>
      <c r="D215" s="0" t="inlineStr">
        <is>
          <t>NULL</t>
        </is>
      </c>
      <c r="E215" s="0" t="inlineStr">
        <is>
          <t>NULL</t>
        </is>
      </c>
      <c r="F215" s="0" t="inlineStr">
        <is>
          <t>NULL</t>
        </is>
      </c>
      <c r="G215" s="0" t="inlineStr">
        <is>
          <t>NULL</t>
        </is>
      </c>
      <c r="H215" s="0" t="inlineStr">
        <is>
          <t>NULL</t>
        </is>
      </c>
      <c r="I215" s="0" t="inlineStr">
        <is>
          <t>NULL</t>
        </is>
      </c>
      <c r="J215" s="0" t="inlineStr">
        <is>
          <t>NULL</t>
        </is>
      </c>
      <c r="K215" s="0" t="inlineStr">
        <is>
          <t>YES! 	 c_smallmoney列源备映射正确，源端为smallmoney None位	期望更改为decimal(10,4)	实际备端为decimal None位</t>
        </is>
      </c>
    </row>
    <row r="216">
      <c r="B216" s="0" t="inlineStr">
        <is>
          <t>NULL</t>
        </is>
      </c>
      <c r="C216" s="0" t="inlineStr">
        <is>
          <t>NO!源None备NUL</t>
        </is>
      </c>
      <c r="D216" s="0" t="inlineStr">
        <is>
          <t>NULL</t>
        </is>
      </c>
      <c r="E216" s="0" t="inlineStr">
        <is>
          <t>NULL</t>
        </is>
      </c>
      <c r="F216" s="0" t="inlineStr">
        <is>
          <t>NULL</t>
        </is>
      </c>
      <c r="G216" s="0" t="inlineStr">
        <is>
          <t>NULL</t>
        </is>
      </c>
      <c r="H216" s="0" t="inlineStr">
        <is>
          <t>NULL</t>
        </is>
      </c>
      <c r="I216" s="0" t="inlineStr">
        <is>
          <t>NULL</t>
        </is>
      </c>
      <c r="J216" s="0" t="inlineStr">
        <is>
          <t>NULL</t>
        </is>
      </c>
      <c r="K216" s="0" t="inlineStr">
        <is>
          <t>YES! 	 c_bit列源备映射正确，源端为bit None位	期望更改为tinyint(1) 	实际备端为tinyint None位</t>
        </is>
      </c>
    </row>
    <row r="217">
      <c r="K217" s="0" t="inlineStr">
        <is>
          <t>[0;31m NO! [0m 	  行数不同,源5行,备端空表</t>
        </is>
      </c>
    </row>
    <row r="218">
      <c r="A218" s="0" t="inlineStr">
        <is>
          <t>info_varchar_dml_batch2_pk_irp1</t>
        </is>
      </c>
      <c r="K218" s="0" t="inlineStr">
        <is>
          <t>[0;34m info_varchar_dml_batch2_pk_irp1 [0m源备字段数相同，源端字段：4 	备端字段4</t>
        </is>
      </c>
      <c r="W218" s="0" t="inlineStr">
        <is>
          <t>YES 源备无差异</t>
        </is>
      </c>
      <c r="X218" s="0">
        <f>A218</f>
        <v/>
      </c>
    </row>
    <row r="219">
      <c r="B219" s="0" t="inlineStr">
        <is>
          <t>NO! 主键不正常，源YES备None</t>
        </is>
      </c>
      <c r="C219" s="0" t="inlineStr">
        <is>
          <t>NULL</t>
        </is>
      </c>
      <c r="D219" s="0" t="inlineStr">
        <is>
          <t>NULL</t>
        </is>
      </c>
      <c r="E219" s="0" t="inlineStr">
        <is>
          <t>NULL</t>
        </is>
      </c>
      <c r="F219" s="0" t="inlineStr">
        <is>
          <t>NULL</t>
        </is>
      </c>
      <c r="G219" s="0" t="inlineStr">
        <is>
          <t>NULL</t>
        </is>
      </c>
      <c r="H219" s="0" t="inlineStr">
        <is>
          <t>NULL</t>
        </is>
      </c>
      <c r="I219" s="0" t="inlineStr">
        <is>
          <t>NO! 源备索引不一致源PK__info_var__3213E83FAC523603备None</t>
        </is>
      </c>
      <c r="J219" s="0" t="inlineStr">
        <is>
          <t>NULL</t>
        </is>
      </c>
      <c r="K219" s="0" t="inlineStr">
        <is>
          <t>YES! 	 id列源备映射正确，源端为int None位	期望更改为int	实际备端为int None位</t>
        </is>
      </c>
    </row>
    <row r="220">
      <c r="B220" s="0" t="inlineStr">
        <is>
          <t>NULL</t>
        </is>
      </c>
      <c r="C220" s="0" t="inlineStr">
        <is>
          <t>NULL</t>
        </is>
      </c>
      <c r="D220" s="0" t="inlineStr">
        <is>
          <t>NULL</t>
        </is>
      </c>
      <c r="E220" s="0" t="inlineStr">
        <is>
          <t>NULL</t>
        </is>
      </c>
      <c r="F220" s="0" t="inlineStr">
        <is>
          <t>NULL</t>
        </is>
      </c>
      <c r="G220" s="0" t="inlineStr">
        <is>
          <t>NULL</t>
        </is>
      </c>
      <c r="H220" s="0" t="inlineStr">
        <is>
          <t>NULL</t>
        </is>
      </c>
      <c r="I220" s="0" t="inlineStr">
        <is>
          <t>NULL</t>
        </is>
      </c>
      <c r="J220" s="0" t="inlineStr">
        <is>
          <t>NULL</t>
        </is>
      </c>
      <c r="K220" s="0" t="inlineStr">
        <is>
          <t>YES! 	 c_varchar列源备映射正确，源端为varchar 1位	期望更改为varchar(n)	实际备端为varchar 4位</t>
        </is>
      </c>
    </row>
    <row r="221">
      <c r="B221" s="0" t="inlineStr">
        <is>
          <t>NULL</t>
        </is>
      </c>
      <c r="C221" s="0" t="inlineStr">
        <is>
          <t>NULL</t>
        </is>
      </c>
      <c r="D221" s="0" t="inlineStr">
        <is>
          <t>NULL</t>
        </is>
      </c>
      <c r="E221" s="0" t="inlineStr">
        <is>
          <t>NULL</t>
        </is>
      </c>
      <c r="F221" s="0" t="inlineStr">
        <is>
          <t>NULL</t>
        </is>
      </c>
      <c r="G221" s="0" t="inlineStr">
        <is>
          <t>NULL</t>
        </is>
      </c>
      <c r="H221" s="0" t="inlineStr">
        <is>
          <t>NULL</t>
        </is>
      </c>
      <c r="I221" s="0" t="inlineStr">
        <is>
          <t>NULL</t>
        </is>
      </c>
      <c r="J221" s="0" t="inlineStr">
        <is>
          <t>NULL</t>
        </is>
      </c>
      <c r="K221" s="0" t="inlineStr">
        <is>
          <t>YES! 	 c_varchar20列源备映射正确，源端为varchar 20位	期望更改为varchar(n)	实际备端为varchar 80位</t>
        </is>
      </c>
    </row>
    <row r="222">
      <c r="B222" s="0" t="inlineStr">
        <is>
          <t>NULL</t>
        </is>
      </c>
      <c r="C222" s="0" t="inlineStr">
        <is>
          <t>NULL</t>
        </is>
      </c>
      <c r="D222" s="0" t="inlineStr">
        <is>
          <t>NULL</t>
        </is>
      </c>
      <c r="E222" s="0" t="inlineStr">
        <is>
          <t>NULL</t>
        </is>
      </c>
      <c r="F222" s="0" t="inlineStr">
        <is>
          <t>NULL</t>
        </is>
      </c>
      <c r="G222" s="0" t="inlineStr">
        <is>
          <t>NULL</t>
        </is>
      </c>
      <c r="H222" s="0" t="inlineStr">
        <is>
          <t>NULL</t>
        </is>
      </c>
      <c r="I222" s="0" t="inlineStr">
        <is>
          <t>NULL</t>
        </is>
      </c>
      <c r="J222" s="0" t="inlineStr">
        <is>
          <t>NULL</t>
        </is>
      </c>
      <c r="K222" s="0" t="inlineStr">
        <is>
          <t xml:space="preserve"> NO!  	 c_varchar8000列源备映射错误，源端为varchar 8000位	期望更改为longtext	实际备端为text 65535位</t>
        </is>
      </c>
    </row>
    <row r="223">
      <c r="K223" s="0" t="inlineStr">
        <is>
          <t>[0;31m NO! [0m 	  行数不同,源9行,备端空表</t>
        </is>
      </c>
    </row>
    <row r="224">
      <c r="A224" s="0" t="inlineStr">
        <is>
          <t>info_int_dml_single_nopk_irp</t>
        </is>
      </c>
      <c r="K224" s="0" t="inlineStr">
        <is>
          <t>[0;34m info_int_dml_single_nopk_irp [0m源备字段数相同，源端字段：20 	备端字段20</t>
        </is>
      </c>
      <c r="W224" s="0" t="inlineStr">
        <is>
          <t>YES 源备无差异</t>
        </is>
      </c>
      <c r="X224" s="0">
        <f>A224</f>
        <v/>
      </c>
    </row>
    <row r="225">
      <c r="B225" s="0" t="inlineStr">
        <is>
          <t>NULL</t>
        </is>
      </c>
      <c r="C225" s="0" t="inlineStr">
        <is>
          <t>NULL</t>
        </is>
      </c>
      <c r="D225" s="0" t="inlineStr">
        <is>
          <t>NULL</t>
        </is>
      </c>
      <c r="E225" s="0" t="inlineStr">
        <is>
          <t>NULL</t>
        </is>
      </c>
      <c r="F225" s="0" t="inlineStr">
        <is>
          <t>NULL</t>
        </is>
      </c>
      <c r="G225" s="0" t="inlineStr">
        <is>
          <t>NULL</t>
        </is>
      </c>
      <c r="H225" s="0" t="inlineStr">
        <is>
          <t>NULL</t>
        </is>
      </c>
      <c r="I225" s="0" t="inlineStr">
        <is>
          <t>NULL</t>
        </is>
      </c>
      <c r="J225" s="0" t="inlineStr">
        <is>
          <t>NULL</t>
        </is>
      </c>
      <c r="K225" s="0" t="inlineStr">
        <is>
          <t>YES! 	 id列源备映射正确，源端为int None位	期望更改为int	实际备端为int None位</t>
        </is>
      </c>
    </row>
    <row r="226">
      <c r="B226" s="0" t="inlineStr">
        <is>
          <t>NULL</t>
        </is>
      </c>
      <c r="C226" s="0" t="inlineStr">
        <is>
          <t>NULL</t>
        </is>
      </c>
      <c r="D226" s="0" t="inlineStr">
        <is>
          <t>NULL</t>
        </is>
      </c>
      <c r="E226" s="0" t="inlineStr">
        <is>
          <t>NULL</t>
        </is>
      </c>
      <c r="F226" s="0" t="inlineStr">
        <is>
          <t>NULL</t>
        </is>
      </c>
      <c r="G226" s="0" t="inlineStr">
        <is>
          <t>NULL</t>
        </is>
      </c>
      <c r="H226" s="0" t="inlineStr">
        <is>
          <t>NULL</t>
        </is>
      </c>
      <c r="I226" s="0" t="inlineStr">
        <is>
          <t>NULL</t>
        </is>
      </c>
      <c r="J226" s="0" t="inlineStr">
        <is>
          <t>NULL</t>
        </is>
      </c>
      <c r="K226" s="0" t="inlineStr">
        <is>
          <t>YES! 	 c_tinyint列源备映射正确，源端为tinyint None位	期望更改为tinyint	实际备端为tinyint None位</t>
        </is>
      </c>
    </row>
    <row r="227">
      <c r="B227" s="0" t="inlineStr">
        <is>
          <t>NULL</t>
        </is>
      </c>
      <c r="C227" s="0" t="inlineStr">
        <is>
          <t>NULL</t>
        </is>
      </c>
      <c r="D227" s="0" t="inlineStr">
        <is>
          <t>NULL</t>
        </is>
      </c>
      <c r="E227" s="0" t="inlineStr">
        <is>
          <t>NULL</t>
        </is>
      </c>
      <c r="F227" s="0" t="inlineStr">
        <is>
          <t>NULL</t>
        </is>
      </c>
      <c r="G227" s="0" t="inlineStr">
        <is>
          <t>NULL</t>
        </is>
      </c>
      <c r="H227" s="0" t="inlineStr">
        <is>
          <t>NULL</t>
        </is>
      </c>
      <c r="I227" s="0" t="inlineStr">
        <is>
          <t>NULL</t>
        </is>
      </c>
      <c r="J227" s="0" t="inlineStr">
        <is>
          <t>NULL</t>
        </is>
      </c>
      <c r="K227" s="0" t="inlineStr">
        <is>
          <t>YES! 	 c_smallint列源备映射正确，源端为smallint None位	期望更改为smallint	实际备端为smallint None位</t>
        </is>
      </c>
    </row>
    <row r="228">
      <c r="B228" s="0" t="inlineStr">
        <is>
          <t>NULL</t>
        </is>
      </c>
      <c r="C228" s="0" t="inlineStr">
        <is>
          <t>NULL</t>
        </is>
      </c>
      <c r="D228" s="0" t="inlineStr">
        <is>
          <t>NULL</t>
        </is>
      </c>
      <c r="E228" s="0" t="inlineStr">
        <is>
          <t>NULL</t>
        </is>
      </c>
      <c r="F228" s="0" t="inlineStr">
        <is>
          <t>NULL</t>
        </is>
      </c>
      <c r="G228" s="0" t="inlineStr">
        <is>
          <t>NULL</t>
        </is>
      </c>
      <c r="H228" s="0" t="inlineStr">
        <is>
          <t>NULL</t>
        </is>
      </c>
      <c r="I228" s="0" t="inlineStr">
        <is>
          <t>NULL</t>
        </is>
      </c>
      <c r="J228" s="0" t="inlineStr">
        <is>
          <t>NULL</t>
        </is>
      </c>
      <c r="K228" s="0" t="inlineStr">
        <is>
          <t>YES! 	 c_int列源备映射正确，源端为int None位	期望更改为int	实际备端为int None位</t>
        </is>
      </c>
    </row>
    <row r="229">
      <c r="B229" s="0" t="inlineStr">
        <is>
          <t>NULL</t>
        </is>
      </c>
      <c r="C229" s="0" t="inlineStr">
        <is>
          <t>NULL</t>
        </is>
      </c>
      <c r="D229" s="0" t="inlineStr">
        <is>
          <t>NULL</t>
        </is>
      </c>
      <c r="E229" s="0" t="inlineStr">
        <is>
          <t>NULL</t>
        </is>
      </c>
      <c r="F229" s="0" t="inlineStr">
        <is>
          <t>NULL</t>
        </is>
      </c>
      <c r="G229" s="0" t="inlineStr">
        <is>
          <t>NULL</t>
        </is>
      </c>
      <c r="H229" s="0" t="inlineStr">
        <is>
          <t>NULL</t>
        </is>
      </c>
      <c r="I229" s="0" t="inlineStr">
        <is>
          <t>NULL</t>
        </is>
      </c>
      <c r="J229" s="0" t="inlineStr">
        <is>
          <t>NULL</t>
        </is>
      </c>
      <c r="K229" s="0" t="inlineStr">
        <is>
          <t>YES! 	 c_bigint列源备映射正确，源端为bigint None位	期望更改为bigint	实际备端为bigint None位</t>
        </is>
      </c>
    </row>
    <row r="230">
      <c r="B230" s="0" t="inlineStr">
        <is>
          <t>NULL</t>
        </is>
      </c>
      <c r="C230" s="0" t="inlineStr">
        <is>
          <t>NULL</t>
        </is>
      </c>
      <c r="D230" s="0" t="inlineStr">
        <is>
          <t>NULL</t>
        </is>
      </c>
      <c r="E230" s="0" t="inlineStr">
        <is>
          <t>NULL</t>
        </is>
      </c>
      <c r="F230" s="0" t="inlineStr">
        <is>
          <t>NULL</t>
        </is>
      </c>
      <c r="G230" s="0" t="inlineStr">
        <is>
          <t>NULL</t>
        </is>
      </c>
      <c r="H230" s="0" t="inlineStr">
        <is>
          <t>NULL</t>
        </is>
      </c>
      <c r="I230" s="0" t="inlineStr">
        <is>
          <t>NULL</t>
        </is>
      </c>
      <c r="J230" s="0" t="inlineStr">
        <is>
          <t>NULL</t>
        </is>
      </c>
      <c r="K230" s="0" t="inlineStr">
        <is>
          <t>YES! 	 c_decimal列源备映射正确，源端为decimal None位	期望更改为decimal(p,s)	实际备端为decimal None位</t>
        </is>
      </c>
    </row>
    <row r="231">
      <c r="B231" s="0" t="inlineStr">
        <is>
          <t>NULL</t>
        </is>
      </c>
      <c r="C231" s="0" t="inlineStr">
        <is>
          <t>NULL</t>
        </is>
      </c>
      <c r="D231" s="0" t="inlineStr">
        <is>
          <t>NULL</t>
        </is>
      </c>
      <c r="E231" s="0" t="inlineStr">
        <is>
          <t>NULL</t>
        </is>
      </c>
      <c r="F231" s="0" t="inlineStr">
        <is>
          <t>NULL</t>
        </is>
      </c>
      <c r="G231" s="0" t="inlineStr">
        <is>
          <t>NULL</t>
        </is>
      </c>
      <c r="H231" s="0" t="inlineStr">
        <is>
          <t>NULL</t>
        </is>
      </c>
      <c r="I231" s="0" t="inlineStr">
        <is>
          <t>NULL</t>
        </is>
      </c>
      <c r="J231" s="0" t="inlineStr">
        <is>
          <t>NULL</t>
        </is>
      </c>
      <c r="K231" s="0" t="inlineStr">
        <is>
          <t>YES! 	 c_decimal38列源备映射正确，源端为decimal None位	期望更改为decimal(p,s)	实际备端为decimal None位</t>
        </is>
      </c>
    </row>
    <row r="232">
      <c r="B232" s="0" t="inlineStr">
        <is>
          <t>NULL</t>
        </is>
      </c>
      <c r="C232" s="0" t="inlineStr">
        <is>
          <t>NULL</t>
        </is>
      </c>
      <c r="D232" s="0" t="inlineStr">
        <is>
          <t>NULL</t>
        </is>
      </c>
      <c r="E232" s="0" t="inlineStr">
        <is>
          <t>NULL</t>
        </is>
      </c>
      <c r="F232" s="0" t="inlineStr">
        <is>
          <t>NULL</t>
        </is>
      </c>
      <c r="G232" s="0" t="inlineStr">
        <is>
          <t>NULL</t>
        </is>
      </c>
      <c r="H232" s="0" t="inlineStr">
        <is>
          <t>NULL</t>
        </is>
      </c>
      <c r="I232" s="0" t="inlineStr">
        <is>
          <t>NULL</t>
        </is>
      </c>
      <c r="J232" s="0" t="inlineStr">
        <is>
          <t>NULL</t>
        </is>
      </c>
      <c r="K232" s="0" t="inlineStr">
        <is>
          <t xml:space="preserve"> NO!  	 c_decimal38_38列源备映射错误，源端为decimal None位	期望更改为decimal(p,s)	实际备端为varchar 168位</t>
        </is>
      </c>
    </row>
    <row r="233">
      <c r="B233" s="0" t="inlineStr">
        <is>
          <t>NULL</t>
        </is>
      </c>
      <c r="C233" s="0" t="inlineStr">
        <is>
          <t>NULL</t>
        </is>
      </c>
      <c r="D233" s="0" t="inlineStr">
        <is>
          <t>NULL</t>
        </is>
      </c>
      <c r="E233" s="0" t="inlineStr">
        <is>
          <t>NULL</t>
        </is>
      </c>
      <c r="F233" s="0" t="inlineStr">
        <is>
          <t>NULL</t>
        </is>
      </c>
      <c r="G233" s="0" t="inlineStr">
        <is>
          <t>NULL</t>
        </is>
      </c>
      <c r="H233" s="0" t="inlineStr">
        <is>
          <t>NULL</t>
        </is>
      </c>
      <c r="I233" s="0" t="inlineStr">
        <is>
          <t>NULL</t>
        </is>
      </c>
      <c r="J233" s="0" t="inlineStr">
        <is>
          <t>NULL</t>
        </is>
      </c>
      <c r="K233" s="0" t="inlineStr">
        <is>
          <t>YES! 	 c_decimal38_10列源备映射正确，源端为decimal None位	期望更改为decimal(p,s)	实际备端为decimal None位</t>
        </is>
      </c>
    </row>
    <row r="234">
      <c r="B234" s="0" t="inlineStr">
        <is>
          <t>NULL</t>
        </is>
      </c>
      <c r="C234" s="0" t="inlineStr">
        <is>
          <t>NULL</t>
        </is>
      </c>
      <c r="D234" s="0" t="inlineStr">
        <is>
          <t>NULL</t>
        </is>
      </c>
      <c r="E234" s="0" t="inlineStr">
        <is>
          <t>NULL</t>
        </is>
      </c>
      <c r="F234" s="0" t="inlineStr">
        <is>
          <t>NULL</t>
        </is>
      </c>
      <c r="G234" s="0" t="inlineStr">
        <is>
          <t>NULL</t>
        </is>
      </c>
      <c r="H234" s="0" t="inlineStr">
        <is>
          <t>NULL</t>
        </is>
      </c>
      <c r="I234" s="0" t="inlineStr">
        <is>
          <t>NULL</t>
        </is>
      </c>
      <c r="J234" s="0" t="inlineStr">
        <is>
          <t>NULL</t>
        </is>
      </c>
      <c r="K234" s="0" t="inlineStr">
        <is>
          <t>YES! 	 c_decimal19_4列源备映射正确，源端为decimal None位	期望更改为decimal(p,s)	实际备端为decimal None位</t>
        </is>
      </c>
    </row>
    <row r="235">
      <c r="B235" s="0" t="inlineStr">
        <is>
          <t>NULL</t>
        </is>
      </c>
      <c r="C235" s="0" t="inlineStr">
        <is>
          <t>NULL</t>
        </is>
      </c>
      <c r="D235" s="0" t="inlineStr">
        <is>
          <t>NULL</t>
        </is>
      </c>
      <c r="E235" s="0" t="inlineStr">
        <is>
          <t>NULL</t>
        </is>
      </c>
      <c r="F235" s="0" t="inlineStr">
        <is>
          <t>NULL</t>
        </is>
      </c>
      <c r="G235" s="0" t="inlineStr">
        <is>
          <t>NULL</t>
        </is>
      </c>
      <c r="H235" s="0" t="inlineStr">
        <is>
          <t>NULL</t>
        </is>
      </c>
      <c r="I235" s="0" t="inlineStr">
        <is>
          <t>NULL</t>
        </is>
      </c>
      <c r="J235" s="0" t="inlineStr">
        <is>
          <t>NULL</t>
        </is>
      </c>
      <c r="K235" s="0" t="inlineStr">
        <is>
          <t>YES! 	 c_numeric列源备映射正确，源端为numeric None位	期望更改为decimal(p,s)	实际备端为decimal None位</t>
        </is>
      </c>
    </row>
    <row r="236">
      <c r="B236" s="0" t="inlineStr">
        <is>
          <t>NULL</t>
        </is>
      </c>
      <c r="C236" s="0" t="inlineStr">
        <is>
          <t>NULL</t>
        </is>
      </c>
      <c r="D236" s="0" t="inlineStr">
        <is>
          <t>NULL</t>
        </is>
      </c>
      <c r="E236" s="0" t="inlineStr">
        <is>
          <t>NULL</t>
        </is>
      </c>
      <c r="F236" s="0" t="inlineStr">
        <is>
          <t>NULL</t>
        </is>
      </c>
      <c r="G236" s="0" t="inlineStr">
        <is>
          <t>NULL</t>
        </is>
      </c>
      <c r="H236" s="0" t="inlineStr">
        <is>
          <t>NULL</t>
        </is>
      </c>
      <c r="I236" s="0" t="inlineStr">
        <is>
          <t>NULL</t>
        </is>
      </c>
      <c r="J236" s="0" t="inlineStr">
        <is>
          <t>NULL</t>
        </is>
      </c>
      <c r="K236" s="0" t="inlineStr">
        <is>
          <t>YES! 	 c_numeric38列源备映射正确，源端为numeric None位	期望更改为decimal(p,s)	实际备端为decimal None位</t>
        </is>
      </c>
    </row>
    <row r="237">
      <c r="B237" s="0" t="inlineStr">
        <is>
          <t>NULL</t>
        </is>
      </c>
      <c r="C237" s="0" t="inlineStr">
        <is>
          <t>NULL</t>
        </is>
      </c>
      <c r="D237" s="0" t="inlineStr">
        <is>
          <t>NULL</t>
        </is>
      </c>
      <c r="E237" s="0" t="inlineStr">
        <is>
          <t>NULL</t>
        </is>
      </c>
      <c r="F237" s="0" t="inlineStr">
        <is>
          <t>NULL</t>
        </is>
      </c>
      <c r="G237" s="0" t="inlineStr">
        <is>
          <t>NULL</t>
        </is>
      </c>
      <c r="H237" s="0" t="inlineStr">
        <is>
          <t>NULL</t>
        </is>
      </c>
      <c r="I237" s="0" t="inlineStr">
        <is>
          <t>NULL</t>
        </is>
      </c>
      <c r="J237" s="0" t="inlineStr">
        <is>
          <t>NULL</t>
        </is>
      </c>
      <c r="K237" s="0" t="inlineStr">
        <is>
          <t xml:space="preserve"> NO!  	 c_numeric38_38列源备映射错误，源端为numeric None位	期望更改为decimal(p,s)	实际备端为varchar 168位</t>
        </is>
      </c>
    </row>
    <row r="238">
      <c r="B238" s="0" t="inlineStr">
        <is>
          <t>NULL</t>
        </is>
      </c>
      <c r="C238" s="0" t="inlineStr">
        <is>
          <t>NULL</t>
        </is>
      </c>
      <c r="D238" s="0" t="inlineStr">
        <is>
          <t>NULL</t>
        </is>
      </c>
      <c r="E238" s="0" t="inlineStr">
        <is>
          <t>NULL</t>
        </is>
      </c>
      <c r="F238" s="0" t="inlineStr">
        <is>
          <t>NULL</t>
        </is>
      </c>
      <c r="G238" s="0" t="inlineStr">
        <is>
          <t>NULL</t>
        </is>
      </c>
      <c r="H238" s="0" t="inlineStr">
        <is>
          <t>NULL</t>
        </is>
      </c>
      <c r="I238" s="0" t="inlineStr">
        <is>
          <t>NULL</t>
        </is>
      </c>
      <c r="J238" s="0" t="inlineStr">
        <is>
          <t>NULL</t>
        </is>
      </c>
      <c r="K238" s="0" t="inlineStr">
        <is>
          <t>YES! 	 c_numeric38_10列源备映射正确，源端为numeric None位	期望更改为decimal(p,s)	实际备端为decimal None位</t>
        </is>
      </c>
    </row>
    <row r="239">
      <c r="B239" s="0" t="inlineStr">
        <is>
          <t>NULL</t>
        </is>
      </c>
      <c r="C239" s="0" t="inlineStr">
        <is>
          <t>NULL</t>
        </is>
      </c>
      <c r="D239" s="0" t="inlineStr">
        <is>
          <t>NULL</t>
        </is>
      </c>
      <c r="E239" s="0" t="inlineStr">
        <is>
          <t>NULL</t>
        </is>
      </c>
      <c r="F239" s="0" t="inlineStr">
        <is>
          <t>NULL</t>
        </is>
      </c>
      <c r="G239" s="0" t="inlineStr">
        <is>
          <t>NULL</t>
        </is>
      </c>
      <c r="H239" s="0" t="inlineStr">
        <is>
          <t>NULL</t>
        </is>
      </c>
      <c r="I239" s="0" t="inlineStr">
        <is>
          <t>NULL</t>
        </is>
      </c>
      <c r="J239" s="0" t="inlineStr">
        <is>
          <t>NULL</t>
        </is>
      </c>
      <c r="K239" s="0" t="inlineStr">
        <is>
          <t>YES! 	 c_numeric18_2列源备映射正确，源端为numeric None位	期望更改为decimal(p,s)	实际备端为decimal None位</t>
        </is>
      </c>
    </row>
    <row r="240">
      <c r="B240" s="0" t="inlineStr">
        <is>
          <t>NULL</t>
        </is>
      </c>
      <c r="C240" s="0" t="inlineStr">
        <is>
          <t>NULL</t>
        </is>
      </c>
      <c r="D240" s="0" t="inlineStr">
        <is>
          <t>NULL</t>
        </is>
      </c>
      <c r="E240" s="0" t="inlineStr">
        <is>
          <t>NULL</t>
        </is>
      </c>
      <c r="F240" s="0" t="inlineStr">
        <is>
          <t>NULL</t>
        </is>
      </c>
      <c r="G240" s="0" t="inlineStr">
        <is>
          <t>NULL</t>
        </is>
      </c>
      <c r="H240" s="0" t="inlineStr">
        <is>
          <t>NULL</t>
        </is>
      </c>
      <c r="I240" s="0" t="inlineStr">
        <is>
          <t>NULL</t>
        </is>
      </c>
      <c r="J240" s="0" t="inlineStr">
        <is>
          <t>NULL</t>
        </is>
      </c>
      <c r="K240" s="0" t="inlineStr">
        <is>
          <t>YES! 	 c_float列源备映射正确，源端为float None位	期望更改为double	实际备端为double None位</t>
        </is>
      </c>
    </row>
    <row r="241">
      <c r="B241" s="0" t="inlineStr">
        <is>
          <t>NULL</t>
        </is>
      </c>
      <c r="C241" s="0" t="inlineStr">
        <is>
          <t>NULL</t>
        </is>
      </c>
      <c r="D241" s="0" t="inlineStr">
        <is>
          <t>NULL</t>
        </is>
      </c>
      <c r="E241" s="0" t="inlineStr">
        <is>
          <t>NULL</t>
        </is>
      </c>
      <c r="F241" s="0" t="inlineStr">
        <is>
          <t>NULL</t>
        </is>
      </c>
      <c r="G241" s="0" t="inlineStr">
        <is>
          <t>NULL</t>
        </is>
      </c>
      <c r="H241" s="0" t="inlineStr">
        <is>
          <t>NULL</t>
        </is>
      </c>
      <c r="I241" s="0" t="inlineStr">
        <is>
          <t>NULL</t>
        </is>
      </c>
      <c r="J241" s="0" t="inlineStr">
        <is>
          <t>NULL</t>
        </is>
      </c>
      <c r="K241" s="0" t="inlineStr">
        <is>
          <t>YES! 	 c_real列源备映射正确，源端为real None位	期望更改为double	实际备端为double None位</t>
        </is>
      </c>
    </row>
    <row r="242">
      <c r="B242" s="0" t="inlineStr">
        <is>
          <t>NULL</t>
        </is>
      </c>
      <c r="C242" s="0" t="inlineStr">
        <is>
          <t>NULL</t>
        </is>
      </c>
      <c r="D242" s="0" t="inlineStr">
        <is>
          <t>NULL</t>
        </is>
      </c>
      <c r="E242" s="0" t="inlineStr">
        <is>
          <t>NULL</t>
        </is>
      </c>
      <c r="F242" s="0" t="inlineStr">
        <is>
          <t>NULL</t>
        </is>
      </c>
      <c r="G242" s="0" t="inlineStr">
        <is>
          <t>NULL</t>
        </is>
      </c>
      <c r="H242" s="0" t="inlineStr">
        <is>
          <t>NULL</t>
        </is>
      </c>
      <c r="I242" s="0" t="inlineStr">
        <is>
          <t>NULL</t>
        </is>
      </c>
      <c r="J242" s="0" t="inlineStr">
        <is>
          <t>NULL</t>
        </is>
      </c>
      <c r="K242" s="0" t="inlineStr">
        <is>
          <t>YES! 	 c_money列源备映射正确，源端为money None位	期望更改为decimal(19,4)	实际备端为decimal None位</t>
        </is>
      </c>
    </row>
    <row r="243">
      <c r="B243" s="0" t="inlineStr">
        <is>
          <t>NULL</t>
        </is>
      </c>
      <c r="C243" s="0" t="inlineStr">
        <is>
          <t>NULL</t>
        </is>
      </c>
      <c r="D243" s="0" t="inlineStr">
        <is>
          <t>NULL</t>
        </is>
      </c>
      <c r="E243" s="0" t="inlineStr">
        <is>
          <t>NULL</t>
        </is>
      </c>
      <c r="F243" s="0" t="inlineStr">
        <is>
          <t>NULL</t>
        </is>
      </c>
      <c r="G243" s="0" t="inlineStr">
        <is>
          <t>NULL</t>
        </is>
      </c>
      <c r="H243" s="0" t="inlineStr">
        <is>
          <t>NULL</t>
        </is>
      </c>
      <c r="I243" s="0" t="inlineStr">
        <is>
          <t>NULL</t>
        </is>
      </c>
      <c r="J243" s="0" t="inlineStr">
        <is>
          <t>NULL</t>
        </is>
      </c>
      <c r="K243" s="0" t="inlineStr">
        <is>
          <t>YES! 	 c_smallmoney列源备映射正确，源端为smallmoney None位	期望更改为decimal(10,4)	实际备端为decimal None位</t>
        </is>
      </c>
    </row>
    <row r="244">
      <c r="B244" s="0" t="inlineStr">
        <is>
          <t>NULL</t>
        </is>
      </c>
      <c r="C244" s="0" t="inlineStr">
        <is>
          <t>NO!源None备NUL</t>
        </is>
      </c>
      <c r="D244" s="0" t="inlineStr">
        <is>
          <t>NULL</t>
        </is>
      </c>
      <c r="E244" s="0" t="inlineStr">
        <is>
          <t>NULL</t>
        </is>
      </c>
      <c r="F244" s="0" t="inlineStr">
        <is>
          <t>NULL</t>
        </is>
      </c>
      <c r="G244" s="0" t="inlineStr">
        <is>
          <t>NULL</t>
        </is>
      </c>
      <c r="H244" s="0" t="inlineStr">
        <is>
          <t>NULL</t>
        </is>
      </c>
      <c r="I244" s="0" t="inlineStr">
        <is>
          <t>NULL</t>
        </is>
      </c>
      <c r="J244" s="0" t="inlineStr">
        <is>
          <t>NULL</t>
        </is>
      </c>
      <c r="K244" s="0" t="inlineStr">
        <is>
          <t>YES! 	 c_bit列源备映射正确，源端为bit None位	期望更改为tinyint(1) 	实际备端为tinyint None位</t>
        </is>
      </c>
    </row>
    <row r="245">
      <c r="K245" s="0" t="inlineStr">
        <is>
          <t>[0;31m NO! [0m 	  行数不同,源28行,备端空表</t>
        </is>
      </c>
    </row>
    <row r="246">
      <c r="A246" s="0" t="inlineStr">
        <is>
          <t>info_int_dml_single_nopk</t>
        </is>
      </c>
      <c r="K246" s="0" t="inlineStr">
        <is>
          <t>[0;34m info_int_dml_single_nopk [0m源备字段数相同，源端字段：20 	备端字段20</t>
        </is>
      </c>
      <c r="W246" s="0" t="inlineStr">
        <is>
          <t>YES 源备无差异</t>
        </is>
      </c>
      <c r="X246" s="0">
        <f>A246</f>
        <v/>
      </c>
    </row>
    <row r="247">
      <c r="B247" s="0" t="inlineStr">
        <is>
          <t>NULL</t>
        </is>
      </c>
      <c r="C247" s="0" t="inlineStr">
        <is>
          <t>NULL</t>
        </is>
      </c>
      <c r="D247" s="0" t="inlineStr">
        <is>
          <t>NULL</t>
        </is>
      </c>
      <c r="E247" s="0" t="inlineStr">
        <is>
          <t>NULL</t>
        </is>
      </c>
      <c r="F247" s="0" t="inlineStr">
        <is>
          <t>NULL</t>
        </is>
      </c>
      <c r="G247" s="0" t="inlineStr">
        <is>
          <t>NULL</t>
        </is>
      </c>
      <c r="H247" s="0" t="inlineStr">
        <is>
          <t>NULL</t>
        </is>
      </c>
      <c r="I247" s="0" t="inlineStr">
        <is>
          <t>NULL</t>
        </is>
      </c>
      <c r="J247" s="0" t="inlineStr">
        <is>
          <t>NULL</t>
        </is>
      </c>
      <c r="K247" s="0" t="inlineStr">
        <is>
          <t>YES! 	 id列源备映射正确，源端为int None位	期望更改为int	实际备端为int None位</t>
        </is>
      </c>
    </row>
    <row r="248">
      <c r="B248" s="0" t="inlineStr">
        <is>
          <t>NULL</t>
        </is>
      </c>
      <c r="C248" s="0" t="inlineStr">
        <is>
          <t>NULL</t>
        </is>
      </c>
      <c r="D248" s="0" t="inlineStr">
        <is>
          <t>NULL</t>
        </is>
      </c>
      <c r="E248" s="0" t="inlineStr">
        <is>
          <t>NULL</t>
        </is>
      </c>
      <c r="F248" s="0" t="inlineStr">
        <is>
          <t>NULL</t>
        </is>
      </c>
      <c r="G248" s="0" t="inlineStr">
        <is>
          <t>NULL</t>
        </is>
      </c>
      <c r="H248" s="0" t="inlineStr">
        <is>
          <t>NULL</t>
        </is>
      </c>
      <c r="I248" s="0" t="inlineStr">
        <is>
          <t>NULL</t>
        </is>
      </c>
      <c r="J248" s="0" t="inlineStr">
        <is>
          <t>NULL</t>
        </is>
      </c>
      <c r="K248" s="0" t="inlineStr">
        <is>
          <t>YES! 	 c_tinyint列源备映射正确，源端为tinyint None位	期望更改为tinyint	实际备端为tinyint None位</t>
        </is>
      </c>
    </row>
    <row r="249">
      <c r="B249" s="0" t="inlineStr">
        <is>
          <t>NULL</t>
        </is>
      </c>
      <c r="C249" s="0" t="inlineStr">
        <is>
          <t>NULL</t>
        </is>
      </c>
      <c r="D249" s="0" t="inlineStr">
        <is>
          <t>NULL</t>
        </is>
      </c>
      <c r="E249" s="0" t="inlineStr">
        <is>
          <t>NULL</t>
        </is>
      </c>
      <c r="F249" s="0" t="inlineStr">
        <is>
          <t>NULL</t>
        </is>
      </c>
      <c r="G249" s="0" t="inlineStr">
        <is>
          <t>NULL</t>
        </is>
      </c>
      <c r="H249" s="0" t="inlineStr">
        <is>
          <t>NULL</t>
        </is>
      </c>
      <c r="I249" s="0" t="inlineStr">
        <is>
          <t>NULL</t>
        </is>
      </c>
      <c r="J249" s="0" t="inlineStr">
        <is>
          <t>NULL</t>
        </is>
      </c>
      <c r="K249" s="0" t="inlineStr">
        <is>
          <t>YES! 	 c_smallint列源备映射正确，源端为smallint None位	期望更改为smallint	实际备端为smallint None位</t>
        </is>
      </c>
    </row>
    <row r="250">
      <c r="B250" s="0" t="inlineStr">
        <is>
          <t>NULL</t>
        </is>
      </c>
      <c r="C250" s="0" t="inlineStr">
        <is>
          <t>NULL</t>
        </is>
      </c>
      <c r="D250" s="0" t="inlineStr">
        <is>
          <t>NULL</t>
        </is>
      </c>
      <c r="E250" s="0" t="inlineStr">
        <is>
          <t>NULL</t>
        </is>
      </c>
      <c r="F250" s="0" t="inlineStr">
        <is>
          <t>NULL</t>
        </is>
      </c>
      <c r="G250" s="0" t="inlineStr">
        <is>
          <t>NULL</t>
        </is>
      </c>
      <c r="H250" s="0" t="inlineStr">
        <is>
          <t>NULL</t>
        </is>
      </c>
      <c r="I250" s="0" t="inlineStr">
        <is>
          <t>NULL</t>
        </is>
      </c>
      <c r="J250" s="0" t="inlineStr">
        <is>
          <t>NULL</t>
        </is>
      </c>
      <c r="K250" s="0" t="inlineStr">
        <is>
          <t>YES! 	 c_int列源备映射正确，源端为int None位	期望更改为int	实际备端为int None位</t>
        </is>
      </c>
    </row>
    <row r="251">
      <c r="B251" s="0" t="inlineStr">
        <is>
          <t>NULL</t>
        </is>
      </c>
      <c r="C251" s="0" t="inlineStr">
        <is>
          <t>NULL</t>
        </is>
      </c>
      <c r="D251" s="0" t="inlineStr">
        <is>
          <t>NULL</t>
        </is>
      </c>
      <c r="E251" s="0" t="inlineStr">
        <is>
          <t>NULL</t>
        </is>
      </c>
      <c r="F251" s="0" t="inlineStr">
        <is>
          <t>NULL</t>
        </is>
      </c>
      <c r="G251" s="0" t="inlineStr">
        <is>
          <t>NULL</t>
        </is>
      </c>
      <c r="H251" s="0" t="inlineStr">
        <is>
          <t>NULL</t>
        </is>
      </c>
      <c r="I251" s="0" t="inlineStr">
        <is>
          <t>NULL</t>
        </is>
      </c>
      <c r="J251" s="0" t="inlineStr">
        <is>
          <t>NULL</t>
        </is>
      </c>
      <c r="K251" s="0" t="inlineStr">
        <is>
          <t>YES! 	 c_bigint列源备映射正确，源端为bigint None位	期望更改为bigint	实际备端为bigint None位</t>
        </is>
      </c>
    </row>
    <row r="252">
      <c r="B252" s="0" t="inlineStr">
        <is>
          <t>NULL</t>
        </is>
      </c>
      <c r="C252" s="0" t="inlineStr">
        <is>
          <t>NULL</t>
        </is>
      </c>
      <c r="D252" s="0" t="inlineStr">
        <is>
          <t>NULL</t>
        </is>
      </c>
      <c r="E252" s="0" t="inlineStr">
        <is>
          <t>NULL</t>
        </is>
      </c>
      <c r="F252" s="0" t="inlineStr">
        <is>
          <t>NULL</t>
        </is>
      </c>
      <c r="G252" s="0" t="inlineStr">
        <is>
          <t>NULL</t>
        </is>
      </c>
      <c r="H252" s="0" t="inlineStr">
        <is>
          <t>NULL</t>
        </is>
      </c>
      <c r="I252" s="0" t="inlineStr">
        <is>
          <t>NULL</t>
        </is>
      </c>
      <c r="J252" s="0" t="inlineStr">
        <is>
          <t>NULL</t>
        </is>
      </c>
      <c r="K252" s="0" t="inlineStr">
        <is>
          <t>YES! 	 c_decimal列源备映射正确，源端为decimal None位	期望更改为decimal(p,s)	实际备端为decimal None位</t>
        </is>
      </c>
    </row>
    <row r="253">
      <c r="B253" s="0" t="inlineStr">
        <is>
          <t>NULL</t>
        </is>
      </c>
      <c r="C253" s="0" t="inlineStr">
        <is>
          <t>NULL</t>
        </is>
      </c>
      <c r="D253" s="0" t="inlineStr">
        <is>
          <t>NULL</t>
        </is>
      </c>
      <c r="E253" s="0" t="inlineStr">
        <is>
          <t>NULL</t>
        </is>
      </c>
      <c r="F253" s="0" t="inlineStr">
        <is>
          <t>NULL</t>
        </is>
      </c>
      <c r="G253" s="0" t="inlineStr">
        <is>
          <t>NULL</t>
        </is>
      </c>
      <c r="H253" s="0" t="inlineStr">
        <is>
          <t>NULL</t>
        </is>
      </c>
      <c r="I253" s="0" t="inlineStr">
        <is>
          <t>NULL</t>
        </is>
      </c>
      <c r="J253" s="0" t="inlineStr">
        <is>
          <t>NULL</t>
        </is>
      </c>
      <c r="K253" s="0" t="inlineStr">
        <is>
          <t>YES! 	 c_decimal38列源备映射正确，源端为decimal None位	期望更改为decimal(p,s)	实际备端为decimal None位</t>
        </is>
      </c>
    </row>
    <row r="254">
      <c r="B254" s="0" t="inlineStr">
        <is>
          <t>NULL</t>
        </is>
      </c>
      <c r="C254" s="0" t="inlineStr">
        <is>
          <t>NULL</t>
        </is>
      </c>
      <c r="D254" s="0" t="inlineStr">
        <is>
          <t>NULL</t>
        </is>
      </c>
      <c r="E254" s="0" t="inlineStr">
        <is>
          <t>NULL</t>
        </is>
      </c>
      <c r="F254" s="0" t="inlineStr">
        <is>
          <t>NULL</t>
        </is>
      </c>
      <c r="G254" s="0" t="inlineStr">
        <is>
          <t>NULL</t>
        </is>
      </c>
      <c r="H254" s="0" t="inlineStr">
        <is>
          <t>NULL</t>
        </is>
      </c>
      <c r="I254" s="0" t="inlineStr">
        <is>
          <t>NULL</t>
        </is>
      </c>
      <c r="J254" s="0" t="inlineStr">
        <is>
          <t>NULL</t>
        </is>
      </c>
      <c r="K254" s="0" t="inlineStr">
        <is>
          <t xml:space="preserve"> NO!  	 c_decimal38_38列源备映射错误，源端为decimal None位	期望更改为decimal(p,s)	实际备端为varchar 168位</t>
        </is>
      </c>
    </row>
    <row r="255">
      <c r="B255" s="0" t="inlineStr">
        <is>
          <t>NULL</t>
        </is>
      </c>
      <c r="C255" s="0" t="inlineStr">
        <is>
          <t>NULL</t>
        </is>
      </c>
      <c r="D255" s="0" t="inlineStr">
        <is>
          <t>NULL</t>
        </is>
      </c>
      <c r="E255" s="0" t="inlineStr">
        <is>
          <t>NULL</t>
        </is>
      </c>
      <c r="F255" s="0" t="inlineStr">
        <is>
          <t>NULL</t>
        </is>
      </c>
      <c r="G255" s="0" t="inlineStr">
        <is>
          <t>NULL</t>
        </is>
      </c>
      <c r="H255" s="0" t="inlineStr">
        <is>
          <t>NULL</t>
        </is>
      </c>
      <c r="I255" s="0" t="inlineStr">
        <is>
          <t>NULL</t>
        </is>
      </c>
      <c r="J255" s="0" t="inlineStr">
        <is>
          <t>NULL</t>
        </is>
      </c>
      <c r="K255" s="0" t="inlineStr">
        <is>
          <t>YES! 	 c_decimal38_10列源备映射正确，源端为decimal None位	期望更改为decimal(p,s)	实际备端为decimal None位</t>
        </is>
      </c>
    </row>
    <row r="256">
      <c r="B256" s="0" t="inlineStr">
        <is>
          <t>NULL</t>
        </is>
      </c>
      <c r="C256" s="0" t="inlineStr">
        <is>
          <t>NULL</t>
        </is>
      </c>
      <c r="D256" s="0" t="inlineStr">
        <is>
          <t>NULL</t>
        </is>
      </c>
      <c r="E256" s="0" t="inlineStr">
        <is>
          <t>NULL</t>
        </is>
      </c>
      <c r="F256" s="0" t="inlineStr">
        <is>
          <t>NULL</t>
        </is>
      </c>
      <c r="G256" s="0" t="inlineStr">
        <is>
          <t>NULL</t>
        </is>
      </c>
      <c r="H256" s="0" t="inlineStr">
        <is>
          <t>NULL</t>
        </is>
      </c>
      <c r="I256" s="0" t="inlineStr">
        <is>
          <t>NULL</t>
        </is>
      </c>
      <c r="J256" s="0" t="inlineStr">
        <is>
          <t>NULL</t>
        </is>
      </c>
      <c r="K256" s="0" t="inlineStr">
        <is>
          <t>YES! 	 c_decimal19_4列源备映射正确，源端为decimal None位	期望更改为decimal(p,s)	实际备端为decimal None位</t>
        </is>
      </c>
    </row>
    <row r="257">
      <c r="B257" s="0" t="inlineStr">
        <is>
          <t>NULL</t>
        </is>
      </c>
      <c r="C257" s="0" t="inlineStr">
        <is>
          <t>NULL</t>
        </is>
      </c>
      <c r="D257" s="0" t="inlineStr">
        <is>
          <t>NULL</t>
        </is>
      </c>
      <c r="E257" s="0" t="inlineStr">
        <is>
          <t>NULL</t>
        </is>
      </c>
      <c r="F257" s="0" t="inlineStr">
        <is>
          <t>NULL</t>
        </is>
      </c>
      <c r="G257" s="0" t="inlineStr">
        <is>
          <t>NULL</t>
        </is>
      </c>
      <c r="H257" s="0" t="inlineStr">
        <is>
          <t>NULL</t>
        </is>
      </c>
      <c r="I257" s="0" t="inlineStr">
        <is>
          <t>NULL</t>
        </is>
      </c>
      <c r="J257" s="0" t="inlineStr">
        <is>
          <t>NULL</t>
        </is>
      </c>
      <c r="K257" s="0" t="inlineStr">
        <is>
          <t>YES! 	 c_numeric列源备映射正确，源端为numeric None位	期望更改为decimal(p,s)	实际备端为decimal None位</t>
        </is>
      </c>
    </row>
    <row r="258">
      <c r="B258" s="0" t="inlineStr">
        <is>
          <t>NULL</t>
        </is>
      </c>
      <c r="C258" s="0" t="inlineStr">
        <is>
          <t>NULL</t>
        </is>
      </c>
      <c r="D258" s="0" t="inlineStr">
        <is>
          <t>NULL</t>
        </is>
      </c>
      <c r="E258" s="0" t="inlineStr">
        <is>
          <t>NULL</t>
        </is>
      </c>
      <c r="F258" s="0" t="inlineStr">
        <is>
          <t>NULL</t>
        </is>
      </c>
      <c r="G258" s="0" t="inlineStr">
        <is>
          <t>NULL</t>
        </is>
      </c>
      <c r="H258" s="0" t="inlineStr">
        <is>
          <t>NULL</t>
        </is>
      </c>
      <c r="I258" s="0" t="inlineStr">
        <is>
          <t>NULL</t>
        </is>
      </c>
      <c r="J258" s="0" t="inlineStr">
        <is>
          <t>NULL</t>
        </is>
      </c>
      <c r="K258" s="0" t="inlineStr">
        <is>
          <t>YES! 	 c_numeric38列源备映射正确，源端为numeric None位	期望更改为decimal(p,s)	实际备端为decimal None位</t>
        </is>
      </c>
    </row>
    <row r="259">
      <c r="B259" s="0" t="inlineStr">
        <is>
          <t>NULL</t>
        </is>
      </c>
      <c r="C259" s="0" t="inlineStr">
        <is>
          <t>NULL</t>
        </is>
      </c>
      <c r="D259" s="0" t="inlineStr">
        <is>
          <t>NULL</t>
        </is>
      </c>
      <c r="E259" s="0" t="inlineStr">
        <is>
          <t>NULL</t>
        </is>
      </c>
      <c r="F259" s="0" t="inlineStr">
        <is>
          <t>NULL</t>
        </is>
      </c>
      <c r="G259" s="0" t="inlineStr">
        <is>
          <t>NULL</t>
        </is>
      </c>
      <c r="H259" s="0" t="inlineStr">
        <is>
          <t>NULL</t>
        </is>
      </c>
      <c r="I259" s="0" t="inlineStr">
        <is>
          <t>NULL</t>
        </is>
      </c>
      <c r="J259" s="0" t="inlineStr">
        <is>
          <t>NULL</t>
        </is>
      </c>
      <c r="K259" s="0" t="inlineStr">
        <is>
          <t xml:space="preserve"> NO!  	 c_numeric38_38列源备映射错误，源端为numeric None位	期望更改为decimal(p,s)	实际备端为varchar 168位</t>
        </is>
      </c>
    </row>
    <row r="260">
      <c r="B260" s="0" t="inlineStr">
        <is>
          <t>NULL</t>
        </is>
      </c>
      <c r="C260" s="0" t="inlineStr">
        <is>
          <t>NULL</t>
        </is>
      </c>
      <c r="D260" s="0" t="inlineStr">
        <is>
          <t>NULL</t>
        </is>
      </c>
      <c r="E260" s="0" t="inlineStr">
        <is>
          <t>NULL</t>
        </is>
      </c>
      <c r="F260" s="0" t="inlineStr">
        <is>
          <t>NULL</t>
        </is>
      </c>
      <c r="G260" s="0" t="inlineStr">
        <is>
          <t>NULL</t>
        </is>
      </c>
      <c r="H260" s="0" t="inlineStr">
        <is>
          <t>NULL</t>
        </is>
      </c>
      <c r="I260" s="0" t="inlineStr">
        <is>
          <t>NULL</t>
        </is>
      </c>
      <c r="J260" s="0" t="inlineStr">
        <is>
          <t>NULL</t>
        </is>
      </c>
      <c r="K260" s="0" t="inlineStr">
        <is>
          <t>YES! 	 c_numeric38_10列源备映射正确，源端为numeric None位	期望更改为decimal(p,s)	实际备端为decimal None位</t>
        </is>
      </c>
    </row>
    <row r="261">
      <c r="B261" s="0" t="inlineStr">
        <is>
          <t>NULL</t>
        </is>
      </c>
      <c r="C261" s="0" t="inlineStr">
        <is>
          <t>NULL</t>
        </is>
      </c>
      <c r="D261" s="0" t="inlineStr">
        <is>
          <t>NULL</t>
        </is>
      </c>
      <c r="E261" s="0" t="inlineStr">
        <is>
          <t>NULL</t>
        </is>
      </c>
      <c r="F261" s="0" t="inlineStr">
        <is>
          <t>NULL</t>
        </is>
      </c>
      <c r="G261" s="0" t="inlineStr">
        <is>
          <t>NULL</t>
        </is>
      </c>
      <c r="H261" s="0" t="inlineStr">
        <is>
          <t>NULL</t>
        </is>
      </c>
      <c r="I261" s="0" t="inlineStr">
        <is>
          <t>NULL</t>
        </is>
      </c>
      <c r="J261" s="0" t="inlineStr">
        <is>
          <t>NULL</t>
        </is>
      </c>
      <c r="K261" s="0" t="inlineStr">
        <is>
          <t>YES! 	 c_numeric18_2列源备映射正确，源端为numeric None位	期望更改为decimal(p,s)	实际备端为decimal None位</t>
        </is>
      </c>
    </row>
    <row r="262">
      <c r="B262" s="0" t="inlineStr">
        <is>
          <t>NULL</t>
        </is>
      </c>
      <c r="C262" s="0" t="inlineStr">
        <is>
          <t>NULL</t>
        </is>
      </c>
      <c r="D262" s="0" t="inlineStr">
        <is>
          <t>NULL</t>
        </is>
      </c>
      <c r="E262" s="0" t="inlineStr">
        <is>
          <t>NULL</t>
        </is>
      </c>
      <c r="F262" s="0" t="inlineStr">
        <is>
          <t>NULL</t>
        </is>
      </c>
      <c r="G262" s="0" t="inlineStr">
        <is>
          <t>NULL</t>
        </is>
      </c>
      <c r="H262" s="0" t="inlineStr">
        <is>
          <t>NULL</t>
        </is>
      </c>
      <c r="I262" s="0" t="inlineStr">
        <is>
          <t>NULL</t>
        </is>
      </c>
      <c r="J262" s="0" t="inlineStr">
        <is>
          <t>NULL</t>
        </is>
      </c>
      <c r="K262" s="0" t="inlineStr">
        <is>
          <t>YES! 	 c_float列源备映射正确，源端为float None位	期望更改为double	实际备端为double None位</t>
        </is>
      </c>
    </row>
    <row r="263">
      <c r="B263" s="0" t="inlineStr">
        <is>
          <t>NULL</t>
        </is>
      </c>
      <c r="C263" s="0" t="inlineStr">
        <is>
          <t>NULL</t>
        </is>
      </c>
      <c r="D263" s="0" t="inlineStr">
        <is>
          <t>NULL</t>
        </is>
      </c>
      <c r="E263" s="0" t="inlineStr">
        <is>
          <t>NULL</t>
        </is>
      </c>
      <c r="F263" s="0" t="inlineStr">
        <is>
          <t>NULL</t>
        </is>
      </c>
      <c r="G263" s="0" t="inlineStr">
        <is>
          <t>NULL</t>
        </is>
      </c>
      <c r="H263" s="0" t="inlineStr">
        <is>
          <t>NULL</t>
        </is>
      </c>
      <c r="I263" s="0" t="inlineStr">
        <is>
          <t>NULL</t>
        </is>
      </c>
      <c r="J263" s="0" t="inlineStr">
        <is>
          <t>NULL</t>
        </is>
      </c>
      <c r="K263" s="0" t="inlineStr">
        <is>
          <t>YES! 	 c_real列源备映射正确，源端为real None位	期望更改为double	实际备端为double None位</t>
        </is>
      </c>
    </row>
    <row r="264">
      <c r="B264" s="0" t="inlineStr">
        <is>
          <t>NULL</t>
        </is>
      </c>
      <c r="C264" s="0" t="inlineStr">
        <is>
          <t>NULL</t>
        </is>
      </c>
      <c r="D264" s="0" t="inlineStr">
        <is>
          <t>NULL</t>
        </is>
      </c>
      <c r="E264" s="0" t="inlineStr">
        <is>
          <t>NULL</t>
        </is>
      </c>
      <c r="F264" s="0" t="inlineStr">
        <is>
          <t>NULL</t>
        </is>
      </c>
      <c r="G264" s="0" t="inlineStr">
        <is>
          <t>NULL</t>
        </is>
      </c>
      <c r="H264" s="0" t="inlineStr">
        <is>
          <t>NULL</t>
        </is>
      </c>
      <c r="I264" s="0" t="inlineStr">
        <is>
          <t>NULL</t>
        </is>
      </c>
      <c r="J264" s="0" t="inlineStr">
        <is>
          <t>NULL</t>
        </is>
      </c>
      <c r="K264" s="0" t="inlineStr">
        <is>
          <t>YES! 	 c_money列源备映射正确，源端为money None位	期望更改为decimal(19,4)	实际备端为decimal None位</t>
        </is>
      </c>
    </row>
    <row r="265">
      <c r="B265" s="0" t="inlineStr">
        <is>
          <t>NULL</t>
        </is>
      </c>
      <c r="C265" s="0" t="inlineStr">
        <is>
          <t>NULL</t>
        </is>
      </c>
      <c r="D265" s="0" t="inlineStr">
        <is>
          <t>NULL</t>
        </is>
      </c>
      <c r="E265" s="0" t="inlineStr">
        <is>
          <t>NULL</t>
        </is>
      </c>
      <c r="F265" s="0" t="inlineStr">
        <is>
          <t>NULL</t>
        </is>
      </c>
      <c r="G265" s="0" t="inlineStr">
        <is>
          <t>NULL</t>
        </is>
      </c>
      <c r="H265" s="0" t="inlineStr">
        <is>
          <t>NULL</t>
        </is>
      </c>
      <c r="I265" s="0" t="inlineStr">
        <is>
          <t>NULL</t>
        </is>
      </c>
      <c r="J265" s="0" t="inlineStr">
        <is>
          <t>NULL</t>
        </is>
      </c>
      <c r="K265" s="0" t="inlineStr">
        <is>
          <t>YES! 	 c_smallmoney列源备映射正确，源端为smallmoney None位	期望更改为decimal(10,4)	实际备端为decimal None位</t>
        </is>
      </c>
    </row>
    <row r="266">
      <c r="B266" s="0" t="inlineStr">
        <is>
          <t>NULL</t>
        </is>
      </c>
      <c r="C266" s="0" t="inlineStr">
        <is>
          <t>NO!源None备NUL</t>
        </is>
      </c>
      <c r="D266" s="0" t="inlineStr">
        <is>
          <t>NULL</t>
        </is>
      </c>
      <c r="E266" s="0" t="inlineStr">
        <is>
          <t>NULL</t>
        </is>
      </c>
      <c r="F266" s="0" t="inlineStr">
        <is>
          <t>NULL</t>
        </is>
      </c>
      <c r="G266" s="0" t="inlineStr">
        <is>
          <t>NULL</t>
        </is>
      </c>
      <c r="H266" s="0" t="inlineStr">
        <is>
          <t>NULL</t>
        </is>
      </c>
      <c r="I266" s="0" t="inlineStr">
        <is>
          <t>NULL</t>
        </is>
      </c>
      <c r="J266" s="0" t="inlineStr">
        <is>
          <t>NULL</t>
        </is>
      </c>
      <c r="K266" s="0" t="inlineStr">
        <is>
          <t>YES! 	 c_bit列源备映射正确，源端为bit None位	期望更改为tinyint(1) 	实际备端为tinyint None位</t>
        </is>
      </c>
    </row>
    <row r="267">
      <c r="A267" s="0" t="inlineStr">
        <is>
          <t>info_sql_variant_dml_single_pk_urp</t>
        </is>
      </c>
      <c r="K267" s="0" t="inlineStr">
        <is>
          <t>[0;34m info_sql_variant_dml_single_pk_urp [0m源备字段数相同，源端字段：25 	备端字段25</t>
        </is>
      </c>
      <c r="W267" s="0" t="inlineStr">
        <is>
          <t>YES 源备无差异</t>
        </is>
      </c>
      <c r="X267" s="0">
        <f>A267</f>
        <v/>
      </c>
    </row>
    <row r="268">
      <c r="B268" s="0" t="inlineStr">
        <is>
          <t>NO! 主键不正常，源YES备None</t>
        </is>
      </c>
      <c r="C268" s="0" t="inlineStr">
        <is>
          <t>NULL</t>
        </is>
      </c>
      <c r="D268" s="0" t="inlineStr">
        <is>
          <t>NULL</t>
        </is>
      </c>
      <c r="E268" s="0" t="inlineStr">
        <is>
          <t>NULL</t>
        </is>
      </c>
      <c r="F268" s="0" t="inlineStr">
        <is>
          <t>NULL</t>
        </is>
      </c>
      <c r="G268" s="0" t="inlineStr">
        <is>
          <t>NULL</t>
        </is>
      </c>
      <c r="H268" s="0" t="inlineStr">
        <is>
          <t>NULL</t>
        </is>
      </c>
      <c r="I268" s="0" t="inlineStr">
        <is>
          <t>NO! 源备索引不一致源PK__info_sql__3213E83F919861E2备None</t>
        </is>
      </c>
      <c r="J268" s="0" t="inlineStr">
        <is>
          <t>NULL</t>
        </is>
      </c>
      <c r="K268" s="0" t="inlineStr">
        <is>
          <t>YES! 	 id列源备映射正确，源端为int None位	期望更改为int	实际备端为int None位</t>
        </is>
      </c>
    </row>
    <row r="269">
      <c r="B269" s="0" t="inlineStr">
        <is>
          <t>NULL</t>
        </is>
      </c>
      <c r="C269" s="0" t="inlineStr">
        <is>
          <t>NULL</t>
        </is>
      </c>
      <c r="D269" s="0" t="inlineStr">
        <is>
          <t>NULL</t>
        </is>
      </c>
      <c r="E269" s="0" t="inlineStr">
        <is>
          <t>NULL</t>
        </is>
      </c>
      <c r="F269" s="0" t="inlineStr">
        <is>
          <t>NULL</t>
        </is>
      </c>
      <c r="G269" s="0" t="inlineStr">
        <is>
          <t>NULL</t>
        </is>
      </c>
      <c r="H269" s="0" t="inlineStr">
        <is>
          <t>NULL</t>
        </is>
      </c>
      <c r="I269" s="0" t="inlineStr">
        <is>
          <t>NULL</t>
        </is>
      </c>
      <c r="J269" s="0" t="inlineStr">
        <is>
          <t>NULL</t>
        </is>
      </c>
      <c r="K269" s="0" t="inlineStr">
        <is>
          <t>[0;32m YES! [0m 	 c_date列源备映射正确，源端为sql_variant 0位	期望更改为VARCHAR(255)	实际备端为varchar 1020位	位数精度不存在，通过长度比较</t>
        </is>
      </c>
    </row>
    <row r="270">
      <c r="B270" s="0" t="inlineStr">
        <is>
          <t>NULL</t>
        </is>
      </c>
      <c r="C270" s="0" t="inlineStr">
        <is>
          <t>NULL</t>
        </is>
      </c>
      <c r="D270" s="0" t="inlineStr">
        <is>
          <t>NULL</t>
        </is>
      </c>
      <c r="E270" s="0" t="inlineStr">
        <is>
          <t>NULL</t>
        </is>
      </c>
      <c r="F270" s="0" t="inlineStr">
        <is>
          <t>NULL</t>
        </is>
      </c>
      <c r="G270" s="0" t="inlineStr">
        <is>
          <t>NULL</t>
        </is>
      </c>
      <c r="H270" s="0" t="inlineStr">
        <is>
          <t>NULL</t>
        </is>
      </c>
      <c r="I270" s="0" t="inlineStr">
        <is>
          <t>NULL</t>
        </is>
      </c>
      <c r="J270" s="0" t="inlineStr">
        <is>
          <t>NULL</t>
        </is>
      </c>
      <c r="K270" s="0" t="inlineStr">
        <is>
          <t>[0;32m YES! [0m 	 c_time列源备映射正确，源端为sql_variant 0位	期望更改为VARCHAR(255)	实际备端为varchar 1020位	位数精度不存在，通过长度比较</t>
        </is>
      </c>
    </row>
    <row r="271">
      <c r="B271" s="0" t="inlineStr">
        <is>
          <t>NULL</t>
        </is>
      </c>
      <c r="C271" s="0" t="inlineStr">
        <is>
          <t>NULL</t>
        </is>
      </c>
      <c r="D271" s="0" t="inlineStr">
        <is>
          <t>NULL</t>
        </is>
      </c>
      <c r="E271" s="0" t="inlineStr">
        <is>
          <t>NULL</t>
        </is>
      </c>
      <c r="F271" s="0" t="inlineStr">
        <is>
          <t>NULL</t>
        </is>
      </c>
      <c r="G271" s="0" t="inlineStr">
        <is>
          <t>NULL</t>
        </is>
      </c>
      <c r="H271" s="0" t="inlineStr">
        <is>
          <t>NULL</t>
        </is>
      </c>
      <c r="I271" s="0" t="inlineStr">
        <is>
          <t>NULL</t>
        </is>
      </c>
      <c r="J271" s="0" t="inlineStr">
        <is>
          <t>NULL</t>
        </is>
      </c>
      <c r="K271" s="0" t="inlineStr">
        <is>
          <t>[0;32m YES! [0m 	 c_datetime2列源备映射正确，源端为sql_variant 0位	期望更改为VARCHAR(255)	实际备端为varchar 1020位	位数精度不存在，通过长度比较</t>
        </is>
      </c>
    </row>
    <row r="272">
      <c r="B272" s="0" t="inlineStr">
        <is>
          <t>NULL</t>
        </is>
      </c>
      <c r="C272" s="0" t="inlineStr">
        <is>
          <t>NULL</t>
        </is>
      </c>
      <c r="D272" s="0" t="inlineStr">
        <is>
          <t>NULL</t>
        </is>
      </c>
      <c r="E272" s="0" t="inlineStr">
        <is>
          <t>NULL</t>
        </is>
      </c>
      <c r="F272" s="0" t="inlineStr">
        <is>
          <t>NULL</t>
        </is>
      </c>
      <c r="G272" s="0" t="inlineStr">
        <is>
          <t>NULL</t>
        </is>
      </c>
      <c r="H272" s="0" t="inlineStr">
        <is>
          <t>NULL</t>
        </is>
      </c>
      <c r="I272" s="0" t="inlineStr">
        <is>
          <t>NULL</t>
        </is>
      </c>
      <c r="J272" s="0" t="inlineStr">
        <is>
          <t>NULL</t>
        </is>
      </c>
      <c r="K272" s="0" t="inlineStr">
        <is>
          <t>[0;32m YES! [0m 	 c_datetimeoffset列源备映射正确，源端为sql_variant 0位	期望更改为VARCHAR(255)	实际备端为varchar 1020位	位数精度不存在，通过长度比较</t>
        </is>
      </c>
    </row>
    <row r="273">
      <c r="B273" s="0" t="inlineStr">
        <is>
          <t>NULL</t>
        </is>
      </c>
      <c r="C273" s="0" t="inlineStr">
        <is>
          <t>NULL</t>
        </is>
      </c>
      <c r="D273" s="0" t="inlineStr">
        <is>
          <t>NULL</t>
        </is>
      </c>
      <c r="E273" s="0" t="inlineStr">
        <is>
          <t>NULL</t>
        </is>
      </c>
      <c r="F273" s="0" t="inlineStr">
        <is>
          <t>NULL</t>
        </is>
      </c>
      <c r="G273" s="0" t="inlineStr">
        <is>
          <t>NULL</t>
        </is>
      </c>
      <c r="H273" s="0" t="inlineStr">
        <is>
          <t>NULL</t>
        </is>
      </c>
      <c r="I273" s="0" t="inlineStr">
        <is>
          <t>NULL</t>
        </is>
      </c>
      <c r="J273" s="0" t="inlineStr">
        <is>
          <t>NULL</t>
        </is>
      </c>
      <c r="K273" s="0" t="inlineStr">
        <is>
          <t>[0;32m YES! [0m 	 c_tinyint列源备映射正确，源端为sql_variant 0位	期望更改为VARCHAR(255)	实际备端为varchar 1020位	位数精度不存在，通过长度比较</t>
        </is>
      </c>
    </row>
    <row r="274">
      <c r="B274" s="0" t="inlineStr">
        <is>
          <t>NULL</t>
        </is>
      </c>
      <c r="C274" s="0" t="inlineStr">
        <is>
          <t>NULL</t>
        </is>
      </c>
      <c r="D274" s="0" t="inlineStr">
        <is>
          <t>NULL</t>
        </is>
      </c>
      <c r="E274" s="0" t="inlineStr">
        <is>
          <t>NULL</t>
        </is>
      </c>
      <c r="F274" s="0" t="inlineStr">
        <is>
          <t>NULL</t>
        </is>
      </c>
      <c r="G274" s="0" t="inlineStr">
        <is>
          <t>NULL</t>
        </is>
      </c>
      <c r="H274" s="0" t="inlineStr">
        <is>
          <t>NULL</t>
        </is>
      </c>
      <c r="I274" s="0" t="inlineStr">
        <is>
          <t>NULL</t>
        </is>
      </c>
      <c r="J274" s="0" t="inlineStr">
        <is>
          <t>NULL</t>
        </is>
      </c>
      <c r="K274" s="0" t="inlineStr">
        <is>
          <t>[0;32m YES! [0m 	 c_smallint列源备映射正确，源端为sql_variant 0位	期望更改为VARCHAR(255)	实际备端为varchar 1020位	位数精度不存在，通过长度比较</t>
        </is>
      </c>
    </row>
    <row r="275">
      <c r="B275" s="0" t="inlineStr">
        <is>
          <t>NULL</t>
        </is>
      </c>
      <c r="C275" s="0" t="inlineStr">
        <is>
          <t>NULL</t>
        </is>
      </c>
      <c r="D275" s="0" t="inlineStr">
        <is>
          <t>NULL</t>
        </is>
      </c>
      <c r="E275" s="0" t="inlineStr">
        <is>
          <t>NULL</t>
        </is>
      </c>
      <c r="F275" s="0" t="inlineStr">
        <is>
          <t>NULL</t>
        </is>
      </c>
      <c r="G275" s="0" t="inlineStr">
        <is>
          <t>NULL</t>
        </is>
      </c>
      <c r="H275" s="0" t="inlineStr">
        <is>
          <t>NULL</t>
        </is>
      </c>
      <c r="I275" s="0" t="inlineStr">
        <is>
          <t>NULL</t>
        </is>
      </c>
      <c r="J275" s="0" t="inlineStr">
        <is>
          <t>NULL</t>
        </is>
      </c>
      <c r="K275" s="0" t="inlineStr">
        <is>
          <t>[0;32m YES! [0m 	 c_int列源备映射正确，源端为sql_variant 0位	期望更改为VARCHAR(255)	实际备端为varchar 1020位	位数精度不存在，通过长度比较</t>
        </is>
      </c>
    </row>
    <row r="276">
      <c r="B276" s="0" t="inlineStr">
        <is>
          <t>NULL</t>
        </is>
      </c>
      <c r="C276" s="0" t="inlineStr">
        <is>
          <t>NULL</t>
        </is>
      </c>
      <c r="D276" s="0" t="inlineStr">
        <is>
          <t>NULL</t>
        </is>
      </c>
      <c r="E276" s="0" t="inlineStr">
        <is>
          <t>NULL</t>
        </is>
      </c>
      <c r="F276" s="0" t="inlineStr">
        <is>
          <t>NULL</t>
        </is>
      </c>
      <c r="G276" s="0" t="inlineStr">
        <is>
          <t>NULL</t>
        </is>
      </c>
      <c r="H276" s="0" t="inlineStr">
        <is>
          <t>NULL</t>
        </is>
      </c>
      <c r="I276" s="0" t="inlineStr">
        <is>
          <t>NULL</t>
        </is>
      </c>
      <c r="J276" s="0" t="inlineStr">
        <is>
          <t>NULL</t>
        </is>
      </c>
      <c r="K276" s="0" t="inlineStr">
        <is>
          <t>[0;32m YES! [0m 	 c_sdt列源备映射正确，源端为sql_variant 0位	期望更改为VARCHAR(255)	实际备端为varchar 1020位	位数精度不存在，通过长度比较</t>
        </is>
      </c>
    </row>
    <row r="277">
      <c r="B277" s="0" t="inlineStr">
        <is>
          <t>NULL</t>
        </is>
      </c>
      <c r="C277" s="0" t="inlineStr">
        <is>
          <t>NULL</t>
        </is>
      </c>
      <c r="D277" s="0" t="inlineStr">
        <is>
          <t>NULL</t>
        </is>
      </c>
      <c r="E277" s="0" t="inlineStr">
        <is>
          <t>NULL</t>
        </is>
      </c>
      <c r="F277" s="0" t="inlineStr">
        <is>
          <t>NULL</t>
        </is>
      </c>
      <c r="G277" s="0" t="inlineStr">
        <is>
          <t>NULL</t>
        </is>
      </c>
      <c r="H277" s="0" t="inlineStr">
        <is>
          <t>NULL</t>
        </is>
      </c>
      <c r="I277" s="0" t="inlineStr">
        <is>
          <t>NULL</t>
        </is>
      </c>
      <c r="J277" s="0" t="inlineStr">
        <is>
          <t>NULL</t>
        </is>
      </c>
      <c r="K277" s="0" t="inlineStr">
        <is>
          <t>[0;32m YES! [0m 	 c_real列源备映射正确，源端为sql_variant 0位	期望更改为VARCHAR(255)	实际备端为varchar 1020位	位数精度不存在，通过长度比较</t>
        </is>
      </c>
    </row>
    <row r="278">
      <c r="B278" s="0" t="inlineStr">
        <is>
          <t>NULL</t>
        </is>
      </c>
      <c r="C278" s="0" t="inlineStr">
        <is>
          <t>NULL</t>
        </is>
      </c>
      <c r="D278" s="0" t="inlineStr">
        <is>
          <t>NULL</t>
        </is>
      </c>
      <c r="E278" s="0" t="inlineStr">
        <is>
          <t>NULL</t>
        </is>
      </c>
      <c r="F278" s="0" t="inlineStr">
        <is>
          <t>NULL</t>
        </is>
      </c>
      <c r="G278" s="0" t="inlineStr">
        <is>
          <t>NULL</t>
        </is>
      </c>
      <c r="H278" s="0" t="inlineStr">
        <is>
          <t>NULL</t>
        </is>
      </c>
      <c r="I278" s="0" t="inlineStr">
        <is>
          <t>NULL</t>
        </is>
      </c>
      <c r="J278" s="0" t="inlineStr">
        <is>
          <t>NULL</t>
        </is>
      </c>
      <c r="K278" s="0" t="inlineStr">
        <is>
          <t>[0;32m YES! [0m 	 c_money列源备映射正确，源端为sql_variant 0位	期望更改为VARCHAR(255)	实际备端为varchar 1020位	位数精度不存在，通过长度比较</t>
        </is>
      </c>
    </row>
    <row r="279">
      <c r="B279" s="0" t="inlineStr">
        <is>
          <t>NULL</t>
        </is>
      </c>
      <c r="C279" s="0" t="inlineStr">
        <is>
          <t>NULL</t>
        </is>
      </c>
      <c r="D279" s="0" t="inlineStr">
        <is>
          <t>NULL</t>
        </is>
      </c>
      <c r="E279" s="0" t="inlineStr">
        <is>
          <t>NULL</t>
        </is>
      </c>
      <c r="F279" s="0" t="inlineStr">
        <is>
          <t>NULL</t>
        </is>
      </c>
      <c r="G279" s="0" t="inlineStr">
        <is>
          <t>NULL</t>
        </is>
      </c>
      <c r="H279" s="0" t="inlineStr">
        <is>
          <t>NULL</t>
        </is>
      </c>
      <c r="I279" s="0" t="inlineStr">
        <is>
          <t>NULL</t>
        </is>
      </c>
      <c r="J279" s="0" t="inlineStr">
        <is>
          <t>NULL</t>
        </is>
      </c>
      <c r="K279" s="0" t="inlineStr">
        <is>
          <t>[0;32m YES! [0m 	 c_datetime列源备映射正确，源端为sql_variant 0位	期望更改为VARCHAR(255)	实际备端为varchar 1020位	位数精度不存在，通过长度比较</t>
        </is>
      </c>
    </row>
    <row r="280">
      <c r="B280" s="0" t="inlineStr">
        <is>
          <t>NULL</t>
        </is>
      </c>
      <c r="C280" s="0" t="inlineStr">
        <is>
          <t>NULL</t>
        </is>
      </c>
      <c r="D280" s="0" t="inlineStr">
        <is>
          <t>NULL</t>
        </is>
      </c>
      <c r="E280" s="0" t="inlineStr">
        <is>
          <t>NULL</t>
        </is>
      </c>
      <c r="F280" s="0" t="inlineStr">
        <is>
          <t>NULL</t>
        </is>
      </c>
      <c r="G280" s="0" t="inlineStr">
        <is>
          <t>NULL</t>
        </is>
      </c>
      <c r="H280" s="0" t="inlineStr">
        <is>
          <t>NULL</t>
        </is>
      </c>
      <c r="I280" s="0" t="inlineStr">
        <is>
          <t>NULL</t>
        </is>
      </c>
      <c r="J280" s="0" t="inlineStr">
        <is>
          <t>NULL</t>
        </is>
      </c>
      <c r="K280" s="0" t="inlineStr">
        <is>
          <t>[0;32m YES! [0m 	 c_float列源备映射正确，源端为sql_variant 0位	期望更改为VARCHAR(255)	实际备端为varchar 1020位	位数精度不存在，通过长度比较</t>
        </is>
      </c>
    </row>
    <row r="281">
      <c r="B281" s="0" t="inlineStr">
        <is>
          <t>NULL</t>
        </is>
      </c>
      <c r="C281" s="0" t="inlineStr">
        <is>
          <t>NULL</t>
        </is>
      </c>
      <c r="D281" s="0" t="inlineStr">
        <is>
          <t>NULL</t>
        </is>
      </c>
      <c r="E281" s="0" t="inlineStr">
        <is>
          <t>NULL</t>
        </is>
      </c>
      <c r="F281" s="0" t="inlineStr">
        <is>
          <t>NULL</t>
        </is>
      </c>
      <c r="G281" s="0" t="inlineStr">
        <is>
          <t>NULL</t>
        </is>
      </c>
      <c r="H281" s="0" t="inlineStr">
        <is>
          <t>NULL</t>
        </is>
      </c>
      <c r="I281" s="0" t="inlineStr">
        <is>
          <t>NULL</t>
        </is>
      </c>
      <c r="J281" s="0" t="inlineStr">
        <is>
          <t>NULL</t>
        </is>
      </c>
      <c r="K281" s="0" t="inlineStr">
        <is>
          <t>[0;32m YES! [0m 	 c_bit列源备映射正确，源端为sql_variant 0位	期望更改为VARCHAR(255)	实际备端为varchar 1020位	位数精度不存在，通过长度比较</t>
        </is>
      </c>
    </row>
    <row r="282">
      <c r="B282" s="0" t="inlineStr">
        <is>
          <t>NULL</t>
        </is>
      </c>
      <c r="C282" s="0" t="inlineStr">
        <is>
          <t>NULL</t>
        </is>
      </c>
      <c r="D282" s="0" t="inlineStr">
        <is>
          <t>NULL</t>
        </is>
      </c>
      <c r="E282" s="0" t="inlineStr">
        <is>
          <t>NULL</t>
        </is>
      </c>
      <c r="F282" s="0" t="inlineStr">
        <is>
          <t>NULL</t>
        </is>
      </c>
      <c r="G282" s="0" t="inlineStr">
        <is>
          <t>NULL</t>
        </is>
      </c>
      <c r="H282" s="0" t="inlineStr">
        <is>
          <t>NULL</t>
        </is>
      </c>
      <c r="I282" s="0" t="inlineStr">
        <is>
          <t>NULL</t>
        </is>
      </c>
      <c r="J282" s="0" t="inlineStr">
        <is>
          <t>NULL</t>
        </is>
      </c>
      <c r="K282" s="0" t="inlineStr">
        <is>
          <t>[0;32m YES! [0m 	 c_decimal列源备映射正确，源端为sql_variant 0位	期望更改为VARCHAR(255)	实际备端为varchar 1020位	位数精度不存在，通过长度比较</t>
        </is>
      </c>
    </row>
    <row r="283">
      <c r="B283" s="0" t="inlineStr">
        <is>
          <t>NULL</t>
        </is>
      </c>
      <c r="C283" s="0" t="inlineStr">
        <is>
          <t>NULL</t>
        </is>
      </c>
      <c r="D283" s="0" t="inlineStr">
        <is>
          <t>NULL</t>
        </is>
      </c>
      <c r="E283" s="0" t="inlineStr">
        <is>
          <t>NULL</t>
        </is>
      </c>
      <c r="F283" s="0" t="inlineStr">
        <is>
          <t>NULL</t>
        </is>
      </c>
      <c r="G283" s="0" t="inlineStr">
        <is>
          <t>NULL</t>
        </is>
      </c>
      <c r="H283" s="0" t="inlineStr">
        <is>
          <t>NULL</t>
        </is>
      </c>
      <c r="I283" s="0" t="inlineStr">
        <is>
          <t>NULL</t>
        </is>
      </c>
      <c r="J283" s="0" t="inlineStr">
        <is>
          <t>NULL</t>
        </is>
      </c>
      <c r="K283" s="0" t="inlineStr">
        <is>
          <t>[0;32m YES! [0m 	 c_uniqueidentifier列源备映射正确，源端为sql_variant 0位	期望更改为VARCHAR(255)	实际备端为varchar 1020位	位数精度不存在，通过长度比较</t>
        </is>
      </c>
    </row>
    <row r="284">
      <c r="B284" s="0" t="inlineStr">
        <is>
          <t>NULL</t>
        </is>
      </c>
      <c r="C284" s="0" t="inlineStr">
        <is>
          <t>NULL</t>
        </is>
      </c>
      <c r="D284" s="0" t="inlineStr">
        <is>
          <t>NULL</t>
        </is>
      </c>
      <c r="E284" s="0" t="inlineStr">
        <is>
          <t>NULL</t>
        </is>
      </c>
      <c r="F284" s="0" t="inlineStr">
        <is>
          <t>NULL</t>
        </is>
      </c>
      <c r="G284" s="0" t="inlineStr">
        <is>
          <t>NULL</t>
        </is>
      </c>
      <c r="H284" s="0" t="inlineStr">
        <is>
          <t>NULL</t>
        </is>
      </c>
      <c r="I284" s="0" t="inlineStr">
        <is>
          <t>NULL</t>
        </is>
      </c>
      <c r="J284" s="0" t="inlineStr">
        <is>
          <t>NULL</t>
        </is>
      </c>
      <c r="K284" s="0" t="inlineStr">
        <is>
          <t>[0;32m YES! [0m 	 c_smallmoney列源备映射正确，源端为sql_variant 0位	期望更改为VARCHAR(255)	实际备端为varchar 1020位	位数精度不存在，通过长度比较</t>
        </is>
      </c>
    </row>
    <row r="285">
      <c r="B285" s="0" t="inlineStr">
        <is>
          <t>NULL</t>
        </is>
      </c>
      <c r="C285" s="0" t="inlineStr">
        <is>
          <t>NULL</t>
        </is>
      </c>
      <c r="D285" s="0" t="inlineStr">
        <is>
          <t>NULL</t>
        </is>
      </c>
      <c r="E285" s="0" t="inlineStr">
        <is>
          <t>NULL</t>
        </is>
      </c>
      <c r="F285" s="0" t="inlineStr">
        <is>
          <t>NULL</t>
        </is>
      </c>
      <c r="G285" s="0" t="inlineStr">
        <is>
          <t>NULL</t>
        </is>
      </c>
      <c r="H285" s="0" t="inlineStr">
        <is>
          <t>NULL</t>
        </is>
      </c>
      <c r="I285" s="0" t="inlineStr">
        <is>
          <t>NULL</t>
        </is>
      </c>
      <c r="J285" s="0" t="inlineStr">
        <is>
          <t>NULL</t>
        </is>
      </c>
      <c r="K285" s="0" t="inlineStr">
        <is>
          <t>[0;32m YES! [0m 	 c_bigint列源备映射正确，源端为sql_variant 0位	期望更改为VARCHAR(255)	实际备端为varchar 1020位	位数精度不存在，通过长度比较</t>
        </is>
      </c>
    </row>
    <row r="286">
      <c r="B286" s="0" t="inlineStr">
        <is>
          <t>NULL</t>
        </is>
      </c>
      <c r="C286" s="0" t="inlineStr">
        <is>
          <t>NULL</t>
        </is>
      </c>
      <c r="D286" s="0" t="inlineStr">
        <is>
          <t>NULL</t>
        </is>
      </c>
      <c r="E286" s="0" t="inlineStr">
        <is>
          <t>NULL</t>
        </is>
      </c>
      <c r="F286" s="0" t="inlineStr">
        <is>
          <t>NULL</t>
        </is>
      </c>
      <c r="G286" s="0" t="inlineStr">
        <is>
          <t>NULL</t>
        </is>
      </c>
      <c r="H286" s="0" t="inlineStr">
        <is>
          <t>NULL</t>
        </is>
      </c>
      <c r="I286" s="0" t="inlineStr">
        <is>
          <t>NULL</t>
        </is>
      </c>
      <c r="J286" s="0" t="inlineStr">
        <is>
          <t>NULL</t>
        </is>
      </c>
      <c r="K286" s="0" t="inlineStr">
        <is>
          <t>[0;32m YES! [0m 	 c_varbinary_20列源备映射正确，源端为sql_variant 0位	期望更改为VARCHAR(255)	实际备端为varchar 1020位	位数精度不存在，通过长度比较</t>
        </is>
      </c>
    </row>
    <row r="287">
      <c r="B287" s="0" t="inlineStr">
        <is>
          <t>NULL</t>
        </is>
      </c>
      <c r="C287" s="0" t="inlineStr">
        <is>
          <t>NULL</t>
        </is>
      </c>
      <c r="D287" s="0" t="inlineStr">
        <is>
          <t>NULL</t>
        </is>
      </c>
      <c r="E287" s="0" t="inlineStr">
        <is>
          <t>NULL</t>
        </is>
      </c>
      <c r="F287" s="0" t="inlineStr">
        <is>
          <t>NULL</t>
        </is>
      </c>
      <c r="G287" s="0" t="inlineStr">
        <is>
          <t>NULL</t>
        </is>
      </c>
      <c r="H287" s="0" t="inlineStr">
        <is>
          <t>NULL</t>
        </is>
      </c>
      <c r="I287" s="0" t="inlineStr">
        <is>
          <t>NULL</t>
        </is>
      </c>
      <c r="J287" s="0" t="inlineStr">
        <is>
          <t>NULL</t>
        </is>
      </c>
      <c r="K287" s="0" t="inlineStr">
        <is>
          <t>[0;32m YES! [0m 	 c_varchar_20列源备映射正确，源端为sql_variant 0位	期望更改为VARCHAR(255)	实际备端为varchar 1020位	位数精度不存在，通过长度比较</t>
        </is>
      </c>
    </row>
    <row r="288">
      <c r="B288" s="0" t="inlineStr">
        <is>
          <t>NULL</t>
        </is>
      </c>
      <c r="C288" s="0" t="inlineStr">
        <is>
          <t>NULL</t>
        </is>
      </c>
      <c r="D288" s="0" t="inlineStr">
        <is>
          <t>NULL</t>
        </is>
      </c>
      <c r="E288" s="0" t="inlineStr">
        <is>
          <t>NULL</t>
        </is>
      </c>
      <c r="F288" s="0" t="inlineStr">
        <is>
          <t>NULL</t>
        </is>
      </c>
      <c r="G288" s="0" t="inlineStr">
        <is>
          <t>NULL</t>
        </is>
      </c>
      <c r="H288" s="0" t="inlineStr">
        <is>
          <t>NULL</t>
        </is>
      </c>
      <c r="I288" s="0" t="inlineStr">
        <is>
          <t>NULL</t>
        </is>
      </c>
      <c r="J288" s="0" t="inlineStr">
        <is>
          <t>NULL</t>
        </is>
      </c>
      <c r="K288" s="0" t="inlineStr">
        <is>
          <t>[0;32m YES! [0m 	 c_binary_20列源备映射正确，源端为sql_variant 0位	期望更改为VARCHAR(255)	实际备端为varchar 1020位	位数精度不存在，通过长度比较</t>
        </is>
      </c>
    </row>
    <row r="289">
      <c r="B289" s="0" t="inlineStr">
        <is>
          <t>NULL</t>
        </is>
      </c>
      <c r="C289" s="0" t="inlineStr">
        <is>
          <t>NULL</t>
        </is>
      </c>
      <c r="D289" s="0" t="inlineStr">
        <is>
          <t>NULL</t>
        </is>
      </c>
      <c r="E289" s="0" t="inlineStr">
        <is>
          <t>NULL</t>
        </is>
      </c>
      <c r="F289" s="0" t="inlineStr">
        <is>
          <t>NULL</t>
        </is>
      </c>
      <c r="G289" s="0" t="inlineStr">
        <is>
          <t>NULL</t>
        </is>
      </c>
      <c r="H289" s="0" t="inlineStr">
        <is>
          <t>NULL</t>
        </is>
      </c>
      <c r="I289" s="0" t="inlineStr">
        <is>
          <t>NULL</t>
        </is>
      </c>
      <c r="J289" s="0" t="inlineStr">
        <is>
          <t>NULL</t>
        </is>
      </c>
      <c r="K289" s="0" t="inlineStr">
        <is>
          <t>[0;32m YES! [0m 	 c_char_20列源备映射正确，源端为sql_variant 0位	期望更改为VARCHAR(255)	实际备端为varchar 1020位	位数精度不存在，通过长度比较</t>
        </is>
      </c>
    </row>
    <row r="290">
      <c r="B290" s="0" t="inlineStr">
        <is>
          <t>NULL</t>
        </is>
      </c>
      <c r="C290" s="0" t="inlineStr">
        <is>
          <t>NULL</t>
        </is>
      </c>
      <c r="D290" s="0" t="inlineStr">
        <is>
          <t>NULL</t>
        </is>
      </c>
      <c r="E290" s="0" t="inlineStr">
        <is>
          <t>NULL</t>
        </is>
      </c>
      <c r="F290" s="0" t="inlineStr">
        <is>
          <t>NULL</t>
        </is>
      </c>
      <c r="G290" s="0" t="inlineStr">
        <is>
          <t>NULL</t>
        </is>
      </c>
      <c r="H290" s="0" t="inlineStr">
        <is>
          <t>NULL</t>
        </is>
      </c>
      <c r="I290" s="0" t="inlineStr">
        <is>
          <t>NULL</t>
        </is>
      </c>
      <c r="J290" s="0" t="inlineStr">
        <is>
          <t>NULL</t>
        </is>
      </c>
      <c r="K290" s="0" t="inlineStr">
        <is>
          <t>[0;32m YES! [0m 	 c_nvarchar_20列源备映射正确，源端为sql_variant 0位	期望更改为VARCHAR(255)	实际备端为varchar 1020位	位数精度不存在，通过长度比较</t>
        </is>
      </c>
    </row>
    <row r="291">
      <c r="B291" s="0" t="inlineStr">
        <is>
          <t>NULL</t>
        </is>
      </c>
      <c r="C291" s="0" t="inlineStr">
        <is>
          <t>NULL</t>
        </is>
      </c>
      <c r="D291" s="0" t="inlineStr">
        <is>
          <t>NULL</t>
        </is>
      </c>
      <c r="E291" s="0" t="inlineStr">
        <is>
          <t>NULL</t>
        </is>
      </c>
      <c r="F291" s="0" t="inlineStr">
        <is>
          <t>NULL</t>
        </is>
      </c>
      <c r="G291" s="0" t="inlineStr">
        <is>
          <t>NULL</t>
        </is>
      </c>
      <c r="H291" s="0" t="inlineStr">
        <is>
          <t>NULL</t>
        </is>
      </c>
      <c r="I291" s="0" t="inlineStr">
        <is>
          <t>NULL</t>
        </is>
      </c>
      <c r="J291" s="0" t="inlineStr">
        <is>
          <t>NULL</t>
        </is>
      </c>
      <c r="K291" s="0" t="inlineStr">
        <is>
          <t>[0;32m YES! [0m 	 c_nchar_20列源备映射正确，源端为sql_variant 0位	期望更改为VARCHAR(255)	实际备端为varchar 1020位	位数精度不存在，通过长度比较</t>
        </is>
      </c>
    </row>
    <row r="292">
      <c r="B292" s="0" t="inlineStr">
        <is>
          <t>NULL</t>
        </is>
      </c>
      <c r="C292" s="0" t="inlineStr">
        <is>
          <t>NULL</t>
        </is>
      </c>
      <c r="D292" s="0" t="inlineStr">
        <is>
          <t>NULL</t>
        </is>
      </c>
      <c r="E292" s="0" t="inlineStr">
        <is>
          <t>NULL</t>
        </is>
      </c>
      <c r="F292" s="0" t="inlineStr">
        <is>
          <t>NULL</t>
        </is>
      </c>
      <c r="G292" s="0" t="inlineStr">
        <is>
          <t>NULL</t>
        </is>
      </c>
      <c r="H292" s="0" t="inlineStr">
        <is>
          <t>NULL</t>
        </is>
      </c>
      <c r="I292" s="0" t="inlineStr">
        <is>
          <t>NULL</t>
        </is>
      </c>
      <c r="J292" s="0" t="inlineStr">
        <is>
          <t>NULL</t>
        </is>
      </c>
      <c r="K292" s="0" t="inlineStr">
        <is>
          <t>[0;32m YES! [0m 	 c_timestamp列源备映射正确，源端为timestamp None位	期望更改为binary(8)	实际备端为binary 8位	位数精度不存在，通过长度比较</t>
        </is>
      </c>
    </row>
    <row r="293">
      <c r="K293" s="0" t="inlineStr">
        <is>
          <t>[0;31m NO! [0m 	  行数不同,源2行,备端空表</t>
        </is>
      </c>
    </row>
    <row r="294">
      <c r="A294" s="0" t="inlineStr">
        <is>
          <t>info_int_dml_single_nopk_drp</t>
        </is>
      </c>
      <c r="K294" s="0" t="inlineStr">
        <is>
          <t>[0;34m info_int_dml_single_nopk_drp [0m源备字段数相同，源端字段：20 	备端字段20</t>
        </is>
      </c>
      <c r="W294" s="15">
        <f>HYPERLINK("#2026051816mysql0!AC2","NO 源备存在差异，共2个")</f>
        <v/>
      </c>
      <c r="X294" s="0">
        <f>A294</f>
        <v/>
      </c>
    </row>
    <row r="295">
      <c r="B295" s="0" t="inlineStr">
        <is>
          <t>NULL</t>
        </is>
      </c>
      <c r="C295" s="0" t="inlineStr">
        <is>
          <t>NULL</t>
        </is>
      </c>
      <c r="D295" s="0" t="inlineStr">
        <is>
          <t>NULL</t>
        </is>
      </c>
      <c r="E295" s="0" t="inlineStr">
        <is>
          <t>NULL</t>
        </is>
      </c>
      <c r="F295" s="0" t="inlineStr">
        <is>
          <t>NULL</t>
        </is>
      </c>
      <c r="G295" s="0" t="inlineStr">
        <is>
          <t>NULL</t>
        </is>
      </c>
      <c r="H295" s="0" t="inlineStr">
        <is>
          <t>NULL</t>
        </is>
      </c>
      <c r="I295" s="0" t="inlineStr">
        <is>
          <t>NULL</t>
        </is>
      </c>
      <c r="J295" s="0" t="inlineStr">
        <is>
          <t>NULL</t>
        </is>
      </c>
      <c r="K295" s="0" t="inlineStr">
        <is>
          <t>YES! 	 id列源备映射正确，源端为int None位	期望更改为int	实际备端为int None位</t>
        </is>
      </c>
    </row>
    <row r="296">
      <c r="B296" s="0" t="inlineStr">
        <is>
          <t>NULL</t>
        </is>
      </c>
      <c r="C296" s="0" t="inlineStr">
        <is>
          <t>NULL</t>
        </is>
      </c>
      <c r="D296" s="0" t="inlineStr">
        <is>
          <t>NULL</t>
        </is>
      </c>
      <c r="E296" s="0" t="inlineStr">
        <is>
          <t>NULL</t>
        </is>
      </c>
      <c r="F296" s="0" t="inlineStr">
        <is>
          <t>NULL</t>
        </is>
      </c>
      <c r="G296" s="0" t="inlineStr">
        <is>
          <t>NULL</t>
        </is>
      </c>
      <c r="H296" s="0" t="inlineStr">
        <is>
          <t>NULL</t>
        </is>
      </c>
      <c r="I296" s="0" t="inlineStr">
        <is>
          <t>NULL</t>
        </is>
      </c>
      <c r="J296" s="0" t="inlineStr">
        <is>
          <t>NULL</t>
        </is>
      </c>
      <c r="K296" s="0" t="inlineStr">
        <is>
          <t>YES! 	 c_tinyint列源备映射正确，源端为tinyint None位	期望更改为tinyint	实际备端为tinyint None位</t>
        </is>
      </c>
    </row>
    <row r="297">
      <c r="B297" s="0" t="inlineStr">
        <is>
          <t>NULL</t>
        </is>
      </c>
      <c r="C297" s="0" t="inlineStr">
        <is>
          <t>NULL</t>
        </is>
      </c>
      <c r="D297" s="0" t="inlineStr">
        <is>
          <t>NULL</t>
        </is>
      </c>
      <c r="E297" s="0" t="inlineStr">
        <is>
          <t>NULL</t>
        </is>
      </c>
      <c r="F297" s="0" t="inlineStr">
        <is>
          <t>NULL</t>
        </is>
      </c>
      <c r="G297" s="0" t="inlineStr">
        <is>
          <t>NULL</t>
        </is>
      </c>
      <c r="H297" s="0" t="inlineStr">
        <is>
          <t>NULL</t>
        </is>
      </c>
      <c r="I297" s="0" t="inlineStr">
        <is>
          <t>NULL</t>
        </is>
      </c>
      <c r="J297" s="0" t="inlineStr">
        <is>
          <t>NULL</t>
        </is>
      </c>
      <c r="K297" s="0" t="inlineStr">
        <is>
          <t>YES! 	 c_smallint列源备映射正确，源端为smallint None位	期望更改为smallint	实际备端为smallint None位</t>
        </is>
      </c>
    </row>
    <row r="298">
      <c r="B298" s="0" t="inlineStr">
        <is>
          <t>NULL</t>
        </is>
      </c>
      <c r="C298" s="0" t="inlineStr">
        <is>
          <t>NULL</t>
        </is>
      </c>
      <c r="D298" s="0" t="inlineStr">
        <is>
          <t>NULL</t>
        </is>
      </c>
      <c r="E298" s="0" t="inlineStr">
        <is>
          <t>NULL</t>
        </is>
      </c>
      <c r="F298" s="0" t="inlineStr">
        <is>
          <t>NULL</t>
        </is>
      </c>
      <c r="G298" s="0" t="inlineStr">
        <is>
          <t>NULL</t>
        </is>
      </c>
      <c r="H298" s="0" t="inlineStr">
        <is>
          <t>NULL</t>
        </is>
      </c>
      <c r="I298" s="0" t="inlineStr">
        <is>
          <t>NULL</t>
        </is>
      </c>
      <c r="J298" s="0" t="inlineStr">
        <is>
          <t>NULL</t>
        </is>
      </c>
      <c r="K298" s="0" t="inlineStr">
        <is>
          <t>YES! 	 c_int列源备映射正确，源端为int None位	期望更改为int	实际备端为int None位</t>
        </is>
      </c>
    </row>
    <row r="299">
      <c r="B299" s="0" t="inlineStr">
        <is>
          <t>NULL</t>
        </is>
      </c>
      <c r="C299" s="0" t="inlineStr">
        <is>
          <t>NULL</t>
        </is>
      </c>
      <c r="D299" s="0" t="inlineStr">
        <is>
          <t>NULL</t>
        </is>
      </c>
      <c r="E299" s="0" t="inlineStr">
        <is>
          <t>NULL</t>
        </is>
      </c>
      <c r="F299" s="0" t="inlineStr">
        <is>
          <t>NULL</t>
        </is>
      </c>
      <c r="G299" s="0" t="inlineStr">
        <is>
          <t>NULL</t>
        </is>
      </c>
      <c r="H299" s="0" t="inlineStr">
        <is>
          <t>NULL</t>
        </is>
      </c>
      <c r="I299" s="0" t="inlineStr">
        <is>
          <t>NULL</t>
        </is>
      </c>
      <c r="J299" s="0" t="inlineStr">
        <is>
          <t>NULL</t>
        </is>
      </c>
      <c r="K299" s="0" t="inlineStr">
        <is>
          <t>YES! 	 c_bigint列源备映射正确，源端为bigint None位	期望更改为bigint	实际备端为bigint None位</t>
        </is>
      </c>
    </row>
    <row r="300">
      <c r="B300" s="0" t="inlineStr">
        <is>
          <t>NULL</t>
        </is>
      </c>
      <c r="C300" s="0" t="inlineStr">
        <is>
          <t>NULL</t>
        </is>
      </c>
      <c r="D300" s="0" t="inlineStr">
        <is>
          <t>NULL</t>
        </is>
      </c>
      <c r="E300" s="0" t="inlineStr">
        <is>
          <t>NULL</t>
        </is>
      </c>
      <c r="F300" s="0" t="inlineStr">
        <is>
          <t>NULL</t>
        </is>
      </c>
      <c r="G300" s="0" t="inlineStr">
        <is>
          <t>NULL</t>
        </is>
      </c>
      <c r="H300" s="0" t="inlineStr">
        <is>
          <t>NULL</t>
        </is>
      </c>
      <c r="I300" s="0" t="inlineStr">
        <is>
          <t>NULL</t>
        </is>
      </c>
      <c r="J300" s="0" t="inlineStr">
        <is>
          <t>NULL</t>
        </is>
      </c>
      <c r="K300" s="0" t="inlineStr">
        <is>
          <t>YES! 	 c_decimal列源备映射正确，源端为decimal None位	期望更改为decimal(p,s)	实际备端为decimal None位</t>
        </is>
      </c>
    </row>
    <row r="301">
      <c r="B301" s="0" t="inlineStr">
        <is>
          <t>NULL</t>
        </is>
      </c>
      <c r="C301" s="0" t="inlineStr">
        <is>
          <t>NULL</t>
        </is>
      </c>
      <c r="D301" s="0" t="inlineStr">
        <is>
          <t>NULL</t>
        </is>
      </c>
      <c r="E301" s="0" t="inlineStr">
        <is>
          <t>NULL</t>
        </is>
      </c>
      <c r="F301" s="0" t="inlineStr">
        <is>
          <t>NULL</t>
        </is>
      </c>
      <c r="G301" s="0" t="inlineStr">
        <is>
          <t>NULL</t>
        </is>
      </c>
      <c r="H301" s="0" t="inlineStr">
        <is>
          <t>NULL</t>
        </is>
      </c>
      <c r="I301" s="0" t="inlineStr">
        <is>
          <t>NULL</t>
        </is>
      </c>
      <c r="J301" s="0" t="inlineStr">
        <is>
          <t>NULL</t>
        </is>
      </c>
      <c r="K301" s="0" t="inlineStr">
        <is>
          <t>YES! 	 c_decimal38列源备映射正确，源端为decimal None位	期望更改为decimal(p,s)	实际备端为decimal None位</t>
        </is>
      </c>
    </row>
    <row r="302">
      <c r="B302" s="0" t="inlineStr">
        <is>
          <t>NULL</t>
        </is>
      </c>
      <c r="C302" s="0" t="inlineStr">
        <is>
          <t>NULL</t>
        </is>
      </c>
      <c r="D302" s="0" t="inlineStr">
        <is>
          <t>NULL</t>
        </is>
      </c>
      <c r="E302" s="0" t="inlineStr">
        <is>
          <t>NULL</t>
        </is>
      </c>
      <c r="F302" s="0" t="inlineStr">
        <is>
          <t>NULL</t>
        </is>
      </c>
      <c r="G302" s="0" t="inlineStr">
        <is>
          <t>NULL</t>
        </is>
      </c>
      <c r="H302" s="0" t="inlineStr">
        <is>
          <t>NULL</t>
        </is>
      </c>
      <c r="I302" s="0" t="inlineStr">
        <is>
          <t>NULL</t>
        </is>
      </c>
      <c r="J302" s="0" t="inlineStr">
        <is>
          <t>NULL</t>
        </is>
      </c>
      <c r="K302" s="0" t="inlineStr">
        <is>
          <t xml:space="preserve"> NO!  	 c_decimal38_38列源备映射错误，源端为decimal None位	期望更改为decimal(p,s)	实际备端为varchar 168位</t>
        </is>
      </c>
    </row>
    <row r="303">
      <c r="B303" s="0" t="inlineStr">
        <is>
          <t>NULL</t>
        </is>
      </c>
      <c r="C303" s="0" t="inlineStr">
        <is>
          <t>NULL</t>
        </is>
      </c>
      <c r="D303" s="0" t="inlineStr">
        <is>
          <t>NULL</t>
        </is>
      </c>
      <c r="E303" s="0" t="inlineStr">
        <is>
          <t>NULL</t>
        </is>
      </c>
      <c r="F303" s="0" t="inlineStr">
        <is>
          <t>NULL</t>
        </is>
      </c>
      <c r="G303" s="0" t="inlineStr">
        <is>
          <t>NULL</t>
        </is>
      </c>
      <c r="H303" s="0" t="inlineStr">
        <is>
          <t>NULL</t>
        </is>
      </c>
      <c r="I303" s="0" t="inlineStr">
        <is>
          <t>NULL</t>
        </is>
      </c>
      <c r="J303" s="0" t="inlineStr">
        <is>
          <t>NULL</t>
        </is>
      </c>
      <c r="K303" s="0" t="inlineStr">
        <is>
          <t>YES! 	 c_decimal38_10列源备映射正确，源端为decimal None位	期望更改为decimal(p,s)	实际备端为decimal None位</t>
        </is>
      </c>
    </row>
    <row r="304">
      <c r="B304" s="0" t="inlineStr">
        <is>
          <t>NULL</t>
        </is>
      </c>
      <c r="C304" s="0" t="inlineStr">
        <is>
          <t>NULL</t>
        </is>
      </c>
      <c r="D304" s="0" t="inlineStr">
        <is>
          <t>NULL</t>
        </is>
      </c>
      <c r="E304" s="0" t="inlineStr">
        <is>
          <t>NULL</t>
        </is>
      </c>
      <c r="F304" s="0" t="inlineStr">
        <is>
          <t>NULL</t>
        </is>
      </c>
      <c r="G304" s="0" t="inlineStr">
        <is>
          <t>NULL</t>
        </is>
      </c>
      <c r="H304" s="0" t="inlineStr">
        <is>
          <t>NULL</t>
        </is>
      </c>
      <c r="I304" s="0" t="inlineStr">
        <is>
          <t>NULL</t>
        </is>
      </c>
      <c r="J304" s="0" t="inlineStr">
        <is>
          <t>NULL</t>
        </is>
      </c>
      <c r="K304" s="0" t="inlineStr">
        <is>
          <t>YES! 	 c_decimal19_4列源备映射正确，源端为decimal None位	期望更改为decimal(p,s)	实际备端为decimal None位</t>
        </is>
      </c>
    </row>
    <row r="305">
      <c r="B305" s="0" t="inlineStr">
        <is>
          <t>NULL</t>
        </is>
      </c>
      <c r="C305" s="0" t="inlineStr">
        <is>
          <t>NULL</t>
        </is>
      </c>
      <c r="D305" s="0" t="inlineStr">
        <is>
          <t>NULL</t>
        </is>
      </c>
      <c r="E305" s="0" t="inlineStr">
        <is>
          <t>NULL</t>
        </is>
      </c>
      <c r="F305" s="0" t="inlineStr">
        <is>
          <t>NULL</t>
        </is>
      </c>
      <c r="G305" s="0" t="inlineStr">
        <is>
          <t>NULL</t>
        </is>
      </c>
      <c r="H305" s="0" t="inlineStr">
        <is>
          <t>NULL</t>
        </is>
      </c>
      <c r="I305" s="0" t="inlineStr">
        <is>
          <t>NULL</t>
        </is>
      </c>
      <c r="J305" s="0" t="inlineStr">
        <is>
          <t>NULL</t>
        </is>
      </c>
      <c r="K305" s="0" t="inlineStr">
        <is>
          <t>YES! 	 c_numeric列源备映射正确，源端为numeric None位	期望更改为decimal(p,s)	实际备端为decimal None位</t>
        </is>
      </c>
    </row>
    <row r="306">
      <c r="B306" s="0" t="inlineStr">
        <is>
          <t>NULL</t>
        </is>
      </c>
      <c r="C306" s="0" t="inlineStr">
        <is>
          <t>NULL</t>
        </is>
      </c>
      <c r="D306" s="0" t="inlineStr">
        <is>
          <t>NULL</t>
        </is>
      </c>
      <c r="E306" s="0" t="inlineStr">
        <is>
          <t>NULL</t>
        </is>
      </c>
      <c r="F306" s="0" t="inlineStr">
        <is>
          <t>NULL</t>
        </is>
      </c>
      <c r="G306" s="0" t="inlineStr">
        <is>
          <t>NULL</t>
        </is>
      </c>
      <c r="H306" s="0" t="inlineStr">
        <is>
          <t>NULL</t>
        </is>
      </c>
      <c r="I306" s="0" t="inlineStr">
        <is>
          <t>NULL</t>
        </is>
      </c>
      <c r="J306" s="0" t="inlineStr">
        <is>
          <t>NULL</t>
        </is>
      </c>
      <c r="K306" s="0" t="inlineStr">
        <is>
          <t>YES! 	 c_numeric38列源备映射正确，源端为numeric None位	期望更改为decimal(p,s)	实际备端为decimal None位</t>
        </is>
      </c>
    </row>
    <row r="307">
      <c r="B307" s="0" t="inlineStr">
        <is>
          <t>NULL</t>
        </is>
      </c>
      <c r="C307" s="0" t="inlineStr">
        <is>
          <t>NULL</t>
        </is>
      </c>
      <c r="D307" s="0" t="inlineStr">
        <is>
          <t>NULL</t>
        </is>
      </c>
      <c r="E307" s="0" t="inlineStr">
        <is>
          <t>NULL</t>
        </is>
      </c>
      <c r="F307" s="0" t="inlineStr">
        <is>
          <t>NULL</t>
        </is>
      </c>
      <c r="G307" s="0" t="inlineStr">
        <is>
          <t>NULL</t>
        </is>
      </c>
      <c r="H307" s="0" t="inlineStr">
        <is>
          <t>NULL</t>
        </is>
      </c>
      <c r="I307" s="0" t="inlineStr">
        <is>
          <t>NULL</t>
        </is>
      </c>
      <c r="J307" s="0" t="inlineStr">
        <is>
          <t>NULL</t>
        </is>
      </c>
      <c r="K307" s="0" t="inlineStr">
        <is>
          <t xml:space="preserve"> NO!  	 c_numeric38_38列源备映射错误，源端为numeric None位	期望更改为decimal(p,s)	实际备端为varchar 168位</t>
        </is>
      </c>
    </row>
    <row r="308">
      <c r="B308" s="0" t="inlineStr">
        <is>
          <t>NULL</t>
        </is>
      </c>
      <c r="C308" s="0" t="inlineStr">
        <is>
          <t>NULL</t>
        </is>
      </c>
      <c r="D308" s="0" t="inlineStr">
        <is>
          <t>NULL</t>
        </is>
      </c>
      <c r="E308" s="0" t="inlineStr">
        <is>
          <t>NULL</t>
        </is>
      </c>
      <c r="F308" s="0" t="inlineStr">
        <is>
          <t>NULL</t>
        </is>
      </c>
      <c r="G308" s="0" t="inlineStr">
        <is>
          <t>NULL</t>
        </is>
      </c>
      <c r="H308" s="0" t="inlineStr">
        <is>
          <t>NULL</t>
        </is>
      </c>
      <c r="I308" s="0" t="inlineStr">
        <is>
          <t>NULL</t>
        </is>
      </c>
      <c r="J308" s="0" t="inlineStr">
        <is>
          <t>NULL</t>
        </is>
      </c>
      <c r="K308" s="0" t="inlineStr">
        <is>
          <t>YES! 	 c_numeric38_10列源备映射正确，源端为numeric None位	期望更改为decimal(p,s)	实际备端为decimal None位</t>
        </is>
      </c>
    </row>
    <row r="309">
      <c r="B309" s="0" t="inlineStr">
        <is>
          <t>NULL</t>
        </is>
      </c>
      <c r="C309" s="0" t="inlineStr">
        <is>
          <t>NULL</t>
        </is>
      </c>
      <c r="D309" s="0" t="inlineStr">
        <is>
          <t>NULL</t>
        </is>
      </c>
      <c r="E309" s="0" t="inlineStr">
        <is>
          <t>NULL</t>
        </is>
      </c>
      <c r="F309" s="0" t="inlineStr">
        <is>
          <t>NULL</t>
        </is>
      </c>
      <c r="G309" s="0" t="inlineStr">
        <is>
          <t>NULL</t>
        </is>
      </c>
      <c r="H309" s="0" t="inlineStr">
        <is>
          <t>NULL</t>
        </is>
      </c>
      <c r="I309" s="0" t="inlineStr">
        <is>
          <t>NULL</t>
        </is>
      </c>
      <c r="J309" s="0" t="inlineStr">
        <is>
          <t>NULL</t>
        </is>
      </c>
      <c r="K309" s="0" t="inlineStr">
        <is>
          <t>YES! 	 c_numeric18_2列源备映射正确，源端为numeric None位	期望更改为decimal(p,s)	实际备端为decimal None位</t>
        </is>
      </c>
    </row>
    <row r="310">
      <c r="B310" s="0" t="inlineStr">
        <is>
          <t>NULL</t>
        </is>
      </c>
      <c r="C310" s="0" t="inlineStr">
        <is>
          <t>NULL</t>
        </is>
      </c>
      <c r="D310" s="0" t="inlineStr">
        <is>
          <t>NULL</t>
        </is>
      </c>
      <c r="E310" s="0" t="inlineStr">
        <is>
          <t>NULL</t>
        </is>
      </c>
      <c r="F310" s="0" t="inlineStr">
        <is>
          <t>NULL</t>
        </is>
      </c>
      <c r="G310" s="0" t="inlineStr">
        <is>
          <t>NULL</t>
        </is>
      </c>
      <c r="H310" s="0" t="inlineStr">
        <is>
          <t>NULL</t>
        </is>
      </c>
      <c r="I310" s="0" t="inlineStr">
        <is>
          <t>NULL</t>
        </is>
      </c>
      <c r="J310" s="0" t="inlineStr">
        <is>
          <t>NULL</t>
        </is>
      </c>
      <c r="K310" s="0" t="inlineStr">
        <is>
          <t>YES! 	 c_float列源备映射正确，源端为float None位	期望更改为double	实际备端为double None位</t>
        </is>
      </c>
    </row>
    <row r="311">
      <c r="B311" s="0" t="inlineStr">
        <is>
          <t>NULL</t>
        </is>
      </c>
      <c r="C311" s="0" t="inlineStr">
        <is>
          <t>NULL</t>
        </is>
      </c>
      <c r="D311" s="0" t="inlineStr">
        <is>
          <t>NULL</t>
        </is>
      </c>
      <c r="E311" s="0" t="inlineStr">
        <is>
          <t>NULL</t>
        </is>
      </c>
      <c r="F311" s="0" t="inlineStr">
        <is>
          <t>NULL</t>
        </is>
      </c>
      <c r="G311" s="0" t="inlineStr">
        <is>
          <t>NULL</t>
        </is>
      </c>
      <c r="H311" s="0" t="inlineStr">
        <is>
          <t>NULL</t>
        </is>
      </c>
      <c r="I311" s="0" t="inlineStr">
        <is>
          <t>NULL</t>
        </is>
      </c>
      <c r="J311" s="0" t="inlineStr">
        <is>
          <t>NULL</t>
        </is>
      </c>
      <c r="K311" s="0" t="inlineStr">
        <is>
          <t>YES! 	 c_real列源备映射正确，源端为real None位	期望更改为double	实际备端为double None位</t>
        </is>
      </c>
    </row>
    <row r="312">
      <c r="B312" s="0" t="inlineStr">
        <is>
          <t>NULL</t>
        </is>
      </c>
      <c r="C312" s="0" t="inlineStr">
        <is>
          <t>NULL</t>
        </is>
      </c>
      <c r="D312" s="0" t="inlineStr">
        <is>
          <t>NULL</t>
        </is>
      </c>
      <c r="E312" s="0" t="inlineStr">
        <is>
          <t>NULL</t>
        </is>
      </c>
      <c r="F312" s="0" t="inlineStr">
        <is>
          <t>NULL</t>
        </is>
      </c>
      <c r="G312" s="0" t="inlineStr">
        <is>
          <t>NULL</t>
        </is>
      </c>
      <c r="H312" s="0" t="inlineStr">
        <is>
          <t>NULL</t>
        </is>
      </c>
      <c r="I312" s="0" t="inlineStr">
        <is>
          <t>NULL</t>
        </is>
      </c>
      <c r="J312" s="0" t="inlineStr">
        <is>
          <t>NULL</t>
        </is>
      </c>
      <c r="K312" s="0" t="inlineStr">
        <is>
          <t>YES! 	 c_money列源备映射正确，源端为money None位	期望更改为decimal(19,4)	实际备端为decimal None位</t>
        </is>
      </c>
    </row>
    <row r="313">
      <c r="B313" s="0" t="inlineStr">
        <is>
          <t>NULL</t>
        </is>
      </c>
      <c r="C313" s="0" t="inlineStr">
        <is>
          <t>NULL</t>
        </is>
      </c>
      <c r="D313" s="0" t="inlineStr">
        <is>
          <t>NULL</t>
        </is>
      </c>
      <c r="E313" s="0" t="inlineStr">
        <is>
          <t>NULL</t>
        </is>
      </c>
      <c r="F313" s="0" t="inlineStr">
        <is>
          <t>NULL</t>
        </is>
      </c>
      <c r="G313" s="0" t="inlineStr">
        <is>
          <t>NULL</t>
        </is>
      </c>
      <c r="H313" s="0" t="inlineStr">
        <is>
          <t>NULL</t>
        </is>
      </c>
      <c r="I313" s="0" t="inlineStr">
        <is>
          <t>NULL</t>
        </is>
      </c>
      <c r="J313" s="0" t="inlineStr">
        <is>
          <t>NULL</t>
        </is>
      </c>
      <c r="K313" s="0" t="inlineStr">
        <is>
          <t>YES! 	 c_smallmoney列源备映射正确，源端为smallmoney None位	期望更改为decimal(10,4)	实际备端为decimal None位</t>
        </is>
      </c>
    </row>
    <row r="314">
      <c r="B314" s="0" t="inlineStr">
        <is>
          <t>NULL</t>
        </is>
      </c>
      <c r="C314" s="0" t="inlineStr">
        <is>
          <t>NO!源None备NUL</t>
        </is>
      </c>
      <c r="D314" s="0" t="inlineStr">
        <is>
          <t>NULL</t>
        </is>
      </c>
      <c r="E314" s="0" t="inlineStr">
        <is>
          <t>NULL</t>
        </is>
      </c>
      <c r="F314" s="0" t="inlineStr">
        <is>
          <t>NULL</t>
        </is>
      </c>
      <c r="G314" s="0" t="inlineStr">
        <is>
          <t>NULL</t>
        </is>
      </c>
      <c r="H314" s="0" t="inlineStr">
        <is>
          <t>NULL</t>
        </is>
      </c>
      <c r="I314" s="0" t="inlineStr">
        <is>
          <t>NULL</t>
        </is>
      </c>
      <c r="J314" s="0" t="inlineStr">
        <is>
          <t>NULL</t>
        </is>
      </c>
      <c r="K314" s="0" t="inlineStr">
        <is>
          <t>YES! 	 c_bit列源备映射正确，源端为bit None位	期望更改为tinyint(1) 	实际备端为tinyint None位</t>
        </is>
      </c>
    </row>
    <row r="315">
      <c r="A315" s="0" t="inlineStr">
        <is>
          <t>info_nchar_dml_single_pk</t>
        </is>
      </c>
      <c r="K315" s="0" t="inlineStr">
        <is>
          <t>[0;34m info_nchar_dml_single_pk [0m源备字段数相同，源端字段：4 	备端字段4</t>
        </is>
      </c>
      <c r="W315" s="0" t="inlineStr">
        <is>
          <t>YES 源备无差异</t>
        </is>
      </c>
      <c r="X315" s="0">
        <f>A315</f>
        <v/>
      </c>
    </row>
    <row r="316">
      <c r="B316" s="0" t="inlineStr">
        <is>
          <t>NO! 主键不正常，源YES备None</t>
        </is>
      </c>
      <c r="C316" s="0" t="inlineStr">
        <is>
          <t>NULL</t>
        </is>
      </c>
      <c r="D316" s="0" t="inlineStr">
        <is>
          <t>NULL</t>
        </is>
      </c>
      <c r="E316" s="0" t="inlineStr">
        <is>
          <t>NULL</t>
        </is>
      </c>
      <c r="F316" s="0" t="inlineStr">
        <is>
          <t>NULL</t>
        </is>
      </c>
      <c r="G316" s="0" t="inlineStr">
        <is>
          <t>NULL</t>
        </is>
      </c>
      <c r="H316" s="0" t="inlineStr">
        <is>
          <t>NULL</t>
        </is>
      </c>
      <c r="I316" s="0" t="inlineStr">
        <is>
          <t>NO! 源备索引不一致源PK__info_nch__3213E83F0FC1BC65备None</t>
        </is>
      </c>
      <c r="J316" s="0" t="inlineStr">
        <is>
          <t>NULL</t>
        </is>
      </c>
      <c r="K316" s="0" t="inlineStr">
        <is>
          <t>YES! 	 id列源备映射正确，源端为int None位	期望更改为int	实际备端为int None位</t>
        </is>
      </c>
    </row>
    <row r="317">
      <c r="B317" s="0" t="inlineStr">
        <is>
          <t>NULL</t>
        </is>
      </c>
      <c r="C317" s="0" t="inlineStr">
        <is>
          <t>NULL</t>
        </is>
      </c>
      <c r="D317" s="0" t="inlineStr">
        <is>
          <t>NULL</t>
        </is>
      </c>
      <c r="E317" s="0" t="inlineStr">
        <is>
          <t>NULL</t>
        </is>
      </c>
      <c r="F317" s="0" t="inlineStr">
        <is>
          <t>NULL</t>
        </is>
      </c>
      <c r="G317" s="0" t="inlineStr">
        <is>
          <t>NULL</t>
        </is>
      </c>
      <c r="H317" s="0" t="inlineStr">
        <is>
          <t>NULL</t>
        </is>
      </c>
      <c r="I317" s="0" t="inlineStr">
        <is>
          <t>NULL</t>
        </is>
      </c>
      <c r="J317" s="0" t="inlineStr">
        <is>
          <t>NULL</t>
        </is>
      </c>
      <c r="K317" s="0" t="inlineStr">
        <is>
          <t>YES! 	 c_nchar列源备映射正确，源端为nchar 2位	期望更改为char(n)	实际备端为char 4位</t>
        </is>
      </c>
    </row>
    <row r="318">
      <c r="B318" s="0" t="inlineStr">
        <is>
          <t>NULL</t>
        </is>
      </c>
      <c r="C318" s="0" t="inlineStr">
        <is>
          <t>NULL</t>
        </is>
      </c>
      <c r="D318" s="0" t="inlineStr">
        <is>
          <t>NULL</t>
        </is>
      </c>
      <c r="E318" s="0" t="inlineStr">
        <is>
          <t>NULL</t>
        </is>
      </c>
      <c r="F318" s="0" t="inlineStr">
        <is>
          <t>NULL</t>
        </is>
      </c>
      <c r="G318" s="0" t="inlineStr">
        <is>
          <t>NULL</t>
        </is>
      </c>
      <c r="H318" s="0" t="inlineStr">
        <is>
          <t>NULL</t>
        </is>
      </c>
      <c r="I318" s="0" t="inlineStr">
        <is>
          <t>NULL</t>
        </is>
      </c>
      <c r="J318" s="0" t="inlineStr">
        <is>
          <t>NULL</t>
        </is>
      </c>
      <c r="K318" s="0" t="inlineStr">
        <is>
          <t>YES! 	 c_nchar20列源备映射正确，源端为nchar 40位	期望更改为char(n)	实际备端为char 80位</t>
        </is>
      </c>
    </row>
    <row r="319">
      <c r="B319" s="0" t="inlineStr">
        <is>
          <t>NULL</t>
        </is>
      </c>
      <c r="C319" s="0" t="inlineStr">
        <is>
          <t>NULL</t>
        </is>
      </c>
      <c r="D319" s="0" t="inlineStr">
        <is>
          <t>NULL</t>
        </is>
      </c>
      <c r="E319" s="0" t="inlineStr">
        <is>
          <t>NULL</t>
        </is>
      </c>
      <c r="F319" s="0" t="inlineStr">
        <is>
          <t>NULL</t>
        </is>
      </c>
      <c r="G319" s="0" t="inlineStr">
        <is>
          <t>NULL</t>
        </is>
      </c>
      <c r="H319" s="0" t="inlineStr">
        <is>
          <t>NULL</t>
        </is>
      </c>
      <c r="I319" s="0" t="inlineStr">
        <is>
          <t>NULL</t>
        </is>
      </c>
      <c r="J319" s="0" t="inlineStr">
        <is>
          <t>NULL</t>
        </is>
      </c>
      <c r="K319" s="0" t="inlineStr">
        <is>
          <t xml:space="preserve"> NO!  	 c_nchar3500列源备映射错误，源端为nchar 7000位	期望更改为varchar(n)	实际备端为text 65535位</t>
        </is>
      </c>
    </row>
    <row r="320">
      <c r="K320" s="0" t="inlineStr">
        <is>
          <t>[0;31m NO! [0m 	  行数不同,源2行,备端空表</t>
        </is>
      </c>
    </row>
    <row r="321">
      <c r="A321" s="0" t="inlineStr">
        <is>
          <t>info_sdt_dml_batch1_pk</t>
        </is>
      </c>
      <c r="K321" s="0" t="inlineStr">
        <is>
          <t>[0;34m info_sdt_dml_batch1_pk [0m源备字段数相同，源端字段：2 	备端字段2</t>
        </is>
      </c>
      <c r="W321" s="0" t="inlineStr">
        <is>
          <t>YES 源备无差异</t>
        </is>
      </c>
      <c r="X321" s="0">
        <f>A321</f>
        <v/>
      </c>
    </row>
    <row r="322">
      <c r="B322" s="0" t="inlineStr">
        <is>
          <t>NO! 主键不正常，源YES备None</t>
        </is>
      </c>
      <c r="C322" s="0" t="inlineStr">
        <is>
          <t>NULL</t>
        </is>
      </c>
      <c r="D322" s="0" t="inlineStr">
        <is>
          <t>NULL</t>
        </is>
      </c>
      <c r="E322" s="0" t="inlineStr">
        <is>
          <t>NULL</t>
        </is>
      </c>
      <c r="F322" s="0" t="inlineStr">
        <is>
          <t>NULL</t>
        </is>
      </c>
      <c r="G322" s="0" t="inlineStr">
        <is>
          <t>NULL</t>
        </is>
      </c>
      <c r="H322" s="0" t="inlineStr">
        <is>
          <t>NULL</t>
        </is>
      </c>
      <c r="I322" s="0" t="inlineStr">
        <is>
          <t>NO! 源备索引不一致源PK__info_sdt__3213E83FA1971A79备None</t>
        </is>
      </c>
      <c r="J322" s="0" t="inlineStr">
        <is>
          <t>NULL</t>
        </is>
      </c>
      <c r="K322" s="0" t="inlineStr">
        <is>
          <t>YES! 	 id列源备映射正确，源端为int None位	期望更改为int	实际备端为int None位</t>
        </is>
      </c>
    </row>
    <row r="323">
      <c r="B323" s="0" t="inlineStr">
        <is>
          <t>NULL</t>
        </is>
      </c>
      <c r="C323" s="0" t="inlineStr">
        <is>
          <t>NO!源None备NUL</t>
        </is>
      </c>
      <c r="D323" s="0" t="inlineStr">
        <is>
          <t>NULL</t>
        </is>
      </c>
      <c r="E323" s="0" t="inlineStr">
        <is>
          <t>NULL</t>
        </is>
      </c>
      <c r="F323" s="0" t="inlineStr">
        <is>
          <t>NULL</t>
        </is>
      </c>
      <c r="G323" s="0" t="inlineStr">
        <is>
          <t>NULL</t>
        </is>
      </c>
      <c r="H323" s="0" t="inlineStr">
        <is>
          <t>NULL</t>
        </is>
      </c>
      <c r="I323" s="0" t="inlineStr">
        <is>
          <t>NULL</t>
        </is>
      </c>
      <c r="J323" s="0" t="inlineStr">
        <is>
          <t>NULL</t>
        </is>
      </c>
      <c r="K323" s="0" t="inlineStr">
        <is>
          <t>YES! 	 c_sdt列源备映射正确，源端为smalldatetime None位	期望更改为datetime	实际备端为datetime None位</t>
        </is>
      </c>
    </row>
    <row r="324">
      <c r="K324" s="0" t="inlineStr">
        <is>
          <t>[0;31m NO! [0m 	  行数不同,源3行,备端空表</t>
        </is>
      </c>
    </row>
    <row r="325">
      <c r="A325" s="0" t="inlineStr">
        <is>
          <t>info_varchar_dml_batch1_pk_urp1</t>
        </is>
      </c>
      <c r="K325" s="0" t="inlineStr">
        <is>
          <t>[0;34m info_varchar_dml_batch1_pk_urp1 [0m源备字段数相同，源端字段：4 	备端字段4</t>
        </is>
      </c>
      <c r="W325" s="0" t="inlineStr">
        <is>
          <t>YES 源备无差异</t>
        </is>
      </c>
      <c r="X325" s="0">
        <f>A325</f>
        <v/>
      </c>
    </row>
    <row r="326">
      <c r="B326" s="0" t="inlineStr">
        <is>
          <t>NO! 主键不正常，源YES备None</t>
        </is>
      </c>
      <c r="C326" s="0" t="inlineStr">
        <is>
          <t>NULL</t>
        </is>
      </c>
      <c r="D326" s="0" t="inlineStr">
        <is>
          <t>NULL</t>
        </is>
      </c>
      <c r="E326" s="0" t="inlineStr">
        <is>
          <t>NULL</t>
        </is>
      </c>
      <c r="F326" s="0" t="inlineStr">
        <is>
          <t>NULL</t>
        </is>
      </c>
      <c r="G326" s="0" t="inlineStr">
        <is>
          <t>NULL</t>
        </is>
      </c>
      <c r="H326" s="0" t="inlineStr">
        <is>
          <t>NULL</t>
        </is>
      </c>
      <c r="I326" s="0" t="inlineStr">
        <is>
          <t>NO! 源备索引不一致源PK__info_var__3213E83F95050969备None</t>
        </is>
      </c>
      <c r="J326" s="0" t="inlineStr">
        <is>
          <t>NULL</t>
        </is>
      </c>
      <c r="K326" s="0" t="inlineStr">
        <is>
          <t>YES! 	 id列源备映射正确，源端为int None位	期望更改为int	实际备端为int None位</t>
        </is>
      </c>
    </row>
    <row r="327">
      <c r="B327" s="0" t="inlineStr">
        <is>
          <t>NULL</t>
        </is>
      </c>
      <c r="C327" s="0" t="inlineStr">
        <is>
          <t>NULL</t>
        </is>
      </c>
      <c r="D327" s="0" t="inlineStr">
        <is>
          <t>NULL</t>
        </is>
      </c>
      <c r="E327" s="0" t="inlineStr">
        <is>
          <t>NULL</t>
        </is>
      </c>
      <c r="F327" s="0" t="inlineStr">
        <is>
          <t>NULL</t>
        </is>
      </c>
      <c r="G327" s="0" t="inlineStr">
        <is>
          <t>NULL</t>
        </is>
      </c>
      <c r="H327" s="0" t="inlineStr">
        <is>
          <t>NULL</t>
        </is>
      </c>
      <c r="I327" s="0" t="inlineStr">
        <is>
          <t>NULL</t>
        </is>
      </c>
      <c r="J327" s="0" t="inlineStr">
        <is>
          <t>NULL</t>
        </is>
      </c>
      <c r="K327" s="0" t="inlineStr">
        <is>
          <t>YES! 	 c_varchar列源备映射正确，源端为varchar 1位	期望更改为varchar(n)	实际备端为varchar 4位</t>
        </is>
      </c>
    </row>
    <row r="328">
      <c r="B328" s="0" t="inlineStr">
        <is>
          <t>NULL</t>
        </is>
      </c>
      <c r="C328" s="0" t="inlineStr">
        <is>
          <t>NULL</t>
        </is>
      </c>
      <c r="D328" s="0" t="inlineStr">
        <is>
          <t>NULL</t>
        </is>
      </c>
      <c r="E328" s="0" t="inlineStr">
        <is>
          <t>NULL</t>
        </is>
      </c>
      <c r="F328" s="0" t="inlineStr">
        <is>
          <t>NULL</t>
        </is>
      </c>
      <c r="G328" s="0" t="inlineStr">
        <is>
          <t>NULL</t>
        </is>
      </c>
      <c r="H328" s="0" t="inlineStr">
        <is>
          <t>NULL</t>
        </is>
      </c>
      <c r="I328" s="0" t="inlineStr">
        <is>
          <t>NULL</t>
        </is>
      </c>
      <c r="J328" s="0" t="inlineStr">
        <is>
          <t>NULL</t>
        </is>
      </c>
      <c r="K328" s="0" t="inlineStr">
        <is>
          <t>YES! 	 c_varchar20列源备映射正确，源端为varchar 20位	期望更改为varchar(n)	实际备端为varchar 80位</t>
        </is>
      </c>
    </row>
    <row r="329">
      <c r="B329" s="0" t="inlineStr">
        <is>
          <t>NULL</t>
        </is>
      </c>
      <c r="C329" s="0" t="inlineStr">
        <is>
          <t>NULL</t>
        </is>
      </c>
      <c r="D329" s="0" t="inlineStr">
        <is>
          <t>NULL</t>
        </is>
      </c>
      <c r="E329" s="0" t="inlineStr">
        <is>
          <t>NULL</t>
        </is>
      </c>
      <c r="F329" s="0" t="inlineStr">
        <is>
          <t>NULL</t>
        </is>
      </c>
      <c r="G329" s="0" t="inlineStr">
        <is>
          <t>NULL</t>
        </is>
      </c>
      <c r="H329" s="0" t="inlineStr">
        <is>
          <t>NULL</t>
        </is>
      </c>
      <c r="I329" s="0" t="inlineStr">
        <is>
          <t>NULL</t>
        </is>
      </c>
      <c r="J329" s="0" t="inlineStr">
        <is>
          <t>NULL</t>
        </is>
      </c>
      <c r="K329" s="0" t="inlineStr">
        <is>
          <t xml:space="preserve"> NO!  	 c_varchar7000列源备映射错误，源端为varchar 7000位	期望更改为longtext	实际备端为text 65535位</t>
        </is>
      </c>
    </row>
    <row r="330">
      <c r="K330" s="0" t="inlineStr">
        <is>
          <t>[0;31m NO! [0m 	  行数不同,源6行,备端空表</t>
        </is>
      </c>
    </row>
    <row r="331">
      <c r="A331" s="0" t="inlineStr">
        <is>
          <t>info_text_dml_single_pk_irp</t>
        </is>
      </c>
      <c r="K331" s="0" t="inlineStr">
        <is>
          <t>[0;34m info_text_dml_single_pk_irp [0m源备字段数相同，源端字段：3 	备端字段3</t>
        </is>
      </c>
      <c r="W331" s="0" t="inlineStr">
        <is>
          <t>YES 源备无差异</t>
        </is>
      </c>
      <c r="X331" s="0">
        <f>A331</f>
        <v/>
      </c>
    </row>
    <row r="332">
      <c r="B332" s="0" t="inlineStr">
        <is>
          <t>NO! 主键不正常，源YES备None</t>
        </is>
      </c>
      <c r="C332" s="0" t="inlineStr">
        <is>
          <t>NULL</t>
        </is>
      </c>
      <c r="D332" s="0" t="inlineStr">
        <is>
          <t>NULL</t>
        </is>
      </c>
      <c r="E332" s="0" t="inlineStr">
        <is>
          <t>NULL</t>
        </is>
      </c>
      <c r="F332" s="0" t="inlineStr">
        <is>
          <t>NULL</t>
        </is>
      </c>
      <c r="G332" s="0" t="inlineStr">
        <is>
          <t>NULL</t>
        </is>
      </c>
      <c r="H332" s="0" t="inlineStr">
        <is>
          <t>NULL</t>
        </is>
      </c>
      <c r="I332" s="0" t="inlineStr">
        <is>
          <t>NO! 源备索引不一致源PK__info_tex__3213E83F50700C1A备None</t>
        </is>
      </c>
      <c r="J332" s="0" t="inlineStr">
        <is>
          <t>NULL</t>
        </is>
      </c>
      <c r="K332" s="0" t="inlineStr">
        <is>
          <t>YES! 	 id列源备映射正确，源端为int None位	期望更改为int	实际备端为int None位</t>
        </is>
      </c>
    </row>
    <row r="333">
      <c r="B333" s="0" t="inlineStr">
        <is>
          <t>NULL</t>
        </is>
      </c>
      <c r="C333" s="0" t="inlineStr">
        <is>
          <t>NULL</t>
        </is>
      </c>
      <c r="D333" s="0" t="inlineStr">
        <is>
          <t>NULL</t>
        </is>
      </c>
      <c r="E333" s="0" t="inlineStr">
        <is>
          <t>NULL</t>
        </is>
      </c>
      <c r="F333" s="0" t="inlineStr">
        <is>
          <t>NULL</t>
        </is>
      </c>
      <c r="G333" s="0" t="inlineStr">
        <is>
          <t>NULL</t>
        </is>
      </c>
      <c r="H333" s="0" t="inlineStr">
        <is>
          <t>NULL</t>
        </is>
      </c>
      <c r="I333" s="0" t="inlineStr">
        <is>
          <t>NULL</t>
        </is>
      </c>
      <c r="J333" s="0" t="inlineStr">
        <is>
          <t>NULL</t>
        </is>
      </c>
      <c r="K333" s="0" t="inlineStr">
        <is>
          <t>YES! 	 c_text列源备映射正确，源端为text 2147483647位	期望更改为longtext	实际备端为longtext 4294967295位</t>
        </is>
      </c>
    </row>
    <row r="334">
      <c r="B334" s="0" t="inlineStr">
        <is>
          <t>NULL</t>
        </is>
      </c>
      <c r="C334" s="0" t="inlineStr">
        <is>
          <t>NULL</t>
        </is>
      </c>
      <c r="D334" s="0" t="inlineStr">
        <is>
          <t>NULL</t>
        </is>
      </c>
      <c r="E334" s="0" t="inlineStr">
        <is>
          <t>NULL</t>
        </is>
      </c>
      <c r="F334" s="0" t="inlineStr">
        <is>
          <t>NULL</t>
        </is>
      </c>
      <c r="G334" s="0" t="inlineStr">
        <is>
          <t>NULL</t>
        </is>
      </c>
      <c r="H334" s="0" t="inlineStr">
        <is>
          <t>NULL</t>
        </is>
      </c>
      <c r="I334" s="0" t="inlineStr">
        <is>
          <t>NULL</t>
        </is>
      </c>
      <c r="J334" s="0" t="inlineStr">
        <is>
          <t>NULL</t>
        </is>
      </c>
      <c r="K334" s="0" t="inlineStr">
        <is>
          <t>YES! 	 c_ntext列源备映射正确，源端为ntext 2147483646位	期望更改为longtext	实际备端为longtext 4294967295位</t>
        </is>
      </c>
    </row>
    <row r="335">
      <c r="K335" s="0" t="inlineStr">
        <is>
          <t>[0;31m NO! [0m 	  行数不同,源5行,备端空表</t>
        </is>
      </c>
    </row>
    <row r="336">
      <c r="A336" s="0" t="inlineStr">
        <is>
          <t>info_nvarchar_dml_single_nopk_irp</t>
        </is>
      </c>
      <c r="K336" s="0" t="inlineStr">
        <is>
          <t>[0;34m info_nvarchar_dml_single_nopk_irp [0m源备字段数相同，源端字段：4 	备端字段4</t>
        </is>
      </c>
      <c r="W336" s="0" t="inlineStr">
        <is>
          <t>YES 源备无差异</t>
        </is>
      </c>
      <c r="X336" s="0">
        <f>A336</f>
        <v/>
      </c>
    </row>
    <row r="337">
      <c r="B337" s="0" t="inlineStr">
        <is>
          <t>NULL</t>
        </is>
      </c>
      <c r="C337" s="0" t="inlineStr">
        <is>
          <t>NULL</t>
        </is>
      </c>
      <c r="D337" s="0" t="inlineStr">
        <is>
          <t>NULL</t>
        </is>
      </c>
      <c r="E337" s="0" t="inlineStr">
        <is>
          <t>NULL</t>
        </is>
      </c>
      <c r="F337" s="0" t="inlineStr">
        <is>
          <t>NULL</t>
        </is>
      </c>
      <c r="G337" s="0" t="inlineStr">
        <is>
          <t>NULL</t>
        </is>
      </c>
      <c r="H337" s="0" t="inlineStr">
        <is>
          <t>NULL</t>
        </is>
      </c>
      <c r="I337" s="0" t="inlineStr">
        <is>
          <t>NULL</t>
        </is>
      </c>
      <c r="J337" s="0" t="inlineStr">
        <is>
          <t>NULL</t>
        </is>
      </c>
      <c r="K337" s="0" t="inlineStr">
        <is>
          <t>YES! 	 id列源备映射正确，源端为int None位	期望更改为int	实际备端为int None位</t>
        </is>
      </c>
    </row>
    <row r="338">
      <c r="B338" s="0" t="inlineStr">
        <is>
          <t>NULL</t>
        </is>
      </c>
      <c r="C338" s="0" t="inlineStr">
        <is>
          <t>NULL</t>
        </is>
      </c>
      <c r="D338" s="0" t="inlineStr">
        <is>
          <t>NULL</t>
        </is>
      </c>
      <c r="E338" s="0" t="inlineStr">
        <is>
          <t>NULL</t>
        </is>
      </c>
      <c r="F338" s="0" t="inlineStr">
        <is>
          <t>NULL</t>
        </is>
      </c>
      <c r="G338" s="0" t="inlineStr">
        <is>
          <t>NULL</t>
        </is>
      </c>
      <c r="H338" s="0" t="inlineStr">
        <is>
          <t>NULL</t>
        </is>
      </c>
      <c r="I338" s="0" t="inlineStr">
        <is>
          <t>NULL</t>
        </is>
      </c>
      <c r="J338" s="0" t="inlineStr">
        <is>
          <t>NULL</t>
        </is>
      </c>
      <c r="K338" s="0" t="inlineStr">
        <is>
          <t>YES! 	 c_nvarchar列源备映射正确，源端为nvarchar 2位	期望更改为varchar(n)	实际备端为varchar 4位</t>
        </is>
      </c>
    </row>
    <row r="339">
      <c r="B339" s="0" t="inlineStr">
        <is>
          <t>NULL</t>
        </is>
      </c>
      <c r="C339" s="0" t="inlineStr">
        <is>
          <t>NULL</t>
        </is>
      </c>
      <c r="D339" s="0" t="inlineStr">
        <is>
          <t>NULL</t>
        </is>
      </c>
      <c r="E339" s="0" t="inlineStr">
        <is>
          <t>NULL</t>
        </is>
      </c>
      <c r="F339" s="0" t="inlineStr">
        <is>
          <t>NULL</t>
        </is>
      </c>
      <c r="G339" s="0" t="inlineStr">
        <is>
          <t>NULL</t>
        </is>
      </c>
      <c r="H339" s="0" t="inlineStr">
        <is>
          <t>NULL</t>
        </is>
      </c>
      <c r="I339" s="0" t="inlineStr">
        <is>
          <t>NULL</t>
        </is>
      </c>
      <c r="J339" s="0" t="inlineStr">
        <is>
          <t>NULL</t>
        </is>
      </c>
      <c r="K339" s="0" t="inlineStr">
        <is>
          <t>YES! 	 c_nvarchar20列源备映射正确，源端为nvarchar 40位	期望更改为varchar(n)	实际备端为varchar 80位</t>
        </is>
      </c>
    </row>
    <row r="340">
      <c r="B340" s="0" t="inlineStr">
        <is>
          <t>NULL</t>
        </is>
      </c>
      <c r="C340" s="0" t="inlineStr">
        <is>
          <t>NULL</t>
        </is>
      </c>
      <c r="D340" s="0" t="inlineStr">
        <is>
          <t>NULL</t>
        </is>
      </c>
      <c r="E340" s="0" t="inlineStr">
        <is>
          <t>NULL</t>
        </is>
      </c>
      <c r="F340" s="0" t="inlineStr">
        <is>
          <t>NULL</t>
        </is>
      </c>
      <c r="G340" s="0" t="inlineStr">
        <is>
          <t>NULL</t>
        </is>
      </c>
      <c r="H340" s="0" t="inlineStr">
        <is>
          <t>NULL</t>
        </is>
      </c>
      <c r="I340" s="0" t="inlineStr">
        <is>
          <t>NULL</t>
        </is>
      </c>
      <c r="J340" s="0" t="inlineStr">
        <is>
          <t>NULL</t>
        </is>
      </c>
      <c r="K340" s="0" t="inlineStr">
        <is>
          <t xml:space="preserve"> NO!  	 c_nvarchar4000列源备映射错误，源端为nvarchar 8000位	期望更改为longtext	实际备端为text 65535位</t>
        </is>
      </c>
    </row>
    <row r="341">
      <c r="A341" s="0" t="inlineStr">
        <is>
          <t>info_datetime_dml_batch1_pk_irp2</t>
        </is>
      </c>
      <c r="K341" s="0" t="inlineStr">
        <is>
          <t>[0;34m info_datetime_dml_batch1_pk_irp2 [0m源备字段数相同，源端字段：2 	备端字段2</t>
        </is>
      </c>
      <c r="W341" s="0" t="inlineStr">
        <is>
          <t>YES 源备无差异</t>
        </is>
      </c>
      <c r="X341" s="0">
        <f>A341</f>
        <v/>
      </c>
    </row>
    <row r="342">
      <c r="B342" s="0" t="inlineStr">
        <is>
          <t>NO! 主键不正常，源YES备None</t>
        </is>
      </c>
      <c r="C342" s="0" t="inlineStr">
        <is>
          <t>NULL</t>
        </is>
      </c>
      <c r="D342" s="0" t="inlineStr">
        <is>
          <t>NULL</t>
        </is>
      </c>
      <c r="E342" s="0" t="inlineStr">
        <is>
          <t>NULL</t>
        </is>
      </c>
      <c r="F342" s="0" t="inlineStr">
        <is>
          <t>NULL</t>
        </is>
      </c>
      <c r="G342" s="0" t="inlineStr">
        <is>
          <t>NULL</t>
        </is>
      </c>
      <c r="H342" s="0" t="inlineStr">
        <is>
          <t>NULL</t>
        </is>
      </c>
      <c r="I342" s="0" t="inlineStr">
        <is>
          <t>NO! 源备索引不一致源PK__info_dat__3213E83F21CD4C86备None</t>
        </is>
      </c>
      <c r="J342" s="0" t="inlineStr">
        <is>
          <t>NULL</t>
        </is>
      </c>
      <c r="K342" s="0" t="inlineStr">
        <is>
          <t>YES! 	 id列源备映射正确，源端为int None位	期望更改为int	实际备端为int None位</t>
        </is>
      </c>
    </row>
    <row r="343">
      <c r="B343" s="0" t="inlineStr">
        <is>
          <t>NULL</t>
        </is>
      </c>
      <c r="C343" s="0" t="inlineStr">
        <is>
          <t>NO!源None备NUL</t>
        </is>
      </c>
      <c r="D343" s="0" t="inlineStr">
        <is>
          <t>NULL</t>
        </is>
      </c>
      <c r="E343" s="0" t="inlineStr">
        <is>
          <t>NULL</t>
        </is>
      </c>
      <c r="F343" s="0" t="inlineStr">
        <is>
          <t>NULL</t>
        </is>
      </c>
      <c r="G343" s="0" t="inlineStr">
        <is>
          <t>NULL</t>
        </is>
      </c>
      <c r="H343" s="0" t="inlineStr">
        <is>
          <t>NULL</t>
        </is>
      </c>
      <c r="I343" s="0" t="inlineStr">
        <is>
          <t>NULL</t>
        </is>
      </c>
      <c r="J343" s="0" t="inlineStr">
        <is>
          <t>NULL</t>
        </is>
      </c>
      <c r="K343" s="0" t="inlineStr">
        <is>
          <t>YES! 	 c_datetime列源备映射正确，源端为datetime None位	期望更改为datetime(3)	实际备端为datetime None位</t>
        </is>
      </c>
    </row>
    <row r="344">
      <c r="K344" s="0" t="inlineStr">
        <is>
          <t>[0;31m NO! [0m 	  行数不同,源79行,备端空表</t>
        </is>
      </c>
    </row>
    <row r="345">
      <c r="A345" s="0" t="inlineStr">
        <is>
          <t>info_nvarchar_dml_single_nopk_urp</t>
        </is>
      </c>
      <c r="K345" s="0" t="inlineStr">
        <is>
          <t>[0;34m info_nvarchar_dml_single_nopk_urp [0m源备字段数相同，源端字段：4 	备端字段4</t>
        </is>
      </c>
      <c r="W345" s="0" t="inlineStr">
        <is>
          <t>YES 源备无差异</t>
        </is>
      </c>
      <c r="X345" s="0">
        <f>A345</f>
        <v/>
      </c>
    </row>
    <row r="346">
      <c r="B346" s="0" t="inlineStr">
        <is>
          <t>NULL</t>
        </is>
      </c>
      <c r="C346" s="0" t="inlineStr">
        <is>
          <t>NULL</t>
        </is>
      </c>
      <c r="D346" s="0" t="inlineStr">
        <is>
          <t>NULL</t>
        </is>
      </c>
      <c r="E346" s="0" t="inlineStr">
        <is>
          <t>NULL</t>
        </is>
      </c>
      <c r="F346" s="0" t="inlineStr">
        <is>
          <t>NULL</t>
        </is>
      </c>
      <c r="G346" s="0" t="inlineStr">
        <is>
          <t>NULL</t>
        </is>
      </c>
      <c r="H346" s="0" t="inlineStr">
        <is>
          <t>NULL</t>
        </is>
      </c>
      <c r="I346" s="0" t="inlineStr">
        <is>
          <t>NULL</t>
        </is>
      </c>
      <c r="J346" s="0" t="inlineStr">
        <is>
          <t>NULL</t>
        </is>
      </c>
      <c r="K346" s="0" t="inlineStr">
        <is>
          <t>YES! 	 id列源备映射正确，源端为int None位	期望更改为int	实际备端为int None位</t>
        </is>
      </c>
    </row>
    <row r="347">
      <c r="B347" s="0" t="inlineStr">
        <is>
          <t>NULL</t>
        </is>
      </c>
      <c r="C347" s="0" t="inlineStr">
        <is>
          <t>NULL</t>
        </is>
      </c>
      <c r="D347" s="0" t="inlineStr">
        <is>
          <t>NULL</t>
        </is>
      </c>
      <c r="E347" s="0" t="inlineStr">
        <is>
          <t>NULL</t>
        </is>
      </c>
      <c r="F347" s="0" t="inlineStr">
        <is>
          <t>NULL</t>
        </is>
      </c>
      <c r="G347" s="0" t="inlineStr">
        <is>
          <t>NULL</t>
        </is>
      </c>
      <c r="H347" s="0" t="inlineStr">
        <is>
          <t>NULL</t>
        </is>
      </c>
      <c r="I347" s="0" t="inlineStr">
        <is>
          <t>NULL</t>
        </is>
      </c>
      <c r="J347" s="0" t="inlineStr">
        <is>
          <t>NULL</t>
        </is>
      </c>
      <c r="K347" s="0" t="inlineStr">
        <is>
          <t>YES! 	 c_nvarchar列源备映射正确，源端为nvarchar 2位	期望更改为varchar(n)	实际备端为varchar 4位</t>
        </is>
      </c>
    </row>
    <row r="348">
      <c r="B348" s="0" t="inlineStr">
        <is>
          <t>NULL</t>
        </is>
      </c>
      <c r="C348" s="0" t="inlineStr">
        <is>
          <t>NULL</t>
        </is>
      </c>
      <c r="D348" s="0" t="inlineStr">
        <is>
          <t>NULL</t>
        </is>
      </c>
      <c r="E348" s="0" t="inlineStr">
        <is>
          <t>NULL</t>
        </is>
      </c>
      <c r="F348" s="0" t="inlineStr">
        <is>
          <t>NULL</t>
        </is>
      </c>
      <c r="G348" s="0" t="inlineStr">
        <is>
          <t>NULL</t>
        </is>
      </c>
      <c r="H348" s="0" t="inlineStr">
        <is>
          <t>NULL</t>
        </is>
      </c>
      <c r="I348" s="0" t="inlineStr">
        <is>
          <t>NULL</t>
        </is>
      </c>
      <c r="J348" s="0" t="inlineStr">
        <is>
          <t>NULL</t>
        </is>
      </c>
      <c r="K348" s="0" t="inlineStr">
        <is>
          <t>YES! 	 c_nvarchar20列源备映射正确，源端为nvarchar 40位	期望更改为varchar(n)	实际备端为varchar 80位</t>
        </is>
      </c>
    </row>
    <row r="349">
      <c r="B349" s="0" t="inlineStr">
        <is>
          <t>NULL</t>
        </is>
      </c>
      <c r="C349" s="0" t="inlineStr">
        <is>
          <t>NULL</t>
        </is>
      </c>
      <c r="D349" s="0" t="inlineStr">
        <is>
          <t>NULL</t>
        </is>
      </c>
      <c r="E349" s="0" t="inlineStr">
        <is>
          <t>NULL</t>
        </is>
      </c>
      <c r="F349" s="0" t="inlineStr">
        <is>
          <t>NULL</t>
        </is>
      </c>
      <c r="G349" s="0" t="inlineStr">
        <is>
          <t>NULL</t>
        </is>
      </c>
      <c r="H349" s="0" t="inlineStr">
        <is>
          <t>NULL</t>
        </is>
      </c>
      <c r="I349" s="0" t="inlineStr">
        <is>
          <t>NULL</t>
        </is>
      </c>
      <c r="J349" s="0" t="inlineStr">
        <is>
          <t>NULL</t>
        </is>
      </c>
      <c r="K349" s="0" t="inlineStr">
        <is>
          <t xml:space="preserve"> NO!  	 c_nvarchar4000列源备映射错误，源端为nvarchar 8000位	期望更改为longtext	实际备端为text 65535位</t>
        </is>
      </c>
    </row>
    <row r="350">
      <c r="K350" s="0" t="inlineStr">
        <is>
          <t>[0;31m NO! [0m 	  行数不同,源10行,备端空表</t>
        </is>
      </c>
    </row>
    <row r="351">
      <c r="A351" s="0" t="inlineStr">
        <is>
          <t>info_varchar_dml_batch1_pk_drp2</t>
        </is>
      </c>
      <c r="K351" s="0" t="inlineStr">
        <is>
          <t>[0;34m info_varchar_dml_batch1_pk_drp2 [0m源备字段数相同，源端字段：4 	备端字段4</t>
        </is>
      </c>
      <c r="W351" s="0" t="inlineStr">
        <is>
          <t>YES 源备无差异</t>
        </is>
      </c>
      <c r="X351" s="0">
        <f>A351</f>
        <v/>
      </c>
    </row>
    <row r="352">
      <c r="B352" s="0" t="inlineStr">
        <is>
          <t>NO! 主键不正常，源YES备None</t>
        </is>
      </c>
      <c r="C352" s="0" t="inlineStr">
        <is>
          <t>NULL</t>
        </is>
      </c>
      <c r="D352" s="0" t="inlineStr">
        <is>
          <t>NULL</t>
        </is>
      </c>
      <c r="E352" s="0" t="inlineStr">
        <is>
          <t>NULL</t>
        </is>
      </c>
      <c r="F352" s="0" t="inlineStr">
        <is>
          <t>NULL</t>
        </is>
      </c>
      <c r="G352" s="0" t="inlineStr">
        <is>
          <t>NULL</t>
        </is>
      </c>
      <c r="H352" s="0" t="inlineStr">
        <is>
          <t>NULL</t>
        </is>
      </c>
      <c r="I352" s="0" t="inlineStr">
        <is>
          <t>NO! 源备索引不一致源PK__info_var__3213E83F35EFE402备None</t>
        </is>
      </c>
      <c r="J352" s="0" t="inlineStr">
        <is>
          <t>NULL</t>
        </is>
      </c>
      <c r="K352" s="0" t="inlineStr">
        <is>
          <t>YES! 	 id列源备映射正确，源端为int None位	期望更改为int	实际备端为int None位</t>
        </is>
      </c>
    </row>
    <row r="353">
      <c r="B353" s="0" t="inlineStr">
        <is>
          <t>NULL</t>
        </is>
      </c>
      <c r="C353" s="0" t="inlineStr">
        <is>
          <t>NULL</t>
        </is>
      </c>
      <c r="D353" s="0" t="inlineStr">
        <is>
          <t>NULL</t>
        </is>
      </c>
      <c r="E353" s="0" t="inlineStr">
        <is>
          <t>NULL</t>
        </is>
      </c>
      <c r="F353" s="0" t="inlineStr">
        <is>
          <t>NULL</t>
        </is>
      </c>
      <c r="G353" s="0" t="inlineStr">
        <is>
          <t>NULL</t>
        </is>
      </c>
      <c r="H353" s="0" t="inlineStr">
        <is>
          <t>NULL</t>
        </is>
      </c>
      <c r="I353" s="0" t="inlineStr">
        <is>
          <t>NULL</t>
        </is>
      </c>
      <c r="J353" s="0" t="inlineStr">
        <is>
          <t>NULL</t>
        </is>
      </c>
      <c r="K353" s="0" t="inlineStr">
        <is>
          <t>YES! 	 c_varchar列源备映射正确，源端为varchar 1位	期望更改为varchar(n)	实际备端为varchar 4位</t>
        </is>
      </c>
    </row>
    <row r="354">
      <c r="B354" s="0" t="inlineStr">
        <is>
          <t>NULL</t>
        </is>
      </c>
      <c r="C354" s="0" t="inlineStr">
        <is>
          <t>NULL</t>
        </is>
      </c>
      <c r="D354" s="0" t="inlineStr">
        <is>
          <t>NULL</t>
        </is>
      </c>
      <c r="E354" s="0" t="inlineStr">
        <is>
          <t>NULL</t>
        </is>
      </c>
      <c r="F354" s="0" t="inlineStr">
        <is>
          <t>NULL</t>
        </is>
      </c>
      <c r="G354" s="0" t="inlineStr">
        <is>
          <t>NULL</t>
        </is>
      </c>
      <c r="H354" s="0" t="inlineStr">
        <is>
          <t>NULL</t>
        </is>
      </c>
      <c r="I354" s="0" t="inlineStr">
        <is>
          <t>NULL</t>
        </is>
      </c>
      <c r="J354" s="0" t="inlineStr">
        <is>
          <t>NULL</t>
        </is>
      </c>
      <c r="K354" s="0" t="inlineStr">
        <is>
          <t>YES! 	 c_varchar20列源备映射正确，源端为varchar 20位	期望更改为varchar(n)	实际备端为varchar 80位</t>
        </is>
      </c>
    </row>
    <row r="355">
      <c r="B355" s="0" t="inlineStr">
        <is>
          <t>NULL</t>
        </is>
      </c>
      <c r="C355" s="0" t="inlineStr">
        <is>
          <t>NULL</t>
        </is>
      </c>
      <c r="D355" s="0" t="inlineStr">
        <is>
          <t>NULL</t>
        </is>
      </c>
      <c r="E355" s="0" t="inlineStr">
        <is>
          <t>NULL</t>
        </is>
      </c>
      <c r="F355" s="0" t="inlineStr">
        <is>
          <t>NULL</t>
        </is>
      </c>
      <c r="G355" s="0" t="inlineStr">
        <is>
          <t>NULL</t>
        </is>
      </c>
      <c r="H355" s="0" t="inlineStr">
        <is>
          <t>NULL</t>
        </is>
      </c>
      <c r="I355" s="0" t="inlineStr">
        <is>
          <t>NULL</t>
        </is>
      </c>
      <c r="J355" s="0" t="inlineStr">
        <is>
          <t>NULL</t>
        </is>
      </c>
      <c r="K355" s="0" t="inlineStr">
        <is>
          <t xml:space="preserve"> NO!  	 c_varchar7000列源备映射错误，源端为varchar 7000位	期望更改为longtext	实际备端为text 65535位</t>
        </is>
      </c>
    </row>
    <row r="356">
      <c r="K356" s="0" t="inlineStr">
        <is>
          <t>[0;31m NO! [0m 	  行数不同,源2行,备端空表</t>
        </is>
      </c>
    </row>
    <row r="357">
      <c r="A357" s="0" t="inlineStr">
        <is>
          <t>info_nvarchar_dml_single_nopk_drp</t>
        </is>
      </c>
      <c r="K357" s="0" t="inlineStr">
        <is>
          <t>[0;34m info_nvarchar_dml_single_nopk_drp [0m源备字段数相同，源端字段：4 	备端字段4</t>
        </is>
      </c>
      <c r="W357" s="0" t="inlineStr">
        <is>
          <t>YES 源备无差异</t>
        </is>
      </c>
      <c r="X357" s="0">
        <f>A357</f>
        <v/>
      </c>
    </row>
    <row r="358">
      <c r="B358" s="0" t="inlineStr">
        <is>
          <t>NULL</t>
        </is>
      </c>
      <c r="C358" s="0" t="inlineStr">
        <is>
          <t>NULL</t>
        </is>
      </c>
      <c r="D358" s="0" t="inlineStr">
        <is>
          <t>NULL</t>
        </is>
      </c>
      <c r="E358" s="0" t="inlineStr">
        <is>
          <t>NULL</t>
        </is>
      </c>
      <c r="F358" s="0" t="inlineStr">
        <is>
          <t>NULL</t>
        </is>
      </c>
      <c r="G358" s="0" t="inlineStr">
        <is>
          <t>NULL</t>
        </is>
      </c>
      <c r="H358" s="0" t="inlineStr">
        <is>
          <t>NULL</t>
        </is>
      </c>
      <c r="I358" s="0" t="inlineStr">
        <is>
          <t>NULL</t>
        </is>
      </c>
      <c r="J358" s="0" t="inlineStr">
        <is>
          <t>NULL</t>
        </is>
      </c>
      <c r="K358" s="0" t="inlineStr">
        <is>
          <t>YES! 	 id列源备映射正确，源端为int None位	期望更改为int	实际备端为int None位</t>
        </is>
      </c>
    </row>
    <row r="359">
      <c r="B359" s="0" t="inlineStr">
        <is>
          <t>NULL</t>
        </is>
      </c>
      <c r="C359" s="0" t="inlineStr">
        <is>
          <t>NULL</t>
        </is>
      </c>
      <c r="D359" s="0" t="inlineStr">
        <is>
          <t>NULL</t>
        </is>
      </c>
      <c r="E359" s="0" t="inlineStr">
        <is>
          <t>NULL</t>
        </is>
      </c>
      <c r="F359" s="0" t="inlineStr">
        <is>
          <t>NULL</t>
        </is>
      </c>
      <c r="G359" s="0" t="inlineStr">
        <is>
          <t>NULL</t>
        </is>
      </c>
      <c r="H359" s="0" t="inlineStr">
        <is>
          <t>NULL</t>
        </is>
      </c>
      <c r="I359" s="0" t="inlineStr">
        <is>
          <t>NULL</t>
        </is>
      </c>
      <c r="J359" s="0" t="inlineStr">
        <is>
          <t>NULL</t>
        </is>
      </c>
      <c r="K359" s="0" t="inlineStr">
        <is>
          <t>YES! 	 c_nvarchar列源备映射正确，源端为nvarchar 2位	期望更改为varchar(n)	实际备端为varchar 4位</t>
        </is>
      </c>
    </row>
    <row r="360">
      <c r="B360" s="0" t="inlineStr">
        <is>
          <t>NULL</t>
        </is>
      </c>
      <c r="C360" s="0" t="inlineStr">
        <is>
          <t>NULL</t>
        </is>
      </c>
      <c r="D360" s="0" t="inlineStr">
        <is>
          <t>NULL</t>
        </is>
      </c>
      <c r="E360" s="0" t="inlineStr">
        <is>
          <t>NULL</t>
        </is>
      </c>
      <c r="F360" s="0" t="inlineStr">
        <is>
          <t>NULL</t>
        </is>
      </c>
      <c r="G360" s="0" t="inlineStr">
        <is>
          <t>NULL</t>
        </is>
      </c>
      <c r="H360" s="0" t="inlineStr">
        <is>
          <t>NULL</t>
        </is>
      </c>
      <c r="I360" s="0" t="inlineStr">
        <is>
          <t>NULL</t>
        </is>
      </c>
      <c r="J360" s="0" t="inlineStr">
        <is>
          <t>NULL</t>
        </is>
      </c>
      <c r="K360" s="0" t="inlineStr">
        <is>
          <t>YES! 	 c_nvarchar20列源备映射正确，源端为nvarchar 40位	期望更改为varchar(n)	实际备端为varchar 80位</t>
        </is>
      </c>
    </row>
    <row r="361">
      <c r="B361" s="0" t="inlineStr">
        <is>
          <t>NULL</t>
        </is>
      </c>
      <c r="C361" s="0" t="inlineStr">
        <is>
          <t>NULL</t>
        </is>
      </c>
      <c r="D361" s="0" t="inlineStr">
        <is>
          <t>NULL</t>
        </is>
      </c>
      <c r="E361" s="0" t="inlineStr">
        <is>
          <t>NULL</t>
        </is>
      </c>
      <c r="F361" s="0" t="inlineStr">
        <is>
          <t>NULL</t>
        </is>
      </c>
      <c r="G361" s="0" t="inlineStr">
        <is>
          <t>NULL</t>
        </is>
      </c>
      <c r="H361" s="0" t="inlineStr">
        <is>
          <t>NULL</t>
        </is>
      </c>
      <c r="I361" s="0" t="inlineStr">
        <is>
          <t>NULL</t>
        </is>
      </c>
      <c r="J361" s="0" t="inlineStr">
        <is>
          <t>NULL</t>
        </is>
      </c>
      <c r="K361" s="0" t="inlineStr">
        <is>
          <t xml:space="preserve"> NO!  	 c_nvarchar4000列源备映射错误，源端为nvarchar 8000位	期望更改为longtext	实际备端为text 65535位</t>
        </is>
      </c>
    </row>
    <row r="362">
      <c r="K362" s="0" t="inlineStr">
        <is>
          <t>[0;31m NO! [0m 	  行数不同,源2行,备端空表</t>
        </is>
      </c>
    </row>
    <row r="363">
      <c r="A363" s="0" t="inlineStr">
        <is>
          <t>info_text_dml_single_pk_drp</t>
        </is>
      </c>
      <c r="K363" s="0" t="inlineStr">
        <is>
          <t>[0;34m info_text_dml_single_pk_drp [0m源备字段数相同，源端字段：3 	备端字段3</t>
        </is>
      </c>
      <c r="W363" s="0" t="inlineStr">
        <is>
          <t>YES 源备无差异</t>
        </is>
      </c>
      <c r="X363" s="0">
        <f>A363</f>
        <v/>
      </c>
    </row>
    <row r="364">
      <c r="B364" s="0" t="inlineStr">
        <is>
          <t>NO! 主键不正常，源YES备None</t>
        </is>
      </c>
      <c r="C364" s="0" t="inlineStr">
        <is>
          <t>NULL</t>
        </is>
      </c>
      <c r="D364" s="0" t="inlineStr">
        <is>
          <t>NULL</t>
        </is>
      </c>
      <c r="E364" s="0" t="inlineStr">
        <is>
          <t>NULL</t>
        </is>
      </c>
      <c r="F364" s="0" t="inlineStr">
        <is>
          <t>NULL</t>
        </is>
      </c>
      <c r="G364" s="0" t="inlineStr">
        <is>
          <t>NULL</t>
        </is>
      </c>
      <c r="H364" s="0" t="inlineStr">
        <is>
          <t>NULL</t>
        </is>
      </c>
      <c r="I364" s="0" t="inlineStr">
        <is>
          <t>NO! 源备索引不一致源PK__info_tex__3213E83FEC81611A备None</t>
        </is>
      </c>
      <c r="J364" s="0" t="inlineStr">
        <is>
          <t>NULL</t>
        </is>
      </c>
      <c r="K364" s="0" t="inlineStr">
        <is>
          <t>YES! 	 id列源备映射正确，源端为int None位	期望更改为int	实际备端为int None位</t>
        </is>
      </c>
    </row>
    <row r="365">
      <c r="B365" s="0" t="inlineStr">
        <is>
          <t>NULL</t>
        </is>
      </c>
      <c r="C365" s="0" t="inlineStr">
        <is>
          <t>NULL</t>
        </is>
      </c>
      <c r="D365" s="0" t="inlineStr">
        <is>
          <t>NULL</t>
        </is>
      </c>
      <c r="E365" s="0" t="inlineStr">
        <is>
          <t>NULL</t>
        </is>
      </c>
      <c r="F365" s="0" t="inlineStr">
        <is>
          <t>NULL</t>
        </is>
      </c>
      <c r="G365" s="0" t="inlineStr">
        <is>
          <t>NULL</t>
        </is>
      </c>
      <c r="H365" s="0" t="inlineStr">
        <is>
          <t>NULL</t>
        </is>
      </c>
      <c r="I365" s="0" t="inlineStr">
        <is>
          <t>NULL</t>
        </is>
      </c>
      <c r="J365" s="0" t="inlineStr">
        <is>
          <t>NULL</t>
        </is>
      </c>
      <c r="K365" s="0" t="inlineStr">
        <is>
          <t>YES! 	 c_text列源备映射正确，源端为text 2147483647位	期望更改为longtext	实际备端为longtext 4294967295位</t>
        </is>
      </c>
    </row>
    <row r="366">
      <c r="B366" s="0" t="inlineStr">
        <is>
          <t>NULL</t>
        </is>
      </c>
      <c r="C366" s="0" t="inlineStr">
        <is>
          <t>NULL</t>
        </is>
      </c>
      <c r="D366" s="0" t="inlineStr">
        <is>
          <t>NULL</t>
        </is>
      </c>
      <c r="E366" s="0" t="inlineStr">
        <is>
          <t>NULL</t>
        </is>
      </c>
      <c r="F366" s="0" t="inlineStr">
        <is>
          <t>NULL</t>
        </is>
      </c>
      <c r="G366" s="0" t="inlineStr">
        <is>
          <t>NULL</t>
        </is>
      </c>
      <c r="H366" s="0" t="inlineStr">
        <is>
          <t>NULL</t>
        </is>
      </c>
      <c r="I366" s="0" t="inlineStr">
        <is>
          <t>NULL</t>
        </is>
      </c>
      <c r="J366" s="0" t="inlineStr">
        <is>
          <t>NULL</t>
        </is>
      </c>
      <c r="K366" s="0" t="inlineStr">
        <is>
          <t>YES! 	 c_ntext列源备映射正确，源端为ntext 2147483646位	期望更改为longtext	实际备端为longtext 4294967295位</t>
        </is>
      </c>
    </row>
    <row r="367">
      <c r="K367" s="0" t="inlineStr">
        <is>
          <t>[0;31m NO! [0m 	  行数不同,源3行,备端空表</t>
        </is>
      </c>
    </row>
    <row r="368">
      <c r="A368" s="0" t="inlineStr">
        <is>
          <t>info_nvarchar_dml_single_pk_urp</t>
        </is>
      </c>
      <c r="K368" s="0" t="inlineStr">
        <is>
          <t>[0;34m info_nvarchar_dml_single_pk_urp [0m源备字段数相同，源端字段：4 	备端字段4</t>
        </is>
      </c>
      <c r="W368" s="0" t="inlineStr">
        <is>
          <t>YES 源备无差异</t>
        </is>
      </c>
      <c r="X368" s="0">
        <f>A368</f>
        <v/>
      </c>
    </row>
    <row r="369">
      <c r="B369" s="0" t="inlineStr">
        <is>
          <t>NO! 主键不正常，源YES备None</t>
        </is>
      </c>
      <c r="C369" s="0" t="inlineStr">
        <is>
          <t>NULL</t>
        </is>
      </c>
      <c r="D369" s="0" t="inlineStr">
        <is>
          <t>NULL</t>
        </is>
      </c>
      <c r="E369" s="0" t="inlineStr">
        <is>
          <t>NULL</t>
        </is>
      </c>
      <c r="F369" s="0" t="inlineStr">
        <is>
          <t>NULL</t>
        </is>
      </c>
      <c r="G369" s="0" t="inlineStr">
        <is>
          <t>NULL</t>
        </is>
      </c>
      <c r="H369" s="0" t="inlineStr">
        <is>
          <t>NULL</t>
        </is>
      </c>
      <c r="I369" s="0" t="inlineStr">
        <is>
          <t>NO! 源备索引不一致源PK__info_nva__3213E83F53891649备None</t>
        </is>
      </c>
      <c r="J369" s="0" t="inlineStr">
        <is>
          <t>NULL</t>
        </is>
      </c>
      <c r="K369" s="0" t="inlineStr">
        <is>
          <t>YES! 	 id列源备映射正确，源端为int None位	期望更改为int	实际备端为int None位</t>
        </is>
      </c>
    </row>
    <row r="370">
      <c r="B370" s="0" t="inlineStr">
        <is>
          <t>NULL</t>
        </is>
      </c>
      <c r="C370" s="0" t="inlineStr">
        <is>
          <t>NULL</t>
        </is>
      </c>
      <c r="D370" s="0" t="inlineStr">
        <is>
          <t>NULL</t>
        </is>
      </c>
      <c r="E370" s="0" t="inlineStr">
        <is>
          <t>NULL</t>
        </is>
      </c>
      <c r="F370" s="0" t="inlineStr">
        <is>
          <t>NULL</t>
        </is>
      </c>
      <c r="G370" s="0" t="inlineStr">
        <is>
          <t>NULL</t>
        </is>
      </c>
      <c r="H370" s="0" t="inlineStr">
        <is>
          <t>NULL</t>
        </is>
      </c>
      <c r="I370" s="0" t="inlineStr">
        <is>
          <t>NULL</t>
        </is>
      </c>
      <c r="J370" s="0" t="inlineStr">
        <is>
          <t>NULL</t>
        </is>
      </c>
      <c r="K370" s="0" t="inlineStr">
        <is>
          <t>YES! 	 c_nvarchar列源备映射正确，源端为nvarchar 2位	期望更改为varchar(n)	实际备端为varchar 4位</t>
        </is>
      </c>
    </row>
    <row r="371">
      <c r="B371" s="0" t="inlineStr">
        <is>
          <t>NULL</t>
        </is>
      </c>
      <c r="C371" s="0" t="inlineStr">
        <is>
          <t>NULL</t>
        </is>
      </c>
      <c r="D371" s="0" t="inlineStr">
        <is>
          <t>NULL</t>
        </is>
      </c>
      <c r="E371" s="0" t="inlineStr">
        <is>
          <t>NULL</t>
        </is>
      </c>
      <c r="F371" s="0" t="inlineStr">
        <is>
          <t>NULL</t>
        </is>
      </c>
      <c r="G371" s="0" t="inlineStr">
        <is>
          <t>NULL</t>
        </is>
      </c>
      <c r="H371" s="0" t="inlineStr">
        <is>
          <t>NULL</t>
        </is>
      </c>
      <c r="I371" s="0" t="inlineStr">
        <is>
          <t>NULL</t>
        </is>
      </c>
      <c r="J371" s="0" t="inlineStr">
        <is>
          <t>NULL</t>
        </is>
      </c>
      <c r="K371" s="0" t="inlineStr">
        <is>
          <t>YES! 	 c_nvarchar20列源备映射正确，源端为nvarchar 40位	期望更改为varchar(n)	实际备端为varchar 80位</t>
        </is>
      </c>
    </row>
    <row r="372">
      <c r="B372" s="0" t="inlineStr">
        <is>
          <t>NULL</t>
        </is>
      </c>
      <c r="C372" s="0" t="inlineStr">
        <is>
          <t>NULL</t>
        </is>
      </c>
      <c r="D372" s="0" t="inlineStr">
        <is>
          <t>NULL</t>
        </is>
      </c>
      <c r="E372" s="0" t="inlineStr">
        <is>
          <t>NULL</t>
        </is>
      </c>
      <c r="F372" s="0" t="inlineStr">
        <is>
          <t>NULL</t>
        </is>
      </c>
      <c r="G372" s="0" t="inlineStr">
        <is>
          <t>NULL</t>
        </is>
      </c>
      <c r="H372" s="0" t="inlineStr">
        <is>
          <t>NULL</t>
        </is>
      </c>
      <c r="I372" s="0" t="inlineStr">
        <is>
          <t>NULL</t>
        </is>
      </c>
      <c r="J372" s="0" t="inlineStr">
        <is>
          <t>NULL</t>
        </is>
      </c>
      <c r="K372" s="0" t="inlineStr">
        <is>
          <t xml:space="preserve"> NO!  	 c_nvarchar4000列源备映射错误，源端为nvarchar 8000位	期望更改为longtext	实际备端为text 65535位</t>
        </is>
      </c>
    </row>
    <row r="373">
      <c r="K373" s="0" t="inlineStr">
        <is>
          <t>[0;31m NO! [0m 	  行数不同,源10行,备端空表</t>
        </is>
      </c>
    </row>
    <row r="374">
      <c r="A374" s="0" t="inlineStr">
        <is>
          <t>info_nvarchar_dml_single_nopk</t>
        </is>
      </c>
      <c r="K374" s="0" t="inlineStr">
        <is>
          <t>[0;34m info_nvarchar_dml_single_nopk [0m源备字段数相同，源端字段：4 	备端字段4</t>
        </is>
      </c>
      <c r="W374" s="0" t="inlineStr">
        <is>
          <t>YES 源备无差异</t>
        </is>
      </c>
      <c r="X374" s="0">
        <f>A374</f>
        <v/>
      </c>
    </row>
    <row r="375">
      <c r="B375" s="0" t="inlineStr">
        <is>
          <t>NULL</t>
        </is>
      </c>
      <c r="C375" s="0" t="inlineStr">
        <is>
          <t>NULL</t>
        </is>
      </c>
      <c r="D375" s="0" t="inlineStr">
        <is>
          <t>NULL</t>
        </is>
      </c>
      <c r="E375" s="0" t="inlineStr">
        <is>
          <t>NULL</t>
        </is>
      </c>
      <c r="F375" s="0" t="inlineStr">
        <is>
          <t>NULL</t>
        </is>
      </c>
      <c r="G375" s="0" t="inlineStr">
        <is>
          <t>NULL</t>
        </is>
      </c>
      <c r="H375" s="0" t="inlineStr">
        <is>
          <t>NULL</t>
        </is>
      </c>
      <c r="I375" s="0" t="inlineStr">
        <is>
          <t>NULL</t>
        </is>
      </c>
      <c r="J375" s="0" t="inlineStr">
        <is>
          <t>NULL</t>
        </is>
      </c>
      <c r="K375" s="0" t="inlineStr">
        <is>
          <t>YES! 	 id列源备映射正确，源端为int None位	期望更改为int	实际备端为int None位</t>
        </is>
      </c>
    </row>
    <row r="376">
      <c r="B376" s="0" t="inlineStr">
        <is>
          <t>NULL</t>
        </is>
      </c>
      <c r="C376" s="0" t="inlineStr">
        <is>
          <t>NULL</t>
        </is>
      </c>
      <c r="D376" s="0" t="inlineStr">
        <is>
          <t>NULL</t>
        </is>
      </c>
      <c r="E376" s="0" t="inlineStr">
        <is>
          <t>NULL</t>
        </is>
      </c>
      <c r="F376" s="0" t="inlineStr">
        <is>
          <t>NULL</t>
        </is>
      </c>
      <c r="G376" s="0" t="inlineStr">
        <is>
          <t>NULL</t>
        </is>
      </c>
      <c r="H376" s="0" t="inlineStr">
        <is>
          <t>NULL</t>
        </is>
      </c>
      <c r="I376" s="0" t="inlineStr">
        <is>
          <t>NULL</t>
        </is>
      </c>
      <c r="J376" s="0" t="inlineStr">
        <is>
          <t>NULL</t>
        </is>
      </c>
      <c r="K376" s="0" t="inlineStr">
        <is>
          <t>YES! 	 c_nvarchar列源备映射正确，源端为nvarchar 2位	期望更改为varchar(n)	实际备端为varchar 4位</t>
        </is>
      </c>
    </row>
    <row r="377">
      <c r="B377" s="0" t="inlineStr">
        <is>
          <t>NULL</t>
        </is>
      </c>
      <c r="C377" s="0" t="inlineStr">
        <is>
          <t>NULL</t>
        </is>
      </c>
      <c r="D377" s="0" t="inlineStr">
        <is>
          <t>NULL</t>
        </is>
      </c>
      <c r="E377" s="0" t="inlineStr">
        <is>
          <t>NULL</t>
        </is>
      </c>
      <c r="F377" s="0" t="inlineStr">
        <is>
          <t>NULL</t>
        </is>
      </c>
      <c r="G377" s="0" t="inlineStr">
        <is>
          <t>NULL</t>
        </is>
      </c>
      <c r="H377" s="0" t="inlineStr">
        <is>
          <t>NULL</t>
        </is>
      </c>
      <c r="I377" s="0" t="inlineStr">
        <is>
          <t>NULL</t>
        </is>
      </c>
      <c r="J377" s="0" t="inlineStr">
        <is>
          <t>NULL</t>
        </is>
      </c>
      <c r="K377" s="0" t="inlineStr">
        <is>
          <t>YES! 	 c_nvarchar20列源备映射正确，源端为nvarchar 40位	期望更改为varchar(n)	实际备端为varchar 80位</t>
        </is>
      </c>
    </row>
    <row r="378">
      <c r="B378" s="0" t="inlineStr">
        <is>
          <t>NULL</t>
        </is>
      </c>
      <c r="C378" s="0" t="inlineStr">
        <is>
          <t>NULL</t>
        </is>
      </c>
      <c r="D378" s="0" t="inlineStr">
        <is>
          <t>NULL</t>
        </is>
      </c>
      <c r="E378" s="0" t="inlineStr">
        <is>
          <t>NULL</t>
        </is>
      </c>
      <c r="F378" s="0" t="inlineStr">
        <is>
          <t>NULL</t>
        </is>
      </c>
      <c r="G378" s="0" t="inlineStr">
        <is>
          <t>NULL</t>
        </is>
      </c>
      <c r="H378" s="0" t="inlineStr">
        <is>
          <t>NULL</t>
        </is>
      </c>
      <c r="I378" s="0" t="inlineStr">
        <is>
          <t>NULL</t>
        </is>
      </c>
      <c r="J378" s="0" t="inlineStr">
        <is>
          <t>NULL</t>
        </is>
      </c>
      <c r="K378" s="0" t="inlineStr">
        <is>
          <t xml:space="preserve"> NO!  	 c_nvarchar4000列源备映射错误，源端为nvarchar 8000位	期望更改为longtext	实际备端为text 65535位</t>
        </is>
      </c>
    </row>
    <row r="379">
      <c r="A379" s="0" t="inlineStr">
        <is>
          <t>info_varcharmax_dml_single_nopk_irp</t>
        </is>
      </c>
      <c r="K379" s="0" t="inlineStr">
        <is>
          <t>[0;34m info_varcharmax_dml_single_nopk_irp [0m源备字段数相同，源端字段：3 	备端字段3</t>
        </is>
      </c>
      <c r="W379" s="0" t="inlineStr">
        <is>
          <t>YES 源备无差异</t>
        </is>
      </c>
      <c r="X379" s="0">
        <f>A379</f>
        <v/>
      </c>
    </row>
    <row r="380">
      <c r="B380" s="0" t="inlineStr">
        <is>
          <t>NULL</t>
        </is>
      </c>
      <c r="C380" s="0" t="inlineStr">
        <is>
          <t>NULL</t>
        </is>
      </c>
      <c r="D380" s="0" t="inlineStr">
        <is>
          <t>NULL</t>
        </is>
      </c>
      <c r="E380" s="0" t="inlineStr">
        <is>
          <t>NULL</t>
        </is>
      </c>
      <c r="F380" s="0" t="inlineStr">
        <is>
          <t>NULL</t>
        </is>
      </c>
      <c r="G380" s="0" t="inlineStr">
        <is>
          <t>NULL</t>
        </is>
      </c>
      <c r="H380" s="0" t="inlineStr">
        <is>
          <t>NULL</t>
        </is>
      </c>
      <c r="I380" s="0" t="inlineStr">
        <is>
          <t>NULL</t>
        </is>
      </c>
      <c r="J380" s="0" t="inlineStr">
        <is>
          <t>NULL</t>
        </is>
      </c>
      <c r="K380" s="0" t="inlineStr">
        <is>
          <t>YES! 	 id列源备映射正确，源端为int None位	期望更改为int	实际备端为int None位</t>
        </is>
      </c>
    </row>
    <row r="381">
      <c r="B381" s="0" t="inlineStr">
        <is>
          <t>NULL</t>
        </is>
      </c>
      <c r="C381" s="0" t="inlineStr">
        <is>
          <t>NULL</t>
        </is>
      </c>
      <c r="D381" s="0" t="inlineStr">
        <is>
          <t>NULL</t>
        </is>
      </c>
      <c r="E381" s="0" t="inlineStr">
        <is>
          <t>NULL</t>
        </is>
      </c>
      <c r="F381" s="0" t="inlineStr">
        <is>
          <t>NULL</t>
        </is>
      </c>
      <c r="G381" s="0" t="inlineStr">
        <is>
          <t>NULL</t>
        </is>
      </c>
      <c r="H381" s="0" t="inlineStr">
        <is>
          <t>NULL</t>
        </is>
      </c>
      <c r="I381" s="0" t="inlineStr">
        <is>
          <t>NULL</t>
        </is>
      </c>
      <c r="J381" s="0" t="inlineStr">
        <is>
          <t>NULL</t>
        </is>
      </c>
      <c r="K381" s="0" t="inlineStr">
        <is>
          <t>YES! 	 c_varchar_max列源备映射正确，源端为varchar -1位	期望更改为longtext	实际备端为longtext 4294967295位</t>
        </is>
      </c>
    </row>
    <row r="382">
      <c r="B382" s="0" t="inlineStr">
        <is>
          <t>NULL</t>
        </is>
      </c>
      <c r="C382" s="0" t="inlineStr">
        <is>
          <t>NULL</t>
        </is>
      </c>
      <c r="D382" s="0" t="inlineStr">
        <is>
          <t>NULL</t>
        </is>
      </c>
      <c r="E382" s="0" t="inlineStr">
        <is>
          <t>NULL</t>
        </is>
      </c>
      <c r="F382" s="0" t="inlineStr">
        <is>
          <t>NULL</t>
        </is>
      </c>
      <c r="G382" s="0" t="inlineStr">
        <is>
          <t>NULL</t>
        </is>
      </c>
      <c r="H382" s="0" t="inlineStr">
        <is>
          <t>NULL</t>
        </is>
      </c>
      <c r="I382" s="0" t="inlineStr">
        <is>
          <t>NULL</t>
        </is>
      </c>
      <c r="J382" s="0" t="inlineStr">
        <is>
          <t>NULL</t>
        </is>
      </c>
      <c r="K382" s="0" t="inlineStr">
        <is>
          <t>YES! 	 c_nvarchar_max列源备映射正确，源端为nvarchar -1位	期望更改为longtext	实际备端为longtext 4294967295位</t>
        </is>
      </c>
    </row>
    <row r="383">
      <c r="A383" s="0" t="inlineStr">
        <is>
          <t>info_nchar_dml_batch1_pk_irp1</t>
        </is>
      </c>
      <c r="K383" s="0" t="inlineStr">
        <is>
          <t>[0;34m info_nchar_dml_batch1_pk_irp1 [0m源备字段数相同，源端字段：4 	备端字段4</t>
        </is>
      </c>
      <c r="W383" s="0" t="inlineStr">
        <is>
          <t>YES 源备无差异</t>
        </is>
      </c>
      <c r="X383" s="0">
        <f>A383</f>
        <v/>
      </c>
    </row>
    <row r="384">
      <c r="B384" s="0" t="inlineStr">
        <is>
          <t>NO! 主键不正常，源YES备None</t>
        </is>
      </c>
      <c r="C384" s="0" t="inlineStr">
        <is>
          <t>NULL</t>
        </is>
      </c>
      <c r="D384" s="0" t="inlineStr">
        <is>
          <t>NULL</t>
        </is>
      </c>
      <c r="E384" s="0" t="inlineStr">
        <is>
          <t>NULL</t>
        </is>
      </c>
      <c r="F384" s="0" t="inlineStr">
        <is>
          <t>NULL</t>
        </is>
      </c>
      <c r="G384" s="0" t="inlineStr">
        <is>
          <t>NULL</t>
        </is>
      </c>
      <c r="H384" s="0" t="inlineStr">
        <is>
          <t>NULL</t>
        </is>
      </c>
      <c r="I384" s="0" t="inlineStr">
        <is>
          <t>NO! 源备索引不一致源PK__info_nch__3213E83F3F983448备None</t>
        </is>
      </c>
      <c r="J384" s="0" t="inlineStr">
        <is>
          <t>NULL</t>
        </is>
      </c>
      <c r="K384" s="0" t="inlineStr">
        <is>
          <t>YES! 	 id列源备映射正确，源端为int None位	期望更改为int	实际备端为int None位</t>
        </is>
      </c>
    </row>
    <row r="385">
      <c r="B385" s="0" t="inlineStr">
        <is>
          <t>NULL</t>
        </is>
      </c>
      <c r="C385" s="0" t="inlineStr">
        <is>
          <t>NULL</t>
        </is>
      </c>
      <c r="D385" s="0" t="inlineStr">
        <is>
          <t>NULL</t>
        </is>
      </c>
      <c r="E385" s="0" t="inlineStr">
        <is>
          <t>NULL</t>
        </is>
      </c>
      <c r="F385" s="0" t="inlineStr">
        <is>
          <t>NULL</t>
        </is>
      </c>
      <c r="G385" s="0" t="inlineStr">
        <is>
          <t>NULL</t>
        </is>
      </c>
      <c r="H385" s="0" t="inlineStr">
        <is>
          <t>NULL</t>
        </is>
      </c>
      <c r="I385" s="0" t="inlineStr">
        <is>
          <t>NULL</t>
        </is>
      </c>
      <c r="J385" s="0" t="inlineStr">
        <is>
          <t>NULL</t>
        </is>
      </c>
      <c r="K385" s="0" t="inlineStr">
        <is>
          <t>YES! 	 c_nchar列源备映射正确，源端为nchar 2位	期望更改为char(n)	实际备端为char 4位</t>
        </is>
      </c>
    </row>
    <row r="386">
      <c r="B386" s="0" t="inlineStr">
        <is>
          <t>NULL</t>
        </is>
      </c>
      <c r="C386" s="0" t="inlineStr">
        <is>
          <t>NULL</t>
        </is>
      </c>
      <c r="D386" s="0" t="inlineStr">
        <is>
          <t>NULL</t>
        </is>
      </c>
      <c r="E386" s="0" t="inlineStr">
        <is>
          <t>NULL</t>
        </is>
      </c>
      <c r="F386" s="0" t="inlineStr">
        <is>
          <t>NULL</t>
        </is>
      </c>
      <c r="G386" s="0" t="inlineStr">
        <is>
          <t>NULL</t>
        </is>
      </c>
      <c r="H386" s="0" t="inlineStr">
        <is>
          <t>NULL</t>
        </is>
      </c>
      <c r="I386" s="0" t="inlineStr">
        <is>
          <t>NULL</t>
        </is>
      </c>
      <c r="J386" s="0" t="inlineStr">
        <is>
          <t>NULL</t>
        </is>
      </c>
      <c r="K386" s="0" t="inlineStr">
        <is>
          <t>YES! 	 c_nchar20列源备映射正确，源端为nchar 40位	期望更改为char(n)	实际备端为char 80位</t>
        </is>
      </c>
    </row>
    <row r="387">
      <c r="B387" s="0" t="inlineStr">
        <is>
          <t>NULL</t>
        </is>
      </c>
      <c r="C387" s="0" t="inlineStr">
        <is>
          <t>NULL</t>
        </is>
      </c>
      <c r="D387" s="0" t="inlineStr">
        <is>
          <t>NULL</t>
        </is>
      </c>
      <c r="E387" s="0" t="inlineStr">
        <is>
          <t>NULL</t>
        </is>
      </c>
      <c r="F387" s="0" t="inlineStr">
        <is>
          <t>NULL</t>
        </is>
      </c>
      <c r="G387" s="0" t="inlineStr">
        <is>
          <t>NULL</t>
        </is>
      </c>
      <c r="H387" s="0" t="inlineStr">
        <is>
          <t>NULL</t>
        </is>
      </c>
      <c r="I387" s="0" t="inlineStr">
        <is>
          <t>NULL</t>
        </is>
      </c>
      <c r="J387" s="0" t="inlineStr">
        <is>
          <t>NULL</t>
        </is>
      </c>
      <c r="K387" s="0" t="inlineStr">
        <is>
          <t>YES! 	 c_nchar4000列源备映射正确，源端为nchar 8000位	期望更改为text	实际备端为text 65535位</t>
        </is>
      </c>
    </row>
    <row r="388">
      <c r="K388" s="0" t="inlineStr">
        <is>
          <t>[0;31m NO! [0m 	  行数不同,源16行,备端空表</t>
        </is>
      </c>
    </row>
    <row r="389">
      <c r="A389" s="0" t="inlineStr">
        <is>
          <t>info_sql_variant_dml_single_nopk_irp</t>
        </is>
      </c>
      <c r="K389" s="0" t="inlineStr">
        <is>
          <t>[0;34m info_sql_variant_dml_single_nopk_irp [0m源备字段数相同，源端字段：25 	备端字段25</t>
        </is>
      </c>
      <c r="W389" s="0" t="inlineStr">
        <is>
          <t>YES 源备无差异</t>
        </is>
      </c>
      <c r="X389" s="0">
        <f>A389</f>
        <v/>
      </c>
    </row>
    <row r="390">
      <c r="B390" s="0" t="inlineStr">
        <is>
          <t>NULL</t>
        </is>
      </c>
      <c r="C390" s="0" t="inlineStr">
        <is>
          <t>NULL</t>
        </is>
      </c>
      <c r="D390" s="0" t="inlineStr">
        <is>
          <t>NULL</t>
        </is>
      </c>
      <c r="E390" s="0" t="inlineStr">
        <is>
          <t>NULL</t>
        </is>
      </c>
      <c r="F390" s="0" t="inlineStr">
        <is>
          <t>NULL</t>
        </is>
      </c>
      <c r="G390" s="0" t="inlineStr">
        <is>
          <t>NULL</t>
        </is>
      </c>
      <c r="H390" s="0" t="inlineStr">
        <is>
          <t>NULL</t>
        </is>
      </c>
      <c r="I390" s="0" t="inlineStr">
        <is>
          <t>NULL</t>
        </is>
      </c>
      <c r="J390" s="0" t="inlineStr">
        <is>
          <t>NULL</t>
        </is>
      </c>
      <c r="K390" s="0" t="inlineStr">
        <is>
          <t>YES! 	 id列源备映射正确，源端为int None位	期望更改为int	实际备端为int None位</t>
        </is>
      </c>
    </row>
    <row r="391">
      <c r="B391" s="0" t="inlineStr">
        <is>
          <t>NULL</t>
        </is>
      </c>
      <c r="C391" s="0" t="inlineStr">
        <is>
          <t>NULL</t>
        </is>
      </c>
      <c r="D391" s="0" t="inlineStr">
        <is>
          <t>NULL</t>
        </is>
      </c>
      <c r="E391" s="0" t="inlineStr">
        <is>
          <t>NULL</t>
        </is>
      </c>
      <c r="F391" s="0" t="inlineStr">
        <is>
          <t>NULL</t>
        </is>
      </c>
      <c r="G391" s="0" t="inlineStr">
        <is>
          <t>NULL</t>
        </is>
      </c>
      <c r="H391" s="0" t="inlineStr">
        <is>
          <t>NULL</t>
        </is>
      </c>
      <c r="I391" s="0" t="inlineStr">
        <is>
          <t>NULL</t>
        </is>
      </c>
      <c r="J391" s="0" t="inlineStr">
        <is>
          <t>NULL</t>
        </is>
      </c>
      <c r="K391" s="0" t="inlineStr">
        <is>
          <t>[0;32m YES! [0m 	 c_date列源备映射正确，源端为sql_variant 0位	期望更改为VARCHAR(255)	实际备端为varchar 1020位	位数精度不存在，通过长度比较</t>
        </is>
      </c>
    </row>
    <row r="392">
      <c r="B392" s="0" t="inlineStr">
        <is>
          <t>NULL</t>
        </is>
      </c>
      <c r="C392" s="0" t="inlineStr">
        <is>
          <t>NULL</t>
        </is>
      </c>
      <c r="D392" s="0" t="inlineStr">
        <is>
          <t>NULL</t>
        </is>
      </c>
      <c r="E392" s="0" t="inlineStr">
        <is>
          <t>NULL</t>
        </is>
      </c>
      <c r="F392" s="0" t="inlineStr">
        <is>
          <t>NULL</t>
        </is>
      </c>
      <c r="G392" s="0" t="inlineStr">
        <is>
          <t>NULL</t>
        </is>
      </c>
      <c r="H392" s="0" t="inlineStr">
        <is>
          <t>NULL</t>
        </is>
      </c>
      <c r="I392" s="0" t="inlineStr">
        <is>
          <t>NULL</t>
        </is>
      </c>
      <c r="J392" s="0" t="inlineStr">
        <is>
          <t>NULL</t>
        </is>
      </c>
      <c r="K392" s="0" t="inlineStr">
        <is>
          <t>[0;32m YES! [0m 	 c_time列源备映射正确，源端为sql_variant 0位	期望更改为VARCHAR(255)	实际备端为varchar 1020位	位数精度不存在，通过长度比较</t>
        </is>
      </c>
    </row>
    <row r="393">
      <c r="B393" s="0" t="inlineStr">
        <is>
          <t>NULL</t>
        </is>
      </c>
      <c r="C393" s="0" t="inlineStr">
        <is>
          <t>NULL</t>
        </is>
      </c>
      <c r="D393" s="0" t="inlineStr">
        <is>
          <t>NULL</t>
        </is>
      </c>
      <c r="E393" s="0" t="inlineStr">
        <is>
          <t>NULL</t>
        </is>
      </c>
      <c r="F393" s="0" t="inlineStr">
        <is>
          <t>NULL</t>
        </is>
      </c>
      <c r="G393" s="0" t="inlineStr">
        <is>
          <t>NULL</t>
        </is>
      </c>
      <c r="H393" s="0" t="inlineStr">
        <is>
          <t>NULL</t>
        </is>
      </c>
      <c r="I393" s="0" t="inlineStr">
        <is>
          <t>NULL</t>
        </is>
      </c>
      <c r="J393" s="0" t="inlineStr">
        <is>
          <t>NULL</t>
        </is>
      </c>
      <c r="K393" s="0" t="inlineStr">
        <is>
          <t>[0;32m YES! [0m 	 c_datetime2列源备映射正确，源端为sql_variant 0位	期望更改为VARCHAR(255)	实际备端为varchar 1020位	位数精度不存在，通过长度比较</t>
        </is>
      </c>
    </row>
    <row r="394">
      <c r="B394" s="0" t="inlineStr">
        <is>
          <t>NULL</t>
        </is>
      </c>
      <c r="C394" s="0" t="inlineStr">
        <is>
          <t>NULL</t>
        </is>
      </c>
      <c r="D394" s="0" t="inlineStr">
        <is>
          <t>NULL</t>
        </is>
      </c>
      <c r="E394" s="0" t="inlineStr">
        <is>
          <t>NULL</t>
        </is>
      </c>
      <c r="F394" s="0" t="inlineStr">
        <is>
          <t>NULL</t>
        </is>
      </c>
      <c r="G394" s="0" t="inlineStr">
        <is>
          <t>NULL</t>
        </is>
      </c>
      <c r="H394" s="0" t="inlineStr">
        <is>
          <t>NULL</t>
        </is>
      </c>
      <c r="I394" s="0" t="inlineStr">
        <is>
          <t>NULL</t>
        </is>
      </c>
      <c r="J394" s="0" t="inlineStr">
        <is>
          <t>NULL</t>
        </is>
      </c>
      <c r="K394" s="0" t="inlineStr">
        <is>
          <t>[0;32m YES! [0m 	 c_datetimeoffset列源备映射正确，源端为sql_variant 0位	期望更改为VARCHAR(255)	实际备端为varchar 1020位	位数精度不存在，通过长度比较</t>
        </is>
      </c>
    </row>
    <row r="395">
      <c r="B395" s="0" t="inlineStr">
        <is>
          <t>NULL</t>
        </is>
      </c>
      <c r="C395" s="0" t="inlineStr">
        <is>
          <t>NULL</t>
        </is>
      </c>
      <c r="D395" s="0" t="inlineStr">
        <is>
          <t>NULL</t>
        </is>
      </c>
      <c r="E395" s="0" t="inlineStr">
        <is>
          <t>NULL</t>
        </is>
      </c>
      <c r="F395" s="0" t="inlineStr">
        <is>
          <t>NULL</t>
        </is>
      </c>
      <c r="G395" s="0" t="inlineStr">
        <is>
          <t>NULL</t>
        </is>
      </c>
      <c r="H395" s="0" t="inlineStr">
        <is>
          <t>NULL</t>
        </is>
      </c>
      <c r="I395" s="0" t="inlineStr">
        <is>
          <t>NULL</t>
        </is>
      </c>
      <c r="J395" s="0" t="inlineStr">
        <is>
          <t>NULL</t>
        </is>
      </c>
      <c r="K395" s="0" t="inlineStr">
        <is>
          <t>[0;32m YES! [0m 	 c_tinyint列源备映射正确，源端为sql_variant 0位	期望更改为VARCHAR(255)	实际备端为varchar 1020位	位数精度不存在，通过长度比较</t>
        </is>
      </c>
    </row>
    <row r="396">
      <c r="B396" s="0" t="inlineStr">
        <is>
          <t>NULL</t>
        </is>
      </c>
      <c r="C396" s="0" t="inlineStr">
        <is>
          <t>NULL</t>
        </is>
      </c>
      <c r="D396" s="0" t="inlineStr">
        <is>
          <t>NULL</t>
        </is>
      </c>
      <c r="E396" s="0" t="inlineStr">
        <is>
          <t>NULL</t>
        </is>
      </c>
      <c r="F396" s="0" t="inlineStr">
        <is>
          <t>NULL</t>
        </is>
      </c>
      <c r="G396" s="0" t="inlineStr">
        <is>
          <t>NULL</t>
        </is>
      </c>
      <c r="H396" s="0" t="inlineStr">
        <is>
          <t>NULL</t>
        </is>
      </c>
      <c r="I396" s="0" t="inlineStr">
        <is>
          <t>NULL</t>
        </is>
      </c>
      <c r="J396" s="0" t="inlineStr">
        <is>
          <t>NULL</t>
        </is>
      </c>
      <c r="K396" s="0" t="inlineStr">
        <is>
          <t>[0;32m YES! [0m 	 c_smallint列源备映射正确，源端为sql_variant 0位	期望更改为VARCHAR(255)	实际备端为varchar 1020位	位数精度不存在，通过长度比较</t>
        </is>
      </c>
    </row>
    <row r="397">
      <c r="B397" s="0" t="inlineStr">
        <is>
          <t>NULL</t>
        </is>
      </c>
      <c r="C397" s="0" t="inlineStr">
        <is>
          <t>NULL</t>
        </is>
      </c>
      <c r="D397" s="0" t="inlineStr">
        <is>
          <t>NULL</t>
        </is>
      </c>
      <c r="E397" s="0" t="inlineStr">
        <is>
          <t>NULL</t>
        </is>
      </c>
      <c r="F397" s="0" t="inlineStr">
        <is>
          <t>NULL</t>
        </is>
      </c>
      <c r="G397" s="0" t="inlineStr">
        <is>
          <t>NULL</t>
        </is>
      </c>
      <c r="H397" s="0" t="inlineStr">
        <is>
          <t>NULL</t>
        </is>
      </c>
      <c r="I397" s="0" t="inlineStr">
        <is>
          <t>NULL</t>
        </is>
      </c>
      <c r="J397" s="0" t="inlineStr">
        <is>
          <t>NULL</t>
        </is>
      </c>
      <c r="K397" s="0" t="inlineStr">
        <is>
          <t>[0;32m YES! [0m 	 c_int列源备映射正确，源端为sql_variant 0位	期望更改为VARCHAR(255)	实际备端为varchar 1020位	位数精度不存在，通过长度比较</t>
        </is>
      </c>
    </row>
    <row r="398">
      <c r="B398" s="0" t="inlineStr">
        <is>
          <t>NULL</t>
        </is>
      </c>
      <c r="C398" s="0" t="inlineStr">
        <is>
          <t>NULL</t>
        </is>
      </c>
      <c r="D398" s="0" t="inlineStr">
        <is>
          <t>NULL</t>
        </is>
      </c>
      <c r="E398" s="0" t="inlineStr">
        <is>
          <t>NULL</t>
        </is>
      </c>
      <c r="F398" s="0" t="inlineStr">
        <is>
          <t>NULL</t>
        </is>
      </c>
      <c r="G398" s="0" t="inlineStr">
        <is>
          <t>NULL</t>
        </is>
      </c>
      <c r="H398" s="0" t="inlineStr">
        <is>
          <t>NULL</t>
        </is>
      </c>
      <c r="I398" s="0" t="inlineStr">
        <is>
          <t>NULL</t>
        </is>
      </c>
      <c r="J398" s="0" t="inlineStr">
        <is>
          <t>NULL</t>
        </is>
      </c>
      <c r="K398" s="0" t="inlineStr">
        <is>
          <t>[0;32m YES! [0m 	 c_sdt列源备映射正确，源端为sql_variant 0位	期望更改为VARCHAR(255)	实际备端为varchar 1020位	位数精度不存在，通过长度比较</t>
        </is>
      </c>
    </row>
    <row r="399">
      <c r="B399" s="0" t="inlineStr">
        <is>
          <t>NULL</t>
        </is>
      </c>
      <c r="C399" s="0" t="inlineStr">
        <is>
          <t>NULL</t>
        </is>
      </c>
      <c r="D399" s="0" t="inlineStr">
        <is>
          <t>NULL</t>
        </is>
      </c>
      <c r="E399" s="0" t="inlineStr">
        <is>
          <t>NULL</t>
        </is>
      </c>
      <c r="F399" s="0" t="inlineStr">
        <is>
          <t>NULL</t>
        </is>
      </c>
      <c r="G399" s="0" t="inlineStr">
        <is>
          <t>NULL</t>
        </is>
      </c>
      <c r="H399" s="0" t="inlineStr">
        <is>
          <t>NULL</t>
        </is>
      </c>
      <c r="I399" s="0" t="inlineStr">
        <is>
          <t>NULL</t>
        </is>
      </c>
      <c r="J399" s="0" t="inlineStr">
        <is>
          <t>NULL</t>
        </is>
      </c>
      <c r="K399" s="0" t="inlineStr">
        <is>
          <t>[0;32m YES! [0m 	 c_real列源备映射正确，源端为sql_variant 0位	期望更改为VARCHAR(255)	实际备端为varchar 1020位	位数精度不存在，通过长度比较</t>
        </is>
      </c>
    </row>
    <row r="400">
      <c r="B400" s="0" t="inlineStr">
        <is>
          <t>NULL</t>
        </is>
      </c>
      <c r="C400" s="0" t="inlineStr">
        <is>
          <t>NULL</t>
        </is>
      </c>
      <c r="D400" s="0" t="inlineStr">
        <is>
          <t>NULL</t>
        </is>
      </c>
      <c r="E400" s="0" t="inlineStr">
        <is>
          <t>NULL</t>
        </is>
      </c>
      <c r="F400" s="0" t="inlineStr">
        <is>
          <t>NULL</t>
        </is>
      </c>
      <c r="G400" s="0" t="inlineStr">
        <is>
          <t>NULL</t>
        </is>
      </c>
      <c r="H400" s="0" t="inlineStr">
        <is>
          <t>NULL</t>
        </is>
      </c>
      <c r="I400" s="0" t="inlineStr">
        <is>
          <t>NULL</t>
        </is>
      </c>
      <c r="J400" s="0" t="inlineStr">
        <is>
          <t>NULL</t>
        </is>
      </c>
      <c r="K400" s="0" t="inlineStr">
        <is>
          <t>[0;32m YES! [0m 	 c_money列源备映射正确，源端为sql_variant 0位	期望更改为VARCHAR(255)	实际备端为varchar 1020位	位数精度不存在，通过长度比较</t>
        </is>
      </c>
    </row>
    <row r="401">
      <c r="B401" s="0" t="inlineStr">
        <is>
          <t>NULL</t>
        </is>
      </c>
      <c r="C401" s="0" t="inlineStr">
        <is>
          <t>NULL</t>
        </is>
      </c>
      <c r="D401" s="0" t="inlineStr">
        <is>
          <t>NULL</t>
        </is>
      </c>
      <c r="E401" s="0" t="inlineStr">
        <is>
          <t>NULL</t>
        </is>
      </c>
      <c r="F401" s="0" t="inlineStr">
        <is>
          <t>NULL</t>
        </is>
      </c>
      <c r="G401" s="0" t="inlineStr">
        <is>
          <t>NULL</t>
        </is>
      </c>
      <c r="H401" s="0" t="inlineStr">
        <is>
          <t>NULL</t>
        </is>
      </c>
      <c r="I401" s="0" t="inlineStr">
        <is>
          <t>NULL</t>
        </is>
      </c>
      <c r="J401" s="0" t="inlineStr">
        <is>
          <t>NULL</t>
        </is>
      </c>
      <c r="K401" s="0" t="inlineStr">
        <is>
          <t>[0;32m YES! [0m 	 c_datetime列源备映射正确，源端为sql_variant 0位	期望更改为VARCHAR(255)	实际备端为varchar 1020位	位数精度不存在，通过长度比较</t>
        </is>
      </c>
    </row>
    <row r="402">
      <c r="B402" s="0" t="inlineStr">
        <is>
          <t>NULL</t>
        </is>
      </c>
      <c r="C402" s="0" t="inlineStr">
        <is>
          <t>NULL</t>
        </is>
      </c>
      <c r="D402" s="0" t="inlineStr">
        <is>
          <t>NULL</t>
        </is>
      </c>
      <c r="E402" s="0" t="inlineStr">
        <is>
          <t>NULL</t>
        </is>
      </c>
      <c r="F402" s="0" t="inlineStr">
        <is>
          <t>NULL</t>
        </is>
      </c>
      <c r="G402" s="0" t="inlineStr">
        <is>
          <t>NULL</t>
        </is>
      </c>
      <c r="H402" s="0" t="inlineStr">
        <is>
          <t>NULL</t>
        </is>
      </c>
      <c r="I402" s="0" t="inlineStr">
        <is>
          <t>NULL</t>
        </is>
      </c>
      <c r="J402" s="0" t="inlineStr">
        <is>
          <t>NULL</t>
        </is>
      </c>
      <c r="K402" s="0" t="inlineStr">
        <is>
          <t>[0;32m YES! [0m 	 c_float列源备映射正确，源端为sql_variant 0位	期望更改为VARCHAR(255)	实际备端为varchar 1020位	位数精度不存在，通过长度比较</t>
        </is>
      </c>
    </row>
    <row r="403">
      <c r="B403" s="0" t="inlineStr">
        <is>
          <t>NULL</t>
        </is>
      </c>
      <c r="C403" s="0" t="inlineStr">
        <is>
          <t>NULL</t>
        </is>
      </c>
      <c r="D403" s="0" t="inlineStr">
        <is>
          <t>NULL</t>
        </is>
      </c>
      <c r="E403" s="0" t="inlineStr">
        <is>
          <t>NULL</t>
        </is>
      </c>
      <c r="F403" s="0" t="inlineStr">
        <is>
          <t>NULL</t>
        </is>
      </c>
      <c r="G403" s="0" t="inlineStr">
        <is>
          <t>NULL</t>
        </is>
      </c>
      <c r="H403" s="0" t="inlineStr">
        <is>
          <t>NULL</t>
        </is>
      </c>
      <c r="I403" s="0" t="inlineStr">
        <is>
          <t>NULL</t>
        </is>
      </c>
      <c r="J403" s="0" t="inlineStr">
        <is>
          <t>NULL</t>
        </is>
      </c>
      <c r="K403" s="0" t="inlineStr">
        <is>
          <t>[0;32m YES! [0m 	 c_bit列源备映射正确，源端为sql_variant 0位	期望更改为VARCHAR(255)	实际备端为varchar 1020位	位数精度不存在，通过长度比较</t>
        </is>
      </c>
    </row>
    <row r="404">
      <c r="B404" s="0" t="inlineStr">
        <is>
          <t>NULL</t>
        </is>
      </c>
      <c r="C404" s="0" t="inlineStr">
        <is>
          <t>NULL</t>
        </is>
      </c>
      <c r="D404" s="0" t="inlineStr">
        <is>
          <t>NULL</t>
        </is>
      </c>
      <c r="E404" s="0" t="inlineStr">
        <is>
          <t>NULL</t>
        </is>
      </c>
      <c r="F404" s="0" t="inlineStr">
        <is>
          <t>NULL</t>
        </is>
      </c>
      <c r="G404" s="0" t="inlineStr">
        <is>
          <t>NULL</t>
        </is>
      </c>
      <c r="H404" s="0" t="inlineStr">
        <is>
          <t>NULL</t>
        </is>
      </c>
      <c r="I404" s="0" t="inlineStr">
        <is>
          <t>NULL</t>
        </is>
      </c>
      <c r="J404" s="0" t="inlineStr">
        <is>
          <t>NULL</t>
        </is>
      </c>
      <c r="K404" s="0" t="inlineStr">
        <is>
          <t>[0;32m YES! [0m 	 c_decimal列源备映射正确，源端为sql_variant 0位	期望更改为VARCHAR(255)	实际备端为varchar 1020位	位数精度不存在，通过长度比较</t>
        </is>
      </c>
    </row>
    <row r="405">
      <c r="B405" s="0" t="inlineStr">
        <is>
          <t>NULL</t>
        </is>
      </c>
      <c r="C405" s="0" t="inlineStr">
        <is>
          <t>NULL</t>
        </is>
      </c>
      <c r="D405" s="0" t="inlineStr">
        <is>
          <t>NULL</t>
        </is>
      </c>
      <c r="E405" s="0" t="inlineStr">
        <is>
          <t>NULL</t>
        </is>
      </c>
      <c r="F405" s="0" t="inlineStr">
        <is>
          <t>NULL</t>
        </is>
      </c>
      <c r="G405" s="0" t="inlineStr">
        <is>
          <t>NULL</t>
        </is>
      </c>
      <c r="H405" s="0" t="inlineStr">
        <is>
          <t>NULL</t>
        </is>
      </c>
      <c r="I405" s="0" t="inlineStr">
        <is>
          <t>NULL</t>
        </is>
      </c>
      <c r="J405" s="0" t="inlineStr">
        <is>
          <t>NULL</t>
        </is>
      </c>
      <c r="K405" s="0" t="inlineStr">
        <is>
          <t>[0;32m YES! [0m 	 c_uniqueidentifier列源备映射正确，源端为sql_variant 0位	期望更改为VARCHAR(255)	实际备端为varchar 1020位	位数精度不存在，通过长度比较</t>
        </is>
      </c>
    </row>
    <row r="406">
      <c r="B406" s="0" t="inlineStr">
        <is>
          <t>NULL</t>
        </is>
      </c>
      <c r="C406" s="0" t="inlineStr">
        <is>
          <t>NULL</t>
        </is>
      </c>
      <c r="D406" s="0" t="inlineStr">
        <is>
          <t>NULL</t>
        </is>
      </c>
      <c r="E406" s="0" t="inlineStr">
        <is>
          <t>NULL</t>
        </is>
      </c>
      <c r="F406" s="0" t="inlineStr">
        <is>
          <t>NULL</t>
        </is>
      </c>
      <c r="G406" s="0" t="inlineStr">
        <is>
          <t>NULL</t>
        </is>
      </c>
      <c r="H406" s="0" t="inlineStr">
        <is>
          <t>NULL</t>
        </is>
      </c>
      <c r="I406" s="0" t="inlineStr">
        <is>
          <t>NULL</t>
        </is>
      </c>
      <c r="J406" s="0" t="inlineStr">
        <is>
          <t>NULL</t>
        </is>
      </c>
      <c r="K406" s="0" t="inlineStr">
        <is>
          <t>[0;32m YES! [0m 	 c_smallmoney列源备映射正确，源端为sql_variant 0位	期望更改为VARCHAR(255)	实际备端为varchar 1020位	位数精度不存在，通过长度比较</t>
        </is>
      </c>
    </row>
    <row r="407">
      <c r="B407" s="0" t="inlineStr">
        <is>
          <t>NULL</t>
        </is>
      </c>
      <c r="C407" s="0" t="inlineStr">
        <is>
          <t>NULL</t>
        </is>
      </c>
      <c r="D407" s="0" t="inlineStr">
        <is>
          <t>NULL</t>
        </is>
      </c>
      <c r="E407" s="0" t="inlineStr">
        <is>
          <t>NULL</t>
        </is>
      </c>
      <c r="F407" s="0" t="inlineStr">
        <is>
          <t>NULL</t>
        </is>
      </c>
      <c r="G407" s="0" t="inlineStr">
        <is>
          <t>NULL</t>
        </is>
      </c>
      <c r="H407" s="0" t="inlineStr">
        <is>
          <t>NULL</t>
        </is>
      </c>
      <c r="I407" s="0" t="inlineStr">
        <is>
          <t>NULL</t>
        </is>
      </c>
      <c r="J407" s="0" t="inlineStr">
        <is>
          <t>NULL</t>
        </is>
      </c>
      <c r="K407" s="0" t="inlineStr">
        <is>
          <t>[0;32m YES! [0m 	 c_bigint列源备映射正确，源端为sql_variant 0位	期望更改为VARCHAR(255)	实际备端为varchar 1020位	位数精度不存在，通过长度比较</t>
        </is>
      </c>
    </row>
    <row r="408">
      <c r="B408" s="0" t="inlineStr">
        <is>
          <t>NULL</t>
        </is>
      </c>
      <c r="C408" s="0" t="inlineStr">
        <is>
          <t>NULL</t>
        </is>
      </c>
      <c r="D408" s="0" t="inlineStr">
        <is>
          <t>NULL</t>
        </is>
      </c>
      <c r="E408" s="0" t="inlineStr">
        <is>
          <t>NULL</t>
        </is>
      </c>
      <c r="F408" s="0" t="inlineStr">
        <is>
          <t>NULL</t>
        </is>
      </c>
      <c r="G408" s="0" t="inlineStr">
        <is>
          <t>NULL</t>
        </is>
      </c>
      <c r="H408" s="0" t="inlineStr">
        <is>
          <t>NULL</t>
        </is>
      </c>
      <c r="I408" s="0" t="inlineStr">
        <is>
          <t>NULL</t>
        </is>
      </c>
      <c r="J408" s="0" t="inlineStr">
        <is>
          <t>NULL</t>
        </is>
      </c>
      <c r="K408" s="0" t="inlineStr">
        <is>
          <t>[0;32m YES! [0m 	 c_varbinary_20列源备映射正确，源端为sql_variant 0位	期望更改为VARCHAR(255)	实际备端为varchar 1020位	位数精度不存在，通过长度比较</t>
        </is>
      </c>
    </row>
    <row r="409">
      <c r="B409" s="0" t="inlineStr">
        <is>
          <t>NULL</t>
        </is>
      </c>
      <c r="C409" s="0" t="inlineStr">
        <is>
          <t>NULL</t>
        </is>
      </c>
      <c r="D409" s="0" t="inlineStr">
        <is>
          <t>NULL</t>
        </is>
      </c>
      <c r="E409" s="0" t="inlineStr">
        <is>
          <t>NULL</t>
        </is>
      </c>
      <c r="F409" s="0" t="inlineStr">
        <is>
          <t>NULL</t>
        </is>
      </c>
      <c r="G409" s="0" t="inlineStr">
        <is>
          <t>NULL</t>
        </is>
      </c>
      <c r="H409" s="0" t="inlineStr">
        <is>
          <t>NULL</t>
        </is>
      </c>
      <c r="I409" s="0" t="inlineStr">
        <is>
          <t>NULL</t>
        </is>
      </c>
      <c r="J409" s="0" t="inlineStr">
        <is>
          <t>NULL</t>
        </is>
      </c>
      <c r="K409" s="0" t="inlineStr">
        <is>
          <t>[0;32m YES! [0m 	 c_varchar_20列源备映射正确，源端为sql_variant 0位	期望更改为VARCHAR(255)	实际备端为varchar 1020位	位数精度不存在，通过长度比较</t>
        </is>
      </c>
    </row>
    <row r="410">
      <c r="B410" s="0" t="inlineStr">
        <is>
          <t>NULL</t>
        </is>
      </c>
      <c r="C410" s="0" t="inlineStr">
        <is>
          <t>NULL</t>
        </is>
      </c>
      <c r="D410" s="0" t="inlineStr">
        <is>
          <t>NULL</t>
        </is>
      </c>
      <c r="E410" s="0" t="inlineStr">
        <is>
          <t>NULL</t>
        </is>
      </c>
      <c r="F410" s="0" t="inlineStr">
        <is>
          <t>NULL</t>
        </is>
      </c>
      <c r="G410" s="0" t="inlineStr">
        <is>
          <t>NULL</t>
        </is>
      </c>
      <c r="H410" s="0" t="inlineStr">
        <is>
          <t>NULL</t>
        </is>
      </c>
      <c r="I410" s="0" t="inlineStr">
        <is>
          <t>NULL</t>
        </is>
      </c>
      <c r="J410" s="0" t="inlineStr">
        <is>
          <t>NULL</t>
        </is>
      </c>
      <c r="K410" s="0" t="inlineStr">
        <is>
          <t>[0;32m YES! [0m 	 c_binary_20列源备映射正确，源端为sql_variant 0位	期望更改为VARCHAR(255)	实际备端为varchar 1020位	位数精度不存在，通过长度比较</t>
        </is>
      </c>
    </row>
    <row r="411">
      <c r="B411" s="0" t="inlineStr">
        <is>
          <t>NULL</t>
        </is>
      </c>
      <c r="C411" s="0" t="inlineStr">
        <is>
          <t>NULL</t>
        </is>
      </c>
      <c r="D411" s="0" t="inlineStr">
        <is>
          <t>NULL</t>
        </is>
      </c>
      <c r="E411" s="0" t="inlineStr">
        <is>
          <t>NULL</t>
        </is>
      </c>
      <c r="F411" s="0" t="inlineStr">
        <is>
          <t>NULL</t>
        </is>
      </c>
      <c r="G411" s="0" t="inlineStr">
        <is>
          <t>NULL</t>
        </is>
      </c>
      <c r="H411" s="0" t="inlineStr">
        <is>
          <t>NULL</t>
        </is>
      </c>
      <c r="I411" s="0" t="inlineStr">
        <is>
          <t>NULL</t>
        </is>
      </c>
      <c r="J411" s="0" t="inlineStr">
        <is>
          <t>NULL</t>
        </is>
      </c>
      <c r="K411" s="0" t="inlineStr">
        <is>
          <t>[0;32m YES! [0m 	 c_char_20列源备映射正确，源端为sql_variant 0位	期望更改为VARCHAR(255)	实际备端为varchar 1020位	位数精度不存在，通过长度比较</t>
        </is>
      </c>
    </row>
    <row r="412">
      <c r="B412" s="0" t="inlineStr">
        <is>
          <t>NULL</t>
        </is>
      </c>
      <c r="C412" s="0" t="inlineStr">
        <is>
          <t>NULL</t>
        </is>
      </c>
      <c r="D412" s="0" t="inlineStr">
        <is>
          <t>NULL</t>
        </is>
      </c>
      <c r="E412" s="0" t="inlineStr">
        <is>
          <t>NULL</t>
        </is>
      </c>
      <c r="F412" s="0" t="inlineStr">
        <is>
          <t>NULL</t>
        </is>
      </c>
      <c r="G412" s="0" t="inlineStr">
        <is>
          <t>NULL</t>
        </is>
      </c>
      <c r="H412" s="0" t="inlineStr">
        <is>
          <t>NULL</t>
        </is>
      </c>
      <c r="I412" s="0" t="inlineStr">
        <is>
          <t>NULL</t>
        </is>
      </c>
      <c r="J412" s="0" t="inlineStr">
        <is>
          <t>NULL</t>
        </is>
      </c>
      <c r="K412" s="0" t="inlineStr">
        <is>
          <t>[0;32m YES! [0m 	 c_nvarchar_20列源备映射正确，源端为sql_variant 0位	期望更改为VARCHAR(255)	实际备端为varchar 1020位	位数精度不存在，通过长度比较</t>
        </is>
      </c>
    </row>
    <row r="413">
      <c r="B413" s="0" t="inlineStr">
        <is>
          <t>NULL</t>
        </is>
      </c>
      <c r="C413" s="0" t="inlineStr">
        <is>
          <t>NULL</t>
        </is>
      </c>
      <c r="D413" s="0" t="inlineStr">
        <is>
          <t>NULL</t>
        </is>
      </c>
      <c r="E413" s="0" t="inlineStr">
        <is>
          <t>NULL</t>
        </is>
      </c>
      <c r="F413" s="0" t="inlineStr">
        <is>
          <t>NULL</t>
        </is>
      </c>
      <c r="G413" s="0" t="inlineStr">
        <is>
          <t>NULL</t>
        </is>
      </c>
      <c r="H413" s="0" t="inlineStr">
        <is>
          <t>NULL</t>
        </is>
      </c>
      <c r="I413" s="0" t="inlineStr">
        <is>
          <t>NULL</t>
        </is>
      </c>
      <c r="J413" s="0" t="inlineStr">
        <is>
          <t>NULL</t>
        </is>
      </c>
      <c r="K413" s="0" t="inlineStr">
        <is>
          <t>[0;32m YES! [0m 	 c_nchar_20列源备映射正确，源端为sql_variant 0位	期望更改为VARCHAR(255)	实际备端为varchar 1020位	位数精度不存在，通过长度比较</t>
        </is>
      </c>
    </row>
    <row r="414">
      <c r="B414" s="0" t="inlineStr">
        <is>
          <t>NULL</t>
        </is>
      </c>
      <c r="C414" s="0" t="inlineStr">
        <is>
          <t>NULL</t>
        </is>
      </c>
      <c r="D414" s="0" t="inlineStr">
        <is>
          <t>NULL</t>
        </is>
      </c>
      <c r="E414" s="0" t="inlineStr">
        <is>
          <t>NULL</t>
        </is>
      </c>
      <c r="F414" s="0" t="inlineStr">
        <is>
          <t>NULL</t>
        </is>
      </c>
      <c r="G414" s="0" t="inlineStr">
        <is>
          <t>NULL</t>
        </is>
      </c>
      <c r="H414" s="0" t="inlineStr">
        <is>
          <t>NULL</t>
        </is>
      </c>
      <c r="I414" s="0" t="inlineStr">
        <is>
          <t>NULL</t>
        </is>
      </c>
      <c r="J414" s="0" t="inlineStr">
        <is>
          <t>NULL</t>
        </is>
      </c>
      <c r="K414" s="0" t="inlineStr">
        <is>
          <t>[0;32m YES! [0m 	 c_timestamp列源备映射正确，源端为timestamp None位	期望更改为binary(8)	实际备端为binary 8位	位数精度不存在，通过长度比较</t>
        </is>
      </c>
    </row>
    <row r="415">
      <c r="K415" s="0" t="inlineStr">
        <is>
          <t>[0;31m NO! [0m 	  行数不同,源2行,备端空表</t>
        </is>
      </c>
    </row>
    <row r="416">
      <c r="A416" s="0" t="inlineStr">
        <is>
          <t>info_sql_variant_dml_single_nopk_urp</t>
        </is>
      </c>
      <c r="K416" s="0" t="inlineStr">
        <is>
          <t>[0;34m info_sql_variant_dml_single_nopk_urp [0m源备字段数相同，源端字段：25 	备端字段25</t>
        </is>
      </c>
      <c r="W416" s="15">
        <f>HYPERLINK("#2026051816mysql0!AD2","NO 源备存在差异，共2个")</f>
        <v/>
      </c>
      <c r="X416" s="0">
        <f>A416</f>
        <v/>
      </c>
    </row>
    <row r="417">
      <c r="B417" s="0" t="inlineStr">
        <is>
          <t>NULL</t>
        </is>
      </c>
      <c r="C417" s="0" t="inlineStr">
        <is>
          <t>NULL</t>
        </is>
      </c>
      <c r="D417" s="0" t="inlineStr">
        <is>
          <t>NULL</t>
        </is>
      </c>
      <c r="E417" s="0" t="inlineStr">
        <is>
          <t>NULL</t>
        </is>
      </c>
      <c r="F417" s="0" t="inlineStr">
        <is>
          <t>NULL</t>
        </is>
      </c>
      <c r="G417" s="0" t="inlineStr">
        <is>
          <t>NULL</t>
        </is>
      </c>
      <c r="H417" s="0" t="inlineStr">
        <is>
          <t>NULL</t>
        </is>
      </c>
      <c r="I417" s="0" t="inlineStr">
        <is>
          <t>NULL</t>
        </is>
      </c>
      <c r="J417" s="0" t="inlineStr">
        <is>
          <t>NULL</t>
        </is>
      </c>
      <c r="K417" s="0" t="inlineStr">
        <is>
          <t>YES! 	 id列源备映射正确，源端为int None位	期望更改为int	实际备端为int None位</t>
        </is>
      </c>
    </row>
    <row r="418">
      <c r="B418" s="0" t="inlineStr">
        <is>
          <t>NULL</t>
        </is>
      </c>
      <c r="C418" s="0" t="inlineStr">
        <is>
          <t>NULL</t>
        </is>
      </c>
      <c r="D418" s="0" t="inlineStr">
        <is>
          <t>NULL</t>
        </is>
      </c>
      <c r="E418" s="0" t="inlineStr">
        <is>
          <t>NULL</t>
        </is>
      </c>
      <c r="F418" s="0" t="inlineStr">
        <is>
          <t>NULL</t>
        </is>
      </c>
      <c r="G418" s="0" t="inlineStr">
        <is>
          <t>NULL</t>
        </is>
      </c>
      <c r="H418" s="0" t="inlineStr">
        <is>
          <t>NULL</t>
        </is>
      </c>
      <c r="I418" s="0" t="inlineStr">
        <is>
          <t>NULL</t>
        </is>
      </c>
      <c r="J418" s="0" t="inlineStr">
        <is>
          <t>NULL</t>
        </is>
      </c>
      <c r="K418" s="0" t="inlineStr">
        <is>
          <t>[0;32m YES! [0m 	 c_date列源备映射正确，源端为sql_variant 0位	期望更改为VARCHAR(255)	实际备端为varchar 1020位	位数精度不存在，通过长度比较</t>
        </is>
      </c>
    </row>
    <row r="419">
      <c r="B419" s="0" t="inlineStr">
        <is>
          <t>NULL</t>
        </is>
      </c>
      <c r="C419" s="0" t="inlineStr">
        <is>
          <t>NULL</t>
        </is>
      </c>
      <c r="D419" s="0" t="inlineStr">
        <is>
          <t>NULL</t>
        </is>
      </c>
      <c r="E419" s="0" t="inlineStr">
        <is>
          <t>NULL</t>
        </is>
      </c>
      <c r="F419" s="0" t="inlineStr">
        <is>
          <t>NULL</t>
        </is>
      </c>
      <c r="G419" s="0" t="inlineStr">
        <is>
          <t>NULL</t>
        </is>
      </c>
      <c r="H419" s="0" t="inlineStr">
        <is>
          <t>NULL</t>
        </is>
      </c>
      <c r="I419" s="0" t="inlineStr">
        <is>
          <t>NULL</t>
        </is>
      </c>
      <c r="J419" s="0" t="inlineStr">
        <is>
          <t>NULL</t>
        </is>
      </c>
      <c r="K419" s="0" t="inlineStr">
        <is>
          <t>[0;32m YES! [0m 	 c_time列源备映射正确，源端为sql_variant 0位	期望更改为VARCHAR(255)	实际备端为varchar 1020位	位数精度不存在，通过长度比较</t>
        </is>
      </c>
    </row>
    <row r="420">
      <c r="B420" s="0" t="inlineStr">
        <is>
          <t>NULL</t>
        </is>
      </c>
      <c r="C420" s="0" t="inlineStr">
        <is>
          <t>NULL</t>
        </is>
      </c>
      <c r="D420" s="0" t="inlineStr">
        <is>
          <t>NULL</t>
        </is>
      </c>
      <c r="E420" s="0" t="inlineStr">
        <is>
          <t>NULL</t>
        </is>
      </c>
      <c r="F420" s="0" t="inlineStr">
        <is>
          <t>NULL</t>
        </is>
      </c>
      <c r="G420" s="0" t="inlineStr">
        <is>
          <t>NULL</t>
        </is>
      </c>
      <c r="H420" s="0" t="inlineStr">
        <is>
          <t>NULL</t>
        </is>
      </c>
      <c r="I420" s="0" t="inlineStr">
        <is>
          <t>NULL</t>
        </is>
      </c>
      <c r="J420" s="0" t="inlineStr">
        <is>
          <t>NULL</t>
        </is>
      </c>
      <c r="K420" s="0" t="inlineStr">
        <is>
          <t>[0;32m YES! [0m 	 c_datetime2列源备映射正确，源端为sql_variant 0位	期望更改为VARCHAR(255)	实际备端为varchar 1020位	位数精度不存在，通过长度比较</t>
        </is>
      </c>
    </row>
    <row r="421">
      <c r="B421" s="0" t="inlineStr">
        <is>
          <t>NULL</t>
        </is>
      </c>
      <c r="C421" s="0" t="inlineStr">
        <is>
          <t>NULL</t>
        </is>
      </c>
      <c r="D421" s="0" t="inlineStr">
        <is>
          <t>NULL</t>
        </is>
      </c>
      <c r="E421" s="0" t="inlineStr">
        <is>
          <t>NULL</t>
        </is>
      </c>
      <c r="F421" s="0" t="inlineStr">
        <is>
          <t>NULL</t>
        </is>
      </c>
      <c r="G421" s="0" t="inlineStr">
        <is>
          <t>NULL</t>
        </is>
      </c>
      <c r="H421" s="0" t="inlineStr">
        <is>
          <t>NULL</t>
        </is>
      </c>
      <c r="I421" s="0" t="inlineStr">
        <is>
          <t>NULL</t>
        </is>
      </c>
      <c r="J421" s="0" t="inlineStr">
        <is>
          <t>NULL</t>
        </is>
      </c>
      <c r="K421" s="0" t="inlineStr">
        <is>
          <t>[0;32m YES! [0m 	 c_datetimeoffset列源备映射正确，源端为sql_variant 0位	期望更改为VARCHAR(255)	实际备端为varchar 1020位	位数精度不存在，通过长度比较</t>
        </is>
      </c>
    </row>
    <row r="422">
      <c r="B422" s="0" t="inlineStr">
        <is>
          <t>NULL</t>
        </is>
      </c>
      <c r="C422" s="0" t="inlineStr">
        <is>
          <t>NULL</t>
        </is>
      </c>
      <c r="D422" s="0" t="inlineStr">
        <is>
          <t>NULL</t>
        </is>
      </c>
      <c r="E422" s="0" t="inlineStr">
        <is>
          <t>NULL</t>
        </is>
      </c>
      <c r="F422" s="0" t="inlineStr">
        <is>
          <t>NULL</t>
        </is>
      </c>
      <c r="G422" s="0" t="inlineStr">
        <is>
          <t>NULL</t>
        </is>
      </c>
      <c r="H422" s="0" t="inlineStr">
        <is>
          <t>NULL</t>
        </is>
      </c>
      <c r="I422" s="0" t="inlineStr">
        <is>
          <t>NULL</t>
        </is>
      </c>
      <c r="J422" s="0" t="inlineStr">
        <is>
          <t>NULL</t>
        </is>
      </c>
      <c r="K422" s="0" t="inlineStr">
        <is>
          <t>[0;32m YES! [0m 	 c_tinyint列源备映射正确，源端为sql_variant 0位	期望更改为VARCHAR(255)	实际备端为varchar 1020位	位数精度不存在，通过长度比较</t>
        </is>
      </c>
    </row>
    <row r="423">
      <c r="B423" s="0" t="inlineStr">
        <is>
          <t>NULL</t>
        </is>
      </c>
      <c r="C423" s="0" t="inlineStr">
        <is>
          <t>NULL</t>
        </is>
      </c>
      <c r="D423" s="0" t="inlineStr">
        <is>
          <t>NULL</t>
        </is>
      </c>
      <c r="E423" s="0" t="inlineStr">
        <is>
          <t>NULL</t>
        </is>
      </c>
      <c r="F423" s="0" t="inlineStr">
        <is>
          <t>NULL</t>
        </is>
      </c>
      <c r="G423" s="0" t="inlineStr">
        <is>
          <t>NULL</t>
        </is>
      </c>
      <c r="H423" s="0" t="inlineStr">
        <is>
          <t>NULL</t>
        </is>
      </c>
      <c r="I423" s="0" t="inlineStr">
        <is>
          <t>NULL</t>
        </is>
      </c>
      <c r="J423" s="0" t="inlineStr">
        <is>
          <t>NULL</t>
        </is>
      </c>
      <c r="K423" s="0" t="inlineStr">
        <is>
          <t>[0;32m YES! [0m 	 c_smallint列源备映射正确，源端为sql_variant 0位	期望更改为VARCHAR(255)	实际备端为varchar 1020位	位数精度不存在，通过长度比较</t>
        </is>
      </c>
    </row>
    <row r="424">
      <c r="B424" s="0" t="inlineStr">
        <is>
          <t>NULL</t>
        </is>
      </c>
      <c r="C424" s="0" t="inlineStr">
        <is>
          <t>NULL</t>
        </is>
      </c>
      <c r="D424" s="0" t="inlineStr">
        <is>
          <t>NULL</t>
        </is>
      </c>
      <c r="E424" s="0" t="inlineStr">
        <is>
          <t>NULL</t>
        </is>
      </c>
      <c r="F424" s="0" t="inlineStr">
        <is>
          <t>NULL</t>
        </is>
      </c>
      <c r="G424" s="0" t="inlineStr">
        <is>
          <t>NULL</t>
        </is>
      </c>
      <c r="H424" s="0" t="inlineStr">
        <is>
          <t>NULL</t>
        </is>
      </c>
      <c r="I424" s="0" t="inlineStr">
        <is>
          <t>NULL</t>
        </is>
      </c>
      <c r="J424" s="0" t="inlineStr">
        <is>
          <t>NULL</t>
        </is>
      </c>
      <c r="K424" s="0" t="inlineStr">
        <is>
          <t>[0;32m YES! [0m 	 c_int列源备映射正确，源端为sql_variant 0位	期望更改为VARCHAR(255)	实际备端为varchar 1020位	位数精度不存在，通过长度比较</t>
        </is>
      </c>
    </row>
    <row r="425">
      <c r="B425" s="0" t="inlineStr">
        <is>
          <t>NULL</t>
        </is>
      </c>
      <c r="C425" s="0" t="inlineStr">
        <is>
          <t>NULL</t>
        </is>
      </c>
      <c r="D425" s="0" t="inlineStr">
        <is>
          <t>NULL</t>
        </is>
      </c>
      <c r="E425" s="0" t="inlineStr">
        <is>
          <t>NULL</t>
        </is>
      </c>
      <c r="F425" s="0" t="inlineStr">
        <is>
          <t>NULL</t>
        </is>
      </c>
      <c r="G425" s="0" t="inlineStr">
        <is>
          <t>NULL</t>
        </is>
      </c>
      <c r="H425" s="0" t="inlineStr">
        <is>
          <t>NULL</t>
        </is>
      </c>
      <c r="I425" s="0" t="inlineStr">
        <is>
          <t>NULL</t>
        </is>
      </c>
      <c r="J425" s="0" t="inlineStr">
        <is>
          <t>NULL</t>
        </is>
      </c>
      <c r="K425" s="0" t="inlineStr">
        <is>
          <t>[0;32m YES! [0m 	 c_sdt列源备映射正确，源端为sql_variant 0位	期望更改为VARCHAR(255)	实际备端为varchar 1020位	位数精度不存在，通过长度比较</t>
        </is>
      </c>
    </row>
    <row r="426">
      <c r="B426" s="0" t="inlineStr">
        <is>
          <t>NULL</t>
        </is>
      </c>
      <c r="C426" s="0" t="inlineStr">
        <is>
          <t>NULL</t>
        </is>
      </c>
      <c r="D426" s="0" t="inlineStr">
        <is>
          <t>NULL</t>
        </is>
      </c>
      <c r="E426" s="0" t="inlineStr">
        <is>
          <t>NULL</t>
        </is>
      </c>
      <c r="F426" s="0" t="inlineStr">
        <is>
          <t>NULL</t>
        </is>
      </c>
      <c r="G426" s="0" t="inlineStr">
        <is>
          <t>NULL</t>
        </is>
      </c>
      <c r="H426" s="0" t="inlineStr">
        <is>
          <t>NULL</t>
        </is>
      </c>
      <c r="I426" s="0" t="inlineStr">
        <is>
          <t>NULL</t>
        </is>
      </c>
      <c r="J426" s="0" t="inlineStr">
        <is>
          <t>NULL</t>
        </is>
      </c>
      <c r="K426" s="0" t="inlineStr">
        <is>
          <t>[0;32m YES! [0m 	 c_real列源备映射正确，源端为sql_variant 0位	期望更改为VARCHAR(255)	实际备端为varchar 1020位	位数精度不存在，通过长度比较</t>
        </is>
      </c>
    </row>
    <row r="427">
      <c r="B427" s="0" t="inlineStr">
        <is>
          <t>NULL</t>
        </is>
      </c>
      <c r="C427" s="0" t="inlineStr">
        <is>
          <t>NULL</t>
        </is>
      </c>
      <c r="D427" s="0" t="inlineStr">
        <is>
          <t>NULL</t>
        </is>
      </c>
      <c r="E427" s="0" t="inlineStr">
        <is>
          <t>NULL</t>
        </is>
      </c>
      <c r="F427" s="0" t="inlineStr">
        <is>
          <t>NULL</t>
        </is>
      </c>
      <c r="G427" s="0" t="inlineStr">
        <is>
          <t>NULL</t>
        </is>
      </c>
      <c r="H427" s="0" t="inlineStr">
        <is>
          <t>NULL</t>
        </is>
      </c>
      <c r="I427" s="0" t="inlineStr">
        <is>
          <t>NULL</t>
        </is>
      </c>
      <c r="J427" s="0" t="inlineStr">
        <is>
          <t>NULL</t>
        </is>
      </c>
      <c r="K427" s="0" t="inlineStr">
        <is>
          <t>[0;32m YES! [0m 	 c_money列源备映射正确，源端为sql_variant 0位	期望更改为VARCHAR(255)	实际备端为varchar 1020位	位数精度不存在，通过长度比较</t>
        </is>
      </c>
    </row>
    <row r="428">
      <c r="B428" s="0" t="inlineStr">
        <is>
          <t>NULL</t>
        </is>
      </c>
      <c r="C428" s="0" t="inlineStr">
        <is>
          <t>NULL</t>
        </is>
      </c>
      <c r="D428" s="0" t="inlineStr">
        <is>
          <t>NULL</t>
        </is>
      </c>
      <c r="E428" s="0" t="inlineStr">
        <is>
          <t>NULL</t>
        </is>
      </c>
      <c r="F428" s="0" t="inlineStr">
        <is>
          <t>NULL</t>
        </is>
      </c>
      <c r="G428" s="0" t="inlineStr">
        <is>
          <t>NULL</t>
        </is>
      </c>
      <c r="H428" s="0" t="inlineStr">
        <is>
          <t>NULL</t>
        </is>
      </c>
      <c r="I428" s="0" t="inlineStr">
        <is>
          <t>NULL</t>
        </is>
      </c>
      <c r="J428" s="0" t="inlineStr">
        <is>
          <t>NULL</t>
        </is>
      </c>
      <c r="K428" s="0" t="inlineStr">
        <is>
          <t>[0;32m YES! [0m 	 c_datetime列源备映射正确，源端为sql_variant 0位	期望更改为VARCHAR(255)	实际备端为varchar 1020位	位数精度不存在，通过长度比较</t>
        </is>
      </c>
    </row>
    <row r="429">
      <c r="B429" s="0" t="inlineStr">
        <is>
          <t>NULL</t>
        </is>
      </c>
      <c r="C429" s="0" t="inlineStr">
        <is>
          <t>NULL</t>
        </is>
      </c>
      <c r="D429" s="0" t="inlineStr">
        <is>
          <t>NULL</t>
        </is>
      </c>
      <c r="E429" s="0" t="inlineStr">
        <is>
          <t>NULL</t>
        </is>
      </c>
      <c r="F429" s="0" t="inlineStr">
        <is>
          <t>NULL</t>
        </is>
      </c>
      <c r="G429" s="0" t="inlineStr">
        <is>
          <t>NULL</t>
        </is>
      </c>
      <c r="H429" s="0" t="inlineStr">
        <is>
          <t>NULL</t>
        </is>
      </c>
      <c r="I429" s="0" t="inlineStr">
        <is>
          <t>NULL</t>
        </is>
      </c>
      <c r="J429" s="0" t="inlineStr">
        <is>
          <t>NULL</t>
        </is>
      </c>
      <c r="K429" s="0" t="inlineStr">
        <is>
          <t>[0;32m YES! [0m 	 c_float列源备映射正确，源端为sql_variant 0位	期望更改为VARCHAR(255)	实际备端为varchar 1020位	位数精度不存在，通过长度比较</t>
        </is>
      </c>
    </row>
    <row r="430">
      <c r="B430" s="0" t="inlineStr">
        <is>
          <t>NULL</t>
        </is>
      </c>
      <c r="C430" s="0" t="inlineStr">
        <is>
          <t>NULL</t>
        </is>
      </c>
      <c r="D430" s="0" t="inlineStr">
        <is>
          <t>NULL</t>
        </is>
      </c>
      <c r="E430" s="0" t="inlineStr">
        <is>
          <t>NULL</t>
        </is>
      </c>
      <c r="F430" s="0" t="inlineStr">
        <is>
          <t>NULL</t>
        </is>
      </c>
      <c r="G430" s="0" t="inlineStr">
        <is>
          <t>NULL</t>
        </is>
      </c>
      <c r="H430" s="0" t="inlineStr">
        <is>
          <t>NULL</t>
        </is>
      </c>
      <c r="I430" s="0" t="inlineStr">
        <is>
          <t>NULL</t>
        </is>
      </c>
      <c r="J430" s="0" t="inlineStr">
        <is>
          <t>NULL</t>
        </is>
      </c>
      <c r="K430" s="0" t="inlineStr">
        <is>
          <t>[0;32m YES! [0m 	 c_bit列源备映射正确，源端为sql_variant 0位	期望更改为VARCHAR(255)	实际备端为varchar 1020位	位数精度不存在，通过长度比较</t>
        </is>
      </c>
    </row>
    <row r="431">
      <c r="B431" s="0" t="inlineStr">
        <is>
          <t>NULL</t>
        </is>
      </c>
      <c r="C431" s="0" t="inlineStr">
        <is>
          <t>NULL</t>
        </is>
      </c>
      <c r="D431" s="0" t="inlineStr">
        <is>
          <t>NULL</t>
        </is>
      </c>
      <c r="E431" s="0" t="inlineStr">
        <is>
          <t>NULL</t>
        </is>
      </c>
      <c r="F431" s="0" t="inlineStr">
        <is>
          <t>NULL</t>
        </is>
      </c>
      <c r="G431" s="0" t="inlineStr">
        <is>
          <t>NULL</t>
        </is>
      </c>
      <c r="H431" s="0" t="inlineStr">
        <is>
          <t>NULL</t>
        </is>
      </c>
      <c r="I431" s="0" t="inlineStr">
        <is>
          <t>NULL</t>
        </is>
      </c>
      <c r="J431" s="0" t="inlineStr">
        <is>
          <t>NULL</t>
        </is>
      </c>
      <c r="K431" s="0" t="inlineStr">
        <is>
          <t>[0;32m YES! [0m 	 c_decimal列源备映射正确，源端为sql_variant 0位	期望更改为VARCHAR(255)	实际备端为varchar 1020位	位数精度不存在，通过长度比较</t>
        </is>
      </c>
    </row>
    <row r="432">
      <c r="B432" s="0" t="inlineStr">
        <is>
          <t>NULL</t>
        </is>
      </c>
      <c r="C432" s="0" t="inlineStr">
        <is>
          <t>NULL</t>
        </is>
      </c>
      <c r="D432" s="0" t="inlineStr">
        <is>
          <t>NULL</t>
        </is>
      </c>
      <c r="E432" s="0" t="inlineStr">
        <is>
          <t>NULL</t>
        </is>
      </c>
      <c r="F432" s="0" t="inlineStr">
        <is>
          <t>NULL</t>
        </is>
      </c>
      <c r="G432" s="0" t="inlineStr">
        <is>
          <t>NULL</t>
        </is>
      </c>
      <c r="H432" s="0" t="inlineStr">
        <is>
          <t>NULL</t>
        </is>
      </c>
      <c r="I432" s="0" t="inlineStr">
        <is>
          <t>NULL</t>
        </is>
      </c>
      <c r="J432" s="0" t="inlineStr">
        <is>
          <t>NULL</t>
        </is>
      </c>
      <c r="K432" s="0" t="inlineStr">
        <is>
          <t>[0;32m YES! [0m 	 c_uniqueidentifier列源备映射正确，源端为sql_variant 0位	期望更改为VARCHAR(255)	实际备端为varchar 1020位	位数精度不存在，通过长度比较</t>
        </is>
      </c>
    </row>
    <row r="433">
      <c r="B433" s="0" t="inlineStr">
        <is>
          <t>NULL</t>
        </is>
      </c>
      <c r="C433" s="0" t="inlineStr">
        <is>
          <t>NULL</t>
        </is>
      </c>
      <c r="D433" s="0" t="inlineStr">
        <is>
          <t>NULL</t>
        </is>
      </c>
      <c r="E433" s="0" t="inlineStr">
        <is>
          <t>NULL</t>
        </is>
      </c>
      <c r="F433" s="0" t="inlineStr">
        <is>
          <t>NULL</t>
        </is>
      </c>
      <c r="G433" s="0" t="inlineStr">
        <is>
          <t>NULL</t>
        </is>
      </c>
      <c r="H433" s="0" t="inlineStr">
        <is>
          <t>NULL</t>
        </is>
      </c>
      <c r="I433" s="0" t="inlineStr">
        <is>
          <t>NULL</t>
        </is>
      </c>
      <c r="J433" s="0" t="inlineStr">
        <is>
          <t>NULL</t>
        </is>
      </c>
      <c r="K433" s="0" t="inlineStr">
        <is>
          <t>[0;32m YES! [0m 	 c_smallmoney列源备映射正确，源端为sql_variant 0位	期望更改为VARCHAR(255)	实际备端为varchar 1020位	位数精度不存在，通过长度比较</t>
        </is>
      </c>
    </row>
    <row r="434">
      <c r="B434" s="0" t="inlineStr">
        <is>
          <t>NULL</t>
        </is>
      </c>
      <c r="C434" s="0" t="inlineStr">
        <is>
          <t>NULL</t>
        </is>
      </c>
      <c r="D434" s="0" t="inlineStr">
        <is>
          <t>NULL</t>
        </is>
      </c>
      <c r="E434" s="0" t="inlineStr">
        <is>
          <t>NULL</t>
        </is>
      </c>
      <c r="F434" s="0" t="inlineStr">
        <is>
          <t>NULL</t>
        </is>
      </c>
      <c r="G434" s="0" t="inlineStr">
        <is>
          <t>NULL</t>
        </is>
      </c>
      <c r="H434" s="0" t="inlineStr">
        <is>
          <t>NULL</t>
        </is>
      </c>
      <c r="I434" s="0" t="inlineStr">
        <is>
          <t>NULL</t>
        </is>
      </c>
      <c r="J434" s="0" t="inlineStr">
        <is>
          <t>NULL</t>
        </is>
      </c>
      <c r="K434" s="0" t="inlineStr">
        <is>
          <t>[0;32m YES! [0m 	 c_bigint列源备映射正确，源端为sql_variant 0位	期望更改为VARCHAR(255)	实际备端为varchar 1020位	位数精度不存在，通过长度比较</t>
        </is>
      </c>
    </row>
    <row r="435">
      <c r="B435" s="0" t="inlineStr">
        <is>
          <t>NULL</t>
        </is>
      </c>
      <c r="C435" s="0" t="inlineStr">
        <is>
          <t>NULL</t>
        </is>
      </c>
      <c r="D435" s="0" t="inlineStr">
        <is>
          <t>NULL</t>
        </is>
      </c>
      <c r="E435" s="0" t="inlineStr">
        <is>
          <t>NULL</t>
        </is>
      </c>
      <c r="F435" s="0" t="inlineStr">
        <is>
          <t>NULL</t>
        </is>
      </c>
      <c r="G435" s="0" t="inlineStr">
        <is>
          <t>NULL</t>
        </is>
      </c>
      <c r="H435" s="0" t="inlineStr">
        <is>
          <t>NULL</t>
        </is>
      </c>
      <c r="I435" s="0" t="inlineStr">
        <is>
          <t>NULL</t>
        </is>
      </c>
      <c r="J435" s="0" t="inlineStr">
        <is>
          <t>NULL</t>
        </is>
      </c>
      <c r="K435" s="0" t="inlineStr">
        <is>
          <t>[0;32m YES! [0m 	 c_varbinary_20列源备映射正确，源端为sql_variant 0位	期望更改为VARCHAR(255)	实际备端为varchar 1020位	位数精度不存在，通过长度比较</t>
        </is>
      </c>
    </row>
    <row r="436">
      <c r="B436" s="0" t="inlineStr">
        <is>
          <t>NULL</t>
        </is>
      </c>
      <c r="C436" s="0" t="inlineStr">
        <is>
          <t>NULL</t>
        </is>
      </c>
      <c r="D436" s="0" t="inlineStr">
        <is>
          <t>NULL</t>
        </is>
      </c>
      <c r="E436" s="0" t="inlineStr">
        <is>
          <t>NULL</t>
        </is>
      </c>
      <c r="F436" s="0" t="inlineStr">
        <is>
          <t>NULL</t>
        </is>
      </c>
      <c r="G436" s="0" t="inlineStr">
        <is>
          <t>NULL</t>
        </is>
      </c>
      <c r="H436" s="0" t="inlineStr">
        <is>
          <t>NULL</t>
        </is>
      </c>
      <c r="I436" s="0" t="inlineStr">
        <is>
          <t>NULL</t>
        </is>
      </c>
      <c r="J436" s="0" t="inlineStr">
        <is>
          <t>NULL</t>
        </is>
      </c>
      <c r="K436" s="0" t="inlineStr">
        <is>
          <t>[0;32m YES! [0m 	 c_varchar_20列源备映射正确，源端为sql_variant 0位	期望更改为VARCHAR(255)	实际备端为varchar 1020位	位数精度不存在，通过长度比较</t>
        </is>
      </c>
    </row>
    <row r="437">
      <c r="B437" s="0" t="inlineStr">
        <is>
          <t>NULL</t>
        </is>
      </c>
      <c r="C437" s="0" t="inlineStr">
        <is>
          <t>NULL</t>
        </is>
      </c>
      <c r="D437" s="0" t="inlineStr">
        <is>
          <t>NULL</t>
        </is>
      </c>
      <c r="E437" s="0" t="inlineStr">
        <is>
          <t>NULL</t>
        </is>
      </c>
      <c r="F437" s="0" t="inlineStr">
        <is>
          <t>NULL</t>
        </is>
      </c>
      <c r="G437" s="0" t="inlineStr">
        <is>
          <t>NULL</t>
        </is>
      </c>
      <c r="H437" s="0" t="inlineStr">
        <is>
          <t>NULL</t>
        </is>
      </c>
      <c r="I437" s="0" t="inlineStr">
        <is>
          <t>NULL</t>
        </is>
      </c>
      <c r="J437" s="0" t="inlineStr">
        <is>
          <t>NULL</t>
        </is>
      </c>
      <c r="K437" s="0" t="inlineStr">
        <is>
          <t>[0;32m YES! [0m 	 c_binary_20列源备映射正确，源端为sql_variant 0位	期望更改为VARCHAR(255)	实际备端为varchar 1020位	位数精度不存在，通过长度比较</t>
        </is>
      </c>
    </row>
    <row r="438">
      <c r="B438" s="0" t="inlineStr">
        <is>
          <t>NULL</t>
        </is>
      </c>
      <c r="C438" s="0" t="inlineStr">
        <is>
          <t>NULL</t>
        </is>
      </c>
      <c r="D438" s="0" t="inlineStr">
        <is>
          <t>NULL</t>
        </is>
      </c>
      <c r="E438" s="0" t="inlineStr">
        <is>
          <t>NULL</t>
        </is>
      </c>
      <c r="F438" s="0" t="inlineStr">
        <is>
          <t>NULL</t>
        </is>
      </c>
      <c r="G438" s="0" t="inlineStr">
        <is>
          <t>NULL</t>
        </is>
      </c>
      <c r="H438" s="0" t="inlineStr">
        <is>
          <t>NULL</t>
        </is>
      </c>
      <c r="I438" s="0" t="inlineStr">
        <is>
          <t>NULL</t>
        </is>
      </c>
      <c r="J438" s="0" t="inlineStr">
        <is>
          <t>NULL</t>
        </is>
      </c>
      <c r="K438" s="0" t="inlineStr">
        <is>
          <t>[0;32m YES! [0m 	 c_char_20列源备映射正确，源端为sql_variant 0位	期望更改为VARCHAR(255)	实际备端为varchar 1020位	位数精度不存在，通过长度比较</t>
        </is>
      </c>
    </row>
    <row r="439">
      <c r="B439" s="0" t="inlineStr">
        <is>
          <t>NULL</t>
        </is>
      </c>
      <c r="C439" s="0" t="inlineStr">
        <is>
          <t>NULL</t>
        </is>
      </c>
      <c r="D439" s="0" t="inlineStr">
        <is>
          <t>NULL</t>
        </is>
      </c>
      <c r="E439" s="0" t="inlineStr">
        <is>
          <t>NULL</t>
        </is>
      </c>
      <c r="F439" s="0" t="inlineStr">
        <is>
          <t>NULL</t>
        </is>
      </c>
      <c r="G439" s="0" t="inlineStr">
        <is>
          <t>NULL</t>
        </is>
      </c>
      <c r="H439" s="0" t="inlineStr">
        <is>
          <t>NULL</t>
        </is>
      </c>
      <c r="I439" s="0" t="inlineStr">
        <is>
          <t>NULL</t>
        </is>
      </c>
      <c r="J439" s="0" t="inlineStr">
        <is>
          <t>NULL</t>
        </is>
      </c>
      <c r="K439" s="0" t="inlineStr">
        <is>
          <t>[0;32m YES! [0m 	 c_nvarchar_20列源备映射正确，源端为sql_variant 0位	期望更改为VARCHAR(255)	实际备端为varchar 1020位	位数精度不存在，通过长度比较</t>
        </is>
      </c>
    </row>
    <row r="440">
      <c r="B440" s="0" t="inlineStr">
        <is>
          <t>NULL</t>
        </is>
      </c>
      <c r="C440" s="0" t="inlineStr">
        <is>
          <t>NULL</t>
        </is>
      </c>
      <c r="D440" s="0" t="inlineStr">
        <is>
          <t>NULL</t>
        </is>
      </c>
      <c r="E440" s="0" t="inlineStr">
        <is>
          <t>NULL</t>
        </is>
      </c>
      <c r="F440" s="0" t="inlineStr">
        <is>
          <t>NULL</t>
        </is>
      </c>
      <c r="G440" s="0" t="inlineStr">
        <is>
          <t>NULL</t>
        </is>
      </c>
      <c r="H440" s="0" t="inlineStr">
        <is>
          <t>NULL</t>
        </is>
      </c>
      <c r="I440" s="0" t="inlineStr">
        <is>
          <t>NULL</t>
        </is>
      </c>
      <c r="J440" s="0" t="inlineStr">
        <is>
          <t>NULL</t>
        </is>
      </c>
      <c r="K440" s="0" t="inlineStr">
        <is>
          <t>[0;32m YES! [0m 	 c_nchar_20列源备映射正确，源端为sql_variant 0位	期望更改为VARCHAR(255)	实际备端为varchar 1020位	位数精度不存在，通过长度比较</t>
        </is>
      </c>
    </row>
    <row r="441">
      <c r="B441" s="0" t="inlineStr">
        <is>
          <t>NULL</t>
        </is>
      </c>
      <c r="C441" s="0" t="inlineStr">
        <is>
          <t>NULL</t>
        </is>
      </c>
      <c r="D441" s="0" t="inlineStr">
        <is>
          <t>NULL</t>
        </is>
      </c>
      <c r="E441" s="0" t="inlineStr">
        <is>
          <t>NULL</t>
        </is>
      </c>
      <c r="F441" s="0" t="inlineStr">
        <is>
          <t>NULL</t>
        </is>
      </c>
      <c r="G441" s="0" t="inlineStr">
        <is>
          <t>NULL</t>
        </is>
      </c>
      <c r="H441" s="0" t="inlineStr">
        <is>
          <t>NULL</t>
        </is>
      </c>
      <c r="I441" s="0" t="inlineStr">
        <is>
          <t>NULL</t>
        </is>
      </c>
      <c r="J441" s="0" t="inlineStr">
        <is>
          <t>NULL</t>
        </is>
      </c>
      <c r="K441" s="0" t="inlineStr">
        <is>
          <t>[0;32m YES! [0m 	 c_timestamp列源备映射正确，源端为timestamp None位	期望更改为binary(8)	实际备端为binary 8位	位数精度不存在，通过长度比较</t>
        </is>
      </c>
    </row>
    <row r="442">
      <c r="A442" s="0" t="inlineStr">
        <is>
          <t>info_sql_variant_dml_single_nopk_drp</t>
        </is>
      </c>
      <c r="K442" s="0" t="inlineStr">
        <is>
          <t>[0;34m info_sql_variant_dml_single_nopk_drp [0m源备字段数相同，源端字段：25 	备端字段25</t>
        </is>
      </c>
      <c r="W442" s="15">
        <f>HYPERLINK("#2026051816mysql0!AE2","NO 源备存在差异，共2个")</f>
        <v/>
      </c>
      <c r="X442" s="0">
        <f>A442</f>
        <v/>
      </c>
    </row>
    <row r="443">
      <c r="B443" s="0" t="inlineStr">
        <is>
          <t>NULL</t>
        </is>
      </c>
      <c r="C443" s="0" t="inlineStr">
        <is>
          <t>NULL</t>
        </is>
      </c>
      <c r="D443" s="0" t="inlineStr">
        <is>
          <t>NULL</t>
        </is>
      </c>
      <c r="E443" s="0" t="inlineStr">
        <is>
          <t>NULL</t>
        </is>
      </c>
      <c r="F443" s="0" t="inlineStr">
        <is>
          <t>NULL</t>
        </is>
      </c>
      <c r="G443" s="0" t="inlineStr">
        <is>
          <t>NULL</t>
        </is>
      </c>
      <c r="H443" s="0" t="inlineStr">
        <is>
          <t>NULL</t>
        </is>
      </c>
      <c r="I443" s="0" t="inlineStr">
        <is>
          <t>NULL</t>
        </is>
      </c>
      <c r="J443" s="0" t="inlineStr">
        <is>
          <t>NULL</t>
        </is>
      </c>
      <c r="K443" s="0" t="inlineStr">
        <is>
          <t>YES! 	 id列源备映射正确，源端为int None位	期望更改为int	实际备端为int None位</t>
        </is>
      </c>
    </row>
    <row r="444">
      <c r="B444" s="0" t="inlineStr">
        <is>
          <t>NULL</t>
        </is>
      </c>
      <c r="C444" s="0" t="inlineStr">
        <is>
          <t>NULL</t>
        </is>
      </c>
      <c r="D444" s="0" t="inlineStr">
        <is>
          <t>NULL</t>
        </is>
      </c>
      <c r="E444" s="0" t="inlineStr">
        <is>
          <t>NULL</t>
        </is>
      </c>
      <c r="F444" s="0" t="inlineStr">
        <is>
          <t>NULL</t>
        </is>
      </c>
      <c r="G444" s="0" t="inlineStr">
        <is>
          <t>NULL</t>
        </is>
      </c>
      <c r="H444" s="0" t="inlineStr">
        <is>
          <t>NULL</t>
        </is>
      </c>
      <c r="I444" s="0" t="inlineStr">
        <is>
          <t>NULL</t>
        </is>
      </c>
      <c r="J444" s="0" t="inlineStr">
        <is>
          <t>NULL</t>
        </is>
      </c>
      <c r="K444" s="0" t="inlineStr">
        <is>
          <t>[0;32m YES! [0m 	 c_date列源备映射正确，源端为sql_variant 0位	期望更改为VARCHAR(255)	实际备端为varchar 1020位	位数精度不存在，通过长度比较</t>
        </is>
      </c>
    </row>
    <row r="445">
      <c r="B445" s="0" t="inlineStr">
        <is>
          <t>NULL</t>
        </is>
      </c>
      <c r="C445" s="0" t="inlineStr">
        <is>
          <t>NULL</t>
        </is>
      </c>
      <c r="D445" s="0" t="inlineStr">
        <is>
          <t>NULL</t>
        </is>
      </c>
      <c r="E445" s="0" t="inlineStr">
        <is>
          <t>NULL</t>
        </is>
      </c>
      <c r="F445" s="0" t="inlineStr">
        <is>
          <t>NULL</t>
        </is>
      </c>
      <c r="G445" s="0" t="inlineStr">
        <is>
          <t>NULL</t>
        </is>
      </c>
      <c r="H445" s="0" t="inlineStr">
        <is>
          <t>NULL</t>
        </is>
      </c>
      <c r="I445" s="0" t="inlineStr">
        <is>
          <t>NULL</t>
        </is>
      </c>
      <c r="J445" s="0" t="inlineStr">
        <is>
          <t>NULL</t>
        </is>
      </c>
      <c r="K445" s="0" t="inlineStr">
        <is>
          <t>[0;32m YES! [0m 	 c_time列源备映射正确，源端为sql_variant 0位	期望更改为VARCHAR(255)	实际备端为varchar 1020位	位数精度不存在，通过长度比较</t>
        </is>
      </c>
    </row>
    <row r="446">
      <c r="B446" s="0" t="inlineStr">
        <is>
          <t>NULL</t>
        </is>
      </c>
      <c r="C446" s="0" t="inlineStr">
        <is>
          <t>NULL</t>
        </is>
      </c>
      <c r="D446" s="0" t="inlineStr">
        <is>
          <t>NULL</t>
        </is>
      </c>
      <c r="E446" s="0" t="inlineStr">
        <is>
          <t>NULL</t>
        </is>
      </c>
      <c r="F446" s="0" t="inlineStr">
        <is>
          <t>NULL</t>
        </is>
      </c>
      <c r="G446" s="0" t="inlineStr">
        <is>
          <t>NULL</t>
        </is>
      </c>
      <c r="H446" s="0" t="inlineStr">
        <is>
          <t>NULL</t>
        </is>
      </c>
      <c r="I446" s="0" t="inlineStr">
        <is>
          <t>NULL</t>
        </is>
      </c>
      <c r="J446" s="0" t="inlineStr">
        <is>
          <t>NULL</t>
        </is>
      </c>
      <c r="K446" s="0" t="inlineStr">
        <is>
          <t>[0;32m YES! [0m 	 c_datetime2列源备映射正确，源端为sql_variant 0位	期望更改为VARCHAR(255)	实际备端为varchar 1020位	位数精度不存在，通过长度比较</t>
        </is>
      </c>
    </row>
    <row r="447">
      <c r="B447" s="0" t="inlineStr">
        <is>
          <t>NULL</t>
        </is>
      </c>
      <c r="C447" s="0" t="inlineStr">
        <is>
          <t>NULL</t>
        </is>
      </c>
      <c r="D447" s="0" t="inlineStr">
        <is>
          <t>NULL</t>
        </is>
      </c>
      <c r="E447" s="0" t="inlineStr">
        <is>
          <t>NULL</t>
        </is>
      </c>
      <c r="F447" s="0" t="inlineStr">
        <is>
          <t>NULL</t>
        </is>
      </c>
      <c r="G447" s="0" t="inlineStr">
        <is>
          <t>NULL</t>
        </is>
      </c>
      <c r="H447" s="0" t="inlineStr">
        <is>
          <t>NULL</t>
        </is>
      </c>
      <c r="I447" s="0" t="inlineStr">
        <is>
          <t>NULL</t>
        </is>
      </c>
      <c r="J447" s="0" t="inlineStr">
        <is>
          <t>NULL</t>
        </is>
      </c>
      <c r="K447" s="0" t="inlineStr">
        <is>
          <t>[0;32m YES! [0m 	 c_datetimeoffset列源备映射正确，源端为sql_variant 0位	期望更改为VARCHAR(255)	实际备端为varchar 1020位	位数精度不存在，通过长度比较</t>
        </is>
      </c>
    </row>
    <row r="448">
      <c r="B448" s="0" t="inlineStr">
        <is>
          <t>NULL</t>
        </is>
      </c>
      <c r="C448" s="0" t="inlineStr">
        <is>
          <t>NULL</t>
        </is>
      </c>
      <c r="D448" s="0" t="inlineStr">
        <is>
          <t>NULL</t>
        </is>
      </c>
      <c r="E448" s="0" t="inlineStr">
        <is>
          <t>NULL</t>
        </is>
      </c>
      <c r="F448" s="0" t="inlineStr">
        <is>
          <t>NULL</t>
        </is>
      </c>
      <c r="G448" s="0" t="inlineStr">
        <is>
          <t>NULL</t>
        </is>
      </c>
      <c r="H448" s="0" t="inlineStr">
        <is>
          <t>NULL</t>
        </is>
      </c>
      <c r="I448" s="0" t="inlineStr">
        <is>
          <t>NULL</t>
        </is>
      </c>
      <c r="J448" s="0" t="inlineStr">
        <is>
          <t>NULL</t>
        </is>
      </c>
      <c r="K448" s="0" t="inlineStr">
        <is>
          <t>[0;32m YES! [0m 	 c_tinyint列源备映射正确，源端为sql_variant 0位	期望更改为VARCHAR(255)	实际备端为varchar 1020位	位数精度不存在，通过长度比较</t>
        </is>
      </c>
    </row>
    <row r="449">
      <c r="B449" s="0" t="inlineStr">
        <is>
          <t>NULL</t>
        </is>
      </c>
      <c r="C449" s="0" t="inlineStr">
        <is>
          <t>NULL</t>
        </is>
      </c>
      <c r="D449" s="0" t="inlineStr">
        <is>
          <t>NULL</t>
        </is>
      </c>
      <c r="E449" s="0" t="inlineStr">
        <is>
          <t>NULL</t>
        </is>
      </c>
      <c r="F449" s="0" t="inlineStr">
        <is>
          <t>NULL</t>
        </is>
      </c>
      <c r="G449" s="0" t="inlineStr">
        <is>
          <t>NULL</t>
        </is>
      </c>
      <c r="H449" s="0" t="inlineStr">
        <is>
          <t>NULL</t>
        </is>
      </c>
      <c r="I449" s="0" t="inlineStr">
        <is>
          <t>NULL</t>
        </is>
      </c>
      <c r="J449" s="0" t="inlineStr">
        <is>
          <t>NULL</t>
        </is>
      </c>
      <c r="K449" s="0" t="inlineStr">
        <is>
          <t>[0;32m YES! [0m 	 c_smallint列源备映射正确，源端为sql_variant 0位	期望更改为VARCHAR(255)	实际备端为varchar 1020位	位数精度不存在，通过长度比较</t>
        </is>
      </c>
    </row>
    <row r="450">
      <c r="B450" s="0" t="inlineStr">
        <is>
          <t>NULL</t>
        </is>
      </c>
      <c r="C450" s="0" t="inlineStr">
        <is>
          <t>NULL</t>
        </is>
      </c>
      <c r="D450" s="0" t="inlineStr">
        <is>
          <t>NULL</t>
        </is>
      </c>
      <c r="E450" s="0" t="inlineStr">
        <is>
          <t>NULL</t>
        </is>
      </c>
      <c r="F450" s="0" t="inlineStr">
        <is>
          <t>NULL</t>
        </is>
      </c>
      <c r="G450" s="0" t="inlineStr">
        <is>
          <t>NULL</t>
        </is>
      </c>
      <c r="H450" s="0" t="inlineStr">
        <is>
          <t>NULL</t>
        </is>
      </c>
      <c r="I450" s="0" t="inlineStr">
        <is>
          <t>NULL</t>
        </is>
      </c>
      <c r="J450" s="0" t="inlineStr">
        <is>
          <t>NULL</t>
        </is>
      </c>
      <c r="K450" s="0" t="inlineStr">
        <is>
          <t>[0;32m YES! [0m 	 c_int列源备映射正确，源端为sql_variant 0位	期望更改为VARCHAR(255)	实际备端为varchar 1020位	位数精度不存在，通过长度比较</t>
        </is>
      </c>
    </row>
    <row r="451">
      <c r="B451" s="0" t="inlineStr">
        <is>
          <t>NULL</t>
        </is>
      </c>
      <c r="C451" s="0" t="inlineStr">
        <is>
          <t>NULL</t>
        </is>
      </c>
      <c r="D451" s="0" t="inlineStr">
        <is>
          <t>NULL</t>
        </is>
      </c>
      <c r="E451" s="0" t="inlineStr">
        <is>
          <t>NULL</t>
        </is>
      </c>
      <c r="F451" s="0" t="inlineStr">
        <is>
          <t>NULL</t>
        </is>
      </c>
      <c r="G451" s="0" t="inlineStr">
        <is>
          <t>NULL</t>
        </is>
      </c>
      <c r="H451" s="0" t="inlineStr">
        <is>
          <t>NULL</t>
        </is>
      </c>
      <c r="I451" s="0" t="inlineStr">
        <is>
          <t>NULL</t>
        </is>
      </c>
      <c r="J451" s="0" t="inlineStr">
        <is>
          <t>NULL</t>
        </is>
      </c>
      <c r="K451" s="0" t="inlineStr">
        <is>
          <t>[0;32m YES! [0m 	 c_sdt列源备映射正确，源端为sql_variant 0位	期望更改为VARCHAR(255)	实际备端为varchar 1020位	位数精度不存在，通过长度比较</t>
        </is>
      </c>
    </row>
    <row r="452">
      <c r="B452" s="0" t="inlineStr">
        <is>
          <t>NULL</t>
        </is>
      </c>
      <c r="C452" s="0" t="inlineStr">
        <is>
          <t>NULL</t>
        </is>
      </c>
      <c r="D452" s="0" t="inlineStr">
        <is>
          <t>NULL</t>
        </is>
      </c>
      <c r="E452" s="0" t="inlineStr">
        <is>
          <t>NULL</t>
        </is>
      </c>
      <c r="F452" s="0" t="inlineStr">
        <is>
          <t>NULL</t>
        </is>
      </c>
      <c r="G452" s="0" t="inlineStr">
        <is>
          <t>NULL</t>
        </is>
      </c>
      <c r="H452" s="0" t="inlineStr">
        <is>
          <t>NULL</t>
        </is>
      </c>
      <c r="I452" s="0" t="inlineStr">
        <is>
          <t>NULL</t>
        </is>
      </c>
      <c r="J452" s="0" t="inlineStr">
        <is>
          <t>NULL</t>
        </is>
      </c>
      <c r="K452" s="0" t="inlineStr">
        <is>
          <t>[0;32m YES! [0m 	 c_real列源备映射正确，源端为sql_variant 0位	期望更改为VARCHAR(255)	实际备端为varchar 1020位	位数精度不存在，通过长度比较</t>
        </is>
      </c>
    </row>
    <row r="453">
      <c r="B453" s="0" t="inlineStr">
        <is>
          <t>NULL</t>
        </is>
      </c>
      <c r="C453" s="0" t="inlineStr">
        <is>
          <t>NULL</t>
        </is>
      </c>
      <c r="D453" s="0" t="inlineStr">
        <is>
          <t>NULL</t>
        </is>
      </c>
      <c r="E453" s="0" t="inlineStr">
        <is>
          <t>NULL</t>
        </is>
      </c>
      <c r="F453" s="0" t="inlineStr">
        <is>
          <t>NULL</t>
        </is>
      </c>
      <c r="G453" s="0" t="inlineStr">
        <is>
          <t>NULL</t>
        </is>
      </c>
      <c r="H453" s="0" t="inlineStr">
        <is>
          <t>NULL</t>
        </is>
      </c>
      <c r="I453" s="0" t="inlineStr">
        <is>
          <t>NULL</t>
        </is>
      </c>
      <c r="J453" s="0" t="inlineStr">
        <is>
          <t>NULL</t>
        </is>
      </c>
      <c r="K453" s="0" t="inlineStr">
        <is>
          <t>[0;32m YES! [0m 	 c_money列源备映射正确，源端为sql_variant 0位	期望更改为VARCHAR(255)	实际备端为varchar 1020位	位数精度不存在，通过长度比较</t>
        </is>
      </c>
    </row>
    <row r="454">
      <c r="B454" s="0" t="inlineStr">
        <is>
          <t>NULL</t>
        </is>
      </c>
      <c r="C454" s="0" t="inlineStr">
        <is>
          <t>NULL</t>
        </is>
      </c>
      <c r="D454" s="0" t="inlineStr">
        <is>
          <t>NULL</t>
        </is>
      </c>
      <c r="E454" s="0" t="inlineStr">
        <is>
          <t>NULL</t>
        </is>
      </c>
      <c r="F454" s="0" t="inlineStr">
        <is>
          <t>NULL</t>
        </is>
      </c>
      <c r="G454" s="0" t="inlineStr">
        <is>
          <t>NULL</t>
        </is>
      </c>
      <c r="H454" s="0" t="inlineStr">
        <is>
          <t>NULL</t>
        </is>
      </c>
      <c r="I454" s="0" t="inlineStr">
        <is>
          <t>NULL</t>
        </is>
      </c>
      <c r="J454" s="0" t="inlineStr">
        <is>
          <t>NULL</t>
        </is>
      </c>
      <c r="K454" s="0" t="inlineStr">
        <is>
          <t>[0;32m YES! [0m 	 c_datetime列源备映射正确，源端为sql_variant 0位	期望更改为VARCHAR(255)	实际备端为varchar 1020位	位数精度不存在，通过长度比较</t>
        </is>
      </c>
    </row>
    <row r="455">
      <c r="B455" s="0" t="inlineStr">
        <is>
          <t>NULL</t>
        </is>
      </c>
      <c r="C455" s="0" t="inlineStr">
        <is>
          <t>NULL</t>
        </is>
      </c>
      <c r="D455" s="0" t="inlineStr">
        <is>
          <t>NULL</t>
        </is>
      </c>
      <c r="E455" s="0" t="inlineStr">
        <is>
          <t>NULL</t>
        </is>
      </c>
      <c r="F455" s="0" t="inlineStr">
        <is>
          <t>NULL</t>
        </is>
      </c>
      <c r="G455" s="0" t="inlineStr">
        <is>
          <t>NULL</t>
        </is>
      </c>
      <c r="H455" s="0" t="inlineStr">
        <is>
          <t>NULL</t>
        </is>
      </c>
      <c r="I455" s="0" t="inlineStr">
        <is>
          <t>NULL</t>
        </is>
      </c>
      <c r="J455" s="0" t="inlineStr">
        <is>
          <t>NULL</t>
        </is>
      </c>
      <c r="K455" s="0" t="inlineStr">
        <is>
          <t>[0;32m YES! [0m 	 c_float列源备映射正确，源端为sql_variant 0位	期望更改为VARCHAR(255)	实际备端为varchar 1020位	位数精度不存在，通过长度比较</t>
        </is>
      </c>
    </row>
    <row r="456">
      <c r="B456" s="0" t="inlineStr">
        <is>
          <t>NULL</t>
        </is>
      </c>
      <c r="C456" s="0" t="inlineStr">
        <is>
          <t>NULL</t>
        </is>
      </c>
      <c r="D456" s="0" t="inlineStr">
        <is>
          <t>NULL</t>
        </is>
      </c>
      <c r="E456" s="0" t="inlineStr">
        <is>
          <t>NULL</t>
        </is>
      </c>
      <c r="F456" s="0" t="inlineStr">
        <is>
          <t>NULL</t>
        </is>
      </c>
      <c r="G456" s="0" t="inlineStr">
        <is>
          <t>NULL</t>
        </is>
      </c>
      <c r="H456" s="0" t="inlineStr">
        <is>
          <t>NULL</t>
        </is>
      </c>
      <c r="I456" s="0" t="inlineStr">
        <is>
          <t>NULL</t>
        </is>
      </c>
      <c r="J456" s="0" t="inlineStr">
        <is>
          <t>NULL</t>
        </is>
      </c>
      <c r="K456" s="0" t="inlineStr">
        <is>
          <t>[0;32m YES! [0m 	 c_bit列源备映射正确，源端为sql_variant 0位	期望更改为VARCHAR(255)	实际备端为varchar 1020位	位数精度不存在，通过长度比较</t>
        </is>
      </c>
    </row>
    <row r="457">
      <c r="B457" s="0" t="inlineStr">
        <is>
          <t>NULL</t>
        </is>
      </c>
      <c r="C457" s="0" t="inlineStr">
        <is>
          <t>NULL</t>
        </is>
      </c>
      <c r="D457" s="0" t="inlineStr">
        <is>
          <t>NULL</t>
        </is>
      </c>
      <c r="E457" s="0" t="inlineStr">
        <is>
          <t>NULL</t>
        </is>
      </c>
      <c r="F457" s="0" t="inlineStr">
        <is>
          <t>NULL</t>
        </is>
      </c>
      <c r="G457" s="0" t="inlineStr">
        <is>
          <t>NULL</t>
        </is>
      </c>
      <c r="H457" s="0" t="inlineStr">
        <is>
          <t>NULL</t>
        </is>
      </c>
      <c r="I457" s="0" t="inlineStr">
        <is>
          <t>NULL</t>
        </is>
      </c>
      <c r="J457" s="0" t="inlineStr">
        <is>
          <t>NULL</t>
        </is>
      </c>
      <c r="K457" s="0" t="inlineStr">
        <is>
          <t>[0;32m YES! [0m 	 c_decimal列源备映射正确，源端为sql_variant 0位	期望更改为VARCHAR(255)	实际备端为varchar 1020位	位数精度不存在，通过长度比较</t>
        </is>
      </c>
    </row>
    <row r="458">
      <c r="B458" s="0" t="inlineStr">
        <is>
          <t>NULL</t>
        </is>
      </c>
      <c r="C458" s="0" t="inlineStr">
        <is>
          <t>NULL</t>
        </is>
      </c>
      <c r="D458" s="0" t="inlineStr">
        <is>
          <t>NULL</t>
        </is>
      </c>
      <c r="E458" s="0" t="inlineStr">
        <is>
          <t>NULL</t>
        </is>
      </c>
      <c r="F458" s="0" t="inlineStr">
        <is>
          <t>NULL</t>
        </is>
      </c>
      <c r="G458" s="0" t="inlineStr">
        <is>
          <t>NULL</t>
        </is>
      </c>
      <c r="H458" s="0" t="inlineStr">
        <is>
          <t>NULL</t>
        </is>
      </c>
      <c r="I458" s="0" t="inlineStr">
        <is>
          <t>NULL</t>
        </is>
      </c>
      <c r="J458" s="0" t="inlineStr">
        <is>
          <t>NULL</t>
        </is>
      </c>
      <c r="K458" s="0" t="inlineStr">
        <is>
          <t>[0;32m YES! [0m 	 c_uniqueidentifier列源备映射正确，源端为sql_variant 0位	期望更改为VARCHAR(255)	实际备端为varchar 1020位	位数精度不存在，通过长度比较</t>
        </is>
      </c>
    </row>
    <row r="459">
      <c r="B459" s="0" t="inlineStr">
        <is>
          <t>NULL</t>
        </is>
      </c>
      <c r="C459" s="0" t="inlineStr">
        <is>
          <t>NULL</t>
        </is>
      </c>
      <c r="D459" s="0" t="inlineStr">
        <is>
          <t>NULL</t>
        </is>
      </c>
      <c r="E459" s="0" t="inlineStr">
        <is>
          <t>NULL</t>
        </is>
      </c>
      <c r="F459" s="0" t="inlineStr">
        <is>
          <t>NULL</t>
        </is>
      </c>
      <c r="G459" s="0" t="inlineStr">
        <is>
          <t>NULL</t>
        </is>
      </c>
      <c r="H459" s="0" t="inlineStr">
        <is>
          <t>NULL</t>
        </is>
      </c>
      <c r="I459" s="0" t="inlineStr">
        <is>
          <t>NULL</t>
        </is>
      </c>
      <c r="J459" s="0" t="inlineStr">
        <is>
          <t>NULL</t>
        </is>
      </c>
      <c r="K459" s="0" t="inlineStr">
        <is>
          <t>[0;32m YES! [0m 	 c_smallmoney列源备映射正确，源端为sql_variant 0位	期望更改为VARCHAR(255)	实际备端为varchar 1020位	位数精度不存在，通过长度比较</t>
        </is>
      </c>
    </row>
    <row r="460">
      <c r="B460" s="0" t="inlineStr">
        <is>
          <t>NULL</t>
        </is>
      </c>
      <c r="C460" s="0" t="inlineStr">
        <is>
          <t>NULL</t>
        </is>
      </c>
      <c r="D460" s="0" t="inlineStr">
        <is>
          <t>NULL</t>
        </is>
      </c>
      <c r="E460" s="0" t="inlineStr">
        <is>
          <t>NULL</t>
        </is>
      </c>
      <c r="F460" s="0" t="inlineStr">
        <is>
          <t>NULL</t>
        </is>
      </c>
      <c r="G460" s="0" t="inlineStr">
        <is>
          <t>NULL</t>
        </is>
      </c>
      <c r="H460" s="0" t="inlineStr">
        <is>
          <t>NULL</t>
        </is>
      </c>
      <c r="I460" s="0" t="inlineStr">
        <is>
          <t>NULL</t>
        </is>
      </c>
      <c r="J460" s="0" t="inlineStr">
        <is>
          <t>NULL</t>
        </is>
      </c>
      <c r="K460" s="0" t="inlineStr">
        <is>
          <t>[0;32m YES! [0m 	 c_bigint列源备映射正确，源端为sql_variant 0位	期望更改为VARCHAR(255)	实际备端为varchar 1020位	位数精度不存在，通过长度比较</t>
        </is>
      </c>
    </row>
    <row r="461">
      <c r="B461" s="0" t="inlineStr">
        <is>
          <t>NULL</t>
        </is>
      </c>
      <c r="C461" s="0" t="inlineStr">
        <is>
          <t>NULL</t>
        </is>
      </c>
      <c r="D461" s="0" t="inlineStr">
        <is>
          <t>NULL</t>
        </is>
      </c>
      <c r="E461" s="0" t="inlineStr">
        <is>
          <t>NULL</t>
        </is>
      </c>
      <c r="F461" s="0" t="inlineStr">
        <is>
          <t>NULL</t>
        </is>
      </c>
      <c r="G461" s="0" t="inlineStr">
        <is>
          <t>NULL</t>
        </is>
      </c>
      <c r="H461" s="0" t="inlineStr">
        <is>
          <t>NULL</t>
        </is>
      </c>
      <c r="I461" s="0" t="inlineStr">
        <is>
          <t>NULL</t>
        </is>
      </c>
      <c r="J461" s="0" t="inlineStr">
        <is>
          <t>NULL</t>
        </is>
      </c>
      <c r="K461" s="0" t="inlineStr">
        <is>
          <t>[0;32m YES! [0m 	 c_varbinary_20列源备映射正确，源端为sql_variant 0位	期望更改为VARCHAR(255)	实际备端为varchar 1020位	位数精度不存在，通过长度比较</t>
        </is>
      </c>
    </row>
    <row r="462">
      <c r="B462" s="0" t="inlineStr">
        <is>
          <t>NULL</t>
        </is>
      </c>
      <c r="C462" s="0" t="inlineStr">
        <is>
          <t>NULL</t>
        </is>
      </c>
      <c r="D462" s="0" t="inlineStr">
        <is>
          <t>NULL</t>
        </is>
      </c>
      <c r="E462" s="0" t="inlineStr">
        <is>
          <t>NULL</t>
        </is>
      </c>
      <c r="F462" s="0" t="inlineStr">
        <is>
          <t>NULL</t>
        </is>
      </c>
      <c r="G462" s="0" t="inlineStr">
        <is>
          <t>NULL</t>
        </is>
      </c>
      <c r="H462" s="0" t="inlineStr">
        <is>
          <t>NULL</t>
        </is>
      </c>
      <c r="I462" s="0" t="inlineStr">
        <is>
          <t>NULL</t>
        </is>
      </c>
      <c r="J462" s="0" t="inlineStr">
        <is>
          <t>NULL</t>
        </is>
      </c>
      <c r="K462" s="0" t="inlineStr">
        <is>
          <t>[0;32m YES! [0m 	 c_varchar_20列源备映射正确，源端为sql_variant 0位	期望更改为VARCHAR(255)	实际备端为varchar 1020位	位数精度不存在，通过长度比较</t>
        </is>
      </c>
    </row>
    <row r="463">
      <c r="B463" s="0" t="inlineStr">
        <is>
          <t>NULL</t>
        </is>
      </c>
      <c r="C463" s="0" t="inlineStr">
        <is>
          <t>NULL</t>
        </is>
      </c>
      <c r="D463" s="0" t="inlineStr">
        <is>
          <t>NULL</t>
        </is>
      </c>
      <c r="E463" s="0" t="inlineStr">
        <is>
          <t>NULL</t>
        </is>
      </c>
      <c r="F463" s="0" t="inlineStr">
        <is>
          <t>NULL</t>
        </is>
      </c>
      <c r="G463" s="0" t="inlineStr">
        <is>
          <t>NULL</t>
        </is>
      </c>
      <c r="H463" s="0" t="inlineStr">
        <is>
          <t>NULL</t>
        </is>
      </c>
      <c r="I463" s="0" t="inlineStr">
        <is>
          <t>NULL</t>
        </is>
      </c>
      <c r="J463" s="0" t="inlineStr">
        <is>
          <t>NULL</t>
        </is>
      </c>
      <c r="K463" s="0" t="inlineStr">
        <is>
          <t>[0;32m YES! [0m 	 c_binary_20列源备映射正确，源端为sql_variant 0位	期望更改为VARCHAR(255)	实际备端为varchar 1020位	位数精度不存在，通过长度比较</t>
        </is>
      </c>
    </row>
    <row r="464">
      <c r="B464" s="0" t="inlineStr">
        <is>
          <t>NULL</t>
        </is>
      </c>
      <c r="C464" s="0" t="inlineStr">
        <is>
          <t>NULL</t>
        </is>
      </c>
      <c r="D464" s="0" t="inlineStr">
        <is>
          <t>NULL</t>
        </is>
      </c>
      <c r="E464" s="0" t="inlineStr">
        <is>
          <t>NULL</t>
        </is>
      </c>
      <c r="F464" s="0" t="inlineStr">
        <is>
          <t>NULL</t>
        </is>
      </c>
      <c r="G464" s="0" t="inlineStr">
        <is>
          <t>NULL</t>
        </is>
      </c>
      <c r="H464" s="0" t="inlineStr">
        <is>
          <t>NULL</t>
        </is>
      </c>
      <c r="I464" s="0" t="inlineStr">
        <is>
          <t>NULL</t>
        </is>
      </c>
      <c r="J464" s="0" t="inlineStr">
        <is>
          <t>NULL</t>
        </is>
      </c>
      <c r="K464" s="0" t="inlineStr">
        <is>
          <t>[0;32m YES! [0m 	 c_char_20列源备映射正确，源端为sql_variant 0位	期望更改为VARCHAR(255)	实际备端为varchar 1020位	位数精度不存在，通过长度比较</t>
        </is>
      </c>
    </row>
    <row r="465">
      <c r="B465" s="0" t="inlineStr">
        <is>
          <t>NULL</t>
        </is>
      </c>
      <c r="C465" s="0" t="inlineStr">
        <is>
          <t>NULL</t>
        </is>
      </c>
      <c r="D465" s="0" t="inlineStr">
        <is>
          <t>NULL</t>
        </is>
      </c>
      <c r="E465" s="0" t="inlineStr">
        <is>
          <t>NULL</t>
        </is>
      </c>
      <c r="F465" s="0" t="inlineStr">
        <is>
          <t>NULL</t>
        </is>
      </c>
      <c r="G465" s="0" t="inlineStr">
        <is>
          <t>NULL</t>
        </is>
      </c>
      <c r="H465" s="0" t="inlineStr">
        <is>
          <t>NULL</t>
        </is>
      </c>
      <c r="I465" s="0" t="inlineStr">
        <is>
          <t>NULL</t>
        </is>
      </c>
      <c r="J465" s="0" t="inlineStr">
        <is>
          <t>NULL</t>
        </is>
      </c>
      <c r="K465" s="0" t="inlineStr">
        <is>
          <t>[0;32m YES! [0m 	 c_nvarchar_20列源备映射正确，源端为sql_variant 0位	期望更改为VARCHAR(255)	实际备端为varchar 1020位	位数精度不存在，通过长度比较</t>
        </is>
      </c>
    </row>
    <row r="466">
      <c r="B466" s="0" t="inlineStr">
        <is>
          <t>NULL</t>
        </is>
      </c>
      <c r="C466" s="0" t="inlineStr">
        <is>
          <t>NULL</t>
        </is>
      </c>
      <c r="D466" s="0" t="inlineStr">
        <is>
          <t>NULL</t>
        </is>
      </c>
      <c r="E466" s="0" t="inlineStr">
        <is>
          <t>NULL</t>
        </is>
      </c>
      <c r="F466" s="0" t="inlineStr">
        <is>
          <t>NULL</t>
        </is>
      </c>
      <c r="G466" s="0" t="inlineStr">
        <is>
          <t>NULL</t>
        </is>
      </c>
      <c r="H466" s="0" t="inlineStr">
        <is>
          <t>NULL</t>
        </is>
      </c>
      <c r="I466" s="0" t="inlineStr">
        <is>
          <t>NULL</t>
        </is>
      </c>
      <c r="J466" s="0" t="inlineStr">
        <is>
          <t>NULL</t>
        </is>
      </c>
      <c r="K466" s="0" t="inlineStr">
        <is>
          <t>[0;32m YES! [0m 	 c_nchar_20列源备映射正确，源端为sql_variant 0位	期望更改为VARCHAR(255)	实际备端为varchar 1020位	位数精度不存在，通过长度比较</t>
        </is>
      </c>
    </row>
    <row r="467">
      <c r="B467" s="0" t="inlineStr">
        <is>
          <t>NULL</t>
        </is>
      </c>
      <c r="C467" s="0" t="inlineStr">
        <is>
          <t>NULL</t>
        </is>
      </c>
      <c r="D467" s="0" t="inlineStr">
        <is>
          <t>NULL</t>
        </is>
      </c>
      <c r="E467" s="0" t="inlineStr">
        <is>
          <t>NULL</t>
        </is>
      </c>
      <c r="F467" s="0" t="inlineStr">
        <is>
          <t>NULL</t>
        </is>
      </c>
      <c r="G467" s="0" t="inlineStr">
        <is>
          <t>NULL</t>
        </is>
      </c>
      <c r="H467" s="0" t="inlineStr">
        <is>
          <t>NULL</t>
        </is>
      </c>
      <c r="I467" s="0" t="inlineStr">
        <is>
          <t>NULL</t>
        </is>
      </c>
      <c r="J467" s="0" t="inlineStr">
        <is>
          <t>NULL</t>
        </is>
      </c>
      <c r="K467" s="0" t="inlineStr">
        <is>
          <t>[0;32m YES! [0m 	 c_timestamp列源备映射正确，源端为timestamp None位	期望更改为binary(8)	实际备端为binary 8位	位数精度不存在，通过长度比较</t>
        </is>
      </c>
    </row>
    <row r="468">
      <c r="A468" s="0" t="inlineStr">
        <is>
          <t>info_timestamp_dml_single_nopk_irp</t>
        </is>
      </c>
      <c r="K468" s="0" t="inlineStr">
        <is>
          <t>[0;34m info_timestamp_dml_single_nopk_irp [0m源备字段数相同，源端字段：2 	备端字段2</t>
        </is>
      </c>
      <c r="W468" s="0" t="inlineStr">
        <is>
          <t>YES 源备无差异</t>
        </is>
      </c>
      <c r="X468" s="0">
        <f>A468</f>
        <v/>
      </c>
    </row>
    <row r="469">
      <c r="B469" s="0" t="inlineStr">
        <is>
          <t>NULL</t>
        </is>
      </c>
      <c r="C469" s="0" t="inlineStr">
        <is>
          <t>NULL</t>
        </is>
      </c>
      <c r="D469" s="0" t="inlineStr">
        <is>
          <t>NULL</t>
        </is>
      </c>
      <c r="E469" s="0" t="inlineStr">
        <is>
          <t>NULL</t>
        </is>
      </c>
      <c r="F469" s="0" t="inlineStr">
        <is>
          <t>NULL</t>
        </is>
      </c>
      <c r="G469" s="0" t="inlineStr">
        <is>
          <t>NULL</t>
        </is>
      </c>
      <c r="H469" s="0" t="inlineStr">
        <is>
          <t>NULL</t>
        </is>
      </c>
      <c r="I469" s="0" t="inlineStr">
        <is>
          <t>NULL</t>
        </is>
      </c>
      <c r="J469" s="0" t="inlineStr">
        <is>
          <t>NULL</t>
        </is>
      </c>
      <c r="K469" s="0" t="inlineStr">
        <is>
          <t>YES! 	 id列源备映射正确，源端为int None位	期望更改为int	实际备端为int None位</t>
        </is>
      </c>
    </row>
    <row r="470">
      <c r="B470" s="0" t="inlineStr">
        <is>
          <t>NULL</t>
        </is>
      </c>
      <c r="C470" s="0" t="inlineStr">
        <is>
          <t>NULL</t>
        </is>
      </c>
      <c r="D470" s="0" t="inlineStr">
        <is>
          <t>NULL</t>
        </is>
      </c>
      <c r="E470" s="0" t="inlineStr">
        <is>
          <t>NULL</t>
        </is>
      </c>
      <c r="F470" s="0" t="inlineStr">
        <is>
          <t>NULL</t>
        </is>
      </c>
      <c r="G470" s="0" t="inlineStr">
        <is>
          <t>NULL</t>
        </is>
      </c>
      <c r="H470" s="0" t="inlineStr">
        <is>
          <t>NULL</t>
        </is>
      </c>
      <c r="I470" s="0" t="inlineStr">
        <is>
          <t>NULL</t>
        </is>
      </c>
      <c r="J470" s="0" t="inlineStr">
        <is>
          <t>NULL</t>
        </is>
      </c>
      <c r="K470" s="0" t="inlineStr">
        <is>
          <t>[0;32m YES! [0m 	 c_tiemstamp列源备映射正确，源端为timestamp None位	期望更改为binary(8)	实际备端为binary 8位	位数精度不存在，通过长度比较</t>
        </is>
      </c>
    </row>
    <row r="471">
      <c r="A471" s="0" t="inlineStr">
        <is>
          <t>info_sql_variant_dml_single_nopk</t>
        </is>
      </c>
      <c r="K471" s="0" t="inlineStr">
        <is>
          <t>[0;34m info_sql_variant_dml_single_nopk [0m源备字段数相同，源端字段：25 	备端字段25</t>
        </is>
      </c>
      <c r="W471" s="15">
        <f>HYPERLINK("#2026051816mysql0!AF2","NO 源备存在差异，共2个")</f>
        <v/>
      </c>
      <c r="X471" s="0">
        <f>A471</f>
        <v/>
      </c>
    </row>
    <row r="472">
      <c r="B472" s="0" t="inlineStr">
        <is>
          <t>NULL</t>
        </is>
      </c>
      <c r="C472" s="0" t="inlineStr">
        <is>
          <t>NULL</t>
        </is>
      </c>
      <c r="D472" s="0" t="inlineStr">
        <is>
          <t>NULL</t>
        </is>
      </c>
      <c r="E472" s="0" t="inlineStr">
        <is>
          <t>NULL</t>
        </is>
      </c>
      <c r="F472" s="0" t="inlineStr">
        <is>
          <t>NULL</t>
        </is>
      </c>
      <c r="G472" s="0" t="inlineStr">
        <is>
          <t>NULL</t>
        </is>
      </c>
      <c r="H472" s="0" t="inlineStr">
        <is>
          <t>NULL</t>
        </is>
      </c>
      <c r="I472" s="0" t="inlineStr">
        <is>
          <t>NULL</t>
        </is>
      </c>
      <c r="J472" s="0" t="inlineStr">
        <is>
          <t>NULL</t>
        </is>
      </c>
      <c r="K472" s="0" t="inlineStr">
        <is>
          <t>YES! 	 id列源备映射正确，源端为int None位	期望更改为int	实际备端为int None位</t>
        </is>
      </c>
    </row>
    <row r="473">
      <c r="B473" s="0" t="inlineStr">
        <is>
          <t>NULL</t>
        </is>
      </c>
      <c r="C473" s="0" t="inlineStr">
        <is>
          <t>NULL</t>
        </is>
      </c>
      <c r="D473" s="0" t="inlineStr">
        <is>
          <t>NULL</t>
        </is>
      </c>
      <c r="E473" s="0" t="inlineStr">
        <is>
          <t>NULL</t>
        </is>
      </c>
      <c r="F473" s="0" t="inlineStr">
        <is>
          <t>NULL</t>
        </is>
      </c>
      <c r="G473" s="0" t="inlineStr">
        <is>
          <t>NULL</t>
        </is>
      </c>
      <c r="H473" s="0" t="inlineStr">
        <is>
          <t>NULL</t>
        </is>
      </c>
      <c r="I473" s="0" t="inlineStr">
        <is>
          <t>NULL</t>
        </is>
      </c>
      <c r="J473" s="0" t="inlineStr">
        <is>
          <t>NULL</t>
        </is>
      </c>
      <c r="K473" s="0" t="inlineStr">
        <is>
          <t>[0;32m YES! [0m 	 c_date列源备映射正确，源端为sql_variant 0位	期望更改为VARCHAR(255)	实际备端为varchar 1020位	位数精度不存在，通过长度比较</t>
        </is>
      </c>
    </row>
    <row r="474">
      <c r="B474" s="0" t="inlineStr">
        <is>
          <t>NULL</t>
        </is>
      </c>
      <c r="C474" s="0" t="inlineStr">
        <is>
          <t>NULL</t>
        </is>
      </c>
      <c r="D474" s="0" t="inlineStr">
        <is>
          <t>NULL</t>
        </is>
      </c>
      <c r="E474" s="0" t="inlineStr">
        <is>
          <t>NULL</t>
        </is>
      </c>
      <c r="F474" s="0" t="inlineStr">
        <is>
          <t>NULL</t>
        </is>
      </c>
      <c r="G474" s="0" t="inlineStr">
        <is>
          <t>NULL</t>
        </is>
      </c>
      <c r="H474" s="0" t="inlineStr">
        <is>
          <t>NULL</t>
        </is>
      </c>
      <c r="I474" s="0" t="inlineStr">
        <is>
          <t>NULL</t>
        </is>
      </c>
      <c r="J474" s="0" t="inlineStr">
        <is>
          <t>NULL</t>
        </is>
      </c>
      <c r="K474" s="0" t="inlineStr">
        <is>
          <t>[0;32m YES! [0m 	 c_time列源备映射正确，源端为sql_variant 0位	期望更改为VARCHAR(255)	实际备端为varchar 1020位	位数精度不存在，通过长度比较</t>
        </is>
      </c>
    </row>
    <row r="475">
      <c r="B475" s="0" t="inlineStr">
        <is>
          <t>NULL</t>
        </is>
      </c>
      <c r="C475" s="0" t="inlineStr">
        <is>
          <t>NULL</t>
        </is>
      </c>
      <c r="D475" s="0" t="inlineStr">
        <is>
          <t>NULL</t>
        </is>
      </c>
      <c r="E475" s="0" t="inlineStr">
        <is>
          <t>NULL</t>
        </is>
      </c>
      <c r="F475" s="0" t="inlineStr">
        <is>
          <t>NULL</t>
        </is>
      </c>
      <c r="G475" s="0" t="inlineStr">
        <is>
          <t>NULL</t>
        </is>
      </c>
      <c r="H475" s="0" t="inlineStr">
        <is>
          <t>NULL</t>
        </is>
      </c>
      <c r="I475" s="0" t="inlineStr">
        <is>
          <t>NULL</t>
        </is>
      </c>
      <c r="J475" s="0" t="inlineStr">
        <is>
          <t>NULL</t>
        </is>
      </c>
      <c r="K475" s="0" t="inlineStr">
        <is>
          <t>[0;32m YES! [0m 	 c_datetime2列源备映射正确，源端为sql_variant 0位	期望更改为VARCHAR(255)	实际备端为varchar 1020位	位数精度不存在，通过长度比较</t>
        </is>
      </c>
    </row>
    <row r="476">
      <c r="B476" s="0" t="inlineStr">
        <is>
          <t>NULL</t>
        </is>
      </c>
      <c r="C476" s="0" t="inlineStr">
        <is>
          <t>NULL</t>
        </is>
      </c>
      <c r="D476" s="0" t="inlineStr">
        <is>
          <t>NULL</t>
        </is>
      </c>
      <c r="E476" s="0" t="inlineStr">
        <is>
          <t>NULL</t>
        </is>
      </c>
      <c r="F476" s="0" t="inlineStr">
        <is>
          <t>NULL</t>
        </is>
      </c>
      <c r="G476" s="0" t="inlineStr">
        <is>
          <t>NULL</t>
        </is>
      </c>
      <c r="H476" s="0" t="inlineStr">
        <is>
          <t>NULL</t>
        </is>
      </c>
      <c r="I476" s="0" t="inlineStr">
        <is>
          <t>NULL</t>
        </is>
      </c>
      <c r="J476" s="0" t="inlineStr">
        <is>
          <t>NULL</t>
        </is>
      </c>
      <c r="K476" s="0" t="inlineStr">
        <is>
          <t>[0;32m YES! [0m 	 c_datetimeoffset列源备映射正确，源端为sql_variant 0位	期望更改为VARCHAR(255)	实际备端为varchar 1020位	位数精度不存在，通过长度比较</t>
        </is>
      </c>
    </row>
    <row r="477">
      <c r="B477" s="0" t="inlineStr">
        <is>
          <t>NULL</t>
        </is>
      </c>
      <c r="C477" s="0" t="inlineStr">
        <is>
          <t>NULL</t>
        </is>
      </c>
      <c r="D477" s="0" t="inlineStr">
        <is>
          <t>NULL</t>
        </is>
      </c>
      <c r="E477" s="0" t="inlineStr">
        <is>
          <t>NULL</t>
        </is>
      </c>
      <c r="F477" s="0" t="inlineStr">
        <is>
          <t>NULL</t>
        </is>
      </c>
      <c r="G477" s="0" t="inlineStr">
        <is>
          <t>NULL</t>
        </is>
      </c>
      <c r="H477" s="0" t="inlineStr">
        <is>
          <t>NULL</t>
        </is>
      </c>
      <c r="I477" s="0" t="inlineStr">
        <is>
          <t>NULL</t>
        </is>
      </c>
      <c r="J477" s="0" t="inlineStr">
        <is>
          <t>NULL</t>
        </is>
      </c>
      <c r="K477" s="0" t="inlineStr">
        <is>
          <t>[0;32m YES! [0m 	 c_tinyint列源备映射正确，源端为sql_variant 0位	期望更改为VARCHAR(255)	实际备端为varchar 1020位	位数精度不存在，通过长度比较</t>
        </is>
      </c>
    </row>
    <row r="478">
      <c r="B478" s="0" t="inlineStr">
        <is>
          <t>NULL</t>
        </is>
      </c>
      <c r="C478" s="0" t="inlineStr">
        <is>
          <t>NULL</t>
        </is>
      </c>
      <c r="D478" s="0" t="inlineStr">
        <is>
          <t>NULL</t>
        </is>
      </c>
      <c r="E478" s="0" t="inlineStr">
        <is>
          <t>NULL</t>
        </is>
      </c>
      <c r="F478" s="0" t="inlineStr">
        <is>
          <t>NULL</t>
        </is>
      </c>
      <c r="G478" s="0" t="inlineStr">
        <is>
          <t>NULL</t>
        </is>
      </c>
      <c r="H478" s="0" t="inlineStr">
        <is>
          <t>NULL</t>
        </is>
      </c>
      <c r="I478" s="0" t="inlineStr">
        <is>
          <t>NULL</t>
        </is>
      </c>
      <c r="J478" s="0" t="inlineStr">
        <is>
          <t>NULL</t>
        </is>
      </c>
      <c r="K478" s="0" t="inlineStr">
        <is>
          <t>[0;32m YES! [0m 	 c_smallint列源备映射正确，源端为sql_variant 0位	期望更改为VARCHAR(255)	实际备端为varchar 1020位	位数精度不存在，通过长度比较</t>
        </is>
      </c>
    </row>
    <row r="479">
      <c r="B479" s="0" t="inlineStr">
        <is>
          <t>NULL</t>
        </is>
      </c>
      <c r="C479" s="0" t="inlineStr">
        <is>
          <t>NULL</t>
        </is>
      </c>
      <c r="D479" s="0" t="inlineStr">
        <is>
          <t>NULL</t>
        </is>
      </c>
      <c r="E479" s="0" t="inlineStr">
        <is>
          <t>NULL</t>
        </is>
      </c>
      <c r="F479" s="0" t="inlineStr">
        <is>
          <t>NULL</t>
        </is>
      </c>
      <c r="G479" s="0" t="inlineStr">
        <is>
          <t>NULL</t>
        </is>
      </c>
      <c r="H479" s="0" t="inlineStr">
        <is>
          <t>NULL</t>
        </is>
      </c>
      <c r="I479" s="0" t="inlineStr">
        <is>
          <t>NULL</t>
        </is>
      </c>
      <c r="J479" s="0" t="inlineStr">
        <is>
          <t>NULL</t>
        </is>
      </c>
      <c r="K479" s="0" t="inlineStr">
        <is>
          <t>[0;32m YES! [0m 	 c_int列源备映射正确，源端为sql_variant 0位	期望更改为VARCHAR(255)	实际备端为varchar 1020位	位数精度不存在，通过长度比较</t>
        </is>
      </c>
    </row>
    <row r="480">
      <c r="B480" s="0" t="inlineStr">
        <is>
          <t>NULL</t>
        </is>
      </c>
      <c r="C480" s="0" t="inlineStr">
        <is>
          <t>NULL</t>
        </is>
      </c>
      <c r="D480" s="0" t="inlineStr">
        <is>
          <t>NULL</t>
        </is>
      </c>
      <c r="E480" s="0" t="inlineStr">
        <is>
          <t>NULL</t>
        </is>
      </c>
      <c r="F480" s="0" t="inlineStr">
        <is>
          <t>NULL</t>
        </is>
      </c>
      <c r="G480" s="0" t="inlineStr">
        <is>
          <t>NULL</t>
        </is>
      </c>
      <c r="H480" s="0" t="inlineStr">
        <is>
          <t>NULL</t>
        </is>
      </c>
      <c r="I480" s="0" t="inlineStr">
        <is>
          <t>NULL</t>
        </is>
      </c>
      <c r="J480" s="0" t="inlineStr">
        <is>
          <t>NULL</t>
        </is>
      </c>
      <c r="K480" s="0" t="inlineStr">
        <is>
          <t>[0;32m YES! [0m 	 c_sdt列源备映射正确，源端为sql_variant 0位	期望更改为VARCHAR(255)	实际备端为varchar 1020位	位数精度不存在，通过长度比较</t>
        </is>
      </c>
    </row>
    <row r="481">
      <c r="B481" s="0" t="inlineStr">
        <is>
          <t>NULL</t>
        </is>
      </c>
      <c r="C481" s="0" t="inlineStr">
        <is>
          <t>NULL</t>
        </is>
      </c>
      <c r="D481" s="0" t="inlineStr">
        <is>
          <t>NULL</t>
        </is>
      </c>
      <c r="E481" s="0" t="inlineStr">
        <is>
          <t>NULL</t>
        </is>
      </c>
      <c r="F481" s="0" t="inlineStr">
        <is>
          <t>NULL</t>
        </is>
      </c>
      <c r="G481" s="0" t="inlineStr">
        <is>
          <t>NULL</t>
        </is>
      </c>
      <c r="H481" s="0" t="inlineStr">
        <is>
          <t>NULL</t>
        </is>
      </c>
      <c r="I481" s="0" t="inlineStr">
        <is>
          <t>NULL</t>
        </is>
      </c>
      <c r="J481" s="0" t="inlineStr">
        <is>
          <t>NULL</t>
        </is>
      </c>
      <c r="K481" s="0" t="inlineStr">
        <is>
          <t>[0;32m YES! [0m 	 c_real列源备映射正确，源端为sql_variant 0位	期望更改为VARCHAR(255)	实际备端为varchar 1020位	位数精度不存在，通过长度比较</t>
        </is>
      </c>
    </row>
    <row r="482">
      <c r="B482" s="0" t="inlineStr">
        <is>
          <t>NULL</t>
        </is>
      </c>
      <c r="C482" s="0" t="inlineStr">
        <is>
          <t>NULL</t>
        </is>
      </c>
      <c r="D482" s="0" t="inlineStr">
        <is>
          <t>NULL</t>
        </is>
      </c>
      <c r="E482" s="0" t="inlineStr">
        <is>
          <t>NULL</t>
        </is>
      </c>
      <c r="F482" s="0" t="inlineStr">
        <is>
          <t>NULL</t>
        </is>
      </c>
      <c r="G482" s="0" t="inlineStr">
        <is>
          <t>NULL</t>
        </is>
      </c>
      <c r="H482" s="0" t="inlineStr">
        <is>
          <t>NULL</t>
        </is>
      </c>
      <c r="I482" s="0" t="inlineStr">
        <is>
          <t>NULL</t>
        </is>
      </c>
      <c r="J482" s="0" t="inlineStr">
        <is>
          <t>NULL</t>
        </is>
      </c>
      <c r="K482" s="0" t="inlineStr">
        <is>
          <t>[0;32m YES! [0m 	 c_money列源备映射正确，源端为sql_variant 0位	期望更改为VARCHAR(255)	实际备端为varchar 1020位	位数精度不存在，通过长度比较</t>
        </is>
      </c>
    </row>
    <row r="483">
      <c r="B483" s="0" t="inlineStr">
        <is>
          <t>NULL</t>
        </is>
      </c>
      <c r="C483" s="0" t="inlineStr">
        <is>
          <t>NULL</t>
        </is>
      </c>
      <c r="D483" s="0" t="inlineStr">
        <is>
          <t>NULL</t>
        </is>
      </c>
      <c r="E483" s="0" t="inlineStr">
        <is>
          <t>NULL</t>
        </is>
      </c>
      <c r="F483" s="0" t="inlineStr">
        <is>
          <t>NULL</t>
        </is>
      </c>
      <c r="G483" s="0" t="inlineStr">
        <is>
          <t>NULL</t>
        </is>
      </c>
      <c r="H483" s="0" t="inlineStr">
        <is>
          <t>NULL</t>
        </is>
      </c>
      <c r="I483" s="0" t="inlineStr">
        <is>
          <t>NULL</t>
        </is>
      </c>
      <c r="J483" s="0" t="inlineStr">
        <is>
          <t>NULL</t>
        </is>
      </c>
      <c r="K483" s="0" t="inlineStr">
        <is>
          <t>[0;32m YES! [0m 	 c_datetime列源备映射正确，源端为sql_variant 0位	期望更改为VARCHAR(255)	实际备端为varchar 1020位	位数精度不存在，通过长度比较</t>
        </is>
      </c>
    </row>
    <row r="484">
      <c r="B484" s="0" t="inlineStr">
        <is>
          <t>NULL</t>
        </is>
      </c>
      <c r="C484" s="0" t="inlineStr">
        <is>
          <t>NULL</t>
        </is>
      </c>
      <c r="D484" s="0" t="inlineStr">
        <is>
          <t>NULL</t>
        </is>
      </c>
      <c r="E484" s="0" t="inlineStr">
        <is>
          <t>NULL</t>
        </is>
      </c>
      <c r="F484" s="0" t="inlineStr">
        <is>
          <t>NULL</t>
        </is>
      </c>
      <c r="G484" s="0" t="inlineStr">
        <is>
          <t>NULL</t>
        </is>
      </c>
      <c r="H484" s="0" t="inlineStr">
        <is>
          <t>NULL</t>
        </is>
      </c>
      <c r="I484" s="0" t="inlineStr">
        <is>
          <t>NULL</t>
        </is>
      </c>
      <c r="J484" s="0" t="inlineStr">
        <is>
          <t>NULL</t>
        </is>
      </c>
      <c r="K484" s="0" t="inlineStr">
        <is>
          <t>[0;32m YES! [0m 	 c_float列源备映射正确，源端为sql_variant 0位	期望更改为VARCHAR(255)	实际备端为varchar 1020位	位数精度不存在，通过长度比较</t>
        </is>
      </c>
    </row>
    <row r="485">
      <c r="B485" s="0" t="inlineStr">
        <is>
          <t>NULL</t>
        </is>
      </c>
      <c r="C485" s="0" t="inlineStr">
        <is>
          <t>NULL</t>
        </is>
      </c>
      <c r="D485" s="0" t="inlineStr">
        <is>
          <t>NULL</t>
        </is>
      </c>
      <c r="E485" s="0" t="inlineStr">
        <is>
          <t>NULL</t>
        </is>
      </c>
      <c r="F485" s="0" t="inlineStr">
        <is>
          <t>NULL</t>
        </is>
      </c>
      <c r="G485" s="0" t="inlineStr">
        <is>
          <t>NULL</t>
        </is>
      </c>
      <c r="H485" s="0" t="inlineStr">
        <is>
          <t>NULL</t>
        </is>
      </c>
      <c r="I485" s="0" t="inlineStr">
        <is>
          <t>NULL</t>
        </is>
      </c>
      <c r="J485" s="0" t="inlineStr">
        <is>
          <t>NULL</t>
        </is>
      </c>
      <c r="K485" s="0" t="inlineStr">
        <is>
          <t>[0;32m YES! [0m 	 c_bit列源备映射正确，源端为sql_variant 0位	期望更改为VARCHAR(255)	实际备端为varchar 1020位	位数精度不存在，通过长度比较</t>
        </is>
      </c>
    </row>
    <row r="486">
      <c r="B486" s="0" t="inlineStr">
        <is>
          <t>NULL</t>
        </is>
      </c>
      <c r="C486" s="0" t="inlineStr">
        <is>
          <t>NULL</t>
        </is>
      </c>
      <c r="D486" s="0" t="inlineStr">
        <is>
          <t>NULL</t>
        </is>
      </c>
      <c r="E486" s="0" t="inlineStr">
        <is>
          <t>NULL</t>
        </is>
      </c>
      <c r="F486" s="0" t="inlineStr">
        <is>
          <t>NULL</t>
        </is>
      </c>
      <c r="G486" s="0" t="inlineStr">
        <is>
          <t>NULL</t>
        </is>
      </c>
      <c r="H486" s="0" t="inlineStr">
        <is>
          <t>NULL</t>
        </is>
      </c>
      <c r="I486" s="0" t="inlineStr">
        <is>
          <t>NULL</t>
        </is>
      </c>
      <c r="J486" s="0" t="inlineStr">
        <is>
          <t>NULL</t>
        </is>
      </c>
      <c r="K486" s="0" t="inlineStr">
        <is>
          <t>[0;32m YES! [0m 	 c_decimal列源备映射正确，源端为sql_variant 0位	期望更改为VARCHAR(255)	实际备端为varchar 1020位	位数精度不存在，通过长度比较</t>
        </is>
      </c>
    </row>
    <row r="487">
      <c r="B487" s="0" t="inlineStr">
        <is>
          <t>NULL</t>
        </is>
      </c>
      <c r="C487" s="0" t="inlineStr">
        <is>
          <t>NULL</t>
        </is>
      </c>
      <c r="D487" s="0" t="inlineStr">
        <is>
          <t>NULL</t>
        </is>
      </c>
      <c r="E487" s="0" t="inlineStr">
        <is>
          <t>NULL</t>
        </is>
      </c>
      <c r="F487" s="0" t="inlineStr">
        <is>
          <t>NULL</t>
        </is>
      </c>
      <c r="G487" s="0" t="inlineStr">
        <is>
          <t>NULL</t>
        </is>
      </c>
      <c r="H487" s="0" t="inlineStr">
        <is>
          <t>NULL</t>
        </is>
      </c>
      <c r="I487" s="0" t="inlineStr">
        <is>
          <t>NULL</t>
        </is>
      </c>
      <c r="J487" s="0" t="inlineStr">
        <is>
          <t>NULL</t>
        </is>
      </c>
      <c r="K487" s="0" t="inlineStr">
        <is>
          <t>[0;32m YES! [0m 	 c_uniqueidentifier列源备映射正确，源端为sql_variant 0位	期望更改为VARCHAR(255)	实际备端为varchar 1020位	位数精度不存在，通过长度比较</t>
        </is>
      </c>
    </row>
    <row r="488">
      <c r="B488" s="0" t="inlineStr">
        <is>
          <t>NULL</t>
        </is>
      </c>
      <c r="C488" s="0" t="inlineStr">
        <is>
          <t>NULL</t>
        </is>
      </c>
      <c r="D488" s="0" t="inlineStr">
        <is>
          <t>NULL</t>
        </is>
      </c>
      <c r="E488" s="0" t="inlineStr">
        <is>
          <t>NULL</t>
        </is>
      </c>
      <c r="F488" s="0" t="inlineStr">
        <is>
          <t>NULL</t>
        </is>
      </c>
      <c r="G488" s="0" t="inlineStr">
        <is>
          <t>NULL</t>
        </is>
      </c>
      <c r="H488" s="0" t="inlineStr">
        <is>
          <t>NULL</t>
        </is>
      </c>
      <c r="I488" s="0" t="inlineStr">
        <is>
          <t>NULL</t>
        </is>
      </c>
      <c r="J488" s="0" t="inlineStr">
        <is>
          <t>NULL</t>
        </is>
      </c>
      <c r="K488" s="0" t="inlineStr">
        <is>
          <t>[0;32m YES! [0m 	 c_smallmoney列源备映射正确，源端为sql_variant 0位	期望更改为VARCHAR(255)	实际备端为varchar 1020位	位数精度不存在，通过长度比较</t>
        </is>
      </c>
    </row>
    <row r="489">
      <c r="B489" s="0" t="inlineStr">
        <is>
          <t>NULL</t>
        </is>
      </c>
      <c r="C489" s="0" t="inlineStr">
        <is>
          <t>NULL</t>
        </is>
      </c>
      <c r="D489" s="0" t="inlineStr">
        <is>
          <t>NULL</t>
        </is>
      </c>
      <c r="E489" s="0" t="inlineStr">
        <is>
          <t>NULL</t>
        </is>
      </c>
      <c r="F489" s="0" t="inlineStr">
        <is>
          <t>NULL</t>
        </is>
      </c>
      <c r="G489" s="0" t="inlineStr">
        <is>
          <t>NULL</t>
        </is>
      </c>
      <c r="H489" s="0" t="inlineStr">
        <is>
          <t>NULL</t>
        </is>
      </c>
      <c r="I489" s="0" t="inlineStr">
        <is>
          <t>NULL</t>
        </is>
      </c>
      <c r="J489" s="0" t="inlineStr">
        <is>
          <t>NULL</t>
        </is>
      </c>
      <c r="K489" s="0" t="inlineStr">
        <is>
          <t>[0;32m YES! [0m 	 c_bigint列源备映射正确，源端为sql_variant 0位	期望更改为VARCHAR(255)	实际备端为varchar 1020位	位数精度不存在，通过长度比较</t>
        </is>
      </c>
    </row>
    <row r="490">
      <c r="B490" s="0" t="inlineStr">
        <is>
          <t>NULL</t>
        </is>
      </c>
      <c r="C490" s="0" t="inlineStr">
        <is>
          <t>NULL</t>
        </is>
      </c>
      <c r="D490" s="0" t="inlineStr">
        <is>
          <t>NULL</t>
        </is>
      </c>
      <c r="E490" s="0" t="inlineStr">
        <is>
          <t>NULL</t>
        </is>
      </c>
      <c r="F490" s="0" t="inlineStr">
        <is>
          <t>NULL</t>
        </is>
      </c>
      <c r="G490" s="0" t="inlineStr">
        <is>
          <t>NULL</t>
        </is>
      </c>
      <c r="H490" s="0" t="inlineStr">
        <is>
          <t>NULL</t>
        </is>
      </c>
      <c r="I490" s="0" t="inlineStr">
        <is>
          <t>NULL</t>
        </is>
      </c>
      <c r="J490" s="0" t="inlineStr">
        <is>
          <t>NULL</t>
        </is>
      </c>
      <c r="K490" s="0" t="inlineStr">
        <is>
          <t>[0;32m YES! [0m 	 c_varbinary_20列源备映射正确，源端为sql_variant 0位	期望更改为VARCHAR(255)	实际备端为varchar 1020位	位数精度不存在，通过长度比较</t>
        </is>
      </c>
    </row>
    <row r="491">
      <c r="B491" s="0" t="inlineStr">
        <is>
          <t>NULL</t>
        </is>
      </c>
      <c r="C491" s="0" t="inlineStr">
        <is>
          <t>NULL</t>
        </is>
      </c>
      <c r="D491" s="0" t="inlineStr">
        <is>
          <t>NULL</t>
        </is>
      </c>
      <c r="E491" s="0" t="inlineStr">
        <is>
          <t>NULL</t>
        </is>
      </c>
      <c r="F491" s="0" t="inlineStr">
        <is>
          <t>NULL</t>
        </is>
      </c>
      <c r="G491" s="0" t="inlineStr">
        <is>
          <t>NULL</t>
        </is>
      </c>
      <c r="H491" s="0" t="inlineStr">
        <is>
          <t>NULL</t>
        </is>
      </c>
      <c r="I491" s="0" t="inlineStr">
        <is>
          <t>NULL</t>
        </is>
      </c>
      <c r="J491" s="0" t="inlineStr">
        <is>
          <t>NULL</t>
        </is>
      </c>
      <c r="K491" s="0" t="inlineStr">
        <is>
          <t>[0;32m YES! [0m 	 c_varchar_20列源备映射正确，源端为sql_variant 0位	期望更改为VARCHAR(255)	实际备端为varchar 1020位	位数精度不存在，通过长度比较</t>
        </is>
      </c>
    </row>
    <row r="492">
      <c r="B492" s="0" t="inlineStr">
        <is>
          <t>NULL</t>
        </is>
      </c>
      <c r="C492" s="0" t="inlineStr">
        <is>
          <t>NULL</t>
        </is>
      </c>
      <c r="D492" s="0" t="inlineStr">
        <is>
          <t>NULL</t>
        </is>
      </c>
      <c r="E492" s="0" t="inlineStr">
        <is>
          <t>NULL</t>
        </is>
      </c>
      <c r="F492" s="0" t="inlineStr">
        <is>
          <t>NULL</t>
        </is>
      </c>
      <c r="G492" s="0" t="inlineStr">
        <is>
          <t>NULL</t>
        </is>
      </c>
      <c r="H492" s="0" t="inlineStr">
        <is>
          <t>NULL</t>
        </is>
      </c>
      <c r="I492" s="0" t="inlineStr">
        <is>
          <t>NULL</t>
        </is>
      </c>
      <c r="J492" s="0" t="inlineStr">
        <is>
          <t>NULL</t>
        </is>
      </c>
      <c r="K492" s="0" t="inlineStr">
        <is>
          <t>[0;32m YES! [0m 	 c_binary_20列源备映射正确，源端为sql_variant 0位	期望更改为VARCHAR(255)	实际备端为varchar 1020位	位数精度不存在，通过长度比较</t>
        </is>
      </c>
    </row>
    <row r="493">
      <c r="B493" s="0" t="inlineStr">
        <is>
          <t>NULL</t>
        </is>
      </c>
      <c r="C493" s="0" t="inlineStr">
        <is>
          <t>NULL</t>
        </is>
      </c>
      <c r="D493" s="0" t="inlineStr">
        <is>
          <t>NULL</t>
        </is>
      </c>
      <c r="E493" s="0" t="inlineStr">
        <is>
          <t>NULL</t>
        </is>
      </c>
      <c r="F493" s="0" t="inlineStr">
        <is>
          <t>NULL</t>
        </is>
      </c>
      <c r="G493" s="0" t="inlineStr">
        <is>
          <t>NULL</t>
        </is>
      </c>
      <c r="H493" s="0" t="inlineStr">
        <is>
          <t>NULL</t>
        </is>
      </c>
      <c r="I493" s="0" t="inlineStr">
        <is>
          <t>NULL</t>
        </is>
      </c>
      <c r="J493" s="0" t="inlineStr">
        <is>
          <t>NULL</t>
        </is>
      </c>
      <c r="K493" s="0" t="inlineStr">
        <is>
          <t>[0;32m YES! [0m 	 c_char_20列源备映射正确，源端为sql_variant 0位	期望更改为VARCHAR(255)	实际备端为varchar 1020位	位数精度不存在，通过长度比较</t>
        </is>
      </c>
    </row>
    <row r="494">
      <c r="B494" s="0" t="inlineStr">
        <is>
          <t>NULL</t>
        </is>
      </c>
      <c r="C494" s="0" t="inlineStr">
        <is>
          <t>NULL</t>
        </is>
      </c>
      <c r="D494" s="0" t="inlineStr">
        <is>
          <t>NULL</t>
        </is>
      </c>
      <c r="E494" s="0" t="inlineStr">
        <is>
          <t>NULL</t>
        </is>
      </c>
      <c r="F494" s="0" t="inlineStr">
        <is>
          <t>NULL</t>
        </is>
      </c>
      <c r="G494" s="0" t="inlineStr">
        <is>
          <t>NULL</t>
        </is>
      </c>
      <c r="H494" s="0" t="inlineStr">
        <is>
          <t>NULL</t>
        </is>
      </c>
      <c r="I494" s="0" t="inlineStr">
        <is>
          <t>NULL</t>
        </is>
      </c>
      <c r="J494" s="0" t="inlineStr">
        <is>
          <t>NULL</t>
        </is>
      </c>
      <c r="K494" s="0" t="inlineStr">
        <is>
          <t>[0;32m YES! [0m 	 c_nvarchar_20列源备映射正确，源端为sql_variant 0位	期望更改为VARCHAR(255)	实际备端为varchar 1020位	位数精度不存在，通过长度比较</t>
        </is>
      </c>
    </row>
    <row r="495">
      <c r="B495" s="0" t="inlineStr">
        <is>
          <t>NULL</t>
        </is>
      </c>
      <c r="C495" s="0" t="inlineStr">
        <is>
          <t>NULL</t>
        </is>
      </c>
      <c r="D495" s="0" t="inlineStr">
        <is>
          <t>NULL</t>
        </is>
      </c>
      <c r="E495" s="0" t="inlineStr">
        <is>
          <t>NULL</t>
        </is>
      </c>
      <c r="F495" s="0" t="inlineStr">
        <is>
          <t>NULL</t>
        </is>
      </c>
      <c r="G495" s="0" t="inlineStr">
        <is>
          <t>NULL</t>
        </is>
      </c>
      <c r="H495" s="0" t="inlineStr">
        <is>
          <t>NULL</t>
        </is>
      </c>
      <c r="I495" s="0" t="inlineStr">
        <is>
          <t>NULL</t>
        </is>
      </c>
      <c r="J495" s="0" t="inlineStr">
        <is>
          <t>NULL</t>
        </is>
      </c>
      <c r="K495" s="0" t="inlineStr">
        <is>
          <t>[0;32m YES! [0m 	 c_nchar_20列源备映射正确，源端为sql_variant 0位	期望更改为VARCHAR(255)	实际备端为varchar 1020位	位数精度不存在，通过长度比较</t>
        </is>
      </c>
    </row>
    <row r="496">
      <c r="B496" s="0" t="inlineStr">
        <is>
          <t>NULL</t>
        </is>
      </c>
      <c r="C496" s="0" t="inlineStr">
        <is>
          <t>NULL</t>
        </is>
      </c>
      <c r="D496" s="0" t="inlineStr">
        <is>
          <t>NULL</t>
        </is>
      </c>
      <c r="E496" s="0" t="inlineStr">
        <is>
          <t>NULL</t>
        </is>
      </c>
      <c r="F496" s="0" t="inlineStr">
        <is>
          <t>NULL</t>
        </is>
      </c>
      <c r="G496" s="0" t="inlineStr">
        <is>
          <t>NULL</t>
        </is>
      </c>
      <c r="H496" s="0" t="inlineStr">
        <is>
          <t>NULL</t>
        </is>
      </c>
      <c r="I496" s="0" t="inlineStr">
        <is>
          <t>NULL</t>
        </is>
      </c>
      <c r="J496" s="0" t="inlineStr">
        <is>
          <t>NULL</t>
        </is>
      </c>
      <c r="K496" s="0" t="inlineStr">
        <is>
          <t>[0;32m YES! [0m 	 c_timestamp列源备映射正确，源端为timestamp None位	期望更改为binary(8)	实际备端为binary 8位	位数精度不存在，通过长度比较</t>
        </is>
      </c>
    </row>
    <row r="497">
      <c r="A497" s="0" t="inlineStr">
        <is>
          <t>info_datetime_dml_batch1_pk</t>
        </is>
      </c>
      <c r="K497" s="0" t="inlineStr">
        <is>
          <t>[0;34m info_datetime_dml_batch1_pk [0m源备字段数相同，源端字段：2 	备端字段2</t>
        </is>
      </c>
      <c r="W497" s="0" t="inlineStr">
        <is>
          <t>YES 源备无差异</t>
        </is>
      </c>
      <c r="X497" s="0">
        <f>A497</f>
        <v/>
      </c>
    </row>
    <row r="498">
      <c r="B498" s="0" t="inlineStr">
        <is>
          <t>NO! 主键不正常，源YES备None</t>
        </is>
      </c>
      <c r="C498" s="0" t="inlineStr">
        <is>
          <t>NULL</t>
        </is>
      </c>
      <c r="D498" s="0" t="inlineStr">
        <is>
          <t>NULL</t>
        </is>
      </c>
      <c r="E498" s="0" t="inlineStr">
        <is>
          <t>NULL</t>
        </is>
      </c>
      <c r="F498" s="0" t="inlineStr">
        <is>
          <t>NULL</t>
        </is>
      </c>
      <c r="G498" s="0" t="inlineStr">
        <is>
          <t>NULL</t>
        </is>
      </c>
      <c r="H498" s="0" t="inlineStr">
        <is>
          <t>NULL</t>
        </is>
      </c>
      <c r="I498" s="0" t="inlineStr">
        <is>
          <t>NO! 源备索引不一致源PK__info_dat__3213E83FF22C8314备None</t>
        </is>
      </c>
      <c r="J498" s="0" t="inlineStr">
        <is>
          <t>NULL</t>
        </is>
      </c>
      <c r="K498" s="0" t="inlineStr">
        <is>
          <t>YES! 	 id列源备映射正确，源端为int None位	期望更改为int	实际备端为int None位</t>
        </is>
      </c>
    </row>
    <row r="499">
      <c r="B499" s="0" t="inlineStr">
        <is>
          <t>NULL</t>
        </is>
      </c>
      <c r="C499" s="0" t="inlineStr">
        <is>
          <t>NO!源None备NUL</t>
        </is>
      </c>
      <c r="D499" s="0" t="inlineStr">
        <is>
          <t>NULL</t>
        </is>
      </c>
      <c r="E499" s="0" t="inlineStr">
        <is>
          <t>NULL</t>
        </is>
      </c>
      <c r="F499" s="0" t="inlineStr">
        <is>
          <t>NULL</t>
        </is>
      </c>
      <c r="G499" s="0" t="inlineStr">
        <is>
          <t>NULL</t>
        </is>
      </c>
      <c r="H499" s="0" t="inlineStr">
        <is>
          <t>NULL</t>
        </is>
      </c>
      <c r="I499" s="0" t="inlineStr">
        <is>
          <t>NULL</t>
        </is>
      </c>
      <c r="J499" s="0" t="inlineStr">
        <is>
          <t>NULL</t>
        </is>
      </c>
      <c r="K499" s="0" t="inlineStr">
        <is>
          <t>YES! 	 c_datetime列源备映射正确，源端为datetime None位	期望更改为datetime(3)	实际备端为datetime None位</t>
        </is>
      </c>
    </row>
    <row r="500">
      <c r="K500" s="0" t="inlineStr">
        <is>
          <t>[0;31m NO! [0m 	  行数不同,源4行,备端空表</t>
        </is>
      </c>
    </row>
    <row r="501">
      <c r="A501" s="0" t="inlineStr">
        <is>
          <t>info_timestamp_dml_single_nopk_drp</t>
        </is>
      </c>
      <c r="K501" s="0" t="inlineStr">
        <is>
          <t>[0;34m info_timestamp_dml_single_nopk_drp [0m源备字段数相同，源端字段：2 	备端字段2</t>
        </is>
      </c>
      <c r="W501" s="0" t="inlineStr">
        <is>
          <t>YES 源备无差异</t>
        </is>
      </c>
      <c r="X501" s="0">
        <f>A501</f>
        <v/>
      </c>
    </row>
    <row r="502">
      <c r="B502" s="0" t="inlineStr">
        <is>
          <t>NULL</t>
        </is>
      </c>
      <c r="C502" s="0" t="inlineStr">
        <is>
          <t>NULL</t>
        </is>
      </c>
      <c r="D502" s="0" t="inlineStr">
        <is>
          <t>NULL</t>
        </is>
      </c>
      <c r="E502" s="0" t="inlineStr">
        <is>
          <t>NULL</t>
        </is>
      </c>
      <c r="F502" s="0" t="inlineStr">
        <is>
          <t>NULL</t>
        </is>
      </c>
      <c r="G502" s="0" t="inlineStr">
        <is>
          <t>NULL</t>
        </is>
      </c>
      <c r="H502" s="0" t="inlineStr">
        <is>
          <t>NULL</t>
        </is>
      </c>
      <c r="I502" s="0" t="inlineStr">
        <is>
          <t>NULL</t>
        </is>
      </c>
      <c r="J502" s="0" t="inlineStr">
        <is>
          <t>NULL</t>
        </is>
      </c>
      <c r="K502" s="0" t="inlineStr">
        <is>
          <t>YES! 	 id列源备映射正确，源端为int None位	期望更改为int	实际备端为int None位</t>
        </is>
      </c>
    </row>
    <row r="503">
      <c r="B503" s="0" t="inlineStr">
        <is>
          <t>NULL</t>
        </is>
      </c>
      <c r="C503" s="0" t="inlineStr">
        <is>
          <t>NULL</t>
        </is>
      </c>
      <c r="D503" s="0" t="inlineStr">
        <is>
          <t>NULL</t>
        </is>
      </c>
      <c r="E503" s="0" t="inlineStr">
        <is>
          <t>NULL</t>
        </is>
      </c>
      <c r="F503" s="0" t="inlineStr">
        <is>
          <t>NULL</t>
        </is>
      </c>
      <c r="G503" s="0" t="inlineStr">
        <is>
          <t>NULL</t>
        </is>
      </c>
      <c r="H503" s="0" t="inlineStr">
        <is>
          <t>NULL</t>
        </is>
      </c>
      <c r="I503" s="0" t="inlineStr">
        <is>
          <t>NULL</t>
        </is>
      </c>
      <c r="J503" s="0" t="inlineStr">
        <is>
          <t>NULL</t>
        </is>
      </c>
      <c r="K503" s="0" t="inlineStr">
        <is>
          <t>[0;32m YES! [0m 	 c_tiemstamp列源备映射正确，源端为timestamp None位	期望更改为binary(8)	实际备端为binary 8位	位数精度不存在，通过长度比较</t>
        </is>
      </c>
    </row>
    <row r="504">
      <c r="K504" s="0" t="inlineStr">
        <is>
          <t>[0;31m NO! [0m 	  行数不同,源1行,备端空表</t>
        </is>
      </c>
    </row>
    <row r="505">
      <c r="A505" s="0" t="inlineStr">
        <is>
          <t>info_varcharmax_dml_single_nopk_urp</t>
        </is>
      </c>
      <c r="K505" s="0" t="inlineStr">
        <is>
          <t>[0;34m info_varcharmax_dml_single_nopk_urp [0m源备字段数相同，源端字段：3 	备端字段3</t>
        </is>
      </c>
      <c r="W505" s="0" t="inlineStr">
        <is>
          <t>YES 源备无差异</t>
        </is>
      </c>
      <c r="X505" s="0">
        <f>A505</f>
        <v/>
      </c>
    </row>
    <row r="506">
      <c r="B506" s="0" t="inlineStr">
        <is>
          <t>NULL</t>
        </is>
      </c>
      <c r="C506" s="0" t="inlineStr">
        <is>
          <t>NULL</t>
        </is>
      </c>
      <c r="D506" s="0" t="inlineStr">
        <is>
          <t>NULL</t>
        </is>
      </c>
      <c r="E506" s="0" t="inlineStr">
        <is>
          <t>NULL</t>
        </is>
      </c>
      <c r="F506" s="0" t="inlineStr">
        <is>
          <t>NULL</t>
        </is>
      </c>
      <c r="G506" s="0" t="inlineStr">
        <is>
          <t>NULL</t>
        </is>
      </c>
      <c r="H506" s="0" t="inlineStr">
        <is>
          <t>NULL</t>
        </is>
      </c>
      <c r="I506" s="0" t="inlineStr">
        <is>
          <t>NULL</t>
        </is>
      </c>
      <c r="J506" s="0" t="inlineStr">
        <is>
          <t>NULL</t>
        </is>
      </c>
      <c r="K506" s="0" t="inlineStr">
        <is>
          <t>YES! 	 id列源备映射正确，源端为int None位	期望更改为int	实际备端为int None位</t>
        </is>
      </c>
    </row>
    <row r="507">
      <c r="B507" s="0" t="inlineStr">
        <is>
          <t>NULL</t>
        </is>
      </c>
      <c r="C507" s="0" t="inlineStr">
        <is>
          <t>NULL</t>
        </is>
      </c>
      <c r="D507" s="0" t="inlineStr">
        <is>
          <t>NULL</t>
        </is>
      </c>
      <c r="E507" s="0" t="inlineStr">
        <is>
          <t>NULL</t>
        </is>
      </c>
      <c r="F507" s="0" t="inlineStr">
        <is>
          <t>NULL</t>
        </is>
      </c>
      <c r="G507" s="0" t="inlineStr">
        <is>
          <t>NULL</t>
        </is>
      </c>
      <c r="H507" s="0" t="inlineStr">
        <is>
          <t>NULL</t>
        </is>
      </c>
      <c r="I507" s="0" t="inlineStr">
        <is>
          <t>NULL</t>
        </is>
      </c>
      <c r="J507" s="0" t="inlineStr">
        <is>
          <t>NULL</t>
        </is>
      </c>
      <c r="K507" s="0" t="inlineStr">
        <is>
          <t>YES! 	 c_varchar_max列源备映射正确，源端为varchar -1位	期望更改为longtext	实际备端为longtext 4294967295位</t>
        </is>
      </c>
    </row>
    <row r="508">
      <c r="B508" s="0" t="inlineStr">
        <is>
          <t>NULL</t>
        </is>
      </c>
      <c r="C508" s="0" t="inlineStr">
        <is>
          <t>NULL</t>
        </is>
      </c>
      <c r="D508" s="0" t="inlineStr">
        <is>
          <t>NULL</t>
        </is>
      </c>
      <c r="E508" s="0" t="inlineStr">
        <is>
          <t>NULL</t>
        </is>
      </c>
      <c r="F508" s="0" t="inlineStr">
        <is>
          <t>NULL</t>
        </is>
      </c>
      <c r="G508" s="0" t="inlineStr">
        <is>
          <t>NULL</t>
        </is>
      </c>
      <c r="H508" s="0" t="inlineStr">
        <is>
          <t>NULL</t>
        </is>
      </c>
      <c r="I508" s="0" t="inlineStr">
        <is>
          <t>NULL</t>
        </is>
      </c>
      <c r="J508" s="0" t="inlineStr">
        <is>
          <t>NULL</t>
        </is>
      </c>
      <c r="K508" s="0" t="inlineStr">
        <is>
          <t>YES! 	 c_nvarchar_max列源备映射正确，源端为nvarchar -1位	期望更改为longtext	实际备端为longtext 4294967295位</t>
        </is>
      </c>
    </row>
    <row r="509">
      <c r="A509" s="0" t="inlineStr">
        <is>
          <t>info_varcharmax_dml_single_nopk_drp</t>
        </is>
      </c>
      <c r="K509" s="0" t="inlineStr">
        <is>
          <t>[0;34m info_varcharmax_dml_single_nopk_drp [0m源备字段数相同，源端字段：3 	备端字段3</t>
        </is>
      </c>
      <c r="W509" s="0" t="inlineStr">
        <is>
          <t>YES 源备无差异</t>
        </is>
      </c>
      <c r="X509" s="0">
        <f>A509</f>
        <v/>
      </c>
    </row>
    <row r="510">
      <c r="B510" s="0" t="inlineStr">
        <is>
          <t>NULL</t>
        </is>
      </c>
      <c r="C510" s="0" t="inlineStr">
        <is>
          <t>NULL</t>
        </is>
      </c>
      <c r="D510" s="0" t="inlineStr">
        <is>
          <t>NULL</t>
        </is>
      </c>
      <c r="E510" s="0" t="inlineStr">
        <is>
          <t>NULL</t>
        </is>
      </c>
      <c r="F510" s="0" t="inlineStr">
        <is>
          <t>NULL</t>
        </is>
      </c>
      <c r="G510" s="0" t="inlineStr">
        <is>
          <t>NULL</t>
        </is>
      </c>
      <c r="H510" s="0" t="inlineStr">
        <is>
          <t>NULL</t>
        </is>
      </c>
      <c r="I510" s="0" t="inlineStr">
        <is>
          <t>NULL</t>
        </is>
      </c>
      <c r="J510" s="0" t="inlineStr">
        <is>
          <t>NULL</t>
        </is>
      </c>
      <c r="K510" s="0" t="inlineStr">
        <is>
          <t>YES! 	 id列源备映射正确，源端为int None位	期望更改为int	实际备端为int None位</t>
        </is>
      </c>
    </row>
    <row r="511">
      <c r="B511" s="0" t="inlineStr">
        <is>
          <t>NULL</t>
        </is>
      </c>
      <c r="C511" s="0" t="inlineStr">
        <is>
          <t>NULL</t>
        </is>
      </c>
      <c r="D511" s="0" t="inlineStr">
        <is>
          <t>NULL</t>
        </is>
      </c>
      <c r="E511" s="0" t="inlineStr">
        <is>
          <t>NULL</t>
        </is>
      </c>
      <c r="F511" s="0" t="inlineStr">
        <is>
          <t>NULL</t>
        </is>
      </c>
      <c r="G511" s="0" t="inlineStr">
        <is>
          <t>NULL</t>
        </is>
      </c>
      <c r="H511" s="0" t="inlineStr">
        <is>
          <t>NULL</t>
        </is>
      </c>
      <c r="I511" s="0" t="inlineStr">
        <is>
          <t>NULL</t>
        </is>
      </c>
      <c r="J511" s="0" t="inlineStr">
        <is>
          <t>NULL</t>
        </is>
      </c>
      <c r="K511" s="0" t="inlineStr">
        <is>
          <t>YES! 	 c_varchar_max列源备映射正确，源端为varchar -1位	期望更改为longtext	实际备端为longtext 4294967295位</t>
        </is>
      </c>
    </row>
    <row r="512">
      <c r="B512" s="0" t="inlineStr">
        <is>
          <t>NULL</t>
        </is>
      </c>
      <c r="C512" s="0" t="inlineStr">
        <is>
          <t>NULL</t>
        </is>
      </c>
      <c r="D512" s="0" t="inlineStr">
        <is>
          <t>NULL</t>
        </is>
      </c>
      <c r="E512" s="0" t="inlineStr">
        <is>
          <t>NULL</t>
        </is>
      </c>
      <c r="F512" s="0" t="inlineStr">
        <is>
          <t>NULL</t>
        </is>
      </c>
      <c r="G512" s="0" t="inlineStr">
        <is>
          <t>NULL</t>
        </is>
      </c>
      <c r="H512" s="0" t="inlineStr">
        <is>
          <t>NULL</t>
        </is>
      </c>
      <c r="I512" s="0" t="inlineStr">
        <is>
          <t>NULL</t>
        </is>
      </c>
      <c r="J512" s="0" t="inlineStr">
        <is>
          <t>NULL</t>
        </is>
      </c>
      <c r="K512" s="0" t="inlineStr">
        <is>
          <t>YES! 	 c_nvarchar_max列源备映射正确，源端为nvarchar -1位	期望更改为longtext	实际备端为longtext 4294967295位</t>
        </is>
      </c>
    </row>
    <row r="513">
      <c r="A513" s="0" t="inlineStr">
        <is>
          <t>info_datetime2_dml_batch1_pk_irp2</t>
        </is>
      </c>
      <c r="K513" s="0" t="inlineStr">
        <is>
          <t>[0;34m info_datetime2_dml_batch1_pk_irp2 [0m源备字段数相同，源端字段：9 	备端字段9</t>
        </is>
      </c>
      <c r="W513" s="0" t="inlineStr">
        <is>
          <t>YES 源备无差异</t>
        </is>
      </c>
      <c r="X513" s="0">
        <f>A513</f>
        <v/>
      </c>
    </row>
    <row r="514">
      <c r="B514" s="0" t="inlineStr">
        <is>
          <t>NO! 主键不正常，源YES备None</t>
        </is>
      </c>
      <c r="C514" s="0" t="inlineStr">
        <is>
          <t>NULL</t>
        </is>
      </c>
      <c r="D514" s="0" t="inlineStr">
        <is>
          <t>NULL</t>
        </is>
      </c>
      <c r="E514" s="0" t="inlineStr">
        <is>
          <t>NULL</t>
        </is>
      </c>
      <c r="F514" s="0" t="inlineStr">
        <is>
          <t>NULL</t>
        </is>
      </c>
      <c r="G514" s="0" t="inlineStr">
        <is>
          <t>NULL</t>
        </is>
      </c>
      <c r="H514" s="0" t="inlineStr">
        <is>
          <t>NULL</t>
        </is>
      </c>
      <c r="I514" s="0" t="inlineStr">
        <is>
          <t>NO! 源备索引不一致源PK__info_dat__3213E83F477FF471备None</t>
        </is>
      </c>
      <c r="J514" s="0" t="inlineStr">
        <is>
          <t>NULL</t>
        </is>
      </c>
      <c r="K514" s="0" t="inlineStr">
        <is>
          <t>YES! 	 id列源备映射正确，源端为int None位	期望更改为int	实际备端为int None位</t>
        </is>
      </c>
    </row>
    <row r="515">
      <c r="B515" s="0" t="inlineStr">
        <is>
          <t>NULL</t>
        </is>
      </c>
      <c r="C515" s="0" t="inlineStr">
        <is>
          <t>NULL</t>
        </is>
      </c>
      <c r="D515" s="0" t="inlineStr">
        <is>
          <t>NULL</t>
        </is>
      </c>
      <c r="E515" s="0" t="inlineStr">
        <is>
          <t>NULL</t>
        </is>
      </c>
      <c r="F515" s="0" t="inlineStr">
        <is>
          <t>NULL</t>
        </is>
      </c>
      <c r="G515" s="0" t="inlineStr">
        <is>
          <t>NULL</t>
        </is>
      </c>
      <c r="H515" s="0" t="inlineStr">
        <is>
          <t>NULL</t>
        </is>
      </c>
      <c r="I515" s="0" t="inlineStr">
        <is>
          <t>NULL</t>
        </is>
      </c>
      <c r="J515" s="0" t="inlineStr">
        <is>
          <t>NULL</t>
        </is>
      </c>
      <c r="K515" s="0" t="inlineStr">
        <is>
          <t>no,len不存在</t>
        </is>
      </c>
    </row>
    <row r="516">
      <c r="B516" s="0" t="inlineStr">
        <is>
          <t>NULL</t>
        </is>
      </c>
      <c r="C516" s="0" t="inlineStr">
        <is>
          <t>NULL</t>
        </is>
      </c>
      <c r="D516" s="0" t="inlineStr">
        <is>
          <t>NULL</t>
        </is>
      </c>
      <c r="E516" s="0" t="inlineStr">
        <is>
          <t>NULL</t>
        </is>
      </c>
      <c r="F516" s="0" t="inlineStr">
        <is>
          <t>NULL</t>
        </is>
      </c>
      <c r="G516" s="0" t="inlineStr">
        <is>
          <t>NULL</t>
        </is>
      </c>
      <c r="H516" s="0" t="inlineStr">
        <is>
          <t>NULL</t>
        </is>
      </c>
      <c r="I516" s="0" t="inlineStr">
        <is>
          <t>NULL</t>
        </is>
      </c>
      <c r="J516" s="0" t="inlineStr">
        <is>
          <t>NULL</t>
        </is>
      </c>
      <c r="K516" s="0" t="inlineStr">
        <is>
          <t>YES! 	 c_dt2_1列源备映射正确，源端为datetime2 None位	期望更改为datetime(n)	实际备端为datetime None位</t>
        </is>
      </c>
    </row>
    <row r="517">
      <c r="B517" s="0" t="inlineStr">
        <is>
          <t>NULL</t>
        </is>
      </c>
      <c r="C517" s="0" t="inlineStr">
        <is>
          <t>NULL</t>
        </is>
      </c>
      <c r="D517" s="0" t="inlineStr">
        <is>
          <t>NULL</t>
        </is>
      </c>
      <c r="E517" s="0" t="inlineStr">
        <is>
          <t>NULL</t>
        </is>
      </c>
      <c r="F517" s="0" t="inlineStr">
        <is>
          <t>NULL</t>
        </is>
      </c>
      <c r="G517" s="0" t="inlineStr">
        <is>
          <t>NULL</t>
        </is>
      </c>
      <c r="H517" s="0" t="inlineStr">
        <is>
          <t>NULL</t>
        </is>
      </c>
      <c r="I517" s="0" t="inlineStr">
        <is>
          <t>NULL</t>
        </is>
      </c>
      <c r="J517" s="0" t="inlineStr">
        <is>
          <t>NULL</t>
        </is>
      </c>
      <c r="K517" s="0" t="inlineStr">
        <is>
          <t>YES! 	 c_dt2_2列源备映射正确，源端为datetime2 None位	期望更改为datetime(n)	实际备端为datetime None位</t>
        </is>
      </c>
    </row>
    <row r="518">
      <c r="B518" s="0" t="inlineStr">
        <is>
          <t>NULL</t>
        </is>
      </c>
      <c r="C518" s="0" t="inlineStr">
        <is>
          <t>NULL</t>
        </is>
      </c>
      <c r="D518" s="0" t="inlineStr">
        <is>
          <t>NULL</t>
        </is>
      </c>
      <c r="E518" s="0" t="inlineStr">
        <is>
          <t>NULL</t>
        </is>
      </c>
      <c r="F518" s="0" t="inlineStr">
        <is>
          <t>NULL</t>
        </is>
      </c>
      <c r="G518" s="0" t="inlineStr">
        <is>
          <t>NULL</t>
        </is>
      </c>
      <c r="H518" s="0" t="inlineStr">
        <is>
          <t>NULL</t>
        </is>
      </c>
      <c r="I518" s="0" t="inlineStr">
        <is>
          <t>NULL</t>
        </is>
      </c>
      <c r="J518" s="0" t="inlineStr">
        <is>
          <t>NULL</t>
        </is>
      </c>
      <c r="K518" s="0" t="inlineStr">
        <is>
          <t>YES! 	 c_dt2_3列源备映射正确，源端为datetime2 None位	期望更改为datetime(n)	实际备端为datetime None位</t>
        </is>
      </c>
    </row>
    <row r="519">
      <c r="B519" s="0" t="inlineStr">
        <is>
          <t>NULL</t>
        </is>
      </c>
      <c r="C519" s="0" t="inlineStr">
        <is>
          <t>NULL</t>
        </is>
      </c>
      <c r="D519" s="0" t="inlineStr">
        <is>
          <t>NULL</t>
        </is>
      </c>
      <c r="E519" s="0" t="inlineStr">
        <is>
          <t>NULL</t>
        </is>
      </c>
      <c r="F519" s="0" t="inlineStr">
        <is>
          <t>NULL</t>
        </is>
      </c>
      <c r="G519" s="0" t="inlineStr">
        <is>
          <t>NULL</t>
        </is>
      </c>
      <c r="H519" s="0" t="inlineStr">
        <is>
          <t>NULL</t>
        </is>
      </c>
      <c r="I519" s="0" t="inlineStr">
        <is>
          <t>NULL</t>
        </is>
      </c>
      <c r="J519" s="0" t="inlineStr">
        <is>
          <t>NULL</t>
        </is>
      </c>
      <c r="K519" s="0" t="inlineStr">
        <is>
          <t>YES! 	 c_dt2_4列源备映射正确，源端为datetime2 None位	期望更改为datetime(n)	实际备端为datetime None位</t>
        </is>
      </c>
    </row>
    <row r="520">
      <c r="B520" s="0" t="inlineStr">
        <is>
          <t>NULL</t>
        </is>
      </c>
      <c r="C520" s="0" t="inlineStr">
        <is>
          <t>NULL</t>
        </is>
      </c>
      <c r="D520" s="0" t="inlineStr">
        <is>
          <t>NULL</t>
        </is>
      </c>
      <c r="E520" s="0" t="inlineStr">
        <is>
          <t>NULL</t>
        </is>
      </c>
      <c r="F520" s="0" t="inlineStr">
        <is>
          <t>NULL</t>
        </is>
      </c>
      <c r="G520" s="0" t="inlineStr">
        <is>
          <t>NULL</t>
        </is>
      </c>
      <c r="H520" s="0" t="inlineStr">
        <is>
          <t>NULL</t>
        </is>
      </c>
      <c r="I520" s="0" t="inlineStr">
        <is>
          <t>NULL</t>
        </is>
      </c>
      <c r="J520" s="0" t="inlineStr">
        <is>
          <t>NULL</t>
        </is>
      </c>
      <c r="K520" s="0" t="inlineStr">
        <is>
          <t>YES! 	 c_dt2_5列源备映射正确，源端为datetime2 None位	期望更改为datetime(n)	实际备端为datetime None位</t>
        </is>
      </c>
    </row>
    <row r="521">
      <c r="B521" s="0" t="inlineStr">
        <is>
          <t>NULL</t>
        </is>
      </c>
      <c r="C521" s="0" t="inlineStr">
        <is>
          <t>NULL</t>
        </is>
      </c>
      <c r="D521" s="0" t="inlineStr">
        <is>
          <t>NULL</t>
        </is>
      </c>
      <c r="E521" s="0" t="inlineStr">
        <is>
          <t>NULL</t>
        </is>
      </c>
      <c r="F521" s="0" t="inlineStr">
        <is>
          <t>NULL</t>
        </is>
      </c>
      <c r="G521" s="0" t="inlineStr">
        <is>
          <t>NULL</t>
        </is>
      </c>
      <c r="H521" s="0" t="inlineStr">
        <is>
          <t>NULL</t>
        </is>
      </c>
      <c r="I521" s="0" t="inlineStr">
        <is>
          <t>NULL</t>
        </is>
      </c>
      <c r="J521" s="0" t="inlineStr">
        <is>
          <t>NULL</t>
        </is>
      </c>
      <c r="K521" s="0" t="inlineStr">
        <is>
          <t>YES! 	 c_dt2_6列源备映射正确，源端为datetime2 None位	期望更改为datetime(n)	实际备端为datetime None位</t>
        </is>
      </c>
    </row>
    <row r="522">
      <c r="B522" s="0" t="inlineStr">
        <is>
          <t>NULL</t>
        </is>
      </c>
      <c r="C522" s="0" t="inlineStr">
        <is>
          <t>NO!源None备NUL</t>
        </is>
      </c>
      <c r="D522" s="0" t="inlineStr">
        <is>
          <t>NULL</t>
        </is>
      </c>
      <c r="E522" s="0" t="inlineStr">
        <is>
          <t>NULL</t>
        </is>
      </c>
      <c r="F522" s="0" t="inlineStr">
        <is>
          <t>NULL</t>
        </is>
      </c>
      <c r="G522" s="0" t="inlineStr">
        <is>
          <t>NULL</t>
        </is>
      </c>
      <c r="H522" s="0" t="inlineStr">
        <is>
          <t>NULL</t>
        </is>
      </c>
      <c r="I522" s="0" t="inlineStr">
        <is>
          <t>NULL</t>
        </is>
      </c>
      <c r="J522" s="0" t="inlineStr">
        <is>
          <t>NULL</t>
        </is>
      </c>
      <c r="K522" s="0" t="inlineStr">
        <is>
          <t xml:space="preserve"> NO!  	 c_dt2列源备映射错误，源端为datetime2 None位	期望更改为datetime(n)	实际备端为varchar 136位</t>
        </is>
      </c>
    </row>
    <row r="523">
      <c r="K523" s="0" t="inlineStr">
        <is>
          <t>[0;31m NO! [0m 	  行数不同,源35行,备端空表</t>
        </is>
      </c>
    </row>
    <row r="524">
      <c r="A524" s="0" t="inlineStr">
        <is>
          <t>info_nchar_dml_batch1_pk_drp1</t>
        </is>
      </c>
      <c r="K524" s="0" t="inlineStr">
        <is>
          <t>[0;34m info_nchar_dml_batch1_pk_drp1 [0m源备字段数相同，源端字段：4 	备端字段4</t>
        </is>
      </c>
      <c r="W524" s="0" t="inlineStr">
        <is>
          <t>YES 源备无差异</t>
        </is>
      </c>
      <c r="X524" s="0">
        <f>A524</f>
        <v/>
      </c>
    </row>
    <row r="525">
      <c r="B525" s="0" t="inlineStr">
        <is>
          <t>NO! 主键不正常，源YES备None</t>
        </is>
      </c>
      <c r="C525" s="0" t="inlineStr">
        <is>
          <t>NULL</t>
        </is>
      </c>
      <c r="D525" s="0" t="inlineStr">
        <is>
          <t>NULL</t>
        </is>
      </c>
      <c r="E525" s="0" t="inlineStr">
        <is>
          <t>NULL</t>
        </is>
      </c>
      <c r="F525" s="0" t="inlineStr">
        <is>
          <t>NULL</t>
        </is>
      </c>
      <c r="G525" s="0" t="inlineStr">
        <is>
          <t>NULL</t>
        </is>
      </c>
      <c r="H525" s="0" t="inlineStr">
        <is>
          <t>NULL</t>
        </is>
      </c>
      <c r="I525" s="0" t="inlineStr">
        <is>
          <t>NO! 源备索引不一致源PK__info_nch__3213E83F969B1219备None</t>
        </is>
      </c>
      <c r="J525" s="0" t="inlineStr">
        <is>
          <t>NULL</t>
        </is>
      </c>
      <c r="K525" s="0" t="inlineStr">
        <is>
          <t>YES! 	 id列源备映射正确，源端为int None位	期望更改为int	实际备端为int None位</t>
        </is>
      </c>
    </row>
    <row r="526">
      <c r="B526" s="0" t="inlineStr">
        <is>
          <t>NULL</t>
        </is>
      </c>
      <c r="C526" s="0" t="inlineStr">
        <is>
          <t>NULL</t>
        </is>
      </c>
      <c r="D526" s="0" t="inlineStr">
        <is>
          <t>NULL</t>
        </is>
      </c>
      <c r="E526" s="0" t="inlineStr">
        <is>
          <t>NULL</t>
        </is>
      </c>
      <c r="F526" s="0" t="inlineStr">
        <is>
          <t>NULL</t>
        </is>
      </c>
      <c r="G526" s="0" t="inlineStr">
        <is>
          <t>NULL</t>
        </is>
      </c>
      <c r="H526" s="0" t="inlineStr">
        <is>
          <t>NULL</t>
        </is>
      </c>
      <c r="I526" s="0" t="inlineStr">
        <is>
          <t>NULL</t>
        </is>
      </c>
      <c r="J526" s="0" t="inlineStr">
        <is>
          <t>NULL</t>
        </is>
      </c>
      <c r="K526" s="0" t="inlineStr">
        <is>
          <t>YES! 	 c_nchar列源备映射正确，源端为nchar 2位	期望更改为char(n)	实际备端为char 4位</t>
        </is>
      </c>
    </row>
    <row r="527">
      <c r="B527" s="0" t="inlineStr">
        <is>
          <t>NULL</t>
        </is>
      </c>
      <c r="C527" s="0" t="inlineStr">
        <is>
          <t>NULL</t>
        </is>
      </c>
      <c r="D527" s="0" t="inlineStr">
        <is>
          <t>NULL</t>
        </is>
      </c>
      <c r="E527" s="0" t="inlineStr">
        <is>
          <t>NULL</t>
        </is>
      </c>
      <c r="F527" s="0" t="inlineStr">
        <is>
          <t>NULL</t>
        </is>
      </c>
      <c r="G527" s="0" t="inlineStr">
        <is>
          <t>NULL</t>
        </is>
      </c>
      <c r="H527" s="0" t="inlineStr">
        <is>
          <t>NULL</t>
        </is>
      </c>
      <c r="I527" s="0" t="inlineStr">
        <is>
          <t>NULL</t>
        </is>
      </c>
      <c r="J527" s="0" t="inlineStr">
        <is>
          <t>NULL</t>
        </is>
      </c>
      <c r="K527" s="0" t="inlineStr">
        <is>
          <t>YES! 	 c_nchar20列源备映射正确，源端为nchar 40位	期望更改为char(n)	实际备端为char 80位</t>
        </is>
      </c>
    </row>
    <row r="528">
      <c r="B528" s="0" t="inlineStr">
        <is>
          <t>NULL</t>
        </is>
      </c>
      <c r="C528" s="0" t="inlineStr">
        <is>
          <t>NULL</t>
        </is>
      </c>
      <c r="D528" s="0" t="inlineStr">
        <is>
          <t>NULL</t>
        </is>
      </c>
      <c r="E528" s="0" t="inlineStr">
        <is>
          <t>NULL</t>
        </is>
      </c>
      <c r="F528" s="0" t="inlineStr">
        <is>
          <t>NULL</t>
        </is>
      </c>
      <c r="G528" s="0" t="inlineStr">
        <is>
          <t>NULL</t>
        </is>
      </c>
      <c r="H528" s="0" t="inlineStr">
        <is>
          <t>NULL</t>
        </is>
      </c>
      <c r="I528" s="0" t="inlineStr">
        <is>
          <t>NULL</t>
        </is>
      </c>
      <c r="J528" s="0" t="inlineStr">
        <is>
          <t>NULL</t>
        </is>
      </c>
      <c r="K528" s="0" t="inlineStr">
        <is>
          <t xml:space="preserve"> NO!  	 c_nchar3500列源备映射错误，源端为nchar 7000位	期望更改为varchar(n)	实际备端为text 65535位</t>
        </is>
      </c>
    </row>
    <row r="529">
      <c r="K529" s="0" t="inlineStr">
        <is>
          <t>~ 空表</t>
        </is>
      </c>
    </row>
    <row r="530">
      <c r="A530" s="0" t="inlineStr">
        <is>
          <t>info_uniqueidentifier_dml_single_nopk_irp</t>
        </is>
      </c>
      <c r="K530" s="0" t="inlineStr">
        <is>
          <t>[0;34m info_uniqueidentifier_dml_single_nopk_irp [0m源备字段数相同，源端字段：2 	备端字段2</t>
        </is>
      </c>
      <c r="W530" s="0" t="inlineStr">
        <is>
          <t>YES 源备无差异</t>
        </is>
      </c>
      <c r="X530" s="0">
        <f>A530</f>
        <v/>
      </c>
    </row>
    <row r="531">
      <c r="B531" s="0" t="inlineStr">
        <is>
          <t>NULL</t>
        </is>
      </c>
      <c r="C531" s="0" t="inlineStr">
        <is>
          <t>NULL</t>
        </is>
      </c>
      <c r="D531" s="0" t="inlineStr">
        <is>
          <t>NULL</t>
        </is>
      </c>
      <c r="E531" s="0" t="inlineStr">
        <is>
          <t>NULL</t>
        </is>
      </c>
      <c r="F531" s="0" t="inlineStr">
        <is>
          <t>NULL</t>
        </is>
      </c>
      <c r="G531" s="0" t="inlineStr">
        <is>
          <t>NULL</t>
        </is>
      </c>
      <c r="H531" s="0" t="inlineStr">
        <is>
          <t>NULL</t>
        </is>
      </c>
      <c r="I531" s="0" t="inlineStr">
        <is>
          <t>NULL</t>
        </is>
      </c>
      <c r="J531" s="0" t="inlineStr">
        <is>
          <t>NULL</t>
        </is>
      </c>
      <c r="K531" s="0" t="inlineStr">
        <is>
          <t>YES! 	 id列源备映射正确，源端为int None位	期望更改为int	实际备端为int None位</t>
        </is>
      </c>
    </row>
    <row r="532">
      <c r="B532" s="0" t="inlineStr">
        <is>
          <t>NULL</t>
        </is>
      </c>
      <c r="C532" s="0" t="inlineStr">
        <is>
          <t>NO!源None备NUL</t>
        </is>
      </c>
      <c r="D532" s="0" t="inlineStr">
        <is>
          <t>NULL</t>
        </is>
      </c>
      <c r="E532" s="0" t="inlineStr">
        <is>
          <t>NULL</t>
        </is>
      </c>
      <c r="F532" s="0" t="inlineStr">
        <is>
          <t>NULL</t>
        </is>
      </c>
      <c r="G532" s="0" t="inlineStr">
        <is>
          <t>NULL</t>
        </is>
      </c>
      <c r="H532" s="0" t="inlineStr">
        <is>
          <t>NULL</t>
        </is>
      </c>
      <c r="I532" s="0" t="inlineStr">
        <is>
          <t>NULL</t>
        </is>
      </c>
      <c r="J532" s="0" t="inlineStr">
        <is>
          <t>NULL</t>
        </is>
      </c>
      <c r="K532" s="0" t="inlineStr">
        <is>
          <t>[0;32m YES! [0m 	 c_uniqueidentifier列源备映射正确，源端为uniqueidentifier None位	期望更改为VARCHAR(100)	实际备端为varchar 400位	位数精度不存在，通过长度比较</t>
        </is>
      </c>
    </row>
    <row r="533">
      <c r="A533" s="0" t="inlineStr">
        <is>
          <t>info_nchar_dml_batch1_pk_drp2</t>
        </is>
      </c>
      <c r="K533" s="0" t="inlineStr">
        <is>
          <t>[0;34m info_nchar_dml_batch1_pk_drp2 [0m源备字段数相同，源端字段：4 	备端字段4</t>
        </is>
      </c>
      <c r="W533" s="0" t="inlineStr">
        <is>
          <t>YES 源备无差异</t>
        </is>
      </c>
      <c r="X533" s="0">
        <f>A533</f>
        <v/>
      </c>
    </row>
    <row r="534">
      <c r="B534" s="0" t="inlineStr">
        <is>
          <t>NO! 主键不正常，源YES备None</t>
        </is>
      </c>
      <c r="C534" s="0" t="inlineStr">
        <is>
          <t>NULL</t>
        </is>
      </c>
      <c r="D534" s="0" t="inlineStr">
        <is>
          <t>NULL</t>
        </is>
      </c>
      <c r="E534" s="0" t="inlineStr">
        <is>
          <t>NULL</t>
        </is>
      </c>
      <c r="F534" s="0" t="inlineStr">
        <is>
          <t>NULL</t>
        </is>
      </c>
      <c r="G534" s="0" t="inlineStr">
        <is>
          <t>NULL</t>
        </is>
      </c>
      <c r="H534" s="0" t="inlineStr">
        <is>
          <t>NULL</t>
        </is>
      </c>
      <c r="I534" s="0" t="inlineStr">
        <is>
          <t>NO! 源备索引不一致源PK__info_nch__3213E83F73BB4B53备None</t>
        </is>
      </c>
      <c r="J534" s="0" t="inlineStr">
        <is>
          <t>NULL</t>
        </is>
      </c>
      <c r="K534" s="0" t="inlineStr">
        <is>
          <t>YES! 	 id列源备映射正确，源端为int None位	期望更改为int	实际备端为int None位</t>
        </is>
      </c>
    </row>
    <row r="535">
      <c r="B535" s="0" t="inlineStr">
        <is>
          <t>NULL</t>
        </is>
      </c>
      <c r="C535" s="0" t="inlineStr">
        <is>
          <t>NULL</t>
        </is>
      </c>
      <c r="D535" s="0" t="inlineStr">
        <is>
          <t>NULL</t>
        </is>
      </c>
      <c r="E535" s="0" t="inlineStr">
        <is>
          <t>NULL</t>
        </is>
      </c>
      <c r="F535" s="0" t="inlineStr">
        <is>
          <t>NULL</t>
        </is>
      </c>
      <c r="G535" s="0" t="inlineStr">
        <is>
          <t>NULL</t>
        </is>
      </c>
      <c r="H535" s="0" t="inlineStr">
        <is>
          <t>NULL</t>
        </is>
      </c>
      <c r="I535" s="0" t="inlineStr">
        <is>
          <t>NULL</t>
        </is>
      </c>
      <c r="J535" s="0" t="inlineStr">
        <is>
          <t>NULL</t>
        </is>
      </c>
      <c r="K535" s="0" t="inlineStr">
        <is>
          <t>YES! 	 c_nchar列源备映射正确，源端为nchar 2位	期望更改为char(n)	实际备端为char 4位</t>
        </is>
      </c>
    </row>
    <row r="536">
      <c r="B536" s="0" t="inlineStr">
        <is>
          <t>NULL</t>
        </is>
      </c>
      <c r="C536" s="0" t="inlineStr">
        <is>
          <t>NULL</t>
        </is>
      </c>
      <c r="D536" s="0" t="inlineStr">
        <is>
          <t>NULL</t>
        </is>
      </c>
      <c r="E536" s="0" t="inlineStr">
        <is>
          <t>NULL</t>
        </is>
      </c>
      <c r="F536" s="0" t="inlineStr">
        <is>
          <t>NULL</t>
        </is>
      </c>
      <c r="G536" s="0" t="inlineStr">
        <is>
          <t>NULL</t>
        </is>
      </c>
      <c r="H536" s="0" t="inlineStr">
        <is>
          <t>NULL</t>
        </is>
      </c>
      <c r="I536" s="0" t="inlineStr">
        <is>
          <t>NULL</t>
        </is>
      </c>
      <c r="J536" s="0" t="inlineStr">
        <is>
          <t>NULL</t>
        </is>
      </c>
      <c r="K536" s="0" t="inlineStr">
        <is>
          <t>YES! 	 c_nchar20列源备映射正确，源端为nchar 40位	期望更改为char(n)	实际备端为char 80位</t>
        </is>
      </c>
    </row>
    <row r="537">
      <c r="B537" s="0" t="inlineStr">
        <is>
          <t>NULL</t>
        </is>
      </c>
      <c r="C537" s="0" t="inlineStr">
        <is>
          <t>NULL</t>
        </is>
      </c>
      <c r="D537" s="0" t="inlineStr">
        <is>
          <t>NULL</t>
        </is>
      </c>
      <c r="E537" s="0" t="inlineStr">
        <is>
          <t>NULL</t>
        </is>
      </c>
      <c r="F537" s="0" t="inlineStr">
        <is>
          <t>NULL</t>
        </is>
      </c>
      <c r="G537" s="0" t="inlineStr">
        <is>
          <t>NULL</t>
        </is>
      </c>
      <c r="H537" s="0" t="inlineStr">
        <is>
          <t>NULL</t>
        </is>
      </c>
      <c r="I537" s="0" t="inlineStr">
        <is>
          <t>NULL</t>
        </is>
      </c>
      <c r="J537" s="0" t="inlineStr">
        <is>
          <t>NULL</t>
        </is>
      </c>
      <c r="K537" s="0" t="inlineStr">
        <is>
          <t xml:space="preserve"> NO!  	 c_nchar3500列源备映射错误，源端为nchar 7000位	期望更改为varchar(n)	实际备端为text 65535位</t>
        </is>
      </c>
    </row>
    <row r="538">
      <c r="K538" s="0" t="inlineStr">
        <is>
          <t>[0;31m NO! [0m 	  行数不同,源2行,备端空表</t>
        </is>
      </c>
    </row>
    <row r="539">
      <c r="A539" s="0" t="inlineStr">
        <is>
          <t>info_text_dml_single_nopk_irp</t>
        </is>
      </c>
      <c r="K539" s="0" t="inlineStr">
        <is>
          <t>[0;34m info_text_dml_single_nopk_irp [0m源备字段数相同，源端字段：3 	备端字段3</t>
        </is>
      </c>
      <c r="W539" s="0" t="inlineStr">
        <is>
          <t>YES 源备无差异</t>
        </is>
      </c>
      <c r="X539" s="0">
        <f>A539</f>
        <v/>
      </c>
    </row>
    <row r="540">
      <c r="B540" s="0" t="inlineStr">
        <is>
          <t>NULL</t>
        </is>
      </c>
      <c r="C540" s="0" t="inlineStr">
        <is>
          <t>NULL</t>
        </is>
      </c>
      <c r="D540" s="0" t="inlineStr">
        <is>
          <t>NULL</t>
        </is>
      </c>
      <c r="E540" s="0" t="inlineStr">
        <is>
          <t>NULL</t>
        </is>
      </c>
      <c r="F540" s="0" t="inlineStr">
        <is>
          <t>NULL</t>
        </is>
      </c>
      <c r="G540" s="0" t="inlineStr">
        <is>
          <t>NULL</t>
        </is>
      </c>
      <c r="H540" s="0" t="inlineStr">
        <is>
          <t>NULL</t>
        </is>
      </c>
      <c r="I540" s="0" t="inlineStr">
        <is>
          <t>NULL</t>
        </is>
      </c>
      <c r="J540" s="0" t="inlineStr">
        <is>
          <t>NULL</t>
        </is>
      </c>
      <c r="K540" s="0" t="inlineStr">
        <is>
          <t>YES! 	 id列源备映射正确，源端为int None位	期望更改为int	实际备端为int None位</t>
        </is>
      </c>
    </row>
    <row r="541">
      <c r="B541" s="0" t="inlineStr">
        <is>
          <t>NULL</t>
        </is>
      </c>
      <c r="C541" s="0" t="inlineStr">
        <is>
          <t>NULL</t>
        </is>
      </c>
      <c r="D541" s="0" t="inlineStr">
        <is>
          <t>NULL</t>
        </is>
      </c>
      <c r="E541" s="0" t="inlineStr">
        <is>
          <t>NULL</t>
        </is>
      </c>
      <c r="F541" s="0" t="inlineStr">
        <is>
          <t>NULL</t>
        </is>
      </c>
      <c r="G541" s="0" t="inlineStr">
        <is>
          <t>NULL</t>
        </is>
      </c>
      <c r="H541" s="0" t="inlineStr">
        <is>
          <t>NULL</t>
        </is>
      </c>
      <c r="I541" s="0" t="inlineStr">
        <is>
          <t>NULL</t>
        </is>
      </c>
      <c r="J541" s="0" t="inlineStr">
        <is>
          <t>NULL</t>
        </is>
      </c>
      <c r="K541" s="0" t="inlineStr">
        <is>
          <t>YES! 	 c_text列源备映射正确，源端为text 2147483647位	期望更改为longtext	实际备端为longtext 4294967295位</t>
        </is>
      </c>
    </row>
    <row r="542">
      <c r="B542" s="0" t="inlineStr">
        <is>
          <t>NULL</t>
        </is>
      </c>
      <c r="C542" s="0" t="inlineStr">
        <is>
          <t>NULL</t>
        </is>
      </c>
      <c r="D542" s="0" t="inlineStr">
        <is>
          <t>NULL</t>
        </is>
      </c>
      <c r="E542" s="0" t="inlineStr">
        <is>
          <t>NULL</t>
        </is>
      </c>
      <c r="F542" s="0" t="inlineStr">
        <is>
          <t>NULL</t>
        </is>
      </c>
      <c r="G542" s="0" t="inlineStr">
        <is>
          <t>NULL</t>
        </is>
      </c>
      <c r="H542" s="0" t="inlineStr">
        <is>
          <t>NULL</t>
        </is>
      </c>
      <c r="I542" s="0" t="inlineStr">
        <is>
          <t>NULL</t>
        </is>
      </c>
      <c r="J542" s="0" t="inlineStr">
        <is>
          <t>NULL</t>
        </is>
      </c>
      <c r="K542" s="0" t="inlineStr">
        <is>
          <t>YES! 	 c_ntext列源备映射正确，源端为ntext 2147483646位	期望更改为longtext	实际备端为longtext 4294967295位</t>
        </is>
      </c>
    </row>
    <row r="543">
      <c r="K543" s="0" t="inlineStr">
        <is>
          <t>[0;31m NO! [0m 	  行数不同,源5行,备端空表</t>
        </is>
      </c>
    </row>
    <row r="544">
      <c r="A544" s="0" t="inlineStr">
        <is>
          <t>info_uniqueidentifier_dml_single_nopk_urp</t>
        </is>
      </c>
      <c r="K544" s="0" t="inlineStr">
        <is>
          <t>[0;34m info_uniqueidentifier_dml_single_nopk_urp [0m源备字段数相同，源端字段：2 	备端字段2</t>
        </is>
      </c>
      <c r="W544" s="0" t="inlineStr">
        <is>
          <t>YES 源备无差异</t>
        </is>
      </c>
      <c r="X544" s="0">
        <f>A544</f>
        <v/>
      </c>
    </row>
    <row r="545">
      <c r="B545" s="0" t="inlineStr">
        <is>
          <t>NULL</t>
        </is>
      </c>
      <c r="C545" s="0" t="inlineStr">
        <is>
          <t>NULL</t>
        </is>
      </c>
      <c r="D545" s="0" t="inlineStr">
        <is>
          <t>NULL</t>
        </is>
      </c>
      <c r="E545" s="0" t="inlineStr">
        <is>
          <t>NULL</t>
        </is>
      </c>
      <c r="F545" s="0" t="inlineStr">
        <is>
          <t>NULL</t>
        </is>
      </c>
      <c r="G545" s="0" t="inlineStr">
        <is>
          <t>NULL</t>
        </is>
      </c>
      <c r="H545" s="0" t="inlineStr">
        <is>
          <t>NULL</t>
        </is>
      </c>
      <c r="I545" s="0" t="inlineStr">
        <is>
          <t>NULL</t>
        </is>
      </c>
      <c r="J545" s="0" t="inlineStr">
        <is>
          <t>NULL</t>
        </is>
      </c>
      <c r="K545" s="0" t="inlineStr">
        <is>
          <t>YES! 	 id列源备映射正确，源端为int None位	期望更改为int	实际备端为int None位</t>
        </is>
      </c>
    </row>
    <row r="546">
      <c r="B546" s="0" t="inlineStr">
        <is>
          <t>NULL</t>
        </is>
      </c>
      <c r="C546" s="0" t="inlineStr">
        <is>
          <t>NO!源None备NUL</t>
        </is>
      </c>
      <c r="D546" s="0" t="inlineStr">
        <is>
          <t>NULL</t>
        </is>
      </c>
      <c r="E546" s="0" t="inlineStr">
        <is>
          <t>NULL</t>
        </is>
      </c>
      <c r="F546" s="0" t="inlineStr">
        <is>
          <t>NULL</t>
        </is>
      </c>
      <c r="G546" s="0" t="inlineStr">
        <is>
          <t>NULL</t>
        </is>
      </c>
      <c r="H546" s="0" t="inlineStr">
        <is>
          <t>NULL</t>
        </is>
      </c>
      <c r="I546" s="0" t="inlineStr">
        <is>
          <t>NULL</t>
        </is>
      </c>
      <c r="J546" s="0" t="inlineStr">
        <is>
          <t>NULL</t>
        </is>
      </c>
      <c r="K546" s="0" t="inlineStr">
        <is>
          <t>[0;32m YES! [0m 	 c_uniqueidentifier列源备映射正确，源端为uniqueidentifier None位	期望更改为VARCHAR(100)	实际备端为varchar 400位	位数精度不存在，通过长度比较</t>
        </is>
      </c>
    </row>
    <row r="547">
      <c r="A547" s="0" t="inlineStr">
        <is>
          <t>info_time_dml_single_pk</t>
        </is>
      </c>
      <c r="K547" s="0" t="inlineStr">
        <is>
          <t>[0;34m info_time_dml_single_pk [0m源备字段数相同，源端字段：9 	备端字段9</t>
        </is>
      </c>
      <c r="W547" s="0" t="inlineStr">
        <is>
          <t>YES 源备无差异</t>
        </is>
      </c>
      <c r="X547" s="0">
        <f>A547</f>
        <v/>
      </c>
    </row>
    <row r="548">
      <c r="B548" s="0" t="inlineStr">
        <is>
          <t>NO! 主键不正常，源YES备None</t>
        </is>
      </c>
      <c r="C548" s="0" t="inlineStr">
        <is>
          <t>NULL</t>
        </is>
      </c>
      <c r="D548" s="0" t="inlineStr">
        <is>
          <t>NULL</t>
        </is>
      </c>
      <c r="E548" s="0" t="inlineStr">
        <is>
          <t>NULL</t>
        </is>
      </c>
      <c r="F548" s="0" t="inlineStr">
        <is>
          <t>NULL</t>
        </is>
      </c>
      <c r="G548" s="0" t="inlineStr">
        <is>
          <t>NULL</t>
        </is>
      </c>
      <c r="H548" s="0" t="inlineStr">
        <is>
          <t>NULL</t>
        </is>
      </c>
      <c r="I548" s="0" t="inlineStr">
        <is>
          <t>NO! 源备索引不一致源PK__info_tim__3213E83F4F90D1A9备None</t>
        </is>
      </c>
      <c r="J548" s="0" t="inlineStr">
        <is>
          <t>NULL</t>
        </is>
      </c>
      <c r="K548" s="0" t="inlineStr">
        <is>
          <t>YES! 	 id列源备映射正确，源端为int None位	期望更改为int	实际备端为int None位</t>
        </is>
      </c>
    </row>
    <row r="549">
      <c r="B549" s="0" t="inlineStr">
        <is>
          <t>NULL</t>
        </is>
      </c>
      <c r="C549" s="0" t="inlineStr">
        <is>
          <t>NULL</t>
        </is>
      </c>
      <c r="D549" s="0" t="inlineStr">
        <is>
          <t>NULL</t>
        </is>
      </c>
      <c r="E549" s="0" t="inlineStr">
        <is>
          <t>NULL</t>
        </is>
      </c>
      <c r="F549" s="0" t="inlineStr">
        <is>
          <t>NULL</t>
        </is>
      </c>
      <c r="G549" s="0" t="inlineStr">
        <is>
          <t>NULL</t>
        </is>
      </c>
      <c r="H549" s="0" t="inlineStr">
        <is>
          <t>NULL</t>
        </is>
      </c>
      <c r="I549" s="0" t="inlineStr">
        <is>
          <t>NULL</t>
        </is>
      </c>
      <c r="J549" s="0" t="inlineStr">
        <is>
          <t>NULL</t>
        </is>
      </c>
      <c r="K549" s="0" t="inlineStr">
        <is>
          <t>[0;32m YES! [0m 	 c_time0列源备映射正确，源端为time None位	期望更改为varchar(20)	实际备端为varchar 80位	位数精度不存在，通过长度比较</t>
        </is>
      </c>
    </row>
    <row r="550">
      <c r="B550" s="0" t="inlineStr">
        <is>
          <t>NULL</t>
        </is>
      </c>
      <c r="C550" s="0" t="inlineStr">
        <is>
          <t>NULL</t>
        </is>
      </c>
      <c r="D550" s="0" t="inlineStr">
        <is>
          <t>NULL</t>
        </is>
      </c>
      <c r="E550" s="0" t="inlineStr">
        <is>
          <t>NULL</t>
        </is>
      </c>
      <c r="F550" s="0" t="inlineStr">
        <is>
          <t>NULL</t>
        </is>
      </c>
      <c r="G550" s="0" t="inlineStr">
        <is>
          <t>NULL</t>
        </is>
      </c>
      <c r="H550" s="0" t="inlineStr">
        <is>
          <t>NULL</t>
        </is>
      </c>
      <c r="I550" s="0" t="inlineStr">
        <is>
          <t>NULL</t>
        </is>
      </c>
      <c r="J550" s="0" t="inlineStr">
        <is>
          <t>NULL</t>
        </is>
      </c>
      <c r="K550" s="0" t="inlineStr">
        <is>
          <t>[0;32m YES! [0m 	 c_time1列源备映射正确，源端为time None位	期望更改为varchar(20)	实际备端为varchar 80位	位数精度不存在，通过长度比较</t>
        </is>
      </c>
    </row>
    <row r="551">
      <c r="B551" s="0" t="inlineStr">
        <is>
          <t>NULL</t>
        </is>
      </c>
      <c r="C551" s="0" t="inlineStr">
        <is>
          <t>NULL</t>
        </is>
      </c>
      <c r="D551" s="0" t="inlineStr">
        <is>
          <t>NULL</t>
        </is>
      </c>
      <c r="E551" s="0" t="inlineStr">
        <is>
          <t>NULL</t>
        </is>
      </c>
      <c r="F551" s="0" t="inlineStr">
        <is>
          <t>NULL</t>
        </is>
      </c>
      <c r="G551" s="0" t="inlineStr">
        <is>
          <t>NULL</t>
        </is>
      </c>
      <c r="H551" s="0" t="inlineStr">
        <is>
          <t>NULL</t>
        </is>
      </c>
      <c r="I551" s="0" t="inlineStr">
        <is>
          <t>NULL</t>
        </is>
      </c>
      <c r="J551" s="0" t="inlineStr">
        <is>
          <t>NULL</t>
        </is>
      </c>
      <c r="K551" s="0" t="inlineStr">
        <is>
          <t>[0;32m YES! [0m 	 c_time2列源备映射正确，源端为time None位	期望更改为varchar(20)	实际备端为varchar 80位	位数精度不存在，通过长度比较</t>
        </is>
      </c>
    </row>
    <row r="552">
      <c r="B552" s="0" t="inlineStr">
        <is>
          <t>NULL</t>
        </is>
      </c>
      <c r="C552" s="0" t="inlineStr">
        <is>
          <t>NULL</t>
        </is>
      </c>
      <c r="D552" s="0" t="inlineStr">
        <is>
          <t>NULL</t>
        </is>
      </c>
      <c r="E552" s="0" t="inlineStr">
        <is>
          <t>NULL</t>
        </is>
      </c>
      <c r="F552" s="0" t="inlineStr">
        <is>
          <t>NULL</t>
        </is>
      </c>
      <c r="G552" s="0" t="inlineStr">
        <is>
          <t>NULL</t>
        </is>
      </c>
      <c r="H552" s="0" t="inlineStr">
        <is>
          <t>NULL</t>
        </is>
      </c>
      <c r="I552" s="0" t="inlineStr">
        <is>
          <t>NULL</t>
        </is>
      </c>
      <c r="J552" s="0" t="inlineStr">
        <is>
          <t>NULL</t>
        </is>
      </c>
      <c r="K552" s="0" t="inlineStr">
        <is>
          <t>[0;32m YES! [0m 	 c_time3列源备映射正确，源端为time None位	期望更改为varchar(20)	实际备端为varchar 80位	位数精度不存在，通过长度比较</t>
        </is>
      </c>
    </row>
    <row r="553">
      <c r="B553" s="0" t="inlineStr">
        <is>
          <t>NULL</t>
        </is>
      </c>
      <c r="C553" s="0" t="inlineStr">
        <is>
          <t>NULL</t>
        </is>
      </c>
      <c r="D553" s="0" t="inlineStr">
        <is>
          <t>NULL</t>
        </is>
      </c>
      <c r="E553" s="0" t="inlineStr">
        <is>
          <t>NULL</t>
        </is>
      </c>
      <c r="F553" s="0" t="inlineStr">
        <is>
          <t>NULL</t>
        </is>
      </c>
      <c r="G553" s="0" t="inlineStr">
        <is>
          <t>NULL</t>
        </is>
      </c>
      <c r="H553" s="0" t="inlineStr">
        <is>
          <t>NULL</t>
        </is>
      </c>
      <c r="I553" s="0" t="inlineStr">
        <is>
          <t>NULL</t>
        </is>
      </c>
      <c r="J553" s="0" t="inlineStr">
        <is>
          <t>NULL</t>
        </is>
      </c>
      <c r="K553" s="0" t="inlineStr">
        <is>
          <t>[0;32m YES! [0m 	 c_time4列源备映射正确，源端为time None位	期望更改为varchar(20)	实际备端为varchar 80位	位数精度不存在，通过长度比较</t>
        </is>
      </c>
    </row>
    <row r="554">
      <c r="B554" s="0" t="inlineStr">
        <is>
          <t>NULL</t>
        </is>
      </c>
      <c r="C554" s="0" t="inlineStr">
        <is>
          <t>NULL</t>
        </is>
      </c>
      <c r="D554" s="0" t="inlineStr">
        <is>
          <t>NULL</t>
        </is>
      </c>
      <c r="E554" s="0" t="inlineStr">
        <is>
          <t>NULL</t>
        </is>
      </c>
      <c r="F554" s="0" t="inlineStr">
        <is>
          <t>NULL</t>
        </is>
      </c>
      <c r="G554" s="0" t="inlineStr">
        <is>
          <t>NULL</t>
        </is>
      </c>
      <c r="H554" s="0" t="inlineStr">
        <is>
          <t>NULL</t>
        </is>
      </c>
      <c r="I554" s="0" t="inlineStr">
        <is>
          <t>NULL</t>
        </is>
      </c>
      <c r="J554" s="0" t="inlineStr">
        <is>
          <t>NULL</t>
        </is>
      </c>
      <c r="K554" s="0" t="inlineStr">
        <is>
          <t>[0;32m YES! [0m 	 c_time5列源备映射正确，源端为time None位	期望更改为varchar(20)	实际备端为varchar 80位	位数精度不存在，通过长度比较</t>
        </is>
      </c>
    </row>
    <row r="555">
      <c r="B555" s="0" t="inlineStr">
        <is>
          <t>NULL</t>
        </is>
      </c>
      <c r="C555" s="0" t="inlineStr">
        <is>
          <t>NULL</t>
        </is>
      </c>
      <c r="D555" s="0" t="inlineStr">
        <is>
          <t>NULL</t>
        </is>
      </c>
      <c r="E555" s="0" t="inlineStr">
        <is>
          <t>NULL</t>
        </is>
      </c>
      <c r="F555" s="0" t="inlineStr">
        <is>
          <t>NULL</t>
        </is>
      </c>
      <c r="G555" s="0" t="inlineStr">
        <is>
          <t>NULL</t>
        </is>
      </c>
      <c r="H555" s="0" t="inlineStr">
        <is>
          <t>NULL</t>
        </is>
      </c>
      <c r="I555" s="0" t="inlineStr">
        <is>
          <t>NULL</t>
        </is>
      </c>
      <c r="J555" s="0" t="inlineStr">
        <is>
          <t>NULL</t>
        </is>
      </c>
      <c r="K555" s="0" t="inlineStr">
        <is>
          <t>[0;32m YES! [0m 	 c_time6列源备映射正确，源端为time None位	期望更改为varchar(20)	实际备端为varchar 80位	位数精度不存在，通过长度比较</t>
        </is>
      </c>
    </row>
    <row r="556">
      <c r="B556" s="0" t="inlineStr">
        <is>
          <t>NULL</t>
        </is>
      </c>
      <c r="C556" s="0" t="inlineStr">
        <is>
          <t>NO!源None备NUL</t>
        </is>
      </c>
      <c r="D556" s="0" t="inlineStr">
        <is>
          <t>NULL</t>
        </is>
      </c>
      <c r="E556" s="0" t="inlineStr">
        <is>
          <t>NULL</t>
        </is>
      </c>
      <c r="F556" s="0" t="inlineStr">
        <is>
          <t>NULL</t>
        </is>
      </c>
      <c r="G556" s="0" t="inlineStr">
        <is>
          <t>NULL</t>
        </is>
      </c>
      <c r="H556" s="0" t="inlineStr">
        <is>
          <t>NULL</t>
        </is>
      </c>
      <c r="I556" s="0" t="inlineStr">
        <is>
          <t>NULL</t>
        </is>
      </c>
      <c r="J556" s="0" t="inlineStr">
        <is>
          <t>NULL</t>
        </is>
      </c>
      <c r="K556" s="0" t="inlineStr">
        <is>
          <t>[0;32m YES! [0m 	 c_time列源备映射正确，源端为time None位	期望更改为varchar(20)	实际备端为varchar 80位	位数精度不存在，通过长度比较</t>
        </is>
      </c>
    </row>
    <row r="557">
      <c r="K557" s="0" t="inlineStr">
        <is>
          <t>[0;31m NO! [0m 	  行数不同,源2行,备端空表</t>
        </is>
      </c>
    </row>
    <row r="558">
      <c r="A558" s="0" t="inlineStr">
        <is>
          <t>info_text_dml_single_nopk_drp</t>
        </is>
      </c>
      <c r="K558" s="0" t="inlineStr">
        <is>
          <t>[0;34m info_text_dml_single_nopk_drp [0m源备字段数相同，源端字段：3 	备端字段3</t>
        </is>
      </c>
      <c r="W558" s="0" t="inlineStr">
        <is>
          <t>YES 源备无差异</t>
        </is>
      </c>
      <c r="X558" s="0">
        <f>A558</f>
        <v/>
      </c>
    </row>
    <row r="559">
      <c r="B559" s="0" t="inlineStr">
        <is>
          <t>NULL</t>
        </is>
      </c>
      <c r="C559" s="0" t="inlineStr">
        <is>
          <t>NULL</t>
        </is>
      </c>
      <c r="D559" s="0" t="inlineStr">
        <is>
          <t>NULL</t>
        </is>
      </c>
      <c r="E559" s="0" t="inlineStr">
        <is>
          <t>NULL</t>
        </is>
      </c>
      <c r="F559" s="0" t="inlineStr">
        <is>
          <t>NULL</t>
        </is>
      </c>
      <c r="G559" s="0" t="inlineStr">
        <is>
          <t>NULL</t>
        </is>
      </c>
      <c r="H559" s="0" t="inlineStr">
        <is>
          <t>NULL</t>
        </is>
      </c>
      <c r="I559" s="0" t="inlineStr">
        <is>
          <t>NULL</t>
        </is>
      </c>
      <c r="J559" s="0" t="inlineStr">
        <is>
          <t>NULL</t>
        </is>
      </c>
      <c r="K559" s="0" t="inlineStr">
        <is>
          <t>YES! 	 id列源备映射正确，源端为int None位	期望更改为int	实际备端为int None位</t>
        </is>
      </c>
    </row>
    <row r="560">
      <c r="B560" s="0" t="inlineStr">
        <is>
          <t>NULL</t>
        </is>
      </c>
      <c r="C560" s="0" t="inlineStr">
        <is>
          <t>NULL</t>
        </is>
      </c>
      <c r="D560" s="0" t="inlineStr">
        <is>
          <t>NULL</t>
        </is>
      </c>
      <c r="E560" s="0" t="inlineStr">
        <is>
          <t>NULL</t>
        </is>
      </c>
      <c r="F560" s="0" t="inlineStr">
        <is>
          <t>NULL</t>
        </is>
      </c>
      <c r="G560" s="0" t="inlineStr">
        <is>
          <t>NULL</t>
        </is>
      </c>
      <c r="H560" s="0" t="inlineStr">
        <is>
          <t>NULL</t>
        </is>
      </c>
      <c r="I560" s="0" t="inlineStr">
        <is>
          <t>NULL</t>
        </is>
      </c>
      <c r="J560" s="0" t="inlineStr">
        <is>
          <t>NULL</t>
        </is>
      </c>
      <c r="K560" s="0" t="inlineStr">
        <is>
          <t>YES! 	 c_text列源备映射正确，源端为text 2147483647位	期望更改为longtext	实际备端为longtext 4294967295位</t>
        </is>
      </c>
    </row>
    <row r="561">
      <c r="B561" s="0" t="inlineStr">
        <is>
          <t>NULL</t>
        </is>
      </c>
      <c r="C561" s="0" t="inlineStr">
        <is>
          <t>NULL</t>
        </is>
      </c>
      <c r="D561" s="0" t="inlineStr">
        <is>
          <t>NULL</t>
        </is>
      </c>
      <c r="E561" s="0" t="inlineStr">
        <is>
          <t>NULL</t>
        </is>
      </c>
      <c r="F561" s="0" t="inlineStr">
        <is>
          <t>NULL</t>
        </is>
      </c>
      <c r="G561" s="0" t="inlineStr">
        <is>
          <t>NULL</t>
        </is>
      </c>
      <c r="H561" s="0" t="inlineStr">
        <is>
          <t>NULL</t>
        </is>
      </c>
      <c r="I561" s="0" t="inlineStr">
        <is>
          <t>NULL</t>
        </is>
      </c>
      <c r="J561" s="0" t="inlineStr">
        <is>
          <t>NULL</t>
        </is>
      </c>
      <c r="K561" s="0" t="inlineStr">
        <is>
          <t>YES! 	 c_ntext列源备映射正确，源端为ntext 2147483646位	期望更改为longtext	实际备端为longtext 4294967295位</t>
        </is>
      </c>
    </row>
    <row r="562">
      <c r="A562" s="0" t="inlineStr">
        <is>
          <t>info_text_dml_single_nopk_urp</t>
        </is>
      </c>
      <c r="K562" s="0" t="inlineStr">
        <is>
          <t>[0;34m info_text_dml_single_nopk_urp [0m源备字段数相同，源端字段：3 	备端字段3</t>
        </is>
      </c>
      <c r="W562" s="0" t="inlineStr">
        <is>
          <t>YES 源备无差异</t>
        </is>
      </c>
      <c r="X562" s="0">
        <f>A562</f>
        <v/>
      </c>
    </row>
    <row r="563">
      <c r="B563" s="0" t="inlineStr">
        <is>
          <t>NULL</t>
        </is>
      </c>
      <c r="C563" s="0" t="inlineStr">
        <is>
          <t>NULL</t>
        </is>
      </c>
      <c r="D563" s="0" t="inlineStr">
        <is>
          <t>NULL</t>
        </is>
      </c>
      <c r="E563" s="0" t="inlineStr">
        <is>
          <t>NULL</t>
        </is>
      </c>
      <c r="F563" s="0" t="inlineStr">
        <is>
          <t>NULL</t>
        </is>
      </c>
      <c r="G563" s="0" t="inlineStr">
        <is>
          <t>NULL</t>
        </is>
      </c>
      <c r="H563" s="0" t="inlineStr">
        <is>
          <t>NULL</t>
        </is>
      </c>
      <c r="I563" s="0" t="inlineStr">
        <is>
          <t>NULL</t>
        </is>
      </c>
      <c r="J563" s="0" t="inlineStr">
        <is>
          <t>NULL</t>
        </is>
      </c>
      <c r="K563" s="0" t="inlineStr">
        <is>
          <t>YES! 	 id列源备映射正确，源端为int None位	期望更改为int	实际备端为int None位</t>
        </is>
      </c>
    </row>
    <row r="564">
      <c r="B564" s="0" t="inlineStr">
        <is>
          <t>NULL</t>
        </is>
      </c>
      <c r="C564" s="0" t="inlineStr">
        <is>
          <t>NULL</t>
        </is>
      </c>
      <c r="D564" s="0" t="inlineStr">
        <is>
          <t>NULL</t>
        </is>
      </c>
      <c r="E564" s="0" t="inlineStr">
        <is>
          <t>NULL</t>
        </is>
      </c>
      <c r="F564" s="0" t="inlineStr">
        <is>
          <t>NULL</t>
        </is>
      </c>
      <c r="G564" s="0" t="inlineStr">
        <is>
          <t>NULL</t>
        </is>
      </c>
      <c r="H564" s="0" t="inlineStr">
        <is>
          <t>NULL</t>
        </is>
      </c>
      <c r="I564" s="0" t="inlineStr">
        <is>
          <t>NULL</t>
        </is>
      </c>
      <c r="J564" s="0" t="inlineStr">
        <is>
          <t>NULL</t>
        </is>
      </c>
      <c r="K564" s="0" t="inlineStr">
        <is>
          <t>YES! 	 c_text列源备映射正确，源端为text 2147483647位	期望更改为longtext	实际备端为longtext 4294967295位</t>
        </is>
      </c>
    </row>
    <row r="565">
      <c r="B565" s="0" t="inlineStr">
        <is>
          <t>NULL</t>
        </is>
      </c>
      <c r="C565" s="0" t="inlineStr">
        <is>
          <t>NULL</t>
        </is>
      </c>
      <c r="D565" s="0" t="inlineStr">
        <is>
          <t>NULL</t>
        </is>
      </c>
      <c r="E565" s="0" t="inlineStr">
        <is>
          <t>NULL</t>
        </is>
      </c>
      <c r="F565" s="0" t="inlineStr">
        <is>
          <t>NULL</t>
        </is>
      </c>
      <c r="G565" s="0" t="inlineStr">
        <is>
          <t>NULL</t>
        </is>
      </c>
      <c r="H565" s="0" t="inlineStr">
        <is>
          <t>NULL</t>
        </is>
      </c>
      <c r="I565" s="0" t="inlineStr">
        <is>
          <t>NULL</t>
        </is>
      </c>
      <c r="J565" s="0" t="inlineStr">
        <is>
          <t>NULL</t>
        </is>
      </c>
      <c r="K565" s="0" t="inlineStr">
        <is>
          <t>YES! 	 c_ntext列源备映射正确，源端为ntext 2147483646位	期望更改为longtext	实际备端为longtext 4294967295位</t>
        </is>
      </c>
    </row>
    <row r="566">
      <c r="A566" s="0" t="inlineStr">
        <is>
          <t>info_varcharmax_dml_single_nopk</t>
        </is>
      </c>
      <c r="K566" s="0" t="inlineStr">
        <is>
          <t>[0;34m info_varcharmax_dml_single_nopk [0m源备字段数相同，源端字段：3 	备端字段3</t>
        </is>
      </c>
      <c r="W566" s="0" t="inlineStr">
        <is>
          <t>YES 源备无差异</t>
        </is>
      </c>
      <c r="X566" s="0">
        <f>A566</f>
        <v/>
      </c>
    </row>
    <row r="567">
      <c r="B567" s="0" t="inlineStr">
        <is>
          <t>NULL</t>
        </is>
      </c>
      <c r="C567" s="0" t="inlineStr">
        <is>
          <t>NULL</t>
        </is>
      </c>
      <c r="D567" s="0" t="inlineStr">
        <is>
          <t>NULL</t>
        </is>
      </c>
      <c r="E567" s="0" t="inlineStr">
        <is>
          <t>NULL</t>
        </is>
      </c>
      <c r="F567" s="0" t="inlineStr">
        <is>
          <t>NULL</t>
        </is>
      </c>
      <c r="G567" s="0" t="inlineStr">
        <is>
          <t>NULL</t>
        </is>
      </c>
      <c r="H567" s="0" t="inlineStr">
        <is>
          <t>NULL</t>
        </is>
      </c>
      <c r="I567" s="0" t="inlineStr">
        <is>
          <t>NULL</t>
        </is>
      </c>
      <c r="J567" s="0" t="inlineStr">
        <is>
          <t>NULL</t>
        </is>
      </c>
      <c r="K567" s="0" t="inlineStr">
        <is>
          <t>YES! 	 id列源备映射正确，源端为int None位	期望更改为int	实际备端为int None位</t>
        </is>
      </c>
    </row>
    <row r="568">
      <c r="B568" s="0" t="inlineStr">
        <is>
          <t>NULL</t>
        </is>
      </c>
      <c r="C568" s="0" t="inlineStr">
        <is>
          <t>NULL</t>
        </is>
      </c>
      <c r="D568" s="0" t="inlineStr">
        <is>
          <t>NULL</t>
        </is>
      </c>
      <c r="E568" s="0" t="inlineStr">
        <is>
          <t>NULL</t>
        </is>
      </c>
      <c r="F568" s="0" t="inlineStr">
        <is>
          <t>NULL</t>
        </is>
      </c>
      <c r="G568" s="0" t="inlineStr">
        <is>
          <t>NULL</t>
        </is>
      </c>
      <c r="H568" s="0" t="inlineStr">
        <is>
          <t>NULL</t>
        </is>
      </c>
      <c r="I568" s="0" t="inlineStr">
        <is>
          <t>NULL</t>
        </is>
      </c>
      <c r="J568" s="0" t="inlineStr">
        <is>
          <t>NULL</t>
        </is>
      </c>
      <c r="K568" s="0" t="inlineStr">
        <is>
          <t>YES! 	 c_varchar_max列源备映射正确，源端为varchar -1位	期望更改为longtext	实际备端为longtext 4294967295位</t>
        </is>
      </c>
    </row>
    <row r="569">
      <c r="B569" s="0" t="inlineStr">
        <is>
          <t>NULL</t>
        </is>
      </c>
      <c r="C569" s="0" t="inlineStr">
        <is>
          <t>NULL</t>
        </is>
      </c>
      <c r="D569" s="0" t="inlineStr">
        <is>
          <t>NULL</t>
        </is>
      </c>
      <c r="E569" s="0" t="inlineStr">
        <is>
          <t>NULL</t>
        </is>
      </c>
      <c r="F569" s="0" t="inlineStr">
        <is>
          <t>NULL</t>
        </is>
      </c>
      <c r="G569" s="0" t="inlineStr">
        <is>
          <t>NULL</t>
        </is>
      </c>
      <c r="H569" s="0" t="inlineStr">
        <is>
          <t>NULL</t>
        </is>
      </c>
      <c r="I569" s="0" t="inlineStr">
        <is>
          <t>NULL</t>
        </is>
      </c>
      <c r="J569" s="0" t="inlineStr">
        <is>
          <t>NULL</t>
        </is>
      </c>
      <c r="K569" s="0" t="inlineStr">
        <is>
          <t>YES! 	 c_nvarchar_max列源备映射正确，源端为nvarchar -1位	期望更改为longtext	实际备端为longtext 4294967295位</t>
        </is>
      </c>
    </row>
    <row r="570">
      <c r="A570" s="0" t="inlineStr">
        <is>
          <t>info_uniqueidentifier_dml_single_nopk_drp</t>
        </is>
      </c>
      <c r="K570" s="0" t="inlineStr">
        <is>
          <t>[0;34m info_uniqueidentifier_dml_single_nopk_drp [0m源备字段数相同，源端字段：2 	备端字段2</t>
        </is>
      </c>
      <c r="W570" s="0" t="inlineStr">
        <is>
          <t>YES 源备无差异</t>
        </is>
      </c>
      <c r="X570" s="0">
        <f>A570</f>
        <v/>
      </c>
    </row>
    <row r="571">
      <c r="B571" s="0" t="inlineStr">
        <is>
          <t>NULL</t>
        </is>
      </c>
      <c r="C571" s="0" t="inlineStr">
        <is>
          <t>NULL</t>
        </is>
      </c>
      <c r="D571" s="0" t="inlineStr">
        <is>
          <t>NULL</t>
        </is>
      </c>
      <c r="E571" s="0" t="inlineStr">
        <is>
          <t>NULL</t>
        </is>
      </c>
      <c r="F571" s="0" t="inlineStr">
        <is>
          <t>NULL</t>
        </is>
      </c>
      <c r="G571" s="0" t="inlineStr">
        <is>
          <t>NULL</t>
        </is>
      </c>
      <c r="H571" s="0" t="inlineStr">
        <is>
          <t>NULL</t>
        </is>
      </c>
      <c r="I571" s="0" t="inlineStr">
        <is>
          <t>NULL</t>
        </is>
      </c>
      <c r="J571" s="0" t="inlineStr">
        <is>
          <t>NULL</t>
        </is>
      </c>
      <c r="K571" s="0" t="inlineStr">
        <is>
          <t>YES! 	 id列源备映射正确，源端为int None位	期望更改为int	实际备端为int None位</t>
        </is>
      </c>
    </row>
    <row r="572">
      <c r="B572" s="0" t="inlineStr">
        <is>
          <t>NULL</t>
        </is>
      </c>
      <c r="C572" s="0" t="inlineStr">
        <is>
          <t>NO!源None备NUL</t>
        </is>
      </c>
      <c r="D572" s="0" t="inlineStr">
        <is>
          <t>NULL</t>
        </is>
      </c>
      <c r="E572" s="0" t="inlineStr">
        <is>
          <t>NULL</t>
        </is>
      </c>
      <c r="F572" s="0" t="inlineStr">
        <is>
          <t>NULL</t>
        </is>
      </c>
      <c r="G572" s="0" t="inlineStr">
        <is>
          <t>NULL</t>
        </is>
      </c>
      <c r="H572" s="0" t="inlineStr">
        <is>
          <t>NULL</t>
        </is>
      </c>
      <c r="I572" s="0" t="inlineStr">
        <is>
          <t>NULL</t>
        </is>
      </c>
      <c r="J572" s="0" t="inlineStr">
        <is>
          <t>NULL</t>
        </is>
      </c>
      <c r="K572" s="0" t="inlineStr">
        <is>
          <t>[0;32m YES! [0m 	 c_uniqueidentifier列源备映射正确，源端为uniqueidentifier None位	期望更改为VARCHAR(100)	实际备端为varchar 400位	位数精度不存在，通过长度比较</t>
        </is>
      </c>
    </row>
    <row r="573">
      <c r="K573" s="0" t="inlineStr">
        <is>
          <t>[0;31m NO! [0m 	  行数不同,源1行,备端空表</t>
        </is>
      </c>
    </row>
    <row r="574">
      <c r="A574" s="0" t="inlineStr">
        <is>
          <t>info_text_dml_single_nopk</t>
        </is>
      </c>
      <c r="K574" s="0" t="inlineStr">
        <is>
          <t>[0;34m info_text_dml_single_nopk [0m源备字段数相同，源端字段：3 	备端字段3</t>
        </is>
      </c>
      <c r="W574" s="0" t="inlineStr">
        <is>
          <t>YES 源备无差异</t>
        </is>
      </c>
      <c r="X574" s="0">
        <f>A574</f>
        <v/>
      </c>
    </row>
    <row r="575">
      <c r="B575" s="0" t="inlineStr">
        <is>
          <t>NULL</t>
        </is>
      </c>
      <c r="C575" s="0" t="inlineStr">
        <is>
          <t>NULL</t>
        </is>
      </c>
      <c r="D575" s="0" t="inlineStr">
        <is>
          <t>NULL</t>
        </is>
      </c>
      <c r="E575" s="0" t="inlineStr">
        <is>
          <t>NULL</t>
        </is>
      </c>
      <c r="F575" s="0" t="inlineStr">
        <is>
          <t>NULL</t>
        </is>
      </c>
      <c r="G575" s="0" t="inlineStr">
        <is>
          <t>NULL</t>
        </is>
      </c>
      <c r="H575" s="0" t="inlineStr">
        <is>
          <t>NULL</t>
        </is>
      </c>
      <c r="I575" s="0" t="inlineStr">
        <is>
          <t>NULL</t>
        </is>
      </c>
      <c r="J575" s="0" t="inlineStr">
        <is>
          <t>NULL</t>
        </is>
      </c>
      <c r="K575" s="0" t="inlineStr">
        <is>
          <t>YES! 	 id列源备映射正确，源端为int None位	期望更改为int	实际备端为int None位</t>
        </is>
      </c>
    </row>
    <row r="576">
      <c r="B576" s="0" t="inlineStr">
        <is>
          <t>NULL</t>
        </is>
      </c>
      <c r="C576" s="0" t="inlineStr">
        <is>
          <t>NULL</t>
        </is>
      </c>
      <c r="D576" s="0" t="inlineStr">
        <is>
          <t>NULL</t>
        </is>
      </c>
      <c r="E576" s="0" t="inlineStr">
        <is>
          <t>NULL</t>
        </is>
      </c>
      <c r="F576" s="0" t="inlineStr">
        <is>
          <t>NULL</t>
        </is>
      </c>
      <c r="G576" s="0" t="inlineStr">
        <is>
          <t>NULL</t>
        </is>
      </c>
      <c r="H576" s="0" t="inlineStr">
        <is>
          <t>NULL</t>
        </is>
      </c>
      <c r="I576" s="0" t="inlineStr">
        <is>
          <t>NULL</t>
        </is>
      </c>
      <c r="J576" s="0" t="inlineStr">
        <is>
          <t>NULL</t>
        </is>
      </c>
      <c r="K576" s="0" t="inlineStr">
        <is>
          <t>YES! 	 c_text列源备映射正确，源端为text 2147483647位	期望更改为longtext	实际备端为longtext 4294967295位</t>
        </is>
      </c>
    </row>
    <row r="577">
      <c r="B577" s="0" t="inlineStr">
        <is>
          <t>NULL</t>
        </is>
      </c>
      <c r="C577" s="0" t="inlineStr">
        <is>
          <t>NULL</t>
        </is>
      </c>
      <c r="D577" s="0" t="inlineStr">
        <is>
          <t>NULL</t>
        </is>
      </c>
      <c r="E577" s="0" t="inlineStr">
        <is>
          <t>NULL</t>
        </is>
      </c>
      <c r="F577" s="0" t="inlineStr">
        <is>
          <t>NULL</t>
        </is>
      </c>
      <c r="G577" s="0" t="inlineStr">
        <is>
          <t>NULL</t>
        </is>
      </c>
      <c r="H577" s="0" t="inlineStr">
        <is>
          <t>NULL</t>
        </is>
      </c>
      <c r="I577" s="0" t="inlineStr">
        <is>
          <t>NULL</t>
        </is>
      </c>
      <c r="J577" s="0" t="inlineStr">
        <is>
          <t>NULL</t>
        </is>
      </c>
      <c r="K577" s="0" t="inlineStr">
        <is>
          <t>YES! 	 c_ntext列源备映射正确，源端为ntext 2147483646位	期望更改为longtext	实际备端为longtext 4294967295位</t>
        </is>
      </c>
    </row>
    <row r="578">
      <c r="K578" s="0" t="inlineStr">
        <is>
          <t>~ 空表</t>
        </is>
      </c>
    </row>
    <row r="579">
      <c r="A579" s="0" t="inlineStr">
        <is>
          <t>info_uniqueidentifier_dml_single_nopk</t>
        </is>
      </c>
      <c r="K579" s="0" t="inlineStr">
        <is>
          <t>[0;34m info_uniqueidentifier_dml_single_nopk [0m源备字段数相同，源端字段：2 	备端字段2</t>
        </is>
      </c>
      <c r="W579" s="0" t="inlineStr">
        <is>
          <t>YES 源备无差异</t>
        </is>
      </c>
      <c r="X579" s="0">
        <f>A579</f>
        <v/>
      </c>
    </row>
    <row r="580">
      <c r="B580" s="0" t="inlineStr">
        <is>
          <t>NULL</t>
        </is>
      </c>
      <c r="C580" s="0" t="inlineStr">
        <is>
          <t>NULL</t>
        </is>
      </c>
      <c r="D580" s="0" t="inlineStr">
        <is>
          <t>NULL</t>
        </is>
      </c>
      <c r="E580" s="0" t="inlineStr">
        <is>
          <t>NULL</t>
        </is>
      </c>
      <c r="F580" s="0" t="inlineStr">
        <is>
          <t>NULL</t>
        </is>
      </c>
      <c r="G580" s="0" t="inlineStr">
        <is>
          <t>NULL</t>
        </is>
      </c>
      <c r="H580" s="0" t="inlineStr">
        <is>
          <t>NULL</t>
        </is>
      </c>
      <c r="I580" s="0" t="inlineStr">
        <is>
          <t>NULL</t>
        </is>
      </c>
      <c r="J580" s="0" t="inlineStr">
        <is>
          <t>NULL</t>
        </is>
      </c>
      <c r="K580" s="0" t="inlineStr">
        <is>
          <t>YES! 	 id列源备映射正确，源端为int None位	期望更改为int	实际备端为int None位</t>
        </is>
      </c>
    </row>
    <row r="581">
      <c r="B581" s="0" t="inlineStr">
        <is>
          <t>NULL</t>
        </is>
      </c>
      <c r="C581" s="0" t="inlineStr">
        <is>
          <t>NO!源None备NUL</t>
        </is>
      </c>
      <c r="D581" s="0" t="inlineStr">
        <is>
          <t>NULL</t>
        </is>
      </c>
      <c r="E581" s="0" t="inlineStr">
        <is>
          <t>NULL</t>
        </is>
      </c>
      <c r="F581" s="0" t="inlineStr">
        <is>
          <t>NULL</t>
        </is>
      </c>
      <c r="G581" s="0" t="inlineStr">
        <is>
          <t>NULL</t>
        </is>
      </c>
      <c r="H581" s="0" t="inlineStr">
        <is>
          <t>NULL</t>
        </is>
      </c>
      <c r="I581" s="0" t="inlineStr">
        <is>
          <t>NULL</t>
        </is>
      </c>
      <c r="J581" s="0" t="inlineStr">
        <is>
          <t>NULL</t>
        </is>
      </c>
      <c r="K581" s="0" t="inlineStr">
        <is>
          <t>[0;32m YES! [0m 	 c_uniqueidentifier列源备映射正确，源端为uniqueidentifier None位	期望更改为VARCHAR(100)	实际备端为varchar 400位	位数精度不存在，通过长度比较</t>
        </is>
      </c>
    </row>
    <row r="582">
      <c r="K582" s="0" t="inlineStr">
        <is>
          <t>[0;31m NO! [0m 	  行数不同,源1行,备端空表</t>
        </is>
      </c>
    </row>
    <row r="583">
      <c r="A583" s="0" t="inlineStr">
        <is>
          <t>info_datetime2_dml_batch1_pk_urp1</t>
        </is>
      </c>
      <c r="K583" s="0" t="inlineStr">
        <is>
          <t>[0;34m info_datetime2_dml_batch1_pk_urp1 [0m源备字段数相同，源端字段：9 	备端字段9</t>
        </is>
      </c>
      <c r="W583" s="0" t="inlineStr">
        <is>
          <t>YES 源备无差异</t>
        </is>
      </c>
      <c r="X583" s="0">
        <f>A583</f>
        <v/>
      </c>
    </row>
    <row r="584">
      <c r="B584" s="0" t="inlineStr">
        <is>
          <t>NO! 主键不正常，源YES备None</t>
        </is>
      </c>
      <c r="C584" s="0" t="inlineStr">
        <is>
          <t>NULL</t>
        </is>
      </c>
      <c r="D584" s="0" t="inlineStr">
        <is>
          <t>NULL</t>
        </is>
      </c>
      <c r="E584" s="0" t="inlineStr">
        <is>
          <t>NULL</t>
        </is>
      </c>
      <c r="F584" s="0" t="inlineStr">
        <is>
          <t>NULL</t>
        </is>
      </c>
      <c r="G584" s="0" t="inlineStr">
        <is>
          <t>NULL</t>
        </is>
      </c>
      <c r="H584" s="0" t="inlineStr">
        <is>
          <t>NULL</t>
        </is>
      </c>
      <c r="I584" s="0" t="inlineStr">
        <is>
          <t>NO! 源备索引不一致源PK__info_dat__3213E83F0F515F5B备None</t>
        </is>
      </c>
      <c r="J584" s="0" t="inlineStr">
        <is>
          <t>NULL</t>
        </is>
      </c>
      <c r="K584" s="0" t="inlineStr">
        <is>
          <t>YES! 	 id列源备映射正确，源端为int None位	期望更改为int	实际备端为int None位</t>
        </is>
      </c>
    </row>
    <row r="585">
      <c r="B585" s="0" t="inlineStr">
        <is>
          <t>NULL</t>
        </is>
      </c>
      <c r="C585" s="0" t="inlineStr">
        <is>
          <t>NULL</t>
        </is>
      </c>
      <c r="D585" s="0" t="inlineStr">
        <is>
          <t>NULL</t>
        </is>
      </c>
      <c r="E585" s="0" t="inlineStr">
        <is>
          <t>NULL</t>
        </is>
      </c>
      <c r="F585" s="0" t="inlineStr">
        <is>
          <t>NULL</t>
        </is>
      </c>
      <c r="G585" s="0" t="inlineStr">
        <is>
          <t>NULL</t>
        </is>
      </c>
      <c r="H585" s="0" t="inlineStr">
        <is>
          <t>NULL</t>
        </is>
      </c>
      <c r="I585" s="0" t="inlineStr">
        <is>
          <t>NULL</t>
        </is>
      </c>
      <c r="J585" s="0" t="inlineStr">
        <is>
          <t>NULL</t>
        </is>
      </c>
      <c r="K585" s="0" t="inlineStr">
        <is>
          <t>no,len不存在</t>
        </is>
      </c>
    </row>
    <row r="586">
      <c r="B586" s="0" t="inlineStr">
        <is>
          <t>NULL</t>
        </is>
      </c>
      <c r="C586" s="0" t="inlineStr">
        <is>
          <t>NULL</t>
        </is>
      </c>
      <c r="D586" s="0" t="inlineStr">
        <is>
          <t>NULL</t>
        </is>
      </c>
      <c r="E586" s="0" t="inlineStr">
        <is>
          <t>NULL</t>
        </is>
      </c>
      <c r="F586" s="0" t="inlineStr">
        <is>
          <t>NULL</t>
        </is>
      </c>
      <c r="G586" s="0" t="inlineStr">
        <is>
          <t>NULL</t>
        </is>
      </c>
      <c r="H586" s="0" t="inlineStr">
        <is>
          <t>NULL</t>
        </is>
      </c>
      <c r="I586" s="0" t="inlineStr">
        <is>
          <t>NULL</t>
        </is>
      </c>
      <c r="J586" s="0" t="inlineStr">
        <is>
          <t>NULL</t>
        </is>
      </c>
      <c r="K586" s="0" t="inlineStr">
        <is>
          <t>YES! 	 c_dt2_1列源备映射正确，源端为datetime2 None位	期望更改为datetime(n)	实际备端为datetime None位</t>
        </is>
      </c>
    </row>
    <row r="587">
      <c r="B587" s="0" t="inlineStr">
        <is>
          <t>NULL</t>
        </is>
      </c>
      <c r="C587" s="0" t="inlineStr">
        <is>
          <t>NULL</t>
        </is>
      </c>
      <c r="D587" s="0" t="inlineStr">
        <is>
          <t>NULL</t>
        </is>
      </c>
      <c r="E587" s="0" t="inlineStr">
        <is>
          <t>NULL</t>
        </is>
      </c>
      <c r="F587" s="0" t="inlineStr">
        <is>
          <t>NULL</t>
        </is>
      </c>
      <c r="G587" s="0" t="inlineStr">
        <is>
          <t>NULL</t>
        </is>
      </c>
      <c r="H587" s="0" t="inlineStr">
        <is>
          <t>NULL</t>
        </is>
      </c>
      <c r="I587" s="0" t="inlineStr">
        <is>
          <t>NULL</t>
        </is>
      </c>
      <c r="J587" s="0" t="inlineStr">
        <is>
          <t>NULL</t>
        </is>
      </c>
      <c r="K587" s="0" t="inlineStr">
        <is>
          <t>YES! 	 c_dt2_2列源备映射正确，源端为datetime2 None位	期望更改为datetime(n)	实际备端为datetime None位</t>
        </is>
      </c>
    </row>
    <row r="588">
      <c r="B588" s="0" t="inlineStr">
        <is>
          <t>NULL</t>
        </is>
      </c>
      <c r="C588" s="0" t="inlineStr">
        <is>
          <t>NULL</t>
        </is>
      </c>
      <c r="D588" s="0" t="inlineStr">
        <is>
          <t>NULL</t>
        </is>
      </c>
      <c r="E588" s="0" t="inlineStr">
        <is>
          <t>NULL</t>
        </is>
      </c>
      <c r="F588" s="0" t="inlineStr">
        <is>
          <t>NULL</t>
        </is>
      </c>
      <c r="G588" s="0" t="inlineStr">
        <is>
          <t>NULL</t>
        </is>
      </c>
      <c r="H588" s="0" t="inlineStr">
        <is>
          <t>NULL</t>
        </is>
      </c>
      <c r="I588" s="0" t="inlineStr">
        <is>
          <t>NULL</t>
        </is>
      </c>
      <c r="J588" s="0" t="inlineStr">
        <is>
          <t>NULL</t>
        </is>
      </c>
      <c r="K588" s="0" t="inlineStr">
        <is>
          <t>YES! 	 c_dt2_3列源备映射正确，源端为datetime2 None位	期望更改为datetime(n)	实际备端为datetime None位</t>
        </is>
      </c>
    </row>
    <row r="589">
      <c r="B589" s="0" t="inlineStr">
        <is>
          <t>NULL</t>
        </is>
      </c>
      <c r="C589" s="0" t="inlineStr">
        <is>
          <t>NULL</t>
        </is>
      </c>
      <c r="D589" s="0" t="inlineStr">
        <is>
          <t>NULL</t>
        </is>
      </c>
      <c r="E589" s="0" t="inlineStr">
        <is>
          <t>NULL</t>
        </is>
      </c>
      <c r="F589" s="0" t="inlineStr">
        <is>
          <t>NULL</t>
        </is>
      </c>
      <c r="G589" s="0" t="inlineStr">
        <is>
          <t>NULL</t>
        </is>
      </c>
      <c r="H589" s="0" t="inlineStr">
        <is>
          <t>NULL</t>
        </is>
      </c>
      <c r="I589" s="0" t="inlineStr">
        <is>
          <t>NULL</t>
        </is>
      </c>
      <c r="J589" s="0" t="inlineStr">
        <is>
          <t>NULL</t>
        </is>
      </c>
      <c r="K589" s="0" t="inlineStr">
        <is>
          <t>YES! 	 c_dt2_4列源备映射正确，源端为datetime2 None位	期望更改为datetime(n)	实际备端为datetime None位</t>
        </is>
      </c>
    </row>
    <row r="590">
      <c r="B590" s="0" t="inlineStr">
        <is>
          <t>NULL</t>
        </is>
      </c>
      <c r="C590" s="0" t="inlineStr">
        <is>
          <t>NULL</t>
        </is>
      </c>
      <c r="D590" s="0" t="inlineStr">
        <is>
          <t>NULL</t>
        </is>
      </c>
      <c r="E590" s="0" t="inlineStr">
        <is>
          <t>NULL</t>
        </is>
      </c>
      <c r="F590" s="0" t="inlineStr">
        <is>
          <t>NULL</t>
        </is>
      </c>
      <c r="G590" s="0" t="inlineStr">
        <is>
          <t>NULL</t>
        </is>
      </c>
      <c r="H590" s="0" t="inlineStr">
        <is>
          <t>NULL</t>
        </is>
      </c>
      <c r="I590" s="0" t="inlineStr">
        <is>
          <t>NULL</t>
        </is>
      </c>
      <c r="J590" s="0" t="inlineStr">
        <is>
          <t>NULL</t>
        </is>
      </c>
      <c r="K590" s="0" t="inlineStr">
        <is>
          <t>YES! 	 c_dt2_5列源备映射正确，源端为datetime2 None位	期望更改为datetime(n)	实际备端为datetime None位</t>
        </is>
      </c>
    </row>
    <row r="591">
      <c r="B591" s="0" t="inlineStr">
        <is>
          <t>NULL</t>
        </is>
      </c>
      <c r="C591" s="0" t="inlineStr">
        <is>
          <t>NULL</t>
        </is>
      </c>
      <c r="D591" s="0" t="inlineStr">
        <is>
          <t>NULL</t>
        </is>
      </c>
      <c r="E591" s="0" t="inlineStr">
        <is>
          <t>NULL</t>
        </is>
      </c>
      <c r="F591" s="0" t="inlineStr">
        <is>
          <t>NULL</t>
        </is>
      </c>
      <c r="G591" s="0" t="inlineStr">
        <is>
          <t>NULL</t>
        </is>
      </c>
      <c r="H591" s="0" t="inlineStr">
        <is>
          <t>NULL</t>
        </is>
      </c>
      <c r="I591" s="0" t="inlineStr">
        <is>
          <t>NULL</t>
        </is>
      </c>
      <c r="J591" s="0" t="inlineStr">
        <is>
          <t>NULL</t>
        </is>
      </c>
      <c r="K591" s="0" t="inlineStr">
        <is>
          <t>YES! 	 c_dt2_6列源备映射正确，源端为datetime2 None位	期望更改为datetime(n)	实际备端为datetime None位</t>
        </is>
      </c>
    </row>
    <row r="592">
      <c r="B592" s="0" t="inlineStr">
        <is>
          <t>NULL</t>
        </is>
      </c>
      <c r="C592" s="0" t="inlineStr">
        <is>
          <t>NO!源None备NUL</t>
        </is>
      </c>
      <c r="D592" s="0" t="inlineStr">
        <is>
          <t>NULL</t>
        </is>
      </c>
      <c r="E592" s="0" t="inlineStr">
        <is>
          <t>NULL</t>
        </is>
      </c>
      <c r="F592" s="0" t="inlineStr">
        <is>
          <t>NULL</t>
        </is>
      </c>
      <c r="G592" s="0" t="inlineStr">
        <is>
          <t>NULL</t>
        </is>
      </c>
      <c r="H592" s="0" t="inlineStr">
        <is>
          <t>NULL</t>
        </is>
      </c>
      <c r="I592" s="0" t="inlineStr">
        <is>
          <t>NULL</t>
        </is>
      </c>
      <c r="J592" s="0" t="inlineStr">
        <is>
          <t>NULL</t>
        </is>
      </c>
      <c r="K592" s="0" t="inlineStr">
        <is>
          <t xml:space="preserve"> NO!  	 c_dt2列源备映射错误，源端为datetime2 None位	期望更改为datetime(n)	实际备端为varchar 136位</t>
        </is>
      </c>
    </row>
    <row r="593">
      <c r="K593" s="0" t="inlineStr">
        <is>
          <t>[0;31m NO! [0m 	  行数不同,源7行,备端空表</t>
        </is>
      </c>
    </row>
    <row r="594">
      <c r="A594" s="0" t="inlineStr">
        <is>
          <t>info_nvarchar_dml_batch1_pk_irp1</t>
        </is>
      </c>
      <c r="K594" s="0" t="inlineStr">
        <is>
          <t>[0;34m info_nvarchar_dml_batch1_pk_irp1 [0m源备字段数相同，源端字段：4 	备端字段4</t>
        </is>
      </c>
      <c r="W594" s="0" t="inlineStr">
        <is>
          <t>YES 源备无差异</t>
        </is>
      </c>
      <c r="X594" s="0">
        <f>A594</f>
        <v/>
      </c>
    </row>
    <row r="595">
      <c r="B595" s="0" t="inlineStr">
        <is>
          <t>NO! 主键不正常，源YES备None</t>
        </is>
      </c>
      <c r="C595" s="0" t="inlineStr">
        <is>
          <t>NULL</t>
        </is>
      </c>
      <c r="D595" s="0" t="inlineStr">
        <is>
          <t>NULL</t>
        </is>
      </c>
      <c r="E595" s="0" t="inlineStr">
        <is>
          <t>NULL</t>
        </is>
      </c>
      <c r="F595" s="0" t="inlineStr">
        <is>
          <t>NULL</t>
        </is>
      </c>
      <c r="G595" s="0" t="inlineStr">
        <is>
          <t>NULL</t>
        </is>
      </c>
      <c r="H595" s="0" t="inlineStr">
        <is>
          <t>NULL</t>
        </is>
      </c>
      <c r="I595" s="0" t="inlineStr">
        <is>
          <t>NO! 源备索引不一致源PK__info_nva__3213E83FD4B93CAE备None</t>
        </is>
      </c>
      <c r="J595" s="0" t="inlineStr">
        <is>
          <t>NULL</t>
        </is>
      </c>
      <c r="K595" s="0" t="inlineStr">
        <is>
          <t>YES! 	 id列源备映射正确，源端为int None位	期望更改为int	实际备端为int None位</t>
        </is>
      </c>
    </row>
    <row r="596">
      <c r="B596" s="0" t="inlineStr">
        <is>
          <t>NULL</t>
        </is>
      </c>
      <c r="C596" s="0" t="inlineStr">
        <is>
          <t>NULL</t>
        </is>
      </c>
      <c r="D596" s="0" t="inlineStr">
        <is>
          <t>NULL</t>
        </is>
      </c>
      <c r="E596" s="0" t="inlineStr">
        <is>
          <t>NULL</t>
        </is>
      </c>
      <c r="F596" s="0" t="inlineStr">
        <is>
          <t>NULL</t>
        </is>
      </c>
      <c r="G596" s="0" t="inlineStr">
        <is>
          <t>NULL</t>
        </is>
      </c>
      <c r="H596" s="0" t="inlineStr">
        <is>
          <t>NULL</t>
        </is>
      </c>
      <c r="I596" s="0" t="inlineStr">
        <is>
          <t>NULL</t>
        </is>
      </c>
      <c r="J596" s="0" t="inlineStr">
        <is>
          <t>NULL</t>
        </is>
      </c>
      <c r="K596" s="0" t="inlineStr">
        <is>
          <t>YES! 	 c_nvarchar列源备映射正确，源端为nvarchar 2位	期望更改为varchar(n)	实际备端为varchar 4位</t>
        </is>
      </c>
    </row>
    <row r="597">
      <c r="B597" s="0" t="inlineStr">
        <is>
          <t>NULL</t>
        </is>
      </c>
      <c r="C597" s="0" t="inlineStr">
        <is>
          <t>NULL</t>
        </is>
      </c>
      <c r="D597" s="0" t="inlineStr">
        <is>
          <t>NULL</t>
        </is>
      </c>
      <c r="E597" s="0" t="inlineStr">
        <is>
          <t>NULL</t>
        </is>
      </c>
      <c r="F597" s="0" t="inlineStr">
        <is>
          <t>NULL</t>
        </is>
      </c>
      <c r="G597" s="0" t="inlineStr">
        <is>
          <t>NULL</t>
        </is>
      </c>
      <c r="H597" s="0" t="inlineStr">
        <is>
          <t>NULL</t>
        </is>
      </c>
      <c r="I597" s="0" t="inlineStr">
        <is>
          <t>NULL</t>
        </is>
      </c>
      <c r="J597" s="0" t="inlineStr">
        <is>
          <t>NULL</t>
        </is>
      </c>
      <c r="K597" s="0" t="inlineStr">
        <is>
          <t>YES! 	 c_nvarchar20列源备映射正确，源端为nvarchar 40位	期望更改为varchar(n)	实际备端为varchar 80位</t>
        </is>
      </c>
    </row>
    <row r="598">
      <c r="B598" s="0" t="inlineStr">
        <is>
          <t>NULL</t>
        </is>
      </c>
      <c r="C598" s="0" t="inlineStr">
        <is>
          <t>NULL</t>
        </is>
      </c>
      <c r="D598" s="0" t="inlineStr">
        <is>
          <t>NULL</t>
        </is>
      </c>
      <c r="E598" s="0" t="inlineStr">
        <is>
          <t>NULL</t>
        </is>
      </c>
      <c r="F598" s="0" t="inlineStr">
        <is>
          <t>NULL</t>
        </is>
      </c>
      <c r="G598" s="0" t="inlineStr">
        <is>
          <t>NULL</t>
        </is>
      </c>
      <c r="H598" s="0" t="inlineStr">
        <is>
          <t>NULL</t>
        </is>
      </c>
      <c r="I598" s="0" t="inlineStr">
        <is>
          <t>NULL</t>
        </is>
      </c>
      <c r="J598" s="0" t="inlineStr">
        <is>
          <t>NULL</t>
        </is>
      </c>
      <c r="K598" s="0" t="inlineStr">
        <is>
          <t xml:space="preserve"> NO!  	 c_nvarchar4000列源备映射错误，源端为nvarchar 8000位	期望更改为longtext	实际备端为text 65535位</t>
        </is>
      </c>
    </row>
    <row r="599">
      <c r="K599" s="0" t="inlineStr">
        <is>
          <t>[0;31m NO! [0m 	  行数不同,源16行,备端空表</t>
        </is>
      </c>
    </row>
    <row r="600">
      <c r="A600" s="0" t="inlineStr">
        <is>
          <t>info_sdt_dml_single_pk_urp</t>
        </is>
      </c>
      <c r="K600" s="0" t="inlineStr">
        <is>
          <t>[0;34m info_sdt_dml_single_pk_urp [0m源备字段数相同，源端字段：2 	备端字段2</t>
        </is>
      </c>
      <c r="W600" s="0" t="inlineStr">
        <is>
          <t>YES 源备无差异</t>
        </is>
      </c>
      <c r="X600" s="0">
        <f>A600</f>
        <v/>
      </c>
    </row>
    <row r="601">
      <c r="B601" s="0" t="inlineStr">
        <is>
          <t>NO! 主键不正常，源YES备None</t>
        </is>
      </c>
      <c r="C601" s="0" t="inlineStr">
        <is>
          <t>NULL</t>
        </is>
      </c>
      <c r="D601" s="0" t="inlineStr">
        <is>
          <t>NULL</t>
        </is>
      </c>
      <c r="E601" s="0" t="inlineStr">
        <is>
          <t>NULL</t>
        </is>
      </c>
      <c r="F601" s="0" t="inlineStr">
        <is>
          <t>NULL</t>
        </is>
      </c>
      <c r="G601" s="0" t="inlineStr">
        <is>
          <t>NULL</t>
        </is>
      </c>
      <c r="H601" s="0" t="inlineStr">
        <is>
          <t>NULL</t>
        </is>
      </c>
      <c r="I601" s="0" t="inlineStr">
        <is>
          <t>NO! 源备索引不一致源PK__info_sdt__3213E83F06D79574备None</t>
        </is>
      </c>
      <c r="J601" s="0" t="inlineStr">
        <is>
          <t>NULL</t>
        </is>
      </c>
      <c r="K601" s="0" t="inlineStr">
        <is>
          <t>YES! 	 id列源备映射正确，源端为int None位	期望更改为int	实际备端为int None位</t>
        </is>
      </c>
    </row>
    <row r="602">
      <c r="B602" s="0" t="inlineStr">
        <is>
          <t>NULL</t>
        </is>
      </c>
      <c r="C602" s="0" t="inlineStr">
        <is>
          <t>NO!源None备NUL</t>
        </is>
      </c>
      <c r="D602" s="0" t="inlineStr">
        <is>
          <t>NULL</t>
        </is>
      </c>
      <c r="E602" s="0" t="inlineStr">
        <is>
          <t>NULL</t>
        </is>
      </c>
      <c r="F602" s="0" t="inlineStr">
        <is>
          <t>NULL</t>
        </is>
      </c>
      <c r="G602" s="0" t="inlineStr">
        <is>
          <t>NULL</t>
        </is>
      </c>
      <c r="H602" s="0" t="inlineStr">
        <is>
          <t>NULL</t>
        </is>
      </c>
      <c r="I602" s="0" t="inlineStr">
        <is>
          <t>NULL</t>
        </is>
      </c>
      <c r="J602" s="0" t="inlineStr">
        <is>
          <t>NULL</t>
        </is>
      </c>
      <c r="K602" s="0" t="inlineStr">
        <is>
          <t>YES! 	 c_sdt列源备映射正确，源端为smalldatetime None位	期望更改为datetime	实际备端为datetime None位</t>
        </is>
      </c>
    </row>
    <row r="603">
      <c r="K603" s="0" t="inlineStr">
        <is>
          <t>[0;31m NO! [0m 	  行数不同,源6行,备端空表</t>
        </is>
      </c>
    </row>
    <row r="604">
      <c r="A604" s="0" t="inlineStr">
        <is>
          <t>info_sdt_dml_single_pk_drp</t>
        </is>
      </c>
      <c r="K604" s="0" t="inlineStr">
        <is>
          <t>[0;34m info_sdt_dml_single_pk_drp [0m源备字段数相同，源端字段：2 	备端字段2</t>
        </is>
      </c>
      <c r="W604" s="0" t="inlineStr">
        <is>
          <t>YES 源备无差异</t>
        </is>
      </c>
      <c r="X604" s="0">
        <f>A604</f>
        <v/>
      </c>
    </row>
    <row r="605">
      <c r="B605" s="0" t="inlineStr">
        <is>
          <t>NO! 主键不正常，源YES备None</t>
        </is>
      </c>
      <c r="C605" s="0" t="inlineStr">
        <is>
          <t>NULL</t>
        </is>
      </c>
      <c r="D605" s="0" t="inlineStr">
        <is>
          <t>NULL</t>
        </is>
      </c>
      <c r="E605" s="0" t="inlineStr">
        <is>
          <t>NULL</t>
        </is>
      </c>
      <c r="F605" s="0" t="inlineStr">
        <is>
          <t>NULL</t>
        </is>
      </c>
      <c r="G605" s="0" t="inlineStr">
        <is>
          <t>NULL</t>
        </is>
      </c>
      <c r="H605" s="0" t="inlineStr">
        <is>
          <t>NULL</t>
        </is>
      </c>
      <c r="I605" s="0" t="inlineStr">
        <is>
          <t>NO! 源备索引不一致源PK__info_sdt__3213E83FD9FF0613备None</t>
        </is>
      </c>
      <c r="J605" s="0" t="inlineStr">
        <is>
          <t>NULL</t>
        </is>
      </c>
      <c r="K605" s="0" t="inlineStr">
        <is>
          <t>YES! 	 id列源备映射正确，源端为int None位	期望更改为int	实际备端为int None位</t>
        </is>
      </c>
    </row>
    <row r="606">
      <c r="B606" s="0" t="inlineStr">
        <is>
          <t>NULL</t>
        </is>
      </c>
      <c r="C606" s="0" t="inlineStr">
        <is>
          <t>NO!源None备NUL</t>
        </is>
      </c>
      <c r="D606" s="0" t="inlineStr">
        <is>
          <t>NULL</t>
        </is>
      </c>
      <c r="E606" s="0" t="inlineStr">
        <is>
          <t>NULL</t>
        </is>
      </c>
      <c r="F606" s="0" t="inlineStr">
        <is>
          <t>NULL</t>
        </is>
      </c>
      <c r="G606" s="0" t="inlineStr">
        <is>
          <t>NULL</t>
        </is>
      </c>
      <c r="H606" s="0" t="inlineStr">
        <is>
          <t>NULL</t>
        </is>
      </c>
      <c r="I606" s="0" t="inlineStr">
        <is>
          <t>NULL</t>
        </is>
      </c>
      <c r="J606" s="0" t="inlineStr">
        <is>
          <t>NULL</t>
        </is>
      </c>
      <c r="K606" s="0" t="inlineStr">
        <is>
          <t>YES! 	 c_sdt列源备映射正确，源端为smalldatetime None位	期望更改为datetime	实际备端为datetime None位</t>
        </is>
      </c>
    </row>
    <row r="607">
      <c r="K607" s="0" t="inlineStr">
        <is>
          <t>[0;31m NO! [0m 	  行数不同,源6行,备端空表</t>
        </is>
      </c>
    </row>
    <row r="608">
      <c r="A608" s="0" t="inlineStr">
        <is>
          <t>info_datetime2_dml_batch1_pk_drp1</t>
        </is>
      </c>
      <c r="K608" s="0" t="inlineStr">
        <is>
          <t>[0;34m info_datetime2_dml_batch1_pk_drp1 [0m源备字段数相同，源端字段：9 	备端字段9</t>
        </is>
      </c>
      <c r="W608" s="0" t="inlineStr">
        <is>
          <t>YES 源备无差异</t>
        </is>
      </c>
      <c r="X608" s="0">
        <f>A608</f>
        <v/>
      </c>
    </row>
    <row r="609">
      <c r="B609" s="0" t="inlineStr">
        <is>
          <t>NO! 主键不正常，源YES备None</t>
        </is>
      </c>
      <c r="C609" s="0" t="inlineStr">
        <is>
          <t>NULL</t>
        </is>
      </c>
      <c r="D609" s="0" t="inlineStr">
        <is>
          <t>NULL</t>
        </is>
      </c>
      <c r="E609" s="0" t="inlineStr">
        <is>
          <t>NULL</t>
        </is>
      </c>
      <c r="F609" s="0" t="inlineStr">
        <is>
          <t>NULL</t>
        </is>
      </c>
      <c r="G609" s="0" t="inlineStr">
        <is>
          <t>NULL</t>
        </is>
      </c>
      <c r="H609" s="0" t="inlineStr">
        <is>
          <t>NULL</t>
        </is>
      </c>
      <c r="I609" s="0" t="inlineStr">
        <is>
          <t>NO! 源备索引不一致源PK__info_dat__3213E83F6849006D备None</t>
        </is>
      </c>
      <c r="J609" s="0" t="inlineStr">
        <is>
          <t>NULL</t>
        </is>
      </c>
      <c r="K609" s="0" t="inlineStr">
        <is>
          <t>YES! 	 id列源备映射正确，源端为int None位	期望更改为int	实际备端为int None位</t>
        </is>
      </c>
    </row>
    <row r="610">
      <c r="B610" s="0" t="inlineStr">
        <is>
          <t>NULL</t>
        </is>
      </c>
      <c r="C610" s="0" t="inlineStr">
        <is>
          <t>NULL</t>
        </is>
      </c>
      <c r="D610" s="0" t="inlineStr">
        <is>
          <t>NULL</t>
        </is>
      </c>
      <c r="E610" s="0" t="inlineStr">
        <is>
          <t>NULL</t>
        </is>
      </c>
      <c r="F610" s="0" t="inlineStr">
        <is>
          <t>NULL</t>
        </is>
      </c>
      <c r="G610" s="0" t="inlineStr">
        <is>
          <t>NULL</t>
        </is>
      </c>
      <c r="H610" s="0" t="inlineStr">
        <is>
          <t>NULL</t>
        </is>
      </c>
      <c r="I610" s="0" t="inlineStr">
        <is>
          <t>NULL</t>
        </is>
      </c>
      <c r="J610" s="0" t="inlineStr">
        <is>
          <t>NULL</t>
        </is>
      </c>
      <c r="K610" s="0" t="inlineStr">
        <is>
          <t>no,len不存在</t>
        </is>
      </c>
    </row>
    <row r="611">
      <c r="B611" s="0" t="inlineStr">
        <is>
          <t>NULL</t>
        </is>
      </c>
      <c r="C611" s="0" t="inlineStr">
        <is>
          <t>NULL</t>
        </is>
      </c>
      <c r="D611" s="0" t="inlineStr">
        <is>
          <t>NULL</t>
        </is>
      </c>
      <c r="E611" s="0" t="inlineStr">
        <is>
          <t>NULL</t>
        </is>
      </c>
      <c r="F611" s="0" t="inlineStr">
        <is>
          <t>NULL</t>
        </is>
      </c>
      <c r="G611" s="0" t="inlineStr">
        <is>
          <t>NULL</t>
        </is>
      </c>
      <c r="H611" s="0" t="inlineStr">
        <is>
          <t>NULL</t>
        </is>
      </c>
      <c r="I611" s="0" t="inlineStr">
        <is>
          <t>NULL</t>
        </is>
      </c>
      <c r="J611" s="0" t="inlineStr">
        <is>
          <t>NULL</t>
        </is>
      </c>
      <c r="K611" s="0" t="inlineStr">
        <is>
          <t>YES! 	 c_dt2_1列源备映射正确，源端为datetime2 None位	期望更改为datetime(n)	实际备端为datetime None位</t>
        </is>
      </c>
    </row>
    <row r="612">
      <c r="B612" s="0" t="inlineStr">
        <is>
          <t>NULL</t>
        </is>
      </c>
      <c r="C612" s="0" t="inlineStr">
        <is>
          <t>NULL</t>
        </is>
      </c>
      <c r="D612" s="0" t="inlineStr">
        <is>
          <t>NULL</t>
        </is>
      </c>
      <c r="E612" s="0" t="inlineStr">
        <is>
          <t>NULL</t>
        </is>
      </c>
      <c r="F612" s="0" t="inlineStr">
        <is>
          <t>NULL</t>
        </is>
      </c>
      <c r="G612" s="0" t="inlineStr">
        <is>
          <t>NULL</t>
        </is>
      </c>
      <c r="H612" s="0" t="inlineStr">
        <is>
          <t>NULL</t>
        </is>
      </c>
      <c r="I612" s="0" t="inlineStr">
        <is>
          <t>NULL</t>
        </is>
      </c>
      <c r="J612" s="0" t="inlineStr">
        <is>
          <t>NULL</t>
        </is>
      </c>
      <c r="K612" s="0" t="inlineStr">
        <is>
          <t>YES! 	 c_dt2_2列源备映射正确，源端为datetime2 None位	期望更改为datetime(n)	实际备端为datetime None位</t>
        </is>
      </c>
    </row>
    <row r="613">
      <c r="B613" s="0" t="inlineStr">
        <is>
          <t>NULL</t>
        </is>
      </c>
      <c r="C613" s="0" t="inlineStr">
        <is>
          <t>NULL</t>
        </is>
      </c>
      <c r="D613" s="0" t="inlineStr">
        <is>
          <t>NULL</t>
        </is>
      </c>
      <c r="E613" s="0" t="inlineStr">
        <is>
          <t>NULL</t>
        </is>
      </c>
      <c r="F613" s="0" t="inlineStr">
        <is>
          <t>NULL</t>
        </is>
      </c>
      <c r="G613" s="0" t="inlineStr">
        <is>
          <t>NULL</t>
        </is>
      </c>
      <c r="H613" s="0" t="inlineStr">
        <is>
          <t>NULL</t>
        </is>
      </c>
      <c r="I613" s="0" t="inlineStr">
        <is>
          <t>NULL</t>
        </is>
      </c>
      <c r="J613" s="0" t="inlineStr">
        <is>
          <t>NULL</t>
        </is>
      </c>
      <c r="K613" s="0" t="inlineStr">
        <is>
          <t>YES! 	 c_dt2_3列源备映射正确，源端为datetime2 None位	期望更改为datetime(n)	实际备端为datetime None位</t>
        </is>
      </c>
    </row>
    <row r="614">
      <c r="B614" s="0" t="inlineStr">
        <is>
          <t>NULL</t>
        </is>
      </c>
      <c r="C614" s="0" t="inlineStr">
        <is>
          <t>NULL</t>
        </is>
      </c>
      <c r="D614" s="0" t="inlineStr">
        <is>
          <t>NULL</t>
        </is>
      </c>
      <c r="E614" s="0" t="inlineStr">
        <is>
          <t>NULL</t>
        </is>
      </c>
      <c r="F614" s="0" t="inlineStr">
        <is>
          <t>NULL</t>
        </is>
      </c>
      <c r="G614" s="0" t="inlineStr">
        <is>
          <t>NULL</t>
        </is>
      </c>
      <c r="H614" s="0" t="inlineStr">
        <is>
          <t>NULL</t>
        </is>
      </c>
      <c r="I614" s="0" t="inlineStr">
        <is>
          <t>NULL</t>
        </is>
      </c>
      <c r="J614" s="0" t="inlineStr">
        <is>
          <t>NULL</t>
        </is>
      </c>
      <c r="K614" s="0" t="inlineStr">
        <is>
          <t>YES! 	 c_dt2_4列源备映射正确，源端为datetime2 None位	期望更改为datetime(n)	实际备端为datetime None位</t>
        </is>
      </c>
    </row>
    <row r="615">
      <c r="B615" s="0" t="inlineStr">
        <is>
          <t>NULL</t>
        </is>
      </c>
      <c r="C615" s="0" t="inlineStr">
        <is>
          <t>NULL</t>
        </is>
      </c>
      <c r="D615" s="0" t="inlineStr">
        <is>
          <t>NULL</t>
        </is>
      </c>
      <c r="E615" s="0" t="inlineStr">
        <is>
          <t>NULL</t>
        </is>
      </c>
      <c r="F615" s="0" t="inlineStr">
        <is>
          <t>NULL</t>
        </is>
      </c>
      <c r="G615" s="0" t="inlineStr">
        <is>
          <t>NULL</t>
        </is>
      </c>
      <c r="H615" s="0" t="inlineStr">
        <is>
          <t>NULL</t>
        </is>
      </c>
      <c r="I615" s="0" t="inlineStr">
        <is>
          <t>NULL</t>
        </is>
      </c>
      <c r="J615" s="0" t="inlineStr">
        <is>
          <t>NULL</t>
        </is>
      </c>
      <c r="K615" s="0" t="inlineStr">
        <is>
          <t>YES! 	 c_dt2_5列源备映射正确，源端为datetime2 None位	期望更改为datetime(n)	实际备端为datetime None位</t>
        </is>
      </c>
    </row>
    <row r="616">
      <c r="B616" s="0" t="inlineStr">
        <is>
          <t>NULL</t>
        </is>
      </c>
      <c r="C616" s="0" t="inlineStr">
        <is>
          <t>NULL</t>
        </is>
      </c>
      <c r="D616" s="0" t="inlineStr">
        <is>
          <t>NULL</t>
        </is>
      </c>
      <c r="E616" s="0" t="inlineStr">
        <is>
          <t>NULL</t>
        </is>
      </c>
      <c r="F616" s="0" t="inlineStr">
        <is>
          <t>NULL</t>
        </is>
      </c>
      <c r="G616" s="0" t="inlineStr">
        <is>
          <t>NULL</t>
        </is>
      </c>
      <c r="H616" s="0" t="inlineStr">
        <is>
          <t>NULL</t>
        </is>
      </c>
      <c r="I616" s="0" t="inlineStr">
        <is>
          <t>NULL</t>
        </is>
      </c>
      <c r="J616" s="0" t="inlineStr">
        <is>
          <t>NULL</t>
        </is>
      </c>
      <c r="K616" s="0" t="inlineStr">
        <is>
          <t>YES! 	 c_dt2_6列源备映射正确，源端为datetime2 None位	期望更改为datetime(n)	实际备端为datetime None位</t>
        </is>
      </c>
    </row>
    <row r="617">
      <c r="B617" s="0" t="inlineStr">
        <is>
          <t>NULL</t>
        </is>
      </c>
      <c r="C617" s="0" t="inlineStr">
        <is>
          <t>NO!源None备NUL</t>
        </is>
      </c>
      <c r="D617" s="0" t="inlineStr">
        <is>
          <t>NULL</t>
        </is>
      </c>
      <c r="E617" s="0" t="inlineStr">
        <is>
          <t>NULL</t>
        </is>
      </c>
      <c r="F617" s="0" t="inlineStr">
        <is>
          <t>NULL</t>
        </is>
      </c>
      <c r="G617" s="0" t="inlineStr">
        <is>
          <t>NULL</t>
        </is>
      </c>
      <c r="H617" s="0" t="inlineStr">
        <is>
          <t>NULL</t>
        </is>
      </c>
      <c r="I617" s="0" t="inlineStr">
        <is>
          <t>NULL</t>
        </is>
      </c>
      <c r="J617" s="0" t="inlineStr">
        <is>
          <t>NULL</t>
        </is>
      </c>
      <c r="K617" s="0" t="inlineStr">
        <is>
          <t xml:space="preserve"> NO!  	 c_dt2列源备映射错误，源端为datetime2 None位	期望更改为datetime(n)	实际备端为varchar 136位</t>
        </is>
      </c>
    </row>
    <row r="618">
      <c r="K618" s="0" t="inlineStr">
        <is>
          <t>~ 空表</t>
        </is>
      </c>
    </row>
    <row r="619">
      <c r="A619" s="0" t="inlineStr">
        <is>
          <t>info_nvarchar_dml_batch2_pk_irp1</t>
        </is>
      </c>
      <c r="K619" s="0" t="inlineStr">
        <is>
          <t>[0;34m info_nvarchar_dml_batch2_pk_irp1 [0m源备字段数相同，源端字段：4 	备端字段4</t>
        </is>
      </c>
      <c r="W619" s="0" t="inlineStr">
        <is>
          <t>YES 源备无差异</t>
        </is>
      </c>
      <c r="X619" s="0">
        <f>A619</f>
        <v/>
      </c>
    </row>
    <row r="620">
      <c r="B620" s="0" t="inlineStr">
        <is>
          <t>NO! 主键不正常，源YES备None</t>
        </is>
      </c>
      <c r="C620" s="0" t="inlineStr">
        <is>
          <t>NULL</t>
        </is>
      </c>
      <c r="D620" s="0" t="inlineStr">
        <is>
          <t>NULL</t>
        </is>
      </c>
      <c r="E620" s="0" t="inlineStr">
        <is>
          <t>NULL</t>
        </is>
      </c>
      <c r="F620" s="0" t="inlineStr">
        <is>
          <t>NULL</t>
        </is>
      </c>
      <c r="G620" s="0" t="inlineStr">
        <is>
          <t>NULL</t>
        </is>
      </c>
      <c r="H620" s="0" t="inlineStr">
        <is>
          <t>NULL</t>
        </is>
      </c>
      <c r="I620" s="0" t="inlineStr">
        <is>
          <t>NO! 源备索引不一致源PK__info_nva__3213E83F98EA7D40备None</t>
        </is>
      </c>
      <c r="J620" s="0" t="inlineStr">
        <is>
          <t>NULL</t>
        </is>
      </c>
      <c r="K620" s="0" t="inlineStr">
        <is>
          <t>YES! 	 id列源备映射正确，源端为int None位	期望更改为int	实际备端为int None位</t>
        </is>
      </c>
    </row>
    <row r="621">
      <c r="B621" s="0" t="inlineStr">
        <is>
          <t>NULL</t>
        </is>
      </c>
      <c r="C621" s="0" t="inlineStr">
        <is>
          <t>NULL</t>
        </is>
      </c>
      <c r="D621" s="0" t="inlineStr">
        <is>
          <t>NULL</t>
        </is>
      </c>
      <c r="E621" s="0" t="inlineStr">
        <is>
          <t>NULL</t>
        </is>
      </c>
      <c r="F621" s="0" t="inlineStr">
        <is>
          <t>NULL</t>
        </is>
      </c>
      <c r="G621" s="0" t="inlineStr">
        <is>
          <t>NULL</t>
        </is>
      </c>
      <c r="H621" s="0" t="inlineStr">
        <is>
          <t>NULL</t>
        </is>
      </c>
      <c r="I621" s="0" t="inlineStr">
        <is>
          <t>NULL</t>
        </is>
      </c>
      <c r="J621" s="0" t="inlineStr">
        <is>
          <t>NULL</t>
        </is>
      </c>
      <c r="K621" s="0" t="inlineStr">
        <is>
          <t>YES! 	 c_nvarchar列源备映射正确，源端为nvarchar 2位	期望更改为varchar(n)	实际备端为varchar 4位</t>
        </is>
      </c>
    </row>
    <row r="622">
      <c r="B622" s="0" t="inlineStr">
        <is>
          <t>NULL</t>
        </is>
      </c>
      <c r="C622" s="0" t="inlineStr">
        <is>
          <t>NULL</t>
        </is>
      </c>
      <c r="D622" s="0" t="inlineStr">
        <is>
          <t>NULL</t>
        </is>
      </c>
      <c r="E622" s="0" t="inlineStr">
        <is>
          <t>NULL</t>
        </is>
      </c>
      <c r="F622" s="0" t="inlineStr">
        <is>
          <t>NULL</t>
        </is>
      </c>
      <c r="G622" s="0" t="inlineStr">
        <is>
          <t>NULL</t>
        </is>
      </c>
      <c r="H622" s="0" t="inlineStr">
        <is>
          <t>NULL</t>
        </is>
      </c>
      <c r="I622" s="0" t="inlineStr">
        <is>
          <t>NULL</t>
        </is>
      </c>
      <c r="J622" s="0" t="inlineStr">
        <is>
          <t>NULL</t>
        </is>
      </c>
      <c r="K622" s="0" t="inlineStr">
        <is>
          <t>YES! 	 c_nvarchar20列源备映射正确，源端为nvarchar 40位	期望更改为varchar(n)	实际备端为varchar 80位</t>
        </is>
      </c>
    </row>
    <row r="623">
      <c r="B623" s="0" t="inlineStr">
        <is>
          <t>NULL</t>
        </is>
      </c>
      <c r="C623" s="0" t="inlineStr">
        <is>
          <t>NULL</t>
        </is>
      </c>
      <c r="D623" s="0" t="inlineStr">
        <is>
          <t>NULL</t>
        </is>
      </c>
      <c r="E623" s="0" t="inlineStr">
        <is>
          <t>NULL</t>
        </is>
      </c>
      <c r="F623" s="0" t="inlineStr">
        <is>
          <t>NULL</t>
        </is>
      </c>
      <c r="G623" s="0" t="inlineStr">
        <is>
          <t>NULL</t>
        </is>
      </c>
      <c r="H623" s="0" t="inlineStr">
        <is>
          <t>NULL</t>
        </is>
      </c>
      <c r="I623" s="0" t="inlineStr">
        <is>
          <t>NULL</t>
        </is>
      </c>
      <c r="J623" s="0" t="inlineStr">
        <is>
          <t>NULL</t>
        </is>
      </c>
      <c r="K623" s="0" t="inlineStr">
        <is>
          <t>YES! 	 c_nvarchar3500列源备映射正确，源端为nvarchar 7000位	期望更改为text	实际备端为text 65535位</t>
        </is>
      </c>
    </row>
    <row r="624">
      <c r="K624" s="0" t="inlineStr">
        <is>
          <t>[0;31m NO! [0m 	  行数不同,源8行,备端空表</t>
        </is>
      </c>
    </row>
    <row r="625">
      <c r="A625" s="0" t="inlineStr">
        <is>
          <t>info_binary_dml_single_nopk_irp</t>
        </is>
      </c>
      <c r="K625" s="0" t="inlineStr">
        <is>
          <t>[0;34m info_binary_dml_single_nopk_irp [0m源备字段数相同，源端字段：4 	备端字段4</t>
        </is>
      </c>
      <c r="W625" s="0" t="inlineStr">
        <is>
          <t>YES 源备无差异</t>
        </is>
      </c>
      <c r="X625" s="0">
        <f>A625</f>
        <v/>
      </c>
    </row>
    <row r="626">
      <c r="B626" s="0" t="inlineStr">
        <is>
          <t>NULL</t>
        </is>
      </c>
      <c r="C626" s="0" t="inlineStr">
        <is>
          <t>NULL</t>
        </is>
      </c>
      <c r="D626" s="0" t="inlineStr">
        <is>
          <t>NULL</t>
        </is>
      </c>
      <c r="E626" s="0" t="inlineStr">
        <is>
          <t>NULL</t>
        </is>
      </c>
      <c r="F626" s="0" t="inlineStr">
        <is>
          <t>NULL</t>
        </is>
      </c>
      <c r="G626" s="0" t="inlineStr">
        <is>
          <t>NULL</t>
        </is>
      </c>
      <c r="H626" s="0" t="inlineStr">
        <is>
          <t>NULL</t>
        </is>
      </c>
      <c r="I626" s="0" t="inlineStr">
        <is>
          <t>NULL</t>
        </is>
      </c>
      <c r="J626" s="0" t="inlineStr">
        <is>
          <t>NULL</t>
        </is>
      </c>
      <c r="K626" s="0" t="inlineStr">
        <is>
          <t>YES! 	 id列源备映射正确，源端为int None位	期望更改为int	实际备端为int None位</t>
        </is>
      </c>
    </row>
    <row r="627">
      <c r="B627" s="0" t="inlineStr">
        <is>
          <t>NULL</t>
        </is>
      </c>
      <c r="C627" s="0" t="inlineStr">
        <is>
          <t>NULL</t>
        </is>
      </c>
      <c r="D627" s="0" t="inlineStr">
        <is>
          <t>NULL</t>
        </is>
      </c>
      <c r="E627" s="0" t="inlineStr">
        <is>
          <t>NULL</t>
        </is>
      </c>
      <c r="F627" s="0" t="inlineStr">
        <is>
          <t>NULL</t>
        </is>
      </c>
      <c r="G627" s="0" t="inlineStr">
        <is>
          <t>NULL</t>
        </is>
      </c>
      <c r="H627" s="0" t="inlineStr">
        <is>
          <t>NULL</t>
        </is>
      </c>
      <c r="I627" s="0" t="inlineStr">
        <is>
          <t>NULL</t>
        </is>
      </c>
      <c r="J627" s="0" t="inlineStr">
        <is>
          <t>NULL</t>
        </is>
      </c>
      <c r="K627" s="0" t="inlineStr">
        <is>
          <t>YES! 	 c_binary列源备映射正确，源端为binary 1位	期望更改为binary(n)	实际备端为binary 1位</t>
        </is>
      </c>
    </row>
    <row r="628">
      <c r="B628" s="0" t="inlineStr">
        <is>
          <t>NULL</t>
        </is>
      </c>
      <c r="C628" s="0" t="inlineStr">
        <is>
          <t>NULL</t>
        </is>
      </c>
      <c r="D628" s="0" t="inlineStr">
        <is>
          <t>NULL</t>
        </is>
      </c>
      <c r="E628" s="0" t="inlineStr">
        <is>
          <t>NULL</t>
        </is>
      </c>
      <c r="F628" s="0" t="inlineStr">
        <is>
          <t>NULL</t>
        </is>
      </c>
      <c r="G628" s="0" t="inlineStr">
        <is>
          <t>NULL</t>
        </is>
      </c>
      <c r="H628" s="0" t="inlineStr">
        <is>
          <t>NULL</t>
        </is>
      </c>
      <c r="I628" s="0" t="inlineStr">
        <is>
          <t>NULL</t>
        </is>
      </c>
      <c r="J628" s="0" t="inlineStr">
        <is>
          <t>NULL</t>
        </is>
      </c>
      <c r="K628" s="0" t="inlineStr">
        <is>
          <t>YES! 	 c_binary_20列源备映射正确，源端为binary 20位	期望更改为binary(n)	实际备端为binary 20位</t>
        </is>
      </c>
    </row>
    <row r="629">
      <c r="B629" s="0" t="inlineStr">
        <is>
          <t>NULL</t>
        </is>
      </c>
      <c r="C629" s="0" t="inlineStr">
        <is>
          <t>NULL</t>
        </is>
      </c>
      <c r="D629" s="0" t="inlineStr">
        <is>
          <t>NULL</t>
        </is>
      </c>
      <c r="E629" s="0" t="inlineStr">
        <is>
          <t>NULL</t>
        </is>
      </c>
      <c r="F629" s="0" t="inlineStr">
        <is>
          <t>NULL</t>
        </is>
      </c>
      <c r="G629" s="0" t="inlineStr">
        <is>
          <t>NULL</t>
        </is>
      </c>
      <c r="H629" s="0" t="inlineStr">
        <is>
          <t>NULL</t>
        </is>
      </c>
      <c r="I629" s="0" t="inlineStr">
        <is>
          <t>NULL</t>
        </is>
      </c>
      <c r="J629" s="0" t="inlineStr">
        <is>
          <t>NULL</t>
        </is>
      </c>
      <c r="K629" s="0" t="inlineStr">
        <is>
          <t>YES! 	 c_binary_8000列源备映射正确，源端为binary 8000位	期望更改为longblob	实际备端为longblob 4294967295位</t>
        </is>
      </c>
    </row>
    <row r="630">
      <c r="K630" s="0" t="inlineStr">
        <is>
          <t>[0;31m NO! [0m 	  行数不同,源9行,备端空表</t>
        </is>
      </c>
    </row>
    <row r="631">
      <c r="A631" s="0" t="inlineStr">
        <is>
          <t>info_xml_dml_single_nopk_urp</t>
        </is>
      </c>
      <c r="K631" s="0" t="inlineStr">
        <is>
          <t>[0;34m info_xml_dml_single_nopk_urp [0m源备字段数相同，源端字段：2 	备端字段2</t>
        </is>
      </c>
      <c r="W631" s="0" t="inlineStr">
        <is>
          <t>YES 源备无差异</t>
        </is>
      </c>
      <c r="X631" s="0">
        <f>A631</f>
        <v/>
      </c>
    </row>
    <row r="632">
      <c r="B632" s="0" t="inlineStr">
        <is>
          <t>NULL</t>
        </is>
      </c>
      <c r="C632" s="0" t="inlineStr">
        <is>
          <t>NULL</t>
        </is>
      </c>
      <c r="D632" s="0" t="inlineStr">
        <is>
          <t>NULL</t>
        </is>
      </c>
      <c r="E632" s="0" t="inlineStr">
        <is>
          <t>NULL</t>
        </is>
      </c>
      <c r="F632" s="0" t="inlineStr">
        <is>
          <t>NULL</t>
        </is>
      </c>
      <c r="G632" s="0" t="inlineStr">
        <is>
          <t>NULL</t>
        </is>
      </c>
      <c r="H632" s="0" t="inlineStr">
        <is>
          <t>NULL</t>
        </is>
      </c>
      <c r="I632" s="0" t="inlineStr">
        <is>
          <t>NULL</t>
        </is>
      </c>
      <c r="J632" s="0" t="inlineStr">
        <is>
          <t>NULL</t>
        </is>
      </c>
      <c r="K632" s="0" t="inlineStr">
        <is>
          <t>YES! 	 id列源备映射正确，源端为int None位	期望更改为int	实际备端为int None位</t>
        </is>
      </c>
    </row>
    <row r="633">
      <c r="B633" s="0" t="inlineStr">
        <is>
          <t>NULL</t>
        </is>
      </c>
      <c r="C633" s="0" t="inlineStr">
        <is>
          <t>NULL</t>
        </is>
      </c>
      <c r="D633" s="0" t="inlineStr">
        <is>
          <t>NULL</t>
        </is>
      </c>
      <c r="E633" s="0" t="inlineStr">
        <is>
          <t>NULL</t>
        </is>
      </c>
      <c r="F633" s="0" t="inlineStr">
        <is>
          <t>NULL</t>
        </is>
      </c>
      <c r="G633" s="0" t="inlineStr">
        <is>
          <t>NULL</t>
        </is>
      </c>
      <c r="H633" s="0" t="inlineStr">
        <is>
          <t>NULL</t>
        </is>
      </c>
      <c r="I633" s="0" t="inlineStr">
        <is>
          <t>NULL</t>
        </is>
      </c>
      <c r="J633" s="0" t="inlineStr">
        <is>
          <t>NULL</t>
        </is>
      </c>
      <c r="K633" s="0" t="inlineStr">
        <is>
          <t>YES! 	 c_xml列源备映射正确，源端为xml -1位	期望更改为longtext	实际备端为longtext 4294967295位</t>
        </is>
      </c>
    </row>
    <row r="634">
      <c r="A634" s="0" t="inlineStr">
        <is>
          <t>info_datetime_dml_single_pk_irp</t>
        </is>
      </c>
      <c r="K634" s="0" t="inlineStr">
        <is>
          <t>[0;34m info_datetime_dml_single_pk_irp [0m源备字段数相同，源端字段：2 	备端字段2</t>
        </is>
      </c>
      <c r="W634" s="0" t="inlineStr">
        <is>
          <t>YES 源备无差异</t>
        </is>
      </c>
      <c r="X634" s="0">
        <f>A634</f>
        <v/>
      </c>
    </row>
    <row r="635">
      <c r="B635" s="0" t="inlineStr">
        <is>
          <t>NO! 主键不正常，源YES备None</t>
        </is>
      </c>
      <c r="C635" s="0" t="inlineStr">
        <is>
          <t>NULL</t>
        </is>
      </c>
      <c r="D635" s="0" t="inlineStr">
        <is>
          <t>NULL</t>
        </is>
      </c>
      <c r="E635" s="0" t="inlineStr">
        <is>
          <t>NULL</t>
        </is>
      </c>
      <c r="F635" s="0" t="inlineStr">
        <is>
          <t>NULL</t>
        </is>
      </c>
      <c r="G635" s="0" t="inlineStr">
        <is>
          <t>NULL</t>
        </is>
      </c>
      <c r="H635" s="0" t="inlineStr">
        <is>
          <t>NULL</t>
        </is>
      </c>
      <c r="I635" s="0" t="inlineStr">
        <is>
          <t>NO! 源备索引不一致源PK__info_dat__3213E83F9B704CC8备None</t>
        </is>
      </c>
      <c r="J635" s="0" t="inlineStr">
        <is>
          <t>NULL</t>
        </is>
      </c>
      <c r="K635" s="0" t="inlineStr">
        <is>
          <t>YES! 	 id列源备映射正确，源端为int None位	期望更改为int	实际备端为int None位</t>
        </is>
      </c>
    </row>
    <row r="636">
      <c r="B636" s="0" t="inlineStr">
        <is>
          <t>NULL</t>
        </is>
      </c>
      <c r="C636" s="0" t="inlineStr">
        <is>
          <t>NO!源None备NUL</t>
        </is>
      </c>
      <c r="D636" s="0" t="inlineStr">
        <is>
          <t>NULL</t>
        </is>
      </c>
      <c r="E636" s="0" t="inlineStr">
        <is>
          <t>NULL</t>
        </is>
      </c>
      <c r="F636" s="0" t="inlineStr">
        <is>
          <t>NULL</t>
        </is>
      </c>
      <c r="G636" s="0" t="inlineStr">
        <is>
          <t>NULL</t>
        </is>
      </c>
      <c r="H636" s="0" t="inlineStr">
        <is>
          <t>NULL</t>
        </is>
      </c>
      <c r="I636" s="0" t="inlineStr">
        <is>
          <t>NULL</t>
        </is>
      </c>
      <c r="J636" s="0" t="inlineStr">
        <is>
          <t>NULL</t>
        </is>
      </c>
      <c r="K636" s="0" t="inlineStr">
        <is>
          <t>YES! 	 c_datetime列源备映射正确，源端为datetime None位	期望更改为datetime(3)	实际备端为datetime None位</t>
        </is>
      </c>
    </row>
    <row r="637">
      <c r="K637" s="0" t="inlineStr">
        <is>
          <t>[0;31m NO! [0m 	  行数不同,源24行,备端空表</t>
        </is>
      </c>
    </row>
    <row r="638">
      <c r="A638" s="0" t="inlineStr">
        <is>
          <t>info_binary_dml_single_nopk_urp</t>
        </is>
      </c>
      <c r="K638" s="0" t="inlineStr">
        <is>
          <t>[0;34m info_binary_dml_single_nopk_urp [0m源备字段数相同，源端字段：4 	备端字段4</t>
        </is>
      </c>
      <c r="W638" s="0" t="inlineStr">
        <is>
          <t>YES 源备无差异</t>
        </is>
      </c>
      <c r="X638" s="0">
        <f>A638</f>
        <v/>
      </c>
    </row>
    <row r="639">
      <c r="B639" s="0" t="inlineStr">
        <is>
          <t>NULL</t>
        </is>
      </c>
      <c r="C639" s="0" t="inlineStr">
        <is>
          <t>NULL</t>
        </is>
      </c>
      <c r="D639" s="0" t="inlineStr">
        <is>
          <t>NULL</t>
        </is>
      </c>
      <c r="E639" s="0" t="inlineStr">
        <is>
          <t>NULL</t>
        </is>
      </c>
      <c r="F639" s="0" t="inlineStr">
        <is>
          <t>NULL</t>
        </is>
      </c>
      <c r="G639" s="0" t="inlineStr">
        <is>
          <t>NULL</t>
        </is>
      </c>
      <c r="H639" s="0" t="inlineStr">
        <is>
          <t>NULL</t>
        </is>
      </c>
      <c r="I639" s="0" t="inlineStr">
        <is>
          <t>NULL</t>
        </is>
      </c>
      <c r="J639" s="0" t="inlineStr">
        <is>
          <t>NULL</t>
        </is>
      </c>
      <c r="K639" s="0" t="inlineStr">
        <is>
          <t>YES! 	 id列源备映射正确，源端为int None位	期望更改为int	实际备端为int None位</t>
        </is>
      </c>
    </row>
    <row r="640">
      <c r="B640" s="0" t="inlineStr">
        <is>
          <t>NULL</t>
        </is>
      </c>
      <c r="C640" s="0" t="inlineStr">
        <is>
          <t>NULL</t>
        </is>
      </c>
      <c r="D640" s="0" t="inlineStr">
        <is>
          <t>NULL</t>
        </is>
      </c>
      <c r="E640" s="0" t="inlineStr">
        <is>
          <t>NULL</t>
        </is>
      </c>
      <c r="F640" s="0" t="inlineStr">
        <is>
          <t>NULL</t>
        </is>
      </c>
      <c r="G640" s="0" t="inlineStr">
        <is>
          <t>NULL</t>
        </is>
      </c>
      <c r="H640" s="0" t="inlineStr">
        <is>
          <t>NULL</t>
        </is>
      </c>
      <c r="I640" s="0" t="inlineStr">
        <is>
          <t>NULL</t>
        </is>
      </c>
      <c r="J640" s="0" t="inlineStr">
        <is>
          <t>NULL</t>
        </is>
      </c>
      <c r="K640" s="0" t="inlineStr">
        <is>
          <t>YES! 	 c_binary列源备映射正确，源端为binary 1位	期望更改为binary(n)	实际备端为binary 1位</t>
        </is>
      </c>
    </row>
    <row r="641">
      <c r="B641" s="0" t="inlineStr">
        <is>
          <t>NULL</t>
        </is>
      </c>
      <c r="C641" s="0" t="inlineStr">
        <is>
          <t>NULL</t>
        </is>
      </c>
      <c r="D641" s="0" t="inlineStr">
        <is>
          <t>NULL</t>
        </is>
      </c>
      <c r="E641" s="0" t="inlineStr">
        <is>
          <t>NULL</t>
        </is>
      </c>
      <c r="F641" s="0" t="inlineStr">
        <is>
          <t>NULL</t>
        </is>
      </c>
      <c r="G641" s="0" t="inlineStr">
        <is>
          <t>NULL</t>
        </is>
      </c>
      <c r="H641" s="0" t="inlineStr">
        <is>
          <t>NULL</t>
        </is>
      </c>
      <c r="I641" s="0" t="inlineStr">
        <is>
          <t>NULL</t>
        </is>
      </c>
      <c r="J641" s="0" t="inlineStr">
        <is>
          <t>NULL</t>
        </is>
      </c>
      <c r="K641" s="0" t="inlineStr">
        <is>
          <t>YES! 	 c_binary_20列源备映射正确，源端为binary 20位	期望更改为binary(n)	实际备端为binary 20位</t>
        </is>
      </c>
    </row>
    <row r="642">
      <c r="B642" s="0" t="inlineStr">
        <is>
          <t>NULL</t>
        </is>
      </c>
      <c r="C642" s="0" t="inlineStr">
        <is>
          <t>NULL</t>
        </is>
      </c>
      <c r="D642" s="0" t="inlineStr">
        <is>
          <t>NULL</t>
        </is>
      </c>
      <c r="E642" s="0" t="inlineStr">
        <is>
          <t>NULL</t>
        </is>
      </c>
      <c r="F642" s="0" t="inlineStr">
        <is>
          <t>NULL</t>
        </is>
      </c>
      <c r="G642" s="0" t="inlineStr">
        <is>
          <t>NULL</t>
        </is>
      </c>
      <c r="H642" s="0" t="inlineStr">
        <is>
          <t>NULL</t>
        </is>
      </c>
      <c r="I642" s="0" t="inlineStr">
        <is>
          <t>NULL</t>
        </is>
      </c>
      <c r="J642" s="0" t="inlineStr">
        <is>
          <t>NULL</t>
        </is>
      </c>
      <c r="K642" s="0" t="inlineStr">
        <is>
          <t>YES! 	 c_binary_8000列源备映射正确，源端为binary 8000位	期望更改为longblob	实际备端为longblob 4294967295位</t>
        </is>
      </c>
    </row>
    <row r="643">
      <c r="K643" s="0" t="inlineStr">
        <is>
          <t>[0;31m NO! [0m 	  行数不同,源5行,备端空表</t>
        </is>
      </c>
    </row>
    <row r="644">
      <c r="A644" s="0" t="inlineStr">
        <is>
          <t>info_xml_dml_single_nopk_irp</t>
        </is>
      </c>
      <c r="K644" s="0" t="inlineStr">
        <is>
          <t>[0;34m info_xml_dml_single_nopk_irp [0m源备字段数相同，源端字段：2 	备端字段2</t>
        </is>
      </c>
      <c r="W644" s="0" t="inlineStr">
        <is>
          <t>YES 源备无差异</t>
        </is>
      </c>
      <c r="X644" s="0">
        <f>A644</f>
        <v/>
      </c>
    </row>
    <row r="645">
      <c r="B645" s="0" t="inlineStr">
        <is>
          <t>NULL</t>
        </is>
      </c>
      <c r="C645" s="0" t="inlineStr">
        <is>
          <t>NULL</t>
        </is>
      </c>
      <c r="D645" s="0" t="inlineStr">
        <is>
          <t>NULL</t>
        </is>
      </c>
      <c r="E645" s="0" t="inlineStr">
        <is>
          <t>NULL</t>
        </is>
      </c>
      <c r="F645" s="0" t="inlineStr">
        <is>
          <t>NULL</t>
        </is>
      </c>
      <c r="G645" s="0" t="inlineStr">
        <is>
          <t>NULL</t>
        </is>
      </c>
      <c r="H645" s="0" t="inlineStr">
        <is>
          <t>NULL</t>
        </is>
      </c>
      <c r="I645" s="0" t="inlineStr">
        <is>
          <t>NULL</t>
        </is>
      </c>
      <c r="J645" s="0" t="inlineStr">
        <is>
          <t>NULL</t>
        </is>
      </c>
      <c r="K645" s="0" t="inlineStr">
        <is>
          <t>YES! 	 id列源备映射正确，源端为int None位	期望更改为int	实际备端为int None位</t>
        </is>
      </c>
    </row>
    <row r="646">
      <c r="B646" s="0" t="inlineStr">
        <is>
          <t>NULL</t>
        </is>
      </c>
      <c r="C646" s="0" t="inlineStr">
        <is>
          <t>NULL</t>
        </is>
      </c>
      <c r="D646" s="0" t="inlineStr">
        <is>
          <t>NULL</t>
        </is>
      </c>
      <c r="E646" s="0" t="inlineStr">
        <is>
          <t>NULL</t>
        </is>
      </c>
      <c r="F646" s="0" t="inlineStr">
        <is>
          <t>NULL</t>
        </is>
      </c>
      <c r="G646" s="0" t="inlineStr">
        <is>
          <t>NULL</t>
        </is>
      </c>
      <c r="H646" s="0" t="inlineStr">
        <is>
          <t>NULL</t>
        </is>
      </c>
      <c r="I646" s="0" t="inlineStr">
        <is>
          <t>NULL</t>
        </is>
      </c>
      <c r="J646" s="0" t="inlineStr">
        <is>
          <t>NULL</t>
        </is>
      </c>
      <c r="K646" s="0" t="inlineStr">
        <is>
          <t>YES! 	 c_xml列源备映射正确，源端为xml -1位	期望更改为longtext	实际备端为longtext 4294967295位</t>
        </is>
      </c>
    </row>
    <row r="647">
      <c r="K647" s="0" t="inlineStr">
        <is>
          <t>[0;31m NO! [0m 	  行数不同,源5行,备端空表</t>
        </is>
      </c>
    </row>
    <row r="648">
      <c r="A648" s="0" t="inlineStr">
        <is>
          <t>info_nvarchar_dml_batch2_pk_irp2</t>
        </is>
      </c>
      <c r="K648" s="0" t="inlineStr">
        <is>
          <t>[0;34m info_nvarchar_dml_batch2_pk_irp2 [0m源备字段数相同，源端字段：4 	备端字段4</t>
        </is>
      </c>
      <c r="W648" s="0" t="inlineStr">
        <is>
          <t>YES 源备无差异</t>
        </is>
      </c>
      <c r="X648" s="0">
        <f>A648</f>
        <v/>
      </c>
    </row>
    <row r="649">
      <c r="B649" s="0" t="inlineStr">
        <is>
          <t>NO! 主键不正常，源YES备None</t>
        </is>
      </c>
      <c r="C649" s="0" t="inlineStr">
        <is>
          <t>NULL</t>
        </is>
      </c>
      <c r="D649" s="0" t="inlineStr">
        <is>
          <t>NULL</t>
        </is>
      </c>
      <c r="E649" s="0" t="inlineStr">
        <is>
          <t>NULL</t>
        </is>
      </c>
      <c r="F649" s="0" t="inlineStr">
        <is>
          <t>NULL</t>
        </is>
      </c>
      <c r="G649" s="0" t="inlineStr">
        <is>
          <t>NULL</t>
        </is>
      </c>
      <c r="H649" s="0" t="inlineStr">
        <is>
          <t>NULL</t>
        </is>
      </c>
      <c r="I649" s="0" t="inlineStr">
        <is>
          <t>NO! 源备索引不一致源PK__info_nva__3213E83F40A54535备None</t>
        </is>
      </c>
      <c r="J649" s="0" t="inlineStr">
        <is>
          <t>NULL</t>
        </is>
      </c>
      <c r="K649" s="0" t="inlineStr">
        <is>
          <t>YES! 	 id列源备映射正确，源端为int None位	期望更改为int	实际备端为int None位</t>
        </is>
      </c>
    </row>
    <row r="650">
      <c r="B650" s="0" t="inlineStr">
        <is>
          <t>NULL</t>
        </is>
      </c>
      <c r="C650" s="0" t="inlineStr">
        <is>
          <t>NULL</t>
        </is>
      </c>
      <c r="D650" s="0" t="inlineStr">
        <is>
          <t>NULL</t>
        </is>
      </c>
      <c r="E650" s="0" t="inlineStr">
        <is>
          <t>NULL</t>
        </is>
      </c>
      <c r="F650" s="0" t="inlineStr">
        <is>
          <t>NULL</t>
        </is>
      </c>
      <c r="G650" s="0" t="inlineStr">
        <is>
          <t>NULL</t>
        </is>
      </c>
      <c r="H650" s="0" t="inlineStr">
        <is>
          <t>NULL</t>
        </is>
      </c>
      <c r="I650" s="0" t="inlineStr">
        <is>
          <t>NULL</t>
        </is>
      </c>
      <c r="J650" s="0" t="inlineStr">
        <is>
          <t>NULL</t>
        </is>
      </c>
      <c r="K650" s="0" t="inlineStr">
        <is>
          <t>YES! 	 c_nvarchar列源备映射正确，源端为nvarchar 2位	期望更改为varchar(n)	实际备端为varchar 4位</t>
        </is>
      </c>
    </row>
    <row r="651">
      <c r="B651" s="0" t="inlineStr">
        <is>
          <t>NULL</t>
        </is>
      </c>
      <c r="C651" s="0" t="inlineStr">
        <is>
          <t>NULL</t>
        </is>
      </c>
      <c r="D651" s="0" t="inlineStr">
        <is>
          <t>NULL</t>
        </is>
      </c>
      <c r="E651" s="0" t="inlineStr">
        <is>
          <t>NULL</t>
        </is>
      </c>
      <c r="F651" s="0" t="inlineStr">
        <is>
          <t>NULL</t>
        </is>
      </c>
      <c r="G651" s="0" t="inlineStr">
        <is>
          <t>NULL</t>
        </is>
      </c>
      <c r="H651" s="0" t="inlineStr">
        <is>
          <t>NULL</t>
        </is>
      </c>
      <c r="I651" s="0" t="inlineStr">
        <is>
          <t>NULL</t>
        </is>
      </c>
      <c r="J651" s="0" t="inlineStr">
        <is>
          <t>NULL</t>
        </is>
      </c>
      <c r="K651" s="0" t="inlineStr">
        <is>
          <t>YES! 	 c_nvarchar20列源备映射正确，源端为nvarchar 40位	期望更改为varchar(n)	实际备端为varchar 80位</t>
        </is>
      </c>
    </row>
    <row r="652">
      <c r="B652" s="0" t="inlineStr">
        <is>
          <t>NULL</t>
        </is>
      </c>
      <c r="C652" s="0" t="inlineStr">
        <is>
          <t>NULL</t>
        </is>
      </c>
      <c r="D652" s="0" t="inlineStr">
        <is>
          <t>NULL</t>
        </is>
      </c>
      <c r="E652" s="0" t="inlineStr">
        <is>
          <t>NULL</t>
        </is>
      </c>
      <c r="F652" s="0" t="inlineStr">
        <is>
          <t>NULL</t>
        </is>
      </c>
      <c r="G652" s="0" t="inlineStr">
        <is>
          <t>NULL</t>
        </is>
      </c>
      <c r="H652" s="0" t="inlineStr">
        <is>
          <t>NULL</t>
        </is>
      </c>
      <c r="I652" s="0" t="inlineStr">
        <is>
          <t>NULL</t>
        </is>
      </c>
      <c r="J652" s="0" t="inlineStr">
        <is>
          <t>NULL</t>
        </is>
      </c>
      <c r="K652" s="0" t="inlineStr">
        <is>
          <t>YES! 	 c_nvarchar3500列源备映射正确，源端为nvarchar 7000位	期望更改为text	实际备端为text 65535位</t>
        </is>
      </c>
    </row>
    <row r="653">
      <c r="K653" s="0" t="inlineStr">
        <is>
          <t>[0;31m NO! [0m 	  行数不同,源11行,备端空表</t>
        </is>
      </c>
    </row>
    <row r="654">
      <c r="A654" s="0" t="inlineStr">
        <is>
          <t>info_xml_dml_single_nopk</t>
        </is>
      </c>
      <c r="K654" s="0" t="inlineStr">
        <is>
          <t>[0;34m info_xml_dml_single_nopk [0m源备字段数相同，源端字段：2 	备端字段2</t>
        </is>
      </c>
      <c r="W654" s="0" t="inlineStr">
        <is>
          <t>YES 源备无差异</t>
        </is>
      </c>
      <c r="X654" s="0">
        <f>A654</f>
        <v/>
      </c>
    </row>
    <row r="655">
      <c r="B655" s="0" t="inlineStr">
        <is>
          <t>NULL</t>
        </is>
      </c>
      <c r="C655" s="0" t="inlineStr">
        <is>
          <t>NULL</t>
        </is>
      </c>
      <c r="D655" s="0" t="inlineStr">
        <is>
          <t>NULL</t>
        </is>
      </c>
      <c r="E655" s="0" t="inlineStr">
        <is>
          <t>NULL</t>
        </is>
      </c>
      <c r="F655" s="0" t="inlineStr">
        <is>
          <t>NULL</t>
        </is>
      </c>
      <c r="G655" s="0" t="inlineStr">
        <is>
          <t>NULL</t>
        </is>
      </c>
      <c r="H655" s="0" t="inlineStr">
        <is>
          <t>NULL</t>
        </is>
      </c>
      <c r="I655" s="0" t="inlineStr">
        <is>
          <t>NULL</t>
        </is>
      </c>
      <c r="J655" s="0" t="inlineStr">
        <is>
          <t>NULL</t>
        </is>
      </c>
      <c r="K655" s="0" t="inlineStr">
        <is>
          <t>YES! 	 id列源备映射正确，源端为int None位	期望更改为int	实际备端为int None位</t>
        </is>
      </c>
    </row>
    <row r="656">
      <c r="B656" s="0" t="inlineStr">
        <is>
          <t>NULL</t>
        </is>
      </c>
      <c r="C656" s="0" t="inlineStr">
        <is>
          <t>NULL</t>
        </is>
      </c>
      <c r="D656" s="0" t="inlineStr">
        <is>
          <t>NULL</t>
        </is>
      </c>
      <c r="E656" s="0" t="inlineStr">
        <is>
          <t>NULL</t>
        </is>
      </c>
      <c r="F656" s="0" t="inlineStr">
        <is>
          <t>NULL</t>
        </is>
      </c>
      <c r="G656" s="0" t="inlineStr">
        <is>
          <t>NULL</t>
        </is>
      </c>
      <c r="H656" s="0" t="inlineStr">
        <is>
          <t>NULL</t>
        </is>
      </c>
      <c r="I656" s="0" t="inlineStr">
        <is>
          <t>NULL</t>
        </is>
      </c>
      <c r="J656" s="0" t="inlineStr">
        <is>
          <t>NULL</t>
        </is>
      </c>
      <c r="K656" s="0" t="inlineStr">
        <is>
          <t>YES! 	 c_xml列源备映射正确，源端为xml -1位	期望更改为longtext	实际备端为longtext 4294967295位</t>
        </is>
      </c>
    </row>
    <row r="657">
      <c r="K657" s="0" t="inlineStr">
        <is>
          <t>[0;31m NO! [0m 	  行数不同,源1行,备端空表</t>
        </is>
      </c>
    </row>
    <row r="658">
      <c r="A658" s="0" t="inlineStr">
        <is>
          <t>info_binary_dml_single_nopk_drp</t>
        </is>
      </c>
      <c r="K658" s="0" t="inlineStr">
        <is>
          <t>[0;34m info_binary_dml_single_nopk_drp [0m源备字段数相同，源端字段：4 	备端字段4</t>
        </is>
      </c>
      <c r="W658" s="0" t="inlineStr">
        <is>
          <t>YES 源备无差异</t>
        </is>
      </c>
      <c r="X658" s="0">
        <f>A658</f>
        <v/>
      </c>
    </row>
    <row r="659">
      <c r="B659" s="0" t="inlineStr">
        <is>
          <t>NULL</t>
        </is>
      </c>
      <c r="C659" s="0" t="inlineStr">
        <is>
          <t>NULL</t>
        </is>
      </c>
      <c r="D659" s="0" t="inlineStr">
        <is>
          <t>NULL</t>
        </is>
      </c>
      <c r="E659" s="0" t="inlineStr">
        <is>
          <t>NULL</t>
        </is>
      </c>
      <c r="F659" s="0" t="inlineStr">
        <is>
          <t>NULL</t>
        </is>
      </c>
      <c r="G659" s="0" t="inlineStr">
        <is>
          <t>NULL</t>
        </is>
      </c>
      <c r="H659" s="0" t="inlineStr">
        <is>
          <t>NULL</t>
        </is>
      </c>
      <c r="I659" s="0" t="inlineStr">
        <is>
          <t>NULL</t>
        </is>
      </c>
      <c r="J659" s="0" t="inlineStr">
        <is>
          <t>NULL</t>
        </is>
      </c>
      <c r="K659" s="0" t="inlineStr">
        <is>
          <t>YES! 	 id列源备映射正确，源端为int None位	期望更改为int	实际备端为int None位</t>
        </is>
      </c>
    </row>
    <row r="660">
      <c r="B660" s="0" t="inlineStr">
        <is>
          <t>NULL</t>
        </is>
      </c>
      <c r="C660" s="0" t="inlineStr">
        <is>
          <t>NULL</t>
        </is>
      </c>
      <c r="D660" s="0" t="inlineStr">
        <is>
          <t>NULL</t>
        </is>
      </c>
      <c r="E660" s="0" t="inlineStr">
        <is>
          <t>NULL</t>
        </is>
      </c>
      <c r="F660" s="0" t="inlineStr">
        <is>
          <t>NULL</t>
        </is>
      </c>
      <c r="G660" s="0" t="inlineStr">
        <is>
          <t>NULL</t>
        </is>
      </c>
      <c r="H660" s="0" t="inlineStr">
        <is>
          <t>NULL</t>
        </is>
      </c>
      <c r="I660" s="0" t="inlineStr">
        <is>
          <t>NULL</t>
        </is>
      </c>
      <c r="J660" s="0" t="inlineStr">
        <is>
          <t>NULL</t>
        </is>
      </c>
      <c r="K660" s="0" t="inlineStr">
        <is>
          <t>YES! 	 c_binary列源备映射正确，源端为binary 1位	期望更改为binary(n)	实际备端为binary 1位</t>
        </is>
      </c>
    </row>
    <row r="661">
      <c r="B661" s="0" t="inlineStr">
        <is>
          <t>NULL</t>
        </is>
      </c>
      <c r="C661" s="0" t="inlineStr">
        <is>
          <t>NULL</t>
        </is>
      </c>
      <c r="D661" s="0" t="inlineStr">
        <is>
          <t>NULL</t>
        </is>
      </c>
      <c r="E661" s="0" t="inlineStr">
        <is>
          <t>NULL</t>
        </is>
      </c>
      <c r="F661" s="0" t="inlineStr">
        <is>
          <t>NULL</t>
        </is>
      </c>
      <c r="G661" s="0" t="inlineStr">
        <is>
          <t>NULL</t>
        </is>
      </c>
      <c r="H661" s="0" t="inlineStr">
        <is>
          <t>NULL</t>
        </is>
      </c>
      <c r="I661" s="0" t="inlineStr">
        <is>
          <t>NULL</t>
        </is>
      </c>
      <c r="J661" s="0" t="inlineStr">
        <is>
          <t>NULL</t>
        </is>
      </c>
      <c r="K661" s="0" t="inlineStr">
        <is>
          <t>YES! 	 c_binary_20列源备映射正确，源端为binary 20位	期望更改为binary(n)	实际备端为binary 20位</t>
        </is>
      </c>
    </row>
    <row r="662">
      <c r="B662" s="0" t="inlineStr">
        <is>
          <t>NULL</t>
        </is>
      </c>
      <c r="C662" s="0" t="inlineStr">
        <is>
          <t>NULL</t>
        </is>
      </c>
      <c r="D662" s="0" t="inlineStr">
        <is>
          <t>NULL</t>
        </is>
      </c>
      <c r="E662" s="0" t="inlineStr">
        <is>
          <t>NULL</t>
        </is>
      </c>
      <c r="F662" s="0" t="inlineStr">
        <is>
          <t>NULL</t>
        </is>
      </c>
      <c r="G662" s="0" t="inlineStr">
        <is>
          <t>NULL</t>
        </is>
      </c>
      <c r="H662" s="0" t="inlineStr">
        <is>
          <t>NULL</t>
        </is>
      </c>
      <c r="I662" s="0" t="inlineStr">
        <is>
          <t>NULL</t>
        </is>
      </c>
      <c r="J662" s="0" t="inlineStr">
        <is>
          <t>NULL</t>
        </is>
      </c>
      <c r="K662" s="0" t="inlineStr">
        <is>
          <t>YES! 	 c_binary_8000列源备映射正确，源端为binary 8000位	期望更改为longblob	实际备端为longblob 4294967295位</t>
        </is>
      </c>
    </row>
    <row r="663">
      <c r="K663" s="0" t="inlineStr">
        <is>
          <t>[0;31m NO! [0m 	  行数不同,源2行,备端空表</t>
        </is>
      </c>
    </row>
    <row r="664">
      <c r="A664" s="0" t="inlineStr">
        <is>
          <t>info_date_dml_single_nopk_irp</t>
        </is>
      </c>
      <c r="K664" s="0" t="inlineStr">
        <is>
          <t>[0;34m info_date_dml_single_nopk_irp [0m源备字段数相同，源端字段：2 	备端字段2</t>
        </is>
      </c>
      <c r="W664" s="0" t="inlineStr">
        <is>
          <t>YES 源备无差异</t>
        </is>
      </c>
      <c r="X664" s="0">
        <f>A664</f>
        <v/>
      </c>
    </row>
    <row r="665">
      <c r="B665" s="0" t="inlineStr">
        <is>
          <t>NULL</t>
        </is>
      </c>
      <c r="C665" s="0" t="inlineStr">
        <is>
          <t>NULL</t>
        </is>
      </c>
      <c r="D665" s="0" t="inlineStr">
        <is>
          <t>NULL</t>
        </is>
      </c>
      <c r="E665" s="0" t="inlineStr">
        <is>
          <t>NULL</t>
        </is>
      </c>
      <c r="F665" s="0" t="inlineStr">
        <is>
          <t>NULL</t>
        </is>
      </c>
      <c r="G665" s="0" t="inlineStr">
        <is>
          <t>NULL</t>
        </is>
      </c>
      <c r="H665" s="0" t="inlineStr">
        <is>
          <t>NULL</t>
        </is>
      </c>
      <c r="I665" s="0" t="inlineStr">
        <is>
          <t>NULL</t>
        </is>
      </c>
      <c r="J665" s="0" t="inlineStr">
        <is>
          <t>NULL</t>
        </is>
      </c>
      <c r="K665" s="0" t="inlineStr">
        <is>
          <t>YES! 	 id列源备映射正确，源端为int None位	期望更改为int	实际备端为int None位</t>
        </is>
      </c>
    </row>
    <row r="666">
      <c r="B666" s="0" t="inlineStr">
        <is>
          <t>NULL</t>
        </is>
      </c>
      <c r="C666" s="0" t="inlineStr">
        <is>
          <t>NO!源None备NUL</t>
        </is>
      </c>
      <c r="D666" s="0" t="inlineStr">
        <is>
          <t>NULL</t>
        </is>
      </c>
      <c r="E666" s="0" t="inlineStr">
        <is>
          <t>NULL</t>
        </is>
      </c>
      <c r="F666" s="0" t="inlineStr">
        <is>
          <t>NULL</t>
        </is>
      </c>
      <c r="G666" s="0" t="inlineStr">
        <is>
          <t>NULL</t>
        </is>
      </c>
      <c r="H666" s="0" t="inlineStr">
        <is>
          <t>NULL</t>
        </is>
      </c>
      <c r="I666" s="0" t="inlineStr">
        <is>
          <t>NULL</t>
        </is>
      </c>
      <c r="J666" s="0" t="inlineStr">
        <is>
          <t>NULL</t>
        </is>
      </c>
      <c r="K666" s="0" t="inlineStr">
        <is>
          <t>YES! 	 c_date列源备映射正确，源端为date None位	期望更改为date	实际备端为date None位</t>
        </is>
      </c>
    </row>
    <row r="667">
      <c r="K667" s="0" t="inlineStr">
        <is>
          <t>[0;31m NO! [0m 	  行数不同,源11行,备端空表</t>
        </is>
      </c>
    </row>
    <row r="668">
      <c r="A668" s="0" t="inlineStr">
        <is>
          <t>info_binary_dml_single_nopk</t>
        </is>
      </c>
      <c r="K668" s="0" t="inlineStr">
        <is>
          <t>[0;34m info_binary_dml_single_nopk [0m源备字段数相同，源端字段：4 	备端字段4</t>
        </is>
      </c>
      <c r="W668" s="0" t="inlineStr">
        <is>
          <t>YES 源备无差异</t>
        </is>
      </c>
      <c r="X668" s="0">
        <f>A668</f>
        <v/>
      </c>
    </row>
    <row r="669">
      <c r="B669" s="0" t="inlineStr">
        <is>
          <t>NULL</t>
        </is>
      </c>
      <c r="C669" s="0" t="inlineStr">
        <is>
          <t>NULL</t>
        </is>
      </c>
      <c r="D669" s="0" t="inlineStr">
        <is>
          <t>NULL</t>
        </is>
      </c>
      <c r="E669" s="0" t="inlineStr">
        <is>
          <t>NULL</t>
        </is>
      </c>
      <c r="F669" s="0" t="inlineStr">
        <is>
          <t>NULL</t>
        </is>
      </c>
      <c r="G669" s="0" t="inlineStr">
        <is>
          <t>NULL</t>
        </is>
      </c>
      <c r="H669" s="0" t="inlineStr">
        <is>
          <t>NULL</t>
        </is>
      </c>
      <c r="I669" s="0" t="inlineStr">
        <is>
          <t>NULL</t>
        </is>
      </c>
      <c r="J669" s="0" t="inlineStr">
        <is>
          <t>NULL</t>
        </is>
      </c>
      <c r="K669" s="0" t="inlineStr">
        <is>
          <t>YES! 	 id列源备映射正确，源端为int None位	期望更改为int	实际备端为int None位</t>
        </is>
      </c>
    </row>
    <row r="670">
      <c r="B670" s="0" t="inlineStr">
        <is>
          <t>NULL</t>
        </is>
      </c>
      <c r="C670" s="0" t="inlineStr">
        <is>
          <t>NULL</t>
        </is>
      </c>
      <c r="D670" s="0" t="inlineStr">
        <is>
          <t>NULL</t>
        </is>
      </c>
      <c r="E670" s="0" t="inlineStr">
        <is>
          <t>NULL</t>
        </is>
      </c>
      <c r="F670" s="0" t="inlineStr">
        <is>
          <t>NULL</t>
        </is>
      </c>
      <c r="G670" s="0" t="inlineStr">
        <is>
          <t>NULL</t>
        </is>
      </c>
      <c r="H670" s="0" t="inlineStr">
        <is>
          <t>NULL</t>
        </is>
      </c>
      <c r="I670" s="0" t="inlineStr">
        <is>
          <t>NULL</t>
        </is>
      </c>
      <c r="J670" s="0" t="inlineStr">
        <is>
          <t>NULL</t>
        </is>
      </c>
      <c r="K670" s="0" t="inlineStr">
        <is>
          <t>YES! 	 c_binary列源备映射正确，源端为binary 1位	期望更改为binary(n)	实际备端为binary 1位</t>
        </is>
      </c>
    </row>
    <row r="671">
      <c r="B671" s="0" t="inlineStr">
        <is>
          <t>NULL</t>
        </is>
      </c>
      <c r="C671" s="0" t="inlineStr">
        <is>
          <t>NULL</t>
        </is>
      </c>
      <c r="D671" s="0" t="inlineStr">
        <is>
          <t>NULL</t>
        </is>
      </c>
      <c r="E671" s="0" t="inlineStr">
        <is>
          <t>NULL</t>
        </is>
      </c>
      <c r="F671" s="0" t="inlineStr">
        <is>
          <t>NULL</t>
        </is>
      </c>
      <c r="G671" s="0" t="inlineStr">
        <is>
          <t>NULL</t>
        </is>
      </c>
      <c r="H671" s="0" t="inlineStr">
        <is>
          <t>NULL</t>
        </is>
      </c>
      <c r="I671" s="0" t="inlineStr">
        <is>
          <t>NULL</t>
        </is>
      </c>
      <c r="J671" s="0" t="inlineStr">
        <is>
          <t>NULL</t>
        </is>
      </c>
      <c r="K671" s="0" t="inlineStr">
        <is>
          <t>YES! 	 c_binary_20列源备映射正确，源端为binary 20位	期望更改为binary(n)	实际备端为binary 20位</t>
        </is>
      </c>
    </row>
    <row r="672">
      <c r="B672" s="0" t="inlineStr">
        <is>
          <t>NULL</t>
        </is>
      </c>
      <c r="C672" s="0" t="inlineStr">
        <is>
          <t>NULL</t>
        </is>
      </c>
      <c r="D672" s="0" t="inlineStr">
        <is>
          <t>NULL</t>
        </is>
      </c>
      <c r="E672" s="0" t="inlineStr">
        <is>
          <t>NULL</t>
        </is>
      </c>
      <c r="F672" s="0" t="inlineStr">
        <is>
          <t>NULL</t>
        </is>
      </c>
      <c r="G672" s="0" t="inlineStr">
        <is>
          <t>NULL</t>
        </is>
      </c>
      <c r="H672" s="0" t="inlineStr">
        <is>
          <t>NULL</t>
        </is>
      </c>
      <c r="I672" s="0" t="inlineStr">
        <is>
          <t>NULL</t>
        </is>
      </c>
      <c r="J672" s="0" t="inlineStr">
        <is>
          <t>NULL</t>
        </is>
      </c>
      <c r="K672" s="0" t="inlineStr">
        <is>
          <t>YES! 	 c_binary_8000列源备映射正确，源端为binary 8000位	期望更改为longblob	实际备端为longblob 4294967295位</t>
        </is>
      </c>
    </row>
    <row r="673">
      <c r="K673" s="0" t="inlineStr">
        <is>
          <t>[0;31m NO! [0m 	  行数不同,源1行,备端空表</t>
        </is>
      </c>
    </row>
    <row r="674">
      <c r="A674" s="0" t="inlineStr">
        <is>
          <t>info_xml_dml_single_nopk_drp</t>
        </is>
      </c>
      <c r="K674" s="0" t="inlineStr">
        <is>
          <t>[0;34m info_xml_dml_single_nopk_drp [0m源备字段数相同，源端字段：2 	备端字段2</t>
        </is>
      </c>
      <c r="W674" s="0" t="inlineStr">
        <is>
          <t>YES 源备无差异</t>
        </is>
      </c>
      <c r="X674" s="0">
        <f>A674</f>
        <v/>
      </c>
    </row>
    <row r="675">
      <c r="B675" s="0" t="inlineStr">
        <is>
          <t>NULL</t>
        </is>
      </c>
      <c r="C675" s="0" t="inlineStr">
        <is>
          <t>NULL</t>
        </is>
      </c>
      <c r="D675" s="0" t="inlineStr">
        <is>
          <t>NULL</t>
        </is>
      </c>
      <c r="E675" s="0" t="inlineStr">
        <is>
          <t>NULL</t>
        </is>
      </c>
      <c r="F675" s="0" t="inlineStr">
        <is>
          <t>NULL</t>
        </is>
      </c>
      <c r="G675" s="0" t="inlineStr">
        <is>
          <t>NULL</t>
        </is>
      </c>
      <c r="H675" s="0" t="inlineStr">
        <is>
          <t>NULL</t>
        </is>
      </c>
      <c r="I675" s="0" t="inlineStr">
        <is>
          <t>NULL</t>
        </is>
      </c>
      <c r="J675" s="0" t="inlineStr">
        <is>
          <t>NULL</t>
        </is>
      </c>
      <c r="K675" s="0" t="inlineStr">
        <is>
          <t>YES! 	 id列源备映射正确，源端为int None位	期望更改为int	实际备端为int None位</t>
        </is>
      </c>
    </row>
    <row r="676">
      <c r="B676" s="0" t="inlineStr">
        <is>
          <t>NULL</t>
        </is>
      </c>
      <c r="C676" s="0" t="inlineStr">
        <is>
          <t>NULL</t>
        </is>
      </c>
      <c r="D676" s="0" t="inlineStr">
        <is>
          <t>NULL</t>
        </is>
      </c>
      <c r="E676" s="0" t="inlineStr">
        <is>
          <t>NULL</t>
        </is>
      </c>
      <c r="F676" s="0" t="inlineStr">
        <is>
          <t>NULL</t>
        </is>
      </c>
      <c r="G676" s="0" t="inlineStr">
        <is>
          <t>NULL</t>
        </is>
      </c>
      <c r="H676" s="0" t="inlineStr">
        <is>
          <t>NULL</t>
        </is>
      </c>
      <c r="I676" s="0" t="inlineStr">
        <is>
          <t>NULL</t>
        </is>
      </c>
      <c r="J676" s="0" t="inlineStr">
        <is>
          <t>NULL</t>
        </is>
      </c>
      <c r="K676" s="0" t="inlineStr">
        <is>
          <t>YES! 	 c_xml列源备映射正确，源端为xml -1位	期望更改为longtext	实际备端为longtext 4294967295位</t>
        </is>
      </c>
    </row>
    <row r="677">
      <c r="A677" s="0" t="inlineStr">
        <is>
          <t>info_date_dml_single_nopk_urp</t>
        </is>
      </c>
      <c r="K677" s="0" t="inlineStr">
        <is>
          <t>[0;34m info_date_dml_single_nopk_urp [0m源备字段数相同，源端字段：2 	备端字段2</t>
        </is>
      </c>
      <c r="W677" s="0" t="inlineStr">
        <is>
          <t>YES 源备无差异</t>
        </is>
      </c>
      <c r="X677" s="0">
        <f>A677</f>
        <v/>
      </c>
    </row>
    <row r="678">
      <c r="B678" s="0" t="inlineStr">
        <is>
          <t>NULL</t>
        </is>
      </c>
      <c r="C678" s="0" t="inlineStr">
        <is>
          <t>NULL</t>
        </is>
      </c>
      <c r="D678" s="0" t="inlineStr">
        <is>
          <t>NULL</t>
        </is>
      </c>
      <c r="E678" s="0" t="inlineStr">
        <is>
          <t>NULL</t>
        </is>
      </c>
      <c r="F678" s="0" t="inlineStr">
        <is>
          <t>NULL</t>
        </is>
      </c>
      <c r="G678" s="0" t="inlineStr">
        <is>
          <t>NULL</t>
        </is>
      </c>
      <c r="H678" s="0" t="inlineStr">
        <is>
          <t>NULL</t>
        </is>
      </c>
      <c r="I678" s="0" t="inlineStr">
        <is>
          <t>NULL</t>
        </is>
      </c>
      <c r="J678" s="0" t="inlineStr">
        <is>
          <t>NULL</t>
        </is>
      </c>
      <c r="K678" s="0" t="inlineStr">
        <is>
          <t>YES! 	 id列源备映射正确，源端为int None位	期望更改为int	实际备端为int None位</t>
        </is>
      </c>
    </row>
    <row r="679">
      <c r="B679" s="0" t="inlineStr">
        <is>
          <t>NULL</t>
        </is>
      </c>
      <c r="C679" s="0" t="inlineStr">
        <is>
          <t>NO!源None备NUL</t>
        </is>
      </c>
      <c r="D679" s="0" t="inlineStr">
        <is>
          <t>NULL</t>
        </is>
      </c>
      <c r="E679" s="0" t="inlineStr">
        <is>
          <t>NULL</t>
        </is>
      </c>
      <c r="F679" s="0" t="inlineStr">
        <is>
          <t>NULL</t>
        </is>
      </c>
      <c r="G679" s="0" t="inlineStr">
        <is>
          <t>NULL</t>
        </is>
      </c>
      <c r="H679" s="0" t="inlineStr">
        <is>
          <t>NULL</t>
        </is>
      </c>
      <c r="I679" s="0" t="inlineStr">
        <is>
          <t>NULL</t>
        </is>
      </c>
      <c r="J679" s="0" t="inlineStr">
        <is>
          <t>NULL</t>
        </is>
      </c>
      <c r="K679" s="0" t="inlineStr">
        <is>
          <t>YES! 	 c_date列源备映射正确，源端为date None位	期望更改为date	实际备端为date None位</t>
        </is>
      </c>
    </row>
    <row r="680">
      <c r="K680" s="0" t="inlineStr">
        <is>
          <t>[0;31m NO! [0m 	  行数不同,源9行,备端空表</t>
        </is>
      </c>
    </row>
    <row r="681">
      <c r="A681" s="0" t="inlineStr">
        <is>
          <t>info_datetimeoffset_dml_batch1_pk_irp1</t>
        </is>
      </c>
      <c r="K681" s="0" t="inlineStr">
        <is>
          <t>[0;34m info_datetimeoffset_dml_batch1_pk_irp1 [0m源备字段数相同，源端字段：9 	备端字段9</t>
        </is>
      </c>
      <c r="W681" s="0" t="inlineStr">
        <is>
          <t>YES 源备无差异</t>
        </is>
      </c>
      <c r="X681" s="0">
        <f>A681</f>
        <v/>
      </c>
    </row>
    <row r="682">
      <c r="B682" s="0" t="inlineStr">
        <is>
          <t>NO! 主键不正常，源YES备None</t>
        </is>
      </c>
      <c r="C682" s="0" t="inlineStr">
        <is>
          <t>NULL</t>
        </is>
      </c>
      <c r="D682" s="0" t="inlineStr">
        <is>
          <t>NULL</t>
        </is>
      </c>
      <c r="E682" s="0" t="inlineStr">
        <is>
          <t>NULL</t>
        </is>
      </c>
      <c r="F682" s="0" t="inlineStr">
        <is>
          <t>NULL</t>
        </is>
      </c>
      <c r="G682" s="0" t="inlineStr">
        <is>
          <t>NULL</t>
        </is>
      </c>
      <c r="H682" s="0" t="inlineStr">
        <is>
          <t>NULL</t>
        </is>
      </c>
      <c r="I682" s="0" t="inlineStr">
        <is>
          <t>NO! 源备索引不一致源PK__info_dat__3213E83F5DFBACE1备None</t>
        </is>
      </c>
      <c r="J682" s="0" t="inlineStr">
        <is>
          <t>NULL</t>
        </is>
      </c>
      <c r="K682" s="0" t="inlineStr">
        <is>
          <t>YES! 	 id列源备映射正确，源端为int None位	期望更改为int	实际备端为int None位</t>
        </is>
      </c>
    </row>
    <row r="683">
      <c r="B683" s="0" t="inlineStr">
        <is>
          <t>NULL</t>
        </is>
      </c>
      <c r="C683" s="0" t="inlineStr">
        <is>
          <t>NULL</t>
        </is>
      </c>
      <c r="D683" s="0" t="inlineStr">
        <is>
          <t>NULL</t>
        </is>
      </c>
      <c r="E683" s="0" t="inlineStr">
        <is>
          <t>NULL</t>
        </is>
      </c>
      <c r="F683" s="0" t="inlineStr">
        <is>
          <t>NULL</t>
        </is>
      </c>
      <c r="G683" s="0" t="inlineStr">
        <is>
          <t>NULL</t>
        </is>
      </c>
      <c r="H683" s="0" t="inlineStr">
        <is>
          <t>NULL</t>
        </is>
      </c>
      <c r="I683" s="0" t="inlineStr">
        <is>
          <t>NULL</t>
        </is>
      </c>
      <c r="J683" s="0" t="inlineStr">
        <is>
          <t>NULL</t>
        </is>
      </c>
      <c r="K683" s="0" t="inlineStr">
        <is>
          <t>[0;32m YES! [0m 	 c_dtoffset_0列源备映射正确，源端为datetimeoffset None位	期望更改为varchar(34)	实际备端为varchar 136位	位数精度不存在，通过长度比较</t>
        </is>
      </c>
    </row>
    <row r="684">
      <c r="B684" s="0" t="inlineStr">
        <is>
          <t>NULL</t>
        </is>
      </c>
      <c r="C684" s="0" t="inlineStr">
        <is>
          <t>NULL</t>
        </is>
      </c>
      <c r="D684" s="0" t="inlineStr">
        <is>
          <t>NULL</t>
        </is>
      </c>
      <c r="E684" s="0" t="inlineStr">
        <is>
          <t>NULL</t>
        </is>
      </c>
      <c r="F684" s="0" t="inlineStr">
        <is>
          <t>NULL</t>
        </is>
      </c>
      <c r="G684" s="0" t="inlineStr">
        <is>
          <t>NULL</t>
        </is>
      </c>
      <c r="H684" s="0" t="inlineStr">
        <is>
          <t>NULL</t>
        </is>
      </c>
      <c r="I684" s="0" t="inlineStr">
        <is>
          <t>NULL</t>
        </is>
      </c>
      <c r="J684" s="0" t="inlineStr">
        <is>
          <t>NULL</t>
        </is>
      </c>
      <c r="K684" s="0" t="inlineStr">
        <is>
          <t>[0;32m YES! [0m 	 c_dtoffset_1列源备映射正确，源端为datetimeoffset None位	期望更改为varchar(34)	实际备端为varchar 136位	位数精度不存在，通过长度比较</t>
        </is>
      </c>
    </row>
    <row r="685">
      <c r="B685" s="0" t="inlineStr">
        <is>
          <t>NULL</t>
        </is>
      </c>
      <c r="C685" s="0" t="inlineStr">
        <is>
          <t>NULL</t>
        </is>
      </c>
      <c r="D685" s="0" t="inlineStr">
        <is>
          <t>NULL</t>
        </is>
      </c>
      <c r="E685" s="0" t="inlineStr">
        <is>
          <t>NULL</t>
        </is>
      </c>
      <c r="F685" s="0" t="inlineStr">
        <is>
          <t>NULL</t>
        </is>
      </c>
      <c r="G685" s="0" t="inlineStr">
        <is>
          <t>NULL</t>
        </is>
      </c>
      <c r="H685" s="0" t="inlineStr">
        <is>
          <t>NULL</t>
        </is>
      </c>
      <c r="I685" s="0" t="inlineStr">
        <is>
          <t>NULL</t>
        </is>
      </c>
      <c r="J685" s="0" t="inlineStr">
        <is>
          <t>NULL</t>
        </is>
      </c>
      <c r="K685" s="0" t="inlineStr">
        <is>
          <t>[0;32m YES! [0m 	 c_dtoffset_2列源备映射正确，源端为datetimeoffset None位	期望更改为varchar(34)	实际备端为varchar 136位	位数精度不存在，通过长度比较</t>
        </is>
      </c>
    </row>
    <row r="686">
      <c r="B686" s="0" t="inlineStr">
        <is>
          <t>NULL</t>
        </is>
      </c>
      <c r="C686" s="0" t="inlineStr">
        <is>
          <t>NULL</t>
        </is>
      </c>
      <c r="D686" s="0" t="inlineStr">
        <is>
          <t>NULL</t>
        </is>
      </c>
      <c r="E686" s="0" t="inlineStr">
        <is>
          <t>NULL</t>
        </is>
      </c>
      <c r="F686" s="0" t="inlineStr">
        <is>
          <t>NULL</t>
        </is>
      </c>
      <c r="G686" s="0" t="inlineStr">
        <is>
          <t>NULL</t>
        </is>
      </c>
      <c r="H686" s="0" t="inlineStr">
        <is>
          <t>NULL</t>
        </is>
      </c>
      <c r="I686" s="0" t="inlineStr">
        <is>
          <t>NULL</t>
        </is>
      </c>
      <c r="J686" s="0" t="inlineStr">
        <is>
          <t>NULL</t>
        </is>
      </c>
      <c r="K686" s="0" t="inlineStr">
        <is>
          <t>[0;32m YES! [0m 	 c_dtoffset_3列源备映射正确，源端为datetimeoffset None位	期望更改为varchar(34)	实际备端为varchar 136位	位数精度不存在，通过长度比较</t>
        </is>
      </c>
    </row>
    <row r="687">
      <c r="B687" s="0" t="inlineStr">
        <is>
          <t>NULL</t>
        </is>
      </c>
      <c r="C687" s="0" t="inlineStr">
        <is>
          <t>NULL</t>
        </is>
      </c>
      <c r="D687" s="0" t="inlineStr">
        <is>
          <t>NULL</t>
        </is>
      </c>
      <c r="E687" s="0" t="inlineStr">
        <is>
          <t>NULL</t>
        </is>
      </c>
      <c r="F687" s="0" t="inlineStr">
        <is>
          <t>NULL</t>
        </is>
      </c>
      <c r="G687" s="0" t="inlineStr">
        <is>
          <t>NULL</t>
        </is>
      </c>
      <c r="H687" s="0" t="inlineStr">
        <is>
          <t>NULL</t>
        </is>
      </c>
      <c r="I687" s="0" t="inlineStr">
        <is>
          <t>NULL</t>
        </is>
      </c>
      <c r="J687" s="0" t="inlineStr">
        <is>
          <t>NULL</t>
        </is>
      </c>
      <c r="K687" s="0" t="inlineStr">
        <is>
          <t>[0;32m YES! [0m 	 c_dtoffset_4列源备映射正确，源端为datetimeoffset None位	期望更改为varchar(34)	实际备端为varchar 136位	位数精度不存在，通过长度比较</t>
        </is>
      </c>
    </row>
    <row r="688">
      <c r="B688" s="0" t="inlineStr">
        <is>
          <t>NULL</t>
        </is>
      </c>
      <c r="C688" s="0" t="inlineStr">
        <is>
          <t>NULL</t>
        </is>
      </c>
      <c r="D688" s="0" t="inlineStr">
        <is>
          <t>NULL</t>
        </is>
      </c>
      <c r="E688" s="0" t="inlineStr">
        <is>
          <t>NULL</t>
        </is>
      </c>
      <c r="F688" s="0" t="inlineStr">
        <is>
          <t>NULL</t>
        </is>
      </c>
      <c r="G688" s="0" t="inlineStr">
        <is>
          <t>NULL</t>
        </is>
      </c>
      <c r="H688" s="0" t="inlineStr">
        <is>
          <t>NULL</t>
        </is>
      </c>
      <c r="I688" s="0" t="inlineStr">
        <is>
          <t>NULL</t>
        </is>
      </c>
      <c r="J688" s="0" t="inlineStr">
        <is>
          <t>NULL</t>
        </is>
      </c>
      <c r="K688" s="0" t="inlineStr">
        <is>
          <t>[0;32m YES! [0m 	 c_dtoffset_5列源备映射正确，源端为datetimeoffset None位	期望更改为varchar(34)	实际备端为varchar 136位	位数精度不存在，通过长度比较</t>
        </is>
      </c>
    </row>
    <row r="689">
      <c r="B689" s="0" t="inlineStr">
        <is>
          <t>NULL</t>
        </is>
      </c>
      <c r="C689" s="0" t="inlineStr">
        <is>
          <t>NULL</t>
        </is>
      </c>
      <c r="D689" s="0" t="inlineStr">
        <is>
          <t>NULL</t>
        </is>
      </c>
      <c r="E689" s="0" t="inlineStr">
        <is>
          <t>NULL</t>
        </is>
      </c>
      <c r="F689" s="0" t="inlineStr">
        <is>
          <t>NULL</t>
        </is>
      </c>
      <c r="G689" s="0" t="inlineStr">
        <is>
          <t>NULL</t>
        </is>
      </c>
      <c r="H689" s="0" t="inlineStr">
        <is>
          <t>NULL</t>
        </is>
      </c>
      <c r="I689" s="0" t="inlineStr">
        <is>
          <t>NULL</t>
        </is>
      </c>
      <c r="J689" s="0" t="inlineStr">
        <is>
          <t>NULL</t>
        </is>
      </c>
      <c r="K689" s="0" t="inlineStr">
        <is>
          <t>[0;32m YES! [0m 	 c_dtoffset_6列源备映射正确，源端为datetimeoffset None位	期望更改为varchar(34)	实际备端为varchar 136位	位数精度不存在，通过长度比较</t>
        </is>
      </c>
    </row>
    <row r="690">
      <c r="B690" s="0" t="inlineStr">
        <is>
          <t>NULL</t>
        </is>
      </c>
      <c r="C690" s="0" t="inlineStr">
        <is>
          <t>NO!源None备NUL</t>
        </is>
      </c>
      <c r="D690" s="0" t="inlineStr">
        <is>
          <t>NULL</t>
        </is>
      </c>
      <c r="E690" s="0" t="inlineStr">
        <is>
          <t>NULL</t>
        </is>
      </c>
      <c r="F690" s="0" t="inlineStr">
        <is>
          <t>NULL</t>
        </is>
      </c>
      <c r="G690" s="0" t="inlineStr">
        <is>
          <t>NULL</t>
        </is>
      </c>
      <c r="H690" s="0" t="inlineStr">
        <is>
          <t>NULL</t>
        </is>
      </c>
      <c r="I690" s="0" t="inlineStr">
        <is>
          <t>NULL</t>
        </is>
      </c>
      <c r="J690" s="0" t="inlineStr">
        <is>
          <t>NULL</t>
        </is>
      </c>
      <c r="K690" s="0" t="inlineStr">
        <is>
          <t>[0;32m YES! [0m 	 c_dtoffset列源备映射正确，源端为datetimeoffset None位	期望更改为varchar(34)	实际备端为varchar 136位	位数精度不存在，通过长度比较</t>
        </is>
      </c>
    </row>
    <row r="691">
      <c r="K691" s="0" t="inlineStr">
        <is>
          <t>[0;31m NO! [0m 	  行数不同,源13行,备端空表</t>
        </is>
      </c>
    </row>
    <row r="692">
      <c r="A692" s="0" t="inlineStr">
        <is>
          <t>info_datetime_dml_single_pk_drp</t>
        </is>
      </c>
      <c r="K692" s="0" t="inlineStr">
        <is>
          <t>[0;34m info_datetime_dml_single_pk_drp [0m源备字段数相同，源端字段：2 	备端字段2</t>
        </is>
      </c>
      <c r="W692" s="0" t="inlineStr">
        <is>
          <t>YES 源备无差异</t>
        </is>
      </c>
      <c r="X692" s="0">
        <f>A692</f>
        <v/>
      </c>
    </row>
    <row r="693">
      <c r="B693" s="0" t="inlineStr">
        <is>
          <t>NO! 主键不正常，源YES备None</t>
        </is>
      </c>
      <c r="C693" s="0" t="inlineStr">
        <is>
          <t>NULL</t>
        </is>
      </c>
      <c r="D693" s="0" t="inlineStr">
        <is>
          <t>NULL</t>
        </is>
      </c>
      <c r="E693" s="0" t="inlineStr">
        <is>
          <t>NULL</t>
        </is>
      </c>
      <c r="F693" s="0" t="inlineStr">
        <is>
          <t>NULL</t>
        </is>
      </c>
      <c r="G693" s="0" t="inlineStr">
        <is>
          <t>NULL</t>
        </is>
      </c>
      <c r="H693" s="0" t="inlineStr">
        <is>
          <t>NULL</t>
        </is>
      </c>
      <c r="I693" s="0" t="inlineStr">
        <is>
          <t>NO! 源备索引不一致源PK__info_dat__3213E83F6C5AB8FE备None</t>
        </is>
      </c>
      <c r="J693" s="0" t="inlineStr">
        <is>
          <t>NULL</t>
        </is>
      </c>
      <c r="K693" s="0" t="inlineStr">
        <is>
          <t>YES! 	 id列源备映射正确，源端为int None位	期望更改为int	实际备端为int None位</t>
        </is>
      </c>
    </row>
    <row r="694">
      <c r="B694" s="0" t="inlineStr">
        <is>
          <t>NULL</t>
        </is>
      </c>
      <c r="C694" s="0" t="inlineStr">
        <is>
          <t>NO!源None备NUL</t>
        </is>
      </c>
      <c r="D694" s="0" t="inlineStr">
        <is>
          <t>NULL</t>
        </is>
      </c>
      <c r="E694" s="0" t="inlineStr">
        <is>
          <t>NULL</t>
        </is>
      </c>
      <c r="F694" s="0" t="inlineStr">
        <is>
          <t>NULL</t>
        </is>
      </c>
      <c r="G694" s="0" t="inlineStr">
        <is>
          <t>NULL</t>
        </is>
      </c>
      <c r="H694" s="0" t="inlineStr">
        <is>
          <t>NULL</t>
        </is>
      </c>
      <c r="I694" s="0" t="inlineStr">
        <is>
          <t>NULL</t>
        </is>
      </c>
      <c r="J694" s="0" t="inlineStr">
        <is>
          <t>NULL</t>
        </is>
      </c>
      <c r="K694" s="0" t="inlineStr">
        <is>
          <t>YES! 	 c_datetime列源备映射正确，源端为datetime None位	期望更改为datetime(3)	实际备端为datetime None位</t>
        </is>
      </c>
    </row>
    <row r="695">
      <c r="K695" s="0" t="inlineStr">
        <is>
          <t>[0;31m NO! [0m 	  行数不同,源15行,备端空表</t>
        </is>
      </c>
    </row>
    <row r="696">
      <c r="A696" s="0" t="inlineStr">
        <is>
          <t>info_date_dml_single_nopk_drp</t>
        </is>
      </c>
      <c r="K696" s="0" t="inlineStr">
        <is>
          <t>[0;34m info_date_dml_single_nopk_drp [0m源备字段数相同，源端字段：2 	备端字段2</t>
        </is>
      </c>
      <c r="W696" s="0" t="inlineStr">
        <is>
          <t>YES 源备无差异</t>
        </is>
      </c>
      <c r="X696" s="0">
        <f>A696</f>
        <v/>
      </c>
    </row>
    <row r="697">
      <c r="B697" s="0" t="inlineStr">
        <is>
          <t>NULL</t>
        </is>
      </c>
      <c r="C697" s="0" t="inlineStr">
        <is>
          <t>NULL</t>
        </is>
      </c>
      <c r="D697" s="0" t="inlineStr">
        <is>
          <t>NULL</t>
        </is>
      </c>
      <c r="E697" s="0" t="inlineStr">
        <is>
          <t>NULL</t>
        </is>
      </c>
      <c r="F697" s="0" t="inlineStr">
        <is>
          <t>NULL</t>
        </is>
      </c>
      <c r="G697" s="0" t="inlineStr">
        <is>
          <t>NULL</t>
        </is>
      </c>
      <c r="H697" s="0" t="inlineStr">
        <is>
          <t>NULL</t>
        </is>
      </c>
      <c r="I697" s="0" t="inlineStr">
        <is>
          <t>NULL</t>
        </is>
      </c>
      <c r="J697" s="0" t="inlineStr">
        <is>
          <t>NULL</t>
        </is>
      </c>
      <c r="K697" s="0" t="inlineStr">
        <is>
          <t>YES! 	 id列源备映射正确，源端为int None位	期望更改为int	实际备端为int None位</t>
        </is>
      </c>
    </row>
    <row r="698">
      <c r="B698" s="0" t="inlineStr">
        <is>
          <t>NULL</t>
        </is>
      </c>
      <c r="C698" s="0" t="inlineStr">
        <is>
          <t>NO!源None备NUL</t>
        </is>
      </c>
      <c r="D698" s="0" t="inlineStr">
        <is>
          <t>NULL</t>
        </is>
      </c>
      <c r="E698" s="0" t="inlineStr">
        <is>
          <t>NULL</t>
        </is>
      </c>
      <c r="F698" s="0" t="inlineStr">
        <is>
          <t>NULL</t>
        </is>
      </c>
      <c r="G698" s="0" t="inlineStr">
        <is>
          <t>NULL</t>
        </is>
      </c>
      <c r="H698" s="0" t="inlineStr">
        <is>
          <t>NULL</t>
        </is>
      </c>
      <c r="I698" s="0" t="inlineStr">
        <is>
          <t>NULL</t>
        </is>
      </c>
      <c r="J698" s="0" t="inlineStr">
        <is>
          <t>NULL</t>
        </is>
      </c>
      <c r="K698" s="0" t="inlineStr">
        <is>
          <t>YES! 	 c_date列源备映射正确，源端为date None位	期望更改为date	实际备端为date None位</t>
        </is>
      </c>
    </row>
    <row r="699">
      <c r="A699" s="0" t="inlineStr">
        <is>
          <t>info_varbinary_dml_single_nopk_irp</t>
        </is>
      </c>
      <c r="K699" s="0" t="inlineStr">
        <is>
          <t>[0;34m info_varbinary_dml_single_nopk_irp [0m源备字段数相同，源端字段：4 	备端字段4</t>
        </is>
      </c>
      <c r="W699" s="0" t="inlineStr">
        <is>
          <t>YES 源备无差异</t>
        </is>
      </c>
      <c r="X699" s="0">
        <f>A699</f>
        <v/>
      </c>
    </row>
    <row r="700">
      <c r="B700" s="0" t="inlineStr">
        <is>
          <t>NULL</t>
        </is>
      </c>
      <c r="C700" s="0" t="inlineStr">
        <is>
          <t>NULL</t>
        </is>
      </c>
      <c r="D700" s="0" t="inlineStr">
        <is>
          <t>NULL</t>
        </is>
      </c>
      <c r="E700" s="0" t="inlineStr">
        <is>
          <t>NULL</t>
        </is>
      </c>
      <c r="F700" s="0" t="inlineStr">
        <is>
          <t>NULL</t>
        </is>
      </c>
      <c r="G700" s="0" t="inlineStr">
        <is>
          <t>NULL</t>
        </is>
      </c>
      <c r="H700" s="0" t="inlineStr">
        <is>
          <t>NULL</t>
        </is>
      </c>
      <c r="I700" s="0" t="inlineStr">
        <is>
          <t>NULL</t>
        </is>
      </c>
      <c r="J700" s="0" t="inlineStr">
        <is>
          <t>NULL</t>
        </is>
      </c>
      <c r="K700" s="0" t="inlineStr">
        <is>
          <t>YES! 	 id列源备映射正确，源端为int None位	期望更改为int	实际备端为int None位</t>
        </is>
      </c>
    </row>
    <row r="701">
      <c r="B701" s="0" t="inlineStr">
        <is>
          <t>NULL</t>
        </is>
      </c>
      <c r="C701" s="0" t="inlineStr">
        <is>
          <t>NULL</t>
        </is>
      </c>
      <c r="D701" s="0" t="inlineStr">
        <is>
          <t>NULL</t>
        </is>
      </c>
      <c r="E701" s="0" t="inlineStr">
        <is>
          <t>NULL</t>
        </is>
      </c>
      <c r="F701" s="0" t="inlineStr">
        <is>
          <t>NULL</t>
        </is>
      </c>
      <c r="G701" s="0" t="inlineStr">
        <is>
          <t>NULL</t>
        </is>
      </c>
      <c r="H701" s="0" t="inlineStr">
        <is>
          <t>NULL</t>
        </is>
      </c>
      <c r="I701" s="0" t="inlineStr">
        <is>
          <t>NULL</t>
        </is>
      </c>
      <c r="J701" s="0" t="inlineStr">
        <is>
          <t>NULL</t>
        </is>
      </c>
      <c r="K701" s="0" t="inlineStr">
        <is>
          <t>YES! 	 c_varbinary列源备映射正确，源端为varbinary 1位	期望更改为varbinary(n)	实际备端为varbinary 1位</t>
        </is>
      </c>
    </row>
    <row r="702">
      <c r="B702" s="0" t="inlineStr">
        <is>
          <t>NULL</t>
        </is>
      </c>
      <c r="C702" s="0" t="inlineStr">
        <is>
          <t>NULL</t>
        </is>
      </c>
      <c r="D702" s="0" t="inlineStr">
        <is>
          <t>NULL</t>
        </is>
      </c>
      <c r="E702" s="0" t="inlineStr">
        <is>
          <t>NULL</t>
        </is>
      </c>
      <c r="F702" s="0" t="inlineStr">
        <is>
          <t>NULL</t>
        </is>
      </c>
      <c r="G702" s="0" t="inlineStr">
        <is>
          <t>NULL</t>
        </is>
      </c>
      <c r="H702" s="0" t="inlineStr">
        <is>
          <t>NULL</t>
        </is>
      </c>
      <c r="I702" s="0" t="inlineStr">
        <is>
          <t>NULL</t>
        </is>
      </c>
      <c r="J702" s="0" t="inlineStr">
        <is>
          <t>NULL</t>
        </is>
      </c>
      <c r="K702" s="0" t="inlineStr">
        <is>
          <t>YES! 	 c_varbinary_100列源备映射正确，源端为varbinary 100位	期望更改为varbinary(n)	实际备端为varbinary 100位</t>
        </is>
      </c>
    </row>
    <row r="703">
      <c r="B703" s="0" t="inlineStr">
        <is>
          <t>NULL</t>
        </is>
      </c>
      <c r="C703" s="0" t="inlineStr">
        <is>
          <t>NULL</t>
        </is>
      </c>
      <c r="D703" s="0" t="inlineStr">
        <is>
          <t>NULL</t>
        </is>
      </c>
      <c r="E703" s="0" t="inlineStr">
        <is>
          <t>NULL</t>
        </is>
      </c>
      <c r="F703" s="0" t="inlineStr">
        <is>
          <t>NULL</t>
        </is>
      </c>
      <c r="G703" s="0" t="inlineStr">
        <is>
          <t>NULL</t>
        </is>
      </c>
      <c r="H703" s="0" t="inlineStr">
        <is>
          <t>NULL</t>
        </is>
      </c>
      <c r="I703" s="0" t="inlineStr">
        <is>
          <t>NULL</t>
        </is>
      </c>
      <c r="J703" s="0" t="inlineStr">
        <is>
          <t>NULL</t>
        </is>
      </c>
      <c r="K703" s="0" t="inlineStr">
        <is>
          <t>YES! 	 c_varbinary_8000列源备映射正确，源端为varbinary 8000位	期望更改为longblob	实际备端为longblob 4294967295位</t>
        </is>
      </c>
    </row>
    <row r="704">
      <c r="K704" s="0" t="inlineStr">
        <is>
          <t>[0;31m NO! [0m 	  行数不同,源10行,备端空表</t>
        </is>
      </c>
    </row>
    <row r="705">
      <c r="A705" s="0" t="inlineStr">
        <is>
          <t>info_varbinary_dml_single_nopk_urp</t>
        </is>
      </c>
      <c r="K705" s="0" t="inlineStr">
        <is>
          <t>[0;34m info_varbinary_dml_single_nopk_urp [0m源备字段数相同，源端字段：4 	备端字段4</t>
        </is>
      </c>
      <c r="W705" s="0" t="inlineStr">
        <is>
          <t>YES 源备无差异</t>
        </is>
      </c>
      <c r="X705" s="0">
        <f>A705</f>
        <v/>
      </c>
    </row>
    <row r="706">
      <c r="B706" s="0" t="inlineStr">
        <is>
          <t>NULL</t>
        </is>
      </c>
      <c r="C706" s="0" t="inlineStr">
        <is>
          <t>NULL</t>
        </is>
      </c>
      <c r="D706" s="0" t="inlineStr">
        <is>
          <t>NULL</t>
        </is>
      </c>
      <c r="E706" s="0" t="inlineStr">
        <is>
          <t>NULL</t>
        </is>
      </c>
      <c r="F706" s="0" t="inlineStr">
        <is>
          <t>NULL</t>
        </is>
      </c>
      <c r="G706" s="0" t="inlineStr">
        <is>
          <t>NULL</t>
        </is>
      </c>
      <c r="H706" s="0" t="inlineStr">
        <is>
          <t>NULL</t>
        </is>
      </c>
      <c r="I706" s="0" t="inlineStr">
        <is>
          <t>NULL</t>
        </is>
      </c>
      <c r="J706" s="0" t="inlineStr">
        <is>
          <t>NULL</t>
        </is>
      </c>
      <c r="K706" s="0" t="inlineStr">
        <is>
          <t>YES! 	 id列源备映射正确，源端为int None位	期望更改为int	实际备端为int None位</t>
        </is>
      </c>
    </row>
    <row r="707">
      <c r="B707" s="0" t="inlineStr">
        <is>
          <t>NULL</t>
        </is>
      </c>
      <c r="C707" s="0" t="inlineStr">
        <is>
          <t>NULL</t>
        </is>
      </c>
      <c r="D707" s="0" t="inlineStr">
        <is>
          <t>NULL</t>
        </is>
      </c>
      <c r="E707" s="0" t="inlineStr">
        <is>
          <t>NULL</t>
        </is>
      </c>
      <c r="F707" s="0" t="inlineStr">
        <is>
          <t>NULL</t>
        </is>
      </c>
      <c r="G707" s="0" t="inlineStr">
        <is>
          <t>NULL</t>
        </is>
      </c>
      <c r="H707" s="0" t="inlineStr">
        <is>
          <t>NULL</t>
        </is>
      </c>
      <c r="I707" s="0" t="inlineStr">
        <is>
          <t>NULL</t>
        </is>
      </c>
      <c r="J707" s="0" t="inlineStr">
        <is>
          <t>NULL</t>
        </is>
      </c>
      <c r="K707" s="0" t="inlineStr">
        <is>
          <t>YES! 	 c_varbinary列源备映射正确，源端为varbinary 1位	期望更改为varbinary(n)	实际备端为varbinary 1位</t>
        </is>
      </c>
    </row>
    <row r="708">
      <c r="B708" s="0" t="inlineStr">
        <is>
          <t>NULL</t>
        </is>
      </c>
      <c r="C708" s="0" t="inlineStr">
        <is>
          <t>NULL</t>
        </is>
      </c>
      <c r="D708" s="0" t="inlineStr">
        <is>
          <t>NULL</t>
        </is>
      </c>
      <c r="E708" s="0" t="inlineStr">
        <is>
          <t>NULL</t>
        </is>
      </c>
      <c r="F708" s="0" t="inlineStr">
        <is>
          <t>NULL</t>
        </is>
      </c>
      <c r="G708" s="0" t="inlineStr">
        <is>
          <t>NULL</t>
        </is>
      </c>
      <c r="H708" s="0" t="inlineStr">
        <is>
          <t>NULL</t>
        </is>
      </c>
      <c r="I708" s="0" t="inlineStr">
        <is>
          <t>NULL</t>
        </is>
      </c>
      <c r="J708" s="0" t="inlineStr">
        <is>
          <t>NULL</t>
        </is>
      </c>
      <c r="K708" s="0" t="inlineStr">
        <is>
          <t>YES! 	 c_varbinary_100列源备映射正确，源端为varbinary 100位	期望更改为varbinary(n)	实际备端为varbinary 100位</t>
        </is>
      </c>
    </row>
    <row r="709">
      <c r="B709" s="0" t="inlineStr">
        <is>
          <t>NULL</t>
        </is>
      </c>
      <c r="C709" s="0" t="inlineStr">
        <is>
          <t>NULL</t>
        </is>
      </c>
      <c r="D709" s="0" t="inlineStr">
        <is>
          <t>NULL</t>
        </is>
      </c>
      <c r="E709" s="0" t="inlineStr">
        <is>
          <t>NULL</t>
        </is>
      </c>
      <c r="F709" s="0" t="inlineStr">
        <is>
          <t>NULL</t>
        </is>
      </c>
      <c r="G709" s="0" t="inlineStr">
        <is>
          <t>NULL</t>
        </is>
      </c>
      <c r="H709" s="0" t="inlineStr">
        <is>
          <t>NULL</t>
        </is>
      </c>
      <c r="I709" s="0" t="inlineStr">
        <is>
          <t>NULL</t>
        </is>
      </c>
      <c r="J709" s="0" t="inlineStr">
        <is>
          <t>NULL</t>
        </is>
      </c>
      <c r="K709" s="0" t="inlineStr">
        <is>
          <t>YES! 	 c_varbinary_8000列源备映射正确，源端为varbinary 8000位	期望更改为longblob	实际备端为longblob 4294967295位</t>
        </is>
      </c>
    </row>
    <row r="710">
      <c r="K710" s="0" t="inlineStr">
        <is>
          <t>[0;31m NO! [0m 	  行数不同,源5行,备端空表</t>
        </is>
      </c>
    </row>
    <row r="711">
      <c r="A711" s="0" t="inlineStr">
        <is>
          <t>info_nvarchar_dml_batch2_pk_urp2</t>
        </is>
      </c>
      <c r="K711" s="0" t="inlineStr">
        <is>
          <t>[0;34m info_nvarchar_dml_batch2_pk_urp2 [0m源备字段数相同，源端字段：4 	备端字段4</t>
        </is>
      </c>
      <c r="W711" s="0" t="inlineStr">
        <is>
          <t>YES 源备无差异</t>
        </is>
      </c>
      <c r="X711" s="0">
        <f>A711</f>
        <v/>
      </c>
    </row>
    <row r="712">
      <c r="B712" s="0" t="inlineStr">
        <is>
          <t>NO! 主键不正常，源YES备None</t>
        </is>
      </c>
      <c r="C712" s="0" t="inlineStr">
        <is>
          <t>NULL</t>
        </is>
      </c>
      <c r="D712" s="0" t="inlineStr">
        <is>
          <t>NULL</t>
        </is>
      </c>
      <c r="E712" s="0" t="inlineStr">
        <is>
          <t>NULL</t>
        </is>
      </c>
      <c r="F712" s="0" t="inlineStr">
        <is>
          <t>NULL</t>
        </is>
      </c>
      <c r="G712" s="0" t="inlineStr">
        <is>
          <t>NULL</t>
        </is>
      </c>
      <c r="H712" s="0" t="inlineStr">
        <is>
          <t>NULL</t>
        </is>
      </c>
      <c r="I712" s="0" t="inlineStr">
        <is>
          <t>NO! 源备索引不一致源PK__info_nva__3213E83FC6E75F78备None</t>
        </is>
      </c>
      <c r="J712" s="0" t="inlineStr">
        <is>
          <t>NULL</t>
        </is>
      </c>
      <c r="K712" s="0" t="inlineStr">
        <is>
          <t>YES! 	 id列源备映射正确，源端为int None位	期望更改为int	实际备端为int None位</t>
        </is>
      </c>
    </row>
    <row r="713">
      <c r="B713" s="0" t="inlineStr">
        <is>
          <t>NULL</t>
        </is>
      </c>
      <c r="C713" s="0" t="inlineStr">
        <is>
          <t>NULL</t>
        </is>
      </c>
      <c r="D713" s="0" t="inlineStr">
        <is>
          <t>NULL</t>
        </is>
      </c>
      <c r="E713" s="0" t="inlineStr">
        <is>
          <t>NULL</t>
        </is>
      </c>
      <c r="F713" s="0" t="inlineStr">
        <is>
          <t>NULL</t>
        </is>
      </c>
      <c r="G713" s="0" t="inlineStr">
        <is>
          <t>NULL</t>
        </is>
      </c>
      <c r="H713" s="0" t="inlineStr">
        <is>
          <t>NULL</t>
        </is>
      </c>
      <c r="I713" s="0" t="inlineStr">
        <is>
          <t>NULL</t>
        </is>
      </c>
      <c r="J713" s="0" t="inlineStr">
        <is>
          <t>NULL</t>
        </is>
      </c>
      <c r="K713" s="0" t="inlineStr">
        <is>
          <t>YES! 	 c_nvarchar列源备映射正确，源端为nvarchar 2位	期望更改为varchar(n)	实际备端为varchar 4位</t>
        </is>
      </c>
    </row>
    <row r="714">
      <c r="B714" s="0" t="inlineStr">
        <is>
          <t>NULL</t>
        </is>
      </c>
      <c r="C714" s="0" t="inlineStr">
        <is>
          <t>NULL</t>
        </is>
      </c>
      <c r="D714" s="0" t="inlineStr">
        <is>
          <t>NULL</t>
        </is>
      </c>
      <c r="E714" s="0" t="inlineStr">
        <is>
          <t>NULL</t>
        </is>
      </c>
      <c r="F714" s="0" t="inlineStr">
        <is>
          <t>NULL</t>
        </is>
      </c>
      <c r="G714" s="0" t="inlineStr">
        <is>
          <t>NULL</t>
        </is>
      </c>
      <c r="H714" s="0" t="inlineStr">
        <is>
          <t>NULL</t>
        </is>
      </c>
      <c r="I714" s="0" t="inlineStr">
        <is>
          <t>NULL</t>
        </is>
      </c>
      <c r="J714" s="0" t="inlineStr">
        <is>
          <t>NULL</t>
        </is>
      </c>
      <c r="K714" s="0" t="inlineStr">
        <is>
          <t>YES! 	 c_nvarchar20列源备映射正确，源端为nvarchar 40位	期望更改为varchar(n)	实际备端为varchar 80位</t>
        </is>
      </c>
    </row>
    <row r="715">
      <c r="B715" s="0" t="inlineStr">
        <is>
          <t>NULL</t>
        </is>
      </c>
      <c r="C715" s="0" t="inlineStr">
        <is>
          <t>NULL</t>
        </is>
      </c>
      <c r="D715" s="0" t="inlineStr">
        <is>
          <t>NULL</t>
        </is>
      </c>
      <c r="E715" s="0" t="inlineStr">
        <is>
          <t>NULL</t>
        </is>
      </c>
      <c r="F715" s="0" t="inlineStr">
        <is>
          <t>NULL</t>
        </is>
      </c>
      <c r="G715" s="0" t="inlineStr">
        <is>
          <t>NULL</t>
        </is>
      </c>
      <c r="H715" s="0" t="inlineStr">
        <is>
          <t>NULL</t>
        </is>
      </c>
      <c r="I715" s="0" t="inlineStr">
        <is>
          <t>NULL</t>
        </is>
      </c>
      <c r="J715" s="0" t="inlineStr">
        <is>
          <t>NULL</t>
        </is>
      </c>
      <c r="K715" s="0" t="inlineStr">
        <is>
          <t>YES! 	 c_nvarchar3500列源备映射正确，源端为nvarchar 7000位	期望更改为text	实际备端为text 65535位</t>
        </is>
      </c>
    </row>
    <row r="716">
      <c r="K716" s="0" t="inlineStr">
        <is>
          <t>[0;31m NO! [0m 	  行数不同,源8行,备端空表</t>
        </is>
      </c>
    </row>
    <row r="717">
      <c r="A717" s="0" t="inlineStr">
        <is>
          <t>info_date_dml_single_nopk</t>
        </is>
      </c>
      <c r="K717" s="0" t="inlineStr">
        <is>
          <t>[0;34m info_date_dml_single_nopk [0m源备字段数相同，源端字段：2 	备端字段2</t>
        </is>
      </c>
      <c r="W717" s="0" t="inlineStr">
        <is>
          <t>YES 源备无差异</t>
        </is>
      </c>
      <c r="X717" s="0">
        <f>A717</f>
        <v/>
      </c>
    </row>
    <row r="718">
      <c r="B718" s="0" t="inlineStr">
        <is>
          <t>NULL</t>
        </is>
      </c>
      <c r="C718" s="0" t="inlineStr">
        <is>
          <t>NULL</t>
        </is>
      </c>
      <c r="D718" s="0" t="inlineStr">
        <is>
          <t>NULL</t>
        </is>
      </c>
      <c r="E718" s="0" t="inlineStr">
        <is>
          <t>NULL</t>
        </is>
      </c>
      <c r="F718" s="0" t="inlineStr">
        <is>
          <t>NULL</t>
        </is>
      </c>
      <c r="G718" s="0" t="inlineStr">
        <is>
          <t>NULL</t>
        </is>
      </c>
      <c r="H718" s="0" t="inlineStr">
        <is>
          <t>NULL</t>
        </is>
      </c>
      <c r="I718" s="0" t="inlineStr">
        <is>
          <t>NULL</t>
        </is>
      </c>
      <c r="J718" s="0" t="inlineStr">
        <is>
          <t>NULL</t>
        </is>
      </c>
      <c r="K718" s="0" t="inlineStr">
        <is>
          <t>YES! 	 id列源备映射正确，源端为int None位	期望更改为int	实际备端为int None位</t>
        </is>
      </c>
    </row>
    <row r="719">
      <c r="B719" s="0" t="inlineStr">
        <is>
          <t>NULL</t>
        </is>
      </c>
      <c r="C719" s="0" t="inlineStr">
        <is>
          <t>NO!源None备NUL</t>
        </is>
      </c>
      <c r="D719" s="0" t="inlineStr">
        <is>
          <t>NULL</t>
        </is>
      </c>
      <c r="E719" s="0" t="inlineStr">
        <is>
          <t>NULL</t>
        </is>
      </c>
      <c r="F719" s="0" t="inlineStr">
        <is>
          <t>NULL</t>
        </is>
      </c>
      <c r="G719" s="0" t="inlineStr">
        <is>
          <t>NULL</t>
        </is>
      </c>
      <c r="H719" s="0" t="inlineStr">
        <is>
          <t>NULL</t>
        </is>
      </c>
      <c r="I719" s="0" t="inlineStr">
        <is>
          <t>NULL</t>
        </is>
      </c>
      <c r="J719" s="0" t="inlineStr">
        <is>
          <t>NULL</t>
        </is>
      </c>
      <c r="K719" s="0" t="inlineStr">
        <is>
          <t>YES! 	 c_date列源备映射正确，源端为date None位	期望更改为date	实际备端为date None位</t>
        </is>
      </c>
    </row>
    <row r="720">
      <c r="A720" s="0" t="inlineStr">
        <is>
          <t>info_datetime_dml_single_pk</t>
        </is>
      </c>
      <c r="K720" s="0" t="inlineStr">
        <is>
          <t>[0;34m info_datetime_dml_single_pk [0m源备字段数相同，源端字段：2 	备端字段2</t>
        </is>
      </c>
      <c r="W720" s="0" t="inlineStr">
        <is>
          <t>YES 源备无差异</t>
        </is>
      </c>
      <c r="X720" s="0">
        <f>A720</f>
        <v/>
      </c>
    </row>
    <row r="721">
      <c r="B721" s="0" t="inlineStr">
        <is>
          <t>NO! 主键不正常，源YES备None</t>
        </is>
      </c>
      <c r="C721" s="0" t="inlineStr">
        <is>
          <t>NULL</t>
        </is>
      </c>
      <c r="D721" s="0" t="inlineStr">
        <is>
          <t>NULL</t>
        </is>
      </c>
      <c r="E721" s="0" t="inlineStr">
        <is>
          <t>NULL</t>
        </is>
      </c>
      <c r="F721" s="0" t="inlineStr">
        <is>
          <t>NULL</t>
        </is>
      </c>
      <c r="G721" s="0" t="inlineStr">
        <is>
          <t>NULL</t>
        </is>
      </c>
      <c r="H721" s="0" t="inlineStr">
        <is>
          <t>NULL</t>
        </is>
      </c>
      <c r="I721" s="0" t="inlineStr">
        <is>
          <t>NO! 源备索引不一致源PK__info_dat__3213E83FFC8EEB2A备None</t>
        </is>
      </c>
      <c r="J721" s="0" t="inlineStr">
        <is>
          <t>NULL</t>
        </is>
      </c>
      <c r="K721" s="0" t="inlineStr">
        <is>
          <t>YES! 	 id列源备映射正确，源端为int None位	期望更改为int	实际备端为int None位</t>
        </is>
      </c>
    </row>
    <row r="722">
      <c r="B722" s="0" t="inlineStr">
        <is>
          <t>NULL</t>
        </is>
      </c>
      <c r="C722" s="0" t="inlineStr">
        <is>
          <t>NO!源None备NUL</t>
        </is>
      </c>
      <c r="D722" s="0" t="inlineStr">
        <is>
          <t>NULL</t>
        </is>
      </c>
      <c r="E722" s="0" t="inlineStr">
        <is>
          <t>NULL</t>
        </is>
      </c>
      <c r="F722" s="0" t="inlineStr">
        <is>
          <t>NULL</t>
        </is>
      </c>
      <c r="G722" s="0" t="inlineStr">
        <is>
          <t>NULL</t>
        </is>
      </c>
      <c r="H722" s="0" t="inlineStr">
        <is>
          <t>NULL</t>
        </is>
      </c>
      <c r="I722" s="0" t="inlineStr">
        <is>
          <t>NULL</t>
        </is>
      </c>
      <c r="J722" s="0" t="inlineStr">
        <is>
          <t>NULL</t>
        </is>
      </c>
      <c r="K722" s="0" t="inlineStr">
        <is>
          <t>YES! 	 c_datetime列源备映射正确，源端为datetime None位	期望更改为datetime(3)	实际备端为datetime None位</t>
        </is>
      </c>
    </row>
    <row r="723">
      <c r="K723" s="0" t="inlineStr">
        <is>
          <t>[0;31m NO! [0m 	  行数不同,源1行,备端空表</t>
        </is>
      </c>
    </row>
    <row r="724">
      <c r="A724" s="0" t="inlineStr">
        <is>
          <t>info_varbinary_dml_single_nopk_drp</t>
        </is>
      </c>
      <c r="K724" s="0" t="inlineStr">
        <is>
          <t>[0;34m info_varbinary_dml_single_nopk_drp [0m源备字段数相同，源端字段：4 	备端字段4</t>
        </is>
      </c>
      <c r="W724" s="0" t="inlineStr">
        <is>
          <t>YES 源备无差异</t>
        </is>
      </c>
      <c r="X724" s="0">
        <f>A724</f>
        <v/>
      </c>
    </row>
    <row r="725">
      <c r="B725" s="0" t="inlineStr">
        <is>
          <t>NULL</t>
        </is>
      </c>
      <c r="C725" s="0" t="inlineStr">
        <is>
          <t>NULL</t>
        </is>
      </c>
      <c r="D725" s="0" t="inlineStr">
        <is>
          <t>NULL</t>
        </is>
      </c>
      <c r="E725" s="0" t="inlineStr">
        <is>
          <t>NULL</t>
        </is>
      </c>
      <c r="F725" s="0" t="inlineStr">
        <is>
          <t>NULL</t>
        </is>
      </c>
      <c r="G725" s="0" t="inlineStr">
        <is>
          <t>NULL</t>
        </is>
      </c>
      <c r="H725" s="0" t="inlineStr">
        <is>
          <t>NULL</t>
        </is>
      </c>
      <c r="I725" s="0" t="inlineStr">
        <is>
          <t>NULL</t>
        </is>
      </c>
      <c r="J725" s="0" t="inlineStr">
        <is>
          <t>NULL</t>
        </is>
      </c>
      <c r="K725" s="0" t="inlineStr">
        <is>
          <t>YES! 	 id列源备映射正确，源端为int None位	期望更改为int	实际备端为int None位</t>
        </is>
      </c>
    </row>
    <row r="726">
      <c r="B726" s="0" t="inlineStr">
        <is>
          <t>NULL</t>
        </is>
      </c>
      <c r="C726" s="0" t="inlineStr">
        <is>
          <t>NULL</t>
        </is>
      </c>
      <c r="D726" s="0" t="inlineStr">
        <is>
          <t>NULL</t>
        </is>
      </c>
      <c r="E726" s="0" t="inlineStr">
        <is>
          <t>NULL</t>
        </is>
      </c>
      <c r="F726" s="0" t="inlineStr">
        <is>
          <t>NULL</t>
        </is>
      </c>
      <c r="G726" s="0" t="inlineStr">
        <is>
          <t>NULL</t>
        </is>
      </c>
      <c r="H726" s="0" t="inlineStr">
        <is>
          <t>NULL</t>
        </is>
      </c>
      <c r="I726" s="0" t="inlineStr">
        <is>
          <t>NULL</t>
        </is>
      </c>
      <c r="J726" s="0" t="inlineStr">
        <is>
          <t>NULL</t>
        </is>
      </c>
      <c r="K726" s="0" t="inlineStr">
        <is>
          <t>YES! 	 c_varbinary列源备映射正确，源端为varbinary 1位	期望更改为varbinary(n)	实际备端为varbinary 1位</t>
        </is>
      </c>
    </row>
    <row r="727">
      <c r="B727" s="0" t="inlineStr">
        <is>
          <t>NULL</t>
        </is>
      </c>
      <c r="C727" s="0" t="inlineStr">
        <is>
          <t>NULL</t>
        </is>
      </c>
      <c r="D727" s="0" t="inlineStr">
        <is>
          <t>NULL</t>
        </is>
      </c>
      <c r="E727" s="0" t="inlineStr">
        <is>
          <t>NULL</t>
        </is>
      </c>
      <c r="F727" s="0" t="inlineStr">
        <is>
          <t>NULL</t>
        </is>
      </c>
      <c r="G727" s="0" t="inlineStr">
        <is>
          <t>NULL</t>
        </is>
      </c>
      <c r="H727" s="0" t="inlineStr">
        <is>
          <t>NULL</t>
        </is>
      </c>
      <c r="I727" s="0" t="inlineStr">
        <is>
          <t>NULL</t>
        </is>
      </c>
      <c r="J727" s="0" t="inlineStr">
        <is>
          <t>NULL</t>
        </is>
      </c>
      <c r="K727" s="0" t="inlineStr">
        <is>
          <t>YES! 	 c_varbinary_100列源备映射正确，源端为varbinary 100位	期望更改为varbinary(n)	实际备端为varbinary 100位</t>
        </is>
      </c>
    </row>
    <row r="728">
      <c r="B728" s="0" t="inlineStr">
        <is>
          <t>NULL</t>
        </is>
      </c>
      <c r="C728" s="0" t="inlineStr">
        <is>
          <t>NULL</t>
        </is>
      </c>
      <c r="D728" s="0" t="inlineStr">
        <is>
          <t>NULL</t>
        </is>
      </c>
      <c r="E728" s="0" t="inlineStr">
        <is>
          <t>NULL</t>
        </is>
      </c>
      <c r="F728" s="0" t="inlineStr">
        <is>
          <t>NULL</t>
        </is>
      </c>
      <c r="G728" s="0" t="inlineStr">
        <is>
          <t>NULL</t>
        </is>
      </c>
      <c r="H728" s="0" t="inlineStr">
        <is>
          <t>NULL</t>
        </is>
      </c>
      <c r="I728" s="0" t="inlineStr">
        <is>
          <t>NULL</t>
        </is>
      </c>
      <c r="J728" s="0" t="inlineStr">
        <is>
          <t>NULL</t>
        </is>
      </c>
      <c r="K728" s="0" t="inlineStr">
        <is>
          <t>YES! 	 c_varbinary_8000列源备映射正确，源端为varbinary 8000位	期望更改为longblob	实际备端为longblob 4294967295位</t>
        </is>
      </c>
    </row>
    <row r="729">
      <c r="K729" s="0" t="inlineStr">
        <is>
          <t>[0;31m NO! [0m 	  行数不同,源2行,备端空表</t>
        </is>
      </c>
    </row>
    <row r="730">
      <c r="A730" s="0" t="inlineStr">
        <is>
          <t>info_time_dml_single_nopk_irp</t>
        </is>
      </c>
      <c r="K730" s="0" t="inlineStr">
        <is>
          <t>[0;34m info_time_dml_single_nopk_irp [0m源备字段数相同，源端字段：9 	备端字段9</t>
        </is>
      </c>
      <c r="W730" s="0" t="inlineStr">
        <is>
          <t>YES 源备无差异</t>
        </is>
      </c>
      <c r="X730" s="0">
        <f>A730</f>
        <v/>
      </c>
    </row>
    <row r="731">
      <c r="B731" s="0" t="inlineStr">
        <is>
          <t>NULL</t>
        </is>
      </c>
      <c r="C731" s="0" t="inlineStr">
        <is>
          <t>NULL</t>
        </is>
      </c>
      <c r="D731" s="0" t="inlineStr">
        <is>
          <t>NULL</t>
        </is>
      </c>
      <c r="E731" s="0" t="inlineStr">
        <is>
          <t>NULL</t>
        </is>
      </c>
      <c r="F731" s="0" t="inlineStr">
        <is>
          <t>NULL</t>
        </is>
      </c>
      <c r="G731" s="0" t="inlineStr">
        <is>
          <t>NULL</t>
        </is>
      </c>
      <c r="H731" s="0" t="inlineStr">
        <is>
          <t>NULL</t>
        </is>
      </c>
      <c r="I731" s="0" t="inlineStr">
        <is>
          <t>NULL</t>
        </is>
      </c>
      <c r="J731" s="0" t="inlineStr">
        <is>
          <t>NULL</t>
        </is>
      </c>
      <c r="K731" s="0" t="inlineStr">
        <is>
          <t>YES! 	 id列源备映射正确，源端为int None位	期望更改为int	实际备端为int None位</t>
        </is>
      </c>
    </row>
    <row r="732">
      <c r="B732" s="0" t="inlineStr">
        <is>
          <t>NULL</t>
        </is>
      </c>
      <c r="C732" s="0" t="inlineStr">
        <is>
          <t>NULL</t>
        </is>
      </c>
      <c r="D732" s="0" t="inlineStr">
        <is>
          <t>NULL</t>
        </is>
      </c>
      <c r="E732" s="0" t="inlineStr">
        <is>
          <t>NULL</t>
        </is>
      </c>
      <c r="F732" s="0" t="inlineStr">
        <is>
          <t>NULL</t>
        </is>
      </c>
      <c r="G732" s="0" t="inlineStr">
        <is>
          <t>NULL</t>
        </is>
      </c>
      <c r="H732" s="0" t="inlineStr">
        <is>
          <t>NULL</t>
        </is>
      </c>
      <c r="I732" s="0" t="inlineStr">
        <is>
          <t>NULL</t>
        </is>
      </c>
      <c r="J732" s="0" t="inlineStr">
        <is>
          <t>NULL</t>
        </is>
      </c>
      <c r="K732" s="0" t="inlineStr">
        <is>
          <t>[0;32m YES! [0m 	 c_time0列源备映射正确，源端为time None位	期望更改为varchar(20)	实际备端为varchar 80位	位数精度不存在，通过长度比较</t>
        </is>
      </c>
    </row>
    <row r="733">
      <c r="B733" s="0" t="inlineStr">
        <is>
          <t>NULL</t>
        </is>
      </c>
      <c r="C733" s="0" t="inlineStr">
        <is>
          <t>NULL</t>
        </is>
      </c>
      <c r="D733" s="0" t="inlineStr">
        <is>
          <t>NULL</t>
        </is>
      </c>
      <c r="E733" s="0" t="inlineStr">
        <is>
          <t>NULL</t>
        </is>
      </c>
      <c r="F733" s="0" t="inlineStr">
        <is>
          <t>NULL</t>
        </is>
      </c>
      <c r="G733" s="0" t="inlineStr">
        <is>
          <t>NULL</t>
        </is>
      </c>
      <c r="H733" s="0" t="inlineStr">
        <is>
          <t>NULL</t>
        </is>
      </c>
      <c r="I733" s="0" t="inlineStr">
        <is>
          <t>NULL</t>
        </is>
      </c>
      <c r="J733" s="0" t="inlineStr">
        <is>
          <t>NULL</t>
        </is>
      </c>
      <c r="K733" s="0" t="inlineStr">
        <is>
          <t>[0;32m YES! [0m 	 c_time1列源备映射正确，源端为time None位	期望更改为varchar(20)	实际备端为varchar 80位	位数精度不存在，通过长度比较</t>
        </is>
      </c>
    </row>
    <row r="734">
      <c r="B734" s="0" t="inlineStr">
        <is>
          <t>NULL</t>
        </is>
      </c>
      <c r="C734" s="0" t="inlineStr">
        <is>
          <t>NULL</t>
        </is>
      </c>
      <c r="D734" s="0" t="inlineStr">
        <is>
          <t>NULL</t>
        </is>
      </c>
      <c r="E734" s="0" t="inlineStr">
        <is>
          <t>NULL</t>
        </is>
      </c>
      <c r="F734" s="0" t="inlineStr">
        <is>
          <t>NULL</t>
        </is>
      </c>
      <c r="G734" s="0" t="inlineStr">
        <is>
          <t>NULL</t>
        </is>
      </c>
      <c r="H734" s="0" t="inlineStr">
        <is>
          <t>NULL</t>
        </is>
      </c>
      <c r="I734" s="0" t="inlineStr">
        <is>
          <t>NULL</t>
        </is>
      </c>
      <c r="J734" s="0" t="inlineStr">
        <is>
          <t>NULL</t>
        </is>
      </c>
      <c r="K734" s="0" t="inlineStr">
        <is>
          <t>[0;32m YES! [0m 	 c_time2列源备映射正确，源端为time None位	期望更改为varchar(20)	实际备端为varchar 80位	位数精度不存在，通过长度比较</t>
        </is>
      </c>
    </row>
    <row r="735">
      <c r="B735" s="0" t="inlineStr">
        <is>
          <t>NULL</t>
        </is>
      </c>
      <c r="C735" s="0" t="inlineStr">
        <is>
          <t>NULL</t>
        </is>
      </c>
      <c r="D735" s="0" t="inlineStr">
        <is>
          <t>NULL</t>
        </is>
      </c>
      <c r="E735" s="0" t="inlineStr">
        <is>
          <t>NULL</t>
        </is>
      </c>
      <c r="F735" s="0" t="inlineStr">
        <is>
          <t>NULL</t>
        </is>
      </c>
      <c r="G735" s="0" t="inlineStr">
        <is>
          <t>NULL</t>
        </is>
      </c>
      <c r="H735" s="0" t="inlineStr">
        <is>
          <t>NULL</t>
        </is>
      </c>
      <c r="I735" s="0" t="inlineStr">
        <is>
          <t>NULL</t>
        </is>
      </c>
      <c r="J735" s="0" t="inlineStr">
        <is>
          <t>NULL</t>
        </is>
      </c>
      <c r="K735" s="0" t="inlineStr">
        <is>
          <t>[0;32m YES! [0m 	 c_time3列源备映射正确，源端为time None位	期望更改为varchar(20)	实际备端为varchar 80位	位数精度不存在，通过长度比较</t>
        </is>
      </c>
    </row>
    <row r="736">
      <c r="B736" s="0" t="inlineStr">
        <is>
          <t>NULL</t>
        </is>
      </c>
      <c r="C736" s="0" t="inlineStr">
        <is>
          <t>NULL</t>
        </is>
      </c>
      <c r="D736" s="0" t="inlineStr">
        <is>
          <t>NULL</t>
        </is>
      </c>
      <c r="E736" s="0" t="inlineStr">
        <is>
          <t>NULL</t>
        </is>
      </c>
      <c r="F736" s="0" t="inlineStr">
        <is>
          <t>NULL</t>
        </is>
      </c>
      <c r="G736" s="0" t="inlineStr">
        <is>
          <t>NULL</t>
        </is>
      </c>
      <c r="H736" s="0" t="inlineStr">
        <is>
          <t>NULL</t>
        </is>
      </c>
      <c r="I736" s="0" t="inlineStr">
        <is>
          <t>NULL</t>
        </is>
      </c>
      <c r="J736" s="0" t="inlineStr">
        <is>
          <t>NULL</t>
        </is>
      </c>
      <c r="K736" s="0" t="inlineStr">
        <is>
          <t>[0;32m YES! [0m 	 c_time4列源备映射正确，源端为time None位	期望更改为varchar(20)	实际备端为varchar 80位	位数精度不存在，通过长度比较</t>
        </is>
      </c>
    </row>
    <row r="737">
      <c r="B737" s="0" t="inlineStr">
        <is>
          <t>NULL</t>
        </is>
      </c>
      <c r="C737" s="0" t="inlineStr">
        <is>
          <t>NULL</t>
        </is>
      </c>
      <c r="D737" s="0" t="inlineStr">
        <is>
          <t>NULL</t>
        </is>
      </c>
      <c r="E737" s="0" t="inlineStr">
        <is>
          <t>NULL</t>
        </is>
      </c>
      <c r="F737" s="0" t="inlineStr">
        <is>
          <t>NULL</t>
        </is>
      </c>
      <c r="G737" s="0" t="inlineStr">
        <is>
          <t>NULL</t>
        </is>
      </c>
      <c r="H737" s="0" t="inlineStr">
        <is>
          <t>NULL</t>
        </is>
      </c>
      <c r="I737" s="0" t="inlineStr">
        <is>
          <t>NULL</t>
        </is>
      </c>
      <c r="J737" s="0" t="inlineStr">
        <is>
          <t>NULL</t>
        </is>
      </c>
      <c r="K737" s="0" t="inlineStr">
        <is>
          <t>[0;32m YES! [0m 	 c_time5列源备映射正确，源端为time None位	期望更改为varchar(20)	实际备端为varchar 80位	位数精度不存在，通过长度比较</t>
        </is>
      </c>
    </row>
    <row r="738">
      <c r="B738" s="0" t="inlineStr">
        <is>
          <t>NULL</t>
        </is>
      </c>
      <c r="C738" s="0" t="inlineStr">
        <is>
          <t>NULL</t>
        </is>
      </c>
      <c r="D738" s="0" t="inlineStr">
        <is>
          <t>NULL</t>
        </is>
      </c>
      <c r="E738" s="0" t="inlineStr">
        <is>
          <t>NULL</t>
        </is>
      </c>
      <c r="F738" s="0" t="inlineStr">
        <is>
          <t>NULL</t>
        </is>
      </c>
      <c r="G738" s="0" t="inlineStr">
        <is>
          <t>NULL</t>
        </is>
      </c>
      <c r="H738" s="0" t="inlineStr">
        <is>
          <t>NULL</t>
        </is>
      </c>
      <c r="I738" s="0" t="inlineStr">
        <is>
          <t>NULL</t>
        </is>
      </c>
      <c r="J738" s="0" t="inlineStr">
        <is>
          <t>NULL</t>
        </is>
      </c>
      <c r="K738" s="0" t="inlineStr">
        <is>
          <t>[0;32m YES! [0m 	 c_time6列源备映射正确，源端为time None位	期望更改为varchar(20)	实际备端为varchar 80位	位数精度不存在，通过长度比较</t>
        </is>
      </c>
    </row>
    <row r="739">
      <c r="B739" s="0" t="inlineStr">
        <is>
          <t>NULL</t>
        </is>
      </c>
      <c r="C739" s="0" t="inlineStr">
        <is>
          <t>NO!源None备NUL</t>
        </is>
      </c>
      <c r="D739" s="0" t="inlineStr">
        <is>
          <t>NULL</t>
        </is>
      </c>
      <c r="E739" s="0" t="inlineStr">
        <is>
          <t>NULL</t>
        </is>
      </c>
      <c r="F739" s="0" t="inlineStr">
        <is>
          <t>NULL</t>
        </is>
      </c>
      <c r="G739" s="0" t="inlineStr">
        <is>
          <t>NULL</t>
        </is>
      </c>
      <c r="H739" s="0" t="inlineStr">
        <is>
          <t>NULL</t>
        </is>
      </c>
      <c r="I739" s="0" t="inlineStr">
        <is>
          <t>NULL</t>
        </is>
      </c>
      <c r="J739" s="0" t="inlineStr">
        <is>
          <t>NULL</t>
        </is>
      </c>
      <c r="K739" s="0" t="inlineStr">
        <is>
          <t>[0;32m YES! [0m 	 c_time列源备映射正确，源端为time None位	期望更改为varchar(20)	实际备端为varchar 80位	位数精度不存在，通过长度比较</t>
        </is>
      </c>
    </row>
    <row r="740">
      <c r="A740" s="0" t="inlineStr">
        <is>
          <t>info_datetimeoffset_dml_batch2_pk_irp1</t>
        </is>
      </c>
      <c r="K740" s="0" t="inlineStr">
        <is>
          <t>[0;34m info_datetimeoffset_dml_batch2_pk_irp1 [0m源备字段数相同，源端字段：9 	备端字段9</t>
        </is>
      </c>
      <c r="W740" s="0" t="inlineStr">
        <is>
          <t>YES 源备无差异</t>
        </is>
      </c>
      <c r="X740" s="0">
        <f>A740</f>
        <v/>
      </c>
    </row>
    <row r="741">
      <c r="B741" s="0" t="inlineStr">
        <is>
          <t>NO! 主键不正常，源YES备None</t>
        </is>
      </c>
      <c r="C741" s="0" t="inlineStr">
        <is>
          <t>NULL</t>
        </is>
      </c>
      <c r="D741" s="0" t="inlineStr">
        <is>
          <t>NULL</t>
        </is>
      </c>
      <c r="E741" s="0" t="inlineStr">
        <is>
          <t>NULL</t>
        </is>
      </c>
      <c r="F741" s="0" t="inlineStr">
        <is>
          <t>NULL</t>
        </is>
      </c>
      <c r="G741" s="0" t="inlineStr">
        <is>
          <t>NULL</t>
        </is>
      </c>
      <c r="H741" s="0" t="inlineStr">
        <is>
          <t>NULL</t>
        </is>
      </c>
      <c r="I741" s="0" t="inlineStr">
        <is>
          <t>NO! 源备索引不一致源PK__info_dat__3213E83FCC9DEC18备None</t>
        </is>
      </c>
      <c r="J741" s="0" t="inlineStr">
        <is>
          <t>NULL</t>
        </is>
      </c>
      <c r="K741" s="0" t="inlineStr">
        <is>
          <t>YES! 	 id列源备映射正确，源端为int None位	期望更改为int	实际备端为int None位</t>
        </is>
      </c>
    </row>
    <row r="742">
      <c r="B742" s="0" t="inlineStr">
        <is>
          <t>NULL</t>
        </is>
      </c>
      <c r="C742" s="0" t="inlineStr">
        <is>
          <t>NULL</t>
        </is>
      </c>
      <c r="D742" s="0" t="inlineStr">
        <is>
          <t>NULL</t>
        </is>
      </c>
      <c r="E742" s="0" t="inlineStr">
        <is>
          <t>NULL</t>
        </is>
      </c>
      <c r="F742" s="0" t="inlineStr">
        <is>
          <t>NULL</t>
        </is>
      </c>
      <c r="G742" s="0" t="inlineStr">
        <is>
          <t>NULL</t>
        </is>
      </c>
      <c r="H742" s="0" t="inlineStr">
        <is>
          <t>NULL</t>
        </is>
      </c>
      <c r="I742" s="0" t="inlineStr">
        <is>
          <t>NULL</t>
        </is>
      </c>
      <c r="J742" s="0" t="inlineStr">
        <is>
          <t>NULL</t>
        </is>
      </c>
      <c r="K742" s="0" t="inlineStr">
        <is>
          <t>[0;32m YES! [0m 	 c_dtoffset_0列源备映射正确，源端为datetimeoffset None位	期望更改为varchar(34)	实际备端为varchar 136位	位数精度不存在，通过长度比较</t>
        </is>
      </c>
    </row>
    <row r="743">
      <c r="B743" s="0" t="inlineStr">
        <is>
          <t>NULL</t>
        </is>
      </c>
      <c r="C743" s="0" t="inlineStr">
        <is>
          <t>NULL</t>
        </is>
      </c>
      <c r="D743" s="0" t="inlineStr">
        <is>
          <t>NULL</t>
        </is>
      </c>
      <c r="E743" s="0" t="inlineStr">
        <is>
          <t>NULL</t>
        </is>
      </c>
      <c r="F743" s="0" t="inlineStr">
        <is>
          <t>NULL</t>
        </is>
      </c>
      <c r="G743" s="0" t="inlineStr">
        <is>
          <t>NULL</t>
        </is>
      </c>
      <c r="H743" s="0" t="inlineStr">
        <is>
          <t>NULL</t>
        </is>
      </c>
      <c r="I743" s="0" t="inlineStr">
        <is>
          <t>NULL</t>
        </is>
      </c>
      <c r="J743" s="0" t="inlineStr">
        <is>
          <t>NULL</t>
        </is>
      </c>
      <c r="K743" s="0" t="inlineStr">
        <is>
          <t>[0;32m YES! [0m 	 c_dtoffset_1列源备映射正确，源端为datetimeoffset None位	期望更改为varchar(34)	实际备端为varchar 136位	位数精度不存在，通过长度比较</t>
        </is>
      </c>
    </row>
    <row r="744">
      <c r="B744" s="0" t="inlineStr">
        <is>
          <t>NULL</t>
        </is>
      </c>
      <c r="C744" s="0" t="inlineStr">
        <is>
          <t>NULL</t>
        </is>
      </c>
      <c r="D744" s="0" t="inlineStr">
        <is>
          <t>NULL</t>
        </is>
      </c>
      <c r="E744" s="0" t="inlineStr">
        <is>
          <t>NULL</t>
        </is>
      </c>
      <c r="F744" s="0" t="inlineStr">
        <is>
          <t>NULL</t>
        </is>
      </c>
      <c r="G744" s="0" t="inlineStr">
        <is>
          <t>NULL</t>
        </is>
      </c>
      <c r="H744" s="0" t="inlineStr">
        <is>
          <t>NULL</t>
        </is>
      </c>
      <c r="I744" s="0" t="inlineStr">
        <is>
          <t>NULL</t>
        </is>
      </c>
      <c r="J744" s="0" t="inlineStr">
        <is>
          <t>NULL</t>
        </is>
      </c>
      <c r="K744" s="0" t="inlineStr">
        <is>
          <t>[0;32m YES! [0m 	 c_dtoffset_2列源备映射正确，源端为datetimeoffset None位	期望更改为varchar(34)	实际备端为varchar 136位	位数精度不存在，通过长度比较</t>
        </is>
      </c>
    </row>
    <row r="745">
      <c r="B745" s="0" t="inlineStr">
        <is>
          <t>NULL</t>
        </is>
      </c>
      <c r="C745" s="0" t="inlineStr">
        <is>
          <t>NULL</t>
        </is>
      </c>
      <c r="D745" s="0" t="inlineStr">
        <is>
          <t>NULL</t>
        </is>
      </c>
      <c r="E745" s="0" t="inlineStr">
        <is>
          <t>NULL</t>
        </is>
      </c>
      <c r="F745" s="0" t="inlineStr">
        <is>
          <t>NULL</t>
        </is>
      </c>
      <c r="G745" s="0" t="inlineStr">
        <is>
          <t>NULL</t>
        </is>
      </c>
      <c r="H745" s="0" t="inlineStr">
        <is>
          <t>NULL</t>
        </is>
      </c>
      <c r="I745" s="0" t="inlineStr">
        <is>
          <t>NULL</t>
        </is>
      </c>
      <c r="J745" s="0" t="inlineStr">
        <is>
          <t>NULL</t>
        </is>
      </c>
      <c r="K745" s="0" t="inlineStr">
        <is>
          <t>[0;32m YES! [0m 	 c_dtoffset_3列源备映射正确，源端为datetimeoffset None位	期望更改为varchar(34)	实际备端为varchar 136位	位数精度不存在，通过长度比较</t>
        </is>
      </c>
    </row>
    <row r="746">
      <c r="B746" s="0" t="inlineStr">
        <is>
          <t>NULL</t>
        </is>
      </c>
      <c r="C746" s="0" t="inlineStr">
        <is>
          <t>NULL</t>
        </is>
      </c>
      <c r="D746" s="0" t="inlineStr">
        <is>
          <t>NULL</t>
        </is>
      </c>
      <c r="E746" s="0" t="inlineStr">
        <is>
          <t>NULL</t>
        </is>
      </c>
      <c r="F746" s="0" t="inlineStr">
        <is>
          <t>NULL</t>
        </is>
      </c>
      <c r="G746" s="0" t="inlineStr">
        <is>
          <t>NULL</t>
        </is>
      </c>
      <c r="H746" s="0" t="inlineStr">
        <is>
          <t>NULL</t>
        </is>
      </c>
      <c r="I746" s="0" t="inlineStr">
        <is>
          <t>NULL</t>
        </is>
      </c>
      <c r="J746" s="0" t="inlineStr">
        <is>
          <t>NULL</t>
        </is>
      </c>
      <c r="K746" s="0" t="inlineStr">
        <is>
          <t>[0;32m YES! [0m 	 c_dtoffset_4列源备映射正确，源端为datetimeoffset None位	期望更改为varchar(34)	实际备端为varchar 136位	位数精度不存在，通过长度比较</t>
        </is>
      </c>
    </row>
    <row r="747">
      <c r="B747" s="0" t="inlineStr">
        <is>
          <t>NULL</t>
        </is>
      </c>
      <c r="C747" s="0" t="inlineStr">
        <is>
          <t>NULL</t>
        </is>
      </c>
      <c r="D747" s="0" t="inlineStr">
        <is>
          <t>NULL</t>
        </is>
      </c>
      <c r="E747" s="0" t="inlineStr">
        <is>
          <t>NULL</t>
        </is>
      </c>
      <c r="F747" s="0" t="inlineStr">
        <is>
          <t>NULL</t>
        </is>
      </c>
      <c r="G747" s="0" t="inlineStr">
        <is>
          <t>NULL</t>
        </is>
      </c>
      <c r="H747" s="0" t="inlineStr">
        <is>
          <t>NULL</t>
        </is>
      </c>
      <c r="I747" s="0" t="inlineStr">
        <is>
          <t>NULL</t>
        </is>
      </c>
      <c r="J747" s="0" t="inlineStr">
        <is>
          <t>NULL</t>
        </is>
      </c>
      <c r="K747" s="0" t="inlineStr">
        <is>
          <t>[0;32m YES! [0m 	 c_dtoffset_5列源备映射正确，源端为datetimeoffset None位	期望更改为varchar(34)	实际备端为varchar 136位	位数精度不存在，通过长度比较</t>
        </is>
      </c>
    </row>
    <row r="748">
      <c r="B748" s="0" t="inlineStr">
        <is>
          <t>NULL</t>
        </is>
      </c>
      <c r="C748" s="0" t="inlineStr">
        <is>
          <t>NULL</t>
        </is>
      </c>
      <c r="D748" s="0" t="inlineStr">
        <is>
          <t>NULL</t>
        </is>
      </c>
      <c r="E748" s="0" t="inlineStr">
        <is>
          <t>NULL</t>
        </is>
      </c>
      <c r="F748" s="0" t="inlineStr">
        <is>
          <t>NULL</t>
        </is>
      </c>
      <c r="G748" s="0" t="inlineStr">
        <is>
          <t>NULL</t>
        </is>
      </c>
      <c r="H748" s="0" t="inlineStr">
        <is>
          <t>NULL</t>
        </is>
      </c>
      <c r="I748" s="0" t="inlineStr">
        <is>
          <t>NULL</t>
        </is>
      </c>
      <c r="J748" s="0" t="inlineStr">
        <is>
          <t>NULL</t>
        </is>
      </c>
      <c r="K748" s="0" t="inlineStr">
        <is>
          <t>[0;32m YES! [0m 	 c_dtoffset_6列源备映射正确，源端为datetimeoffset None位	期望更改为varchar(34)	实际备端为varchar 136位	位数精度不存在，通过长度比较</t>
        </is>
      </c>
    </row>
    <row r="749">
      <c r="B749" s="0" t="inlineStr">
        <is>
          <t>NULL</t>
        </is>
      </c>
      <c r="C749" s="0" t="inlineStr">
        <is>
          <t>NO!源None备NUL</t>
        </is>
      </c>
      <c r="D749" s="0" t="inlineStr">
        <is>
          <t>NULL</t>
        </is>
      </c>
      <c r="E749" s="0" t="inlineStr">
        <is>
          <t>NULL</t>
        </is>
      </c>
      <c r="F749" s="0" t="inlineStr">
        <is>
          <t>NULL</t>
        </is>
      </c>
      <c r="G749" s="0" t="inlineStr">
        <is>
          <t>NULL</t>
        </is>
      </c>
      <c r="H749" s="0" t="inlineStr">
        <is>
          <t>NULL</t>
        </is>
      </c>
      <c r="I749" s="0" t="inlineStr">
        <is>
          <t>NULL</t>
        </is>
      </c>
      <c r="J749" s="0" t="inlineStr">
        <is>
          <t>NULL</t>
        </is>
      </c>
      <c r="K749" s="0" t="inlineStr">
        <is>
          <t>[0;32m YES! [0m 	 c_dtoffset列源备映射正确，源端为datetimeoffset None位	期望更改为varchar(34)	实际备端为varchar 136位	位数精度不存在，通过长度比较</t>
        </is>
      </c>
    </row>
    <row r="750">
      <c r="K750" s="0" t="inlineStr">
        <is>
          <t>[0;31m NO! [0m 	  行数不同,源13行,备端空表</t>
        </is>
      </c>
    </row>
    <row r="751">
      <c r="A751" s="0" t="inlineStr">
        <is>
          <t>info_time_dml_single_nopk_urp</t>
        </is>
      </c>
      <c r="K751" s="0" t="inlineStr">
        <is>
          <t>[0;34m info_time_dml_single_nopk_urp [0m源备字段数相同，源端字段：9 	备端字段9</t>
        </is>
      </c>
      <c r="W751" s="0" t="inlineStr">
        <is>
          <t>YES 源备无差异</t>
        </is>
      </c>
      <c r="X751" s="0">
        <f>A751</f>
        <v/>
      </c>
    </row>
    <row r="752">
      <c r="B752" s="0" t="inlineStr">
        <is>
          <t>NULL</t>
        </is>
      </c>
      <c r="C752" s="0" t="inlineStr">
        <is>
          <t>NULL</t>
        </is>
      </c>
      <c r="D752" s="0" t="inlineStr">
        <is>
          <t>NULL</t>
        </is>
      </c>
      <c r="E752" s="0" t="inlineStr">
        <is>
          <t>NULL</t>
        </is>
      </c>
      <c r="F752" s="0" t="inlineStr">
        <is>
          <t>NULL</t>
        </is>
      </c>
      <c r="G752" s="0" t="inlineStr">
        <is>
          <t>NULL</t>
        </is>
      </c>
      <c r="H752" s="0" t="inlineStr">
        <is>
          <t>NULL</t>
        </is>
      </c>
      <c r="I752" s="0" t="inlineStr">
        <is>
          <t>NULL</t>
        </is>
      </c>
      <c r="J752" s="0" t="inlineStr">
        <is>
          <t>NULL</t>
        </is>
      </c>
      <c r="K752" s="0" t="inlineStr">
        <is>
          <t>YES! 	 id列源备映射正确，源端为int None位	期望更改为int	实际备端为int None位</t>
        </is>
      </c>
    </row>
    <row r="753">
      <c r="B753" s="0" t="inlineStr">
        <is>
          <t>NULL</t>
        </is>
      </c>
      <c r="C753" s="0" t="inlineStr">
        <is>
          <t>NULL</t>
        </is>
      </c>
      <c r="D753" s="0" t="inlineStr">
        <is>
          <t>NULL</t>
        </is>
      </c>
      <c r="E753" s="0" t="inlineStr">
        <is>
          <t>NULL</t>
        </is>
      </c>
      <c r="F753" s="0" t="inlineStr">
        <is>
          <t>NULL</t>
        </is>
      </c>
      <c r="G753" s="0" t="inlineStr">
        <is>
          <t>NULL</t>
        </is>
      </c>
      <c r="H753" s="0" t="inlineStr">
        <is>
          <t>NULL</t>
        </is>
      </c>
      <c r="I753" s="0" t="inlineStr">
        <is>
          <t>NULL</t>
        </is>
      </c>
      <c r="J753" s="0" t="inlineStr">
        <is>
          <t>NULL</t>
        </is>
      </c>
      <c r="K753" s="0" t="inlineStr">
        <is>
          <t>[0;32m YES! [0m 	 c_time0列源备映射正确，源端为time None位	期望更改为varchar(20)	实际备端为varchar 80位	位数精度不存在，通过长度比较</t>
        </is>
      </c>
    </row>
    <row r="754">
      <c r="B754" s="0" t="inlineStr">
        <is>
          <t>NULL</t>
        </is>
      </c>
      <c r="C754" s="0" t="inlineStr">
        <is>
          <t>NULL</t>
        </is>
      </c>
      <c r="D754" s="0" t="inlineStr">
        <is>
          <t>NULL</t>
        </is>
      </c>
      <c r="E754" s="0" t="inlineStr">
        <is>
          <t>NULL</t>
        </is>
      </c>
      <c r="F754" s="0" t="inlineStr">
        <is>
          <t>NULL</t>
        </is>
      </c>
      <c r="G754" s="0" t="inlineStr">
        <is>
          <t>NULL</t>
        </is>
      </c>
      <c r="H754" s="0" t="inlineStr">
        <is>
          <t>NULL</t>
        </is>
      </c>
      <c r="I754" s="0" t="inlineStr">
        <is>
          <t>NULL</t>
        </is>
      </c>
      <c r="J754" s="0" t="inlineStr">
        <is>
          <t>NULL</t>
        </is>
      </c>
      <c r="K754" s="0" t="inlineStr">
        <is>
          <t>[0;32m YES! [0m 	 c_time1列源备映射正确，源端为time None位	期望更改为varchar(20)	实际备端为varchar 80位	位数精度不存在，通过长度比较</t>
        </is>
      </c>
    </row>
    <row r="755">
      <c r="B755" s="0" t="inlineStr">
        <is>
          <t>NULL</t>
        </is>
      </c>
      <c r="C755" s="0" t="inlineStr">
        <is>
          <t>NULL</t>
        </is>
      </c>
      <c r="D755" s="0" t="inlineStr">
        <is>
          <t>NULL</t>
        </is>
      </c>
      <c r="E755" s="0" t="inlineStr">
        <is>
          <t>NULL</t>
        </is>
      </c>
      <c r="F755" s="0" t="inlineStr">
        <is>
          <t>NULL</t>
        </is>
      </c>
      <c r="G755" s="0" t="inlineStr">
        <is>
          <t>NULL</t>
        </is>
      </c>
      <c r="H755" s="0" t="inlineStr">
        <is>
          <t>NULL</t>
        </is>
      </c>
      <c r="I755" s="0" t="inlineStr">
        <is>
          <t>NULL</t>
        </is>
      </c>
      <c r="J755" s="0" t="inlineStr">
        <is>
          <t>NULL</t>
        </is>
      </c>
      <c r="K755" s="0" t="inlineStr">
        <is>
          <t>[0;32m YES! [0m 	 c_time2列源备映射正确，源端为time None位	期望更改为varchar(20)	实际备端为varchar 80位	位数精度不存在，通过长度比较</t>
        </is>
      </c>
    </row>
    <row r="756">
      <c r="B756" s="0" t="inlineStr">
        <is>
          <t>NULL</t>
        </is>
      </c>
      <c r="C756" s="0" t="inlineStr">
        <is>
          <t>NULL</t>
        </is>
      </c>
      <c r="D756" s="0" t="inlineStr">
        <is>
          <t>NULL</t>
        </is>
      </c>
      <c r="E756" s="0" t="inlineStr">
        <is>
          <t>NULL</t>
        </is>
      </c>
      <c r="F756" s="0" t="inlineStr">
        <is>
          <t>NULL</t>
        </is>
      </c>
      <c r="G756" s="0" t="inlineStr">
        <is>
          <t>NULL</t>
        </is>
      </c>
      <c r="H756" s="0" t="inlineStr">
        <is>
          <t>NULL</t>
        </is>
      </c>
      <c r="I756" s="0" t="inlineStr">
        <is>
          <t>NULL</t>
        </is>
      </c>
      <c r="J756" s="0" t="inlineStr">
        <is>
          <t>NULL</t>
        </is>
      </c>
      <c r="K756" s="0" t="inlineStr">
        <is>
          <t>[0;32m YES! [0m 	 c_time3列源备映射正确，源端为time None位	期望更改为varchar(20)	实际备端为varchar 80位	位数精度不存在，通过长度比较</t>
        </is>
      </c>
    </row>
    <row r="757">
      <c r="B757" s="0" t="inlineStr">
        <is>
          <t>NULL</t>
        </is>
      </c>
      <c r="C757" s="0" t="inlineStr">
        <is>
          <t>NULL</t>
        </is>
      </c>
      <c r="D757" s="0" t="inlineStr">
        <is>
          <t>NULL</t>
        </is>
      </c>
      <c r="E757" s="0" t="inlineStr">
        <is>
          <t>NULL</t>
        </is>
      </c>
      <c r="F757" s="0" t="inlineStr">
        <is>
          <t>NULL</t>
        </is>
      </c>
      <c r="G757" s="0" t="inlineStr">
        <is>
          <t>NULL</t>
        </is>
      </c>
      <c r="H757" s="0" t="inlineStr">
        <is>
          <t>NULL</t>
        </is>
      </c>
      <c r="I757" s="0" t="inlineStr">
        <is>
          <t>NULL</t>
        </is>
      </c>
      <c r="J757" s="0" t="inlineStr">
        <is>
          <t>NULL</t>
        </is>
      </c>
      <c r="K757" s="0" t="inlineStr">
        <is>
          <t>[0;32m YES! [0m 	 c_time4列源备映射正确，源端为time None位	期望更改为varchar(20)	实际备端为varchar 80位	位数精度不存在，通过长度比较</t>
        </is>
      </c>
    </row>
    <row r="758">
      <c r="B758" s="0" t="inlineStr">
        <is>
          <t>NULL</t>
        </is>
      </c>
      <c r="C758" s="0" t="inlineStr">
        <is>
          <t>NULL</t>
        </is>
      </c>
      <c r="D758" s="0" t="inlineStr">
        <is>
          <t>NULL</t>
        </is>
      </c>
      <c r="E758" s="0" t="inlineStr">
        <is>
          <t>NULL</t>
        </is>
      </c>
      <c r="F758" s="0" t="inlineStr">
        <is>
          <t>NULL</t>
        </is>
      </c>
      <c r="G758" s="0" t="inlineStr">
        <is>
          <t>NULL</t>
        </is>
      </c>
      <c r="H758" s="0" t="inlineStr">
        <is>
          <t>NULL</t>
        </is>
      </c>
      <c r="I758" s="0" t="inlineStr">
        <is>
          <t>NULL</t>
        </is>
      </c>
      <c r="J758" s="0" t="inlineStr">
        <is>
          <t>NULL</t>
        </is>
      </c>
      <c r="K758" s="0" t="inlineStr">
        <is>
          <t>[0;32m YES! [0m 	 c_time5列源备映射正确，源端为time None位	期望更改为varchar(20)	实际备端为varchar 80位	位数精度不存在，通过长度比较</t>
        </is>
      </c>
    </row>
    <row r="759">
      <c r="B759" s="0" t="inlineStr">
        <is>
          <t>NULL</t>
        </is>
      </c>
      <c r="C759" s="0" t="inlineStr">
        <is>
          <t>NULL</t>
        </is>
      </c>
      <c r="D759" s="0" t="inlineStr">
        <is>
          <t>NULL</t>
        </is>
      </c>
      <c r="E759" s="0" t="inlineStr">
        <is>
          <t>NULL</t>
        </is>
      </c>
      <c r="F759" s="0" t="inlineStr">
        <is>
          <t>NULL</t>
        </is>
      </c>
      <c r="G759" s="0" t="inlineStr">
        <is>
          <t>NULL</t>
        </is>
      </c>
      <c r="H759" s="0" t="inlineStr">
        <is>
          <t>NULL</t>
        </is>
      </c>
      <c r="I759" s="0" t="inlineStr">
        <is>
          <t>NULL</t>
        </is>
      </c>
      <c r="J759" s="0" t="inlineStr">
        <is>
          <t>NULL</t>
        </is>
      </c>
      <c r="K759" s="0" t="inlineStr">
        <is>
          <t>[0;32m YES! [0m 	 c_time6列源备映射正确，源端为time None位	期望更改为varchar(20)	实际备端为varchar 80位	位数精度不存在，通过长度比较</t>
        </is>
      </c>
    </row>
    <row r="760">
      <c r="B760" s="0" t="inlineStr">
        <is>
          <t>NULL</t>
        </is>
      </c>
      <c r="C760" s="0" t="inlineStr">
        <is>
          <t>NO!源None备NUL</t>
        </is>
      </c>
      <c r="D760" s="0" t="inlineStr">
        <is>
          <t>NULL</t>
        </is>
      </c>
      <c r="E760" s="0" t="inlineStr">
        <is>
          <t>NULL</t>
        </is>
      </c>
      <c r="F760" s="0" t="inlineStr">
        <is>
          <t>NULL</t>
        </is>
      </c>
      <c r="G760" s="0" t="inlineStr">
        <is>
          <t>NULL</t>
        </is>
      </c>
      <c r="H760" s="0" t="inlineStr">
        <is>
          <t>NULL</t>
        </is>
      </c>
      <c r="I760" s="0" t="inlineStr">
        <is>
          <t>NULL</t>
        </is>
      </c>
      <c r="J760" s="0" t="inlineStr">
        <is>
          <t>NULL</t>
        </is>
      </c>
      <c r="K760" s="0" t="inlineStr">
        <is>
          <t>[0;32m YES! [0m 	 c_time列源备映射正确，源端为time None位	期望更改为varchar(20)	实际备端为varchar 80位	位数精度不存在，通过长度比较</t>
        </is>
      </c>
    </row>
    <row r="761">
      <c r="K761" s="0" t="inlineStr">
        <is>
          <t>[0;31m NO! [0m 	  行数不同,源5行,备端空表</t>
        </is>
      </c>
    </row>
    <row r="762">
      <c r="A762" s="0" t="inlineStr">
        <is>
          <t>info_nvarchar_dml_batch1_pk_drp2</t>
        </is>
      </c>
      <c r="K762" s="0" t="inlineStr">
        <is>
          <t>[0;34m info_nvarchar_dml_batch1_pk_drp2 [0m源备字段数相同，源端字段：4 	备端字段4</t>
        </is>
      </c>
      <c r="W762" s="0" t="inlineStr">
        <is>
          <t>YES 源备无差异</t>
        </is>
      </c>
      <c r="X762" s="0">
        <f>A762</f>
        <v/>
      </c>
    </row>
    <row r="763">
      <c r="B763" s="0" t="inlineStr">
        <is>
          <t>NO! 主键不正常，源YES备None</t>
        </is>
      </c>
      <c r="C763" s="0" t="inlineStr">
        <is>
          <t>NULL</t>
        </is>
      </c>
      <c r="D763" s="0" t="inlineStr">
        <is>
          <t>NULL</t>
        </is>
      </c>
      <c r="E763" s="0" t="inlineStr">
        <is>
          <t>NULL</t>
        </is>
      </c>
      <c r="F763" s="0" t="inlineStr">
        <is>
          <t>NULL</t>
        </is>
      </c>
      <c r="G763" s="0" t="inlineStr">
        <is>
          <t>NULL</t>
        </is>
      </c>
      <c r="H763" s="0" t="inlineStr">
        <is>
          <t>NULL</t>
        </is>
      </c>
      <c r="I763" s="0" t="inlineStr">
        <is>
          <t>NO! 源备索引不一致源PK__info_nva__3213E83FF3212B0C备None</t>
        </is>
      </c>
      <c r="J763" s="0" t="inlineStr">
        <is>
          <t>NULL</t>
        </is>
      </c>
      <c r="K763" s="0" t="inlineStr">
        <is>
          <t>YES! 	 id列源备映射正确，源端为int None位	期望更改为int	实际备端为int None位</t>
        </is>
      </c>
    </row>
    <row r="764">
      <c r="B764" s="0" t="inlineStr">
        <is>
          <t>NULL</t>
        </is>
      </c>
      <c r="C764" s="0" t="inlineStr">
        <is>
          <t>NULL</t>
        </is>
      </c>
      <c r="D764" s="0" t="inlineStr">
        <is>
          <t>NULL</t>
        </is>
      </c>
      <c r="E764" s="0" t="inlineStr">
        <is>
          <t>NULL</t>
        </is>
      </c>
      <c r="F764" s="0" t="inlineStr">
        <is>
          <t>NULL</t>
        </is>
      </c>
      <c r="G764" s="0" t="inlineStr">
        <is>
          <t>NULL</t>
        </is>
      </c>
      <c r="H764" s="0" t="inlineStr">
        <is>
          <t>NULL</t>
        </is>
      </c>
      <c r="I764" s="0" t="inlineStr">
        <is>
          <t>NULL</t>
        </is>
      </c>
      <c r="J764" s="0" t="inlineStr">
        <is>
          <t>NULL</t>
        </is>
      </c>
      <c r="K764" s="0" t="inlineStr">
        <is>
          <t>YES! 	 c_nvarchar列源备映射正确，源端为nvarchar 2位	期望更改为varchar(n)	实际备端为varchar 4位</t>
        </is>
      </c>
    </row>
    <row r="765">
      <c r="B765" s="0" t="inlineStr">
        <is>
          <t>NULL</t>
        </is>
      </c>
      <c r="C765" s="0" t="inlineStr">
        <is>
          <t>NULL</t>
        </is>
      </c>
      <c r="D765" s="0" t="inlineStr">
        <is>
          <t>NULL</t>
        </is>
      </c>
      <c r="E765" s="0" t="inlineStr">
        <is>
          <t>NULL</t>
        </is>
      </c>
      <c r="F765" s="0" t="inlineStr">
        <is>
          <t>NULL</t>
        </is>
      </c>
      <c r="G765" s="0" t="inlineStr">
        <is>
          <t>NULL</t>
        </is>
      </c>
      <c r="H765" s="0" t="inlineStr">
        <is>
          <t>NULL</t>
        </is>
      </c>
      <c r="I765" s="0" t="inlineStr">
        <is>
          <t>NULL</t>
        </is>
      </c>
      <c r="J765" s="0" t="inlineStr">
        <is>
          <t>NULL</t>
        </is>
      </c>
      <c r="K765" s="0" t="inlineStr">
        <is>
          <t>YES! 	 c_nvarchar20列源备映射正确，源端为nvarchar 40位	期望更改为varchar(n)	实际备端为varchar 80位</t>
        </is>
      </c>
    </row>
    <row r="766">
      <c r="B766" s="0" t="inlineStr">
        <is>
          <t>NULL</t>
        </is>
      </c>
      <c r="C766" s="0" t="inlineStr">
        <is>
          <t>NULL</t>
        </is>
      </c>
      <c r="D766" s="0" t="inlineStr">
        <is>
          <t>NULL</t>
        </is>
      </c>
      <c r="E766" s="0" t="inlineStr">
        <is>
          <t>NULL</t>
        </is>
      </c>
      <c r="F766" s="0" t="inlineStr">
        <is>
          <t>NULL</t>
        </is>
      </c>
      <c r="G766" s="0" t="inlineStr">
        <is>
          <t>NULL</t>
        </is>
      </c>
      <c r="H766" s="0" t="inlineStr">
        <is>
          <t>NULL</t>
        </is>
      </c>
      <c r="I766" s="0" t="inlineStr">
        <is>
          <t>NULL</t>
        </is>
      </c>
      <c r="J766" s="0" t="inlineStr">
        <is>
          <t>NULL</t>
        </is>
      </c>
      <c r="K766" s="0" t="inlineStr">
        <is>
          <t xml:space="preserve"> NO!  	 c_nvarchar3500列源备映射错误，源端为nchar 7000位	期望更改为varchar(n)	实际备端为text 65535位</t>
        </is>
      </c>
    </row>
    <row r="767">
      <c r="K767" s="0" t="inlineStr">
        <is>
          <t>[0;31m NO! [0m 	  行数不同,源2行,备端空表</t>
        </is>
      </c>
    </row>
    <row r="768">
      <c r="A768" s="0" t="inlineStr">
        <is>
          <t>info_time_dml_single_nopk_drp</t>
        </is>
      </c>
      <c r="K768" s="0" t="inlineStr">
        <is>
          <t>[0;34m info_time_dml_single_nopk_drp [0m源备字段数相同，源端字段：9 	备端字段9</t>
        </is>
      </c>
      <c r="W768" s="0" t="inlineStr">
        <is>
          <t>YES 源备无差异</t>
        </is>
      </c>
      <c r="X768" s="0">
        <f>A768</f>
        <v/>
      </c>
    </row>
    <row r="769">
      <c r="B769" s="0" t="inlineStr">
        <is>
          <t>NULL</t>
        </is>
      </c>
      <c r="C769" s="0" t="inlineStr">
        <is>
          <t>NULL</t>
        </is>
      </c>
      <c r="D769" s="0" t="inlineStr">
        <is>
          <t>NULL</t>
        </is>
      </c>
      <c r="E769" s="0" t="inlineStr">
        <is>
          <t>NULL</t>
        </is>
      </c>
      <c r="F769" s="0" t="inlineStr">
        <is>
          <t>NULL</t>
        </is>
      </c>
      <c r="G769" s="0" t="inlineStr">
        <is>
          <t>NULL</t>
        </is>
      </c>
      <c r="H769" s="0" t="inlineStr">
        <is>
          <t>NULL</t>
        </is>
      </c>
      <c r="I769" s="0" t="inlineStr">
        <is>
          <t>NULL</t>
        </is>
      </c>
      <c r="J769" s="0" t="inlineStr">
        <is>
          <t>NULL</t>
        </is>
      </c>
      <c r="K769" s="0" t="inlineStr">
        <is>
          <t>YES! 	 id列源备映射正确，源端为int None位	期望更改为int	实际备端为int None位</t>
        </is>
      </c>
    </row>
    <row r="770">
      <c r="B770" s="0" t="inlineStr">
        <is>
          <t>NULL</t>
        </is>
      </c>
      <c r="C770" s="0" t="inlineStr">
        <is>
          <t>NULL</t>
        </is>
      </c>
      <c r="D770" s="0" t="inlineStr">
        <is>
          <t>NULL</t>
        </is>
      </c>
      <c r="E770" s="0" t="inlineStr">
        <is>
          <t>NULL</t>
        </is>
      </c>
      <c r="F770" s="0" t="inlineStr">
        <is>
          <t>NULL</t>
        </is>
      </c>
      <c r="G770" s="0" t="inlineStr">
        <is>
          <t>NULL</t>
        </is>
      </c>
      <c r="H770" s="0" t="inlineStr">
        <is>
          <t>NULL</t>
        </is>
      </c>
      <c r="I770" s="0" t="inlineStr">
        <is>
          <t>NULL</t>
        </is>
      </c>
      <c r="J770" s="0" t="inlineStr">
        <is>
          <t>NULL</t>
        </is>
      </c>
      <c r="K770" s="0" t="inlineStr">
        <is>
          <t>[0;32m YES! [0m 	 c_time0列源备映射正确，源端为time None位	期望更改为varchar(20)	实际备端为varchar 80位	位数精度不存在，通过长度比较</t>
        </is>
      </c>
    </row>
    <row r="771">
      <c r="B771" s="0" t="inlineStr">
        <is>
          <t>NULL</t>
        </is>
      </c>
      <c r="C771" s="0" t="inlineStr">
        <is>
          <t>NULL</t>
        </is>
      </c>
      <c r="D771" s="0" t="inlineStr">
        <is>
          <t>NULL</t>
        </is>
      </c>
      <c r="E771" s="0" t="inlineStr">
        <is>
          <t>NULL</t>
        </is>
      </c>
      <c r="F771" s="0" t="inlineStr">
        <is>
          <t>NULL</t>
        </is>
      </c>
      <c r="G771" s="0" t="inlineStr">
        <is>
          <t>NULL</t>
        </is>
      </c>
      <c r="H771" s="0" t="inlineStr">
        <is>
          <t>NULL</t>
        </is>
      </c>
      <c r="I771" s="0" t="inlineStr">
        <is>
          <t>NULL</t>
        </is>
      </c>
      <c r="J771" s="0" t="inlineStr">
        <is>
          <t>NULL</t>
        </is>
      </c>
      <c r="K771" s="0" t="inlineStr">
        <is>
          <t>[0;32m YES! [0m 	 c_time1列源备映射正确，源端为time None位	期望更改为varchar(20)	实际备端为varchar 80位	位数精度不存在，通过长度比较</t>
        </is>
      </c>
    </row>
    <row r="772">
      <c r="B772" s="0" t="inlineStr">
        <is>
          <t>NULL</t>
        </is>
      </c>
      <c r="C772" s="0" t="inlineStr">
        <is>
          <t>NULL</t>
        </is>
      </c>
      <c r="D772" s="0" t="inlineStr">
        <is>
          <t>NULL</t>
        </is>
      </c>
      <c r="E772" s="0" t="inlineStr">
        <is>
          <t>NULL</t>
        </is>
      </c>
      <c r="F772" s="0" t="inlineStr">
        <is>
          <t>NULL</t>
        </is>
      </c>
      <c r="G772" s="0" t="inlineStr">
        <is>
          <t>NULL</t>
        </is>
      </c>
      <c r="H772" s="0" t="inlineStr">
        <is>
          <t>NULL</t>
        </is>
      </c>
      <c r="I772" s="0" t="inlineStr">
        <is>
          <t>NULL</t>
        </is>
      </c>
      <c r="J772" s="0" t="inlineStr">
        <is>
          <t>NULL</t>
        </is>
      </c>
      <c r="K772" s="0" t="inlineStr">
        <is>
          <t>[0;32m YES! [0m 	 c_time2列源备映射正确，源端为time None位	期望更改为varchar(20)	实际备端为varchar 80位	位数精度不存在，通过长度比较</t>
        </is>
      </c>
    </row>
    <row r="773">
      <c r="B773" s="0" t="inlineStr">
        <is>
          <t>NULL</t>
        </is>
      </c>
      <c r="C773" s="0" t="inlineStr">
        <is>
          <t>NULL</t>
        </is>
      </c>
      <c r="D773" s="0" t="inlineStr">
        <is>
          <t>NULL</t>
        </is>
      </c>
      <c r="E773" s="0" t="inlineStr">
        <is>
          <t>NULL</t>
        </is>
      </c>
      <c r="F773" s="0" t="inlineStr">
        <is>
          <t>NULL</t>
        </is>
      </c>
      <c r="G773" s="0" t="inlineStr">
        <is>
          <t>NULL</t>
        </is>
      </c>
      <c r="H773" s="0" t="inlineStr">
        <is>
          <t>NULL</t>
        </is>
      </c>
      <c r="I773" s="0" t="inlineStr">
        <is>
          <t>NULL</t>
        </is>
      </c>
      <c r="J773" s="0" t="inlineStr">
        <is>
          <t>NULL</t>
        </is>
      </c>
      <c r="K773" s="0" t="inlineStr">
        <is>
          <t>[0;32m YES! [0m 	 c_time3列源备映射正确，源端为time None位	期望更改为varchar(20)	实际备端为varchar 80位	位数精度不存在，通过长度比较</t>
        </is>
      </c>
    </row>
    <row r="774">
      <c r="B774" s="0" t="inlineStr">
        <is>
          <t>NULL</t>
        </is>
      </c>
      <c r="C774" s="0" t="inlineStr">
        <is>
          <t>NULL</t>
        </is>
      </c>
      <c r="D774" s="0" t="inlineStr">
        <is>
          <t>NULL</t>
        </is>
      </c>
      <c r="E774" s="0" t="inlineStr">
        <is>
          <t>NULL</t>
        </is>
      </c>
      <c r="F774" s="0" t="inlineStr">
        <is>
          <t>NULL</t>
        </is>
      </c>
      <c r="G774" s="0" t="inlineStr">
        <is>
          <t>NULL</t>
        </is>
      </c>
      <c r="H774" s="0" t="inlineStr">
        <is>
          <t>NULL</t>
        </is>
      </c>
      <c r="I774" s="0" t="inlineStr">
        <is>
          <t>NULL</t>
        </is>
      </c>
      <c r="J774" s="0" t="inlineStr">
        <is>
          <t>NULL</t>
        </is>
      </c>
      <c r="K774" s="0" t="inlineStr">
        <is>
          <t>[0;32m YES! [0m 	 c_time4列源备映射正确，源端为time None位	期望更改为varchar(20)	实际备端为varchar 80位	位数精度不存在，通过长度比较</t>
        </is>
      </c>
    </row>
    <row r="775">
      <c r="B775" s="0" t="inlineStr">
        <is>
          <t>NULL</t>
        </is>
      </c>
      <c r="C775" s="0" t="inlineStr">
        <is>
          <t>NULL</t>
        </is>
      </c>
      <c r="D775" s="0" t="inlineStr">
        <is>
          <t>NULL</t>
        </is>
      </c>
      <c r="E775" s="0" t="inlineStr">
        <is>
          <t>NULL</t>
        </is>
      </c>
      <c r="F775" s="0" t="inlineStr">
        <is>
          <t>NULL</t>
        </is>
      </c>
      <c r="G775" s="0" t="inlineStr">
        <is>
          <t>NULL</t>
        </is>
      </c>
      <c r="H775" s="0" t="inlineStr">
        <is>
          <t>NULL</t>
        </is>
      </c>
      <c r="I775" s="0" t="inlineStr">
        <is>
          <t>NULL</t>
        </is>
      </c>
      <c r="J775" s="0" t="inlineStr">
        <is>
          <t>NULL</t>
        </is>
      </c>
      <c r="K775" s="0" t="inlineStr">
        <is>
          <t>[0;32m YES! [0m 	 c_time5列源备映射正确，源端为time None位	期望更改为varchar(20)	实际备端为varchar 80位	位数精度不存在，通过长度比较</t>
        </is>
      </c>
    </row>
    <row r="776">
      <c r="B776" s="0" t="inlineStr">
        <is>
          <t>NULL</t>
        </is>
      </c>
      <c r="C776" s="0" t="inlineStr">
        <is>
          <t>NULL</t>
        </is>
      </c>
      <c r="D776" s="0" t="inlineStr">
        <is>
          <t>NULL</t>
        </is>
      </c>
      <c r="E776" s="0" t="inlineStr">
        <is>
          <t>NULL</t>
        </is>
      </c>
      <c r="F776" s="0" t="inlineStr">
        <is>
          <t>NULL</t>
        </is>
      </c>
      <c r="G776" s="0" t="inlineStr">
        <is>
          <t>NULL</t>
        </is>
      </c>
      <c r="H776" s="0" t="inlineStr">
        <is>
          <t>NULL</t>
        </is>
      </c>
      <c r="I776" s="0" t="inlineStr">
        <is>
          <t>NULL</t>
        </is>
      </c>
      <c r="J776" s="0" t="inlineStr">
        <is>
          <t>NULL</t>
        </is>
      </c>
      <c r="K776" s="0" t="inlineStr">
        <is>
          <t>[0;32m YES! [0m 	 c_time6列源备映射正确，源端为time None位	期望更改为varchar(20)	实际备端为varchar 80位	位数精度不存在，通过长度比较</t>
        </is>
      </c>
    </row>
    <row r="777">
      <c r="B777" s="0" t="inlineStr">
        <is>
          <t>NULL</t>
        </is>
      </c>
      <c r="C777" s="0" t="inlineStr">
        <is>
          <t>NO!源None备NUL</t>
        </is>
      </c>
      <c r="D777" s="0" t="inlineStr">
        <is>
          <t>NULL</t>
        </is>
      </c>
      <c r="E777" s="0" t="inlineStr">
        <is>
          <t>NULL</t>
        </is>
      </c>
      <c r="F777" s="0" t="inlineStr">
        <is>
          <t>NULL</t>
        </is>
      </c>
      <c r="G777" s="0" t="inlineStr">
        <is>
          <t>NULL</t>
        </is>
      </c>
      <c r="H777" s="0" t="inlineStr">
        <is>
          <t>NULL</t>
        </is>
      </c>
      <c r="I777" s="0" t="inlineStr">
        <is>
          <t>NULL</t>
        </is>
      </c>
      <c r="J777" s="0" t="inlineStr">
        <is>
          <t>NULL</t>
        </is>
      </c>
      <c r="K777" s="0" t="inlineStr">
        <is>
          <t>[0;32m YES! [0m 	 c_time列源备映射正确，源端为time None位	期望更改为varchar(20)	实际备端为varchar 80位	位数精度不存在，通过长度比较</t>
        </is>
      </c>
    </row>
    <row r="778">
      <c r="K778" s="0" t="inlineStr">
        <is>
          <t>[0;31m NO! [0m 	  行数不同,源8行,备端空表</t>
        </is>
      </c>
    </row>
    <row r="779">
      <c r="A779" s="0" t="inlineStr">
        <is>
          <t>info_time_dml_single_nopk</t>
        </is>
      </c>
      <c r="K779" s="0" t="inlineStr">
        <is>
          <t>[0;34m info_time_dml_single_nopk [0m源备字段数相同，源端字段：9 	备端字段9</t>
        </is>
      </c>
      <c r="W779" s="0" t="inlineStr">
        <is>
          <t>YES 源备无差异</t>
        </is>
      </c>
      <c r="X779" s="0">
        <f>A779</f>
        <v/>
      </c>
    </row>
    <row r="780">
      <c r="B780" s="0" t="inlineStr">
        <is>
          <t>NULL</t>
        </is>
      </c>
      <c r="C780" s="0" t="inlineStr">
        <is>
          <t>NULL</t>
        </is>
      </c>
      <c r="D780" s="0" t="inlineStr">
        <is>
          <t>NULL</t>
        </is>
      </c>
      <c r="E780" s="0" t="inlineStr">
        <is>
          <t>NULL</t>
        </is>
      </c>
      <c r="F780" s="0" t="inlineStr">
        <is>
          <t>NULL</t>
        </is>
      </c>
      <c r="G780" s="0" t="inlineStr">
        <is>
          <t>NULL</t>
        </is>
      </c>
      <c r="H780" s="0" t="inlineStr">
        <is>
          <t>NULL</t>
        </is>
      </c>
      <c r="I780" s="0" t="inlineStr">
        <is>
          <t>NULL</t>
        </is>
      </c>
      <c r="J780" s="0" t="inlineStr">
        <is>
          <t>NULL</t>
        </is>
      </c>
      <c r="K780" s="0" t="inlineStr">
        <is>
          <t>YES! 	 id列源备映射正确，源端为int None位	期望更改为int	实际备端为int None位</t>
        </is>
      </c>
    </row>
    <row r="781">
      <c r="B781" s="0" t="inlineStr">
        <is>
          <t>NULL</t>
        </is>
      </c>
      <c r="C781" s="0" t="inlineStr">
        <is>
          <t>NULL</t>
        </is>
      </c>
      <c r="D781" s="0" t="inlineStr">
        <is>
          <t>NULL</t>
        </is>
      </c>
      <c r="E781" s="0" t="inlineStr">
        <is>
          <t>NULL</t>
        </is>
      </c>
      <c r="F781" s="0" t="inlineStr">
        <is>
          <t>NULL</t>
        </is>
      </c>
      <c r="G781" s="0" t="inlineStr">
        <is>
          <t>NULL</t>
        </is>
      </c>
      <c r="H781" s="0" t="inlineStr">
        <is>
          <t>NULL</t>
        </is>
      </c>
      <c r="I781" s="0" t="inlineStr">
        <is>
          <t>NULL</t>
        </is>
      </c>
      <c r="J781" s="0" t="inlineStr">
        <is>
          <t>NULL</t>
        </is>
      </c>
      <c r="K781" s="0" t="inlineStr">
        <is>
          <t>[0;32m YES! [0m 	 c_time0列源备映射正确，源端为time None位	期望更改为varchar(20)	实际备端为varchar 80位	位数精度不存在，通过长度比较</t>
        </is>
      </c>
    </row>
    <row r="782">
      <c r="B782" s="0" t="inlineStr">
        <is>
          <t>NULL</t>
        </is>
      </c>
      <c r="C782" s="0" t="inlineStr">
        <is>
          <t>NULL</t>
        </is>
      </c>
      <c r="D782" s="0" t="inlineStr">
        <is>
          <t>NULL</t>
        </is>
      </c>
      <c r="E782" s="0" t="inlineStr">
        <is>
          <t>NULL</t>
        </is>
      </c>
      <c r="F782" s="0" t="inlineStr">
        <is>
          <t>NULL</t>
        </is>
      </c>
      <c r="G782" s="0" t="inlineStr">
        <is>
          <t>NULL</t>
        </is>
      </c>
      <c r="H782" s="0" t="inlineStr">
        <is>
          <t>NULL</t>
        </is>
      </c>
      <c r="I782" s="0" t="inlineStr">
        <is>
          <t>NULL</t>
        </is>
      </c>
      <c r="J782" s="0" t="inlineStr">
        <is>
          <t>NULL</t>
        </is>
      </c>
      <c r="K782" s="0" t="inlineStr">
        <is>
          <t>[0;32m YES! [0m 	 c_time1列源备映射正确，源端为time None位	期望更改为varchar(20)	实际备端为varchar 80位	位数精度不存在，通过长度比较</t>
        </is>
      </c>
    </row>
    <row r="783">
      <c r="B783" s="0" t="inlineStr">
        <is>
          <t>NULL</t>
        </is>
      </c>
      <c r="C783" s="0" t="inlineStr">
        <is>
          <t>NULL</t>
        </is>
      </c>
      <c r="D783" s="0" t="inlineStr">
        <is>
          <t>NULL</t>
        </is>
      </c>
      <c r="E783" s="0" t="inlineStr">
        <is>
          <t>NULL</t>
        </is>
      </c>
      <c r="F783" s="0" t="inlineStr">
        <is>
          <t>NULL</t>
        </is>
      </c>
      <c r="G783" s="0" t="inlineStr">
        <is>
          <t>NULL</t>
        </is>
      </c>
      <c r="H783" s="0" t="inlineStr">
        <is>
          <t>NULL</t>
        </is>
      </c>
      <c r="I783" s="0" t="inlineStr">
        <is>
          <t>NULL</t>
        </is>
      </c>
      <c r="J783" s="0" t="inlineStr">
        <is>
          <t>NULL</t>
        </is>
      </c>
      <c r="K783" s="0" t="inlineStr">
        <is>
          <t>[0;32m YES! [0m 	 c_time2列源备映射正确，源端为time None位	期望更改为varchar(20)	实际备端为varchar 80位	位数精度不存在，通过长度比较</t>
        </is>
      </c>
    </row>
    <row r="784">
      <c r="B784" s="0" t="inlineStr">
        <is>
          <t>NULL</t>
        </is>
      </c>
      <c r="C784" s="0" t="inlineStr">
        <is>
          <t>NULL</t>
        </is>
      </c>
      <c r="D784" s="0" t="inlineStr">
        <is>
          <t>NULL</t>
        </is>
      </c>
      <c r="E784" s="0" t="inlineStr">
        <is>
          <t>NULL</t>
        </is>
      </c>
      <c r="F784" s="0" t="inlineStr">
        <is>
          <t>NULL</t>
        </is>
      </c>
      <c r="G784" s="0" t="inlineStr">
        <is>
          <t>NULL</t>
        </is>
      </c>
      <c r="H784" s="0" t="inlineStr">
        <is>
          <t>NULL</t>
        </is>
      </c>
      <c r="I784" s="0" t="inlineStr">
        <is>
          <t>NULL</t>
        </is>
      </c>
      <c r="J784" s="0" t="inlineStr">
        <is>
          <t>NULL</t>
        </is>
      </c>
      <c r="K784" s="0" t="inlineStr">
        <is>
          <t>[0;32m YES! [0m 	 c_time3列源备映射正确，源端为time None位	期望更改为varchar(20)	实际备端为varchar 80位	位数精度不存在，通过长度比较</t>
        </is>
      </c>
    </row>
    <row r="785">
      <c r="B785" s="0" t="inlineStr">
        <is>
          <t>NULL</t>
        </is>
      </c>
      <c r="C785" s="0" t="inlineStr">
        <is>
          <t>NULL</t>
        </is>
      </c>
      <c r="D785" s="0" t="inlineStr">
        <is>
          <t>NULL</t>
        </is>
      </c>
      <c r="E785" s="0" t="inlineStr">
        <is>
          <t>NULL</t>
        </is>
      </c>
      <c r="F785" s="0" t="inlineStr">
        <is>
          <t>NULL</t>
        </is>
      </c>
      <c r="G785" s="0" t="inlineStr">
        <is>
          <t>NULL</t>
        </is>
      </c>
      <c r="H785" s="0" t="inlineStr">
        <is>
          <t>NULL</t>
        </is>
      </c>
      <c r="I785" s="0" t="inlineStr">
        <is>
          <t>NULL</t>
        </is>
      </c>
      <c r="J785" s="0" t="inlineStr">
        <is>
          <t>NULL</t>
        </is>
      </c>
      <c r="K785" s="0" t="inlineStr">
        <is>
          <t>[0;32m YES! [0m 	 c_time4列源备映射正确，源端为time None位	期望更改为varchar(20)	实际备端为varchar 80位	位数精度不存在，通过长度比较</t>
        </is>
      </c>
    </row>
    <row r="786">
      <c r="B786" s="0" t="inlineStr">
        <is>
          <t>NULL</t>
        </is>
      </c>
      <c r="C786" s="0" t="inlineStr">
        <is>
          <t>NULL</t>
        </is>
      </c>
      <c r="D786" s="0" t="inlineStr">
        <is>
          <t>NULL</t>
        </is>
      </c>
      <c r="E786" s="0" t="inlineStr">
        <is>
          <t>NULL</t>
        </is>
      </c>
      <c r="F786" s="0" t="inlineStr">
        <is>
          <t>NULL</t>
        </is>
      </c>
      <c r="G786" s="0" t="inlineStr">
        <is>
          <t>NULL</t>
        </is>
      </c>
      <c r="H786" s="0" t="inlineStr">
        <is>
          <t>NULL</t>
        </is>
      </c>
      <c r="I786" s="0" t="inlineStr">
        <is>
          <t>NULL</t>
        </is>
      </c>
      <c r="J786" s="0" t="inlineStr">
        <is>
          <t>NULL</t>
        </is>
      </c>
      <c r="K786" s="0" t="inlineStr">
        <is>
          <t>[0;32m YES! [0m 	 c_time5列源备映射正确，源端为time None位	期望更改为varchar(20)	实际备端为varchar 80位	位数精度不存在，通过长度比较</t>
        </is>
      </c>
    </row>
    <row r="787">
      <c r="B787" s="0" t="inlineStr">
        <is>
          <t>NULL</t>
        </is>
      </c>
      <c r="C787" s="0" t="inlineStr">
        <is>
          <t>NULL</t>
        </is>
      </c>
      <c r="D787" s="0" t="inlineStr">
        <is>
          <t>NULL</t>
        </is>
      </c>
      <c r="E787" s="0" t="inlineStr">
        <is>
          <t>NULL</t>
        </is>
      </c>
      <c r="F787" s="0" t="inlineStr">
        <is>
          <t>NULL</t>
        </is>
      </c>
      <c r="G787" s="0" t="inlineStr">
        <is>
          <t>NULL</t>
        </is>
      </c>
      <c r="H787" s="0" t="inlineStr">
        <is>
          <t>NULL</t>
        </is>
      </c>
      <c r="I787" s="0" t="inlineStr">
        <is>
          <t>NULL</t>
        </is>
      </c>
      <c r="J787" s="0" t="inlineStr">
        <is>
          <t>NULL</t>
        </is>
      </c>
      <c r="K787" s="0" t="inlineStr">
        <is>
          <t>[0;32m YES! [0m 	 c_time6列源备映射正确，源端为time None位	期望更改为varchar(20)	实际备端为varchar 80位	位数精度不存在，通过长度比较</t>
        </is>
      </c>
    </row>
    <row r="788">
      <c r="B788" s="0" t="inlineStr">
        <is>
          <t>NULL</t>
        </is>
      </c>
      <c r="C788" s="0" t="inlineStr">
        <is>
          <t>NO!源None备NUL</t>
        </is>
      </c>
      <c r="D788" s="0" t="inlineStr">
        <is>
          <t>NULL</t>
        </is>
      </c>
      <c r="E788" s="0" t="inlineStr">
        <is>
          <t>NULL</t>
        </is>
      </c>
      <c r="F788" s="0" t="inlineStr">
        <is>
          <t>NULL</t>
        </is>
      </c>
      <c r="G788" s="0" t="inlineStr">
        <is>
          <t>NULL</t>
        </is>
      </c>
      <c r="H788" s="0" t="inlineStr">
        <is>
          <t>NULL</t>
        </is>
      </c>
      <c r="I788" s="0" t="inlineStr">
        <is>
          <t>NULL</t>
        </is>
      </c>
      <c r="J788" s="0" t="inlineStr">
        <is>
          <t>NULL</t>
        </is>
      </c>
      <c r="K788" s="0" t="inlineStr">
        <is>
          <t>[0;32m YES! [0m 	 c_time列源备映射正确，源端为time None位	期望更改为varchar(20)	实际备端为varchar 80位	位数精度不存在，通过长度比较</t>
        </is>
      </c>
    </row>
    <row r="789">
      <c r="A789" s="0" t="inlineStr">
        <is>
          <t>info_datetime2_dml_single_pk_urp</t>
        </is>
      </c>
      <c r="K789" s="0" t="inlineStr">
        <is>
          <t>[0;34m info_datetime2_dml_single_pk_urp [0m源备字段数相同，源端字段：9 	备端字段9</t>
        </is>
      </c>
      <c r="W789" s="0" t="inlineStr">
        <is>
          <t>YES 源备无差异</t>
        </is>
      </c>
      <c r="X789" s="0">
        <f>A789</f>
        <v/>
      </c>
    </row>
    <row r="790">
      <c r="B790" s="0" t="inlineStr">
        <is>
          <t>NO! 主键不正常，源YES备None</t>
        </is>
      </c>
      <c r="C790" s="0" t="inlineStr">
        <is>
          <t>NULL</t>
        </is>
      </c>
      <c r="D790" s="0" t="inlineStr">
        <is>
          <t>NULL</t>
        </is>
      </c>
      <c r="E790" s="0" t="inlineStr">
        <is>
          <t>NULL</t>
        </is>
      </c>
      <c r="F790" s="0" t="inlineStr">
        <is>
          <t>NULL</t>
        </is>
      </c>
      <c r="G790" s="0" t="inlineStr">
        <is>
          <t>NULL</t>
        </is>
      </c>
      <c r="H790" s="0" t="inlineStr">
        <is>
          <t>NULL</t>
        </is>
      </c>
      <c r="I790" s="0" t="inlineStr">
        <is>
          <t>NO! 源备索引不一致源PK__info_dat__3213E83F2B423AF7备None</t>
        </is>
      </c>
      <c r="J790" s="0" t="inlineStr">
        <is>
          <t>NULL</t>
        </is>
      </c>
      <c r="K790" s="0" t="inlineStr">
        <is>
          <t>YES! 	 id列源备映射正确，源端为int None位	期望更改为int	实际备端为int None位</t>
        </is>
      </c>
    </row>
    <row r="791">
      <c r="B791" s="0" t="inlineStr">
        <is>
          <t>NULL</t>
        </is>
      </c>
      <c r="C791" s="0" t="inlineStr">
        <is>
          <t>NULL</t>
        </is>
      </c>
      <c r="D791" s="0" t="inlineStr">
        <is>
          <t>NULL</t>
        </is>
      </c>
      <c r="E791" s="0" t="inlineStr">
        <is>
          <t>NULL</t>
        </is>
      </c>
      <c r="F791" s="0" t="inlineStr">
        <is>
          <t>NULL</t>
        </is>
      </c>
      <c r="G791" s="0" t="inlineStr">
        <is>
          <t>NULL</t>
        </is>
      </c>
      <c r="H791" s="0" t="inlineStr">
        <is>
          <t>NULL</t>
        </is>
      </c>
      <c r="I791" s="0" t="inlineStr">
        <is>
          <t>NULL</t>
        </is>
      </c>
      <c r="J791" s="0" t="inlineStr">
        <is>
          <t>NULL</t>
        </is>
      </c>
      <c r="K791" s="0" t="inlineStr">
        <is>
          <t>no,len不存在</t>
        </is>
      </c>
    </row>
    <row r="792">
      <c r="B792" s="0" t="inlineStr">
        <is>
          <t>NULL</t>
        </is>
      </c>
      <c r="C792" s="0" t="inlineStr">
        <is>
          <t>NULL</t>
        </is>
      </c>
      <c r="D792" s="0" t="inlineStr">
        <is>
          <t>NULL</t>
        </is>
      </c>
      <c r="E792" s="0" t="inlineStr">
        <is>
          <t>NULL</t>
        </is>
      </c>
      <c r="F792" s="0" t="inlineStr">
        <is>
          <t>NULL</t>
        </is>
      </c>
      <c r="G792" s="0" t="inlineStr">
        <is>
          <t>NULL</t>
        </is>
      </c>
      <c r="H792" s="0" t="inlineStr">
        <is>
          <t>NULL</t>
        </is>
      </c>
      <c r="I792" s="0" t="inlineStr">
        <is>
          <t>NULL</t>
        </is>
      </c>
      <c r="J792" s="0" t="inlineStr">
        <is>
          <t>NULL</t>
        </is>
      </c>
      <c r="K792" s="0" t="inlineStr">
        <is>
          <t>YES! 	 c_dt2_1列源备映射正确，源端为datetime2 None位	期望更改为datetime(n)	实际备端为datetime None位</t>
        </is>
      </c>
    </row>
    <row r="793">
      <c r="B793" s="0" t="inlineStr">
        <is>
          <t>NULL</t>
        </is>
      </c>
      <c r="C793" s="0" t="inlineStr">
        <is>
          <t>NULL</t>
        </is>
      </c>
      <c r="D793" s="0" t="inlineStr">
        <is>
          <t>NULL</t>
        </is>
      </c>
      <c r="E793" s="0" t="inlineStr">
        <is>
          <t>NULL</t>
        </is>
      </c>
      <c r="F793" s="0" t="inlineStr">
        <is>
          <t>NULL</t>
        </is>
      </c>
      <c r="G793" s="0" t="inlineStr">
        <is>
          <t>NULL</t>
        </is>
      </c>
      <c r="H793" s="0" t="inlineStr">
        <is>
          <t>NULL</t>
        </is>
      </c>
      <c r="I793" s="0" t="inlineStr">
        <is>
          <t>NULL</t>
        </is>
      </c>
      <c r="J793" s="0" t="inlineStr">
        <is>
          <t>NULL</t>
        </is>
      </c>
      <c r="K793" s="0" t="inlineStr">
        <is>
          <t>YES! 	 c_dt2_2列源备映射正确，源端为datetime2 None位	期望更改为datetime(n)	实际备端为datetime None位</t>
        </is>
      </c>
    </row>
    <row r="794">
      <c r="B794" s="0" t="inlineStr">
        <is>
          <t>NULL</t>
        </is>
      </c>
      <c r="C794" s="0" t="inlineStr">
        <is>
          <t>NULL</t>
        </is>
      </c>
      <c r="D794" s="0" t="inlineStr">
        <is>
          <t>NULL</t>
        </is>
      </c>
      <c r="E794" s="0" t="inlineStr">
        <is>
          <t>NULL</t>
        </is>
      </c>
      <c r="F794" s="0" t="inlineStr">
        <is>
          <t>NULL</t>
        </is>
      </c>
      <c r="G794" s="0" t="inlineStr">
        <is>
          <t>NULL</t>
        </is>
      </c>
      <c r="H794" s="0" t="inlineStr">
        <is>
          <t>NULL</t>
        </is>
      </c>
      <c r="I794" s="0" t="inlineStr">
        <is>
          <t>NULL</t>
        </is>
      </c>
      <c r="J794" s="0" t="inlineStr">
        <is>
          <t>NULL</t>
        </is>
      </c>
      <c r="K794" s="0" t="inlineStr">
        <is>
          <t>YES! 	 c_dt2_3列源备映射正确，源端为datetime2 None位	期望更改为datetime(n)	实际备端为datetime None位</t>
        </is>
      </c>
    </row>
    <row r="795">
      <c r="B795" s="0" t="inlineStr">
        <is>
          <t>NULL</t>
        </is>
      </c>
      <c r="C795" s="0" t="inlineStr">
        <is>
          <t>NULL</t>
        </is>
      </c>
      <c r="D795" s="0" t="inlineStr">
        <is>
          <t>NULL</t>
        </is>
      </c>
      <c r="E795" s="0" t="inlineStr">
        <is>
          <t>NULL</t>
        </is>
      </c>
      <c r="F795" s="0" t="inlineStr">
        <is>
          <t>NULL</t>
        </is>
      </c>
      <c r="G795" s="0" t="inlineStr">
        <is>
          <t>NULL</t>
        </is>
      </c>
      <c r="H795" s="0" t="inlineStr">
        <is>
          <t>NULL</t>
        </is>
      </c>
      <c r="I795" s="0" t="inlineStr">
        <is>
          <t>NULL</t>
        </is>
      </c>
      <c r="J795" s="0" t="inlineStr">
        <is>
          <t>NULL</t>
        </is>
      </c>
      <c r="K795" s="0" t="inlineStr">
        <is>
          <t>YES! 	 c_dt2_4列源备映射正确，源端为datetime2 None位	期望更改为datetime(n)	实际备端为datetime None位</t>
        </is>
      </c>
    </row>
    <row r="796">
      <c r="B796" s="0" t="inlineStr">
        <is>
          <t>NULL</t>
        </is>
      </c>
      <c r="C796" s="0" t="inlineStr">
        <is>
          <t>NULL</t>
        </is>
      </c>
      <c r="D796" s="0" t="inlineStr">
        <is>
          <t>NULL</t>
        </is>
      </c>
      <c r="E796" s="0" t="inlineStr">
        <is>
          <t>NULL</t>
        </is>
      </c>
      <c r="F796" s="0" t="inlineStr">
        <is>
          <t>NULL</t>
        </is>
      </c>
      <c r="G796" s="0" t="inlineStr">
        <is>
          <t>NULL</t>
        </is>
      </c>
      <c r="H796" s="0" t="inlineStr">
        <is>
          <t>NULL</t>
        </is>
      </c>
      <c r="I796" s="0" t="inlineStr">
        <is>
          <t>NULL</t>
        </is>
      </c>
      <c r="J796" s="0" t="inlineStr">
        <is>
          <t>NULL</t>
        </is>
      </c>
      <c r="K796" s="0" t="inlineStr">
        <is>
          <t>YES! 	 c_dt2_5列源备映射正确，源端为datetime2 None位	期望更改为datetime(n)	实际备端为datetime None位</t>
        </is>
      </c>
    </row>
    <row r="797">
      <c r="B797" s="0" t="inlineStr">
        <is>
          <t>NULL</t>
        </is>
      </c>
      <c r="C797" s="0" t="inlineStr">
        <is>
          <t>NULL</t>
        </is>
      </c>
      <c r="D797" s="0" t="inlineStr">
        <is>
          <t>NULL</t>
        </is>
      </c>
      <c r="E797" s="0" t="inlineStr">
        <is>
          <t>NULL</t>
        </is>
      </c>
      <c r="F797" s="0" t="inlineStr">
        <is>
          <t>NULL</t>
        </is>
      </c>
      <c r="G797" s="0" t="inlineStr">
        <is>
          <t>NULL</t>
        </is>
      </c>
      <c r="H797" s="0" t="inlineStr">
        <is>
          <t>NULL</t>
        </is>
      </c>
      <c r="I797" s="0" t="inlineStr">
        <is>
          <t>NULL</t>
        </is>
      </c>
      <c r="J797" s="0" t="inlineStr">
        <is>
          <t>NULL</t>
        </is>
      </c>
      <c r="K797" s="0" t="inlineStr">
        <is>
          <t>YES! 	 c_dt2_6列源备映射正确，源端为datetime2 None位	期望更改为datetime(n)	实际备端为datetime None位</t>
        </is>
      </c>
    </row>
    <row r="798">
      <c r="B798" s="0" t="inlineStr">
        <is>
          <t>NULL</t>
        </is>
      </c>
      <c r="C798" s="0" t="inlineStr">
        <is>
          <t>NO!源None备NUL</t>
        </is>
      </c>
      <c r="D798" s="0" t="inlineStr">
        <is>
          <t>NULL</t>
        </is>
      </c>
      <c r="E798" s="0" t="inlineStr">
        <is>
          <t>NULL</t>
        </is>
      </c>
      <c r="F798" s="0" t="inlineStr">
        <is>
          <t>NULL</t>
        </is>
      </c>
      <c r="G798" s="0" t="inlineStr">
        <is>
          <t>NULL</t>
        </is>
      </c>
      <c r="H798" s="0" t="inlineStr">
        <is>
          <t>NULL</t>
        </is>
      </c>
      <c r="I798" s="0" t="inlineStr">
        <is>
          <t>NULL</t>
        </is>
      </c>
      <c r="J798" s="0" t="inlineStr">
        <is>
          <t>NULL</t>
        </is>
      </c>
      <c r="K798" s="0" t="inlineStr">
        <is>
          <t xml:space="preserve"> NO!  	 c_dt2列源备映射错误，源端为datetime2 None位	期望更改为datetime(n)	实际备端为varchar 136位</t>
        </is>
      </c>
    </row>
    <row r="799">
      <c r="K799" s="0" t="inlineStr">
        <is>
          <t>[0;31m NO! [0m 	  行数不同,源7行,备端空表</t>
        </is>
      </c>
    </row>
    <row r="800">
      <c r="A800" s="0" t="inlineStr">
        <is>
          <t>info_sdt_dml_single_nopk_irp</t>
        </is>
      </c>
      <c r="K800" s="0" t="inlineStr">
        <is>
          <t>[0;34m info_sdt_dml_single_nopk_irp [0m源备字段数相同，源端字段：2 	备端字段2</t>
        </is>
      </c>
      <c r="W800" s="0" t="inlineStr">
        <is>
          <t>YES 源备无差异</t>
        </is>
      </c>
      <c r="X800" s="0">
        <f>A800</f>
        <v/>
      </c>
    </row>
    <row r="801">
      <c r="B801" s="0" t="inlineStr">
        <is>
          <t>NULL</t>
        </is>
      </c>
      <c r="C801" s="0" t="inlineStr">
        <is>
          <t>NULL</t>
        </is>
      </c>
      <c r="D801" s="0" t="inlineStr">
        <is>
          <t>NULL</t>
        </is>
      </c>
      <c r="E801" s="0" t="inlineStr">
        <is>
          <t>NULL</t>
        </is>
      </c>
      <c r="F801" s="0" t="inlineStr">
        <is>
          <t>NULL</t>
        </is>
      </c>
      <c r="G801" s="0" t="inlineStr">
        <is>
          <t>NULL</t>
        </is>
      </c>
      <c r="H801" s="0" t="inlineStr">
        <is>
          <t>NULL</t>
        </is>
      </c>
      <c r="I801" s="0" t="inlineStr">
        <is>
          <t>NULL</t>
        </is>
      </c>
      <c r="J801" s="0" t="inlineStr">
        <is>
          <t>NULL</t>
        </is>
      </c>
      <c r="K801" s="0" t="inlineStr">
        <is>
          <t>YES! 	 id列源备映射正确，源端为int None位	期望更改为int	实际备端为int None位</t>
        </is>
      </c>
    </row>
    <row r="802">
      <c r="B802" s="0" t="inlineStr">
        <is>
          <t>NULL</t>
        </is>
      </c>
      <c r="C802" s="0" t="inlineStr">
        <is>
          <t>NO!源None备NUL</t>
        </is>
      </c>
      <c r="D802" s="0" t="inlineStr">
        <is>
          <t>NULL</t>
        </is>
      </c>
      <c r="E802" s="0" t="inlineStr">
        <is>
          <t>NULL</t>
        </is>
      </c>
      <c r="F802" s="0" t="inlineStr">
        <is>
          <t>NULL</t>
        </is>
      </c>
      <c r="G802" s="0" t="inlineStr">
        <is>
          <t>NULL</t>
        </is>
      </c>
      <c r="H802" s="0" t="inlineStr">
        <is>
          <t>NULL</t>
        </is>
      </c>
      <c r="I802" s="0" t="inlineStr">
        <is>
          <t>NULL</t>
        </is>
      </c>
      <c r="J802" s="0" t="inlineStr">
        <is>
          <t>NULL</t>
        </is>
      </c>
      <c r="K802" s="0" t="inlineStr">
        <is>
          <t>YES! 	 c_sdt列源备映射正确，源端为smalldatetime None位	期望更改为datetime	实际备端为datetime None位</t>
        </is>
      </c>
    </row>
    <row r="803">
      <c r="A803" s="0" t="inlineStr">
        <is>
          <t>info_sdt_dml_single_nopk_urp</t>
        </is>
      </c>
      <c r="K803" s="0" t="inlineStr">
        <is>
          <t>[0;34m info_sdt_dml_single_nopk_urp [0m源备字段数相同，源端字段：2 	备端字段2</t>
        </is>
      </c>
      <c r="W803" s="0" t="inlineStr">
        <is>
          <t>YES 源备无差异</t>
        </is>
      </c>
      <c r="X803" s="0">
        <f>A803</f>
        <v/>
      </c>
    </row>
    <row r="804">
      <c r="B804" s="0" t="inlineStr">
        <is>
          <t>NULL</t>
        </is>
      </c>
      <c r="C804" s="0" t="inlineStr">
        <is>
          <t>NULL</t>
        </is>
      </c>
      <c r="D804" s="0" t="inlineStr">
        <is>
          <t>NULL</t>
        </is>
      </c>
      <c r="E804" s="0" t="inlineStr">
        <is>
          <t>NULL</t>
        </is>
      </c>
      <c r="F804" s="0" t="inlineStr">
        <is>
          <t>NULL</t>
        </is>
      </c>
      <c r="G804" s="0" t="inlineStr">
        <is>
          <t>NULL</t>
        </is>
      </c>
      <c r="H804" s="0" t="inlineStr">
        <is>
          <t>NULL</t>
        </is>
      </c>
      <c r="I804" s="0" t="inlineStr">
        <is>
          <t>NULL</t>
        </is>
      </c>
      <c r="J804" s="0" t="inlineStr">
        <is>
          <t>NULL</t>
        </is>
      </c>
      <c r="K804" s="0" t="inlineStr">
        <is>
          <t>YES! 	 id列源备映射正确，源端为int None位	期望更改为int	实际备端为int None位</t>
        </is>
      </c>
    </row>
    <row r="805">
      <c r="B805" s="0" t="inlineStr">
        <is>
          <t>NULL</t>
        </is>
      </c>
      <c r="C805" s="0" t="inlineStr">
        <is>
          <t>NO!源None备NUL</t>
        </is>
      </c>
      <c r="D805" s="0" t="inlineStr">
        <is>
          <t>NULL</t>
        </is>
      </c>
      <c r="E805" s="0" t="inlineStr">
        <is>
          <t>NULL</t>
        </is>
      </c>
      <c r="F805" s="0" t="inlineStr">
        <is>
          <t>NULL</t>
        </is>
      </c>
      <c r="G805" s="0" t="inlineStr">
        <is>
          <t>NULL</t>
        </is>
      </c>
      <c r="H805" s="0" t="inlineStr">
        <is>
          <t>NULL</t>
        </is>
      </c>
      <c r="I805" s="0" t="inlineStr">
        <is>
          <t>NULL</t>
        </is>
      </c>
      <c r="J805" s="0" t="inlineStr">
        <is>
          <t>NULL</t>
        </is>
      </c>
      <c r="K805" s="0" t="inlineStr">
        <is>
          <t>YES! 	 c_sdt列源备映射正确，源端为smalldatetime None位	期望更改为datetime	实际备端为datetime None位</t>
        </is>
      </c>
    </row>
    <row r="806">
      <c r="A806" s="0" t="inlineStr">
        <is>
          <t>info_varbinary_dml_single_nopk</t>
        </is>
      </c>
      <c r="K806" s="0" t="inlineStr">
        <is>
          <t>[0;34m info_varbinary_dml_single_nopk [0m源备字段数相同，源端字段：4 	备端字段4</t>
        </is>
      </c>
      <c r="W806" s="0" t="inlineStr">
        <is>
          <t>YES 源备无差异</t>
        </is>
      </c>
      <c r="X806" s="0">
        <f>A806</f>
        <v/>
      </c>
    </row>
    <row r="807">
      <c r="B807" s="0" t="inlineStr">
        <is>
          <t>NULL</t>
        </is>
      </c>
      <c r="C807" s="0" t="inlineStr">
        <is>
          <t>NULL</t>
        </is>
      </c>
      <c r="D807" s="0" t="inlineStr">
        <is>
          <t>NULL</t>
        </is>
      </c>
      <c r="E807" s="0" t="inlineStr">
        <is>
          <t>NULL</t>
        </is>
      </c>
      <c r="F807" s="0" t="inlineStr">
        <is>
          <t>NULL</t>
        </is>
      </c>
      <c r="G807" s="0" t="inlineStr">
        <is>
          <t>NULL</t>
        </is>
      </c>
      <c r="H807" s="0" t="inlineStr">
        <is>
          <t>NULL</t>
        </is>
      </c>
      <c r="I807" s="0" t="inlineStr">
        <is>
          <t>NULL</t>
        </is>
      </c>
      <c r="J807" s="0" t="inlineStr">
        <is>
          <t>NULL</t>
        </is>
      </c>
      <c r="K807" s="0" t="inlineStr">
        <is>
          <t>YES! 	 id列源备映射正确，源端为int None位	期望更改为int	实际备端为int None位</t>
        </is>
      </c>
    </row>
    <row r="808">
      <c r="B808" s="0" t="inlineStr">
        <is>
          <t>NULL</t>
        </is>
      </c>
      <c r="C808" s="0" t="inlineStr">
        <is>
          <t>NULL</t>
        </is>
      </c>
      <c r="D808" s="0" t="inlineStr">
        <is>
          <t>NULL</t>
        </is>
      </c>
      <c r="E808" s="0" t="inlineStr">
        <is>
          <t>NULL</t>
        </is>
      </c>
      <c r="F808" s="0" t="inlineStr">
        <is>
          <t>NULL</t>
        </is>
      </c>
      <c r="G808" s="0" t="inlineStr">
        <is>
          <t>NULL</t>
        </is>
      </c>
      <c r="H808" s="0" t="inlineStr">
        <is>
          <t>NULL</t>
        </is>
      </c>
      <c r="I808" s="0" t="inlineStr">
        <is>
          <t>NULL</t>
        </is>
      </c>
      <c r="J808" s="0" t="inlineStr">
        <is>
          <t>NULL</t>
        </is>
      </c>
      <c r="K808" s="0" t="inlineStr">
        <is>
          <t>YES! 	 c_varbinary列源备映射正确，源端为varbinary 1位	期望更改为varbinary(n)	实际备端为varbinary 1位</t>
        </is>
      </c>
    </row>
    <row r="809">
      <c r="B809" s="0" t="inlineStr">
        <is>
          <t>NULL</t>
        </is>
      </c>
      <c r="C809" s="0" t="inlineStr">
        <is>
          <t>NULL</t>
        </is>
      </c>
      <c r="D809" s="0" t="inlineStr">
        <is>
          <t>NULL</t>
        </is>
      </c>
      <c r="E809" s="0" t="inlineStr">
        <is>
          <t>NULL</t>
        </is>
      </c>
      <c r="F809" s="0" t="inlineStr">
        <is>
          <t>NULL</t>
        </is>
      </c>
      <c r="G809" s="0" t="inlineStr">
        <is>
          <t>NULL</t>
        </is>
      </c>
      <c r="H809" s="0" t="inlineStr">
        <is>
          <t>NULL</t>
        </is>
      </c>
      <c r="I809" s="0" t="inlineStr">
        <is>
          <t>NULL</t>
        </is>
      </c>
      <c r="J809" s="0" t="inlineStr">
        <is>
          <t>NULL</t>
        </is>
      </c>
      <c r="K809" s="0" t="inlineStr">
        <is>
          <t>YES! 	 c_varbinary_100列源备映射正确，源端为varbinary 20位	期望更改为varbinary(n)	实际备端为varbinary 20位</t>
        </is>
      </c>
    </row>
    <row r="810">
      <c r="B810" s="0" t="inlineStr">
        <is>
          <t>NULL</t>
        </is>
      </c>
      <c r="C810" s="0" t="inlineStr">
        <is>
          <t>NULL</t>
        </is>
      </c>
      <c r="D810" s="0" t="inlineStr">
        <is>
          <t>NULL</t>
        </is>
      </c>
      <c r="E810" s="0" t="inlineStr">
        <is>
          <t>NULL</t>
        </is>
      </c>
      <c r="F810" s="0" t="inlineStr">
        <is>
          <t>NULL</t>
        </is>
      </c>
      <c r="G810" s="0" t="inlineStr">
        <is>
          <t>NULL</t>
        </is>
      </c>
      <c r="H810" s="0" t="inlineStr">
        <is>
          <t>NULL</t>
        </is>
      </c>
      <c r="I810" s="0" t="inlineStr">
        <is>
          <t>NULL</t>
        </is>
      </c>
      <c r="J810" s="0" t="inlineStr">
        <is>
          <t>NULL</t>
        </is>
      </c>
      <c r="K810" s="0" t="inlineStr">
        <is>
          <t>YES! 	 c_varbinary_8000列源备映射正确，源端为varbinary 8000位	期望更改为longblob	实际备端为longblob 4294967295位</t>
        </is>
      </c>
    </row>
    <row r="811">
      <c r="K811" s="0" t="inlineStr">
        <is>
          <t>[0;31m NO! [0m 	  行数不同,源1行,备端空表</t>
        </is>
      </c>
    </row>
    <row r="812">
      <c r="A812" s="0" t="inlineStr">
        <is>
          <t>info_sdt_dml_single_nopk_drp</t>
        </is>
      </c>
      <c r="K812" s="0" t="inlineStr">
        <is>
          <t>[0;34m info_sdt_dml_single_nopk_drp [0m源备字段数相同，源端字段：2 	备端字段2</t>
        </is>
      </c>
      <c r="W812" s="0" t="inlineStr">
        <is>
          <t>YES 源备无差异</t>
        </is>
      </c>
      <c r="X812" s="0">
        <f>A812</f>
        <v/>
      </c>
    </row>
    <row r="813">
      <c r="B813" s="0" t="inlineStr">
        <is>
          <t>NULL</t>
        </is>
      </c>
      <c r="C813" s="0" t="inlineStr">
        <is>
          <t>NULL</t>
        </is>
      </c>
      <c r="D813" s="0" t="inlineStr">
        <is>
          <t>NULL</t>
        </is>
      </c>
      <c r="E813" s="0" t="inlineStr">
        <is>
          <t>NULL</t>
        </is>
      </c>
      <c r="F813" s="0" t="inlineStr">
        <is>
          <t>NULL</t>
        </is>
      </c>
      <c r="G813" s="0" t="inlineStr">
        <is>
          <t>NULL</t>
        </is>
      </c>
      <c r="H813" s="0" t="inlineStr">
        <is>
          <t>NULL</t>
        </is>
      </c>
      <c r="I813" s="0" t="inlineStr">
        <is>
          <t>NULL</t>
        </is>
      </c>
      <c r="J813" s="0" t="inlineStr">
        <is>
          <t>NULL</t>
        </is>
      </c>
      <c r="K813" s="0" t="inlineStr">
        <is>
          <t>YES! 	 id列源备映射正确，源端为int None位	期望更改为int	实际备端为int None位</t>
        </is>
      </c>
    </row>
    <row r="814">
      <c r="B814" s="0" t="inlineStr">
        <is>
          <t>NULL</t>
        </is>
      </c>
      <c r="C814" s="0" t="inlineStr">
        <is>
          <t>NO!源None备NUL</t>
        </is>
      </c>
      <c r="D814" s="0" t="inlineStr">
        <is>
          <t>NULL</t>
        </is>
      </c>
      <c r="E814" s="0" t="inlineStr">
        <is>
          <t>NULL</t>
        </is>
      </c>
      <c r="F814" s="0" t="inlineStr">
        <is>
          <t>NULL</t>
        </is>
      </c>
      <c r="G814" s="0" t="inlineStr">
        <is>
          <t>NULL</t>
        </is>
      </c>
      <c r="H814" s="0" t="inlineStr">
        <is>
          <t>NULL</t>
        </is>
      </c>
      <c r="I814" s="0" t="inlineStr">
        <is>
          <t>NULL</t>
        </is>
      </c>
      <c r="J814" s="0" t="inlineStr">
        <is>
          <t>NULL</t>
        </is>
      </c>
      <c r="K814" s="0" t="inlineStr">
        <is>
          <t>YES! 	 c_sdt列源备映射正确，源端为smalldatetime None位	期望更改为datetime	实际备端为datetime None位</t>
        </is>
      </c>
    </row>
    <row r="815">
      <c r="K815" s="0" t="inlineStr">
        <is>
          <t>[0;31m NO! [0m 	  行数不同,源6行,备端空表</t>
        </is>
      </c>
    </row>
    <row r="816">
      <c r="A816" s="0" t="inlineStr">
        <is>
          <t>info_sdt_dml_single_nopk</t>
        </is>
      </c>
      <c r="K816" s="0" t="inlineStr">
        <is>
          <t>[0;34m info_sdt_dml_single_nopk [0m源备字段数相同，源端字段：2 	备端字段2</t>
        </is>
      </c>
      <c r="W816" s="0" t="inlineStr">
        <is>
          <t>YES 源备无差异</t>
        </is>
      </c>
      <c r="X816" s="0">
        <f>A816</f>
        <v/>
      </c>
    </row>
    <row r="817">
      <c r="B817" s="0" t="inlineStr">
        <is>
          <t>NULL</t>
        </is>
      </c>
      <c r="C817" s="0" t="inlineStr">
        <is>
          <t>NULL</t>
        </is>
      </c>
      <c r="D817" s="0" t="inlineStr">
        <is>
          <t>NULL</t>
        </is>
      </c>
      <c r="E817" s="0" t="inlineStr">
        <is>
          <t>NULL</t>
        </is>
      </c>
      <c r="F817" s="0" t="inlineStr">
        <is>
          <t>NULL</t>
        </is>
      </c>
      <c r="G817" s="0" t="inlineStr">
        <is>
          <t>NULL</t>
        </is>
      </c>
      <c r="H817" s="0" t="inlineStr">
        <is>
          <t>NULL</t>
        </is>
      </c>
      <c r="I817" s="0" t="inlineStr">
        <is>
          <t>NULL</t>
        </is>
      </c>
      <c r="J817" s="0" t="inlineStr">
        <is>
          <t>NULL</t>
        </is>
      </c>
      <c r="K817" s="0" t="inlineStr">
        <is>
          <t>YES! 	 id列源备映射正确，源端为int None位	期望更改为int	实际备端为int None位</t>
        </is>
      </c>
    </row>
    <row r="818">
      <c r="B818" s="0" t="inlineStr">
        <is>
          <t>NULL</t>
        </is>
      </c>
      <c r="C818" s="0" t="inlineStr">
        <is>
          <t>NO!源None备NUL</t>
        </is>
      </c>
      <c r="D818" s="0" t="inlineStr">
        <is>
          <t>NULL</t>
        </is>
      </c>
      <c r="E818" s="0" t="inlineStr">
        <is>
          <t>NULL</t>
        </is>
      </c>
      <c r="F818" s="0" t="inlineStr">
        <is>
          <t>NULL</t>
        </is>
      </c>
      <c r="G818" s="0" t="inlineStr">
        <is>
          <t>NULL</t>
        </is>
      </c>
      <c r="H818" s="0" t="inlineStr">
        <is>
          <t>NULL</t>
        </is>
      </c>
      <c r="I818" s="0" t="inlineStr">
        <is>
          <t>NULL</t>
        </is>
      </c>
      <c r="J818" s="0" t="inlineStr">
        <is>
          <t>NULL</t>
        </is>
      </c>
      <c r="K818" s="0" t="inlineStr">
        <is>
          <t>YES! 	 c_sdt列源备映射正确，源端为smalldatetime None位	期望更改为datetime	实际备端为datetime None位</t>
        </is>
      </c>
    </row>
    <row r="819">
      <c r="K819" s="0" t="inlineStr">
        <is>
          <t>[0;31m NO! [0m 	  行数不同,源1行,备端空表</t>
        </is>
      </c>
    </row>
    <row r="820">
      <c r="A820" s="0" t="inlineStr">
        <is>
          <t>info_datetime_dml_single_nopk_irp</t>
        </is>
      </c>
      <c r="K820" s="0" t="inlineStr">
        <is>
          <t>[0;34m info_datetime_dml_single_nopk_irp [0m源备字段数相同，源端字段：2 	备端字段2</t>
        </is>
      </c>
      <c r="W820" s="0" t="inlineStr">
        <is>
          <t>YES 源备无差异</t>
        </is>
      </c>
      <c r="X820" s="0">
        <f>A820</f>
        <v/>
      </c>
    </row>
    <row r="821">
      <c r="B821" s="0" t="inlineStr">
        <is>
          <t>NULL</t>
        </is>
      </c>
      <c r="C821" s="0" t="inlineStr">
        <is>
          <t>NULL</t>
        </is>
      </c>
      <c r="D821" s="0" t="inlineStr">
        <is>
          <t>NULL</t>
        </is>
      </c>
      <c r="E821" s="0" t="inlineStr">
        <is>
          <t>NULL</t>
        </is>
      </c>
      <c r="F821" s="0" t="inlineStr">
        <is>
          <t>NULL</t>
        </is>
      </c>
      <c r="G821" s="0" t="inlineStr">
        <is>
          <t>NULL</t>
        </is>
      </c>
      <c r="H821" s="0" t="inlineStr">
        <is>
          <t>NULL</t>
        </is>
      </c>
      <c r="I821" s="0" t="inlineStr">
        <is>
          <t>NULL</t>
        </is>
      </c>
      <c r="J821" s="0" t="inlineStr">
        <is>
          <t>NULL</t>
        </is>
      </c>
      <c r="K821" s="0" t="inlineStr">
        <is>
          <t>YES! 	 id列源备映射正确，源端为int None位	期望更改为int	实际备端为int None位</t>
        </is>
      </c>
    </row>
    <row r="822">
      <c r="B822" s="0" t="inlineStr">
        <is>
          <t>NULL</t>
        </is>
      </c>
      <c r="C822" s="0" t="inlineStr">
        <is>
          <t>NO!源None备NUL</t>
        </is>
      </c>
      <c r="D822" s="0" t="inlineStr">
        <is>
          <t>NULL</t>
        </is>
      </c>
      <c r="E822" s="0" t="inlineStr">
        <is>
          <t>NULL</t>
        </is>
      </c>
      <c r="F822" s="0" t="inlineStr">
        <is>
          <t>NULL</t>
        </is>
      </c>
      <c r="G822" s="0" t="inlineStr">
        <is>
          <t>NULL</t>
        </is>
      </c>
      <c r="H822" s="0" t="inlineStr">
        <is>
          <t>NULL</t>
        </is>
      </c>
      <c r="I822" s="0" t="inlineStr">
        <is>
          <t>NULL</t>
        </is>
      </c>
      <c r="J822" s="0" t="inlineStr">
        <is>
          <t>NULL</t>
        </is>
      </c>
      <c r="K822" s="0" t="inlineStr">
        <is>
          <t>YES! 	 c_datetime列源备映射正确，源端为datetime None位	期望更改为datetime(3)	实际备端为datetime None位</t>
        </is>
      </c>
    </row>
    <row r="823">
      <c r="A823" s="0" t="inlineStr">
        <is>
          <t>info_varcharmax_dml_batch1_pk_irp2</t>
        </is>
      </c>
      <c r="K823" s="0" t="inlineStr">
        <is>
          <t>[0;34m info_varcharmax_dml_batch1_pk_irp2 [0m源备字段数相同，源端字段：3 	备端字段3</t>
        </is>
      </c>
      <c r="W823" s="0" t="inlineStr">
        <is>
          <t>YES 源备无差异</t>
        </is>
      </c>
      <c r="X823" s="0">
        <f>A823</f>
        <v/>
      </c>
    </row>
    <row r="824">
      <c r="B824" s="0" t="inlineStr">
        <is>
          <t>NO! 主键不正常，源YES备None</t>
        </is>
      </c>
      <c r="C824" s="0" t="inlineStr">
        <is>
          <t>NULL</t>
        </is>
      </c>
      <c r="D824" s="0" t="inlineStr">
        <is>
          <t>NULL</t>
        </is>
      </c>
      <c r="E824" s="0" t="inlineStr">
        <is>
          <t>NULL</t>
        </is>
      </c>
      <c r="F824" s="0" t="inlineStr">
        <is>
          <t>NULL</t>
        </is>
      </c>
      <c r="G824" s="0" t="inlineStr">
        <is>
          <t>NULL</t>
        </is>
      </c>
      <c r="H824" s="0" t="inlineStr">
        <is>
          <t>NULL</t>
        </is>
      </c>
      <c r="I824" s="0" t="inlineStr">
        <is>
          <t>NO! 源备索引不一致源PK__info_var__3213E83F44B37052备None</t>
        </is>
      </c>
      <c r="J824" s="0" t="inlineStr">
        <is>
          <t>NULL</t>
        </is>
      </c>
      <c r="K824" s="0" t="inlineStr">
        <is>
          <t>YES! 	 id列源备映射正确，源端为int None位	期望更改为int	实际备端为int None位</t>
        </is>
      </c>
    </row>
    <row r="825">
      <c r="B825" s="0" t="inlineStr">
        <is>
          <t>NULL</t>
        </is>
      </c>
      <c r="C825" s="0" t="inlineStr">
        <is>
          <t>NULL</t>
        </is>
      </c>
      <c r="D825" s="0" t="inlineStr">
        <is>
          <t>NULL</t>
        </is>
      </c>
      <c r="E825" s="0" t="inlineStr">
        <is>
          <t>NULL</t>
        </is>
      </c>
      <c r="F825" s="0" t="inlineStr">
        <is>
          <t>NULL</t>
        </is>
      </c>
      <c r="G825" s="0" t="inlineStr">
        <is>
          <t>NULL</t>
        </is>
      </c>
      <c r="H825" s="0" t="inlineStr">
        <is>
          <t>NULL</t>
        </is>
      </c>
      <c r="I825" s="0" t="inlineStr">
        <is>
          <t>NULL</t>
        </is>
      </c>
      <c r="J825" s="0" t="inlineStr">
        <is>
          <t>NULL</t>
        </is>
      </c>
      <c r="K825" s="0" t="inlineStr">
        <is>
          <t>YES! 	 c_varchar_max列源备映射正确，源端为varchar -1位	期望更改为longtext	实际备端为longtext 4294967295位</t>
        </is>
      </c>
    </row>
    <row r="826">
      <c r="B826" s="0" t="inlineStr">
        <is>
          <t>NULL</t>
        </is>
      </c>
      <c r="C826" s="0" t="inlineStr">
        <is>
          <t>NULL</t>
        </is>
      </c>
      <c r="D826" s="0" t="inlineStr">
        <is>
          <t>NULL</t>
        </is>
      </c>
      <c r="E826" s="0" t="inlineStr">
        <is>
          <t>NULL</t>
        </is>
      </c>
      <c r="F826" s="0" t="inlineStr">
        <is>
          <t>NULL</t>
        </is>
      </c>
      <c r="G826" s="0" t="inlineStr">
        <is>
          <t>NULL</t>
        </is>
      </c>
      <c r="H826" s="0" t="inlineStr">
        <is>
          <t>NULL</t>
        </is>
      </c>
      <c r="I826" s="0" t="inlineStr">
        <is>
          <t>NULL</t>
        </is>
      </c>
      <c r="J826" s="0" t="inlineStr">
        <is>
          <t>NULL</t>
        </is>
      </c>
      <c r="K826" s="0" t="inlineStr">
        <is>
          <t>YES! 	 c_nvarchar_max列源备映射正确，源端为nvarchar -1位	期望更改为longtext	实际备端为longtext 4294967295位</t>
        </is>
      </c>
    </row>
    <row r="827">
      <c r="K827" s="0" t="inlineStr">
        <is>
          <t>~ 空表</t>
        </is>
      </c>
    </row>
    <row r="828">
      <c r="A828" s="0" t="inlineStr">
        <is>
          <t>info_datetime_dml_single_nopk_urp</t>
        </is>
      </c>
      <c r="K828" s="0" t="inlineStr">
        <is>
          <t>[0;34m info_datetime_dml_single_nopk_urp [0m源备字段数相同，源端字段：2 	备端字段2</t>
        </is>
      </c>
      <c r="W828" s="0" t="inlineStr">
        <is>
          <t>YES 源备无差异</t>
        </is>
      </c>
      <c r="X828" s="0">
        <f>A828</f>
        <v/>
      </c>
    </row>
    <row r="829">
      <c r="B829" s="0" t="inlineStr">
        <is>
          <t>NULL</t>
        </is>
      </c>
      <c r="C829" s="0" t="inlineStr">
        <is>
          <t>NULL</t>
        </is>
      </c>
      <c r="D829" s="0" t="inlineStr">
        <is>
          <t>NULL</t>
        </is>
      </c>
      <c r="E829" s="0" t="inlineStr">
        <is>
          <t>NULL</t>
        </is>
      </c>
      <c r="F829" s="0" t="inlineStr">
        <is>
          <t>NULL</t>
        </is>
      </c>
      <c r="G829" s="0" t="inlineStr">
        <is>
          <t>NULL</t>
        </is>
      </c>
      <c r="H829" s="0" t="inlineStr">
        <is>
          <t>NULL</t>
        </is>
      </c>
      <c r="I829" s="0" t="inlineStr">
        <is>
          <t>NULL</t>
        </is>
      </c>
      <c r="J829" s="0" t="inlineStr">
        <is>
          <t>NULL</t>
        </is>
      </c>
      <c r="K829" s="0" t="inlineStr">
        <is>
          <t>YES! 	 id列源备映射正确，源端为int None位	期望更改为int	实际备端为int None位</t>
        </is>
      </c>
    </row>
    <row r="830">
      <c r="B830" s="0" t="inlineStr">
        <is>
          <t>NULL</t>
        </is>
      </c>
      <c r="C830" s="0" t="inlineStr">
        <is>
          <t>NO!源None备NUL</t>
        </is>
      </c>
      <c r="D830" s="0" t="inlineStr">
        <is>
          <t>NULL</t>
        </is>
      </c>
      <c r="E830" s="0" t="inlineStr">
        <is>
          <t>NULL</t>
        </is>
      </c>
      <c r="F830" s="0" t="inlineStr">
        <is>
          <t>NULL</t>
        </is>
      </c>
      <c r="G830" s="0" t="inlineStr">
        <is>
          <t>NULL</t>
        </is>
      </c>
      <c r="H830" s="0" t="inlineStr">
        <is>
          <t>NULL</t>
        </is>
      </c>
      <c r="I830" s="0" t="inlineStr">
        <is>
          <t>NULL</t>
        </is>
      </c>
      <c r="J830" s="0" t="inlineStr">
        <is>
          <t>NULL</t>
        </is>
      </c>
      <c r="K830" s="0" t="inlineStr">
        <is>
          <t>YES! 	 c_datetime列源备映射正确，源端为datetime None位	期望更改为datetime(3)	实际备端为datetime None位</t>
        </is>
      </c>
    </row>
    <row r="831">
      <c r="A831" s="0" t="inlineStr">
        <is>
          <t>info_datetime_dml_single_nopk_drp</t>
        </is>
      </c>
      <c r="K831" s="0" t="inlineStr">
        <is>
          <t>[0;34m info_datetime_dml_single_nopk_drp [0m源备字段数相同，源端字段：2 	备端字段2</t>
        </is>
      </c>
      <c r="W831" s="0" t="inlineStr">
        <is>
          <t>YES 源备无差异</t>
        </is>
      </c>
      <c r="X831" s="0">
        <f>A831</f>
        <v/>
      </c>
    </row>
    <row r="832">
      <c r="B832" s="0" t="inlineStr">
        <is>
          <t>NULL</t>
        </is>
      </c>
      <c r="C832" s="0" t="inlineStr">
        <is>
          <t>NULL</t>
        </is>
      </c>
      <c r="D832" s="0" t="inlineStr">
        <is>
          <t>NULL</t>
        </is>
      </c>
      <c r="E832" s="0" t="inlineStr">
        <is>
          <t>NULL</t>
        </is>
      </c>
      <c r="F832" s="0" t="inlineStr">
        <is>
          <t>NULL</t>
        </is>
      </c>
      <c r="G832" s="0" t="inlineStr">
        <is>
          <t>NULL</t>
        </is>
      </c>
      <c r="H832" s="0" t="inlineStr">
        <is>
          <t>NULL</t>
        </is>
      </c>
      <c r="I832" s="0" t="inlineStr">
        <is>
          <t>NULL</t>
        </is>
      </c>
      <c r="J832" s="0" t="inlineStr">
        <is>
          <t>NULL</t>
        </is>
      </c>
      <c r="K832" s="0" t="inlineStr">
        <is>
          <t>YES! 	 id列源备映射正确，源端为int None位	期望更改为int	实际备端为int None位</t>
        </is>
      </c>
    </row>
    <row r="833">
      <c r="B833" s="0" t="inlineStr">
        <is>
          <t>NULL</t>
        </is>
      </c>
      <c r="C833" s="0" t="inlineStr">
        <is>
          <t>NO!源None备NUL</t>
        </is>
      </c>
      <c r="D833" s="0" t="inlineStr">
        <is>
          <t>NULL</t>
        </is>
      </c>
      <c r="E833" s="0" t="inlineStr">
        <is>
          <t>NULL</t>
        </is>
      </c>
      <c r="F833" s="0" t="inlineStr">
        <is>
          <t>NULL</t>
        </is>
      </c>
      <c r="G833" s="0" t="inlineStr">
        <is>
          <t>NULL</t>
        </is>
      </c>
      <c r="H833" s="0" t="inlineStr">
        <is>
          <t>NULL</t>
        </is>
      </c>
      <c r="I833" s="0" t="inlineStr">
        <is>
          <t>NULL</t>
        </is>
      </c>
      <c r="J833" s="0" t="inlineStr">
        <is>
          <t>NULL</t>
        </is>
      </c>
      <c r="K833" s="0" t="inlineStr">
        <is>
          <t>YES! 	 c_datetime列源备映射正确，源端为datetime None位	期望更改为datetime(3)	实际备端为datetime None位</t>
        </is>
      </c>
    </row>
    <row r="834">
      <c r="A834" s="0" t="inlineStr">
        <is>
          <t>info_varbinary_max_dml_single_nopk_irp</t>
        </is>
      </c>
      <c r="K834" s="0" t="inlineStr">
        <is>
          <t>[0;34m info_varbinary_max_dml_single_nopk_irp [0m源备字段数相同，源端字段：4 	备端字段4</t>
        </is>
      </c>
      <c r="W834" s="0" t="inlineStr">
        <is>
          <t>YES 源备无差异</t>
        </is>
      </c>
      <c r="X834" s="0">
        <f>A834</f>
        <v/>
      </c>
    </row>
    <row r="835">
      <c r="B835" s="0" t="inlineStr">
        <is>
          <t>NULL</t>
        </is>
      </c>
      <c r="C835" s="0" t="inlineStr">
        <is>
          <t>NULL</t>
        </is>
      </c>
      <c r="D835" s="0" t="inlineStr">
        <is>
          <t>NULL</t>
        </is>
      </c>
      <c r="E835" s="0" t="inlineStr">
        <is>
          <t>NULL</t>
        </is>
      </c>
      <c r="F835" s="0" t="inlineStr">
        <is>
          <t>NULL</t>
        </is>
      </c>
      <c r="G835" s="0" t="inlineStr">
        <is>
          <t>NULL</t>
        </is>
      </c>
      <c r="H835" s="0" t="inlineStr">
        <is>
          <t>NULL</t>
        </is>
      </c>
      <c r="I835" s="0" t="inlineStr">
        <is>
          <t>NULL</t>
        </is>
      </c>
      <c r="J835" s="0" t="inlineStr">
        <is>
          <t>NULL</t>
        </is>
      </c>
      <c r="K835" s="0" t="inlineStr">
        <is>
          <t>YES! 	 id列源备映射正确，源端为int None位	期望更改为int	实际备端为int None位</t>
        </is>
      </c>
    </row>
    <row r="836">
      <c r="B836" s="0" t="inlineStr">
        <is>
          <t>NULL</t>
        </is>
      </c>
      <c r="C836" s="0" t="inlineStr">
        <is>
          <t>NULL</t>
        </is>
      </c>
      <c r="D836" s="0" t="inlineStr">
        <is>
          <t>NULL</t>
        </is>
      </c>
      <c r="E836" s="0" t="inlineStr">
        <is>
          <t>NULL</t>
        </is>
      </c>
      <c r="F836" s="0" t="inlineStr">
        <is>
          <t>NULL</t>
        </is>
      </c>
      <c r="G836" s="0" t="inlineStr">
        <is>
          <t>NULL</t>
        </is>
      </c>
      <c r="H836" s="0" t="inlineStr">
        <is>
          <t>NULL</t>
        </is>
      </c>
      <c r="I836" s="0" t="inlineStr">
        <is>
          <t>NULL</t>
        </is>
      </c>
      <c r="J836" s="0" t="inlineStr">
        <is>
          <t>NULL</t>
        </is>
      </c>
      <c r="K836" s="0" t="inlineStr">
        <is>
          <t>YES! 	 c_varbinary_max1列源备映射正确，源端为varbinary -1位	期望更改为longblob	实际备端为longblob 4294967295位</t>
        </is>
      </c>
    </row>
    <row r="837">
      <c r="B837" s="0" t="inlineStr">
        <is>
          <t>NULL</t>
        </is>
      </c>
      <c r="C837" s="0" t="inlineStr">
        <is>
          <t>NULL</t>
        </is>
      </c>
      <c r="D837" s="0" t="inlineStr">
        <is>
          <t>NULL</t>
        </is>
      </c>
      <c r="E837" s="0" t="inlineStr">
        <is>
          <t>NULL</t>
        </is>
      </c>
      <c r="F837" s="0" t="inlineStr">
        <is>
          <t>NULL</t>
        </is>
      </c>
      <c r="G837" s="0" t="inlineStr">
        <is>
          <t>NULL</t>
        </is>
      </c>
      <c r="H837" s="0" t="inlineStr">
        <is>
          <t>NULL</t>
        </is>
      </c>
      <c r="I837" s="0" t="inlineStr">
        <is>
          <t>NULL</t>
        </is>
      </c>
      <c r="J837" s="0" t="inlineStr">
        <is>
          <t>NULL</t>
        </is>
      </c>
      <c r="K837" s="0" t="inlineStr">
        <is>
          <t>YES! 	 c_varbinary_max2列源备映射正确，源端为varbinary -1位	期望更改为longblob	实际备端为longblob 4294967295位</t>
        </is>
      </c>
    </row>
    <row r="838">
      <c r="B838" s="0" t="inlineStr">
        <is>
          <t>NULL</t>
        </is>
      </c>
      <c r="C838" s="0" t="inlineStr">
        <is>
          <t>NULL</t>
        </is>
      </c>
      <c r="D838" s="0" t="inlineStr">
        <is>
          <t>NULL</t>
        </is>
      </c>
      <c r="E838" s="0" t="inlineStr">
        <is>
          <t>NULL</t>
        </is>
      </c>
      <c r="F838" s="0" t="inlineStr">
        <is>
          <t>NULL</t>
        </is>
      </c>
      <c r="G838" s="0" t="inlineStr">
        <is>
          <t>NULL</t>
        </is>
      </c>
      <c r="H838" s="0" t="inlineStr">
        <is>
          <t>NULL</t>
        </is>
      </c>
      <c r="I838" s="0" t="inlineStr">
        <is>
          <t>NULL</t>
        </is>
      </c>
      <c r="J838" s="0" t="inlineStr">
        <is>
          <t>NULL</t>
        </is>
      </c>
      <c r="K838" s="0" t="inlineStr">
        <is>
          <t>YES! 	 c_image3列源备映射正确，源端为image 2147483647位	期望更改为longblob	实际备端为longblob 4294967295位</t>
        </is>
      </c>
    </row>
    <row r="839">
      <c r="K839" s="0" t="inlineStr">
        <is>
          <t>[0;31m NO! [0m 	  行数不同,源6行,备端空表</t>
        </is>
      </c>
    </row>
    <row r="840">
      <c r="A840" s="0" t="inlineStr">
        <is>
          <t>info_binary_dml_single_pk_irp</t>
        </is>
      </c>
      <c r="K840" s="0" t="inlineStr">
        <is>
          <t>[0;34m info_binary_dml_single_pk_irp [0m源备字段数相同，源端字段：4 	备端字段4</t>
        </is>
      </c>
      <c r="W840" s="0" t="inlineStr">
        <is>
          <t>YES 源备无差异</t>
        </is>
      </c>
      <c r="X840" s="0">
        <f>A840</f>
        <v/>
      </c>
    </row>
    <row r="841">
      <c r="B841" s="0" t="inlineStr">
        <is>
          <t>NO! 主键不正常，源YES备None</t>
        </is>
      </c>
      <c r="C841" s="0" t="inlineStr">
        <is>
          <t>NULL</t>
        </is>
      </c>
      <c r="D841" s="0" t="inlineStr">
        <is>
          <t>NULL</t>
        </is>
      </c>
      <c r="E841" s="0" t="inlineStr">
        <is>
          <t>NULL</t>
        </is>
      </c>
      <c r="F841" s="0" t="inlineStr">
        <is>
          <t>NULL</t>
        </is>
      </c>
      <c r="G841" s="0" t="inlineStr">
        <is>
          <t>NULL</t>
        </is>
      </c>
      <c r="H841" s="0" t="inlineStr">
        <is>
          <t>NULL</t>
        </is>
      </c>
      <c r="I841" s="0" t="inlineStr">
        <is>
          <t>NO! 源备索引不一致源PK__info_bin__3213E83FFC5F28A0备None</t>
        </is>
      </c>
      <c r="J841" s="0" t="inlineStr">
        <is>
          <t>NULL</t>
        </is>
      </c>
      <c r="K841" s="0" t="inlineStr">
        <is>
          <t>YES! 	 id列源备映射正确，源端为int None位	期望更改为int	实际备端为int None位</t>
        </is>
      </c>
    </row>
    <row r="842">
      <c r="B842" s="0" t="inlineStr">
        <is>
          <t>NULL</t>
        </is>
      </c>
      <c r="C842" s="0" t="inlineStr">
        <is>
          <t>NULL</t>
        </is>
      </c>
      <c r="D842" s="0" t="inlineStr">
        <is>
          <t>NULL</t>
        </is>
      </c>
      <c r="E842" s="0" t="inlineStr">
        <is>
          <t>NULL</t>
        </is>
      </c>
      <c r="F842" s="0" t="inlineStr">
        <is>
          <t>NULL</t>
        </is>
      </c>
      <c r="G842" s="0" t="inlineStr">
        <is>
          <t>NULL</t>
        </is>
      </c>
      <c r="H842" s="0" t="inlineStr">
        <is>
          <t>NULL</t>
        </is>
      </c>
      <c r="I842" s="0" t="inlineStr">
        <is>
          <t>NULL</t>
        </is>
      </c>
      <c r="J842" s="0" t="inlineStr">
        <is>
          <t>NULL</t>
        </is>
      </c>
      <c r="K842" s="0" t="inlineStr">
        <is>
          <t>YES! 	 c_binary列源备映射正确，源端为binary 1位	期望更改为binary(n)	实际备端为binary 1位</t>
        </is>
      </c>
    </row>
    <row r="843">
      <c r="B843" s="0" t="inlineStr">
        <is>
          <t>NULL</t>
        </is>
      </c>
      <c r="C843" s="0" t="inlineStr">
        <is>
          <t>NULL</t>
        </is>
      </c>
      <c r="D843" s="0" t="inlineStr">
        <is>
          <t>NULL</t>
        </is>
      </c>
      <c r="E843" s="0" t="inlineStr">
        <is>
          <t>NULL</t>
        </is>
      </c>
      <c r="F843" s="0" t="inlineStr">
        <is>
          <t>NULL</t>
        </is>
      </c>
      <c r="G843" s="0" t="inlineStr">
        <is>
          <t>NULL</t>
        </is>
      </c>
      <c r="H843" s="0" t="inlineStr">
        <is>
          <t>NULL</t>
        </is>
      </c>
      <c r="I843" s="0" t="inlineStr">
        <is>
          <t>NULL</t>
        </is>
      </c>
      <c r="J843" s="0" t="inlineStr">
        <is>
          <t>NULL</t>
        </is>
      </c>
      <c r="K843" s="0" t="inlineStr">
        <is>
          <t>YES! 	 c_binary_20列源备映射正确，源端为binary 20位	期望更改为binary(n)	实际备端为binary 20位</t>
        </is>
      </c>
    </row>
    <row r="844">
      <c r="B844" s="0" t="inlineStr">
        <is>
          <t>NULL</t>
        </is>
      </c>
      <c r="C844" s="0" t="inlineStr">
        <is>
          <t>NULL</t>
        </is>
      </c>
      <c r="D844" s="0" t="inlineStr">
        <is>
          <t>NULL</t>
        </is>
      </c>
      <c r="E844" s="0" t="inlineStr">
        <is>
          <t>NULL</t>
        </is>
      </c>
      <c r="F844" s="0" t="inlineStr">
        <is>
          <t>NULL</t>
        </is>
      </c>
      <c r="G844" s="0" t="inlineStr">
        <is>
          <t>NULL</t>
        </is>
      </c>
      <c r="H844" s="0" t="inlineStr">
        <is>
          <t>NULL</t>
        </is>
      </c>
      <c r="I844" s="0" t="inlineStr">
        <is>
          <t>NULL</t>
        </is>
      </c>
      <c r="J844" s="0" t="inlineStr">
        <is>
          <t>NULL</t>
        </is>
      </c>
      <c r="K844" s="0" t="inlineStr">
        <is>
          <t>YES! 	 c_binary_8000列源备映射正确，源端为binary 8000位	期望更改为longblob	实际备端为longblob 4294967295位</t>
        </is>
      </c>
    </row>
    <row r="845">
      <c r="K845" s="0" t="inlineStr">
        <is>
          <t>[0;31m NO! [0m 	  行数不同,源10行,备端空表</t>
        </is>
      </c>
    </row>
    <row r="846">
      <c r="A846" s="0" t="inlineStr">
        <is>
          <t>info_datetimeoffset_dml_batch1_pk_drp2</t>
        </is>
      </c>
      <c r="K846" s="0" t="inlineStr">
        <is>
          <t>[0;34m info_datetimeoffset_dml_batch1_pk_drp2 [0m源备字段数相同，源端字段：9 	备端字段9</t>
        </is>
      </c>
      <c r="W846" s="0" t="inlineStr">
        <is>
          <t>YES 源备无差异</t>
        </is>
      </c>
      <c r="X846" s="0">
        <f>A846</f>
        <v/>
      </c>
    </row>
    <row r="847">
      <c r="B847" s="0" t="inlineStr">
        <is>
          <t>NO! 主键不正常，源YES备None</t>
        </is>
      </c>
      <c r="C847" s="0" t="inlineStr">
        <is>
          <t>NULL</t>
        </is>
      </c>
      <c r="D847" s="0" t="inlineStr">
        <is>
          <t>NULL</t>
        </is>
      </c>
      <c r="E847" s="0" t="inlineStr">
        <is>
          <t>NULL</t>
        </is>
      </c>
      <c r="F847" s="0" t="inlineStr">
        <is>
          <t>NULL</t>
        </is>
      </c>
      <c r="G847" s="0" t="inlineStr">
        <is>
          <t>NULL</t>
        </is>
      </c>
      <c r="H847" s="0" t="inlineStr">
        <is>
          <t>NULL</t>
        </is>
      </c>
      <c r="I847" s="0" t="inlineStr">
        <is>
          <t>NO! 源备索引不一致源PK__info_dat__3213E83F76C7AF85备None</t>
        </is>
      </c>
      <c r="J847" s="0" t="inlineStr">
        <is>
          <t>NULL</t>
        </is>
      </c>
      <c r="K847" s="0" t="inlineStr">
        <is>
          <t>YES! 	 id列源备映射正确，源端为int None位	期望更改为int	实际备端为int None位</t>
        </is>
      </c>
    </row>
    <row r="848">
      <c r="B848" s="0" t="inlineStr">
        <is>
          <t>NULL</t>
        </is>
      </c>
      <c r="C848" s="0" t="inlineStr">
        <is>
          <t>NULL</t>
        </is>
      </c>
      <c r="D848" s="0" t="inlineStr">
        <is>
          <t>NULL</t>
        </is>
      </c>
      <c r="E848" s="0" t="inlineStr">
        <is>
          <t>NULL</t>
        </is>
      </c>
      <c r="F848" s="0" t="inlineStr">
        <is>
          <t>NULL</t>
        </is>
      </c>
      <c r="G848" s="0" t="inlineStr">
        <is>
          <t>NULL</t>
        </is>
      </c>
      <c r="H848" s="0" t="inlineStr">
        <is>
          <t>NULL</t>
        </is>
      </c>
      <c r="I848" s="0" t="inlineStr">
        <is>
          <t>NULL</t>
        </is>
      </c>
      <c r="J848" s="0" t="inlineStr">
        <is>
          <t>NULL</t>
        </is>
      </c>
      <c r="K848" s="0" t="inlineStr">
        <is>
          <t>[0;32m YES! [0m 	 c_dtoffset_0列源备映射正确，源端为datetimeoffset None位	期望更改为varchar(34)	实际备端为varchar 136位	位数精度不存在，通过长度比较</t>
        </is>
      </c>
    </row>
    <row r="849">
      <c r="B849" s="0" t="inlineStr">
        <is>
          <t>NULL</t>
        </is>
      </c>
      <c r="C849" s="0" t="inlineStr">
        <is>
          <t>NULL</t>
        </is>
      </c>
      <c r="D849" s="0" t="inlineStr">
        <is>
          <t>NULL</t>
        </is>
      </c>
      <c r="E849" s="0" t="inlineStr">
        <is>
          <t>NULL</t>
        </is>
      </c>
      <c r="F849" s="0" t="inlineStr">
        <is>
          <t>NULL</t>
        </is>
      </c>
      <c r="G849" s="0" t="inlineStr">
        <is>
          <t>NULL</t>
        </is>
      </c>
      <c r="H849" s="0" t="inlineStr">
        <is>
          <t>NULL</t>
        </is>
      </c>
      <c r="I849" s="0" t="inlineStr">
        <is>
          <t>NULL</t>
        </is>
      </c>
      <c r="J849" s="0" t="inlineStr">
        <is>
          <t>NULL</t>
        </is>
      </c>
      <c r="K849" s="0" t="inlineStr">
        <is>
          <t>[0;32m YES! [0m 	 c_dtoffset_1列源备映射正确，源端为datetimeoffset None位	期望更改为varchar(34)	实际备端为varchar 136位	位数精度不存在，通过长度比较</t>
        </is>
      </c>
    </row>
    <row r="850">
      <c r="B850" s="0" t="inlineStr">
        <is>
          <t>NULL</t>
        </is>
      </c>
      <c r="C850" s="0" t="inlineStr">
        <is>
          <t>NULL</t>
        </is>
      </c>
      <c r="D850" s="0" t="inlineStr">
        <is>
          <t>NULL</t>
        </is>
      </c>
      <c r="E850" s="0" t="inlineStr">
        <is>
          <t>NULL</t>
        </is>
      </c>
      <c r="F850" s="0" t="inlineStr">
        <is>
          <t>NULL</t>
        </is>
      </c>
      <c r="G850" s="0" t="inlineStr">
        <is>
          <t>NULL</t>
        </is>
      </c>
      <c r="H850" s="0" t="inlineStr">
        <is>
          <t>NULL</t>
        </is>
      </c>
      <c r="I850" s="0" t="inlineStr">
        <is>
          <t>NULL</t>
        </is>
      </c>
      <c r="J850" s="0" t="inlineStr">
        <is>
          <t>NULL</t>
        </is>
      </c>
      <c r="K850" s="0" t="inlineStr">
        <is>
          <t>[0;32m YES! [0m 	 c_dtoffset_2列源备映射正确，源端为datetimeoffset None位	期望更改为varchar(34)	实际备端为varchar 136位	位数精度不存在，通过长度比较</t>
        </is>
      </c>
    </row>
    <row r="851">
      <c r="B851" s="0" t="inlineStr">
        <is>
          <t>NULL</t>
        </is>
      </c>
      <c r="C851" s="0" t="inlineStr">
        <is>
          <t>NULL</t>
        </is>
      </c>
      <c r="D851" s="0" t="inlineStr">
        <is>
          <t>NULL</t>
        </is>
      </c>
      <c r="E851" s="0" t="inlineStr">
        <is>
          <t>NULL</t>
        </is>
      </c>
      <c r="F851" s="0" t="inlineStr">
        <is>
          <t>NULL</t>
        </is>
      </c>
      <c r="G851" s="0" t="inlineStr">
        <is>
          <t>NULL</t>
        </is>
      </c>
      <c r="H851" s="0" t="inlineStr">
        <is>
          <t>NULL</t>
        </is>
      </c>
      <c r="I851" s="0" t="inlineStr">
        <is>
          <t>NULL</t>
        </is>
      </c>
      <c r="J851" s="0" t="inlineStr">
        <is>
          <t>NULL</t>
        </is>
      </c>
      <c r="K851" s="0" t="inlineStr">
        <is>
          <t>[0;32m YES! [0m 	 c_dtoffset_3列源备映射正确，源端为datetimeoffset None位	期望更改为varchar(34)	实际备端为varchar 136位	位数精度不存在，通过长度比较</t>
        </is>
      </c>
    </row>
    <row r="852">
      <c r="B852" s="0" t="inlineStr">
        <is>
          <t>NULL</t>
        </is>
      </c>
      <c r="C852" s="0" t="inlineStr">
        <is>
          <t>NULL</t>
        </is>
      </c>
      <c r="D852" s="0" t="inlineStr">
        <is>
          <t>NULL</t>
        </is>
      </c>
      <c r="E852" s="0" t="inlineStr">
        <is>
          <t>NULL</t>
        </is>
      </c>
      <c r="F852" s="0" t="inlineStr">
        <is>
          <t>NULL</t>
        </is>
      </c>
      <c r="G852" s="0" t="inlineStr">
        <is>
          <t>NULL</t>
        </is>
      </c>
      <c r="H852" s="0" t="inlineStr">
        <is>
          <t>NULL</t>
        </is>
      </c>
      <c r="I852" s="0" t="inlineStr">
        <is>
          <t>NULL</t>
        </is>
      </c>
      <c r="J852" s="0" t="inlineStr">
        <is>
          <t>NULL</t>
        </is>
      </c>
      <c r="K852" s="0" t="inlineStr">
        <is>
          <t>[0;32m YES! [0m 	 c_dtoffset_4列源备映射正确，源端为datetimeoffset None位	期望更改为varchar(34)	实际备端为varchar 136位	位数精度不存在，通过长度比较</t>
        </is>
      </c>
    </row>
    <row r="853">
      <c r="B853" s="0" t="inlineStr">
        <is>
          <t>NULL</t>
        </is>
      </c>
      <c r="C853" s="0" t="inlineStr">
        <is>
          <t>NULL</t>
        </is>
      </c>
      <c r="D853" s="0" t="inlineStr">
        <is>
          <t>NULL</t>
        </is>
      </c>
      <c r="E853" s="0" t="inlineStr">
        <is>
          <t>NULL</t>
        </is>
      </c>
      <c r="F853" s="0" t="inlineStr">
        <is>
          <t>NULL</t>
        </is>
      </c>
      <c r="G853" s="0" t="inlineStr">
        <is>
          <t>NULL</t>
        </is>
      </c>
      <c r="H853" s="0" t="inlineStr">
        <is>
          <t>NULL</t>
        </is>
      </c>
      <c r="I853" s="0" t="inlineStr">
        <is>
          <t>NULL</t>
        </is>
      </c>
      <c r="J853" s="0" t="inlineStr">
        <is>
          <t>NULL</t>
        </is>
      </c>
      <c r="K853" s="0" t="inlineStr">
        <is>
          <t>[0;32m YES! [0m 	 c_dtoffset_5列源备映射正确，源端为datetimeoffset None位	期望更改为varchar(34)	实际备端为varchar 136位	位数精度不存在，通过长度比较</t>
        </is>
      </c>
    </row>
    <row r="854">
      <c r="B854" s="0" t="inlineStr">
        <is>
          <t>NULL</t>
        </is>
      </c>
      <c r="C854" s="0" t="inlineStr">
        <is>
          <t>NULL</t>
        </is>
      </c>
      <c r="D854" s="0" t="inlineStr">
        <is>
          <t>NULL</t>
        </is>
      </c>
      <c r="E854" s="0" t="inlineStr">
        <is>
          <t>NULL</t>
        </is>
      </c>
      <c r="F854" s="0" t="inlineStr">
        <is>
          <t>NULL</t>
        </is>
      </c>
      <c r="G854" s="0" t="inlineStr">
        <is>
          <t>NULL</t>
        </is>
      </c>
      <c r="H854" s="0" t="inlineStr">
        <is>
          <t>NULL</t>
        </is>
      </c>
      <c r="I854" s="0" t="inlineStr">
        <is>
          <t>NULL</t>
        </is>
      </c>
      <c r="J854" s="0" t="inlineStr">
        <is>
          <t>NULL</t>
        </is>
      </c>
      <c r="K854" s="0" t="inlineStr">
        <is>
          <t>[0;32m YES! [0m 	 c_dtoffset_6列源备映射正确，源端为datetimeoffset None位	期望更改为varchar(34)	实际备端为varchar 136位	位数精度不存在，通过长度比较</t>
        </is>
      </c>
    </row>
    <row r="855">
      <c r="B855" s="0" t="inlineStr">
        <is>
          <t>NULL</t>
        </is>
      </c>
      <c r="C855" s="0" t="inlineStr">
        <is>
          <t>NO!源None备NUL</t>
        </is>
      </c>
      <c r="D855" s="0" t="inlineStr">
        <is>
          <t>NULL</t>
        </is>
      </c>
      <c r="E855" s="0" t="inlineStr">
        <is>
          <t>NULL</t>
        </is>
      </c>
      <c r="F855" s="0" t="inlineStr">
        <is>
          <t>NULL</t>
        </is>
      </c>
      <c r="G855" s="0" t="inlineStr">
        <is>
          <t>NULL</t>
        </is>
      </c>
      <c r="H855" s="0" t="inlineStr">
        <is>
          <t>NULL</t>
        </is>
      </c>
      <c r="I855" s="0" t="inlineStr">
        <is>
          <t>NULL</t>
        </is>
      </c>
      <c r="J855" s="0" t="inlineStr">
        <is>
          <t>NULL</t>
        </is>
      </c>
      <c r="K855" s="0" t="inlineStr">
        <is>
          <t>[0;32m YES! [0m 	 c_dtoffset列源备映射正确，源端为datetimeoffset None位	期望更改为varchar(34)	实际备端为varchar 136位	位数精度不存在，通过长度比较</t>
        </is>
      </c>
    </row>
    <row r="856">
      <c r="K856" s="0" t="inlineStr">
        <is>
          <t>[0;31m NO! [0m 	  行数不同,源3行,备端空表</t>
        </is>
      </c>
    </row>
    <row r="857">
      <c r="A857" s="0" t="inlineStr">
        <is>
          <t>info_datetime_dml_single_nopk</t>
        </is>
      </c>
      <c r="K857" s="0" t="inlineStr">
        <is>
          <t>[0;34m info_datetime_dml_single_nopk [0m源备字段数相同，源端字段：2 	备端字段2</t>
        </is>
      </c>
      <c r="W857" s="0" t="inlineStr">
        <is>
          <t>YES 源备无差异</t>
        </is>
      </c>
      <c r="X857" s="0">
        <f>A857</f>
        <v/>
      </c>
    </row>
    <row r="858">
      <c r="B858" s="0" t="inlineStr">
        <is>
          <t>NULL</t>
        </is>
      </c>
      <c r="C858" s="0" t="inlineStr">
        <is>
          <t>NULL</t>
        </is>
      </c>
      <c r="D858" s="0" t="inlineStr">
        <is>
          <t>NULL</t>
        </is>
      </c>
      <c r="E858" s="0" t="inlineStr">
        <is>
          <t>NULL</t>
        </is>
      </c>
      <c r="F858" s="0" t="inlineStr">
        <is>
          <t>NULL</t>
        </is>
      </c>
      <c r="G858" s="0" t="inlineStr">
        <is>
          <t>NULL</t>
        </is>
      </c>
      <c r="H858" s="0" t="inlineStr">
        <is>
          <t>NULL</t>
        </is>
      </c>
      <c r="I858" s="0" t="inlineStr">
        <is>
          <t>NULL</t>
        </is>
      </c>
      <c r="J858" s="0" t="inlineStr">
        <is>
          <t>NULL</t>
        </is>
      </c>
      <c r="K858" s="0" t="inlineStr">
        <is>
          <t>YES! 	 id列源备映射正确，源端为int None位	期望更改为int	实际备端为int None位</t>
        </is>
      </c>
    </row>
    <row r="859">
      <c r="B859" s="0" t="inlineStr">
        <is>
          <t>NULL</t>
        </is>
      </c>
      <c r="C859" s="0" t="inlineStr">
        <is>
          <t>NO!源None备NUL</t>
        </is>
      </c>
      <c r="D859" s="0" t="inlineStr">
        <is>
          <t>NULL</t>
        </is>
      </c>
      <c r="E859" s="0" t="inlineStr">
        <is>
          <t>NULL</t>
        </is>
      </c>
      <c r="F859" s="0" t="inlineStr">
        <is>
          <t>NULL</t>
        </is>
      </c>
      <c r="G859" s="0" t="inlineStr">
        <is>
          <t>NULL</t>
        </is>
      </c>
      <c r="H859" s="0" t="inlineStr">
        <is>
          <t>NULL</t>
        </is>
      </c>
      <c r="I859" s="0" t="inlineStr">
        <is>
          <t>NULL</t>
        </is>
      </c>
      <c r="J859" s="0" t="inlineStr">
        <is>
          <t>NULL</t>
        </is>
      </c>
      <c r="K859" s="0" t="inlineStr">
        <is>
          <t>YES! 	 c_datetime列源备映射正确，源端为datetime None位	期望更改为datetime(3)	实际备端为datetime None位</t>
        </is>
      </c>
    </row>
    <row r="860">
      <c r="K860" s="0" t="inlineStr">
        <is>
          <t>[0;31m NO! [0m 	  行数不同,源1行,备端空表</t>
        </is>
      </c>
    </row>
    <row r="861">
      <c r="A861" s="0" t="inlineStr">
        <is>
          <t>info_varcharmax_dml_batch2_pk_irp2</t>
        </is>
      </c>
      <c r="K861" s="0" t="inlineStr">
        <is>
          <t>[0;34m info_varcharmax_dml_batch2_pk_irp2 [0m源备字段数相同，源端字段：3 	备端字段3</t>
        </is>
      </c>
      <c r="W861" s="0" t="inlineStr">
        <is>
          <t>YES 源备无差异</t>
        </is>
      </c>
      <c r="X861" s="0">
        <f>A861</f>
        <v/>
      </c>
    </row>
    <row r="862">
      <c r="B862" s="0" t="inlineStr">
        <is>
          <t>NO! 主键不正常，源YES备None</t>
        </is>
      </c>
      <c r="C862" s="0" t="inlineStr">
        <is>
          <t>NULL</t>
        </is>
      </c>
      <c r="D862" s="0" t="inlineStr">
        <is>
          <t>NULL</t>
        </is>
      </c>
      <c r="E862" s="0" t="inlineStr">
        <is>
          <t>NULL</t>
        </is>
      </c>
      <c r="F862" s="0" t="inlineStr">
        <is>
          <t>NULL</t>
        </is>
      </c>
      <c r="G862" s="0" t="inlineStr">
        <is>
          <t>NULL</t>
        </is>
      </c>
      <c r="H862" s="0" t="inlineStr">
        <is>
          <t>NULL</t>
        </is>
      </c>
      <c r="I862" s="0" t="inlineStr">
        <is>
          <t>NO! 源备索引不一致源PK__info_var__3213E83FBB95D9E3备None</t>
        </is>
      </c>
      <c r="J862" s="0" t="inlineStr">
        <is>
          <t>NULL</t>
        </is>
      </c>
      <c r="K862" s="0" t="inlineStr">
        <is>
          <t>YES! 	 id列源备映射正确，源端为int None位	期望更改为int	实际备端为int None位</t>
        </is>
      </c>
    </row>
    <row r="863">
      <c r="B863" s="0" t="inlineStr">
        <is>
          <t>NULL</t>
        </is>
      </c>
      <c r="C863" s="0" t="inlineStr">
        <is>
          <t>NULL</t>
        </is>
      </c>
      <c r="D863" s="0" t="inlineStr">
        <is>
          <t>NULL</t>
        </is>
      </c>
      <c r="E863" s="0" t="inlineStr">
        <is>
          <t>NULL</t>
        </is>
      </c>
      <c r="F863" s="0" t="inlineStr">
        <is>
          <t>NULL</t>
        </is>
      </c>
      <c r="G863" s="0" t="inlineStr">
        <is>
          <t>NULL</t>
        </is>
      </c>
      <c r="H863" s="0" t="inlineStr">
        <is>
          <t>NULL</t>
        </is>
      </c>
      <c r="I863" s="0" t="inlineStr">
        <is>
          <t>NULL</t>
        </is>
      </c>
      <c r="J863" s="0" t="inlineStr">
        <is>
          <t>NULL</t>
        </is>
      </c>
      <c r="K863" s="0" t="inlineStr">
        <is>
          <t>YES! 	 c_varchar_max列源备映射正确，源端为varchar -1位	期望更改为longtext	实际备端为longtext 4294967295位</t>
        </is>
      </c>
    </row>
    <row r="864">
      <c r="B864" s="0" t="inlineStr">
        <is>
          <t>NULL</t>
        </is>
      </c>
      <c r="C864" s="0" t="inlineStr">
        <is>
          <t>NULL</t>
        </is>
      </c>
      <c r="D864" s="0" t="inlineStr">
        <is>
          <t>NULL</t>
        </is>
      </c>
      <c r="E864" s="0" t="inlineStr">
        <is>
          <t>NULL</t>
        </is>
      </c>
      <c r="F864" s="0" t="inlineStr">
        <is>
          <t>NULL</t>
        </is>
      </c>
      <c r="G864" s="0" t="inlineStr">
        <is>
          <t>NULL</t>
        </is>
      </c>
      <c r="H864" s="0" t="inlineStr">
        <is>
          <t>NULL</t>
        </is>
      </c>
      <c r="I864" s="0" t="inlineStr">
        <is>
          <t>NULL</t>
        </is>
      </c>
      <c r="J864" s="0" t="inlineStr">
        <is>
          <t>NULL</t>
        </is>
      </c>
      <c r="K864" s="0" t="inlineStr">
        <is>
          <t>YES! 	 c_nvarchar_max列源备映射正确，源端为nvarchar -1位	期望更改为longtext	实际备端为longtext 4294967295位</t>
        </is>
      </c>
    </row>
    <row r="865">
      <c r="K865" s="0" t="inlineStr">
        <is>
          <t>~ 空表</t>
        </is>
      </c>
    </row>
    <row r="866">
      <c r="A866" s="0" t="inlineStr">
        <is>
          <t>info_datetime2_dml_single_nopk_irp</t>
        </is>
      </c>
      <c r="K866" s="0" t="inlineStr">
        <is>
          <t>[0;34m info_datetime2_dml_single_nopk_irp [0m源备字段数相同，源端字段：9 	备端字段9</t>
        </is>
      </c>
      <c r="W866" s="0" t="inlineStr">
        <is>
          <t>YES 源备无差异</t>
        </is>
      </c>
      <c r="X866" s="0">
        <f>A866</f>
        <v/>
      </c>
    </row>
    <row r="867">
      <c r="B867" s="0" t="inlineStr">
        <is>
          <t>NULL</t>
        </is>
      </c>
      <c r="C867" s="0" t="inlineStr">
        <is>
          <t>NULL</t>
        </is>
      </c>
      <c r="D867" s="0" t="inlineStr">
        <is>
          <t>NULL</t>
        </is>
      </c>
      <c r="E867" s="0" t="inlineStr">
        <is>
          <t>NULL</t>
        </is>
      </c>
      <c r="F867" s="0" t="inlineStr">
        <is>
          <t>NULL</t>
        </is>
      </c>
      <c r="G867" s="0" t="inlineStr">
        <is>
          <t>NULL</t>
        </is>
      </c>
      <c r="H867" s="0" t="inlineStr">
        <is>
          <t>NULL</t>
        </is>
      </c>
      <c r="I867" s="0" t="inlineStr">
        <is>
          <t>NULL</t>
        </is>
      </c>
      <c r="J867" s="0" t="inlineStr">
        <is>
          <t>NULL</t>
        </is>
      </c>
      <c r="K867" s="0" t="inlineStr">
        <is>
          <t>YES! 	 id列源备映射正确，源端为int None位	期望更改为int	实际备端为int None位</t>
        </is>
      </c>
    </row>
    <row r="868">
      <c r="B868" s="0" t="inlineStr">
        <is>
          <t>NULL</t>
        </is>
      </c>
      <c r="C868" s="0" t="inlineStr">
        <is>
          <t>NULL</t>
        </is>
      </c>
      <c r="D868" s="0" t="inlineStr">
        <is>
          <t>NULL</t>
        </is>
      </c>
      <c r="E868" s="0" t="inlineStr">
        <is>
          <t>NULL</t>
        </is>
      </c>
      <c r="F868" s="0" t="inlineStr">
        <is>
          <t>NULL</t>
        </is>
      </c>
      <c r="G868" s="0" t="inlineStr">
        <is>
          <t>NULL</t>
        </is>
      </c>
      <c r="H868" s="0" t="inlineStr">
        <is>
          <t>NULL</t>
        </is>
      </c>
      <c r="I868" s="0" t="inlineStr">
        <is>
          <t>NULL</t>
        </is>
      </c>
      <c r="J868" s="0" t="inlineStr">
        <is>
          <t>NULL</t>
        </is>
      </c>
      <c r="K868" s="0" t="inlineStr">
        <is>
          <t>no,len不存在</t>
        </is>
      </c>
    </row>
    <row r="869">
      <c r="B869" s="0" t="inlineStr">
        <is>
          <t>NULL</t>
        </is>
      </c>
      <c r="C869" s="0" t="inlineStr">
        <is>
          <t>NULL</t>
        </is>
      </c>
      <c r="D869" s="0" t="inlineStr">
        <is>
          <t>NULL</t>
        </is>
      </c>
      <c r="E869" s="0" t="inlineStr">
        <is>
          <t>NULL</t>
        </is>
      </c>
      <c r="F869" s="0" t="inlineStr">
        <is>
          <t>NULL</t>
        </is>
      </c>
      <c r="G869" s="0" t="inlineStr">
        <is>
          <t>NULL</t>
        </is>
      </c>
      <c r="H869" s="0" t="inlineStr">
        <is>
          <t>NULL</t>
        </is>
      </c>
      <c r="I869" s="0" t="inlineStr">
        <is>
          <t>NULL</t>
        </is>
      </c>
      <c r="J869" s="0" t="inlineStr">
        <is>
          <t>NULL</t>
        </is>
      </c>
      <c r="K869" s="0" t="inlineStr">
        <is>
          <t>YES! 	 c_dt2_1列源备映射正确，源端为datetime2 None位	期望更改为datetime(n)	实际备端为datetime None位</t>
        </is>
      </c>
    </row>
    <row r="870">
      <c r="B870" s="0" t="inlineStr">
        <is>
          <t>NULL</t>
        </is>
      </c>
      <c r="C870" s="0" t="inlineStr">
        <is>
          <t>NULL</t>
        </is>
      </c>
      <c r="D870" s="0" t="inlineStr">
        <is>
          <t>NULL</t>
        </is>
      </c>
      <c r="E870" s="0" t="inlineStr">
        <is>
          <t>NULL</t>
        </is>
      </c>
      <c r="F870" s="0" t="inlineStr">
        <is>
          <t>NULL</t>
        </is>
      </c>
      <c r="G870" s="0" t="inlineStr">
        <is>
          <t>NULL</t>
        </is>
      </c>
      <c r="H870" s="0" t="inlineStr">
        <is>
          <t>NULL</t>
        </is>
      </c>
      <c r="I870" s="0" t="inlineStr">
        <is>
          <t>NULL</t>
        </is>
      </c>
      <c r="J870" s="0" t="inlineStr">
        <is>
          <t>NULL</t>
        </is>
      </c>
      <c r="K870" s="0" t="inlineStr">
        <is>
          <t>YES! 	 c_dt2_2列源备映射正确，源端为datetime2 None位	期望更改为datetime(n)	实际备端为datetime None位</t>
        </is>
      </c>
    </row>
    <row r="871">
      <c r="B871" s="0" t="inlineStr">
        <is>
          <t>NULL</t>
        </is>
      </c>
      <c r="C871" s="0" t="inlineStr">
        <is>
          <t>NULL</t>
        </is>
      </c>
      <c r="D871" s="0" t="inlineStr">
        <is>
          <t>NULL</t>
        </is>
      </c>
      <c r="E871" s="0" t="inlineStr">
        <is>
          <t>NULL</t>
        </is>
      </c>
      <c r="F871" s="0" t="inlineStr">
        <is>
          <t>NULL</t>
        </is>
      </c>
      <c r="G871" s="0" t="inlineStr">
        <is>
          <t>NULL</t>
        </is>
      </c>
      <c r="H871" s="0" t="inlineStr">
        <is>
          <t>NULL</t>
        </is>
      </c>
      <c r="I871" s="0" t="inlineStr">
        <is>
          <t>NULL</t>
        </is>
      </c>
      <c r="J871" s="0" t="inlineStr">
        <is>
          <t>NULL</t>
        </is>
      </c>
      <c r="K871" s="0" t="inlineStr">
        <is>
          <t>YES! 	 c_dt2_3列源备映射正确，源端为datetime2 None位	期望更改为datetime(n)	实际备端为datetime None位</t>
        </is>
      </c>
    </row>
    <row r="872">
      <c r="B872" s="0" t="inlineStr">
        <is>
          <t>NULL</t>
        </is>
      </c>
      <c r="C872" s="0" t="inlineStr">
        <is>
          <t>NULL</t>
        </is>
      </c>
      <c r="D872" s="0" t="inlineStr">
        <is>
          <t>NULL</t>
        </is>
      </c>
      <c r="E872" s="0" t="inlineStr">
        <is>
          <t>NULL</t>
        </is>
      </c>
      <c r="F872" s="0" t="inlineStr">
        <is>
          <t>NULL</t>
        </is>
      </c>
      <c r="G872" s="0" t="inlineStr">
        <is>
          <t>NULL</t>
        </is>
      </c>
      <c r="H872" s="0" t="inlineStr">
        <is>
          <t>NULL</t>
        </is>
      </c>
      <c r="I872" s="0" t="inlineStr">
        <is>
          <t>NULL</t>
        </is>
      </c>
      <c r="J872" s="0" t="inlineStr">
        <is>
          <t>NULL</t>
        </is>
      </c>
      <c r="K872" s="0" t="inlineStr">
        <is>
          <t>YES! 	 c_dt2_4列源备映射正确，源端为datetime2 None位	期望更改为datetime(n)	实际备端为datetime None位</t>
        </is>
      </c>
    </row>
    <row r="873">
      <c r="B873" s="0" t="inlineStr">
        <is>
          <t>NULL</t>
        </is>
      </c>
      <c r="C873" s="0" t="inlineStr">
        <is>
          <t>NULL</t>
        </is>
      </c>
      <c r="D873" s="0" t="inlineStr">
        <is>
          <t>NULL</t>
        </is>
      </c>
      <c r="E873" s="0" t="inlineStr">
        <is>
          <t>NULL</t>
        </is>
      </c>
      <c r="F873" s="0" t="inlineStr">
        <is>
          <t>NULL</t>
        </is>
      </c>
      <c r="G873" s="0" t="inlineStr">
        <is>
          <t>NULL</t>
        </is>
      </c>
      <c r="H873" s="0" t="inlineStr">
        <is>
          <t>NULL</t>
        </is>
      </c>
      <c r="I873" s="0" t="inlineStr">
        <is>
          <t>NULL</t>
        </is>
      </c>
      <c r="J873" s="0" t="inlineStr">
        <is>
          <t>NULL</t>
        </is>
      </c>
      <c r="K873" s="0" t="inlineStr">
        <is>
          <t>YES! 	 c_dt2_5列源备映射正确，源端为datetime2 None位	期望更改为datetime(n)	实际备端为datetime None位</t>
        </is>
      </c>
    </row>
    <row r="874">
      <c r="B874" s="0" t="inlineStr">
        <is>
          <t>NULL</t>
        </is>
      </c>
      <c r="C874" s="0" t="inlineStr">
        <is>
          <t>NULL</t>
        </is>
      </c>
      <c r="D874" s="0" t="inlineStr">
        <is>
          <t>NULL</t>
        </is>
      </c>
      <c r="E874" s="0" t="inlineStr">
        <is>
          <t>NULL</t>
        </is>
      </c>
      <c r="F874" s="0" t="inlineStr">
        <is>
          <t>NULL</t>
        </is>
      </c>
      <c r="G874" s="0" t="inlineStr">
        <is>
          <t>NULL</t>
        </is>
      </c>
      <c r="H874" s="0" t="inlineStr">
        <is>
          <t>NULL</t>
        </is>
      </c>
      <c r="I874" s="0" t="inlineStr">
        <is>
          <t>NULL</t>
        </is>
      </c>
      <c r="J874" s="0" t="inlineStr">
        <is>
          <t>NULL</t>
        </is>
      </c>
      <c r="K874" s="0" t="inlineStr">
        <is>
          <t>YES! 	 c_dt2_6列源备映射正确，源端为datetime2 None位	期望更改为datetime(n)	实际备端为datetime None位</t>
        </is>
      </c>
    </row>
    <row r="875">
      <c r="B875" s="0" t="inlineStr">
        <is>
          <t>NULL</t>
        </is>
      </c>
      <c r="C875" s="0" t="inlineStr">
        <is>
          <t>NO!源None备NUL</t>
        </is>
      </c>
      <c r="D875" s="0" t="inlineStr">
        <is>
          <t>NULL</t>
        </is>
      </c>
      <c r="E875" s="0" t="inlineStr">
        <is>
          <t>NULL</t>
        </is>
      </c>
      <c r="F875" s="0" t="inlineStr">
        <is>
          <t>NULL</t>
        </is>
      </c>
      <c r="G875" s="0" t="inlineStr">
        <is>
          <t>NULL</t>
        </is>
      </c>
      <c r="H875" s="0" t="inlineStr">
        <is>
          <t>NULL</t>
        </is>
      </c>
      <c r="I875" s="0" t="inlineStr">
        <is>
          <t>NULL</t>
        </is>
      </c>
      <c r="J875" s="0" t="inlineStr">
        <is>
          <t>NULL</t>
        </is>
      </c>
      <c r="K875" s="0" t="inlineStr">
        <is>
          <t xml:space="preserve"> NO!  	 c_dt2列源备映射错误，源端为datetime2 None位	期望更改为datetime(n)	实际备端为varchar 136位</t>
        </is>
      </c>
    </row>
    <row r="876">
      <c r="K876" s="0" t="inlineStr">
        <is>
          <t>[0;31m NO! [0m 	  行数不同,源7行,备端空表</t>
        </is>
      </c>
    </row>
    <row r="877">
      <c r="A877" s="0" t="inlineStr">
        <is>
          <t>info_datetime2_dml_single_nopk_urp</t>
        </is>
      </c>
      <c r="K877" s="0" t="inlineStr">
        <is>
          <t>[0;34m info_datetime2_dml_single_nopk_urp [0m源备字段数相同，源端字段：9 	备端字段9</t>
        </is>
      </c>
      <c r="W877" s="0" t="inlineStr">
        <is>
          <t>YES 源备无差异</t>
        </is>
      </c>
      <c r="X877" s="0">
        <f>A877</f>
        <v/>
      </c>
    </row>
    <row r="878">
      <c r="B878" s="0" t="inlineStr">
        <is>
          <t>NULL</t>
        </is>
      </c>
      <c r="C878" s="0" t="inlineStr">
        <is>
          <t>NULL</t>
        </is>
      </c>
      <c r="D878" s="0" t="inlineStr">
        <is>
          <t>NULL</t>
        </is>
      </c>
      <c r="E878" s="0" t="inlineStr">
        <is>
          <t>NULL</t>
        </is>
      </c>
      <c r="F878" s="0" t="inlineStr">
        <is>
          <t>NULL</t>
        </is>
      </c>
      <c r="G878" s="0" t="inlineStr">
        <is>
          <t>NULL</t>
        </is>
      </c>
      <c r="H878" s="0" t="inlineStr">
        <is>
          <t>NULL</t>
        </is>
      </c>
      <c r="I878" s="0" t="inlineStr">
        <is>
          <t>NULL</t>
        </is>
      </c>
      <c r="J878" s="0" t="inlineStr">
        <is>
          <t>NULL</t>
        </is>
      </c>
      <c r="K878" s="0" t="inlineStr">
        <is>
          <t>YES! 	 id列源备映射正确，源端为int None位	期望更改为int	实际备端为int None位</t>
        </is>
      </c>
    </row>
    <row r="879">
      <c r="B879" s="0" t="inlineStr">
        <is>
          <t>NULL</t>
        </is>
      </c>
      <c r="C879" s="0" t="inlineStr">
        <is>
          <t>NULL</t>
        </is>
      </c>
      <c r="D879" s="0" t="inlineStr">
        <is>
          <t>NULL</t>
        </is>
      </c>
      <c r="E879" s="0" t="inlineStr">
        <is>
          <t>NULL</t>
        </is>
      </c>
      <c r="F879" s="0" t="inlineStr">
        <is>
          <t>NULL</t>
        </is>
      </c>
      <c r="G879" s="0" t="inlineStr">
        <is>
          <t>NULL</t>
        </is>
      </c>
      <c r="H879" s="0" t="inlineStr">
        <is>
          <t>NULL</t>
        </is>
      </c>
      <c r="I879" s="0" t="inlineStr">
        <is>
          <t>NULL</t>
        </is>
      </c>
      <c r="J879" s="0" t="inlineStr">
        <is>
          <t>NULL</t>
        </is>
      </c>
      <c r="K879" s="0" t="inlineStr">
        <is>
          <t>no,len不存在</t>
        </is>
      </c>
    </row>
    <row r="880">
      <c r="B880" s="0" t="inlineStr">
        <is>
          <t>NULL</t>
        </is>
      </c>
      <c r="C880" s="0" t="inlineStr">
        <is>
          <t>NULL</t>
        </is>
      </c>
      <c r="D880" s="0" t="inlineStr">
        <is>
          <t>NULL</t>
        </is>
      </c>
      <c r="E880" s="0" t="inlineStr">
        <is>
          <t>NULL</t>
        </is>
      </c>
      <c r="F880" s="0" t="inlineStr">
        <is>
          <t>NULL</t>
        </is>
      </c>
      <c r="G880" s="0" t="inlineStr">
        <is>
          <t>NULL</t>
        </is>
      </c>
      <c r="H880" s="0" t="inlineStr">
        <is>
          <t>NULL</t>
        </is>
      </c>
      <c r="I880" s="0" t="inlineStr">
        <is>
          <t>NULL</t>
        </is>
      </c>
      <c r="J880" s="0" t="inlineStr">
        <is>
          <t>NULL</t>
        </is>
      </c>
      <c r="K880" s="0" t="inlineStr">
        <is>
          <t>YES! 	 c_dt2_1列源备映射正确，源端为datetime2 None位	期望更改为datetime(n)	实际备端为datetime None位</t>
        </is>
      </c>
    </row>
    <row r="881">
      <c r="B881" s="0" t="inlineStr">
        <is>
          <t>NULL</t>
        </is>
      </c>
      <c r="C881" s="0" t="inlineStr">
        <is>
          <t>NULL</t>
        </is>
      </c>
      <c r="D881" s="0" t="inlineStr">
        <is>
          <t>NULL</t>
        </is>
      </c>
      <c r="E881" s="0" t="inlineStr">
        <is>
          <t>NULL</t>
        </is>
      </c>
      <c r="F881" s="0" t="inlineStr">
        <is>
          <t>NULL</t>
        </is>
      </c>
      <c r="G881" s="0" t="inlineStr">
        <is>
          <t>NULL</t>
        </is>
      </c>
      <c r="H881" s="0" t="inlineStr">
        <is>
          <t>NULL</t>
        </is>
      </c>
      <c r="I881" s="0" t="inlineStr">
        <is>
          <t>NULL</t>
        </is>
      </c>
      <c r="J881" s="0" t="inlineStr">
        <is>
          <t>NULL</t>
        </is>
      </c>
      <c r="K881" s="0" t="inlineStr">
        <is>
          <t>YES! 	 c_dt2_2列源备映射正确，源端为datetime2 None位	期望更改为datetime(n)	实际备端为datetime None位</t>
        </is>
      </c>
    </row>
    <row r="882">
      <c r="B882" s="0" t="inlineStr">
        <is>
          <t>NULL</t>
        </is>
      </c>
      <c r="C882" s="0" t="inlineStr">
        <is>
          <t>NULL</t>
        </is>
      </c>
      <c r="D882" s="0" t="inlineStr">
        <is>
          <t>NULL</t>
        </is>
      </c>
      <c r="E882" s="0" t="inlineStr">
        <is>
          <t>NULL</t>
        </is>
      </c>
      <c r="F882" s="0" t="inlineStr">
        <is>
          <t>NULL</t>
        </is>
      </c>
      <c r="G882" s="0" t="inlineStr">
        <is>
          <t>NULL</t>
        </is>
      </c>
      <c r="H882" s="0" t="inlineStr">
        <is>
          <t>NULL</t>
        </is>
      </c>
      <c r="I882" s="0" t="inlineStr">
        <is>
          <t>NULL</t>
        </is>
      </c>
      <c r="J882" s="0" t="inlineStr">
        <is>
          <t>NULL</t>
        </is>
      </c>
      <c r="K882" s="0" t="inlineStr">
        <is>
          <t>YES! 	 c_dt2_3列源备映射正确，源端为datetime2 None位	期望更改为datetime(n)	实际备端为datetime None位</t>
        </is>
      </c>
    </row>
    <row r="883">
      <c r="B883" s="0" t="inlineStr">
        <is>
          <t>NULL</t>
        </is>
      </c>
      <c r="C883" s="0" t="inlineStr">
        <is>
          <t>NULL</t>
        </is>
      </c>
      <c r="D883" s="0" t="inlineStr">
        <is>
          <t>NULL</t>
        </is>
      </c>
      <c r="E883" s="0" t="inlineStr">
        <is>
          <t>NULL</t>
        </is>
      </c>
      <c r="F883" s="0" t="inlineStr">
        <is>
          <t>NULL</t>
        </is>
      </c>
      <c r="G883" s="0" t="inlineStr">
        <is>
          <t>NULL</t>
        </is>
      </c>
      <c r="H883" s="0" t="inlineStr">
        <is>
          <t>NULL</t>
        </is>
      </c>
      <c r="I883" s="0" t="inlineStr">
        <is>
          <t>NULL</t>
        </is>
      </c>
      <c r="J883" s="0" t="inlineStr">
        <is>
          <t>NULL</t>
        </is>
      </c>
      <c r="K883" s="0" t="inlineStr">
        <is>
          <t>YES! 	 c_dt2_4列源备映射正确，源端为datetime2 None位	期望更改为datetime(n)	实际备端为datetime None位</t>
        </is>
      </c>
    </row>
    <row r="884">
      <c r="B884" s="0" t="inlineStr">
        <is>
          <t>NULL</t>
        </is>
      </c>
      <c r="C884" s="0" t="inlineStr">
        <is>
          <t>NULL</t>
        </is>
      </c>
      <c r="D884" s="0" t="inlineStr">
        <is>
          <t>NULL</t>
        </is>
      </c>
      <c r="E884" s="0" t="inlineStr">
        <is>
          <t>NULL</t>
        </is>
      </c>
      <c r="F884" s="0" t="inlineStr">
        <is>
          <t>NULL</t>
        </is>
      </c>
      <c r="G884" s="0" t="inlineStr">
        <is>
          <t>NULL</t>
        </is>
      </c>
      <c r="H884" s="0" t="inlineStr">
        <is>
          <t>NULL</t>
        </is>
      </c>
      <c r="I884" s="0" t="inlineStr">
        <is>
          <t>NULL</t>
        </is>
      </c>
      <c r="J884" s="0" t="inlineStr">
        <is>
          <t>NULL</t>
        </is>
      </c>
      <c r="K884" s="0" t="inlineStr">
        <is>
          <t>YES! 	 c_dt2_5列源备映射正确，源端为datetime2 None位	期望更改为datetime(n)	实际备端为datetime None位</t>
        </is>
      </c>
    </row>
    <row r="885">
      <c r="B885" s="0" t="inlineStr">
        <is>
          <t>NULL</t>
        </is>
      </c>
      <c r="C885" s="0" t="inlineStr">
        <is>
          <t>NULL</t>
        </is>
      </c>
      <c r="D885" s="0" t="inlineStr">
        <is>
          <t>NULL</t>
        </is>
      </c>
      <c r="E885" s="0" t="inlineStr">
        <is>
          <t>NULL</t>
        </is>
      </c>
      <c r="F885" s="0" t="inlineStr">
        <is>
          <t>NULL</t>
        </is>
      </c>
      <c r="G885" s="0" t="inlineStr">
        <is>
          <t>NULL</t>
        </is>
      </c>
      <c r="H885" s="0" t="inlineStr">
        <is>
          <t>NULL</t>
        </is>
      </c>
      <c r="I885" s="0" t="inlineStr">
        <is>
          <t>NULL</t>
        </is>
      </c>
      <c r="J885" s="0" t="inlineStr">
        <is>
          <t>NULL</t>
        </is>
      </c>
      <c r="K885" s="0" t="inlineStr">
        <is>
          <t>YES! 	 c_dt2_6列源备映射正确，源端为datetime2 None位	期望更改为datetime(n)	实际备端为datetime None位</t>
        </is>
      </c>
    </row>
    <row r="886">
      <c r="B886" s="0" t="inlineStr">
        <is>
          <t>NULL</t>
        </is>
      </c>
      <c r="C886" s="0" t="inlineStr">
        <is>
          <t>NO!源None备NUL</t>
        </is>
      </c>
      <c r="D886" s="0" t="inlineStr">
        <is>
          <t>NULL</t>
        </is>
      </c>
      <c r="E886" s="0" t="inlineStr">
        <is>
          <t>NULL</t>
        </is>
      </c>
      <c r="F886" s="0" t="inlineStr">
        <is>
          <t>NULL</t>
        </is>
      </c>
      <c r="G886" s="0" t="inlineStr">
        <is>
          <t>NULL</t>
        </is>
      </c>
      <c r="H886" s="0" t="inlineStr">
        <is>
          <t>NULL</t>
        </is>
      </c>
      <c r="I886" s="0" t="inlineStr">
        <is>
          <t>NULL</t>
        </is>
      </c>
      <c r="J886" s="0" t="inlineStr">
        <is>
          <t>NULL</t>
        </is>
      </c>
      <c r="K886" s="0" t="inlineStr">
        <is>
          <t xml:space="preserve"> NO!  	 c_dt2列源备映射错误，源端为datetime2 None位	期望更改为datetime(n)	实际备端为varchar 136位</t>
        </is>
      </c>
    </row>
    <row r="887">
      <c r="A887" s="0" t="inlineStr">
        <is>
          <t>info_datetime2_dml_single_nopk_drp</t>
        </is>
      </c>
      <c r="K887" s="0" t="inlineStr">
        <is>
          <t>[0;34m info_datetime2_dml_single_nopk_drp [0m源备字段数相同，源端字段：9 	备端字段9</t>
        </is>
      </c>
      <c r="W887" s="0" t="inlineStr">
        <is>
          <t>YES 源备无差异</t>
        </is>
      </c>
      <c r="X887" s="0">
        <f>A887</f>
        <v/>
      </c>
    </row>
    <row r="888">
      <c r="B888" s="0" t="inlineStr">
        <is>
          <t>NULL</t>
        </is>
      </c>
      <c r="C888" s="0" t="inlineStr">
        <is>
          <t>NULL</t>
        </is>
      </c>
      <c r="D888" s="0" t="inlineStr">
        <is>
          <t>NULL</t>
        </is>
      </c>
      <c r="E888" s="0" t="inlineStr">
        <is>
          <t>NULL</t>
        </is>
      </c>
      <c r="F888" s="0" t="inlineStr">
        <is>
          <t>NULL</t>
        </is>
      </c>
      <c r="G888" s="0" t="inlineStr">
        <is>
          <t>NULL</t>
        </is>
      </c>
      <c r="H888" s="0" t="inlineStr">
        <is>
          <t>NULL</t>
        </is>
      </c>
      <c r="I888" s="0" t="inlineStr">
        <is>
          <t>NULL</t>
        </is>
      </c>
      <c r="J888" s="0" t="inlineStr">
        <is>
          <t>NULL</t>
        </is>
      </c>
      <c r="K888" s="0" t="inlineStr">
        <is>
          <t>YES! 	 id列源备映射正确，源端为int None位	期望更改为int	实际备端为int None位</t>
        </is>
      </c>
    </row>
    <row r="889">
      <c r="B889" s="0" t="inlineStr">
        <is>
          <t>NULL</t>
        </is>
      </c>
      <c r="C889" s="0" t="inlineStr">
        <is>
          <t>NULL</t>
        </is>
      </c>
      <c r="D889" s="0" t="inlineStr">
        <is>
          <t>NULL</t>
        </is>
      </c>
      <c r="E889" s="0" t="inlineStr">
        <is>
          <t>NULL</t>
        </is>
      </c>
      <c r="F889" s="0" t="inlineStr">
        <is>
          <t>NULL</t>
        </is>
      </c>
      <c r="G889" s="0" t="inlineStr">
        <is>
          <t>NULL</t>
        </is>
      </c>
      <c r="H889" s="0" t="inlineStr">
        <is>
          <t>NULL</t>
        </is>
      </c>
      <c r="I889" s="0" t="inlineStr">
        <is>
          <t>NULL</t>
        </is>
      </c>
      <c r="J889" s="0" t="inlineStr">
        <is>
          <t>NULL</t>
        </is>
      </c>
      <c r="K889" s="0" t="inlineStr">
        <is>
          <t>no,len不存在</t>
        </is>
      </c>
    </row>
    <row r="890">
      <c r="B890" s="0" t="inlineStr">
        <is>
          <t>NULL</t>
        </is>
      </c>
      <c r="C890" s="0" t="inlineStr">
        <is>
          <t>NULL</t>
        </is>
      </c>
      <c r="D890" s="0" t="inlineStr">
        <is>
          <t>NULL</t>
        </is>
      </c>
      <c r="E890" s="0" t="inlineStr">
        <is>
          <t>NULL</t>
        </is>
      </c>
      <c r="F890" s="0" t="inlineStr">
        <is>
          <t>NULL</t>
        </is>
      </c>
      <c r="G890" s="0" t="inlineStr">
        <is>
          <t>NULL</t>
        </is>
      </c>
      <c r="H890" s="0" t="inlineStr">
        <is>
          <t>NULL</t>
        </is>
      </c>
      <c r="I890" s="0" t="inlineStr">
        <is>
          <t>NULL</t>
        </is>
      </c>
      <c r="J890" s="0" t="inlineStr">
        <is>
          <t>NULL</t>
        </is>
      </c>
      <c r="K890" s="0" t="inlineStr">
        <is>
          <t>YES! 	 c_dt2_1列源备映射正确，源端为datetime2 None位	期望更改为datetime(n)	实际备端为datetime None位</t>
        </is>
      </c>
    </row>
    <row r="891">
      <c r="B891" s="0" t="inlineStr">
        <is>
          <t>NULL</t>
        </is>
      </c>
      <c r="C891" s="0" t="inlineStr">
        <is>
          <t>NULL</t>
        </is>
      </c>
      <c r="D891" s="0" t="inlineStr">
        <is>
          <t>NULL</t>
        </is>
      </c>
      <c r="E891" s="0" t="inlineStr">
        <is>
          <t>NULL</t>
        </is>
      </c>
      <c r="F891" s="0" t="inlineStr">
        <is>
          <t>NULL</t>
        </is>
      </c>
      <c r="G891" s="0" t="inlineStr">
        <is>
          <t>NULL</t>
        </is>
      </c>
      <c r="H891" s="0" t="inlineStr">
        <is>
          <t>NULL</t>
        </is>
      </c>
      <c r="I891" s="0" t="inlineStr">
        <is>
          <t>NULL</t>
        </is>
      </c>
      <c r="J891" s="0" t="inlineStr">
        <is>
          <t>NULL</t>
        </is>
      </c>
      <c r="K891" s="0" t="inlineStr">
        <is>
          <t>YES! 	 c_dt2_2列源备映射正确，源端为datetime2 None位	期望更改为datetime(n)	实际备端为datetime None位</t>
        </is>
      </c>
    </row>
    <row r="892">
      <c r="B892" s="0" t="inlineStr">
        <is>
          <t>NULL</t>
        </is>
      </c>
      <c r="C892" s="0" t="inlineStr">
        <is>
          <t>NULL</t>
        </is>
      </c>
      <c r="D892" s="0" t="inlineStr">
        <is>
          <t>NULL</t>
        </is>
      </c>
      <c r="E892" s="0" t="inlineStr">
        <is>
          <t>NULL</t>
        </is>
      </c>
      <c r="F892" s="0" t="inlineStr">
        <is>
          <t>NULL</t>
        </is>
      </c>
      <c r="G892" s="0" t="inlineStr">
        <is>
          <t>NULL</t>
        </is>
      </c>
      <c r="H892" s="0" t="inlineStr">
        <is>
          <t>NULL</t>
        </is>
      </c>
      <c r="I892" s="0" t="inlineStr">
        <is>
          <t>NULL</t>
        </is>
      </c>
      <c r="J892" s="0" t="inlineStr">
        <is>
          <t>NULL</t>
        </is>
      </c>
      <c r="K892" s="0" t="inlineStr">
        <is>
          <t>YES! 	 c_dt2_3列源备映射正确，源端为datetime2 None位	期望更改为datetime(n)	实际备端为datetime None位</t>
        </is>
      </c>
    </row>
    <row r="893">
      <c r="B893" s="0" t="inlineStr">
        <is>
          <t>NULL</t>
        </is>
      </c>
      <c r="C893" s="0" t="inlineStr">
        <is>
          <t>NULL</t>
        </is>
      </c>
      <c r="D893" s="0" t="inlineStr">
        <is>
          <t>NULL</t>
        </is>
      </c>
      <c r="E893" s="0" t="inlineStr">
        <is>
          <t>NULL</t>
        </is>
      </c>
      <c r="F893" s="0" t="inlineStr">
        <is>
          <t>NULL</t>
        </is>
      </c>
      <c r="G893" s="0" t="inlineStr">
        <is>
          <t>NULL</t>
        </is>
      </c>
      <c r="H893" s="0" t="inlineStr">
        <is>
          <t>NULL</t>
        </is>
      </c>
      <c r="I893" s="0" t="inlineStr">
        <is>
          <t>NULL</t>
        </is>
      </c>
      <c r="J893" s="0" t="inlineStr">
        <is>
          <t>NULL</t>
        </is>
      </c>
      <c r="K893" s="0" t="inlineStr">
        <is>
          <t>YES! 	 c_dt2_4列源备映射正确，源端为datetime2 None位	期望更改为datetime(n)	实际备端为datetime None位</t>
        </is>
      </c>
    </row>
    <row r="894">
      <c r="B894" s="0" t="inlineStr">
        <is>
          <t>NULL</t>
        </is>
      </c>
      <c r="C894" s="0" t="inlineStr">
        <is>
          <t>NULL</t>
        </is>
      </c>
      <c r="D894" s="0" t="inlineStr">
        <is>
          <t>NULL</t>
        </is>
      </c>
      <c r="E894" s="0" t="inlineStr">
        <is>
          <t>NULL</t>
        </is>
      </c>
      <c r="F894" s="0" t="inlineStr">
        <is>
          <t>NULL</t>
        </is>
      </c>
      <c r="G894" s="0" t="inlineStr">
        <is>
          <t>NULL</t>
        </is>
      </c>
      <c r="H894" s="0" t="inlineStr">
        <is>
          <t>NULL</t>
        </is>
      </c>
      <c r="I894" s="0" t="inlineStr">
        <is>
          <t>NULL</t>
        </is>
      </c>
      <c r="J894" s="0" t="inlineStr">
        <is>
          <t>NULL</t>
        </is>
      </c>
      <c r="K894" s="0" t="inlineStr">
        <is>
          <t>YES! 	 c_dt2_5列源备映射正确，源端为datetime2 None位	期望更改为datetime(n)	实际备端为datetime None位</t>
        </is>
      </c>
    </row>
    <row r="895">
      <c r="B895" s="0" t="inlineStr">
        <is>
          <t>NULL</t>
        </is>
      </c>
      <c r="C895" s="0" t="inlineStr">
        <is>
          <t>NULL</t>
        </is>
      </c>
      <c r="D895" s="0" t="inlineStr">
        <is>
          <t>NULL</t>
        </is>
      </c>
      <c r="E895" s="0" t="inlineStr">
        <is>
          <t>NULL</t>
        </is>
      </c>
      <c r="F895" s="0" t="inlineStr">
        <is>
          <t>NULL</t>
        </is>
      </c>
      <c r="G895" s="0" t="inlineStr">
        <is>
          <t>NULL</t>
        </is>
      </c>
      <c r="H895" s="0" t="inlineStr">
        <is>
          <t>NULL</t>
        </is>
      </c>
      <c r="I895" s="0" t="inlineStr">
        <is>
          <t>NULL</t>
        </is>
      </c>
      <c r="J895" s="0" t="inlineStr">
        <is>
          <t>NULL</t>
        </is>
      </c>
      <c r="K895" s="0" t="inlineStr">
        <is>
          <t>YES! 	 c_dt2_6列源备映射正确，源端为datetime2 None位	期望更改为datetime(n)	实际备端为datetime None位</t>
        </is>
      </c>
    </row>
    <row r="896">
      <c r="B896" s="0" t="inlineStr">
        <is>
          <t>NULL</t>
        </is>
      </c>
      <c r="C896" s="0" t="inlineStr">
        <is>
          <t>NO!源None备NUL</t>
        </is>
      </c>
      <c r="D896" s="0" t="inlineStr">
        <is>
          <t>NULL</t>
        </is>
      </c>
      <c r="E896" s="0" t="inlineStr">
        <is>
          <t>NULL</t>
        </is>
      </c>
      <c r="F896" s="0" t="inlineStr">
        <is>
          <t>NULL</t>
        </is>
      </c>
      <c r="G896" s="0" t="inlineStr">
        <is>
          <t>NULL</t>
        </is>
      </c>
      <c r="H896" s="0" t="inlineStr">
        <is>
          <t>NULL</t>
        </is>
      </c>
      <c r="I896" s="0" t="inlineStr">
        <is>
          <t>NULL</t>
        </is>
      </c>
      <c r="J896" s="0" t="inlineStr">
        <is>
          <t>NULL</t>
        </is>
      </c>
      <c r="K896" s="0" t="inlineStr">
        <is>
          <t xml:space="preserve"> NO!  	 c_dt2列源备映射错误，源端为datetime2 None位	期望更改为datetime(n)	实际备端为varchar 136位</t>
        </is>
      </c>
    </row>
    <row r="897">
      <c r="A897" s="0" t="inlineStr">
        <is>
          <t>info_datetime2_dml_single_nopk</t>
        </is>
      </c>
      <c r="K897" s="0" t="inlineStr">
        <is>
          <t>[0;34m info_datetime2_dml_single_nopk [0m源备字段数相同，源端字段：9 	备端字段9</t>
        </is>
      </c>
      <c r="W897" s="0" t="inlineStr">
        <is>
          <t>YES 源备无差异</t>
        </is>
      </c>
      <c r="X897" s="0">
        <f>A897</f>
        <v/>
      </c>
    </row>
    <row r="898">
      <c r="B898" s="0" t="inlineStr">
        <is>
          <t>NULL</t>
        </is>
      </c>
      <c r="C898" s="0" t="inlineStr">
        <is>
          <t>NULL</t>
        </is>
      </c>
      <c r="D898" s="0" t="inlineStr">
        <is>
          <t>NULL</t>
        </is>
      </c>
      <c r="E898" s="0" t="inlineStr">
        <is>
          <t>NULL</t>
        </is>
      </c>
      <c r="F898" s="0" t="inlineStr">
        <is>
          <t>NULL</t>
        </is>
      </c>
      <c r="G898" s="0" t="inlineStr">
        <is>
          <t>NULL</t>
        </is>
      </c>
      <c r="H898" s="0" t="inlineStr">
        <is>
          <t>NULL</t>
        </is>
      </c>
      <c r="I898" s="0" t="inlineStr">
        <is>
          <t>NULL</t>
        </is>
      </c>
      <c r="J898" s="0" t="inlineStr">
        <is>
          <t>NULL</t>
        </is>
      </c>
      <c r="K898" s="0" t="inlineStr">
        <is>
          <t>YES! 	 id列源备映射正确，源端为int None位	期望更改为int	实际备端为int None位</t>
        </is>
      </c>
    </row>
    <row r="899">
      <c r="B899" s="0" t="inlineStr">
        <is>
          <t>NULL</t>
        </is>
      </c>
      <c r="C899" s="0" t="inlineStr">
        <is>
          <t>NULL</t>
        </is>
      </c>
      <c r="D899" s="0" t="inlineStr">
        <is>
          <t>NULL</t>
        </is>
      </c>
      <c r="E899" s="0" t="inlineStr">
        <is>
          <t>NULL</t>
        </is>
      </c>
      <c r="F899" s="0" t="inlineStr">
        <is>
          <t>NULL</t>
        </is>
      </c>
      <c r="G899" s="0" t="inlineStr">
        <is>
          <t>NULL</t>
        </is>
      </c>
      <c r="H899" s="0" t="inlineStr">
        <is>
          <t>NULL</t>
        </is>
      </c>
      <c r="I899" s="0" t="inlineStr">
        <is>
          <t>NULL</t>
        </is>
      </c>
      <c r="J899" s="0" t="inlineStr">
        <is>
          <t>NULL</t>
        </is>
      </c>
      <c r="K899" s="0" t="inlineStr">
        <is>
          <t>no,len不存在</t>
        </is>
      </c>
    </row>
    <row r="900">
      <c r="B900" s="0" t="inlineStr">
        <is>
          <t>NULL</t>
        </is>
      </c>
      <c r="C900" s="0" t="inlineStr">
        <is>
          <t>NULL</t>
        </is>
      </c>
      <c r="D900" s="0" t="inlineStr">
        <is>
          <t>NULL</t>
        </is>
      </c>
      <c r="E900" s="0" t="inlineStr">
        <is>
          <t>NULL</t>
        </is>
      </c>
      <c r="F900" s="0" t="inlineStr">
        <is>
          <t>NULL</t>
        </is>
      </c>
      <c r="G900" s="0" t="inlineStr">
        <is>
          <t>NULL</t>
        </is>
      </c>
      <c r="H900" s="0" t="inlineStr">
        <is>
          <t>NULL</t>
        </is>
      </c>
      <c r="I900" s="0" t="inlineStr">
        <is>
          <t>NULL</t>
        </is>
      </c>
      <c r="J900" s="0" t="inlineStr">
        <is>
          <t>NULL</t>
        </is>
      </c>
      <c r="K900" s="0" t="inlineStr">
        <is>
          <t>YES! 	 c_dt2_1列源备映射正确，源端为datetime2 None位	期望更改为datetime(n)	实际备端为datetime None位</t>
        </is>
      </c>
    </row>
    <row r="901">
      <c r="B901" s="0" t="inlineStr">
        <is>
          <t>NULL</t>
        </is>
      </c>
      <c r="C901" s="0" t="inlineStr">
        <is>
          <t>NULL</t>
        </is>
      </c>
      <c r="D901" s="0" t="inlineStr">
        <is>
          <t>NULL</t>
        </is>
      </c>
      <c r="E901" s="0" t="inlineStr">
        <is>
          <t>NULL</t>
        </is>
      </c>
      <c r="F901" s="0" t="inlineStr">
        <is>
          <t>NULL</t>
        </is>
      </c>
      <c r="G901" s="0" t="inlineStr">
        <is>
          <t>NULL</t>
        </is>
      </c>
      <c r="H901" s="0" t="inlineStr">
        <is>
          <t>NULL</t>
        </is>
      </c>
      <c r="I901" s="0" t="inlineStr">
        <is>
          <t>NULL</t>
        </is>
      </c>
      <c r="J901" s="0" t="inlineStr">
        <is>
          <t>NULL</t>
        </is>
      </c>
      <c r="K901" s="0" t="inlineStr">
        <is>
          <t>YES! 	 c_dt2_2列源备映射正确，源端为datetime2 None位	期望更改为datetime(n)	实际备端为datetime None位</t>
        </is>
      </c>
    </row>
    <row r="902">
      <c r="B902" s="0" t="inlineStr">
        <is>
          <t>NULL</t>
        </is>
      </c>
      <c r="C902" s="0" t="inlineStr">
        <is>
          <t>NULL</t>
        </is>
      </c>
      <c r="D902" s="0" t="inlineStr">
        <is>
          <t>NULL</t>
        </is>
      </c>
      <c r="E902" s="0" t="inlineStr">
        <is>
          <t>NULL</t>
        </is>
      </c>
      <c r="F902" s="0" t="inlineStr">
        <is>
          <t>NULL</t>
        </is>
      </c>
      <c r="G902" s="0" t="inlineStr">
        <is>
          <t>NULL</t>
        </is>
      </c>
      <c r="H902" s="0" t="inlineStr">
        <is>
          <t>NULL</t>
        </is>
      </c>
      <c r="I902" s="0" t="inlineStr">
        <is>
          <t>NULL</t>
        </is>
      </c>
      <c r="J902" s="0" t="inlineStr">
        <is>
          <t>NULL</t>
        </is>
      </c>
      <c r="K902" s="0" t="inlineStr">
        <is>
          <t>YES! 	 c_dt2_3列源备映射正确，源端为datetime2 None位	期望更改为datetime(n)	实际备端为datetime None位</t>
        </is>
      </c>
    </row>
    <row r="903">
      <c r="B903" s="0" t="inlineStr">
        <is>
          <t>NULL</t>
        </is>
      </c>
      <c r="C903" s="0" t="inlineStr">
        <is>
          <t>NULL</t>
        </is>
      </c>
      <c r="D903" s="0" t="inlineStr">
        <is>
          <t>NULL</t>
        </is>
      </c>
      <c r="E903" s="0" t="inlineStr">
        <is>
          <t>NULL</t>
        </is>
      </c>
      <c r="F903" s="0" t="inlineStr">
        <is>
          <t>NULL</t>
        </is>
      </c>
      <c r="G903" s="0" t="inlineStr">
        <is>
          <t>NULL</t>
        </is>
      </c>
      <c r="H903" s="0" t="inlineStr">
        <is>
          <t>NULL</t>
        </is>
      </c>
      <c r="I903" s="0" t="inlineStr">
        <is>
          <t>NULL</t>
        </is>
      </c>
      <c r="J903" s="0" t="inlineStr">
        <is>
          <t>NULL</t>
        </is>
      </c>
      <c r="K903" s="0" t="inlineStr">
        <is>
          <t>YES! 	 c_dt2_4列源备映射正确，源端为datetime2 None位	期望更改为datetime(n)	实际备端为datetime None位</t>
        </is>
      </c>
    </row>
    <row r="904">
      <c r="B904" s="0" t="inlineStr">
        <is>
          <t>NULL</t>
        </is>
      </c>
      <c r="C904" s="0" t="inlineStr">
        <is>
          <t>NULL</t>
        </is>
      </c>
      <c r="D904" s="0" t="inlineStr">
        <is>
          <t>NULL</t>
        </is>
      </c>
      <c r="E904" s="0" t="inlineStr">
        <is>
          <t>NULL</t>
        </is>
      </c>
      <c r="F904" s="0" t="inlineStr">
        <is>
          <t>NULL</t>
        </is>
      </c>
      <c r="G904" s="0" t="inlineStr">
        <is>
          <t>NULL</t>
        </is>
      </c>
      <c r="H904" s="0" t="inlineStr">
        <is>
          <t>NULL</t>
        </is>
      </c>
      <c r="I904" s="0" t="inlineStr">
        <is>
          <t>NULL</t>
        </is>
      </c>
      <c r="J904" s="0" t="inlineStr">
        <is>
          <t>NULL</t>
        </is>
      </c>
      <c r="K904" s="0" t="inlineStr">
        <is>
          <t>YES! 	 c_dt2_5列源备映射正确，源端为datetime2 None位	期望更改为datetime(n)	实际备端为datetime None位</t>
        </is>
      </c>
    </row>
    <row r="905">
      <c r="B905" s="0" t="inlineStr">
        <is>
          <t>NULL</t>
        </is>
      </c>
      <c r="C905" s="0" t="inlineStr">
        <is>
          <t>NULL</t>
        </is>
      </c>
      <c r="D905" s="0" t="inlineStr">
        <is>
          <t>NULL</t>
        </is>
      </c>
      <c r="E905" s="0" t="inlineStr">
        <is>
          <t>NULL</t>
        </is>
      </c>
      <c r="F905" s="0" t="inlineStr">
        <is>
          <t>NULL</t>
        </is>
      </c>
      <c r="G905" s="0" t="inlineStr">
        <is>
          <t>NULL</t>
        </is>
      </c>
      <c r="H905" s="0" t="inlineStr">
        <is>
          <t>NULL</t>
        </is>
      </c>
      <c r="I905" s="0" t="inlineStr">
        <is>
          <t>NULL</t>
        </is>
      </c>
      <c r="J905" s="0" t="inlineStr">
        <is>
          <t>NULL</t>
        </is>
      </c>
      <c r="K905" s="0" t="inlineStr">
        <is>
          <t>YES! 	 c_dt2_6列源备映射正确，源端为datetime2 None位	期望更改为datetime(n)	实际备端为datetime None位</t>
        </is>
      </c>
    </row>
    <row r="906">
      <c r="B906" s="0" t="inlineStr">
        <is>
          <t>NULL</t>
        </is>
      </c>
      <c r="C906" s="0" t="inlineStr">
        <is>
          <t>NO!源None备NUL</t>
        </is>
      </c>
      <c r="D906" s="0" t="inlineStr">
        <is>
          <t>NULL</t>
        </is>
      </c>
      <c r="E906" s="0" t="inlineStr">
        <is>
          <t>NULL</t>
        </is>
      </c>
      <c r="F906" s="0" t="inlineStr">
        <is>
          <t>NULL</t>
        </is>
      </c>
      <c r="G906" s="0" t="inlineStr">
        <is>
          <t>NULL</t>
        </is>
      </c>
      <c r="H906" s="0" t="inlineStr">
        <is>
          <t>NULL</t>
        </is>
      </c>
      <c r="I906" s="0" t="inlineStr">
        <is>
          <t>NULL</t>
        </is>
      </c>
      <c r="J906" s="0" t="inlineStr">
        <is>
          <t>NULL</t>
        </is>
      </c>
      <c r="K906" s="0" t="inlineStr">
        <is>
          <t xml:space="preserve"> NO!  	 c_dt2列源备映射错误，源端为datetime2 None位	期望更改为datetime(n)	实际备端为varchar 136位</t>
        </is>
      </c>
    </row>
    <row r="907">
      <c r="A907" s="0" t="inlineStr">
        <is>
          <t>info_datetimeoffset_dml_single_nopk_irp</t>
        </is>
      </c>
      <c r="K907" s="0" t="inlineStr">
        <is>
          <t>[0;34m info_datetimeoffset_dml_single_nopk_irp [0m源备字段数相同，源端字段：9 	备端字段9</t>
        </is>
      </c>
      <c r="W907" s="0" t="inlineStr">
        <is>
          <t>YES 源备无差异</t>
        </is>
      </c>
      <c r="X907" s="0">
        <f>A907</f>
        <v/>
      </c>
    </row>
    <row r="908">
      <c r="B908" s="0" t="inlineStr">
        <is>
          <t>NULL</t>
        </is>
      </c>
      <c r="C908" s="0" t="inlineStr">
        <is>
          <t>NULL</t>
        </is>
      </c>
      <c r="D908" s="0" t="inlineStr">
        <is>
          <t>NULL</t>
        </is>
      </c>
      <c r="E908" s="0" t="inlineStr">
        <is>
          <t>NULL</t>
        </is>
      </c>
      <c r="F908" s="0" t="inlineStr">
        <is>
          <t>NULL</t>
        </is>
      </c>
      <c r="G908" s="0" t="inlineStr">
        <is>
          <t>NULL</t>
        </is>
      </c>
      <c r="H908" s="0" t="inlineStr">
        <is>
          <t>NULL</t>
        </is>
      </c>
      <c r="I908" s="0" t="inlineStr">
        <is>
          <t>NULL</t>
        </is>
      </c>
      <c r="J908" s="0" t="inlineStr">
        <is>
          <t>NULL</t>
        </is>
      </c>
      <c r="K908" s="0" t="inlineStr">
        <is>
          <t>YES! 	 id列源备映射正确，源端为int None位	期望更改为int	实际备端为int None位</t>
        </is>
      </c>
    </row>
    <row r="909">
      <c r="B909" s="0" t="inlineStr">
        <is>
          <t>NULL</t>
        </is>
      </c>
      <c r="C909" s="0" t="inlineStr">
        <is>
          <t>NULL</t>
        </is>
      </c>
      <c r="D909" s="0" t="inlineStr">
        <is>
          <t>NULL</t>
        </is>
      </c>
      <c r="E909" s="0" t="inlineStr">
        <is>
          <t>NULL</t>
        </is>
      </c>
      <c r="F909" s="0" t="inlineStr">
        <is>
          <t>NULL</t>
        </is>
      </c>
      <c r="G909" s="0" t="inlineStr">
        <is>
          <t>NULL</t>
        </is>
      </c>
      <c r="H909" s="0" t="inlineStr">
        <is>
          <t>NULL</t>
        </is>
      </c>
      <c r="I909" s="0" t="inlineStr">
        <is>
          <t>NULL</t>
        </is>
      </c>
      <c r="J909" s="0" t="inlineStr">
        <is>
          <t>NULL</t>
        </is>
      </c>
      <c r="K909" s="0" t="inlineStr">
        <is>
          <t>[0;32m YES! [0m 	 c_dtoffset_0列源备映射正确，源端为datetimeoffset None位	期望更改为varchar(34)	实际备端为varchar 136位	位数精度不存在，通过长度比较</t>
        </is>
      </c>
    </row>
    <row r="910">
      <c r="B910" s="0" t="inlineStr">
        <is>
          <t>NULL</t>
        </is>
      </c>
      <c r="C910" s="0" t="inlineStr">
        <is>
          <t>NULL</t>
        </is>
      </c>
      <c r="D910" s="0" t="inlineStr">
        <is>
          <t>NULL</t>
        </is>
      </c>
      <c r="E910" s="0" t="inlineStr">
        <is>
          <t>NULL</t>
        </is>
      </c>
      <c r="F910" s="0" t="inlineStr">
        <is>
          <t>NULL</t>
        </is>
      </c>
      <c r="G910" s="0" t="inlineStr">
        <is>
          <t>NULL</t>
        </is>
      </c>
      <c r="H910" s="0" t="inlineStr">
        <is>
          <t>NULL</t>
        </is>
      </c>
      <c r="I910" s="0" t="inlineStr">
        <is>
          <t>NULL</t>
        </is>
      </c>
      <c r="J910" s="0" t="inlineStr">
        <is>
          <t>NULL</t>
        </is>
      </c>
      <c r="K910" s="0" t="inlineStr">
        <is>
          <t>[0;32m YES! [0m 	 c_dtoffset_1列源备映射正确，源端为datetimeoffset None位	期望更改为varchar(34)	实际备端为varchar 136位	位数精度不存在，通过长度比较</t>
        </is>
      </c>
    </row>
    <row r="911">
      <c r="B911" s="0" t="inlineStr">
        <is>
          <t>NULL</t>
        </is>
      </c>
      <c r="C911" s="0" t="inlineStr">
        <is>
          <t>NULL</t>
        </is>
      </c>
      <c r="D911" s="0" t="inlineStr">
        <is>
          <t>NULL</t>
        </is>
      </c>
      <c r="E911" s="0" t="inlineStr">
        <is>
          <t>NULL</t>
        </is>
      </c>
      <c r="F911" s="0" t="inlineStr">
        <is>
          <t>NULL</t>
        </is>
      </c>
      <c r="G911" s="0" t="inlineStr">
        <is>
          <t>NULL</t>
        </is>
      </c>
      <c r="H911" s="0" t="inlineStr">
        <is>
          <t>NULL</t>
        </is>
      </c>
      <c r="I911" s="0" t="inlineStr">
        <is>
          <t>NULL</t>
        </is>
      </c>
      <c r="J911" s="0" t="inlineStr">
        <is>
          <t>NULL</t>
        </is>
      </c>
      <c r="K911" s="0" t="inlineStr">
        <is>
          <t>[0;32m YES! [0m 	 c_dtoffset_2列源备映射正确，源端为datetimeoffset None位	期望更改为varchar(34)	实际备端为varchar 136位	位数精度不存在，通过长度比较</t>
        </is>
      </c>
    </row>
    <row r="912">
      <c r="B912" s="0" t="inlineStr">
        <is>
          <t>NULL</t>
        </is>
      </c>
      <c r="C912" s="0" t="inlineStr">
        <is>
          <t>NULL</t>
        </is>
      </c>
      <c r="D912" s="0" t="inlineStr">
        <is>
          <t>NULL</t>
        </is>
      </c>
      <c r="E912" s="0" t="inlineStr">
        <is>
          <t>NULL</t>
        </is>
      </c>
      <c r="F912" s="0" t="inlineStr">
        <is>
          <t>NULL</t>
        </is>
      </c>
      <c r="G912" s="0" t="inlineStr">
        <is>
          <t>NULL</t>
        </is>
      </c>
      <c r="H912" s="0" t="inlineStr">
        <is>
          <t>NULL</t>
        </is>
      </c>
      <c r="I912" s="0" t="inlineStr">
        <is>
          <t>NULL</t>
        </is>
      </c>
      <c r="J912" s="0" t="inlineStr">
        <is>
          <t>NULL</t>
        </is>
      </c>
      <c r="K912" s="0" t="inlineStr">
        <is>
          <t>[0;32m YES! [0m 	 c_dtoffset_3列源备映射正确，源端为datetimeoffset None位	期望更改为varchar(34)	实际备端为varchar 136位	位数精度不存在，通过长度比较</t>
        </is>
      </c>
    </row>
    <row r="913">
      <c r="B913" s="0" t="inlineStr">
        <is>
          <t>NULL</t>
        </is>
      </c>
      <c r="C913" s="0" t="inlineStr">
        <is>
          <t>NULL</t>
        </is>
      </c>
      <c r="D913" s="0" t="inlineStr">
        <is>
          <t>NULL</t>
        </is>
      </c>
      <c r="E913" s="0" t="inlineStr">
        <is>
          <t>NULL</t>
        </is>
      </c>
      <c r="F913" s="0" t="inlineStr">
        <is>
          <t>NULL</t>
        </is>
      </c>
      <c r="G913" s="0" t="inlineStr">
        <is>
          <t>NULL</t>
        </is>
      </c>
      <c r="H913" s="0" t="inlineStr">
        <is>
          <t>NULL</t>
        </is>
      </c>
      <c r="I913" s="0" t="inlineStr">
        <is>
          <t>NULL</t>
        </is>
      </c>
      <c r="J913" s="0" t="inlineStr">
        <is>
          <t>NULL</t>
        </is>
      </c>
      <c r="K913" s="0" t="inlineStr">
        <is>
          <t>[0;32m YES! [0m 	 c_dtoffset_4列源备映射正确，源端为datetimeoffset None位	期望更改为varchar(34)	实际备端为varchar 136位	位数精度不存在，通过长度比较</t>
        </is>
      </c>
    </row>
    <row r="914">
      <c r="B914" s="0" t="inlineStr">
        <is>
          <t>NULL</t>
        </is>
      </c>
      <c r="C914" s="0" t="inlineStr">
        <is>
          <t>NULL</t>
        </is>
      </c>
      <c r="D914" s="0" t="inlineStr">
        <is>
          <t>NULL</t>
        </is>
      </c>
      <c r="E914" s="0" t="inlineStr">
        <is>
          <t>NULL</t>
        </is>
      </c>
      <c r="F914" s="0" t="inlineStr">
        <is>
          <t>NULL</t>
        </is>
      </c>
      <c r="G914" s="0" t="inlineStr">
        <is>
          <t>NULL</t>
        </is>
      </c>
      <c r="H914" s="0" t="inlineStr">
        <is>
          <t>NULL</t>
        </is>
      </c>
      <c r="I914" s="0" t="inlineStr">
        <is>
          <t>NULL</t>
        </is>
      </c>
      <c r="J914" s="0" t="inlineStr">
        <is>
          <t>NULL</t>
        </is>
      </c>
      <c r="K914" s="0" t="inlineStr">
        <is>
          <t>[0;32m YES! [0m 	 c_dtoffset_5列源备映射正确，源端为datetimeoffset None位	期望更改为varchar(34)	实际备端为varchar 136位	位数精度不存在，通过长度比较</t>
        </is>
      </c>
    </row>
    <row r="915">
      <c r="B915" s="0" t="inlineStr">
        <is>
          <t>NULL</t>
        </is>
      </c>
      <c r="C915" s="0" t="inlineStr">
        <is>
          <t>NULL</t>
        </is>
      </c>
      <c r="D915" s="0" t="inlineStr">
        <is>
          <t>NULL</t>
        </is>
      </c>
      <c r="E915" s="0" t="inlineStr">
        <is>
          <t>NULL</t>
        </is>
      </c>
      <c r="F915" s="0" t="inlineStr">
        <is>
          <t>NULL</t>
        </is>
      </c>
      <c r="G915" s="0" t="inlineStr">
        <is>
          <t>NULL</t>
        </is>
      </c>
      <c r="H915" s="0" t="inlineStr">
        <is>
          <t>NULL</t>
        </is>
      </c>
      <c r="I915" s="0" t="inlineStr">
        <is>
          <t>NULL</t>
        </is>
      </c>
      <c r="J915" s="0" t="inlineStr">
        <is>
          <t>NULL</t>
        </is>
      </c>
      <c r="K915" s="0" t="inlineStr">
        <is>
          <t>[0;32m YES! [0m 	 c_dtoffset_6列源备映射正确，源端为datetimeoffset None位	期望更改为varchar(34)	实际备端为varchar 136位	位数精度不存在，通过长度比较</t>
        </is>
      </c>
    </row>
    <row r="916">
      <c r="B916" s="0" t="inlineStr">
        <is>
          <t>NULL</t>
        </is>
      </c>
      <c r="C916" s="0" t="inlineStr">
        <is>
          <t>NO!源None备NUL</t>
        </is>
      </c>
      <c r="D916" s="0" t="inlineStr">
        <is>
          <t>NULL</t>
        </is>
      </c>
      <c r="E916" s="0" t="inlineStr">
        <is>
          <t>NULL</t>
        </is>
      </c>
      <c r="F916" s="0" t="inlineStr">
        <is>
          <t>NULL</t>
        </is>
      </c>
      <c r="G916" s="0" t="inlineStr">
        <is>
          <t>NULL</t>
        </is>
      </c>
      <c r="H916" s="0" t="inlineStr">
        <is>
          <t>NULL</t>
        </is>
      </c>
      <c r="I916" s="0" t="inlineStr">
        <is>
          <t>NULL</t>
        </is>
      </c>
      <c r="J916" s="0" t="inlineStr">
        <is>
          <t>NULL</t>
        </is>
      </c>
      <c r="K916" s="0" t="inlineStr">
        <is>
          <t>[0;32m YES! [0m 	 c_dtoffset列源备映射正确，源端为datetimeoffset None位	期望更改为varchar(34)	实际备端为varchar 136位	位数精度不存在，通过长度比较</t>
        </is>
      </c>
    </row>
    <row r="917">
      <c r="K917" s="0" t="inlineStr">
        <is>
          <t>[0;31m NO! [0m 	  行数不同,源13行,备端空表</t>
        </is>
      </c>
    </row>
    <row r="918">
      <c r="A918" s="0" t="inlineStr">
        <is>
          <t>info_datetimeoffset_dml_single_nopk_urp</t>
        </is>
      </c>
      <c r="K918" s="0" t="inlineStr">
        <is>
          <t>[0;34m info_datetimeoffset_dml_single_nopk_urp [0m源备字段数相同，源端字段：9 	备端字段9</t>
        </is>
      </c>
      <c r="W918" s="0" t="inlineStr">
        <is>
          <t>YES 源备无差异</t>
        </is>
      </c>
      <c r="X918" s="0">
        <f>A918</f>
        <v/>
      </c>
    </row>
    <row r="919">
      <c r="B919" s="0" t="inlineStr">
        <is>
          <t>NULL</t>
        </is>
      </c>
      <c r="C919" s="0" t="inlineStr">
        <is>
          <t>NULL</t>
        </is>
      </c>
      <c r="D919" s="0" t="inlineStr">
        <is>
          <t>NULL</t>
        </is>
      </c>
      <c r="E919" s="0" t="inlineStr">
        <is>
          <t>NULL</t>
        </is>
      </c>
      <c r="F919" s="0" t="inlineStr">
        <is>
          <t>NULL</t>
        </is>
      </c>
      <c r="G919" s="0" t="inlineStr">
        <is>
          <t>NULL</t>
        </is>
      </c>
      <c r="H919" s="0" t="inlineStr">
        <is>
          <t>NULL</t>
        </is>
      </c>
      <c r="I919" s="0" t="inlineStr">
        <is>
          <t>NULL</t>
        </is>
      </c>
      <c r="J919" s="0" t="inlineStr">
        <is>
          <t>NULL</t>
        </is>
      </c>
      <c r="K919" s="0" t="inlineStr">
        <is>
          <t>YES! 	 id列源备映射正确，源端为int None位	期望更改为int	实际备端为int None位</t>
        </is>
      </c>
    </row>
    <row r="920">
      <c r="B920" s="0" t="inlineStr">
        <is>
          <t>NULL</t>
        </is>
      </c>
      <c r="C920" s="0" t="inlineStr">
        <is>
          <t>NULL</t>
        </is>
      </c>
      <c r="D920" s="0" t="inlineStr">
        <is>
          <t>NULL</t>
        </is>
      </c>
      <c r="E920" s="0" t="inlineStr">
        <is>
          <t>NULL</t>
        </is>
      </c>
      <c r="F920" s="0" t="inlineStr">
        <is>
          <t>NULL</t>
        </is>
      </c>
      <c r="G920" s="0" t="inlineStr">
        <is>
          <t>NULL</t>
        </is>
      </c>
      <c r="H920" s="0" t="inlineStr">
        <is>
          <t>NULL</t>
        </is>
      </c>
      <c r="I920" s="0" t="inlineStr">
        <is>
          <t>NULL</t>
        </is>
      </c>
      <c r="J920" s="0" t="inlineStr">
        <is>
          <t>NULL</t>
        </is>
      </c>
      <c r="K920" s="0" t="inlineStr">
        <is>
          <t>[0;32m YES! [0m 	 c_dtoffset_0列源备映射正确，源端为datetimeoffset None位	期望更改为varchar(34)	实际备端为varchar 136位	位数精度不存在，通过长度比较</t>
        </is>
      </c>
    </row>
    <row r="921">
      <c r="B921" s="0" t="inlineStr">
        <is>
          <t>NULL</t>
        </is>
      </c>
      <c r="C921" s="0" t="inlineStr">
        <is>
          <t>NULL</t>
        </is>
      </c>
      <c r="D921" s="0" t="inlineStr">
        <is>
          <t>NULL</t>
        </is>
      </c>
      <c r="E921" s="0" t="inlineStr">
        <is>
          <t>NULL</t>
        </is>
      </c>
      <c r="F921" s="0" t="inlineStr">
        <is>
          <t>NULL</t>
        </is>
      </c>
      <c r="G921" s="0" t="inlineStr">
        <is>
          <t>NULL</t>
        </is>
      </c>
      <c r="H921" s="0" t="inlineStr">
        <is>
          <t>NULL</t>
        </is>
      </c>
      <c r="I921" s="0" t="inlineStr">
        <is>
          <t>NULL</t>
        </is>
      </c>
      <c r="J921" s="0" t="inlineStr">
        <is>
          <t>NULL</t>
        </is>
      </c>
      <c r="K921" s="0" t="inlineStr">
        <is>
          <t>[0;32m YES! [0m 	 c_dtoffset_1列源备映射正确，源端为datetimeoffset None位	期望更改为varchar(34)	实际备端为varchar 136位	位数精度不存在，通过长度比较</t>
        </is>
      </c>
    </row>
    <row r="922">
      <c r="B922" s="0" t="inlineStr">
        <is>
          <t>NULL</t>
        </is>
      </c>
      <c r="C922" s="0" t="inlineStr">
        <is>
          <t>NULL</t>
        </is>
      </c>
      <c r="D922" s="0" t="inlineStr">
        <is>
          <t>NULL</t>
        </is>
      </c>
      <c r="E922" s="0" t="inlineStr">
        <is>
          <t>NULL</t>
        </is>
      </c>
      <c r="F922" s="0" t="inlineStr">
        <is>
          <t>NULL</t>
        </is>
      </c>
      <c r="G922" s="0" t="inlineStr">
        <is>
          <t>NULL</t>
        </is>
      </c>
      <c r="H922" s="0" t="inlineStr">
        <is>
          <t>NULL</t>
        </is>
      </c>
      <c r="I922" s="0" t="inlineStr">
        <is>
          <t>NULL</t>
        </is>
      </c>
      <c r="J922" s="0" t="inlineStr">
        <is>
          <t>NULL</t>
        </is>
      </c>
      <c r="K922" s="0" t="inlineStr">
        <is>
          <t>[0;32m YES! [0m 	 c_dtoffset_2列源备映射正确，源端为datetimeoffset None位	期望更改为varchar(34)	实际备端为varchar 136位	位数精度不存在，通过长度比较</t>
        </is>
      </c>
    </row>
    <row r="923">
      <c r="B923" s="0" t="inlineStr">
        <is>
          <t>NULL</t>
        </is>
      </c>
      <c r="C923" s="0" t="inlineStr">
        <is>
          <t>NULL</t>
        </is>
      </c>
      <c r="D923" s="0" t="inlineStr">
        <is>
          <t>NULL</t>
        </is>
      </c>
      <c r="E923" s="0" t="inlineStr">
        <is>
          <t>NULL</t>
        </is>
      </c>
      <c r="F923" s="0" t="inlineStr">
        <is>
          <t>NULL</t>
        </is>
      </c>
      <c r="G923" s="0" t="inlineStr">
        <is>
          <t>NULL</t>
        </is>
      </c>
      <c r="H923" s="0" t="inlineStr">
        <is>
          <t>NULL</t>
        </is>
      </c>
      <c r="I923" s="0" t="inlineStr">
        <is>
          <t>NULL</t>
        </is>
      </c>
      <c r="J923" s="0" t="inlineStr">
        <is>
          <t>NULL</t>
        </is>
      </c>
      <c r="K923" s="0" t="inlineStr">
        <is>
          <t>[0;32m YES! [0m 	 c_dtoffset_3列源备映射正确，源端为datetimeoffset None位	期望更改为varchar(34)	实际备端为varchar 136位	位数精度不存在，通过长度比较</t>
        </is>
      </c>
    </row>
    <row r="924">
      <c r="B924" s="0" t="inlineStr">
        <is>
          <t>NULL</t>
        </is>
      </c>
      <c r="C924" s="0" t="inlineStr">
        <is>
          <t>NULL</t>
        </is>
      </c>
      <c r="D924" s="0" t="inlineStr">
        <is>
          <t>NULL</t>
        </is>
      </c>
      <c r="E924" s="0" t="inlineStr">
        <is>
          <t>NULL</t>
        </is>
      </c>
      <c r="F924" s="0" t="inlineStr">
        <is>
          <t>NULL</t>
        </is>
      </c>
      <c r="G924" s="0" t="inlineStr">
        <is>
          <t>NULL</t>
        </is>
      </c>
      <c r="H924" s="0" t="inlineStr">
        <is>
          <t>NULL</t>
        </is>
      </c>
      <c r="I924" s="0" t="inlineStr">
        <is>
          <t>NULL</t>
        </is>
      </c>
      <c r="J924" s="0" t="inlineStr">
        <is>
          <t>NULL</t>
        </is>
      </c>
      <c r="K924" s="0" t="inlineStr">
        <is>
          <t>[0;32m YES! [0m 	 c_dtoffset_4列源备映射正确，源端为datetimeoffset None位	期望更改为varchar(34)	实际备端为varchar 136位	位数精度不存在，通过长度比较</t>
        </is>
      </c>
    </row>
    <row r="925">
      <c r="B925" s="0" t="inlineStr">
        <is>
          <t>NULL</t>
        </is>
      </c>
      <c r="C925" s="0" t="inlineStr">
        <is>
          <t>NULL</t>
        </is>
      </c>
      <c r="D925" s="0" t="inlineStr">
        <is>
          <t>NULL</t>
        </is>
      </c>
      <c r="E925" s="0" t="inlineStr">
        <is>
          <t>NULL</t>
        </is>
      </c>
      <c r="F925" s="0" t="inlineStr">
        <is>
          <t>NULL</t>
        </is>
      </c>
      <c r="G925" s="0" t="inlineStr">
        <is>
          <t>NULL</t>
        </is>
      </c>
      <c r="H925" s="0" t="inlineStr">
        <is>
          <t>NULL</t>
        </is>
      </c>
      <c r="I925" s="0" t="inlineStr">
        <is>
          <t>NULL</t>
        </is>
      </c>
      <c r="J925" s="0" t="inlineStr">
        <is>
          <t>NULL</t>
        </is>
      </c>
      <c r="K925" s="0" t="inlineStr">
        <is>
          <t>[0;32m YES! [0m 	 c_dtoffset_5列源备映射正确，源端为datetimeoffset None位	期望更改为varchar(34)	实际备端为varchar 136位	位数精度不存在，通过长度比较</t>
        </is>
      </c>
    </row>
    <row r="926">
      <c r="B926" s="0" t="inlineStr">
        <is>
          <t>NULL</t>
        </is>
      </c>
      <c r="C926" s="0" t="inlineStr">
        <is>
          <t>NULL</t>
        </is>
      </c>
      <c r="D926" s="0" t="inlineStr">
        <is>
          <t>NULL</t>
        </is>
      </c>
      <c r="E926" s="0" t="inlineStr">
        <is>
          <t>NULL</t>
        </is>
      </c>
      <c r="F926" s="0" t="inlineStr">
        <is>
          <t>NULL</t>
        </is>
      </c>
      <c r="G926" s="0" t="inlineStr">
        <is>
          <t>NULL</t>
        </is>
      </c>
      <c r="H926" s="0" t="inlineStr">
        <is>
          <t>NULL</t>
        </is>
      </c>
      <c r="I926" s="0" t="inlineStr">
        <is>
          <t>NULL</t>
        </is>
      </c>
      <c r="J926" s="0" t="inlineStr">
        <is>
          <t>NULL</t>
        </is>
      </c>
      <c r="K926" s="0" t="inlineStr">
        <is>
          <t>[0;32m YES! [0m 	 c_dtoffset_6列源备映射正确，源端为datetimeoffset None位	期望更改为varchar(34)	实际备端为varchar 136位	位数精度不存在，通过长度比较</t>
        </is>
      </c>
    </row>
    <row r="927">
      <c r="B927" s="0" t="inlineStr">
        <is>
          <t>NULL</t>
        </is>
      </c>
      <c r="C927" s="0" t="inlineStr">
        <is>
          <t>NO!源None备NUL</t>
        </is>
      </c>
      <c r="D927" s="0" t="inlineStr">
        <is>
          <t>NULL</t>
        </is>
      </c>
      <c r="E927" s="0" t="inlineStr">
        <is>
          <t>NULL</t>
        </is>
      </c>
      <c r="F927" s="0" t="inlineStr">
        <is>
          <t>NULL</t>
        </is>
      </c>
      <c r="G927" s="0" t="inlineStr">
        <is>
          <t>NULL</t>
        </is>
      </c>
      <c r="H927" s="0" t="inlineStr">
        <is>
          <t>NULL</t>
        </is>
      </c>
      <c r="I927" s="0" t="inlineStr">
        <is>
          <t>NULL</t>
        </is>
      </c>
      <c r="J927" s="0" t="inlineStr">
        <is>
          <t>NULL</t>
        </is>
      </c>
      <c r="K927" s="0" t="inlineStr">
        <is>
          <t>[0;32m YES! [0m 	 c_dtoffset列源备映射正确，源端为datetimeoffset None位	期望更改为varchar(34)	实际备端为varchar 136位	位数精度不存在，通过长度比较</t>
        </is>
      </c>
    </row>
    <row r="928">
      <c r="A928" s="0" t="inlineStr">
        <is>
          <t>info_binary_dml_single_pk_drp</t>
        </is>
      </c>
      <c r="K928" s="0" t="inlineStr">
        <is>
          <t>[0;34m info_binary_dml_single_pk_drp [0m源备字段数相同，源端字段：4 	备端字段4</t>
        </is>
      </c>
      <c r="W928" s="0" t="inlineStr">
        <is>
          <t>YES 源备无差异</t>
        </is>
      </c>
      <c r="X928" s="0">
        <f>A928</f>
        <v/>
      </c>
    </row>
    <row r="929">
      <c r="B929" s="0" t="inlineStr">
        <is>
          <t>NO! 主键不正常，源YES备None</t>
        </is>
      </c>
      <c r="C929" s="0" t="inlineStr">
        <is>
          <t>NULL</t>
        </is>
      </c>
      <c r="D929" s="0" t="inlineStr">
        <is>
          <t>NULL</t>
        </is>
      </c>
      <c r="E929" s="0" t="inlineStr">
        <is>
          <t>NULL</t>
        </is>
      </c>
      <c r="F929" s="0" t="inlineStr">
        <is>
          <t>NULL</t>
        </is>
      </c>
      <c r="G929" s="0" t="inlineStr">
        <is>
          <t>NULL</t>
        </is>
      </c>
      <c r="H929" s="0" t="inlineStr">
        <is>
          <t>NULL</t>
        </is>
      </c>
      <c r="I929" s="0" t="inlineStr">
        <is>
          <t>NO! 源备索引不一致源PK__info_bin__3213E83F5ED736A6备None</t>
        </is>
      </c>
      <c r="J929" s="0" t="inlineStr">
        <is>
          <t>NULL</t>
        </is>
      </c>
      <c r="K929" s="0" t="inlineStr">
        <is>
          <t>YES! 	 id列源备映射正确，源端为int None位	期望更改为int	实际备端为int None位</t>
        </is>
      </c>
    </row>
    <row r="930">
      <c r="B930" s="0" t="inlineStr">
        <is>
          <t>NULL</t>
        </is>
      </c>
      <c r="C930" s="0" t="inlineStr">
        <is>
          <t>NULL</t>
        </is>
      </c>
      <c r="D930" s="0" t="inlineStr">
        <is>
          <t>NULL</t>
        </is>
      </c>
      <c r="E930" s="0" t="inlineStr">
        <is>
          <t>NULL</t>
        </is>
      </c>
      <c r="F930" s="0" t="inlineStr">
        <is>
          <t>NULL</t>
        </is>
      </c>
      <c r="G930" s="0" t="inlineStr">
        <is>
          <t>NULL</t>
        </is>
      </c>
      <c r="H930" s="0" t="inlineStr">
        <is>
          <t>NULL</t>
        </is>
      </c>
      <c r="I930" s="0" t="inlineStr">
        <is>
          <t>NULL</t>
        </is>
      </c>
      <c r="J930" s="0" t="inlineStr">
        <is>
          <t>NULL</t>
        </is>
      </c>
      <c r="K930" s="0" t="inlineStr">
        <is>
          <t>YES! 	 c_binary列源备映射正确，源端为binary 1位	期望更改为binary(n)	实际备端为binary 1位</t>
        </is>
      </c>
    </row>
    <row r="931">
      <c r="B931" s="0" t="inlineStr">
        <is>
          <t>NULL</t>
        </is>
      </c>
      <c r="C931" s="0" t="inlineStr">
        <is>
          <t>NULL</t>
        </is>
      </c>
      <c r="D931" s="0" t="inlineStr">
        <is>
          <t>NULL</t>
        </is>
      </c>
      <c r="E931" s="0" t="inlineStr">
        <is>
          <t>NULL</t>
        </is>
      </c>
      <c r="F931" s="0" t="inlineStr">
        <is>
          <t>NULL</t>
        </is>
      </c>
      <c r="G931" s="0" t="inlineStr">
        <is>
          <t>NULL</t>
        </is>
      </c>
      <c r="H931" s="0" t="inlineStr">
        <is>
          <t>NULL</t>
        </is>
      </c>
      <c r="I931" s="0" t="inlineStr">
        <is>
          <t>NULL</t>
        </is>
      </c>
      <c r="J931" s="0" t="inlineStr">
        <is>
          <t>NULL</t>
        </is>
      </c>
      <c r="K931" s="0" t="inlineStr">
        <is>
          <t>YES! 	 c_binary_20列源备映射正确，源端为binary 20位	期望更改为binary(n)	实际备端为binary 20位</t>
        </is>
      </c>
    </row>
    <row r="932">
      <c r="B932" s="0" t="inlineStr">
        <is>
          <t>NULL</t>
        </is>
      </c>
      <c r="C932" s="0" t="inlineStr">
        <is>
          <t>NULL</t>
        </is>
      </c>
      <c r="D932" s="0" t="inlineStr">
        <is>
          <t>NULL</t>
        </is>
      </c>
      <c r="E932" s="0" t="inlineStr">
        <is>
          <t>NULL</t>
        </is>
      </c>
      <c r="F932" s="0" t="inlineStr">
        <is>
          <t>NULL</t>
        </is>
      </c>
      <c r="G932" s="0" t="inlineStr">
        <is>
          <t>NULL</t>
        </is>
      </c>
      <c r="H932" s="0" t="inlineStr">
        <is>
          <t>NULL</t>
        </is>
      </c>
      <c r="I932" s="0" t="inlineStr">
        <is>
          <t>NULL</t>
        </is>
      </c>
      <c r="J932" s="0" t="inlineStr">
        <is>
          <t>NULL</t>
        </is>
      </c>
      <c r="K932" s="0" t="inlineStr">
        <is>
          <t>YES! 	 c_binary_8000列源备映射正确，源端为binary 8000位	期望更改为longblob	实际备端为longblob 4294967295位</t>
        </is>
      </c>
    </row>
    <row r="933">
      <c r="K933" s="0" t="inlineStr">
        <is>
          <t>[0;31m NO! [0m 	  行数不同,源2行,备端空表</t>
        </is>
      </c>
    </row>
    <row r="934">
      <c r="A934" s="0" t="inlineStr">
        <is>
          <t>info_datetimeoffset_dml_single_nopk_drp</t>
        </is>
      </c>
      <c r="K934" s="0" t="inlineStr">
        <is>
          <t>[0;34m info_datetimeoffset_dml_single_nopk_drp [0m源备字段数相同，源端字段：9 	备端字段9</t>
        </is>
      </c>
      <c r="W934" s="0" t="inlineStr">
        <is>
          <t>YES 源备无差异</t>
        </is>
      </c>
      <c r="X934" s="0">
        <f>A934</f>
        <v/>
      </c>
    </row>
    <row r="935">
      <c r="B935" s="0" t="inlineStr">
        <is>
          <t>NULL</t>
        </is>
      </c>
      <c r="C935" s="0" t="inlineStr">
        <is>
          <t>NULL</t>
        </is>
      </c>
      <c r="D935" s="0" t="inlineStr">
        <is>
          <t>NULL</t>
        </is>
      </c>
      <c r="E935" s="0" t="inlineStr">
        <is>
          <t>NULL</t>
        </is>
      </c>
      <c r="F935" s="0" t="inlineStr">
        <is>
          <t>NULL</t>
        </is>
      </c>
      <c r="G935" s="0" t="inlineStr">
        <is>
          <t>NULL</t>
        </is>
      </c>
      <c r="H935" s="0" t="inlineStr">
        <is>
          <t>NULL</t>
        </is>
      </c>
      <c r="I935" s="0" t="inlineStr">
        <is>
          <t>NULL</t>
        </is>
      </c>
      <c r="J935" s="0" t="inlineStr">
        <is>
          <t>NULL</t>
        </is>
      </c>
      <c r="K935" s="0" t="inlineStr">
        <is>
          <t>YES! 	 id列源备映射正确，源端为int None位	期望更改为int	实际备端为int None位</t>
        </is>
      </c>
    </row>
    <row r="936">
      <c r="B936" s="0" t="inlineStr">
        <is>
          <t>NULL</t>
        </is>
      </c>
      <c r="C936" s="0" t="inlineStr">
        <is>
          <t>NULL</t>
        </is>
      </c>
      <c r="D936" s="0" t="inlineStr">
        <is>
          <t>NULL</t>
        </is>
      </c>
      <c r="E936" s="0" t="inlineStr">
        <is>
          <t>NULL</t>
        </is>
      </c>
      <c r="F936" s="0" t="inlineStr">
        <is>
          <t>NULL</t>
        </is>
      </c>
      <c r="G936" s="0" t="inlineStr">
        <is>
          <t>NULL</t>
        </is>
      </c>
      <c r="H936" s="0" t="inlineStr">
        <is>
          <t>NULL</t>
        </is>
      </c>
      <c r="I936" s="0" t="inlineStr">
        <is>
          <t>NULL</t>
        </is>
      </c>
      <c r="J936" s="0" t="inlineStr">
        <is>
          <t>NULL</t>
        </is>
      </c>
      <c r="K936" s="0" t="inlineStr">
        <is>
          <t>[0;32m YES! [0m 	 c_dtoffset_0列源备映射正确，源端为datetimeoffset None位	期望更改为varchar(34)	实际备端为varchar 136位	位数精度不存在，通过长度比较</t>
        </is>
      </c>
    </row>
    <row r="937">
      <c r="B937" s="0" t="inlineStr">
        <is>
          <t>NULL</t>
        </is>
      </c>
      <c r="C937" s="0" t="inlineStr">
        <is>
          <t>NULL</t>
        </is>
      </c>
      <c r="D937" s="0" t="inlineStr">
        <is>
          <t>NULL</t>
        </is>
      </c>
      <c r="E937" s="0" t="inlineStr">
        <is>
          <t>NULL</t>
        </is>
      </c>
      <c r="F937" s="0" t="inlineStr">
        <is>
          <t>NULL</t>
        </is>
      </c>
      <c r="G937" s="0" t="inlineStr">
        <is>
          <t>NULL</t>
        </is>
      </c>
      <c r="H937" s="0" t="inlineStr">
        <is>
          <t>NULL</t>
        </is>
      </c>
      <c r="I937" s="0" t="inlineStr">
        <is>
          <t>NULL</t>
        </is>
      </c>
      <c r="J937" s="0" t="inlineStr">
        <is>
          <t>NULL</t>
        </is>
      </c>
      <c r="K937" s="0" t="inlineStr">
        <is>
          <t>[0;32m YES! [0m 	 c_dtoffset_1列源备映射正确，源端为datetimeoffset None位	期望更改为varchar(34)	实际备端为varchar 136位	位数精度不存在，通过长度比较</t>
        </is>
      </c>
    </row>
    <row r="938">
      <c r="B938" s="0" t="inlineStr">
        <is>
          <t>NULL</t>
        </is>
      </c>
      <c r="C938" s="0" t="inlineStr">
        <is>
          <t>NULL</t>
        </is>
      </c>
      <c r="D938" s="0" t="inlineStr">
        <is>
          <t>NULL</t>
        </is>
      </c>
      <c r="E938" s="0" t="inlineStr">
        <is>
          <t>NULL</t>
        </is>
      </c>
      <c r="F938" s="0" t="inlineStr">
        <is>
          <t>NULL</t>
        </is>
      </c>
      <c r="G938" s="0" t="inlineStr">
        <is>
          <t>NULL</t>
        </is>
      </c>
      <c r="H938" s="0" t="inlineStr">
        <is>
          <t>NULL</t>
        </is>
      </c>
      <c r="I938" s="0" t="inlineStr">
        <is>
          <t>NULL</t>
        </is>
      </c>
      <c r="J938" s="0" t="inlineStr">
        <is>
          <t>NULL</t>
        </is>
      </c>
      <c r="K938" s="0" t="inlineStr">
        <is>
          <t>[0;32m YES! [0m 	 c_dtoffset_2列源备映射正确，源端为datetimeoffset None位	期望更改为varchar(34)	实际备端为varchar 136位	位数精度不存在，通过长度比较</t>
        </is>
      </c>
    </row>
    <row r="939">
      <c r="B939" s="0" t="inlineStr">
        <is>
          <t>NULL</t>
        </is>
      </c>
      <c r="C939" s="0" t="inlineStr">
        <is>
          <t>NULL</t>
        </is>
      </c>
      <c r="D939" s="0" t="inlineStr">
        <is>
          <t>NULL</t>
        </is>
      </c>
      <c r="E939" s="0" t="inlineStr">
        <is>
          <t>NULL</t>
        </is>
      </c>
      <c r="F939" s="0" t="inlineStr">
        <is>
          <t>NULL</t>
        </is>
      </c>
      <c r="G939" s="0" t="inlineStr">
        <is>
          <t>NULL</t>
        </is>
      </c>
      <c r="H939" s="0" t="inlineStr">
        <is>
          <t>NULL</t>
        </is>
      </c>
      <c r="I939" s="0" t="inlineStr">
        <is>
          <t>NULL</t>
        </is>
      </c>
      <c r="J939" s="0" t="inlineStr">
        <is>
          <t>NULL</t>
        </is>
      </c>
      <c r="K939" s="0" t="inlineStr">
        <is>
          <t>[0;32m YES! [0m 	 c_dtoffset_3列源备映射正确，源端为datetimeoffset None位	期望更改为varchar(34)	实际备端为varchar 136位	位数精度不存在，通过长度比较</t>
        </is>
      </c>
    </row>
    <row r="940">
      <c r="B940" s="0" t="inlineStr">
        <is>
          <t>NULL</t>
        </is>
      </c>
      <c r="C940" s="0" t="inlineStr">
        <is>
          <t>NULL</t>
        </is>
      </c>
      <c r="D940" s="0" t="inlineStr">
        <is>
          <t>NULL</t>
        </is>
      </c>
      <c r="E940" s="0" t="inlineStr">
        <is>
          <t>NULL</t>
        </is>
      </c>
      <c r="F940" s="0" t="inlineStr">
        <is>
          <t>NULL</t>
        </is>
      </c>
      <c r="G940" s="0" t="inlineStr">
        <is>
          <t>NULL</t>
        </is>
      </c>
      <c r="H940" s="0" t="inlineStr">
        <is>
          <t>NULL</t>
        </is>
      </c>
      <c r="I940" s="0" t="inlineStr">
        <is>
          <t>NULL</t>
        </is>
      </c>
      <c r="J940" s="0" t="inlineStr">
        <is>
          <t>NULL</t>
        </is>
      </c>
      <c r="K940" s="0" t="inlineStr">
        <is>
          <t>[0;32m YES! [0m 	 c_dtoffset_4列源备映射正确，源端为datetimeoffset None位	期望更改为varchar(34)	实际备端为varchar 136位	位数精度不存在，通过长度比较</t>
        </is>
      </c>
    </row>
    <row r="941">
      <c r="B941" s="0" t="inlineStr">
        <is>
          <t>NULL</t>
        </is>
      </c>
      <c r="C941" s="0" t="inlineStr">
        <is>
          <t>NULL</t>
        </is>
      </c>
      <c r="D941" s="0" t="inlineStr">
        <is>
          <t>NULL</t>
        </is>
      </c>
      <c r="E941" s="0" t="inlineStr">
        <is>
          <t>NULL</t>
        </is>
      </c>
      <c r="F941" s="0" t="inlineStr">
        <is>
          <t>NULL</t>
        </is>
      </c>
      <c r="G941" s="0" t="inlineStr">
        <is>
          <t>NULL</t>
        </is>
      </c>
      <c r="H941" s="0" t="inlineStr">
        <is>
          <t>NULL</t>
        </is>
      </c>
      <c r="I941" s="0" t="inlineStr">
        <is>
          <t>NULL</t>
        </is>
      </c>
      <c r="J941" s="0" t="inlineStr">
        <is>
          <t>NULL</t>
        </is>
      </c>
      <c r="K941" s="0" t="inlineStr">
        <is>
          <t>[0;32m YES! [0m 	 c_dtoffset_5列源备映射正确，源端为datetimeoffset None位	期望更改为varchar(34)	实际备端为varchar 136位	位数精度不存在，通过长度比较</t>
        </is>
      </c>
    </row>
    <row r="942">
      <c r="B942" s="0" t="inlineStr">
        <is>
          <t>NULL</t>
        </is>
      </c>
      <c r="C942" s="0" t="inlineStr">
        <is>
          <t>NULL</t>
        </is>
      </c>
      <c r="D942" s="0" t="inlineStr">
        <is>
          <t>NULL</t>
        </is>
      </c>
      <c r="E942" s="0" t="inlineStr">
        <is>
          <t>NULL</t>
        </is>
      </c>
      <c r="F942" s="0" t="inlineStr">
        <is>
          <t>NULL</t>
        </is>
      </c>
      <c r="G942" s="0" t="inlineStr">
        <is>
          <t>NULL</t>
        </is>
      </c>
      <c r="H942" s="0" t="inlineStr">
        <is>
          <t>NULL</t>
        </is>
      </c>
      <c r="I942" s="0" t="inlineStr">
        <is>
          <t>NULL</t>
        </is>
      </c>
      <c r="J942" s="0" t="inlineStr">
        <is>
          <t>NULL</t>
        </is>
      </c>
      <c r="K942" s="0" t="inlineStr">
        <is>
          <t>[0;32m YES! [0m 	 c_dtoffset_6列源备映射正确，源端为datetimeoffset None位	期望更改为varchar(34)	实际备端为varchar 136位	位数精度不存在，通过长度比较</t>
        </is>
      </c>
    </row>
    <row r="943">
      <c r="B943" s="0" t="inlineStr">
        <is>
          <t>NULL</t>
        </is>
      </c>
      <c r="C943" s="0" t="inlineStr">
        <is>
          <t>NO!源None备NUL</t>
        </is>
      </c>
      <c r="D943" s="0" t="inlineStr">
        <is>
          <t>NULL</t>
        </is>
      </c>
      <c r="E943" s="0" t="inlineStr">
        <is>
          <t>NULL</t>
        </is>
      </c>
      <c r="F943" s="0" t="inlineStr">
        <is>
          <t>NULL</t>
        </is>
      </c>
      <c r="G943" s="0" t="inlineStr">
        <is>
          <t>NULL</t>
        </is>
      </c>
      <c r="H943" s="0" t="inlineStr">
        <is>
          <t>NULL</t>
        </is>
      </c>
      <c r="I943" s="0" t="inlineStr">
        <is>
          <t>NULL</t>
        </is>
      </c>
      <c r="J943" s="0" t="inlineStr">
        <is>
          <t>NULL</t>
        </is>
      </c>
      <c r="K943" s="0" t="inlineStr">
        <is>
          <t>[0;32m YES! [0m 	 c_dtoffset列源备映射正确，源端为datetimeoffset None位	期望更改为varchar(34)	实际备端为varchar 136位	位数精度不存在，通过长度比较</t>
        </is>
      </c>
    </row>
    <row r="944">
      <c r="A944" s="0" t="inlineStr">
        <is>
          <t>info_varbinary_max_dml_single_nopk_urp</t>
        </is>
      </c>
      <c r="K944" s="0" t="inlineStr">
        <is>
          <t>[0;34m info_varbinary_max_dml_single_nopk_urp [0m源备字段数相同，源端字段：4 	备端字段4</t>
        </is>
      </c>
      <c r="W944" s="0" t="inlineStr">
        <is>
          <t>YES 源备无差异</t>
        </is>
      </c>
      <c r="X944" s="0">
        <f>A944</f>
        <v/>
      </c>
    </row>
    <row r="945">
      <c r="B945" s="0" t="inlineStr">
        <is>
          <t>NULL</t>
        </is>
      </c>
      <c r="C945" s="0" t="inlineStr">
        <is>
          <t>NULL</t>
        </is>
      </c>
      <c r="D945" s="0" t="inlineStr">
        <is>
          <t>NULL</t>
        </is>
      </c>
      <c r="E945" s="0" t="inlineStr">
        <is>
          <t>NULL</t>
        </is>
      </c>
      <c r="F945" s="0" t="inlineStr">
        <is>
          <t>NULL</t>
        </is>
      </c>
      <c r="G945" s="0" t="inlineStr">
        <is>
          <t>NULL</t>
        </is>
      </c>
      <c r="H945" s="0" t="inlineStr">
        <is>
          <t>NULL</t>
        </is>
      </c>
      <c r="I945" s="0" t="inlineStr">
        <is>
          <t>NULL</t>
        </is>
      </c>
      <c r="J945" s="0" t="inlineStr">
        <is>
          <t>NULL</t>
        </is>
      </c>
      <c r="K945" s="0" t="inlineStr">
        <is>
          <t>YES! 	 id列源备映射正确，源端为int None位	期望更改为int	实际备端为int None位</t>
        </is>
      </c>
    </row>
    <row r="946">
      <c r="B946" s="0" t="inlineStr">
        <is>
          <t>NULL</t>
        </is>
      </c>
      <c r="C946" s="0" t="inlineStr">
        <is>
          <t>NULL</t>
        </is>
      </c>
      <c r="D946" s="0" t="inlineStr">
        <is>
          <t>NULL</t>
        </is>
      </c>
      <c r="E946" s="0" t="inlineStr">
        <is>
          <t>NULL</t>
        </is>
      </c>
      <c r="F946" s="0" t="inlineStr">
        <is>
          <t>NULL</t>
        </is>
      </c>
      <c r="G946" s="0" t="inlineStr">
        <is>
          <t>NULL</t>
        </is>
      </c>
      <c r="H946" s="0" t="inlineStr">
        <is>
          <t>NULL</t>
        </is>
      </c>
      <c r="I946" s="0" t="inlineStr">
        <is>
          <t>NULL</t>
        </is>
      </c>
      <c r="J946" s="0" t="inlineStr">
        <is>
          <t>NULL</t>
        </is>
      </c>
      <c r="K946" s="0" t="inlineStr">
        <is>
          <t>YES! 	 c_varbinary_max1列源备映射正确，源端为varbinary -1位	期望更改为longblob	实际备端为longblob 4294967295位</t>
        </is>
      </c>
    </row>
    <row r="947">
      <c r="B947" s="0" t="inlineStr">
        <is>
          <t>NULL</t>
        </is>
      </c>
      <c r="C947" s="0" t="inlineStr">
        <is>
          <t>NULL</t>
        </is>
      </c>
      <c r="D947" s="0" t="inlineStr">
        <is>
          <t>NULL</t>
        </is>
      </c>
      <c r="E947" s="0" t="inlineStr">
        <is>
          <t>NULL</t>
        </is>
      </c>
      <c r="F947" s="0" t="inlineStr">
        <is>
          <t>NULL</t>
        </is>
      </c>
      <c r="G947" s="0" t="inlineStr">
        <is>
          <t>NULL</t>
        </is>
      </c>
      <c r="H947" s="0" t="inlineStr">
        <is>
          <t>NULL</t>
        </is>
      </c>
      <c r="I947" s="0" t="inlineStr">
        <is>
          <t>NULL</t>
        </is>
      </c>
      <c r="J947" s="0" t="inlineStr">
        <is>
          <t>NULL</t>
        </is>
      </c>
      <c r="K947" s="0" t="inlineStr">
        <is>
          <t>YES! 	 c_varbinary_max2列源备映射正确，源端为varbinary -1位	期望更改为longblob	实际备端为longblob 4294967295位</t>
        </is>
      </c>
    </row>
    <row r="948">
      <c r="B948" s="0" t="inlineStr">
        <is>
          <t>NULL</t>
        </is>
      </c>
      <c r="C948" s="0" t="inlineStr">
        <is>
          <t>NULL</t>
        </is>
      </c>
      <c r="D948" s="0" t="inlineStr">
        <is>
          <t>NULL</t>
        </is>
      </c>
      <c r="E948" s="0" t="inlineStr">
        <is>
          <t>NULL</t>
        </is>
      </c>
      <c r="F948" s="0" t="inlineStr">
        <is>
          <t>NULL</t>
        </is>
      </c>
      <c r="G948" s="0" t="inlineStr">
        <is>
          <t>NULL</t>
        </is>
      </c>
      <c r="H948" s="0" t="inlineStr">
        <is>
          <t>NULL</t>
        </is>
      </c>
      <c r="I948" s="0" t="inlineStr">
        <is>
          <t>NULL</t>
        </is>
      </c>
      <c r="J948" s="0" t="inlineStr">
        <is>
          <t>NULL</t>
        </is>
      </c>
      <c r="K948" s="0" t="inlineStr">
        <is>
          <t>YES! 	 c_image3列源备映射正确，源端为image 2147483647位	期望更改为longblob	实际备端为longblob 4294967295位</t>
        </is>
      </c>
    </row>
    <row r="949">
      <c r="K949" s="0" t="inlineStr">
        <is>
          <t>[0;31m NO! [0m 	  行数不同,源4行,备端空表</t>
        </is>
      </c>
    </row>
    <row r="950">
      <c r="A950" s="0" t="inlineStr">
        <is>
          <t>info_varbinary_max_dml_single_nopk_drp</t>
        </is>
      </c>
      <c r="K950" s="0" t="inlineStr">
        <is>
          <t>[0;34m info_varbinary_max_dml_single_nopk_drp [0m源备字段数相同，源端字段：4 	备端字段4</t>
        </is>
      </c>
      <c r="W950" s="0" t="inlineStr">
        <is>
          <t>YES 源备无差异</t>
        </is>
      </c>
      <c r="X950" s="0">
        <f>A950</f>
        <v/>
      </c>
    </row>
    <row r="951">
      <c r="B951" s="0" t="inlineStr">
        <is>
          <t>NULL</t>
        </is>
      </c>
      <c r="C951" s="0" t="inlineStr">
        <is>
          <t>NULL</t>
        </is>
      </c>
      <c r="D951" s="0" t="inlineStr">
        <is>
          <t>NULL</t>
        </is>
      </c>
      <c r="E951" s="0" t="inlineStr">
        <is>
          <t>NULL</t>
        </is>
      </c>
      <c r="F951" s="0" t="inlineStr">
        <is>
          <t>NULL</t>
        </is>
      </c>
      <c r="G951" s="0" t="inlineStr">
        <is>
          <t>NULL</t>
        </is>
      </c>
      <c r="H951" s="0" t="inlineStr">
        <is>
          <t>NULL</t>
        </is>
      </c>
      <c r="I951" s="0" t="inlineStr">
        <is>
          <t>NULL</t>
        </is>
      </c>
      <c r="J951" s="0" t="inlineStr">
        <is>
          <t>NULL</t>
        </is>
      </c>
      <c r="K951" s="0" t="inlineStr">
        <is>
          <t>YES! 	 id列源备映射正确，源端为int None位	期望更改为int	实际备端为int None位</t>
        </is>
      </c>
    </row>
    <row r="952">
      <c r="B952" s="0" t="inlineStr">
        <is>
          <t>NULL</t>
        </is>
      </c>
      <c r="C952" s="0" t="inlineStr">
        <is>
          <t>NULL</t>
        </is>
      </c>
      <c r="D952" s="0" t="inlineStr">
        <is>
          <t>NULL</t>
        </is>
      </c>
      <c r="E952" s="0" t="inlineStr">
        <is>
          <t>NULL</t>
        </is>
      </c>
      <c r="F952" s="0" t="inlineStr">
        <is>
          <t>NULL</t>
        </is>
      </c>
      <c r="G952" s="0" t="inlineStr">
        <is>
          <t>NULL</t>
        </is>
      </c>
      <c r="H952" s="0" t="inlineStr">
        <is>
          <t>NULL</t>
        </is>
      </c>
      <c r="I952" s="0" t="inlineStr">
        <is>
          <t>NULL</t>
        </is>
      </c>
      <c r="J952" s="0" t="inlineStr">
        <is>
          <t>NULL</t>
        </is>
      </c>
      <c r="K952" s="0" t="inlineStr">
        <is>
          <t>YES! 	 c_varbinary_max1列源备映射正确，源端为varbinary -1位	期望更改为longblob	实际备端为longblob 4294967295位</t>
        </is>
      </c>
    </row>
    <row r="953">
      <c r="B953" s="0" t="inlineStr">
        <is>
          <t>NULL</t>
        </is>
      </c>
      <c r="C953" s="0" t="inlineStr">
        <is>
          <t>NULL</t>
        </is>
      </c>
      <c r="D953" s="0" t="inlineStr">
        <is>
          <t>NULL</t>
        </is>
      </c>
      <c r="E953" s="0" t="inlineStr">
        <is>
          <t>NULL</t>
        </is>
      </c>
      <c r="F953" s="0" t="inlineStr">
        <is>
          <t>NULL</t>
        </is>
      </c>
      <c r="G953" s="0" t="inlineStr">
        <is>
          <t>NULL</t>
        </is>
      </c>
      <c r="H953" s="0" t="inlineStr">
        <is>
          <t>NULL</t>
        </is>
      </c>
      <c r="I953" s="0" t="inlineStr">
        <is>
          <t>NULL</t>
        </is>
      </c>
      <c r="J953" s="0" t="inlineStr">
        <is>
          <t>NULL</t>
        </is>
      </c>
      <c r="K953" s="0" t="inlineStr">
        <is>
          <t>YES! 	 c_varbinary_max2列源备映射正确，源端为varbinary -1位	期望更改为longblob	实际备端为longblob 4294967295位</t>
        </is>
      </c>
    </row>
    <row r="954">
      <c r="B954" s="0" t="inlineStr">
        <is>
          <t>NULL</t>
        </is>
      </c>
      <c r="C954" s="0" t="inlineStr">
        <is>
          <t>NULL</t>
        </is>
      </c>
      <c r="D954" s="0" t="inlineStr">
        <is>
          <t>NULL</t>
        </is>
      </c>
      <c r="E954" s="0" t="inlineStr">
        <is>
          <t>NULL</t>
        </is>
      </c>
      <c r="F954" s="0" t="inlineStr">
        <is>
          <t>NULL</t>
        </is>
      </c>
      <c r="G954" s="0" t="inlineStr">
        <is>
          <t>NULL</t>
        </is>
      </c>
      <c r="H954" s="0" t="inlineStr">
        <is>
          <t>NULL</t>
        </is>
      </c>
      <c r="I954" s="0" t="inlineStr">
        <is>
          <t>NULL</t>
        </is>
      </c>
      <c r="J954" s="0" t="inlineStr">
        <is>
          <t>NULL</t>
        </is>
      </c>
      <c r="K954" s="0" t="inlineStr">
        <is>
          <t>YES! 	 c_image3列源备映射正确，源端为image 2147483647位	期望更改为longblob	实际备端为longblob 4294967295位</t>
        </is>
      </c>
    </row>
    <row r="955">
      <c r="K955" s="0" t="inlineStr">
        <is>
          <t>~ 空表</t>
        </is>
      </c>
    </row>
    <row r="956">
      <c r="A956" s="0" t="inlineStr">
        <is>
          <t>info_datetimeoffset_dml_single_nopk</t>
        </is>
      </c>
      <c r="K956" s="0" t="inlineStr">
        <is>
          <t>[0;34m info_datetimeoffset_dml_single_nopk [0m源备字段数相同，源端字段：9 	备端字段9</t>
        </is>
      </c>
      <c r="W956" s="0" t="inlineStr">
        <is>
          <t>YES 源备无差异</t>
        </is>
      </c>
      <c r="X956" s="0">
        <f>A956</f>
        <v/>
      </c>
    </row>
    <row r="957">
      <c r="B957" s="0" t="inlineStr">
        <is>
          <t>NULL</t>
        </is>
      </c>
      <c r="C957" s="0" t="inlineStr">
        <is>
          <t>NULL</t>
        </is>
      </c>
      <c r="D957" s="0" t="inlineStr">
        <is>
          <t>NULL</t>
        </is>
      </c>
      <c r="E957" s="0" t="inlineStr">
        <is>
          <t>NULL</t>
        </is>
      </c>
      <c r="F957" s="0" t="inlineStr">
        <is>
          <t>NULL</t>
        </is>
      </c>
      <c r="G957" s="0" t="inlineStr">
        <is>
          <t>NULL</t>
        </is>
      </c>
      <c r="H957" s="0" t="inlineStr">
        <is>
          <t>NULL</t>
        </is>
      </c>
      <c r="I957" s="0" t="inlineStr">
        <is>
          <t>NULL</t>
        </is>
      </c>
      <c r="J957" s="0" t="inlineStr">
        <is>
          <t>NULL</t>
        </is>
      </c>
      <c r="K957" s="0" t="inlineStr">
        <is>
          <t>YES! 	 id列源备映射正确，源端为int None位	期望更改为int	实际备端为int None位</t>
        </is>
      </c>
    </row>
    <row r="958">
      <c r="B958" s="0" t="inlineStr">
        <is>
          <t>NULL</t>
        </is>
      </c>
      <c r="C958" s="0" t="inlineStr">
        <is>
          <t>NULL</t>
        </is>
      </c>
      <c r="D958" s="0" t="inlineStr">
        <is>
          <t>NULL</t>
        </is>
      </c>
      <c r="E958" s="0" t="inlineStr">
        <is>
          <t>NULL</t>
        </is>
      </c>
      <c r="F958" s="0" t="inlineStr">
        <is>
          <t>NULL</t>
        </is>
      </c>
      <c r="G958" s="0" t="inlineStr">
        <is>
          <t>NULL</t>
        </is>
      </c>
      <c r="H958" s="0" t="inlineStr">
        <is>
          <t>NULL</t>
        </is>
      </c>
      <c r="I958" s="0" t="inlineStr">
        <is>
          <t>NULL</t>
        </is>
      </c>
      <c r="J958" s="0" t="inlineStr">
        <is>
          <t>NULL</t>
        </is>
      </c>
      <c r="K958" s="0" t="inlineStr">
        <is>
          <t>[0;32m YES! [0m 	 c_dtoffset_0列源备映射正确，源端为datetimeoffset None位	期望更改为varchar(34)	实际备端为varchar 136位	位数精度不存在，通过长度比较</t>
        </is>
      </c>
    </row>
    <row r="959">
      <c r="B959" s="0" t="inlineStr">
        <is>
          <t>NULL</t>
        </is>
      </c>
      <c r="C959" s="0" t="inlineStr">
        <is>
          <t>NULL</t>
        </is>
      </c>
      <c r="D959" s="0" t="inlineStr">
        <is>
          <t>NULL</t>
        </is>
      </c>
      <c r="E959" s="0" t="inlineStr">
        <is>
          <t>NULL</t>
        </is>
      </c>
      <c r="F959" s="0" t="inlineStr">
        <is>
          <t>NULL</t>
        </is>
      </c>
      <c r="G959" s="0" t="inlineStr">
        <is>
          <t>NULL</t>
        </is>
      </c>
      <c r="H959" s="0" t="inlineStr">
        <is>
          <t>NULL</t>
        </is>
      </c>
      <c r="I959" s="0" t="inlineStr">
        <is>
          <t>NULL</t>
        </is>
      </c>
      <c r="J959" s="0" t="inlineStr">
        <is>
          <t>NULL</t>
        </is>
      </c>
      <c r="K959" s="0" t="inlineStr">
        <is>
          <t>[0;32m YES! [0m 	 c_dtoffset_1列源备映射正确，源端为datetimeoffset None位	期望更改为varchar(34)	实际备端为varchar 136位	位数精度不存在，通过长度比较</t>
        </is>
      </c>
    </row>
    <row r="960">
      <c r="B960" s="0" t="inlineStr">
        <is>
          <t>NULL</t>
        </is>
      </c>
      <c r="C960" s="0" t="inlineStr">
        <is>
          <t>NULL</t>
        </is>
      </c>
      <c r="D960" s="0" t="inlineStr">
        <is>
          <t>NULL</t>
        </is>
      </c>
      <c r="E960" s="0" t="inlineStr">
        <is>
          <t>NULL</t>
        </is>
      </c>
      <c r="F960" s="0" t="inlineStr">
        <is>
          <t>NULL</t>
        </is>
      </c>
      <c r="G960" s="0" t="inlineStr">
        <is>
          <t>NULL</t>
        </is>
      </c>
      <c r="H960" s="0" t="inlineStr">
        <is>
          <t>NULL</t>
        </is>
      </c>
      <c r="I960" s="0" t="inlineStr">
        <is>
          <t>NULL</t>
        </is>
      </c>
      <c r="J960" s="0" t="inlineStr">
        <is>
          <t>NULL</t>
        </is>
      </c>
      <c r="K960" s="0" t="inlineStr">
        <is>
          <t>[0;32m YES! [0m 	 c_dtoffset_2列源备映射正确，源端为datetimeoffset None位	期望更改为varchar(34)	实际备端为varchar 136位	位数精度不存在，通过长度比较</t>
        </is>
      </c>
    </row>
    <row r="961">
      <c r="B961" s="0" t="inlineStr">
        <is>
          <t>NULL</t>
        </is>
      </c>
      <c r="C961" s="0" t="inlineStr">
        <is>
          <t>NULL</t>
        </is>
      </c>
      <c r="D961" s="0" t="inlineStr">
        <is>
          <t>NULL</t>
        </is>
      </c>
      <c r="E961" s="0" t="inlineStr">
        <is>
          <t>NULL</t>
        </is>
      </c>
      <c r="F961" s="0" t="inlineStr">
        <is>
          <t>NULL</t>
        </is>
      </c>
      <c r="G961" s="0" t="inlineStr">
        <is>
          <t>NULL</t>
        </is>
      </c>
      <c r="H961" s="0" t="inlineStr">
        <is>
          <t>NULL</t>
        </is>
      </c>
      <c r="I961" s="0" t="inlineStr">
        <is>
          <t>NULL</t>
        </is>
      </c>
      <c r="J961" s="0" t="inlineStr">
        <is>
          <t>NULL</t>
        </is>
      </c>
      <c r="K961" s="0" t="inlineStr">
        <is>
          <t>[0;32m YES! [0m 	 c_dtoffset_3列源备映射正确，源端为datetimeoffset None位	期望更改为varchar(34)	实际备端为varchar 136位	位数精度不存在，通过长度比较</t>
        </is>
      </c>
    </row>
    <row r="962">
      <c r="B962" s="0" t="inlineStr">
        <is>
          <t>NULL</t>
        </is>
      </c>
      <c r="C962" s="0" t="inlineStr">
        <is>
          <t>NULL</t>
        </is>
      </c>
      <c r="D962" s="0" t="inlineStr">
        <is>
          <t>NULL</t>
        </is>
      </c>
      <c r="E962" s="0" t="inlineStr">
        <is>
          <t>NULL</t>
        </is>
      </c>
      <c r="F962" s="0" t="inlineStr">
        <is>
          <t>NULL</t>
        </is>
      </c>
      <c r="G962" s="0" t="inlineStr">
        <is>
          <t>NULL</t>
        </is>
      </c>
      <c r="H962" s="0" t="inlineStr">
        <is>
          <t>NULL</t>
        </is>
      </c>
      <c r="I962" s="0" t="inlineStr">
        <is>
          <t>NULL</t>
        </is>
      </c>
      <c r="J962" s="0" t="inlineStr">
        <is>
          <t>NULL</t>
        </is>
      </c>
      <c r="K962" s="0" t="inlineStr">
        <is>
          <t>[0;32m YES! [0m 	 c_dtoffset_4列源备映射正确，源端为datetimeoffset None位	期望更改为varchar(34)	实际备端为varchar 136位	位数精度不存在，通过长度比较</t>
        </is>
      </c>
    </row>
    <row r="963">
      <c r="B963" s="0" t="inlineStr">
        <is>
          <t>NULL</t>
        </is>
      </c>
      <c r="C963" s="0" t="inlineStr">
        <is>
          <t>NULL</t>
        </is>
      </c>
      <c r="D963" s="0" t="inlineStr">
        <is>
          <t>NULL</t>
        </is>
      </c>
      <c r="E963" s="0" t="inlineStr">
        <is>
          <t>NULL</t>
        </is>
      </c>
      <c r="F963" s="0" t="inlineStr">
        <is>
          <t>NULL</t>
        </is>
      </c>
      <c r="G963" s="0" t="inlineStr">
        <is>
          <t>NULL</t>
        </is>
      </c>
      <c r="H963" s="0" t="inlineStr">
        <is>
          <t>NULL</t>
        </is>
      </c>
      <c r="I963" s="0" t="inlineStr">
        <is>
          <t>NULL</t>
        </is>
      </c>
      <c r="J963" s="0" t="inlineStr">
        <is>
          <t>NULL</t>
        </is>
      </c>
      <c r="K963" s="0" t="inlineStr">
        <is>
          <t>[0;32m YES! [0m 	 c_dtoffset_5列源备映射正确，源端为datetimeoffset None位	期望更改为varchar(34)	实际备端为varchar 136位	位数精度不存在，通过长度比较</t>
        </is>
      </c>
    </row>
    <row r="964">
      <c r="B964" s="0" t="inlineStr">
        <is>
          <t>NULL</t>
        </is>
      </c>
      <c r="C964" s="0" t="inlineStr">
        <is>
          <t>NULL</t>
        </is>
      </c>
      <c r="D964" s="0" t="inlineStr">
        <is>
          <t>NULL</t>
        </is>
      </c>
      <c r="E964" s="0" t="inlineStr">
        <is>
          <t>NULL</t>
        </is>
      </c>
      <c r="F964" s="0" t="inlineStr">
        <is>
          <t>NULL</t>
        </is>
      </c>
      <c r="G964" s="0" t="inlineStr">
        <is>
          <t>NULL</t>
        </is>
      </c>
      <c r="H964" s="0" t="inlineStr">
        <is>
          <t>NULL</t>
        </is>
      </c>
      <c r="I964" s="0" t="inlineStr">
        <is>
          <t>NULL</t>
        </is>
      </c>
      <c r="J964" s="0" t="inlineStr">
        <is>
          <t>NULL</t>
        </is>
      </c>
      <c r="K964" s="0" t="inlineStr">
        <is>
          <t>[0;32m YES! [0m 	 c_dtoffset_6列源备映射正确，源端为datetimeoffset None位	期望更改为varchar(34)	实际备端为varchar 136位	位数精度不存在，通过长度比较</t>
        </is>
      </c>
    </row>
    <row r="965">
      <c r="B965" s="0" t="inlineStr">
        <is>
          <t>NULL</t>
        </is>
      </c>
      <c r="C965" s="0" t="inlineStr">
        <is>
          <t>NO!源None备NUL</t>
        </is>
      </c>
      <c r="D965" s="0" t="inlineStr">
        <is>
          <t>NULL</t>
        </is>
      </c>
      <c r="E965" s="0" t="inlineStr">
        <is>
          <t>NULL</t>
        </is>
      </c>
      <c r="F965" s="0" t="inlineStr">
        <is>
          <t>NULL</t>
        </is>
      </c>
      <c r="G965" s="0" t="inlineStr">
        <is>
          <t>NULL</t>
        </is>
      </c>
      <c r="H965" s="0" t="inlineStr">
        <is>
          <t>NULL</t>
        </is>
      </c>
      <c r="I965" s="0" t="inlineStr">
        <is>
          <t>NULL</t>
        </is>
      </c>
      <c r="J965" s="0" t="inlineStr">
        <is>
          <t>NULL</t>
        </is>
      </c>
      <c r="K965" s="0" t="inlineStr">
        <is>
          <t>[0;32m YES! [0m 	 c_dtoffset列源备映射正确，源端为datetimeoffset None位	期望更改为varchar(34)	实际备端为varchar 136位	位数精度不存在，通过长度比较</t>
        </is>
      </c>
    </row>
    <row r="966">
      <c r="A966" s="0" t="inlineStr">
        <is>
          <t>info_varbinary_max_dml_single_nopk</t>
        </is>
      </c>
      <c r="K966" s="0" t="inlineStr">
        <is>
          <t>[0;34m info_varbinary_max_dml_single_nopk [0m源备字段数相同，源端字段：4 	备端字段4</t>
        </is>
      </c>
      <c r="W966" s="0" t="inlineStr">
        <is>
          <t>YES 源备无差异</t>
        </is>
      </c>
      <c r="X966" s="0">
        <f>A966</f>
        <v/>
      </c>
    </row>
    <row r="967">
      <c r="B967" s="0" t="inlineStr">
        <is>
          <t>NULL</t>
        </is>
      </c>
      <c r="C967" s="0" t="inlineStr">
        <is>
          <t>NULL</t>
        </is>
      </c>
      <c r="D967" s="0" t="inlineStr">
        <is>
          <t>NULL</t>
        </is>
      </c>
      <c r="E967" s="0" t="inlineStr">
        <is>
          <t>NULL</t>
        </is>
      </c>
      <c r="F967" s="0" t="inlineStr">
        <is>
          <t>NULL</t>
        </is>
      </c>
      <c r="G967" s="0" t="inlineStr">
        <is>
          <t>NULL</t>
        </is>
      </c>
      <c r="H967" s="0" t="inlineStr">
        <is>
          <t>NULL</t>
        </is>
      </c>
      <c r="I967" s="0" t="inlineStr">
        <is>
          <t>NULL</t>
        </is>
      </c>
      <c r="J967" s="0" t="inlineStr">
        <is>
          <t>NULL</t>
        </is>
      </c>
      <c r="K967" s="0" t="inlineStr">
        <is>
          <t>YES! 	 id列源备映射正确，源端为int None位	期望更改为int	实际备端为int None位</t>
        </is>
      </c>
    </row>
    <row r="968">
      <c r="B968" s="0" t="inlineStr">
        <is>
          <t>NULL</t>
        </is>
      </c>
      <c r="C968" s="0" t="inlineStr">
        <is>
          <t>NULL</t>
        </is>
      </c>
      <c r="D968" s="0" t="inlineStr">
        <is>
          <t>NULL</t>
        </is>
      </c>
      <c r="E968" s="0" t="inlineStr">
        <is>
          <t>NULL</t>
        </is>
      </c>
      <c r="F968" s="0" t="inlineStr">
        <is>
          <t>NULL</t>
        </is>
      </c>
      <c r="G968" s="0" t="inlineStr">
        <is>
          <t>NULL</t>
        </is>
      </c>
      <c r="H968" s="0" t="inlineStr">
        <is>
          <t>NULL</t>
        </is>
      </c>
      <c r="I968" s="0" t="inlineStr">
        <is>
          <t>NULL</t>
        </is>
      </c>
      <c r="J968" s="0" t="inlineStr">
        <is>
          <t>NULL</t>
        </is>
      </c>
      <c r="K968" s="0" t="inlineStr">
        <is>
          <t>YES! 	 c_varbinary_max1列源备映射正确，源端为varbinary -1位	期望更改为longblob	实际备端为longblob 4294967295位</t>
        </is>
      </c>
    </row>
    <row r="969">
      <c r="B969" s="0" t="inlineStr">
        <is>
          <t>NULL</t>
        </is>
      </c>
      <c r="C969" s="0" t="inlineStr">
        <is>
          <t>NULL</t>
        </is>
      </c>
      <c r="D969" s="0" t="inlineStr">
        <is>
          <t>NULL</t>
        </is>
      </c>
      <c r="E969" s="0" t="inlineStr">
        <is>
          <t>NULL</t>
        </is>
      </c>
      <c r="F969" s="0" t="inlineStr">
        <is>
          <t>NULL</t>
        </is>
      </c>
      <c r="G969" s="0" t="inlineStr">
        <is>
          <t>NULL</t>
        </is>
      </c>
      <c r="H969" s="0" t="inlineStr">
        <is>
          <t>NULL</t>
        </is>
      </c>
      <c r="I969" s="0" t="inlineStr">
        <is>
          <t>NULL</t>
        </is>
      </c>
      <c r="J969" s="0" t="inlineStr">
        <is>
          <t>NULL</t>
        </is>
      </c>
      <c r="K969" s="0" t="inlineStr">
        <is>
          <t>YES! 	 c_varbinary_max2列源备映射正确，源端为varbinary -1位	期望更改为longblob	实际备端为longblob 4294967295位</t>
        </is>
      </c>
    </row>
    <row r="970">
      <c r="B970" s="0" t="inlineStr">
        <is>
          <t>NULL</t>
        </is>
      </c>
      <c r="C970" s="0" t="inlineStr">
        <is>
          <t>NULL</t>
        </is>
      </c>
      <c r="D970" s="0" t="inlineStr">
        <is>
          <t>NULL</t>
        </is>
      </c>
      <c r="E970" s="0" t="inlineStr">
        <is>
          <t>NULL</t>
        </is>
      </c>
      <c r="F970" s="0" t="inlineStr">
        <is>
          <t>NULL</t>
        </is>
      </c>
      <c r="G970" s="0" t="inlineStr">
        <is>
          <t>NULL</t>
        </is>
      </c>
      <c r="H970" s="0" t="inlineStr">
        <is>
          <t>NULL</t>
        </is>
      </c>
      <c r="I970" s="0" t="inlineStr">
        <is>
          <t>NULL</t>
        </is>
      </c>
      <c r="J970" s="0" t="inlineStr">
        <is>
          <t>NULL</t>
        </is>
      </c>
      <c r="K970" s="0" t="inlineStr">
        <is>
          <t>YES! 	 c_image3列源备映射正确，源端为image 2147483647位	期望更改为longblob	实际备端为longblob 4294967295位</t>
        </is>
      </c>
    </row>
    <row r="971">
      <c r="K971" s="0" t="inlineStr">
        <is>
          <t>[0;31m NO! [0m 	  行数不同,源1行,备端空表</t>
        </is>
      </c>
    </row>
    <row r="972">
      <c r="A972" s="0" t="inlineStr">
        <is>
          <t>info_int_dml_batch1_pk_irp2</t>
        </is>
      </c>
      <c r="K972" s="0" t="inlineStr">
        <is>
          <t>[0;34m info_int_dml_batch1_pk_irp2 [0m源备字段数相同，源端字段：20 	备端字段20</t>
        </is>
      </c>
      <c r="W972" s="0" t="inlineStr">
        <is>
          <t>YES 源备无差异</t>
        </is>
      </c>
      <c r="X972" s="0">
        <f>A972</f>
        <v/>
      </c>
    </row>
    <row r="973">
      <c r="B973" s="0" t="inlineStr">
        <is>
          <t>NO! 主键不正常，源YES备None</t>
        </is>
      </c>
      <c r="C973" s="0" t="inlineStr">
        <is>
          <t>NULL</t>
        </is>
      </c>
      <c r="D973" s="0" t="inlineStr">
        <is>
          <t>NULL</t>
        </is>
      </c>
      <c r="E973" s="0" t="inlineStr">
        <is>
          <t>NULL</t>
        </is>
      </c>
      <c r="F973" s="0" t="inlineStr">
        <is>
          <t>NULL</t>
        </is>
      </c>
      <c r="G973" s="0" t="inlineStr">
        <is>
          <t>NULL</t>
        </is>
      </c>
      <c r="H973" s="0" t="inlineStr">
        <is>
          <t>NULL</t>
        </is>
      </c>
      <c r="I973" s="0" t="inlineStr">
        <is>
          <t>NO! 源备索引不一致源PK__info_int__3213E83F7FA2DB7C备None</t>
        </is>
      </c>
      <c r="J973" s="0" t="inlineStr">
        <is>
          <t>NULL</t>
        </is>
      </c>
      <c r="K973" s="0" t="inlineStr">
        <is>
          <t>YES! 	 id列源备映射正确，源端为int None位	期望更改为int	实际备端为int None位</t>
        </is>
      </c>
    </row>
    <row r="974">
      <c r="B974" s="0" t="inlineStr">
        <is>
          <t>NULL</t>
        </is>
      </c>
      <c r="C974" s="0" t="inlineStr">
        <is>
          <t>NULL</t>
        </is>
      </c>
      <c r="D974" s="0" t="inlineStr">
        <is>
          <t>NULL</t>
        </is>
      </c>
      <c r="E974" s="0" t="inlineStr">
        <is>
          <t>NULL</t>
        </is>
      </c>
      <c r="F974" s="0" t="inlineStr">
        <is>
          <t>NULL</t>
        </is>
      </c>
      <c r="G974" s="0" t="inlineStr">
        <is>
          <t>NULL</t>
        </is>
      </c>
      <c r="H974" s="0" t="inlineStr">
        <is>
          <t>NULL</t>
        </is>
      </c>
      <c r="I974" s="0" t="inlineStr">
        <is>
          <t>NULL</t>
        </is>
      </c>
      <c r="J974" s="0" t="inlineStr">
        <is>
          <t>NULL</t>
        </is>
      </c>
      <c r="K974" s="0" t="inlineStr">
        <is>
          <t>YES! 	 c_tinyint列源备映射正确，源端为tinyint None位	期望更改为tinyint	实际备端为tinyint None位</t>
        </is>
      </c>
    </row>
    <row r="975">
      <c r="B975" s="0" t="inlineStr">
        <is>
          <t>NULL</t>
        </is>
      </c>
      <c r="C975" s="0" t="inlineStr">
        <is>
          <t>NULL</t>
        </is>
      </c>
      <c r="D975" s="0" t="inlineStr">
        <is>
          <t>NULL</t>
        </is>
      </c>
      <c r="E975" s="0" t="inlineStr">
        <is>
          <t>NULL</t>
        </is>
      </c>
      <c r="F975" s="0" t="inlineStr">
        <is>
          <t>NULL</t>
        </is>
      </c>
      <c r="G975" s="0" t="inlineStr">
        <is>
          <t>NULL</t>
        </is>
      </c>
      <c r="H975" s="0" t="inlineStr">
        <is>
          <t>NULL</t>
        </is>
      </c>
      <c r="I975" s="0" t="inlineStr">
        <is>
          <t>NULL</t>
        </is>
      </c>
      <c r="J975" s="0" t="inlineStr">
        <is>
          <t>NULL</t>
        </is>
      </c>
      <c r="K975" s="0" t="inlineStr">
        <is>
          <t>YES! 	 c_smallint列源备映射正确，源端为smallint None位	期望更改为smallint	实际备端为smallint None位</t>
        </is>
      </c>
    </row>
    <row r="976">
      <c r="B976" s="0" t="inlineStr">
        <is>
          <t>NULL</t>
        </is>
      </c>
      <c r="C976" s="0" t="inlineStr">
        <is>
          <t>NULL</t>
        </is>
      </c>
      <c r="D976" s="0" t="inlineStr">
        <is>
          <t>NULL</t>
        </is>
      </c>
      <c r="E976" s="0" t="inlineStr">
        <is>
          <t>NULL</t>
        </is>
      </c>
      <c r="F976" s="0" t="inlineStr">
        <is>
          <t>NULL</t>
        </is>
      </c>
      <c r="G976" s="0" t="inlineStr">
        <is>
          <t>NULL</t>
        </is>
      </c>
      <c r="H976" s="0" t="inlineStr">
        <is>
          <t>NULL</t>
        </is>
      </c>
      <c r="I976" s="0" t="inlineStr">
        <is>
          <t>NULL</t>
        </is>
      </c>
      <c r="J976" s="0" t="inlineStr">
        <is>
          <t>NULL</t>
        </is>
      </c>
      <c r="K976" s="0" t="inlineStr">
        <is>
          <t>YES! 	 c_int列源备映射正确，源端为int None位	期望更改为int	实际备端为int None位</t>
        </is>
      </c>
    </row>
    <row r="977">
      <c r="B977" s="0" t="inlineStr">
        <is>
          <t>NULL</t>
        </is>
      </c>
      <c r="C977" s="0" t="inlineStr">
        <is>
          <t>NULL</t>
        </is>
      </c>
      <c r="D977" s="0" t="inlineStr">
        <is>
          <t>NULL</t>
        </is>
      </c>
      <c r="E977" s="0" t="inlineStr">
        <is>
          <t>NULL</t>
        </is>
      </c>
      <c r="F977" s="0" t="inlineStr">
        <is>
          <t>NULL</t>
        </is>
      </c>
      <c r="G977" s="0" t="inlineStr">
        <is>
          <t>NULL</t>
        </is>
      </c>
      <c r="H977" s="0" t="inlineStr">
        <is>
          <t>NULL</t>
        </is>
      </c>
      <c r="I977" s="0" t="inlineStr">
        <is>
          <t>NULL</t>
        </is>
      </c>
      <c r="J977" s="0" t="inlineStr">
        <is>
          <t>NULL</t>
        </is>
      </c>
      <c r="K977" s="0" t="inlineStr">
        <is>
          <t>YES! 	 c_bigint列源备映射正确，源端为bigint None位	期望更改为bigint	实际备端为bigint None位</t>
        </is>
      </c>
    </row>
    <row r="978">
      <c r="B978" s="0" t="inlineStr">
        <is>
          <t>NULL</t>
        </is>
      </c>
      <c r="C978" s="0" t="inlineStr">
        <is>
          <t>NULL</t>
        </is>
      </c>
      <c r="D978" s="0" t="inlineStr">
        <is>
          <t>NULL</t>
        </is>
      </c>
      <c r="E978" s="0" t="inlineStr">
        <is>
          <t>NULL</t>
        </is>
      </c>
      <c r="F978" s="0" t="inlineStr">
        <is>
          <t>NULL</t>
        </is>
      </c>
      <c r="G978" s="0" t="inlineStr">
        <is>
          <t>NULL</t>
        </is>
      </c>
      <c r="H978" s="0" t="inlineStr">
        <is>
          <t>NULL</t>
        </is>
      </c>
      <c r="I978" s="0" t="inlineStr">
        <is>
          <t>NULL</t>
        </is>
      </c>
      <c r="J978" s="0" t="inlineStr">
        <is>
          <t>NULL</t>
        </is>
      </c>
      <c r="K978" s="0" t="inlineStr">
        <is>
          <t>YES! 	 c_decimal列源备映射正确，源端为decimal None位	期望更改为decimal(p,s)	实际备端为decimal None位</t>
        </is>
      </c>
    </row>
    <row r="979">
      <c r="B979" s="0" t="inlineStr">
        <is>
          <t>NULL</t>
        </is>
      </c>
      <c r="C979" s="0" t="inlineStr">
        <is>
          <t>NULL</t>
        </is>
      </c>
      <c r="D979" s="0" t="inlineStr">
        <is>
          <t>NULL</t>
        </is>
      </c>
      <c r="E979" s="0" t="inlineStr">
        <is>
          <t>NULL</t>
        </is>
      </c>
      <c r="F979" s="0" t="inlineStr">
        <is>
          <t>NULL</t>
        </is>
      </c>
      <c r="G979" s="0" t="inlineStr">
        <is>
          <t>NULL</t>
        </is>
      </c>
      <c r="H979" s="0" t="inlineStr">
        <is>
          <t>NULL</t>
        </is>
      </c>
      <c r="I979" s="0" t="inlineStr">
        <is>
          <t>NULL</t>
        </is>
      </c>
      <c r="J979" s="0" t="inlineStr">
        <is>
          <t>NULL</t>
        </is>
      </c>
      <c r="K979" s="0" t="inlineStr">
        <is>
          <t>YES! 	 c_decimal38列源备映射正确，源端为decimal None位	期望更改为decimal(p,s)	实际备端为decimal None位</t>
        </is>
      </c>
    </row>
    <row r="980">
      <c r="B980" s="0" t="inlineStr">
        <is>
          <t>NULL</t>
        </is>
      </c>
      <c r="C980" s="0" t="inlineStr">
        <is>
          <t>NULL</t>
        </is>
      </c>
      <c r="D980" s="0" t="inlineStr">
        <is>
          <t>NULL</t>
        </is>
      </c>
      <c r="E980" s="0" t="inlineStr">
        <is>
          <t>NULL</t>
        </is>
      </c>
      <c r="F980" s="0" t="inlineStr">
        <is>
          <t>NULL</t>
        </is>
      </c>
      <c r="G980" s="0" t="inlineStr">
        <is>
          <t>NULL</t>
        </is>
      </c>
      <c r="H980" s="0" t="inlineStr">
        <is>
          <t>NULL</t>
        </is>
      </c>
      <c r="I980" s="0" t="inlineStr">
        <is>
          <t>NULL</t>
        </is>
      </c>
      <c r="J980" s="0" t="inlineStr">
        <is>
          <t>NULL</t>
        </is>
      </c>
      <c r="K980" s="0" t="inlineStr">
        <is>
          <t xml:space="preserve"> NO!  	 c_decimal38_38列源备映射错误，源端为decimal None位	期望更改为decimal(p,s)	实际备端为varchar 168位</t>
        </is>
      </c>
    </row>
    <row r="981">
      <c r="B981" s="0" t="inlineStr">
        <is>
          <t>NULL</t>
        </is>
      </c>
      <c r="C981" s="0" t="inlineStr">
        <is>
          <t>NULL</t>
        </is>
      </c>
      <c r="D981" s="0" t="inlineStr">
        <is>
          <t>NULL</t>
        </is>
      </c>
      <c r="E981" s="0" t="inlineStr">
        <is>
          <t>NULL</t>
        </is>
      </c>
      <c r="F981" s="0" t="inlineStr">
        <is>
          <t>NULL</t>
        </is>
      </c>
      <c r="G981" s="0" t="inlineStr">
        <is>
          <t>NULL</t>
        </is>
      </c>
      <c r="H981" s="0" t="inlineStr">
        <is>
          <t>NULL</t>
        </is>
      </c>
      <c r="I981" s="0" t="inlineStr">
        <is>
          <t>NULL</t>
        </is>
      </c>
      <c r="J981" s="0" t="inlineStr">
        <is>
          <t>NULL</t>
        </is>
      </c>
      <c r="K981" s="0" t="inlineStr">
        <is>
          <t>YES! 	 c_decimal38_10列源备映射正确，源端为decimal None位	期望更改为decimal(p,s)	实际备端为decimal None位</t>
        </is>
      </c>
    </row>
    <row r="982">
      <c r="B982" s="0" t="inlineStr">
        <is>
          <t>NULL</t>
        </is>
      </c>
      <c r="C982" s="0" t="inlineStr">
        <is>
          <t>NULL</t>
        </is>
      </c>
      <c r="D982" s="0" t="inlineStr">
        <is>
          <t>NULL</t>
        </is>
      </c>
      <c r="E982" s="0" t="inlineStr">
        <is>
          <t>NULL</t>
        </is>
      </c>
      <c r="F982" s="0" t="inlineStr">
        <is>
          <t>NULL</t>
        </is>
      </c>
      <c r="G982" s="0" t="inlineStr">
        <is>
          <t>NULL</t>
        </is>
      </c>
      <c r="H982" s="0" t="inlineStr">
        <is>
          <t>NULL</t>
        </is>
      </c>
      <c r="I982" s="0" t="inlineStr">
        <is>
          <t>NULL</t>
        </is>
      </c>
      <c r="J982" s="0" t="inlineStr">
        <is>
          <t>NULL</t>
        </is>
      </c>
      <c r="K982" s="0" t="inlineStr">
        <is>
          <t>YES! 	 c_decimal19_4列源备映射正确，源端为decimal None位	期望更改为decimal(p,s)	实际备端为decimal None位</t>
        </is>
      </c>
    </row>
    <row r="983">
      <c r="B983" s="0" t="inlineStr">
        <is>
          <t>NULL</t>
        </is>
      </c>
      <c r="C983" s="0" t="inlineStr">
        <is>
          <t>NULL</t>
        </is>
      </c>
      <c r="D983" s="0" t="inlineStr">
        <is>
          <t>NULL</t>
        </is>
      </c>
      <c r="E983" s="0" t="inlineStr">
        <is>
          <t>NULL</t>
        </is>
      </c>
      <c r="F983" s="0" t="inlineStr">
        <is>
          <t>NULL</t>
        </is>
      </c>
      <c r="G983" s="0" t="inlineStr">
        <is>
          <t>NULL</t>
        </is>
      </c>
      <c r="H983" s="0" t="inlineStr">
        <is>
          <t>NULL</t>
        </is>
      </c>
      <c r="I983" s="0" t="inlineStr">
        <is>
          <t>NULL</t>
        </is>
      </c>
      <c r="J983" s="0" t="inlineStr">
        <is>
          <t>NULL</t>
        </is>
      </c>
      <c r="K983" s="0" t="inlineStr">
        <is>
          <t>YES! 	 c_numeric列源备映射正确，源端为numeric None位	期望更改为decimal(p,s)	实际备端为decimal None位</t>
        </is>
      </c>
    </row>
    <row r="984">
      <c r="B984" s="0" t="inlineStr">
        <is>
          <t>NULL</t>
        </is>
      </c>
      <c r="C984" s="0" t="inlineStr">
        <is>
          <t>NULL</t>
        </is>
      </c>
      <c r="D984" s="0" t="inlineStr">
        <is>
          <t>NULL</t>
        </is>
      </c>
      <c r="E984" s="0" t="inlineStr">
        <is>
          <t>NULL</t>
        </is>
      </c>
      <c r="F984" s="0" t="inlineStr">
        <is>
          <t>NULL</t>
        </is>
      </c>
      <c r="G984" s="0" t="inlineStr">
        <is>
          <t>NULL</t>
        </is>
      </c>
      <c r="H984" s="0" t="inlineStr">
        <is>
          <t>NULL</t>
        </is>
      </c>
      <c r="I984" s="0" t="inlineStr">
        <is>
          <t>NULL</t>
        </is>
      </c>
      <c r="J984" s="0" t="inlineStr">
        <is>
          <t>NULL</t>
        </is>
      </c>
      <c r="K984" s="0" t="inlineStr">
        <is>
          <t>YES! 	 c_numeric38列源备映射正确，源端为numeric None位	期望更改为decimal(p,s)	实际备端为decimal None位</t>
        </is>
      </c>
    </row>
    <row r="985">
      <c r="B985" s="0" t="inlineStr">
        <is>
          <t>NULL</t>
        </is>
      </c>
      <c r="C985" s="0" t="inlineStr">
        <is>
          <t>NULL</t>
        </is>
      </c>
      <c r="D985" s="0" t="inlineStr">
        <is>
          <t>NULL</t>
        </is>
      </c>
      <c r="E985" s="0" t="inlineStr">
        <is>
          <t>NULL</t>
        </is>
      </c>
      <c r="F985" s="0" t="inlineStr">
        <is>
          <t>NULL</t>
        </is>
      </c>
      <c r="G985" s="0" t="inlineStr">
        <is>
          <t>NULL</t>
        </is>
      </c>
      <c r="H985" s="0" t="inlineStr">
        <is>
          <t>NULL</t>
        </is>
      </c>
      <c r="I985" s="0" t="inlineStr">
        <is>
          <t>NULL</t>
        </is>
      </c>
      <c r="J985" s="0" t="inlineStr">
        <is>
          <t>NULL</t>
        </is>
      </c>
      <c r="K985" s="0" t="inlineStr">
        <is>
          <t xml:space="preserve"> NO!  	 c_numeric38_38列源备映射错误，源端为numeric None位	期望更改为decimal(p,s)	实际备端为varchar 168位</t>
        </is>
      </c>
    </row>
    <row r="986">
      <c r="B986" s="0" t="inlineStr">
        <is>
          <t>NULL</t>
        </is>
      </c>
      <c r="C986" s="0" t="inlineStr">
        <is>
          <t>NULL</t>
        </is>
      </c>
      <c r="D986" s="0" t="inlineStr">
        <is>
          <t>NULL</t>
        </is>
      </c>
      <c r="E986" s="0" t="inlineStr">
        <is>
          <t>NULL</t>
        </is>
      </c>
      <c r="F986" s="0" t="inlineStr">
        <is>
          <t>NULL</t>
        </is>
      </c>
      <c r="G986" s="0" t="inlineStr">
        <is>
          <t>NULL</t>
        </is>
      </c>
      <c r="H986" s="0" t="inlineStr">
        <is>
          <t>NULL</t>
        </is>
      </c>
      <c r="I986" s="0" t="inlineStr">
        <is>
          <t>NULL</t>
        </is>
      </c>
      <c r="J986" s="0" t="inlineStr">
        <is>
          <t>NULL</t>
        </is>
      </c>
      <c r="K986" s="0" t="inlineStr">
        <is>
          <t>YES! 	 c_numeric38_10列源备映射正确，源端为numeric None位	期望更改为decimal(p,s)	实际备端为decimal None位</t>
        </is>
      </c>
    </row>
    <row r="987">
      <c r="B987" s="0" t="inlineStr">
        <is>
          <t>NULL</t>
        </is>
      </c>
      <c r="C987" s="0" t="inlineStr">
        <is>
          <t>NULL</t>
        </is>
      </c>
      <c r="D987" s="0" t="inlineStr">
        <is>
          <t>NULL</t>
        </is>
      </c>
      <c r="E987" s="0" t="inlineStr">
        <is>
          <t>NULL</t>
        </is>
      </c>
      <c r="F987" s="0" t="inlineStr">
        <is>
          <t>NULL</t>
        </is>
      </c>
      <c r="G987" s="0" t="inlineStr">
        <is>
          <t>NULL</t>
        </is>
      </c>
      <c r="H987" s="0" t="inlineStr">
        <is>
          <t>NULL</t>
        </is>
      </c>
      <c r="I987" s="0" t="inlineStr">
        <is>
          <t>NULL</t>
        </is>
      </c>
      <c r="J987" s="0" t="inlineStr">
        <is>
          <t>NULL</t>
        </is>
      </c>
      <c r="K987" s="0" t="inlineStr">
        <is>
          <t>YES! 	 c_numeric18_2列源备映射正确，源端为numeric None位	期望更改为decimal(p,s)	实际备端为decimal None位</t>
        </is>
      </c>
    </row>
    <row r="988">
      <c r="B988" s="0" t="inlineStr">
        <is>
          <t>NULL</t>
        </is>
      </c>
      <c r="C988" s="0" t="inlineStr">
        <is>
          <t>NULL</t>
        </is>
      </c>
      <c r="D988" s="0" t="inlineStr">
        <is>
          <t>NULL</t>
        </is>
      </c>
      <c r="E988" s="0" t="inlineStr">
        <is>
          <t>NULL</t>
        </is>
      </c>
      <c r="F988" s="0" t="inlineStr">
        <is>
          <t>NULL</t>
        </is>
      </c>
      <c r="G988" s="0" t="inlineStr">
        <is>
          <t>NULL</t>
        </is>
      </c>
      <c r="H988" s="0" t="inlineStr">
        <is>
          <t>NULL</t>
        </is>
      </c>
      <c r="I988" s="0" t="inlineStr">
        <is>
          <t>NULL</t>
        </is>
      </c>
      <c r="J988" s="0" t="inlineStr">
        <is>
          <t>NULL</t>
        </is>
      </c>
      <c r="K988" s="0" t="inlineStr">
        <is>
          <t>YES! 	 c_float列源备映射正确，源端为float None位	期望更改为double	实际备端为double None位</t>
        </is>
      </c>
    </row>
    <row r="989">
      <c r="B989" s="0" t="inlineStr">
        <is>
          <t>NULL</t>
        </is>
      </c>
      <c r="C989" s="0" t="inlineStr">
        <is>
          <t>NULL</t>
        </is>
      </c>
      <c r="D989" s="0" t="inlineStr">
        <is>
          <t>NULL</t>
        </is>
      </c>
      <c r="E989" s="0" t="inlineStr">
        <is>
          <t>NULL</t>
        </is>
      </c>
      <c r="F989" s="0" t="inlineStr">
        <is>
          <t>NULL</t>
        </is>
      </c>
      <c r="G989" s="0" t="inlineStr">
        <is>
          <t>NULL</t>
        </is>
      </c>
      <c r="H989" s="0" t="inlineStr">
        <is>
          <t>NULL</t>
        </is>
      </c>
      <c r="I989" s="0" t="inlineStr">
        <is>
          <t>NULL</t>
        </is>
      </c>
      <c r="J989" s="0" t="inlineStr">
        <is>
          <t>NULL</t>
        </is>
      </c>
      <c r="K989" s="0" t="inlineStr">
        <is>
          <t>YES! 	 c_real列源备映射正确，源端为real None位	期望更改为double	实际备端为double None位</t>
        </is>
      </c>
    </row>
    <row r="990">
      <c r="B990" s="0" t="inlineStr">
        <is>
          <t>NULL</t>
        </is>
      </c>
      <c r="C990" s="0" t="inlineStr">
        <is>
          <t>NULL</t>
        </is>
      </c>
      <c r="D990" s="0" t="inlineStr">
        <is>
          <t>NULL</t>
        </is>
      </c>
      <c r="E990" s="0" t="inlineStr">
        <is>
          <t>NULL</t>
        </is>
      </c>
      <c r="F990" s="0" t="inlineStr">
        <is>
          <t>NULL</t>
        </is>
      </c>
      <c r="G990" s="0" t="inlineStr">
        <is>
          <t>NULL</t>
        </is>
      </c>
      <c r="H990" s="0" t="inlineStr">
        <is>
          <t>NULL</t>
        </is>
      </c>
      <c r="I990" s="0" t="inlineStr">
        <is>
          <t>NULL</t>
        </is>
      </c>
      <c r="J990" s="0" t="inlineStr">
        <is>
          <t>NULL</t>
        </is>
      </c>
      <c r="K990" s="0" t="inlineStr">
        <is>
          <t>YES! 	 c_money列源备映射正确，源端为money None位	期望更改为decimal(19,4)	实际备端为decimal None位</t>
        </is>
      </c>
    </row>
    <row r="991">
      <c r="B991" s="0" t="inlineStr">
        <is>
          <t>NULL</t>
        </is>
      </c>
      <c r="C991" s="0" t="inlineStr">
        <is>
          <t>NULL</t>
        </is>
      </c>
      <c r="D991" s="0" t="inlineStr">
        <is>
          <t>NULL</t>
        </is>
      </c>
      <c r="E991" s="0" t="inlineStr">
        <is>
          <t>NULL</t>
        </is>
      </c>
      <c r="F991" s="0" t="inlineStr">
        <is>
          <t>NULL</t>
        </is>
      </c>
      <c r="G991" s="0" t="inlineStr">
        <is>
          <t>NULL</t>
        </is>
      </c>
      <c r="H991" s="0" t="inlineStr">
        <is>
          <t>NULL</t>
        </is>
      </c>
      <c r="I991" s="0" t="inlineStr">
        <is>
          <t>NULL</t>
        </is>
      </c>
      <c r="J991" s="0" t="inlineStr">
        <is>
          <t>NULL</t>
        </is>
      </c>
      <c r="K991" s="0" t="inlineStr">
        <is>
          <t>YES! 	 c_smallmoney列源备映射正确，源端为smallmoney None位	期望更改为decimal(10,4)	实际备端为decimal None位</t>
        </is>
      </c>
    </row>
    <row r="992">
      <c r="B992" s="0" t="inlineStr">
        <is>
          <t>NULL</t>
        </is>
      </c>
      <c r="C992" s="0" t="inlineStr">
        <is>
          <t>NO!源None备NUL</t>
        </is>
      </c>
      <c r="D992" s="0" t="inlineStr">
        <is>
          <t>NULL</t>
        </is>
      </c>
      <c r="E992" s="0" t="inlineStr">
        <is>
          <t>NULL</t>
        </is>
      </c>
      <c r="F992" s="0" t="inlineStr">
        <is>
          <t>NULL</t>
        </is>
      </c>
      <c r="G992" s="0" t="inlineStr">
        <is>
          <t>NULL</t>
        </is>
      </c>
      <c r="H992" s="0" t="inlineStr">
        <is>
          <t>NULL</t>
        </is>
      </c>
      <c r="I992" s="0" t="inlineStr">
        <is>
          <t>NULL</t>
        </is>
      </c>
      <c r="J992" s="0" t="inlineStr">
        <is>
          <t>NULL</t>
        </is>
      </c>
      <c r="K992" s="0" t="inlineStr">
        <is>
          <t>YES! 	 c_bit列源备映射正确，源端为bit None位	期望更改为tinyint(1) 	实际备端为tinyint None位</t>
        </is>
      </c>
    </row>
    <row r="993">
      <c r="K993" s="0" t="inlineStr">
        <is>
          <t>[0;31m NO! [0m 	  行数不同,源180行,备端空表</t>
        </is>
      </c>
    </row>
    <row r="994">
      <c r="A994" s="0" t="inlineStr">
        <is>
          <t>info_uniqueidentifier_dml_single_pk_drp</t>
        </is>
      </c>
      <c r="K994" s="0" t="inlineStr">
        <is>
          <t>[0;34m info_uniqueidentifier_dml_single_pk_drp [0m源备字段数相同，源端字段：2 	备端字段2</t>
        </is>
      </c>
      <c r="W994" s="0" t="inlineStr">
        <is>
          <t>YES 源备无差异</t>
        </is>
      </c>
      <c r="X994" s="0">
        <f>A994</f>
        <v/>
      </c>
    </row>
    <row r="995">
      <c r="B995" s="0" t="inlineStr">
        <is>
          <t>NO! 主键不正常，源YES备None</t>
        </is>
      </c>
      <c r="C995" s="0" t="inlineStr">
        <is>
          <t>NULL</t>
        </is>
      </c>
      <c r="D995" s="0" t="inlineStr">
        <is>
          <t>NULL</t>
        </is>
      </c>
      <c r="E995" s="0" t="inlineStr">
        <is>
          <t>NULL</t>
        </is>
      </c>
      <c r="F995" s="0" t="inlineStr">
        <is>
          <t>NULL</t>
        </is>
      </c>
      <c r="G995" s="0" t="inlineStr">
        <is>
          <t>NULL</t>
        </is>
      </c>
      <c r="H995" s="0" t="inlineStr">
        <is>
          <t>NULL</t>
        </is>
      </c>
      <c r="I995" s="0" t="inlineStr">
        <is>
          <t>NO! 源备索引不一致源PK__info_uni__3213E83F99C036A0备None</t>
        </is>
      </c>
      <c r="J995" s="0" t="inlineStr">
        <is>
          <t>NULL</t>
        </is>
      </c>
      <c r="K995" s="0" t="inlineStr">
        <is>
          <t>YES! 	 id列源备映射正确，源端为int None位	期望更改为int	实际备端为int None位</t>
        </is>
      </c>
    </row>
    <row r="996">
      <c r="B996" s="0" t="inlineStr">
        <is>
          <t>NULL</t>
        </is>
      </c>
      <c r="C996" s="0" t="inlineStr">
        <is>
          <t>NO!源None备NUL</t>
        </is>
      </c>
      <c r="D996" s="0" t="inlineStr">
        <is>
          <t>NULL</t>
        </is>
      </c>
      <c r="E996" s="0" t="inlineStr">
        <is>
          <t>NULL</t>
        </is>
      </c>
      <c r="F996" s="0" t="inlineStr">
        <is>
          <t>NULL</t>
        </is>
      </c>
      <c r="G996" s="0" t="inlineStr">
        <is>
          <t>NULL</t>
        </is>
      </c>
      <c r="H996" s="0" t="inlineStr">
        <is>
          <t>NULL</t>
        </is>
      </c>
      <c r="I996" s="0" t="inlineStr">
        <is>
          <t>NULL</t>
        </is>
      </c>
      <c r="J996" s="0" t="inlineStr">
        <is>
          <t>NULL</t>
        </is>
      </c>
      <c r="K996" s="0" t="inlineStr">
        <is>
          <t>[0;32m YES! [0m 	 c_uniqueidentifier列源备映射正确，源端为uniqueidentifier None位	期望更改为VARCHAR(100)	实际备端为varchar 400位	位数精度不存在，通过长度比较</t>
        </is>
      </c>
    </row>
    <row r="997">
      <c r="K997" s="0" t="inlineStr">
        <is>
          <t>[0;31m NO! [0m 	  行数不同,源1行,备端空表</t>
        </is>
      </c>
    </row>
    <row r="998">
      <c r="A998" s="0" t="inlineStr">
        <is>
          <t>info_varbinary_max_dml_single_pk_urp</t>
        </is>
      </c>
      <c r="K998" s="0" t="inlineStr">
        <is>
          <t>[0;34m info_varbinary_max_dml_single_pk_urp [0m源备字段数相同，源端字段：4 	备端字段4</t>
        </is>
      </c>
      <c r="W998" s="0" t="inlineStr">
        <is>
          <t>YES 源备无差异</t>
        </is>
      </c>
      <c r="X998" s="0">
        <f>A998</f>
        <v/>
      </c>
    </row>
    <row r="999">
      <c r="B999" s="0" t="inlineStr">
        <is>
          <t>NO! 主键不正常，源YES备None</t>
        </is>
      </c>
      <c r="C999" s="0" t="inlineStr">
        <is>
          <t>NULL</t>
        </is>
      </c>
      <c r="D999" s="0" t="inlineStr">
        <is>
          <t>NULL</t>
        </is>
      </c>
      <c r="E999" s="0" t="inlineStr">
        <is>
          <t>NULL</t>
        </is>
      </c>
      <c r="F999" s="0" t="inlineStr">
        <is>
          <t>NULL</t>
        </is>
      </c>
      <c r="G999" s="0" t="inlineStr">
        <is>
          <t>NULL</t>
        </is>
      </c>
      <c r="H999" s="0" t="inlineStr">
        <is>
          <t>NULL</t>
        </is>
      </c>
      <c r="I999" s="0" t="inlineStr">
        <is>
          <t>NO! 源备索引不一致源PK__info_var__3213E83FE861EA08备None</t>
        </is>
      </c>
      <c r="J999" s="0" t="inlineStr">
        <is>
          <t>NULL</t>
        </is>
      </c>
      <c r="K999" s="0" t="inlineStr">
        <is>
          <t>YES! 	 id列源备映射正确，源端为int None位	期望更改为int	实际备端为int None位</t>
        </is>
      </c>
    </row>
    <row r="1000">
      <c r="B1000" s="0" t="inlineStr">
        <is>
          <t>NULL</t>
        </is>
      </c>
      <c r="C1000" s="0" t="inlineStr">
        <is>
          <t>NULL</t>
        </is>
      </c>
      <c r="D1000" s="0" t="inlineStr">
        <is>
          <t>NULL</t>
        </is>
      </c>
      <c r="E1000" s="0" t="inlineStr">
        <is>
          <t>NULL</t>
        </is>
      </c>
      <c r="F1000" s="0" t="inlineStr">
        <is>
          <t>NULL</t>
        </is>
      </c>
      <c r="G1000" s="0" t="inlineStr">
        <is>
          <t>NULL</t>
        </is>
      </c>
      <c r="H1000" s="0" t="inlineStr">
        <is>
          <t>NULL</t>
        </is>
      </c>
      <c r="I1000" s="0" t="inlineStr">
        <is>
          <t>NULL</t>
        </is>
      </c>
      <c r="J1000" s="0" t="inlineStr">
        <is>
          <t>NULL</t>
        </is>
      </c>
      <c r="K1000" s="0" t="inlineStr">
        <is>
          <t>YES! 	 c_varbinary_max1列源备映射正确，源端为varbinary -1位	期望更改为longblob	实际备端为longblob 4294967295位</t>
        </is>
      </c>
    </row>
    <row r="1001">
      <c r="B1001" s="0" t="inlineStr">
        <is>
          <t>NULL</t>
        </is>
      </c>
      <c r="C1001" s="0" t="inlineStr">
        <is>
          <t>NULL</t>
        </is>
      </c>
      <c r="D1001" s="0" t="inlineStr">
        <is>
          <t>NULL</t>
        </is>
      </c>
      <c r="E1001" s="0" t="inlineStr">
        <is>
          <t>NULL</t>
        </is>
      </c>
      <c r="F1001" s="0" t="inlineStr">
        <is>
          <t>NULL</t>
        </is>
      </c>
      <c r="G1001" s="0" t="inlineStr">
        <is>
          <t>NULL</t>
        </is>
      </c>
      <c r="H1001" s="0" t="inlineStr">
        <is>
          <t>NULL</t>
        </is>
      </c>
      <c r="I1001" s="0" t="inlineStr">
        <is>
          <t>NULL</t>
        </is>
      </c>
      <c r="J1001" s="0" t="inlineStr">
        <is>
          <t>NULL</t>
        </is>
      </c>
      <c r="K1001" s="0" t="inlineStr">
        <is>
          <t>YES! 	 c_varbinary_max2列源备映射正确，源端为varbinary -1位	期望更改为longblob	实际备端为longblob 4294967295位</t>
        </is>
      </c>
    </row>
    <row r="1002">
      <c r="B1002" s="0" t="inlineStr">
        <is>
          <t>NULL</t>
        </is>
      </c>
      <c r="C1002" s="0" t="inlineStr">
        <is>
          <t>NULL</t>
        </is>
      </c>
      <c r="D1002" s="0" t="inlineStr">
        <is>
          <t>NULL</t>
        </is>
      </c>
      <c r="E1002" s="0" t="inlineStr">
        <is>
          <t>NULL</t>
        </is>
      </c>
      <c r="F1002" s="0" t="inlineStr">
        <is>
          <t>NULL</t>
        </is>
      </c>
      <c r="G1002" s="0" t="inlineStr">
        <is>
          <t>NULL</t>
        </is>
      </c>
      <c r="H1002" s="0" t="inlineStr">
        <is>
          <t>NULL</t>
        </is>
      </c>
      <c r="I1002" s="0" t="inlineStr">
        <is>
          <t>NULL</t>
        </is>
      </c>
      <c r="J1002" s="0" t="inlineStr">
        <is>
          <t>NULL</t>
        </is>
      </c>
      <c r="K1002" s="0" t="inlineStr">
        <is>
          <t>YES! 	 c_image3列源备映射正确，源端为image 2147483647位	期望更改为longblob	实际备端为longblob 4294967295位</t>
        </is>
      </c>
    </row>
    <row r="1003">
      <c r="K1003" s="0" t="inlineStr">
        <is>
          <t>[0;31m NO! [0m 	  行数不同,源4行,备端空表</t>
        </is>
      </c>
    </row>
    <row r="1004">
      <c r="A1004" s="0" t="inlineStr">
        <is>
          <t>info_uniqueidentifier_dml_single_pk_irp</t>
        </is>
      </c>
      <c r="K1004" s="0" t="inlineStr">
        <is>
          <t>[0;34m info_uniqueidentifier_dml_single_pk_irp [0m源备字段数相同，源端字段：2 	备端字段2</t>
        </is>
      </c>
      <c r="W1004" s="0" t="inlineStr">
        <is>
          <t>YES 源备无差异</t>
        </is>
      </c>
      <c r="X1004" s="0">
        <f>A1004</f>
        <v/>
      </c>
    </row>
    <row r="1005">
      <c r="B1005" s="0" t="inlineStr">
        <is>
          <t>NO! 主键不正常，源YES备None</t>
        </is>
      </c>
      <c r="C1005" s="0" t="inlineStr">
        <is>
          <t>NULL</t>
        </is>
      </c>
      <c r="D1005" s="0" t="inlineStr">
        <is>
          <t>NULL</t>
        </is>
      </c>
      <c r="E1005" s="0" t="inlineStr">
        <is>
          <t>NULL</t>
        </is>
      </c>
      <c r="F1005" s="0" t="inlineStr">
        <is>
          <t>NULL</t>
        </is>
      </c>
      <c r="G1005" s="0" t="inlineStr">
        <is>
          <t>NULL</t>
        </is>
      </c>
      <c r="H1005" s="0" t="inlineStr">
        <is>
          <t>NULL</t>
        </is>
      </c>
      <c r="I1005" s="0" t="inlineStr">
        <is>
          <t>NO! 源备索引不一致源PK__info_uni__3213E83F0A588E05备None</t>
        </is>
      </c>
      <c r="J1005" s="0" t="inlineStr">
        <is>
          <t>NULL</t>
        </is>
      </c>
      <c r="K1005" s="0" t="inlineStr">
        <is>
          <t>YES! 	 id列源备映射正确，源端为int None位	期望更改为int	实际备端为int None位</t>
        </is>
      </c>
    </row>
    <row r="1006">
      <c r="B1006" s="0" t="inlineStr">
        <is>
          <t>NULL</t>
        </is>
      </c>
      <c r="C1006" s="0" t="inlineStr">
        <is>
          <t>NO!源None备NUL</t>
        </is>
      </c>
      <c r="D1006" s="0" t="inlineStr">
        <is>
          <t>NULL</t>
        </is>
      </c>
      <c r="E1006" s="0" t="inlineStr">
        <is>
          <t>NULL</t>
        </is>
      </c>
      <c r="F1006" s="0" t="inlineStr">
        <is>
          <t>NULL</t>
        </is>
      </c>
      <c r="G1006" s="0" t="inlineStr">
        <is>
          <t>NULL</t>
        </is>
      </c>
      <c r="H1006" s="0" t="inlineStr">
        <is>
          <t>NULL</t>
        </is>
      </c>
      <c r="I1006" s="0" t="inlineStr">
        <is>
          <t>NULL</t>
        </is>
      </c>
      <c r="J1006" s="0" t="inlineStr">
        <is>
          <t>NULL</t>
        </is>
      </c>
      <c r="K1006" s="0" t="inlineStr">
        <is>
          <t>[0;32m YES! [0m 	 c_uniqueidentifier列源备映射正确，源端为uniqueidentifier None位	期望更改为VARCHAR(100)	实际备端为varchar 400位	位数精度不存在，通过长度比较</t>
        </is>
      </c>
    </row>
    <row r="1007">
      <c r="K1007" s="0" t="inlineStr">
        <is>
          <t>[0;31m NO! [0m 	  行数不同,源4行,备端空表</t>
        </is>
      </c>
    </row>
    <row r="1008">
      <c r="A1008" s="0" t="inlineStr">
        <is>
          <t>info_xml_dml_single_pk_urp</t>
        </is>
      </c>
      <c r="K1008" s="0" t="inlineStr">
        <is>
          <t>[0;34m info_xml_dml_single_pk_urp [0m源备字段数相同，源端字段：2 	备端字段2</t>
        </is>
      </c>
      <c r="W1008" s="0" t="inlineStr">
        <is>
          <t>YES 源备无差异</t>
        </is>
      </c>
      <c r="X1008" s="0">
        <f>A1008</f>
        <v/>
      </c>
    </row>
    <row r="1009">
      <c r="B1009" s="0" t="inlineStr">
        <is>
          <t>NO! 主键不正常，源YES备None</t>
        </is>
      </c>
      <c r="C1009" s="0" t="inlineStr">
        <is>
          <t>NULL</t>
        </is>
      </c>
      <c r="D1009" s="0" t="inlineStr">
        <is>
          <t>NULL</t>
        </is>
      </c>
      <c r="E1009" s="0" t="inlineStr">
        <is>
          <t>NULL</t>
        </is>
      </c>
      <c r="F1009" s="0" t="inlineStr">
        <is>
          <t>NULL</t>
        </is>
      </c>
      <c r="G1009" s="0" t="inlineStr">
        <is>
          <t>NULL</t>
        </is>
      </c>
      <c r="H1009" s="0" t="inlineStr">
        <is>
          <t>NULL</t>
        </is>
      </c>
      <c r="I1009" s="0" t="inlineStr">
        <is>
          <t>NO! 源备索引不一致源PK__info_xml__3213E83F7193908E备None</t>
        </is>
      </c>
      <c r="J1009" s="0" t="inlineStr">
        <is>
          <t>NULL</t>
        </is>
      </c>
      <c r="K1009" s="0" t="inlineStr">
        <is>
          <t>YES! 	 id列源备映射正确，源端为int None位	期望更改为int	实际备端为int None位</t>
        </is>
      </c>
    </row>
    <row r="1010">
      <c r="B1010" s="0" t="inlineStr">
        <is>
          <t>NULL</t>
        </is>
      </c>
      <c r="C1010" s="0" t="inlineStr">
        <is>
          <t>NULL</t>
        </is>
      </c>
      <c r="D1010" s="0" t="inlineStr">
        <is>
          <t>NULL</t>
        </is>
      </c>
      <c r="E1010" s="0" t="inlineStr">
        <is>
          <t>NULL</t>
        </is>
      </c>
      <c r="F1010" s="0" t="inlineStr">
        <is>
          <t>NULL</t>
        </is>
      </c>
      <c r="G1010" s="0" t="inlineStr">
        <is>
          <t>NULL</t>
        </is>
      </c>
      <c r="H1010" s="0" t="inlineStr">
        <is>
          <t>NULL</t>
        </is>
      </c>
      <c r="I1010" s="0" t="inlineStr">
        <is>
          <t>NULL</t>
        </is>
      </c>
      <c r="J1010" s="0" t="inlineStr">
        <is>
          <t>NULL</t>
        </is>
      </c>
      <c r="K1010" s="0" t="inlineStr">
        <is>
          <t>YES! 	 c_xml列源备映射正确，源端为xml -1位	期望更改为longtext	实际备端为longtext 4294967295位</t>
        </is>
      </c>
    </row>
    <row r="1011">
      <c r="K1011" s="0" t="inlineStr">
        <is>
          <t>[0;31m NO! [0m 	  行数不同,源5行,备端空表</t>
        </is>
      </c>
    </row>
    <row r="1012">
      <c r="A1012" s="0" t="inlineStr">
        <is>
          <t>info_int_dml_batch2_pk_irp2</t>
        </is>
      </c>
      <c r="K1012" s="0" t="inlineStr">
        <is>
          <t>[0;34m info_int_dml_batch2_pk_irp2 [0m源备字段数相同，源端字段：20 	备端字段20</t>
        </is>
      </c>
      <c r="W1012" s="0" t="inlineStr">
        <is>
          <t>YES 源备无差异</t>
        </is>
      </c>
      <c r="X1012" s="0">
        <f>A1012</f>
        <v/>
      </c>
    </row>
    <row r="1013">
      <c r="B1013" s="0" t="inlineStr">
        <is>
          <t>NO! 主键不正常，源YES备None</t>
        </is>
      </c>
      <c r="C1013" s="0" t="inlineStr">
        <is>
          <t>NULL</t>
        </is>
      </c>
      <c r="D1013" s="0" t="inlineStr">
        <is>
          <t>NULL</t>
        </is>
      </c>
      <c r="E1013" s="0" t="inlineStr">
        <is>
          <t>NULL</t>
        </is>
      </c>
      <c r="F1013" s="0" t="inlineStr">
        <is>
          <t>NULL</t>
        </is>
      </c>
      <c r="G1013" s="0" t="inlineStr">
        <is>
          <t>NULL</t>
        </is>
      </c>
      <c r="H1013" s="0" t="inlineStr">
        <is>
          <t>NULL</t>
        </is>
      </c>
      <c r="I1013" s="0" t="inlineStr">
        <is>
          <t>NO! 源备索引不一致源PK__info_int__3213E83FE80A05E7备None</t>
        </is>
      </c>
      <c r="J1013" s="0" t="inlineStr">
        <is>
          <t>NULL</t>
        </is>
      </c>
      <c r="K1013" s="0" t="inlineStr">
        <is>
          <t>YES! 	 id列源备映射正确，源端为int None位	期望更改为int	实际备端为int None位</t>
        </is>
      </c>
    </row>
    <row r="1014">
      <c r="B1014" s="0" t="inlineStr">
        <is>
          <t>NULL</t>
        </is>
      </c>
      <c r="C1014" s="0" t="inlineStr">
        <is>
          <t>NULL</t>
        </is>
      </c>
      <c r="D1014" s="0" t="inlineStr">
        <is>
          <t>NULL</t>
        </is>
      </c>
      <c r="E1014" s="0" t="inlineStr">
        <is>
          <t>NULL</t>
        </is>
      </c>
      <c r="F1014" s="0" t="inlineStr">
        <is>
          <t>NULL</t>
        </is>
      </c>
      <c r="G1014" s="0" t="inlineStr">
        <is>
          <t>NULL</t>
        </is>
      </c>
      <c r="H1014" s="0" t="inlineStr">
        <is>
          <t>NULL</t>
        </is>
      </c>
      <c r="I1014" s="0" t="inlineStr">
        <is>
          <t>NULL</t>
        </is>
      </c>
      <c r="J1014" s="0" t="inlineStr">
        <is>
          <t>NULL</t>
        </is>
      </c>
      <c r="K1014" s="0" t="inlineStr">
        <is>
          <t>YES! 	 c_tinyint列源备映射正确，源端为tinyint None位	期望更改为tinyint	实际备端为tinyint None位</t>
        </is>
      </c>
    </row>
    <row r="1015">
      <c r="B1015" s="0" t="inlineStr">
        <is>
          <t>NULL</t>
        </is>
      </c>
      <c r="C1015" s="0" t="inlineStr">
        <is>
          <t>NULL</t>
        </is>
      </c>
      <c r="D1015" s="0" t="inlineStr">
        <is>
          <t>NULL</t>
        </is>
      </c>
      <c r="E1015" s="0" t="inlineStr">
        <is>
          <t>NULL</t>
        </is>
      </c>
      <c r="F1015" s="0" t="inlineStr">
        <is>
          <t>NULL</t>
        </is>
      </c>
      <c r="G1015" s="0" t="inlineStr">
        <is>
          <t>NULL</t>
        </is>
      </c>
      <c r="H1015" s="0" t="inlineStr">
        <is>
          <t>NULL</t>
        </is>
      </c>
      <c r="I1015" s="0" t="inlineStr">
        <is>
          <t>NULL</t>
        </is>
      </c>
      <c r="J1015" s="0" t="inlineStr">
        <is>
          <t>NULL</t>
        </is>
      </c>
      <c r="K1015" s="0" t="inlineStr">
        <is>
          <t>YES! 	 c_smallint列源备映射正确，源端为smallint None位	期望更改为smallint	实际备端为smallint None位</t>
        </is>
      </c>
    </row>
    <row r="1016">
      <c r="B1016" s="0" t="inlineStr">
        <is>
          <t>NULL</t>
        </is>
      </c>
      <c r="C1016" s="0" t="inlineStr">
        <is>
          <t>NULL</t>
        </is>
      </c>
      <c r="D1016" s="0" t="inlineStr">
        <is>
          <t>NULL</t>
        </is>
      </c>
      <c r="E1016" s="0" t="inlineStr">
        <is>
          <t>NULL</t>
        </is>
      </c>
      <c r="F1016" s="0" t="inlineStr">
        <is>
          <t>NULL</t>
        </is>
      </c>
      <c r="G1016" s="0" t="inlineStr">
        <is>
          <t>NULL</t>
        </is>
      </c>
      <c r="H1016" s="0" t="inlineStr">
        <is>
          <t>NULL</t>
        </is>
      </c>
      <c r="I1016" s="0" t="inlineStr">
        <is>
          <t>NULL</t>
        </is>
      </c>
      <c r="J1016" s="0" t="inlineStr">
        <is>
          <t>NULL</t>
        </is>
      </c>
      <c r="K1016" s="0" t="inlineStr">
        <is>
          <t>YES! 	 c_int列源备映射正确，源端为int None位	期望更改为int	实际备端为int None位</t>
        </is>
      </c>
    </row>
    <row r="1017">
      <c r="B1017" s="0" t="inlineStr">
        <is>
          <t>NULL</t>
        </is>
      </c>
      <c r="C1017" s="0" t="inlineStr">
        <is>
          <t>NULL</t>
        </is>
      </c>
      <c r="D1017" s="0" t="inlineStr">
        <is>
          <t>NULL</t>
        </is>
      </c>
      <c r="E1017" s="0" t="inlineStr">
        <is>
          <t>NULL</t>
        </is>
      </c>
      <c r="F1017" s="0" t="inlineStr">
        <is>
          <t>NULL</t>
        </is>
      </c>
      <c r="G1017" s="0" t="inlineStr">
        <is>
          <t>NULL</t>
        </is>
      </c>
      <c r="H1017" s="0" t="inlineStr">
        <is>
          <t>NULL</t>
        </is>
      </c>
      <c r="I1017" s="0" t="inlineStr">
        <is>
          <t>NULL</t>
        </is>
      </c>
      <c r="J1017" s="0" t="inlineStr">
        <is>
          <t>NULL</t>
        </is>
      </c>
      <c r="K1017" s="0" t="inlineStr">
        <is>
          <t>YES! 	 c_bigint列源备映射正确，源端为bigint None位	期望更改为bigint	实际备端为bigint None位</t>
        </is>
      </c>
    </row>
    <row r="1018">
      <c r="B1018" s="0" t="inlineStr">
        <is>
          <t>NULL</t>
        </is>
      </c>
      <c r="C1018" s="0" t="inlineStr">
        <is>
          <t>NULL</t>
        </is>
      </c>
      <c r="D1018" s="0" t="inlineStr">
        <is>
          <t>NULL</t>
        </is>
      </c>
      <c r="E1018" s="0" t="inlineStr">
        <is>
          <t>NULL</t>
        </is>
      </c>
      <c r="F1018" s="0" t="inlineStr">
        <is>
          <t>NULL</t>
        </is>
      </c>
      <c r="G1018" s="0" t="inlineStr">
        <is>
          <t>NULL</t>
        </is>
      </c>
      <c r="H1018" s="0" t="inlineStr">
        <is>
          <t>NULL</t>
        </is>
      </c>
      <c r="I1018" s="0" t="inlineStr">
        <is>
          <t>NULL</t>
        </is>
      </c>
      <c r="J1018" s="0" t="inlineStr">
        <is>
          <t>NULL</t>
        </is>
      </c>
      <c r="K1018" s="0" t="inlineStr">
        <is>
          <t>YES! 	 c_decimal列源备映射正确，源端为decimal None位	期望更改为decimal(p,s)	实际备端为decimal None位</t>
        </is>
      </c>
    </row>
    <row r="1019">
      <c r="B1019" s="0" t="inlineStr">
        <is>
          <t>NULL</t>
        </is>
      </c>
      <c r="C1019" s="0" t="inlineStr">
        <is>
          <t>NULL</t>
        </is>
      </c>
      <c r="D1019" s="0" t="inlineStr">
        <is>
          <t>NULL</t>
        </is>
      </c>
      <c r="E1019" s="0" t="inlineStr">
        <is>
          <t>NULL</t>
        </is>
      </c>
      <c r="F1019" s="0" t="inlineStr">
        <is>
          <t>NULL</t>
        </is>
      </c>
      <c r="G1019" s="0" t="inlineStr">
        <is>
          <t>NULL</t>
        </is>
      </c>
      <c r="H1019" s="0" t="inlineStr">
        <is>
          <t>NULL</t>
        </is>
      </c>
      <c r="I1019" s="0" t="inlineStr">
        <is>
          <t>NULL</t>
        </is>
      </c>
      <c r="J1019" s="0" t="inlineStr">
        <is>
          <t>NULL</t>
        </is>
      </c>
      <c r="K1019" s="0" t="inlineStr">
        <is>
          <t>YES! 	 c_decimal38列源备映射正确，源端为decimal None位	期望更改为decimal(p,s)	实际备端为decimal None位</t>
        </is>
      </c>
    </row>
    <row r="1020">
      <c r="B1020" s="0" t="inlineStr">
        <is>
          <t>NULL</t>
        </is>
      </c>
      <c r="C1020" s="0" t="inlineStr">
        <is>
          <t>NULL</t>
        </is>
      </c>
      <c r="D1020" s="0" t="inlineStr">
        <is>
          <t>NULL</t>
        </is>
      </c>
      <c r="E1020" s="0" t="inlineStr">
        <is>
          <t>NULL</t>
        </is>
      </c>
      <c r="F1020" s="0" t="inlineStr">
        <is>
          <t>NULL</t>
        </is>
      </c>
      <c r="G1020" s="0" t="inlineStr">
        <is>
          <t>NULL</t>
        </is>
      </c>
      <c r="H1020" s="0" t="inlineStr">
        <is>
          <t>NULL</t>
        </is>
      </c>
      <c r="I1020" s="0" t="inlineStr">
        <is>
          <t>NULL</t>
        </is>
      </c>
      <c r="J1020" s="0" t="inlineStr">
        <is>
          <t>NULL</t>
        </is>
      </c>
      <c r="K1020" s="0" t="inlineStr">
        <is>
          <t xml:space="preserve"> NO!  	 c_decimal38_38列源备映射错误，源端为decimal None位	期望更改为decimal(p,s)	实际备端为varchar 168位</t>
        </is>
      </c>
    </row>
    <row r="1021">
      <c r="B1021" s="0" t="inlineStr">
        <is>
          <t>NULL</t>
        </is>
      </c>
      <c r="C1021" s="0" t="inlineStr">
        <is>
          <t>NULL</t>
        </is>
      </c>
      <c r="D1021" s="0" t="inlineStr">
        <is>
          <t>NULL</t>
        </is>
      </c>
      <c r="E1021" s="0" t="inlineStr">
        <is>
          <t>NULL</t>
        </is>
      </c>
      <c r="F1021" s="0" t="inlineStr">
        <is>
          <t>NULL</t>
        </is>
      </c>
      <c r="G1021" s="0" t="inlineStr">
        <is>
          <t>NULL</t>
        </is>
      </c>
      <c r="H1021" s="0" t="inlineStr">
        <is>
          <t>NULL</t>
        </is>
      </c>
      <c r="I1021" s="0" t="inlineStr">
        <is>
          <t>NULL</t>
        </is>
      </c>
      <c r="J1021" s="0" t="inlineStr">
        <is>
          <t>NULL</t>
        </is>
      </c>
      <c r="K1021" s="0" t="inlineStr">
        <is>
          <t>YES! 	 c_decimal38_10列源备映射正确，源端为decimal None位	期望更改为decimal(p,s)	实际备端为decimal None位</t>
        </is>
      </c>
    </row>
    <row r="1022">
      <c r="B1022" s="0" t="inlineStr">
        <is>
          <t>NULL</t>
        </is>
      </c>
      <c r="C1022" s="0" t="inlineStr">
        <is>
          <t>NULL</t>
        </is>
      </c>
      <c r="D1022" s="0" t="inlineStr">
        <is>
          <t>NULL</t>
        </is>
      </c>
      <c r="E1022" s="0" t="inlineStr">
        <is>
          <t>NULL</t>
        </is>
      </c>
      <c r="F1022" s="0" t="inlineStr">
        <is>
          <t>NULL</t>
        </is>
      </c>
      <c r="G1022" s="0" t="inlineStr">
        <is>
          <t>NULL</t>
        </is>
      </c>
      <c r="H1022" s="0" t="inlineStr">
        <is>
          <t>NULL</t>
        </is>
      </c>
      <c r="I1022" s="0" t="inlineStr">
        <is>
          <t>NULL</t>
        </is>
      </c>
      <c r="J1022" s="0" t="inlineStr">
        <is>
          <t>NULL</t>
        </is>
      </c>
      <c r="K1022" s="0" t="inlineStr">
        <is>
          <t>YES! 	 c_decimal19_4列源备映射正确，源端为decimal None位	期望更改为decimal(p,s)	实际备端为decimal None位</t>
        </is>
      </c>
    </row>
    <row r="1023">
      <c r="B1023" s="0" t="inlineStr">
        <is>
          <t>NULL</t>
        </is>
      </c>
      <c r="C1023" s="0" t="inlineStr">
        <is>
          <t>NULL</t>
        </is>
      </c>
      <c r="D1023" s="0" t="inlineStr">
        <is>
          <t>NULL</t>
        </is>
      </c>
      <c r="E1023" s="0" t="inlineStr">
        <is>
          <t>NULL</t>
        </is>
      </c>
      <c r="F1023" s="0" t="inlineStr">
        <is>
          <t>NULL</t>
        </is>
      </c>
      <c r="G1023" s="0" t="inlineStr">
        <is>
          <t>NULL</t>
        </is>
      </c>
      <c r="H1023" s="0" t="inlineStr">
        <is>
          <t>NULL</t>
        </is>
      </c>
      <c r="I1023" s="0" t="inlineStr">
        <is>
          <t>NULL</t>
        </is>
      </c>
      <c r="J1023" s="0" t="inlineStr">
        <is>
          <t>NULL</t>
        </is>
      </c>
      <c r="K1023" s="0" t="inlineStr">
        <is>
          <t>YES! 	 c_numeric列源备映射正确，源端为numeric None位	期望更改为decimal(p,s)	实际备端为decimal None位</t>
        </is>
      </c>
    </row>
    <row r="1024">
      <c r="B1024" s="0" t="inlineStr">
        <is>
          <t>NULL</t>
        </is>
      </c>
      <c r="C1024" s="0" t="inlineStr">
        <is>
          <t>NULL</t>
        </is>
      </c>
      <c r="D1024" s="0" t="inlineStr">
        <is>
          <t>NULL</t>
        </is>
      </c>
      <c r="E1024" s="0" t="inlineStr">
        <is>
          <t>NULL</t>
        </is>
      </c>
      <c r="F1024" s="0" t="inlineStr">
        <is>
          <t>NULL</t>
        </is>
      </c>
      <c r="G1024" s="0" t="inlineStr">
        <is>
          <t>NULL</t>
        </is>
      </c>
      <c r="H1024" s="0" t="inlineStr">
        <is>
          <t>NULL</t>
        </is>
      </c>
      <c r="I1024" s="0" t="inlineStr">
        <is>
          <t>NULL</t>
        </is>
      </c>
      <c r="J1024" s="0" t="inlineStr">
        <is>
          <t>NULL</t>
        </is>
      </c>
      <c r="K1024" s="0" t="inlineStr">
        <is>
          <t>YES! 	 c_numeric38列源备映射正确，源端为numeric None位	期望更改为decimal(p,s)	实际备端为decimal None位</t>
        </is>
      </c>
    </row>
    <row r="1025">
      <c r="B1025" s="0" t="inlineStr">
        <is>
          <t>NULL</t>
        </is>
      </c>
      <c r="C1025" s="0" t="inlineStr">
        <is>
          <t>NULL</t>
        </is>
      </c>
      <c r="D1025" s="0" t="inlineStr">
        <is>
          <t>NULL</t>
        </is>
      </c>
      <c r="E1025" s="0" t="inlineStr">
        <is>
          <t>NULL</t>
        </is>
      </c>
      <c r="F1025" s="0" t="inlineStr">
        <is>
          <t>NULL</t>
        </is>
      </c>
      <c r="G1025" s="0" t="inlineStr">
        <is>
          <t>NULL</t>
        </is>
      </c>
      <c r="H1025" s="0" t="inlineStr">
        <is>
          <t>NULL</t>
        </is>
      </c>
      <c r="I1025" s="0" t="inlineStr">
        <is>
          <t>NULL</t>
        </is>
      </c>
      <c r="J1025" s="0" t="inlineStr">
        <is>
          <t>NULL</t>
        </is>
      </c>
      <c r="K1025" s="0" t="inlineStr">
        <is>
          <t xml:space="preserve"> NO!  	 c_numeric38_38列源备映射错误，源端为numeric None位	期望更改为decimal(p,s)	实际备端为varchar 168位</t>
        </is>
      </c>
    </row>
    <row r="1026">
      <c r="B1026" s="0" t="inlineStr">
        <is>
          <t>NULL</t>
        </is>
      </c>
      <c r="C1026" s="0" t="inlineStr">
        <is>
          <t>NULL</t>
        </is>
      </c>
      <c r="D1026" s="0" t="inlineStr">
        <is>
          <t>NULL</t>
        </is>
      </c>
      <c r="E1026" s="0" t="inlineStr">
        <is>
          <t>NULL</t>
        </is>
      </c>
      <c r="F1026" s="0" t="inlineStr">
        <is>
          <t>NULL</t>
        </is>
      </c>
      <c r="G1026" s="0" t="inlineStr">
        <is>
          <t>NULL</t>
        </is>
      </c>
      <c r="H1026" s="0" t="inlineStr">
        <is>
          <t>NULL</t>
        </is>
      </c>
      <c r="I1026" s="0" t="inlineStr">
        <is>
          <t>NULL</t>
        </is>
      </c>
      <c r="J1026" s="0" t="inlineStr">
        <is>
          <t>NULL</t>
        </is>
      </c>
      <c r="K1026" s="0" t="inlineStr">
        <is>
          <t>YES! 	 c_numeric38_10列源备映射正确，源端为numeric None位	期望更改为decimal(p,s)	实际备端为decimal None位</t>
        </is>
      </c>
    </row>
    <row r="1027">
      <c r="B1027" s="0" t="inlineStr">
        <is>
          <t>NULL</t>
        </is>
      </c>
      <c r="C1027" s="0" t="inlineStr">
        <is>
          <t>NULL</t>
        </is>
      </c>
      <c r="D1027" s="0" t="inlineStr">
        <is>
          <t>NULL</t>
        </is>
      </c>
      <c r="E1027" s="0" t="inlineStr">
        <is>
          <t>NULL</t>
        </is>
      </c>
      <c r="F1027" s="0" t="inlineStr">
        <is>
          <t>NULL</t>
        </is>
      </c>
      <c r="G1027" s="0" t="inlineStr">
        <is>
          <t>NULL</t>
        </is>
      </c>
      <c r="H1027" s="0" t="inlineStr">
        <is>
          <t>NULL</t>
        </is>
      </c>
      <c r="I1027" s="0" t="inlineStr">
        <is>
          <t>NULL</t>
        </is>
      </c>
      <c r="J1027" s="0" t="inlineStr">
        <is>
          <t>NULL</t>
        </is>
      </c>
      <c r="K1027" s="0" t="inlineStr">
        <is>
          <t>YES! 	 c_numeric18_2列源备映射正确，源端为numeric None位	期望更改为decimal(p,s)	实际备端为decimal None位</t>
        </is>
      </c>
    </row>
    <row r="1028">
      <c r="B1028" s="0" t="inlineStr">
        <is>
          <t>NULL</t>
        </is>
      </c>
      <c r="C1028" s="0" t="inlineStr">
        <is>
          <t>NULL</t>
        </is>
      </c>
      <c r="D1028" s="0" t="inlineStr">
        <is>
          <t>NULL</t>
        </is>
      </c>
      <c r="E1028" s="0" t="inlineStr">
        <is>
          <t>NULL</t>
        </is>
      </c>
      <c r="F1028" s="0" t="inlineStr">
        <is>
          <t>NULL</t>
        </is>
      </c>
      <c r="G1028" s="0" t="inlineStr">
        <is>
          <t>NULL</t>
        </is>
      </c>
      <c r="H1028" s="0" t="inlineStr">
        <is>
          <t>NULL</t>
        </is>
      </c>
      <c r="I1028" s="0" t="inlineStr">
        <is>
          <t>NULL</t>
        </is>
      </c>
      <c r="J1028" s="0" t="inlineStr">
        <is>
          <t>NULL</t>
        </is>
      </c>
      <c r="K1028" s="0" t="inlineStr">
        <is>
          <t>YES! 	 c_float列源备映射正确，源端为float None位	期望更改为double	实际备端为double None位</t>
        </is>
      </c>
    </row>
    <row r="1029">
      <c r="B1029" s="0" t="inlineStr">
        <is>
          <t>NULL</t>
        </is>
      </c>
      <c r="C1029" s="0" t="inlineStr">
        <is>
          <t>NULL</t>
        </is>
      </c>
      <c r="D1029" s="0" t="inlineStr">
        <is>
          <t>NULL</t>
        </is>
      </c>
      <c r="E1029" s="0" t="inlineStr">
        <is>
          <t>NULL</t>
        </is>
      </c>
      <c r="F1029" s="0" t="inlineStr">
        <is>
          <t>NULL</t>
        </is>
      </c>
      <c r="G1029" s="0" t="inlineStr">
        <is>
          <t>NULL</t>
        </is>
      </c>
      <c r="H1029" s="0" t="inlineStr">
        <is>
          <t>NULL</t>
        </is>
      </c>
      <c r="I1029" s="0" t="inlineStr">
        <is>
          <t>NULL</t>
        </is>
      </c>
      <c r="J1029" s="0" t="inlineStr">
        <is>
          <t>NULL</t>
        </is>
      </c>
      <c r="K1029" s="0" t="inlineStr">
        <is>
          <t>YES! 	 c_real列源备映射正确，源端为real None位	期望更改为double	实际备端为double None位</t>
        </is>
      </c>
    </row>
    <row r="1030">
      <c r="B1030" s="0" t="inlineStr">
        <is>
          <t>NULL</t>
        </is>
      </c>
      <c r="C1030" s="0" t="inlineStr">
        <is>
          <t>NULL</t>
        </is>
      </c>
      <c r="D1030" s="0" t="inlineStr">
        <is>
          <t>NULL</t>
        </is>
      </c>
      <c r="E1030" s="0" t="inlineStr">
        <is>
          <t>NULL</t>
        </is>
      </c>
      <c r="F1030" s="0" t="inlineStr">
        <is>
          <t>NULL</t>
        </is>
      </c>
      <c r="G1030" s="0" t="inlineStr">
        <is>
          <t>NULL</t>
        </is>
      </c>
      <c r="H1030" s="0" t="inlineStr">
        <is>
          <t>NULL</t>
        </is>
      </c>
      <c r="I1030" s="0" t="inlineStr">
        <is>
          <t>NULL</t>
        </is>
      </c>
      <c r="J1030" s="0" t="inlineStr">
        <is>
          <t>NULL</t>
        </is>
      </c>
      <c r="K1030" s="0" t="inlineStr">
        <is>
          <t>YES! 	 c_money列源备映射正确，源端为money None位	期望更改为decimal(19,4)	实际备端为decimal None位</t>
        </is>
      </c>
    </row>
    <row r="1031">
      <c r="B1031" s="0" t="inlineStr">
        <is>
          <t>NULL</t>
        </is>
      </c>
      <c r="C1031" s="0" t="inlineStr">
        <is>
          <t>NULL</t>
        </is>
      </c>
      <c r="D1031" s="0" t="inlineStr">
        <is>
          <t>NULL</t>
        </is>
      </c>
      <c r="E1031" s="0" t="inlineStr">
        <is>
          <t>NULL</t>
        </is>
      </c>
      <c r="F1031" s="0" t="inlineStr">
        <is>
          <t>NULL</t>
        </is>
      </c>
      <c r="G1031" s="0" t="inlineStr">
        <is>
          <t>NULL</t>
        </is>
      </c>
      <c r="H1031" s="0" t="inlineStr">
        <is>
          <t>NULL</t>
        </is>
      </c>
      <c r="I1031" s="0" t="inlineStr">
        <is>
          <t>NULL</t>
        </is>
      </c>
      <c r="J1031" s="0" t="inlineStr">
        <is>
          <t>NULL</t>
        </is>
      </c>
      <c r="K1031" s="0" t="inlineStr">
        <is>
          <t>YES! 	 c_smallmoney列源备映射正确，源端为smallmoney None位	期望更改为decimal(10,4)	实际备端为decimal None位</t>
        </is>
      </c>
    </row>
    <row r="1032">
      <c r="B1032" s="0" t="inlineStr">
        <is>
          <t>NULL</t>
        </is>
      </c>
      <c r="C1032" s="0" t="inlineStr">
        <is>
          <t>NO!源None备NUL</t>
        </is>
      </c>
      <c r="D1032" s="0" t="inlineStr">
        <is>
          <t>NULL</t>
        </is>
      </c>
      <c r="E1032" s="0" t="inlineStr">
        <is>
          <t>NULL</t>
        </is>
      </c>
      <c r="F1032" s="0" t="inlineStr">
        <is>
          <t>NULL</t>
        </is>
      </c>
      <c r="G1032" s="0" t="inlineStr">
        <is>
          <t>NULL</t>
        </is>
      </c>
      <c r="H1032" s="0" t="inlineStr">
        <is>
          <t>NULL</t>
        </is>
      </c>
      <c r="I1032" s="0" t="inlineStr">
        <is>
          <t>NULL</t>
        </is>
      </c>
      <c r="J1032" s="0" t="inlineStr">
        <is>
          <t>NULL</t>
        </is>
      </c>
      <c r="K1032" s="0" t="inlineStr">
        <is>
          <t>YES! 	 c_bit列源备映射正确，源端为bit None位	期望更改为tinyint(1) 	实际备端为tinyint None位</t>
        </is>
      </c>
    </row>
    <row r="1033">
      <c r="K1033" s="0" t="inlineStr">
        <is>
          <t>[0;31m NO! [0m 	  行数不同,源90行,备端空表</t>
        </is>
      </c>
    </row>
    <row r="1034">
      <c r="A1034" s="0" t="inlineStr">
        <is>
          <t>info_varbinary_max_dml_single_pk</t>
        </is>
      </c>
      <c r="K1034" s="0" t="inlineStr">
        <is>
          <t>[0;34m info_varbinary_max_dml_single_pk [0m源备字段数相同，源端字段：4 	备端字段4</t>
        </is>
      </c>
      <c r="W1034" s="0" t="inlineStr">
        <is>
          <t>YES 源备无差异</t>
        </is>
      </c>
      <c r="X1034" s="0">
        <f>A1034</f>
        <v/>
      </c>
    </row>
    <row r="1035">
      <c r="B1035" s="0" t="inlineStr">
        <is>
          <t>NO! 主键不正常，源YES备None</t>
        </is>
      </c>
      <c r="C1035" s="0" t="inlineStr">
        <is>
          <t>NULL</t>
        </is>
      </c>
      <c r="D1035" s="0" t="inlineStr">
        <is>
          <t>NULL</t>
        </is>
      </c>
      <c r="E1035" s="0" t="inlineStr">
        <is>
          <t>NULL</t>
        </is>
      </c>
      <c r="F1035" s="0" t="inlineStr">
        <is>
          <t>NULL</t>
        </is>
      </c>
      <c r="G1035" s="0" t="inlineStr">
        <is>
          <t>NULL</t>
        </is>
      </c>
      <c r="H1035" s="0" t="inlineStr">
        <is>
          <t>NULL</t>
        </is>
      </c>
      <c r="I1035" s="0" t="inlineStr">
        <is>
          <t>NO! 源备索引不一致源PK__info_var__3213E83FA466D81D备None</t>
        </is>
      </c>
      <c r="J1035" s="0" t="inlineStr">
        <is>
          <t>NULL</t>
        </is>
      </c>
      <c r="K1035" s="0" t="inlineStr">
        <is>
          <t>YES! 	 id列源备映射正确，源端为int None位	期望更改为int	实际备端为int None位</t>
        </is>
      </c>
    </row>
    <row r="1036">
      <c r="B1036" s="0" t="inlineStr">
        <is>
          <t>NULL</t>
        </is>
      </c>
      <c r="C1036" s="0" t="inlineStr">
        <is>
          <t>NULL</t>
        </is>
      </c>
      <c r="D1036" s="0" t="inlineStr">
        <is>
          <t>NULL</t>
        </is>
      </c>
      <c r="E1036" s="0" t="inlineStr">
        <is>
          <t>NULL</t>
        </is>
      </c>
      <c r="F1036" s="0" t="inlineStr">
        <is>
          <t>NULL</t>
        </is>
      </c>
      <c r="G1036" s="0" t="inlineStr">
        <is>
          <t>NULL</t>
        </is>
      </c>
      <c r="H1036" s="0" t="inlineStr">
        <is>
          <t>NULL</t>
        </is>
      </c>
      <c r="I1036" s="0" t="inlineStr">
        <is>
          <t>NULL</t>
        </is>
      </c>
      <c r="J1036" s="0" t="inlineStr">
        <is>
          <t>NULL</t>
        </is>
      </c>
      <c r="K1036" s="0" t="inlineStr">
        <is>
          <t>YES! 	 c_varbinary_max1列源备映射正确，源端为varbinary -1位	期望更改为longblob	实际备端为longblob 4294967295位</t>
        </is>
      </c>
    </row>
    <row r="1037">
      <c r="B1037" s="0" t="inlineStr">
        <is>
          <t>NULL</t>
        </is>
      </c>
      <c r="C1037" s="0" t="inlineStr">
        <is>
          <t>NULL</t>
        </is>
      </c>
      <c r="D1037" s="0" t="inlineStr">
        <is>
          <t>NULL</t>
        </is>
      </c>
      <c r="E1037" s="0" t="inlineStr">
        <is>
          <t>NULL</t>
        </is>
      </c>
      <c r="F1037" s="0" t="inlineStr">
        <is>
          <t>NULL</t>
        </is>
      </c>
      <c r="G1037" s="0" t="inlineStr">
        <is>
          <t>NULL</t>
        </is>
      </c>
      <c r="H1037" s="0" t="inlineStr">
        <is>
          <t>NULL</t>
        </is>
      </c>
      <c r="I1037" s="0" t="inlineStr">
        <is>
          <t>NULL</t>
        </is>
      </c>
      <c r="J1037" s="0" t="inlineStr">
        <is>
          <t>NULL</t>
        </is>
      </c>
      <c r="K1037" s="0" t="inlineStr">
        <is>
          <t>YES! 	 c_varbinary_max2列源备映射正确，源端为varbinary -1位	期望更改为longblob	实际备端为longblob 4294967295位</t>
        </is>
      </c>
    </row>
    <row r="1038">
      <c r="B1038" s="0" t="inlineStr">
        <is>
          <t>NULL</t>
        </is>
      </c>
      <c r="C1038" s="0" t="inlineStr">
        <is>
          <t>NULL</t>
        </is>
      </c>
      <c r="D1038" s="0" t="inlineStr">
        <is>
          <t>NULL</t>
        </is>
      </c>
      <c r="E1038" s="0" t="inlineStr">
        <is>
          <t>NULL</t>
        </is>
      </c>
      <c r="F1038" s="0" t="inlineStr">
        <is>
          <t>NULL</t>
        </is>
      </c>
      <c r="G1038" s="0" t="inlineStr">
        <is>
          <t>NULL</t>
        </is>
      </c>
      <c r="H1038" s="0" t="inlineStr">
        <is>
          <t>NULL</t>
        </is>
      </c>
      <c r="I1038" s="0" t="inlineStr">
        <is>
          <t>NULL</t>
        </is>
      </c>
      <c r="J1038" s="0" t="inlineStr">
        <is>
          <t>NULL</t>
        </is>
      </c>
      <c r="K1038" s="0" t="inlineStr">
        <is>
          <t>YES! 	 c_image3列源备映射正确，源端为image 2147483647位	期望更改为longblob	实际备端为longblob 4294967295位</t>
        </is>
      </c>
    </row>
    <row r="1039">
      <c r="K1039" s="0" t="inlineStr">
        <is>
          <t>[0;31m NO! [0m 	  行数不同,源1行,备端空表</t>
        </is>
      </c>
    </row>
    <row r="1040">
      <c r="A1040" s="0" t="inlineStr">
        <is>
          <t>info_int_dml_batch1_pk_drp1</t>
        </is>
      </c>
      <c r="K1040" s="0" t="inlineStr">
        <is>
          <t>[0;34m info_int_dml_batch1_pk_drp1 [0m源备字段数相同，源端字段：20 	备端字段20</t>
        </is>
      </c>
      <c r="W1040" s="0" t="inlineStr">
        <is>
          <t>YES 源备无差异</t>
        </is>
      </c>
      <c r="X1040" s="0">
        <f>A1040</f>
        <v/>
      </c>
    </row>
    <row r="1041">
      <c r="B1041" s="0" t="inlineStr">
        <is>
          <t>NO! 主键不正常，源YES备None</t>
        </is>
      </c>
      <c r="C1041" s="0" t="inlineStr">
        <is>
          <t>NULL</t>
        </is>
      </c>
      <c r="D1041" s="0" t="inlineStr">
        <is>
          <t>NULL</t>
        </is>
      </c>
      <c r="E1041" s="0" t="inlineStr">
        <is>
          <t>NULL</t>
        </is>
      </c>
      <c r="F1041" s="0" t="inlineStr">
        <is>
          <t>NULL</t>
        </is>
      </c>
      <c r="G1041" s="0" t="inlineStr">
        <is>
          <t>NULL</t>
        </is>
      </c>
      <c r="H1041" s="0" t="inlineStr">
        <is>
          <t>NULL</t>
        </is>
      </c>
      <c r="I1041" s="0" t="inlineStr">
        <is>
          <t>NO! 源备索引不一致源PK__info_int__3213E83F306EE40F备None</t>
        </is>
      </c>
      <c r="J1041" s="0" t="inlineStr">
        <is>
          <t>NULL</t>
        </is>
      </c>
      <c r="K1041" s="0" t="inlineStr">
        <is>
          <t>YES! 	 id列源备映射正确，源端为int None位	期望更改为int	实际备端为int None位</t>
        </is>
      </c>
    </row>
    <row r="1042">
      <c r="B1042" s="0" t="inlineStr">
        <is>
          <t>NULL</t>
        </is>
      </c>
      <c r="C1042" s="0" t="inlineStr">
        <is>
          <t>NULL</t>
        </is>
      </c>
      <c r="D1042" s="0" t="inlineStr">
        <is>
          <t>NULL</t>
        </is>
      </c>
      <c r="E1042" s="0" t="inlineStr">
        <is>
          <t>NULL</t>
        </is>
      </c>
      <c r="F1042" s="0" t="inlineStr">
        <is>
          <t>NULL</t>
        </is>
      </c>
      <c r="G1042" s="0" t="inlineStr">
        <is>
          <t>NULL</t>
        </is>
      </c>
      <c r="H1042" s="0" t="inlineStr">
        <is>
          <t>NULL</t>
        </is>
      </c>
      <c r="I1042" s="0" t="inlineStr">
        <is>
          <t>NULL</t>
        </is>
      </c>
      <c r="J1042" s="0" t="inlineStr">
        <is>
          <t>NULL</t>
        </is>
      </c>
      <c r="K1042" s="0" t="inlineStr">
        <is>
          <t>YES! 	 c_tinyint列源备映射正确，源端为tinyint None位	期望更改为tinyint	实际备端为tinyint None位</t>
        </is>
      </c>
    </row>
    <row r="1043">
      <c r="B1043" s="0" t="inlineStr">
        <is>
          <t>NULL</t>
        </is>
      </c>
      <c r="C1043" s="0" t="inlineStr">
        <is>
          <t>NULL</t>
        </is>
      </c>
      <c r="D1043" s="0" t="inlineStr">
        <is>
          <t>NULL</t>
        </is>
      </c>
      <c r="E1043" s="0" t="inlineStr">
        <is>
          <t>NULL</t>
        </is>
      </c>
      <c r="F1043" s="0" t="inlineStr">
        <is>
          <t>NULL</t>
        </is>
      </c>
      <c r="G1043" s="0" t="inlineStr">
        <is>
          <t>NULL</t>
        </is>
      </c>
      <c r="H1043" s="0" t="inlineStr">
        <is>
          <t>NULL</t>
        </is>
      </c>
      <c r="I1043" s="0" t="inlineStr">
        <is>
          <t>NULL</t>
        </is>
      </c>
      <c r="J1043" s="0" t="inlineStr">
        <is>
          <t>NULL</t>
        </is>
      </c>
      <c r="K1043" s="0" t="inlineStr">
        <is>
          <t>YES! 	 c_smallint列源备映射正确，源端为smallint None位	期望更改为smallint	实际备端为smallint None位</t>
        </is>
      </c>
    </row>
    <row r="1044">
      <c r="B1044" s="0" t="inlineStr">
        <is>
          <t>NULL</t>
        </is>
      </c>
      <c r="C1044" s="0" t="inlineStr">
        <is>
          <t>NULL</t>
        </is>
      </c>
      <c r="D1044" s="0" t="inlineStr">
        <is>
          <t>NULL</t>
        </is>
      </c>
      <c r="E1044" s="0" t="inlineStr">
        <is>
          <t>NULL</t>
        </is>
      </c>
      <c r="F1044" s="0" t="inlineStr">
        <is>
          <t>NULL</t>
        </is>
      </c>
      <c r="G1044" s="0" t="inlineStr">
        <is>
          <t>NULL</t>
        </is>
      </c>
      <c r="H1044" s="0" t="inlineStr">
        <is>
          <t>NULL</t>
        </is>
      </c>
      <c r="I1044" s="0" t="inlineStr">
        <is>
          <t>NULL</t>
        </is>
      </c>
      <c r="J1044" s="0" t="inlineStr">
        <is>
          <t>NULL</t>
        </is>
      </c>
      <c r="K1044" s="0" t="inlineStr">
        <is>
          <t>YES! 	 c_int列源备映射正确，源端为int None位	期望更改为int	实际备端为int None位</t>
        </is>
      </c>
    </row>
    <row r="1045">
      <c r="B1045" s="0" t="inlineStr">
        <is>
          <t>NULL</t>
        </is>
      </c>
      <c r="C1045" s="0" t="inlineStr">
        <is>
          <t>NULL</t>
        </is>
      </c>
      <c r="D1045" s="0" t="inlineStr">
        <is>
          <t>NULL</t>
        </is>
      </c>
      <c r="E1045" s="0" t="inlineStr">
        <is>
          <t>NULL</t>
        </is>
      </c>
      <c r="F1045" s="0" t="inlineStr">
        <is>
          <t>NULL</t>
        </is>
      </c>
      <c r="G1045" s="0" t="inlineStr">
        <is>
          <t>NULL</t>
        </is>
      </c>
      <c r="H1045" s="0" t="inlineStr">
        <is>
          <t>NULL</t>
        </is>
      </c>
      <c r="I1045" s="0" t="inlineStr">
        <is>
          <t>NULL</t>
        </is>
      </c>
      <c r="J1045" s="0" t="inlineStr">
        <is>
          <t>NULL</t>
        </is>
      </c>
      <c r="K1045" s="0" t="inlineStr">
        <is>
          <t>YES! 	 c_bigint列源备映射正确，源端为bigint None位	期望更改为bigint	实际备端为bigint None位</t>
        </is>
      </c>
    </row>
    <row r="1046">
      <c r="B1046" s="0" t="inlineStr">
        <is>
          <t>NULL</t>
        </is>
      </c>
      <c r="C1046" s="0" t="inlineStr">
        <is>
          <t>NULL</t>
        </is>
      </c>
      <c r="D1046" s="0" t="inlineStr">
        <is>
          <t>NULL</t>
        </is>
      </c>
      <c r="E1046" s="0" t="inlineStr">
        <is>
          <t>NULL</t>
        </is>
      </c>
      <c r="F1046" s="0" t="inlineStr">
        <is>
          <t>NULL</t>
        </is>
      </c>
      <c r="G1046" s="0" t="inlineStr">
        <is>
          <t>NULL</t>
        </is>
      </c>
      <c r="H1046" s="0" t="inlineStr">
        <is>
          <t>NULL</t>
        </is>
      </c>
      <c r="I1046" s="0" t="inlineStr">
        <is>
          <t>NULL</t>
        </is>
      </c>
      <c r="J1046" s="0" t="inlineStr">
        <is>
          <t>NULL</t>
        </is>
      </c>
      <c r="K1046" s="0" t="inlineStr">
        <is>
          <t>YES! 	 c_decimal列源备映射正确，源端为decimal None位	期望更改为decimal(p,s)	实际备端为decimal None位</t>
        </is>
      </c>
    </row>
    <row r="1047">
      <c r="B1047" s="0" t="inlineStr">
        <is>
          <t>NULL</t>
        </is>
      </c>
      <c r="C1047" s="0" t="inlineStr">
        <is>
          <t>NULL</t>
        </is>
      </c>
      <c r="D1047" s="0" t="inlineStr">
        <is>
          <t>NULL</t>
        </is>
      </c>
      <c r="E1047" s="0" t="inlineStr">
        <is>
          <t>NULL</t>
        </is>
      </c>
      <c r="F1047" s="0" t="inlineStr">
        <is>
          <t>NULL</t>
        </is>
      </c>
      <c r="G1047" s="0" t="inlineStr">
        <is>
          <t>NULL</t>
        </is>
      </c>
      <c r="H1047" s="0" t="inlineStr">
        <is>
          <t>NULL</t>
        </is>
      </c>
      <c r="I1047" s="0" t="inlineStr">
        <is>
          <t>NULL</t>
        </is>
      </c>
      <c r="J1047" s="0" t="inlineStr">
        <is>
          <t>NULL</t>
        </is>
      </c>
      <c r="K1047" s="0" t="inlineStr">
        <is>
          <t>YES! 	 c_decimal38列源备映射正确，源端为decimal None位	期望更改为decimal(p,s)	实际备端为decimal None位</t>
        </is>
      </c>
    </row>
    <row r="1048">
      <c r="B1048" s="0" t="inlineStr">
        <is>
          <t>NULL</t>
        </is>
      </c>
      <c r="C1048" s="0" t="inlineStr">
        <is>
          <t>NULL</t>
        </is>
      </c>
      <c r="D1048" s="0" t="inlineStr">
        <is>
          <t>NULL</t>
        </is>
      </c>
      <c r="E1048" s="0" t="inlineStr">
        <is>
          <t>NULL</t>
        </is>
      </c>
      <c r="F1048" s="0" t="inlineStr">
        <is>
          <t>NULL</t>
        </is>
      </c>
      <c r="G1048" s="0" t="inlineStr">
        <is>
          <t>NULL</t>
        </is>
      </c>
      <c r="H1048" s="0" t="inlineStr">
        <is>
          <t>NULL</t>
        </is>
      </c>
      <c r="I1048" s="0" t="inlineStr">
        <is>
          <t>NULL</t>
        </is>
      </c>
      <c r="J1048" s="0" t="inlineStr">
        <is>
          <t>NULL</t>
        </is>
      </c>
      <c r="K1048" s="0" t="inlineStr">
        <is>
          <t xml:space="preserve"> NO!  	 c_decimal38_38列源备映射错误，源端为decimal None位	期望更改为decimal(p,s)	实际备端为varchar 168位</t>
        </is>
      </c>
    </row>
    <row r="1049">
      <c r="B1049" s="0" t="inlineStr">
        <is>
          <t>NULL</t>
        </is>
      </c>
      <c r="C1049" s="0" t="inlineStr">
        <is>
          <t>NULL</t>
        </is>
      </c>
      <c r="D1049" s="0" t="inlineStr">
        <is>
          <t>NULL</t>
        </is>
      </c>
      <c r="E1049" s="0" t="inlineStr">
        <is>
          <t>NULL</t>
        </is>
      </c>
      <c r="F1049" s="0" t="inlineStr">
        <is>
          <t>NULL</t>
        </is>
      </c>
      <c r="G1049" s="0" t="inlineStr">
        <is>
          <t>NULL</t>
        </is>
      </c>
      <c r="H1049" s="0" t="inlineStr">
        <is>
          <t>NULL</t>
        </is>
      </c>
      <c r="I1049" s="0" t="inlineStr">
        <is>
          <t>NULL</t>
        </is>
      </c>
      <c r="J1049" s="0" t="inlineStr">
        <is>
          <t>NULL</t>
        </is>
      </c>
      <c r="K1049" s="0" t="inlineStr">
        <is>
          <t>YES! 	 c_decimal38_10列源备映射正确，源端为decimal None位	期望更改为decimal(p,s)	实际备端为decimal None位</t>
        </is>
      </c>
    </row>
    <row r="1050">
      <c r="B1050" s="0" t="inlineStr">
        <is>
          <t>NULL</t>
        </is>
      </c>
      <c r="C1050" s="0" t="inlineStr">
        <is>
          <t>NULL</t>
        </is>
      </c>
      <c r="D1050" s="0" t="inlineStr">
        <is>
          <t>NULL</t>
        </is>
      </c>
      <c r="E1050" s="0" t="inlineStr">
        <is>
          <t>NULL</t>
        </is>
      </c>
      <c r="F1050" s="0" t="inlineStr">
        <is>
          <t>NULL</t>
        </is>
      </c>
      <c r="G1050" s="0" t="inlineStr">
        <is>
          <t>NULL</t>
        </is>
      </c>
      <c r="H1050" s="0" t="inlineStr">
        <is>
          <t>NULL</t>
        </is>
      </c>
      <c r="I1050" s="0" t="inlineStr">
        <is>
          <t>NULL</t>
        </is>
      </c>
      <c r="J1050" s="0" t="inlineStr">
        <is>
          <t>NULL</t>
        </is>
      </c>
      <c r="K1050" s="0" t="inlineStr">
        <is>
          <t>YES! 	 c_decimal19_4列源备映射正确，源端为decimal None位	期望更改为decimal(p,s)	实际备端为decimal None位</t>
        </is>
      </c>
    </row>
    <row r="1051">
      <c r="B1051" s="0" t="inlineStr">
        <is>
          <t>NULL</t>
        </is>
      </c>
      <c r="C1051" s="0" t="inlineStr">
        <is>
          <t>NULL</t>
        </is>
      </c>
      <c r="D1051" s="0" t="inlineStr">
        <is>
          <t>NULL</t>
        </is>
      </c>
      <c r="E1051" s="0" t="inlineStr">
        <is>
          <t>NULL</t>
        </is>
      </c>
      <c r="F1051" s="0" t="inlineStr">
        <is>
          <t>NULL</t>
        </is>
      </c>
      <c r="G1051" s="0" t="inlineStr">
        <is>
          <t>NULL</t>
        </is>
      </c>
      <c r="H1051" s="0" t="inlineStr">
        <is>
          <t>NULL</t>
        </is>
      </c>
      <c r="I1051" s="0" t="inlineStr">
        <is>
          <t>NULL</t>
        </is>
      </c>
      <c r="J1051" s="0" t="inlineStr">
        <is>
          <t>NULL</t>
        </is>
      </c>
      <c r="K1051" s="0" t="inlineStr">
        <is>
          <t>YES! 	 c_numeric列源备映射正确，源端为numeric None位	期望更改为decimal(p,s)	实际备端为decimal None位</t>
        </is>
      </c>
    </row>
    <row r="1052">
      <c r="B1052" s="0" t="inlineStr">
        <is>
          <t>NULL</t>
        </is>
      </c>
      <c r="C1052" s="0" t="inlineStr">
        <is>
          <t>NULL</t>
        </is>
      </c>
      <c r="D1052" s="0" t="inlineStr">
        <is>
          <t>NULL</t>
        </is>
      </c>
      <c r="E1052" s="0" t="inlineStr">
        <is>
          <t>NULL</t>
        </is>
      </c>
      <c r="F1052" s="0" t="inlineStr">
        <is>
          <t>NULL</t>
        </is>
      </c>
      <c r="G1052" s="0" t="inlineStr">
        <is>
          <t>NULL</t>
        </is>
      </c>
      <c r="H1052" s="0" t="inlineStr">
        <is>
          <t>NULL</t>
        </is>
      </c>
      <c r="I1052" s="0" t="inlineStr">
        <is>
          <t>NULL</t>
        </is>
      </c>
      <c r="J1052" s="0" t="inlineStr">
        <is>
          <t>NULL</t>
        </is>
      </c>
      <c r="K1052" s="0" t="inlineStr">
        <is>
          <t>YES! 	 c_numeric38列源备映射正确，源端为numeric None位	期望更改为decimal(p,s)	实际备端为decimal None位</t>
        </is>
      </c>
    </row>
    <row r="1053">
      <c r="B1053" s="0" t="inlineStr">
        <is>
          <t>NULL</t>
        </is>
      </c>
      <c r="C1053" s="0" t="inlineStr">
        <is>
          <t>NULL</t>
        </is>
      </c>
      <c r="D1053" s="0" t="inlineStr">
        <is>
          <t>NULL</t>
        </is>
      </c>
      <c r="E1053" s="0" t="inlineStr">
        <is>
          <t>NULL</t>
        </is>
      </c>
      <c r="F1053" s="0" t="inlineStr">
        <is>
          <t>NULL</t>
        </is>
      </c>
      <c r="G1053" s="0" t="inlineStr">
        <is>
          <t>NULL</t>
        </is>
      </c>
      <c r="H1053" s="0" t="inlineStr">
        <is>
          <t>NULL</t>
        </is>
      </c>
      <c r="I1053" s="0" t="inlineStr">
        <is>
          <t>NULL</t>
        </is>
      </c>
      <c r="J1053" s="0" t="inlineStr">
        <is>
          <t>NULL</t>
        </is>
      </c>
      <c r="K1053" s="0" t="inlineStr">
        <is>
          <t xml:space="preserve"> NO!  	 c_numeric38_38列源备映射错误，源端为numeric None位	期望更改为decimal(p,s)	实际备端为varchar 168位</t>
        </is>
      </c>
    </row>
    <row r="1054">
      <c r="B1054" s="0" t="inlineStr">
        <is>
          <t>NULL</t>
        </is>
      </c>
      <c r="C1054" s="0" t="inlineStr">
        <is>
          <t>NULL</t>
        </is>
      </c>
      <c r="D1054" s="0" t="inlineStr">
        <is>
          <t>NULL</t>
        </is>
      </c>
      <c r="E1054" s="0" t="inlineStr">
        <is>
          <t>NULL</t>
        </is>
      </c>
      <c r="F1054" s="0" t="inlineStr">
        <is>
          <t>NULL</t>
        </is>
      </c>
      <c r="G1054" s="0" t="inlineStr">
        <is>
          <t>NULL</t>
        </is>
      </c>
      <c r="H1054" s="0" t="inlineStr">
        <is>
          <t>NULL</t>
        </is>
      </c>
      <c r="I1054" s="0" t="inlineStr">
        <is>
          <t>NULL</t>
        </is>
      </c>
      <c r="J1054" s="0" t="inlineStr">
        <is>
          <t>NULL</t>
        </is>
      </c>
      <c r="K1054" s="0" t="inlineStr">
        <is>
          <t>YES! 	 c_numeric38_10列源备映射正确，源端为numeric None位	期望更改为decimal(p,s)	实际备端为decimal None位</t>
        </is>
      </c>
    </row>
    <row r="1055">
      <c r="B1055" s="0" t="inlineStr">
        <is>
          <t>NULL</t>
        </is>
      </c>
      <c r="C1055" s="0" t="inlineStr">
        <is>
          <t>NULL</t>
        </is>
      </c>
      <c r="D1055" s="0" t="inlineStr">
        <is>
          <t>NULL</t>
        </is>
      </c>
      <c r="E1055" s="0" t="inlineStr">
        <is>
          <t>NULL</t>
        </is>
      </c>
      <c r="F1055" s="0" t="inlineStr">
        <is>
          <t>NULL</t>
        </is>
      </c>
      <c r="G1055" s="0" t="inlineStr">
        <is>
          <t>NULL</t>
        </is>
      </c>
      <c r="H1055" s="0" t="inlineStr">
        <is>
          <t>NULL</t>
        </is>
      </c>
      <c r="I1055" s="0" t="inlineStr">
        <is>
          <t>NULL</t>
        </is>
      </c>
      <c r="J1055" s="0" t="inlineStr">
        <is>
          <t>NULL</t>
        </is>
      </c>
      <c r="K1055" s="0" t="inlineStr">
        <is>
          <t>YES! 	 c_numeric18_2列源备映射正确，源端为numeric None位	期望更改为decimal(p,s)	实际备端为decimal None位</t>
        </is>
      </c>
    </row>
    <row r="1056">
      <c r="B1056" s="0" t="inlineStr">
        <is>
          <t>NULL</t>
        </is>
      </c>
      <c r="C1056" s="0" t="inlineStr">
        <is>
          <t>NULL</t>
        </is>
      </c>
      <c r="D1056" s="0" t="inlineStr">
        <is>
          <t>NULL</t>
        </is>
      </c>
      <c r="E1056" s="0" t="inlineStr">
        <is>
          <t>NULL</t>
        </is>
      </c>
      <c r="F1056" s="0" t="inlineStr">
        <is>
          <t>NULL</t>
        </is>
      </c>
      <c r="G1056" s="0" t="inlineStr">
        <is>
          <t>NULL</t>
        </is>
      </c>
      <c r="H1056" s="0" t="inlineStr">
        <is>
          <t>NULL</t>
        </is>
      </c>
      <c r="I1056" s="0" t="inlineStr">
        <is>
          <t>NULL</t>
        </is>
      </c>
      <c r="J1056" s="0" t="inlineStr">
        <is>
          <t>NULL</t>
        </is>
      </c>
      <c r="K1056" s="0" t="inlineStr">
        <is>
          <t>YES! 	 c_float列源备映射正确，源端为float None位	期望更改为double	实际备端为double None位</t>
        </is>
      </c>
    </row>
    <row r="1057">
      <c r="B1057" s="0" t="inlineStr">
        <is>
          <t>NULL</t>
        </is>
      </c>
      <c r="C1057" s="0" t="inlineStr">
        <is>
          <t>NULL</t>
        </is>
      </c>
      <c r="D1057" s="0" t="inlineStr">
        <is>
          <t>NULL</t>
        </is>
      </c>
      <c r="E1057" s="0" t="inlineStr">
        <is>
          <t>NULL</t>
        </is>
      </c>
      <c r="F1057" s="0" t="inlineStr">
        <is>
          <t>NULL</t>
        </is>
      </c>
      <c r="G1057" s="0" t="inlineStr">
        <is>
          <t>NULL</t>
        </is>
      </c>
      <c r="H1057" s="0" t="inlineStr">
        <is>
          <t>NULL</t>
        </is>
      </c>
      <c r="I1057" s="0" t="inlineStr">
        <is>
          <t>NULL</t>
        </is>
      </c>
      <c r="J1057" s="0" t="inlineStr">
        <is>
          <t>NULL</t>
        </is>
      </c>
      <c r="K1057" s="0" t="inlineStr">
        <is>
          <t>YES! 	 c_real列源备映射正确，源端为real None位	期望更改为double	实际备端为double None位</t>
        </is>
      </c>
    </row>
    <row r="1058">
      <c r="B1058" s="0" t="inlineStr">
        <is>
          <t>NULL</t>
        </is>
      </c>
      <c r="C1058" s="0" t="inlineStr">
        <is>
          <t>NULL</t>
        </is>
      </c>
      <c r="D1058" s="0" t="inlineStr">
        <is>
          <t>NULL</t>
        </is>
      </c>
      <c r="E1058" s="0" t="inlineStr">
        <is>
          <t>NULL</t>
        </is>
      </c>
      <c r="F1058" s="0" t="inlineStr">
        <is>
          <t>NULL</t>
        </is>
      </c>
      <c r="G1058" s="0" t="inlineStr">
        <is>
          <t>NULL</t>
        </is>
      </c>
      <c r="H1058" s="0" t="inlineStr">
        <is>
          <t>NULL</t>
        </is>
      </c>
      <c r="I1058" s="0" t="inlineStr">
        <is>
          <t>NULL</t>
        </is>
      </c>
      <c r="J1058" s="0" t="inlineStr">
        <is>
          <t>NULL</t>
        </is>
      </c>
      <c r="K1058" s="0" t="inlineStr">
        <is>
          <t>YES! 	 c_money列源备映射正确，源端为money None位	期望更改为decimal(19,4)	实际备端为decimal None位</t>
        </is>
      </c>
    </row>
    <row r="1059">
      <c r="B1059" s="0" t="inlineStr">
        <is>
          <t>NULL</t>
        </is>
      </c>
      <c r="C1059" s="0" t="inlineStr">
        <is>
          <t>NULL</t>
        </is>
      </c>
      <c r="D1059" s="0" t="inlineStr">
        <is>
          <t>NULL</t>
        </is>
      </c>
      <c r="E1059" s="0" t="inlineStr">
        <is>
          <t>NULL</t>
        </is>
      </c>
      <c r="F1059" s="0" t="inlineStr">
        <is>
          <t>NULL</t>
        </is>
      </c>
      <c r="G1059" s="0" t="inlineStr">
        <is>
          <t>NULL</t>
        </is>
      </c>
      <c r="H1059" s="0" t="inlineStr">
        <is>
          <t>NULL</t>
        </is>
      </c>
      <c r="I1059" s="0" t="inlineStr">
        <is>
          <t>NULL</t>
        </is>
      </c>
      <c r="J1059" s="0" t="inlineStr">
        <is>
          <t>NULL</t>
        </is>
      </c>
      <c r="K1059" s="0" t="inlineStr">
        <is>
          <t>YES! 	 c_smallmoney列源备映射正确，源端为smallmoney None位	期望更改为decimal(10,4)	实际备端为decimal None位</t>
        </is>
      </c>
    </row>
    <row r="1060">
      <c r="B1060" s="0" t="inlineStr">
        <is>
          <t>NULL</t>
        </is>
      </c>
      <c r="C1060" s="0" t="inlineStr">
        <is>
          <t>NO!源None备NUL</t>
        </is>
      </c>
      <c r="D1060" s="0" t="inlineStr">
        <is>
          <t>NULL</t>
        </is>
      </c>
      <c r="E1060" s="0" t="inlineStr">
        <is>
          <t>NULL</t>
        </is>
      </c>
      <c r="F1060" s="0" t="inlineStr">
        <is>
          <t>NULL</t>
        </is>
      </c>
      <c r="G1060" s="0" t="inlineStr">
        <is>
          <t>NULL</t>
        </is>
      </c>
      <c r="H1060" s="0" t="inlineStr">
        <is>
          <t>NULL</t>
        </is>
      </c>
      <c r="I1060" s="0" t="inlineStr">
        <is>
          <t>NULL</t>
        </is>
      </c>
      <c r="J1060" s="0" t="inlineStr">
        <is>
          <t>NULL</t>
        </is>
      </c>
      <c r="K1060" s="0" t="inlineStr">
        <is>
          <t>YES! 	 c_bit列源备映射正确，源端为bit None位	期望更改为tinyint(1) 	实际备端为tinyint None位</t>
        </is>
      </c>
    </row>
    <row r="1061">
      <c r="K1061" s="0" t="inlineStr">
        <is>
          <t>~ 空表</t>
        </is>
      </c>
    </row>
    <row r="1062">
      <c r="A1062" s="0" t="inlineStr">
        <is>
          <t>info_xml_dml_single_pk</t>
        </is>
      </c>
      <c r="K1062" s="0" t="inlineStr">
        <is>
          <t>[0;34m info_xml_dml_single_pk [0m源备字段数相同，源端字段：2 	备端字段2</t>
        </is>
      </c>
      <c r="W1062" s="0" t="inlineStr">
        <is>
          <t>YES 源备无差异</t>
        </is>
      </c>
      <c r="X1062" s="0">
        <f>A1062</f>
        <v/>
      </c>
    </row>
    <row r="1063">
      <c r="B1063" s="0" t="inlineStr">
        <is>
          <t>NO! 主键不正常，源YES备None</t>
        </is>
      </c>
      <c r="C1063" s="0" t="inlineStr">
        <is>
          <t>NULL</t>
        </is>
      </c>
      <c r="D1063" s="0" t="inlineStr">
        <is>
          <t>NULL</t>
        </is>
      </c>
      <c r="E1063" s="0" t="inlineStr">
        <is>
          <t>NULL</t>
        </is>
      </c>
      <c r="F1063" s="0" t="inlineStr">
        <is>
          <t>NULL</t>
        </is>
      </c>
      <c r="G1063" s="0" t="inlineStr">
        <is>
          <t>NULL</t>
        </is>
      </c>
      <c r="H1063" s="0" t="inlineStr">
        <is>
          <t>NULL</t>
        </is>
      </c>
      <c r="I1063" s="0" t="inlineStr">
        <is>
          <t>NO! 源备索引不一致源PK__info_xml__3213E83F18208475备None</t>
        </is>
      </c>
      <c r="J1063" s="0" t="inlineStr">
        <is>
          <t>NULL</t>
        </is>
      </c>
      <c r="K1063" s="0" t="inlineStr">
        <is>
          <t>YES! 	 id列源备映射正确，源端为int None位	期望更改为int	实际备端为int None位</t>
        </is>
      </c>
    </row>
    <row r="1064">
      <c r="B1064" s="0" t="inlineStr">
        <is>
          <t>NULL</t>
        </is>
      </c>
      <c r="C1064" s="0" t="inlineStr">
        <is>
          <t>NULL</t>
        </is>
      </c>
      <c r="D1064" s="0" t="inlineStr">
        <is>
          <t>NULL</t>
        </is>
      </c>
      <c r="E1064" s="0" t="inlineStr">
        <is>
          <t>NULL</t>
        </is>
      </c>
      <c r="F1064" s="0" t="inlineStr">
        <is>
          <t>NULL</t>
        </is>
      </c>
      <c r="G1064" s="0" t="inlineStr">
        <is>
          <t>NULL</t>
        </is>
      </c>
      <c r="H1064" s="0" t="inlineStr">
        <is>
          <t>NULL</t>
        </is>
      </c>
      <c r="I1064" s="0" t="inlineStr">
        <is>
          <t>NULL</t>
        </is>
      </c>
      <c r="J1064" s="0" t="inlineStr">
        <is>
          <t>NULL</t>
        </is>
      </c>
      <c r="K1064" s="0" t="inlineStr">
        <is>
          <t>YES! 	 c_xml列源备映射正确，源端为xml -1位	期望更改为longtext	实际备端为longtext 4294967295位</t>
        </is>
      </c>
    </row>
    <row r="1065">
      <c r="K1065" s="0" t="inlineStr">
        <is>
          <t>[0;31m NO! [0m 	  行数不同,源1行,备端空表</t>
        </is>
      </c>
    </row>
    <row r="1066">
      <c r="A1066" s="0" t="inlineStr">
        <is>
          <t>info_int_dml_batch1_pk</t>
        </is>
      </c>
      <c r="K1066" s="0" t="inlineStr">
        <is>
          <t>[0;34m info_int_dml_batch1_pk [0m源备字段数相同，源端字段：20 	备端字段20</t>
        </is>
      </c>
      <c r="W1066" s="0" t="inlineStr">
        <is>
          <t>YES 源备无差异</t>
        </is>
      </c>
      <c r="X1066" s="0">
        <f>A1066</f>
        <v/>
      </c>
    </row>
    <row r="1067">
      <c r="B1067" s="0" t="inlineStr">
        <is>
          <t>NO! 主键不正常，源YES备None</t>
        </is>
      </c>
      <c r="C1067" s="0" t="inlineStr">
        <is>
          <t>NULL</t>
        </is>
      </c>
      <c r="D1067" s="0" t="inlineStr">
        <is>
          <t>NULL</t>
        </is>
      </c>
      <c r="E1067" s="0" t="inlineStr">
        <is>
          <t>NULL</t>
        </is>
      </c>
      <c r="F1067" s="0" t="inlineStr">
        <is>
          <t>NULL</t>
        </is>
      </c>
      <c r="G1067" s="0" t="inlineStr">
        <is>
          <t>NULL</t>
        </is>
      </c>
      <c r="H1067" s="0" t="inlineStr">
        <is>
          <t>NULL</t>
        </is>
      </c>
      <c r="I1067" s="0" t="inlineStr">
        <is>
          <t>NO! 源备索引不一致源PK__info_int__3213E83FF3EC9625备None</t>
        </is>
      </c>
      <c r="J1067" s="0" t="inlineStr">
        <is>
          <t>NULL</t>
        </is>
      </c>
      <c r="K1067" s="0" t="inlineStr">
        <is>
          <t>YES! 	 id列源备映射正确，源端为int None位	期望更改为int	实际备端为int None位</t>
        </is>
      </c>
    </row>
    <row r="1068">
      <c r="B1068" s="0" t="inlineStr">
        <is>
          <t>NULL</t>
        </is>
      </c>
      <c r="C1068" s="0" t="inlineStr">
        <is>
          <t>NULL</t>
        </is>
      </c>
      <c r="D1068" s="0" t="inlineStr">
        <is>
          <t>NULL</t>
        </is>
      </c>
      <c r="E1068" s="0" t="inlineStr">
        <is>
          <t>NULL</t>
        </is>
      </c>
      <c r="F1068" s="0" t="inlineStr">
        <is>
          <t>NULL</t>
        </is>
      </c>
      <c r="G1068" s="0" t="inlineStr">
        <is>
          <t>NULL</t>
        </is>
      </c>
      <c r="H1068" s="0" t="inlineStr">
        <is>
          <t>NULL</t>
        </is>
      </c>
      <c r="I1068" s="0" t="inlineStr">
        <is>
          <t>NULL</t>
        </is>
      </c>
      <c r="J1068" s="0" t="inlineStr">
        <is>
          <t>NULL</t>
        </is>
      </c>
      <c r="K1068" s="0" t="inlineStr">
        <is>
          <t>YES! 	 c_tinyint列源备映射正确，源端为tinyint None位	期望更改为tinyint	实际备端为tinyint None位</t>
        </is>
      </c>
    </row>
    <row r="1069">
      <c r="B1069" s="0" t="inlineStr">
        <is>
          <t>NULL</t>
        </is>
      </c>
      <c r="C1069" s="0" t="inlineStr">
        <is>
          <t>NULL</t>
        </is>
      </c>
      <c r="D1069" s="0" t="inlineStr">
        <is>
          <t>NULL</t>
        </is>
      </c>
      <c r="E1069" s="0" t="inlineStr">
        <is>
          <t>NULL</t>
        </is>
      </c>
      <c r="F1069" s="0" t="inlineStr">
        <is>
          <t>NULL</t>
        </is>
      </c>
      <c r="G1069" s="0" t="inlineStr">
        <is>
          <t>NULL</t>
        </is>
      </c>
      <c r="H1069" s="0" t="inlineStr">
        <is>
          <t>NULL</t>
        </is>
      </c>
      <c r="I1069" s="0" t="inlineStr">
        <is>
          <t>NULL</t>
        </is>
      </c>
      <c r="J1069" s="0" t="inlineStr">
        <is>
          <t>NULL</t>
        </is>
      </c>
      <c r="K1069" s="0" t="inlineStr">
        <is>
          <t>YES! 	 c_smallint列源备映射正确，源端为smallint None位	期望更改为smallint	实际备端为smallint None位</t>
        </is>
      </c>
    </row>
    <row r="1070">
      <c r="B1070" s="0" t="inlineStr">
        <is>
          <t>NULL</t>
        </is>
      </c>
      <c r="C1070" s="0" t="inlineStr">
        <is>
          <t>NULL</t>
        </is>
      </c>
      <c r="D1070" s="0" t="inlineStr">
        <is>
          <t>NULL</t>
        </is>
      </c>
      <c r="E1070" s="0" t="inlineStr">
        <is>
          <t>NULL</t>
        </is>
      </c>
      <c r="F1070" s="0" t="inlineStr">
        <is>
          <t>NULL</t>
        </is>
      </c>
      <c r="G1070" s="0" t="inlineStr">
        <is>
          <t>NULL</t>
        </is>
      </c>
      <c r="H1070" s="0" t="inlineStr">
        <is>
          <t>NULL</t>
        </is>
      </c>
      <c r="I1070" s="0" t="inlineStr">
        <is>
          <t>NULL</t>
        </is>
      </c>
      <c r="J1070" s="0" t="inlineStr">
        <is>
          <t>NULL</t>
        </is>
      </c>
      <c r="K1070" s="0" t="inlineStr">
        <is>
          <t>YES! 	 c_int列源备映射正确，源端为int None位	期望更改为int	实际备端为int None位</t>
        </is>
      </c>
    </row>
    <row r="1071">
      <c r="B1071" s="0" t="inlineStr">
        <is>
          <t>NULL</t>
        </is>
      </c>
      <c r="C1071" s="0" t="inlineStr">
        <is>
          <t>NULL</t>
        </is>
      </c>
      <c r="D1071" s="0" t="inlineStr">
        <is>
          <t>NULL</t>
        </is>
      </c>
      <c r="E1071" s="0" t="inlineStr">
        <is>
          <t>NULL</t>
        </is>
      </c>
      <c r="F1071" s="0" t="inlineStr">
        <is>
          <t>NULL</t>
        </is>
      </c>
      <c r="G1071" s="0" t="inlineStr">
        <is>
          <t>NULL</t>
        </is>
      </c>
      <c r="H1071" s="0" t="inlineStr">
        <is>
          <t>NULL</t>
        </is>
      </c>
      <c r="I1071" s="0" t="inlineStr">
        <is>
          <t>NULL</t>
        </is>
      </c>
      <c r="J1071" s="0" t="inlineStr">
        <is>
          <t>NULL</t>
        </is>
      </c>
      <c r="K1071" s="0" t="inlineStr">
        <is>
          <t>YES! 	 c_bigint列源备映射正确，源端为bigint None位	期望更改为bigint	实际备端为bigint None位</t>
        </is>
      </c>
    </row>
    <row r="1072">
      <c r="B1072" s="0" t="inlineStr">
        <is>
          <t>NULL</t>
        </is>
      </c>
      <c r="C1072" s="0" t="inlineStr">
        <is>
          <t>NULL</t>
        </is>
      </c>
      <c r="D1072" s="0" t="inlineStr">
        <is>
          <t>NULL</t>
        </is>
      </c>
      <c r="E1072" s="0" t="inlineStr">
        <is>
          <t>NULL</t>
        </is>
      </c>
      <c r="F1072" s="0" t="inlineStr">
        <is>
          <t>NULL</t>
        </is>
      </c>
      <c r="G1072" s="0" t="inlineStr">
        <is>
          <t>NULL</t>
        </is>
      </c>
      <c r="H1072" s="0" t="inlineStr">
        <is>
          <t>NULL</t>
        </is>
      </c>
      <c r="I1072" s="0" t="inlineStr">
        <is>
          <t>NULL</t>
        </is>
      </c>
      <c r="J1072" s="0" t="inlineStr">
        <is>
          <t>NULL</t>
        </is>
      </c>
      <c r="K1072" s="0" t="inlineStr">
        <is>
          <t>YES! 	 c_decimal列源备映射正确，源端为decimal None位	期望更改为decimal(p,s)	实际备端为decimal None位</t>
        </is>
      </c>
    </row>
    <row r="1073">
      <c r="B1073" s="0" t="inlineStr">
        <is>
          <t>NULL</t>
        </is>
      </c>
      <c r="C1073" s="0" t="inlineStr">
        <is>
          <t>NULL</t>
        </is>
      </c>
      <c r="D1073" s="0" t="inlineStr">
        <is>
          <t>NULL</t>
        </is>
      </c>
      <c r="E1073" s="0" t="inlineStr">
        <is>
          <t>NULL</t>
        </is>
      </c>
      <c r="F1073" s="0" t="inlineStr">
        <is>
          <t>NULL</t>
        </is>
      </c>
      <c r="G1073" s="0" t="inlineStr">
        <is>
          <t>NULL</t>
        </is>
      </c>
      <c r="H1073" s="0" t="inlineStr">
        <is>
          <t>NULL</t>
        </is>
      </c>
      <c r="I1073" s="0" t="inlineStr">
        <is>
          <t>NULL</t>
        </is>
      </c>
      <c r="J1073" s="0" t="inlineStr">
        <is>
          <t>NULL</t>
        </is>
      </c>
      <c r="K1073" s="0" t="inlineStr">
        <is>
          <t>YES! 	 c_decimal38列源备映射正确，源端为decimal None位	期望更改为decimal(p,s)	实际备端为decimal None位</t>
        </is>
      </c>
    </row>
    <row r="1074">
      <c r="B1074" s="0" t="inlineStr">
        <is>
          <t>NULL</t>
        </is>
      </c>
      <c r="C1074" s="0" t="inlineStr">
        <is>
          <t>NULL</t>
        </is>
      </c>
      <c r="D1074" s="0" t="inlineStr">
        <is>
          <t>NULL</t>
        </is>
      </c>
      <c r="E1074" s="0" t="inlineStr">
        <is>
          <t>NULL</t>
        </is>
      </c>
      <c r="F1074" s="0" t="inlineStr">
        <is>
          <t>NULL</t>
        </is>
      </c>
      <c r="G1074" s="0" t="inlineStr">
        <is>
          <t>NULL</t>
        </is>
      </c>
      <c r="H1074" s="0" t="inlineStr">
        <is>
          <t>NULL</t>
        </is>
      </c>
      <c r="I1074" s="0" t="inlineStr">
        <is>
          <t>NULL</t>
        </is>
      </c>
      <c r="J1074" s="0" t="inlineStr">
        <is>
          <t>NULL</t>
        </is>
      </c>
      <c r="K1074" s="0" t="inlineStr">
        <is>
          <t xml:space="preserve"> NO!  	 c_decimal38_38列源备映射错误，源端为decimal None位	期望更改为decimal(p,s)	实际备端为varchar 168位</t>
        </is>
      </c>
    </row>
    <row r="1075">
      <c r="B1075" s="0" t="inlineStr">
        <is>
          <t>NULL</t>
        </is>
      </c>
      <c r="C1075" s="0" t="inlineStr">
        <is>
          <t>NULL</t>
        </is>
      </c>
      <c r="D1075" s="0" t="inlineStr">
        <is>
          <t>NULL</t>
        </is>
      </c>
      <c r="E1075" s="0" t="inlineStr">
        <is>
          <t>NULL</t>
        </is>
      </c>
      <c r="F1075" s="0" t="inlineStr">
        <is>
          <t>NULL</t>
        </is>
      </c>
      <c r="G1075" s="0" t="inlineStr">
        <is>
          <t>NULL</t>
        </is>
      </c>
      <c r="H1075" s="0" t="inlineStr">
        <is>
          <t>NULL</t>
        </is>
      </c>
      <c r="I1075" s="0" t="inlineStr">
        <is>
          <t>NULL</t>
        </is>
      </c>
      <c r="J1075" s="0" t="inlineStr">
        <is>
          <t>NULL</t>
        </is>
      </c>
      <c r="K1075" s="0" t="inlineStr">
        <is>
          <t>YES! 	 c_decimal38_10列源备映射正确，源端为decimal None位	期望更改为decimal(p,s)	实际备端为decimal None位</t>
        </is>
      </c>
    </row>
    <row r="1076">
      <c r="B1076" s="0" t="inlineStr">
        <is>
          <t>NULL</t>
        </is>
      </c>
      <c r="C1076" s="0" t="inlineStr">
        <is>
          <t>NULL</t>
        </is>
      </c>
      <c r="D1076" s="0" t="inlineStr">
        <is>
          <t>NULL</t>
        </is>
      </c>
      <c r="E1076" s="0" t="inlineStr">
        <is>
          <t>NULL</t>
        </is>
      </c>
      <c r="F1076" s="0" t="inlineStr">
        <is>
          <t>NULL</t>
        </is>
      </c>
      <c r="G1076" s="0" t="inlineStr">
        <is>
          <t>NULL</t>
        </is>
      </c>
      <c r="H1076" s="0" t="inlineStr">
        <is>
          <t>NULL</t>
        </is>
      </c>
      <c r="I1076" s="0" t="inlineStr">
        <is>
          <t>NULL</t>
        </is>
      </c>
      <c r="J1076" s="0" t="inlineStr">
        <is>
          <t>NULL</t>
        </is>
      </c>
      <c r="K1076" s="0" t="inlineStr">
        <is>
          <t>YES! 	 c_decimal19_4列源备映射正确，源端为decimal None位	期望更改为decimal(p,s)	实际备端为decimal None位</t>
        </is>
      </c>
    </row>
    <row r="1077">
      <c r="B1077" s="0" t="inlineStr">
        <is>
          <t>NULL</t>
        </is>
      </c>
      <c r="C1077" s="0" t="inlineStr">
        <is>
          <t>NULL</t>
        </is>
      </c>
      <c r="D1077" s="0" t="inlineStr">
        <is>
          <t>NULL</t>
        </is>
      </c>
      <c r="E1077" s="0" t="inlineStr">
        <is>
          <t>NULL</t>
        </is>
      </c>
      <c r="F1077" s="0" t="inlineStr">
        <is>
          <t>NULL</t>
        </is>
      </c>
      <c r="G1077" s="0" t="inlineStr">
        <is>
          <t>NULL</t>
        </is>
      </c>
      <c r="H1077" s="0" t="inlineStr">
        <is>
          <t>NULL</t>
        </is>
      </c>
      <c r="I1077" s="0" t="inlineStr">
        <is>
          <t>NULL</t>
        </is>
      </c>
      <c r="J1077" s="0" t="inlineStr">
        <is>
          <t>NULL</t>
        </is>
      </c>
      <c r="K1077" s="0" t="inlineStr">
        <is>
          <t>YES! 	 c_numeric列源备映射正确，源端为numeric None位	期望更改为decimal(p,s)	实际备端为decimal None位</t>
        </is>
      </c>
    </row>
    <row r="1078">
      <c r="B1078" s="0" t="inlineStr">
        <is>
          <t>NULL</t>
        </is>
      </c>
      <c r="C1078" s="0" t="inlineStr">
        <is>
          <t>NULL</t>
        </is>
      </c>
      <c r="D1078" s="0" t="inlineStr">
        <is>
          <t>NULL</t>
        </is>
      </c>
      <c r="E1078" s="0" t="inlineStr">
        <is>
          <t>NULL</t>
        </is>
      </c>
      <c r="F1078" s="0" t="inlineStr">
        <is>
          <t>NULL</t>
        </is>
      </c>
      <c r="G1078" s="0" t="inlineStr">
        <is>
          <t>NULL</t>
        </is>
      </c>
      <c r="H1078" s="0" t="inlineStr">
        <is>
          <t>NULL</t>
        </is>
      </c>
      <c r="I1078" s="0" t="inlineStr">
        <is>
          <t>NULL</t>
        </is>
      </c>
      <c r="J1078" s="0" t="inlineStr">
        <is>
          <t>NULL</t>
        </is>
      </c>
      <c r="K1078" s="0" t="inlineStr">
        <is>
          <t>YES! 	 c_numeric38列源备映射正确，源端为numeric None位	期望更改为decimal(p,s)	实际备端为decimal None位</t>
        </is>
      </c>
    </row>
    <row r="1079">
      <c r="B1079" s="0" t="inlineStr">
        <is>
          <t>NULL</t>
        </is>
      </c>
      <c r="C1079" s="0" t="inlineStr">
        <is>
          <t>NULL</t>
        </is>
      </c>
      <c r="D1079" s="0" t="inlineStr">
        <is>
          <t>NULL</t>
        </is>
      </c>
      <c r="E1079" s="0" t="inlineStr">
        <is>
          <t>NULL</t>
        </is>
      </c>
      <c r="F1079" s="0" t="inlineStr">
        <is>
          <t>NULL</t>
        </is>
      </c>
      <c r="G1079" s="0" t="inlineStr">
        <is>
          <t>NULL</t>
        </is>
      </c>
      <c r="H1079" s="0" t="inlineStr">
        <is>
          <t>NULL</t>
        </is>
      </c>
      <c r="I1079" s="0" t="inlineStr">
        <is>
          <t>NULL</t>
        </is>
      </c>
      <c r="J1079" s="0" t="inlineStr">
        <is>
          <t>NULL</t>
        </is>
      </c>
      <c r="K1079" s="0" t="inlineStr">
        <is>
          <t xml:space="preserve"> NO!  	 c_numeric38_38列源备映射错误，源端为numeric None位	期望更改为decimal(p,s)	实际备端为varchar 168位</t>
        </is>
      </c>
    </row>
    <row r="1080">
      <c r="B1080" s="0" t="inlineStr">
        <is>
          <t>NULL</t>
        </is>
      </c>
      <c r="C1080" s="0" t="inlineStr">
        <is>
          <t>NULL</t>
        </is>
      </c>
      <c r="D1080" s="0" t="inlineStr">
        <is>
          <t>NULL</t>
        </is>
      </c>
      <c r="E1080" s="0" t="inlineStr">
        <is>
          <t>NULL</t>
        </is>
      </c>
      <c r="F1080" s="0" t="inlineStr">
        <is>
          <t>NULL</t>
        </is>
      </c>
      <c r="G1080" s="0" t="inlineStr">
        <is>
          <t>NULL</t>
        </is>
      </c>
      <c r="H1080" s="0" t="inlineStr">
        <is>
          <t>NULL</t>
        </is>
      </c>
      <c r="I1080" s="0" t="inlineStr">
        <is>
          <t>NULL</t>
        </is>
      </c>
      <c r="J1080" s="0" t="inlineStr">
        <is>
          <t>NULL</t>
        </is>
      </c>
      <c r="K1080" s="0" t="inlineStr">
        <is>
          <t>YES! 	 c_numeric38_10列源备映射正确，源端为numeric None位	期望更改为decimal(p,s)	实际备端为decimal None位</t>
        </is>
      </c>
    </row>
    <row r="1081">
      <c r="B1081" s="0" t="inlineStr">
        <is>
          <t>NULL</t>
        </is>
      </c>
      <c r="C1081" s="0" t="inlineStr">
        <is>
          <t>NULL</t>
        </is>
      </c>
      <c r="D1081" s="0" t="inlineStr">
        <is>
          <t>NULL</t>
        </is>
      </c>
      <c r="E1081" s="0" t="inlineStr">
        <is>
          <t>NULL</t>
        </is>
      </c>
      <c r="F1081" s="0" t="inlineStr">
        <is>
          <t>NULL</t>
        </is>
      </c>
      <c r="G1081" s="0" t="inlineStr">
        <is>
          <t>NULL</t>
        </is>
      </c>
      <c r="H1081" s="0" t="inlineStr">
        <is>
          <t>NULL</t>
        </is>
      </c>
      <c r="I1081" s="0" t="inlineStr">
        <is>
          <t>NULL</t>
        </is>
      </c>
      <c r="J1081" s="0" t="inlineStr">
        <is>
          <t>NULL</t>
        </is>
      </c>
      <c r="K1081" s="0" t="inlineStr">
        <is>
          <t>YES! 	 c_numeric18_2列源备映射正确，源端为numeric None位	期望更改为decimal(p,s)	实际备端为decimal None位</t>
        </is>
      </c>
    </row>
    <row r="1082">
      <c r="B1082" s="0" t="inlineStr">
        <is>
          <t>NULL</t>
        </is>
      </c>
      <c r="C1082" s="0" t="inlineStr">
        <is>
          <t>NULL</t>
        </is>
      </c>
      <c r="D1082" s="0" t="inlineStr">
        <is>
          <t>NULL</t>
        </is>
      </c>
      <c r="E1082" s="0" t="inlineStr">
        <is>
          <t>NULL</t>
        </is>
      </c>
      <c r="F1082" s="0" t="inlineStr">
        <is>
          <t>NULL</t>
        </is>
      </c>
      <c r="G1082" s="0" t="inlineStr">
        <is>
          <t>NULL</t>
        </is>
      </c>
      <c r="H1082" s="0" t="inlineStr">
        <is>
          <t>NULL</t>
        </is>
      </c>
      <c r="I1082" s="0" t="inlineStr">
        <is>
          <t>NULL</t>
        </is>
      </c>
      <c r="J1082" s="0" t="inlineStr">
        <is>
          <t>NULL</t>
        </is>
      </c>
      <c r="K1082" s="0" t="inlineStr">
        <is>
          <t>YES! 	 c_float列源备映射正确，源端为float None位	期望更改为double	实际备端为double None位</t>
        </is>
      </c>
    </row>
    <row r="1083">
      <c r="B1083" s="0" t="inlineStr">
        <is>
          <t>NULL</t>
        </is>
      </c>
      <c r="C1083" s="0" t="inlineStr">
        <is>
          <t>NULL</t>
        </is>
      </c>
      <c r="D1083" s="0" t="inlineStr">
        <is>
          <t>NULL</t>
        </is>
      </c>
      <c r="E1083" s="0" t="inlineStr">
        <is>
          <t>NULL</t>
        </is>
      </c>
      <c r="F1083" s="0" t="inlineStr">
        <is>
          <t>NULL</t>
        </is>
      </c>
      <c r="G1083" s="0" t="inlineStr">
        <is>
          <t>NULL</t>
        </is>
      </c>
      <c r="H1083" s="0" t="inlineStr">
        <is>
          <t>NULL</t>
        </is>
      </c>
      <c r="I1083" s="0" t="inlineStr">
        <is>
          <t>NULL</t>
        </is>
      </c>
      <c r="J1083" s="0" t="inlineStr">
        <is>
          <t>NULL</t>
        </is>
      </c>
      <c r="K1083" s="0" t="inlineStr">
        <is>
          <t>YES! 	 c_real列源备映射正确，源端为real None位	期望更改为double	实际备端为double None位</t>
        </is>
      </c>
    </row>
    <row r="1084">
      <c r="B1084" s="0" t="inlineStr">
        <is>
          <t>NULL</t>
        </is>
      </c>
      <c r="C1084" s="0" t="inlineStr">
        <is>
          <t>NULL</t>
        </is>
      </c>
      <c r="D1084" s="0" t="inlineStr">
        <is>
          <t>NULL</t>
        </is>
      </c>
      <c r="E1084" s="0" t="inlineStr">
        <is>
          <t>NULL</t>
        </is>
      </c>
      <c r="F1084" s="0" t="inlineStr">
        <is>
          <t>NULL</t>
        </is>
      </c>
      <c r="G1084" s="0" t="inlineStr">
        <is>
          <t>NULL</t>
        </is>
      </c>
      <c r="H1084" s="0" t="inlineStr">
        <is>
          <t>NULL</t>
        </is>
      </c>
      <c r="I1084" s="0" t="inlineStr">
        <is>
          <t>NULL</t>
        </is>
      </c>
      <c r="J1084" s="0" t="inlineStr">
        <is>
          <t>NULL</t>
        </is>
      </c>
      <c r="K1084" s="0" t="inlineStr">
        <is>
          <t>YES! 	 c_money列源备映射正确，源端为money None位	期望更改为decimal(19,4)	实际备端为decimal None位</t>
        </is>
      </c>
    </row>
    <row r="1085">
      <c r="B1085" s="0" t="inlineStr">
        <is>
          <t>NULL</t>
        </is>
      </c>
      <c r="C1085" s="0" t="inlineStr">
        <is>
          <t>NULL</t>
        </is>
      </c>
      <c r="D1085" s="0" t="inlineStr">
        <is>
          <t>NULL</t>
        </is>
      </c>
      <c r="E1085" s="0" t="inlineStr">
        <is>
          <t>NULL</t>
        </is>
      </c>
      <c r="F1085" s="0" t="inlineStr">
        <is>
          <t>NULL</t>
        </is>
      </c>
      <c r="G1085" s="0" t="inlineStr">
        <is>
          <t>NULL</t>
        </is>
      </c>
      <c r="H1085" s="0" t="inlineStr">
        <is>
          <t>NULL</t>
        </is>
      </c>
      <c r="I1085" s="0" t="inlineStr">
        <is>
          <t>NULL</t>
        </is>
      </c>
      <c r="J1085" s="0" t="inlineStr">
        <is>
          <t>NULL</t>
        </is>
      </c>
      <c r="K1085" s="0" t="inlineStr">
        <is>
          <t>YES! 	 c_smallmoney列源备映射正确，源端为smallmoney None位	期望更改为decimal(10,4)	实际备端为decimal None位</t>
        </is>
      </c>
    </row>
    <row r="1086">
      <c r="B1086" s="0" t="inlineStr">
        <is>
          <t>NULL</t>
        </is>
      </c>
      <c r="C1086" s="0" t="inlineStr">
        <is>
          <t>NO!源None备NUL</t>
        </is>
      </c>
      <c r="D1086" s="0" t="inlineStr">
        <is>
          <t>NULL</t>
        </is>
      </c>
      <c r="E1086" s="0" t="inlineStr">
        <is>
          <t>NULL</t>
        </is>
      </c>
      <c r="F1086" s="0" t="inlineStr">
        <is>
          <t>NULL</t>
        </is>
      </c>
      <c r="G1086" s="0" t="inlineStr">
        <is>
          <t>NULL</t>
        </is>
      </c>
      <c r="H1086" s="0" t="inlineStr">
        <is>
          <t>NULL</t>
        </is>
      </c>
      <c r="I1086" s="0" t="inlineStr">
        <is>
          <t>NULL</t>
        </is>
      </c>
      <c r="J1086" s="0" t="inlineStr">
        <is>
          <t>NULL</t>
        </is>
      </c>
      <c r="K1086" s="0" t="inlineStr">
        <is>
          <t>YES! 	 c_bit列源备映射正确，源端为bit None位	期望更改为tinyint(1) 	实际备端为tinyint None位</t>
        </is>
      </c>
    </row>
    <row r="1087">
      <c r="K1087" s="0" t="inlineStr">
        <is>
          <t>[0;31m NO! [0m 	  行数不同,源19行,备端空表</t>
        </is>
      </c>
    </row>
    <row r="1088">
      <c r="A1088" s="0" t="inlineStr">
        <is>
          <t>info_binary_dml_batch2_pk_irp1</t>
        </is>
      </c>
      <c r="K1088" s="0" t="inlineStr">
        <is>
          <t>[0;34m info_binary_dml_batch2_pk_irp1 [0m源备字段数相同，源端字段：4 	备端字段4</t>
        </is>
      </c>
      <c r="W1088" s="0" t="inlineStr">
        <is>
          <t>YES 源备无差异</t>
        </is>
      </c>
      <c r="X1088" s="0">
        <f>A1088</f>
        <v/>
      </c>
    </row>
    <row r="1089">
      <c r="B1089" s="0" t="inlineStr">
        <is>
          <t>NO! 主键不正常，源YES备None</t>
        </is>
      </c>
      <c r="C1089" s="0" t="inlineStr">
        <is>
          <t>NULL</t>
        </is>
      </c>
      <c r="D1089" s="0" t="inlineStr">
        <is>
          <t>NULL</t>
        </is>
      </c>
      <c r="E1089" s="0" t="inlineStr">
        <is>
          <t>NULL</t>
        </is>
      </c>
      <c r="F1089" s="0" t="inlineStr">
        <is>
          <t>NULL</t>
        </is>
      </c>
      <c r="G1089" s="0" t="inlineStr">
        <is>
          <t>NULL</t>
        </is>
      </c>
      <c r="H1089" s="0" t="inlineStr">
        <is>
          <t>NULL</t>
        </is>
      </c>
      <c r="I1089" s="0" t="inlineStr">
        <is>
          <t>NO! 源备索引不一致源PK__info_bin__3213E83F840C6C46备None</t>
        </is>
      </c>
      <c r="J1089" s="0" t="inlineStr">
        <is>
          <t>NULL</t>
        </is>
      </c>
      <c r="K1089" s="0" t="inlineStr">
        <is>
          <t>YES! 	 id列源备映射正确，源端为int None位	期望更改为int	实际备端为int None位</t>
        </is>
      </c>
    </row>
    <row r="1090">
      <c r="B1090" s="0" t="inlineStr">
        <is>
          <t>NULL</t>
        </is>
      </c>
      <c r="C1090" s="0" t="inlineStr">
        <is>
          <t>NULL</t>
        </is>
      </c>
      <c r="D1090" s="0" t="inlineStr">
        <is>
          <t>NULL</t>
        </is>
      </c>
      <c r="E1090" s="0" t="inlineStr">
        <is>
          <t>NULL</t>
        </is>
      </c>
      <c r="F1090" s="0" t="inlineStr">
        <is>
          <t>NULL</t>
        </is>
      </c>
      <c r="G1090" s="0" t="inlineStr">
        <is>
          <t>NULL</t>
        </is>
      </c>
      <c r="H1090" s="0" t="inlineStr">
        <is>
          <t>NULL</t>
        </is>
      </c>
      <c r="I1090" s="0" t="inlineStr">
        <is>
          <t>NULL</t>
        </is>
      </c>
      <c r="J1090" s="0" t="inlineStr">
        <is>
          <t>NULL</t>
        </is>
      </c>
      <c r="K1090" s="0" t="inlineStr">
        <is>
          <t>YES! 	 c_binary列源备映射正确，源端为binary 1位	期望更改为binary(n)	实际备端为binary 1位</t>
        </is>
      </c>
    </row>
    <row r="1091">
      <c r="B1091" s="0" t="inlineStr">
        <is>
          <t>NULL</t>
        </is>
      </c>
      <c r="C1091" s="0" t="inlineStr">
        <is>
          <t>NULL</t>
        </is>
      </c>
      <c r="D1091" s="0" t="inlineStr">
        <is>
          <t>NULL</t>
        </is>
      </c>
      <c r="E1091" s="0" t="inlineStr">
        <is>
          <t>NULL</t>
        </is>
      </c>
      <c r="F1091" s="0" t="inlineStr">
        <is>
          <t>NULL</t>
        </is>
      </c>
      <c r="G1091" s="0" t="inlineStr">
        <is>
          <t>NULL</t>
        </is>
      </c>
      <c r="H1091" s="0" t="inlineStr">
        <is>
          <t>NULL</t>
        </is>
      </c>
      <c r="I1091" s="0" t="inlineStr">
        <is>
          <t>NULL</t>
        </is>
      </c>
      <c r="J1091" s="0" t="inlineStr">
        <is>
          <t>NULL</t>
        </is>
      </c>
      <c r="K1091" s="0" t="inlineStr">
        <is>
          <t>YES! 	 c_binary_20列源备映射正确，源端为binary 20位	期望更改为binary(n)	实际备端为binary 20位</t>
        </is>
      </c>
    </row>
    <row r="1092">
      <c r="B1092" s="0" t="inlineStr">
        <is>
          <t>NULL</t>
        </is>
      </c>
      <c r="C1092" s="0" t="inlineStr">
        <is>
          <t>NULL</t>
        </is>
      </c>
      <c r="D1092" s="0" t="inlineStr">
        <is>
          <t>NULL</t>
        </is>
      </c>
      <c r="E1092" s="0" t="inlineStr">
        <is>
          <t>NULL</t>
        </is>
      </c>
      <c r="F1092" s="0" t="inlineStr">
        <is>
          <t>NULL</t>
        </is>
      </c>
      <c r="G1092" s="0" t="inlineStr">
        <is>
          <t>NULL</t>
        </is>
      </c>
      <c r="H1092" s="0" t="inlineStr">
        <is>
          <t>NULL</t>
        </is>
      </c>
      <c r="I1092" s="0" t="inlineStr">
        <is>
          <t>NULL</t>
        </is>
      </c>
      <c r="J1092" s="0" t="inlineStr">
        <is>
          <t>NULL</t>
        </is>
      </c>
      <c r="K1092" s="0" t="inlineStr">
        <is>
          <t>YES! 	 c_binary_8000列源备映射正确，源端为binary 8000位	期望更改为longblob	实际备端为longblob 4294967295位</t>
        </is>
      </c>
    </row>
    <row r="1093">
      <c r="K1093" s="0" t="inlineStr">
        <is>
          <t>[0;31m NO! [0m 	  行数不同,源10行,备端空表</t>
        </is>
      </c>
    </row>
    <row r="1094">
      <c r="A1094" s="0" t="inlineStr">
        <is>
          <t>info_date_dml_batch2_pk_irp1</t>
        </is>
      </c>
      <c r="K1094" s="0" t="inlineStr">
        <is>
          <t>[0;34m info_date_dml_batch2_pk_irp1 [0m源备字段数相同，源端字段：2 	备端字段2</t>
        </is>
      </c>
      <c r="W1094" s="0" t="inlineStr">
        <is>
          <t>YES 源备无差异</t>
        </is>
      </c>
      <c r="X1094" s="0">
        <f>A1094</f>
        <v/>
      </c>
    </row>
    <row r="1095">
      <c r="B1095" s="0" t="inlineStr">
        <is>
          <t>NO! 主键不正常，源YES备None</t>
        </is>
      </c>
      <c r="C1095" s="0" t="inlineStr">
        <is>
          <t>NULL</t>
        </is>
      </c>
      <c r="D1095" s="0" t="inlineStr">
        <is>
          <t>NULL</t>
        </is>
      </c>
      <c r="E1095" s="0" t="inlineStr">
        <is>
          <t>NULL</t>
        </is>
      </c>
      <c r="F1095" s="0" t="inlineStr">
        <is>
          <t>NULL</t>
        </is>
      </c>
      <c r="G1095" s="0" t="inlineStr">
        <is>
          <t>NULL</t>
        </is>
      </c>
      <c r="H1095" s="0" t="inlineStr">
        <is>
          <t>NULL</t>
        </is>
      </c>
      <c r="I1095" s="0" t="inlineStr">
        <is>
          <t>NO! 源备索引不一致源PK__info_dat__3213E83F33B1CB1D备None</t>
        </is>
      </c>
      <c r="J1095" s="0" t="inlineStr">
        <is>
          <t>NULL</t>
        </is>
      </c>
      <c r="K1095" s="0" t="inlineStr">
        <is>
          <t>YES! 	 id列源备映射正确，源端为int None位	期望更改为int	实际备端为int None位</t>
        </is>
      </c>
    </row>
    <row r="1096">
      <c r="B1096" s="0" t="inlineStr">
        <is>
          <t>NULL</t>
        </is>
      </c>
      <c r="C1096" s="0" t="inlineStr">
        <is>
          <t>NO!源None备NUL</t>
        </is>
      </c>
      <c r="D1096" s="0" t="inlineStr">
        <is>
          <t>NULL</t>
        </is>
      </c>
      <c r="E1096" s="0" t="inlineStr">
        <is>
          <t>NULL</t>
        </is>
      </c>
      <c r="F1096" s="0" t="inlineStr">
        <is>
          <t>NULL</t>
        </is>
      </c>
      <c r="G1096" s="0" t="inlineStr">
        <is>
          <t>NULL</t>
        </is>
      </c>
      <c r="H1096" s="0" t="inlineStr">
        <is>
          <t>NULL</t>
        </is>
      </c>
      <c r="I1096" s="0" t="inlineStr">
        <is>
          <t>NULL</t>
        </is>
      </c>
      <c r="J1096" s="0" t="inlineStr">
        <is>
          <t>NULL</t>
        </is>
      </c>
      <c r="K1096" s="0" t="inlineStr">
        <is>
          <t>YES! 	 c_date列源备映射正确，源端为date None位	期望更改为date	实际备端为date None位</t>
        </is>
      </c>
    </row>
    <row r="1097">
      <c r="K1097" s="0" t="inlineStr">
        <is>
          <t>[0;31m NO! [0m 	  行数不同,源11行,备端空表</t>
        </is>
      </c>
    </row>
    <row r="1098">
      <c r="A1098" s="0" t="inlineStr">
        <is>
          <t>info_geography_dml_single_nopk_irp</t>
        </is>
      </c>
      <c r="K1098" s="0" t="inlineStr">
        <is>
          <t>[0;34m info_geography_dml_single_nopk_irp [0m源备字段数相同，源端字段：2 	备端字段2</t>
        </is>
      </c>
      <c r="W1098" s="0" t="inlineStr">
        <is>
          <t>YES 源备无差异</t>
        </is>
      </c>
      <c r="X1098" s="0">
        <f>A1098</f>
        <v/>
      </c>
    </row>
    <row r="1099">
      <c r="B1099" s="0" t="inlineStr">
        <is>
          <t>NULL</t>
        </is>
      </c>
      <c r="C1099" s="0" t="inlineStr">
        <is>
          <t>NULL</t>
        </is>
      </c>
      <c r="D1099" s="0" t="inlineStr">
        <is>
          <t>NULL</t>
        </is>
      </c>
      <c r="E1099" s="0" t="inlineStr">
        <is>
          <t>NULL</t>
        </is>
      </c>
      <c r="F1099" s="0" t="inlineStr">
        <is>
          <t>NULL</t>
        </is>
      </c>
      <c r="G1099" s="0" t="inlineStr">
        <is>
          <t>NULL</t>
        </is>
      </c>
      <c r="H1099" s="0" t="inlineStr">
        <is>
          <t>NULL</t>
        </is>
      </c>
      <c r="I1099" s="0" t="inlineStr">
        <is>
          <t>NULL</t>
        </is>
      </c>
      <c r="J1099" s="0" t="inlineStr">
        <is>
          <t>NULL</t>
        </is>
      </c>
      <c r="K1099" s="0" t="inlineStr">
        <is>
          <t>YES! 	 id列源备映射正确，源端为int None位	期望更改为int	实际备端为int None位</t>
        </is>
      </c>
    </row>
    <row r="1100">
      <c r="B1100" s="0" t="inlineStr">
        <is>
          <t>NULL</t>
        </is>
      </c>
      <c r="C1100" s="0" t="inlineStr">
        <is>
          <t>NULL</t>
        </is>
      </c>
      <c r="D1100" s="0" t="inlineStr">
        <is>
          <t>NULL</t>
        </is>
      </c>
      <c r="E1100" s="0" t="inlineStr">
        <is>
          <t>NULL</t>
        </is>
      </c>
      <c r="F1100" s="0" t="inlineStr">
        <is>
          <t>NULL</t>
        </is>
      </c>
      <c r="G1100" s="0" t="inlineStr">
        <is>
          <t>NULL</t>
        </is>
      </c>
      <c r="H1100" s="0" t="inlineStr">
        <is>
          <t>NULL</t>
        </is>
      </c>
      <c r="I1100" s="0" t="inlineStr">
        <is>
          <t>NULL</t>
        </is>
      </c>
      <c r="J1100" s="0" t="inlineStr">
        <is>
          <t>NULL</t>
        </is>
      </c>
      <c r="K1100" s="0" t="inlineStr">
        <is>
          <t>YES! 	 c_geography列源备映射正确，源端为geography -1位	期望更改为text	实际备端为text 65535位</t>
        </is>
      </c>
    </row>
    <row r="1101">
      <c r="K1101" s="0" t="inlineStr">
        <is>
          <t>[0;31m NO! [0m 	  行数不同,源7行,备端空表</t>
        </is>
      </c>
    </row>
    <row r="1102">
      <c r="A1102" s="0" t="inlineStr">
        <is>
          <t>info_geography_dml_single_nopk_drp</t>
        </is>
      </c>
      <c r="K1102" s="0" t="inlineStr">
        <is>
          <t>[0;34m info_geography_dml_single_nopk_drp [0m源备字段数相同，源端字段：2 	备端字段2</t>
        </is>
      </c>
      <c r="W1102" s="0" t="inlineStr">
        <is>
          <t>YES 源备无差异</t>
        </is>
      </c>
      <c r="X1102" s="0">
        <f>A1102</f>
        <v/>
      </c>
    </row>
    <row r="1103">
      <c r="B1103" s="0" t="inlineStr">
        <is>
          <t>NULL</t>
        </is>
      </c>
      <c r="C1103" s="0" t="inlineStr">
        <is>
          <t>NULL</t>
        </is>
      </c>
      <c r="D1103" s="0" t="inlineStr">
        <is>
          <t>NULL</t>
        </is>
      </c>
      <c r="E1103" s="0" t="inlineStr">
        <is>
          <t>NULL</t>
        </is>
      </c>
      <c r="F1103" s="0" t="inlineStr">
        <is>
          <t>NULL</t>
        </is>
      </c>
      <c r="G1103" s="0" t="inlineStr">
        <is>
          <t>NULL</t>
        </is>
      </c>
      <c r="H1103" s="0" t="inlineStr">
        <is>
          <t>NULL</t>
        </is>
      </c>
      <c r="I1103" s="0" t="inlineStr">
        <is>
          <t>NULL</t>
        </is>
      </c>
      <c r="J1103" s="0" t="inlineStr">
        <is>
          <t>NULL</t>
        </is>
      </c>
      <c r="K1103" s="0" t="inlineStr">
        <is>
          <t>YES! 	 id列源备映射正确，源端为int None位	期望更改为int	实际备端为int None位</t>
        </is>
      </c>
    </row>
    <row r="1104">
      <c r="B1104" s="0" t="inlineStr">
        <is>
          <t>NULL</t>
        </is>
      </c>
      <c r="C1104" s="0" t="inlineStr">
        <is>
          <t>NULL</t>
        </is>
      </c>
      <c r="D1104" s="0" t="inlineStr">
        <is>
          <t>NULL</t>
        </is>
      </c>
      <c r="E1104" s="0" t="inlineStr">
        <is>
          <t>NULL</t>
        </is>
      </c>
      <c r="F1104" s="0" t="inlineStr">
        <is>
          <t>NULL</t>
        </is>
      </c>
      <c r="G1104" s="0" t="inlineStr">
        <is>
          <t>NULL</t>
        </is>
      </c>
      <c r="H1104" s="0" t="inlineStr">
        <is>
          <t>NULL</t>
        </is>
      </c>
      <c r="I1104" s="0" t="inlineStr">
        <is>
          <t>NULL</t>
        </is>
      </c>
      <c r="J1104" s="0" t="inlineStr">
        <is>
          <t>NULL</t>
        </is>
      </c>
      <c r="K1104" s="0" t="inlineStr">
        <is>
          <t>YES! 	 c_geography列源备映射正确，源端为geography -1位	期望更改为text	实际备端为text 65535位</t>
        </is>
      </c>
    </row>
    <row r="1105">
      <c r="A1105" s="0" t="inlineStr">
        <is>
          <t>info_date_dml_batch1_pk_urp1</t>
        </is>
      </c>
      <c r="K1105" s="0" t="inlineStr">
        <is>
          <t>[0;34m info_date_dml_batch1_pk_urp1 [0m源备字段数相同，源端字段：2 	备端字段2</t>
        </is>
      </c>
      <c r="W1105" s="0" t="inlineStr">
        <is>
          <t>YES 源备无差异</t>
        </is>
      </c>
      <c r="X1105" s="0">
        <f>A1105</f>
        <v/>
      </c>
    </row>
    <row r="1106">
      <c r="B1106" s="0" t="inlineStr">
        <is>
          <t>NO! 主键不正常，源YES备None</t>
        </is>
      </c>
      <c r="C1106" s="0" t="inlineStr">
        <is>
          <t>NULL</t>
        </is>
      </c>
      <c r="D1106" s="0" t="inlineStr">
        <is>
          <t>NULL</t>
        </is>
      </c>
      <c r="E1106" s="0" t="inlineStr">
        <is>
          <t>NULL</t>
        </is>
      </c>
      <c r="F1106" s="0" t="inlineStr">
        <is>
          <t>NULL</t>
        </is>
      </c>
      <c r="G1106" s="0" t="inlineStr">
        <is>
          <t>NULL</t>
        </is>
      </c>
      <c r="H1106" s="0" t="inlineStr">
        <is>
          <t>NULL</t>
        </is>
      </c>
      <c r="I1106" s="0" t="inlineStr">
        <is>
          <t>NO! 源备索引不一致源PK__info_dat__3213E83F255EEA90备None</t>
        </is>
      </c>
      <c r="J1106" s="0" t="inlineStr">
        <is>
          <t>NULL</t>
        </is>
      </c>
      <c r="K1106" s="0" t="inlineStr">
        <is>
          <t>YES! 	 id列源备映射正确，源端为int None位	期望更改为int	实际备端为int None位</t>
        </is>
      </c>
    </row>
    <row r="1107">
      <c r="B1107" s="0" t="inlineStr">
        <is>
          <t>NULL</t>
        </is>
      </c>
      <c r="C1107" s="0" t="inlineStr">
        <is>
          <t>NO!源None备NUL</t>
        </is>
      </c>
      <c r="D1107" s="0" t="inlineStr">
        <is>
          <t>NULL</t>
        </is>
      </c>
      <c r="E1107" s="0" t="inlineStr">
        <is>
          <t>NULL</t>
        </is>
      </c>
      <c r="F1107" s="0" t="inlineStr">
        <is>
          <t>NULL</t>
        </is>
      </c>
      <c r="G1107" s="0" t="inlineStr">
        <is>
          <t>NULL</t>
        </is>
      </c>
      <c r="H1107" s="0" t="inlineStr">
        <is>
          <t>NULL</t>
        </is>
      </c>
      <c r="I1107" s="0" t="inlineStr">
        <is>
          <t>NULL</t>
        </is>
      </c>
      <c r="J1107" s="0" t="inlineStr">
        <is>
          <t>NULL</t>
        </is>
      </c>
      <c r="K1107" s="0" t="inlineStr">
        <is>
          <t>YES! 	 c_date列源备映射正确，源端为date None位	期望更改为date	实际备端为date None位</t>
        </is>
      </c>
    </row>
    <row r="1108">
      <c r="K1108" s="0" t="inlineStr">
        <is>
          <t>[0;31m NO! [0m 	  行数不同,源11行,备端空表</t>
        </is>
      </c>
    </row>
    <row r="1109">
      <c r="A1109" s="0" t="inlineStr">
        <is>
          <t>info_geography_dml_single_nopk</t>
        </is>
      </c>
      <c r="K1109" s="0" t="inlineStr">
        <is>
          <t>[0;34m info_geography_dml_single_nopk [0m源备字段数相同，源端字段：2 	备端字段2</t>
        </is>
      </c>
      <c r="W1109" s="0" t="inlineStr">
        <is>
          <t>YES 源备无差异</t>
        </is>
      </c>
      <c r="X1109" s="0">
        <f>A1109</f>
        <v/>
      </c>
    </row>
    <row r="1110">
      <c r="B1110" s="0" t="inlineStr">
        <is>
          <t>NULL</t>
        </is>
      </c>
      <c r="C1110" s="0" t="inlineStr">
        <is>
          <t>NULL</t>
        </is>
      </c>
      <c r="D1110" s="0" t="inlineStr">
        <is>
          <t>NULL</t>
        </is>
      </c>
      <c r="E1110" s="0" t="inlineStr">
        <is>
          <t>NULL</t>
        </is>
      </c>
      <c r="F1110" s="0" t="inlineStr">
        <is>
          <t>NULL</t>
        </is>
      </c>
      <c r="G1110" s="0" t="inlineStr">
        <is>
          <t>NULL</t>
        </is>
      </c>
      <c r="H1110" s="0" t="inlineStr">
        <is>
          <t>NULL</t>
        </is>
      </c>
      <c r="I1110" s="0" t="inlineStr">
        <is>
          <t>NULL</t>
        </is>
      </c>
      <c r="J1110" s="0" t="inlineStr">
        <is>
          <t>NULL</t>
        </is>
      </c>
      <c r="K1110" s="0" t="inlineStr">
        <is>
          <t>YES! 	 id列源备映射正确，源端为int None位	期望更改为int	实际备端为int None位</t>
        </is>
      </c>
    </row>
    <row r="1111">
      <c r="B1111" s="0" t="inlineStr">
        <is>
          <t>NULL</t>
        </is>
      </c>
      <c r="C1111" s="0" t="inlineStr">
        <is>
          <t>NULL</t>
        </is>
      </c>
      <c r="D1111" s="0" t="inlineStr">
        <is>
          <t>NULL</t>
        </is>
      </c>
      <c r="E1111" s="0" t="inlineStr">
        <is>
          <t>NULL</t>
        </is>
      </c>
      <c r="F1111" s="0" t="inlineStr">
        <is>
          <t>NULL</t>
        </is>
      </c>
      <c r="G1111" s="0" t="inlineStr">
        <is>
          <t>NULL</t>
        </is>
      </c>
      <c r="H1111" s="0" t="inlineStr">
        <is>
          <t>NULL</t>
        </is>
      </c>
      <c r="I1111" s="0" t="inlineStr">
        <is>
          <t>NULL</t>
        </is>
      </c>
      <c r="J1111" s="0" t="inlineStr">
        <is>
          <t>NULL</t>
        </is>
      </c>
      <c r="K1111" s="0" t="inlineStr">
        <is>
          <t>YES! 	 c_geography列源备映射正确，源端为geography -1位	期望更改为text	实际备端为text 65535位</t>
        </is>
      </c>
    </row>
    <row r="1112">
      <c r="K1112" s="0" t="inlineStr">
        <is>
          <t>[0;31m NO! [0m 	  行数不同,源2行,备端空表</t>
        </is>
      </c>
    </row>
    <row r="1113">
      <c r="A1113" s="0" t="inlineStr">
        <is>
          <t>info_geometry_dml_single_nopk_irp</t>
        </is>
      </c>
      <c r="K1113" s="0" t="inlineStr">
        <is>
          <t>[0;34m info_geometry_dml_single_nopk_irp [0m源备字段数相同，源端字段：2 	备端字段2</t>
        </is>
      </c>
      <c r="W1113" s="0" t="inlineStr">
        <is>
          <t>YES 源备无差异</t>
        </is>
      </c>
      <c r="X1113" s="0">
        <f>A1113</f>
        <v/>
      </c>
    </row>
    <row r="1114">
      <c r="B1114" s="0" t="inlineStr">
        <is>
          <t>NULL</t>
        </is>
      </c>
      <c r="C1114" s="0" t="inlineStr">
        <is>
          <t>NULL</t>
        </is>
      </c>
      <c r="D1114" s="0" t="inlineStr">
        <is>
          <t>NULL</t>
        </is>
      </c>
      <c r="E1114" s="0" t="inlineStr">
        <is>
          <t>NULL</t>
        </is>
      </c>
      <c r="F1114" s="0" t="inlineStr">
        <is>
          <t>NULL</t>
        </is>
      </c>
      <c r="G1114" s="0" t="inlineStr">
        <is>
          <t>NULL</t>
        </is>
      </c>
      <c r="H1114" s="0" t="inlineStr">
        <is>
          <t>NULL</t>
        </is>
      </c>
      <c r="I1114" s="0" t="inlineStr">
        <is>
          <t>NULL</t>
        </is>
      </c>
      <c r="J1114" s="0" t="inlineStr">
        <is>
          <t>NULL</t>
        </is>
      </c>
      <c r="K1114" s="0" t="inlineStr">
        <is>
          <t>YES! 	 id列源备映射正确，源端为int None位	期望更改为int	实际备端为int None位</t>
        </is>
      </c>
    </row>
    <row r="1115">
      <c r="B1115" s="0" t="inlineStr">
        <is>
          <t>NULL</t>
        </is>
      </c>
      <c r="C1115" s="0" t="inlineStr">
        <is>
          <t>NULL</t>
        </is>
      </c>
      <c r="D1115" s="0" t="inlineStr">
        <is>
          <t>NULL</t>
        </is>
      </c>
      <c r="E1115" s="0" t="inlineStr">
        <is>
          <t>NULL</t>
        </is>
      </c>
      <c r="F1115" s="0" t="inlineStr">
        <is>
          <t>NULL</t>
        </is>
      </c>
      <c r="G1115" s="0" t="inlineStr">
        <is>
          <t>NULL</t>
        </is>
      </c>
      <c r="H1115" s="0" t="inlineStr">
        <is>
          <t>NULL</t>
        </is>
      </c>
      <c r="I1115" s="0" t="inlineStr">
        <is>
          <t>NULL</t>
        </is>
      </c>
      <c r="J1115" s="0" t="inlineStr">
        <is>
          <t>NULL</t>
        </is>
      </c>
      <c r="K1115" s="0" t="inlineStr">
        <is>
          <t>YES! 	 c_geometry列源备映射正确，源端为geometry -1位	期望更改为text	实际备端为text 65535位</t>
        </is>
      </c>
    </row>
    <row r="1116">
      <c r="K1116" s="0" t="inlineStr">
        <is>
          <t>[0;31m NO! [0m 	  行数不同,源9行,备端空表</t>
        </is>
      </c>
    </row>
    <row r="1117">
      <c r="A1117" s="0" t="inlineStr">
        <is>
          <t>info_geography_dml_single_nopk_urp</t>
        </is>
      </c>
      <c r="K1117" s="0" t="inlineStr">
        <is>
          <t>[0;34m info_geography_dml_single_nopk_urp [0m源备字段数相同，源端字段：2 	备端字段2</t>
        </is>
      </c>
      <c r="W1117" s="0" t="inlineStr">
        <is>
          <t>YES 源备无差异</t>
        </is>
      </c>
      <c r="X1117" s="0">
        <f>A1117</f>
        <v/>
      </c>
    </row>
    <row r="1118">
      <c r="B1118" s="0" t="inlineStr">
        <is>
          <t>NULL</t>
        </is>
      </c>
      <c r="C1118" s="0" t="inlineStr">
        <is>
          <t>NULL</t>
        </is>
      </c>
      <c r="D1118" s="0" t="inlineStr">
        <is>
          <t>NULL</t>
        </is>
      </c>
      <c r="E1118" s="0" t="inlineStr">
        <is>
          <t>NULL</t>
        </is>
      </c>
      <c r="F1118" s="0" t="inlineStr">
        <is>
          <t>NULL</t>
        </is>
      </c>
      <c r="G1118" s="0" t="inlineStr">
        <is>
          <t>NULL</t>
        </is>
      </c>
      <c r="H1118" s="0" t="inlineStr">
        <is>
          <t>NULL</t>
        </is>
      </c>
      <c r="I1118" s="0" t="inlineStr">
        <is>
          <t>NULL</t>
        </is>
      </c>
      <c r="J1118" s="0" t="inlineStr">
        <is>
          <t>NULL</t>
        </is>
      </c>
      <c r="K1118" s="0" t="inlineStr">
        <is>
          <t>YES! 	 id列源备映射正确，源端为int None位	期望更改为int	实际备端为int None位</t>
        </is>
      </c>
    </row>
    <row r="1119">
      <c r="B1119" s="0" t="inlineStr">
        <is>
          <t>NULL</t>
        </is>
      </c>
      <c r="C1119" s="0" t="inlineStr">
        <is>
          <t>NULL</t>
        </is>
      </c>
      <c r="D1119" s="0" t="inlineStr">
        <is>
          <t>NULL</t>
        </is>
      </c>
      <c r="E1119" s="0" t="inlineStr">
        <is>
          <t>NULL</t>
        </is>
      </c>
      <c r="F1119" s="0" t="inlineStr">
        <is>
          <t>NULL</t>
        </is>
      </c>
      <c r="G1119" s="0" t="inlineStr">
        <is>
          <t>NULL</t>
        </is>
      </c>
      <c r="H1119" s="0" t="inlineStr">
        <is>
          <t>NULL</t>
        </is>
      </c>
      <c r="I1119" s="0" t="inlineStr">
        <is>
          <t>NULL</t>
        </is>
      </c>
      <c r="J1119" s="0" t="inlineStr">
        <is>
          <t>NULL</t>
        </is>
      </c>
      <c r="K1119" s="0" t="inlineStr">
        <is>
          <t>YES! 	 c_geography列源备映射正确，源端为geography -1位	期望更改为text	实际备端为text 65535位</t>
        </is>
      </c>
    </row>
    <row r="1120">
      <c r="A1120" s="0" t="inlineStr">
        <is>
          <t>info_geometry_dml_single_nopk_urp</t>
        </is>
      </c>
      <c r="K1120" s="0" t="inlineStr">
        <is>
          <t>[0;34m info_geometry_dml_single_nopk_urp [0m源备字段数相同，源端字段：2 	备端字段2</t>
        </is>
      </c>
      <c r="W1120" s="0" t="inlineStr">
        <is>
          <t>YES 源备无差异</t>
        </is>
      </c>
      <c r="X1120" s="0">
        <f>A1120</f>
        <v/>
      </c>
    </row>
    <row r="1121">
      <c r="B1121" s="0" t="inlineStr">
        <is>
          <t>NULL</t>
        </is>
      </c>
      <c r="C1121" s="0" t="inlineStr">
        <is>
          <t>NULL</t>
        </is>
      </c>
      <c r="D1121" s="0" t="inlineStr">
        <is>
          <t>NULL</t>
        </is>
      </c>
      <c r="E1121" s="0" t="inlineStr">
        <is>
          <t>NULL</t>
        </is>
      </c>
      <c r="F1121" s="0" t="inlineStr">
        <is>
          <t>NULL</t>
        </is>
      </c>
      <c r="G1121" s="0" t="inlineStr">
        <is>
          <t>NULL</t>
        </is>
      </c>
      <c r="H1121" s="0" t="inlineStr">
        <is>
          <t>NULL</t>
        </is>
      </c>
      <c r="I1121" s="0" t="inlineStr">
        <is>
          <t>NULL</t>
        </is>
      </c>
      <c r="J1121" s="0" t="inlineStr">
        <is>
          <t>NULL</t>
        </is>
      </c>
      <c r="K1121" s="0" t="inlineStr">
        <is>
          <t>YES! 	 id列源备映射正确，源端为int None位	期望更改为int	实际备端为int None位</t>
        </is>
      </c>
    </row>
    <row r="1122">
      <c r="B1122" s="0" t="inlineStr">
        <is>
          <t>NULL</t>
        </is>
      </c>
      <c r="C1122" s="0" t="inlineStr">
        <is>
          <t>NULL</t>
        </is>
      </c>
      <c r="D1122" s="0" t="inlineStr">
        <is>
          <t>NULL</t>
        </is>
      </c>
      <c r="E1122" s="0" t="inlineStr">
        <is>
          <t>NULL</t>
        </is>
      </c>
      <c r="F1122" s="0" t="inlineStr">
        <is>
          <t>NULL</t>
        </is>
      </c>
      <c r="G1122" s="0" t="inlineStr">
        <is>
          <t>NULL</t>
        </is>
      </c>
      <c r="H1122" s="0" t="inlineStr">
        <is>
          <t>NULL</t>
        </is>
      </c>
      <c r="I1122" s="0" t="inlineStr">
        <is>
          <t>NULL</t>
        </is>
      </c>
      <c r="J1122" s="0" t="inlineStr">
        <is>
          <t>NULL</t>
        </is>
      </c>
      <c r="K1122" s="0" t="inlineStr">
        <is>
          <t>YES! 	 c_geometry列源备映射正确，源端为geometry -1位	期望更改为text	实际备端为text 65535位</t>
        </is>
      </c>
    </row>
    <row r="1123">
      <c r="K1123" s="0" t="inlineStr">
        <is>
          <t>[0;31m NO! [0m 	  行数不同,源6行,备端空表</t>
        </is>
      </c>
    </row>
    <row r="1124">
      <c r="A1124" s="0" t="inlineStr">
        <is>
          <t>info_binary_dml_batch1_pk_drp2</t>
        </is>
      </c>
      <c r="K1124" s="0" t="inlineStr">
        <is>
          <t>[0;34m info_binary_dml_batch1_pk_drp2 [0m源备字段数相同，源端字段：4 	备端字段4</t>
        </is>
      </c>
      <c r="W1124" s="0" t="inlineStr">
        <is>
          <t>YES 源备无差异</t>
        </is>
      </c>
      <c r="X1124" s="0">
        <f>A1124</f>
        <v/>
      </c>
    </row>
    <row r="1125">
      <c r="B1125" s="0" t="inlineStr">
        <is>
          <t>NO! 主键不正常，源YES备None</t>
        </is>
      </c>
      <c r="C1125" s="0" t="inlineStr">
        <is>
          <t>NULL</t>
        </is>
      </c>
      <c r="D1125" s="0" t="inlineStr">
        <is>
          <t>NULL</t>
        </is>
      </c>
      <c r="E1125" s="0" t="inlineStr">
        <is>
          <t>NULL</t>
        </is>
      </c>
      <c r="F1125" s="0" t="inlineStr">
        <is>
          <t>NULL</t>
        </is>
      </c>
      <c r="G1125" s="0" t="inlineStr">
        <is>
          <t>NULL</t>
        </is>
      </c>
      <c r="H1125" s="0" t="inlineStr">
        <is>
          <t>NULL</t>
        </is>
      </c>
      <c r="I1125" s="0" t="inlineStr">
        <is>
          <t>NO! 源备索引不一致源PK__info_bin__3213E83F14AE18E3备None</t>
        </is>
      </c>
      <c r="J1125" s="0" t="inlineStr">
        <is>
          <t>NULL</t>
        </is>
      </c>
      <c r="K1125" s="0" t="inlineStr">
        <is>
          <t>YES! 	 id列源备映射正确，源端为int None位	期望更改为int	实际备端为int None位</t>
        </is>
      </c>
    </row>
    <row r="1126">
      <c r="B1126" s="0" t="inlineStr">
        <is>
          <t>NULL</t>
        </is>
      </c>
      <c r="C1126" s="0" t="inlineStr">
        <is>
          <t>NULL</t>
        </is>
      </c>
      <c r="D1126" s="0" t="inlineStr">
        <is>
          <t>NULL</t>
        </is>
      </c>
      <c r="E1126" s="0" t="inlineStr">
        <is>
          <t>NULL</t>
        </is>
      </c>
      <c r="F1126" s="0" t="inlineStr">
        <is>
          <t>NULL</t>
        </is>
      </c>
      <c r="G1126" s="0" t="inlineStr">
        <is>
          <t>NULL</t>
        </is>
      </c>
      <c r="H1126" s="0" t="inlineStr">
        <is>
          <t>NULL</t>
        </is>
      </c>
      <c r="I1126" s="0" t="inlineStr">
        <is>
          <t>NULL</t>
        </is>
      </c>
      <c r="J1126" s="0" t="inlineStr">
        <is>
          <t>NULL</t>
        </is>
      </c>
      <c r="K1126" s="0" t="inlineStr">
        <is>
          <t>YES! 	 c_binary列源备映射正确，源端为binary 1位	期望更改为binary(n)	实际备端为binary 1位</t>
        </is>
      </c>
    </row>
    <row r="1127">
      <c r="B1127" s="0" t="inlineStr">
        <is>
          <t>NULL</t>
        </is>
      </c>
      <c r="C1127" s="0" t="inlineStr">
        <is>
          <t>NULL</t>
        </is>
      </c>
      <c r="D1127" s="0" t="inlineStr">
        <is>
          <t>NULL</t>
        </is>
      </c>
      <c r="E1127" s="0" t="inlineStr">
        <is>
          <t>NULL</t>
        </is>
      </c>
      <c r="F1127" s="0" t="inlineStr">
        <is>
          <t>NULL</t>
        </is>
      </c>
      <c r="G1127" s="0" t="inlineStr">
        <is>
          <t>NULL</t>
        </is>
      </c>
      <c r="H1127" s="0" t="inlineStr">
        <is>
          <t>NULL</t>
        </is>
      </c>
      <c r="I1127" s="0" t="inlineStr">
        <is>
          <t>NULL</t>
        </is>
      </c>
      <c r="J1127" s="0" t="inlineStr">
        <is>
          <t>NULL</t>
        </is>
      </c>
      <c r="K1127" s="0" t="inlineStr">
        <is>
          <t>YES! 	 c_binary_20列源备映射正确，源端为binary 20位	期望更改为binary(n)	实际备端为binary 20位</t>
        </is>
      </c>
    </row>
    <row r="1128">
      <c r="B1128" s="0" t="inlineStr">
        <is>
          <t>NULL</t>
        </is>
      </c>
      <c r="C1128" s="0" t="inlineStr">
        <is>
          <t>NULL</t>
        </is>
      </c>
      <c r="D1128" s="0" t="inlineStr">
        <is>
          <t>NULL</t>
        </is>
      </c>
      <c r="E1128" s="0" t="inlineStr">
        <is>
          <t>NULL</t>
        </is>
      </c>
      <c r="F1128" s="0" t="inlineStr">
        <is>
          <t>NULL</t>
        </is>
      </c>
      <c r="G1128" s="0" t="inlineStr">
        <is>
          <t>NULL</t>
        </is>
      </c>
      <c r="H1128" s="0" t="inlineStr">
        <is>
          <t>NULL</t>
        </is>
      </c>
      <c r="I1128" s="0" t="inlineStr">
        <is>
          <t>NULL</t>
        </is>
      </c>
      <c r="J1128" s="0" t="inlineStr">
        <is>
          <t>NULL</t>
        </is>
      </c>
      <c r="K1128" s="0" t="inlineStr">
        <is>
          <t>YES! 	 c_binary_8000列源备映射正确，源端为binary 8000位	期望更改为longblob	实际备端为longblob 4294967295位</t>
        </is>
      </c>
    </row>
    <row r="1129">
      <c r="K1129" s="0" t="inlineStr">
        <is>
          <t>[0;31m NO! [0m 	  行数不同,源2行,备端空表</t>
        </is>
      </c>
    </row>
    <row r="1130">
      <c r="A1130" s="0" t="inlineStr">
        <is>
          <t>info_geometry_dml_single_nopk_drp</t>
        </is>
      </c>
      <c r="K1130" s="0" t="inlineStr">
        <is>
          <t>[0;34m info_geometry_dml_single_nopk_drp [0m源备字段数相同，源端字段：2 	备端字段2</t>
        </is>
      </c>
      <c r="W1130" s="0" t="inlineStr">
        <is>
          <t>YES 源备无差异</t>
        </is>
      </c>
      <c r="X1130" s="0">
        <f>A1130</f>
        <v/>
      </c>
    </row>
    <row r="1131">
      <c r="B1131" s="0" t="inlineStr">
        <is>
          <t>NULL</t>
        </is>
      </c>
      <c r="C1131" s="0" t="inlineStr">
        <is>
          <t>NULL</t>
        </is>
      </c>
      <c r="D1131" s="0" t="inlineStr">
        <is>
          <t>NULL</t>
        </is>
      </c>
      <c r="E1131" s="0" t="inlineStr">
        <is>
          <t>NULL</t>
        </is>
      </c>
      <c r="F1131" s="0" t="inlineStr">
        <is>
          <t>NULL</t>
        </is>
      </c>
      <c r="G1131" s="0" t="inlineStr">
        <is>
          <t>NULL</t>
        </is>
      </c>
      <c r="H1131" s="0" t="inlineStr">
        <is>
          <t>NULL</t>
        </is>
      </c>
      <c r="I1131" s="0" t="inlineStr">
        <is>
          <t>NULL</t>
        </is>
      </c>
      <c r="J1131" s="0" t="inlineStr">
        <is>
          <t>NULL</t>
        </is>
      </c>
      <c r="K1131" s="0" t="inlineStr">
        <is>
          <t>YES! 	 id列源备映射正确，源端为int None位	期望更改为int	实际备端为int None位</t>
        </is>
      </c>
    </row>
    <row r="1132">
      <c r="B1132" s="0" t="inlineStr">
        <is>
          <t>NULL</t>
        </is>
      </c>
      <c r="C1132" s="0" t="inlineStr">
        <is>
          <t>NULL</t>
        </is>
      </c>
      <c r="D1132" s="0" t="inlineStr">
        <is>
          <t>NULL</t>
        </is>
      </c>
      <c r="E1132" s="0" t="inlineStr">
        <is>
          <t>NULL</t>
        </is>
      </c>
      <c r="F1132" s="0" t="inlineStr">
        <is>
          <t>NULL</t>
        </is>
      </c>
      <c r="G1132" s="0" t="inlineStr">
        <is>
          <t>NULL</t>
        </is>
      </c>
      <c r="H1132" s="0" t="inlineStr">
        <is>
          <t>NULL</t>
        </is>
      </c>
      <c r="I1132" s="0" t="inlineStr">
        <is>
          <t>NULL</t>
        </is>
      </c>
      <c r="J1132" s="0" t="inlineStr">
        <is>
          <t>NULL</t>
        </is>
      </c>
      <c r="K1132" s="0" t="inlineStr">
        <is>
          <t>YES! 	 c_geometry列源备映射正确，源端为geometry -1位	期望更改为text	实际备端为text 65535位</t>
        </is>
      </c>
    </row>
    <row r="1133">
      <c r="A1133" s="0" t="inlineStr">
        <is>
          <t>info_binary_dml_batch1_pk_urp1</t>
        </is>
      </c>
      <c r="K1133" s="0" t="inlineStr">
        <is>
          <t>[0;34m info_binary_dml_batch1_pk_urp1 [0m源备字段数相同，源端字段：4 	备端字段4</t>
        </is>
      </c>
      <c r="W1133" s="0" t="inlineStr">
        <is>
          <t>YES 源备无差异</t>
        </is>
      </c>
      <c r="X1133" s="0">
        <f>A1133</f>
        <v/>
      </c>
    </row>
    <row r="1134">
      <c r="B1134" s="0" t="inlineStr">
        <is>
          <t>NO! 主键不正常，源YES备None</t>
        </is>
      </c>
      <c r="C1134" s="0" t="inlineStr">
        <is>
          <t>NULL</t>
        </is>
      </c>
      <c r="D1134" s="0" t="inlineStr">
        <is>
          <t>NULL</t>
        </is>
      </c>
      <c r="E1134" s="0" t="inlineStr">
        <is>
          <t>NULL</t>
        </is>
      </c>
      <c r="F1134" s="0" t="inlineStr">
        <is>
          <t>NULL</t>
        </is>
      </c>
      <c r="G1134" s="0" t="inlineStr">
        <is>
          <t>NULL</t>
        </is>
      </c>
      <c r="H1134" s="0" t="inlineStr">
        <is>
          <t>NULL</t>
        </is>
      </c>
      <c r="I1134" s="0" t="inlineStr">
        <is>
          <t>NO! 源备索引不一致源PK__info_bin__3213E83FC8D78F05备None</t>
        </is>
      </c>
      <c r="J1134" s="0" t="inlineStr">
        <is>
          <t>NULL</t>
        </is>
      </c>
      <c r="K1134" s="0" t="inlineStr">
        <is>
          <t>YES! 	 id列源备映射正确，源端为int None位	期望更改为int	实际备端为int None位</t>
        </is>
      </c>
    </row>
    <row r="1135">
      <c r="B1135" s="0" t="inlineStr">
        <is>
          <t>NULL</t>
        </is>
      </c>
      <c r="C1135" s="0" t="inlineStr">
        <is>
          <t>NULL</t>
        </is>
      </c>
      <c r="D1135" s="0" t="inlineStr">
        <is>
          <t>NULL</t>
        </is>
      </c>
      <c r="E1135" s="0" t="inlineStr">
        <is>
          <t>NULL</t>
        </is>
      </c>
      <c r="F1135" s="0" t="inlineStr">
        <is>
          <t>NULL</t>
        </is>
      </c>
      <c r="G1135" s="0" t="inlineStr">
        <is>
          <t>NULL</t>
        </is>
      </c>
      <c r="H1135" s="0" t="inlineStr">
        <is>
          <t>NULL</t>
        </is>
      </c>
      <c r="I1135" s="0" t="inlineStr">
        <is>
          <t>NULL</t>
        </is>
      </c>
      <c r="J1135" s="0" t="inlineStr">
        <is>
          <t>NULL</t>
        </is>
      </c>
      <c r="K1135" s="0" t="inlineStr">
        <is>
          <t>YES! 	 c_binary列源备映射正确，源端为binary 1位	期望更改为binary(n)	实际备端为binary 1位</t>
        </is>
      </c>
    </row>
    <row r="1136">
      <c r="B1136" s="0" t="inlineStr">
        <is>
          <t>NULL</t>
        </is>
      </c>
      <c r="C1136" s="0" t="inlineStr">
        <is>
          <t>NULL</t>
        </is>
      </c>
      <c r="D1136" s="0" t="inlineStr">
        <is>
          <t>NULL</t>
        </is>
      </c>
      <c r="E1136" s="0" t="inlineStr">
        <is>
          <t>NULL</t>
        </is>
      </c>
      <c r="F1136" s="0" t="inlineStr">
        <is>
          <t>NULL</t>
        </is>
      </c>
      <c r="G1136" s="0" t="inlineStr">
        <is>
          <t>NULL</t>
        </is>
      </c>
      <c r="H1136" s="0" t="inlineStr">
        <is>
          <t>NULL</t>
        </is>
      </c>
      <c r="I1136" s="0" t="inlineStr">
        <is>
          <t>NULL</t>
        </is>
      </c>
      <c r="J1136" s="0" t="inlineStr">
        <is>
          <t>NULL</t>
        </is>
      </c>
      <c r="K1136" s="0" t="inlineStr">
        <is>
          <t>YES! 	 c_binary_20列源备映射正确，源端为binary 20位	期望更改为binary(n)	实际备端为binary 20位</t>
        </is>
      </c>
    </row>
    <row r="1137">
      <c r="B1137" s="0" t="inlineStr">
        <is>
          <t>NULL</t>
        </is>
      </c>
      <c r="C1137" s="0" t="inlineStr">
        <is>
          <t>NULL</t>
        </is>
      </c>
      <c r="D1137" s="0" t="inlineStr">
        <is>
          <t>NULL</t>
        </is>
      </c>
      <c r="E1137" s="0" t="inlineStr">
        <is>
          <t>NULL</t>
        </is>
      </c>
      <c r="F1137" s="0" t="inlineStr">
        <is>
          <t>NULL</t>
        </is>
      </c>
      <c r="G1137" s="0" t="inlineStr">
        <is>
          <t>NULL</t>
        </is>
      </c>
      <c r="H1137" s="0" t="inlineStr">
        <is>
          <t>NULL</t>
        </is>
      </c>
      <c r="I1137" s="0" t="inlineStr">
        <is>
          <t>NULL</t>
        </is>
      </c>
      <c r="J1137" s="0" t="inlineStr">
        <is>
          <t>NULL</t>
        </is>
      </c>
      <c r="K1137" s="0" t="inlineStr">
        <is>
          <t>YES! 	 c_binary_8000列源备映射正确，源端为binary 8000位	期望更改为longblob	实际备端为longblob 4294967295位</t>
        </is>
      </c>
    </row>
    <row r="1138">
      <c r="K1138" s="0" t="inlineStr">
        <is>
          <t>[0;31m NO! [0m 	  行数不同,源10行,备端空表</t>
        </is>
      </c>
    </row>
    <row r="1139">
      <c r="A1139" s="0" t="inlineStr">
        <is>
          <t>info_geography_dml_single_pk_urp</t>
        </is>
      </c>
      <c r="K1139" s="0" t="inlineStr">
        <is>
          <t>[0;34m info_geography_dml_single_pk_urp [0m源备字段数相同，源端字段：2 	备端字段2</t>
        </is>
      </c>
      <c r="W1139" s="0" t="inlineStr">
        <is>
          <t>YES 源备无差异</t>
        </is>
      </c>
      <c r="X1139" s="0">
        <f>A1139</f>
        <v/>
      </c>
    </row>
    <row r="1140">
      <c r="B1140" s="0" t="inlineStr">
        <is>
          <t>NO! 主键不正常，源YES备None</t>
        </is>
      </c>
      <c r="C1140" s="0" t="inlineStr">
        <is>
          <t>NULL</t>
        </is>
      </c>
      <c r="D1140" s="0" t="inlineStr">
        <is>
          <t>NULL</t>
        </is>
      </c>
      <c r="E1140" s="0" t="inlineStr">
        <is>
          <t>NULL</t>
        </is>
      </c>
      <c r="F1140" s="0" t="inlineStr">
        <is>
          <t>NULL</t>
        </is>
      </c>
      <c r="G1140" s="0" t="inlineStr">
        <is>
          <t>NULL</t>
        </is>
      </c>
      <c r="H1140" s="0" t="inlineStr">
        <is>
          <t>NULL</t>
        </is>
      </c>
      <c r="I1140" s="0" t="inlineStr">
        <is>
          <t>NO! 源备索引不一致源PK__info_geo__3213E83F016608C5备None</t>
        </is>
      </c>
      <c r="J1140" s="0" t="inlineStr">
        <is>
          <t>NULL</t>
        </is>
      </c>
      <c r="K1140" s="0" t="inlineStr">
        <is>
          <t>YES! 	 id列源备映射正确，源端为int None位	期望更改为int	实际备端为int None位</t>
        </is>
      </c>
    </row>
    <row r="1141">
      <c r="B1141" s="0" t="inlineStr">
        <is>
          <t>NULL</t>
        </is>
      </c>
      <c r="C1141" s="0" t="inlineStr">
        <is>
          <t>NULL</t>
        </is>
      </c>
      <c r="D1141" s="0" t="inlineStr">
        <is>
          <t>NULL</t>
        </is>
      </c>
      <c r="E1141" s="0" t="inlineStr">
        <is>
          <t>NULL</t>
        </is>
      </c>
      <c r="F1141" s="0" t="inlineStr">
        <is>
          <t>NULL</t>
        </is>
      </c>
      <c r="G1141" s="0" t="inlineStr">
        <is>
          <t>NULL</t>
        </is>
      </c>
      <c r="H1141" s="0" t="inlineStr">
        <is>
          <t>NULL</t>
        </is>
      </c>
      <c r="I1141" s="0" t="inlineStr">
        <is>
          <t>NULL</t>
        </is>
      </c>
      <c r="J1141" s="0" t="inlineStr">
        <is>
          <t>NULL</t>
        </is>
      </c>
      <c r="K1141" s="0" t="inlineStr">
        <is>
          <t>YES! 	 c_geography列源备映射正确，源端为geography -1位	期望更改为text	实际备端为text 65535位</t>
        </is>
      </c>
    </row>
    <row r="1142">
      <c r="K1142" s="0" t="inlineStr">
        <is>
          <t>[0;31m NO! [0m 	  行数不同,源4行,备端空表</t>
        </is>
      </c>
    </row>
    <row r="1143">
      <c r="A1143" s="0" t="inlineStr">
        <is>
          <t>info_geometry_dml_single_nopk</t>
        </is>
      </c>
      <c r="K1143" s="0" t="inlineStr">
        <is>
          <t>[0;34m info_geometry_dml_single_nopk [0m源备字段数相同，源端字段：2 	备端字段2</t>
        </is>
      </c>
      <c r="W1143" s="0" t="inlineStr">
        <is>
          <t>YES 源备无差异</t>
        </is>
      </c>
      <c r="X1143" s="0">
        <f>A1143</f>
        <v/>
      </c>
    </row>
    <row r="1144">
      <c r="B1144" s="0" t="inlineStr">
        <is>
          <t>NULL</t>
        </is>
      </c>
      <c r="C1144" s="0" t="inlineStr">
        <is>
          <t>NULL</t>
        </is>
      </c>
      <c r="D1144" s="0" t="inlineStr">
        <is>
          <t>NULL</t>
        </is>
      </c>
      <c r="E1144" s="0" t="inlineStr">
        <is>
          <t>NULL</t>
        </is>
      </c>
      <c r="F1144" s="0" t="inlineStr">
        <is>
          <t>NULL</t>
        </is>
      </c>
      <c r="G1144" s="0" t="inlineStr">
        <is>
          <t>NULL</t>
        </is>
      </c>
      <c r="H1144" s="0" t="inlineStr">
        <is>
          <t>NULL</t>
        </is>
      </c>
      <c r="I1144" s="0" t="inlineStr">
        <is>
          <t>NULL</t>
        </is>
      </c>
      <c r="J1144" s="0" t="inlineStr">
        <is>
          <t>NULL</t>
        </is>
      </c>
      <c r="K1144" s="0" t="inlineStr">
        <is>
          <t>YES! 	 id列源备映射正确，源端为int None位	期望更改为int	实际备端为int None位</t>
        </is>
      </c>
    </row>
    <row r="1145">
      <c r="B1145" s="0" t="inlineStr">
        <is>
          <t>NULL</t>
        </is>
      </c>
      <c r="C1145" s="0" t="inlineStr">
        <is>
          <t>NULL</t>
        </is>
      </c>
      <c r="D1145" s="0" t="inlineStr">
        <is>
          <t>NULL</t>
        </is>
      </c>
      <c r="E1145" s="0" t="inlineStr">
        <is>
          <t>NULL</t>
        </is>
      </c>
      <c r="F1145" s="0" t="inlineStr">
        <is>
          <t>NULL</t>
        </is>
      </c>
      <c r="G1145" s="0" t="inlineStr">
        <is>
          <t>NULL</t>
        </is>
      </c>
      <c r="H1145" s="0" t="inlineStr">
        <is>
          <t>NULL</t>
        </is>
      </c>
      <c r="I1145" s="0" t="inlineStr">
        <is>
          <t>NULL</t>
        </is>
      </c>
      <c r="J1145" s="0" t="inlineStr">
        <is>
          <t>NULL</t>
        </is>
      </c>
      <c r="K1145" s="0" t="inlineStr">
        <is>
          <t>YES! 	 c_geometry列源备映射正确，源端为geometry -1位	期望更改为text	实际备端为text 65535位</t>
        </is>
      </c>
    </row>
    <row r="1146">
      <c r="A1146" s="0" t="inlineStr">
        <is>
          <t>info_geography_dml_single_pk</t>
        </is>
      </c>
      <c r="K1146" s="0" t="inlineStr">
        <is>
          <t>[0;34m info_geography_dml_single_pk [0m源备字段数相同，源端字段：2 	备端字段2</t>
        </is>
      </c>
      <c r="W1146" s="0" t="inlineStr">
        <is>
          <t>YES 源备无差异</t>
        </is>
      </c>
      <c r="X1146" s="0">
        <f>A1146</f>
        <v/>
      </c>
    </row>
    <row r="1147">
      <c r="B1147" s="0" t="inlineStr">
        <is>
          <t>NO! 主键不正常，源YES备None</t>
        </is>
      </c>
      <c r="C1147" s="0" t="inlineStr">
        <is>
          <t>NULL</t>
        </is>
      </c>
      <c r="D1147" s="0" t="inlineStr">
        <is>
          <t>NULL</t>
        </is>
      </c>
      <c r="E1147" s="0" t="inlineStr">
        <is>
          <t>NULL</t>
        </is>
      </c>
      <c r="F1147" s="0" t="inlineStr">
        <is>
          <t>NULL</t>
        </is>
      </c>
      <c r="G1147" s="0" t="inlineStr">
        <is>
          <t>NULL</t>
        </is>
      </c>
      <c r="H1147" s="0" t="inlineStr">
        <is>
          <t>NULL</t>
        </is>
      </c>
      <c r="I1147" s="0" t="inlineStr">
        <is>
          <t>NO! 源备索引不一致源PK__info_geo__3213E83FFD6B584B备None</t>
        </is>
      </c>
      <c r="J1147" s="0" t="inlineStr">
        <is>
          <t>NULL</t>
        </is>
      </c>
      <c r="K1147" s="0" t="inlineStr">
        <is>
          <t>YES! 	 id列源备映射正确，源端为int None位	期望更改为int	实际备端为int None位</t>
        </is>
      </c>
    </row>
    <row r="1148">
      <c r="B1148" s="0" t="inlineStr">
        <is>
          <t>NULL</t>
        </is>
      </c>
      <c r="C1148" s="0" t="inlineStr">
        <is>
          <t>NULL</t>
        </is>
      </c>
      <c r="D1148" s="0" t="inlineStr">
        <is>
          <t>NULL</t>
        </is>
      </c>
      <c r="E1148" s="0" t="inlineStr">
        <is>
          <t>NULL</t>
        </is>
      </c>
      <c r="F1148" s="0" t="inlineStr">
        <is>
          <t>NULL</t>
        </is>
      </c>
      <c r="G1148" s="0" t="inlineStr">
        <is>
          <t>NULL</t>
        </is>
      </c>
      <c r="H1148" s="0" t="inlineStr">
        <is>
          <t>NULL</t>
        </is>
      </c>
      <c r="I1148" s="0" t="inlineStr">
        <is>
          <t>NULL</t>
        </is>
      </c>
      <c r="J1148" s="0" t="inlineStr">
        <is>
          <t>NULL</t>
        </is>
      </c>
      <c r="K1148" s="0" t="inlineStr">
        <is>
          <t>YES! 	 c_geography列源备映射正确，源端为geography -1位	期望更改为text	实际备端为text 65535位</t>
        </is>
      </c>
    </row>
    <row r="1149">
      <c r="K1149" s="0" t="inlineStr">
        <is>
          <t>[0;31m NO! [0m 	  行数不同,源2行,备端空表</t>
        </is>
      </c>
    </row>
    <row r="1150">
      <c r="A1150" s="0" t="inlineStr">
        <is>
          <t>info_varbinary_dml_batch1_pk_irp1</t>
        </is>
      </c>
      <c r="K1150" s="0" t="inlineStr">
        <is>
          <t>[0;34m info_varbinary_dml_batch1_pk_irp1 [0m源备字段数相同，源端字段：4 	备端字段4</t>
        </is>
      </c>
      <c r="W1150" s="0" t="inlineStr">
        <is>
          <t>YES 源备无差异</t>
        </is>
      </c>
      <c r="X1150" s="0">
        <f>A1150</f>
        <v/>
      </c>
    </row>
    <row r="1151">
      <c r="B1151" s="0" t="inlineStr">
        <is>
          <t>NO! 主键不正常，源YES备None</t>
        </is>
      </c>
      <c r="C1151" s="0" t="inlineStr">
        <is>
          <t>NULL</t>
        </is>
      </c>
      <c r="D1151" s="0" t="inlineStr">
        <is>
          <t>NULL</t>
        </is>
      </c>
      <c r="E1151" s="0" t="inlineStr">
        <is>
          <t>NULL</t>
        </is>
      </c>
      <c r="F1151" s="0" t="inlineStr">
        <is>
          <t>NULL</t>
        </is>
      </c>
      <c r="G1151" s="0" t="inlineStr">
        <is>
          <t>NULL</t>
        </is>
      </c>
      <c r="H1151" s="0" t="inlineStr">
        <is>
          <t>NULL</t>
        </is>
      </c>
      <c r="I1151" s="0" t="inlineStr">
        <is>
          <t>NO! 源备索引不一致源PK__info_var__3213E83F1C6883B8备None</t>
        </is>
      </c>
      <c r="J1151" s="0" t="inlineStr">
        <is>
          <t>NULL</t>
        </is>
      </c>
      <c r="K1151" s="0" t="inlineStr">
        <is>
          <t>YES! 	 id列源备映射正确，源端为int None位	期望更改为int	实际备端为int None位</t>
        </is>
      </c>
    </row>
    <row r="1152">
      <c r="B1152" s="0" t="inlineStr">
        <is>
          <t>NULL</t>
        </is>
      </c>
      <c r="C1152" s="0" t="inlineStr">
        <is>
          <t>NULL</t>
        </is>
      </c>
      <c r="D1152" s="0" t="inlineStr">
        <is>
          <t>NULL</t>
        </is>
      </c>
      <c r="E1152" s="0" t="inlineStr">
        <is>
          <t>NULL</t>
        </is>
      </c>
      <c r="F1152" s="0" t="inlineStr">
        <is>
          <t>NULL</t>
        </is>
      </c>
      <c r="G1152" s="0" t="inlineStr">
        <is>
          <t>NULL</t>
        </is>
      </c>
      <c r="H1152" s="0" t="inlineStr">
        <is>
          <t>NULL</t>
        </is>
      </c>
      <c r="I1152" s="0" t="inlineStr">
        <is>
          <t>NULL</t>
        </is>
      </c>
      <c r="J1152" s="0" t="inlineStr">
        <is>
          <t>NULL</t>
        </is>
      </c>
      <c r="K1152" s="0" t="inlineStr">
        <is>
          <t>YES! 	 c_varbinary列源备映射正确，源端为varbinary 1位	期望更改为varbinary(n)	实际备端为varbinary 1位</t>
        </is>
      </c>
    </row>
    <row r="1153">
      <c r="B1153" s="0" t="inlineStr">
        <is>
          <t>NULL</t>
        </is>
      </c>
      <c r="C1153" s="0" t="inlineStr">
        <is>
          <t>NULL</t>
        </is>
      </c>
      <c r="D1153" s="0" t="inlineStr">
        <is>
          <t>NULL</t>
        </is>
      </c>
      <c r="E1153" s="0" t="inlineStr">
        <is>
          <t>NULL</t>
        </is>
      </c>
      <c r="F1153" s="0" t="inlineStr">
        <is>
          <t>NULL</t>
        </is>
      </c>
      <c r="G1153" s="0" t="inlineStr">
        <is>
          <t>NULL</t>
        </is>
      </c>
      <c r="H1153" s="0" t="inlineStr">
        <is>
          <t>NULL</t>
        </is>
      </c>
      <c r="I1153" s="0" t="inlineStr">
        <is>
          <t>NULL</t>
        </is>
      </c>
      <c r="J1153" s="0" t="inlineStr">
        <is>
          <t>NULL</t>
        </is>
      </c>
      <c r="K1153" s="0" t="inlineStr">
        <is>
          <t>YES! 	 c_varbinary_100列源备映射正确，源端为varbinary 100位	期望更改为varbinary(n)	实际备端为varbinary 100位</t>
        </is>
      </c>
    </row>
    <row r="1154">
      <c r="B1154" s="0" t="inlineStr">
        <is>
          <t>NULL</t>
        </is>
      </c>
      <c r="C1154" s="0" t="inlineStr">
        <is>
          <t>NULL</t>
        </is>
      </c>
      <c r="D1154" s="0" t="inlineStr">
        <is>
          <t>NULL</t>
        </is>
      </c>
      <c r="E1154" s="0" t="inlineStr">
        <is>
          <t>NULL</t>
        </is>
      </c>
      <c r="F1154" s="0" t="inlineStr">
        <is>
          <t>NULL</t>
        </is>
      </c>
      <c r="G1154" s="0" t="inlineStr">
        <is>
          <t>NULL</t>
        </is>
      </c>
      <c r="H1154" s="0" t="inlineStr">
        <is>
          <t>NULL</t>
        </is>
      </c>
      <c r="I1154" s="0" t="inlineStr">
        <is>
          <t>NULL</t>
        </is>
      </c>
      <c r="J1154" s="0" t="inlineStr">
        <is>
          <t>NULL</t>
        </is>
      </c>
      <c r="K1154" s="0" t="inlineStr">
        <is>
          <t>YES! 	 c_varbinary_8000列源备映射正确，源端为varbinary 8000位	期望更改为longblob	实际备端为longblob 4294967295位</t>
        </is>
      </c>
    </row>
    <row r="1155">
      <c r="K1155" s="0" t="inlineStr">
        <is>
          <t>[0;31m NO! [0m 	  行数不同,源10行,备端空表</t>
        </is>
      </c>
    </row>
  </sheetData>
  <mergeCells count="159">
    <mergeCell ref="A730:A739"/>
    <mergeCell ref="A127:A132"/>
    <mergeCell ref="A816:A819"/>
    <mergeCell ref="A1105:A1108"/>
    <mergeCell ref="A196:A217"/>
    <mergeCell ref="A331:A335"/>
    <mergeCell ref="A648:A653"/>
    <mergeCell ref="A956:A965"/>
    <mergeCell ref="A638:A643"/>
    <mergeCell ref="A379:A382"/>
    <mergeCell ref="A501:A504"/>
    <mergeCell ref="A677:A680"/>
    <mergeCell ref="A544:A546"/>
    <mergeCell ref="A566:A569"/>
    <mergeCell ref="A70:A75"/>
    <mergeCell ref="A1150:A1155"/>
    <mergeCell ref="A664:A667"/>
    <mergeCell ref="A806:A811"/>
    <mergeCell ref="A696:A698"/>
    <mergeCell ref="A857:A860"/>
    <mergeCell ref="A76:A79"/>
    <mergeCell ref="A345:A350"/>
    <mergeCell ref="A558:A561"/>
    <mergeCell ref="A224:A245"/>
    <mergeCell ref="A944:A949"/>
    <mergeCell ref="A91:A94"/>
    <mergeCell ref="A907:A917"/>
    <mergeCell ref="A181:A184"/>
    <mergeCell ref="A1094:A1097"/>
    <mergeCell ref="A789:A799"/>
    <mergeCell ref="A834:A839"/>
    <mergeCell ref="A53:A58"/>
    <mergeCell ref="A966:A971"/>
    <mergeCell ref="A1012:A1033"/>
    <mergeCell ref="A897:A906"/>
    <mergeCell ref="A35:A38"/>
    <mergeCell ref="A505:A508"/>
    <mergeCell ref="A570:A573"/>
    <mergeCell ref="A368:A373"/>
    <mergeCell ref="A547:A557"/>
    <mergeCell ref="A928:A933"/>
    <mergeCell ref="A631:A633"/>
    <mergeCell ref="A634:A637"/>
    <mergeCell ref="A62:A66"/>
    <mergeCell ref="A668:A673"/>
    <mergeCell ref="A583:A593"/>
    <mergeCell ref="A218:A223"/>
    <mergeCell ref="A177:A180"/>
    <mergeCell ref="A720:A723"/>
    <mergeCell ref="A1146:A1149"/>
    <mergeCell ref="A246:A266"/>
    <mergeCell ref="A740:A750"/>
    <mergeCell ref="A513:A523"/>
    <mergeCell ref="A539:A543"/>
    <mergeCell ref="A800:A802"/>
    <mergeCell ref="A533:A538"/>
    <mergeCell ref="A1004:A1007"/>
    <mergeCell ref="A185:A190"/>
    <mergeCell ref="A1133:A1138"/>
    <mergeCell ref="A674:A676"/>
    <mergeCell ref="A1098:A1101"/>
    <mergeCell ref="A1066:A1087"/>
    <mergeCell ref="A861:A865"/>
    <mergeCell ref="A357:A362"/>
    <mergeCell ref="A509:A512"/>
    <mergeCell ref="A600:A603"/>
    <mergeCell ref="A416:A441"/>
    <mergeCell ref="A267:A293"/>
    <mergeCell ref="A1109:A1112"/>
    <mergeCell ref="A705:A710"/>
    <mergeCell ref="A471:A496"/>
    <mergeCell ref="A1062:A1065"/>
    <mergeCell ref="A877:A886"/>
    <mergeCell ref="A828:A830"/>
    <mergeCell ref="A846:A856"/>
    <mergeCell ref="A644:A647"/>
    <mergeCell ref="A442:A467"/>
    <mergeCell ref="A1120:A1123"/>
    <mergeCell ref="A812:A815"/>
    <mergeCell ref="A325:A330"/>
    <mergeCell ref="A44:A46"/>
    <mergeCell ref="A59:A61"/>
    <mergeCell ref="A105:A126"/>
    <mergeCell ref="A383:A388"/>
    <mergeCell ref="A619:A624"/>
    <mergeCell ref="A336:A340"/>
    <mergeCell ref="A9:A13"/>
    <mergeCell ref="A1088:A1093"/>
    <mergeCell ref="A149:A154"/>
    <mergeCell ref="A866:A876"/>
    <mergeCell ref="A681:A691"/>
    <mergeCell ref="A19:A23"/>
    <mergeCell ref="A625:A630"/>
    <mergeCell ref="A497:A500"/>
    <mergeCell ref="A998:A1003"/>
    <mergeCell ref="A950:A955"/>
    <mergeCell ref="A101:A104"/>
    <mergeCell ref="A191:A195"/>
    <mergeCell ref="A351:A356"/>
    <mergeCell ref="A321:A324"/>
    <mergeCell ref="A39:A43"/>
    <mergeCell ref="A3:A8"/>
    <mergeCell ref="A1130:A1132"/>
    <mergeCell ref="A95:A100"/>
    <mergeCell ref="A934:A943"/>
    <mergeCell ref="A524:A529"/>
    <mergeCell ref="A779:A788"/>
    <mergeCell ref="A604:A607"/>
    <mergeCell ref="A1040:A1061"/>
    <mergeCell ref="A608:A618"/>
    <mergeCell ref="A363:A367"/>
    <mergeCell ref="A594:A599"/>
    <mergeCell ref="A994:A997"/>
    <mergeCell ref="A468:A470"/>
    <mergeCell ref="A80:A84"/>
    <mergeCell ref="A1139:A1142"/>
    <mergeCell ref="A831:A833"/>
    <mergeCell ref="A1102:A1104"/>
    <mergeCell ref="A374:A378"/>
    <mergeCell ref="A1034:A1039"/>
    <mergeCell ref="A1117:A1119"/>
    <mergeCell ref="A389:A415"/>
    <mergeCell ref="A14:A18"/>
    <mergeCell ref="A803:A805"/>
    <mergeCell ref="A574:A578"/>
    <mergeCell ref="A840:A845"/>
    <mergeCell ref="A137:A142"/>
    <mergeCell ref="A315:A320"/>
    <mergeCell ref="A67:A69"/>
    <mergeCell ref="A762:A767"/>
    <mergeCell ref="A658:A663"/>
    <mergeCell ref="A1143:A1145"/>
    <mergeCell ref="A133:A136"/>
    <mergeCell ref="A820:A822"/>
    <mergeCell ref="A699:A704"/>
    <mergeCell ref="A918:A927"/>
    <mergeCell ref="A562:A565"/>
    <mergeCell ref="A1124:A1129"/>
    <mergeCell ref="A768:A778"/>
    <mergeCell ref="A654:A657"/>
    <mergeCell ref="A341:A344"/>
    <mergeCell ref="A1008:A1011"/>
    <mergeCell ref="A530:A532"/>
    <mergeCell ref="A85:A90"/>
    <mergeCell ref="A972:A993"/>
    <mergeCell ref="A47:A52"/>
    <mergeCell ref="A155:A176"/>
    <mergeCell ref="A24:A34"/>
    <mergeCell ref="A579:A582"/>
    <mergeCell ref="A751:A761"/>
    <mergeCell ref="A717:A719"/>
    <mergeCell ref="A887:A896"/>
    <mergeCell ref="A1113:A1116"/>
    <mergeCell ref="A692:A695"/>
    <mergeCell ref="A143:A148"/>
    <mergeCell ref="A294:A314"/>
    <mergeCell ref="A724:A729"/>
    <mergeCell ref="A823:A827"/>
    <mergeCell ref="A711:A7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4"/>
  <sheetViews>
    <sheetView workbookViewId="0">
      <selection activeCell="A1" sqref="A1"/>
    </sheetView>
  </sheetViews>
  <sheetFormatPr baseColWidth="8" defaultRowHeight="15"/>
  <sheetData>
    <row r="1">
      <c r="A1" s="0" t="inlineStr">
        <is>
          <t>sqlserver -- 2026051816mysql</t>
        </is>
      </c>
      <c r="E1" s="0" t="inlineStr">
        <is>
          <t>源备表数量不一致，源端共计 303个表，备端共计 12个表，
 缺失表单['info_char_dml_single_nopk_irp', 'info_geometry_dml_single_pk_urp', 'info_time_dml_batch1_pk_irp2', 'info_varbinary_dml_batch2_pk_irp2', 'info_char_dml_single_nopk_urp', 'info_char_dml_single_nopk_drp', 'info_geometry_dml_single_pk_drp', 'info_time_dml_batch2_pk_irp1', 'info_varbinary_dml_batch1_pk_urp1', 'info_char_dml_single_nopk', 'info_varchar_dml_single_nopk_irp', 'info_geometry_dml_single_pk', 'info_time_dml_batch2_pk_irp2', 'info_varbinary_dml_batch1_pk_urp2', 'info_time_dml_batch1_pk_urp1', 'info_char_dml_batch1_pk_irp1', 'info_time_dml_batch1_pk_urp2', 'info_hierarchyid_dml_single_nopk_irp', 'info_char_dml_batch1_pk_irp2', 'info_char_dml_single_pk_irp', 'info_hierarchyid_dml_single_nopk_urp', 'info_varchar_dml_single_nopk_urp', 'info_time_dml_batch1_pk_drp1', 'info_hierarchyid_dml_single_nopk_drp', 'info_char_dml_batch2_pk_irp1', 'info_varchar_dml_single_nopk_drp', 'info_hierarchyid_dml_single_pk_irp', 'info_char_dml_single_pk_urp', 'info_hierarchyid_dml_single_nopk', 'info_time_dml_batch1_pk_drp2', 'info_char_dml_batch2_pk_irp2', 'info_hierarchyid_dml_single_pk_urp', 'info_char_dml_single_pk_drp', 'info_time_dml_batch1_pk', 'info_char_dml_batch1_pk_urp1', 'info_hierarchyid_dml_single_pk_drp', 'info_char_dml_single_pk', 'info_varchar_dml_single_nopk', 'info_sdt_dml_batch1_pk_irp1', 'info_char_dml_batch1_pk_urp2', 'info_hierarchyid_dml_single_pk', 'info_varchar_dml_single_pk_irp', 'info_nchar_dml_single_nopk_irp', 'info_sdt_dml_batch1_pk_irp2', 'info_char_dml_batch1_pk_drp1', 'info_int_dml_single_pk_irp', 'info_varchar_dml_single_pk_urp', 'info_sdt_dml_batch2_pk_irp1', 'info_char_dml_batch1_pk_drp2', 'info_int_dml_single_pk_urp', 'info_varchar_dml_single_pk_drp', 'info_sdt_dml_batch2_pk_irp2', 'info_char_dml_batch1_pk', 'info_int_dml_single_pk_drp', 'info_varchar_dml_single_pk', 'info_nchar_dml_single_nopk_urp', 'info_sdt_dml_batch1_pk_urp1', 'info_varchar_dml_batch1_pk_irp1', 'info_nchar_dml_single_nopk_drp', 'info_int_dml_single_pk', 'info_nchar_dml_single_pk_irp', 'info_sdt_dml_batch1_pk_urp2', 'info_varchar_dml_batch1_pk_irp2', 'info_nchar_dml_single_nopk', 'info_sql_variant_dml_single_pk_irp', 'info_nchar_dml_single_pk_urp', 'info_int_dml_single_nopk_irp', 'info_sdt_dml_batch1_pk_drp1', 'info_int_dml_single_nopk_urp', 'info_varchar_dml_batch2_pk_irp1', 'info_sql_variant_dml_single_pk_urp', 'info_nchar_dml_single_pk_drp', 'info_int_dml_single_nopk_drp', 'info_sdt_dml_batch1_pk_drp2', 'info_int_dml_single_nopk', 'info_varchar_dml_batch2_pk_irp2', 'info_sql_variant_dml_single_pk_drp', 'info_nchar_dml_single_pk', 'info_nvarchar_dml_single_nopk_irp', 'info_sdt_dml_batch1_pk', 'info_varchar_dml_batch1_pk_urp1', 'info_sql_variant_dml_single_pk', 'info_nvarchar_dml_single_pk_irp', 'info_datetime_dml_batch1_pk_irp1', 'info_varchar_dml_batch1_pk_urp2', 'info_text_dml_single_pk_irp', 'info_nvarchar_dml_single_pk_urp', 'info_datetime_dml_batch1_pk_irp2', 'info_varchar_dml_batch1_pk_drp1', 'info_text_dml_single_pk_urp', 'info_nvarchar_dml_single_pk_drp', 'info_nvarchar_dml_single_nopk_urp', 'info_datetime_dml_batch2_pk_irp1', 'info_varchar_dml_batch1_pk_drp2', 'info_nvarchar_dml_single_nopk_drp', 'info_text_dml_single_pk_drp', 'info_nvarchar_dml_single_pk', 'info_datetime_dml_batch2_pk_irp2', 'info_varchar_dml_batch1_pk', 'info_text_dml_single_pk', 'info_varcharmax_dml_single_pk_irp', 'info_datetime_dml_batch1_pk_urp1', 'info_nchar_dml_batch1_pk_irp1', 'info_date_dml_single_pk_irp', 'info_varcharmax_dml_single_pk_urp', 'info_datetime_dml_batch1_pk_urp2', 'info_nchar_dml_batch1_pk_irp2', 'info_nvarchar_dml_single_nopk', 'info_date_dml_single_pk_urp', 'info_varcharmax_dml_single_pk_drp', 'info_varcharmax_dml_single_nopk_irp', 'info_datetime_dml_batch1_pk_drp1', 'info_sql_variant_dml_single_nopk_irp', 'info_nchar_dml_batch2_pk_irp1', 'info_date_dml_single_pk_drp', 'info_varcharmax_dml_single_pk', 'info_sql_variant_dml_single_nopk_urp', 'info_datetime_dml_batch1_pk_drp2', 'info_sql_variant_dml_single_nopk_drp', 'info_nchar_dml_batch2_pk_irp2', 'info_date_dml_single_pk', 'info_timestamp_dml_single_nopk_irp', 'info_sql_variant_dml_single_nopk', 'info_timestamp_dml_single_nopk_drp', 'info_datetime_dml_batch1_pk', 'info_nchar_dml_batch1_pk_urp1', 'info_varcharmax_dml_single_nopk_urp', 'info_time_dml_single_pk_irp', 'info_datetime2_dml_batch1_pk_irp1', 'info_nchar_dml_batch2_pk_urp2', 'info_varcharmax_dml_single_nopk_drp', 'info_time_dml_single_pk_urp', 'info_datetime2_dml_batch1_pk_irp2', 'info_nchar_dml_batch1_pk_drp1', 'info_time_dml_single_pk_drp', 'info_text_dml_single_nopk_irp', 'info_uniqueidentifier_dml_single_nopk_irp', 'info_datetime2_dml_batch2_pk_irp1', 'info_text_dml_single_nopk_urp', 'info_nchar_dml_batch1_pk_drp2', 'info_time_dml_single_pk', 'info_uniqueidentifier_dml_single_nopk_urp', 'info_text_dml_single_nopk_drp', 'info_varcharmax_dml_single_nopk', 'info_uniqueidentifier_dml_single_nopk_drp', 'info_datetime2_dml_batch2_pk_irp2', 'info_text_dml_single_nopk', 'info_nchar_dml_batch1_pk', 'info_sdt_dml_single_pk_irp', 'info_uniqueidentifier_dml_single_nopk', 'info_datetime2_dml_batch1_pk_urp1', 'info_nvarchar_dml_batch1_pk_irp1', 'info_sdt_dml_single_pk_urp', 'info_datetime2_dml_batch1_pk_urp2', 'info_nvarchar_dml_batch1_pk_irp2', 'info_sdt_dml_single_pk_drp', 'info_datetime2_dml_batch1_pk_drp1', 'info_nvarchar_dml_batch2_pk_irp1', 'info_sdt_dml_single_pk', 'info_xml_dml_single_nopk_irp', 'info_xml_dml_single_nopk_urp', 'info_datetime2_dml_batch1_pk_drp2', 'info_nvarchar_dml_batch2_pk_irp2', 'info_datetime_dml_single_pk_irp', 'info_xml_dml_single_nopk_drp', 'info_xml_dml_single_nopk', 'info_datetime2_dml_batch1_pk', 'info_nvarchar_dml_batch1_pk_urp1', 'info_datetime_dml_single_pk_urp', 'info_date_dml_single_nopk_irp', 'info_datetimeoffset_dml_batch1_pk_irp1', 'info_date_dml_single_nopk_urp', 'info_nvarchar_dml_batch2_pk_urp2', 'info_datetime_dml_single_pk_drp', 'info_date_dml_single_nopk_drp', 'info_datetimeoffset_dml_batch1_pk_irp2', 'info_date_dml_single_nopk', 'info_nvarchar_dml_batch1_pk_drp1', 'info_datetime_dml_single_pk', 'info_time_dml_single_nopk_irp', 'info_datetimeoffset_dml_batch2_pk_irp1', 'info_time_dml_single_nopk_urp', 'info_nvarchar_dml_batch1_pk_drp2', 'info_datetime2_dml_single_pk_irp', 'info_time_dml_single_nopk_drp', 'info_datetimeoffset_dml_batch2_pk_irp2', 'info_time_dml_single_nopk', 'info_nvarchar_dml_batch1_pk', 'info_datetime2_dml_single_pk_urp', 'info_sdt_dml_single_nopk_irp', 'info_datetimeoffset_dml_batch1_pk_urp1', 'info_sdt_dml_single_nopk_urp', 'info_varcharmax_dml_batch1_pk_irp1', 'info_datetime2_dml_single_pk_drp', 'info_sdt_dml_single_nopk_drp', 'info_datetimeoffset_dml_batch1_pk_urp2', 'info_sdt_dml_single_nopk', 'info_varcharmax_dml_batch1_pk_irp2', 'info_datetime2_dml_single_pk', 'info_datetime_dml_single_nopk_irp', 'info_datetimeoffset_dml_batch1_pk_drp1', 'info_datetime_dml_single_nopk_urp', 'info_varcharmax_dml_batch2_pk_irp1', 'info_datetimeoffset_dml_single_pk_irp', 'info_datetime_dml_single_nopk_drp', 'info_binary_dml_single_pk_irp', 'info_datetimeoffset_dml_batch1_pk_drp2', 'info_datetime_dml_single_nopk', 'info_varcharmax_dml_batch2_pk_irp2', 'info_datetimeoffset_dml_single_pk_urp', 'info_datetime2_dml_single_nopk_irp', 'info_binary_dml_single_pk_urp', 'info_datetimeoffset_dml_batch1_pk', 'info_datetime2_dml_single_nopk_urp', 'info_varcharmax_dml_batch1_pk_urp1', 'info_datetimeoffset_dml_single_pk_drp', 'info_datetime2_dml_single_nopk_drp', 'info_binary_dml_single_pk_drp', 'info_datetime2_dml_single_nopk', 'info_varcharmax_dml_batch1_pk_urp2', 'info_datetimeoffset_dml_single_pk', 'info_datetimeoffset_dml_single_nopk_irp', 'info_binary_dml_single_pk', 'info_datetimeoffset_dml_single_nopk_urp', 'info_varcharmax_dml_batch1_pk_drp1', 'info_timestamp_dml_single_pk_irp', 'info_datetimeoffset_dml_single_nopk_drp', 'info_varbinary_dml_single_pk_irp', 'info_datetimeoffset_dml_single_nopk', 'info_varcharmax_dml_batch1_pk_drp2', 'info_timestamp_dml_single_pk_drp', 'info_varbinary_dml_single_pk_urp', 'info_varcharmax_dml_batch1_pk', 'info_uniqueidentifier_dml_single_pk_irp', 'info_varbinary_dml_single_pk_drp', 'info_int_dml_batch1_pk_irp1', 'info_uniqueidentifier_dml_single_pk_urp', 'info_varbinary_dml_single_pk', 'info_int_dml_batch1_pk_irp2', 'info_uniqueidentifier_dml_single_pk_drp', 'info_varbinary_max_dml_single_pk_irp', 'info_int_dml_batch2_pk_irp1', 'info_uniqueidentifier_dml_single_pk', 'info_varbinary_max_dml_single_pk_urp', 'info_int_dml_batch2_pk_irp2', 'info_xml_dml_single_pk_irp', 'info_varbinary_max_dml_single_pk_drp', 'info_int_dml_batch1_pk_urp1', 'info_xml_dml_single_pk_urp', 'info_varbinary_max_dml_single_pk', 'info_int_dml_batch1_pk_urp2', 'info_xml_dml_single_pk_drp', 'info_int_dml_batch1_pk_drp1', 'info_xml_dml_single_pk', 'info_int_dml_batch1_pk_drp2', 'info_binary_dml_batch1_pk_irp1', 'info_int_dml_batch1_pk', 'info_binary_dml_batch1_pk_irp2', 'info_date_dml_batch1_pk_irp1', 'info_binary_dml_batch2_pk_irp1', 'info_date_dml_batch1_pk_irp2', 'info_binary_dml_batch2_pk_irp2', 'info_date_dml_batch2_pk_irp1', 'info_binary_dml_batch1_pk_urp1', 'info_geography_dml_single_nopk_irp', 'info_date_dml_batch2_pk_irp2', 'info_geography_dml_single_nopk_urp', 'info_binary_dml_batch1_pk_urp2', 'info_geography_dml_single_nopk_drp', 'info_date_dml_batch1_pk_urp1', 'info_geography_dml_single_nopk', 'info_binary_dml_batch1_pk_drp1', 'info_geometry_dml_single_nopk_irp', 'info_geography_dml_single_pk_irp', 'info_date_dml_batch1_pk_urp2', 'info_geometry_dml_single_nopk_urp', 'info_binary_dml_batch1_pk_drp2', 'info_geometry_dml_single_nopk_drp', 'info_geography_dml_single_pk_urp', 'info_date_dml_batch1_pk_drp1', 'info_geometry_dml_single_nopk', 'info_binary_dml_batch1_pk', 'info_geography_dml_single_pk_drp', 'info_date_dml_batch1_pk_drp2', 'info_varbinary_dml_batch1_pk_irp1', 'info_geography_dml_single_pk', 'info_date_dml_batch1_pk', 'info_varbinary_dml_batch1_pk_irp2', 'info_geometry_dml_single_pk_irp', 'info_time_dml_batch1_pk_irp1', 'info_varbinary_dml_batch2_pk_irp1']</t>
        </is>
      </c>
    </row>
    <row r="2">
      <c r="A2" s="0" t="inlineStr">
        <is>
          <t>表名</t>
        </is>
      </c>
      <c r="B2" s="0" t="inlineStr">
        <is>
          <t>pk</t>
        </is>
      </c>
      <c r="C2" s="0" t="inlineStr">
        <is>
          <t>default</t>
        </is>
      </c>
      <c r="D2" s="0" t="inlineStr">
        <is>
          <t>唯一</t>
        </is>
      </c>
      <c r="E2" s="0" t="inlineStr">
        <is>
          <t>复合唯一</t>
        </is>
      </c>
      <c r="F2" s="0" t="inlineStr">
        <is>
          <t>check</t>
        </is>
      </c>
      <c r="G2" s="0" t="inlineStr">
        <is>
          <t>源ck_def</t>
        </is>
      </c>
      <c r="H2" s="0" t="inlineStr">
        <is>
          <t>备check</t>
        </is>
      </c>
      <c r="I2" s="0" t="inlineStr">
        <is>
          <t>索引</t>
        </is>
      </c>
      <c r="J2" s="0" t="inlineStr">
        <is>
          <t>复合索引</t>
        </is>
      </c>
      <c r="K2" s="0" t="inlineStr">
        <is>
          <t>状态</t>
        </is>
      </c>
      <c r="W2" s="0" t="inlineStr">
        <is>
          <t>表内容</t>
        </is>
      </c>
    </row>
    <row r="3">
      <c r="A3" s="0" t="inlineStr">
        <is>
          <t>info_binary_dml_single_nopk_urp</t>
        </is>
      </c>
      <c r="K3" s="0" t="inlineStr">
        <is>
          <t>[0;34m info_binary_dml_single_nopk_urp [0m源备字段数相同，源端字段：4 	备端字段4</t>
        </is>
      </c>
      <c r="W3" s="0" t="inlineStr">
        <is>
          <t>YES 源备无差异</t>
        </is>
      </c>
      <c r="X3" s="0">
        <f>A3</f>
        <v/>
      </c>
    </row>
    <row r="4">
      <c r="B4" s="0" t="inlineStr">
        <is>
          <t>NULL</t>
        </is>
      </c>
      <c r="C4" s="0" t="inlineStr">
        <is>
          <t>NULL</t>
        </is>
      </c>
      <c r="D4" s="0" t="inlineStr">
        <is>
          <t>NULL</t>
        </is>
      </c>
      <c r="E4" s="0" t="inlineStr">
        <is>
          <t>NULL</t>
        </is>
      </c>
      <c r="F4" s="0" t="inlineStr">
        <is>
          <t>NULL</t>
        </is>
      </c>
      <c r="G4" s="0" t="inlineStr">
        <is>
          <t>NULL</t>
        </is>
      </c>
      <c r="H4" s="0" t="inlineStr">
        <is>
          <t>NULL</t>
        </is>
      </c>
      <c r="I4" s="0" t="inlineStr">
        <is>
          <t>NULL</t>
        </is>
      </c>
      <c r="J4" s="0" t="inlineStr">
        <is>
          <t>NULL</t>
        </is>
      </c>
      <c r="K4" s="0" t="inlineStr">
        <is>
          <t>YES! 	 id列源备映射正确，源端为int None位	期望更改为int	实际备端为int None位</t>
        </is>
      </c>
    </row>
    <row r="5">
      <c r="B5" s="0" t="inlineStr">
        <is>
          <t>NULL</t>
        </is>
      </c>
      <c r="C5" s="0" t="inlineStr">
        <is>
          <t>NULL</t>
        </is>
      </c>
      <c r="D5" s="0" t="inlineStr">
        <is>
          <t>NULL</t>
        </is>
      </c>
      <c r="E5" s="0" t="inlineStr">
        <is>
          <t>NULL</t>
        </is>
      </c>
      <c r="F5" s="0" t="inlineStr">
        <is>
          <t>NULL</t>
        </is>
      </c>
      <c r="G5" s="0" t="inlineStr">
        <is>
          <t>NULL</t>
        </is>
      </c>
      <c r="H5" s="0" t="inlineStr">
        <is>
          <t>NULL</t>
        </is>
      </c>
      <c r="I5" s="0" t="inlineStr">
        <is>
          <t>NULL</t>
        </is>
      </c>
      <c r="J5" s="0" t="inlineStr">
        <is>
          <t>NULL</t>
        </is>
      </c>
      <c r="K5" s="0" t="inlineStr">
        <is>
          <t>YES! 	 c_binary列源备映射正确，源端为binary 1位	期望更改为binary(n)	实际备端为binary 1位</t>
        </is>
      </c>
    </row>
    <row r="6">
      <c r="B6" s="0" t="inlineStr">
        <is>
          <t>NULL</t>
        </is>
      </c>
      <c r="C6" s="0" t="inlineStr">
        <is>
          <t>NULL</t>
        </is>
      </c>
      <c r="D6" s="0" t="inlineStr">
        <is>
          <t>NULL</t>
        </is>
      </c>
      <c r="E6" s="0" t="inlineStr">
        <is>
          <t>NULL</t>
        </is>
      </c>
      <c r="F6" s="0" t="inlineStr">
        <is>
          <t>NULL</t>
        </is>
      </c>
      <c r="G6" s="0" t="inlineStr">
        <is>
          <t>NULL</t>
        </is>
      </c>
      <c r="H6" s="0" t="inlineStr">
        <is>
          <t>NULL</t>
        </is>
      </c>
      <c r="I6" s="0" t="inlineStr">
        <is>
          <t>NULL</t>
        </is>
      </c>
      <c r="J6" s="0" t="inlineStr">
        <is>
          <t>NULL</t>
        </is>
      </c>
      <c r="K6" s="0" t="inlineStr">
        <is>
          <t>YES! 	 c_binary_20列源备映射正确，源端为binary 20位	期望更改为binary(n)	实际备端为binary 20位</t>
        </is>
      </c>
    </row>
    <row r="7">
      <c r="B7" s="0" t="inlineStr">
        <is>
          <t>NULL</t>
        </is>
      </c>
      <c r="C7" s="0" t="inlineStr">
        <is>
          <t>NULL</t>
        </is>
      </c>
      <c r="D7" s="0" t="inlineStr">
        <is>
          <t>NULL</t>
        </is>
      </c>
      <c r="E7" s="0" t="inlineStr">
        <is>
          <t>NULL</t>
        </is>
      </c>
      <c r="F7" s="0" t="inlineStr">
        <is>
          <t>NULL</t>
        </is>
      </c>
      <c r="G7" s="0" t="inlineStr">
        <is>
          <t>NULL</t>
        </is>
      </c>
      <c r="H7" s="0" t="inlineStr">
        <is>
          <t>NULL</t>
        </is>
      </c>
      <c r="I7" s="0" t="inlineStr">
        <is>
          <t>NULL</t>
        </is>
      </c>
      <c r="J7" s="0" t="inlineStr">
        <is>
          <t>NULL</t>
        </is>
      </c>
      <c r="K7" s="0" t="inlineStr">
        <is>
          <t>YES! 	 c_binary_8000列源备映射正确，源端为binary 8000位	期望更改为longblob	实际备端为longblob 4294967295位</t>
        </is>
      </c>
    </row>
    <row r="8">
      <c r="K8" s="0" t="inlineStr">
        <is>
          <t>[0;31m NO! [0m 	  行数不同,源5行,备端空表</t>
        </is>
      </c>
    </row>
    <row r="9">
      <c r="A9" s="0" t="inlineStr">
        <is>
          <t>info_binary_dml_single_nopk</t>
        </is>
      </c>
      <c r="K9" s="0" t="inlineStr">
        <is>
          <t>[0;34m info_binary_dml_single_nopk [0m源备字段数相同，源端字段：4 	备端字段4</t>
        </is>
      </c>
      <c r="W9" s="0" t="inlineStr">
        <is>
          <t>YES 源备无差异</t>
        </is>
      </c>
      <c r="X9" s="0">
        <f>A9</f>
        <v/>
      </c>
    </row>
    <row r="10">
      <c r="B10" s="0" t="inlineStr">
        <is>
          <t>NULL</t>
        </is>
      </c>
      <c r="C10" s="0" t="inlineStr">
        <is>
          <t>NULL</t>
        </is>
      </c>
      <c r="D10" s="0" t="inlineStr">
        <is>
          <t>NULL</t>
        </is>
      </c>
      <c r="E10" s="0" t="inlineStr">
        <is>
          <t>NULL</t>
        </is>
      </c>
      <c r="F10" s="0" t="inlineStr">
        <is>
          <t>NULL</t>
        </is>
      </c>
      <c r="G10" s="0" t="inlineStr">
        <is>
          <t>NULL</t>
        </is>
      </c>
      <c r="H10" s="0" t="inlineStr">
        <is>
          <t>NULL</t>
        </is>
      </c>
      <c r="I10" s="0" t="inlineStr">
        <is>
          <t>NULL</t>
        </is>
      </c>
      <c r="J10" s="0" t="inlineStr">
        <is>
          <t>NULL</t>
        </is>
      </c>
      <c r="K10" s="0" t="inlineStr">
        <is>
          <t>YES! 	 id列源备映射正确，源端为int None位	期望更改为int	实际备端为int None位</t>
        </is>
      </c>
    </row>
    <row r="11">
      <c r="B11" s="0" t="inlineStr">
        <is>
          <t>NULL</t>
        </is>
      </c>
      <c r="C11" s="0" t="inlineStr">
        <is>
          <t>NULL</t>
        </is>
      </c>
      <c r="D11" s="0" t="inlineStr">
        <is>
          <t>NULL</t>
        </is>
      </c>
      <c r="E11" s="0" t="inlineStr">
        <is>
          <t>NULL</t>
        </is>
      </c>
      <c r="F11" s="0" t="inlineStr">
        <is>
          <t>NULL</t>
        </is>
      </c>
      <c r="G11" s="0" t="inlineStr">
        <is>
          <t>NULL</t>
        </is>
      </c>
      <c r="H11" s="0" t="inlineStr">
        <is>
          <t>NULL</t>
        </is>
      </c>
      <c r="I11" s="0" t="inlineStr">
        <is>
          <t>NULL</t>
        </is>
      </c>
      <c r="J11" s="0" t="inlineStr">
        <is>
          <t>NULL</t>
        </is>
      </c>
      <c r="K11" s="0" t="inlineStr">
        <is>
          <t>YES! 	 c_binary列源备映射正确，源端为binary 1位	期望更改为binary(n)	实际备端为binary 1位</t>
        </is>
      </c>
    </row>
    <row r="12">
      <c r="B12" s="0" t="inlineStr">
        <is>
          <t>NULL</t>
        </is>
      </c>
      <c r="C12" s="0" t="inlineStr">
        <is>
          <t>NULL</t>
        </is>
      </c>
      <c r="D12" s="0" t="inlineStr">
        <is>
          <t>NULL</t>
        </is>
      </c>
      <c r="E12" s="0" t="inlineStr">
        <is>
          <t>NULL</t>
        </is>
      </c>
      <c r="F12" s="0" t="inlineStr">
        <is>
          <t>NULL</t>
        </is>
      </c>
      <c r="G12" s="0" t="inlineStr">
        <is>
          <t>NULL</t>
        </is>
      </c>
      <c r="H12" s="0" t="inlineStr">
        <is>
          <t>NULL</t>
        </is>
      </c>
      <c r="I12" s="0" t="inlineStr">
        <is>
          <t>NULL</t>
        </is>
      </c>
      <c r="J12" s="0" t="inlineStr">
        <is>
          <t>NULL</t>
        </is>
      </c>
      <c r="K12" s="0" t="inlineStr">
        <is>
          <t>YES! 	 c_binary_20列源备映射正确，源端为binary 20位	期望更改为binary(n)	实际备端为binary 20位</t>
        </is>
      </c>
    </row>
    <row r="13">
      <c r="B13" s="0" t="inlineStr">
        <is>
          <t>NULL</t>
        </is>
      </c>
      <c r="C13" s="0" t="inlineStr">
        <is>
          <t>NULL</t>
        </is>
      </c>
      <c r="D13" s="0" t="inlineStr">
        <is>
          <t>NULL</t>
        </is>
      </c>
      <c r="E13" s="0" t="inlineStr">
        <is>
          <t>NULL</t>
        </is>
      </c>
      <c r="F13" s="0" t="inlineStr">
        <is>
          <t>NULL</t>
        </is>
      </c>
      <c r="G13" s="0" t="inlineStr">
        <is>
          <t>NULL</t>
        </is>
      </c>
      <c r="H13" s="0" t="inlineStr">
        <is>
          <t>NULL</t>
        </is>
      </c>
      <c r="I13" s="0" t="inlineStr">
        <is>
          <t>NULL</t>
        </is>
      </c>
      <c r="J13" s="0" t="inlineStr">
        <is>
          <t>NULL</t>
        </is>
      </c>
      <c r="K13" s="0" t="inlineStr">
        <is>
          <t>YES! 	 c_binary_8000列源备映射正确，源端为binary 8000位	期望更改为longblob	实际备端为longblob 4294967295位</t>
        </is>
      </c>
    </row>
    <row r="14">
      <c r="K14" s="0" t="inlineStr">
        <is>
          <t>[0;31m NO! [0m 	  行数不同,源1行,备端空表</t>
        </is>
      </c>
    </row>
    <row r="15">
      <c r="A15" s="0" t="inlineStr">
        <is>
          <t>info_binary_dml_single_nopk_drp</t>
        </is>
      </c>
      <c r="K15" s="0" t="inlineStr">
        <is>
          <t>[0;34m info_binary_dml_single_nopk_drp [0m源备字段数相同，源端字段：4 	备端字段4</t>
        </is>
      </c>
      <c r="W15" s="0" t="inlineStr">
        <is>
          <t>YES 源备无差异</t>
        </is>
      </c>
      <c r="X15" s="0">
        <f>A15</f>
        <v/>
      </c>
    </row>
    <row r="16">
      <c r="B16" s="0" t="inlineStr">
        <is>
          <t>NULL</t>
        </is>
      </c>
      <c r="C16" s="0" t="inlineStr">
        <is>
          <t>NULL</t>
        </is>
      </c>
      <c r="D16" s="0" t="inlineStr">
        <is>
          <t>NULL</t>
        </is>
      </c>
      <c r="E16" s="0" t="inlineStr">
        <is>
          <t>NULL</t>
        </is>
      </c>
      <c r="F16" s="0" t="inlineStr">
        <is>
          <t>NULL</t>
        </is>
      </c>
      <c r="G16" s="0" t="inlineStr">
        <is>
          <t>NULL</t>
        </is>
      </c>
      <c r="H16" s="0" t="inlineStr">
        <is>
          <t>NULL</t>
        </is>
      </c>
      <c r="I16" s="0" t="inlineStr">
        <is>
          <t>NULL</t>
        </is>
      </c>
      <c r="J16" s="0" t="inlineStr">
        <is>
          <t>NULL</t>
        </is>
      </c>
      <c r="K16" s="0" t="inlineStr">
        <is>
          <t>YES! 	 id列源备映射正确，源端为int None位	期望更改为int	实际备端为int None位</t>
        </is>
      </c>
    </row>
    <row r="17">
      <c r="B17" s="0" t="inlineStr">
        <is>
          <t>NULL</t>
        </is>
      </c>
      <c r="C17" s="0" t="inlineStr">
        <is>
          <t>NULL</t>
        </is>
      </c>
      <c r="D17" s="0" t="inlineStr">
        <is>
          <t>NULL</t>
        </is>
      </c>
      <c r="E17" s="0" t="inlineStr">
        <is>
          <t>NULL</t>
        </is>
      </c>
      <c r="F17" s="0" t="inlineStr">
        <is>
          <t>NULL</t>
        </is>
      </c>
      <c r="G17" s="0" t="inlineStr">
        <is>
          <t>NULL</t>
        </is>
      </c>
      <c r="H17" s="0" t="inlineStr">
        <is>
          <t>NULL</t>
        </is>
      </c>
      <c r="I17" s="0" t="inlineStr">
        <is>
          <t>NULL</t>
        </is>
      </c>
      <c r="J17" s="0" t="inlineStr">
        <is>
          <t>NULL</t>
        </is>
      </c>
      <c r="K17" s="0" t="inlineStr">
        <is>
          <t>YES! 	 c_binary列源备映射正确，源端为binary 1位	期望更改为binary(n)	实际备端为binary 1位</t>
        </is>
      </c>
    </row>
    <row r="18">
      <c r="B18" s="0" t="inlineStr">
        <is>
          <t>NULL</t>
        </is>
      </c>
      <c r="C18" s="0" t="inlineStr">
        <is>
          <t>NULL</t>
        </is>
      </c>
      <c r="D18" s="0" t="inlineStr">
        <is>
          <t>NULL</t>
        </is>
      </c>
      <c r="E18" s="0" t="inlineStr">
        <is>
          <t>NULL</t>
        </is>
      </c>
      <c r="F18" s="0" t="inlineStr">
        <is>
          <t>NULL</t>
        </is>
      </c>
      <c r="G18" s="0" t="inlineStr">
        <is>
          <t>NULL</t>
        </is>
      </c>
      <c r="H18" s="0" t="inlineStr">
        <is>
          <t>NULL</t>
        </is>
      </c>
      <c r="I18" s="0" t="inlineStr">
        <is>
          <t>NULL</t>
        </is>
      </c>
      <c r="J18" s="0" t="inlineStr">
        <is>
          <t>NULL</t>
        </is>
      </c>
      <c r="K18" s="0" t="inlineStr">
        <is>
          <t>YES! 	 c_binary_20列源备映射正确，源端为binary 20位	期望更改为binary(n)	实际备端为binary 20位</t>
        </is>
      </c>
    </row>
    <row r="19">
      <c r="B19" s="0" t="inlineStr">
        <is>
          <t>NULL</t>
        </is>
      </c>
      <c r="C19" s="0" t="inlineStr">
        <is>
          <t>NULL</t>
        </is>
      </c>
      <c r="D19" s="0" t="inlineStr">
        <is>
          <t>NULL</t>
        </is>
      </c>
      <c r="E19" s="0" t="inlineStr">
        <is>
          <t>NULL</t>
        </is>
      </c>
      <c r="F19" s="0" t="inlineStr">
        <is>
          <t>NULL</t>
        </is>
      </c>
      <c r="G19" s="0" t="inlineStr">
        <is>
          <t>NULL</t>
        </is>
      </c>
      <c r="H19" s="0" t="inlineStr">
        <is>
          <t>NULL</t>
        </is>
      </c>
      <c r="I19" s="0" t="inlineStr">
        <is>
          <t>NULL</t>
        </is>
      </c>
      <c r="J19" s="0" t="inlineStr">
        <is>
          <t>NULL</t>
        </is>
      </c>
      <c r="K19" s="0" t="inlineStr">
        <is>
          <t>YES! 	 c_binary_8000列源备映射正确，源端为binary 8000位	期望更改为longblob	实际备端为longblob 4294967295位</t>
        </is>
      </c>
    </row>
    <row r="20">
      <c r="K20" s="0" t="inlineStr">
        <is>
          <t>[0;31m NO! [0m 	  行数不同,源2行,备端空表</t>
        </is>
      </c>
    </row>
    <row r="21">
      <c r="A21" s="0" t="inlineStr">
        <is>
          <t>info_binary_dml_single_nopk_irp</t>
        </is>
      </c>
      <c r="K21" s="0" t="inlineStr">
        <is>
          <t>[0;34m info_binary_dml_single_nopk_irp [0m源备字段数相同，源端字段：4 	备端字段4</t>
        </is>
      </c>
      <c r="W21" s="0" t="inlineStr">
        <is>
          <t>YES 源备无差异</t>
        </is>
      </c>
      <c r="X21" s="0">
        <f>A21</f>
        <v/>
      </c>
    </row>
    <row r="22">
      <c r="B22" s="0" t="inlineStr">
        <is>
          <t>NULL</t>
        </is>
      </c>
      <c r="C22" s="0" t="inlineStr">
        <is>
          <t>NULL</t>
        </is>
      </c>
      <c r="D22" s="0" t="inlineStr">
        <is>
          <t>NULL</t>
        </is>
      </c>
      <c r="E22" s="0" t="inlineStr">
        <is>
          <t>NULL</t>
        </is>
      </c>
      <c r="F22" s="0" t="inlineStr">
        <is>
          <t>NULL</t>
        </is>
      </c>
      <c r="G22" s="0" t="inlineStr">
        <is>
          <t>NULL</t>
        </is>
      </c>
      <c r="H22" s="0" t="inlineStr">
        <is>
          <t>NULL</t>
        </is>
      </c>
      <c r="I22" s="0" t="inlineStr">
        <is>
          <t>NULL</t>
        </is>
      </c>
      <c r="J22" s="0" t="inlineStr">
        <is>
          <t>NULL</t>
        </is>
      </c>
      <c r="K22" s="0" t="inlineStr">
        <is>
          <t>YES! 	 id列源备映射正确，源端为int None位	期望更改为int	实际备端为int None位</t>
        </is>
      </c>
    </row>
    <row r="23">
      <c r="B23" s="0" t="inlineStr">
        <is>
          <t>NULL</t>
        </is>
      </c>
      <c r="C23" s="0" t="inlineStr">
        <is>
          <t>NULL</t>
        </is>
      </c>
      <c r="D23" s="0" t="inlineStr">
        <is>
          <t>NULL</t>
        </is>
      </c>
      <c r="E23" s="0" t="inlineStr">
        <is>
          <t>NULL</t>
        </is>
      </c>
      <c r="F23" s="0" t="inlineStr">
        <is>
          <t>NULL</t>
        </is>
      </c>
      <c r="G23" s="0" t="inlineStr">
        <is>
          <t>NULL</t>
        </is>
      </c>
      <c r="H23" s="0" t="inlineStr">
        <is>
          <t>NULL</t>
        </is>
      </c>
      <c r="I23" s="0" t="inlineStr">
        <is>
          <t>NULL</t>
        </is>
      </c>
      <c r="J23" s="0" t="inlineStr">
        <is>
          <t>NULL</t>
        </is>
      </c>
      <c r="K23" s="0" t="inlineStr">
        <is>
          <t>YES! 	 c_binary列源备映射正确，源端为binary 1位	期望更改为binary(n)	实际备端为binary 1位</t>
        </is>
      </c>
    </row>
    <row r="24">
      <c r="B24" s="0" t="inlineStr">
        <is>
          <t>NULL</t>
        </is>
      </c>
      <c r="C24" s="0" t="inlineStr">
        <is>
          <t>NULL</t>
        </is>
      </c>
      <c r="D24" s="0" t="inlineStr">
        <is>
          <t>NULL</t>
        </is>
      </c>
      <c r="E24" s="0" t="inlineStr">
        <is>
          <t>NULL</t>
        </is>
      </c>
      <c r="F24" s="0" t="inlineStr">
        <is>
          <t>NULL</t>
        </is>
      </c>
      <c r="G24" s="0" t="inlineStr">
        <is>
          <t>NULL</t>
        </is>
      </c>
      <c r="H24" s="0" t="inlineStr">
        <is>
          <t>NULL</t>
        </is>
      </c>
      <c r="I24" s="0" t="inlineStr">
        <is>
          <t>NULL</t>
        </is>
      </c>
      <c r="J24" s="0" t="inlineStr">
        <is>
          <t>NULL</t>
        </is>
      </c>
      <c r="K24" s="0" t="inlineStr">
        <is>
          <t>YES! 	 c_binary_20列源备映射正确，源端为binary 20位	期望更改为binary(n)	实际备端为binary 20位</t>
        </is>
      </c>
    </row>
    <row r="25">
      <c r="B25" s="0" t="inlineStr">
        <is>
          <t>NULL</t>
        </is>
      </c>
      <c r="C25" s="0" t="inlineStr">
        <is>
          <t>NULL</t>
        </is>
      </c>
      <c r="D25" s="0" t="inlineStr">
        <is>
          <t>NULL</t>
        </is>
      </c>
      <c r="E25" s="0" t="inlineStr">
        <is>
          <t>NULL</t>
        </is>
      </c>
      <c r="F25" s="0" t="inlineStr">
        <is>
          <t>NULL</t>
        </is>
      </c>
      <c r="G25" s="0" t="inlineStr">
        <is>
          <t>NULL</t>
        </is>
      </c>
      <c r="H25" s="0" t="inlineStr">
        <is>
          <t>NULL</t>
        </is>
      </c>
      <c r="I25" s="0" t="inlineStr">
        <is>
          <t>NULL</t>
        </is>
      </c>
      <c r="J25" s="0" t="inlineStr">
        <is>
          <t>NULL</t>
        </is>
      </c>
      <c r="K25" s="0" t="inlineStr">
        <is>
          <t>YES! 	 c_binary_8000列源备映射正确，源端为binary 8000位	期望更改为longblob	实际备端为longblob 4294967295位</t>
        </is>
      </c>
    </row>
    <row r="26">
      <c r="K26" s="0" t="inlineStr">
        <is>
          <t>[0;31m NO! [0m 	  行数不同,源9行,备端空表</t>
        </is>
      </c>
    </row>
    <row r="27">
      <c r="A27" s="0" t="inlineStr">
        <is>
          <t>info_varbinary_dml_single_nopk_irp</t>
        </is>
      </c>
      <c r="K27" s="0" t="inlineStr">
        <is>
          <t>[0;34m info_varbinary_dml_single_nopk_irp [0m源备字段数相同，源端字段：4 	备端字段4</t>
        </is>
      </c>
      <c r="W27" s="0" t="inlineStr">
        <is>
          <t>YES 源备无差异</t>
        </is>
      </c>
      <c r="X27" s="0">
        <f>A27</f>
        <v/>
      </c>
    </row>
    <row r="28">
      <c r="B28" s="0" t="inlineStr">
        <is>
          <t>NULL</t>
        </is>
      </c>
      <c r="C28" s="0" t="inlineStr">
        <is>
          <t>NULL</t>
        </is>
      </c>
      <c r="D28" s="0" t="inlineStr">
        <is>
          <t>NULL</t>
        </is>
      </c>
      <c r="E28" s="0" t="inlineStr">
        <is>
          <t>NULL</t>
        </is>
      </c>
      <c r="F28" s="0" t="inlineStr">
        <is>
          <t>NULL</t>
        </is>
      </c>
      <c r="G28" s="0" t="inlineStr">
        <is>
          <t>NULL</t>
        </is>
      </c>
      <c r="H28" s="0" t="inlineStr">
        <is>
          <t>NULL</t>
        </is>
      </c>
      <c r="I28" s="0" t="inlineStr">
        <is>
          <t>NULL</t>
        </is>
      </c>
      <c r="J28" s="0" t="inlineStr">
        <is>
          <t>NULL</t>
        </is>
      </c>
      <c r="K28" s="0" t="inlineStr">
        <is>
          <t>YES! 	 id列源备映射正确，源端为int None位	期望更改为int	实际备端为int None位</t>
        </is>
      </c>
    </row>
    <row r="29">
      <c r="B29" s="0" t="inlineStr">
        <is>
          <t>NULL</t>
        </is>
      </c>
      <c r="C29" s="0" t="inlineStr">
        <is>
          <t>NULL</t>
        </is>
      </c>
      <c r="D29" s="0" t="inlineStr">
        <is>
          <t>NULL</t>
        </is>
      </c>
      <c r="E29" s="0" t="inlineStr">
        <is>
          <t>NULL</t>
        </is>
      </c>
      <c r="F29" s="0" t="inlineStr">
        <is>
          <t>NULL</t>
        </is>
      </c>
      <c r="G29" s="0" t="inlineStr">
        <is>
          <t>NULL</t>
        </is>
      </c>
      <c r="H29" s="0" t="inlineStr">
        <is>
          <t>NULL</t>
        </is>
      </c>
      <c r="I29" s="0" t="inlineStr">
        <is>
          <t>NULL</t>
        </is>
      </c>
      <c r="J29" s="0" t="inlineStr">
        <is>
          <t>NULL</t>
        </is>
      </c>
      <c r="K29" s="0" t="inlineStr">
        <is>
          <t>YES! 	 c_varbinary列源备映射正确，源端为varbinary 1位	期望更改为varbinary(n)	实际备端为varbinary 1位</t>
        </is>
      </c>
    </row>
    <row r="30">
      <c r="B30" s="0" t="inlineStr">
        <is>
          <t>NULL</t>
        </is>
      </c>
      <c r="C30" s="0" t="inlineStr">
        <is>
          <t>NULL</t>
        </is>
      </c>
      <c r="D30" s="0" t="inlineStr">
        <is>
          <t>NULL</t>
        </is>
      </c>
      <c r="E30" s="0" t="inlineStr">
        <is>
          <t>NULL</t>
        </is>
      </c>
      <c r="F30" s="0" t="inlineStr">
        <is>
          <t>NULL</t>
        </is>
      </c>
      <c r="G30" s="0" t="inlineStr">
        <is>
          <t>NULL</t>
        </is>
      </c>
      <c r="H30" s="0" t="inlineStr">
        <is>
          <t>NULL</t>
        </is>
      </c>
      <c r="I30" s="0" t="inlineStr">
        <is>
          <t>NULL</t>
        </is>
      </c>
      <c r="J30" s="0" t="inlineStr">
        <is>
          <t>NULL</t>
        </is>
      </c>
      <c r="K30" s="0" t="inlineStr">
        <is>
          <t>YES! 	 c_varbinary_100列源备映射正确，源端为varbinary 100位	期望更改为varbinary(n)	实际备端为varbinary 100位</t>
        </is>
      </c>
    </row>
    <row r="31">
      <c r="B31" s="0" t="inlineStr">
        <is>
          <t>NULL</t>
        </is>
      </c>
      <c r="C31" s="0" t="inlineStr">
        <is>
          <t>NULL</t>
        </is>
      </c>
      <c r="D31" s="0" t="inlineStr">
        <is>
          <t>NULL</t>
        </is>
      </c>
      <c r="E31" s="0" t="inlineStr">
        <is>
          <t>NULL</t>
        </is>
      </c>
      <c r="F31" s="0" t="inlineStr">
        <is>
          <t>NULL</t>
        </is>
      </c>
      <c r="G31" s="0" t="inlineStr">
        <is>
          <t>NULL</t>
        </is>
      </c>
      <c r="H31" s="0" t="inlineStr">
        <is>
          <t>NULL</t>
        </is>
      </c>
      <c r="I31" s="0" t="inlineStr">
        <is>
          <t>NULL</t>
        </is>
      </c>
      <c r="J31" s="0" t="inlineStr">
        <is>
          <t>NULL</t>
        </is>
      </c>
      <c r="K31" s="0" t="inlineStr">
        <is>
          <t>YES! 	 c_varbinary_8000列源备映射正确，源端为varbinary 8000位	期望更改为longblob	实际备端为longblob 4294967295位</t>
        </is>
      </c>
    </row>
    <row r="32">
      <c r="K32" s="0" t="inlineStr">
        <is>
          <t>[0;31m NO! [0m 	  行数不同,源10行,备端空表</t>
        </is>
      </c>
    </row>
    <row r="33">
      <c r="A33" s="0" t="inlineStr">
        <is>
          <t>info_varbinary_dml_single_nopk_drp</t>
        </is>
      </c>
      <c r="K33" s="0" t="inlineStr">
        <is>
          <t>[0;34m info_varbinary_dml_single_nopk_drp [0m源备字段数相同，源端字段：4 	备端字段4</t>
        </is>
      </c>
      <c r="W33" s="0" t="inlineStr">
        <is>
          <t>YES 源备无差异</t>
        </is>
      </c>
      <c r="X33" s="0">
        <f>A33</f>
        <v/>
      </c>
    </row>
    <row r="34">
      <c r="B34" s="0" t="inlineStr">
        <is>
          <t>NULL</t>
        </is>
      </c>
      <c r="C34" s="0" t="inlineStr">
        <is>
          <t>NULL</t>
        </is>
      </c>
      <c r="D34" s="0" t="inlineStr">
        <is>
          <t>NULL</t>
        </is>
      </c>
      <c r="E34" s="0" t="inlineStr">
        <is>
          <t>NULL</t>
        </is>
      </c>
      <c r="F34" s="0" t="inlineStr">
        <is>
          <t>NULL</t>
        </is>
      </c>
      <c r="G34" s="0" t="inlineStr">
        <is>
          <t>NULL</t>
        </is>
      </c>
      <c r="H34" s="0" t="inlineStr">
        <is>
          <t>NULL</t>
        </is>
      </c>
      <c r="I34" s="0" t="inlineStr">
        <is>
          <t>NULL</t>
        </is>
      </c>
      <c r="J34" s="0" t="inlineStr">
        <is>
          <t>NULL</t>
        </is>
      </c>
      <c r="K34" s="0" t="inlineStr">
        <is>
          <t>YES! 	 id列源备映射正确，源端为int None位	期望更改为int	实际备端为int None位</t>
        </is>
      </c>
    </row>
    <row r="35">
      <c r="B35" s="0" t="inlineStr">
        <is>
          <t>NULL</t>
        </is>
      </c>
      <c r="C35" s="0" t="inlineStr">
        <is>
          <t>NULL</t>
        </is>
      </c>
      <c r="D35" s="0" t="inlineStr">
        <is>
          <t>NULL</t>
        </is>
      </c>
      <c r="E35" s="0" t="inlineStr">
        <is>
          <t>NULL</t>
        </is>
      </c>
      <c r="F35" s="0" t="inlineStr">
        <is>
          <t>NULL</t>
        </is>
      </c>
      <c r="G35" s="0" t="inlineStr">
        <is>
          <t>NULL</t>
        </is>
      </c>
      <c r="H35" s="0" t="inlineStr">
        <is>
          <t>NULL</t>
        </is>
      </c>
      <c r="I35" s="0" t="inlineStr">
        <is>
          <t>NULL</t>
        </is>
      </c>
      <c r="J35" s="0" t="inlineStr">
        <is>
          <t>NULL</t>
        </is>
      </c>
      <c r="K35" s="0" t="inlineStr">
        <is>
          <t>YES! 	 c_varbinary列源备映射正确，源端为varbinary 1位	期望更改为varbinary(n)	实际备端为varbinary 1位</t>
        </is>
      </c>
    </row>
    <row r="36">
      <c r="B36" s="0" t="inlineStr">
        <is>
          <t>NULL</t>
        </is>
      </c>
      <c r="C36" s="0" t="inlineStr">
        <is>
          <t>NULL</t>
        </is>
      </c>
      <c r="D36" s="0" t="inlineStr">
        <is>
          <t>NULL</t>
        </is>
      </c>
      <c r="E36" s="0" t="inlineStr">
        <is>
          <t>NULL</t>
        </is>
      </c>
      <c r="F36" s="0" t="inlineStr">
        <is>
          <t>NULL</t>
        </is>
      </c>
      <c r="G36" s="0" t="inlineStr">
        <is>
          <t>NULL</t>
        </is>
      </c>
      <c r="H36" s="0" t="inlineStr">
        <is>
          <t>NULL</t>
        </is>
      </c>
      <c r="I36" s="0" t="inlineStr">
        <is>
          <t>NULL</t>
        </is>
      </c>
      <c r="J36" s="0" t="inlineStr">
        <is>
          <t>NULL</t>
        </is>
      </c>
      <c r="K36" s="0" t="inlineStr">
        <is>
          <t>YES! 	 c_varbinary_100列源备映射正确，源端为varbinary 100位	期望更改为varbinary(n)	实际备端为varbinary 100位</t>
        </is>
      </c>
    </row>
    <row r="37">
      <c r="B37" s="0" t="inlineStr">
        <is>
          <t>NULL</t>
        </is>
      </c>
      <c r="C37" s="0" t="inlineStr">
        <is>
          <t>NULL</t>
        </is>
      </c>
      <c r="D37" s="0" t="inlineStr">
        <is>
          <t>NULL</t>
        </is>
      </c>
      <c r="E37" s="0" t="inlineStr">
        <is>
          <t>NULL</t>
        </is>
      </c>
      <c r="F37" s="0" t="inlineStr">
        <is>
          <t>NULL</t>
        </is>
      </c>
      <c r="G37" s="0" t="inlineStr">
        <is>
          <t>NULL</t>
        </is>
      </c>
      <c r="H37" s="0" t="inlineStr">
        <is>
          <t>NULL</t>
        </is>
      </c>
      <c r="I37" s="0" t="inlineStr">
        <is>
          <t>NULL</t>
        </is>
      </c>
      <c r="J37" s="0" t="inlineStr">
        <is>
          <t>NULL</t>
        </is>
      </c>
      <c r="K37" s="0" t="inlineStr">
        <is>
          <t>YES! 	 c_varbinary_8000列源备映射正确，源端为varbinary 8000位	期望更改为longblob	实际备端为longblob 4294967295位</t>
        </is>
      </c>
    </row>
    <row r="38">
      <c r="K38" s="0" t="inlineStr">
        <is>
          <t>[0;31m NO! [0m 	  行数不同,源2行,备端空表</t>
        </is>
      </c>
    </row>
    <row r="39">
      <c r="A39" s="0" t="inlineStr">
        <is>
          <t>info_varbinary_dml_single_nopk_urp</t>
        </is>
      </c>
      <c r="K39" s="0" t="inlineStr">
        <is>
          <t>[0;34m info_varbinary_dml_single_nopk_urp [0m源备字段数相同，源端字段：4 	备端字段4</t>
        </is>
      </c>
      <c r="W39" s="0" t="inlineStr">
        <is>
          <t>YES 源备无差异</t>
        </is>
      </c>
      <c r="X39" s="0">
        <f>A39</f>
        <v/>
      </c>
    </row>
    <row r="40">
      <c r="B40" s="0" t="inlineStr">
        <is>
          <t>NULL</t>
        </is>
      </c>
      <c r="C40" s="0" t="inlineStr">
        <is>
          <t>NULL</t>
        </is>
      </c>
      <c r="D40" s="0" t="inlineStr">
        <is>
          <t>NULL</t>
        </is>
      </c>
      <c r="E40" s="0" t="inlineStr">
        <is>
          <t>NULL</t>
        </is>
      </c>
      <c r="F40" s="0" t="inlineStr">
        <is>
          <t>NULL</t>
        </is>
      </c>
      <c r="G40" s="0" t="inlineStr">
        <is>
          <t>NULL</t>
        </is>
      </c>
      <c r="H40" s="0" t="inlineStr">
        <is>
          <t>NULL</t>
        </is>
      </c>
      <c r="I40" s="0" t="inlineStr">
        <is>
          <t>NULL</t>
        </is>
      </c>
      <c r="J40" s="0" t="inlineStr">
        <is>
          <t>NULL</t>
        </is>
      </c>
      <c r="K40" s="0" t="inlineStr">
        <is>
          <t>YES! 	 id列源备映射正确，源端为int None位	期望更改为int	实际备端为int None位</t>
        </is>
      </c>
    </row>
    <row r="41">
      <c r="B41" s="0" t="inlineStr">
        <is>
          <t>NULL</t>
        </is>
      </c>
      <c r="C41" s="0" t="inlineStr">
        <is>
          <t>NULL</t>
        </is>
      </c>
      <c r="D41" s="0" t="inlineStr">
        <is>
          <t>NULL</t>
        </is>
      </c>
      <c r="E41" s="0" t="inlineStr">
        <is>
          <t>NULL</t>
        </is>
      </c>
      <c r="F41" s="0" t="inlineStr">
        <is>
          <t>NULL</t>
        </is>
      </c>
      <c r="G41" s="0" t="inlineStr">
        <is>
          <t>NULL</t>
        </is>
      </c>
      <c r="H41" s="0" t="inlineStr">
        <is>
          <t>NULL</t>
        </is>
      </c>
      <c r="I41" s="0" t="inlineStr">
        <is>
          <t>NULL</t>
        </is>
      </c>
      <c r="J41" s="0" t="inlineStr">
        <is>
          <t>NULL</t>
        </is>
      </c>
      <c r="K41" s="0" t="inlineStr">
        <is>
          <t>YES! 	 c_varbinary列源备映射正确，源端为varbinary 1位	期望更改为varbinary(n)	实际备端为varbinary 1位</t>
        </is>
      </c>
    </row>
    <row r="42">
      <c r="B42" s="0" t="inlineStr">
        <is>
          <t>NULL</t>
        </is>
      </c>
      <c r="C42" s="0" t="inlineStr">
        <is>
          <t>NULL</t>
        </is>
      </c>
      <c r="D42" s="0" t="inlineStr">
        <is>
          <t>NULL</t>
        </is>
      </c>
      <c r="E42" s="0" t="inlineStr">
        <is>
          <t>NULL</t>
        </is>
      </c>
      <c r="F42" s="0" t="inlineStr">
        <is>
          <t>NULL</t>
        </is>
      </c>
      <c r="G42" s="0" t="inlineStr">
        <is>
          <t>NULL</t>
        </is>
      </c>
      <c r="H42" s="0" t="inlineStr">
        <is>
          <t>NULL</t>
        </is>
      </c>
      <c r="I42" s="0" t="inlineStr">
        <is>
          <t>NULL</t>
        </is>
      </c>
      <c r="J42" s="0" t="inlineStr">
        <is>
          <t>NULL</t>
        </is>
      </c>
      <c r="K42" s="0" t="inlineStr">
        <is>
          <t>YES! 	 c_varbinary_100列源备映射正确，源端为varbinary 100位	期望更改为varbinary(n)	实际备端为varbinary 100位</t>
        </is>
      </c>
    </row>
    <row r="43">
      <c r="B43" s="0" t="inlineStr">
        <is>
          <t>NULL</t>
        </is>
      </c>
      <c r="C43" s="0" t="inlineStr">
        <is>
          <t>NULL</t>
        </is>
      </c>
      <c r="D43" s="0" t="inlineStr">
        <is>
          <t>NULL</t>
        </is>
      </c>
      <c r="E43" s="0" t="inlineStr">
        <is>
          <t>NULL</t>
        </is>
      </c>
      <c r="F43" s="0" t="inlineStr">
        <is>
          <t>NULL</t>
        </is>
      </c>
      <c r="G43" s="0" t="inlineStr">
        <is>
          <t>NULL</t>
        </is>
      </c>
      <c r="H43" s="0" t="inlineStr">
        <is>
          <t>NULL</t>
        </is>
      </c>
      <c r="I43" s="0" t="inlineStr">
        <is>
          <t>NULL</t>
        </is>
      </c>
      <c r="J43" s="0" t="inlineStr">
        <is>
          <t>NULL</t>
        </is>
      </c>
      <c r="K43" s="0" t="inlineStr">
        <is>
          <t>YES! 	 c_varbinary_8000列源备映射正确，源端为varbinary 8000位	期望更改为longblob	实际备端为longblob 4294967295位</t>
        </is>
      </c>
    </row>
    <row r="44">
      <c r="K44" s="0" t="inlineStr">
        <is>
          <t>[0;31m NO! [0m 	  行数不同,源5行,备端空表</t>
        </is>
      </c>
    </row>
    <row r="45">
      <c r="A45" s="0" t="inlineStr">
        <is>
          <t>info_varbinary_dml_single_nopk</t>
        </is>
      </c>
      <c r="K45" s="0" t="inlineStr">
        <is>
          <t>[0;34m info_varbinary_dml_single_nopk [0m源备字段数相同，源端字段：4 	备端字段4</t>
        </is>
      </c>
      <c r="W45" s="0" t="inlineStr">
        <is>
          <t>YES 源备无差异</t>
        </is>
      </c>
      <c r="X45" s="0">
        <f>A45</f>
        <v/>
      </c>
    </row>
    <row r="46">
      <c r="B46" s="0" t="inlineStr">
        <is>
          <t>NULL</t>
        </is>
      </c>
      <c r="C46" s="0" t="inlineStr">
        <is>
          <t>NULL</t>
        </is>
      </c>
      <c r="D46" s="0" t="inlineStr">
        <is>
          <t>NULL</t>
        </is>
      </c>
      <c r="E46" s="0" t="inlineStr">
        <is>
          <t>NULL</t>
        </is>
      </c>
      <c r="F46" s="0" t="inlineStr">
        <is>
          <t>NULL</t>
        </is>
      </c>
      <c r="G46" s="0" t="inlineStr">
        <is>
          <t>NULL</t>
        </is>
      </c>
      <c r="H46" s="0" t="inlineStr">
        <is>
          <t>NULL</t>
        </is>
      </c>
      <c r="I46" s="0" t="inlineStr">
        <is>
          <t>NULL</t>
        </is>
      </c>
      <c r="J46" s="0" t="inlineStr">
        <is>
          <t>NULL</t>
        </is>
      </c>
      <c r="K46" s="0" t="inlineStr">
        <is>
          <t>YES! 	 id列源备映射正确，源端为int None位	期望更改为int	实际备端为int None位</t>
        </is>
      </c>
    </row>
    <row r="47">
      <c r="B47" s="0" t="inlineStr">
        <is>
          <t>NULL</t>
        </is>
      </c>
      <c r="C47" s="0" t="inlineStr">
        <is>
          <t>NULL</t>
        </is>
      </c>
      <c r="D47" s="0" t="inlineStr">
        <is>
          <t>NULL</t>
        </is>
      </c>
      <c r="E47" s="0" t="inlineStr">
        <is>
          <t>NULL</t>
        </is>
      </c>
      <c r="F47" s="0" t="inlineStr">
        <is>
          <t>NULL</t>
        </is>
      </c>
      <c r="G47" s="0" t="inlineStr">
        <is>
          <t>NULL</t>
        </is>
      </c>
      <c r="H47" s="0" t="inlineStr">
        <is>
          <t>NULL</t>
        </is>
      </c>
      <c r="I47" s="0" t="inlineStr">
        <is>
          <t>NULL</t>
        </is>
      </c>
      <c r="J47" s="0" t="inlineStr">
        <is>
          <t>NULL</t>
        </is>
      </c>
      <c r="K47" s="0" t="inlineStr">
        <is>
          <t>YES! 	 c_varbinary列源备映射正确，源端为varbinary 1位	期望更改为varbinary(n)	实际备端为varbinary 1位</t>
        </is>
      </c>
    </row>
    <row r="48">
      <c r="B48" s="0" t="inlineStr">
        <is>
          <t>NULL</t>
        </is>
      </c>
      <c r="C48" s="0" t="inlineStr">
        <is>
          <t>NULL</t>
        </is>
      </c>
      <c r="D48" s="0" t="inlineStr">
        <is>
          <t>NULL</t>
        </is>
      </c>
      <c r="E48" s="0" t="inlineStr">
        <is>
          <t>NULL</t>
        </is>
      </c>
      <c r="F48" s="0" t="inlineStr">
        <is>
          <t>NULL</t>
        </is>
      </c>
      <c r="G48" s="0" t="inlineStr">
        <is>
          <t>NULL</t>
        </is>
      </c>
      <c r="H48" s="0" t="inlineStr">
        <is>
          <t>NULL</t>
        </is>
      </c>
      <c r="I48" s="0" t="inlineStr">
        <is>
          <t>NULL</t>
        </is>
      </c>
      <c r="J48" s="0" t="inlineStr">
        <is>
          <t>NULL</t>
        </is>
      </c>
      <c r="K48" s="0" t="inlineStr">
        <is>
          <t>YES! 	 c_varbinary_100列源备映射正确，源端为varbinary 20位	期望更改为varbinary(n)	实际备端为varbinary 20位</t>
        </is>
      </c>
    </row>
    <row r="49">
      <c r="B49" s="0" t="inlineStr">
        <is>
          <t>NULL</t>
        </is>
      </c>
      <c r="C49" s="0" t="inlineStr">
        <is>
          <t>NULL</t>
        </is>
      </c>
      <c r="D49" s="0" t="inlineStr">
        <is>
          <t>NULL</t>
        </is>
      </c>
      <c r="E49" s="0" t="inlineStr">
        <is>
          <t>NULL</t>
        </is>
      </c>
      <c r="F49" s="0" t="inlineStr">
        <is>
          <t>NULL</t>
        </is>
      </c>
      <c r="G49" s="0" t="inlineStr">
        <is>
          <t>NULL</t>
        </is>
      </c>
      <c r="H49" s="0" t="inlineStr">
        <is>
          <t>NULL</t>
        </is>
      </c>
      <c r="I49" s="0" t="inlineStr">
        <is>
          <t>NULL</t>
        </is>
      </c>
      <c r="J49" s="0" t="inlineStr">
        <is>
          <t>NULL</t>
        </is>
      </c>
      <c r="K49" s="0" t="inlineStr">
        <is>
          <t>YES! 	 c_varbinary_8000列源备映射正确，源端为varbinary 8000位	期望更改为longblob	实际备端为longblob 4294967295位</t>
        </is>
      </c>
    </row>
    <row r="50">
      <c r="K50" s="0" t="inlineStr">
        <is>
          <t>[0;31m NO! [0m 	  行数不同,源1行,备端空表</t>
        </is>
      </c>
    </row>
    <row r="51">
      <c r="A51" s="0" t="inlineStr">
        <is>
          <t>info_varbinary_max_dml_single_nopk_irp</t>
        </is>
      </c>
      <c r="K51" s="0" t="inlineStr">
        <is>
          <t>[0;34m info_varbinary_max_dml_single_nopk_irp [0m源备字段数相同，源端字段：4 	备端字段4</t>
        </is>
      </c>
      <c r="W51" s="0" t="inlineStr">
        <is>
          <t>YES 源备无差异</t>
        </is>
      </c>
      <c r="X51" s="0">
        <f>A51</f>
        <v/>
      </c>
    </row>
    <row r="52">
      <c r="B52" s="0" t="inlineStr">
        <is>
          <t>NULL</t>
        </is>
      </c>
      <c r="C52" s="0" t="inlineStr">
        <is>
          <t>NULL</t>
        </is>
      </c>
      <c r="D52" s="0" t="inlineStr">
        <is>
          <t>NULL</t>
        </is>
      </c>
      <c r="E52" s="0" t="inlineStr">
        <is>
          <t>NULL</t>
        </is>
      </c>
      <c r="F52" s="0" t="inlineStr">
        <is>
          <t>NULL</t>
        </is>
      </c>
      <c r="G52" s="0" t="inlineStr">
        <is>
          <t>NULL</t>
        </is>
      </c>
      <c r="H52" s="0" t="inlineStr">
        <is>
          <t>NULL</t>
        </is>
      </c>
      <c r="I52" s="0" t="inlineStr">
        <is>
          <t>NULL</t>
        </is>
      </c>
      <c r="J52" s="0" t="inlineStr">
        <is>
          <t>NULL</t>
        </is>
      </c>
      <c r="K52" s="0" t="inlineStr">
        <is>
          <t>YES! 	 id列源备映射正确，源端为int None位	期望更改为int	实际备端为int None位</t>
        </is>
      </c>
    </row>
    <row r="53">
      <c r="B53" s="0" t="inlineStr">
        <is>
          <t>NULL</t>
        </is>
      </c>
      <c r="C53" s="0" t="inlineStr">
        <is>
          <t>NULL</t>
        </is>
      </c>
      <c r="D53" s="0" t="inlineStr">
        <is>
          <t>NULL</t>
        </is>
      </c>
      <c r="E53" s="0" t="inlineStr">
        <is>
          <t>NULL</t>
        </is>
      </c>
      <c r="F53" s="0" t="inlineStr">
        <is>
          <t>NULL</t>
        </is>
      </c>
      <c r="G53" s="0" t="inlineStr">
        <is>
          <t>NULL</t>
        </is>
      </c>
      <c r="H53" s="0" t="inlineStr">
        <is>
          <t>NULL</t>
        </is>
      </c>
      <c r="I53" s="0" t="inlineStr">
        <is>
          <t>NULL</t>
        </is>
      </c>
      <c r="J53" s="0" t="inlineStr">
        <is>
          <t>NULL</t>
        </is>
      </c>
      <c r="K53" s="0" t="inlineStr">
        <is>
          <t>YES! 	 c_varbinary_max1列源备映射正确，源端为varbinary -1位	期望更改为longblob	实际备端为longblob 4294967295位</t>
        </is>
      </c>
    </row>
    <row r="54">
      <c r="B54" s="0" t="inlineStr">
        <is>
          <t>NULL</t>
        </is>
      </c>
      <c r="C54" s="0" t="inlineStr">
        <is>
          <t>NULL</t>
        </is>
      </c>
      <c r="D54" s="0" t="inlineStr">
        <is>
          <t>NULL</t>
        </is>
      </c>
      <c r="E54" s="0" t="inlineStr">
        <is>
          <t>NULL</t>
        </is>
      </c>
      <c r="F54" s="0" t="inlineStr">
        <is>
          <t>NULL</t>
        </is>
      </c>
      <c r="G54" s="0" t="inlineStr">
        <is>
          <t>NULL</t>
        </is>
      </c>
      <c r="H54" s="0" t="inlineStr">
        <is>
          <t>NULL</t>
        </is>
      </c>
      <c r="I54" s="0" t="inlineStr">
        <is>
          <t>NULL</t>
        </is>
      </c>
      <c r="J54" s="0" t="inlineStr">
        <is>
          <t>NULL</t>
        </is>
      </c>
      <c r="K54" s="0" t="inlineStr">
        <is>
          <t>YES! 	 c_varbinary_max2列源备映射正确，源端为varbinary -1位	期望更改为longblob	实际备端为longblob 4294967295位</t>
        </is>
      </c>
    </row>
    <row r="55">
      <c r="B55" s="0" t="inlineStr">
        <is>
          <t>NULL</t>
        </is>
      </c>
      <c r="C55" s="0" t="inlineStr">
        <is>
          <t>NULL</t>
        </is>
      </c>
      <c r="D55" s="0" t="inlineStr">
        <is>
          <t>NULL</t>
        </is>
      </c>
      <c r="E55" s="0" t="inlineStr">
        <is>
          <t>NULL</t>
        </is>
      </c>
      <c r="F55" s="0" t="inlineStr">
        <is>
          <t>NULL</t>
        </is>
      </c>
      <c r="G55" s="0" t="inlineStr">
        <is>
          <t>NULL</t>
        </is>
      </c>
      <c r="H55" s="0" t="inlineStr">
        <is>
          <t>NULL</t>
        </is>
      </c>
      <c r="I55" s="0" t="inlineStr">
        <is>
          <t>NULL</t>
        </is>
      </c>
      <c r="J55" s="0" t="inlineStr">
        <is>
          <t>NULL</t>
        </is>
      </c>
      <c r="K55" s="0" t="inlineStr">
        <is>
          <t>YES! 	 c_image3列源备映射正确，源端为image 2147483647位	期望更改为longblob	实际备端为longblob 4294967295位</t>
        </is>
      </c>
    </row>
    <row r="56">
      <c r="K56" s="0" t="inlineStr">
        <is>
          <t>[0;31m NO! [0m 	  行数不同,源6行,备端空表</t>
        </is>
      </c>
    </row>
    <row r="57">
      <c r="A57" s="0" t="inlineStr">
        <is>
          <t>info_varbinary_max_dml_single_nopk_urp</t>
        </is>
      </c>
      <c r="K57" s="0" t="inlineStr">
        <is>
          <t>[0;34m info_varbinary_max_dml_single_nopk_urp [0m源备字段数相同，源端字段：4 	备端字段4</t>
        </is>
      </c>
      <c r="W57" s="0" t="inlineStr">
        <is>
          <t>YES 源备无差异</t>
        </is>
      </c>
      <c r="X57" s="0">
        <f>A57</f>
        <v/>
      </c>
    </row>
    <row r="58">
      <c r="B58" s="0" t="inlineStr">
        <is>
          <t>NULL</t>
        </is>
      </c>
      <c r="C58" s="0" t="inlineStr">
        <is>
          <t>NULL</t>
        </is>
      </c>
      <c r="D58" s="0" t="inlineStr">
        <is>
          <t>NULL</t>
        </is>
      </c>
      <c r="E58" s="0" t="inlineStr">
        <is>
          <t>NULL</t>
        </is>
      </c>
      <c r="F58" s="0" t="inlineStr">
        <is>
          <t>NULL</t>
        </is>
      </c>
      <c r="G58" s="0" t="inlineStr">
        <is>
          <t>NULL</t>
        </is>
      </c>
      <c r="H58" s="0" t="inlineStr">
        <is>
          <t>NULL</t>
        </is>
      </c>
      <c r="I58" s="0" t="inlineStr">
        <is>
          <t>NULL</t>
        </is>
      </c>
      <c r="J58" s="0" t="inlineStr">
        <is>
          <t>NULL</t>
        </is>
      </c>
      <c r="K58" s="0" t="inlineStr">
        <is>
          <t>YES! 	 id列源备映射正确，源端为int None位	期望更改为int	实际备端为int None位</t>
        </is>
      </c>
    </row>
    <row r="59">
      <c r="B59" s="0" t="inlineStr">
        <is>
          <t>NULL</t>
        </is>
      </c>
      <c r="C59" s="0" t="inlineStr">
        <is>
          <t>NULL</t>
        </is>
      </c>
      <c r="D59" s="0" t="inlineStr">
        <is>
          <t>NULL</t>
        </is>
      </c>
      <c r="E59" s="0" t="inlineStr">
        <is>
          <t>NULL</t>
        </is>
      </c>
      <c r="F59" s="0" t="inlineStr">
        <is>
          <t>NULL</t>
        </is>
      </c>
      <c r="G59" s="0" t="inlineStr">
        <is>
          <t>NULL</t>
        </is>
      </c>
      <c r="H59" s="0" t="inlineStr">
        <is>
          <t>NULL</t>
        </is>
      </c>
      <c r="I59" s="0" t="inlineStr">
        <is>
          <t>NULL</t>
        </is>
      </c>
      <c r="J59" s="0" t="inlineStr">
        <is>
          <t>NULL</t>
        </is>
      </c>
      <c r="K59" s="0" t="inlineStr">
        <is>
          <t>YES! 	 c_varbinary_max1列源备映射正确，源端为varbinary -1位	期望更改为longblob	实际备端为longblob 4294967295位</t>
        </is>
      </c>
    </row>
    <row r="60">
      <c r="B60" s="0" t="inlineStr">
        <is>
          <t>NULL</t>
        </is>
      </c>
      <c r="C60" s="0" t="inlineStr">
        <is>
          <t>NULL</t>
        </is>
      </c>
      <c r="D60" s="0" t="inlineStr">
        <is>
          <t>NULL</t>
        </is>
      </c>
      <c r="E60" s="0" t="inlineStr">
        <is>
          <t>NULL</t>
        </is>
      </c>
      <c r="F60" s="0" t="inlineStr">
        <is>
          <t>NULL</t>
        </is>
      </c>
      <c r="G60" s="0" t="inlineStr">
        <is>
          <t>NULL</t>
        </is>
      </c>
      <c r="H60" s="0" t="inlineStr">
        <is>
          <t>NULL</t>
        </is>
      </c>
      <c r="I60" s="0" t="inlineStr">
        <is>
          <t>NULL</t>
        </is>
      </c>
      <c r="J60" s="0" t="inlineStr">
        <is>
          <t>NULL</t>
        </is>
      </c>
      <c r="K60" s="0" t="inlineStr">
        <is>
          <t>YES! 	 c_varbinary_max2列源备映射正确，源端为varbinary -1位	期望更改为longblob	实际备端为longblob 4294967295位</t>
        </is>
      </c>
    </row>
    <row r="61">
      <c r="B61" s="0" t="inlineStr">
        <is>
          <t>NULL</t>
        </is>
      </c>
      <c r="C61" s="0" t="inlineStr">
        <is>
          <t>NULL</t>
        </is>
      </c>
      <c r="D61" s="0" t="inlineStr">
        <is>
          <t>NULL</t>
        </is>
      </c>
      <c r="E61" s="0" t="inlineStr">
        <is>
          <t>NULL</t>
        </is>
      </c>
      <c r="F61" s="0" t="inlineStr">
        <is>
          <t>NULL</t>
        </is>
      </c>
      <c r="G61" s="0" t="inlineStr">
        <is>
          <t>NULL</t>
        </is>
      </c>
      <c r="H61" s="0" t="inlineStr">
        <is>
          <t>NULL</t>
        </is>
      </c>
      <c r="I61" s="0" t="inlineStr">
        <is>
          <t>NULL</t>
        </is>
      </c>
      <c r="J61" s="0" t="inlineStr">
        <is>
          <t>NULL</t>
        </is>
      </c>
      <c r="K61" s="0" t="inlineStr">
        <is>
          <t>YES! 	 c_image3列源备映射正确，源端为image 2147483647位	期望更改为longblob	实际备端为longblob 4294967295位</t>
        </is>
      </c>
    </row>
    <row r="62">
      <c r="K62" s="0" t="inlineStr">
        <is>
          <t>[0;31m NO! [0m 	  行数不同,源4行,备端空表</t>
        </is>
      </c>
    </row>
    <row r="63">
      <c r="A63" s="0" t="inlineStr">
        <is>
          <t>info_varbinary_max_dml_single_nopk</t>
        </is>
      </c>
      <c r="K63" s="0" t="inlineStr">
        <is>
          <t>[0;34m info_varbinary_max_dml_single_nopk [0m源备字段数相同，源端字段：4 	备端字段4</t>
        </is>
      </c>
      <c r="W63" s="0" t="inlineStr">
        <is>
          <t>YES 源备无差异</t>
        </is>
      </c>
      <c r="X63" s="0">
        <f>A63</f>
        <v/>
      </c>
    </row>
    <row r="64">
      <c r="B64" s="0" t="inlineStr">
        <is>
          <t>NULL</t>
        </is>
      </c>
      <c r="C64" s="0" t="inlineStr">
        <is>
          <t>NULL</t>
        </is>
      </c>
      <c r="D64" s="0" t="inlineStr">
        <is>
          <t>NULL</t>
        </is>
      </c>
      <c r="E64" s="0" t="inlineStr">
        <is>
          <t>NULL</t>
        </is>
      </c>
      <c r="F64" s="0" t="inlineStr">
        <is>
          <t>NULL</t>
        </is>
      </c>
      <c r="G64" s="0" t="inlineStr">
        <is>
          <t>NULL</t>
        </is>
      </c>
      <c r="H64" s="0" t="inlineStr">
        <is>
          <t>NULL</t>
        </is>
      </c>
      <c r="I64" s="0" t="inlineStr">
        <is>
          <t>NULL</t>
        </is>
      </c>
      <c r="J64" s="0" t="inlineStr">
        <is>
          <t>NULL</t>
        </is>
      </c>
      <c r="K64" s="0" t="inlineStr">
        <is>
          <t>YES! 	 id列源备映射正确，源端为int None位	期望更改为int	实际备端为int None位</t>
        </is>
      </c>
    </row>
    <row r="65">
      <c r="B65" s="0" t="inlineStr">
        <is>
          <t>NULL</t>
        </is>
      </c>
      <c r="C65" s="0" t="inlineStr">
        <is>
          <t>NULL</t>
        </is>
      </c>
      <c r="D65" s="0" t="inlineStr">
        <is>
          <t>NULL</t>
        </is>
      </c>
      <c r="E65" s="0" t="inlineStr">
        <is>
          <t>NULL</t>
        </is>
      </c>
      <c r="F65" s="0" t="inlineStr">
        <is>
          <t>NULL</t>
        </is>
      </c>
      <c r="G65" s="0" t="inlineStr">
        <is>
          <t>NULL</t>
        </is>
      </c>
      <c r="H65" s="0" t="inlineStr">
        <is>
          <t>NULL</t>
        </is>
      </c>
      <c r="I65" s="0" t="inlineStr">
        <is>
          <t>NULL</t>
        </is>
      </c>
      <c r="J65" s="0" t="inlineStr">
        <is>
          <t>NULL</t>
        </is>
      </c>
      <c r="K65" s="0" t="inlineStr">
        <is>
          <t>YES! 	 c_varbinary_max1列源备映射正确，源端为varbinary -1位	期望更改为longblob	实际备端为longblob 4294967295位</t>
        </is>
      </c>
    </row>
    <row r="66">
      <c r="B66" s="0" t="inlineStr">
        <is>
          <t>NULL</t>
        </is>
      </c>
      <c r="C66" s="0" t="inlineStr">
        <is>
          <t>NULL</t>
        </is>
      </c>
      <c r="D66" s="0" t="inlineStr">
        <is>
          <t>NULL</t>
        </is>
      </c>
      <c r="E66" s="0" t="inlineStr">
        <is>
          <t>NULL</t>
        </is>
      </c>
      <c r="F66" s="0" t="inlineStr">
        <is>
          <t>NULL</t>
        </is>
      </c>
      <c r="G66" s="0" t="inlineStr">
        <is>
          <t>NULL</t>
        </is>
      </c>
      <c r="H66" s="0" t="inlineStr">
        <is>
          <t>NULL</t>
        </is>
      </c>
      <c r="I66" s="0" t="inlineStr">
        <is>
          <t>NULL</t>
        </is>
      </c>
      <c r="J66" s="0" t="inlineStr">
        <is>
          <t>NULL</t>
        </is>
      </c>
      <c r="K66" s="0" t="inlineStr">
        <is>
          <t>YES! 	 c_varbinary_max2列源备映射正确，源端为varbinary -1位	期望更改为longblob	实际备端为longblob 4294967295位</t>
        </is>
      </c>
    </row>
    <row r="67">
      <c r="B67" s="0" t="inlineStr">
        <is>
          <t>NULL</t>
        </is>
      </c>
      <c r="C67" s="0" t="inlineStr">
        <is>
          <t>NULL</t>
        </is>
      </c>
      <c r="D67" s="0" t="inlineStr">
        <is>
          <t>NULL</t>
        </is>
      </c>
      <c r="E67" s="0" t="inlineStr">
        <is>
          <t>NULL</t>
        </is>
      </c>
      <c r="F67" s="0" t="inlineStr">
        <is>
          <t>NULL</t>
        </is>
      </c>
      <c r="G67" s="0" t="inlineStr">
        <is>
          <t>NULL</t>
        </is>
      </c>
      <c r="H67" s="0" t="inlineStr">
        <is>
          <t>NULL</t>
        </is>
      </c>
      <c r="I67" s="0" t="inlineStr">
        <is>
          <t>NULL</t>
        </is>
      </c>
      <c r="J67" s="0" t="inlineStr">
        <is>
          <t>NULL</t>
        </is>
      </c>
      <c r="K67" s="0" t="inlineStr">
        <is>
          <t>YES! 	 c_image3列源备映射正确，源端为image 2147483647位	期望更改为longblob	实际备端为longblob 4294967295位</t>
        </is>
      </c>
    </row>
    <row r="68">
      <c r="K68" s="0" t="inlineStr">
        <is>
          <t>[0;31m NO! [0m 	  行数不同,源1行,备端空表</t>
        </is>
      </c>
    </row>
    <row r="69">
      <c r="A69" s="0" t="inlineStr">
        <is>
          <t>info_varbinary_max_dml_single_nopk_drp</t>
        </is>
      </c>
      <c r="K69" s="0" t="inlineStr">
        <is>
          <t>[0;34m info_varbinary_max_dml_single_nopk_drp [0m源备字段数相同，源端字段：4 	备端字段4</t>
        </is>
      </c>
      <c r="W69" s="0" t="inlineStr">
        <is>
          <t>YES 源备无差异</t>
        </is>
      </c>
      <c r="X69" s="0">
        <f>A69</f>
        <v/>
      </c>
    </row>
    <row r="70">
      <c r="B70" s="0" t="inlineStr">
        <is>
          <t>NULL</t>
        </is>
      </c>
      <c r="C70" s="0" t="inlineStr">
        <is>
          <t>NULL</t>
        </is>
      </c>
      <c r="D70" s="0" t="inlineStr">
        <is>
          <t>NULL</t>
        </is>
      </c>
      <c r="E70" s="0" t="inlineStr">
        <is>
          <t>NULL</t>
        </is>
      </c>
      <c r="F70" s="0" t="inlineStr">
        <is>
          <t>NULL</t>
        </is>
      </c>
      <c r="G70" s="0" t="inlineStr">
        <is>
          <t>NULL</t>
        </is>
      </c>
      <c r="H70" s="0" t="inlineStr">
        <is>
          <t>NULL</t>
        </is>
      </c>
      <c r="I70" s="0" t="inlineStr">
        <is>
          <t>NULL</t>
        </is>
      </c>
      <c r="J70" s="0" t="inlineStr">
        <is>
          <t>NULL</t>
        </is>
      </c>
      <c r="K70" s="0" t="inlineStr">
        <is>
          <t>YES! 	 id列源备映射正确，源端为int None位	期望更改为int	实际备端为int None位</t>
        </is>
      </c>
    </row>
    <row r="71">
      <c r="B71" s="0" t="inlineStr">
        <is>
          <t>NULL</t>
        </is>
      </c>
      <c r="C71" s="0" t="inlineStr">
        <is>
          <t>NULL</t>
        </is>
      </c>
      <c r="D71" s="0" t="inlineStr">
        <is>
          <t>NULL</t>
        </is>
      </c>
      <c r="E71" s="0" t="inlineStr">
        <is>
          <t>NULL</t>
        </is>
      </c>
      <c r="F71" s="0" t="inlineStr">
        <is>
          <t>NULL</t>
        </is>
      </c>
      <c r="G71" s="0" t="inlineStr">
        <is>
          <t>NULL</t>
        </is>
      </c>
      <c r="H71" s="0" t="inlineStr">
        <is>
          <t>NULL</t>
        </is>
      </c>
      <c r="I71" s="0" t="inlineStr">
        <is>
          <t>NULL</t>
        </is>
      </c>
      <c r="J71" s="0" t="inlineStr">
        <is>
          <t>NULL</t>
        </is>
      </c>
      <c r="K71" s="0" t="inlineStr">
        <is>
          <t>YES! 	 c_varbinary_max1列源备映射正确，源端为varbinary -1位	期望更改为longblob	实际备端为longblob 4294967295位</t>
        </is>
      </c>
    </row>
    <row r="72">
      <c r="B72" s="0" t="inlineStr">
        <is>
          <t>NULL</t>
        </is>
      </c>
      <c r="C72" s="0" t="inlineStr">
        <is>
          <t>NULL</t>
        </is>
      </c>
      <c r="D72" s="0" t="inlineStr">
        <is>
          <t>NULL</t>
        </is>
      </c>
      <c r="E72" s="0" t="inlineStr">
        <is>
          <t>NULL</t>
        </is>
      </c>
      <c r="F72" s="0" t="inlineStr">
        <is>
          <t>NULL</t>
        </is>
      </c>
      <c r="G72" s="0" t="inlineStr">
        <is>
          <t>NULL</t>
        </is>
      </c>
      <c r="H72" s="0" t="inlineStr">
        <is>
          <t>NULL</t>
        </is>
      </c>
      <c r="I72" s="0" t="inlineStr">
        <is>
          <t>NULL</t>
        </is>
      </c>
      <c r="J72" s="0" t="inlineStr">
        <is>
          <t>NULL</t>
        </is>
      </c>
      <c r="K72" s="0" t="inlineStr">
        <is>
          <t>YES! 	 c_varbinary_max2列源备映射正确，源端为varbinary -1位	期望更改为longblob	实际备端为longblob 4294967295位</t>
        </is>
      </c>
    </row>
    <row r="73">
      <c r="B73" s="0" t="inlineStr">
        <is>
          <t>NULL</t>
        </is>
      </c>
      <c r="C73" s="0" t="inlineStr">
        <is>
          <t>NULL</t>
        </is>
      </c>
      <c r="D73" s="0" t="inlineStr">
        <is>
          <t>NULL</t>
        </is>
      </c>
      <c r="E73" s="0" t="inlineStr">
        <is>
          <t>NULL</t>
        </is>
      </c>
      <c r="F73" s="0" t="inlineStr">
        <is>
          <t>NULL</t>
        </is>
      </c>
      <c r="G73" s="0" t="inlineStr">
        <is>
          <t>NULL</t>
        </is>
      </c>
      <c r="H73" s="0" t="inlineStr">
        <is>
          <t>NULL</t>
        </is>
      </c>
      <c r="I73" s="0" t="inlineStr">
        <is>
          <t>NULL</t>
        </is>
      </c>
      <c r="J73" s="0" t="inlineStr">
        <is>
          <t>NULL</t>
        </is>
      </c>
      <c r="K73" s="0" t="inlineStr">
        <is>
          <t>YES! 	 c_image3列源备映射正确，源端为image 2147483647位	期望更改为longblob	实际备端为longblob 4294967295位</t>
        </is>
      </c>
    </row>
    <row r="74">
      <c r="K74" s="0" t="inlineStr">
        <is>
          <t>~ 空表</t>
        </is>
      </c>
    </row>
  </sheetData>
  <mergeCells count="12">
    <mergeCell ref="A9:A14"/>
    <mergeCell ref="A3:A8"/>
    <mergeCell ref="A21:A26"/>
    <mergeCell ref="A39:A44"/>
    <mergeCell ref="A69:A74"/>
    <mergeCell ref="A15:A20"/>
    <mergeCell ref="A45:A50"/>
    <mergeCell ref="A57:A62"/>
    <mergeCell ref="A51:A56"/>
    <mergeCell ref="A63:A68"/>
    <mergeCell ref="A33:A38"/>
    <mergeCell ref="A27:A3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U2023"/>
  <sheetViews>
    <sheetView workbookViewId="0">
      <selection activeCell="A1" sqref="A1"/>
    </sheetView>
  </sheetViews>
  <sheetFormatPr baseColWidth="8" defaultRowHeight="15"/>
  <sheetData>
    <row r="1">
      <c r="A1" s="0" t="inlineStr">
        <is>
          <t>sqlserver -- 2026051816mysql</t>
        </is>
      </c>
      <c r="E1" s="0" t="inlineStr">
        <is>
          <t>源端共计 303个表，备端共计 303个表</t>
        </is>
      </c>
    </row>
    <row r="2">
      <c r="A2" s="0" t="inlineStr">
        <is>
          <t>表名</t>
        </is>
      </c>
      <c r="B2" s="0" t="inlineStr">
        <is>
          <t>pk</t>
        </is>
      </c>
      <c r="C2" s="0" t="inlineStr">
        <is>
          <t>default</t>
        </is>
      </c>
      <c r="D2" s="0" t="inlineStr">
        <is>
          <t>唯一</t>
        </is>
      </c>
      <c r="E2" s="0" t="inlineStr">
        <is>
          <t>复合唯一</t>
        </is>
      </c>
      <c r="F2" s="0" t="inlineStr">
        <is>
          <t>check</t>
        </is>
      </c>
      <c r="G2" s="0" t="inlineStr">
        <is>
          <t>源ck_def</t>
        </is>
      </c>
      <c r="H2" s="0" t="inlineStr">
        <is>
          <t>备check</t>
        </is>
      </c>
      <c r="I2" s="0" t="inlineStr">
        <is>
          <t>索引</t>
        </is>
      </c>
      <c r="J2" s="0" t="inlineStr">
        <is>
          <t>复合索引</t>
        </is>
      </c>
      <c r="K2" s="0" t="inlineStr">
        <is>
          <t>状态</t>
        </is>
      </c>
      <c r="W2" s="0" t="inlineStr">
        <is>
          <t>表内容</t>
        </is>
      </c>
      <c r="Y2" s="15">
        <f>HYPERLINK("#2026051816mysql2!W21","info_char_dml_single_nopk_irp")</f>
        <v/>
      </c>
      <c r="Z2" s="15">
        <f>HYPERLINK("#2026051816mysql2!W26","info_char_dml_single_nopk_drp")</f>
        <v/>
      </c>
      <c r="AA2" s="15">
        <f>HYPERLINK("#2026051816mysql2!W34","info_char_dml_single_nopk_urp")</f>
        <v/>
      </c>
      <c r="AB2" s="15">
        <f>HYPERLINK("#2026051816mysql2!W49","info_char_dml_single_nopk")</f>
        <v/>
      </c>
      <c r="AC2" s="15">
        <f>HYPERLINK("#2026051816mysql2!W92","info_char_dml_batch1_pk_irp1")</f>
        <v/>
      </c>
      <c r="AD2" s="15">
        <f>HYPERLINK("#2026051816mysql2!W107","info_hierarchyid_dml_single_nopk_irp")</f>
        <v/>
      </c>
      <c r="AE2" s="15">
        <f>HYPERLINK("#2026051816mysql2!W110","info_char_dml_single_pk_irp")</f>
        <v/>
      </c>
      <c r="AF2" s="15">
        <f>HYPERLINK("#2026051816mysql2!W123","info_char_dml_batch1_pk_irp2")</f>
        <v/>
      </c>
      <c r="AG2" s="15">
        <f>HYPERLINK("#2026051816mysql2!W142","info_char_dml_batch2_pk_irp1")</f>
        <v/>
      </c>
      <c r="AH2" s="15">
        <f>HYPERLINK("#2026051816mysql2!W152","info_hierarchyid_dml_single_pk_irp")</f>
        <v/>
      </c>
      <c r="AI2" s="15">
        <f>HYPERLINK("#2026051816mysql2!W155","info_char_dml_single_pk_urp")</f>
        <v/>
      </c>
      <c r="AJ2" s="15">
        <f>HYPERLINK("#2026051816mysql2!W173","info_char_dml_batch2_pk_irp2")</f>
        <v/>
      </c>
      <c r="AK2" s="15">
        <f>HYPERLINK("#2026051816mysql2!W191","info_char_dml_single_pk_drp")</f>
        <v/>
      </c>
      <c r="AL2" s="15">
        <f>HYPERLINK("#2026051816mysql2!W199","info_char_dml_batch1_pk_urp1")</f>
        <v/>
      </c>
      <c r="AM2" s="15">
        <f>HYPERLINK("#2026051816mysql2!W209","info_char_dml_single_pk")</f>
        <v/>
      </c>
      <c r="AN2" s="15">
        <f>HYPERLINK("#2026051816mysql2!W217","info_char_dml_batch1_pk_urp2")</f>
        <v/>
      </c>
      <c r="AO2" s="15">
        <f>HYPERLINK("#2026051816mysql2!W230","info_nchar_dml_single_nopk_irp")</f>
        <v/>
      </c>
      <c r="AP2" s="15">
        <f>HYPERLINK("#2026051816mysql2!W244","info_int_dml_single_pk_irp")</f>
        <v/>
      </c>
      <c r="AQ2" s="15">
        <f>HYPERLINK("#2026051816mysql2!W278","info_int_dml_single_pk_urp")</f>
        <v/>
      </c>
      <c r="AR2" s="15">
        <f>HYPERLINK("#2026051816mysql2!W317","info_int_dml_single_pk_drp")</f>
        <v/>
      </c>
      <c r="AS2" s="15">
        <f>HYPERLINK("#2026051816mysql2!W341","info_nchar_dml_single_nopk_urp")</f>
        <v/>
      </c>
      <c r="AT2" s="15">
        <f>HYPERLINK("#2026051816mysql2!W346","info_nchar_dml_single_nopk_drp")</f>
        <v/>
      </c>
      <c r="AU2" s="15">
        <f>HYPERLINK("#2026051816mysql2!W377","info_nchar_dml_single_pk_irp")</f>
        <v/>
      </c>
      <c r="AV2" s="15">
        <f>HYPERLINK("#2026051816mysql2!W385","info_nchar_dml_single_nopk")</f>
        <v/>
      </c>
      <c r="AW2" s="15">
        <f>HYPERLINK("#2026051816mysql2!W390","info_sql_variant_dml_single_pk_irp")</f>
        <v/>
      </c>
      <c r="AX2" s="15">
        <f>HYPERLINK("#2026051816mysql2!W421","info_int_dml_single_nopk_irp")</f>
        <v/>
      </c>
      <c r="AY2" s="15">
        <f>HYPERLINK("#2026051816mysql2!W446","info_int_dml_single_nopk_urp")</f>
        <v/>
      </c>
      <c r="AZ2" s="15">
        <f>HYPERLINK("#2026051816mysql2!W472","info_sql_variant_dml_single_pk_urp")</f>
        <v/>
      </c>
      <c r="BA2" s="15">
        <f>HYPERLINK("#2026051816mysql2!W498","info_nchar_dml_single_pk_urp")</f>
        <v/>
      </c>
      <c r="BB2" s="15">
        <f>HYPERLINK("#2026051816mysql2!W503","info_nchar_dml_single_pk_drp")</f>
        <v/>
      </c>
      <c r="BC2" s="15">
        <f>HYPERLINK("#2026051816mysql2!W508","info_int_dml_single_nopk_drp")</f>
        <v/>
      </c>
      <c r="BD2" s="15">
        <f>HYPERLINK("#2026051816mysql2!W558","info_nchar_dml_single_pk")</f>
        <v/>
      </c>
      <c r="BE2" s="15">
        <f>HYPERLINK("#2026051816mysql2!W563","info_sql_variant_dml_single_pk_drp")</f>
        <v/>
      </c>
      <c r="BF2" s="15">
        <f>HYPERLINK("#2026051816mysql2!W602","info_sql_variant_dml_single_pk")</f>
        <v/>
      </c>
      <c r="BG2" s="15">
        <f>HYPERLINK("#2026051816mysql2!W715","info_nchar_dml_batch1_pk_irp1")</f>
        <v/>
      </c>
      <c r="BH2" s="15">
        <f>HYPERLINK("#2026051816mysql2!W738","info_nchar_dml_batch1_pk_irp2")</f>
        <v/>
      </c>
      <c r="BI2" s="15">
        <f>HYPERLINK("#2026051816mysql2!W755","info_sql_variant_dml_single_nopk_irp")</f>
        <v/>
      </c>
      <c r="BJ2" s="15">
        <f>HYPERLINK("#2026051816mysql2!W781","info_nchar_dml_batch2_pk_irp1")</f>
        <v/>
      </c>
      <c r="BK2" s="15">
        <f>HYPERLINK("#2026051816mysql2!W796","info_sql_variant_dml_single_nopk_urp")</f>
        <v/>
      </c>
      <c r="BL2" s="15">
        <f>HYPERLINK("#2026051816mysql2!W822","info_sql_variant_dml_single_nopk_drp")</f>
        <v/>
      </c>
      <c r="BM2" s="15">
        <f>HYPERLINK("#2026051816mysql2!W848","info_nchar_dml_batch2_pk_irp2")</f>
        <v/>
      </c>
      <c r="BN2" s="15">
        <f>HYPERLINK("#2026051816mysql2!W862","info_sql_variant_dml_single_nopk")</f>
        <v/>
      </c>
      <c r="BO2" s="15">
        <f>HYPERLINK("#2026051816mysql2!W891","info_nchar_dml_batch1_pk_urp1")</f>
        <v/>
      </c>
      <c r="BP2" s="15">
        <f>HYPERLINK("#2026051816mysql2!W920","info_nchar_dml_batch2_pk_urp2")</f>
        <v/>
      </c>
      <c r="BQ2" s="15">
        <f>HYPERLINK("#2026051816mysql2!W986","info_nchar_dml_batch1_pk_drp2")</f>
        <v/>
      </c>
      <c r="BR2" s="15">
        <f>HYPERLINK("#2026051816mysql2!W1643","info_int_dml_batch1_pk_irp1")</f>
        <v/>
      </c>
      <c r="BS2" s="15">
        <f>HYPERLINK("#2026051816mysql2!W1680","info_int_dml_batch1_pk_irp2")</f>
        <v/>
      </c>
      <c r="BT2" s="15">
        <f>HYPERLINK("#2026051816mysql2!W1706","info_int_dml_batch2_pk_irp1")</f>
        <v/>
      </c>
      <c r="BU2" s="15">
        <f>HYPERLINK("#2026051816mysql2!W1735","info_int_dml_batch2_pk_irp2")</f>
        <v/>
      </c>
    </row>
    <row r="3">
      <c r="A3" s="0" t="inlineStr">
        <is>
          <t>info_time_dml_batch1_pk_irp2</t>
        </is>
      </c>
      <c r="K3" s="0" t="inlineStr">
        <is>
          <t>[0;34m info_time_dml_batch1_pk_irp2 [0m源备字段数相同，源端字段：9 	备端字段9</t>
        </is>
      </c>
      <c r="W3" s="0" t="inlineStr">
        <is>
          <t>YES 源备无差异</t>
        </is>
      </c>
      <c r="X3" s="0">
        <f>A3</f>
        <v/>
      </c>
      <c r="Y3" s="0" t="inlineStr">
        <is>
          <t>tgt行 ['2', '', '', '                                                                                                                                                                                                                                                                                                                                                                                                                                                                                                                                                                                                                                                                                                                                                                                                                                                                                                                                                                                                                                                                                                                                                                                                                                                                                                                                                                                                                                                                                                                                                                                                                                                                                                                                                                                                                                                                                                                                                                                                                                                                                                                                                                                                                                                                                                                                                                                                                                                                                                                                                                                                                                                                                                                                                                                                                                                                                                                                                                                                                                                                                                                                                                                                                                                                                                                                                                                                                                                                                                                                                                                                                                                                                                                                                                                                                                                                                                                                                                                                                                                                                                                                                                                                                                                                                                                                                                                                                                                                                                                                                                                                                                                                                                                                                                                                                                                                                                                                                                                                                                                                                                                                                                                                                                                                                                                                                                                                                                                                                                                                                                                                                                                                                                                                                                                                                                                                                                                                                                                                                                                                                                                                                                                                                                                                                                                                                                                                                                                                                                                                                                                                                                                                                                                                                                                                                                                                                                                                                                                                                                                                                                                                                                                                                                                                                                                                                                                                                                                                                                                                                                                                                                                                                                                                                                                                                                                                                                                                                                                                                                                                                                                                                                                                                                                                                                                                ']列，源：None 备：512c57ed09deb3da564132dbbe7d4f86</t>
        </is>
      </c>
      <c r="Z3" s="0" t="inlineStr">
        <is>
          <t>tgt行 ['2', '', '', '                                                                                                                                                                                                                                                                                                                                                                                                                                                                                                                                                                                                                                                                                                                                                                                                                                                                                                                                                                                                                                                                                                                                                                                                                                                                                                                                                                                                                                                                                                                                                                                                                                                                                                                                                                                                                                                                                                                                                                                                                                                                                                                                                                                                                                                                                                                                                                                                                                                                                                                                                                                                                                                                                                                                                                                                                                                                                                                                                                                                                                                                                                                                                                                                                                                                                                                                                                                                                                                                                                                                                                                                                                                                                                                                                                                                                                                                                                                                                                                                                                                                                                                                                                                                                                                                                                                                                                                                                                                                                                                                                                                                                                                                                                                                                                                                                                                                                                                                                                                                                                                                                                                                                                                                                                                                                                                                                                                                                                                                                                                                                                                                                                                                                                                                                                                                                                                                                                                                                                                                                                                                                                                                                                                                                                                                                                                                                                                                                                                                                                                                                                                                                                                                                                                                                                                                                                                                                                                                                                                                                                                                                                                                                                                                                                                                                        ']列，源：None 备：adfc7b63a288f9e068cee3ae698e6187</t>
        </is>
      </c>
      <c r="AA3" s="0"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备：3b3144555c9a0b155cbdb06c0bbb8008</t>
        </is>
      </c>
      <c r="AB3" s="0" t="inlineStr">
        <is>
          <t>tgt行 ['2', '', '', '                                                                                                                                                                                                                                                                                                                                                                                                                                                                                                                                                                                                                                                                                                                                                                                                                                                                                                                                                                                                                                                                                                                                                                                                                                                                                                                                                                                                                                                                                                                                                                                                                                                                                                                                                                                                                                                                                                                                                                                                                                                                                                                                                                                                                                                                                                                                                                                                                                                                                                                                                                                                                                                                                                                                                                                                                                                                                                                                                                                                                                                                                                                                                                                                                                                                                                                                                                                                                                                                                                                                                                                                                                                                                                                                                                                                                                                                                                                                                                                                                                                                                                                                                                                                                                                                                                                                                                                                                                                                                                                                                                                                                                                                                                                                                                                                                                                                                                                                                                                                                                                                                                                                                                                                                                                                                                                                                                                                                                                                                                                                                                                                                                                                                                                                                                                                                                                                                                                                                                                                                                                                                                                                                                                                                                                                                                                                                                                                                                                                                                                                                                                                                                                                                                                                                                                                                                                                                                                                                                                                                                                                                                                                                                                                                                                                                        ']列，源：None 备：adfc7b63a288f9e068cee3ae698e6187</t>
        </is>
      </c>
      <c r="AC3" s="0" t="inlineStr">
        <is>
          <t>tgt行 ['2', '', '', '                                                                                                                                                                                                                                                                                                                                                                                                                                                                                                                                                                                                                                                                                                                                                                                                                                                                                                                                                                                                                                                                                                                                                                                                                                                                                                                                                                                                                                                                                                                                                                                                                                                                                                                                                                                                                                                                                                                                                                                                                                                                                                                                                                                                                                                                                                                                                                                                                                                                                                                                                                                                                                                                                                                                                                                                                                                                                                                                                                                                                                                                                                                                                                                                                                                                                                                                                                                                                                                                                                                                                                                                                                                                                                                                                                                                                                                                                                                                                                                                                                                                                                                                                                                                                                                                                                                                                                                                                                                                                                                                                                                                                                                                                                                                                                                                                                                                                                                                                                                                                                                                                                                                                                                                                                                                                                                                                                                                                                                                                                                                                                                                                                                                                                                                                                                                                                                                                                                                                                                                                                                                                                                                                                                                                                                                                                                                                                                                                                                                                                                                                                                                                                                                                                                                                                                                                                                                                                                                                                                                                                                                                                                                                                                                                                                                                                                                                                                                                                                                                                                                                                                                                                                                                                                                                                                                                                                                                                                                                                                                                                                                                                                                                                                                                                                                                                                                ']列，源：None 备：512c57ed09deb3da564132dbbe7d4f86</t>
        </is>
      </c>
      <c r="AD3" s="0" t="inlineStr">
        <is>
          <t>tgt行 ['2', '']列，源：None 备：090d8bcb2d9d15c11e38e2091bef3450</t>
        </is>
      </c>
      <c r="AE3" s="0" t="inlineStr">
        <is>
          <t>tgt行 ['2', '', '', '                                                                                                                                                                                                                                                                                                                                                                                                                                                                                                                                                                                                                                                                                                                                                                                                                                                                                                                                                                                                                                                                                                                                                                                                                                                                                                                                                                                                                                                                                                                                                                                                                                                                                                                                                                                                                                                                                                                                                                                                                                                                                                                                                                                                                                                                                                                                                                                                                                                                                                                                                                                                                                                                                                                                                                                                                                                                                                                                                                                                                                                                                                                                                                                                                                                                                                                                                                                                                                                                                                                                                                                                                                                                                                                                                                                                                                                                                                                                                                                                                                                                                                                                                                                                                                                                                                                                                                                                                                                                                                                                                                                                                                                                                                                                                                                                                                                                                                                                                                                                                                                                                                                                                                                                                                                                                                                                                                                                                                                                                                                                                                                                                                                                                                                                                                                                                                                                                                                                                                                                                                                                                                                                                                                                                                                                                                                                                                                                                                                                                                                                                                                                                                                                                                                                                                                                                                                                                                                                                                                                                                                                                                                                                                                                                                                                                                                                                                                                                                                                                                                                                                                                                                                                                                                                                                                                                                                                                                                                                                                                                                                                                                                                                                                                                                                                                                                                ']列，源：None 备：512c57ed09deb3da564132dbbe7d4f86</t>
        </is>
      </c>
      <c r="AF3" s="0" t="inlineStr">
        <is>
          <t>tgt行 ['2', '', '', '                                                                                                                                                                                                                                                                                                                                                                                                                                                                                                                                                                                                                                                                                                                                                                                                                                                                                                                                                                                                                                                                                                                                                                                                                                                                                                                                                                                                                                                                                                                                                                                                                                                                                                                                                                                                                                                                                                                                                                                                                                                                                                                                                                                                                                                                                                                                                                                                                                                                                                                                                                                                                                                                                                                                                                                                                                                                                                                                                                                                                                                                                                                                                                                                                                                                                                                                                                                                                                                                                                                                                                                                                                                                                                                                                                                                                                                                                                                                                                                                                                                                                                                                                                                                                                                                                                                                                                                                                                                                                                                                                                                                                                                                                                                                                                                                                                                                                                                                                                                                                                                                                                                                                                                                                                                                                                                                                                                                                                                                                                                                                                                                                                                                                                                                                                                                                                                                                                                                                                                                                                                                                                                                                                                                                                                                                                                                                                                                                                                                                                                                                                                                                                                                                                                                                                                                                                                                                                                                                                                                                                                                                                                                                                                                                                                                                                                                                                                                                                                                                                                                                                                                                                                                                                                                                                                                                                                                                                                                                                                                                                                                                                                                                                                                                                                                                                                                ']列，源：None 备：512c57ed09deb3da564132dbbe7d4f86</t>
        </is>
      </c>
      <c r="AG3" s="0" t="inlineStr">
        <is>
          <t>tgt行 ['2', '', '', '                                                                                                                                                                                                                                                                                                                                                                                                                                                                                                                                                                                                                                                                                                                                                                                                                                                                                                                                                                                                                                                                                                                                                                                                                                                                                                                                                                                                                                                                                                                                                                                                                                                                                                                                                                                                                                                                                                                                                                                                                                                                                                                                                                                                                                                                                                                                                                                                                                                                                                                                                                                                                                                                                                                                                                                                                                                                                                                                                                                                                                                                                                                                                                                                                                                                                                                                                                                                                                                                                                                                                                                                                                                                                                                                                                                                                                                                                                                                                                                                                                                                                                                                                                                                                                                                                                                                                                                                                                                                                                                                                                                                                                                                                                                                                                                                                                                                                                                                                                                                                                                                                                                                                                                                                                                                                                                                                                                                                                                                                                                                                                                                                                                                                                                                                                                                                                                                                                                                                                                                                                                                                                                                                                                                                                                                                                                                                                                                                                                                                                                                                                                                                                                                                                                                                                                                                                                                                                                                                                                                                                                                                                                                                                                                                                                                                                                                                                                                                                                                                                                                                                                                                                                                                                                                                                                                                                                                                                                                                                                                                                                                                                                                                                                                                                                                                                                                ']列，源：None 备：512c57ed09deb3da564132dbbe7d4f86</t>
        </is>
      </c>
      <c r="AH3" s="0" t="inlineStr">
        <is>
          <t>tgt行 ['2', '']列，源：None 备：090d8bcb2d9d15c11e38e2091bef3450</t>
        </is>
      </c>
      <c r="AI3" s="0"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备：3b3144555c9a0b155cbdb06c0bbb8008</t>
        </is>
      </c>
      <c r="AJ3" s="0" t="inlineStr">
        <is>
          <t>tgt行 ['2', '', '', '                                                                                                                                                                                                                                                                                                                                                                                                                                                                                                                                                                                                                                                                                                                                                                                                                                                                                                                                                                                                                                                                                                                                                                                                                                                                                                                                                                                                                                                                                                                                                                                                                                                                                                                                                                                                                                                                                                                                                                                                                                                                                                                                                                                                                                                                                                                                                                                                                                                                                                                                                                                                                                                                                                                                                                                                                                                                                                                                                                                                                                                                                                                                                                                                                                                                                                                                                                                                                                                                                                                                                                                                                                                                                                                                                                                                                                                                                                                                                                                                                                                                                                                                                                                                                                                                                                                                                                                                                                                                                                                                                                                                                                                                                                                                                                                                                                                                                                                                                                                                                                                                                                                                                                                                                                                                                                                                                                                                                                                                                                                                                                                                                                                                                                                                                                                                                                                                                                                                                                                                                                                                                                                                                                                                                                                                                                                                                                                                                                                                                                                                                                                                                                                                                                                                                                                                                                                                                                                                                                                                                                                                                                                                                                                                                                                                                                                                                                                                                                                                                                                                                                                                                                                                                                                                                                                                                                                                                                                                                                                                                                                                                                                                                                                                                                                                                                                                ']列，源：None 备：512c57ed09deb3da564132dbbe7d4f86</t>
        </is>
      </c>
      <c r="AK3" s="0" t="inlineStr">
        <is>
          <t>tgt行 ['2', '', '', '                                                                                                                                                                                                                                                                                                                                                                                                                                                                                                                                                                                                                                                                                                                                                                                                                                                                                                                                                                                                                                                                                                                                                                                                                                                                                                                                                                                                                                                                                                                                                                                                                                                                                                                                                                                                                                                                                                                                                                                                                                                                                                                                                                                                                                                                                                                                                                                                                                                                                                                                                                                                                                                                                                                                                                                                                                                                                                                                                                                                                                                                                                                                                                                                                                                                                                                                                                                                                                                                                                                                                                                                                                                                                                                                                                                                                                                                                                                                                                                                                                                                                                                                                                                                                                                                                                                                                                                                                                                                                                                                                                                                                                                                                                                                                                                                                                                                                                                                                                                                                                                                                                                                                                                                                                                                                                                                                                                                                                                                                                                                                                                                                                                                                                                                                                                                                                                                                                                                                                                                                                                                                                                                                                                                                                                                                                                                                                                                                                                                                                                                                                                                                                                                                                                                                                                                                                                                                                                                                                                                                                                                                                                                                                                                                                                                                        ']列，源：None 备：adfc7b63a288f9e068cee3ae698e6187</t>
        </is>
      </c>
      <c r="AL3" s="0" t="inlineStr">
        <is>
          <t>tgt行 ['5', '?', '€?I€?', '€?I€?€?I€?€?I€?€?I€?€?I€?€?I€?€?I€?€?I€?€?I€?€?I€?€?I€?€?I€?€?I€?€?I€?€?I€?€?I€?€?I€?€?I€?€?I€?€?I€?€?I€?€?I€?€?I€?€?I€?€?I€?€?I€?€?I€?€?I€?€?I€?€?I€?€?I€?€?I€?€?I€?€?I€?€?I€?€?I€?€?I€?€?I€?€?I€?€?I€?€?I€?€?I€?€?I€?€?I€?€?I€?€?I€?€?I€?€?I€?€?I€?€?I€?€?I€?€?I€?€?I€?€?I€?€?I€?€?I€?€?I€?€?I€?€?I€?€?I€?€?I€?€?I€?€?I€?€?I€?€?I€?€?I€?€?I€?€?I€?€?I€?€?I€?€?I€?€?I€?€?I€?€?I€?€?I€?€?I€?€?I€?€?I€?€?I€?€?I€?€?I€?€?I€?€?I€?€?I€?€?I€?€?I€?€?I€?€?I€?€?I€?€?I€?€?I€?€?I€?€?I€?€?I€?€?I€?€?I€?€?I€?€?I€?€?I€?€?I€?€?I€?€?I€?€?I€?€?I€?€?I€?€?I€?€?I€?€?I€?€?I€?€?I€?€?I€?€?I€?€?I€?€?I€?€?I€?€?I€?€?I€?€?I€?€?I€?€?I€?€?I€?€?I€?€?I€?€?I€?€?I€?€?I€?€?I€?€?I€?€?I€?€?I€?€?I€?€?I€?€?I€?€?I€?€?I€?€?I€?€?I€?€?I€?€?I€?€?I€?€?I€?€?I€?€?I€?€?I€?€?I€?€?I€?€?I€?€?I€?€?I€?€?I€?€?I€?€?I€?€?I€?€?I€?€?I€?€?I€?€?I€?€?I€?€?I€?€?I€?€?I€?€?I€?€?I€?€?I€?€?I€?€?I€?€?I€?€?I€?€?I€?€?I€?€?I€?€?I€?€?I€?€?I€?€?I€?€?I€?€?I€?€?I€?€?I€?€?I€?€?I€?€?I€?€?I€?€?I€?€?I€?€?I€?€?I€?€?I€?€?I€?€?I€?€?I€?€?I€?€?I€?€?I€?€?I€?€?I€?€?I€?€?I€?€?I€?€?I€?                                                                                                                                                                                                                                                                                                                                                                                                                                                                                                                                                                                                                                                                                                                                                                                                                                                                                                                                                                                                                                                                                                                                                                                                                                                                                                                                                                                                                                                                                                                                                                                                                                                                                                                                                                                                                                                                                                                                                                                                                                                                                                                                                                                                                                                                                                                                                                                                                                                                                                                                                                                                                                                                                                                                                                                                                                                                                                                                                                                                                                                                                                                                                                                                                                                                                                                                                                                                                                                                                                                                                                                                                                                                                                                                                                                                                                                                                                                                                                                                                                                                                                                                                                                                                                                                                                                                                                                                                                                                                                                                                                                                                                                                                                                                                                                                                                                                                                                                                                                                                                                                                                                                                                                                                                                                                                                                                                                                                                                                                                                                                                                                                                                                                                                                                                                                                                                                                                                                                                                                                                                                                                                                                                                                                                                ']列，源：None 备：e52368c97be94176db16aab6e322b0ee</t>
        </is>
      </c>
      <c r="AM3" s="0" t="inlineStr">
        <is>
          <t>tgt行 ['2', '', '', '                                                                                                                                                                                                                                                                                                                                                                                                                                                                                                                                                                                                                                                                                                                                                                                                                                                                                                                                                                                                                                                                                                                                                                                                                                                                                                                                                                                                                                                                                                                                                                                                                                                                                                                                                                                                                                                                                                                                                                                                                                                                                                                                                                                                                                                                                                                                                                                                                                                                                                                                                                                                                                                                                                                                                                                                                                                                                                                                                                                                                                                                                                                                                                                                                                                                                                                                                                                                                                                                                                                                                                                                                                                                                                                                                                                                                                                                                                                                                                                                                                                                                                                                                                                                                                                                                                                                                                                                                                                                                                                                                                                                                                                                                                                                                                                                                                                                                                                                                                                                                                                                                                                                                                                                                                                                                                                                                                                                                                                                                                                                                                                                                                                                                                                                                                                                                                                                                                                                                                                                                                                                                                                                                                                                                                                                                                                                                                                                                                                                                                                                                                                                                                                                                                                                                                                                                                                                                                                                                                                                                                                                                                                                                                                                                                                                                        ']列，源：None 备：adfc7b63a288f9e068cee3ae698e6187</t>
        </is>
      </c>
      <c r="AN3" s="0" t="inlineStr">
        <is>
          <t>tgt行 ['1',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备：9c0c81ffb8197d54f21ae2b3324da22d</t>
        </is>
      </c>
      <c r="AO3" s="0" t="inlineStr">
        <is>
          <t>tgt行 ['2', '', '', '                                                                                                                                                                                                                                                                                                                                                                                                                                                                                                                                                                                                                                                                                                                                                                                                                                                                                                                                                                                                                                                                                                                                                                                                                                                                                                                                                                                                                                                                                                                                                                                                                                                                                                                                                                                                                                                                                                                                                                                                                                                                                                                                                                                                                                                                                                                                                                                                                                                                                                                                                                                                                                                                                                                                                                                                                                                                                                                                                                                                                                                                                                                                                                                                                                                                                                                                                                                                                                                                                                                                                                                                                                                                                                                                                                                                                                                                                                                                                                                                                                                                                                                                                                ']列，源：None 备：9724bd9cb33efa4e9e97a4b69ab3e9c9</t>
        </is>
      </c>
      <c r="AP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Q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R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S3" s="0"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备：d88ce31dd320460aa584642750fac856</t>
        </is>
      </c>
      <c r="AT3" s="0" t="inlineStr">
        <is>
          <t>tgt行 ['2', '', '', '                                                                                                                                                                                                                                                                                                                                                                                                                                                                                                                                                                                                                                                                                                                                                                                                                                                                                                                                                                                                                                                                                                                                                                                                                                                                                                                                                                                                                                                                                                                                                                                                                                                                                                                                                                                                                                                                                                                                                                                                                                                                                                                                                                                                                                                                                                                                                                                                                                                                                                                                                                                                                                                                                                                                                                                                                                                                                                                                                                                                                                                                                                                                                                                                                                                                                                                                                                                                                                                                                                                                                                                                                                            ']列，源：None 备：0bb8f1d20540822f7cd467954d7939b9</t>
        </is>
      </c>
      <c r="AU3" s="0" t="inlineStr">
        <is>
          <t>tgt行 ['2', '', '', '                                                                                                                                                                                                                                                                                                                                                                                                                                                                                                                                                                                                                                                                                                                                                                                                                                                                                                                                                                                                                                                                                                                                                                                                                                                                                                                                                                                                                                                                                                                                                                                                                                                                                                                                                                                                                                                                                                                                                                                                                                                                                                                                                                                                                                                                                                                                                                                                                                                                                                                                                                                                                                                                                                                                                                                                                                                                                                                                                                                                                                                                                                                                                                                                                                                                                                                                                                                                                                                                                                                                                                                                                                                                                                                                                                                                                                                                                                                                                                                                                                                                                                                                                                ']列，源：None 备：9724bd9cb33efa4e9e97a4b69ab3e9c9</t>
        </is>
      </c>
      <c r="AV3" s="0" t="inlineStr">
        <is>
          <t>tgt行 ['2', '', '', '                                                                                                                                                                                                                                                                                                                                                                                                                                                                                                                                                                                                                                                                                                                                                                                                                                                                                                                                                                                                                                                                                                                                                                                                                                                                                                                                                                                                                                                                                                                                                                                                                                                                                                                                                                                                                                                                                                                                                                                                                                                                                                                                                                                                                                                                                                                                                                                                                                                                                                                                                                                                                                                                                                                                                                                                                                                                                                                                                                                                                                                                                                                                                                                                                                                                                                                                                                                                                                                                                                                                                                                                                                            ']列，源：None 备：0bb8f1d20540822f7cd467954d7939b9</t>
        </is>
      </c>
      <c r="AW3" s="0" t="inlineStr">
        <is>
          <t>tgt行 ['2', '2020-02-29 00:00', '2026-05-18 23:59', '2046-05-11 14:30', '1971-05-11 00:00+14:00', '0', '-32768', '-2147483648', '2023-10-01 14:30', '-3.4e+38', '-922337203685477.5808', '9999-12-30 23:59', '-1.79e+308', '0', '-1000000000000000', 'A7B0C3D4-E8F9-4A5B-6C7D-8E9F0A1B2C3D', '2026-05-18 21:47', '-9223372036854775808', '0x3132333435363738393031323334353637383930', '$TooLong英255Val方&amp;', '0xC9CFBAA3D3A2B7BDC8EDBCFEB9C9B7DDB9ABCBBE', '$TooLong英255Val方&amp; ', '$TooLong英255Val方&amp;', '$TooLong英255Val方&amp;   ']列，源：None 备：332fc1fd09bac9212ea78b7aaca8162e</t>
        </is>
      </c>
      <c r="AX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Y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Z3" s="0" t="inlineStr">
        <is>
          <t>tgt行 ['1', '2046-05-11 00:00', '2026-05-18 18:10', '2012-05-11 14:30', '1999-05-11 15:30+01:00', '255', '32767', '2147483647', '2012-10-01 14:30', '0', '922337203685477.5807', '2000-05-01 23:59', '6.62607e-34', '1', '123456789012.1234', 'B6B0C3D4-E8F9-4A5B-6C7D-8E9F0A1B2C3E', '1234.5678', '1234567890123', '0x7661726961626C65206C656E6774682062696E61', '这是一个中文字符串', '0xC9CFBAA32324255E262A2D3D0000000000000000', '*TEST英255Val方&amp;    ', '*TEST英255Val方&amp;', '&amp;TooLong英255Val方!   ']列，源：None 备：692ae6ff0cbab19aa5c43e171371dec9</t>
        </is>
      </c>
      <c r="BA3" s="0"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备：d88ce31dd320460aa584642750fac856</t>
        </is>
      </c>
      <c r="BB3" s="0" t="inlineStr">
        <is>
          <t>tgt行 ['2', '', '', '                                                                                                                                                                                                                                                                                                                                                                                                                                                                                                                                                                                                                                                                                                                                                                                                                                                                                                                                                                                                                                                                                                                                                                                                                                                                                                                                                                                                                                                                                                                                                                                                                                                                                                                                                                                                                                                                                                                                                                                                                                                                                                                                                                                                                                                                                                                                                                                                                                                                                                                                                                                                                                                                                                                                                                                                                                                                                                                                                                                                                                                                                                                                                                                                                                                                                                                                                                                                                                                                                                                                                                                                                                            ']列，源：None 备：0bb8f1d20540822f7cd467954d7939b9</t>
        </is>
      </c>
      <c r="BC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D3" s="0" t="inlineStr">
        <is>
          <t>tgt行 ['2', '', '', '                                                                                                                                                                                                                                                                                                                                                                                                                                                                                                                                                                                                                                                                                                                                                                                                                                                                                                                                                                                                                                                                                                                                                                                                                                                                                                                                                                                                                                                                                                                                                                                                                                                                                                                                                                                                                                                                                                                                                                                                                                                                                                                                                                                                                                                                                                                                                                                                                                                                                                                                                                                                                                                                                                                                                                                                                                                                                                                                                                                                                                                                                                                                                                                                                                                                                                                                                                                                                                                                                                                                                                                                                                            ']列，源：None 备：0bb8f1d20540822f7cd467954d7939b9</t>
        </is>
      </c>
      <c r="BE3" s="0" t="inlineStr">
        <is>
          <t>tgt行 ['3', '2034-02-21 00:00', '2026-05-18 03:59', '2012-05-11 14:30', '1991-05-11 00:00+14:00', '10', '-12768', '-147483648', '2013-10-01 14:30', '-1.4e+38', '-122337203685477.5808', '1999-12-30 23:59', '-1.79e+30', '1', '-2000000000000', 'C1B0C3D4-E8F9-4A5B-6C7D-8E9F0A1B2C3D', '2026-05-18 11:47', '-1223372036854775808', '0x31313131313031323334353637383930', '!TooLong英255Val方&amp;', '0x4023D3A2B7BDC8EDBCFEB9C9B7DDB9ABCBBE0000', '*TooLong英255Val方&amp; ', '~Long英255Val方&amp;', '`Long英255Val方&amp;      ']列，源：None 备：3e59b79f8be264751b658bcb33950020</t>
        </is>
      </c>
      <c r="BF3" s="0" t="inlineStr">
        <is>
          <t>tgt行 ['4', '2054-02-21 00:00', '2026-05-18 23:19', '2002-05-11 14:30', '1991-05-11 00:00+14:00', '77', '1768-05-18 00:00', '-17483648', '2023-09-01 14:30', '-1.4e+38', '-12337203685477.5808', '1995-12-30 23:59', '-1.79e+30', '0', '-2000000000000', 'C1B0C3D4-E8F9-4A5B-6C7D-8E9F0A1B2C3D', '2026-05-18 11:47', '-1223372036854775808', '0x31313131313031323334353637383930', '!TooLong英255Val方&amp;', '0x4023D3A2B7BDC8EDBCFEB9C9B7DDB9ABCBBE0000', '*TooLong英255Val方&amp; ', '~Long英255Val方&amp;', '`Long英255Val方&amp;      ']列，源：None 备：e17954198590d58493e48f75a916dc3f</t>
        </is>
      </c>
      <c r="BG3" s="0" t="inlineStr">
        <is>
          <t>tgt行 ['2', '', '', '                                                                                                                                                                                                                                                                                                                                                                                                                                                                                                                                                                                                                                                                                                                                                                                                                                                                                                                                                                                                                                                                                                                                                                                                                                                                                                                                                                                                                                                                                                                                                                                                                                                                                                                                                                                                                                                                                                                                                                                                                                                                                                                                                                                                                                                                                                                                                                                                                                                                                                                                                                                                                                                                                                                                                                                                                                                                                                                                                                                                                                                                                                                                                                                                                                                                                                                                                                                                                                                                                                                                                                                                                                                                                                                                                                                                                                                                                                                                                                                                                                                                                                                                                                ']列，源：None 备：9724bd9cb33efa4e9e97a4b69ab3e9c9</t>
        </is>
      </c>
      <c r="BH3" s="0" t="inlineStr">
        <is>
          <t>tgt行 ['2', '', '', '                                                                                                                                                                                                                                                                                                                                                                                                                                                                                                                                                                                                                                                                                                                                                                                                                                                                                                                                                                                                                                                                                                                                                                                                                                                                                                                                                                                                                                                                                                                                                                                                                                                                                                                                                                                                                                                                                                                                                                                                                                                                                                                                                                                                                                                                                                                                                                                                                                                                                                                                                                                                                                                                                                                                                                                                                                                                                                                                                                                                                                                                                                                                                                                                                                                                                                                                                                                                                                                                                                                                                                                                                                            ']列，源：None 备：0bb8f1d20540822f7cd467954d7939b9</t>
        </is>
      </c>
      <c r="BI3" s="0" t="inlineStr">
        <is>
          <t>tgt行 ['2', '2020-02-29 00:00', '2026-05-18 23:59', '2046-05-11 14:30', '1971-05-11 00:00+14:00', '0', '-32768', '-2147483648', '2023-10-01 14:30', '-3.4e+38', '-922337203685477.5808', '9999-12-30 23:59', '-1.79e+308', '0', '-1000000000000000', 'A7B0C3D4-E8F9-4A5B-6C7D-8E9F0A1B2C3D', '2026-05-18 21:47', '-9223372036854775808', '0x3132333435363738393031323334353637383930', '$TooLong英255Val方&amp;', '0xC9CFBAA3D3A2B7BDC8EDBCFEB9C9B7DDB9ABCBBE', '$TooLong英255Val方&amp; ', '$TooLong英255Val方&amp;', '$TooLong英255Val方&amp;   ']列，源：None 备：332fc1fd09bac9212ea78b7aaca8162e</t>
        </is>
      </c>
      <c r="BJ3" s="0" t="inlineStr">
        <is>
          <t>tgt行 ['2', '', '', '                                                                                                                                                                                                                                                                                                                                                                                                                                                                                                                                                                                                                                                                                                                                                                                                                                                                                                                                                                                                                                                                                                                                                                                                                                                                                                                                                                                                                                                                                                                                                                                                                                                                                                                                                                                                                                                                                                                                                                                                                                                                                                                                                                                                                                                                                                                                                                                                                                                                                                                                                                                                                                                                                                                                                                                                                                                                                                                                                                                                                                                                                                                                                                                                                                                                                                                                                                                                                                                                                                                                                                                                                                            ']列，源：None 备：0bb8f1d20540822f7cd467954d7939b9</t>
        </is>
      </c>
      <c r="BK3" s="0" t="inlineStr">
        <is>
          <t>tgt行 ['1', '2046-05-11 00:00', '2026-05-18 18:10', '2012-05-11 14:30', '1999-05-11 15:30+01:00', '255', '32767', '2147483647', '2012-10-01 14:30', '0', '922337203685477.5807', '2000-05-01 23:59', '6.62607e-34', '1', '123456789012.1234', 'B6B0C3D4-E8F9-4A5B-6C7D-8E9F0A1B2C3E', '1234.5678', '1234567890123', '0x7661726961626C65206C656E6774682062696E61', '这是一个中文字符串', '0xC9CFBAA32324255E262A2D3D0000000000000000', '*TEST英255Val方&amp;    ', '*TEST英255Val方&amp;', '&amp;TooLong英255Val方!   ']列，源：None 备：692ae6ff0cbab19aa5c43e171371dec9</t>
        </is>
      </c>
      <c r="BL3" s="0" t="inlineStr">
        <is>
          <t>tgt行 ['3', '2034-02-21 00:00', '2026-05-18 03:59', '2012-05-11 14:30', '1991-05-11 00:00+14:00', '10', '-12768', '-147483648', '2013-10-01 14:30', '-1.4e+38', '-122337203685477.5808', '1999-12-30 23:59', '-1.79e+30', '1', '-2000000000000', 'C1B0C3D4-E8F9-4A5B-6C7D-8E9F0A1B2C3D', '2026-05-18 11:47', '-1223372036854775808', '0x31313131313031323334353637383930', '!TooLong英255Val方&amp;', '0x4023D3A2B7BDC8EDBCFEB9C9B7DDB9ABCBBE0000', '*TooLong英255Val方&amp; ', '~Long英255Val方&amp;', '`Long英255Val方&amp;      ']列，源：None 备：3e59b79f8be264751b658bcb33950020</t>
        </is>
      </c>
      <c r="BM3" s="0" t="inlineStr">
        <is>
          <t>tgt行 ['22', '', '', '                                                                                                                                                                                                                                                                                                                                                                                                                                                                                                                                                                                                                                                                                                                                                                                                                                                                                                                                                                                                                                                                                                                                                                                                                                                                                                                                                                                                                                                                                                                                                                                                                                                                                                                                                                                                                                                                                                                                                                                                                                                                                                                                                                                                                                                                                                                                                                                                                                                                                                                                                                                                                                                                                                                                                                                                                                                                                                                                                                                                                                                                                                                                                                                                                                                                                                                                                                                                                                                                                                                                                                                                                                            ']列，源：None 备：44ebbbfc115541cbff55869bde0f90ec</t>
        </is>
      </c>
      <c r="BN3" s="0" t="inlineStr">
        <is>
          <t>tgt行 ['4', '2054-02-21 00:00', '2026-05-18 23:19', '2002-05-11 14:30', '1991-05-11 00:00+14:00', '77', '1768-05-18 00:00', '-17483648', '2023-09-01 14:30', '-1.4e+38', '-12337203685477.5808', '1995-12-30 23:59', '-1.79e+30', '0', '-2000000000000', 'C1B0C3D4-E8F9-4A5B-6C7D-8E9F0A1B2C3D', '2026-05-18 11:47', '-1223372036854775808', '0x31313131313031323334353637383930', '!TooLong英255Val方&amp;', '0x4023D3A2B7BDC8EDBCFEB9C9B7DDB9ABCBBE0000', '*TooLong英255Val方&amp; ', '~Long英255Val方&amp;', '`Long英255Val方&amp;      ']列，源：None 备：e17954198590d58493e48f75a916dc3f</t>
        </is>
      </c>
      <c r="BO3" s="0"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备：d88ce31dd320460aa584642750fac856</t>
        </is>
      </c>
      <c r="BP3" s="0" t="inlineStr">
        <is>
          <t>tgt行 ['1',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备：fe445427715721eca4f4023b63071806</t>
        </is>
      </c>
      <c r="BQ3" s="0" t="inlineStr">
        <is>
          <t>tgt行 ['2', '', '', '                                                                                                                                                                                                                                                                                                                                                                                                                                                                                                                                                                                                                                                                                                                                                                                                                                                                                                                                                                                                                                                                                                                                                                                                                                                                                                                                                                                                                                                                                                                                                                                                                                                                                                                                                                                                                                                                                                                                                                                                                                                                                                                                                                                                                                                                                                                                                                                                                                                                                                                                                                                                                                                                                                                                                                                                                                                                                                                                                                                                                                                                                                                                                                                                                                                                                                                                                                                                                                                                                                                                                                                                                                            ']列，源：None 备：0bb8f1d20540822f7cd467954d7939b9</t>
        </is>
      </c>
      <c r="BR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S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T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U3" s="0"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row>
    <row r="4">
      <c r="B4" s="0" t="inlineStr">
        <is>
          <t>YES</t>
        </is>
      </c>
      <c r="C4" s="0" t="inlineStr">
        <is>
          <t>NULL</t>
        </is>
      </c>
      <c r="D4" s="0" t="inlineStr">
        <is>
          <t>NULL</t>
        </is>
      </c>
      <c r="E4" s="0" t="inlineStr">
        <is>
          <t>NULL</t>
        </is>
      </c>
      <c r="F4" s="0" t="inlineStr">
        <is>
          <t>NULL</t>
        </is>
      </c>
      <c r="G4" s="0" t="inlineStr">
        <is>
          <t>NULL</t>
        </is>
      </c>
      <c r="H4" s="0" t="inlineStr">
        <is>
          <t>NULL</t>
        </is>
      </c>
      <c r="I4" s="0" t="inlineStr">
        <is>
          <t>YES!PK__info_tim__3213E83F6B8886E9</t>
        </is>
      </c>
      <c r="J4" s="0" t="inlineStr">
        <is>
          <t>YES! 主键相关索引</t>
        </is>
      </c>
      <c r="K4" s="0" t="inlineStr">
        <is>
          <t>YES! 	 id列源备映射正确，源端为int None位	期望更改为int	实际备端为int None位</t>
        </is>
      </c>
      <c r="Y4" s="0" t="inlineStr">
        <is>
          <t>tgt行 ['3', '', '', '                                                                                                                                                                                                                                                                                                                                                                                                                                                                                                                                                                                                                                                                                                                                                                                                                                                                                                                                                                                                                                                                                                                                                                                                                                                                                                                                                                                                                                                                                                                                                                                                                                                                                                                                                                                                                                                                                                                                                                                                                                                                                                                                                                                                                                                                                                                                                                                                                                                                                                                                                                                                                                                                                                                                                                                                                                                                                                                                                                                                                                                                                                                                                                                                                                                                                                                                                                                                                                                                                                                                                                                                                                                                                                                                                                                                                                                                                                                                                                                                                                                                                                                                                                                                                                                                                                                                                                                                                                                                                                                                                                                                                                                                                                                                                                                                                                                                                                                                                                                                                                                                                                                                                                                                                                                                                                                                                                                                                                                                                                                                                                                                                                                                                                                                                                                                                                                                                                                                                                                                                                                                                                                                                                                                                                                                                                                                                                                                                                                                                                                                                                                                                                                                                                                                                                                                                                                                                                                                                                                                                                                                                                                                                                                                                                                                                                                                                                                                                                                                                                                                                                                                                                                                                                                                                                                                                                                                                                                                                                                                                                                                                                                                                                                                                                                                                                                                ']列，源：None 备：b04285f5f4cda3087283e5bf12a63f6d</t>
        </is>
      </c>
      <c r="Z4" s="0" t="inlineStr">
        <is>
          <t>tgt行 ['4', '', '', '                                                                                                                                                                                                                                                                                                                                                                                                                                                                                                                                                                                                                                                                                                                                                                                                                                                                                                                                                                                                                                                                                                                                                                                                                                                                                                                                                                                                                                                                                                                                                                                                                                                                                                                                                                                                                                                                                                                                                                                                                                                                                                                                                                                                                                                                                                                                                                                                                                                                                                                                                                                                                                                                                                                                                                                                                                                                                                                                                                                                                                                                                                                                                                                                                                                                                                                                                                                                                                                                                                                                                                                                                                                                                                                                                                                                                                                                                                                                                                                                                                                                                                                                                                                                                                                                                                                                                                                                                                                                                                                                                                                                                                                                                                                                                                                                                                                                                                                                                                                                                                                                                                                                                                                                                                                                                                                                                                                                                                                                                                                                                                                                                                                                                                                                                                                                                                                                                                                                                                                                                                                                                                                                                                                                                                                                                                                                                                                                                                                                                                                                                                                                                                                                                                                                                                                                                                                                                                                                                                                                                                                                                                                                                                                                                                                                                        ']列，源：None 备：6513d7866b5552d16b48bd1761452a95</t>
        </is>
      </c>
      <c r="AA4" s="0" t="inlineStr">
        <is>
          <t>tgt行 ['2', '', '', '                                                                                                                                                                                                                                                                                                                                                                                                                                                                                                                                                                                                                                                                                                                                                                                                                                                                                                                                                                                                                                                                                                                                                                                                                                                                                                                                                                                                                                                                                                                                                                                                                                                                                                                                                                                                                                                                                                                                                                                                                                                                                                                                                                                                                                                                                                                                                                                                                                                                                                                                                                                                                                                                                                                                                                                                                                                                                                                                                                                                                                                                                                                                                                                                                                                                                                                                                                                                                                                                                                                                                                                                                                                                                                                                                                                                                                                                                                                                                                                                                                                                                                                                                                                                                                                                                                                                                                                                                                                                                                                                                                                                                                                                                                                                                                                                                                                                                                                                                                                                                                                                                                                                                                                                                                                                                                                                                                                                                                                                                                                                                                                                                                                                                                                                                                                                                                                                                                                                                                                                                                                                                                                                                                                                                                                                                                                                                                                                                                                                                                                                                                                                                                                                                                                                                                                                                                                                                                                                                                                                                                                                                                                                                                                                                                                                                        ']列，源：None 备：adfc7b63a288f9e068cee3ae698e6187</t>
        </is>
      </c>
      <c r="AB4" s="0" t="inlineStr">
        <is>
          <t>tgt行 ['4', '', '', '                                                                                                                                                                                                                                                                                                                                                                                                                                                                                                                                                                                                                                                                                                                                                                                                                                                                                                                                                                                                                                                                                                                                                                                                                                                                                                                                                                                                                                                                                                                                                                                                                                                                                                                                                                                                                                                                                                                                                                                                                                                                                                                                                                                                                                                                                                                                                                                                                                                                                                                                                                                                                                                                                                                                                                                                                                                                                                                                                                                                                                                                                                                                                                                                                                                                                                                                                                                                                                                                                                                                                                                                                                                                                                                                                                                                                                                                                                                                                                                                                                                                                                                                                                                                                                                                                                                                                                                                                                                                                                                                                                                                                                                                                                                                                                                                                                                                                                                                                                                                                                                                                                                                                                                                                                                                                                                                                                                                                                                                                                                                                                                                                                                                                                                                                                                                                                                                                                                                                                                                                                                                                                                                                                                                                                                                                                                                                                                                                                                                                                                                                                                                                                                                                                                                                                                                                                                                                                                                                                                                                                                                                                                                                                                                                                                                                        ']列，源：None 备：6513d7866b5552d16b48bd1761452a95</t>
        </is>
      </c>
      <c r="AC4" s="0" t="inlineStr">
        <is>
          <t>tgt行 ['3', '', '', '                                                                                                                                                                                                                                                                                                                                                                                                                                                                                                                                                                                                                                                                                                                                                                                                                                                                                                                                                                                                                                                                                                                                                                                                                                                                                                                                                                                                                                                                                                                                                                                                                                                                                                                                                                                                                                                                                                                                                                                                                                                                                                                                                                                                                                                                                                                                                                                                                                                                                                                                                                                                                                                                                                                                                                                                                                                                                                                                                                                                                                                                                                                                                                                                                                                                                                                                                                                                                                                                                                                                                                                                                                                                                                                                                                                                                                                                                                                                                                                                                                                                                                                                                                                                                                                                                                                                                                                                                                                                                                                                                                                                                                                                                                                                                                                                                                                                                                                                                                                                                                                                                                                                                                                                                                                                                                                                                                                                                                                                                                                                                                                                                                                                                                                                                                                                                                                                                                                                                                                                                                                                                                                                                                                                                                                                                                                                                                                                                                                                                                                                                                                                                                                                                                                                                                                                                                                                                                                                                                                                                                                                                                                                                                                                                                                                                                                                                                                                                                                                                                                                                                                                                                                                                                                                                                                                                                                                                                                                                                                                                                                                                                                                                                                                                                                                                                                                ']列，源：None 备：b04285f5f4cda3087283e5bf12a63f6d</t>
        </is>
      </c>
      <c r="AD4" s="0" t="inlineStr">
        <is>
          <t>tgt行 ['5', '']列，源：None 备：82374ec1090b34777f1263e34f705522</t>
        </is>
      </c>
      <c r="AE4" s="0" t="inlineStr">
        <is>
          <t>tgt行 ['3', '', '', '                                                                                                                                                                                                                                                                                                                                                                                                                                                                                                                                                                                                                                                                                                                                                                                                                                                                                                                                                                                                                                                                                                                                                                                                                                                                                                                                                                                                                                                                                                                                                                                                                                                                                                                                                                                                                                                                                                                                                                                                                                                                                                                                                                                                                                                                                                                                                                                                                                                                                                                                                                                                                                                                                                                                                                                                                                                                                                                                                                                                                                                                                                                                                                                                                                                                                                                                                                                                                                                                                                                                                                                                                                                                                                                                                                                                                                                                                                                                                                                                                                                                                                                                                                                                                                                                                                                                                                                                                                                                                                                                                                                                                                                                                                                                                                                                                                                                                                                                                                                                                                                                                                                                                                                                                                                                                                                                                                                                                                                                                                                                                                                                                                                                                                                                                                                                                                                                                                                                                                                                                                                                                                                                                                                                                                                                                                                                                                                                                                                                                                                                                                                                                                                                                                                                                                                                                                                                                                                                                                                                                                                                                                                                                                                                                                                                                                                                                                                                                                                                                                                                                                                                                                                                                                                                                                                                                                                                                                                                                                                                                                                                                                                                                                                                                                                                                                                                ']列，源：None 备：b04285f5f4cda3087283e5bf12a63f6d</t>
        </is>
      </c>
      <c r="AF4" s="0" t="inlineStr">
        <is>
          <t>tgt行 ['3',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备：805569f5c382c6c26ac5c12b129ecfed</t>
        </is>
      </c>
      <c r="AG4" s="0" t="inlineStr">
        <is>
          <t>tgt行 ['3',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备：805569f5c382c6c26ac5c12b129ecfed</t>
        </is>
      </c>
      <c r="AH4" s="0" t="inlineStr">
        <is>
          <t>tgt行 ['5', '']列，源：None 备：82374ec1090b34777f1263e34f705522</t>
        </is>
      </c>
      <c r="AI4" s="0" t="inlineStr">
        <is>
          <t>tgt行 ['2', '', '', '                                                                                                                                                                                                                                                                                                                                                                                                                                                                                                                                                                                                                                                                                                                                                                                                                                                                                                                                                                                                                                                                                                                                                                                                                                                                                                                                                                                                                                                                                                                                                                                                                                                                                                                                                                                                                                                                                                                                                                                                                                                                                                                                                                                                                                                                                                                                                                                                                                                                                                                                                                                                                                                                                                                                                                                                                                                                                                                                                                                                                                                                                                                                                                                                                                                                                                                                                                                                                                                                                                                                                                                                                                                                                                                                                                                                                                                                                                                                                                                                                                                                                                                                                                                                                                                                                                                                                                                                                                                                                                                                                                                                                                                                                                                                                                                                                                                                                                                                                                                                                                                                                                                                                                                                                                                                                                                                                                                                                                                                                                                                                                                                                                                                                                                                                                                                                                                                                                                                                                                                                                                                                                                                                                                                                                                                                                                                                                                                                                                                                                                                                                                                                                                                                                                                                                                                                                                                                                                                                                                                                                                                                                                                                                                                                                                                                        ']列，源：None 备：adfc7b63a288f9e068cee3ae698e6187</t>
        </is>
      </c>
      <c r="AJ4" s="0" t="inlineStr">
        <is>
          <t>tgt行 ['3',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备：805569f5c382c6c26ac5c12b129ecfed</t>
        </is>
      </c>
      <c r="AK4" s="0" t="inlineStr">
        <is>
          <t>tgt行 ['4', '', '', '                                                                                                                                                                                                                                                                                                                                                                                                                                                                                                                                                                                                                                                                                                                                                                                                                                                                                                                                                                                                                                                                                                                                                                                                                                                                                                                                                                                                                                                                                                                                                                                                                                                                                                                                                                                                                                                                                                                                                                                                                                                                                                                                                                                                                                                                                                                                                                                                                                                                                                                                                                                                                                                                                                                                                                                                                                                                                                                                                                                                                                                                                                                                                                                                                                                                                                                                                                                                                                                                                                                                                                                                                                                                                                                                                                                                                                                                                                                                                                                                                                                                                                                                                                                                                                                                                                                                                                                                                                                                                                                                                                                                                                                                                                                                                                                                                                                                                                                                                                                                                                                                                                                                                                                                                                                                                                                                                                                                                                                                                                                                                                                                                                                                                                                                                                                                                                                                                                                                                                                                                                                                                                                                                                                                                                                                                                                                                                                                                                                                                                                                                                                                                                                                                                                                                                                                                                                                                                                                                                                                                                                                                                                                                                                                                                                                                        ']列，源：None 备：6513d7866b5552d16b48bd1761452a95</t>
        </is>
      </c>
      <c r="AL4" s="0" t="inlineStr">
        <is>
          <t>tgt行 ['6', '&amp;', '测试数据更新', '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                                                                                                                                                                                                                                                                                                                                                                                                                                                                                                                                                                                                                                                                                                                                                                                                                                                                                                                                                                                                                                                                                                                                                                                                                                                                                                                                                                                                                                                                                                                                                                                                                                                                                                                                                                                                                                                                                                                                                                                                                                                                                                                                                                                                                                                                                                                                                                                                                                                                                                                                                                                                                                                                                                                                                                                                                                                                                                                                                                                                                                                                                                                                                                                                                                                                                                                                                                                                                                                                                                                                                                                                                                                                                                                                                                                                                                                                                                                                                                                                                                                                                                                                                                                                                                                                                                                                                                                                                                                                                                                                                                                                                                                                                                                                                                                                                                                                                                                                                                                                                                                                                                                                                                                                                                                                                                                                                                                                                                                                                                                                                                                                                        ']列，源：None 备：5f036ee200915992e342518957ae7f34</t>
        </is>
      </c>
      <c r="AM4" s="0" t="inlineStr">
        <is>
          <t>tgt行 ['4', '', '', '                                                                                                                                                                                                                                                                                                                                                                                                                                                                                                                                                                                                                                                                                                                                                                                                                                                                                                                                                                                                                                                                                                                                                                                                                                                                                                                                                                                                                                                                                                                                                                                                                                                                                                                                                                                                                                                                                                                                                                                                                                                                                                                                                                                                                                                                                                                                                                                                                                                                                                                                                                                                                                                                                                                                                                                                                                                                                                                                                                                                                                                                                                                                                                                                                                                                                                                                                                                                                                                                                                                                                                                                                                                                                                                                                                                                                                                                                                                                                                                                                                                                                                                                                                                                                                                                                                                                                                                                                                                                                                                                                                                                                                                                                                                                                                                                                                                                                                                                                                                                                                                                                                                                                                                                                                                                                                                                                                                                                                                                                                                                                                                                                                                                                                                                                                                                                                                                                                                                                                                                                                                                                                                                                                                                                                                                                                                                                                                                                                                                                                                                                                                                                                                                                                                                                                                                                                                                                                                                                                                                                                                                                                                                                                                                                                                                                        ']列，源：None 备：6513d7866b5552d16b48bd1761452a95</t>
        </is>
      </c>
      <c r="AN4" s="0" t="inlineStr">
        <is>
          <t>tgt行 ['2',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备：80a7c21f149b685a1d09c3f1c08f4f53</t>
        </is>
      </c>
      <c r="AO4" s="0" t="inlineStr">
        <is>
          <t>tgt行 ['3', '', '', '                                                                                                                                                                                                                                                                                                                                                                                                                                                                                                                                                                                                                                                                                                                                                                                                                                                                                                                                                                                                                                                                                                                                                                                                                                                                                                                                                                                                                                                                                                                                                                                                                                                                                                                                                                                                                                                                                                                                                                                                                                                                                                                                                                                                                                                                                                                                                                                                                                                                                                                                                                                                                                                                                                                                                                                                                                                                                                                                                                                                                                                                                                                                                                                                                                                                                                                                                                                                                                                                                                                                                                                                                                                                                                                                                                                                                                                                                                                                                                                                                                                                                                                                                                ']列，源：None 备：609526bd7fff80e130c30b94dbb52acf</t>
        </is>
      </c>
      <c r="AP4"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Q4"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R4"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S4" s="0" t="inlineStr">
        <is>
          <t>tgt行 ['2', '', '', '                                                                                                                                                                                                                                                                                                                                                                                                                                                                                                                                                                                                                                                                                                                                                                                                                                                                                                                                                                                                                                                                                                                                                                                                                                                                                                                                                                                                                                                                                                                                                                                                                                                                                                                                                                                                                                                                                                                                                                                                                                                                                                                                                                                                                                                                                                                                                                                                                                                                                                                                                                                                                                                                                                                                                                                                                                                                                                                                                                                                                                                                                                                                                                                                                                                                                                                                                                                                                                                                                                                                                                                                                                            ']列，源：None 备：0bb8f1d20540822f7cd467954d7939b9</t>
        </is>
      </c>
      <c r="AT4" s="0" t="inlineStr">
        <is>
          <t>tgt行 ['4', '', '', '                                                                                                                                                                                                                                                                                                                                                                                                                                                                                                                                                                                                                                                                                                                                                                                                                                                                                                                                                                                                                                                                                                                                                                                                                                                                                                                                                                                                                                                                                                                                                                                                                                                                                                                                                                                                                                                                                                                                                                                                                                                                                                                                                                                                                                                                                                                                                                                                                                                                                                                                                                                                                                                                                                                                                                                                                                                                                                                                                                                                                                                                                                                                                                                                                                                                                                                                                                                                                                                                                                                                                                                                                                            ']列，源：None 备：9a7c351bdd451155eeaa79ff29f5267d</t>
        </is>
      </c>
      <c r="AU4" s="0" t="inlineStr">
        <is>
          <t>tgt行 ['3', '', '', '                                                                                                                                                                                                                                                                                                                                                                                                                                                                                                                                                                                                                                                                                                                                                                                                                                                                                                                                                                                                                                                                                                                                                                                                                                                                                                                                                                                                                                                                                                                                                                                                                                                                                                                                                                                                                                                                                                                                                                                                                                                                                                                                                                                                                                                                                                                                                                                                                                                                                                                                                                                                                                                                                                                                                                                                                                                                                                                                                                                                                                                                                                                                                                                                                                                                                                                                                                                                                                                                                                                                                                                                                                                                                                                                                                                                                                                                                                                                                                                                                                                                                                                                                                ']列，源：None 备：609526bd7fff80e130c30b94dbb52acf</t>
        </is>
      </c>
      <c r="AV4" s="0" t="inlineStr">
        <is>
          <t>tgt行 ['4', '', '', '                                                                                                                                                                                                                                                                                                                                                                                                                                                                                                                                                                                                                                                                                                                                                                                                                                                                                                                                                                                                                                                                                                                                                                                                                                                                                                                                                                                                                                                                                                                                                                                                                                                                                                                                                                                                                                                                                                                                                                                                                                                                                                                                                                                                                                                                                                                                                                                                                                                                                                                                                                                                                                                                                                                                                                                                                                                                                                                                                                                                                                                                                                                                                                                                                                                                                                                                                                                                                                                                                                                                                                                                                                            ']列，源：None 备：9a7c351bdd451155eeaa79ff29f5267d</t>
        </is>
      </c>
      <c r="AW4" s="0" t="inlineStr">
        <is>
          <t>src行 ['2', '2020-02-29 00:00', '2026-05-18 23:59', '2046-05-11 14:30', '1971-05-11 00:00+14:00', '0', '-32768', '-2147483648', '2023-10-01 14:30', '-3.4e+038', '-922337203685477.58', '9999-12-30 23:59', '-1.79e+308', '0', '-1000000000000000', 'A7B0C3D4-E8F9-4A5B-6C7D-8E9F0A1B2C3D', '2026-05-18 21:47', '-9223372036854775808', '0x3132333435363738393031323334353637383930', '$TooLong英255Val方&amp;', '0xC9CFBAA3D3A2B7BDC8EDBCFEB9C9B7DDB9ABCBBE', '$TooLong英255Val方&amp; ', '$TooLong英255Val方&amp;', '$TooLong英255Val方&amp;   ']列，源：eb15f5766810ca006adda361d6685da6 备：None</t>
        </is>
      </c>
      <c r="AX4"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Y4"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Z4" s="0" t="inlineStr">
        <is>
          <t>src行 ['1', '2046-05-11 00:00', '2026-05-18 18:10', '2012-05-11 14:30', '1999-05-11 15:30+01:00', '255', '32767', '2147483647', '2012-10-01 14:30', '0', '922337203685477.5807', '2000-05-01 23:59', '6.62607e-034', '1', '123456789012.1234', 'B6B0C3D4-E8F9-4A5B-6C7D-8E9F0A1B2C3E', '1234.5678', '1234567890123', '0x7661726961626C65206C656E6774682062696E61', '这是一个中文字符串', '0xC9CFBAA32324255E262A2D3D0000000000000000', '*TEST英255Val方&amp;    ', '*TEST英255Val方&amp;', '&amp;TooLong英255Val方!   ']列，源：8031a497b62be0baf3c1feaa086a83c3 备：None</t>
        </is>
      </c>
      <c r="BA4" s="0" t="inlineStr">
        <is>
          <t>tgt行 ['2', '', '', '                                                                                                                                                                                                                                                                                                                                                                                                                                                                                                                                                                                                                                                                                                                                                                                                                                                                                                                                                                                                                                                                                                                                                                                                                                                                                                                                                                                                                                                                                                                                                                                                                                                                                                                                                                                                                                                                                                                                                                                                                                                                                                                                                                                                                                                                                                                                                                                                                                                                                                                                                                                                                                                                                                                                                                                                                                                                                                                                                                                                                                                                                                                                                                                                                                                                                                                                                                                                                                                                                                                                                                                                                                            ']列，源：None 备：0bb8f1d20540822f7cd467954d7939b9</t>
        </is>
      </c>
      <c r="BB4" s="0" t="inlineStr">
        <is>
          <t>tgt行 ['4', '', '', '                                                                                                                                                                                                                                                                                                                                                                                                                                                                                                                                                                                                                                                                                                                                                                                                                                                                                                                                                                                                                                                                                                                                                                                                                                                                                                                                                                                                                                                                                                                                                                                                                                                                                                                                                                                                                                                                                                                                                                                                                                                                                                                                                                                                                                                                                                                                                                                                                                                                                                                                                                                                                                                                                                                                                                                                                                                                                                                                                                                                                                                                                                                                                                                                                                                                                                                                                                                                                                                                                                                                                                                                                                            ']列，源：None 备：9a7c351bdd451155eeaa79ff29f5267d</t>
        </is>
      </c>
      <c r="BC4"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D4" s="0" t="inlineStr">
        <is>
          <t>tgt行 ['4', '', '', '                                                                                                                                                                                                                                                                                                                                                                                                                                                                                                                                                                                                                                                                                                                                                                                                                                                                                                                                                                                                                                                                                                                                                                                                                                                                                                                                                                                                                                                                                                                                                                                                                                                                                                                                                                                                                                                                                                                                                                                                                                                                                                                                                                                                                                                                                                                                                                                                                                                                                                                                                                                                                                                                                                                                                                                                                                                                                                                                                                                                                                                                                                                                                                                                                                                                                                                                                                                                                                                                                                                                                                                                                                            ']列，源：None 备：9a7c351bdd451155eeaa79ff29f5267d</t>
        </is>
      </c>
      <c r="BE4" s="0" t="inlineStr">
        <is>
          <t>src行 ['3', '2034-02-21 00:00', '2026-05-18 03:59', '2012-05-11 14:30', '1991-05-11 00:00+14:00', '10', '-12768', '-147483648', '2013-10-01 14:30', '-1.4e+038', '-122337203685477.58', '1999-12-30 23:59', '-1.79e+030', '1', '-2000000000000', 'C1B0C3D4-E8F9-4A5B-6C7D-8E9F0A1B2C3D', '2026-05-18 11:47', '-1223372036854775808', '0x31313131313031323334353637383930', '!TooLong英255Val方&amp;', '0x4023D3A2B7BDC8EDBCFEB9C9B7DDB9ABCBBE0000', '*TooLong英255Val方&amp; ', '~Long英255Val方&amp;', '`Long英255Val方&amp;      ']列，源：48dca9537159844f8938d7236a8a2ae4 备：None</t>
        </is>
      </c>
      <c r="BF4" s="0" t="inlineStr">
        <is>
          <t>src行 ['4', '2054-02-21 00:00', '2026-05-18 23:19', '2002-05-11 14:30', '1991-05-11 00:00+14:00', '77', '1768-05-18 00:00', '-17483648', '2023-09-01 14:30', '-1.4e+038', '-12337203685477.58', '1995-12-30 23:59', '-1.79e+030', '0', '-2000000000000', 'C1B0C3D4-E8F9-4A5B-6C7D-8E9F0A1B2C3D', '2026-05-18 11:47', '-1223372036854775808', '0x31313131313031323334353637383930', '!TooLong英255Val方&amp;', '0x4023D3A2B7BDC8EDBCFEB9C9B7DDB9ABCBBE0000', '*TooLong英255Val方&amp; ', '~Long英255Val方&amp;', '`Long英255Val方&amp;      ']列，源：4f32451d1e31c057cb1b9437b5d5c10c 备：None</t>
        </is>
      </c>
      <c r="BG4" s="0" t="inlineStr">
        <is>
          <t>tgt行 ['3', '', '', '                                                                                                                                                                                                                                                                                                                                                                                                                                                                                                                                                                                                                                                                                                                                                                                                                                                                                                                                                                                                                                                                                                                                                                                                                                                                                                                                                                                                                                                                                                                                                                                                                                                                                                                                                                                                                                                                                                                                                                                                                                                                                                                                                                                                                                                                                                                                                                                                                                                                                                                                                                                                                                                                                                                                                                                                                                                                                                                                                                                                                                                                                                                                                                                                                                                                                                                                                                                                                                                                                                                                                                                                                                                                                                                                                                                                                                                                                                                                                                                                                                                                                                                                                                ']列，源：None 备：609526bd7fff80e130c30b94dbb52acf</t>
        </is>
      </c>
      <c r="BH4" s="0" t="inlineStr">
        <is>
          <t>tgt行 ['6', 'Y', '€¶I€¶', '€¶I€¶€¶I€¶€¶I€¶€¶I€¶€¶I€¶€¶I€¶€¶I€¶€¶I€¶€¶I€¶€¶I€¶€¶I€¶€¶I€¶€¶I€¶€¶I€¶€¶I€¶€¶I€¶€¶I€¶€¶I€¶€¶I€¶€¶I€¶€¶I€¶€¶I€¶€¶I€¶€¶I€¶€¶I€¶€¶I€¶€¶I€¶€¶I€¶€¶I€¶€¶I€¶€¶I€¶€¶I€¶€¶I€¶€¶I€¶€¶I€¶€¶I€¶€¶I€¶€¶I€¶€¶I€¶€¶I€¶€¶I€¶€¶I€¶€¶I€¶€¶I€¶€¶I€¶€¶I€¶€¶I€¶€¶I€¶€¶I€¶€¶I€¶€¶I€¶€¶I€¶€¶I€¶€¶I€¶€¶I€¶€¶I€¶€¶I€¶€¶I€¶€¶I€¶€¶I€¶€¶I€¶€¶I€¶€¶I€¶€¶I€¶€¶I€¶€¶I€¶€¶I€¶€¶I€¶€¶I€¶€¶I€¶€¶I€¶€¶I€¶€¶I€¶€¶I€¶€¶I€¶€¶I€¶€¶I€¶€¶I€¶€¶I€¶€¶I€¶€¶I€¶€¶I€¶€¶I€¶€¶I€¶€¶I€¶€¶I€¶€¶I€¶€¶I€¶€¶I€¶€¶I€¶€¶I€¶€¶I€¶€¶I€¶€¶I€¶€¶I€¶€¶I€¶€¶I€¶€¶I€¶€¶I€¶€¶I€¶€¶I€¶€¶I€¶€¶I€¶€¶I€¶€¶I€¶€¶I€¶€¶I€¶€¶I€¶€¶I€¶€¶I€¶€¶I€¶€¶I€¶€¶I€¶€¶I€¶€¶I€¶€¶I€¶€¶I€¶€¶I€¶€¶I€¶€¶I€¶€¶I€¶€¶I€¶€¶I€¶€¶I€¶€¶I€¶€¶I€¶€¶I€¶€¶I€¶€¶I€¶€¶I€¶€¶I€¶€¶I€¶€¶I€¶€¶I€¶€¶I€¶€¶I€¶€¶I€¶€¶I€¶€¶I€¶€¶I€¶€¶I€¶€¶I€¶€¶I€¶€¶I€¶€¶I€¶€¶I€¶€¶I€¶€¶I€¶€¶I€¶€¶I€¶€¶I€¶€¶I€¶€¶I€¶€¶I€¶€¶I€¶€¶I€¶€¶I€¶€¶I€¶€¶I€¶€¶I€¶€¶I€¶€¶I€¶€¶I€¶€¶I€¶€¶I€¶€¶I€¶€¶I€¶€¶I€¶€¶I€¶€¶I€¶€¶I€¶€¶I€¶€¶I€¶€¶I€¶€¶I€¶€¶I€¶€¶I€¶€¶I€¶€¶I€¶€¶I€¶€¶I€¶€¶I€¶€¶I€¶€¶I€¶€¶I€¶€¶I€¶€¶I€¶€¶I€¶€¶I€¶€¶I€¶€¶I€¶€¶I€¶€¶I€¶€¶I€¶€¶I€¶€¶I€¶€¶I€¶€¶I€¶€¶I€¶€¶I€¶                                                                                                                                                                                                                                                                                                                                                                                                                                                                                                                                                                                                                                                                                                                                                                                                                                                                                                                                                                                                                                                                                                                                                                                                                                                                                                                                                                                                                                                                                                                                                                                                                                                                                                                                                                                                                                                                                                                                                                                                                                                                                                                                                                                                                                                                                                                                                                                                                                                                                                                                                                                                    ']列，源：None 备：4e1571524e1cfc2cc4eb4d4e8d16a1f9</t>
        </is>
      </c>
      <c r="BI4" s="0" t="inlineStr">
        <is>
          <t>src行 ['2', '2020-02-29 00:00', '2026-05-18 23:59', '2046-05-11 14:30', '1971-05-11 00:00+14:00', '0', '-32768', '-2147483648', '2023-10-01 14:30', '-3.4e+038', '-922337203685477.58', '9999-12-30 23:59', '-1.79e+308', '0', '-1000000000000000', 'A7B0C3D4-E8F9-4A5B-6C7D-8E9F0A1B2C3D', '2026-05-18 21:47', '-9223372036854775808', '0x3132333435363738393031323334353637383930', '$TooLong英255Val方&amp;', '0xC9CFBAA3D3A2B7BDC8EDBCFEB9C9B7DDB9ABCBBE', '$TooLong英255Val方&amp; ', '$TooLong英255Val方&amp;', '$TooLong英255Val方&amp;   ']列，源：eb15f5766810ca006adda361d6685da6 备：None</t>
        </is>
      </c>
      <c r="BJ4" s="0" t="inlineStr">
        <is>
          <t>tgt行 ['6', 'Y', '€¶I€¶', '€¶I€¶€¶I€¶€¶I€¶€¶I€¶€¶I€¶€¶I€¶€¶I€¶€¶I€¶€¶I€¶€¶I€¶€¶I€¶€¶I€¶€¶I€¶€¶I€¶€¶I€¶€¶I€¶€¶I€¶€¶I€¶€¶I€¶€¶I€¶€¶I€¶€¶I€¶€¶I€¶€¶I€¶€¶I€¶€¶I€¶€¶I€¶€¶I€¶€¶I€¶€¶I€¶€¶I€¶€¶I€¶€¶I€¶€¶I€¶€¶I€¶€¶I€¶€¶I€¶€¶I€¶€¶I€¶€¶I€¶€¶I€¶€¶I€¶€¶I€¶€¶I€¶€¶I€¶€¶I€¶€¶I€¶€¶I€¶€¶I€¶€¶I€¶€¶I€¶€¶I€¶€¶I€¶€¶I€¶€¶I€¶€¶I€¶€¶I€¶€¶I€¶€¶I€¶€¶I€¶€¶I€¶€¶I€¶€¶I€¶€¶I€¶€¶I€¶€¶I€¶€¶I€¶€¶I€¶€¶I€¶€¶I€¶€¶I€¶€¶I€¶€¶I€¶€¶I€¶€¶I€¶€¶I€¶€¶I€¶€¶I€¶€¶I€¶€¶I€¶€¶I€¶€¶I€¶€¶I€¶€¶I€¶€¶I€¶€¶I€¶€¶I€¶€¶I€¶€¶I€¶€¶I€¶€¶I€¶€¶I€¶€¶I€¶€¶I€¶€¶I€¶€¶I€¶€¶I€¶€¶I€¶€¶I€¶€¶I€¶€¶I€¶€¶I€¶€¶I€¶€¶I€¶€¶I€¶€¶I€¶€¶I€¶€¶I€¶€¶I€¶€¶I€¶€¶I€¶€¶I€¶€¶I€¶€¶I€¶€¶I€¶€¶I€¶€¶I€¶€¶I€¶€¶I€¶€¶I€¶€¶I€¶€¶I€¶€¶I€¶€¶I€¶€¶I€¶€¶I€¶€¶I€¶€¶I€¶€¶I€¶€¶I€¶€¶I€¶€¶I€¶€¶I€¶€¶I€¶€¶I€¶€¶I€¶€¶I€¶€¶I€¶€¶I€¶€¶I€¶€¶I€¶€¶I€¶€¶I€¶€¶I€¶€¶I€¶€¶I€¶€¶I€¶€¶I€¶€¶I€¶€¶I€¶€¶I€¶€¶I€¶€¶I€¶€¶I€¶€¶I€¶€¶I€¶€¶I€¶€¶I€¶€¶I€¶€¶I€¶€¶I€¶€¶I€¶€¶I€¶€¶I€¶€¶I€¶€¶I€¶€¶I€¶€¶I€¶€¶I€¶€¶I€¶€¶I€¶€¶I€¶€¶I€¶€¶I€¶€¶I€¶€¶I€¶€¶I€¶€¶I€¶€¶I€¶€¶I€¶€¶I€¶€¶I€¶€¶I€¶€¶I€¶€¶I€¶€¶I€¶€¶I€¶€¶I€¶€¶I€¶€¶I€¶€¶I€¶€¶I€¶€¶I€¶€¶I€¶€¶I€¶€¶I€¶€¶I€¶€¶I€¶€¶I€¶€¶I€¶                                                                                                                                                                                                                                                                                                                                                                                                                                                                                                                                                                                                                                                                                                                                                                                                                                                                                                                                                                                                                                                                                                                                                                                                                                                                                                                                                                                                                                                                                                                                                                                                                                                                                                                                                                                                                                                                                                                                                                                                                                                                                                                                                                                                                                                                                                                                                                                                                                                                                                                                                                                                    ']列，源：None 备：4e1571524e1cfc2cc4eb4d4e8d16a1f9</t>
        </is>
      </c>
      <c r="BK4" s="0" t="inlineStr">
        <is>
          <t>src行 ['1', '2046-05-11 00:00', '2026-05-18 18:10', '2012-05-11 14:30', '1999-05-11 15:30+01:00', '255', '32767', '2147483647', '2012-10-01 14:30', '0', '922337203685477.5807', '2000-05-01 23:59', '6.62607e-034', '1', '123456789012.1234', 'B6B0C3D4-E8F9-4A5B-6C7D-8E9F0A1B2C3E', '1234.5678', '1234567890123', '0x7661726961626C65206C656E6774682062696E61', '这是一个中文字符串', '0xC9CFBAA32324255E262A2D3D0000000000000000', '*TEST英255Val方&amp;    ', '*TEST英255Val方&amp;', '&amp;TooLong英255Val方!   ']列，源：8031a497b62be0baf3c1feaa086a83c3 备：None</t>
        </is>
      </c>
      <c r="BL4" s="0" t="inlineStr">
        <is>
          <t>src行 ['3', '2034-02-21 00:00', '2026-05-18 03:59', '2012-05-11 14:30', '1991-05-11 00:00+14:00', '10', '-12768', '-147483648', '2013-10-01 14:30', '-1.4e+038', '-122337203685477.58', '1999-12-30 23:59', '-1.79e+030', '1', '-2000000000000', 'C1B0C3D4-E8F9-4A5B-6C7D-8E9F0A1B2C3D', '2026-05-18 11:47', '-1223372036854775808', '0x31313131313031323334353637383930', '!TooLong英255Val方&amp;', '0x4023D3A2B7BDC8EDBCFEB9C9B7DDB9ABCBBE0000', '*TooLong英255Val方&amp; ', '~Long英255Val方&amp;', '`Long英255Val方&amp;      ']列，源：48dca9537159844f8938d7236a8a2ae4 备：None</t>
        </is>
      </c>
      <c r="BM4" s="0" t="inlineStr">
        <is>
          <t>tgt行 ['26', 'Y', '€¶I€¶', '€¶I€¶€¶I€¶€¶I€¶€¶I€¶€¶I€¶€¶I€¶€¶I€¶€¶I€¶€¶I€¶€¶I€¶€¶I€¶€¶I€¶€¶I€¶€¶I€¶€¶I€¶€¶I€¶€¶I€¶€¶I€¶€¶I€¶€¶I€¶€¶I€¶€¶I€¶€¶I€¶€¶I€¶€¶I€¶€¶I€¶€¶I€¶€¶I€¶€¶I€¶€¶I€¶€¶I€¶€¶I€¶€¶I€¶€¶I€¶€¶I€¶€¶I€¶€¶I€¶€¶I€¶€¶I€¶€¶I€¶€¶I€¶€¶I€¶€¶I€¶€¶I€¶€¶I€¶€¶I€¶€¶I€¶€¶I€¶€¶I€¶€¶I€¶€¶I€¶€¶I€¶€¶I€¶€¶I€¶€¶I€¶€¶I€¶€¶I€¶€¶I€¶€¶I€¶€¶I€¶€¶I€¶€¶I€¶€¶I€¶€¶I€¶€¶I€¶€¶I€¶€¶I€¶€¶I€¶€¶I€¶€¶I€¶€¶I€¶€¶I€¶€¶I€¶€¶I€¶€¶I€¶€¶I€¶€¶I€¶€¶I€¶€¶I€¶€¶I€¶€¶I€¶€¶I€¶€¶I€¶€¶I€¶€¶I€¶€¶I€¶€¶I€¶€¶I€¶€¶I€¶€¶I€¶€¶I€¶€¶I€¶€¶I€¶€¶I€¶€¶I€¶€¶I€¶€¶I€¶€¶I€¶€¶I€¶€¶I€¶€¶I€¶€¶I€¶€¶I€¶€¶I€¶€¶I€¶€¶I€¶€¶I€¶€¶I€¶€¶I€¶€¶I€¶€¶I€¶€¶I€¶€¶I€¶€¶I€¶€¶I€¶€¶I€¶€¶I€¶€¶I€¶€¶I€¶€¶I€¶€¶I€¶€¶I€¶€¶I€¶€¶I€¶€¶I€¶€¶I€¶€¶I€¶€¶I€¶€¶I€¶€¶I€¶€¶I€¶€¶I€¶€¶I€¶€¶I€¶€¶I€¶€¶I€¶€¶I€¶€¶I€¶€¶I€¶€¶I€¶€¶I€¶€¶I€¶€¶I€¶€¶I€¶€¶I€¶€¶I€¶€¶I€¶€¶I€¶€¶I€¶€¶I€¶€¶I€¶€¶I€¶€¶I€¶€¶I€¶€¶I€¶€¶I€¶€¶I€¶€¶I€¶€¶I€¶€¶I€¶€¶I€¶€¶I€¶€¶I€¶€¶I€¶€¶I€¶€¶I€¶€¶I€¶€¶I€¶€¶I€¶€¶I€¶€¶I€¶€¶I€¶€¶I€¶€¶I€¶€¶I€¶€¶I€¶€¶I€¶€¶I€¶€¶I€¶€¶I€¶€¶I€¶€¶I€¶€¶I€¶€¶I€¶€¶I€¶€¶I€¶€¶I€¶€¶I€¶€¶I€¶€¶I€¶€¶I€¶€¶I€¶€¶I€¶€¶I€¶€¶I€¶€¶I€¶€¶I€¶€¶I€¶€¶I€¶€¶I€¶                                                                                                                                                                                                                                                                                                                                                                                                                                                                                                                                                                                                                                                                                                                                                                                                                                                                                                                                                                                                                                                                                                                                                                                                                                                                                                                                                                                                                                                                                                                                                                                                                                                                                                                                                                                                                                                                                                                                                                                                                                                                                                                                                                                                                                                                                                                                                                                                                                                                                                                                                                                                    ']列，源：None 备：861f8bd62324fa207cefffa797a08398</t>
        </is>
      </c>
      <c r="BN4" s="0" t="inlineStr">
        <is>
          <t>src行 ['4', '2054-02-21 00:00', '2026-05-18 23:19', '2002-05-11 14:30', '1991-05-11 00:00+14:00', '77', '1768-05-18 00:00', '-17483648', '2023-09-01 14:30', '-1.4e+038', '-12337203685477.58', '1995-12-30 23:59', '-1.79e+030', '0', '-2000000000000', 'C1B0C3D4-E8F9-4A5B-6C7D-8E9F0A1B2C3D', '2026-05-18 11:47', '-1223372036854775808', '0x31313131313031323334353637383930', '!TooLong英255Val方&amp;', '0x4023D3A2B7BDC8EDBCFEB9C9B7DDB9ABCBBE0000', '*TooLong英255Val方&amp; ', '~Long英255Val方&amp;', '`Long英255Val方&amp;      ']列，源：4f32451d1e31c057cb1b9437b5d5c10c 备：None</t>
        </is>
      </c>
      <c r="BO4" s="0" t="inlineStr">
        <is>
          <t>tgt行 ['2',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备：e934e9ccc2c18abe60ebba9e0d9d25e8</t>
        </is>
      </c>
      <c r="BP4" s="0" t="inlineStr">
        <is>
          <t>tgt行 ['2',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备：e4c6a50f87744375a17663a80de1e83b</t>
        </is>
      </c>
      <c r="BQ4" s="0" t="inlineStr">
        <is>
          <t>src行 ['2', ' ', '                    ', '                                                                                                                                                                                                                                                                                                                                                                                                                                                                                                                                                                                                                                                                                                                                                                                                                                                                                                                                                                                                                                                                                                                                                                                                                                                                                                                                                                                                                                                                                                                                                                                                                                                                                                                                                                                                                                                                                                                                                                                                                                                                                                                                                                                                                                                                                                                                                                                                                                                                                                                                                                                                                                                                                                                                                                                                                                                                                                                                                                                                                                                                                                                                                                                                                                                                                                                                                                                                                                                                                                                                                                                                                                            ']列，源：02d9880d07a3d705c0a13a24433be8c8 备：None</t>
        </is>
      </c>
      <c r="BR4" s="0" t="inlineStr">
        <is>
          <t>tgt行 ['7', '255', '32767', '2147483647', '9223372036854775808', '', '', '', '', '', '', '', '', '', '', '', '', '', '', '']列，源：None 备：20f2834ef0775cc8e2a6f6d9df406343</t>
        </is>
      </c>
      <c r="BS4" s="0" t="inlineStr">
        <is>
          <t>tgt行 ['7', '255', '32767', '2147483647', '9223372036854775808', '', '', '', '', '', '', '', '', '', '', '', '', '', '', '']列，源：None 备：20f2834ef0775cc8e2a6f6d9df406343</t>
        </is>
      </c>
      <c r="BT4" s="0" t="inlineStr">
        <is>
          <t>tgt行 ['7', '255', '32767', '2147483647', '9223372036854775808', '', '', '', '', '', '', '', '', '', '', '', '', '', '', '']列，源：None 备：20f2834ef0775cc8e2a6f6d9df406343</t>
        </is>
      </c>
      <c r="BU4" s="0" t="inlineStr">
        <is>
          <t>tgt行 ['7', '255', '32767', '2147483647', '9223372036854775808', '', '', '', '', '', '', '', '', '', '', '', '', '', '', '']列，源：None 备：20f2834ef0775cc8e2a6f6d9df406343</t>
        </is>
      </c>
    </row>
    <row r="5">
      <c r="B5" s="0" t="inlineStr">
        <is>
          <t>NULL</t>
        </is>
      </c>
      <c r="C5" s="0" t="inlineStr">
        <is>
          <t>NULL</t>
        </is>
      </c>
      <c r="D5" s="0" t="inlineStr">
        <is>
          <t>NULL</t>
        </is>
      </c>
      <c r="E5" s="0" t="inlineStr">
        <is>
          <t>NULL</t>
        </is>
      </c>
      <c r="F5" s="0" t="inlineStr">
        <is>
          <t>NULL</t>
        </is>
      </c>
      <c r="G5" s="0" t="inlineStr">
        <is>
          <t>NULL</t>
        </is>
      </c>
      <c r="H5" s="0" t="inlineStr">
        <is>
          <t>NULL</t>
        </is>
      </c>
      <c r="I5" s="0" t="inlineStr">
        <is>
          <t>NULL</t>
        </is>
      </c>
      <c r="J5" s="0" t="inlineStr">
        <is>
          <t>NULL</t>
        </is>
      </c>
      <c r="K5" s="0" t="inlineStr">
        <is>
          <t>[0;32m YES! [0m 	 c_time0列源备映射正确，源端为time None位	期望更改为varchar(20)	实际备端为varchar 80位	位数精度不存在，通过长度比较</t>
        </is>
      </c>
      <c r="Y5" s="0" t="inlineStr">
        <is>
          <t>tgt行 ['4', '', '', '                                                                                                                                                                                                                                                                                                                                                                                                                                                                                                                                                                                                                                                                                                                                                                                                                                                                                                                                                                                                                                                                                                                                                                                                                                                                                                                                                                                                                                                                                                                                                                                                                                                                                                                                                                                                                                                                                                                                                                                                                                                                                                                                                                                                                                                                                                                                                                                                                                                                                                                                                                                                                                                                                                                                                                                                                                                                                                                                                                                                                                                                                                                                                                                                                                                                                                                                                                                                                                                                                                                                                                                                                                                                                                                                                                                                                                                                                                                                                                                                                                                                                                                                                                                                                                                                                                                                                                                                                                                                                                                                                                                                                                                                                                                                                                                                                                                                                                                                                                                                                                                                                                                                                                                                                                                                                                                                                                                                                                                                                                                                                                                                                                                                                                                                                                                                                                                                                                                                                                                                                                                                                                                                                                                                                                                                                                                                                                                                                                                                                                                                                                                                                                                                                                                                                                                                                                                                                                                                                                                                                                                                                                                                                                                                                                                                                                                                                                                                                                                                                                                                                                                                                                                                                                                                                                                                                                                                                                                                                                                                                                                                                                                                                                                                                                                                                                                                ']列，源：None 备：ca3b4ecac068926407fdab0f959c9b50</t>
        </is>
      </c>
      <c r="Z5" s="0" t="inlineStr">
        <is>
          <t>src行 ['2', ' ', '                    ', '                                                                                                                                                                                                                                                                                                                                                                                                                                                                                                                                                                                                                                                                                                                                                                                                                                                                                                                                                                                                                                                                                                                                                                                                                                                                                                                                                                                                                                                                                                                                                                                                                                                                                                                                                                                                                                                                                                                                                                                                                                                                                                                                                                                                                                                                                                                                                                                                                                                                                                                                                                                                                                                                                                                                                                                                                                                                                                                                                                                                                                                                                                                                                                                                                                                                                                                                                                                                                                                                                                                                                                                                                                                                                                                                                                                                                                                                                                                                                                                                                                                                                                                                                                                                                                                                                                                                                                                                                                                                                                                                                                                                                                                                                                                                                                                                                                                                                                                                                                                                                                                                                                                                                                                                                                                                                                                                                                                                                                                                                                                                                                                                                                                                                                                                                                                                                                                                                                                                                                                                                                                                                                                                                                                                                                                                                                                                                                                                                                                                                                                                                                                                                                                                                                                                                                                                                                                                                                                                                                                                                                                                                                                                                                                                                                                                                        ']列，源：e6e9184d117f9a63cd2a757d28d0a88d 备：None</t>
        </is>
      </c>
      <c r="AA5" s="0" t="inlineStr">
        <is>
          <t>tgt行 ['4', '', '', '                                                                                                                                                                                                                                                                                                                                                                                                                                                                                                                                                                                                                                                                                                                                                                                                                                                                                                                                                                                                                                                                                                                                                                                                                                                                                                                                                                                                                                                                                                                                                                                                                                                                                                                                                                                                                                                                                                                                                                                                                                                                                                                                                                                                                                                                                                                                                                                                                                                                                                                                                                                                                                                                                                                                                                                                                                                                                                                                                                                                                                                                                                                                                                                                                                                                                                                                                                                                                                                                                                                                                                                                                                                                                                                                                                                                                                                                                                                                                                                                                                                                                                                                                                                                                                                                                                                                                                                                                                                                                                                                                                                                                                                                                                                                                                                                                                                                                                                                                                                                                                                                                                                                                                                                                                                                                                                                                                                                                                                                                                                                                                                                                                                                                                                                                                                                                                                                                                                                                                                                                                                                                                                                                                                                                                                                                                                                                                                                                                                                                                                                                                                                                                                                                                                                                                                                                                                                                                                                                                                                                                                                                                                                                                                                                                                                                        ']列，源：None 备：6513d7866b5552d16b48bd1761452a95</t>
        </is>
      </c>
      <c r="AB5" s="0" t="inlineStr">
        <is>
          <t>src行 ['2', ' ', '                    ', '                                                                                                                                                                                                                                                                                                                                                                                                                                                                                                                                                                                                                                                                                                                                                                                                                                                                                                                                                                                                                                                                                                                                                                                                                                                                                                                                                                                                                                                                                                                                                                                                                                                                                                                                                                                                                                                                                                                                                                                                                                                                                                                                                                                                                                                                                                                                                                                                                                                                                                                                                                                                                                                                                                                                                                                                                                                                                                                                                                                                                                                                                                                                                                                                                                                                                                                                                                                                                                                                                                                                                                                                                                                                                                                                                                                                                                                                                                                                                                                                                                                                                                                                                                                                                                                                                                                                                                                                                                                                                                                                                                                                                                                                                                                                                                                                                                                                                                                                                                                                                                                                                                                                                                                                                                                                                                                                                                                                                                                                                                                                                                                                                                                                                                                                                                                                                                                                                                                                                                                                                                                                                                                                                                                                                                                                                                                                                                                                                                                                                                                                                                                                                                                                                                                                                                                                                                                                                                                                                                                                                                                                                                                                                                                                                                                                                        ']列，源：e6e9184d117f9a63cd2a757d28d0a88d 备：None</t>
        </is>
      </c>
      <c r="AC5" s="0" t="inlineStr">
        <is>
          <t>tgt行 ['4', '', '', '                                                                                                                                                                                                                                                                                                                                                                                                                                                                                                                                                                                                                                                                                                                                                                                                                                                                                                                                                                                                                                                                                                                                                                                                                                                                                                                                                                                                                                                                                                                                                                                                                                                                                                                                                                                                                                                                                                                                                                                                                                                                                                                                                                                                                                                                                                                                                                                                                                                                                                                                                                                                                                                                                                                                                                                                                                                                                                                                                                                                                                                                                                                                                                                                                                                                                                                                                                                                                                                                                                                                                                                                                                                                                                                                                                                                                                                                                                                                                                                                                                                                                                                                                                                                                                                                                                                                                                                                                                                                                                                                                                                                                                                                                                                                                                                                                                                                                                                                                                                                                                                                                                                                                                                                                                                                                                                                                                                                                                                                                                                                                                                                                                                                                                                                                                                                                                                                                                                                                                                                                                                                                                                                                                                                                                                                                                                                                                                                                                                                                                                                                                                                                                                                                                                                                                                                                                                                                                                                                                                                                                                                                                                                                                                                                                                                                                                                                                                                                                                                                                                                                                                                                                                                                                                                                                                                                                                                                                                                                                                                                                                                                                                                                                                                                                                                                                                                ']列，源：None 备：ca3b4ecac068926407fdab0f959c9b50</t>
        </is>
      </c>
      <c r="AD5" s="0" t="inlineStr">
        <is>
          <t>src行 ['2', '/']列，源：1863203c3dc3eb634853d840e8a83eec 备：None</t>
        </is>
      </c>
      <c r="AE5" s="0" t="inlineStr">
        <is>
          <t>tgt行 ['4', '', '', '                                                                                                                                                                                                                                                                                                                                                                                                                                                                                                                                                                                                                                                                                                                                                                                                                                                                                                                                                                                                                                                                                                                                                                                                                                                                                                                                                                                                                                                                                                                                                                                                                                                                                                                                                                                                                                                                                                                                                                                                                                                                                                                                                                                                                                                                                                                                                                                                                                                                                                                                                                                                                                                                                                                                                                                                                                                                                                                                                                                                                                                                                                                                                                                                                                                                                                                                                                                                                                                                                                                                                                                                                                                                                                                                                                                                                                                                                                                                                                                                                                                                                                                                                                                                                                                                                                                                                                                                                                                                                                                                                                                                                                                                                                                                                                                                                                                                                                                                                                                                                                                                                                                                                                                                                                                                                                                                                                                                                                                                                                                                                                                                                                                                                                                                                                                                                                                                                                                                                                                                                                                                                                                                                                                                                                                                                                                                                                                                                                                                                                                                                                                                                                                                                                                                                                                                                                                                                                                                                                                                                                                                                                                                                                                                                                                                                                                                                                                                                                                                                                                                                                                                                                                                                                                                                                                                                                                                                                                                                                                                                                                                                                                                                                                                                                                                                                                                ']列，源：None 备：ca3b4ecac068926407fdab0f959c9b50</t>
        </is>
      </c>
      <c r="AF5" s="0" t="inlineStr">
        <is>
          <t>tgt行 ['5',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备：4281df298c294c60a234792539d5fd8a</t>
        </is>
      </c>
      <c r="AG5" s="0" t="inlineStr">
        <is>
          <t>tgt行 ['5',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备：4281df298c294c60a234792539d5fd8a</t>
        </is>
      </c>
      <c r="AH5" s="0" t="inlineStr">
        <is>
          <t>src行 ['2', '/']列，源：1863203c3dc3eb634853d840e8a83eec 备：None</t>
        </is>
      </c>
      <c r="AI5" s="0" t="inlineStr">
        <is>
          <t>tgt行 ['4', '', '', '                                                                                                                                                                                                                                                                                                                                                                                                                                                                                                                                                                                                                                                                                                                                                                                                                                                                                                                                                                                                                                                                                                                                                                                                                                                                                                                                                                                                                                                                                                                                                                                                                                                                                                                                                                                                                                                                                                                                                                                                                                                                                                                                                                                                                                                                                                                                                                                                                                                                                                                                                                                                                                                                                                                                                                                                                                                                                                                                                                                                                                                                                                                                                                                                                                                                                                                                                                                                                                                                                                                                                                                                                                                                                                                                                                                                                                                                                                                                                                                                                                                                                                                                                                                                                                                                                                                                                                                                                                                                                                                                                                                                                                                                                                                                                                                                                                                                                                                                                                                                                                                                                                                                                                                                                                                                                                                                                                                                                                                                                                                                                                                                                                                                                                                                                                                                                                                                                                                                                                                                                                                                                                                                                                                                                                                                                                                                                                                                                                                                                                                                                                                                                                                                                                                                                                                                                                                                                                                                                                                                                                                                                                                                                                                                                                                                                        ']列，源：None 备：6513d7866b5552d16b48bd1761452a95</t>
        </is>
      </c>
      <c r="AJ5" s="0" t="inlineStr">
        <is>
          <t>tgt行 ['5',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备：4281df298c294c60a234792539d5fd8a</t>
        </is>
      </c>
      <c r="AK5" s="0" t="inlineStr">
        <is>
          <t>src行 ['2', ' ', '                    ', '                                                                                                                                                                                                                                                                                                                                                                                                                                                                                                                                                                                                                                                                                                                                                                                                                                                                                                                                                                                                                                                                                                                                                                                                                                                                                                                                                                                                                                                                                                                                                                                                                                                                                                                                                                                                                                                                                                                                                                                                                                                                                                                                                                                                                                                                                                                                                                                                                                                                                                                                                                                                                                                                                                                                                                                                                                                                                                                                                                                                                                                                                                                                                                                                                                                                                                                                                                                                                                                                                                                                                                                                                                                                                                                                                                                                                                                                                                                                                                                                                                                                                                                                                                                                                                                                                                                                                                                                                                                                                                                                                                                                                                                                                                                                                                                                                                                                                                                                                                                                                                                                                                                                                                                                                                                                                                                                                                                                                                                                                                                                                                                                                                                                                                                                                                                                                                                                                                                                                                                                                                                                                                                                                                                                                                                                                                                                                                                                                                                                                                                                                                                                                                                                                                                                                                                                                                                                                                                                                                                                                                                                                                                                                                                                                                                                                        ']列，源：e6e9184d117f9a63cd2a757d28d0a88d 备：None</t>
        </is>
      </c>
      <c r="AL5" s="0" t="inlineStr">
        <is>
          <t>src行 ['5', '?', '€?I€?               ', '€?I€?€?I€?€?I€?€?I€?€?I€?€?I€?€?I€?€?I€?€?I€?€?I€?€?I€?€?I€?€?I€?€?I€?€?I€?€?I€?€?I€?€?I€?€?I€?€?I€?€?I€?€?I€?€?I€?€?I€?€?I€?€?I€?€?I€?€?I€?€?I€?€?I€?€?I€?€?I€?€?I€?€?I€?€?I€?€?I€?€?I€?€?I€?€?I€?€?I€?€?I€?€?I€?€?I€?€?I€?€?I€?€?I€?€?I€?€?I€?€?I€?€?I€?€?I€?€?I€?€?I€?€?I€?€?I€?€?I€?€?I€?€?I€?€?I€?€?I€?€?I€?€?I€?€?I€?€?I€?€?I€?€?I€?€?I€?€?I€?€?I€?€?I€?€?I€?€?I€?€?I€?€?I€?€?I€?€?I€?€?I€?€?I€?€?I€?€?I€?€?I€?€?I€?€?I€?€?I€?€?I€?€?I€?€?I€?€?I€?€?I€?€?I€?€?I€?€?I€?€?I€?€?I€?€?I€?€?I€?€?I€?€?I€?€?I€?€?I€?€?I€?€?I€?€?I€?€?I€?€?I€?€?I€?€?I€?€?I€?€?I€?€?I€?€?I€?€?I€?€?I€?€?I€?€?I€?€?I€?€?I€?€?I€?€?I€?€?I€?€?I€?€?I€?€?I€?€?I€?€?I€?€?I€?€?I€?€?I€?€?I€?€?I€?€?I€?€?I€?€?I€?€?I€?€?I€?€?I€?€?I€?€?I€?€?I€?€?I€?€?I€?€?I€?€?I€?€?I€?€?I€?€?I€?€?I€?€?I€?€?I€?€?I€?€?I€?€?I€?€?I€?€?I€?€?I€?€?I€?€?I€?€?I€?€?I€?€?I€?€?I€?€?I€?€?I€?€?I€?€?I€?€?I€?€?I€?€?I€?€?I€?€?I€?€?I€?€?I€?€?I€?€?I€?€?I€?€?I€?€?I€?€?I€?€?I€?€?I€?€?I€?€?I€?€?I€?€?I€?€?I€?€?I€?€?I€?€?I€?€?I€?€?I€?€?I€?€?I€?€?I€?€?I€?€?I€?€?I€?€?I€?€?I€?€?I€?€?I€?                                                                                                                                                                                                                                                                                                                                                                                                                                                                                                                                                                                                                                                                                                                                                                                                                                                                                                                                                                                                                                                                                                                                                                                                                                                                                                                                                                                                                                                                                                                                                                                                                                                                                                                                                                                                                                                                                                                                                                                                                                                                                                                                                                                                                                                                                                                                                                                                                                                                                                                                                                                                                                                                                                                                                                                                                                                                                                                                                                                                                                                                                                                                                                                                                                                                                                                                                                                                                                                                                                                                                                                                                                                                                                                                                                                                                                                                                                                                                                                                                                                                                                                                                                                                                                                                                                                                                                                                                                                                                                                                                                                                                                                                                                                                                                                                                                                                                                                                                                                                                                                                                                                                                                                                                                                                                                                                                                                                                                                                                                                                                                                                                                                                                                                                                                                                                                                                                                                                                                                                                                                                                                                                                                                                                                                ']列，源：0cc90592b8029f64baaf14f0c7b71028 备：None</t>
        </is>
      </c>
      <c r="AM5" s="0" t="inlineStr">
        <is>
          <t>src行 ['2', ' ', '                    ', '                                                                                                                                                                                                                                                                                                                                                                                                                                                                                                                                                                                                                                                                                                                                                                                                                                                                                                                                                                                                                                                                                                                                                                                                                                                                                                                                                                                                                                                                                                                                                                                                                                                                                                                                                                                                                                                                                                                                                                                                                                                                                                                                                                                                                                                                                                                                                                                                                                                                                                                                                                                                                                                                                                                                                                                                                                                                                                                                                                                                                                                                                                                                                                                                                                                                                                                                                                                                                                                                                                                                                                                                                                                                                                                                                                                                                                                                                                                                                                                                                                                                                                                                                                                                                                                                                                                                                                                                                                                                                                                                                                                                                                                                                                                                                                                                                                                                                                                                                                                                                                                                                                                                                                                                                                                                                                                                                                                                                                                                                                                                                                                                                                                                                                                                                                                                                                                                                                                                                                                                                                                                                                                                                                                                                                                                                                                                                                                                                                                                                                                                                                                                                                                                                                                                                                                                                                                                                                                                                                                                                                                                                                                                                                                                                                                                                        ']列，源：e6e9184d117f9a63cd2a757d28d0a88d 备：None</t>
        </is>
      </c>
      <c r="AN5" s="0" t="inlineStr">
        <is>
          <t>src行 ['1',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']列，源：9305dacb941d4a4d6647295bd59fb788 备：None</t>
        </is>
      </c>
      <c r="AO5" s="0" t="inlineStr">
        <is>
          <t>tgt行 ['4', '', '', '                                                                                                                                                                                                                                                                                                                                                                                                                                                                                                                                                                                                                                                                                                                                                                                                                                                                                                                                                                                                                                                                                                                                                                                                                                                                                                                                                                                                                                                                                                                                                                                                                                                                                                                                                                                                                                                                                                                                                                                                                                                                                                                                                                                                                                                                                                                                                                                                                                                                                                                                                                                                                                                                                                                                                                                                                                                                                                                                                                                                                                                                                                                                                                                                                                                                                                                                                                                                                                                                                                                                                                                                                                                                                                                                                                                                                                                                                                                                                                                                                                                                                                                                                                ']列，源：None 备：9cbb5e37aaf0f65e272f7adc2b875040</t>
        </is>
      </c>
      <c r="AS5" s="0" t="inlineStr">
        <is>
          <t>tgt行 ['4', '', '', '                                                                                                                                                                                                                                                                                                                                                                                                                                                                                                                                                                                                                                                                                                                                                                                                                                                                                                                                                                                                                                                                                                                                                                                                                                                                                                                                                                                                                                                                                                                                                                                                                                                                                                                                                                                                                                                                                                                                                                                                                                                                                                                                                                                                                                                                                                                                                                                                                                                                                                                                                                                                                                                                                                                                                                                                                                                                                                                                                                                                                                                                                                                                                                                                                                                                                                                                                                                                                                                                                                                                                                                                                                            ']列，源：None 备：9a7c351bdd451155eeaa79ff29f5267d</t>
        </is>
      </c>
      <c r="AT5" s="0" t="inlineStr">
        <is>
          <t>src行 ['2', ' ', '                    ', '                                                                                                                                                                                                                                                                                                                                                                                                                                                                                                                                                                                                                                                                                                                                                                                                                                                                                                                                                                                                                                                                                                                                                                                                                                                                                                                                                                                                                                                                                                                                                                                                                                                                                                                                                                                                                                                                                                                                                                                                                                                                                                                                                                                                                                                                                                                                                                                                                                                                                                                                                                                                                                                                                                                                                                                                                                                                                                                                                                                                                                                                                                                                                                                                                                                                                                                                                                                                                                                                                                                                                                                                                                            ']列，源：02d9880d07a3d705c0a13a24433be8c8 备：None</t>
        </is>
      </c>
      <c r="AU5" s="0" t="inlineStr">
        <is>
          <t>tgt行 ['4', '', '', '                                                                                                                                                                                                                                                                                                                                                                                                                                                                                                                                                                                                                                                                                                                                                                                                                                                                                                                                                                                                                                                                                                                                                                                                                                                                                                                                                                                                                                                                                                                                                                                                                                                                                                                                                                                                                                                                                                                                                                                                                                                                                                                                                                                                                                                                                                                                                                                                                                                                                                                                                                                                                                                                                                                                                                                                                                                                                                                                                                                                                                                                                                                                                                                                                                                                                                                                                                                                                                                                                                                                                                                                                                                                                                                                                                                                                                                                                                                                                                                                                                                                                                                                                                ']列，源：None 备：9cbb5e37aaf0f65e272f7adc2b875040</t>
        </is>
      </c>
      <c r="AV5" s="0" t="inlineStr">
        <is>
          <t>src行 ['2', ' ', '                    ', '                                                                                                                                                                                                                                                                                                                                                                                                                                                                                                                                                                                                                                                                                                                                                                                                                                                                                                                                                                                                                                                                                                                                                                                                                                                                                                                                                                                                                                                                                                                                                                                                                                                                                                                                                                                                                                                                                                                                                                                                                                                                                                                                                                                                                                                                                                                                                                                                                                                                                                                                                                                                                                                                                                                                                                                                                                                                                                                                                                                                                                                                                                                                                                                                                                                                                                                                                                                                                                                                                                                                                                                                                                            ']列，源：02d9880d07a3d705c0a13a24433be8c8 备：None</t>
        </is>
      </c>
      <c r="BA5" s="0" t="inlineStr">
        <is>
          <t>tgt行 ['4', '', '', '                                                                                                                                                                                                                                                                                                                                                                                                                                                                                                                                                                                                                                                                                                                                                                                                                                                                                                                                                                                                                                                                                                                                                                                                                                                                                                                                                                                                                                                                                                                                                                                                                                                                                                                                                                                                                                                                                                                                                                                                                                                                                                                                                                                                                                                                                                                                                                                                                                                                                                                                                                                                                                                                                                                                                                                                                                                                                                                                                                                                                                                                                                                                                                                                                                                                                                                                                                                                                                                                                                                                                                                                                                            ']列，源：None 备：9a7c351bdd451155eeaa79ff29f5267d</t>
        </is>
      </c>
      <c r="BB5" s="0" t="inlineStr">
        <is>
          <t>src行 ['2', ' ', '                    ', '                                                                                                                                                                                                                                                                                                                                                                                                                                                                                                                                                                                                                                                                                                                                                                                                                                                                                                                                                                                                                                                                                                                                                                                                                                                                                                                                                                                                                                                                                                                                                                                                                                                                                                                                                                                                                                                                                                                                                                                                                                                                                                                                                                                                                                                                                                                                                                                                                                                                                                                                                                                                                                                                                                                                                                                                                                                                                                                                                                                                                                                                                                                                                                                                                                                                                                                                                                                                                                                                                                                                                                                                                                            ']列，源：02d9880d07a3d705c0a13a24433be8c8 备：None</t>
        </is>
      </c>
      <c r="BD5" s="0" t="inlineStr">
        <is>
          <t>src行 ['2', ' ', '                    ', '                                                                                                                                                                                                                                                                                                                                                                                                                                                                                                                                                                                                                                                                                                                                                                                                                                                                                                                                                                                                                                                                                                                                                                                                                                                                                                                                                                                                                                                                                                                                                                                                                                                                                                                                                                                                                                                                                                                                                                                                                                                                                                                                                                                                                                                                                                                                                                                                                                                                                                                                                                                                                                                                                                                                                                                                                                                                                                                                                                                                                                                                                                                                                                                                                                                                                                                                                                                                                                                                                                                                                                                                                                            ']列，源：02d9880d07a3d705c0a13a24433be8c8 备：None</t>
        </is>
      </c>
      <c r="BG5" s="0" t="inlineStr">
        <is>
          <t>tgt行 ['4', '', '', '                                                                                                                                                                                                                                                                                                                                                                                                                                                                                                                                                                                                                                                                                                                                                                                                                                                                                                                                                                                                                                                                                                                                                                                                                                                                                                                                                                                                                                                                                                                                                                                                                                                                                                                                                                                                                                                                                                                                                                                                                                                                                                                                                                                                                                                                                                                                                                                                                                                                                                                                                                                                                                                                                                                                                                                                                                                                                                                                                                                                                                                                                                                                                                                                                                                                                                                                                                                                                                                                                                                                                                                                                                                                                                                                                                                                                                                                                                                                                                                                                                                                                                                                                                ']列，源：None 备：9cbb5e37aaf0f65e272f7adc2b875040</t>
        </is>
      </c>
      <c r="BH5" s="0" t="inlineStr">
        <is>
          <t>tgt行 ['7',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备：e377c612ccb3d914d2fc683779215114</t>
        </is>
      </c>
      <c r="BJ5" s="0" t="inlineStr">
        <is>
          <t>tgt行 ['7',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备：e377c612ccb3d914d2fc683779215114</t>
        </is>
      </c>
      <c r="BM5" s="0" t="inlineStr">
        <is>
          <t>tgt行 ['27',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备：0d98e9bb8204fd1c68bac115ac428f2b</t>
        </is>
      </c>
      <c r="BO5" s="0" t="inlineStr">
        <is>
          <t>tgt行 ['3',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备：0a5e66ca9309048875c3f810c89c08bf</t>
        </is>
      </c>
      <c r="BP5" s="0" t="inlineStr">
        <is>
          <t>src行 ['1',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']列，源：c82eac5b73374254a597fdc4c56e9271 备：None</t>
        </is>
      </c>
      <c r="BR5"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S5" s="0" t="inlineStr">
        <is>
          <t>tgt行 ['52', '255', '32767', '2147483647', '9223372036854775808', '', '', '', '', '', '', '', '', '', '', '', '', '', '', '']列，源：None 备：9edd1ec9c2018553f7a3ba187eeb0c8e</t>
        </is>
      </c>
      <c r="BT5"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U5" s="0" t="inlineStr">
        <is>
          <t>tgt行 ['52', '255', '32767', '2147483647', '9223372036854775808', '', '', '', '', '', '', '', '', '', '', '', '', '', '', '']列，源：None 备：9edd1ec9c2018553f7a3ba187eeb0c8e</t>
        </is>
      </c>
    </row>
    <row r="6">
      <c r="B6" s="0" t="inlineStr">
        <is>
          <t>NULL</t>
        </is>
      </c>
      <c r="C6" s="0" t="inlineStr">
        <is>
          <t>NULL</t>
        </is>
      </c>
      <c r="D6" s="0" t="inlineStr">
        <is>
          <t>NULL</t>
        </is>
      </c>
      <c r="E6" s="0" t="inlineStr">
        <is>
          <t>NULL</t>
        </is>
      </c>
      <c r="F6" s="0" t="inlineStr">
        <is>
          <t>NULL</t>
        </is>
      </c>
      <c r="G6" s="0" t="inlineStr">
        <is>
          <t>NULL</t>
        </is>
      </c>
      <c r="H6" s="0" t="inlineStr">
        <is>
          <t>NULL</t>
        </is>
      </c>
      <c r="I6" s="0" t="inlineStr">
        <is>
          <t>NULL</t>
        </is>
      </c>
      <c r="J6" s="0" t="inlineStr">
        <is>
          <t>NULL</t>
        </is>
      </c>
      <c r="K6" s="0" t="inlineStr">
        <is>
          <t>[0;32m YES! [0m 	 c_time1列源备映射正确，源端为time None位	期望更改为varchar(20)	实际备端为varchar 80位	位数精度不存在，通过长度比较</t>
        </is>
      </c>
      <c r="Y6" s="0"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备：d019d4aebff49513606feb0fa9e75d20</t>
        </is>
      </c>
      <c r="Z6" s="0" t="inlineStr">
        <is>
          <t>src行 ['4', ' ', '                    ', '                                                                                                                                                                                                                                                                                                                                                                                                                                                                                                                                                                                                                                                                                                                                                                                                                                                                                                                                                                                                                                                                                                                                                                                                                                                                                                                                                                                                                                                                                                                                                                                                                                                                                                                                                                                                                                                                                                                                                                                                                                                                                                                                                                                                                                                                                                                                                                                                                                                                                                                                                                                                                                                                                                                                                                                                                                                                                                                                                                                                                                                                                                                                                                                                                                                                                                                                                                                                                                                                                                                                                                                                                                                                                                                                                                                                                                                                                                                                                                                                                                                                                                                                                                                                                                                                                                                                                                                                                                                                                                                                                                                                                                                                                                                                                                                                                                                                                                                                                                                                                                                                                                                                                                                                                                                                                                                                                                                                                                                                                                                                                                                                                                                                                                                                                                                                                                                                                                                                                                                                                                                                                                                                                                                                                                                                                                                                                                                                                                                                                                                                                                                                                                                                                                                                                                                                                                                                                                                                                                                                                                                                                                                                                                                                                                                                                        ']列，源：95ad0c0fc0728efd6176ee2613a1550d 备：None</t>
        </is>
      </c>
      <c r="AA6" s="0" t="inlineStr">
        <is>
          <t>tgt行 ['5',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备：8c1bb23576266360c4a9a9d718245e98</t>
        </is>
      </c>
      <c r="AB6" s="0" t="inlineStr">
        <is>
          <t>src行 ['4', ' ', '                    ', '                                                                                                                                                                                                                                                                                                                                                                                                                                                                                                                                                                                                                                                                                                                                                                                                                                                                                                                                                                                                                                                                                                                                                                                                                                                                                                                                                                                                                                                                                                                                                                                                                                                                                                                                                                                                                                                                                                                                                                                                                                                                                                                                                                                                                                                                                                                                                                                                                                                                                                                                                                                                                                                                                                                                                                                                                                                                                                                                                                                                                                                                                                                                                                                                                                                                                                                                                                                                                                                                                                                                                                                                                                                                                                                                                                                                                                                                                                                                                                                                                                                                                                                                                                                                                                                                                                                                                                                                                                                                                                                                                                                                                                                                                                                                                                                                                                                                                                                                                                                                                                                                                                                                                                                                                                                                                                                                                                                                                                                                                                                                                                                                                                                                                                                                                                                                                                                                                                                                                                                                                                                                                                                                                                                                                                                                                                                                                                                                                                                                                                                                                                                                                                                                                                                                                                                                                                                                                                                                                                                                                                                                                                                                                                                                                                                                                        ']列，源：95ad0c0fc0728efd6176ee2613a1550d 备：None</t>
        </is>
      </c>
      <c r="AC6" s="0"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备：d019d4aebff49513606feb0fa9e75d20</t>
        </is>
      </c>
      <c r="AD6" s="0" t="inlineStr">
        <is>
          <t>src行 ['5', '/']列，源：f1cad2934f3b4af849d5e55b081255f8 备：None</t>
        </is>
      </c>
      <c r="AE6" s="0"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备：d019d4aebff49513606feb0fa9e75d20</t>
        </is>
      </c>
      <c r="AF6" s="0" t="inlineStr">
        <is>
          <t>tgt行 ['6',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备：b8304aefe66f86420c4920ce77b47903</t>
        </is>
      </c>
      <c r="AG6" s="0" t="inlineStr">
        <is>
          <t>tgt行 ['6',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备：b8304aefe66f86420c4920ce77b47903</t>
        </is>
      </c>
      <c r="AH6" s="0" t="inlineStr">
        <is>
          <t>src行 ['5', '/']列，源：f1cad2934f3b4af849d5e55b081255f8 备：None</t>
        </is>
      </c>
      <c r="AI6" s="0"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']列，源：84359eb458ef929461bfd5c78a436c5f 备：None</t>
        </is>
      </c>
      <c r="AJ6" s="0" t="inlineStr">
        <is>
          <t>tgt行 ['6',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备：b8304aefe66f86420c4920ce77b47903</t>
        </is>
      </c>
      <c r="AK6" s="0" t="inlineStr">
        <is>
          <t>src行 ['4', ' ', '                    ', '                                                                                                                                                                                                                                                                                                                                                                                                                                                                                                                                                                                                                                                                                                                                                                                                                                                                                                                                                                                                                                                                                                                                                                                                                                                                                                                                                                                                                                                                                                                                                                                                                                                                                                                                                                                                                                                                                                                                                                                                                                                                                                                                                                                                                                                                                                                                                                                                                                                                                                                                                                                                                                                                                                                                                                                                                                                                                                                                                                                                                                                                                                                                                                                                                                                                                                                                                                                                                                                                                                                                                                                                                                                                                                                                                                                                                                                                                                                                                                                                                                                                                                                                                                                                                                                                                                                                                                                                                                                                                                                                                                                                                                                                                                                                                                                                                                                                                                                                                                                                                                                                                                                                                                                                                                                                                                                                                                                                                                                                                                                                                                                                                                                                                                                                                                                                                                                                                                                                                                                                                                                                                                                                                                                                                                                                                                                                                                                                                                                                                                                                                                                                                                                                                                                                                                                                                                                                                                                                                                                                                                                                                                                                                                                                                                                                                        ']列，源：95ad0c0fc0728efd6176ee2613a1550d 备：None</t>
        </is>
      </c>
      <c r="AL6" s="0" t="inlineStr">
        <is>
          <t>src行 ['6', '&amp;', '测试数据更新        ', '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                                                                                                                                                                                                                                                                                                                                                                                                                                                                                                                                                                                                                                                                                                                                                                                                                                                                                                                                                                                                                                                                                                                                                                                                                                                                                                                                                                                                                                                                                                                                                                                                                                                                                                                                                                                                                                                                                                                                                                                                                                                                                                                                                                                                                                                                                                                                                                                                                                                                                                                                                                                                                                                                                                                                                                                                                                                                                                                                                                                                                                                                                                                                                                                                                                                                                                                                                                                                                                                                                                                                                                                                                                                                                                                                                                                                                                                                                                                                                                                                                                                                                                                                                                                                                                                                                                                                                                                                                                                                                                                                                                                                                                                                                                                                                                                                                                                                                                                                                                                                                                                                                                                                                                                                                                                                                                                                                                                                                                                                                                                                                                                                                        ']列，源：1e9591fad80a4ffb68abc976df373212 备：None</t>
        </is>
      </c>
      <c r="AM6" s="0" t="inlineStr">
        <is>
          <t>src行 ['4', ' ', '                    ', '                                                                                                                                                                                                                                                                                                                                                                                                                                                                                                                                                                                                                                                                                                                                                                                                                                                                                                                                                                                                                                                                                                                                                                                                                                                                                                                                                                                                                                                                                                                                                                                                                                                                                                                                                                                                                                                                                                                                                                                                                                                                                                                                                                                                                                                                                                                                                                                                                                                                                                                                                                                                                                                                                                                                                                                                                                                                                                                                                                                                                                                                                                                                                                                                                                                                                                                                                                                                                                                                                                                                                                                                                                                                                                                                                                                                                                                                                                                                                                                                                                                                                                                                                                                                                                                                                                                                                                                                                                                                                                                                                                                                                                                                                                                                                                                                                                                                                                                                                                                                                                                                                                                                                                                                                                                                                                                                                                                                                                                                                                                                                                                                                                                                                                                                                                                                                                                                                                                                                                                                                                                                                                                                                                                                                                                                                                                                                                                                                                                                                                                                                                                                                                                                                                                                                                                                                                                                                                                                                                                                                                                                                                                                                                                                                                                                                        ']列，源：95ad0c0fc0728efd6176ee2613a1550d 备：None</t>
        </is>
      </c>
      <c r="AN6" s="0" t="inlineStr">
        <is>
          <t>src行 ['2',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']列，源：1b72483c10290ea02490b9f54c90e54d 备：None</t>
        </is>
      </c>
      <c r="AO6" s="0"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备：f7674a2ec53991ef24034d3745dc6e0e</t>
        </is>
      </c>
      <c r="AS6" s="0" t="inlineStr">
        <is>
          <t>tgt行 ['5', '测',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备：058723bd5a9aa3817e18b02f21bc3b5e</t>
        </is>
      </c>
      <c r="AT6" s="0" t="inlineStr">
        <is>
          <t>src行 ['4', ' ', '                    ', '                                                                                                                                                                                                                                                                                                                                                                                                                                                                                                                                                                                                                                                                                                                                                                                                                                                                                                                                                                                                                                                                                                                                                                                                                                                                                                                                                                                                                                                                                                                                                                                                                                                                                                                                                                                                                                                                                                                                                                                                                                                                                                                                                                                                                                                                                                                                                                                                                                                                                                                                                                                                                                                                                                                                                                                                                                                                                                                                                                                                                                                                                                                                                                                                                                                                                                                                                                                                                                                                                                                                                                                                                                            ']列，源：adc5a8ebac2e7f1001c11b5a60a574e6 备：None</t>
        </is>
      </c>
      <c r="AU6" s="0"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备：f7674a2ec53991ef24034d3745dc6e0e</t>
        </is>
      </c>
      <c r="AV6" s="0" t="inlineStr">
        <is>
          <t>src行 ['4', ' ', '                    ', '                                                                                                                                                                                                                                                                                                                                                                                                                                                                                                                                                                                                                                                                                                                                                                                                                                                                                                                                                                                                                                                                                                                                                                                                                                                                                                                                                                                                                                                                                                                                                                                                                                                                                                                                                                                                                                                                                                                                                                                                                                                                                                                                                                                                                                                                                                                                                                                                                                                                                                                                                                                                                                                                                                                                                                                                                                                                                                                                                                                                                                                                                                                                                                                                                                                                                                                                                                                                                                                                                                                                                                                                                                            ']列，源：adc5a8ebac2e7f1001c11b5a60a574e6 备：None</t>
        </is>
      </c>
      <c r="BA6" s="0" t="inlineStr">
        <is>
          <t>tgt行 ['5', '测',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备：058723bd5a9aa3817e18b02f21bc3b5e</t>
        </is>
      </c>
      <c r="BB6" s="0" t="inlineStr">
        <is>
          <t>src行 ['4', ' ', '                    ', '                                                                                                                                                                                                                                                                                                                                                                                                                                                                                                                                                                                                                                                                                                                                                                                                                                                                                                                                                                                                                                                                                                                                                                                                                                                                                                                                                                                                                                                                                                                                                                                                                                                                                                                                                                                                                                                                                                                                                                                                                                                                                                                                                                                                                                                                                                                                                                                                                                                                                                                                                                                                                                                                                                                                                                                                                                                                                                                                                                                                                                                                                                                                                                                                                                                                                                                                                                                                                                                                                                                                                                                                                                            ']列，源：adc5a8ebac2e7f1001c11b5a60a574e6 备：None</t>
        </is>
      </c>
      <c r="BD6" s="0" t="inlineStr">
        <is>
          <t>src行 ['4', ' ', '                    ', '                                                                                                                                                                                                                                                                                                                                                                                                                                                                                                                                                                                                                                                                                                                                                                                                                                                                                                                                                                                                                                                                                                                                                                                                                                                                                                                                                                                                                                                                                                                                                                                                                                                                                                                                                                                                                                                                                                                                                                                                                                                                                                                                                                                                                                                                                                                                                                                                                                                                                                                                                                                                                                                                                                                                                                                                                                                                                                                                                                                                                                                                                                                                                                                                                                                                                                                                                                                                                                                                                                                                                                                                                                            ']列，源：adc5a8ebac2e7f1001c11b5a60a574e6 备：None</t>
        </is>
      </c>
      <c r="BG6" s="0"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备：f7674a2ec53991ef24034d3745dc6e0e</t>
        </is>
      </c>
      <c r="BH6" s="0" t="inlineStr">
        <is>
          <t>tgt行 ['8',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备：3a07acd73034badf898a25dd5e4edfbe</t>
        </is>
      </c>
      <c r="BJ6" s="0" t="inlineStr">
        <is>
          <t>tgt行 ['8',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备：3a07acd73034badf898a25dd5e4edfbe</t>
        </is>
      </c>
      <c r="BM6" s="0" t="inlineStr">
        <is>
          <t>tgt行 ['28',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备：ba428586c19a5a8442d1c9bfc4f1e9a3</t>
        </is>
      </c>
      <c r="BO6" s="0" t="inlineStr">
        <is>
          <t>tgt行 ['4',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备：a5de67c488806e8e53922dfd23a7f9c1</t>
        </is>
      </c>
      <c r="BP6" s="0" t="inlineStr">
        <is>
          <t>src行 ['2',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']列，源：79127cf1f77189206d9bb5a4489f78d3 备：None</t>
        </is>
      </c>
      <c r="BR6" s="0" t="inlineStr">
        <is>
          <t>src行 ['7', '255', '32767', '2147483647', '9223372036854775807', '', '', '', '', '', '', '', '', '', '', '', '', '', '', '']列，源：40913b37c5e68ffe3e0791ff7ffc2253 备：None</t>
        </is>
      </c>
      <c r="BS6" s="0" t="inlineStr">
        <is>
          <t>tgt行 ['57', '255', '32767', '2147483647', '9223372036854775808', '', '', '', '', '', '', '', '', '', '', '', '', '', '', '']列，源：None 备：251b6f3f24ba2b7b6dff7af682630b57</t>
        </is>
      </c>
      <c r="BT6" s="0" t="inlineStr">
        <is>
          <t>src行 ['7', '255', '32767', '2147483647', '9223372036854775807', '', '', '', '', '', '', '', '', '', '', '', '', '', '', '']列，源：40913b37c5e68ffe3e0791ff7ffc2253 备：None</t>
        </is>
      </c>
      <c r="BU6" s="0" t="inlineStr">
        <is>
          <t>tgt行 ['57', '255', '32767', '2147483647', '9223372036854775808', '', '', '', '', '', '', '', '', '', '', '', '', '', '', '']列，源：None 备：251b6f3f24ba2b7b6dff7af682630b57</t>
        </is>
      </c>
    </row>
    <row r="7">
      <c r="B7" s="0" t="inlineStr">
        <is>
          <t>NULL</t>
        </is>
      </c>
      <c r="C7" s="0" t="inlineStr">
        <is>
          <t>NULL</t>
        </is>
      </c>
      <c r="D7" s="0" t="inlineStr">
        <is>
          <t>NULL</t>
        </is>
      </c>
      <c r="E7" s="0" t="inlineStr">
        <is>
          <t>NULL</t>
        </is>
      </c>
      <c r="F7" s="0" t="inlineStr">
        <is>
          <t>NULL</t>
        </is>
      </c>
      <c r="G7" s="0" t="inlineStr">
        <is>
          <t>NULL</t>
        </is>
      </c>
      <c r="H7" s="0" t="inlineStr">
        <is>
          <t>NULL</t>
        </is>
      </c>
      <c r="I7" s="0" t="inlineStr">
        <is>
          <t>NULL</t>
        </is>
      </c>
      <c r="J7" s="0" t="inlineStr">
        <is>
          <t>NULL</t>
        </is>
      </c>
      <c r="K7" s="0" t="inlineStr">
        <is>
          <t>[0;32m YES! [0m 	 c_time2列源备映射正确，源端为time None位	期望更改为varchar(20)	实际备端为varchar 80位	位数精度不存在，通过长度比较</t>
        </is>
      </c>
      <c r="Y7" s="0"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备：11336239bb24c640ac27443d2d8a3a3c</t>
        </is>
      </c>
      <c r="AA7" s="0"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']列，源：84359eb458ef929461bfd5c78a436c5f 备：None</t>
        </is>
      </c>
      <c r="AC7" s="0"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备：11336239bb24c640ac27443d2d8a3a3c</t>
        </is>
      </c>
      <c r="AE7" s="0"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备：11336239bb24c640ac27443d2d8a3a3c</t>
        </is>
      </c>
      <c r="AF7" s="0" t="inlineStr">
        <is>
          <t>tgt行 ['9',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备：28f601318912b3615cce30cdb53da129</t>
        </is>
      </c>
      <c r="AG7" s="0" t="inlineStr">
        <is>
          <t>tgt行 ['9',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备：28f601318912b3615cce30cdb53da129</t>
        </is>
      </c>
      <c r="AI7" s="0" t="inlineStr">
        <is>
          <t>src行 ['2', ' ', '                    ', '                                                                                                                                                                                                                                                                                                                                                                                                                                                                                                                                                                                                                                                                                                                                                                                                                                                                                                                                                                                                                                                                                                                                                                                                                                                                                                                                                                                                                                                                                                                                                                                                                                                                                                                                                                                                                                                                                                                                                                                                                                                                                                                                                                                                                                                                                                                                                                                                                                                                                                                                                                                                                                                                                                                                                                                                                                                                                                                                                                                                                                                                                                                                                                                                                                                                                                                                                                                                                                                                                                                                                                                                                                                                                                                                                                                                                                                                                                                                                                                                                                                                                                                                                                                                                                                                                                                                                                                                                                                                                                                                                                                                                                                                                                                                                                                                                                                                                                                                                                                                                                                                                                                                                                                                                                                                                                                                                                                                                                                                                                                                                                                                                                                                                                                                                                                                                                                                                                                                                                                                                                                                                                                                                                                                                                                                                                                                                                                                                                                                                                                                                                                                                                                                                                                                                                                                                                                                                                                                                                                                                                                                                                                                                                                                                                                                                        ']列，源：e6e9184d117f9a63cd2a757d28d0a88d 备：None</t>
        </is>
      </c>
      <c r="AJ7" s="0" t="inlineStr">
        <is>
          <t>tgt行 ['9',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备：28f601318912b3615cce30cdb53da129</t>
        </is>
      </c>
      <c r="AO7" s="0" t="inlineStr">
        <is>
          <t>tgt行 ['9', 'Y', '上海英方股份有限公司',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None 备：7ccffbd5a396f4b5cd29d9cbd7039161</t>
        </is>
      </c>
      <c r="AS7" s="0" t="inlineStr">
        <is>
          <t>tgt行 ['9', '英', '€¶6€¶', '€¶6€¶€¶6€¶€¶6€¶€¶6€¶€¶6€¶€¶6€¶€¶6€¶€¶6€¶€¶6€¶€¶6€¶€¶6€¶€¶6€¶€¶6€¶€¶6€¶€¶6€¶€¶6€¶€¶6€¶€¶6€¶€¶6€¶€¶6€¶€¶6€¶€¶6€¶€¶6€¶€¶6€¶€¶6€¶€¶6€¶€¶6€¶€¶6€¶€¶6€¶€¶6€¶€¶6€¶€¶6€¶€¶6€¶€¶6€¶€¶6€¶€¶6€¶€¶6€¶€¶6€¶€¶6€¶€¶6€¶€¶6€¶€¶6€¶€¶6€¶€¶6€¶€¶6€¶€¶6€¶€¶6€¶€¶6€¶€¶6€¶€¶6€¶€¶6€¶€¶6€¶€¶6€¶€¶6€¶€¶6€¶€¶6€¶€¶6€¶€¶6€¶€¶6€¶€¶6€¶€¶6€¶€¶6€¶€¶6€¶€¶6€¶€¶6€¶€¶6€¶€¶6€¶€¶6€¶€¶6€¶€¶6€¶€¶6€¶€¶6€¶€¶6€¶€¶6€¶€¶6€¶€¶6€¶€¶6€¶€¶6€¶€¶6€¶€¶6€¶                                                                                                                                                                                                                                                                                                                                                                                                                                                                                                                                                                                                                                                                                                                                                                                                                                                                                                                                                                                                                                                                                                                                                                                                                                                                                                                                                                                                                                                                                                                                                                                                                                                                                                                                                                                                                                                                                                                                                                                                                                                                                                                                                                                                                                                                                                                                                                                                                                                                                                                                                                                                                                                                                                                                                                                                                                                                                                                                                                                                                                                                                                                                                                                                                            ']列，源：None 备：0721058b19726b4d3be0491055626f4a</t>
        </is>
      </c>
      <c r="AU7" s="0" t="inlineStr">
        <is>
          <t>tgt行 ['9', 'Y', '上海英方股份有限公司',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None 备：7ccffbd5a396f4b5cd29d9cbd7039161</t>
        </is>
      </c>
      <c r="BA7" s="0" t="inlineStr">
        <is>
          <t>tgt行 ['9', '英', '€¶I€¶', '€¶I€¶€¶I€¶€¶I€¶€¶I€¶€¶I€¶€¶I€¶€¶I€¶€¶I€¶€¶I€¶€¶I€¶€¶I€¶€¶I€¶€¶I€¶€¶I€¶€¶I€¶€¶I€¶€¶I€¶€¶I€¶€¶I€¶€¶I€¶€¶I€¶€¶I€¶€¶I€¶€¶I€¶€¶I€¶€¶I€¶€¶I€¶€¶I€¶€¶I€¶€¶I€¶€¶I€¶€¶I€¶€¶I€¶€¶I€¶€¶I€¶€¶I€¶€¶I€¶€¶I€¶€¶I€¶€¶I€¶€¶I€¶€¶I€¶€¶I€¶€¶I€¶€¶I€¶€¶I€¶€¶I€¶€¶I€¶€¶I€¶€¶I€¶€¶I€¶€¶I€¶€¶I€¶€¶I€¶€¶I€¶€¶I€¶€¶I€¶€¶I€¶€¶I€¶€¶I€¶€¶I€¶€¶I€¶€¶I€¶€¶I€¶€¶I€¶€¶I€¶€¶I€¶€¶I€¶€¶I€¶€¶I€¶€¶I€¶€¶I€¶€¶I€¶€¶I€¶€¶I€¶€¶I€¶€¶I€¶€¶I€¶€¶I€¶€¶I€¶                                                                                                                                                                                                                                                                                                                                                                                                                                                                                                                                                                                                                                                                                                                                                                                                                                                                                                                                                                                                                                                                                                                                                                                                                                                                                                                                                                                                                                                                                                                                                                                                                                                                                                                                                                                                                                                                                                                                                                                                                                                                                                                                                                                                                                                                                                                                                                                                                                                                                                                                                                                                                                                                                                                                                                                                                                                                                                                                                                                                                                                                                                                                                                                                                            ']列，源：None 备：910b605787f179e959010d6a726b2b08</t>
        </is>
      </c>
      <c r="BG7" s="0" t="inlineStr">
        <is>
          <t>tgt行 ['9', 'Y', '上海英方股份有限公司',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None 备：7ccffbd5a396f4b5cd29d9cbd7039161</t>
        </is>
      </c>
      <c r="BH7" s="0" t="inlineStr">
        <is>
          <t>tgt行 ['22', '', '', '                                                                                                                                                                                                                                                                                                                                                                                                                                                                                                                                                                                                                                                                                                                                                                                                                                                                                                                                                                                                                                                                                                                                                                                                                                                                                                                                                                                                                                                                                                                                                                                                                                                                                                                                                                                                                                                                                                                                                                                                                                                                                                                                                                                                                                                                                                                                                                                                                                                                                                                                                                                                                                                                                                                                                                                                                                                                                                                                                                                                                                                                                                                                                                                                                                                                                                                                                                                                                                                                                                                                                                                                                                            ']列，源：None 备：44ebbbfc115541cbff55869bde0f90ec</t>
        </is>
      </c>
      <c r="BJ7" s="0" t="inlineStr">
        <is>
          <t>src行 ['2', ' ', '                    ', '                                                                                                                                                                                                                                                                                                                                                                                                                                                                                                                                                                                                                                                                                                                                                                                                                                                                                                                                                                                                                                                                                                                                                                                                                                                                                                                                                                                                                                                                                                                                                                                                                                                                                                                                                                                                                                                                                                                                                                                                                                                                                                                                                                                                                                                                                                                                                                                                                                                                                                                                                                                                                                                                                                                                                                                                                                                                                                                                                                                                                                                                                                                                                                                                                                                                                                                                                                                                                                                                                                                                                                                                                                            ']列，源：02d9880d07a3d705c0a13a24433be8c8 备：None</t>
        </is>
      </c>
      <c r="BM7" s="0" t="inlineStr">
        <is>
          <t>tgt行 ['56', 'Y', '€¶I€¶', '€¶I€¶€¶I€¶€¶I€¶€¶I€¶€¶I€¶€¶I€¶€¶I€¶€¶I€¶€¶I€¶€¶I€¶€¶I€¶€¶I€¶€¶I€¶€¶I€¶€¶I€¶€¶I€¶€¶I€¶€¶I€¶€¶I€¶€¶I€¶€¶I€¶€¶I€¶€¶I€¶€¶I€¶€¶I€¶€¶I€¶€¶I€¶€¶I€¶€¶I€¶€¶I€¶€¶I€¶€¶I€¶€¶I€¶€¶I€¶€¶I€¶€¶I€¶€¶I€¶€¶I€¶€¶I€¶€¶I€¶€¶I€¶€¶I€¶€¶I€¶€¶I€¶€¶I€¶€¶I€¶€¶I€¶€¶I€¶€¶I€¶€¶I€¶€¶I€¶€¶I€¶€¶I€¶€¶I€¶€¶I€¶€¶I€¶€¶I€¶€¶I€¶€¶I€¶€¶I€¶€¶I€¶€¶I€¶€¶I€¶€¶I€¶€¶I€¶€¶I€¶€¶I€¶€¶I€¶€¶I€¶€¶I€¶€¶I€¶€¶I€¶€¶I€¶€¶I€¶€¶I€¶€¶I€¶€¶I€¶€¶I€¶€¶I€¶€¶I€¶€¶I€¶€¶I€¶€¶I€¶€¶I€¶€¶I€¶€¶I€¶€¶I€¶€¶I€¶€¶I€¶€¶I€¶€¶I€¶€¶I€¶€¶I€¶€¶I€¶€¶I€¶€¶I€¶€¶I€¶€¶I€¶€¶I€¶€¶I€¶€¶I€¶€¶I€¶€¶I€¶€¶I€¶€¶I€¶€¶I€¶€¶I€¶€¶I€¶€¶I€¶€¶I€¶€¶I€¶€¶I€¶€¶I€¶€¶I€¶€¶I€¶€¶I€¶€¶I€¶€¶I€¶€¶I€¶€¶I€¶€¶I€¶€¶I€¶€¶I€¶€¶I€¶€¶I€¶€¶I€¶€¶I€¶€¶I€¶€¶I€¶€¶I€¶€¶I€¶€¶I€¶€¶I€¶€¶I€¶€¶I€¶€¶I€¶€¶I€¶€¶I€¶€¶I€¶€¶I€¶€¶I€¶€¶I€¶€¶I€¶€¶I€¶€¶I€¶€¶I€¶€¶I€¶€¶I€¶€¶I€¶€¶I€¶€¶I€¶€¶I€¶€¶I€¶€¶I€¶€¶I€¶€¶I€¶€¶I€¶€¶I€¶€¶I€¶€¶I€¶€¶I€¶€¶I€¶€¶I€¶€¶I€¶€¶I€¶€¶I€¶€¶I€¶€¶I€¶€¶I€¶€¶I€¶€¶I€¶€¶I€¶€¶I€¶€¶I€¶€¶I€¶€¶I€¶€¶I€¶€¶I€¶€¶I€¶€¶I€¶€¶I€¶€¶I€¶€¶I€¶€¶I€¶€¶I€¶€¶I€¶€¶I€¶€¶I€¶€¶I€¶€¶I€¶€¶I€¶€¶I€¶€¶I€¶€¶I€¶€¶I€¶€¶I€¶€¶I€¶€¶I€¶€¶I€¶€¶I€¶                                                                                                                                                                                                                                                                                                                                                                                                                                                                                                                                                                                                                                                                                                                                                                                                                                                                                                                                                                                                                                                                                                                                                                                                                                                                                                                                                                                                                                                                                                                                                                                                                                                                                                                                                                                                                                                                                                                                                                                                                                                                                                                                                                                                                                                                                                                                                                                                                                                                                                                                                                                                    ']列，源：None 备：d63c48582facc8910b08cdcc93455588</t>
        </is>
      </c>
      <c r="BO7" s="0" t="inlineStr">
        <is>
          <t>tgt行 ['5',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备：e505824c872b12c7df6911a1a0d3f7a1</t>
        </is>
      </c>
      <c r="BS7"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U7" s="0"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row>
    <row r="8">
      <c r="B8" s="0" t="inlineStr">
        <is>
          <t>NULL</t>
        </is>
      </c>
      <c r="C8" s="0" t="inlineStr">
        <is>
          <t>NULL</t>
        </is>
      </c>
      <c r="D8" s="0" t="inlineStr">
        <is>
          <t>NULL</t>
        </is>
      </c>
      <c r="E8" s="0" t="inlineStr">
        <is>
          <t>NULL</t>
        </is>
      </c>
      <c r="F8" s="0" t="inlineStr">
        <is>
          <t>NULL</t>
        </is>
      </c>
      <c r="G8" s="0" t="inlineStr">
        <is>
          <t>NULL</t>
        </is>
      </c>
      <c r="H8" s="0" t="inlineStr">
        <is>
          <t>NULL</t>
        </is>
      </c>
      <c r="I8" s="0" t="inlineStr">
        <is>
          <t>NULL</t>
        </is>
      </c>
      <c r="J8" s="0" t="inlineStr">
        <is>
          <t>NULL</t>
        </is>
      </c>
      <c r="K8" s="0" t="inlineStr">
        <is>
          <t>[0;32m YES! [0m 	 c_time3列源备映射正确，源端为time None位	期望更改为varchar(20)	实际备端为varchar 80位	位数精度不存在，通过长度比较</t>
        </is>
      </c>
      <c r="Y8" s="0"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备：898fa726310e60b77cebda58e9ff4ca1</t>
        </is>
      </c>
      <c r="AA8" s="0" t="inlineStr">
        <is>
          <t>src行 ['2', ' ', '                    ', '                                                                                                                                                                                                                                                                                                                                                                                                                                                                                                                                                                                                                                                                                                                                                                                                                                                                                                                                                                                                                                                                                                                                                                                                                                                                                                                                                                                                                                                                                                                                                                                                                                                                                                                                                                                                                                                                                                                                                                                                                                                                                                                                                                                                                                                                                                                                                                                                                                                                                                                                                                                                                                                                                                                                                                                                                                                                                                                                                                                                                                                                                                                                                                                                                                                                                                                                                                                                                                                                                                                                                                                                                                                                                                                                                                                                                                                                                                                                                                                                                                                                                                                                                                                                                                                                                                                                                                                                                                                                                                                                                                                                                                                                                                                                                                                                                                                                                                                                                                                                                                                                                                                                                                                                                                                                                                                                                                                                                                                                                                                                                                                                                                                                                                                                                                                                                                                                                                                                                                                                                                                                                                                                                                                                                                                                                                                                                                                                                                                                                                                                                                                                                                                                                                                                                                                                                                                                                                                                                                                                                                                                                                                                                                                                                                                                                        ']列，源：e6e9184d117f9a63cd2a757d28d0a88d 备：None</t>
        </is>
      </c>
      <c r="AC8" s="0"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备：898fa726310e60b77cebda58e9ff4ca1</t>
        </is>
      </c>
      <c r="AE8" s="0"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备：898fa726310e60b77cebda58e9ff4ca1</t>
        </is>
      </c>
      <c r="AF8" s="0" t="inlineStr">
        <is>
          <t>tgt行 ['22', '', '', '                                                                                                                                                                                                                                                                                                                                                                                                                                                                                                                                                                                                                                                                                                                                                                                                                                                                                                                                                                                                                                                                                                                                                                                                                                                                                                                                                                                                                                                                                                                                                                                                                                                                                                                                                                                                                                                                                                                                                                                                                                                                                                                                                                                                                                                                                                                                                                                                                                                                                                                                                                                                                                                                                                                                                                                                                                                                                                                                                                                                                                                                                                                                                                                                                                                                                                                                                                                                                                                                                                                                                                                                                                                                                                                                                                                                                                                                                                                                                                                                                                                                                                                                                                                                                                                                                                                                                                                                                                                                                                                                                                                                                                                                                                                                                                                                                                                                                                                                                                                                                                                                                                                                                                                                                                                                                                                                                                                                                                                                                                                                                                                                                                                                                                                                                                                                                                                                                                                                                                                                                                                                                                                                                                                                                                                                                                                                                                                                                                                                                                                                                                                                                                                                                                                                                                                                                                                                                                                                                                                                                                                                                                                                                                                                                                                                                                                                                                                                                                                                                                                                                                                                                                                                                                                                                                                                                                                                                                                                                                                                                                                                                                                                                                                                                                                                                                                                ']列，源：None 备：caa10bc88519e51879bb65b949eca3e4</t>
        </is>
      </c>
      <c r="AG8" s="0" t="inlineStr">
        <is>
          <t>src行 ['2', ' ', '                    ', '                                                                                                                                                                                                                                                                                                                                                                                                                                                                                                                                                                                                                                                                                                                                                                                                                                                                                                                                                                                                                                                                                                                                                                                                                                                                                                                                                                                                                                                                                                                                                                                                                                                                                                                                                                                                                                                                                                                                                                                                                                                                                                                                                                                                                                                                                                                                                                                                                                                                                                                                                                                                                                                                                                                                                                                                                                                                                                                                                                                                                                                                                                                                                                                                                                                                                                                                                                                                                                                                                                                                                                                                                                                                                                                                                                                                                                                                                                                                                                                                                                                                                                                                                                                                                                                                                                                                                                                                                                                                                                                                                                                                                                                                                                                                                                                                                                                                                                                                                                                                                                                                                                                                                                                                                                                                                                                                                                                                                                                                                                                                                                                                                                                                                                                                                                                                                                                                                                                                                                                                                                                                                                                                                                                                                                                                                                                                                                                                                                                                                                                                                                                                                                                                                                                                                                                                                                                                                                                                                                                                                                                                                                                                                                                                                                                                                                                                                                                                                                                                                                                                                                                                                                                                                                                                                                                                                                                                                                                                                                                                                                                                                                                                                                                                                                                                                                                                ']列，源：f6f27b4fce84894f44b4fe1b2769a4af 备：None</t>
        </is>
      </c>
      <c r="AI8" s="0" t="inlineStr">
        <is>
          <t>src行 ['4', ' ', '                    ', '                                                                                                                                                                                                                                                                                                                                                                                                                                                                                                                                                                                                                                                                                                                                                                                                                                                                                                                                                                                                                                                                                                                                                                                                                                                                                                                                                                                                                                                                                                                                                                                                                                                                                                                                                                                                                                                                                                                                                                                                                                                                                                                                                                                                                                                                                                                                                                                                                                                                                                                                                                                                                                                                                                                                                                                                                                                                                                                                                                                                                                                                                                                                                                                                                                                                                                                                                                                                                                                                                                                                                                                                                                                                                                                                                                                                                                                                                                                                                                                                                                                                                                                                                                                                                                                                                                                                                                                                                                                                                                                                                                                                                                                                                                                                                                                                                                                                                                                                                                                                                                                                                                                                                                                                                                                                                                                                                                                                                                                                                                                                                                                                                                                                                                                                                                                                                                                                                                                                                                                                                                                                                                                                                                                                                                                                                                                                                                                                                                                                                                                                                                                                                                                                                                                                                                                                                                                                                                                                                                                                                                                                                                                                                                                                                                                                                        ']列，源：95ad0c0fc0728efd6176ee2613a1550d 备：None</t>
        </is>
      </c>
      <c r="AJ8" s="0" t="inlineStr">
        <is>
          <t>tgt行 ['56',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备：05a6adbc19528c2f0d44cdba39c93f0e</t>
        </is>
      </c>
      <c r="AO8" s="0"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备：ea8411046e85b789223f6e6f9ac52f79</t>
        </is>
      </c>
      <c r="AS8" s="0" t="inlineStr">
        <is>
          <t>tgt行 ['10', '￥',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备：32d10d413714f4ce6373998f39ae2514</t>
        </is>
      </c>
      <c r="AU8" s="0"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备：ea8411046e85b789223f6e6f9ac52f79</t>
        </is>
      </c>
      <c r="BA8" s="0" t="inlineStr">
        <is>
          <t>tgt行 ['10', '￥',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备：32d10d413714f4ce6373998f39ae2514</t>
        </is>
      </c>
      <c r="BG8" s="0"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备：ea8411046e85b789223f6e6f9ac52f79</t>
        </is>
      </c>
      <c r="BH8" s="0" t="inlineStr">
        <is>
          <t>tgt行 ['26', 'Y', '€¶I€¶', '€¶I€¶€¶I€¶€¶I€¶€¶I€¶€¶I€¶€¶I€¶€¶I€¶€¶I€¶€¶I€¶€¶I€¶€¶I€¶€¶I€¶€¶I€¶€¶I€¶€¶I€¶€¶I€¶€¶I€¶€¶I€¶€¶I€¶€¶I€¶€¶I€¶€¶I€¶€¶I€¶€¶I€¶€¶I€¶€¶I€¶€¶I€¶€¶I€¶€¶I€¶€¶I€¶€¶I€¶€¶I€¶€¶I€¶€¶I€¶€¶I€¶€¶I€¶€¶I€¶€¶I€¶€¶I€¶€¶I€¶€¶I€¶€¶I€¶€¶I€¶€¶I€¶€¶I€¶€¶I€¶€¶I€¶€¶I€¶€¶I€¶€¶I€¶€¶I€¶€¶I€¶€¶I€¶€¶I€¶€¶I€¶€¶I€¶€¶I€¶€¶I€¶€¶I€¶€¶I€¶€¶I€¶€¶I€¶€¶I€¶€¶I€¶€¶I€¶€¶I€¶€¶I€¶€¶I€¶€¶I€¶€¶I€¶€¶I€¶€¶I€¶€¶I€¶€¶I€¶€¶I€¶€¶I€¶€¶I€¶€¶I€¶€¶I€¶€¶I€¶€¶I€¶€¶I€¶€¶I€¶€¶I€¶€¶I€¶€¶I€¶€¶I€¶€¶I€¶€¶I€¶€¶I€¶€¶I€¶€¶I€¶€¶I€¶€¶I€¶€¶I€¶€¶I€¶€¶I€¶€¶I€¶€¶I€¶€¶I€¶€¶I€¶€¶I€¶€¶I€¶€¶I€¶€¶I€¶€¶I€¶€¶I€¶€¶I€¶€¶I€¶€¶I€¶€¶I€¶€¶I€¶€¶I€¶€¶I€¶€¶I€¶€¶I€¶€¶I€¶€¶I€¶€¶I€¶€¶I€¶€¶I€¶€¶I€¶€¶I€¶€¶I€¶€¶I€¶€¶I€¶€¶I€¶€¶I€¶€¶I€¶€¶I€¶€¶I€¶€¶I€¶€¶I€¶€¶I€¶€¶I€¶€¶I€¶€¶I€¶€¶I€¶€¶I€¶€¶I€¶€¶I€¶€¶I€¶€¶I€¶€¶I€¶€¶I€¶€¶I€¶€¶I€¶€¶I€¶€¶I€¶€¶I€¶€¶I€¶€¶I€¶€¶I€¶€¶I€¶€¶I€¶€¶I€¶€¶I€¶€¶I€¶€¶I€¶€¶I€¶€¶I€¶€¶I€¶€¶I€¶€¶I€¶€¶I€¶€¶I€¶€¶I€¶€¶I€¶€¶I€¶€¶I€¶€¶I€¶€¶I€¶€¶I€¶€¶I€¶€¶I€¶€¶I€¶€¶I€¶€¶I€¶€¶I€¶€¶I€¶€¶I€¶€¶I€¶€¶I€¶€¶I€¶€¶I€¶€¶I€¶€¶I€¶€¶I€¶€¶I€¶€¶I€¶€¶I€¶€¶I€¶€¶I€¶€¶I€¶€¶I€¶€¶I€¶€¶I€¶€¶I€¶€¶I€¶€¶I€¶                                                                                                                                                                                                                                                                                                                                                                                                                                                                                                                                                                                                                                                                                                                                                                                                                                                                                                                                                                                                                                                                                                                                                                                                                                                                                                                                                                                                                                                                                                                                                                                                                                                                                                                                                                                                                                                                                                                                                                                                                                                                                                                                                                                                                                                                                                                                                                                                                                                                                                                                                                                                    ']列，源：None 备：861f8bd62324fa207cefffa797a08398</t>
        </is>
      </c>
      <c r="BJ8" s="0" t="inlineStr">
        <is>
          <t>src行 ['6', 'Y', '€¶I€¶               ', '€¶I€¶€¶I€¶€¶I€¶€¶I€¶€¶I€¶€¶I€¶€¶I€¶€¶I€¶€¶I€¶€¶I€¶€¶I€¶€¶I€¶€¶I€¶€¶I€¶€¶I€¶€¶I€¶€¶I€¶€¶I€¶€¶I€¶€¶I€¶€¶I€¶€¶I€¶€¶I€¶€¶I€¶€¶I€¶€¶I€¶€¶I€¶€¶I€¶€¶I€¶€¶I€¶€¶I€¶€¶I€¶€¶I€¶€¶I€¶€¶I€¶€¶I€¶€¶I€¶€¶I€¶€¶I€¶€¶I€¶€¶I€¶€¶I€¶€¶I€¶€¶I€¶€¶I€¶€¶I€¶€¶I€¶€¶I€¶€¶I€¶€¶I€¶€¶I€¶€¶I€¶€¶I€¶€¶I€¶€¶I€¶€¶I€¶€¶I€¶€¶I€¶€¶I€¶€¶I€¶€¶I€¶€¶I€¶€¶I€¶€¶I€¶€¶I€¶€¶I€¶€¶I€¶€¶I€¶€¶I€¶€¶I€¶€¶I€¶€¶I€¶€¶I€¶€¶I€¶€¶I€¶€¶I€¶€¶I€¶€¶I€¶€¶I€¶€¶I€¶€¶I€¶€¶I€¶€¶I€¶€¶I€¶€¶I€¶€¶I€¶€¶I€¶€¶I€¶€¶I€¶€¶I€¶€¶I€¶€¶I€¶€¶I€¶€¶I€¶€¶I€¶€¶I€¶€¶I€¶€¶I€¶€¶I€¶€¶I€¶€¶I€¶€¶I€¶€¶I€¶€¶I€¶€¶I€¶€¶I€¶€¶I€¶€¶I€¶€¶I€¶€¶I€¶€¶I€¶€¶I€¶€¶I€¶€¶I€¶€¶I€¶€¶I€¶€¶I€¶€¶I€¶€¶I€¶€¶I€¶€¶I€¶€¶I€¶€¶I€¶€¶I€¶€¶I€¶€¶I€¶€¶I€¶€¶I€¶€¶I€¶€¶I€¶€¶I€¶€¶I€¶€¶I€¶€¶I€¶€¶I€¶€¶I€¶€¶I€¶€¶I€¶€¶I€¶€¶I€¶€¶I€¶€¶I€¶€¶I€¶€¶I€¶€¶I€¶€¶I€¶€¶I€¶€¶I€¶€¶I€¶€¶I€¶€¶I€¶€¶I€¶€¶I€¶€¶I€¶€¶I€¶€¶I€¶€¶I€¶€¶I€¶€¶I€¶€¶I€¶€¶I€¶€¶I€¶€¶I€¶€¶I€¶€¶I€¶€¶I€¶€¶I€¶€¶I€¶€¶I€¶€¶I€¶€¶I€¶€¶I€¶€¶I€¶€¶I€¶€¶I€¶€¶I€¶€¶I€¶€¶I€¶€¶I€¶€¶I€¶€¶I€¶€¶I€¶€¶I€¶€¶I€¶€¶I€¶€¶I€¶€¶I€¶€¶I€¶€¶I€¶€¶I€¶€¶I€¶€¶I€¶€¶I€¶€¶I€¶€¶I€¶€¶I€¶€¶I€¶€¶I€¶€¶I€¶€¶I€¶                                                                                                                                                                                                                                                                                                                                                                                                                                                                                                                                                                                                                                                                                                                                                                                                                                                                                                                                                                                                                                                                                                                                                                                                                                                                                                                                                                                                                                                                                                                                                                                                                                                                                                                                                                                                                                                                                                                                                                                                                                                                                                                                                                                                                                                                                                                                                                                                                                                                                                                                                                                                    ']列，源：fe7f40f2102ce276b6cabcbcdeb1213e 备：None</t>
        </is>
      </c>
      <c r="BM8" s="0" t="inlineStr">
        <is>
          <t>tgt行 ['57',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备：3c8bab5aef56df4c0f3f2dc2fe3a43d7</t>
        </is>
      </c>
      <c r="BO8" s="0" t="inlineStr">
        <is>
          <t>tgt行 ['6',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备：24f5422a8123f6b7345b1bffacb66397</t>
        </is>
      </c>
      <c r="BS8" s="0" t="inlineStr">
        <is>
          <t>src行 ['7', '255', '32767', '2147483647', '9223372036854775807', '', '', '', '', '', '', '', '', '', '', '', '', '', '', '']列，源：40913b37c5e68ffe3e0791ff7ffc2253 备：None</t>
        </is>
      </c>
      <c r="BU8" s="0" t="inlineStr">
        <is>
          <t>src行 ['7', '255', '32767', '2147483647', '9223372036854775807', '', '', '', '', '', '', '', '', '', '', '', '', '', '', '']列，源：40913b37c5e68ffe3e0791ff7ffc2253 备：None</t>
        </is>
      </c>
    </row>
    <row r="9">
      <c r="B9" s="0" t="inlineStr">
        <is>
          <t>NULL</t>
        </is>
      </c>
      <c r="C9" s="0" t="inlineStr">
        <is>
          <t>NULL</t>
        </is>
      </c>
      <c r="D9" s="0" t="inlineStr">
        <is>
          <t>NULL</t>
        </is>
      </c>
      <c r="E9" s="0" t="inlineStr">
        <is>
          <t>NULL</t>
        </is>
      </c>
      <c r="F9" s="0" t="inlineStr">
        <is>
          <t>NULL</t>
        </is>
      </c>
      <c r="G9" s="0" t="inlineStr">
        <is>
          <t>NULL</t>
        </is>
      </c>
      <c r="H9" s="0" t="inlineStr">
        <is>
          <t>NULL</t>
        </is>
      </c>
      <c r="I9" s="0" t="inlineStr">
        <is>
          <t>NULL</t>
        </is>
      </c>
      <c r="J9" s="0" t="inlineStr">
        <is>
          <t>NULL</t>
        </is>
      </c>
      <c r="K9" s="0" t="inlineStr">
        <is>
          <t>[0;32m YES! [0m 	 c_time4列源备映射正确，源端为time None位	期望更改为varchar(20)	实际备端为varchar 80位	位数精度不存在，通过长度比较</t>
        </is>
      </c>
      <c r="Y9" s="0" t="inlineStr">
        <is>
          <t>tgt行 ['15', '?', '€?6€?',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']列，源：None 备：d13d995bf19ae1f6cd9c89f6f97aa265</t>
        </is>
      </c>
      <c r="AA9" s="0" t="inlineStr">
        <is>
          <t>src行 ['4', ' ', '                    ', '                                                                                                                                                                                                                                                                                                                                                                                                                                                                                                                                                                                                                                                                                                                                                                                                                                                                                                                                                                                                                                                                                                                                                                                                                                                                                                                                                                                                                                                                                                                                                                                                                                                                                                                                                                                                                                                                                                                                                                                                                                                                                                                                                                                                                                                                                                                                                                                                                                                                                                                                                                                                                                                                                                                                                                                                                                                                                                                                                                                                                                                                                                                                                                                                                                                                                                                                                                                                                                                                                                                                                                                                                                                                                                                                                                                                                                                                                                                                                                                                                                                                                                                                                                                                                                                                                                                                                                                                                                                                                                                                                                                                                                                                                                                                                                                                                                                                                                                                                                                                                                                                                                                                                                                                                                                                                                                                                                                                                                                                                                                                                                                                                                                                                                                                                                                                                                                                                                                                                                                                                                                                                                                                                                                                                                                                                                                                                                                                                                                                                                                                                                                                                                                                                                                                                                                                                                                                                                                                                                                                                                                                                                                                                                                                                                                                                        ']列，源：95ad0c0fc0728efd6176ee2613a1550d 备：None</t>
        </is>
      </c>
      <c r="AC9" s="0" t="inlineStr">
        <is>
          <t>tgt行 ['15',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备：cc0281376acb7e2949d7c6a565acdc17</t>
        </is>
      </c>
      <c r="AE9" s="0" t="inlineStr">
        <is>
          <t>tgt行 ['15',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备：cc0281376acb7e2949d7c6a565acdc17</t>
        </is>
      </c>
      <c r="AF9" s="0" t="inlineStr">
        <is>
          <t>tgt行 ['23',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备：ee2ffd96548bf161cc87403e72bb88e8</t>
        </is>
      </c>
      <c r="AG9" s="0" t="inlineStr">
        <is>
          <t>src行 ['3',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']列，源：80ce671eeca0b55a629ff4f3a0b1f178 备：None</t>
        </is>
      </c>
      <c r="AJ9" s="0" t="inlineStr">
        <is>
          <t>tgt行 ['59',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备：e596f5dacd92ddba5eb9f82e06f8bc36</t>
        </is>
      </c>
      <c r="AO9" s="0"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备：d418245efa7b505bb7b965a961babf98</t>
        </is>
      </c>
      <c r="AS9" s="0"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']列，源：90cdc9706132f799ab275d6b8e6fcfd1 备：None</t>
        </is>
      </c>
      <c r="AU9" s="0"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备：d418245efa7b505bb7b965a961babf98</t>
        </is>
      </c>
      <c r="BA9" s="0"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']列，源：90cdc9706132f799ab275d6b8e6fcfd1 备：None</t>
        </is>
      </c>
      <c r="BG9" s="0"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备：d418245efa7b505bb7b965a961babf98</t>
        </is>
      </c>
      <c r="BH9" s="0" t="inlineStr">
        <is>
          <t>tgt行 ['27',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备：0d98e9bb8204fd1c68bac115ac428f2b</t>
        </is>
      </c>
      <c r="BJ9" s="0" t="inlineStr">
        <is>
          <t>src行 ['7',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']列，源：99577313aa6c12424a76d5f06e546e28 备：None</t>
        </is>
      </c>
      <c r="BM9" s="0" t="inlineStr">
        <is>
          <t>tgt行 ['58',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备：503b4bc061181cdd401b0af89f52a5cb</t>
        </is>
      </c>
      <c r="BO9" s="0" t="inlineStr">
        <is>
          <t>tgt行 ['7',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备：964999a4aaa724fa065d016a23912c88</t>
        </is>
      </c>
      <c r="BS9" s="0" t="inlineStr">
        <is>
          <t>src行 ['52', '255', '32767', '2147483647', '9223372036854775807', '', '', '', '', '', '', '', '', '', '', '', '', '', '', '']列，源：53ac74c7719a79671a4d3cc61decfa2a 备：None</t>
        </is>
      </c>
      <c r="BU9" s="0" t="inlineStr">
        <is>
          <t>src行 ['52', '255', '32767', '2147483647', '9223372036854775807', '', '', '', '', '', '', '', '', '', '', '', '', '', '', '']列，源：53ac74c7719a79671a4d3cc61decfa2a 备：None</t>
        </is>
      </c>
    </row>
    <row r="10">
      <c r="B10" s="0" t="inlineStr">
        <is>
          <t>NULL</t>
        </is>
      </c>
      <c r="C10" s="0" t="inlineStr">
        <is>
          <t>NULL</t>
        </is>
      </c>
      <c r="D10" s="0" t="inlineStr">
        <is>
          <t>NULL</t>
        </is>
      </c>
      <c r="E10" s="0" t="inlineStr">
        <is>
          <t>NULL</t>
        </is>
      </c>
      <c r="F10" s="0" t="inlineStr">
        <is>
          <t>NULL</t>
        </is>
      </c>
      <c r="G10" s="0" t="inlineStr">
        <is>
          <t>NULL</t>
        </is>
      </c>
      <c r="H10" s="0" t="inlineStr">
        <is>
          <t>NULL</t>
        </is>
      </c>
      <c r="I10" s="0" t="inlineStr">
        <is>
          <t>NULL</t>
        </is>
      </c>
      <c r="J10" s="0" t="inlineStr">
        <is>
          <t>NULL</t>
        </is>
      </c>
      <c r="K10" s="0" t="inlineStr">
        <is>
          <t>[0;32m YES! [0m 	 c_time5列源备映射正确，源端为time None位	期望更改为varchar(20)	实际备端为varchar 80位	位数精度不存在，通过长度比较</t>
        </is>
      </c>
      <c r="Y10" s="0" t="inlineStr">
        <is>
          <t>src行 ['2', ' ', '                    ', '                                                                                                                                                                                                                                                                                                                                                                                                                                                                                                                                                                                                                                                                                                                                                                                                                                                                                                                                                                                                                                                                                                                                                                                                                                                                                                                                                                                                                                                                                                                                                                                                                                                                                                                                                                                                                                                                                                                                                                                                                                                                                                                                                                                                                                                                                                                                                                                                                                                                                                                                                                                                                                                                                                                                                                                                                                                                                                                                                                                                                                                                                                                                                                                                                                                                                                                                                                                                                                                                                                                                                                                                                                                                                                                                                                                                                                                                                                                                                                                                                                                                                                                                                                                                                                                                                                                                                                                                                                                                                                                                                                                                                                                                                                                                                                                                                                                                                                                                                                                                                                                                                                                                                                                                                                                                                                                                                                                                                                                                                                                                                                                                                                                                                                                                                                                                                                                                                                                                                                                                                                                                                                                                                                                                                                                                                                                                                                                                                                                                                                                                                                                                                                                                                                                                                                                                                                                                                                                                                                                                                                                                                                                                                                                                                                                                                                                                                                                                                                                                                                                                                                                                                                                                                                                                                                                                                                                                                                                                                                                                                                                                                                                                                                                                                                                                                                                                ']列，源：f6f27b4fce84894f44b4fe1b2769a4af 备：None</t>
        </is>
      </c>
      <c r="AA10" s="0" t="inlineStr">
        <is>
          <t>src行 ['5',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']列，源：8a0217e8e7a6b6eb402bc7c2b3f8fa50 备：None</t>
        </is>
      </c>
      <c r="AC10" s="0" t="inlineStr">
        <is>
          <t>src行 ['2', ' ', '                    ', '                                                                                                                                                                                                                                                                                                                                                                                                                                                                                                                                                                                                                                                                                                                                                                                                                                                                                                                                                                                                                                                                                                                                                                                                                                                                                                                                                                                                                                                                                                                                                                                                                                                                                                                                                                                                                                                                                                                                                                                                                                                                                                                                                                                                                                                                                                                                                                                                                                                                                                                                                                                                                                                                                                                                                                                                                                                                                                                                                                                                                                                                                                                                                                                                                                                                                                                                                                                                                                                                                                                                                                                                                                                                                                                                                                                                                                                                                                                                                                                                                                                                                                                                                                                                                                                                                                                                                                                                                                                                                                                                                                                                                                                                                                                                                                                                                                                                                                                                                                                                                                                                                                                                                                                                                                                                                                                                                                                                                                                                                                                                                                                                                                                                                                                                                                                                                                                                                                                                                                                                                                                                                                                                                                                                                                                                                                                                                                                                                                                                                                                                                                                                                                                                                                                                                                                                                                                                                                                                                                                                                                                                                                                                                                                                                                                                                                                                                                                                                                                                                                                                                                                                                                                                                                                                                                                                                                                                                                                                                                                                                                                                                                                                                                                                                                                                                                                                ']列，源：f6f27b4fce84894f44b4fe1b2769a4af 备：None</t>
        </is>
      </c>
      <c r="AE10" s="0" t="inlineStr">
        <is>
          <t>src行 ['2', ' ', '                    ', '                                                                                                                                                                                                                                                                                                                                                                                                                                                                                                                                                                                                                                                                                                                                                                                                                                                                                                                                                                                                                                                                                                                                                                                                                                                                                                                                                                                                                                                                                                                                                                                                                                                                                                                                                                                                                                                                                                                                                                                                                                                                                                                                                                                                                                                                                                                                                                                                                                                                                                                                                                                                                                                                                                                                                                                                                                                                                                                                                                                                                                                                                                                                                                                                                                                                                                                                                                                                                                                                                                                                                                                                                                                                                                                                                                                                                                                                                                                                                                                                                                                                                                                                                                                                                                                                                                                                                                                                                                                                                                                                                                                                                                                                                                                                                                                                                                                                                                                                                                                                                                                                                                                                                                                                                                                                                                                                                                                                                                                                                                                                                                                                                                                                                                                                                                                                                                                                                                                                                                                                                                                                                                                                                                                                                                                                                                                                                                                                                                                                                                                                                                                                                                                                                                                                                                                                                                                                                                                                                                                                                                                                                                                                                                                                                                                                                                                                                                                                                                                                                                                                                                                                                                                                                                                                                                                                                                                                                                                                                                                                                                                                                                                                                                                                                                                                                                                                ']列，源：f6f27b4fce84894f44b4fe1b2769a4af 备：None</t>
        </is>
      </c>
      <c r="AF10" s="0" t="inlineStr">
        <is>
          <t>tgt行 ['25',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备：96edd8c0fcfb3d0932518ce703311895</t>
        </is>
      </c>
      <c r="AG10" s="0" t="inlineStr">
        <is>
          <t>src行 ['5',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']列，源：1b07fa796a4047401456235b0baf2482 备：None</t>
        </is>
      </c>
      <c r="AJ10" s="0" t="inlineStr">
        <is>
          <t>tgt行 ['106',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备：637de52d7ac424b25fc57a5b2f9ee14b</t>
        </is>
      </c>
      <c r="AO10" s="0" t="inlineStr">
        <is>
          <t>tgt行 ['14', 'Y', '测Test\\n%_8试&amp;12YG@2',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']列，源：None 备：82f5eed6d376f2ff19c317ef6718a8d7</t>
        </is>
      </c>
      <c r="AS10" s="0" t="inlineStr">
        <is>
          <t>src行 ['2', ' ', '                    ', '                                                                                                                                                                                                                                                                                                                                                                                                                                                                                                                                                                                                                                                                                                                                                                                                                                                                                                                                                                                                                                                                                                                                                                                                                                                                                                                                                                                                                                                                                                                                                                                                                                                                                                                                                                                                                                                                                                                                                                                                                                                                                                                                                                                                                                                                                                                                                                                                                                                                                                                                                                                                                                                                                                                                                                                                                                                                                                                                                                                                                                                                                                                                                                                                                                                                                                                                                                                                                                                                                                                                                                                                                                            ']列，源：02d9880d07a3d705c0a13a24433be8c8 备：None</t>
        </is>
      </c>
      <c r="AU10" s="0" t="inlineStr">
        <is>
          <t>tgt行 ['14', 'Y', '测Test\\n%_8试&amp;12YG@2',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']列，源：None 备：82f5eed6d376f2ff19c317ef6718a8d7</t>
        </is>
      </c>
      <c r="BA10" s="0" t="inlineStr">
        <is>
          <t>src行 ['2', ' ', '                    ', '                                                                                                                                                                                                                                                                                                                                                                                                                                                                                                                                                                                                                                                                                                                                                                                                                                                                                                                                                                                                                                                                                                                                                                                                                                                                                                                                                                                                                                                                                                                                                                                                                                                                                                                                                                                                                                                                                                                                                                                                                                                                                                                                                                                                                                                                                                                                                                                                                                                                                                                                                                                                                                                                                                                                                                                                                                                                                                                                                                                                                                                                                                                                                                                                                                                                                                                                                                                                                                                                                                                                                                                                                                            ']列，源：02d9880d07a3d705c0a13a24433be8c8 备：None</t>
        </is>
      </c>
      <c r="BG10" s="0" t="inlineStr">
        <is>
          <t>tgt行 ['14', 'Y', '测Test\\n%_8试&amp;12YG@2',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']列，源：None 备：82f5eed6d376f2ff19c317ef6718a8d7</t>
        </is>
      </c>
      <c r="BH10" s="0" t="inlineStr">
        <is>
          <t>tgt行 ['28',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备：ba428586c19a5a8442d1c9bfc4f1e9a3</t>
        </is>
      </c>
      <c r="BJ10" s="0" t="inlineStr">
        <is>
          <t>src行 ['8',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']列，源：1f4a40f4d8e07429cdca730b9795f7f7 备：None</t>
        </is>
      </c>
      <c r="BM10" s="0" t="inlineStr">
        <is>
          <t>src行 ['22', ' ', '                    ', '                                                                                                                                                                                                                                                                                                                                                                                                                                                                                                                                                                                                                                                                                                                                                                                                                                                                                                                                                                                                                                                                                                                                                                                                                                                                                                                                                                                                                                                                                                                                                                                                                                                                                                                                                                                                                                                                                                                                                                                                                                                                                                                                                                                                                                                                                                                                                                                                                                                                                                                                                                                                                                                                                                                                                                                                                                                                                                                                                                                                                                                                                                                                                                                                                                                                                                                                                                                                                                                                                                                                                                                                                                            ']列，源：d4d661acace5b8b1e989fb1734442c5f 备：None</t>
        </is>
      </c>
      <c r="BO10" s="0" t="inlineStr">
        <is>
          <t>tgt行 ['8',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备：d4f20effbc57d32b8239b4eee21eb8a7</t>
        </is>
      </c>
      <c r="BS10" s="0" t="inlineStr">
        <is>
          <t>src行 ['57', '255', '32767', '2147483647', '9223372036854775807', '', '', '', '', '', '', '', '', '', '', '', '', '', '', '']列，源：5c6023e590239f39ad2a1e9c217e16e5 备：None</t>
        </is>
      </c>
      <c r="BU10" s="0" t="inlineStr">
        <is>
          <t>src行 ['57', '255', '32767', '2147483647', '9223372036854775807', '', '', '', '', '', '', '', '', '', '', '', '', '', '', '']列，源：5c6023e590239f39ad2a1e9c217e16e5 备：None</t>
        </is>
      </c>
    </row>
    <row r="11">
      <c r="B11" s="0" t="inlineStr">
        <is>
          <t>NULL</t>
        </is>
      </c>
      <c r="C11" s="0" t="inlineStr">
        <is>
          <t>NULL</t>
        </is>
      </c>
      <c r="D11" s="0" t="inlineStr">
        <is>
          <t>NULL</t>
        </is>
      </c>
      <c r="E11" s="0" t="inlineStr">
        <is>
          <t>NULL</t>
        </is>
      </c>
      <c r="F11" s="0" t="inlineStr">
        <is>
          <t>NULL</t>
        </is>
      </c>
      <c r="G11" s="0" t="inlineStr">
        <is>
          <t>NULL</t>
        </is>
      </c>
      <c r="H11" s="0" t="inlineStr">
        <is>
          <t>NULL</t>
        </is>
      </c>
      <c r="I11" s="0" t="inlineStr">
        <is>
          <t>NULL</t>
        </is>
      </c>
      <c r="J11" s="0" t="inlineStr">
        <is>
          <t>NULL</t>
        </is>
      </c>
      <c r="K11" s="0" t="inlineStr">
        <is>
          <t>[0;32m YES! [0m 	 c_time6列源备映射正确，源端为time None位	期望更改为varchar(20)	实际备端为varchar 80位	位数精度不存在，通过长度比较</t>
        </is>
      </c>
      <c r="Y11" s="0" t="inlineStr">
        <is>
          <t>src行 ['3', ' ', '                    ', '                                                                                                                                                                                                                                                                                                                                                                                                                                                                                                                                                                                                                                                                                                                                                                                                                                                                                                                                                                                                                                                                                                                                                                                                                                                                                                                                                                                                                                                                                                                                                                                                                                                                                                                                                                                                                                                                                                                                                                                                                                                                                                                                                                                                                                                                                                                                                                                                                                                                                                                                                                                                                                                                                                                                                                                                                                                                                                                                                                                                                                                                                                                                                                                                                                                                                                                                                                                                                                                                                                                                                                                                                                                                                                                                                                                                                                                                                                                                                                                                                                                                                                                                                                                                                                                                                                                                                                                                                                                                                                                                                                                                                                                                                                                                                                                                                                                                                                                                                                                                                                                                                                                                                                                                                                                                                                                                                                                                                                                                                                                                                                                                                                                                                                                                                                                                                                                                                                                                                                                                                                                                                                                                                                                                                                                                                                                                                                                                                                                                                                                                                                                                                                                                                                                                                                                                                                                                                                                                                                                                                                                                                                                                                                                                                                                                                                                                                                                                                                                                                                                                                                                                                                                                                                                                                                                                                                                                                                                                                                                                                                                                                                                                                                                                                                                                                                                                ']列，源：86ceb7aa3eed9bd3ac1278b34fa397a9 备：None</t>
        </is>
      </c>
      <c r="AC11" s="0" t="inlineStr">
        <is>
          <t>src行 ['3', ' ', '                    ', '                                                                                                                                                                                                                                                                                                                                                                                                                                                                                                                                                                                                                                                                                                                                                                                                                                                                                                                                                                                                                                                                                                                                                                                                                                                                                                                                                                                                                                                                                                                                                                                                                                                                                                                                                                                                                                                                                                                                                                                                                                                                                                                                                                                                                                                                                                                                                                                                                                                                                                                                                                                                                                                                                                                                                                                                                                                                                                                                                                                                                                                                                                                                                                                                                                                                                                                                                                                                                                                                                                                                                                                                                                                                                                                                                                                                                                                                                                                                                                                                                                                                                                                                                                                                                                                                                                                                                                                                                                                                                                                                                                                                                                                                                                                                                                                                                                                                                                                                                                                                                                                                                                                                                                                                                                                                                                                                                                                                                                                                                                                                                                                                                                                                                                                                                                                                                                                                                                                                                                                                                                                                                                                                                                                                                                                                                                                                                                                                                                                                                                                                                                                                                                                                                                                                                                                                                                                                                                                                                                                                                                                                                                                                                                                                                                                                                                                                                                                                                                                                                                                                                                                                                                                                                                                                                                                                                                                                                                                                                                                                                                                                                                                                                                                                                                                                                                                                ']列，源：86ceb7aa3eed9bd3ac1278b34fa397a9 备：None</t>
        </is>
      </c>
      <c r="AE11" s="0" t="inlineStr">
        <is>
          <t>src行 ['3', ' ', '                    ', '                                                                                                                                                                                                                                                                                                                                                                                                                                                                                                                                                                                                                                                                                                                                                                                                                                                                                                                                                                                                                                                                                                                                                                                                                                                                                                                                                                                                                                                                                                                                                                                                                                                                                                                                                                                                                                                                                                                                                                                                                                                                                                                                                                                                                                                                                                                                                                                                                                                                                                                                                                                                                                                                                                                                                                                                                                                                                                                                                                                                                                                                                                                                                                                                                                                                                                                                                                                                                                                                                                                                                                                                                                                                                                                                                                                                                                                                                                                                                                                                                                                                                                                                                                                                                                                                                                                                                                                                                                                                                                                                                                                                                                                                                                                                                                                                                                                                                                                                                                                                                                                                                                                                                                                                                                                                                                                                                                                                                                                                                                                                                                                                                                                                                                                                                                                                                                                                                                                                                                                                                                                                                                                                                                                                                                                                                                                                                                                                                                                                                                                                                                                                                                                                                                                                                                                                                                                                                                                                                                                                                                                                                                                                                                                                                                                                                                                                                                                                                                                                                                                                                                                                                                                                                                                                                                                                                                                                                                                                                                                                                                                                                                                                                                                                                                                                                                                                ']列，源：86ceb7aa3eed9bd3ac1278b34fa397a9 备：None</t>
        </is>
      </c>
      <c r="AF11" s="0" t="inlineStr">
        <is>
          <t>tgt行 ['26',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备：2371cd48c85c4df37e7f2c77cc235a69</t>
        </is>
      </c>
      <c r="AG11" s="0" t="inlineStr">
        <is>
          <t>src行 ['6',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']列，源：eb161edca117ad34f6054bfc360e3b21 备：None</t>
        </is>
      </c>
      <c r="AJ11" s="0" t="inlineStr">
        <is>
          <t>src行 ['2', ' ', '                    ', '                                                                                                                                                                                                                                                                                                                                                                                                                                                                                                                                                                                                                                                                                                                                                                                                                                                                                                                                                                                                                                                                                                                                                                                                                                                                                                                                                                                                                                                                                                                                                                                                                                                                                                                                                                                                                                                                                                                                                                                                                                                                                                                                                                                                                                                                                                                                                                                                                                                                                                                                                                                                                                                                                                                                                                                                                                                                                                                                                                                                                                                                                                                                                                                                                                                                                                                                                                                                                                                                                                                                                                                                                                                                                                                                                                                                                                                                                                                                                                                                                                                                                                                                                                                                                                                                                                                                                                                                                                                                                                                                                                                                                                                                                                                                                                                                                                                                                                                                                                                                                                                                                                                                                                                                                                                                                                                                                                                                                                                                                                                                                                                                                                                                                                                                                                                                                                                                                                                                                                                                                                                                                                                                                                                                                                                                                                                                                                                                                                                                                                                                                                                                                                                                                                                                                                                                                                                                                                                                                                                                                                                                                                                                                                                                                                                                                                                                                                                                                                                                                                                                                                                                                                                                                                                                                                                                                                                                                                                                                                                                                                                                                                                                                                                                                                                                                                                                ']列，源：f6f27b4fce84894f44b4fe1b2769a4af 备：None</t>
        </is>
      </c>
      <c r="AO11" s="0" t="inlineStr">
        <is>
          <t>tgt行 ['15', 'N', '€¶6€¶',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']列，源：None 备：fab77a51608ac74a813e11307baca011</t>
        </is>
      </c>
      <c r="AS11" s="0" t="inlineStr">
        <is>
          <t>src行 ['4', ' ', '                    ', '                                                                                                                                                                                                                                                                                                                                                                                                                                                                                                                                                                                                                                                                                                                                                                                                                                                                                                                                                                                                                                                                                                                                                                                                                                                                                                                                                                                                                                                                                                                                                                                                                                                                                                                                                                                                                                                                                                                                                                                                                                                                                                                                                                                                                                                                                                                                                                                                                                                                                                                                                                                                                                                                                                                                                                                                                                                                                                                                                                                                                                                                                                                                                                                                                                                                                                                                                                                                                                                                                                                                                                                                                                            ']列，源：adc5a8ebac2e7f1001c11b5a60a574e6 备：None</t>
        </is>
      </c>
      <c r="AU11" s="0" t="inlineStr">
        <is>
          <t>tgt行 ['15', 'N',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备：c7a080058be2c459878bf60c162350b8</t>
        </is>
      </c>
      <c r="BA11" s="0" t="inlineStr">
        <is>
          <t>src行 ['4', ' ', '                    ', '                                                                                                                                                                                                                                                                                                                                                                                                                                                                                                                                                                                                                                                                                                                                                                                                                                                                                                                                                                                                                                                                                                                                                                                                                                                                                                                                                                                                                                                                                                                                                                                                                                                                                                                                                                                                                                                                                                                                                                                                                                                                                                                                                                                                                                                                                                                                                                                                                                                                                                                                                                                                                                                                                                                                                                                                                                                                                                                                                                                                                                                                                                                                                                                                                                                                                                                                                                                                                                                                                                                                                                                                                                            ']列，源：adc5a8ebac2e7f1001c11b5a60a574e6 备：None</t>
        </is>
      </c>
      <c r="BG11" s="0" t="inlineStr">
        <is>
          <t>tgt行 ['15', 'N',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备：c7a080058be2c459878bf60c162350b8</t>
        </is>
      </c>
      <c r="BH11" s="0" t="inlineStr">
        <is>
          <t>tgt行 ['56', 'Y', '€¶I€¶', '€¶I€¶€¶I€¶€¶I€¶€¶I€¶€¶I€¶€¶I€¶€¶I€¶€¶I€¶€¶I€¶€¶I€¶€¶I€¶€¶I€¶€¶I€¶€¶I€¶€¶I€¶€¶I€¶€¶I€¶€¶I€¶€¶I€¶€¶I€¶€¶I€¶€¶I€¶€¶I€¶€¶I€¶€¶I€¶€¶I€¶€¶I€¶€¶I€¶€¶I€¶€¶I€¶€¶I€¶€¶I€¶€¶I€¶€¶I€¶€¶I€¶€¶I€¶€¶I€¶€¶I€¶€¶I€¶€¶I€¶€¶I€¶€¶I€¶€¶I€¶€¶I€¶€¶I€¶€¶I€¶€¶I€¶€¶I€¶€¶I€¶€¶I€¶€¶I€¶€¶I€¶€¶I€¶€¶I€¶€¶I€¶€¶I€¶€¶I€¶€¶I€¶€¶I€¶€¶I€¶€¶I€¶€¶I€¶€¶I€¶€¶I€¶€¶I€¶€¶I€¶€¶I€¶€¶I€¶€¶I€¶€¶I€¶€¶I€¶€¶I€¶€¶I€¶€¶I€¶€¶I€¶€¶I€¶€¶I€¶€¶I€¶€¶I€¶€¶I€¶€¶I€¶€¶I€¶€¶I€¶€¶I€¶€¶I€¶€¶I€¶€¶I€¶€¶I€¶€¶I€¶€¶I€¶€¶I€¶€¶I€¶€¶I€¶€¶I€¶€¶I€¶€¶I€¶€¶I€¶€¶I€¶€¶I€¶€¶I€¶€¶I€¶€¶I€¶€¶I€¶€¶I€¶€¶I€¶€¶I€¶€¶I€¶€¶I€¶€¶I€¶€¶I€¶€¶I€¶€¶I€¶€¶I€¶€¶I€¶€¶I€¶€¶I€¶€¶I€¶€¶I€¶€¶I€¶€¶I€¶€¶I€¶€¶I€¶€¶I€¶€¶I€¶€¶I€¶€¶I€¶€¶I€¶€¶I€¶€¶I€¶€¶I€¶€¶I€¶€¶I€¶€¶I€¶€¶I€¶€¶I€¶€¶I€¶€¶I€¶€¶I€¶€¶I€¶€¶I€¶€¶I€¶€¶I€¶€¶I€¶€¶I€¶€¶I€¶€¶I€¶€¶I€¶€¶I€¶€¶I€¶€¶I€¶€¶I€¶€¶I€¶€¶I€¶€¶I€¶€¶I€¶€¶I€¶€¶I€¶€¶I€¶€¶I€¶€¶I€¶€¶I€¶€¶I€¶€¶I€¶€¶I€¶€¶I€¶€¶I€¶€¶I€¶€¶I€¶€¶I€¶€¶I€¶€¶I€¶€¶I€¶€¶I€¶€¶I€¶€¶I€¶€¶I€¶€¶I€¶€¶I€¶€¶I€¶€¶I€¶€¶I€¶€¶I€¶€¶I€¶€¶I€¶€¶I€¶€¶I€¶€¶I€¶€¶I€¶€¶I€¶€¶I€¶€¶I€¶€¶I€¶€¶I€¶€¶I€¶€¶I€¶€¶I€¶€¶I€¶€¶I€¶€¶I€¶€¶I€¶                                                                                                                                                                                                                                                                                                                                                                                                                                                                                                                                                                                                                                                                                                                                                                                                                                                                                                                                                                                                                                                                                                                                                                                                                                                                                                                                                                                                                                                                                                                                                                                                                                                                                                                                                                                                                                                                                                                                                                                                                                                                                                                                                                                                                                                                                                                                                                                                                                                                                                                                                                                                    ']列，源：None 备：d63c48582facc8910b08cdcc93455588</t>
        </is>
      </c>
      <c r="BM11" s="0" t="inlineStr">
        <is>
          <t>src行 ['26', 'Y', '€¶I€¶               ', '€¶I€¶€¶I€¶€¶I€¶€¶I€¶€¶I€¶€¶I€¶€¶I€¶€¶I€¶€¶I€¶€¶I€¶€¶I€¶€¶I€¶€¶I€¶€¶I€¶€¶I€¶€¶I€¶€¶I€¶€¶I€¶€¶I€¶€¶I€¶€¶I€¶€¶I€¶€¶I€¶€¶I€¶€¶I€¶€¶I€¶€¶I€¶€¶I€¶€¶I€¶€¶I€¶€¶I€¶€¶I€¶€¶I€¶€¶I€¶€¶I€¶€¶I€¶€¶I€¶€¶I€¶€¶I€¶€¶I€¶€¶I€¶€¶I€¶€¶I€¶€¶I€¶€¶I€¶€¶I€¶€¶I€¶€¶I€¶€¶I€¶€¶I€¶€¶I€¶€¶I€¶€¶I€¶€¶I€¶€¶I€¶€¶I€¶€¶I€¶€¶I€¶€¶I€¶€¶I€¶€¶I€¶€¶I€¶€¶I€¶€¶I€¶€¶I€¶€¶I€¶€¶I€¶€¶I€¶€¶I€¶€¶I€¶€¶I€¶€¶I€¶€¶I€¶€¶I€¶€¶I€¶€¶I€¶€¶I€¶€¶I€¶€¶I€¶€¶I€¶€¶I€¶€¶I€¶€¶I€¶€¶I€¶€¶I€¶€¶I€¶€¶I€¶€¶I€¶€¶I€¶€¶I€¶€¶I€¶€¶I€¶€¶I€¶€¶I€¶€¶I€¶€¶I€¶€¶I€¶€¶I€¶€¶I€¶€¶I€¶€¶I€¶€¶I€¶€¶I€¶€¶I€¶€¶I€¶€¶I€¶€¶I€¶€¶I€¶€¶I€¶€¶I€¶€¶I€¶€¶I€¶€¶I€¶€¶I€¶€¶I€¶€¶I€¶€¶I€¶€¶I€¶€¶I€¶€¶I€¶€¶I€¶€¶I€¶€¶I€¶€¶I€¶€¶I€¶€¶I€¶€¶I€¶€¶I€¶€¶I€¶€¶I€¶€¶I€¶€¶I€¶€¶I€¶€¶I€¶€¶I€¶€¶I€¶€¶I€¶€¶I€¶€¶I€¶€¶I€¶€¶I€¶€¶I€¶€¶I€¶€¶I€¶€¶I€¶€¶I€¶€¶I€¶€¶I€¶€¶I€¶€¶I€¶€¶I€¶€¶I€¶€¶I€¶€¶I€¶€¶I€¶€¶I€¶€¶I€¶€¶I€¶€¶I€¶€¶I€¶€¶I€¶€¶I€¶€¶I€¶€¶I€¶€¶I€¶€¶I€¶€¶I€¶€¶I€¶€¶I€¶€¶I€¶€¶I€¶€¶I€¶€¶I€¶€¶I€¶€¶I€¶€¶I€¶€¶I€¶€¶I€¶€¶I€¶€¶I€¶€¶I€¶€¶I€¶€¶I€¶€¶I€¶€¶I€¶€¶I€¶€¶I€¶€¶I€¶€¶I€¶€¶I€¶€¶I€¶€¶I€¶€¶I€¶€¶I€¶€¶I€¶€¶I€¶€¶I€¶€¶I€¶€¶I€¶€¶I€¶                                                                                                                                                                                                                                                                                                                                                                                                                                                                                                                                                                                                                                                                                                                                                                                                                                                                                                                                                                                                                                                                                                                                                                                                                                                                                                                                                                                                                                                                                                                                                                                                                                                                                                                                                                                                                                                                                                                                                                                                                                                                                                                                                                                                                                                                                                                                                                                                                                                                                                                                                                                                    ']列，源：f2ba61fb2bfcb781c0b22002d8466c53 备：None</t>
        </is>
      </c>
      <c r="BO11" s="0"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']列，源：90cdc9706132f799ab275d6b8e6fcfd1 备：None</t>
        </is>
      </c>
    </row>
    <row r="12">
      <c r="B12" s="0" t="inlineStr">
        <is>
          <t>NULL</t>
        </is>
      </c>
      <c r="C12" s="0" t="inlineStr">
        <is>
          <t>NULL</t>
        </is>
      </c>
      <c r="D12" s="0" t="inlineStr">
        <is>
          <t>NULL</t>
        </is>
      </c>
      <c r="E12" s="0" t="inlineStr">
        <is>
          <t>NULL</t>
        </is>
      </c>
      <c r="F12" s="0" t="inlineStr">
        <is>
          <t>NULL</t>
        </is>
      </c>
      <c r="G12" s="0" t="inlineStr">
        <is>
          <t>NULL</t>
        </is>
      </c>
      <c r="H12" s="0" t="inlineStr">
        <is>
          <t>NULL</t>
        </is>
      </c>
      <c r="I12" s="0" t="inlineStr">
        <is>
          <t>NULL</t>
        </is>
      </c>
      <c r="J12" s="0" t="inlineStr">
        <is>
          <t>NULL</t>
        </is>
      </c>
      <c r="K12" s="0" t="inlineStr">
        <is>
          <t>[0;32m YES! [0m 	 c_time列源备映射正确，源端为time None位	期望更改为varchar(20)	实际备端为varchar 80位	位数精度不存在，通过长度比较</t>
        </is>
      </c>
      <c r="Y12" s="0" t="inlineStr">
        <is>
          <t>src行 ['4', ' ', '                    ', '                                                                                                                                                                                                                                                                                                                                                                                                                                                                                                                                                                                                                                                                                                                                                                                                                                                                                                                                                                                                                                                                                                                                                                                                                                                                                                                                                                                                                                                                                                                                                                                                                                                                                                                                                                                                                                                                                                                                                                                                                                                                                                                                                                                                                                                                                                                                                                                                                                                                                                                                                                                                                                                                                                                                                                                                                                                                                                                                                                                                                                                                                                                                                                                                                                                                                                                                                                                                                                                                                                                                                                                                                                                                                                                                                                                                                                                                                                                                                                                                                                                                                                                                                                                                                                                                                                                                                                                                                                                                                                                                                                                                                                                                                                                                                                                                                                                                                                                                                                                                                                                                                                                                                                                                                                                                                                                                                                                                                                                                                                                                                                                                                                                                                                                                                                                                                                                                                                                                                                                                                                                                                                                                                                                                                                                                                                                                                                                                                                                                                                                                                                                                                                                                                                                                                                                                                                                                                                                                                                                                                                                                                                                                                                                                                                                                                                                                                                                                                                                                                                                                                                                                                                                                                                                                                                                                                                                                                                                                                                                                                                                                                                                                                                                                                                                                                                                                ']列，源：b8699aa6b337420856845b5ab0934925 备：None</t>
        </is>
      </c>
      <c r="AC12" s="0" t="inlineStr">
        <is>
          <t>src行 ['4', ' ', '                    ', '                                                                                                                                                                                                                                                                                                                                                                                                                                                                                                                                                                                                                                                                                                                                                                                                                                                                                                                                                                                                                                                                                                                                                                                                                                                                                                                                                                                                                                                                                                                                                                                                                                                                                                                                                                                                                                                                                                                                                                                                                                                                                                                                                                                                                                                                                                                                                                                                                                                                                                                                                                                                                                                                                                                                                                                                                                                                                                                                                                                                                                                                                                                                                                                                                                                                                                                                                                                                                                                                                                                                                                                                                                                                                                                                                                                                                                                                                                                                                                                                                                                                                                                                                                                                                                                                                                                                                                                                                                                                                                                                                                                                                                                                                                                                                                                                                                                                                                                                                                                                                                                                                                                                                                                                                                                                                                                                                                                                                                                                                                                                                                                                                                                                                                                                                                                                                                                                                                                                                                                                                                                                                                                                                                                                                                                                                                                                                                                                                                                                                                                                                                                                                                                                                                                                                                                                                                                                                                                                                                                                                                                                                                                                                                                                                                                                                                                                                                                                                                                                                                                                                                                                                                                                                                                                                                                                                                                                                                                                                                                                                                                                                                                                                                                                                                                                                                                                ']列，源：b8699aa6b337420856845b5ab0934925 备：None</t>
        </is>
      </c>
      <c r="AE12" s="0" t="inlineStr">
        <is>
          <t>src行 ['4', ' ', '                    ', '                                                                                                                                                                                                                                                                                                                                                                                                                                                                                                                                                                                                                                                                                                                                                                                                                                                                                                                                                                                                                                                                                                                                                                                                                                                                                                                                                                                                                                                                                                                                                                                                                                                                                                                                                                                                                                                                                                                                                                                                                                                                                                                                                                                                                                                                                                                                                                                                                                                                                                                                                                                                                                                                                                                                                                                                                                                                                                                                                                                                                                                                                                                                                                                                                                                                                                                                                                                                                                                                                                                                                                                                                                                                                                                                                                                                                                                                                                                                                                                                                                                                                                                                                                                                                                                                                                                                                                                                                                                                                                                                                                                                                                                                                                                                                                                                                                                                                                                                                                                                                                                                                                                                                                                                                                                                                                                                                                                                                                                                                                                                                                                                                                                                                                                                                                                                                                                                                                                                                                                                                                                                                                                                                                                                                                                                                                                                                                                                                                                                                                                                                                                                                                                                                                                                                                                                                                                                                                                                                                                                                                                                                                                                                                                                                                                                                                                                                                                                                                                                                                                                                                                                                                                                                                                                                                                                                                                                                                                                                                                                                                                                                                                                                                                                                                                                                                                                ']列，源：b8699aa6b337420856845b5ab0934925 备：None</t>
        </is>
      </c>
      <c r="AF12" s="0" t="inlineStr">
        <is>
          <t>tgt行 ['29',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备：d2c61b923ddb6520f71b1753c6acbd32</t>
        </is>
      </c>
      <c r="AG12" s="0" t="inlineStr">
        <is>
          <t>src行 ['9',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']列，源：43b8a179cab7bd60ef79b07e18b3b3d2 备：None</t>
        </is>
      </c>
      <c r="AJ12" s="0" t="inlineStr">
        <is>
          <t>src行 ['3',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']列，源：80ce671eeca0b55a629ff4f3a0b1f178 备：None</t>
        </is>
      </c>
      <c r="AO12" s="0" t="inlineStr">
        <is>
          <t>tgt行 ['16', 'X',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备：298008f2ae0c5993d54e9c24aa79adaf</t>
        </is>
      </c>
      <c r="AS12" s="0" t="inlineStr">
        <is>
          <t>src行 ['5', '测',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']列，源：a9dcde08b245ddd4a78ffa10171d0976 备：None</t>
        </is>
      </c>
      <c r="AU12" s="0" t="inlineStr">
        <is>
          <t>tgt行 ['16', 'X',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备：298008f2ae0c5993d54e9c24aa79adaf</t>
        </is>
      </c>
      <c r="BA12" s="0" t="inlineStr">
        <is>
          <t>src行 ['5', '测',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']列，源：a9dcde08b245ddd4a78ffa10171d0976 备：None</t>
        </is>
      </c>
      <c r="BG12" s="0" t="inlineStr">
        <is>
          <t>tgt行 ['16', 'X',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备：298008f2ae0c5993d54e9c24aa79adaf</t>
        </is>
      </c>
      <c r="BH12" s="0" t="inlineStr">
        <is>
          <t>tgt行 ['57',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备：3c8bab5aef56df4c0f3f2dc2fe3a43d7</t>
        </is>
      </c>
      <c r="BM12" s="0" t="inlineStr">
        <is>
          <t>src行 ['27',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']列，源：cf7dcc94a3edaf59a27d8050c62e528d 备：None</t>
        </is>
      </c>
      <c r="BO12" s="0" t="inlineStr">
        <is>
          <t>src行 ['2',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']列，源：23af6d605a1a552f0fe8ddd840f7ef5e 备：None</t>
        </is>
      </c>
    </row>
    <row r="13">
      <c r="A13" s="0" t="inlineStr">
        <is>
          <t>info_geometry_dml_single_pk_urp</t>
        </is>
      </c>
      <c r="K13" s="0" t="inlineStr">
        <is>
          <t>[0;34m info_geometry_dml_single_pk_urp [0m源备字段数相同，源端字段：2 	备端字段2</t>
        </is>
      </c>
      <c r="W13" s="0" t="inlineStr">
        <is>
          <t>YES 源备无差异</t>
        </is>
      </c>
      <c r="X13" s="0">
        <f>A13</f>
        <v/>
      </c>
      <c r="Y13" s="0"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']列，源：74b304ec22e1dccf8261f102294b1bcd 备：None</t>
        </is>
      </c>
      <c r="AC13" s="0"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']列，源：74b304ec22e1dccf8261f102294b1bcd 备：None</t>
        </is>
      </c>
      <c r="AE13" s="0"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']列，源：74b304ec22e1dccf8261f102294b1bcd 备：None</t>
        </is>
      </c>
      <c r="AF13" s="0" t="inlineStr">
        <is>
          <t>tgt行 ['56',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备：05a6adbc19528c2f0d44cdba39c93f0e</t>
        </is>
      </c>
      <c r="AJ13" s="0" t="inlineStr">
        <is>
          <t>src行 ['5',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']列，源：1b07fa796a4047401456235b0baf2482 备：None</t>
        </is>
      </c>
      <c r="AO13" s="0" t="inlineStr">
        <is>
          <t>src行 ['2', ' ', '                    ', '                                                                                                                                                                                                                                                                                                                                                                                                                                                                                                                                                                                                                                                                                                                                                                                                                                                                                                                                                                                                                                                                                                                                                                                                                                                                                                                                                                                                                                                                                                                                                                                                                                                                                                                                                                                                                                                                                                                                                                                                                                                                                                                                                                                                                                                                                                                                                                                                                                                                                                                                                                                                                                                                                                                                                                                                                                                                                                                                                                                                                                                                                                                                                                                                                                                                                                                                                                                                                                                                                                                                                                                                                                                                                                                                                                                                                                                                                                                                                                                                                                                                                                                                                                ']列，源：ba574e0682e7636163637d71c3795157 备：None</t>
        </is>
      </c>
      <c r="AS13" s="0" t="inlineStr">
        <is>
          <t>src行 ['9', '英', '€¶6€¶               ', '€¶6€¶€¶6€¶€¶6€¶€¶6€¶€¶6€¶€¶6€¶€¶6€¶€¶6€¶€¶6€¶€¶6€¶€¶6€¶€¶6€¶€¶6€¶€¶6€¶€¶6€¶€¶6€¶€¶6€¶€¶6€¶€¶6€¶€¶6€¶€¶6€¶€¶6€¶€¶6€¶€¶6€¶€¶6€¶€¶6€¶€¶6€¶€¶6€¶€¶6€¶€¶6€¶€¶6€¶€¶6€¶€¶6€¶€¶6€¶€¶6€¶€¶6€¶€¶6€¶€¶6€¶€¶6€¶€¶6€¶€¶6€¶€¶6€¶€¶6€¶€¶6€¶€¶6€¶€¶6€¶€¶6€¶€¶6€¶€¶6€¶€¶6€¶€¶6€¶€¶6€¶€¶6€¶€¶6€¶€¶6€¶€¶6€¶€¶6€¶€¶6€¶€¶6€¶€¶6€¶€¶6€¶€¶6€¶€¶6€¶€¶6€¶€¶6€¶€¶6€¶€¶6€¶€¶6€¶€¶6€¶€¶6€¶€¶6€¶€¶6€¶€¶6€¶€¶6€¶€¶6€¶€¶6€¶€¶6€¶€¶6€¶€¶6€¶€¶6€¶                                                                                                                                                                                                                                                                                                                                                                                                                                                                                                                                                                                                                                                                                                                                                                                                                                                                                                                                                                                                                                                                                                                                                                                                                                                                                                                                                                                                                                                                                                                                                                                                                                                                                                                                                                                                                                                                                                                                                                                                                                                                                                                                                                                                                                                                                                                                                                                                                                                                                                                                                                                                                                                                                                                                                                                                                                                                                                                                                                                                                                                                                                                                                                                                                            ']列，源：ebbd52a12cfb8a93fbaedb99f088526a 备：None</t>
        </is>
      </c>
      <c r="AU13" s="0" t="inlineStr">
        <is>
          <t>src行 ['2', ' ', '                    ', '                                                                                                                                                                                                                                                                                                                                                                                                                                                                                                                                                                                                                                                                                                                                                                                                                                                                                                                                                                                                                                                                                                                                                                                                                                                                                                                                                                                                                                                                                                                                                                                                                                                                                                                                                                                                                                                                                                                                                                                                                                                                                                                                                                                                                                                                                                                                                                                                                                                                                                                                                                                                                                                                                                                                                                                                                                                                                                                                                                                                                                                                                                                                                                                                                                                                                                                                                                                                                                                                                                                                                                                                                                                                                                                                                                                                                                                                                                                                                                                                                                                                                                                                                                ']列，源：ba574e0682e7636163637d71c3795157 备：None</t>
        </is>
      </c>
      <c r="BA13" s="0" t="inlineStr">
        <is>
          <t>src行 ['9', '英', '€¶I€¶               ', '€¶I€¶€¶I€¶€¶I€¶€¶I€¶€¶I€¶€¶I€¶€¶I€¶€¶I€¶€¶I€¶€¶I€¶€¶I€¶€¶I€¶€¶I€¶€¶I€¶€¶I€¶€¶I€¶€¶I€¶€¶I€¶€¶I€¶€¶I€¶€¶I€¶€¶I€¶€¶I€¶€¶I€¶€¶I€¶€¶I€¶€¶I€¶€¶I€¶€¶I€¶€¶I€¶€¶I€¶€¶I€¶€¶I€¶€¶I€¶€¶I€¶€¶I€¶€¶I€¶€¶I€¶€¶I€¶€¶I€¶€¶I€¶€¶I€¶€¶I€¶€¶I€¶€¶I€¶€¶I€¶€¶I€¶€¶I€¶€¶I€¶€¶I€¶€¶I€¶€¶I€¶€¶I€¶€¶I€¶€¶I€¶€¶I€¶€¶I€¶€¶I€¶€¶I€¶€¶I€¶€¶I€¶€¶I€¶€¶I€¶€¶I€¶€¶I€¶€¶I€¶€¶I€¶€¶I€¶€¶I€¶€¶I€¶€¶I€¶€¶I€¶€¶I€¶€¶I€¶€¶I€¶€¶I€¶€¶I€¶€¶I€¶€¶I€¶€¶I€¶                                                                                                                                                                                                                                                                                                                                                                                                                                                                                                                                                                                                                                                                                                                                                                                                                                                                                                                                                                                                                                                                                                                                                                                                                                                                                                                                                                                                                                                                                                                                                                                                                                                                                                                                                                                                                                                                                                                                                                                                                                                                                                                                                                                                                                                                                                                                                                                                                                                                                                                                                                                                                                                                                                                                                                                                                                                                                                                                                                                                                                                                                                                                                                                                                            ']列，源：ce4bbf8fa2f654a33f2d855d66828234 备：None</t>
        </is>
      </c>
      <c r="BG13" s="0" t="inlineStr">
        <is>
          <t>src行 ['2', ' ', '                    ', '                                                                                                                                                                                                                                                                                                                                                                                                                                                                                                                                                                                                                                                                                                                                                                                                                                                                                                                                                                                                                                                                                                                                                                                                                                                                                                                                                                                                                                                                                                                                                                                                                                                                                                                                                                                                                                                                                                                                                                                                                                                                                                                                                                                                                                                                                                                                                                                                                                                                                                                                                                                                                                                                                                                                                                                                                                                                                                                                                                                                                                                                                                                                                                                                                                                                                                                                                                                                                                                                                                                                                                                                                                                                                                                                                                                                                                                                                                                                                                                                                                                                                                                                                                ']列，源：ba574e0682e7636163637d71c3795157 备：None</t>
        </is>
      </c>
      <c r="BH13" s="0" t="inlineStr">
        <is>
          <t>tgt行 ['58',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备：503b4bc061181cdd401b0af89f52a5cb</t>
        </is>
      </c>
      <c r="BM13" s="0" t="inlineStr">
        <is>
          <t>src行 ['28',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']列，源：444aabd97eb796fffc30c56f81a09256 备：None</t>
        </is>
      </c>
      <c r="BO13" s="0" t="inlineStr">
        <is>
          <t>src行 ['3',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']列，源：53948f56f0aaf15cf48ae68e8706ab85 备：None</t>
        </is>
      </c>
    </row>
    <row r="14">
      <c r="B14" s="0" t="inlineStr">
        <is>
          <t>YES</t>
        </is>
      </c>
      <c r="C14" s="0" t="inlineStr">
        <is>
          <t>NULL</t>
        </is>
      </c>
      <c r="D14" s="0" t="inlineStr">
        <is>
          <t>NULL</t>
        </is>
      </c>
      <c r="E14" s="0" t="inlineStr">
        <is>
          <t>NULL</t>
        </is>
      </c>
      <c r="F14" s="0" t="inlineStr">
        <is>
          <t>NULL</t>
        </is>
      </c>
      <c r="G14" s="0" t="inlineStr">
        <is>
          <t>NULL</t>
        </is>
      </c>
      <c r="H14" s="0" t="inlineStr">
        <is>
          <t>NULL</t>
        </is>
      </c>
      <c r="I14" s="0" t="inlineStr">
        <is>
          <t>YES!PK__info_geo__3213E83F295FBDD4</t>
        </is>
      </c>
      <c r="J14" s="0" t="inlineStr">
        <is>
          <t>YES! 主键相关索引</t>
        </is>
      </c>
      <c r="K14" s="0" t="inlineStr">
        <is>
          <t>YES! 	 id列源备映射正确，源端为int None位	期望更改为int	实际备端为int None位</t>
        </is>
      </c>
      <c r="Y14" s="0"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']列，源：6e1808a1eaecdeff3bdb84402fecccdd 备：None</t>
        </is>
      </c>
      <c r="AC14" s="0"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']列，源：6e1808a1eaecdeff3bdb84402fecccdd 备：None</t>
        </is>
      </c>
      <c r="AE14" s="0"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']列，源：6e1808a1eaecdeff3bdb84402fecccdd 备：None</t>
        </is>
      </c>
      <c r="AF14" s="0" t="inlineStr">
        <is>
          <t>tgt行 ['59',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备：e596f5dacd92ddba5eb9f82e06f8bc36</t>
        </is>
      </c>
      <c r="AJ14" s="0" t="inlineStr">
        <is>
          <t>src行 ['6',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']列，源：eb161edca117ad34f6054bfc360e3b21 备：None</t>
        </is>
      </c>
      <c r="AO14" s="0" t="inlineStr">
        <is>
          <t>src行 ['3', ' ', '                    ', '                                                                                                                                                                                                                                                                                                                                                                                                                                                                                                                                                                                                                                                                                                                                                                                                                                                                                                                                                                                                                                                                                                                                                                                                                                                                                                                                                                                                                                                                                                                                                                                                                                                                                                                                                                                                                                                                                                                                                                                                                                                                                                                                                                                                                                                                                                                                                                                                                                                                                                                                                                                                                                                                                                                                                                                                                                                                                                                                                                                                                                                                                                                                                                                                                                                                                                                                                                                                                                                                                                                                                                                                                                                                                                                                                                                                                                                                                                                                                                                                                                                                                                                                                                ']列，源：1c5dd6469a0388ba1d09651693737b1c 备：None</t>
        </is>
      </c>
      <c r="AS14" s="0" t="inlineStr">
        <is>
          <t>src行 ['10', '￥',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']列，源：3bde065c74ea21601ca4617c19d20a68 备：None</t>
        </is>
      </c>
      <c r="AU14" s="0" t="inlineStr">
        <is>
          <t>src行 ['3', ' ', '                    ', '                                                                                                                                                                                                                                                                                                                                                                                                                                                                                                                                                                                                                                                                                                                                                                                                                                                                                                                                                                                                                                                                                                                                                                                                                                                                                                                                                                                                                                                                                                                                                                                                                                                                                                                                                                                                                                                                                                                                                                                                                                                                                                                                                                                                                                                                                                                                                                                                                                                                                                                                                                                                                                                                                                                                                                                                                                                                                                                                                                                                                                                                                                                                                                                                                                                                                                                                                                                                                                                                                                                                                                                                                                                                                                                                                                                                                                                                                                                                                                                                                                                                                                                                                                ']列，源：1c5dd6469a0388ba1d09651693737b1c 备：None</t>
        </is>
      </c>
      <c r="BA14" s="0" t="inlineStr">
        <is>
          <t>src行 ['10', '￥',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']列，源：3bde065c74ea21601ca4617c19d20a68 备：None</t>
        </is>
      </c>
      <c r="BG14" s="0" t="inlineStr">
        <is>
          <t>src行 ['3', ' ', '                    ', '                                                                                                                                                                                                                                                                                                                                                                                                                                                                                                                                                                                                                                                                                                                                                                                                                                                                                                                                                                                                                                                                                                                                                                                                                                                                                                                                                                                                                                                                                                                                                                                                                                                                                                                                                                                                                                                                                                                                                                                                                                                                                                                                                                                                                                                                                                                                                                                                                                                                                                                                                                                                                                                                                                                                                                                                                                                                                                                                                                                                                                                                                                                                                                                                                                                                                                                                                                                                                                                                                                                                                                                                                                                                                                                                                                                                                                                                                                                                                                                                                                                                                                                                                                ']列，源：1c5dd6469a0388ba1d09651693737b1c 备：None</t>
        </is>
      </c>
      <c r="BH14" s="0" t="inlineStr">
        <is>
          <t>tgt行 ['72', '', '', '                                                                                                                                                                                                                                                                                                                                                                                                                                                                                                                                                                                                                                                                                                                                                                                                                                                                                                                                                                                                                                                                                                                                                                                                                                                                                                                                                                                                                                                                                                                                                                                                                                                                                                                                                                                                                                                                                                                                                                                                                                                                                                                                                                                                                                                                                                                                                                                                                                                                                                                                                                                                                                                                                                                                                                                                                                                                                                                                                                                                                                                                                                                                                                                                                                                                                                                                                                                                                                                                                                                                                                                                                                            ']列，源：None 备：9b27bd82e12584a144731ade8f4e0533</t>
        </is>
      </c>
      <c r="BM14" s="0" t="inlineStr">
        <is>
          <t>src行 ['56', 'Y', '€¶I€¶               ', '€¶I€¶€¶I€¶€¶I€¶€¶I€¶€¶I€¶€¶I€¶€¶I€¶€¶I€¶€¶I€¶€¶I€¶€¶I€¶€¶I€¶€¶I€¶€¶I€¶€¶I€¶€¶I€¶€¶I€¶€¶I€¶€¶I€¶€¶I€¶€¶I€¶€¶I€¶€¶I€¶€¶I€¶€¶I€¶€¶I€¶€¶I€¶€¶I€¶€¶I€¶€¶I€¶€¶I€¶€¶I€¶€¶I€¶€¶I€¶€¶I€¶€¶I€¶€¶I€¶€¶I€¶€¶I€¶€¶I€¶€¶I€¶€¶I€¶€¶I€¶€¶I€¶€¶I€¶€¶I€¶€¶I€¶€¶I€¶€¶I€¶€¶I€¶€¶I€¶€¶I€¶€¶I€¶€¶I€¶€¶I€¶€¶I€¶€¶I€¶€¶I€¶€¶I€¶€¶I€¶€¶I€¶€¶I€¶€¶I€¶€¶I€¶€¶I€¶€¶I€¶€¶I€¶€¶I€¶€¶I€¶€¶I€¶€¶I€¶€¶I€¶€¶I€¶€¶I€¶€¶I€¶€¶I€¶€¶I€¶€¶I€¶€¶I€¶€¶I€¶€¶I€¶€¶I€¶€¶I€¶€¶I€¶€¶I€¶€¶I€¶€¶I€¶€¶I€¶€¶I€¶€¶I€¶€¶I€¶€¶I€¶€¶I€¶€¶I€¶€¶I€¶€¶I€¶€¶I€¶€¶I€¶€¶I€¶€¶I€¶€¶I€¶€¶I€¶€¶I€¶€¶I€¶€¶I€¶€¶I€¶€¶I€¶€¶I€¶€¶I€¶€¶I€¶€¶I€¶€¶I€¶€¶I€¶€¶I€¶€¶I€¶€¶I€¶€¶I€¶€¶I€¶€¶I€¶€¶I€¶€¶I€¶€¶I€¶€¶I€¶€¶I€¶€¶I€¶€¶I€¶€¶I€¶€¶I€¶€¶I€¶€¶I€¶€¶I€¶€¶I€¶€¶I€¶€¶I€¶€¶I€¶€¶I€¶€¶I€¶€¶I€¶€¶I€¶€¶I€¶€¶I€¶€¶I€¶€¶I€¶€¶I€¶€¶I€¶€¶I€¶€¶I€¶€¶I€¶€¶I€¶€¶I€¶€¶I€¶€¶I€¶€¶I€¶€¶I€¶€¶I€¶€¶I€¶€¶I€¶€¶I€¶€¶I€¶€¶I€¶€¶I€¶€¶I€¶€¶I€¶€¶I€¶€¶I€¶€¶I€¶€¶I€¶€¶I€¶€¶I€¶€¶I€¶€¶I€¶€¶I€¶€¶I€¶€¶I€¶€¶I€¶€¶I€¶€¶I€¶€¶I€¶€¶I€¶€¶I€¶€¶I€¶€¶I€¶€¶I€¶€¶I€¶€¶I€¶€¶I€¶€¶I€¶€¶I€¶€¶I€¶€¶I€¶€¶I€¶€¶I€¶€¶I€¶€¶I€¶€¶I€¶€¶I€¶€¶I€¶€¶I€¶€¶I€¶€¶I€¶                                                                                                                                                                                                                                                                                                                                                                                                                                                                                                                                                                                                                                                                                                                                                                                                                                                                                                                                                                                                                                                                                                                                                                                                                                                                                                                                                                                                                                                                                                                                                                                                                                                                                                                                                                                                                                                                                                                                                                                                                                                                                                                                                                                                                                                                                                                                                                                                                                                                                                                                                                                                    ']列，源：aeaa0bf9f6ab9f82a99aea09d457e1f0 备：None</t>
        </is>
      </c>
      <c r="BO14" s="0" t="inlineStr">
        <is>
          <t>src行 ['4',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']列，源：5de5d56fc4eebcec586b93322480f2a0 备：None</t>
        </is>
      </c>
    </row>
    <row r="15">
      <c r="B15" s="0" t="inlineStr">
        <is>
          <t>NULL</t>
        </is>
      </c>
      <c r="C15" s="0" t="inlineStr">
        <is>
          <t>NULL</t>
        </is>
      </c>
      <c r="D15" s="0" t="inlineStr">
        <is>
          <t>NULL</t>
        </is>
      </c>
      <c r="E15" s="0" t="inlineStr">
        <is>
          <t>NULL</t>
        </is>
      </c>
      <c r="F15" s="0" t="inlineStr">
        <is>
          <t>NULL</t>
        </is>
      </c>
      <c r="G15" s="0" t="inlineStr">
        <is>
          <t>NULL</t>
        </is>
      </c>
      <c r="H15" s="0" t="inlineStr">
        <is>
          <t>NULL</t>
        </is>
      </c>
      <c r="I15" s="0" t="inlineStr">
        <is>
          <t>NULL</t>
        </is>
      </c>
      <c r="J15" s="0" t="inlineStr">
        <is>
          <t>NULL</t>
        </is>
      </c>
      <c r="K15" s="0" t="inlineStr">
        <is>
          <t>YES! 	 c_geometry列源备映射正确，源端为geometry -1位	期望更改为text	实际备端为text 65535位</t>
        </is>
      </c>
      <c r="Y15" s="0"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']列，源：7aad3c80cd620720da53e2ea4e026ba0 备：None</t>
        </is>
      </c>
      <c r="AC15" s="0"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']列，源：7aad3c80cd620720da53e2ea4e026ba0 备：None</t>
        </is>
      </c>
      <c r="AE15" s="0"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']列，源：7aad3c80cd620720da53e2ea4e026ba0 备：None</t>
        </is>
      </c>
      <c r="AF15" s="0" t="inlineStr">
        <is>
          <t>tgt行 ['72', '', '', '                                                                                                                                                                                                                                                                                                                                                                                                                                                                                                                                                                                                                                                                                                                                                                                                                                                                                                                                                                                                                                                                                                                                                                                                                                                                                                                                                                                                                                                                                                                                                                                                                                                                                                                                                                                                                                                                                                                                                                                                                                                                                                                                                                                                                                                                                                                                                                                                                                                                                                                                                                                                                                                                                                                                                                                                                                                                                                                                                                                                                                                                                                                                                                                                                                                                                                                                                                                                                                                                                                                                                                                                                                                                                                                                                                                                                                                                                                                                                                                                                                                                                                                                                                                                                                                                                                                                                                                                                                                                                                                                                                                                                                                                                                                                                                                                                                                                                                                                                                                                                                                                                                                                                                                                                                                                                                                                                                                                                                                                                                                                                                                                                                                                                                                                                                                                                                                                                                                                                                                                                                                                                                                                                                                                                                                                                                                                                                                                                                                                                                                                                                                                                                                                                                                                                                                                                                                                                                                                                                                                                                                                                                                                                                                                                                                                                                                                                                                                                                                                                                                                                                                                                                                                                                                                                                                                                                                                                                                                                                                                                                                                                                                                                                                                                                                                                                                                ']列，源：None 备：2279f83ab5acc06da341c8841cf9f7fb</t>
        </is>
      </c>
      <c r="AJ15" s="0" t="inlineStr">
        <is>
          <t>src行 ['9',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']列，源：43b8a179cab7bd60ef79b07e18b3b3d2 备：None</t>
        </is>
      </c>
      <c r="AO15" s="0" t="inlineStr">
        <is>
          <t>src行 ['4', ' ', '                    ', '                                                                                                                                                                                                                                                                                                                                                                                                                                                                                                                                                                                                                                                                                                                                                                                                                                                                                                                                                                                                                                                                                                                                                                                                                                                                                                                                                                                                                                                                                                                                                                                                                                                                                                                                                                                                                                                                                                                                                                                                                                                                                                                                                                                                                                                                                                                                                                                                                                                                                                                                                                                                                                                                                                                                                                                                                                                                                                                                                                                                                                                                                                                                                                                                                                                                                                                                                                                                                                                                                                                                                                                                                                                                                                                                                                                                                                                                                                                                                                                                                                                                                                                                                                ']列，源：6ef0406423b1860246adb58cdba7d56f 备：None</t>
        </is>
      </c>
      <c r="AU15" s="0" t="inlineStr">
        <is>
          <t>src行 ['4', ' ', '                    ', '                                                                                                                                                                                                                                                                                                                                                                                                                                                                                                                                                                                                                                                                                                                                                                                                                                                                                                                                                                                                                                                                                                                                                                                                                                                                                                                                                                                                                                                                                                                                                                                                                                                                                                                                                                                                                                                                                                                                                                                                                                                                                                                                                                                                                                                                                                                                                                                                                                                                                                                                                                                                                                                                                                                                                                                                                                                                                                                                                                                                                                                                                                                                                                                                                                                                                                                                                                                                                                                                                                                                                                                                                                                                                                                                                                                                                                                                                                                                                                                                                                                                                                                                                                ']列，源：6ef0406423b1860246adb58cdba7d56f 备：None</t>
        </is>
      </c>
      <c r="BG15" s="0" t="inlineStr">
        <is>
          <t>src行 ['4', ' ', '                    ', '                                                                                                                                                                                                                                                                                                                                                                                                                                                                                                                                                                                                                                                                                                                                                                                                                                                                                                                                                                                                                                                                                                                                                                                                                                                                                                                                                                                                                                                                                                                                                                                                                                                                                                                                                                                                                                                                                                                                                                                                                                                                                                                                                                                                                                                                                                                                                                                                                                                                                                                                                                                                                                                                                                                                                                                                                                                                                                                                                                                                                                                                                                                                                                                                                                                                                                                                                                                                                                                                                                                                                                                                                                                                                                                                                                                                                                                                                                                                                                                                                                                                                                                                                                ']列，源：6ef0406423b1860246adb58cdba7d56f 备：None</t>
        </is>
      </c>
      <c r="BH15" s="0" t="inlineStr">
        <is>
          <t>tgt行 ['76', 'Y', '€¶I€¶', '€¶I€¶€¶I€¶€¶I€¶€¶I€¶€¶I€¶€¶I€¶€¶I€¶€¶I€¶€¶I€¶€¶I€¶€¶I€¶€¶I€¶€¶I€¶€¶I€¶€¶I€¶€¶I€¶€¶I€¶€¶I€¶€¶I€¶€¶I€¶€¶I€¶€¶I€¶€¶I€¶€¶I€¶€¶I€¶€¶I€¶€¶I€¶€¶I€¶€¶I€¶€¶I€¶€¶I€¶€¶I€¶€¶I€¶€¶I€¶€¶I€¶€¶I€¶€¶I€¶€¶I€¶€¶I€¶€¶I€¶€¶I€¶€¶I€¶€¶I€¶€¶I€¶€¶I€¶€¶I€¶€¶I€¶€¶I€¶€¶I€¶€¶I€¶€¶I€¶€¶I€¶€¶I€¶€¶I€¶€¶I€¶€¶I€¶€¶I€¶€¶I€¶€¶I€¶€¶I€¶€¶I€¶€¶I€¶€¶I€¶€¶I€¶€¶I€¶€¶I€¶€¶I€¶€¶I€¶€¶I€¶€¶I€¶€¶I€¶€¶I€¶€¶I€¶€¶I€¶€¶I€¶€¶I€¶€¶I€¶€¶I€¶€¶I€¶€¶I€¶€¶I€¶€¶I€¶€¶I€¶€¶I€¶€¶I€¶€¶I€¶€¶I€¶€¶I€¶€¶I€¶€¶I€¶€¶I€¶€¶I€¶€¶I€¶€¶I€¶€¶I€¶€¶I€¶€¶I€¶€¶I€¶€¶I€¶€¶I€¶€¶I€¶€¶I€¶€¶I€¶€¶I€¶€¶I€¶€¶I€¶€¶I€¶€¶I€¶€¶I€¶€¶I€¶€¶I€¶€¶I€¶€¶I€¶€¶I€¶€¶I€¶€¶I€¶€¶I€¶€¶I€¶€¶I€¶€¶I€¶€¶I€¶€¶I€¶€¶I€¶€¶I€¶€¶I€¶€¶I€¶€¶I€¶€¶I€¶€¶I€¶€¶I€¶€¶I€¶€¶I€¶€¶I€¶€¶I€¶€¶I€¶€¶I€¶€¶I€¶€¶I€¶€¶I€¶€¶I€¶€¶I€¶€¶I€¶€¶I€¶€¶I€¶€¶I€¶€¶I€¶€¶I€¶€¶I€¶€¶I€¶€¶I€¶€¶I€¶€¶I€¶€¶I€¶€¶I€¶€¶I€¶€¶I€¶€¶I€¶€¶I€¶€¶I€¶€¶I€¶€¶I€¶€¶I€¶€¶I€¶€¶I€¶€¶I€¶€¶I€¶€¶I€¶€¶I€¶€¶I€¶€¶I€¶€¶I€¶€¶I€¶€¶I€¶€¶I€¶€¶I€¶€¶I€¶€¶I€¶€¶I€¶€¶I€¶€¶I€¶€¶I€¶€¶I€¶€¶I€¶€¶I€¶€¶I€¶€¶I€¶€¶I€¶€¶I€¶€¶I€¶€¶I€¶€¶I€¶€¶I€¶€¶I€¶€¶I€¶€¶I€¶€¶I€¶€¶I€¶€¶I€¶€¶I€¶€¶I€¶                                                                                                                                                                                                                                                                                                                                                                                                                                                                                                                                                                                                                                                                                                                                                                                                                                                                                                                                                                                                                                                                                                                                                                                                                                                                                                                                                                                                                                                                                                                                                                                                                                                                                                                                                                                                                                                                                                                                                                                                                                                                                                                                                                                                                                                                                                                                                                                                                                                                                                                                                                                                    ']列，源：None 备：9704c6ccaec43f7eedc20fa36e83bae7</t>
        </is>
      </c>
      <c r="BM15" s="0" t="inlineStr">
        <is>
          <t>src行 ['57',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']列，源：3af69c9c655758aedba02eb9c7a7bdb0 备：None</t>
        </is>
      </c>
      <c r="BO15" s="0" t="inlineStr">
        <is>
          <t>src行 ['5',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']列，源：19637d629316c9c8707cfaca955ad8b9 备：None</t>
        </is>
      </c>
    </row>
    <row r="16">
      <c r="A16" s="0" t="inlineStr">
        <is>
          <t>info_varbinary_dml_batch2_pk_irp2</t>
        </is>
      </c>
      <c r="K16" s="0" t="inlineStr">
        <is>
          <t>[0;34m info_varbinary_dml_batch2_pk_irp2 [0m源备字段数相同，源端字段：4 	备端字段4</t>
        </is>
      </c>
      <c r="W16" s="0" t="inlineStr">
        <is>
          <t>YES 源备无差异</t>
        </is>
      </c>
      <c r="X16" s="0">
        <f>A16</f>
        <v/>
      </c>
      <c r="Y16" s="0" t="inlineStr">
        <is>
          <t>src行 ['15', '?', '€?6€?               ',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']列，源：2f371b35195b1331ce39ea281163e205 备：None</t>
        </is>
      </c>
      <c r="AC16" s="0" t="inlineStr">
        <is>
          <t>src行 ['15',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']列，源：ff678eda7372b75870603fe368ed4a21 备：None</t>
        </is>
      </c>
      <c r="AE16" s="0" t="inlineStr">
        <is>
          <t>src行 ['15',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']列，源：ff678eda7372b75870603fe368ed4a21 备：None</t>
        </is>
      </c>
      <c r="AF16" s="0" t="inlineStr">
        <is>
          <t>tgt行 ['73',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备：13fbef08ceb2550b41b4e55e52197996</t>
        </is>
      </c>
      <c r="AJ16" s="0" t="inlineStr">
        <is>
          <t>src行 ['56',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']列，源：43e6d5cebb8d20cc513db35cacbd6a10 备：None</t>
        </is>
      </c>
      <c r="AO16" s="0"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']列，源：18f4ad56ef8dfed2293145937fc36545 备：None</t>
        </is>
      </c>
      <c r="AU16" s="0"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']列，源：18f4ad56ef8dfed2293145937fc36545 备：None</t>
        </is>
      </c>
      <c r="BG16" s="0"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']列，源：18f4ad56ef8dfed2293145937fc36545 备：None</t>
        </is>
      </c>
      <c r="BH16" s="0" t="inlineStr">
        <is>
          <t>tgt行 ['77',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备：3830c8a7177a2cb6873bfb7dd0976e6d</t>
        </is>
      </c>
      <c r="BM16" s="0" t="inlineStr">
        <is>
          <t>src行 ['58',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']列，源：09383deda7198b8fdb0e204bccc75282 备：None</t>
        </is>
      </c>
      <c r="BO16" s="0" t="inlineStr">
        <is>
          <t>src行 ['6',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']列，源：dafd1391906b6d59e20b92e35aee3e69 备：None</t>
        </is>
      </c>
    </row>
    <row r="17">
      <c r="B17" s="0" t="inlineStr">
        <is>
          <t>YES</t>
        </is>
      </c>
      <c r="C17" s="0" t="inlineStr">
        <is>
          <t>NULL</t>
        </is>
      </c>
      <c r="D17" s="0" t="inlineStr">
        <is>
          <t>NULL</t>
        </is>
      </c>
      <c r="E17" s="0" t="inlineStr">
        <is>
          <t>NULL</t>
        </is>
      </c>
      <c r="F17" s="0" t="inlineStr">
        <is>
          <t>NULL</t>
        </is>
      </c>
      <c r="G17" s="0" t="inlineStr">
        <is>
          <t>NULL</t>
        </is>
      </c>
      <c r="H17" s="0" t="inlineStr">
        <is>
          <t>NULL</t>
        </is>
      </c>
      <c r="I17" s="0" t="inlineStr">
        <is>
          <t>YES!PK__info_var__3213E83F61D7EA8F</t>
        </is>
      </c>
      <c r="J17" s="0" t="inlineStr">
        <is>
          <t>YES! 主键相关索引</t>
        </is>
      </c>
      <c r="K17" s="0" t="inlineStr">
        <is>
          <t>YES! 	 id列源备映射正确，源端为int None位	期望更改为int	实际备端为int None位</t>
        </is>
      </c>
      <c r="AF17" s="0" t="inlineStr">
        <is>
          <t>tgt行 ['75',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备：e3f6c8260961962aa888c8f80d459079</t>
        </is>
      </c>
      <c r="AJ17" s="0" t="inlineStr">
        <is>
          <t>src行 ['59',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']列，源：9697c4c8a7a5a9480308ec5e2554ca7f 备：None</t>
        </is>
      </c>
      <c r="AO17" s="0" t="inlineStr">
        <is>
          <t>src行 ['9', 'Y', '上海英方股份有限公司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585549ec68665599d25f0a85026144ee 备：None</t>
        </is>
      </c>
      <c r="AU17" s="0" t="inlineStr">
        <is>
          <t>src行 ['9', 'Y', '上海英方股份有限公司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585549ec68665599d25f0a85026144ee 备：None</t>
        </is>
      </c>
      <c r="BG17" s="0" t="inlineStr">
        <is>
          <t>src行 ['9', 'Y', '上海英方股份有限公司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585549ec68665599d25f0a85026144ee 备：None</t>
        </is>
      </c>
      <c r="BH17" s="0" t="inlineStr">
        <is>
          <t>tgt行 ['78',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备：f455fcf65338f6f7b75df0af89cdf8b5</t>
        </is>
      </c>
      <c r="BO17" s="0" t="inlineStr">
        <is>
          <t>src行 ['7',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']列，源：5d19f9f66f4856422c6e01281a1dcf06 备：None</t>
        </is>
      </c>
    </row>
    <row r="18">
      <c r="B18" s="0" t="inlineStr">
        <is>
          <t>NULL</t>
        </is>
      </c>
      <c r="C18" s="0" t="inlineStr">
        <is>
          <t>NULL</t>
        </is>
      </c>
      <c r="D18" s="0" t="inlineStr">
        <is>
          <t>NULL</t>
        </is>
      </c>
      <c r="E18" s="0" t="inlineStr">
        <is>
          <t>NULL</t>
        </is>
      </c>
      <c r="F18" s="0" t="inlineStr">
        <is>
          <t>NULL</t>
        </is>
      </c>
      <c r="G18" s="0" t="inlineStr">
        <is>
          <t>NULL</t>
        </is>
      </c>
      <c r="H18" s="0" t="inlineStr">
        <is>
          <t>NULL</t>
        </is>
      </c>
      <c r="I18" s="0" t="inlineStr">
        <is>
          <t>NULL</t>
        </is>
      </c>
      <c r="J18" s="0" t="inlineStr">
        <is>
          <t>NULL</t>
        </is>
      </c>
      <c r="K18" s="0" t="inlineStr">
        <is>
          <t>YES! 	 c_varbinary列源备映射正确，源端为varbinary 1位	期望更改为varbinary(n)	实际备端为varbinary 1位</t>
        </is>
      </c>
      <c r="AF18" s="0" t="inlineStr">
        <is>
          <t>tgt行 ['76',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备：a1185d60eaff7edd77df5f87ba2397b5</t>
        </is>
      </c>
      <c r="AJ18" s="0" t="inlineStr">
        <is>
          <t>src行 ['106',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']列，源：b59b3d52f283f495b4bada0284af2e71 备：None</t>
        </is>
      </c>
      <c r="AO18" s="0"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']列，源：48fc24a0362eb50fbdf4d7b1b92a82c3 备：None</t>
        </is>
      </c>
      <c r="AU18" s="0"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']列，源：48fc24a0362eb50fbdf4d7b1b92a82c3 备：None</t>
        </is>
      </c>
      <c r="BG18" s="0"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']列，源：48fc24a0362eb50fbdf4d7b1b92a82c3 备：None</t>
        </is>
      </c>
      <c r="BH18" s="0" t="inlineStr">
        <is>
          <t>tgt行 ['128',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备：9fdcc7456b71bc11c87ef69081e588a8</t>
        </is>
      </c>
      <c r="BO18" s="0" t="inlineStr">
        <is>
          <t>src行 ['8',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']列，源：236a453edf09bd6268cd0312b9e821a1 备：None</t>
        </is>
      </c>
    </row>
    <row r="19">
      <c r="B19" s="0" t="inlineStr">
        <is>
          <t>NULL</t>
        </is>
      </c>
      <c r="C19" s="0" t="inlineStr">
        <is>
          <t>NULL</t>
        </is>
      </c>
      <c r="D19" s="0" t="inlineStr">
        <is>
          <t>NULL</t>
        </is>
      </c>
      <c r="E19" s="0" t="inlineStr">
        <is>
          <t>NULL</t>
        </is>
      </c>
      <c r="F19" s="0" t="inlineStr">
        <is>
          <t>NULL</t>
        </is>
      </c>
      <c r="G19" s="0" t="inlineStr">
        <is>
          <t>NULL</t>
        </is>
      </c>
      <c r="H19" s="0" t="inlineStr">
        <is>
          <t>NULL</t>
        </is>
      </c>
      <c r="I19" s="0" t="inlineStr">
        <is>
          <t>NULL</t>
        </is>
      </c>
      <c r="J19" s="0" t="inlineStr">
        <is>
          <t>NULL</t>
        </is>
      </c>
      <c r="K19" s="0" t="inlineStr">
        <is>
          <t>YES! 	 c_varbinary_100列源备映射正确，源端为varbinary 100位	期望更改为varbinary(n)	实际备端为varbinary 100位</t>
        </is>
      </c>
      <c r="AF19" s="0" t="inlineStr">
        <is>
          <t>tgt行 ['79',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备：498761d27b297eba91ce8eec639fecb5</t>
        </is>
      </c>
      <c r="AO19" s="0"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']列，源：b1dbb91b05c36d0de9b6140d5b5bf5d4 备：None</t>
        </is>
      </c>
      <c r="AU19" s="0"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']列，源：b1dbb91b05c36d0de9b6140d5b5bf5d4 备：None</t>
        </is>
      </c>
      <c r="BG19" s="0"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']列，源：b1dbb91b05c36d0de9b6140d5b5bf5d4 备：None</t>
        </is>
      </c>
      <c r="BH19" s="0" t="inlineStr">
        <is>
          <t>tgt行 ['158',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备：eba76e4ad1817efcb2fa66c8c31c3407</t>
        </is>
      </c>
    </row>
    <row r="20">
      <c r="B20" s="0" t="inlineStr">
        <is>
          <t>NULL</t>
        </is>
      </c>
      <c r="C20" s="0" t="inlineStr">
        <is>
          <t>NULL</t>
        </is>
      </c>
      <c r="D20" s="0" t="inlineStr">
        <is>
          <t>NULL</t>
        </is>
      </c>
      <c r="E20" s="0" t="inlineStr">
        <is>
          <t>NULL</t>
        </is>
      </c>
      <c r="F20" s="0" t="inlineStr">
        <is>
          <t>NULL</t>
        </is>
      </c>
      <c r="G20" s="0" t="inlineStr">
        <is>
          <t>NULL</t>
        </is>
      </c>
      <c r="H20" s="0" t="inlineStr">
        <is>
          <t>NULL</t>
        </is>
      </c>
      <c r="I20" s="0" t="inlineStr">
        <is>
          <t>NULL</t>
        </is>
      </c>
      <c r="J20" s="0" t="inlineStr">
        <is>
          <t>NULL</t>
        </is>
      </c>
      <c r="K20" s="0" t="inlineStr">
        <is>
          <t>YES! 	 c_varbinary_8000列源备映射正确，源端为varbinary 8000位	期望更改为longblob	实际备端为longblob 4294967295位</t>
        </is>
      </c>
      <c r="AF20" s="0" t="inlineStr">
        <is>
          <t>tgt行 ['125',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备：4fa548258f3242bdd742f9bc88f79d23</t>
        </is>
      </c>
      <c r="AO20" s="0" t="inlineStr">
        <is>
          <t>src行 ['14', 'Y', '测Test\\n%_8试&amp;12YG@2  ',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']列，源：a400c7f7007054388afe4b30693d713a 备：None</t>
        </is>
      </c>
      <c r="AU20" s="0" t="inlineStr">
        <is>
          <t>src行 ['14', 'Y', '测Test\\n%_8试&amp;12YG@2  ',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']列，源：a400c7f7007054388afe4b30693d713a 备：None</t>
        </is>
      </c>
      <c r="BG20" s="0" t="inlineStr">
        <is>
          <t>src行 ['14', 'Y', '测Test\\n%_8试&amp;12YG@2  ',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']列，源：a400c7f7007054388afe4b30693d713a 备：None</t>
        </is>
      </c>
      <c r="BH20" s="0" t="inlineStr">
        <is>
          <t>tgt行 ['178',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备：5b93bea8f2afe2b100e9ad59f0b67f11</t>
        </is>
      </c>
    </row>
    <row r="21">
      <c r="A21" s="0" t="inlineStr">
        <is>
          <t>info_char_dml_single_nopk_irp</t>
        </is>
      </c>
      <c r="K21" s="0" t="inlineStr">
        <is>
          <t>[0;34m info_char_dml_single_nopk_irp [0m源备字段数相同，源端字段：4 	备端字段4</t>
        </is>
      </c>
      <c r="W21" s="15">
        <f>HYPERLINK("#2026051816mysql2!Y2","NO 源备存在差异，共14个")</f>
        <v/>
      </c>
      <c r="X21" s="0">
        <f>A21</f>
        <v/>
      </c>
      <c r="AF21" s="0" t="inlineStr">
        <is>
          <t>tgt行 ['175',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备：0f6bde24b77aeed0d0ccec2112910539</t>
        </is>
      </c>
      <c r="AO21" s="0" t="inlineStr">
        <is>
          <t>src行 ['15', 'N', '€¶6€¶               ',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']列，源：f069777d1c61b98186fb7dbd8fc9faed 备：None</t>
        </is>
      </c>
      <c r="AU21" s="0" t="inlineStr">
        <is>
          <t>src行 ['15', 'N',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']列，源：e372b02a37765b07ef4deb1b16300866 备：None</t>
        </is>
      </c>
      <c r="BG21" s="0" t="inlineStr">
        <is>
          <t>src行 ['15', 'N',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']列，源：e372b02a37765b07ef4deb1b16300866 备：None</t>
        </is>
      </c>
      <c r="BH21" s="0" t="inlineStr">
        <is>
          <t>src行 ['2', ' ', '                    ', '                                                                                                                                                                                                                                                                                                                                                                                                                                                                                                                                                                                                                                                                                                                                                                                                                                                                                                                                                                                                                                                                                                                                                                                                                                                                                                                                                                                                                                                                                                                                                                                                                                                                                                                                                                                                                                                                                                                                                                                                                                                                                                                                                                                                                                                                                                                                                                                                                                                                                                                                                                                                                                                                                                                                                                                                                                                                                                                                                                                                                                                                                                                                                                                                                                                                                                                                                                                                                                                                                                                                                                                                                                            ']列，源：02d9880d07a3d705c0a13a24433be8c8 备：None</t>
        </is>
      </c>
    </row>
    <row r="22">
      <c r="B22" s="0" t="inlineStr">
        <is>
          <t>NULL</t>
        </is>
      </c>
      <c r="C22" s="0" t="inlineStr">
        <is>
          <t>NULL</t>
        </is>
      </c>
      <c r="D22" s="0" t="inlineStr">
        <is>
          <t>NULL</t>
        </is>
      </c>
      <c r="E22" s="0" t="inlineStr">
        <is>
          <t>NULL</t>
        </is>
      </c>
      <c r="F22" s="0" t="inlineStr">
        <is>
          <t>NULL</t>
        </is>
      </c>
      <c r="G22" s="0" t="inlineStr">
        <is>
          <t>NULL</t>
        </is>
      </c>
      <c r="H22" s="0" t="inlineStr">
        <is>
          <t>NULL</t>
        </is>
      </c>
      <c r="I22" s="0" t="inlineStr">
        <is>
          <t>NULL</t>
        </is>
      </c>
      <c r="J22" s="0" t="inlineStr">
        <is>
          <t>NULL</t>
        </is>
      </c>
      <c r="K22" s="0" t="inlineStr">
        <is>
          <t>YES! 	 id列源备映射正确，源端为int None位	期望更改为int	实际备端为int None位</t>
        </is>
      </c>
      <c r="AF22" s="0" t="inlineStr">
        <is>
          <t>src行 ['2', ' ', '                    ', '                                                                                                                                                                                                                                                                                                                                                                                                                                                                                                                                                                                                                                                                                                                                                                                                                                                                                                                                                                                                                                                                                                                                                                                                                                                                                                                                                                                                                                                                                                                                                                                                                                                                                                                                                                                                                                                                                                                                                                                                                                                                                                                                                                                                                                                                                                                                                                                                                                                                                                                                                                                                                                                                                                                                                                                                                                                                                                                                                                                                                                                                                                                                                                                                                                                                                                                                                                                                                                                                                                                                                                                                                                                                                                                                                                                                                                                                                                                                                                                                                                                                                                                                                                                                                                                                                                                                                                                                                                                                                                                                                                                                                                                                                                                                                                                                                                                                                                                                                                                                                                                                                                                                                                                                                                                                                                                                                                                                                                                                                                                                                                                                                                                                                                                                                                                                                                                                                                                                                                                                                                                                                                                                                                                                                                                                                                                                                                                                                                                                                                                                                                                                                                                                                                                                                                                                                                                                                                                                                                                                                                                                                                                                                                                                                                                                                                                                                                                                                                                                                                                                                                                                                                                                                                                                                                                                                                                                                                                                                                                                                                                                                                                                                                                                                                                                                                                                ']列，源：f6f27b4fce84894f44b4fe1b2769a4af 备：None</t>
        </is>
      </c>
      <c r="AO22" s="0" t="inlineStr">
        <is>
          <t>src行 ['16', 'X',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']列，源：41d886d84861cc0e0a17bde3631b99f3 备：None</t>
        </is>
      </c>
      <c r="AU22" s="0" t="inlineStr">
        <is>
          <t>src行 ['16', 'X',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']列，源：41d886d84861cc0e0a17bde3631b99f3 备：None</t>
        </is>
      </c>
      <c r="BG22" s="0" t="inlineStr">
        <is>
          <t>src行 ['16', 'X',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']列，源：41d886d84861cc0e0a17bde3631b99f3 备：None</t>
        </is>
      </c>
      <c r="BH22" s="0" t="inlineStr">
        <is>
          <t>src行 ['6', 'Y', '€¶I€¶               ', '€¶I€¶€¶I€¶€¶I€¶€¶I€¶€¶I€¶€¶I€¶€¶I€¶€¶I€¶€¶I€¶€¶I€¶€¶I€¶€¶I€¶€¶I€¶€¶I€¶€¶I€¶€¶I€¶€¶I€¶€¶I€¶€¶I€¶€¶I€¶€¶I€¶€¶I€¶€¶I€¶€¶I€¶€¶I€¶€¶I€¶€¶I€¶€¶I€¶€¶I€¶€¶I€¶€¶I€¶€¶I€¶€¶I€¶€¶I€¶€¶I€¶€¶I€¶€¶I€¶€¶I€¶€¶I€¶€¶I€¶€¶I€¶€¶I€¶€¶I€¶€¶I€¶€¶I€¶€¶I€¶€¶I€¶€¶I€¶€¶I€¶€¶I€¶€¶I€¶€¶I€¶€¶I€¶€¶I€¶€¶I€¶€¶I€¶€¶I€¶€¶I€¶€¶I€¶€¶I€¶€¶I€¶€¶I€¶€¶I€¶€¶I€¶€¶I€¶€¶I€¶€¶I€¶€¶I€¶€¶I€¶€¶I€¶€¶I€¶€¶I€¶€¶I€¶€¶I€¶€¶I€¶€¶I€¶€¶I€¶€¶I€¶€¶I€¶€¶I€¶€¶I€¶€¶I€¶€¶I€¶€¶I€¶€¶I€¶€¶I€¶€¶I€¶€¶I€¶€¶I€¶€¶I€¶€¶I€¶€¶I€¶€¶I€¶€¶I€¶€¶I€¶€¶I€¶€¶I€¶€¶I€¶€¶I€¶€¶I€¶€¶I€¶€¶I€¶€¶I€¶€¶I€¶€¶I€¶€¶I€¶€¶I€¶€¶I€¶€¶I€¶€¶I€¶€¶I€¶€¶I€¶€¶I€¶€¶I€¶€¶I€¶€¶I€¶€¶I€¶€¶I€¶€¶I€¶€¶I€¶€¶I€¶€¶I€¶€¶I€¶€¶I€¶€¶I€¶€¶I€¶€¶I€¶€¶I€¶€¶I€¶€¶I€¶€¶I€¶€¶I€¶€¶I€¶€¶I€¶€¶I€¶€¶I€¶€¶I€¶€¶I€¶€¶I€¶€¶I€¶€¶I€¶€¶I€¶€¶I€¶€¶I€¶€¶I€¶€¶I€¶€¶I€¶€¶I€¶€¶I€¶€¶I€¶€¶I€¶€¶I€¶€¶I€¶€¶I€¶€¶I€¶€¶I€¶€¶I€¶€¶I€¶€¶I€¶€¶I€¶€¶I€¶€¶I€¶€¶I€¶€¶I€¶€¶I€¶€¶I€¶€¶I€¶€¶I€¶€¶I€¶€¶I€¶€¶I€¶€¶I€¶€¶I€¶€¶I€¶€¶I€¶€¶I€¶€¶I€¶€¶I€¶€¶I€¶€¶I€¶€¶I€¶€¶I€¶€¶I€¶€¶I€¶€¶I€¶€¶I€¶€¶I€¶€¶I€¶€¶I€¶€¶I€¶€¶I€¶€¶I€¶€¶I€¶€¶I€¶€¶I€¶€¶I€¶€¶I€¶€¶I€¶€¶I€¶€¶I€¶                                                                                                                                                                                                                                                                                                                                                                                                                                                                                                                                                                                                                                                                                                                                                                                                                                                                                                                                                                                                                                                                                                                                                                                                                                                                                                                                                                                                                                                                                                                                                                                                                                                                                                                                                                                                                                                                                                                                                                                                                                                                                                                                                                                                                                                                                                                                                                                                                                                                                                                                                                                                    ']列，源：fe7f40f2102ce276b6cabcbcdeb1213e 备：None</t>
        </is>
      </c>
    </row>
    <row r="23">
      <c r="B23" s="0" t="inlineStr">
        <is>
          <t>NULL</t>
        </is>
      </c>
      <c r="C23" s="0" t="inlineStr">
        <is>
          <t>NULL</t>
        </is>
      </c>
      <c r="D23" s="0" t="inlineStr">
        <is>
          <t>NULL</t>
        </is>
      </c>
      <c r="E23" s="0" t="inlineStr">
        <is>
          <t>NULL</t>
        </is>
      </c>
      <c r="F23" s="0" t="inlineStr">
        <is>
          <t>NULL</t>
        </is>
      </c>
      <c r="G23" s="0" t="inlineStr">
        <is>
          <t>NULL</t>
        </is>
      </c>
      <c r="H23" s="0" t="inlineStr">
        <is>
          <t>NULL</t>
        </is>
      </c>
      <c r="I23" s="0" t="inlineStr">
        <is>
          <t>NULL</t>
        </is>
      </c>
      <c r="J23" s="0" t="inlineStr">
        <is>
          <t>NULL</t>
        </is>
      </c>
      <c r="K23" s="0" t="inlineStr">
        <is>
          <t>YES! 	 c_char列源备映射正确，源端为char 1位	期望更改为char(n)	实际备端为char 4位</t>
        </is>
      </c>
      <c r="AF23" s="0" t="inlineStr">
        <is>
          <t>src行 ['3',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']列，源：80ce671eeca0b55a629ff4f3a0b1f178 备：None</t>
        </is>
      </c>
      <c r="BH23" s="0" t="inlineStr">
        <is>
          <t>src行 ['7',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']列，源：99577313aa6c12424a76d5f06e546e28 备：None</t>
        </is>
      </c>
    </row>
    <row r="24">
      <c r="B24" s="0" t="inlineStr">
        <is>
          <t>NULL</t>
        </is>
      </c>
      <c r="C24" s="0" t="inlineStr">
        <is>
          <t>NULL</t>
        </is>
      </c>
      <c r="D24" s="0" t="inlineStr">
        <is>
          <t>NULL</t>
        </is>
      </c>
      <c r="E24" s="0" t="inlineStr">
        <is>
          <t>NULL</t>
        </is>
      </c>
      <c r="F24" s="0" t="inlineStr">
        <is>
          <t>NULL</t>
        </is>
      </c>
      <c r="G24" s="0" t="inlineStr">
        <is>
          <t>NULL</t>
        </is>
      </c>
      <c r="H24" s="0" t="inlineStr">
        <is>
          <t>NULL</t>
        </is>
      </c>
      <c r="I24" s="0" t="inlineStr">
        <is>
          <t>NULL</t>
        </is>
      </c>
      <c r="J24" s="0" t="inlineStr">
        <is>
          <t>NULL</t>
        </is>
      </c>
      <c r="K24" s="0" t="inlineStr">
        <is>
          <t>YES! 	 c_char20列源备映射正确，源端为char 20位	期望更改为char(n)	实际备端为char 80位</t>
        </is>
      </c>
      <c r="AF24" s="0" t="inlineStr">
        <is>
          <t>src行 ['5',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']列，源：1b07fa796a4047401456235b0baf2482 备：None</t>
        </is>
      </c>
      <c r="BH24" s="0" t="inlineStr">
        <is>
          <t>src行 ['8',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']列，源：1f4a40f4d8e07429cdca730b9795f7f7 备：None</t>
        </is>
      </c>
    </row>
    <row r="25">
      <c r="B25" s="0" t="inlineStr">
        <is>
          <t>NULL</t>
        </is>
      </c>
      <c r="C25" s="0" t="inlineStr">
        <is>
          <t>NULL</t>
        </is>
      </c>
      <c r="D25" s="0" t="inlineStr">
        <is>
          <t>NULL</t>
        </is>
      </c>
      <c r="E25" s="0" t="inlineStr">
        <is>
          <t>NULL</t>
        </is>
      </c>
      <c r="F25" s="0" t="inlineStr">
        <is>
          <t>NULL</t>
        </is>
      </c>
      <c r="G25" s="0" t="inlineStr">
        <is>
          <t>NULL</t>
        </is>
      </c>
      <c r="H25" s="0" t="inlineStr">
        <is>
          <t>NULL</t>
        </is>
      </c>
      <c r="I25" s="0" t="inlineStr">
        <is>
          <t>NULL</t>
        </is>
      </c>
      <c r="J25" s="0" t="inlineStr">
        <is>
          <t>NULL</t>
        </is>
      </c>
      <c r="K25" s="0" t="inlineStr">
        <is>
          <t>YES! 	 c_char8000列源备映射正确，源端为char 8000位	期望更改为text	实际备端为text 65535位</t>
        </is>
      </c>
      <c r="AF25" s="0" t="inlineStr">
        <is>
          <t>src行 ['6',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']列，源：eb161edca117ad34f6054bfc360e3b21 备：None</t>
        </is>
      </c>
      <c r="BH25" s="0" t="inlineStr">
        <is>
          <t>src行 ['22', ' ', '                    ', '                                                                                                                                                                                                                                                                                                                                                                                                                                                                                                                                                                                                                                                                                                                                                                                                                                                                                                                                                                                                                                                                                                                                                                                                                                                                                                                                                                                                                                                                                                                                                                                                                                                                                                                                                                                                                                                                                                                                                                                                                                                                                                                                                                                                                                                                                                                                                                                                                                                                                                                                                                                                                                                                                                                                                                                                                                                                                                                                                                                                                                                                                                                                                                                                                                                                                                                                                                                                                                                                                                                                                                                                                                            ']列，源：d4d661acace5b8b1e989fb1734442c5f 备：None</t>
        </is>
      </c>
    </row>
    <row r="26">
      <c r="A26" s="0" t="inlineStr">
        <is>
          <t>info_char_dml_single_nopk_drp</t>
        </is>
      </c>
      <c r="K26" s="0" t="inlineStr">
        <is>
          <t>[0;34m info_char_dml_single_nopk_drp [0m源备字段数相同，源端字段：4 	备端字段4</t>
        </is>
      </c>
      <c r="W26" s="15">
        <f>HYPERLINK("#2026051816mysql2!Z2","NO 源备存在差异，共4个")</f>
        <v/>
      </c>
      <c r="X26" s="0">
        <f>A26</f>
        <v/>
      </c>
      <c r="AF26" s="0" t="inlineStr">
        <is>
          <t>src行 ['9',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']列，源：43b8a179cab7bd60ef79b07e18b3b3d2 备：None</t>
        </is>
      </c>
      <c r="BH26" s="0" t="inlineStr">
        <is>
          <t>src行 ['26', 'Y', '€¶I€¶               ', '€¶I€¶€¶I€¶€¶I€¶€¶I€¶€¶I€¶€¶I€¶€¶I€¶€¶I€¶€¶I€¶€¶I€¶€¶I€¶€¶I€¶€¶I€¶€¶I€¶€¶I€¶€¶I€¶€¶I€¶€¶I€¶€¶I€¶€¶I€¶€¶I€¶€¶I€¶€¶I€¶€¶I€¶€¶I€¶€¶I€¶€¶I€¶€¶I€¶€¶I€¶€¶I€¶€¶I€¶€¶I€¶€¶I€¶€¶I€¶€¶I€¶€¶I€¶€¶I€¶€¶I€¶€¶I€¶€¶I€¶€¶I€¶€¶I€¶€¶I€¶€¶I€¶€¶I€¶€¶I€¶€¶I€¶€¶I€¶€¶I€¶€¶I€¶€¶I€¶€¶I€¶€¶I€¶€¶I€¶€¶I€¶€¶I€¶€¶I€¶€¶I€¶€¶I€¶€¶I€¶€¶I€¶€¶I€¶€¶I€¶€¶I€¶€¶I€¶€¶I€¶€¶I€¶€¶I€¶€¶I€¶€¶I€¶€¶I€¶€¶I€¶€¶I€¶€¶I€¶€¶I€¶€¶I€¶€¶I€¶€¶I€¶€¶I€¶€¶I€¶€¶I€¶€¶I€¶€¶I€¶€¶I€¶€¶I€¶€¶I€¶€¶I€¶€¶I€¶€¶I€¶€¶I€¶€¶I€¶€¶I€¶€¶I€¶€¶I€¶€¶I€¶€¶I€¶€¶I€¶€¶I€¶€¶I€¶€¶I€¶€¶I€¶€¶I€¶€¶I€¶€¶I€¶€¶I€¶€¶I€¶€¶I€¶€¶I€¶€¶I€¶€¶I€¶€¶I€¶€¶I€¶€¶I€¶€¶I€¶€¶I€¶€¶I€¶€¶I€¶€¶I€¶€¶I€¶€¶I€¶€¶I€¶€¶I€¶€¶I€¶€¶I€¶€¶I€¶€¶I€¶€¶I€¶€¶I€¶€¶I€¶€¶I€¶€¶I€¶€¶I€¶€¶I€¶€¶I€¶€¶I€¶€¶I€¶€¶I€¶€¶I€¶€¶I€¶€¶I€¶€¶I€¶€¶I€¶€¶I€¶€¶I€¶€¶I€¶€¶I€¶€¶I€¶€¶I€¶€¶I€¶€¶I€¶€¶I€¶€¶I€¶€¶I€¶€¶I€¶€¶I€¶€¶I€¶€¶I€¶€¶I€¶€¶I€¶€¶I€¶€¶I€¶€¶I€¶€¶I€¶€¶I€¶€¶I€¶€¶I€¶€¶I€¶€¶I€¶€¶I€¶€¶I€¶€¶I€¶€¶I€¶€¶I€¶€¶I€¶€¶I€¶€¶I€¶€¶I€¶€¶I€¶€¶I€¶€¶I€¶€¶I€¶€¶I€¶€¶I€¶€¶I€¶€¶I€¶€¶I€¶€¶I€¶€¶I€¶€¶I€¶€¶I€¶€¶I€¶€¶I€¶€¶I€¶€¶I€¶€¶I€¶€¶I€¶€¶I€¶€¶I€¶€¶I€¶€¶I€¶                                                                                                                                                                                                                                                                                                                                                                                                                                                                                                                                                                                                                                                                                                                                                                                                                                                                                                                                                                                                                                                                                                                                                                                                                                                                                                                                                                                                                                                                                                                                                                                                                                                                                                                                                                                                                                                                                                                                                                                                                                                                                                                                                                                                                                                                                                                                                                                                                                                                                                                                                                                                    ']列，源：f2ba61fb2bfcb781c0b22002d8466c53 备：None</t>
        </is>
      </c>
    </row>
    <row r="27">
      <c r="B27" s="0" t="inlineStr">
        <is>
          <t>NULL</t>
        </is>
      </c>
      <c r="C27" s="0" t="inlineStr">
        <is>
          <t>NULL</t>
        </is>
      </c>
      <c r="D27" s="0" t="inlineStr">
        <is>
          <t>NULL</t>
        </is>
      </c>
      <c r="E27" s="0" t="inlineStr">
        <is>
          <t>NULL</t>
        </is>
      </c>
      <c r="F27" s="0" t="inlineStr">
        <is>
          <t>NULL</t>
        </is>
      </c>
      <c r="G27" s="0" t="inlineStr">
        <is>
          <t>NULL</t>
        </is>
      </c>
      <c r="H27" s="0" t="inlineStr">
        <is>
          <t>NULL</t>
        </is>
      </c>
      <c r="I27" s="0" t="inlineStr">
        <is>
          <t>NULL</t>
        </is>
      </c>
      <c r="J27" s="0" t="inlineStr">
        <is>
          <t>NULL</t>
        </is>
      </c>
      <c r="K27" s="0" t="inlineStr">
        <is>
          <t>YES! 	 id列源备映射正确，源端为int None位	期望更改为int	实际备端为int None位</t>
        </is>
      </c>
      <c r="AF27" s="0" t="inlineStr">
        <is>
          <t>src行 ['22', ' ', '                    ', '                                                                                                                                                                                                                                                                                                                                                                                                                                                                                                                                                                                                                                                                                                                                                                                                                                                                                                                                                                                                                                                                                                                                                                                                                                                                                                                                                                                                                                                                                                                                                                                                                                                                                                                                                                                                                                                                                                                                                                                                                                                                                                                                                                                                                                                                                                                                                                                                                                                                                                                                                                                                                                                                                                                                                                                                                                                                                                                                                                                                                                                                                                                                                                                                                                                                                                                                                                                                                                                                                                                                                                                                                                                                                                                                                                                                                                                                                                                                                                                                                                                                                                                                                                                                                                                                                                                                                                                                                                                                                                                                                                                                                                                                                                                                                                                                                                                                                                                                                                                                                                                                                                                                                                                                                                                                                                                                                                                                                                                                                                                                                                                                                                                                                                                                                                                                                                                                                                                                                                                                                                                                                                                                                                                                                                                                                                                                                                                                                                                                                                                                                                                                                                                                                                                                                                                                                                                                                                                                                                                                                                                                                                                                                                                                                                                                                                                                                                                                                                                                                                                                                                                                                                                                                                                                                                                                                                                                                                                                                                                                                                                                                                                                                                                                                                                                                                                                ']列，源：c66113c826353c42f6d85b881fa784d3 备：None</t>
        </is>
      </c>
      <c r="BH27" s="0" t="inlineStr">
        <is>
          <t>src行 ['27',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']列，源：cf7dcc94a3edaf59a27d8050c62e528d 备：None</t>
        </is>
      </c>
    </row>
    <row r="28">
      <c r="B28" s="0" t="inlineStr">
        <is>
          <t>NULL</t>
        </is>
      </c>
      <c r="C28" s="0" t="inlineStr">
        <is>
          <t>NULL</t>
        </is>
      </c>
      <c r="D28" s="0" t="inlineStr">
        <is>
          <t>NULL</t>
        </is>
      </c>
      <c r="E28" s="0" t="inlineStr">
        <is>
          <t>NULL</t>
        </is>
      </c>
      <c r="F28" s="0" t="inlineStr">
        <is>
          <t>NULL</t>
        </is>
      </c>
      <c r="G28" s="0" t="inlineStr">
        <is>
          <t>NULL</t>
        </is>
      </c>
      <c r="H28" s="0" t="inlineStr">
        <is>
          <t>NULL</t>
        </is>
      </c>
      <c r="I28" s="0" t="inlineStr">
        <is>
          <t>NULL</t>
        </is>
      </c>
      <c r="J28" s="0" t="inlineStr">
        <is>
          <t>NULL</t>
        </is>
      </c>
      <c r="K28" s="0" t="inlineStr">
        <is>
          <t>YES! 	 c_char列源备映射正确，源端为char 1位	期望更改为char(n)	实际备端为char 4位</t>
        </is>
      </c>
      <c r="AF28" s="0" t="inlineStr">
        <is>
          <t>src行 ['23',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']列，源：e640d340a04a71fe349d9efe7144d7cb 备：None</t>
        </is>
      </c>
      <c r="BH28" s="0" t="inlineStr">
        <is>
          <t>src行 ['28',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']列，源：444aabd97eb796fffc30c56f81a09256 备：None</t>
        </is>
      </c>
    </row>
    <row r="29">
      <c r="B29" s="0" t="inlineStr">
        <is>
          <t>NULL</t>
        </is>
      </c>
      <c r="C29" s="0" t="inlineStr">
        <is>
          <t>NULL</t>
        </is>
      </c>
      <c r="D29" s="0" t="inlineStr">
        <is>
          <t>NULL</t>
        </is>
      </c>
      <c r="E29" s="0" t="inlineStr">
        <is>
          <t>NULL</t>
        </is>
      </c>
      <c r="F29" s="0" t="inlineStr">
        <is>
          <t>NULL</t>
        </is>
      </c>
      <c r="G29" s="0" t="inlineStr">
        <is>
          <t>NULL</t>
        </is>
      </c>
      <c r="H29" s="0" t="inlineStr">
        <is>
          <t>NULL</t>
        </is>
      </c>
      <c r="I29" s="0" t="inlineStr">
        <is>
          <t>NULL</t>
        </is>
      </c>
      <c r="J29" s="0" t="inlineStr">
        <is>
          <t>NULL</t>
        </is>
      </c>
      <c r="K29" s="0" t="inlineStr">
        <is>
          <t>YES! 	 c_char20列源备映射正确，源端为char 20位	期望更改为char(n)	实际备端为char 80位</t>
        </is>
      </c>
      <c r="AF29" s="0" t="inlineStr">
        <is>
          <t>src行 ['25',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']列，源：c114ea2c834a26d6fd7e80196956941b 备：None</t>
        </is>
      </c>
      <c r="BH29" s="0" t="inlineStr">
        <is>
          <t>src行 ['56', 'Y', '€¶I€¶               ', '€¶I€¶€¶I€¶€¶I€¶€¶I€¶€¶I€¶€¶I€¶€¶I€¶€¶I€¶€¶I€¶€¶I€¶€¶I€¶€¶I€¶€¶I€¶€¶I€¶€¶I€¶€¶I€¶€¶I€¶€¶I€¶€¶I€¶€¶I€¶€¶I€¶€¶I€¶€¶I€¶€¶I€¶€¶I€¶€¶I€¶€¶I€¶€¶I€¶€¶I€¶€¶I€¶€¶I€¶€¶I€¶€¶I€¶€¶I€¶€¶I€¶€¶I€¶€¶I€¶€¶I€¶€¶I€¶€¶I€¶€¶I€¶€¶I€¶€¶I€¶€¶I€¶€¶I€¶€¶I€¶€¶I€¶€¶I€¶€¶I€¶€¶I€¶€¶I€¶€¶I€¶€¶I€¶€¶I€¶€¶I€¶€¶I€¶€¶I€¶€¶I€¶€¶I€¶€¶I€¶€¶I€¶€¶I€¶€¶I€¶€¶I€¶€¶I€¶€¶I€¶€¶I€¶€¶I€¶€¶I€¶€¶I€¶€¶I€¶€¶I€¶€¶I€¶€¶I€¶€¶I€¶€¶I€¶€¶I€¶€¶I€¶€¶I€¶€¶I€¶€¶I€¶€¶I€¶€¶I€¶€¶I€¶€¶I€¶€¶I€¶€¶I€¶€¶I€¶€¶I€¶€¶I€¶€¶I€¶€¶I€¶€¶I€¶€¶I€¶€¶I€¶€¶I€¶€¶I€¶€¶I€¶€¶I€¶€¶I€¶€¶I€¶€¶I€¶€¶I€¶€¶I€¶€¶I€¶€¶I€¶€¶I€¶€¶I€¶€¶I€¶€¶I€¶€¶I€¶€¶I€¶€¶I€¶€¶I€¶€¶I€¶€¶I€¶€¶I€¶€¶I€¶€¶I€¶€¶I€¶€¶I€¶€¶I€¶€¶I€¶€¶I€¶€¶I€¶€¶I€¶€¶I€¶€¶I€¶€¶I€¶€¶I€¶€¶I€¶€¶I€¶€¶I€¶€¶I€¶€¶I€¶€¶I€¶€¶I€¶€¶I€¶€¶I€¶€¶I€¶€¶I€¶€¶I€¶€¶I€¶€¶I€¶€¶I€¶€¶I€¶€¶I€¶€¶I€¶€¶I€¶€¶I€¶€¶I€¶€¶I€¶€¶I€¶€¶I€¶€¶I€¶€¶I€¶€¶I€¶€¶I€¶€¶I€¶€¶I€¶€¶I€¶€¶I€¶€¶I€¶€¶I€¶€¶I€¶€¶I€¶€¶I€¶€¶I€¶€¶I€¶€¶I€¶€¶I€¶€¶I€¶€¶I€¶€¶I€¶€¶I€¶€¶I€¶€¶I€¶€¶I€¶€¶I€¶€¶I€¶€¶I€¶€¶I€¶€¶I€¶€¶I€¶€¶I€¶€¶I€¶€¶I€¶€¶I€¶€¶I€¶€¶I€¶€¶I€¶€¶I€¶€¶I€¶€¶I€¶€¶I€¶€¶I€¶€¶I€¶€¶I€¶€¶I€¶€¶I€¶                                                                                                                                                                                                                                                                                                                                                                                                                                                                                                                                                                                                                                                                                                                                                                                                                                                                                                                                                                                                                                                                                                                                                                                                                                                                                                                                                                                                                                                                                                                                                                                                                                                                                                                                                                                                                                                                                                                                                                                                                                                                                                                                                                                                                                                                                                                                                                                                                                                                                                                                                                                                    ']列，源：aeaa0bf9f6ab9f82a99aea09d457e1f0 备：None</t>
        </is>
      </c>
    </row>
    <row r="30">
      <c r="B30" s="0" t="inlineStr">
        <is>
          <t>NULL</t>
        </is>
      </c>
      <c r="C30" s="0" t="inlineStr">
        <is>
          <t>NULL</t>
        </is>
      </c>
      <c r="D30" s="0" t="inlineStr">
        <is>
          <t>NULL</t>
        </is>
      </c>
      <c r="E30" s="0" t="inlineStr">
        <is>
          <t>NULL</t>
        </is>
      </c>
      <c r="F30" s="0" t="inlineStr">
        <is>
          <t>NULL</t>
        </is>
      </c>
      <c r="G30" s="0" t="inlineStr">
        <is>
          <t>NULL</t>
        </is>
      </c>
      <c r="H30" s="0" t="inlineStr">
        <is>
          <t>NULL</t>
        </is>
      </c>
      <c r="I30" s="0" t="inlineStr">
        <is>
          <t>NULL</t>
        </is>
      </c>
      <c r="J30" s="0" t="inlineStr">
        <is>
          <t>NULL</t>
        </is>
      </c>
      <c r="K30" s="0" t="inlineStr">
        <is>
          <t>YES! 	 c_char7000列源备映射正确，源端为char 7000位	期望更改为text	实际备端为text 65535位</t>
        </is>
      </c>
      <c r="AF30" s="0" t="inlineStr">
        <is>
          <t>src行 ['26',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']列，源：fe1cbafd6c4590411a3fde445bce8218 备：None</t>
        </is>
      </c>
      <c r="BH30" s="0" t="inlineStr">
        <is>
          <t>src行 ['57',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']列，源：3af69c9c655758aedba02eb9c7a7bdb0 备：None</t>
        </is>
      </c>
    </row>
    <row r="31">
      <c r="A31" s="0" t="inlineStr">
        <is>
          <t>info_geometry_dml_single_pk_drp</t>
        </is>
      </c>
      <c r="K31" s="0" t="inlineStr">
        <is>
          <t>[0;34m info_geometry_dml_single_pk_drp [0m源备字段数相同，源端字段：2 	备端字段2</t>
        </is>
      </c>
      <c r="W31" s="0" t="inlineStr">
        <is>
          <t>YES 源备无差异</t>
        </is>
      </c>
      <c r="X31" s="0">
        <f>A31</f>
        <v/>
      </c>
      <c r="AF31" s="0" t="inlineStr">
        <is>
          <t>src行 ['29',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']列，源：a1ba27b3cfc6873728d2486686f2da0a 备：None</t>
        </is>
      </c>
      <c r="BH31" s="0" t="inlineStr">
        <is>
          <t>src行 ['58',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']列，源：09383deda7198b8fdb0e204bccc75282 备：None</t>
        </is>
      </c>
    </row>
    <row r="32">
      <c r="B32" s="0" t="inlineStr">
        <is>
          <t>YES</t>
        </is>
      </c>
      <c r="C32" s="0" t="inlineStr">
        <is>
          <t>NULL</t>
        </is>
      </c>
      <c r="D32" s="0" t="inlineStr">
        <is>
          <t>NULL</t>
        </is>
      </c>
      <c r="E32" s="0" t="inlineStr">
        <is>
          <t>NULL</t>
        </is>
      </c>
      <c r="F32" s="0" t="inlineStr">
        <is>
          <t>NULL</t>
        </is>
      </c>
      <c r="G32" s="0" t="inlineStr">
        <is>
          <t>NULL</t>
        </is>
      </c>
      <c r="H32" s="0" t="inlineStr">
        <is>
          <t>NULL</t>
        </is>
      </c>
      <c r="I32" s="0" t="inlineStr">
        <is>
          <t>YES!PK__info_geo__3213E83FD0AD5C3B</t>
        </is>
      </c>
      <c r="J32" s="0" t="inlineStr">
        <is>
          <t>YES! 主键相关索引</t>
        </is>
      </c>
      <c r="K32" s="0" t="inlineStr">
        <is>
          <t>YES! 	 id列源备映射正确，源端为int None位	期望更改为int	实际备端为int None位</t>
        </is>
      </c>
      <c r="AF32" s="0" t="inlineStr">
        <is>
          <t>src行 ['56',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']列，源：43e6d5cebb8d20cc513db35cacbd6a10 备：None</t>
        </is>
      </c>
      <c r="BH32" s="0" t="inlineStr">
        <is>
          <t>src行 ['72', ' ', '                    ', '                                                                                                                                                                                                                                                                                                                                                                                                                                                                                                                                                                                                                                                                                                                                                                                                                                                                                                                                                                                                                                                                                                                                                                                                                                                                                                                                                                                                                                                                                                                                                                                                                                                                                                                                                                                                                                                                                                                                                                                                                                                                                                                                                                                                                                                                                                                                                                                                                                                                                                                                                                                                                                                                                                                                                                                                                                                                                                                                                                                                                                                                                                                                                                                                                                                                                                                                                                                                                                                                                                                                                                                                                                            ']列，源：688327dcacccf4c8dd49cc4459e757b1 备：None</t>
        </is>
      </c>
    </row>
    <row r="33">
      <c r="B33" s="0" t="inlineStr">
        <is>
          <t>NULL</t>
        </is>
      </c>
      <c r="C33" s="0" t="inlineStr">
        <is>
          <t>NULL</t>
        </is>
      </c>
      <c r="D33" s="0" t="inlineStr">
        <is>
          <t>NULL</t>
        </is>
      </c>
      <c r="E33" s="0" t="inlineStr">
        <is>
          <t>NULL</t>
        </is>
      </c>
      <c r="F33" s="0" t="inlineStr">
        <is>
          <t>NULL</t>
        </is>
      </c>
      <c r="G33" s="0" t="inlineStr">
        <is>
          <t>NULL</t>
        </is>
      </c>
      <c r="H33" s="0" t="inlineStr">
        <is>
          <t>NULL</t>
        </is>
      </c>
      <c r="I33" s="0" t="inlineStr">
        <is>
          <t>NULL</t>
        </is>
      </c>
      <c r="J33" s="0" t="inlineStr">
        <is>
          <t>NULL</t>
        </is>
      </c>
      <c r="K33" s="0" t="inlineStr">
        <is>
          <t>YES! 	 c_geometry列源备映射正确，源端为geometry -1位	期望更改为text	实际备端为text 65535位</t>
        </is>
      </c>
      <c r="AF33" s="0" t="inlineStr">
        <is>
          <t>src行 ['59',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']列，源：9697c4c8a7a5a9480308ec5e2554ca7f 备：None</t>
        </is>
      </c>
      <c r="BH33" s="0" t="inlineStr">
        <is>
          <t>src行 ['76', 'Y', '€¶I€¶               ', '€¶I€¶€¶I€¶€¶I€¶€¶I€¶€¶I€¶€¶I€¶€¶I€¶€¶I€¶€¶I€¶€¶I€¶€¶I€¶€¶I€¶€¶I€¶€¶I€¶€¶I€¶€¶I€¶€¶I€¶€¶I€¶€¶I€¶€¶I€¶€¶I€¶€¶I€¶€¶I€¶€¶I€¶€¶I€¶€¶I€¶€¶I€¶€¶I€¶€¶I€¶€¶I€¶€¶I€¶€¶I€¶€¶I€¶€¶I€¶€¶I€¶€¶I€¶€¶I€¶€¶I€¶€¶I€¶€¶I€¶€¶I€¶€¶I€¶€¶I€¶€¶I€¶€¶I€¶€¶I€¶€¶I€¶€¶I€¶€¶I€¶€¶I€¶€¶I€¶€¶I€¶€¶I€¶€¶I€¶€¶I€¶€¶I€¶€¶I€¶€¶I€¶€¶I€¶€¶I€¶€¶I€¶€¶I€¶€¶I€¶€¶I€¶€¶I€¶€¶I€¶€¶I€¶€¶I€¶€¶I€¶€¶I€¶€¶I€¶€¶I€¶€¶I€¶€¶I€¶€¶I€¶€¶I€¶€¶I€¶€¶I€¶€¶I€¶€¶I€¶€¶I€¶€¶I€¶€¶I€¶€¶I€¶€¶I€¶€¶I€¶€¶I€¶€¶I€¶€¶I€¶€¶I€¶€¶I€¶€¶I€¶€¶I€¶€¶I€¶€¶I€¶€¶I€¶€¶I€¶€¶I€¶€¶I€¶€¶I€¶€¶I€¶€¶I€¶€¶I€¶€¶I€¶€¶I€¶€¶I€¶€¶I€¶€¶I€¶€¶I€¶€¶I€¶€¶I€¶€¶I€¶€¶I€¶€¶I€¶€¶I€¶€¶I€¶€¶I€¶€¶I€¶€¶I€¶€¶I€¶€¶I€¶€¶I€¶€¶I€¶€¶I€¶€¶I€¶€¶I€¶€¶I€¶€¶I€¶€¶I€¶€¶I€¶€¶I€¶€¶I€¶€¶I€¶€¶I€¶€¶I€¶€¶I€¶€¶I€¶€¶I€¶€¶I€¶€¶I€¶€¶I€¶€¶I€¶€¶I€¶€¶I€¶€¶I€¶€¶I€¶€¶I€¶€¶I€¶€¶I€¶€¶I€¶€¶I€¶€¶I€¶€¶I€¶€¶I€¶€¶I€¶€¶I€¶€¶I€¶€¶I€¶€¶I€¶€¶I€¶€¶I€¶€¶I€¶€¶I€¶€¶I€¶€¶I€¶€¶I€¶€¶I€¶€¶I€¶€¶I€¶€¶I€¶€¶I€¶€¶I€¶€¶I€¶€¶I€¶€¶I€¶€¶I€¶€¶I€¶€¶I€¶€¶I€¶€¶I€¶€¶I€¶€¶I€¶€¶I€¶€¶I€¶€¶I€¶€¶I€¶€¶I€¶€¶I€¶€¶I€¶€¶I€¶€¶I€¶€¶I€¶€¶I€¶€¶I€¶€¶I€¶€¶I€¶€¶I€¶€¶I€¶€¶I€¶€¶I€¶                                                                                                                                                                                                                                                                                                                                                                                                                                                                                                                                                                                                                                                                                                                                                                                                                                                                                                                                                                                                                                                                                                                                                                                                                                                                                                                                                                                                                                                                                                                                                                                                                                                                                                                                                                                                                                                                                                                                                                                                                                                                                                                                                                                                                                                                                                                                                                                                                                                                                                                                                                                                    ']列，源：ecf3d8d49feab7ad0b7c6d0520f503b0 备：None</t>
        </is>
      </c>
    </row>
    <row r="34">
      <c r="A34" s="0" t="inlineStr">
        <is>
          <t>info_char_dml_single_nopk_urp</t>
        </is>
      </c>
      <c r="K34" s="0" t="inlineStr">
        <is>
          <t>[0;34m info_char_dml_single_nopk_urp [0m源备字段数相同，源端字段：4 	备端字段4</t>
        </is>
      </c>
      <c r="W34" s="15">
        <f>HYPERLINK("#2026051816mysql2!AA2","NO 源备存在差异，共8个")</f>
        <v/>
      </c>
      <c r="X34" s="0">
        <f>A34</f>
        <v/>
      </c>
      <c r="AF34" s="0" t="inlineStr">
        <is>
          <t>src行 ['72', ' ', '                    ', '                                                                                                                                                                                                                                                                                                                                                                                                                                                                                                                                                                                                                                                                                                                                                                                                                                                                                                                                                                                                                                                                                                                                                                                                                                                                                                                                                                                                                                                                                                                                                                                                                                                                                                                                                                                                                                                                                                                                                                                                                                                                                                                                                                                                                                                                                                                                                                                                                                                                                                                                                                                                                                                                                                                                                                                                                                                                                                                                                                                                                                                                                                                                                                                                                                                                                                                                                                                                                                                                                                                                                                                                                                                                                                                                                                                                                                                                                                                                                                                                                                                                                                                                                                                                                                                                                                                                                                                                                                                                                                                                                                                                                                                                                                                                                                                                                                                                                                                                                                                                                                                                                                                                                                                                                                                                                                                                                                                                                                                                                                                                                                                                                                                                                                                                                                                                                                                                                                                                                                                                                                                                                                                                                                                                                                                                                                                                                                                                                                                                                                                                                                                                                                                                                                                                                                                                                                                                                                                                                                                                                                                                                                                                                                                                                                                                                                                                                                                                                                                                                                                                                                                                                                                                                                                                                                                                                                                                                                                                                                                                                                                                                                                                                                                                                                                                                                                                ']列，源：7551f688ceb20fb82dfb42cffacd63b7 备：None</t>
        </is>
      </c>
      <c r="BH34" s="0" t="inlineStr">
        <is>
          <t>src行 ['77',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']列，源：aa2bc73d0ff27ff1742e00f802544466 备：None</t>
        </is>
      </c>
    </row>
    <row r="35">
      <c r="B35" s="0" t="inlineStr">
        <is>
          <t>NULL</t>
        </is>
      </c>
      <c r="C35" s="0" t="inlineStr">
        <is>
          <t>NULL</t>
        </is>
      </c>
      <c r="D35" s="0" t="inlineStr">
        <is>
          <t>NULL</t>
        </is>
      </c>
      <c r="E35" s="0" t="inlineStr">
        <is>
          <t>NULL</t>
        </is>
      </c>
      <c r="F35" s="0" t="inlineStr">
        <is>
          <t>NULL</t>
        </is>
      </c>
      <c r="G35" s="0" t="inlineStr">
        <is>
          <t>NULL</t>
        </is>
      </c>
      <c r="H35" s="0" t="inlineStr">
        <is>
          <t>NULL</t>
        </is>
      </c>
      <c r="I35" s="0" t="inlineStr">
        <is>
          <t>NULL</t>
        </is>
      </c>
      <c r="J35" s="0" t="inlineStr">
        <is>
          <t>NULL</t>
        </is>
      </c>
      <c r="K35" s="0" t="inlineStr">
        <is>
          <t>YES! 	 id列源备映射正确，源端为int None位	期望更改为int	实际备端为int None位</t>
        </is>
      </c>
      <c r="AF35" s="0" t="inlineStr">
        <is>
          <t>src行 ['73',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']列，源：bda3038fd13dcd1e60ac90527334fb0f 备：None</t>
        </is>
      </c>
      <c r="BH35" s="0" t="inlineStr">
        <is>
          <t>src行 ['78',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']列，源：d67c420f737ec28840a5582bbcc3942c 备：None</t>
        </is>
      </c>
    </row>
    <row r="36">
      <c r="B36" s="0" t="inlineStr">
        <is>
          <t>NULL</t>
        </is>
      </c>
      <c r="C36" s="0" t="inlineStr">
        <is>
          <t>NULL</t>
        </is>
      </c>
      <c r="D36" s="0" t="inlineStr">
        <is>
          <t>NULL</t>
        </is>
      </c>
      <c r="E36" s="0" t="inlineStr">
        <is>
          <t>NULL</t>
        </is>
      </c>
      <c r="F36" s="0" t="inlineStr">
        <is>
          <t>NULL</t>
        </is>
      </c>
      <c r="G36" s="0" t="inlineStr">
        <is>
          <t>NULL</t>
        </is>
      </c>
      <c r="H36" s="0" t="inlineStr">
        <is>
          <t>NULL</t>
        </is>
      </c>
      <c r="I36" s="0" t="inlineStr">
        <is>
          <t>NULL</t>
        </is>
      </c>
      <c r="J36" s="0" t="inlineStr">
        <is>
          <t>NULL</t>
        </is>
      </c>
      <c r="K36" s="0" t="inlineStr">
        <is>
          <t>YES! 	 c_char列源备映射正确，源端为char 1位	期望更改为char(n)	实际备端为char 4位</t>
        </is>
      </c>
      <c r="AF36" s="0" t="inlineStr">
        <is>
          <t>src行 ['75',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']列，源：ce8f89056f64bb32e5d8a780cbb51c41 备：None</t>
        </is>
      </c>
      <c r="BH36" s="0" t="inlineStr">
        <is>
          <t>src行 ['128',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']列，源：ead420959b8f82fcffbdd3e3b5b9f1a4 备：None</t>
        </is>
      </c>
    </row>
    <row r="37">
      <c r="B37" s="0" t="inlineStr">
        <is>
          <t>NULL</t>
        </is>
      </c>
      <c r="C37" s="0" t="inlineStr">
        <is>
          <t>NULL</t>
        </is>
      </c>
      <c r="D37" s="0" t="inlineStr">
        <is>
          <t>NULL</t>
        </is>
      </c>
      <c r="E37" s="0" t="inlineStr">
        <is>
          <t>NULL</t>
        </is>
      </c>
      <c r="F37" s="0" t="inlineStr">
        <is>
          <t>NULL</t>
        </is>
      </c>
      <c r="G37" s="0" t="inlineStr">
        <is>
          <t>NULL</t>
        </is>
      </c>
      <c r="H37" s="0" t="inlineStr">
        <is>
          <t>NULL</t>
        </is>
      </c>
      <c r="I37" s="0" t="inlineStr">
        <is>
          <t>NULL</t>
        </is>
      </c>
      <c r="J37" s="0" t="inlineStr">
        <is>
          <t>NULL</t>
        </is>
      </c>
      <c r="K37" s="0" t="inlineStr">
        <is>
          <t>YES! 	 c_char20列源备映射正确，源端为char 20位	期望更改为char(n)	实际备端为char 80位</t>
        </is>
      </c>
      <c r="AF37" s="0" t="inlineStr">
        <is>
          <t>src行 ['76',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']列，源：d94a6d299a8ab9c226e42d54890c47f9 备：None</t>
        </is>
      </c>
      <c r="BH37" s="0" t="inlineStr">
        <is>
          <t>src行 ['158',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']列，源：ec48c44a9f4473b327b7f0e650db08c3 备：None</t>
        </is>
      </c>
    </row>
    <row r="38">
      <c r="B38" s="0" t="inlineStr">
        <is>
          <t>NULL</t>
        </is>
      </c>
      <c r="C38" s="0" t="inlineStr">
        <is>
          <t>NULL</t>
        </is>
      </c>
      <c r="D38" s="0" t="inlineStr">
        <is>
          <t>NULL</t>
        </is>
      </c>
      <c r="E38" s="0" t="inlineStr">
        <is>
          <t>NULL</t>
        </is>
      </c>
      <c r="F38" s="0" t="inlineStr">
        <is>
          <t>NULL</t>
        </is>
      </c>
      <c r="G38" s="0" t="inlineStr">
        <is>
          <t>NULL</t>
        </is>
      </c>
      <c r="H38" s="0" t="inlineStr">
        <is>
          <t>NULL</t>
        </is>
      </c>
      <c r="I38" s="0" t="inlineStr">
        <is>
          <t>NULL</t>
        </is>
      </c>
      <c r="J38" s="0" t="inlineStr">
        <is>
          <t>NULL</t>
        </is>
      </c>
      <c r="K38" s="0" t="inlineStr">
        <is>
          <t>YES! 	 c_char7000列源备映射正确，源端为char 7000位	期望更改为text	实际备端为text 65535位</t>
        </is>
      </c>
      <c r="AF38" s="0" t="inlineStr">
        <is>
          <t>src行 ['79',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']列，源：d68c5c66ce2325f62c56025c16467227 备：None</t>
        </is>
      </c>
      <c r="BH38" s="0" t="inlineStr">
        <is>
          <t>src行 ['178',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']列，源：84fbf526ea729a80ff1313bfcc3bbf75 备：None</t>
        </is>
      </c>
    </row>
    <row r="39">
      <c r="A39" s="0" t="inlineStr">
        <is>
          <t>info_time_dml_batch2_pk_irp1</t>
        </is>
      </c>
      <c r="K39" s="0" t="inlineStr">
        <is>
          <t>[0;34m info_time_dml_batch2_pk_irp1 [0m源备字段数相同，源端字段：9 	备端字段9</t>
        </is>
      </c>
      <c r="W39" s="0" t="inlineStr">
        <is>
          <t>YES 源备无差异</t>
        </is>
      </c>
      <c r="X39" s="0">
        <f>A39</f>
        <v/>
      </c>
      <c r="AF39" s="0" t="inlineStr">
        <is>
          <t>src行 ['125',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']列，源：29356d7eed7285d23e8d0b56773c0ae4 备：None</t>
        </is>
      </c>
    </row>
    <row r="40">
      <c r="B40" s="0" t="inlineStr">
        <is>
          <t>YES</t>
        </is>
      </c>
      <c r="C40" s="0" t="inlineStr">
        <is>
          <t>NULL</t>
        </is>
      </c>
      <c r="D40" s="0" t="inlineStr">
        <is>
          <t>NULL</t>
        </is>
      </c>
      <c r="E40" s="0" t="inlineStr">
        <is>
          <t>NULL</t>
        </is>
      </c>
      <c r="F40" s="0" t="inlineStr">
        <is>
          <t>NULL</t>
        </is>
      </c>
      <c r="G40" s="0" t="inlineStr">
        <is>
          <t>NULL</t>
        </is>
      </c>
      <c r="H40" s="0" t="inlineStr">
        <is>
          <t>NULL</t>
        </is>
      </c>
      <c r="I40" s="0" t="inlineStr">
        <is>
          <t>YES!PK__info_tim__3213E83FCA93B547</t>
        </is>
      </c>
      <c r="J40" s="0" t="inlineStr">
        <is>
          <t>YES! 主键相关索引</t>
        </is>
      </c>
      <c r="K40" s="0" t="inlineStr">
        <is>
          <t>YES! 	 id列源备映射正确，源端为int None位	期望更改为int	实际备端为int None位</t>
        </is>
      </c>
      <c r="AF40" s="0" t="inlineStr">
        <is>
          <t>src行 ['175',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']列，源：e4e0cb89f0c777be1f4a7b74f743d6b4 备：None</t>
        </is>
      </c>
    </row>
    <row r="41">
      <c r="B41" s="0" t="inlineStr">
        <is>
          <t>NULL</t>
        </is>
      </c>
      <c r="C41" s="0" t="inlineStr">
        <is>
          <t>NULL</t>
        </is>
      </c>
      <c r="D41" s="0" t="inlineStr">
        <is>
          <t>NULL</t>
        </is>
      </c>
      <c r="E41" s="0" t="inlineStr">
        <is>
          <t>NULL</t>
        </is>
      </c>
      <c r="F41" s="0" t="inlineStr">
        <is>
          <t>NULL</t>
        </is>
      </c>
      <c r="G41" s="0" t="inlineStr">
        <is>
          <t>NULL</t>
        </is>
      </c>
      <c r="H41" s="0" t="inlineStr">
        <is>
          <t>NULL</t>
        </is>
      </c>
      <c r="I41" s="0" t="inlineStr">
        <is>
          <t>NULL</t>
        </is>
      </c>
      <c r="J41" s="0" t="inlineStr">
        <is>
          <t>NULL</t>
        </is>
      </c>
      <c r="K41" s="0" t="inlineStr">
        <is>
          <t>[0;32m YES! [0m 	 c_time0列源备映射正确，源端为time None位	期望更改为varchar(20)	实际备端为varchar 80位	位数精度不存在，通过长度比较</t>
        </is>
      </c>
    </row>
    <row r="42">
      <c r="B42" s="0" t="inlineStr">
        <is>
          <t>NULL</t>
        </is>
      </c>
      <c r="C42" s="0" t="inlineStr">
        <is>
          <t>NULL</t>
        </is>
      </c>
      <c r="D42" s="0" t="inlineStr">
        <is>
          <t>NULL</t>
        </is>
      </c>
      <c r="E42" s="0" t="inlineStr">
        <is>
          <t>NULL</t>
        </is>
      </c>
      <c r="F42" s="0" t="inlineStr">
        <is>
          <t>NULL</t>
        </is>
      </c>
      <c r="G42" s="0" t="inlineStr">
        <is>
          <t>NULL</t>
        </is>
      </c>
      <c r="H42" s="0" t="inlineStr">
        <is>
          <t>NULL</t>
        </is>
      </c>
      <c r="I42" s="0" t="inlineStr">
        <is>
          <t>NULL</t>
        </is>
      </c>
      <c r="J42" s="0" t="inlineStr">
        <is>
          <t>NULL</t>
        </is>
      </c>
      <c r="K42" s="0" t="inlineStr">
        <is>
          <t>[0;32m YES! [0m 	 c_time1列源备映射正确，源端为time None位	期望更改为varchar(20)	实际备端为varchar 80位	位数精度不存在，通过长度比较</t>
        </is>
      </c>
    </row>
    <row r="43">
      <c r="B43" s="0" t="inlineStr">
        <is>
          <t>NULL</t>
        </is>
      </c>
      <c r="C43" s="0" t="inlineStr">
        <is>
          <t>NULL</t>
        </is>
      </c>
      <c r="D43" s="0" t="inlineStr">
        <is>
          <t>NULL</t>
        </is>
      </c>
      <c r="E43" s="0" t="inlineStr">
        <is>
          <t>NULL</t>
        </is>
      </c>
      <c r="F43" s="0" t="inlineStr">
        <is>
          <t>NULL</t>
        </is>
      </c>
      <c r="G43" s="0" t="inlineStr">
        <is>
          <t>NULL</t>
        </is>
      </c>
      <c r="H43" s="0" t="inlineStr">
        <is>
          <t>NULL</t>
        </is>
      </c>
      <c r="I43" s="0" t="inlineStr">
        <is>
          <t>NULL</t>
        </is>
      </c>
      <c r="J43" s="0" t="inlineStr">
        <is>
          <t>NULL</t>
        </is>
      </c>
      <c r="K43" s="0" t="inlineStr">
        <is>
          <t>[0;32m YES! [0m 	 c_time2列源备映射正确，源端为time None位	期望更改为varchar(20)	实际备端为varchar 80位	位数精度不存在，通过长度比较</t>
        </is>
      </c>
    </row>
    <row r="44">
      <c r="B44" s="0" t="inlineStr">
        <is>
          <t>NULL</t>
        </is>
      </c>
      <c r="C44" s="0" t="inlineStr">
        <is>
          <t>NULL</t>
        </is>
      </c>
      <c r="D44" s="0" t="inlineStr">
        <is>
          <t>NULL</t>
        </is>
      </c>
      <c r="E44" s="0" t="inlineStr">
        <is>
          <t>NULL</t>
        </is>
      </c>
      <c r="F44" s="0" t="inlineStr">
        <is>
          <t>NULL</t>
        </is>
      </c>
      <c r="G44" s="0" t="inlineStr">
        <is>
          <t>NULL</t>
        </is>
      </c>
      <c r="H44" s="0" t="inlineStr">
        <is>
          <t>NULL</t>
        </is>
      </c>
      <c r="I44" s="0" t="inlineStr">
        <is>
          <t>NULL</t>
        </is>
      </c>
      <c r="J44" s="0" t="inlineStr">
        <is>
          <t>NULL</t>
        </is>
      </c>
      <c r="K44" s="0" t="inlineStr">
        <is>
          <t>[0;32m YES! [0m 	 c_time3列源备映射正确，源端为time None位	期望更改为varchar(20)	实际备端为varchar 80位	位数精度不存在，通过长度比较</t>
        </is>
      </c>
    </row>
    <row r="45">
      <c r="B45" s="0" t="inlineStr">
        <is>
          <t>NULL</t>
        </is>
      </c>
      <c r="C45" s="0" t="inlineStr">
        <is>
          <t>NULL</t>
        </is>
      </c>
      <c r="D45" s="0" t="inlineStr">
        <is>
          <t>NULL</t>
        </is>
      </c>
      <c r="E45" s="0" t="inlineStr">
        <is>
          <t>NULL</t>
        </is>
      </c>
      <c r="F45" s="0" t="inlineStr">
        <is>
          <t>NULL</t>
        </is>
      </c>
      <c r="G45" s="0" t="inlineStr">
        <is>
          <t>NULL</t>
        </is>
      </c>
      <c r="H45" s="0" t="inlineStr">
        <is>
          <t>NULL</t>
        </is>
      </c>
      <c r="I45" s="0" t="inlineStr">
        <is>
          <t>NULL</t>
        </is>
      </c>
      <c r="J45" s="0" t="inlineStr">
        <is>
          <t>NULL</t>
        </is>
      </c>
      <c r="K45" s="0" t="inlineStr">
        <is>
          <t>[0;32m YES! [0m 	 c_time4列源备映射正确，源端为time None位	期望更改为varchar(20)	实际备端为varchar 80位	位数精度不存在，通过长度比较</t>
        </is>
      </c>
    </row>
    <row r="46">
      <c r="B46" s="0" t="inlineStr">
        <is>
          <t>NULL</t>
        </is>
      </c>
      <c r="C46" s="0" t="inlineStr">
        <is>
          <t>NULL</t>
        </is>
      </c>
      <c r="D46" s="0" t="inlineStr">
        <is>
          <t>NULL</t>
        </is>
      </c>
      <c r="E46" s="0" t="inlineStr">
        <is>
          <t>NULL</t>
        </is>
      </c>
      <c r="F46" s="0" t="inlineStr">
        <is>
          <t>NULL</t>
        </is>
      </c>
      <c r="G46" s="0" t="inlineStr">
        <is>
          <t>NULL</t>
        </is>
      </c>
      <c r="H46" s="0" t="inlineStr">
        <is>
          <t>NULL</t>
        </is>
      </c>
      <c r="I46" s="0" t="inlineStr">
        <is>
          <t>NULL</t>
        </is>
      </c>
      <c r="J46" s="0" t="inlineStr">
        <is>
          <t>NULL</t>
        </is>
      </c>
      <c r="K46" s="0" t="inlineStr">
        <is>
          <t>[0;32m YES! [0m 	 c_time5列源备映射正确，源端为time None位	期望更改为varchar(20)	实际备端为varchar 80位	位数精度不存在，通过长度比较</t>
        </is>
      </c>
    </row>
    <row r="47">
      <c r="B47" s="0" t="inlineStr">
        <is>
          <t>NULL</t>
        </is>
      </c>
      <c r="C47" s="0" t="inlineStr">
        <is>
          <t>NULL</t>
        </is>
      </c>
      <c r="D47" s="0" t="inlineStr">
        <is>
          <t>NULL</t>
        </is>
      </c>
      <c r="E47" s="0" t="inlineStr">
        <is>
          <t>NULL</t>
        </is>
      </c>
      <c r="F47" s="0" t="inlineStr">
        <is>
          <t>NULL</t>
        </is>
      </c>
      <c r="G47" s="0" t="inlineStr">
        <is>
          <t>NULL</t>
        </is>
      </c>
      <c r="H47" s="0" t="inlineStr">
        <is>
          <t>NULL</t>
        </is>
      </c>
      <c r="I47" s="0" t="inlineStr">
        <is>
          <t>NULL</t>
        </is>
      </c>
      <c r="J47" s="0" t="inlineStr">
        <is>
          <t>NULL</t>
        </is>
      </c>
      <c r="K47" s="0" t="inlineStr">
        <is>
          <t>[0;32m YES! [0m 	 c_time6列源备映射正确，源端为time None位	期望更改为varchar(20)	实际备端为varchar 80位	位数精度不存在，通过长度比较</t>
        </is>
      </c>
    </row>
    <row r="48">
      <c r="B48" s="0" t="inlineStr">
        <is>
          <t>NULL</t>
        </is>
      </c>
      <c r="C48" s="0" t="inlineStr">
        <is>
          <t>NULL</t>
        </is>
      </c>
      <c r="D48" s="0" t="inlineStr">
        <is>
          <t>NULL</t>
        </is>
      </c>
      <c r="E48" s="0" t="inlineStr">
        <is>
          <t>NULL</t>
        </is>
      </c>
      <c r="F48" s="0" t="inlineStr">
        <is>
          <t>NULL</t>
        </is>
      </c>
      <c r="G48" s="0" t="inlineStr">
        <is>
          <t>NULL</t>
        </is>
      </c>
      <c r="H48" s="0" t="inlineStr">
        <is>
          <t>NULL</t>
        </is>
      </c>
      <c r="I48" s="0" t="inlineStr">
        <is>
          <t>NULL</t>
        </is>
      </c>
      <c r="J48" s="0" t="inlineStr">
        <is>
          <t>NULL</t>
        </is>
      </c>
      <c r="K48" s="0" t="inlineStr">
        <is>
          <t>[0;32m YES! [0m 	 c_time列源备映射正确，源端为time None位	期望更改为varchar(20)	实际备端为varchar 80位	位数精度不存在，通过长度比较</t>
        </is>
      </c>
    </row>
    <row r="49">
      <c r="A49" s="0" t="inlineStr">
        <is>
          <t>info_char_dml_single_nopk</t>
        </is>
      </c>
      <c r="K49" s="0" t="inlineStr">
        <is>
          <t>[0;34m info_char_dml_single_nopk [0m源备字段数相同，源端字段：4 	备端字段4</t>
        </is>
      </c>
      <c r="W49" s="15">
        <f>HYPERLINK("#2026051816mysql2!AB2","NO 源备存在差异，共4个")</f>
        <v/>
      </c>
      <c r="X49" s="0">
        <f>A49</f>
        <v/>
      </c>
    </row>
    <row r="50">
      <c r="B50" s="0" t="inlineStr">
        <is>
          <t>NULL</t>
        </is>
      </c>
      <c r="C50" s="0" t="inlineStr">
        <is>
          <t>NULL</t>
        </is>
      </c>
      <c r="D50" s="0" t="inlineStr">
        <is>
          <t>NULL</t>
        </is>
      </c>
      <c r="E50" s="0" t="inlineStr">
        <is>
          <t>NULL</t>
        </is>
      </c>
      <c r="F50" s="0" t="inlineStr">
        <is>
          <t>NULL</t>
        </is>
      </c>
      <c r="G50" s="0" t="inlineStr">
        <is>
          <t>NULL</t>
        </is>
      </c>
      <c r="H50" s="0" t="inlineStr">
        <is>
          <t>NULL</t>
        </is>
      </c>
      <c r="I50" s="0" t="inlineStr">
        <is>
          <t>NULL</t>
        </is>
      </c>
      <c r="J50" s="0" t="inlineStr">
        <is>
          <t>NULL</t>
        </is>
      </c>
      <c r="K50" s="0" t="inlineStr">
        <is>
          <t>YES! 	 id列源备映射正确，源端为int None位	期望更改为int	实际备端为int None位</t>
        </is>
      </c>
    </row>
    <row r="51">
      <c r="B51" s="0" t="inlineStr">
        <is>
          <t>NULL</t>
        </is>
      </c>
      <c r="C51" s="0" t="inlineStr">
        <is>
          <t>NULL</t>
        </is>
      </c>
      <c r="D51" s="0" t="inlineStr">
        <is>
          <t>NULL</t>
        </is>
      </c>
      <c r="E51" s="0" t="inlineStr">
        <is>
          <t>NULL</t>
        </is>
      </c>
      <c r="F51" s="0" t="inlineStr">
        <is>
          <t>NULL</t>
        </is>
      </c>
      <c r="G51" s="0" t="inlineStr">
        <is>
          <t>NULL</t>
        </is>
      </c>
      <c r="H51" s="0" t="inlineStr">
        <is>
          <t>NULL</t>
        </is>
      </c>
      <c r="I51" s="0" t="inlineStr">
        <is>
          <t>NULL</t>
        </is>
      </c>
      <c r="J51" s="0" t="inlineStr">
        <is>
          <t>NULL</t>
        </is>
      </c>
      <c r="K51" s="0" t="inlineStr">
        <is>
          <t>YES! 	 c_char列源备映射正确，源端为char 1位	期望更改为char(n)	实际备端为char 4位</t>
        </is>
      </c>
    </row>
    <row r="52">
      <c r="B52" s="0" t="inlineStr">
        <is>
          <t>NULL</t>
        </is>
      </c>
      <c r="C52" s="0" t="inlineStr">
        <is>
          <t>NULL</t>
        </is>
      </c>
      <c r="D52" s="0" t="inlineStr">
        <is>
          <t>NULL</t>
        </is>
      </c>
      <c r="E52" s="0" t="inlineStr">
        <is>
          <t>NULL</t>
        </is>
      </c>
      <c r="F52" s="0" t="inlineStr">
        <is>
          <t>NULL</t>
        </is>
      </c>
      <c r="G52" s="0" t="inlineStr">
        <is>
          <t>NULL</t>
        </is>
      </c>
      <c r="H52" s="0" t="inlineStr">
        <is>
          <t>NULL</t>
        </is>
      </c>
      <c r="I52" s="0" t="inlineStr">
        <is>
          <t>NULL</t>
        </is>
      </c>
      <c r="J52" s="0" t="inlineStr">
        <is>
          <t>NULL</t>
        </is>
      </c>
      <c r="K52" s="0" t="inlineStr">
        <is>
          <t>YES! 	 c_char20列源备映射正确，源端为char 20位	期望更改为char(n)	实际备端为char 80位</t>
        </is>
      </c>
    </row>
    <row r="53">
      <c r="B53" s="0" t="inlineStr">
        <is>
          <t>NULL</t>
        </is>
      </c>
      <c r="C53" s="0" t="inlineStr">
        <is>
          <t>NULL</t>
        </is>
      </c>
      <c r="D53" s="0" t="inlineStr">
        <is>
          <t>NULL</t>
        </is>
      </c>
      <c r="E53" s="0" t="inlineStr">
        <is>
          <t>NULL</t>
        </is>
      </c>
      <c r="F53" s="0" t="inlineStr">
        <is>
          <t>NULL</t>
        </is>
      </c>
      <c r="G53" s="0" t="inlineStr">
        <is>
          <t>NULL</t>
        </is>
      </c>
      <c r="H53" s="0" t="inlineStr">
        <is>
          <t>NULL</t>
        </is>
      </c>
      <c r="I53" s="0" t="inlineStr">
        <is>
          <t>NULL</t>
        </is>
      </c>
      <c r="J53" s="0" t="inlineStr">
        <is>
          <t>NULL</t>
        </is>
      </c>
      <c r="K53" s="0" t="inlineStr">
        <is>
          <t>YES! 	 c_char7000列源备映射正确，源端为char 7000位	期望更改为text	实际备端为text 65535位</t>
        </is>
      </c>
    </row>
    <row r="54">
      <c r="A54" s="0" t="inlineStr">
        <is>
          <t>info_varbinary_dml_batch1_pk_urp1</t>
        </is>
      </c>
      <c r="K54" s="0" t="inlineStr">
        <is>
          <t>[0;34m info_varbinary_dml_batch1_pk_urp1 [0m源备字段数相同，源端字段：4 	备端字段4</t>
        </is>
      </c>
      <c r="W54" s="0" t="inlineStr">
        <is>
          <t>YES 源备无差异</t>
        </is>
      </c>
      <c r="X54" s="0">
        <f>A54</f>
        <v/>
      </c>
    </row>
    <row r="55">
      <c r="B55" s="0" t="inlineStr">
        <is>
          <t>YES</t>
        </is>
      </c>
      <c r="C55" s="0" t="inlineStr">
        <is>
          <t>NULL</t>
        </is>
      </c>
      <c r="D55" s="0" t="inlineStr">
        <is>
          <t>NULL</t>
        </is>
      </c>
      <c r="E55" s="0" t="inlineStr">
        <is>
          <t>NULL</t>
        </is>
      </c>
      <c r="F55" s="0" t="inlineStr">
        <is>
          <t>NULL</t>
        </is>
      </c>
      <c r="G55" s="0" t="inlineStr">
        <is>
          <t>NULL</t>
        </is>
      </c>
      <c r="H55" s="0" t="inlineStr">
        <is>
          <t>NULL</t>
        </is>
      </c>
      <c r="I55" s="0" t="inlineStr">
        <is>
          <t>YES!PK__info_var__3213E83F21F585F3</t>
        </is>
      </c>
      <c r="J55" s="0" t="inlineStr">
        <is>
          <t>YES! 主键相关索引</t>
        </is>
      </c>
      <c r="K55" s="0" t="inlineStr">
        <is>
          <t>YES! 	 id列源备映射正确，源端为int None位	期望更改为int	实际备端为int None位</t>
        </is>
      </c>
    </row>
    <row r="56">
      <c r="B56" s="0" t="inlineStr">
        <is>
          <t>NULL</t>
        </is>
      </c>
      <c r="C56" s="0" t="inlineStr">
        <is>
          <t>NULL</t>
        </is>
      </c>
      <c r="D56" s="0" t="inlineStr">
        <is>
          <t>NULL</t>
        </is>
      </c>
      <c r="E56" s="0" t="inlineStr">
        <is>
          <t>NULL</t>
        </is>
      </c>
      <c r="F56" s="0" t="inlineStr">
        <is>
          <t>NULL</t>
        </is>
      </c>
      <c r="G56" s="0" t="inlineStr">
        <is>
          <t>NULL</t>
        </is>
      </c>
      <c r="H56" s="0" t="inlineStr">
        <is>
          <t>NULL</t>
        </is>
      </c>
      <c r="I56" s="0" t="inlineStr">
        <is>
          <t>NULL</t>
        </is>
      </c>
      <c r="J56" s="0" t="inlineStr">
        <is>
          <t>NULL</t>
        </is>
      </c>
      <c r="K56" s="0" t="inlineStr">
        <is>
          <t>YES! 	 c_varbinary列源备映射正确，源端为varbinary 1位	期望更改为varbinary(n)	实际备端为varbinary 1位</t>
        </is>
      </c>
    </row>
    <row r="57">
      <c r="B57" s="0" t="inlineStr">
        <is>
          <t>NULL</t>
        </is>
      </c>
      <c r="C57" s="0" t="inlineStr">
        <is>
          <t>NULL</t>
        </is>
      </c>
      <c r="D57" s="0" t="inlineStr">
        <is>
          <t>NULL</t>
        </is>
      </c>
      <c r="E57" s="0" t="inlineStr">
        <is>
          <t>NULL</t>
        </is>
      </c>
      <c r="F57" s="0" t="inlineStr">
        <is>
          <t>NULL</t>
        </is>
      </c>
      <c r="G57" s="0" t="inlineStr">
        <is>
          <t>NULL</t>
        </is>
      </c>
      <c r="H57" s="0" t="inlineStr">
        <is>
          <t>NULL</t>
        </is>
      </c>
      <c r="I57" s="0" t="inlineStr">
        <is>
          <t>NULL</t>
        </is>
      </c>
      <c r="J57" s="0" t="inlineStr">
        <is>
          <t>NULL</t>
        </is>
      </c>
      <c r="K57" s="0" t="inlineStr">
        <is>
          <t>YES! 	 c_varbinary_100列源备映射正确，源端为varbinary 100位	期望更改为varbinary(n)	实际备端为varbinary 100位</t>
        </is>
      </c>
    </row>
    <row r="58">
      <c r="B58" s="0" t="inlineStr">
        <is>
          <t>NULL</t>
        </is>
      </c>
      <c r="C58" s="0" t="inlineStr">
        <is>
          <t>NULL</t>
        </is>
      </c>
      <c r="D58" s="0" t="inlineStr">
        <is>
          <t>NULL</t>
        </is>
      </c>
      <c r="E58" s="0" t="inlineStr">
        <is>
          <t>NULL</t>
        </is>
      </c>
      <c r="F58" s="0" t="inlineStr">
        <is>
          <t>NULL</t>
        </is>
      </c>
      <c r="G58" s="0" t="inlineStr">
        <is>
          <t>NULL</t>
        </is>
      </c>
      <c r="H58" s="0" t="inlineStr">
        <is>
          <t>NULL</t>
        </is>
      </c>
      <c r="I58" s="0" t="inlineStr">
        <is>
          <t>NULL</t>
        </is>
      </c>
      <c r="J58" s="0" t="inlineStr">
        <is>
          <t>NULL</t>
        </is>
      </c>
      <c r="K58" s="0" t="inlineStr">
        <is>
          <t>YES! 	 c_varbinary_8000列源备映射正确，源端为varbinary 8000位	期望更改为longblob	实际备端为longblob 4294967295位</t>
        </is>
      </c>
    </row>
    <row r="59">
      <c r="A59" s="0" t="inlineStr">
        <is>
          <t>info_geometry_dml_single_pk</t>
        </is>
      </c>
      <c r="K59" s="0" t="inlineStr">
        <is>
          <t>[0;34m info_geometry_dml_single_pk [0m源备字段数相同，源端字段：2 	备端字段2</t>
        </is>
      </c>
      <c r="W59" s="0" t="inlineStr">
        <is>
          <t>YES 源备无差异</t>
        </is>
      </c>
      <c r="X59" s="0">
        <f>A59</f>
        <v/>
      </c>
    </row>
    <row r="60">
      <c r="B60" s="0" t="inlineStr">
        <is>
          <t>YES</t>
        </is>
      </c>
      <c r="C60" s="0" t="inlineStr">
        <is>
          <t>NULL</t>
        </is>
      </c>
      <c r="D60" s="0" t="inlineStr">
        <is>
          <t>NULL</t>
        </is>
      </c>
      <c r="E60" s="0" t="inlineStr">
        <is>
          <t>NULL</t>
        </is>
      </c>
      <c r="F60" s="0" t="inlineStr">
        <is>
          <t>NULL</t>
        </is>
      </c>
      <c r="G60" s="0" t="inlineStr">
        <is>
          <t>NULL</t>
        </is>
      </c>
      <c r="H60" s="0" t="inlineStr">
        <is>
          <t>NULL</t>
        </is>
      </c>
      <c r="I60" s="0" t="inlineStr">
        <is>
          <t>YES!PK__info_geo__3213E83FC1F51764</t>
        </is>
      </c>
      <c r="J60" s="0" t="inlineStr">
        <is>
          <t>YES! 主键相关索引</t>
        </is>
      </c>
      <c r="K60" s="0" t="inlineStr">
        <is>
          <t>YES! 	 id列源备映射正确，源端为int None位	期望更改为int	实际备端为int None位</t>
        </is>
      </c>
    </row>
    <row r="61">
      <c r="B61" s="0" t="inlineStr">
        <is>
          <t>NULL</t>
        </is>
      </c>
      <c r="C61" s="0" t="inlineStr">
        <is>
          <t>NULL</t>
        </is>
      </c>
      <c r="D61" s="0" t="inlineStr">
        <is>
          <t>NULL</t>
        </is>
      </c>
      <c r="E61" s="0" t="inlineStr">
        <is>
          <t>NULL</t>
        </is>
      </c>
      <c r="F61" s="0" t="inlineStr">
        <is>
          <t>NULL</t>
        </is>
      </c>
      <c r="G61" s="0" t="inlineStr">
        <is>
          <t>NULL</t>
        </is>
      </c>
      <c r="H61" s="0" t="inlineStr">
        <is>
          <t>NULL</t>
        </is>
      </c>
      <c r="I61" s="0" t="inlineStr">
        <is>
          <t>NULL</t>
        </is>
      </c>
      <c r="J61" s="0" t="inlineStr">
        <is>
          <t>NULL</t>
        </is>
      </c>
      <c r="K61" s="0" t="inlineStr">
        <is>
          <t>YES! 	 c_geometry列源备映射正确，源端为geometry -1位	期望更改为text	实际备端为text 65535位</t>
        </is>
      </c>
    </row>
    <row r="62">
      <c r="A62" s="0" t="inlineStr">
        <is>
          <t>info_varchar_dml_single_nopk_irp</t>
        </is>
      </c>
      <c r="K62" s="0" t="inlineStr">
        <is>
          <t>[0;34m info_varchar_dml_single_nopk_irp [0m源备字段数相同，源端字段：4 	备端字段4</t>
        </is>
      </c>
      <c r="W62" s="0" t="inlineStr">
        <is>
          <t>YES 源备无差异</t>
        </is>
      </c>
      <c r="X62" s="0">
        <f>A62</f>
        <v/>
      </c>
    </row>
    <row r="63">
      <c r="B63" s="0" t="inlineStr">
        <is>
          <t>NULL</t>
        </is>
      </c>
      <c r="C63" s="0" t="inlineStr">
        <is>
          <t>NULL</t>
        </is>
      </c>
      <c r="D63" s="0" t="inlineStr">
        <is>
          <t>NULL</t>
        </is>
      </c>
      <c r="E63" s="0" t="inlineStr">
        <is>
          <t>NULL</t>
        </is>
      </c>
      <c r="F63" s="0" t="inlineStr">
        <is>
          <t>NULL</t>
        </is>
      </c>
      <c r="G63" s="0" t="inlineStr">
        <is>
          <t>NULL</t>
        </is>
      </c>
      <c r="H63" s="0" t="inlineStr">
        <is>
          <t>NULL</t>
        </is>
      </c>
      <c r="I63" s="0" t="inlineStr">
        <is>
          <t>NULL</t>
        </is>
      </c>
      <c r="J63" s="0" t="inlineStr">
        <is>
          <t>NULL</t>
        </is>
      </c>
      <c r="K63" s="0" t="inlineStr">
        <is>
          <t>YES! 	 id列源备映射正确，源端为int None位	期望更改为int	实际备端为int None位</t>
        </is>
      </c>
    </row>
    <row r="64">
      <c r="B64" s="0" t="inlineStr">
        <is>
          <t>NULL</t>
        </is>
      </c>
      <c r="C64" s="0" t="inlineStr">
        <is>
          <t>NULL</t>
        </is>
      </c>
      <c r="D64" s="0" t="inlineStr">
        <is>
          <t>NULL</t>
        </is>
      </c>
      <c r="E64" s="0" t="inlineStr">
        <is>
          <t>NULL</t>
        </is>
      </c>
      <c r="F64" s="0" t="inlineStr">
        <is>
          <t>NULL</t>
        </is>
      </c>
      <c r="G64" s="0" t="inlineStr">
        <is>
          <t>NULL</t>
        </is>
      </c>
      <c r="H64" s="0" t="inlineStr">
        <is>
          <t>NULL</t>
        </is>
      </c>
      <c r="I64" s="0" t="inlineStr">
        <is>
          <t>NULL</t>
        </is>
      </c>
      <c r="J64" s="0" t="inlineStr">
        <is>
          <t>NULL</t>
        </is>
      </c>
      <c r="K64" s="0" t="inlineStr">
        <is>
          <t>YES! 	 c_varchar列源备映射正确，源端为varchar 1位	期望更改为varchar(n)	实际备端为varchar 4位</t>
        </is>
      </c>
    </row>
    <row r="65">
      <c r="B65" s="0" t="inlineStr">
        <is>
          <t>NULL</t>
        </is>
      </c>
      <c r="C65" s="0" t="inlineStr">
        <is>
          <t>NULL</t>
        </is>
      </c>
      <c r="D65" s="0" t="inlineStr">
        <is>
          <t>NULL</t>
        </is>
      </c>
      <c r="E65" s="0" t="inlineStr">
        <is>
          <t>NULL</t>
        </is>
      </c>
      <c r="F65" s="0" t="inlineStr">
        <is>
          <t>NULL</t>
        </is>
      </c>
      <c r="G65" s="0" t="inlineStr">
        <is>
          <t>NULL</t>
        </is>
      </c>
      <c r="H65" s="0" t="inlineStr">
        <is>
          <t>NULL</t>
        </is>
      </c>
      <c r="I65" s="0" t="inlineStr">
        <is>
          <t>NULL</t>
        </is>
      </c>
      <c r="J65" s="0" t="inlineStr">
        <is>
          <t>NULL</t>
        </is>
      </c>
      <c r="K65" s="0" t="inlineStr">
        <is>
          <t>YES! 	 c_varchar50列源备映射正确，源端为varchar 50位	期望更改为varchar(n)	实际备端为varchar 200位</t>
        </is>
      </c>
    </row>
    <row r="66">
      <c r="B66" s="0" t="inlineStr">
        <is>
          <t>NULL</t>
        </is>
      </c>
      <c r="C66" s="0" t="inlineStr">
        <is>
          <t>NULL</t>
        </is>
      </c>
      <c r="D66" s="0" t="inlineStr">
        <is>
          <t>NULL</t>
        </is>
      </c>
      <c r="E66" s="0" t="inlineStr">
        <is>
          <t>NULL</t>
        </is>
      </c>
      <c r="F66" s="0" t="inlineStr">
        <is>
          <t>NULL</t>
        </is>
      </c>
      <c r="G66" s="0" t="inlineStr">
        <is>
          <t>NULL</t>
        </is>
      </c>
      <c r="H66" s="0" t="inlineStr">
        <is>
          <t>NULL</t>
        </is>
      </c>
      <c r="I66" s="0" t="inlineStr">
        <is>
          <t>NULL</t>
        </is>
      </c>
      <c r="J66" s="0" t="inlineStr">
        <is>
          <t>NULL</t>
        </is>
      </c>
      <c r="K66" s="0" t="inlineStr">
        <is>
          <t xml:space="preserve"> NO!  	 c_varchar8000列源备映射错误，源端为varchar 8000位	期望更改为longtext	实际备端为text 65535位</t>
        </is>
      </c>
    </row>
    <row r="67">
      <c r="A67" s="0" t="inlineStr">
        <is>
          <t>info_time_dml_batch2_pk_irp2</t>
        </is>
      </c>
      <c r="K67" s="0" t="inlineStr">
        <is>
          <t>[0;34m info_time_dml_batch2_pk_irp2 [0m源备字段数相同，源端字段：9 	备端字段9</t>
        </is>
      </c>
      <c r="W67" s="0" t="inlineStr">
        <is>
          <t>YES 源备无差异</t>
        </is>
      </c>
      <c r="X67" s="0">
        <f>A67</f>
        <v/>
      </c>
    </row>
    <row r="68">
      <c r="B68" s="0" t="inlineStr">
        <is>
          <t>YES</t>
        </is>
      </c>
      <c r="C68" s="0" t="inlineStr">
        <is>
          <t>NULL</t>
        </is>
      </c>
      <c r="D68" s="0" t="inlineStr">
        <is>
          <t>NULL</t>
        </is>
      </c>
      <c r="E68" s="0" t="inlineStr">
        <is>
          <t>NULL</t>
        </is>
      </c>
      <c r="F68" s="0" t="inlineStr">
        <is>
          <t>NULL</t>
        </is>
      </c>
      <c r="G68" s="0" t="inlineStr">
        <is>
          <t>NULL</t>
        </is>
      </c>
      <c r="H68" s="0" t="inlineStr">
        <is>
          <t>NULL</t>
        </is>
      </c>
      <c r="I68" s="0" t="inlineStr">
        <is>
          <t>YES!PK__info_tim__3213E83F0736C131</t>
        </is>
      </c>
      <c r="J68" s="0" t="inlineStr">
        <is>
          <t>YES! 主键相关索引</t>
        </is>
      </c>
      <c r="K68" s="0" t="inlineStr">
        <is>
          <t>YES! 	 id列源备映射正确，源端为int None位	期望更改为int	实际备端为int None位</t>
        </is>
      </c>
    </row>
    <row r="69">
      <c r="B69" s="0" t="inlineStr">
        <is>
          <t>NULL</t>
        </is>
      </c>
      <c r="C69" s="0" t="inlineStr">
        <is>
          <t>NULL</t>
        </is>
      </c>
      <c r="D69" s="0" t="inlineStr">
        <is>
          <t>NULL</t>
        </is>
      </c>
      <c r="E69" s="0" t="inlineStr">
        <is>
          <t>NULL</t>
        </is>
      </c>
      <c r="F69" s="0" t="inlineStr">
        <is>
          <t>NULL</t>
        </is>
      </c>
      <c r="G69" s="0" t="inlineStr">
        <is>
          <t>NULL</t>
        </is>
      </c>
      <c r="H69" s="0" t="inlineStr">
        <is>
          <t>NULL</t>
        </is>
      </c>
      <c r="I69" s="0" t="inlineStr">
        <is>
          <t>NULL</t>
        </is>
      </c>
      <c r="J69" s="0" t="inlineStr">
        <is>
          <t>NULL</t>
        </is>
      </c>
      <c r="K69" s="0" t="inlineStr">
        <is>
          <t>[0;32m YES! [0m 	 c_time0列源备映射正确，源端为time None位	期望更改为varchar(20)	实际备端为varchar 80位	位数精度不存在，通过长度比较</t>
        </is>
      </c>
    </row>
    <row r="70">
      <c r="B70" s="0" t="inlineStr">
        <is>
          <t>NULL</t>
        </is>
      </c>
      <c r="C70" s="0" t="inlineStr">
        <is>
          <t>NULL</t>
        </is>
      </c>
      <c r="D70" s="0" t="inlineStr">
        <is>
          <t>NULL</t>
        </is>
      </c>
      <c r="E70" s="0" t="inlineStr">
        <is>
          <t>NULL</t>
        </is>
      </c>
      <c r="F70" s="0" t="inlineStr">
        <is>
          <t>NULL</t>
        </is>
      </c>
      <c r="G70" s="0" t="inlineStr">
        <is>
          <t>NULL</t>
        </is>
      </c>
      <c r="H70" s="0" t="inlineStr">
        <is>
          <t>NULL</t>
        </is>
      </c>
      <c r="I70" s="0" t="inlineStr">
        <is>
          <t>NULL</t>
        </is>
      </c>
      <c r="J70" s="0" t="inlineStr">
        <is>
          <t>NULL</t>
        </is>
      </c>
      <c r="K70" s="0" t="inlineStr">
        <is>
          <t>[0;32m YES! [0m 	 c_time1列源备映射正确，源端为time None位	期望更改为varchar(20)	实际备端为varchar 80位	位数精度不存在，通过长度比较</t>
        </is>
      </c>
    </row>
    <row r="71">
      <c r="B71" s="0" t="inlineStr">
        <is>
          <t>NULL</t>
        </is>
      </c>
      <c r="C71" s="0" t="inlineStr">
        <is>
          <t>NULL</t>
        </is>
      </c>
      <c r="D71" s="0" t="inlineStr">
        <is>
          <t>NULL</t>
        </is>
      </c>
      <c r="E71" s="0" t="inlineStr">
        <is>
          <t>NULL</t>
        </is>
      </c>
      <c r="F71" s="0" t="inlineStr">
        <is>
          <t>NULL</t>
        </is>
      </c>
      <c r="G71" s="0" t="inlineStr">
        <is>
          <t>NULL</t>
        </is>
      </c>
      <c r="H71" s="0" t="inlineStr">
        <is>
          <t>NULL</t>
        </is>
      </c>
      <c r="I71" s="0" t="inlineStr">
        <is>
          <t>NULL</t>
        </is>
      </c>
      <c r="J71" s="0" t="inlineStr">
        <is>
          <t>NULL</t>
        </is>
      </c>
      <c r="K71" s="0" t="inlineStr">
        <is>
          <t>[0;32m YES! [0m 	 c_time2列源备映射正确，源端为time None位	期望更改为varchar(20)	实际备端为varchar 80位	位数精度不存在，通过长度比较</t>
        </is>
      </c>
    </row>
    <row r="72">
      <c r="B72" s="0" t="inlineStr">
        <is>
          <t>NULL</t>
        </is>
      </c>
      <c r="C72" s="0" t="inlineStr">
        <is>
          <t>NULL</t>
        </is>
      </c>
      <c r="D72" s="0" t="inlineStr">
        <is>
          <t>NULL</t>
        </is>
      </c>
      <c r="E72" s="0" t="inlineStr">
        <is>
          <t>NULL</t>
        </is>
      </c>
      <c r="F72" s="0" t="inlineStr">
        <is>
          <t>NULL</t>
        </is>
      </c>
      <c r="G72" s="0" t="inlineStr">
        <is>
          <t>NULL</t>
        </is>
      </c>
      <c r="H72" s="0" t="inlineStr">
        <is>
          <t>NULL</t>
        </is>
      </c>
      <c r="I72" s="0" t="inlineStr">
        <is>
          <t>NULL</t>
        </is>
      </c>
      <c r="J72" s="0" t="inlineStr">
        <is>
          <t>NULL</t>
        </is>
      </c>
      <c r="K72" s="0" t="inlineStr">
        <is>
          <t>[0;32m YES! [0m 	 c_time3列源备映射正确，源端为time None位	期望更改为varchar(20)	实际备端为varchar 80位	位数精度不存在，通过长度比较</t>
        </is>
      </c>
    </row>
    <row r="73">
      <c r="B73" s="0" t="inlineStr">
        <is>
          <t>NULL</t>
        </is>
      </c>
      <c r="C73" s="0" t="inlineStr">
        <is>
          <t>NULL</t>
        </is>
      </c>
      <c r="D73" s="0" t="inlineStr">
        <is>
          <t>NULL</t>
        </is>
      </c>
      <c r="E73" s="0" t="inlineStr">
        <is>
          <t>NULL</t>
        </is>
      </c>
      <c r="F73" s="0" t="inlineStr">
        <is>
          <t>NULL</t>
        </is>
      </c>
      <c r="G73" s="0" t="inlineStr">
        <is>
          <t>NULL</t>
        </is>
      </c>
      <c r="H73" s="0" t="inlineStr">
        <is>
          <t>NULL</t>
        </is>
      </c>
      <c r="I73" s="0" t="inlineStr">
        <is>
          <t>NULL</t>
        </is>
      </c>
      <c r="J73" s="0" t="inlineStr">
        <is>
          <t>NULL</t>
        </is>
      </c>
      <c r="K73" s="0" t="inlineStr">
        <is>
          <t>[0;32m YES! [0m 	 c_time4列源备映射正确，源端为time None位	期望更改为varchar(20)	实际备端为varchar 80位	位数精度不存在，通过长度比较</t>
        </is>
      </c>
    </row>
    <row r="74">
      <c r="B74" s="0" t="inlineStr">
        <is>
          <t>NULL</t>
        </is>
      </c>
      <c r="C74" s="0" t="inlineStr">
        <is>
          <t>NULL</t>
        </is>
      </c>
      <c r="D74" s="0" t="inlineStr">
        <is>
          <t>NULL</t>
        </is>
      </c>
      <c r="E74" s="0" t="inlineStr">
        <is>
          <t>NULL</t>
        </is>
      </c>
      <c r="F74" s="0" t="inlineStr">
        <is>
          <t>NULL</t>
        </is>
      </c>
      <c r="G74" s="0" t="inlineStr">
        <is>
          <t>NULL</t>
        </is>
      </c>
      <c r="H74" s="0" t="inlineStr">
        <is>
          <t>NULL</t>
        </is>
      </c>
      <c r="I74" s="0" t="inlineStr">
        <is>
          <t>NULL</t>
        </is>
      </c>
      <c r="J74" s="0" t="inlineStr">
        <is>
          <t>NULL</t>
        </is>
      </c>
      <c r="K74" s="0" t="inlineStr">
        <is>
          <t>[0;32m YES! [0m 	 c_time5列源备映射正确，源端为time None位	期望更改为varchar(20)	实际备端为varchar 80位	位数精度不存在，通过长度比较</t>
        </is>
      </c>
    </row>
    <row r="75">
      <c r="B75" s="0" t="inlineStr">
        <is>
          <t>NULL</t>
        </is>
      </c>
      <c r="C75" s="0" t="inlineStr">
        <is>
          <t>NULL</t>
        </is>
      </c>
      <c r="D75" s="0" t="inlineStr">
        <is>
          <t>NULL</t>
        </is>
      </c>
      <c r="E75" s="0" t="inlineStr">
        <is>
          <t>NULL</t>
        </is>
      </c>
      <c r="F75" s="0" t="inlineStr">
        <is>
          <t>NULL</t>
        </is>
      </c>
      <c r="G75" s="0" t="inlineStr">
        <is>
          <t>NULL</t>
        </is>
      </c>
      <c r="H75" s="0" t="inlineStr">
        <is>
          <t>NULL</t>
        </is>
      </c>
      <c r="I75" s="0" t="inlineStr">
        <is>
          <t>NULL</t>
        </is>
      </c>
      <c r="J75" s="0" t="inlineStr">
        <is>
          <t>NULL</t>
        </is>
      </c>
      <c r="K75" s="0" t="inlineStr">
        <is>
          <t>[0;32m YES! [0m 	 c_time6列源备映射正确，源端为time None位	期望更改为varchar(20)	实际备端为varchar 80位	位数精度不存在，通过长度比较</t>
        </is>
      </c>
    </row>
    <row r="76">
      <c r="B76" s="0" t="inlineStr">
        <is>
          <t>NULL</t>
        </is>
      </c>
      <c r="C76" s="0" t="inlineStr">
        <is>
          <t>NULL</t>
        </is>
      </c>
      <c r="D76" s="0" t="inlineStr">
        <is>
          <t>NULL</t>
        </is>
      </c>
      <c r="E76" s="0" t="inlineStr">
        <is>
          <t>NULL</t>
        </is>
      </c>
      <c r="F76" s="0" t="inlineStr">
        <is>
          <t>NULL</t>
        </is>
      </c>
      <c r="G76" s="0" t="inlineStr">
        <is>
          <t>NULL</t>
        </is>
      </c>
      <c r="H76" s="0" t="inlineStr">
        <is>
          <t>NULL</t>
        </is>
      </c>
      <c r="I76" s="0" t="inlineStr">
        <is>
          <t>NULL</t>
        </is>
      </c>
      <c r="J76" s="0" t="inlineStr">
        <is>
          <t>NULL</t>
        </is>
      </c>
      <c r="K76" s="0" t="inlineStr">
        <is>
          <t>[0;32m YES! [0m 	 c_time列源备映射正确，源端为time None位	期望更改为varchar(20)	实际备端为varchar 80位	位数精度不存在，通过长度比较</t>
        </is>
      </c>
    </row>
    <row r="77">
      <c r="A77" s="0" t="inlineStr">
        <is>
          <t>info_varbinary_dml_batch1_pk_urp2</t>
        </is>
      </c>
      <c r="K77" s="0" t="inlineStr">
        <is>
          <t>[0;34m info_varbinary_dml_batch1_pk_urp2 [0m源备字段数相同，源端字段：4 	备端字段4</t>
        </is>
      </c>
      <c r="W77" s="0" t="inlineStr">
        <is>
          <t>YES 源备无差异</t>
        </is>
      </c>
      <c r="X77" s="0">
        <f>A77</f>
        <v/>
      </c>
    </row>
    <row r="78">
      <c r="B78" s="0" t="inlineStr">
        <is>
          <t>YES</t>
        </is>
      </c>
      <c r="C78" s="0" t="inlineStr">
        <is>
          <t>NULL</t>
        </is>
      </c>
      <c r="D78" s="0" t="inlineStr">
        <is>
          <t>NULL</t>
        </is>
      </c>
      <c r="E78" s="0" t="inlineStr">
        <is>
          <t>NULL</t>
        </is>
      </c>
      <c r="F78" s="0" t="inlineStr">
        <is>
          <t>NULL</t>
        </is>
      </c>
      <c r="G78" s="0" t="inlineStr">
        <is>
          <t>NULL</t>
        </is>
      </c>
      <c r="H78" s="0" t="inlineStr">
        <is>
          <t>NULL</t>
        </is>
      </c>
      <c r="I78" s="0" t="inlineStr">
        <is>
          <t>YES!PK__info_var__3213E83F13B34F30</t>
        </is>
      </c>
      <c r="J78" s="0" t="inlineStr">
        <is>
          <t>YES! 主键相关索引</t>
        </is>
      </c>
      <c r="K78" s="0" t="inlineStr">
        <is>
          <t>YES! 	 id列源备映射正确，源端为int None位	期望更改为int	实际备端为int None位</t>
        </is>
      </c>
    </row>
    <row r="79">
      <c r="B79" s="0" t="inlineStr">
        <is>
          <t>NULL</t>
        </is>
      </c>
      <c r="C79" s="0" t="inlineStr">
        <is>
          <t>NULL</t>
        </is>
      </c>
      <c r="D79" s="0" t="inlineStr">
        <is>
          <t>NULL</t>
        </is>
      </c>
      <c r="E79" s="0" t="inlineStr">
        <is>
          <t>NULL</t>
        </is>
      </c>
      <c r="F79" s="0" t="inlineStr">
        <is>
          <t>NULL</t>
        </is>
      </c>
      <c r="G79" s="0" t="inlineStr">
        <is>
          <t>NULL</t>
        </is>
      </c>
      <c r="H79" s="0" t="inlineStr">
        <is>
          <t>NULL</t>
        </is>
      </c>
      <c r="I79" s="0" t="inlineStr">
        <is>
          <t>NULL</t>
        </is>
      </c>
      <c r="J79" s="0" t="inlineStr">
        <is>
          <t>NULL</t>
        </is>
      </c>
      <c r="K79" s="0" t="inlineStr">
        <is>
          <t>YES! 	 c_varbinary列源备映射正确，源端为varbinary 1位	期望更改为varbinary(n)	实际备端为varbinary 1位</t>
        </is>
      </c>
    </row>
    <row r="80">
      <c r="B80" s="0" t="inlineStr">
        <is>
          <t>NULL</t>
        </is>
      </c>
      <c r="C80" s="0" t="inlineStr">
        <is>
          <t>NULL</t>
        </is>
      </c>
      <c r="D80" s="0" t="inlineStr">
        <is>
          <t>NULL</t>
        </is>
      </c>
      <c r="E80" s="0" t="inlineStr">
        <is>
          <t>NULL</t>
        </is>
      </c>
      <c r="F80" s="0" t="inlineStr">
        <is>
          <t>NULL</t>
        </is>
      </c>
      <c r="G80" s="0" t="inlineStr">
        <is>
          <t>NULL</t>
        </is>
      </c>
      <c r="H80" s="0" t="inlineStr">
        <is>
          <t>NULL</t>
        </is>
      </c>
      <c r="I80" s="0" t="inlineStr">
        <is>
          <t>NULL</t>
        </is>
      </c>
      <c r="J80" s="0" t="inlineStr">
        <is>
          <t>NULL</t>
        </is>
      </c>
      <c r="K80" s="0" t="inlineStr">
        <is>
          <t>YES! 	 c_varbinary_100列源备映射正确，源端为varbinary 100位	期望更改为varbinary(n)	实际备端为varbinary 100位</t>
        </is>
      </c>
    </row>
    <row r="81">
      <c r="B81" s="0" t="inlineStr">
        <is>
          <t>NULL</t>
        </is>
      </c>
      <c r="C81" s="0" t="inlineStr">
        <is>
          <t>NULL</t>
        </is>
      </c>
      <c r="D81" s="0" t="inlineStr">
        <is>
          <t>NULL</t>
        </is>
      </c>
      <c r="E81" s="0" t="inlineStr">
        <is>
          <t>NULL</t>
        </is>
      </c>
      <c r="F81" s="0" t="inlineStr">
        <is>
          <t>NULL</t>
        </is>
      </c>
      <c r="G81" s="0" t="inlineStr">
        <is>
          <t>NULL</t>
        </is>
      </c>
      <c r="H81" s="0" t="inlineStr">
        <is>
          <t>NULL</t>
        </is>
      </c>
      <c r="I81" s="0" t="inlineStr">
        <is>
          <t>NULL</t>
        </is>
      </c>
      <c r="J81" s="0" t="inlineStr">
        <is>
          <t>NULL</t>
        </is>
      </c>
      <c r="K81" s="0" t="inlineStr">
        <is>
          <t>YES! 	 c_varbinary_8000列源备映射正确，源端为varbinary 8000位	期望更改为longblob	实际备端为longblob 4294967295位</t>
        </is>
      </c>
    </row>
    <row r="82">
      <c r="A82" s="0" t="inlineStr">
        <is>
          <t>info_time_dml_batch1_pk_urp1</t>
        </is>
      </c>
      <c r="K82" s="0" t="inlineStr">
        <is>
          <t>[0;34m info_time_dml_batch1_pk_urp1 [0m源备字段数相同，源端字段：9 	备端字段9</t>
        </is>
      </c>
      <c r="W82" s="0" t="inlineStr">
        <is>
          <t>YES 源备无差异</t>
        </is>
      </c>
      <c r="X82" s="0">
        <f>A82</f>
        <v/>
      </c>
    </row>
    <row r="83">
      <c r="B83" s="0" t="inlineStr">
        <is>
          <t>YES</t>
        </is>
      </c>
      <c r="C83" s="0" t="inlineStr">
        <is>
          <t>NULL</t>
        </is>
      </c>
      <c r="D83" s="0" t="inlineStr">
        <is>
          <t>NULL</t>
        </is>
      </c>
      <c r="E83" s="0" t="inlineStr">
        <is>
          <t>NULL</t>
        </is>
      </c>
      <c r="F83" s="0" t="inlineStr">
        <is>
          <t>NULL</t>
        </is>
      </c>
      <c r="G83" s="0" t="inlineStr">
        <is>
          <t>NULL</t>
        </is>
      </c>
      <c r="H83" s="0" t="inlineStr">
        <is>
          <t>NULL</t>
        </is>
      </c>
      <c r="I83" s="0" t="inlineStr">
        <is>
          <t>YES!PK__info_tim__3213E83FB7AFA254</t>
        </is>
      </c>
      <c r="J83" s="0" t="inlineStr">
        <is>
          <t>YES! 主键相关索引</t>
        </is>
      </c>
      <c r="K83" s="0" t="inlineStr">
        <is>
          <t>YES! 	 id列源备映射正确，源端为int None位	期望更改为int	实际备端为int None位</t>
        </is>
      </c>
    </row>
    <row r="84">
      <c r="B84" s="0" t="inlineStr">
        <is>
          <t>NULL</t>
        </is>
      </c>
      <c r="C84" s="0" t="inlineStr">
        <is>
          <t>NULL</t>
        </is>
      </c>
      <c r="D84" s="0" t="inlineStr">
        <is>
          <t>NULL</t>
        </is>
      </c>
      <c r="E84" s="0" t="inlineStr">
        <is>
          <t>NULL</t>
        </is>
      </c>
      <c r="F84" s="0" t="inlineStr">
        <is>
          <t>NULL</t>
        </is>
      </c>
      <c r="G84" s="0" t="inlineStr">
        <is>
          <t>NULL</t>
        </is>
      </c>
      <c r="H84" s="0" t="inlineStr">
        <is>
          <t>NULL</t>
        </is>
      </c>
      <c r="I84" s="0" t="inlineStr">
        <is>
          <t>NULL</t>
        </is>
      </c>
      <c r="J84" s="0" t="inlineStr">
        <is>
          <t>NULL</t>
        </is>
      </c>
      <c r="K84" s="0" t="inlineStr">
        <is>
          <t>[0;32m YES! [0m 	 c_time0列源备映射正确，源端为time None位	期望更改为varchar(20)	实际备端为varchar 80位	位数精度不存在，通过长度比较</t>
        </is>
      </c>
    </row>
    <row r="85">
      <c r="B85" s="0" t="inlineStr">
        <is>
          <t>NULL</t>
        </is>
      </c>
      <c r="C85" s="0" t="inlineStr">
        <is>
          <t>NULL</t>
        </is>
      </c>
      <c r="D85" s="0" t="inlineStr">
        <is>
          <t>NULL</t>
        </is>
      </c>
      <c r="E85" s="0" t="inlineStr">
        <is>
          <t>NULL</t>
        </is>
      </c>
      <c r="F85" s="0" t="inlineStr">
        <is>
          <t>NULL</t>
        </is>
      </c>
      <c r="G85" s="0" t="inlineStr">
        <is>
          <t>NULL</t>
        </is>
      </c>
      <c r="H85" s="0" t="inlineStr">
        <is>
          <t>NULL</t>
        </is>
      </c>
      <c r="I85" s="0" t="inlineStr">
        <is>
          <t>NULL</t>
        </is>
      </c>
      <c r="J85" s="0" t="inlineStr">
        <is>
          <t>NULL</t>
        </is>
      </c>
      <c r="K85" s="0" t="inlineStr">
        <is>
          <t>[0;32m YES! [0m 	 c_time1列源备映射正确，源端为time None位	期望更改为varchar(20)	实际备端为varchar 80位	位数精度不存在，通过长度比较</t>
        </is>
      </c>
    </row>
    <row r="86">
      <c r="B86" s="0" t="inlineStr">
        <is>
          <t>NULL</t>
        </is>
      </c>
      <c r="C86" s="0" t="inlineStr">
        <is>
          <t>NULL</t>
        </is>
      </c>
      <c r="D86" s="0" t="inlineStr">
        <is>
          <t>NULL</t>
        </is>
      </c>
      <c r="E86" s="0" t="inlineStr">
        <is>
          <t>NULL</t>
        </is>
      </c>
      <c r="F86" s="0" t="inlineStr">
        <is>
          <t>NULL</t>
        </is>
      </c>
      <c r="G86" s="0" t="inlineStr">
        <is>
          <t>NULL</t>
        </is>
      </c>
      <c r="H86" s="0" t="inlineStr">
        <is>
          <t>NULL</t>
        </is>
      </c>
      <c r="I86" s="0" t="inlineStr">
        <is>
          <t>NULL</t>
        </is>
      </c>
      <c r="J86" s="0" t="inlineStr">
        <is>
          <t>NULL</t>
        </is>
      </c>
      <c r="K86" s="0" t="inlineStr">
        <is>
          <t>[0;32m YES! [0m 	 c_time2列源备映射正确，源端为time None位	期望更改为varchar(20)	实际备端为varchar 80位	位数精度不存在，通过长度比较</t>
        </is>
      </c>
    </row>
    <row r="87">
      <c r="B87" s="0" t="inlineStr">
        <is>
          <t>NULL</t>
        </is>
      </c>
      <c r="C87" s="0" t="inlineStr">
        <is>
          <t>NULL</t>
        </is>
      </c>
      <c r="D87" s="0" t="inlineStr">
        <is>
          <t>NULL</t>
        </is>
      </c>
      <c r="E87" s="0" t="inlineStr">
        <is>
          <t>NULL</t>
        </is>
      </c>
      <c r="F87" s="0" t="inlineStr">
        <is>
          <t>NULL</t>
        </is>
      </c>
      <c r="G87" s="0" t="inlineStr">
        <is>
          <t>NULL</t>
        </is>
      </c>
      <c r="H87" s="0" t="inlineStr">
        <is>
          <t>NULL</t>
        </is>
      </c>
      <c r="I87" s="0" t="inlineStr">
        <is>
          <t>NULL</t>
        </is>
      </c>
      <c r="J87" s="0" t="inlineStr">
        <is>
          <t>NULL</t>
        </is>
      </c>
      <c r="K87" s="0" t="inlineStr">
        <is>
          <t>[0;32m YES! [0m 	 c_time3列源备映射正确，源端为time None位	期望更改为varchar(20)	实际备端为varchar 80位	位数精度不存在，通过长度比较</t>
        </is>
      </c>
    </row>
    <row r="88">
      <c r="B88" s="0" t="inlineStr">
        <is>
          <t>NULL</t>
        </is>
      </c>
      <c r="C88" s="0" t="inlineStr">
        <is>
          <t>NULL</t>
        </is>
      </c>
      <c r="D88" s="0" t="inlineStr">
        <is>
          <t>NULL</t>
        </is>
      </c>
      <c r="E88" s="0" t="inlineStr">
        <is>
          <t>NULL</t>
        </is>
      </c>
      <c r="F88" s="0" t="inlineStr">
        <is>
          <t>NULL</t>
        </is>
      </c>
      <c r="G88" s="0" t="inlineStr">
        <is>
          <t>NULL</t>
        </is>
      </c>
      <c r="H88" s="0" t="inlineStr">
        <is>
          <t>NULL</t>
        </is>
      </c>
      <c r="I88" s="0" t="inlineStr">
        <is>
          <t>NULL</t>
        </is>
      </c>
      <c r="J88" s="0" t="inlineStr">
        <is>
          <t>NULL</t>
        </is>
      </c>
      <c r="K88" s="0" t="inlineStr">
        <is>
          <t>[0;32m YES! [0m 	 c_time4列源备映射正确，源端为time None位	期望更改为varchar(20)	实际备端为varchar 80位	位数精度不存在，通过长度比较</t>
        </is>
      </c>
    </row>
    <row r="89">
      <c r="B89" s="0" t="inlineStr">
        <is>
          <t>NULL</t>
        </is>
      </c>
      <c r="C89" s="0" t="inlineStr">
        <is>
          <t>NULL</t>
        </is>
      </c>
      <c r="D89" s="0" t="inlineStr">
        <is>
          <t>NULL</t>
        </is>
      </c>
      <c r="E89" s="0" t="inlineStr">
        <is>
          <t>NULL</t>
        </is>
      </c>
      <c r="F89" s="0" t="inlineStr">
        <is>
          <t>NULL</t>
        </is>
      </c>
      <c r="G89" s="0" t="inlineStr">
        <is>
          <t>NULL</t>
        </is>
      </c>
      <c r="H89" s="0" t="inlineStr">
        <is>
          <t>NULL</t>
        </is>
      </c>
      <c r="I89" s="0" t="inlineStr">
        <is>
          <t>NULL</t>
        </is>
      </c>
      <c r="J89" s="0" t="inlineStr">
        <is>
          <t>NULL</t>
        </is>
      </c>
      <c r="K89" s="0" t="inlineStr">
        <is>
          <t>[0;32m YES! [0m 	 c_time5列源备映射正确，源端为time None位	期望更改为varchar(20)	实际备端为varchar 80位	位数精度不存在，通过长度比较</t>
        </is>
      </c>
    </row>
    <row r="90">
      <c r="B90" s="0" t="inlineStr">
        <is>
          <t>NULL</t>
        </is>
      </c>
      <c r="C90" s="0" t="inlineStr">
        <is>
          <t>NULL</t>
        </is>
      </c>
      <c r="D90" s="0" t="inlineStr">
        <is>
          <t>NULL</t>
        </is>
      </c>
      <c r="E90" s="0" t="inlineStr">
        <is>
          <t>NULL</t>
        </is>
      </c>
      <c r="F90" s="0" t="inlineStr">
        <is>
          <t>NULL</t>
        </is>
      </c>
      <c r="G90" s="0" t="inlineStr">
        <is>
          <t>NULL</t>
        </is>
      </c>
      <c r="H90" s="0" t="inlineStr">
        <is>
          <t>NULL</t>
        </is>
      </c>
      <c r="I90" s="0" t="inlineStr">
        <is>
          <t>NULL</t>
        </is>
      </c>
      <c r="J90" s="0" t="inlineStr">
        <is>
          <t>NULL</t>
        </is>
      </c>
      <c r="K90" s="0" t="inlineStr">
        <is>
          <t>[0;32m YES! [0m 	 c_time6列源备映射正确，源端为time None位	期望更改为varchar(20)	实际备端为varchar 80位	位数精度不存在，通过长度比较</t>
        </is>
      </c>
    </row>
    <row r="91">
      <c r="B91" s="0" t="inlineStr">
        <is>
          <t>NULL</t>
        </is>
      </c>
      <c r="C91" s="0" t="inlineStr">
        <is>
          <t>NULL</t>
        </is>
      </c>
      <c r="D91" s="0" t="inlineStr">
        <is>
          <t>NULL</t>
        </is>
      </c>
      <c r="E91" s="0" t="inlineStr">
        <is>
          <t>NULL</t>
        </is>
      </c>
      <c r="F91" s="0" t="inlineStr">
        <is>
          <t>NULL</t>
        </is>
      </c>
      <c r="G91" s="0" t="inlineStr">
        <is>
          <t>NULL</t>
        </is>
      </c>
      <c r="H91" s="0" t="inlineStr">
        <is>
          <t>NULL</t>
        </is>
      </c>
      <c r="I91" s="0" t="inlineStr">
        <is>
          <t>NULL</t>
        </is>
      </c>
      <c r="J91" s="0" t="inlineStr">
        <is>
          <t>NULL</t>
        </is>
      </c>
      <c r="K91" s="0" t="inlineStr">
        <is>
          <t>[0;32m YES! [0m 	 c_time列源备映射正确，源端为time None位	期望更改为varchar(20)	实际备端为varchar 80位	位数精度不存在，通过长度比较</t>
        </is>
      </c>
    </row>
    <row r="92">
      <c r="A92" s="0" t="inlineStr">
        <is>
          <t>info_char_dml_batch1_pk_irp1</t>
        </is>
      </c>
      <c r="K92" s="0" t="inlineStr">
        <is>
          <t>[0;34m info_char_dml_batch1_pk_irp1 [0m源备字段数相同，源端字段：4 	备端字段4</t>
        </is>
      </c>
      <c r="W92" s="15">
        <f>HYPERLINK("#2026051816mysql2!AC2","NO 源备存在差异，共14个")</f>
        <v/>
      </c>
      <c r="X92" s="0">
        <f>A92</f>
        <v/>
      </c>
    </row>
    <row r="93">
      <c r="B93" s="0" t="inlineStr">
        <is>
          <t>YES</t>
        </is>
      </c>
      <c r="C93" s="0" t="inlineStr">
        <is>
          <t>NULL</t>
        </is>
      </c>
      <c r="D93" s="0" t="inlineStr">
        <is>
          <t>NULL</t>
        </is>
      </c>
      <c r="E93" s="0" t="inlineStr">
        <is>
          <t>NULL</t>
        </is>
      </c>
      <c r="F93" s="0" t="inlineStr">
        <is>
          <t>NULL</t>
        </is>
      </c>
      <c r="G93" s="0" t="inlineStr">
        <is>
          <t>NULL</t>
        </is>
      </c>
      <c r="H93" s="0" t="inlineStr">
        <is>
          <t>NULL</t>
        </is>
      </c>
      <c r="I93" s="0" t="inlineStr">
        <is>
          <t>YES!PK__info_cha__3213E83F0B0734D3</t>
        </is>
      </c>
      <c r="J93" s="0" t="inlineStr">
        <is>
          <t>YES! 主键相关索引</t>
        </is>
      </c>
      <c r="K93" s="0" t="inlineStr">
        <is>
          <t>YES! 	 id列源备映射正确，源端为int None位	期望更改为int	实际备端为int None位</t>
        </is>
      </c>
    </row>
    <row r="94">
      <c r="B94" s="0" t="inlineStr">
        <is>
          <t>NULL</t>
        </is>
      </c>
      <c r="C94" s="0" t="inlineStr">
        <is>
          <t>NULL</t>
        </is>
      </c>
      <c r="D94" s="0" t="inlineStr">
        <is>
          <t>NULL</t>
        </is>
      </c>
      <c r="E94" s="0" t="inlineStr">
        <is>
          <t>NULL</t>
        </is>
      </c>
      <c r="F94" s="0" t="inlineStr">
        <is>
          <t>NULL</t>
        </is>
      </c>
      <c r="G94" s="0" t="inlineStr">
        <is>
          <t>NULL</t>
        </is>
      </c>
      <c r="H94" s="0" t="inlineStr">
        <is>
          <t>NULL</t>
        </is>
      </c>
      <c r="I94" s="0" t="inlineStr">
        <is>
          <t>NULL</t>
        </is>
      </c>
      <c r="J94" s="0" t="inlineStr">
        <is>
          <t>NULL</t>
        </is>
      </c>
      <c r="K94" s="0" t="inlineStr">
        <is>
          <t>YES! 	 c_char列源备映射正确，源端为char 1位	期望更改为char(n)	实际备端为char 4位</t>
        </is>
      </c>
    </row>
    <row r="95">
      <c r="B95" s="0" t="inlineStr">
        <is>
          <t>NULL</t>
        </is>
      </c>
      <c r="C95" s="0" t="inlineStr">
        <is>
          <t>NULL</t>
        </is>
      </c>
      <c r="D95" s="0" t="inlineStr">
        <is>
          <t>NULL</t>
        </is>
      </c>
      <c r="E95" s="0" t="inlineStr">
        <is>
          <t>NULL</t>
        </is>
      </c>
      <c r="F95" s="0" t="inlineStr">
        <is>
          <t>NULL</t>
        </is>
      </c>
      <c r="G95" s="0" t="inlineStr">
        <is>
          <t>NULL</t>
        </is>
      </c>
      <c r="H95" s="0" t="inlineStr">
        <is>
          <t>NULL</t>
        </is>
      </c>
      <c r="I95" s="0" t="inlineStr">
        <is>
          <t>NULL</t>
        </is>
      </c>
      <c r="J95" s="0" t="inlineStr">
        <is>
          <t>NULL</t>
        </is>
      </c>
      <c r="K95" s="0" t="inlineStr">
        <is>
          <t>YES! 	 c_char20列源备映射正确，源端为char 20位	期望更改为char(n)	实际备端为char 80位</t>
        </is>
      </c>
    </row>
    <row r="96">
      <c r="B96" s="0" t="inlineStr">
        <is>
          <t>NULL</t>
        </is>
      </c>
      <c r="C96" s="0" t="inlineStr">
        <is>
          <t>NULL</t>
        </is>
      </c>
      <c r="D96" s="0" t="inlineStr">
        <is>
          <t>NULL</t>
        </is>
      </c>
      <c r="E96" s="0" t="inlineStr">
        <is>
          <t>NULL</t>
        </is>
      </c>
      <c r="F96" s="0" t="inlineStr">
        <is>
          <t>NULL</t>
        </is>
      </c>
      <c r="G96" s="0" t="inlineStr">
        <is>
          <t>NULL</t>
        </is>
      </c>
      <c r="H96" s="0" t="inlineStr">
        <is>
          <t>NULL</t>
        </is>
      </c>
      <c r="I96" s="0" t="inlineStr">
        <is>
          <t>NULL</t>
        </is>
      </c>
      <c r="J96" s="0" t="inlineStr">
        <is>
          <t>NULL</t>
        </is>
      </c>
      <c r="K96" s="0" t="inlineStr">
        <is>
          <t>YES! 	 c_char8000列源备映射正确，源端为char 8000位	期望更改为text	实际备端为text 65535位</t>
        </is>
      </c>
    </row>
    <row r="97">
      <c r="A97" s="0" t="inlineStr">
        <is>
          <t>info_time_dml_batch1_pk_urp2</t>
        </is>
      </c>
      <c r="K97" s="0" t="inlineStr">
        <is>
          <t>[0;34m info_time_dml_batch1_pk_urp2 [0m源备字段数相同，源端字段：9 	备端字段9</t>
        </is>
      </c>
      <c r="W97" s="0" t="inlineStr">
        <is>
          <t>YES 源备无差异</t>
        </is>
      </c>
      <c r="X97" s="0">
        <f>A97</f>
        <v/>
      </c>
    </row>
    <row r="98">
      <c r="B98" s="0" t="inlineStr">
        <is>
          <t>YES</t>
        </is>
      </c>
      <c r="C98" s="0" t="inlineStr">
        <is>
          <t>NULL</t>
        </is>
      </c>
      <c r="D98" s="0" t="inlineStr">
        <is>
          <t>NULL</t>
        </is>
      </c>
      <c r="E98" s="0" t="inlineStr">
        <is>
          <t>NULL</t>
        </is>
      </c>
      <c r="F98" s="0" t="inlineStr">
        <is>
          <t>NULL</t>
        </is>
      </c>
      <c r="G98" s="0" t="inlineStr">
        <is>
          <t>NULL</t>
        </is>
      </c>
      <c r="H98" s="0" t="inlineStr">
        <is>
          <t>NULL</t>
        </is>
      </c>
      <c r="I98" s="0" t="inlineStr">
        <is>
          <t>YES!PK__info_tim__3213E83F7BBC653D</t>
        </is>
      </c>
      <c r="J98" s="0" t="inlineStr">
        <is>
          <t>YES! 主键相关索引</t>
        </is>
      </c>
      <c r="K98" s="0" t="inlineStr">
        <is>
          <t>YES! 	 id列源备映射正确，源端为int None位	期望更改为int	实际备端为int None位</t>
        </is>
      </c>
    </row>
    <row r="99">
      <c r="B99" s="0" t="inlineStr">
        <is>
          <t>NULL</t>
        </is>
      </c>
      <c r="C99" s="0" t="inlineStr">
        <is>
          <t>NULL</t>
        </is>
      </c>
      <c r="D99" s="0" t="inlineStr">
        <is>
          <t>NULL</t>
        </is>
      </c>
      <c r="E99" s="0" t="inlineStr">
        <is>
          <t>NULL</t>
        </is>
      </c>
      <c r="F99" s="0" t="inlineStr">
        <is>
          <t>NULL</t>
        </is>
      </c>
      <c r="G99" s="0" t="inlineStr">
        <is>
          <t>NULL</t>
        </is>
      </c>
      <c r="H99" s="0" t="inlineStr">
        <is>
          <t>NULL</t>
        </is>
      </c>
      <c r="I99" s="0" t="inlineStr">
        <is>
          <t>NULL</t>
        </is>
      </c>
      <c r="J99" s="0" t="inlineStr">
        <is>
          <t>NULL</t>
        </is>
      </c>
      <c r="K99" s="0" t="inlineStr">
        <is>
          <t>[0;32m YES! [0m 	 c_time0列源备映射正确，源端为time None位	期望更改为varchar(20)	实际备端为varchar 80位	位数精度不存在，通过长度比较</t>
        </is>
      </c>
    </row>
    <row r="100">
      <c r="B100" s="0" t="inlineStr">
        <is>
          <t>NULL</t>
        </is>
      </c>
      <c r="C100" s="0" t="inlineStr">
        <is>
          <t>NULL</t>
        </is>
      </c>
      <c r="D100" s="0" t="inlineStr">
        <is>
          <t>NULL</t>
        </is>
      </c>
      <c r="E100" s="0" t="inlineStr">
        <is>
          <t>NULL</t>
        </is>
      </c>
      <c r="F100" s="0" t="inlineStr">
        <is>
          <t>NULL</t>
        </is>
      </c>
      <c r="G100" s="0" t="inlineStr">
        <is>
          <t>NULL</t>
        </is>
      </c>
      <c r="H100" s="0" t="inlineStr">
        <is>
          <t>NULL</t>
        </is>
      </c>
      <c r="I100" s="0" t="inlineStr">
        <is>
          <t>NULL</t>
        </is>
      </c>
      <c r="J100" s="0" t="inlineStr">
        <is>
          <t>NULL</t>
        </is>
      </c>
      <c r="K100" s="0" t="inlineStr">
        <is>
          <t>[0;32m YES! [0m 	 c_time1列源备映射正确，源端为time None位	期望更改为varchar(20)	实际备端为varchar 80位	位数精度不存在，通过长度比较</t>
        </is>
      </c>
    </row>
    <row r="101">
      <c r="B101" s="0" t="inlineStr">
        <is>
          <t>NULL</t>
        </is>
      </c>
      <c r="C101" s="0" t="inlineStr">
        <is>
          <t>NULL</t>
        </is>
      </c>
      <c r="D101" s="0" t="inlineStr">
        <is>
          <t>NULL</t>
        </is>
      </c>
      <c r="E101" s="0" t="inlineStr">
        <is>
          <t>NULL</t>
        </is>
      </c>
      <c r="F101" s="0" t="inlineStr">
        <is>
          <t>NULL</t>
        </is>
      </c>
      <c r="G101" s="0" t="inlineStr">
        <is>
          <t>NULL</t>
        </is>
      </c>
      <c r="H101" s="0" t="inlineStr">
        <is>
          <t>NULL</t>
        </is>
      </c>
      <c r="I101" s="0" t="inlineStr">
        <is>
          <t>NULL</t>
        </is>
      </c>
      <c r="J101" s="0" t="inlineStr">
        <is>
          <t>NULL</t>
        </is>
      </c>
      <c r="K101" s="0" t="inlineStr">
        <is>
          <t>[0;32m YES! [0m 	 c_time2列源备映射正确，源端为time None位	期望更改为varchar(20)	实际备端为varchar 80位	位数精度不存在，通过长度比较</t>
        </is>
      </c>
    </row>
    <row r="102">
      <c r="B102" s="0" t="inlineStr">
        <is>
          <t>NULL</t>
        </is>
      </c>
      <c r="C102" s="0" t="inlineStr">
        <is>
          <t>NULL</t>
        </is>
      </c>
      <c r="D102" s="0" t="inlineStr">
        <is>
          <t>NULL</t>
        </is>
      </c>
      <c r="E102" s="0" t="inlineStr">
        <is>
          <t>NULL</t>
        </is>
      </c>
      <c r="F102" s="0" t="inlineStr">
        <is>
          <t>NULL</t>
        </is>
      </c>
      <c r="G102" s="0" t="inlineStr">
        <is>
          <t>NULL</t>
        </is>
      </c>
      <c r="H102" s="0" t="inlineStr">
        <is>
          <t>NULL</t>
        </is>
      </c>
      <c r="I102" s="0" t="inlineStr">
        <is>
          <t>NULL</t>
        </is>
      </c>
      <c r="J102" s="0" t="inlineStr">
        <is>
          <t>NULL</t>
        </is>
      </c>
      <c r="K102" s="0" t="inlineStr">
        <is>
          <t>[0;32m YES! [0m 	 c_time3列源备映射正确，源端为time None位	期望更改为varchar(20)	实际备端为varchar 80位	位数精度不存在，通过长度比较</t>
        </is>
      </c>
    </row>
    <row r="103">
      <c r="B103" s="0" t="inlineStr">
        <is>
          <t>NULL</t>
        </is>
      </c>
      <c r="C103" s="0" t="inlineStr">
        <is>
          <t>NULL</t>
        </is>
      </c>
      <c r="D103" s="0" t="inlineStr">
        <is>
          <t>NULL</t>
        </is>
      </c>
      <c r="E103" s="0" t="inlineStr">
        <is>
          <t>NULL</t>
        </is>
      </c>
      <c r="F103" s="0" t="inlineStr">
        <is>
          <t>NULL</t>
        </is>
      </c>
      <c r="G103" s="0" t="inlineStr">
        <is>
          <t>NULL</t>
        </is>
      </c>
      <c r="H103" s="0" t="inlineStr">
        <is>
          <t>NULL</t>
        </is>
      </c>
      <c r="I103" s="0" t="inlineStr">
        <is>
          <t>NULL</t>
        </is>
      </c>
      <c r="J103" s="0" t="inlineStr">
        <is>
          <t>NULL</t>
        </is>
      </c>
      <c r="K103" s="0" t="inlineStr">
        <is>
          <t>[0;32m YES! [0m 	 c_time4列源备映射正确，源端为time None位	期望更改为varchar(20)	实际备端为varchar 80位	位数精度不存在，通过长度比较</t>
        </is>
      </c>
    </row>
    <row r="104">
      <c r="B104" s="0" t="inlineStr">
        <is>
          <t>NULL</t>
        </is>
      </c>
      <c r="C104" s="0" t="inlineStr">
        <is>
          <t>NULL</t>
        </is>
      </c>
      <c r="D104" s="0" t="inlineStr">
        <is>
          <t>NULL</t>
        </is>
      </c>
      <c r="E104" s="0" t="inlineStr">
        <is>
          <t>NULL</t>
        </is>
      </c>
      <c r="F104" s="0" t="inlineStr">
        <is>
          <t>NULL</t>
        </is>
      </c>
      <c r="G104" s="0" t="inlineStr">
        <is>
          <t>NULL</t>
        </is>
      </c>
      <c r="H104" s="0" t="inlineStr">
        <is>
          <t>NULL</t>
        </is>
      </c>
      <c r="I104" s="0" t="inlineStr">
        <is>
          <t>NULL</t>
        </is>
      </c>
      <c r="J104" s="0" t="inlineStr">
        <is>
          <t>NULL</t>
        </is>
      </c>
      <c r="K104" s="0" t="inlineStr">
        <is>
          <t>[0;32m YES! [0m 	 c_time5列源备映射正确，源端为time None位	期望更改为varchar(20)	实际备端为varchar 80位	位数精度不存在，通过长度比较</t>
        </is>
      </c>
    </row>
    <row r="105">
      <c r="B105" s="0" t="inlineStr">
        <is>
          <t>NULL</t>
        </is>
      </c>
      <c r="C105" s="0" t="inlineStr">
        <is>
          <t>NULL</t>
        </is>
      </c>
      <c r="D105" s="0" t="inlineStr">
        <is>
          <t>NULL</t>
        </is>
      </c>
      <c r="E105" s="0" t="inlineStr">
        <is>
          <t>NULL</t>
        </is>
      </c>
      <c r="F105" s="0" t="inlineStr">
        <is>
          <t>NULL</t>
        </is>
      </c>
      <c r="G105" s="0" t="inlineStr">
        <is>
          <t>NULL</t>
        </is>
      </c>
      <c r="H105" s="0" t="inlineStr">
        <is>
          <t>NULL</t>
        </is>
      </c>
      <c r="I105" s="0" t="inlineStr">
        <is>
          <t>NULL</t>
        </is>
      </c>
      <c r="J105" s="0" t="inlineStr">
        <is>
          <t>NULL</t>
        </is>
      </c>
      <c r="K105" s="0" t="inlineStr">
        <is>
          <t>[0;32m YES! [0m 	 c_time6列源备映射正确，源端为time None位	期望更改为varchar(20)	实际备端为varchar 80位	位数精度不存在，通过长度比较</t>
        </is>
      </c>
    </row>
    <row r="106">
      <c r="B106" s="0" t="inlineStr">
        <is>
          <t>NULL</t>
        </is>
      </c>
      <c r="C106" s="0" t="inlineStr">
        <is>
          <t>NULL</t>
        </is>
      </c>
      <c r="D106" s="0" t="inlineStr">
        <is>
          <t>NULL</t>
        </is>
      </c>
      <c r="E106" s="0" t="inlineStr">
        <is>
          <t>NULL</t>
        </is>
      </c>
      <c r="F106" s="0" t="inlineStr">
        <is>
          <t>NULL</t>
        </is>
      </c>
      <c r="G106" s="0" t="inlineStr">
        <is>
          <t>NULL</t>
        </is>
      </c>
      <c r="H106" s="0" t="inlineStr">
        <is>
          <t>NULL</t>
        </is>
      </c>
      <c r="I106" s="0" t="inlineStr">
        <is>
          <t>NULL</t>
        </is>
      </c>
      <c r="J106" s="0" t="inlineStr">
        <is>
          <t>NULL</t>
        </is>
      </c>
      <c r="K106" s="0" t="inlineStr">
        <is>
          <t>[0;32m YES! [0m 	 c_time列源备映射正确，源端为time None位	期望更改为varchar(20)	实际备端为varchar 80位	位数精度不存在，通过长度比较</t>
        </is>
      </c>
    </row>
    <row r="107">
      <c r="A107" s="0" t="inlineStr">
        <is>
          <t>info_hierarchyid_dml_single_nopk_irp</t>
        </is>
      </c>
      <c r="K107" s="0" t="inlineStr">
        <is>
          <t>[0;34m info_hierarchyid_dml_single_nopk_irp [0m源备字段数相同，源端字段：2 	备端字段2</t>
        </is>
      </c>
      <c r="W107" s="15">
        <f>HYPERLINK("#2026051816mysql2!AD2","NO 源备存在差异，共4个")</f>
        <v/>
      </c>
      <c r="X107" s="0">
        <f>A107</f>
        <v/>
      </c>
    </row>
    <row r="108">
      <c r="B108" s="0" t="inlineStr">
        <is>
          <t>NULL</t>
        </is>
      </c>
      <c r="C108" s="0" t="inlineStr">
        <is>
          <t>NULL</t>
        </is>
      </c>
      <c r="D108" s="0" t="inlineStr">
        <is>
          <t>NULL</t>
        </is>
      </c>
      <c r="E108" s="0" t="inlineStr">
        <is>
          <t>NULL</t>
        </is>
      </c>
      <c r="F108" s="0" t="inlineStr">
        <is>
          <t>NULL</t>
        </is>
      </c>
      <c r="G108" s="0" t="inlineStr">
        <is>
          <t>NULL</t>
        </is>
      </c>
      <c r="H108" s="0" t="inlineStr">
        <is>
          <t>NULL</t>
        </is>
      </c>
      <c r="I108" s="0" t="inlineStr">
        <is>
          <t>NULL</t>
        </is>
      </c>
      <c r="J108" s="0" t="inlineStr">
        <is>
          <t>NULL</t>
        </is>
      </c>
      <c r="K108" s="0" t="inlineStr">
        <is>
          <t>YES! 	 id列源备映射正确，源端为int None位	期望更改为int	实际备端为int None位</t>
        </is>
      </c>
    </row>
    <row r="109">
      <c r="B109" s="0" t="inlineStr">
        <is>
          <t>NULL</t>
        </is>
      </c>
      <c r="C109" s="0" t="inlineStr">
        <is>
          <t>NO!源None备NUL</t>
        </is>
      </c>
      <c r="D109" s="0" t="inlineStr">
        <is>
          <t>NULL</t>
        </is>
      </c>
      <c r="E109" s="0" t="inlineStr">
        <is>
          <t>NULL</t>
        </is>
      </c>
      <c r="F109" s="0" t="inlineStr">
        <is>
          <t>NULL</t>
        </is>
      </c>
      <c r="G109" s="0" t="inlineStr">
        <is>
          <t>NULL</t>
        </is>
      </c>
      <c r="H109" s="0" t="inlineStr">
        <is>
          <t>NULL</t>
        </is>
      </c>
      <c r="I109" s="0" t="inlineStr">
        <is>
          <t>NULL</t>
        </is>
      </c>
      <c r="J109" s="0" t="inlineStr">
        <is>
          <t>NULL</t>
        </is>
      </c>
      <c r="K109" s="0" t="inlineStr">
        <is>
          <t>[0;32m YES! [0m 	 c_hierarchyid列源备映射正确，源端为hierarchyid 892位	期望更改为varchar(200)	实际备端为varchar 800位	位数精度不存在，通过长度比较</t>
        </is>
      </c>
    </row>
    <row r="110">
      <c r="A110" s="0" t="inlineStr">
        <is>
          <t>info_char_dml_single_pk_irp</t>
        </is>
      </c>
      <c r="K110" s="0" t="inlineStr">
        <is>
          <t>[0;34m info_char_dml_single_pk_irp [0m源备字段数相同，源端字段：4 	备端字段4</t>
        </is>
      </c>
      <c r="W110" s="15">
        <f>HYPERLINK("#2026051816mysql2!AE2","NO 源备存在差异，共14个")</f>
        <v/>
      </c>
      <c r="X110" s="0">
        <f>A110</f>
        <v/>
      </c>
    </row>
    <row r="111">
      <c r="B111" s="0" t="inlineStr">
        <is>
          <t>YES</t>
        </is>
      </c>
      <c r="C111" s="0" t="inlineStr">
        <is>
          <t>NULL</t>
        </is>
      </c>
      <c r="D111" s="0" t="inlineStr">
        <is>
          <t>NULL</t>
        </is>
      </c>
      <c r="E111" s="0" t="inlineStr">
        <is>
          <t>NULL</t>
        </is>
      </c>
      <c r="F111" s="0" t="inlineStr">
        <is>
          <t>NULL</t>
        </is>
      </c>
      <c r="G111" s="0" t="inlineStr">
        <is>
          <t>NULL</t>
        </is>
      </c>
      <c r="H111" s="0" t="inlineStr">
        <is>
          <t>NULL</t>
        </is>
      </c>
      <c r="I111" s="0" t="inlineStr">
        <is>
          <t>YES!PK__info_cha__3213E83FD6236BC6</t>
        </is>
      </c>
      <c r="J111" s="0" t="inlineStr">
        <is>
          <t>YES! 主键相关索引</t>
        </is>
      </c>
      <c r="K111" s="0" t="inlineStr">
        <is>
          <t>YES! 	 id列源备映射正确，源端为int None位	期望更改为int	实际备端为int None位</t>
        </is>
      </c>
    </row>
    <row r="112">
      <c r="B112" s="0" t="inlineStr">
        <is>
          <t>NULL</t>
        </is>
      </c>
      <c r="C112" s="0" t="inlineStr">
        <is>
          <t>NULL</t>
        </is>
      </c>
      <c r="D112" s="0" t="inlineStr">
        <is>
          <t>NULL</t>
        </is>
      </c>
      <c r="E112" s="0" t="inlineStr">
        <is>
          <t>NULL</t>
        </is>
      </c>
      <c r="F112" s="0" t="inlineStr">
        <is>
          <t>NULL</t>
        </is>
      </c>
      <c r="G112" s="0" t="inlineStr">
        <is>
          <t>NULL</t>
        </is>
      </c>
      <c r="H112" s="0" t="inlineStr">
        <is>
          <t>NULL</t>
        </is>
      </c>
      <c r="I112" s="0" t="inlineStr">
        <is>
          <t>NULL</t>
        </is>
      </c>
      <c r="J112" s="0" t="inlineStr">
        <is>
          <t>NULL</t>
        </is>
      </c>
      <c r="K112" s="0" t="inlineStr">
        <is>
          <t>NO! 备端缺失列c_CHAR</t>
        </is>
      </c>
    </row>
    <row r="113">
      <c r="B113" s="0" t="inlineStr">
        <is>
          <t>NULL</t>
        </is>
      </c>
      <c r="C113" s="0" t="inlineStr">
        <is>
          <t>NULL</t>
        </is>
      </c>
      <c r="D113" s="0" t="inlineStr">
        <is>
          <t>NULL</t>
        </is>
      </c>
      <c r="E113" s="0" t="inlineStr">
        <is>
          <t>NULL</t>
        </is>
      </c>
      <c r="F113" s="0" t="inlineStr">
        <is>
          <t>NULL</t>
        </is>
      </c>
      <c r="G113" s="0" t="inlineStr">
        <is>
          <t>NULL</t>
        </is>
      </c>
      <c r="H113" s="0" t="inlineStr">
        <is>
          <t>NULL</t>
        </is>
      </c>
      <c r="I113" s="0" t="inlineStr">
        <is>
          <t>NULL</t>
        </is>
      </c>
      <c r="J113" s="0" t="inlineStr">
        <is>
          <t>NULL</t>
        </is>
      </c>
      <c r="K113" s="0" t="inlineStr">
        <is>
          <t>NO! 备端缺失列c_char20</t>
        </is>
      </c>
    </row>
    <row r="114">
      <c r="B114" s="0" t="inlineStr">
        <is>
          <t>NULL</t>
        </is>
      </c>
      <c r="C114" s="0" t="inlineStr">
        <is>
          <t>NULL</t>
        </is>
      </c>
      <c r="D114" s="0" t="inlineStr">
        <is>
          <t>NULL</t>
        </is>
      </c>
      <c r="E114" s="0" t="inlineStr">
        <is>
          <t>NULL</t>
        </is>
      </c>
      <c r="F114" s="0" t="inlineStr">
        <is>
          <t>NULL</t>
        </is>
      </c>
      <c r="G114" s="0" t="inlineStr">
        <is>
          <t>NULL</t>
        </is>
      </c>
      <c r="H114" s="0" t="inlineStr">
        <is>
          <t>NULL</t>
        </is>
      </c>
      <c r="I114" s="0" t="inlineStr">
        <is>
          <t>NULL</t>
        </is>
      </c>
      <c r="J114" s="0" t="inlineStr">
        <is>
          <t>NULL</t>
        </is>
      </c>
      <c r="K114" s="0" t="inlineStr">
        <is>
          <t>NO! 备端缺失列c_char8000</t>
        </is>
      </c>
    </row>
    <row r="115">
      <c r="A115" s="0" t="inlineStr">
        <is>
          <t>info_varchar_dml_single_nopk_urp</t>
        </is>
      </c>
      <c r="K115" s="0" t="inlineStr">
        <is>
          <t>[0;34m info_varchar_dml_single_nopk_urp [0m源备字段数相同，源端字段：4 	备端字段4</t>
        </is>
      </c>
      <c r="W115" s="0" t="inlineStr">
        <is>
          <t>YES 源备无差异</t>
        </is>
      </c>
      <c r="X115" s="0">
        <f>A115</f>
        <v/>
      </c>
    </row>
    <row r="116">
      <c r="B116" s="0" t="inlineStr">
        <is>
          <t>NULL</t>
        </is>
      </c>
      <c r="C116" s="0" t="inlineStr">
        <is>
          <t>NULL</t>
        </is>
      </c>
      <c r="D116" s="0" t="inlineStr">
        <is>
          <t>NULL</t>
        </is>
      </c>
      <c r="E116" s="0" t="inlineStr">
        <is>
          <t>NULL</t>
        </is>
      </c>
      <c r="F116" s="0" t="inlineStr">
        <is>
          <t>NULL</t>
        </is>
      </c>
      <c r="G116" s="0" t="inlineStr">
        <is>
          <t>NULL</t>
        </is>
      </c>
      <c r="H116" s="0" t="inlineStr">
        <is>
          <t>NULL</t>
        </is>
      </c>
      <c r="I116" s="0" t="inlineStr">
        <is>
          <t>NULL</t>
        </is>
      </c>
      <c r="J116" s="0" t="inlineStr">
        <is>
          <t>NULL</t>
        </is>
      </c>
      <c r="K116" s="0" t="inlineStr">
        <is>
          <t>YES! 	 id列源备映射正确，源端为int None位	期望更改为int	实际备端为int None位</t>
        </is>
      </c>
    </row>
    <row r="117">
      <c r="B117" s="0" t="inlineStr">
        <is>
          <t>NULL</t>
        </is>
      </c>
      <c r="C117" s="0" t="inlineStr">
        <is>
          <t>NULL</t>
        </is>
      </c>
      <c r="D117" s="0" t="inlineStr">
        <is>
          <t>NULL</t>
        </is>
      </c>
      <c r="E117" s="0" t="inlineStr">
        <is>
          <t>NULL</t>
        </is>
      </c>
      <c r="F117" s="0" t="inlineStr">
        <is>
          <t>NULL</t>
        </is>
      </c>
      <c r="G117" s="0" t="inlineStr">
        <is>
          <t>NULL</t>
        </is>
      </c>
      <c r="H117" s="0" t="inlineStr">
        <is>
          <t>NULL</t>
        </is>
      </c>
      <c r="I117" s="0" t="inlineStr">
        <is>
          <t>NULL</t>
        </is>
      </c>
      <c r="J117" s="0" t="inlineStr">
        <is>
          <t>NULL</t>
        </is>
      </c>
      <c r="K117" s="0" t="inlineStr">
        <is>
          <t>YES! 	 c_varchar列源备映射正确，源端为varchar 1位	期望更改为varchar(n)	实际备端为varchar 4位</t>
        </is>
      </c>
    </row>
    <row r="118">
      <c r="B118" s="0" t="inlineStr">
        <is>
          <t>NULL</t>
        </is>
      </c>
      <c r="C118" s="0" t="inlineStr">
        <is>
          <t>NULL</t>
        </is>
      </c>
      <c r="D118" s="0" t="inlineStr">
        <is>
          <t>NULL</t>
        </is>
      </c>
      <c r="E118" s="0" t="inlineStr">
        <is>
          <t>NULL</t>
        </is>
      </c>
      <c r="F118" s="0" t="inlineStr">
        <is>
          <t>NULL</t>
        </is>
      </c>
      <c r="G118" s="0" t="inlineStr">
        <is>
          <t>NULL</t>
        </is>
      </c>
      <c r="H118" s="0" t="inlineStr">
        <is>
          <t>NULL</t>
        </is>
      </c>
      <c r="I118" s="0" t="inlineStr">
        <is>
          <t>NULL</t>
        </is>
      </c>
      <c r="J118" s="0" t="inlineStr">
        <is>
          <t>NULL</t>
        </is>
      </c>
      <c r="K118" s="0" t="inlineStr">
        <is>
          <t>YES! 	 c_varchar50列源备映射正确，源端为varchar 50位	期望更改为varchar(n)	实际备端为varchar 200位</t>
        </is>
      </c>
    </row>
    <row r="119">
      <c r="B119" s="0" t="inlineStr">
        <is>
          <t>NULL</t>
        </is>
      </c>
      <c r="C119" s="0" t="inlineStr">
        <is>
          <t>NULL</t>
        </is>
      </c>
      <c r="D119" s="0" t="inlineStr">
        <is>
          <t>NULL</t>
        </is>
      </c>
      <c r="E119" s="0" t="inlineStr">
        <is>
          <t>NULL</t>
        </is>
      </c>
      <c r="F119" s="0" t="inlineStr">
        <is>
          <t>NULL</t>
        </is>
      </c>
      <c r="G119" s="0" t="inlineStr">
        <is>
          <t>NULL</t>
        </is>
      </c>
      <c r="H119" s="0" t="inlineStr">
        <is>
          <t>NULL</t>
        </is>
      </c>
      <c r="I119" s="0" t="inlineStr">
        <is>
          <t>NULL</t>
        </is>
      </c>
      <c r="J119" s="0" t="inlineStr">
        <is>
          <t>NULL</t>
        </is>
      </c>
      <c r="K119" s="0" t="inlineStr">
        <is>
          <t xml:space="preserve"> NO!  	 c_varchar8000列源备映射错误，源端为varchar 8000位	期望更改为longtext	实际备端为text 65535位</t>
        </is>
      </c>
    </row>
    <row r="120">
      <c r="A120" s="0" t="inlineStr">
        <is>
          <t>info_hierarchyid_dml_single_nopk_urp</t>
        </is>
      </c>
      <c r="K120" s="0" t="inlineStr">
        <is>
          <t>[0;34m info_hierarchyid_dml_single_nopk_urp [0m源备字段数相同，源端字段：2 	备端字段2</t>
        </is>
      </c>
      <c r="W120" s="0" t="inlineStr">
        <is>
          <t>YES 源备无差异</t>
        </is>
      </c>
      <c r="X120" s="0">
        <f>A120</f>
        <v/>
      </c>
    </row>
    <row r="121">
      <c r="B121" s="0" t="inlineStr">
        <is>
          <t>NULL</t>
        </is>
      </c>
      <c r="C121" s="0" t="inlineStr">
        <is>
          <t>NULL</t>
        </is>
      </c>
      <c r="D121" s="0" t="inlineStr">
        <is>
          <t>NULL</t>
        </is>
      </c>
      <c r="E121" s="0" t="inlineStr">
        <is>
          <t>NULL</t>
        </is>
      </c>
      <c r="F121" s="0" t="inlineStr">
        <is>
          <t>NULL</t>
        </is>
      </c>
      <c r="G121" s="0" t="inlineStr">
        <is>
          <t>NULL</t>
        </is>
      </c>
      <c r="H121" s="0" t="inlineStr">
        <is>
          <t>NULL</t>
        </is>
      </c>
      <c r="I121" s="0" t="inlineStr">
        <is>
          <t>NULL</t>
        </is>
      </c>
      <c r="J121" s="0" t="inlineStr">
        <is>
          <t>NULL</t>
        </is>
      </c>
      <c r="K121" s="0" t="inlineStr">
        <is>
          <t>YES! 	 id列源备映射正确，源端为int None位	期望更改为int	实际备端为int None位</t>
        </is>
      </c>
    </row>
    <row r="122">
      <c r="B122" s="0" t="inlineStr">
        <is>
          <t>NULL</t>
        </is>
      </c>
      <c r="C122" s="0" t="inlineStr">
        <is>
          <t>NO!源None备NUL</t>
        </is>
      </c>
      <c r="D122" s="0" t="inlineStr">
        <is>
          <t>NULL</t>
        </is>
      </c>
      <c r="E122" s="0" t="inlineStr">
        <is>
          <t>NULL</t>
        </is>
      </c>
      <c r="F122" s="0" t="inlineStr">
        <is>
          <t>NULL</t>
        </is>
      </c>
      <c r="G122" s="0" t="inlineStr">
        <is>
          <t>NULL</t>
        </is>
      </c>
      <c r="H122" s="0" t="inlineStr">
        <is>
          <t>NULL</t>
        </is>
      </c>
      <c r="I122" s="0" t="inlineStr">
        <is>
          <t>NULL</t>
        </is>
      </c>
      <c r="J122" s="0" t="inlineStr">
        <is>
          <t>NULL</t>
        </is>
      </c>
      <c r="K122" s="0" t="inlineStr">
        <is>
          <t>[0;32m YES! [0m 	 c_hierarchyid列源备映射正确，源端为hierarchyid 892位	期望更改为varchar(200)	实际备端为varchar 800位	位数精度不存在，通过长度比较</t>
        </is>
      </c>
    </row>
    <row r="123">
      <c r="A123" s="0" t="inlineStr">
        <is>
          <t>info_char_dml_batch1_pk_irp2</t>
        </is>
      </c>
      <c r="K123" s="0" t="inlineStr">
        <is>
          <t>[0;34m info_char_dml_batch1_pk_irp2 [0m源备字段数相同，源端字段：4 	备端字段4</t>
        </is>
      </c>
      <c r="W123" s="15">
        <f>HYPERLINK("#2026051816mysql2!AF2","NO 源备存在差异，共38个")</f>
        <v/>
      </c>
      <c r="X123" s="0">
        <f>A123</f>
        <v/>
      </c>
    </row>
    <row r="124">
      <c r="B124" s="0" t="inlineStr">
        <is>
          <t>YES</t>
        </is>
      </c>
      <c r="C124" s="0" t="inlineStr">
        <is>
          <t>NULL</t>
        </is>
      </c>
      <c r="D124" s="0" t="inlineStr">
        <is>
          <t>NULL</t>
        </is>
      </c>
      <c r="E124" s="0" t="inlineStr">
        <is>
          <t>NULL</t>
        </is>
      </c>
      <c r="F124" s="0" t="inlineStr">
        <is>
          <t>NULL</t>
        </is>
      </c>
      <c r="G124" s="0" t="inlineStr">
        <is>
          <t>NULL</t>
        </is>
      </c>
      <c r="H124" s="0" t="inlineStr">
        <is>
          <t>NULL</t>
        </is>
      </c>
      <c r="I124" s="0" t="inlineStr">
        <is>
          <t>YES!PK__info_cha__3213E83FC0741F30</t>
        </is>
      </c>
      <c r="J124" s="0" t="inlineStr">
        <is>
          <t>YES! 主键相关索引</t>
        </is>
      </c>
      <c r="K124" s="0" t="inlineStr">
        <is>
          <t>YES! 	 id列源备映射正确，源端为int None位	期望更改为int	实际备端为int None位</t>
        </is>
      </c>
    </row>
    <row r="125">
      <c r="B125" s="0" t="inlineStr">
        <is>
          <t>NULL</t>
        </is>
      </c>
      <c r="C125" s="0" t="inlineStr">
        <is>
          <t>NULL</t>
        </is>
      </c>
      <c r="D125" s="0" t="inlineStr">
        <is>
          <t>NULL</t>
        </is>
      </c>
      <c r="E125" s="0" t="inlineStr">
        <is>
          <t>NULL</t>
        </is>
      </c>
      <c r="F125" s="0" t="inlineStr">
        <is>
          <t>NULL</t>
        </is>
      </c>
      <c r="G125" s="0" t="inlineStr">
        <is>
          <t>NULL</t>
        </is>
      </c>
      <c r="H125" s="0" t="inlineStr">
        <is>
          <t>NULL</t>
        </is>
      </c>
      <c r="I125" s="0" t="inlineStr">
        <is>
          <t>NULL</t>
        </is>
      </c>
      <c r="J125" s="0" t="inlineStr">
        <is>
          <t>NULL</t>
        </is>
      </c>
      <c r="K125" s="0" t="inlineStr">
        <is>
          <t>YES! 	 c_char列源备映射正确，源端为char 1位	期望更改为char(n)	实际备端为char 4位</t>
        </is>
      </c>
    </row>
    <row r="126">
      <c r="B126" s="0" t="inlineStr">
        <is>
          <t>NULL</t>
        </is>
      </c>
      <c r="C126" s="0" t="inlineStr">
        <is>
          <t>NULL</t>
        </is>
      </c>
      <c r="D126" s="0" t="inlineStr">
        <is>
          <t>NULL</t>
        </is>
      </c>
      <c r="E126" s="0" t="inlineStr">
        <is>
          <t>NULL</t>
        </is>
      </c>
      <c r="F126" s="0" t="inlineStr">
        <is>
          <t>NULL</t>
        </is>
      </c>
      <c r="G126" s="0" t="inlineStr">
        <is>
          <t>NULL</t>
        </is>
      </c>
      <c r="H126" s="0" t="inlineStr">
        <is>
          <t>NULL</t>
        </is>
      </c>
      <c r="I126" s="0" t="inlineStr">
        <is>
          <t>NULL</t>
        </is>
      </c>
      <c r="J126" s="0" t="inlineStr">
        <is>
          <t>NULL</t>
        </is>
      </c>
      <c r="K126" s="0" t="inlineStr">
        <is>
          <t>YES! 	 c_char20列源备映射正确，源端为char 20位	期望更改为char(n)	实际备端为char 80位</t>
        </is>
      </c>
    </row>
    <row r="127">
      <c r="B127" s="0" t="inlineStr">
        <is>
          <t>NULL</t>
        </is>
      </c>
      <c r="C127" s="0" t="inlineStr">
        <is>
          <t>NULL</t>
        </is>
      </c>
      <c r="D127" s="0" t="inlineStr">
        <is>
          <t>NULL</t>
        </is>
      </c>
      <c r="E127" s="0" t="inlineStr">
        <is>
          <t>NULL</t>
        </is>
      </c>
      <c r="F127" s="0" t="inlineStr">
        <is>
          <t>NULL</t>
        </is>
      </c>
      <c r="G127" s="0" t="inlineStr">
        <is>
          <t>NULL</t>
        </is>
      </c>
      <c r="H127" s="0" t="inlineStr">
        <is>
          <t>NULL</t>
        </is>
      </c>
      <c r="I127" s="0" t="inlineStr">
        <is>
          <t>NULL</t>
        </is>
      </c>
      <c r="J127" s="0" t="inlineStr">
        <is>
          <t>NULL</t>
        </is>
      </c>
      <c r="K127" s="0" t="inlineStr">
        <is>
          <t>YES! 	 c_char8000列源备映射正确，源端为char 8000位	期望更改为text	实际备端为text 65535位</t>
        </is>
      </c>
    </row>
    <row r="128">
      <c r="A128" s="0" t="inlineStr">
        <is>
          <t>info_time_dml_batch1_pk_drp1</t>
        </is>
      </c>
      <c r="K128" s="0" t="inlineStr">
        <is>
          <t>[0;34m info_time_dml_batch1_pk_drp1 [0m源备字段数相同，源端字段：9 	备端字段9</t>
        </is>
      </c>
      <c r="W128" s="0" t="inlineStr">
        <is>
          <t>YES 源备无差异</t>
        </is>
      </c>
      <c r="X128" s="0">
        <f>A128</f>
        <v/>
      </c>
    </row>
    <row r="129">
      <c r="B129" s="0" t="inlineStr">
        <is>
          <t>YES</t>
        </is>
      </c>
      <c r="C129" s="0" t="inlineStr">
        <is>
          <t>NULL</t>
        </is>
      </c>
      <c r="D129" s="0" t="inlineStr">
        <is>
          <t>NULL</t>
        </is>
      </c>
      <c r="E129" s="0" t="inlineStr">
        <is>
          <t>NULL</t>
        </is>
      </c>
      <c r="F129" s="0" t="inlineStr">
        <is>
          <t>NULL</t>
        </is>
      </c>
      <c r="G129" s="0" t="inlineStr">
        <is>
          <t>NULL</t>
        </is>
      </c>
      <c r="H129" s="0" t="inlineStr">
        <is>
          <t>NULL</t>
        </is>
      </c>
      <c r="I129" s="0" t="inlineStr">
        <is>
          <t>YES!PK__info_tim__3213E83F046A3DFB</t>
        </is>
      </c>
      <c r="J129" s="0" t="inlineStr">
        <is>
          <t>YES! 主键相关索引</t>
        </is>
      </c>
      <c r="K129" s="0" t="inlineStr">
        <is>
          <t>YES! 	 id列源备映射正确，源端为int None位	期望更改为int	实际备端为int None位</t>
        </is>
      </c>
    </row>
    <row r="130">
      <c r="B130" s="0" t="inlineStr">
        <is>
          <t>NULL</t>
        </is>
      </c>
      <c r="C130" s="0" t="inlineStr">
        <is>
          <t>NULL</t>
        </is>
      </c>
      <c r="D130" s="0" t="inlineStr">
        <is>
          <t>NULL</t>
        </is>
      </c>
      <c r="E130" s="0" t="inlineStr">
        <is>
          <t>NULL</t>
        </is>
      </c>
      <c r="F130" s="0" t="inlineStr">
        <is>
          <t>NULL</t>
        </is>
      </c>
      <c r="G130" s="0" t="inlineStr">
        <is>
          <t>NULL</t>
        </is>
      </c>
      <c r="H130" s="0" t="inlineStr">
        <is>
          <t>NULL</t>
        </is>
      </c>
      <c r="I130" s="0" t="inlineStr">
        <is>
          <t>NULL</t>
        </is>
      </c>
      <c r="J130" s="0" t="inlineStr">
        <is>
          <t>NULL</t>
        </is>
      </c>
      <c r="K130" s="0" t="inlineStr">
        <is>
          <t>[0;32m YES! [0m 	 c_time0列源备映射正确，源端为time None位	期望更改为varchar(20)	实际备端为varchar 80位	位数精度不存在，通过长度比较</t>
        </is>
      </c>
    </row>
    <row r="131">
      <c r="B131" s="0" t="inlineStr">
        <is>
          <t>NULL</t>
        </is>
      </c>
      <c r="C131" s="0" t="inlineStr">
        <is>
          <t>NULL</t>
        </is>
      </c>
      <c r="D131" s="0" t="inlineStr">
        <is>
          <t>NULL</t>
        </is>
      </c>
      <c r="E131" s="0" t="inlineStr">
        <is>
          <t>NULL</t>
        </is>
      </c>
      <c r="F131" s="0" t="inlineStr">
        <is>
          <t>NULL</t>
        </is>
      </c>
      <c r="G131" s="0" t="inlineStr">
        <is>
          <t>NULL</t>
        </is>
      </c>
      <c r="H131" s="0" t="inlineStr">
        <is>
          <t>NULL</t>
        </is>
      </c>
      <c r="I131" s="0" t="inlineStr">
        <is>
          <t>NULL</t>
        </is>
      </c>
      <c r="J131" s="0" t="inlineStr">
        <is>
          <t>NULL</t>
        </is>
      </c>
      <c r="K131" s="0" t="inlineStr">
        <is>
          <t>[0;32m YES! [0m 	 c_time1列源备映射正确，源端为time None位	期望更改为varchar(20)	实际备端为varchar 80位	位数精度不存在，通过长度比较</t>
        </is>
      </c>
    </row>
    <row r="132">
      <c r="B132" s="0" t="inlineStr">
        <is>
          <t>NULL</t>
        </is>
      </c>
      <c r="C132" s="0" t="inlineStr">
        <is>
          <t>NULL</t>
        </is>
      </c>
      <c r="D132" s="0" t="inlineStr">
        <is>
          <t>NULL</t>
        </is>
      </c>
      <c r="E132" s="0" t="inlineStr">
        <is>
          <t>NULL</t>
        </is>
      </c>
      <c r="F132" s="0" t="inlineStr">
        <is>
          <t>NULL</t>
        </is>
      </c>
      <c r="G132" s="0" t="inlineStr">
        <is>
          <t>NULL</t>
        </is>
      </c>
      <c r="H132" s="0" t="inlineStr">
        <is>
          <t>NULL</t>
        </is>
      </c>
      <c r="I132" s="0" t="inlineStr">
        <is>
          <t>NULL</t>
        </is>
      </c>
      <c r="J132" s="0" t="inlineStr">
        <is>
          <t>NULL</t>
        </is>
      </c>
      <c r="K132" s="0" t="inlineStr">
        <is>
          <t>[0;32m YES! [0m 	 c_time2列源备映射正确，源端为time None位	期望更改为varchar(20)	实际备端为varchar 80位	位数精度不存在，通过长度比较</t>
        </is>
      </c>
    </row>
    <row r="133">
      <c r="B133" s="0" t="inlineStr">
        <is>
          <t>NULL</t>
        </is>
      </c>
      <c r="C133" s="0" t="inlineStr">
        <is>
          <t>NULL</t>
        </is>
      </c>
      <c r="D133" s="0" t="inlineStr">
        <is>
          <t>NULL</t>
        </is>
      </c>
      <c r="E133" s="0" t="inlineStr">
        <is>
          <t>NULL</t>
        </is>
      </c>
      <c r="F133" s="0" t="inlineStr">
        <is>
          <t>NULL</t>
        </is>
      </c>
      <c r="G133" s="0" t="inlineStr">
        <is>
          <t>NULL</t>
        </is>
      </c>
      <c r="H133" s="0" t="inlineStr">
        <is>
          <t>NULL</t>
        </is>
      </c>
      <c r="I133" s="0" t="inlineStr">
        <is>
          <t>NULL</t>
        </is>
      </c>
      <c r="J133" s="0" t="inlineStr">
        <is>
          <t>NULL</t>
        </is>
      </c>
      <c r="K133" s="0" t="inlineStr">
        <is>
          <t>[0;32m YES! [0m 	 c_time3列源备映射正确，源端为time None位	期望更改为varchar(20)	实际备端为varchar 80位	位数精度不存在，通过长度比较</t>
        </is>
      </c>
    </row>
    <row r="134">
      <c r="B134" s="0" t="inlineStr">
        <is>
          <t>NULL</t>
        </is>
      </c>
      <c r="C134" s="0" t="inlineStr">
        <is>
          <t>NULL</t>
        </is>
      </c>
      <c r="D134" s="0" t="inlineStr">
        <is>
          <t>NULL</t>
        </is>
      </c>
      <c r="E134" s="0" t="inlineStr">
        <is>
          <t>NULL</t>
        </is>
      </c>
      <c r="F134" s="0" t="inlineStr">
        <is>
          <t>NULL</t>
        </is>
      </c>
      <c r="G134" s="0" t="inlineStr">
        <is>
          <t>NULL</t>
        </is>
      </c>
      <c r="H134" s="0" t="inlineStr">
        <is>
          <t>NULL</t>
        </is>
      </c>
      <c r="I134" s="0" t="inlineStr">
        <is>
          <t>NULL</t>
        </is>
      </c>
      <c r="J134" s="0" t="inlineStr">
        <is>
          <t>NULL</t>
        </is>
      </c>
      <c r="K134" s="0" t="inlineStr">
        <is>
          <t>[0;32m YES! [0m 	 c_time4列源备映射正确，源端为time None位	期望更改为varchar(20)	实际备端为varchar 80位	位数精度不存在，通过长度比较</t>
        </is>
      </c>
    </row>
    <row r="135">
      <c r="B135" s="0" t="inlineStr">
        <is>
          <t>NULL</t>
        </is>
      </c>
      <c r="C135" s="0" t="inlineStr">
        <is>
          <t>NULL</t>
        </is>
      </c>
      <c r="D135" s="0" t="inlineStr">
        <is>
          <t>NULL</t>
        </is>
      </c>
      <c r="E135" s="0" t="inlineStr">
        <is>
          <t>NULL</t>
        </is>
      </c>
      <c r="F135" s="0" t="inlineStr">
        <is>
          <t>NULL</t>
        </is>
      </c>
      <c r="G135" s="0" t="inlineStr">
        <is>
          <t>NULL</t>
        </is>
      </c>
      <c r="H135" s="0" t="inlineStr">
        <is>
          <t>NULL</t>
        </is>
      </c>
      <c r="I135" s="0" t="inlineStr">
        <is>
          <t>NULL</t>
        </is>
      </c>
      <c r="J135" s="0" t="inlineStr">
        <is>
          <t>NULL</t>
        </is>
      </c>
      <c r="K135" s="0" t="inlineStr">
        <is>
          <t>[0;32m YES! [0m 	 c_time5列源备映射正确，源端为time None位	期望更改为varchar(20)	实际备端为varchar 80位	位数精度不存在，通过长度比较</t>
        </is>
      </c>
    </row>
    <row r="136">
      <c r="B136" s="0" t="inlineStr">
        <is>
          <t>NULL</t>
        </is>
      </c>
      <c r="C136" s="0" t="inlineStr">
        <is>
          <t>NULL</t>
        </is>
      </c>
      <c r="D136" s="0" t="inlineStr">
        <is>
          <t>NULL</t>
        </is>
      </c>
      <c r="E136" s="0" t="inlineStr">
        <is>
          <t>NULL</t>
        </is>
      </c>
      <c r="F136" s="0" t="inlineStr">
        <is>
          <t>NULL</t>
        </is>
      </c>
      <c r="G136" s="0" t="inlineStr">
        <is>
          <t>NULL</t>
        </is>
      </c>
      <c r="H136" s="0" t="inlineStr">
        <is>
          <t>NULL</t>
        </is>
      </c>
      <c r="I136" s="0" t="inlineStr">
        <is>
          <t>NULL</t>
        </is>
      </c>
      <c r="J136" s="0" t="inlineStr">
        <is>
          <t>NULL</t>
        </is>
      </c>
      <c r="K136" s="0" t="inlineStr">
        <is>
          <t>[0;32m YES! [0m 	 c_time6列源备映射正确，源端为time None位	期望更改为varchar(20)	实际备端为varchar 80位	位数精度不存在，通过长度比较</t>
        </is>
      </c>
    </row>
    <row r="137">
      <c r="B137" s="0" t="inlineStr">
        <is>
          <t>NULL</t>
        </is>
      </c>
      <c r="C137" s="0" t="inlineStr">
        <is>
          <t>NULL</t>
        </is>
      </c>
      <c r="D137" s="0" t="inlineStr">
        <is>
          <t>NULL</t>
        </is>
      </c>
      <c r="E137" s="0" t="inlineStr">
        <is>
          <t>NULL</t>
        </is>
      </c>
      <c r="F137" s="0" t="inlineStr">
        <is>
          <t>NULL</t>
        </is>
      </c>
      <c r="G137" s="0" t="inlineStr">
        <is>
          <t>NULL</t>
        </is>
      </c>
      <c r="H137" s="0" t="inlineStr">
        <is>
          <t>NULL</t>
        </is>
      </c>
      <c r="I137" s="0" t="inlineStr">
        <is>
          <t>NULL</t>
        </is>
      </c>
      <c r="J137" s="0" t="inlineStr">
        <is>
          <t>NULL</t>
        </is>
      </c>
      <c r="K137" s="0" t="inlineStr">
        <is>
          <t>[0;32m YES! [0m 	 c_time列源备映射正确，源端为time None位	期望更改为varchar(20)	实际备端为varchar 80位	位数精度不存在，通过长度比较</t>
        </is>
      </c>
    </row>
    <row r="138">
      <c r="K138" s="0" t="inlineStr">
        <is>
          <t>~ 空表</t>
        </is>
      </c>
    </row>
    <row r="139">
      <c r="A139" s="0" t="inlineStr">
        <is>
          <t>info_hierarchyid_dml_single_nopk_drp</t>
        </is>
      </c>
      <c r="K139" s="0" t="inlineStr">
        <is>
          <t>[0;34m info_hierarchyid_dml_single_nopk_drp [0m源备字段数相同，源端字段：2 	备端字段2</t>
        </is>
      </c>
      <c r="W139" s="0" t="inlineStr">
        <is>
          <t>YES 源备无差异</t>
        </is>
      </c>
      <c r="X139" s="0">
        <f>A139</f>
        <v/>
      </c>
    </row>
    <row r="140">
      <c r="B140" s="0" t="inlineStr">
        <is>
          <t>NULL</t>
        </is>
      </c>
      <c r="C140" s="0" t="inlineStr">
        <is>
          <t>NULL</t>
        </is>
      </c>
      <c r="D140" s="0" t="inlineStr">
        <is>
          <t>NULL</t>
        </is>
      </c>
      <c r="E140" s="0" t="inlineStr">
        <is>
          <t>NULL</t>
        </is>
      </c>
      <c r="F140" s="0" t="inlineStr">
        <is>
          <t>NULL</t>
        </is>
      </c>
      <c r="G140" s="0" t="inlineStr">
        <is>
          <t>NULL</t>
        </is>
      </c>
      <c r="H140" s="0" t="inlineStr">
        <is>
          <t>NULL</t>
        </is>
      </c>
      <c r="I140" s="0" t="inlineStr">
        <is>
          <t>NULL</t>
        </is>
      </c>
      <c r="J140" s="0" t="inlineStr">
        <is>
          <t>NULL</t>
        </is>
      </c>
      <c r="K140" s="0" t="inlineStr">
        <is>
          <t>YES! 	 id列源备映射正确，源端为int None位	期望更改为int	实际备端为int None位</t>
        </is>
      </c>
    </row>
    <row r="141">
      <c r="B141" s="0" t="inlineStr">
        <is>
          <t>NULL</t>
        </is>
      </c>
      <c r="C141" s="0" t="inlineStr">
        <is>
          <t>NO!源None备NUL</t>
        </is>
      </c>
      <c r="D141" s="0" t="inlineStr">
        <is>
          <t>NULL</t>
        </is>
      </c>
      <c r="E141" s="0" t="inlineStr">
        <is>
          <t>NULL</t>
        </is>
      </c>
      <c r="F141" s="0" t="inlineStr">
        <is>
          <t>NULL</t>
        </is>
      </c>
      <c r="G141" s="0" t="inlineStr">
        <is>
          <t>NULL</t>
        </is>
      </c>
      <c r="H141" s="0" t="inlineStr">
        <is>
          <t>NULL</t>
        </is>
      </c>
      <c r="I141" s="0" t="inlineStr">
        <is>
          <t>NULL</t>
        </is>
      </c>
      <c r="J141" s="0" t="inlineStr">
        <is>
          <t>NULL</t>
        </is>
      </c>
      <c r="K141" s="0" t="inlineStr">
        <is>
          <t>[0;32m YES! [0m 	 c_hierarchyid列源备映射正确，源端为hierarchyid 892位	期望更改为varchar(200)	实际备端为varchar 800位	位数精度不存在，通过长度比较</t>
        </is>
      </c>
    </row>
    <row r="142">
      <c r="A142" s="0" t="inlineStr">
        <is>
          <t>info_char_dml_batch2_pk_irp1</t>
        </is>
      </c>
      <c r="K142" s="0" t="inlineStr">
        <is>
          <t>[0;34m info_char_dml_batch2_pk_irp1 [0m源备字段数相同，源端字段：4 	备端字段4</t>
        </is>
      </c>
      <c r="W142" s="15">
        <f>HYPERLINK("#2026051816mysql2!AG2","NO 源备存在差异，共10个")</f>
        <v/>
      </c>
      <c r="X142" s="0">
        <f>A142</f>
        <v/>
      </c>
    </row>
    <row r="143">
      <c r="B143" s="0" t="inlineStr">
        <is>
          <t>YES</t>
        </is>
      </c>
      <c r="C143" s="0" t="inlineStr">
        <is>
          <t>NULL</t>
        </is>
      </c>
      <c r="D143" s="0" t="inlineStr">
        <is>
          <t>NULL</t>
        </is>
      </c>
      <c r="E143" s="0" t="inlineStr">
        <is>
          <t>NULL</t>
        </is>
      </c>
      <c r="F143" s="0" t="inlineStr">
        <is>
          <t>NULL</t>
        </is>
      </c>
      <c r="G143" s="0" t="inlineStr">
        <is>
          <t>NULL</t>
        </is>
      </c>
      <c r="H143" s="0" t="inlineStr">
        <is>
          <t>NULL</t>
        </is>
      </c>
      <c r="I143" s="0" t="inlineStr">
        <is>
          <t>YES!PK__info_cha__3213E83F491E4A05</t>
        </is>
      </c>
      <c r="J143" s="0" t="inlineStr">
        <is>
          <t>YES! 主键相关索引</t>
        </is>
      </c>
      <c r="K143" s="0" t="inlineStr">
        <is>
          <t>YES! 	 id列源备映射正确，源端为int None位	期望更改为int	实际备端为int None位</t>
        </is>
      </c>
    </row>
    <row r="144">
      <c r="B144" s="0" t="inlineStr">
        <is>
          <t>NULL</t>
        </is>
      </c>
      <c r="C144" s="0" t="inlineStr">
        <is>
          <t>NULL</t>
        </is>
      </c>
      <c r="D144" s="0" t="inlineStr">
        <is>
          <t>NULL</t>
        </is>
      </c>
      <c r="E144" s="0" t="inlineStr">
        <is>
          <t>NULL</t>
        </is>
      </c>
      <c r="F144" s="0" t="inlineStr">
        <is>
          <t>NULL</t>
        </is>
      </c>
      <c r="G144" s="0" t="inlineStr">
        <is>
          <t>NULL</t>
        </is>
      </c>
      <c r="H144" s="0" t="inlineStr">
        <is>
          <t>NULL</t>
        </is>
      </c>
      <c r="I144" s="0" t="inlineStr">
        <is>
          <t>NULL</t>
        </is>
      </c>
      <c r="J144" s="0" t="inlineStr">
        <is>
          <t>NULL</t>
        </is>
      </c>
      <c r="K144" s="0" t="inlineStr">
        <is>
          <t>YES! 	 c_char列源备映射正确，源端为char 1位	期望更改为char(n)	实际备端为char 4位</t>
        </is>
      </c>
    </row>
    <row r="145">
      <c r="B145" s="0" t="inlineStr">
        <is>
          <t>NULL</t>
        </is>
      </c>
      <c r="C145" s="0" t="inlineStr">
        <is>
          <t>NULL</t>
        </is>
      </c>
      <c r="D145" s="0" t="inlineStr">
        <is>
          <t>NULL</t>
        </is>
      </c>
      <c r="E145" s="0" t="inlineStr">
        <is>
          <t>NULL</t>
        </is>
      </c>
      <c r="F145" s="0" t="inlineStr">
        <is>
          <t>NULL</t>
        </is>
      </c>
      <c r="G145" s="0" t="inlineStr">
        <is>
          <t>NULL</t>
        </is>
      </c>
      <c r="H145" s="0" t="inlineStr">
        <is>
          <t>NULL</t>
        </is>
      </c>
      <c r="I145" s="0" t="inlineStr">
        <is>
          <t>NULL</t>
        </is>
      </c>
      <c r="J145" s="0" t="inlineStr">
        <is>
          <t>NULL</t>
        </is>
      </c>
      <c r="K145" s="0" t="inlineStr">
        <is>
          <t>YES! 	 c_char20列源备映射正确，源端为char 20位	期望更改为char(n)	实际备端为char 80位</t>
        </is>
      </c>
    </row>
    <row r="146">
      <c r="B146" s="0" t="inlineStr">
        <is>
          <t>NULL</t>
        </is>
      </c>
      <c r="C146" s="0" t="inlineStr">
        <is>
          <t>NULL</t>
        </is>
      </c>
      <c r="D146" s="0" t="inlineStr">
        <is>
          <t>NULL</t>
        </is>
      </c>
      <c r="E146" s="0" t="inlineStr">
        <is>
          <t>NULL</t>
        </is>
      </c>
      <c r="F146" s="0" t="inlineStr">
        <is>
          <t>NULL</t>
        </is>
      </c>
      <c r="G146" s="0" t="inlineStr">
        <is>
          <t>NULL</t>
        </is>
      </c>
      <c r="H146" s="0" t="inlineStr">
        <is>
          <t>NULL</t>
        </is>
      </c>
      <c r="I146" s="0" t="inlineStr">
        <is>
          <t>NULL</t>
        </is>
      </c>
      <c r="J146" s="0" t="inlineStr">
        <is>
          <t>NULL</t>
        </is>
      </c>
      <c r="K146" s="0" t="inlineStr">
        <is>
          <t>YES! 	 c_char8000列源备映射正确，源端为char 8000位	期望更改为text	实际备端为text 65535位</t>
        </is>
      </c>
    </row>
    <row r="147">
      <c r="A147" s="0" t="inlineStr">
        <is>
          <t>info_varchar_dml_single_nopk_drp</t>
        </is>
      </c>
      <c r="K147" s="0" t="inlineStr">
        <is>
          <t>[0;34m info_varchar_dml_single_nopk_drp [0m源备字段数相同，源端字段：4 	备端字段4</t>
        </is>
      </c>
      <c r="W147" s="0" t="inlineStr">
        <is>
          <t>YES 源备无差异</t>
        </is>
      </c>
      <c r="X147" s="0">
        <f>A147</f>
        <v/>
      </c>
    </row>
    <row r="148">
      <c r="B148" s="0" t="inlineStr">
        <is>
          <t>NULL</t>
        </is>
      </c>
      <c r="C148" s="0" t="inlineStr">
        <is>
          <t>NULL</t>
        </is>
      </c>
      <c r="D148" s="0" t="inlineStr">
        <is>
          <t>NULL</t>
        </is>
      </c>
      <c r="E148" s="0" t="inlineStr">
        <is>
          <t>NULL</t>
        </is>
      </c>
      <c r="F148" s="0" t="inlineStr">
        <is>
          <t>NULL</t>
        </is>
      </c>
      <c r="G148" s="0" t="inlineStr">
        <is>
          <t>NULL</t>
        </is>
      </c>
      <c r="H148" s="0" t="inlineStr">
        <is>
          <t>NULL</t>
        </is>
      </c>
      <c r="I148" s="0" t="inlineStr">
        <is>
          <t>NULL</t>
        </is>
      </c>
      <c r="J148" s="0" t="inlineStr">
        <is>
          <t>NULL</t>
        </is>
      </c>
      <c r="K148" s="0" t="inlineStr">
        <is>
          <t>YES! 	 id列源备映射正确，源端为int None位	期望更改为int	实际备端为int None位</t>
        </is>
      </c>
    </row>
    <row r="149">
      <c r="B149" s="0" t="inlineStr">
        <is>
          <t>NULL</t>
        </is>
      </c>
      <c r="C149" s="0" t="inlineStr">
        <is>
          <t>NULL</t>
        </is>
      </c>
      <c r="D149" s="0" t="inlineStr">
        <is>
          <t>NULL</t>
        </is>
      </c>
      <c r="E149" s="0" t="inlineStr">
        <is>
          <t>NULL</t>
        </is>
      </c>
      <c r="F149" s="0" t="inlineStr">
        <is>
          <t>NULL</t>
        </is>
      </c>
      <c r="G149" s="0" t="inlineStr">
        <is>
          <t>NULL</t>
        </is>
      </c>
      <c r="H149" s="0" t="inlineStr">
        <is>
          <t>NULL</t>
        </is>
      </c>
      <c r="I149" s="0" t="inlineStr">
        <is>
          <t>NULL</t>
        </is>
      </c>
      <c r="J149" s="0" t="inlineStr">
        <is>
          <t>NULL</t>
        </is>
      </c>
      <c r="K149" s="0" t="inlineStr">
        <is>
          <t>YES! 	 c_varchar列源备映射正确，源端为varchar 1位	期望更改为varchar(n)	实际备端为varchar 4位</t>
        </is>
      </c>
    </row>
    <row r="150">
      <c r="B150" s="0" t="inlineStr">
        <is>
          <t>NULL</t>
        </is>
      </c>
      <c r="C150" s="0" t="inlineStr">
        <is>
          <t>NULL</t>
        </is>
      </c>
      <c r="D150" s="0" t="inlineStr">
        <is>
          <t>NULL</t>
        </is>
      </c>
      <c r="E150" s="0" t="inlineStr">
        <is>
          <t>NULL</t>
        </is>
      </c>
      <c r="F150" s="0" t="inlineStr">
        <is>
          <t>NULL</t>
        </is>
      </c>
      <c r="G150" s="0" t="inlineStr">
        <is>
          <t>NULL</t>
        </is>
      </c>
      <c r="H150" s="0" t="inlineStr">
        <is>
          <t>NULL</t>
        </is>
      </c>
      <c r="I150" s="0" t="inlineStr">
        <is>
          <t>NULL</t>
        </is>
      </c>
      <c r="J150" s="0" t="inlineStr">
        <is>
          <t>NULL</t>
        </is>
      </c>
      <c r="K150" s="0" t="inlineStr">
        <is>
          <t>YES! 	 c_varchar50列源备映射正确，源端为varchar 50位	期望更改为varchar(n)	实际备端为varchar 200位</t>
        </is>
      </c>
    </row>
    <row r="151">
      <c r="B151" s="0" t="inlineStr">
        <is>
          <t>NULL</t>
        </is>
      </c>
      <c r="C151" s="0" t="inlineStr">
        <is>
          <t>NULL</t>
        </is>
      </c>
      <c r="D151" s="0" t="inlineStr">
        <is>
          <t>NULL</t>
        </is>
      </c>
      <c r="E151" s="0" t="inlineStr">
        <is>
          <t>NULL</t>
        </is>
      </c>
      <c r="F151" s="0" t="inlineStr">
        <is>
          <t>NULL</t>
        </is>
      </c>
      <c r="G151" s="0" t="inlineStr">
        <is>
          <t>NULL</t>
        </is>
      </c>
      <c r="H151" s="0" t="inlineStr">
        <is>
          <t>NULL</t>
        </is>
      </c>
      <c r="I151" s="0" t="inlineStr">
        <is>
          <t>NULL</t>
        </is>
      </c>
      <c r="J151" s="0" t="inlineStr">
        <is>
          <t>NULL</t>
        </is>
      </c>
      <c r="K151" s="0" t="inlineStr">
        <is>
          <t xml:space="preserve"> NO!  	 c_varchar8000列源备映射错误，源端为varchar 8000位	期望更改为longtext	实际备端为text 65535位</t>
        </is>
      </c>
    </row>
    <row r="152">
      <c r="A152" s="0" t="inlineStr">
        <is>
          <t>info_hierarchyid_dml_single_pk_irp</t>
        </is>
      </c>
      <c r="K152" s="0" t="inlineStr">
        <is>
          <t>[0;34m info_hierarchyid_dml_single_pk_irp [0m源备字段数相同，源端字段：2 	备端字段2</t>
        </is>
      </c>
      <c r="W152" s="15">
        <f>HYPERLINK("#2026051816mysql2!AH2","NO 源备存在差异，共4个")</f>
        <v/>
      </c>
      <c r="X152" s="0">
        <f>A152</f>
        <v/>
      </c>
    </row>
    <row r="153">
      <c r="B153" s="0" t="inlineStr">
        <is>
          <t>YES</t>
        </is>
      </c>
      <c r="C153" s="0" t="inlineStr">
        <is>
          <t>NULL</t>
        </is>
      </c>
      <c r="D153" s="0" t="inlineStr">
        <is>
          <t>NULL</t>
        </is>
      </c>
      <c r="E153" s="0" t="inlineStr">
        <is>
          <t>NULL</t>
        </is>
      </c>
      <c r="F153" s="0" t="inlineStr">
        <is>
          <t>NULL</t>
        </is>
      </c>
      <c r="G153" s="0" t="inlineStr">
        <is>
          <t>NULL</t>
        </is>
      </c>
      <c r="H153" s="0" t="inlineStr">
        <is>
          <t>NULL</t>
        </is>
      </c>
      <c r="I153" s="0" t="inlineStr">
        <is>
          <t>YES!PK__info_hie__3213E83FDEFBB5DB</t>
        </is>
      </c>
      <c r="J153" s="0" t="inlineStr">
        <is>
          <t>YES! 主键相关索引</t>
        </is>
      </c>
      <c r="K153" s="0" t="inlineStr">
        <is>
          <t>YES! 	 id列源备映射正确，源端为int None位	期望更改为int	实际备端为int None位</t>
        </is>
      </c>
    </row>
    <row r="154">
      <c r="B154" s="0" t="inlineStr">
        <is>
          <t>NULL</t>
        </is>
      </c>
      <c r="C154" s="0" t="inlineStr">
        <is>
          <t>NULL</t>
        </is>
      </c>
      <c r="D154" s="0" t="inlineStr">
        <is>
          <t>NULL</t>
        </is>
      </c>
      <c r="E154" s="0" t="inlineStr">
        <is>
          <t>NULL</t>
        </is>
      </c>
      <c r="F154" s="0" t="inlineStr">
        <is>
          <t>NULL</t>
        </is>
      </c>
      <c r="G154" s="0" t="inlineStr">
        <is>
          <t>NULL</t>
        </is>
      </c>
      <c r="H154" s="0" t="inlineStr">
        <is>
          <t>NULL</t>
        </is>
      </c>
      <c r="I154" s="0" t="inlineStr">
        <is>
          <t>NULL</t>
        </is>
      </c>
      <c r="J154" s="0" t="inlineStr">
        <is>
          <t>NULL</t>
        </is>
      </c>
      <c r="K154" s="0" t="inlineStr">
        <is>
          <t>[0;32m YES! [0m 	 c_hierarchyid列源备映射正确，源端为hierarchyid 892位	期望更改为varchar(200)	实际备端为varchar 800位	位数精度不存在，通过长度比较</t>
        </is>
      </c>
    </row>
    <row r="155">
      <c r="A155" s="0" t="inlineStr">
        <is>
          <t>info_char_dml_single_pk_urp</t>
        </is>
      </c>
      <c r="K155" s="0" t="inlineStr">
        <is>
          <t>[0;34m info_char_dml_single_pk_urp [0m源备字段数相同，源端字段：4 	备端字段4</t>
        </is>
      </c>
      <c r="W155" s="15">
        <f>HYPERLINK("#2026051816mysql2!AI2","NO 源备存在差异，共6个")</f>
        <v/>
      </c>
      <c r="X155" s="0">
        <f>A155</f>
        <v/>
      </c>
    </row>
    <row r="156">
      <c r="B156" s="0" t="inlineStr">
        <is>
          <t>YES</t>
        </is>
      </c>
      <c r="C156" s="0" t="inlineStr">
        <is>
          <t>NULL</t>
        </is>
      </c>
      <c r="D156" s="0" t="inlineStr">
        <is>
          <t>NULL</t>
        </is>
      </c>
      <c r="E156" s="0" t="inlineStr">
        <is>
          <t>NULL</t>
        </is>
      </c>
      <c r="F156" s="0" t="inlineStr">
        <is>
          <t>NULL</t>
        </is>
      </c>
      <c r="G156" s="0" t="inlineStr">
        <is>
          <t>NULL</t>
        </is>
      </c>
      <c r="H156" s="0" t="inlineStr">
        <is>
          <t>NULL</t>
        </is>
      </c>
      <c r="I156" s="0" t="inlineStr">
        <is>
          <t>YES!PK__info_cha__3213E83FD6E1F870</t>
        </is>
      </c>
      <c r="J156" s="0" t="inlineStr">
        <is>
          <t>YES! 主键相关索引</t>
        </is>
      </c>
      <c r="K156" s="0" t="inlineStr">
        <is>
          <t>YES! 	 id列源备映射正确，源端为int None位	期望更改为int	实际备端为int None位</t>
        </is>
      </c>
    </row>
    <row r="157">
      <c r="B157" s="0" t="inlineStr">
        <is>
          <t>NULL</t>
        </is>
      </c>
      <c r="C157" s="0" t="inlineStr">
        <is>
          <t>NULL</t>
        </is>
      </c>
      <c r="D157" s="0" t="inlineStr">
        <is>
          <t>NULL</t>
        </is>
      </c>
      <c r="E157" s="0" t="inlineStr">
        <is>
          <t>NULL</t>
        </is>
      </c>
      <c r="F157" s="0" t="inlineStr">
        <is>
          <t>NULL</t>
        </is>
      </c>
      <c r="G157" s="0" t="inlineStr">
        <is>
          <t>NULL</t>
        </is>
      </c>
      <c r="H157" s="0" t="inlineStr">
        <is>
          <t>NULL</t>
        </is>
      </c>
      <c r="I157" s="0" t="inlineStr">
        <is>
          <t>NULL</t>
        </is>
      </c>
      <c r="J157" s="0" t="inlineStr">
        <is>
          <t>NULL</t>
        </is>
      </c>
      <c r="K157" s="0" t="inlineStr">
        <is>
          <t>YES! 	 c_char列源备映射正确，源端为char 1位	期望更改为char(n)	实际备端为char 4位</t>
        </is>
      </c>
    </row>
    <row r="158">
      <c r="B158" s="0" t="inlineStr">
        <is>
          <t>NULL</t>
        </is>
      </c>
      <c r="C158" s="0" t="inlineStr">
        <is>
          <t>NULL</t>
        </is>
      </c>
      <c r="D158" s="0" t="inlineStr">
        <is>
          <t>NULL</t>
        </is>
      </c>
      <c r="E158" s="0" t="inlineStr">
        <is>
          <t>NULL</t>
        </is>
      </c>
      <c r="F158" s="0" t="inlineStr">
        <is>
          <t>NULL</t>
        </is>
      </c>
      <c r="G158" s="0" t="inlineStr">
        <is>
          <t>NULL</t>
        </is>
      </c>
      <c r="H158" s="0" t="inlineStr">
        <is>
          <t>NULL</t>
        </is>
      </c>
      <c r="I158" s="0" t="inlineStr">
        <is>
          <t>NULL</t>
        </is>
      </c>
      <c r="J158" s="0" t="inlineStr">
        <is>
          <t>NULL</t>
        </is>
      </c>
      <c r="K158" s="0" t="inlineStr">
        <is>
          <t>YES! 	 c_char20列源备映射正确，源端为char 20位	期望更改为char(n)	实际备端为char 80位</t>
        </is>
      </c>
    </row>
    <row r="159">
      <c r="B159" s="0" t="inlineStr">
        <is>
          <t>NULL</t>
        </is>
      </c>
      <c r="C159" s="0" t="inlineStr">
        <is>
          <t>NULL</t>
        </is>
      </c>
      <c r="D159" s="0" t="inlineStr">
        <is>
          <t>NULL</t>
        </is>
      </c>
      <c r="E159" s="0" t="inlineStr">
        <is>
          <t>NULL</t>
        </is>
      </c>
      <c r="F159" s="0" t="inlineStr">
        <is>
          <t>NULL</t>
        </is>
      </c>
      <c r="G159" s="0" t="inlineStr">
        <is>
          <t>NULL</t>
        </is>
      </c>
      <c r="H159" s="0" t="inlineStr">
        <is>
          <t>NULL</t>
        </is>
      </c>
      <c r="I159" s="0" t="inlineStr">
        <is>
          <t>NULL</t>
        </is>
      </c>
      <c r="J159" s="0" t="inlineStr">
        <is>
          <t>NULL</t>
        </is>
      </c>
      <c r="K159" s="0" t="inlineStr">
        <is>
          <t>YES! 	 c_char7000列源备映射正确，源端为char 7000位	期望更改为text	实际备端为text 65535位</t>
        </is>
      </c>
    </row>
    <row r="160">
      <c r="A160" s="0" t="inlineStr">
        <is>
          <t>info_hierarchyid_dml_single_nopk</t>
        </is>
      </c>
      <c r="K160" s="0" t="inlineStr">
        <is>
          <t>[0;34m info_hierarchyid_dml_single_nopk [0m源备字段数相同，源端字段：2 	备端字段2</t>
        </is>
      </c>
      <c r="W160" s="0" t="inlineStr">
        <is>
          <t>YES 源备无差异</t>
        </is>
      </c>
      <c r="X160" s="0">
        <f>A160</f>
        <v/>
      </c>
    </row>
    <row r="161">
      <c r="B161" s="0" t="inlineStr">
        <is>
          <t>NULL</t>
        </is>
      </c>
      <c r="C161" s="0" t="inlineStr">
        <is>
          <t>NULL</t>
        </is>
      </c>
      <c r="D161" s="0" t="inlineStr">
        <is>
          <t>NULL</t>
        </is>
      </c>
      <c r="E161" s="0" t="inlineStr">
        <is>
          <t>NULL</t>
        </is>
      </c>
      <c r="F161" s="0" t="inlineStr">
        <is>
          <t>NULL</t>
        </is>
      </c>
      <c r="G161" s="0" t="inlineStr">
        <is>
          <t>NULL</t>
        </is>
      </c>
      <c r="H161" s="0" t="inlineStr">
        <is>
          <t>NULL</t>
        </is>
      </c>
      <c r="I161" s="0" t="inlineStr">
        <is>
          <t>NULL</t>
        </is>
      </c>
      <c r="J161" s="0" t="inlineStr">
        <is>
          <t>NULL</t>
        </is>
      </c>
      <c r="K161" s="0" t="inlineStr">
        <is>
          <t>YES! 	 id列源备映射正确，源端为int None位	期望更改为int	实际备端为int None位</t>
        </is>
      </c>
    </row>
    <row r="162">
      <c r="B162" s="0" t="inlineStr">
        <is>
          <t>NULL</t>
        </is>
      </c>
      <c r="C162" s="0" t="inlineStr">
        <is>
          <t>NO!源None备NUL</t>
        </is>
      </c>
      <c r="D162" s="0" t="inlineStr">
        <is>
          <t>NULL</t>
        </is>
      </c>
      <c r="E162" s="0" t="inlineStr">
        <is>
          <t>NULL</t>
        </is>
      </c>
      <c r="F162" s="0" t="inlineStr">
        <is>
          <t>NULL</t>
        </is>
      </c>
      <c r="G162" s="0" t="inlineStr">
        <is>
          <t>NULL</t>
        </is>
      </c>
      <c r="H162" s="0" t="inlineStr">
        <is>
          <t>NULL</t>
        </is>
      </c>
      <c r="I162" s="0" t="inlineStr">
        <is>
          <t>NULL</t>
        </is>
      </c>
      <c r="J162" s="0" t="inlineStr">
        <is>
          <t>NULL</t>
        </is>
      </c>
      <c r="K162" s="0" t="inlineStr">
        <is>
          <t>[0;32m YES! [0m 	 c_hierarchyid列源备映射正确，源端为hierarchyid 892位	期望更改为varchar(200)	实际备端为varchar 800位	位数精度不存在，通过长度比较</t>
        </is>
      </c>
    </row>
    <row r="163">
      <c r="A163" s="0" t="inlineStr">
        <is>
          <t>info_time_dml_batch1_pk_drp2</t>
        </is>
      </c>
      <c r="K163" s="0" t="inlineStr">
        <is>
          <t>[0;34m info_time_dml_batch1_pk_drp2 [0m源备字段数相同，源端字段：9 	备端字段9</t>
        </is>
      </c>
      <c r="W163" s="0" t="inlineStr">
        <is>
          <t>YES 源备无差异</t>
        </is>
      </c>
      <c r="X163" s="0">
        <f>A163</f>
        <v/>
      </c>
    </row>
    <row r="164">
      <c r="B164" s="0" t="inlineStr">
        <is>
          <t>YES</t>
        </is>
      </c>
      <c r="C164" s="0" t="inlineStr">
        <is>
          <t>NULL</t>
        </is>
      </c>
      <c r="D164" s="0" t="inlineStr">
        <is>
          <t>NULL</t>
        </is>
      </c>
      <c r="E164" s="0" t="inlineStr">
        <is>
          <t>NULL</t>
        </is>
      </c>
      <c r="F164" s="0" t="inlineStr">
        <is>
          <t>NULL</t>
        </is>
      </c>
      <c r="G164" s="0" t="inlineStr">
        <is>
          <t>NULL</t>
        </is>
      </c>
      <c r="H164" s="0" t="inlineStr">
        <is>
          <t>NULL</t>
        </is>
      </c>
      <c r="I164" s="0" t="inlineStr">
        <is>
          <t>YES!PK__info_tim__3213E83FA75E52F7</t>
        </is>
      </c>
      <c r="J164" s="0" t="inlineStr">
        <is>
          <t>YES! 主键相关索引</t>
        </is>
      </c>
      <c r="K164" s="0" t="inlineStr">
        <is>
          <t>YES! 	 id列源备映射正确，源端为int None位	期望更改为int	实际备端为int None位</t>
        </is>
      </c>
    </row>
    <row r="165">
      <c r="B165" s="0" t="inlineStr">
        <is>
          <t>NULL</t>
        </is>
      </c>
      <c r="C165" s="0" t="inlineStr">
        <is>
          <t>NULL</t>
        </is>
      </c>
      <c r="D165" s="0" t="inlineStr">
        <is>
          <t>NULL</t>
        </is>
      </c>
      <c r="E165" s="0" t="inlineStr">
        <is>
          <t>NULL</t>
        </is>
      </c>
      <c r="F165" s="0" t="inlineStr">
        <is>
          <t>NULL</t>
        </is>
      </c>
      <c r="G165" s="0" t="inlineStr">
        <is>
          <t>NULL</t>
        </is>
      </c>
      <c r="H165" s="0" t="inlineStr">
        <is>
          <t>NULL</t>
        </is>
      </c>
      <c r="I165" s="0" t="inlineStr">
        <is>
          <t>NULL</t>
        </is>
      </c>
      <c r="J165" s="0" t="inlineStr">
        <is>
          <t>NULL</t>
        </is>
      </c>
      <c r="K165" s="0" t="inlineStr">
        <is>
          <t>[0;32m YES! [0m 	 c_time0列源备映射正确，源端为time None位	期望更改为varchar(20)	实际备端为varchar 80位	位数精度不存在，通过长度比较</t>
        </is>
      </c>
    </row>
    <row r="166">
      <c r="B166" s="0" t="inlineStr">
        <is>
          <t>NULL</t>
        </is>
      </c>
      <c r="C166" s="0" t="inlineStr">
        <is>
          <t>NULL</t>
        </is>
      </c>
      <c r="D166" s="0" t="inlineStr">
        <is>
          <t>NULL</t>
        </is>
      </c>
      <c r="E166" s="0" t="inlineStr">
        <is>
          <t>NULL</t>
        </is>
      </c>
      <c r="F166" s="0" t="inlineStr">
        <is>
          <t>NULL</t>
        </is>
      </c>
      <c r="G166" s="0" t="inlineStr">
        <is>
          <t>NULL</t>
        </is>
      </c>
      <c r="H166" s="0" t="inlineStr">
        <is>
          <t>NULL</t>
        </is>
      </c>
      <c r="I166" s="0" t="inlineStr">
        <is>
          <t>NULL</t>
        </is>
      </c>
      <c r="J166" s="0" t="inlineStr">
        <is>
          <t>NULL</t>
        </is>
      </c>
      <c r="K166" s="0" t="inlineStr">
        <is>
          <t>[0;32m YES! [0m 	 c_time1列源备映射正确，源端为time None位	期望更改为varchar(20)	实际备端为varchar 80位	位数精度不存在，通过长度比较</t>
        </is>
      </c>
    </row>
    <row r="167">
      <c r="B167" s="0" t="inlineStr">
        <is>
          <t>NULL</t>
        </is>
      </c>
      <c r="C167" s="0" t="inlineStr">
        <is>
          <t>NULL</t>
        </is>
      </c>
      <c r="D167" s="0" t="inlineStr">
        <is>
          <t>NULL</t>
        </is>
      </c>
      <c r="E167" s="0" t="inlineStr">
        <is>
          <t>NULL</t>
        </is>
      </c>
      <c r="F167" s="0" t="inlineStr">
        <is>
          <t>NULL</t>
        </is>
      </c>
      <c r="G167" s="0" t="inlineStr">
        <is>
          <t>NULL</t>
        </is>
      </c>
      <c r="H167" s="0" t="inlineStr">
        <is>
          <t>NULL</t>
        </is>
      </c>
      <c r="I167" s="0" t="inlineStr">
        <is>
          <t>NULL</t>
        </is>
      </c>
      <c r="J167" s="0" t="inlineStr">
        <is>
          <t>NULL</t>
        </is>
      </c>
      <c r="K167" s="0" t="inlineStr">
        <is>
          <t>[0;32m YES! [0m 	 c_time2列源备映射正确，源端为time None位	期望更改为varchar(20)	实际备端为varchar 80位	位数精度不存在，通过长度比较</t>
        </is>
      </c>
    </row>
    <row r="168">
      <c r="B168" s="0" t="inlineStr">
        <is>
          <t>NULL</t>
        </is>
      </c>
      <c r="C168" s="0" t="inlineStr">
        <is>
          <t>NULL</t>
        </is>
      </c>
      <c r="D168" s="0" t="inlineStr">
        <is>
          <t>NULL</t>
        </is>
      </c>
      <c r="E168" s="0" t="inlineStr">
        <is>
          <t>NULL</t>
        </is>
      </c>
      <c r="F168" s="0" t="inlineStr">
        <is>
          <t>NULL</t>
        </is>
      </c>
      <c r="G168" s="0" t="inlineStr">
        <is>
          <t>NULL</t>
        </is>
      </c>
      <c r="H168" s="0" t="inlineStr">
        <is>
          <t>NULL</t>
        </is>
      </c>
      <c r="I168" s="0" t="inlineStr">
        <is>
          <t>NULL</t>
        </is>
      </c>
      <c r="J168" s="0" t="inlineStr">
        <is>
          <t>NULL</t>
        </is>
      </c>
      <c r="K168" s="0" t="inlineStr">
        <is>
          <t>[0;32m YES! [0m 	 c_time3列源备映射正确，源端为time None位	期望更改为varchar(20)	实际备端为varchar 80位	位数精度不存在，通过长度比较</t>
        </is>
      </c>
    </row>
    <row r="169">
      <c r="B169" s="0" t="inlineStr">
        <is>
          <t>NULL</t>
        </is>
      </c>
      <c r="C169" s="0" t="inlineStr">
        <is>
          <t>NULL</t>
        </is>
      </c>
      <c r="D169" s="0" t="inlineStr">
        <is>
          <t>NULL</t>
        </is>
      </c>
      <c r="E169" s="0" t="inlineStr">
        <is>
          <t>NULL</t>
        </is>
      </c>
      <c r="F169" s="0" t="inlineStr">
        <is>
          <t>NULL</t>
        </is>
      </c>
      <c r="G169" s="0" t="inlineStr">
        <is>
          <t>NULL</t>
        </is>
      </c>
      <c r="H169" s="0" t="inlineStr">
        <is>
          <t>NULL</t>
        </is>
      </c>
      <c r="I169" s="0" t="inlineStr">
        <is>
          <t>NULL</t>
        </is>
      </c>
      <c r="J169" s="0" t="inlineStr">
        <is>
          <t>NULL</t>
        </is>
      </c>
      <c r="K169" s="0" t="inlineStr">
        <is>
          <t>[0;32m YES! [0m 	 c_time4列源备映射正确，源端为time None位	期望更改为varchar(20)	实际备端为varchar 80位	位数精度不存在，通过长度比较</t>
        </is>
      </c>
    </row>
    <row r="170">
      <c r="B170" s="0" t="inlineStr">
        <is>
          <t>NULL</t>
        </is>
      </c>
      <c r="C170" s="0" t="inlineStr">
        <is>
          <t>NULL</t>
        </is>
      </c>
      <c r="D170" s="0" t="inlineStr">
        <is>
          <t>NULL</t>
        </is>
      </c>
      <c r="E170" s="0" t="inlineStr">
        <is>
          <t>NULL</t>
        </is>
      </c>
      <c r="F170" s="0" t="inlineStr">
        <is>
          <t>NULL</t>
        </is>
      </c>
      <c r="G170" s="0" t="inlineStr">
        <is>
          <t>NULL</t>
        </is>
      </c>
      <c r="H170" s="0" t="inlineStr">
        <is>
          <t>NULL</t>
        </is>
      </c>
      <c r="I170" s="0" t="inlineStr">
        <is>
          <t>NULL</t>
        </is>
      </c>
      <c r="J170" s="0" t="inlineStr">
        <is>
          <t>NULL</t>
        </is>
      </c>
      <c r="K170" s="0" t="inlineStr">
        <is>
          <t>[0;32m YES! [0m 	 c_time5列源备映射正确，源端为time None位	期望更改为varchar(20)	实际备端为varchar 80位	位数精度不存在，通过长度比较</t>
        </is>
      </c>
    </row>
    <row r="171">
      <c r="B171" s="0" t="inlineStr">
        <is>
          <t>NULL</t>
        </is>
      </c>
      <c r="C171" s="0" t="inlineStr">
        <is>
          <t>NULL</t>
        </is>
      </c>
      <c r="D171" s="0" t="inlineStr">
        <is>
          <t>NULL</t>
        </is>
      </c>
      <c r="E171" s="0" t="inlineStr">
        <is>
          <t>NULL</t>
        </is>
      </c>
      <c r="F171" s="0" t="inlineStr">
        <is>
          <t>NULL</t>
        </is>
      </c>
      <c r="G171" s="0" t="inlineStr">
        <is>
          <t>NULL</t>
        </is>
      </c>
      <c r="H171" s="0" t="inlineStr">
        <is>
          <t>NULL</t>
        </is>
      </c>
      <c r="I171" s="0" t="inlineStr">
        <is>
          <t>NULL</t>
        </is>
      </c>
      <c r="J171" s="0" t="inlineStr">
        <is>
          <t>NULL</t>
        </is>
      </c>
      <c r="K171" s="0" t="inlineStr">
        <is>
          <t>[0;32m YES! [0m 	 c_time6列源备映射正确，源端为time None位	期望更改为varchar(20)	实际备端为varchar 80位	位数精度不存在，通过长度比较</t>
        </is>
      </c>
    </row>
    <row r="172">
      <c r="B172" s="0" t="inlineStr">
        <is>
          <t>NULL</t>
        </is>
      </c>
      <c r="C172" s="0" t="inlineStr">
        <is>
          <t>NULL</t>
        </is>
      </c>
      <c r="D172" s="0" t="inlineStr">
        <is>
          <t>NULL</t>
        </is>
      </c>
      <c r="E172" s="0" t="inlineStr">
        <is>
          <t>NULL</t>
        </is>
      </c>
      <c r="F172" s="0" t="inlineStr">
        <is>
          <t>NULL</t>
        </is>
      </c>
      <c r="G172" s="0" t="inlineStr">
        <is>
          <t>NULL</t>
        </is>
      </c>
      <c r="H172" s="0" t="inlineStr">
        <is>
          <t>NULL</t>
        </is>
      </c>
      <c r="I172" s="0" t="inlineStr">
        <is>
          <t>NULL</t>
        </is>
      </c>
      <c r="J172" s="0" t="inlineStr">
        <is>
          <t>NULL</t>
        </is>
      </c>
      <c r="K172" s="0" t="inlineStr">
        <is>
          <t>[0;32m YES! [0m 	 c_time列源备映射正确，源端为time None位	期望更改为varchar(20)	实际备端为varchar 80位	位数精度不存在，通过长度比较</t>
        </is>
      </c>
    </row>
    <row r="173">
      <c r="A173" s="0" t="inlineStr">
        <is>
          <t>info_char_dml_batch2_pk_irp2</t>
        </is>
      </c>
      <c r="K173" s="0" t="inlineStr">
        <is>
          <t>[0;34m info_char_dml_batch2_pk_irp2 [0m源备字段数相同，源端字段：4 	备端字段4</t>
        </is>
      </c>
      <c r="W173" s="15">
        <f>HYPERLINK("#2026051816mysql2!AJ2","NO 源备存在差异，共16个")</f>
        <v/>
      </c>
      <c r="X173" s="0">
        <f>A173</f>
        <v/>
      </c>
    </row>
    <row r="174">
      <c r="B174" s="0" t="inlineStr">
        <is>
          <t>YES</t>
        </is>
      </c>
      <c r="C174" s="0" t="inlineStr">
        <is>
          <t>NULL</t>
        </is>
      </c>
      <c r="D174" s="0" t="inlineStr">
        <is>
          <t>NULL</t>
        </is>
      </c>
      <c r="E174" s="0" t="inlineStr">
        <is>
          <t>NULL</t>
        </is>
      </c>
      <c r="F174" s="0" t="inlineStr">
        <is>
          <t>NULL</t>
        </is>
      </c>
      <c r="G174" s="0" t="inlineStr">
        <is>
          <t>NULL</t>
        </is>
      </c>
      <c r="H174" s="0" t="inlineStr">
        <is>
          <t>NULL</t>
        </is>
      </c>
      <c r="I174" s="0" t="inlineStr">
        <is>
          <t>YES!PK__info_cha__3213E83F17ECD9F4</t>
        </is>
      </c>
      <c r="J174" s="0" t="inlineStr">
        <is>
          <t>YES! 主键相关索引</t>
        </is>
      </c>
      <c r="K174" s="0" t="inlineStr">
        <is>
          <t>YES! 	 id列源备映射正确，源端为int None位	期望更改为int	实际备端为int None位</t>
        </is>
      </c>
    </row>
    <row r="175">
      <c r="B175" s="0" t="inlineStr">
        <is>
          <t>NULL</t>
        </is>
      </c>
      <c r="C175" s="0" t="inlineStr">
        <is>
          <t>NULL</t>
        </is>
      </c>
      <c r="D175" s="0" t="inlineStr">
        <is>
          <t>NULL</t>
        </is>
      </c>
      <c r="E175" s="0" t="inlineStr">
        <is>
          <t>NULL</t>
        </is>
      </c>
      <c r="F175" s="0" t="inlineStr">
        <is>
          <t>NULL</t>
        </is>
      </c>
      <c r="G175" s="0" t="inlineStr">
        <is>
          <t>NULL</t>
        </is>
      </c>
      <c r="H175" s="0" t="inlineStr">
        <is>
          <t>NULL</t>
        </is>
      </c>
      <c r="I175" s="0" t="inlineStr">
        <is>
          <t>NULL</t>
        </is>
      </c>
      <c r="J175" s="0" t="inlineStr">
        <is>
          <t>NULL</t>
        </is>
      </c>
      <c r="K175" s="0" t="inlineStr">
        <is>
          <t>YES! 	 c_char列源备映射正确，源端为char 1位	期望更改为char(n)	实际备端为char 4位</t>
        </is>
      </c>
    </row>
    <row r="176">
      <c r="B176" s="0" t="inlineStr">
        <is>
          <t>NULL</t>
        </is>
      </c>
      <c r="C176" s="0" t="inlineStr">
        <is>
          <t>NULL</t>
        </is>
      </c>
      <c r="D176" s="0" t="inlineStr">
        <is>
          <t>NULL</t>
        </is>
      </c>
      <c r="E176" s="0" t="inlineStr">
        <is>
          <t>NULL</t>
        </is>
      </c>
      <c r="F176" s="0" t="inlineStr">
        <is>
          <t>NULL</t>
        </is>
      </c>
      <c r="G176" s="0" t="inlineStr">
        <is>
          <t>NULL</t>
        </is>
      </c>
      <c r="H176" s="0" t="inlineStr">
        <is>
          <t>NULL</t>
        </is>
      </c>
      <c r="I176" s="0" t="inlineStr">
        <is>
          <t>NULL</t>
        </is>
      </c>
      <c r="J176" s="0" t="inlineStr">
        <is>
          <t>NULL</t>
        </is>
      </c>
      <c r="K176" s="0" t="inlineStr">
        <is>
          <t>YES! 	 c_char20列源备映射正确，源端为char 20位	期望更改为char(n)	实际备端为char 80位</t>
        </is>
      </c>
    </row>
    <row r="177">
      <c r="B177" s="0" t="inlineStr">
        <is>
          <t>NULL</t>
        </is>
      </c>
      <c r="C177" s="0" t="inlineStr">
        <is>
          <t>NULL</t>
        </is>
      </c>
      <c r="D177" s="0" t="inlineStr">
        <is>
          <t>NULL</t>
        </is>
      </c>
      <c r="E177" s="0" t="inlineStr">
        <is>
          <t>NULL</t>
        </is>
      </c>
      <c r="F177" s="0" t="inlineStr">
        <is>
          <t>NULL</t>
        </is>
      </c>
      <c r="G177" s="0" t="inlineStr">
        <is>
          <t>NULL</t>
        </is>
      </c>
      <c r="H177" s="0" t="inlineStr">
        <is>
          <t>NULL</t>
        </is>
      </c>
      <c r="I177" s="0" t="inlineStr">
        <is>
          <t>NULL</t>
        </is>
      </c>
      <c r="J177" s="0" t="inlineStr">
        <is>
          <t>NULL</t>
        </is>
      </c>
      <c r="K177" s="0" t="inlineStr">
        <is>
          <t>YES! 	 c_char8000列源备映射正确，源端为char 8000位	期望更改为text	实际备端为text 65535位</t>
        </is>
      </c>
    </row>
    <row r="178">
      <c r="A178" s="0" t="inlineStr">
        <is>
          <t>info_hierarchyid_dml_single_pk_urp</t>
        </is>
      </c>
      <c r="K178" s="0" t="inlineStr">
        <is>
          <t>[0;34m info_hierarchyid_dml_single_pk_urp [0m源备字段数相同，源端字段：2 	备端字段2</t>
        </is>
      </c>
      <c r="W178" s="0" t="inlineStr">
        <is>
          <t>YES 源备无差异</t>
        </is>
      </c>
      <c r="X178" s="0">
        <f>A178</f>
        <v/>
      </c>
    </row>
    <row r="179">
      <c r="B179" s="0" t="inlineStr">
        <is>
          <t>YES</t>
        </is>
      </c>
      <c r="C179" s="0" t="inlineStr">
        <is>
          <t>NULL</t>
        </is>
      </c>
      <c r="D179" s="0" t="inlineStr">
        <is>
          <t>NULL</t>
        </is>
      </c>
      <c r="E179" s="0" t="inlineStr">
        <is>
          <t>NULL</t>
        </is>
      </c>
      <c r="F179" s="0" t="inlineStr">
        <is>
          <t>NULL</t>
        </is>
      </c>
      <c r="G179" s="0" t="inlineStr">
        <is>
          <t>NULL</t>
        </is>
      </c>
      <c r="H179" s="0" t="inlineStr">
        <is>
          <t>NULL</t>
        </is>
      </c>
      <c r="I179" s="0" t="inlineStr">
        <is>
          <t>YES!PK__info_hie__3213E83F2943E668</t>
        </is>
      </c>
      <c r="J179" s="0" t="inlineStr">
        <is>
          <t>YES! 主键相关索引</t>
        </is>
      </c>
      <c r="K179" s="0" t="inlineStr">
        <is>
          <t>YES! 	 id列源备映射正确，源端为int None位	期望更改为int	实际备端为int None位</t>
        </is>
      </c>
    </row>
    <row r="180">
      <c r="B180" s="0" t="inlineStr">
        <is>
          <t>NULL</t>
        </is>
      </c>
      <c r="C180" s="0" t="inlineStr">
        <is>
          <t>NULL</t>
        </is>
      </c>
      <c r="D180" s="0" t="inlineStr">
        <is>
          <t>NULL</t>
        </is>
      </c>
      <c r="E180" s="0" t="inlineStr">
        <is>
          <t>NULL</t>
        </is>
      </c>
      <c r="F180" s="0" t="inlineStr">
        <is>
          <t>NULL</t>
        </is>
      </c>
      <c r="G180" s="0" t="inlineStr">
        <is>
          <t>NULL</t>
        </is>
      </c>
      <c r="H180" s="0" t="inlineStr">
        <is>
          <t>NULL</t>
        </is>
      </c>
      <c r="I180" s="0" t="inlineStr">
        <is>
          <t>NULL</t>
        </is>
      </c>
      <c r="J180" s="0" t="inlineStr">
        <is>
          <t>NULL</t>
        </is>
      </c>
      <c r="K180" s="0" t="inlineStr">
        <is>
          <t>[0;32m YES! [0m 	 c_hierarchyid列源备映射正确，源端为hierarchyid 892位	期望更改为varchar(200)	实际备端为varchar 800位	位数精度不存在，通过长度比较</t>
        </is>
      </c>
    </row>
    <row r="181">
      <c r="A181" s="0" t="inlineStr">
        <is>
          <t>info_time_dml_batch1_pk</t>
        </is>
      </c>
      <c r="K181" s="0" t="inlineStr">
        <is>
          <t>[0;34m info_time_dml_batch1_pk [0m源备字段数相同，源端字段：9 	备端字段9</t>
        </is>
      </c>
      <c r="W181" s="0" t="inlineStr">
        <is>
          <t>YES 源备无差异</t>
        </is>
      </c>
      <c r="X181" s="0">
        <f>A181</f>
        <v/>
      </c>
    </row>
    <row r="182">
      <c r="B182" s="0" t="inlineStr">
        <is>
          <t>YES</t>
        </is>
      </c>
      <c r="C182" s="0" t="inlineStr">
        <is>
          <t>NULL</t>
        </is>
      </c>
      <c r="D182" s="0" t="inlineStr">
        <is>
          <t>NULL</t>
        </is>
      </c>
      <c r="E182" s="0" t="inlineStr">
        <is>
          <t>NULL</t>
        </is>
      </c>
      <c r="F182" s="0" t="inlineStr">
        <is>
          <t>NULL</t>
        </is>
      </c>
      <c r="G182" s="0" t="inlineStr">
        <is>
          <t>NULL</t>
        </is>
      </c>
      <c r="H182" s="0" t="inlineStr">
        <is>
          <t>NULL</t>
        </is>
      </c>
      <c r="I182" s="0" t="inlineStr">
        <is>
          <t>YES!PK__info_tim__3213E83F7708C811</t>
        </is>
      </c>
      <c r="J182" s="0" t="inlineStr">
        <is>
          <t>YES! 主键相关索引</t>
        </is>
      </c>
      <c r="K182" s="0" t="inlineStr">
        <is>
          <t>YES! 	 id列源备映射正确，源端为int None位	期望更改为int	实际备端为int None位</t>
        </is>
      </c>
    </row>
    <row r="183">
      <c r="B183" s="0" t="inlineStr">
        <is>
          <t>NULL</t>
        </is>
      </c>
      <c r="C183" s="0" t="inlineStr">
        <is>
          <t>NULL</t>
        </is>
      </c>
      <c r="D183" s="0" t="inlineStr">
        <is>
          <t>NULL</t>
        </is>
      </c>
      <c r="E183" s="0" t="inlineStr">
        <is>
          <t>NULL</t>
        </is>
      </c>
      <c r="F183" s="0" t="inlineStr">
        <is>
          <t>NULL</t>
        </is>
      </c>
      <c r="G183" s="0" t="inlineStr">
        <is>
          <t>NULL</t>
        </is>
      </c>
      <c r="H183" s="0" t="inlineStr">
        <is>
          <t>NULL</t>
        </is>
      </c>
      <c r="I183" s="0" t="inlineStr">
        <is>
          <t>NULL</t>
        </is>
      </c>
      <c r="J183" s="0" t="inlineStr">
        <is>
          <t>NULL</t>
        </is>
      </c>
      <c r="K183" s="0" t="inlineStr">
        <is>
          <t>[0;32m YES! [0m 	 c_time0列源备映射正确，源端为time None位	期望更改为varchar(20)	实际备端为varchar 80位	位数精度不存在，通过长度比较</t>
        </is>
      </c>
    </row>
    <row r="184">
      <c r="B184" s="0" t="inlineStr">
        <is>
          <t>NULL</t>
        </is>
      </c>
      <c r="C184" s="0" t="inlineStr">
        <is>
          <t>NULL</t>
        </is>
      </c>
      <c r="D184" s="0" t="inlineStr">
        <is>
          <t>NULL</t>
        </is>
      </c>
      <c r="E184" s="0" t="inlineStr">
        <is>
          <t>NULL</t>
        </is>
      </c>
      <c r="F184" s="0" t="inlineStr">
        <is>
          <t>NULL</t>
        </is>
      </c>
      <c r="G184" s="0" t="inlineStr">
        <is>
          <t>NULL</t>
        </is>
      </c>
      <c r="H184" s="0" t="inlineStr">
        <is>
          <t>NULL</t>
        </is>
      </c>
      <c r="I184" s="0" t="inlineStr">
        <is>
          <t>NULL</t>
        </is>
      </c>
      <c r="J184" s="0" t="inlineStr">
        <is>
          <t>NULL</t>
        </is>
      </c>
      <c r="K184" s="0" t="inlineStr">
        <is>
          <t>[0;32m YES! [0m 	 c_time1列源备映射正确，源端为time None位	期望更改为varchar(20)	实际备端为varchar 80位	位数精度不存在，通过长度比较</t>
        </is>
      </c>
    </row>
    <row r="185">
      <c r="B185" s="0" t="inlineStr">
        <is>
          <t>NULL</t>
        </is>
      </c>
      <c r="C185" s="0" t="inlineStr">
        <is>
          <t>NULL</t>
        </is>
      </c>
      <c r="D185" s="0" t="inlineStr">
        <is>
          <t>NULL</t>
        </is>
      </c>
      <c r="E185" s="0" t="inlineStr">
        <is>
          <t>NULL</t>
        </is>
      </c>
      <c r="F185" s="0" t="inlineStr">
        <is>
          <t>NULL</t>
        </is>
      </c>
      <c r="G185" s="0" t="inlineStr">
        <is>
          <t>NULL</t>
        </is>
      </c>
      <c r="H185" s="0" t="inlineStr">
        <is>
          <t>NULL</t>
        </is>
      </c>
      <c r="I185" s="0" t="inlineStr">
        <is>
          <t>NULL</t>
        </is>
      </c>
      <c r="J185" s="0" t="inlineStr">
        <is>
          <t>NULL</t>
        </is>
      </c>
      <c r="K185" s="0" t="inlineStr">
        <is>
          <t>[0;32m YES! [0m 	 c_time2列源备映射正确，源端为time None位	期望更改为varchar(20)	实际备端为varchar 80位	位数精度不存在，通过长度比较</t>
        </is>
      </c>
    </row>
    <row r="186">
      <c r="B186" s="0" t="inlineStr">
        <is>
          <t>NULL</t>
        </is>
      </c>
      <c r="C186" s="0" t="inlineStr">
        <is>
          <t>NULL</t>
        </is>
      </c>
      <c r="D186" s="0" t="inlineStr">
        <is>
          <t>NULL</t>
        </is>
      </c>
      <c r="E186" s="0" t="inlineStr">
        <is>
          <t>NULL</t>
        </is>
      </c>
      <c r="F186" s="0" t="inlineStr">
        <is>
          <t>NULL</t>
        </is>
      </c>
      <c r="G186" s="0" t="inlineStr">
        <is>
          <t>NULL</t>
        </is>
      </c>
      <c r="H186" s="0" t="inlineStr">
        <is>
          <t>NULL</t>
        </is>
      </c>
      <c r="I186" s="0" t="inlineStr">
        <is>
          <t>NULL</t>
        </is>
      </c>
      <c r="J186" s="0" t="inlineStr">
        <is>
          <t>NULL</t>
        </is>
      </c>
      <c r="K186" s="0" t="inlineStr">
        <is>
          <t>[0;32m YES! [0m 	 c_time3列源备映射正确，源端为time None位	期望更改为varchar(20)	实际备端为varchar 80位	位数精度不存在，通过长度比较</t>
        </is>
      </c>
    </row>
    <row r="187">
      <c r="B187" s="0" t="inlineStr">
        <is>
          <t>NULL</t>
        </is>
      </c>
      <c r="C187" s="0" t="inlineStr">
        <is>
          <t>NULL</t>
        </is>
      </c>
      <c r="D187" s="0" t="inlineStr">
        <is>
          <t>NULL</t>
        </is>
      </c>
      <c r="E187" s="0" t="inlineStr">
        <is>
          <t>NULL</t>
        </is>
      </c>
      <c r="F187" s="0" t="inlineStr">
        <is>
          <t>NULL</t>
        </is>
      </c>
      <c r="G187" s="0" t="inlineStr">
        <is>
          <t>NULL</t>
        </is>
      </c>
      <c r="H187" s="0" t="inlineStr">
        <is>
          <t>NULL</t>
        </is>
      </c>
      <c r="I187" s="0" t="inlineStr">
        <is>
          <t>NULL</t>
        </is>
      </c>
      <c r="J187" s="0" t="inlineStr">
        <is>
          <t>NULL</t>
        </is>
      </c>
      <c r="K187" s="0" t="inlineStr">
        <is>
          <t>[0;32m YES! [0m 	 c_time4列源备映射正确，源端为time None位	期望更改为varchar(20)	实际备端为varchar 80位	位数精度不存在，通过长度比较</t>
        </is>
      </c>
    </row>
    <row r="188">
      <c r="B188" s="0" t="inlineStr">
        <is>
          <t>NULL</t>
        </is>
      </c>
      <c r="C188" s="0" t="inlineStr">
        <is>
          <t>NULL</t>
        </is>
      </c>
      <c r="D188" s="0" t="inlineStr">
        <is>
          <t>NULL</t>
        </is>
      </c>
      <c r="E188" s="0" t="inlineStr">
        <is>
          <t>NULL</t>
        </is>
      </c>
      <c r="F188" s="0" t="inlineStr">
        <is>
          <t>NULL</t>
        </is>
      </c>
      <c r="G188" s="0" t="inlineStr">
        <is>
          <t>NULL</t>
        </is>
      </c>
      <c r="H188" s="0" t="inlineStr">
        <is>
          <t>NULL</t>
        </is>
      </c>
      <c r="I188" s="0" t="inlineStr">
        <is>
          <t>NULL</t>
        </is>
      </c>
      <c r="J188" s="0" t="inlineStr">
        <is>
          <t>NULL</t>
        </is>
      </c>
      <c r="K188" s="0" t="inlineStr">
        <is>
          <t>[0;32m YES! [0m 	 c_time5列源备映射正确，源端为time None位	期望更改为varchar(20)	实际备端为varchar 80位	位数精度不存在，通过长度比较</t>
        </is>
      </c>
    </row>
    <row r="189">
      <c r="B189" s="0" t="inlineStr">
        <is>
          <t>NULL</t>
        </is>
      </c>
      <c r="C189" s="0" t="inlineStr">
        <is>
          <t>NULL</t>
        </is>
      </c>
      <c r="D189" s="0" t="inlineStr">
        <is>
          <t>NULL</t>
        </is>
      </c>
      <c r="E189" s="0" t="inlineStr">
        <is>
          <t>NULL</t>
        </is>
      </c>
      <c r="F189" s="0" t="inlineStr">
        <is>
          <t>NULL</t>
        </is>
      </c>
      <c r="G189" s="0" t="inlineStr">
        <is>
          <t>NULL</t>
        </is>
      </c>
      <c r="H189" s="0" t="inlineStr">
        <is>
          <t>NULL</t>
        </is>
      </c>
      <c r="I189" s="0" t="inlineStr">
        <is>
          <t>NULL</t>
        </is>
      </c>
      <c r="J189" s="0" t="inlineStr">
        <is>
          <t>NULL</t>
        </is>
      </c>
      <c r="K189" s="0" t="inlineStr">
        <is>
          <t>[0;32m YES! [0m 	 c_time6列源备映射正确，源端为time None位	期望更改为varchar(20)	实际备端为varchar 80位	位数精度不存在，通过长度比较</t>
        </is>
      </c>
    </row>
    <row r="190">
      <c r="B190" s="0" t="inlineStr">
        <is>
          <t>NULL</t>
        </is>
      </c>
      <c r="C190" s="0" t="inlineStr">
        <is>
          <t>NULL</t>
        </is>
      </c>
      <c r="D190" s="0" t="inlineStr">
        <is>
          <t>NULL</t>
        </is>
      </c>
      <c r="E190" s="0" t="inlineStr">
        <is>
          <t>NULL</t>
        </is>
      </c>
      <c r="F190" s="0" t="inlineStr">
        <is>
          <t>NULL</t>
        </is>
      </c>
      <c r="G190" s="0" t="inlineStr">
        <is>
          <t>NULL</t>
        </is>
      </c>
      <c r="H190" s="0" t="inlineStr">
        <is>
          <t>NULL</t>
        </is>
      </c>
      <c r="I190" s="0" t="inlineStr">
        <is>
          <t>NULL</t>
        </is>
      </c>
      <c r="J190" s="0" t="inlineStr">
        <is>
          <t>NULL</t>
        </is>
      </c>
      <c r="K190" s="0" t="inlineStr">
        <is>
          <t>[0;32m YES! [0m 	 c_time列源备映射正确，源端为time None位	期望更改为varchar(20)	实际备端为varchar 80位	位数精度不存在，通过长度比较</t>
        </is>
      </c>
    </row>
    <row r="191">
      <c r="A191" s="0" t="inlineStr">
        <is>
          <t>info_char_dml_single_pk_drp</t>
        </is>
      </c>
      <c r="K191" s="0" t="inlineStr">
        <is>
          <t>[0;34m info_char_dml_single_pk_drp [0m源备字段数相同，源端字段：4 	备端字段4</t>
        </is>
      </c>
      <c r="W191" s="15">
        <f>HYPERLINK("#2026051816mysql2!AK2","NO 源备存在差异，共4个")</f>
        <v/>
      </c>
      <c r="X191" s="0">
        <f>A191</f>
        <v/>
      </c>
    </row>
    <row r="192">
      <c r="B192" s="0" t="inlineStr">
        <is>
          <t>YES</t>
        </is>
      </c>
      <c r="C192" s="0" t="inlineStr">
        <is>
          <t>NULL</t>
        </is>
      </c>
      <c r="D192" s="0" t="inlineStr">
        <is>
          <t>NULL</t>
        </is>
      </c>
      <c r="E192" s="0" t="inlineStr">
        <is>
          <t>NULL</t>
        </is>
      </c>
      <c r="F192" s="0" t="inlineStr">
        <is>
          <t>NULL</t>
        </is>
      </c>
      <c r="G192" s="0" t="inlineStr">
        <is>
          <t>NULL</t>
        </is>
      </c>
      <c r="H192" s="0" t="inlineStr">
        <is>
          <t>NULL</t>
        </is>
      </c>
      <c r="I192" s="0" t="inlineStr">
        <is>
          <t>YES!PK__info_cha__3213E83F737F950F</t>
        </is>
      </c>
      <c r="J192" s="0" t="inlineStr">
        <is>
          <t>YES! 主键相关索引</t>
        </is>
      </c>
      <c r="K192" s="0" t="inlineStr">
        <is>
          <t>YES! 	 id列源备映射正确，源端为int None位	期望更改为int	实际备端为int None位</t>
        </is>
      </c>
    </row>
    <row r="193">
      <c r="B193" s="0" t="inlineStr">
        <is>
          <t>NULL</t>
        </is>
      </c>
      <c r="C193" s="0" t="inlineStr">
        <is>
          <t>NULL</t>
        </is>
      </c>
      <c r="D193" s="0" t="inlineStr">
        <is>
          <t>NULL</t>
        </is>
      </c>
      <c r="E193" s="0" t="inlineStr">
        <is>
          <t>NULL</t>
        </is>
      </c>
      <c r="F193" s="0" t="inlineStr">
        <is>
          <t>NULL</t>
        </is>
      </c>
      <c r="G193" s="0" t="inlineStr">
        <is>
          <t>NULL</t>
        </is>
      </c>
      <c r="H193" s="0" t="inlineStr">
        <is>
          <t>NULL</t>
        </is>
      </c>
      <c r="I193" s="0" t="inlineStr">
        <is>
          <t>NULL</t>
        </is>
      </c>
      <c r="J193" s="0" t="inlineStr">
        <is>
          <t>NULL</t>
        </is>
      </c>
      <c r="K193" s="0" t="inlineStr">
        <is>
          <t>YES! 	 c_char列源备映射正确，源端为char 1位	期望更改为char(n)	实际备端为char 4位</t>
        </is>
      </c>
    </row>
    <row r="194">
      <c r="B194" s="0" t="inlineStr">
        <is>
          <t>NULL</t>
        </is>
      </c>
      <c r="C194" s="0" t="inlineStr">
        <is>
          <t>NULL</t>
        </is>
      </c>
      <c r="D194" s="0" t="inlineStr">
        <is>
          <t>NULL</t>
        </is>
      </c>
      <c r="E194" s="0" t="inlineStr">
        <is>
          <t>NULL</t>
        </is>
      </c>
      <c r="F194" s="0" t="inlineStr">
        <is>
          <t>NULL</t>
        </is>
      </c>
      <c r="G194" s="0" t="inlineStr">
        <is>
          <t>NULL</t>
        </is>
      </c>
      <c r="H194" s="0" t="inlineStr">
        <is>
          <t>NULL</t>
        </is>
      </c>
      <c r="I194" s="0" t="inlineStr">
        <is>
          <t>NULL</t>
        </is>
      </c>
      <c r="J194" s="0" t="inlineStr">
        <is>
          <t>NULL</t>
        </is>
      </c>
      <c r="K194" s="0" t="inlineStr">
        <is>
          <t>YES! 	 c_char20列源备映射正确，源端为char 20位	期望更改为char(n)	实际备端为char 80位</t>
        </is>
      </c>
    </row>
    <row r="195">
      <c r="B195" s="0" t="inlineStr">
        <is>
          <t>NULL</t>
        </is>
      </c>
      <c r="C195" s="0" t="inlineStr">
        <is>
          <t>NULL</t>
        </is>
      </c>
      <c r="D195" s="0" t="inlineStr">
        <is>
          <t>NULL</t>
        </is>
      </c>
      <c r="E195" s="0" t="inlineStr">
        <is>
          <t>NULL</t>
        </is>
      </c>
      <c r="F195" s="0" t="inlineStr">
        <is>
          <t>NULL</t>
        </is>
      </c>
      <c r="G195" s="0" t="inlineStr">
        <is>
          <t>NULL</t>
        </is>
      </c>
      <c r="H195" s="0" t="inlineStr">
        <is>
          <t>NULL</t>
        </is>
      </c>
      <c r="I195" s="0" t="inlineStr">
        <is>
          <t>NULL</t>
        </is>
      </c>
      <c r="J195" s="0" t="inlineStr">
        <is>
          <t>NULL</t>
        </is>
      </c>
      <c r="K195" s="0" t="inlineStr">
        <is>
          <t>YES! 	 c_char7000列源备映射正确，源端为char 7000位	期望更改为text	实际备端为text 65535位</t>
        </is>
      </c>
    </row>
    <row r="196">
      <c r="A196" s="0" t="inlineStr">
        <is>
          <t>info_hierarchyid_dml_single_pk_drp</t>
        </is>
      </c>
      <c r="K196" s="0" t="inlineStr">
        <is>
          <t>[0;34m info_hierarchyid_dml_single_pk_drp [0m源备字段数相同，源端字段：2 	备端字段2</t>
        </is>
      </c>
      <c r="W196" s="0" t="inlineStr">
        <is>
          <t>YES 源备无差异</t>
        </is>
      </c>
      <c r="X196" s="0">
        <f>A196</f>
        <v/>
      </c>
    </row>
    <row r="197">
      <c r="B197" s="0" t="inlineStr">
        <is>
          <t>YES</t>
        </is>
      </c>
      <c r="C197" s="0" t="inlineStr">
        <is>
          <t>NULL</t>
        </is>
      </c>
      <c r="D197" s="0" t="inlineStr">
        <is>
          <t>NULL</t>
        </is>
      </c>
      <c r="E197" s="0" t="inlineStr">
        <is>
          <t>NULL</t>
        </is>
      </c>
      <c r="F197" s="0" t="inlineStr">
        <is>
          <t>NULL</t>
        </is>
      </c>
      <c r="G197" s="0" t="inlineStr">
        <is>
          <t>NULL</t>
        </is>
      </c>
      <c r="H197" s="0" t="inlineStr">
        <is>
          <t>NULL</t>
        </is>
      </c>
      <c r="I197" s="0" t="inlineStr">
        <is>
          <t>YES!PK__info_hie__3213E83F1847B547</t>
        </is>
      </c>
      <c r="J197" s="0" t="inlineStr">
        <is>
          <t>YES! 主键相关索引</t>
        </is>
      </c>
      <c r="K197" s="0" t="inlineStr">
        <is>
          <t>YES! 	 id列源备映射正确，源端为int None位	期望更改为int	实际备端为int None位</t>
        </is>
      </c>
    </row>
    <row r="198">
      <c r="B198" s="0" t="inlineStr">
        <is>
          <t>NULL</t>
        </is>
      </c>
      <c r="C198" s="0" t="inlineStr">
        <is>
          <t>NULL</t>
        </is>
      </c>
      <c r="D198" s="0" t="inlineStr">
        <is>
          <t>NULL</t>
        </is>
      </c>
      <c r="E198" s="0" t="inlineStr">
        <is>
          <t>NULL</t>
        </is>
      </c>
      <c r="F198" s="0" t="inlineStr">
        <is>
          <t>NULL</t>
        </is>
      </c>
      <c r="G198" s="0" t="inlineStr">
        <is>
          <t>NULL</t>
        </is>
      </c>
      <c r="H198" s="0" t="inlineStr">
        <is>
          <t>NULL</t>
        </is>
      </c>
      <c r="I198" s="0" t="inlineStr">
        <is>
          <t>NULL</t>
        </is>
      </c>
      <c r="J198" s="0" t="inlineStr">
        <is>
          <t>NULL</t>
        </is>
      </c>
      <c r="K198" s="0" t="inlineStr">
        <is>
          <t>[0;32m YES! [0m 	 c_hierarchyid列源备映射正确，源端为hierarchyid 892位	期望更改为varchar(200)	实际备端为varchar 800位	位数精度不存在，通过长度比较</t>
        </is>
      </c>
    </row>
    <row r="199">
      <c r="A199" s="0" t="inlineStr">
        <is>
          <t>info_char_dml_batch1_pk_urp1</t>
        </is>
      </c>
      <c r="K199" s="0" t="inlineStr">
        <is>
          <t>[0;34m info_char_dml_batch1_pk_urp1 [0m源备字段数相同，源端字段：4 	备端字段4</t>
        </is>
      </c>
      <c r="W199" s="15">
        <f>HYPERLINK("#2026051816mysql2!AL2","NO 源备存在差异，共4个")</f>
        <v/>
      </c>
      <c r="X199" s="0">
        <f>A199</f>
        <v/>
      </c>
    </row>
    <row r="200">
      <c r="B200" s="0" t="inlineStr">
        <is>
          <t>YES</t>
        </is>
      </c>
      <c r="C200" s="0" t="inlineStr">
        <is>
          <t>NULL</t>
        </is>
      </c>
      <c r="D200" s="0" t="inlineStr">
        <is>
          <t>NULL</t>
        </is>
      </c>
      <c r="E200" s="0" t="inlineStr">
        <is>
          <t>NULL</t>
        </is>
      </c>
      <c r="F200" s="0" t="inlineStr">
        <is>
          <t>NULL</t>
        </is>
      </c>
      <c r="G200" s="0" t="inlineStr">
        <is>
          <t>NULL</t>
        </is>
      </c>
      <c r="H200" s="0" t="inlineStr">
        <is>
          <t>NULL</t>
        </is>
      </c>
      <c r="I200" s="0" t="inlineStr">
        <is>
          <t>YES!PK__info_cha__3213E83F919F0F13</t>
        </is>
      </c>
      <c r="J200" s="0" t="inlineStr">
        <is>
          <t>YES! 主键相关索引</t>
        </is>
      </c>
      <c r="K200" s="0" t="inlineStr">
        <is>
          <t>YES! 	 id列源备映射正确，源端为int None位	期望更改为int	实际备端为int None位</t>
        </is>
      </c>
    </row>
    <row r="201">
      <c r="B201" s="0" t="inlineStr">
        <is>
          <t>NULL</t>
        </is>
      </c>
      <c r="C201" s="0" t="inlineStr">
        <is>
          <t>NULL</t>
        </is>
      </c>
      <c r="D201" s="0" t="inlineStr">
        <is>
          <t>NULL</t>
        </is>
      </c>
      <c r="E201" s="0" t="inlineStr">
        <is>
          <t>NULL</t>
        </is>
      </c>
      <c r="F201" s="0" t="inlineStr">
        <is>
          <t>NULL</t>
        </is>
      </c>
      <c r="G201" s="0" t="inlineStr">
        <is>
          <t>NULL</t>
        </is>
      </c>
      <c r="H201" s="0" t="inlineStr">
        <is>
          <t>NULL</t>
        </is>
      </c>
      <c r="I201" s="0" t="inlineStr">
        <is>
          <t>NULL</t>
        </is>
      </c>
      <c r="J201" s="0" t="inlineStr">
        <is>
          <t>NULL</t>
        </is>
      </c>
      <c r="K201" s="0" t="inlineStr">
        <is>
          <t>YES! 	 c_char列源备映射正确，源端为char 1位	期望更改为char(n)	实际备端为char 4位</t>
        </is>
      </c>
    </row>
    <row r="202">
      <c r="B202" s="0" t="inlineStr">
        <is>
          <t>NULL</t>
        </is>
      </c>
      <c r="C202" s="0" t="inlineStr">
        <is>
          <t>NULL</t>
        </is>
      </c>
      <c r="D202" s="0" t="inlineStr">
        <is>
          <t>NULL</t>
        </is>
      </c>
      <c r="E202" s="0" t="inlineStr">
        <is>
          <t>NULL</t>
        </is>
      </c>
      <c r="F202" s="0" t="inlineStr">
        <is>
          <t>NULL</t>
        </is>
      </c>
      <c r="G202" s="0" t="inlineStr">
        <is>
          <t>NULL</t>
        </is>
      </c>
      <c r="H202" s="0" t="inlineStr">
        <is>
          <t>NULL</t>
        </is>
      </c>
      <c r="I202" s="0" t="inlineStr">
        <is>
          <t>NULL</t>
        </is>
      </c>
      <c r="J202" s="0" t="inlineStr">
        <is>
          <t>NULL</t>
        </is>
      </c>
      <c r="K202" s="0" t="inlineStr">
        <is>
          <t>YES! 	 c_char20列源备映射正确，源端为char 20位	期望更改为char(n)	实际备端为char 80位</t>
        </is>
      </c>
    </row>
    <row r="203">
      <c r="B203" s="0" t="inlineStr">
        <is>
          <t>NULL</t>
        </is>
      </c>
      <c r="C203" s="0" t="inlineStr">
        <is>
          <t>NULL</t>
        </is>
      </c>
      <c r="D203" s="0" t="inlineStr">
        <is>
          <t>NULL</t>
        </is>
      </c>
      <c r="E203" s="0" t="inlineStr">
        <is>
          <t>NULL</t>
        </is>
      </c>
      <c r="F203" s="0" t="inlineStr">
        <is>
          <t>NULL</t>
        </is>
      </c>
      <c r="G203" s="0" t="inlineStr">
        <is>
          <t>NULL</t>
        </is>
      </c>
      <c r="H203" s="0" t="inlineStr">
        <is>
          <t>NULL</t>
        </is>
      </c>
      <c r="I203" s="0" t="inlineStr">
        <is>
          <t>NULL</t>
        </is>
      </c>
      <c r="J203" s="0" t="inlineStr">
        <is>
          <t>NULL</t>
        </is>
      </c>
      <c r="K203" s="0" t="inlineStr">
        <is>
          <t>YES! 	 c_char7000列源备映射正确，源端为char 7000位	期望更改为text	实际备端为text 65535位</t>
        </is>
      </c>
    </row>
    <row r="204">
      <c r="A204" s="0" t="inlineStr">
        <is>
          <t>info_varchar_dml_single_nopk</t>
        </is>
      </c>
      <c r="K204" s="0" t="inlineStr">
        <is>
          <t>[0;34m info_varchar_dml_single_nopk [0m源备字段数相同，源端字段：4 	备端字段4</t>
        </is>
      </c>
      <c r="W204" s="0" t="inlineStr">
        <is>
          <t>YES 源备无差异</t>
        </is>
      </c>
      <c r="X204" s="0">
        <f>A204</f>
        <v/>
      </c>
    </row>
    <row r="205">
      <c r="B205" s="0" t="inlineStr">
        <is>
          <t>NULL</t>
        </is>
      </c>
      <c r="C205" s="0" t="inlineStr">
        <is>
          <t>NULL</t>
        </is>
      </c>
      <c r="D205" s="0" t="inlineStr">
        <is>
          <t>NULL</t>
        </is>
      </c>
      <c r="E205" s="0" t="inlineStr">
        <is>
          <t>NULL</t>
        </is>
      </c>
      <c r="F205" s="0" t="inlineStr">
        <is>
          <t>NULL</t>
        </is>
      </c>
      <c r="G205" s="0" t="inlineStr">
        <is>
          <t>NULL</t>
        </is>
      </c>
      <c r="H205" s="0" t="inlineStr">
        <is>
          <t>NULL</t>
        </is>
      </c>
      <c r="I205" s="0" t="inlineStr">
        <is>
          <t>NULL</t>
        </is>
      </c>
      <c r="J205" s="0" t="inlineStr">
        <is>
          <t>NULL</t>
        </is>
      </c>
      <c r="K205" s="0" t="inlineStr">
        <is>
          <t>YES! 	 id列源备映射正确，源端为int None位	期望更改为int	实际备端为int None位</t>
        </is>
      </c>
    </row>
    <row r="206">
      <c r="B206" s="0" t="inlineStr">
        <is>
          <t>NULL</t>
        </is>
      </c>
      <c r="C206" s="0" t="inlineStr">
        <is>
          <t>NULL</t>
        </is>
      </c>
      <c r="D206" s="0" t="inlineStr">
        <is>
          <t>NULL</t>
        </is>
      </c>
      <c r="E206" s="0" t="inlineStr">
        <is>
          <t>NULL</t>
        </is>
      </c>
      <c r="F206" s="0" t="inlineStr">
        <is>
          <t>NULL</t>
        </is>
      </c>
      <c r="G206" s="0" t="inlineStr">
        <is>
          <t>NULL</t>
        </is>
      </c>
      <c r="H206" s="0" t="inlineStr">
        <is>
          <t>NULL</t>
        </is>
      </c>
      <c r="I206" s="0" t="inlineStr">
        <is>
          <t>NULL</t>
        </is>
      </c>
      <c r="J206" s="0" t="inlineStr">
        <is>
          <t>NULL</t>
        </is>
      </c>
      <c r="K206" s="0" t="inlineStr">
        <is>
          <t>YES! 	 c_varchar列源备映射正确，源端为varchar 1位	期望更改为varchar(n)	实际备端为varchar 4位</t>
        </is>
      </c>
    </row>
    <row r="207">
      <c r="B207" s="0" t="inlineStr">
        <is>
          <t>NULL</t>
        </is>
      </c>
      <c r="C207" s="0" t="inlineStr">
        <is>
          <t>NULL</t>
        </is>
      </c>
      <c r="D207" s="0" t="inlineStr">
        <is>
          <t>NULL</t>
        </is>
      </c>
      <c r="E207" s="0" t="inlineStr">
        <is>
          <t>NULL</t>
        </is>
      </c>
      <c r="F207" s="0" t="inlineStr">
        <is>
          <t>NULL</t>
        </is>
      </c>
      <c r="G207" s="0" t="inlineStr">
        <is>
          <t>NULL</t>
        </is>
      </c>
      <c r="H207" s="0" t="inlineStr">
        <is>
          <t>NULL</t>
        </is>
      </c>
      <c r="I207" s="0" t="inlineStr">
        <is>
          <t>NULL</t>
        </is>
      </c>
      <c r="J207" s="0" t="inlineStr">
        <is>
          <t>NULL</t>
        </is>
      </c>
      <c r="K207" s="0" t="inlineStr">
        <is>
          <t>YES! 	 c_varchar50列源备映射正确，源端为varchar 50位	期望更改为varchar(n)	实际备端为varchar 200位</t>
        </is>
      </c>
    </row>
    <row r="208">
      <c r="B208" s="0" t="inlineStr">
        <is>
          <t>NULL</t>
        </is>
      </c>
      <c r="C208" s="0" t="inlineStr">
        <is>
          <t>NULL</t>
        </is>
      </c>
      <c r="D208" s="0" t="inlineStr">
        <is>
          <t>NULL</t>
        </is>
      </c>
      <c r="E208" s="0" t="inlineStr">
        <is>
          <t>NULL</t>
        </is>
      </c>
      <c r="F208" s="0" t="inlineStr">
        <is>
          <t>NULL</t>
        </is>
      </c>
      <c r="G208" s="0" t="inlineStr">
        <is>
          <t>NULL</t>
        </is>
      </c>
      <c r="H208" s="0" t="inlineStr">
        <is>
          <t>NULL</t>
        </is>
      </c>
      <c r="I208" s="0" t="inlineStr">
        <is>
          <t>NULL</t>
        </is>
      </c>
      <c r="J208" s="0" t="inlineStr">
        <is>
          <t>NULL</t>
        </is>
      </c>
      <c r="K208" s="0" t="inlineStr">
        <is>
          <t xml:space="preserve"> NO!  	 c_varchar8000列源备映射错误，源端为varchar 8000位	期望更改为longtext	实际备端为text 65535位</t>
        </is>
      </c>
    </row>
    <row r="209">
      <c r="A209" s="0" t="inlineStr">
        <is>
          <t>info_char_dml_single_pk</t>
        </is>
      </c>
      <c r="K209" s="0" t="inlineStr">
        <is>
          <t>[0;34m info_char_dml_single_pk [0m源备字段数相同，源端字段：4 	备端字段4</t>
        </is>
      </c>
      <c r="W209" s="15">
        <f>HYPERLINK("#2026051816mysql2!AM2","NO 源备存在差异，共4个")</f>
        <v/>
      </c>
      <c r="X209" s="0">
        <f>A209</f>
        <v/>
      </c>
    </row>
    <row r="210">
      <c r="B210" s="0" t="inlineStr">
        <is>
          <t>YES</t>
        </is>
      </c>
      <c r="C210" s="0" t="inlineStr">
        <is>
          <t>NULL</t>
        </is>
      </c>
      <c r="D210" s="0" t="inlineStr">
        <is>
          <t>NULL</t>
        </is>
      </c>
      <c r="E210" s="0" t="inlineStr">
        <is>
          <t>NULL</t>
        </is>
      </c>
      <c r="F210" s="0" t="inlineStr">
        <is>
          <t>NULL</t>
        </is>
      </c>
      <c r="G210" s="0" t="inlineStr">
        <is>
          <t>NULL</t>
        </is>
      </c>
      <c r="H210" s="0" t="inlineStr">
        <is>
          <t>NULL</t>
        </is>
      </c>
      <c r="I210" s="0" t="inlineStr">
        <is>
          <t>YES!PK__info_cha__3213E83FE0B552FC</t>
        </is>
      </c>
      <c r="J210" s="0" t="inlineStr">
        <is>
          <t>YES! 主键相关索引</t>
        </is>
      </c>
      <c r="K210" s="0" t="inlineStr">
        <is>
          <t>YES! 	 id列源备映射正确，源端为int None位	期望更改为int	实际备端为int None位</t>
        </is>
      </c>
    </row>
    <row r="211">
      <c r="B211" s="0" t="inlineStr">
        <is>
          <t>NULL</t>
        </is>
      </c>
      <c r="C211" s="0" t="inlineStr">
        <is>
          <t>NULL</t>
        </is>
      </c>
      <c r="D211" s="0" t="inlineStr">
        <is>
          <t>NULL</t>
        </is>
      </c>
      <c r="E211" s="0" t="inlineStr">
        <is>
          <t>NULL</t>
        </is>
      </c>
      <c r="F211" s="0" t="inlineStr">
        <is>
          <t>NULL</t>
        </is>
      </c>
      <c r="G211" s="0" t="inlineStr">
        <is>
          <t>NULL</t>
        </is>
      </c>
      <c r="H211" s="0" t="inlineStr">
        <is>
          <t>NULL</t>
        </is>
      </c>
      <c r="I211" s="0" t="inlineStr">
        <is>
          <t>NULL</t>
        </is>
      </c>
      <c r="J211" s="0" t="inlineStr">
        <is>
          <t>NULL</t>
        </is>
      </c>
      <c r="K211" s="0" t="inlineStr">
        <is>
          <t>YES! 	 c_char列源备映射正确，源端为char 1位	期望更改为char(n)	实际备端为char 4位</t>
        </is>
      </c>
    </row>
    <row r="212">
      <c r="B212" s="0" t="inlineStr">
        <is>
          <t>NULL</t>
        </is>
      </c>
      <c r="C212" s="0" t="inlineStr">
        <is>
          <t>NULL</t>
        </is>
      </c>
      <c r="D212" s="0" t="inlineStr">
        <is>
          <t>NULL</t>
        </is>
      </c>
      <c r="E212" s="0" t="inlineStr">
        <is>
          <t>NULL</t>
        </is>
      </c>
      <c r="F212" s="0" t="inlineStr">
        <is>
          <t>NULL</t>
        </is>
      </c>
      <c r="G212" s="0" t="inlineStr">
        <is>
          <t>NULL</t>
        </is>
      </c>
      <c r="H212" s="0" t="inlineStr">
        <is>
          <t>NULL</t>
        </is>
      </c>
      <c r="I212" s="0" t="inlineStr">
        <is>
          <t>NULL</t>
        </is>
      </c>
      <c r="J212" s="0" t="inlineStr">
        <is>
          <t>NULL</t>
        </is>
      </c>
      <c r="K212" s="0" t="inlineStr">
        <is>
          <t>YES! 	 c_char20列源备映射正确，源端为char 20位	期望更改为char(n)	实际备端为char 80位</t>
        </is>
      </c>
    </row>
    <row r="213">
      <c r="B213" s="0" t="inlineStr">
        <is>
          <t>NULL</t>
        </is>
      </c>
      <c r="C213" s="0" t="inlineStr">
        <is>
          <t>NULL</t>
        </is>
      </c>
      <c r="D213" s="0" t="inlineStr">
        <is>
          <t>NULL</t>
        </is>
      </c>
      <c r="E213" s="0" t="inlineStr">
        <is>
          <t>NULL</t>
        </is>
      </c>
      <c r="F213" s="0" t="inlineStr">
        <is>
          <t>NULL</t>
        </is>
      </c>
      <c r="G213" s="0" t="inlineStr">
        <is>
          <t>NULL</t>
        </is>
      </c>
      <c r="H213" s="0" t="inlineStr">
        <is>
          <t>NULL</t>
        </is>
      </c>
      <c r="I213" s="0" t="inlineStr">
        <is>
          <t>NULL</t>
        </is>
      </c>
      <c r="J213" s="0" t="inlineStr">
        <is>
          <t>NULL</t>
        </is>
      </c>
      <c r="K213" s="0" t="inlineStr">
        <is>
          <t>YES! 	 c_char7000列源备映射正确，源端为char 7000位	期望更改为text	实际备端为text 65535位</t>
        </is>
      </c>
    </row>
    <row r="214">
      <c r="A214" s="0" t="inlineStr">
        <is>
          <t>info_sdt_dml_batch1_pk_irp1</t>
        </is>
      </c>
      <c r="K214" s="0" t="inlineStr">
        <is>
          <t>[0;34m info_sdt_dml_batch1_pk_irp1 [0m源备字段数相同，源端字段：2 	备端字段2</t>
        </is>
      </c>
      <c r="W214" s="0" t="inlineStr">
        <is>
          <t>YES 源备无差异</t>
        </is>
      </c>
      <c r="X214" s="0">
        <f>A214</f>
        <v/>
      </c>
    </row>
    <row r="215">
      <c r="B215" s="0" t="inlineStr">
        <is>
          <t>YES</t>
        </is>
      </c>
      <c r="C215" s="0" t="inlineStr">
        <is>
          <t>NULL</t>
        </is>
      </c>
      <c r="D215" s="0" t="inlineStr">
        <is>
          <t>NULL</t>
        </is>
      </c>
      <c r="E215" s="0" t="inlineStr">
        <is>
          <t>NULL</t>
        </is>
      </c>
      <c r="F215" s="0" t="inlineStr">
        <is>
          <t>NULL</t>
        </is>
      </c>
      <c r="G215" s="0" t="inlineStr">
        <is>
          <t>NULL</t>
        </is>
      </c>
      <c r="H215" s="0" t="inlineStr">
        <is>
          <t>NULL</t>
        </is>
      </c>
      <c r="I215" s="0" t="inlineStr">
        <is>
          <t>YES!PK__info_sdt__3213E83F1B06488F</t>
        </is>
      </c>
      <c r="J215" s="0" t="inlineStr">
        <is>
          <t>YES! 主键相关索引</t>
        </is>
      </c>
      <c r="K215" s="0" t="inlineStr">
        <is>
          <t>YES! 	 id列源备映射正确，源端为int None位	期望更改为int	实际备端为int None位</t>
        </is>
      </c>
    </row>
    <row r="216">
      <c r="B216" s="0" t="inlineStr">
        <is>
          <t>NULL</t>
        </is>
      </c>
      <c r="C216" s="0" t="inlineStr">
        <is>
          <t>NULL</t>
        </is>
      </c>
      <c r="D216" s="0" t="inlineStr">
        <is>
          <t>NULL</t>
        </is>
      </c>
      <c r="E216" s="0" t="inlineStr">
        <is>
          <t>NULL</t>
        </is>
      </c>
      <c r="F216" s="0" t="inlineStr">
        <is>
          <t>NULL</t>
        </is>
      </c>
      <c r="G216" s="0" t="inlineStr">
        <is>
          <t>NULL</t>
        </is>
      </c>
      <c r="H216" s="0" t="inlineStr">
        <is>
          <t>NULL</t>
        </is>
      </c>
      <c r="I216" s="0" t="inlineStr">
        <is>
          <t>NULL</t>
        </is>
      </c>
      <c r="J216" s="0" t="inlineStr">
        <is>
          <t>NULL</t>
        </is>
      </c>
      <c r="K216" s="0" t="inlineStr">
        <is>
          <t>YES! 	 c_sdt列源备映射正确，源端为smalldatetime None位	期望更改为datetime	实际备端为datetime None位</t>
        </is>
      </c>
    </row>
    <row r="217">
      <c r="A217" s="0" t="inlineStr">
        <is>
          <t>info_char_dml_batch1_pk_urp2</t>
        </is>
      </c>
      <c r="K217" s="0" t="inlineStr">
        <is>
          <t>[0;34m info_char_dml_batch1_pk_urp2 [0m源备字段数相同，源端字段：4 	备端字段4</t>
        </is>
      </c>
      <c r="W217" s="15">
        <f>HYPERLINK("#2026051816mysql2!AN2","NO 源备存在差异，共4个")</f>
        <v/>
      </c>
      <c r="X217" s="0">
        <f>A217</f>
        <v/>
      </c>
    </row>
    <row r="218">
      <c r="B218" s="0" t="inlineStr">
        <is>
          <t>YES</t>
        </is>
      </c>
      <c r="C218" s="0" t="inlineStr">
        <is>
          <t>NULL</t>
        </is>
      </c>
      <c r="D218" s="0" t="inlineStr">
        <is>
          <t>NULL</t>
        </is>
      </c>
      <c r="E218" s="0" t="inlineStr">
        <is>
          <t>NULL</t>
        </is>
      </c>
      <c r="F218" s="0" t="inlineStr">
        <is>
          <t>NULL</t>
        </is>
      </c>
      <c r="G218" s="0" t="inlineStr">
        <is>
          <t>NULL</t>
        </is>
      </c>
      <c r="H218" s="0" t="inlineStr">
        <is>
          <t>NULL</t>
        </is>
      </c>
      <c r="I218" s="0" t="inlineStr">
        <is>
          <t>YES!PK__info_cha__3213E83FEA22634D</t>
        </is>
      </c>
      <c r="J218" s="0" t="inlineStr">
        <is>
          <t>YES! 主键相关索引</t>
        </is>
      </c>
      <c r="K218" s="0" t="inlineStr">
        <is>
          <t>YES! 	 id列源备映射正确，源端为int None位	期望更改为int	实际备端为int None位</t>
        </is>
      </c>
    </row>
    <row r="219">
      <c r="B219" s="0" t="inlineStr">
        <is>
          <t>NULL</t>
        </is>
      </c>
      <c r="C219" s="0" t="inlineStr">
        <is>
          <t>NULL</t>
        </is>
      </c>
      <c r="D219" s="0" t="inlineStr">
        <is>
          <t>NULL</t>
        </is>
      </c>
      <c r="E219" s="0" t="inlineStr">
        <is>
          <t>NULL</t>
        </is>
      </c>
      <c r="F219" s="0" t="inlineStr">
        <is>
          <t>NULL</t>
        </is>
      </c>
      <c r="G219" s="0" t="inlineStr">
        <is>
          <t>NULL</t>
        </is>
      </c>
      <c r="H219" s="0" t="inlineStr">
        <is>
          <t>NULL</t>
        </is>
      </c>
      <c r="I219" s="0" t="inlineStr">
        <is>
          <t>NULL</t>
        </is>
      </c>
      <c r="J219" s="0" t="inlineStr">
        <is>
          <t>NULL</t>
        </is>
      </c>
      <c r="K219" s="0" t="inlineStr">
        <is>
          <t>YES! 	 c_char列源备映射正确，源端为char 1位	期望更改为char(n)	实际备端为char 4位</t>
        </is>
      </c>
    </row>
    <row r="220">
      <c r="B220" s="0" t="inlineStr">
        <is>
          <t>NULL</t>
        </is>
      </c>
      <c r="C220" s="0" t="inlineStr">
        <is>
          <t>NULL</t>
        </is>
      </c>
      <c r="D220" s="0" t="inlineStr">
        <is>
          <t>NULL</t>
        </is>
      </c>
      <c r="E220" s="0" t="inlineStr">
        <is>
          <t>NULL</t>
        </is>
      </c>
      <c r="F220" s="0" t="inlineStr">
        <is>
          <t>NULL</t>
        </is>
      </c>
      <c r="G220" s="0" t="inlineStr">
        <is>
          <t>NULL</t>
        </is>
      </c>
      <c r="H220" s="0" t="inlineStr">
        <is>
          <t>NULL</t>
        </is>
      </c>
      <c r="I220" s="0" t="inlineStr">
        <is>
          <t>NULL</t>
        </is>
      </c>
      <c r="J220" s="0" t="inlineStr">
        <is>
          <t>NULL</t>
        </is>
      </c>
      <c r="K220" s="0" t="inlineStr">
        <is>
          <t>YES! 	 c_char20列源备映射正确，源端为char 20位	期望更改为char(n)	实际备端为char 80位</t>
        </is>
      </c>
    </row>
    <row r="221">
      <c r="B221" s="0" t="inlineStr">
        <is>
          <t>NULL</t>
        </is>
      </c>
      <c r="C221" s="0" t="inlineStr">
        <is>
          <t>NULL</t>
        </is>
      </c>
      <c r="D221" s="0" t="inlineStr">
        <is>
          <t>NULL</t>
        </is>
      </c>
      <c r="E221" s="0" t="inlineStr">
        <is>
          <t>NULL</t>
        </is>
      </c>
      <c r="F221" s="0" t="inlineStr">
        <is>
          <t>NULL</t>
        </is>
      </c>
      <c r="G221" s="0" t="inlineStr">
        <is>
          <t>NULL</t>
        </is>
      </c>
      <c r="H221" s="0" t="inlineStr">
        <is>
          <t>NULL</t>
        </is>
      </c>
      <c r="I221" s="0" t="inlineStr">
        <is>
          <t>NULL</t>
        </is>
      </c>
      <c r="J221" s="0" t="inlineStr">
        <is>
          <t>NULL</t>
        </is>
      </c>
      <c r="K221" s="0" t="inlineStr">
        <is>
          <t>YES! 	 c_char7000列源备映射正确，源端为char 7000位	期望更改为text	实际备端为text 65535位</t>
        </is>
      </c>
    </row>
    <row r="222">
      <c r="A222" s="0" t="inlineStr">
        <is>
          <t>info_hierarchyid_dml_single_pk</t>
        </is>
      </c>
      <c r="K222" s="0" t="inlineStr">
        <is>
          <t>[0;34m info_hierarchyid_dml_single_pk [0m源备字段数相同，源端字段：2 	备端字段2</t>
        </is>
      </c>
      <c r="W222" s="0" t="inlineStr">
        <is>
          <t>YES 源备无差异</t>
        </is>
      </c>
      <c r="X222" s="0">
        <f>A222</f>
        <v/>
      </c>
    </row>
    <row r="223">
      <c r="B223" s="0" t="inlineStr">
        <is>
          <t>YES</t>
        </is>
      </c>
      <c r="C223" s="0" t="inlineStr">
        <is>
          <t>NULL</t>
        </is>
      </c>
      <c r="D223" s="0" t="inlineStr">
        <is>
          <t>NULL</t>
        </is>
      </c>
      <c r="E223" s="0" t="inlineStr">
        <is>
          <t>NULL</t>
        </is>
      </c>
      <c r="F223" s="0" t="inlineStr">
        <is>
          <t>NULL</t>
        </is>
      </c>
      <c r="G223" s="0" t="inlineStr">
        <is>
          <t>NULL</t>
        </is>
      </c>
      <c r="H223" s="0" t="inlineStr">
        <is>
          <t>NULL</t>
        </is>
      </c>
      <c r="I223" s="0" t="inlineStr">
        <is>
          <t>YES!PK__info_hie__3213E83F2067C9E4</t>
        </is>
      </c>
      <c r="J223" s="0" t="inlineStr">
        <is>
          <t>YES! 主键相关索引</t>
        </is>
      </c>
      <c r="K223" s="0" t="inlineStr">
        <is>
          <t>YES! 	 id列源备映射正确，源端为int None位	期望更改为int	实际备端为int None位</t>
        </is>
      </c>
    </row>
    <row r="224">
      <c r="B224" s="0" t="inlineStr">
        <is>
          <t>NULL</t>
        </is>
      </c>
      <c r="C224" s="0" t="inlineStr">
        <is>
          <t>NULL</t>
        </is>
      </c>
      <c r="D224" s="0" t="inlineStr">
        <is>
          <t>NULL</t>
        </is>
      </c>
      <c r="E224" s="0" t="inlineStr">
        <is>
          <t>NULL</t>
        </is>
      </c>
      <c r="F224" s="0" t="inlineStr">
        <is>
          <t>NULL</t>
        </is>
      </c>
      <c r="G224" s="0" t="inlineStr">
        <is>
          <t>NULL</t>
        </is>
      </c>
      <c r="H224" s="0" t="inlineStr">
        <is>
          <t>NULL</t>
        </is>
      </c>
      <c r="I224" s="0" t="inlineStr">
        <is>
          <t>NULL</t>
        </is>
      </c>
      <c r="J224" s="0" t="inlineStr">
        <is>
          <t>NULL</t>
        </is>
      </c>
      <c r="K224" s="0" t="inlineStr">
        <is>
          <t>[0;32m YES! [0m 	 c_hierarchyid列源备映射正确，源端为hierarchyid 892位	期望更改为varchar(200)	实际备端为varchar 800位	位数精度不存在，通过长度比较</t>
        </is>
      </c>
    </row>
    <row r="225">
      <c r="A225" s="0" t="inlineStr">
        <is>
          <t>info_varchar_dml_single_pk_irp</t>
        </is>
      </c>
      <c r="K225" s="0" t="inlineStr">
        <is>
          <t>[0;34m info_varchar_dml_single_pk_irp [0m源备字段数相同，源端字段：4 	备端字段4</t>
        </is>
      </c>
      <c r="W225" s="0" t="inlineStr">
        <is>
          <t>YES 源备无差异</t>
        </is>
      </c>
      <c r="X225" s="0">
        <f>A225</f>
        <v/>
      </c>
    </row>
    <row r="226">
      <c r="B226" s="0" t="inlineStr">
        <is>
          <t>YES</t>
        </is>
      </c>
      <c r="C226" s="0" t="inlineStr">
        <is>
          <t>NULL</t>
        </is>
      </c>
      <c r="D226" s="0" t="inlineStr">
        <is>
          <t>NULL</t>
        </is>
      </c>
      <c r="E226" s="0" t="inlineStr">
        <is>
          <t>NULL</t>
        </is>
      </c>
      <c r="F226" s="0" t="inlineStr">
        <is>
          <t>NULL</t>
        </is>
      </c>
      <c r="G226" s="0" t="inlineStr">
        <is>
          <t>NULL</t>
        </is>
      </c>
      <c r="H226" s="0" t="inlineStr">
        <is>
          <t>NULL</t>
        </is>
      </c>
      <c r="I226" s="0" t="inlineStr">
        <is>
          <t>YES!PK__info_var__3213E83F6E448EB5</t>
        </is>
      </c>
      <c r="J226" s="0" t="inlineStr">
        <is>
          <t>YES! 主键相关索引</t>
        </is>
      </c>
      <c r="K226" s="0" t="inlineStr">
        <is>
          <t>YES! 	 id列源备映射正确，源端为int None位	期望更改为int	实际备端为int None位</t>
        </is>
      </c>
    </row>
    <row r="227">
      <c r="B227" s="0" t="inlineStr">
        <is>
          <t>NULL</t>
        </is>
      </c>
      <c r="C227" s="0" t="inlineStr">
        <is>
          <t>NULL</t>
        </is>
      </c>
      <c r="D227" s="0" t="inlineStr">
        <is>
          <t>NULL</t>
        </is>
      </c>
      <c r="E227" s="0" t="inlineStr">
        <is>
          <t>NULL</t>
        </is>
      </c>
      <c r="F227" s="0" t="inlineStr">
        <is>
          <t>NULL</t>
        </is>
      </c>
      <c r="G227" s="0" t="inlineStr">
        <is>
          <t>NULL</t>
        </is>
      </c>
      <c r="H227" s="0" t="inlineStr">
        <is>
          <t>NULL</t>
        </is>
      </c>
      <c r="I227" s="0" t="inlineStr">
        <is>
          <t>NULL</t>
        </is>
      </c>
      <c r="J227" s="0" t="inlineStr">
        <is>
          <t>NULL</t>
        </is>
      </c>
      <c r="K227" s="0" t="inlineStr">
        <is>
          <t>YES! 	 c_varchar列源备映射正确，源端为varchar 1位	期望更改为varchar(n)	实际备端为varchar 4位</t>
        </is>
      </c>
    </row>
    <row r="228">
      <c r="B228" s="0" t="inlineStr">
        <is>
          <t>NULL</t>
        </is>
      </c>
      <c r="C228" s="0" t="inlineStr">
        <is>
          <t>NULL</t>
        </is>
      </c>
      <c r="D228" s="0" t="inlineStr">
        <is>
          <t>NULL</t>
        </is>
      </c>
      <c r="E228" s="0" t="inlineStr">
        <is>
          <t>NULL</t>
        </is>
      </c>
      <c r="F228" s="0" t="inlineStr">
        <is>
          <t>NULL</t>
        </is>
      </c>
      <c r="G228" s="0" t="inlineStr">
        <is>
          <t>NULL</t>
        </is>
      </c>
      <c r="H228" s="0" t="inlineStr">
        <is>
          <t>NULL</t>
        </is>
      </c>
      <c r="I228" s="0" t="inlineStr">
        <is>
          <t>NULL</t>
        </is>
      </c>
      <c r="J228" s="0" t="inlineStr">
        <is>
          <t>NULL</t>
        </is>
      </c>
      <c r="K228" s="0" t="inlineStr">
        <is>
          <t>YES! 	 c_varchar50列源备映射正确，源端为varchar 50位	期望更改为varchar(n)	实际备端为varchar 200位</t>
        </is>
      </c>
    </row>
    <row r="229">
      <c r="B229" s="0" t="inlineStr">
        <is>
          <t>NULL</t>
        </is>
      </c>
      <c r="C229" s="0" t="inlineStr">
        <is>
          <t>NULL</t>
        </is>
      </c>
      <c r="D229" s="0" t="inlineStr">
        <is>
          <t>NULL</t>
        </is>
      </c>
      <c r="E229" s="0" t="inlineStr">
        <is>
          <t>NULL</t>
        </is>
      </c>
      <c r="F229" s="0" t="inlineStr">
        <is>
          <t>NULL</t>
        </is>
      </c>
      <c r="G229" s="0" t="inlineStr">
        <is>
          <t>NULL</t>
        </is>
      </c>
      <c r="H229" s="0" t="inlineStr">
        <is>
          <t>NULL</t>
        </is>
      </c>
      <c r="I229" s="0" t="inlineStr">
        <is>
          <t>NULL</t>
        </is>
      </c>
      <c r="J229" s="0" t="inlineStr">
        <is>
          <t>NULL</t>
        </is>
      </c>
      <c r="K229" s="0" t="inlineStr">
        <is>
          <t xml:space="preserve"> NO!  	 c_varchar8000列源备映射错误，源端为varchar 8000位	期望更改为longtext	实际备端为text 65535位</t>
        </is>
      </c>
    </row>
    <row r="230">
      <c r="A230" s="0" t="inlineStr">
        <is>
          <t>info_nchar_dml_single_nopk_irp</t>
        </is>
      </c>
      <c r="K230" s="0" t="inlineStr">
        <is>
          <t>[0;34m info_nchar_dml_single_nopk_irp [0m源备字段数相同，源端字段：4 	备端字段4</t>
        </is>
      </c>
      <c r="W230" s="15">
        <f>HYPERLINK("#2026051816mysql2!AO2","NO 源备存在差异，共20个")</f>
        <v/>
      </c>
      <c r="X230" s="0">
        <f>A230</f>
        <v/>
      </c>
    </row>
    <row r="231">
      <c r="B231" s="0" t="inlineStr">
        <is>
          <t>NULL</t>
        </is>
      </c>
      <c r="C231" s="0" t="inlineStr">
        <is>
          <t>NULL</t>
        </is>
      </c>
      <c r="D231" s="0" t="inlineStr">
        <is>
          <t>NULL</t>
        </is>
      </c>
      <c r="E231" s="0" t="inlineStr">
        <is>
          <t>NULL</t>
        </is>
      </c>
      <c r="F231" s="0" t="inlineStr">
        <is>
          <t>NULL</t>
        </is>
      </c>
      <c r="G231" s="0" t="inlineStr">
        <is>
          <t>NULL</t>
        </is>
      </c>
      <c r="H231" s="0" t="inlineStr">
        <is>
          <t>NULL</t>
        </is>
      </c>
      <c r="I231" s="0" t="inlineStr">
        <is>
          <t>NULL</t>
        </is>
      </c>
      <c r="J231" s="0" t="inlineStr">
        <is>
          <t>NULL</t>
        </is>
      </c>
      <c r="K231" s="0" t="inlineStr">
        <is>
          <t>YES! 	 id列源备映射正确，源端为int None位	期望更改为int	实际备端为int None位</t>
        </is>
      </c>
    </row>
    <row r="232">
      <c r="B232" s="0" t="inlineStr">
        <is>
          <t>NULL</t>
        </is>
      </c>
      <c r="C232" s="0" t="inlineStr">
        <is>
          <t>NULL</t>
        </is>
      </c>
      <c r="D232" s="0" t="inlineStr">
        <is>
          <t>NULL</t>
        </is>
      </c>
      <c r="E232" s="0" t="inlineStr">
        <is>
          <t>NULL</t>
        </is>
      </c>
      <c r="F232" s="0" t="inlineStr">
        <is>
          <t>NULL</t>
        </is>
      </c>
      <c r="G232" s="0" t="inlineStr">
        <is>
          <t>NULL</t>
        </is>
      </c>
      <c r="H232" s="0" t="inlineStr">
        <is>
          <t>NULL</t>
        </is>
      </c>
      <c r="I232" s="0" t="inlineStr">
        <is>
          <t>NULL</t>
        </is>
      </c>
      <c r="J232" s="0" t="inlineStr">
        <is>
          <t>NULL</t>
        </is>
      </c>
      <c r="K232" s="0" t="inlineStr">
        <is>
          <t>YES! 	 c_nchar列源备映射正确，源端为nchar 2位	期望更改为char(n)	实际备端为char 4位</t>
        </is>
      </c>
    </row>
    <row r="233">
      <c r="B233" s="0" t="inlineStr">
        <is>
          <t>NULL</t>
        </is>
      </c>
      <c r="C233" s="0" t="inlineStr">
        <is>
          <t>NULL</t>
        </is>
      </c>
      <c r="D233" s="0" t="inlineStr">
        <is>
          <t>NULL</t>
        </is>
      </c>
      <c r="E233" s="0" t="inlineStr">
        <is>
          <t>NULL</t>
        </is>
      </c>
      <c r="F233" s="0" t="inlineStr">
        <is>
          <t>NULL</t>
        </is>
      </c>
      <c r="G233" s="0" t="inlineStr">
        <is>
          <t>NULL</t>
        </is>
      </c>
      <c r="H233" s="0" t="inlineStr">
        <is>
          <t>NULL</t>
        </is>
      </c>
      <c r="I233" s="0" t="inlineStr">
        <is>
          <t>NULL</t>
        </is>
      </c>
      <c r="J233" s="0" t="inlineStr">
        <is>
          <t>NULL</t>
        </is>
      </c>
      <c r="K233" s="0" t="inlineStr">
        <is>
          <t>YES! 	 c_nchar20列源备映射正确，源端为nchar 40位	期望更改为char(n)	实际备端为char 80位</t>
        </is>
      </c>
    </row>
    <row r="234">
      <c r="B234" s="0" t="inlineStr">
        <is>
          <t>NULL</t>
        </is>
      </c>
      <c r="C234" s="0" t="inlineStr">
        <is>
          <t>NULL</t>
        </is>
      </c>
      <c r="D234" s="0" t="inlineStr">
        <is>
          <t>NULL</t>
        </is>
      </c>
      <c r="E234" s="0" t="inlineStr">
        <is>
          <t>NULL</t>
        </is>
      </c>
      <c r="F234" s="0" t="inlineStr">
        <is>
          <t>NULL</t>
        </is>
      </c>
      <c r="G234" s="0" t="inlineStr">
        <is>
          <t>NULL</t>
        </is>
      </c>
      <c r="H234" s="0" t="inlineStr">
        <is>
          <t>NULL</t>
        </is>
      </c>
      <c r="I234" s="0" t="inlineStr">
        <is>
          <t>NULL</t>
        </is>
      </c>
      <c r="J234" s="0" t="inlineStr">
        <is>
          <t>NULL</t>
        </is>
      </c>
      <c r="K234" s="0" t="inlineStr">
        <is>
          <t>YES! 	 c_nchar4000列源备映射正确，源端为nchar 8000位	期望更改为text	实际备端为text 65535位</t>
        </is>
      </c>
    </row>
    <row r="235">
      <c r="A235" s="0" t="inlineStr">
        <is>
          <t>info_char_dml_batch1_pk_drp1</t>
        </is>
      </c>
      <c r="K235" s="0" t="inlineStr">
        <is>
          <t>[0;34m info_char_dml_batch1_pk_drp1 [0m源备字段数相同，源端字段：4 	备端字段4</t>
        </is>
      </c>
      <c r="W235" s="0" t="inlineStr">
        <is>
          <t>YES 源备无差异</t>
        </is>
      </c>
      <c r="X235" s="0">
        <f>A235</f>
        <v/>
      </c>
    </row>
    <row r="236">
      <c r="B236" s="0" t="inlineStr">
        <is>
          <t>YES</t>
        </is>
      </c>
      <c r="C236" s="0" t="inlineStr">
        <is>
          <t>NULL</t>
        </is>
      </c>
      <c r="D236" s="0" t="inlineStr">
        <is>
          <t>NULL</t>
        </is>
      </c>
      <c r="E236" s="0" t="inlineStr">
        <is>
          <t>NULL</t>
        </is>
      </c>
      <c r="F236" s="0" t="inlineStr">
        <is>
          <t>NULL</t>
        </is>
      </c>
      <c r="G236" s="0" t="inlineStr">
        <is>
          <t>NULL</t>
        </is>
      </c>
      <c r="H236" s="0" t="inlineStr">
        <is>
          <t>NULL</t>
        </is>
      </c>
      <c r="I236" s="0" t="inlineStr">
        <is>
          <t>YES!PK__info_cha__3213E83F784E87B3</t>
        </is>
      </c>
      <c r="J236" s="0" t="inlineStr">
        <is>
          <t>YES! 主键相关索引</t>
        </is>
      </c>
      <c r="K236" s="0" t="inlineStr">
        <is>
          <t>YES! 	 id列源备映射正确，源端为int None位	期望更改为int	实际备端为int None位</t>
        </is>
      </c>
    </row>
    <row r="237">
      <c r="B237" s="0" t="inlineStr">
        <is>
          <t>NULL</t>
        </is>
      </c>
      <c r="C237" s="0" t="inlineStr">
        <is>
          <t>NULL</t>
        </is>
      </c>
      <c r="D237" s="0" t="inlineStr">
        <is>
          <t>NULL</t>
        </is>
      </c>
      <c r="E237" s="0" t="inlineStr">
        <is>
          <t>NULL</t>
        </is>
      </c>
      <c r="F237" s="0" t="inlineStr">
        <is>
          <t>NULL</t>
        </is>
      </c>
      <c r="G237" s="0" t="inlineStr">
        <is>
          <t>NULL</t>
        </is>
      </c>
      <c r="H237" s="0" t="inlineStr">
        <is>
          <t>NULL</t>
        </is>
      </c>
      <c r="I237" s="0" t="inlineStr">
        <is>
          <t>NULL</t>
        </is>
      </c>
      <c r="J237" s="0" t="inlineStr">
        <is>
          <t>NULL</t>
        </is>
      </c>
      <c r="K237" s="0" t="inlineStr">
        <is>
          <t>YES! 	 c_char列源备映射正确，源端为char 1位	期望更改为char(n)	实际备端为char 4位</t>
        </is>
      </c>
    </row>
    <row r="238">
      <c r="B238" s="0" t="inlineStr">
        <is>
          <t>NULL</t>
        </is>
      </c>
      <c r="C238" s="0" t="inlineStr">
        <is>
          <t>NULL</t>
        </is>
      </c>
      <c r="D238" s="0" t="inlineStr">
        <is>
          <t>NULL</t>
        </is>
      </c>
      <c r="E238" s="0" t="inlineStr">
        <is>
          <t>NULL</t>
        </is>
      </c>
      <c r="F238" s="0" t="inlineStr">
        <is>
          <t>NULL</t>
        </is>
      </c>
      <c r="G238" s="0" t="inlineStr">
        <is>
          <t>NULL</t>
        </is>
      </c>
      <c r="H238" s="0" t="inlineStr">
        <is>
          <t>NULL</t>
        </is>
      </c>
      <c r="I238" s="0" t="inlineStr">
        <is>
          <t>NULL</t>
        </is>
      </c>
      <c r="J238" s="0" t="inlineStr">
        <is>
          <t>NULL</t>
        </is>
      </c>
      <c r="K238" s="0" t="inlineStr">
        <is>
          <t>YES! 	 c_char20列源备映射正确，源端为char 20位	期望更改为char(n)	实际备端为char 80位</t>
        </is>
      </c>
    </row>
    <row r="239">
      <c r="B239" s="0" t="inlineStr">
        <is>
          <t>NULL</t>
        </is>
      </c>
      <c r="C239" s="0" t="inlineStr">
        <is>
          <t>NULL</t>
        </is>
      </c>
      <c r="D239" s="0" t="inlineStr">
        <is>
          <t>NULL</t>
        </is>
      </c>
      <c r="E239" s="0" t="inlineStr">
        <is>
          <t>NULL</t>
        </is>
      </c>
      <c r="F239" s="0" t="inlineStr">
        <is>
          <t>NULL</t>
        </is>
      </c>
      <c r="G239" s="0" t="inlineStr">
        <is>
          <t>NULL</t>
        </is>
      </c>
      <c r="H239" s="0" t="inlineStr">
        <is>
          <t>NULL</t>
        </is>
      </c>
      <c r="I239" s="0" t="inlineStr">
        <is>
          <t>NULL</t>
        </is>
      </c>
      <c r="J239" s="0" t="inlineStr">
        <is>
          <t>NULL</t>
        </is>
      </c>
      <c r="K239" s="0" t="inlineStr">
        <is>
          <t>YES! 	 c_char7000列源备映射正确，源端为char 7000位	期望更改为text	实际备端为text 65535位</t>
        </is>
      </c>
    </row>
    <row r="240">
      <c r="K240" s="0" t="inlineStr">
        <is>
          <t>~ 空表</t>
        </is>
      </c>
    </row>
    <row r="241">
      <c r="A241" s="0" t="inlineStr">
        <is>
          <t>info_sdt_dml_batch1_pk_irp2</t>
        </is>
      </c>
      <c r="K241" s="0" t="inlineStr">
        <is>
          <t>[0;34m info_sdt_dml_batch1_pk_irp2 [0m源备字段数相同，源端字段：2 	备端字段2</t>
        </is>
      </c>
      <c r="W241" s="0" t="inlineStr">
        <is>
          <t>YES 源备无差异</t>
        </is>
      </c>
      <c r="X241" s="0">
        <f>A241</f>
        <v/>
      </c>
    </row>
    <row r="242">
      <c r="B242" s="0" t="inlineStr">
        <is>
          <t>YES</t>
        </is>
      </c>
      <c r="C242" s="0" t="inlineStr">
        <is>
          <t>NULL</t>
        </is>
      </c>
      <c r="D242" s="0" t="inlineStr">
        <is>
          <t>NULL</t>
        </is>
      </c>
      <c r="E242" s="0" t="inlineStr">
        <is>
          <t>NULL</t>
        </is>
      </c>
      <c r="F242" s="0" t="inlineStr">
        <is>
          <t>NULL</t>
        </is>
      </c>
      <c r="G242" s="0" t="inlineStr">
        <is>
          <t>NULL</t>
        </is>
      </c>
      <c r="H242" s="0" t="inlineStr">
        <is>
          <t>NULL</t>
        </is>
      </c>
      <c r="I242" s="0" t="inlineStr">
        <is>
          <t>YES!PK__info_sdt__3213E83F0A3BD479</t>
        </is>
      </c>
      <c r="J242" s="0" t="inlineStr">
        <is>
          <t>YES! 主键相关索引</t>
        </is>
      </c>
      <c r="K242" s="0" t="inlineStr">
        <is>
          <t>YES! 	 id列源备映射正确，源端为int None位	期望更改为int	实际备端为int None位</t>
        </is>
      </c>
    </row>
    <row r="243">
      <c r="B243" s="0" t="inlineStr">
        <is>
          <t>NULL</t>
        </is>
      </c>
      <c r="C243" s="0" t="inlineStr">
        <is>
          <t>NULL</t>
        </is>
      </c>
      <c r="D243" s="0" t="inlineStr">
        <is>
          <t>NULL</t>
        </is>
      </c>
      <c r="E243" s="0" t="inlineStr">
        <is>
          <t>NULL</t>
        </is>
      </c>
      <c r="F243" s="0" t="inlineStr">
        <is>
          <t>NULL</t>
        </is>
      </c>
      <c r="G243" s="0" t="inlineStr">
        <is>
          <t>NULL</t>
        </is>
      </c>
      <c r="H243" s="0" t="inlineStr">
        <is>
          <t>NULL</t>
        </is>
      </c>
      <c r="I243" s="0" t="inlineStr">
        <is>
          <t>NULL</t>
        </is>
      </c>
      <c r="J243" s="0" t="inlineStr">
        <is>
          <t>NULL</t>
        </is>
      </c>
      <c r="K243" s="0" t="inlineStr">
        <is>
          <t>YES! 	 c_sdt列源备映射正确，源端为smalldatetime None位	期望更改为datetime	实际备端为datetime None位</t>
        </is>
      </c>
    </row>
    <row r="244">
      <c r="A244" s="0" t="inlineStr">
        <is>
          <t>info_int_dml_single_pk_irp</t>
        </is>
      </c>
      <c r="K244" s="0" t="inlineStr">
        <is>
          <t>[0;34m info_int_dml_single_pk_irp [0m源备字段数相同，源端字段：20 	备端字段20</t>
        </is>
      </c>
      <c r="W244" s="15">
        <f>HYPERLINK("#2026051816mysql2!AP2","NO 源备存在差异，共2个")</f>
        <v/>
      </c>
      <c r="X244" s="0">
        <f>A244</f>
        <v/>
      </c>
    </row>
    <row r="245">
      <c r="B245" s="0" t="inlineStr">
        <is>
          <t>YES</t>
        </is>
      </c>
      <c r="C245" s="0" t="inlineStr">
        <is>
          <t>NULL</t>
        </is>
      </c>
      <c r="D245" s="0" t="inlineStr">
        <is>
          <t>NULL</t>
        </is>
      </c>
      <c r="E245" s="0" t="inlineStr">
        <is>
          <t>NULL</t>
        </is>
      </c>
      <c r="F245" s="0" t="inlineStr">
        <is>
          <t>NULL</t>
        </is>
      </c>
      <c r="G245" s="0" t="inlineStr">
        <is>
          <t>NULL</t>
        </is>
      </c>
      <c r="H245" s="0" t="inlineStr">
        <is>
          <t>NULL</t>
        </is>
      </c>
      <c r="I245" s="0" t="inlineStr">
        <is>
          <t>YES!PK__info_int__3213E83FB01EAE8E</t>
        </is>
      </c>
      <c r="J245" s="0" t="inlineStr">
        <is>
          <t>YES! 主键相关索引</t>
        </is>
      </c>
      <c r="K245" s="0" t="inlineStr">
        <is>
          <t>YES! 	 id列源备映射正确，源端为int None位	期望更改为int	实际备端为int None位</t>
        </is>
      </c>
    </row>
    <row r="246">
      <c r="B246" s="0" t="inlineStr">
        <is>
          <t>NULL</t>
        </is>
      </c>
      <c r="C246" s="0" t="inlineStr">
        <is>
          <t>NULL</t>
        </is>
      </c>
      <c r="D246" s="0" t="inlineStr">
        <is>
          <t>NULL</t>
        </is>
      </c>
      <c r="E246" s="0" t="inlineStr">
        <is>
          <t>NULL</t>
        </is>
      </c>
      <c r="F246" s="0" t="inlineStr">
        <is>
          <t>NULL</t>
        </is>
      </c>
      <c r="G246" s="0" t="inlineStr">
        <is>
          <t>NULL</t>
        </is>
      </c>
      <c r="H246" s="0" t="inlineStr">
        <is>
          <t>NULL</t>
        </is>
      </c>
      <c r="I246" s="0" t="inlineStr">
        <is>
          <t>NULL</t>
        </is>
      </c>
      <c r="J246" s="0" t="inlineStr">
        <is>
          <t>NULL</t>
        </is>
      </c>
      <c r="K246" s="0" t="inlineStr">
        <is>
          <t>YES! 	 c_tinyint列源备映射正确，源端为tinyint None位	期望更改为tinyint	实际备端为tinyint None位</t>
        </is>
      </c>
    </row>
    <row r="247">
      <c r="B247" s="0" t="inlineStr">
        <is>
          <t>NULL</t>
        </is>
      </c>
      <c r="C247" s="0" t="inlineStr">
        <is>
          <t>NULL</t>
        </is>
      </c>
      <c r="D247" s="0" t="inlineStr">
        <is>
          <t>NULL</t>
        </is>
      </c>
      <c r="E247" s="0" t="inlineStr">
        <is>
          <t>NULL</t>
        </is>
      </c>
      <c r="F247" s="0" t="inlineStr">
        <is>
          <t>NULL</t>
        </is>
      </c>
      <c r="G247" s="0" t="inlineStr">
        <is>
          <t>NULL</t>
        </is>
      </c>
      <c r="H247" s="0" t="inlineStr">
        <is>
          <t>NULL</t>
        </is>
      </c>
      <c r="I247" s="0" t="inlineStr">
        <is>
          <t>NULL</t>
        </is>
      </c>
      <c r="J247" s="0" t="inlineStr">
        <is>
          <t>NULL</t>
        </is>
      </c>
      <c r="K247" s="0" t="inlineStr">
        <is>
          <t>YES! 	 c_smallint列源备映射正确，源端为smallint None位	期望更改为smallint	实际备端为smallint None位</t>
        </is>
      </c>
    </row>
    <row r="248">
      <c r="B248" s="0" t="inlineStr">
        <is>
          <t>NULL</t>
        </is>
      </c>
      <c r="C248" s="0" t="inlineStr">
        <is>
          <t>NULL</t>
        </is>
      </c>
      <c r="D248" s="0" t="inlineStr">
        <is>
          <t>NULL</t>
        </is>
      </c>
      <c r="E248" s="0" t="inlineStr">
        <is>
          <t>NULL</t>
        </is>
      </c>
      <c r="F248" s="0" t="inlineStr">
        <is>
          <t>NULL</t>
        </is>
      </c>
      <c r="G248" s="0" t="inlineStr">
        <is>
          <t>NULL</t>
        </is>
      </c>
      <c r="H248" s="0" t="inlineStr">
        <is>
          <t>NULL</t>
        </is>
      </c>
      <c r="I248" s="0" t="inlineStr">
        <is>
          <t>NULL</t>
        </is>
      </c>
      <c r="J248" s="0" t="inlineStr">
        <is>
          <t>NULL</t>
        </is>
      </c>
      <c r="K248" s="0" t="inlineStr">
        <is>
          <t>YES! 	 c_int列源备映射正确，源端为int None位	期望更改为int	实际备端为int None位</t>
        </is>
      </c>
    </row>
    <row r="249">
      <c r="B249" s="0" t="inlineStr">
        <is>
          <t>NULL</t>
        </is>
      </c>
      <c r="C249" s="0" t="inlineStr">
        <is>
          <t>NULL</t>
        </is>
      </c>
      <c r="D249" s="0" t="inlineStr">
        <is>
          <t>NULL</t>
        </is>
      </c>
      <c r="E249" s="0" t="inlineStr">
        <is>
          <t>NULL</t>
        </is>
      </c>
      <c r="F249" s="0" t="inlineStr">
        <is>
          <t>NULL</t>
        </is>
      </c>
      <c r="G249" s="0" t="inlineStr">
        <is>
          <t>NULL</t>
        </is>
      </c>
      <c r="H249" s="0" t="inlineStr">
        <is>
          <t>NULL</t>
        </is>
      </c>
      <c r="I249" s="0" t="inlineStr">
        <is>
          <t>NULL</t>
        </is>
      </c>
      <c r="J249" s="0" t="inlineStr">
        <is>
          <t>NULL</t>
        </is>
      </c>
      <c r="K249" s="0" t="inlineStr">
        <is>
          <t>YES! 	 c_bigint列源备映射正确，源端为bigint None位	期望更改为bigint	实际备端为bigint None位</t>
        </is>
      </c>
    </row>
    <row r="250">
      <c r="B250" s="0" t="inlineStr">
        <is>
          <t>NULL</t>
        </is>
      </c>
      <c r="C250" s="0" t="inlineStr">
        <is>
          <t>NULL</t>
        </is>
      </c>
      <c r="D250" s="0" t="inlineStr">
        <is>
          <t>NULL</t>
        </is>
      </c>
      <c r="E250" s="0" t="inlineStr">
        <is>
          <t>NULL</t>
        </is>
      </c>
      <c r="F250" s="0" t="inlineStr">
        <is>
          <t>NULL</t>
        </is>
      </c>
      <c r="G250" s="0" t="inlineStr">
        <is>
          <t>NULL</t>
        </is>
      </c>
      <c r="H250" s="0" t="inlineStr">
        <is>
          <t>NULL</t>
        </is>
      </c>
      <c r="I250" s="0" t="inlineStr">
        <is>
          <t>NULL</t>
        </is>
      </c>
      <c r="J250" s="0" t="inlineStr">
        <is>
          <t>NULL</t>
        </is>
      </c>
      <c r="K250" s="0" t="inlineStr">
        <is>
          <t>YES! 	 c_decimal列源备映射正确，源端为decimal None位	期望更改为decimal(p,s)	实际备端为decimal None位</t>
        </is>
      </c>
    </row>
    <row r="251">
      <c r="B251" s="0" t="inlineStr">
        <is>
          <t>NULL</t>
        </is>
      </c>
      <c r="C251" s="0" t="inlineStr">
        <is>
          <t>NULL</t>
        </is>
      </c>
      <c r="D251" s="0" t="inlineStr">
        <is>
          <t>NULL</t>
        </is>
      </c>
      <c r="E251" s="0" t="inlineStr">
        <is>
          <t>NULL</t>
        </is>
      </c>
      <c r="F251" s="0" t="inlineStr">
        <is>
          <t>NULL</t>
        </is>
      </c>
      <c r="G251" s="0" t="inlineStr">
        <is>
          <t>NULL</t>
        </is>
      </c>
      <c r="H251" s="0" t="inlineStr">
        <is>
          <t>NULL</t>
        </is>
      </c>
      <c r="I251" s="0" t="inlineStr">
        <is>
          <t>NULL</t>
        </is>
      </c>
      <c r="J251" s="0" t="inlineStr">
        <is>
          <t>NULL</t>
        </is>
      </c>
      <c r="K251" s="0" t="inlineStr">
        <is>
          <t>YES! 	 c_decimal38列源备映射正确，源端为decimal None位	期望更改为decimal(p,s)	实际备端为decimal None位</t>
        </is>
      </c>
    </row>
    <row r="252">
      <c r="B252" s="0" t="inlineStr">
        <is>
          <t>NULL</t>
        </is>
      </c>
      <c r="C252" s="0" t="inlineStr">
        <is>
          <t>NULL</t>
        </is>
      </c>
      <c r="D252" s="0" t="inlineStr">
        <is>
          <t>NULL</t>
        </is>
      </c>
      <c r="E252" s="0" t="inlineStr">
        <is>
          <t>NULL</t>
        </is>
      </c>
      <c r="F252" s="0" t="inlineStr">
        <is>
          <t>NULL</t>
        </is>
      </c>
      <c r="G252" s="0" t="inlineStr">
        <is>
          <t>NULL</t>
        </is>
      </c>
      <c r="H252" s="0" t="inlineStr">
        <is>
          <t>NULL</t>
        </is>
      </c>
      <c r="I252" s="0" t="inlineStr">
        <is>
          <t>NULL</t>
        </is>
      </c>
      <c r="J252" s="0" t="inlineStr">
        <is>
          <t>NULL</t>
        </is>
      </c>
      <c r="K252" s="0" t="inlineStr">
        <is>
          <t xml:space="preserve"> NO!  	 c_decimal38_38列源备映射错误，源端为decimal None位	期望更改为decimal(p,s)	实际备端为varchar 168位</t>
        </is>
      </c>
    </row>
    <row r="253">
      <c r="B253" s="0" t="inlineStr">
        <is>
          <t>NULL</t>
        </is>
      </c>
      <c r="C253" s="0" t="inlineStr">
        <is>
          <t>NULL</t>
        </is>
      </c>
      <c r="D253" s="0" t="inlineStr">
        <is>
          <t>NULL</t>
        </is>
      </c>
      <c r="E253" s="0" t="inlineStr">
        <is>
          <t>NULL</t>
        </is>
      </c>
      <c r="F253" s="0" t="inlineStr">
        <is>
          <t>NULL</t>
        </is>
      </c>
      <c r="G253" s="0" t="inlineStr">
        <is>
          <t>NULL</t>
        </is>
      </c>
      <c r="H253" s="0" t="inlineStr">
        <is>
          <t>NULL</t>
        </is>
      </c>
      <c r="I253" s="0" t="inlineStr">
        <is>
          <t>NULL</t>
        </is>
      </c>
      <c r="J253" s="0" t="inlineStr">
        <is>
          <t>NULL</t>
        </is>
      </c>
      <c r="K253" s="0" t="inlineStr">
        <is>
          <t>YES! 	 c_decimal38_10列源备映射正确，源端为decimal None位	期望更改为decimal(p,s)	实际备端为decimal None位</t>
        </is>
      </c>
    </row>
    <row r="254">
      <c r="B254" s="0" t="inlineStr">
        <is>
          <t>NULL</t>
        </is>
      </c>
      <c r="C254" s="0" t="inlineStr">
        <is>
          <t>NULL</t>
        </is>
      </c>
      <c r="D254" s="0" t="inlineStr">
        <is>
          <t>NULL</t>
        </is>
      </c>
      <c r="E254" s="0" t="inlineStr">
        <is>
          <t>NULL</t>
        </is>
      </c>
      <c r="F254" s="0" t="inlineStr">
        <is>
          <t>NULL</t>
        </is>
      </c>
      <c r="G254" s="0" t="inlineStr">
        <is>
          <t>NULL</t>
        </is>
      </c>
      <c r="H254" s="0" t="inlineStr">
        <is>
          <t>NULL</t>
        </is>
      </c>
      <c r="I254" s="0" t="inlineStr">
        <is>
          <t>NULL</t>
        </is>
      </c>
      <c r="J254" s="0" t="inlineStr">
        <is>
          <t>NULL</t>
        </is>
      </c>
      <c r="K254" s="0" t="inlineStr">
        <is>
          <t>YES! 	 c_decimal19_4列源备映射正确，源端为decimal None位	期望更改为decimal(p,s)	实际备端为decimal None位</t>
        </is>
      </c>
    </row>
    <row r="255">
      <c r="B255" s="0" t="inlineStr">
        <is>
          <t>NULL</t>
        </is>
      </c>
      <c r="C255" s="0" t="inlineStr">
        <is>
          <t>NULL</t>
        </is>
      </c>
      <c r="D255" s="0" t="inlineStr">
        <is>
          <t>NULL</t>
        </is>
      </c>
      <c r="E255" s="0" t="inlineStr">
        <is>
          <t>NULL</t>
        </is>
      </c>
      <c r="F255" s="0" t="inlineStr">
        <is>
          <t>NULL</t>
        </is>
      </c>
      <c r="G255" s="0" t="inlineStr">
        <is>
          <t>NULL</t>
        </is>
      </c>
      <c r="H255" s="0" t="inlineStr">
        <is>
          <t>NULL</t>
        </is>
      </c>
      <c r="I255" s="0" t="inlineStr">
        <is>
          <t>NULL</t>
        </is>
      </c>
      <c r="J255" s="0" t="inlineStr">
        <is>
          <t>NULL</t>
        </is>
      </c>
      <c r="K255" s="0" t="inlineStr">
        <is>
          <t>YES! 	 c_numeric列源备映射正确，源端为numeric None位	期望更改为decimal(p,s)	实际备端为decimal None位</t>
        </is>
      </c>
    </row>
    <row r="256">
      <c r="B256" s="0" t="inlineStr">
        <is>
          <t>NULL</t>
        </is>
      </c>
      <c r="C256" s="0" t="inlineStr">
        <is>
          <t>NULL</t>
        </is>
      </c>
      <c r="D256" s="0" t="inlineStr">
        <is>
          <t>NULL</t>
        </is>
      </c>
      <c r="E256" s="0" t="inlineStr">
        <is>
          <t>NULL</t>
        </is>
      </c>
      <c r="F256" s="0" t="inlineStr">
        <is>
          <t>NULL</t>
        </is>
      </c>
      <c r="G256" s="0" t="inlineStr">
        <is>
          <t>NULL</t>
        </is>
      </c>
      <c r="H256" s="0" t="inlineStr">
        <is>
          <t>NULL</t>
        </is>
      </c>
      <c r="I256" s="0" t="inlineStr">
        <is>
          <t>NULL</t>
        </is>
      </c>
      <c r="J256" s="0" t="inlineStr">
        <is>
          <t>NULL</t>
        </is>
      </c>
      <c r="K256" s="0" t="inlineStr">
        <is>
          <t>YES! 	 c_numeric38列源备映射正确，源端为numeric None位	期望更改为decimal(p,s)	实际备端为decimal None位</t>
        </is>
      </c>
    </row>
    <row r="257">
      <c r="B257" s="0" t="inlineStr">
        <is>
          <t>NULL</t>
        </is>
      </c>
      <c r="C257" s="0" t="inlineStr">
        <is>
          <t>NULL</t>
        </is>
      </c>
      <c r="D257" s="0" t="inlineStr">
        <is>
          <t>NULL</t>
        </is>
      </c>
      <c r="E257" s="0" t="inlineStr">
        <is>
          <t>NULL</t>
        </is>
      </c>
      <c r="F257" s="0" t="inlineStr">
        <is>
          <t>NULL</t>
        </is>
      </c>
      <c r="G257" s="0" t="inlineStr">
        <is>
          <t>NULL</t>
        </is>
      </c>
      <c r="H257" s="0" t="inlineStr">
        <is>
          <t>NULL</t>
        </is>
      </c>
      <c r="I257" s="0" t="inlineStr">
        <is>
          <t>NULL</t>
        </is>
      </c>
      <c r="J257" s="0" t="inlineStr">
        <is>
          <t>NULL</t>
        </is>
      </c>
      <c r="K257" s="0" t="inlineStr">
        <is>
          <t xml:space="preserve"> NO!  	 c_numeric38_38列源备映射错误，源端为numeric None位	期望更改为decimal(p,s)	实际备端为varchar 168位</t>
        </is>
      </c>
    </row>
    <row r="258">
      <c r="B258" s="0" t="inlineStr">
        <is>
          <t>NULL</t>
        </is>
      </c>
      <c r="C258" s="0" t="inlineStr">
        <is>
          <t>NULL</t>
        </is>
      </c>
      <c r="D258" s="0" t="inlineStr">
        <is>
          <t>NULL</t>
        </is>
      </c>
      <c r="E258" s="0" t="inlineStr">
        <is>
          <t>NULL</t>
        </is>
      </c>
      <c r="F258" s="0" t="inlineStr">
        <is>
          <t>NULL</t>
        </is>
      </c>
      <c r="G258" s="0" t="inlineStr">
        <is>
          <t>NULL</t>
        </is>
      </c>
      <c r="H258" s="0" t="inlineStr">
        <is>
          <t>NULL</t>
        </is>
      </c>
      <c r="I258" s="0" t="inlineStr">
        <is>
          <t>NULL</t>
        </is>
      </c>
      <c r="J258" s="0" t="inlineStr">
        <is>
          <t>NULL</t>
        </is>
      </c>
      <c r="K258" s="0" t="inlineStr">
        <is>
          <t>YES! 	 c_numeric38_10列源备映射正确，源端为numeric None位	期望更改为decimal(p,s)	实际备端为decimal None位</t>
        </is>
      </c>
    </row>
    <row r="259">
      <c r="B259" s="0" t="inlineStr">
        <is>
          <t>NULL</t>
        </is>
      </c>
      <c r="C259" s="0" t="inlineStr">
        <is>
          <t>NULL</t>
        </is>
      </c>
      <c r="D259" s="0" t="inlineStr">
        <is>
          <t>NULL</t>
        </is>
      </c>
      <c r="E259" s="0" t="inlineStr">
        <is>
          <t>NULL</t>
        </is>
      </c>
      <c r="F259" s="0" t="inlineStr">
        <is>
          <t>NULL</t>
        </is>
      </c>
      <c r="G259" s="0" t="inlineStr">
        <is>
          <t>NULL</t>
        </is>
      </c>
      <c r="H259" s="0" t="inlineStr">
        <is>
          <t>NULL</t>
        </is>
      </c>
      <c r="I259" s="0" t="inlineStr">
        <is>
          <t>NULL</t>
        </is>
      </c>
      <c r="J259" s="0" t="inlineStr">
        <is>
          <t>NULL</t>
        </is>
      </c>
      <c r="K259" s="0" t="inlineStr">
        <is>
          <t>YES! 	 c_numeric18_2列源备映射正确，源端为numeric None位	期望更改为decimal(p,s)	实际备端为decimal None位</t>
        </is>
      </c>
    </row>
    <row r="260">
      <c r="B260" s="0" t="inlineStr">
        <is>
          <t>NULL</t>
        </is>
      </c>
      <c r="C260" s="0" t="inlineStr">
        <is>
          <t>NULL</t>
        </is>
      </c>
      <c r="D260" s="0" t="inlineStr">
        <is>
          <t>NULL</t>
        </is>
      </c>
      <c r="E260" s="0" t="inlineStr">
        <is>
          <t>NULL</t>
        </is>
      </c>
      <c r="F260" s="0" t="inlineStr">
        <is>
          <t>NULL</t>
        </is>
      </c>
      <c r="G260" s="0" t="inlineStr">
        <is>
          <t>NULL</t>
        </is>
      </c>
      <c r="H260" s="0" t="inlineStr">
        <is>
          <t>NULL</t>
        </is>
      </c>
      <c r="I260" s="0" t="inlineStr">
        <is>
          <t>NULL</t>
        </is>
      </c>
      <c r="J260" s="0" t="inlineStr">
        <is>
          <t>NULL</t>
        </is>
      </c>
      <c r="K260" s="0" t="inlineStr">
        <is>
          <t>YES! 	 c_float列源备映射正确，源端为float None位	期望更改为double	实际备端为double None位</t>
        </is>
      </c>
    </row>
    <row r="261">
      <c r="B261" s="0" t="inlineStr">
        <is>
          <t>NULL</t>
        </is>
      </c>
      <c r="C261" s="0" t="inlineStr">
        <is>
          <t>NULL</t>
        </is>
      </c>
      <c r="D261" s="0" t="inlineStr">
        <is>
          <t>NULL</t>
        </is>
      </c>
      <c r="E261" s="0" t="inlineStr">
        <is>
          <t>NULL</t>
        </is>
      </c>
      <c r="F261" s="0" t="inlineStr">
        <is>
          <t>NULL</t>
        </is>
      </c>
      <c r="G261" s="0" t="inlineStr">
        <is>
          <t>NULL</t>
        </is>
      </c>
      <c r="H261" s="0" t="inlineStr">
        <is>
          <t>NULL</t>
        </is>
      </c>
      <c r="I261" s="0" t="inlineStr">
        <is>
          <t>NULL</t>
        </is>
      </c>
      <c r="J261" s="0" t="inlineStr">
        <is>
          <t>NULL</t>
        </is>
      </c>
      <c r="K261" s="0" t="inlineStr">
        <is>
          <t>YES! 	 c_real列源备映射正确，源端为real None位	期望更改为double	实际备端为double None位</t>
        </is>
      </c>
    </row>
    <row r="262">
      <c r="B262" s="0" t="inlineStr">
        <is>
          <t>NULL</t>
        </is>
      </c>
      <c r="C262" s="0" t="inlineStr">
        <is>
          <t>NULL</t>
        </is>
      </c>
      <c r="D262" s="0" t="inlineStr">
        <is>
          <t>NULL</t>
        </is>
      </c>
      <c r="E262" s="0" t="inlineStr">
        <is>
          <t>NULL</t>
        </is>
      </c>
      <c r="F262" s="0" t="inlineStr">
        <is>
          <t>NULL</t>
        </is>
      </c>
      <c r="G262" s="0" t="inlineStr">
        <is>
          <t>NULL</t>
        </is>
      </c>
      <c r="H262" s="0" t="inlineStr">
        <is>
          <t>NULL</t>
        </is>
      </c>
      <c r="I262" s="0" t="inlineStr">
        <is>
          <t>NULL</t>
        </is>
      </c>
      <c r="J262" s="0" t="inlineStr">
        <is>
          <t>NULL</t>
        </is>
      </c>
      <c r="K262" s="0" t="inlineStr">
        <is>
          <t>YES! 	 c_money列源备映射正确，源端为money None位	期望更改为decimal(19,4)	实际备端为decimal None位</t>
        </is>
      </c>
    </row>
    <row r="263">
      <c r="B263" s="0" t="inlineStr">
        <is>
          <t>NULL</t>
        </is>
      </c>
      <c r="C263" s="0" t="inlineStr">
        <is>
          <t>NULL</t>
        </is>
      </c>
      <c r="D263" s="0" t="inlineStr">
        <is>
          <t>NULL</t>
        </is>
      </c>
      <c r="E263" s="0" t="inlineStr">
        <is>
          <t>NULL</t>
        </is>
      </c>
      <c r="F263" s="0" t="inlineStr">
        <is>
          <t>NULL</t>
        </is>
      </c>
      <c r="G263" s="0" t="inlineStr">
        <is>
          <t>NULL</t>
        </is>
      </c>
      <c r="H263" s="0" t="inlineStr">
        <is>
          <t>NULL</t>
        </is>
      </c>
      <c r="I263" s="0" t="inlineStr">
        <is>
          <t>NULL</t>
        </is>
      </c>
      <c r="J263" s="0" t="inlineStr">
        <is>
          <t>NULL</t>
        </is>
      </c>
      <c r="K263" s="0" t="inlineStr">
        <is>
          <t>YES! 	 c_smallmoney列源备映射正确，源端为smallmoney None位	期望更改为decimal(10,4)	实际备端为decimal None位</t>
        </is>
      </c>
    </row>
    <row r="264">
      <c r="B264" s="0" t="inlineStr">
        <is>
          <t>NULL</t>
        </is>
      </c>
      <c r="C264" s="0" t="inlineStr">
        <is>
          <t>NULL</t>
        </is>
      </c>
      <c r="D264" s="0" t="inlineStr">
        <is>
          <t>NULL</t>
        </is>
      </c>
      <c r="E264" s="0" t="inlineStr">
        <is>
          <t>NULL</t>
        </is>
      </c>
      <c r="F264" s="0" t="inlineStr">
        <is>
          <t>NULL</t>
        </is>
      </c>
      <c r="G264" s="0" t="inlineStr">
        <is>
          <t>NULL</t>
        </is>
      </c>
      <c r="H264" s="0" t="inlineStr">
        <is>
          <t>NULL</t>
        </is>
      </c>
      <c r="I264" s="0" t="inlineStr">
        <is>
          <t>NULL</t>
        </is>
      </c>
      <c r="J264" s="0" t="inlineStr">
        <is>
          <t>NULL</t>
        </is>
      </c>
      <c r="K264" s="0" t="inlineStr">
        <is>
          <t>YES! 	 c_bit列源备映射正确，源端为bit None位	期望更改为tinyint(1) 	实际备端为tinyint None位</t>
        </is>
      </c>
    </row>
    <row r="265">
      <c r="A265" s="0" t="inlineStr">
        <is>
          <t>info_sdt_dml_batch2_pk_irp1</t>
        </is>
      </c>
      <c r="K265" s="0" t="inlineStr">
        <is>
          <t>[0;34m info_sdt_dml_batch2_pk_irp1 [0m源备字段数相同，源端字段：2 	备端字段2</t>
        </is>
      </c>
      <c r="W265" s="0" t="inlineStr">
        <is>
          <t>YES 源备无差异</t>
        </is>
      </c>
      <c r="X265" s="0">
        <f>A265</f>
        <v/>
      </c>
    </row>
    <row r="266">
      <c r="B266" s="0" t="inlineStr">
        <is>
          <t>YES</t>
        </is>
      </c>
      <c r="C266" s="0" t="inlineStr">
        <is>
          <t>NULL</t>
        </is>
      </c>
      <c r="D266" s="0" t="inlineStr">
        <is>
          <t>NULL</t>
        </is>
      </c>
      <c r="E266" s="0" t="inlineStr">
        <is>
          <t>NULL</t>
        </is>
      </c>
      <c r="F266" s="0" t="inlineStr">
        <is>
          <t>NULL</t>
        </is>
      </c>
      <c r="G266" s="0" t="inlineStr">
        <is>
          <t>NULL</t>
        </is>
      </c>
      <c r="H266" s="0" t="inlineStr">
        <is>
          <t>NULL</t>
        </is>
      </c>
      <c r="I266" s="0" t="inlineStr">
        <is>
          <t>YES!PK__info_sdt__3213E83F3D82C417</t>
        </is>
      </c>
      <c r="J266" s="0" t="inlineStr">
        <is>
          <t>YES! 主键相关索引</t>
        </is>
      </c>
      <c r="K266" s="0" t="inlineStr">
        <is>
          <t>YES! 	 id列源备映射正确，源端为int None位	期望更改为int	实际备端为int None位</t>
        </is>
      </c>
    </row>
    <row r="267">
      <c r="B267" s="0" t="inlineStr">
        <is>
          <t>NULL</t>
        </is>
      </c>
      <c r="C267" s="0" t="inlineStr">
        <is>
          <t>NULL</t>
        </is>
      </c>
      <c r="D267" s="0" t="inlineStr">
        <is>
          <t>NULL</t>
        </is>
      </c>
      <c r="E267" s="0" t="inlineStr">
        <is>
          <t>NULL</t>
        </is>
      </c>
      <c r="F267" s="0" t="inlineStr">
        <is>
          <t>NULL</t>
        </is>
      </c>
      <c r="G267" s="0" t="inlineStr">
        <is>
          <t>NULL</t>
        </is>
      </c>
      <c r="H267" s="0" t="inlineStr">
        <is>
          <t>NULL</t>
        </is>
      </c>
      <c r="I267" s="0" t="inlineStr">
        <is>
          <t>NULL</t>
        </is>
      </c>
      <c r="J267" s="0" t="inlineStr">
        <is>
          <t>NULL</t>
        </is>
      </c>
      <c r="K267" s="0" t="inlineStr">
        <is>
          <t>YES! 	 c_sdt列源备映射正确，源端为smalldatetime None位	期望更改为datetime	实际备端为datetime None位</t>
        </is>
      </c>
    </row>
    <row r="268">
      <c r="A268" s="0" t="inlineStr">
        <is>
          <t>info_varchar_dml_single_pk_urp</t>
        </is>
      </c>
      <c r="K268" s="0" t="inlineStr">
        <is>
          <t>[0;34m info_varchar_dml_single_pk_urp [0m源备字段数相同，源端字段：4 	备端字段4</t>
        </is>
      </c>
      <c r="W268" s="0" t="inlineStr">
        <is>
          <t>YES 源备无差异</t>
        </is>
      </c>
      <c r="X268" s="0">
        <f>A268</f>
        <v/>
      </c>
    </row>
    <row r="269">
      <c r="B269" s="0" t="inlineStr">
        <is>
          <t>YES</t>
        </is>
      </c>
      <c r="C269" s="0" t="inlineStr">
        <is>
          <t>NULL</t>
        </is>
      </c>
      <c r="D269" s="0" t="inlineStr">
        <is>
          <t>NULL</t>
        </is>
      </c>
      <c r="E269" s="0" t="inlineStr">
        <is>
          <t>NULL</t>
        </is>
      </c>
      <c r="F269" s="0" t="inlineStr">
        <is>
          <t>NULL</t>
        </is>
      </c>
      <c r="G269" s="0" t="inlineStr">
        <is>
          <t>NULL</t>
        </is>
      </c>
      <c r="H269" s="0" t="inlineStr">
        <is>
          <t>NULL</t>
        </is>
      </c>
      <c r="I269" s="0" t="inlineStr">
        <is>
          <t>YES!PK__info_var__3213E83F339AEA58</t>
        </is>
      </c>
      <c r="J269" s="0" t="inlineStr">
        <is>
          <t>YES! 主键相关索引</t>
        </is>
      </c>
      <c r="K269" s="0" t="inlineStr">
        <is>
          <t>YES! 	 id列源备映射正确，源端为int None位	期望更改为int	实际备端为int None位</t>
        </is>
      </c>
    </row>
    <row r="270">
      <c r="B270" s="0" t="inlineStr">
        <is>
          <t>NULL</t>
        </is>
      </c>
      <c r="C270" s="0" t="inlineStr">
        <is>
          <t>NULL</t>
        </is>
      </c>
      <c r="D270" s="0" t="inlineStr">
        <is>
          <t>NULL</t>
        </is>
      </c>
      <c r="E270" s="0" t="inlineStr">
        <is>
          <t>NULL</t>
        </is>
      </c>
      <c r="F270" s="0" t="inlineStr">
        <is>
          <t>NULL</t>
        </is>
      </c>
      <c r="G270" s="0" t="inlineStr">
        <is>
          <t>NULL</t>
        </is>
      </c>
      <c r="H270" s="0" t="inlineStr">
        <is>
          <t>NULL</t>
        </is>
      </c>
      <c r="I270" s="0" t="inlineStr">
        <is>
          <t>NULL</t>
        </is>
      </c>
      <c r="J270" s="0" t="inlineStr">
        <is>
          <t>NULL</t>
        </is>
      </c>
      <c r="K270" s="0" t="inlineStr">
        <is>
          <t>YES! 	 c_varchar列源备映射正确，源端为varchar 1位	期望更改为varchar(n)	实际备端为varchar 4位</t>
        </is>
      </c>
    </row>
    <row r="271">
      <c r="B271" s="0" t="inlineStr">
        <is>
          <t>NULL</t>
        </is>
      </c>
      <c r="C271" s="0" t="inlineStr">
        <is>
          <t>NULL</t>
        </is>
      </c>
      <c r="D271" s="0" t="inlineStr">
        <is>
          <t>NULL</t>
        </is>
      </c>
      <c r="E271" s="0" t="inlineStr">
        <is>
          <t>NULL</t>
        </is>
      </c>
      <c r="F271" s="0" t="inlineStr">
        <is>
          <t>NULL</t>
        </is>
      </c>
      <c r="G271" s="0" t="inlineStr">
        <is>
          <t>NULL</t>
        </is>
      </c>
      <c r="H271" s="0" t="inlineStr">
        <is>
          <t>NULL</t>
        </is>
      </c>
      <c r="I271" s="0" t="inlineStr">
        <is>
          <t>NULL</t>
        </is>
      </c>
      <c r="J271" s="0" t="inlineStr">
        <is>
          <t>NULL</t>
        </is>
      </c>
      <c r="K271" s="0" t="inlineStr">
        <is>
          <t>YES! 	 c_varchar50列源备映射正确，源端为varchar 50位	期望更改为varchar(n)	实际备端为varchar 200位</t>
        </is>
      </c>
    </row>
    <row r="272">
      <c r="B272" s="0" t="inlineStr">
        <is>
          <t>NULL</t>
        </is>
      </c>
      <c r="C272" s="0" t="inlineStr">
        <is>
          <t>NULL</t>
        </is>
      </c>
      <c r="D272" s="0" t="inlineStr">
        <is>
          <t>NULL</t>
        </is>
      </c>
      <c r="E272" s="0" t="inlineStr">
        <is>
          <t>NULL</t>
        </is>
      </c>
      <c r="F272" s="0" t="inlineStr">
        <is>
          <t>NULL</t>
        </is>
      </c>
      <c r="G272" s="0" t="inlineStr">
        <is>
          <t>NULL</t>
        </is>
      </c>
      <c r="H272" s="0" t="inlineStr">
        <is>
          <t>NULL</t>
        </is>
      </c>
      <c r="I272" s="0" t="inlineStr">
        <is>
          <t>NULL</t>
        </is>
      </c>
      <c r="J272" s="0" t="inlineStr">
        <is>
          <t>NULL</t>
        </is>
      </c>
      <c r="K272" s="0" t="inlineStr">
        <is>
          <t xml:space="preserve"> NO!  	 c_varchar8000列源备映射错误，源端为varchar 8000位	期望更改为longtext	实际备端为text 65535位</t>
        </is>
      </c>
    </row>
    <row r="273">
      <c r="A273" s="0" t="inlineStr">
        <is>
          <t>info_char_dml_batch1_pk_drp2</t>
        </is>
      </c>
      <c r="K273" s="0" t="inlineStr">
        <is>
          <t>[0;34m info_char_dml_batch1_pk_drp2 [0m源备字段数相同，源端字段：4 	备端字段4</t>
        </is>
      </c>
      <c r="W273" s="0" t="inlineStr">
        <is>
          <t>YES 源备无差异</t>
        </is>
      </c>
      <c r="X273" s="0">
        <f>A273</f>
        <v/>
      </c>
    </row>
    <row r="274">
      <c r="B274" s="0" t="inlineStr">
        <is>
          <t>YES</t>
        </is>
      </c>
      <c r="C274" s="0" t="inlineStr">
        <is>
          <t>NULL</t>
        </is>
      </c>
      <c r="D274" s="0" t="inlineStr">
        <is>
          <t>NULL</t>
        </is>
      </c>
      <c r="E274" s="0" t="inlineStr">
        <is>
          <t>NULL</t>
        </is>
      </c>
      <c r="F274" s="0" t="inlineStr">
        <is>
          <t>NULL</t>
        </is>
      </c>
      <c r="G274" s="0" t="inlineStr">
        <is>
          <t>NULL</t>
        </is>
      </c>
      <c r="H274" s="0" t="inlineStr">
        <is>
          <t>NULL</t>
        </is>
      </c>
      <c r="I274" s="0" t="inlineStr">
        <is>
          <t>YES!PK__info_cha__3213E83FE351DA10</t>
        </is>
      </c>
      <c r="J274" s="0" t="inlineStr">
        <is>
          <t>YES! 主键相关索引</t>
        </is>
      </c>
      <c r="K274" s="0" t="inlineStr">
        <is>
          <t>YES! 	 id列源备映射正确，源端为int None位	期望更改为int	实际备端为int None位</t>
        </is>
      </c>
    </row>
    <row r="275">
      <c r="B275" s="0" t="inlineStr">
        <is>
          <t>NULL</t>
        </is>
      </c>
      <c r="C275" s="0" t="inlineStr">
        <is>
          <t>NULL</t>
        </is>
      </c>
      <c r="D275" s="0" t="inlineStr">
        <is>
          <t>NULL</t>
        </is>
      </c>
      <c r="E275" s="0" t="inlineStr">
        <is>
          <t>NULL</t>
        </is>
      </c>
      <c r="F275" s="0" t="inlineStr">
        <is>
          <t>NULL</t>
        </is>
      </c>
      <c r="G275" s="0" t="inlineStr">
        <is>
          <t>NULL</t>
        </is>
      </c>
      <c r="H275" s="0" t="inlineStr">
        <is>
          <t>NULL</t>
        </is>
      </c>
      <c r="I275" s="0" t="inlineStr">
        <is>
          <t>NULL</t>
        </is>
      </c>
      <c r="J275" s="0" t="inlineStr">
        <is>
          <t>NULL</t>
        </is>
      </c>
      <c r="K275" s="0" t="inlineStr">
        <is>
          <t>YES! 	 c_char列源备映射正确，源端为char 1位	期望更改为char(n)	实际备端为char 4位</t>
        </is>
      </c>
    </row>
    <row r="276">
      <c r="B276" s="0" t="inlineStr">
        <is>
          <t>NULL</t>
        </is>
      </c>
      <c r="C276" s="0" t="inlineStr">
        <is>
          <t>NULL</t>
        </is>
      </c>
      <c r="D276" s="0" t="inlineStr">
        <is>
          <t>NULL</t>
        </is>
      </c>
      <c r="E276" s="0" t="inlineStr">
        <is>
          <t>NULL</t>
        </is>
      </c>
      <c r="F276" s="0" t="inlineStr">
        <is>
          <t>NULL</t>
        </is>
      </c>
      <c r="G276" s="0" t="inlineStr">
        <is>
          <t>NULL</t>
        </is>
      </c>
      <c r="H276" s="0" t="inlineStr">
        <is>
          <t>NULL</t>
        </is>
      </c>
      <c r="I276" s="0" t="inlineStr">
        <is>
          <t>NULL</t>
        </is>
      </c>
      <c r="J276" s="0" t="inlineStr">
        <is>
          <t>NULL</t>
        </is>
      </c>
      <c r="K276" s="0" t="inlineStr">
        <is>
          <t>YES! 	 c_char20列源备映射正确，源端为char 20位	期望更改为char(n)	实际备端为char 80位</t>
        </is>
      </c>
    </row>
    <row r="277">
      <c r="B277" s="0" t="inlineStr">
        <is>
          <t>NULL</t>
        </is>
      </c>
      <c r="C277" s="0" t="inlineStr">
        <is>
          <t>NULL</t>
        </is>
      </c>
      <c r="D277" s="0" t="inlineStr">
        <is>
          <t>NULL</t>
        </is>
      </c>
      <c r="E277" s="0" t="inlineStr">
        <is>
          <t>NULL</t>
        </is>
      </c>
      <c r="F277" s="0" t="inlineStr">
        <is>
          <t>NULL</t>
        </is>
      </c>
      <c r="G277" s="0" t="inlineStr">
        <is>
          <t>NULL</t>
        </is>
      </c>
      <c r="H277" s="0" t="inlineStr">
        <is>
          <t>NULL</t>
        </is>
      </c>
      <c r="I277" s="0" t="inlineStr">
        <is>
          <t>NULL</t>
        </is>
      </c>
      <c r="J277" s="0" t="inlineStr">
        <is>
          <t>NULL</t>
        </is>
      </c>
      <c r="K277" s="0" t="inlineStr">
        <is>
          <t>YES! 	 c_char7000列源备映射正确，源端为char 7000位	期望更改为text	实际备端为text 65535位</t>
        </is>
      </c>
    </row>
    <row r="278">
      <c r="A278" s="0" t="inlineStr">
        <is>
          <t>info_int_dml_single_pk_urp</t>
        </is>
      </c>
      <c r="K278" s="0" t="inlineStr">
        <is>
          <t>[0;34m info_int_dml_single_pk_urp [0m源备字段数相同，源端字段：20 	备端字段20</t>
        </is>
      </c>
      <c r="W278" s="15">
        <f>HYPERLINK("#2026051816mysql2!AQ2","NO 源备存在差异，共2个")</f>
        <v/>
      </c>
      <c r="X278" s="0">
        <f>A278</f>
        <v/>
      </c>
    </row>
    <row r="279">
      <c r="B279" s="0" t="inlineStr">
        <is>
          <t>YES</t>
        </is>
      </c>
      <c r="C279" s="0" t="inlineStr">
        <is>
          <t>NULL</t>
        </is>
      </c>
      <c r="D279" s="0" t="inlineStr">
        <is>
          <t>NULL</t>
        </is>
      </c>
      <c r="E279" s="0" t="inlineStr">
        <is>
          <t>NULL</t>
        </is>
      </c>
      <c r="F279" s="0" t="inlineStr">
        <is>
          <t>NULL</t>
        </is>
      </c>
      <c r="G279" s="0" t="inlineStr">
        <is>
          <t>NULL</t>
        </is>
      </c>
      <c r="H279" s="0" t="inlineStr">
        <is>
          <t>NULL</t>
        </is>
      </c>
      <c r="I279" s="0" t="inlineStr">
        <is>
          <t>YES!PK__info_int__3213E83FF3C9ADF2</t>
        </is>
      </c>
      <c r="J279" s="0" t="inlineStr">
        <is>
          <t>YES! 主键相关索引</t>
        </is>
      </c>
      <c r="K279" s="0" t="inlineStr">
        <is>
          <t>YES! 	 id列源备映射正确，源端为int None位	期望更改为int	实际备端为int None位</t>
        </is>
      </c>
    </row>
    <row r="280">
      <c r="B280" s="0" t="inlineStr">
        <is>
          <t>NULL</t>
        </is>
      </c>
      <c r="C280" s="0" t="inlineStr">
        <is>
          <t>NULL</t>
        </is>
      </c>
      <c r="D280" s="0" t="inlineStr">
        <is>
          <t>NULL</t>
        </is>
      </c>
      <c r="E280" s="0" t="inlineStr">
        <is>
          <t>NULL</t>
        </is>
      </c>
      <c r="F280" s="0" t="inlineStr">
        <is>
          <t>NULL</t>
        </is>
      </c>
      <c r="G280" s="0" t="inlineStr">
        <is>
          <t>NULL</t>
        </is>
      </c>
      <c r="H280" s="0" t="inlineStr">
        <is>
          <t>NULL</t>
        </is>
      </c>
      <c r="I280" s="0" t="inlineStr">
        <is>
          <t>NULL</t>
        </is>
      </c>
      <c r="J280" s="0" t="inlineStr">
        <is>
          <t>NULL</t>
        </is>
      </c>
      <c r="K280" s="0" t="inlineStr">
        <is>
          <t>YES! 	 c_tinyint列源备映射正确，源端为tinyint None位	期望更改为tinyint	实际备端为tinyint None位</t>
        </is>
      </c>
    </row>
    <row r="281">
      <c r="B281" s="0" t="inlineStr">
        <is>
          <t>NULL</t>
        </is>
      </c>
      <c r="C281" s="0" t="inlineStr">
        <is>
          <t>NULL</t>
        </is>
      </c>
      <c r="D281" s="0" t="inlineStr">
        <is>
          <t>NULL</t>
        </is>
      </c>
      <c r="E281" s="0" t="inlineStr">
        <is>
          <t>NULL</t>
        </is>
      </c>
      <c r="F281" s="0" t="inlineStr">
        <is>
          <t>NULL</t>
        </is>
      </c>
      <c r="G281" s="0" t="inlineStr">
        <is>
          <t>NULL</t>
        </is>
      </c>
      <c r="H281" s="0" t="inlineStr">
        <is>
          <t>NULL</t>
        </is>
      </c>
      <c r="I281" s="0" t="inlineStr">
        <is>
          <t>NULL</t>
        </is>
      </c>
      <c r="J281" s="0" t="inlineStr">
        <is>
          <t>NULL</t>
        </is>
      </c>
      <c r="K281" s="0" t="inlineStr">
        <is>
          <t>YES! 	 c_smallint列源备映射正确，源端为smallint None位	期望更改为smallint	实际备端为smallint None位</t>
        </is>
      </c>
    </row>
    <row r="282">
      <c r="B282" s="0" t="inlineStr">
        <is>
          <t>NULL</t>
        </is>
      </c>
      <c r="C282" s="0" t="inlineStr">
        <is>
          <t>NULL</t>
        </is>
      </c>
      <c r="D282" s="0" t="inlineStr">
        <is>
          <t>NULL</t>
        </is>
      </c>
      <c r="E282" s="0" t="inlineStr">
        <is>
          <t>NULL</t>
        </is>
      </c>
      <c r="F282" s="0" t="inlineStr">
        <is>
          <t>NULL</t>
        </is>
      </c>
      <c r="G282" s="0" t="inlineStr">
        <is>
          <t>NULL</t>
        </is>
      </c>
      <c r="H282" s="0" t="inlineStr">
        <is>
          <t>NULL</t>
        </is>
      </c>
      <c r="I282" s="0" t="inlineStr">
        <is>
          <t>NULL</t>
        </is>
      </c>
      <c r="J282" s="0" t="inlineStr">
        <is>
          <t>NULL</t>
        </is>
      </c>
      <c r="K282" s="0" t="inlineStr">
        <is>
          <t>YES! 	 c_int列源备映射正确，源端为int None位	期望更改为int	实际备端为int None位</t>
        </is>
      </c>
    </row>
    <row r="283">
      <c r="B283" s="0" t="inlineStr">
        <is>
          <t>NULL</t>
        </is>
      </c>
      <c r="C283" s="0" t="inlineStr">
        <is>
          <t>NULL</t>
        </is>
      </c>
      <c r="D283" s="0" t="inlineStr">
        <is>
          <t>NULL</t>
        </is>
      </c>
      <c r="E283" s="0" t="inlineStr">
        <is>
          <t>NULL</t>
        </is>
      </c>
      <c r="F283" s="0" t="inlineStr">
        <is>
          <t>NULL</t>
        </is>
      </c>
      <c r="G283" s="0" t="inlineStr">
        <is>
          <t>NULL</t>
        </is>
      </c>
      <c r="H283" s="0" t="inlineStr">
        <is>
          <t>NULL</t>
        </is>
      </c>
      <c r="I283" s="0" t="inlineStr">
        <is>
          <t>NULL</t>
        </is>
      </c>
      <c r="J283" s="0" t="inlineStr">
        <is>
          <t>NULL</t>
        </is>
      </c>
      <c r="K283" s="0" t="inlineStr">
        <is>
          <t>YES! 	 c_bigint列源备映射正确，源端为bigint None位	期望更改为bigint	实际备端为bigint None位</t>
        </is>
      </c>
    </row>
    <row r="284">
      <c r="B284" s="0" t="inlineStr">
        <is>
          <t>NULL</t>
        </is>
      </c>
      <c r="C284" s="0" t="inlineStr">
        <is>
          <t>NULL</t>
        </is>
      </c>
      <c r="D284" s="0" t="inlineStr">
        <is>
          <t>NULL</t>
        </is>
      </c>
      <c r="E284" s="0" t="inlineStr">
        <is>
          <t>NULL</t>
        </is>
      </c>
      <c r="F284" s="0" t="inlineStr">
        <is>
          <t>NULL</t>
        </is>
      </c>
      <c r="G284" s="0" t="inlineStr">
        <is>
          <t>NULL</t>
        </is>
      </c>
      <c r="H284" s="0" t="inlineStr">
        <is>
          <t>NULL</t>
        </is>
      </c>
      <c r="I284" s="0" t="inlineStr">
        <is>
          <t>NULL</t>
        </is>
      </c>
      <c r="J284" s="0" t="inlineStr">
        <is>
          <t>NULL</t>
        </is>
      </c>
      <c r="K284" s="0" t="inlineStr">
        <is>
          <t>YES! 	 c_decimal列源备映射正确，源端为decimal None位	期望更改为decimal(p,s)	实际备端为decimal None位</t>
        </is>
      </c>
    </row>
    <row r="285">
      <c r="B285" s="0" t="inlineStr">
        <is>
          <t>NULL</t>
        </is>
      </c>
      <c r="C285" s="0" t="inlineStr">
        <is>
          <t>NULL</t>
        </is>
      </c>
      <c r="D285" s="0" t="inlineStr">
        <is>
          <t>NULL</t>
        </is>
      </c>
      <c r="E285" s="0" t="inlineStr">
        <is>
          <t>NULL</t>
        </is>
      </c>
      <c r="F285" s="0" t="inlineStr">
        <is>
          <t>NULL</t>
        </is>
      </c>
      <c r="G285" s="0" t="inlineStr">
        <is>
          <t>NULL</t>
        </is>
      </c>
      <c r="H285" s="0" t="inlineStr">
        <is>
          <t>NULL</t>
        </is>
      </c>
      <c r="I285" s="0" t="inlineStr">
        <is>
          <t>NULL</t>
        </is>
      </c>
      <c r="J285" s="0" t="inlineStr">
        <is>
          <t>NULL</t>
        </is>
      </c>
      <c r="K285" s="0" t="inlineStr">
        <is>
          <t>YES! 	 c_decimal38列源备映射正确，源端为decimal None位	期望更改为decimal(p,s)	实际备端为decimal None位</t>
        </is>
      </c>
    </row>
    <row r="286">
      <c r="B286" s="0" t="inlineStr">
        <is>
          <t>NULL</t>
        </is>
      </c>
      <c r="C286" s="0" t="inlineStr">
        <is>
          <t>NULL</t>
        </is>
      </c>
      <c r="D286" s="0" t="inlineStr">
        <is>
          <t>NULL</t>
        </is>
      </c>
      <c r="E286" s="0" t="inlineStr">
        <is>
          <t>NULL</t>
        </is>
      </c>
      <c r="F286" s="0" t="inlineStr">
        <is>
          <t>NULL</t>
        </is>
      </c>
      <c r="G286" s="0" t="inlineStr">
        <is>
          <t>NULL</t>
        </is>
      </c>
      <c r="H286" s="0" t="inlineStr">
        <is>
          <t>NULL</t>
        </is>
      </c>
      <c r="I286" s="0" t="inlineStr">
        <is>
          <t>NULL</t>
        </is>
      </c>
      <c r="J286" s="0" t="inlineStr">
        <is>
          <t>NULL</t>
        </is>
      </c>
      <c r="K286" s="0" t="inlineStr">
        <is>
          <t xml:space="preserve"> NO!  	 c_decimal38_38列源备映射错误，源端为decimal None位	期望更改为decimal(p,s)	实际备端为varchar 168位</t>
        </is>
      </c>
    </row>
    <row r="287">
      <c r="B287" s="0" t="inlineStr">
        <is>
          <t>NULL</t>
        </is>
      </c>
      <c r="C287" s="0" t="inlineStr">
        <is>
          <t>NULL</t>
        </is>
      </c>
      <c r="D287" s="0" t="inlineStr">
        <is>
          <t>NULL</t>
        </is>
      </c>
      <c r="E287" s="0" t="inlineStr">
        <is>
          <t>NULL</t>
        </is>
      </c>
      <c r="F287" s="0" t="inlineStr">
        <is>
          <t>NULL</t>
        </is>
      </c>
      <c r="G287" s="0" t="inlineStr">
        <is>
          <t>NULL</t>
        </is>
      </c>
      <c r="H287" s="0" t="inlineStr">
        <is>
          <t>NULL</t>
        </is>
      </c>
      <c r="I287" s="0" t="inlineStr">
        <is>
          <t>NULL</t>
        </is>
      </c>
      <c r="J287" s="0" t="inlineStr">
        <is>
          <t>NULL</t>
        </is>
      </c>
      <c r="K287" s="0" t="inlineStr">
        <is>
          <t>YES! 	 c_decimal38_10列源备映射正确，源端为decimal None位	期望更改为decimal(p,s)	实际备端为decimal None位</t>
        </is>
      </c>
    </row>
    <row r="288">
      <c r="B288" s="0" t="inlineStr">
        <is>
          <t>NULL</t>
        </is>
      </c>
      <c r="C288" s="0" t="inlineStr">
        <is>
          <t>NULL</t>
        </is>
      </c>
      <c r="D288" s="0" t="inlineStr">
        <is>
          <t>NULL</t>
        </is>
      </c>
      <c r="E288" s="0" t="inlineStr">
        <is>
          <t>NULL</t>
        </is>
      </c>
      <c r="F288" s="0" t="inlineStr">
        <is>
          <t>NULL</t>
        </is>
      </c>
      <c r="G288" s="0" t="inlineStr">
        <is>
          <t>NULL</t>
        </is>
      </c>
      <c r="H288" s="0" t="inlineStr">
        <is>
          <t>NULL</t>
        </is>
      </c>
      <c r="I288" s="0" t="inlineStr">
        <is>
          <t>NULL</t>
        </is>
      </c>
      <c r="J288" s="0" t="inlineStr">
        <is>
          <t>NULL</t>
        </is>
      </c>
      <c r="K288" s="0" t="inlineStr">
        <is>
          <t>YES! 	 c_decimal19_4列源备映射正确，源端为decimal None位	期望更改为decimal(p,s)	实际备端为decimal None位</t>
        </is>
      </c>
    </row>
    <row r="289">
      <c r="B289" s="0" t="inlineStr">
        <is>
          <t>NULL</t>
        </is>
      </c>
      <c r="C289" s="0" t="inlineStr">
        <is>
          <t>NULL</t>
        </is>
      </c>
      <c r="D289" s="0" t="inlineStr">
        <is>
          <t>NULL</t>
        </is>
      </c>
      <c r="E289" s="0" t="inlineStr">
        <is>
          <t>NULL</t>
        </is>
      </c>
      <c r="F289" s="0" t="inlineStr">
        <is>
          <t>NULL</t>
        </is>
      </c>
      <c r="G289" s="0" t="inlineStr">
        <is>
          <t>NULL</t>
        </is>
      </c>
      <c r="H289" s="0" t="inlineStr">
        <is>
          <t>NULL</t>
        </is>
      </c>
      <c r="I289" s="0" t="inlineStr">
        <is>
          <t>NULL</t>
        </is>
      </c>
      <c r="J289" s="0" t="inlineStr">
        <is>
          <t>NULL</t>
        </is>
      </c>
      <c r="K289" s="0" t="inlineStr">
        <is>
          <t>YES! 	 c_numeric列源备映射正确，源端为numeric None位	期望更改为decimal(p,s)	实际备端为decimal None位</t>
        </is>
      </c>
    </row>
    <row r="290">
      <c r="B290" s="0" t="inlineStr">
        <is>
          <t>NULL</t>
        </is>
      </c>
      <c r="C290" s="0" t="inlineStr">
        <is>
          <t>NULL</t>
        </is>
      </c>
      <c r="D290" s="0" t="inlineStr">
        <is>
          <t>NULL</t>
        </is>
      </c>
      <c r="E290" s="0" t="inlineStr">
        <is>
          <t>NULL</t>
        </is>
      </c>
      <c r="F290" s="0" t="inlineStr">
        <is>
          <t>NULL</t>
        </is>
      </c>
      <c r="G290" s="0" t="inlineStr">
        <is>
          <t>NULL</t>
        </is>
      </c>
      <c r="H290" s="0" t="inlineStr">
        <is>
          <t>NULL</t>
        </is>
      </c>
      <c r="I290" s="0" t="inlineStr">
        <is>
          <t>NULL</t>
        </is>
      </c>
      <c r="J290" s="0" t="inlineStr">
        <is>
          <t>NULL</t>
        </is>
      </c>
      <c r="K290" s="0" t="inlineStr">
        <is>
          <t>YES! 	 c_numeric38列源备映射正确，源端为numeric None位	期望更改为decimal(p,s)	实际备端为decimal None位</t>
        </is>
      </c>
    </row>
    <row r="291">
      <c r="B291" s="0" t="inlineStr">
        <is>
          <t>NULL</t>
        </is>
      </c>
      <c r="C291" s="0" t="inlineStr">
        <is>
          <t>NULL</t>
        </is>
      </c>
      <c r="D291" s="0" t="inlineStr">
        <is>
          <t>NULL</t>
        </is>
      </c>
      <c r="E291" s="0" t="inlineStr">
        <is>
          <t>NULL</t>
        </is>
      </c>
      <c r="F291" s="0" t="inlineStr">
        <is>
          <t>NULL</t>
        </is>
      </c>
      <c r="G291" s="0" t="inlineStr">
        <is>
          <t>NULL</t>
        </is>
      </c>
      <c r="H291" s="0" t="inlineStr">
        <is>
          <t>NULL</t>
        </is>
      </c>
      <c r="I291" s="0" t="inlineStr">
        <is>
          <t>NULL</t>
        </is>
      </c>
      <c r="J291" s="0" t="inlineStr">
        <is>
          <t>NULL</t>
        </is>
      </c>
      <c r="K291" s="0" t="inlineStr">
        <is>
          <t xml:space="preserve"> NO!  	 c_numeric38_38列源备映射错误，源端为numeric None位	期望更改为decimal(p,s)	实际备端为varchar 168位</t>
        </is>
      </c>
    </row>
    <row r="292">
      <c r="B292" s="0" t="inlineStr">
        <is>
          <t>NULL</t>
        </is>
      </c>
      <c r="C292" s="0" t="inlineStr">
        <is>
          <t>NULL</t>
        </is>
      </c>
      <c r="D292" s="0" t="inlineStr">
        <is>
          <t>NULL</t>
        </is>
      </c>
      <c r="E292" s="0" t="inlineStr">
        <is>
          <t>NULL</t>
        </is>
      </c>
      <c r="F292" s="0" t="inlineStr">
        <is>
          <t>NULL</t>
        </is>
      </c>
      <c r="G292" s="0" t="inlineStr">
        <is>
          <t>NULL</t>
        </is>
      </c>
      <c r="H292" s="0" t="inlineStr">
        <is>
          <t>NULL</t>
        </is>
      </c>
      <c r="I292" s="0" t="inlineStr">
        <is>
          <t>NULL</t>
        </is>
      </c>
      <c r="J292" s="0" t="inlineStr">
        <is>
          <t>NULL</t>
        </is>
      </c>
      <c r="K292" s="0" t="inlineStr">
        <is>
          <t>YES! 	 c_numeric38_10列源备映射正确，源端为numeric None位	期望更改为decimal(p,s)	实际备端为decimal None位</t>
        </is>
      </c>
    </row>
    <row r="293">
      <c r="B293" s="0" t="inlineStr">
        <is>
          <t>NULL</t>
        </is>
      </c>
      <c r="C293" s="0" t="inlineStr">
        <is>
          <t>NULL</t>
        </is>
      </c>
      <c r="D293" s="0" t="inlineStr">
        <is>
          <t>NULL</t>
        </is>
      </c>
      <c r="E293" s="0" t="inlineStr">
        <is>
          <t>NULL</t>
        </is>
      </c>
      <c r="F293" s="0" t="inlineStr">
        <is>
          <t>NULL</t>
        </is>
      </c>
      <c r="G293" s="0" t="inlineStr">
        <is>
          <t>NULL</t>
        </is>
      </c>
      <c r="H293" s="0" t="inlineStr">
        <is>
          <t>NULL</t>
        </is>
      </c>
      <c r="I293" s="0" t="inlineStr">
        <is>
          <t>NULL</t>
        </is>
      </c>
      <c r="J293" s="0" t="inlineStr">
        <is>
          <t>NULL</t>
        </is>
      </c>
      <c r="K293" s="0" t="inlineStr">
        <is>
          <t>YES! 	 c_numeric18_2列源备映射正确，源端为numeric None位	期望更改为decimal(p,s)	实际备端为decimal None位</t>
        </is>
      </c>
    </row>
    <row r="294">
      <c r="B294" s="0" t="inlineStr">
        <is>
          <t>NULL</t>
        </is>
      </c>
      <c r="C294" s="0" t="inlineStr">
        <is>
          <t>NULL</t>
        </is>
      </c>
      <c r="D294" s="0" t="inlineStr">
        <is>
          <t>NULL</t>
        </is>
      </c>
      <c r="E294" s="0" t="inlineStr">
        <is>
          <t>NULL</t>
        </is>
      </c>
      <c r="F294" s="0" t="inlineStr">
        <is>
          <t>NULL</t>
        </is>
      </c>
      <c r="G294" s="0" t="inlineStr">
        <is>
          <t>NULL</t>
        </is>
      </c>
      <c r="H294" s="0" t="inlineStr">
        <is>
          <t>NULL</t>
        </is>
      </c>
      <c r="I294" s="0" t="inlineStr">
        <is>
          <t>NULL</t>
        </is>
      </c>
      <c r="J294" s="0" t="inlineStr">
        <is>
          <t>NULL</t>
        </is>
      </c>
      <c r="K294" s="0" t="inlineStr">
        <is>
          <t>YES! 	 c_float列源备映射正确，源端为float None位	期望更改为double	实际备端为double None位</t>
        </is>
      </c>
    </row>
    <row r="295">
      <c r="B295" s="0" t="inlineStr">
        <is>
          <t>NULL</t>
        </is>
      </c>
      <c r="C295" s="0" t="inlineStr">
        <is>
          <t>NULL</t>
        </is>
      </c>
      <c r="D295" s="0" t="inlineStr">
        <is>
          <t>NULL</t>
        </is>
      </c>
      <c r="E295" s="0" t="inlineStr">
        <is>
          <t>NULL</t>
        </is>
      </c>
      <c r="F295" s="0" t="inlineStr">
        <is>
          <t>NULL</t>
        </is>
      </c>
      <c r="G295" s="0" t="inlineStr">
        <is>
          <t>NULL</t>
        </is>
      </c>
      <c r="H295" s="0" t="inlineStr">
        <is>
          <t>NULL</t>
        </is>
      </c>
      <c r="I295" s="0" t="inlineStr">
        <is>
          <t>NULL</t>
        </is>
      </c>
      <c r="J295" s="0" t="inlineStr">
        <is>
          <t>NULL</t>
        </is>
      </c>
      <c r="K295" s="0" t="inlineStr">
        <is>
          <t>YES! 	 c_real列源备映射正确，源端为real None位	期望更改为double	实际备端为double None位</t>
        </is>
      </c>
    </row>
    <row r="296">
      <c r="B296" s="0" t="inlineStr">
        <is>
          <t>NULL</t>
        </is>
      </c>
      <c r="C296" s="0" t="inlineStr">
        <is>
          <t>NULL</t>
        </is>
      </c>
      <c r="D296" s="0" t="inlineStr">
        <is>
          <t>NULL</t>
        </is>
      </c>
      <c r="E296" s="0" t="inlineStr">
        <is>
          <t>NULL</t>
        </is>
      </c>
      <c r="F296" s="0" t="inlineStr">
        <is>
          <t>NULL</t>
        </is>
      </c>
      <c r="G296" s="0" t="inlineStr">
        <is>
          <t>NULL</t>
        </is>
      </c>
      <c r="H296" s="0" t="inlineStr">
        <is>
          <t>NULL</t>
        </is>
      </c>
      <c r="I296" s="0" t="inlineStr">
        <is>
          <t>NULL</t>
        </is>
      </c>
      <c r="J296" s="0" t="inlineStr">
        <is>
          <t>NULL</t>
        </is>
      </c>
      <c r="K296" s="0" t="inlineStr">
        <is>
          <t>YES! 	 c_money列源备映射正确，源端为money None位	期望更改为decimal(19,4)	实际备端为decimal None位</t>
        </is>
      </c>
    </row>
    <row r="297">
      <c r="B297" s="0" t="inlineStr">
        <is>
          <t>NULL</t>
        </is>
      </c>
      <c r="C297" s="0" t="inlineStr">
        <is>
          <t>NULL</t>
        </is>
      </c>
      <c r="D297" s="0" t="inlineStr">
        <is>
          <t>NULL</t>
        </is>
      </c>
      <c r="E297" s="0" t="inlineStr">
        <is>
          <t>NULL</t>
        </is>
      </c>
      <c r="F297" s="0" t="inlineStr">
        <is>
          <t>NULL</t>
        </is>
      </c>
      <c r="G297" s="0" t="inlineStr">
        <is>
          <t>NULL</t>
        </is>
      </c>
      <c r="H297" s="0" t="inlineStr">
        <is>
          <t>NULL</t>
        </is>
      </c>
      <c r="I297" s="0" t="inlineStr">
        <is>
          <t>NULL</t>
        </is>
      </c>
      <c r="J297" s="0" t="inlineStr">
        <is>
          <t>NULL</t>
        </is>
      </c>
      <c r="K297" s="0" t="inlineStr">
        <is>
          <t>YES! 	 c_smallmoney列源备映射正确，源端为smallmoney None位	期望更改为decimal(10,4)	实际备端为decimal None位</t>
        </is>
      </c>
    </row>
    <row r="298">
      <c r="B298" s="0" t="inlineStr">
        <is>
          <t>NULL</t>
        </is>
      </c>
      <c r="C298" s="0" t="inlineStr">
        <is>
          <t>NULL</t>
        </is>
      </c>
      <c r="D298" s="0" t="inlineStr">
        <is>
          <t>NULL</t>
        </is>
      </c>
      <c r="E298" s="0" t="inlineStr">
        <is>
          <t>NULL</t>
        </is>
      </c>
      <c r="F298" s="0" t="inlineStr">
        <is>
          <t>NULL</t>
        </is>
      </c>
      <c r="G298" s="0" t="inlineStr">
        <is>
          <t>NULL</t>
        </is>
      </c>
      <c r="H298" s="0" t="inlineStr">
        <is>
          <t>NULL</t>
        </is>
      </c>
      <c r="I298" s="0" t="inlineStr">
        <is>
          <t>NULL</t>
        </is>
      </c>
      <c r="J298" s="0" t="inlineStr">
        <is>
          <t>NULL</t>
        </is>
      </c>
      <c r="K298" s="0" t="inlineStr">
        <is>
          <t>YES! 	 c_bit列源备映射正确，源端为bit None位	期望更改为tinyint(1) 	实际备端为tinyint None位</t>
        </is>
      </c>
    </row>
    <row r="299">
      <c r="A299" s="0" t="inlineStr">
        <is>
          <t>info_varchar_dml_single_pk_drp</t>
        </is>
      </c>
      <c r="K299" s="0" t="inlineStr">
        <is>
          <t>[0;34m info_varchar_dml_single_pk_drp [0m源备字段数相同，源端字段：4 	备端字段4</t>
        </is>
      </c>
      <c r="W299" s="0" t="inlineStr">
        <is>
          <t>YES 源备无差异</t>
        </is>
      </c>
      <c r="X299" s="0">
        <f>A299</f>
        <v/>
      </c>
    </row>
    <row r="300">
      <c r="B300" s="0" t="inlineStr">
        <is>
          <t>YES</t>
        </is>
      </c>
      <c r="C300" s="0" t="inlineStr">
        <is>
          <t>NULL</t>
        </is>
      </c>
      <c r="D300" s="0" t="inlineStr">
        <is>
          <t>NULL</t>
        </is>
      </c>
      <c r="E300" s="0" t="inlineStr">
        <is>
          <t>NULL</t>
        </is>
      </c>
      <c r="F300" s="0" t="inlineStr">
        <is>
          <t>NULL</t>
        </is>
      </c>
      <c r="G300" s="0" t="inlineStr">
        <is>
          <t>NULL</t>
        </is>
      </c>
      <c r="H300" s="0" t="inlineStr">
        <is>
          <t>NULL</t>
        </is>
      </c>
      <c r="I300" s="0" t="inlineStr">
        <is>
          <t>YES!PK__info_var__3213E83FEE4FC36C</t>
        </is>
      </c>
      <c r="J300" s="0" t="inlineStr">
        <is>
          <t>YES! 主键相关索引</t>
        </is>
      </c>
      <c r="K300" s="0" t="inlineStr">
        <is>
          <t>YES! 	 id列源备映射正确，源端为int None位	期望更改为int	实际备端为int None位</t>
        </is>
      </c>
    </row>
    <row r="301">
      <c r="B301" s="0" t="inlineStr">
        <is>
          <t>NULL</t>
        </is>
      </c>
      <c r="C301" s="0" t="inlineStr">
        <is>
          <t>NULL</t>
        </is>
      </c>
      <c r="D301" s="0" t="inlineStr">
        <is>
          <t>NULL</t>
        </is>
      </c>
      <c r="E301" s="0" t="inlineStr">
        <is>
          <t>NULL</t>
        </is>
      </c>
      <c r="F301" s="0" t="inlineStr">
        <is>
          <t>NULL</t>
        </is>
      </c>
      <c r="G301" s="0" t="inlineStr">
        <is>
          <t>NULL</t>
        </is>
      </c>
      <c r="H301" s="0" t="inlineStr">
        <is>
          <t>NULL</t>
        </is>
      </c>
      <c r="I301" s="0" t="inlineStr">
        <is>
          <t>NULL</t>
        </is>
      </c>
      <c r="J301" s="0" t="inlineStr">
        <is>
          <t>NULL</t>
        </is>
      </c>
      <c r="K301" s="0" t="inlineStr">
        <is>
          <t>YES! 	 c_varchar列源备映射正确，源端为varchar 1位	期望更改为varchar(n)	实际备端为varchar 4位</t>
        </is>
      </c>
    </row>
    <row r="302">
      <c r="B302" s="0" t="inlineStr">
        <is>
          <t>NULL</t>
        </is>
      </c>
      <c r="C302" s="0" t="inlineStr">
        <is>
          <t>NULL</t>
        </is>
      </c>
      <c r="D302" s="0" t="inlineStr">
        <is>
          <t>NULL</t>
        </is>
      </c>
      <c r="E302" s="0" t="inlineStr">
        <is>
          <t>NULL</t>
        </is>
      </c>
      <c r="F302" s="0" t="inlineStr">
        <is>
          <t>NULL</t>
        </is>
      </c>
      <c r="G302" s="0" t="inlineStr">
        <is>
          <t>NULL</t>
        </is>
      </c>
      <c r="H302" s="0" t="inlineStr">
        <is>
          <t>NULL</t>
        </is>
      </c>
      <c r="I302" s="0" t="inlineStr">
        <is>
          <t>NULL</t>
        </is>
      </c>
      <c r="J302" s="0" t="inlineStr">
        <is>
          <t>NULL</t>
        </is>
      </c>
      <c r="K302" s="0" t="inlineStr">
        <is>
          <t>YES! 	 c_varchar50列源备映射正确，源端为varchar 50位	期望更改为varchar(n)	实际备端为varchar 200位</t>
        </is>
      </c>
    </row>
    <row r="303">
      <c r="B303" s="0" t="inlineStr">
        <is>
          <t>NULL</t>
        </is>
      </c>
      <c r="C303" s="0" t="inlineStr">
        <is>
          <t>NULL</t>
        </is>
      </c>
      <c r="D303" s="0" t="inlineStr">
        <is>
          <t>NULL</t>
        </is>
      </c>
      <c r="E303" s="0" t="inlineStr">
        <is>
          <t>NULL</t>
        </is>
      </c>
      <c r="F303" s="0" t="inlineStr">
        <is>
          <t>NULL</t>
        </is>
      </c>
      <c r="G303" s="0" t="inlineStr">
        <is>
          <t>NULL</t>
        </is>
      </c>
      <c r="H303" s="0" t="inlineStr">
        <is>
          <t>NULL</t>
        </is>
      </c>
      <c r="I303" s="0" t="inlineStr">
        <is>
          <t>NULL</t>
        </is>
      </c>
      <c r="J303" s="0" t="inlineStr">
        <is>
          <t>NULL</t>
        </is>
      </c>
      <c r="K303" s="0" t="inlineStr">
        <is>
          <t xml:space="preserve"> NO!  	 c_varchar8000列源备映射错误，源端为varchar 8000位	期望更改为longtext	实际备端为text 65535位</t>
        </is>
      </c>
    </row>
    <row r="304">
      <c r="A304" s="0" t="inlineStr">
        <is>
          <t>info_sdt_dml_batch2_pk_irp2</t>
        </is>
      </c>
      <c r="K304" s="0" t="inlineStr">
        <is>
          <t>[0;34m info_sdt_dml_batch2_pk_irp2 [0m源备字段数相同，源端字段：2 	备端字段2</t>
        </is>
      </c>
      <c r="W304" s="0" t="inlineStr">
        <is>
          <t>YES 源备无差异</t>
        </is>
      </c>
      <c r="X304" s="0">
        <f>A304</f>
        <v/>
      </c>
    </row>
    <row r="305">
      <c r="B305" s="0" t="inlineStr">
        <is>
          <t>YES</t>
        </is>
      </c>
      <c r="C305" s="0" t="inlineStr">
        <is>
          <t>NULL</t>
        </is>
      </c>
      <c r="D305" s="0" t="inlineStr">
        <is>
          <t>NULL</t>
        </is>
      </c>
      <c r="E305" s="0" t="inlineStr">
        <is>
          <t>NULL</t>
        </is>
      </c>
      <c r="F305" s="0" t="inlineStr">
        <is>
          <t>NULL</t>
        </is>
      </c>
      <c r="G305" s="0" t="inlineStr">
        <is>
          <t>NULL</t>
        </is>
      </c>
      <c r="H305" s="0" t="inlineStr">
        <is>
          <t>NULL</t>
        </is>
      </c>
      <c r="I305" s="0" t="inlineStr">
        <is>
          <t>YES!PK__info_sdt__3213E83F8FF1A01C</t>
        </is>
      </c>
      <c r="J305" s="0" t="inlineStr">
        <is>
          <t>YES! 主键相关索引</t>
        </is>
      </c>
      <c r="K305" s="0" t="inlineStr">
        <is>
          <t>YES! 	 id列源备映射正确，源端为int None位	期望更改为int	实际备端为int None位</t>
        </is>
      </c>
    </row>
    <row r="306">
      <c r="B306" s="0" t="inlineStr">
        <is>
          <t>NULL</t>
        </is>
      </c>
      <c r="C306" s="0" t="inlineStr">
        <is>
          <t>NULL</t>
        </is>
      </c>
      <c r="D306" s="0" t="inlineStr">
        <is>
          <t>NULL</t>
        </is>
      </c>
      <c r="E306" s="0" t="inlineStr">
        <is>
          <t>NULL</t>
        </is>
      </c>
      <c r="F306" s="0" t="inlineStr">
        <is>
          <t>NULL</t>
        </is>
      </c>
      <c r="G306" s="0" t="inlineStr">
        <is>
          <t>NULL</t>
        </is>
      </c>
      <c r="H306" s="0" t="inlineStr">
        <is>
          <t>NULL</t>
        </is>
      </c>
      <c r="I306" s="0" t="inlineStr">
        <is>
          <t>NULL</t>
        </is>
      </c>
      <c r="J306" s="0" t="inlineStr">
        <is>
          <t>NULL</t>
        </is>
      </c>
      <c r="K306" s="0" t="inlineStr">
        <is>
          <t>YES! 	 c_sdt列源备映射正确，源端为smalldatetime None位	期望更改为datetime	实际备端为datetime None位</t>
        </is>
      </c>
    </row>
    <row r="307">
      <c r="A307" s="0" t="inlineStr">
        <is>
          <t>info_char_dml_batch1_pk</t>
        </is>
      </c>
      <c r="K307" s="0" t="inlineStr">
        <is>
          <t>[0;34m info_char_dml_batch1_pk [0m源备字段数相同，源端字段：4 	备端字段4</t>
        </is>
      </c>
      <c r="W307" s="0" t="inlineStr">
        <is>
          <t>YES 源备无差异</t>
        </is>
      </c>
      <c r="X307" s="0">
        <f>A307</f>
        <v/>
      </c>
    </row>
    <row r="308">
      <c r="B308" s="0" t="inlineStr">
        <is>
          <t>YES</t>
        </is>
      </c>
      <c r="C308" s="0" t="inlineStr">
        <is>
          <t>NULL</t>
        </is>
      </c>
      <c r="D308" s="0" t="inlineStr">
        <is>
          <t>NULL</t>
        </is>
      </c>
      <c r="E308" s="0" t="inlineStr">
        <is>
          <t>NULL</t>
        </is>
      </c>
      <c r="F308" s="0" t="inlineStr">
        <is>
          <t>NULL</t>
        </is>
      </c>
      <c r="G308" s="0" t="inlineStr">
        <is>
          <t>NULL</t>
        </is>
      </c>
      <c r="H308" s="0" t="inlineStr">
        <is>
          <t>NULL</t>
        </is>
      </c>
      <c r="I308" s="0" t="inlineStr">
        <is>
          <t>YES!PK__info_cha__3213E83F5CF1C334</t>
        </is>
      </c>
      <c r="J308" s="0" t="inlineStr">
        <is>
          <t>YES! 主键相关索引</t>
        </is>
      </c>
      <c r="K308" s="0" t="inlineStr">
        <is>
          <t>YES! 	 id列源备映射正确，源端为int None位	期望更改为int	实际备端为int None位</t>
        </is>
      </c>
    </row>
    <row r="309">
      <c r="B309" s="0" t="inlineStr">
        <is>
          <t>NULL</t>
        </is>
      </c>
      <c r="C309" s="0" t="inlineStr">
        <is>
          <t>NULL</t>
        </is>
      </c>
      <c r="D309" s="0" t="inlineStr">
        <is>
          <t>NULL</t>
        </is>
      </c>
      <c r="E309" s="0" t="inlineStr">
        <is>
          <t>NULL</t>
        </is>
      </c>
      <c r="F309" s="0" t="inlineStr">
        <is>
          <t>NULL</t>
        </is>
      </c>
      <c r="G309" s="0" t="inlineStr">
        <is>
          <t>NULL</t>
        </is>
      </c>
      <c r="H309" s="0" t="inlineStr">
        <is>
          <t>NULL</t>
        </is>
      </c>
      <c r="I309" s="0" t="inlineStr">
        <is>
          <t>NULL</t>
        </is>
      </c>
      <c r="J309" s="0" t="inlineStr">
        <is>
          <t>NULL</t>
        </is>
      </c>
      <c r="K309" s="0" t="inlineStr">
        <is>
          <t>YES! 	 c_char列源备映射正确，源端为char 1位	期望更改为char(n)	实际备端为char 4位</t>
        </is>
      </c>
    </row>
    <row r="310">
      <c r="B310" s="0" t="inlineStr">
        <is>
          <t>NULL</t>
        </is>
      </c>
      <c r="C310" s="0" t="inlineStr">
        <is>
          <t>NULL</t>
        </is>
      </c>
      <c r="D310" s="0" t="inlineStr">
        <is>
          <t>NULL</t>
        </is>
      </c>
      <c r="E310" s="0" t="inlineStr">
        <is>
          <t>NULL</t>
        </is>
      </c>
      <c r="F310" s="0" t="inlineStr">
        <is>
          <t>NULL</t>
        </is>
      </c>
      <c r="G310" s="0" t="inlineStr">
        <is>
          <t>NULL</t>
        </is>
      </c>
      <c r="H310" s="0" t="inlineStr">
        <is>
          <t>NULL</t>
        </is>
      </c>
      <c r="I310" s="0" t="inlineStr">
        <is>
          <t>NULL</t>
        </is>
      </c>
      <c r="J310" s="0" t="inlineStr">
        <is>
          <t>NULL</t>
        </is>
      </c>
      <c r="K310" s="0" t="inlineStr">
        <is>
          <t>YES! 	 c_char20列源备映射正确，源端为char 20位	期望更改为char(n)	实际备端为char 80位</t>
        </is>
      </c>
    </row>
    <row r="311">
      <c r="B311" s="0" t="inlineStr">
        <is>
          <t>NULL</t>
        </is>
      </c>
      <c r="C311" s="0" t="inlineStr">
        <is>
          <t>NULL</t>
        </is>
      </c>
      <c r="D311" s="0" t="inlineStr">
        <is>
          <t>NULL</t>
        </is>
      </c>
      <c r="E311" s="0" t="inlineStr">
        <is>
          <t>NULL</t>
        </is>
      </c>
      <c r="F311" s="0" t="inlineStr">
        <is>
          <t>NULL</t>
        </is>
      </c>
      <c r="G311" s="0" t="inlineStr">
        <is>
          <t>NULL</t>
        </is>
      </c>
      <c r="H311" s="0" t="inlineStr">
        <is>
          <t>NULL</t>
        </is>
      </c>
      <c r="I311" s="0" t="inlineStr">
        <is>
          <t>NULL</t>
        </is>
      </c>
      <c r="J311" s="0" t="inlineStr">
        <is>
          <t>NULL</t>
        </is>
      </c>
      <c r="K311" s="0" t="inlineStr">
        <is>
          <t>YES! 	 c_char7000列源备映射正确，源端为char 7000位	期望更改为text	实际备端为text 65535位</t>
        </is>
      </c>
    </row>
    <row r="312">
      <c r="A312" s="0" t="inlineStr">
        <is>
          <t>info_varchar_dml_single_pk</t>
        </is>
      </c>
      <c r="K312" s="0" t="inlineStr">
        <is>
          <t>[0;34m info_varchar_dml_single_pk [0m源备字段数相同，源端字段：4 	备端字段4</t>
        </is>
      </c>
      <c r="W312" s="0" t="inlineStr">
        <is>
          <t>YES 源备无差异</t>
        </is>
      </c>
      <c r="X312" s="0">
        <f>A312</f>
        <v/>
      </c>
    </row>
    <row r="313">
      <c r="B313" s="0" t="inlineStr">
        <is>
          <t>YES</t>
        </is>
      </c>
      <c r="C313" s="0" t="inlineStr">
        <is>
          <t>NULL</t>
        </is>
      </c>
      <c r="D313" s="0" t="inlineStr">
        <is>
          <t>NULL</t>
        </is>
      </c>
      <c r="E313" s="0" t="inlineStr">
        <is>
          <t>NULL</t>
        </is>
      </c>
      <c r="F313" s="0" t="inlineStr">
        <is>
          <t>NULL</t>
        </is>
      </c>
      <c r="G313" s="0" t="inlineStr">
        <is>
          <t>NULL</t>
        </is>
      </c>
      <c r="H313" s="0" t="inlineStr">
        <is>
          <t>NULL</t>
        </is>
      </c>
      <c r="I313" s="0" t="inlineStr">
        <is>
          <t>YES!PK__info_var__3213E83F455A32E8</t>
        </is>
      </c>
      <c r="J313" s="0" t="inlineStr">
        <is>
          <t>YES! 主键相关索引</t>
        </is>
      </c>
      <c r="K313" s="0" t="inlineStr">
        <is>
          <t>YES! 	 id列源备映射正确，源端为int None位	期望更改为int	实际备端为int None位</t>
        </is>
      </c>
    </row>
    <row r="314">
      <c r="B314" s="0" t="inlineStr">
        <is>
          <t>NULL</t>
        </is>
      </c>
      <c r="C314" s="0" t="inlineStr">
        <is>
          <t>NULL</t>
        </is>
      </c>
      <c r="D314" s="0" t="inlineStr">
        <is>
          <t>NULL</t>
        </is>
      </c>
      <c r="E314" s="0" t="inlineStr">
        <is>
          <t>NULL</t>
        </is>
      </c>
      <c r="F314" s="0" t="inlineStr">
        <is>
          <t>NULL</t>
        </is>
      </c>
      <c r="G314" s="0" t="inlineStr">
        <is>
          <t>NULL</t>
        </is>
      </c>
      <c r="H314" s="0" t="inlineStr">
        <is>
          <t>NULL</t>
        </is>
      </c>
      <c r="I314" s="0" t="inlineStr">
        <is>
          <t>NULL</t>
        </is>
      </c>
      <c r="J314" s="0" t="inlineStr">
        <is>
          <t>NULL</t>
        </is>
      </c>
      <c r="K314" s="0" t="inlineStr">
        <is>
          <t>YES! 	 c_varchar列源备映射正确，源端为varchar 1位	期望更改为varchar(n)	实际备端为varchar 4位</t>
        </is>
      </c>
    </row>
    <row r="315">
      <c r="B315" s="0" t="inlineStr">
        <is>
          <t>NULL</t>
        </is>
      </c>
      <c r="C315" s="0" t="inlineStr">
        <is>
          <t>NULL</t>
        </is>
      </c>
      <c r="D315" s="0" t="inlineStr">
        <is>
          <t>NULL</t>
        </is>
      </c>
      <c r="E315" s="0" t="inlineStr">
        <is>
          <t>NULL</t>
        </is>
      </c>
      <c r="F315" s="0" t="inlineStr">
        <is>
          <t>NULL</t>
        </is>
      </c>
      <c r="G315" s="0" t="inlineStr">
        <is>
          <t>NULL</t>
        </is>
      </c>
      <c r="H315" s="0" t="inlineStr">
        <is>
          <t>NULL</t>
        </is>
      </c>
      <c r="I315" s="0" t="inlineStr">
        <is>
          <t>NULL</t>
        </is>
      </c>
      <c r="J315" s="0" t="inlineStr">
        <is>
          <t>NULL</t>
        </is>
      </c>
      <c r="K315" s="0" t="inlineStr">
        <is>
          <t>YES! 	 c_varchar50列源备映射正确，源端为varchar 50位	期望更改为varchar(n)	实际备端为varchar 200位</t>
        </is>
      </c>
    </row>
    <row r="316">
      <c r="B316" s="0" t="inlineStr">
        <is>
          <t>NULL</t>
        </is>
      </c>
      <c r="C316" s="0" t="inlineStr">
        <is>
          <t>NULL</t>
        </is>
      </c>
      <c r="D316" s="0" t="inlineStr">
        <is>
          <t>NULL</t>
        </is>
      </c>
      <c r="E316" s="0" t="inlineStr">
        <is>
          <t>NULL</t>
        </is>
      </c>
      <c r="F316" s="0" t="inlineStr">
        <is>
          <t>NULL</t>
        </is>
      </c>
      <c r="G316" s="0" t="inlineStr">
        <is>
          <t>NULL</t>
        </is>
      </c>
      <c r="H316" s="0" t="inlineStr">
        <is>
          <t>NULL</t>
        </is>
      </c>
      <c r="I316" s="0" t="inlineStr">
        <is>
          <t>NULL</t>
        </is>
      </c>
      <c r="J316" s="0" t="inlineStr">
        <is>
          <t>NULL</t>
        </is>
      </c>
      <c r="K316" s="0" t="inlineStr">
        <is>
          <t xml:space="preserve"> NO!  	 c_varchar8000列源备映射错误，源端为varchar 8000位	期望更改为longtext	实际备端为text 65535位</t>
        </is>
      </c>
    </row>
    <row r="317">
      <c r="A317" s="0" t="inlineStr">
        <is>
          <t>info_int_dml_single_pk_drp</t>
        </is>
      </c>
      <c r="K317" s="0" t="inlineStr">
        <is>
          <t>[0;34m info_int_dml_single_pk_drp [0m源备字段数相同，源端字段：20 	备端字段20</t>
        </is>
      </c>
      <c r="W317" s="15">
        <f>HYPERLINK("#2026051816mysql2!AR2","NO 源备存在差异，共2个")</f>
        <v/>
      </c>
      <c r="X317" s="0">
        <f>A317</f>
        <v/>
      </c>
    </row>
    <row r="318">
      <c r="B318" s="0" t="inlineStr">
        <is>
          <t>YES</t>
        </is>
      </c>
      <c r="C318" s="0" t="inlineStr">
        <is>
          <t>NULL</t>
        </is>
      </c>
      <c r="D318" s="0" t="inlineStr">
        <is>
          <t>NULL</t>
        </is>
      </c>
      <c r="E318" s="0" t="inlineStr">
        <is>
          <t>NULL</t>
        </is>
      </c>
      <c r="F318" s="0" t="inlineStr">
        <is>
          <t>NULL</t>
        </is>
      </c>
      <c r="G318" s="0" t="inlineStr">
        <is>
          <t>NULL</t>
        </is>
      </c>
      <c r="H318" s="0" t="inlineStr">
        <is>
          <t>NULL</t>
        </is>
      </c>
      <c r="I318" s="0" t="inlineStr">
        <is>
          <t>YES!PK__info_int__3213E83FD0B3ADA3</t>
        </is>
      </c>
      <c r="J318" s="0" t="inlineStr">
        <is>
          <t>YES! 主键相关索引</t>
        </is>
      </c>
      <c r="K318" s="0" t="inlineStr">
        <is>
          <t>YES! 	 id列源备映射正确，源端为int None位	期望更改为int	实际备端为int None位</t>
        </is>
      </c>
    </row>
    <row r="319">
      <c r="B319" s="0" t="inlineStr">
        <is>
          <t>NULL</t>
        </is>
      </c>
      <c r="C319" s="0" t="inlineStr">
        <is>
          <t>NULL</t>
        </is>
      </c>
      <c r="D319" s="0" t="inlineStr">
        <is>
          <t>NULL</t>
        </is>
      </c>
      <c r="E319" s="0" t="inlineStr">
        <is>
          <t>NULL</t>
        </is>
      </c>
      <c r="F319" s="0" t="inlineStr">
        <is>
          <t>NULL</t>
        </is>
      </c>
      <c r="G319" s="0" t="inlineStr">
        <is>
          <t>NULL</t>
        </is>
      </c>
      <c r="H319" s="0" t="inlineStr">
        <is>
          <t>NULL</t>
        </is>
      </c>
      <c r="I319" s="0" t="inlineStr">
        <is>
          <t>NULL</t>
        </is>
      </c>
      <c r="J319" s="0" t="inlineStr">
        <is>
          <t>NULL</t>
        </is>
      </c>
      <c r="K319" s="0" t="inlineStr">
        <is>
          <t>YES! 	 c_tinyint列源备映射正确，源端为tinyint None位	期望更改为tinyint	实际备端为tinyint None位</t>
        </is>
      </c>
    </row>
    <row r="320">
      <c r="B320" s="0" t="inlineStr">
        <is>
          <t>NULL</t>
        </is>
      </c>
      <c r="C320" s="0" t="inlineStr">
        <is>
          <t>NULL</t>
        </is>
      </c>
      <c r="D320" s="0" t="inlineStr">
        <is>
          <t>NULL</t>
        </is>
      </c>
      <c r="E320" s="0" t="inlineStr">
        <is>
          <t>NULL</t>
        </is>
      </c>
      <c r="F320" s="0" t="inlineStr">
        <is>
          <t>NULL</t>
        </is>
      </c>
      <c r="G320" s="0" t="inlineStr">
        <is>
          <t>NULL</t>
        </is>
      </c>
      <c r="H320" s="0" t="inlineStr">
        <is>
          <t>NULL</t>
        </is>
      </c>
      <c r="I320" s="0" t="inlineStr">
        <is>
          <t>NULL</t>
        </is>
      </c>
      <c r="J320" s="0" t="inlineStr">
        <is>
          <t>NULL</t>
        </is>
      </c>
      <c r="K320" s="0" t="inlineStr">
        <is>
          <t>YES! 	 c_smallint列源备映射正确，源端为smallint None位	期望更改为smallint	实际备端为smallint None位</t>
        </is>
      </c>
    </row>
    <row r="321">
      <c r="B321" s="0" t="inlineStr">
        <is>
          <t>NULL</t>
        </is>
      </c>
      <c r="C321" s="0" t="inlineStr">
        <is>
          <t>NULL</t>
        </is>
      </c>
      <c r="D321" s="0" t="inlineStr">
        <is>
          <t>NULL</t>
        </is>
      </c>
      <c r="E321" s="0" t="inlineStr">
        <is>
          <t>NULL</t>
        </is>
      </c>
      <c r="F321" s="0" t="inlineStr">
        <is>
          <t>NULL</t>
        </is>
      </c>
      <c r="G321" s="0" t="inlineStr">
        <is>
          <t>NULL</t>
        </is>
      </c>
      <c r="H321" s="0" t="inlineStr">
        <is>
          <t>NULL</t>
        </is>
      </c>
      <c r="I321" s="0" t="inlineStr">
        <is>
          <t>NULL</t>
        </is>
      </c>
      <c r="J321" s="0" t="inlineStr">
        <is>
          <t>NULL</t>
        </is>
      </c>
      <c r="K321" s="0" t="inlineStr">
        <is>
          <t>YES! 	 c_int列源备映射正确，源端为int None位	期望更改为int	实际备端为int None位</t>
        </is>
      </c>
    </row>
    <row r="322">
      <c r="B322" s="0" t="inlineStr">
        <is>
          <t>NULL</t>
        </is>
      </c>
      <c r="C322" s="0" t="inlineStr">
        <is>
          <t>NULL</t>
        </is>
      </c>
      <c r="D322" s="0" t="inlineStr">
        <is>
          <t>NULL</t>
        </is>
      </c>
      <c r="E322" s="0" t="inlineStr">
        <is>
          <t>NULL</t>
        </is>
      </c>
      <c r="F322" s="0" t="inlineStr">
        <is>
          <t>NULL</t>
        </is>
      </c>
      <c r="G322" s="0" t="inlineStr">
        <is>
          <t>NULL</t>
        </is>
      </c>
      <c r="H322" s="0" t="inlineStr">
        <is>
          <t>NULL</t>
        </is>
      </c>
      <c r="I322" s="0" t="inlineStr">
        <is>
          <t>NULL</t>
        </is>
      </c>
      <c r="J322" s="0" t="inlineStr">
        <is>
          <t>NULL</t>
        </is>
      </c>
      <c r="K322" s="0" t="inlineStr">
        <is>
          <t>YES! 	 c_bigint列源备映射正确，源端为bigint None位	期望更改为bigint	实际备端为bigint None位</t>
        </is>
      </c>
    </row>
    <row r="323">
      <c r="B323" s="0" t="inlineStr">
        <is>
          <t>NULL</t>
        </is>
      </c>
      <c r="C323" s="0" t="inlineStr">
        <is>
          <t>NULL</t>
        </is>
      </c>
      <c r="D323" s="0" t="inlineStr">
        <is>
          <t>NULL</t>
        </is>
      </c>
      <c r="E323" s="0" t="inlineStr">
        <is>
          <t>NULL</t>
        </is>
      </c>
      <c r="F323" s="0" t="inlineStr">
        <is>
          <t>NULL</t>
        </is>
      </c>
      <c r="G323" s="0" t="inlineStr">
        <is>
          <t>NULL</t>
        </is>
      </c>
      <c r="H323" s="0" t="inlineStr">
        <is>
          <t>NULL</t>
        </is>
      </c>
      <c r="I323" s="0" t="inlineStr">
        <is>
          <t>NULL</t>
        </is>
      </c>
      <c r="J323" s="0" t="inlineStr">
        <is>
          <t>NULL</t>
        </is>
      </c>
      <c r="K323" s="0" t="inlineStr">
        <is>
          <t>YES! 	 c_decimal列源备映射正确，源端为decimal None位	期望更改为decimal(p,s)	实际备端为decimal None位</t>
        </is>
      </c>
    </row>
    <row r="324">
      <c r="B324" s="0" t="inlineStr">
        <is>
          <t>NULL</t>
        </is>
      </c>
      <c r="C324" s="0" t="inlineStr">
        <is>
          <t>NULL</t>
        </is>
      </c>
      <c r="D324" s="0" t="inlineStr">
        <is>
          <t>NULL</t>
        </is>
      </c>
      <c r="E324" s="0" t="inlineStr">
        <is>
          <t>NULL</t>
        </is>
      </c>
      <c r="F324" s="0" t="inlineStr">
        <is>
          <t>NULL</t>
        </is>
      </c>
      <c r="G324" s="0" t="inlineStr">
        <is>
          <t>NULL</t>
        </is>
      </c>
      <c r="H324" s="0" t="inlineStr">
        <is>
          <t>NULL</t>
        </is>
      </c>
      <c r="I324" s="0" t="inlineStr">
        <is>
          <t>NULL</t>
        </is>
      </c>
      <c r="J324" s="0" t="inlineStr">
        <is>
          <t>NULL</t>
        </is>
      </c>
      <c r="K324" s="0" t="inlineStr">
        <is>
          <t>YES! 	 c_decimal38列源备映射正确，源端为decimal None位	期望更改为decimal(p,s)	实际备端为decimal None位</t>
        </is>
      </c>
    </row>
    <row r="325">
      <c r="B325" s="0" t="inlineStr">
        <is>
          <t>NULL</t>
        </is>
      </c>
      <c r="C325" s="0" t="inlineStr">
        <is>
          <t>NULL</t>
        </is>
      </c>
      <c r="D325" s="0" t="inlineStr">
        <is>
          <t>NULL</t>
        </is>
      </c>
      <c r="E325" s="0" t="inlineStr">
        <is>
          <t>NULL</t>
        </is>
      </c>
      <c r="F325" s="0" t="inlineStr">
        <is>
          <t>NULL</t>
        </is>
      </c>
      <c r="G325" s="0" t="inlineStr">
        <is>
          <t>NULL</t>
        </is>
      </c>
      <c r="H325" s="0" t="inlineStr">
        <is>
          <t>NULL</t>
        </is>
      </c>
      <c r="I325" s="0" t="inlineStr">
        <is>
          <t>NULL</t>
        </is>
      </c>
      <c r="J325" s="0" t="inlineStr">
        <is>
          <t>NULL</t>
        </is>
      </c>
      <c r="K325" s="0" t="inlineStr">
        <is>
          <t xml:space="preserve"> NO!  	 c_decimal38_38列源备映射错误，源端为decimal None位	期望更改为decimal(p,s)	实际备端为varchar 168位</t>
        </is>
      </c>
    </row>
    <row r="326">
      <c r="B326" s="0" t="inlineStr">
        <is>
          <t>NULL</t>
        </is>
      </c>
      <c r="C326" s="0" t="inlineStr">
        <is>
          <t>NULL</t>
        </is>
      </c>
      <c r="D326" s="0" t="inlineStr">
        <is>
          <t>NULL</t>
        </is>
      </c>
      <c r="E326" s="0" t="inlineStr">
        <is>
          <t>NULL</t>
        </is>
      </c>
      <c r="F326" s="0" t="inlineStr">
        <is>
          <t>NULL</t>
        </is>
      </c>
      <c r="G326" s="0" t="inlineStr">
        <is>
          <t>NULL</t>
        </is>
      </c>
      <c r="H326" s="0" t="inlineStr">
        <is>
          <t>NULL</t>
        </is>
      </c>
      <c r="I326" s="0" t="inlineStr">
        <is>
          <t>NULL</t>
        </is>
      </c>
      <c r="J326" s="0" t="inlineStr">
        <is>
          <t>NULL</t>
        </is>
      </c>
      <c r="K326" s="0" t="inlineStr">
        <is>
          <t>YES! 	 c_decimal38_10列源备映射正确，源端为decimal None位	期望更改为decimal(p,s)	实际备端为decimal None位</t>
        </is>
      </c>
    </row>
    <row r="327">
      <c r="B327" s="0" t="inlineStr">
        <is>
          <t>NULL</t>
        </is>
      </c>
      <c r="C327" s="0" t="inlineStr">
        <is>
          <t>NULL</t>
        </is>
      </c>
      <c r="D327" s="0" t="inlineStr">
        <is>
          <t>NULL</t>
        </is>
      </c>
      <c r="E327" s="0" t="inlineStr">
        <is>
          <t>NULL</t>
        </is>
      </c>
      <c r="F327" s="0" t="inlineStr">
        <is>
          <t>NULL</t>
        </is>
      </c>
      <c r="G327" s="0" t="inlineStr">
        <is>
          <t>NULL</t>
        </is>
      </c>
      <c r="H327" s="0" t="inlineStr">
        <is>
          <t>NULL</t>
        </is>
      </c>
      <c r="I327" s="0" t="inlineStr">
        <is>
          <t>NULL</t>
        </is>
      </c>
      <c r="J327" s="0" t="inlineStr">
        <is>
          <t>NULL</t>
        </is>
      </c>
      <c r="K327" s="0" t="inlineStr">
        <is>
          <t>YES! 	 c_decimal19_4列源备映射正确，源端为decimal None位	期望更改为decimal(p,s)	实际备端为decimal None位</t>
        </is>
      </c>
    </row>
    <row r="328">
      <c r="B328" s="0" t="inlineStr">
        <is>
          <t>NULL</t>
        </is>
      </c>
      <c r="C328" s="0" t="inlineStr">
        <is>
          <t>NULL</t>
        </is>
      </c>
      <c r="D328" s="0" t="inlineStr">
        <is>
          <t>NULL</t>
        </is>
      </c>
      <c r="E328" s="0" t="inlineStr">
        <is>
          <t>NULL</t>
        </is>
      </c>
      <c r="F328" s="0" t="inlineStr">
        <is>
          <t>NULL</t>
        </is>
      </c>
      <c r="G328" s="0" t="inlineStr">
        <is>
          <t>NULL</t>
        </is>
      </c>
      <c r="H328" s="0" t="inlineStr">
        <is>
          <t>NULL</t>
        </is>
      </c>
      <c r="I328" s="0" t="inlineStr">
        <is>
          <t>NULL</t>
        </is>
      </c>
      <c r="J328" s="0" t="inlineStr">
        <is>
          <t>NULL</t>
        </is>
      </c>
      <c r="K328" s="0" t="inlineStr">
        <is>
          <t>YES! 	 c_numeric列源备映射正确，源端为numeric None位	期望更改为decimal(p,s)	实际备端为decimal None位</t>
        </is>
      </c>
    </row>
    <row r="329">
      <c r="B329" s="0" t="inlineStr">
        <is>
          <t>NULL</t>
        </is>
      </c>
      <c r="C329" s="0" t="inlineStr">
        <is>
          <t>NULL</t>
        </is>
      </c>
      <c r="D329" s="0" t="inlineStr">
        <is>
          <t>NULL</t>
        </is>
      </c>
      <c r="E329" s="0" t="inlineStr">
        <is>
          <t>NULL</t>
        </is>
      </c>
      <c r="F329" s="0" t="inlineStr">
        <is>
          <t>NULL</t>
        </is>
      </c>
      <c r="G329" s="0" t="inlineStr">
        <is>
          <t>NULL</t>
        </is>
      </c>
      <c r="H329" s="0" t="inlineStr">
        <is>
          <t>NULL</t>
        </is>
      </c>
      <c r="I329" s="0" t="inlineStr">
        <is>
          <t>NULL</t>
        </is>
      </c>
      <c r="J329" s="0" t="inlineStr">
        <is>
          <t>NULL</t>
        </is>
      </c>
      <c r="K329" s="0" t="inlineStr">
        <is>
          <t>YES! 	 c_numeric38列源备映射正确，源端为numeric None位	期望更改为decimal(p,s)	实际备端为decimal None位</t>
        </is>
      </c>
    </row>
    <row r="330">
      <c r="B330" s="0" t="inlineStr">
        <is>
          <t>NULL</t>
        </is>
      </c>
      <c r="C330" s="0" t="inlineStr">
        <is>
          <t>NULL</t>
        </is>
      </c>
      <c r="D330" s="0" t="inlineStr">
        <is>
          <t>NULL</t>
        </is>
      </c>
      <c r="E330" s="0" t="inlineStr">
        <is>
          <t>NULL</t>
        </is>
      </c>
      <c r="F330" s="0" t="inlineStr">
        <is>
          <t>NULL</t>
        </is>
      </c>
      <c r="G330" s="0" t="inlineStr">
        <is>
          <t>NULL</t>
        </is>
      </c>
      <c r="H330" s="0" t="inlineStr">
        <is>
          <t>NULL</t>
        </is>
      </c>
      <c r="I330" s="0" t="inlineStr">
        <is>
          <t>NULL</t>
        </is>
      </c>
      <c r="J330" s="0" t="inlineStr">
        <is>
          <t>NULL</t>
        </is>
      </c>
      <c r="K330" s="0" t="inlineStr">
        <is>
          <t xml:space="preserve"> NO!  	 c_numeric38_38列源备映射错误，源端为numeric None位	期望更改为decimal(p,s)	实际备端为varchar 168位</t>
        </is>
      </c>
    </row>
    <row r="331">
      <c r="B331" s="0" t="inlineStr">
        <is>
          <t>NULL</t>
        </is>
      </c>
      <c r="C331" s="0" t="inlineStr">
        <is>
          <t>NULL</t>
        </is>
      </c>
      <c r="D331" s="0" t="inlineStr">
        <is>
          <t>NULL</t>
        </is>
      </c>
      <c r="E331" s="0" t="inlineStr">
        <is>
          <t>NULL</t>
        </is>
      </c>
      <c r="F331" s="0" t="inlineStr">
        <is>
          <t>NULL</t>
        </is>
      </c>
      <c r="G331" s="0" t="inlineStr">
        <is>
          <t>NULL</t>
        </is>
      </c>
      <c r="H331" s="0" t="inlineStr">
        <is>
          <t>NULL</t>
        </is>
      </c>
      <c r="I331" s="0" t="inlineStr">
        <is>
          <t>NULL</t>
        </is>
      </c>
      <c r="J331" s="0" t="inlineStr">
        <is>
          <t>NULL</t>
        </is>
      </c>
      <c r="K331" s="0" t="inlineStr">
        <is>
          <t>YES! 	 c_numeric38_10列源备映射正确，源端为numeric None位	期望更改为decimal(p,s)	实际备端为decimal None位</t>
        </is>
      </c>
    </row>
    <row r="332">
      <c r="B332" s="0" t="inlineStr">
        <is>
          <t>NULL</t>
        </is>
      </c>
      <c r="C332" s="0" t="inlineStr">
        <is>
          <t>NULL</t>
        </is>
      </c>
      <c r="D332" s="0" t="inlineStr">
        <is>
          <t>NULL</t>
        </is>
      </c>
      <c r="E332" s="0" t="inlineStr">
        <is>
          <t>NULL</t>
        </is>
      </c>
      <c r="F332" s="0" t="inlineStr">
        <is>
          <t>NULL</t>
        </is>
      </c>
      <c r="G332" s="0" t="inlineStr">
        <is>
          <t>NULL</t>
        </is>
      </c>
      <c r="H332" s="0" t="inlineStr">
        <is>
          <t>NULL</t>
        </is>
      </c>
      <c r="I332" s="0" t="inlineStr">
        <is>
          <t>NULL</t>
        </is>
      </c>
      <c r="J332" s="0" t="inlineStr">
        <is>
          <t>NULL</t>
        </is>
      </c>
      <c r="K332" s="0" t="inlineStr">
        <is>
          <t>YES! 	 c_numeric18_2列源备映射正确，源端为numeric None位	期望更改为decimal(p,s)	实际备端为decimal None位</t>
        </is>
      </c>
    </row>
    <row r="333">
      <c r="B333" s="0" t="inlineStr">
        <is>
          <t>NULL</t>
        </is>
      </c>
      <c r="C333" s="0" t="inlineStr">
        <is>
          <t>NULL</t>
        </is>
      </c>
      <c r="D333" s="0" t="inlineStr">
        <is>
          <t>NULL</t>
        </is>
      </c>
      <c r="E333" s="0" t="inlineStr">
        <is>
          <t>NULL</t>
        </is>
      </c>
      <c r="F333" s="0" t="inlineStr">
        <is>
          <t>NULL</t>
        </is>
      </c>
      <c r="G333" s="0" t="inlineStr">
        <is>
          <t>NULL</t>
        </is>
      </c>
      <c r="H333" s="0" t="inlineStr">
        <is>
          <t>NULL</t>
        </is>
      </c>
      <c r="I333" s="0" t="inlineStr">
        <is>
          <t>NULL</t>
        </is>
      </c>
      <c r="J333" s="0" t="inlineStr">
        <is>
          <t>NULL</t>
        </is>
      </c>
      <c r="K333" s="0" t="inlineStr">
        <is>
          <t>YES! 	 c_float列源备映射正确，源端为float None位	期望更改为double	实际备端为double None位</t>
        </is>
      </c>
    </row>
    <row r="334">
      <c r="B334" s="0" t="inlineStr">
        <is>
          <t>NULL</t>
        </is>
      </c>
      <c r="C334" s="0" t="inlineStr">
        <is>
          <t>NULL</t>
        </is>
      </c>
      <c r="D334" s="0" t="inlineStr">
        <is>
          <t>NULL</t>
        </is>
      </c>
      <c r="E334" s="0" t="inlineStr">
        <is>
          <t>NULL</t>
        </is>
      </c>
      <c r="F334" s="0" t="inlineStr">
        <is>
          <t>NULL</t>
        </is>
      </c>
      <c r="G334" s="0" t="inlineStr">
        <is>
          <t>NULL</t>
        </is>
      </c>
      <c r="H334" s="0" t="inlineStr">
        <is>
          <t>NULL</t>
        </is>
      </c>
      <c r="I334" s="0" t="inlineStr">
        <is>
          <t>NULL</t>
        </is>
      </c>
      <c r="J334" s="0" t="inlineStr">
        <is>
          <t>NULL</t>
        </is>
      </c>
      <c r="K334" s="0" t="inlineStr">
        <is>
          <t>YES! 	 c_real列源备映射正确，源端为real None位	期望更改为double	实际备端为double None位</t>
        </is>
      </c>
    </row>
    <row r="335">
      <c r="B335" s="0" t="inlineStr">
        <is>
          <t>NULL</t>
        </is>
      </c>
      <c r="C335" s="0" t="inlineStr">
        <is>
          <t>NULL</t>
        </is>
      </c>
      <c r="D335" s="0" t="inlineStr">
        <is>
          <t>NULL</t>
        </is>
      </c>
      <c r="E335" s="0" t="inlineStr">
        <is>
          <t>NULL</t>
        </is>
      </c>
      <c r="F335" s="0" t="inlineStr">
        <is>
          <t>NULL</t>
        </is>
      </c>
      <c r="G335" s="0" t="inlineStr">
        <is>
          <t>NULL</t>
        </is>
      </c>
      <c r="H335" s="0" t="inlineStr">
        <is>
          <t>NULL</t>
        </is>
      </c>
      <c r="I335" s="0" t="inlineStr">
        <is>
          <t>NULL</t>
        </is>
      </c>
      <c r="J335" s="0" t="inlineStr">
        <is>
          <t>NULL</t>
        </is>
      </c>
      <c r="K335" s="0" t="inlineStr">
        <is>
          <t>YES! 	 c_money列源备映射正确，源端为money None位	期望更改为decimal(19,4)	实际备端为decimal None位</t>
        </is>
      </c>
    </row>
    <row r="336">
      <c r="B336" s="0" t="inlineStr">
        <is>
          <t>NULL</t>
        </is>
      </c>
      <c r="C336" s="0" t="inlineStr">
        <is>
          <t>NULL</t>
        </is>
      </c>
      <c r="D336" s="0" t="inlineStr">
        <is>
          <t>NULL</t>
        </is>
      </c>
      <c r="E336" s="0" t="inlineStr">
        <is>
          <t>NULL</t>
        </is>
      </c>
      <c r="F336" s="0" t="inlineStr">
        <is>
          <t>NULL</t>
        </is>
      </c>
      <c r="G336" s="0" t="inlineStr">
        <is>
          <t>NULL</t>
        </is>
      </c>
      <c r="H336" s="0" t="inlineStr">
        <is>
          <t>NULL</t>
        </is>
      </c>
      <c r="I336" s="0" t="inlineStr">
        <is>
          <t>NULL</t>
        </is>
      </c>
      <c r="J336" s="0" t="inlineStr">
        <is>
          <t>NULL</t>
        </is>
      </c>
      <c r="K336" s="0" t="inlineStr">
        <is>
          <t>YES! 	 c_smallmoney列源备映射正确，源端为smallmoney None位	期望更改为decimal(10,4)	实际备端为decimal None位</t>
        </is>
      </c>
    </row>
    <row r="337">
      <c r="B337" s="0" t="inlineStr">
        <is>
          <t>NULL</t>
        </is>
      </c>
      <c r="C337" s="0" t="inlineStr">
        <is>
          <t>NULL</t>
        </is>
      </c>
      <c r="D337" s="0" t="inlineStr">
        <is>
          <t>NULL</t>
        </is>
      </c>
      <c r="E337" s="0" t="inlineStr">
        <is>
          <t>NULL</t>
        </is>
      </c>
      <c r="F337" s="0" t="inlineStr">
        <is>
          <t>NULL</t>
        </is>
      </c>
      <c r="G337" s="0" t="inlineStr">
        <is>
          <t>NULL</t>
        </is>
      </c>
      <c r="H337" s="0" t="inlineStr">
        <is>
          <t>NULL</t>
        </is>
      </c>
      <c r="I337" s="0" t="inlineStr">
        <is>
          <t>NULL</t>
        </is>
      </c>
      <c r="J337" s="0" t="inlineStr">
        <is>
          <t>NULL</t>
        </is>
      </c>
      <c r="K337" s="0" t="inlineStr">
        <is>
          <t>YES! 	 c_bit列源备映射正确，源端为bit None位	期望更改为tinyint(1) 	实际备端为tinyint None位</t>
        </is>
      </c>
    </row>
    <row r="338">
      <c r="A338" s="0" t="inlineStr">
        <is>
          <t>info_sdt_dml_batch1_pk_urp1</t>
        </is>
      </c>
      <c r="K338" s="0" t="inlineStr">
        <is>
          <t>[0;34m info_sdt_dml_batch1_pk_urp1 [0m源备字段数相同，源端字段：2 	备端字段2</t>
        </is>
      </c>
      <c r="W338" s="0" t="inlineStr">
        <is>
          <t>YES 源备无差异</t>
        </is>
      </c>
      <c r="X338" s="0">
        <f>A338</f>
        <v/>
      </c>
    </row>
    <row r="339">
      <c r="B339" s="0" t="inlineStr">
        <is>
          <t>YES</t>
        </is>
      </c>
      <c r="C339" s="0" t="inlineStr">
        <is>
          <t>NULL</t>
        </is>
      </c>
      <c r="D339" s="0" t="inlineStr">
        <is>
          <t>NULL</t>
        </is>
      </c>
      <c r="E339" s="0" t="inlineStr">
        <is>
          <t>NULL</t>
        </is>
      </c>
      <c r="F339" s="0" t="inlineStr">
        <is>
          <t>NULL</t>
        </is>
      </c>
      <c r="G339" s="0" t="inlineStr">
        <is>
          <t>NULL</t>
        </is>
      </c>
      <c r="H339" s="0" t="inlineStr">
        <is>
          <t>NULL</t>
        </is>
      </c>
      <c r="I339" s="0" t="inlineStr">
        <is>
          <t>YES!PK__info_sdt__3213E83FC4043C95</t>
        </is>
      </c>
      <c r="J339" s="0" t="inlineStr">
        <is>
          <t>YES! 主键相关索引</t>
        </is>
      </c>
      <c r="K339" s="0" t="inlineStr">
        <is>
          <t>YES! 	 id列源备映射正确，源端为int None位	期望更改为int	实际备端为int None位</t>
        </is>
      </c>
    </row>
    <row r="340">
      <c r="B340" s="0" t="inlineStr">
        <is>
          <t>NULL</t>
        </is>
      </c>
      <c r="C340" s="0" t="inlineStr">
        <is>
          <t>NULL</t>
        </is>
      </c>
      <c r="D340" s="0" t="inlineStr">
        <is>
          <t>NULL</t>
        </is>
      </c>
      <c r="E340" s="0" t="inlineStr">
        <is>
          <t>NULL</t>
        </is>
      </c>
      <c r="F340" s="0" t="inlineStr">
        <is>
          <t>NULL</t>
        </is>
      </c>
      <c r="G340" s="0" t="inlineStr">
        <is>
          <t>NULL</t>
        </is>
      </c>
      <c r="H340" s="0" t="inlineStr">
        <is>
          <t>NULL</t>
        </is>
      </c>
      <c r="I340" s="0" t="inlineStr">
        <is>
          <t>NULL</t>
        </is>
      </c>
      <c r="J340" s="0" t="inlineStr">
        <is>
          <t>NULL</t>
        </is>
      </c>
      <c r="K340" s="0" t="inlineStr">
        <is>
          <t>YES! 	 c_sdt列源备映射正确，源端为smalldatetime None位	期望更改为datetime	实际备端为datetime None位</t>
        </is>
      </c>
    </row>
    <row r="341">
      <c r="A341" s="0" t="inlineStr">
        <is>
          <t>info_nchar_dml_single_nopk_urp</t>
        </is>
      </c>
      <c r="K341" s="0" t="inlineStr">
        <is>
          <t>[0;34m info_nchar_dml_single_nopk_urp [0m源备字段数相同，源端字段：4 	备端字段4</t>
        </is>
      </c>
      <c r="W341" s="15">
        <f>HYPERLINK("#2026051816mysql2!AS2","NO 源备存在差异，共12个")</f>
        <v/>
      </c>
      <c r="X341" s="0">
        <f>A341</f>
        <v/>
      </c>
    </row>
    <row r="342">
      <c r="B342" s="0" t="inlineStr">
        <is>
          <t>NULL</t>
        </is>
      </c>
      <c r="C342" s="0" t="inlineStr">
        <is>
          <t>NULL</t>
        </is>
      </c>
      <c r="D342" s="0" t="inlineStr">
        <is>
          <t>NULL</t>
        </is>
      </c>
      <c r="E342" s="0" t="inlineStr">
        <is>
          <t>NULL</t>
        </is>
      </c>
      <c r="F342" s="0" t="inlineStr">
        <is>
          <t>NULL</t>
        </is>
      </c>
      <c r="G342" s="0" t="inlineStr">
        <is>
          <t>NULL</t>
        </is>
      </c>
      <c r="H342" s="0" t="inlineStr">
        <is>
          <t>NULL</t>
        </is>
      </c>
      <c r="I342" s="0" t="inlineStr">
        <is>
          <t>NULL</t>
        </is>
      </c>
      <c r="J342" s="0" t="inlineStr">
        <is>
          <t>NULL</t>
        </is>
      </c>
      <c r="K342" s="0" t="inlineStr">
        <is>
          <t>YES! 	 id列源备映射正确，源端为int None位	期望更改为int	实际备端为int None位</t>
        </is>
      </c>
    </row>
    <row r="343">
      <c r="B343" s="0" t="inlineStr">
        <is>
          <t>NULL</t>
        </is>
      </c>
      <c r="C343" s="0" t="inlineStr">
        <is>
          <t>NULL</t>
        </is>
      </c>
      <c r="D343" s="0" t="inlineStr">
        <is>
          <t>NULL</t>
        </is>
      </c>
      <c r="E343" s="0" t="inlineStr">
        <is>
          <t>NULL</t>
        </is>
      </c>
      <c r="F343" s="0" t="inlineStr">
        <is>
          <t>NULL</t>
        </is>
      </c>
      <c r="G343" s="0" t="inlineStr">
        <is>
          <t>NULL</t>
        </is>
      </c>
      <c r="H343" s="0" t="inlineStr">
        <is>
          <t>NULL</t>
        </is>
      </c>
      <c r="I343" s="0" t="inlineStr">
        <is>
          <t>NULL</t>
        </is>
      </c>
      <c r="J343" s="0" t="inlineStr">
        <is>
          <t>NULL</t>
        </is>
      </c>
      <c r="K343" s="0" t="inlineStr">
        <is>
          <t>YES! 	 c_nchar列源备映射正确，源端为nchar 2位	期望更改为char(n)	实际备端为char 4位</t>
        </is>
      </c>
    </row>
    <row r="344">
      <c r="B344" s="0" t="inlineStr">
        <is>
          <t>NULL</t>
        </is>
      </c>
      <c r="C344" s="0" t="inlineStr">
        <is>
          <t>NULL</t>
        </is>
      </c>
      <c r="D344" s="0" t="inlineStr">
        <is>
          <t>NULL</t>
        </is>
      </c>
      <c r="E344" s="0" t="inlineStr">
        <is>
          <t>NULL</t>
        </is>
      </c>
      <c r="F344" s="0" t="inlineStr">
        <is>
          <t>NULL</t>
        </is>
      </c>
      <c r="G344" s="0" t="inlineStr">
        <is>
          <t>NULL</t>
        </is>
      </c>
      <c r="H344" s="0" t="inlineStr">
        <is>
          <t>NULL</t>
        </is>
      </c>
      <c r="I344" s="0" t="inlineStr">
        <is>
          <t>NULL</t>
        </is>
      </c>
      <c r="J344" s="0" t="inlineStr">
        <is>
          <t>NULL</t>
        </is>
      </c>
      <c r="K344" s="0" t="inlineStr">
        <is>
          <t>YES! 	 c_nchar20列源备映射正确，源端为nchar 40位	期望更改为char(n)	实际备端为char 80位</t>
        </is>
      </c>
    </row>
    <row r="345">
      <c r="B345" s="0" t="inlineStr">
        <is>
          <t>NULL</t>
        </is>
      </c>
      <c r="C345" s="0" t="inlineStr">
        <is>
          <t>NULL</t>
        </is>
      </c>
      <c r="D345" s="0" t="inlineStr">
        <is>
          <t>NULL</t>
        </is>
      </c>
      <c r="E345" s="0" t="inlineStr">
        <is>
          <t>NULL</t>
        </is>
      </c>
      <c r="F345" s="0" t="inlineStr">
        <is>
          <t>NULL</t>
        </is>
      </c>
      <c r="G345" s="0" t="inlineStr">
        <is>
          <t>NULL</t>
        </is>
      </c>
      <c r="H345" s="0" t="inlineStr">
        <is>
          <t>NULL</t>
        </is>
      </c>
      <c r="I345" s="0" t="inlineStr">
        <is>
          <t>NULL</t>
        </is>
      </c>
      <c r="J345" s="0" t="inlineStr">
        <is>
          <t>NULL</t>
        </is>
      </c>
      <c r="K345" s="0" t="inlineStr">
        <is>
          <t xml:space="preserve"> NO!  	 c_nchar3500列源备映射错误，源端为nchar 7000位	期望更改为varchar(n)	实际备端为text 65535位</t>
        </is>
      </c>
    </row>
    <row r="346">
      <c r="A346" s="0" t="inlineStr">
        <is>
          <t>info_nchar_dml_single_nopk_drp</t>
        </is>
      </c>
      <c r="K346" s="0" t="inlineStr">
        <is>
          <t>[0;34m info_nchar_dml_single_nopk_drp [0m源备字段数相同，源端字段：4 	备端字段4</t>
        </is>
      </c>
      <c r="W346" s="15">
        <f>HYPERLINK("#2026051816mysql2!AT2","NO 源备存在差异，共4个")</f>
        <v/>
      </c>
      <c r="X346" s="0">
        <f>A346</f>
        <v/>
      </c>
    </row>
    <row r="347">
      <c r="B347" s="0" t="inlineStr">
        <is>
          <t>NULL</t>
        </is>
      </c>
      <c r="C347" s="0" t="inlineStr">
        <is>
          <t>NULL</t>
        </is>
      </c>
      <c r="D347" s="0" t="inlineStr">
        <is>
          <t>NULL</t>
        </is>
      </c>
      <c r="E347" s="0" t="inlineStr">
        <is>
          <t>NULL</t>
        </is>
      </c>
      <c r="F347" s="0" t="inlineStr">
        <is>
          <t>NULL</t>
        </is>
      </c>
      <c r="G347" s="0" t="inlineStr">
        <is>
          <t>NULL</t>
        </is>
      </c>
      <c r="H347" s="0" t="inlineStr">
        <is>
          <t>NULL</t>
        </is>
      </c>
      <c r="I347" s="0" t="inlineStr">
        <is>
          <t>NULL</t>
        </is>
      </c>
      <c r="J347" s="0" t="inlineStr">
        <is>
          <t>NULL</t>
        </is>
      </c>
      <c r="K347" s="0" t="inlineStr">
        <is>
          <t>YES! 	 id列源备映射正确，源端为int None位	期望更改为int	实际备端为int None位</t>
        </is>
      </c>
    </row>
    <row r="348">
      <c r="B348" s="0" t="inlineStr">
        <is>
          <t>NULL</t>
        </is>
      </c>
      <c r="C348" s="0" t="inlineStr">
        <is>
          <t>NULL</t>
        </is>
      </c>
      <c r="D348" s="0" t="inlineStr">
        <is>
          <t>NULL</t>
        </is>
      </c>
      <c r="E348" s="0" t="inlineStr">
        <is>
          <t>NULL</t>
        </is>
      </c>
      <c r="F348" s="0" t="inlineStr">
        <is>
          <t>NULL</t>
        </is>
      </c>
      <c r="G348" s="0" t="inlineStr">
        <is>
          <t>NULL</t>
        </is>
      </c>
      <c r="H348" s="0" t="inlineStr">
        <is>
          <t>NULL</t>
        </is>
      </c>
      <c r="I348" s="0" t="inlineStr">
        <is>
          <t>NULL</t>
        </is>
      </c>
      <c r="J348" s="0" t="inlineStr">
        <is>
          <t>NULL</t>
        </is>
      </c>
      <c r="K348" s="0" t="inlineStr">
        <is>
          <t>YES! 	 c_nchar列源备映射正确，源端为nchar 2位	期望更改为char(n)	实际备端为char 4位</t>
        </is>
      </c>
    </row>
    <row r="349">
      <c r="B349" s="0" t="inlineStr">
        <is>
          <t>NULL</t>
        </is>
      </c>
      <c r="C349" s="0" t="inlineStr">
        <is>
          <t>NULL</t>
        </is>
      </c>
      <c r="D349" s="0" t="inlineStr">
        <is>
          <t>NULL</t>
        </is>
      </c>
      <c r="E349" s="0" t="inlineStr">
        <is>
          <t>NULL</t>
        </is>
      </c>
      <c r="F349" s="0" t="inlineStr">
        <is>
          <t>NULL</t>
        </is>
      </c>
      <c r="G349" s="0" t="inlineStr">
        <is>
          <t>NULL</t>
        </is>
      </c>
      <c r="H349" s="0" t="inlineStr">
        <is>
          <t>NULL</t>
        </is>
      </c>
      <c r="I349" s="0" t="inlineStr">
        <is>
          <t>NULL</t>
        </is>
      </c>
      <c r="J349" s="0" t="inlineStr">
        <is>
          <t>NULL</t>
        </is>
      </c>
      <c r="K349" s="0" t="inlineStr">
        <is>
          <t>YES! 	 c_nchar20列源备映射正确，源端为nchar 40位	期望更改为char(n)	实际备端为char 80位</t>
        </is>
      </c>
    </row>
    <row r="350">
      <c r="B350" s="0" t="inlineStr">
        <is>
          <t>NULL</t>
        </is>
      </c>
      <c r="C350" s="0" t="inlineStr">
        <is>
          <t>NULL</t>
        </is>
      </c>
      <c r="D350" s="0" t="inlineStr">
        <is>
          <t>NULL</t>
        </is>
      </c>
      <c r="E350" s="0" t="inlineStr">
        <is>
          <t>NULL</t>
        </is>
      </c>
      <c r="F350" s="0" t="inlineStr">
        <is>
          <t>NULL</t>
        </is>
      </c>
      <c r="G350" s="0" t="inlineStr">
        <is>
          <t>NULL</t>
        </is>
      </c>
      <c r="H350" s="0" t="inlineStr">
        <is>
          <t>NULL</t>
        </is>
      </c>
      <c r="I350" s="0" t="inlineStr">
        <is>
          <t>NULL</t>
        </is>
      </c>
      <c r="J350" s="0" t="inlineStr">
        <is>
          <t>NULL</t>
        </is>
      </c>
      <c r="K350" s="0" t="inlineStr">
        <is>
          <t xml:space="preserve"> NO!  	 c_nchar3500列源备映射错误，源端为nchar 7000位	期望更改为varchar(n)	实际备端为text 65535位</t>
        </is>
      </c>
    </row>
    <row r="351">
      <c r="A351" s="0" t="inlineStr">
        <is>
          <t>info_varchar_dml_batch1_pk_irp1</t>
        </is>
      </c>
      <c r="K351" s="0" t="inlineStr">
        <is>
          <t>[0;34m info_varchar_dml_batch1_pk_irp1 [0m源备字段数相同，源端字段：4 	备端字段4</t>
        </is>
      </c>
      <c r="W351" s="0" t="inlineStr">
        <is>
          <t>YES 源备无差异</t>
        </is>
      </c>
      <c r="X351" s="0">
        <f>A351</f>
        <v/>
      </c>
    </row>
    <row r="352">
      <c r="B352" s="0" t="inlineStr">
        <is>
          <t>YES</t>
        </is>
      </c>
      <c r="C352" s="0" t="inlineStr">
        <is>
          <t>NULL</t>
        </is>
      </c>
      <c r="D352" s="0" t="inlineStr">
        <is>
          <t>NULL</t>
        </is>
      </c>
      <c r="E352" s="0" t="inlineStr">
        <is>
          <t>NULL</t>
        </is>
      </c>
      <c r="F352" s="0" t="inlineStr">
        <is>
          <t>NULL</t>
        </is>
      </c>
      <c r="G352" s="0" t="inlineStr">
        <is>
          <t>NULL</t>
        </is>
      </c>
      <c r="H352" s="0" t="inlineStr">
        <is>
          <t>NULL</t>
        </is>
      </c>
      <c r="I352" s="0" t="inlineStr">
        <is>
          <t>YES!PK__info_var__3213E83F369F1F96</t>
        </is>
      </c>
      <c r="J352" s="0" t="inlineStr">
        <is>
          <t>YES! 主键相关索引</t>
        </is>
      </c>
      <c r="K352" s="0" t="inlineStr">
        <is>
          <t>YES! 	 id列源备映射正确，源端为int None位	期望更改为int	实际备端为int None位</t>
        </is>
      </c>
    </row>
    <row r="353">
      <c r="B353" s="0" t="inlineStr">
        <is>
          <t>NULL</t>
        </is>
      </c>
      <c r="C353" s="0" t="inlineStr">
        <is>
          <t>NULL</t>
        </is>
      </c>
      <c r="D353" s="0" t="inlineStr">
        <is>
          <t>NULL</t>
        </is>
      </c>
      <c r="E353" s="0" t="inlineStr">
        <is>
          <t>NULL</t>
        </is>
      </c>
      <c r="F353" s="0" t="inlineStr">
        <is>
          <t>NULL</t>
        </is>
      </c>
      <c r="G353" s="0" t="inlineStr">
        <is>
          <t>NULL</t>
        </is>
      </c>
      <c r="H353" s="0" t="inlineStr">
        <is>
          <t>NULL</t>
        </is>
      </c>
      <c r="I353" s="0" t="inlineStr">
        <is>
          <t>NULL</t>
        </is>
      </c>
      <c r="J353" s="0" t="inlineStr">
        <is>
          <t>NULL</t>
        </is>
      </c>
      <c r="K353" s="0" t="inlineStr">
        <is>
          <t>YES! 	 c_varchar列源备映射正确，源端为varchar 1位	期望更改为varchar(n)	实际备端为varchar 4位</t>
        </is>
      </c>
    </row>
    <row r="354">
      <c r="B354" s="0" t="inlineStr">
        <is>
          <t>NULL</t>
        </is>
      </c>
      <c r="C354" s="0" t="inlineStr">
        <is>
          <t>NULL</t>
        </is>
      </c>
      <c r="D354" s="0" t="inlineStr">
        <is>
          <t>NULL</t>
        </is>
      </c>
      <c r="E354" s="0" t="inlineStr">
        <is>
          <t>NULL</t>
        </is>
      </c>
      <c r="F354" s="0" t="inlineStr">
        <is>
          <t>NULL</t>
        </is>
      </c>
      <c r="G354" s="0" t="inlineStr">
        <is>
          <t>NULL</t>
        </is>
      </c>
      <c r="H354" s="0" t="inlineStr">
        <is>
          <t>NULL</t>
        </is>
      </c>
      <c r="I354" s="0" t="inlineStr">
        <is>
          <t>NULL</t>
        </is>
      </c>
      <c r="J354" s="0" t="inlineStr">
        <is>
          <t>NULL</t>
        </is>
      </c>
      <c r="K354" s="0" t="inlineStr">
        <is>
          <t>YES! 	 c_varchar20列源备映射正确，源端为varchar 20位	期望更改为varchar(n)	实际备端为varchar 80位</t>
        </is>
      </c>
    </row>
    <row r="355">
      <c r="B355" s="0" t="inlineStr">
        <is>
          <t>NULL</t>
        </is>
      </c>
      <c r="C355" s="0" t="inlineStr">
        <is>
          <t>NULL</t>
        </is>
      </c>
      <c r="D355" s="0" t="inlineStr">
        <is>
          <t>NULL</t>
        </is>
      </c>
      <c r="E355" s="0" t="inlineStr">
        <is>
          <t>NULL</t>
        </is>
      </c>
      <c r="F355" s="0" t="inlineStr">
        <is>
          <t>NULL</t>
        </is>
      </c>
      <c r="G355" s="0" t="inlineStr">
        <is>
          <t>NULL</t>
        </is>
      </c>
      <c r="H355" s="0" t="inlineStr">
        <is>
          <t>NULL</t>
        </is>
      </c>
      <c r="I355" s="0" t="inlineStr">
        <is>
          <t>NULL</t>
        </is>
      </c>
      <c r="J355" s="0" t="inlineStr">
        <is>
          <t>NULL</t>
        </is>
      </c>
      <c r="K355" s="0" t="inlineStr">
        <is>
          <t xml:space="preserve"> NO!  	 c_varchar8000列源备映射错误，源端为varchar 8000位	期望更改为longtext	实际备端为text 65535位</t>
        </is>
      </c>
    </row>
    <row r="356">
      <c r="A356" s="0" t="inlineStr">
        <is>
          <t>info_int_dml_single_pk</t>
        </is>
      </c>
      <c r="K356" s="0" t="inlineStr">
        <is>
          <t>[0;34m info_int_dml_single_pk [0m源备字段数相同，源端字段：20 	备端字段20</t>
        </is>
      </c>
      <c r="W356" s="0" t="inlineStr">
        <is>
          <t>YES 源备无差异</t>
        </is>
      </c>
      <c r="X356" s="0">
        <f>A356</f>
        <v/>
      </c>
    </row>
    <row r="357">
      <c r="B357" s="0" t="inlineStr">
        <is>
          <t>YES</t>
        </is>
      </c>
      <c r="C357" s="0" t="inlineStr">
        <is>
          <t>NULL</t>
        </is>
      </c>
      <c r="D357" s="0" t="inlineStr">
        <is>
          <t>NULL</t>
        </is>
      </c>
      <c r="E357" s="0" t="inlineStr">
        <is>
          <t>NULL</t>
        </is>
      </c>
      <c r="F357" s="0" t="inlineStr">
        <is>
          <t>NULL</t>
        </is>
      </c>
      <c r="G357" s="0" t="inlineStr">
        <is>
          <t>NULL</t>
        </is>
      </c>
      <c r="H357" s="0" t="inlineStr">
        <is>
          <t>NULL</t>
        </is>
      </c>
      <c r="I357" s="0" t="inlineStr">
        <is>
          <t>YES!PK__info_int__3213E83F5D7987FF</t>
        </is>
      </c>
      <c r="J357" s="0" t="inlineStr">
        <is>
          <t>YES! 主键相关索引</t>
        </is>
      </c>
      <c r="K357" s="0" t="inlineStr">
        <is>
          <t>YES! 	 id列源备映射正确，源端为int None位	期望更改为int	实际备端为int None位</t>
        </is>
      </c>
    </row>
    <row r="358">
      <c r="B358" s="0" t="inlineStr">
        <is>
          <t>NULL</t>
        </is>
      </c>
      <c r="C358" s="0" t="inlineStr">
        <is>
          <t>NULL</t>
        </is>
      </c>
      <c r="D358" s="0" t="inlineStr">
        <is>
          <t>NULL</t>
        </is>
      </c>
      <c r="E358" s="0" t="inlineStr">
        <is>
          <t>NULL</t>
        </is>
      </c>
      <c r="F358" s="0" t="inlineStr">
        <is>
          <t>NULL</t>
        </is>
      </c>
      <c r="G358" s="0" t="inlineStr">
        <is>
          <t>NULL</t>
        </is>
      </c>
      <c r="H358" s="0" t="inlineStr">
        <is>
          <t>NULL</t>
        </is>
      </c>
      <c r="I358" s="0" t="inlineStr">
        <is>
          <t>NULL</t>
        </is>
      </c>
      <c r="J358" s="0" t="inlineStr">
        <is>
          <t>NULL</t>
        </is>
      </c>
      <c r="K358" s="0" t="inlineStr">
        <is>
          <t>YES! 	 c_tinyint列源备映射正确，源端为tinyint None位	期望更改为tinyint	实际备端为tinyint None位</t>
        </is>
      </c>
    </row>
    <row r="359">
      <c r="B359" s="0" t="inlineStr">
        <is>
          <t>NULL</t>
        </is>
      </c>
      <c r="C359" s="0" t="inlineStr">
        <is>
          <t>NULL</t>
        </is>
      </c>
      <c r="D359" s="0" t="inlineStr">
        <is>
          <t>NULL</t>
        </is>
      </c>
      <c r="E359" s="0" t="inlineStr">
        <is>
          <t>NULL</t>
        </is>
      </c>
      <c r="F359" s="0" t="inlineStr">
        <is>
          <t>NULL</t>
        </is>
      </c>
      <c r="G359" s="0" t="inlineStr">
        <is>
          <t>NULL</t>
        </is>
      </c>
      <c r="H359" s="0" t="inlineStr">
        <is>
          <t>NULL</t>
        </is>
      </c>
      <c r="I359" s="0" t="inlineStr">
        <is>
          <t>NULL</t>
        </is>
      </c>
      <c r="J359" s="0" t="inlineStr">
        <is>
          <t>NULL</t>
        </is>
      </c>
      <c r="K359" s="0" t="inlineStr">
        <is>
          <t>YES! 	 c_smallint列源备映射正确，源端为smallint None位	期望更改为smallint	实际备端为smallint None位</t>
        </is>
      </c>
    </row>
    <row r="360">
      <c r="B360" s="0" t="inlineStr">
        <is>
          <t>NULL</t>
        </is>
      </c>
      <c r="C360" s="0" t="inlineStr">
        <is>
          <t>NULL</t>
        </is>
      </c>
      <c r="D360" s="0" t="inlineStr">
        <is>
          <t>NULL</t>
        </is>
      </c>
      <c r="E360" s="0" t="inlineStr">
        <is>
          <t>NULL</t>
        </is>
      </c>
      <c r="F360" s="0" t="inlineStr">
        <is>
          <t>NULL</t>
        </is>
      </c>
      <c r="G360" s="0" t="inlineStr">
        <is>
          <t>NULL</t>
        </is>
      </c>
      <c r="H360" s="0" t="inlineStr">
        <is>
          <t>NULL</t>
        </is>
      </c>
      <c r="I360" s="0" t="inlineStr">
        <is>
          <t>NULL</t>
        </is>
      </c>
      <c r="J360" s="0" t="inlineStr">
        <is>
          <t>NULL</t>
        </is>
      </c>
      <c r="K360" s="0" t="inlineStr">
        <is>
          <t>YES! 	 c_int列源备映射正确，源端为int None位	期望更改为int	实际备端为int None位</t>
        </is>
      </c>
    </row>
    <row r="361">
      <c r="B361" s="0" t="inlineStr">
        <is>
          <t>NULL</t>
        </is>
      </c>
      <c r="C361" s="0" t="inlineStr">
        <is>
          <t>NULL</t>
        </is>
      </c>
      <c r="D361" s="0" t="inlineStr">
        <is>
          <t>NULL</t>
        </is>
      </c>
      <c r="E361" s="0" t="inlineStr">
        <is>
          <t>NULL</t>
        </is>
      </c>
      <c r="F361" s="0" t="inlineStr">
        <is>
          <t>NULL</t>
        </is>
      </c>
      <c r="G361" s="0" t="inlineStr">
        <is>
          <t>NULL</t>
        </is>
      </c>
      <c r="H361" s="0" t="inlineStr">
        <is>
          <t>NULL</t>
        </is>
      </c>
      <c r="I361" s="0" t="inlineStr">
        <is>
          <t>NULL</t>
        </is>
      </c>
      <c r="J361" s="0" t="inlineStr">
        <is>
          <t>NULL</t>
        </is>
      </c>
      <c r="K361" s="0" t="inlineStr">
        <is>
          <t>YES! 	 c_bigint列源备映射正确，源端为bigint None位	期望更改为bigint	实际备端为bigint None位</t>
        </is>
      </c>
    </row>
    <row r="362">
      <c r="B362" s="0" t="inlineStr">
        <is>
          <t>NULL</t>
        </is>
      </c>
      <c r="C362" s="0" t="inlineStr">
        <is>
          <t>NULL</t>
        </is>
      </c>
      <c r="D362" s="0" t="inlineStr">
        <is>
          <t>NULL</t>
        </is>
      </c>
      <c r="E362" s="0" t="inlineStr">
        <is>
          <t>NULL</t>
        </is>
      </c>
      <c r="F362" s="0" t="inlineStr">
        <is>
          <t>NULL</t>
        </is>
      </c>
      <c r="G362" s="0" t="inlineStr">
        <is>
          <t>NULL</t>
        </is>
      </c>
      <c r="H362" s="0" t="inlineStr">
        <is>
          <t>NULL</t>
        </is>
      </c>
      <c r="I362" s="0" t="inlineStr">
        <is>
          <t>NULL</t>
        </is>
      </c>
      <c r="J362" s="0" t="inlineStr">
        <is>
          <t>NULL</t>
        </is>
      </c>
      <c r="K362" s="0" t="inlineStr">
        <is>
          <t>YES! 	 c_decimal列源备映射正确，源端为decimal None位	期望更改为decimal(p,s)	实际备端为decimal None位</t>
        </is>
      </c>
    </row>
    <row r="363">
      <c r="B363" s="0" t="inlineStr">
        <is>
          <t>NULL</t>
        </is>
      </c>
      <c r="C363" s="0" t="inlineStr">
        <is>
          <t>NULL</t>
        </is>
      </c>
      <c r="D363" s="0" t="inlineStr">
        <is>
          <t>NULL</t>
        </is>
      </c>
      <c r="E363" s="0" t="inlineStr">
        <is>
          <t>NULL</t>
        </is>
      </c>
      <c r="F363" s="0" t="inlineStr">
        <is>
          <t>NULL</t>
        </is>
      </c>
      <c r="G363" s="0" t="inlineStr">
        <is>
          <t>NULL</t>
        </is>
      </c>
      <c r="H363" s="0" t="inlineStr">
        <is>
          <t>NULL</t>
        </is>
      </c>
      <c r="I363" s="0" t="inlineStr">
        <is>
          <t>NULL</t>
        </is>
      </c>
      <c r="J363" s="0" t="inlineStr">
        <is>
          <t>NULL</t>
        </is>
      </c>
      <c r="K363" s="0" t="inlineStr">
        <is>
          <t>YES! 	 c_decimal38列源备映射正确，源端为decimal None位	期望更改为decimal(p,s)	实际备端为decimal None位</t>
        </is>
      </c>
    </row>
    <row r="364">
      <c r="B364" s="0" t="inlineStr">
        <is>
          <t>NULL</t>
        </is>
      </c>
      <c r="C364" s="0" t="inlineStr">
        <is>
          <t>NULL</t>
        </is>
      </c>
      <c r="D364" s="0" t="inlineStr">
        <is>
          <t>NULL</t>
        </is>
      </c>
      <c r="E364" s="0" t="inlineStr">
        <is>
          <t>NULL</t>
        </is>
      </c>
      <c r="F364" s="0" t="inlineStr">
        <is>
          <t>NULL</t>
        </is>
      </c>
      <c r="G364" s="0" t="inlineStr">
        <is>
          <t>NULL</t>
        </is>
      </c>
      <c r="H364" s="0" t="inlineStr">
        <is>
          <t>NULL</t>
        </is>
      </c>
      <c r="I364" s="0" t="inlineStr">
        <is>
          <t>NULL</t>
        </is>
      </c>
      <c r="J364" s="0" t="inlineStr">
        <is>
          <t>NULL</t>
        </is>
      </c>
      <c r="K364" s="0" t="inlineStr">
        <is>
          <t xml:space="preserve"> NO!  	 c_decimal38_38列源备映射错误，源端为decimal None位	期望更改为decimal(p,s)	实际备端为varchar 168位</t>
        </is>
      </c>
    </row>
    <row r="365">
      <c r="B365" s="0" t="inlineStr">
        <is>
          <t>NULL</t>
        </is>
      </c>
      <c r="C365" s="0" t="inlineStr">
        <is>
          <t>NULL</t>
        </is>
      </c>
      <c r="D365" s="0" t="inlineStr">
        <is>
          <t>NULL</t>
        </is>
      </c>
      <c r="E365" s="0" t="inlineStr">
        <is>
          <t>NULL</t>
        </is>
      </c>
      <c r="F365" s="0" t="inlineStr">
        <is>
          <t>NULL</t>
        </is>
      </c>
      <c r="G365" s="0" t="inlineStr">
        <is>
          <t>NULL</t>
        </is>
      </c>
      <c r="H365" s="0" t="inlineStr">
        <is>
          <t>NULL</t>
        </is>
      </c>
      <c r="I365" s="0" t="inlineStr">
        <is>
          <t>NULL</t>
        </is>
      </c>
      <c r="J365" s="0" t="inlineStr">
        <is>
          <t>NULL</t>
        </is>
      </c>
      <c r="K365" s="0" t="inlineStr">
        <is>
          <t>YES! 	 c_decimal38_10列源备映射正确，源端为decimal None位	期望更改为decimal(p,s)	实际备端为decimal None位</t>
        </is>
      </c>
    </row>
    <row r="366">
      <c r="B366" s="0" t="inlineStr">
        <is>
          <t>NULL</t>
        </is>
      </c>
      <c r="C366" s="0" t="inlineStr">
        <is>
          <t>NULL</t>
        </is>
      </c>
      <c r="D366" s="0" t="inlineStr">
        <is>
          <t>NULL</t>
        </is>
      </c>
      <c r="E366" s="0" t="inlineStr">
        <is>
          <t>NULL</t>
        </is>
      </c>
      <c r="F366" s="0" t="inlineStr">
        <is>
          <t>NULL</t>
        </is>
      </c>
      <c r="G366" s="0" t="inlineStr">
        <is>
          <t>NULL</t>
        </is>
      </c>
      <c r="H366" s="0" t="inlineStr">
        <is>
          <t>NULL</t>
        </is>
      </c>
      <c r="I366" s="0" t="inlineStr">
        <is>
          <t>NULL</t>
        </is>
      </c>
      <c r="J366" s="0" t="inlineStr">
        <is>
          <t>NULL</t>
        </is>
      </c>
      <c r="K366" s="0" t="inlineStr">
        <is>
          <t>YES! 	 c_decimal19_4列源备映射正确，源端为decimal None位	期望更改为decimal(p,s)	实际备端为decimal None位</t>
        </is>
      </c>
    </row>
    <row r="367">
      <c r="B367" s="0" t="inlineStr">
        <is>
          <t>NULL</t>
        </is>
      </c>
      <c r="C367" s="0" t="inlineStr">
        <is>
          <t>NULL</t>
        </is>
      </c>
      <c r="D367" s="0" t="inlineStr">
        <is>
          <t>NULL</t>
        </is>
      </c>
      <c r="E367" s="0" t="inlineStr">
        <is>
          <t>NULL</t>
        </is>
      </c>
      <c r="F367" s="0" t="inlineStr">
        <is>
          <t>NULL</t>
        </is>
      </c>
      <c r="G367" s="0" t="inlineStr">
        <is>
          <t>NULL</t>
        </is>
      </c>
      <c r="H367" s="0" t="inlineStr">
        <is>
          <t>NULL</t>
        </is>
      </c>
      <c r="I367" s="0" t="inlineStr">
        <is>
          <t>NULL</t>
        </is>
      </c>
      <c r="J367" s="0" t="inlineStr">
        <is>
          <t>NULL</t>
        </is>
      </c>
      <c r="K367" s="0" t="inlineStr">
        <is>
          <t>YES! 	 c_numeric列源备映射正确，源端为numeric None位	期望更改为decimal(p,s)	实际备端为decimal None位</t>
        </is>
      </c>
    </row>
    <row r="368">
      <c r="B368" s="0" t="inlineStr">
        <is>
          <t>NULL</t>
        </is>
      </c>
      <c r="C368" s="0" t="inlineStr">
        <is>
          <t>NULL</t>
        </is>
      </c>
      <c r="D368" s="0" t="inlineStr">
        <is>
          <t>NULL</t>
        </is>
      </c>
      <c r="E368" s="0" t="inlineStr">
        <is>
          <t>NULL</t>
        </is>
      </c>
      <c r="F368" s="0" t="inlineStr">
        <is>
          <t>NULL</t>
        </is>
      </c>
      <c r="G368" s="0" t="inlineStr">
        <is>
          <t>NULL</t>
        </is>
      </c>
      <c r="H368" s="0" t="inlineStr">
        <is>
          <t>NULL</t>
        </is>
      </c>
      <c r="I368" s="0" t="inlineStr">
        <is>
          <t>NULL</t>
        </is>
      </c>
      <c r="J368" s="0" t="inlineStr">
        <is>
          <t>NULL</t>
        </is>
      </c>
      <c r="K368" s="0" t="inlineStr">
        <is>
          <t>YES! 	 c_numeric38列源备映射正确，源端为numeric None位	期望更改为decimal(p,s)	实际备端为decimal None位</t>
        </is>
      </c>
    </row>
    <row r="369">
      <c r="B369" s="0" t="inlineStr">
        <is>
          <t>NULL</t>
        </is>
      </c>
      <c r="C369" s="0" t="inlineStr">
        <is>
          <t>NULL</t>
        </is>
      </c>
      <c r="D369" s="0" t="inlineStr">
        <is>
          <t>NULL</t>
        </is>
      </c>
      <c r="E369" s="0" t="inlineStr">
        <is>
          <t>NULL</t>
        </is>
      </c>
      <c r="F369" s="0" t="inlineStr">
        <is>
          <t>NULL</t>
        </is>
      </c>
      <c r="G369" s="0" t="inlineStr">
        <is>
          <t>NULL</t>
        </is>
      </c>
      <c r="H369" s="0" t="inlineStr">
        <is>
          <t>NULL</t>
        </is>
      </c>
      <c r="I369" s="0" t="inlineStr">
        <is>
          <t>NULL</t>
        </is>
      </c>
      <c r="J369" s="0" t="inlineStr">
        <is>
          <t>NULL</t>
        </is>
      </c>
      <c r="K369" s="0" t="inlineStr">
        <is>
          <t xml:space="preserve"> NO!  	 c_numeric38_38列源备映射错误，源端为numeric None位	期望更改为decimal(p,s)	实际备端为varchar 168位</t>
        </is>
      </c>
    </row>
    <row r="370">
      <c r="B370" s="0" t="inlineStr">
        <is>
          <t>NULL</t>
        </is>
      </c>
      <c r="C370" s="0" t="inlineStr">
        <is>
          <t>NULL</t>
        </is>
      </c>
      <c r="D370" s="0" t="inlineStr">
        <is>
          <t>NULL</t>
        </is>
      </c>
      <c r="E370" s="0" t="inlineStr">
        <is>
          <t>NULL</t>
        </is>
      </c>
      <c r="F370" s="0" t="inlineStr">
        <is>
          <t>NULL</t>
        </is>
      </c>
      <c r="G370" s="0" t="inlineStr">
        <is>
          <t>NULL</t>
        </is>
      </c>
      <c r="H370" s="0" t="inlineStr">
        <is>
          <t>NULL</t>
        </is>
      </c>
      <c r="I370" s="0" t="inlineStr">
        <is>
          <t>NULL</t>
        </is>
      </c>
      <c r="J370" s="0" t="inlineStr">
        <is>
          <t>NULL</t>
        </is>
      </c>
      <c r="K370" s="0" t="inlineStr">
        <is>
          <t>YES! 	 c_numeric38_10列源备映射正确，源端为numeric None位	期望更改为decimal(p,s)	实际备端为decimal None位</t>
        </is>
      </c>
    </row>
    <row r="371">
      <c r="B371" s="0" t="inlineStr">
        <is>
          <t>NULL</t>
        </is>
      </c>
      <c r="C371" s="0" t="inlineStr">
        <is>
          <t>NULL</t>
        </is>
      </c>
      <c r="D371" s="0" t="inlineStr">
        <is>
          <t>NULL</t>
        </is>
      </c>
      <c r="E371" s="0" t="inlineStr">
        <is>
          <t>NULL</t>
        </is>
      </c>
      <c r="F371" s="0" t="inlineStr">
        <is>
          <t>NULL</t>
        </is>
      </c>
      <c r="G371" s="0" t="inlineStr">
        <is>
          <t>NULL</t>
        </is>
      </c>
      <c r="H371" s="0" t="inlineStr">
        <is>
          <t>NULL</t>
        </is>
      </c>
      <c r="I371" s="0" t="inlineStr">
        <is>
          <t>NULL</t>
        </is>
      </c>
      <c r="J371" s="0" t="inlineStr">
        <is>
          <t>NULL</t>
        </is>
      </c>
      <c r="K371" s="0" t="inlineStr">
        <is>
          <t>YES! 	 c_numeric18_2列源备映射正确，源端为numeric None位	期望更改为decimal(p,s)	实际备端为decimal None位</t>
        </is>
      </c>
    </row>
    <row r="372">
      <c r="B372" s="0" t="inlineStr">
        <is>
          <t>NULL</t>
        </is>
      </c>
      <c r="C372" s="0" t="inlineStr">
        <is>
          <t>NULL</t>
        </is>
      </c>
      <c r="D372" s="0" t="inlineStr">
        <is>
          <t>NULL</t>
        </is>
      </c>
      <c r="E372" s="0" t="inlineStr">
        <is>
          <t>NULL</t>
        </is>
      </c>
      <c r="F372" s="0" t="inlineStr">
        <is>
          <t>NULL</t>
        </is>
      </c>
      <c r="G372" s="0" t="inlineStr">
        <is>
          <t>NULL</t>
        </is>
      </c>
      <c r="H372" s="0" t="inlineStr">
        <is>
          <t>NULL</t>
        </is>
      </c>
      <c r="I372" s="0" t="inlineStr">
        <is>
          <t>NULL</t>
        </is>
      </c>
      <c r="J372" s="0" t="inlineStr">
        <is>
          <t>NULL</t>
        </is>
      </c>
      <c r="K372" s="0" t="inlineStr">
        <is>
          <t>YES! 	 c_float列源备映射正确，源端为float None位	期望更改为double	实际备端为double None位</t>
        </is>
      </c>
    </row>
    <row r="373">
      <c r="B373" s="0" t="inlineStr">
        <is>
          <t>NULL</t>
        </is>
      </c>
      <c r="C373" s="0" t="inlineStr">
        <is>
          <t>NULL</t>
        </is>
      </c>
      <c r="D373" s="0" t="inlineStr">
        <is>
          <t>NULL</t>
        </is>
      </c>
      <c r="E373" s="0" t="inlineStr">
        <is>
          <t>NULL</t>
        </is>
      </c>
      <c r="F373" s="0" t="inlineStr">
        <is>
          <t>NULL</t>
        </is>
      </c>
      <c r="G373" s="0" t="inlineStr">
        <is>
          <t>NULL</t>
        </is>
      </c>
      <c r="H373" s="0" t="inlineStr">
        <is>
          <t>NULL</t>
        </is>
      </c>
      <c r="I373" s="0" t="inlineStr">
        <is>
          <t>NULL</t>
        </is>
      </c>
      <c r="J373" s="0" t="inlineStr">
        <is>
          <t>NULL</t>
        </is>
      </c>
      <c r="K373" s="0" t="inlineStr">
        <is>
          <t>YES! 	 c_real列源备映射正确，源端为real None位	期望更改为double	实际备端为double None位</t>
        </is>
      </c>
    </row>
    <row r="374">
      <c r="B374" s="0" t="inlineStr">
        <is>
          <t>NULL</t>
        </is>
      </c>
      <c r="C374" s="0" t="inlineStr">
        <is>
          <t>NULL</t>
        </is>
      </c>
      <c r="D374" s="0" t="inlineStr">
        <is>
          <t>NULL</t>
        </is>
      </c>
      <c r="E374" s="0" t="inlineStr">
        <is>
          <t>NULL</t>
        </is>
      </c>
      <c r="F374" s="0" t="inlineStr">
        <is>
          <t>NULL</t>
        </is>
      </c>
      <c r="G374" s="0" t="inlineStr">
        <is>
          <t>NULL</t>
        </is>
      </c>
      <c r="H374" s="0" t="inlineStr">
        <is>
          <t>NULL</t>
        </is>
      </c>
      <c r="I374" s="0" t="inlineStr">
        <is>
          <t>NULL</t>
        </is>
      </c>
      <c r="J374" s="0" t="inlineStr">
        <is>
          <t>NULL</t>
        </is>
      </c>
      <c r="K374" s="0" t="inlineStr">
        <is>
          <t>YES! 	 c_money列源备映射正确，源端为money None位	期望更改为decimal(19,4)	实际备端为decimal None位</t>
        </is>
      </c>
    </row>
    <row r="375">
      <c r="B375" s="0" t="inlineStr">
        <is>
          <t>NULL</t>
        </is>
      </c>
      <c r="C375" s="0" t="inlineStr">
        <is>
          <t>NULL</t>
        </is>
      </c>
      <c r="D375" s="0" t="inlineStr">
        <is>
          <t>NULL</t>
        </is>
      </c>
      <c r="E375" s="0" t="inlineStr">
        <is>
          <t>NULL</t>
        </is>
      </c>
      <c r="F375" s="0" t="inlineStr">
        <is>
          <t>NULL</t>
        </is>
      </c>
      <c r="G375" s="0" t="inlineStr">
        <is>
          <t>NULL</t>
        </is>
      </c>
      <c r="H375" s="0" t="inlineStr">
        <is>
          <t>NULL</t>
        </is>
      </c>
      <c r="I375" s="0" t="inlineStr">
        <is>
          <t>NULL</t>
        </is>
      </c>
      <c r="J375" s="0" t="inlineStr">
        <is>
          <t>NULL</t>
        </is>
      </c>
      <c r="K375" s="0" t="inlineStr">
        <is>
          <t>YES! 	 c_smallmoney列源备映射正确，源端为smallmoney None位	期望更改为decimal(10,4)	实际备端为decimal None位</t>
        </is>
      </c>
    </row>
    <row r="376">
      <c r="B376" s="0" t="inlineStr">
        <is>
          <t>NULL</t>
        </is>
      </c>
      <c r="C376" s="0" t="inlineStr">
        <is>
          <t>NULL</t>
        </is>
      </c>
      <c r="D376" s="0" t="inlineStr">
        <is>
          <t>NULL</t>
        </is>
      </c>
      <c r="E376" s="0" t="inlineStr">
        <is>
          <t>NULL</t>
        </is>
      </c>
      <c r="F376" s="0" t="inlineStr">
        <is>
          <t>NULL</t>
        </is>
      </c>
      <c r="G376" s="0" t="inlineStr">
        <is>
          <t>NULL</t>
        </is>
      </c>
      <c r="H376" s="0" t="inlineStr">
        <is>
          <t>NULL</t>
        </is>
      </c>
      <c r="I376" s="0" t="inlineStr">
        <is>
          <t>NULL</t>
        </is>
      </c>
      <c r="J376" s="0" t="inlineStr">
        <is>
          <t>NULL</t>
        </is>
      </c>
      <c r="K376" s="0" t="inlineStr">
        <is>
          <t>YES! 	 c_bit列源备映射正确，源端为bit None位	期望更改为tinyint(1) 	实际备端为tinyint None位</t>
        </is>
      </c>
    </row>
    <row r="377">
      <c r="A377" s="0" t="inlineStr">
        <is>
          <t>info_nchar_dml_single_pk_irp</t>
        </is>
      </c>
      <c r="K377" s="0" t="inlineStr">
        <is>
          <t>[0;34m info_nchar_dml_single_pk_irp [0m源备字段数相同，源端字段：4 	备端字段4</t>
        </is>
      </c>
      <c r="W377" s="15">
        <f>HYPERLINK("#2026051816mysql2!AU2","NO 源备存在差异，共20个")</f>
        <v/>
      </c>
      <c r="X377" s="0">
        <f>A377</f>
        <v/>
      </c>
    </row>
    <row r="378">
      <c r="B378" s="0" t="inlineStr">
        <is>
          <t>YES</t>
        </is>
      </c>
      <c r="C378" s="0" t="inlineStr">
        <is>
          <t>NULL</t>
        </is>
      </c>
      <c r="D378" s="0" t="inlineStr">
        <is>
          <t>NULL</t>
        </is>
      </c>
      <c r="E378" s="0" t="inlineStr">
        <is>
          <t>NULL</t>
        </is>
      </c>
      <c r="F378" s="0" t="inlineStr">
        <is>
          <t>NULL</t>
        </is>
      </c>
      <c r="G378" s="0" t="inlineStr">
        <is>
          <t>NULL</t>
        </is>
      </c>
      <c r="H378" s="0" t="inlineStr">
        <is>
          <t>NULL</t>
        </is>
      </c>
      <c r="I378" s="0" t="inlineStr">
        <is>
          <t>YES!PK__info_nch__3213E83F5EB3C382</t>
        </is>
      </c>
      <c r="J378" s="0" t="inlineStr">
        <is>
          <t>YES! 主键相关索引</t>
        </is>
      </c>
      <c r="K378" s="0" t="inlineStr">
        <is>
          <t>YES! 	 id列源备映射正确，源端为int None位	期望更改为int	实际备端为int None位</t>
        </is>
      </c>
    </row>
    <row r="379">
      <c r="B379" s="0" t="inlineStr">
        <is>
          <t>NULL</t>
        </is>
      </c>
      <c r="C379" s="0" t="inlineStr">
        <is>
          <t>NULL</t>
        </is>
      </c>
      <c r="D379" s="0" t="inlineStr">
        <is>
          <t>NULL</t>
        </is>
      </c>
      <c r="E379" s="0" t="inlineStr">
        <is>
          <t>NULL</t>
        </is>
      </c>
      <c r="F379" s="0" t="inlineStr">
        <is>
          <t>NULL</t>
        </is>
      </c>
      <c r="G379" s="0" t="inlineStr">
        <is>
          <t>NULL</t>
        </is>
      </c>
      <c r="H379" s="0" t="inlineStr">
        <is>
          <t>NULL</t>
        </is>
      </c>
      <c r="I379" s="0" t="inlineStr">
        <is>
          <t>NULL</t>
        </is>
      </c>
      <c r="J379" s="0" t="inlineStr">
        <is>
          <t>NULL</t>
        </is>
      </c>
      <c r="K379" s="0" t="inlineStr">
        <is>
          <t>YES! 	 c_nchar列源备映射正确，源端为nchar 2位	期望更改为char(n)	实际备端为char 4位</t>
        </is>
      </c>
    </row>
    <row r="380">
      <c r="B380" s="0" t="inlineStr">
        <is>
          <t>NULL</t>
        </is>
      </c>
      <c r="C380" s="0" t="inlineStr">
        <is>
          <t>NULL</t>
        </is>
      </c>
      <c r="D380" s="0" t="inlineStr">
        <is>
          <t>NULL</t>
        </is>
      </c>
      <c r="E380" s="0" t="inlineStr">
        <is>
          <t>NULL</t>
        </is>
      </c>
      <c r="F380" s="0" t="inlineStr">
        <is>
          <t>NULL</t>
        </is>
      </c>
      <c r="G380" s="0" t="inlineStr">
        <is>
          <t>NULL</t>
        </is>
      </c>
      <c r="H380" s="0" t="inlineStr">
        <is>
          <t>NULL</t>
        </is>
      </c>
      <c r="I380" s="0" t="inlineStr">
        <is>
          <t>NULL</t>
        </is>
      </c>
      <c r="J380" s="0" t="inlineStr">
        <is>
          <t>NULL</t>
        </is>
      </c>
      <c r="K380" s="0" t="inlineStr">
        <is>
          <t>YES! 	 c_nchar20列源备映射正确，源端为nchar 40位	期望更改为char(n)	实际备端为char 80位</t>
        </is>
      </c>
    </row>
    <row r="381">
      <c r="B381" s="0" t="inlineStr">
        <is>
          <t>NULL</t>
        </is>
      </c>
      <c r="C381" s="0" t="inlineStr">
        <is>
          <t>NULL</t>
        </is>
      </c>
      <c r="D381" s="0" t="inlineStr">
        <is>
          <t>NULL</t>
        </is>
      </c>
      <c r="E381" s="0" t="inlineStr">
        <is>
          <t>NULL</t>
        </is>
      </c>
      <c r="F381" s="0" t="inlineStr">
        <is>
          <t>NULL</t>
        </is>
      </c>
      <c r="G381" s="0" t="inlineStr">
        <is>
          <t>NULL</t>
        </is>
      </c>
      <c r="H381" s="0" t="inlineStr">
        <is>
          <t>NULL</t>
        </is>
      </c>
      <c r="I381" s="0" t="inlineStr">
        <is>
          <t>NULL</t>
        </is>
      </c>
      <c r="J381" s="0" t="inlineStr">
        <is>
          <t>NULL</t>
        </is>
      </c>
      <c r="K381" s="0" t="inlineStr">
        <is>
          <t>YES! 	 c_nchar4000列源备映射正确，源端为nchar 8000位	期望更改为text	实际备端为text 65535位</t>
        </is>
      </c>
    </row>
    <row r="382">
      <c r="A382" s="0" t="inlineStr">
        <is>
          <t>info_sdt_dml_batch1_pk_urp2</t>
        </is>
      </c>
      <c r="K382" s="0" t="inlineStr">
        <is>
          <t>[0;34m info_sdt_dml_batch1_pk_urp2 [0m源备字段数相同，源端字段：2 	备端字段2</t>
        </is>
      </c>
      <c r="W382" s="0" t="inlineStr">
        <is>
          <t>YES 源备无差异</t>
        </is>
      </c>
      <c r="X382" s="0">
        <f>A382</f>
        <v/>
      </c>
    </row>
    <row r="383">
      <c r="B383" s="0" t="inlineStr">
        <is>
          <t>YES</t>
        </is>
      </c>
      <c r="C383" s="0" t="inlineStr">
        <is>
          <t>NULL</t>
        </is>
      </c>
      <c r="D383" s="0" t="inlineStr">
        <is>
          <t>NULL</t>
        </is>
      </c>
      <c r="E383" s="0" t="inlineStr">
        <is>
          <t>NULL</t>
        </is>
      </c>
      <c r="F383" s="0" t="inlineStr">
        <is>
          <t>NULL</t>
        </is>
      </c>
      <c r="G383" s="0" t="inlineStr">
        <is>
          <t>NULL</t>
        </is>
      </c>
      <c r="H383" s="0" t="inlineStr">
        <is>
          <t>NULL</t>
        </is>
      </c>
      <c r="I383" s="0" t="inlineStr">
        <is>
          <t>YES!PK__info_sdt__3213E83F9232A2E1</t>
        </is>
      </c>
      <c r="J383" s="0" t="inlineStr">
        <is>
          <t>YES! 主键相关索引</t>
        </is>
      </c>
      <c r="K383" s="0" t="inlineStr">
        <is>
          <t>YES! 	 id列源备映射正确，源端为int None位	期望更改为int	实际备端为int None位</t>
        </is>
      </c>
    </row>
    <row r="384">
      <c r="B384" s="0" t="inlineStr">
        <is>
          <t>NULL</t>
        </is>
      </c>
      <c r="C384" s="0" t="inlineStr">
        <is>
          <t>NULL</t>
        </is>
      </c>
      <c r="D384" s="0" t="inlineStr">
        <is>
          <t>NULL</t>
        </is>
      </c>
      <c r="E384" s="0" t="inlineStr">
        <is>
          <t>NULL</t>
        </is>
      </c>
      <c r="F384" s="0" t="inlineStr">
        <is>
          <t>NULL</t>
        </is>
      </c>
      <c r="G384" s="0" t="inlineStr">
        <is>
          <t>NULL</t>
        </is>
      </c>
      <c r="H384" s="0" t="inlineStr">
        <is>
          <t>NULL</t>
        </is>
      </c>
      <c r="I384" s="0" t="inlineStr">
        <is>
          <t>NULL</t>
        </is>
      </c>
      <c r="J384" s="0" t="inlineStr">
        <is>
          <t>NULL</t>
        </is>
      </c>
      <c r="K384" s="0" t="inlineStr">
        <is>
          <t>YES! 	 c_sdt列源备映射正确，源端为smalldatetime None位	期望更改为datetime	实际备端为datetime None位</t>
        </is>
      </c>
    </row>
    <row r="385">
      <c r="A385" s="0" t="inlineStr">
        <is>
          <t>info_nchar_dml_single_nopk</t>
        </is>
      </c>
      <c r="K385" s="0" t="inlineStr">
        <is>
          <t>[0;34m info_nchar_dml_single_nopk [0m源备字段数相同，源端字段：4 	备端字段4</t>
        </is>
      </c>
      <c r="W385" s="15">
        <f>HYPERLINK("#2026051816mysql2!AV2","NO 源备存在差异，共4个")</f>
        <v/>
      </c>
      <c r="X385" s="0">
        <f>A385</f>
        <v/>
      </c>
    </row>
    <row r="386">
      <c r="B386" s="0" t="inlineStr">
        <is>
          <t>NULL</t>
        </is>
      </c>
      <c r="C386" s="0" t="inlineStr">
        <is>
          <t>NULL</t>
        </is>
      </c>
      <c r="D386" s="0" t="inlineStr">
        <is>
          <t>NULL</t>
        </is>
      </c>
      <c r="E386" s="0" t="inlineStr">
        <is>
          <t>NULL</t>
        </is>
      </c>
      <c r="F386" s="0" t="inlineStr">
        <is>
          <t>NULL</t>
        </is>
      </c>
      <c r="G386" s="0" t="inlineStr">
        <is>
          <t>NULL</t>
        </is>
      </c>
      <c r="H386" s="0" t="inlineStr">
        <is>
          <t>NULL</t>
        </is>
      </c>
      <c r="I386" s="0" t="inlineStr">
        <is>
          <t>NULL</t>
        </is>
      </c>
      <c r="J386" s="0" t="inlineStr">
        <is>
          <t>NULL</t>
        </is>
      </c>
      <c r="K386" s="0" t="inlineStr">
        <is>
          <t>YES! 	 id列源备映射正确，源端为int None位	期望更改为int	实际备端为int None位</t>
        </is>
      </c>
    </row>
    <row r="387">
      <c r="B387" s="0" t="inlineStr">
        <is>
          <t>NULL</t>
        </is>
      </c>
      <c r="C387" s="0" t="inlineStr">
        <is>
          <t>NULL</t>
        </is>
      </c>
      <c r="D387" s="0" t="inlineStr">
        <is>
          <t>NULL</t>
        </is>
      </c>
      <c r="E387" s="0" t="inlineStr">
        <is>
          <t>NULL</t>
        </is>
      </c>
      <c r="F387" s="0" t="inlineStr">
        <is>
          <t>NULL</t>
        </is>
      </c>
      <c r="G387" s="0" t="inlineStr">
        <is>
          <t>NULL</t>
        </is>
      </c>
      <c r="H387" s="0" t="inlineStr">
        <is>
          <t>NULL</t>
        </is>
      </c>
      <c r="I387" s="0" t="inlineStr">
        <is>
          <t>NULL</t>
        </is>
      </c>
      <c r="J387" s="0" t="inlineStr">
        <is>
          <t>NULL</t>
        </is>
      </c>
      <c r="K387" s="0" t="inlineStr">
        <is>
          <t>YES! 	 c_nchar列源备映射正确，源端为nchar 2位	期望更改为char(n)	实际备端为char 4位</t>
        </is>
      </c>
    </row>
    <row r="388">
      <c r="B388" s="0" t="inlineStr">
        <is>
          <t>NULL</t>
        </is>
      </c>
      <c r="C388" s="0" t="inlineStr">
        <is>
          <t>NULL</t>
        </is>
      </c>
      <c r="D388" s="0" t="inlineStr">
        <is>
          <t>NULL</t>
        </is>
      </c>
      <c r="E388" s="0" t="inlineStr">
        <is>
          <t>NULL</t>
        </is>
      </c>
      <c r="F388" s="0" t="inlineStr">
        <is>
          <t>NULL</t>
        </is>
      </c>
      <c r="G388" s="0" t="inlineStr">
        <is>
          <t>NULL</t>
        </is>
      </c>
      <c r="H388" s="0" t="inlineStr">
        <is>
          <t>NULL</t>
        </is>
      </c>
      <c r="I388" s="0" t="inlineStr">
        <is>
          <t>NULL</t>
        </is>
      </c>
      <c r="J388" s="0" t="inlineStr">
        <is>
          <t>NULL</t>
        </is>
      </c>
      <c r="K388" s="0" t="inlineStr">
        <is>
          <t>YES! 	 c_nchar20列源备映射正确，源端为nchar 40位	期望更改为char(n)	实际备端为char 80位</t>
        </is>
      </c>
    </row>
    <row r="389">
      <c r="B389" s="0" t="inlineStr">
        <is>
          <t>NULL</t>
        </is>
      </c>
      <c r="C389" s="0" t="inlineStr">
        <is>
          <t>NULL</t>
        </is>
      </c>
      <c r="D389" s="0" t="inlineStr">
        <is>
          <t>NULL</t>
        </is>
      </c>
      <c r="E389" s="0" t="inlineStr">
        <is>
          <t>NULL</t>
        </is>
      </c>
      <c r="F389" s="0" t="inlineStr">
        <is>
          <t>NULL</t>
        </is>
      </c>
      <c r="G389" s="0" t="inlineStr">
        <is>
          <t>NULL</t>
        </is>
      </c>
      <c r="H389" s="0" t="inlineStr">
        <is>
          <t>NULL</t>
        </is>
      </c>
      <c r="I389" s="0" t="inlineStr">
        <is>
          <t>NULL</t>
        </is>
      </c>
      <c r="J389" s="0" t="inlineStr">
        <is>
          <t>NULL</t>
        </is>
      </c>
      <c r="K389" s="0" t="inlineStr">
        <is>
          <t xml:space="preserve"> NO!  	 c_nchar3500列源备映射错误，源端为nchar 7000位	期望更改为varchar(n)	实际备端为text 65535位</t>
        </is>
      </c>
    </row>
    <row r="390">
      <c r="A390" s="0" t="inlineStr">
        <is>
          <t>info_sql_variant_dml_single_pk_irp</t>
        </is>
      </c>
      <c r="K390" s="0" t="inlineStr">
        <is>
          <t>[0;34m info_sql_variant_dml_single_pk_irp [0m源备字段数相同，源端字段：25 	备端字段25</t>
        </is>
      </c>
      <c r="W390" s="15">
        <f>HYPERLINK("#2026051816mysql2!AW2","NO 源备存在差异，共2个")</f>
        <v/>
      </c>
      <c r="X390" s="0">
        <f>A390</f>
        <v/>
      </c>
    </row>
    <row r="391">
      <c r="B391" s="0" t="inlineStr">
        <is>
          <t>YES</t>
        </is>
      </c>
      <c r="C391" s="0" t="inlineStr">
        <is>
          <t>NULL</t>
        </is>
      </c>
      <c r="D391" s="0" t="inlineStr">
        <is>
          <t>NULL</t>
        </is>
      </c>
      <c r="E391" s="0" t="inlineStr">
        <is>
          <t>NULL</t>
        </is>
      </c>
      <c r="F391" s="0" t="inlineStr">
        <is>
          <t>NULL</t>
        </is>
      </c>
      <c r="G391" s="0" t="inlineStr">
        <is>
          <t>NULL</t>
        </is>
      </c>
      <c r="H391" s="0" t="inlineStr">
        <is>
          <t>NULL</t>
        </is>
      </c>
      <c r="I391" s="0" t="inlineStr">
        <is>
          <t>YES!PK__info_sql__3213E83F8AA9C4B2</t>
        </is>
      </c>
      <c r="J391" s="0" t="inlineStr">
        <is>
          <t>YES! 主键相关索引</t>
        </is>
      </c>
      <c r="K391" s="0" t="inlineStr">
        <is>
          <t>YES! 	 id列源备映射正确，源端为int None位	期望更改为int	实际备端为int None位</t>
        </is>
      </c>
    </row>
    <row r="392">
      <c r="B392" s="0" t="inlineStr">
        <is>
          <t>NULL</t>
        </is>
      </c>
      <c r="C392" s="0" t="inlineStr">
        <is>
          <t>NULL</t>
        </is>
      </c>
      <c r="D392" s="0" t="inlineStr">
        <is>
          <t>NULL</t>
        </is>
      </c>
      <c r="E392" s="0" t="inlineStr">
        <is>
          <t>NULL</t>
        </is>
      </c>
      <c r="F392" s="0" t="inlineStr">
        <is>
          <t>NULL</t>
        </is>
      </c>
      <c r="G392" s="0" t="inlineStr">
        <is>
          <t>NULL</t>
        </is>
      </c>
      <c r="H392" s="0" t="inlineStr">
        <is>
          <t>NULL</t>
        </is>
      </c>
      <c r="I392" s="0" t="inlineStr">
        <is>
          <t>NULL</t>
        </is>
      </c>
      <c r="J392" s="0" t="inlineStr">
        <is>
          <t>NULL</t>
        </is>
      </c>
      <c r="K392" s="0" t="inlineStr">
        <is>
          <t>[0;32m YES! [0m 	 c_date列源备映射正确，源端为sql_variant 0位	期望更改为VARCHAR(255)	实际备端为varchar 1020位	位数精度不存在，通过长度比较</t>
        </is>
      </c>
    </row>
    <row r="393">
      <c r="B393" s="0" t="inlineStr">
        <is>
          <t>NULL</t>
        </is>
      </c>
      <c r="C393" s="0" t="inlineStr">
        <is>
          <t>NULL</t>
        </is>
      </c>
      <c r="D393" s="0" t="inlineStr">
        <is>
          <t>NULL</t>
        </is>
      </c>
      <c r="E393" s="0" t="inlineStr">
        <is>
          <t>NULL</t>
        </is>
      </c>
      <c r="F393" s="0" t="inlineStr">
        <is>
          <t>NULL</t>
        </is>
      </c>
      <c r="G393" s="0" t="inlineStr">
        <is>
          <t>NULL</t>
        </is>
      </c>
      <c r="H393" s="0" t="inlineStr">
        <is>
          <t>NULL</t>
        </is>
      </c>
      <c r="I393" s="0" t="inlineStr">
        <is>
          <t>NULL</t>
        </is>
      </c>
      <c r="J393" s="0" t="inlineStr">
        <is>
          <t>NULL</t>
        </is>
      </c>
      <c r="K393" s="0" t="inlineStr">
        <is>
          <t>[0;32m YES! [0m 	 c_time列源备映射正确，源端为sql_variant 0位	期望更改为VARCHAR(255)	实际备端为varchar 1020位	位数精度不存在，通过长度比较</t>
        </is>
      </c>
    </row>
    <row r="394">
      <c r="B394" s="0" t="inlineStr">
        <is>
          <t>NULL</t>
        </is>
      </c>
      <c r="C394" s="0" t="inlineStr">
        <is>
          <t>NULL</t>
        </is>
      </c>
      <c r="D394" s="0" t="inlineStr">
        <is>
          <t>NULL</t>
        </is>
      </c>
      <c r="E394" s="0" t="inlineStr">
        <is>
          <t>NULL</t>
        </is>
      </c>
      <c r="F394" s="0" t="inlineStr">
        <is>
          <t>NULL</t>
        </is>
      </c>
      <c r="G394" s="0" t="inlineStr">
        <is>
          <t>NULL</t>
        </is>
      </c>
      <c r="H394" s="0" t="inlineStr">
        <is>
          <t>NULL</t>
        </is>
      </c>
      <c r="I394" s="0" t="inlineStr">
        <is>
          <t>NULL</t>
        </is>
      </c>
      <c r="J394" s="0" t="inlineStr">
        <is>
          <t>NULL</t>
        </is>
      </c>
      <c r="K394" s="0" t="inlineStr">
        <is>
          <t>[0;32m YES! [0m 	 c_datetime2列源备映射正确，源端为sql_variant 0位	期望更改为VARCHAR(255)	实际备端为varchar 1020位	位数精度不存在，通过长度比较</t>
        </is>
      </c>
    </row>
    <row r="395">
      <c r="B395" s="0" t="inlineStr">
        <is>
          <t>NULL</t>
        </is>
      </c>
      <c r="C395" s="0" t="inlineStr">
        <is>
          <t>NULL</t>
        </is>
      </c>
      <c r="D395" s="0" t="inlineStr">
        <is>
          <t>NULL</t>
        </is>
      </c>
      <c r="E395" s="0" t="inlineStr">
        <is>
          <t>NULL</t>
        </is>
      </c>
      <c r="F395" s="0" t="inlineStr">
        <is>
          <t>NULL</t>
        </is>
      </c>
      <c r="G395" s="0" t="inlineStr">
        <is>
          <t>NULL</t>
        </is>
      </c>
      <c r="H395" s="0" t="inlineStr">
        <is>
          <t>NULL</t>
        </is>
      </c>
      <c r="I395" s="0" t="inlineStr">
        <is>
          <t>NULL</t>
        </is>
      </c>
      <c r="J395" s="0" t="inlineStr">
        <is>
          <t>NULL</t>
        </is>
      </c>
      <c r="K395" s="0" t="inlineStr">
        <is>
          <t>[0;32m YES! [0m 	 c_datetimeoffset列源备映射正确，源端为sql_variant 0位	期望更改为VARCHAR(255)	实际备端为varchar 1020位	位数精度不存在，通过长度比较</t>
        </is>
      </c>
    </row>
    <row r="396">
      <c r="B396" s="0" t="inlineStr">
        <is>
          <t>NULL</t>
        </is>
      </c>
      <c r="C396" s="0" t="inlineStr">
        <is>
          <t>NULL</t>
        </is>
      </c>
      <c r="D396" s="0" t="inlineStr">
        <is>
          <t>NULL</t>
        </is>
      </c>
      <c r="E396" s="0" t="inlineStr">
        <is>
          <t>NULL</t>
        </is>
      </c>
      <c r="F396" s="0" t="inlineStr">
        <is>
          <t>NULL</t>
        </is>
      </c>
      <c r="G396" s="0" t="inlineStr">
        <is>
          <t>NULL</t>
        </is>
      </c>
      <c r="H396" s="0" t="inlineStr">
        <is>
          <t>NULL</t>
        </is>
      </c>
      <c r="I396" s="0" t="inlineStr">
        <is>
          <t>NULL</t>
        </is>
      </c>
      <c r="J396" s="0" t="inlineStr">
        <is>
          <t>NULL</t>
        </is>
      </c>
      <c r="K396" s="0" t="inlineStr">
        <is>
          <t>[0;32m YES! [0m 	 c_tinyint列源备映射正确，源端为sql_variant 0位	期望更改为VARCHAR(255)	实际备端为varchar 1020位	位数精度不存在，通过长度比较</t>
        </is>
      </c>
    </row>
    <row r="397">
      <c r="B397" s="0" t="inlineStr">
        <is>
          <t>NULL</t>
        </is>
      </c>
      <c r="C397" s="0" t="inlineStr">
        <is>
          <t>NULL</t>
        </is>
      </c>
      <c r="D397" s="0" t="inlineStr">
        <is>
          <t>NULL</t>
        </is>
      </c>
      <c r="E397" s="0" t="inlineStr">
        <is>
          <t>NULL</t>
        </is>
      </c>
      <c r="F397" s="0" t="inlineStr">
        <is>
          <t>NULL</t>
        </is>
      </c>
      <c r="G397" s="0" t="inlineStr">
        <is>
          <t>NULL</t>
        </is>
      </c>
      <c r="H397" s="0" t="inlineStr">
        <is>
          <t>NULL</t>
        </is>
      </c>
      <c r="I397" s="0" t="inlineStr">
        <is>
          <t>NULL</t>
        </is>
      </c>
      <c r="J397" s="0" t="inlineStr">
        <is>
          <t>NULL</t>
        </is>
      </c>
      <c r="K397" s="0" t="inlineStr">
        <is>
          <t>[0;32m YES! [0m 	 c_smallint列源备映射正确，源端为sql_variant 0位	期望更改为VARCHAR(255)	实际备端为varchar 1020位	位数精度不存在，通过长度比较</t>
        </is>
      </c>
    </row>
    <row r="398">
      <c r="B398" s="0" t="inlineStr">
        <is>
          <t>NULL</t>
        </is>
      </c>
      <c r="C398" s="0" t="inlineStr">
        <is>
          <t>NULL</t>
        </is>
      </c>
      <c r="D398" s="0" t="inlineStr">
        <is>
          <t>NULL</t>
        </is>
      </c>
      <c r="E398" s="0" t="inlineStr">
        <is>
          <t>NULL</t>
        </is>
      </c>
      <c r="F398" s="0" t="inlineStr">
        <is>
          <t>NULL</t>
        </is>
      </c>
      <c r="G398" s="0" t="inlineStr">
        <is>
          <t>NULL</t>
        </is>
      </c>
      <c r="H398" s="0" t="inlineStr">
        <is>
          <t>NULL</t>
        </is>
      </c>
      <c r="I398" s="0" t="inlineStr">
        <is>
          <t>NULL</t>
        </is>
      </c>
      <c r="J398" s="0" t="inlineStr">
        <is>
          <t>NULL</t>
        </is>
      </c>
      <c r="K398" s="0" t="inlineStr">
        <is>
          <t>[0;32m YES! [0m 	 c_int列源备映射正确，源端为sql_variant 0位	期望更改为VARCHAR(255)	实际备端为varchar 1020位	位数精度不存在，通过长度比较</t>
        </is>
      </c>
    </row>
    <row r="399">
      <c r="B399" s="0" t="inlineStr">
        <is>
          <t>NULL</t>
        </is>
      </c>
      <c r="C399" s="0" t="inlineStr">
        <is>
          <t>NULL</t>
        </is>
      </c>
      <c r="D399" s="0" t="inlineStr">
        <is>
          <t>NULL</t>
        </is>
      </c>
      <c r="E399" s="0" t="inlineStr">
        <is>
          <t>NULL</t>
        </is>
      </c>
      <c r="F399" s="0" t="inlineStr">
        <is>
          <t>NULL</t>
        </is>
      </c>
      <c r="G399" s="0" t="inlineStr">
        <is>
          <t>NULL</t>
        </is>
      </c>
      <c r="H399" s="0" t="inlineStr">
        <is>
          <t>NULL</t>
        </is>
      </c>
      <c r="I399" s="0" t="inlineStr">
        <is>
          <t>NULL</t>
        </is>
      </c>
      <c r="J399" s="0" t="inlineStr">
        <is>
          <t>NULL</t>
        </is>
      </c>
      <c r="K399" s="0" t="inlineStr">
        <is>
          <t>[0;32m YES! [0m 	 c_sdt列源备映射正确，源端为sql_variant 0位	期望更改为VARCHAR(255)	实际备端为varchar 1020位	位数精度不存在，通过长度比较</t>
        </is>
      </c>
    </row>
    <row r="400">
      <c r="B400" s="0" t="inlineStr">
        <is>
          <t>NULL</t>
        </is>
      </c>
      <c r="C400" s="0" t="inlineStr">
        <is>
          <t>NULL</t>
        </is>
      </c>
      <c r="D400" s="0" t="inlineStr">
        <is>
          <t>NULL</t>
        </is>
      </c>
      <c r="E400" s="0" t="inlineStr">
        <is>
          <t>NULL</t>
        </is>
      </c>
      <c r="F400" s="0" t="inlineStr">
        <is>
          <t>NULL</t>
        </is>
      </c>
      <c r="G400" s="0" t="inlineStr">
        <is>
          <t>NULL</t>
        </is>
      </c>
      <c r="H400" s="0" t="inlineStr">
        <is>
          <t>NULL</t>
        </is>
      </c>
      <c r="I400" s="0" t="inlineStr">
        <is>
          <t>NULL</t>
        </is>
      </c>
      <c r="J400" s="0" t="inlineStr">
        <is>
          <t>NULL</t>
        </is>
      </c>
      <c r="K400" s="0" t="inlineStr">
        <is>
          <t>[0;32m YES! [0m 	 c_real列源备映射正确，源端为sql_variant 0位	期望更改为VARCHAR(255)	实际备端为varchar 1020位	位数精度不存在，通过长度比较</t>
        </is>
      </c>
    </row>
    <row r="401">
      <c r="B401" s="0" t="inlineStr">
        <is>
          <t>NULL</t>
        </is>
      </c>
      <c r="C401" s="0" t="inlineStr">
        <is>
          <t>NULL</t>
        </is>
      </c>
      <c r="D401" s="0" t="inlineStr">
        <is>
          <t>NULL</t>
        </is>
      </c>
      <c r="E401" s="0" t="inlineStr">
        <is>
          <t>NULL</t>
        </is>
      </c>
      <c r="F401" s="0" t="inlineStr">
        <is>
          <t>NULL</t>
        </is>
      </c>
      <c r="G401" s="0" t="inlineStr">
        <is>
          <t>NULL</t>
        </is>
      </c>
      <c r="H401" s="0" t="inlineStr">
        <is>
          <t>NULL</t>
        </is>
      </c>
      <c r="I401" s="0" t="inlineStr">
        <is>
          <t>NULL</t>
        </is>
      </c>
      <c r="J401" s="0" t="inlineStr">
        <is>
          <t>NULL</t>
        </is>
      </c>
      <c r="K401" s="0" t="inlineStr">
        <is>
          <t>[0;32m YES! [0m 	 c_money列源备映射正确，源端为sql_variant 0位	期望更改为VARCHAR(255)	实际备端为varchar 1020位	位数精度不存在，通过长度比较</t>
        </is>
      </c>
    </row>
    <row r="402">
      <c r="B402" s="0" t="inlineStr">
        <is>
          <t>NULL</t>
        </is>
      </c>
      <c r="C402" s="0" t="inlineStr">
        <is>
          <t>NULL</t>
        </is>
      </c>
      <c r="D402" s="0" t="inlineStr">
        <is>
          <t>NULL</t>
        </is>
      </c>
      <c r="E402" s="0" t="inlineStr">
        <is>
          <t>NULL</t>
        </is>
      </c>
      <c r="F402" s="0" t="inlineStr">
        <is>
          <t>NULL</t>
        </is>
      </c>
      <c r="G402" s="0" t="inlineStr">
        <is>
          <t>NULL</t>
        </is>
      </c>
      <c r="H402" s="0" t="inlineStr">
        <is>
          <t>NULL</t>
        </is>
      </c>
      <c r="I402" s="0" t="inlineStr">
        <is>
          <t>NULL</t>
        </is>
      </c>
      <c r="J402" s="0" t="inlineStr">
        <is>
          <t>NULL</t>
        </is>
      </c>
      <c r="K402" s="0" t="inlineStr">
        <is>
          <t>[0;32m YES! [0m 	 c_datetime列源备映射正确，源端为sql_variant 0位	期望更改为VARCHAR(255)	实际备端为varchar 1020位	位数精度不存在，通过长度比较</t>
        </is>
      </c>
    </row>
    <row r="403">
      <c r="B403" s="0" t="inlineStr">
        <is>
          <t>NULL</t>
        </is>
      </c>
      <c r="C403" s="0" t="inlineStr">
        <is>
          <t>NULL</t>
        </is>
      </c>
      <c r="D403" s="0" t="inlineStr">
        <is>
          <t>NULL</t>
        </is>
      </c>
      <c r="E403" s="0" t="inlineStr">
        <is>
          <t>NULL</t>
        </is>
      </c>
      <c r="F403" s="0" t="inlineStr">
        <is>
          <t>NULL</t>
        </is>
      </c>
      <c r="G403" s="0" t="inlineStr">
        <is>
          <t>NULL</t>
        </is>
      </c>
      <c r="H403" s="0" t="inlineStr">
        <is>
          <t>NULL</t>
        </is>
      </c>
      <c r="I403" s="0" t="inlineStr">
        <is>
          <t>NULL</t>
        </is>
      </c>
      <c r="J403" s="0" t="inlineStr">
        <is>
          <t>NULL</t>
        </is>
      </c>
      <c r="K403" s="0" t="inlineStr">
        <is>
          <t>[0;32m YES! [0m 	 c_float列源备映射正确，源端为sql_variant 0位	期望更改为VARCHAR(255)	实际备端为varchar 1020位	位数精度不存在，通过长度比较</t>
        </is>
      </c>
    </row>
    <row r="404">
      <c r="B404" s="0" t="inlineStr">
        <is>
          <t>NULL</t>
        </is>
      </c>
      <c r="C404" s="0" t="inlineStr">
        <is>
          <t>NULL</t>
        </is>
      </c>
      <c r="D404" s="0" t="inlineStr">
        <is>
          <t>NULL</t>
        </is>
      </c>
      <c r="E404" s="0" t="inlineStr">
        <is>
          <t>NULL</t>
        </is>
      </c>
      <c r="F404" s="0" t="inlineStr">
        <is>
          <t>NULL</t>
        </is>
      </c>
      <c r="G404" s="0" t="inlineStr">
        <is>
          <t>NULL</t>
        </is>
      </c>
      <c r="H404" s="0" t="inlineStr">
        <is>
          <t>NULL</t>
        </is>
      </c>
      <c r="I404" s="0" t="inlineStr">
        <is>
          <t>NULL</t>
        </is>
      </c>
      <c r="J404" s="0" t="inlineStr">
        <is>
          <t>NULL</t>
        </is>
      </c>
      <c r="K404" s="0" t="inlineStr">
        <is>
          <t>[0;32m YES! [0m 	 c_bit列源备映射正确，源端为sql_variant 0位	期望更改为VARCHAR(255)	实际备端为varchar 1020位	位数精度不存在，通过长度比较</t>
        </is>
      </c>
    </row>
    <row r="405">
      <c r="B405" s="0" t="inlineStr">
        <is>
          <t>NULL</t>
        </is>
      </c>
      <c r="C405" s="0" t="inlineStr">
        <is>
          <t>NULL</t>
        </is>
      </c>
      <c r="D405" s="0" t="inlineStr">
        <is>
          <t>NULL</t>
        </is>
      </c>
      <c r="E405" s="0" t="inlineStr">
        <is>
          <t>NULL</t>
        </is>
      </c>
      <c r="F405" s="0" t="inlineStr">
        <is>
          <t>NULL</t>
        </is>
      </c>
      <c r="G405" s="0" t="inlineStr">
        <is>
          <t>NULL</t>
        </is>
      </c>
      <c r="H405" s="0" t="inlineStr">
        <is>
          <t>NULL</t>
        </is>
      </c>
      <c r="I405" s="0" t="inlineStr">
        <is>
          <t>NULL</t>
        </is>
      </c>
      <c r="J405" s="0" t="inlineStr">
        <is>
          <t>NULL</t>
        </is>
      </c>
      <c r="K405" s="0" t="inlineStr">
        <is>
          <t>[0;32m YES! [0m 	 c_decimal列源备映射正确，源端为sql_variant 0位	期望更改为VARCHAR(255)	实际备端为varchar 1020位	位数精度不存在，通过长度比较</t>
        </is>
      </c>
    </row>
    <row r="406">
      <c r="B406" s="0" t="inlineStr">
        <is>
          <t>NULL</t>
        </is>
      </c>
      <c r="C406" s="0" t="inlineStr">
        <is>
          <t>NULL</t>
        </is>
      </c>
      <c r="D406" s="0" t="inlineStr">
        <is>
          <t>NULL</t>
        </is>
      </c>
      <c r="E406" s="0" t="inlineStr">
        <is>
          <t>NULL</t>
        </is>
      </c>
      <c r="F406" s="0" t="inlineStr">
        <is>
          <t>NULL</t>
        </is>
      </c>
      <c r="G406" s="0" t="inlineStr">
        <is>
          <t>NULL</t>
        </is>
      </c>
      <c r="H406" s="0" t="inlineStr">
        <is>
          <t>NULL</t>
        </is>
      </c>
      <c r="I406" s="0" t="inlineStr">
        <is>
          <t>NULL</t>
        </is>
      </c>
      <c r="J406" s="0" t="inlineStr">
        <is>
          <t>NULL</t>
        </is>
      </c>
      <c r="K406" s="0" t="inlineStr">
        <is>
          <t>[0;32m YES! [0m 	 c_uniqueidentifier列源备映射正确，源端为sql_variant 0位	期望更改为VARCHAR(255)	实际备端为varchar 1020位	位数精度不存在，通过长度比较</t>
        </is>
      </c>
    </row>
    <row r="407">
      <c r="B407" s="0" t="inlineStr">
        <is>
          <t>NULL</t>
        </is>
      </c>
      <c r="C407" s="0" t="inlineStr">
        <is>
          <t>NULL</t>
        </is>
      </c>
      <c r="D407" s="0" t="inlineStr">
        <is>
          <t>NULL</t>
        </is>
      </c>
      <c r="E407" s="0" t="inlineStr">
        <is>
          <t>NULL</t>
        </is>
      </c>
      <c r="F407" s="0" t="inlineStr">
        <is>
          <t>NULL</t>
        </is>
      </c>
      <c r="G407" s="0" t="inlineStr">
        <is>
          <t>NULL</t>
        </is>
      </c>
      <c r="H407" s="0" t="inlineStr">
        <is>
          <t>NULL</t>
        </is>
      </c>
      <c r="I407" s="0" t="inlineStr">
        <is>
          <t>NULL</t>
        </is>
      </c>
      <c r="J407" s="0" t="inlineStr">
        <is>
          <t>NULL</t>
        </is>
      </c>
      <c r="K407" s="0" t="inlineStr">
        <is>
          <t>[0;32m YES! [0m 	 c_smallmoney列源备映射正确，源端为sql_variant 0位	期望更改为VARCHAR(255)	实际备端为varchar 1020位	位数精度不存在，通过长度比较</t>
        </is>
      </c>
    </row>
    <row r="408">
      <c r="B408" s="0" t="inlineStr">
        <is>
          <t>NULL</t>
        </is>
      </c>
      <c r="C408" s="0" t="inlineStr">
        <is>
          <t>NULL</t>
        </is>
      </c>
      <c r="D408" s="0" t="inlineStr">
        <is>
          <t>NULL</t>
        </is>
      </c>
      <c r="E408" s="0" t="inlineStr">
        <is>
          <t>NULL</t>
        </is>
      </c>
      <c r="F408" s="0" t="inlineStr">
        <is>
          <t>NULL</t>
        </is>
      </c>
      <c r="G408" s="0" t="inlineStr">
        <is>
          <t>NULL</t>
        </is>
      </c>
      <c r="H408" s="0" t="inlineStr">
        <is>
          <t>NULL</t>
        </is>
      </c>
      <c r="I408" s="0" t="inlineStr">
        <is>
          <t>NULL</t>
        </is>
      </c>
      <c r="J408" s="0" t="inlineStr">
        <is>
          <t>NULL</t>
        </is>
      </c>
      <c r="K408" s="0" t="inlineStr">
        <is>
          <t>[0;32m YES! [0m 	 c_bigint列源备映射正确，源端为sql_variant 0位	期望更改为VARCHAR(255)	实际备端为varchar 1020位	位数精度不存在，通过长度比较</t>
        </is>
      </c>
    </row>
    <row r="409">
      <c r="B409" s="0" t="inlineStr">
        <is>
          <t>NULL</t>
        </is>
      </c>
      <c r="C409" s="0" t="inlineStr">
        <is>
          <t>NULL</t>
        </is>
      </c>
      <c r="D409" s="0" t="inlineStr">
        <is>
          <t>NULL</t>
        </is>
      </c>
      <c r="E409" s="0" t="inlineStr">
        <is>
          <t>NULL</t>
        </is>
      </c>
      <c r="F409" s="0" t="inlineStr">
        <is>
          <t>NULL</t>
        </is>
      </c>
      <c r="G409" s="0" t="inlineStr">
        <is>
          <t>NULL</t>
        </is>
      </c>
      <c r="H409" s="0" t="inlineStr">
        <is>
          <t>NULL</t>
        </is>
      </c>
      <c r="I409" s="0" t="inlineStr">
        <is>
          <t>NULL</t>
        </is>
      </c>
      <c r="J409" s="0" t="inlineStr">
        <is>
          <t>NULL</t>
        </is>
      </c>
      <c r="K409" s="0" t="inlineStr">
        <is>
          <t>[0;32m YES! [0m 	 c_varbinary_20列源备映射正确，源端为sql_variant 0位	期望更改为VARCHAR(255)	实际备端为varchar 1020位	位数精度不存在，通过长度比较</t>
        </is>
      </c>
    </row>
    <row r="410">
      <c r="B410" s="0" t="inlineStr">
        <is>
          <t>NULL</t>
        </is>
      </c>
      <c r="C410" s="0" t="inlineStr">
        <is>
          <t>NULL</t>
        </is>
      </c>
      <c r="D410" s="0" t="inlineStr">
        <is>
          <t>NULL</t>
        </is>
      </c>
      <c r="E410" s="0" t="inlineStr">
        <is>
          <t>NULL</t>
        </is>
      </c>
      <c r="F410" s="0" t="inlineStr">
        <is>
          <t>NULL</t>
        </is>
      </c>
      <c r="G410" s="0" t="inlineStr">
        <is>
          <t>NULL</t>
        </is>
      </c>
      <c r="H410" s="0" t="inlineStr">
        <is>
          <t>NULL</t>
        </is>
      </c>
      <c r="I410" s="0" t="inlineStr">
        <is>
          <t>NULL</t>
        </is>
      </c>
      <c r="J410" s="0" t="inlineStr">
        <is>
          <t>NULL</t>
        </is>
      </c>
      <c r="K410" s="0" t="inlineStr">
        <is>
          <t>[0;32m YES! [0m 	 c_varchar_20列源备映射正确，源端为sql_variant 0位	期望更改为VARCHAR(255)	实际备端为varchar 1020位	位数精度不存在，通过长度比较</t>
        </is>
      </c>
    </row>
    <row r="411">
      <c r="B411" s="0" t="inlineStr">
        <is>
          <t>NULL</t>
        </is>
      </c>
      <c r="C411" s="0" t="inlineStr">
        <is>
          <t>NULL</t>
        </is>
      </c>
      <c r="D411" s="0" t="inlineStr">
        <is>
          <t>NULL</t>
        </is>
      </c>
      <c r="E411" s="0" t="inlineStr">
        <is>
          <t>NULL</t>
        </is>
      </c>
      <c r="F411" s="0" t="inlineStr">
        <is>
          <t>NULL</t>
        </is>
      </c>
      <c r="G411" s="0" t="inlineStr">
        <is>
          <t>NULL</t>
        </is>
      </c>
      <c r="H411" s="0" t="inlineStr">
        <is>
          <t>NULL</t>
        </is>
      </c>
      <c r="I411" s="0" t="inlineStr">
        <is>
          <t>NULL</t>
        </is>
      </c>
      <c r="J411" s="0" t="inlineStr">
        <is>
          <t>NULL</t>
        </is>
      </c>
      <c r="K411" s="0" t="inlineStr">
        <is>
          <t>[0;32m YES! [0m 	 c_binary_20列源备映射正确，源端为sql_variant 0位	期望更改为VARCHAR(255)	实际备端为varchar 1020位	位数精度不存在，通过长度比较</t>
        </is>
      </c>
    </row>
    <row r="412">
      <c r="B412" s="0" t="inlineStr">
        <is>
          <t>NULL</t>
        </is>
      </c>
      <c r="C412" s="0" t="inlineStr">
        <is>
          <t>NULL</t>
        </is>
      </c>
      <c r="D412" s="0" t="inlineStr">
        <is>
          <t>NULL</t>
        </is>
      </c>
      <c r="E412" s="0" t="inlineStr">
        <is>
          <t>NULL</t>
        </is>
      </c>
      <c r="F412" s="0" t="inlineStr">
        <is>
          <t>NULL</t>
        </is>
      </c>
      <c r="G412" s="0" t="inlineStr">
        <is>
          <t>NULL</t>
        </is>
      </c>
      <c r="H412" s="0" t="inlineStr">
        <is>
          <t>NULL</t>
        </is>
      </c>
      <c r="I412" s="0" t="inlineStr">
        <is>
          <t>NULL</t>
        </is>
      </c>
      <c r="J412" s="0" t="inlineStr">
        <is>
          <t>NULL</t>
        </is>
      </c>
      <c r="K412" s="0" t="inlineStr">
        <is>
          <t>[0;32m YES! [0m 	 c_char_20列源备映射正确，源端为sql_variant 0位	期望更改为VARCHAR(255)	实际备端为varchar 1020位	位数精度不存在，通过长度比较</t>
        </is>
      </c>
    </row>
    <row r="413">
      <c r="B413" s="0" t="inlineStr">
        <is>
          <t>NULL</t>
        </is>
      </c>
      <c r="C413" s="0" t="inlineStr">
        <is>
          <t>NULL</t>
        </is>
      </c>
      <c r="D413" s="0" t="inlineStr">
        <is>
          <t>NULL</t>
        </is>
      </c>
      <c r="E413" s="0" t="inlineStr">
        <is>
          <t>NULL</t>
        </is>
      </c>
      <c r="F413" s="0" t="inlineStr">
        <is>
          <t>NULL</t>
        </is>
      </c>
      <c r="G413" s="0" t="inlineStr">
        <is>
          <t>NULL</t>
        </is>
      </c>
      <c r="H413" s="0" t="inlineStr">
        <is>
          <t>NULL</t>
        </is>
      </c>
      <c r="I413" s="0" t="inlineStr">
        <is>
          <t>NULL</t>
        </is>
      </c>
      <c r="J413" s="0" t="inlineStr">
        <is>
          <t>NULL</t>
        </is>
      </c>
      <c r="K413" s="0" t="inlineStr">
        <is>
          <t>[0;32m YES! [0m 	 c_nvarchar_20列源备映射正确，源端为sql_variant 0位	期望更改为VARCHAR(255)	实际备端为varchar 1020位	位数精度不存在，通过长度比较</t>
        </is>
      </c>
    </row>
    <row r="414">
      <c r="B414" s="0" t="inlineStr">
        <is>
          <t>NULL</t>
        </is>
      </c>
      <c r="C414" s="0" t="inlineStr">
        <is>
          <t>NULL</t>
        </is>
      </c>
      <c r="D414" s="0" t="inlineStr">
        <is>
          <t>NULL</t>
        </is>
      </c>
      <c r="E414" s="0" t="inlineStr">
        <is>
          <t>NULL</t>
        </is>
      </c>
      <c r="F414" s="0" t="inlineStr">
        <is>
          <t>NULL</t>
        </is>
      </c>
      <c r="G414" s="0" t="inlineStr">
        <is>
          <t>NULL</t>
        </is>
      </c>
      <c r="H414" s="0" t="inlineStr">
        <is>
          <t>NULL</t>
        </is>
      </c>
      <c r="I414" s="0" t="inlineStr">
        <is>
          <t>NULL</t>
        </is>
      </c>
      <c r="J414" s="0" t="inlineStr">
        <is>
          <t>NULL</t>
        </is>
      </c>
      <c r="K414" s="0" t="inlineStr">
        <is>
          <t>[0;32m YES! [0m 	 c_nchar_20列源备映射正确，源端为sql_variant 0位	期望更改为VARCHAR(255)	实际备端为varchar 1020位	位数精度不存在，通过长度比较</t>
        </is>
      </c>
    </row>
    <row r="415">
      <c r="B415" s="0" t="inlineStr">
        <is>
          <t>NULL</t>
        </is>
      </c>
      <c r="C415" s="0" t="inlineStr">
        <is>
          <t>NULL</t>
        </is>
      </c>
      <c r="D415" s="0" t="inlineStr">
        <is>
          <t>NULL</t>
        </is>
      </c>
      <c r="E415" s="0" t="inlineStr">
        <is>
          <t>NULL</t>
        </is>
      </c>
      <c r="F415" s="0" t="inlineStr">
        <is>
          <t>NULL</t>
        </is>
      </c>
      <c r="G415" s="0" t="inlineStr">
        <is>
          <t>NULL</t>
        </is>
      </c>
      <c r="H415" s="0" t="inlineStr">
        <is>
          <t>NULL</t>
        </is>
      </c>
      <c r="I415" s="0" t="inlineStr">
        <is>
          <t>NULL</t>
        </is>
      </c>
      <c r="J415" s="0" t="inlineStr">
        <is>
          <t>NULL</t>
        </is>
      </c>
      <c r="K415" s="0" t="inlineStr">
        <is>
          <t>[0;32m YES! [0m 	 c_timestamp列源备映射正确，源端为timestamp None位	期望更改为binary(8)	实际备端为binary 8位	位数精度不存在，通过长度比较</t>
        </is>
      </c>
    </row>
    <row r="416">
      <c r="A416" s="0" t="inlineStr">
        <is>
          <t>info_varchar_dml_batch1_pk_irp2</t>
        </is>
      </c>
      <c r="K416" s="0" t="inlineStr">
        <is>
          <t>[0;34m info_varchar_dml_batch1_pk_irp2 [0m源备字段数相同，源端字段：4 	备端字段4</t>
        </is>
      </c>
      <c r="W416" s="0" t="inlineStr">
        <is>
          <t>YES 源备无差异</t>
        </is>
      </c>
      <c r="X416" s="0">
        <f>A416</f>
        <v/>
      </c>
    </row>
    <row r="417">
      <c r="B417" s="0" t="inlineStr">
        <is>
          <t>YES</t>
        </is>
      </c>
      <c r="C417" s="0" t="inlineStr">
        <is>
          <t>NULL</t>
        </is>
      </c>
      <c r="D417" s="0" t="inlineStr">
        <is>
          <t>NULL</t>
        </is>
      </c>
      <c r="E417" s="0" t="inlineStr">
        <is>
          <t>NULL</t>
        </is>
      </c>
      <c r="F417" s="0" t="inlineStr">
        <is>
          <t>NULL</t>
        </is>
      </c>
      <c r="G417" s="0" t="inlineStr">
        <is>
          <t>NULL</t>
        </is>
      </c>
      <c r="H417" s="0" t="inlineStr">
        <is>
          <t>NULL</t>
        </is>
      </c>
      <c r="I417" s="0" t="inlineStr">
        <is>
          <t>YES!PK__info_var__3213E83FA0841A50</t>
        </is>
      </c>
      <c r="J417" s="0" t="inlineStr">
        <is>
          <t>YES! 主键相关索引</t>
        </is>
      </c>
      <c r="K417" s="0" t="inlineStr">
        <is>
          <t>YES! 	 id列源备映射正确，源端为int None位	期望更改为int	实际备端为int None位</t>
        </is>
      </c>
    </row>
    <row r="418">
      <c r="B418" s="0" t="inlineStr">
        <is>
          <t>NULL</t>
        </is>
      </c>
      <c r="C418" s="0" t="inlineStr">
        <is>
          <t>NULL</t>
        </is>
      </c>
      <c r="D418" s="0" t="inlineStr">
        <is>
          <t>NULL</t>
        </is>
      </c>
      <c r="E418" s="0" t="inlineStr">
        <is>
          <t>NULL</t>
        </is>
      </c>
      <c r="F418" s="0" t="inlineStr">
        <is>
          <t>NULL</t>
        </is>
      </c>
      <c r="G418" s="0" t="inlineStr">
        <is>
          <t>NULL</t>
        </is>
      </c>
      <c r="H418" s="0" t="inlineStr">
        <is>
          <t>NULL</t>
        </is>
      </c>
      <c r="I418" s="0" t="inlineStr">
        <is>
          <t>NULL</t>
        </is>
      </c>
      <c r="J418" s="0" t="inlineStr">
        <is>
          <t>NULL</t>
        </is>
      </c>
      <c r="K418" s="0" t="inlineStr">
        <is>
          <t>YES! 	 c_varchar列源备映射正确，源端为varchar 1位	期望更改为varchar(n)	实际备端为varchar 4位</t>
        </is>
      </c>
    </row>
    <row r="419">
      <c r="B419" s="0" t="inlineStr">
        <is>
          <t>NULL</t>
        </is>
      </c>
      <c r="C419" s="0" t="inlineStr">
        <is>
          <t>NULL</t>
        </is>
      </c>
      <c r="D419" s="0" t="inlineStr">
        <is>
          <t>NULL</t>
        </is>
      </c>
      <c r="E419" s="0" t="inlineStr">
        <is>
          <t>NULL</t>
        </is>
      </c>
      <c r="F419" s="0" t="inlineStr">
        <is>
          <t>NULL</t>
        </is>
      </c>
      <c r="G419" s="0" t="inlineStr">
        <is>
          <t>NULL</t>
        </is>
      </c>
      <c r="H419" s="0" t="inlineStr">
        <is>
          <t>NULL</t>
        </is>
      </c>
      <c r="I419" s="0" t="inlineStr">
        <is>
          <t>NULL</t>
        </is>
      </c>
      <c r="J419" s="0" t="inlineStr">
        <is>
          <t>NULL</t>
        </is>
      </c>
      <c r="K419" s="0" t="inlineStr">
        <is>
          <t>YES! 	 c_varchar20列源备映射正确，源端为varchar 20位	期望更改为varchar(n)	实际备端为varchar 80位</t>
        </is>
      </c>
    </row>
    <row r="420">
      <c r="B420" s="0" t="inlineStr">
        <is>
          <t>NULL</t>
        </is>
      </c>
      <c r="C420" s="0" t="inlineStr">
        <is>
          <t>NULL</t>
        </is>
      </c>
      <c r="D420" s="0" t="inlineStr">
        <is>
          <t>NULL</t>
        </is>
      </c>
      <c r="E420" s="0" t="inlineStr">
        <is>
          <t>NULL</t>
        </is>
      </c>
      <c r="F420" s="0" t="inlineStr">
        <is>
          <t>NULL</t>
        </is>
      </c>
      <c r="G420" s="0" t="inlineStr">
        <is>
          <t>NULL</t>
        </is>
      </c>
      <c r="H420" s="0" t="inlineStr">
        <is>
          <t>NULL</t>
        </is>
      </c>
      <c r="I420" s="0" t="inlineStr">
        <is>
          <t>NULL</t>
        </is>
      </c>
      <c r="J420" s="0" t="inlineStr">
        <is>
          <t>NULL</t>
        </is>
      </c>
      <c r="K420" s="0" t="inlineStr">
        <is>
          <t xml:space="preserve"> NO!  	 c_varchar8000列源备映射错误，源端为varchar 8000位	期望更改为longtext	实际备端为text 65535位</t>
        </is>
      </c>
    </row>
    <row r="421">
      <c r="A421" s="0" t="inlineStr">
        <is>
          <t>info_int_dml_single_nopk_irp</t>
        </is>
      </c>
      <c r="K421" s="0" t="inlineStr">
        <is>
          <t>[0;34m info_int_dml_single_nopk_irp [0m源备字段数相同，源端字段：20 	备端字段20</t>
        </is>
      </c>
      <c r="W421" s="15">
        <f>HYPERLINK("#2026051816mysql2!AX2","NO 源备存在差异，共2个")</f>
        <v/>
      </c>
      <c r="X421" s="0">
        <f>A421</f>
        <v/>
      </c>
    </row>
    <row r="422">
      <c r="B422" s="0" t="inlineStr">
        <is>
          <t>NULL</t>
        </is>
      </c>
      <c r="C422" s="0" t="inlineStr">
        <is>
          <t>NULL</t>
        </is>
      </c>
      <c r="D422" s="0" t="inlineStr">
        <is>
          <t>NULL</t>
        </is>
      </c>
      <c r="E422" s="0" t="inlineStr">
        <is>
          <t>NULL</t>
        </is>
      </c>
      <c r="F422" s="0" t="inlineStr">
        <is>
          <t>NULL</t>
        </is>
      </c>
      <c r="G422" s="0" t="inlineStr">
        <is>
          <t>NULL</t>
        </is>
      </c>
      <c r="H422" s="0" t="inlineStr">
        <is>
          <t>NULL</t>
        </is>
      </c>
      <c r="I422" s="0" t="inlineStr">
        <is>
          <t>NULL</t>
        </is>
      </c>
      <c r="J422" s="0" t="inlineStr">
        <is>
          <t>NULL</t>
        </is>
      </c>
      <c r="K422" s="0" t="inlineStr">
        <is>
          <t>YES! 	 id列源备映射正确，源端为int None位	期望更改为int	实际备端为int None位</t>
        </is>
      </c>
    </row>
    <row r="423">
      <c r="B423" s="0" t="inlineStr">
        <is>
          <t>NULL</t>
        </is>
      </c>
      <c r="C423" s="0" t="inlineStr">
        <is>
          <t>NULL</t>
        </is>
      </c>
      <c r="D423" s="0" t="inlineStr">
        <is>
          <t>NULL</t>
        </is>
      </c>
      <c r="E423" s="0" t="inlineStr">
        <is>
          <t>NULL</t>
        </is>
      </c>
      <c r="F423" s="0" t="inlineStr">
        <is>
          <t>NULL</t>
        </is>
      </c>
      <c r="G423" s="0" t="inlineStr">
        <is>
          <t>NULL</t>
        </is>
      </c>
      <c r="H423" s="0" t="inlineStr">
        <is>
          <t>NULL</t>
        </is>
      </c>
      <c r="I423" s="0" t="inlineStr">
        <is>
          <t>NULL</t>
        </is>
      </c>
      <c r="J423" s="0" t="inlineStr">
        <is>
          <t>NULL</t>
        </is>
      </c>
      <c r="K423" s="0" t="inlineStr">
        <is>
          <t>YES! 	 c_tinyint列源备映射正确，源端为tinyint None位	期望更改为tinyint	实际备端为tinyint None位</t>
        </is>
      </c>
    </row>
    <row r="424">
      <c r="B424" s="0" t="inlineStr">
        <is>
          <t>NULL</t>
        </is>
      </c>
      <c r="C424" s="0" t="inlineStr">
        <is>
          <t>NULL</t>
        </is>
      </c>
      <c r="D424" s="0" t="inlineStr">
        <is>
          <t>NULL</t>
        </is>
      </c>
      <c r="E424" s="0" t="inlineStr">
        <is>
          <t>NULL</t>
        </is>
      </c>
      <c r="F424" s="0" t="inlineStr">
        <is>
          <t>NULL</t>
        </is>
      </c>
      <c r="G424" s="0" t="inlineStr">
        <is>
          <t>NULL</t>
        </is>
      </c>
      <c r="H424" s="0" t="inlineStr">
        <is>
          <t>NULL</t>
        </is>
      </c>
      <c r="I424" s="0" t="inlineStr">
        <is>
          <t>NULL</t>
        </is>
      </c>
      <c r="J424" s="0" t="inlineStr">
        <is>
          <t>NULL</t>
        </is>
      </c>
      <c r="K424" s="0" t="inlineStr">
        <is>
          <t>YES! 	 c_smallint列源备映射正确，源端为smallint None位	期望更改为smallint	实际备端为smallint None位</t>
        </is>
      </c>
    </row>
    <row r="425">
      <c r="B425" s="0" t="inlineStr">
        <is>
          <t>NULL</t>
        </is>
      </c>
      <c r="C425" s="0" t="inlineStr">
        <is>
          <t>NULL</t>
        </is>
      </c>
      <c r="D425" s="0" t="inlineStr">
        <is>
          <t>NULL</t>
        </is>
      </c>
      <c r="E425" s="0" t="inlineStr">
        <is>
          <t>NULL</t>
        </is>
      </c>
      <c r="F425" s="0" t="inlineStr">
        <is>
          <t>NULL</t>
        </is>
      </c>
      <c r="G425" s="0" t="inlineStr">
        <is>
          <t>NULL</t>
        </is>
      </c>
      <c r="H425" s="0" t="inlineStr">
        <is>
          <t>NULL</t>
        </is>
      </c>
      <c r="I425" s="0" t="inlineStr">
        <is>
          <t>NULL</t>
        </is>
      </c>
      <c r="J425" s="0" t="inlineStr">
        <is>
          <t>NULL</t>
        </is>
      </c>
      <c r="K425" s="0" t="inlineStr">
        <is>
          <t>YES! 	 c_int列源备映射正确，源端为int None位	期望更改为int	实际备端为int None位</t>
        </is>
      </c>
    </row>
    <row r="426">
      <c r="B426" s="0" t="inlineStr">
        <is>
          <t>NULL</t>
        </is>
      </c>
      <c r="C426" s="0" t="inlineStr">
        <is>
          <t>NULL</t>
        </is>
      </c>
      <c r="D426" s="0" t="inlineStr">
        <is>
          <t>NULL</t>
        </is>
      </c>
      <c r="E426" s="0" t="inlineStr">
        <is>
          <t>NULL</t>
        </is>
      </c>
      <c r="F426" s="0" t="inlineStr">
        <is>
          <t>NULL</t>
        </is>
      </c>
      <c r="G426" s="0" t="inlineStr">
        <is>
          <t>NULL</t>
        </is>
      </c>
      <c r="H426" s="0" t="inlineStr">
        <is>
          <t>NULL</t>
        </is>
      </c>
      <c r="I426" s="0" t="inlineStr">
        <is>
          <t>NULL</t>
        </is>
      </c>
      <c r="J426" s="0" t="inlineStr">
        <is>
          <t>NULL</t>
        </is>
      </c>
      <c r="K426" s="0" t="inlineStr">
        <is>
          <t>YES! 	 c_bigint列源备映射正确，源端为bigint None位	期望更改为bigint	实际备端为bigint None位</t>
        </is>
      </c>
    </row>
    <row r="427">
      <c r="B427" s="0" t="inlineStr">
        <is>
          <t>NULL</t>
        </is>
      </c>
      <c r="C427" s="0" t="inlineStr">
        <is>
          <t>NULL</t>
        </is>
      </c>
      <c r="D427" s="0" t="inlineStr">
        <is>
          <t>NULL</t>
        </is>
      </c>
      <c r="E427" s="0" t="inlineStr">
        <is>
          <t>NULL</t>
        </is>
      </c>
      <c r="F427" s="0" t="inlineStr">
        <is>
          <t>NULL</t>
        </is>
      </c>
      <c r="G427" s="0" t="inlineStr">
        <is>
          <t>NULL</t>
        </is>
      </c>
      <c r="H427" s="0" t="inlineStr">
        <is>
          <t>NULL</t>
        </is>
      </c>
      <c r="I427" s="0" t="inlineStr">
        <is>
          <t>NULL</t>
        </is>
      </c>
      <c r="J427" s="0" t="inlineStr">
        <is>
          <t>NULL</t>
        </is>
      </c>
      <c r="K427" s="0" t="inlineStr">
        <is>
          <t>YES! 	 c_decimal列源备映射正确，源端为decimal None位	期望更改为decimal(p,s)	实际备端为decimal None位</t>
        </is>
      </c>
    </row>
    <row r="428">
      <c r="B428" s="0" t="inlineStr">
        <is>
          <t>NULL</t>
        </is>
      </c>
      <c r="C428" s="0" t="inlineStr">
        <is>
          <t>NULL</t>
        </is>
      </c>
      <c r="D428" s="0" t="inlineStr">
        <is>
          <t>NULL</t>
        </is>
      </c>
      <c r="E428" s="0" t="inlineStr">
        <is>
          <t>NULL</t>
        </is>
      </c>
      <c r="F428" s="0" t="inlineStr">
        <is>
          <t>NULL</t>
        </is>
      </c>
      <c r="G428" s="0" t="inlineStr">
        <is>
          <t>NULL</t>
        </is>
      </c>
      <c r="H428" s="0" t="inlineStr">
        <is>
          <t>NULL</t>
        </is>
      </c>
      <c r="I428" s="0" t="inlineStr">
        <is>
          <t>NULL</t>
        </is>
      </c>
      <c r="J428" s="0" t="inlineStr">
        <is>
          <t>NULL</t>
        </is>
      </c>
      <c r="K428" s="0" t="inlineStr">
        <is>
          <t>YES! 	 c_decimal38列源备映射正确，源端为decimal None位	期望更改为decimal(p,s)	实际备端为decimal None位</t>
        </is>
      </c>
    </row>
    <row r="429">
      <c r="B429" s="0" t="inlineStr">
        <is>
          <t>NULL</t>
        </is>
      </c>
      <c r="C429" s="0" t="inlineStr">
        <is>
          <t>NULL</t>
        </is>
      </c>
      <c r="D429" s="0" t="inlineStr">
        <is>
          <t>NULL</t>
        </is>
      </c>
      <c r="E429" s="0" t="inlineStr">
        <is>
          <t>NULL</t>
        </is>
      </c>
      <c r="F429" s="0" t="inlineStr">
        <is>
          <t>NULL</t>
        </is>
      </c>
      <c r="G429" s="0" t="inlineStr">
        <is>
          <t>NULL</t>
        </is>
      </c>
      <c r="H429" s="0" t="inlineStr">
        <is>
          <t>NULL</t>
        </is>
      </c>
      <c r="I429" s="0" t="inlineStr">
        <is>
          <t>NULL</t>
        </is>
      </c>
      <c r="J429" s="0" t="inlineStr">
        <is>
          <t>NULL</t>
        </is>
      </c>
      <c r="K429" s="0" t="inlineStr">
        <is>
          <t xml:space="preserve"> NO!  	 c_decimal38_38列源备映射错误，源端为decimal None位	期望更改为decimal(p,s)	实际备端为varchar 168位</t>
        </is>
      </c>
    </row>
    <row r="430">
      <c r="B430" s="0" t="inlineStr">
        <is>
          <t>NULL</t>
        </is>
      </c>
      <c r="C430" s="0" t="inlineStr">
        <is>
          <t>NULL</t>
        </is>
      </c>
      <c r="D430" s="0" t="inlineStr">
        <is>
          <t>NULL</t>
        </is>
      </c>
      <c r="E430" s="0" t="inlineStr">
        <is>
          <t>NULL</t>
        </is>
      </c>
      <c r="F430" s="0" t="inlineStr">
        <is>
          <t>NULL</t>
        </is>
      </c>
      <c r="G430" s="0" t="inlineStr">
        <is>
          <t>NULL</t>
        </is>
      </c>
      <c r="H430" s="0" t="inlineStr">
        <is>
          <t>NULL</t>
        </is>
      </c>
      <c r="I430" s="0" t="inlineStr">
        <is>
          <t>NULL</t>
        </is>
      </c>
      <c r="J430" s="0" t="inlineStr">
        <is>
          <t>NULL</t>
        </is>
      </c>
      <c r="K430" s="0" t="inlineStr">
        <is>
          <t>YES! 	 c_decimal38_10列源备映射正确，源端为decimal None位	期望更改为decimal(p,s)	实际备端为decimal None位</t>
        </is>
      </c>
    </row>
    <row r="431">
      <c r="B431" s="0" t="inlineStr">
        <is>
          <t>NULL</t>
        </is>
      </c>
      <c r="C431" s="0" t="inlineStr">
        <is>
          <t>NULL</t>
        </is>
      </c>
      <c r="D431" s="0" t="inlineStr">
        <is>
          <t>NULL</t>
        </is>
      </c>
      <c r="E431" s="0" t="inlineStr">
        <is>
          <t>NULL</t>
        </is>
      </c>
      <c r="F431" s="0" t="inlineStr">
        <is>
          <t>NULL</t>
        </is>
      </c>
      <c r="G431" s="0" t="inlineStr">
        <is>
          <t>NULL</t>
        </is>
      </c>
      <c r="H431" s="0" t="inlineStr">
        <is>
          <t>NULL</t>
        </is>
      </c>
      <c r="I431" s="0" t="inlineStr">
        <is>
          <t>NULL</t>
        </is>
      </c>
      <c r="J431" s="0" t="inlineStr">
        <is>
          <t>NULL</t>
        </is>
      </c>
      <c r="K431" s="0" t="inlineStr">
        <is>
          <t>YES! 	 c_decimal19_4列源备映射正确，源端为decimal None位	期望更改为decimal(p,s)	实际备端为decimal None位</t>
        </is>
      </c>
    </row>
    <row r="432">
      <c r="B432" s="0" t="inlineStr">
        <is>
          <t>NULL</t>
        </is>
      </c>
      <c r="C432" s="0" t="inlineStr">
        <is>
          <t>NULL</t>
        </is>
      </c>
      <c r="D432" s="0" t="inlineStr">
        <is>
          <t>NULL</t>
        </is>
      </c>
      <c r="E432" s="0" t="inlineStr">
        <is>
          <t>NULL</t>
        </is>
      </c>
      <c r="F432" s="0" t="inlineStr">
        <is>
          <t>NULL</t>
        </is>
      </c>
      <c r="G432" s="0" t="inlineStr">
        <is>
          <t>NULL</t>
        </is>
      </c>
      <c r="H432" s="0" t="inlineStr">
        <is>
          <t>NULL</t>
        </is>
      </c>
      <c r="I432" s="0" t="inlineStr">
        <is>
          <t>NULL</t>
        </is>
      </c>
      <c r="J432" s="0" t="inlineStr">
        <is>
          <t>NULL</t>
        </is>
      </c>
      <c r="K432" s="0" t="inlineStr">
        <is>
          <t>YES! 	 c_numeric列源备映射正确，源端为numeric None位	期望更改为decimal(p,s)	实际备端为decimal None位</t>
        </is>
      </c>
    </row>
    <row r="433">
      <c r="B433" s="0" t="inlineStr">
        <is>
          <t>NULL</t>
        </is>
      </c>
      <c r="C433" s="0" t="inlineStr">
        <is>
          <t>NULL</t>
        </is>
      </c>
      <c r="D433" s="0" t="inlineStr">
        <is>
          <t>NULL</t>
        </is>
      </c>
      <c r="E433" s="0" t="inlineStr">
        <is>
          <t>NULL</t>
        </is>
      </c>
      <c r="F433" s="0" t="inlineStr">
        <is>
          <t>NULL</t>
        </is>
      </c>
      <c r="G433" s="0" t="inlineStr">
        <is>
          <t>NULL</t>
        </is>
      </c>
      <c r="H433" s="0" t="inlineStr">
        <is>
          <t>NULL</t>
        </is>
      </c>
      <c r="I433" s="0" t="inlineStr">
        <is>
          <t>NULL</t>
        </is>
      </c>
      <c r="J433" s="0" t="inlineStr">
        <is>
          <t>NULL</t>
        </is>
      </c>
      <c r="K433" s="0" t="inlineStr">
        <is>
          <t>YES! 	 c_numeric38列源备映射正确，源端为numeric None位	期望更改为decimal(p,s)	实际备端为decimal None位</t>
        </is>
      </c>
    </row>
    <row r="434">
      <c r="B434" s="0" t="inlineStr">
        <is>
          <t>NULL</t>
        </is>
      </c>
      <c r="C434" s="0" t="inlineStr">
        <is>
          <t>NULL</t>
        </is>
      </c>
      <c r="D434" s="0" t="inlineStr">
        <is>
          <t>NULL</t>
        </is>
      </c>
      <c r="E434" s="0" t="inlineStr">
        <is>
          <t>NULL</t>
        </is>
      </c>
      <c r="F434" s="0" t="inlineStr">
        <is>
          <t>NULL</t>
        </is>
      </c>
      <c r="G434" s="0" t="inlineStr">
        <is>
          <t>NULL</t>
        </is>
      </c>
      <c r="H434" s="0" t="inlineStr">
        <is>
          <t>NULL</t>
        </is>
      </c>
      <c r="I434" s="0" t="inlineStr">
        <is>
          <t>NULL</t>
        </is>
      </c>
      <c r="J434" s="0" t="inlineStr">
        <is>
          <t>NULL</t>
        </is>
      </c>
      <c r="K434" s="0" t="inlineStr">
        <is>
          <t xml:space="preserve"> NO!  	 c_numeric38_38列源备映射错误，源端为numeric None位	期望更改为decimal(p,s)	实际备端为varchar 168位</t>
        </is>
      </c>
    </row>
    <row r="435">
      <c r="B435" s="0" t="inlineStr">
        <is>
          <t>NULL</t>
        </is>
      </c>
      <c r="C435" s="0" t="inlineStr">
        <is>
          <t>NULL</t>
        </is>
      </c>
      <c r="D435" s="0" t="inlineStr">
        <is>
          <t>NULL</t>
        </is>
      </c>
      <c r="E435" s="0" t="inlineStr">
        <is>
          <t>NULL</t>
        </is>
      </c>
      <c r="F435" s="0" t="inlineStr">
        <is>
          <t>NULL</t>
        </is>
      </c>
      <c r="G435" s="0" t="inlineStr">
        <is>
          <t>NULL</t>
        </is>
      </c>
      <c r="H435" s="0" t="inlineStr">
        <is>
          <t>NULL</t>
        </is>
      </c>
      <c r="I435" s="0" t="inlineStr">
        <is>
          <t>NULL</t>
        </is>
      </c>
      <c r="J435" s="0" t="inlineStr">
        <is>
          <t>NULL</t>
        </is>
      </c>
      <c r="K435" s="0" t="inlineStr">
        <is>
          <t>YES! 	 c_numeric38_10列源备映射正确，源端为numeric None位	期望更改为decimal(p,s)	实际备端为decimal None位</t>
        </is>
      </c>
    </row>
    <row r="436">
      <c r="B436" s="0" t="inlineStr">
        <is>
          <t>NULL</t>
        </is>
      </c>
      <c r="C436" s="0" t="inlineStr">
        <is>
          <t>NULL</t>
        </is>
      </c>
      <c r="D436" s="0" t="inlineStr">
        <is>
          <t>NULL</t>
        </is>
      </c>
      <c r="E436" s="0" t="inlineStr">
        <is>
          <t>NULL</t>
        </is>
      </c>
      <c r="F436" s="0" t="inlineStr">
        <is>
          <t>NULL</t>
        </is>
      </c>
      <c r="G436" s="0" t="inlineStr">
        <is>
          <t>NULL</t>
        </is>
      </c>
      <c r="H436" s="0" t="inlineStr">
        <is>
          <t>NULL</t>
        </is>
      </c>
      <c r="I436" s="0" t="inlineStr">
        <is>
          <t>NULL</t>
        </is>
      </c>
      <c r="J436" s="0" t="inlineStr">
        <is>
          <t>NULL</t>
        </is>
      </c>
      <c r="K436" s="0" t="inlineStr">
        <is>
          <t>YES! 	 c_numeric18_2列源备映射正确，源端为numeric None位	期望更改为decimal(p,s)	实际备端为decimal None位</t>
        </is>
      </c>
    </row>
    <row r="437">
      <c r="B437" s="0" t="inlineStr">
        <is>
          <t>NULL</t>
        </is>
      </c>
      <c r="C437" s="0" t="inlineStr">
        <is>
          <t>NULL</t>
        </is>
      </c>
      <c r="D437" s="0" t="inlineStr">
        <is>
          <t>NULL</t>
        </is>
      </c>
      <c r="E437" s="0" t="inlineStr">
        <is>
          <t>NULL</t>
        </is>
      </c>
      <c r="F437" s="0" t="inlineStr">
        <is>
          <t>NULL</t>
        </is>
      </c>
      <c r="G437" s="0" t="inlineStr">
        <is>
          <t>NULL</t>
        </is>
      </c>
      <c r="H437" s="0" t="inlineStr">
        <is>
          <t>NULL</t>
        </is>
      </c>
      <c r="I437" s="0" t="inlineStr">
        <is>
          <t>NULL</t>
        </is>
      </c>
      <c r="J437" s="0" t="inlineStr">
        <is>
          <t>NULL</t>
        </is>
      </c>
      <c r="K437" s="0" t="inlineStr">
        <is>
          <t>YES! 	 c_float列源备映射正确，源端为float None位	期望更改为double	实际备端为double None位</t>
        </is>
      </c>
    </row>
    <row r="438">
      <c r="B438" s="0" t="inlineStr">
        <is>
          <t>NULL</t>
        </is>
      </c>
      <c r="C438" s="0" t="inlineStr">
        <is>
          <t>NULL</t>
        </is>
      </c>
      <c r="D438" s="0" t="inlineStr">
        <is>
          <t>NULL</t>
        </is>
      </c>
      <c r="E438" s="0" t="inlineStr">
        <is>
          <t>NULL</t>
        </is>
      </c>
      <c r="F438" s="0" t="inlineStr">
        <is>
          <t>NULL</t>
        </is>
      </c>
      <c r="G438" s="0" t="inlineStr">
        <is>
          <t>NULL</t>
        </is>
      </c>
      <c r="H438" s="0" t="inlineStr">
        <is>
          <t>NULL</t>
        </is>
      </c>
      <c r="I438" s="0" t="inlineStr">
        <is>
          <t>NULL</t>
        </is>
      </c>
      <c r="J438" s="0" t="inlineStr">
        <is>
          <t>NULL</t>
        </is>
      </c>
      <c r="K438" s="0" t="inlineStr">
        <is>
          <t>YES! 	 c_real列源备映射正确，源端为real None位	期望更改为double	实际备端为double None位</t>
        </is>
      </c>
    </row>
    <row r="439">
      <c r="B439" s="0" t="inlineStr">
        <is>
          <t>NULL</t>
        </is>
      </c>
      <c r="C439" s="0" t="inlineStr">
        <is>
          <t>NULL</t>
        </is>
      </c>
      <c r="D439" s="0" t="inlineStr">
        <is>
          <t>NULL</t>
        </is>
      </c>
      <c r="E439" s="0" t="inlineStr">
        <is>
          <t>NULL</t>
        </is>
      </c>
      <c r="F439" s="0" t="inlineStr">
        <is>
          <t>NULL</t>
        </is>
      </c>
      <c r="G439" s="0" t="inlineStr">
        <is>
          <t>NULL</t>
        </is>
      </c>
      <c r="H439" s="0" t="inlineStr">
        <is>
          <t>NULL</t>
        </is>
      </c>
      <c r="I439" s="0" t="inlineStr">
        <is>
          <t>NULL</t>
        </is>
      </c>
      <c r="J439" s="0" t="inlineStr">
        <is>
          <t>NULL</t>
        </is>
      </c>
      <c r="K439" s="0" t="inlineStr">
        <is>
          <t>YES! 	 c_money列源备映射正确，源端为money None位	期望更改为decimal(19,4)	实际备端为decimal None位</t>
        </is>
      </c>
    </row>
    <row r="440">
      <c r="B440" s="0" t="inlineStr">
        <is>
          <t>NULL</t>
        </is>
      </c>
      <c r="C440" s="0" t="inlineStr">
        <is>
          <t>NULL</t>
        </is>
      </c>
      <c r="D440" s="0" t="inlineStr">
        <is>
          <t>NULL</t>
        </is>
      </c>
      <c r="E440" s="0" t="inlineStr">
        <is>
          <t>NULL</t>
        </is>
      </c>
      <c r="F440" s="0" t="inlineStr">
        <is>
          <t>NULL</t>
        </is>
      </c>
      <c r="G440" s="0" t="inlineStr">
        <is>
          <t>NULL</t>
        </is>
      </c>
      <c r="H440" s="0" t="inlineStr">
        <is>
          <t>NULL</t>
        </is>
      </c>
      <c r="I440" s="0" t="inlineStr">
        <is>
          <t>NULL</t>
        </is>
      </c>
      <c r="J440" s="0" t="inlineStr">
        <is>
          <t>NULL</t>
        </is>
      </c>
      <c r="K440" s="0" t="inlineStr">
        <is>
          <t>YES! 	 c_smallmoney列源备映射正确，源端为smallmoney None位	期望更改为decimal(10,4)	实际备端为decimal None位</t>
        </is>
      </c>
    </row>
    <row r="441">
      <c r="B441" s="0" t="inlineStr">
        <is>
          <t>NULL</t>
        </is>
      </c>
      <c r="C441" s="0" t="inlineStr">
        <is>
          <t>NO!源None备NUL</t>
        </is>
      </c>
      <c r="D441" s="0" t="inlineStr">
        <is>
          <t>NULL</t>
        </is>
      </c>
      <c r="E441" s="0" t="inlineStr">
        <is>
          <t>NULL</t>
        </is>
      </c>
      <c r="F441" s="0" t="inlineStr">
        <is>
          <t>NULL</t>
        </is>
      </c>
      <c r="G441" s="0" t="inlineStr">
        <is>
          <t>NULL</t>
        </is>
      </c>
      <c r="H441" s="0" t="inlineStr">
        <is>
          <t>NULL</t>
        </is>
      </c>
      <c r="I441" s="0" t="inlineStr">
        <is>
          <t>NULL</t>
        </is>
      </c>
      <c r="J441" s="0" t="inlineStr">
        <is>
          <t>NULL</t>
        </is>
      </c>
      <c r="K441" s="0" t="inlineStr">
        <is>
          <t>YES! 	 c_bit列源备映射正确，源端为bit None位	期望更改为tinyint(1) 	实际备端为tinyint None位</t>
        </is>
      </c>
    </row>
    <row r="442">
      <c r="A442" s="0" t="inlineStr">
        <is>
          <t>info_sdt_dml_batch1_pk_drp1</t>
        </is>
      </c>
      <c r="K442" s="0" t="inlineStr">
        <is>
          <t>[0;34m info_sdt_dml_batch1_pk_drp1 [0m源备字段数相同，源端字段：2 	备端字段2</t>
        </is>
      </c>
      <c r="W442" s="0" t="inlineStr">
        <is>
          <t>YES 源备无差异</t>
        </is>
      </c>
      <c r="X442" s="0">
        <f>A442</f>
        <v/>
      </c>
    </row>
    <row r="443">
      <c r="B443" s="0" t="inlineStr">
        <is>
          <t>YES</t>
        </is>
      </c>
      <c r="C443" s="0" t="inlineStr">
        <is>
          <t>NULL</t>
        </is>
      </c>
      <c r="D443" s="0" t="inlineStr">
        <is>
          <t>NULL</t>
        </is>
      </c>
      <c r="E443" s="0" t="inlineStr">
        <is>
          <t>NULL</t>
        </is>
      </c>
      <c r="F443" s="0" t="inlineStr">
        <is>
          <t>NULL</t>
        </is>
      </c>
      <c r="G443" s="0" t="inlineStr">
        <is>
          <t>NULL</t>
        </is>
      </c>
      <c r="H443" s="0" t="inlineStr">
        <is>
          <t>NULL</t>
        </is>
      </c>
      <c r="I443" s="0" t="inlineStr">
        <is>
          <t>YES!PK__info_sdt__3213E83F8E7E5405</t>
        </is>
      </c>
      <c r="J443" s="0" t="inlineStr">
        <is>
          <t>YES! 主键相关索引</t>
        </is>
      </c>
      <c r="K443" s="0" t="inlineStr">
        <is>
          <t>YES! 	 id列源备映射正确，源端为int None位	期望更改为int	实际备端为int None位</t>
        </is>
      </c>
    </row>
    <row r="444">
      <c r="B444" s="0" t="inlineStr">
        <is>
          <t>NULL</t>
        </is>
      </c>
      <c r="C444" s="0" t="inlineStr">
        <is>
          <t>NULL</t>
        </is>
      </c>
      <c r="D444" s="0" t="inlineStr">
        <is>
          <t>NULL</t>
        </is>
      </c>
      <c r="E444" s="0" t="inlineStr">
        <is>
          <t>NULL</t>
        </is>
      </c>
      <c r="F444" s="0" t="inlineStr">
        <is>
          <t>NULL</t>
        </is>
      </c>
      <c r="G444" s="0" t="inlineStr">
        <is>
          <t>NULL</t>
        </is>
      </c>
      <c r="H444" s="0" t="inlineStr">
        <is>
          <t>NULL</t>
        </is>
      </c>
      <c r="I444" s="0" t="inlineStr">
        <is>
          <t>NULL</t>
        </is>
      </c>
      <c r="J444" s="0" t="inlineStr">
        <is>
          <t>NULL</t>
        </is>
      </c>
      <c r="K444" s="0" t="inlineStr">
        <is>
          <t>YES! 	 c_sdt列源备映射正确，源端为smalldatetime None位	期望更改为datetime	实际备端为datetime None位</t>
        </is>
      </c>
    </row>
    <row r="445">
      <c r="K445" s="0" t="inlineStr">
        <is>
          <t>~ 空表</t>
        </is>
      </c>
    </row>
    <row r="446">
      <c r="A446" s="0" t="inlineStr">
        <is>
          <t>info_int_dml_single_nopk_urp</t>
        </is>
      </c>
      <c r="K446" s="0" t="inlineStr">
        <is>
          <t>[0;34m info_int_dml_single_nopk_urp [0m源备字段数相同，源端字段：20 	备端字段20</t>
        </is>
      </c>
      <c r="W446" s="15">
        <f>HYPERLINK("#2026051816mysql2!AY2","NO 源备存在差异，共2个")</f>
        <v/>
      </c>
      <c r="X446" s="0">
        <f>A446</f>
        <v/>
      </c>
    </row>
    <row r="447">
      <c r="B447" s="0" t="inlineStr">
        <is>
          <t>NULL</t>
        </is>
      </c>
      <c r="C447" s="0" t="inlineStr">
        <is>
          <t>NULL</t>
        </is>
      </c>
      <c r="D447" s="0" t="inlineStr">
        <is>
          <t>NULL</t>
        </is>
      </c>
      <c r="E447" s="0" t="inlineStr">
        <is>
          <t>NULL</t>
        </is>
      </c>
      <c r="F447" s="0" t="inlineStr">
        <is>
          <t>NULL</t>
        </is>
      </c>
      <c r="G447" s="0" t="inlineStr">
        <is>
          <t>NULL</t>
        </is>
      </c>
      <c r="H447" s="0" t="inlineStr">
        <is>
          <t>NULL</t>
        </is>
      </c>
      <c r="I447" s="0" t="inlineStr">
        <is>
          <t>NULL</t>
        </is>
      </c>
      <c r="J447" s="0" t="inlineStr">
        <is>
          <t>NULL</t>
        </is>
      </c>
      <c r="K447" s="0" t="inlineStr">
        <is>
          <t>YES! 	 id列源备映射正确，源端为int None位	期望更改为int	实际备端为int None位</t>
        </is>
      </c>
    </row>
    <row r="448">
      <c r="B448" s="0" t="inlineStr">
        <is>
          <t>NULL</t>
        </is>
      </c>
      <c r="C448" s="0" t="inlineStr">
        <is>
          <t>NULL</t>
        </is>
      </c>
      <c r="D448" s="0" t="inlineStr">
        <is>
          <t>NULL</t>
        </is>
      </c>
      <c r="E448" s="0" t="inlineStr">
        <is>
          <t>NULL</t>
        </is>
      </c>
      <c r="F448" s="0" t="inlineStr">
        <is>
          <t>NULL</t>
        </is>
      </c>
      <c r="G448" s="0" t="inlineStr">
        <is>
          <t>NULL</t>
        </is>
      </c>
      <c r="H448" s="0" t="inlineStr">
        <is>
          <t>NULL</t>
        </is>
      </c>
      <c r="I448" s="0" t="inlineStr">
        <is>
          <t>NULL</t>
        </is>
      </c>
      <c r="J448" s="0" t="inlineStr">
        <is>
          <t>NULL</t>
        </is>
      </c>
      <c r="K448" s="0" t="inlineStr">
        <is>
          <t>YES! 	 c_tinyint列源备映射正确，源端为tinyint None位	期望更改为tinyint	实际备端为tinyint None位</t>
        </is>
      </c>
    </row>
    <row r="449">
      <c r="B449" s="0" t="inlineStr">
        <is>
          <t>NULL</t>
        </is>
      </c>
      <c r="C449" s="0" t="inlineStr">
        <is>
          <t>NULL</t>
        </is>
      </c>
      <c r="D449" s="0" t="inlineStr">
        <is>
          <t>NULL</t>
        </is>
      </c>
      <c r="E449" s="0" t="inlineStr">
        <is>
          <t>NULL</t>
        </is>
      </c>
      <c r="F449" s="0" t="inlineStr">
        <is>
          <t>NULL</t>
        </is>
      </c>
      <c r="G449" s="0" t="inlineStr">
        <is>
          <t>NULL</t>
        </is>
      </c>
      <c r="H449" s="0" t="inlineStr">
        <is>
          <t>NULL</t>
        </is>
      </c>
      <c r="I449" s="0" t="inlineStr">
        <is>
          <t>NULL</t>
        </is>
      </c>
      <c r="J449" s="0" t="inlineStr">
        <is>
          <t>NULL</t>
        </is>
      </c>
      <c r="K449" s="0" t="inlineStr">
        <is>
          <t>YES! 	 c_smallint列源备映射正确，源端为smallint None位	期望更改为smallint	实际备端为smallint None位</t>
        </is>
      </c>
    </row>
    <row r="450">
      <c r="B450" s="0" t="inlineStr">
        <is>
          <t>NULL</t>
        </is>
      </c>
      <c r="C450" s="0" t="inlineStr">
        <is>
          <t>NULL</t>
        </is>
      </c>
      <c r="D450" s="0" t="inlineStr">
        <is>
          <t>NULL</t>
        </is>
      </c>
      <c r="E450" s="0" t="inlineStr">
        <is>
          <t>NULL</t>
        </is>
      </c>
      <c r="F450" s="0" t="inlineStr">
        <is>
          <t>NULL</t>
        </is>
      </c>
      <c r="G450" s="0" t="inlineStr">
        <is>
          <t>NULL</t>
        </is>
      </c>
      <c r="H450" s="0" t="inlineStr">
        <is>
          <t>NULL</t>
        </is>
      </c>
      <c r="I450" s="0" t="inlineStr">
        <is>
          <t>NULL</t>
        </is>
      </c>
      <c r="J450" s="0" t="inlineStr">
        <is>
          <t>NULL</t>
        </is>
      </c>
      <c r="K450" s="0" t="inlineStr">
        <is>
          <t>YES! 	 c_int列源备映射正确，源端为int None位	期望更改为int	实际备端为int None位</t>
        </is>
      </c>
    </row>
    <row r="451">
      <c r="B451" s="0" t="inlineStr">
        <is>
          <t>NULL</t>
        </is>
      </c>
      <c r="C451" s="0" t="inlineStr">
        <is>
          <t>NULL</t>
        </is>
      </c>
      <c r="D451" s="0" t="inlineStr">
        <is>
          <t>NULL</t>
        </is>
      </c>
      <c r="E451" s="0" t="inlineStr">
        <is>
          <t>NULL</t>
        </is>
      </c>
      <c r="F451" s="0" t="inlineStr">
        <is>
          <t>NULL</t>
        </is>
      </c>
      <c r="G451" s="0" t="inlineStr">
        <is>
          <t>NULL</t>
        </is>
      </c>
      <c r="H451" s="0" t="inlineStr">
        <is>
          <t>NULL</t>
        </is>
      </c>
      <c r="I451" s="0" t="inlineStr">
        <is>
          <t>NULL</t>
        </is>
      </c>
      <c r="J451" s="0" t="inlineStr">
        <is>
          <t>NULL</t>
        </is>
      </c>
      <c r="K451" s="0" t="inlineStr">
        <is>
          <t>YES! 	 c_bigint列源备映射正确，源端为bigint None位	期望更改为bigint	实际备端为bigint None位</t>
        </is>
      </c>
    </row>
    <row r="452">
      <c r="B452" s="0" t="inlineStr">
        <is>
          <t>NULL</t>
        </is>
      </c>
      <c r="C452" s="0" t="inlineStr">
        <is>
          <t>NULL</t>
        </is>
      </c>
      <c r="D452" s="0" t="inlineStr">
        <is>
          <t>NULL</t>
        </is>
      </c>
      <c r="E452" s="0" t="inlineStr">
        <is>
          <t>NULL</t>
        </is>
      </c>
      <c r="F452" s="0" t="inlineStr">
        <is>
          <t>NULL</t>
        </is>
      </c>
      <c r="G452" s="0" t="inlineStr">
        <is>
          <t>NULL</t>
        </is>
      </c>
      <c r="H452" s="0" t="inlineStr">
        <is>
          <t>NULL</t>
        </is>
      </c>
      <c r="I452" s="0" t="inlineStr">
        <is>
          <t>NULL</t>
        </is>
      </c>
      <c r="J452" s="0" t="inlineStr">
        <is>
          <t>NULL</t>
        </is>
      </c>
      <c r="K452" s="0" t="inlineStr">
        <is>
          <t>YES! 	 c_decimal列源备映射正确，源端为decimal None位	期望更改为decimal(p,s)	实际备端为decimal None位</t>
        </is>
      </c>
    </row>
    <row r="453">
      <c r="B453" s="0" t="inlineStr">
        <is>
          <t>NULL</t>
        </is>
      </c>
      <c r="C453" s="0" t="inlineStr">
        <is>
          <t>NULL</t>
        </is>
      </c>
      <c r="D453" s="0" t="inlineStr">
        <is>
          <t>NULL</t>
        </is>
      </c>
      <c r="E453" s="0" t="inlineStr">
        <is>
          <t>NULL</t>
        </is>
      </c>
      <c r="F453" s="0" t="inlineStr">
        <is>
          <t>NULL</t>
        </is>
      </c>
      <c r="G453" s="0" t="inlineStr">
        <is>
          <t>NULL</t>
        </is>
      </c>
      <c r="H453" s="0" t="inlineStr">
        <is>
          <t>NULL</t>
        </is>
      </c>
      <c r="I453" s="0" t="inlineStr">
        <is>
          <t>NULL</t>
        </is>
      </c>
      <c r="J453" s="0" t="inlineStr">
        <is>
          <t>NULL</t>
        </is>
      </c>
      <c r="K453" s="0" t="inlineStr">
        <is>
          <t>YES! 	 c_decimal38列源备映射正确，源端为decimal None位	期望更改为decimal(p,s)	实际备端为decimal None位</t>
        </is>
      </c>
    </row>
    <row r="454">
      <c r="B454" s="0" t="inlineStr">
        <is>
          <t>NULL</t>
        </is>
      </c>
      <c r="C454" s="0" t="inlineStr">
        <is>
          <t>NULL</t>
        </is>
      </c>
      <c r="D454" s="0" t="inlineStr">
        <is>
          <t>NULL</t>
        </is>
      </c>
      <c r="E454" s="0" t="inlineStr">
        <is>
          <t>NULL</t>
        </is>
      </c>
      <c r="F454" s="0" t="inlineStr">
        <is>
          <t>NULL</t>
        </is>
      </c>
      <c r="G454" s="0" t="inlineStr">
        <is>
          <t>NULL</t>
        </is>
      </c>
      <c r="H454" s="0" t="inlineStr">
        <is>
          <t>NULL</t>
        </is>
      </c>
      <c r="I454" s="0" t="inlineStr">
        <is>
          <t>NULL</t>
        </is>
      </c>
      <c r="J454" s="0" t="inlineStr">
        <is>
          <t>NULL</t>
        </is>
      </c>
      <c r="K454" s="0" t="inlineStr">
        <is>
          <t xml:space="preserve"> NO!  	 c_decimal38_38列源备映射错误，源端为decimal None位	期望更改为decimal(p,s)	实际备端为varchar 168位</t>
        </is>
      </c>
    </row>
    <row r="455">
      <c r="B455" s="0" t="inlineStr">
        <is>
          <t>NULL</t>
        </is>
      </c>
      <c r="C455" s="0" t="inlineStr">
        <is>
          <t>NULL</t>
        </is>
      </c>
      <c r="D455" s="0" t="inlineStr">
        <is>
          <t>NULL</t>
        </is>
      </c>
      <c r="E455" s="0" t="inlineStr">
        <is>
          <t>NULL</t>
        </is>
      </c>
      <c r="F455" s="0" t="inlineStr">
        <is>
          <t>NULL</t>
        </is>
      </c>
      <c r="G455" s="0" t="inlineStr">
        <is>
          <t>NULL</t>
        </is>
      </c>
      <c r="H455" s="0" t="inlineStr">
        <is>
          <t>NULL</t>
        </is>
      </c>
      <c r="I455" s="0" t="inlineStr">
        <is>
          <t>NULL</t>
        </is>
      </c>
      <c r="J455" s="0" t="inlineStr">
        <is>
          <t>NULL</t>
        </is>
      </c>
      <c r="K455" s="0" t="inlineStr">
        <is>
          <t>YES! 	 c_decimal38_10列源备映射正确，源端为decimal None位	期望更改为decimal(p,s)	实际备端为decimal None位</t>
        </is>
      </c>
    </row>
    <row r="456">
      <c r="B456" s="0" t="inlineStr">
        <is>
          <t>NULL</t>
        </is>
      </c>
      <c r="C456" s="0" t="inlineStr">
        <is>
          <t>NULL</t>
        </is>
      </c>
      <c r="D456" s="0" t="inlineStr">
        <is>
          <t>NULL</t>
        </is>
      </c>
      <c r="E456" s="0" t="inlineStr">
        <is>
          <t>NULL</t>
        </is>
      </c>
      <c r="F456" s="0" t="inlineStr">
        <is>
          <t>NULL</t>
        </is>
      </c>
      <c r="G456" s="0" t="inlineStr">
        <is>
          <t>NULL</t>
        </is>
      </c>
      <c r="H456" s="0" t="inlineStr">
        <is>
          <t>NULL</t>
        </is>
      </c>
      <c r="I456" s="0" t="inlineStr">
        <is>
          <t>NULL</t>
        </is>
      </c>
      <c r="J456" s="0" t="inlineStr">
        <is>
          <t>NULL</t>
        </is>
      </c>
      <c r="K456" s="0" t="inlineStr">
        <is>
          <t>YES! 	 c_decimal19_4列源备映射正确，源端为decimal None位	期望更改为decimal(p,s)	实际备端为decimal None位</t>
        </is>
      </c>
    </row>
    <row r="457">
      <c r="B457" s="0" t="inlineStr">
        <is>
          <t>NULL</t>
        </is>
      </c>
      <c r="C457" s="0" t="inlineStr">
        <is>
          <t>NULL</t>
        </is>
      </c>
      <c r="D457" s="0" t="inlineStr">
        <is>
          <t>NULL</t>
        </is>
      </c>
      <c r="E457" s="0" t="inlineStr">
        <is>
          <t>NULL</t>
        </is>
      </c>
      <c r="F457" s="0" t="inlineStr">
        <is>
          <t>NULL</t>
        </is>
      </c>
      <c r="G457" s="0" t="inlineStr">
        <is>
          <t>NULL</t>
        </is>
      </c>
      <c r="H457" s="0" t="inlineStr">
        <is>
          <t>NULL</t>
        </is>
      </c>
      <c r="I457" s="0" t="inlineStr">
        <is>
          <t>NULL</t>
        </is>
      </c>
      <c r="J457" s="0" t="inlineStr">
        <is>
          <t>NULL</t>
        </is>
      </c>
      <c r="K457" s="0" t="inlineStr">
        <is>
          <t>YES! 	 c_numeric列源备映射正确，源端为numeric None位	期望更改为decimal(p,s)	实际备端为decimal None位</t>
        </is>
      </c>
    </row>
    <row r="458">
      <c r="B458" s="0" t="inlineStr">
        <is>
          <t>NULL</t>
        </is>
      </c>
      <c r="C458" s="0" t="inlineStr">
        <is>
          <t>NULL</t>
        </is>
      </c>
      <c r="D458" s="0" t="inlineStr">
        <is>
          <t>NULL</t>
        </is>
      </c>
      <c r="E458" s="0" t="inlineStr">
        <is>
          <t>NULL</t>
        </is>
      </c>
      <c r="F458" s="0" t="inlineStr">
        <is>
          <t>NULL</t>
        </is>
      </c>
      <c r="G458" s="0" t="inlineStr">
        <is>
          <t>NULL</t>
        </is>
      </c>
      <c r="H458" s="0" t="inlineStr">
        <is>
          <t>NULL</t>
        </is>
      </c>
      <c r="I458" s="0" t="inlineStr">
        <is>
          <t>NULL</t>
        </is>
      </c>
      <c r="J458" s="0" t="inlineStr">
        <is>
          <t>NULL</t>
        </is>
      </c>
      <c r="K458" s="0" t="inlineStr">
        <is>
          <t>YES! 	 c_numeric38列源备映射正确，源端为numeric None位	期望更改为decimal(p,s)	实际备端为decimal None位</t>
        </is>
      </c>
    </row>
    <row r="459">
      <c r="B459" s="0" t="inlineStr">
        <is>
          <t>NULL</t>
        </is>
      </c>
      <c r="C459" s="0" t="inlineStr">
        <is>
          <t>NULL</t>
        </is>
      </c>
      <c r="D459" s="0" t="inlineStr">
        <is>
          <t>NULL</t>
        </is>
      </c>
      <c r="E459" s="0" t="inlineStr">
        <is>
          <t>NULL</t>
        </is>
      </c>
      <c r="F459" s="0" t="inlineStr">
        <is>
          <t>NULL</t>
        </is>
      </c>
      <c r="G459" s="0" t="inlineStr">
        <is>
          <t>NULL</t>
        </is>
      </c>
      <c r="H459" s="0" t="inlineStr">
        <is>
          <t>NULL</t>
        </is>
      </c>
      <c r="I459" s="0" t="inlineStr">
        <is>
          <t>NULL</t>
        </is>
      </c>
      <c r="J459" s="0" t="inlineStr">
        <is>
          <t>NULL</t>
        </is>
      </c>
      <c r="K459" s="0" t="inlineStr">
        <is>
          <t xml:space="preserve"> NO!  	 c_numeric38_38列源备映射错误，源端为numeric None位	期望更改为decimal(p,s)	实际备端为varchar 168位</t>
        </is>
      </c>
    </row>
    <row r="460">
      <c r="B460" s="0" t="inlineStr">
        <is>
          <t>NULL</t>
        </is>
      </c>
      <c r="C460" s="0" t="inlineStr">
        <is>
          <t>NULL</t>
        </is>
      </c>
      <c r="D460" s="0" t="inlineStr">
        <is>
          <t>NULL</t>
        </is>
      </c>
      <c r="E460" s="0" t="inlineStr">
        <is>
          <t>NULL</t>
        </is>
      </c>
      <c r="F460" s="0" t="inlineStr">
        <is>
          <t>NULL</t>
        </is>
      </c>
      <c r="G460" s="0" t="inlineStr">
        <is>
          <t>NULL</t>
        </is>
      </c>
      <c r="H460" s="0" t="inlineStr">
        <is>
          <t>NULL</t>
        </is>
      </c>
      <c r="I460" s="0" t="inlineStr">
        <is>
          <t>NULL</t>
        </is>
      </c>
      <c r="J460" s="0" t="inlineStr">
        <is>
          <t>NULL</t>
        </is>
      </c>
      <c r="K460" s="0" t="inlineStr">
        <is>
          <t>YES! 	 c_numeric38_10列源备映射正确，源端为numeric None位	期望更改为decimal(p,s)	实际备端为decimal None位</t>
        </is>
      </c>
    </row>
    <row r="461">
      <c r="B461" s="0" t="inlineStr">
        <is>
          <t>NULL</t>
        </is>
      </c>
      <c r="C461" s="0" t="inlineStr">
        <is>
          <t>NULL</t>
        </is>
      </c>
      <c r="D461" s="0" t="inlineStr">
        <is>
          <t>NULL</t>
        </is>
      </c>
      <c r="E461" s="0" t="inlineStr">
        <is>
          <t>NULL</t>
        </is>
      </c>
      <c r="F461" s="0" t="inlineStr">
        <is>
          <t>NULL</t>
        </is>
      </c>
      <c r="G461" s="0" t="inlineStr">
        <is>
          <t>NULL</t>
        </is>
      </c>
      <c r="H461" s="0" t="inlineStr">
        <is>
          <t>NULL</t>
        </is>
      </c>
      <c r="I461" s="0" t="inlineStr">
        <is>
          <t>NULL</t>
        </is>
      </c>
      <c r="J461" s="0" t="inlineStr">
        <is>
          <t>NULL</t>
        </is>
      </c>
      <c r="K461" s="0" t="inlineStr">
        <is>
          <t>YES! 	 c_numeric18_2列源备映射正确，源端为numeric None位	期望更改为decimal(p,s)	实际备端为decimal None位</t>
        </is>
      </c>
    </row>
    <row r="462">
      <c r="B462" s="0" t="inlineStr">
        <is>
          <t>NULL</t>
        </is>
      </c>
      <c r="C462" s="0" t="inlineStr">
        <is>
          <t>NULL</t>
        </is>
      </c>
      <c r="D462" s="0" t="inlineStr">
        <is>
          <t>NULL</t>
        </is>
      </c>
      <c r="E462" s="0" t="inlineStr">
        <is>
          <t>NULL</t>
        </is>
      </c>
      <c r="F462" s="0" t="inlineStr">
        <is>
          <t>NULL</t>
        </is>
      </c>
      <c r="G462" s="0" t="inlineStr">
        <is>
          <t>NULL</t>
        </is>
      </c>
      <c r="H462" s="0" t="inlineStr">
        <is>
          <t>NULL</t>
        </is>
      </c>
      <c r="I462" s="0" t="inlineStr">
        <is>
          <t>NULL</t>
        </is>
      </c>
      <c r="J462" s="0" t="inlineStr">
        <is>
          <t>NULL</t>
        </is>
      </c>
      <c r="K462" s="0" t="inlineStr">
        <is>
          <t>YES! 	 c_float列源备映射正确，源端为float None位	期望更改为double	实际备端为double None位</t>
        </is>
      </c>
    </row>
    <row r="463">
      <c r="B463" s="0" t="inlineStr">
        <is>
          <t>NULL</t>
        </is>
      </c>
      <c r="C463" s="0" t="inlineStr">
        <is>
          <t>NULL</t>
        </is>
      </c>
      <c r="D463" s="0" t="inlineStr">
        <is>
          <t>NULL</t>
        </is>
      </c>
      <c r="E463" s="0" t="inlineStr">
        <is>
          <t>NULL</t>
        </is>
      </c>
      <c r="F463" s="0" t="inlineStr">
        <is>
          <t>NULL</t>
        </is>
      </c>
      <c r="G463" s="0" t="inlineStr">
        <is>
          <t>NULL</t>
        </is>
      </c>
      <c r="H463" s="0" t="inlineStr">
        <is>
          <t>NULL</t>
        </is>
      </c>
      <c r="I463" s="0" t="inlineStr">
        <is>
          <t>NULL</t>
        </is>
      </c>
      <c r="J463" s="0" t="inlineStr">
        <is>
          <t>NULL</t>
        </is>
      </c>
      <c r="K463" s="0" t="inlineStr">
        <is>
          <t>YES! 	 c_real列源备映射正确，源端为real None位	期望更改为double	实际备端为double None位</t>
        </is>
      </c>
    </row>
    <row r="464">
      <c r="B464" s="0" t="inlineStr">
        <is>
          <t>NULL</t>
        </is>
      </c>
      <c r="C464" s="0" t="inlineStr">
        <is>
          <t>NULL</t>
        </is>
      </c>
      <c r="D464" s="0" t="inlineStr">
        <is>
          <t>NULL</t>
        </is>
      </c>
      <c r="E464" s="0" t="inlineStr">
        <is>
          <t>NULL</t>
        </is>
      </c>
      <c r="F464" s="0" t="inlineStr">
        <is>
          <t>NULL</t>
        </is>
      </c>
      <c r="G464" s="0" t="inlineStr">
        <is>
          <t>NULL</t>
        </is>
      </c>
      <c r="H464" s="0" t="inlineStr">
        <is>
          <t>NULL</t>
        </is>
      </c>
      <c r="I464" s="0" t="inlineStr">
        <is>
          <t>NULL</t>
        </is>
      </c>
      <c r="J464" s="0" t="inlineStr">
        <is>
          <t>NULL</t>
        </is>
      </c>
      <c r="K464" s="0" t="inlineStr">
        <is>
          <t>YES! 	 c_money列源备映射正确，源端为money None位	期望更改为decimal(19,4)	实际备端为decimal None位</t>
        </is>
      </c>
    </row>
    <row r="465">
      <c r="B465" s="0" t="inlineStr">
        <is>
          <t>NULL</t>
        </is>
      </c>
      <c r="C465" s="0" t="inlineStr">
        <is>
          <t>NULL</t>
        </is>
      </c>
      <c r="D465" s="0" t="inlineStr">
        <is>
          <t>NULL</t>
        </is>
      </c>
      <c r="E465" s="0" t="inlineStr">
        <is>
          <t>NULL</t>
        </is>
      </c>
      <c r="F465" s="0" t="inlineStr">
        <is>
          <t>NULL</t>
        </is>
      </c>
      <c r="G465" s="0" t="inlineStr">
        <is>
          <t>NULL</t>
        </is>
      </c>
      <c r="H465" s="0" t="inlineStr">
        <is>
          <t>NULL</t>
        </is>
      </c>
      <c r="I465" s="0" t="inlineStr">
        <is>
          <t>NULL</t>
        </is>
      </c>
      <c r="J465" s="0" t="inlineStr">
        <is>
          <t>NULL</t>
        </is>
      </c>
      <c r="K465" s="0" t="inlineStr">
        <is>
          <t>YES! 	 c_smallmoney列源备映射正确，源端为smallmoney None位	期望更改为decimal(10,4)	实际备端为decimal None位</t>
        </is>
      </c>
    </row>
    <row r="466">
      <c r="B466" s="0" t="inlineStr">
        <is>
          <t>NULL</t>
        </is>
      </c>
      <c r="C466" s="0" t="inlineStr">
        <is>
          <t>NO!源None备NUL</t>
        </is>
      </c>
      <c r="D466" s="0" t="inlineStr">
        <is>
          <t>NULL</t>
        </is>
      </c>
      <c r="E466" s="0" t="inlineStr">
        <is>
          <t>NULL</t>
        </is>
      </c>
      <c r="F466" s="0" t="inlineStr">
        <is>
          <t>NULL</t>
        </is>
      </c>
      <c r="G466" s="0" t="inlineStr">
        <is>
          <t>NULL</t>
        </is>
      </c>
      <c r="H466" s="0" t="inlineStr">
        <is>
          <t>NULL</t>
        </is>
      </c>
      <c r="I466" s="0" t="inlineStr">
        <is>
          <t>NULL</t>
        </is>
      </c>
      <c r="J466" s="0" t="inlineStr">
        <is>
          <t>NULL</t>
        </is>
      </c>
      <c r="K466" s="0" t="inlineStr">
        <is>
          <t>YES! 	 c_bit列源备映射正确，源端为bit None位	期望更改为tinyint(1) 	实际备端为tinyint None位</t>
        </is>
      </c>
    </row>
    <row r="467">
      <c r="A467" s="0" t="inlineStr">
        <is>
          <t>info_varchar_dml_batch2_pk_irp1</t>
        </is>
      </c>
      <c r="K467" s="0" t="inlineStr">
        <is>
          <t>[0;34m info_varchar_dml_batch2_pk_irp1 [0m源备字段数相同，源端字段：4 	备端字段4</t>
        </is>
      </c>
      <c r="W467" s="0" t="inlineStr">
        <is>
          <t>YES 源备无差异</t>
        </is>
      </c>
      <c r="X467" s="0">
        <f>A467</f>
        <v/>
      </c>
    </row>
    <row r="468">
      <c r="B468" s="0" t="inlineStr">
        <is>
          <t>YES</t>
        </is>
      </c>
      <c r="C468" s="0" t="inlineStr">
        <is>
          <t>NULL</t>
        </is>
      </c>
      <c r="D468" s="0" t="inlineStr">
        <is>
          <t>NULL</t>
        </is>
      </c>
      <c r="E468" s="0" t="inlineStr">
        <is>
          <t>NULL</t>
        </is>
      </c>
      <c r="F468" s="0" t="inlineStr">
        <is>
          <t>NULL</t>
        </is>
      </c>
      <c r="G468" s="0" t="inlineStr">
        <is>
          <t>NULL</t>
        </is>
      </c>
      <c r="H468" s="0" t="inlineStr">
        <is>
          <t>NULL</t>
        </is>
      </c>
      <c r="I468" s="0" t="inlineStr">
        <is>
          <t>YES!PK__info_var__3213E83FAC523603</t>
        </is>
      </c>
      <c r="J468" s="0" t="inlineStr">
        <is>
          <t>YES! 主键相关索引</t>
        </is>
      </c>
      <c r="K468" s="0" t="inlineStr">
        <is>
          <t>YES! 	 id列源备映射正确，源端为int None位	期望更改为int	实际备端为int None位</t>
        </is>
      </c>
    </row>
    <row r="469">
      <c r="B469" s="0" t="inlineStr">
        <is>
          <t>NULL</t>
        </is>
      </c>
      <c r="C469" s="0" t="inlineStr">
        <is>
          <t>NULL</t>
        </is>
      </c>
      <c r="D469" s="0" t="inlineStr">
        <is>
          <t>NULL</t>
        </is>
      </c>
      <c r="E469" s="0" t="inlineStr">
        <is>
          <t>NULL</t>
        </is>
      </c>
      <c r="F469" s="0" t="inlineStr">
        <is>
          <t>NULL</t>
        </is>
      </c>
      <c r="G469" s="0" t="inlineStr">
        <is>
          <t>NULL</t>
        </is>
      </c>
      <c r="H469" s="0" t="inlineStr">
        <is>
          <t>NULL</t>
        </is>
      </c>
      <c r="I469" s="0" t="inlineStr">
        <is>
          <t>NULL</t>
        </is>
      </c>
      <c r="J469" s="0" t="inlineStr">
        <is>
          <t>NULL</t>
        </is>
      </c>
      <c r="K469" s="0" t="inlineStr">
        <is>
          <t>YES! 	 c_varchar列源备映射正确，源端为varchar 1位	期望更改为varchar(n)	实际备端为varchar 4位</t>
        </is>
      </c>
    </row>
    <row r="470">
      <c r="B470" s="0" t="inlineStr">
        <is>
          <t>NULL</t>
        </is>
      </c>
      <c r="C470" s="0" t="inlineStr">
        <is>
          <t>NULL</t>
        </is>
      </c>
      <c r="D470" s="0" t="inlineStr">
        <is>
          <t>NULL</t>
        </is>
      </c>
      <c r="E470" s="0" t="inlineStr">
        <is>
          <t>NULL</t>
        </is>
      </c>
      <c r="F470" s="0" t="inlineStr">
        <is>
          <t>NULL</t>
        </is>
      </c>
      <c r="G470" s="0" t="inlineStr">
        <is>
          <t>NULL</t>
        </is>
      </c>
      <c r="H470" s="0" t="inlineStr">
        <is>
          <t>NULL</t>
        </is>
      </c>
      <c r="I470" s="0" t="inlineStr">
        <is>
          <t>NULL</t>
        </is>
      </c>
      <c r="J470" s="0" t="inlineStr">
        <is>
          <t>NULL</t>
        </is>
      </c>
      <c r="K470" s="0" t="inlineStr">
        <is>
          <t>YES! 	 c_varchar20列源备映射正确，源端为varchar 20位	期望更改为varchar(n)	实际备端为varchar 80位</t>
        </is>
      </c>
    </row>
    <row r="471">
      <c r="B471" s="0" t="inlineStr">
        <is>
          <t>NULL</t>
        </is>
      </c>
      <c r="C471" s="0" t="inlineStr">
        <is>
          <t>NULL</t>
        </is>
      </c>
      <c r="D471" s="0" t="inlineStr">
        <is>
          <t>NULL</t>
        </is>
      </c>
      <c r="E471" s="0" t="inlineStr">
        <is>
          <t>NULL</t>
        </is>
      </c>
      <c r="F471" s="0" t="inlineStr">
        <is>
          <t>NULL</t>
        </is>
      </c>
      <c r="G471" s="0" t="inlineStr">
        <is>
          <t>NULL</t>
        </is>
      </c>
      <c r="H471" s="0" t="inlineStr">
        <is>
          <t>NULL</t>
        </is>
      </c>
      <c r="I471" s="0" t="inlineStr">
        <is>
          <t>NULL</t>
        </is>
      </c>
      <c r="J471" s="0" t="inlineStr">
        <is>
          <t>NULL</t>
        </is>
      </c>
      <c r="K471" s="0" t="inlineStr">
        <is>
          <t xml:space="preserve"> NO!  	 c_varchar8000列源备映射错误，源端为varchar 8000位	期望更改为longtext	实际备端为text 65535位</t>
        </is>
      </c>
    </row>
    <row r="472">
      <c r="A472" s="0" t="inlineStr">
        <is>
          <t>info_sql_variant_dml_single_pk_urp</t>
        </is>
      </c>
      <c r="K472" s="0" t="inlineStr">
        <is>
          <t>[0;34m info_sql_variant_dml_single_pk_urp [0m源备字段数相同，源端字段：25 	备端字段25</t>
        </is>
      </c>
      <c r="W472" s="15">
        <f>HYPERLINK("#2026051816mysql2!AZ2","NO 源备存在差异，共2个")</f>
        <v/>
      </c>
      <c r="X472" s="0">
        <f>A472</f>
        <v/>
      </c>
    </row>
    <row r="473">
      <c r="B473" s="0" t="inlineStr">
        <is>
          <t>YES</t>
        </is>
      </c>
      <c r="C473" s="0" t="inlineStr">
        <is>
          <t>NULL</t>
        </is>
      </c>
      <c r="D473" s="0" t="inlineStr">
        <is>
          <t>NULL</t>
        </is>
      </c>
      <c r="E473" s="0" t="inlineStr">
        <is>
          <t>NULL</t>
        </is>
      </c>
      <c r="F473" s="0" t="inlineStr">
        <is>
          <t>NULL</t>
        </is>
      </c>
      <c r="G473" s="0" t="inlineStr">
        <is>
          <t>NULL</t>
        </is>
      </c>
      <c r="H473" s="0" t="inlineStr">
        <is>
          <t>NULL</t>
        </is>
      </c>
      <c r="I473" s="0" t="inlineStr">
        <is>
          <t>YES!PK__info_sql__3213E83F919861E2</t>
        </is>
      </c>
      <c r="J473" s="0" t="inlineStr">
        <is>
          <t>YES! 主键相关索引</t>
        </is>
      </c>
      <c r="K473" s="0" t="inlineStr">
        <is>
          <t>YES! 	 id列源备映射正确，源端为int None位	期望更改为int	实际备端为int None位</t>
        </is>
      </c>
    </row>
    <row r="474">
      <c r="B474" s="0" t="inlineStr">
        <is>
          <t>NULL</t>
        </is>
      </c>
      <c r="C474" s="0" t="inlineStr">
        <is>
          <t>NULL</t>
        </is>
      </c>
      <c r="D474" s="0" t="inlineStr">
        <is>
          <t>NULL</t>
        </is>
      </c>
      <c r="E474" s="0" t="inlineStr">
        <is>
          <t>NULL</t>
        </is>
      </c>
      <c r="F474" s="0" t="inlineStr">
        <is>
          <t>NULL</t>
        </is>
      </c>
      <c r="G474" s="0" t="inlineStr">
        <is>
          <t>NULL</t>
        </is>
      </c>
      <c r="H474" s="0" t="inlineStr">
        <is>
          <t>NULL</t>
        </is>
      </c>
      <c r="I474" s="0" t="inlineStr">
        <is>
          <t>NULL</t>
        </is>
      </c>
      <c r="J474" s="0" t="inlineStr">
        <is>
          <t>NULL</t>
        </is>
      </c>
      <c r="K474" s="0" t="inlineStr">
        <is>
          <t>[0;32m YES! [0m 	 c_date列源备映射正确，源端为sql_variant 0位	期望更改为VARCHAR(255)	实际备端为varchar 1020位	位数精度不存在，通过长度比较</t>
        </is>
      </c>
    </row>
    <row r="475">
      <c r="B475" s="0" t="inlineStr">
        <is>
          <t>NULL</t>
        </is>
      </c>
      <c r="C475" s="0" t="inlineStr">
        <is>
          <t>NULL</t>
        </is>
      </c>
      <c r="D475" s="0" t="inlineStr">
        <is>
          <t>NULL</t>
        </is>
      </c>
      <c r="E475" s="0" t="inlineStr">
        <is>
          <t>NULL</t>
        </is>
      </c>
      <c r="F475" s="0" t="inlineStr">
        <is>
          <t>NULL</t>
        </is>
      </c>
      <c r="G475" s="0" t="inlineStr">
        <is>
          <t>NULL</t>
        </is>
      </c>
      <c r="H475" s="0" t="inlineStr">
        <is>
          <t>NULL</t>
        </is>
      </c>
      <c r="I475" s="0" t="inlineStr">
        <is>
          <t>NULL</t>
        </is>
      </c>
      <c r="J475" s="0" t="inlineStr">
        <is>
          <t>NULL</t>
        </is>
      </c>
      <c r="K475" s="0" t="inlineStr">
        <is>
          <t>[0;32m YES! [0m 	 c_time列源备映射正确，源端为sql_variant 0位	期望更改为VARCHAR(255)	实际备端为varchar 1020位	位数精度不存在，通过长度比较</t>
        </is>
      </c>
    </row>
    <row r="476">
      <c r="B476" s="0" t="inlineStr">
        <is>
          <t>NULL</t>
        </is>
      </c>
      <c r="C476" s="0" t="inlineStr">
        <is>
          <t>NULL</t>
        </is>
      </c>
      <c r="D476" s="0" t="inlineStr">
        <is>
          <t>NULL</t>
        </is>
      </c>
      <c r="E476" s="0" t="inlineStr">
        <is>
          <t>NULL</t>
        </is>
      </c>
      <c r="F476" s="0" t="inlineStr">
        <is>
          <t>NULL</t>
        </is>
      </c>
      <c r="G476" s="0" t="inlineStr">
        <is>
          <t>NULL</t>
        </is>
      </c>
      <c r="H476" s="0" t="inlineStr">
        <is>
          <t>NULL</t>
        </is>
      </c>
      <c r="I476" s="0" t="inlineStr">
        <is>
          <t>NULL</t>
        </is>
      </c>
      <c r="J476" s="0" t="inlineStr">
        <is>
          <t>NULL</t>
        </is>
      </c>
      <c r="K476" s="0" t="inlineStr">
        <is>
          <t>[0;32m YES! [0m 	 c_datetime2列源备映射正确，源端为sql_variant 0位	期望更改为VARCHAR(255)	实际备端为varchar 1020位	位数精度不存在，通过长度比较</t>
        </is>
      </c>
    </row>
    <row r="477">
      <c r="B477" s="0" t="inlineStr">
        <is>
          <t>NULL</t>
        </is>
      </c>
      <c r="C477" s="0" t="inlineStr">
        <is>
          <t>NULL</t>
        </is>
      </c>
      <c r="D477" s="0" t="inlineStr">
        <is>
          <t>NULL</t>
        </is>
      </c>
      <c r="E477" s="0" t="inlineStr">
        <is>
          <t>NULL</t>
        </is>
      </c>
      <c r="F477" s="0" t="inlineStr">
        <is>
          <t>NULL</t>
        </is>
      </c>
      <c r="G477" s="0" t="inlineStr">
        <is>
          <t>NULL</t>
        </is>
      </c>
      <c r="H477" s="0" t="inlineStr">
        <is>
          <t>NULL</t>
        </is>
      </c>
      <c r="I477" s="0" t="inlineStr">
        <is>
          <t>NULL</t>
        </is>
      </c>
      <c r="J477" s="0" t="inlineStr">
        <is>
          <t>NULL</t>
        </is>
      </c>
      <c r="K477" s="0" t="inlineStr">
        <is>
          <t>[0;32m YES! [0m 	 c_datetimeoffset列源备映射正确，源端为sql_variant 0位	期望更改为VARCHAR(255)	实际备端为varchar 1020位	位数精度不存在，通过长度比较</t>
        </is>
      </c>
    </row>
    <row r="478">
      <c r="B478" s="0" t="inlineStr">
        <is>
          <t>NULL</t>
        </is>
      </c>
      <c r="C478" s="0" t="inlineStr">
        <is>
          <t>NULL</t>
        </is>
      </c>
      <c r="D478" s="0" t="inlineStr">
        <is>
          <t>NULL</t>
        </is>
      </c>
      <c r="E478" s="0" t="inlineStr">
        <is>
          <t>NULL</t>
        </is>
      </c>
      <c r="F478" s="0" t="inlineStr">
        <is>
          <t>NULL</t>
        </is>
      </c>
      <c r="G478" s="0" t="inlineStr">
        <is>
          <t>NULL</t>
        </is>
      </c>
      <c r="H478" s="0" t="inlineStr">
        <is>
          <t>NULL</t>
        </is>
      </c>
      <c r="I478" s="0" t="inlineStr">
        <is>
          <t>NULL</t>
        </is>
      </c>
      <c r="J478" s="0" t="inlineStr">
        <is>
          <t>NULL</t>
        </is>
      </c>
      <c r="K478" s="0" t="inlineStr">
        <is>
          <t>[0;32m YES! [0m 	 c_tinyint列源备映射正确，源端为sql_variant 0位	期望更改为VARCHAR(255)	实际备端为varchar 1020位	位数精度不存在，通过长度比较</t>
        </is>
      </c>
    </row>
    <row r="479">
      <c r="B479" s="0" t="inlineStr">
        <is>
          <t>NULL</t>
        </is>
      </c>
      <c r="C479" s="0" t="inlineStr">
        <is>
          <t>NULL</t>
        </is>
      </c>
      <c r="D479" s="0" t="inlineStr">
        <is>
          <t>NULL</t>
        </is>
      </c>
      <c r="E479" s="0" t="inlineStr">
        <is>
          <t>NULL</t>
        </is>
      </c>
      <c r="F479" s="0" t="inlineStr">
        <is>
          <t>NULL</t>
        </is>
      </c>
      <c r="G479" s="0" t="inlineStr">
        <is>
          <t>NULL</t>
        </is>
      </c>
      <c r="H479" s="0" t="inlineStr">
        <is>
          <t>NULL</t>
        </is>
      </c>
      <c r="I479" s="0" t="inlineStr">
        <is>
          <t>NULL</t>
        </is>
      </c>
      <c r="J479" s="0" t="inlineStr">
        <is>
          <t>NULL</t>
        </is>
      </c>
      <c r="K479" s="0" t="inlineStr">
        <is>
          <t>[0;32m YES! [0m 	 c_smallint列源备映射正确，源端为sql_variant 0位	期望更改为VARCHAR(255)	实际备端为varchar 1020位	位数精度不存在，通过长度比较</t>
        </is>
      </c>
    </row>
    <row r="480">
      <c r="B480" s="0" t="inlineStr">
        <is>
          <t>NULL</t>
        </is>
      </c>
      <c r="C480" s="0" t="inlineStr">
        <is>
          <t>NULL</t>
        </is>
      </c>
      <c r="D480" s="0" t="inlineStr">
        <is>
          <t>NULL</t>
        </is>
      </c>
      <c r="E480" s="0" t="inlineStr">
        <is>
          <t>NULL</t>
        </is>
      </c>
      <c r="F480" s="0" t="inlineStr">
        <is>
          <t>NULL</t>
        </is>
      </c>
      <c r="G480" s="0" t="inlineStr">
        <is>
          <t>NULL</t>
        </is>
      </c>
      <c r="H480" s="0" t="inlineStr">
        <is>
          <t>NULL</t>
        </is>
      </c>
      <c r="I480" s="0" t="inlineStr">
        <is>
          <t>NULL</t>
        </is>
      </c>
      <c r="J480" s="0" t="inlineStr">
        <is>
          <t>NULL</t>
        </is>
      </c>
      <c r="K480" s="0" t="inlineStr">
        <is>
          <t>[0;32m YES! [0m 	 c_int列源备映射正确，源端为sql_variant 0位	期望更改为VARCHAR(255)	实际备端为varchar 1020位	位数精度不存在，通过长度比较</t>
        </is>
      </c>
    </row>
    <row r="481">
      <c r="B481" s="0" t="inlineStr">
        <is>
          <t>NULL</t>
        </is>
      </c>
      <c r="C481" s="0" t="inlineStr">
        <is>
          <t>NULL</t>
        </is>
      </c>
      <c r="D481" s="0" t="inlineStr">
        <is>
          <t>NULL</t>
        </is>
      </c>
      <c r="E481" s="0" t="inlineStr">
        <is>
          <t>NULL</t>
        </is>
      </c>
      <c r="F481" s="0" t="inlineStr">
        <is>
          <t>NULL</t>
        </is>
      </c>
      <c r="G481" s="0" t="inlineStr">
        <is>
          <t>NULL</t>
        </is>
      </c>
      <c r="H481" s="0" t="inlineStr">
        <is>
          <t>NULL</t>
        </is>
      </c>
      <c r="I481" s="0" t="inlineStr">
        <is>
          <t>NULL</t>
        </is>
      </c>
      <c r="J481" s="0" t="inlineStr">
        <is>
          <t>NULL</t>
        </is>
      </c>
      <c r="K481" s="0" t="inlineStr">
        <is>
          <t>[0;32m YES! [0m 	 c_sdt列源备映射正确，源端为sql_variant 0位	期望更改为VARCHAR(255)	实际备端为varchar 1020位	位数精度不存在，通过长度比较</t>
        </is>
      </c>
    </row>
    <row r="482">
      <c r="B482" s="0" t="inlineStr">
        <is>
          <t>NULL</t>
        </is>
      </c>
      <c r="C482" s="0" t="inlineStr">
        <is>
          <t>NULL</t>
        </is>
      </c>
      <c r="D482" s="0" t="inlineStr">
        <is>
          <t>NULL</t>
        </is>
      </c>
      <c r="E482" s="0" t="inlineStr">
        <is>
          <t>NULL</t>
        </is>
      </c>
      <c r="F482" s="0" t="inlineStr">
        <is>
          <t>NULL</t>
        </is>
      </c>
      <c r="G482" s="0" t="inlineStr">
        <is>
          <t>NULL</t>
        </is>
      </c>
      <c r="H482" s="0" t="inlineStr">
        <is>
          <t>NULL</t>
        </is>
      </c>
      <c r="I482" s="0" t="inlineStr">
        <is>
          <t>NULL</t>
        </is>
      </c>
      <c r="J482" s="0" t="inlineStr">
        <is>
          <t>NULL</t>
        </is>
      </c>
      <c r="K482" s="0" t="inlineStr">
        <is>
          <t>[0;32m YES! [0m 	 c_real列源备映射正确，源端为sql_variant 0位	期望更改为VARCHAR(255)	实际备端为varchar 1020位	位数精度不存在，通过长度比较</t>
        </is>
      </c>
    </row>
    <row r="483">
      <c r="B483" s="0" t="inlineStr">
        <is>
          <t>NULL</t>
        </is>
      </c>
      <c r="C483" s="0" t="inlineStr">
        <is>
          <t>NULL</t>
        </is>
      </c>
      <c r="D483" s="0" t="inlineStr">
        <is>
          <t>NULL</t>
        </is>
      </c>
      <c r="E483" s="0" t="inlineStr">
        <is>
          <t>NULL</t>
        </is>
      </c>
      <c r="F483" s="0" t="inlineStr">
        <is>
          <t>NULL</t>
        </is>
      </c>
      <c r="G483" s="0" t="inlineStr">
        <is>
          <t>NULL</t>
        </is>
      </c>
      <c r="H483" s="0" t="inlineStr">
        <is>
          <t>NULL</t>
        </is>
      </c>
      <c r="I483" s="0" t="inlineStr">
        <is>
          <t>NULL</t>
        </is>
      </c>
      <c r="J483" s="0" t="inlineStr">
        <is>
          <t>NULL</t>
        </is>
      </c>
      <c r="K483" s="0" t="inlineStr">
        <is>
          <t>[0;32m YES! [0m 	 c_money列源备映射正确，源端为sql_variant 0位	期望更改为VARCHAR(255)	实际备端为varchar 1020位	位数精度不存在，通过长度比较</t>
        </is>
      </c>
    </row>
    <row r="484">
      <c r="B484" s="0" t="inlineStr">
        <is>
          <t>NULL</t>
        </is>
      </c>
      <c r="C484" s="0" t="inlineStr">
        <is>
          <t>NULL</t>
        </is>
      </c>
      <c r="D484" s="0" t="inlineStr">
        <is>
          <t>NULL</t>
        </is>
      </c>
      <c r="E484" s="0" t="inlineStr">
        <is>
          <t>NULL</t>
        </is>
      </c>
      <c r="F484" s="0" t="inlineStr">
        <is>
          <t>NULL</t>
        </is>
      </c>
      <c r="G484" s="0" t="inlineStr">
        <is>
          <t>NULL</t>
        </is>
      </c>
      <c r="H484" s="0" t="inlineStr">
        <is>
          <t>NULL</t>
        </is>
      </c>
      <c r="I484" s="0" t="inlineStr">
        <is>
          <t>NULL</t>
        </is>
      </c>
      <c r="J484" s="0" t="inlineStr">
        <is>
          <t>NULL</t>
        </is>
      </c>
      <c r="K484" s="0" t="inlineStr">
        <is>
          <t>[0;32m YES! [0m 	 c_datetime列源备映射正确，源端为sql_variant 0位	期望更改为VARCHAR(255)	实际备端为varchar 1020位	位数精度不存在，通过长度比较</t>
        </is>
      </c>
    </row>
    <row r="485">
      <c r="B485" s="0" t="inlineStr">
        <is>
          <t>NULL</t>
        </is>
      </c>
      <c r="C485" s="0" t="inlineStr">
        <is>
          <t>NULL</t>
        </is>
      </c>
      <c r="D485" s="0" t="inlineStr">
        <is>
          <t>NULL</t>
        </is>
      </c>
      <c r="E485" s="0" t="inlineStr">
        <is>
          <t>NULL</t>
        </is>
      </c>
      <c r="F485" s="0" t="inlineStr">
        <is>
          <t>NULL</t>
        </is>
      </c>
      <c r="G485" s="0" t="inlineStr">
        <is>
          <t>NULL</t>
        </is>
      </c>
      <c r="H485" s="0" t="inlineStr">
        <is>
          <t>NULL</t>
        </is>
      </c>
      <c r="I485" s="0" t="inlineStr">
        <is>
          <t>NULL</t>
        </is>
      </c>
      <c r="J485" s="0" t="inlineStr">
        <is>
          <t>NULL</t>
        </is>
      </c>
      <c r="K485" s="0" t="inlineStr">
        <is>
          <t>[0;32m YES! [0m 	 c_float列源备映射正确，源端为sql_variant 0位	期望更改为VARCHAR(255)	实际备端为varchar 1020位	位数精度不存在，通过长度比较</t>
        </is>
      </c>
    </row>
    <row r="486">
      <c r="B486" s="0" t="inlineStr">
        <is>
          <t>NULL</t>
        </is>
      </c>
      <c r="C486" s="0" t="inlineStr">
        <is>
          <t>NULL</t>
        </is>
      </c>
      <c r="D486" s="0" t="inlineStr">
        <is>
          <t>NULL</t>
        </is>
      </c>
      <c r="E486" s="0" t="inlineStr">
        <is>
          <t>NULL</t>
        </is>
      </c>
      <c r="F486" s="0" t="inlineStr">
        <is>
          <t>NULL</t>
        </is>
      </c>
      <c r="G486" s="0" t="inlineStr">
        <is>
          <t>NULL</t>
        </is>
      </c>
      <c r="H486" s="0" t="inlineStr">
        <is>
          <t>NULL</t>
        </is>
      </c>
      <c r="I486" s="0" t="inlineStr">
        <is>
          <t>NULL</t>
        </is>
      </c>
      <c r="J486" s="0" t="inlineStr">
        <is>
          <t>NULL</t>
        </is>
      </c>
      <c r="K486" s="0" t="inlineStr">
        <is>
          <t>[0;32m YES! [0m 	 c_bit列源备映射正确，源端为sql_variant 0位	期望更改为VARCHAR(255)	实际备端为varchar 1020位	位数精度不存在，通过长度比较</t>
        </is>
      </c>
    </row>
    <row r="487">
      <c r="B487" s="0" t="inlineStr">
        <is>
          <t>NULL</t>
        </is>
      </c>
      <c r="C487" s="0" t="inlineStr">
        <is>
          <t>NULL</t>
        </is>
      </c>
      <c r="D487" s="0" t="inlineStr">
        <is>
          <t>NULL</t>
        </is>
      </c>
      <c r="E487" s="0" t="inlineStr">
        <is>
          <t>NULL</t>
        </is>
      </c>
      <c r="F487" s="0" t="inlineStr">
        <is>
          <t>NULL</t>
        </is>
      </c>
      <c r="G487" s="0" t="inlineStr">
        <is>
          <t>NULL</t>
        </is>
      </c>
      <c r="H487" s="0" t="inlineStr">
        <is>
          <t>NULL</t>
        </is>
      </c>
      <c r="I487" s="0" t="inlineStr">
        <is>
          <t>NULL</t>
        </is>
      </c>
      <c r="J487" s="0" t="inlineStr">
        <is>
          <t>NULL</t>
        </is>
      </c>
      <c r="K487" s="0" t="inlineStr">
        <is>
          <t>[0;32m YES! [0m 	 c_decimal列源备映射正确，源端为sql_variant 0位	期望更改为VARCHAR(255)	实际备端为varchar 1020位	位数精度不存在，通过长度比较</t>
        </is>
      </c>
    </row>
    <row r="488">
      <c r="B488" s="0" t="inlineStr">
        <is>
          <t>NULL</t>
        </is>
      </c>
      <c r="C488" s="0" t="inlineStr">
        <is>
          <t>NULL</t>
        </is>
      </c>
      <c r="D488" s="0" t="inlineStr">
        <is>
          <t>NULL</t>
        </is>
      </c>
      <c r="E488" s="0" t="inlineStr">
        <is>
          <t>NULL</t>
        </is>
      </c>
      <c r="F488" s="0" t="inlineStr">
        <is>
          <t>NULL</t>
        </is>
      </c>
      <c r="G488" s="0" t="inlineStr">
        <is>
          <t>NULL</t>
        </is>
      </c>
      <c r="H488" s="0" t="inlineStr">
        <is>
          <t>NULL</t>
        </is>
      </c>
      <c r="I488" s="0" t="inlineStr">
        <is>
          <t>NULL</t>
        </is>
      </c>
      <c r="J488" s="0" t="inlineStr">
        <is>
          <t>NULL</t>
        </is>
      </c>
      <c r="K488" s="0" t="inlineStr">
        <is>
          <t>[0;32m YES! [0m 	 c_uniqueidentifier列源备映射正确，源端为sql_variant 0位	期望更改为VARCHAR(255)	实际备端为varchar 1020位	位数精度不存在，通过长度比较</t>
        </is>
      </c>
    </row>
    <row r="489">
      <c r="B489" s="0" t="inlineStr">
        <is>
          <t>NULL</t>
        </is>
      </c>
      <c r="C489" s="0" t="inlineStr">
        <is>
          <t>NULL</t>
        </is>
      </c>
      <c r="D489" s="0" t="inlineStr">
        <is>
          <t>NULL</t>
        </is>
      </c>
      <c r="E489" s="0" t="inlineStr">
        <is>
          <t>NULL</t>
        </is>
      </c>
      <c r="F489" s="0" t="inlineStr">
        <is>
          <t>NULL</t>
        </is>
      </c>
      <c r="G489" s="0" t="inlineStr">
        <is>
          <t>NULL</t>
        </is>
      </c>
      <c r="H489" s="0" t="inlineStr">
        <is>
          <t>NULL</t>
        </is>
      </c>
      <c r="I489" s="0" t="inlineStr">
        <is>
          <t>NULL</t>
        </is>
      </c>
      <c r="J489" s="0" t="inlineStr">
        <is>
          <t>NULL</t>
        </is>
      </c>
      <c r="K489" s="0" t="inlineStr">
        <is>
          <t>[0;32m YES! [0m 	 c_smallmoney列源备映射正确，源端为sql_variant 0位	期望更改为VARCHAR(255)	实际备端为varchar 1020位	位数精度不存在，通过长度比较</t>
        </is>
      </c>
    </row>
    <row r="490">
      <c r="B490" s="0" t="inlineStr">
        <is>
          <t>NULL</t>
        </is>
      </c>
      <c r="C490" s="0" t="inlineStr">
        <is>
          <t>NULL</t>
        </is>
      </c>
      <c r="D490" s="0" t="inlineStr">
        <is>
          <t>NULL</t>
        </is>
      </c>
      <c r="E490" s="0" t="inlineStr">
        <is>
          <t>NULL</t>
        </is>
      </c>
      <c r="F490" s="0" t="inlineStr">
        <is>
          <t>NULL</t>
        </is>
      </c>
      <c r="G490" s="0" t="inlineStr">
        <is>
          <t>NULL</t>
        </is>
      </c>
      <c r="H490" s="0" t="inlineStr">
        <is>
          <t>NULL</t>
        </is>
      </c>
      <c r="I490" s="0" t="inlineStr">
        <is>
          <t>NULL</t>
        </is>
      </c>
      <c r="J490" s="0" t="inlineStr">
        <is>
          <t>NULL</t>
        </is>
      </c>
      <c r="K490" s="0" t="inlineStr">
        <is>
          <t>[0;32m YES! [0m 	 c_bigint列源备映射正确，源端为sql_variant 0位	期望更改为VARCHAR(255)	实际备端为varchar 1020位	位数精度不存在，通过长度比较</t>
        </is>
      </c>
    </row>
    <row r="491">
      <c r="B491" s="0" t="inlineStr">
        <is>
          <t>NULL</t>
        </is>
      </c>
      <c r="C491" s="0" t="inlineStr">
        <is>
          <t>NULL</t>
        </is>
      </c>
      <c r="D491" s="0" t="inlineStr">
        <is>
          <t>NULL</t>
        </is>
      </c>
      <c r="E491" s="0" t="inlineStr">
        <is>
          <t>NULL</t>
        </is>
      </c>
      <c r="F491" s="0" t="inlineStr">
        <is>
          <t>NULL</t>
        </is>
      </c>
      <c r="G491" s="0" t="inlineStr">
        <is>
          <t>NULL</t>
        </is>
      </c>
      <c r="H491" s="0" t="inlineStr">
        <is>
          <t>NULL</t>
        </is>
      </c>
      <c r="I491" s="0" t="inlineStr">
        <is>
          <t>NULL</t>
        </is>
      </c>
      <c r="J491" s="0" t="inlineStr">
        <is>
          <t>NULL</t>
        </is>
      </c>
      <c r="K491" s="0" t="inlineStr">
        <is>
          <t>[0;32m YES! [0m 	 c_varbinary_20列源备映射正确，源端为sql_variant 0位	期望更改为VARCHAR(255)	实际备端为varchar 1020位	位数精度不存在，通过长度比较</t>
        </is>
      </c>
    </row>
    <row r="492">
      <c r="B492" s="0" t="inlineStr">
        <is>
          <t>NULL</t>
        </is>
      </c>
      <c r="C492" s="0" t="inlineStr">
        <is>
          <t>NULL</t>
        </is>
      </c>
      <c r="D492" s="0" t="inlineStr">
        <is>
          <t>NULL</t>
        </is>
      </c>
      <c r="E492" s="0" t="inlineStr">
        <is>
          <t>NULL</t>
        </is>
      </c>
      <c r="F492" s="0" t="inlineStr">
        <is>
          <t>NULL</t>
        </is>
      </c>
      <c r="G492" s="0" t="inlineStr">
        <is>
          <t>NULL</t>
        </is>
      </c>
      <c r="H492" s="0" t="inlineStr">
        <is>
          <t>NULL</t>
        </is>
      </c>
      <c r="I492" s="0" t="inlineStr">
        <is>
          <t>NULL</t>
        </is>
      </c>
      <c r="J492" s="0" t="inlineStr">
        <is>
          <t>NULL</t>
        </is>
      </c>
      <c r="K492" s="0" t="inlineStr">
        <is>
          <t>[0;32m YES! [0m 	 c_varchar_20列源备映射正确，源端为sql_variant 0位	期望更改为VARCHAR(255)	实际备端为varchar 1020位	位数精度不存在，通过长度比较</t>
        </is>
      </c>
    </row>
    <row r="493">
      <c r="B493" s="0" t="inlineStr">
        <is>
          <t>NULL</t>
        </is>
      </c>
      <c r="C493" s="0" t="inlineStr">
        <is>
          <t>NULL</t>
        </is>
      </c>
      <c r="D493" s="0" t="inlineStr">
        <is>
          <t>NULL</t>
        </is>
      </c>
      <c r="E493" s="0" t="inlineStr">
        <is>
          <t>NULL</t>
        </is>
      </c>
      <c r="F493" s="0" t="inlineStr">
        <is>
          <t>NULL</t>
        </is>
      </c>
      <c r="G493" s="0" t="inlineStr">
        <is>
          <t>NULL</t>
        </is>
      </c>
      <c r="H493" s="0" t="inlineStr">
        <is>
          <t>NULL</t>
        </is>
      </c>
      <c r="I493" s="0" t="inlineStr">
        <is>
          <t>NULL</t>
        </is>
      </c>
      <c r="J493" s="0" t="inlineStr">
        <is>
          <t>NULL</t>
        </is>
      </c>
      <c r="K493" s="0" t="inlineStr">
        <is>
          <t>[0;32m YES! [0m 	 c_binary_20列源备映射正确，源端为sql_variant 0位	期望更改为VARCHAR(255)	实际备端为varchar 1020位	位数精度不存在，通过长度比较</t>
        </is>
      </c>
    </row>
    <row r="494">
      <c r="B494" s="0" t="inlineStr">
        <is>
          <t>NULL</t>
        </is>
      </c>
      <c r="C494" s="0" t="inlineStr">
        <is>
          <t>NULL</t>
        </is>
      </c>
      <c r="D494" s="0" t="inlineStr">
        <is>
          <t>NULL</t>
        </is>
      </c>
      <c r="E494" s="0" t="inlineStr">
        <is>
          <t>NULL</t>
        </is>
      </c>
      <c r="F494" s="0" t="inlineStr">
        <is>
          <t>NULL</t>
        </is>
      </c>
      <c r="G494" s="0" t="inlineStr">
        <is>
          <t>NULL</t>
        </is>
      </c>
      <c r="H494" s="0" t="inlineStr">
        <is>
          <t>NULL</t>
        </is>
      </c>
      <c r="I494" s="0" t="inlineStr">
        <is>
          <t>NULL</t>
        </is>
      </c>
      <c r="J494" s="0" t="inlineStr">
        <is>
          <t>NULL</t>
        </is>
      </c>
      <c r="K494" s="0" t="inlineStr">
        <is>
          <t>[0;32m YES! [0m 	 c_char_20列源备映射正确，源端为sql_variant 0位	期望更改为VARCHAR(255)	实际备端为varchar 1020位	位数精度不存在，通过长度比较</t>
        </is>
      </c>
    </row>
    <row r="495">
      <c r="B495" s="0" t="inlineStr">
        <is>
          <t>NULL</t>
        </is>
      </c>
      <c r="C495" s="0" t="inlineStr">
        <is>
          <t>NULL</t>
        </is>
      </c>
      <c r="D495" s="0" t="inlineStr">
        <is>
          <t>NULL</t>
        </is>
      </c>
      <c r="E495" s="0" t="inlineStr">
        <is>
          <t>NULL</t>
        </is>
      </c>
      <c r="F495" s="0" t="inlineStr">
        <is>
          <t>NULL</t>
        </is>
      </c>
      <c r="G495" s="0" t="inlineStr">
        <is>
          <t>NULL</t>
        </is>
      </c>
      <c r="H495" s="0" t="inlineStr">
        <is>
          <t>NULL</t>
        </is>
      </c>
      <c r="I495" s="0" t="inlineStr">
        <is>
          <t>NULL</t>
        </is>
      </c>
      <c r="J495" s="0" t="inlineStr">
        <is>
          <t>NULL</t>
        </is>
      </c>
      <c r="K495" s="0" t="inlineStr">
        <is>
          <t>[0;32m YES! [0m 	 c_nvarchar_20列源备映射正确，源端为sql_variant 0位	期望更改为VARCHAR(255)	实际备端为varchar 1020位	位数精度不存在，通过长度比较</t>
        </is>
      </c>
    </row>
    <row r="496">
      <c r="B496" s="0" t="inlineStr">
        <is>
          <t>NULL</t>
        </is>
      </c>
      <c r="C496" s="0" t="inlineStr">
        <is>
          <t>NULL</t>
        </is>
      </c>
      <c r="D496" s="0" t="inlineStr">
        <is>
          <t>NULL</t>
        </is>
      </c>
      <c r="E496" s="0" t="inlineStr">
        <is>
          <t>NULL</t>
        </is>
      </c>
      <c r="F496" s="0" t="inlineStr">
        <is>
          <t>NULL</t>
        </is>
      </c>
      <c r="G496" s="0" t="inlineStr">
        <is>
          <t>NULL</t>
        </is>
      </c>
      <c r="H496" s="0" t="inlineStr">
        <is>
          <t>NULL</t>
        </is>
      </c>
      <c r="I496" s="0" t="inlineStr">
        <is>
          <t>NULL</t>
        </is>
      </c>
      <c r="J496" s="0" t="inlineStr">
        <is>
          <t>NULL</t>
        </is>
      </c>
      <c r="K496" s="0" t="inlineStr">
        <is>
          <t>[0;32m YES! [0m 	 c_nchar_20列源备映射正确，源端为sql_variant 0位	期望更改为VARCHAR(255)	实际备端为varchar 1020位	位数精度不存在，通过长度比较</t>
        </is>
      </c>
    </row>
    <row r="497">
      <c r="B497" s="0" t="inlineStr">
        <is>
          <t>NULL</t>
        </is>
      </c>
      <c r="C497" s="0" t="inlineStr">
        <is>
          <t>NULL</t>
        </is>
      </c>
      <c r="D497" s="0" t="inlineStr">
        <is>
          <t>NULL</t>
        </is>
      </c>
      <c r="E497" s="0" t="inlineStr">
        <is>
          <t>NULL</t>
        </is>
      </c>
      <c r="F497" s="0" t="inlineStr">
        <is>
          <t>NULL</t>
        </is>
      </c>
      <c r="G497" s="0" t="inlineStr">
        <is>
          <t>NULL</t>
        </is>
      </c>
      <c r="H497" s="0" t="inlineStr">
        <is>
          <t>NULL</t>
        </is>
      </c>
      <c r="I497" s="0" t="inlineStr">
        <is>
          <t>NULL</t>
        </is>
      </c>
      <c r="J497" s="0" t="inlineStr">
        <is>
          <t>NULL</t>
        </is>
      </c>
      <c r="K497" s="0" t="inlineStr">
        <is>
          <t>[0;32m YES! [0m 	 c_timestamp列源备映射正确，源端为timestamp None位	期望更改为binary(8)	实际备端为binary 8位	位数精度不存在，通过长度比较</t>
        </is>
      </c>
    </row>
    <row r="498">
      <c r="A498" s="0" t="inlineStr">
        <is>
          <t>info_nchar_dml_single_pk_urp</t>
        </is>
      </c>
      <c r="K498" s="0" t="inlineStr">
        <is>
          <t>[0;34m info_nchar_dml_single_pk_urp [0m源备字段数相同，源端字段：4 	备端字段4</t>
        </is>
      </c>
      <c r="W498" s="15">
        <f>HYPERLINK("#2026051816mysql2!BA2","NO 源备存在差异，共12个")</f>
        <v/>
      </c>
      <c r="X498" s="0">
        <f>A498</f>
        <v/>
      </c>
    </row>
    <row r="499">
      <c r="B499" s="0" t="inlineStr">
        <is>
          <t>YES</t>
        </is>
      </c>
      <c r="C499" s="0" t="inlineStr">
        <is>
          <t>NULL</t>
        </is>
      </c>
      <c r="D499" s="0" t="inlineStr">
        <is>
          <t>NULL</t>
        </is>
      </c>
      <c r="E499" s="0" t="inlineStr">
        <is>
          <t>NULL</t>
        </is>
      </c>
      <c r="F499" s="0" t="inlineStr">
        <is>
          <t>NULL</t>
        </is>
      </c>
      <c r="G499" s="0" t="inlineStr">
        <is>
          <t>NULL</t>
        </is>
      </c>
      <c r="H499" s="0" t="inlineStr">
        <is>
          <t>NULL</t>
        </is>
      </c>
      <c r="I499" s="0" t="inlineStr">
        <is>
          <t>YES!PK__info_nch__3213E83FF1080D2F</t>
        </is>
      </c>
      <c r="J499" s="0" t="inlineStr">
        <is>
          <t>YES! 主键相关索引</t>
        </is>
      </c>
      <c r="K499" s="0" t="inlineStr">
        <is>
          <t>YES! 	 id列源备映射正确，源端为int None位	期望更改为int	实际备端为int None位</t>
        </is>
      </c>
    </row>
    <row r="500">
      <c r="B500" s="0" t="inlineStr">
        <is>
          <t>NULL</t>
        </is>
      </c>
      <c r="C500" s="0" t="inlineStr">
        <is>
          <t>NULL</t>
        </is>
      </c>
      <c r="D500" s="0" t="inlineStr">
        <is>
          <t>NULL</t>
        </is>
      </c>
      <c r="E500" s="0" t="inlineStr">
        <is>
          <t>NULL</t>
        </is>
      </c>
      <c r="F500" s="0" t="inlineStr">
        <is>
          <t>NULL</t>
        </is>
      </c>
      <c r="G500" s="0" t="inlineStr">
        <is>
          <t>NULL</t>
        </is>
      </c>
      <c r="H500" s="0" t="inlineStr">
        <is>
          <t>NULL</t>
        </is>
      </c>
      <c r="I500" s="0" t="inlineStr">
        <is>
          <t>NULL</t>
        </is>
      </c>
      <c r="J500" s="0" t="inlineStr">
        <is>
          <t>NULL</t>
        </is>
      </c>
      <c r="K500" s="0" t="inlineStr">
        <is>
          <t>YES! 	 c_nchar列源备映射正确，源端为nchar 2位	期望更改为char(n)	实际备端为char 4位</t>
        </is>
      </c>
    </row>
    <row r="501">
      <c r="B501" s="0" t="inlineStr">
        <is>
          <t>NULL</t>
        </is>
      </c>
      <c r="C501" s="0" t="inlineStr">
        <is>
          <t>NULL</t>
        </is>
      </c>
      <c r="D501" s="0" t="inlineStr">
        <is>
          <t>NULL</t>
        </is>
      </c>
      <c r="E501" s="0" t="inlineStr">
        <is>
          <t>NULL</t>
        </is>
      </c>
      <c r="F501" s="0" t="inlineStr">
        <is>
          <t>NULL</t>
        </is>
      </c>
      <c r="G501" s="0" t="inlineStr">
        <is>
          <t>NULL</t>
        </is>
      </c>
      <c r="H501" s="0" t="inlineStr">
        <is>
          <t>NULL</t>
        </is>
      </c>
      <c r="I501" s="0" t="inlineStr">
        <is>
          <t>NULL</t>
        </is>
      </c>
      <c r="J501" s="0" t="inlineStr">
        <is>
          <t>NULL</t>
        </is>
      </c>
      <c r="K501" s="0" t="inlineStr">
        <is>
          <t>YES! 	 c_nchar20列源备映射正确，源端为nchar 40位	期望更改为char(n)	实际备端为char 80位</t>
        </is>
      </c>
    </row>
    <row r="502">
      <c r="B502" s="0" t="inlineStr">
        <is>
          <t>NULL</t>
        </is>
      </c>
      <c r="C502" s="0" t="inlineStr">
        <is>
          <t>NULL</t>
        </is>
      </c>
      <c r="D502" s="0" t="inlineStr">
        <is>
          <t>NULL</t>
        </is>
      </c>
      <c r="E502" s="0" t="inlineStr">
        <is>
          <t>NULL</t>
        </is>
      </c>
      <c r="F502" s="0" t="inlineStr">
        <is>
          <t>NULL</t>
        </is>
      </c>
      <c r="G502" s="0" t="inlineStr">
        <is>
          <t>NULL</t>
        </is>
      </c>
      <c r="H502" s="0" t="inlineStr">
        <is>
          <t>NULL</t>
        </is>
      </c>
      <c r="I502" s="0" t="inlineStr">
        <is>
          <t>NULL</t>
        </is>
      </c>
      <c r="J502" s="0" t="inlineStr">
        <is>
          <t>NULL</t>
        </is>
      </c>
      <c r="K502" s="0" t="inlineStr">
        <is>
          <t xml:space="preserve"> NO!  	 c_nchar3500列源备映射错误，源端为nchar 7000位	期望更改为varchar(n)	实际备端为text 65535位</t>
        </is>
      </c>
    </row>
    <row r="503">
      <c r="A503" s="0" t="inlineStr">
        <is>
          <t>info_nchar_dml_single_pk_drp</t>
        </is>
      </c>
      <c r="K503" s="0" t="inlineStr">
        <is>
          <t>[0;34m info_nchar_dml_single_pk_drp [0m源备字段数相同，源端字段：4 	备端字段4</t>
        </is>
      </c>
      <c r="W503" s="15">
        <f>HYPERLINK("#2026051816mysql2!BB2","NO 源备存在差异，共4个")</f>
        <v/>
      </c>
      <c r="X503" s="0">
        <f>A503</f>
        <v/>
      </c>
    </row>
    <row r="504">
      <c r="B504" s="0" t="inlineStr">
        <is>
          <t>YES</t>
        </is>
      </c>
      <c r="C504" s="0" t="inlineStr">
        <is>
          <t>NULL</t>
        </is>
      </c>
      <c r="D504" s="0" t="inlineStr">
        <is>
          <t>NULL</t>
        </is>
      </c>
      <c r="E504" s="0" t="inlineStr">
        <is>
          <t>NULL</t>
        </is>
      </c>
      <c r="F504" s="0" t="inlineStr">
        <is>
          <t>NULL</t>
        </is>
      </c>
      <c r="G504" s="0" t="inlineStr">
        <is>
          <t>NULL</t>
        </is>
      </c>
      <c r="H504" s="0" t="inlineStr">
        <is>
          <t>NULL</t>
        </is>
      </c>
      <c r="I504" s="0" t="inlineStr">
        <is>
          <t>YES!PK__info_nch__3213E83FFD93D76F</t>
        </is>
      </c>
      <c r="J504" s="0" t="inlineStr">
        <is>
          <t>YES! 主键相关索引</t>
        </is>
      </c>
      <c r="K504" s="0" t="inlineStr">
        <is>
          <t>YES! 	 id列源备映射正确，源端为int None位	期望更改为int	实际备端为int None位</t>
        </is>
      </c>
    </row>
    <row r="505">
      <c r="B505" s="0" t="inlineStr">
        <is>
          <t>NULL</t>
        </is>
      </c>
      <c r="C505" s="0" t="inlineStr">
        <is>
          <t>NULL</t>
        </is>
      </c>
      <c r="D505" s="0" t="inlineStr">
        <is>
          <t>NULL</t>
        </is>
      </c>
      <c r="E505" s="0" t="inlineStr">
        <is>
          <t>NULL</t>
        </is>
      </c>
      <c r="F505" s="0" t="inlineStr">
        <is>
          <t>NULL</t>
        </is>
      </c>
      <c r="G505" s="0" t="inlineStr">
        <is>
          <t>NULL</t>
        </is>
      </c>
      <c r="H505" s="0" t="inlineStr">
        <is>
          <t>NULL</t>
        </is>
      </c>
      <c r="I505" s="0" t="inlineStr">
        <is>
          <t>NULL</t>
        </is>
      </c>
      <c r="J505" s="0" t="inlineStr">
        <is>
          <t>NULL</t>
        </is>
      </c>
      <c r="K505" s="0" t="inlineStr">
        <is>
          <t>YES! 	 c_nchar列源备映射正确，源端为nchar 2位	期望更改为char(n)	实际备端为char 4位</t>
        </is>
      </c>
    </row>
    <row r="506">
      <c r="B506" s="0" t="inlineStr">
        <is>
          <t>NULL</t>
        </is>
      </c>
      <c r="C506" s="0" t="inlineStr">
        <is>
          <t>NULL</t>
        </is>
      </c>
      <c r="D506" s="0" t="inlineStr">
        <is>
          <t>NULL</t>
        </is>
      </c>
      <c r="E506" s="0" t="inlineStr">
        <is>
          <t>NULL</t>
        </is>
      </c>
      <c r="F506" s="0" t="inlineStr">
        <is>
          <t>NULL</t>
        </is>
      </c>
      <c r="G506" s="0" t="inlineStr">
        <is>
          <t>NULL</t>
        </is>
      </c>
      <c r="H506" s="0" t="inlineStr">
        <is>
          <t>NULL</t>
        </is>
      </c>
      <c r="I506" s="0" t="inlineStr">
        <is>
          <t>NULL</t>
        </is>
      </c>
      <c r="J506" s="0" t="inlineStr">
        <is>
          <t>NULL</t>
        </is>
      </c>
      <c r="K506" s="0" t="inlineStr">
        <is>
          <t>YES! 	 c_nchar20列源备映射正确，源端为nchar 40位	期望更改为char(n)	实际备端为char 80位</t>
        </is>
      </c>
    </row>
    <row r="507">
      <c r="B507" s="0" t="inlineStr">
        <is>
          <t>NULL</t>
        </is>
      </c>
      <c r="C507" s="0" t="inlineStr">
        <is>
          <t>NULL</t>
        </is>
      </c>
      <c r="D507" s="0" t="inlineStr">
        <is>
          <t>NULL</t>
        </is>
      </c>
      <c r="E507" s="0" t="inlineStr">
        <is>
          <t>NULL</t>
        </is>
      </c>
      <c r="F507" s="0" t="inlineStr">
        <is>
          <t>NULL</t>
        </is>
      </c>
      <c r="G507" s="0" t="inlineStr">
        <is>
          <t>NULL</t>
        </is>
      </c>
      <c r="H507" s="0" t="inlineStr">
        <is>
          <t>NULL</t>
        </is>
      </c>
      <c r="I507" s="0" t="inlineStr">
        <is>
          <t>NULL</t>
        </is>
      </c>
      <c r="J507" s="0" t="inlineStr">
        <is>
          <t>NULL</t>
        </is>
      </c>
      <c r="K507" s="0" t="inlineStr">
        <is>
          <t xml:space="preserve"> NO!  	 c_nchar3500列源备映射错误，源端为nchar 7000位	期望更改为varchar(n)	实际备端为text 65535位</t>
        </is>
      </c>
    </row>
    <row r="508">
      <c r="A508" s="0" t="inlineStr">
        <is>
          <t>info_int_dml_single_nopk_drp</t>
        </is>
      </c>
      <c r="K508" s="0" t="inlineStr">
        <is>
          <t>[0;34m info_int_dml_single_nopk_drp [0m源备字段数相同，源端字段：20 	备端字段20</t>
        </is>
      </c>
      <c r="W508" s="15">
        <f>HYPERLINK("#2026051816mysql2!BC2","NO 源备存在差异，共2个")</f>
        <v/>
      </c>
      <c r="X508" s="0">
        <f>A508</f>
        <v/>
      </c>
    </row>
    <row r="509">
      <c r="B509" s="0" t="inlineStr">
        <is>
          <t>NULL</t>
        </is>
      </c>
      <c r="C509" s="0" t="inlineStr">
        <is>
          <t>NULL</t>
        </is>
      </c>
      <c r="D509" s="0" t="inlineStr">
        <is>
          <t>NULL</t>
        </is>
      </c>
      <c r="E509" s="0" t="inlineStr">
        <is>
          <t>NULL</t>
        </is>
      </c>
      <c r="F509" s="0" t="inlineStr">
        <is>
          <t>NULL</t>
        </is>
      </c>
      <c r="G509" s="0" t="inlineStr">
        <is>
          <t>NULL</t>
        </is>
      </c>
      <c r="H509" s="0" t="inlineStr">
        <is>
          <t>NULL</t>
        </is>
      </c>
      <c r="I509" s="0" t="inlineStr">
        <is>
          <t>NULL</t>
        </is>
      </c>
      <c r="J509" s="0" t="inlineStr">
        <is>
          <t>NULL</t>
        </is>
      </c>
      <c r="K509" s="0" t="inlineStr">
        <is>
          <t>YES! 	 id列源备映射正确，源端为int None位	期望更改为int	实际备端为int None位</t>
        </is>
      </c>
    </row>
    <row r="510">
      <c r="B510" s="0" t="inlineStr">
        <is>
          <t>NULL</t>
        </is>
      </c>
      <c r="C510" s="0" t="inlineStr">
        <is>
          <t>NULL</t>
        </is>
      </c>
      <c r="D510" s="0" t="inlineStr">
        <is>
          <t>NULL</t>
        </is>
      </c>
      <c r="E510" s="0" t="inlineStr">
        <is>
          <t>NULL</t>
        </is>
      </c>
      <c r="F510" s="0" t="inlineStr">
        <is>
          <t>NULL</t>
        </is>
      </c>
      <c r="G510" s="0" t="inlineStr">
        <is>
          <t>NULL</t>
        </is>
      </c>
      <c r="H510" s="0" t="inlineStr">
        <is>
          <t>NULL</t>
        </is>
      </c>
      <c r="I510" s="0" t="inlineStr">
        <is>
          <t>NULL</t>
        </is>
      </c>
      <c r="J510" s="0" t="inlineStr">
        <is>
          <t>NULL</t>
        </is>
      </c>
      <c r="K510" s="0" t="inlineStr">
        <is>
          <t>YES! 	 c_tinyint列源备映射正确，源端为tinyint None位	期望更改为tinyint	实际备端为tinyint None位</t>
        </is>
      </c>
    </row>
    <row r="511">
      <c r="B511" s="0" t="inlineStr">
        <is>
          <t>NULL</t>
        </is>
      </c>
      <c r="C511" s="0" t="inlineStr">
        <is>
          <t>NULL</t>
        </is>
      </c>
      <c r="D511" s="0" t="inlineStr">
        <is>
          <t>NULL</t>
        </is>
      </c>
      <c r="E511" s="0" t="inlineStr">
        <is>
          <t>NULL</t>
        </is>
      </c>
      <c r="F511" s="0" t="inlineStr">
        <is>
          <t>NULL</t>
        </is>
      </c>
      <c r="G511" s="0" t="inlineStr">
        <is>
          <t>NULL</t>
        </is>
      </c>
      <c r="H511" s="0" t="inlineStr">
        <is>
          <t>NULL</t>
        </is>
      </c>
      <c r="I511" s="0" t="inlineStr">
        <is>
          <t>NULL</t>
        </is>
      </c>
      <c r="J511" s="0" t="inlineStr">
        <is>
          <t>NULL</t>
        </is>
      </c>
      <c r="K511" s="0" t="inlineStr">
        <is>
          <t>YES! 	 c_smallint列源备映射正确，源端为smallint None位	期望更改为smallint	实际备端为smallint None位</t>
        </is>
      </c>
    </row>
    <row r="512">
      <c r="B512" s="0" t="inlineStr">
        <is>
          <t>NULL</t>
        </is>
      </c>
      <c r="C512" s="0" t="inlineStr">
        <is>
          <t>NULL</t>
        </is>
      </c>
      <c r="D512" s="0" t="inlineStr">
        <is>
          <t>NULL</t>
        </is>
      </c>
      <c r="E512" s="0" t="inlineStr">
        <is>
          <t>NULL</t>
        </is>
      </c>
      <c r="F512" s="0" t="inlineStr">
        <is>
          <t>NULL</t>
        </is>
      </c>
      <c r="G512" s="0" t="inlineStr">
        <is>
          <t>NULL</t>
        </is>
      </c>
      <c r="H512" s="0" t="inlineStr">
        <is>
          <t>NULL</t>
        </is>
      </c>
      <c r="I512" s="0" t="inlineStr">
        <is>
          <t>NULL</t>
        </is>
      </c>
      <c r="J512" s="0" t="inlineStr">
        <is>
          <t>NULL</t>
        </is>
      </c>
      <c r="K512" s="0" t="inlineStr">
        <is>
          <t>YES! 	 c_int列源备映射正确，源端为int None位	期望更改为int	实际备端为int None位</t>
        </is>
      </c>
    </row>
    <row r="513">
      <c r="B513" s="0" t="inlineStr">
        <is>
          <t>NULL</t>
        </is>
      </c>
      <c r="C513" s="0" t="inlineStr">
        <is>
          <t>NULL</t>
        </is>
      </c>
      <c r="D513" s="0" t="inlineStr">
        <is>
          <t>NULL</t>
        </is>
      </c>
      <c r="E513" s="0" t="inlineStr">
        <is>
          <t>NULL</t>
        </is>
      </c>
      <c r="F513" s="0" t="inlineStr">
        <is>
          <t>NULL</t>
        </is>
      </c>
      <c r="G513" s="0" t="inlineStr">
        <is>
          <t>NULL</t>
        </is>
      </c>
      <c r="H513" s="0" t="inlineStr">
        <is>
          <t>NULL</t>
        </is>
      </c>
      <c r="I513" s="0" t="inlineStr">
        <is>
          <t>NULL</t>
        </is>
      </c>
      <c r="J513" s="0" t="inlineStr">
        <is>
          <t>NULL</t>
        </is>
      </c>
      <c r="K513" s="0" t="inlineStr">
        <is>
          <t>YES! 	 c_bigint列源备映射正确，源端为bigint None位	期望更改为bigint	实际备端为bigint None位</t>
        </is>
      </c>
    </row>
    <row r="514">
      <c r="B514" s="0" t="inlineStr">
        <is>
          <t>NULL</t>
        </is>
      </c>
      <c r="C514" s="0" t="inlineStr">
        <is>
          <t>NULL</t>
        </is>
      </c>
      <c r="D514" s="0" t="inlineStr">
        <is>
          <t>NULL</t>
        </is>
      </c>
      <c r="E514" s="0" t="inlineStr">
        <is>
          <t>NULL</t>
        </is>
      </c>
      <c r="F514" s="0" t="inlineStr">
        <is>
          <t>NULL</t>
        </is>
      </c>
      <c r="G514" s="0" t="inlineStr">
        <is>
          <t>NULL</t>
        </is>
      </c>
      <c r="H514" s="0" t="inlineStr">
        <is>
          <t>NULL</t>
        </is>
      </c>
      <c r="I514" s="0" t="inlineStr">
        <is>
          <t>NULL</t>
        </is>
      </c>
      <c r="J514" s="0" t="inlineStr">
        <is>
          <t>NULL</t>
        </is>
      </c>
      <c r="K514" s="0" t="inlineStr">
        <is>
          <t>YES! 	 c_decimal列源备映射正确，源端为decimal None位	期望更改为decimal(p,s)	实际备端为decimal None位</t>
        </is>
      </c>
    </row>
    <row r="515">
      <c r="B515" s="0" t="inlineStr">
        <is>
          <t>NULL</t>
        </is>
      </c>
      <c r="C515" s="0" t="inlineStr">
        <is>
          <t>NULL</t>
        </is>
      </c>
      <c r="D515" s="0" t="inlineStr">
        <is>
          <t>NULL</t>
        </is>
      </c>
      <c r="E515" s="0" t="inlineStr">
        <is>
          <t>NULL</t>
        </is>
      </c>
      <c r="F515" s="0" t="inlineStr">
        <is>
          <t>NULL</t>
        </is>
      </c>
      <c r="G515" s="0" t="inlineStr">
        <is>
          <t>NULL</t>
        </is>
      </c>
      <c r="H515" s="0" t="inlineStr">
        <is>
          <t>NULL</t>
        </is>
      </c>
      <c r="I515" s="0" t="inlineStr">
        <is>
          <t>NULL</t>
        </is>
      </c>
      <c r="J515" s="0" t="inlineStr">
        <is>
          <t>NULL</t>
        </is>
      </c>
      <c r="K515" s="0" t="inlineStr">
        <is>
          <t>YES! 	 c_decimal38列源备映射正确，源端为decimal None位	期望更改为decimal(p,s)	实际备端为decimal None位</t>
        </is>
      </c>
    </row>
    <row r="516">
      <c r="B516" s="0" t="inlineStr">
        <is>
          <t>NULL</t>
        </is>
      </c>
      <c r="C516" s="0" t="inlineStr">
        <is>
          <t>NULL</t>
        </is>
      </c>
      <c r="D516" s="0" t="inlineStr">
        <is>
          <t>NULL</t>
        </is>
      </c>
      <c r="E516" s="0" t="inlineStr">
        <is>
          <t>NULL</t>
        </is>
      </c>
      <c r="F516" s="0" t="inlineStr">
        <is>
          <t>NULL</t>
        </is>
      </c>
      <c r="G516" s="0" t="inlineStr">
        <is>
          <t>NULL</t>
        </is>
      </c>
      <c r="H516" s="0" t="inlineStr">
        <is>
          <t>NULL</t>
        </is>
      </c>
      <c r="I516" s="0" t="inlineStr">
        <is>
          <t>NULL</t>
        </is>
      </c>
      <c r="J516" s="0" t="inlineStr">
        <is>
          <t>NULL</t>
        </is>
      </c>
      <c r="K516" s="0" t="inlineStr">
        <is>
          <t xml:space="preserve"> NO!  	 c_decimal38_38列源备映射错误，源端为decimal None位	期望更改为decimal(p,s)	实际备端为varchar 168位</t>
        </is>
      </c>
    </row>
    <row r="517">
      <c r="B517" s="0" t="inlineStr">
        <is>
          <t>NULL</t>
        </is>
      </c>
      <c r="C517" s="0" t="inlineStr">
        <is>
          <t>NULL</t>
        </is>
      </c>
      <c r="D517" s="0" t="inlineStr">
        <is>
          <t>NULL</t>
        </is>
      </c>
      <c r="E517" s="0" t="inlineStr">
        <is>
          <t>NULL</t>
        </is>
      </c>
      <c r="F517" s="0" t="inlineStr">
        <is>
          <t>NULL</t>
        </is>
      </c>
      <c r="G517" s="0" t="inlineStr">
        <is>
          <t>NULL</t>
        </is>
      </c>
      <c r="H517" s="0" t="inlineStr">
        <is>
          <t>NULL</t>
        </is>
      </c>
      <c r="I517" s="0" t="inlineStr">
        <is>
          <t>NULL</t>
        </is>
      </c>
      <c r="J517" s="0" t="inlineStr">
        <is>
          <t>NULL</t>
        </is>
      </c>
      <c r="K517" s="0" t="inlineStr">
        <is>
          <t>YES! 	 c_decimal38_10列源备映射正确，源端为decimal None位	期望更改为decimal(p,s)	实际备端为decimal None位</t>
        </is>
      </c>
    </row>
    <row r="518">
      <c r="B518" s="0" t="inlineStr">
        <is>
          <t>NULL</t>
        </is>
      </c>
      <c r="C518" s="0" t="inlineStr">
        <is>
          <t>NULL</t>
        </is>
      </c>
      <c r="D518" s="0" t="inlineStr">
        <is>
          <t>NULL</t>
        </is>
      </c>
      <c r="E518" s="0" t="inlineStr">
        <is>
          <t>NULL</t>
        </is>
      </c>
      <c r="F518" s="0" t="inlineStr">
        <is>
          <t>NULL</t>
        </is>
      </c>
      <c r="G518" s="0" t="inlineStr">
        <is>
          <t>NULL</t>
        </is>
      </c>
      <c r="H518" s="0" t="inlineStr">
        <is>
          <t>NULL</t>
        </is>
      </c>
      <c r="I518" s="0" t="inlineStr">
        <is>
          <t>NULL</t>
        </is>
      </c>
      <c r="J518" s="0" t="inlineStr">
        <is>
          <t>NULL</t>
        </is>
      </c>
      <c r="K518" s="0" t="inlineStr">
        <is>
          <t>YES! 	 c_decimal19_4列源备映射正确，源端为decimal None位	期望更改为decimal(p,s)	实际备端为decimal None位</t>
        </is>
      </c>
    </row>
    <row r="519">
      <c r="B519" s="0" t="inlineStr">
        <is>
          <t>NULL</t>
        </is>
      </c>
      <c r="C519" s="0" t="inlineStr">
        <is>
          <t>NULL</t>
        </is>
      </c>
      <c r="D519" s="0" t="inlineStr">
        <is>
          <t>NULL</t>
        </is>
      </c>
      <c r="E519" s="0" t="inlineStr">
        <is>
          <t>NULL</t>
        </is>
      </c>
      <c r="F519" s="0" t="inlineStr">
        <is>
          <t>NULL</t>
        </is>
      </c>
      <c r="G519" s="0" t="inlineStr">
        <is>
          <t>NULL</t>
        </is>
      </c>
      <c r="H519" s="0" t="inlineStr">
        <is>
          <t>NULL</t>
        </is>
      </c>
      <c r="I519" s="0" t="inlineStr">
        <is>
          <t>NULL</t>
        </is>
      </c>
      <c r="J519" s="0" t="inlineStr">
        <is>
          <t>NULL</t>
        </is>
      </c>
      <c r="K519" s="0" t="inlineStr">
        <is>
          <t>YES! 	 c_numeric列源备映射正确，源端为numeric None位	期望更改为decimal(p,s)	实际备端为decimal None位</t>
        </is>
      </c>
    </row>
    <row r="520">
      <c r="B520" s="0" t="inlineStr">
        <is>
          <t>NULL</t>
        </is>
      </c>
      <c r="C520" s="0" t="inlineStr">
        <is>
          <t>NULL</t>
        </is>
      </c>
      <c r="D520" s="0" t="inlineStr">
        <is>
          <t>NULL</t>
        </is>
      </c>
      <c r="E520" s="0" t="inlineStr">
        <is>
          <t>NULL</t>
        </is>
      </c>
      <c r="F520" s="0" t="inlineStr">
        <is>
          <t>NULL</t>
        </is>
      </c>
      <c r="G520" s="0" t="inlineStr">
        <is>
          <t>NULL</t>
        </is>
      </c>
      <c r="H520" s="0" t="inlineStr">
        <is>
          <t>NULL</t>
        </is>
      </c>
      <c r="I520" s="0" t="inlineStr">
        <is>
          <t>NULL</t>
        </is>
      </c>
      <c r="J520" s="0" t="inlineStr">
        <is>
          <t>NULL</t>
        </is>
      </c>
      <c r="K520" s="0" t="inlineStr">
        <is>
          <t>YES! 	 c_numeric38列源备映射正确，源端为numeric None位	期望更改为decimal(p,s)	实际备端为decimal None位</t>
        </is>
      </c>
    </row>
    <row r="521">
      <c r="B521" s="0" t="inlineStr">
        <is>
          <t>NULL</t>
        </is>
      </c>
      <c r="C521" s="0" t="inlineStr">
        <is>
          <t>NULL</t>
        </is>
      </c>
      <c r="D521" s="0" t="inlineStr">
        <is>
          <t>NULL</t>
        </is>
      </c>
      <c r="E521" s="0" t="inlineStr">
        <is>
          <t>NULL</t>
        </is>
      </c>
      <c r="F521" s="0" t="inlineStr">
        <is>
          <t>NULL</t>
        </is>
      </c>
      <c r="G521" s="0" t="inlineStr">
        <is>
          <t>NULL</t>
        </is>
      </c>
      <c r="H521" s="0" t="inlineStr">
        <is>
          <t>NULL</t>
        </is>
      </c>
      <c r="I521" s="0" t="inlineStr">
        <is>
          <t>NULL</t>
        </is>
      </c>
      <c r="J521" s="0" t="inlineStr">
        <is>
          <t>NULL</t>
        </is>
      </c>
      <c r="K521" s="0" t="inlineStr">
        <is>
          <t xml:space="preserve"> NO!  	 c_numeric38_38列源备映射错误，源端为numeric None位	期望更改为decimal(p,s)	实际备端为varchar 168位</t>
        </is>
      </c>
    </row>
    <row r="522">
      <c r="B522" s="0" t="inlineStr">
        <is>
          <t>NULL</t>
        </is>
      </c>
      <c r="C522" s="0" t="inlineStr">
        <is>
          <t>NULL</t>
        </is>
      </c>
      <c r="D522" s="0" t="inlineStr">
        <is>
          <t>NULL</t>
        </is>
      </c>
      <c r="E522" s="0" t="inlineStr">
        <is>
          <t>NULL</t>
        </is>
      </c>
      <c r="F522" s="0" t="inlineStr">
        <is>
          <t>NULL</t>
        </is>
      </c>
      <c r="G522" s="0" t="inlineStr">
        <is>
          <t>NULL</t>
        </is>
      </c>
      <c r="H522" s="0" t="inlineStr">
        <is>
          <t>NULL</t>
        </is>
      </c>
      <c r="I522" s="0" t="inlineStr">
        <is>
          <t>NULL</t>
        </is>
      </c>
      <c r="J522" s="0" t="inlineStr">
        <is>
          <t>NULL</t>
        </is>
      </c>
      <c r="K522" s="0" t="inlineStr">
        <is>
          <t>YES! 	 c_numeric38_10列源备映射正确，源端为numeric None位	期望更改为decimal(p,s)	实际备端为decimal None位</t>
        </is>
      </c>
    </row>
    <row r="523">
      <c r="B523" s="0" t="inlineStr">
        <is>
          <t>NULL</t>
        </is>
      </c>
      <c r="C523" s="0" t="inlineStr">
        <is>
          <t>NULL</t>
        </is>
      </c>
      <c r="D523" s="0" t="inlineStr">
        <is>
          <t>NULL</t>
        </is>
      </c>
      <c r="E523" s="0" t="inlineStr">
        <is>
          <t>NULL</t>
        </is>
      </c>
      <c r="F523" s="0" t="inlineStr">
        <is>
          <t>NULL</t>
        </is>
      </c>
      <c r="G523" s="0" t="inlineStr">
        <is>
          <t>NULL</t>
        </is>
      </c>
      <c r="H523" s="0" t="inlineStr">
        <is>
          <t>NULL</t>
        </is>
      </c>
      <c r="I523" s="0" t="inlineStr">
        <is>
          <t>NULL</t>
        </is>
      </c>
      <c r="J523" s="0" t="inlineStr">
        <is>
          <t>NULL</t>
        </is>
      </c>
      <c r="K523" s="0" t="inlineStr">
        <is>
          <t>YES! 	 c_numeric18_2列源备映射正确，源端为numeric None位	期望更改为decimal(p,s)	实际备端为decimal None位</t>
        </is>
      </c>
    </row>
    <row r="524">
      <c r="B524" s="0" t="inlineStr">
        <is>
          <t>NULL</t>
        </is>
      </c>
      <c r="C524" s="0" t="inlineStr">
        <is>
          <t>NULL</t>
        </is>
      </c>
      <c r="D524" s="0" t="inlineStr">
        <is>
          <t>NULL</t>
        </is>
      </c>
      <c r="E524" s="0" t="inlineStr">
        <is>
          <t>NULL</t>
        </is>
      </c>
      <c r="F524" s="0" t="inlineStr">
        <is>
          <t>NULL</t>
        </is>
      </c>
      <c r="G524" s="0" t="inlineStr">
        <is>
          <t>NULL</t>
        </is>
      </c>
      <c r="H524" s="0" t="inlineStr">
        <is>
          <t>NULL</t>
        </is>
      </c>
      <c r="I524" s="0" t="inlineStr">
        <is>
          <t>NULL</t>
        </is>
      </c>
      <c r="J524" s="0" t="inlineStr">
        <is>
          <t>NULL</t>
        </is>
      </c>
      <c r="K524" s="0" t="inlineStr">
        <is>
          <t>YES! 	 c_float列源备映射正确，源端为float None位	期望更改为double	实际备端为double None位</t>
        </is>
      </c>
    </row>
    <row r="525">
      <c r="B525" s="0" t="inlineStr">
        <is>
          <t>NULL</t>
        </is>
      </c>
      <c r="C525" s="0" t="inlineStr">
        <is>
          <t>NULL</t>
        </is>
      </c>
      <c r="D525" s="0" t="inlineStr">
        <is>
          <t>NULL</t>
        </is>
      </c>
      <c r="E525" s="0" t="inlineStr">
        <is>
          <t>NULL</t>
        </is>
      </c>
      <c r="F525" s="0" t="inlineStr">
        <is>
          <t>NULL</t>
        </is>
      </c>
      <c r="G525" s="0" t="inlineStr">
        <is>
          <t>NULL</t>
        </is>
      </c>
      <c r="H525" s="0" t="inlineStr">
        <is>
          <t>NULL</t>
        </is>
      </c>
      <c r="I525" s="0" t="inlineStr">
        <is>
          <t>NULL</t>
        </is>
      </c>
      <c r="J525" s="0" t="inlineStr">
        <is>
          <t>NULL</t>
        </is>
      </c>
      <c r="K525" s="0" t="inlineStr">
        <is>
          <t>YES! 	 c_real列源备映射正确，源端为real None位	期望更改为double	实际备端为double None位</t>
        </is>
      </c>
    </row>
    <row r="526">
      <c r="B526" s="0" t="inlineStr">
        <is>
          <t>NULL</t>
        </is>
      </c>
      <c r="C526" s="0" t="inlineStr">
        <is>
          <t>NULL</t>
        </is>
      </c>
      <c r="D526" s="0" t="inlineStr">
        <is>
          <t>NULL</t>
        </is>
      </c>
      <c r="E526" s="0" t="inlineStr">
        <is>
          <t>NULL</t>
        </is>
      </c>
      <c r="F526" s="0" t="inlineStr">
        <is>
          <t>NULL</t>
        </is>
      </c>
      <c r="G526" s="0" t="inlineStr">
        <is>
          <t>NULL</t>
        </is>
      </c>
      <c r="H526" s="0" t="inlineStr">
        <is>
          <t>NULL</t>
        </is>
      </c>
      <c r="I526" s="0" t="inlineStr">
        <is>
          <t>NULL</t>
        </is>
      </c>
      <c r="J526" s="0" t="inlineStr">
        <is>
          <t>NULL</t>
        </is>
      </c>
      <c r="K526" s="0" t="inlineStr">
        <is>
          <t>YES! 	 c_money列源备映射正确，源端为money None位	期望更改为decimal(19,4)	实际备端为decimal None位</t>
        </is>
      </c>
    </row>
    <row r="527">
      <c r="B527" s="0" t="inlineStr">
        <is>
          <t>NULL</t>
        </is>
      </c>
      <c r="C527" s="0" t="inlineStr">
        <is>
          <t>NULL</t>
        </is>
      </c>
      <c r="D527" s="0" t="inlineStr">
        <is>
          <t>NULL</t>
        </is>
      </c>
      <c r="E527" s="0" t="inlineStr">
        <is>
          <t>NULL</t>
        </is>
      </c>
      <c r="F527" s="0" t="inlineStr">
        <is>
          <t>NULL</t>
        </is>
      </c>
      <c r="G527" s="0" t="inlineStr">
        <is>
          <t>NULL</t>
        </is>
      </c>
      <c r="H527" s="0" t="inlineStr">
        <is>
          <t>NULL</t>
        </is>
      </c>
      <c r="I527" s="0" t="inlineStr">
        <is>
          <t>NULL</t>
        </is>
      </c>
      <c r="J527" s="0" t="inlineStr">
        <is>
          <t>NULL</t>
        </is>
      </c>
      <c r="K527" s="0" t="inlineStr">
        <is>
          <t>YES! 	 c_smallmoney列源备映射正确，源端为smallmoney None位	期望更改为decimal(10,4)	实际备端为decimal None位</t>
        </is>
      </c>
    </row>
    <row r="528">
      <c r="B528" s="0" t="inlineStr">
        <is>
          <t>NULL</t>
        </is>
      </c>
      <c r="C528" s="0" t="inlineStr">
        <is>
          <t>NO!源None备NUL</t>
        </is>
      </c>
      <c r="D528" s="0" t="inlineStr">
        <is>
          <t>NULL</t>
        </is>
      </c>
      <c r="E528" s="0" t="inlineStr">
        <is>
          <t>NULL</t>
        </is>
      </c>
      <c r="F528" s="0" t="inlineStr">
        <is>
          <t>NULL</t>
        </is>
      </c>
      <c r="G528" s="0" t="inlineStr">
        <is>
          <t>NULL</t>
        </is>
      </c>
      <c r="H528" s="0" t="inlineStr">
        <is>
          <t>NULL</t>
        </is>
      </c>
      <c r="I528" s="0" t="inlineStr">
        <is>
          <t>NULL</t>
        </is>
      </c>
      <c r="J528" s="0" t="inlineStr">
        <is>
          <t>NULL</t>
        </is>
      </c>
      <c r="K528" s="0" t="inlineStr">
        <is>
          <t>YES! 	 c_bit列源备映射正确，源端为bit None位	期望更改为tinyint(1) 	实际备端为tinyint None位</t>
        </is>
      </c>
    </row>
    <row r="529">
      <c r="A529" s="0" t="inlineStr">
        <is>
          <t>info_sdt_dml_batch1_pk_drp2</t>
        </is>
      </c>
      <c r="K529" s="0" t="inlineStr">
        <is>
          <t>[0;34m info_sdt_dml_batch1_pk_drp2 [0m源备字段数相同，源端字段：2 	备端字段2</t>
        </is>
      </c>
      <c r="W529" s="0" t="inlineStr">
        <is>
          <t>YES 源备无差异</t>
        </is>
      </c>
      <c r="X529" s="0">
        <f>A529</f>
        <v/>
      </c>
    </row>
    <row r="530">
      <c r="B530" s="0" t="inlineStr">
        <is>
          <t>YES</t>
        </is>
      </c>
      <c r="C530" s="0" t="inlineStr">
        <is>
          <t>NULL</t>
        </is>
      </c>
      <c r="D530" s="0" t="inlineStr">
        <is>
          <t>NULL</t>
        </is>
      </c>
      <c r="E530" s="0" t="inlineStr">
        <is>
          <t>NULL</t>
        </is>
      </c>
      <c r="F530" s="0" t="inlineStr">
        <is>
          <t>NULL</t>
        </is>
      </c>
      <c r="G530" s="0" t="inlineStr">
        <is>
          <t>NULL</t>
        </is>
      </c>
      <c r="H530" s="0" t="inlineStr">
        <is>
          <t>NULL</t>
        </is>
      </c>
      <c r="I530" s="0" t="inlineStr">
        <is>
          <t>YES!PK__info_sdt__3213E83FFF98C716</t>
        </is>
      </c>
      <c r="J530" s="0" t="inlineStr">
        <is>
          <t>YES! 主键相关索引</t>
        </is>
      </c>
      <c r="K530" s="0" t="inlineStr">
        <is>
          <t>YES! 	 id列源备映射正确，源端为int None位	期望更改为int	实际备端为int None位</t>
        </is>
      </c>
    </row>
    <row r="531">
      <c r="B531" s="0" t="inlineStr">
        <is>
          <t>NULL</t>
        </is>
      </c>
      <c r="C531" s="0" t="inlineStr">
        <is>
          <t>NULL</t>
        </is>
      </c>
      <c r="D531" s="0" t="inlineStr">
        <is>
          <t>NULL</t>
        </is>
      </c>
      <c r="E531" s="0" t="inlineStr">
        <is>
          <t>NULL</t>
        </is>
      </c>
      <c r="F531" s="0" t="inlineStr">
        <is>
          <t>NULL</t>
        </is>
      </c>
      <c r="G531" s="0" t="inlineStr">
        <is>
          <t>NULL</t>
        </is>
      </c>
      <c r="H531" s="0" t="inlineStr">
        <is>
          <t>NULL</t>
        </is>
      </c>
      <c r="I531" s="0" t="inlineStr">
        <is>
          <t>NULL</t>
        </is>
      </c>
      <c r="J531" s="0" t="inlineStr">
        <is>
          <t>NULL</t>
        </is>
      </c>
      <c r="K531" s="0" t="inlineStr">
        <is>
          <t>YES! 	 c_sdt列源备映射正确，源端为smalldatetime None位	期望更改为datetime	实际备端为datetime None位</t>
        </is>
      </c>
    </row>
    <row r="532">
      <c r="A532" s="0" t="inlineStr">
        <is>
          <t>info_int_dml_single_nopk</t>
        </is>
      </c>
      <c r="K532" s="0" t="inlineStr">
        <is>
          <t>[0;34m info_int_dml_single_nopk [0m源备字段数相同，源端字段：20 	备端字段20</t>
        </is>
      </c>
      <c r="W532" s="0" t="inlineStr">
        <is>
          <t>YES 源备无差异</t>
        </is>
      </c>
      <c r="X532" s="0">
        <f>A532</f>
        <v/>
      </c>
    </row>
    <row r="533">
      <c r="B533" s="0" t="inlineStr">
        <is>
          <t>NULL</t>
        </is>
      </c>
      <c r="C533" s="0" t="inlineStr">
        <is>
          <t>NULL</t>
        </is>
      </c>
      <c r="D533" s="0" t="inlineStr">
        <is>
          <t>NULL</t>
        </is>
      </c>
      <c r="E533" s="0" t="inlineStr">
        <is>
          <t>NULL</t>
        </is>
      </c>
      <c r="F533" s="0" t="inlineStr">
        <is>
          <t>NULL</t>
        </is>
      </c>
      <c r="G533" s="0" t="inlineStr">
        <is>
          <t>NULL</t>
        </is>
      </c>
      <c r="H533" s="0" t="inlineStr">
        <is>
          <t>NULL</t>
        </is>
      </c>
      <c r="I533" s="0" t="inlineStr">
        <is>
          <t>NULL</t>
        </is>
      </c>
      <c r="J533" s="0" t="inlineStr">
        <is>
          <t>NULL</t>
        </is>
      </c>
      <c r="K533" s="0" t="inlineStr">
        <is>
          <t>YES! 	 id列源备映射正确，源端为int None位	期望更改为int	实际备端为int None位</t>
        </is>
      </c>
    </row>
    <row r="534">
      <c r="B534" s="0" t="inlineStr">
        <is>
          <t>NULL</t>
        </is>
      </c>
      <c r="C534" s="0" t="inlineStr">
        <is>
          <t>NULL</t>
        </is>
      </c>
      <c r="D534" s="0" t="inlineStr">
        <is>
          <t>NULL</t>
        </is>
      </c>
      <c r="E534" s="0" t="inlineStr">
        <is>
          <t>NULL</t>
        </is>
      </c>
      <c r="F534" s="0" t="inlineStr">
        <is>
          <t>NULL</t>
        </is>
      </c>
      <c r="G534" s="0" t="inlineStr">
        <is>
          <t>NULL</t>
        </is>
      </c>
      <c r="H534" s="0" t="inlineStr">
        <is>
          <t>NULL</t>
        </is>
      </c>
      <c r="I534" s="0" t="inlineStr">
        <is>
          <t>NULL</t>
        </is>
      </c>
      <c r="J534" s="0" t="inlineStr">
        <is>
          <t>NULL</t>
        </is>
      </c>
      <c r="K534" s="0" t="inlineStr">
        <is>
          <t>YES! 	 c_tinyint列源备映射正确，源端为tinyint None位	期望更改为tinyint	实际备端为tinyint None位</t>
        </is>
      </c>
    </row>
    <row r="535">
      <c r="B535" s="0" t="inlineStr">
        <is>
          <t>NULL</t>
        </is>
      </c>
      <c r="C535" s="0" t="inlineStr">
        <is>
          <t>NULL</t>
        </is>
      </c>
      <c r="D535" s="0" t="inlineStr">
        <is>
          <t>NULL</t>
        </is>
      </c>
      <c r="E535" s="0" t="inlineStr">
        <is>
          <t>NULL</t>
        </is>
      </c>
      <c r="F535" s="0" t="inlineStr">
        <is>
          <t>NULL</t>
        </is>
      </c>
      <c r="G535" s="0" t="inlineStr">
        <is>
          <t>NULL</t>
        </is>
      </c>
      <c r="H535" s="0" t="inlineStr">
        <is>
          <t>NULL</t>
        </is>
      </c>
      <c r="I535" s="0" t="inlineStr">
        <is>
          <t>NULL</t>
        </is>
      </c>
      <c r="J535" s="0" t="inlineStr">
        <is>
          <t>NULL</t>
        </is>
      </c>
      <c r="K535" s="0" t="inlineStr">
        <is>
          <t>YES! 	 c_smallint列源备映射正确，源端为smallint None位	期望更改为smallint	实际备端为smallint None位</t>
        </is>
      </c>
    </row>
    <row r="536">
      <c r="B536" s="0" t="inlineStr">
        <is>
          <t>NULL</t>
        </is>
      </c>
      <c r="C536" s="0" t="inlineStr">
        <is>
          <t>NULL</t>
        </is>
      </c>
      <c r="D536" s="0" t="inlineStr">
        <is>
          <t>NULL</t>
        </is>
      </c>
      <c r="E536" s="0" t="inlineStr">
        <is>
          <t>NULL</t>
        </is>
      </c>
      <c r="F536" s="0" t="inlineStr">
        <is>
          <t>NULL</t>
        </is>
      </c>
      <c r="G536" s="0" t="inlineStr">
        <is>
          <t>NULL</t>
        </is>
      </c>
      <c r="H536" s="0" t="inlineStr">
        <is>
          <t>NULL</t>
        </is>
      </c>
      <c r="I536" s="0" t="inlineStr">
        <is>
          <t>NULL</t>
        </is>
      </c>
      <c r="J536" s="0" t="inlineStr">
        <is>
          <t>NULL</t>
        </is>
      </c>
      <c r="K536" s="0" t="inlineStr">
        <is>
          <t>YES! 	 c_int列源备映射正确，源端为int None位	期望更改为int	实际备端为int None位</t>
        </is>
      </c>
    </row>
    <row r="537">
      <c r="B537" s="0" t="inlineStr">
        <is>
          <t>NULL</t>
        </is>
      </c>
      <c r="C537" s="0" t="inlineStr">
        <is>
          <t>NULL</t>
        </is>
      </c>
      <c r="D537" s="0" t="inlineStr">
        <is>
          <t>NULL</t>
        </is>
      </c>
      <c r="E537" s="0" t="inlineStr">
        <is>
          <t>NULL</t>
        </is>
      </c>
      <c r="F537" s="0" t="inlineStr">
        <is>
          <t>NULL</t>
        </is>
      </c>
      <c r="G537" s="0" t="inlineStr">
        <is>
          <t>NULL</t>
        </is>
      </c>
      <c r="H537" s="0" t="inlineStr">
        <is>
          <t>NULL</t>
        </is>
      </c>
      <c r="I537" s="0" t="inlineStr">
        <is>
          <t>NULL</t>
        </is>
      </c>
      <c r="J537" s="0" t="inlineStr">
        <is>
          <t>NULL</t>
        </is>
      </c>
      <c r="K537" s="0" t="inlineStr">
        <is>
          <t>YES! 	 c_bigint列源备映射正确，源端为bigint None位	期望更改为bigint	实际备端为bigint None位</t>
        </is>
      </c>
    </row>
    <row r="538">
      <c r="B538" s="0" t="inlineStr">
        <is>
          <t>NULL</t>
        </is>
      </c>
      <c r="C538" s="0" t="inlineStr">
        <is>
          <t>NULL</t>
        </is>
      </c>
      <c r="D538" s="0" t="inlineStr">
        <is>
          <t>NULL</t>
        </is>
      </c>
      <c r="E538" s="0" t="inlineStr">
        <is>
          <t>NULL</t>
        </is>
      </c>
      <c r="F538" s="0" t="inlineStr">
        <is>
          <t>NULL</t>
        </is>
      </c>
      <c r="G538" s="0" t="inlineStr">
        <is>
          <t>NULL</t>
        </is>
      </c>
      <c r="H538" s="0" t="inlineStr">
        <is>
          <t>NULL</t>
        </is>
      </c>
      <c r="I538" s="0" t="inlineStr">
        <is>
          <t>NULL</t>
        </is>
      </c>
      <c r="J538" s="0" t="inlineStr">
        <is>
          <t>NULL</t>
        </is>
      </c>
      <c r="K538" s="0" t="inlineStr">
        <is>
          <t>YES! 	 c_decimal列源备映射正确，源端为decimal None位	期望更改为decimal(p,s)	实际备端为decimal None位</t>
        </is>
      </c>
    </row>
    <row r="539">
      <c r="B539" s="0" t="inlineStr">
        <is>
          <t>NULL</t>
        </is>
      </c>
      <c r="C539" s="0" t="inlineStr">
        <is>
          <t>NULL</t>
        </is>
      </c>
      <c r="D539" s="0" t="inlineStr">
        <is>
          <t>NULL</t>
        </is>
      </c>
      <c r="E539" s="0" t="inlineStr">
        <is>
          <t>NULL</t>
        </is>
      </c>
      <c r="F539" s="0" t="inlineStr">
        <is>
          <t>NULL</t>
        </is>
      </c>
      <c r="G539" s="0" t="inlineStr">
        <is>
          <t>NULL</t>
        </is>
      </c>
      <c r="H539" s="0" t="inlineStr">
        <is>
          <t>NULL</t>
        </is>
      </c>
      <c r="I539" s="0" t="inlineStr">
        <is>
          <t>NULL</t>
        </is>
      </c>
      <c r="J539" s="0" t="inlineStr">
        <is>
          <t>NULL</t>
        </is>
      </c>
      <c r="K539" s="0" t="inlineStr">
        <is>
          <t>YES! 	 c_decimal38列源备映射正确，源端为decimal None位	期望更改为decimal(p,s)	实际备端为decimal None位</t>
        </is>
      </c>
    </row>
    <row r="540">
      <c r="B540" s="0" t="inlineStr">
        <is>
          <t>NULL</t>
        </is>
      </c>
      <c r="C540" s="0" t="inlineStr">
        <is>
          <t>NULL</t>
        </is>
      </c>
      <c r="D540" s="0" t="inlineStr">
        <is>
          <t>NULL</t>
        </is>
      </c>
      <c r="E540" s="0" t="inlineStr">
        <is>
          <t>NULL</t>
        </is>
      </c>
      <c r="F540" s="0" t="inlineStr">
        <is>
          <t>NULL</t>
        </is>
      </c>
      <c r="G540" s="0" t="inlineStr">
        <is>
          <t>NULL</t>
        </is>
      </c>
      <c r="H540" s="0" t="inlineStr">
        <is>
          <t>NULL</t>
        </is>
      </c>
      <c r="I540" s="0" t="inlineStr">
        <is>
          <t>NULL</t>
        </is>
      </c>
      <c r="J540" s="0" t="inlineStr">
        <is>
          <t>NULL</t>
        </is>
      </c>
      <c r="K540" s="0" t="inlineStr">
        <is>
          <t xml:space="preserve"> NO!  	 c_decimal38_38列源备映射错误，源端为decimal None位	期望更改为decimal(p,s)	实际备端为varchar 168位</t>
        </is>
      </c>
    </row>
    <row r="541">
      <c r="B541" s="0" t="inlineStr">
        <is>
          <t>NULL</t>
        </is>
      </c>
      <c r="C541" s="0" t="inlineStr">
        <is>
          <t>NULL</t>
        </is>
      </c>
      <c r="D541" s="0" t="inlineStr">
        <is>
          <t>NULL</t>
        </is>
      </c>
      <c r="E541" s="0" t="inlineStr">
        <is>
          <t>NULL</t>
        </is>
      </c>
      <c r="F541" s="0" t="inlineStr">
        <is>
          <t>NULL</t>
        </is>
      </c>
      <c r="G541" s="0" t="inlineStr">
        <is>
          <t>NULL</t>
        </is>
      </c>
      <c r="H541" s="0" t="inlineStr">
        <is>
          <t>NULL</t>
        </is>
      </c>
      <c r="I541" s="0" t="inlineStr">
        <is>
          <t>NULL</t>
        </is>
      </c>
      <c r="J541" s="0" t="inlineStr">
        <is>
          <t>NULL</t>
        </is>
      </c>
      <c r="K541" s="0" t="inlineStr">
        <is>
          <t>YES! 	 c_decimal38_10列源备映射正确，源端为decimal None位	期望更改为decimal(p,s)	实际备端为decimal None位</t>
        </is>
      </c>
    </row>
    <row r="542">
      <c r="B542" s="0" t="inlineStr">
        <is>
          <t>NULL</t>
        </is>
      </c>
      <c r="C542" s="0" t="inlineStr">
        <is>
          <t>NULL</t>
        </is>
      </c>
      <c r="D542" s="0" t="inlineStr">
        <is>
          <t>NULL</t>
        </is>
      </c>
      <c r="E542" s="0" t="inlineStr">
        <is>
          <t>NULL</t>
        </is>
      </c>
      <c r="F542" s="0" t="inlineStr">
        <is>
          <t>NULL</t>
        </is>
      </c>
      <c r="G542" s="0" t="inlineStr">
        <is>
          <t>NULL</t>
        </is>
      </c>
      <c r="H542" s="0" t="inlineStr">
        <is>
          <t>NULL</t>
        </is>
      </c>
      <c r="I542" s="0" t="inlineStr">
        <is>
          <t>NULL</t>
        </is>
      </c>
      <c r="J542" s="0" t="inlineStr">
        <is>
          <t>NULL</t>
        </is>
      </c>
      <c r="K542" s="0" t="inlineStr">
        <is>
          <t>YES! 	 c_decimal19_4列源备映射正确，源端为decimal None位	期望更改为decimal(p,s)	实际备端为decimal None位</t>
        </is>
      </c>
    </row>
    <row r="543">
      <c r="B543" s="0" t="inlineStr">
        <is>
          <t>NULL</t>
        </is>
      </c>
      <c r="C543" s="0" t="inlineStr">
        <is>
          <t>NULL</t>
        </is>
      </c>
      <c r="D543" s="0" t="inlineStr">
        <is>
          <t>NULL</t>
        </is>
      </c>
      <c r="E543" s="0" t="inlineStr">
        <is>
          <t>NULL</t>
        </is>
      </c>
      <c r="F543" s="0" t="inlineStr">
        <is>
          <t>NULL</t>
        </is>
      </c>
      <c r="G543" s="0" t="inlineStr">
        <is>
          <t>NULL</t>
        </is>
      </c>
      <c r="H543" s="0" t="inlineStr">
        <is>
          <t>NULL</t>
        </is>
      </c>
      <c r="I543" s="0" t="inlineStr">
        <is>
          <t>NULL</t>
        </is>
      </c>
      <c r="J543" s="0" t="inlineStr">
        <is>
          <t>NULL</t>
        </is>
      </c>
      <c r="K543" s="0" t="inlineStr">
        <is>
          <t>YES! 	 c_numeric列源备映射正确，源端为numeric None位	期望更改为decimal(p,s)	实际备端为decimal None位</t>
        </is>
      </c>
    </row>
    <row r="544">
      <c r="B544" s="0" t="inlineStr">
        <is>
          <t>NULL</t>
        </is>
      </c>
      <c r="C544" s="0" t="inlineStr">
        <is>
          <t>NULL</t>
        </is>
      </c>
      <c r="D544" s="0" t="inlineStr">
        <is>
          <t>NULL</t>
        </is>
      </c>
      <c r="E544" s="0" t="inlineStr">
        <is>
          <t>NULL</t>
        </is>
      </c>
      <c r="F544" s="0" t="inlineStr">
        <is>
          <t>NULL</t>
        </is>
      </c>
      <c r="G544" s="0" t="inlineStr">
        <is>
          <t>NULL</t>
        </is>
      </c>
      <c r="H544" s="0" t="inlineStr">
        <is>
          <t>NULL</t>
        </is>
      </c>
      <c r="I544" s="0" t="inlineStr">
        <is>
          <t>NULL</t>
        </is>
      </c>
      <c r="J544" s="0" t="inlineStr">
        <is>
          <t>NULL</t>
        </is>
      </c>
      <c r="K544" s="0" t="inlineStr">
        <is>
          <t>YES! 	 c_numeric38列源备映射正确，源端为numeric None位	期望更改为decimal(p,s)	实际备端为decimal None位</t>
        </is>
      </c>
    </row>
    <row r="545">
      <c r="B545" s="0" t="inlineStr">
        <is>
          <t>NULL</t>
        </is>
      </c>
      <c r="C545" s="0" t="inlineStr">
        <is>
          <t>NULL</t>
        </is>
      </c>
      <c r="D545" s="0" t="inlineStr">
        <is>
          <t>NULL</t>
        </is>
      </c>
      <c r="E545" s="0" t="inlineStr">
        <is>
          <t>NULL</t>
        </is>
      </c>
      <c r="F545" s="0" t="inlineStr">
        <is>
          <t>NULL</t>
        </is>
      </c>
      <c r="G545" s="0" t="inlineStr">
        <is>
          <t>NULL</t>
        </is>
      </c>
      <c r="H545" s="0" t="inlineStr">
        <is>
          <t>NULL</t>
        </is>
      </c>
      <c r="I545" s="0" t="inlineStr">
        <is>
          <t>NULL</t>
        </is>
      </c>
      <c r="J545" s="0" t="inlineStr">
        <is>
          <t>NULL</t>
        </is>
      </c>
      <c r="K545" s="0" t="inlineStr">
        <is>
          <t xml:space="preserve"> NO!  	 c_numeric38_38列源备映射错误，源端为numeric None位	期望更改为decimal(p,s)	实际备端为varchar 168位</t>
        </is>
      </c>
    </row>
    <row r="546">
      <c r="B546" s="0" t="inlineStr">
        <is>
          <t>NULL</t>
        </is>
      </c>
      <c r="C546" s="0" t="inlineStr">
        <is>
          <t>NULL</t>
        </is>
      </c>
      <c r="D546" s="0" t="inlineStr">
        <is>
          <t>NULL</t>
        </is>
      </c>
      <c r="E546" s="0" t="inlineStr">
        <is>
          <t>NULL</t>
        </is>
      </c>
      <c r="F546" s="0" t="inlineStr">
        <is>
          <t>NULL</t>
        </is>
      </c>
      <c r="G546" s="0" t="inlineStr">
        <is>
          <t>NULL</t>
        </is>
      </c>
      <c r="H546" s="0" t="inlineStr">
        <is>
          <t>NULL</t>
        </is>
      </c>
      <c r="I546" s="0" t="inlineStr">
        <is>
          <t>NULL</t>
        </is>
      </c>
      <c r="J546" s="0" t="inlineStr">
        <is>
          <t>NULL</t>
        </is>
      </c>
      <c r="K546" s="0" t="inlineStr">
        <is>
          <t>YES! 	 c_numeric38_10列源备映射正确，源端为numeric None位	期望更改为decimal(p,s)	实际备端为decimal None位</t>
        </is>
      </c>
    </row>
    <row r="547">
      <c r="B547" s="0" t="inlineStr">
        <is>
          <t>NULL</t>
        </is>
      </c>
      <c r="C547" s="0" t="inlineStr">
        <is>
          <t>NULL</t>
        </is>
      </c>
      <c r="D547" s="0" t="inlineStr">
        <is>
          <t>NULL</t>
        </is>
      </c>
      <c r="E547" s="0" t="inlineStr">
        <is>
          <t>NULL</t>
        </is>
      </c>
      <c r="F547" s="0" t="inlineStr">
        <is>
          <t>NULL</t>
        </is>
      </c>
      <c r="G547" s="0" t="inlineStr">
        <is>
          <t>NULL</t>
        </is>
      </c>
      <c r="H547" s="0" t="inlineStr">
        <is>
          <t>NULL</t>
        </is>
      </c>
      <c r="I547" s="0" t="inlineStr">
        <is>
          <t>NULL</t>
        </is>
      </c>
      <c r="J547" s="0" t="inlineStr">
        <is>
          <t>NULL</t>
        </is>
      </c>
      <c r="K547" s="0" t="inlineStr">
        <is>
          <t>YES! 	 c_numeric18_2列源备映射正确，源端为numeric None位	期望更改为decimal(p,s)	实际备端为decimal None位</t>
        </is>
      </c>
    </row>
    <row r="548">
      <c r="B548" s="0" t="inlineStr">
        <is>
          <t>NULL</t>
        </is>
      </c>
      <c r="C548" s="0" t="inlineStr">
        <is>
          <t>NULL</t>
        </is>
      </c>
      <c r="D548" s="0" t="inlineStr">
        <is>
          <t>NULL</t>
        </is>
      </c>
      <c r="E548" s="0" t="inlineStr">
        <is>
          <t>NULL</t>
        </is>
      </c>
      <c r="F548" s="0" t="inlineStr">
        <is>
          <t>NULL</t>
        </is>
      </c>
      <c r="G548" s="0" t="inlineStr">
        <is>
          <t>NULL</t>
        </is>
      </c>
      <c r="H548" s="0" t="inlineStr">
        <is>
          <t>NULL</t>
        </is>
      </c>
      <c r="I548" s="0" t="inlineStr">
        <is>
          <t>NULL</t>
        </is>
      </c>
      <c r="J548" s="0" t="inlineStr">
        <is>
          <t>NULL</t>
        </is>
      </c>
      <c r="K548" s="0" t="inlineStr">
        <is>
          <t>YES! 	 c_float列源备映射正确，源端为float None位	期望更改为double	实际备端为double None位</t>
        </is>
      </c>
    </row>
    <row r="549">
      <c r="B549" s="0" t="inlineStr">
        <is>
          <t>NULL</t>
        </is>
      </c>
      <c r="C549" s="0" t="inlineStr">
        <is>
          <t>NULL</t>
        </is>
      </c>
      <c r="D549" s="0" t="inlineStr">
        <is>
          <t>NULL</t>
        </is>
      </c>
      <c r="E549" s="0" t="inlineStr">
        <is>
          <t>NULL</t>
        </is>
      </c>
      <c r="F549" s="0" t="inlineStr">
        <is>
          <t>NULL</t>
        </is>
      </c>
      <c r="G549" s="0" t="inlineStr">
        <is>
          <t>NULL</t>
        </is>
      </c>
      <c r="H549" s="0" t="inlineStr">
        <is>
          <t>NULL</t>
        </is>
      </c>
      <c r="I549" s="0" t="inlineStr">
        <is>
          <t>NULL</t>
        </is>
      </c>
      <c r="J549" s="0" t="inlineStr">
        <is>
          <t>NULL</t>
        </is>
      </c>
      <c r="K549" s="0" t="inlineStr">
        <is>
          <t>YES! 	 c_real列源备映射正确，源端为real None位	期望更改为double	实际备端为double None位</t>
        </is>
      </c>
    </row>
    <row r="550">
      <c r="B550" s="0" t="inlineStr">
        <is>
          <t>NULL</t>
        </is>
      </c>
      <c r="C550" s="0" t="inlineStr">
        <is>
          <t>NULL</t>
        </is>
      </c>
      <c r="D550" s="0" t="inlineStr">
        <is>
          <t>NULL</t>
        </is>
      </c>
      <c r="E550" s="0" t="inlineStr">
        <is>
          <t>NULL</t>
        </is>
      </c>
      <c r="F550" s="0" t="inlineStr">
        <is>
          <t>NULL</t>
        </is>
      </c>
      <c r="G550" s="0" t="inlineStr">
        <is>
          <t>NULL</t>
        </is>
      </c>
      <c r="H550" s="0" t="inlineStr">
        <is>
          <t>NULL</t>
        </is>
      </c>
      <c r="I550" s="0" t="inlineStr">
        <is>
          <t>NULL</t>
        </is>
      </c>
      <c r="J550" s="0" t="inlineStr">
        <is>
          <t>NULL</t>
        </is>
      </c>
      <c r="K550" s="0" t="inlineStr">
        <is>
          <t>YES! 	 c_money列源备映射正确，源端为money None位	期望更改为decimal(19,4)	实际备端为decimal None位</t>
        </is>
      </c>
    </row>
    <row r="551">
      <c r="B551" s="0" t="inlineStr">
        <is>
          <t>NULL</t>
        </is>
      </c>
      <c r="C551" s="0" t="inlineStr">
        <is>
          <t>NULL</t>
        </is>
      </c>
      <c r="D551" s="0" t="inlineStr">
        <is>
          <t>NULL</t>
        </is>
      </c>
      <c r="E551" s="0" t="inlineStr">
        <is>
          <t>NULL</t>
        </is>
      </c>
      <c r="F551" s="0" t="inlineStr">
        <is>
          <t>NULL</t>
        </is>
      </c>
      <c r="G551" s="0" t="inlineStr">
        <is>
          <t>NULL</t>
        </is>
      </c>
      <c r="H551" s="0" t="inlineStr">
        <is>
          <t>NULL</t>
        </is>
      </c>
      <c r="I551" s="0" t="inlineStr">
        <is>
          <t>NULL</t>
        </is>
      </c>
      <c r="J551" s="0" t="inlineStr">
        <is>
          <t>NULL</t>
        </is>
      </c>
      <c r="K551" s="0" t="inlineStr">
        <is>
          <t>YES! 	 c_smallmoney列源备映射正确，源端为smallmoney None位	期望更改为decimal(10,4)	实际备端为decimal None位</t>
        </is>
      </c>
    </row>
    <row r="552">
      <c r="B552" s="0" t="inlineStr">
        <is>
          <t>NULL</t>
        </is>
      </c>
      <c r="C552" s="0" t="inlineStr">
        <is>
          <t>NO!源None备NUL</t>
        </is>
      </c>
      <c r="D552" s="0" t="inlineStr">
        <is>
          <t>NULL</t>
        </is>
      </c>
      <c r="E552" s="0" t="inlineStr">
        <is>
          <t>NULL</t>
        </is>
      </c>
      <c r="F552" s="0" t="inlineStr">
        <is>
          <t>NULL</t>
        </is>
      </c>
      <c r="G552" s="0" t="inlineStr">
        <is>
          <t>NULL</t>
        </is>
      </c>
      <c r="H552" s="0" t="inlineStr">
        <is>
          <t>NULL</t>
        </is>
      </c>
      <c r="I552" s="0" t="inlineStr">
        <is>
          <t>NULL</t>
        </is>
      </c>
      <c r="J552" s="0" t="inlineStr">
        <is>
          <t>NULL</t>
        </is>
      </c>
      <c r="K552" s="0" t="inlineStr">
        <is>
          <t>YES! 	 c_bit列源备映射正确，源端为bit None位	期望更改为tinyint(1) 	实际备端为tinyint None位</t>
        </is>
      </c>
    </row>
    <row r="553">
      <c r="A553" s="0" t="inlineStr">
        <is>
          <t>info_varchar_dml_batch2_pk_irp2</t>
        </is>
      </c>
      <c r="K553" s="0" t="inlineStr">
        <is>
          <t>[0;34m info_varchar_dml_batch2_pk_irp2 [0m源备字段数相同，源端字段：4 	备端字段4</t>
        </is>
      </c>
      <c r="W553" s="0" t="inlineStr">
        <is>
          <t>YES 源备无差异</t>
        </is>
      </c>
      <c r="X553" s="0">
        <f>A553</f>
        <v/>
      </c>
    </row>
    <row r="554">
      <c r="B554" s="0" t="inlineStr">
        <is>
          <t>YES</t>
        </is>
      </c>
      <c r="C554" s="0" t="inlineStr">
        <is>
          <t>NULL</t>
        </is>
      </c>
      <c r="D554" s="0" t="inlineStr">
        <is>
          <t>NULL</t>
        </is>
      </c>
      <c r="E554" s="0" t="inlineStr">
        <is>
          <t>NULL</t>
        </is>
      </c>
      <c r="F554" s="0" t="inlineStr">
        <is>
          <t>NULL</t>
        </is>
      </c>
      <c r="G554" s="0" t="inlineStr">
        <is>
          <t>NULL</t>
        </is>
      </c>
      <c r="H554" s="0" t="inlineStr">
        <is>
          <t>NULL</t>
        </is>
      </c>
      <c r="I554" s="0" t="inlineStr">
        <is>
          <t>YES!PK__info_var__3213E83F3FF2B9DE</t>
        </is>
      </c>
      <c r="J554" s="0" t="inlineStr">
        <is>
          <t>YES! 主键相关索引</t>
        </is>
      </c>
      <c r="K554" s="0" t="inlineStr">
        <is>
          <t>YES! 	 id列源备映射正确，源端为int None位	期望更改为int	实际备端为int None位</t>
        </is>
      </c>
    </row>
    <row r="555">
      <c r="B555" s="0" t="inlineStr">
        <is>
          <t>NULL</t>
        </is>
      </c>
      <c r="C555" s="0" t="inlineStr">
        <is>
          <t>NULL</t>
        </is>
      </c>
      <c r="D555" s="0" t="inlineStr">
        <is>
          <t>NULL</t>
        </is>
      </c>
      <c r="E555" s="0" t="inlineStr">
        <is>
          <t>NULL</t>
        </is>
      </c>
      <c r="F555" s="0" t="inlineStr">
        <is>
          <t>NULL</t>
        </is>
      </c>
      <c r="G555" s="0" t="inlineStr">
        <is>
          <t>NULL</t>
        </is>
      </c>
      <c r="H555" s="0" t="inlineStr">
        <is>
          <t>NULL</t>
        </is>
      </c>
      <c r="I555" s="0" t="inlineStr">
        <is>
          <t>NULL</t>
        </is>
      </c>
      <c r="J555" s="0" t="inlineStr">
        <is>
          <t>NULL</t>
        </is>
      </c>
      <c r="K555" s="0" t="inlineStr">
        <is>
          <t>YES! 	 c_varchar列源备映射正确，源端为varchar 1位	期望更改为varchar(n)	实际备端为varchar 4位</t>
        </is>
      </c>
    </row>
    <row r="556">
      <c r="B556" s="0" t="inlineStr">
        <is>
          <t>NULL</t>
        </is>
      </c>
      <c r="C556" s="0" t="inlineStr">
        <is>
          <t>NULL</t>
        </is>
      </c>
      <c r="D556" s="0" t="inlineStr">
        <is>
          <t>NULL</t>
        </is>
      </c>
      <c r="E556" s="0" t="inlineStr">
        <is>
          <t>NULL</t>
        </is>
      </c>
      <c r="F556" s="0" t="inlineStr">
        <is>
          <t>NULL</t>
        </is>
      </c>
      <c r="G556" s="0" t="inlineStr">
        <is>
          <t>NULL</t>
        </is>
      </c>
      <c r="H556" s="0" t="inlineStr">
        <is>
          <t>NULL</t>
        </is>
      </c>
      <c r="I556" s="0" t="inlineStr">
        <is>
          <t>NULL</t>
        </is>
      </c>
      <c r="J556" s="0" t="inlineStr">
        <is>
          <t>NULL</t>
        </is>
      </c>
      <c r="K556" s="0" t="inlineStr">
        <is>
          <t>YES! 	 c_varchar20列源备映射正确，源端为varchar 20位	期望更改为varchar(n)	实际备端为varchar 80位</t>
        </is>
      </c>
    </row>
    <row r="557">
      <c r="B557" s="0" t="inlineStr">
        <is>
          <t>NULL</t>
        </is>
      </c>
      <c r="C557" s="0" t="inlineStr">
        <is>
          <t>NULL</t>
        </is>
      </c>
      <c r="D557" s="0" t="inlineStr">
        <is>
          <t>NULL</t>
        </is>
      </c>
      <c r="E557" s="0" t="inlineStr">
        <is>
          <t>NULL</t>
        </is>
      </c>
      <c r="F557" s="0" t="inlineStr">
        <is>
          <t>NULL</t>
        </is>
      </c>
      <c r="G557" s="0" t="inlineStr">
        <is>
          <t>NULL</t>
        </is>
      </c>
      <c r="H557" s="0" t="inlineStr">
        <is>
          <t>NULL</t>
        </is>
      </c>
      <c r="I557" s="0" t="inlineStr">
        <is>
          <t>NULL</t>
        </is>
      </c>
      <c r="J557" s="0" t="inlineStr">
        <is>
          <t>NULL</t>
        </is>
      </c>
      <c r="K557" s="0" t="inlineStr">
        <is>
          <t xml:space="preserve"> NO!  	 c_varchar8000列源备映射错误，源端为varchar 8000位	期望更改为longtext	实际备端为text 65535位</t>
        </is>
      </c>
    </row>
    <row r="558">
      <c r="A558" s="0" t="inlineStr">
        <is>
          <t>info_nchar_dml_single_pk</t>
        </is>
      </c>
      <c r="K558" s="0" t="inlineStr">
        <is>
          <t>[0;34m info_nchar_dml_single_pk [0m源备字段数相同，源端字段：4 	备端字段4</t>
        </is>
      </c>
      <c r="W558" s="15">
        <f>HYPERLINK("#2026051816mysql2!BD2","NO 源备存在差异，共4个")</f>
        <v/>
      </c>
      <c r="X558" s="0">
        <f>A558</f>
        <v/>
      </c>
    </row>
    <row r="559">
      <c r="B559" s="0" t="inlineStr">
        <is>
          <t>YES</t>
        </is>
      </c>
      <c r="C559" s="0" t="inlineStr">
        <is>
          <t>NULL</t>
        </is>
      </c>
      <c r="D559" s="0" t="inlineStr">
        <is>
          <t>NULL</t>
        </is>
      </c>
      <c r="E559" s="0" t="inlineStr">
        <is>
          <t>NULL</t>
        </is>
      </c>
      <c r="F559" s="0" t="inlineStr">
        <is>
          <t>NULL</t>
        </is>
      </c>
      <c r="G559" s="0" t="inlineStr">
        <is>
          <t>NULL</t>
        </is>
      </c>
      <c r="H559" s="0" t="inlineStr">
        <is>
          <t>NULL</t>
        </is>
      </c>
      <c r="I559" s="0" t="inlineStr">
        <is>
          <t>YES!PK__info_nch__3213E83F0FC1BC65</t>
        </is>
      </c>
      <c r="J559" s="0" t="inlineStr">
        <is>
          <t>YES! 主键相关索引</t>
        </is>
      </c>
      <c r="K559" s="0" t="inlineStr">
        <is>
          <t>YES! 	 id列源备映射正确，源端为int None位	期望更改为int	实际备端为int None位</t>
        </is>
      </c>
    </row>
    <row r="560">
      <c r="B560" s="0" t="inlineStr">
        <is>
          <t>NULL</t>
        </is>
      </c>
      <c r="C560" s="0" t="inlineStr">
        <is>
          <t>NULL</t>
        </is>
      </c>
      <c r="D560" s="0" t="inlineStr">
        <is>
          <t>NULL</t>
        </is>
      </c>
      <c r="E560" s="0" t="inlineStr">
        <is>
          <t>NULL</t>
        </is>
      </c>
      <c r="F560" s="0" t="inlineStr">
        <is>
          <t>NULL</t>
        </is>
      </c>
      <c r="G560" s="0" t="inlineStr">
        <is>
          <t>NULL</t>
        </is>
      </c>
      <c r="H560" s="0" t="inlineStr">
        <is>
          <t>NULL</t>
        </is>
      </c>
      <c r="I560" s="0" t="inlineStr">
        <is>
          <t>NULL</t>
        </is>
      </c>
      <c r="J560" s="0" t="inlineStr">
        <is>
          <t>NULL</t>
        </is>
      </c>
      <c r="K560" s="0" t="inlineStr">
        <is>
          <t>YES! 	 c_nchar列源备映射正确，源端为nchar 2位	期望更改为char(n)	实际备端为char 4位</t>
        </is>
      </c>
    </row>
    <row r="561">
      <c r="B561" s="0" t="inlineStr">
        <is>
          <t>NULL</t>
        </is>
      </c>
      <c r="C561" s="0" t="inlineStr">
        <is>
          <t>NULL</t>
        </is>
      </c>
      <c r="D561" s="0" t="inlineStr">
        <is>
          <t>NULL</t>
        </is>
      </c>
      <c r="E561" s="0" t="inlineStr">
        <is>
          <t>NULL</t>
        </is>
      </c>
      <c r="F561" s="0" t="inlineStr">
        <is>
          <t>NULL</t>
        </is>
      </c>
      <c r="G561" s="0" t="inlineStr">
        <is>
          <t>NULL</t>
        </is>
      </c>
      <c r="H561" s="0" t="inlineStr">
        <is>
          <t>NULL</t>
        </is>
      </c>
      <c r="I561" s="0" t="inlineStr">
        <is>
          <t>NULL</t>
        </is>
      </c>
      <c r="J561" s="0" t="inlineStr">
        <is>
          <t>NULL</t>
        </is>
      </c>
      <c r="K561" s="0" t="inlineStr">
        <is>
          <t>YES! 	 c_nchar20列源备映射正确，源端为nchar 40位	期望更改为char(n)	实际备端为char 80位</t>
        </is>
      </c>
    </row>
    <row r="562">
      <c r="B562" s="0" t="inlineStr">
        <is>
          <t>NULL</t>
        </is>
      </c>
      <c r="C562" s="0" t="inlineStr">
        <is>
          <t>NULL</t>
        </is>
      </c>
      <c r="D562" s="0" t="inlineStr">
        <is>
          <t>NULL</t>
        </is>
      </c>
      <c r="E562" s="0" t="inlineStr">
        <is>
          <t>NULL</t>
        </is>
      </c>
      <c r="F562" s="0" t="inlineStr">
        <is>
          <t>NULL</t>
        </is>
      </c>
      <c r="G562" s="0" t="inlineStr">
        <is>
          <t>NULL</t>
        </is>
      </c>
      <c r="H562" s="0" t="inlineStr">
        <is>
          <t>NULL</t>
        </is>
      </c>
      <c r="I562" s="0" t="inlineStr">
        <is>
          <t>NULL</t>
        </is>
      </c>
      <c r="J562" s="0" t="inlineStr">
        <is>
          <t>NULL</t>
        </is>
      </c>
      <c r="K562" s="0" t="inlineStr">
        <is>
          <t xml:space="preserve"> NO!  	 c_nchar3500列源备映射错误，源端为nchar 7000位	期望更改为varchar(n)	实际备端为text 65535位</t>
        </is>
      </c>
    </row>
    <row r="563">
      <c r="A563" s="0" t="inlineStr">
        <is>
          <t>info_sql_variant_dml_single_pk_drp</t>
        </is>
      </c>
      <c r="K563" s="0" t="inlineStr">
        <is>
          <t>[0;34m info_sql_variant_dml_single_pk_drp [0m源备字段数相同，源端字段：25 	备端字段25</t>
        </is>
      </c>
      <c r="W563" s="15">
        <f>HYPERLINK("#2026051816mysql2!BE2","NO 源备存在差异，共2个")</f>
        <v/>
      </c>
      <c r="X563" s="0">
        <f>A563</f>
        <v/>
      </c>
    </row>
    <row r="564">
      <c r="B564" s="0" t="inlineStr">
        <is>
          <t>YES</t>
        </is>
      </c>
      <c r="C564" s="0" t="inlineStr">
        <is>
          <t>NULL</t>
        </is>
      </c>
      <c r="D564" s="0" t="inlineStr">
        <is>
          <t>NULL</t>
        </is>
      </c>
      <c r="E564" s="0" t="inlineStr">
        <is>
          <t>NULL</t>
        </is>
      </c>
      <c r="F564" s="0" t="inlineStr">
        <is>
          <t>NULL</t>
        </is>
      </c>
      <c r="G564" s="0" t="inlineStr">
        <is>
          <t>NULL</t>
        </is>
      </c>
      <c r="H564" s="0" t="inlineStr">
        <is>
          <t>NULL</t>
        </is>
      </c>
      <c r="I564" s="0" t="inlineStr">
        <is>
          <t>YES!PK__info_sql__3213E83FE63D4520</t>
        </is>
      </c>
      <c r="J564" s="0" t="inlineStr">
        <is>
          <t>YES! 主键相关索引</t>
        </is>
      </c>
      <c r="K564" s="0" t="inlineStr">
        <is>
          <t>YES! 	 id列源备映射正确，源端为int None位	期望更改为int	实际备端为int None位</t>
        </is>
      </c>
    </row>
    <row r="565">
      <c r="B565" s="0" t="inlineStr">
        <is>
          <t>NULL</t>
        </is>
      </c>
      <c r="C565" s="0" t="inlineStr">
        <is>
          <t>NULL</t>
        </is>
      </c>
      <c r="D565" s="0" t="inlineStr">
        <is>
          <t>NULL</t>
        </is>
      </c>
      <c r="E565" s="0" t="inlineStr">
        <is>
          <t>NULL</t>
        </is>
      </c>
      <c r="F565" s="0" t="inlineStr">
        <is>
          <t>NULL</t>
        </is>
      </c>
      <c r="G565" s="0" t="inlineStr">
        <is>
          <t>NULL</t>
        </is>
      </c>
      <c r="H565" s="0" t="inlineStr">
        <is>
          <t>NULL</t>
        </is>
      </c>
      <c r="I565" s="0" t="inlineStr">
        <is>
          <t>NULL</t>
        </is>
      </c>
      <c r="J565" s="0" t="inlineStr">
        <is>
          <t>NULL</t>
        </is>
      </c>
      <c r="K565" s="0" t="inlineStr">
        <is>
          <t>[0;32m YES! [0m 	 c_date列源备映射正确，源端为sql_variant 0位	期望更改为VARCHAR(255)	实际备端为varchar 1020位	位数精度不存在，通过长度比较</t>
        </is>
      </c>
    </row>
    <row r="566">
      <c r="B566" s="0" t="inlineStr">
        <is>
          <t>NULL</t>
        </is>
      </c>
      <c r="C566" s="0" t="inlineStr">
        <is>
          <t>NULL</t>
        </is>
      </c>
      <c r="D566" s="0" t="inlineStr">
        <is>
          <t>NULL</t>
        </is>
      </c>
      <c r="E566" s="0" t="inlineStr">
        <is>
          <t>NULL</t>
        </is>
      </c>
      <c r="F566" s="0" t="inlineStr">
        <is>
          <t>NULL</t>
        </is>
      </c>
      <c r="G566" s="0" t="inlineStr">
        <is>
          <t>NULL</t>
        </is>
      </c>
      <c r="H566" s="0" t="inlineStr">
        <is>
          <t>NULL</t>
        </is>
      </c>
      <c r="I566" s="0" t="inlineStr">
        <is>
          <t>NULL</t>
        </is>
      </c>
      <c r="J566" s="0" t="inlineStr">
        <is>
          <t>NULL</t>
        </is>
      </c>
      <c r="K566" s="0" t="inlineStr">
        <is>
          <t>[0;32m YES! [0m 	 c_time列源备映射正确，源端为sql_variant 0位	期望更改为VARCHAR(255)	实际备端为varchar 1020位	位数精度不存在，通过长度比较</t>
        </is>
      </c>
    </row>
    <row r="567">
      <c r="B567" s="0" t="inlineStr">
        <is>
          <t>NULL</t>
        </is>
      </c>
      <c r="C567" s="0" t="inlineStr">
        <is>
          <t>NULL</t>
        </is>
      </c>
      <c r="D567" s="0" t="inlineStr">
        <is>
          <t>NULL</t>
        </is>
      </c>
      <c r="E567" s="0" t="inlineStr">
        <is>
          <t>NULL</t>
        </is>
      </c>
      <c r="F567" s="0" t="inlineStr">
        <is>
          <t>NULL</t>
        </is>
      </c>
      <c r="G567" s="0" t="inlineStr">
        <is>
          <t>NULL</t>
        </is>
      </c>
      <c r="H567" s="0" t="inlineStr">
        <is>
          <t>NULL</t>
        </is>
      </c>
      <c r="I567" s="0" t="inlineStr">
        <is>
          <t>NULL</t>
        </is>
      </c>
      <c r="J567" s="0" t="inlineStr">
        <is>
          <t>NULL</t>
        </is>
      </c>
      <c r="K567" s="0" t="inlineStr">
        <is>
          <t>[0;32m YES! [0m 	 c_datetime2列源备映射正确，源端为sql_variant 0位	期望更改为VARCHAR(255)	实际备端为varchar 1020位	位数精度不存在，通过长度比较</t>
        </is>
      </c>
    </row>
    <row r="568">
      <c r="B568" s="0" t="inlineStr">
        <is>
          <t>NULL</t>
        </is>
      </c>
      <c r="C568" s="0" t="inlineStr">
        <is>
          <t>NULL</t>
        </is>
      </c>
      <c r="D568" s="0" t="inlineStr">
        <is>
          <t>NULL</t>
        </is>
      </c>
      <c r="E568" s="0" t="inlineStr">
        <is>
          <t>NULL</t>
        </is>
      </c>
      <c r="F568" s="0" t="inlineStr">
        <is>
          <t>NULL</t>
        </is>
      </c>
      <c r="G568" s="0" t="inlineStr">
        <is>
          <t>NULL</t>
        </is>
      </c>
      <c r="H568" s="0" t="inlineStr">
        <is>
          <t>NULL</t>
        </is>
      </c>
      <c r="I568" s="0" t="inlineStr">
        <is>
          <t>NULL</t>
        </is>
      </c>
      <c r="J568" s="0" t="inlineStr">
        <is>
          <t>NULL</t>
        </is>
      </c>
      <c r="K568" s="0" t="inlineStr">
        <is>
          <t>[0;32m YES! [0m 	 c_datetimeoffset列源备映射正确，源端为sql_variant 0位	期望更改为VARCHAR(255)	实际备端为varchar 1020位	位数精度不存在，通过长度比较</t>
        </is>
      </c>
    </row>
    <row r="569">
      <c r="B569" s="0" t="inlineStr">
        <is>
          <t>NULL</t>
        </is>
      </c>
      <c r="C569" s="0" t="inlineStr">
        <is>
          <t>NULL</t>
        </is>
      </c>
      <c r="D569" s="0" t="inlineStr">
        <is>
          <t>NULL</t>
        </is>
      </c>
      <c r="E569" s="0" t="inlineStr">
        <is>
          <t>NULL</t>
        </is>
      </c>
      <c r="F569" s="0" t="inlineStr">
        <is>
          <t>NULL</t>
        </is>
      </c>
      <c r="G569" s="0" t="inlineStr">
        <is>
          <t>NULL</t>
        </is>
      </c>
      <c r="H569" s="0" t="inlineStr">
        <is>
          <t>NULL</t>
        </is>
      </c>
      <c r="I569" s="0" t="inlineStr">
        <is>
          <t>NULL</t>
        </is>
      </c>
      <c r="J569" s="0" t="inlineStr">
        <is>
          <t>NULL</t>
        </is>
      </c>
      <c r="K569" s="0" t="inlineStr">
        <is>
          <t>[0;32m YES! [0m 	 c_tinyint列源备映射正确，源端为sql_variant 0位	期望更改为VARCHAR(255)	实际备端为varchar 1020位	位数精度不存在，通过长度比较</t>
        </is>
      </c>
    </row>
    <row r="570">
      <c r="B570" s="0" t="inlineStr">
        <is>
          <t>NULL</t>
        </is>
      </c>
      <c r="C570" s="0" t="inlineStr">
        <is>
          <t>NULL</t>
        </is>
      </c>
      <c r="D570" s="0" t="inlineStr">
        <is>
          <t>NULL</t>
        </is>
      </c>
      <c r="E570" s="0" t="inlineStr">
        <is>
          <t>NULL</t>
        </is>
      </c>
      <c r="F570" s="0" t="inlineStr">
        <is>
          <t>NULL</t>
        </is>
      </c>
      <c r="G570" s="0" t="inlineStr">
        <is>
          <t>NULL</t>
        </is>
      </c>
      <c r="H570" s="0" t="inlineStr">
        <is>
          <t>NULL</t>
        </is>
      </c>
      <c r="I570" s="0" t="inlineStr">
        <is>
          <t>NULL</t>
        </is>
      </c>
      <c r="J570" s="0" t="inlineStr">
        <is>
          <t>NULL</t>
        </is>
      </c>
      <c r="K570" s="0" t="inlineStr">
        <is>
          <t>[0;32m YES! [0m 	 c_smallint列源备映射正确，源端为sql_variant 0位	期望更改为VARCHAR(255)	实际备端为varchar 1020位	位数精度不存在，通过长度比较</t>
        </is>
      </c>
    </row>
    <row r="571">
      <c r="B571" s="0" t="inlineStr">
        <is>
          <t>NULL</t>
        </is>
      </c>
      <c r="C571" s="0" t="inlineStr">
        <is>
          <t>NULL</t>
        </is>
      </c>
      <c r="D571" s="0" t="inlineStr">
        <is>
          <t>NULL</t>
        </is>
      </c>
      <c r="E571" s="0" t="inlineStr">
        <is>
          <t>NULL</t>
        </is>
      </c>
      <c r="F571" s="0" t="inlineStr">
        <is>
          <t>NULL</t>
        </is>
      </c>
      <c r="G571" s="0" t="inlineStr">
        <is>
          <t>NULL</t>
        </is>
      </c>
      <c r="H571" s="0" t="inlineStr">
        <is>
          <t>NULL</t>
        </is>
      </c>
      <c r="I571" s="0" t="inlineStr">
        <is>
          <t>NULL</t>
        </is>
      </c>
      <c r="J571" s="0" t="inlineStr">
        <is>
          <t>NULL</t>
        </is>
      </c>
      <c r="K571" s="0" t="inlineStr">
        <is>
          <t>[0;32m YES! [0m 	 c_int列源备映射正确，源端为sql_variant 0位	期望更改为VARCHAR(255)	实际备端为varchar 1020位	位数精度不存在，通过长度比较</t>
        </is>
      </c>
    </row>
    <row r="572">
      <c r="B572" s="0" t="inlineStr">
        <is>
          <t>NULL</t>
        </is>
      </c>
      <c r="C572" s="0" t="inlineStr">
        <is>
          <t>NULL</t>
        </is>
      </c>
      <c r="D572" s="0" t="inlineStr">
        <is>
          <t>NULL</t>
        </is>
      </c>
      <c r="E572" s="0" t="inlineStr">
        <is>
          <t>NULL</t>
        </is>
      </c>
      <c r="F572" s="0" t="inlineStr">
        <is>
          <t>NULL</t>
        </is>
      </c>
      <c r="G572" s="0" t="inlineStr">
        <is>
          <t>NULL</t>
        </is>
      </c>
      <c r="H572" s="0" t="inlineStr">
        <is>
          <t>NULL</t>
        </is>
      </c>
      <c r="I572" s="0" t="inlineStr">
        <is>
          <t>NULL</t>
        </is>
      </c>
      <c r="J572" s="0" t="inlineStr">
        <is>
          <t>NULL</t>
        </is>
      </c>
      <c r="K572" s="0" t="inlineStr">
        <is>
          <t>[0;32m YES! [0m 	 c_sdt列源备映射正确，源端为sql_variant 0位	期望更改为VARCHAR(255)	实际备端为varchar 1020位	位数精度不存在，通过长度比较</t>
        </is>
      </c>
    </row>
    <row r="573">
      <c r="B573" s="0" t="inlineStr">
        <is>
          <t>NULL</t>
        </is>
      </c>
      <c r="C573" s="0" t="inlineStr">
        <is>
          <t>NULL</t>
        </is>
      </c>
      <c r="D573" s="0" t="inlineStr">
        <is>
          <t>NULL</t>
        </is>
      </c>
      <c r="E573" s="0" t="inlineStr">
        <is>
          <t>NULL</t>
        </is>
      </c>
      <c r="F573" s="0" t="inlineStr">
        <is>
          <t>NULL</t>
        </is>
      </c>
      <c r="G573" s="0" t="inlineStr">
        <is>
          <t>NULL</t>
        </is>
      </c>
      <c r="H573" s="0" t="inlineStr">
        <is>
          <t>NULL</t>
        </is>
      </c>
      <c r="I573" s="0" t="inlineStr">
        <is>
          <t>NULL</t>
        </is>
      </c>
      <c r="J573" s="0" t="inlineStr">
        <is>
          <t>NULL</t>
        </is>
      </c>
      <c r="K573" s="0" t="inlineStr">
        <is>
          <t>[0;32m YES! [0m 	 c_real列源备映射正确，源端为sql_variant 0位	期望更改为VARCHAR(255)	实际备端为varchar 1020位	位数精度不存在，通过长度比较</t>
        </is>
      </c>
    </row>
    <row r="574">
      <c r="B574" s="0" t="inlineStr">
        <is>
          <t>NULL</t>
        </is>
      </c>
      <c r="C574" s="0" t="inlineStr">
        <is>
          <t>NULL</t>
        </is>
      </c>
      <c r="D574" s="0" t="inlineStr">
        <is>
          <t>NULL</t>
        </is>
      </c>
      <c r="E574" s="0" t="inlineStr">
        <is>
          <t>NULL</t>
        </is>
      </c>
      <c r="F574" s="0" t="inlineStr">
        <is>
          <t>NULL</t>
        </is>
      </c>
      <c r="G574" s="0" t="inlineStr">
        <is>
          <t>NULL</t>
        </is>
      </c>
      <c r="H574" s="0" t="inlineStr">
        <is>
          <t>NULL</t>
        </is>
      </c>
      <c r="I574" s="0" t="inlineStr">
        <is>
          <t>NULL</t>
        </is>
      </c>
      <c r="J574" s="0" t="inlineStr">
        <is>
          <t>NULL</t>
        </is>
      </c>
      <c r="K574" s="0" t="inlineStr">
        <is>
          <t>[0;32m YES! [0m 	 c_money列源备映射正确，源端为sql_variant 0位	期望更改为VARCHAR(255)	实际备端为varchar 1020位	位数精度不存在，通过长度比较</t>
        </is>
      </c>
    </row>
    <row r="575">
      <c r="B575" s="0" t="inlineStr">
        <is>
          <t>NULL</t>
        </is>
      </c>
      <c r="C575" s="0" t="inlineStr">
        <is>
          <t>NULL</t>
        </is>
      </c>
      <c r="D575" s="0" t="inlineStr">
        <is>
          <t>NULL</t>
        </is>
      </c>
      <c r="E575" s="0" t="inlineStr">
        <is>
          <t>NULL</t>
        </is>
      </c>
      <c r="F575" s="0" t="inlineStr">
        <is>
          <t>NULL</t>
        </is>
      </c>
      <c r="G575" s="0" t="inlineStr">
        <is>
          <t>NULL</t>
        </is>
      </c>
      <c r="H575" s="0" t="inlineStr">
        <is>
          <t>NULL</t>
        </is>
      </c>
      <c r="I575" s="0" t="inlineStr">
        <is>
          <t>NULL</t>
        </is>
      </c>
      <c r="J575" s="0" t="inlineStr">
        <is>
          <t>NULL</t>
        </is>
      </c>
      <c r="K575" s="0" t="inlineStr">
        <is>
          <t>[0;32m YES! [0m 	 c_datetime列源备映射正确，源端为sql_variant 0位	期望更改为VARCHAR(255)	实际备端为varchar 1020位	位数精度不存在，通过长度比较</t>
        </is>
      </c>
    </row>
    <row r="576">
      <c r="B576" s="0" t="inlineStr">
        <is>
          <t>NULL</t>
        </is>
      </c>
      <c r="C576" s="0" t="inlineStr">
        <is>
          <t>NULL</t>
        </is>
      </c>
      <c r="D576" s="0" t="inlineStr">
        <is>
          <t>NULL</t>
        </is>
      </c>
      <c r="E576" s="0" t="inlineStr">
        <is>
          <t>NULL</t>
        </is>
      </c>
      <c r="F576" s="0" t="inlineStr">
        <is>
          <t>NULL</t>
        </is>
      </c>
      <c r="G576" s="0" t="inlineStr">
        <is>
          <t>NULL</t>
        </is>
      </c>
      <c r="H576" s="0" t="inlineStr">
        <is>
          <t>NULL</t>
        </is>
      </c>
      <c r="I576" s="0" t="inlineStr">
        <is>
          <t>NULL</t>
        </is>
      </c>
      <c r="J576" s="0" t="inlineStr">
        <is>
          <t>NULL</t>
        </is>
      </c>
      <c r="K576" s="0" t="inlineStr">
        <is>
          <t>[0;32m YES! [0m 	 c_float列源备映射正确，源端为sql_variant 0位	期望更改为VARCHAR(255)	实际备端为varchar 1020位	位数精度不存在，通过长度比较</t>
        </is>
      </c>
    </row>
    <row r="577">
      <c r="B577" s="0" t="inlineStr">
        <is>
          <t>NULL</t>
        </is>
      </c>
      <c r="C577" s="0" t="inlineStr">
        <is>
          <t>NULL</t>
        </is>
      </c>
      <c r="D577" s="0" t="inlineStr">
        <is>
          <t>NULL</t>
        </is>
      </c>
      <c r="E577" s="0" t="inlineStr">
        <is>
          <t>NULL</t>
        </is>
      </c>
      <c r="F577" s="0" t="inlineStr">
        <is>
          <t>NULL</t>
        </is>
      </c>
      <c r="G577" s="0" t="inlineStr">
        <is>
          <t>NULL</t>
        </is>
      </c>
      <c r="H577" s="0" t="inlineStr">
        <is>
          <t>NULL</t>
        </is>
      </c>
      <c r="I577" s="0" t="inlineStr">
        <is>
          <t>NULL</t>
        </is>
      </c>
      <c r="J577" s="0" t="inlineStr">
        <is>
          <t>NULL</t>
        </is>
      </c>
      <c r="K577" s="0" t="inlineStr">
        <is>
          <t>[0;32m YES! [0m 	 c_bit列源备映射正确，源端为sql_variant 0位	期望更改为VARCHAR(255)	实际备端为varchar 1020位	位数精度不存在，通过长度比较</t>
        </is>
      </c>
    </row>
    <row r="578">
      <c r="B578" s="0" t="inlineStr">
        <is>
          <t>NULL</t>
        </is>
      </c>
      <c r="C578" s="0" t="inlineStr">
        <is>
          <t>NULL</t>
        </is>
      </c>
      <c r="D578" s="0" t="inlineStr">
        <is>
          <t>NULL</t>
        </is>
      </c>
      <c r="E578" s="0" t="inlineStr">
        <is>
          <t>NULL</t>
        </is>
      </c>
      <c r="F578" s="0" t="inlineStr">
        <is>
          <t>NULL</t>
        </is>
      </c>
      <c r="G578" s="0" t="inlineStr">
        <is>
          <t>NULL</t>
        </is>
      </c>
      <c r="H578" s="0" t="inlineStr">
        <is>
          <t>NULL</t>
        </is>
      </c>
      <c r="I578" s="0" t="inlineStr">
        <is>
          <t>NULL</t>
        </is>
      </c>
      <c r="J578" s="0" t="inlineStr">
        <is>
          <t>NULL</t>
        </is>
      </c>
      <c r="K578" s="0" t="inlineStr">
        <is>
          <t>[0;32m YES! [0m 	 c_decimal列源备映射正确，源端为sql_variant 0位	期望更改为VARCHAR(255)	实际备端为varchar 1020位	位数精度不存在，通过长度比较</t>
        </is>
      </c>
    </row>
    <row r="579">
      <c r="B579" s="0" t="inlineStr">
        <is>
          <t>NULL</t>
        </is>
      </c>
      <c r="C579" s="0" t="inlineStr">
        <is>
          <t>NULL</t>
        </is>
      </c>
      <c r="D579" s="0" t="inlineStr">
        <is>
          <t>NULL</t>
        </is>
      </c>
      <c r="E579" s="0" t="inlineStr">
        <is>
          <t>NULL</t>
        </is>
      </c>
      <c r="F579" s="0" t="inlineStr">
        <is>
          <t>NULL</t>
        </is>
      </c>
      <c r="G579" s="0" t="inlineStr">
        <is>
          <t>NULL</t>
        </is>
      </c>
      <c r="H579" s="0" t="inlineStr">
        <is>
          <t>NULL</t>
        </is>
      </c>
      <c r="I579" s="0" t="inlineStr">
        <is>
          <t>NULL</t>
        </is>
      </c>
      <c r="J579" s="0" t="inlineStr">
        <is>
          <t>NULL</t>
        </is>
      </c>
      <c r="K579" s="0" t="inlineStr">
        <is>
          <t>[0;32m YES! [0m 	 c_uniqueidentifier列源备映射正确，源端为sql_variant 0位	期望更改为VARCHAR(255)	实际备端为varchar 1020位	位数精度不存在，通过长度比较</t>
        </is>
      </c>
    </row>
    <row r="580">
      <c r="B580" s="0" t="inlineStr">
        <is>
          <t>NULL</t>
        </is>
      </c>
      <c r="C580" s="0" t="inlineStr">
        <is>
          <t>NULL</t>
        </is>
      </c>
      <c r="D580" s="0" t="inlineStr">
        <is>
          <t>NULL</t>
        </is>
      </c>
      <c r="E580" s="0" t="inlineStr">
        <is>
          <t>NULL</t>
        </is>
      </c>
      <c r="F580" s="0" t="inlineStr">
        <is>
          <t>NULL</t>
        </is>
      </c>
      <c r="G580" s="0" t="inlineStr">
        <is>
          <t>NULL</t>
        </is>
      </c>
      <c r="H580" s="0" t="inlineStr">
        <is>
          <t>NULL</t>
        </is>
      </c>
      <c r="I580" s="0" t="inlineStr">
        <is>
          <t>NULL</t>
        </is>
      </c>
      <c r="J580" s="0" t="inlineStr">
        <is>
          <t>NULL</t>
        </is>
      </c>
      <c r="K580" s="0" t="inlineStr">
        <is>
          <t>[0;32m YES! [0m 	 c_smallmoney列源备映射正确，源端为sql_variant 0位	期望更改为VARCHAR(255)	实际备端为varchar 1020位	位数精度不存在，通过长度比较</t>
        </is>
      </c>
    </row>
    <row r="581">
      <c r="B581" s="0" t="inlineStr">
        <is>
          <t>NULL</t>
        </is>
      </c>
      <c r="C581" s="0" t="inlineStr">
        <is>
          <t>NULL</t>
        </is>
      </c>
      <c r="D581" s="0" t="inlineStr">
        <is>
          <t>NULL</t>
        </is>
      </c>
      <c r="E581" s="0" t="inlineStr">
        <is>
          <t>NULL</t>
        </is>
      </c>
      <c r="F581" s="0" t="inlineStr">
        <is>
          <t>NULL</t>
        </is>
      </c>
      <c r="G581" s="0" t="inlineStr">
        <is>
          <t>NULL</t>
        </is>
      </c>
      <c r="H581" s="0" t="inlineStr">
        <is>
          <t>NULL</t>
        </is>
      </c>
      <c r="I581" s="0" t="inlineStr">
        <is>
          <t>NULL</t>
        </is>
      </c>
      <c r="J581" s="0" t="inlineStr">
        <is>
          <t>NULL</t>
        </is>
      </c>
      <c r="K581" s="0" t="inlineStr">
        <is>
          <t>[0;32m YES! [0m 	 c_bigint列源备映射正确，源端为sql_variant 0位	期望更改为VARCHAR(255)	实际备端为varchar 1020位	位数精度不存在，通过长度比较</t>
        </is>
      </c>
    </row>
    <row r="582">
      <c r="B582" s="0" t="inlineStr">
        <is>
          <t>NULL</t>
        </is>
      </c>
      <c r="C582" s="0" t="inlineStr">
        <is>
          <t>NULL</t>
        </is>
      </c>
      <c r="D582" s="0" t="inlineStr">
        <is>
          <t>NULL</t>
        </is>
      </c>
      <c r="E582" s="0" t="inlineStr">
        <is>
          <t>NULL</t>
        </is>
      </c>
      <c r="F582" s="0" t="inlineStr">
        <is>
          <t>NULL</t>
        </is>
      </c>
      <c r="G582" s="0" t="inlineStr">
        <is>
          <t>NULL</t>
        </is>
      </c>
      <c r="H582" s="0" t="inlineStr">
        <is>
          <t>NULL</t>
        </is>
      </c>
      <c r="I582" s="0" t="inlineStr">
        <is>
          <t>NULL</t>
        </is>
      </c>
      <c r="J582" s="0" t="inlineStr">
        <is>
          <t>NULL</t>
        </is>
      </c>
      <c r="K582" s="0" t="inlineStr">
        <is>
          <t>[0;32m YES! [0m 	 c_varbinary_20列源备映射正确，源端为sql_variant 0位	期望更改为VARCHAR(255)	实际备端为varchar 1020位	位数精度不存在，通过长度比较</t>
        </is>
      </c>
    </row>
    <row r="583">
      <c r="B583" s="0" t="inlineStr">
        <is>
          <t>NULL</t>
        </is>
      </c>
      <c r="C583" s="0" t="inlineStr">
        <is>
          <t>NULL</t>
        </is>
      </c>
      <c r="D583" s="0" t="inlineStr">
        <is>
          <t>NULL</t>
        </is>
      </c>
      <c r="E583" s="0" t="inlineStr">
        <is>
          <t>NULL</t>
        </is>
      </c>
      <c r="F583" s="0" t="inlineStr">
        <is>
          <t>NULL</t>
        </is>
      </c>
      <c r="G583" s="0" t="inlineStr">
        <is>
          <t>NULL</t>
        </is>
      </c>
      <c r="H583" s="0" t="inlineStr">
        <is>
          <t>NULL</t>
        </is>
      </c>
      <c r="I583" s="0" t="inlineStr">
        <is>
          <t>NULL</t>
        </is>
      </c>
      <c r="J583" s="0" t="inlineStr">
        <is>
          <t>NULL</t>
        </is>
      </c>
      <c r="K583" s="0" t="inlineStr">
        <is>
          <t>[0;32m YES! [0m 	 c_varchar_20列源备映射正确，源端为sql_variant 0位	期望更改为VARCHAR(255)	实际备端为varchar 1020位	位数精度不存在，通过长度比较</t>
        </is>
      </c>
    </row>
    <row r="584">
      <c r="B584" s="0" t="inlineStr">
        <is>
          <t>NULL</t>
        </is>
      </c>
      <c r="C584" s="0" t="inlineStr">
        <is>
          <t>NULL</t>
        </is>
      </c>
      <c r="D584" s="0" t="inlineStr">
        <is>
          <t>NULL</t>
        </is>
      </c>
      <c r="E584" s="0" t="inlineStr">
        <is>
          <t>NULL</t>
        </is>
      </c>
      <c r="F584" s="0" t="inlineStr">
        <is>
          <t>NULL</t>
        </is>
      </c>
      <c r="G584" s="0" t="inlineStr">
        <is>
          <t>NULL</t>
        </is>
      </c>
      <c r="H584" s="0" t="inlineStr">
        <is>
          <t>NULL</t>
        </is>
      </c>
      <c r="I584" s="0" t="inlineStr">
        <is>
          <t>NULL</t>
        </is>
      </c>
      <c r="J584" s="0" t="inlineStr">
        <is>
          <t>NULL</t>
        </is>
      </c>
      <c r="K584" s="0" t="inlineStr">
        <is>
          <t>[0;32m YES! [0m 	 c_binary_20列源备映射正确，源端为sql_variant 0位	期望更改为VARCHAR(255)	实际备端为varchar 1020位	位数精度不存在，通过长度比较</t>
        </is>
      </c>
    </row>
    <row r="585">
      <c r="B585" s="0" t="inlineStr">
        <is>
          <t>NULL</t>
        </is>
      </c>
      <c r="C585" s="0" t="inlineStr">
        <is>
          <t>NULL</t>
        </is>
      </c>
      <c r="D585" s="0" t="inlineStr">
        <is>
          <t>NULL</t>
        </is>
      </c>
      <c r="E585" s="0" t="inlineStr">
        <is>
          <t>NULL</t>
        </is>
      </c>
      <c r="F585" s="0" t="inlineStr">
        <is>
          <t>NULL</t>
        </is>
      </c>
      <c r="G585" s="0" t="inlineStr">
        <is>
          <t>NULL</t>
        </is>
      </c>
      <c r="H585" s="0" t="inlineStr">
        <is>
          <t>NULL</t>
        </is>
      </c>
      <c r="I585" s="0" t="inlineStr">
        <is>
          <t>NULL</t>
        </is>
      </c>
      <c r="J585" s="0" t="inlineStr">
        <is>
          <t>NULL</t>
        </is>
      </c>
      <c r="K585" s="0" t="inlineStr">
        <is>
          <t>[0;32m YES! [0m 	 c_char_20列源备映射正确，源端为sql_variant 0位	期望更改为VARCHAR(255)	实际备端为varchar 1020位	位数精度不存在，通过长度比较</t>
        </is>
      </c>
    </row>
    <row r="586">
      <c r="B586" s="0" t="inlineStr">
        <is>
          <t>NULL</t>
        </is>
      </c>
      <c r="C586" s="0" t="inlineStr">
        <is>
          <t>NULL</t>
        </is>
      </c>
      <c r="D586" s="0" t="inlineStr">
        <is>
          <t>NULL</t>
        </is>
      </c>
      <c r="E586" s="0" t="inlineStr">
        <is>
          <t>NULL</t>
        </is>
      </c>
      <c r="F586" s="0" t="inlineStr">
        <is>
          <t>NULL</t>
        </is>
      </c>
      <c r="G586" s="0" t="inlineStr">
        <is>
          <t>NULL</t>
        </is>
      </c>
      <c r="H586" s="0" t="inlineStr">
        <is>
          <t>NULL</t>
        </is>
      </c>
      <c r="I586" s="0" t="inlineStr">
        <is>
          <t>NULL</t>
        </is>
      </c>
      <c r="J586" s="0" t="inlineStr">
        <is>
          <t>NULL</t>
        </is>
      </c>
      <c r="K586" s="0" t="inlineStr">
        <is>
          <t>[0;32m YES! [0m 	 c_nvarchar_20列源备映射正确，源端为sql_variant 0位	期望更改为VARCHAR(255)	实际备端为varchar 1020位	位数精度不存在，通过长度比较</t>
        </is>
      </c>
    </row>
    <row r="587">
      <c r="B587" s="0" t="inlineStr">
        <is>
          <t>NULL</t>
        </is>
      </c>
      <c r="C587" s="0" t="inlineStr">
        <is>
          <t>NULL</t>
        </is>
      </c>
      <c r="D587" s="0" t="inlineStr">
        <is>
          <t>NULL</t>
        </is>
      </c>
      <c r="E587" s="0" t="inlineStr">
        <is>
          <t>NULL</t>
        </is>
      </c>
      <c r="F587" s="0" t="inlineStr">
        <is>
          <t>NULL</t>
        </is>
      </c>
      <c r="G587" s="0" t="inlineStr">
        <is>
          <t>NULL</t>
        </is>
      </c>
      <c r="H587" s="0" t="inlineStr">
        <is>
          <t>NULL</t>
        </is>
      </c>
      <c r="I587" s="0" t="inlineStr">
        <is>
          <t>NULL</t>
        </is>
      </c>
      <c r="J587" s="0" t="inlineStr">
        <is>
          <t>NULL</t>
        </is>
      </c>
      <c r="K587" s="0" t="inlineStr">
        <is>
          <t>[0;32m YES! [0m 	 c_nchar_20列源备映射正确，源端为sql_variant 0位	期望更改为VARCHAR(255)	实际备端为varchar 1020位	位数精度不存在，通过长度比较</t>
        </is>
      </c>
    </row>
    <row r="588">
      <c r="B588" s="0" t="inlineStr">
        <is>
          <t>NULL</t>
        </is>
      </c>
      <c r="C588" s="0" t="inlineStr">
        <is>
          <t>NULL</t>
        </is>
      </c>
      <c r="D588" s="0" t="inlineStr">
        <is>
          <t>NULL</t>
        </is>
      </c>
      <c r="E588" s="0" t="inlineStr">
        <is>
          <t>NULL</t>
        </is>
      </c>
      <c r="F588" s="0" t="inlineStr">
        <is>
          <t>NULL</t>
        </is>
      </c>
      <c r="G588" s="0" t="inlineStr">
        <is>
          <t>NULL</t>
        </is>
      </c>
      <c r="H588" s="0" t="inlineStr">
        <is>
          <t>NULL</t>
        </is>
      </c>
      <c r="I588" s="0" t="inlineStr">
        <is>
          <t>NULL</t>
        </is>
      </c>
      <c r="J588" s="0" t="inlineStr">
        <is>
          <t>NULL</t>
        </is>
      </c>
      <c r="K588" s="0" t="inlineStr">
        <is>
          <t>[0;32m YES! [0m 	 c_timestamp列源备映射正确，源端为timestamp None位	期望更改为binary(8)	实际备端为binary 8位	位数精度不存在，通过长度比较</t>
        </is>
      </c>
    </row>
    <row r="589">
      <c r="A589" s="0" t="inlineStr">
        <is>
          <t>info_sdt_dml_batch1_pk</t>
        </is>
      </c>
      <c r="K589" s="0" t="inlineStr">
        <is>
          <t>[0;34m info_sdt_dml_batch1_pk [0m源备字段数相同，源端字段：2 	备端字段2</t>
        </is>
      </c>
      <c r="W589" s="0" t="inlineStr">
        <is>
          <t>YES 源备无差异</t>
        </is>
      </c>
      <c r="X589" s="0">
        <f>A589</f>
        <v/>
      </c>
    </row>
    <row r="590">
      <c r="B590" s="0" t="inlineStr">
        <is>
          <t>YES</t>
        </is>
      </c>
      <c r="C590" s="0" t="inlineStr">
        <is>
          <t>NULL</t>
        </is>
      </c>
      <c r="D590" s="0" t="inlineStr">
        <is>
          <t>NULL</t>
        </is>
      </c>
      <c r="E590" s="0" t="inlineStr">
        <is>
          <t>NULL</t>
        </is>
      </c>
      <c r="F590" s="0" t="inlineStr">
        <is>
          <t>NULL</t>
        </is>
      </c>
      <c r="G590" s="0" t="inlineStr">
        <is>
          <t>NULL</t>
        </is>
      </c>
      <c r="H590" s="0" t="inlineStr">
        <is>
          <t>NULL</t>
        </is>
      </c>
      <c r="I590" s="0" t="inlineStr">
        <is>
          <t>YES!PK__info_sdt__3213E83FA1971A79</t>
        </is>
      </c>
      <c r="J590" s="0" t="inlineStr">
        <is>
          <t>YES! 主键相关索引</t>
        </is>
      </c>
      <c r="K590" s="0" t="inlineStr">
        <is>
          <t>YES! 	 id列源备映射正确，源端为int None位	期望更改为int	实际备端为int None位</t>
        </is>
      </c>
    </row>
    <row r="591">
      <c r="B591" s="0" t="inlineStr">
        <is>
          <t>NULL</t>
        </is>
      </c>
      <c r="C591" s="0" t="inlineStr">
        <is>
          <t>NULL</t>
        </is>
      </c>
      <c r="D591" s="0" t="inlineStr">
        <is>
          <t>NULL</t>
        </is>
      </c>
      <c r="E591" s="0" t="inlineStr">
        <is>
          <t>NULL</t>
        </is>
      </c>
      <c r="F591" s="0" t="inlineStr">
        <is>
          <t>NULL</t>
        </is>
      </c>
      <c r="G591" s="0" t="inlineStr">
        <is>
          <t>NULL</t>
        </is>
      </c>
      <c r="H591" s="0" t="inlineStr">
        <is>
          <t>NULL</t>
        </is>
      </c>
      <c r="I591" s="0" t="inlineStr">
        <is>
          <t>NULL</t>
        </is>
      </c>
      <c r="J591" s="0" t="inlineStr">
        <is>
          <t>NULL</t>
        </is>
      </c>
      <c r="K591" s="0" t="inlineStr">
        <is>
          <t>YES! 	 c_sdt列源备映射正确，源端为smalldatetime None位	期望更改为datetime	实际备端为datetime None位</t>
        </is>
      </c>
    </row>
    <row r="592">
      <c r="A592" s="0" t="inlineStr">
        <is>
          <t>info_nvarchar_dml_single_nopk_irp</t>
        </is>
      </c>
      <c r="K592" s="0" t="inlineStr">
        <is>
          <t>[0;34m info_nvarchar_dml_single_nopk_irp [0m源备字段数相同，源端字段：4 	备端字段4</t>
        </is>
      </c>
      <c r="W592" s="0" t="inlineStr">
        <is>
          <t>YES 源备无差异</t>
        </is>
      </c>
      <c r="X592" s="0">
        <f>A592</f>
        <v/>
      </c>
    </row>
    <row r="593">
      <c r="B593" s="0" t="inlineStr">
        <is>
          <t>NULL</t>
        </is>
      </c>
      <c r="C593" s="0" t="inlineStr">
        <is>
          <t>NULL</t>
        </is>
      </c>
      <c r="D593" s="0" t="inlineStr">
        <is>
          <t>NULL</t>
        </is>
      </c>
      <c r="E593" s="0" t="inlineStr">
        <is>
          <t>NULL</t>
        </is>
      </c>
      <c r="F593" s="0" t="inlineStr">
        <is>
          <t>NULL</t>
        </is>
      </c>
      <c r="G593" s="0" t="inlineStr">
        <is>
          <t>NULL</t>
        </is>
      </c>
      <c r="H593" s="0" t="inlineStr">
        <is>
          <t>NULL</t>
        </is>
      </c>
      <c r="I593" s="0" t="inlineStr">
        <is>
          <t>NULL</t>
        </is>
      </c>
      <c r="J593" s="0" t="inlineStr">
        <is>
          <t>NULL</t>
        </is>
      </c>
      <c r="K593" s="0" t="inlineStr">
        <is>
          <t>YES! 	 id列源备映射正确，源端为int None位	期望更改为int	实际备端为int None位</t>
        </is>
      </c>
    </row>
    <row r="594">
      <c r="B594" s="0" t="inlineStr">
        <is>
          <t>NULL</t>
        </is>
      </c>
      <c r="C594" s="0" t="inlineStr">
        <is>
          <t>NULL</t>
        </is>
      </c>
      <c r="D594" s="0" t="inlineStr">
        <is>
          <t>NULL</t>
        </is>
      </c>
      <c r="E594" s="0" t="inlineStr">
        <is>
          <t>NULL</t>
        </is>
      </c>
      <c r="F594" s="0" t="inlineStr">
        <is>
          <t>NULL</t>
        </is>
      </c>
      <c r="G594" s="0" t="inlineStr">
        <is>
          <t>NULL</t>
        </is>
      </c>
      <c r="H594" s="0" t="inlineStr">
        <is>
          <t>NULL</t>
        </is>
      </c>
      <c r="I594" s="0" t="inlineStr">
        <is>
          <t>NULL</t>
        </is>
      </c>
      <c r="J594" s="0" t="inlineStr">
        <is>
          <t>NULL</t>
        </is>
      </c>
      <c r="K594" s="0" t="inlineStr">
        <is>
          <t>YES! 	 c_nvarchar列源备映射正确，源端为nvarchar 2位	期望更改为varchar(n)	实际备端为varchar 4位</t>
        </is>
      </c>
    </row>
    <row r="595">
      <c r="B595" s="0" t="inlineStr">
        <is>
          <t>NULL</t>
        </is>
      </c>
      <c r="C595" s="0" t="inlineStr">
        <is>
          <t>NULL</t>
        </is>
      </c>
      <c r="D595" s="0" t="inlineStr">
        <is>
          <t>NULL</t>
        </is>
      </c>
      <c r="E595" s="0" t="inlineStr">
        <is>
          <t>NULL</t>
        </is>
      </c>
      <c r="F595" s="0" t="inlineStr">
        <is>
          <t>NULL</t>
        </is>
      </c>
      <c r="G595" s="0" t="inlineStr">
        <is>
          <t>NULL</t>
        </is>
      </c>
      <c r="H595" s="0" t="inlineStr">
        <is>
          <t>NULL</t>
        </is>
      </c>
      <c r="I595" s="0" t="inlineStr">
        <is>
          <t>NULL</t>
        </is>
      </c>
      <c r="J595" s="0" t="inlineStr">
        <is>
          <t>NULL</t>
        </is>
      </c>
      <c r="K595" s="0" t="inlineStr">
        <is>
          <t>YES! 	 c_nvarchar20列源备映射正确，源端为nvarchar 40位	期望更改为varchar(n)	实际备端为varchar 80位</t>
        </is>
      </c>
    </row>
    <row r="596">
      <c r="B596" s="0" t="inlineStr">
        <is>
          <t>NULL</t>
        </is>
      </c>
      <c r="C596" s="0" t="inlineStr">
        <is>
          <t>NULL</t>
        </is>
      </c>
      <c r="D596" s="0" t="inlineStr">
        <is>
          <t>NULL</t>
        </is>
      </c>
      <c r="E596" s="0" t="inlineStr">
        <is>
          <t>NULL</t>
        </is>
      </c>
      <c r="F596" s="0" t="inlineStr">
        <is>
          <t>NULL</t>
        </is>
      </c>
      <c r="G596" s="0" t="inlineStr">
        <is>
          <t>NULL</t>
        </is>
      </c>
      <c r="H596" s="0" t="inlineStr">
        <is>
          <t>NULL</t>
        </is>
      </c>
      <c r="I596" s="0" t="inlineStr">
        <is>
          <t>NULL</t>
        </is>
      </c>
      <c r="J596" s="0" t="inlineStr">
        <is>
          <t>NULL</t>
        </is>
      </c>
      <c r="K596" s="0" t="inlineStr">
        <is>
          <t xml:space="preserve"> NO!  	 c_nvarchar4000列源备映射错误，源端为nvarchar 8000位	期望更改为longtext	实际备端为text 65535位</t>
        </is>
      </c>
    </row>
    <row r="597">
      <c r="A597" s="0" t="inlineStr">
        <is>
          <t>info_varchar_dml_batch1_pk_urp1</t>
        </is>
      </c>
      <c r="K597" s="0" t="inlineStr">
        <is>
          <t>[0;34m info_varchar_dml_batch1_pk_urp1 [0m源备字段数相同，源端字段：4 	备端字段4</t>
        </is>
      </c>
      <c r="W597" s="0" t="inlineStr">
        <is>
          <t>YES 源备无差异</t>
        </is>
      </c>
      <c r="X597" s="0">
        <f>A597</f>
        <v/>
      </c>
    </row>
    <row r="598">
      <c r="B598" s="0" t="inlineStr">
        <is>
          <t>YES</t>
        </is>
      </c>
      <c r="C598" s="0" t="inlineStr">
        <is>
          <t>NULL</t>
        </is>
      </c>
      <c r="D598" s="0" t="inlineStr">
        <is>
          <t>NULL</t>
        </is>
      </c>
      <c r="E598" s="0" t="inlineStr">
        <is>
          <t>NULL</t>
        </is>
      </c>
      <c r="F598" s="0" t="inlineStr">
        <is>
          <t>NULL</t>
        </is>
      </c>
      <c r="G598" s="0" t="inlineStr">
        <is>
          <t>NULL</t>
        </is>
      </c>
      <c r="H598" s="0" t="inlineStr">
        <is>
          <t>NULL</t>
        </is>
      </c>
      <c r="I598" s="0" t="inlineStr">
        <is>
          <t>YES!PK__info_var__3213E83F95050969</t>
        </is>
      </c>
      <c r="J598" s="0" t="inlineStr">
        <is>
          <t>YES! 主键相关索引</t>
        </is>
      </c>
      <c r="K598" s="0" t="inlineStr">
        <is>
          <t>YES! 	 id列源备映射正确，源端为int None位	期望更改为int	实际备端为int None位</t>
        </is>
      </c>
    </row>
    <row r="599">
      <c r="B599" s="0" t="inlineStr">
        <is>
          <t>NULL</t>
        </is>
      </c>
      <c r="C599" s="0" t="inlineStr">
        <is>
          <t>NULL</t>
        </is>
      </c>
      <c r="D599" s="0" t="inlineStr">
        <is>
          <t>NULL</t>
        </is>
      </c>
      <c r="E599" s="0" t="inlineStr">
        <is>
          <t>NULL</t>
        </is>
      </c>
      <c r="F599" s="0" t="inlineStr">
        <is>
          <t>NULL</t>
        </is>
      </c>
      <c r="G599" s="0" t="inlineStr">
        <is>
          <t>NULL</t>
        </is>
      </c>
      <c r="H599" s="0" t="inlineStr">
        <is>
          <t>NULL</t>
        </is>
      </c>
      <c r="I599" s="0" t="inlineStr">
        <is>
          <t>NULL</t>
        </is>
      </c>
      <c r="J599" s="0" t="inlineStr">
        <is>
          <t>NULL</t>
        </is>
      </c>
      <c r="K599" s="0" t="inlineStr">
        <is>
          <t>YES! 	 c_varchar列源备映射正确，源端为varchar 1位	期望更改为varchar(n)	实际备端为varchar 4位</t>
        </is>
      </c>
    </row>
    <row r="600">
      <c r="B600" s="0" t="inlineStr">
        <is>
          <t>NULL</t>
        </is>
      </c>
      <c r="C600" s="0" t="inlineStr">
        <is>
          <t>NULL</t>
        </is>
      </c>
      <c r="D600" s="0" t="inlineStr">
        <is>
          <t>NULL</t>
        </is>
      </c>
      <c r="E600" s="0" t="inlineStr">
        <is>
          <t>NULL</t>
        </is>
      </c>
      <c r="F600" s="0" t="inlineStr">
        <is>
          <t>NULL</t>
        </is>
      </c>
      <c r="G600" s="0" t="inlineStr">
        <is>
          <t>NULL</t>
        </is>
      </c>
      <c r="H600" s="0" t="inlineStr">
        <is>
          <t>NULL</t>
        </is>
      </c>
      <c r="I600" s="0" t="inlineStr">
        <is>
          <t>NULL</t>
        </is>
      </c>
      <c r="J600" s="0" t="inlineStr">
        <is>
          <t>NULL</t>
        </is>
      </c>
      <c r="K600" s="0" t="inlineStr">
        <is>
          <t>YES! 	 c_varchar20列源备映射正确，源端为varchar 20位	期望更改为varchar(n)	实际备端为varchar 80位</t>
        </is>
      </c>
    </row>
    <row r="601">
      <c r="B601" s="0" t="inlineStr">
        <is>
          <t>NULL</t>
        </is>
      </c>
      <c r="C601" s="0" t="inlineStr">
        <is>
          <t>NULL</t>
        </is>
      </c>
      <c r="D601" s="0" t="inlineStr">
        <is>
          <t>NULL</t>
        </is>
      </c>
      <c r="E601" s="0" t="inlineStr">
        <is>
          <t>NULL</t>
        </is>
      </c>
      <c r="F601" s="0" t="inlineStr">
        <is>
          <t>NULL</t>
        </is>
      </c>
      <c r="G601" s="0" t="inlineStr">
        <is>
          <t>NULL</t>
        </is>
      </c>
      <c r="H601" s="0" t="inlineStr">
        <is>
          <t>NULL</t>
        </is>
      </c>
      <c r="I601" s="0" t="inlineStr">
        <is>
          <t>NULL</t>
        </is>
      </c>
      <c r="J601" s="0" t="inlineStr">
        <is>
          <t>NULL</t>
        </is>
      </c>
      <c r="K601" s="0" t="inlineStr">
        <is>
          <t xml:space="preserve"> NO!  	 c_varchar7000列源备映射错误，源端为varchar 7000位	期望更改为longtext	实际备端为text 65535位</t>
        </is>
      </c>
    </row>
    <row r="602">
      <c r="A602" s="0" t="inlineStr">
        <is>
          <t>info_sql_variant_dml_single_pk</t>
        </is>
      </c>
      <c r="K602" s="0" t="inlineStr">
        <is>
          <t>[0;34m info_sql_variant_dml_single_pk [0m源备字段数相同，源端字段：25 	备端字段25</t>
        </is>
      </c>
      <c r="W602" s="15">
        <f>HYPERLINK("#2026051816mysql2!BF2","NO 源备存在差异，共2个")</f>
        <v/>
      </c>
      <c r="X602" s="0">
        <f>A602</f>
        <v/>
      </c>
    </row>
    <row r="603">
      <c r="B603" s="0" t="inlineStr">
        <is>
          <t>YES</t>
        </is>
      </c>
      <c r="C603" s="0" t="inlineStr">
        <is>
          <t>NULL</t>
        </is>
      </c>
      <c r="D603" s="0" t="inlineStr">
        <is>
          <t>NULL</t>
        </is>
      </c>
      <c r="E603" s="0" t="inlineStr">
        <is>
          <t>NULL</t>
        </is>
      </c>
      <c r="F603" s="0" t="inlineStr">
        <is>
          <t>NULL</t>
        </is>
      </c>
      <c r="G603" s="0" t="inlineStr">
        <is>
          <t>NULL</t>
        </is>
      </c>
      <c r="H603" s="0" t="inlineStr">
        <is>
          <t>NULL</t>
        </is>
      </c>
      <c r="I603" s="0" t="inlineStr">
        <is>
          <t>YES!PK__info_sql__3213E83F0AEFC72B</t>
        </is>
      </c>
      <c r="J603" s="0" t="inlineStr">
        <is>
          <t>YES! 主键相关索引</t>
        </is>
      </c>
      <c r="K603" s="0" t="inlineStr">
        <is>
          <t>YES! 	 id列源备映射正确，源端为int None位	期望更改为int	实际备端为int None位</t>
        </is>
      </c>
    </row>
    <row r="604">
      <c r="B604" s="0" t="inlineStr">
        <is>
          <t>NULL</t>
        </is>
      </c>
      <c r="C604" s="0" t="inlineStr">
        <is>
          <t>NULL</t>
        </is>
      </c>
      <c r="D604" s="0" t="inlineStr">
        <is>
          <t>NULL</t>
        </is>
      </c>
      <c r="E604" s="0" t="inlineStr">
        <is>
          <t>NULL</t>
        </is>
      </c>
      <c r="F604" s="0" t="inlineStr">
        <is>
          <t>NULL</t>
        </is>
      </c>
      <c r="G604" s="0" t="inlineStr">
        <is>
          <t>NULL</t>
        </is>
      </c>
      <c r="H604" s="0" t="inlineStr">
        <is>
          <t>NULL</t>
        </is>
      </c>
      <c r="I604" s="0" t="inlineStr">
        <is>
          <t>NULL</t>
        </is>
      </c>
      <c r="J604" s="0" t="inlineStr">
        <is>
          <t>NULL</t>
        </is>
      </c>
      <c r="K604" s="0" t="inlineStr">
        <is>
          <t>[0;32m YES! [0m 	 c_date列源备映射正确，源端为sql_variant 0位	期望更改为VARCHAR(255)	实际备端为varchar 1020位	位数精度不存在，通过长度比较</t>
        </is>
      </c>
    </row>
    <row r="605">
      <c r="B605" s="0" t="inlineStr">
        <is>
          <t>NULL</t>
        </is>
      </c>
      <c r="C605" s="0" t="inlineStr">
        <is>
          <t>NULL</t>
        </is>
      </c>
      <c r="D605" s="0" t="inlineStr">
        <is>
          <t>NULL</t>
        </is>
      </c>
      <c r="E605" s="0" t="inlineStr">
        <is>
          <t>NULL</t>
        </is>
      </c>
      <c r="F605" s="0" t="inlineStr">
        <is>
          <t>NULL</t>
        </is>
      </c>
      <c r="G605" s="0" t="inlineStr">
        <is>
          <t>NULL</t>
        </is>
      </c>
      <c r="H605" s="0" t="inlineStr">
        <is>
          <t>NULL</t>
        </is>
      </c>
      <c r="I605" s="0" t="inlineStr">
        <is>
          <t>NULL</t>
        </is>
      </c>
      <c r="J605" s="0" t="inlineStr">
        <is>
          <t>NULL</t>
        </is>
      </c>
      <c r="K605" s="0" t="inlineStr">
        <is>
          <t>[0;32m YES! [0m 	 c_time列源备映射正确，源端为sql_variant 0位	期望更改为VARCHAR(255)	实际备端为varchar 1020位	位数精度不存在，通过长度比较</t>
        </is>
      </c>
    </row>
    <row r="606">
      <c r="B606" s="0" t="inlineStr">
        <is>
          <t>NULL</t>
        </is>
      </c>
      <c r="C606" s="0" t="inlineStr">
        <is>
          <t>NULL</t>
        </is>
      </c>
      <c r="D606" s="0" t="inlineStr">
        <is>
          <t>NULL</t>
        </is>
      </c>
      <c r="E606" s="0" t="inlineStr">
        <is>
          <t>NULL</t>
        </is>
      </c>
      <c r="F606" s="0" t="inlineStr">
        <is>
          <t>NULL</t>
        </is>
      </c>
      <c r="G606" s="0" t="inlineStr">
        <is>
          <t>NULL</t>
        </is>
      </c>
      <c r="H606" s="0" t="inlineStr">
        <is>
          <t>NULL</t>
        </is>
      </c>
      <c r="I606" s="0" t="inlineStr">
        <is>
          <t>NULL</t>
        </is>
      </c>
      <c r="J606" s="0" t="inlineStr">
        <is>
          <t>NULL</t>
        </is>
      </c>
      <c r="K606" s="0" t="inlineStr">
        <is>
          <t>[0;32m YES! [0m 	 c_datetime2列源备映射正确，源端为sql_variant 0位	期望更改为VARCHAR(255)	实际备端为varchar 1020位	位数精度不存在，通过长度比较</t>
        </is>
      </c>
    </row>
    <row r="607">
      <c r="B607" s="0" t="inlineStr">
        <is>
          <t>NULL</t>
        </is>
      </c>
      <c r="C607" s="0" t="inlineStr">
        <is>
          <t>NULL</t>
        </is>
      </c>
      <c r="D607" s="0" t="inlineStr">
        <is>
          <t>NULL</t>
        </is>
      </c>
      <c r="E607" s="0" t="inlineStr">
        <is>
          <t>NULL</t>
        </is>
      </c>
      <c r="F607" s="0" t="inlineStr">
        <is>
          <t>NULL</t>
        </is>
      </c>
      <c r="G607" s="0" t="inlineStr">
        <is>
          <t>NULL</t>
        </is>
      </c>
      <c r="H607" s="0" t="inlineStr">
        <is>
          <t>NULL</t>
        </is>
      </c>
      <c r="I607" s="0" t="inlineStr">
        <is>
          <t>NULL</t>
        </is>
      </c>
      <c r="J607" s="0" t="inlineStr">
        <is>
          <t>NULL</t>
        </is>
      </c>
      <c r="K607" s="0" t="inlineStr">
        <is>
          <t>[0;32m YES! [0m 	 c_datetimeoffset列源备映射正确，源端为sql_variant 0位	期望更改为VARCHAR(255)	实际备端为varchar 1020位	位数精度不存在，通过长度比较</t>
        </is>
      </c>
    </row>
    <row r="608">
      <c r="B608" s="0" t="inlineStr">
        <is>
          <t>NULL</t>
        </is>
      </c>
      <c r="C608" s="0" t="inlineStr">
        <is>
          <t>NULL</t>
        </is>
      </c>
      <c r="D608" s="0" t="inlineStr">
        <is>
          <t>NULL</t>
        </is>
      </c>
      <c r="E608" s="0" t="inlineStr">
        <is>
          <t>NULL</t>
        </is>
      </c>
      <c r="F608" s="0" t="inlineStr">
        <is>
          <t>NULL</t>
        </is>
      </c>
      <c r="G608" s="0" t="inlineStr">
        <is>
          <t>NULL</t>
        </is>
      </c>
      <c r="H608" s="0" t="inlineStr">
        <is>
          <t>NULL</t>
        </is>
      </c>
      <c r="I608" s="0" t="inlineStr">
        <is>
          <t>NULL</t>
        </is>
      </c>
      <c r="J608" s="0" t="inlineStr">
        <is>
          <t>NULL</t>
        </is>
      </c>
      <c r="K608" s="0" t="inlineStr">
        <is>
          <t>[0;32m YES! [0m 	 c_tinyint列源备映射正确，源端为sql_variant 0位	期望更改为VARCHAR(255)	实际备端为varchar 1020位	位数精度不存在，通过长度比较</t>
        </is>
      </c>
    </row>
    <row r="609">
      <c r="B609" s="0" t="inlineStr">
        <is>
          <t>NULL</t>
        </is>
      </c>
      <c r="C609" s="0" t="inlineStr">
        <is>
          <t>NULL</t>
        </is>
      </c>
      <c r="D609" s="0" t="inlineStr">
        <is>
          <t>NULL</t>
        </is>
      </c>
      <c r="E609" s="0" t="inlineStr">
        <is>
          <t>NULL</t>
        </is>
      </c>
      <c r="F609" s="0" t="inlineStr">
        <is>
          <t>NULL</t>
        </is>
      </c>
      <c r="G609" s="0" t="inlineStr">
        <is>
          <t>NULL</t>
        </is>
      </c>
      <c r="H609" s="0" t="inlineStr">
        <is>
          <t>NULL</t>
        </is>
      </c>
      <c r="I609" s="0" t="inlineStr">
        <is>
          <t>NULL</t>
        </is>
      </c>
      <c r="J609" s="0" t="inlineStr">
        <is>
          <t>NULL</t>
        </is>
      </c>
      <c r="K609" s="0" t="inlineStr">
        <is>
          <t>[0;32m YES! [0m 	 c_smallint列源备映射正确，源端为sql_variant 0位	期望更改为VARCHAR(255)	实际备端为varchar 1020位	位数精度不存在，通过长度比较</t>
        </is>
      </c>
    </row>
    <row r="610">
      <c r="B610" s="0" t="inlineStr">
        <is>
          <t>NULL</t>
        </is>
      </c>
      <c r="C610" s="0" t="inlineStr">
        <is>
          <t>NULL</t>
        </is>
      </c>
      <c r="D610" s="0" t="inlineStr">
        <is>
          <t>NULL</t>
        </is>
      </c>
      <c r="E610" s="0" t="inlineStr">
        <is>
          <t>NULL</t>
        </is>
      </c>
      <c r="F610" s="0" t="inlineStr">
        <is>
          <t>NULL</t>
        </is>
      </c>
      <c r="G610" s="0" t="inlineStr">
        <is>
          <t>NULL</t>
        </is>
      </c>
      <c r="H610" s="0" t="inlineStr">
        <is>
          <t>NULL</t>
        </is>
      </c>
      <c r="I610" s="0" t="inlineStr">
        <is>
          <t>NULL</t>
        </is>
      </c>
      <c r="J610" s="0" t="inlineStr">
        <is>
          <t>NULL</t>
        </is>
      </c>
      <c r="K610" s="0" t="inlineStr">
        <is>
          <t>[0;32m YES! [0m 	 c_int列源备映射正确，源端为sql_variant 0位	期望更改为VARCHAR(255)	实际备端为varchar 1020位	位数精度不存在，通过长度比较</t>
        </is>
      </c>
    </row>
    <row r="611">
      <c r="B611" s="0" t="inlineStr">
        <is>
          <t>NULL</t>
        </is>
      </c>
      <c r="C611" s="0" t="inlineStr">
        <is>
          <t>NULL</t>
        </is>
      </c>
      <c r="D611" s="0" t="inlineStr">
        <is>
          <t>NULL</t>
        </is>
      </c>
      <c r="E611" s="0" t="inlineStr">
        <is>
          <t>NULL</t>
        </is>
      </c>
      <c r="F611" s="0" t="inlineStr">
        <is>
          <t>NULL</t>
        </is>
      </c>
      <c r="G611" s="0" t="inlineStr">
        <is>
          <t>NULL</t>
        </is>
      </c>
      <c r="H611" s="0" t="inlineStr">
        <is>
          <t>NULL</t>
        </is>
      </c>
      <c r="I611" s="0" t="inlineStr">
        <is>
          <t>NULL</t>
        </is>
      </c>
      <c r="J611" s="0" t="inlineStr">
        <is>
          <t>NULL</t>
        </is>
      </c>
      <c r="K611" s="0" t="inlineStr">
        <is>
          <t>[0;32m YES! [0m 	 c_sdt列源备映射正确，源端为sql_variant 0位	期望更改为VARCHAR(255)	实际备端为varchar 1020位	位数精度不存在，通过长度比较</t>
        </is>
      </c>
    </row>
    <row r="612">
      <c r="B612" s="0" t="inlineStr">
        <is>
          <t>NULL</t>
        </is>
      </c>
      <c r="C612" s="0" t="inlineStr">
        <is>
          <t>NULL</t>
        </is>
      </c>
      <c r="D612" s="0" t="inlineStr">
        <is>
          <t>NULL</t>
        </is>
      </c>
      <c r="E612" s="0" t="inlineStr">
        <is>
          <t>NULL</t>
        </is>
      </c>
      <c r="F612" s="0" t="inlineStr">
        <is>
          <t>NULL</t>
        </is>
      </c>
      <c r="G612" s="0" t="inlineStr">
        <is>
          <t>NULL</t>
        </is>
      </c>
      <c r="H612" s="0" t="inlineStr">
        <is>
          <t>NULL</t>
        </is>
      </c>
      <c r="I612" s="0" t="inlineStr">
        <is>
          <t>NULL</t>
        </is>
      </c>
      <c r="J612" s="0" t="inlineStr">
        <is>
          <t>NULL</t>
        </is>
      </c>
      <c r="K612" s="0" t="inlineStr">
        <is>
          <t>[0;32m YES! [0m 	 c_real列源备映射正确，源端为sql_variant 0位	期望更改为VARCHAR(255)	实际备端为varchar 1020位	位数精度不存在，通过长度比较</t>
        </is>
      </c>
    </row>
    <row r="613">
      <c r="B613" s="0" t="inlineStr">
        <is>
          <t>NULL</t>
        </is>
      </c>
      <c r="C613" s="0" t="inlineStr">
        <is>
          <t>NULL</t>
        </is>
      </c>
      <c r="D613" s="0" t="inlineStr">
        <is>
          <t>NULL</t>
        </is>
      </c>
      <c r="E613" s="0" t="inlineStr">
        <is>
          <t>NULL</t>
        </is>
      </c>
      <c r="F613" s="0" t="inlineStr">
        <is>
          <t>NULL</t>
        </is>
      </c>
      <c r="G613" s="0" t="inlineStr">
        <is>
          <t>NULL</t>
        </is>
      </c>
      <c r="H613" s="0" t="inlineStr">
        <is>
          <t>NULL</t>
        </is>
      </c>
      <c r="I613" s="0" t="inlineStr">
        <is>
          <t>NULL</t>
        </is>
      </c>
      <c r="J613" s="0" t="inlineStr">
        <is>
          <t>NULL</t>
        </is>
      </c>
      <c r="K613" s="0" t="inlineStr">
        <is>
          <t>[0;32m YES! [0m 	 c_money列源备映射正确，源端为sql_variant 0位	期望更改为VARCHAR(255)	实际备端为varchar 1020位	位数精度不存在，通过长度比较</t>
        </is>
      </c>
    </row>
    <row r="614">
      <c r="B614" s="0" t="inlineStr">
        <is>
          <t>NULL</t>
        </is>
      </c>
      <c r="C614" s="0" t="inlineStr">
        <is>
          <t>NULL</t>
        </is>
      </c>
      <c r="D614" s="0" t="inlineStr">
        <is>
          <t>NULL</t>
        </is>
      </c>
      <c r="E614" s="0" t="inlineStr">
        <is>
          <t>NULL</t>
        </is>
      </c>
      <c r="F614" s="0" t="inlineStr">
        <is>
          <t>NULL</t>
        </is>
      </c>
      <c r="G614" s="0" t="inlineStr">
        <is>
          <t>NULL</t>
        </is>
      </c>
      <c r="H614" s="0" t="inlineStr">
        <is>
          <t>NULL</t>
        </is>
      </c>
      <c r="I614" s="0" t="inlineStr">
        <is>
          <t>NULL</t>
        </is>
      </c>
      <c r="J614" s="0" t="inlineStr">
        <is>
          <t>NULL</t>
        </is>
      </c>
      <c r="K614" s="0" t="inlineStr">
        <is>
          <t>[0;32m YES! [0m 	 c_datetime列源备映射正确，源端为sql_variant 0位	期望更改为VARCHAR(255)	实际备端为varchar 1020位	位数精度不存在，通过长度比较</t>
        </is>
      </c>
    </row>
    <row r="615">
      <c r="B615" s="0" t="inlineStr">
        <is>
          <t>NULL</t>
        </is>
      </c>
      <c r="C615" s="0" t="inlineStr">
        <is>
          <t>NULL</t>
        </is>
      </c>
      <c r="D615" s="0" t="inlineStr">
        <is>
          <t>NULL</t>
        </is>
      </c>
      <c r="E615" s="0" t="inlineStr">
        <is>
          <t>NULL</t>
        </is>
      </c>
      <c r="F615" s="0" t="inlineStr">
        <is>
          <t>NULL</t>
        </is>
      </c>
      <c r="G615" s="0" t="inlineStr">
        <is>
          <t>NULL</t>
        </is>
      </c>
      <c r="H615" s="0" t="inlineStr">
        <is>
          <t>NULL</t>
        </is>
      </c>
      <c r="I615" s="0" t="inlineStr">
        <is>
          <t>NULL</t>
        </is>
      </c>
      <c r="J615" s="0" t="inlineStr">
        <is>
          <t>NULL</t>
        </is>
      </c>
      <c r="K615" s="0" t="inlineStr">
        <is>
          <t>[0;32m YES! [0m 	 c_float列源备映射正确，源端为sql_variant 0位	期望更改为VARCHAR(255)	实际备端为varchar 1020位	位数精度不存在，通过长度比较</t>
        </is>
      </c>
    </row>
    <row r="616">
      <c r="B616" s="0" t="inlineStr">
        <is>
          <t>NULL</t>
        </is>
      </c>
      <c r="C616" s="0" t="inlineStr">
        <is>
          <t>NULL</t>
        </is>
      </c>
      <c r="D616" s="0" t="inlineStr">
        <is>
          <t>NULL</t>
        </is>
      </c>
      <c r="E616" s="0" t="inlineStr">
        <is>
          <t>NULL</t>
        </is>
      </c>
      <c r="F616" s="0" t="inlineStr">
        <is>
          <t>NULL</t>
        </is>
      </c>
      <c r="G616" s="0" t="inlineStr">
        <is>
          <t>NULL</t>
        </is>
      </c>
      <c r="H616" s="0" t="inlineStr">
        <is>
          <t>NULL</t>
        </is>
      </c>
      <c r="I616" s="0" t="inlineStr">
        <is>
          <t>NULL</t>
        </is>
      </c>
      <c r="J616" s="0" t="inlineStr">
        <is>
          <t>NULL</t>
        </is>
      </c>
      <c r="K616" s="0" t="inlineStr">
        <is>
          <t>[0;32m YES! [0m 	 c_bit列源备映射正确，源端为sql_variant 0位	期望更改为VARCHAR(255)	实际备端为varchar 1020位	位数精度不存在，通过长度比较</t>
        </is>
      </c>
    </row>
    <row r="617">
      <c r="B617" s="0" t="inlineStr">
        <is>
          <t>NULL</t>
        </is>
      </c>
      <c r="C617" s="0" t="inlineStr">
        <is>
          <t>NULL</t>
        </is>
      </c>
      <c r="D617" s="0" t="inlineStr">
        <is>
          <t>NULL</t>
        </is>
      </c>
      <c r="E617" s="0" t="inlineStr">
        <is>
          <t>NULL</t>
        </is>
      </c>
      <c r="F617" s="0" t="inlineStr">
        <is>
          <t>NULL</t>
        </is>
      </c>
      <c r="G617" s="0" t="inlineStr">
        <is>
          <t>NULL</t>
        </is>
      </c>
      <c r="H617" s="0" t="inlineStr">
        <is>
          <t>NULL</t>
        </is>
      </c>
      <c r="I617" s="0" t="inlineStr">
        <is>
          <t>NULL</t>
        </is>
      </c>
      <c r="J617" s="0" t="inlineStr">
        <is>
          <t>NULL</t>
        </is>
      </c>
      <c r="K617" s="0" t="inlineStr">
        <is>
          <t>[0;32m YES! [0m 	 c_decimal列源备映射正确，源端为sql_variant 0位	期望更改为VARCHAR(255)	实际备端为varchar 1020位	位数精度不存在，通过长度比较</t>
        </is>
      </c>
    </row>
    <row r="618">
      <c r="B618" s="0" t="inlineStr">
        <is>
          <t>NULL</t>
        </is>
      </c>
      <c r="C618" s="0" t="inlineStr">
        <is>
          <t>NULL</t>
        </is>
      </c>
      <c r="D618" s="0" t="inlineStr">
        <is>
          <t>NULL</t>
        </is>
      </c>
      <c r="E618" s="0" t="inlineStr">
        <is>
          <t>NULL</t>
        </is>
      </c>
      <c r="F618" s="0" t="inlineStr">
        <is>
          <t>NULL</t>
        </is>
      </c>
      <c r="G618" s="0" t="inlineStr">
        <is>
          <t>NULL</t>
        </is>
      </c>
      <c r="H618" s="0" t="inlineStr">
        <is>
          <t>NULL</t>
        </is>
      </c>
      <c r="I618" s="0" t="inlineStr">
        <is>
          <t>NULL</t>
        </is>
      </c>
      <c r="J618" s="0" t="inlineStr">
        <is>
          <t>NULL</t>
        </is>
      </c>
      <c r="K618" s="0" t="inlineStr">
        <is>
          <t>[0;32m YES! [0m 	 c_uniqueidentifier列源备映射正确，源端为sql_variant 0位	期望更改为VARCHAR(255)	实际备端为varchar 1020位	位数精度不存在，通过长度比较</t>
        </is>
      </c>
    </row>
    <row r="619">
      <c r="B619" s="0" t="inlineStr">
        <is>
          <t>NULL</t>
        </is>
      </c>
      <c r="C619" s="0" t="inlineStr">
        <is>
          <t>NULL</t>
        </is>
      </c>
      <c r="D619" s="0" t="inlineStr">
        <is>
          <t>NULL</t>
        </is>
      </c>
      <c r="E619" s="0" t="inlineStr">
        <is>
          <t>NULL</t>
        </is>
      </c>
      <c r="F619" s="0" t="inlineStr">
        <is>
          <t>NULL</t>
        </is>
      </c>
      <c r="G619" s="0" t="inlineStr">
        <is>
          <t>NULL</t>
        </is>
      </c>
      <c r="H619" s="0" t="inlineStr">
        <is>
          <t>NULL</t>
        </is>
      </c>
      <c r="I619" s="0" t="inlineStr">
        <is>
          <t>NULL</t>
        </is>
      </c>
      <c r="J619" s="0" t="inlineStr">
        <is>
          <t>NULL</t>
        </is>
      </c>
      <c r="K619" s="0" t="inlineStr">
        <is>
          <t>[0;32m YES! [0m 	 c_smallmoney列源备映射正确，源端为sql_variant 0位	期望更改为VARCHAR(255)	实际备端为varchar 1020位	位数精度不存在，通过长度比较</t>
        </is>
      </c>
    </row>
    <row r="620">
      <c r="B620" s="0" t="inlineStr">
        <is>
          <t>NULL</t>
        </is>
      </c>
      <c r="C620" s="0" t="inlineStr">
        <is>
          <t>NULL</t>
        </is>
      </c>
      <c r="D620" s="0" t="inlineStr">
        <is>
          <t>NULL</t>
        </is>
      </c>
      <c r="E620" s="0" t="inlineStr">
        <is>
          <t>NULL</t>
        </is>
      </c>
      <c r="F620" s="0" t="inlineStr">
        <is>
          <t>NULL</t>
        </is>
      </c>
      <c r="G620" s="0" t="inlineStr">
        <is>
          <t>NULL</t>
        </is>
      </c>
      <c r="H620" s="0" t="inlineStr">
        <is>
          <t>NULL</t>
        </is>
      </c>
      <c r="I620" s="0" t="inlineStr">
        <is>
          <t>NULL</t>
        </is>
      </c>
      <c r="J620" s="0" t="inlineStr">
        <is>
          <t>NULL</t>
        </is>
      </c>
      <c r="K620" s="0" t="inlineStr">
        <is>
          <t>[0;32m YES! [0m 	 c_bigint列源备映射正确，源端为sql_variant 0位	期望更改为VARCHAR(255)	实际备端为varchar 1020位	位数精度不存在，通过长度比较</t>
        </is>
      </c>
    </row>
    <row r="621">
      <c r="B621" s="0" t="inlineStr">
        <is>
          <t>NULL</t>
        </is>
      </c>
      <c r="C621" s="0" t="inlineStr">
        <is>
          <t>NULL</t>
        </is>
      </c>
      <c r="D621" s="0" t="inlineStr">
        <is>
          <t>NULL</t>
        </is>
      </c>
      <c r="E621" s="0" t="inlineStr">
        <is>
          <t>NULL</t>
        </is>
      </c>
      <c r="F621" s="0" t="inlineStr">
        <is>
          <t>NULL</t>
        </is>
      </c>
      <c r="G621" s="0" t="inlineStr">
        <is>
          <t>NULL</t>
        </is>
      </c>
      <c r="H621" s="0" t="inlineStr">
        <is>
          <t>NULL</t>
        </is>
      </c>
      <c r="I621" s="0" t="inlineStr">
        <is>
          <t>NULL</t>
        </is>
      </c>
      <c r="J621" s="0" t="inlineStr">
        <is>
          <t>NULL</t>
        </is>
      </c>
      <c r="K621" s="0" t="inlineStr">
        <is>
          <t>[0;32m YES! [0m 	 c_varbinary_20列源备映射正确，源端为sql_variant 0位	期望更改为VARCHAR(255)	实际备端为varchar 1020位	位数精度不存在，通过长度比较</t>
        </is>
      </c>
    </row>
    <row r="622">
      <c r="B622" s="0" t="inlineStr">
        <is>
          <t>NULL</t>
        </is>
      </c>
      <c r="C622" s="0" t="inlineStr">
        <is>
          <t>NULL</t>
        </is>
      </c>
      <c r="D622" s="0" t="inlineStr">
        <is>
          <t>NULL</t>
        </is>
      </c>
      <c r="E622" s="0" t="inlineStr">
        <is>
          <t>NULL</t>
        </is>
      </c>
      <c r="F622" s="0" t="inlineStr">
        <is>
          <t>NULL</t>
        </is>
      </c>
      <c r="G622" s="0" t="inlineStr">
        <is>
          <t>NULL</t>
        </is>
      </c>
      <c r="H622" s="0" t="inlineStr">
        <is>
          <t>NULL</t>
        </is>
      </c>
      <c r="I622" s="0" t="inlineStr">
        <is>
          <t>NULL</t>
        </is>
      </c>
      <c r="J622" s="0" t="inlineStr">
        <is>
          <t>NULL</t>
        </is>
      </c>
      <c r="K622" s="0" t="inlineStr">
        <is>
          <t>[0;32m YES! [0m 	 c_varchar_20列源备映射正确，源端为sql_variant 0位	期望更改为VARCHAR(255)	实际备端为varchar 1020位	位数精度不存在，通过长度比较</t>
        </is>
      </c>
    </row>
    <row r="623">
      <c r="B623" s="0" t="inlineStr">
        <is>
          <t>NULL</t>
        </is>
      </c>
      <c r="C623" s="0" t="inlineStr">
        <is>
          <t>NULL</t>
        </is>
      </c>
      <c r="D623" s="0" t="inlineStr">
        <is>
          <t>NULL</t>
        </is>
      </c>
      <c r="E623" s="0" t="inlineStr">
        <is>
          <t>NULL</t>
        </is>
      </c>
      <c r="F623" s="0" t="inlineStr">
        <is>
          <t>NULL</t>
        </is>
      </c>
      <c r="G623" s="0" t="inlineStr">
        <is>
          <t>NULL</t>
        </is>
      </c>
      <c r="H623" s="0" t="inlineStr">
        <is>
          <t>NULL</t>
        </is>
      </c>
      <c r="I623" s="0" t="inlineStr">
        <is>
          <t>NULL</t>
        </is>
      </c>
      <c r="J623" s="0" t="inlineStr">
        <is>
          <t>NULL</t>
        </is>
      </c>
      <c r="K623" s="0" t="inlineStr">
        <is>
          <t>[0;32m YES! [0m 	 c_binary_20列源备映射正确，源端为sql_variant 0位	期望更改为VARCHAR(255)	实际备端为varchar 1020位	位数精度不存在，通过长度比较</t>
        </is>
      </c>
    </row>
    <row r="624">
      <c r="B624" s="0" t="inlineStr">
        <is>
          <t>NULL</t>
        </is>
      </c>
      <c r="C624" s="0" t="inlineStr">
        <is>
          <t>NULL</t>
        </is>
      </c>
      <c r="D624" s="0" t="inlineStr">
        <is>
          <t>NULL</t>
        </is>
      </c>
      <c r="E624" s="0" t="inlineStr">
        <is>
          <t>NULL</t>
        </is>
      </c>
      <c r="F624" s="0" t="inlineStr">
        <is>
          <t>NULL</t>
        </is>
      </c>
      <c r="G624" s="0" t="inlineStr">
        <is>
          <t>NULL</t>
        </is>
      </c>
      <c r="H624" s="0" t="inlineStr">
        <is>
          <t>NULL</t>
        </is>
      </c>
      <c r="I624" s="0" t="inlineStr">
        <is>
          <t>NULL</t>
        </is>
      </c>
      <c r="J624" s="0" t="inlineStr">
        <is>
          <t>NULL</t>
        </is>
      </c>
      <c r="K624" s="0" t="inlineStr">
        <is>
          <t>[0;32m YES! [0m 	 c_char_20列源备映射正确，源端为sql_variant 0位	期望更改为VARCHAR(255)	实际备端为varchar 1020位	位数精度不存在，通过长度比较</t>
        </is>
      </c>
    </row>
    <row r="625">
      <c r="B625" s="0" t="inlineStr">
        <is>
          <t>NULL</t>
        </is>
      </c>
      <c r="C625" s="0" t="inlineStr">
        <is>
          <t>NULL</t>
        </is>
      </c>
      <c r="D625" s="0" t="inlineStr">
        <is>
          <t>NULL</t>
        </is>
      </c>
      <c r="E625" s="0" t="inlineStr">
        <is>
          <t>NULL</t>
        </is>
      </c>
      <c r="F625" s="0" t="inlineStr">
        <is>
          <t>NULL</t>
        </is>
      </c>
      <c r="G625" s="0" t="inlineStr">
        <is>
          <t>NULL</t>
        </is>
      </c>
      <c r="H625" s="0" t="inlineStr">
        <is>
          <t>NULL</t>
        </is>
      </c>
      <c r="I625" s="0" t="inlineStr">
        <is>
          <t>NULL</t>
        </is>
      </c>
      <c r="J625" s="0" t="inlineStr">
        <is>
          <t>NULL</t>
        </is>
      </c>
      <c r="K625" s="0" t="inlineStr">
        <is>
          <t>[0;32m YES! [0m 	 c_nvarchar_20列源备映射正确，源端为sql_variant 0位	期望更改为VARCHAR(255)	实际备端为varchar 1020位	位数精度不存在，通过长度比较</t>
        </is>
      </c>
    </row>
    <row r="626">
      <c r="B626" s="0" t="inlineStr">
        <is>
          <t>NULL</t>
        </is>
      </c>
      <c r="C626" s="0" t="inlineStr">
        <is>
          <t>NULL</t>
        </is>
      </c>
      <c r="D626" s="0" t="inlineStr">
        <is>
          <t>NULL</t>
        </is>
      </c>
      <c r="E626" s="0" t="inlineStr">
        <is>
          <t>NULL</t>
        </is>
      </c>
      <c r="F626" s="0" t="inlineStr">
        <is>
          <t>NULL</t>
        </is>
      </c>
      <c r="G626" s="0" t="inlineStr">
        <is>
          <t>NULL</t>
        </is>
      </c>
      <c r="H626" s="0" t="inlineStr">
        <is>
          <t>NULL</t>
        </is>
      </c>
      <c r="I626" s="0" t="inlineStr">
        <is>
          <t>NULL</t>
        </is>
      </c>
      <c r="J626" s="0" t="inlineStr">
        <is>
          <t>NULL</t>
        </is>
      </c>
      <c r="K626" s="0" t="inlineStr">
        <is>
          <t>[0;32m YES! [0m 	 c_nchar_20列源备映射正确，源端为sql_variant 0位	期望更改为VARCHAR(255)	实际备端为varchar 1020位	位数精度不存在，通过长度比较</t>
        </is>
      </c>
    </row>
    <row r="627">
      <c r="B627" s="0" t="inlineStr">
        <is>
          <t>NULL</t>
        </is>
      </c>
      <c r="C627" s="0" t="inlineStr">
        <is>
          <t>NULL</t>
        </is>
      </c>
      <c r="D627" s="0" t="inlineStr">
        <is>
          <t>NULL</t>
        </is>
      </c>
      <c r="E627" s="0" t="inlineStr">
        <is>
          <t>NULL</t>
        </is>
      </c>
      <c r="F627" s="0" t="inlineStr">
        <is>
          <t>NULL</t>
        </is>
      </c>
      <c r="G627" s="0" t="inlineStr">
        <is>
          <t>NULL</t>
        </is>
      </c>
      <c r="H627" s="0" t="inlineStr">
        <is>
          <t>NULL</t>
        </is>
      </c>
      <c r="I627" s="0" t="inlineStr">
        <is>
          <t>NULL</t>
        </is>
      </c>
      <c r="J627" s="0" t="inlineStr">
        <is>
          <t>NULL</t>
        </is>
      </c>
      <c r="K627" s="0" t="inlineStr">
        <is>
          <t>[0;32m YES! [0m 	 c_timestamp列源备映射正确，源端为timestamp None位	期望更改为binary(8)	实际备端为binary 8位	位数精度不存在，通过长度比较</t>
        </is>
      </c>
    </row>
    <row r="628">
      <c r="A628" s="0" t="inlineStr">
        <is>
          <t>info_nvarchar_dml_single_pk_irp</t>
        </is>
      </c>
      <c r="K628" s="0" t="inlineStr">
        <is>
          <t>[0;34m info_nvarchar_dml_single_pk_irp [0m源备字段数相同，源端字段：4 	备端字段4</t>
        </is>
      </c>
      <c r="W628" s="0" t="inlineStr">
        <is>
          <t>YES 源备无差异</t>
        </is>
      </c>
      <c r="X628" s="0">
        <f>A628</f>
        <v/>
      </c>
    </row>
    <row r="629">
      <c r="B629" s="0" t="inlineStr">
        <is>
          <t>YES</t>
        </is>
      </c>
      <c r="C629" s="0" t="inlineStr">
        <is>
          <t>NULL</t>
        </is>
      </c>
      <c r="D629" s="0" t="inlineStr">
        <is>
          <t>NULL</t>
        </is>
      </c>
      <c r="E629" s="0" t="inlineStr">
        <is>
          <t>NULL</t>
        </is>
      </c>
      <c r="F629" s="0" t="inlineStr">
        <is>
          <t>NULL</t>
        </is>
      </c>
      <c r="G629" s="0" t="inlineStr">
        <is>
          <t>NULL</t>
        </is>
      </c>
      <c r="H629" s="0" t="inlineStr">
        <is>
          <t>NULL</t>
        </is>
      </c>
      <c r="I629" s="0" t="inlineStr">
        <is>
          <t>YES!PK__info_nva__3213E83F20750FC0</t>
        </is>
      </c>
      <c r="J629" s="0" t="inlineStr">
        <is>
          <t>YES! 主键相关索引</t>
        </is>
      </c>
      <c r="K629" s="0" t="inlineStr">
        <is>
          <t>YES! 	 id列源备映射正确，源端为int None位	期望更改为int	实际备端为int None位</t>
        </is>
      </c>
    </row>
    <row r="630">
      <c r="B630" s="0" t="inlineStr">
        <is>
          <t>NULL</t>
        </is>
      </c>
      <c r="C630" s="0" t="inlineStr">
        <is>
          <t>NULL</t>
        </is>
      </c>
      <c r="D630" s="0" t="inlineStr">
        <is>
          <t>NULL</t>
        </is>
      </c>
      <c r="E630" s="0" t="inlineStr">
        <is>
          <t>NULL</t>
        </is>
      </c>
      <c r="F630" s="0" t="inlineStr">
        <is>
          <t>NULL</t>
        </is>
      </c>
      <c r="G630" s="0" t="inlineStr">
        <is>
          <t>NULL</t>
        </is>
      </c>
      <c r="H630" s="0" t="inlineStr">
        <is>
          <t>NULL</t>
        </is>
      </c>
      <c r="I630" s="0" t="inlineStr">
        <is>
          <t>NULL</t>
        </is>
      </c>
      <c r="J630" s="0" t="inlineStr">
        <is>
          <t>NULL</t>
        </is>
      </c>
      <c r="K630" s="0" t="inlineStr">
        <is>
          <t>YES! 	 c_nvarchar列源备映射正确，源端为nvarchar 2位	期望更改为varchar(n)	实际备端为varchar 4位</t>
        </is>
      </c>
    </row>
    <row r="631">
      <c r="B631" s="0" t="inlineStr">
        <is>
          <t>NULL</t>
        </is>
      </c>
      <c r="C631" s="0" t="inlineStr">
        <is>
          <t>NULL</t>
        </is>
      </c>
      <c r="D631" s="0" t="inlineStr">
        <is>
          <t>NULL</t>
        </is>
      </c>
      <c r="E631" s="0" t="inlineStr">
        <is>
          <t>NULL</t>
        </is>
      </c>
      <c r="F631" s="0" t="inlineStr">
        <is>
          <t>NULL</t>
        </is>
      </c>
      <c r="G631" s="0" t="inlineStr">
        <is>
          <t>NULL</t>
        </is>
      </c>
      <c r="H631" s="0" t="inlineStr">
        <is>
          <t>NULL</t>
        </is>
      </c>
      <c r="I631" s="0" t="inlineStr">
        <is>
          <t>NULL</t>
        </is>
      </c>
      <c r="J631" s="0" t="inlineStr">
        <is>
          <t>NULL</t>
        </is>
      </c>
      <c r="K631" s="0" t="inlineStr">
        <is>
          <t>YES! 	 c_nvarchar20列源备映射正确，源端为nvarchar 40位	期望更改为varchar(n)	实际备端为varchar 80位</t>
        </is>
      </c>
    </row>
    <row r="632">
      <c r="B632" s="0" t="inlineStr">
        <is>
          <t>NULL</t>
        </is>
      </c>
      <c r="C632" s="0" t="inlineStr">
        <is>
          <t>NULL</t>
        </is>
      </c>
      <c r="D632" s="0" t="inlineStr">
        <is>
          <t>NULL</t>
        </is>
      </c>
      <c r="E632" s="0" t="inlineStr">
        <is>
          <t>NULL</t>
        </is>
      </c>
      <c r="F632" s="0" t="inlineStr">
        <is>
          <t>NULL</t>
        </is>
      </c>
      <c r="G632" s="0" t="inlineStr">
        <is>
          <t>NULL</t>
        </is>
      </c>
      <c r="H632" s="0" t="inlineStr">
        <is>
          <t>NULL</t>
        </is>
      </c>
      <c r="I632" s="0" t="inlineStr">
        <is>
          <t>NULL</t>
        </is>
      </c>
      <c r="J632" s="0" t="inlineStr">
        <is>
          <t>NULL</t>
        </is>
      </c>
      <c r="K632" s="0" t="inlineStr">
        <is>
          <t xml:space="preserve"> NO!  	 c_nvarchar4000列源备映射错误，源端为nvarchar 8000位	期望更改为longtext	实际备端为text 65535位</t>
        </is>
      </c>
    </row>
    <row r="633">
      <c r="A633" s="0" t="inlineStr">
        <is>
          <t>info_datetime_dml_batch1_pk_irp1</t>
        </is>
      </c>
      <c r="K633" s="0" t="inlineStr">
        <is>
          <t>[0;34m info_datetime_dml_batch1_pk_irp1 [0m源备字段数相同，源端字段：2 	备端字段2</t>
        </is>
      </c>
      <c r="W633" s="0" t="inlineStr">
        <is>
          <t>YES 源备无差异</t>
        </is>
      </c>
      <c r="X633" s="0">
        <f>A633</f>
        <v/>
      </c>
    </row>
    <row r="634">
      <c r="B634" s="0" t="inlineStr">
        <is>
          <t>YES</t>
        </is>
      </c>
      <c r="C634" s="0" t="inlineStr">
        <is>
          <t>NULL</t>
        </is>
      </c>
      <c r="D634" s="0" t="inlineStr">
        <is>
          <t>NULL</t>
        </is>
      </c>
      <c r="E634" s="0" t="inlineStr">
        <is>
          <t>NULL</t>
        </is>
      </c>
      <c r="F634" s="0" t="inlineStr">
        <is>
          <t>NULL</t>
        </is>
      </c>
      <c r="G634" s="0" t="inlineStr">
        <is>
          <t>NULL</t>
        </is>
      </c>
      <c r="H634" s="0" t="inlineStr">
        <is>
          <t>NULL</t>
        </is>
      </c>
      <c r="I634" s="0" t="inlineStr">
        <is>
          <t>YES!PK__info_dat__3213E83F68737736</t>
        </is>
      </c>
      <c r="J634" s="0" t="inlineStr">
        <is>
          <t>YES! 主键相关索引</t>
        </is>
      </c>
      <c r="K634" s="0" t="inlineStr">
        <is>
          <t>YES! 	 id列源备映射正确，源端为int None位	期望更改为int	实际备端为int None位</t>
        </is>
      </c>
    </row>
    <row r="635">
      <c r="B635" s="0" t="inlineStr">
        <is>
          <t>NULL</t>
        </is>
      </c>
      <c r="C635" s="0" t="inlineStr">
        <is>
          <t>NULL</t>
        </is>
      </c>
      <c r="D635" s="0" t="inlineStr">
        <is>
          <t>NULL</t>
        </is>
      </c>
      <c r="E635" s="0" t="inlineStr">
        <is>
          <t>NULL</t>
        </is>
      </c>
      <c r="F635" s="0" t="inlineStr">
        <is>
          <t>NULL</t>
        </is>
      </c>
      <c r="G635" s="0" t="inlineStr">
        <is>
          <t>NULL</t>
        </is>
      </c>
      <c r="H635" s="0" t="inlineStr">
        <is>
          <t>NULL</t>
        </is>
      </c>
      <c r="I635" s="0" t="inlineStr">
        <is>
          <t>NULL</t>
        </is>
      </c>
      <c r="J635" s="0" t="inlineStr">
        <is>
          <t>NULL</t>
        </is>
      </c>
      <c r="K635" s="0" t="inlineStr">
        <is>
          <t>YES! 	 c_datetime列源备映射正确，源端为datetime None位	期望更改为datetime(3)	实际备端为datetime None位</t>
        </is>
      </c>
    </row>
    <row r="636">
      <c r="A636" s="0" t="inlineStr">
        <is>
          <t>info_varchar_dml_batch1_pk_urp2</t>
        </is>
      </c>
      <c r="K636" s="0" t="inlineStr">
        <is>
          <t>[0;34m info_varchar_dml_batch1_pk_urp2 [0m源备字段数相同，源端字段：4 	备端字段4</t>
        </is>
      </c>
      <c r="W636" s="0" t="inlineStr">
        <is>
          <t>YES 源备无差异</t>
        </is>
      </c>
      <c r="X636" s="0">
        <f>A636</f>
        <v/>
      </c>
    </row>
    <row r="637">
      <c r="B637" s="0" t="inlineStr">
        <is>
          <t>YES</t>
        </is>
      </c>
      <c r="C637" s="0" t="inlineStr">
        <is>
          <t>NULL</t>
        </is>
      </c>
      <c r="D637" s="0" t="inlineStr">
        <is>
          <t>NULL</t>
        </is>
      </c>
      <c r="E637" s="0" t="inlineStr">
        <is>
          <t>NULL</t>
        </is>
      </c>
      <c r="F637" s="0" t="inlineStr">
        <is>
          <t>NULL</t>
        </is>
      </c>
      <c r="G637" s="0" t="inlineStr">
        <is>
          <t>NULL</t>
        </is>
      </c>
      <c r="H637" s="0" t="inlineStr">
        <is>
          <t>NULL</t>
        </is>
      </c>
      <c r="I637" s="0" t="inlineStr">
        <is>
          <t>YES!PK__info_var__3213E83F4CFCFE42</t>
        </is>
      </c>
      <c r="J637" s="0" t="inlineStr">
        <is>
          <t>YES! 主键相关索引</t>
        </is>
      </c>
      <c r="K637" s="0" t="inlineStr">
        <is>
          <t>YES! 	 id列源备映射正确，源端为int None位	期望更改为int	实际备端为int None位</t>
        </is>
      </c>
    </row>
    <row r="638">
      <c r="B638" s="0" t="inlineStr">
        <is>
          <t>NULL</t>
        </is>
      </c>
      <c r="C638" s="0" t="inlineStr">
        <is>
          <t>NULL</t>
        </is>
      </c>
      <c r="D638" s="0" t="inlineStr">
        <is>
          <t>NULL</t>
        </is>
      </c>
      <c r="E638" s="0" t="inlineStr">
        <is>
          <t>NULL</t>
        </is>
      </c>
      <c r="F638" s="0" t="inlineStr">
        <is>
          <t>NULL</t>
        </is>
      </c>
      <c r="G638" s="0" t="inlineStr">
        <is>
          <t>NULL</t>
        </is>
      </c>
      <c r="H638" s="0" t="inlineStr">
        <is>
          <t>NULL</t>
        </is>
      </c>
      <c r="I638" s="0" t="inlineStr">
        <is>
          <t>NULL</t>
        </is>
      </c>
      <c r="J638" s="0" t="inlineStr">
        <is>
          <t>NULL</t>
        </is>
      </c>
      <c r="K638" s="0" t="inlineStr">
        <is>
          <t>YES! 	 c_varchar列源备映射正确，源端为varchar 1位	期望更改为varchar(n)	实际备端为varchar 4位</t>
        </is>
      </c>
    </row>
    <row r="639">
      <c r="B639" s="0" t="inlineStr">
        <is>
          <t>NULL</t>
        </is>
      </c>
      <c r="C639" s="0" t="inlineStr">
        <is>
          <t>NULL</t>
        </is>
      </c>
      <c r="D639" s="0" t="inlineStr">
        <is>
          <t>NULL</t>
        </is>
      </c>
      <c r="E639" s="0" t="inlineStr">
        <is>
          <t>NULL</t>
        </is>
      </c>
      <c r="F639" s="0" t="inlineStr">
        <is>
          <t>NULL</t>
        </is>
      </c>
      <c r="G639" s="0" t="inlineStr">
        <is>
          <t>NULL</t>
        </is>
      </c>
      <c r="H639" s="0" t="inlineStr">
        <is>
          <t>NULL</t>
        </is>
      </c>
      <c r="I639" s="0" t="inlineStr">
        <is>
          <t>NULL</t>
        </is>
      </c>
      <c r="J639" s="0" t="inlineStr">
        <is>
          <t>NULL</t>
        </is>
      </c>
      <c r="K639" s="0" t="inlineStr">
        <is>
          <t>YES! 	 c_varchar20列源备映射正确，源端为varchar 20位	期望更改为varchar(n)	实际备端为varchar 80位</t>
        </is>
      </c>
    </row>
    <row r="640">
      <c r="B640" s="0" t="inlineStr">
        <is>
          <t>NULL</t>
        </is>
      </c>
      <c r="C640" s="0" t="inlineStr">
        <is>
          <t>NULL</t>
        </is>
      </c>
      <c r="D640" s="0" t="inlineStr">
        <is>
          <t>NULL</t>
        </is>
      </c>
      <c r="E640" s="0" t="inlineStr">
        <is>
          <t>NULL</t>
        </is>
      </c>
      <c r="F640" s="0" t="inlineStr">
        <is>
          <t>NULL</t>
        </is>
      </c>
      <c r="G640" s="0" t="inlineStr">
        <is>
          <t>NULL</t>
        </is>
      </c>
      <c r="H640" s="0" t="inlineStr">
        <is>
          <t>NULL</t>
        </is>
      </c>
      <c r="I640" s="0" t="inlineStr">
        <is>
          <t>NULL</t>
        </is>
      </c>
      <c r="J640" s="0" t="inlineStr">
        <is>
          <t>NULL</t>
        </is>
      </c>
      <c r="K640" s="0" t="inlineStr">
        <is>
          <t xml:space="preserve"> NO!  	 c_varchar7000列源备映射错误，源端为varchar 7000位	期望更改为longtext	实际备端为text 65535位</t>
        </is>
      </c>
    </row>
    <row r="641">
      <c r="A641" s="0" t="inlineStr">
        <is>
          <t>info_text_dml_single_pk_irp</t>
        </is>
      </c>
      <c r="K641" s="0" t="inlineStr">
        <is>
          <t>[0;34m info_text_dml_single_pk_irp [0m源备字段数相同，源端字段：3 	备端字段3</t>
        </is>
      </c>
      <c r="W641" s="0" t="inlineStr">
        <is>
          <t>YES 源备无差异</t>
        </is>
      </c>
      <c r="X641" s="0">
        <f>A641</f>
        <v/>
      </c>
    </row>
    <row r="642">
      <c r="B642" s="0" t="inlineStr">
        <is>
          <t>YES</t>
        </is>
      </c>
      <c r="C642" s="0" t="inlineStr">
        <is>
          <t>NULL</t>
        </is>
      </c>
      <c r="D642" s="0" t="inlineStr">
        <is>
          <t>NULL</t>
        </is>
      </c>
      <c r="E642" s="0" t="inlineStr">
        <is>
          <t>NULL</t>
        </is>
      </c>
      <c r="F642" s="0" t="inlineStr">
        <is>
          <t>NULL</t>
        </is>
      </c>
      <c r="G642" s="0" t="inlineStr">
        <is>
          <t>NULL</t>
        </is>
      </c>
      <c r="H642" s="0" t="inlineStr">
        <is>
          <t>NULL</t>
        </is>
      </c>
      <c r="I642" s="0" t="inlineStr">
        <is>
          <t>YES!PK__info_tex__3213E83F50700C1A</t>
        </is>
      </c>
      <c r="J642" s="0" t="inlineStr">
        <is>
          <t>YES! 主键相关索引</t>
        </is>
      </c>
      <c r="K642" s="0" t="inlineStr">
        <is>
          <t>YES! 	 id列源备映射正确，源端为int None位	期望更改为int	实际备端为int None位</t>
        </is>
      </c>
    </row>
    <row r="643">
      <c r="B643" s="0" t="inlineStr">
        <is>
          <t>NULL</t>
        </is>
      </c>
      <c r="C643" s="0" t="inlineStr">
        <is>
          <t>NULL</t>
        </is>
      </c>
      <c r="D643" s="0" t="inlineStr">
        <is>
          <t>NULL</t>
        </is>
      </c>
      <c r="E643" s="0" t="inlineStr">
        <is>
          <t>NULL</t>
        </is>
      </c>
      <c r="F643" s="0" t="inlineStr">
        <is>
          <t>NULL</t>
        </is>
      </c>
      <c r="G643" s="0" t="inlineStr">
        <is>
          <t>NULL</t>
        </is>
      </c>
      <c r="H643" s="0" t="inlineStr">
        <is>
          <t>NULL</t>
        </is>
      </c>
      <c r="I643" s="0" t="inlineStr">
        <is>
          <t>NULL</t>
        </is>
      </c>
      <c r="J643" s="0" t="inlineStr">
        <is>
          <t>NULL</t>
        </is>
      </c>
      <c r="K643" s="0" t="inlineStr">
        <is>
          <t>YES! 	 c_text列源备映射正确，源端为text 2147483647位	期望更改为longtext	实际备端为longtext 4294967295位</t>
        </is>
      </c>
    </row>
    <row r="644">
      <c r="B644" s="0" t="inlineStr">
        <is>
          <t>NULL</t>
        </is>
      </c>
      <c r="C644" s="0" t="inlineStr">
        <is>
          <t>NULL</t>
        </is>
      </c>
      <c r="D644" s="0" t="inlineStr">
        <is>
          <t>NULL</t>
        </is>
      </c>
      <c r="E644" s="0" t="inlineStr">
        <is>
          <t>NULL</t>
        </is>
      </c>
      <c r="F644" s="0" t="inlineStr">
        <is>
          <t>NULL</t>
        </is>
      </c>
      <c r="G644" s="0" t="inlineStr">
        <is>
          <t>NULL</t>
        </is>
      </c>
      <c r="H644" s="0" t="inlineStr">
        <is>
          <t>NULL</t>
        </is>
      </c>
      <c r="I644" s="0" t="inlineStr">
        <is>
          <t>NULL</t>
        </is>
      </c>
      <c r="J644" s="0" t="inlineStr">
        <is>
          <t>NULL</t>
        </is>
      </c>
      <c r="K644" s="0" t="inlineStr">
        <is>
          <t>YES! 	 c_ntext列源备映射正确，源端为ntext 2147483646位	期望更改为longtext	实际备端为longtext 4294967295位</t>
        </is>
      </c>
    </row>
    <row r="645">
      <c r="A645" s="0" t="inlineStr">
        <is>
          <t>info_nvarchar_dml_single_pk_urp</t>
        </is>
      </c>
      <c r="K645" s="0" t="inlineStr">
        <is>
          <t>[0;34m info_nvarchar_dml_single_pk_urp [0m源备字段数相同，源端字段：4 	备端字段4</t>
        </is>
      </c>
      <c r="W645" s="0" t="inlineStr">
        <is>
          <t>YES 源备无差异</t>
        </is>
      </c>
      <c r="X645" s="0">
        <f>A645</f>
        <v/>
      </c>
    </row>
    <row r="646">
      <c r="B646" s="0" t="inlineStr">
        <is>
          <t>YES</t>
        </is>
      </c>
      <c r="C646" s="0" t="inlineStr">
        <is>
          <t>NULL</t>
        </is>
      </c>
      <c r="D646" s="0" t="inlineStr">
        <is>
          <t>NULL</t>
        </is>
      </c>
      <c r="E646" s="0" t="inlineStr">
        <is>
          <t>NULL</t>
        </is>
      </c>
      <c r="F646" s="0" t="inlineStr">
        <is>
          <t>NULL</t>
        </is>
      </c>
      <c r="G646" s="0" t="inlineStr">
        <is>
          <t>NULL</t>
        </is>
      </c>
      <c r="H646" s="0" t="inlineStr">
        <is>
          <t>NULL</t>
        </is>
      </c>
      <c r="I646" s="0" t="inlineStr">
        <is>
          <t>YES!PK__info_nva__3213E83F53891649</t>
        </is>
      </c>
      <c r="J646" s="0" t="inlineStr">
        <is>
          <t>YES! 主键相关索引</t>
        </is>
      </c>
      <c r="K646" s="0" t="inlineStr">
        <is>
          <t>YES! 	 id列源备映射正确，源端为int None位	期望更改为int	实际备端为int None位</t>
        </is>
      </c>
    </row>
    <row r="647">
      <c r="B647" s="0" t="inlineStr">
        <is>
          <t>NULL</t>
        </is>
      </c>
      <c r="C647" s="0" t="inlineStr">
        <is>
          <t>NULL</t>
        </is>
      </c>
      <c r="D647" s="0" t="inlineStr">
        <is>
          <t>NULL</t>
        </is>
      </c>
      <c r="E647" s="0" t="inlineStr">
        <is>
          <t>NULL</t>
        </is>
      </c>
      <c r="F647" s="0" t="inlineStr">
        <is>
          <t>NULL</t>
        </is>
      </c>
      <c r="G647" s="0" t="inlineStr">
        <is>
          <t>NULL</t>
        </is>
      </c>
      <c r="H647" s="0" t="inlineStr">
        <is>
          <t>NULL</t>
        </is>
      </c>
      <c r="I647" s="0" t="inlineStr">
        <is>
          <t>NULL</t>
        </is>
      </c>
      <c r="J647" s="0" t="inlineStr">
        <is>
          <t>NULL</t>
        </is>
      </c>
      <c r="K647" s="0" t="inlineStr">
        <is>
          <t>YES! 	 c_nvarchar列源备映射正确，源端为nvarchar 2位	期望更改为varchar(n)	实际备端为varchar 4位</t>
        </is>
      </c>
    </row>
    <row r="648">
      <c r="B648" s="0" t="inlineStr">
        <is>
          <t>NULL</t>
        </is>
      </c>
      <c r="C648" s="0" t="inlineStr">
        <is>
          <t>NULL</t>
        </is>
      </c>
      <c r="D648" s="0" t="inlineStr">
        <is>
          <t>NULL</t>
        </is>
      </c>
      <c r="E648" s="0" t="inlineStr">
        <is>
          <t>NULL</t>
        </is>
      </c>
      <c r="F648" s="0" t="inlineStr">
        <is>
          <t>NULL</t>
        </is>
      </c>
      <c r="G648" s="0" t="inlineStr">
        <is>
          <t>NULL</t>
        </is>
      </c>
      <c r="H648" s="0" t="inlineStr">
        <is>
          <t>NULL</t>
        </is>
      </c>
      <c r="I648" s="0" t="inlineStr">
        <is>
          <t>NULL</t>
        </is>
      </c>
      <c r="J648" s="0" t="inlineStr">
        <is>
          <t>NULL</t>
        </is>
      </c>
      <c r="K648" s="0" t="inlineStr">
        <is>
          <t>YES! 	 c_nvarchar20列源备映射正确，源端为nvarchar 40位	期望更改为varchar(n)	实际备端为varchar 80位</t>
        </is>
      </c>
    </row>
    <row r="649">
      <c r="B649" s="0" t="inlineStr">
        <is>
          <t>NULL</t>
        </is>
      </c>
      <c r="C649" s="0" t="inlineStr">
        <is>
          <t>NULL</t>
        </is>
      </c>
      <c r="D649" s="0" t="inlineStr">
        <is>
          <t>NULL</t>
        </is>
      </c>
      <c r="E649" s="0" t="inlineStr">
        <is>
          <t>NULL</t>
        </is>
      </c>
      <c r="F649" s="0" t="inlineStr">
        <is>
          <t>NULL</t>
        </is>
      </c>
      <c r="G649" s="0" t="inlineStr">
        <is>
          <t>NULL</t>
        </is>
      </c>
      <c r="H649" s="0" t="inlineStr">
        <is>
          <t>NULL</t>
        </is>
      </c>
      <c r="I649" s="0" t="inlineStr">
        <is>
          <t>NULL</t>
        </is>
      </c>
      <c r="J649" s="0" t="inlineStr">
        <is>
          <t>NULL</t>
        </is>
      </c>
      <c r="K649" s="0" t="inlineStr">
        <is>
          <t xml:space="preserve"> NO!  	 c_nvarchar4000列源备映射错误，源端为nvarchar 8000位	期望更改为longtext	实际备端为text 65535位</t>
        </is>
      </c>
    </row>
    <row r="650">
      <c r="A650" s="0" t="inlineStr">
        <is>
          <t>info_datetime_dml_batch1_pk_irp2</t>
        </is>
      </c>
      <c r="K650" s="0" t="inlineStr">
        <is>
          <t>[0;34m info_datetime_dml_batch1_pk_irp2 [0m源备字段数相同，源端字段：2 	备端字段2</t>
        </is>
      </c>
      <c r="W650" s="0" t="inlineStr">
        <is>
          <t>YES 源备无差异</t>
        </is>
      </c>
      <c r="X650" s="0">
        <f>A650</f>
        <v/>
      </c>
    </row>
    <row r="651">
      <c r="B651" s="0" t="inlineStr">
        <is>
          <t>YES</t>
        </is>
      </c>
      <c r="C651" s="0" t="inlineStr">
        <is>
          <t>NULL</t>
        </is>
      </c>
      <c r="D651" s="0" t="inlineStr">
        <is>
          <t>NULL</t>
        </is>
      </c>
      <c r="E651" s="0" t="inlineStr">
        <is>
          <t>NULL</t>
        </is>
      </c>
      <c r="F651" s="0" t="inlineStr">
        <is>
          <t>NULL</t>
        </is>
      </c>
      <c r="G651" s="0" t="inlineStr">
        <is>
          <t>NULL</t>
        </is>
      </c>
      <c r="H651" s="0" t="inlineStr">
        <is>
          <t>NULL</t>
        </is>
      </c>
      <c r="I651" s="0" t="inlineStr">
        <is>
          <t>YES!PK__info_dat__3213E83F21CD4C86</t>
        </is>
      </c>
      <c r="J651" s="0" t="inlineStr">
        <is>
          <t>YES! 主键相关索引</t>
        </is>
      </c>
      <c r="K651" s="0" t="inlineStr">
        <is>
          <t>YES! 	 id列源备映射正确，源端为int None位	期望更改为int	实际备端为int None位</t>
        </is>
      </c>
    </row>
    <row r="652">
      <c r="B652" s="0" t="inlineStr">
        <is>
          <t>NULL</t>
        </is>
      </c>
      <c r="C652" s="0" t="inlineStr">
        <is>
          <t>NULL</t>
        </is>
      </c>
      <c r="D652" s="0" t="inlineStr">
        <is>
          <t>NULL</t>
        </is>
      </c>
      <c r="E652" s="0" t="inlineStr">
        <is>
          <t>NULL</t>
        </is>
      </c>
      <c r="F652" s="0" t="inlineStr">
        <is>
          <t>NULL</t>
        </is>
      </c>
      <c r="G652" s="0" t="inlineStr">
        <is>
          <t>NULL</t>
        </is>
      </c>
      <c r="H652" s="0" t="inlineStr">
        <is>
          <t>NULL</t>
        </is>
      </c>
      <c r="I652" s="0" t="inlineStr">
        <is>
          <t>NULL</t>
        </is>
      </c>
      <c r="J652" s="0" t="inlineStr">
        <is>
          <t>NULL</t>
        </is>
      </c>
      <c r="K652" s="0" t="inlineStr">
        <is>
          <t>YES! 	 c_datetime列源备映射正确，源端为datetime None位	期望更改为datetime(3)	实际备端为datetime None位</t>
        </is>
      </c>
    </row>
    <row r="653">
      <c r="A653" s="0" t="inlineStr">
        <is>
          <t>info_varchar_dml_batch1_pk_drp1</t>
        </is>
      </c>
      <c r="K653" s="0" t="inlineStr">
        <is>
          <t>[0;34m info_varchar_dml_batch1_pk_drp1 [0m源备字段数相同，源端字段：4 	备端字段4</t>
        </is>
      </c>
      <c r="W653" s="0" t="inlineStr">
        <is>
          <t>YES 源备无差异</t>
        </is>
      </c>
      <c r="X653" s="0">
        <f>A653</f>
        <v/>
      </c>
    </row>
    <row r="654">
      <c r="B654" s="0" t="inlineStr">
        <is>
          <t>YES</t>
        </is>
      </c>
      <c r="C654" s="0" t="inlineStr">
        <is>
          <t>NULL</t>
        </is>
      </c>
      <c r="D654" s="0" t="inlineStr">
        <is>
          <t>NULL</t>
        </is>
      </c>
      <c r="E654" s="0" t="inlineStr">
        <is>
          <t>NULL</t>
        </is>
      </c>
      <c r="F654" s="0" t="inlineStr">
        <is>
          <t>NULL</t>
        </is>
      </c>
      <c r="G654" s="0" t="inlineStr">
        <is>
          <t>NULL</t>
        </is>
      </c>
      <c r="H654" s="0" t="inlineStr">
        <is>
          <t>NULL</t>
        </is>
      </c>
      <c r="I654" s="0" t="inlineStr">
        <is>
          <t>YES!PK__info_var__3213E83F0FF499FE</t>
        </is>
      </c>
      <c r="J654" s="0" t="inlineStr">
        <is>
          <t>YES! 主键相关索引</t>
        </is>
      </c>
      <c r="K654" s="0" t="inlineStr">
        <is>
          <t>YES! 	 id列源备映射正确，源端为int None位	期望更改为int	实际备端为int None位</t>
        </is>
      </c>
    </row>
    <row r="655">
      <c r="B655" s="0" t="inlineStr">
        <is>
          <t>NULL</t>
        </is>
      </c>
      <c r="C655" s="0" t="inlineStr">
        <is>
          <t>NULL</t>
        </is>
      </c>
      <c r="D655" s="0" t="inlineStr">
        <is>
          <t>NULL</t>
        </is>
      </c>
      <c r="E655" s="0" t="inlineStr">
        <is>
          <t>NULL</t>
        </is>
      </c>
      <c r="F655" s="0" t="inlineStr">
        <is>
          <t>NULL</t>
        </is>
      </c>
      <c r="G655" s="0" t="inlineStr">
        <is>
          <t>NULL</t>
        </is>
      </c>
      <c r="H655" s="0" t="inlineStr">
        <is>
          <t>NULL</t>
        </is>
      </c>
      <c r="I655" s="0" t="inlineStr">
        <is>
          <t>NULL</t>
        </is>
      </c>
      <c r="J655" s="0" t="inlineStr">
        <is>
          <t>NULL</t>
        </is>
      </c>
      <c r="K655" s="0" t="inlineStr">
        <is>
          <t>YES! 	 c_varchar列源备映射正确，源端为varchar 1位	期望更改为varchar(n)	实际备端为varchar 4位</t>
        </is>
      </c>
    </row>
    <row r="656">
      <c r="B656" s="0" t="inlineStr">
        <is>
          <t>NULL</t>
        </is>
      </c>
      <c r="C656" s="0" t="inlineStr">
        <is>
          <t>NULL</t>
        </is>
      </c>
      <c r="D656" s="0" t="inlineStr">
        <is>
          <t>NULL</t>
        </is>
      </c>
      <c r="E656" s="0" t="inlineStr">
        <is>
          <t>NULL</t>
        </is>
      </c>
      <c r="F656" s="0" t="inlineStr">
        <is>
          <t>NULL</t>
        </is>
      </c>
      <c r="G656" s="0" t="inlineStr">
        <is>
          <t>NULL</t>
        </is>
      </c>
      <c r="H656" s="0" t="inlineStr">
        <is>
          <t>NULL</t>
        </is>
      </c>
      <c r="I656" s="0" t="inlineStr">
        <is>
          <t>NULL</t>
        </is>
      </c>
      <c r="J656" s="0" t="inlineStr">
        <is>
          <t>NULL</t>
        </is>
      </c>
      <c r="K656" s="0" t="inlineStr">
        <is>
          <t>YES! 	 c_varchar20列源备映射正确，源端为varchar 20位	期望更改为varchar(n)	实际备端为varchar 80位</t>
        </is>
      </c>
    </row>
    <row r="657">
      <c r="B657" s="0" t="inlineStr">
        <is>
          <t>NULL</t>
        </is>
      </c>
      <c r="C657" s="0" t="inlineStr">
        <is>
          <t>NULL</t>
        </is>
      </c>
      <c r="D657" s="0" t="inlineStr">
        <is>
          <t>NULL</t>
        </is>
      </c>
      <c r="E657" s="0" t="inlineStr">
        <is>
          <t>NULL</t>
        </is>
      </c>
      <c r="F657" s="0" t="inlineStr">
        <is>
          <t>NULL</t>
        </is>
      </c>
      <c r="G657" s="0" t="inlineStr">
        <is>
          <t>NULL</t>
        </is>
      </c>
      <c r="H657" s="0" t="inlineStr">
        <is>
          <t>NULL</t>
        </is>
      </c>
      <c r="I657" s="0" t="inlineStr">
        <is>
          <t>NULL</t>
        </is>
      </c>
      <c r="J657" s="0" t="inlineStr">
        <is>
          <t>NULL</t>
        </is>
      </c>
      <c r="K657" s="0" t="inlineStr">
        <is>
          <t xml:space="preserve"> NO!  	 c_varchar7000列源备映射错误，源端为varchar 7000位	期望更改为longtext	实际备端为text 65535位</t>
        </is>
      </c>
    </row>
    <row r="658">
      <c r="K658" s="0" t="inlineStr">
        <is>
          <t>~ 空表</t>
        </is>
      </c>
    </row>
    <row r="659">
      <c r="A659" s="0" t="inlineStr">
        <is>
          <t>info_text_dml_single_pk_urp</t>
        </is>
      </c>
      <c r="K659" s="0" t="inlineStr">
        <is>
          <t>[0;34m info_text_dml_single_pk_urp [0m源备字段数相同，源端字段：3 	备端字段3</t>
        </is>
      </c>
      <c r="W659" s="0" t="inlineStr">
        <is>
          <t>YES 源备无差异</t>
        </is>
      </c>
      <c r="X659" s="0">
        <f>A659</f>
        <v/>
      </c>
    </row>
    <row r="660">
      <c r="B660" s="0" t="inlineStr">
        <is>
          <t>YES</t>
        </is>
      </c>
      <c r="C660" s="0" t="inlineStr">
        <is>
          <t>NULL</t>
        </is>
      </c>
      <c r="D660" s="0" t="inlineStr">
        <is>
          <t>NULL</t>
        </is>
      </c>
      <c r="E660" s="0" t="inlineStr">
        <is>
          <t>NULL</t>
        </is>
      </c>
      <c r="F660" s="0" t="inlineStr">
        <is>
          <t>NULL</t>
        </is>
      </c>
      <c r="G660" s="0" t="inlineStr">
        <is>
          <t>NULL</t>
        </is>
      </c>
      <c r="H660" s="0" t="inlineStr">
        <is>
          <t>NULL</t>
        </is>
      </c>
      <c r="I660" s="0" t="inlineStr">
        <is>
          <t>YES!PK__info_tex__3213E83FEE1A52C4</t>
        </is>
      </c>
      <c r="J660" s="0" t="inlineStr">
        <is>
          <t>YES! 主键相关索引</t>
        </is>
      </c>
      <c r="K660" s="0" t="inlineStr">
        <is>
          <t>YES! 	 id列源备映射正确，源端为int None位	期望更改为int	实际备端为int None位</t>
        </is>
      </c>
    </row>
    <row r="661">
      <c r="B661" s="0" t="inlineStr">
        <is>
          <t>NULL</t>
        </is>
      </c>
      <c r="C661" s="0" t="inlineStr">
        <is>
          <t>NULL</t>
        </is>
      </c>
      <c r="D661" s="0" t="inlineStr">
        <is>
          <t>NULL</t>
        </is>
      </c>
      <c r="E661" s="0" t="inlineStr">
        <is>
          <t>NULL</t>
        </is>
      </c>
      <c r="F661" s="0" t="inlineStr">
        <is>
          <t>NULL</t>
        </is>
      </c>
      <c r="G661" s="0" t="inlineStr">
        <is>
          <t>NULL</t>
        </is>
      </c>
      <c r="H661" s="0" t="inlineStr">
        <is>
          <t>NULL</t>
        </is>
      </c>
      <c r="I661" s="0" t="inlineStr">
        <is>
          <t>NULL</t>
        </is>
      </c>
      <c r="J661" s="0" t="inlineStr">
        <is>
          <t>NULL</t>
        </is>
      </c>
      <c r="K661" s="0" t="inlineStr">
        <is>
          <t>YES! 	 c_text列源备映射正确，源端为text 2147483647位	期望更改为longtext	实际备端为longtext 4294967295位</t>
        </is>
      </c>
    </row>
    <row r="662">
      <c r="B662" s="0" t="inlineStr">
        <is>
          <t>NULL</t>
        </is>
      </c>
      <c r="C662" s="0" t="inlineStr">
        <is>
          <t>NULL</t>
        </is>
      </c>
      <c r="D662" s="0" t="inlineStr">
        <is>
          <t>NULL</t>
        </is>
      </c>
      <c r="E662" s="0" t="inlineStr">
        <is>
          <t>NULL</t>
        </is>
      </c>
      <c r="F662" s="0" t="inlineStr">
        <is>
          <t>NULL</t>
        </is>
      </c>
      <c r="G662" s="0" t="inlineStr">
        <is>
          <t>NULL</t>
        </is>
      </c>
      <c r="H662" s="0" t="inlineStr">
        <is>
          <t>NULL</t>
        </is>
      </c>
      <c r="I662" s="0" t="inlineStr">
        <is>
          <t>NULL</t>
        </is>
      </c>
      <c r="J662" s="0" t="inlineStr">
        <is>
          <t>NULL</t>
        </is>
      </c>
      <c r="K662" s="0" t="inlineStr">
        <is>
          <t>YES! 	 c_ntext列源备映射正确，源端为ntext 2147483646位	期望更改为longtext	实际备端为longtext 4294967295位</t>
        </is>
      </c>
    </row>
    <row r="663">
      <c r="A663" s="0" t="inlineStr">
        <is>
          <t>info_nvarchar_dml_single_pk_drp</t>
        </is>
      </c>
      <c r="K663" s="0" t="inlineStr">
        <is>
          <t>[0;34m info_nvarchar_dml_single_pk_drp [0m源备字段数相同，源端字段：4 	备端字段4</t>
        </is>
      </c>
      <c r="W663" s="0" t="inlineStr">
        <is>
          <t>YES 源备无差异</t>
        </is>
      </c>
      <c r="X663" s="0">
        <f>A663</f>
        <v/>
      </c>
    </row>
    <row r="664">
      <c r="B664" s="0" t="inlineStr">
        <is>
          <t>YES</t>
        </is>
      </c>
      <c r="C664" s="0" t="inlineStr">
        <is>
          <t>NULL</t>
        </is>
      </c>
      <c r="D664" s="0" t="inlineStr">
        <is>
          <t>NULL</t>
        </is>
      </c>
      <c r="E664" s="0" t="inlineStr">
        <is>
          <t>NULL</t>
        </is>
      </c>
      <c r="F664" s="0" t="inlineStr">
        <is>
          <t>NULL</t>
        </is>
      </c>
      <c r="G664" s="0" t="inlineStr">
        <is>
          <t>NULL</t>
        </is>
      </c>
      <c r="H664" s="0" t="inlineStr">
        <is>
          <t>NULL</t>
        </is>
      </c>
      <c r="I664" s="0" t="inlineStr">
        <is>
          <t>YES!PK__info_nva__3213E83FA5AB5E4B</t>
        </is>
      </c>
      <c r="J664" s="0" t="inlineStr">
        <is>
          <t>YES! 主键相关索引</t>
        </is>
      </c>
      <c r="K664" s="0" t="inlineStr">
        <is>
          <t>YES! 	 id列源备映射正确，源端为int None位	期望更改为int	实际备端为int None位</t>
        </is>
      </c>
    </row>
    <row r="665">
      <c r="B665" s="0" t="inlineStr">
        <is>
          <t>NULL</t>
        </is>
      </c>
      <c r="C665" s="0" t="inlineStr">
        <is>
          <t>NULL</t>
        </is>
      </c>
      <c r="D665" s="0" t="inlineStr">
        <is>
          <t>NULL</t>
        </is>
      </c>
      <c r="E665" s="0" t="inlineStr">
        <is>
          <t>NULL</t>
        </is>
      </c>
      <c r="F665" s="0" t="inlineStr">
        <is>
          <t>NULL</t>
        </is>
      </c>
      <c r="G665" s="0" t="inlineStr">
        <is>
          <t>NULL</t>
        </is>
      </c>
      <c r="H665" s="0" t="inlineStr">
        <is>
          <t>NULL</t>
        </is>
      </c>
      <c r="I665" s="0" t="inlineStr">
        <is>
          <t>NULL</t>
        </is>
      </c>
      <c r="J665" s="0" t="inlineStr">
        <is>
          <t>NULL</t>
        </is>
      </c>
      <c r="K665" s="0" t="inlineStr">
        <is>
          <t>YES! 	 c_nvarchar列源备映射正确，源端为nvarchar 2位	期望更改为varchar(n)	实际备端为varchar 4位</t>
        </is>
      </c>
    </row>
    <row r="666">
      <c r="B666" s="0" t="inlineStr">
        <is>
          <t>NULL</t>
        </is>
      </c>
      <c r="C666" s="0" t="inlineStr">
        <is>
          <t>NULL</t>
        </is>
      </c>
      <c r="D666" s="0" t="inlineStr">
        <is>
          <t>NULL</t>
        </is>
      </c>
      <c r="E666" s="0" t="inlineStr">
        <is>
          <t>NULL</t>
        </is>
      </c>
      <c r="F666" s="0" t="inlineStr">
        <is>
          <t>NULL</t>
        </is>
      </c>
      <c r="G666" s="0" t="inlineStr">
        <is>
          <t>NULL</t>
        </is>
      </c>
      <c r="H666" s="0" t="inlineStr">
        <is>
          <t>NULL</t>
        </is>
      </c>
      <c r="I666" s="0" t="inlineStr">
        <is>
          <t>NULL</t>
        </is>
      </c>
      <c r="J666" s="0" t="inlineStr">
        <is>
          <t>NULL</t>
        </is>
      </c>
      <c r="K666" s="0" t="inlineStr">
        <is>
          <t>YES! 	 c_nvarchar20列源备映射正确，源端为nvarchar 40位	期望更改为varchar(n)	实际备端为varchar 80位</t>
        </is>
      </c>
    </row>
    <row r="667">
      <c r="B667" s="0" t="inlineStr">
        <is>
          <t>NULL</t>
        </is>
      </c>
      <c r="C667" s="0" t="inlineStr">
        <is>
          <t>NULL</t>
        </is>
      </c>
      <c r="D667" s="0" t="inlineStr">
        <is>
          <t>NULL</t>
        </is>
      </c>
      <c r="E667" s="0" t="inlineStr">
        <is>
          <t>NULL</t>
        </is>
      </c>
      <c r="F667" s="0" t="inlineStr">
        <is>
          <t>NULL</t>
        </is>
      </c>
      <c r="G667" s="0" t="inlineStr">
        <is>
          <t>NULL</t>
        </is>
      </c>
      <c r="H667" s="0" t="inlineStr">
        <is>
          <t>NULL</t>
        </is>
      </c>
      <c r="I667" s="0" t="inlineStr">
        <is>
          <t>NULL</t>
        </is>
      </c>
      <c r="J667" s="0" t="inlineStr">
        <is>
          <t>NULL</t>
        </is>
      </c>
      <c r="K667" s="0" t="inlineStr">
        <is>
          <t xml:space="preserve"> NO!  	 c_nvarchar4000列源备映射错误，源端为nvarchar 8000位	期望更改为longtext	实际备端为text 65535位</t>
        </is>
      </c>
    </row>
    <row r="668">
      <c r="A668" s="0" t="inlineStr">
        <is>
          <t>info_nvarchar_dml_single_nopk_urp</t>
        </is>
      </c>
      <c r="K668" s="0" t="inlineStr">
        <is>
          <t>[0;34m info_nvarchar_dml_single_nopk_urp [0m源备字段数相同，源端字段：4 	备端字段4</t>
        </is>
      </c>
      <c r="W668" s="0" t="inlineStr">
        <is>
          <t>YES 源备无差异</t>
        </is>
      </c>
      <c r="X668" s="0">
        <f>A668</f>
        <v/>
      </c>
    </row>
    <row r="669">
      <c r="B669" s="0" t="inlineStr">
        <is>
          <t>NULL</t>
        </is>
      </c>
      <c r="C669" s="0" t="inlineStr">
        <is>
          <t>NULL</t>
        </is>
      </c>
      <c r="D669" s="0" t="inlineStr">
        <is>
          <t>NULL</t>
        </is>
      </c>
      <c r="E669" s="0" t="inlineStr">
        <is>
          <t>NULL</t>
        </is>
      </c>
      <c r="F669" s="0" t="inlineStr">
        <is>
          <t>NULL</t>
        </is>
      </c>
      <c r="G669" s="0" t="inlineStr">
        <is>
          <t>NULL</t>
        </is>
      </c>
      <c r="H669" s="0" t="inlineStr">
        <is>
          <t>NULL</t>
        </is>
      </c>
      <c r="I669" s="0" t="inlineStr">
        <is>
          <t>NULL</t>
        </is>
      </c>
      <c r="J669" s="0" t="inlineStr">
        <is>
          <t>NULL</t>
        </is>
      </c>
      <c r="K669" s="0" t="inlineStr">
        <is>
          <t>YES! 	 id列源备映射正确，源端为int None位	期望更改为int	实际备端为int None位</t>
        </is>
      </c>
    </row>
    <row r="670">
      <c r="B670" s="0" t="inlineStr">
        <is>
          <t>NULL</t>
        </is>
      </c>
      <c r="C670" s="0" t="inlineStr">
        <is>
          <t>NULL</t>
        </is>
      </c>
      <c r="D670" s="0" t="inlineStr">
        <is>
          <t>NULL</t>
        </is>
      </c>
      <c r="E670" s="0" t="inlineStr">
        <is>
          <t>NULL</t>
        </is>
      </c>
      <c r="F670" s="0" t="inlineStr">
        <is>
          <t>NULL</t>
        </is>
      </c>
      <c r="G670" s="0" t="inlineStr">
        <is>
          <t>NULL</t>
        </is>
      </c>
      <c r="H670" s="0" t="inlineStr">
        <is>
          <t>NULL</t>
        </is>
      </c>
      <c r="I670" s="0" t="inlineStr">
        <is>
          <t>NULL</t>
        </is>
      </c>
      <c r="J670" s="0" t="inlineStr">
        <is>
          <t>NULL</t>
        </is>
      </c>
      <c r="K670" s="0" t="inlineStr">
        <is>
          <t>YES! 	 c_nvarchar列源备映射正确，源端为nvarchar 2位	期望更改为varchar(n)	实际备端为varchar 4位</t>
        </is>
      </c>
    </row>
    <row r="671">
      <c r="B671" s="0" t="inlineStr">
        <is>
          <t>NULL</t>
        </is>
      </c>
      <c r="C671" s="0" t="inlineStr">
        <is>
          <t>NULL</t>
        </is>
      </c>
      <c r="D671" s="0" t="inlineStr">
        <is>
          <t>NULL</t>
        </is>
      </c>
      <c r="E671" s="0" t="inlineStr">
        <is>
          <t>NULL</t>
        </is>
      </c>
      <c r="F671" s="0" t="inlineStr">
        <is>
          <t>NULL</t>
        </is>
      </c>
      <c r="G671" s="0" t="inlineStr">
        <is>
          <t>NULL</t>
        </is>
      </c>
      <c r="H671" s="0" t="inlineStr">
        <is>
          <t>NULL</t>
        </is>
      </c>
      <c r="I671" s="0" t="inlineStr">
        <is>
          <t>NULL</t>
        </is>
      </c>
      <c r="J671" s="0" t="inlineStr">
        <is>
          <t>NULL</t>
        </is>
      </c>
      <c r="K671" s="0" t="inlineStr">
        <is>
          <t>YES! 	 c_nvarchar20列源备映射正确，源端为nvarchar 40位	期望更改为varchar(n)	实际备端为varchar 80位</t>
        </is>
      </c>
    </row>
    <row r="672">
      <c r="B672" s="0" t="inlineStr">
        <is>
          <t>NULL</t>
        </is>
      </c>
      <c r="C672" s="0" t="inlineStr">
        <is>
          <t>NULL</t>
        </is>
      </c>
      <c r="D672" s="0" t="inlineStr">
        <is>
          <t>NULL</t>
        </is>
      </c>
      <c r="E672" s="0" t="inlineStr">
        <is>
          <t>NULL</t>
        </is>
      </c>
      <c r="F672" s="0" t="inlineStr">
        <is>
          <t>NULL</t>
        </is>
      </c>
      <c r="G672" s="0" t="inlineStr">
        <is>
          <t>NULL</t>
        </is>
      </c>
      <c r="H672" s="0" t="inlineStr">
        <is>
          <t>NULL</t>
        </is>
      </c>
      <c r="I672" s="0" t="inlineStr">
        <is>
          <t>NULL</t>
        </is>
      </c>
      <c r="J672" s="0" t="inlineStr">
        <is>
          <t>NULL</t>
        </is>
      </c>
      <c r="K672" s="0" t="inlineStr">
        <is>
          <t xml:space="preserve"> NO!  	 c_nvarchar4000列源备映射错误，源端为nvarchar 8000位	期望更改为longtext	实际备端为text 65535位</t>
        </is>
      </c>
    </row>
    <row r="673">
      <c r="A673" s="0" t="inlineStr">
        <is>
          <t>info_datetime_dml_batch2_pk_irp1</t>
        </is>
      </c>
      <c r="K673" s="0" t="inlineStr">
        <is>
          <t>[0;34m info_datetime_dml_batch2_pk_irp1 [0m源备字段数相同，源端字段：2 	备端字段2</t>
        </is>
      </c>
      <c r="W673" s="0" t="inlineStr">
        <is>
          <t>YES 源备无差异</t>
        </is>
      </c>
      <c r="X673" s="0">
        <f>A673</f>
        <v/>
      </c>
    </row>
    <row r="674">
      <c r="B674" s="0" t="inlineStr">
        <is>
          <t>YES</t>
        </is>
      </c>
      <c r="C674" s="0" t="inlineStr">
        <is>
          <t>NULL</t>
        </is>
      </c>
      <c r="D674" s="0" t="inlineStr">
        <is>
          <t>NULL</t>
        </is>
      </c>
      <c r="E674" s="0" t="inlineStr">
        <is>
          <t>NULL</t>
        </is>
      </c>
      <c r="F674" s="0" t="inlineStr">
        <is>
          <t>NULL</t>
        </is>
      </c>
      <c r="G674" s="0" t="inlineStr">
        <is>
          <t>NULL</t>
        </is>
      </c>
      <c r="H674" s="0" t="inlineStr">
        <is>
          <t>NULL</t>
        </is>
      </c>
      <c r="I674" s="0" t="inlineStr">
        <is>
          <t>YES!PK__info_dat__3213E83F87685DE4</t>
        </is>
      </c>
      <c r="J674" s="0" t="inlineStr">
        <is>
          <t>YES! 主键相关索引</t>
        </is>
      </c>
      <c r="K674" s="0" t="inlineStr">
        <is>
          <t>YES! 	 id列源备映射正确，源端为int None位	期望更改为int	实际备端为int None位</t>
        </is>
      </c>
    </row>
    <row r="675">
      <c r="B675" s="0" t="inlineStr">
        <is>
          <t>NULL</t>
        </is>
      </c>
      <c r="C675" s="0" t="inlineStr">
        <is>
          <t>NULL</t>
        </is>
      </c>
      <c r="D675" s="0" t="inlineStr">
        <is>
          <t>NULL</t>
        </is>
      </c>
      <c r="E675" s="0" t="inlineStr">
        <is>
          <t>NULL</t>
        </is>
      </c>
      <c r="F675" s="0" t="inlineStr">
        <is>
          <t>NULL</t>
        </is>
      </c>
      <c r="G675" s="0" t="inlineStr">
        <is>
          <t>NULL</t>
        </is>
      </c>
      <c r="H675" s="0" t="inlineStr">
        <is>
          <t>NULL</t>
        </is>
      </c>
      <c r="I675" s="0" t="inlineStr">
        <is>
          <t>NULL</t>
        </is>
      </c>
      <c r="J675" s="0" t="inlineStr">
        <is>
          <t>NULL</t>
        </is>
      </c>
      <c r="K675" s="0" t="inlineStr">
        <is>
          <t>YES! 	 c_datetime列源备映射正确，源端为datetime None位	期望更改为datetime(3)	实际备端为datetime None位</t>
        </is>
      </c>
    </row>
    <row r="676">
      <c r="A676" s="0" t="inlineStr">
        <is>
          <t>info_varchar_dml_batch1_pk_drp2</t>
        </is>
      </c>
      <c r="K676" s="0" t="inlineStr">
        <is>
          <t>[0;34m info_varchar_dml_batch1_pk_drp2 [0m源备字段数相同，源端字段：4 	备端字段4</t>
        </is>
      </c>
      <c r="W676" s="0" t="inlineStr">
        <is>
          <t>YES 源备无差异</t>
        </is>
      </c>
      <c r="X676" s="0">
        <f>A676</f>
        <v/>
      </c>
    </row>
    <row r="677">
      <c r="B677" s="0" t="inlineStr">
        <is>
          <t>YES</t>
        </is>
      </c>
      <c r="C677" s="0" t="inlineStr">
        <is>
          <t>NULL</t>
        </is>
      </c>
      <c r="D677" s="0" t="inlineStr">
        <is>
          <t>NULL</t>
        </is>
      </c>
      <c r="E677" s="0" t="inlineStr">
        <is>
          <t>NULL</t>
        </is>
      </c>
      <c r="F677" s="0" t="inlineStr">
        <is>
          <t>NULL</t>
        </is>
      </c>
      <c r="G677" s="0" t="inlineStr">
        <is>
          <t>NULL</t>
        </is>
      </c>
      <c r="H677" s="0" t="inlineStr">
        <is>
          <t>NULL</t>
        </is>
      </c>
      <c r="I677" s="0" t="inlineStr">
        <is>
          <t>YES!PK__info_var__3213E83F35EFE402</t>
        </is>
      </c>
      <c r="J677" s="0" t="inlineStr">
        <is>
          <t>YES! 主键相关索引</t>
        </is>
      </c>
      <c r="K677" s="0" t="inlineStr">
        <is>
          <t>YES! 	 id列源备映射正确，源端为int None位	期望更改为int	实际备端为int None位</t>
        </is>
      </c>
    </row>
    <row r="678">
      <c r="B678" s="0" t="inlineStr">
        <is>
          <t>NULL</t>
        </is>
      </c>
      <c r="C678" s="0" t="inlineStr">
        <is>
          <t>NULL</t>
        </is>
      </c>
      <c r="D678" s="0" t="inlineStr">
        <is>
          <t>NULL</t>
        </is>
      </c>
      <c r="E678" s="0" t="inlineStr">
        <is>
          <t>NULL</t>
        </is>
      </c>
      <c r="F678" s="0" t="inlineStr">
        <is>
          <t>NULL</t>
        </is>
      </c>
      <c r="G678" s="0" t="inlineStr">
        <is>
          <t>NULL</t>
        </is>
      </c>
      <c r="H678" s="0" t="inlineStr">
        <is>
          <t>NULL</t>
        </is>
      </c>
      <c r="I678" s="0" t="inlineStr">
        <is>
          <t>NULL</t>
        </is>
      </c>
      <c r="J678" s="0" t="inlineStr">
        <is>
          <t>NULL</t>
        </is>
      </c>
      <c r="K678" s="0" t="inlineStr">
        <is>
          <t>YES! 	 c_varchar列源备映射正确，源端为varchar 1位	期望更改为varchar(n)	实际备端为varchar 4位</t>
        </is>
      </c>
    </row>
    <row r="679">
      <c r="B679" s="0" t="inlineStr">
        <is>
          <t>NULL</t>
        </is>
      </c>
      <c r="C679" s="0" t="inlineStr">
        <is>
          <t>NULL</t>
        </is>
      </c>
      <c r="D679" s="0" t="inlineStr">
        <is>
          <t>NULL</t>
        </is>
      </c>
      <c r="E679" s="0" t="inlineStr">
        <is>
          <t>NULL</t>
        </is>
      </c>
      <c r="F679" s="0" t="inlineStr">
        <is>
          <t>NULL</t>
        </is>
      </c>
      <c r="G679" s="0" t="inlineStr">
        <is>
          <t>NULL</t>
        </is>
      </c>
      <c r="H679" s="0" t="inlineStr">
        <is>
          <t>NULL</t>
        </is>
      </c>
      <c r="I679" s="0" t="inlineStr">
        <is>
          <t>NULL</t>
        </is>
      </c>
      <c r="J679" s="0" t="inlineStr">
        <is>
          <t>NULL</t>
        </is>
      </c>
      <c r="K679" s="0" t="inlineStr">
        <is>
          <t>YES! 	 c_varchar20列源备映射正确，源端为varchar 20位	期望更改为varchar(n)	实际备端为varchar 80位</t>
        </is>
      </c>
    </row>
    <row r="680">
      <c r="B680" s="0" t="inlineStr">
        <is>
          <t>NULL</t>
        </is>
      </c>
      <c r="C680" s="0" t="inlineStr">
        <is>
          <t>NULL</t>
        </is>
      </c>
      <c r="D680" s="0" t="inlineStr">
        <is>
          <t>NULL</t>
        </is>
      </c>
      <c r="E680" s="0" t="inlineStr">
        <is>
          <t>NULL</t>
        </is>
      </c>
      <c r="F680" s="0" t="inlineStr">
        <is>
          <t>NULL</t>
        </is>
      </c>
      <c r="G680" s="0" t="inlineStr">
        <is>
          <t>NULL</t>
        </is>
      </c>
      <c r="H680" s="0" t="inlineStr">
        <is>
          <t>NULL</t>
        </is>
      </c>
      <c r="I680" s="0" t="inlineStr">
        <is>
          <t>NULL</t>
        </is>
      </c>
      <c r="J680" s="0" t="inlineStr">
        <is>
          <t>NULL</t>
        </is>
      </c>
      <c r="K680" s="0" t="inlineStr">
        <is>
          <t xml:space="preserve"> NO!  	 c_varchar7000列源备映射错误，源端为varchar 7000位	期望更改为longtext	实际备端为text 65535位</t>
        </is>
      </c>
    </row>
    <row r="681">
      <c r="A681" s="0" t="inlineStr">
        <is>
          <t>info_nvarchar_dml_single_nopk_drp</t>
        </is>
      </c>
      <c r="K681" s="0" t="inlineStr">
        <is>
          <t>[0;34m info_nvarchar_dml_single_nopk_drp [0m源备字段数相同，源端字段：4 	备端字段4</t>
        </is>
      </c>
      <c r="W681" s="0" t="inlineStr">
        <is>
          <t>YES 源备无差异</t>
        </is>
      </c>
      <c r="X681" s="0">
        <f>A681</f>
        <v/>
      </c>
    </row>
    <row r="682">
      <c r="B682" s="0" t="inlineStr">
        <is>
          <t>NULL</t>
        </is>
      </c>
      <c r="C682" s="0" t="inlineStr">
        <is>
          <t>NULL</t>
        </is>
      </c>
      <c r="D682" s="0" t="inlineStr">
        <is>
          <t>NULL</t>
        </is>
      </c>
      <c r="E682" s="0" t="inlineStr">
        <is>
          <t>NULL</t>
        </is>
      </c>
      <c r="F682" s="0" t="inlineStr">
        <is>
          <t>NULL</t>
        </is>
      </c>
      <c r="G682" s="0" t="inlineStr">
        <is>
          <t>NULL</t>
        </is>
      </c>
      <c r="H682" s="0" t="inlineStr">
        <is>
          <t>NULL</t>
        </is>
      </c>
      <c r="I682" s="0" t="inlineStr">
        <is>
          <t>NULL</t>
        </is>
      </c>
      <c r="J682" s="0" t="inlineStr">
        <is>
          <t>NULL</t>
        </is>
      </c>
      <c r="K682" s="0" t="inlineStr">
        <is>
          <t>YES! 	 id列源备映射正确，源端为int None位	期望更改为int	实际备端为int None位</t>
        </is>
      </c>
    </row>
    <row r="683">
      <c r="B683" s="0" t="inlineStr">
        <is>
          <t>NULL</t>
        </is>
      </c>
      <c r="C683" s="0" t="inlineStr">
        <is>
          <t>NULL</t>
        </is>
      </c>
      <c r="D683" s="0" t="inlineStr">
        <is>
          <t>NULL</t>
        </is>
      </c>
      <c r="E683" s="0" t="inlineStr">
        <is>
          <t>NULL</t>
        </is>
      </c>
      <c r="F683" s="0" t="inlineStr">
        <is>
          <t>NULL</t>
        </is>
      </c>
      <c r="G683" s="0" t="inlineStr">
        <is>
          <t>NULL</t>
        </is>
      </c>
      <c r="H683" s="0" t="inlineStr">
        <is>
          <t>NULL</t>
        </is>
      </c>
      <c r="I683" s="0" t="inlineStr">
        <is>
          <t>NULL</t>
        </is>
      </c>
      <c r="J683" s="0" t="inlineStr">
        <is>
          <t>NULL</t>
        </is>
      </c>
      <c r="K683" s="0" t="inlineStr">
        <is>
          <t>YES! 	 c_nvarchar列源备映射正确，源端为nvarchar 2位	期望更改为varchar(n)	实际备端为varchar 4位</t>
        </is>
      </c>
    </row>
    <row r="684">
      <c r="B684" s="0" t="inlineStr">
        <is>
          <t>NULL</t>
        </is>
      </c>
      <c r="C684" s="0" t="inlineStr">
        <is>
          <t>NULL</t>
        </is>
      </c>
      <c r="D684" s="0" t="inlineStr">
        <is>
          <t>NULL</t>
        </is>
      </c>
      <c r="E684" s="0" t="inlineStr">
        <is>
          <t>NULL</t>
        </is>
      </c>
      <c r="F684" s="0" t="inlineStr">
        <is>
          <t>NULL</t>
        </is>
      </c>
      <c r="G684" s="0" t="inlineStr">
        <is>
          <t>NULL</t>
        </is>
      </c>
      <c r="H684" s="0" t="inlineStr">
        <is>
          <t>NULL</t>
        </is>
      </c>
      <c r="I684" s="0" t="inlineStr">
        <is>
          <t>NULL</t>
        </is>
      </c>
      <c r="J684" s="0" t="inlineStr">
        <is>
          <t>NULL</t>
        </is>
      </c>
      <c r="K684" s="0" t="inlineStr">
        <is>
          <t>YES! 	 c_nvarchar20列源备映射正确，源端为nvarchar 40位	期望更改为varchar(n)	实际备端为varchar 80位</t>
        </is>
      </c>
    </row>
    <row r="685">
      <c r="B685" s="0" t="inlineStr">
        <is>
          <t>NULL</t>
        </is>
      </c>
      <c r="C685" s="0" t="inlineStr">
        <is>
          <t>NULL</t>
        </is>
      </c>
      <c r="D685" s="0" t="inlineStr">
        <is>
          <t>NULL</t>
        </is>
      </c>
      <c r="E685" s="0" t="inlineStr">
        <is>
          <t>NULL</t>
        </is>
      </c>
      <c r="F685" s="0" t="inlineStr">
        <is>
          <t>NULL</t>
        </is>
      </c>
      <c r="G685" s="0" t="inlineStr">
        <is>
          <t>NULL</t>
        </is>
      </c>
      <c r="H685" s="0" t="inlineStr">
        <is>
          <t>NULL</t>
        </is>
      </c>
      <c r="I685" s="0" t="inlineStr">
        <is>
          <t>NULL</t>
        </is>
      </c>
      <c r="J685" s="0" t="inlineStr">
        <is>
          <t>NULL</t>
        </is>
      </c>
      <c r="K685" s="0" t="inlineStr">
        <is>
          <t xml:space="preserve"> NO!  	 c_nvarchar4000列源备映射错误，源端为nvarchar 8000位	期望更改为longtext	实际备端为text 65535位</t>
        </is>
      </c>
    </row>
    <row r="686">
      <c r="A686" s="0" t="inlineStr">
        <is>
          <t>info_text_dml_single_pk_drp</t>
        </is>
      </c>
      <c r="K686" s="0" t="inlineStr">
        <is>
          <t>[0;34m info_text_dml_single_pk_drp [0m源备字段数相同，源端字段：3 	备端字段3</t>
        </is>
      </c>
      <c r="W686" s="0" t="inlineStr">
        <is>
          <t>YES 源备无差异</t>
        </is>
      </c>
      <c r="X686" s="0">
        <f>A686</f>
        <v/>
      </c>
    </row>
    <row r="687">
      <c r="B687" s="0" t="inlineStr">
        <is>
          <t>YES</t>
        </is>
      </c>
      <c r="C687" s="0" t="inlineStr">
        <is>
          <t>NULL</t>
        </is>
      </c>
      <c r="D687" s="0" t="inlineStr">
        <is>
          <t>NULL</t>
        </is>
      </c>
      <c r="E687" s="0" t="inlineStr">
        <is>
          <t>NULL</t>
        </is>
      </c>
      <c r="F687" s="0" t="inlineStr">
        <is>
          <t>NULL</t>
        </is>
      </c>
      <c r="G687" s="0" t="inlineStr">
        <is>
          <t>NULL</t>
        </is>
      </c>
      <c r="H687" s="0" t="inlineStr">
        <is>
          <t>NULL</t>
        </is>
      </c>
      <c r="I687" s="0" t="inlineStr">
        <is>
          <t>YES!PK__info_tex__3213E83FEC81611A</t>
        </is>
      </c>
      <c r="J687" s="0" t="inlineStr">
        <is>
          <t>YES! 主键相关索引</t>
        </is>
      </c>
      <c r="K687" s="0" t="inlineStr">
        <is>
          <t>YES! 	 id列源备映射正确，源端为int None位	期望更改为int	实际备端为int None位</t>
        </is>
      </c>
    </row>
    <row r="688">
      <c r="B688" s="0" t="inlineStr">
        <is>
          <t>NULL</t>
        </is>
      </c>
      <c r="C688" s="0" t="inlineStr">
        <is>
          <t>NULL</t>
        </is>
      </c>
      <c r="D688" s="0" t="inlineStr">
        <is>
          <t>NULL</t>
        </is>
      </c>
      <c r="E688" s="0" t="inlineStr">
        <is>
          <t>NULL</t>
        </is>
      </c>
      <c r="F688" s="0" t="inlineStr">
        <is>
          <t>NULL</t>
        </is>
      </c>
      <c r="G688" s="0" t="inlineStr">
        <is>
          <t>NULL</t>
        </is>
      </c>
      <c r="H688" s="0" t="inlineStr">
        <is>
          <t>NULL</t>
        </is>
      </c>
      <c r="I688" s="0" t="inlineStr">
        <is>
          <t>NULL</t>
        </is>
      </c>
      <c r="J688" s="0" t="inlineStr">
        <is>
          <t>NULL</t>
        </is>
      </c>
      <c r="K688" s="0" t="inlineStr">
        <is>
          <t>YES! 	 c_text列源备映射正确，源端为text 2147483647位	期望更改为longtext	实际备端为longtext 4294967295位</t>
        </is>
      </c>
    </row>
    <row r="689">
      <c r="B689" s="0" t="inlineStr">
        <is>
          <t>NULL</t>
        </is>
      </c>
      <c r="C689" s="0" t="inlineStr">
        <is>
          <t>NULL</t>
        </is>
      </c>
      <c r="D689" s="0" t="inlineStr">
        <is>
          <t>NULL</t>
        </is>
      </c>
      <c r="E689" s="0" t="inlineStr">
        <is>
          <t>NULL</t>
        </is>
      </c>
      <c r="F689" s="0" t="inlineStr">
        <is>
          <t>NULL</t>
        </is>
      </c>
      <c r="G689" s="0" t="inlineStr">
        <is>
          <t>NULL</t>
        </is>
      </c>
      <c r="H689" s="0" t="inlineStr">
        <is>
          <t>NULL</t>
        </is>
      </c>
      <c r="I689" s="0" t="inlineStr">
        <is>
          <t>NULL</t>
        </is>
      </c>
      <c r="J689" s="0" t="inlineStr">
        <is>
          <t>NULL</t>
        </is>
      </c>
      <c r="K689" s="0" t="inlineStr">
        <is>
          <t>YES! 	 c_ntext列源备映射正确，源端为ntext 2147483646位	期望更改为longtext	实际备端为longtext 4294967295位</t>
        </is>
      </c>
    </row>
    <row r="690">
      <c r="A690" s="0" t="inlineStr">
        <is>
          <t>info_nvarchar_dml_single_pk</t>
        </is>
      </c>
      <c r="K690" s="0" t="inlineStr">
        <is>
          <t>[0;34m info_nvarchar_dml_single_pk [0m源备字段数相同，源端字段：4 	备端字段4</t>
        </is>
      </c>
      <c r="W690" s="0" t="inlineStr">
        <is>
          <t>YES 源备无差异</t>
        </is>
      </c>
      <c r="X690" s="0">
        <f>A690</f>
        <v/>
      </c>
    </row>
    <row r="691">
      <c r="B691" s="0" t="inlineStr">
        <is>
          <t>YES</t>
        </is>
      </c>
      <c r="C691" s="0" t="inlineStr">
        <is>
          <t>NULL</t>
        </is>
      </c>
      <c r="D691" s="0" t="inlineStr">
        <is>
          <t>NULL</t>
        </is>
      </c>
      <c r="E691" s="0" t="inlineStr">
        <is>
          <t>NULL</t>
        </is>
      </c>
      <c r="F691" s="0" t="inlineStr">
        <is>
          <t>NULL</t>
        </is>
      </c>
      <c r="G691" s="0" t="inlineStr">
        <is>
          <t>NULL</t>
        </is>
      </c>
      <c r="H691" s="0" t="inlineStr">
        <is>
          <t>NULL</t>
        </is>
      </c>
      <c r="I691" s="0" t="inlineStr">
        <is>
          <t>YES!PK__info_nva__3213E83F88384AD8</t>
        </is>
      </c>
      <c r="J691" s="0" t="inlineStr">
        <is>
          <t>YES! 主键相关索引</t>
        </is>
      </c>
      <c r="K691" s="0" t="inlineStr">
        <is>
          <t>YES! 	 id列源备映射正确，源端为int None位	期望更改为int	实际备端为int None位</t>
        </is>
      </c>
    </row>
    <row r="692">
      <c r="B692" s="0" t="inlineStr">
        <is>
          <t>NULL</t>
        </is>
      </c>
      <c r="C692" s="0" t="inlineStr">
        <is>
          <t>NULL</t>
        </is>
      </c>
      <c r="D692" s="0" t="inlineStr">
        <is>
          <t>NULL</t>
        </is>
      </c>
      <c r="E692" s="0" t="inlineStr">
        <is>
          <t>NULL</t>
        </is>
      </c>
      <c r="F692" s="0" t="inlineStr">
        <is>
          <t>NULL</t>
        </is>
      </c>
      <c r="G692" s="0" t="inlineStr">
        <is>
          <t>NULL</t>
        </is>
      </c>
      <c r="H692" s="0" t="inlineStr">
        <is>
          <t>NULL</t>
        </is>
      </c>
      <c r="I692" s="0" t="inlineStr">
        <is>
          <t>NULL</t>
        </is>
      </c>
      <c r="J692" s="0" t="inlineStr">
        <is>
          <t>NULL</t>
        </is>
      </c>
      <c r="K692" s="0" t="inlineStr">
        <is>
          <t>YES! 	 c_nvarchar列源备映射正确，源端为nvarchar 2位	期望更改为varchar(n)	实际备端为varchar 4位</t>
        </is>
      </c>
    </row>
    <row r="693">
      <c r="B693" s="0" t="inlineStr">
        <is>
          <t>NULL</t>
        </is>
      </c>
      <c r="C693" s="0" t="inlineStr">
        <is>
          <t>NULL</t>
        </is>
      </c>
      <c r="D693" s="0" t="inlineStr">
        <is>
          <t>NULL</t>
        </is>
      </c>
      <c r="E693" s="0" t="inlineStr">
        <is>
          <t>NULL</t>
        </is>
      </c>
      <c r="F693" s="0" t="inlineStr">
        <is>
          <t>NULL</t>
        </is>
      </c>
      <c r="G693" s="0" t="inlineStr">
        <is>
          <t>NULL</t>
        </is>
      </c>
      <c r="H693" s="0" t="inlineStr">
        <is>
          <t>NULL</t>
        </is>
      </c>
      <c r="I693" s="0" t="inlineStr">
        <is>
          <t>NULL</t>
        </is>
      </c>
      <c r="J693" s="0" t="inlineStr">
        <is>
          <t>NULL</t>
        </is>
      </c>
      <c r="K693" s="0" t="inlineStr">
        <is>
          <t>YES! 	 c_nvarchar20列源备映射正确，源端为nvarchar 40位	期望更改为varchar(n)	实际备端为varchar 80位</t>
        </is>
      </c>
    </row>
    <row r="694">
      <c r="B694" s="0" t="inlineStr">
        <is>
          <t>NULL</t>
        </is>
      </c>
      <c r="C694" s="0" t="inlineStr">
        <is>
          <t>NULL</t>
        </is>
      </c>
      <c r="D694" s="0" t="inlineStr">
        <is>
          <t>NULL</t>
        </is>
      </c>
      <c r="E694" s="0" t="inlineStr">
        <is>
          <t>NULL</t>
        </is>
      </c>
      <c r="F694" s="0" t="inlineStr">
        <is>
          <t>NULL</t>
        </is>
      </c>
      <c r="G694" s="0" t="inlineStr">
        <is>
          <t>NULL</t>
        </is>
      </c>
      <c r="H694" s="0" t="inlineStr">
        <is>
          <t>NULL</t>
        </is>
      </c>
      <c r="I694" s="0" t="inlineStr">
        <is>
          <t>NULL</t>
        </is>
      </c>
      <c r="J694" s="0" t="inlineStr">
        <is>
          <t>NULL</t>
        </is>
      </c>
      <c r="K694" s="0" t="inlineStr">
        <is>
          <t xml:space="preserve"> NO!  	 c_nvarchar4000列源备映射错误，源端为nvarchar 8000位	期望更改为longtext	实际备端为text 65535位</t>
        </is>
      </c>
    </row>
    <row r="695">
      <c r="A695" s="0" t="inlineStr">
        <is>
          <t>info_datetime_dml_batch2_pk_irp2</t>
        </is>
      </c>
      <c r="K695" s="0" t="inlineStr">
        <is>
          <t>[0;34m info_datetime_dml_batch2_pk_irp2 [0m源备字段数相同，源端字段：2 	备端字段2</t>
        </is>
      </c>
      <c r="W695" s="0" t="inlineStr">
        <is>
          <t>YES 源备无差异</t>
        </is>
      </c>
      <c r="X695" s="0">
        <f>A695</f>
        <v/>
      </c>
    </row>
    <row r="696">
      <c r="B696" s="0" t="inlineStr">
        <is>
          <t>YES</t>
        </is>
      </c>
      <c r="C696" s="0" t="inlineStr">
        <is>
          <t>NULL</t>
        </is>
      </c>
      <c r="D696" s="0" t="inlineStr">
        <is>
          <t>NULL</t>
        </is>
      </c>
      <c r="E696" s="0" t="inlineStr">
        <is>
          <t>NULL</t>
        </is>
      </c>
      <c r="F696" s="0" t="inlineStr">
        <is>
          <t>NULL</t>
        </is>
      </c>
      <c r="G696" s="0" t="inlineStr">
        <is>
          <t>NULL</t>
        </is>
      </c>
      <c r="H696" s="0" t="inlineStr">
        <is>
          <t>NULL</t>
        </is>
      </c>
      <c r="I696" s="0" t="inlineStr">
        <is>
          <t>YES!PK__info_dat__3213E83F297599A4</t>
        </is>
      </c>
      <c r="J696" s="0" t="inlineStr">
        <is>
          <t>YES! 主键相关索引</t>
        </is>
      </c>
      <c r="K696" s="0" t="inlineStr">
        <is>
          <t>YES! 	 id列源备映射正确，源端为int None位	期望更改为int	实际备端为int None位</t>
        </is>
      </c>
    </row>
    <row r="697">
      <c r="B697" s="0" t="inlineStr">
        <is>
          <t>NULL</t>
        </is>
      </c>
      <c r="C697" s="0" t="inlineStr">
        <is>
          <t>NULL</t>
        </is>
      </c>
      <c r="D697" s="0" t="inlineStr">
        <is>
          <t>NULL</t>
        </is>
      </c>
      <c r="E697" s="0" t="inlineStr">
        <is>
          <t>NULL</t>
        </is>
      </c>
      <c r="F697" s="0" t="inlineStr">
        <is>
          <t>NULL</t>
        </is>
      </c>
      <c r="G697" s="0" t="inlineStr">
        <is>
          <t>NULL</t>
        </is>
      </c>
      <c r="H697" s="0" t="inlineStr">
        <is>
          <t>NULL</t>
        </is>
      </c>
      <c r="I697" s="0" t="inlineStr">
        <is>
          <t>NULL</t>
        </is>
      </c>
      <c r="J697" s="0" t="inlineStr">
        <is>
          <t>NULL</t>
        </is>
      </c>
      <c r="K697" s="0" t="inlineStr">
        <is>
          <t>YES! 	 c_datetime列源备映射正确，源端为datetime None位	期望更改为datetime(3)	实际备端为datetime None位</t>
        </is>
      </c>
    </row>
    <row r="698">
      <c r="A698" s="0" t="inlineStr">
        <is>
          <t>info_varchar_dml_batch1_pk</t>
        </is>
      </c>
      <c r="K698" s="0" t="inlineStr">
        <is>
          <t>[0;34m info_varchar_dml_batch1_pk [0m源备字段数相同，源端字段：4 	备端字段4</t>
        </is>
      </c>
      <c r="W698" s="0" t="inlineStr">
        <is>
          <t>YES 源备无差异</t>
        </is>
      </c>
      <c r="X698" s="0">
        <f>A698</f>
        <v/>
      </c>
    </row>
    <row r="699">
      <c r="B699" s="0" t="inlineStr">
        <is>
          <t>YES</t>
        </is>
      </c>
      <c r="C699" s="0" t="inlineStr">
        <is>
          <t>NULL</t>
        </is>
      </c>
      <c r="D699" s="0" t="inlineStr">
        <is>
          <t>NULL</t>
        </is>
      </c>
      <c r="E699" s="0" t="inlineStr">
        <is>
          <t>NULL</t>
        </is>
      </c>
      <c r="F699" s="0" t="inlineStr">
        <is>
          <t>NULL</t>
        </is>
      </c>
      <c r="G699" s="0" t="inlineStr">
        <is>
          <t>NULL</t>
        </is>
      </c>
      <c r="H699" s="0" t="inlineStr">
        <is>
          <t>NULL</t>
        </is>
      </c>
      <c r="I699" s="0" t="inlineStr">
        <is>
          <t>YES!PK__info_var__3213E83FFA843D84</t>
        </is>
      </c>
      <c r="J699" s="0" t="inlineStr">
        <is>
          <t>YES! 主键相关索引</t>
        </is>
      </c>
      <c r="K699" s="0" t="inlineStr">
        <is>
          <t>YES! 	 id列源备映射正确，源端为int None位	期望更改为int	实际备端为int None位</t>
        </is>
      </c>
    </row>
    <row r="700">
      <c r="B700" s="0" t="inlineStr">
        <is>
          <t>NULL</t>
        </is>
      </c>
      <c r="C700" s="0" t="inlineStr">
        <is>
          <t>NULL</t>
        </is>
      </c>
      <c r="D700" s="0" t="inlineStr">
        <is>
          <t>NULL</t>
        </is>
      </c>
      <c r="E700" s="0" t="inlineStr">
        <is>
          <t>NULL</t>
        </is>
      </c>
      <c r="F700" s="0" t="inlineStr">
        <is>
          <t>NULL</t>
        </is>
      </c>
      <c r="G700" s="0" t="inlineStr">
        <is>
          <t>NULL</t>
        </is>
      </c>
      <c r="H700" s="0" t="inlineStr">
        <is>
          <t>NULL</t>
        </is>
      </c>
      <c r="I700" s="0" t="inlineStr">
        <is>
          <t>NULL</t>
        </is>
      </c>
      <c r="J700" s="0" t="inlineStr">
        <is>
          <t>NULL</t>
        </is>
      </c>
      <c r="K700" s="0" t="inlineStr">
        <is>
          <t>YES! 	 c_varchar列源备映射正确，源端为varchar 1位	期望更改为varchar(n)	实际备端为varchar 4位</t>
        </is>
      </c>
    </row>
    <row r="701">
      <c r="B701" s="0" t="inlineStr">
        <is>
          <t>NULL</t>
        </is>
      </c>
      <c r="C701" s="0" t="inlineStr">
        <is>
          <t>NULL</t>
        </is>
      </c>
      <c r="D701" s="0" t="inlineStr">
        <is>
          <t>NULL</t>
        </is>
      </c>
      <c r="E701" s="0" t="inlineStr">
        <is>
          <t>NULL</t>
        </is>
      </c>
      <c r="F701" s="0" t="inlineStr">
        <is>
          <t>NULL</t>
        </is>
      </c>
      <c r="G701" s="0" t="inlineStr">
        <is>
          <t>NULL</t>
        </is>
      </c>
      <c r="H701" s="0" t="inlineStr">
        <is>
          <t>NULL</t>
        </is>
      </c>
      <c r="I701" s="0" t="inlineStr">
        <is>
          <t>NULL</t>
        </is>
      </c>
      <c r="J701" s="0" t="inlineStr">
        <is>
          <t>NULL</t>
        </is>
      </c>
      <c r="K701" s="0" t="inlineStr">
        <is>
          <t>YES! 	 c_varchar20列源备映射正确，源端为varchar 20位	期望更改为varchar(n)	实际备端为varchar 80位</t>
        </is>
      </c>
    </row>
    <row r="702">
      <c r="B702" s="0" t="inlineStr">
        <is>
          <t>NULL</t>
        </is>
      </c>
      <c r="C702" s="0" t="inlineStr">
        <is>
          <t>NULL</t>
        </is>
      </c>
      <c r="D702" s="0" t="inlineStr">
        <is>
          <t>NULL</t>
        </is>
      </c>
      <c r="E702" s="0" t="inlineStr">
        <is>
          <t>NULL</t>
        </is>
      </c>
      <c r="F702" s="0" t="inlineStr">
        <is>
          <t>NULL</t>
        </is>
      </c>
      <c r="G702" s="0" t="inlineStr">
        <is>
          <t>NULL</t>
        </is>
      </c>
      <c r="H702" s="0" t="inlineStr">
        <is>
          <t>NULL</t>
        </is>
      </c>
      <c r="I702" s="0" t="inlineStr">
        <is>
          <t>NULL</t>
        </is>
      </c>
      <c r="J702" s="0" t="inlineStr">
        <is>
          <t>NULL</t>
        </is>
      </c>
      <c r="K702" s="0" t="inlineStr">
        <is>
          <t xml:space="preserve"> NO!  	 c_varchar7000列源备映射错误，源端为varchar 7000位	期望更改为longtext	实际备端为text 65535位</t>
        </is>
      </c>
    </row>
    <row r="703">
      <c r="A703" s="0" t="inlineStr">
        <is>
          <t>info_text_dml_single_pk</t>
        </is>
      </c>
      <c r="K703" s="0" t="inlineStr">
        <is>
          <t>[0;34m info_text_dml_single_pk [0m源备字段数相同，源端字段：3 	备端字段3</t>
        </is>
      </c>
      <c r="W703" s="0" t="inlineStr">
        <is>
          <t>YES 源备无差异</t>
        </is>
      </c>
      <c r="X703" s="0">
        <f>A703</f>
        <v/>
      </c>
    </row>
    <row r="704">
      <c r="B704" s="0" t="inlineStr">
        <is>
          <t>YES</t>
        </is>
      </c>
      <c r="C704" s="0" t="inlineStr">
        <is>
          <t>NULL</t>
        </is>
      </c>
      <c r="D704" s="0" t="inlineStr">
        <is>
          <t>NULL</t>
        </is>
      </c>
      <c r="E704" s="0" t="inlineStr">
        <is>
          <t>NULL</t>
        </is>
      </c>
      <c r="F704" s="0" t="inlineStr">
        <is>
          <t>NULL</t>
        </is>
      </c>
      <c r="G704" s="0" t="inlineStr">
        <is>
          <t>NULL</t>
        </is>
      </c>
      <c r="H704" s="0" t="inlineStr">
        <is>
          <t>NULL</t>
        </is>
      </c>
      <c r="I704" s="0" t="inlineStr">
        <is>
          <t>YES!PK__info_tex__3213E83F041B8173</t>
        </is>
      </c>
      <c r="J704" s="0" t="inlineStr">
        <is>
          <t>YES! 主键相关索引</t>
        </is>
      </c>
      <c r="K704" s="0" t="inlineStr">
        <is>
          <t>YES! 	 id列源备映射正确，源端为int None位	期望更改为int	实际备端为int None位</t>
        </is>
      </c>
    </row>
    <row r="705">
      <c r="B705" s="0" t="inlineStr">
        <is>
          <t>NULL</t>
        </is>
      </c>
      <c r="C705" s="0" t="inlineStr">
        <is>
          <t>NULL</t>
        </is>
      </c>
      <c r="D705" s="0" t="inlineStr">
        <is>
          <t>NULL</t>
        </is>
      </c>
      <c r="E705" s="0" t="inlineStr">
        <is>
          <t>NULL</t>
        </is>
      </c>
      <c r="F705" s="0" t="inlineStr">
        <is>
          <t>NULL</t>
        </is>
      </c>
      <c r="G705" s="0" t="inlineStr">
        <is>
          <t>NULL</t>
        </is>
      </c>
      <c r="H705" s="0" t="inlineStr">
        <is>
          <t>NULL</t>
        </is>
      </c>
      <c r="I705" s="0" t="inlineStr">
        <is>
          <t>NULL</t>
        </is>
      </c>
      <c r="J705" s="0" t="inlineStr">
        <is>
          <t>NULL</t>
        </is>
      </c>
      <c r="K705" s="0" t="inlineStr">
        <is>
          <t>YES! 	 c_text列源备映射正确，源端为text 2147483647位	期望更改为longtext	实际备端为longtext 4294967295位</t>
        </is>
      </c>
    </row>
    <row r="706">
      <c r="B706" s="0" t="inlineStr">
        <is>
          <t>NULL</t>
        </is>
      </c>
      <c r="C706" s="0" t="inlineStr">
        <is>
          <t>NULL</t>
        </is>
      </c>
      <c r="D706" s="0" t="inlineStr">
        <is>
          <t>NULL</t>
        </is>
      </c>
      <c r="E706" s="0" t="inlineStr">
        <is>
          <t>NULL</t>
        </is>
      </c>
      <c r="F706" s="0" t="inlineStr">
        <is>
          <t>NULL</t>
        </is>
      </c>
      <c r="G706" s="0" t="inlineStr">
        <is>
          <t>NULL</t>
        </is>
      </c>
      <c r="H706" s="0" t="inlineStr">
        <is>
          <t>NULL</t>
        </is>
      </c>
      <c r="I706" s="0" t="inlineStr">
        <is>
          <t>NULL</t>
        </is>
      </c>
      <c r="J706" s="0" t="inlineStr">
        <is>
          <t>NULL</t>
        </is>
      </c>
      <c r="K706" s="0" t="inlineStr">
        <is>
          <t>YES! 	 c_ntext列源备映射正确，源端为ntext 2147483646位	期望更改为longtext	实际备端为longtext 4294967295位</t>
        </is>
      </c>
    </row>
    <row r="707">
      <c r="K707" s="0" t="inlineStr">
        <is>
          <t>~ 空表</t>
        </is>
      </c>
    </row>
    <row r="708">
      <c r="A708" s="0" t="inlineStr">
        <is>
          <t>info_varcharmax_dml_single_pk_irp</t>
        </is>
      </c>
      <c r="K708" s="0" t="inlineStr">
        <is>
          <t>[0;34m info_varcharmax_dml_single_pk_irp [0m源备字段数相同，源端字段：3 	备端字段3</t>
        </is>
      </c>
      <c r="W708" s="0" t="inlineStr">
        <is>
          <t>YES 源备无差异</t>
        </is>
      </c>
      <c r="X708" s="0">
        <f>A708</f>
        <v/>
      </c>
    </row>
    <row r="709">
      <c r="B709" s="0" t="inlineStr">
        <is>
          <t>YES</t>
        </is>
      </c>
      <c r="C709" s="0" t="inlineStr">
        <is>
          <t>NULL</t>
        </is>
      </c>
      <c r="D709" s="0" t="inlineStr">
        <is>
          <t>NULL</t>
        </is>
      </c>
      <c r="E709" s="0" t="inlineStr">
        <is>
          <t>NULL</t>
        </is>
      </c>
      <c r="F709" s="0" t="inlineStr">
        <is>
          <t>NULL</t>
        </is>
      </c>
      <c r="G709" s="0" t="inlineStr">
        <is>
          <t>NULL</t>
        </is>
      </c>
      <c r="H709" s="0" t="inlineStr">
        <is>
          <t>NULL</t>
        </is>
      </c>
      <c r="I709" s="0" t="inlineStr">
        <is>
          <t>YES!PK__info_var__3213E83F850C6496</t>
        </is>
      </c>
      <c r="J709" s="0" t="inlineStr">
        <is>
          <t>YES! 主键相关索引</t>
        </is>
      </c>
      <c r="K709" s="0" t="inlineStr">
        <is>
          <t>YES! 	 id列源备映射正确，源端为int None位	期望更改为int	实际备端为int None位</t>
        </is>
      </c>
    </row>
    <row r="710">
      <c r="B710" s="0" t="inlineStr">
        <is>
          <t>NULL</t>
        </is>
      </c>
      <c r="C710" s="0" t="inlineStr">
        <is>
          <t>NULL</t>
        </is>
      </c>
      <c r="D710" s="0" t="inlineStr">
        <is>
          <t>NULL</t>
        </is>
      </c>
      <c r="E710" s="0" t="inlineStr">
        <is>
          <t>NULL</t>
        </is>
      </c>
      <c r="F710" s="0" t="inlineStr">
        <is>
          <t>NULL</t>
        </is>
      </c>
      <c r="G710" s="0" t="inlineStr">
        <is>
          <t>NULL</t>
        </is>
      </c>
      <c r="H710" s="0" t="inlineStr">
        <is>
          <t>NULL</t>
        </is>
      </c>
      <c r="I710" s="0" t="inlineStr">
        <is>
          <t>NULL</t>
        </is>
      </c>
      <c r="J710" s="0" t="inlineStr">
        <is>
          <t>NULL</t>
        </is>
      </c>
      <c r="K710" s="0" t="inlineStr">
        <is>
          <t>YES! 	 c_varchar_max列源备映射正确，源端为varchar -1位	期望更改为longtext	实际备端为longtext 4294967295位</t>
        </is>
      </c>
    </row>
    <row r="711">
      <c r="B711" s="0" t="inlineStr">
        <is>
          <t>NULL</t>
        </is>
      </c>
      <c r="C711" s="0" t="inlineStr">
        <is>
          <t>NULL</t>
        </is>
      </c>
      <c r="D711" s="0" t="inlineStr">
        <is>
          <t>NULL</t>
        </is>
      </c>
      <c r="E711" s="0" t="inlineStr">
        <is>
          <t>NULL</t>
        </is>
      </c>
      <c r="F711" s="0" t="inlineStr">
        <is>
          <t>NULL</t>
        </is>
      </c>
      <c r="G711" s="0" t="inlineStr">
        <is>
          <t>NULL</t>
        </is>
      </c>
      <c r="H711" s="0" t="inlineStr">
        <is>
          <t>NULL</t>
        </is>
      </c>
      <c r="I711" s="0" t="inlineStr">
        <is>
          <t>NULL</t>
        </is>
      </c>
      <c r="J711" s="0" t="inlineStr">
        <is>
          <t>NULL</t>
        </is>
      </c>
      <c r="K711" s="0" t="inlineStr">
        <is>
          <t>YES! 	 c_nvarchar_max列源备映射正确，源端为nvarchar -1位	期望更改为longtext	实际备端为longtext 4294967295位</t>
        </is>
      </c>
    </row>
    <row r="712">
      <c r="A712" s="0" t="inlineStr">
        <is>
          <t>info_datetime_dml_batch1_pk_urp1</t>
        </is>
      </c>
      <c r="K712" s="0" t="inlineStr">
        <is>
          <t>[0;34m info_datetime_dml_batch1_pk_urp1 [0m源备字段数相同，源端字段：2 	备端字段2</t>
        </is>
      </c>
      <c r="W712" s="0" t="inlineStr">
        <is>
          <t>YES 源备无差异</t>
        </is>
      </c>
      <c r="X712" s="0">
        <f>A712</f>
        <v/>
      </c>
    </row>
    <row r="713">
      <c r="B713" s="0" t="inlineStr">
        <is>
          <t>YES</t>
        </is>
      </c>
      <c r="C713" s="0" t="inlineStr">
        <is>
          <t>NULL</t>
        </is>
      </c>
      <c r="D713" s="0" t="inlineStr">
        <is>
          <t>NULL</t>
        </is>
      </c>
      <c r="E713" s="0" t="inlineStr">
        <is>
          <t>NULL</t>
        </is>
      </c>
      <c r="F713" s="0" t="inlineStr">
        <is>
          <t>NULL</t>
        </is>
      </c>
      <c r="G713" s="0" t="inlineStr">
        <is>
          <t>NULL</t>
        </is>
      </c>
      <c r="H713" s="0" t="inlineStr">
        <is>
          <t>NULL</t>
        </is>
      </c>
      <c r="I713" s="0" t="inlineStr">
        <is>
          <t>YES!PK__info_dat__3213E83FFC5CACE2</t>
        </is>
      </c>
      <c r="J713" s="0" t="inlineStr">
        <is>
          <t>YES! 主键相关索引</t>
        </is>
      </c>
      <c r="K713" s="0" t="inlineStr">
        <is>
          <t>YES! 	 id列源备映射正确，源端为int None位	期望更改为int	实际备端为int None位</t>
        </is>
      </c>
    </row>
    <row r="714">
      <c r="B714" s="0" t="inlineStr">
        <is>
          <t>NULL</t>
        </is>
      </c>
      <c r="C714" s="0" t="inlineStr">
        <is>
          <t>NULL</t>
        </is>
      </c>
      <c r="D714" s="0" t="inlineStr">
        <is>
          <t>NULL</t>
        </is>
      </c>
      <c r="E714" s="0" t="inlineStr">
        <is>
          <t>NULL</t>
        </is>
      </c>
      <c r="F714" s="0" t="inlineStr">
        <is>
          <t>NULL</t>
        </is>
      </c>
      <c r="G714" s="0" t="inlineStr">
        <is>
          <t>NULL</t>
        </is>
      </c>
      <c r="H714" s="0" t="inlineStr">
        <is>
          <t>NULL</t>
        </is>
      </c>
      <c r="I714" s="0" t="inlineStr">
        <is>
          <t>NULL</t>
        </is>
      </c>
      <c r="J714" s="0" t="inlineStr">
        <is>
          <t>NULL</t>
        </is>
      </c>
      <c r="K714" s="0" t="inlineStr">
        <is>
          <t>YES! 	 c_datetime列源备映射正确，源端为datetime None位	期望更改为datetime(3)	实际备端为datetime None位</t>
        </is>
      </c>
    </row>
    <row r="715">
      <c r="A715" s="0" t="inlineStr">
        <is>
          <t>info_nchar_dml_batch1_pk_irp1</t>
        </is>
      </c>
      <c r="K715" s="0" t="inlineStr">
        <is>
          <t>[0;34m info_nchar_dml_batch1_pk_irp1 [0m源备字段数相同，源端字段：4 	备端字段4</t>
        </is>
      </c>
      <c r="W715" s="15">
        <f>HYPERLINK("#2026051816mysql2!BG2","NO 源备存在差异，共20个")</f>
        <v/>
      </c>
      <c r="X715" s="0">
        <f>A715</f>
        <v/>
      </c>
    </row>
    <row r="716">
      <c r="B716" s="0" t="inlineStr">
        <is>
          <t>YES</t>
        </is>
      </c>
      <c r="C716" s="0" t="inlineStr">
        <is>
          <t>NULL</t>
        </is>
      </c>
      <c r="D716" s="0" t="inlineStr">
        <is>
          <t>NULL</t>
        </is>
      </c>
      <c r="E716" s="0" t="inlineStr">
        <is>
          <t>NULL</t>
        </is>
      </c>
      <c r="F716" s="0" t="inlineStr">
        <is>
          <t>NULL</t>
        </is>
      </c>
      <c r="G716" s="0" t="inlineStr">
        <is>
          <t>NULL</t>
        </is>
      </c>
      <c r="H716" s="0" t="inlineStr">
        <is>
          <t>NULL</t>
        </is>
      </c>
      <c r="I716" s="0" t="inlineStr">
        <is>
          <t>YES!PK__info_nch__3213E83F3F983448</t>
        </is>
      </c>
      <c r="J716" s="0" t="inlineStr">
        <is>
          <t>YES! 主键相关索引</t>
        </is>
      </c>
      <c r="K716" s="0" t="inlineStr">
        <is>
          <t>YES! 	 id列源备映射正确，源端为int None位	期望更改为int	实际备端为int None位</t>
        </is>
      </c>
    </row>
    <row r="717">
      <c r="B717" s="0" t="inlineStr">
        <is>
          <t>NULL</t>
        </is>
      </c>
      <c r="C717" s="0" t="inlineStr">
        <is>
          <t>NULL</t>
        </is>
      </c>
      <c r="D717" s="0" t="inlineStr">
        <is>
          <t>NULL</t>
        </is>
      </c>
      <c r="E717" s="0" t="inlineStr">
        <is>
          <t>NULL</t>
        </is>
      </c>
      <c r="F717" s="0" t="inlineStr">
        <is>
          <t>NULL</t>
        </is>
      </c>
      <c r="G717" s="0" t="inlineStr">
        <is>
          <t>NULL</t>
        </is>
      </c>
      <c r="H717" s="0" t="inlineStr">
        <is>
          <t>NULL</t>
        </is>
      </c>
      <c r="I717" s="0" t="inlineStr">
        <is>
          <t>NULL</t>
        </is>
      </c>
      <c r="J717" s="0" t="inlineStr">
        <is>
          <t>NULL</t>
        </is>
      </c>
      <c r="K717" s="0" t="inlineStr">
        <is>
          <t>YES! 	 c_nchar列源备映射正确，源端为nchar 2位	期望更改为char(n)	实际备端为char 4位</t>
        </is>
      </c>
    </row>
    <row r="718">
      <c r="B718" s="0" t="inlineStr">
        <is>
          <t>NULL</t>
        </is>
      </c>
      <c r="C718" s="0" t="inlineStr">
        <is>
          <t>NULL</t>
        </is>
      </c>
      <c r="D718" s="0" t="inlineStr">
        <is>
          <t>NULL</t>
        </is>
      </c>
      <c r="E718" s="0" t="inlineStr">
        <is>
          <t>NULL</t>
        </is>
      </c>
      <c r="F718" s="0" t="inlineStr">
        <is>
          <t>NULL</t>
        </is>
      </c>
      <c r="G718" s="0" t="inlineStr">
        <is>
          <t>NULL</t>
        </is>
      </c>
      <c r="H718" s="0" t="inlineStr">
        <is>
          <t>NULL</t>
        </is>
      </c>
      <c r="I718" s="0" t="inlineStr">
        <is>
          <t>NULL</t>
        </is>
      </c>
      <c r="J718" s="0" t="inlineStr">
        <is>
          <t>NULL</t>
        </is>
      </c>
      <c r="K718" s="0" t="inlineStr">
        <is>
          <t>YES! 	 c_nchar20列源备映射正确，源端为nchar 40位	期望更改为char(n)	实际备端为char 80位</t>
        </is>
      </c>
    </row>
    <row r="719">
      <c r="B719" s="0" t="inlineStr">
        <is>
          <t>NULL</t>
        </is>
      </c>
      <c r="C719" s="0" t="inlineStr">
        <is>
          <t>NULL</t>
        </is>
      </c>
      <c r="D719" s="0" t="inlineStr">
        <is>
          <t>NULL</t>
        </is>
      </c>
      <c r="E719" s="0" t="inlineStr">
        <is>
          <t>NULL</t>
        </is>
      </c>
      <c r="F719" s="0" t="inlineStr">
        <is>
          <t>NULL</t>
        </is>
      </c>
      <c r="G719" s="0" t="inlineStr">
        <is>
          <t>NULL</t>
        </is>
      </c>
      <c r="H719" s="0" t="inlineStr">
        <is>
          <t>NULL</t>
        </is>
      </c>
      <c r="I719" s="0" t="inlineStr">
        <is>
          <t>NULL</t>
        </is>
      </c>
      <c r="J719" s="0" t="inlineStr">
        <is>
          <t>NULL</t>
        </is>
      </c>
      <c r="K719" s="0" t="inlineStr">
        <is>
          <t>YES! 	 c_nchar4000列源备映射正确，源端为nchar 8000位	期望更改为text	实际备端为text 65535位</t>
        </is>
      </c>
    </row>
    <row r="720">
      <c r="A720" s="0" t="inlineStr">
        <is>
          <t>info_date_dml_single_pk_irp</t>
        </is>
      </c>
      <c r="K720" s="0" t="inlineStr">
        <is>
          <t>[0;34m info_date_dml_single_pk_irp [0m源备字段数相同，源端字段：2 	备端字段2</t>
        </is>
      </c>
      <c r="W720" s="0" t="inlineStr">
        <is>
          <t>YES 源备无差异</t>
        </is>
      </c>
      <c r="X720" s="0">
        <f>A720</f>
        <v/>
      </c>
    </row>
    <row r="721">
      <c r="B721" s="0" t="inlineStr">
        <is>
          <t>YES</t>
        </is>
      </c>
      <c r="C721" s="0" t="inlineStr">
        <is>
          <t>NULL</t>
        </is>
      </c>
      <c r="D721" s="0" t="inlineStr">
        <is>
          <t>NULL</t>
        </is>
      </c>
      <c r="E721" s="0" t="inlineStr">
        <is>
          <t>NULL</t>
        </is>
      </c>
      <c r="F721" s="0" t="inlineStr">
        <is>
          <t>NULL</t>
        </is>
      </c>
      <c r="G721" s="0" t="inlineStr">
        <is>
          <t>NULL</t>
        </is>
      </c>
      <c r="H721" s="0" t="inlineStr">
        <is>
          <t>NULL</t>
        </is>
      </c>
      <c r="I721" s="0" t="inlineStr">
        <is>
          <t>YES!PK__info_dat__3213E83FA4D0597A</t>
        </is>
      </c>
      <c r="J721" s="0" t="inlineStr">
        <is>
          <t>YES! 主键相关索引</t>
        </is>
      </c>
      <c r="K721" s="0" t="inlineStr">
        <is>
          <t>YES! 	 id列源备映射正确，源端为int None位	期望更改为int	实际备端为int None位</t>
        </is>
      </c>
    </row>
    <row r="722">
      <c r="B722" s="0" t="inlineStr">
        <is>
          <t>NULL</t>
        </is>
      </c>
      <c r="C722" s="0" t="inlineStr">
        <is>
          <t>NULL</t>
        </is>
      </c>
      <c r="D722" s="0" t="inlineStr">
        <is>
          <t>NULL</t>
        </is>
      </c>
      <c r="E722" s="0" t="inlineStr">
        <is>
          <t>NULL</t>
        </is>
      </c>
      <c r="F722" s="0" t="inlineStr">
        <is>
          <t>NULL</t>
        </is>
      </c>
      <c r="G722" s="0" t="inlineStr">
        <is>
          <t>NULL</t>
        </is>
      </c>
      <c r="H722" s="0" t="inlineStr">
        <is>
          <t>NULL</t>
        </is>
      </c>
      <c r="I722" s="0" t="inlineStr">
        <is>
          <t>NULL</t>
        </is>
      </c>
      <c r="J722" s="0" t="inlineStr">
        <is>
          <t>NULL</t>
        </is>
      </c>
      <c r="K722" s="0" t="inlineStr">
        <is>
          <t>YES! 	 c_date列源备映射正确，源端为date None位	期望更改为date	实际备端为date None位</t>
        </is>
      </c>
    </row>
    <row r="723">
      <c r="A723" s="0" t="inlineStr">
        <is>
          <t>info_varcharmax_dml_single_pk_urp</t>
        </is>
      </c>
      <c r="K723" s="0" t="inlineStr">
        <is>
          <t>[0;34m info_varcharmax_dml_single_pk_urp [0m源备字段数相同，源端字段：3 	备端字段3</t>
        </is>
      </c>
      <c r="W723" s="0" t="inlineStr">
        <is>
          <t>YES 源备无差异</t>
        </is>
      </c>
      <c r="X723" s="0">
        <f>A723</f>
        <v/>
      </c>
    </row>
    <row r="724">
      <c r="B724" s="0" t="inlineStr">
        <is>
          <t>YES</t>
        </is>
      </c>
      <c r="C724" s="0" t="inlineStr">
        <is>
          <t>NULL</t>
        </is>
      </c>
      <c r="D724" s="0" t="inlineStr">
        <is>
          <t>NULL</t>
        </is>
      </c>
      <c r="E724" s="0" t="inlineStr">
        <is>
          <t>NULL</t>
        </is>
      </c>
      <c r="F724" s="0" t="inlineStr">
        <is>
          <t>NULL</t>
        </is>
      </c>
      <c r="G724" s="0" t="inlineStr">
        <is>
          <t>NULL</t>
        </is>
      </c>
      <c r="H724" s="0" t="inlineStr">
        <is>
          <t>NULL</t>
        </is>
      </c>
      <c r="I724" s="0" t="inlineStr">
        <is>
          <t>YES!PK__info_var__3213E83FDD33FE7B</t>
        </is>
      </c>
      <c r="J724" s="0" t="inlineStr">
        <is>
          <t>YES! 主键相关索引</t>
        </is>
      </c>
      <c r="K724" s="0" t="inlineStr">
        <is>
          <t>YES! 	 id列源备映射正确，源端为int None位	期望更改为int	实际备端为int None位</t>
        </is>
      </c>
    </row>
    <row r="725">
      <c r="B725" s="0" t="inlineStr">
        <is>
          <t>NULL</t>
        </is>
      </c>
      <c r="C725" s="0" t="inlineStr">
        <is>
          <t>NULL</t>
        </is>
      </c>
      <c r="D725" s="0" t="inlineStr">
        <is>
          <t>NULL</t>
        </is>
      </c>
      <c r="E725" s="0" t="inlineStr">
        <is>
          <t>NULL</t>
        </is>
      </c>
      <c r="F725" s="0" t="inlineStr">
        <is>
          <t>NULL</t>
        </is>
      </c>
      <c r="G725" s="0" t="inlineStr">
        <is>
          <t>NULL</t>
        </is>
      </c>
      <c r="H725" s="0" t="inlineStr">
        <is>
          <t>NULL</t>
        </is>
      </c>
      <c r="I725" s="0" t="inlineStr">
        <is>
          <t>NULL</t>
        </is>
      </c>
      <c r="J725" s="0" t="inlineStr">
        <is>
          <t>NULL</t>
        </is>
      </c>
      <c r="K725" s="0" t="inlineStr">
        <is>
          <t>YES! 	 c_varchar_max列源备映射正确，源端为varchar -1位	期望更改为longtext	实际备端为longtext 4294967295位</t>
        </is>
      </c>
    </row>
    <row r="726">
      <c r="B726" s="0" t="inlineStr">
        <is>
          <t>NULL</t>
        </is>
      </c>
      <c r="C726" s="0" t="inlineStr">
        <is>
          <t>NULL</t>
        </is>
      </c>
      <c r="D726" s="0" t="inlineStr">
        <is>
          <t>NULL</t>
        </is>
      </c>
      <c r="E726" s="0" t="inlineStr">
        <is>
          <t>NULL</t>
        </is>
      </c>
      <c r="F726" s="0" t="inlineStr">
        <is>
          <t>NULL</t>
        </is>
      </c>
      <c r="G726" s="0" t="inlineStr">
        <is>
          <t>NULL</t>
        </is>
      </c>
      <c r="H726" s="0" t="inlineStr">
        <is>
          <t>NULL</t>
        </is>
      </c>
      <c r="I726" s="0" t="inlineStr">
        <is>
          <t>NULL</t>
        </is>
      </c>
      <c r="J726" s="0" t="inlineStr">
        <is>
          <t>NULL</t>
        </is>
      </c>
      <c r="K726" s="0" t="inlineStr">
        <is>
          <t>YES! 	 c_nvarchar_max列源备映射正确，源端为nvarchar -1位	期望更改为longtext	实际备端为longtext 4294967295位</t>
        </is>
      </c>
    </row>
    <row r="727">
      <c r="A727" s="0" t="inlineStr">
        <is>
          <t>info_datetime_dml_batch1_pk_urp2</t>
        </is>
      </c>
      <c r="K727" s="0" t="inlineStr">
        <is>
          <t>[0;34m info_datetime_dml_batch1_pk_urp2 [0m源备字段数相同，源端字段：2 	备端字段2</t>
        </is>
      </c>
      <c r="W727" s="0" t="inlineStr">
        <is>
          <t>YES 源备无差异</t>
        </is>
      </c>
      <c r="X727" s="0">
        <f>A727</f>
        <v/>
      </c>
    </row>
    <row r="728">
      <c r="B728" s="0" t="inlineStr">
        <is>
          <t>YES</t>
        </is>
      </c>
      <c r="C728" s="0" t="inlineStr">
        <is>
          <t>NULL</t>
        </is>
      </c>
      <c r="D728" s="0" t="inlineStr">
        <is>
          <t>NULL</t>
        </is>
      </c>
      <c r="E728" s="0" t="inlineStr">
        <is>
          <t>NULL</t>
        </is>
      </c>
      <c r="F728" s="0" t="inlineStr">
        <is>
          <t>NULL</t>
        </is>
      </c>
      <c r="G728" s="0" t="inlineStr">
        <is>
          <t>NULL</t>
        </is>
      </c>
      <c r="H728" s="0" t="inlineStr">
        <is>
          <t>NULL</t>
        </is>
      </c>
      <c r="I728" s="0" t="inlineStr">
        <is>
          <t>YES!PK__info_dat__3213E83F3FB40563</t>
        </is>
      </c>
      <c r="J728" s="0" t="inlineStr">
        <is>
          <t>YES! 主键相关索引</t>
        </is>
      </c>
      <c r="K728" s="0" t="inlineStr">
        <is>
          <t>YES! 	 id列源备映射正确，源端为int None位	期望更改为int	实际备端为int None位</t>
        </is>
      </c>
    </row>
    <row r="729">
      <c r="B729" s="0" t="inlineStr">
        <is>
          <t>NULL</t>
        </is>
      </c>
      <c r="C729" s="0" t="inlineStr">
        <is>
          <t>NULL</t>
        </is>
      </c>
      <c r="D729" s="0" t="inlineStr">
        <is>
          <t>NULL</t>
        </is>
      </c>
      <c r="E729" s="0" t="inlineStr">
        <is>
          <t>NULL</t>
        </is>
      </c>
      <c r="F729" s="0" t="inlineStr">
        <is>
          <t>NULL</t>
        </is>
      </c>
      <c r="G729" s="0" t="inlineStr">
        <is>
          <t>NULL</t>
        </is>
      </c>
      <c r="H729" s="0" t="inlineStr">
        <is>
          <t>NULL</t>
        </is>
      </c>
      <c r="I729" s="0" t="inlineStr">
        <is>
          <t>NULL</t>
        </is>
      </c>
      <c r="J729" s="0" t="inlineStr">
        <is>
          <t>NULL</t>
        </is>
      </c>
      <c r="K729" s="0" t="inlineStr">
        <is>
          <t>YES! 	 c_datetime列源备映射正确，源端为datetime None位	期望更改为datetime(3)	实际备端为datetime None位</t>
        </is>
      </c>
    </row>
    <row r="730">
      <c r="A730" s="0" t="inlineStr">
        <is>
          <t>info_nvarchar_dml_single_nopk</t>
        </is>
      </c>
      <c r="K730" s="0" t="inlineStr">
        <is>
          <t>[0;34m info_nvarchar_dml_single_nopk [0m源备字段数相同，源端字段：4 	备端字段4</t>
        </is>
      </c>
      <c r="W730" s="0" t="inlineStr">
        <is>
          <t>YES 源备无差异</t>
        </is>
      </c>
      <c r="X730" s="0">
        <f>A730</f>
        <v/>
      </c>
    </row>
    <row r="731">
      <c r="B731" s="0" t="inlineStr">
        <is>
          <t>NULL</t>
        </is>
      </c>
      <c r="C731" s="0" t="inlineStr">
        <is>
          <t>NULL</t>
        </is>
      </c>
      <c r="D731" s="0" t="inlineStr">
        <is>
          <t>NULL</t>
        </is>
      </c>
      <c r="E731" s="0" t="inlineStr">
        <is>
          <t>NULL</t>
        </is>
      </c>
      <c r="F731" s="0" t="inlineStr">
        <is>
          <t>NULL</t>
        </is>
      </c>
      <c r="G731" s="0" t="inlineStr">
        <is>
          <t>NULL</t>
        </is>
      </c>
      <c r="H731" s="0" t="inlineStr">
        <is>
          <t>NULL</t>
        </is>
      </c>
      <c r="I731" s="0" t="inlineStr">
        <is>
          <t>NULL</t>
        </is>
      </c>
      <c r="J731" s="0" t="inlineStr">
        <is>
          <t>NULL</t>
        </is>
      </c>
      <c r="K731" s="0" t="inlineStr">
        <is>
          <t>YES! 	 id列源备映射正确，源端为int None位	期望更改为int	实际备端为int None位</t>
        </is>
      </c>
    </row>
    <row r="732">
      <c r="B732" s="0" t="inlineStr">
        <is>
          <t>NULL</t>
        </is>
      </c>
      <c r="C732" s="0" t="inlineStr">
        <is>
          <t>NULL</t>
        </is>
      </c>
      <c r="D732" s="0" t="inlineStr">
        <is>
          <t>NULL</t>
        </is>
      </c>
      <c r="E732" s="0" t="inlineStr">
        <is>
          <t>NULL</t>
        </is>
      </c>
      <c r="F732" s="0" t="inlineStr">
        <is>
          <t>NULL</t>
        </is>
      </c>
      <c r="G732" s="0" t="inlineStr">
        <is>
          <t>NULL</t>
        </is>
      </c>
      <c r="H732" s="0" t="inlineStr">
        <is>
          <t>NULL</t>
        </is>
      </c>
      <c r="I732" s="0" t="inlineStr">
        <is>
          <t>NULL</t>
        </is>
      </c>
      <c r="J732" s="0" t="inlineStr">
        <is>
          <t>NULL</t>
        </is>
      </c>
      <c r="K732" s="0" t="inlineStr">
        <is>
          <t>YES! 	 c_nvarchar列源备映射正确，源端为nvarchar 2位	期望更改为varchar(n)	实际备端为varchar 4位</t>
        </is>
      </c>
    </row>
    <row r="733">
      <c r="B733" s="0" t="inlineStr">
        <is>
          <t>NULL</t>
        </is>
      </c>
      <c r="C733" s="0" t="inlineStr">
        <is>
          <t>NULL</t>
        </is>
      </c>
      <c r="D733" s="0" t="inlineStr">
        <is>
          <t>NULL</t>
        </is>
      </c>
      <c r="E733" s="0" t="inlineStr">
        <is>
          <t>NULL</t>
        </is>
      </c>
      <c r="F733" s="0" t="inlineStr">
        <is>
          <t>NULL</t>
        </is>
      </c>
      <c r="G733" s="0" t="inlineStr">
        <is>
          <t>NULL</t>
        </is>
      </c>
      <c r="H733" s="0" t="inlineStr">
        <is>
          <t>NULL</t>
        </is>
      </c>
      <c r="I733" s="0" t="inlineStr">
        <is>
          <t>NULL</t>
        </is>
      </c>
      <c r="J733" s="0" t="inlineStr">
        <is>
          <t>NULL</t>
        </is>
      </c>
      <c r="K733" s="0" t="inlineStr">
        <is>
          <t>YES! 	 c_nvarchar20列源备映射正确，源端为nvarchar 40位	期望更改为varchar(n)	实际备端为varchar 80位</t>
        </is>
      </c>
    </row>
    <row r="734">
      <c r="B734" s="0" t="inlineStr">
        <is>
          <t>NULL</t>
        </is>
      </c>
      <c r="C734" s="0" t="inlineStr">
        <is>
          <t>NULL</t>
        </is>
      </c>
      <c r="D734" s="0" t="inlineStr">
        <is>
          <t>NULL</t>
        </is>
      </c>
      <c r="E734" s="0" t="inlineStr">
        <is>
          <t>NULL</t>
        </is>
      </c>
      <c r="F734" s="0" t="inlineStr">
        <is>
          <t>NULL</t>
        </is>
      </c>
      <c r="G734" s="0" t="inlineStr">
        <is>
          <t>NULL</t>
        </is>
      </c>
      <c r="H734" s="0" t="inlineStr">
        <is>
          <t>NULL</t>
        </is>
      </c>
      <c r="I734" s="0" t="inlineStr">
        <is>
          <t>NULL</t>
        </is>
      </c>
      <c r="J734" s="0" t="inlineStr">
        <is>
          <t>NULL</t>
        </is>
      </c>
      <c r="K734" s="0" t="inlineStr">
        <is>
          <t xml:space="preserve"> NO!  	 c_nvarchar4000列源备映射错误，源端为nvarchar 8000位	期望更改为longtext	实际备端为text 65535位</t>
        </is>
      </c>
    </row>
    <row r="735">
      <c r="A735" s="0" t="inlineStr">
        <is>
          <t>info_date_dml_single_pk_urp</t>
        </is>
      </c>
      <c r="K735" s="0" t="inlineStr">
        <is>
          <t>[0;34m info_date_dml_single_pk_urp [0m源备字段数相同，源端字段：2 	备端字段2</t>
        </is>
      </c>
      <c r="W735" s="0" t="inlineStr">
        <is>
          <t>YES 源备无差异</t>
        </is>
      </c>
      <c r="X735" s="0">
        <f>A735</f>
        <v/>
      </c>
    </row>
    <row r="736">
      <c r="B736" s="0" t="inlineStr">
        <is>
          <t>YES</t>
        </is>
      </c>
      <c r="C736" s="0" t="inlineStr">
        <is>
          <t>NULL</t>
        </is>
      </c>
      <c r="D736" s="0" t="inlineStr">
        <is>
          <t>NULL</t>
        </is>
      </c>
      <c r="E736" s="0" t="inlineStr">
        <is>
          <t>NULL</t>
        </is>
      </c>
      <c r="F736" s="0" t="inlineStr">
        <is>
          <t>NULL</t>
        </is>
      </c>
      <c r="G736" s="0" t="inlineStr">
        <is>
          <t>NULL</t>
        </is>
      </c>
      <c r="H736" s="0" t="inlineStr">
        <is>
          <t>NULL</t>
        </is>
      </c>
      <c r="I736" s="0" t="inlineStr">
        <is>
          <t>YES!PK__info_dat__3213E83F54C67E83</t>
        </is>
      </c>
      <c r="J736" s="0" t="inlineStr">
        <is>
          <t>YES! 主键相关索引</t>
        </is>
      </c>
      <c r="K736" s="0" t="inlineStr">
        <is>
          <t>YES! 	 id列源备映射正确，源端为int None位	期望更改为int	实际备端为int None位</t>
        </is>
      </c>
    </row>
    <row r="737">
      <c r="B737" s="0" t="inlineStr">
        <is>
          <t>NULL</t>
        </is>
      </c>
      <c r="C737" s="0" t="inlineStr">
        <is>
          <t>NULL</t>
        </is>
      </c>
      <c r="D737" s="0" t="inlineStr">
        <is>
          <t>NULL</t>
        </is>
      </c>
      <c r="E737" s="0" t="inlineStr">
        <is>
          <t>NULL</t>
        </is>
      </c>
      <c r="F737" s="0" t="inlineStr">
        <is>
          <t>NULL</t>
        </is>
      </c>
      <c r="G737" s="0" t="inlineStr">
        <is>
          <t>NULL</t>
        </is>
      </c>
      <c r="H737" s="0" t="inlineStr">
        <is>
          <t>NULL</t>
        </is>
      </c>
      <c r="I737" s="0" t="inlineStr">
        <is>
          <t>NULL</t>
        </is>
      </c>
      <c r="J737" s="0" t="inlineStr">
        <is>
          <t>NULL</t>
        </is>
      </c>
      <c r="K737" s="0" t="inlineStr">
        <is>
          <t>YES! 	 c_date列源备映射正确，源端为date None位	期望更改为date	实际备端为date None位</t>
        </is>
      </c>
    </row>
    <row r="738">
      <c r="A738" s="0" t="inlineStr">
        <is>
          <t>info_nchar_dml_batch1_pk_irp2</t>
        </is>
      </c>
      <c r="K738" s="0" t="inlineStr">
        <is>
          <t>[0;34m info_nchar_dml_batch1_pk_irp2 [0m源备字段数相同，源端字段：4 	备端字段4</t>
        </is>
      </c>
      <c r="W738" s="15">
        <f>HYPERLINK("#2026051816mysql2!BH2","NO 源备存在差异，共36个")</f>
        <v/>
      </c>
      <c r="X738" s="0">
        <f>A738</f>
        <v/>
      </c>
    </row>
    <row r="739">
      <c r="B739" s="0" t="inlineStr">
        <is>
          <t>YES</t>
        </is>
      </c>
      <c r="C739" s="0" t="inlineStr">
        <is>
          <t>NULL</t>
        </is>
      </c>
      <c r="D739" s="0" t="inlineStr">
        <is>
          <t>NULL</t>
        </is>
      </c>
      <c r="E739" s="0" t="inlineStr">
        <is>
          <t>NULL</t>
        </is>
      </c>
      <c r="F739" s="0" t="inlineStr">
        <is>
          <t>NULL</t>
        </is>
      </c>
      <c r="G739" s="0" t="inlineStr">
        <is>
          <t>NULL</t>
        </is>
      </c>
      <c r="H739" s="0" t="inlineStr">
        <is>
          <t>NULL</t>
        </is>
      </c>
      <c r="I739" s="0" t="inlineStr">
        <is>
          <t>YES!PK__info_nch__3213E83F8697A893</t>
        </is>
      </c>
      <c r="J739" s="0" t="inlineStr">
        <is>
          <t>YES! 主键相关索引</t>
        </is>
      </c>
      <c r="K739" s="0" t="inlineStr">
        <is>
          <t>YES! 	 id列源备映射正确，源端为int None位	期望更改为int	实际备端为int None位</t>
        </is>
      </c>
    </row>
    <row r="740">
      <c r="B740" s="0" t="inlineStr">
        <is>
          <t>NULL</t>
        </is>
      </c>
      <c r="C740" s="0" t="inlineStr">
        <is>
          <t>NULL</t>
        </is>
      </c>
      <c r="D740" s="0" t="inlineStr">
        <is>
          <t>NULL</t>
        </is>
      </c>
      <c r="E740" s="0" t="inlineStr">
        <is>
          <t>NULL</t>
        </is>
      </c>
      <c r="F740" s="0" t="inlineStr">
        <is>
          <t>NULL</t>
        </is>
      </c>
      <c r="G740" s="0" t="inlineStr">
        <is>
          <t>NULL</t>
        </is>
      </c>
      <c r="H740" s="0" t="inlineStr">
        <is>
          <t>NULL</t>
        </is>
      </c>
      <c r="I740" s="0" t="inlineStr">
        <is>
          <t>NULL</t>
        </is>
      </c>
      <c r="J740" s="0" t="inlineStr">
        <is>
          <t>NULL</t>
        </is>
      </c>
      <c r="K740" s="0" t="inlineStr">
        <is>
          <t>YES! 	 c_nchar列源备映射正确，源端为nchar 2位	期望更改为char(n)	实际备端为char 4位</t>
        </is>
      </c>
    </row>
    <row r="741">
      <c r="B741" s="0" t="inlineStr">
        <is>
          <t>NULL</t>
        </is>
      </c>
      <c r="C741" s="0" t="inlineStr">
        <is>
          <t>NULL</t>
        </is>
      </c>
      <c r="D741" s="0" t="inlineStr">
        <is>
          <t>NULL</t>
        </is>
      </c>
      <c r="E741" s="0" t="inlineStr">
        <is>
          <t>NULL</t>
        </is>
      </c>
      <c r="F741" s="0" t="inlineStr">
        <is>
          <t>NULL</t>
        </is>
      </c>
      <c r="G741" s="0" t="inlineStr">
        <is>
          <t>NULL</t>
        </is>
      </c>
      <c r="H741" s="0" t="inlineStr">
        <is>
          <t>NULL</t>
        </is>
      </c>
      <c r="I741" s="0" t="inlineStr">
        <is>
          <t>NULL</t>
        </is>
      </c>
      <c r="J741" s="0" t="inlineStr">
        <is>
          <t>NULL</t>
        </is>
      </c>
      <c r="K741" s="0" t="inlineStr">
        <is>
          <t>YES! 	 c_nchar20列源备映射正确，源端为nchar 40位	期望更改为char(n)	实际备端为char 80位</t>
        </is>
      </c>
    </row>
    <row r="742">
      <c r="B742" s="0" t="inlineStr">
        <is>
          <t>NULL</t>
        </is>
      </c>
      <c r="C742" s="0" t="inlineStr">
        <is>
          <t>NULL</t>
        </is>
      </c>
      <c r="D742" s="0" t="inlineStr">
        <is>
          <t>NULL</t>
        </is>
      </c>
      <c r="E742" s="0" t="inlineStr">
        <is>
          <t>NULL</t>
        </is>
      </c>
      <c r="F742" s="0" t="inlineStr">
        <is>
          <t>NULL</t>
        </is>
      </c>
      <c r="G742" s="0" t="inlineStr">
        <is>
          <t>NULL</t>
        </is>
      </c>
      <c r="H742" s="0" t="inlineStr">
        <is>
          <t>NULL</t>
        </is>
      </c>
      <c r="I742" s="0" t="inlineStr">
        <is>
          <t>NULL</t>
        </is>
      </c>
      <c r="J742" s="0" t="inlineStr">
        <is>
          <t>NULL</t>
        </is>
      </c>
      <c r="K742" s="0" t="inlineStr">
        <is>
          <t xml:space="preserve"> NO!  	 c_nchar3500列源备映射错误，源端为nchar 7000位	期望更改为varchar(n)	实际备端为text 65535位</t>
        </is>
      </c>
    </row>
    <row r="743">
      <c r="A743" s="0" t="inlineStr">
        <is>
          <t>info_varcharmax_dml_single_pk_drp</t>
        </is>
      </c>
      <c r="K743" s="0" t="inlineStr">
        <is>
          <t>[0;34m info_varcharmax_dml_single_pk_drp [0m源备字段数相同，源端字段：3 	备端字段3</t>
        </is>
      </c>
      <c r="W743" s="0" t="inlineStr">
        <is>
          <t>YES 源备无差异</t>
        </is>
      </c>
      <c r="X743" s="0">
        <f>A743</f>
        <v/>
      </c>
    </row>
    <row r="744">
      <c r="B744" s="0" t="inlineStr">
        <is>
          <t>YES</t>
        </is>
      </c>
      <c r="C744" s="0" t="inlineStr">
        <is>
          <t>NULL</t>
        </is>
      </c>
      <c r="D744" s="0" t="inlineStr">
        <is>
          <t>NULL</t>
        </is>
      </c>
      <c r="E744" s="0" t="inlineStr">
        <is>
          <t>NULL</t>
        </is>
      </c>
      <c r="F744" s="0" t="inlineStr">
        <is>
          <t>NULL</t>
        </is>
      </c>
      <c r="G744" s="0" t="inlineStr">
        <is>
          <t>NULL</t>
        </is>
      </c>
      <c r="H744" s="0" t="inlineStr">
        <is>
          <t>NULL</t>
        </is>
      </c>
      <c r="I744" s="0" t="inlineStr">
        <is>
          <t>YES!PK__info_var__3213E83FA49B8609</t>
        </is>
      </c>
      <c r="J744" s="0" t="inlineStr">
        <is>
          <t>YES! 主键相关索引</t>
        </is>
      </c>
      <c r="K744" s="0" t="inlineStr">
        <is>
          <t>YES! 	 id列源备映射正确，源端为int None位	期望更改为int	实际备端为int None位</t>
        </is>
      </c>
    </row>
    <row r="745">
      <c r="B745" s="0" t="inlineStr">
        <is>
          <t>NULL</t>
        </is>
      </c>
      <c r="C745" s="0" t="inlineStr">
        <is>
          <t>NULL</t>
        </is>
      </c>
      <c r="D745" s="0" t="inlineStr">
        <is>
          <t>NULL</t>
        </is>
      </c>
      <c r="E745" s="0" t="inlineStr">
        <is>
          <t>NULL</t>
        </is>
      </c>
      <c r="F745" s="0" t="inlineStr">
        <is>
          <t>NULL</t>
        </is>
      </c>
      <c r="G745" s="0" t="inlineStr">
        <is>
          <t>NULL</t>
        </is>
      </c>
      <c r="H745" s="0" t="inlineStr">
        <is>
          <t>NULL</t>
        </is>
      </c>
      <c r="I745" s="0" t="inlineStr">
        <is>
          <t>NULL</t>
        </is>
      </c>
      <c r="J745" s="0" t="inlineStr">
        <is>
          <t>NULL</t>
        </is>
      </c>
      <c r="K745" s="0" t="inlineStr">
        <is>
          <t>YES! 	 c_varchar_max列源备映射正确，源端为varchar -1位	期望更改为longtext	实际备端为longtext 4294967295位</t>
        </is>
      </c>
    </row>
    <row r="746">
      <c r="B746" s="0" t="inlineStr">
        <is>
          <t>NULL</t>
        </is>
      </c>
      <c r="C746" s="0" t="inlineStr">
        <is>
          <t>NULL</t>
        </is>
      </c>
      <c r="D746" s="0" t="inlineStr">
        <is>
          <t>NULL</t>
        </is>
      </c>
      <c r="E746" s="0" t="inlineStr">
        <is>
          <t>NULL</t>
        </is>
      </c>
      <c r="F746" s="0" t="inlineStr">
        <is>
          <t>NULL</t>
        </is>
      </c>
      <c r="G746" s="0" t="inlineStr">
        <is>
          <t>NULL</t>
        </is>
      </c>
      <c r="H746" s="0" t="inlineStr">
        <is>
          <t>NULL</t>
        </is>
      </c>
      <c r="I746" s="0" t="inlineStr">
        <is>
          <t>NULL</t>
        </is>
      </c>
      <c r="J746" s="0" t="inlineStr">
        <is>
          <t>NULL</t>
        </is>
      </c>
      <c r="K746" s="0" t="inlineStr">
        <is>
          <t>YES! 	 c_nvarchar_max列源备映射正确，源端为nvarchar -1位	期望更改为longtext	实际备端为longtext 4294967295位</t>
        </is>
      </c>
    </row>
    <row r="747">
      <c r="A747" s="0" t="inlineStr">
        <is>
          <t>info_datetime_dml_batch1_pk_drp1</t>
        </is>
      </c>
      <c r="K747" s="0" t="inlineStr">
        <is>
          <t>[0;34m info_datetime_dml_batch1_pk_drp1 [0m源备字段数相同，源端字段：2 	备端字段2</t>
        </is>
      </c>
      <c r="W747" s="0" t="inlineStr">
        <is>
          <t>YES 源备无差异</t>
        </is>
      </c>
      <c r="X747" s="0">
        <f>A747</f>
        <v/>
      </c>
    </row>
    <row r="748">
      <c r="B748" s="0" t="inlineStr">
        <is>
          <t>YES</t>
        </is>
      </c>
      <c r="C748" s="0" t="inlineStr">
        <is>
          <t>NULL</t>
        </is>
      </c>
      <c r="D748" s="0" t="inlineStr">
        <is>
          <t>NULL</t>
        </is>
      </c>
      <c r="E748" s="0" t="inlineStr">
        <is>
          <t>NULL</t>
        </is>
      </c>
      <c r="F748" s="0" t="inlineStr">
        <is>
          <t>NULL</t>
        </is>
      </c>
      <c r="G748" s="0" t="inlineStr">
        <is>
          <t>NULL</t>
        </is>
      </c>
      <c r="H748" s="0" t="inlineStr">
        <is>
          <t>NULL</t>
        </is>
      </c>
      <c r="I748" s="0" t="inlineStr">
        <is>
          <t>YES!PK__info_dat__3213E83F32B4DE99</t>
        </is>
      </c>
      <c r="J748" s="0" t="inlineStr">
        <is>
          <t>YES! 主键相关索引</t>
        </is>
      </c>
      <c r="K748" s="0" t="inlineStr">
        <is>
          <t>YES! 	 id列源备映射正确，源端为int None位	期望更改为int	实际备端为int None位</t>
        </is>
      </c>
    </row>
    <row r="749">
      <c r="B749" s="0" t="inlineStr">
        <is>
          <t>NULL</t>
        </is>
      </c>
      <c r="C749" s="0" t="inlineStr">
        <is>
          <t>NULL</t>
        </is>
      </c>
      <c r="D749" s="0" t="inlineStr">
        <is>
          <t>NULL</t>
        </is>
      </c>
      <c r="E749" s="0" t="inlineStr">
        <is>
          <t>NULL</t>
        </is>
      </c>
      <c r="F749" s="0" t="inlineStr">
        <is>
          <t>NULL</t>
        </is>
      </c>
      <c r="G749" s="0" t="inlineStr">
        <is>
          <t>NULL</t>
        </is>
      </c>
      <c r="H749" s="0" t="inlineStr">
        <is>
          <t>NULL</t>
        </is>
      </c>
      <c r="I749" s="0" t="inlineStr">
        <is>
          <t>NULL</t>
        </is>
      </c>
      <c r="J749" s="0" t="inlineStr">
        <is>
          <t>NULL</t>
        </is>
      </c>
      <c r="K749" s="0" t="inlineStr">
        <is>
          <t>YES! 	 c_datetime列源备映射正确，源端为datetime None位	期望更改为datetime(3)	实际备端为datetime None位</t>
        </is>
      </c>
    </row>
    <row r="750">
      <c r="K750" s="0" t="inlineStr">
        <is>
          <t>~ 空表</t>
        </is>
      </c>
    </row>
    <row r="751">
      <c r="A751" s="0" t="inlineStr">
        <is>
          <t>info_varcharmax_dml_single_nopk_irp</t>
        </is>
      </c>
      <c r="K751" s="0" t="inlineStr">
        <is>
          <t>[0;34m info_varcharmax_dml_single_nopk_irp [0m源备字段数相同，源端字段：3 	备端字段3</t>
        </is>
      </c>
      <c r="W751" s="0" t="inlineStr">
        <is>
          <t>YES 源备无差异</t>
        </is>
      </c>
      <c r="X751" s="0">
        <f>A751</f>
        <v/>
      </c>
    </row>
    <row r="752">
      <c r="B752" s="0" t="inlineStr">
        <is>
          <t>NULL</t>
        </is>
      </c>
      <c r="C752" s="0" t="inlineStr">
        <is>
          <t>NULL</t>
        </is>
      </c>
      <c r="D752" s="0" t="inlineStr">
        <is>
          <t>NULL</t>
        </is>
      </c>
      <c r="E752" s="0" t="inlineStr">
        <is>
          <t>NULL</t>
        </is>
      </c>
      <c r="F752" s="0" t="inlineStr">
        <is>
          <t>NULL</t>
        </is>
      </c>
      <c r="G752" s="0" t="inlineStr">
        <is>
          <t>NULL</t>
        </is>
      </c>
      <c r="H752" s="0" t="inlineStr">
        <is>
          <t>NULL</t>
        </is>
      </c>
      <c r="I752" s="0" t="inlineStr">
        <is>
          <t>NULL</t>
        </is>
      </c>
      <c r="J752" s="0" t="inlineStr">
        <is>
          <t>NULL</t>
        </is>
      </c>
      <c r="K752" s="0" t="inlineStr">
        <is>
          <t>YES! 	 id列源备映射正确，源端为int None位	期望更改为int	实际备端为int None位</t>
        </is>
      </c>
    </row>
    <row r="753">
      <c r="B753" s="0" t="inlineStr">
        <is>
          <t>NULL</t>
        </is>
      </c>
      <c r="C753" s="0" t="inlineStr">
        <is>
          <t>NULL</t>
        </is>
      </c>
      <c r="D753" s="0" t="inlineStr">
        <is>
          <t>NULL</t>
        </is>
      </c>
      <c r="E753" s="0" t="inlineStr">
        <is>
          <t>NULL</t>
        </is>
      </c>
      <c r="F753" s="0" t="inlineStr">
        <is>
          <t>NULL</t>
        </is>
      </c>
      <c r="G753" s="0" t="inlineStr">
        <is>
          <t>NULL</t>
        </is>
      </c>
      <c r="H753" s="0" t="inlineStr">
        <is>
          <t>NULL</t>
        </is>
      </c>
      <c r="I753" s="0" t="inlineStr">
        <is>
          <t>NULL</t>
        </is>
      </c>
      <c r="J753" s="0" t="inlineStr">
        <is>
          <t>NULL</t>
        </is>
      </c>
      <c r="K753" s="0" t="inlineStr">
        <is>
          <t>YES! 	 c_varchar_max列源备映射正确，源端为varchar -1位	期望更改为longtext	实际备端为longtext 4294967295位</t>
        </is>
      </c>
    </row>
    <row r="754">
      <c r="B754" s="0" t="inlineStr">
        <is>
          <t>NULL</t>
        </is>
      </c>
      <c r="C754" s="0" t="inlineStr">
        <is>
          <t>NULL</t>
        </is>
      </c>
      <c r="D754" s="0" t="inlineStr">
        <is>
          <t>NULL</t>
        </is>
      </c>
      <c r="E754" s="0" t="inlineStr">
        <is>
          <t>NULL</t>
        </is>
      </c>
      <c r="F754" s="0" t="inlineStr">
        <is>
          <t>NULL</t>
        </is>
      </c>
      <c r="G754" s="0" t="inlineStr">
        <is>
          <t>NULL</t>
        </is>
      </c>
      <c r="H754" s="0" t="inlineStr">
        <is>
          <t>NULL</t>
        </is>
      </c>
      <c r="I754" s="0" t="inlineStr">
        <is>
          <t>NULL</t>
        </is>
      </c>
      <c r="J754" s="0" t="inlineStr">
        <is>
          <t>NULL</t>
        </is>
      </c>
      <c r="K754" s="0" t="inlineStr">
        <is>
          <t>YES! 	 c_nvarchar_max列源备映射正确，源端为nvarchar -1位	期望更改为longtext	实际备端为longtext 4294967295位</t>
        </is>
      </c>
    </row>
    <row r="755">
      <c r="A755" s="0" t="inlineStr">
        <is>
          <t>info_sql_variant_dml_single_nopk_irp</t>
        </is>
      </c>
      <c r="K755" s="0" t="inlineStr">
        <is>
          <t>[0;34m info_sql_variant_dml_single_nopk_irp [0m源备字段数相同，源端字段：25 	备端字段25</t>
        </is>
      </c>
      <c r="W755" s="15">
        <f>HYPERLINK("#2026051816mysql2!BI2","NO 源备存在差异，共2个")</f>
        <v/>
      </c>
      <c r="X755" s="0">
        <f>A755</f>
        <v/>
      </c>
    </row>
    <row r="756">
      <c r="B756" s="0" t="inlineStr">
        <is>
          <t>NULL</t>
        </is>
      </c>
      <c r="C756" s="0" t="inlineStr">
        <is>
          <t>NULL</t>
        </is>
      </c>
      <c r="D756" s="0" t="inlineStr">
        <is>
          <t>NULL</t>
        </is>
      </c>
      <c r="E756" s="0" t="inlineStr">
        <is>
          <t>NULL</t>
        </is>
      </c>
      <c r="F756" s="0" t="inlineStr">
        <is>
          <t>NULL</t>
        </is>
      </c>
      <c r="G756" s="0" t="inlineStr">
        <is>
          <t>NULL</t>
        </is>
      </c>
      <c r="H756" s="0" t="inlineStr">
        <is>
          <t>NULL</t>
        </is>
      </c>
      <c r="I756" s="0" t="inlineStr">
        <is>
          <t>NULL</t>
        </is>
      </c>
      <c r="J756" s="0" t="inlineStr">
        <is>
          <t>NULL</t>
        </is>
      </c>
      <c r="K756" s="0" t="inlineStr">
        <is>
          <t>YES! 	 id列源备映射正确，源端为int None位	期望更改为int	实际备端为int None位</t>
        </is>
      </c>
    </row>
    <row r="757">
      <c r="B757" s="0" t="inlineStr">
        <is>
          <t>NULL</t>
        </is>
      </c>
      <c r="C757" s="0" t="inlineStr">
        <is>
          <t>NULL</t>
        </is>
      </c>
      <c r="D757" s="0" t="inlineStr">
        <is>
          <t>NULL</t>
        </is>
      </c>
      <c r="E757" s="0" t="inlineStr">
        <is>
          <t>NULL</t>
        </is>
      </c>
      <c r="F757" s="0" t="inlineStr">
        <is>
          <t>NULL</t>
        </is>
      </c>
      <c r="G757" s="0" t="inlineStr">
        <is>
          <t>NULL</t>
        </is>
      </c>
      <c r="H757" s="0" t="inlineStr">
        <is>
          <t>NULL</t>
        </is>
      </c>
      <c r="I757" s="0" t="inlineStr">
        <is>
          <t>NULL</t>
        </is>
      </c>
      <c r="J757" s="0" t="inlineStr">
        <is>
          <t>NULL</t>
        </is>
      </c>
      <c r="K757" s="0" t="inlineStr">
        <is>
          <t>[0;32m YES! [0m 	 c_date列源备映射正确，源端为sql_variant 0位	期望更改为VARCHAR(255)	实际备端为varchar 1020位	位数精度不存在，通过长度比较</t>
        </is>
      </c>
    </row>
    <row r="758">
      <c r="B758" s="0" t="inlineStr">
        <is>
          <t>NULL</t>
        </is>
      </c>
      <c r="C758" s="0" t="inlineStr">
        <is>
          <t>NULL</t>
        </is>
      </c>
      <c r="D758" s="0" t="inlineStr">
        <is>
          <t>NULL</t>
        </is>
      </c>
      <c r="E758" s="0" t="inlineStr">
        <is>
          <t>NULL</t>
        </is>
      </c>
      <c r="F758" s="0" t="inlineStr">
        <is>
          <t>NULL</t>
        </is>
      </c>
      <c r="G758" s="0" t="inlineStr">
        <is>
          <t>NULL</t>
        </is>
      </c>
      <c r="H758" s="0" t="inlineStr">
        <is>
          <t>NULL</t>
        </is>
      </c>
      <c r="I758" s="0" t="inlineStr">
        <is>
          <t>NULL</t>
        </is>
      </c>
      <c r="J758" s="0" t="inlineStr">
        <is>
          <t>NULL</t>
        </is>
      </c>
      <c r="K758" s="0" t="inlineStr">
        <is>
          <t>[0;32m YES! [0m 	 c_time列源备映射正确，源端为sql_variant 0位	期望更改为VARCHAR(255)	实际备端为varchar 1020位	位数精度不存在，通过长度比较</t>
        </is>
      </c>
    </row>
    <row r="759">
      <c r="B759" s="0" t="inlineStr">
        <is>
          <t>NULL</t>
        </is>
      </c>
      <c r="C759" s="0" t="inlineStr">
        <is>
          <t>NULL</t>
        </is>
      </c>
      <c r="D759" s="0" t="inlineStr">
        <is>
          <t>NULL</t>
        </is>
      </c>
      <c r="E759" s="0" t="inlineStr">
        <is>
          <t>NULL</t>
        </is>
      </c>
      <c r="F759" s="0" t="inlineStr">
        <is>
          <t>NULL</t>
        </is>
      </c>
      <c r="G759" s="0" t="inlineStr">
        <is>
          <t>NULL</t>
        </is>
      </c>
      <c r="H759" s="0" t="inlineStr">
        <is>
          <t>NULL</t>
        </is>
      </c>
      <c r="I759" s="0" t="inlineStr">
        <is>
          <t>NULL</t>
        </is>
      </c>
      <c r="J759" s="0" t="inlineStr">
        <is>
          <t>NULL</t>
        </is>
      </c>
      <c r="K759" s="0" t="inlineStr">
        <is>
          <t>[0;32m YES! [0m 	 c_datetime2列源备映射正确，源端为sql_variant 0位	期望更改为VARCHAR(255)	实际备端为varchar 1020位	位数精度不存在，通过长度比较</t>
        </is>
      </c>
    </row>
    <row r="760">
      <c r="B760" s="0" t="inlineStr">
        <is>
          <t>NULL</t>
        </is>
      </c>
      <c r="C760" s="0" t="inlineStr">
        <is>
          <t>NULL</t>
        </is>
      </c>
      <c r="D760" s="0" t="inlineStr">
        <is>
          <t>NULL</t>
        </is>
      </c>
      <c r="E760" s="0" t="inlineStr">
        <is>
          <t>NULL</t>
        </is>
      </c>
      <c r="F760" s="0" t="inlineStr">
        <is>
          <t>NULL</t>
        </is>
      </c>
      <c r="G760" s="0" t="inlineStr">
        <is>
          <t>NULL</t>
        </is>
      </c>
      <c r="H760" s="0" t="inlineStr">
        <is>
          <t>NULL</t>
        </is>
      </c>
      <c r="I760" s="0" t="inlineStr">
        <is>
          <t>NULL</t>
        </is>
      </c>
      <c r="J760" s="0" t="inlineStr">
        <is>
          <t>NULL</t>
        </is>
      </c>
      <c r="K760" s="0" t="inlineStr">
        <is>
          <t>[0;32m YES! [0m 	 c_datetimeoffset列源备映射正确，源端为sql_variant 0位	期望更改为VARCHAR(255)	实际备端为varchar 1020位	位数精度不存在，通过长度比较</t>
        </is>
      </c>
    </row>
    <row r="761">
      <c r="B761" s="0" t="inlineStr">
        <is>
          <t>NULL</t>
        </is>
      </c>
      <c r="C761" s="0" t="inlineStr">
        <is>
          <t>NULL</t>
        </is>
      </c>
      <c r="D761" s="0" t="inlineStr">
        <is>
          <t>NULL</t>
        </is>
      </c>
      <c r="E761" s="0" t="inlineStr">
        <is>
          <t>NULL</t>
        </is>
      </c>
      <c r="F761" s="0" t="inlineStr">
        <is>
          <t>NULL</t>
        </is>
      </c>
      <c r="G761" s="0" t="inlineStr">
        <is>
          <t>NULL</t>
        </is>
      </c>
      <c r="H761" s="0" t="inlineStr">
        <is>
          <t>NULL</t>
        </is>
      </c>
      <c r="I761" s="0" t="inlineStr">
        <is>
          <t>NULL</t>
        </is>
      </c>
      <c r="J761" s="0" t="inlineStr">
        <is>
          <t>NULL</t>
        </is>
      </c>
      <c r="K761" s="0" t="inlineStr">
        <is>
          <t>[0;32m YES! [0m 	 c_tinyint列源备映射正确，源端为sql_variant 0位	期望更改为VARCHAR(255)	实际备端为varchar 1020位	位数精度不存在，通过长度比较</t>
        </is>
      </c>
    </row>
    <row r="762">
      <c r="B762" s="0" t="inlineStr">
        <is>
          <t>NULL</t>
        </is>
      </c>
      <c r="C762" s="0" t="inlineStr">
        <is>
          <t>NULL</t>
        </is>
      </c>
      <c r="D762" s="0" t="inlineStr">
        <is>
          <t>NULL</t>
        </is>
      </c>
      <c r="E762" s="0" t="inlineStr">
        <is>
          <t>NULL</t>
        </is>
      </c>
      <c r="F762" s="0" t="inlineStr">
        <is>
          <t>NULL</t>
        </is>
      </c>
      <c r="G762" s="0" t="inlineStr">
        <is>
          <t>NULL</t>
        </is>
      </c>
      <c r="H762" s="0" t="inlineStr">
        <is>
          <t>NULL</t>
        </is>
      </c>
      <c r="I762" s="0" t="inlineStr">
        <is>
          <t>NULL</t>
        </is>
      </c>
      <c r="J762" s="0" t="inlineStr">
        <is>
          <t>NULL</t>
        </is>
      </c>
      <c r="K762" s="0" t="inlineStr">
        <is>
          <t>[0;32m YES! [0m 	 c_smallint列源备映射正确，源端为sql_variant 0位	期望更改为VARCHAR(255)	实际备端为varchar 1020位	位数精度不存在，通过长度比较</t>
        </is>
      </c>
    </row>
    <row r="763">
      <c r="B763" s="0" t="inlineStr">
        <is>
          <t>NULL</t>
        </is>
      </c>
      <c r="C763" s="0" t="inlineStr">
        <is>
          <t>NULL</t>
        </is>
      </c>
      <c r="D763" s="0" t="inlineStr">
        <is>
          <t>NULL</t>
        </is>
      </c>
      <c r="E763" s="0" t="inlineStr">
        <is>
          <t>NULL</t>
        </is>
      </c>
      <c r="F763" s="0" t="inlineStr">
        <is>
          <t>NULL</t>
        </is>
      </c>
      <c r="G763" s="0" t="inlineStr">
        <is>
          <t>NULL</t>
        </is>
      </c>
      <c r="H763" s="0" t="inlineStr">
        <is>
          <t>NULL</t>
        </is>
      </c>
      <c r="I763" s="0" t="inlineStr">
        <is>
          <t>NULL</t>
        </is>
      </c>
      <c r="J763" s="0" t="inlineStr">
        <is>
          <t>NULL</t>
        </is>
      </c>
      <c r="K763" s="0" t="inlineStr">
        <is>
          <t>[0;32m YES! [0m 	 c_int列源备映射正确，源端为sql_variant 0位	期望更改为VARCHAR(255)	实际备端为varchar 1020位	位数精度不存在，通过长度比较</t>
        </is>
      </c>
    </row>
    <row r="764">
      <c r="B764" s="0" t="inlineStr">
        <is>
          <t>NULL</t>
        </is>
      </c>
      <c r="C764" s="0" t="inlineStr">
        <is>
          <t>NULL</t>
        </is>
      </c>
      <c r="D764" s="0" t="inlineStr">
        <is>
          <t>NULL</t>
        </is>
      </c>
      <c r="E764" s="0" t="inlineStr">
        <is>
          <t>NULL</t>
        </is>
      </c>
      <c r="F764" s="0" t="inlineStr">
        <is>
          <t>NULL</t>
        </is>
      </c>
      <c r="G764" s="0" t="inlineStr">
        <is>
          <t>NULL</t>
        </is>
      </c>
      <c r="H764" s="0" t="inlineStr">
        <is>
          <t>NULL</t>
        </is>
      </c>
      <c r="I764" s="0" t="inlineStr">
        <is>
          <t>NULL</t>
        </is>
      </c>
      <c r="J764" s="0" t="inlineStr">
        <is>
          <t>NULL</t>
        </is>
      </c>
      <c r="K764" s="0" t="inlineStr">
        <is>
          <t>[0;32m YES! [0m 	 c_sdt列源备映射正确，源端为sql_variant 0位	期望更改为VARCHAR(255)	实际备端为varchar 1020位	位数精度不存在，通过长度比较</t>
        </is>
      </c>
    </row>
    <row r="765">
      <c r="B765" s="0" t="inlineStr">
        <is>
          <t>NULL</t>
        </is>
      </c>
      <c r="C765" s="0" t="inlineStr">
        <is>
          <t>NULL</t>
        </is>
      </c>
      <c r="D765" s="0" t="inlineStr">
        <is>
          <t>NULL</t>
        </is>
      </c>
      <c r="E765" s="0" t="inlineStr">
        <is>
          <t>NULL</t>
        </is>
      </c>
      <c r="F765" s="0" t="inlineStr">
        <is>
          <t>NULL</t>
        </is>
      </c>
      <c r="G765" s="0" t="inlineStr">
        <is>
          <t>NULL</t>
        </is>
      </c>
      <c r="H765" s="0" t="inlineStr">
        <is>
          <t>NULL</t>
        </is>
      </c>
      <c r="I765" s="0" t="inlineStr">
        <is>
          <t>NULL</t>
        </is>
      </c>
      <c r="J765" s="0" t="inlineStr">
        <is>
          <t>NULL</t>
        </is>
      </c>
      <c r="K765" s="0" t="inlineStr">
        <is>
          <t>[0;32m YES! [0m 	 c_real列源备映射正确，源端为sql_variant 0位	期望更改为VARCHAR(255)	实际备端为varchar 1020位	位数精度不存在，通过长度比较</t>
        </is>
      </c>
    </row>
    <row r="766">
      <c r="B766" s="0" t="inlineStr">
        <is>
          <t>NULL</t>
        </is>
      </c>
      <c r="C766" s="0" t="inlineStr">
        <is>
          <t>NULL</t>
        </is>
      </c>
      <c r="D766" s="0" t="inlineStr">
        <is>
          <t>NULL</t>
        </is>
      </c>
      <c r="E766" s="0" t="inlineStr">
        <is>
          <t>NULL</t>
        </is>
      </c>
      <c r="F766" s="0" t="inlineStr">
        <is>
          <t>NULL</t>
        </is>
      </c>
      <c r="G766" s="0" t="inlineStr">
        <is>
          <t>NULL</t>
        </is>
      </c>
      <c r="H766" s="0" t="inlineStr">
        <is>
          <t>NULL</t>
        </is>
      </c>
      <c r="I766" s="0" t="inlineStr">
        <is>
          <t>NULL</t>
        </is>
      </c>
      <c r="J766" s="0" t="inlineStr">
        <is>
          <t>NULL</t>
        </is>
      </c>
      <c r="K766" s="0" t="inlineStr">
        <is>
          <t>[0;32m YES! [0m 	 c_money列源备映射正确，源端为sql_variant 0位	期望更改为VARCHAR(255)	实际备端为varchar 1020位	位数精度不存在，通过长度比较</t>
        </is>
      </c>
    </row>
    <row r="767">
      <c r="B767" s="0" t="inlineStr">
        <is>
          <t>NULL</t>
        </is>
      </c>
      <c r="C767" s="0" t="inlineStr">
        <is>
          <t>NULL</t>
        </is>
      </c>
      <c r="D767" s="0" t="inlineStr">
        <is>
          <t>NULL</t>
        </is>
      </c>
      <c r="E767" s="0" t="inlineStr">
        <is>
          <t>NULL</t>
        </is>
      </c>
      <c r="F767" s="0" t="inlineStr">
        <is>
          <t>NULL</t>
        </is>
      </c>
      <c r="G767" s="0" t="inlineStr">
        <is>
          <t>NULL</t>
        </is>
      </c>
      <c r="H767" s="0" t="inlineStr">
        <is>
          <t>NULL</t>
        </is>
      </c>
      <c r="I767" s="0" t="inlineStr">
        <is>
          <t>NULL</t>
        </is>
      </c>
      <c r="J767" s="0" t="inlineStr">
        <is>
          <t>NULL</t>
        </is>
      </c>
      <c r="K767" s="0" t="inlineStr">
        <is>
          <t>[0;32m YES! [0m 	 c_datetime列源备映射正确，源端为sql_variant 0位	期望更改为VARCHAR(255)	实际备端为varchar 1020位	位数精度不存在，通过长度比较</t>
        </is>
      </c>
    </row>
    <row r="768">
      <c r="B768" s="0" t="inlineStr">
        <is>
          <t>NULL</t>
        </is>
      </c>
      <c r="C768" s="0" t="inlineStr">
        <is>
          <t>NULL</t>
        </is>
      </c>
      <c r="D768" s="0" t="inlineStr">
        <is>
          <t>NULL</t>
        </is>
      </c>
      <c r="E768" s="0" t="inlineStr">
        <is>
          <t>NULL</t>
        </is>
      </c>
      <c r="F768" s="0" t="inlineStr">
        <is>
          <t>NULL</t>
        </is>
      </c>
      <c r="G768" s="0" t="inlineStr">
        <is>
          <t>NULL</t>
        </is>
      </c>
      <c r="H768" s="0" t="inlineStr">
        <is>
          <t>NULL</t>
        </is>
      </c>
      <c r="I768" s="0" t="inlineStr">
        <is>
          <t>NULL</t>
        </is>
      </c>
      <c r="J768" s="0" t="inlineStr">
        <is>
          <t>NULL</t>
        </is>
      </c>
      <c r="K768" s="0" t="inlineStr">
        <is>
          <t>[0;32m YES! [0m 	 c_float列源备映射正确，源端为sql_variant 0位	期望更改为VARCHAR(255)	实际备端为varchar 1020位	位数精度不存在，通过长度比较</t>
        </is>
      </c>
    </row>
    <row r="769">
      <c r="B769" s="0" t="inlineStr">
        <is>
          <t>NULL</t>
        </is>
      </c>
      <c r="C769" s="0" t="inlineStr">
        <is>
          <t>NULL</t>
        </is>
      </c>
      <c r="D769" s="0" t="inlineStr">
        <is>
          <t>NULL</t>
        </is>
      </c>
      <c r="E769" s="0" t="inlineStr">
        <is>
          <t>NULL</t>
        </is>
      </c>
      <c r="F769" s="0" t="inlineStr">
        <is>
          <t>NULL</t>
        </is>
      </c>
      <c r="G769" s="0" t="inlineStr">
        <is>
          <t>NULL</t>
        </is>
      </c>
      <c r="H769" s="0" t="inlineStr">
        <is>
          <t>NULL</t>
        </is>
      </c>
      <c r="I769" s="0" t="inlineStr">
        <is>
          <t>NULL</t>
        </is>
      </c>
      <c r="J769" s="0" t="inlineStr">
        <is>
          <t>NULL</t>
        </is>
      </c>
      <c r="K769" s="0" t="inlineStr">
        <is>
          <t>[0;32m YES! [0m 	 c_bit列源备映射正确，源端为sql_variant 0位	期望更改为VARCHAR(255)	实际备端为varchar 1020位	位数精度不存在，通过长度比较</t>
        </is>
      </c>
    </row>
    <row r="770">
      <c r="B770" s="0" t="inlineStr">
        <is>
          <t>NULL</t>
        </is>
      </c>
      <c r="C770" s="0" t="inlineStr">
        <is>
          <t>NULL</t>
        </is>
      </c>
      <c r="D770" s="0" t="inlineStr">
        <is>
          <t>NULL</t>
        </is>
      </c>
      <c r="E770" s="0" t="inlineStr">
        <is>
          <t>NULL</t>
        </is>
      </c>
      <c r="F770" s="0" t="inlineStr">
        <is>
          <t>NULL</t>
        </is>
      </c>
      <c r="G770" s="0" t="inlineStr">
        <is>
          <t>NULL</t>
        </is>
      </c>
      <c r="H770" s="0" t="inlineStr">
        <is>
          <t>NULL</t>
        </is>
      </c>
      <c r="I770" s="0" t="inlineStr">
        <is>
          <t>NULL</t>
        </is>
      </c>
      <c r="J770" s="0" t="inlineStr">
        <is>
          <t>NULL</t>
        </is>
      </c>
      <c r="K770" s="0" t="inlineStr">
        <is>
          <t>[0;32m YES! [0m 	 c_decimal列源备映射正确，源端为sql_variant 0位	期望更改为VARCHAR(255)	实际备端为varchar 1020位	位数精度不存在，通过长度比较</t>
        </is>
      </c>
    </row>
    <row r="771">
      <c r="B771" s="0" t="inlineStr">
        <is>
          <t>NULL</t>
        </is>
      </c>
      <c r="C771" s="0" t="inlineStr">
        <is>
          <t>NULL</t>
        </is>
      </c>
      <c r="D771" s="0" t="inlineStr">
        <is>
          <t>NULL</t>
        </is>
      </c>
      <c r="E771" s="0" t="inlineStr">
        <is>
          <t>NULL</t>
        </is>
      </c>
      <c r="F771" s="0" t="inlineStr">
        <is>
          <t>NULL</t>
        </is>
      </c>
      <c r="G771" s="0" t="inlineStr">
        <is>
          <t>NULL</t>
        </is>
      </c>
      <c r="H771" s="0" t="inlineStr">
        <is>
          <t>NULL</t>
        </is>
      </c>
      <c r="I771" s="0" t="inlineStr">
        <is>
          <t>NULL</t>
        </is>
      </c>
      <c r="J771" s="0" t="inlineStr">
        <is>
          <t>NULL</t>
        </is>
      </c>
      <c r="K771" s="0" t="inlineStr">
        <is>
          <t>[0;32m YES! [0m 	 c_uniqueidentifier列源备映射正确，源端为sql_variant 0位	期望更改为VARCHAR(255)	实际备端为varchar 1020位	位数精度不存在，通过长度比较</t>
        </is>
      </c>
    </row>
    <row r="772">
      <c r="B772" s="0" t="inlineStr">
        <is>
          <t>NULL</t>
        </is>
      </c>
      <c r="C772" s="0" t="inlineStr">
        <is>
          <t>NULL</t>
        </is>
      </c>
      <c r="D772" s="0" t="inlineStr">
        <is>
          <t>NULL</t>
        </is>
      </c>
      <c r="E772" s="0" t="inlineStr">
        <is>
          <t>NULL</t>
        </is>
      </c>
      <c r="F772" s="0" t="inlineStr">
        <is>
          <t>NULL</t>
        </is>
      </c>
      <c r="G772" s="0" t="inlineStr">
        <is>
          <t>NULL</t>
        </is>
      </c>
      <c r="H772" s="0" t="inlineStr">
        <is>
          <t>NULL</t>
        </is>
      </c>
      <c r="I772" s="0" t="inlineStr">
        <is>
          <t>NULL</t>
        </is>
      </c>
      <c r="J772" s="0" t="inlineStr">
        <is>
          <t>NULL</t>
        </is>
      </c>
      <c r="K772" s="0" t="inlineStr">
        <is>
          <t>[0;32m YES! [0m 	 c_smallmoney列源备映射正确，源端为sql_variant 0位	期望更改为VARCHAR(255)	实际备端为varchar 1020位	位数精度不存在，通过长度比较</t>
        </is>
      </c>
    </row>
    <row r="773">
      <c r="B773" s="0" t="inlineStr">
        <is>
          <t>NULL</t>
        </is>
      </c>
      <c r="C773" s="0" t="inlineStr">
        <is>
          <t>NULL</t>
        </is>
      </c>
      <c r="D773" s="0" t="inlineStr">
        <is>
          <t>NULL</t>
        </is>
      </c>
      <c r="E773" s="0" t="inlineStr">
        <is>
          <t>NULL</t>
        </is>
      </c>
      <c r="F773" s="0" t="inlineStr">
        <is>
          <t>NULL</t>
        </is>
      </c>
      <c r="G773" s="0" t="inlineStr">
        <is>
          <t>NULL</t>
        </is>
      </c>
      <c r="H773" s="0" t="inlineStr">
        <is>
          <t>NULL</t>
        </is>
      </c>
      <c r="I773" s="0" t="inlineStr">
        <is>
          <t>NULL</t>
        </is>
      </c>
      <c r="J773" s="0" t="inlineStr">
        <is>
          <t>NULL</t>
        </is>
      </c>
      <c r="K773" s="0" t="inlineStr">
        <is>
          <t>[0;32m YES! [0m 	 c_bigint列源备映射正确，源端为sql_variant 0位	期望更改为VARCHAR(255)	实际备端为varchar 1020位	位数精度不存在，通过长度比较</t>
        </is>
      </c>
    </row>
    <row r="774">
      <c r="B774" s="0" t="inlineStr">
        <is>
          <t>NULL</t>
        </is>
      </c>
      <c r="C774" s="0" t="inlineStr">
        <is>
          <t>NULL</t>
        </is>
      </c>
      <c r="D774" s="0" t="inlineStr">
        <is>
          <t>NULL</t>
        </is>
      </c>
      <c r="E774" s="0" t="inlineStr">
        <is>
          <t>NULL</t>
        </is>
      </c>
      <c r="F774" s="0" t="inlineStr">
        <is>
          <t>NULL</t>
        </is>
      </c>
      <c r="G774" s="0" t="inlineStr">
        <is>
          <t>NULL</t>
        </is>
      </c>
      <c r="H774" s="0" t="inlineStr">
        <is>
          <t>NULL</t>
        </is>
      </c>
      <c r="I774" s="0" t="inlineStr">
        <is>
          <t>NULL</t>
        </is>
      </c>
      <c r="J774" s="0" t="inlineStr">
        <is>
          <t>NULL</t>
        </is>
      </c>
      <c r="K774" s="0" t="inlineStr">
        <is>
          <t>[0;32m YES! [0m 	 c_varbinary_20列源备映射正确，源端为sql_variant 0位	期望更改为VARCHAR(255)	实际备端为varchar 1020位	位数精度不存在，通过长度比较</t>
        </is>
      </c>
    </row>
    <row r="775">
      <c r="B775" s="0" t="inlineStr">
        <is>
          <t>NULL</t>
        </is>
      </c>
      <c r="C775" s="0" t="inlineStr">
        <is>
          <t>NULL</t>
        </is>
      </c>
      <c r="D775" s="0" t="inlineStr">
        <is>
          <t>NULL</t>
        </is>
      </c>
      <c r="E775" s="0" t="inlineStr">
        <is>
          <t>NULL</t>
        </is>
      </c>
      <c r="F775" s="0" t="inlineStr">
        <is>
          <t>NULL</t>
        </is>
      </c>
      <c r="G775" s="0" t="inlineStr">
        <is>
          <t>NULL</t>
        </is>
      </c>
      <c r="H775" s="0" t="inlineStr">
        <is>
          <t>NULL</t>
        </is>
      </c>
      <c r="I775" s="0" t="inlineStr">
        <is>
          <t>NULL</t>
        </is>
      </c>
      <c r="J775" s="0" t="inlineStr">
        <is>
          <t>NULL</t>
        </is>
      </c>
      <c r="K775" s="0" t="inlineStr">
        <is>
          <t>[0;32m YES! [0m 	 c_varchar_20列源备映射正确，源端为sql_variant 0位	期望更改为VARCHAR(255)	实际备端为varchar 1020位	位数精度不存在，通过长度比较</t>
        </is>
      </c>
    </row>
    <row r="776">
      <c r="B776" s="0" t="inlineStr">
        <is>
          <t>NULL</t>
        </is>
      </c>
      <c r="C776" s="0" t="inlineStr">
        <is>
          <t>NULL</t>
        </is>
      </c>
      <c r="D776" s="0" t="inlineStr">
        <is>
          <t>NULL</t>
        </is>
      </c>
      <c r="E776" s="0" t="inlineStr">
        <is>
          <t>NULL</t>
        </is>
      </c>
      <c r="F776" s="0" t="inlineStr">
        <is>
          <t>NULL</t>
        </is>
      </c>
      <c r="G776" s="0" t="inlineStr">
        <is>
          <t>NULL</t>
        </is>
      </c>
      <c r="H776" s="0" t="inlineStr">
        <is>
          <t>NULL</t>
        </is>
      </c>
      <c r="I776" s="0" t="inlineStr">
        <is>
          <t>NULL</t>
        </is>
      </c>
      <c r="J776" s="0" t="inlineStr">
        <is>
          <t>NULL</t>
        </is>
      </c>
      <c r="K776" s="0" t="inlineStr">
        <is>
          <t>[0;32m YES! [0m 	 c_binary_20列源备映射正确，源端为sql_variant 0位	期望更改为VARCHAR(255)	实际备端为varchar 1020位	位数精度不存在，通过长度比较</t>
        </is>
      </c>
    </row>
    <row r="777">
      <c r="B777" s="0" t="inlineStr">
        <is>
          <t>NULL</t>
        </is>
      </c>
      <c r="C777" s="0" t="inlineStr">
        <is>
          <t>NULL</t>
        </is>
      </c>
      <c r="D777" s="0" t="inlineStr">
        <is>
          <t>NULL</t>
        </is>
      </c>
      <c r="E777" s="0" t="inlineStr">
        <is>
          <t>NULL</t>
        </is>
      </c>
      <c r="F777" s="0" t="inlineStr">
        <is>
          <t>NULL</t>
        </is>
      </c>
      <c r="G777" s="0" t="inlineStr">
        <is>
          <t>NULL</t>
        </is>
      </c>
      <c r="H777" s="0" t="inlineStr">
        <is>
          <t>NULL</t>
        </is>
      </c>
      <c r="I777" s="0" t="inlineStr">
        <is>
          <t>NULL</t>
        </is>
      </c>
      <c r="J777" s="0" t="inlineStr">
        <is>
          <t>NULL</t>
        </is>
      </c>
      <c r="K777" s="0" t="inlineStr">
        <is>
          <t>[0;32m YES! [0m 	 c_char_20列源备映射正确，源端为sql_variant 0位	期望更改为VARCHAR(255)	实际备端为varchar 1020位	位数精度不存在，通过长度比较</t>
        </is>
      </c>
    </row>
    <row r="778">
      <c r="B778" s="0" t="inlineStr">
        <is>
          <t>NULL</t>
        </is>
      </c>
      <c r="C778" s="0" t="inlineStr">
        <is>
          <t>NULL</t>
        </is>
      </c>
      <c r="D778" s="0" t="inlineStr">
        <is>
          <t>NULL</t>
        </is>
      </c>
      <c r="E778" s="0" t="inlineStr">
        <is>
          <t>NULL</t>
        </is>
      </c>
      <c r="F778" s="0" t="inlineStr">
        <is>
          <t>NULL</t>
        </is>
      </c>
      <c r="G778" s="0" t="inlineStr">
        <is>
          <t>NULL</t>
        </is>
      </c>
      <c r="H778" s="0" t="inlineStr">
        <is>
          <t>NULL</t>
        </is>
      </c>
      <c r="I778" s="0" t="inlineStr">
        <is>
          <t>NULL</t>
        </is>
      </c>
      <c r="J778" s="0" t="inlineStr">
        <is>
          <t>NULL</t>
        </is>
      </c>
      <c r="K778" s="0" t="inlineStr">
        <is>
          <t>[0;32m YES! [0m 	 c_nvarchar_20列源备映射正确，源端为sql_variant 0位	期望更改为VARCHAR(255)	实际备端为varchar 1020位	位数精度不存在，通过长度比较</t>
        </is>
      </c>
    </row>
    <row r="779">
      <c r="B779" s="0" t="inlineStr">
        <is>
          <t>NULL</t>
        </is>
      </c>
      <c r="C779" s="0" t="inlineStr">
        <is>
          <t>NULL</t>
        </is>
      </c>
      <c r="D779" s="0" t="inlineStr">
        <is>
          <t>NULL</t>
        </is>
      </c>
      <c r="E779" s="0" t="inlineStr">
        <is>
          <t>NULL</t>
        </is>
      </c>
      <c r="F779" s="0" t="inlineStr">
        <is>
          <t>NULL</t>
        </is>
      </c>
      <c r="G779" s="0" t="inlineStr">
        <is>
          <t>NULL</t>
        </is>
      </c>
      <c r="H779" s="0" t="inlineStr">
        <is>
          <t>NULL</t>
        </is>
      </c>
      <c r="I779" s="0" t="inlineStr">
        <is>
          <t>NULL</t>
        </is>
      </c>
      <c r="J779" s="0" t="inlineStr">
        <is>
          <t>NULL</t>
        </is>
      </c>
      <c r="K779" s="0" t="inlineStr">
        <is>
          <t>[0;32m YES! [0m 	 c_nchar_20列源备映射正确，源端为sql_variant 0位	期望更改为VARCHAR(255)	实际备端为varchar 1020位	位数精度不存在，通过长度比较</t>
        </is>
      </c>
    </row>
    <row r="780">
      <c r="B780" s="0" t="inlineStr">
        <is>
          <t>NULL</t>
        </is>
      </c>
      <c r="C780" s="0" t="inlineStr">
        <is>
          <t>NULL</t>
        </is>
      </c>
      <c r="D780" s="0" t="inlineStr">
        <is>
          <t>NULL</t>
        </is>
      </c>
      <c r="E780" s="0" t="inlineStr">
        <is>
          <t>NULL</t>
        </is>
      </c>
      <c r="F780" s="0" t="inlineStr">
        <is>
          <t>NULL</t>
        </is>
      </c>
      <c r="G780" s="0" t="inlineStr">
        <is>
          <t>NULL</t>
        </is>
      </c>
      <c r="H780" s="0" t="inlineStr">
        <is>
          <t>NULL</t>
        </is>
      </c>
      <c r="I780" s="0" t="inlineStr">
        <is>
          <t>NULL</t>
        </is>
      </c>
      <c r="J780" s="0" t="inlineStr">
        <is>
          <t>NULL</t>
        </is>
      </c>
      <c r="K780" s="0" t="inlineStr">
        <is>
          <t>[0;32m YES! [0m 	 c_timestamp列源备映射正确，源端为timestamp None位	期望更改为binary(8)	实际备端为binary 8位	位数精度不存在，通过长度比较</t>
        </is>
      </c>
    </row>
    <row r="781">
      <c r="A781" s="0" t="inlineStr">
        <is>
          <t>info_nchar_dml_batch2_pk_irp1</t>
        </is>
      </c>
      <c r="K781" s="0" t="inlineStr">
        <is>
          <t>[0;34m info_nchar_dml_batch2_pk_irp1 [0m源备字段数相同，源端字段：4 	备端字段4</t>
        </is>
      </c>
      <c r="W781" s="15">
        <f>HYPERLINK("#2026051816mysql2!BJ2","NO 源备存在差异，共8个")</f>
        <v/>
      </c>
      <c r="X781" s="0">
        <f>A781</f>
        <v/>
      </c>
    </row>
    <row r="782">
      <c r="B782" s="0" t="inlineStr">
        <is>
          <t>YES</t>
        </is>
      </c>
      <c r="C782" s="0" t="inlineStr">
        <is>
          <t>NULL</t>
        </is>
      </c>
      <c r="D782" s="0" t="inlineStr">
        <is>
          <t>NULL</t>
        </is>
      </c>
      <c r="E782" s="0" t="inlineStr">
        <is>
          <t>NULL</t>
        </is>
      </c>
      <c r="F782" s="0" t="inlineStr">
        <is>
          <t>NULL</t>
        </is>
      </c>
      <c r="G782" s="0" t="inlineStr">
        <is>
          <t>NULL</t>
        </is>
      </c>
      <c r="H782" s="0" t="inlineStr">
        <is>
          <t>NULL</t>
        </is>
      </c>
      <c r="I782" s="0" t="inlineStr">
        <is>
          <t>YES!PK__info_nch__3213E83F71E2BC7E</t>
        </is>
      </c>
      <c r="J782" s="0" t="inlineStr">
        <is>
          <t>YES! 主键相关索引</t>
        </is>
      </c>
      <c r="K782" s="0" t="inlineStr">
        <is>
          <t>YES! 	 id列源备映射正确，源端为int None位	期望更改为int	实际备端为int None位</t>
        </is>
      </c>
    </row>
    <row r="783">
      <c r="B783" s="0" t="inlineStr">
        <is>
          <t>NULL</t>
        </is>
      </c>
      <c r="C783" s="0" t="inlineStr">
        <is>
          <t>NULL</t>
        </is>
      </c>
      <c r="D783" s="0" t="inlineStr">
        <is>
          <t>NULL</t>
        </is>
      </c>
      <c r="E783" s="0" t="inlineStr">
        <is>
          <t>NULL</t>
        </is>
      </c>
      <c r="F783" s="0" t="inlineStr">
        <is>
          <t>NULL</t>
        </is>
      </c>
      <c r="G783" s="0" t="inlineStr">
        <is>
          <t>NULL</t>
        </is>
      </c>
      <c r="H783" s="0" t="inlineStr">
        <is>
          <t>NULL</t>
        </is>
      </c>
      <c r="I783" s="0" t="inlineStr">
        <is>
          <t>NULL</t>
        </is>
      </c>
      <c r="J783" s="0" t="inlineStr">
        <is>
          <t>NULL</t>
        </is>
      </c>
      <c r="K783" s="0" t="inlineStr">
        <is>
          <t>YES! 	 c_nchar列源备映射正确，源端为nchar 2位	期望更改为char(n)	实际备端为char 4位</t>
        </is>
      </c>
    </row>
    <row r="784">
      <c r="B784" s="0" t="inlineStr">
        <is>
          <t>NULL</t>
        </is>
      </c>
      <c r="C784" s="0" t="inlineStr">
        <is>
          <t>NULL</t>
        </is>
      </c>
      <c r="D784" s="0" t="inlineStr">
        <is>
          <t>NULL</t>
        </is>
      </c>
      <c r="E784" s="0" t="inlineStr">
        <is>
          <t>NULL</t>
        </is>
      </c>
      <c r="F784" s="0" t="inlineStr">
        <is>
          <t>NULL</t>
        </is>
      </c>
      <c r="G784" s="0" t="inlineStr">
        <is>
          <t>NULL</t>
        </is>
      </c>
      <c r="H784" s="0" t="inlineStr">
        <is>
          <t>NULL</t>
        </is>
      </c>
      <c r="I784" s="0" t="inlineStr">
        <is>
          <t>NULL</t>
        </is>
      </c>
      <c r="J784" s="0" t="inlineStr">
        <is>
          <t>NULL</t>
        </is>
      </c>
      <c r="K784" s="0" t="inlineStr">
        <is>
          <t>YES! 	 c_nchar20列源备映射正确，源端为nchar 40位	期望更改为char(n)	实际备端为char 80位</t>
        </is>
      </c>
    </row>
    <row r="785">
      <c r="B785" s="0" t="inlineStr">
        <is>
          <t>NULL</t>
        </is>
      </c>
      <c r="C785" s="0" t="inlineStr">
        <is>
          <t>NULL</t>
        </is>
      </c>
      <c r="D785" s="0" t="inlineStr">
        <is>
          <t>NULL</t>
        </is>
      </c>
      <c r="E785" s="0" t="inlineStr">
        <is>
          <t>NULL</t>
        </is>
      </c>
      <c r="F785" s="0" t="inlineStr">
        <is>
          <t>NULL</t>
        </is>
      </c>
      <c r="G785" s="0" t="inlineStr">
        <is>
          <t>NULL</t>
        </is>
      </c>
      <c r="H785" s="0" t="inlineStr">
        <is>
          <t>NULL</t>
        </is>
      </c>
      <c r="I785" s="0" t="inlineStr">
        <is>
          <t>NULL</t>
        </is>
      </c>
      <c r="J785" s="0" t="inlineStr">
        <is>
          <t>NULL</t>
        </is>
      </c>
      <c r="K785" s="0" t="inlineStr">
        <is>
          <t xml:space="preserve"> NO!  	 c_nchar3500列源备映射错误，源端为nchar 7000位	期望更改为varchar(n)	实际备端为text 65535位</t>
        </is>
      </c>
    </row>
    <row r="786">
      <c r="A786" s="0" t="inlineStr">
        <is>
          <t>info_date_dml_single_pk_drp</t>
        </is>
      </c>
      <c r="K786" s="0" t="inlineStr">
        <is>
          <t>[0;34m info_date_dml_single_pk_drp [0m源备字段数相同，源端字段：2 	备端字段2</t>
        </is>
      </c>
      <c r="W786" s="0" t="inlineStr">
        <is>
          <t>YES 源备无差异</t>
        </is>
      </c>
      <c r="X786" s="0">
        <f>A786</f>
        <v/>
      </c>
    </row>
    <row r="787">
      <c r="B787" s="0" t="inlineStr">
        <is>
          <t>YES</t>
        </is>
      </c>
      <c r="C787" s="0" t="inlineStr">
        <is>
          <t>NULL</t>
        </is>
      </c>
      <c r="D787" s="0" t="inlineStr">
        <is>
          <t>NULL</t>
        </is>
      </c>
      <c r="E787" s="0" t="inlineStr">
        <is>
          <t>NULL</t>
        </is>
      </c>
      <c r="F787" s="0" t="inlineStr">
        <is>
          <t>NULL</t>
        </is>
      </c>
      <c r="G787" s="0" t="inlineStr">
        <is>
          <t>NULL</t>
        </is>
      </c>
      <c r="H787" s="0" t="inlineStr">
        <is>
          <t>NULL</t>
        </is>
      </c>
      <c r="I787" s="0" t="inlineStr">
        <is>
          <t>YES!PK__info_dat__3213E83FC7ACFD5F</t>
        </is>
      </c>
      <c r="J787" s="0" t="inlineStr">
        <is>
          <t>YES! 主键相关索引</t>
        </is>
      </c>
      <c r="K787" s="0" t="inlineStr">
        <is>
          <t>YES! 	 id列源备映射正确，源端为int None位	期望更改为int	实际备端为int None位</t>
        </is>
      </c>
    </row>
    <row r="788">
      <c r="B788" s="0" t="inlineStr">
        <is>
          <t>NULL</t>
        </is>
      </c>
      <c r="C788" s="0" t="inlineStr">
        <is>
          <t>NULL</t>
        </is>
      </c>
      <c r="D788" s="0" t="inlineStr">
        <is>
          <t>NULL</t>
        </is>
      </c>
      <c r="E788" s="0" t="inlineStr">
        <is>
          <t>NULL</t>
        </is>
      </c>
      <c r="F788" s="0" t="inlineStr">
        <is>
          <t>NULL</t>
        </is>
      </c>
      <c r="G788" s="0" t="inlineStr">
        <is>
          <t>NULL</t>
        </is>
      </c>
      <c r="H788" s="0" t="inlineStr">
        <is>
          <t>NULL</t>
        </is>
      </c>
      <c r="I788" s="0" t="inlineStr">
        <is>
          <t>NULL</t>
        </is>
      </c>
      <c r="J788" s="0" t="inlineStr">
        <is>
          <t>NULL</t>
        </is>
      </c>
      <c r="K788" s="0" t="inlineStr">
        <is>
          <t>YES! 	 c_date列源备映射正确，源端为date None位	期望更改为date	实际备端为date None位</t>
        </is>
      </c>
    </row>
    <row r="789">
      <c r="A789" s="0" t="inlineStr">
        <is>
          <t>info_varcharmax_dml_single_pk</t>
        </is>
      </c>
      <c r="K789" s="0" t="inlineStr">
        <is>
          <t>[0;34m info_varcharmax_dml_single_pk [0m源备字段数相同，源端字段：3 	备端字段3</t>
        </is>
      </c>
      <c r="W789" s="0" t="inlineStr">
        <is>
          <t>YES 源备无差异</t>
        </is>
      </c>
      <c r="X789" s="0">
        <f>A789</f>
        <v/>
      </c>
    </row>
    <row r="790">
      <c r="B790" s="0" t="inlineStr">
        <is>
          <t>YES</t>
        </is>
      </c>
      <c r="C790" s="0" t="inlineStr">
        <is>
          <t>NULL</t>
        </is>
      </c>
      <c r="D790" s="0" t="inlineStr">
        <is>
          <t>NULL</t>
        </is>
      </c>
      <c r="E790" s="0" t="inlineStr">
        <is>
          <t>NULL</t>
        </is>
      </c>
      <c r="F790" s="0" t="inlineStr">
        <is>
          <t>NULL</t>
        </is>
      </c>
      <c r="G790" s="0" t="inlineStr">
        <is>
          <t>NULL</t>
        </is>
      </c>
      <c r="H790" s="0" t="inlineStr">
        <is>
          <t>NULL</t>
        </is>
      </c>
      <c r="I790" s="0" t="inlineStr">
        <is>
          <t>YES!PK__info_var__3213E83FAA8F1DB7</t>
        </is>
      </c>
      <c r="J790" s="0" t="inlineStr">
        <is>
          <t>YES! 主键相关索引</t>
        </is>
      </c>
      <c r="K790" s="0" t="inlineStr">
        <is>
          <t>YES! 	 id列源备映射正确，源端为int None位	期望更改为int	实际备端为int None位</t>
        </is>
      </c>
    </row>
    <row r="791">
      <c r="B791" s="0" t="inlineStr">
        <is>
          <t>NULL</t>
        </is>
      </c>
      <c r="C791" s="0" t="inlineStr">
        <is>
          <t>NULL</t>
        </is>
      </c>
      <c r="D791" s="0" t="inlineStr">
        <is>
          <t>NULL</t>
        </is>
      </c>
      <c r="E791" s="0" t="inlineStr">
        <is>
          <t>NULL</t>
        </is>
      </c>
      <c r="F791" s="0" t="inlineStr">
        <is>
          <t>NULL</t>
        </is>
      </c>
      <c r="G791" s="0" t="inlineStr">
        <is>
          <t>NULL</t>
        </is>
      </c>
      <c r="H791" s="0" t="inlineStr">
        <is>
          <t>NULL</t>
        </is>
      </c>
      <c r="I791" s="0" t="inlineStr">
        <is>
          <t>NULL</t>
        </is>
      </c>
      <c r="J791" s="0" t="inlineStr">
        <is>
          <t>NULL</t>
        </is>
      </c>
      <c r="K791" s="0" t="inlineStr">
        <is>
          <t>YES! 	 c_varchar_max列源备映射正确，源端为varchar -1位	期望更改为longtext	实际备端为longtext 4294967295位</t>
        </is>
      </c>
    </row>
    <row r="792">
      <c r="B792" s="0" t="inlineStr">
        <is>
          <t>NULL</t>
        </is>
      </c>
      <c r="C792" s="0" t="inlineStr">
        <is>
          <t>NULL</t>
        </is>
      </c>
      <c r="D792" s="0" t="inlineStr">
        <is>
          <t>NULL</t>
        </is>
      </c>
      <c r="E792" s="0" t="inlineStr">
        <is>
          <t>NULL</t>
        </is>
      </c>
      <c r="F792" s="0" t="inlineStr">
        <is>
          <t>NULL</t>
        </is>
      </c>
      <c r="G792" s="0" t="inlineStr">
        <is>
          <t>NULL</t>
        </is>
      </c>
      <c r="H792" s="0" t="inlineStr">
        <is>
          <t>NULL</t>
        </is>
      </c>
      <c r="I792" s="0" t="inlineStr">
        <is>
          <t>NULL</t>
        </is>
      </c>
      <c r="J792" s="0" t="inlineStr">
        <is>
          <t>NULL</t>
        </is>
      </c>
      <c r="K792" s="0" t="inlineStr">
        <is>
          <t>YES! 	 c_nvarchar_max列源备映射正确，源端为nvarchar -1位	期望更改为longtext	实际备端为longtext 4294967295位</t>
        </is>
      </c>
    </row>
    <row r="793">
      <c r="A793" s="0" t="inlineStr">
        <is>
          <t>info_datetime_dml_batch1_pk_drp2</t>
        </is>
      </c>
      <c r="K793" s="0" t="inlineStr">
        <is>
          <t>[0;34m info_datetime_dml_batch1_pk_drp2 [0m源备字段数相同，源端字段：2 	备端字段2</t>
        </is>
      </c>
      <c r="W793" s="0" t="inlineStr">
        <is>
          <t>YES 源备无差异</t>
        </is>
      </c>
      <c r="X793" s="0">
        <f>A793</f>
        <v/>
      </c>
    </row>
    <row r="794">
      <c r="B794" s="0" t="inlineStr">
        <is>
          <t>YES</t>
        </is>
      </c>
      <c r="C794" s="0" t="inlineStr">
        <is>
          <t>NULL</t>
        </is>
      </c>
      <c r="D794" s="0" t="inlineStr">
        <is>
          <t>NULL</t>
        </is>
      </c>
      <c r="E794" s="0" t="inlineStr">
        <is>
          <t>NULL</t>
        </is>
      </c>
      <c r="F794" s="0" t="inlineStr">
        <is>
          <t>NULL</t>
        </is>
      </c>
      <c r="G794" s="0" t="inlineStr">
        <is>
          <t>NULL</t>
        </is>
      </c>
      <c r="H794" s="0" t="inlineStr">
        <is>
          <t>NULL</t>
        </is>
      </c>
      <c r="I794" s="0" t="inlineStr">
        <is>
          <t>YES!PK__info_dat__3213E83F0270B48C</t>
        </is>
      </c>
      <c r="J794" s="0" t="inlineStr">
        <is>
          <t>YES! 主键相关索引</t>
        </is>
      </c>
      <c r="K794" s="0" t="inlineStr">
        <is>
          <t>YES! 	 id列源备映射正确，源端为int None位	期望更改为int	实际备端为int None位</t>
        </is>
      </c>
    </row>
    <row r="795">
      <c r="B795" s="0" t="inlineStr">
        <is>
          <t>NULL</t>
        </is>
      </c>
      <c r="C795" s="0" t="inlineStr">
        <is>
          <t>NULL</t>
        </is>
      </c>
      <c r="D795" s="0" t="inlineStr">
        <is>
          <t>NULL</t>
        </is>
      </c>
      <c r="E795" s="0" t="inlineStr">
        <is>
          <t>NULL</t>
        </is>
      </c>
      <c r="F795" s="0" t="inlineStr">
        <is>
          <t>NULL</t>
        </is>
      </c>
      <c r="G795" s="0" t="inlineStr">
        <is>
          <t>NULL</t>
        </is>
      </c>
      <c r="H795" s="0" t="inlineStr">
        <is>
          <t>NULL</t>
        </is>
      </c>
      <c r="I795" s="0" t="inlineStr">
        <is>
          <t>NULL</t>
        </is>
      </c>
      <c r="J795" s="0" t="inlineStr">
        <is>
          <t>NULL</t>
        </is>
      </c>
      <c r="K795" s="0" t="inlineStr">
        <is>
          <t>YES! 	 c_datetime列源备映射正确，源端为datetime None位	期望更改为datetime(3)	实际备端为datetime None位</t>
        </is>
      </c>
    </row>
    <row r="796">
      <c r="A796" s="0" t="inlineStr">
        <is>
          <t>info_sql_variant_dml_single_nopk_urp</t>
        </is>
      </c>
      <c r="K796" s="0" t="inlineStr">
        <is>
          <t>[0;34m info_sql_variant_dml_single_nopk_urp [0m源备字段数相同，源端字段：25 	备端字段25</t>
        </is>
      </c>
      <c r="W796" s="15">
        <f>HYPERLINK("#2026051816mysql2!BK2","NO 源备存在差异，共2个")</f>
        <v/>
      </c>
      <c r="X796" s="0">
        <f>A796</f>
        <v/>
      </c>
    </row>
    <row r="797">
      <c r="B797" s="0" t="inlineStr">
        <is>
          <t>NULL</t>
        </is>
      </c>
      <c r="C797" s="0" t="inlineStr">
        <is>
          <t>NULL</t>
        </is>
      </c>
      <c r="D797" s="0" t="inlineStr">
        <is>
          <t>NULL</t>
        </is>
      </c>
      <c r="E797" s="0" t="inlineStr">
        <is>
          <t>NULL</t>
        </is>
      </c>
      <c r="F797" s="0" t="inlineStr">
        <is>
          <t>NULL</t>
        </is>
      </c>
      <c r="G797" s="0" t="inlineStr">
        <is>
          <t>NULL</t>
        </is>
      </c>
      <c r="H797" s="0" t="inlineStr">
        <is>
          <t>NULL</t>
        </is>
      </c>
      <c r="I797" s="0" t="inlineStr">
        <is>
          <t>NULL</t>
        </is>
      </c>
      <c r="J797" s="0" t="inlineStr">
        <is>
          <t>NULL</t>
        </is>
      </c>
      <c r="K797" s="0" t="inlineStr">
        <is>
          <t>YES! 	 id列源备映射正确，源端为int None位	期望更改为int	实际备端为int None位</t>
        </is>
      </c>
    </row>
    <row r="798">
      <c r="B798" s="0" t="inlineStr">
        <is>
          <t>NULL</t>
        </is>
      </c>
      <c r="C798" s="0" t="inlineStr">
        <is>
          <t>NULL</t>
        </is>
      </c>
      <c r="D798" s="0" t="inlineStr">
        <is>
          <t>NULL</t>
        </is>
      </c>
      <c r="E798" s="0" t="inlineStr">
        <is>
          <t>NULL</t>
        </is>
      </c>
      <c r="F798" s="0" t="inlineStr">
        <is>
          <t>NULL</t>
        </is>
      </c>
      <c r="G798" s="0" t="inlineStr">
        <is>
          <t>NULL</t>
        </is>
      </c>
      <c r="H798" s="0" t="inlineStr">
        <is>
          <t>NULL</t>
        </is>
      </c>
      <c r="I798" s="0" t="inlineStr">
        <is>
          <t>NULL</t>
        </is>
      </c>
      <c r="J798" s="0" t="inlineStr">
        <is>
          <t>NULL</t>
        </is>
      </c>
      <c r="K798" s="0" t="inlineStr">
        <is>
          <t>[0;32m YES! [0m 	 c_date列源备映射正确，源端为sql_variant 0位	期望更改为VARCHAR(255)	实际备端为varchar 1020位	位数精度不存在，通过长度比较</t>
        </is>
      </c>
    </row>
    <row r="799">
      <c r="B799" s="0" t="inlineStr">
        <is>
          <t>NULL</t>
        </is>
      </c>
      <c r="C799" s="0" t="inlineStr">
        <is>
          <t>NULL</t>
        </is>
      </c>
      <c r="D799" s="0" t="inlineStr">
        <is>
          <t>NULL</t>
        </is>
      </c>
      <c r="E799" s="0" t="inlineStr">
        <is>
          <t>NULL</t>
        </is>
      </c>
      <c r="F799" s="0" t="inlineStr">
        <is>
          <t>NULL</t>
        </is>
      </c>
      <c r="G799" s="0" t="inlineStr">
        <is>
          <t>NULL</t>
        </is>
      </c>
      <c r="H799" s="0" t="inlineStr">
        <is>
          <t>NULL</t>
        </is>
      </c>
      <c r="I799" s="0" t="inlineStr">
        <is>
          <t>NULL</t>
        </is>
      </c>
      <c r="J799" s="0" t="inlineStr">
        <is>
          <t>NULL</t>
        </is>
      </c>
      <c r="K799" s="0" t="inlineStr">
        <is>
          <t>[0;32m YES! [0m 	 c_time列源备映射正确，源端为sql_variant 0位	期望更改为VARCHAR(255)	实际备端为varchar 1020位	位数精度不存在，通过长度比较</t>
        </is>
      </c>
    </row>
    <row r="800">
      <c r="B800" s="0" t="inlineStr">
        <is>
          <t>NULL</t>
        </is>
      </c>
      <c r="C800" s="0" t="inlineStr">
        <is>
          <t>NULL</t>
        </is>
      </c>
      <c r="D800" s="0" t="inlineStr">
        <is>
          <t>NULL</t>
        </is>
      </c>
      <c r="E800" s="0" t="inlineStr">
        <is>
          <t>NULL</t>
        </is>
      </c>
      <c r="F800" s="0" t="inlineStr">
        <is>
          <t>NULL</t>
        </is>
      </c>
      <c r="G800" s="0" t="inlineStr">
        <is>
          <t>NULL</t>
        </is>
      </c>
      <c r="H800" s="0" t="inlineStr">
        <is>
          <t>NULL</t>
        </is>
      </c>
      <c r="I800" s="0" t="inlineStr">
        <is>
          <t>NULL</t>
        </is>
      </c>
      <c r="J800" s="0" t="inlineStr">
        <is>
          <t>NULL</t>
        </is>
      </c>
      <c r="K800" s="0" t="inlineStr">
        <is>
          <t>[0;32m YES! [0m 	 c_datetime2列源备映射正确，源端为sql_variant 0位	期望更改为VARCHAR(255)	实际备端为varchar 1020位	位数精度不存在，通过长度比较</t>
        </is>
      </c>
    </row>
    <row r="801">
      <c r="B801" s="0" t="inlineStr">
        <is>
          <t>NULL</t>
        </is>
      </c>
      <c r="C801" s="0" t="inlineStr">
        <is>
          <t>NULL</t>
        </is>
      </c>
      <c r="D801" s="0" t="inlineStr">
        <is>
          <t>NULL</t>
        </is>
      </c>
      <c r="E801" s="0" t="inlineStr">
        <is>
          <t>NULL</t>
        </is>
      </c>
      <c r="F801" s="0" t="inlineStr">
        <is>
          <t>NULL</t>
        </is>
      </c>
      <c r="G801" s="0" t="inlineStr">
        <is>
          <t>NULL</t>
        </is>
      </c>
      <c r="H801" s="0" t="inlineStr">
        <is>
          <t>NULL</t>
        </is>
      </c>
      <c r="I801" s="0" t="inlineStr">
        <is>
          <t>NULL</t>
        </is>
      </c>
      <c r="J801" s="0" t="inlineStr">
        <is>
          <t>NULL</t>
        </is>
      </c>
      <c r="K801" s="0" t="inlineStr">
        <is>
          <t>[0;32m YES! [0m 	 c_datetimeoffset列源备映射正确，源端为sql_variant 0位	期望更改为VARCHAR(255)	实际备端为varchar 1020位	位数精度不存在，通过长度比较</t>
        </is>
      </c>
    </row>
    <row r="802">
      <c r="B802" s="0" t="inlineStr">
        <is>
          <t>NULL</t>
        </is>
      </c>
      <c r="C802" s="0" t="inlineStr">
        <is>
          <t>NULL</t>
        </is>
      </c>
      <c r="D802" s="0" t="inlineStr">
        <is>
          <t>NULL</t>
        </is>
      </c>
      <c r="E802" s="0" t="inlineStr">
        <is>
          <t>NULL</t>
        </is>
      </c>
      <c r="F802" s="0" t="inlineStr">
        <is>
          <t>NULL</t>
        </is>
      </c>
      <c r="G802" s="0" t="inlineStr">
        <is>
          <t>NULL</t>
        </is>
      </c>
      <c r="H802" s="0" t="inlineStr">
        <is>
          <t>NULL</t>
        </is>
      </c>
      <c r="I802" s="0" t="inlineStr">
        <is>
          <t>NULL</t>
        </is>
      </c>
      <c r="J802" s="0" t="inlineStr">
        <is>
          <t>NULL</t>
        </is>
      </c>
      <c r="K802" s="0" t="inlineStr">
        <is>
          <t>[0;32m YES! [0m 	 c_tinyint列源备映射正确，源端为sql_variant 0位	期望更改为VARCHAR(255)	实际备端为varchar 1020位	位数精度不存在，通过长度比较</t>
        </is>
      </c>
    </row>
    <row r="803">
      <c r="B803" s="0" t="inlineStr">
        <is>
          <t>NULL</t>
        </is>
      </c>
      <c r="C803" s="0" t="inlineStr">
        <is>
          <t>NULL</t>
        </is>
      </c>
      <c r="D803" s="0" t="inlineStr">
        <is>
          <t>NULL</t>
        </is>
      </c>
      <c r="E803" s="0" t="inlineStr">
        <is>
          <t>NULL</t>
        </is>
      </c>
      <c r="F803" s="0" t="inlineStr">
        <is>
          <t>NULL</t>
        </is>
      </c>
      <c r="G803" s="0" t="inlineStr">
        <is>
          <t>NULL</t>
        </is>
      </c>
      <c r="H803" s="0" t="inlineStr">
        <is>
          <t>NULL</t>
        </is>
      </c>
      <c r="I803" s="0" t="inlineStr">
        <is>
          <t>NULL</t>
        </is>
      </c>
      <c r="J803" s="0" t="inlineStr">
        <is>
          <t>NULL</t>
        </is>
      </c>
      <c r="K803" s="0" t="inlineStr">
        <is>
          <t>[0;32m YES! [0m 	 c_smallint列源备映射正确，源端为sql_variant 0位	期望更改为VARCHAR(255)	实际备端为varchar 1020位	位数精度不存在，通过长度比较</t>
        </is>
      </c>
    </row>
    <row r="804">
      <c r="B804" s="0" t="inlineStr">
        <is>
          <t>NULL</t>
        </is>
      </c>
      <c r="C804" s="0" t="inlineStr">
        <is>
          <t>NULL</t>
        </is>
      </c>
      <c r="D804" s="0" t="inlineStr">
        <is>
          <t>NULL</t>
        </is>
      </c>
      <c r="E804" s="0" t="inlineStr">
        <is>
          <t>NULL</t>
        </is>
      </c>
      <c r="F804" s="0" t="inlineStr">
        <is>
          <t>NULL</t>
        </is>
      </c>
      <c r="G804" s="0" t="inlineStr">
        <is>
          <t>NULL</t>
        </is>
      </c>
      <c r="H804" s="0" t="inlineStr">
        <is>
          <t>NULL</t>
        </is>
      </c>
      <c r="I804" s="0" t="inlineStr">
        <is>
          <t>NULL</t>
        </is>
      </c>
      <c r="J804" s="0" t="inlineStr">
        <is>
          <t>NULL</t>
        </is>
      </c>
      <c r="K804" s="0" t="inlineStr">
        <is>
          <t>[0;32m YES! [0m 	 c_int列源备映射正确，源端为sql_variant 0位	期望更改为VARCHAR(255)	实际备端为varchar 1020位	位数精度不存在，通过长度比较</t>
        </is>
      </c>
    </row>
    <row r="805">
      <c r="B805" s="0" t="inlineStr">
        <is>
          <t>NULL</t>
        </is>
      </c>
      <c r="C805" s="0" t="inlineStr">
        <is>
          <t>NULL</t>
        </is>
      </c>
      <c r="D805" s="0" t="inlineStr">
        <is>
          <t>NULL</t>
        </is>
      </c>
      <c r="E805" s="0" t="inlineStr">
        <is>
          <t>NULL</t>
        </is>
      </c>
      <c r="F805" s="0" t="inlineStr">
        <is>
          <t>NULL</t>
        </is>
      </c>
      <c r="G805" s="0" t="inlineStr">
        <is>
          <t>NULL</t>
        </is>
      </c>
      <c r="H805" s="0" t="inlineStr">
        <is>
          <t>NULL</t>
        </is>
      </c>
      <c r="I805" s="0" t="inlineStr">
        <is>
          <t>NULL</t>
        </is>
      </c>
      <c r="J805" s="0" t="inlineStr">
        <is>
          <t>NULL</t>
        </is>
      </c>
      <c r="K805" s="0" t="inlineStr">
        <is>
          <t>[0;32m YES! [0m 	 c_sdt列源备映射正确，源端为sql_variant 0位	期望更改为VARCHAR(255)	实际备端为varchar 1020位	位数精度不存在，通过长度比较</t>
        </is>
      </c>
    </row>
    <row r="806">
      <c r="B806" s="0" t="inlineStr">
        <is>
          <t>NULL</t>
        </is>
      </c>
      <c r="C806" s="0" t="inlineStr">
        <is>
          <t>NULL</t>
        </is>
      </c>
      <c r="D806" s="0" t="inlineStr">
        <is>
          <t>NULL</t>
        </is>
      </c>
      <c r="E806" s="0" t="inlineStr">
        <is>
          <t>NULL</t>
        </is>
      </c>
      <c r="F806" s="0" t="inlineStr">
        <is>
          <t>NULL</t>
        </is>
      </c>
      <c r="G806" s="0" t="inlineStr">
        <is>
          <t>NULL</t>
        </is>
      </c>
      <c r="H806" s="0" t="inlineStr">
        <is>
          <t>NULL</t>
        </is>
      </c>
      <c r="I806" s="0" t="inlineStr">
        <is>
          <t>NULL</t>
        </is>
      </c>
      <c r="J806" s="0" t="inlineStr">
        <is>
          <t>NULL</t>
        </is>
      </c>
      <c r="K806" s="0" t="inlineStr">
        <is>
          <t>[0;32m YES! [0m 	 c_real列源备映射正确，源端为sql_variant 0位	期望更改为VARCHAR(255)	实际备端为varchar 1020位	位数精度不存在，通过长度比较</t>
        </is>
      </c>
    </row>
    <row r="807">
      <c r="B807" s="0" t="inlineStr">
        <is>
          <t>NULL</t>
        </is>
      </c>
      <c r="C807" s="0" t="inlineStr">
        <is>
          <t>NULL</t>
        </is>
      </c>
      <c r="D807" s="0" t="inlineStr">
        <is>
          <t>NULL</t>
        </is>
      </c>
      <c r="E807" s="0" t="inlineStr">
        <is>
          <t>NULL</t>
        </is>
      </c>
      <c r="F807" s="0" t="inlineStr">
        <is>
          <t>NULL</t>
        </is>
      </c>
      <c r="G807" s="0" t="inlineStr">
        <is>
          <t>NULL</t>
        </is>
      </c>
      <c r="H807" s="0" t="inlineStr">
        <is>
          <t>NULL</t>
        </is>
      </c>
      <c r="I807" s="0" t="inlineStr">
        <is>
          <t>NULL</t>
        </is>
      </c>
      <c r="J807" s="0" t="inlineStr">
        <is>
          <t>NULL</t>
        </is>
      </c>
      <c r="K807" s="0" t="inlineStr">
        <is>
          <t>[0;32m YES! [0m 	 c_money列源备映射正确，源端为sql_variant 0位	期望更改为VARCHAR(255)	实际备端为varchar 1020位	位数精度不存在，通过长度比较</t>
        </is>
      </c>
    </row>
    <row r="808">
      <c r="B808" s="0" t="inlineStr">
        <is>
          <t>NULL</t>
        </is>
      </c>
      <c r="C808" s="0" t="inlineStr">
        <is>
          <t>NULL</t>
        </is>
      </c>
      <c r="D808" s="0" t="inlineStr">
        <is>
          <t>NULL</t>
        </is>
      </c>
      <c r="E808" s="0" t="inlineStr">
        <is>
          <t>NULL</t>
        </is>
      </c>
      <c r="F808" s="0" t="inlineStr">
        <is>
          <t>NULL</t>
        </is>
      </c>
      <c r="G808" s="0" t="inlineStr">
        <is>
          <t>NULL</t>
        </is>
      </c>
      <c r="H808" s="0" t="inlineStr">
        <is>
          <t>NULL</t>
        </is>
      </c>
      <c r="I808" s="0" t="inlineStr">
        <is>
          <t>NULL</t>
        </is>
      </c>
      <c r="J808" s="0" t="inlineStr">
        <is>
          <t>NULL</t>
        </is>
      </c>
      <c r="K808" s="0" t="inlineStr">
        <is>
          <t>[0;32m YES! [0m 	 c_datetime列源备映射正确，源端为sql_variant 0位	期望更改为VARCHAR(255)	实际备端为varchar 1020位	位数精度不存在，通过长度比较</t>
        </is>
      </c>
    </row>
    <row r="809">
      <c r="B809" s="0" t="inlineStr">
        <is>
          <t>NULL</t>
        </is>
      </c>
      <c r="C809" s="0" t="inlineStr">
        <is>
          <t>NULL</t>
        </is>
      </c>
      <c r="D809" s="0" t="inlineStr">
        <is>
          <t>NULL</t>
        </is>
      </c>
      <c r="E809" s="0" t="inlineStr">
        <is>
          <t>NULL</t>
        </is>
      </c>
      <c r="F809" s="0" t="inlineStr">
        <is>
          <t>NULL</t>
        </is>
      </c>
      <c r="G809" s="0" t="inlineStr">
        <is>
          <t>NULL</t>
        </is>
      </c>
      <c r="H809" s="0" t="inlineStr">
        <is>
          <t>NULL</t>
        </is>
      </c>
      <c r="I809" s="0" t="inlineStr">
        <is>
          <t>NULL</t>
        </is>
      </c>
      <c r="J809" s="0" t="inlineStr">
        <is>
          <t>NULL</t>
        </is>
      </c>
      <c r="K809" s="0" t="inlineStr">
        <is>
          <t>[0;32m YES! [0m 	 c_float列源备映射正确，源端为sql_variant 0位	期望更改为VARCHAR(255)	实际备端为varchar 1020位	位数精度不存在，通过长度比较</t>
        </is>
      </c>
    </row>
    <row r="810">
      <c r="B810" s="0" t="inlineStr">
        <is>
          <t>NULL</t>
        </is>
      </c>
      <c r="C810" s="0" t="inlineStr">
        <is>
          <t>NULL</t>
        </is>
      </c>
      <c r="D810" s="0" t="inlineStr">
        <is>
          <t>NULL</t>
        </is>
      </c>
      <c r="E810" s="0" t="inlineStr">
        <is>
          <t>NULL</t>
        </is>
      </c>
      <c r="F810" s="0" t="inlineStr">
        <is>
          <t>NULL</t>
        </is>
      </c>
      <c r="G810" s="0" t="inlineStr">
        <is>
          <t>NULL</t>
        </is>
      </c>
      <c r="H810" s="0" t="inlineStr">
        <is>
          <t>NULL</t>
        </is>
      </c>
      <c r="I810" s="0" t="inlineStr">
        <is>
          <t>NULL</t>
        </is>
      </c>
      <c r="J810" s="0" t="inlineStr">
        <is>
          <t>NULL</t>
        </is>
      </c>
      <c r="K810" s="0" t="inlineStr">
        <is>
          <t>[0;32m YES! [0m 	 c_bit列源备映射正确，源端为sql_variant 0位	期望更改为VARCHAR(255)	实际备端为varchar 1020位	位数精度不存在，通过长度比较</t>
        </is>
      </c>
    </row>
    <row r="811">
      <c r="B811" s="0" t="inlineStr">
        <is>
          <t>NULL</t>
        </is>
      </c>
      <c r="C811" s="0" t="inlineStr">
        <is>
          <t>NULL</t>
        </is>
      </c>
      <c r="D811" s="0" t="inlineStr">
        <is>
          <t>NULL</t>
        </is>
      </c>
      <c r="E811" s="0" t="inlineStr">
        <is>
          <t>NULL</t>
        </is>
      </c>
      <c r="F811" s="0" t="inlineStr">
        <is>
          <t>NULL</t>
        </is>
      </c>
      <c r="G811" s="0" t="inlineStr">
        <is>
          <t>NULL</t>
        </is>
      </c>
      <c r="H811" s="0" t="inlineStr">
        <is>
          <t>NULL</t>
        </is>
      </c>
      <c r="I811" s="0" t="inlineStr">
        <is>
          <t>NULL</t>
        </is>
      </c>
      <c r="J811" s="0" t="inlineStr">
        <is>
          <t>NULL</t>
        </is>
      </c>
      <c r="K811" s="0" t="inlineStr">
        <is>
          <t>[0;32m YES! [0m 	 c_decimal列源备映射正确，源端为sql_variant 0位	期望更改为VARCHAR(255)	实际备端为varchar 1020位	位数精度不存在，通过长度比较</t>
        </is>
      </c>
    </row>
    <row r="812">
      <c r="B812" s="0" t="inlineStr">
        <is>
          <t>NULL</t>
        </is>
      </c>
      <c r="C812" s="0" t="inlineStr">
        <is>
          <t>NULL</t>
        </is>
      </c>
      <c r="D812" s="0" t="inlineStr">
        <is>
          <t>NULL</t>
        </is>
      </c>
      <c r="E812" s="0" t="inlineStr">
        <is>
          <t>NULL</t>
        </is>
      </c>
      <c r="F812" s="0" t="inlineStr">
        <is>
          <t>NULL</t>
        </is>
      </c>
      <c r="G812" s="0" t="inlineStr">
        <is>
          <t>NULL</t>
        </is>
      </c>
      <c r="H812" s="0" t="inlineStr">
        <is>
          <t>NULL</t>
        </is>
      </c>
      <c r="I812" s="0" t="inlineStr">
        <is>
          <t>NULL</t>
        </is>
      </c>
      <c r="J812" s="0" t="inlineStr">
        <is>
          <t>NULL</t>
        </is>
      </c>
      <c r="K812" s="0" t="inlineStr">
        <is>
          <t>[0;32m YES! [0m 	 c_uniqueidentifier列源备映射正确，源端为sql_variant 0位	期望更改为VARCHAR(255)	实际备端为varchar 1020位	位数精度不存在，通过长度比较</t>
        </is>
      </c>
    </row>
    <row r="813">
      <c r="B813" s="0" t="inlineStr">
        <is>
          <t>NULL</t>
        </is>
      </c>
      <c r="C813" s="0" t="inlineStr">
        <is>
          <t>NULL</t>
        </is>
      </c>
      <c r="D813" s="0" t="inlineStr">
        <is>
          <t>NULL</t>
        </is>
      </c>
      <c r="E813" s="0" t="inlineStr">
        <is>
          <t>NULL</t>
        </is>
      </c>
      <c r="F813" s="0" t="inlineStr">
        <is>
          <t>NULL</t>
        </is>
      </c>
      <c r="G813" s="0" t="inlineStr">
        <is>
          <t>NULL</t>
        </is>
      </c>
      <c r="H813" s="0" t="inlineStr">
        <is>
          <t>NULL</t>
        </is>
      </c>
      <c r="I813" s="0" t="inlineStr">
        <is>
          <t>NULL</t>
        </is>
      </c>
      <c r="J813" s="0" t="inlineStr">
        <is>
          <t>NULL</t>
        </is>
      </c>
      <c r="K813" s="0" t="inlineStr">
        <is>
          <t>[0;32m YES! [0m 	 c_smallmoney列源备映射正确，源端为sql_variant 0位	期望更改为VARCHAR(255)	实际备端为varchar 1020位	位数精度不存在，通过长度比较</t>
        </is>
      </c>
    </row>
    <row r="814">
      <c r="B814" s="0" t="inlineStr">
        <is>
          <t>NULL</t>
        </is>
      </c>
      <c r="C814" s="0" t="inlineStr">
        <is>
          <t>NULL</t>
        </is>
      </c>
      <c r="D814" s="0" t="inlineStr">
        <is>
          <t>NULL</t>
        </is>
      </c>
      <c r="E814" s="0" t="inlineStr">
        <is>
          <t>NULL</t>
        </is>
      </c>
      <c r="F814" s="0" t="inlineStr">
        <is>
          <t>NULL</t>
        </is>
      </c>
      <c r="G814" s="0" t="inlineStr">
        <is>
          <t>NULL</t>
        </is>
      </c>
      <c r="H814" s="0" t="inlineStr">
        <is>
          <t>NULL</t>
        </is>
      </c>
      <c r="I814" s="0" t="inlineStr">
        <is>
          <t>NULL</t>
        </is>
      </c>
      <c r="J814" s="0" t="inlineStr">
        <is>
          <t>NULL</t>
        </is>
      </c>
      <c r="K814" s="0" t="inlineStr">
        <is>
          <t>[0;32m YES! [0m 	 c_bigint列源备映射正确，源端为sql_variant 0位	期望更改为VARCHAR(255)	实际备端为varchar 1020位	位数精度不存在，通过长度比较</t>
        </is>
      </c>
    </row>
    <row r="815">
      <c r="B815" s="0" t="inlineStr">
        <is>
          <t>NULL</t>
        </is>
      </c>
      <c r="C815" s="0" t="inlineStr">
        <is>
          <t>NULL</t>
        </is>
      </c>
      <c r="D815" s="0" t="inlineStr">
        <is>
          <t>NULL</t>
        </is>
      </c>
      <c r="E815" s="0" t="inlineStr">
        <is>
          <t>NULL</t>
        </is>
      </c>
      <c r="F815" s="0" t="inlineStr">
        <is>
          <t>NULL</t>
        </is>
      </c>
      <c r="G815" s="0" t="inlineStr">
        <is>
          <t>NULL</t>
        </is>
      </c>
      <c r="H815" s="0" t="inlineStr">
        <is>
          <t>NULL</t>
        </is>
      </c>
      <c r="I815" s="0" t="inlineStr">
        <is>
          <t>NULL</t>
        </is>
      </c>
      <c r="J815" s="0" t="inlineStr">
        <is>
          <t>NULL</t>
        </is>
      </c>
      <c r="K815" s="0" t="inlineStr">
        <is>
          <t>[0;32m YES! [0m 	 c_varbinary_20列源备映射正确，源端为sql_variant 0位	期望更改为VARCHAR(255)	实际备端为varchar 1020位	位数精度不存在，通过长度比较</t>
        </is>
      </c>
    </row>
    <row r="816">
      <c r="B816" s="0" t="inlineStr">
        <is>
          <t>NULL</t>
        </is>
      </c>
      <c r="C816" s="0" t="inlineStr">
        <is>
          <t>NULL</t>
        </is>
      </c>
      <c r="D816" s="0" t="inlineStr">
        <is>
          <t>NULL</t>
        </is>
      </c>
      <c r="E816" s="0" t="inlineStr">
        <is>
          <t>NULL</t>
        </is>
      </c>
      <c r="F816" s="0" t="inlineStr">
        <is>
          <t>NULL</t>
        </is>
      </c>
      <c r="G816" s="0" t="inlineStr">
        <is>
          <t>NULL</t>
        </is>
      </c>
      <c r="H816" s="0" t="inlineStr">
        <is>
          <t>NULL</t>
        </is>
      </c>
      <c r="I816" s="0" t="inlineStr">
        <is>
          <t>NULL</t>
        </is>
      </c>
      <c r="J816" s="0" t="inlineStr">
        <is>
          <t>NULL</t>
        </is>
      </c>
      <c r="K816" s="0" t="inlineStr">
        <is>
          <t>[0;32m YES! [0m 	 c_varchar_20列源备映射正确，源端为sql_variant 0位	期望更改为VARCHAR(255)	实际备端为varchar 1020位	位数精度不存在，通过长度比较</t>
        </is>
      </c>
    </row>
    <row r="817">
      <c r="B817" s="0" t="inlineStr">
        <is>
          <t>NULL</t>
        </is>
      </c>
      <c r="C817" s="0" t="inlineStr">
        <is>
          <t>NULL</t>
        </is>
      </c>
      <c r="D817" s="0" t="inlineStr">
        <is>
          <t>NULL</t>
        </is>
      </c>
      <c r="E817" s="0" t="inlineStr">
        <is>
          <t>NULL</t>
        </is>
      </c>
      <c r="F817" s="0" t="inlineStr">
        <is>
          <t>NULL</t>
        </is>
      </c>
      <c r="G817" s="0" t="inlineStr">
        <is>
          <t>NULL</t>
        </is>
      </c>
      <c r="H817" s="0" t="inlineStr">
        <is>
          <t>NULL</t>
        </is>
      </c>
      <c r="I817" s="0" t="inlineStr">
        <is>
          <t>NULL</t>
        </is>
      </c>
      <c r="J817" s="0" t="inlineStr">
        <is>
          <t>NULL</t>
        </is>
      </c>
      <c r="K817" s="0" t="inlineStr">
        <is>
          <t>[0;32m YES! [0m 	 c_binary_20列源备映射正确，源端为sql_variant 0位	期望更改为VARCHAR(255)	实际备端为varchar 1020位	位数精度不存在，通过长度比较</t>
        </is>
      </c>
    </row>
    <row r="818">
      <c r="B818" s="0" t="inlineStr">
        <is>
          <t>NULL</t>
        </is>
      </c>
      <c r="C818" s="0" t="inlineStr">
        <is>
          <t>NULL</t>
        </is>
      </c>
      <c r="D818" s="0" t="inlineStr">
        <is>
          <t>NULL</t>
        </is>
      </c>
      <c r="E818" s="0" t="inlineStr">
        <is>
          <t>NULL</t>
        </is>
      </c>
      <c r="F818" s="0" t="inlineStr">
        <is>
          <t>NULL</t>
        </is>
      </c>
      <c r="G818" s="0" t="inlineStr">
        <is>
          <t>NULL</t>
        </is>
      </c>
      <c r="H818" s="0" t="inlineStr">
        <is>
          <t>NULL</t>
        </is>
      </c>
      <c r="I818" s="0" t="inlineStr">
        <is>
          <t>NULL</t>
        </is>
      </c>
      <c r="J818" s="0" t="inlineStr">
        <is>
          <t>NULL</t>
        </is>
      </c>
      <c r="K818" s="0" t="inlineStr">
        <is>
          <t>[0;32m YES! [0m 	 c_char_20列源备映射正确，源端为sql_variant 0位	期望更改为VARCHAR(255)	实际备端为varchar 1020位	位数精度不存在，通过长度比较</t>
        </is>
      </c>
    </row>
    <row r="819">
      <c r="B819" s="0" t="inlineStr">
        <is>
          <t>NULL</t>
        </is>
      </c>
      <c r="C819" s="0" t="inlineStr">
        <is>
          <t>NULL</t>
        </is>
      </c>
      <c r="D819" s="0" t="inlineStr">
        <is>
          <t>NULL</t>
        </is>
      </c>
      <c r="E819" s="0" t="inlineStr">
        <is>
          <t>NULL</t>
        </is>
      </c>
      <c r="F819" s="0" t="inlineStr">
        <is>
          <t>NULL</t>
        </is>
      </c>
      <c r="G819" s="0" t="inlineStr">
        <is>
          <t>NULL</t>
        </is>
      </c>
      <c r="H819" s="0" t="inlineStr">
        <is>
          <t>NULL</t>
        </is>
      </c>
      <c r="I819" s="0" t="inlineStr">
        <is>
          <t>NULL</t>
        </is>
      </c>
      <c r="J819" s="0" t="inlineStr">
        <is>
          <t>NULL</t>
        </is>
      </c>
      <c r="K819" s="0" t="inlineStr">
        <is>
          <t>[0;32m YES! [0m 	 c_nvarchar_20列源备映射正确，源端为sql_variant 0位	期望更改为VARCHAR(255)	实际备端为varchar 1020位	位数精度不存在，通过长度比较</t>
        </is>
      </c>
    </row>
    <row r="820">
      <c r="B820" s="0" t="inlineStr">
        <is>
          <t>NULL</t>
        </is>
      </c>
      <c r="C820" s="0" t="inlineStr">
        <is>
          <t>NULL</t>
        </is>
      </c>
      <c r="D820" s="0" t="inlineStr">
        <is>
          <t>NULL</t>
        </is>
      </c>
      <c r="E820" s="0" t="inlineStr">
        <is>
          <t>NULL</t>
        </is>
      </c>
      <c r="F820" s="0" t="inlineStr">
        <is>
          <t>NULL</t>
        </is>
      </c>
      <c r="G820" s="0" t="inlineStr">
        <is>
          <t>NULL</t>
        </is>
      </c>
      <c r="H820" s="0" t="inlineStr">
        <is>
          <t>NULL</t>
        </is>
      </c>
      <c r="I820" s="0" t="inlineStr">
        <is>
          <t>NULL</t>
        </is>
      </c>
      <c r="J820" s="0" t="inlineStr">
        <is>
          <t>NULL</t>
        </is>
      </c>
      <c r="K820" s="0" t="inlineStr">
        <is>
          <t>[0;32m YES! [0m 	 c_nchar_20列源备映射正确，源端为sql_variant 0位	期望更改为VARCHAR(255)	实际备端为varchar 1020位	位数精度不存在，通过长度比较</t>
        </is>
      </c>
    </row>
    <row r="821">
      <c r="B821" s="0" t="inlineStr">
        <is>
          <t>NULL</t>
        </is>
      </c>
      <c r="C821" s="0" t="inlineStr">
        <is>
          <t>NULL</t>
        </is>
      </c>
      <c r="D821" s="0" t="inlineStr">
        <is>
          <t>NULL</t>
        </is>
      </c>
      <c r="E821" s="0" t="inlineStr">
        <is>
          <t>NULL</t>
        </is>
      </c>
      <c r="F821" s="0" t="inlineStr">
        <is>
          <t>NULL</t>
        </is>
      </c>
      <c r="G821" s="0" t="inlineStr">
        <is>
          <t>NULL</t>
        </is>
      </c>
      <c r="H821" s="0" t="inlineStr">
        <is>
          <t>NULL</t>
        </is>
      </c>
      <c r="I821" s="0" t="inlineStr">
        <is>
          <t>NULL</t>
        </is>
      </c>
      <c r="J821" s="0" t="inlineStr">
        <is>
          <t>NULL</t>
        </is>
      </c>
      <c r="K821" s="0" t="inlineStr">
        <is>
          <t>[0;32m YES! [0m 	 c_timestamp列源备映射正确，源端为timestamp None位	期望更改为binary(8)	实际备端为binary 8位	位数精度不存在，通过长度比较</t>
        </is>
      </c>
    </row>
    <row r="822">
      <c r="A822" s="0" t="inlineStr">
        <is>
          <t>info_sql_variant_dml_single_nopk_drp</t>
        </is>
      </c>
      <c r="K822" s="0" t="inlineStr">
        <is>
          <t>[0;34m info_sql_variant_dml_single_nopk_drp [0m源备字段数相同，源端字段：25 	备端字段25</t>
        </is>
      </c>
      <c r="W822" s="15">
        <f>HYPERLINK("#2026051816mysql2!BL2","NO 源备存在差异，共2个")</f>
        <v/>
      </c>
      <c r="X822" s="0">
        <f>A822</f>
        <v/>
      </c>
    </row>
    <row r="823">
      <c r="B823" s="0" t="inlineStr">
        <is>
          <t>NULL</t>
        </is>
      </c>
      <c r="C823" s="0" t="inlineStr">
        <is>
          <t>NULL</t>
        </is>
      </c>
      <c r="D823" s="0" t="inlineStr">
        <is>
          <t>NULL</t>
        </is>
      </c>
      <c r="E823" s="0" t="inlineStr">
        <is>
          <t>NULL</t>
        </is>
      </c>
      <c r="F823" s="0" t="inlineStr">
        <is>
          <t>NULL</t>
        </is>
      </c>
      <c r="G823" s="0" t="inlineStr">
        <is>
          <t>NULL</t>
        </is>
      </c>
      <c r="H823" s="0" t="inlineStr">
        <is>
          <t>NULL</t>
        </is>
      </c>
      <c r="I823" s="0" t="inlineStr">
        <is>
          <t>NULL</t>
        </is>
      </c>
      <c r="J823" s="0" t="inlineStr">
        <is>
          <t>NULL</t>
        </is>
      </c>
      <c r="K823" s="0" t="inlineStr">
        <is>
          <t>YES! 	 id列源备映射正确，源端为int None位	期望更改为int	实际备端为int None位</t>
        </is>
      </c>
    </row>
    <row r="824">
      <c r="B824" s="0" t="inlineStr">
        <is>
          <t>NULL</t>
        </is>
      </c>
      <c r="C824" s="0" t="inlineStr">
        <is>
          <t>NULL</t>
        </is>
      </c>
      <c r="D824" s="0" t="inlineStr">
        <is>
          <t>NULL</t>
        </is>
      </c>
      <c r="E824" s="0" t="inlineStr">
        <is>
          <t>NULL</t>
        </is>
      </c>
      <c r="F824" s="0" t="inlineStr">
        <is>
          <t>NULL</t>
        </is>
      </c>
      <c r="G824" s="0" t="inlineStr">
        <is>
          <t>NULL</t>
        </is>
      </c>
      <c r="H824" s="0" t="inlineStr">
        <is>
          <t>NULL</t>
        </is>
      </c>
      <c r="I824" s="0" t="inlineStr">
        <is>
          <t>NULL</t>
        </is>
      </c>
      <c r="J824" s="0" t="inlineStr">
        <is>
          <t>NULL</t>
        </is>
      </c>
      <c r="K824" s="0" t="inlineStr">
        <is>
          <t>[0;32m YES! [0m 	 c_date列源备映射正确，源端为sql_variant 0位	期望更改为VARCHAR(255)	实际备端为varchar 1020位	位数精度不存在，通过长度比较</t>
        </is>
      </c>
    </row>
    <row r="825">
      <c r="B825" s="0" t="inlineStr">
        <is>
          <t>NULL</t>
        </is>
      </c>
      <c r="C825" s="0" t="inlineStr">
        <is>
          <t>NULL</t>
        </is>
      </c>
      <c r="D825" s="0" t="inlineStr">
        <is>
          <t>NULL</t>
        </is>
      </c>
      <c r="E825" s="0" t="inlineStr">
        <is>
          <t>NULL</t>
        </is>
      </c>
      <c r="F825" s="0" t="inlineStr">
        <is>
          <t>NULL</t>
        </is>
      </c>
      <c r="G825" s="0" t="inlineStr">
        <is>
          <t>NULL</t>
        </is>
      </c>
      <c r="H825" s="0" t="inlineStr">
        <is>
          <t>NULL</t>
        </is>
      </c>
      <c r="I825" s="0" t="inlineStr">
        <is>
          <t>NULL</t>
        </is>
      </c>
      <c r="J825" s="0" t="inlineStr">
        <is>
          <t>NULL</t>
        </is>
      </c>
      <c r="K825" s="0" t="inlineStr">
        <is>
          <t>[0;32m YES! [0m 	 c_time列源备映射正确，源端为sql_variant 0位	期望更改为VARCHAR(255)	实际备端为varchar 1020位	位数精度不存在，通过长度比较</t>
        </is>
      </c>
    </row>
    <row r="826">
      <c r="B826" s="0" t="inlineStr">
        <is>
          <t>NULL</t>
        </is>
      </c>
      <c r="C826" s="0" t="inlineStr">
        <is>
          <t>NULL</t>
        </is>
      </c>
      <c r="D826" s="0" t="inlineStr">
        <is>
          <t>NULL</t>
        </is>
      </c>
      <c r="E826" s="0" t="inlineStr">
        <is>
          <t>NULL</t>
        </is>
      </c>
      <c r="F826" s="0" t="inlineStr">
        <is>
          <t>NULL</t>
        </is>
      </c>
      <c r="G826" s="0" t="inlineStr">
        <is>
          <t>NULL</t>
        </is>
      </c>
      <c r="H826" s="0" t="inlineStr">
        <is>
          <t>NULL</t>
        </is>
      </c>
      <c r="I826" s="0" t="inlineStr">
        <is>
          <t>NULL</t>
        </is>
      </c>
      <c r="J826" s="0" t="inlineStr">
        <is>
          <t>NULL</t>
        </is>
      </c>
      <c r="K826" s="0" t="inlineStr">
        <is>
          <t>[0;32m YES! [0m 	 c_datetime2列源备映射正确，源端为sql_variant 0位	期望更改为VARCHAR(255)	实际备端为varchar 1020位	位数精度不存在，通过长度比较</t>
        </is>
      </c>
    </row>
    <row r="827">
      <c r="B827" s="0" t="inlineStr">
        <is>
          <t>NULL</t>
        </is>
      </c>
      <c r="C827" s="0" t="inlineStr">
        <is>
          <t>NULL</t>
        </is>
      </c>
      <c r="D827" s="0" t="inlineStr">
        <is>
          <t>NULL</t>
        </is>
      </c>
      <c r="E827" s="0" t="inlineStr">
        <is>
          <t>NULL</t>
        </is>
      </c>
      <c r="F827" s="0" t="inlineStr">
        <is>
          <t>NULL</t>
        </is>
      </c>
      <c r="G827" s="0" t="inlineStr">
        <is>
          <t>NULL</t>
        </is>
      </c>
      <c r="H827" s="0" t="inlineStr">
        <is>
          <t>NULL</t>
        </is>
      </c>
      <c r="I827" s="0" t="inlineStr">
        <is>
          <t>NULL</t>
        </is>
      </c>
      <c r="J827" s="0" t="inlineStr">
        <is>
          <t>NULL</t>
        </is>
      </c>
      <c r="K827" s="0" t="inlineStr">
        <is>
          <t>[0;32m YES! [0m 	 c_datetimeoffset列源备映射正确，源端为sql_variant 0位	期望更改为VARCHAR(255)	实际备端为varchar 1020位	位数精度不存在，通过长度比较</t>
        </is>
      </c>
    </row>
    <row r="828">
      <c r="B828" s="0" t="inlineStr">
        <is>
          <t>NULL</t>
        </is>
      </c>
      <c r="C828" s="0" t="inlineStr">
        <is>
          <t>NULL</t>
        </is>
      </c>
      <c r="D828" s="0" t="inlineStr">
        <is>
          <t>NULL</t>
        </is>
      </c>
      <c r="E828" s="0" t="inlineStr">
        <is>
          <t>NULL</t>
        </is>
      </c>
      <c r="F828" s="0" t="inlineStr">
        <is>
          <t>NULL</t>
        </is>
      </c>
      <c r="G828" s="0" t="inlineStr">
        <is>
          <t>NULL</t>
        </is>
      </c>
      <c r="H828" s="0" t="inlineStr">
        <is>
          <t>NULL</t>
        </is>
      </c>
      <c r="I828" s="0" t="inlineStr">
        <is>
          <t>NULL</t>
        </is>
      </c>
      <c r="J828" s="0" t="inlineStr">
        <is>
          <t>NULL</t>
        </is>
      </c>
      <c r="K828" s="0" t="inlineStr">
        <is>
          <t>[0;32m YES! [0m 	 c_tinyint列源备映射正确，源端为sql_variant 0位	期望更改为VARCHAR(255)	实际备端为varchar 1020位	位数精度不存在，通过长度比较</t>
        </is>
      </c>
    </row>
    <row r="829">
      <c r="B829" s="0" t="inlineStr">
        <is>
          <t>NULL</t>
        </is>
      </c>
      <c r="C829" s="0" t="inlineStr">
        <is>
          <t>NULL</t>
        </is>
      </c>
      <c r="D829" s="0" t="inlineStr">
        <is>
          <t>NULL</t>
        </is>
      </c>
      <c r="E829" s="0" t="inlineStr">
        <is>
          <t>NULL</t>
        </is>
      </c>
      <c r="F829" s="0" t="inlineStr">
        <is>
          <t>NULL</t>
        </is>
      </c>
      <c r="G829" s="0" t="inlineStr">
        <is>
          <t>NULL</t>
        </is>
      </c>
      <c r="H829" s="0" t="inlineStr">
        <is>
          <t>NULL</t>
        </is>
      </c>
      <c r="I829" s="0" t="inlineStr">
        <is>
          <t>NULL</t>
        </is>
      </c>
      <c r="J829" s="0" t="inlineStr">
        <is>
          <t>NULL</t>
        </is>
      </c>
      <c r="K829" s="0" t="inlineStr">
        <is>
          <t>[0;32m YES! [0m 	 c_smallint列源备映射正确，源端为sql_variant 0位	期望更改为VARCHAR(255)	实际备端为varchar 1020位	位数精度不存在，通过长度比较</t>
        </is>
      </c>
    </row>
    <row r="830">
      <c r="B830" s="0" t="inlineStr">
        <is>
          <t>NULL</t>
        </is>
      </c>
      <c r="C830" s="0" t="inlineStr">
        <is>
          <t>NULL</t>
        </is>
      </c>
      <c r="D830" s="0" t="inlineStr">
        <is>
          <t>NULL</t>
        </is>
      </c>
      <c r="E830" s="0" t="inlineStr">
        <is>
          <t>NULL</t>
        </is>
      </c>
      <c r="F830" s="0" t="inlineStr">
        <is>
          <t>NULL</t>
        </is>
      </c>
      <c r="G830" s="0" t="inlineStr">
        <is>
          <t>NULL</t>
        </is>
      </c>
      <c r="H830" s="0" t="inlineStr">
        <is>
          <t>NULL</t>
        </is>
      </c>
      <c r="I830" s="0" t="inlineStr">
        <is>
          <t>NULL</t>
        </is>
      </c>
      <c r="J830" s="0" t="inlineStr">
        <is>
          <t>NULL</t>
        </is>
      </c>
      <c r="K830" s="0" t="inlineStr">
        <is>
          <t>[0;32m YES! [0m 	 c_int列源备映射正确，源端为sql_variant 0位	期望更改为VARCHAR(255)	实际备端为varchar 1020位	位数精度不存在，通过长度比较</t>
        </is>
      </c>
    </row>
    <row r="831">
      <c r="B831" s="0" t="inlineStr">
        <is>
          <t>NULL</t>
        </is>
      </c>
      <c r="C831" s="0" t="inlineStr">
        <is>
          <t>NULL</t>
        </is>
      </c>
      <c r="D831" s="0" t="inlineStr">
        <is>
          <t>NULL</t>
        </is>
      </c>
      <c r="E831" s="0" t="inlineStr">
        <is>
          <t>NULL</t>
        </is>
      </c>
      <c r="F831" s="0" t="inlineStr">
        <is>
          <t>NULL</t>
        </is>
      </c>
      <c r="G831" s="0" t="inlineStr">
        <is>
          <t>NULL</t>
        </is>
      </c>
      <c r="H831" s="0" t="inlineStr">
        <is>
          <t>NULL</t>
        </is>
      </c>
      <c r="I831" s="0" t="inlineStr">
        <is>
          <t>NULL</t>
        </is>
      </c>
      <c r="J831" s="0" t="inlineStr">
        <is>
          <t>NULL</t>
        </is>
      </c>
      <c r="K831" s="0" t="inlineStr">
        <is>
          <t>[0;32m YES! [0m 	 c_sdt列源备映射正确，源端为sql_variant 0位	期望更改为VARCHAR(255)	实际备端为varchar 1020位	位数精度不存在，通过长度比较</t>
        </is>
      </c>
    </row>
    <row r="832">
      <c r="B832" s="0" t="inlineStr">
        <is>
          <t>NULL</t>
        </is>
      </c>
      <c r="C832" s="0" t="inlineStr">
        <is>
          <t>NULL</t>
        </is>
      </c>
      <c r="D832" s="0" t="inlineStr">
        <is>
          <t>NULL</t>
        </is>
      </c>
      <c r="E832" s="0" t="inlineStr">
        <is>
          <t>NULL</t>
        </is>
      </c>
      <c r="F832" s="0" t="inlineStr">
        <is>
          <t>NULL</t>
        </is>
      </c>
      <c r="G832" s="0" t="inlineStr">
        <is>
          <t>NULL</t>
        </is>
      </c>
      <c r="H832" s="0" t="inlineStr">
        <is>
          <t>NULL</t>
        </is>
      </c>
      <c r="I832" s="0" t="inlineStr">
        <is>
          <t>NULL</t>
        </is>
      </c>
      <c r="J832" s="0" t="inlineStr">
        <is>
          <t>NULL</t>
        </is>
      </c>
      <c r="K832" s="0" t="inlineStr">
        <is>
          <t>[0;32m YES! [0m 	 c_real列源备映射正确，源端为sql_variant 0位	期望更改为VARCHAR(255)	实际备端为varchar 1020位	位数精度不存在，通过长度比较</t>
        </is>
      </c>
    </row>
    <row r="833">
      <c r="B833" s="0" t="inlineStr">
        <is>
          <t>NULL</t>
        </is>
      </c>
      <c r="C833" s="0" t="inlineStr">
        <is>
          <t>NULL</t>
        </is>
      </c>
      <c r="D833" s="0" t="inlineStr">
        <is>
          <t>NULL</t>
        </is>
      </c>
      <c r="E833" s="0" t="inlineStr">
        <is>
          <t>NULL</t>
        </is>
      </c>
      <c r="F833" s="0" t="inlineStr">
        <is>
          <t>NULL</t>
        </is>
      </c>
      <c r="G833" s="0" t="inlineStr">
        <is>
          <t>NULL</t>
        </is>
      </c>
      <c r="H833" s="0" t="inlineStr">
        <is>
          <t>NULL</t>
        </is>
      </c>
      <c r="I833" s="0" t="inlineStr">
        <is>
          <t>NULL</t>
        </is>
      </c>
      <c r="J833" s="0" t="inlineStr">
        <is>
          <t>NULL</t>
        </is>
      </c>
      <c r="K833" s="0" t="inlineStr">
        <is>
          <t>[0;32m YES! [0m 	 c_money列源备映射正确，源端为sql_variant 0位	期望更改为VARCHAR(255)	实际备端为varchar 1020位	位数精度不存在，通过长度比较</t>
        </is>
      </c>
    </row>
    <row r="834">
      <c r="B834" s="0" t="inlineStr">
        <is>
          <t>NULL</t>
        </is>
      </c>
      <c r="C834" s="0" t="inlineStr">
        <is>
          <t>NULL</t>
        </is>
      </c>
      <c r="D834" s="0" t="inlineStr">
        <is>
          <t>NULL</t>
        </is>
      </c>
      <c r="E834" s="0" t="inlineStr">
        <is>
          <t>NULL</t>
        </is>
      </c>
      <c r="F834" s="0" t="inlineStr">
        <is>
          <t>NULL</t>
        </is>
      </c>
      <c r="G834" s="0" t="inlineStr">
        <is>
          <t>NULL</t>
        </is>
      </c>
      <c r="H834" s="0" t="inlineStr">
        <is>
          <t>NULL</t>
        </is>
      </c>
      <c r="I834" s="0" t="inlineStr">
        <is>
          <t>NULL</t>
        </is>
      </c>
      <c r="J834" s="0" t="inlineStr">
        <is>
          <t>NULL</t>
        </is>
      </c>
      <c r="K834" s="0" t="inlineStr">
        <is>
          <t>[0;32m YES! [0m 	 c_datetime列源备映射正确，源端为sql_variant 0位	期望更改为VARCHAR(255)	实际备端为varchar 1020位	位数精度不存在，通过长度比较</t>
        </is>
      </c>
    </row>
    <row r="835">
      <c r="B835" s="0" t="inlineStr">
        <is>
          <t>NULL</t>
        </is>
      </c>
      <c r="C835" s="0" t="inlineStr">
        <is>
          <t>NULL</t>
        </is>
      </c>
      <c r="D835" s="0" t="inlineStr">
        <is>
          <t>NULL</t>
        </is>
      </c>
      <c r="E835" s="0" t="inlineStr">
        <is>
          <t>NULL</t>
        </is>
      </c>
      <c r="F835" s="0" t="inlineStr">
        <is>
          <t>NULL</t>
        </is>
      </c>
      <c r="G835" s="0" t="inlineStr">
        <is>
          <t>NULL</t>
        </is>
      </c>
      <c r="H835" s="0" t="inlineStr">
        <is>
          <t>NULL</t>
        </is>
      </c>
      <c r="I835" s="0" t="inlineStr">
        <is>
          <t>NULL</t>
        </is>
      </c>
      <c r="J835" s="0" t="inlineStr">
        <is>
          <t>NULL</t>
        </is>
      </c>
      <c r="K835" s="0" t="inlineStr">
        <is>
          <t>[0;32m YES! [0m 	 c_float列源备映射正确，源端为sql_variant 0位	期望更改为VARCHAR(255)	实际备端为varchar 1020位	位数精度不存在，通过长度比较</t>
        </is>
      </c>
    </row>
    <row r="836">
      <c r="B836" s="0" t="inlineStr">
        <is>
          <t>NULL</t>
        </is>
      </c>
      <c r="C836" s="0" t="inlineStr">
        <is>
          <t>NULL</t>
        </is>
      </c>
      <c r="D836" s="0" t="inlineStr">
        <is>
          <t>NULL</t>
        </is>
      </c>
      <c r="E836" s="0" t="inlineStr">
        <is>
          <t>NULL</t>
        </is>
      </c>
      <c r="F836" s="0" t="inlineStr">
        <is>
          <t>NULL</t>
        </is>
      </c>
      <c r="G836" s="0" t="inlineStr">
        <is>
          <t>NULL</t>
        </is>
      </c>
      <c r="H836" s="0" t="inlineStr">
        <is>
          <t>NULL</t>
        </is>
      </c>
      <c r="I836" s="0" t="inlineStr">
        <is>
          <t>NULL</t>
        </is>
      </c>
      <c r="J836" s="0" t="inlineStr">
        <is>
          <t>NULL</t>
        </is>
      </c>
      <c r="K836" s="0" t="inlineStr">
        <is>
          <t>[0;32m YES! [0m 	 c_bit列源备映射正确，源端为sql_variant 0位	期望更改为VARCHAR(255)	实际备端为varchar 1020位	位数精度不存在，通过长度比较</t>
        </is>
      </c>
    </row>
    <row r="837">
      <c r="B837" s="0" t="inlineStr">
        <is>
          <t>NULL</t>
        </is>
      </c>
      <c r="C837" s="0" t="inlineStr">
        <is>
          <t>NULL</t>
        </is>
      </c>
      <c r="D837" s="0" t="inlineStr">
        <is>
          <t>NULL</t>
        </is>
      </c>
      <c r="E837" s="0" t="inlineStr">
        <is>
          <t>NULL</t>
        </is>
      </c>
      <c r="F837" s="0" t="inlineStr">
        <is>
          <t>NULL</t>
        </is>
      </c>
      <c r="G837" s="0" t="inlineStr">
        <is>
          <t>NULL</t>
        </is>
      </c>
      <c r="H837" s="0" t="inlineStr">
        <is>
          <t>NULL</t>
        </is>
      </c>
      <c r="I837" s="0" t="inlineStr">
        <is>
          <t>NULL</t>
        </is>
      </c>
      <c r="J837" s="0" t="inlineStr">
        <is>
          <t>NULL</t>
        </is>
      </c>
      <c r="K837" s="0" t="inlineStr">
        <is>
          <t>[0;32m YES! [0m 	 c_decimal列源备映射正确，源端为sql_variant 0位	期望更改为VARCHAR(255)	实际备端为varchar 1020位	位数精度不存在，通过长度比较</t>
        </is>
      </c>
    </row>
    <row r="838">
      <c r="B838" s="0" t="inlineStr">
        <is>
          <t>NULL</t>
        </is>
      </c>
      <c r="C838" s="0" t="inlineStr">
        <is>
          <t>NULL</t>
        </is>
      </c>
      <c r="D838" s="0" t="inlineStr">
        <is>
          <t>NULL</t>
        </is>
      </c>
      <c r="E838" s="0" t="inlineStr">
        <is>
          <t>NULL</t>
        </is>
      </c>
      <c r="F838" s="0" t="inlineStr">
        <is>
          <t>NULL</t>
        </is>
      </c>
      <c r="G838" s="0" t="inlineStr">
        <is>
          <t>NULL</t>
        </is>
      </c>
      <c r="H838" s="0" t="inlineStr">
        <is>
          <t>NULL</t>
        </is>
      </c>
      <c r="I838" s="0" t="inlineStr">
        <is>
          <t>NULL</t>
        </is>
      </c>
      <c r="J838" s="0" t="inlineStr">
        <is>
          <t>NULL</t>
        </is>
      </c>
      <c r="K838" s="0" t="inlineStr">
        <is>
          <t>[0;32m YES! [0m 	 c_uniqueidentifier列源备映射正确，源端为sql_variant 0位	期望更改为VARCHAR(255)	实际备端为varchar 1020位	位数精度不存在，通过长度比较</t>
        </is>
      </c>
    </row>
    <row r="839">
      <c r="B839" s="0" t="inlineStr">
        <is>
          <t>NULL</t>
        </is>
      </c>
      <c r="C839" s="0" t="inlineStr">
        <is>
          <t>NULL</t>
        </is>
      </c>
      <c r="D839" s="0" t="inlineStr">
        <is>
          <t>NULL</t>
        </is>
      </c>
      <c r="E839" s="0" t="inlineStr">
        <is>
          <t>NULL</t>
        </is>
      </c>
      <c r="F839" s="0" t="inlineStr">
        <is>
          <t>NULL</t>
        </is>
      </c>
      <c r="G839" s="0" t="inlineStr">
        <is>
          <t>NULL</t>
        </is>
      </c>
      <c r="H839" s="0" t="inlineStr">
        <is>
          <t>NULL</t>
        </is>
      </c>
      <c r="I839" s="0" t="inlineStr">
        <is>
          <t>NULL</t>
        </is>
      </c>
      <c r="J839" s="0" t="inlineStr">
        <is>
          <t>NULL</t>
        </is>
      </c>
      <c r="K839" s="0" t="inlineStr">
        <is>
          <t>[0;32m YES! [0m 	 c_smallmoney列源备映射正确，源端为sql_variant 0位	期望更改为VARCHAR(255)	实际备端为varchar 1020位	位数精度不存在，通过长度比较</t>
        </is>
      </c>
    </row>
    <row r="840">
      <c r="B840" s="0" t="inlineStr">
        <is>
          <t>NULL</t>
        </is>
      </c>
      <c r="C840" s="0" t="inlineStr">
        <is>
          <t>NULL</t>
        </is>
      </c>
      <c r="D840" s="0" t="inlineStr">
        <is>
          <t>NULL</t>
        </is>
      </c>
      <c r="E840" s="0" t="inlineStr">
        <is>
          <t>NULL</t>
        </is>
      </c>
      <c r="F840" s="0" t="inlineStr">
        <is>
          <t>NULL</t>
        </is>
      </c>
      <c r="G840" s="0" t="inlineStr">
        <is>
          <t>NULL</t>
        </is>
      </c>
      <c r="H840" s="0" t="inlineStr">
        <is>
          <t>NULL</t>
        </is>
      </c>
      <c r="I840" s="0" t="inlineStr">
        <is>
          <t>NULL</t>
        </is>
      </c>
      <c r="J840" s="0" t="inlineStr">
        <is>
          <t>NULL</t>
        </is>
      </c>
      <c r="K840" s="0" t="inlineStr">
        <is>
          <t>[0;32m YES! [0m 	 c_bigint列源备映射正确，源端为sql_variant 0位	期望更改为VARCHAR(255)	实际备端为varchar 1020位	位数精度不存在，通过长度比较</t>
        </is>
      </c>
    </row>
    <row r="841">
      <c r="B841" s="0" t="inlineStr">
        <is>
          <t>NULL</t>
        </is>
      </c>
      <c r="C841" s="0" t="inlineStr">
        <is>
          <t>NULL</t>
        </is>
      </c>
      <c r="D841" s="0" t="inlineStr">
        <is>
          <t>NULL</t>
        </is>
      </c>
      <c r="E841" s="0" t="inlineStr">
        <is>
          <t>NULL</t>
        </is>
      </c>
      <c r="F841" s="0" t="inlineStr">
        <is>
          <t>NULL</t>
        </is>
      </c>
      <c r="G841" s="0" t="inlineStr">
        <is>
          <t>NULL</t>
        </is>
      </c>
      <c r="H841" s="0" t="inlineStr">
        <is>
          <t>NULL</t>
        </is>
      </c>
      <c r="I841" s="0" t="inlineStr">
        <is>
          <t>NULL</t>
        </is>
      </c>
      <c r="J841" s="0" t="inlineStr">
        <is>
          <t>NULL</t>
        </is>
      </c>
      <c r="K841" s="0" t="inlineStr">
        <is>
          <t>[0;32m YES! [0m 	 c_varbinary_20列源备映射正确，源端为sql_variant 0位	期望更改为VARCHAR(255)	实际备端为varchar 1020位	位数精度不存在，通过长度比较</t>
        </is>
      </c>
    </row>
    <row r="842">
      <c r="B842" s="0" t="inlineStr">
        <is>
          <t>NULL</t>
        </is>
      </c>
      <c r="C842" s="0" t="inlineStr">
        <is>
          <t>NULL</t>
        </is>
      </c>
      <c r="D842" s="0" t="inlineStr">
        <is>
          <t>NULL</t>
        </is>
      </c>
      <c r="E842" s="0" t="inlineStr">
        <is>
          <t>NULL</t>
        </is>
      </c>
      <c r="F842" s="0" t="inlineStr">
        <is>
          <t>NULL</t>
        </is>
      </c>
      <c r="G842" s="0" t="inlineStr">
        <is>
          <t>NULL</t>
        </is>
      </c>
      <c r="H842" s="0" t="inlineStr">
        <is>
          <t>NULL</t>
        </is>
      </c>
      <c r="I842" s="0" t="inlineStr">
        <is>
          <t>NULL</t>
        </is>
      </c>
      <c r="J842" s="0" t="inlineStr">
        <is>
          <t>NULL</t>
        </is>
      </c>
      <c r="K842" s="0" t="inlineStr">
        <is>
          <t>[0;32m YES! [0m 	 c_varchar_20列源备映射正确，源端为sql_variant 0位	期望更改为VARCHAR(255)	实际备端为varchar 1020位	位数精度不存在，通过长度比较</t>
        </is>
      </c>
    </row>
    <row r="843">
      <c r="B843" s="0" t="inlineStr">
        <is>
          <t>NULL</t>
        </is>
      </c>
      <c r="C843" s="0" t="inlineStr">
        <is>
          <t>NULL</t>
        </is>
      </c>
      <c r="D843" s="0" t="inlineStr">
        <is>
          <t>NULL</t>
        </is>
      </c>
      <c r="E843" s="0" t="inlineStr">
        <is>
          <t>NULL</t>
        </is>
      </c>
      <c r="F843" s="0" t="inlineStr">
        <is>
          <t>NULL</t>
        </is>
      </c>
      <c r="G843" s="0" t="inlineStr">
        <is>
          <t>NULL</t>
        </is>
      </c>
      <c r="H843" s="0" t="inlineStr">
        <is>
          <t>NULL</t>
        </is>
      </c>
      <c r="I843" s="0" t="inlineStr">
        <is>
          <t>NULL</t>
        </is>
      </c>
      <c r="J843" s="0" t="inlineStr">
        <is>
          <t>NULL</t>
        </is>
      </c>
      <c r="K843" s="0" t="inlineStr">
        <is>
          <t>[0;32m YES! [0m 	 c_binary_20列源备映射正确，源端为sql_variant 0位	期望更改为VARCHAR(255)	实际备端为varchar 1020位	位数精度不存在，通过长度比较</t>
        </is>
      </c>
    </row>
    <row r="844">
      <c r="B844" s="0" t="inlineStr">
        <is>
          <t>NULL</t>
        </is>
      </c>
      <c r="C844" s="0" t="inlineStr">
        <is>
          <t>NULL</t>
        </is>
      </c>
      <c r="D844" s="0" t="inlineStr">
        <is>
          <t>NULL</t>
        </is>
      </c>
      <c r="E844" s="0" t="inlineStr">
        <is>
          <t>NULL</t>
        </is>
      </c>
      <c r="F844" s="0" t="inlineStr">
        <is>
          <t>NULL</t>
        </is>
      </c>
      <c r="G844" s="0" t="inlineStr">
        <is>
          <t>NULL</t>
        </is>
      </c>
      <c r="H844" s="0" t="inlineStr">
        <is>
          <t>NULL</t>
        </is>
      </c>
      <c r="I844" s="0" t="inlineStr">
        <is>
          <t>NULL</t>
        </is>
      </c>
      <c r="J844" s="0" t="inlineStr">
        <is>
          <t>NULL</t>
        </is>
      </c>
      <c r="K844" s="0" t="inlineStr">
        <is>
          <t>[0;32m YES! [0m 	 c_char_20列源备映射正确，源端为sql_variant 0位	期望更改为VARCHAR(255)	实际备端为varchar 1020位	位数精度不存在，通过长度比较</t>
        </is>
      </c>
    </row>
    <row r="845">
      <c r="B845" s="0" t="inlineStr">
        <is>
          <t>NULL</t>
        </is>
      </c>
      <c r="C845" s="0" t="inlineStr">
        <is>
          <t>NULL</t>
        </is>
      </c>
      <c r="D845" s="0" t="inlineStr">
        <is>
          <t>NULL</t>
        </is>
      </c>
      <c r="E845" s="0" t="inlineStr">
        <is>
          <t>NULL</t>
        </is>
      </c>
      <c r="F845" s="0" t="inlineStr">
        <is>
          <t>NULL</t>
        </is>
      </c>
      <c r="G845" s="0" t="inlineStr">
        <is>
          <t>NULL</t>
        </is>
      </c>
      <c r="H845" s="0" t="inlineStr">
        <is>
          <t>NULL</t>
        </is>
      </c>
      <c r="I845" s="0" t="inlineStr">
        <is>
          <t>NULL</t>
        </is>
      </c>
      <c r="J845" s="0" t="inlineStr">
        <is>
          <t>NULL</t>
        </is>
      </c>
      <c r="K845" s="0" t="inlineStr">
        <is>
          <t>[0;32m YES! [0m 	 c_nvarchar_20列源备映射正确，源端为sql_variant 0位	期望更改为VARCHAR(255)	实际备端为varchar 1020位	位数精度不存在，通过长度比较</t>
        </is>
      </c>
    </row>
    <row r="846">
      <c r="B846" s="0" t="inlineStr">
        <is>
          <t>NULL</t>
        </is>
      </c>
      <c r="C846" s="0" t="inlineStr">
        <is>
          <t>NULL</t>
        </is>
      </c>
      <c r="D846" s="0" t="inlineStr">
        <is>
          <t>NULL</t>
        </is>
      </c>
      <c r="E846" s="0" t="inlineStr">
        <is>
          <t>NULL</t>
        </is>
      </c>
      <c r="F846" s="0" t="inlineStr">
        <is>
          <t>NULL</t>
        </is>
      </c>
      <c r="G846" s="0" t="inlineStr">
        <is>
          <t>NULL</t>
        </is>
      </c>
      <c r="H846" s="0" t="inlineStr">
        <is>
          <t>NULL</t>
        </is>
      </c>
      <c r="I846" s="0" t="inlineStr">
        <is>
          <t>NULL</t>
        </is>
      </c>
      <c r="J846" s="0" t="inlineStr">
        <is>
          <t>NULL</t>
        </is>
      </c>
      <c r="K846" s="0" t="inlineStr">
        <is>
          <t>[0;32m YES! [0m 	 c_nchar_20列源备映射正确，源端为sql_variant 0位	期望更改为VARCHAR(255)	实际备端为varchar 1020位	位数精度不存在，通过长度比较</t>
        </is>
      </c>
    </row>
    <row r="847">
      <c r="B847" s="0" t="inlineStr">
        <is>
          <t>NULL</t>
        </is>
      </c>
      <c r="C847" s="0" t="inlineStr">
        <is>
          <t>NULL</t>
        </is>
      </c>
      <c r="D847" s="0" t="inlineStr">
        <is>
          <t>NULL</t>
        </is>
      </c>
      <c r="E847" s="0" t="inlineStr">
        <is>
          <t>NULL</t>
        </is>
      </c>
      <c r="F847" s="0" t="inlineStr">
        <is>
          <t>NULL</t>
        </is>
      </c>
      <c r="G847" s="0" t="inlineStr">
        <is>
          <t>NULL</t>
        </is>
      </c>
      <c r="H847" s="0" t="inlineStr">
        <is>
          <t>NULL</t>
        </is>
      </c>
      <c r="I847" s="0" t="inlineStr">
        <is>
          <t>NULL</t>
        </is>
      </c>
      <c r="J847" s="0" t="inlineStr">
        <is>
          <t>NULL</t>
        </is>
      </c>
      <c r="K847" s="0" t="inlineStr">
        <is>
          <t>[0;32m YES! [0m 	 c_timestamp列源备映射正确，源端为timestamp None位	期望更改为binary(8)	实际备端为binary 8位	位数精度不存在，通过长度比较</t>
        </is>
      </c>
    </row>
    <row r="848">
      <c r="A848" s="0" t="inlineStr">
        <is>
          <t>info_nchar_dml_batch2_pk_irp2</t>
        </is>
      </c>
      <c r="K848" s="0" t="inlineStr">
        <is>
          <t>[0;34m info_nchar_dml_batch2_pk_irp2 [0m源备字段数相同，源端字段：4 	备端字段4</t>
        </is>
      </c>
      <c r="W848" s="15">
        <f>HYPERLINK("#2026051816mysql2!BM2","NO 源备存在差异，共14个")</f>
        <v/>
      </c>
      <c r="X848" s="0">
        <f>A848</f>
        <v/>
      </c>
    </row>
    <row r="849">
      <c r="B849" s="0" t="inlineStr">
        <is>
          <t>YES</t>
        </is>
      </c>
      <c r="C849" s="0" t="inlineStr">
        <is>
          <t>NULL</t>
        </is>
      </c>
      <c r="D849" s="0" t="inlineStr">
        <is>
          <t>NULL</t>
        </is>
      </c>
      <c r="E849" s="0" t="inlineStr">
        <is>
          <t>NULL</t>
        </is>
      </c>
      <c r="F849" s="0" t="inlineStr">
        <is>
          <t>NULL</t>
        </is>
      </c>
      <c r="G849" s="0" t="inlineStr">
        <is>
          <t>NULL</t>
        </is>
      </c>
      <c r="H849" s="0" t="inlineStr">
        <is>
          <t>NULL</t>
        </is>
      </c>
      <c r="I849" s="0" t="inlineStr">
        <is>
          <t>YES!PK__info_nch__3213E83FAF7F0A51</t>
        </is>
      </c>
      <c r="J849" s="0" t="inlineStr">
        <is>
          <t>YES! 主键相关索引</t>
        </is>
      </c>
      <c r="K849" s="0" t="inlineStr">
        <is>
          <t>YES! 	 id列源备映射正确，源端为int None位	期望更改为int	实际备端为int None位</t>
        </is>
      </c>
    </row>
    <row r="850">
      <c r="B850" s="0" t="inlineStr">
        <is>
          <t>NULL</t>
        </is>
      </c>
      <c r="C850" s="0" t="inlineStr">
        <is>
          <t>NULL</t>
        </is>
      </c>
      <c r="D850" s="0" t="inlineStr">
        <is>
          <t>NULL</t>
        </is>
      </c>
      <c r="E850" s="0" t="inlineStr">
        <is>
          <t>NULL</t>
        </is>
      </c>
      <c r="F850" s="0" t="inlineStr">
        <is>
          <t>NULL</t>
        </is>
      </c>
      <c r="G850" s="0" t="inlineStr">
        <is>
          <t>NULL</t>
        </is>
      </c>
      <c r="H850" s="0" t="inlineStr">
        <is>
          <t>NULL</t>
        </is>
      </c>
      <c r="I850" s="0" t="inlineStr">
        <is>
          <t>NULL</t>
        </is>
      </c>
      <c r="J850" s="0" t="inlineStr">
        <is>
          <t>NULL</t>
        </is>
      </c>
      <c r="K850" s="0" t="inlineStr">
        <is>
          <t>YES! 	 c_nchar列源备映射正确，源端为nchar 2位	期望更改为char(n)	实际备端为char 4位</t>
        </is>
      </c>
    </row>
    <row r="851">
      <c r="B851" s="0" t="inlineStr">
        <is>
          <t>NULL</t>
        </is>
      </c>
      <c r="C851" s="0" t="inlineStr">
        <is>
          <t>NULL</t>
        </is>
      </c>
      <c r="D851" s="0" t="inlineStr">
        <is>
          <t>NULL</t>
        </is>
      </c>
      <c r="E851" s="0" t="inlineStr">
        <is>
          <t>NULL</t>
        </is>
      </c>
      <c r="F851" s="0" t="inlineStr">
        <is>
          <t>NULL</t>
        </is>
      </c>
      <c r="G851" s="0" t="inlineStr">
        <is>
          <t>NULL</t>
        </is>
      </c>
      <c r="H851" s="0" t="inlineStr">
        <is>
          <t>NULL</t>
        </is>
      </c>
      <c r="I851" s="0" t="inlineStr">
        <is>
          <t>NULL</t>
        </is>
      </c>
      <c r="J851" s="0" t="inlineStr">
        <is>
          <t>NULL</t>
        </is>
      </c>
      <c r="K851" s="0" t="inlineStr">
        <is>
          <t>YES! 	 c_nchar20列源备映射正确，源端为nchar 40位	期望更改为char(n)	实际备端为char 80位</t>
        </is>
      </c>
    </row>
    <row r="852">
      <c r="B852" s="0" t="inlineStr">
        <is>
          <t>NULL</t>
        </is>
      </c>
      <c r="C852" s="0" t="inlineStr">
        <is>
          <t>NULL</t>
        </is>
      </c>
      <c r="D852" s="0" t="inlineStr">
        <is>
          <t>NULL</t>
        </is>
      </c>
      <c r="E852" s="0" t="inlineStr">
        <is>
          <t>NULL</t>
        </is>
      </c>
      <c r="F852" s="0" t="inlineStr">
        <is>
          <t>NULL</t>
        </is>
      </c>
      <c r="G852" s="0" t="inlineStr">
        <is>
          <t>NULL</t>
        </is>
      </c>
      <c r="H852" s="0" t="inlineStr">
        <is>
          <t>NULL</t>
        </is>
      </c>
      <c r="I852" s="0" t="inlineStr">
        <is>
          <t>NULL</t>
        </is>
      </c>
      <c r="J852" s="0" t="inlineStr">
        <is>
          <t>NULL</t>
        </is>
      </c>
      <c r="K852" s="0" t="inlineStr">
        <is>
          <t xml:space="preserve"> NO!  	 c_nchar3500列源备映射错误，源端为nchar 7000位	期望更改为varchar(n)	实际备端为text 65535位</t>
        </is>
      </c>
    </row>
    <row r="853">
      <c r="A853" s="0" t="inlineStr">
        <is>
          <t>info_date_dml_single_pk</t>
        </is>
      </c>
      <c r="K853" s="0" t="inlineStr">
        <is>
          <t>[0;34m info_date_dml_single_pk [0m源备字段数相同，源端字段：2 	备端字段2</t>
        </is>
      </c>
      <c r="W853" s="0" t="inlineStr">
        <is>
          <t>YES 源备无差异</t>
        </is>
      </c>
      <c r="X853" s="0">
        <f>A853</f>
        <v/>
      </c>
    </row>
    <row r="854">
      <c r="B854" s="0" t="inlineStr">
        <is>
          <t>YES</t>
        </is>
      </c>
      <c r="C854" s="0" t="inlineStr">
        <is>
          <t>NULL</t>
        </is>
      </c>
      <c r="D854" s="0" t="inlineStr">
        <is>
          <t>NULL</t>
        </is>
      </c>
      <c r="E854" s="0" t="inlineStr">
        <is>
          <t>NULL</t>
        </is>
      </c>
      <c r="F854" s="0" t="inlineStr">
        <is>
          <t>NULL</t>
        </is>
      </c>
      <c r="G854" s="0" t="inlineStr">
        <is>
          <t>NULL</t>
        </is>
      </c>
      <c r="H854" s="0" t="inlineStr">
        <is>
          <t>NULL</t>
        </is>
      </c>
      <c r="I854" s="0" t="inlineStr">
        <is>
          <t>YES!PK__info_dat__3213E83FBC98E2C8</t>
        </is>
      </c>
      <c r="J854" s="0" t="inlineStr">
        <is>
          <t>YES! 主键相关索引</t>
        </is>
      </c>
      <c r="K854" s="0" t="inlineStr">
        <is>
          <t>YES! 	 id列源备映射正确，源端为int None位	期望更改为int	实际备端为int None位</t>
        </is>
      </c>
    </row>
    <row r="855">
      <c r="B855" s="0" t="inlineStr">
        <is>
          <t>NULL</t>
        </is>
      </c>
      <c r="C855" s="0" t="inlineStr">
        <is>
          <t>NULL</t>
        </is>
      </c>
      <c r="D855" s="0" t="inlineStr">
        <is>
          <t>NULL</t>
        </is>
      </c>
      <c r="E855" s="0" t="inlineStr">
        <is>
          <t>NULL</t>
        </is>
      </c>
      <c r="F855" s="0" t="inlineStr">
        <is>
          <t>NULL</t>
        </is>
      </c>
      <c r="G855" s="0" t="inlineStr">
        <is>
          <t>NULL</t>
        </is>
      </c>
      <c r="H855" s="0" t="inlineStr">
        <is>
          <t>NULL</t>
        </is>
      </c>
      <c r="I855" s="0" t="inlineStr">
        <is>
          <t>NULL</t>
        </is>
      </c>
      <c r="J855" s="0" t="inlineStr">
        <is>
          <t>NULL</t>
        </is>
      </c>
      <c r="K855" s="0" t="inlineStr">
        <is>
          <t>YES! 	 c_date列源备映射正确，源端为date None位	期望更改为date	实际备端为date None位</t>
        </is>
      </c>
    </row>
    <row r="856">
      <c r="A856" s="0" t="inlineStr">
        <is>
          <t>info_timestamp_dml_single_nopk_irp</t>
        </is>
      </c>
      <c r="K856" s="0" t="inlineStr">
        <is>
          <t>[0;34m info_timestamp_dml_single_nopk_irp [0m源备字段数相同，源端字段：2 	备端字段2</t>
        </is>
      </c>
      <c r="W856" s="0" t="inlineStr">
        <is>
          <t>YES 源备无差异</t>
        </is>
      </c>
      <c r="X856" s="0">
        <f>A856</f>
        <v/>
      </c>
    </row>
    <row r="857">
      <c r="B857" s="0" t="inlineStr">
        <is>
          <t>NULL</t>
        </is>
      </c>
      <c r="C857" s="0" t="inlineStr">
        <is>
          <t>NULL</t>
        </is>
      </c>
      <c r="D857" s="0" t="inlineStr">
        <is>
          <t>NULL</t>
        </is>
      </c>
      <c r="E857" s="0" t="inlineStr">
        <is>
          <t>NULL</t>
        </is>
      </c>
      <c r="F857" s="0" t="inlineStr">
        <is>
          <t>NULL</t>
        </is>
      </c>
      <c r="G857" s="0" t="inlineStr">
        <is>
          <t>NULL</t>
        </is>
      </c>
      <c r="H857" s="0" t="inlineStr">
        <is>
          <t>NULL</t>
        </is>
      </c>
      <c r="I857" s="0" t="inlineStr">
        <is>
          <t>NULL</t>
        </is>
      </c>
      <c r="J857" s="0" t="inlineStr">
        <is>
          <t>NULL</t>
        </is>
      </c>
      <c r="K857" s="0" t="inlineStr">
        <is>
          <t>YES! 	 id列源备映射正确，源端为int None位	期望更改为int	实际备端为int None位</t>
        </is>
      </c>
    </row>
    <row r="858">
      <c r="B858" s="0" t="inlineStr">
        <is>
          <t>NULL</t>
        </is>
      </c>
      <c r="C858" s="0" t="inlineStr">
        <is>
          <t>NULL</t>
        </is>
      </c>
      <c r="D858" s="0" t="inlineStr">
        <is>
          <t>NULL</t>
        </is>
      </c>
      <c r="E858" s="0" t="inlineStr">
        <is>
          <t>NULL</t>
        </is>
      </c>
      <c r="F858" s="0" t="inlineStr">
        <is>
          <t>NULL</t>
        </is>
      </c>
      <c r="G858" s="0" t="inlineStr">
        <is>
          <t>NULL</t>
        </is>
      </c>
      <c r="H858" s="0" t="inlineStr">
        <is>
          <t>NULL</t>
        </is>
      </c>
      <c r="I858" s="0" t="inlineStr">
        <is>
          <t>NULL</t>
        </is>
      </c>
      <c r="J858" s="0" t="inlineStr">
        <is>
          <t>NULL</t>
        </is>
      </c>
      <c r="K858" s="0" t="inlineStr">
        <is>
          <t>[0;32m YES! [0m 	 c_tiemstamp列源备映射正确，源端为timestamp None位	期望更改为binary(8)	实际备端为binary 8位	位数精度不存在，通过长度比较</t>
        </is>
      </c>
    </row>
    <row r="859">
      <c r="A859" s="0" t="inlineStr">
        <is>
          <t>info_timestamp_dml_single_nopk_drp</t>
        </is>
      </c>
      <c r="K859" s="0" t="inlineStr">
        <is>
          <t>[0;34m info_timestamp_dml_single_nopk_drp [0m源备字段数相同，源端字段：2 	备端字段2</t>
        </is>
      </c>
      <c r="W859" s="0" t="inlineStr">
        <is>
          <t>YES 源备无差异</t>
        </is>
      </c>
      <c r="X859" s="0">
        <f>A859</f>
        <v/>
      </c>
    </row>
    <row r="860">
      <c r="B860" s="0" t="inlineStr">
        <is>
          <t>NULL</t>
        </is>
      </c>
      <c r="C860" s="0" t="inlineStr">
        <is>
          <t>NULL</t>
        </is>
      </c>
      <c r="D860" s="0" t="inlineStr">
        <is>
          <t>NULL</t>
        </is>
      </c>
      <c r="E860" s="0" t="inlineStr">
        <is>
          <t>NULL</t>
        </is>
      </c>
      <c r="F860" s="0" t="inlineStr">
        <is>
          <t>NULL</t>
        </is>
      </c>
      <c r="G860" s="0" t="inlineStr">
        <is>
          <t>NULL</t>
        </is>
      </c>
      <c r="H860" s="0" t="inlineStr">
        <is>
          <t>NULL</t>
        </is>
      </c>
      <c r="I860" s="0" t="inlineStr">
        <is>
          <t>NULL</t>
        </is>
      </c>
      <c r="J860" s="0" t="inlineStr">
        <is>
          <t>NULL</t>
        </is>
      </c>
      <c r="K860" s="0" t="inlineStr">
        <is>
          <t>YES! 	 id列源备映射正确，源端为int None位	期望更改为int	实际备端为int None位</t>
        </is>
      </c>
    </row>
    <row r="861">
      <c r="B861" s="0" t="inlineStr">
        <is>
          <t>NULL</t>
        </is>
      </c>
      <c r="C861" s="0" t="inlineStr">
        <is>
          <t>NULL</t>
        </is>
      </c>
      <c r="D861" s="0" t="inlineStr">
        <is>
          <t>NULL</t>
        </is>
      </c>
      <c r="E861" s="0" t="inlineStr">
        <is>
          <t>NULL</t>
        </is>
      </c>
      <c r="F861" s="0" t="inlineStr">
        <is>
          <t>NULL</t>
        </is>
      </c>
      <c r="G861" s="0" t="inlineStr">
        <is>
          <t>NULL</t>
        </is>
      </c>
      <c r="H861" s="0" t="inlineStr">
        <is>
          <t>NULL</t>
        </is>
      </c>
      <c r="I861" s="0" t="inlineStr">
        <is>
          <t>NULL</t>
        </is>
      </c>
      <c r="J861" s="0" t="inlineStr">
        <is>
          <t>NULL</t>
        </is>
      </c>
      <c r="K861" s="0" t="inlineStr">
        <is>
          <t>[0;32m YES! [0m 	 c_tiemstamp列源备映射正确，源端为timestamp None位	期望更改为binary(8)	实际备端为binary 8位	位数精度不存在，通过长度比较</t>
        </is>
      </c>
    </row>
    <row r="862">
      <c r="A862" s="0" t="inlineStr">
        <is>
          <t>info_sql_variant_dml_single_nopk</t>
        </is>
      </c>
      <c r="K862" s="0" t="inlineStr">
        <is>
          <t>[0;34m info_sql_variant_dml_single_nopk [0m源备字段数相同，源端字段：25 	备端字段25</t>
        </is>
      </c>
      <c r="W862" s="15">
        <f>HYPERLINK("#2026051816mysql2!BN2","NO 源备存在差异，共2个")</f>
        <v/>
      </c>
      <c r="X862" s="0">
        <f>A862</f>
        <v/>
      </c>
    </row>
    <row r="863">
      <c r="B863" s="0" t="inlineStr">
        <is>
          <t>NULL</t>
        </is>
      </c>
      <c r="C863" s="0" t="inlineStr">
        <is>
          <t>NULL</t>
        </is>
      </c>
      <c r="D863" s="0" t="inlineStr">
        <is>
          <t>NULL</t>
        </is>
      </c>
      <c r="E863" s="0" t="inlineStr">
        <is>
          <t>NULL</t>
        </is>
      </c>
      <c r="F863" s="0" t="inlineStr">
        <is>
          <t>NULL</t>
        </is>
      </c>
      <c r="G863" s="0" t="inlineStr">
        <is>
          <t>NULL</t>
        </is>
      </c>
      <c r="H863" s="0" t="inlineStr">
        <is>
          <t>NULL</t>
        </is>
      </c>
      <c r="I863" s="0" t="inlineStr">
        <is>
          <t>NULL</t>
        </is>
      </c>
      <c r="J863" s="0" t="inlineStr">
        <is>
          <t>NULL</t>
        </is>
      </c>
      <c r="K863" s="0" t="inlineStr">
        <is>
          <t>YES! 	 id列源备映射正确，源端为int None位	期望更改为int	实际备端为int None位</t>
        </is>
      </c>
    </row>
    <row r="864">
      <c r="B864" s="0" t="inlineStr">
        <is>
          <t>NULL</t>
        </is>
      </c>
      <c r="C864" s="0" t="inlineStr">
        <is>
          <t>NULL</t>
        </is>
      </c>
      <c r="D864" s="0" t="inlineStr">
        <is>
          <t>NULL</t>
        </is>
      </c>
      <c r="E864" s="0" t="inlineStr">
        <is>
          <t>NULL</t>
        </is>
      </c>
      <c r="F864" s="0" t="inlineStr">
        <is>
          <t>NULL</t>
        </is>
      </c>
      <c r="G864" s="0" t="inlineStr">
        <is>
          <t>NULL</t>
        </is>
      </c>
      <c r="H864" s="0" t="inlineStr">
        <is>
          <t>NULL</t>
        </is>
      </c>
      <c r="I864" s="0" t="inlineStr">
        <is>
          <t>NULL</t>
        </is>
      </c>
      <c r="J864" s="0" t="inlineStr">
        <is>
          <t>NULL</t>
        </is>
      </c>
      <c r="K864" s="0" t="inlineStr">
        <is>
          <t>[0;32m YES! [0m 	 c_date列源备映射正确，源端为sql_variant 0位	期望更改为VARCHAR(255)	实际备端为varchar 1020位	位数精度不存在，通过长度比较</t>
        </is>
      </c>
    </row>
    <row r="865">
      <c r="B865" s="0" t="inlineStr">
        <is>
          <t>NULL</t>
        </is>
      </c>
      <c r="C865" s="0" t="inlineStr">
        <is>
          <t>NULL</t>
        </is>
      </c>
      <c r="D865" s="0" t="inlineStr">
        <is>
          <t>NULL</t>
        </is>
      </c>
      <c r="E865" s="0" t="inlineStr">
        <is>
          <t>NULL</t>
        </is>
      </c>
      <c r="F865" s="0" t="inlineStr">
        <is>
          <t>NULL</t>
        </is>
      </c>
      <c r="G865" s="0" t="inlineStr">
        <is>
          <t>NULL</t>
        </is>
      </c>
      <c r="H865" s="0" t="inlineStr">
        <is>
          <t>NULL</t>
        </is>
      </c>
      <c r="I865" s="0" t="inlineStr">
        <is>
          <t>NULL</t>
        </is>
      </c>
      <c r="J865" s="0" t="inlineStr">
        <is>
          <t>NULL</t>
        </is>
      </c>
      <c r="K865" s="0" t="inlineStr">
        <is>
          <t>[0;32m YES! [0m 	 c_time列源备映射正确，源端为sql_variant 0位	期望更改为VARCHAR(255)	实际备端为varchar 1020位	位数精度不存在，通过长度比较</t>
        </is>
      </c>
    </row>
    <row r="866">
      <c r="B866" s="0" t="inlineStr">
        <is>
          <t>NULL</t>
        </is>
      </c>
      <c r="C866" s="0" t="inlineStr">
        <is>
          <t>NULL</t>
        </is>
      </c>
      <c r="D866" s="0" t="inlineStr">
        <is>
          <t>NULL</t>
        </is>
      </c>
      <c r="E866" s="0" t="inlineStr">
        <is>
          <t>NULL</t>
        </is>
      </c>
      <c r="F866" s="0" t="inlineStr">
        <is>
          <t>NULL</t>
        </is>
      </c>
      <c r="G866" s="0" t="inlineStr">
        <is>
          <t>NULL</t>
        </is>
      </c>
      <c r="H866" s="0" t="inlineStr">
        <is>
          <t>NULL</t>
        </is>
      </c>
      <c r="I866" s="0" t="inlineStr">
        <is>
          <t>NULL</t>
        </is>
      </c>
      <c r="J866" s="0" t="inlineStr">
        <is>
          <t>NULL</t>
        </is>
      </c>
      <c r="K866" s="0" t="inlineStr">
        <is>
          <t>[0;32m YES! [0m 	 c_datetime2列源备映射正确，源端为sql_variant 0位	期望更改为VARCHAR(255)	实际备端为varchar 1020位	位数精度不存在，通过长度比较</t>
        </is>
      </c>
    </row>
    <row r="867">
      <c r="B867" s="0" t="inlineStr">
        <is>
          <t>NULL</t>
        </is>
      </c>
      <c r="C867" s="0" t="inlineStr">
        <is>
          <t>NULL</t>
        </is>
      </c>
      <c r="D867" s="0" t="inlineStr">
        <is>
          <t>NULL</t>
        </is>
      </c>
      <c r="E867" s="0" t="inlineStr">
        <is>
          <t>NULL</t>
        </is>
      </c>
      <c r="F867" s="0" t="inlineStr">
        <is>
          <t>NULL</t>
        </is>
      </c>
      <c r="G867" s="0" t="inlineStr">
        <is>
          <t>NULL</t>
        </is>
      </c>
      <c r="H867" s="0" t="inlineStr">
        <is>
          <t>NULL</t>
        </is>
      </c>
      <c r="I867" s="0" t="inlineStr">
        <is>
          <t>NULL</t>
        </is>
      </c>
      <c r="J867" s="0" t="inlineStr">
        <is>
          <t>NULL</t>
        </is>
      </c>
      <c r="K867" s="0" t="inlineStr">
        <is>
          <t>[0;32m YES! [0m 	 c_datetimeoffset列源备映射正确，源端为sql_variant 0位	期望更改为VARCHAR(255)	实际备端为varchar 1020位	位数精度不存在，通过长度比较</t>
        </is>
      </c>
    </row>
    <row r="868">
      <c r="B868" s="0" t="inlineStr">
        <is>
          <t>NULL</t>
        </is>
      </c>
      <c r="C868" s="0" t="inlineStr">
        <is>
          <t>NULL</t>
        </is>
      </c>
      <c r="D868" s="0" t="inlineStr">
        <is>
          <t>NULL</t>
        </is>
      </c>
      <c r="E868" s="0" t="inlineStr">
        <is>
          <t>NULL</t>
        </is>
      </c>
      <c r="F868" s="0" t="inlineStr">
        <is>
          <t>NULL</t>
        </is>
      </c>
      <c r="G868" s="0" t="inlineStr">
        <is>
          <t>NULL</t>
        </is>
      </c>
      <c r="H868" s="0" t="inlineStr">
        <is>
          <t>NULL</t>
        </is>
      </c>
      <c r="I868" s="0" t="inlineStr">
        <is>
          <t>NULL</t>
        </is>
      </c>
      <c r="J868" s="0" t="inlineStr">
        <is>
          <t>NULL</t>
        </is>
      </c>
      <c r="K868" s="0" t="inlineStr">
        <is>
          <t>[0;32m YES! [0m 	 c_tinyint列源备映射正确，源端为sql_variant 0位	期望更改为VARCHAR(255)	实际备端为varchar 1020位	位数精度不存在，通过长度比较</t>
        </is>
      </c>
    </row>
    <row r="869">
      <c r="B869" s="0" t="inlineStr">
        <is>
          <t>NULL</t>
        </is>
      </c>
      <c r="C869" s="0" t="inlineStr">
        <is>
          <t>NULL</t>
        </is>
      </c>
      <c r="D869" s="0" t="inlineStr">
        <is>
          <t>NULL</t>
        </is>
      </c>
      <c r="E869" s="0" t="inlineStr">
        <is>
          <t>NULL</t>
        </is>
      </c>
      <c r="F869" s="0" t="inlineStr">
        <is>
          <t>NULL</t>
        </is>
      </c>
      <c r="G869" s="0" t="inlineStr">
        <is>
          <t>NULL</t>
        </is>
      </c>
      <c r="H869" s="0" t="inlineStr">
        <is>
          <t>NULL</t>
        </is>
      </c>
      <c r="I869" s="0" t="inlineStr">
        <is>
          <t>NULL</t>
        </is>
      </c>
      <c r="J869" s="0" t="inlineStr">
        <is>
          <t>NULL</t>
        </is>
      </c>
      <c r="K869" s="0" t="inlineStr">
        <is>
          <t>[0;32m YES! [0m 	 c_smallint列源备映射正确，源端为sql_variant 0位	期望更改为VARCHAR(255)	实际备端为varchar 1020位	位数精度不存在，通过长度比较</t>
        </is>
      </c>
    </row>
    <row r="870">
      <c r="B870" s="0" t="inlineStr">
        <is>
          <t>NULL</t>
        </is>
      </c>
      <c r="C870" s="0" t="inlineStr">
        <is>
          <t>NULL</t>
        </is>
      </c>
      <c r="D870" s="0" t="inlineStr">
        <is>
          <t>NULL</t>
        </is>
      </c>
      <c r="E870" s="0" t="inlineStr">
        <is>
          <t>NULL</t>
        </is>
      </c>
      <c r="F870" s="0" t="inlineStr">
        <is>
          <t>NULL</t>
        </is>
      </c>
      <c r="G870" s="0" t="inlineStr">
        <is>
          <t>NULL</t>
        </is>
      </c>
      <c r="H870" s="0" t="inlineStr">
        <is>
          <t>NULL</t>
        </is>
      </c>
      <c r="I870" s="0" t="inlineStr">
        <is>
          <t>NULL</t>
        </is>
      </c>
      <c r="J870" s="0" t="inlineStr">
        <is>
          <t>NULL</t>
        </is>
      </c>
      <c r="K870" s="0" t="inlineStr">
        <is>
          <t>[0;32m YES! [0m 	 c_int列源备映射正确，源端为sql_variant 0位	期望更改为VARCHAR(255)	实际备端为varchar 1020位	位数精度不存在，通过长度比较</t>
        </is>
      </c>
    </row>
    <row r="871">
      <c r="B871" s="0" t="inlineStr">
        <is>
          <t>NULL</t>
        </is>
      </c>
      <c r="C871" s="0" t="inlineStr">
        <is>
          <t>NULL</t>
        </is>
      </c>
      <c r="D871" s="0" t="inlineStr">
        <is>
          <t>NULL</t>
        </is>
      </c>
      <c r="E871" s="0" t="inlineStr">
        <is>
          <t>NULL</t>
        </is>
      </c>
      <c r="F871" s="0" t="inlineStr">
        <is>
          <t>NULL</t>
        </is>
      </c>
      <c r="G871" s="0" t="inlineStr">
        <is>
          <t>NULL</t>
        </is>
      </c>
      <c r="H871" s="0" t="inlineStr">
        <is>
          <t>NULL</t>
        </is>
      </c>
      <c r="I871" s="0" t="inlineStr">
        <is>
          <t>NULL</t>
        </is>
      </c>
      <c r="J871" s="0" t="inlineStr">
        <is>
          <t>NULL</t>
        </is>
      </c>
      <c r="K871" s="0" t="inlineStr">
        <is>
          <t>[0;32m YES! [0m 	 c_sdt列源备映射正确，源端为sql_variant 0位	期望更改为VARCHAR(255)	实际备端为varchar 1020位	位数精度不存在，通过长度比较</t>
        </is>
      </c>
    </row>
    <row r="872">
      <c r="B872" s="0" t="inlineStr">
        <is>
          <t>NULL</t>
        </is>
      </c>
      <c r="C872" s="0" t="inlineStr">
        <is>
          <t>NULL</t>
        </is>
      </c>
      <c r="D872" s="0" t="inlineStr">
        <is>
          <t>NULL</t>
        </is>
      </c>
      <c r="E872" s="0" t="inlineStr">
        <is>
          <t>NULL</t>
        </is>
      </c>
      <c r="F872" s="0" t="inlineStr">
        <is>
          <t>NULL</t>
        </is>
      </c>
      <c r="G872" s="0" t="inlineStr">
        <is>
          <t>NULL</t>
        </is>
      </c>
      <c r="H872" s="0" t="inlineStr">
        <is>
          <t>NULL</t>
        </is>
      </c>
      <c r="I872" s="0" t="inlineStr">
        <is>
          <t>NULL</t>
        </is>
      </c>
      <c r="J872" s="0" t="inlineStr">
        <is>
          <t>NULL</t>
        </is>
      </c>
      <c r="K872" s="0" t="inlineStr">
        <is>
          <t>[0;32m YES! [0m 	 c_real列源备映射正确，源端为sql_variant 0位	期望更改为VARCHAR(255)	实际备端为varchar 1020位	位数精度不存在，通过长度比较</t>
        </is>
      </c>
    </row>
    <row r="873">
      <c r="B873" s="0" t="inlineStr">
        <is>
          <t>NULL</t>
        </is>
      </c>
      <c r="C873" s="0" t="inlineStr">
        <is>
          <t>NULL</t>
        </is>
      </c>
      <c r="D873" s="0" t="inlineStr">
        <is>
          <t>NULL</t>
        </is>
      </c>
      <c r="E873" s="0" t="inlineStr">
        <is>
          <t>NULL</t>
        </is>
      </c>
      <c r="F873" s="0" t="inlineStr">
        <is>
          <t>NULL</t>
        </is>
      </c>
      <c r="G873" s="0" t="inlineStr">
        <is>
          <t>NULL</t>
        </is>
      </c>
      <c r="H873" s="0" t="inlineStr">
        <is>
          <t>NULL</t>
        </is>
      </c>
      <c r="I873" s="0" t="inlineStr">
        <is>
          <t>NULL</t>
        </is>
      </c>
      <c r="J873" s="0" t="inlineStr">
        <is>
          <t>NULL</t>
        </is>
      </c>
      <c r="K873" s="0" t="inlineStr">
        <is>
          <t>[0;32m YES! [0m 	 c_money列源备映射正确，源端为sql_variant 0位	期望更改为VARCHAR(255)	实际备端为varchar 1020位	位数精度不存在，通过长度比较</t>
        </is>
      </c>
    </row>
    <row r="874">
      <c r="B874" s="0" t="inlineStr">
        <is>
          <t>NULL</t>
        </is>
      </c>
      <c r="C874" s="0" t="inlineStr">
        <is>
          <t>NULL</t>
        </is>
      </c>
      <c r="D874" s="0" t="inlineStr">
        <is>
          <t>NULL</t>
        </is>
      </c>
      <c r="E874" s="0" t="inlineStr">
        <is>
          <t>NULL</t>
        </is>
      </c>
      <c r="F874" s="0" t="inlineStr">
        <is>
          <t>NULL</t>
        </is>
      </c>
      <c r="G874" s="0" t="inlineStr">
        <is>
          <t>NULL</t>
        </is>
      </c>
      <c r="H874" s="0" t="inlineStr">
        <is>
          <t>NULL</t>
        </is>
      </c>
      <c r="I874" s="0" t="inlineStr">
        <is>
          <t>NULL</t>
        </is>
      </c>
      <c r="J874" s="0" t="inlineStr">
        <is>
          <t>NULL</t>
        </is>
      </c>
      <c r="K874" s="0" t="inlineStr">
        <is>
          <t>[0;32m YES! [0m 	 c_datetime列源备映射正确，源端为sql_variant 0位	期望更改为VARCHAR(255)	实际备端为varchar 1020位	位数精度不存在，通过长度比较</t>
        </is>
      </c>
    </row>
    <row r="875">
      <c r="B875" s="0" t="inlineStr">
        <is>
          <t>NULL</t>
        </is>
      </c>
      <c r="C875" s="0" t="inlineStr">
        <is>
          <t>NULL</t>
        </is>
      </c>
      <c r="D875" s="0" t="inlineStr">
        <is>
          <t>NULL</t>
        </is>
      </c>
      <c r="E875" s="0" t="inlineStr">
        <is>
          <t>NULL</t>
        </is>
      </c>
      <c r="F875" s="0" t="inlineStr">
        <is>
          <t>NULL</t>
        </is>
      </c>
      <c r="G875" s="0" t="inlineStr">
        <is>
          <t>NULL</t>
        </is>
      </c>
      <c r="H875" s="0" t="inlineStr">
        <is>
          <t>NULL</t>
        </is>
      </c>
      <c r="I875" s="0" t="inlineStr">
        <is>
          <t>NULL</t>
        </is>
      </c>
      <c r="J875" s="0" t="inlineStr">
        <is>
          <t>NULL</t>
        </is>
      </c>
      <c r="K875" s="0" t="inlineStr">
        <is>
          <t>[0;32m YES! [0m 	 c_float列源备映射正确，源端为sql_variant 0位	期望更改为VARCHAR(255)	实际备端为varchar 1020位	位数精度不存在，通过长度比较</t>
        </is>
      </c>
    </row>
    <row r="876">
      <c r="B876" s="0" t="inlineStr">
        <is>
          <t>NULL</t>
        </is>
      </c>
      <c r="C876" s="0" t="inlineStr">
        <is>
          <t>NULL</t>
        </is>
      </c>
      <c r="D876" s="0" t="inlineStr">
        <is>
          <t>NULL</t>
        </is>
      </c>
      <c r="E876" s="0" t="inlineStr">
        <is>
          <t>NULL</t>
        </is>
      </c>
      <c r="F876" s="0" t="inlineStr">
        <is>
          <t>NULL</t>
        </is>
      </c>
      <c r="G876" s="0" t="inlineStr">
        <is>
          <t>NULL</t>
        </is>
      </c>
      <c r="H876" s="0" t="inlineStr">
        <is>
          <t>NULL</t>
        </is>
      </c>
      <c r="I876" s="0" t="inlineStr">
        <is>
          <t>NULL</t>
        </is>
      </c>
      <c r="J876" s="0" t="inlineStr">
        <is>
          <t>NULL</t>
        </is>
      </c>
      <c r="K876" s="0" t="inlineStr">
        <is>
          <t>[0;32m YES! [0m 	 c_bit列源备映射正确，源端为sql_variant 0位	期望更改为VARCHAR(255)	实际备端为varchar 1020位	位数精度不存在，通过长度比较</t>
        </is>
      </c>
    </row>
    <row r="877">
      <c r="B877" s="0" t="inlineStr">
        <is>
          <t>NULL</t>
        </is>
      </c>
      <c r="C877" s="0" t="inlineStr">
        <is>
          <t>NULL</t>
        </is>
      </c>
      <c r="D877" s="0" t="inlineStr">
        <is>
          <t>NULL</t>
        </is>
      </c>
      <c r="E877" s="0" t="inlineStr">
        <is>
          <t>NULL</t>
        </is>
      </c>
      <c r="F877" s="0" t="inlineStr">
        <is>
          <t>NULL</t>
        </is>
      </c>
      <c r="G877" s="0" t="inlineStr">
        <is>
          <t>NULL</t>
        </is>
      </c>
      <c r="H877" s="0" t="inlineStr">
        <is>
          <t>NULL</t>
        </is>
      </c>
      <c r="I877" s="0" t="inlineStr">
        <is>
          <t>NULL</t>
        </is>
      </c>
      <c r="J877" s="0" t="inlineStr">
        <is>
          <t>NULL</t>
        </is>
      </c>
      <c r="K877" s="0" t="inlineStr">
        <is>
          <t>[0;32m YES! [0m 	 c_decimal列源备映射正确，源端为sql_variant 0位	期望更改为VARCHAR(255)	实际备端为varchar 1020位	位数精度不存在，通过长度比较</t>
        </is>
      </c>
    </row>
    <row r="878">
      <c r="B878" s="0" t="inlineStr">
        <is>
          <t>NULL</t>
        </is>
      </c>
      <c r="C878" s="0" t="inlineStr">
        <is>
          <t>NULL</t>
        </is>
      </c>
      <c r="D878" s="0" t="inlineStr">
        <is>
          <t>NULL</t>
        </is>
      </c>
      <c r="E878" s="0" t="inlineStr">
        <is>
          <t>NULL</t>
        </is>
      </c>
      <c r="F878" s="0" t="inlineStr">
        <is>
          <t>NULL</t>
        </is>
      </c>
      <c r="G878" s="0" t="inlineStr">
        <is>
          <t>NULL</t>
        </is>
      </c>
      <c r="H878" s="0" t="inlineStr">
        <is>
          <t>NULL</t>
        </is>
      </c>
      <c r="I878" s="0" t="inlineStr">
        <is>
          <t>NULL</t>
        </is>
      </c>
      <c r="J878" s="0" t="inlineStr">
        <is>
          <t>NULL</t>
        </is>
      </c>
      <c r="K878" s="0" t="inlineStr">
        <is>
          <t>[0;32m YES! [0m 	 c_uniqueidentifier列源备映射正确，源端为sql_variant 0位	期望更改为VARCHAR(255)	实际备端为varchar 1020位	位数精度不存在，通过长度比较</t>
        </is>
      </c>
    </row>
    <row r="879">
      <c r="B879" s="0" t="inlineStr">
        <is>
          <t>NULL</t>
        </is>
      </c>
      <c r="C879" s="0" t="inlineStr">
        <is>
          <t>NULL</t>
        </is>
      </c>
      <c r="D879" s="0" t="inlineStr">
        <is>
          <t>NULL</t>
        </is>
      </c>
      <c r="E879" s="0" t="inlineStr">
        <is>
          <t>NULL</t>
        </is>
      </c>
      <c r="F879" s="0" t="inlineStr">
        <is>
          <t>NULL</t>
        </is>
      </c>
      <c r="G879" s="0" t="inlineStr">
        <is>
          <t>NULL</t>
        </is>
      </c>
      <c r="H879" s="0" t="inlineStr">
        <is>
          <t>NULL</t>
        </is>
      </c>
      <c r="I879" s="0" t="inlineStr">
        <is>
          <t>NULL</t>
        </is>
      </c>
      <c r="J879" s="0" t="inlineStr">
        <is>
          <t>NULL</t>
        </is>
      </c>
      <c r="K879" s="0" t="inlineStr">
        <is>
          <t>[0;32m YES! [0m 	 c_smallmoney列源备映射正确，源端为sql_variant 0位	期望更改为VARCHAR(255)	实际备端为varchar 1020位	位数精度不存在，通过长度比较</t>
        </is>
      </c>
    </row>
    <row r="880">
      <c r="B880" s="0" t="inlineStr">
        <is>
          <t>NULL</t>
        </is>
      </c>
      <c r="C880" s="0" t="inlineStr">
        <is>
          <t>NULL</t>
        </is>
      </c>
      <c r="D880" s="0" t="inlineStr">
        <is>
          <t>NULL</t>
        </is>
      </c>
      <c r="E880" s="0" t="inlineStr">
        <is>
          <t>NULL</t>
        </is>
      </c>
      <c r="F880" s="0" t="inlineStr">
        <is>
          <t>NULL</t>
        </is>
      </c>
      <c r="G880" s="0" t="inlineStr">
        <is>
          <t>NULL</t>
        </is>
      </c>
      <c r="H880" s="0" t="inlineStr">
        <is>
          <t>NULL</t>
        </is>
      </c>
      <c r="I880" s="0" t="inlineStr">
        <is>
          <t>NULL</t>
        </is>
      </c>
      <c r="J880" s="0" t="inlineStr">
        <is>
          <t>NULL</t>
        </is>
      </c>
      <c r="K880" s="0" t="inlineStr">
        <is>
          <t>[0;32m YES! [0m 	 c_bigint列源备映射正确，源端为sql_variant 0位	期望更改为VARCHAR(255)	实际备端为varchar 1020位	位数精度不存在，通过长度比较</t>
        </is>
      </c>
    </row>
    <row r="881">
      <c r="B881" s="0" t="inlineStr">
        <is>
          <t>NULL</t>
        </is>
      </c>
      <c r="C881" s="0" t="inlineStr">
        <is>
          <t>NULL</t>
        </is>
      </c>
      <c r="D881" s="0" t="inlineStr">
        <is>
          <t>NULL</t>
        </is>
      </c>
      <c r="E881" s="0" t="inlineStr">
        <is>
          <t>NULL</t>
        </is>
      </c>
      <c r="F881" s="0" t="inlineStr">
        <is>
          <t>NULL</t>
        </is>
      </c>
      <c r="G881" s="0" t="inlineStr">
        <is>
          <t>NULL</t>
        </is>
      </c>
      <c r="H881" s="0" t="inlineStr">
        <is>
          <t>NULL</t>
        </is>
      </c>
      <c r="I881" s="0" t="inlineStr">
        <is>
          <t>NULL</t>
        </is>
      </c>
      <c r="J881" s="0" t="inlineStr">
        <is>
          <t>NULL</t>
        </is>
      </c>
      <c r="K881" s="0" t="inlineStr">
        <is>
          <t>[0;32m YES! [0m 	 c_varbinary_20列源备映射正确，源端为sql_variant 0位	期望更改为VARCHAR(255)	实际备端为varchar 1020位	位数精度不存在，通过长度比较</t>
        </is>
      </c>
    </row>
    <row r="882">
      <c r="B882" s="0" t="inlineStr">
        <is>
          <t>NULL</t>
        </is>
      </c>
      <c r="C882" s="0" t="inlineStr">
        <is>
          <t>NULL</t>
        </is>
      </c>
      <c r="D882" s="0" t="inlineStr">
        <is>
          <t>NULL</t>
        </is>
      </c>
      <c r="E882" s="0" t="inlineStr">
        <is>
          <t>NULL</t>
        </is>
      </c>
      <c r="F882" s="0" t="inlineStr">
        <is>
          <t>NULL</t>
        </is>
      </c>
      <c r="G882" s="0" t="inlineStr">
        <is>
          <t>NULL</t>
        </is>
      </c>
      <c r="H882" s="0" t="inlineStr">
        <is>
          <t>NULL</t>
        </is>
      </c>
      <c r="I882" s="0" t="inlineStr">
        <is>
          <t>NULL</t>
        </is>
      </c>
      <c r="J882" s="0" t="inlineStr">
        <is>
          <t>NULL</t>
        </is>
      </c>
      <c r="K882" s="0" t="inlineStr">
        <is>
          <t>[0;32m YES! [0m 	 c_varchar_20列源备映射正确，源端为sql_variant 0位	期望更改为VARCHAR(255)	实际备端为varchar 1020位	位数精度不存在，通过长度比较</t>
        </is>
      </c>
    </row>
    <row r="883">
      <c r="B883" s="0" t="inlineStr">
        <is>
          <t>NULL</t>
        </is>
      </c>
      <c r="C883" s="0" t="inlineStr">
        <is>
          <t>NULL</t>
        </is>
      </c>
      <c r="D883" s="0" t="inlineStr">
        <is>
          <t>NULL</t>
        </is>
      </c>
      <c r="E883" s="0" t="inlineStr">
        <is>
          <t>NULL</t>
        </is>
      </c>
      <c r="F883" s="0" t="inlineStr">
        <is>
          <t>NULL</t>
        </is>
      </c>
      <c r="G883" s="0" t="inlineStr">
        <is>
          <t>NULL</t>
        </is>
      </c>
      <c r="H883" s="0" t="inlineStr">
        <is>
          <t>NULL</t>
        </is>
      </c>
      <c r="I883" s="0" t="inlineStr">
        <is>
          <t>NULL</t>
        </is>
      </c>
      <c r="J883" s="0" t="inlineStr">
        <is>
          <t>NULL</t>
        </is>
      </c>
      <c r="K883" s="0" t="inlineStr">
        <is>
          <t>[0;32m YES! [0m 	 c_binary_20列源备映射正确，源端为sql_variant 0位	期望更改为VARCHAR(255)	实际备端为varchar 1020位	位数精度不存在，通过长度比较</t>
        </is>
      </c>
    </row>
    <row r="884">
      <c r="B884" s="0" t="inlineStr">
        <is>
          <t>NULL</t>
        </is>
      </c>
      <c r="C884" s="0" t="inlineStr">
        <is>
          <t>NULL</t>
        </is>
      </c>
      <c r="D884" s="0" t="inlineStr">
        <is>
          <t>NULL</t>
        </is>
      </c>
      <c r="E884" s="0" t="inlineStr">
        <is>
          <t>NULL</t>
        </is>
      </c>
      <c r="F884" s="0" t="inlineStr">
        <is>
          <t>NULL</t>
        </is>
      </c>
      <c r="G884" s="0" t="inlineStr">
        <is>
          <t>NULL</t>
        </is>
      </c>
      <c r="H884" s="0" t="inlineStr">
        <is>
          <t>NULL</t>
        </is>
      </c>
      <c r="I884" s="0" t="inlineStr">
        <is>
          <t>NULL</t>
        </is>
      </c>
      <c r="J884" s="0" t="inlineStr">
        <is>
          <t>NULL</t>
        </is>
      </c>
      <c r="K884" s="0" t="inlineStr">
        <is>
          <t>[0;32m YES! [0m 	 c_char_20列源备映射正确，源端为sql_variant 0位	期望更改为VARCHAR(255)	实际备端为varchar 1020位	位数精度不存在，通过长度比较</t>
        </is>
      </c>
    </row>
    <row r="885">
      <c r="B885" s="0" t="inlineStr">
        <is>
          <t>NULL</t>
        </is>
      </c>
      <c r="C885" s="0" t="inlineStr">
        <is>
          <t>NULL</t>
        </is>
      </c>
      <c r="D885" s="0" t="inlineStr">
        <is>
          <t>NULL</t>
        </is>
      </c>
      <c r="E885" s="0" t="inlineStr">
        <is>
          <t>NULL</t>
        </is>
      </c>
      <c r="F885" s="0" t="inlineStr">
        <is>
          <t>NULL</t>
        </is>
      </c>
      <c r="G885" s="0" t="inlineStr">
        <is>
          <t>NULL</t>
        </is>
      </c>
      <c r="H885" s="0" t="inlineStr">
        <is>
          <t>NULL</t>
        </is>
      </c>
      <c r="I885" s="0" t="inlineStr">
        <is>
          <t>NULL</t>
        </is>
      </c>
      <c r="J885" s="0" t="inlineStr">
        <is>
          <t>NULL</t>
        </is>
      </c>
      <c r="K885" s="0" t="inlineStr">
        <is>
          <t>[0;32m YES! [0m 	 c_nvarchar_20列源备映射正确，源端为sql_variant 0位	期望更改为VARCHAR(255)	实际备端为varchar 1020位	位数精度不存在，通过长度比较</t>
        </is>
      </c>
    </row>
    <row r="886">
      <c r="B886" s="0" t="inlineStr">
        <is>
          <t>NULL</t>
        </is>
      </c>
      <c r="C886" s="0" t="inlineStr">
        <is>
          <t>NULL</t>
        </is>
      </c>
      <c r="D886" s="0" t="inlineStr">
        <is>
          <t>NULL</t>
        </is>
      </c>
      <c r="E886" s="0" t="inlineStr">
        <is>
          <t>NULL</t>
        </is>
      </c>
      <c r="F886" s="0" t="inlineStr">
        <is>
          <t>NULL</t>
        </is>
      </c>
      <c r="G886" s="0" t="inlineStr">
        <is>
          <t>NULL</t>
        </is>
      </c>
      <c r="H886" s="0" t="inlineStr">
        <is>
          <t>NULL</t>
        </is>
      </c>
      <c r="I886" s="0" t="inlineStr">
        <is>
          <t>NULL</t>
        </is>
      </c>
      <c r="J886" s="0" t="inlineStr">
        <is>
          <t>NULL</t>
        </is>
      </c>
      <c r="K886" s="0" t="inlineStr">
        <is>
          <t>[0;32m YES! [0m 	 c_nchar_20列源备映射正确，源端为sql_variant 0位	期望更改为VARCHAR(255)	实际备端为varchar 1020位	位数精度不存在，通过长度比较</t>
        </is>
      </c>
    </row>
    <row r="887">
      <c r="B887" s="0" t="inlineStr">
        <is>
          <t>NULL</t>
        </is>
      </c>
      <c r="C887" s="0" t="inlineStr">
        <is>
          <t>NULL</t>
        </is>
      </c>
      <c r="D887" s="0" t="inlineStr">
        <is>
          <t>NULL</t>
        </is>
      </c>
      <c r="E887" s="0" t="inlineStr">
        <is>
          <t>NULL</t>
        </is>
      </c>
      <c r="F887" s="0" t="inlineStr">
        <is>
          <t>NULL</t>
        </is>
      </c>
      <c r="G887" s="0" t="inlineStr">
        <is>
          <t>NULL</t>
        </is>
      </c>
      <c r="H887" s="0" t="inlineStr">
        <is>
          <t>NULL</t>
        </is>
      </c>
      <c r="I887" s="0" t="inlineStr">
        <is>
          <t>NULL</t>
        </is>
      </c>
      <c r="J887" s="0" t="inlineStr">
        <is>
          <t>NULL</t>
        </is>
      </c>
      <c r="K887" s="0" t="inlineStr">
        <is>
          <t>[0;32m YES! [0m 	 c_timestamp列源备映射正确，源端为timestamp None位	期望更改为binary(8)	实际备端为binary 8位	位数精度不存在，通过长度比较</t>
        </is>
      </c>
    </row>
    <row r="888">
      <c r="A888" s="0" t="inlineStr">
        <is>
          <t>info_datetime_dml_batch1_pk</t>
        </is>
      </c>
      <c r="K888" s="0" t="inlineStr">
        <is>
          <t>[0;34m info_datetime_dml_batch1_pk [0m源备字段数相同，源端字段：2 	备端字段2</t>
        </is>
      </c>
      <c r="W888" s="0" t="inlineStr">
        <is>
          <t>YES 源备无差异</t>
        </is>
      </c>
      <c r="X888" s="0">
        <f>A888</f>
        <v/>
      </c>
    </row>
    <row r="889">
      <c r="B889" s="0" t="inlineStr">
        <is>
          <t>YES</t>
        </is>
      </c>
      <c r="C889" s="0" t="inlineStr">
        <is>
          <t>NULL</t>
        </is>
      </c>
      <c r="D889" s="0" t="inlineStr">
        <is>
          <t>NULL</t>
        </is>
      </c>
      <c r="E889" s="0" t="inlineStr">
        <is>
          <t>NULL</t>
        </is>
      </c>
      <c r="F889" s="0" t="inlineStr">
        <is>
          <t>NULL</t>
        </is>
      </c>
      <c r="G889" s="0" t="inlineStr">
        <is>
          <t>NULL</t>
        </is>
      </c>
      <c r="H889" s="0" t="inlineStr">
        <is>
          <t>NULL</t>
        </is>
      </c>
      <c r="I889" s="0" t="inlineStr">
        <is>
          <t>YES!PK__info_dat__3213E83FF22C8314</t>
        </is>
      </c>
      <c r="J889" s="0" t="inlineStr">
        <is>
          <t>YES! 主键相关索引</t>
        </is>
      </c>
      <c r="K889" s="0" t="inlineStr">
        <is>
          <t>YES! 	 id列源备映射正确，源端为int None位	期望更改为int	实际备端为int None位</t>
        </is>
      </c>
    </row>
    <row r="890">
      <c r="B890" s="0" t="inlineStr">
        <is>
          <t>NULL</t>
        </is>
      </c>
      <c r="C890" s="0" t="inlineStr">
        <is>
          <t>NULL</t>
        </is>
      </c>
      <c r="D890" s="0" t="inlineStr">
        <is>
          <t>NULL</t>
        </is>
      </c>
      <c r="E890" s="0" t="inlineStr">
        <is>
          <t>NULL</t>
        </is>
      </c>
      <c r="F890" s="0" t="inlineStr">
        <is>
          <t>NULL</t>
        </is>
      </c>
      <c r="G890" s="0" t="inlineStr">
        <is>
          <t>NULL</t>
        </is>
      </c>
      <c r="H890" s="0" t="inlineStr">
        <is>
          <t>NULL</t>
        </is>
      </c>
      <c r="I890" s="0" t="inlineStr">
        <is>
          <t>NULL</t>
        </is>
      </c>
      <c r="J890" s="0" t="inlineStr">
        <is>
          <t>NULL</t>
        </is>
      </c>
      <c r="K890" s="0" t="inlineStr">
        <is>
          <t>YES! 	 c_datetime列源备映射正确，源端为datetime None位	期望更改为datetime(3)	实际备端为datetime None位</t>
        </is>
      </c>
    </row>
    <row r="891">
      <c r="A891" s="0" t="inlineStr">
        <is>
          <t>info_nchar_dml_batch1_pk_urp1</t>
        </is>
      </c>
      <c r="K891" s="0" t="inlineStr">
        <is>
          <t>[0;34m info_nchar_dml_batch1_pk_urp1 [0m源备字段数相同，源端字段：4 	备端字段4</t>
        </is>
      </c>
      <c r="W891" s="15">
        <f>HYPERLINK("#2026051816mysql2!BO2","NO 源备存在差异，共16个")</f>
        <v/>
      </c>
      <c r="X891" s="0">
        <f>A891</f>
        <v/>
      </c>
    </row>
    <row r="892">
      <c r="B892" s="0" t="inlineStr">
        <is>
          <t>YES</t>
        </is>
      </c>
      <c r="C892" s="0" t="inlineStr">
        <is>
          <t>NULL</t>
        </is>
      </c>
      <c r="D892" s="0" t="inlineStr">
        <is>
          <t>NULL</t>
        </is>
      </c>
      <c r="E892" s="0" t="inlineStr">
        <is>
          <t>NULL</t>
        </is>
      </c>
      <c r="F892" s="0" t="inlineStr">
        <is>
          <t>NULL</t>
        </is>
      </c>
      <c r="G892" s="0" t="inlineStr">
        <is>
          <t>NULL</t>
        </is>
      </c>
      <c r="H892" s="0" t="inlineStr">
        <is>
          <t>NULL</t>
        </is>
      </c>
      <c r="I892" s="0" t="inlineStr">
        <is>
          <t>YES!PK__info_nch__3213E83F7342E96E</t>
        </is>
      </c>
      <c r="J892" s="0" t="inlineStr">
        <is>
          <t>YES! 主键相关索引</t>
        </is>
      </c>
      <c r="K892" s="0" t="inlineStr">
        <is>
          <t>YES! 	 id列源备映射正确，源端为int None位	期望更改为int	实际备端为int None位</t>
        </is>
      </c>
    </row>
    <row r="893">
      <c r="B893" s="0" t="inlineStr">
        <is>
          <t>NULL</t>
        </is>
      </c>
      <c r="C893" s="0" t="inlineStr">
        <is>
          <t>NULL</t>
        </is>
      </c>
      <c r="D893" s="0" t="inlineStr">
        <is>
          <t>NULL</t>
        </is>
      </c>
      <c r="E893" s="0" t="inlineStr">
        <is>
          <t>NULL</t>
        </is>
      </c>
      <c r="F893" s="0" t="inlineStr">
        <is>
          <t>NULL</t>
        </is>
      </c>
      <c r="G893" s="0" t="inlineStr">
        <is>
          <t>NULL</t>
        </is>
      </c>
      <c r="H893" s="0" t="inlineStr">
        <is>
          <t>NULL</t>
        </is>
      </c>
      <c r="I893" s="0" t="inlineStr">
        <is>
          <t>NULL</t>
        </is>
      </c>
      <c r="J893" s="0" t="inlineStr">
        <is>
          <t>NULL</t>
        </is>
      </c>
      <c r="K893" s="0" t="inlineStr">
        <is>
          <t>YES! 	 c_nchar列源备映射正确，源端为nchar 2位	期望更改为char(n)	实际备端为char 4位</t>
        </is>
      </c>
    </row>
    <row r="894">
      <c r="B894" s="0" t="inlineStr">
        <is>
          <t>NULL</t>
        </is>
      </c>
      <c r="C894" s="0" t="inlineStr">
        <is>
          <t>NULL</t>
        </is>
      </c>
      <c r="D894" s="0" t="inlineStr">
        <is>
          <t>NULL</t>
        </is>
      </c>
      <c r="E894" s="0" t="inlineStr">
        <is>
          <t>NULL</t>
        </is>
      </c>
      <c r="F894" s="0" t="inlineStr">
        <is>
          <t>NULL</t>
        </is>
      </c>
      <c r="G894" s="0" t="inlineStr">
        <is>
          <t>NULL</t>
        </is>
      </c>
      <c r="H894" s="0" t="inlineStr">
        <is>
          <t>NULL</t>
        </is>
      </c>
      <c r="I894" s="0" t="inlineStr">
        <is>
          <t>NULL</t>
        </is>
      </c>
      <c r="J894" s="0" t="inlineStr">
        <is>
          <t>NULL</t>
        </is>
      </c>
      <c r="K894" s="0" t="inlineStr">
        <is>
          <t>YES! 	 c_nchar20列源备映射正确，源端为nchar 40位	期望更改为char(n)	实际备端为char 80位</t>
        </is>
      </c>
    </row>
    <row r="895">
      <c r="B895" s="0" t="inlineStr">
        <is>
          <t>NULL</t>
        </is>
      </c>
      <c r="C895" s="0" t="inlineStr">
        <is>
          <t>NULL</t>
        </is>
      </c>
      <c r="D895" s="0" t="inlineStr">
        <is>
          <t>NULL</t>
        </is>
      </c>
      <c r="E895" s="0" t="inlineStr">
        <is>
          <t>NULL</t>
        </is>
      </c>
      <c r="F895" s="0" t="inlineStr">
        <is>
          <t>NULL</t>
        </is>
      </c>
      <c r="G895" s="0" t="inlineStr">
        <is>
          <t>NULL</t>
        </is>
      </c>
      <c r="H895" s="0" t="inlineStr">
        <is>
          <t>NULL</t>
        </is>
      </c>
      <c r="I895" s="0" t="inlineStr">
        <is>
          <t>NULL</t>
        </is>
      </c>
      <c r="J895" s="0" t="inlineStr">
        <is>
          <t>NULL</t>
        </is>
      </c>
      <c r="K895" s="0" t="inlineStr">
        <is>
          <t xml:space="preserve"> NO!  	 c_nchar3500列源备映射错误，源端为nchar 7000位	期望更改为varchar(n)	实际备端为text 65535位</t>
        </is>
      </c>
    </row>
    <row r="896">
      <c r="A896" s="0" t="inlineStr">
        <is>
          <t>info_varcharmax_dml_single_nopk_urp</t>
        </is>
      </c>
      <c r="K896" s="0" t="inlineStr">
        <is>
          <t>[0;34m info_varcharmax_dml_single_nopk_urp [0m源备字段数相同，源端字段：3 	备端字段3</t>
        </is>
      </c>
      <c r="W896" s="0" t="inlineStr">
        <is>
          <t>YES 源备无差异</t>
        </is>
      </c>
      <c r="X896" s="0">
        <f>A896</f>
        <v/>
      </c>
    </row>
    <row r="897">
      <c r="B897" s="0" t="inlineStr">
        <is>
          <t>NULL</t>
        </is>
      </c>
      <c r="C897" s="0" t="inlineStr">
        <is>
          <t>NULL</t>
        </is>
      </c>
      <c r="D897" s="0" t="inlineStr">
        <is>
          <t>NULL</t>
        </is>
      </c>
      <c r="E897" s="0" t="inlineStr">
        <is>
          <t>NULL</t>
        </is>
      </c>
      <c r="F897" s="0" t="inlineStr">
        <is>
          <t>NULL</t>
        </is>
      </c>
      <c r="G897" s="0" t="inlineStr">
        <is>
          <t>NULL</t>
        </is>
      </c>
      <c r="H897" s="0" t="inlineStr">
        <is>
          <t>NULL</t>
        </is>
      </c>
      <c r="I897" s="0" t="inlineStr">
        <is>
          <t>NULL</t>
        </is>
      </c>
      <c r="J897" s="0" t="inlineStr">
        <is>
          <t>NULL</t>
        </is>
      </c>
      <c r="K897" s="0" t="inlineStr">
        <is>
          <t>YES! 	 id列源备映射正确，源端为int None位	期望更改为int	实际备端为int None位</t>
        </is>
      </c>
    </row>
    <row r="898">
      <c r="B898" s="0" t="inlineStr">
        <is>
          <t>NULL</t>
        </is>
      </c>
      <c r="C898" s="0" t="inlineStr">
        <is>
          <t>NULL</t>
        </is>
      </c>
      <c r="D898" s="0" t="inlineStr">
        <is>
          <t>NULL</t>
        </is>
      </c>
      <c r="E898" s="0" t="inlineStr">
        <is>
          <t>NULL</t>
        </is>
      </c>
      <c r="F898" s="0" t="inlineStr">
        <is>
          <t>NULL</t>
        </is>
      </c>
      <c r="G898" s="0" t="inlineStr">
        <is>
          <t>NULL</t>
        </is>
      </c>
      <c r="H898" s="0" t="inlineStr">
        <is>
          <t>NULL</t>
        </is>
      </c>
      <c r="I898" s="0" t="inlineStr">
        <is>
          <t>NULL</t>
        </is>
      </c>
      <c r="J898" s="0" t="inlineStr">
        <is>
          <t>NULL</t>
        </is>
      </c>
      <c r="K898" s="0" t="inlineStr">
        <is>
          <t>YES! 	 c_varchar_max列源备映射正确，源端为varchar -1位	期望更改为longtext	实际备端为longtext 4294967295位</t>
        </is>
      </c>
    </row>
    <row r="899">
      <c r="B899" s="0" t="inlineStr">
        <is>
          <t>NULL</t>
        </is>
      </c>
      <c r="C899" s="0" t="inlineStr">
        <is>
          <t>NULL</t>
        </is>
      </c>
      <c r="D899" s="0" t="inlineStr">
        <is>
          <t>NULL</t>
        </is>
      </c>
      <c r="E899" s="0" t="inlineStr">
        <is>
          <t>NULL</t>
        </is>
      </c>
      <c r="F899" s="0" t="inlineStr">
        <is>
          <t>NULL</t>
        </is>
      </c>
      <c r="G899" s="0" t="inlineStr">
        <is>
          <t>NULL</t>
        </is>
      </c>
      <c r="H899" s="0" t="inlineStr">
        <is>
          <t>NULL</t>
        </is>
      </c>
      <c r="I899" s="0" t="inlineStr">
        <is>
          <t>NULL</t>
        </is>
      </c>
      <c r="J899" s="0" t="inlineStr">
        <is>
          <t>NULL</t>
        </is>
      </c>
      <c r="K899" s="0" t="inlineStr">
        <is>
          <t>YES! 	 c_nvarchar_max列源备映射正确，源端为nvarchar -1位	期望更改为longtext	实际备端为longtext 4294967295位</t>
        </is>
      </c>
    </row>
    <row r="900">
      <c r="A900" s="0" t="inlineStr">
        <is>
          <t>info_time_dml_single_pk_irp</t>
        </is>
      </c>
      <c r="K900" s="0" t="inlineStr">
        <is>
          <t>[0;34m info_time_dml_single_pk_irp [0m源备字段数相同，源端字段：9 	备端字段9</t>
        </is>
      </c>
      <c r="W900" s="0" t="inlineStr">
        <is>
          <t>YES 源备无差异</t>
        </is>
      </c>
      <c r="X900" s="0">
        <f>A900</f>
        <v/>
      </c>
    </row>
    <row r="901">
      <c r="B901" s="0" t="inlineStr">
        <is>
          <t>YES</t>
        </is>
      </c>
      <c r="C901" s="0" t="inlineStr">
        <is>
          <t>NULL</t>
        </is>
      </c>
      <c r="D901" s="0" t="inlineStr">
        <is>
          <t>NULL</t>
        </is>
      </c>
      <c r="E901" s="0" t="inlineStr">
        <is>
          <t>NULL</t>
        </is>
      </c>
      <c r="F901" s="0" t="inlineStr">
        <is>
          <t>NULL</t>
        </is>
      </c>
      <c r="G901" s="0" t="inlineStr">
        <is>
          <t>NULL</t>
        </is>
      </c>
      <c r="H901" s="0" t="inlineStr">
        <is>
          <t>NULL</t>
        </is>
      </c>
      <c r="I901" s="0" t="inlineStr">
        <is>
          <t>YES!PK__info_tim__3213E83F20F79211</t>
        </is>
      </c>
      <c r="J901" s="0" t="inlineStr">
        <is>
          <t>YES! 主键相关索引</t>
        </is>
      </c>
      <c r="K901" s="0" t="inlineStr">
        <is>
          <t>YES! 	 id列源备映射正确，源端为int None位	期望更改为int	实际备端为int None位</t>
        </is>
      </c>
    </row>
    <row r="902">
      <c r="B902" s="0" t="inlineStr">
        <is>
          <t>NULL</t>
        </is>
      </c>
      <c r="C902" s="0" t="inlineStr">
        <is>
          <t>NULL</t>
        </is>
      </c>
      <c r="D902" s="0" t="inlineStr">
        <is>
          <t>NULL</t>
        </is>
      </c>
      <c r="E902" s="0" t="inlineStr">
        <is>
          <t>NULL</t>
        </is>
      </c>
      <c r="F902" s="0" t="inlineStr">
        <is>
          <t>NULL</t>
        </is>
      </c>
      <c r="G902" s="0" t="inlineStr">
        <is>
          <t>NULL</t>
        </is>
      </c>
      <c r="H902" s="0" t="inlineStr">
        <is>
          <t>NULL</t>
        </is>
      </c>
      <c r="I902" s="0" t="inlineStr">
        <is>
          <t>NULL</t>
        </is>
      </c>
      <c r="J902" s="0" t="inlineStr">
        <is>
          <t>NULL</t>
        </is>
      </c>
      <c r="K902" s="0" t="inlineStr">
        <is>
          <t>[0;32m YES! [0m 	 c_time0列源备映射正确，源端为time None位	期望更改为varchar(20)	实际备端为varchar 80位	位数精度不存在，通过长度比较</t>
        </is>
      </c>
    </row>
    <row r="903">
      <c r="B903" s="0" t="inlineStr">
        <is>
          <t>NULL</t>
        </is>
      </c>
      <c r="C903" s="0" t="inlineStr">
        <is>
          <t>NULL</t>
        </is>
      </c>
      <c r="D903" s="0" t="inlineStr">
        <is>
          <t>NULL</t>
        </is>
      </c>
      <c r="E903" s="0" t="inlineStr">
        <is>
          <t>NULL</t>
        </is>
      </c>
      <c r="F903" s="0" t="inlineStr">
        <is>
          <t>NULL</t>
        </is>
      </c>
      <c r="G903" s="0" t="inlineStr">
        <is>
          <t>NULL</t>
        </is>
      </c>
      <c r="H903" s="0" t="inlineStr">
        <is>
          <t>NULL</t>
        </is>
      </c>
      <c r="I903" s="0" t="inlineStr">
        <is>
          <t>NULL</t>
        </is>
      </c>
      <c r="J903" s="0" t="inlineStr">
        <is>
          <t>NULL</t>
        </is>
      </c>
      <c r="K903" s="0" t="inlineStr">
        <is>
          <t>[0;32m YES! [0m 	 c_time1列源备映射正确，源端为time None位	期望更改为varchar(20)	实际备端为varchar 80位	位数精度不存在，通过长度比较</t>
        </is>
      </c>
    </row>
    <row r="904">
      <c r="B904" s="0" t="inlineStr">
        <is>
          <t>NULL</t>
        </is>
      </c>
      <c r="C904" s="0" t="inlineStr">
        <is>
          <t>NULL</t>
        </is>
      </c>
      <c r="D904" s="0" t="inlineStr">
        <is>
          <t>NULL</t>
        </is>
      </c>
      <c r="E904" s="0" t="inlineStr">
        <is>
          <t>NULL</t>
        </is>
      </c>
      <c r="F904" s="0" t="inlineStr">
        <is>
          <t>NULL</t>
        </is>
      </c>
      <c r="G904" s="0" t="inlineStr">
        <is>
          <t>NULL</t>
        </is>
      </c>
      <c r="H904" s="0" t="inlineStr">
        <is>
          <t>NULL</t>
        </is>
      </c>
      <c r="I904" s="0" t="inlineStr">
        <is>
          <t>NULL</t>
        </is>
      </c>
      <c r="J904" s="0" t="inlineStr">
        <is>
          <t>NULL</t>
        </is>
      </c>
      <c r="K904" s="0" t="inlineStr">
        <is>
          <t>[0;32m YES! [0m 	 c_time2列源备映射正确，源端为time None位	期望更改为varchar(20)	实际备端为varchar 80位	位数精度不存在，通过长度比较</t>
        </is>
      </c>
    </row>
    <row r="905">
      <c r="B905" s="0" t="inlineStr">
        <is>
          <t>NULL</t>
        </is>
      </c>
      <c r="C905" s="0" t="inlineStr">
        <is>
          <t>NULL</t>
        </is>
      </c>
      <c r="D905" s="0" t="inlineStr">
        <is>
          <t>NULL</t>
        </is>
      </c>
      <c r="E905" s="0" t="inlineStr">
        <is>
          <t>NULL</t>
        </is>
      </c>
      <c r="F905" s="0" t="inlineStr">
        <is>
          <t>NULL</t>
        </is>
      </c>
      <c r="G905" s="0" t="inlineStr">
        <is>
          <t>NULL</t>
        </is>
      </c>
      <c r="H905" s="0" t="inlineStr">
        <is>
          <t>NULL</t>
        </is>
      </c>
      <c r="I905" s="0" t="inlineStr">
        <is>
          <t>NULL</t>
        </is>
      </c>
      <c r="J905" s="0" t="inlineStr">
        <is>
          <t>NULL</t>
        </is>
      </c>
      <c r="K905" s="0" t="inlineStr">
        <is>
          <t>[0;32m YES! [0m 	 c_time3列源备映射正确，源端为time None位	期望更改为varchar(20)	实际备端为varchar 80位	位数精度不存在，通过长度比较</t>
        </is>
      </c>
    </row>
    <row r="906">
      <c r="B906" s="0" t="inlineStr">
        <is>
          <t>NULL</t>
        </is>
      </c>
      <c r="C906" s="0" t="inlineStr">
        <is>
          <t>NULL</t>
        </is>
      </c>
      <c r="D906" s="0" t="inlineStr">
        <is>
          <t>NULL</t>
        </is>
      </c>
      <c r="E906" s="0" t="inlineStr">
        <is>
          <t>NULL</t>
        </is>
      </c>
      <c r="F906" s="0" t="inlineStr">
        <is>
          <t>NULL</t>
        </is>
      </c>
      <c r="G906" s="0" t="inlineStr">
        <is>
          <t>NULL</t>
        </is>
      </c>
      <c r="H906" s="0" t="inlineStr">
        <is>
          <t>NULL</t>
        </is>
      </c>
      <c r="I906" s="0" t="inlineStr">
        <is>
          <t>NULL</t>
        </is>
      </c>
      <c r="J906" s="0" t="inlineStr">
        <is>
          <t>NULL</t>
        </is>
      </c>
      <c r="K906" s="0" t="inlineStr">
        <is>
          <t>[0;32m YES! [0m 	 c_time4列源备映射正确，源端为time None位	期望更改为varchar(20)	实际备端为varchar 80位	位数精度不存在，通过长度比较</t>
        </is>
      </c>
    </row>
    <row r="907">
      <c r="B907" s="0" t="inlineStr">
        <is>
          <t>NULL</t>
        </is>
      </c>
      <c r="C907" s="0" t="inlineStr">
        <is>
          <t>NULL</t>
        </is>
      </c>
      <c r="D907" s="0" t="inlineStr">
        <is>
          <t>NULL</t>
        </is>
      </c>
      <c r="E907" s="0" t="inlineStr">
        <is>
          <t>NULL</t>
        </is>
      </c>
      <c r="F907" s="0" t="inlineStr">
        <is>
          <t>NULL</t>
        </is>
      </c>
      <c r="G907" s="0" t="inlineStr">
        <is>
          <t>NULL</t>
        </is>
      </c>
      <c r="H907" s="0" t="inlineStr">
        <is>
          <t>NULL</t>
        </is>
      </c>
      <c r="I907" s="0" t="inlineStr">
        <is>
          <t>NULL</t>
        </is>
      </c>
      <c r="J907" s="0" t="inlineStr">
        <is>
          <t>NULL</t>
        </is>
      </c>
      <c r="K907" s="0" t="inlineStr">
        <is>
          <t>[0;32m YES! [0m 	 c_time5列源备映射正确，源端为time None位	期望更改为varchar(20)	实际备端为varchar 80位	位数精度不存在，通过长度比较</t>
        </is>
      </c>
    </row>
    <row r="908">
      <c r="B908" s="0" t="inlineStr">
        <is>
          <t>NULL</t>
        </is>
      </c>
      <c r="C908" s="0" t="inlineStr">
        <is>
          <t>NULL</t>
        </is>
      </c>
      <c r="D908" s="0" t="inlineStr">
        <is>
          <t>NULL</t>
        </is>
      </c>
      <c r="E908" s="0" t="inlineStr">
        <is>
          <t>NULL</t>
        </is>
      </c>
      <c r="F908" s="0" t="inlineStr">
        <is>
          <t>NULL</t>
        </is>
      </c>
      <c r="G908" s="0" t="inlineStr">
        <is>
          <t>NULL</t>
        </is>
      </c>
      <c r="H908" s="0" t="inlineStr">
        <is>
          <t>NULL</t>
        </is>
      </c>
      <c r="I908" s="0" t="inlineStr">
        <is>
          <t>NULL</t>
        </is>
      </c>
      <c r="J908" s="0" t="inlineStr">
        <is>
          <t>NULL</t>
        </is>
      </c>
      <c r="K908" s="0" t="inlineStr">
        <is>
          <t>[0;32m YES! [0m 	 c_time6列源备映射正确，源端为time None位	期望更改为varchar(20)	实际备端为varchar 80位	位数精度不存在，通过长度比较</t>
        </is>
      </c>
    </row>
    <row r="909">
      <c r="B909" s="0" t="inlineStr">
        <is>
          <t>NULL</t>
        </is>
      </c>
      <c r="C909" s="0" t="inlineStr">
        <is>
          <t>NULL</t>
        </is>
      </c>
      <c r="D909" s="0" t="inlineStr">
        <is>
          <t>NULL</t>
        </is>
      </c>
      <c r="E909" s="0" t="inlineStr">
        <is>
          <t>NULL</t>
        </is>
      </c>
      <c r="F909" s="0" t="inlineStr">
        <is>
          <t>NULL</t>
        </is>
      </c>
      <c r="G909" s="0" t="inlineStr">
        <is>
          <t>NULL</t>
        </is>
      </c>
      <c r="H909" s="0" t="inlineStr">
        <is>
          <t>NULL</t>
        </is>
      </c>
      <c r="I909" s="0" t="inlineStr">
        <is>
          <t>NULL</t>
        </is>
      </c>
      <c r="J909" s="0" t="inlineStr">
        <is>
          <t>NULL</t>
        </is>
      </c>
      <c r="K909" s="0" t="inlineStr">
        <is>
          <t>[0;32m YES! [0m 	 c_time列源备映射正确，源端为time None位	期望更改为varchar(20)	实际备端为varchar 80位	位数精度不存在，通过长度比较</t>
        </is>
      </c>
    </row>
    <row r="910">
      <c r="A910" s="0" t="inlineStr">
        <is>
          <t>info_datetime2_dml_batch1_pk_irp1</t>
        </is>
      </c>
      <c r="K910" s="0" t="inlineStr">
        <is>
          <t>[0;34m info_datetime2_dml_batch1_pk_irp1 [0m源备字段数相同，源端字段：9 	备端字段9</t>
        </is>
      </c>
      <c r="W910" s="0" t="inlineStr">
        <is>
          <t>YES 源备无差异</t>
        </is>
      </c>
      <c r="X910" s="0">
        <f>A910</f>
        <v/>
      </c>
    </row>
    <row r="911">
      <c r="B911" s="0" t="inlineStr">
        <is>
          <t>YES</t>
        </is>
      </c>
      <c r="C911" s="0" t="inlineStr">
        <is>
          <t>NULL</t>
        </is>
      </c>
      <c r="D911" s="0" t="inlineStr">
        <is>
          <t>NULL</t>
        </is>
      </c>
      <c r="E911" s="0" t="inlineStr">
        <is>
          <t>NULL</t>
        </is>
      </c>
      <c r="F911" s="0" t="inlineStr">
        <is>
          <t>NULL</t>
        </is>
      </c>
      <c r="G911" s="0" t="inlineStr">
        <is>
          <t>NULL</t>
        </is>
      </c>
      <c r="H911" s="0" t="inlineStr">
        <is>
          <t>NULL</t>
        </is>
      </c>
      <c r="I911" s="0" t="inlineStr">
        <is>
          <t>YES!PK__info_dat__3213E83FC6B7B484</t>
        </is>
      </c>
      <c r="J911" s="0" t="inlineStr">
        <is>
          <t>YES! 主键相关索引</t>
        </is>
      </c>
      <c r="K911" s="0" t="inlineStr">
        <is>
          <t>YES! 	 id列源备映射正确，源端为int None位	期望更改为int	实际备端为int None位</t>
        </is>
      </c>
    </row>
    <row r="912">
      <c r="B912" s="0" t="inlineStr">
        <is>
          <t>NULL</t>
        </is>
      </c>
      <c r="C912" s="0" t="inlineStr">
        <is>
          <t>NULL</t>
        </is>
      </c>
      <c r="D912" s="0" t="inlineStr">
        <is>
          <t>NULL</t>
        </is>
      </c>
      <c r="E912" s="0" t="inlineStr">
        <is>
          <t>NULL</t>
        </is>
      </c>
      <c r="F912" s="0" t="inlineStr">
        <is>
          <t>NULL</t>
        </is>
      </c>
      <c r="G912" s="0" t="inlineStr">
        <is>
          <t>NULL</t>
        </is>
      </c>
      <c r="H912" s="0" t="inlineStr">
        <is>
          <t>NULL</t>
        </is>
      </c>
      <c r="I912" s="0" t="inlineStr">
        <is>
          <t>NULL</t>
        </is>
      </c>
      <c r="J912" s="0" t="inlineStr">
        <is>
          <t>NULL</t>
        </is>
      </c>
      <c r="K912" s="0" t="inlineStr">
        <is>
          <t>no,len不存在</t>
        </is>
      </c>
    </row>
    <row r="913">
      <c r="B913" s="0" t="inlineStr">
        <is>
          <t>NULL</t>
        </is>
      </c>
      <c r="C913" s="0" t="inlineStr">
        <is>
          <t>NULL</t>
        </is>
      </c>
      <c r="D913" s="0" t="inlineStr">
        <is>
          <t>NULL</t>
        </is>
      </c>
      <c r="E913" s="0" t="inlineStr">
        <is>
          <t>NULL</t>
        </is>
      </c>
      <c r="F913" s="0" t="inlineStr">
        <is>
          <t>NULL</t>
        </is>
      </c>
      <c r="G913" s="0" t="inlineStr">
        <is>
          <t>NULL</t>
        </is>
      </c>
      <c r="H913" s="0" t="inlineStr">
        <is>
          <t>NULL</t>
        </is>
      </c>
      <c r="I913" s="0" t="inlineStr">
        <is>
          <t>NULL</t>
        </is>
      </c>
      <c r="J913" s="0" t="inlineStr">
        <is>
          <t>NULL</t>
        </is>
      </c>
      <c r="K913" s="0" t="inlineStr">
        <is>
          <t>YES! 	 c_dt2_1列源备映射正确，源端为datetime2 None位	期望更改为datetime(n)	实际备端为datetime None位</t>
        </is>
      </c>
    </row>
    <row r="914">
      <c r="B914" s="0" t="inlineStr">
        <is>
          <t>NULL</t>
        </is>
      </c>
      <c r="C914" s="0" t="inlineStr">
        <is>
          <t>NULL</t>
        </is>
      </c>
      <c r="D914" s="0" t="inlineStr">
        <is>
          <t>NULL</t>
        </is>
      </c>
      <c r="E914" s="0" t="inlineStr">
        <is>
          <t>NULL</t>
        </is>
      </c>
      <c r="F914" s="0" t="inlineStr">
        <is>
          <t>NULL</t>
        </is>
      </c>
      <c r="G914" s="0" t="inlineStr">
        <is>
          <t>NULL</t>
        </is>
      </c>
      <c r="H914" s="0" t="inlineStr">
        <is>
          <t>NULL</t>
        </is>
      </c>
      <c r="I914" s="0" t="inlineStr">
        <is>
          <t>NULL</t>
        </is>
      </c>
      <c r="J914" s="0" t="inlineStr">
        <is>
          <t>NULL</t>
        </is>
      </c>
      <c r="K914" s="0" t="inlineStr">
        <is>
          <t>YES! 	 c_dt2_2列源备映射正确，源端为datetime2 None位	期望更改为datetime(n)	实际备端为datetime None位</t>
        </is>
      </c>
    </row>
    <row r="915">
      <c r="B915" s="0" t="inlineStr">
        <is>
          <t>NULL</t>
        </is>
      </c>
      <c r="C915" s="0" t="inlineStr">
        <is>
          <t>NULL</t>
        </is>
      </c>
      <c r="D915" s="0" t="inlineStr">
        <is>
          <t>NULL</t>
        </is>
      </c>
      <c r="E915" s="0" t="inlineStr">
        <is>
          <t>NULL</t>
        </is>
      </c>
      <c r="F915" s="0" t="inlineStr">
        <is>
          <t>NULL</t>
        </is>
      </c>
      <c r="G915" s="0" t="inlineStr">
        <is>
          <t>NULL</t>
        </is>
      </c>
      <c r="H915" s="0" t="inlineStr">
        <is>
          <t>NULL</t>
        </is>
      </c>
      <c r="I915" s="0" t="inlineStr">
        <is>
          <t>NULL</t>
        </is>
      </c>
      <c r="J915" s="0" t="inlineStr">
        <is>
          <t>NULL</t>
        </is>
      </c>
      <c r="K915" s="0" t="inlineStr">
        <is>
          <t>YES! 	 c_dt2_3列源备映射正确，源端为datetime2 None位	期望更改为datetime(n)	实际备端为datetime None位</t>
        </is>
      </c>
    </row>
    <row r="916">
      <c r="B916" s="0" t="inlineStr">
        <is>
          <t>NULL</t>
        </is>
      </c>
      <c r="C916" s="0" t="inlineStr">
        <is>
          <t>NULL</t>
        </is>
      </c>
      <c r="D916" s="0" t="inlineStr">
        <is>
          <t>NULL</t>
        </is>
      </c>
      <c r="E916" s="0" t="inlineStr">
        <is>
          <t>NULL</t>
        </is>
      </c>
      <c r="F916" s="0" t="inlineStr">
        <is>
          <t>NULL</t>
        </is>
      </c>
      <c r="G916" s="0" t="inlineStr">
        <is>
          <t>NULL</t>
        </is>
      </c>
      <c r="H916" s="0" t="inlineStr">
        <is>
          <t>NULL</t>
        </is>
      </c>
      <c r="I916" s="0" t="inlineStr">
        <is>
          <t>NULL</t>
        </is>
      </c>
      <c r="J916" s="0" t="inlineStr">
        <is>
          <t>NULL</t>
        </is>
      </c>
      <c r="K916" s="0" t="inlineStr">
        <is>
          <t>YES! 	 c_dt2_4列源备映射正确，源端为datetime2 None位	期望更改为datetime(n)	实际备端为datetime None位</t>
        </is>
      </c>
    </row>
    <row r="917">
      <c r="B917" s="0" t="inlineStr">
        <is>
          <t>NULL</t>
        </is>
      </c>
      <c r="C917" s="0" t="inlineStr">
        <is>
          <t>NULL</t>
        </is>
      </c>
      <c r="D917" s="0" t="inlineStr">
        <is>
          <t>NULL</t>
        </is>
      </c>
      <c r="E917" s="0" t="inlineStr">
        <is>
          <t>NULL</t>
        </is>
      </c>
      <c r="F917" s="0" t="inlineStr">
        <is>
          <t>NULL</t>
        </is>
      </c>
      <c r="G917" s="0" t="inlineStr">
        <is>
          <t>NULL</t>
        </is>
      </c>
      <c r="H917" s="0" t="inlineStr">
        <is>
          <t>NULL</t>
        </is>
      </c>
      <c r="I917" s="0" t="inlineStr">
        <is>
          <t>NULL</t>
        </is>
      </c>
      <c r="J917" s="0" t="inlineStr">
        <is>
          <t>NULL</t>
        </is>
      </c>
      <c r="K917" s="0" t="inlineStr">
        <is>
          <t>YES! 	 c_dt2_5列源备映射正确，源端为datetime2 None位	期望更改为datetime(n)	实际备端为datetime None位</t>
        </is>
      </c>
    </row>
    <row r="918">
      <c r="B918" s="0" t="inlineStr">
        <is>
          <t>NULL</t>
        </is>
      </c>
      <c r="C918" s="0" t="inlineStr">
        <is>
          <t>NULL</t>
        </is>
      </c>
      <c r="D918" s="0" t="inlineStr">
        <is>
          <t>NULL</t>
        </is>
      </c>
      <c r="E918" s="0" t="inlineStr">
        <is>
          <t>NULL</t>
        </is>
      </c>
      <c r="F918" s="0" t="inlineStr">
        <is>
          <t>NULL</t>
        </is>
      </c>
      <c r="G918" s="0" t="inlineStr">
        <is>
          <t>NULL</t>
        </is>
      </c>
      <c r="H918" s="0" t="inlineStr">
        <is>
          <t>NULL</t>
        </is>
      </c>
      <c r="I918" s="0" t="inlineStr">
        <is>
          <t>NULL</t>
        </is>
      </c>
      <c r="J918" s="0" t="inlineStr">
        <is>
          <t>NULL</t>
        </is>
      </c>
      <c r="K918" s="0" t="inlineStr">
        <is>
          <t>YES! 	 c_dt2_6列源备映射正确，源端为datetime2 None位	期望更改为datetime(n)	实际备端为datetime None位</t>
        </is>
      </c>
    </row>
    <row r="919">
      <c r="B919" s="0" t="inlineStr">
        <is>
          <t>NULL</t>
        </is>
      </c>
      <c r="C919" s="0" t="inlineStr">
        <is>
          <t>NULL</t>
        </is>
      </c>
      <c r="D919" s="0" t="inlineStr">
        <is>
          <t>NULL</t>
        </is>
      </c>
      <c r="E919" s="0" t="inlineStr">
        <is>
          <t>NULL</t>
        </is>
      </c>
      <c r="F919" s="0" t="inlineStr">
        <is>
          <t>NULL</t>
        </is>
      </c>
      <c r="G919" s="0" t="inlineStr">
        <is>
          <t>NULL</t>
        </is>
      </c>
      <c r="H919" s="0" t="inlineStr">
        <is>
          <t>NULL</t>
        </is>
      </c>
      <c r="I919" s="0" t="inlineStr">
        <is>
          <t>NULL</t>
        </is>
      </c>
      <c r="J919" s="0" t="inlineStr">
        <is>
          <t>NULL</t>
        </is>
      </c>
      <c r="K919" s="0" t="inlineStr">
        <is>
          <t xml:space="preserve"> NO!  	 c_dt2列源备映射错误，源端为datetime2 None位	期望更改为datetime(n)	实际备端为varchar 136位</t>
        </is>
      </c>
    </row>
    <row r="920">
      <c r="A920" s="0" t="inlineStr">
        <is>
          <t>info_nchar_dml_batch2_pk_urp2</t>
        </is>
      </c>
      <c r="K920" s="0" t="inlineStr">
        <is>
          <t>[0;34m info_nchar_dml_batch2_pk_urp2 [0m源备字段数相同，源端字段：4 	备端字段4</t>
        </is>
      </c>
      <c r="W920" s="15">
        <f>HYPERLINK("#2026051816mysql2!BP2","NO 源备存在差异，共4个")</f>
        <v/>
      </c>
      <c r="X920" s="0">
        <f>A920</f>
        <v/>
      </c>
    </row>
    <row r="921">
      <c r="B921" s="0" t="inlineStr">
        <is>
          <t>YES</t>
        </is>
      </c>
      <c r="C921" s="0" t="inlineStr">
        <is>
          <t>NULL</t>
        </is>
      </c>
      <c r="D921" s="0" t="inlineStr">
        <is>
          <t>NULL</t>
        </is>
      </c>
      <c r="E921" s="0" t="inlineStr">
        <is>
          <t>NULL</t>
        </is>
      </c>
      <c r="F921" s="0" t="inlineStr">
        <is>
          <t>NULL</t>
        </is>
      </c>
      <c r="G921" s="0" t="inlineStr">
        <is>
          <t>NULL</t>
        </is>
      </c>
      <c r="H921" s="0" t="inlineStr">
        <is>
          <t>NULL</t>
        </is>
      </c>
      <c r="I921" s="0" t="inlineStr">
        <is>
          <t>YES!PK__info_nch__3213E83F61A8127B</t>
        </is>
      </c>
      <c r="J921" s="0" t="inlineStr">
        <is>
          <t>YES! 主键相关索引</t>
        </is>
      </c>
      <c r="K921" s="0" t="inlineStr">
        <is>
          <t>YES! 	 id列源备映射正确，源端为int None位	期望更改为int	实际备端为int None位</t>
        </is>
      </c>
    </row>
    <row r="922">
      <c r="B922" s="0" t="inlineStr">
        <is>
          <t>NULL</t>
        </is>
      </c>
      <c r="C922" s="0" t="inlineStr">
        <is>
          <t>NULL</t>
        </is>
      </c>
      <c r="D922" s="0" t="inlineStr">
        <is>
          <t>NULL</t>
        </is>
      </c>
      <c r="E922" s="0" t="inlineStr">
        <is>
          <t>NULL</t>
        </is>
      </c>
      <c r="F922" s="0" t="inlineStr">
        <is>
          <t>NULL</t>
        </is>
      </c>
      <c r="G922" s="0" t="inlineStr">
        <is>
          <t>NULL</t>
        </is>
      </c>
      <c r="H922" s="0" t="inlineStr">
        <is>
          <t>NULL</t>
        </is>
      </c>
      <c r="I922" s="0" t="inlineStr">
        <is>
          <t>NULL</t>
        </is>
      </c>
      <c r="J922" s="0" t="inlineStr">
        <is>
          <t>NULL</t>
        </is>
      </c>
      <c r="K922" s="0" t="inlineStr">
        <is>
          <t>YES! 	 c_nchar列源备映射正确，源端为nchar 2位	期望更改为char(n)	实际备端为char 4位</t>
        </is>
      </c>
    </row>
    <row r="923">
      <c r="B923" s="0" t="inlineStr">
        <is>
          <t>NULL</t>
        </is>
      </c>
      <c r="C923" s="0" t="inlineStr">
        <is>
          <t>NULL</t>
        </is>
      </c>
      <c r="D923" s="0" t="inlineStr">
        <is>
          <t>NULL</t>
        </is>
      </c>
      <c r="E923" s="0" t="inlineStr">
        <is>
          <t>NULL</t>
        </is>
      </c>
      <c r="F923" s="0" t="inlineStr">
        <is>
          <t>NULL</t>
        </is>
      </c>
      <c r="G923" s="0" t="inlineStr">
        <is>
          <t>NULL</t>
        </is>
      </c>
      <c r="H923" s="0" t="inlineStr">
        <is>
          <t>NULL</t>
        </is>
      </c>
      <c r="I923" s="0" t="inlineStr">
        <is>
          <t>NULL</t>
        </is>
      </c>
      <c r="J923" s="0" t="inlineStr">
        <is>
          <t>NULL</t>
        </is>
      </c>
      <c r="K923" s="0" t="inlineStr">
        <is>
          <t>YES! 	 c_nchar20列源备映射正确，源端为nchar 40位	期望更改为char(n)	实际备端为char 80位</t>
        </is>
      </c>
    </row>
    <row r="924">
      <c r="B924" s="0" t="inlineStr">
        <is>
          <t>NULL</t>
        </is>
      </c>
      <c r="C924" s="0" t="inlineStr">
        <is>
          <t>NULL</t>
        </is>
      </c>
      <c r="D924" s="0" t="inlineStr">
        <is>
          <t>NULL</t>
        </is>
      </c>
      <c r="E924" s="0" t="inlineStr">
        <is>
          <t>NULL</t>
        </is>
      </c>
      <c r="F924" s="0" t="inlineStr">
        <is>
          <t>NULL</t>
        </is>
      </c>
      <c r="G924" s="0" t="inlineStr">
        <is>
          <t>NULL</t>
        </is>
      </c>
      <c r="H924" s="0" t="inlineStr">
        <is>
          <t>NULL</t>
        </is>
      </c>
      <c r="I924" s="0" t="inlineStr">
        <is>
          <t>NULL</t>
        </is>
      </c>
      <c r="J924" s="0" t="inlineStr">
        <is>
          <t>NULL</t>
        </is>
      </c>
      <c r="K924" s="0" t="inlineStr">
        <is>
          <t xml:space="preserve"> NO!  	 c_nchar3500列源备映射错误，源端为nchar 7000位	期望更改为varchar(n)	实际备端为text 65535位</t>
        </is>
      </c>
    </row>
    <row r="925">
      <c r="A925" s="0" t="inlineStr">
        <is>
          <t>info_varcharmax_dml_single_nopk_drp</t>
        </is>
      </c>
      <c r="K925" s="0" t="inlineStr">
        <is>
          <t>[0;34m info_varcharmax_dml_single_nopk_drp [0m源备字段数相同，源端字段：3 	备端字段3</t>
        </is>
      </c>
      <c r="W925" s="0" t="inlineStr">
        <is>
          <t>YES 源备无差异</t>
        </is>
      </c>
      <c r="X925" s="0">
        <f>A925</f>
        <v/>
      </c>
    </row>
    <row r="926">
      <c r="B926" s="0" t="inlineStr">
        <is>
          <t>NULL</t>
        </is>
      </c>
      <c r="C926" s="0" t="inlineStr">
        <is>
          <t>NULL</t>
        </is>
      </c>
      <c r="D926" s="0" t="inlineStr">
        <is>
          <t>NULL</t>
        </is>
      </c>
      <c r="E926" s="0" t="inlineStr">
        <is>
          <t>NULL</t>
        </is>
      </c>
      <c r="F926" s="0" t="inlineStr">
        <is>
          <t>NULL</t>
        </is>
      </c>
      <c r="G926" s="0" t="inlineStr">
        <is>
          <t>NULL</t>
        </is>
      </c>
      <c r="H926" s="0" t="inlineStr">
        <is>
          <t>NULL</t>
        </is>
      </c>
      <c r="I926" s="0" t="inlineStr">
        <is>
          <t>NULL</t>
        </is>
      </c>
      <c r="J926" s="0" t="inlineStr">
        <is>
          <t>NULL</t>
        </is>
      </c>
      <c r="K926" s="0" t="inlineStr">
        <is>
          <t>YES! 	 id列源备映射正确，源端为int None位	期望更改为int	实际备端为int None位</t>
        </is>
      </c>
    </row>
    <row r="927">
      <c r="B927" s="0" t="inlineStr">
        <is>
          <t>NULL</t>
        </is>
      </c>
      <c r="C927" s="0" t="inlineStr">
        <is>
          <t>NULL</t>
        </is>
      </c>
      <c r="D927" s="0" t="inlineStr">
        <is>
          <t>NULL</t>
        </is>
      </c>
      <c r="E927" s="0" t="inlineStr">
        <is>
          <t>NULL</t>
        </is>
      </c>
      <c r="F927" s="0" t="inlineStr">
        <is>
          <t>NULL</t>
        </is>
      </c>
      <c r="G927" s="0" t="inlineStr">
        <is>
          <t>NULL</t>
        </is>
      </c>
      <c r="H927" s="0" t="inlineStr">
        <is>
          <t>NULL</t>
        </is>
      </c>
      <c r="I927" s="0" t="inlineStr">
        <is>
          <t>NULL</t>
        </is>
      </c>
      <c r="J927" s="0" t="inlineStr">
        <is>
          <t>NULL</t>
        </is>
      </c>
      <c r="K927" s="0" t="inlineStr">
        <is>
          <t>YES! 	 c_varchar_max列源备映射正确，源端为varchar -1位	期望更改为longtext	实际备端为longtext 4294967295位</t>
        </is>
      </c>
    </row>
    <row r="928">
      <c r="B928" s="0" t="inlineStr">
        <is>
          <t>NULL</t>
        </is>
      </c>
      <c r="C928" s="0" t="inlineStr">
        <is>
          <t>NULL</t>
        </is>
      </c>
      <c r="D928" s="0" t="inlineStr">
        <is>
          <t>NULL</t>
        </is>
      </c>
      <c r="E928" s="0" t="inlineStr">
        <is>
          <t>NULL</t>
        </is>
      </c>
      <c r="F928" s="0" t="inlineStr">
        <is>
          <t>NULL</t>
        </is>
      </c>
      <c r="G928" s="0" t="inlineStr">
        <is>
          <t>NULL</t>
        </is>
      </c>
      <c r="H928" s="0" t="inlineStr">
        <is>
          <t>NULL</t>
        </is>
      </c>
      <c r="I928" s="0" t="inlineStr">
        <is>
          <t>NULL</t>
        </is>
      </c>
      <c r="J928" s="0" t="inlineStr">
        <is>
          <t>NULL</t>
        </is>
      </c>
      <c r="K928" s="0" t="inlineStr">
        <is>
          <t>YES! 	 c_nvarchar_max列源备映射正确，源端为nvarchar -1位	期望更改为longtext	实际备端为longtext 4294967295位</t>
        </is>
      </c>
    </row>
    <row r="929">
      <c r="A929" s="0" t="inlineStr">
        <is>
          <t>info_time_dml_single_pk_urp</t>
        </is>
      </c>
      <c r="K929" s="0" t="inlineStr">
        <is>
          <t>[0;34m info_time_dml_single_pk_urp [0m源备字段数相同，源端字段：9 	备端字段9</t>
        </is>
      </c>
      <c r="W929" s="0" t="inlineStr">
        <is>
          <t>YES 源备无差异</t>
        </is>
      </c>
      <c r="X929" s="0">
        <f>A929</f>
        <v/>
      </c>
    </row>
    <row r="930">
      <c r="B930" s="0" t="inlineStr">
        <is>
          <t>YES</t>
        </is>
      </c>
      <c r="C930" s="0" t="inlineStr">
        <is>
          <t>NULL</t>
        </is>
      </c>
      <c r="D930" s="0" t="inlineStr">
        <is>
          <t>NULL</t>
        </is>
      </c>
      <c r="E930" s="0" t="inlineStr">
        <is>
          <t>NULL</t>
        </is>
      </c>
      <c r="F930" s="0" t="inlineStr">
        <is>
          <t>NULL</t>
        </is>
      </c>
      <c r="G930" s="0" t="inlineStr">
        <is>
          <t>NULL</t>
        </is>
      </c>
      <c r="H930" s="0" t="inlineStr">
        <is>
          <t>NULL</t>
        </is>
      </c>
      <c r="I930" s="0" t="inlineStr">
        <is>
          <t>YES!PK__info_tim__3213E83F1D372851</t>
        </is>
      </c>
      <c r="J930" s="0" t="inlineStr">
        <is>
          <t>YES! 主键相关索引</t>
        </is>
      </c>
      <c r="K930" s="0" t="inlineStr">
        <is>
          <t>YES! 	 id列源备映射正确，源端为int None位	期望更改为int	实际备端为int None位</t>
        </is>
      </c>
    </row>
    <row r="931">
      <c r="B931" s="0" t="inlineStr">
        <is>
          <t>NULL</t>
        </is>
      </c>
      <c r="C931" s="0" t="inlineStr">
        <is>
          <t>NULL</t>
        </is>
      </c>
      <c r="D931" s="0" t="inlineStr">
        <is>
          <t>NULL</t>
        </is>
      </c>
      <c r="E931" s="0" t="inlineStr">
        <is>
          <t>NULL</t>
        </is>
      </c>
      <c r="F931" s="0" t="inlineStr">
        <is>
          <t>NULL</t>
        </is>
      </c>
      <c r="G931" s="0" t="inlineStr">
        <is>
          <t>NULL</t>
        </is>
      </c>
      <c r="H931" s="0" t="inlineStr">
        <is>
          <t>NULL</t>
        </is>
      </c>
      <c r="I931" s="0" t="inlineStr">
        <is>
          <t>NULL</t>
        </is>
      </c>
      <c r="J931" s="0" t="inlineStr">
        <is>
          <t>NULL</t>
        </is>
      </c>
      <c r="K931" s="0" t="inlineStr">
        <is>
          <t>[0;32m YES! [0m 	 c_time0列源备映射正确，源端为time None位	期望更改为varchar(20)	实际备端为varchar 80位	位数精度不存在，通过长度比较</t>
        </is>
      </c>
    </row>
    <row r="932">
      <c r="B932" s="0" t="inlineStr">
        <is>
          <t>NULL</t>
        </is>
      </c>
      <c r="C932" s="0" t="inlineStr">
        <is>
          <t>NULL</t>
        </is>
      </c>
      <c r="D932" s="0" t="inlineStr">
        <is>
          <t>NULL</t>
        </is>
      </c>
      <c r="E932" s="0" t="inlineStr">
        <is>
          <t>NULL</t>
        </is>
      </c>
      <c r="F932" s="0" t="inlineStr">
        <is>
          <t>NULL</t>
        </is>
      </c>
      <c r="G932" s="0" t="inlineStr">
        <is>
          <t>NULL</t>
        </is>
      </c>
      <c r="H932" s="0" t="inlineStr">
        <is>
          <t>NULL</t>
        </is>
      </c>
      <c r="I932" s="0" t="inlineStr">
        <is>
          <t>NULL</t>
        </is>
      </c>
      <c r="J932" s="0" t="inlineStr">
        <is>
          <t>NULL</t>
        </is>
      </c>
      <c r="K932" s="0" t="inlineStr">
        <is>
          <t>[0;32m YES! [0m 	 c_time1列源备映射正确，源端为time None位	期望更改为varchar(20)	实际备端为varchar 80位	位数精度不存在，通过长度比较</t>
        </is>
      </c>
    </row>
    <row r="933">
      <c r="B933" s="0" t="inlineStr">
        <is>
          <t>NULL</t>
        </is>
      </c>
      <c r="C933" s="0" t="inlineStr">
        <is>
          <t>NULL</t>
        </is>
      </c>
      <c r="D933" s="0" t="inlineStr">
        <is>
          <t>NULL</t>
        </is>
      </c>
      <c r="E933" s="0" t="inlineStr">
        <is>
          <t>NULL</t>
        </is>
      </c>
      <c r="F933" s="0" t="inlineStr">
        <is>
          <t>NULL</t>
        </is>
      </c>
      <c r="G933" s="0" t="inlineStr">
        <is>
          <t>NULL</t>
        </is>
      </c>
      <c r="H933" s="0" t="inlineStr">
        <is>
          <t>NULL</t>
        </is>
      </c>
      <c r="I933" s="0" t="inlineStr">
        <is>
          <t>NULL</t>
        </is>
      </c>
      <c r="J933" s="0" t="inlineStr">
        <is>
          <t>NULL</t>
        </is>
      </c>
      <c r="K933" s="0" t="inlineStr">
        <is>
          <t>[0;32m YES! [0m 	 c_time2列源备映射正确，源端为time None位	期望更改为varchar(20)	实际备端为varchar 80位	位数精度不存在，通过长度比较</t>
        </is>
      </c>
    </row>
    <row r="934">
      <c r="B934" s="0" t="inlineStr">
        <is>
          <t>NULL</t>
        </is>
      </c>
      <c r="C934" s="0" t="inlineStr">
        <is>
          <t>NULL</t>
        </is>
      </c>
      <c r="D934" s="0" t="inlineStr">
        <is>
          <t>NULL</t>
        </is>
      </c>
      <c r="E934" s="0" t="inlineStr">
        <is>
          <t>NULL</t>
        </is>
      </c>
      <c r="F934" s="0" t="inlineStr">
        <is>
          <t>NULL</t>
        </is>
      </c>
      <c r="G934" s="0" t="inlineStr">
        <is>
          <t>NULL</t>
        </is>
      </c>
      <c r="H934" s="0" t="inlineStr">
        <is>
          <t>NULL</t>
        </is>
      </c>
      <c r="I934" s="0" t="inlineStr">
        <is>
          <t>NULL</t>
        </is>
      </c>
      <c r="J934" s="0" t="inlineStr">
        <is>
          <t>NULL</t>
        </is>
      </c>
      <c r="K934" s="0" t="inlineStr">
        <is>
          <t>[0;32m YES! [0m 	 c_time3列源备映射正确，源端为time None位	期望更改为varchar(20)	实际备端为varchar 80位	位数精度不存在，通过长度比较</t>
        </is>
      </c>
    </row>
    <row r="935">
      <c r="B935" s="0" t="inlineStr">
        <is>
          <t>NULL</t>
        </is>
      </c>
      <c r="C935" s="0" t="inlineStr">
        <is>
          <t>NULL</t>
        </is>
      </c>
      <c r="D935" s="0" t="inlineStr">
        <is>
          <t>NULL</t>
        </is>
      </c>
      <c r="E935" s="0" t="inlineStr">
        <is>
          <t>NULL</t>
        </is>
      </c>
      <c r="F935" s="0" t="inlineStr">
        <is>
          <t>NULL</t>
        </is>
      </c>
      <c r="G935" s="0" t="inlineStr">
        <is>
          <t>NULL</t>
        </is>
      </c>
      <c r="H935" s="0" t="inlineStr">
        <is>
          <t>NULL</t>
        </is>
      </c>
      <c r="I935" s="0" t="inlineStr">
        <is>
          <t>NULL</t>
        </is>
      </c>
      <c r="J935" s="0" t="inlineStr">
        <is>
          <t>NULL</t>
        </is>
      </c>
      <c r="K935" s="0" t="inlineStr">
        <is>
          <t>[0;32m YES! [0m 	 c_time4列源备映射正确，源端为time None位	期望更改为varchar(20)	实际备端为varchar 80位	位数精度不存在，通过长度比较</t>
        </is>
      </c>
    </row>
    <row r="936">
      <c r="B936" s="0" t="inlineStr">
        <is>
          <t>NULL</t>
        </is>
      </c>
      <c r="C936" s="0" t="inlineStr">
        <is>
          <t>NULL</t>
        </is>
      </c>
      <c r="D936" s="0" t="inlineStr">
        <is>
          <t>NULL</t>
        </is>
      </c>
      <c r="E936" s="0" t="inlineStr">
        <is>
          <t>NULL</t>
        </is>
      </c>
      <c r="F936" s="0" t="inlineStr">
        <is>
          <t>NULL</t>
        </is>
      </c>
      <c r="G936" s="0" t="inlineStr">
        <is>
          <t>NULL</t>
        </is>
      </c>
      <c r="H936" s="0" t="inlineStr">
        <is>
          <t>NULL</t>
        </is>
      </c>
      <c r="I936" s="0" t="inlineStr">
        <is>
          <t>NULL</t>
        </is>
      </c>
      <c r="J936" s="0" t="inlineStr">
        <is>
          <t>NULL</t>
        </is>
      </c>
      <c r="K936" s="0" t="inlineStr">
        <is>
          <t>[0;32m YES! [0m 	 c_time5列源备映射正确，源端为time None位	期望更改为varchar(20)	实际备端为varchar 80位	位数精度不存在，通过长度比较</t>
        </is>
      </c>
    </row>
    <row r="937">
      <c r="B937" s="0" t="inlineStr">
        <is>
          <t>NULL</t>
        </is>
      </c>
      <c r="C937" s="0" t="inlineStr">
        <is>
          <t>NULL</t>
        </is>
      </c>
      <c r="D937" s="0" t="inlineStr">
        <is>
          <t>NULL</t>
        </is>
      </c>
      <c r="E937" s="0" t="inlineStr">
        <is>
          <t>NULL</t>
        </is>
      </c>
      <c r="F937" s="0" t="inlineStr">
        <is>
          <t>NULL</t>
        </is>
      </c>
      <c r="G937" s="0" t="inlineStr">
        <is>
          <t>NULL</t>
        </is>
      </c>
      <c r="H937" s="0" t="inlineStr">
        <is>
          <t>NULL</t>
        </is>
      </c>
      <c r="I937" s="0" t="inlineStr">
        <is>
          <t>NULL</t>
        </is>
      </c>
      <c r="J937" s="0" t="inlineStr">
        <is>
          <t>NULL</t>
        </is>
      </c>
      <c r="K937" s="0" t="inlineStr">
        <is>
          <t>[0;32m YES! [0m 	 c_time6列源备映射正确，源端为time None位	期望更改为varchar(20)	实际备端为varchar 80位	位数精度不存在，通过长度比较</t>
        </is>
      </c>
    </row>
    <row r="938">
      <c r="B938" s="0" t="inlineStr">
        <is>
          <t>NULL</t>
        </is>
      </c>
      <c r="C938" s="0" t="inlineStr">
        <is>
          <t>NULL</t>
        </is>
      </c>
      <c r="D938" s="0" t="inlineStr">
        <is>
          <t>NULL</t>
        </is>
      </c>
      <c r="E938" s="0" t="inlineStr">
        <is>
          <t>NULL</t>
        </is>
      </c>
      <c r="F938" s="0" t="inlineStr">
        <is>
          <t>NULL</t>
        </is>
      </c>
      <c r="G938" s="0" t="inlineStr">
        <is>
          <t>NULL</t>
        </is>
      </c>
      <c r="H938" s="0" t="inlineStr">
        <is>
          <t>NULL</t>
        </is>
      </c>
      <c r="I938" s="0" t="inlineStr">
        <is>
          <t>NULL</t>
        </is>
      </c>
      <c r="J938" s="0" t="inlineStr">
        <is>
          <t>NULL</t>
        </is>
      </c>
      <c r="K938" s="0" t="inlineStr">
        <is>
          <t>[0;32m YES! [0m 	 c_time列源备映射正确，源端为time None位	期望更改为varchar(20)	实际备端为varchar 80位	位数精度不存在，通过长度比较</t>
        </is>
      </c>
    </row>
    <row r="939">
      <c r="A939" s="0" t="inlineStr">
        <is>
          <t>info_datetime2_dml_batch1_pk_irp2</t>
        </is>
      </c>
      <c r="K939" s="0" t="inlineStr">
        <is>
          <t>[0;34m info_datetime2_dml_batch1_pk_irp2 [0m源备字段数相同，源端字段：9 	备端字段9</t>
        </is>
      </c>
      <c r="W939" s="0" t="inlineStr">
        <is>
          <t>YES 源备无差异</t>
        </is>
      </c>
      <c r="X939" s="0">
        <f>A939</f>
        <v/>
      </c>
    </row>
    <row r="940">
      <c r="B940" s="0" t="inlineStr">
        <is>
          <t>YES</t>
        </is>
      </c>
      <c r="C940" s="0" t="inlineStr">
        <is>
          <t>NULL</t>
        </is>
      </c>
      <c r="D940" s="0" t="inlineStr">
        <is>
          <t>NULL</t>
        </is>
      </c>
      <c r="E940" s="0" t="inlineStr">
        <is>
          <t>NULL</t>
        </is>
      </c>
      <c r="F940" s="0" t="inlineStr">
        <is>
          <t>NULL</t>
        </is>
      </c>
      <c r="G940" s="0" t="inlineStr">
        <is>
          <t>NULL</t>
        </is>
      </c>
      <c r="H940" s="0" t="inlineStr">
        <is>
          <t>NULL</t>
        </is>
      </c>
      <c r="I940" s="0" t="inlineStr">
        <is>
          <t>YES!PK__info_dat__3213E83F477FF471</t>
        </is>
      </c>
      <c r="J940" s="0" t="inlineStr">
        <is>
          <t>YES! 主键相关索引</t>
        </is>
      </c>
      <c r="K940" s="0" t="inlineStr">
        <is>
          <t>YES! 	 id列源备映射正确，源端为int None位	期望更改为int	实际备端为int None位</t>
        </is>
      </c>
    </row>
    <row r="941">
      <c r="B941" s="0" t="inlineStr">
        <is>
          <t>NULL</t>
        </is>
      </c>
      <c r="C941" s="0" t="inlineStr">
        <is>
          <t>NULL</t>
        </is>
      </c>
      <c r="D941" s="0" t="inlineStr">
        <is>
          <t>NULL</t>
        </is>
      </c>
      <c r="E941" s="0" t="inlineStr">
        <is>
          <t>NULL</t>
        </is>
      </c>
      <c r="F941" s="0" t="inlineStr">
        <is>
          <t>NULL</t>
        </is>
      </c>
      <c r="G941" s="0" t="inlineStr">
        <is>
          <t>NULL</t>
        </is>
      </c>
      <c r="H941" s="0" t="inlineStr">
        <is>
          <t>NULL</t>
        </is>
      </c>
      <c r="I941" s="0" t="inlineStr">
        <is>
          <t>NULL</t>
        </is>
      </c>
      <c r="J941" s="0" t="inlineStr">
        <is>
          <t>NULL</t>
        </is>
      </c>
      <c r="K941" s="0" t="inlineStr">
        <is>
          <t>no,len不存在</t>
        </is>
      </c>
    </row>
    <row r="942">
      <c r="B942" s="0" t="inlineStr">
        <is>
          <t>NULL</t>
        </is>
      </c>
      <c r="C942" s="0" t="inlineStr">
        <is>
          <t>NULL</t>
        </is>
      </c>
      <c r="D942" s="0" t="inlineStr">
        <is>
          <t>NULL</t>
        </is>
      </c>
      <c r="E942" s="0" t="inlineStr">
        <is>
          <t>NULL</t>
        </is>
      </c>
      <c r="F942" s="0" t="inlineStr">
        <is>
          <t>NULL</t>
        </is>
      </c>
      <c r="G942" s="0" t="inlineStr">
        <is>
          <t>NULL</t>
        </is>
      </c>
      <c r="H942" s="0" t="inlineStr">
        <is>
          <t>NULL</t>
        </is>
      </c>
      <c r="I942" s="0" t="inlineStr">
        <is>
          <t>NULL</t>
        </is>
      </c>
      <c r="J942" s="0" t="inlineStr">
        <is>
          <t>NULL</t>
        </is>
      </c>
      <c r="K942" s="0" t="inlineStr">
        <is>
          <t>YES! 	 c_dt2_1列源备映射正确，源端为datetime2 None位	期望更改为datetime(n)	实际备端为datetime None位</t>
        </is>
      </c>
    </row>
    <row r="943">
      <c r="B943" s="0" t="inlineStr">
        <is>
          <t>NULL</t>
        </is>
      </c>
      <c r="C943" s="0" t="inlineStr">
        <is>
          <t>NULL</t>
        </is>
      </c>
      <c r="D943" s="0" t="inlineStr">
        <is>
          <t>NULL</t>
        </is>
      </c>
      <c r="E943" s="0" t="inlineStr">
        <is>
          <t>NULL</t>
        </is>
      </c>
      <c r="F943" s="0" t="inlineStr">
        <is>
          <t>NULL</t>
        </is>
      </c>
      <c r="G943" s="0" t="inlineStr">
        <is>
          <t>NULL</t>
        </is>
      </c>
      <c r="H943" s="0" t="inlineStr">
        <is>
          <t>NULL</t>
        </is>
      </c>
      <c r="I943" s="0" t="inlineStr">
        <is>
          <t>NULL</t>
        </is>
      </c>
      <c r="J943" s="0" t="inlineStr">
        <is>
          <t>NULL</t>
        </is>
      </c>
      <c r="K943" s="0" t="inlineStr">
        <is>
          <t>YES! 	 c_dt2_2列源备映射正确，源端为datetime2 None位	期望更改为datetime(n)	实际备端为datetime None位</t>
        </is>
      </c>
    </row>
    <row r="944">
      <c r="B944" s="0" t="inlineStr">
        <is>
          <t>NULL</t>
        </is>
      </c>
      <c r="C944" s="0" t="inlineStr">
        <is>
          <t>NULL</t>
        </is>
      </c>
      <c r="D944" s="0" t="inlineStr">
        <is>
          <t>NULL</t>
        </is>
      </c>
      <c r="E944" s="0" t="inlineStr">
        <is>
          <t>NULL</t>
        </is>
      </c>
      <c r="F944" s="0" t="inlineStr">
        <is>
          <t>NULL</t>
        </is>
      </c>
      <c r="G944" s="0" t="inlineStr">
        <is>
          <t>NULL</t>
        </is>
      </c>
      <c r="H944" s="0" t="inlineStr">
        <is>
          <t>NULL</t>
        </is>
      </c>
      <c r="I944" s="0" t="inlineStr">
        <is>
          <t>NULL</t>
        </is>
      </c>
      <c r="J944" s="0" t="inlineStr">
        <is>
          <t>NULL</t>
        </is>
      </c>
      <c r="K944" s="0" t="inlineStr">
        <is>
          <t>YES! 	 c_dt2_3列源备映射正确，源端为datetime2 None位	期望更改为datetime(n)	实际备端为datetime None位</t>
        </is>
      </c>
    </row>
    <row r="945">
      <c r="B945" s="0" t="inlineStr">
        <is>
          <t>NULL</t>
        </is>
      </c>
      <c r="C945" s="0" t="inlineStr">
        <is>
          <t>NULL</t>
        </is>
      </c>
      <c r="D945" s="0" t="inlineStr">
        <is>
          <t>NULL</t>
        </is>
      </c>
      <c r="E945" s="0" t="inlineStr">
        <is>
          <t>NULL</t>
        </is>
      </c>
      <c r="F945" s="0" t="inlineStr">
        <is>
          <t>NULL</t>
        </is>
      </c>
      <c r="G945" s="0" t="inlineStr">
        <is>
          <t>NULL</t>
        </is>
      </c>
      <c r="H945" s="0" t="inlineStr">
        <is>
          <t>NULL</t>
        </is>
      </c>
      <c r="I945" s="0" t="inlineStr">
        <is>
          <t>NULL</t>
        </is>
      </c>
      <c r="J945" s="0" t="inlineStr">
        <is>
          <t>NULL</t>
        </is>
      </c>
      <c r="K945" s="0" t="inlineStr">
        <is>
          <t>YES! 	 c_dt2_4列源备映射正确，源端为datetime2 None位	期望更改为datetime(n)	实际备端为datetime None位</t>
        </is>
      </c>
    </row>
    <row r="946">
      <c r="B946" s="0" t="inlineStr">
        <is>
          <t>NULL</t>
        </is>
      </c>
      <c r="C946" s="0" t="inlineStr">
        <is>
          <t>NULL</t>
        </is>
      </c>
      <c r="D946" s="0" t="inlineStr">
        <is>
          <t>NULL</t>
        </is>
      </c>
      <c r="E946" s="0" t="inlineStr">
        <is>
          <t>NULL</t>
        </is>
      </c>
      <c r="F946" s="0" t="inlineStr">
        <is>
          <t>NULL</t>
        </is>
      </c>
      <c r="G946" s="0" t="inlineStr">
        <is>
          <t>NULL</t>
        </is>
      </c>
      <c r="H946" s="0" t="inlineStr">
        <is>
          <t>NULL</t>
        </is>
      </c>
      <c r="I946" s="0" t="inlineStr">
        <is>
          <t>NULL</t>
        </is>
      </c>
      <c r="J946" s="0" t="inlineStr">
        <is>
          <t>NULL</t>
        </is>
      </c>
      <c r="K946" s="0" t="inlineStr">
        <is>
          <t>YES! 	 c_dt2_5列源备映射正确，源端为datetime2 None位	期望更改为datetime(n)	实际备端为datetime None位</t>
        </is>
      </c>
    </row>
    <row r="947">
      <c r="B947" s="0" t="inlineStr">
        <is>
          <t>NULL</t>
        </is>
      </c>
      <c r="C947" s="0" t="inlineStr">
        <is>
          <t>NULL</t>
        </is>
      </c>
      <c r="D947" s="0" t="inlineStr">
        <is>
          <t>NULL</t>
        </is>
      </c>
      <c r="E947" s="0" t="inlineStr">
        <is>
          <t>NULL</t>
        </is>
      </c>
      <c r="F947" s="0" t="inlineStr">
        <is>
          <t>NULL</t>
        </is>
      </c>
      <c r="G947" s="0" t="inlineStr">
        <is>
          <t>NULL</t>
        </is>
      </c>
      <c r="H947" s="0" t="inlineStr">
        <is>
          <t>NULL</t>
        </is>
      </c>
      <c r="I947" s="0" t="inlineStr">
        <is>
          <t>NULL</t>
        </is>
      </c>
      <c r="J947" s="0" t="inlineStr">
        <is>
          <t>NULL</t>
        </is>
      </c>
      <c r="K947" s="0" t="inlineStr">
        <is>
          <t>YES! 	 c_dt2_6列源备映射正确，源端为datetime2 None位	期望更改为datetime(n)	实际备端为datetime None位</t>
        </is>
      </c>
    </row>
    <row r="948">
      <c r="B948" s="0" t="inlineStr">
        <is>
          <t>NULL</t>
        </is>
      </c>
      <c r="C948" s="0" t="inlineStr">
        <is>
          <t>NULL</t>
        </is>
      </c>
      <c r="D948" s="0" t="inlineStr">
        <is>
          <t>NULL</t>
        </is>
      </c>
      <c r="E948" s="0" t="inlineStr">
        <is>
          <t>NULL</t>
        </is>
      </c>
      <c r="F948" s="0" t="inlineStr">
        <is>
          <t>NULL</t>
        </is>
      </c>
      <c r="G948" s="0" t="inlineStr">
        <is>
          <t>NULL</t>
        </is>
      </c>
      <c r="H948" s="0" t="inlineStr">
        <is>
          <t>NULL</t>
        </is>
      </c>
      <c r="I948" s="0" t="inlineStr">
        <is>
          <t>NULL</t>
        </is>
      </c>
      <c r="J948" s="0" t="inlineStr">
        <is>
          <t>NULL</t>
        </is>
      </c>
      <c r="K948" s="0" t="inlineStr">
        <is>
          <t xml:space="preserve"> NO!  	 c_dt2列源备映射错误，源端为datetime2 None位	期望更改为datetime(n)	实际备端为varchar 136位</t>
        </is>
      </c>
    </row>
    <row r="949">
      <c r="A949" s="0" t="inlineStr">
        <is>
          <t>info_nchar_dml_batch1_pk_drp1</t>
        </is>
      </c>
      <c r="K949" s="0" t="inlineStr">
        <is>
          <t>[0;34m info_nchar_dml_batch1_pk_drp1 [0m源备字段数相同，源端字段：4 	备端字段4</t>
        </is>
      </c>
      <c r="W949" s="0" t="inlineStr">
        <is>
          <t>YES 源备无差异</t>
        </is>
      </c>
      <c r="X949" s="0">
        <f>A949</f>
        <v/>
      </c>
    </row>
    <row r="950">
      <c r="B950" s="0" t="inlineStr">
        <is>
          <t>YES</t>
        </is>
      </c>
      <c r="C950" s="0" t="inlineStr">
        <is>
          <t>NULL</t>
        </is>
      </c>
      <c r="D950" s="0" t="inlineStr">
        <is>
          <t>NULL</t>
        </is>
      </c>
      <c r="E950" s="0" t="inlineStr">
        <is>
          <t>NULL</t>
        </is>
      </c>
      <c r="F950" s="0" t="inlineStr">
        <is>
          <t>NULL</t>
        </is>
      </c>
      <c r="G950" s="0" t="inlineStr">
        <is>
          <t>NULL</t>
        </is>
      </c>
      <c r="H950" s="0" t="inlineStr">
        <is>
          <t>NULL</t>
        </is>
      </c>
      <c r="I950" s="0" t="inlineStr">
        <is>
          <t>YES!PK__info_nch__3213E83F969B1219</t>
        </is>
      </c>
      <c r="J950" s="0" t="inlineStr">
        <is>
          <t>YES! 主键相关索引</t>
        </is>
      </c>
      <c r="K950" s="0" t="inlineStr">
        <is>
          <t>YES! 	 id列源备映射正确，源端为int None位	期望更改为int	实际备端为int None位</t>
        </is>
      </c>
    </row>
    <row r="951">
      <c r="B951" s="0" t="inlineStr">
        <is>
          <t>NULL</t>
        </is>
      </c>
      <c r="C951" s="0" t="inlineStr">
        <is>
          <t>NULL</t>
        </is>
      </c>
      <c r="D951" s="0" t="inlineStr">
        <is>
          <t>NULL</t>
        </is>
      </c>
      <c r="E951" s="0" t="inlineStr">
        <is>
          <t>NULL</t>
        </is>
      </c>
      <c r="F951" s="0" t="inlineStr">
        <is>
          <t>NULL</t>
        </is>
      </c>
      <c r="G951" s="0" t="inlineStr">
        <is>
          <t>NULL</t>
        </is>
      </c>
      <c r="H951" s="0" t="inlineStr">
        <is>
          <t>NULL</t>
        </is>
      </c>
      <c r="I951" s="0" t="inlineStr">
        <is>
          <t>NULL</t>
        </is>
      </c>
      <c r="J951" s="0" t="inlineStr">
        <is>
          <t>NULL</t>
        </is>
      </c>
      <c r="K951" s="0" t="inlineStr">
        <is>
          <t>YES! 	 c_nchar列源备映射正确，源端为nchar 2位	期望更改为char(n)	实际备端为char 4位</t>
        </is>
      </c>
    </row>
    <row r="952">
      <c r="B952" s="0" t="inlineStr">
        <is>
          <t>NULL</t>
        </is>
      </c>
      <c r="C952" s="0" t="inlineStr">
        <is>
          <t>NULL</t>
        </is>
      </c>
      <c r="D952" s="0" t="inlineStr">
        <is>
          <t>NULL</t>
        </is>
      </c>
      <c r="E952" s="0" t="inlineStr">
        <is>
          <t>NULL</t>
        </is>
      </c>
      <c r="F952" s="0" t="inlineStr">
        <is>
          <t>NULL</t>
        </is>
      </c>
      <c r="G952" s="0" t="inlineStr">
        <is>
          <t>NULL</t>
        </is>
      </c>
      <c r="H952" s="0" t="inlineStr">
        <is>
          <t>NULL</t>
        </is>
      </c>
      <c r="I952" s="0" t="inlineStr">
        <is>
          <t>NULL</t>
        </is>
      </c>
      <c r="J952" s="0" t="inlineStr">
        <is>
          <t>NULL</t>
        </is>
      </c>
      <c r="K952" s="0" t="inlineStr">
        <is>
          <t>YES! 	 c_nchar20列源备映射正确，源端为nchar 40位	期望更改为char(n)	实际备端为char 80位</t>
        </is>
      </c>
    </row>
    <row r="953">
      <c r="B953" s="0" t="inlineStr">
        <is>
          <t>NULL</t>
        </is>
      </c>
      <c r="C953" s="0" t="inlineStr">
        <is>
          <t>NULL</t>
        </is>
      </c>
      <c r="D953" s="0" t="inlineStr">
        <is>
          <t>NULL</t>
        </is>
      </c>
      <c r="E953" s="0" t="inlineStr">
        <is>
          <t>NULL</t>
        </is>
      </c>
      <c r="F953" s="0" t="inlineStr">
        <is>
          <t>NULL</t>
        </is>
      </c>
      <c r="G953" s="0" t="inlineStr">
        <is>
          <t>NULL</t>
        </is>
      </c>
      <c r="H953" s="0" t="inlineStr">
        <is>
          <t>NULL</t>
        </is>
      </c>
      <c r="I953" s="0" t="inlineStr">
        <is>
          <t>NULL</t>
        </is>
      </c>
      <c r="J953" s="0" t="inlineStr">
        <is>
          <t>NULL</t>
        </is>
      </c>
      <c r="K953" s="0" t="inlineStr">
        <is>
          <t xml:space="preserve"> NO!  	 c_nchar3500列源备映射错误，源端为nchar 7000位	期望更改为varchar(n)	实际备端为text 65535位</t>
        </is>
      </c>
    </row>
    <row r="954">
      <c r="K954" s="0" t="inlineStr">
        <is>
          <t>~ 空表</t>
        </is>
      </c>
    </row>
    <row r="955">
      <c r="A955" s="0" t="inlineStr">
        <is>
          <t>info_time_dml_single_pk_drp</t>
        </is>
      </c>
      <c r="K955" s="0" t="inlineStr">
        <is>
          <t>[0;34m info_time_dml_single_pk_drp [0m源备字段数相同，源端字段：9 	备端字段9</t>
        </is>
      </c>
      <c r="W955" s="0" t="inlineStr">
        <is>
          <t>YES 源备无差异</t>
        </is>
      </c>
      <c r="X955" s="0">
        <f>A955</f>
        <v/>
      </c>
    </row>
    <row r="956">
      <c r="B956" s="0" t="inlineStr">
        <is>
          <t>YES</t>
        </is>
      </c>
      <c r="C956" s="0" t="inlineStr">
        <is>
          <t>NULL</t>
        </is>
      </c>
      <c r="D956" s="0" t="inlineStr">
        <is>
          <t>NULL</t>
        </is>
      </c>
      <c r="E956" s="0" t="inlineStr">
        <is>
          <t>NULL</t>
        </is>
      </c>
      <c r="F956" s="0" t="inlineStr">
        <is>
          <t>NULL</t>
        </is>
      </c>
      <c r="G956" s="0" t="inlineStr">
        <is>
          <t>NULL</t>
        </is>
      </c>
      <c r="H956" s="0" t="inlineStr">
        <is>
          <t>NULL</t>
        </is>
      </c>
      <c r="I956" s="0" t="inlineStr">
        <is>
          <t>YES!PK__info_tim__3213E83FC101F4AB</t>
        </is>
      </c>
      <c r="J956" s="0" t="inlineStr">
        <is>
          <t>YES! 主键相关索引</t>
        </is>
      </c>
      <c r="K956" s="0" t="inlineStr">
        <is>
          <t>YES! 	 id列源备映射正确，源端为int None位	期望更改为int	实际备端为int None位</t>
        </is>
      </c>
    </row>
    <row r="957">
      <c r="B957" s="0" t="inlineStr">
        <is>
          <t>NULL</t>
        </is>
      </c>
      <c r="C957" s="0" t="inlineStr">
        <is>
          <t>NULL</t>
        </is>
      </c>
      <c r="D957" s="0" t="inlineStr">
        <is>
          <t>NULL</t>
        </is>
      </c>
      <c r="E957" s="0" t="inlineStr">
        <is>
          <t>NULL</t>
        </is>
      </c>
      <c r="F957" s="0" t="inlineStr">
        <is>
          <t>NULL</t>
        </is>
      </c>
      <c r="G957" s="0" t="inlineStr">
        <is>
          <t>NULL</t>
        </is>
      </c>
      <c r="H957" s="0" t="inlineStr">
        <is>
          <t>NULL</t>
        </is>
      </c>
      <c r="I957" s="0" t="inlineStr">
        <is>
          <t>NULL</t>
        </is>
      </c>
      <c r="J957" s="0" t="inlineStr">
        <is>
          <t>NULL</t>
        </is>
      </c>
      <c r="K957" s="0" t="inlineStr">
        <is>
          <t>[0;32m YES! [0m 	 c_time0列源备映射正确，源端为time None位	期望更改为varchar(20)	实际备端为varchar 80位	位数精度不存在，通过长度比较</t>
        </is>
      </c>
    </row>
    <row r="958">
      <c r="B958" s="0" t="inlineStr">
        <is>
          <t>NULL</t>
        </is>
      </c>
      <c r="C958" s="0" t="inlineStr">
        <is>
          <t>NULL</t>
        </is>
      </c>
      <c r="D958" s="0" t="inlineStr">
        <is>
          <t>NULL</t>
        </is>
      </c>
      <c r="E958" s="0" t="inlineStr">
        <is>
          <t>NULL</t>
        </is>
      </c>
      <c r="F958" s="0" t="inlineStr">
        <is>
          <t>NULL</t>
        </is>
      </c>
      <c r="G958" s="0" t="inlineStr">
        <is>
          <t>NULL</t>
        </is>
      </c>
      <c r="H958" s="0" t="inlineStr">
        <is>
          <t>NULL</t>
        </is>
      </c>
      <c r="I958" s="0" t="inlineStr">
        <is>
          <t>NULL</t>
        </is>
      </c>
      <c r="J958" s="0" t="inlineStr">
        <is>
          <t>NULL</t>
        </is>
      </c>
      <c r="K958" s="0" t="inlineStr">
        <is>
          <t>[0;32m YES! [0m 	 c_time1列源备映射正确，源端为time None位	期望更改为varchar(20)	实际备端为varchar 80位	位数精度不存在，通过长度比较</t>
        </is>
      </c>
    </row>
    <row r="959">
      <c r="B959" s="0" t="inlineStr">
        <is>
          <t>NULL</t>
        </is>
      </c>
      <c r="C959" s="0" t="inlineStr">
        <is>
          <t>NULL</t>
        </is>
      </c>
      <c r="D959" s="0" t="inlineStr">
        <is>
          <t>NULL</t>
        </is>
      </c>
      <c r="E959" s="0" t="inlineStr">
        <is>
          <t>NULL</t>
        </is>
      </c>
      <c r="F959" s="0" t="inlineStr">
        <is>
          <t>NULL</t>
        </is>
      </c>
      <c r="G959" s="0" t="inlineStr">
        <is>
          <t>NULL</t>
        </is>
      </c>
      <c r="H959" s="0" t="inlineStr">
        <is>
          <t>NULL</t>
        </is>
      </c>
      <c r="I959" s="0" t="inlineStr">
        <is>
          <t>NULL</t>
        </is>
      </c>
      <c r="J959" s="0" t="inlineStr">
        <is>
          <t>NULL</t>
        </is>
      </c>
      <c r="K959" s="0" t="inlineStr">
        <is>
          <t>[0;32m YES! [0m 	 c_time2列源备映射正确，源端为time None位	期望更改为varchar(20)	实际备端为varchar 80位	位数精度不存在，通过长度比较</t>
        </is>
      </c>
    </row>
    <row r="960">
      <c r="B960" s="0" t="inlineStr">
        <is>
          <t>NULL</t>
        </is>
      </c>
      <c r="C960" s="0" t="inlineStr">
        <is>
          <t>NULL</t>
        </is>
      </c>
      <c r="D960" s="0" t="inlineStr">
        <is>
          <t>NULL</t>
        </is>
      </c>
      <c r="E960" s="0" t="inlineStr">
        <is>
          <t>NULL</t>
        </is>
      </c>
      <c r="F960" s="0" t="inlineStr">
        <is>
          <t>NULL</t>
        </is>
      </c>
      <c r="G960" s="0" t="inlineStr">
        <is>
          <t>NULL</t>
        </is>
      </c>
      <c r="H960" s="0" t="inlineStr">
        <is>
          <t>NULL</t>
        </is>
      </c>
      <c r="I960" s="0" t="inlineStr">
        <is>
          <t>NULL</t>
        </is>
      </c>
      <c r="J960" s="0" t="inlineStr">
        <is>
          <t>NULL</t>
        </is>
      </c>
      <c r="K960" s="0" t="inlineStr">
        <is>
          <t>[0;32m YES! [0m 	 c_time3列源备映射正确，源端为time None位	期望更改为varchar(20)	实际备端为varchar 80位	位数精度不存在，通过长度比较</t>
        </is>
      </c>
    </row>
    <row r="961">
      <c r="B961" s="0" t="inlineStr">
        <is>
          <t>NULL</t>
        </is>
      </c>
      <c r="C961" s="0" t="inlineStr">
        <is>
          <t>NULL</t>
        </is>
      </c>
      <c r="D961" s="0" t="inlineStr">
        <is>
          <t>NULL</t>
        </is>
      </c>
      <c r="E961" s="0" t="inlineStr">
        <is>
          <t>NULL</t>
        </is>
      </c>
      <c r="F961" s="0" t="inlineStr">
        <is>
          <t>NULL</t>
        </is>
      </c>
      <c r="G961" s="0" t="inlineStr">
        <is>
          <t>NULL</t>
        </is>
      </c>
      <c r="H961" s="0" t="inlineStr">
        <is>
          <t>NULL</t>
        </is>
      </c>
      <c r="I961" s="0" t="inlineStr">
        <is>
          <t>NULL</t>
        </is>
      </c>
      <c r="J961" s="0" t="inlineStr">
        <is>
          <t>NULL</t>
        </is>
      </c>
      <c r="K961" s="0" t="inlineStr">
        <is>
          <t>[0;32m YES! [0m 	 c_time4列源备映射正确，源端为time None位	期望更改为varchar(20)	实际备端为varchar 80位	位数精度不存在，通过长度比较</t>
        </is>
      </c>
    </row>
    <row r="962">
      <c r="B962" s="0" t="inlineStr">
        <is>
          <t>NULL</t>
        </is>
      </c>
      <c r="C962" s="0" t="inlineStr">
        <is>
          <t>NULL</t>
        </is>
      </c>
      <c r="D962" s="0" t="inlineStr">
        <is>
          <t>NULL</t>
        </is>
      </c>
      <c r="E962" s="0" t="inlineStr">
        <is>
          <t>NULL</t>
        </is>
      </c>
      <c r="F962" s="0" t="inlineStr">
        <is>
          <t>NULL</t>
        </is>
      </c>
      <c r="G962" s="0" t="inlineStr">
        <is>
          <t>NULL</t>
        </is>
      </c>
      <c r="H962" s="0" t="inlineStr">
        <is>
          <t>NULL</t>
        </is>
      </c>
      <c r="I962" s="0" t="inlineStr">
        <is>
          <t>NULL</t>
        </is>
      </c>
      <c r="J962" s="0" t="inlineStr">
        <is>
          <t>NULL</t>
        </is>
      </c>
      <c r="K962" s="0" t="inlineStr">
        <is>
          <t>[0;32m YES! [0m 	 c_time5列源备映射正确，源端为time None位	期望更改为varchar(20)	实际备端为varchar 80位	位数精度不存在，通过长度比较</t>
        </is>
      </c>
    </row>
    <row r="963">
      <c r="B963" s="0" t="inlineStr">
        <is>
          <t>NULL</t>
        </is>
      </c>
      <c r="C963" s="0" t="inlineStr">
        <is>
          <t>NULL</t>
        </is>
      </c>
      <c r="D963" s="0" t="inlineStr">
        <is>
          <t>NULL</t>
        </is>
      </c>
      <c r="E963" s="0" t="inlineStr">
        <is>
          <t>NULL</t>
        </is>
      </c>
      <c r="F963" s="0" t="inlineStr">
        <is>
          <t>NULL</t>
        </is>
      </c>
      <c r="G963" s="0" t="inlineStr">
        <is>
          <t>NULL</t>
        </is>
      </c>
      <c r="H963" s="0" t="inlineStr">
        <is>
          <t>NULL</t>
        </is>
      </c>
      <c r="I963" s="0" t="inlineStr">
        <is>
          <t>NULL</t>
        </is>
      </c>
      <c r="J963" s="0" t="inlineStr">
        <is>
          <t>NULL</t>
        </is>
      </c>
      <c r="K963" s="0" t="inlineStr">
        <is>
          <t>[0;32m YES! [0m 	 c_time6列源备映射正确，源端为time None位	期望更改为varchar(20)	实际备端为varchar 80位	位数精度不存在，通过长度比较</t>
        </is>
      </c>
    </row>
    <row r="964">
      <c r="B964" s="0" t="inlineStr">
        <is>
          <t>NULL</t>
        </is>
      </c>
      <c r="C964" s="0" t="inlineStr">
        <is>
          <t>NULL</t>
        </is>
      </c>
      <c r="D964" s="0" t="inlineStr">
        <is>
          <t>NULL</t>
        </is>
      </c>
      <c r="E964" s="0" t="inlineStr">
        <is>
          <t>NULL</t>
        </is>
      </c>
      <c r="F964" s="0" t="inlineStr">
        <is>
          <t>NULL</t>
        </is>
      </c>
      <c r="G964" s="0" t="inlineStr">
        <is>
          <t>NULL</t>
        </is>
      </c>
      <c r="H964" s="0" t="inlineStr">
        <is>
          <t>NULL</t>
        </is>
      </c>
      <c r="I964" s="0" t="inlineStr">
        <is>
          <t>NULL</t>
        </is>
      </c>
      <c r="J964" s="0" t="inlineStr">
        <is>
          <t>NULL</t>
        </is>
      </c>
      <c r="K964" s="0" t="inlineStr">
        <is>
          <t>[0;32m YES! [0m 	 c_time列源备映射正确，源端为time None位	期望更改为varchar(20)	实际备端为varchar 80位	位数精度不存在，通过长度比较</t>
        </is>
      </c>
    </row>
    <row r="965">
      <c r="A965" s="0" t="inlineStr">
        <is>
          <t>info_text_dml_single_nopk_irp</t>
        </is>
      </c>
      <c r="K965" s="0" t="inlineStr">
        <is>
          <t>[0;34m info_text_dml_single_nopk_irp [0m源备字段数相同，源端字段：3 	备端字段3</t>
        </is>
      </c>
      <c r="W965" s="0" t="inlineStr">
        <is>
          <t>YES 源备无差异</t>
        </is>
      </c>
      <c r="X965" s="0">
        <f>A965</f>
        <v/>
      </c>
    </row>
    <row r="966">
      <c r="B966" s="0" t="inlineStr">
        <is>
          <t>NULL</t>
        </is>
      </c>
      <c r="C966" s="0" t="inlineStr">
        <is>
          <t>NULL</t>
        </is>
      </c>
      <c r="D966" s="0" t="inlineStr">
        <is>
          <t>NULL</t>
        </is>
      </c>
      <c r="E966" s="0" t="inlineStr">
        <is>
          <t>NULL</t>
        </is>
      </c>
      <c r="F966" s="0" t="inlineStr">
        <is>
          <t>NULL</t>
        </is>
      </c>
      <c r="G966" s="0" t="inlineStr">
        <is>
          <t>NULL</t>
        </is>
      </c>
      <c r="H966" s="0" t="inlineStr">
        <is>
          <t>NULL</t>
        </is>
      </c>
      <c r="I966" s="0" t="inlineStr">
        <is>
          <t>NULL</t>
        </is>
      </c>
      <c r="J966" s="0" t="inlineStr">
        <is>
          <t>NULL</t>
        </is>
      </c>
      <c r="K966" s="0" t="inlineStr">
        <is>
          <t>YES! 	 id列源备映射正确，源端为int None位	期望更改为int	实际备端为int None位</t>
        </is>
      </c>
    </row>
    <row r="967">
      <c r="B967" s="0" t="inlineStr">
        <is>
          <t>NULL</t>
        </is>
      </c>
      <c r="C967" s="0" t="inlineStr">
        <is>
          <t>NULL</t>
        </is>
      </c>
      <c r="D967" s="0" t="inlineStr">
        <is>
          <t>NULL</t>
        </is>
      </c>
      <c r="E967" s="0" t="inlineStr">
        <is>
          <t>NULL</t>
        </is>
      </c>
      <c r="F967" s="0" t="inlineStr">
        <is>
          <t>NULL</t>
        </is>
      </c>
      <c r="G967" s="0" t="inlineStr">
        <is>
          <t>NULL</t>
        </is>
      </c>
      <c r="H967" s="0" t="inlineStr">
        <is>
          <t>NULL</t>
        </is>
      </c>
      <c r="I967" s="0" t="inlineStr">
        <is>
          <t>NULL</t>
        </is>
      </c>
      <c r="J967" s="0" t="inlineStr">
        <is>
          <t>NULL</t>
        </is>
      </c>
      <c r="K967" s="0" t="inlineStr">
        <is>
          <t>YES! 	 c_text列源备映射正确，源端为text 2147483647位	期望更改为longtext	实际备端为longtext 4294967295位</t>
        </is>
      </c>
    </row>
    <row r="968">
      <c r="B968" s="0" t="inlineStr">
        <is>
          <t>NULL</t>
        </is>
      </c>
      <c r="C968" s="0" t="inlineStr">
        <is>
          <t>NULL</t>
        </is>
      </c>
      <c r="D968" s="0" t="inlineStr">
        <is>
          <t>NULL</t>
        </is>
      </c>
      <c r="E968" s="0" t="inlineStr">
        <is>
          <t>NULL</t>
        </is>
      </c>
      <c r="F968" s="0" t="inlineStr">
        <is>
          <t>NULL</t>
        </is>
      </c>
      <c r="G968" s="0" t="inlineStr">
        <is>
          <t>NULL</t>
        </is>
      </c>
      <c r="H968" s="0" t="inlineStr">
        <is>
          <t>NULL</t>
        </is>
      </c>
      <c r="I968" s="0" t="inlineStr">
        <is>
          <t>NULL</t>
        </is>
      </c>
      <c r="J968" s="0" t="inlineStr">
        <is>
          <t>NULL</t>
        </is>
      </c>
      <c r="K968" s="0" t="inlineStr">
        <is>
          <t>YES! 	 c_ntext列源备映射正确，源端为ntext 2147483646位	期望更改为longtext	实际备端为longtext 4294967295位</t>
        </is>
      </c>
    </row>
    <row r="969">
      <c r="A969" s="0" t="inlineStr">
        <is>
          <t>info_uniqueidentifier_dml_single_nopk_irp</t>
        </is>
      </c>
      <c r="K969" s="0" t="inlineStr">
        <is>
          <t>[0;34m info_uniqueidentifier_dml_single_nopk_irp [0m源备字段数相同，源端字段：2 	备端字段2</t>
        </is>
      </c>
      <c r="W969" s="0" t="inlineStr">
        <is>
          <t>YES 源备无差异</t>
        </is>
      </c>
      <c r="X969" s="0">
        <f>A969</f>
        <v/>
      </c>
    </row>
    <row r="970">
      <c r="B970" s="0" t="inlineStr">
        <is>
          <t>NULL</t>
        </is>
      </c>
      <c r="C970" s="0" t="inlineStr">
        <is>
          <t>NULL</t>
        </is>
      </c>
      <c r="D970" s="0" t="inlineStr">
        <is>
          <t>NULL</t>
        </is>
      </c>
      <c r="E970" s="0" t="inlineStr">
        <is>
          <t>NULL</t>
        </is>
      </c>
      <c r="F970" s="0" t="inlineStr">
        <is>
          <t>NULL</t>
        </is>
      </c>
      <c r="G970" s="0" t="inlineStr">
        <is>
          <t>NULL</t>
        </is>
      </c>
      <c r="H970" s="0" t="inlineStr">
        <is>
          <t>NULL</t>
        </is>
      </c>
      <c r="I970" s="0" t="inlineStr">
        <is>
          <t>NULL</t>
        </is>
      </c>
      <c r="J970" s="0" t="inlineStr">
        <is>
          <t>NULL</t>
        </is>
      </c>
      <c r="K970" s="0" t="inlineStr">
        <is>
          <t>YES! 	 id列源备映射正确，源端为int None位	期望更改为int	实际备端为int None位</t>
        </is>
      </c>
    </row>
    <row r="971">
      <c r="B971" s="0" t="inlineStr">
        <is>
          <t>NULL</t>
        </is>
      </c>
      <c r="C971" s="0" t="inlineStr">
        <is>
          <t>NO!源None备NUL</t>
        </is>
      </c>
      <c r="D971" s="0" t="inlineStr">
        <is>
          <t>NULL</t>
        </is>
      </c>
      <c r="E971" s="0" t="inlineStr">
        <is>
          <t>NULL</t>
        </is>
      </c>
      <c r="F971" s="0" t="inlineStr">
        <is>
          <t>NULL</t>
        </is>
      </c>
      <c r="G971" s="0" t="inlineStr">
        <is>
          <t>NULL</t>
        </is>
      </c>
      <c r="H971" s="0" t="inlineStr">
        <is>
          <t>NULL</t>
        </is>
      </c>
      <c r="I971" s="0" t="inlineStr">
        <is>
          <t>NULL</t>
        </is>
      </c>
      <c r="J971" s="0" t="inlineStr">
        <is>
          <t>NULL</t>
        </is>
      </c>
      <c r="K971" s="0" t="inlineStr">
        <is>
          <t>[0;32m YES! [0m 	 c_uniqueidentifier列源备映射正确，源端为uniqueidentifier None位	期望更改为VARCHAR(100)	实际备端为varchar 400位	位数精度不存在，通过长度比较</t>
        </is>
      </c>
    </row>
    <row r="972">
      <c r="A972" s="0" t="inlineStr">
        <is>
          <t>info_datetime2_dml_batch2_pk_irp1</t>
        </is>
      </c>
      <c r="K972" s="0" t="inlineStr">
        <is>
          <t>[0;34m info_datetime2_dml_batch2_pk_irp1 [0m源备字段数相同，源端字段：9 	备端字段9</t>
        </is>
      </c>
      <c r="W972" s="0" t="inlineStr">
        <is>
          <t>YES 源备无差异</t>
        </is>
      </c>
      <c r="X972" s="0">
        <f>A972</f>
        <v/>
      </c>
    </row>
    <row r="973">
      <c r="B973" s="0" t="inlineStr">
        <is>
          <t>YES</t>
        </is>
      </c>
      <c r="C973" s="0" t="inlineStr">
        <is>
          <t>NULL</t>
        </is>
      </c>
      <c r="D973" s="0" t="inlineStr">
        <is>
          <t>NULL</t>
        </is>
      </c>
      <c r="E973" s="0" t="inlineStr">
        <is>
          <t>NULL</t>
        </is>
      </c>
      <c r="F973" s="0" t="inlineStr">
        <is>
          <t>NULL</t>
        </is>
      </c>
      <c r="G973" s="0" t="inlineStr">
        <is>
          <t>NULL</t>
        </is>
      </c>
      <c r="H973" s="0" t="inlineStr">
        <is>
          <t>NULL</t>
        </is>
      </c>
      <c r="I973" s="0" t="inlineStr">
        <is>
          <t>YES!PK__info_dat__3213E83FD21814D0</t>
        </is>
      </c>
      <c r="J973" s="0" t="inlineStr">
        <is>
          <t>YES! 主键相关索引</t>
        </is>
      </c>
      <c r="K973" s="0" t="inlineStr">
        <is>
          <t>YES! 	 id列源备映射正确，源端为int None位	期望更改为int	实际备端为int None位</t>
        </is>
      </c>
    </row>
    <row r="974">
      <c r="B974" s="0" t="inlineStr">
        <is>
          <t>NULL</t>
        </is>
      </c>
      <c r="C974" s="0" t="inlineStr">
        <is>
          <t>NULL</t>
        </is>
      </c>
      <c r="D974" s="0" t="inlineStr">
        <is>
          <t>NULL</t>
        </is>
      </c>
      <c r="E974" s="0" t="inlineStr">
        <is>
          <t>NULL</t>
        </is>
      </c>
      <c r="F974" s="0" t="inlineStr">
        <is>
          <t>NULL</t>
        </is>
      </c>
      <c r="G974" s="0" t="inlineStr">
        <is>
          <t>NULL</t>
        </is>
      </c>
      <c r="H974" s="0" t="inlineStr">
        <is>
          <t>NULL</t>
        </is>
      </c>
      <c r="I974" s="0" t="inlineStr">
        <is>
          <t>NULL</t>
        </is>
      </c>
      <c r="J974" s="0" t="inlineStr">
        <is>
          <t>NULL</t>
        </is>
      </c>
      <c r="K974" s="0" t="inlineStr">
        <is>
          <t>no,len不存在</t>
        </is>
      </c>
    </row>
    <row r="975">
      <c r="B975" s="0" t="inlineStr">
        <is>
          <t>NULL</t>
        </is>
      </c>
      <c r="C975" s="0" t="inlineStr">
        <is>
          <t>NULL</t>
        </is>
      </c>
      <c r="D975" s="0" t="inlineStr">
        <is>
          <t>NULL</t>
        </is>
      </c>
      <c r="E975" s="0" t="inlineStr">
        <is>
          <t>NULL</t>
        </is>
      </c>
      <c r="F975" s="0" t="inlineStr">
        <is>
          <t>NULL</t>
        </is>
      </c>
      <c r="G975" s="0" t="inlineStr">
        <is>
          <t>NULL</t>
        </is>
      </c>
      <c r="H975" s="0" t="inlineStr">
        <is>
          <t>NULL</t>
        </is>
      </c>
      <c r="I975" s="0" t="inlineStr">
        <is>
          <t>NULL</t>
        </is>
      </c>
      <c r="J975" s="0" t="inlineStr">
        <is>
          <t>NULL</t>
        </is>
      </c>
      <c r="K975" s="0" t="inlineStr">
        <is>
          <t>YES! 	 c_dt2_1列源备映射正确，源端为datetime2 None位	期望更改为datetime(n)	实际备端为datetime None位</t>
        </is>
      </c>
    </row>
    <row r="976">
      <c r="B976" s="0" t="inlineStr">
        <is>
          <t>NULL</t>
        </is>
      </c>
      <c r="C976" s="0" t="inlineStr">
        <is>
          <t>NULL</t>
        </is>
      </c>
      <c r="D976" s="0" t="inlineStr">
        <is>
          <t>NULL</t>
        </is>
      </c>
      <c r="E976" s="0" t="inlineStr">
        <is>
          <t>NULL</t>
        </is>
      </c>
      <c r="F976" s="0" t="inlineStr">
        <is>
          <t>NULL</t>
        </is>
      </c>
      <c r="G976" s="0" t="inlineStr">
        <is>
          <t>NULL</t>
        </is>
      </c>
      <c r="H976" s="0" t="inlineStr">
        <is>
          <t>NULL</t>
        </is>
      </c>
      <c r="I976" s="0" t="inlineStr">
        <is>
          <t>NULL</t>
        </is>
      </c>
      <c r="J976" s="0" t="inlineStr">
        <is>
          <t>NULL</t>
        </is>
      </c>
      <c r="K976" s="0" t="inlineStr">
        <is>
          <t>YES! 	 c_dt2_2列源备映射正确，源端为datetime2 None位	期望更改为datetime(n)	实际备端为datetime None位</t>
        </is>
      </c>
    </row>
    <row r="977">
      <c r="B977" s="0" t="inlineStr">
        <is>
          <t>NULL</t>
        </is>
      </c>
      <c r="C977" s="0" t="inlineStr">
        <is>
          <t>NULL</t>
        </is>
      </c>
      <c r="D977" s="0" t="inlineStr">
        <is>
          <t>NULL</t>
        </is>
      </c>
      <c r="E977" s="0" t="inlineStr">
        <is>
          <t>NULL</t>
        </is>
      </c>
      <c r="F977" s="0" t="inlineStr">
        <is>
          <t>NULL</t>
        </is>
      </c>
      <c r="G977" s="0" t="inlineStr">
        <is>
          <t>NULL</t>
        </is>
      </c>
      <c r="H977" s="0" t="inlineStr">
        <is>
          <t>NULL</t>
        </is>
      </c>
      <c r="I977" s="0" t="inlineStr">
        <is>
          <t>NULL</t>
        </is>
      </c>
      <c r="J977" s="0" t="inlineStr">
        <is>
          <t>NULL</t>
        </is>
      </c>
      <c r="K977" s="0" t="inlineStr">
        <is>
          <t>YES! 	 c_dt2_3列源备映射正确，源端为datetime2 None位	期望更改为datetime(n)	实际备端为datetime None位</t>
        </is>
      </c>
    </row>
    <row r="978">
      <c r="B978" s="0" t="inlineStr">
        <is>
          <t>NULL</t>
        </is>
      </c>
      <c r="C978" s="0" t="inlineStr">
        <is>
          <t>NULL</t>
        </is>
      </c>
      <c r="D978" s="0" t="inlineStr">
        <is>
          <t>NULL</t>
        </is>
      </c>
      <c r="E978" s="0" t="inlineStr">
        <is>
          <t>NULL</t>
        </is>
      </c>
      <c r="F978" s="0" t="inlineStr">
        <is>
          <t>NULL</t>
        </is>
      </c>
      <c r="G978" s="0" t="inlineStr">
        <is>
          <t>NULL</t>
        </is>
      </c>
      <c r="H978" s="0" t="inlineStr">
        <is>
          <t>NULL</t>
        </is>
      </c>
      <c r="I978" s="0" t="inlineStr">
        <is>
          <t>NULL</t>
        </is>
      </c>
      <c r="J978" s="0" t="inlineStr">
        <is>
          <t>NULL</t>
        </is>
      </c>
      <c r="K978" s="0" t="inlineStr">
        <is>
          <t>YES! 	 c_dt2_4列源备映射正确，源端为datetime2 None位	期望更改为datetime(n)	实际备端为datetime None位</t>
        </is>
      </c>
    </row>
    <row r="979">
      <c r="B979" s="0" t="inlineStr">
        <is>
          <t>NULL</t>
        </is>
      </c>
      <c r="C979" s="0" t="inlineStr">
        <is>
          <t>NULL</t>
        </is>
      </c>
      <c r="D979" s="0" t="inlineStr">
        <is>
          <t>NULL</t>
        </is>
      </c>
      <c r="E979" s="0" t="inlineStr">
        <is>
          <t>NULL</t>
        </is>
      </c>
      <c r="F979" s="0" t="inlineStr">
        <is>
          <t>NULL</t>
        </is>
      </c>
      <c r="G979" s="0" t="inlineStr">
        <is>
          <t>NULL</t>
        </is>
      </c>
      <c r="H979" s="0" t="inlineStr">
        <is>
          <t>NULL</t>
        </is>
      </c>
      <c r="I979" s="0" t="inlineStr">
        <is>
          <t>NULL</t>
        </is>
      </c>
      <c r="J979" s="0" t="inlineStr">
        <is>
          <t>NULL</t>
        </is>
      </c>
      <c r="K979" s="0" t="inlineStr">
        <is>
          <t>YES! 	 c_dt2_5列源备映射正确，源端为datetime2 None位	期望更改为datetime(n)	实际备端为datetime None位</t>
        </is>
      </c>
    </row>
    <row r="980">
      <c r="B980" s="0" t="inlineStr">
        <is>
          <t>NULL</t>
        </is>
      </c>
      <c r="C980" s="0" t="inlineStr">
        <is>
          <t>NULL</t>
        </is>
      </c>
      <c r="D980" s="0" t="inlineStr">
        <is>
          <t>NULL</t>
        </is>
      </c>
      <c r="E980" s="0" t="inlineStr">
        <is>
          <t>NULL</t>
        </is>
      </c>
      <c r="F980" s="0" t="inlineStr">
        <is>
          <t>NULL</t>
        </is>
      </c>
      <c r="G980" s="0" t="inlineStr">
        <is>
          <t>NULL</t>
        </is>
      </c>
      <c r="H980" s="0" t="inlineStr">
        <is>
          <t>NULL</t>
        </is>
      </c>
      <c r="I980" s="0" t="inlineStr">
        <is>
          <t>NULL</t>
        </is>
      </c>
      <c r="J980" s="0" t="inlineStr">
        <is>
          <t>NULL</t>
        </is>
      </c>
      <c r="K980" s="0" t="inlineStr">
        <is>
          <t>YES! 	 c_dt2_6列源备映射正确，源端为datetime2 None位	期望更改为datetime(n)	实际备端为datetime None位</t>
        </is>
      </c>
    </row>
    <row r="981">
      <c r="B981" s="0" t="inlineStr">
        <is>
          <t>NULL</t>
        </is>
      </c>
      <c r="C981" s="0" t="inlineStr">
        <is>
          <t>NULL</t>
        </is>
      </c>
      <c r="D981" s="0" t="inlineStr">
        <is>
          <t>NULL</t>
        </is>
      </c>
      <c r="E981" s="0" t="inlineStr">
        <is>
          <t>NULL</t>
        </is>
      </c>
      <c r="F981" s="0" t="inlineStr">
        <is>
          <t>NULL</t>
        </is>
      </c>
      <c r="G981" s="0" t="inlineStr">
        <is>
          <t>NULL</t>
        </is>
      </c>
      <c r="H981" s="0" t="inlineStr">
        <is>
          <t>NULL</t>
        </is>
      </c>
      <c r="I981" s="0" t="inlineStr">
        <is>
          <t>NULL</t>
        </is>
      </c>
      <c r="J981" s="0" t="inlineStr">
        <is>
          <t>NULL</t>
        </is>
      </c>
      <c r="K981" s="0" t="inlineStr">
        <is>
          <t xml:space="preserve"> NO!  	 c_dt2列源备映射错误，源端为datetime2 None位	期望更改为datetime(n)	实际备端为varchar 136位</t>
        </is>
      </c>
    </row>
    <row r="982">
      <c r="A982" s="0" t="inlineStr">
        <is>
          <t>info_text_dml_single_nopk_urp</t>
        </is>
      </c>
      <c r="K982" s="0" t="inlineStr">
        <is>
          <t>[0;34m info_text_dml_single_nopk_urp [0m源备字段数相同，源端字段：3 	备端字段3</t>
        </is>
      </c>
      <c r="W982" s="0" t="inlineStr">
        <is>
          <t>YES 源备无差异</t>
        </is>
      </c>
      <c r="X982" s="0">
        <f>A982</f>
        <v/>
      </c>
    </row>
    <row r="983">
      <c r="B983" s="0" t="inlineStr">
        <is>
          <t>NULL</t>
        </is>
      </c>
      <c r="C983" s="0" t="inlineStr">
        <is>
          <t>NULL</t>
        </is>
      </c>
      <c r="D983" s="0" t="inlineStr">
        <is>
          <t>NULL</t>
        </is>
      </c>
      <c r="E983" s="0" t="inlineStr">
        <is>
          <t>NULL</t>
        </is>
      </c>
      <c r="F983" s="0" t="inlineStr">
        <is>
          <t>NULL</t>
        </is>
      </c>
      <c r="G983" s="0" t="inlineStr">
        <is>
          <t>NULL</t>
        </is>
      </c>
      <c r="H983" s="0" t="inlineStr">
        <is>
          <t>NULL</t>
        </is>
      </c>
      <c r="I983" s="0" t="inlineStr">
        <is>
          <t>NULL</t>
        </is>
      </c>
      <c r="J983" s="0" t="inlineStr">
        <is>
          <t>NULL</t>
        </is>
      </c>
      <c r="K983" s="0" t="inlineStr">
        <is>
          <t>YES! 	 id列源备映射正确，源端为int None位	期望更改为int	实际备端为int None位</t>
        </is>
      </c>
    </row>
    <row r="984">
      <c r="B984" s="0" t="inlineStr">
        <is>
          <t>NULL</t>
        </is>
      </c>
      <c r="C984" s="0" t="inlineStr">
        <is>
          <t>NULL</t>
        </is>
      </c>
      <c r="D984" s="0" t="inlineStr">
        <is>
          <t>NULL</t>
        </is>
      </c>
      <c r="E984" s="0" t="inlineStr">
        <is>
          <t>NULL</t>
        </is>
      </c>
      <c r="F984" s="0" t="inlineStr">
        <is>
          <t>NULL</t>
        </is>
      </c>
      <c r="G984" s="0" t="inlineStr">
        <is>
          <t>NULL</t>
        </is>
      </c>
      <c r="H984" s="0" t="inlineStr">
        <is>
          <t>NULL</t>
        </is>
      </c>
      <c r="I984" s="0" t="inlineStr">
        <is>
          <t>NULL</t>
        </is>
      </c>
      <c r="J984" s="0" t="inlineStr">
        <is>
          <t>NULL</t>
        </is>
      </c>
      <c r="K984" s="0" t="inlineStr">
        <is>
          <t>YES! 	 c_text列源备映射正确，源端为text 2147483647位	期望更改为longtext	实际备端为longtext 4294967295位</t>
        </is>
      </c>
    </row>
    <row r="985">
      <c r="B985" s="0" t="inlineStr">
        <is>
          <t>NULL</t>
        </is>
      </c>
      <c r="C985" s="0" t="inlineStr">
        <is>
          <t>NULL</t>
        </is>
      </c>
      <c r="D985" s="0" t="inlineStr">
        <is>
          <t>NULL</t>
        </is>
      </c>
      <c r="E985" s="0" t="inlineStr">
        <is>
          <t>NULL</t>
        </is>
      </c>
      <c r="F985" s="0" t="inlineStr">
        <is>
          <t>NULL</t>
        </is>
      </c>
      <c r="G985" s="0" t="inlineStr">
        <is>
          <t>NULL</t>
        </is>
      </c>
      <c r="H985" s="0" t="inlineStr">
        <is>
          <t>NULL</t>
        </is>
      </c>
      <c r="I985" s="0" t="inlineStr">
        <is>
          <t>NULL</t>
        </is>
      </c>
      <c r="J985" s="0" t="inlineStr">
        <is>
          <t>NULL</t>
        </is>
      </c>
      <c r="K985" s="0" t="inlineStr">
        <is>
          <t>YES! 	 c_ntext列源备映射正确，源端为ntext 2147483646位	期望更改为longtext	实际备端为longtext 4294967295位</t>
        </is>
      </c>
    </row>
    <row r="986">
      <c r="A986" s="0" t="inlineStr">
        <is>
          <t>info_nchar_dml_batch1_pk_drp2</t>
        </is>
      </c>
      <c r="K986" s="0" t="inlineStr">
        <is>
          <t>[0;34m info_nchar_dml_batch1_pk_drp2 [0m源备字段数相同，源端字段：4 	备端字段4</t>
        </is>
      </c>
      <c r="W986" s="15">
        <f>HYPERLINK("#2026051816mysql2!BQ2","NO 源备存在差异，共2个")</f>
        <v/>
      </c>
      <c r="X986" s="0">
        <f>A986</f>
        <v/>
      </c>
    </row>
    <row r="987">
      <c r="B987" s="0" t="inlineStr">
        <is>
          <t>YES</t>
        </is>
      </c>
      <c r="C987" s="0" t="inlineStr">
        <is>
          <t>NULL</t>
        </is>
      </c>
      <c r="D987" s="0" t="inlineStr">
        <is>
          <t>NULL</t>
        </is>
      </c>
      <c r="E987" s="0" t="inlineStr">
        <is>
          <t>NULL</t>
        </is>
      </c>
      <c r="F987" s="0" t="inlineStr">
        <is>
          <t>NULL</t>
        </is>
      </c>
      <c r="G987" s="0" t="inlineStr">
        <is>
          <t>NULL</t>
        </is>
      </c>
      <c r="H987" s="0" t="inlineStr">
        <is>
          <t>NULL</t>
        </is>
      </c>
      <c r="I987" s="0" t="inlineStr">
        <is>
          <t>YES!PK__info_nch__3213E83F73BB4B53</t>
        </is>
      </c>
      <c r="J987" s="0" t="inlineStr">
        <is>
          <t>YES! 主键相关索引</t>
        </is>
      </c>
      <c r="K987" s="0" t="inlineStr">
        <is>
          <t>YES! 	 id列源备映射正确，源端为int None位	期望更改为int	实际备端为int None位</t>
        </is>
      </c>
    </row>
    <row r="988">
      <c r="B988" s="0" t="inlineStr">
        <is>
          <t>NULL</t>
        </is>
      </c>
      <c r="C988" s="0" t="inlineStr">
        <is>
          <t>NULL</t>
        </is>
      </c>
      <c r="D988" s="0" t="inlineStr">
        <is>
          <t>NULL</t>
        </is>
      </c>
      <c r="E988" s="0" t="inlineStr">
        <is>
          <t>NULL</t>
        </is>
      </c>
      <c r="F988" s="0" t="inlineStr">
        <is>
          <t>NULL</t>
        </is>
      </c>
      <c r="G988" s="0" t="inlineStr">
        <is>
          <t>NULL</t>
        </is>
      </c>
      <c r="H988" s="0" t="inlineStr">
        <is>
          <t>NULL</t>
        </is>
      </c>
      <c r="I988" s="0" t="inlineStr">
        <is>
          <t>NULL</t>
        </is>
      </c>
      <c r="J988" s="0" t="inlineStr">
        <is>
          <t>NULL</t>
        </is>
      </c>
      <c r="K988" s="0" t="inlineStr">
        <is>
          <t>YES! 	 c_nchar列源备映射正确，源端为nchar 2位	期望更改为char(n)	实际备端为char 4位</t>
        </is>
      </c>
    </row>
    <row r="989">
      <c r="B989" s="0" t="inlineStr">
        <is>
          <t>NULL</t>
        </is>
      </c>
      <c r="C989" s="0" t="inlineStr">
        <is>
          <t>NULL</t>
        </is>
      </c>
      <c r="D989" s="0" t="inlineStr">
        <is>
          <t>NULL</t>
        </is>
      </c>
      <c r="E989" s="0" t="inlineStr">
        <is>
          <t>NULL</t>
        </is>
      </c>
      <c r="F989" s="0" t="inlineStr">
        <is>
          <t>NULL</t>
        </is>
      </c>
      <c r="G989" s="0" t="inlineStr">
        <is>
          <t>NULL</t>
        </is>
      </c>
      <c r="H989" s="0" t="inlineStr">
        <is>
          <t>NULL</t>
        </is>
      </c>
      <c r="I989" s="0" t="inlineStr">
        <is>
          <t>NULL</t>
        </is>
      </c>
      <c r="J989" s="0" t="inlineStr">
        <is>
          <t>NULL</t>
        </is>
      </c>
      <c r="K989" s="0" t="inlineStr">
        <is>
          <t>YES! 	 c_nchar20列源备映射正确，源端为nchar 40位	期望更改为char(n)	实际备端为char 80位</t>
        </is>
      </c>
    </row>
    <row r="990">
      <c r="B990" s="0" t="inlineStr">
        <is>
          <t>NULL</t>
        </is>
      </c>
      <c r="C990" s="0" t="inlineStr">
        <is>
          <t>NULL</t>
        </is>
      </c>
      <c r="D990" s="0" t="inlineStr">
        <is>
          <t>NULL</t>
        </is>
      </c>
      <c r="E990" s="0" t="inlineStr">
        <is>
          <t>NULL</t>
        </is>
      </c>
      <c r="F990" s="0" t="inlineStr">
        <is>
          <t>NULL</t>
        </is>
      </c>
      <c r="G990" s="0" t="inlineStr">
        <is>
          <t>NULL</t>
        </is>
      </c>
      <c r="H990" s="0" t="inlineStr">
        <is>
          <t>NULL</t>
        </is>
      </c>
      <c r="I990" s="0" t="inlineStr">
        <is>
          <t>NULL</t>
        </is>
      </c>
      <c r="J990" s="0" t="inlineStr">
        <is>
          <t>NULL</t>
        </is>
      </c>
      <c r="K990" s="0" t="inlineStr">
        <is>
          <t xml:space="preserve"> NO!  	 c_nchar3500列源备映射错误，源端为nchar 7000位	期望更改为varchar(n)	实际备端为text 65535位</t>
        </is>
      </c>
    </row>
    <row r="991">
      <c r="A991" s="0" t="inlineStr">
        <is>
          <t>info_time_dml_single_pk</t>
        </is>
      </c>
      <c r="K991" s="0" t="inlineStr">
        <is>
          <t>[0;34m info_time_dml_single_pk [0m源备字段数相同，源端字段：9 	备端字段9</t>
        </is>
      </c>
      <c r="W991" s="0" t="inlineStr">
        <is>
          <t>YES 源备无差异</t>
        </is>
      </c>
      <c r="X991" s="0">
        <f>A991</f>
        <v/>
      </c>
    </row>
    <row r="992">
      <c r="B992" s="0" t="inlineStr">
        <is>
          <t>YES</t>
        </is>
      </c>
      <c r="C992" s="0" t="inlineStr">
        <is>
          <t>NULL</t>
        </is>
      </c>
      <c r="D992" s="0" t="inlineStr">
        <is>
          <t>NULL</t>
        </is>
      </c>
      <c r="E992" s="0" t="inlineStr">
        <is>
          <t>NULL</t>
        </is>
      </c>
      <c r="F992" s="0" t="inlineStr">
        <is>
          <t>NULL</t>
        </is>
      </c>
      <c r="G992" s="0" t="inlineStr">
        <is>
          <t>NULL</t>
        </is>
      </c>
      <c r="H992" s="0" t="inlineStr">
        <is>
          <t>NULL</t>
        </is>
      </c>
      <c r="I992" s="0" t="inlineStr">
        <is>
          <t>YES!PK__info_tim__3213E83F4F90D1A9</t>
        </is>
      </c>
      <c r="J992" s="0" t="inlineStr">
        <is>
          <t>YES! 主键相关索引</t>
        </is>
      </c>
      <c r="K992" s="0" t="inlineStr">
        <is>
          <t>YES! 	 id列源备映射正确，源端为int None位	期望更改为int	实际备端为int None位</t>
        </is>
      </c>
    </row>
    <row r="993">
      <c r="B993" s="0" t="inlineStr">
        <is>
          <t>NULL</t>
        </is>
      </c>
      <c r="C993" s="0" t="inlineStr">
        <is>
          <t>NULL</t>
        </is>
      </c>
      <c r="D993" s="0" t="inlineStr">
        <is>
          <t>NULL</t>
        </is>
      </c>
      <c r="E993" s="0" t="inlineStr">
        <is>
          <t>NULL</t>
        </is>
      </c>
      <c r="F993" s="0" t="inlineStr">
        <is>
          <t>NULL</t>
        </is>
      </c>
      <c r="G993" s="0" t="inlineStr">
        <is>
          <t>NULL</t>
        </is>
      </c>
      <c r="H993" s="0" t="inlineStr">
        <is>
          <t>NULL</t>
        </is>
      </c>
      <c r="I993" s="0" t="inlineStr">
        <is>
          <t>NULL</t>
        </is>
      </c>
      <c r="J993" s="0" t="inlineStr">
        <is>
          <t>NULL</t>
        </is>
      </c>
      <c r="K993" s="0" t="inlineStr">
        <is>
          <t>[0;32m YES! [0m 	 c_time0列源备映射正确，源端为time None位	期望更改为varchar(20)	实际备端为varchar 80位	位数精度不存在，通过长度比较</t>
        </is>
      </c>
    </row>
    <row r="994">
      <c r="B994" s="0" t="inlineStr">
        <is>
          <t>NULL</t>
        </is>
      </c>
      <c r="C994" s="0" t="inlineStr">
        <is>
          <t>NULL</t>
        </is>
      </c>
      <c r="D994" s="0" t="inlineStr">
        <is>
          <t>NULL</t>
        </is>
      </c>
      <c r="E994" s="0" t="inlineStr">
        <is>
          <t>NULL</t>
        </is>
      </c>
      <c r="F994" s="0" t="inlineStr">
        <is>
          <t>NULL</t>
        </is>
      </c>
      <c r="G994" s="0" t="inlineStr">
        <is>
          <t>NULL</t>
        </is>
      </c>
      <c r="H994" s="0" t="inlineStr">
        <is>
          <t>NULL</t>
        </is>
      </c>
      <c r="I994" s="0" t="inlineStr">
        <is>
          <t>NULL</t>
        </is>
      </c>
      <c r="J994" s="0" t="inlineStr">
        <is>
          <t>NULL</t>
        </is>
      </c>
      <c r="K994" s="0" t="inlineStr">
        <is>
          <t>[0;32m YES! [0m 	 c_time1列源备映射正确，源端为time None位	期望更改为varchar(20)	实际备端为varchar 80位	位数精度不存在，通过长度比较</t>
        </is>
      </c>
    </row>
    <row r="995">
      <c r="B995" s="0" t="inlineStr">
        <is>
          <t>NULL</t>
        </is>
      </c>
      <c r="C995" s="0" t="inlineStr">
        <is>
          <t>NULL</t>
        </is>
      </c>
      <c r="D995" s="0" t="inlineStr">
        <is>
          <t>NULL</t>
        </is>
      </c>
      <c r="E995" s="0" t="inlineStr">
        <is>
          <t>NULL</t>
        </is>
      </c>
      <c r="F995" s="0" t="inlineStr">
        <is>
          <t>NULL</t>
        </is>
      </c>
      <c r="G995" s="0" t="inlineStr">
        <is>
          <t>NULL</t>
        </is>
      </c>
      <c r="H995" s="0" t="inlineStr">
        <is>
          <t>NULL</t>
        </is>
      </c>
      <c r="I995" s="0" t="inlineStr">
        <is>
          <t>NULL</t>
        </is>
      </c>
      <c r="J995" s="0" t="inlineStr">
        <is>
          <t>NULL</t>
        </is>
      </c>
      <c r="K995" s="0" t="inlineStr">
        <is>
          <t>[0;32m YES! [0m 	 c_time2列源备映射正确，源端为time None位	期望更改为varchar(20)	实际备端为varchar 80位	位数精度不存在，通过长度比较</t>
        </is>
      </c>
    </row>
    <row r="996">
      <c r="B996" s="0" t="inlineStr">
        <is>
          <t>NULL</t>
        </is>
      </c>
      <c r="C996" s="0" t="inlineStr">
        <is>
          <t>NULL</t>
        </is>
      </c>
      <c r="D996" s="0" t="inlineStr">
        <is>
          <t>NULL</t>
        </is>
      </c>
      <c r="E996" s="0" t="inlineStr">
        <is>
          <t>NULL</t>
        </is>
      </c>
      <c r="F996" s="0" t="inlineStr">
        <is>
          <t>NULL</t>
        </is>
      </c>
      <c r="G996" s="0" t="inlineStr">
        <is>
          <t>NULL</t>
        </is>
      </c>
      <c r="H996" s="0" t="inlineStr">
        <is>
          <t>NULL</t>
        </is>
      </c>
      <c r="I996" s="0" t="inlineStr">
        <is>
          <t>NULL</t>
        </is>
      </c>
      <c r="J996" s="0" t="inlineStr">
        <is>
          <t>NULL</t>
        </is>
      </c>
      <c r="K996" s="0" t="inlineStr">
        <is>
          <t>[0;32m YES! [0m 	 c_time3列源备映射正确，源端为time None位	期望更改为varchar(20)	实际备端为varchar 80位	位数精度不存在，通过长度比较</t>
        </is>
      </c>
    </row>
    <row r="997">
      <c r="B997" s="0" t="inlineStr">
        <is>
          <t>NULL</t>
        </is>
      </c>
      <c r="C997" s="0" t="inlineStr">
        <is>
          <t>NULL</t>
        </is>
      </c>
      <c r="D997" s="0" t="inlineStr">
        <is>
          <t>NULL</t>
        </is>
      </c>
      <c r="E997" s="0" t="inlineStr">
        <is>
          <t>NULL</t>
        </is>
      </c>
      <c r="F997" s="0" t="inlineStr">
        <is>
          <t>NULL</t>
        </is>
      </c>
      <c r="G997" s="0" t="inlineStr">
        <is>
          <t>NULL</t>
        </is>
      </c>
      <c r="H997" s="0" t="inlineStr">
        <is>
          <t>NULL</t>
        </is>
      </c>
      <c r="I997" s="0" t="inlineStr">
        <is>
          <t>NULL</t>
        </is>
      </c>
      <c r="J997" s="0" t="inlineStr">
        <is>
          <t>NULL</t>
        </is>
      </c>
      <c r="K997" s="0" t="inlineStr">
        <is>
          <t>[0;32m YES! [0m 	 c_time4列源备映射正确，源端为time None位	期望更改为varchar(20)	实际备端为varchar 80位	位数精度不存在，通过长度比较</t>
        </is>
      </c>
    </row>
    <row r="998">
      <c r="B998" s="0" t="inlineStr">
        <is>
          <t>NULL</t>
        </is>
      </c>
      <c r="C998" s="0" t="inlineStr">
        <is>
          <t>NULL</t>
        </is>
      </c>
      <c r="D998" s="0" t="inlineStr">
        <is>
          <t>NULL</t>
        </is>
      </c>
      <c r="E998" s="0" t="inlineStr">
        <is>
          <t>NULL</t>
        </is>
      </c>
      <c r="F998" s="0" t="inlineStr">
        <is>
          <t>NULL</t>
        </is>
      </c>
      <c r="G998" s="0" t="inlineStr">
        <is>
          <t>NULL</t>
        </is>
      </c>
      <c r="H998" s="0" t="inlineStr">
        <is>
          <t>NULL</t>
        </is>
      </c>
      <c r="I998" s="0" t="inlineStr">
        <is>
          <t>NULL</t>
        </is>
      </c>
      <c r="J998" s="0" t="inlineStr">
        <is>
          <t>NULL</t>
        </is>
      </c>
      <c r="K998" s="0" t="inlineStr">
        <is>
          <t>[0;32m YES! [0m 	 c_time5列源备映射正确，源端为time None位	期望更改为varchar(20)	实际备端为varchar 80位	位数精度不存在，通过长度比较</t>
        </is>
      </c>
    </row>
    <row r="999">
      <c r="B999" s="0" t="inlineStr">
        <is>
          <t>NULL</t>
        </is>
      </c>
      <c r="C999" s="0" t="inlineStr">
        <is>
          <t>NULL</t>
        </is>
      </c>
      <c r="D999" s="0" t="inlineStr">
        <is>
          <t>NULL</t>
        </is>
      </c>
      <c r="E999" s="0" t="inlineStr">
        <is>
          <t>NULL</t>
        </is>
      </c>
      <c r="F999" s="0" t="inlineStr">
        <is>
          <t>NULL</t>
        </is>
      </c>
      <c r="G999" s="0" t="inlineStr">
        <is>
          <t>NULL</t>
        </is>
      </c>
      <c r="H999" s="0" t="inlineStr">
        <is>
          <t>NULL</t>
        </is>
      </c>
      <c r="I999" s="0" t="inlineStr">
        <is>
          <t>NULL</t>
        </is>
      </c>
      <c r="J999" s="0" t="inlineStr">
        <is>
          <t>NULL</t>
        </is>
      </c>
      <c r="K999" s="0" t="inlineStr">
        <is>
          <t>[0;32m YES! [0m 	 c_time6列源备映射正确，源端为time None位	期望更改为varchar(20)	实际备端为varchar 80位	位数精度不存在，通过长度比较</t>
        </is>
      </c>
    </row>
    <row r="1000">
      <c r="B1000" s="0" t="inlineStr">
        <is>
          <t>NULL</t>
        </is>
      </c>
      <c r="C1000" s="0" t="inlineStr">
        <is>
          <t>NULL</t>
        </is>
      </c>
      <c r="D1000" s="0" t="inlineStr">
        <is>
          <t>NULL</t>
        </is>
      </c>
      <c r="E1000" s="0" t="inlineStr">
        <is>
          <t>NULL</t>
        </is>
      </c>
      <c r="F1000" s="0" t="inlineStr">
        <is>
          <t>NULL</t>
        </is>
      </c>
      <c r="G1000" s="0" t="inlineStr">
        <is>
          <t>NULL</t>
        </is>
      </c>
      <c r="H1000" s="0" t="inlineStr">
        <is>
          <t>NULL</t>
        </is>
      </c>
      <c r="I1000" s="0" t="inlineStr">
        <is>
          <t>NULL</t>
        </is>
      </c>
      <c r="J1000" s="0" t="inlineStr">
        <is>
          <t>NULL</t>
        </is>
      </c>
      <c r="K1000" s="0" t="inlineStr">
        <is>
          <t>[0;32m YES! [0m 	 c_time列源备映射正确，源端为time None位	期望更改为varchar(20)	实际备端为varchar 80位	位数精度不存在，通过长度比较</t>
        </is>
      </c>
    </row>
    <row r="1001">
      <c r="A1001" s="0" t="inlineStr">
        <is>
          <t>info_uniqueidentifier_dml_single_nopk_urp</t>
        </is>
      </c>
      <c r="K1001" s="0" t="inlineStr">
        <is>
          <t>[0;34m info_uniqueidentifier_dml_single_nopk_urp [0m源备字段数相同，源端字段：2 	备端字段2</t>
        </is>
      </c>
      <c r="W1001" s="0" t="inlineStr">
        <is>
          <t>YES 源备无差异</t>
        </is>
      </c>
      <c r="X1001" s="0">
        <f>A1001</f>
        <v/>
      </c>
    </row>
    <row r="1002">
      <c r="B1002" s="0" t="inlineStr">
        <is>
          <t>NULL</t>
        </is>
      </c>
      <c r="C1002" s="0" t="inlineStr">
        <is>
          <t>NULL</t>
        </is>
      </c>
      <c r="D1002" s="0" t="inlineStr">
        <is>
          <t>NULL</t>
        </is>
      </c>
      <c r="E1002" s="0" t="inlineStr">
        <is>
          <t>NULL</t>
        </is>
      </c>
      <c r="F1002" s="0" t="inlineStr">
        <is>
          <t>NULL</t>
        </is>
      </c>
      <c r="G1002" s="0" t="inlineStr">
        <is>
          <t>NULL</t>
        </is>
      </c>
      <c r="H1002" s="0" t="inlineStr">
        <is>
          <t>NULL</t>
        </is>
      </c>
      <c r="I1002" s="0" t="inlineStr">
        <is>
          <t>NULL</t>
        </is>
      </c>
      <c r="J1002" s="0" t="inlineStr">
        <is>
          <t>NULL</t>
        </is>
      </c>
      <c r="K1002" s="0" t="inlineStr">
        <is>
          <t>YES! 	 id列源备映射正确，源端为int None位	期望更改为int	实际备端为int None位</t>
        </is>
      </c>
    </row>
    <row r="1003">
      <c r="B1003" s="0" t="inlineStr">
        <is>
          <t>NULL</t>
        </is>
      </c>
      <c r="C1003" s="0" t="inlineStr">
        <is>
          <t>NO!源None备NUL</t>
        </is>
      </c>
      <c r="D1003" s="0" t="inlineStr">
        <is>
          <t>NULL</t>
        </is>
      </c>
      <c r="E1003" s="0" t="inlineStr">
        <is>
          <t>NULL</t>
        </is>
      </c>
      <c r="F1003" s="0" t="inlineStr">
        <is>
          <t>NULL</t>
        </is>
      </c>
      <c r="G1003" s="0" t="inlineStr">
        <is>
          <t>NULL</t>
        </is>
      </c>
      <c r="H1003" s="0" t="inlineStr">
        <is>
          <t>NULL</t>
        </is>
      </c>
      <c r="I1003" s="0" t="inlineStr">
        <is>
          <t>NULL</t>
        </is>
      </c>
      <c r="J1003" s="0" t="inlineStr">
        <is>
          <t>NULL</t>
        </is>
      </c>
      <c r="K1003" s="0" t="inlineStr">
        <is>
          <t>[0;32m YES! [0m 	 c_uniqueidentifier列源备映射正确，源端为uniqueidentifier None位	期望更改为VARCHAR(100)	实际备端为varchar 400位	位数精度不存在，通过长度比较</t>
        </is>
      </c>
    </row>
    <row r="1004">
      <c r="A1004" s="0" t="inlineStr">
        <is>
          <t>info_text_dml_single_nopk_drp</t>
        </is>
      </c>
      <c r="K1004" s="0" t="inlineStr">
        <is>
          <t>[0;34m info_text_dml_single_nopk_drp [0m源备字段数相同，源端字段：3 	备端字段3</t>
        </is>
      </c>
      <c r="W1004" s="0" t="inlineStr">
        <is>
          <t>YES 源备无差异</t>
        </is>
      </c>
      <c r="X1004" s="0">
        <f>A1004</f>
        <v/>
      </c>
    </row>
    <row r="1005">
      <c r="B1005" s="0" t="inlineStr">
        <is>
          <t>NULL</t>
        </is>
      </c>
      <c r="C1005" s="0" t="inlineStr">
        <is>
          <t>NULL</t>
        </is>
      </c>
      <c r="D1005" s="0" t="inlineStr">
        <is>
          <t>NULL</t>
        </is>
      </c>
      <c r="E1005" s="0" t="inlineStr">
        <is>
          <t>NULL</t>
        </is>
      </c>
      <c r="F1005" s="0" t="inlineStr">
        <is>
          <t>NULL</t>
        </is>
      </c>
      <c r="G1005" s="0" t="inlineStr">
        <is>
          <t>NULL</t>
        </is>
      </c>
      <c r="H1005" s="0" t="inlineStr">
        <is>
          <t>NULL</t>
        </is>
      </c>
      <c r="I1005" s="0" t="inlineStr">
        <is>
          <t>NULL</t>
        </is>
      </c>
      <c r="J1005" s="0" t="inlineStr">
        <is>
          <t>NULL</t>
        </is>
      </c>
      <c r="K1005" s="0" t="inlineStr">
        <is>
          <t>YES! 	 id列源备映射正确，源端为int None位	期望更改为int	实际备端为int None位</t>
        </is>
      </c>
    </row>
    <row r="1006">
      <c r="B1006" s="0" t="inlineStr">
        <is>
          <t>NULL</t>
        </is>
      </c>
      <c r="C1006" s="0" t="inlineStr">
        <is>
          <t>NULL</t>
        </is>
      </c>
      <c r="D1006" s="0" t="inlineStr">
        <is>
          <t>NULL</t>
        </is>
      </c>
      <c r="E1006" s="0" t="inlineStr">
        <is>
          <t>NULL</t>
        </is>
      </c>
      <c r="F1006" s="0" t="inlineStr">
        <is>
          <t>NULL</t>
        </is>
      </c>
      <c r="G1006" s="0" t="inlineStr">
        <is>
          <t>NULL</t>
        </is>
      </c>
      <c r="H1006" s="0" t="inlineStr">
        <is>
          <t>NULL</t>
        </is>
      </c>
      <c r="I1006" s="0" t="inlineStr">
        <is>
          <t>NULL</t>
        </is>
      </c>
      <c r="J1006" s="0" t="inlineStr">
        <is>
          <t>NULL</t>
        </is>
      </c>
      <c r="K1006" s="0" t="inlineStr">
        <is>
          <t>YES! 	 c_text列源备映射正确，源端为text 2147483647位	期望更改为longtext	实际备端为longtext 4294967295位</t>
        </is>
      </c>
    </row>
    <row r="1007">
      <c r="B1007" s="0" t="inlineStr">
        <is>
          <t>NULL</t>
        </is>
      </c>
      <c r="C1007" s="0" t="inlineStr">
        <is>
          <t>NULL</t>
        </is>
      </c>
      <c r="D1007" s="0" t="inlineStr">
        <is>
          <t>NULL</t>
        </is>
      </c>
      <c r="E1007" s="0" t="inlineStr">
        <is>
          <t>NULL</t>
        </is>
      </c>
      <c r="F1007" s="0" t="inlineStr">
        <is>
          <t>NULL</t>
        </is>
      </c>
      <c r="G1007" s="0" t="inlineStr">
        <is>
          <t>NULL</t>
        </is>
      </c>
      <c r="H1007" s="0" t="inlineStr">
        <is>
          <t>NULL</t>
        </is>
      </c>
      <c r="I1007" s="0" t="inlineStr">
        <is>
          <t>NULL</t>
        </is>
      </c>
      <c r="J1007" s="0" t="inlineStr">
        <is>
          <t>NULL</t>
        </is>
      </c>
      <c r="K1007" s="0" t="inlineStr">
        <is>
          <t>YES! 	 c_ntext列源备映射正确，源端为ntext 2147483646位	期望更改为longtext	实际备端为longtext 4294967295位</t>
        </is>
      </c>
    </row>
    <row r="1008">
      <c r="A1008" s="0" t="inlineStr">
        <is>
          <t>info_varcharmax_dml_single_nopk</t>
        </is>
      </c>
      <c r="K1008" s="0" t="inlineStr">
        <is>
          <t>[0;34m info_varcharmax_dml_single_nopk [0m源备字段数相同，源端字段：3 	备端字段3</t>
        </is>
      </c>
      <c r="W1008" s="0" t="inlineStr">
        <is>
          <t>YES 源备无差异</t>
        </is>
      </c>
      <c r="X1008" s="0">
        <f>A1008</f>
        <v/>
      </c>
    </row>
    <row r="1009">
      <c r="B1009" s="0" t="inlineStr">
        <is>
          <t>NULL</t>
        </is>
      </c>
      <c r="C1009" s="0" t="inlineStr">
        <is>
          <t>NULL</t>
        </is>
      </c>
      <c r="D1009" s="0" t="inlineStr">
        <is>
          <t>NULL</t>
        </is>
      </c>
      <c r="E1009" s="0" t="inlineStr">
        <is>
          <t>NULL</t>
        </is>
      </c>
      <c r="F1009" s="0" t="inlineStr">
        <is>
          <t>NULL</t>
        </is>
      </c>
      <c r="G1009" s="0" t="inlineStr">
        <is>
          <t>NULL</t>
        </is>
      </c>
      <c r="H1009" s="0" t="inlineStr">
        <is>
          <t>NULL</t>
        </is>
      </c>
      <c r="I1009" s="0" t="inlineStr">
        <is>
          <t>NULL</t>
        </is>
      </c>
      <c r="J1009" s="0" t="inlineStr">
        <is>
          <t>NULL</t>
        </is>
      </c>
      <c r="K1009" s="0" t="inlineStr">
        <is>
          <t>YES! 	 id列源备映射正确，源端为int None位	期望更改为int	实际备端为int None位</t>
        </is>
      </c>
    </row>
    <row r="1010">
      <c r="B1010" s="0" t="inlineStr">
        <is>
          <t>NULL</t>
        </is>
      </c>
      <c r="C1010" s="0" t="inlineStr">
        <is>
          <t>NULL</t>
        </is>
      </c>
      <c r="D1010" s="0" t="inlineStr">
        <is>
          <t>NULL</t>
        </is>
      </c>
      <c r="E1010" s="0" t="inlineStr">
        <is>
          <t>NULL</t>
        </is>
      </c>
      <c r="F1010" s="0" t="inlineStr">
        <is>
          <t>NULL</t>
        </is>
      </c>
      <c r="G1010" s="0" t="inlineStr">
        <is>
          <t>NULL</t>
        </is>
      </c>
      <c r="H1010" s="0" t="inlineStr">
        <is>
          <t>NULL</t>
        </is>
      </c>
      <c r="I1010" s="0" t="inlineStr">
        <is>
          <t>NULL</t>
        </is>
      </c>
      <c r="J1010" s="0" t="inlineStr">
        <is>
          <t>NULL</t>
        </is>
      </c>
      <c r="K1010" s="0" t="inlineStr">
        <is>
          <t>YES! 	 c_varchar_max列源备映射正确，源端为varchar -1位	期望更改为longtext	实际备端为longtext 4294967295位</t>
        </is>
      </c>
    </row>
    <row r="1011">
      <c r="B1011" s="0" t="inlineStr">
        <is>
          <t>NULL</t>
        </is>
      </c>
      <c r="C1011" s="0" t="inlineStr">
        <is>
          <t>NULL</t>
        </is>
      </c>
      <c r="D1011" s="0" t="inlineStr">
        <is>
          <t>NULL</t>
        </is>
      </c>
      <c r="E1011" s="0" t="inlineStr">
        <is>
          <t>NULL</t>
        </is>
      </c>
      <c r="F1011" s="0" t="inlineStr">
        <is>
          <t>NULL</t>
        </is>
      </c>
      <c r="G1011" s="0" t="inlineStr">
        <is>
          <t>NULL</t>
        </is>
      </c>
      <c r="H1011" s="0" t="inlineStr">
        <is>
          <t>NULL</t>
        </is>
      </c>
      <c r="I1011" s="0" t="inlineStr">
        <is>
          <t>NULL</t>
        </is>
      </c>
      <c r="J1011" s="0" t="inlineStr">
        <is>
          <t>NULL</t>
        </is>
      </c>
      <c r="K1011" s="0" t="inlineStr">
        <is>
          <t>YES! 	 c_nvarchar_max列源备映射正确，源端为nvarchar -1位	期望更改为longtext	实际备端为longtext 4294967295位</t>
        </is>
      </c>
    </row>
    <row r="1012">
      <c r="A1012" s="0" t="inlineStr">
        <is>
          <t>info_uniqueidentifier_dml_single_nopk_drp</t>
        </is>
      </c>
      <c r="K1012" s="0" t="inlineStr">
        <is>
          <t>[0;34m info_uniqueidentifier_dml_single_nopk_drp [0m源备字段数相同，源端字段：2 	备端字段2</t>
        </is>
      </c>
      <c r="W1012" s="0" t="inlineStr">
        <is>
          <t>YES 源备无差异</t>
        </is>
      </c>
      <c r="X1012" s="0">
        <f>A1012</f>
        <v/>
      </c>
    </row>
    <row r="1013">
      <c r="B1013" s="0" t="inlineStr">
        <is>
          <t>NULL</t>
        </is>
      </c>
      <c r="C1013" s="0" t="inlineStr">
        <is>
          <t>NULL</t>
        </is>
      </c>
      <c r="D1013" s="0" t="inlineStr">
        <is>
          <t>NULL</t>
        </is>
      </c>
      <c r="E1013" s="0" t="inlineStr">
        <is>
          <t>NULL</t>
        </is>
      </c>
      <c r="F1013" s="0" t="inlineStr">
        <is>
          <t>NULL</t>
        </is>
      </c>
      <c r="G1013" s="0" t="inlineStr">
        <is>
          <t>NULL</t>
        </is>
      </c>
      <c r="H1013" s="0" t="inlineStr">
        <is>
          <t>NULL</t>
        </is>
      </c>
      <c r="I1013" s="0" t="inlineStr">
        <is>
          <t>NULL</t>
        </is>
      </c>
      <c r="J1013" s="0" t="inlineStr">
        <is>
          <t>NULL</t>
        </is>
      </c>
      <c r="K1013" s="0" t="inlineStr">
        <is>
          <t>YES! 	 id列源备映射正确，源端为int None位	期望更改为int	实际备端为int None位</t>
        </is>
      </c>
    </row>
    <row r="1014">
      <c r="B1014" s="0" t="inlineStr">
        <is>
          <t>NULL</t>
        </is>
      </c>
      <c r="C1014" s="0" t="inlineStr">
        <is>
          <t>NO!源None备NUL</t>
        </is>
      </c>
      <c r="D1014" s="0" t="inlineStr">
        <is>
          <t>NULL</t>
        </is>
      </c>
      <c r="E1014" s="0" t="inlineStr">
        <is>
          <t>NULL</t>
        </is>
      </c>
      <c r="F1014" s="0" t="inlineStr">
        <is>
          <t>NULL</t>
        </is>
      </c>
      <c r="G1014" s="0" t="inlineStr">
        <is>
          <t>NULL</t>
        </is>
      </c>
      <c r="H1014" s="0" t="inlineStr">
        <is>
          <t>NULL</t>
        </is>
      </c>
      <c r="I1014" s="0" t="inlineStr">
        <is>
          <t>NULL</t>
        </is>
      </c>
      <c r="J1014" s="0" t="inlineStr">
        <is>
          <t>NULL</t>
        </is>
      </c>
      <c r="K1014" s="0" t="inlineStr">
        <is>
          <t>[0;32m YES! [0m 	 c_uniqueidentifier列源备映射正确，源端为uniqueidentifier None位	期望更改为VARCHAR(100)	实际备端为varchar 400位	位数精度不存在，通过长度比较</t>
        </is>
      </c>
    </row>
    <row r="1015">
      <c r="A1015" s="0" t="inlineStr">
        <is>
          <t>info_datetime2_dml_batch2_pk_irp2</t>
        </is>
      </c>
      <c r="K1015" s="0" t="inlineStr">
        <is>
          <t>[0;34m info_datetime2_dml_batch2_pk_irp2 [0m源备字段数相同，源端字段：9 	备端字段9</t>
        </is>
      </c>
      <c r="W1015" s="0" t="inlineStr">
        <is>
          <t>YES 源备无差异</t>
        </is>
      </c>
      <c r="X1015" s="0">
        <f>A1015</f>
        <v/>
      </c>
    </row>
    <row r="1016">
      <c r="B1016" s="0" t="inlineStr">
        <is>
          <t>YES</t>
        </is>
      </c>
      <c r="C1016" s="0" t="inlineStr">
        <is>
          <t>NULL</t>
        </is>
      </c>
      <c r="D1016" s="0" t="inlineStr">
        <is>
          <t>NULL</t>
        </is>
      </c>
      <c r="E1016" s="0" t="inlineStr">
        <is>
          <t>NULL</t>
        </is>
      </c>
      <c r="F1016" s="0" t="inlineStr">
        <is>
          <t>NULL</t>
        </is>
      </c>
      <c r="G1016" s="0" t="inlineStr">
        <is>
          <t>NULL</t>
        </is>
      </c>
      <c r="H1016" s="0" t="inlineStr">
        <is>
          <t>NULL</t>
        </is>
      </c>
      <c r="I1016" s="0" t="inlineStr">
        <is>
          <t>YES!PK__info_dat__3213E83FDFC319CF</t>
        </is>
      </c>
      <c r="J1016" s="0" t="inlineStr">
        <is>
          <t>YES! 主键相关索引</t>
        </is>
      </c>
      <c r="K1016" s="0" t="inlineStr">
        <is>
          <t>YES! 	 id列源备映射正确，源端为int None位	期望更改为int	实际备端为int None位</t>
        </is>
      </c>
    </row>
    <row r="1017">
      <c r="B1017" s="0" t="inlineStr">
        <is>
          <t>NULL</t>
        </is>
      </c>
      <c r="C1017" s="0" t="inlineStr">
        <is>
          <t>NULL</t>
        </is>
      </c>
      <c r="D1017" s="0" t="inlineStr">
        <is>
          <t>NULL</t>
        </is>
      </c>
      <c r="E1017" s="0" t="inlineStr">
        <is>
          <t>NULL</t>
        </is>
      </c>
      <c r="F1017" s="0" t="inlineStr">
        <is>
          <t>NULL</t>
        </is>
      </c>
      <c r="G1017" s="0" t="inlineStr">
        <is>
          <t>NULL</t>
        </is>
      </c>
      <c r="H1017" s="0" t="inlineStr">
        <is>
          <t>NULL</t>
        </is>
      </c>
      <c r="I1017" s="0" t="inlineStr">
        <is>
          <t>NULL</t>
        </is>
      </c>
      <c r="J1017" s="0" t="inlineStr">
        <is>
          <t>NULL</t>
        </is>
      </c>
      <c r="K1017" s="0" t="inlineStr">
        <is>
          <t>no,len不存在</t>
        </is>
      </c>
    </row>
    <row r="1018">
      <c r="B1018" s="0" t="inlineStr">
        <is>
          <t>NULL</t>
        </is>
      </c>
      <c r="C1018" s="0" t="inlineStr">
        <is>
          <t>NULL</t>
        </is>
      </c>
      <c r="D1018" s="0" t="inlineStr">
        <is>
          <t>NULL</t>
        </is>
      </c>
      <c r="E1018" s="0" t="inlineStr">
        <is>
          <t>NULL</t>
        </is>
      </c>
      <c r="F1018" s="0" t="inlineStr">
        <is>
          <t>NULL</t>
        </is>
      </c>
      <c r="G1018" s="0" t="inlineStr">
        <is>
          <t>NULL</t>
        </is>
      </c>
      <c r="H1018" s="0" t="inlineStr">
        <is>
          <t>NULL</t>
        </is>
      </c>
      <c r="I1018" s="0" t="inlineStr">
        <is>
          <t>NULL</t>
        </is>
      </c>
      <c r="J1018" s="0" t="inlineStr">
        <is>
          <t>NULL</t>
        </is>
      </c>
      <c r="K1018" s="0" t="inlineStr">
        <is>
          <t>YES! 	 c_dt2_1列源备映射正确，源端为datetime2 None位	期望更改为datetime(n)	实际备端为datetime None位</t>
        </is>
      </c>
    </row>
    <row r="1019">
      <c r="B1019" s="0" t="inlineStr">
        <is>
          <t>NULL</t>
        </is>
      </c>
      <c r="C1019" s="0" t="inlineStr">
        <is>
          <t>NULL</t>
        </is>
      </c>
      <c r="D1019" s="0" t="inlineStr">
        <is>
          <t>NULL</t>
        </is>
      </c>
      <c r="E1019" s="0" t="inlineStr">
        <is>
          <t>NULL</t>
        </is>
      </c>
      <c r="F1019" s="0" t="inlineStr">
        <is>
          <t>NULL</t>
        </is>
      </c>
      <c r="G1019" s="0" t="inlineStr">
        <is>
          <t>NULL</t>
        </is>
      </c>
      <c r="H1019" s="0" t="inlineStr">
        <is>
          <t>NULL</t>
        </is>
      </c>
      <c r="I1019" s="0" t="inlineStr">
        <is>
          <t>NULL</t>
        </is>
      </c>
      <c r="J1019" s="0" t="inlineStr">
        <is>
          <t>NULL</t>
        </is>
      </c>
      <c r="K1019" s="0" t="inlineStr">
        <is>
          <t>YES! 	 c_dt2_2列源备映射正确，源端为datetime2 None位	期望更改为datetime(n)	实际备端为datetime None位</t>
        </is>
      </c>
    </row>
    <row r="1020">
      <c r="B1020" s="0" t="inlineStr">
        <is>
          <t>NULL</t>
        </is>
      </c>
      <c r="C1020" s="0" t="inlineStr">
        <is>
          <t>NULL</t>
        </is>
      </c>
      <c r="D1020" s="0" t="inlineStr">
        <is>
          <t>NULL</t>
        </is>
      </c>
      <c r="E1020" s="0" t="inlineStr">
        <is>
          <t>NULL</t>
        </is>
      </c>
      <c r="F1020" s="0" t="inlineStr">
        <is>
          <t>NULL</t>
        </is>
      </c>
      <c r="G1020" s="0" t="inlineStr">
        <is>
          <t>NULL</t>
        </is>
      </c>
      <c r="H1020" s="0" t="inlineStr">
        <is>
          <t>NULL</t>
        </is>
      </c>
      <c r="I1020" s="0" t="inlineStr">
        <is>
          <t>NULL</t>
        </is>
      </c>
      <c r="J1020" s="0" t="inlineStr">
        <is>
          <t>NULL</t>
        </is>
      </c>
      <c r="K1020" s="0" t="inlineStr">
        <is>
          <t>YES! 	 c_dt2_3列源备映射正确，源端为datetime2 None位	期望更改为datetime(n)	实际备端为datetime None位</t>
        </is>
      </c>
    </row>
    <row r="1021">
      <c r="B1021" s="0" t="inlineStr">
        <is>
          <t>NULL</t>
        </is>
      </c>
      <c r="C1021" s="0" t="inlineStr">
        <is>
          <t>NULL</t>
        </is>
      </c>
      <c r="D1021" s="0" t="inlineStr">
        <is>
          <t>NULL</t>
        </is>
      </c>
      <c r="E1021" s="0" t="inlineStr">
        <is>
          <t>NULL</t>
        </is>
      </c>
      <c r="F1021" s="0" t="inlineStr">
        <is>
          <t>NULL</t>
        </is>
      </c>
      <c r="G1021" s="0" t="inlineStr">
        <is>
          <t>NULL</t>
        </is>
      </c>
      <c r="H1021" s="0" t="inlineStr">
        <is>
          <t>NULL</t>
        </is>
      </c>
      <c r="I1021" s="0" t="inlineStr">
        <is>
          <t>NULL</t>
        </is>
      </c>
      <c r="J1021" s="0" t="inlineStr">
        <is>
          <t>NULL</t>
        </is>
      </c>
      <c r="K1021" s="0" t="inlineStr">
        <is>
          <t>YES! 	 c_dt2_4列源备映射正确，源端为datetime2 None位	期望更改为datetime(n)	实际备端为datetime None位</t>
        </is>
      </c>
    </row>
    <row r="1022">
      <c r="B1022" s="0" t="inlineStr">
        <is>
          <t>NULL</t>
        </is>
      </c>
      <c r="C1022" s="0" t="inlineStr">
        <is>
          <t>NULL</t>
        </is>
      </c>
      <c r="D1022" s="0" t="inlineStr">
        <is>
          <t>NULL</t>
        </is>
      </c>
      <c r="E1022" s="0" t="inlineStr">
        <is>
          <t>NULL</t>
        </is>
      </c>
      <c r="F1022" s="0" t="inlineStr">
        <is>
          <t>NULL</t>
        </is>
      </c>
      <c r="G1022" s="0" t="inlineStr">
        <is>
          <t>NULL</t>
        </is>
      </c>
      <c r="H1022" s="0" t="inlineStr">
        <is>
          <t>NULL</t>
        </is>
      </c>
      <c r="I1022" s="0" t="inlineStr">
        <is>
          <t>NULL</t>
        </is>
      </c>
      <c r="J1022" s="0" t="inlineStr">
        <is>
          <t>NULL</t>
        </is>
      </c>
      <c r="K1022" s="0" t="inlineStr">
        <is>
          <t>YES! 	 c_dt2_5列源备映射正确，源端为datetime2 None位	期望更改为datetime(n)	实际备端为datetime None位</t>
        </is>
      </c>
    </row>
    <row r="1023">
      <c r="B1023" s="0" t="inlineStr">
        <is>
          <t>NULL</t>
        </is>
      </c>
      <c r="C1023" s="0" t="inlineStr">
        <is>
          <t>NULL</t>
        </is>
      </c>
      <c r="D1023" s="0" t="inlineStr">
        <is>
          <t>NULL</t>
        </is>
      </c>
      <c r="E1023" s="0" t="inlineStr">
        <is>
          <t>NULL</t>
        </is>
      </c>
      <c r="F1023" s="0" t="inlineStr">
        <is>
          <t>NULL</t>
        </is>
      </c>
      <c r="G1023" s="0" t="inlineStr">
        <is>
          <t>NULL</t>
        </is>
      </c>
      <c r="H1023" s="0" t="inlineStr">
        <is>
          <t>NULL</t>
        </is>
      </c>
      <c r="I1023" s="0" t="inlineStr">
        <is>
          <t>NULL</t>
        </is>
      </c>
      <c r="J1023" s="0" t="inlineStr">
        <is>
          <t>NULL</t>
        </is>
      </c>
      <c r="K1023" s="0" t="inlineStr">
        <is>
          <t>YES! 	 c_dt2_6列源备映射正确，源端为datetime2 None位	期望更改为datetime(n)	实际备端为datetime None位</t>
        </is>
      </c>
    </row>
    <row r="1024">
      <c r="B1024" s="0" t="inlineStr">
        <is>
          <t>NULL</t>
        </is>
      </c>
      <c r="C1024" s="0" t="inlineStr">
        <is>
          <t>NULL</t>
        </is>
      </c>
      <c r="D1024" s="0" t="inlineStr">
        <is>
          <t>NULL</t>
        </is>
      </c>
      <c r="E1024" s="0" t="inlineStr">
        <is>
          <t>NULL</t>
        </is>
      </c>
      <c r="F1024" s="0" t="inlineStr">
        <is>
          <t>NULL</t>
        </is>
      </c>
      <c r="G1024" s="0" t="inlineStr">
        <is>
          <t>NULL</t>
        </is>
      </c>
      <c r="H1024" s="0" t="inlineStr">
        <is>
          <t>NULL</t>
        </is>
      </c>
      <c r="I1024" s="0" t="inlineStr">
        <is>
          <t>NULL</t>
        </is>
      </c>
      <c r="J1024" s="0" t="inlineStr">
        <is>
          <t>NULL</t>
        </is>
      </c>
      <c r="K1024" s="0" t="inlineStr">
        <is>
          <t xml:space="preserve"> NO!  	 c_dt2列源备映射错误，源端为datetime2 None位	期望更改为datetime(n)	实际备端为varchar 136位</t>
        </is>
      </c>
    </row>
    <row r="1025">
      <c r="A1025" s="0" t="inlineStr">
        <is>
          <t>info_text_dml_single_nopk</t>
        </is>
      </c>
      <c r="K1025" s="0" t="inlineStr">
        <is>
          <t>[0;34m info_text_dml_single_nopk [0m源备字段数相同，源端字段：3 	备端字段3</t>
        </is>
      </c>
      <c r="W1025" s="0" t="inlineStr">
        <is>
          <t>YES 源备无差异</t>
        </is>
      </c>
      <c r="X1025" s="0">
        <f>A1025</f>
        <v/>
      </c>
    </row>
    <row r="1026">
      <c r="B1026" s="0" t="inlineStr">
        <is>
          <t>NULL</t>
        </is>
      </c>
      <c r="C1026" s="0" t="inlineStr">
        <is>
          <t>NULL</t>
        </is>
      </c>
      <c r="D1026" s="0" t="inlineStr">
        <is>
          <t>NULL</t>
        </is>
      </c>
      <c r="E1026" s="0" t="inlineStr">
        <is>
          <t>NULL</t>
        </is>
      </c>
      <c r="F1026" s="0" t="inlineStr">
        <is>
          <t>NULL</t>
        </is>
      </c>
      <c r="G1026" s="0" t="inlineStr">
        <is>
          <t>NULL</t>
        </is>
      </c>
      <c r="H1026" s="0" t="inlineStr">
        <is>
          <t>NULL</t>
        </is>
      </c>
      <c r="I1026" s="0" t="inlineStr">
        <is>
          <t>NULL</t>
        </is>
      </c>
      <c r="J1026" s="0" t="inlineStr">
        <is>
          <t>NULL</t>
        </is>
      </c>
      <c r="K1026" s="0" t="inlineStr">
        <is>
          <t>YES! 	 id列源备映射正确，源端为int None位	期望更改为int	实际备端为int None位</t>
        </is>
      </c>
    </row>
    <row r="1027">
      <c r="B1027" s="0" t="inlineStr">
        <is>
          <t>NULL</t>
        </is>
      </c>
      <c r="C1027" s="0" t="inlineStr">
        <is>
          <t>NULL</t>
        </is>
      </c>
      <c r="D1027" s="0" t="inlineStr">
        <is>
          <t>NULL</t>
        </is>
      </c>
      <c r="E1027" s="0" t="inlineStr">
        <is>
          <t>NULL</t>
        </is>
      </c>
      <c r="F1027" s="0" t="inlineStr">
        <is>
          <t>NULL</t>
        </is>
      </c>
      <c r="G1027" s="0" t="inlineStr">
        <is>
          <t>NULL</t>
        </is>
      </c>
      <c r="H1027" s="0" t="inlineStr">
        <is>
          <t>NULL</t>
        </is>
      </c>
      <c r="I1027" s="0" t="inlineStr">
        <is>
          <t>NULL</t>
        </is>
      </c>
      <c r="J1027" s="0" t="inlineStr">
        <is>
          <t>NULL</t>
        </is>
      </c>
      <c r="K1027" s="0" t="inlineStr">
        <is>
          <t>YES! 	 c_text列源备映射正确，源端为text 2147483647位	期望更改为longtext	实际备端为longtext 4294967295位</t>
        </is>
      </c>
    </row>
    <row r="1028">
      <c r="B1028" s="0" t="inlineStr">
        <is>
          <t>NULL</t>
        </is>
      </c>
      <c r="C1028" s="0" t="inlineStr">
        <is>
          <t>NULL</t>
        </is>
      </c>
      <c r="D1028" s="0" t="inlineStr">
        <is>
          <t>NULL</t>
        </is>
      </c>
      <c r="E1028" s="0" t="inlineStr">
        <is>
          <t>NULL</t>
        </is>
      </c>
      <c r="F1028" s="0" t="inlineStr">
        <is>
          <t>NULL</t>
        </is>
      </c>
      <c r="G1028" s="0" t="inlineStr">
        <is>
          <t>NULL</t>
        </is>
      </c>
      <c r="H1028" s="0" t="inlineStr">
        <is>
          <t>NULL</t>
        </is>
      </c>
      <c r="I1028" s="0" t="inlineStr">
        <is>
          <t>NULL</t>
        </is>
      </c>
      <c r="J1028" s="0" t="inlineStr">
        <is>
          <t>NULL</t>
        </is>
      </c>
      <c r="K1028" s="0" t="inlineStr">
        <is>
          <t>YES! 	 c_ntext列源备映射正确，源端为ntext 2147483646位	期望更改为longtext	实际备端为longtext 4294967295位</t>
        </is>
      </c>
    </row>
    <row r="1029">
      <c r="K1029" s="0" t="inlineStr">
        <is>
          <t>~ 空表</t>
        </is>
      </c>
    </row>
    <row r="1030">
      <c r="A1030" s="0" t="inlineStr">
        <is>
          <t>info_nchar_dml_batch1_pk</t>
        </is>
      </c>
      <c r="K1030" s="0" t="inlineStr">
        <is>
          <t>[0;34m info_nchar_dml_batch1_pk [0m源备字段数相同，源端字段：4 	备端字段4</t>
        </is>
      </c>
      <c r="W1030" s="0" t="inlineStr">
        <is>
          <t>YES 源备无差异</t>
        </is>
      </c>
      <c r="X1030" s="0">
        <f>A1030</f>
        <v/>
      </c>
    </row>
    <row r="1031">
      <c r="B1031" s="0" t="inlineStr">
        <is>
          <t>YES</t>
        </is>
      </c>
      <c r="C1031" s="0" t="inlineStr">
        <is>
          <t>NULL</t>
        </is>
      </c>
      <c r="D1031" s="0" t="inlineStr">
        <is>
          <t>NULL</t>
        </is>
      </c>
      <c r="E1031" s="0" t="inlineStr">
        <is>
          <t>NULL</t>
        </is>
      </c>
      <c r="F1031" s="0" t="inlineStr">
        <is>
          <t>NULL</t>
        </is>
      </c>
      <c r="G1031" s="0" t="inlineStr">
        <is>
          <t>NULL</t>
        </is>
      </c>
      <c r="H1031" s="0" t="inlineStr">
        <is>
          <t>NULL</t>
        </is>
      </c>
      <c r="I1031" s="0" t="inlineStr">
        <is>
          <t>YES!PK__info_nch__3213E83F565E5991</t>
        </is>
      </c>
      <c r="J1031" s="0" t="inlineStr">
        <is>
          <t>YES! 主键相关索引</t>
        </is>
      </c>
      <c r="K1031" s="0" t="inlineStr">
        <is>
          <t>YES! 	 id列源备映射正确，源端为int None位	期望更改为int	实际备端为int None位</t>
        </is>
      </c>
    </row>
    <row r="1032">
      <c r="B1032" s="0" t="inlineStr">
        <is>
          <t>NULL</t>
        </is>
      </c>
      <c r="C1032" s="0" t="inlineStr">
        <is>
          <t>NULL</t>
        </is>
      </c>
      <c r="D1032" s="0" t="inlineStr">
        <is>
          <t>NULL</t>
        </is>
      </c>
      <c r="E1032" s="0" t="inlineStr">
        <is>
          <t>NULL</t>
        </is>
      </c>
      <c r="F1032" s="0" t="inlineStr">
        <is>
          <t>NULL</t>
        </is>
      </c>
      <c r="G1032" s="0" t="inlineStr">
        <is>
          <t>NULL</t>
        </is>
      </c>
      <c r="H1032" s="0" t="inlineStr">
        <is>
          <t>NULL</t>
        </is>
      </c>
      <c r="I1032" s="0" t="inlineStr">
        <is>
          <t>NULL</t>
        </is>
      </c>
      <c r="J1032" s="0" t="inlineStr">
        <is>
          <t>NULL</t>
        </is>
      </c>
      <c r="K1032" s="0" t="inlineStr">
        <is>
          <t>YES! 	 c_nchar列源备映射正确，源端为nchar 2位	期望更改为char(n)	实际备端为char 4位</t>
        </is>
      </c>
    </row>
    <row r="1033">
      <c r="B1033" s="0" t="inlineStr">
        <is>
          <t>NULL</t>
        </is>
      </c>
      <c r="C1033" s="0" t="inlineStr">
        <is>
          <t>NULL</t>
        </is>
      </c>
      <c r="D1033" s="0" t="inlineStr">
        <is>
          <t>NULL</t>
        </is>
      </c>
      <c r="E1033" s="0" t="inlineStr">
        <is>
          <t>NULL</t>
        </is>
      </c>
      <c r="F1033" s="0" t="inlineStr">
        <is>
          <t>NULL</t>
        </is>
      </c>
      <c r="G1033" s="0" t="inlineStr">
        <is>
          <t>NULL</t>
        </is>
      </c>
      <c r="H1033" s="0" t="inlineStr">
        <is>
          <t>NULL</t>
        </is>
      </c>
      <c r="I1033" s="0" t="inlineStr">
        <is>
          <t>NULL</t>
        </is>
      </c>
      <c r="J1033" s="0" t="inlineStr">
        <is>
          <t>NULL</t>
        </is>
      </c>
      <c r="K1033" s="0" t="inlineStr">
        <is>
          <t>YES! 	 c_nchar20列源备映射正确，源端为nchar 40位	期望更改为char(n)	实际备端为char 80位</t>
        </is>
      </c>
    </row>
    <row r="1034">
      <c r="B1034" s="0" t="inlineStr">
        <is>
          <t>NULL</t>
        </is>
      </c>
      <c r="C1034" s="0" t="inlineStr">
        <is>
          <t>NULL</t>
        </is>
      </c>
      <c r="D1034" s="0" t="inlineStr">
        <is>
          <t>NULL</t>
        </is>
      </c>
      <c r="E1034" s="0" t="inlineStr">
        <is>
          <t>NULL</t>
        </is>
      </c>
      <c r="F1034" s="0" t="inlineStr">
        <is>
          <t>NULL</t>
        </is>
      </c>
      <c r="G1034" s="0" t="inlineStr">
        <is>
          <t>NULL</t>
        </is>
      </c>
      <c r="H1034" s="0" t="inlineStr">
        <is>
          <t>NULL</t>
        </is>
      </c>
      <c r="I1034" s="0" t="inlineStr">
        <is>
          <t>NULL</t>
        </is>
      </c>
      <c r="J1034" s="0" t="inlineStr">
        <is>
          <t>NULL</t>
        </is>
      </c>
      <c r="K1034" s="0" t="inlineStr">
        <is>
          <t xml:space="preserve"> NO!  	 c_nchar3500列源备映射错误，源端为nchar 7000位	期望更改为varchar(n)	实际备端为text 65535位</t>
        </is>
      </c>
    </row>
    <row r="1035">
      <c r="A1035" s="0" t="inlineStr">
        <is>
          <t>info_sdt_dml_single_pk_irp</t>
        </is>
      </c>
      <c r="K1035" s="0" t="inlineStr">
        <is>
          <t>[0;34m info_sdt_dml_single_pk_irp [0m源备字段数相同，源端字段：2 	备端字段2</t>
        </is>
      </c>
      <c r="W1035" s="0" t="inlineStr">
        <is>
          <t>YES 源备无差异</t>
        </is>
      </c>
      <c r="X1035" s="0">
        <f>A1035</f>
        <v/>
      </c>
    </row>
    <row r="1036">
      <c r="B1036" s="0" t="inlineStr">
        <is>
          <t>YES</t>
        </is>
      </c>
      <c r="C1036" s="0" t="inlineStr">
        <is>
          <t>NULL</t>
        </is>
      </c>
      <c r="D1036" s="0" t="inlineStr">
        <is>
          <t>NULL</t>
        </is>
      </c>
      <c r="E1036" s="0" t="inlineStr">
        <is>
          <t>NULL</t>
        </is>
      </c>
      <c r="F1036" s="0" t="inlineStr">
        <is>
          <t>NULL</t>
        </is>
      </c>
      <c r="G1036" s="0" t="inlineStr">
        <is>
          <t>NULL</t>
        </is>
      </c>
      <c r="H1036" s="0" t="inlineStr">
        <is>
          <t>NULL</t>
        </is>
      </c>
      <c r="I1036" s="0" t="inlineStr">
        <is>
          <t>YES!PK__info_sdt__3213E83F63FCCC00</t>
        </is>
      </c>
      <c r="J1036" s="0" t="inlineStr">
        <is>
          <t>YES! 主键相关索引</t>
        </is>
      </c>
      <c r="K1036" s="0" t="inlineStr">
        <is>
          <t>YES! 	 id列源备映射正确，源端为int None位	期望更改为int	实际备端为int None位</t>
        </is>
      </c>
    </row>
    <row r="1037">
      <c r="B1037" s="0" t="inlineStr">
        <is>
          <t>NULL</t>
        </is>
      </c>
      <c r="C1037" s="0" t="inlineStr">
        <is>
          <t>NULL</t>
        </is>
      </c>
      <c r="D1037" s="0" t="inlineStr">
        <is>
          <t>NULL</t>
        </is>
      </c>
      <c r="E1037" s="0" t="inlineStr">
        <is>
          <t>NULL</t>
        </is>
      </c>
      <c r="F1037" s="0" t="inlineStr">
        <is>
          <t>NULL</t>
        </is>
      </c>
      <c r="G1037" s="0" t="inlineStr">
        <is>
          <t>NULL</t>
        </is>
      </c>
      <c r="H1037" s="0" t="inlineStr">
        <is>
          <t>NULL</t>
        </is>
      </c>
      <c r="I1037" s="0" t="inlineStr">
        <is>
          <t>NULL</t>
        </is>
      </c>
      <c r="J1037" s="0" t="inlineStr">
        <is>
          <t>NULL</t>
        </is>
      </c>
      <c r="K1037" s="0" t="inlineStr">
        <is>
          <t>YES! 	 c_sdt列源备映射正确，源端为smalldatetime None位	期望更改为datetime	实际备端为datetime None位</t>
        </is>
      </c>
    </row>
    <row r="1038">
      <c r="A1038" s="0" t="inlineStr">
        <is>
          <t>info_uniqueidentifier_dml_single_nopk</t>
        </is>
      </c>
      <c r="K1038" s="0" t="inlineStr">
        <is>
          <t>[0;34m info_uniqueidentifier_dml_single_nopk [0m源备字段数相同，源端字段：2 	备端字段2</t>
        </is>
      </c>
      <c r="W1038" s="0" t="inlineStr">
        <is>
          <t>YES 源备无差异</t>
        </is>
      </c>
      <c r="X1038" s="0">
        <f>A1038</f>
        <v/>
      </c>
    </row>
    <row r="1039">
      <c r="B1039" s="0" t="inlineStr">
        <is>
          <t>NULL</t>
        </is>
      </c>
      <c r="C1039" s="0" t="inlineStr">
        <is>
          <t>NULL</t>
        </is>
      </c>
      <c r="D1039" s="0" t="inlineStr">
        <is>
          <t>NULL</t>
        </is>
      </c>
      <c r="E1039" s="0" t="inlineStr">
        <is>
          <t>NULL</t>
        </is>
      </c>
      <c r="F1039" s="0" t="inlineStr">
        <is>
          <t>NULL</t>
        </is>
      </c>
      <c r="G1039" s="0" t="inlineStr">
        <is>
          <t>NULL</t>
        </is>
      </c>
      <c r="H1039" s="0" t="inlineStr">
        <is>
          <t>NULL</t>
        </is>
      </c>
      <c r="I1039" s="0" t="inlineStr">
        <is>
          <t>NULL</t>
        </is>
      </c>
      <c r="J1039" s="0" t="inlineStr">
        <is>
          <t>NULL</t>
        </is>
      </c>
      <c r="K1039" s="0" t="inlineStr">
        <is>
          <t>YES! 	 id列源备映射正确，源端为int None位	期望更改为int	实际备端为int None位</t>
        </is>
      </c>
    </row>
    <row r="1040">
      <c r="B1040" s="0" t="inlineStr">
        <is>
          <t>NULL</t>
        </is>
      </c>
      <c r="C1040" s="0" t="inlineStr">
        <is>
          <t>NO!源None备NUL</t>
        </is>
      </c>
      <c r="D1040" s="0" t="inlineStr">
        <is>
          <t>NULL</t>
        </is>
      </c>
      <c r="E1040" s="0" t="inlineStr">
        <is>
          <t>NULL</t>
        </is>
      </c>
      <c r="F1040" s="0" t="inlineStr">
        <is>
          <t>NULL</t>
        </is>
      </c>
      <c r="G1040" s="0" t="inlineStr">
        <is>
          <t>NULL</t>
        </is>
      </c>
      <c r="H1040" s="0" t="inlineStr">
        <is>
          <t>NULL</t>
        </is>
      </c>
      <c r="I1040" s="0" t="inlineStr">
        <is>
          <t>NULL</t>
        </is>
      </c>
      <c r="J1040" s="0" t="inlineStr">
        <is>
          <t>NULL</t>
        </is>
      </c>
      <c r="K1040" s="0" t="inlineStr">
        <is>
          <t>[0;32m YES! [0m 	 c_uniqueidentifier列源备映射正确，源端为uniqueidentifier None位	期望更改为VARCHAR(100)	实际备端为varchar 400位	位数精度不存在，通过长度比较</t>
        </is>
      </c>
    </row>
    <row r="1041">
      <c r="A1041" s="0" t="inlineStr">
        <is>
          <t>info_datetime2_dml_batch1_pk_urp1</t>
        </is>
      </c>
      <c r="K1041" s="0" t="inlineStr">
        <is>
          <t>[0;34m info_datetime2_dml_batch1_pk_urp1 [0m源备字段数相同，源端字段：9 	备端字段9</t>
        </is>
      </c>
      <c r="W1041" s="0" t="inlineStr">
        <is>
          <t>YES 源备无差异</t>
        </is>
      </c>
      <c r="X1041" s="0">
        <f>A1041</f>
        <v/>
      </c>
    </row>
    <row r="1042">
      <c r="B1042" s="0" t="inlineStr">
        <is>
          <t>YES</t>
        </is>
      </c>
      <c r="C1042" s="0" t="inlineStr">
        <is>
          <t>NULL</t>
        </is>
      </c>
      <c r="D1042" s="0" t="inlineStr">
        <is>
          <t>NULL</t>
        </is>
      </c>
      <c r="E1042" s="0" t="inlineStr">
        <is>
          <t>NULL</t>
        </is>
      </c>
      <c r="F1042" s="0" t="inlineStr">
        <is>
          <t>NULL</t>
        </is>
      </c>
      <c r="G1042" s="0" t="inlineStr">
        <is>
          <t>NULL</t>
        </is>
      </c>
      <c r="H1042" s="0" t="inlineStr">
        <is>
          <t>NULL</t>
        </is>
      </c>
      <c r="I1042" s="0" t="inlineStr">
        <is>
          <t>YES!PK__info_dat__3213E83F0F515F5B</t>
        </is>
      </c>
      <c r="J1042" s="0" t="inlineStr">
        <is>
          <t>YES! 主键相关索引</t>
        </is>
      </c>
      <c r="K1042" s="0" t="inlineStr">
        <is>
          <t>YES! 	 id列源备映射正确，源端为int None位	期望更改为int	实际备端为int None位</t>
        </is>
      </c>
    </row>
    <row r="1043">
      <c r="B1043" s="0" t="inlineStr">
        <is>
          <t>NULL</t>
        </is>
      </c>
      <c r="C1043" s="0" t="inlineStr">
        <is>
          <t>NULL</t>
        </is>
      </c>
      <c r="D1043" s="0" t="inlineStr">
        <is>
          <t>NULL</t>
        </is>
      </c>
      <c r="E1043" s="0" t="inlineStr">
        <is>
          <t>NULL</t>
        </is>
      </c>
      <c r="F1043" s="0" t="inlineStr">
        <is>
          <t>NULL</t>
        </is>
      </c>
      <c r="G1043" s="0" t="inlineStr">
        <is>
          <t>NULL</t>
        </is>
      </c>
      <c r="H1043" s="0" t="inlineStr">
        <is>
          <t>NULL</t>
        </is>
      </c>
      <c r="I1043" s="0" t="inlineStr">
        <is>
          <t>NULL</t>
        </is>
      </c>
      <c r="J1043" s="0" t="inlineStr">
        <is>
          <t>NULL</t>
        </is>
      </c>
      <c r="K1043" s="0" t="inlineStr">
        <is>
          <t>no,len不存在</t>
        </is>
      </c>
    </row>
    <row r="1044">
      <c r="B1044" s="0" t="inlineStr">
        <is>
          <t>NULL</t>
        </is>
      </c>
      <c r="C1044" s="0" t="inlineStr">
        <is>
          <t>NULL</t>
        </is>
      </c>
      <c r="D1044" s="0" t="inlineStr">
        <is>
          <t>NULL</t>
        </is>
      </c>
      <c r="E1044" s="0" t="inlineStr">
        <is>
          <t>NULL</t>
        </is>
      </c>
      <c r="F1044" s="0" t="inlineStr">
        <is>
          <t>NULL</t>
        </is>
      </c>
      <c r="G1044" s="0" t="inlineStr">
        <is>
          <t>NULL</t>
        </is>
      </c>
      <c r="H1044" s="0" t="inlineStr">
        <is>
          <t>NULL</t>
        </is>
      </c>
      <c r="I1044" s="0" t="inlineStr">
        <is>
          <t>NULL</t>
        </is>
      </c>
      <c r="J1044" s="0" t="inlineStr">
        <is>
          <t>NULL</t>
        </is>
      </c>
      <c r="K1044" s="0" t="inlineStr">
        <is>
          <t>YES! 	 c_dt2_1列源备映射正确，源端为datetime2 None位	期望更改为datetime(n)	实际备端为datetime None位</t>
        </is>
      </c>
    </row>
    <row r="1045">
      <c r="B1045" s="0" t="inlineStr">
        <is>
          <t>NULL</t>
        </is>
      </c>
      <c r="C1045" s="0" t="inlineStr">
        <is>
          <t>NULL</t>
        </is>
      </c>
      <c r="D1045" s="0" t="inlineStr">
        <is>
          <t>NULL</t>
        </is>
      </c>
      <c r="E1045" s="0" t="inlineStr">
        <is>
          <t>NULL</t>
        </is>
      </c>
      <c r="F1045" s="0" t="inlineStr">
        <is>
          <t>NULL</t>
        </is>
      </c>
      <c r="G1045" s="0" t="inlineStr">
        <is>
          <t>NULL</t>
        </is>
      </c>
      <c r="H1045" s="0" t="inlineStr">
        <is>
          <t>NULL</t>
        </is>
      </c>
      <c r="I1045" s="0" t="inlineStr">
        <is>
          <t>NULL</t>
        </is>
      </c>
      <c r="J1045" s="0" t="inlineStr">
        <is>
          <t>NULL</t>
        </is>
      </c>
      <c r="K1045" s="0" t="inlineStr">
        <is>
          <t>YES! 	 c_dt2_2列源备映射正确，源端为datetime2 None位	期望更改为datetime(n)	实际备端为datetime None位</t>
        </is>
      </c>
    </row>
    <row r="1046">
      <c r="B1046" s="0" t="inlineStr">
        <is>
          <t>NULL</t>
        </is>
      </c>
      <c r="C1046" s="0" t="inlineStr">
        <is>
          <t>NULL</t>
        </is>
      </c>
      <c r="D1046" s="0" t="inlineStr">
        <is>
          <t>NULL</t>
        </is>
      </c>
      <c r="E1046" s="0" t="inlineStr">
        <is>
          <t>NULL</t>
        </is>
      </c>
      <c r="F1046" s="0" t="inlineStr">
        <is>
          <t>NULL</t>
        </is>
      </c>
      <c r="G1046" s="0" t="inlineStr">
        <is>
          <t>NULL</t>
        </is>
      </c>
      <c r="H1046" s="0" t="inlineStr">
        <is>
          <t>NULL</t>
        </is>
      </c>
      <c r="I1046" s="0" t="inlineStr">
        <is>
          <t>NULL</t>
        </is>
      </c>
      <c r="J1046" s="0" t="inlineStr">
        <is>
          <t>NULL</t>
        </is>
      </c>
      <c r="K1046" s="0" t="inlineStr">
        <is>
          <t>YES! 	 c_dt2_3列源备映射正确，源端为datetime2 None位	期望更改为datetime(n)	实际备端为datetime None位</t>
        </is>
      </c>
    </row>
    <row r="1047">
      <c r="B1047" s="0" t="inlineStr">
        <is>
          <t>NULL</t>
        </is>
      </c>
      <c r="C1047" s="0" t="inlineStr">
        <is>
          <t>NULL</t>
        </is>
      </c>
      <c r="D1047" s="0" t="inlineStr">
        <is>
          <t>NULL</t>
        </is>
      </c>
      <c r="E1047" s="0" t="inlineStr">
        <is>
          <t>NULL</t>
        </is>
      </c>
      <c r="F1047" s="0" t="inlineStr">
        <is>
          <t>NULL</t>
        </is>
      </c>
      <c r="G1047" s="0" t="inlineStr">
        <is>
          <t>NULL</t>
        </is>
      </c>
      <c r="H1047" s="0" t="inlineStr">
        <is>
          <t>NULL</t>
        </is>
      </c>
      <c r="I1047" s="0" t="inlineStr">
        <is>
          <t>NULL</t>
        </is>
      </c>
      <c r="J1047" s="0" t="inlineStr">
        <is>
          <t>NULL</t>
        </is>
      </c>
      <c r="K1047" s="0" t="inlineStr">
        <is>
          <t>YES! 	 c_dt2_4列源备映射正确，源端为datetime2 None位	期望更改为datetime(n)	实际备端为datetime None位</t>
        </is>
      </c>
    </row>
    <row r="1048">
      <c r="B1048" s="0" t="inlineStr">
        <is>
          <t>NULL</t>
        </is>
      </c>
      <c r="C1048" s="0" t="inlineStr">
        <is>
          <t>NULL</t>
        </is>
      </c>
      <c r="D1048" s="0" t="inlineStr">
        <is>
          <t>NULL</t>
        </is>
      </c>
      <c r="E1048" s="0" t="inlineStr">
        <is>
          <t>NULL</t>
        </is>
      </c>
      <c r="F1048" s="0" t="inlineStr">
        <is>
          <t>NULL</t>
        </is>
      </c>
      <c r="G1048" s="0" t="inlineStr">
        <is>
          <t>NULL</t>
        </is>
      </c>
      <c r="H1048" s="0" t="inlineStr">
        <is>
          <t>NULL</t>
        </is>
      </c>
      <c r="I1048" s="0" t="inlineStr">
        <is>
          <t>NULL</t>
        </is>
      </c>
      <c r="J1048" s="0" t="inlineStr">
        <is>
          <t>NULL</t>
        </is>
      </c>
      <c r="K1048" s="0" t="inlineStr">
        <is>
          <t>YES! 	 c_dt2_5列源备映射正确，源端为datetime2 None位	期望更改为datetime(n)	实际备端为datetime None位</t>
        </is>
      </c>
    </row>
    <row r="1049">
      <c r="B1049" s="0" t="inlineStr">
        <is>
          <t>NULL</t>
        </is>
      </c>
      <c r="C1049" s="0" t="inlineStr">
        <is>
          <t>NULL</t>
        </is>
      </c>
      <c r="D1049" s="0" t="inlineStr">
        <is>
          <t>NULL</t>
        </is>
      </c>
      <c r="E1049" s="0" t="inlineStr">
        <is>
          <t>NULL</t>
        </is>
      </c>
      <c r="F1049" s="0" t="inlineStr">
        <is>
          <t>NULL</t>
        </is>
      </c>
      <c r="G1049" s="0" t="inlineStr">
        <is>
          <t>NULL</t>
        </is>
      </c>
      <c r="H1049" s="0" t="inlineStr">
        <is>
          <t>NULL</t>
        </is>
      </c>
      <c r="I1049" s="0" t="inlineStr">
        <is>
          <t>NULL</t>
        </is>
      </c>
      <c r="J1049" s="0" t="inlineStr">
        <is>
          <t>NULL</t>
        </is>
      </c>
      <c r="K1049" s="0" t="inlineStr">
        <is>
          <t>YES! 	 c_dt2_6列源备映射正确，源端为datetime2 None位	期望更改为datetime(n)	实际备端为datetime None位</t>
        </is>
      </c>
    </row>
    <row r="1050">
      <c r="B1050" s="0" t="inlineStr">
        <is>
          <t>NULL</t>
        </is>
      </c>
      <c r="C1050" s="0" t="inlineStr">
        <is>
          <t>NULL</t>
        </is>
      </c>
      <c r="D1050" s="0" t="inlineStr">
        <is>
          <t>NULL</t>
        </is>
      </c>
      <c r="E1050" s="0" t="inlineStr">
        <is>
          <t>NULL</t>
        </is>
      </c>
      <c r="F1050" s="0" t="inlineStr">
        <is>
          <t>NULL</t>
        </is>
      </c>
      <c r="G1050" s="0" t="inlineStr">
        <is>
          <t>NULL</t>
        </is>
      </c>
      <c r="H1050" s="0" t="inlineStr">
        <is>
          <t>NULL</t>
        </is>
      </c>
      <c r="I1050" s="0" t="inlineStr">
        <is>
          <t>NULL</t>
        </is>
      </c>
      <c r="J1050" s="0" t="inlineStr">
        <is>
          <t>NULL</t>
        </is>
      </c>
      <c r="K1050" s="0" t="inlineStr">
        <is>
          <t xml:space="preserve"> NO!  	 c_dt2列源备映射错误，源端为datetime2 None位	期望更改为datetime(n)	实际备端为varchar 136位</t>
        </is>
      </c>
    </row>
    <row r="1051">
      <c r="A1051" s="0" t="inlineStr">
        <is>
          <t>info_sdt_dml_single_pk_urp</t>
        </is>
      </c>
      <c r="K1051" s="0" t="inlineStr">
        <is>
          <t>[0;34m info_sdt_dml_single_pk_urp [0m源备字段数相同，源端字段：2 	备端字段2</t>
        </is>
      </c>
      <c r="W1051" s="0" t="inlineStr">
        <is>
          <t>YES 源备无差异</t>
        </is>
      </c>
      <c r="X1051" s="0">
        <f>A1051</f>
        <v/>
      </c>
    </row>
    <row r="1052">
      <c r="B1052" s="0" t="inlineStr">
        <is>
          <t>YES</t>
        </is>
      </c>
      <c r="C1052" s="0" t="inlineStr">
        <is>
          <t>NULL</t>
        </is>
      </c>
      <c r="D1052" s="0" t="inlineStr">
        <is>
          <t>NULL</t>
        </is>
      </c>
      <c r="E1052" s="0" t="inlineStr">
        <is>
          <t>NULL</t>
        </is>
      </c>
      <c r="F1052" s="0" t="inlineStr">
        <is>
          <t>NULL</t>
        </is>
      </c>
      <c r="G1052" s="0" t="inlineStr">
        <is>
          <t>NULL</t>
        </is>
      </c>
      <c r="H1052" s="0" t="inlineStr">
        <is>
          <t>NULL</t>
        </is>
      </c>
      <c r="I1052" s="0" t="inlineStr">
        <is>
          <t>YES!PK__info_sdt__3213E83F06D79574</t>
        </is>
      </c>
      <c r="J1052" s="0" t="inlineStr">
        <is>
          <t>YES! 主键相关索引</t>
        </is>
      </c>
      <c r="K1052" s="0" t="inlineStr">
        <is>
          <t>YES! 	 id列源备映射正确，源端为int None位	期望更改为int	实际备端为int None位</t>
        </is>
      </c>
    </row>
    <row r="1053">
      <c r="B1053" s="0" t="inlineStr">
        <is>
          <t>NULL</t>
        </is>
      </c>
      <c r="C1053" s="0" t="inlineStr">
        <is>
          <t>NULL</t>
        </is>
      </c>
      <c r="D1053" s="0" t="inlineStr">
        <is>
          <t>NULL</t>
        </is>
      </c>
      <c r="E1053" s="0" t="inlineStr">
        <is>
          <t>NULL</t>
        </is>
      </c>
      <c r="F1053" s="0" t="inlineStr">
        <is>
          <t>NULL</t>
        </is>
      </c>
      <c r="G1053" s="0" t="inlineStr">
        <is>
          <t>NULL</t>
        </is>
      </c>
      <c r="H1053" s="0" t="inlineStr">
        <is>
          <t>NULL</t>
        </is>
      </c>
      <c r="I1053" s="0" t="inlineStr">
        <is>
          <t>NULL</t>
        </is>
      </c>
      <c r="J1053" s="0" t="inlineStr">
        <is>
          <t>NULL</t>
        </is>
      </c>
      <c r="K1053" s="0" t="inlineStr">
        <is>
          <t>YES! 	 c_sdt列源备映射正确，源端为smalldatetime None位	期望更改为datetime	实际备端为datetime None位</t>
        </is>
      </c>
    </row>
    <row r="1054">
      <c r="A1054" s="0" t="inlineStr">
        <is>
          <t>info_nvarchar_dml_batch1_pk_irp1</t>
        </is>
      </c>
      <c r="K1054" s="0" t="inlineStr">
        <is>
          <t>[0;34m info_nvarchar_dml_batch1_pk_irp1 [0m源备字段数相同，源端字段：4 	备端字段4</t>
        </is>
      </c>
      <c r="W1054" s="0" t="inlineStr">
        <is>
          <t>YES 源备无差异</t>
        </is>
      </c>
      <c r="X1054" s="0">
        <f>A1054</f>
        <v/>
      </c>
    </row>
    <row r="1055">
      <c r="B1055" s="0" t="inlineStr">
        <is>
          <t>YES</t>
        </is>
      </c>
      <c r="C1055" s="0" t="inlineStr">
        <is>
          <t>NULL</t>
        </is>
      </c>
      <c r="D1055" s="0" t="inlineStr">
        <is>
          <t>NULL</t>
        </is>
      </c>
      <c r="E1055" s="0" t="inlineStr">
        <is>
          <t>NULL</t>
        </is>
      </c>
      <c r="F1055" s="0" t="inlineStr">
        <is>
          <t>NULL</t>
        </is>
      </c>
      <c r="G1055" s="0" t="inlineStr">
        <is>
          <t>NULL</t>
        </is>
      </c>
      <c r="H1055" s="0" t="inlineStr">
        <is>
          <t>NULL</t>
        </is>
      </c>
      <c r="I1055" s="0" t="inlineStr">
        <is>
          <t>YES!PK__info_nva__3213E83FD4B93CAE</t>
        </is>
      </c>
      <c r="J1055" s="0" t="inlineStr">
        <is>
          <t>YES! 主键相关索引</t>
        </is>
      </c>
      <c r="K1055" s="0" t="inlineStr">
        <is>
          <t>YES! 	 id列源备映射正确，源端为int None位	期望更改为int	实际备端为int None位</t>
        </is>
      </c>
    </row>
    <row r="1056">
      <c r="B1056" s="0" t="inlineStr">
        <is>
          <t>NULL</t>
        </is>
      </c>
      <c r="C1056" s="0" t="inlineStr">
        <is>
          <t>NULL</t>
        </is>
      </c>
      <c r="D1056" s="0" t="inlineStr">
        <is>
          <t>NULL</t>
        </is>
      </c>
      <c r="E1056" s="0" t="inlineStr">
        <is>
          <t>NULL</t>
        </is>
      </c>
      <c r="F1056" s="0" t="inlineStr">
        <is>
          <t>NULL</t>
        </is>
      </c>
      <c r="G1056" s="0" t="inlineStr">
        <is>
          <t>NULL</t>
        </is>
      </c>
      <c r="H1056" s="0" t="inlineStr">
        <is>
          <t>NULL</t>
        </is>
      </c>
      <c r="I1056" s="0" t="inlineStr">
        <is>
          <t>NULL</t>
        </is>
      </c>
      <c r="J1056" s="0" t="inlineStr">
        <is>
          <t>NULL</t>
        </is>
      </c>
      <c r="K1056" s="0" t="inlineStr">
        <is>
          <t>YES! 	 c_nvarchar列源备映射正确，源端为nvarchar 2位	期望更改为varchar(n)	实际备端为varchar 4位</t>
        </is>
      </c>
    </row>
    <row r="1057">
      <c r="B1057" s="0" t="inlineStr">
        <is>
          <t>NULL</t>
        </is>
      </c>
      <c r="C1057" s="0" t="inlineStr">
        <is>
          <t>NULL</t>
        </is>
      </c>
      <c r="D1057" s="0" t="inlineStr">
        <is>
          <t>NULL</t>
        </is>
      </c>
      <c r="E1057" s="0" t="inlineStr">
        <is>
          <t>NULL</t>
        </is>
      </c>
      <c r="F1057" s="0" t="inlineStr">
        <is>
          <t>NULL</t>
        </is>
      </c>
      <c r="G1057" s="0" t="inlineStr">
        <is>
          <t>NULL</t>
        </is>
      </c>
      <c r="H1057" s="0" t="inlineStr">
        <is>
          <t>NULL</t>
        </is>
      </c>
      <c r="I1057" s="0" t="inlineStr">
        <is>
          <t>NULL</t>
        </is>
      </c>
      <c r="J1057" s="0" t="inlineStr">
        <is>
          <t>NULL</t>
        </is>
      </c>
      <c r="K1057" s="0" t="inlineStr">
        <is>
          <t>YES! 	 c_nvarchar20列源备映射正确，源端为nvarchar 40位	期望更改为varchar(n)	实际备端为varchar 80位</t>
        </is>
      </c>
    </row>
    <row r="1058">
      <c r="B1058" s="0" t="inlineStr">
        <is>
          <t>NULL</t>
        </is>
      </c>
      <c r="C1058" s="0" t="inlineStr">
        <is>
          <t>NULL</t>
        </is>
      </c>
      <c r="D1058" s="0" t="inlineStr">
        <is>
          <t>NULL</t>
        </is>
      </c>
      <c r="E1058" s="0" t="inlineStr">
        <is>
          <t>NULL</t>
        </is>
      </c>
      <c r="F1058" s="0" t="inlineStr">
        <is>
          <t>NULL</t>
        </is>
      </c>
      <c r="G1058" s="0" t="inlineStr">
        <is>
          <t>NULL</t>
        </is>
      </c>
      <c r="H1058" s="0" t="inlineStr">
        <is>
          <t>NULL</t>
        </is>
      </c>
      <c r="I1058" s="0" t="inlineStr">
        <is>
          <t>NULL</t>
        </is>
      </c>
      <c r="J1058" s="0" t="inlineStr">
        <is>
          <t>NULL</t>
        </is>
      </c>
      <c r="K1058" s="0" t="inlineStr">
        <is>
          <t xml:space="preserve"> NO!  	 c_nvarchar4000列源备映射错误，源端为nvarchar 8000位	期望更改为longtext	实际备端为text 65535位</t>
        </is>
      </c>
    </row>
    <row r="1059">
      <c r="A1059" s="0" t="inlineStr">
        <is>
          <t>info_binary_dml_single_nopk_irp</t>
        </is>
      </c>
      <c r="K1059" s="0" t="inlineStr">
        <is>
          <t>[0;34m info_binary_dml_single_nopk_irp [0m源备字段数相同，源端字段：4 	备端字段4</t>
        </is>
      </c>
      <c r="W1059" s="0" t="inlineStr">
        <is>
          <t>YES 源备无差异</t>
        </is>
      </c>
      <c r="X1059" s="0">
        <f>A1059</f>
        <v/>
      </c>
    </row>
    <row r="1060">
      <c r="B1060" s="0" t="inlineStr">
        <is>
          <t>NULL</t>
        </is>
      </c>
      <c r="C1060" s="0" t="inlineStr">
        <is>
          <t>NULL</t>
        </is>
      </c>
      <c r="D1060" s="0" t="inlineStr">
        <is>
          <t>NULL</t>
        </is>
      </c>
      <c r="E1060" s="0" t="inlineStr">
        <is>
          <t>NULL</t>
        </is>
      </c>
      <c r="F1060" s="0" t="inlineStr">
        <is>
          <t>NULL</t>
        </is>
      </c>
      <c r="G1060" s="0" t="inlineStr">
        <is>
          <t>NULL</t>
        </is>
      </c>
      <c r="H1060" s="0" t="inlineStr">
        <is>
          <t>NULL</t>
        </is>
      </c>
      <c r="I1060" s="0" t="inlineStr">
        <is>
          <t>NULL</t>
        </is>
      </c>
      <c r="J1060" s="0" t="inlineStr">
        <is>
          <t>NULL</t>
        </is>
      </c>
      <c r="K1060" s="0" t="inlineStr">
        <is>
          <t>YES! 	 id列源备映射正确，源端为int None位	期望更改为int	实际备端为int None位</t>
        </is>
      </c>
    </row>
    <row r="1061">
      <c r="B1061" s="0" t="inlineStr">
        <is>
          <t>NULL</t>
        </is>
      </c>
      <c r="C1061" s="0" t="inlineStr">
        <is>
          <t>NULL</t>
        </is>
      </c>
      <c r="D1061" s="0" t="inlineStr">
        <is>
          <t>NULL</t>
        </is>
      </c>
      <c r="E1061" s="0" t="inlineStr">
        <is>
          <t>NULL</t>
        </is>
      </c>
      <c r="F1061" s="0" t="inlineStr">
        <is>
          <t>NULL</t>
        </is>
      </c>
      <c r="G1061" s="0" t="inlineStr">
        <is>
          <t>NULL</t>
        </is>
      </c>
      <c r="H1061" s="0" t="inlineStr">
        <is>
          <t>NULL</t>
        </is>
      </c>
      <c r="I1061" s="0" t="inlineStr">
        <is>
          <t>NULL</t>
        </is>
      </c>
      <c r="J1061" s="0" t="inlineStr">
        <is>
          <t>NULL</t>
        </is>
      </c>
      <c r="K1061" s="0" t="inlineStr">
        <is>
          <t>YES! 	 c_binary列源备映射正确，源端为binary 1位	期望更改为binary(n)	实际备端为binary 1位</t>
        </is>
      </c>
    </row>
    <row r="1062">
      <c r="B1062" s="0" t="inlineStr">
        <is>
          <t>NULL</t>
        </is>
      </c>
      <c r="C1062" s="0" t="inlineStr">
        <is>
          <t>NULL</t>
        </is>
      </c>
      <c r="D1062" s="0" t="inlineStr">
        <is>
          <t>NULL</t>
        </is>
      </c>
      <c r="E1062" s="0" t="inlineStr">
        <is>
          <t>NULL</t>
        </is>
      </c>
      <c r="F1062" s="0" t="inlineStr">
        <is>
          <t>NULL</t>
        </is>
      </c>
      <c r="G1062" s="0" t="inlineStr">
        <is>
          <t>NULL</t>
        </is>
      </c>
      <c r="H1062" s="0" t="inlineStr">
        <is>
          <t>NULL</t>
        </is>
      </c>
      <c r="I1062" s="0" t="inlineStr">
        <is>
          <t>NULL</t>
        </is>
      </c>
      <c r="J1062" s="0" t="inlineStr">
        <is>
          <t>NULL</t>
        </is>
      </c>
      <c r="K1062" s="0" t="inlineStr">
        <is>
          <t>YES! 	 c_binary_20列源备映射正确，源端为binary 20位	期望更改为binary(n)	实际备端为binary 20位</t>
        </is>
      </c>
    </row>
    <row r="1063">
      <c r="B1063" s="0" t="inlineStr">
        <is>
          <t>NULL</t>
        </is>
      </c>
      <c r="C1063" s="0" t="inlineStr">
        <is>
          <t>NULL</t>
        </is>
      </c>
      <c r="D1063" s="0" t="inlineStr">
        <is>
          <t>NULL</t>
        </is>
      </c>
      <c r="E1063" s="0" t="inlineStr">
        <is>
          <t>NULL</t>
        </is>
      </c>
      <c r="F1063" s="0" t="inlineStr">
        <is>
          <t>NULL</t>
        </is>
      </c>
      <c r="G1063" s="0" t="inlineStr">
        <is>
          <t>NULL</t>
        </is>
      </c>
      <c r="H1063" s="0" t="inlineStr">
        <is>
          <t>NULL</t>
        </is>
      </c>
      <c r="I1063" s="0" t="inlineStr">
        <is>
          <t>NULL</t>
        </is>
      </c>
      <c r="J1063" s="0" t="inlineStr">
        <is>
          <t>NULL</t>
        </is>
      </c>
      <c r="K1063" s="0" t="inlineStr">
        <is>
          <t>YES! 	 c_binary_8000列源备映射正确，源端为binary 8000位	期望更改为longblob	实际备端为longblob 4294967295位</t>
        </is>
      </c>
    </row>
    <row r="1064">
      <c r="A1064" s="0" t="inlineStr">
        <is>
          <t>info_datetime2_dml_batch1_pk_urp2</t>
        </is>
      </c>
      <c r="K1064" s="0" t="inlineStr">
        <is>
          <t>[0;34m info_datetime2_dml_batch1_pk_urp2 [0m源备字段数相同，源端字段：9 	备端字段9</t>
        </is>
      </c>
      <c r="W1064" s="0" t="inlineStr">
        <is>
          <t>YES 源备无差异</t>
        </is>
      </c>
      <c r="X1064" s="0">
        <f>A1064</f>
        <v/>
      </c>
    </row>
    <row r="1065">
      <c r="B1065" s="0" t="inlineStr">
        <is>
          <t>YES</t>
        </is>
      </c>
      <c r="C1065" s="0" t="inlineStr">
        <is>
          <t>NULL</t>
        </is>
      </c>
      <c r="D1065" s="0" t="inlineStr">
        <is>
          <t>NULL</t>
        </is>
      </c>
      <c r="E1065" s="0" t="inlineStr">
        <is>
          <t>NULL</t>
        </is>
      </c>
      <c r="F1065" s="0" t="inlineStr">
        <is>
          <t>NULL</t>
        </is>
      </c>
      <c r="G1065" s="0" t="inlineStr">
        <is>
          <t>NULL</t>
        </is>
      </c>
      <c r="H1065" s="0" t="inlineStr">
        <is>
          <t>NULL</t>
        </is>
      </c>
      <c r="I1065" s="0" t="inlineStr">
        <is>
          <t>YES!PK__info_dat__3213E83FB73D9BC9</t>
        </is>
      </c>
      <c r="J1065" s="0" t="inlineStr">
        <is>
          <t>YES! 主键相关索引</t>
        </is>
      </c>
      <c r="K1065" s="0" t="inlineStr">
        <is>
          <t>YES! 	 id列源备映射正确，源端为int None位	期望更改为int	实际备端为int None位</t>
        </is>
      </c>
    </row>
    <row r="1066">
      <c r="B1066" s="0" t="inlineStr">
        <is>
          <t>NULL</t>
        </is>
      </c>
      <c r="C1066" s="0" t="inlineStr">
        <is>
          <t>NULL</t>
        </is>
      </c>
      <c r="D1066" s="0" t="inlineStr">
        <is>
          <t>NULL</t>
        </is>
      </c>
      <c r="E1066" s="0" t="inlineStr">
        <is>
          <t>NULL</t>
        </is>
      </c>
      <c r="F1066" s="0" t="inlineStr">
        <is>
          <t>NULL</t>
        </is>
      </c>
      <c r="G1066" s="0" t="inlineStr">
        <is>
          <t>NULL</t>
        </is>
      </c>
      <c r="H1066" s="0" t="inlineStr">
        <is>
          <t>NULL</t>
        </is>
      </c>
      <c r="I1066" s="0" t="inlineStr">
        <is>
          <t>NULL</t>
        </is>
      </c>
      <c r="J1066" s="0" t="inlineStr">
        <is>
          <t>NULL</t>
        </is>
      </c>
      <c r="K1066" s="0" t="inlineStr">
        <is>
          <t>no,len不存在</t>
        </is>
      </c>
    </row>
    <row r="1067">
      <c r="B1067" s="0" t="inlineStr">
        <is>
          <t>NULL</t>
        </is>
      </c>
      <c r="C1067" s="0" t="inlineStr">
        <is>
          <t>NULL</t>
        </is>
      </c>
      <c r="D1067" s="0" t="inlineStr">
        <is>
          <t>NULL</t>
        </is>
      </c>
      <c r="E1067" s="0" t="inlineStr">
        <is>
          <t>NULL</t>
        </is>
      </c>
      <c r="F1067" s="0" t="inlineStr">
        <is>
          <t>NULL</t>
        </is>
      </c>
      <c r="G1067" s="0" t="inlineStr">
        <is>
          <t>NULL</t>
        </is>
      </c>
      <c r="H1067" s="0" t="inlineStr">
        <is>
          <t>NULL</t>
        </is>
      </c>
      <c r="I1067" s="0" t="inlineStr">
        <is>
          <t>NULL</t>
        </is>
      </c>
      <c r="J1067" s="0" t="inlineStr">
        <is>
          <t>NULL</t>
        </is>
      </c>
      <c r="K1067" s="0" t="inlineStr">
        <is>
          <t>YES! 	 c_dt2_1列源备映射正确，源端为datetime2 None位	期望更改为datetime(n)	实际备端为datetime None位</t>
        </is>
      </c>
    </row>
    <row r="1068">
      <c r="B1068" s="0" t="inlineStr">
        <is>
          <t>NULL</t>
        </is>
      </c>
      <c r="C1068" s="0" t="inlineStr">
        <is>
          <t>NULL</t>
        </is>
      </c>
      <c r="D1068" s="0" t="inlineStr">
        <is>
          <t>NULL</t>
        </is>
      </c>
      <c r="E1068" s="0" t="inlineStr">
        <is>
          <t>NULL</t>
        </is>
      </c>
      <c r="F1068" s="0" t="inlineStr">
        <is>
          <t>NULL</t>
        </is>
      </c>
      <c r="G1068" s="0" t="inlineStr">
        <is>
          <t>NULL</t>
        </is>
      </c>
      <c r="H1068" s="0" t="inlineStr">
        <is>
          <t>NULL</t>
        </is>
      </c>
      <c r="I1068" s="0" t="inlineStr">
        <is>
          <t>NULL</t>
        </is>
      </c>
      <c r="J1068" s="0" t="inlineStr">
        <is>
          <t>NULL</t>
        </is>
      </c>
      <c r="K1068" s="0" t="inlineStr">
        <is>
          <t>YES! 	 c_dt2_2列源备映射正确，源端为datetime2 None位	期望更改为datetime(n)	实际备端为datetime None位</t>
        </is>
      </c>
    </row>
    <row r="1069">
      <c r="B1069" s="0" t="inlineStr">
        <is>
          <t>NULL</t>
        </is>
      </c>
      <c r="C1069" s="0" t="inlineStr">
        <is>
          <t>NULL</t>
        </is>
      </c>
      <c r="D1069" s="0" t="inlineStr">
        <is>
          <t>NULL</t>
        </is>
      </c>
      <c r="E1069" s="0" t="inlineStr">
        <is>
          <t>NULL</t>
        </is>
      </c>
      <c r="F1069" s="0" t="inlineStr">
        <is>
          <t>NULL</t>
        </is>
      </c>
      <c r="G1069" s="0" t="inlineStr">
        <is>
          <t>NULL</t>
        </is>
      </c>
      <c r="H1069" s="0" t="inlineStr">
        <is>
          <t>NULL</t>
        </is>
      </c>
      <c r="I1069" s="0" t="inlineStr">
        <is>
          <t>NULL</t>
        </is>
      </c>
      <c r="J1069" s="0" t="inlineStr">
        <is>
          <t>NULL</t>
        </is>
      </c>
      <c r="K1069" s="0" t="inlineStr">
        <is>
          <t>YES! 	 c_dt2_3列源备映射正确，源端为datetime2 None位	期望更改为datetime(n)	实际备端为datetime None位</t>
        </is>
      </c>
    </row>
    <row r="1070">
      <c r="B1070" s="0" t="inlineStr">
        <is>
          <t>NULL</t>
        </is>
      </c>
      <c r="C1070" s="0" t="inlineStr">
        <is>
          <t>NULL</t>
        </is>
      </c>
      <c r="D1070" s="0" t="inlineStr">
        <is>
          <t>NULL</t>
        </is>
      </c>
      <c r="E1070" s="0" t="inlineStr">
        <is>
          <t>NULL</t>
        </is>
      </c>
      <c r="F1070" s="0" t="inlineStr">
        <is>
          <t>NULL</t>
        </is>
      </c>
      <c r="G1070" s="0" t="inlineStr">
        <is>
          <t>NULL</t>
        </is>
      </c>
      <c r="H1070" s="0" t="inlineStr">
        <is>
          <t>NULL</t>
        </is>
      </c>
      <c r="I1070" s="0" t="inlineStr">
        <is>
          <t>NULL</t>
        </is>
      </c>
      <c r="J1070" s="0" t="inlineStr">
        <is>
          <t>NULL</t>
        </is>
      </c>
      <c r="K1070" s="0" t="inlineStr">
        <is>
          <t>YES! 	 c_dt2_4列源备映射正确，源端为datetime2 None位	期望更改为datetime(n)	实际备端为datetime None位</t>
        </is>
      </c>
    </row>
    <row r="1071">
      <c r="B1071" s="0" t="inlineStr">
        <is>
          <t>NULL</t>
        </is>
      </c>
      <c r="C1071" s="0" t="inlineStr">
        <is>
          <t>NULL</t>
        </is>
      </c>
      <c r="D1071" s="0" t="inlineStr">
        <is>
          <t>NULL</t>
        </is>
      </c>
      <c r="E1071" s="0" t="inlineStr">
        <is>
          <t>NULL</t>
        </is>
      </c>
      <c r="F1071" s="0" t="inlineStr">
        <is>
          <t>NULL</t>
        </is>
      </c>
      <c r="G1071" s="0" t="inlineStr">
        <is>
          <t>NULL</t>
        </is>
      </c>
      <c r="H1071" s="0" t="inlineStr">
        <is>
          <t>NULL</t>
        </is>
      </c>
      <c r="I1071" s="0" t="inlineStr">
        <is>
          <t>NULL</t>
        </is>
      </c>
      <c r="J1071" s="0" t="inlineStr">
        <is>
          <t>NULL</t>
        </is>
      </c>
      <c r="K1071" s="0" t="inlineStr">
        <is>
          <t>YES! 	 c_dt2_5列源备映射正确，源端为datetime2 None位	期望更改为datetime(n)	实际备端为datetime None位</t>
        </is>
      </c>
    </row>
    <row r="1072">
      <c r="B1072" s="0" t="inlineStr">
        <is>
          <t>NULL</t>
        </is>
      </c>
      <c r="C1072" s="0" t="inlineStr">
        <is>
          <t>NULL</t>
        </is>
      </c>
      <c r="D1072" s="0" t="inlineStr">
        <is>
          <t>NULL</t>
        </is>
      </c>
      <c r="E1072" s="0" t="inlineStr">
        <is>
          <t>NULL</t>
        </is>
      </c>
      <c r="F1072" s="0" t="inlineStr">
        <is>
          <t>NULL</t>
        </is>
      </c>
      <c r="G1072" s="0" t="inlineStr">
        <is>
          <t>NULL</t>
        </is>
      </c>
      <c r="H1072" s="0" t="inlineStr">
        <is>
          <t>NULL</t>
        </is>
      </c>
      <c r="I1072" s="0" t="inlineStr">
        <is>
          <t>NULL</t>
        </is>
      </c>
      <c r="J1072" s="0" t="inlineStr">
        <is>
          <t>NULL</t>
        </is>
      </c>
      <c r="K1072" s="0" t="inlineStr">
        <is>
          <t>YES! 	 c_dt2_6列源备映射正确，源端为datetime2 None位	期望更改为datetime(n)	实际备端为datetime None位</t>
        </is>
      </c>
    </row>
    <row r="1073">
      <c r="B1073" s="0" t="inlineStr">
        <is>
          <t>NULL</t>
        </is>
      </c>
      <c r="C1073" s="0" t="inlineStr">
        <is>
          <t>NULL</t>
        </is>
      </c>
      <c r="D1073" s="0" t="inlineStr">
        <is>
          <t>NULL</t>
        </is>
      </c>
      <c r="E1073" s="0" t="inlineStr">
        <is>
          <t>NULL</t>
        </is>
      </c>
      <c r="F1073" s="0" t="inlineStr">
        <is>
          <t>NULL</t>
        </is>
      </c>
      <c r="G1073" s="0" t="inlineStr">
        <is>
          <t>NULL</t>
        </is>
      </c>
      <c r="H1073" s="0" t="inlineStr">
        <is>
          <t>NULL</t>
        </is>
      </c>
      <c r="I1073" s="0" t="inlineStr">
        <is>
          <t>NULL</t>
        </is>
      </c>
      <c r="J1073" s="0" t="inlineStr">
        <is>
          <t>NULL</t>
        </is>
      </c>
      <c r="K1073" s="0" t="inlineStr">
        <is>
          <t xml:space="preserve"> NO!  	 c_dt2列源备映射错误，源端为datetime2 None位	期望更改为datetime(n)	实际备端为varchar 136位</t>
        </is>
      </c>
    </row>
    <row r="1074">
      <c r="A1074" s="0" t="inlineStr">
        <is>
          <t>info_sdt_dml_single_pk_drp</t>
        </is>
      </c>
      <c r="K1074" s="0" t="inlineStr">
        <is>
          <t>[0;34m info_sdt_dml_single_pk_drp [0m源备字段数相同，源端字段：2 	备端字段2</t>
        </is>
      </c>
      <c r="W1074" s="0" t="inlineStr">
        <is>
          <t>YES 源备无差异</t>
        </is>
      </c>
      <c r="X1074" s="0">
        <f>A1074</f>
        <v/>
      </c>
    </row>
    <row r="1075">
      <c r="B1075" s="0" t="inlineStr">
        <is>
          <t>YES</t>
        </is>
      </c>
      <c r="C1075" s="0" t="inlineStr">
        <is>
          <t>NULL</t>
        </is>
      </c>
      <c r="D1075" s="0" t="inlineStr">
        <is>
          <t>NULL</t>
        </is>
      </c>
      <c r="E1075" s="0" t="inlineStr">
        <is>
          <t>NULL</t>
        </is>
      </c>
      <c r="F1075" s="0" t="inlineStr">
        <is>
          <t>NULL</t>
        </is>
      </c>
      <c r="G1075" s="0" t="inlineStr">
        <is>
          <t>NULL</t>
        </is>
      </c>
      <c r="H1075" s="0" t="inlineStr">
        <is>
          <t>NULL</t>
        </is>
      </c>
      <c r="I1075" s="0" t="inlineStr">
        <is>
          <t>YES!PK__info_sdt__3213E83FD9FF0613</t>
        </is>
      </c>
      <c r="J1075" s="0" t="inlineStr">
        <is>
          <t>YES! 主键相关索引</t>
        </is>
      </c>
      <c r="K1075" s="0" t="inlineStr">
        <is>
          <t>YES! 	 id列源备映射正确，源端为int None位	期望更改为int	实际备端为int None位</t>
        </is>
      </c>
    </row>
    <row r="1076">
      <c r="B1076" s="0" t="inlineStr">
        <is>
          <t>NULL</t>
        </is>
      </c>
      <c r="C1076" s="0" t="inlineStr">
        <is>
          <t>NULL</t>
        </is>
      </c>
      <c r="D1076" s="0" t="inlineStr">
        <is>
          <t>NULL</t>
        </is>
      </c>
      <c r="E1076" s="0" t="inlineStr">
        <is>
          <t>NULL</t>
        </is>
      </c>
      <c r="F1076" s="0" t="inlineStr">
        <is>
          <t>NULL</t>
        </is>
      </c>
      <c r="G1076" s="0" t="inlineStr">
        <is>
          <t>NULL</t>
        </is>
      </c>
      <c r="H1076" s="0" t="inlineStr">
        <is>
          <t>NULL</t>
        </is>
      </c>
      <c r="I1076" s="0" t="inlineStr">
        <is>
          <t>NULL</t>
        </is>
      </c>
      <c r="J1076" s="0" t="inlineStr">
        <is>
          <t>NULL</t>
        </is>
      </c>
      <c r="K1076" s="0" t="inlineStr">
        <is>
          <t>YES! 	 c_sdt列源备映射正确，源端为smalldatetime None位	期望更改为datetime	实际备端为datetime None位</t>
        </is>
      </c>
    </row>
    <row r="1077">
      <c r="A1077" s="0" t="inlineStr">
        <is>
          <t>info_nvarchar_dml_batch1_pk_irp2</t>
        </is>
      </c>
      <c r="K1077" s="0" t="inlineStr">
        <is>
          <t>[0;34m info_nvarchar_dml_batch1_pk_irp2 [0m源备字段数相同，源端字段：4 	备端字段4</t>
        </is>
      </c>
      <c r="W1077" s="0" t="inlineStr">
        <is>
          <t>YES 源备无差异</t>
        </is>
      </c>
      <c r="X1077" s="0">
        <f>A1077</f>
        <v/>
      </c>
    </row>
    <row r="1078">
      <c r="B1078" s="0" t="inlineStr">
        <is>
          <t>YES</t>
        </is>
      </c>
      <c r="C1078" s="0" t="inlineStr">
        <is>
          <t>NULL</t>
        </is>
      </c>
      <c r="D1078" s="0" t="inlineStr">
        <is>
          <t>NULL</t>
        </is>
      </c>
      <c r="E1078" s="0" t="inlineStr">
        <is>
          <t>NULL</t>
        </is>
      </c>
      <c r="F1078" s="0" t="inlineStr">
        <is>
          <t>NULL</t>
        </is>
      </c>
      <c r="G1078" s="0" t="inlineStr">
        <is>
          <t>NULL</t>
        </is>
      </c>
      <c r="H1078" s="0" t="inlineStr">
        <is>
          <t>NULL</t>
        </is>
      </c>
      <c r="I1078" s="0" t="inlineStr">
        <is>
          <t>YES!PK__info_nva__3213E83FF8A54FF1</t>
        </is>
      </c>
      <c r="J1078" s="0" t="inlineStr">
        <is>
          <t>YES! 主键相关索引</t>
        </is>
      </c>
      <c r="K1078" s="0" t="inlineStr">
        <is>
          <t>YES! 	 id列源备映射正确，源端为int None位	期望更改为int	实际备端为int None位</t>
        </is>
      </c>
    </row>
    <row r="1079">
      <c r="B1079" s="0" t="inlineStr">
        <is>
          <t>NULL</t>
        </is>
      </c>
      <c r="C1079" s="0" t="inlineStr">
        <is>
          <t>NULL</t>
        </is>
      </c>
      <c r="D1079" s="0" t="inlineStr">
        <is>
          <t>NULL</t>
        </is>
      </c>
      <c r="E1079" s="0" t="inlineStr">
        <is>
          <t>NULL</t>
        </is>
      </c>
      <c r="F1079" s="0" t="inlineStr">
        <is>
          <t>NULL</t>
        </is>
      </c>
      <c r="G1079" s="0" t="inlineStr">
        <is>
          <t>NULL</t>
        </is>
      </c>
      <c r="H1079" s="0" t="inlineStr">
        <is>
          <t>NULL</t>
        </is>
      </c>
      <c r="I1079" s="0" t="inlineStr">
        <is>
          <t>NULL</t>
        </is>
      </c>
      <c r="J1079" s="0" t="inlineStr">
        <is>
          <t>NULL</t>
        </is>
      </c>
      <c r="K1079" s="0" t="inlineStr">
        <is>
          <t>YES! 	 c_nvarchar列源备映射正确，源端为nvarchar 2位	期望更改为varchar(n)	实际备端为varchar 4位</t>
        </is>
      </c>
    </row>
    <row r="1080">
      <c r="B1080" s="0" t="inlineStr">
        <is>
          <t>NULL</t>
        </is>
      </c>
      <c r="C1080" s="0" t="inlineStr">
        <is>
          <t>NULL</t>
        </is>
      </c>
      <c r="D1080" s="0" t="inlineStr">
        <is>
          <t>NULL</t>
        </is>
      </c>
      <c r="E1080" s="0" t="inlineStr">
        <is>
          <t>NULL</t>
        </is>
      </c>
      <c r="F1080" s="0" t="inlineStr">
        <is>
          <t>NULL</t>
        </is>
      </c>
      <c r="G1080" s="0" t="inlineStr">
        <is>
          <t>NULL</t>
        </is>
      </c>
      <c r="H1080" s="0" t="inlineStr">
        <is>
          <t>NULL</t>
        </is>
      </c>
      <c r="I1080" s="0" t="inlineStr">
        <is>
          <t>NULL</t>
        </is>
      </c>
      <c r="J1080" s="0" t="inlineStr">
        <is>
          <t>NULL</t>
        </is>
      </c>
      <c r="K1080" s="0" t="inlineStr">
        <is>
          <t>YES! 	 c_nvarchar20列源备映射正确，源端为nvarchar 40位	期望更改为varchar(n)	实际备端为varchar 80位</t>
        </is>
      </c>
    </row>
    <row r="1081">
      <c r="B1081" s="0" t="inlineStr">
        <is>
          <t>NULL</t>
        </is>
      </c>
      <c r="C1081" s="0" t="inlineStr">
        <is>
          <t>NULL</t>
        </is>
      </c>
      <c r="D1081" s="0" t="inlineStr">
        <is>
          <t>NULL</t>
        </is>
      </c>
      <c r="E1081" s="0" t="inlineStr">
        <is>
          <t>NULL</t>
        </is>
      </c>
      <c r="F1081" s="0" t="inlineStr">
        <is>
          <t>NULL</t>
        </is>
      </c>
      <c r="G1081" s="0" t="inlineStr">
        <is>
          <t>NULL</t>
        </is>
      </c>
      <c r="H1081" s="0" t="inlineStr">
        <is>
          <t>NULL</t>
        </is>
      </c>
      <c r="I1081" s="0" t="inlineStr">
        <is>
          <t>NULL</t>
        </is>
      </c>
      <c r="J1081" s="0" t="inlineStr">
        <is>
          <t>NULL</t>
        </is>
      </c>
      <c r="K1081" s="0" t="inlineStr">
        <is>
          <t>YES! 	 c_nvarchar3500列源备映射正确，源端为nvarchar 7000位	期望更改为text	实际备端为text 65535位</t>
        </is>
      </c>
    </row>
    <row r="1082">
      <c r="A1082" s="0" t="inlineStr">
        <is>
          <t>info_datetime2_dml_batch1_pk_drp1</t>
        </is>
      </c>
      <c r="K1082" s="0" t="inlineStr">
        <is>
          <t>[0;34m info_datetime2_dml_batch1_pk_drp1 [0m源备字段数相同，源端字段：9 	备端字段9</t>
        </is>
      </c>
      <c r="W1082" s="0" t="inlineStr">
        <is>
          <t>YES 源备无差异</t>
        </is>
      </c>
      <c r="X1082" s="0">
        <f>A1082</f>
        <v/>
      </c>
    </row>
    <row r="1083">
      <c r="B1083" s="0" t="inlineStr">
        <is>
          <t>YES</t>
        </is>
      </c>
      <c r="C1083" s="0" t="inlineStr">
        <is>
          <t>NULL</t>
        </is>
      </c>
      <c r="D1083" s="0" t="inlineStr">
        <is>
          <t>NULL</t>
        </is>
      </c>
      <c r="E1083" s="0" t="inlineStr">
        <is>
          <t>NULL</t>
        </is>
      </c>
      <c r="F1083" s="0" t="inlineStr">
        <is>
          <t>NULL</t>
        </is>
      </c>
      <c r="G1083" s="0" t="inlineStr">
        <is>
          <t>NULL</t>
        </is>
      </c>
      <c r="H1083" s="0" t="inlineStr">
        <is>
          <t>NULL</t>
        </is>
      </c>
      <c r="I1083" s="0" t="inlineStr">
        <is>
          <t>YES!PK__info_dat__3213E83F6849006D</t>
        </is>
      </c>
      <c r="J1083" s="0" t="inlineStr">
        <is>
          <t>YES! 主键相关索引</t>
        </is>
      </c>
      <c r="K1083" s="0" t="inlineStr">
        <is>
          <t>YES! 	 id列源备映射正确，源端为int None位	期望更改为int	实际备端为int None位</t>
        </is>
      </c>
    </row>
    <row r="1084">
      <c r="B1084" s="0" t="inlineStr">
        <is>
          <t>NULL</t>
        </is>
      </c>
      <c r="C1084" s="0" t="inlineStr">
        <is>
          <t>NULL</t>
        </is>
      </c>
      <c r="D1084" s="0" t="inlineStr">
        <is>
          <t>NULL</t>
        </is>
      </c>
      <c r="E1084" s="0" t="inlineStr">
        <is>
          <t>NULL</t>
        </is>
      </c>
      <c r="F1084" s="0" t="inlineStr">
        <is>
          <t>NULL</t>
        </is>
      </c>
      <c r="G1084" s="0" t="inlineStr">
        <is>
          <t>NULL</t>
        </is>
      </c>
      <c r="H1084" s="0" t="inlineStr">
        <is>
          <t>NULL</t>
        </is>
      </c>
      <c r="I1084" s="0" t="inlineStr">
        <is>
          <t>NULL</t>
        </is>
      </c>
      <c r="J1084" s="0" t="inlineStr">
        <is>
          <t>NULL</t>
        </is>
      </c>
      <c r="K1084" s="0" t="inlineStr">
        <is>
          <t>no,len不存在</t>
        </is>
      </c>
    </row>
    <row r="1085">
      <c r="B1085" s="0" t="inlineStr">
        <is>
          <t>NULL</t>
        </is>
      </c>
      <c r="C1085" s="0" t="inlineStr">
        <is>
          <t>NULL</t>
        </is>
      </c>
      <c r="D1085" s="0" t="inlineStr">
        <is>
          <t>NULL</t>
        </is>
      </c>
      <c r="E1085" s="0" t="inlineStr">
        <is>
          <t>NULL</t>
        </is>
      </c>
      <c r="F1085" s="0" t="inlineStr">
        <is>
          <t>NULL</t>
        </is>
      </c>
      <c r="G1085" s="0" t="inlineStr">
        <is>
          <t>NULL</t>
        </is>
      </c>
      <c r="H1085" s="0" t="inlineStr">
        <is>
          <t>NULL</t>
        </is>
      </c>
      <c r="I1085" s="0" t="inlineStr">
        <is>
          <t>NULL</t>
        </is>
      </c>
      <c r="J1085" s="0" t="inlineStr">
        <is>
          <t>NULL</t>
        </is>
      </c>
      <c r="K1085" s="0" t="inlineStr">
        <is>
          <t>YES! 	 c_dt2_1列源备映射正确，源端为datetime2 None位	期望更改为datetime(n)	实际备端为datetime None位</t>
        </is>
      </c>
    </row>
    <row r="1086">
      <c r="B1086" s="0" t="inlineStr">
        <is>
          <t>NULL</t>
        </is>
      </c>
      <c r="C1086" s="0" t="inlineStr">
        <is>
          <t>NULL</t>
        </is>
      </c>
      <c r="D1086" s="0" t="inlineStr">
        <is>
          <t>NULL</t>
        </is>
      </c>
      <c r="E1086" s="0" t="inlineStr">
        <is>
          <t>NULL</t>
        </is>
      </c>
      <c r="F1086" s="0" t="inlineStr">
        <is>
          <t>NULL</t>
        </is>
      </c>
      <c r="G1086" s="0" t="inlineStr">
        <is>
          <t>NULL</t>
        </is>
      </c>
      <c r="H1086" s="0" t="inlineStr">
        <is>
          <t>NULL</t>
        </is>
      </c>
      <c r="I1086" s="0" t="inlineStr">
        <is>
          <t>NULL</t>
        </is>
      </c>
      <c r="J1086" s="0" t="inlineStr">
        <is>
          <t>NULL</t>
        </is>
      </c>
      <c r="K1086" s="0" t="inlineStr">
        <is>
          <t>YES! 	 c_dt2_2列源备映射正确，源端为datetime2 None位	期望更改为datetime(n)	实际备端为datetime None位</t>
        </is>
      </c>
    </row>
    <row r="1087">
      <c r="B1087" s="0" t="inlineStr">
        <is>
          <t>NULL</t>
        </is>
      </c>
      <c r="C1087" s="0" t="inlineStr">
        <is>
          <t>NULL</t>
        </is>
      </c>
      <c r="D1087" s="0" t="inlineStr">
        <is>
          <t>NULL</t>
        </is>
      </c>
      <c r="E1087" s="0" t="inlineStr">
        <is>
          <t>NULL</t>
        </is>
      </c>
      <c r="F1087" s="0" t="inlineStr">
        <is>
          <t>NULL</t>
        </is>
      </c>
      <c r="G1087" s="0" t="inlineStr">
        <is>
          <t>NULL</t>
        </is>
      </c>
      <c r="H1087" s="0" t="inlineStr">
        <is>
          <t>NULL</t>
        </is>
      </c>
      <c r="I1087" s="0" t="inlineStr">
        <is>
          <t>NULL</t>
        </is>
      </c>
      <c r="J1087" s="0" t="inlineStr">
        <is>
          <t>NULL</t>
        </is>
      </c>
      <c r="K1087" s="0" t="inlineStr">
        <is>
          <t>YES! 	 c_dt2_3列源备映射正确，源端为datetime2 None位	期望更改为datetime(n)	实际备端为datetime None位</t>
        </is>
      </c>
    </row>
    <row r="1088">
      <c r="B1088" s="0" t="inlineStr">
        <is>
          <t>NULL</t>
        </is>
      </c>
      <c r="C1088" s="0" t="inlineStr">
        <is>
          <t>NULL</t>
        </is>
      </c>
      <c r="D1088" s="0" t="inlineStr">
        <is>
          <t>NULL</t>
        </is>
      </c>
      <c r="E1088" s="0" t="inlineStr">
        <is>
          <t>NULL</t>
        </is>
      </c>
      <c r="F1088" s="0" t="inlineStr">
        <is>
          <t>NULL</t>
        </is>
      </c>
      <c r="G1088" s="0" t="inlineStr">
        <is>
          <t>NULL</t>
        </is>
      </c>
      <c r="H1088" s="0" t="inlineStr">
        <is>
          <t>NULL</t>
        </is>
      </c>
      <c r="I1088" s="0" t="inlineStr">
        <is>
          <t>NULL</t>
        </is>
      </c>
      <c r="J1088" s="0" t="inlineStr">
        <is>
          <t>NULL</t>
        </is>
      </c>
      <c r="K1088" s="0" t="inlineStr">
        <is>
          <t>YES! 	 c_dt2_4列源备映射正确，源端为datetime2 None位	期望更改为datetime(n)	实际备端为datetime None位</t>
        </is>
      </c>
    </row>
    <row r="1089">
      <c r="B1089" s="0" t="inlineStr">
        <is>
          <t>NULL</t>
        </is>
      </c>
      <c r="C1089" s="0" t="inlineStr">
        <is>
          <t>NULL</t>
        </is>
      </c>
      <c r="D1089" s="0" t="inlineStr">
        <is>
          <t>NULL</t>
        </is>
      </c>
      <c r="E1089" s="0" t="inlineStr">
        <is>
          <t>NULL</t>
        </is>
      </c>
      <c r="F1089" s="0" t="inlineStr">
        <is>
          <t>NULL</t>
        </is>
      </c>
      <c r="G1089" s="0" t="inlineStr">
        <is>
          <t>NULL</t>
        </is>
      </c>
      <c r="H1089" s="0" t="inlineStr">
        <is>
          <t>NULL</t>
        </is>
      </c>
      <c r="I1089" s="0" t="inlineStr">
        <is>
          <t>NULL</t>
        </is>
      </c>
      <c r="J1089" s="0" t="inlineStr">
        <is>
          <t>NULL</t>
        </is>
      </c>
      <c r="K1089" s="0" t="inlineStr">
        <is>
          <t>YES! 	 c_dt2_5列源备映射正确，源端为datetime2 None位	期望更改为datetime(n)	实际备端为datetime None位</t>
        </is>
      </c>
    </row>
    <row r="1090">
      <c r="B1090" s="0" t="inlineStr">
        <is>
          <t>NULL</t>
        </is>
      </c>
      <c r="C1090" s="0" t="inlineStr">
        <is>
          <t>NULL</t>
        </is>
      </c>
      <c r="D1090" s="0" t="inlineStr">
        <is>
          <t>NULL</t>
        </is>
      </c>
      <c r="E1090" s="0" t="inlineStr">
        <is>
          <t>NULL</t>
        </is>
      </c>
      <c r="F1090" s="0" t="inlineStr">
        <is>
          <t>NULL</t>
        </is>
      </c>
      <c r="G1090" s="0" t="inlineStr">
        <is>
          <t>NULL</t>
        </is>
      </c>
      <c r="H1090" s="0" t="inlineStr">
        <is>
          <t>NULL</t>
        </is>
      </c>
      <c r="I1090" s="0" t="inlineStr">
        <is>
          <t>NULL</t>
        </is>
      </c>
      <c r="J1090" s="0" t="inlineStr">
        <is>
          <t>NULL</t>
        </is>
      </c>
      <c r="K1090" s="0" t="inlineStr">
        <is>
          <t>YES! 	 c_dt2_6列源备映射正确，源端为datetime2 None位	期望更改为datetime(n)	实际备端为datetime None位</t>
        </is>
      </c>
    </row>
    <row r="1091">
      <c r="B1091" s="0" t="inlineStr">
        <is>
          <t>NULL</t>
        </is>
      </c>
      <c r="C1091" s="0" t="inlineStr">
        <is>
          <t>NULL</t>
        </is>
      </c>
      <c r="D1091" s="0" t="inlineStr">
        <is>
          <t>NULL</t>
        </is>
      </c>
      <c r="E1091" s="0" t="inlineStr">
        <is>
          <t>NULL</t>
        </is>
      </c>
      <c r="F1091" s="0" t="inlineStr">
        <is>
          <t>NULL</t>
        </is>
      </c>
      <c r="G1091" s="0" t="inlineStr">
        <is>
          <t>NULL</t>
        </is>
      </c>
      <c r="H1091" s="0" t="inlineStr">
        <is>
          <t>NULL</t>
        </is>
      </c>
      <c r="I1091" s="0" t="inlineStr">
        <is>
          <t>NULL</t>
        </is>
      </c>
      <c r="J1091" s="0" t="inlineStr">
        <is>
          <t>NULL</t>
        </is>
      </c>
      <c r="K1091" s="0" t="inlineStr">
        <is>
          <t xml:space="preserve"> NO!  	 c_dt2列源备映射错误，源端为datetime2 None位	期望更改为datetime(n)	实际备端为varchar 136位</t>
        </is>
      </c>
    </row>
    <row r="1092">
      <c r="K1092" s="0" t="inlineStr">
        <is>
          <t>~ 空表</t>
        </is>
      </c>
    </row>
    <row r="1093">
      <c r="A1093" s="0" t="inlineStr">
        <is>
          <t>info_nvarchar_dml_batch2_pk_irp1</t>
        </is>
      </c>
      <c r="K1093" s="0" t="inlineStr">
        <is>
          <t>[0;34m info_nvarchar_dml_batch2_pk_irp1 [0m源备字段数相同，源端字段：4 	备端字段4</t>
        </is>
      </c>
      <c r="W1093" s="0" t="inlineStr">
        <is>
          <t>YES 源备无差异</t>
        </is>
      </c>
      <c r="X1093" s="0">
        <f>A1093</f>
        <v/>
      </c>
    </row>
    <row r="1094">
      <c r="B1094" s="0" t="inlineStr">
        <is>
          <t>YES</t>
        </is>
      </c>
      <c r="C1094" s="0" t="inlineStr">
        <is>
          <t>NULL</t>
        </is>
      </c>
      <c r="D1094" s="0" t="inlineStr">
        <is>
          <t>NULL</t>
        </is>
      </c>
      <c r="E1094" s="0" t="inlineStr">
        <is>
          <t>NULL</t>
        </is>
      </c>
      <c r="F1094" s="0" t="inlineStr">
        <is>
          <t>NULL</t>
        </is>
      </c>
      <c r="G1094" s="0" t="inlineStr">
        <is>
          <t>NULL</t>
        </is>
      </c>
      <c r="H1094" s="0" t="inlineStr">
        <is>
          <t>NULL</t>
        </is>
      </c>
      <c r="I1094" s="0" t="inlineStr">
        <is>
          <t>YES!PK__info_nva__3213E83F98EA7D40</t>
        </is>
      </c>
      <c r="J1094" s="0" t="inlineStr">
        <is>
          <t>YES! 主键相关索引</t>
        </is>
      </c>
      <c r="K1094" s="0" t="inlineStr">
        <is>
          <t>YES! 	 id列源备映射正确，源端为int None位	期望更改为int	实际备端为int None位</t>
        </is>
      </c>
    </row>
    <row r="1095">
      <c r="B1095" s="0" t="inlineStr">
        <is>
          <t>NULL</t>
        </is>
      </c>
      <c r="C1095" s="0" t="inlineStr">
        <is>
          <t>NULL</t>
        </is>
      </c>
      <c r="D1095" s="0" t="inlineStr">
        <is>
          <t>NULL</t>
        </is>
      </c>
      <c r="E1095" s="0" t="inlineStr">
        <is>
          <t>NULL</t>
        </is>
      </c>
      <c r="F1095" s="0" t="inlineStr">
        <is>
          <t>NULL</t>
        </is>
      </c>
      <c r="G1095" s="0" t="inlineStr">
        <is>
          <t>NULL</t>
        </is>
      </c>
      <c r="H1095" s="0" t="inlineStr">
        <is>
          <t>NULL</t>
        </is>
      </c>
      <c r="I1095" s="0" t="inlineStr">
        <is>
          <t>NULL</t>
        </is>
      </c>
      <c r="J1095" s="0" t="inlineStr">
        <is>
          <t>NULL</t>
        </is>
      </c>
      <c r="K1095" s="0" t="inlineStr">
        <is>
          <t>YES! 	 c_nvarchar列源备映射正确，源端为nvarchar 2位	期望更改为varchar(n)	实际备端为varchar 4位</t>
        </is>
      </c>
    </row>
    <row r="1096">
      <c r="B1096" s="0" t="inlineStr">
        <is>
          <t>NULL</t>
        </is>
      </c>
      <c r="C1096" s="0" t="inlineStr">
        <is>
          <t>NULL</t>
        </is>
      </c>
      <c r="D1096" s="0" t="inlineStr">
        <is>
          <t>NULL</t>
        </is>
      </c>
      <c r="E1096" s="0" t="inlineStr">
        <is>
          <t>NULL</t>
        </is>
      </c>
      <c r="F1096" s="0" t="inlineStr">
        <is>
          <t>NULL</t>
        </is>
      </c>
      <c r="G1096" s="0" t="inlineStr">
        <is>
          <t>NULL</t>
        </is>
      </c>
      <c r="H1096" s="0" t="inlineStr">
        <is>
          <t>NULL</t>
        </is>
      </c>
      <c r="I1096" s="0" t="inlineStr">
        <is>
          <t>NULL</t>
        </is>
      </c>
      <c r="J1096" s="0" t="inlineStr">
        <is>
          <t>NULL</t>
        </is>
      </c>
      <c r="K1096" s="0" t="inlineStr">
        <is>
          <t>YES! 	 c_nvarchar20列源备映射正确，源端为nvarchar 40位	期望更改为varchar(n)	实际备端为varchar 80位</t>
        </is>
      </c>
    </row>
    <row r="1097">
      <c r="B1097" s="0" t="inlineStr">
        <is>
          <t>NULL</t>
        </is>
      </c>
      <c r="C1097" s="0" t="inlineStr">
        <is>
          <t>NULL</t>
        </is>
      </c>
      <c r="D1097" s="0" t="inlineStr">
        <is>
          <t>NULL</t>
        </is>
      </c>
      <c r="E1097" s="0" t="inlineStr">
        <is>
          <t>NULL</t>
        </is>
      </c>
      <c r="F1097" s="0" t="inlineStr">
        <is>
          <t>NULL</t>
        </is>
      </c>
      <c r="G1097" s="0" t="inlineStr">
        <is>
          <t>NULL</t>
        </is>
      </c>
      <c r="H1097" s="0" t="inlineStr">
        <is>
          <t>NULL</t>
        </is>
      </c>
      <c r="I1097" s="0" t="inlineStr">
        <is>
          <t>NULL</t>
        </is>
      </c>
      <c r="J1097" s="0" t="inlineStr">
        <is>
          <t>NULL</t>
        </is>
      </c>
      <c r="K1097" s="0" t="inlineStr">
        <is>
          <t>YES! 	 c_nvarchar3500列源备映射正确，源端为nvarchar 7000位	期望更改为text	实际备端为text 65535位</t>
        </is>
      </c>
    </row>
    <row r="1098">
      <c r="A1098" s="0" t="inlineStr">
        <is>
          <t>info_sdt_dml_single_pk</t>
        </is>
      </c>
      <c r="K1098" s="0" t="inlineStr">
        <is>
          <t>[0;34m info_sdt_dml_single_pk [0m源备字段数相同，源端字段：2 	备端字段2</t>
        </is>
      </c>
      <c r="W1098" s="0" t="inlineStr">
        <is>
          <t>YES 源备无差异</t>
        </is>
      </c>
      <c r="X1098" s="0">
        <f>A1098</f>
        <v/>
      </c>
    </row>
    <row r="1099">
      <c r="B1099" s="0" t="inlineStr">
        <is>
          <t>YES</t>
        </is>
      </c>
      <c r="C1099" s="0" t="inlineStr">
        <is>
          <t>NULL</t>
        </is>
      </c>
      <c r="D1099" s="0" t="inlineStr">
        <is>
          <t>NULL</t>
        </is>
      </c>
      <c r="E1099" s="0" t="inlineStr">
        <is>
          <t>NULL</t>
        </is>
      </c>
      <c r="F1099" s="0" t="inlineStr">
        <is>
          <t>NULL</t>
        </is>
      </c>
      <c r="G1099" s="0" t="inlineStr">
        <is>
          <t>NULL</t>
        </is>
      </c>
      <c r="H1099" s="0" t="inlineStr">
        <is>
          <t>NULL</t>
        </is>
      </c>
      <c r="I1099" s="0" t="inlineStr">
        <is>
          <t>YES!PK__info_sdt__3213E83F38803C50</t>
        </is>
      </c>
      <c r="J1099" s="0" t="inlineStr">
        <is>
          <t>YES! 主键相关索引</t>
        </is>
      </c>
      <c r="K1099" s="0" t="inlineStr">
        <is>
          <t>YES! 	 id列源备映射正确，源端为int None位	期望更改为int	实际备端为int None位</t>
        </is>
      </c>
    </row>
    <row r="1100">
      <c r="B1100" s="0" t="inlineStr">
        <is>
          <t>NULL</t>
        </is>
      </c>
      <c r="C1100" s="0" t="inlineStr">
        <is>
          <t>NULL</t>
        </is>
      </c>
      <c r="D1100" s="0" t="inlineStr">
        <is>
          <t>NULL</t>
        </is>
      </c>
      <c r="E1100" s="0" t="inlineStr">
        <is>
          <t>NULL</t>
        </is>
      </c>
      <c r="F1100" s="0" t="inlineStr">
        <is>
          <t>NULL</t>
        </is>
      </c>
      <c r="G1100" s="0" t="inlineStr">
        <is>
          <t>NULL</t>
        </is>
      </c>
      <c r="H1100" s="0" t="inlineStr">
        <is>
          <t>NULL</t>
        </is>
      </c>
      <c r="I1100" s="0" t="inlineStr">
        <is>
          <t>NULL</t>
        </is>
      </c>
      <c r="J1100" s="0" t="inlineStr">
        <is>
          <t>NULL</t>
        </is>
      </c>
      <c r="K1100" s="0" t="inlineStr">
        <is>
          <t>YES! 	 c_sdt列源备映射正确，源端为smalldatetime None位	期望更改为datetime	实际备端为datetime None位</t>
        </is>
      </c>
    </row>
    <row r="1101">
      <c r="A1101" s="0" t="inlineStr">
        <is>
          <t>info_xml_dml_single_nopk_irp</t>
        </is>
      </c>
      <c r="K1101" s="0" t="inlineStr">
        <is>
          <t>[0;34m info_xml_dml_single_nopk_irp [0m源备字段数相同，源端字段：2 	备端字段2</t>
        </is>
      </c>
      <c r="W1101" s="0" t="inlineStr">
        <is>
          <t>YES 源备无差异</t>
        </is>
      </c>
      <c r="X1101" s="0">
        <f>A1101</f>
        <v/>
      </c>
    </row>
    <row r="1102">
      <c r="B1102" s="0" t="inlineStr">
        <is>
          <t>NULL</t>
        </is>
      </c>
      <c r="C1102" s="0" t="inlineStr">
        <is>
          <t>NULL</t>
        </is>
      </c>
      <c r="D1102" s="0" t="inlineStr">
        <is>
          <t>NULL</t>
        </is>
      </c>
      <c r="E1102" s="0" t="inlineStr">
        <is>
          <t>NULL</t>
        </is>
      </c>
      <c r="F1102" s="0" t="inlineStr">
        <is>
          <t>NULL</t>
        </is>
      </c>
      <c r="G1102" s="0" t="inlineStr">
        <is>
          <t>NULL</t>
        </is>
      </c>
      <c r="H1102" s="0" t="inlineStr">
        <is>
          <t>NULL</t>
        </is>
      </c>
      <c r="I1102" s="0" t="inlineStr">
        <is>
          <t>NULL</t>
        </is>
      </c>
      <c r="J1102" s="0" t="inlineStr">
        <is>
          <t>NULL</t>
        </is>
      </c>
      <c r="K1102" s="0" t="inlineStr">
        <is>
          <t>YES! 	 id列源备映射正确，源端为int None位	期望更改为int	实际备端为int None位</t>
        </is>
      </c>
    </row>
    <row r="1103">
      <c r="B1103" s="0" t="inlineStr">
        <is>
          <t>NULL</t>
        </is>
      </c>
      <c r="C1103" s="0" t="inlineStr">
        <is>
          <t>NULL</t>
        </is>
      </c>
      <c r="D1103" s="0" t="inlineStr">
        <is>
          <t>NULL</t>
        </is>
      </c>
      <c r="E1103" s="0" t="inlineStr">
        <is>
          <t>NULL</t>
        </is>
      </c>
      <c r="F1103" s="0" t="inlineStr">
        <is>
          <t>NULL</t>
        </is>
      </c>
      <c r="G1103" s="0" t="inlineStr">
        <is>
          <t>NULL</t>
        </is>
      </c>
      <c r="H1103" s="0" t="inlineStr">
        <is>
          <t>NULL</t>
        </is>
      </c>
      <c r="I1103" s="0" t="inlineStr">
        <is>
          <t>NULL</t>
        </is>
      </c>
      <c r="J1103" s="0" t="inlineStr">
        <is>
          <t>NULL</t>
        </is>
      </c>
      <c r="K1103" s="0" t="inlineStr">
        <is>
          <t>YES! 	 c_xml列源备映射正确，源端为xml -1位	期望更改为longtext	实际备端为longtext 4294967295位</t>
        </is>
      </c>
    </row>
    <row r="1104">
      <c r="A1104" s="0" t="inlineStr">
        <is>
          <t>info_xml_dml_single_nopk_urp</t>
        </is>
      </c>
      <c r="K1104" s="0" t="inlineStr">
        <is>
          <t>[0;34m info_xml_dml_single_nopk_urp [0m源备字段数相同，源端字段：2 	备端字段2</t>
        </is>
      </c>
      <c r="W1104" s="0" t="inlineStr">
        <is>
          <t>YES 源备无差异</t>
        </is>
      </c>
      <c r="X1104" s="0">
        <f>A1104</f>
        <v/>
      </c>
    </row>
    <row r="1105">
      <c r="B1105" s="0" t="inlineStr">
        <is>
          <t>NULL</t>
        </is>
      </c>
      <c r="C1105" s="0" t="inlineStr">
        <is>
          <t>NULL</t>
        </is>
      </c>
      <c r="D1105" s="0" t="inlineStr">
        <is>
          <t>NULL</t>
        </is>
      </c>
      <c r="E1105" s="0" t="inlineStr">
        <is>
          <t>NULL</t>
        </is>
      </c>
      <c r="F1105" s="0" t="inlineStr">
        <is>
          <t>NULL</t>
        </is>
      </c>
      <c r="G1105" s="0" t="inlineStr">
        <is>
          <t>NULL</t>
        </is>
      </c>
      <c r="H1105" s="0" t="inlineStr">
        <is>
          <t>NULL</t>
        </is>
      </c>
      <c r="I1105" s="0" t="inlineStr">
        <is>
          <t>NULL</t>
        </is>
      </c>
      <c r="J1105" s="0" t="inlineStr">
        <is>
          <t>NULL</t>
        </is>
      </c>
      <c r="K1105" s="0" t="inlineStr">
        <is>
          <t>YES! 	 id列源备映射正确，源端为int None位	期望更改为int	实际备端为int None位</t>
        </is>
      </c>
    </row>
    <row r="1106">
      <c r="B1106" s="0" t="inlineStr">
        <is>
          <t>NULL</t>
        </is>
      </c>
      <c r="C1106" s="0" t="inlineStr">
        <is>
          <t>NULL</t>
        </is>
      </c>
      <c r="D1106" s="0" t="inlineStr">
        <is>
          <t>NULL</t>
        </is>
      </c>
      <c r="E1106" s="0" t="inlineStr">
        <is>
          <t>NULL</t>
        </is>
      </c>
      <c r="F1106" s="0" t="inlineStr">
        <is>
          <t>NULL</t>
        </is>
      </c>
      <c r="G1106" s="0" t="inlineStr">
        <is>
          <t>NULL</t>
        </is>
      </c>
      <c r="H1106" s="0" t="inlineStr">
        <is>
          <t>NULL</t>
        </is>
      </c>
      <c r="I1106" s="0" t="inlineStr">
        <is>
          <t>NULL</t>
        </is>
      </c>
      <c r="J1106" s="0" t="inlineStr">
        <is>
          <t>NULL</t>
        </is>
      </c>
      <c r="K1106" s="0" t="inlineStr">
        <is>
          <t>YES! 	 c_xml列源备映射正确，源端为xml -1位	期望更改为longtext	实际备端为longtext 4294967295位</t>
        </is>
      </c>
    </row>
    <row r="1107">
      <c r="A1107" s="0" t="inlineStr">
        <is>
          <t>info_datetime2_dml_batch1_pk_drp2</t>
        </is>
      </c>
      <c r="K1107" s="0" t="inlineStr">
        <is>
          <t>[0;34m info_datetime2_dml_batch1_pk_drp2 [0m源备字段数相同，源端字段：9 	备端字段9</t>
        </is>
      </c>
      <c r="W1107" s="0" t="inlineStr">
        <is>
          <t>YES 源备无差异</t>
        </is>
      </c>
      <c r="X1107" s="0">
        <f>A1107</f>
        <v/>
      </c>
    </row>
    <row r="1108">
      <c r="B1108" s="0" t="inlineStr">
        <is>
          <t>YES</t>
        </is>
      </c>
      <c r="C1108" s="0" t="inlineStr">
        <is>
          <t>NULL</t>
        </is>
      </c>
      <c r="D1108" s="0" t="inlineStr">
        <is>
          <t>NULL</t>
        </is>
      </c>
      <c r="E1108" s="0" t="inlineStr">
        <is>
          <t>NULL</t>
        </is>
      </c>
      <c r="F1108" s="0" t="inlineStr">
        <is>
          <t>NULL</t>
        </is>
      </c>
      <c r="G1108" s="0" t="inlineStr">
        <is>
          <t>NULL</t>
        </is>
      </c>
      <c r="H1108" s="0" t="inlineStr">
        <is>
          <t>NULL</t>
        </is>
      </c>
      <c r="I1108" s="0" t="inlineStr">
        <is>
          <t>YES!PK__info_dat__3213E83F9BDAC31B</t>
        </is>
      </c>
      <c r="J1108" s="0" t="inlineStr">
        <is>
          <t>YES! 主键相关索引</t>
        </is>
      </c>
      <c r="K1108" s="0" t="inlineStr">
        <is>
          <t>YES! 	 id列源备映射正确，源端为int None位	期望更改为int	实际备端为int None位</t>
        </is>
      </c>
    </row>
    <row r="1109">
      <c r="B1109" s="0" t="inlineStr">
        <is>
          <t>NULL</t>
        </is>
      </c>
      <c r="C1109" s="0" t="inlineStr">
        <is>
          <t>NULL</t>
        </is>
      </c>
      <c r="D1109" s="0" t="inlineStr">
        <is>
          <t>NULL</t>
        </is>
      </c>
      <c r="E1109" s="0" t="inlineStr">
        <is>
          <t>NULL</t>
        </is>
      </c>
      <c r="F1109" s="0" t="inlineStr">
        <is>
          <t>NULL</t>
        </is>
      </c>
      <c r="G1109" s="0" t="inlineStr">
        <is>
          <t>NULL</t>
        </is>
      </c>
      <c r="H1109" s="0" t="inlineStr">
        <is>
          <t>NULL</t>
        </is>
      </c>
      <c r="I1109" s="0" t="inlineStr">
        <is>
          <t>NULL</t>
        </is>
      </c>
      <c r="J1109" s="0" t="inlineStr">
        <is>
          <t>NULL</t>
        </is>
      </c>
      <c r="K1109" s="0" t="inlineStr">
        <is>
          <t>no,len不存在</t>
        </is>
      </c>
    </row>
    <row r="1110">
      <c r="B1110" s="0" t="inlineStr">
        <is>
          <t>NULL</t>
        </is>
      </c>
      <c r="C1110" s="0" t="inlineStr">
        <is>
          <t>NULL</t>
        </is>
      </c>
      <c r="D1110" s="0" t="inlineStr">
        <is>
          <t>NULL</t>
        </is>
      </c>
      <c r="E1110" s="0" t="inlineStr">
        <is>
          <t>NULL</t>
        </is>
      </c>
      <c r="F1110" s="0" t="inlineStr">
        <is>
          <t>NULL</t>
        </is>
      </c>
      <c r="G1110" s="0" t="inlineStr">
        <is>
          <t>NULL</t>
        </is>
      </c>
      <c r="H1110" s="0" t="inlineStr">
        <is>
          <t>NULL</t>
        </is>
      </c>
      <c r="I1110" s="0" t="inlineStr">
        <is>
          <t>NULL</t>
        </is>
      </c>
      <c r="J1110" s="0" t="inlineStr">
        <is>
          <t>NULL</t>
        </is>
      </c>
      <c r="K1110" s="0" t="inlineStr">
        <is>
          <t>YES! 	 c_dt2_1列源备映射正确，源端为datetime2 None位	期望更改为datetime(n)	实际备端为datetime None位</t>
        </is>
      </c>
    </row>
    <row r="1111">
      <c r="B1111" s="0" t="inlineStr">
        <is>
          <t>NULL</t>
        </is>
      </c>
      <c r="C1111" s="0" t="inlineStr">
        <is>
          <t>NULL</t>
        </is>
      </c>
      <c r="D1111" s="0" t="inlineStr">
        <is>
          <t>NULL</t>
        </is>
      </c>
      <c r="E1111" s="0" t="inlineStr">
        <is>
          <t>NULL</t>
        </is>
      </c>
      <c r="F1111" s="0" t="inlineStr">
        <is>
          <t>NULL</t>
        </is>
      </c>
      <c r="G1111" s="0" t="inlineStr">
        <is>
          <t>NULL</t>
        </is>
      </c>
      <c r="H1111" s="0" t="inlineStr">
        <is>
          <t>NULL</t>
        </is>
      </c>
      <c r="I1111" s="0" t="inlineStr">
        <is>
          <t>NULL</t>
        </is>
      </c>
      <c r="J1111" s="0" t="inlineStr">
        <is>
          <t>NULL</t>
        </is>
      </c>
      <c r="K1111" s="0" t="inlineStr">
        <is>
          <t>YES! 	 c_dt2_2列源备映射正确，源端为datetime2 None位	期望更改为datetime(n)	实际备端为datetime None位</t>
        </is>
      </c>
    </row>
    <row r="1112">
      <c r="B1112" s="0" t="inlineStr">
        <is>
          <t>NULL</t>
        </is>
      </c>
      <c r="C1112" s="0" t="inlineStr">
        <is>
          <t>NULL</t>
        </is>
      </c>
      <c r="D1112" s="0" t="inlineStr">
        <is>
          <t>NULL</t>
        </is>
      </c>
      <c r="E1112" s="0" t="inlineStr">
        <is>
          <t>NULL</t>
        </is>
      </c>
      <c r="F1112" s="0" t="inlineStr">
        <is>
          <t>NULL</t>
        </is>
      </c>
      <c r="G1112" s="0" t="inlineStr">
        <is>
          <t>NULL</t>
        </is>
      </c>
      <c r="H1112" s="0" t="inlineStr">
        <is>
          <t>NULL</t>
        </is>
      </c>
      <c r="I1112" s="0" t="inlineStr">
        <is>
          <t>NULL</t>
        </is>
      </c>
      <c r="J1112" s="0" t="inlineStr">
        <is>
          <t>NULL</t>
        </is>
      </c>
      <c r="K1112" s="0" t="inlineStr">
        <is>
          <t>YES! 	 c_dt2_3列源备映射正确，源端为datetime2 None位	期望更改为datetime(n)	实际备端为datetime None位</t>
        </is>
      </c>
    </row>
    <row r="1113">
      <c r="B1113" s="0" t="inlineStr">
        <is>
          <t>NULL</t>
        </is>
      </c>
      <c r="C1113" s="0" t="inlineStr">
        <is>
          <t>NULL</t>
        </is>
      </c>
      <c r="D1113" s="0" t="inlineStr">
        <is>
          <t>NULL</t>
        </is>
      </c>
      <c r="E1113" s="0" t="inlineStr">
        <is>
          <t>NULL</t>
        </is>
      </c>
      <c r="F1113" s="0" t="inlineStr">
        <is>
          <t>NULL</t>
        </is>
      </c>
      <c r="G1113" s="0" t="inlineStr">
        <is>
          <t>NULL</t>
        </is>
      </c>
      <c r="H1113" s="0" t="inlineStr">
        <is>
          <t>NULL</t>
        </is>
      </c>
      <c r="I1113" s="0" t="inlineStr">
        <is>
          <t>NULL</t>
        </is>
      </c>
      <c r="J1113" s="0" t="inlineStr">
        <is>
          <t>NULL</t>
        </is>
      </c>
      <c r="K1113" s="0" t="inlineStr">
        <is>
          <t>YES! 	 c_dt2_4列源备映射正确，源端为datetime2 None位	期望更改为datetime(n)	实际备端为datetime None位</t>
        </is>
      </c>
    </row>
    <row r="1114">
      <c r="B1114" s="0" t="inlineStr">
        <is>
          <t>NULL</t>
        </is>
      </c>
      <c r="C1114" s="0" t="inlineStr">
        <is>
          <t>NULL</t>
        </is>
      </c>
      <c r="D1114" s="0" t="inlineStr">
        <is>
          <t>NULL</t>
        </is>
      </c>
      <c r="E1114" s="0" t="inlineStr">
        <is>
          <t>NULL</t>
        </is>
      </c>
      <c r="F1114" s="0" t="inlineStr">
        <is>
          <t>NULL</t>
        </is>
      </c>
      <c r="G1114" s="0" t="inlineStr">
        <is>
          <t>NULL</t>
        </is>
      </c>
      <c r="H1114" s="0" t="inlineStr">
        <is>
          <t>NULL</t>
        </is>
      </c>
      <c r="I1114" s="0" t="inlineStr">
        <is>
          <t>NULL</t>
        </is>
      </c>
      <c r="J1114" s="0" t="inlineStr">
        <is>
          <t>NULL</t>
        </is>
      </c>
      <c r="K1114" s="0" t="inlineStr">
        <is>
          <t>YES! 	 c_dt2_5列源备映射正确，源端为datetime2 None位	期望更改为datetime(n)	实际备端为datetime None位</t>
        </is>
      </c>
    </row>
    <row r="1115">
      <c r="B1115" s="0" t="inlineStr">
        <is>
          <t>NULL</t>
        </is>
      </c>
      <c r="C1115" s="0" t="inlineStr">
        <is>
          <t>NULL</t>
        </is>
      </c>
      <c r="D1115" s="0" t="inlineStr">
        <is>
          <t>NULL</t>
        </is>
      </c>
      <c r="E1115" s="0" t="inlineStr">
        <is>
          <t>NULL</t>
        </is>
      </c>
      <c r="F1115" s="0" t="inlineStr">
        <is>
          <t>NULL</t>
        </is>
      </c>
      <c r="G1115" s="0" t="inlineStr">
        <is>
          <t>NULL</t>
        </is>
      </c>
      <c r="H1115" s="0" t="inlineStr">
        <is>
          <t>NULL</t>
        </is>
      </c>
      <c r="I1115" s="0" t="inlineStr">
        <is>
          <t>NULL</t>
        </is>
      </c>
      <c r="J1115" s="0" t="inlineStr">
        <is>
          <t>NULL</t>
        </is>
      </c>
      <c r="K1115" s="0" t="inlineStr">
        <is>
          <t>YES! 	 c_dt2_6列源备映射正确，源端为datetime2 None位	期望更改为datetime(n)	实际备端为datetime None位</t>
        </is>
      </c>
    </row>
    <row r="1116">
      <c r="B1116" s="0" t="inlineStr">
        <is>
          <t>NULL</t>
        </is>
      </c>
      <c r="C1116" s="0" t="inlineStr">
        <is>
          <t>NULL</t>
        </is>
      </c>
      <c r="D1116" s="0" t="inlineStr">
        <is>
          <t>NULL</t>
        </is>
      </c>
      <c r="E1116" s="0" t="inlineStr">
        <is>
          <t>NULL</t>
        </is>
      </c>
      <c r="F1116" s="0" t="inlineStr">
        <is>
          <t>NULL</t>
        </is>
      </c>
      <c r="G1116" s="0" t="inlineStr">
        <is>
          <t>NULL</t>
        </is>
      </c>
      <c r="H1116" s="0" t="inlineStr">
        <is>
          <t>NULL</t>
        </is>
      </c>
      <c r="I1116" s="0" t="inlineStr">
        <is>
          <t>NULL</t>
        </is>
      </c>
      <c r="J1116" s="0" t="inlineStr">
        <is>
          <t>NULL</t>
        </is>
      </c>
      <c r="K1116" s="0" t="inlineStr">
        <is>
          <t xml:space="preserve"> NO!  	 c_dt2列源备映射错误，源端为datetime2 None位	期望更改为datetime(n)	实际备端为varchar 136位</t>
        </is>
      </c>
    </row>
    <row r="1117">
      <c r="A1117" s="0" t="inlineStr">
        <is>
          <t>info_nvarchar_dml_batch2_pk_irp2</t>
        </is>
      </c>
      <c r="K1117" s="0" t="inlineStr">
        <is>
          <t>[0;34m info_nvarchar_dml_batch2_pk_irp2 [0m源备字段数相同，源端字段：4 	备端字段4</t>
        </is>
      </c>
      <c r="W1117" s="0" t="inlineStr">
        <is>
          <t>YES 源备无差异</t>
        </is>
      </c>
      <c r="X1117" s="0">
        <f>A1117</f>
        <v/>
      </c>
    </row>
    <row r="1118">
      <c r="B1118" s="0" t="inlineStr">
        <is>
          <t>YES</t>
        </is>
      </c>
      <c r="C1118" s="0" t="inlineStr">
        <is>
          <t>NULL</t>
        </is>
      </c>
      <c r="D1118" s="0" t="inlineStr">
        <is>
          <t>NULL</t>
        </is>
      </c>
      <c r="E1118" s="0" t="inlineStr">
        <is>
          <t>NULL</t>
        </is>
      </c>
      <c r="F1118" s="0" t="inlineStr">
        <is>
          <t>NULL</t>
        </is>
      </c>
      <c r="G1118" s="0" t="inlineStr">
        <is>
          <t>NULL</t>
        </is>
      </c>
      <c r="H1118" s="0" t="inlineStr">
        <is>
          <t>NULL</t>
        </is>
      </c>
      <c r="I1118" s="0" t="inlineStr">
        <is>
          <t>YES!PK__info_nva__3213E83F40A54535</t>
        </is>
      </c>
      <c r="J1118" s="0" t="inlineStr">
        <is>
          <t>YES! 主键相关索引</t>
        </is>
      </c>
      <c r="K1118" s="0" t="inlineStr">
        <is>
          <t>YES! 	 id列源备映射正确，源端为int None位	期望更改为int	实际备端为int None位</t>
        </is>
      </c>
    </row>
    <row r="1119">
      <c r="B1119" s="0" t="inlineStr">
        <is>
          <t>NULL</t>
        </is>
      </c>
      <c r="C1119" s="0" t="inlineStr">
        <is>
          <t>NULL</t>
        </is>
      </c>
      <c r="D1119" s="0" t="inlineStr">
        <is>
          <t>NULL</t>
        </is>
      </c>
      <c r="E1119" s="0" t="inlineStr">
        <is>
          <t>NULL</t>
        </is>
      </c>
      <c r="F1119" s="0" t="inlineStr">
        <is>
          <t>NULL</t>
        </is>
      </c>
      <c r="G1119" s="0" t="inlineStr">
        <is>
          <t>NULL</t>
        </is>
      </c>
      <c r="H1119" s="0" t="inlineStr">
        <is>
          <t>NULL</t>
        </is>
      </c>
      <c r="I1119" s="0" t="inlineStr">
        <is>
          <t>NULL</t>
        </is>
      </c>
      <c r="J1119" s="0" t="inlineStr">
        <is>
          <t>NULL</t>
        </is>
      </c>
      <c r="K1119" s="0" t="inlineStr">
        <is>
          <t>YES! 	 c_nvarchar列源备映射正确，源端为nvarchar 2位	期望更改为varchar(n)	实际备端为varchar 4位</t>
        </is>
      </c>
    </row>
    <row r="1120">
      <c r="B1120" s="0" t="inlineStr">
        <is>
          <t>NULL</t>
        </is>
      </c>
      <c r="C1120" s="0" t="inlineStr">
        <is>
          <t>NULL</t>
        </is>
      </c>
      <c r="D1120" s="0" t="inlineStr">
        <is>
          <t>NULL</t>
        </is>
      </c>
      <c r="E1120" s="0" t="inlineStr">
        <is>
          <t>NULL</t>
        </is>
      </c>
      <c r="F1120" s="0" t="inlineStr">
        <is>
          <t>NULL</t>
        </is>
      </c>
      <c r="G1120" s="0" t="inlineStr">
        <is>
          <t>NULL</t>
        </is>
      </c>
      <c r="H1120" s="0" t="inlineStr">
        <is>
          <t>NULL</t>
        </is>
      </c>
      <c r="I1120" s="0" t="inlineStr">
        <is>
          <t>NULL</t>
        </is>
      </c>
      <c r="J1120" s="0" t="inlineStr">
        <is>
          <t>NULL</t>
        </is>
      </c>
      <c r="K1120" s="0" t="inlineStr">
        <is>
          <t>YES! 	 c_nvarchar20列源备映射正确，源端为nvarchar 40位	期望更改为varchar(n)	实际备端为varchar 80位</t>
        </is>
      </c>
    </row>
    <row r="1121">
      <c r="B1121" s="0" t="inlineStr">
        <is>
          <t>NULL</t>
        </is>
      </c>
      <c r="C1121" s="0" t="inlineStr">
        <is>
          <t>NULL</t>
        </is>
      </c>
      <c r="D1121" s="0" t="inlineStr">
        <is>
          <t>NULL</t>
        </is>
      </c>
      <c r="E1121" s="0" t="inlineStr">
        <is>
          <t>NULL</t>
        </is>
      </c>
      <c r="F1121" s="0" t="inlineStr">
        <is>
          <t>NULL</t>
        </is>
      </c>
      <c r="G1121" s="0" t="inlineStr">
        <is>
          <t>NULL</t>
        </is>
      </c>
      <c r="H1121" s="0" t="inlineStr">
        <is>
          <t>NULL</t>
        </is>
      </c>
      <c r="I1121" s="0" t="inlineStr">
        <is>
          <t>NULL</t>
        </is>
      </c>
      <c r="J1121" s="0" t="inlineStr">
        <is>
          <t>NULL</t>
        </is>
      </c>
      <c r="K1121" s="0" t="inlineStr">
        <is>
          <t>YES! 	 c_nvarchar3500列源备映射正确，源端为nvarchar 7000位	期望更改为text	实际备端为text 65535位</t>
        </is>
      </c>
    </row>
    <row r="1122">
      <c r="A1122" s="0" t="inlineStr">
        <is>
          <t>info_datetime_dml_single_pk_irp</t>
        </is>
      </c>
      <c r="K1122" s="0" t="inlineStr">
        <is>
          <t>[0;34m info_datetime_dml_single_pk_irp [0m源备字段数相同，源端字段：2 	备端字段2</t>
        </is>
      </c>
      <c r="W1122" s="0" t="inlineStr">
        <is>
          <t>YES 源备无差异</t>
        </is>
      </c>
      <c r="X1122" s="0">
        <f>A1122</f>
        <v/>
      </c>
    </row>
    <row r="1123">
      <c r="B1123" s="0" t="inlineStr">
        <is>
          <t>YES</t>
        </is>
      </c>
      <c r="C1123" s="0" t="inlineStr">
        <is>
          <t>NULL</t>
        </is>
      </c>
      <c r="D1123" s="0" t="inlineStr">
        <is>
          <t>NULL</t>
        </is>
      </c>
      <c r="E1123" s="0" t="inlineStr">
        <is>
          <t>NULL</t>
        </is>
      </c>
      <c r="F1123" s="0" t="inlineStr">
        <is>
          <t>NULL</t>
        </is>
      </c>
      <c r="G1123" s="0" t="inlineStr">
        <is>
          <t>NULL</t>
        </is>
      </c>
      <c r="H1123" s="0" t="inlineStr">
        <is>
          <t>NULL</t>
        </is>
      </c>
      <c r="I1123" s="0" t="inlineStr">
        <is>
          <t>YES!PK__info_dat__3213E83F9B704CC8</t>
        </is>
      </c>
      <c r="J1123" s="0" t="inlineStr">
        <is>
          <t>YES! 主键相关索引</t>
        </is>
      </c>
      <c r="K1123" s="0" t="inlineStr">
        <is>
          <t>YES! 	 id列源备映射正确，源端为int None位	期望更改为int	实际备端为int None位</t>
        </is>
      </c>
    </row>
    <row r="1124">
      <c r="B1124" s="0" t="inlineStr">
        <is>
          <t>NULL</t>
        </is>
      </c>
      <c r="C1124" s="0" t="inlineStr">
        <is>
          <t>NULL</t>
        </is>
      </c>
      <c r="D1124" s="0" t="inlineStr">
        <is>
          <t>NULL</t>
        </is>
      </c>
      <c r="E1124" s="0" t="inlineStr">
        <is>
          <t>NULL</t>
        </is>
      </c>
      <c r="F1124" s="0" t="inlineStr">
        <is>
          <t>NULL</t>
        </is>
      </c>
      <c r="G1124" s="0" t="inlineStr">
        <is>
          <t>NULL</t>
        </is>
      </c>
      <c r="H1124" s="0" t="inlineStr">
        <is>
          <t>NULL</t>
        </is>
      </c>
      <c r="I1124" s="0" t="inlineStr">
        <is>
          <t>NULL</t>
        </is>
      </c>
      <c r="J1124" s="0" t="inlineStr">
        <is>
          <t>NULL</t>
        </is>
      </c>
      <c r="K1124" s="0" t="inlineStr">
        <is>
          <t>YES! 	 c_datetime列源备映射正确，源端为datetime None位	期望更改为datetime(3)	实际备端为datetime None位</t>
        </is>
      </c>
    </row>
    <row r="1125">
      <c r="A1125" s="0" t="inlineStr">
        <is>
          <t>info_binary_dml_single_nopk_urp</t>
        </is>
      </c>
      <c r="K1125" s="0" t="inlineStr">
        <is>
          <t>[0;34m info_binary_dml_single_nopk_urp [0m源备字段数相同，源端字段：4 	备端字段4</t>
        </is>
      </c>
      <c r="W1125" s="0" t="inlineStr">
        <is>
          <t>YES 源备无差异</t>
        </is>
      </c>
      <c r="X1125" s="0">
        <f>A1125</f>
        <v/>
      </c>
    </row>
    <row r="1126">
      <c r="B1126" s="0" t="inlineStr">
        <is>
          <t>NULL</t>
        </is>
      </c>
      <c r="C1126" s="0" t="inlineStr">
        <is>
          <t>NULL</t>
        </is>
      </c>
      <c r="D1126" s="0" t="inlineStr">
        <is>
          <t>NULL</t>
        </is>
      </c>
      <c r="E1126" s="0" t="inlineStr">
        <is>
          <t>NULL</t>
        </is>
      </c>
      <c r="F1126" s="0" t="inlineStr">
        <is>
          <t>NULL</t>
        </is>
      </c>
      <c r="G1126" s="0" t="inlineStr">
        <is>
          <t>NULL</t>
        </is>
      </c>
      <c r="H1126" s="0" t="inlineStr">
        <is>
          <t>NULL</t>
        </is>
      </c>
      <c r="I1126" s="0" t="inlineStr">
        <is>
          <t>NULL</t>
        </is>
      </c>
      <c r="J1126" s="0" t="inlineStr">
        <is>
          <t>NULL</t>
        </is>
      </c>
      <c r="K1126" s="0" t="inlineStr">
        <is>
          <t>YES! 	 id列源备映射正确，源端为int None位	期望更改为int	实际备端为int None位</t>
        </is>
      </c>
    </row>
    <row r="1127">
      <c r="B1127" s="0" t="inlineStr">
        <is>
          <t>NULL</t>
        </is>
      </c>
      <c r="C1127" s="0" t="inlineStr">
        <is>
          <t>NULL</t>
        </is>
      </c>
      <c r="D1127" s="0" t="inlineStr">
        <is>
          <t>NULL</t>
        </is>
      </c>
      <c r="E1127" s="0" t="inlineStr">
        <is>
          <t>NULL</t>
        </is>
      </c>
      <c r="F1127" s="0" t="inlineStr">
        <is>
          <t>NULL</t>
        </is>
      </c>
      <c r="G1127" s="0" t="inlineStr">
        <is>
          <t>NULL</t>
        </is>
      </c>
      <c r="H1127" s="0" t="inlineStr">
        <is>
          <t>NULL</t>
        </is>
      </c>
      <c r="I1127" s="0" t="inlineStr">
        <is>
          <t>NULL</t>
        </is>
      </c>
      <c r="J1127" s="0" t="inlineStr">
        <is>
          <t>NULL</t>
        </is>
      </c>
      <c r="K1127" s="0" t="inlineStr">
        <is>
          <t>YES! 	 c_binary列源备映射正确，源端为binary 1位	期望更改为binary(n)	实际备端为binary 1位</t>
        </is>
      </c>
    </row>
    <row r="1128">
      <c r="B1128" s="0" t="inlineStr">
        <is>
          <t>NULL</t>
        </is>
      </c>
      <c r="C1128" s="0" t="inlineStr">
        <is>
          <t>NULL</t>
        </is>
      </c>
      <c r="D1128" s="0" t="inlineStr">
        <is>
          <t>NULL</t>
        </is>
      </c>
      <c r="E1128" s="0" t="inlineStr">
        <is>
          <t>NULL</t>
        </is>
      </c>
      <c r="F1128" s="0" t="inlineStr">
        <is>
          <t>NULL</t>
        </is>
      </c>
      <c r="G1128" s="0" t="inlineStr">
        <is>
          <t>NULL</t>
        </is>
      </c>
      <c r="H1128" s="0" t="inlineStr">
        <is>
          <t>NULL</t>
        </is>
      </c>
      <c r="I1128" s="0" t="inlineStr">
        <is>
          <t>NULL</t>
        </is>
      </c>
      <c r="J1128" s="0" t="inlineStr">
        <is>
          <t>NULL</t>
        </is>
      </c>
      <c r="K1128" s="0" t="inlineStr">
        <is>
          <t>YES! 	 c_binary_20列源备映射正确，源端为binary 20位	期望更改为binary(n)	实际备端为binary 20位</t>
        </is>
      </c>
    </row>
    <row r="1129">
      <c r="B1129" s="0" t="inlineStr">
        <is>
          <t>NULL</t>
        </is>
      </c>
      <c r="C1129" s="0" t="inlineStr">
        <is>
          <t>NULL</t>
        </is>
      </c>
      <c r="D1129" s="0" t="inlineStr">
        <is>
          <t>NULL</t>
        </is>
      </c>
      <c r="E1129" s="0" t="inlineStr">
        <is>
          <t>NULL</t>
        </is>
      </c>
      <c r="F1129" s="0" t="inlineStr">
        <is>
          <t>NULL</t>
        </is>
      </c>
      <c r="G1129" s="0" t="inlineStr">
        <is>
          <t>NULL</t>
        </is>
      </c>
      <c r="H1129" s="0" t="inlineStr">
        <is>
          <t>NULL</t>
        </is>
      </c>
      <c r="I1129" s="0" t="inlineStr">
        <is>
          <t>NULL</t>
        </is>
      </c>
      <c r="J1129" s="0" t="inlineStr">
        <is>
          <t>NULL</t>
        </is>
      </c>
      <c r="K1129" s="0" t="inlineStr">
        <is>
          <t>YES! 	 c_binary_8000列源备映射正确，源端为binary 8000位	期望更改为longblob	实际备端为longblob 4294967295位</t>
        </is>
      </c>
    </row>
    <row r="1130">
      <c r="A1130" s="0" t="inlineStr">
        <is>
          <t>info_xml_dml_single_nopk</t>
        </is>
      </c>
      <c r="K1130" s="0" t="inlineStr">
        <is>
          <t>[0;34m info_xml_dml_single_nopk [0m源备字段数相同，源端字段：2 	备端字段2</t>
        </is>
      </c>
      <c r="W1130" s="0" t="inlineStr">
        <is>
          <t>YES 源备无差异</t>
        </is>
      </c>
      <c r="X1130" s="0">
        <f>A1130</f>
        <v/>
      </c>
    </row>
    <row r="1131">
      <c r="B1131" s="0" t="inlineStr">
        <is>
          <t>NULL</t>
        </is>
      </c>
      <c r="C1131" s="0" t="inlineStr">
        <is>
          <t>NULL</t>
        </is>
      </c>
      <c r="D1131" s="0" t="inlineStr">
        <is>
          <t>NULL</t>
        </is>
      </c>
      <c r="E1131" s="0" t="inlineStr">
        <is>
          <t>NULL</t>
        </is>
      </c>
      <c r="F1131" s="0" t="inlineStr">
        <is>
          <t>NULL</t>
        </is>
      </c>
      <c r="G1131" s="0" t="inlineStr">
        <is>
          <t>NULL</t>
        </is>
      </c>
      <c r="H1131" s="0" t="inlineStr">
        <is>
          <t>NULL</t>
        </is>
      </c>
      <c r="I1131" s="0" t="inlineStr">
        <is>
          <t>NULL</t>
        </is>
      </c>
      <c r="J1131" s="0" t="inlineStr">
        <is>
          <t>NULL</t>
        </is>
      </c>
      <c r="K1131" s="0" t="inlineStr">
        <is>
          <t>YES! 	 id列源备映射正确，源端为int None位	期望更改为int	实际备端为int None位</t>
        </is>
      </c>
    </row>
    <row r="1132">
      <c r="B1132" s="0" t="inlineStr">
        <is>
          <t>NULL</t>
        </is>
      </c>
      <c r="C1132" s="0" t="inlineStr">
        <is>
          <t>NULL</t>
        </is>
      </c>
      <c r="D1132" s="0" t="inlineStr">
        <is>
          <t>NULL</t>
        </is>
      </c>
      <c r="E1132" s="0" t="inlineStr">
        <is>
          <t>NULL</t>
        </is>
      </c>
      <c r="F1132" s="0" t="inlineStr">
        <is>
          <t>NULL</t>
        </is>
      </c>
      <c r="G1132" s="0" t="inlineStr">
        <is>
          <t>NULL</t>
        </is>
      </c>
      <c r="H1132" s="0" t="inlineStr">
        <is>
          <t>NULL</t>
        </is>
      </c>
      <c r="I1132" s="0" t="inlineStr">
        <is>
          <t>NULL</t>
        </is>
      </c>
      <c r="J1132" s="0" t="inlineStr">
        <is>
          <t>NULL</t>
        </is>
      </c>
      <c r="K1132" s="0" t="inlineStr">
        <is>
          <t>YES! 	 c_xml列源备映射正确，源端为xml -1位	期望更改为longtext	实际备端为longtext 4294967295位</t>
        </is>
      </c>
    </row>
    <row r="1133">
      <c r="A1133" s="0" t="inlineStr">
        <is>
          <t>info_xml_dml_single_nopk_drp</t>
        </is>
      </c>
      <c r="K1133" s="0" t="inlineStr">
        <is>
          <t>[0;34m info_xml_dml_single_nopk_drp [0m源备字段数相同，源端字段：2 	备端字段2</t>
        </is>
      </c>
      <c r="W1133" s="0" t="inlineStr">
        <is>
          <t>YES 源备无差异</t>
        </is>
      </c>
      <c r="X1133" s="0">
        <f>A1133</f>
        <v/>
      </c>
    </row>
    <row r="1134">
      <c r="B1134" s="0" t="inlineStr">
        <is>
          <t>NULL</t>
        </is>
      </c>
      <c r="C1134" s="0" t="inlineStr">
        <is>
          <t>NULL</t>
        </is>
      </c>
      <c r="D1134" s="0" t="inlineStr">
        <is>
          <t>NULL</t>
        </is>
      </c>
      <c r="E1134" s="0" t="inlineStr">
        <is>
          <t>NULL</t>
        </is>
      </c>
      <c r="F1134" s="0" t="inlineStr">
        <is>
          <t>NULL</t>
        </is>
      </c>
      <c r="G1134" s="0" t="inlineStr">
        <is>
          <t>NULL</t>
        </is>
      </c>
      <c r="H1134" s="0" t="inlineStr">
        <is>
          <t>NULL</t>
        </is>
      </c>
      <c r="I1134" s="0" t="inlineStr">
        <is>
          <t>NULL</t>
        </is>
      </c>
      <c r="J1134" s="0" t="inlineStr">
        <is>
          <t>NULL</t>
        </is>
      </c>
      <c r="K1134" s="0" t="inlineStr">
        <is>
          <t>YES! 	 id列源备映射正确，源端为int None位	期望更改为int	实际备端为int None位</t>
        </is>
      </c>
    </row>
    <row r="1135">
      <c r="B1135" s="0" t="inlineStr">
        <is>
          <t>NULL</t>
        </is>
      </c>
      <c r="C1135" s="0" t="inlineStr">
        <is>
          <t>NULL</t>
        </is>
      </c>
      <c r="D1135" s="0" t="inlineStr">
        <is>
          <t>NULL</t>
        </is>
      </c>
      <c r="E1135" s="0" t="inlineStr">
        <is>
          <t>NULL</t>
        </is>
      </c>
      <c r="F1135" s="0" t="inlineStr">
        <is>
          <t>NULL</t>
        </is>
      </c>
      <c r="G1135" s="0" t="inlineStr">
        <is>
          <t>NULL</t>
        </is>
      </c>
      <c r="H1135" s="0" t="inlineStr">
        <is>
          <t>NULL</t>
        </is>
      </c>
      <c r="I1135" s="0" t="inlineStr">
        <is>
          <t>NULL</t>
        </is>
      </c>
      <c r="J1135" s="0" t="inlineStr">
        <is>
          <t>NULL</t>
        </is>
      </c>
      <c r="K1135" s="0" t="inlineStr">
        <is>
          <t>YES! 	 c_xml列源备映射正确，源端为xml -1位	期望更改为longtext	实际备端为longtext 4294967295位</t>
        </is>
      </c>
    </row>
    <row r="1136">
      <c r="A1136" s="0" t="inlineStr">
        <is>
          <t>info_datetime2_dml_batch1_pk</t>
        </is>
      </c>
      <c r="K1136" s="0" t="inlineStr">
        <is>
          <t>[0;34m info_datetime2_dml_batch1_pk [0m源备字段数相同，源端字段：9 	备端字段9</t>
        </is>
      </c>
      <c r="W1136" s="0" t="inlineStr">
        <is>
          <t>YES 源备无差异</t>
        </is>
      </c>
      <c r="X1136" s="0">
        <f>A1136</f>
        <v/>
      </c>
    </row>
    <row r="1137">
      <c r="B1137" s="0" t="inlineStr">
        <is>
          <t>YES</t>
        </is>
      </c>
      <c r="C1137" s="0" t="inlineStr">
        <is>
          <t>NULL</t>
        </is>
      </c>
      <c r="D1137" s="0" t="inlineStr">
        <is>
          <t>NULL</t>
        </is>
      </c>
      <c r="E1137" s="0" t="inlineStr">
        <is>
          <t>NULL</t>
        </is>
      </c>
      <c r="F1137" s="0" t="inlineStr">
        <is>
          <t>NULL</t>
        </is>
      </c>
      <c r="G1137" s="0" t="inlineStr">
        <is>
          <t>NULL</t>
        </is>
      </c>
      <c r="H1137" s="0" t="inlineStr">
        <is>
          <t>NULL</t>
        </is>
      </c>
      <c r="I1137" s="0" t="inlineStr">
        <is>
          <t>YES!PK__info_dat__3213E83F40C47290</t>
        </is>
      </c>
      <c r="J1137" s="0" t="inlineStr">
        <is>
          <t>YES! 主键相关索引</t>
        </is>
      </c>
      <c r="K1137" s="0" t="inlineStr">
        <is>
          <t>YES! 	 id列源备映射正确，源端为int None位	期望更改为int	实际备端为int None位</t>
        </is>
      </c>
    </row>
    <row r="1138">
      <c r="B1138" s="0" t="inlineStr">
        <is>
          <t>NULL</t>
        </is>
      </c>
      <c r="C1138" s="0" t="inlineStr">
        <is>
          <t>NULL</t>
        </is>
      </c>
      <c r="D1138" s="0" t="inlineStr">
        <is>
          <t>NULL</t>
        </is>
      </c>
      <c r="E1138" s="0" t="inlineStr">
        <is>
          <t>NULL</t>
        </is>
      </c>
      <c r="F1138" s="0" t="inlineStr">
        <is>
          <t>NULL</t>
        </is>
      </c>
      <c r="G1138" s="0" t="inlineStr">
        <is>
          <t>NULL</t>
        </is>
      </c>
      <c r="H1138" s="0" t="inlineStr">
        <is>
          <t>NULL</t>
        </is>
      </c>
      <c r="I1138" s="0" t="inlineStr">
        <is>
          <t>NULL</t>
        </is>
      </c>
      <c r="J1138" s="0" t="inlineStr">
        <is>
          <t>NULL</t>
        </is>
      </c>
      <c r="K1138" s="0" t="inlineStr">
        <is>
          <t>no,len不存在</t>
        </is>
      </c>
    </row>
    <row r="1139">
      <c r="B1139" s="0" t="inlineStr">
        <is>
          <t>NULL</t>
        </is>
      </c>
      <c r="C1139" s="0" t="inlineStr">
        <is>
          <t>NULL</t>
        </is>
      </c>
      <c r="D1139" s="0" t="inlineStr">
        <is>
          <t>NULL</t>
        </is>
      </c>
      <c r="E1139" s="0" t="inlineStr">
        <is>
          <t>NULL</t>
        </is>
      </c>
      <c r="F1139" s="0" t="inlineStr">
        <is>
          <t>NULL</t>
        </is>
      </c>
      <c r="G1139" s="0" t="inlineStr">
        <is>
          <t>NULL</t>
        </is>
      </c>
      <c r="H1139" s="0" t="inlineStr">
        <is>
          <t>NULL</t>
        </is>
      </c>
      <c r="I1139" s="0" t="inlineStr">
        <is>
          <t>NULL</t>
        </is>
      </c>
      <c r="J1139" s="0" t="inlineStr">
        <is>
          <t>NULL</t>
        </is>
      </c>
      <c r="K1139" s="0" t="inlineStr">
        <is>
          <t>YES! 	 c_dt2_1列源备映射正确，源端为datetime2 None位	期望更改为datetime(n)	实际备端为datetime None位</t>
        </is>
      </c>
    </row>
    <row r="1140">
      <c r="B1140" s="0" t="inlineStr">
        <is>
          <t>NULL</t>
        </is>
      </c>
      <c r="C1140" s="0" t="inlineStr">
        <is>
          <t>NULL</t>
        </is>
      </c>
      <c r="D1140" s="0" t="inlineStr">
        <is>
          <t>NULL</t>
        </is>
      </c>
      <c r="E1140" s="0" t="inlineStr">
        <is>
          <t>NULL</t>
        </is>
      </c>
      <c r="F1140" s="0" t="inlineStr">
        <is>
          <t>NULL</t>
        </is>
      </c>
      <c r="G1140" s="0" t="inlineStr">
        <is>
          <t>NULL</t>
        </is>
      </c>
      <c r="H1140" s="0" t="inlineStr">
        <is>
          <t>NULL</t>
        </is>
      </c>
      <c r="I1140" s="0" t="inlineStr">
        <is>
          <t>NULL</t>
        </is>
      </c>
      <c r="J1140" s="0" t="inlineStr">
        <is>
          <t>NULL</t>
        </is>
      </c>
      <c r="K1140" s="0" t="inlineStr">
        <is>
          <t>YES! 	 c_dt2_2列源备映射正确，源端为datetime2 None位	期望更改为datetime(n)	实际备端为datetime None位</t>
        </is>
      </c>
    </row>
    <row r="1141">
      <c r="B1141" s="0" t="inlineStr">
        <is>
          <t>NULL</t>
        </is>
      </c>
      <c r="C1141" s="0" t="inlineStr">
        <is>
          <t>NULL</t>
        </is>
      </c>
      <c r="D1141" s="0" t="inlineStr">
        <is>
          <t>NULL</t>
        </is>
      </c>
      <c r="E1141" s="0" t="inlineStr">
        <is>
          <t>NULL</t>
        </is>
      </c>
      <c r="F1141" s="0" t="inlineStr">
        <is>
          <t>NULL</t>
        </is>
      </c>
      <c r="G1141" s="0" t="inlineStr">
        <is>
          <t>NULL</t>
        </is>
      </c>
      <c r="H1141" s="0" t="inlineStr">
        <is>
          <t>NULL</t>
        </is>
      </c>
      <c r="I1141" s="0" t="inlineStr">
        <is>
          <t>NULL</t>
        </is>
      </c>
      <c r="J1141" s="0" t="inlineStr">
        <is>
          <t>NULL</t>
        </is>
      </c>
      <c r="K1141" s="0" t="inlineStr">
        <is>
          <t>YES! 	 c_dt2_3列源备映射正确，源端为datetime2 None位	期望更改为datetime(n)	实际备端为datetime None位</t>
        </is>
      </c>
    </row>
    <row r="1142">
      <c r="B1142" s="0" t="inlineStr">
        <is>
          <t>NULL</t>
        </is>
      </c>
      <c r="C1142" s="0" t="inlineStr">
        <is>
          <t>NULL</t>
        </is>
      </c>
      <c r="D1142" s="0" t="inlineStr">
        <is>
          <t>NULL</t>
        </is>
      </c>
      <c r="E1142" s="0" t="inlineStr">
        <is>
          <t>NULL</t>
        </is>
      </c>
      <c r="F1142" s="0" t="inlineStr">
        <is>
          <t>NULL</t>
        </is>
      </c>
      <c r="G1142" s="0" t="inlineStr">
        <is>
          <t>NULL</t>
        </is>
      </c>
      <c r="H1142" s="0" t="inlineStr">
        <is>
          <t>NULL</t>
        </is>
      </c>
      <c r="I1142" s="0" t="inlineStr">
        <is>
          <t>NULL</t>
        </is>
      </c>
      <c r="J1142" s="0" t="inlineStr">
        <is>
          <t>NULL</t>
        </is>
      </c>
      <c r="K1142" s="0" t="inlineStr">
        <is>
          <t>YES! 	 c_dt2_4列源备映射正确，源端为datetime2 None位	期望更改为datetime(n)	实际备端为datetime None位</t>
        </is>
      </c>
    </row>
    <row r="1143">
      <c r="B1143" s="0" t="inlineStr">
        <is>
          <t>NULL</t>
        </is>
      </c>
      <c r="C1143" s="0" t="inlineStr">
        <is>
          <t>NULL</t>
        </is>
      </c>
      <c r="D1143" s="0" t="inlineStr">
        <is>
          <t>NULL</t>
        </is>
      </c>
      <c r="E1143" s="0" t="inlineStr">
        <is>
          <t>NULL</t>
        </is>
      </c>
      <c r="F1143" s="0" t="inlineStr">
        <is>
          <t>NULL</t>
        </is>
      </c>
      <c r="G1143" s="0" t="inlineStr">
        <is>
          <t>NULL</t>
        </is>
      </c>
      <c r="H1143" s="0" t="inlineStr">
        <is>
          <t>NULL</t>
        </is>
      </c>
      <c r="I1143" s="0" t="inlineStr">
        <is>
          <t>NULL</t>
        </is>
      </c>
      <c r="J1143" s="0" t="inlineStr">
        <is>
          <t>NULL</t>
        </is>
      </c>
      <c r="K1143" s="0" t="inlineStr">
        <is>
          <t>YES! 	 c_dt2_5列源备映射正确，源端为datetime2 None位	期望更改为datetime(n)	实际备端为datetime None位</t>
        </is>
      </c>
    </row>
    <row r="1144">
      <c r="B1144" s="0" t="inlineStr">
        <is>
          <t>NULL</t>
        </is>
      </c>
      <c r="C1144" s="0" t="inlineStr">
        <is>
          <t>NULL</t>
        </is>
      </c>
      <c r="D1144" s="0" t="inlineStr">
        <is>
          <t>NULL</t>
        </is>
      </c>
      <c r="E1144" s="0" t="inlineStr">
        <is>
          <t>NULL</t>
        </is>
      </c>
      <c r="F1144" s="0" t="inlineStr">
        <is>
          <t>NULL</t>
        </is>
      </c>
      <c r="G1144" s="0" t="inlineStr">
        <is>
          <t>NULL</t>
        </is>
      </c>
      <c r="H1144" s="0" t="inlineStr">
        <is>
          <t>NULL</t>
        </is>
      </c>
      <c r="I1144" s="0" t="inlineStr">
        <is>
          <t>NULL</t>
        </is>
      </c>
      <c r="J1144" s="0" t="inlineStr">
        <is>
          <t>NULL</t>
        </is>
      </c>
      <c r="K1144" s="0" t="inlineStr">
        <is>
          <t>YES! 	 c_dt2_6列源备映射正确，源端为datetime2 None位	期望更改为datetime(n)	实际备端为datetime None位</t>
        </is>
      </c>
    </row>
    <row r="1145">
      <c r="B1145" s="0" t="inlineStr">
        <is>
          <t>NULL</t>
        </is>
      </c>
      <c r="C1145" s="0" t="inlineStr">
        <is>
          <t>NULL</t>
        </is>
      </c>
      <c r="D1145" s="0" t="inlineStr">
        <is>
          <t>NULL</t>
        </is>
      </c>
      <c r="E1145" s="0" t="inlineStr">
        <is>
          <t>NULL</t>
        </is>
      </c>
      <c r="F1145" s="0" t="inlineStr">
        <is>
          <t>NULL</t>
        </is>
      </c>
      <c r="G1145" s="0" t="inlineStr">
        <is>
          <t>NULL</t>
        </is>
      </c>
      <c r="H1145" s="0" t="inlineStr">
        <is>
          <t>NULL</t>
        </is>
      </c>
      <c r="I1145" s="0" t="inlineStr">
        <is>
          <t>NULL</t>
        </is>
      </c>
      <c r="J1145" s="0" t="inlineStr">
        <is>
          <t>NULL</t>
        </is>
      </c>
      <c r="K1145" s="0" t="inlineStr">
        <is>
          <t xml:space="preserve"> NO!  	 c_dt2列源备映射错误，源端为datetime2 None位	期望更改为datetime(n)	实际备端为varchar 136位</t>
        </is>
      </c>
    </row>
    <row r="1146">
      <c r="A1146" s="0" t="inlineStr">
        <is>
          <t>info_nvarchar_dml_batch1_pk_urp1</t>
        </is>
      </c>
      <c r="K1146" s="0" t="inlineStr">
        <is>
          <t>[0;34m info_nvarchar_dml_batch1_pk_urp1 [0m源备字段数相同，源端字段：4 	备端字段4</t>
        </is>
      </c>
      <c r="W1146" s="0" t="inlineStr">
        <is>
          <t>YES 源备无差异</t>
        </is>
      </c>
      <c r="X1146" s="0">
        <f>A1146</f>
        <v/>
      </c>
    </row>
    <row r="1147">
      <c r="B1147" s="0" t="inlineStr">
        <is>
          <t>YES</t>
        </is>
      </c>
      <c r="C1147" s="0" t="inlineStr">
        <is>
          <t>NULL</t>
        </is>
      </c>
      <c r="D1147" s="0" t="inlineStr">
        <is>
          <t>NULL</t>
        </is>
      </c>
      <c r="E1147" s="0" t="inlineStr">
        <is>
          <t>NULL</t>
        </is>
      </c>
      <c r="F1147" s="0" t="inlineStr">
        <is>
          <t>NULL</t>
        </is>
      </c>
      <c r="G1147" s="0" t="inlineStr">
        <is>
          <t>NULL</t>
        </is>
      </c>
      <c r="H1147" s="0" t="inlineStr">
        <is>
          <t>NULL</t>
        </is>
      </c>
      <c r="I1147" s="0" t="inlineStr">
        <is>
          <t>YES!PK__info_nva__3213E83F96E49186</t>
        </is>
      </c>
      <c r="J1147" s="0" t="inlineStr">
        <is>
          <t>YES! 主键相关索引</t>
        </is>
      </c>
      <c r="K1147" s="0" t="inlineStr">
        <is>
          <t>YES! 	 id列源备映射正确，源端为int None位	期望更改为int	实际备端为int None位</t>
        </is>
      </c>
    </row>
    <row r="1148">
      <c r="B1148" s="0" t="inlineStr">
        <is>
          <t>NULL</t>
        </is>
      </c>
      <c r="C1148" s="0" t="inlineStr">
        <is>
          <t>NULL</t>
        </is>
      </c>
      <c r="D1148" s="0" t="inlineStr">
        <is>
          <t>NULL</t>
        </is>
      </c>
      <c r="E1148" s="0" t="inlineStr">
        <is>
          <t>NULL</t>
        </is>
      </c>
      <c r="F1148" s="0" t="inlineStr">
        <is>
          <t>NULL</t>
        </is>
      </c>
      <c r="G1148" s="0" t="inlineStr">
        <is>
          <t>NULL</t>
        </is>
      </c>
      <c r="H1148" s="0" t="inlineStr">
        <is>
          <t>NULL</t>
        </is>
      </c>
      <c r="I1148" s="0" t="inlineStr">
        <is>
          <t>NULL</t>
        </is>
      </c>
      <c r="J1148" s="0" t="inlineStr">
        <is>
          <t>NULL</t>
        </is>
      </c>
      <c r="K1148" s="0" t="inlineStr">
        <is>
          <t>YES! 	 c_nvarchar列源备映射正确，源端为nvarchar 2位	期望更改为varchar(n)	实际备端为varchar 4位</t>
        </is>
      </c>
    </row>
    <row r="1149">
      <c r="B1149" s="0" t="inlineStr">
        <is>
          <t>NULL</t>
        </is>
      </c>
      <c r="C1149" s="0" t="inlineStr">
        <is>
          <t>NULL</t>
        </is>
      </c>
      <c r="D1149" s="0" t="inlineStr">
        <is>
          <t>NULL</t>
        </is>
      </c>
      <c r="E1149" s="0" t="inlineStr">
        <is>
          <t>NULL</t>
        </is>
      </c>
      <c r="F1149" s="0" t="inlineStr">
        <is>
          <t>NULL</t>
        </is>
      </c>
      <c r="G1149" s="0" t="inlineStr">
        <is>
          <t>NULL</t>
        </is>
      </c>
      <c r="H1149" s="0" t="inlineStr">
        <is>
          <t>NULL</t>
        </is>
      </c>
      <c r="I1149" s="0" t="inlineStr">
        <is>
          <t>NULL</t>
        </is>
      </c>
      <c r="J1149" s="0" t="inlineStr">
        <is>
          <t>NULL</t>
        </is>
      </c>
      <c r="K1149" s="0" t="inlineStr">
        <is>
          <t>YES! 	 c_nvarchar20列源备映射正确，源端为nvarchar 40位	期望更改为varchar(n)	实际备端为varchar 80位</t>
        </is>
      </c>
    </row>
    <row r="1150">
      <c r="B1150" s="0" t="inlineStr">
        <is>
          <t>NULL</t>
        </is>
      </c>
      <c r="C1150" s="0" t="inlineStr">
        <is>
          <t>NULL</t>
        </is>
      </c>
      <c r="D1150" s="0" t="inlineStr">
        <is>
          <t>NULL</t>
        </is>
      </c>
      <c r="E1150" s="0" t="inlineStr">
        <is>
          <t>NULL</t>
        </is>
      </c>
      <c r="F1150" s="0" t="inlineStr">
        <is>
          <t>NULL</t>
        </is>
      </c>
      <c r="G1150" s="0" t="inlineStr">
        <is>
          <t>NULL</t>
        </is>
      </c>
      <c r="H1150" s="0" t="inlineStr">
        <is>
          <t>NULL</t>
        </is>
      </c>
      <c r="I1150" s="0" t="inlineStr">
        <is>
          <t>NULL</t>
        </is>
      </c>
      <c r="J1150" s="0" t="inlineStr">
        <is>
          <t>NULL</t>
        </is>
      </c>
      <c r="K1150" s="0" t="inlineStr">
        <is>
          <t>YES! 	 c_nvarchar3500列源备映射正确，源端为nvarchar 7000位	期望更改为text	实际备端为text 65535位</t>
        </is>
      </c>
    </row>
    <row r="1151">
      <c r="A1151" s="0" t="inlineStr">
        <is>
          <t>info_datetime_dml_single_pk_urp</t>
        </is>
      </c>
      <c r="K1151" s="0" t="inlineStr">
        <is>
          <t>[0;34m info_datetime_dml_single_pk_urp [0m源备字段数相同，源端字段：2 	备端字段2</t>
        </is>
      </c>
      <c r="W1151" s="0" t="inlineStr">
        <is>
          <t>YES 源备无差异</t>
        </is>
      </c>
      <c r="X1151" s="0">
        <f>A1151</f>
        <v/>
      </c>
    </row>
    <row r="1152">
      <c r="B1152" s="0" t="inlineStr">
        <is>
          <t>YES</t>
        </is>
      </c>
      <c r="C1152" s="0" t="inlineStr">
        <is>
          <t>NULL</t>
        </is>
      </c>
      <c r="D1152" s="0" t="inlineStr">
        <is>
          <t>NULL</t>
        </is>
      </c>
      <c r="E1152" s="0" t="inlineStr">
        <is>
          <t>NULL</t>
        </is>
      </c>
      <c r="F1152" s="0" t="inlineStr">
        <is>
          <t>NULL</t>
        </is>
      </c>
      <c r="G1152" s="0" t="inlineStr">
        <is>
          <t>NULL</t>
        </is>
      </c>
      <c r="H1152" s="0" t="inlineStr">
        <is>
          <t>NULL</t>
        </is>
      </c>
      <c r="I1152" s="0" t="inlineStr">
        <is>
          <t>YES!PK__info_dat__3213E83F0D54FDEB</t>
        </is>
      </c>
      <c r="J1152" s="0" t="inlineStr">
        <is>
          <t>YES! 主键相关索引</t>
        </is>
      </c>
      <c r="K1152" s="0" t="inlineStr">
        <is>
          <t>YES! 	 id列源备映射正确，源端为int None位	期望更改为int	实际备端为int None位</t>
        </is>
      </c>
    </row>
    <row r="1153">
      <c r="B1153" s="0" t="inlineStr">
        <is>
          <t>NULL</t>
        </is>
      </c>
      <c r="C1153" s="0" t="inlineStr">
        <is>
          <t>NULL</t>
        </is>
      </c>
      <c r="D1153" s="0" t="inlineStr">
        <is>
          <t>NULL</t>
        </is>
      </c>
      <c r="E1153" s="0" t="inlineStr">
        <is>
          <t>NULL</t>
        </is>
      </c>
      <c r="F1153" s="0" t="inlineStr">
        <is>
          <t>NULL</t>
        </is>
      </c>
      <c r="G1153" s="0" t="inlineStr">
        <is>
          <t>NULL</t>
        </is>
      </c>
      <c r="H1153" s="0" t="inlineStr">
        <is>
          <t>NULL</t>
        </is>
      </c>
      <c r="I1153" s="0" t="inlineStr">
        <is>
          <t>NULL</t>
        </is>
      </c>
      <c r="J1153" s="0" t="inlineStr">
        <is>
          <t>NULL</t>
        </is>
      </c>
      <c r="K1153" s="0" t="inlineStr">
        <is>
          <t>YES! 	 c_datetime列源备映射正确，源端为datetime None位	期望更改为datetime(3)	实际备端为datetime None位</t>
        </is>
      </c>
    </row>
    <row r="1154">
      <c r="A1154" s="0" t="inlineStr">
        <is>
          <t>info_binary_dml_single_nopk_drp</t>
        </is>
      </c>
      <c r="K1154" s="0" t="inlineStr">
        <is>
          <t>[0;34m info_binary_dml_single_nopk_drp [0m源备字段数相同，源端字段：4 	备端字段4</t>
        </is>
      </c>
      <c r="W1154" s="0" t="inlineStr">
        <is>
          <t>YES 源备无差异</t>
        </is>
      </c>
      <c r="X1154" s="0">
        <f>A1154</f>
        <v/>
      </c>
    </row>
    <row r="1155">
      <c r="B1155" s="0" t="inlineStr">
        <is>
          <t>NULL</t>
        </is>
      </c>
      <c r="C1155" s="0" t="inlineStr">
        <is>
          <t>NULL</t>
        </is>
      </c>
      <c r="D1155" s="0" t="inlineStr">
        <is>
          <t>NULL</t>
        </is>
      </c>
      <c r="E1155" s="0" t="inlineStr">
        <is>
          <t>NULL</t>
        </is>
      </c>
      <c r="F1155" s="0" t="inlineStr">
        <is>
          <t>NULL</t>
        </is>
      </c>
      <c r="G1155" s="0" t="inlineStr">
        <is>
          <t>NULL</t>
        </is>
      </c>
      <c r="H1155" s="0" t="inlineStr">
        <is>
          <t>NULL</t>
        </is>
      </c>
      <c r="I1155" s="0" t="inlineStr">
        <is>
          <t>NULL</t>
        </is>
      </c>
      <c r="J1155" s="0" t="inlineStr">
        <is>
          <t>NULL</t>
        </is>
      </c>
      <c r="K1155" s="0" t="inlineStr">
        <is>
          <t>YES! 	 id列源备映射正确，源端为int None位	期望更改为int	实际备端为int None位</t>
        </is>
      </c>
    </row>
    <row r="1156">
      <c r="B1156" s="0" t="inlineStr">
        <is>
          <t>NULL</t>
        </is>
      </c>
      <c r="C1156" s="0" t="inlineStr">
        <is>
          <t>NULL</t>
        </is>
      </c>
      <c r="D1156" s="0" t="inlineStr">
        <is>
          <t>NULL</t>
        </is>
      </c>
      <c r="E1156" s="0" t="inlineStr">
        <is>
          <t>NULL</t>
        </is>
      </c>
      <c r="F1156" s="0" t="inlineStr">
        <is>
          <t>NULL</t>
        </is>
      </c>
      <c r="G1156" s="0" t="inlineStr">
        <is>
          <t>NULL</t>
        </is>
      </c>
      <c r="H1156" s="0" t="inlineStr">
        <is>
          <t>NULL</t>
        </is>
      </c>
      <c r="I1156" s="0" t="inlineStr">
        <is>
          <t>NULL</t>
        </is>
      </c>
      <c r="J1156" s="0" t="inlineStr">
        <is>
          <t>NULL</t>
        </is>
      </c>
      <c r="K1156" s="0" t="inlineStr">
        <is>
          <t>YES! 	 c_binary列源备映射正确，源端为binary 1位	期望更改为binary(n)	实际备端为binary 1位</t>
        </is>
      </c>
    </row>
    <row r="1157">
      <c r="B1157" s="0" t="inlineStr">
        <is>
          <t>NULL</t>
        </is>
      </c>
      <c r="C1157" s="0" t="inlineStr">
        <is>
          <t>NULL</t>
        </is>
      </c>
      <c r="D1157" s="0" t="inlineStr">
        <is>
          <t>NULL</t>
        </is>
      </c>
      <c r="E1157" s="0" t="inlineStr">
        <is>
          <t>NULL</t>
        </is>
      </c>
      <c r="F1157" s="0" t="inlineStr">
        <is>
          <t>NULL</t>
        </is>
      </c>
      <c r="G1157" s="0" t="inlineStr">
        <is>
          <t>NULL</t>
        </is>
      </c>
      <c r="H1157" s="0" t="inlineStr">
        <is>
          <t>NULL</t>
        </is>
      </c>
      <c r="I1157" s="0" t="inlineStr">
        <is>
          <t>NULL</t>
        </is>
      </c>
      <c r="J1157" s="0" t="inlineStr">
        <is>
          <t>NULL</t>
        </is>
      </c>
      <c r="K1157" s="0" t="inlineStr">
        <is>
          <t>YES! 	 c_binary_20列源备映射正确，源端为binary 20位	期望更改为binary(n)	实际备端为binary 20位</t>
        </is>
      </c>
    </row>
    <row r="1158">
      <c r="B1158" s="0" t="inlineStr">
        <is>
          <t>NULL</t>
        </is>
      </c>
      <c r="C1158" s="0" t="inlineStr">
        <is>
          <t>NULL</t>
        </is>
      </c>
      <c r="D1158" s="0" t="inlineStr">
        <is>
          <t>NULL</t>
        </is>
      </c>
      <c r="E1158" s="0" t="inlineStr">
        <is>
          <t>NULL</t>
        </is>
      </c>
      <c r="F1158" s="0" t="inlineStr">
        <is>
          <t>NULL</t>
        </is>
      </c>
      <c r="G1158" s="0" t="inlineStr">
        <is>
          <t>NULL</t>
        </is>
      </c>
      <c r="H1158" s="0" t="inlineStr">
        <is>
          <t>NULL</t>
        </is>
      </c>
      <c r="I1158" s="0" t="inlineStr">
        <is>
          <t>NULL</t>
        </is>
      </c>
      <c r="J1158" s="0" t="inlineStr">
        <is>
          <t>NULL</t>
        </is>
      </c>
      <c r="K1158" s="0" t="inlineStr">
        <is>
          <t>YES! 	 c_binary_8000列源备映射正确，源端为binary 8000位	期望更改为longblob	实际备端为longblob 4294967295位</t>
        </is>
      </c>
    </row>
    <row r="1159">
      <c r="A1159" s="0" t="inlineStr">
        <is>
          <t>info_date_dml_single_nopk_irp</t>
        </is>
      </c>
      <c r="K1159" s="0" t="inlineStr">
        <is>
          <t>[0;34m info_date_dml_single_nopk_irp [0m源备字段数相同，源端字段：2 	备端字段2</t>
        </is>
      </c>
      <c r="W1159" s="0" t="inlineStr">
        <is>
          <t>YES 源备无差异</t>
        </is>
      </c>
      <c r="X1159" s="0">
        <f>A1159</f>
        <v/>
      </c>
    </row>
    <row r="1160">
      <c r="B1160" s="0" t="inlineStr">
        <is>
          <t>NULL</t>
        </is>
      </c>
      <c r="C1160" s="0" t="inlineStr">
        <is>
          <t>NULL</t>
        </is>
      </c>
      <c r="D1160" s="0" t="inlineStr">
        <is>
          <t>NULL</t>
        </is>
      </c>
      <c r="E1160" s="0" t="inlineStr">
        <is>
          <t>NULL</t>
        </is>
      </c>
      <c r="F1160" s="0" t="inlineStr">
        <is>
          <t>NULL</t>
        </is>
      </c>
      <c r="G1160" s="0" t="inlineStr">
        <is>
          <t>NULL</t>
        </is>
      </c>
      <c r="H1160" s="0" t="inlineStr">
        <is>
          <t>NULL</t>
        </is>
      </c>
      <c r="I1160" s="0" t="inlineStr">
        <is>
          <t>NULL</t>
        </is>
      </c>
      <c r="J1160" s="0" t="inlineStr">
        <is>
          <t>NULL</t>
        </is>
      </c>
      <c r="K1160" s="0" t="inlineStr">
        <is>
          <t>YES! 	 id列源备映射正确，源端为int None位	期望更改为int	实际备端为int None位</t>
        </is>
      </c>
    </row>
    <row r="1161">
      <c r="B1161" s="0" t="inlineStr">
        <is>
          <t>NULL</t>
        </is>
      </c>
      <c r="C1161" s="0" t="inlineStr">
        <is>
          <t>NO!源None备NUL</t>
        </is>
      </c>
      <c r="D1161" s="0" t="inlineStr">
        <is>
          <t>NULL</t>
        </is>
      </c>
      <c r="E1161" s="0" t="inlineStr">
        <is>
          <t>NULL</t>
        </is>
      </c>
      <c r="F1161" s="0" t="inlineStr">
        <is>
          <t>NULL</t>
        </is>
      </c>
      <c r="G1161" s="0" t="inlineStr">
        <is>
          <t>NULL</t>
        </is>
      </c>
      <c r="H1161" s="0" t="inlineStr">
        <is>
          <t>NULL</t>
        </is>
      </c>
      <c r="I1161" s="0" t="inlineStr">
        <is>
          <t>NULL</t>
        </is>
      </c>
      <c r="J1161" s="0" t="inlineStr">
        <is>
          <t>NULL</t>
        </is>
      </c>
      <c r="K1161" s="0" t="inlineStr">
        <is>
          <t>YES! 	 c_date列源备映射正确，源端为date None位	期望更改为date	实际备端为date None位</t>
        </is>
      </c>
    </row>
    <row r="1162">
      <c r="A1162" s="0" t="inlineStr">
        <is>
          <t>info_binary_dml_single_nopk</t>
        </is>
      </c>
      <c r="K1162" s="0" t="inlineStr">
        <is>
          <t>[0;34m info_binary_dml_single_nopk [0m源备字段数相同，源端字段：4 	备端字段4</t>
        </is>
      </c>
      <c r="W1162" s="0" t="inlineStr">
        <is>
          <t>YES 源备无差异</t>
        </is>
      </c>
      <c r="X1162" s="0">
        <f>A1162</f>
        <v/>
      </c>
    </row>
    <row r="1163">
      <c r="B1163" s="0" t="inlineStr">
        <is>
          <t>NULL</t>
        </is>
      </c>
      <c r="C1163" s="0" t="inlineStr">
        <is>
          <t>NULL</t>
        </is>
      </c>
      <c r="D1163" s="0" t="inlineStr">
        <is>
          <t>NULL</t>
        </is>
      </c>
      <c r="E1163" s="0" t="inlineStr">
        <is>
          <t>NULL</t>
        </is>
      </c>
      <c r="F1163" s="0" t="inlineStr">
        <is>
          <t>NULL</t>
        </is>
      </c>
      <c r="G1163" s="0" t="inlineStr">
        <is>
          <t>NULL</t>
        </is>
      </c>
      <c r="H1163" s="0" t="inlineStr">
        <is>
          <t>NULL</t>
        </is>
      </c>
      <c r="I1163" s="0" t="inlineStr">
        <is>
          <t>NULL</t>
        </is>
      </c>
      <c r="J1163" s="0" t="inlineStr">
        <is>
          <t>NULL</t>
        </is>
      </c>
      <c r="K1163" s="0" t="inlineStr">
        <is>
          <t>YES! 	 id列源备映射正确，源端为int None位	期望更改为int	实际备端为int None位</t>
        </is>
      </c>
    </row>
    <row r="1164">
      <c r="B1164" s="0" t="inlineStr">
        <is>
          <t>NULL</t>
        </is>
      </c>
      <c r="C1164" s="0" t="inlineStr">
        <is>
          <t>NULL</t>
        </is>
      </c>
      <c r="D1164" s="0" t="inlineStr">
        <is>
          <t>NULL</t>
        </is>
      </c>
      <c r="E1164" s="0" t="inlineStr">
        <is>
          <t>NULL</t>
        </is>
      </c>
      <c r="F1164" s="0" t="inlineStr">
        <is>
          <t>NULL</t>
        </is>
      </c>
      <c r="G1164" s="0" t="inlineStr">
        <is>
          <t>NULL</t>
        </is>
      </c>
      <c r="H1164" s="0" t="inlineStr">
        <is>
          <t>NULL</t>
        </is>
      </c>
      <c r="I1164" s="0" t="inlineStr">
        <is>
          <t>NULL</t>
        </is>
      </c>
      <c r="J1164" s="0" t="inlineStr">
        <is>
          <t>NULL</t>
        </is>
      </c>
      <c r="K1164" s="0" t="inlineStr">
        <is>
          <t>YES! 	 c_binary列源备映射正确，源端为binary 1位	期望更改为binary(n)	实际备端为binary 1位</t>
        </is>
      </c>
    </row>
    <row r="1165">
      <c r="B1165" s="0" t="inlineStr">
        <is>
          <t>NULL</t>
        </is>
      </c>
      <c r="C1165" s="0" t="inlineStr">
        <is>
          <t>NULL</t>
        </is>
      </c>
      <c r="D1165" s="0" t="inlineStr">
        <is>
          <t>NULL</t>
        </is>
      </c>
      <c r="E1165" s="0" t="inlineStr">
        <is>
          <t>NULL</t>
        </is>
      </c>
      <c r="F1165" s="0" t="inlineStr">
        <is>
          <t>NULL</t>
        </is>
      </c>
      <c r="G1165" s="0" t="inlineStr">
        <is>
          <t>NULL</t>
        </is>
      </c>
      <c r="H1165" s="0" t="inlineStr">
        <is>
          <t>NULL</t>
        </is>
      </c>
      <c r="I1165" s="0" t="inlineStr">
        <is>
          <t>NULL</t>
        </is>
      </c>
      <c r="J1165" s="0" t="inlineStr">
        <is>
          <t>NULL</t>
        </is>
      </c>
      <c r="K1165" s="0" t="inlineStr">
        <is>
          <t>YES! 	 c_binary_20列源备映射正确，源端为binary 20位	期望更改为binary(n)	实际备端为binary 20位</t>
        </is>
      </c>
    </row>
    <row r="1166">
      <c r="B1166" s="0" t="inlineStr">
        <is>
          <t>NULL</t>
        </is>
      </c>
      <c r="C1166" s="0" t="inlineStr">
        <is>
          <t>NULL</t>
        </is>
      </c>
      <c r="D1166" s="0" t="inlineStr">
        <is>
          <t>NULL</t>
        </is>
      </c>
      <c r="E1166" s="0" t="inlineStr">
        <is>
          <t>NULL</t>
        </is>
      </c>
      <c r="F1166" s="0" t="inlineStr">
        <is>
          <t>NULL</t>
        </is>
      </c>
      <c r="G1166" s="0" t="inlineStr">
        <is>
          <t>NULL</t>
        </is>
      </c>
      <c r="H1166" s="0" t="inlineStr">
        <is>
          <t>NULL</t>
        </is>
      </c>
      <c r="I1166" s="0" t="inlineStr">
        <is>
          <t>NULL</t>
        </is>
      </c>
      <c r="J1166" s="0" t="inlineStr">
        <is>
          <t>NULL</t>
        </is>
      </c>
      <c r="K1166" s="0" t="inlineStr">
        <is>
          <t>YES! 	 c_binary_8000列源备映射正确，源端为binary 8000位	期望更改为longblob	实际备端为longblob 4294967295位</t>
        </is>
      </c>
    </row>
    <row r="1167">
      <c r="A1167" s="0" t="inlineStr">
        <is>
          <t>info_date_dml_single_nopk_urp</t>
        </is>
      </c>
      <c r="K1167" s="0" t="inlineStr">
        <is>
          <t>[0;34m info_date_dml_single_nopk_urp [0m源备字段数相同，源端字段：2 	备端字段2</t>
        </is>
      </c>
      <c r="W1167" s="0" t="inlineStr">
        <is>
          <t>YES 源备无差异</t>
        </is>
      </c>
      <c r="X1167" s="0">
        <f>A1167</f>
        <v/>
      </c>
    </row>
    <row r="1168">
      <c r="B1168" s="0" t="inlineStr">
        <is>
          <t>NULL</t>
        </is>
      </c>
      <c r="C1168" s="0" t="inlineStr">
        <is>
          <t>NULL</t>
        </is>
      </c>
      <c r="D1168" s="0" t="inlineStr">
        <is>
          <t>NULL</t>
        </is>
      </c>
      <c r="E1168" s="0" t="inlineStr">
        <is>
          <t>NULL</t>
        </is>
      </c>
      <c r="F1168" s="0" t="inlineStr">
        <is>
          <t>NULL</t>
        </is>
      </c>
      <c r="G1168" s="0" t="inlineStr">
        <is>
          <t>NULL</t>
        </is>
      </c>
      <c r="H1168" s="0" t="inlineStr">
        <is>
          <t>NULL</t>
        </is>
      </c>
      <c r="I1168" s="0" t="inlineStr">
        <is>
          <t>NULL</t>
        </is>
      </c>
      <c r="J1168" s="0" t="inlineStr">
        <is>
          <t>NULL</t>
        </is>
      </c>
      <c r="K1168" s="0" t="inlineStr">
        <is>
          <t>YES! 	 id列源备映射正确，源端为int None位	期望更改为int	实际备端为int None位</t>
        </is>
      </c>
    </row>
    <row r="1169">
      <c r="B1169" s="0" t="inlineStr">
        <is>
          <t>NULL</t>
        </is>
      </c>
      <c r="C1169" s="0" t="inlineStr">
        <is>
          <t>NO!源None备NUL</t>
        </is>
      </c>
      <c r="D1169" s="0" t="inlineStr">
        <is>
          <t>NULL</t>
        </is>
      </c>
      <c r="E1169" s="0" t="inlineStr">
        <is>
          <t>NULL</t>
        </is>
      </c>
      <c r="F1169" s="0" t="inlineStr">
        <is>
          <t>NULL</t>
        </is>
      </c>
      <c r="G1169" s="0" t="inlineStr">
        <is>
          <t>NULL</t>
        </is>
      </c>
      <c r="H1169" s="0" t="inlineStr">
        <is>
          <t>NULL</t>
        </is>
      </c>
      <c r="I1169" s="0" t="inlineStr">
        <is>
          <t>NULL</t>
        </is>
      </c>
      <c r="J1169" s="0" t="inlineStr">
        <is>
          <t>NULL</t>
        </is>
      </c>
      <c r="K1169" s="0" t="inlineStr">
        <is>
          <t>YES! 	 c_date列源备映射正确，源端为date None位	期望更改为date	实际备端为date None位</t>
        </is>
      </c>
    </row>
    <row r="1170">
      <c r="A1170" s="0" t="inlineStr">
        <is>
          <t>info_datetimeoffset_dml_batch1_pk_irp1</t>
        </is>
      </c>
      <c r="K1170" s="0" t="inlineStr">
        <is>
          <t>[0;34m info_datetimeoffset_dml_batch1_pk_irp1 [0m源备字段数相同，源端字段：9 	备端字段9</t>
        </is>
      </c>
      <c r="W1170" s="0" t="inlineStr">
        <is>
          <t>YES 源备无差异</t>
        </is>
      </c>
      <c r="X1170" s="0">
        <f>A1170</f>
        <v/>
      </c>
    </row>
    <row r="1171">
      <c r="B1171" s="0" t="inlineStr">
        <is>
          <t>YES</t>
        </is>
      </c>
      <c r="C1171" s="0" t="inlineStr">
        <is>
          <t>NULL</t>
        </is>
      </c>
      <c r="D1171" s="0" t="inlineStr">
        <is>
          <t>NULL</t>
        </is>
      </c>
      <c r="E1171" s="0" t="inlineStr">
        <is>
          <t>NULL</t>
        </is>
      </c>
      <c r="F1171" s="0" t="inlineStr">
        <is>
          <t>NULL</t>
        </is>
      </c>
      <c r="G1171" s="0" t="inlineStr">
        <is>
          <t>NULL</t>
        </is>
      </c>
      <c r="H1171" s="0" t="inlineStr">
        <is>
          <t>NULL</t>
        </is>
      </c>
      <c r="I1171" s="0" t="inlineStr">
        <is>
          <t>YES!PK__info_dat__3213E83F5DFBACE1</t>
        </is>
      </c>
      <c r="J1171" s="0" t="inlineStr">
        <is>
          <t>YES! 主键相关索引</t>
        </is>
      </c>
      <c r="K1171" s="0" t="inlineStr">
        <is>
          <t>YES! 	 id列源备映射正确，源端为int None位	期望更改为int	实际备端为int None位</t>
        </is>
      </c>
    </row>
    <row r="1172">
      <c r="B1172" s="0" t="inlineStr">
        <is>
          <t>NULL</t>
        </is>
      </c>
      <c r="C1172" s="0" t="inlineStr">
        <is>
          <t>NULL</t>
        </is>
      </c>
      <c r="D1172" s="0" t="inlineStr">
        <is>
          <t>NULL</t>
        </is>
      </c>
      <c r="E1172" s="0" t="inlineStr">
        <is>
          <t>NULL</t>
        </is>
      </c>
      <c r="F1172" s="0" t="inlineStr">
        <is>
          <t>NULL</t>
        </is>
      </c>
      <c r="G1172" s="0" t="inlineStr">
        <is>
          <t>NULL</t>
        </is>
      </c>
      <c r="H1172" s="0" t="inlineStr">
        <is>
          <t>NULL</t>
        </is>
      </c>
      <c r="I1172" s="0" t="inlineStr">
        <is>
          <t>NULL</t>
        </is>
      </c>
      <c r="J1172" s="0" t="inlineStr">
        <is>
          <t>NULL</t>
        </is>
      </c>
      <c r="K1172" s="0" t="inlineStr">
        <is>
          <t>[0;32m YES! [0m 	 c_dtoffset_0列源备映射正确，源端为datetimeoffset None位	期望更改为varchar(34)	实际备端为varchar 136位	位数精度不存在，通过长度比较</t>
        </is>
      </c>
    </row>
    <row r="1173">
      <c r="B1173" s="0" t="inlineStr">
        <is>
          <t>NULL</t>
        </is>
      </c>
      <c r="C1173" s="0" t="inlineStr">
        <is>
          <t>NULL</t>
        </is>
      </c>
      <c r="D1173" s="0" t="inlineStr">
        <is>
          <t>NULL</t>
        </is>
      </c>
      <c r="E1173" s="0" t="inlineStr">
        <is>
          <t>NULL</t>
        </is>
      </c>
      <c r="F1173" s="0" t="inlineStr">
        <is>
          <t>NULL</t>
        </is>
      </c>
      <c r="G1173" s="0" t="inlineStr">
        <is>
          <t>NULL</t>
        </is>
      </c>
      <c r="H1173" s="0" t="inlineStr">
        <is>
          <t>NULL</t>
        </is>
      </c>
      <c r="I1173" s="0" t="inlineStr">
        <is>
          <t>NULL</t>
        </is>
      </c>
      <c r="J1173" s="0" t="inlineStr">
        <is>
          <t>NULL</t>
        </is>
      </c>
      <c r="K1173" s="0" t="inlineStr">
        <is>
          <t>[0;32m YES! [0m 	 c_dtoffset_1列源备映射正确，源端为datetimeoffset None位	期望更改为varchar(34)	实际备端为varchar 136位	位数精度不存在，通过长度比较</t>
        </is>
      </c>
    </row>
    <row r="1174">
      <c r="B1174" s="0" t="inlineStr">
        <is>
          <t>NULL</t>
        </is>
      </c>
      <c r="C1174" s="0" t="inlineStr">
        <is>
          <t>NULL</t>
        </is>
      </c>
      <c r="D1174" s="0" t="inlineStr">
        <is>
          <t>NULL</t>
        </is>
      </c>
      <c r="E1174" s="0" t="inlineStr">
        <is>
          <t>NULL</t>
        </is>
      </c>
      <c r="F1174" s="0" t="inlineStr">
        <is>
          <t>NULL</t>
        </is>
      </c>
      <c r="G1174" s="0" t="inlineStr">
        <is>
          <t>NULL</t>
        </is>
      </c>
      <c r="H1174" s="0" t="inlineStr">
        <is>
          <t>NULL</t>
        </is>
      </c>
      <c r="I1174" s="0" t="inlineStr">
        <is>
          <t>NULL</t>
        </is>
      </c>
      <c r="J1174" s="0" t="inlineStr">
        <is>
          <t>NULL</t>
        </is>
      </c>
      <c r="K1174" s="0" t="inlineStr">
        <is>
          <t>[0;32m YES! [0m 	 c_dtoffset_2列源备映射正确，源端为datetimeoffset None位	期望更改为varchar(34)	实际备端为varchar 136位	位数精度不存在，通过长度比较</t>
        </is>
      </c>
    </row>
    <row r="1175">
      <c r="B1175" s="0" t="inlineStr">
        <is>
          <t>NULL</t>
        </is>
      </c>
      <c r="C1175" s="0" t="inlineStr">
        <is>
          <t>NULL</t>
        </is>
      </c>
      <c r="D1175" s="0" t="inlineStr">
        <is>
          <t>NULL</t>
        </is>
      </c>
      <c r="E1175" s="0" t="inlineStr">
        <is>
          <t>NULL</t>
        </is>
      </c>
      <c r="F1175" s="0" t="inlineStr">
        <is>
          <t>NULL</t>
        </is>
      </c>
      <c r="G1175" s="0" t="inlineStr">
        <is>
          <t>NULL</t>
        </is>
      </c>
      <c r="H1175" s="0" t="inlineStr">
        <is>
          <t>NULL</t>
        </is>
      </c>
      <c r="I1175" s="0" t="inlineStr">
        <is>
          <t>NULL</t>
        </is>
      </c>
      <c r="J1175" s="0" t="inlineStr">
        <is>
          <t>NULL</t>
        </is>
      </c>
      <c r="K1175" s="0" t="inlineStr">
        <is>
          <t>[0;32m YES! [0m 	 c_dtoffset_3列源备映射正确，源端为datetimeoffset None位	期望更改为varchar(34)	实际备端为varchar 136位	位数精度不存在，通过长度比较</t>
        </is>
      </c>
    </row>
    <row r="1176">
      <c r="B1176" s="0" t="inlineStr">
        <is>
          <t>NULL</t>
        </is>
      </c>
      <c r="C1176" s="0" t="inlineStr">
        <is>
          <t>NULL</t>
        </is>
      </c>
      <c r="D1176" s="0" t="inlineStr">
        <is>
          <t>NULL</t>
        </is>
      </c>
      <c r="E1176" s="0" t="inlineStr">
        <is>
          <t>NULL</t>
        </is>
      </c>
      <c r="F1176" s="0" t="inlineStr">
        <is>
          <t>NULL</t>
        </is>
      </c>
      <c r="G1176" s="0" t="inlineStr">
        <is>
          <t>NULL</t>
        </is>
      </c>
      <c r="H1176" s="0" t="inlineStr">
        <is>
          <t>NULL</t>
        </is>
      </c>
      <c r="I1176" s="0" t="inlineStr">
        <is>
          <t>NULL</t>
        </is>
      </c>
      <c r="J1176" s="0" t="inlineStr">
        <is>
          <t>NULL</t>
        </is>
      </c>
      <c r="K1176" s="0" t="inlineStr">
        <is>
          <t>[0;32m YES! [0m 	 c_dtoffset_4列源备映射正确，源端为datetimeoffset None位	期望更改为varchar(34)	实际备端为varchar 136位	位数精度不存在，通过长度比较</t>
        </is>
      </c>
    </row>
    <row r="1177">
      <c r="B1177" s="0" t="inlineStr">
        <is>
          <t>NULL</t>
        </is>
      </c>
      <c r="C1177" s="0" t="inlineStr">
        <is>
          <t>NULL</t>
        </is>
      </c>
      <c r="D1177" s="0" t="inlineStr">
        <is>
          <t>NULL</t>
        </is>
      </c>
      <c r="E1177" s="0" t="inlineStr">
        <is>
          <t>NULL</t>
        </is>
      </c>
      <c r="F1177" s="0" t="inlineStr">
        <is>
          <t>NULL</t>
        </is>
      </c>
      <c r="G1177" s="0" t="inlineStr">
        <is>
          <t>NULL</t>
        </is>
      </c>
      <c r="H1177" s="0" t="inlineStr">
        <is>
          <t>NULL</t>
        </is>
      </c>
      <c r="I1177" s="0" t="inlineStr">
        <is>
          <t>NULL</t>
        </is>
      </c>
      <c r="J1177" s="0" t="inlineStr">
        <is>
          <t>NULL</t>
        </is>
      </c>
      <c r="K1177" s="0" t="inlineStr">
        <is>
          <t>[0;32m YES! [0m 	 c_dtoffset_5列源备映射正确，源端为datetimeoffset None位	期望更改为varchar(34)	实际备端为varchar 136位	位数精度不存在，通过长度比较</t>
        </is>
      </c>
    </row>
    <row r="1178">
      <c r="B1178" s="0" t="inlineStr">
        <is>
          <t>NULL</t>
        </is>
      </c>
      <c r="C1178" s="0" t="inlineStr">
        <is>
          <t>NULL</t>
        </is>
      </c>
      <c r="D1178" s="0" t="inlineStr">
        <is>
          <t>NULL</t>
        </is>
      </c>
      <c r="E1178" s="0" t="inlineStr">
        <is>
          <t>NULL</t>
        </is>
      </c>
      <c r="F1178" s="0" t="inlineStr">
        <is>
          <t>NULL</t>
        </is>
      </c>
      <c r="G1178" s="0" t="inlineStr">
        <is>
          <t>NULL</t>
        </is>
      </c>
      <c r="H1178" s="0" t="inlineStr">
        <is>
          <t>NULL</t>
        </is>
      </c>
      <c r="I1178" s="0" t="inlineStr">
        <is>
          <t>NULL</t>
        </is>
      </c>
      <c r="J1178" s="0" t="inlineStr">
        <is>
          <t>NULL</t>
        </is>
      </c>
      <c r="K1178" s="0" t="inlineStr">
        <is>
          <t>[0;32m YES! [0m 	 c_dtoffset_6列源备映射正确，源端为datetimeoffset None位	期望更改为varchar(34)	实际备端为varchar 136位	位数精度不存在，通过长度比较</t>
        </is>
      </c>
    </row>
    <row r="1179">
      <c r="B1179" s="0" t="inlineStr">
        <is>
          <t>NULL</t>
        </is>
      </c>
      <c r="C1179" s="0" t="inlineStr">
        <is>
          <t>NULL</t>
        </is>
      </c>
      <c r="D1179" s="0" t="inlineStr">
        <is>
          <t>NULL</t>
        </is>
      </c>
      <c r="E1179" s="0" t="inlineStr">
        <is>
          <t>NULL</t>
        </is>
      </c>
      <c r="F1179" s="0" t="inlineStr">
        <is>
          <t>NULL</t>
        </is>
      </c>
      <c r="G1179" s="0" t="inlineStr">
        <is>
          <t>NULL</t>
        </is>
      </c>
      <c r="H1179" s="0" t="inlineStr">
        <is>
          <t>NULL</t>
        </is>
      </c>
      <c r="I1179" s="0" t="inlineStr">
        <is>
          <t>NULL</t>
        </is>
      </c>
      <c r="J1179" s="0" t="inlineStr">
        <is>
          <t>NULL</t>
        </is>
      </c>
      <c r="K1179" s="0" t="inlineStr">
        <is>
          <t>[0;32m YES! [0m 	 c_dtoffset列源备映射正确，源端为datetimeoffset None位	期望更改为varchar(34)	实际备端为varchar 136位	位数精度不存在，通过长度比较</t>
        </is>
      </c>
    </row>
    <row r="1180">
      <c r="A1180" s="0" t="inlineStr">
        <is>
          <t>info_nvarchar_dml_batch2_pk_urp2</t>
        </is>
      </c>
      <c r="K1180" s="0" t="inlineStr">
        <is>
          <t>[0;34m info_nvarchar_dml_batch2_pk_urp2 [0m源备字段数相同，源端字段：4 	备端字段4</t>
        </is>
      </c>
      <c r="W1180" s="0" t="inlineStr">
        <is>
          <t>YES 源备无差异</t>
        </is>
      </c>
      <c r="X1180" s="0">
        <f>A1180</f>
        <v/>
      </c>
    </row>
    <row r="1181">
      <c r="B1181" s="0" t="inlineStr">
        <is>
          <t>YES</t>
        </is>
      </c>
      <c r="C1181" s="0" t="inlineStr">
        <is>
          <t>NULL</t>
        </is>
      </c>
      <c r="D1181" s="0" t="inlineStr">
        <is>
          <t>NULL</t>
        </is>
      </c>
      <c r="E1181" s="0" t="inlineStr">
        <is>
          <t>NULL</t>
        </is>
      </c>
      <c r="F1181" s="0" t="inlineStr">
        <is>
          <t>NULL</t>
        </is>
      </c>
      <c r="G1181" s="0" t="inlineStr">
        <is>
          <t>NULL</t>
        </is>
      </c>
      <c r="H1181" s="0" t="inlineStr">
        <is>
          <t>NULL</t>
        </is>
      </c>
      <c r="I1181" s="0" t="inlineStr">
        <is>
          <t>YES!PK__info_nva__3213E83FC6E75F78</t>
        </is>
      </c>
      <c r="J1181" s="0" t="inlineStr">
        <is>
          <t>YES! 主键相关索引</t>
        </is>
      </c>
      <c r="K1181" s="0" t="inlineStr">
        <is>
          <t>YES! 	 id列源备映射正确，源端为int None位	期望更改为int	实际备端为int None位</t>
        </is>
      </c>
    </row>
    <row r="1182">
      <c r="B1182" s="0" t="inlineStr">
        <is>
          <t>NULL</t>
        </is>
      </c>
      <c r="C1182" s="0" t="inlineStr">
        <is>
          <t>NULL</t>
        </is>
      </c>
      <c r="D1182" s="0" t="inlineStr">
        <is>
          <t>NULL</t>
        </is>
      </c>
      <c r="E1182" s="0" t="inlineStr">
        <is>
          <t>NULL</t>
        </is>
      </c>
      <c r="F1182" s="0" t="inlineStr">
        <is>
          <t>NULL</t>
        </is>
      </c>
      <c r="G1182" s="0" t="inlineStr">
        <is>
          <t>NULL</t>
        </is>
      </c>
      <c r="H1182" s="0" t="inlineStr">
        <is>
          <t>NULL</t>
        </is>
      </c>
      <c r="I1182" s="0" t="inlineStr">
        <is>
          <t>NULL</t>
        </is>
      </c>
      <c r="J1182" s="0" t="inlineStr">
        <is>
          <t>NULL</t>
        </is>
      </c>
      <c r="K1182" s="0" t="inlineStr">
        <is>
          <t>YES! 	 c_nvarchar列源备映射正确，源端为nvarchar 2位	期望更改为varchar(n)	实际备端为varchar 4位</t>
        </is>
      </c>
    </row>
    <row r="1183">
      <c r="B1183" s="0" t="inlineStr">
        <is>
          <t>NULL</t>
        </is>
      </c>
      <c r="C1183" s="0" t="inlineStr">
        <is>
          <t>NULL</t>
        </is>
      </c>
      <c r="D1183" s="0" t="inlineStr">
        <is>
          <t>NULL</t>
        </is>
      </c>
      <c r="E1183" s="0" t="inlineStr">
        <is>
          <t>NULL</t>
        </is>
      </c>
      <c r="F1183" s="0" t="inlineStr">
        <is>
          <t>NULL</t>
        </is>
      </c>
      <c r="G1183" s="0" t="inlineStr">
        <is>
          <t>NULL</t>
        </is>
      </c>
      <c r="H1183" s="0" t="inlineStr">
        <is>
          <t>NULL</t>
        </is>
      </c>
      <c r="I1183" s="0" t="inlineStr">
        <is>
          <t>NULL</t>
        </is>
      </c>
      <c r="J1183" s="0" t="inlineStr">
        <is>
          <t>NULL</t>
        </is>
      </c>
      <c r="K1183" s="0" t="inlineStr">
        <is>
          <t>YES! 	 c_nvarchar20列源备映射正确，源端为nvarchar 40位	期望更改为varchar(n)	实际备端为varchar 80位</t>
        </is>
      </c>
    </row>
    <row r="1184">
      <c r="B1184" s="0" t="inlineStr">
        <is>
          <t>NULL</t>
        </is>
      </c>
      <c r="C1184" s="0" t="inlineStr">
        <is>
          <t>NULL</t>
        </is>
      </c>
      <c r="D1184" s="0" t="inlineStr">
        <is>
          <t>NULL</t>
        </is>
      </c>
      <c r="E1184" s="0" t="inlineStr">
        <is>
          <t>NULL</t>
        </is>
      </c>
      <c r="F1184" s="0" t="inlineStr">
        <is>
          <t>NULL</t>
        </is>
      </c>
      <c r="G1184" s="0" t="inlineStr">
        <is>
          <t>NULL</t>
        </is>
      </c>
      <c r="H1184" s="0" t="inlineStr">
        <is>
          <t>NULL</t>
        </is>
      </c>
      <c r="I1184" s="0" t="inlineStr">
        <is>
          <t>NULL</t>
        </is>
      </c>
      <c r="J1184" s="0" t="inlineStr">
        <is>
          <t>NULL</t>
        </is>
      </c>
      <c r="K1184" s="0" t="inlineStr">
        <is>
          <t>YES! 	 c_nvarchar3500列源备映射正确，源端为nvarchar 7000位	期望更改为text	实际备端为text 65535位</t>
        </is>
      </c>
    </row>
    <row r="1185">
      <c r="A1185" s="0" t="inlineStr">
        <is>
          <t>info_datetime_dml_single_pk_drp</t>
        </is>
      </c>
      <c r="K1185" s="0" t="inlineStr">
        <is>
          <t>[0;34m info_datetime_dml_single_pk_drp [0m源备字段数相同，源端字段：2 	备端字段2</t>
        </is>
      </c>
      <c r="W1185" s="0" t="inlineStr">
        <is>
          <t>YES 源备无差异</t>
        </is>
      </c>
      <c r="X1185" s="0">
        <f>A1185</f>
        <v/>
      </c>
    </row>
    <row r="1186">
      <c r="B1186" s="0" t="inlineStr">
        <is>
          <t>YES</t>
        </is>
      </c>
      <c r="C1186" s="0" t="inlineStr">
        <is>
          <t>NULL</t>
        </is>
      </c>
      <c r="D1186" s="0" t="inlineStr">
        <is>
          <t>NULL</t>
        </is>
      </c>
      <c r="E1186" s="0" t="inlineStr">
        <is>
          <t>NULL</t>
        </is>
      </c>
      <c r="F1186" s="0" t="inlineStr">
        <is>
          <t>NULL</t>
        </is>
      </c>
      <c r="G1186" s="0" t="inlineStr">
        <is>
          <t>NULL</t>
        </is>
      </c>
      <c r="H1186" s="0" t="inlineStr">
        <is>
          <t>NULL</t>
        </is>
      </c>
      <c r="I1186" s="0" t="inlineStr">
        <is>
          <t>YES!PK__info_dat__3213E83F6C5AB8FE</t>
        </is>
      </c>
      <c r="J1186" s="0" t="inlineStr">
        <is>
          <t>YES! 主键相关索引</t>
        </is>
      </c>
      <c r="K1186" s="0" t="inlineStr">
        <is>
          <t>YES! 	 id列源备映射正确，源端为int None位	期望更改为int	实际备端为int None位</t>
        </is>
      </c>
    </row>
    <row r="1187">
      <c r="B1187" s="0" t="inlineStr">
        <is>
          <t>NULL</t>
        </is>
      </c>
      <c r="C1187" s="0" t="inlineStr">
        <is>
          <t>NULL</t>
        </is>
      </c>
      <c r="D1187" s="0" t="inlineStr">
        <is>
          <t>NULL</t>
        </is>
      </c>
      <c r="E1187" s="0" t="inlineStr">
        <is>
          <t>NULL</t>
        </is>
      </c>
      <c r="F1187" s="0" t="inlineStr">
        <is>
          <t>NULL</t>
        </is>
      </c>
      <c r="G1187" s="0" t="inlineStr">
        <is>
          <t>NULL</t>
        </is>
      </c>
      <c r="H1187" s="0" t="inlineStr">
        <is>
          <t>NULL</t>
        </is>
      </c>
      <c r="I1187" s="0" t="inlineStr">
        <is>
          <t>NULL</t>
        </is>
      </c>
      <c r="J1187" s="0" t="inlineStr">
        <is>
          <t>NULL</t>
        </is>
      </c>
      <c r="K1187" s="0" t="inlineStr">
        <is>
          <t>YES! 	 c_datetime列源备映射正确，源端为datetime None位	期望更改为datetime(3)	实际备端为datetime None位</t>
        </is>
      </c>
    </row>
    <row r="1188">
      <c r="A1188" s="0" t="inlineStr">
        <is>
          <t>info_date_dml_single_nopk_drp</t>
        </is>
      </c>
      <c r="K1188" s="0" t="inlineStr">
        <is>
          <t>[0;34m info_date_dml_single_nopk_drp [0m源备字段数相同，源端字段：2 	备端字段2</t>
        </is>
      </c>
      <c r="W1188" s="0" t="inlineStr">
        <is>
          <t>YES 源备无差异</t>
        </is>
      </c>
      <c r="X1188" s="0">
        <f>A1188</f>
        <v/>
      </c>
    </row>
    <row r="1189">
      <c r="B1189" s="0" t="inlineStr">
        <is>
          <t>NULL</t>
        </is>
      </c>
      <c r="C1189" s="0" t="inlineStr">
        <is>
          <t>NULL</t>
        </is>
      </c>
      <c r="D1189" s="0" t="inlineStr">
        <is>
          <t>NULL</t>
        </is>
      </c>
      <c r="E1189" s="0" t="inlineStr">
        <is>
          <t>NULL</t>
        </is>
      </c>
      <c r="F1189" s="0" t="inlineStr">
        <is>
          <t>NULL</t>
        </is>
      </c>
      <c r="G1189" s="0" t="inlineStr">
        <is>
          <t>NULL</t>
        </is>
      </c>
      <c r="H1189" s="0" t="inlineStr">
        <is>
          <t>NULL</t>
        </is>
      </c>
      <c r="I1189" s="0" t="inlineStr">
        <is>
          <t>NULL</t>
        </is>
      </c>
      <c r="J1189" s="0" t="inlineStr">
        <is>
          <t>NULL</t>
        </is>
      </c>
      <c r="K1189" s="0" t="inlineStr">
        <is>
          <t>YES! 	 id列源备映射正确，源端为int None位	期望更改为int	实际备端为int None位</t>
        </is>
      </c>
    </row>
    <row r="1190">
      <c r="B1190" s="0" t="inlineStr">
        <is>
          <t>NULL</t>
        </is>
      </c>
      <c r="C1190" s="0" t="inlineStr">
        <is>
          <t>NO!源None备NUL</t>
        </is>
      </c>
      <c r="D1190" s="0" t="inlineStr">
        <is>
          <t>NULL</t>
        </is>
      </c>
      <c r="E1190" s="0" t="inlineStr">
        <is>
          <t>NULL</t>
        </is>
      </c>
      <c r="F1190" s="0" t="inlineStr">
        <is>
          <t>NULL</t>
        </is>
      </c>
      <c r="G1190" s="0" t="inlineStr">
        <is>
          <t>NULL</t>
        </is>
      </c>
      <c r="H1190" s="0" t="inlineStr">
        <is>
          <t>NULL</t>
        </is>
      </c>
      <c r="I1190" s="0" t="inlineStr">
        <is>
          <t>NULL</t>
        </is>
      </c>
      <c r="J1190" s="0" t="inlineStr">
        <is>
          <t>NULL</t>
        </is>
      </c>
      <c r="K1190" s="0" t="inlineStr">
        <is>
          <t>YES! 	 c_date列源备映射正确，源端为date None位	期望更改为date	实际备端为date None位</t>
        </is>
      </c>
    </row>
    <row r="1191">
      <c r="A1191" s="0" t="inlineStr">
        <is>
          <t>info_varbinary_dml_single_nopk_irp</t>
        </is>
      </c>
      <c r="K1191" s="0" t="inlineStr">
        <is>
          <t>[0;34m info_varbinary_dml_single_nopk_irp [0m源备字段数相同，源端字段：4 	备端字段4</t>
        </is>
      </c>
      <c r="W1191" s="0" t="inlineStr">
        <is>
          <t>YES 源备无差异</t>
        </is>
      </c>
      <c r="X1191" s="0">
        <f>A1191</f>
        <v/>
      </c>
    </row>
    <row r="1192">
      <c r="B1192" s="0" t="inlineStr">
        <is>
          <t>NULL</t>
        </is>
      </c>
      <c r="C1192" s="0" t="inlineStr">
        <is>
          <t>NULL</t>
        </is>
      </c>
      <c r="D1192" s="0" t="inlineStr">
        <is>
          <t>NULL</t>
        </is>
      </c>
      <c r="E1192" s="0" t="inlineStr">
        <is>
          <t>NULL</t>
        </is>
      </c>
      <c r="F1192" s="0" t="inlineStr">
        <is>
          <t>NULL</t>
        </is>
      </c>
      <c r="G1192" s="0" t="inlineStr">
        <is>
          <t>NULL</t>
        </is>
      </c>
      <c r="H1192" s="0" t="inlineStr">
        <is>
          <t>NULL</t>
        </is>
      </c>
      <c r="I1192" s="0" t="inlineStr">
        <is>
          <t>NULL</t>
        </is>
      </c>
      <c r="J1192" s="0" t="inlineStr">
        <is>
          <t>NULL</t>
        </is>
      </c>
      <c r="K1192" s="0" t="inlineStr">
        <is>
          <t>YES! 	 id列源备映射正确，源端为int None位	期望更改为int	实际备端为int None位</t>
        </is>
      </c>
    </row>
    <row r="1193">
      <c r="B1193" s="0" t="inlineStr">
        <is>
          <t>NULL</t>
        </is>
      </c>
      <c r="C1193" s="0" t="inlineStr">
        <is>
          <t>NULL</t>
        </is>
      </c>
      <c r="D1193" s="0" t="inlineStr">
        <is>
          <t>NULL</t>
        </is>
      </c>
      <c r="E1193" s="0" t="inlineStr">
        <is>
          <t>NULL</t>
        </is>
      </c>
      <c r="F1193" s="0" t="inlineStr">
        <is>
          <t>NULL</t>
        </is>
      </c>
      <c r="G1193" s="0" t="inlineStr">
        <is>
          <t>NULL</t>
        </is>
      </c>
      <c r="H1193" s="0" t="inlineStr">
        <is>
          <t>NULL</t>
        </is>
      </c>
      <c r="I1193" s="0" t="inlineStr">
        <is>
          <t>NULL</t>
        </is>
      </c>
      <c r="J1193" s="0" t="inlineStr">
        <is>
          <t>NULL</t>
        </is>
      </c>
      <c r="K1193" s="0" t="inlineStr">
        <is>
          <t>YES! 	 c_varbinary列源备映射正确，源端为varbinary 1位	期望更改为varbinary(n)	实际备端为varbinary 1位</t>
        </is>
      </c>
    </row>
    <row r="1194">
      <c r="B1194" s="0" t="inlineStr">
        <is>
          <t>NULL</t>
        </is>
      </c>
      <c r="C1194" s="0" t="inlineStr">
        <is>
          <t>NULL</t>
        </is>
      </c>
      <c r="D1194" s="0" t="inlineStr">
        <is>
          <t>NULL</t>
        </is>
      </c>
      <c r="E1194" s="0" t="inlineStr">
        <is>
          <t>NULL</t>
        </is>
      </c>
      <c r="F1194" s="0" t="inlineStr">
        <is>
          <t>NULL</t>
        </is>
      </c>
      <c r="G1194" s="0" t="inlineStr">
        <is>
          <t>NULL</t>
        </is>
      </c>
      <c r="H1194" s="0" t="inlineStr">
        <is>
          <t>NULL</t>
        </is>
      </c>
      <c r="I1194" s="0" t="inlineStr">
        <is>
          <t>NULL</t>
        </is>
      </c>
      <c r="J1194" s="0" t="inlineStr">
        <is>
          <t>NULL</t>
        </is>
      </c>
      <c r="K1194" s="0" t="inlineStr">
        <is>
          <t>YES! 	 c_varbinary_100列源备映射正确，源端为varbinary 100位	期望更改为varbinary(n)	实际备端为varbinary 100位</t>
        </is>
      </c>
    </row>
    <row r="1195">
      <c r="B1195" s="0" t="inlineStr">
        <is>
          <t>NULL</t>
        </is>
      </c>
      <c r="C1195" s="0" t="inlineStr">
        <is>
          <t>NULL</t>
        </is>
      </c>
      <c r="D1195" s="0" t="inlineStr">
        <is>
          <t>NULL</t>
        </is>
      </c>
      <c r="E1195" s="0" t="inlineStr">
        <is>
          <t>NULL</t>
        </is>
      </c>
      <c r="F1195" s="0" t="inlineStr">
        <is>
          <t>NULL</t>
        </is>
      </c>
      <c r="G1195" s="0" t="inlineStr">
        <is>
          <t>NULL</t>
        </is>
      </c>
      <c r="H1195" s="0" t="inlineStr">
        <is>
          <t>NULL</t>
        </is>
      </c>
      <c r="I1195" s="0" t="inlineStr">
        <is>
          <t>NULL</t>
        </is>
      </c>
      <c r="J1195" s="0" t="inlineStr">
        <is>
          <t>NULL</t>
        </is>
      </c>
      <c r="K1195" s="0" t="inlineStr">
        <is>
          <t>YES! 	 c_varbinary_8000列源备映射正确，源端为varbinary 8000位	期望更改为longblob	实际备端为longblob 4294967295位</t>
        </is>
      </c>
    </row>
    <row r="1196">
      <c r="A1196" s="0" t="inlineStr">
        <is>
          <t>info_varbinary_dml_single_nopk_urp</t>
        </is>
      </c>
      <c r="K1196" s="0" t="inlineStr">
        <is>
          <t>[0;34m info_varbinary_dml_single_nopk_urp [0m源备字段数相同，源端字段：4 	备端字段4</t>
        </is>
      </c>
      <c r="W1196" s="0" t="inlineStr">
        <is>
          <t>YES 源备无差异</t>
        </is>
      </c>
      <c r="X1196" s="0">
        <f>A1196</f>
        <v/>
      </c>
    </row>
    <row r="1197">
      <c r="B1197" s="0" t="inlineStr">
        <is>
          <t>NULL</t>
        </is>
      </c>
      <c r="C1197" s="0" t="inlineStr">
        <is>
          <t>NULL</t>
        </is>
      </c>
      <c r="D1197" s="0" t="inlineStr">
        <is>
          <t>NULL</t>
        </is>
      </c>
      <c r="E1197" s="0" t="inlineStr">
        <is>
          <t>NULL</t>
        </is>
      </c>
      <c r="F1197" s="0" t="inlineStr">
        <is>
          <t>NULL</t>
        </is>
      </c>
      <c r="G1197" s="0" t="inlineStr">
        <is>
          <t>NULL</t>
        </is>
      </c>
      <c r="H1197" s="0" t="inlineStr">
        <is>
          <t>NULL</t>
        </is>
      </c>
      <c r="I1197" s="0" t="inlineStr">
        <is>
          <t>NULL</t>
        </is>
      </c>
      <c r="J1197" s="0" t="inlineStr">
        <is>
          <t>NULL</t>
        </is>
      </c>
      <c r="K1197" s="0" t="inlineStr">
        <is>
          <t>YES! 	 id列源备映射正确，源端为int None位	期望更改为int	实际备端为int None位</t>
        </is>
      </c>
    </row>
    <row r="1198">
      <c r="B1198" s="0" t="inlineStr">
        <is>
          <t>NULL</t>
        </is>
      </c>
      <c r="C1198" s="0" t="inlineStr">
        <is>
          <t>NULL</t>
        </is>
      </c>
      <c r="D1198" s="0" t="inlineStr">
        <is>
          <t>NULL</t>
        </is>
      </c>
      <c r="E1198" s="0" t="inlineStr">
        <is>
          <t>NULL</t>
        </is>
      </c>
      <c r="F1198" s="0" t="inlineStr">
        <is>
          <t>NULL</t>
        </is>
      </c>
      <c r="G1198" s="0" t="inlineStr">
        <is>
          <t>NULL</t>
        </is>
      </c>
      <c r="H1198" s="0" t="inlineStr">
        <is>
          <t>NULL</t>
        </is>
      </c>
      <c r="I1198" s="0" t="inlineStr">
        <is>
          <t>NULL</t>
        </is>
      </c>
      <c r="J1198" s="0" t="inlineStr">
        <is>
          <t>NULL</t>
        </is>
      </c>
      <c r="K1198" s="0" t="inlineStr">
        <is>
          <t>YES! 	 c_varbinary列源备映射正确，源端为varbinary 1位	期望更改为varbinary(n)	实际备端为varbinary 1位</t>
        </is>
      </c>
    </row>
    <row r="1199">
      <c r="B1199" s="0" t="inlineStr">
        <is>
          <t>NULL</t>
        </is>
      </c>
      <c r="C1199" s="0" t="inlineStr">
        <is>
          <t>NULL</t>
        </is>
      </c>
      <c r="D1199" s="0" t="inlineStr">
        <is>
          <t>NULL</t>
        </is>
      </c>
      <c r="E1199" s="0" t="inlineStr">
        <is>
          <t>NULL</t>
        </is>
      </c>
      <c r="F1199" s="0" t="inlineStr">
        <is>
          <t>NULL</t>
        </is>
      </c>
      <c r="G1199" s="0" t="inlineStr">
        <is>
          <t>NULL</t>
        </is>
      </c>
      <c r="H1199" s="0" t="inlineStr">
        <is>
          <t>NULL</t>
        </is>
      </c>
      <c r="I1199" s="0" t="inlineStr">
        <is>
          <t>NULL</t>
        </is>
      </c>
      <c r="J1199" s="0" t="inlineStr">
        <is>
          <t>NULL</t>
        </is>
      </c>
      <c r="K1199" s="0" t="inlineStr">
        <is>
          <t>YES! 	 c_varbinary_100列源备映射正确，源端为varbinary 100位	期望更改为varbinary(n)	实际备端为varbinary 100位</t>
        </is>
      </c>
    </row>
    <row r="1200">
      <c r="B1200" s="0" t="inlineStr">
        <is>
          <t>NULL</t>
        </is>
      </c>
      <c r="C1200" s="0" t="inlineStr">
        <is>
          <t>NULL</t>
        </is>
      </c>
      <c r="D1200" s="0" t="inlineStr">
        <is>
          <t>NULL</t>
        </is>
      </c>
      <c r="E1200" s="0" t="inlineStr">
        <is>
          <t>NULL</t>
        </is>
      </c>
      <c r="F1200" s="0" t="inlineStr">
        <is>
          <t>NULL</t>
        </is>
      </c>
      <c r="G1200" s="0" t="inlineStr">
        <is>
          <t>NULL</t>
        </is>
      </c>
      <c r="H1200" s="0" t="inlineStr">
        <is>
          <t>NULL</t>
        </is>
      </c>
      <c r="I1200" s="0" t="inlineStr">
        <is>
          <t>NULL</t>
        </is>
      </c>
      <c r="J1200" s="0" t="inlineStr">
        <is>
          <t>NULL</t>
        </is>
      </c>
      <c r="K1200" s="0" t="inlineStr">
        <is>
          <t>YES! 	 c_varbinary_8000列源备映射正确，源端为varbinary 8000位	期望更改为longblob	实际备端为longblob 4294967295位</t>
        </is>
      </c>
    </row>
    <row r="1201">
      <c r="A1201" s="0" t="inlineStr">
        <is>
          <t>info_datetimeoffset_dml_batch1_pk_irp2</t>
        </is>
      </c>
      <c r="K1201" s="0" t="inlineStr">
        <is>
          <t>[0;34m info_datetimeoffset_dml_batch1_pk_irp2 [0m源备字段数相同，源端字段：9 	备端字段9</t>
        </is>
      </c>
      <c r="W1201" s="0" t="inlineStr">
        <is>
          <t>YES 源备无差异</t>
        </is>
      </c>
      <c r="X1201" s="0">
        <f>A1201</f>
        <v/>
      </c>
    </row>
    <row r="1202">
      <c r="B1202" s="0" t="inlineStr">
        <is>
          <t>YES</t>
        </is>
      </c>
      <c r="C1202" s="0" t="inlineStr">
        <is>
          <t>NULL</t>
        </is>
      </c>
      <c r="D1202" s="0" t="inlineStr">
        <is>
          <t>NULL</t>
        </is>
      </c>
      <c r="E1202" s="0" t="inlineStr">
        <is>
          <t>NULL</t>
        </is>
      </c>
      <c r="F1202" s="0" t="inlineStr">
        <is>
          <t>NULL</t>
        </is>
      </c>
      <c r="G1202" s="0" t="inlineStr">
        <is>
          <t>NULL</t>
        </is>
      </c>
      <c r="H1202" s="0" t="inlineStr">
        <is>
          <t>NULL</t>
        </is>
      </c>
      <c r="I1202" s="0" t="inlineStr">
        <is>
          <t>YES!PK__info_dat__3213E83F631E24C3</t>
        </is>
      </c>
      <c r="J1202" s="0" t="inlineStr">
        <is>
          <t>YES! 主键相关索引</t>
        </is>
      </c>
      <c r="K1202" s="0" t="inlineStr">
        <is>
          <t>YES! 	 id列源备映射正确，源端为int None位	期望更改为int	实际备端为int None位</t>
        </is>
      </c>
    </row>
    <row r="1203">
      <c r="B1203" s="0" t="inlineStr">
        <is>
          <t>NULL</t>
        </is>
      </c>
      <c r="C1203" s="0" t="inlineStr">
        <is>
          <t>NULL</t>
        </is>
      </c>
      <c r="D1203" s="0" t="inlineStr">
        <is>
          <t>NULL</t>
        </is>
      </c>
      <c r="E1203" s="0" t="inlineStr">
        <is>
          <t>NULL</t>
        </is>
      </c>
      <c r="F1203" s="0" t="inlineStr">
        <is>
          <t>NULL</t>
        </is>
      </c>
      <c r="G1203" s="0" t="inlineStr">
        <is>
          <t>NULL</t>
        </is>
      </c>
      <c r="H1203" s="0" t="inlineStr">
        <is>
          <t>NULL</t>
        </is>
      </c>
      <c r="I1203" s="0" t="inlineStr">
        <is>
          <t>NULL</t>
        </is>
      </c>
      <c r="J1203" s="0" t="inlineStr">
        <is>
          <t>NULL</t>
        </is>
      </c>
      <c r="K1203" s="0" t="inlineStr">
        <is>
          <t>[0;32m YES! [0m 	 c_dtoffset_0列源备映射正确，源端为datetimeoffset None位	期望更改为varchar(34)	实际备端为varchar 136位	位数精度不存在，通过长度比较</t>
        </is>
      </c>
    </row>
    <row r="1204">
      <c r="B1204" s="0" t="inlineStr">
        <is>
          <t>NULL</t>
        </is>
      </c>
      <c r="C1204" s="0" t="inlineStr">
        <is>
          <t>NULL</t>
        </is>
      </c>
      <c r="D1204" s="0" t="inlineStr">
        <is>
          <t>NULL</t>
        </is>
      </c>
      <c r="E1204" s="0" t="inlineStr">
        <is>
          <t>NULL</t>
        </is>
      </c>
      <c r="F1204" s="0" t="inlineStr">
        <is>
          <t>NULL</t>
        </is>
      </c>
      <c r="G1204" s="0" t="inlineStr">
        <is>
          <t>NULL</t>
        </is>
      </c>
      <c r="H1204" s="0" t="inlineStr">
        <is>
          <t>NULL</t>
        </is>
      </c>
      <c r="I1204" s="0" t="inlineStr">
        <is>
          <t>NULL</t>
        </is>
      </c>
      <c r="J1204" s="0" t="inlineStr">
        <is>
          <t>NULL</t>
        </is>
      </c>
      <c r="K1204" s="0" t="inlineStr">
        <is>
          <t>[0;32m YES! [0m 	 c_dtoffset_1列源备映射正确，源端为datetimeoffset None位	期望更改为varchar(34)	实际备端为varchar 136位	位数精度不存在，通过长度比较</t>
        </is>
      </c>
    </row>
    <row r="1205">
      <c r="B1205" s="0" t="inlineStr">
        <is>
          <t>NULL</t>
        </is>
      </c>
      <c r="C1205" s="0" t="inlineStr">
        <is>
          <t>NULL</t>
        </is>
      </c>
      <c r="D1205" s="0" t="inlineStr">
        <is>
          <t>NULL</t>
        </is>
      </c>
      <c r="E1205" s="0" t="inlineStr">
        <is>
          <t>NULL</t>
        </is>
      </c>
      <c r="F1205" s="0" t="inlineStr">
        <is>
          <t>NULL</t>
        </is>
      </c>
      <c r="G1205" s="0" t="inlineStr">
        <is>
          <t>NULL</t>
        </is>
      </c>
      <c r="H1205" s="0" t="inlineStr">
        <is>
          <t>NULL</t>
        </is>
      </c>
      <c r="I1205" s="0" t="inlineStr">
        <is>
          <t>NULL</t>
        </is>
      </c>
      <c r="J1205" s="0" t="inlineStr">
        <is>
          <t>NULL</t>
        </is>
      </c>
      <c r="K1205" s="0" t="inlineStr">
        <is>
          <t>[0;32m YES! [0m 	 c_dtoffset_2列源备映射正确，源端为datetimeoffset None位	期望更改为varchar(34)	实际备端为varchar 136位	位数精度不存在，通过长度比较</t>
        </is>
      </c>
    </row>
    <row r="1206">
      <c r="B1206" s="0" t="inlineStr">
        <is>
          <t>NULL</t>
        </is>
      </c>
      <c r="C1206" s="0" t="inlineStr">
        <is>
          <t>NULL</t>
        </is>
      </c>
      <c r="D1206" s="0" t="inlineStr">
        <is>
          <t>NULL</t>
        </is>
      </c>
      <c r="E1206" s="0" t="inlineStr">
        <is>
          <t>NULL</t>
        </is>
      </c>
      <c r="F1206" s="0" t="inlineStr">
        <is>
          <t>NULL</t>
        </is>
      </c>
      <c r="G1206" s="0" t="inlineStr">
        <is>
          <t>NULL</t>
        </is>
      </c>
      <c r="H1206" s="0" t="inlineStr">
        <is>
          <t>NULL</t>
        </is>
      </c>
      <c r="I1206" s="0" t="inlineStr">
        <is>
          <t>NULL</t>
        </is>
      </c>
      <c r="J1206" s="0" t="inlineStr">
        <is>
          <t>NULL</t>
        </is>
      </c>
      <c r="K1206" s="0" t="inlineStr">
        <is>
          <t>[0;32m YES! [0m 	 c_dtoffset_3列源备映射正确，源端为datetimeoffset None位	期望更改为varchar(34)	实际备端为varchar 136位	位数精度不存在，通过长度比较</t>
        </is>
      </c>
    </row>
    <row r="1207">
      <c r="B1207" s="0" t="inlineStr">
        <is>
          <t>NULL</t>
        </is>
      </c>
      <c r="C1207" s="0" t="inlineStr">
        <is>
          <t>NULL</t>
        </is>
      </c>
      <c r="D1207" s="0" t="inlineStr">
        <is>
          <t>NULL</t>
        </is>
      </c>
      <c r="E1207" s="0" t="inlineStr">
        <is>
          <t>NULL</t>
        </is>
      </c>
      <c r="F1207" s="0" t="inlineStr">
        <is>
          <t>NULL</t>
        </is>
      </c>
      <c r="G1207" s="0" t="inlineStr">
        <is>
          <t>NULL</t>
        </is>
      </c>
      <c r="H1207" s="0" t="inlineStr">
        <is>
          <t>NULL</t>
        </is>
      </c>
      <c r="I1207" s="0" t="inlineStr">
        <is>
          <t>NULL</t>
        </is>
      </c>
      <c r="J1207" s="0" t="inlineStr">
        <is>
          <t>NULL</t>
        </is>
      </c>
      <c r="K1207" s="0" t="inlineStr">
        <is>
          <t>[0;32m YES! [0m 	 c_dtoffset_4列源备映射正确，源端为datetimeoffset None位	期望更改为varchar(34)	实际备端为varchar 136位	位数精度不存在，通过长度比较</t>
        </is>
      </c>
    </row>
    <row r="1208">
      <c r="B1208" s="0" t="inlineStr">
        <is>
          <t>NULL</t>
        </is>
      </c>
      <c r="C1208" s="0" t="inlineStr">
        <is>
          <t>NULL</t>
        </is>
      </c>
      <c r="D1208" s="0" t="inlineStr">
        <is>
          <t>NULL</t>
        </is>
      </c>
      <c r="E1208" s="0" t="inlineStr">
        <is>
          <t>NULL</t>
        </is>
      </c>
      <c r="F1208" s="0" t="inlineStr">
        <is>
          <t>NULL</t>
        </is>
      </c>
      <c r="G1208" s="0" t="inlineStr">
        <is>
          <t>NULL</t>
        </is>
      </c>
      <c r="H1208" s="0" t="inlineStr">
        <is>
          <t>NULL</t>
        </is>
      </c>
      <c r="I1208" s="0" t="inlineStr">
        <is>
          <t>NULL</t>
        </is>
      </c>
      <c r="J1208" s="0" t="inlineStr">
        <is>
          <t>NULL</t>
        </is>
      </c>
      <c r="K1208" s="0" t="inlineStr">
        <is>
          <t>[0;32m YES! [0m 	 c_dtoffset_5列源备映射正确，源端为datetimeoffset None位	期望更改为varchar(34)	实际备端为varchar 136位	位数精度不存在，通过长度比较</t>
        </is>
      </c>
    </row>
    <row r="1209">
      <c r="B1209" s="0" t="inlineStr">
        <is>
          <t>NULL</t>
        </is>
      </c>
      <c r="C1209" s="0" t="inlineStr">
        <is>
          <t>NULL</t>
        </is>
      </c>
      <c r="D1209" s="0" t="inlineStr">
        <is>
          <t>NULL</t>
        </is>
      </c>
      <c r="E1209" s="0" t="inlineStr">
        <is>
          <t>NULL</t>
        </is>
      </c>
      <c r="F1209" s="0" t="inlineStr">
        <is>
          <t>NULL</t>
        </is>
      </c>
      <c r="G1209" s="0" t="inlineStr">
        <is>
          <t>NULL</t>
        </is>
      </c>
      <c r="H1209" s="0" t="inlineStr">
        <is>
          <t>NULL</t>
        </is>
      </c>
      <c r="I1209" s="0" t="inlineStr">
        <is>
          <t>NULL</t>
        </is>
      </c>
      <c r="J1209" s="0" t="inlineStr">
        <is>
          <t>NULL</t>
        </is>
      </c>
      <c r="K1209" s="0" t="inlineStr">
        <is>
          <t>[0;32m YES! [0m 	 c_dtoffset_6列源备映射正确，源端为datetimeoffset None位	期望更改为varchar(34)	实际备端为varchar 136位	位数精度不存在，通过长度比较</t>
        </is>
      </c>
    </row>
    <row r="1210">
      <c r="B1210" s="0" t="inlineStr">
        <is>
          <t>NULL</t>
        </is>
      </c>
      <c r="C1210" s="0" t="inlineStr">
        <is>
          <t>NULL</t>
        </is>
      </c>
      <c r="D1210" s="0" t="inlineStr">
        <is>
          <t>NULL</t>
        </is>
      </c>
      <c r="E1210" s="0" t="inlineStr">
        <is>
          <t>NULL</t>
        </is>
      </c>
      <c r="F1210" s="0" t="inlineStr">
        <is>
          <t>NULL</t>
        </is>
      </c>
      <c r="G1210" s="0" t="inlineStr">
        <is>
          <t>NULL</t>
        </is>
      </c>
      <c r="H1210" s="0" t="inlineStr">
        <is>
          <t>NULL</t>
        </is>
      </c>
      <c r="I1210" s="0" t="inlineStr">
        <is>
          <t>NULL</t>
        </is>
      </c>
      <c r="J1210" s="0" t="inlineStr">
        <is>
          <t>NULL</t>
        </is>
      </c>
      <c r="K1210" s="0" t="inlineStr">
        <is>
          <t>[0;32m YES! [0m 	 c_dtoffset列源备映射正确，源端为datetimeoffset None位	期望更改为varchar(34)	实际备端为varchar 136位	位数精度不存在，通过长度比较</t>
        </is>
      </c>
    </row>
    <row r="1211">
      <c r="A1211" s="0" t="inlineStr">
        <is>
          <t>info_date_dml_single_nopk</t>
        </is>
      </c>
      <c r="K1211" s="0" t="inlineStr">
        <is>
          <t>[0;34m info_date_dml_single_nopk [0m源备字段数相同，源端字段：2 	备端字段2</t>
        </is>
      </c>
      <c r="W1211" s="0" t="inlineStr">
        <is>
          <t>YES 源备无差异</t>
        </is>
      </c>
      <c r="X1211" s="0">
        <f>A1211</f>
        <v/>
      </c>
    </row>
    <row r="1212">
      <c r="B1212" s="0" t="inlineStr">
        <is>
          <t>NULL</t>
        </is>
      </c>
      <c r="C1212" s="0" t="inlineStr">
        <is>
          <t>NULL</t>
        </is>
      </c>
      <c r="D1212" s="0" t="inlineStr">
        <is>
          <t>NULL</t>
        </is>
      </c>
      <c r="E1212" s="0" t="inlineStr">
        <is>
          <t>NULL</t>
        </is>
      </c>
      <c r="F1212" s="0" t="inlineStr">
        <is>
          <t>NULL</t>
        </is>
      </c>
      <c r="G1212" s="0" t="inlineStr">
        <is>
          <t>NULL</t>
        </is>
      </c>
      <c r="H1212" s="0" t="inlineStr">
        <is>
          <t>NULL</t>
        </is>
      </c>
      <c r="I1212" s="0" t="inlineStr">
        <is>
          <t>NULL</t>
        </is>
      </c>
      <c r="J1212" s="0" t="inlineStr">
        <is>
          <t>NULL</t>
        </is>
      </c>
      <c r="K1212" s="0" t="inlineStr">
        <is>
          <t>YES! 	 id列源备映射正确，源端为int None位	期望更改为int	实际备端为int None位</t>
        </is>
      </c>
    </row>
    <row r="1213">
      <c r="B1213" s="0" t="inlineStr">
        <is>
          <t>NULL</t>
        </is>
      </c>
      <c r="C1213" s="0" t="inlineStr">
        <is>
          <t>NO!源None备NUL</t>
        </is>
      </c>
      <c r="D1213" s="0" t="inlineStr">
        <is>
          <t>NULL</t>
        </is>
      </c>
      <c r="E1213" s="0" t="inlineStr">
        <is>
          <t>NULL</t>
        </is>
      </c>
      <c r="F1213" s="0" t="inlineStr">
        <is>
          <t>NULL</t>
        </is>
      </c>
      <c r="G1213" s="0" t="inlineStr">
        <is>
          <t>NULL</t>
        </is>
      </c>
      <c r="H1213" s="0" t="inlineStr">
        <is>
          <t>NULL</t>
        </is>
      </c>
      <c r="I1213" s="0" t="inlineStr">
        <is>
          <t>NULL</t>
        </is>
      </c>
      <c r="J1213" s="0" t="inlineStr">
        <is>
          <t>NULL</t>
        </is>
      </c>
      <c r="K1213" s="0" t="inlineStr">
        <is>
          <t>YES! 	 c_date列源备映射正确，源端为date None位	期望更改为date	实际备端为date None位</t>
        </is>
      </c>
    </row>
    <row r="1214">
      <c r="A1214" s="0" t="inlineStr">
        <is>
          <t>info_nvarchar_dml_batch1_pk_drp1</t>
        </is>
      </c>
      <c r="K1214" s="0" t="inlineStr">
        <is>
          <t>[0;34m info_nvarchar_dml_batch1_pk_drp1 [0m源备字段数相同，源端字段：4 	备端字段4</t>
        </is>
      </c>
      <c r="W1214" s="0" t="inlineStr">
        <is>
          <t>YES 源备无差异</t>
        </is>
      </c>
      <c r="X1214" s="0">
        <f>A1214</f>
        <v/>
      </c>
    </row>
    <row r="1215">
      <c r="B1215" s="0" t="inlineStr">
        <is>
          <t>YES</t>
        </is>
      </c>
      <c r="C1215" s="0" t="inlineStr">
        <is>
          <t>NULL</t>
        </is>
      </c>
      <c r="D1215" s="0" t="inlineStr">
        <is>
          <t>NULL</t>
        </is>
      </c>
      <c r="E1215" s="0" t="inlineStr">
        <is>
          <t>NULL</t>
        </is>
      </c>
      <c r="F1215" s="0" t="inlineStr">
        <is>
          <t>NULL</t>
        </is>
      </c>
      <c r="G1215" s="0" t="inlineStr">
        <is>
          <t>NULL</t>
        </is>
      </c>
      <c r="H1215" s="0" t="inlineStr">
        <is>
          <t>NULL</t>
        </is>
      </c>
      <c r="I1215" s="0" t="inlineStr">
        <is>
          <t>YES!PK__info_nva__3213E83F3B807937</t>
        </is>
      </c>
      <c r="J1215" s="0" t="inlineStr">
        <is>
          <t>YES! 主键相关索引</t>
        </is>
      </c>
      <c r="K1215" s="0" t="inlineStr">
        <is>
          <t>YES! 	 id列源备映射正确，源端为int None位	期望更改为int	实际备端为int None位</t>
        </is>
      </c>
    </row>
    <row r="1216">
      <c r="B1216" s="0" t="inlineStr">
        <is>
          <t>NULL</t>
        </is>
      </c>
      <c r="C1216" s="0" t="inlineStr">
        <is>
          <t>NULL</t>
        </is>
      </c>
      <c r="D1216" s="0" t="inlineStr">
        <is>
          <t>NULL</t>
        </is>
      </c>
      <c r="E1216" s="0" t="inlineStr">
        <is>
          <t>NULL</t>
        </is>
      </c>
      <c r="F1216" s="0" t="inlineStr">
        <is>
          <t>NULL</t>
        </is>
      </c>
      <c r="G1216" s="0" t="inlineStr">
        <is>
          <t>NULL</t>
        </is>
      </c>
      <c r="H1216" s="0" t="inlineStr">
        <is>
          <t>NULL</t>
        </is>
      </c>
      <c r="I1216" s="0" t="inlineStr">
        <is>
          <t>NULL</t>
        </is>
      </c>
      <c r="J1216" s="0" t="inlineStr">
        <is>
          <t>NULL</t>
        </is>
      </c>
      <c r="K1216" s="0" t="inlineStr">
        <is>
          <t>YES! 	 c_nvarchar列源备映射正确，源端为nvarchar 2位	期望更改为varchar(n)	实际备端为varchar 4位</t>
        </is>
      </c>
    </row>
    <row r="1217">
      <c r="B1217" s="0" t="inlineStr">
        <is>
          <t>NULL</t>
        </is>
      </c>
      <c r="C1217" s="0" t="inlineStr">
        <is>
          <t>NULL</t>
        </is>
      </c>
      <c r="D1217" s="0" t="inlineStr">
        <is>
          <t>NULL</t>
        </is>
      </c>
      <c r="E1217" s="0" t="inlineStr">
        <is>
          <t>NULL</t>
        </is>
      </c>
      <c r="F1217" s="0" t="inlineStr">
        <is>
          <t>NULL</t>
        </is>
      </c>
      <c r="G1217" s="0" t="inlineStr">
        <is>
          <t>NULL</t>
        </is>
      </c>
      <c r="H1217" s="0" t="inlineStr">
        <is>
          <t>NULL</t>
        </is>
      </c>
      <c r="I1217" s="0" t="inlineStr">
        <is>
          <t>NULL</t>
        </is>
      </c>
      <c r="J1217" s="0" t="inlineStr">
        <is>
          <t>NULL</t>
        </is>
      </c>
      <c r="K1217" s="0" t="inlineStr">
        <is>
          <t>YES! 	 c_nvarchar20列源备映射正确，源端为nvarchar 40位	期望更改为varchar(n)	实际备端为varchar 80位</t>
        </is>
      </c>
    </row>
    <row r="1218">
      <c r="B1218" s="0" t="inlineStr">
        <is>
          <t>NULL</t>
        </is>
      </c>
      <c r="C1218" s="0" t="inlineStr">
        <is>
          <t>NULL</t>
        </is>
      </c>
      <c r="D1218" s="0" t="inlineStr">
        <is>
          <t>NULL</t>
        </is>
      </c>
      <c r="E1218" s="0" t="inlineStr">
        <is>
          <t>NULL</t>
        </is>
      </c>
      <c r="F1218" s="0" t="inlineStr">
        <is>
          <t>NULL</t>
        </is>
      </c>
      <c r="G1218" s="0" t="inlineStr">
        <is>
          <t>NULL</t>
        </is>
      </c>
      <c r="H1218" s="0" t="inlineStr">
        <is>
          <t>NULL</t>
        </is>
      </c>
      <c r="I1218" s="0" t="inlineStr">
        <is>
          <t>NULL</t>
        </is>
      </c>
      <c r="J1218" s="0" t="inlineStr">
        <is>
          <t>NULL</t>
        </is>
      </c>
      <c r="K1218" s="0" t="inlineStr">
        <is>
          <t>YES! 	 c_nvarchar3500列源备映射正确，源端为nvarchar 7000位	期望更改为text	实际备端为text 65535位</t>
        </is>
      </c>
    </row>
    <row r="1219">
      <c r="K1219" s="0" t="inlineStr">
        <is>
          <t>~ 空表</t>
        </is>
      </c>
    </row>
    <row r="1220">
      <c r="A1220" s="0" t="inlineStr">
        <is>
          <t>info_datetime_dml_single_pk</t>
        </is>
      </c>
      <c r="K1220" s="0" t="inlineStr">
        <is>
          <t>[0;34m info_datetime_dml_single_pk [0m源备字段数相同，源端字段：2 	备端字段2</t>
        </is>
      </c>
      <c r="W1220" s="0" t="inlineStr">
        <is>
          <t>YES 源备无差异</t>
        </is>
      </c>
      <c r="X1220" s="0">
        <f>A1220</f>
        <v/>
      </c>
    </row>
    <row r="1221">
      <c r="B1221" s="0" t="inlineStr">
        <is>
          <t>YES</t>
        </is>
      </c>
      <c r="C1221" s="0" t="inlineStr">
        <is>
          <t>NULL</t>
        </is>
      </c>
      <c r="D1221" s="0" t="inlineStr">
        <is>
          <t>NULL</t>
        </is>
      </c>
      <c r="E1221" s="0" t="inlineStr">
        <is>
          <t>NULL</t>
        </is>
      </c>
      <c r="F1221" s="0" t="inlineStr">
        <is>
          <t>NULL</t>
        </is>
      </c>
      <c r="G1221" s="0" t="inlineStr">
        <is>
          <t>NULL</t>
        </is>
      </c>
      <c r="H1221" s="0" t="inlineStr">
        <is>
          <t>NULL</t>
        </is>
      </c>
      <c r="I1221" s="0" t="inlineStr">
        <is>
          <t>YES!PK__info_dat__3213E83FFC8EEB2A</t>
        </is>
      </c>
      <c r="J1221" s="0" t="inlineStr">
        <is>
          <t>YES! 主键相关索引</t>
        </is>
      </c>
      <c r="K1221" s="0" t="inlineStr">
        <is>
          <t>YES! 	 id列源备映射正确，源端为int None位	期望更改为int	实际备端为int None位</t>
        </is>
      </c>
    </row>
    <row r="1222">
      <c r="B1222" s="0" t="inlineStr">
        <is>
          <t>NULL</t>
        </is>
      </c>
      <c r="C1222" s="0" t="inlineStr">
        <is>
          <t>NULL</t>
        </is>
      </c>
      <c r="D1222" s="0" t="inlineStr">
        <is>
          <t>NULL</t>
        </is>
      </c>
      <c r="E1222" s="0" t="inlineStr">
        <is>
          <t>NULL</t>
        </is>
      </c>
      <c r="F1222" s="0" t="inlineStr">
        <is>
          <t>NULL</t>
        </is>
      </c>
      <c r="G1222" s="0" t="inlineStr">
        <is>
          <t>NULL</t>
        </is>
      </c>
      <c r="H1222" s="0" t="inlineStr">
        <is>
          <t>NULL</t>
        </is>
      </c>
      <c r="I1222" s="0" t="inlineStr">
        <is>
          <t>NULL</t>
        </is>
      </c>
      <c r="J1222" s="0" t="inlineStr">
        <is>
          <t>NULL</t>
        </is>
      </c>
      <c r="K1222" s="0" t="inlineStr">
        <is>
          <t>YES! 	 c_datetime列源备映射正确，源端为datetime None位	期望更改为datetime(3)	实际备端为datetime None位</t>
        </is>
      </c>
    </row>
    <row r="1223">
      <c r="A1223" s="0" t="inlineStr">
        <is>
          <t>info_varbinary_dml_single_nopk_drp</t>
        </is>
      </c>
      <c r="K1223" s="0" t="inlineStr">
        <is>
          <t>[0;34m info_varbinary_dml_single_nopk_drp [0m源备字段数相同，源端字段：4 	备端字段4</t>
        </is>
      </c>
      <c r="W1223" s="0" t="inlineStr">
        <is>
          <t>YES 源备无差异</t>
        </is>
      </c>
      <c r="X1223" s="0">
        <f>A1223</f>
        <v/>
      </c>
    </row>
    <row r="1224">
      <c r="B1224" s="0" t="inlineStr">
        <is>
          <t>NULL</t>
        </is>
      </c>
      <c r="C1224" s="0" t="inlineStr">
        <is>
          <t>NULL</t>
        </is>
      </c>
      <c r="D1224" s="0" t="inlineStr">
        <is>
          <t>NULL</t>
        </is>
      </c>
      <c r="E1224" s="0" t="inlineStr">
        <is>
          <t>NULL</t>
        </is>
      </c>
      <c r="F1224" s="0" t="inlineStr">
        <is>
          <t>NULL</t>
        </is>
      </c>
      <c r="G1224" s="0" t="inlineStr">
        <is>
          <t>NULL</t>
        </is>
      </c>
      <c r="H1224" s="0" t="inlineStr">
        <is>
          <t>NULL</t>
        </is>
      </c>
      <c r="I1224" s="0" t="inlineStr">
        <is>
          <t>NULL</t>
        </is>
      </c>
      <c r="J1224" s="0" t="inlineStr">
        <is>
          <t>NULL</t>
        </is>
      </c>
      <c r="K1224" s="0" t="inlineStr">
        <is>
          <t>YES! 	 id列源备映射正确，源端为int None位	期望更改为int	实际备端为int None位</t>
        </is>
      </c>
    </row>
    <row r="1225">
      <c r="B1225" s="0" t="inlineStr">
        <is>
          <t>NULL</t>
        </is>
      </c>
      <c r="C1225" s="0" t="inlineStr">
        <is>
          <t>NULL</t>
        </is>
      </c>
      <c r="D1225" s="0" t="inlineStr">
        <is>
          <t>NULL</t>
        </is>
      </c>
      <c r="E1225" s="0" t="inlineStr">
        <is>
          <t>NULL</t>
        </is>
      </c>
      <c r="F1225" s="0" t="inlineStr">
        <is>
          <t>NULL</t>
        </is>
      </c>
      <c r="G1225" s="0" t="inlineStr">
        <is>
          <t>NULL</t>
        </is>
      </c>
      <c r="H1225" s="0" t="inlineStr">
        <is>
          <t>NULL</t>
        </is>
      </c>
      <c r="I1225" s="0" t="inlineStr">
        <is>
          <t>NULL</t>
        </is>
      </c>
      <c r="J1225" s="0" t="inlineStr">
        <is>
          <t>NULL</t>
        </is>
      </c>
      <c r="K1225" s="0" t="inlineStr">
        <is>
          <t>YES! 	 c_varbinary列源备映射正确，源端为varbinary 1位	期望更改为varbinary(n)	实际备端为varbinary 1位</t>
        </is>
      </c>
    </row>
    <row r="1226">
      <c r="B1226" s="0" t="inlineStr">
        <is>
          <t>NULL</t>
        </is>
      </c>
      <c r="C1226" s="0" t="inlineStr">
        <is>
          <t>NULL</t>
        </is>
      </c>
      <c r="D1226" s="0" t="inlineStr">
        <is>
          <t>NULL</t>
        </is>
      </c>
      <c r="E1226" s="0" t="inlineStr">
        <is>
          <t>NULL</t>
        </is>
      </c>
      <c r="F1226" s="0" t="inlineStr">
        <is>
          <t>NULL</t>
        </is>
      </c>
      <c r="G1226" s="0" t="inlineStr">
        <is>
          <t>NULL</t>
        </is>
      </c>
      <c r="H1226" s="0" t="inlineStr">
        <is>
          <t>NULL</t>
        </is>
      </c>
      <c r="I1226" s="0" t="inlineStr">
        <is>
          <t>NULL</t>
        </is>
      </c>
      <c r="J1226" s="0" t="inlineStr">
        <is>
          <t>NULL</t>
        </is>
      </c>
      <c r="K1226" s="0" t="inlineStr">
        <is>
          <t>YES! 	 c_varbinary_100列源备映射正确，源端为varbinary 100位	期望更改为varbinary(n)	实际备端为varbinary 100位</t>
        </is>
      </c>
    </row>
    <row r="1227">
      <c r="B1227" s="0" t="inlineStr">
        <is>
          <t>NULL</t>
        </is>
      </c>
      <c r="C1227" s="0" t="inlineStr">
        <is>
          <t>NULL</t>
        </is>
      </c>
      <c r="D1227" s="0" t="inlineStr">
        <is>
          <t>NULL</t>
        </is>
      </c>
      <c r="E1227" s="0" t="inlineStr">
        <is>
          <t>NULL</t>
        </is>
      </c>
      <c r="F1227" s="0" t="inlineStr">
        <is>
          <t>NULL</t>
        </is>
      </c>
      <c r="G1227" s="0" t="inlineStr">
        <is>
          <t>NULL</t>
        </is>
      </c>
      <c r="H1227" s="0" t="inlineStr">
        <is>
          <t>NULL</t>
        </is>
      </c>
      <c r="I1227" s="0" t="inlineStr">
        <is>
          <t>NULL</t>
        </is>
      </c>
      <c r="J1227" s="0" t="inlineStr">
        <is>
          <t>NULL</t>
        </is>
      </c>
      <c r="K1227" s="0" t="inlineStr">
        <is>
          <t>YES! 	 c_varbinary_8000列源备映射正确，源端为varbinary 8000位	期望更改为longblob	实际备端为longblob 4294967295位</t>
        </is>
      </c>
    </row>
    <row r="1228">
      <c r="A1228" s="0" t="inlineStr">
        <is>
          <t>info_time_dml_single_nopk_irp</t>
        </is>
      </c>
      <c r="K1228" s="0" t="inlineStr">
        <is>
          <t>[0;34m info_time_dml_single_nopk_irp [0m源备字段数相同，源端字段：9 	备端字段9</t>
        </is>
      </c>
      <c r="W1228" s="0" t="inlineStr">
        <is>
          <t>YES 源备无差异</t>
        </is>
      </c>
      <c r="X1228" s="0">
        <f>A1228</f>
        <v/>
      </c>
    </row>
    <row r="1229">
      <c r="B1229" s="0" t="inlineStr">
        <is>
          <t>NULL</t>
        </is>
      </c>
      <c r="C1229" s="0" t="inlineStr">
        <is>
          <t>NULL</t>
        </is>
      </c>
      <c r="D1229" s="0" t="inlineStr">
        <is>
          <t>NULL</t>
        </is>
      </c>
      <c r="E1229" s="0" t="inlineStr">
        <is>
          <t>NULL</t>
        </is>
      </c>
      <c r="F1229" s="0" t="inlineStr">
        <is>
          <t>NULL</t>
        </is>
      </c>
      <c r="G1229" s="0" t="inlineStr">
        <is>
          <t>NULL</t>
        </is>
      </c>
      <c r="H1229" s="0" t="inlineStr">
        <is>
          <t>NULL</t>
        </is>
      </c>
      <c r="I1229" s="0" t="inlineStr">
        <is>
          <t>NULL</t>
        </is>
      </c>
      <c r="J1229" s="0" t="inlineStr">
        <is>
          <t>NULL</t>
        </is>
      </c>
      <c r="K1229" s="0" t="inlineStr">
        <is>
          <t>YES! 	 id列源备映射正确，源端为int None位	期望更改为int	实际备端为int None位</t>
        </is>
      </c>
    </row>
    <row r="1230">
      <c r="B1230" s="0" t="inlineStr">
        <is>
          <t>NULL</t>
        </is>
      </c>
      <c r="C1230" s="0" t="inlineStr">
        <is>
          <t>NULL</t>
        </is>
      </c>
      <c r="D1230" s="0" t="inlineStr">
        <is>
          <t>NULL</t>
        </is>
      </c>
      <c r="E1230" s="0" t="inlineStr">
        <is>
          <t>NULL</t>
        </is>
      </c>
      <c r="F1230" s="0" t="inlineStr">
        <is>
          <t>NULL</t>
        </is>
      </c>
      <c r="G1230" s="0" t="inlineStr">
        <is>
          <t>NULL</t>
        </is>
      </c>
      <c r="H1230" s="0" t="inlineStr">
        <is>
          <t>NULL</t>
        </is>
      </c>
      <c r="I1230" s="0" t="inlineStr">
        <is>
          <t>NULL</t>
        </is>
      </c>
      <c r="J1230" s="0" t="inlineStr">
        <is>
          <t>NULL</t>
        </is>
      </c>
      <c r="K1230" s="0" t="inlineStr">
        <is>
          <t>[0;32m YES! [0m 	 c_time0列源备映射正确，源端为time None位	期望更改为varchar(20)	实际备端为varchar 80位	位数精度不存在，通过长度比较</t>
        </is>
      </c>
    </row>
    <row r="1231">
      <c r="B1231" s="0" t="inlineStr">
        <is>
          <t>NULL</t>
        </is>
      </c>
      <c r="C1231" s="0" t="inlineStr">
        <is>
          <t>NULL</t>
        </is>
      </c>
      <c r="D1231" s="0" t="inlineStr">
        <is>
          <t>NULL</t>
        </is>
      </c>
      <c r="E1231" s="0" t="inlineStr">
        <is>
          <t>NULL</t>
        </is>
      </c>
      <c r="F1231" s="0" t="inlineStr">
        <is>
          <t>NULL</t>
        </is>
      </c>
      <c r="G1231" s="0" t="inlineStr">
        <is>
          <t>NULL</t>
        </is>
      </c>
      <c r="H1231" s="0" t="inlineStr">
        <is>
          <t>NULL</t>
        </is>
      </c>
      <c r="I1231" s="0" t="inlineStr">
        <is>
          <t>NULL</t>
        </is>
      </c>
      <c r="J1231" s="0" t="inlineStr">
        <is>
          <t>NULL</t>
        </is>
      </c>
      <c r="K1231" s="0" t="inlineStr">
        <is>
          <t>[0;32m YES! [0m 	 c_time1列源备映射正确，源端为time None位	期望更改为varchar(20)	实际备端为varchar 80位	位数精度不存在，通过长度比较</t>
        </is>
      </c>
    </row>
    <row r="1232">
      <c r="B1232" s="0" t="inlineStr">
        <is>
          <t>NULL</t>
        </is>
      </c>
      <c r="C1232" s="0" t="inlineStr">
        <is>
          <t>NULL</t>
        </is>
      </c>
      <c r="D1232" s="0" t="inlineStr">
        <is>
          <t>NULL</t>
        </is>
      </c>
      <c r="E1232" s="0" t="inlineStr">
        <is>
          <t>NULL</t>
        </is>
      </c>
      <c r="F1232" s="0" t="inlineStr">
        <is>
          <t>NULL</t>
        </is>
      </c>
      <c r="G1232" s="0" t="inlineStr">
        <is>
          <t>NULL</t>
        </is>
      </c>
      <c r="H1232" s="0" t="inlineStr">
        <is>
          <t>NULL</t>
        </is>
      </c>
      <c r="I1232" s="0" t="inlineStr">
        <is>
          <t>NULL</t>
        </is>
      </c>
      <c r="J1232" s="0" t="inlineStr">
        <is>
          <t>NULL</t>
        </is>
      </c>
      <c r="K1232" s="0" t="inlineStr">
        <is>
          <t>[0;32m YES! [0m 	 c_time2列源备映射正确，源端为time None位	期望更改为varchar(20)	实际备端为varchar 80位	位数精度不存在，通过长度比较</t>
        </is>
      </c>
    </row>
    <row r="1233">
      <c r="B1233" s="0" t="inlineStr">
        <is>
          <t>NULL</t>
        </is>
      </c>
      <c r="C1233" s="0" t="inlineStr">
        <is>
          <t>NULL</t>
        </is>
      </c>
      <c r="D1233" s="0" t="inlineStr">
        <is>
          <t>NULL</t>
        </is>
      </c>
      <c r="E1233" s="0" t="inlineStr">
        <is>
          <t>NULL</t>
        </is>
      </c>
      <c r="F1233" s="0" t="inlineStr">
        <is>
          <t>NULL</t>
        </is>
      </c>
      <c r="G1233" s="0" t="inlineStr">
        <is>
          <t>NULL</t>
        </is>
      </c>
      <c r="H1233" s="0" t="inlineStr">
        <is>
          <t>NULL</t>
        </is>
      </c>
      <c r="I1233" s="0" t="inlineStr">
        <is>
          <t>NULL</t>
        </is>
      </c>
      <c r="J1233" s="0" t="inlineStr">
        <is>
          <t>NULL</t>
        </is>
      </c>
      <c r="K1233" s="0" t="inlineStr">
        <is>
          <t>[0;32m YES! [0m 	 c_time3列源备映射正确，源端为time None位	期望更改为varchar(20)	实际备端为varchar 80位	位数精度不存在，通过长度比较</t>
        </is>
      </c>
    </row>
    <row r="1234">
      <c r="B1234" s="0" t="inlineStr">
        <is>
          <t>NULL</t>
        </is>
      </c>
      <c r="C1234" s="0" t="inlineStr">
        <is>
          <t>NULL</t>
        </is>
      </c>
      <c r="D1234" s="0" t="inlineStr">
        <is>
          <t>NULL</t>
        </is>
      </c>
      <c r="E1234" s="0" t="inlineStr">
        <is>
          <t>NULL</t>
        </is>
      </c>
      <c r="F1234" s="0" t="inlineStr">
        <is>
          <t>NULL</t>
        </is>
      </c>
      <c r="G1234" s="0" t="inlineStr">
        <is>
          <t>NULL</t>
        </is>
      </c>
      <c r="H1234" s="0" t="inlineStr">
        <is>
          <t>NULL</t>
        </is>
      </c>
      <c r="I1234" s="0" t="inlineStr">
        <is>
          <t>NULL</t>
        </is>
      </c>
      <c r="J1234" s="0" t="inlineStr">
        <is>
          <t>NULL</t>
        </is>
      </c>
      <c r="K1234" s="0" t="inlineStr">
        <is>
          <t>[0;32m YES! [0m 	 c_time4列源备映射正确，源端为time None位	期望更改为varchar(20)	实际备端为varchar 80位	位数精度不存在，通过长度比较</t>
        </is>
      </c>
    </row>
    <row r="1235">
      <c r="B1235" s="0" t="inlineStr">
        <is>
          <t>NULL</t>
        </is>
      </c>
      <c r="C1235" s="0" t="inlineStr">
        <is>
          <t>NULL</t>
        </is>
      </c>
      <c r="D1235" s="0" t="inlineStr">
        <is>
          <t>NULL</t>
        </is>
      </c>
      <c r="E1235" s="0" t="inlineStr">
        <is>
          <t>NULL</t>
        </is>
      </c>
      <c r="F1235" s="0" t="inlineStr">
        <is>
          <t>NULL</t>
        </is>
      </c>
      <c r="G1235" s="0" t="inlineStr">
        <is>
          <t>NULL</t>
        </is>
      </c>
      <c r="H1235" s="0" t="inlineStr">
        <is>
          <t>NULL</t>
        </is>
      </c>
      <c r="I1235" s="0" t="inlineStr">
        <is>
          <t>NULL</t>
        </is>
      </c>
      <c r="J1235" s="0" t="inlineStr">
        <is>
          <t>NULL</t>
        </is>
      </c>
      <c r="K1235" s="0" t="inlineStr">
        <is>
          <t>[0;32m YES! [0m 	 c_time5列源备映射正确，源端为time None位	期望更改为varchar(20)	实际备端为varchar 80位	位数精度不存在，通过长度比较</t>
        </is>
      </c>
    </row>
    <row r="1236">
      <c r="B1236" s="0" t="inlineStr">
        <is>
          <t>NULL</t>
        </is>
      </c>
      <c r="C1236" s="0" t="inlineStr">
        <is>
          <t>NULL</t>
        </is>
      </c>
      <c r="D1236" s="0" t="inlineStr">
        <is>
          <t>NULL</t>
        </is>
      </c>
      <c r="E1236" s="0" t="inlineStr">
        <is>
          <t>NULL</t>
        </is>
      </c>
      <c r="F1236" s="0" t="inlineStr">
        <is>
          <t>NULL</t>
        </is>
      </c>
      <c r="G1236" s="0" t="inlineStr">
        <is>
          <t>NULL</t>
        </is>
      </c>
      <c r="H1236" s="0" t="inlineStr">
        <is>
          <t>NULL</t>
        </is>
      </c>
      <c r="I1236" s="0" t="inlineStr">
        <is>
          <t>NULL</t>
        </is>
      </c>
      <c r="J1236" s="0" t="inlineStr">
        <is>
          <t>NULL</t>
        </is>
      </c>
      <c r="K1236" s="0" t="inlineStr">
        <is>
          <t>[0;32m YES! [0m 	 c_time6列源备映射正确，源端为time None位	期望更改为varchar(20)	实际备端为varchar 80位	位数精度不存在，通过长度比较</t>
        </is>
      </c>
    </row>
    <row r="1237">
      <c r="B1237" s="0" t="inlineStr">
        <is>
          <t>NULL</t>
        </is>
      </c>
      <c r="C1237" s="0" t="inlineStr">
        <is>
          <t>NO!源None备NUL</t>
        </is>
      </c>
      <c r="D1237" s="0" t="inlineStr">
        <is>
          <t>NULL</t>
        </is>
      </c>
      <c r="E1237" s="0" t="inlineStr">
        <is>
          <t>NULL</t>
        </is>
      </c>
      <c r="F1237" s="0" t="inlineStr">
        <is>
          <t>NULL</t>
        </is>
      </c>
      <c r="G1237" s="0" t="inlineStr">
        <is>
          <t>NULL</t>
        </is>
      </c>
      <c r="H1237" s="0" t="inlineStr">
        <is>
          <t>NULL</t>
        </is>
      </c>
      <c r="I1237" s="0" t="inlineStr">
        <is>
          <t>NULL</t>
        </is>
      </c>
      <c r="J1237" s="0" t="inlineStr">
        <is>
          <t>NULL</t>
        </is>
      </c>
      <c r="K1237" s="0" t="inlineStr">
        <is>
          <t>[0;32m YES! [0m 	 c_time列源备映射正确，源端为time None位	期望更改为varchar(20)	实际备端为varchar 80位	位数精度不存在，通过长度比较</t>
        </is>
      </c>
    </row>
    <row r="1238">
      <c r="A1238" s="0" t="inlineStr">
        <is>
          <t>info_datetimeoffset_dml_batch2_pk_irp1</t>
        </is>
      </c>
      <c r="K1238" s="0" t="inlineStr">
        <is>
          <t>[0;34m info_datetimeoffset_dml_batch2_pk_irp1 [0m源备字段数相同，源端字段：9 	备端字段9</t>
        </is>
      </c>
      <c r="W1238" s="0" t="inlineStr">
        <is>
          <t>YES 源备无差异</t>
        </is>
      </c>
      <c r="X1238" s="0">
        <f>A1238</f>
        <v/>
      </c>
    </row>
    <row r="1239">
      <c r="B1239" s="0" t="inlineStr">
        <is>
          <t>YES</t>
        </is>
      </c>
      <c r="C1239" s="0" t="inlineStr">
        <is>
          <t>NULL</t>
        </is>
      </c>
      <c r="D1239" s="0" t="inlineStr">
        <is>
          <t>NULL</t>
        </is>
      </c>
      <c r="E1239" s="0" t="inlineStr">
        <is>
          <t>NULL</t>
        </is>
      </c>
      <c r="F1239" s="0" t="inlineStr">
        <is>
          <t>NULL</t>
        </is>
      </c>
      <c r="G1239" s="0" t="inlineStr">
        <is>
          <t>NULL</t>
        </is>
      </c>
      <c r="H1239" s="0" t="inlineStr">
        <is>
          <t>NULL</t>
        </is>
      </c>
      <c r="I1239" s="0" t="inlineStr">
        <is>
          <t>YES!PK__info_dat__3213E83FCC9DEC18</t>
        </is>
      </c>
      <c r="J1239" s="0" t="inlineStr">
        <is>
          <t>YES! 主键相关索引</t>
        </is>
      </c>
      <c r="K1239" s="0" t="inlineStr">
        <is>
          <t>YES! 	 id列源备映射正确，源端为int None位	期望更改为int	实际备端为int None位</t>
        </is>
      </c>
    </row>
    <row r="1240">
      <c r="B1240" s="0" t="inlineStr">
        <is>
          <t>NULL</t>
        </is>
      </c>
      <c r="C1240" s="0" t="inlineStr">
        <is>
          <t>NULL</t>
        </is>
      </c>
      <c r="D1240" s="0" t="inlineStr">
        <is>
          <t>NULL</t>
        </is>
      </c>
      <c r="E1240" s="0" t="inlineStr">
        <is>
          <t>NULL</t>
        </is>
      </c>
      <c r="F1240" s="0" t="inlineStr">
        <is>
          <t>NULL</t>
        </is>
      </c>
      <c r="G1240" s="0" t="inlineStr">
        <is>
          <t>NULL</t>
        </is>
      </c>
      <c r="H1240" s="0" t="inlineStr">
        <is>
          <t>NULL</t>
        </is>
      </c>
      <c r="I1240" s="0" t="inlineStr">
        <is>
          <t>NULL</t>
        </is>
      </c>
      <c r="J1240" s="0" t="inlineStr">
        <is>
          <t>NULL</t>
        </is>
      </c>
      <c r="K1240" s="0" t="inlineStr">
        <is>
          <t>[0;32m YES! [0m 	 c_dtoffset_0列源备映射正确，源端为datetimeoffset None位	期望更改为varchar(34)	实际备端为varchar 136位	位数精度不存在，通过长度比较</t>
        </is>
      </c>
    </row>
    <row r="1241">
      <c r="B1241" s="0" t="inlineStr">
        <is>
          <t>NULL</t>
        </is>
      </c>
      <c r="C1241" s="0" t="inlineStr">
        <is>
          <t>NULL</t>
        </is>
      </c>
      <c r="D1241" s="0" t="inlineStr">
        <is>
          <t>NULL</t>
        </is>
      </c>
      <c r="E1241" s="0" t="inlineStr">
        <is>
          <t>NULL</t>
        </is>
      </c>
      <c r="F1241" s="0" t="inlineStr">
        <is>
          <t>NULL</t>
        </is>
      </c>
      <c r="G1241" s="0" t="inlineStr">
        <is>
          <t>NULL</t>
        </is>
      </c>
      <c r="H1241" s="0" t="inlineStr">
        <is>
          <t>NULL</t>
        </is>
      </c>
      <c r="I1241" s="0" t="inlineStr">
        <is>
          <t>NULL</t>
        </is>
      </c>
      <c r="J1241" s="0" t="inlineStr">
        <is>
          <t>NULL</t>
        </is>
      </c>
      <c r="K1241" s="0" t="inlineStr">
        <is>
          <t>[0;32m YES! [0m 	 c_dtoffset_1列源备映射正确，源端为datetimeoffset None位	期望更改为varchar(34)	实际备端为varchar 136位	位数精度不存在，通过长度比较</t>
        </is>
      </c>
    </row>
    <row r="1242">
      <c r="B1242" s="0" t="inlineStr">
        <is>
          <t>NULL</t>
        </is>
      </c>
      <c r="C1242" s="0" t="inlineStr">
        <is>
          <t>NULL</t>
        </is>
      </c>
      <c r="D1242" s="0" t="inlineStr">
        <is>
          <t>NULL</t>
        </is>
      </c>
      <c r="E1242" s="0" t="inlineStr">
        <is>
          <t>NULL</t>
        </is>
      </c>
      <c r="F1242" s="0" t="inlineStr">
        <is>
          <t>NULL</t>
        </is>
      </c>
      <c r="G1242" s="0" t="inlineStr">
        <is>
          <t>NULL</t>
        </is>
      </c>
      <c r="H1242" s="0" t="inlineStr">
        <is>
          <t>NULL</t>
        </is>
      </c>
      <c r="I1242" s="0" t="inlineStr">
        <is>
          <t>NULL</t>
        </is>
      </c>
      <c r="J1242" s="0" t="inlineStr">
        <is>
          <t>NULL</t>
        </is>
      </c>
      <c r="K1242" s="0" t="inlineStr">
        <is>
          <t>[0;32m YES! [0m 	 c_dtoffset_2列源备映射正确，源端为datetimeoffset None位	期望更改为varchar(34)	实际备端为varchar 136位	位数精度不存在，通过长度比较</t>
        </is>
      </c>
    </row>
    <row r="1243">
      <c r="B1243" s="0" t="inlineStr">
        <is>
          <t>NULL</t>
        </is>
      </c>
      <c r="C1243" s="0" t="inlineStr">
        <is>
          <t>NULL</t>
        </is>
      </c>
      <c r="D1243" s="0" t="inlineStr">
        <is>
          <t>NULL</t>
        </is>
      </c>
      <c r="E1243" s="0" t="inlineStr">
        <is>
          <t>NULL</t>
        </is>
      </c>
      <c r="F1243" s="0" t="inlineStr">
        <is>
          <t>NULL</t>
        </is>
      </c>
      <c r="G1243" s="0" t="inlineStr">
        <is>
          <t>NULL</t>
        </is>
      </c>
      <c r="H1243" s="0" t="inlineStr">
        <is>
          <t>NULL</t>
        </is>
      </c>
      <c r="I1243" s="0" t="inlineStr">
        <is>
          <t>NULL</t>
        </is>
      </c>
      <c r="J1243" s="0" t="inlineStr">
        <is>
          <t>NULL</t>
        </is>
      </c>
      <c r="K1243" s="0" t="inlineStr">
        <is>
          <t>[0;32m YES! [0m 	 c_dtoffset_3列源备映射正确，源端为datetimeoffset None位	期望更改为varchar(34)	实际备端为varchar 136位	位数精度不存在，通过长度比较</t>
        </is>
      </c>
    </row>
    <row r="1244">
      <c r="B1244" s="0" t="inlineStr">
        <is>
          <t>NULL</t>
        </is>
      </c>
      <c r="C1244" s="0" t="inlineStr">
        <is>
          <t>NULL</t>
        </is>
      </c>
      <c r="D1244" s="0" t="inlineStr">
        <is>
          <t>NULL</t>
        </is>
      </c>
      <c r="E1244" s="0" t="inlineStr">
        <is>
          <t>NULL</t>
        </is>
      </c>
      <c r="F1244" s="0" t="inlineStr">
        <is>
          <t>NULL</t>
        </is>
      </c>
      <c r="G1244" s="0" t="inlineStr">
        <is>
          <t>NULL</t>
        </is>
      </c>
      <c r="H1244" s="0" t="inlineStr">
        <is>
          <t>NULL</t>
        </is>
      </c>
      <c r="I1244" s="0" t="inlineStr">
        <is>
          <t>NULL</t>
        </is>
      </c>
      <c r="J1244" s="0" t="inlineStr">
        <is>
          <t>NULL</t>
        </is>
      </c>
      <c r="K1244" s="0" t="inlineStr">
        <is>
          <t>[0;32m YES! [0m 	 c_dtoffset_4列源备映射正确，源端为datetimeoffset None位	期望更改为varchar(34)	实际备端为varchar 136位	位数精度不存在，通过长度比较</t>
        </is>
      </c>
    </row>
    <row r="1245">
      <c r="B1245" s="0" t="inlineStr">
        <is>
          <t>NULL</t>
        </is>
      </c>
      <c r="C1245" s="0" t="inlineStr">
        <is>
          <t>NULL</t>
        </is>
      </c>
      <c r="D1245" s="0" t="inlineStr">
        <is>
          <t>NULL</t>
        </is>
      </c>
      <c r="E1245" s="0" t="inlineStr">
        <is>
          <t>NULL</t>
        </is>
      </c>
      <c r="F1245" s="0" t="inlineStr">
        <is>
          <t>NULL</t>
        </is>
      </c>
      <c r="G1245" s="0" t="inlineStr">
        <is>
          <t>NULL</t>
        </is>
      </c>
      <c r="H1245" s="0" t="inlineStr">
        <is>
          <t>NULL</t>
        </is>
      </c>
      <c r="I1245" s="0" t="inlineStr">
        <is>
          <t>NULL</t>
        </is>
      </c>
      <c r="J1245" s="0" t="inlineStr">
        <is>
          <t>NULL</t>
        </is>
      </c>
      <c r="K1245" s="0" t="inlineStr">
        <is>
          <t>[0;32m YES! [0m 	 c_dtoffset_5列源备映射正确，源端为datetimeoffset None位	期望更改为varchar(34)	实际备端为varchar 136位	位数精度不存在，通过长度比较</t>
        </is>
      </c>
    </row>
    <row r="1246">
      <c r="B1246" s="0" t="inlineStr">
        <is>
          <t>NULL</t>
        </is>
      </c>
      <c r="C1246" s="0" t="inlineStr">
        <is>
          <t>NULL</t>
        </is>
      </c>
      <c r="D1246" s="0" t="inlineStr">
        <is>
          <t>NULL</t>
        </is>
      </c>
      <c r="E1246" s="0" t="inlineStr">
        <is>
          <t>NULL</t>
        </is>
      </c>
      <c r="F1246" s="0" t="inlineStr">
        <is>
          <t>NULL</t>
        </is>
      </c>
      <c r="G1246" s="0" t="inlineStr">
        <is>
          <t>NULL</t>
        </is>
      </c>
      <c r="H1246" s="0" t="inlineStr">
        <is>
          <t>NULL</t>
        </is>
      </c>
      <c r="I1246" s="0" t="inlineStr">
        <is>
          <t>NULL</t>
        </is>
      </c>
      <c r="J1246" s="0" t="inlineStr">
        <is>
          <t>NULL</t>
        </is>
      </c>
      <c r="K1246" s="0" t="inlineStr">
        <is>
          <t>[0;32m YES! [0m 	 c_dtoffset_6列源备映射正确，源端为datetimeoffset None位	期望更改为varchar(34)	实际备端为varchar 136位	位数精度不存在，通过长度比较</t>
        </is>
      </c>
    </row>
    <row r="1247">
      <c r="B1247" s="0" t="inlineStr">
        <is>
          <t>NULL</t>
        </is>
      </c>
      <c r="C1247" s="0" t="inlineStr">
        <is>
          <t>NULL</t>
        </is>
      </c>
      <c r="D1247" s="0" t="inlineStr">
        <is>
          <t>NULL</t>
        </is>
      </c>
      <c r="E1247" s="0" t="inlineStr">
        <is>
          <t>NULL</t>
        </is>
      </c>
      <c r="F1247" s="0" t="inlineStr">
        <is>
          <t>NULL</t>
        </is>
      </c>
      <c r="G1247" s="0" t="inlineStr">
        <is>
          <t>NULL</t>
        </is>
      </c>
      <c r="H1247" s="0" t="inlineStr">
        <is>
          <t>NULL</t>
        </is>
      </c>
      <c r="I1247" s="0" t="inlineStr">
        <is>
          <t>NULL</t>
        </is>
      </c>
      <c r="J1247" s="0" t="inlineStr">
        <is>
          <t>NULL</t>
        </is>
      </c>
      <c r="K1247" s="0" t="inlineStr">
        <is>
          <t>[0;32m YES! [0m 	 c_dtoffset列源备映射正确，源端为datetimeoffset None位	期望更改为varchar(34)	实际备端为varchar 136位	位数精度不存在，通过长度比较</t>
        </is>
      </c>
    </row>
    <row r="1248">
      <c r="A1248" s="0" t="inlineStr">
        <is>
          <t>info_time_dml_single_nopk_urp</t>
        </is>
      </c>
      <c r="K1248" s="0" t="inlineStr">
        <is>
          <t>[0;34m info_time_dml_single_nopk_urp [0m源备字段数相同，源端字段：9 	备端字段9</t>
        </is>
      </c>
      <c r="W1248" s="0" t="inlineStr">
        <is>
          <t>YES 源备无差异</t>
        </is>
      </c>
      <c r="X1248" s="0">
        <f>A1248</f>
        <v/>
      </c>
    </row>
    <row r="1249">
      <c r="B1249" s="0" t="inlineStr">
        <is>
          <t>NULL</t>
        </is>
      </c>
      <c r="C1249" s="0" t="inlineStr">
        <is>
          <t>NULL</t>
        </is>
      </c>
      <c r="D1249" s="0" t="inlineStr">
        <is>
          <t>NULL</t>
        </is>
      </c>
      <c r="E1249" s="0" t="inlineStr">
        <is>
          <t>NULL</t>
        </is>
      </c>
      <c r="F1249" s="0" t="inlineStr">
        <is>
          <t>NULL</t>
        </is>
      </c>
      <c r="G1249" s="0" t="inlineStr">
        <is>
          <t>NULL</t>
        </is>
      </c>
      <c r="H1249" s="0" t="inlineStr">
        <is>
          <t>NULL</t>
        </is>
      </c>
      <c r="I1249" s="0" t="inlineStr">
        <is>
          <t>NULL</t>
        </is>
      </c>
      <c r="J1249" s="0" t="inlineStr">
        <is>
          <t>NULL</t>
        </is>
      </c>
      <c r="K1249" s="0" t="inlineStr">
        <is>
          <t>YES! 	 id列源备映射正确，源端为int None位	期望更改为int	实际备端为int None位</t>
        </is>
      </c>
    </row>
    <row r="1250">
      <c r="B1250" s="0" t="inlineStr">
        <is>
          <t>NULL</t>
        </is>
      </c>
      <c r="C1250" s="0" t="inlineStr">
        <is>
          <t>NULL</t>
        </is>
      </c>
      <c r="D1250" s="0" t="inlineStr">
        <is>
          <t>NULL</t>
        </is>
      </c>
      <c r="E1250" s="0" t="inlineStr">
        <is>
          <t>NULL</t>
        </is>
      </c>
      <c r="F1250" s="0" t="inlineStr">
        <is>
          <t>NULL</t>
        </is>
      </c>
      <c r="G1250" s="0" t="inlineStr">
        <is>
          <t>NULL</t>
        </is>
      </c>
      <c r="H1250" s="0" t="inlineStr">
        <is>
          <t>NULL</t>
        </is>
      </c>
      <c r="I1250" s="0" t="inlineStr">
        <is>
          <t>NULL</t>
        </is>
      </c>
      <c r="J1250" s="0" t="inlineStr">
        <is>
          <t>NULL</t>
        </is>
      </c>
      <c r="K1250" s="0" t="inlineStr">
        <is>
          <t>[0;32m YES! [0m 	 c_time0列源备映射正确，源端为time None位	期望更改为varchar(20)	实际备端为varchar 80位	位数精度不存在，通过长度比较</t>
        </is>
      </c>
    </row>
    <row r="1251">
      <c r="B1251" s="0" t="inlineStr">
        <is>
          <t>NULL</t>
        </is>
      </c>
      <c r="C1251" s="0" t="inlineStr">
        <is>
          <t>NULL</t>
        </is>
      </c>
      <c r="D1251" s="0" t="inlineStr">
        <is>
          <t>NULL</t>
        </is>
      </c>
      <c r="E1251" s="0" t="inlineStr">
        <is>
          <t>NULL</t>
        </is>
      </c>
      <c r="F1251" s="0" t="inlineStr">
        <is>
          <t>NULL</t>
        </is>
      </c>
      <c r="G1251" s="0" t="inlineStr">
        <is>
          <t>NULL</t>
        </is>
      </c>
      <c r="H1251" s="0" t="inlineStr">
        <is>
          <t>NULL</t>
        </is>
      </c>
      <c r="I1251" s="0" t="inlineStr">
        <is>
          <t>NULL</t>
        </is>
      </c>
      <c r="J1251" s="0" t="inlineStr">
        <is>
          <t>NULL</t>
        </is>
      </c>
      <c r="K1251" s="0" t="inlineStr">
        <is>
          <t>[0;32m YES! [0m 	 c_time1列源备映射正确，源端为time None位	期望更改为varchar(20)	实际备端为varchar 80位	位数精度不存在，通过长度比较</t>
        </is>
      </c>
    </row>
    <row r="1252">
      <c r="B1252" s="0" t="inlineStr">
        <is>
          <t>NULL</t>
        </is>
      </c>
      <c r="C1252" s="0" t="inlineStr">
        <is>
          <t>NULL</t>
        </is>
      </c>
      <c r="D1252" s="0" t="inlineStr">
        <is>
          <t>NULL</t>
        </is>
      </c>
      <c r="E1252" s="0" t="inlineStr">
        <is>
          <t>NULL</t>
        </is>
      </c>
      <c r="F1252" s="0" t="inlineStr">
        <is>
          <t>NULL</t>
        </is>
      </c>
      <c r="G1252" s="0" t="inlineStr">
        <is>
          <t>NULL</t>
        </is>
      </c>
      <c r="H1252" s="0" t="inlineStr">
        <is>
          <t>NULL</t>
        </is>
      </c>
      <c r="I1252" s="0" t="inlineStr">
        <is>
          <t>NULL</t>
        </is>
      </c>
      <c r="J1252" s="0" t="inlineStr">
        <is>
          <t>NULL</t>
        </is>
      </c>
      <c r="K1252" s="0" t="inlineStr">
        <is>
          <t>[0;32m YES! [0m 	 c_time2列源备映射正确，源端为time None位	期望更改为varchar(20)	实际备端为varchar 80位	位数精度不存在，通过长度比较</t>
        </is>
      </c>
    </row>
    <row r="1253">
      <c r="B1253" s="0" t="inlineStr">
        <is>
          <t>NULL</t>
        </is>
      </c>
      <c r="C1253" s="0" t="inlineStr">
        <is>
          <t>NULL</t>
        </is>
      </c>
      <c r="D1253" s="0" t="inlineStr">
        <is>
          <t>NULL</t>
        </is>
      </c>
      <c r="E1253" s="0" t="inlineStr">
        <is>
          <t>NULL</t>
        </is>
      </c>
      <c r="F1253" s="0" t="inlineStr">
        <is>
          <t>NULL</t>
        </is>
      </c>
      <c r="G1253" s="0" t="inlineStr">
        <is>
          <t>NULL</t>
        </is>
      </c>
      <c r="H1253" s="0" t="inlineStr">
        <is>
          <t>NULL</t>
        </is>
      </c>
      <c r="I1253" s="0" t="inlineStr">
        <is>
          <t>NULL</t>
        </is>
      </c>
      <c r="J1253" s="0" t="inlineStr">
        <is>
          <t>NULL</t>
        </is>
      </c>
      <c r="K1253" s="0" t="inlineStr">
        <is>
          <t>[0;32m YES! [0m 	 c_time3列源备映射正确，源端为time None位	期望更改为varchar(20)	实际备端为varchar 80位	位数精度不存在，通过长度比较</t>
        </is>
      </c>
    </row>
    <row r="1254">
      <c r="B1254" s="0" t="inlineStr">
        <is>
          <t>NULL</t>
        </is>
      </c>
      <c r="C1254" s="0" t="inlineStr">
        <is>
          <t>NULL</t>
        </is>
      </c>
      <c r="D1254" s="0" t="inlineStr">
        <is>
          <t>NULL</t>
        </is>
      </c>
      <c r="E1254" s="0" t="inlineStr">
        <is>
          <t>NULL</t>
        </is>
      </c>
      <c r="F1254" s="0" t="inlineStr">
        <is>
          <t>NULL</t>
        </is>
      </c>
      <c r="G1254" s="0" t="inlineStr">
        <is>
          <t>NULL</t>
        </is>
      </c>
      <c r="H1254" s="0" t="inlineStr">
        <is>
          <t>NULL</t>
        </is>
      </c>
      <c r="I1254" s="0" t="inlineStr">
        <is>
          <t>NULL</t>
        </is>
      </c>
      <c r="J1254" s="0" t="inlineStr">
        <is>
          <t>NULL</t>
        </is>
      </c>
      <c r="K1254" s="0" t="inlineStr">
        <is>
          <t>[0;32m YES! [0m 	 c_time4列源备映射正确，源端为time None位	期望更改为varchar(20)	实际备端为varchar 80位	位数精度不存在，通过长度比较</t>
        </is>
      </c>
    </row>
    <row r="1255">
      <c r="B1255" s="0" t="inlineStr">
        <is>
          <t>NULL</t>
        </is>
      </c>
      <c r="C1255" s="0" t="inlineStr">
        <is>
          <t>NULL</t>
        </is>
      </c>
      <c r="D1255" s="0" t="inlineStr">
        <is>
          <t>NULL</t>
        </is>
      </c>
      <c r="E1255" s="0" t="inlineStr">
        <is>
          <t>NULL</t>
        </is>
      </c>
      <c r="F1255" s="0" t="inlineStr">
        <is>
          <t>NULL</t>
        </is>
      </c>
      <c r="G1255" s="0" t="inlineStr">
        <is>
          <t>NULL</t>
        </is>
      </c>
      <c r="H1255" s="0" t="inlineStr">
        <is>
          <t>NULL</t>
        </is>
      </c>
      <c r="I1255" s="0" t="inlineStr">
        <is>
          <t>NULL</t>
        </is>
      </c>
      <c r="J1255" s="0" t="inlineStr">
        <is>
          <t>NULL</t>
        </is>
      </c>
      <c r="K1255" s="0" t="inlineStr">
        <is>
          <t>[0;32m YES! [0m 	 c_time5列源备映射正确，源端为time None位	期望更改为varchar(20)	实际备端为varchar 80位	位数精度不存在，通过长度比较</t>
        </is>
      </c>
    </row>
    <row r="1256">
      <c r="B1256" s="0" t="inlineStr">
        <is>
          <t>NULL</t>
        </is>
      </c>
      <c r="C1256" s="0" t="inlineStr">
        <is>
          <t>NULL</t>
        </is>
      </c>
      <c r="D1256" s="0" t="inlineStr">
        <is>
          <t>NULL</t>
        </is>
      </c>
      <c r="E1256" s="0" t="inlineStr">
        <is>
          <t>NULL</t>
        </is>
      </c>
      <c r="F1256" s="0" t="inlineStr">
        <is>
          <t>NULL</t>
        </is>
      </c>
      <c r="G1256" s="0" t="inlineStr">
        <is>
          <t>NULL</t>
        </is>
      </c>
      <c r="H1256" s="0" t="inlineStr">
        <is>
          <t>NULL</t>
        </is>
      </c>
      <c r="I1256" s="0" t="inlineStr">
        <is>
          <t>NULL</t>
        </is>
      </c>
      <c r="J1256" s="0" t="inlineStr">
        <is>
          <t>NULL</t>
        </is>
      </c>
      <c r="K1256" s="0" t="inlineStr">
        <is>
          <t>[0;32m YES! [0m 	 c_time6列源备映射正确，源端为time None位	期望更改为varchar(20)	实际备端为varchar 80位	位数精度不存在，通过长度比较</t>
        </is>
      </c>
    </row>
    <row r="1257">
      <c r="B1257" s="0" t="inlineStr">
        <is>
          <t>NULL</t>
        </is>
      </c>
      <c r="C1257" s="0" t="inlineStr">
        <is>
          <t>NO!源None备NUL</t>
        </is>
      </c>
      <c r="D1257" s="0" t="inlineStr">
        <is>
          <t>NULL</t>
        </is>
      </c>
      <c r="E1257" s="0" t="inlineStr">
        <is>
          <t>NULL</t>
        </is>
      </c>
      <c r="F1257" s="0" t="inlineStr">
        <is>
          <t>NULL</t>
        </is>
      </c>
      <c r="G1257" s="0" t="inlineStr">
        <is>
          <t>NULL</t>
        </is>
      </c>
      <c r="H1257" s="0" t="inlineStr">
        <is>
          <t>NULL</t>
        </is>
      </c>
      <c r="I1257" s="0" t="inlineStr">
        <is>
          <t>NULL</t>
        </is>
      </c>
      <c r="J1257" s="0" t="inlineStr">
        <is>
          <t>NULL</t>
        </is>
      </c>
      <c r="K1257" s="0" t="inlineStr">
        <is>
          <t>[0;32m YES! [0m 	 c_time列源备映射正确，源端为time None位	期望更改为varchar(20)	实际备端为varchar 80位	位数精度不存在，通过长度比较</t>
        </is>
      </c>
    </row>
    <row r="1258">
      <c r="A1258" s="0" t="inlineStr">
        <is>
          <t>info_nvarchar_dml_batch1_pk_drp2</t>
        </is>
      </c>
      <c r="K1258" s="0" t="inlineStr">
        <is>
          <t>[0;34m info_nvarchar_dml_batch1_pk_drp2 [0m源备字段数相同，源端字段：4 	备端字段4</t>
        </is>
      </c>
      <c r="W1258" s="0" t="inlineStr">
        <is>
          <t>YES 源备无差异</t>
        </is>
      </c>
      <c r="X1258" s="0">
        <f>A1258</f>
        <v/>
      </c>
    </row>
    <row r="1259">
      <c r="B1259" s="0" t="inlineStr">
        <is>
          <t>YES</t>
        </is>
      </c>
      <c r="C1259" s="0" t="inlineStr">
        <is>
          <t>NULL</t>
        </is>
      </c>
      <c r="D1259" s="0" t="inlineStr">
        <is>
          <t>NULL</t>
        </is>
      </c>
      <c r="E1259" s="0" t="inlineStr">
        <is>
          <t>NULL</t>
        </is>
      </c>
      <c r="F1259" s="0" t="inlineStr">
        <is>
          <t>NULL</t>
        </is>
      </c>
      <c r="G1259" s="0" t="inlineStr">
        <is>
          <t>NULL</t>
        </is>
      </c>
      <c r="H1259" s="0" t="inlineStr">
        <is>
          <t>NULL</t>
        </is>
      </c>
      <c r="I1259" s="0" t="inlineStr">
        <is>
          <t>YES!PK__info_nva__3213E83FF3212B0C</t>
        </is>
      </c>
      <c r="J1259" s="0" t="inlineStr">
        <is>
          <t>YES! 主键相关索引</t>
        </is>
      </c>
      <c r="K1259" s="0" t="inlineStr">
        <is>
          <t>YES! 	 id列源备映射正确，源端为int None位	期望更改为int	实际备端为int None位</t>
        </is>
      </c>
    </row>
    <row r="1260">
      <c r="B1260" s="0" t="inlineStr">
        <is>
          <t>NULL</t>
        </is>
      </c>
      <c r="C1260" s="0" t="inlineStr">
        <is>
          <t>NULL</t>
        </is>
      </c>
      <c r="D1260" s="0" t="inlineStr">
        <is>
          <t>NULL</t>
        </is>
      </c>
      <c r="E1260" s="0" t="inlineStr">
        <is>
          <t>NULL</t>
        </is>
      </c>
      <c r="F1260" s="0" t="inlineStr">
        <is>
          <t>NULL</t>
        </is>
      </c>
      <c r="G1260" s="0" t="inlineStr">
        <is>
          <t>NULL</t>
        </is>
      </c>
      <c r="H1260" s="0" t="inlineStr">
        <is>
          <t>NULL</t>
        </is>
      </c>
      <c r="I1260" s="0" t="inlineStr">
        <is>
          <t>NULL</t>
        </is>
      </c>
      <c r="J1260" s="0" t="inlineStr">
        <is>
          <t>NULL</t>
        </is>
      </c>
      <c r="K1260" s="0" t="inlineStr">
        <is>
          <t>YES! 	 c_nvarchar列源备映射正确，源端为nvarchar 2位	期望更改为varchar(n)	实际备端为varchar 4位</t>
        </is>
      </c>
    </row>
    <row r="1261">
      <c r="B1261" s="0" t="inlineStr">
        <is>
          <t>NULL</t>
        </is>
      </c>
      <c r="C1261" s="0" t="inlineStr">
        <is>
          <t>NULL</t>
        </is>
      </c>
      <c r="D1261" s="0" t="inlineStr">
        <is>
          <t>NULL</t>
        </is>
      </c>
      <c r="E1261" s="0" t="inlineStr">
        <is>
          <t>NULL</t>
        </is>
      </c>
      <c r="F1261" s="0" t="inlineStr">
        <is>
          <t>NULL</t>
        </is>
      </c>
      <c r="G1261" s="0" t="inlineStr">
        <is>
          <t>NULL</t>
        </is>
      </c>
      <c r="H1261" s="0" t="inlineStr">
        <is>
          <t>NULL</t>
        </is>
      </c>
      <c r="I1261" s="0" t="inlineStr">
        <is>
          <t>NULL</t>
        </is>
      </c>
      <c r="J1261" s="0" t="inlineStr">
        <is>
          <t>NULL</t>
        </is>
      </c>
      <c r="K1261" s="0" t="inlineStr">
        <is>
          <t>YES! 	 c_nvarchar20列源备映射正确，源端为nvarchar 40位	期望更改为varchar(n)	实际备端为varchar 80位</t>
        </is>
      </c>
    </row>
    <row r="1262">
      <c r="B1262" s="0" t="inlineStr">
        <is>
          <t>NULL</t>
        </is>
      </c>
      <c r="C1262" s="0" t="inlineStr">
        <is>
          <t>NULL</t>
        </is>
      </c>
      <c r="D1262" s="0" t="inlineStr">
        <is>
          <t>NULL</t>
        </is>
      </c>
      <c r="E1262" s="0" t="inlineStr">
        <is>
          <t>NULL</t>
        </is>
      </c>
      <c r="F1262" s="0" t="inlineStr">
        <is>
          <t>NULL</t>
        </is>
      </c>
      <c r="G1262" s="0" t="inlineStr">
        <is>
          <t>NULL</t>
        </is>
      </c>
      <c r="H1262" s="0" t="inlineStr">
        <is>
          <t>NULL</t>
        </is>
      </c>
      <c r="I1262" s="0" t="inlineStr">
        <is>
          <t>NULL</t>
        </is>
      </c>
      <c r="J1262" s="0" t="inlineStr">
        <is>
          <t>NULL</t>
        </is>
      </c>
      <c r="K1262" s="0" t="inlineStr">
        <is>
          <t xml:space="preserve"> NO!  	 c_nvarchar3500列源备映射错误，源端为nchar 7000位	期望更改为varchar(n)	实际备端为text 65535位</t>
        </is>
      </c>
    </row>
    <row r="1263">
      <c r="A1263" s="0" t="inlineStr">
        <is>
          <t>info_datetime2_dml_single_pk_irp</t>
        </is>
      </c>
      <c r="K1263" s="0" t="inlineStr">
        <is>
          <t>[0;34m info_datetime2_dml_single_pk_irp [0m源备字段数相同，源端字段：9 	备端字段9</t>
        </is>
      </c>
      <c r="W1263" s="0" t="inlineStr">
        <is>
          <t>YES 源备无差异</t>
        </is>
      </c>
      <c r="X1263" s="0">
        <f>A1263</f>
        <v/>
      </c>
    </row>
    <row r="1264">
      <c r="B1264" s="0" t="inlineStr">
        <is>
          <t>YES</t>
        </is>
      </c>
      <c r="C1264" s="0" t="inlineStr">
        <is>
          <t>NULL</t>
        </is>
      </c>
      <c r="D1264" s="0" t="inlineStr">
        <is>
          <t>NULL</t>
        </is>
      </c>
      <c r="E1264" s="0" t="inlineStr">
        <is>
          <t>NULL</t>
        </is>
      </c>
      <c r="F1264" s="0" t="inlineStr">
        <is>
          <t>NULL</t>
        </is>
      </c>
      <c r="G1264" s="0" t="inlineStr">
        <is>
          <t>NULL</t>
        </is>
      </c>
      <c r="H1264" s="0" t="inlineStr">
        <is>
          <t>NULL</t>
        </is>
      </c>
      <c r="I1264" s="0" t="inlineStr">
        <is>
          <t>YES!PK__info_dat__3213E83F033181D9</t>
        </is>
      </c>
      <c r="J1264" s="0" t="inlineStr">
        <is>
          <t>YES! 主键相关索引</t>
        </is>
      </c>
      <c r="K1264" s="0" t="inlineStr">
        <is>
          <t>YES! 	 id列源备映射正确，源端为int None位	期望更改为int	实际备端为int None位</t>
        </is>
      </c>
    </row>
    <row r="1265">
      <c r="B1265" s="0" t="inlineStr">
        <is>
          <t>NULL</t>
        </is>
      </c>
      <c r="C1265" s="0" t="inlineStr">
        <is>
          <t>NULL</t>
        </is>
      </c>
      <c r="D1265" s="0" t="inlineStr">
        <is>
          <t>NULL</t>
        </is>
      </c>
      <c r="E1265" s="0" t="inlineStr">
        <is>
          <t>NULL</t>
        </is>
      </c>
      <c r="F1265" s="0" t="inlineStr">
        <is>
          <t>NULL</t>
        </is>
      </c>
      <c r="G1265" s="0" t="inlineStr">
        <is>
          <t>NULL</t>
        </is>
      </c>
      <c r="H1265" s="0" t="inlineStr">
        <is>
          <t>NULL</t>
        </is>
      </c>
      <c r="I1265" s="0" t="inlineStr">
        <is>
          <t>NULL</t>
        </is>
      </c>
      <c r="J1265" s="0" t="inlineStr">
        <is>
          <t>NULL</t>
        </is>
      </c>
      <c r="K1265" s="0" t="inlineStr">
        <is>
          <t>no,len不存在</t>
        </is>
      </c>
    </row>
    <row r="1266">
      <c r="B1266" s="0" t="inlineStr">
        <is>
          <t>NULL</t>
        </is>
      </c>
      <c r="C1266" s="0" t="inlineStr">
        <is>
          <t>NULL</t>
        </is>
      </c>
      <c r="D1266" s="0" t="inlineStr">
        <is>
          <t>NULL</t>
        </is>
      </c>
      <c r="E1266" s="0" t="inlineStr">
        <is>
          <t>NULL</t>
        </is>
      </c>
      <c r="F1266" s="0" t="inlineStr">
        <is>
          <t>NULL</t>
        </is>
      </c>
      <c r="G1266" s="0" t="inlineStr">
        <is>
          <t>NULL</t>
        </is>
      </c>
      <c r="H1266" s="0" t="inlineStr">
        <is>
          <t>NULL</t>
        </is>
      </c>
      <c r="I1266" s="0" t="inlineStr">
        <is>
          <t>NULL</t>
        </is>
      </c>
      <c r="J1266" s="0" t="inlineStr">
        <is>
          <t>NULL</t>
        </is>
      </c>
      <c r="K1266" s="0" t="inlineStr">
        <is>
          <t>YES! 	 c_dt2_1列源备映射正确，源端为datetime2 None位	期望更改为datetime(n)	实际备端为datetime None位</t>
        </is>
      </c>
    </row>
    <row r="1267">
      <c r="B1267" s="0" t="inlineStr">
        <is>
          <t>NULL</t>
        </is>
      </c>
      <c r="C1267" s="0" t="inlineStr">
        <is>
          <t>NULL</t>
        </is>
      </c>
      <c r="D1267" s="0" t="inlineStr">
        <is>
          <t>NULL</t>
        </is>
      </c>
      <c r="E1267" s="0" t="inlineStr">
        <is>
          <t>NULL</t>
        </is>
      </c>
      <c r="F1267" s="0" t="inlineStr">
        <is>
          <t>NULL</t>
        </is>
      </c>
      <c r="G1267" s="0" t="inlineStr">
        <is>
          <t>NULL</t>
        </is>
      </c>
      <c r="H1267" s="0" t="inlineStr">
        <is>
          <t>NULL</t>
        </is>
      </c>
      <c r="I1267" s="0" t="inlineStr">
        <is>
          <t>NULL</t>
        </is>
      </c>
      <c r="J1267" s="0" t="inlineStr">
        <is>
          <t>NULL</t>
        </is>
      </c>
      <c r="K1267" s="0" t="inlineStr">
        <is>
          <t>YES! 	 c_dt2_2列源备映射正确，源端为datetime2 None位	期望更改为datetime(n)	实际备端为datetime None位</t>
        </is>
      </c>
    </row>
    <row r="1268">
      <c r="B1268" s="0" t="inlineStr">
        <is>
          <t>NULL</t>
        </is>
      </c>
      <c r="C1268" s="0" t="inlineStr">
        <is>
          <t>NULL</t>
        </is>
      </c>
      <c r="D1268" s="0" t="inlineStr">
        <is>
          <t>NULL</t>
        </is>
      </c>
      <c r="E1268" s="0" t="inlineStr">
        <is>
          <t>NULL</t>
        </is>
      </c>
      <c r="F1268" s="0" t="inlineStr">
        <is>
          <t>NULL</t>
        </is>
      </c>
      <c r="G1268" s="0" t="inlineStr">
        <is>
          <t>NULL</t>
        </is>
      </c>
      <c r="H1268" s="0" t="inlineStr">
        <is>
          <t>NULL</t>
        </is>
      </c>
      <c r="I1268" s="0" t="inlineStr">
        <is>
          <t>NULL</t>
        </is>
      </c>
      <c r="J1268" s="0" t="inlineStr">
        <is>
          <t>NULL</t>
        </is>
      </c>
      <c r="K1268" s="0" t="inlineStr">
        <is>
          <t>YES! 	 c_dt2_3列源备映射正确，源端为datetime2 None位	期望更改为datetime(n)	实际备端为datetime None位</t>
        </is>
      </c>
    </row>
    <row r="1269">
      <c r="B1269" s="0" t="inlineStr">
        <is>
          <t>NULL</t>
        </is>
      </c>
      <c r="C1269" s="0" t="inlineStr">
        <is>
          <t>NULL</t>
        </is>
      </c>
      <c r="D1269" s="0" t="inlineStr">
        <is>
          <t>NULL</t>
        </is>
      </c>
      <c r="E1269" s="0" t="inlineStr">
        <is>
          <t>NULL</t>
        </is>
      </c>
      <c r="F1269" s="0" t="inlineStr">
        <is>
          <t>NULL</t>
        </is>
      </c>
      <c r="G1269" s="0" t="inlineStr">
        <is>
          <t>NULL</t>
        </is>
      </c>
      <c r="H1269" s="0" t="inlineStr">
        <is>
          <t>NULL</t>
        </is>
      </c>
      <c r="I1269" s="0" t="inlineStr">
        <is>
          <t>NULL</t>
        </is>
      </c>
      <c r="J1269" s="0" t="inlineStr">
        <is>
          <t>NULL</t>
        </is>
      </c>
      <c r="K1269" s="0" t="inlineStr">
        <is>
          <t>YES! 	 c_dt2_4列源备映射正确，源端为datetime2 None位	期望更改为datetime(n)	实际备端为datetime None位</t>
        </is>
      </c>
    </row>
    <row r="1270">
      <c r="B1270" s="0" t="inlineStr">
        <is>
          <t>NULL</t>
        </is>
      </c>
      <c r="C1270" s="0" t="inlineStr">
        <is>
          <t>NULL</t>
        </is>
      </c>
      <c r="D1270" s="0" t="inlineStr">
        <is>
          <t>NULL</t>
        </is>
      </c>
      <c r="E1270" s="0" t="inlineStr">
        <is>
          <t>NULL</t>
        </is>
      </c>
      <c r="F1270" s="0" t="inlineStr">
        <is>
          <t>NULL</t>
        </is>
      </c>
      <c r="G1270" s="0" t="inlineStr">
        <is>
          <t>NULL</t>
        </is>
      </c>
      <c r="H1270" s="0" t="inlineStr">
        <is>
          <t>NULL</t>
        </is>
      </c>
      <c r="I1270" s="0" t="inlineStr">
        <is>
          <t>NULL</t>
        </is>
      </c>
      <c r="J1270" s="0" t="inlineStr">
        <is>
          <t>NULL</t>
        </is>
      </c>
      <c r="K1270" s="0" t="inlineStr">
        <is>
          <t>YES! 	 c_dt2_5列源备映射正确，源端为datetime2 None位	期望更改为datetime(n)	实际备端为datetime None位</t>
        </is>
      </c>
    </row>
    <row r="1271">
      <c r="B1271" s="0" t="inlineStr">
        <is>
          <t>NULL</t>
        </is>
      </c>
      <c r="C1271" s="0" t="inlineStr">
        <is>
          <t>NULL</t>
        </is>
      </c>
      <c r="D1271" s="0" t="inlineStr">
        <is>
          <t>NULL</t>
        </is>
      </c>
      <c r="E1271" s="0" t="inlineStr">
        <is>
          <t>NULL</t>
        </is>
      </c>
      <c r="F1271" s="0" t="inlineStr">
        <is>
          <t>NULL</t>
        </is>
      </c>
      <c r="G1271" s="0" t="inlineStr">
        <is>
          <t>NULL</t>
        </is>
      </c>
      <c r="H1271" s="0" t="inlineStr">
        <is>
          <t>NULL</t>
        </is>
      </c>
      <c r="I1271" s="0" t="inlineStr">
        <is>
          <t>NULL</t>
        </is>
      </c>
      <c r="J1271" s="0" t="inlineStr">
        <is>
          <t>NULL</t>
        </is>
      </c>
      <c r="K1271" s="0" t="inlineStr">
        <is>
          <t>YES! 	 c_dt2_6列源备映射正确，源端为datetime2 None位	期望更改为datetime(n)	实际备端为datetime None位</t>
        </is>
      </c>
    </row>
    <row r="1272">
      <c r="B1272" s="0" t="inlineStr">
        <is>
          <t>NULL</t>
        </is>
      </c>
      <c r="C1272" s="0" t="inlineStr">
        <is>
          <t>NULL</t>
        </is>
      </c>
      <c r="D1272" s="0" t="inlineStr">
        <is>
          <t>NULL</t>
        </is>
      </c>
      <c r="E1272" s="0" t="inlineStr">
        <is>
          <t>NULL</t>
        </is>
      </c>
      <c r="F1272" s="0" t="inlineStr">
        <is>
          <t>NULL</t>
        </is>
      </c>
      <c r="G1272" s="0" t="inlineStr">
        <is>
          <t>NULL</t>
        </is>
      </c>
      <c r="H1272" s="0" t="inlineStr">
        <is>
          <t>NULL</t>
        </is>
      </c>
      <c r="I1272" s="0" t="inlineStr">
        <is>
          <t>NULL</t>
        </is>
      </c>
      <c r="J1272" s="0" t="inlineStr">
        <is>
          <t>NULL</t>
        </is>
      </c>
      <c r="K1272" s="0" t="inlineStr">
        <is>
          <t xml:space="preserve"> NO!  	 c_dt2列源备映射错误，源端为datetime2 None位	期望更改为datetime(n)	实际备端为varchar 136位</t>
        </is>
      </c>
    </row>
    <row r="1273">
      <c r="A1273" s="0" t="inlineStr">
        <is>
          <t>info_time_dml_single_nopk_drp</t>
        </is>
      </c>
      <c r="K1273" s="0" t="inlineStr">
        <is>
          <t>[0;34m info_time_dml_single_nopk_drp [0m源备字段数相同，源端字段：9 	备端字段9</t>
        </is>
      </c>
      <c r="W1273" s="0" t="inlineStr">
        <is>
          <t>YES 源备无差异</t>
        </is>
      </c>
      <c r="X1273" s="0">
        <f>A1273</f>
        <v/>
      </c>
    </row>
    <row r="1274">
      <c r="B1274" s="0" t="inlineStr">
        <is>
          <t>NULL</t>
        </is>
      </c>
      <c r="C1274" s="0" t="inlineStr">
        <is>
          <t>NULL</t>
        </is>
      </c>
      <c r="D1274" s="0" t="inlineStr">
        <is>
          <t>NULL</t>
        </is>
      </c>
      <c r="E1274" s="0" t="inlineStr">
        <is>
          <t>NULL</t>
        </is>
      </c>
      <c r="F1274" s="0" t="inlineStr">
        <is>
          <t>NULL</t>
        </is>
      </c>
      <c r="G1274" s="0" t="inlineStr">
        <is>
          <t>NULL</t>
        </is>
      </c>
      <c r="H1274" s="0" t="inlineStr">
        <is>
          <t>NULL</t>
        </is>
      </c>
      <c r="I1274" s="0" t="inlineStr">
        <is>
          <t>NULL</t>
        </is>
      </c>
      <c r="J1274" s="0" t="inlineStr">
        <is>
          <t>NULL</t>
        </is>
      </c>
      <c r="K1274" s="0" t="inlineStr">
        <is>
          <t>YES! 	 id列源备映射正确，源端为int None位	期望更改为int	实际备端为int None位</t>
        </is>
      </c>
    </row>
    <row r="1275">
      <c r="B1275" s="0" t="inlineStr">
        <is>
          <t>NULL</t>
        </is>
      </c>
      <c r="C1275" s="0" t="inlineStr">
        <is>
          <t>NULL</t>
        </is>
      </c>
      <c r="D1275" s="0" t="inlineStr">
        <is>
          <t>NULL</t>
        </is>
      </c>
      <c r="E1275" s="0" t="inlineStr">
        <is>
          <t>NULL</t>
        </is>
      </c>
      <c r="F1275" s="0" t="inlineStr">
        <is>
          <t>NULL</t>
        </is>
      </c>
      <c r="G1275" s="0" t="inlineStr">
        <is>
          <t>NULL</t>
        </is>
      </c>
      <c r="H1275" s="0" t="inlineStr">
        <is>
          <t>NULL</t>
        </is>
      </c>
      <c r="I1275" s="0" t="inlineStr">
        <is>
          <t>NULL</t>
        </is>
      </c>
      <c r="J1275" s="0" t="inlineStr">
        <is>
          <t>NULL</t>
        </is>
      </c>
      <c r="K1275" s="0" t="inlineStr">
        <is>
          <t>[0;32m YES! [0m 	 c_time0列源备映射正确，源端为time None位	期望更改为varchar(20)	实际备端为varchar 80位	位数精度不存在，通过长度比较</t>
        </is>
      </c>
    </row>
    <row r="1276">
      <c r="B1276" s="0" t="inlineStr">
        <is>
          <t>NULL</t>
        </is>
      </c>
      <c r="C1276" s="0" t="inlineStr">
        <is>
          <t>NULL</t>
        </is>
      </c>
      <c r="D1276" s="0" t="inlineStr">
        <is>
          <t>NULL</t>
        </is>
      </c>
      <c r="E1276" s="0" t="inlineStr">
        <is>
          <t>NULL</t>
        </is>
      </c>
      <c r="F1276" s="0" t="inlineStr">
        <is>
          <t>NULL</t>
        </is>
      </c>
      <c r="G1276" s="0" t="inlineStr">
        <is>
          <t>NULL</t>
        </is>
      </c>
      <c r="H1276" s="0" t="inlineStr">
        <is>
          <t>NULL</t>
        </is>
      </c>
      <c r="I1276" s="0" t="inlineStr">
        <is>
          <t>NULL</t>
        </is>
      </c>
      <c r="J1276" s="0" t="inlineStr">
        <is>
          <t>NULL</t>
        </is>
      </c>
      <c r="K1276" s="0" t="inlineStr">
        <is>
          <t>[0;32m YES! [0m 	 c_time1列源备映射正确，源端为time None位	期望更改为varchar(20)	实际备端为varchar 80位	位数精度不存在，通过长度比较</t>
        </is>
      </c>
    </row>
    <row r="1277">
      <c r="B1277" s="0" t="inlineStr">
        <is>
          <t>NULL</t>
        </is>
      </c>
      <c r="C1277" s="0" t="inlineStr">
        <is>
          <t>NULL</t>
        </is>
      </c>
      <c r="D1277" s="0" t="inlineStr">
        <is>
          <t>NULL</t>
        </is>
      </c>
      <c r="E1277" s="0" t="inlineStr">
        <is>
          <t>NULL</t>
        </is>
      </c>
      <c r="F1277" s="0" t="inlineStr">
        <is>
          <t>NULL</t>
        </is>
      </c>
      <c r="G1277" s="0" t="inlineStr">
        <is>
          <t>NULL</t>
        </is>
      </c>
      <c r="H1277" s="0" t="inlineStr">
        <is>
          <t>NULL</t>
        </is>
      </c>
      <c r="I1277" s="0" t="inlineStr">
        <is>
          <t>NULL</t>
        </is>
      </c>
      <c r="J1277" s="0" t="inlineStr">
        <is>
          <t>NULL</t>
        </is>
      </c>
      <c r="K1277" s="0" t="inlineStr">
        <is>
          <t>[0;32m YES! [0m 	 c_time2列源备映射正确，源端为time None位	期望更改为varchar(20)	实际备端为varchar 80位	位数精度不存在，通过长度比较</t>
        </is>
      </c>
    </row>
    <row r="1278">
      <c r="B1278" s="0" t="inlineStr">
        <is>
          <t>NULL</t>
        </is>
      </c>
      <c r="C1278" s="0" t="inlineStr">
        <is>
          <t>NULL</t>
        </is>
      </c>
      <c r="D1278" s="0" t="inlineStr">
        <is>
          <t>NULL</t>
        </is>
      </c>
      <c r="E1278" s="0" t="inlineStr">
        <is>
          <t>NULL</t>
        </is>
      </c>
      <c r="F1278" s="0" t="inlineStr">
        <is>
          <t>NULL</t>
        </is>
      </c>
      <c r="G1278" s="0" t="inlineStr">
        <is>
          <t>NULL</t>
        </is>
      </c>
      <c r="H1278" s="0" t="inlineStr">
        <is>
          <t>NULL</t>
        </is>
      </c>
      <c r="I1278" s="0" t="inlineStr">
        <is>
          <t>NULL</t>
        </is>
      </c>
      <c r="J1278" s="0" t="inlineStr">
        <is>
          <t>NULL</t>
        </is>
      </c>
      <c r="K1278" s="0" t="inlineStr">
        <is>
          <t>[0;32m YES! [0m 	 c_time3列源备映射正确，源端为time None位	期望更改为varchar(20)	实际备端为varchar 80位	位数精度不存在，通过长度比较</t>
        </is>
      </c>
    </row>
    <row r="1279">
      <c r="B1279" s="0" t="inlineStr">
        <is>
          <t>NULL</t>
        </is>
      </c>
      <c r="C1279" s="0" t="inlineStr">
        <is>
          <t>NULL</t>
        </is>
      </c>
      <c r="D1279" s="0" t="inlineStr">
        <is>
          <t>NULL</t>
        </is>
      </c>
      <c r="E1279" s="0" t="inlineStr">
        <is>
          <t>NULL</t>
        </is>
      </c>
      <c r="F1279" s="0" t="inlineStr">
        <is>
          <t>NULL</t>
        </is>
      </c>
      <c r="G1279" s="0" t="inlineStr">
        <is>
          <t>NULL</t>
        </is>
      </c>
      <c r="H1279" s="0" t="inlineStr">
        <is>
          <t>NULL</t>
        </is>
      </c>
      <c r="I1279" s="0" t="inlineStr">
        <is>
          <t>NULL</t>
        </is>
      </c>
      <c r="J1279" s="0" t="inlineStr">
        <is>
          <t>NULL</t>
        </is>
      </c>
      <c r="K1279" s="0" t="inlineStr">
        <is>
          <t>[0;32m YES! [0m 	 c_time4列源备映射正确，源端为time None位	期望更改为varchar(20)	实际备端为varchar 80位	位数精度不存在，通过长度比较</t>
        </is>
      </c>
    </row>
    <row r="1280">
      <c r="B1280" s="0" t="inlineStr">
        <is>
          <t>NULL</t>
        </is>
      </c>
      <c r="C1280" s="0" t="inlineStr">
        <is>
          <t>NULL</t>
        </is>
      </c>
      <c r="D1280" s="0" t="inlineStr">
        <is>
          <t>NULL</t>
        </is>
      </c>
      <c r="E1280" s="0" t="inlineStr">
        <is>
          <t>NULL</t>
        </is>
      </c>
      <c r="F1280" s="0" t="inlineStr">
        <is>
          <t>NULL</t>
        </is>
      </c>
      <c r="G1280" s="0" t="inlineStr">
        <is>
          <t>NULL</t>
        </is>
      </c>
      <c r="H1280" s="0" t="inlineStr">
        <is>
          <t>NULL</t>
        </is>
      </c>
      <c r="I1280" s="0" t="inlineStr">
        <is>
          <t>NULL</t>
        </is>
      </c>
      <c r="J1280" s="0" t="inlineStr">
        <is>
          <t>NULL</t>
        </is>
      </c>
      <c r="K1280" s="0" t="inlineStr">
        <is>
          <t>[0;32m YES! [0m 	 c_time5列源备映射正确，源端为time None位	期望更改为varchar(20)	实际备端为varchar 80位	位数精度不存在，通过长度比较</t>
        </is>
      </c>
    </row>
    <row r="1281">
      <c r="B1281" s="0" t="inlineStr">
        <is>
          <t>NULL</t>
        </is>
      </c>
      <c r="C1281" s="0" t="inlineStr">
        <is>
          <t>NULL</t>
        </is>
      </c>
      <c r="D1281" s="0" t="inlineStr">
        <is>
          <t>NULL</t>
        </is>
      </c>
      <c r="E1281" s="0" t="inlineStr">
        <is>
          <t>NULL</t>
        </is>
      </c>
      <c r="F1281" s="0" t="inlineStr">
        <is>
          <t>NULL</t>
        </is>
      </c>
      <c r="G1281" s="0" t="inlineStr">
        <is>
          <t>NULL</t>
        </is>
      </c>
      <c r="H1281" s="0" t="inlineStr">
        <is>
          <t>NULL</t>
        </is>
      </c>
      <c r="I1281" s="0" t="inlineStr">
        <is>
          <t>NULL</t>
        </is>
      </c>
      <c r="J1281" s="0" t="inlineStr">
        <is>
          <t>NULL</t>
        </is>
      </c>
      <c r="K1281" s="0" t="inlineStr">
        <is>
          <t>[0;32m YES! [0m 	 c_time6列源备映射正确，源端为time None位	期望更改为varchar(20)	实际备端为varchar 80位	位数精度不存在，通过长度比较</t>
        </is>
      </c>
    </row>
    <row r="1282">
      <c r="B1282" s="0" t="inlineStr">
        <is>
          <t>NULL</t>
        </is>
      </c>
      <c r="C1282" s="0" t="inlineStr">
        <is>
          <t>NO!源None备NUL</t>
        </is>
      </c>
      <c r="D1282" s="0" t="inlineStr">
        <is>
          <t>NULL</t>
        </is>
      </c>
      <c r="E1282" s="0" t="inlineStr">
        <is>
          <t>NULL</t>
        </is>
      </c>
      <c r="F1282" s="0" t="inlineStr">
        <is>
          <t>NULL</t>
        </is>
      </c>
      <c r="G1282" s="0" t="inlineStr">
        <is>
          <t>NULL</t>
        </is>
      </c>
      <c r="H1282" s="0" t="inlineStr">
        <is>
          <t>NULL</t>
        </is>
      </c>
      <c r="I1282" s="0" t="inlineStr">
        <is>
          <t>NULL</t>
        </is>
      </c>
      <c r="J1282" s="0" t="inlineStr">
        <is>
          <t>NULL</t>
        </is>
      </c>
      <c r="K1282" s="0" t="inlineStr">
        <is>
          <t>[0;32m YES! [0m 	 c_time列源备映射正确，源端为time None位	期望更改为varchar(20)	实际备端为varchar 80位	位数精度不存在，通过长度比较</t>
        </is>
      </c>
    </row>
    <row r="1283">
      <c r="A1283" s="0" t="inlineStr">
        <is>
          <t>info_datetimeoffset_dml_batch2_pk_irp2</t>
        </is>
      </c>
      <c r="K1283" s="0" t="inlineStr">
        <is>
          <t>[0;34m info_datetimeoffset_dml_batch2_pk_irp2 [0m源备字段数相同，源端字段：9 	备端字段9</t>
        </is>
      </c>
      <c r="W1283" s="0" t="inlineStr">
        <is>
          <t>YES 源备无差异</t>
        </is>
      </c>
      <c r="X1283" s="0">
        <f>A1283</f>
        <v/>
      </c>
    </row>
    <row r="1284">
      <c r="B1284" s="0" t="inlineStr">
        <is>
          <t>YES</t>
        </is>
      </c>
      <c r="C1284" s="0" t="inlineStr">
        <is>
          <t>NULL</t>
        </is>
      </c>
      <c r="D1284" s="0" t="inlineStr">
        <is>
          <t>NULL</t>
        </is>
      </c>
      <c r="E1284" s="0" t="inlineStr">
        <is>
          <t>NULL</t>
        </is>
      </c>
      <c r="F1284" s="0" t="inlineStr">
        <is>
          <t>NULL</t>
        </is>
      </c>
      <c r="G1284" s="0" t="inlineStr">
        <is>
          <t>NULL</t>
        </is>
      </c>
      <c r="H1284" s="0" t="inlineStr">
        <is>
          <t>NULL</t>
        </is>
      </c>
      <c r="I1284" s="0" t="inlineStr">
        <is>
          <t>YES!PK__info_dat__3213E83FAEDFA5B2</t>
        </is>
      </c>
      <c r="J1284" s="0" t="inlineStr">
        <is>
          <t>YES! 主键相关索引</t>
        </is>
      </c>
      <c r="K1284" s="0" t="inlineStr">
        <is>
          <t>YES! 	 id列源备映射正确，源端为int None位	期望更改为int	实际备端为int None位</t>
        </is>
      </c>
    </row>
    <row r="1285">
      <c r="B1285" s="0" t="inlineStr">
        <is>
          <t>NULL</t>
        </is>
      </c>
      <c r="C1285" s="0" t="inlineStr">
        <is>
          <t>NULL</t>
        </is>
      </c>
      <c r="D1285" s="0" t="inlineStr">
        <is>
          <t>NULL</t>
        </is>
      </c>
      <c r="E1285" s="0" t="inlineStr">
        <is>
          <t>NULL</t>
        </is>
      </c>
      <c r="F1285" s="0" t="inlineStr">
        <is>
          <t>NULL</t>
        </is>
      </c>
      <c r="G1285" s="0" t="inlineStr">
        <is>
          <t>NULL</t>
        </is>
      </c>
      <c r="H1285" s="0" t="inlineStr">
        <is>
          <t>NULL</t>
        </is>
      </c>
      <c r="I1285" s="0" t="inlineStr">
        <is>
          <t>NULL</t>
        </is>
      </c>
      <c r="J1285" s="0" t="inlineStr">
        <is>
          <t>NULL</t>
        </is>
      </c>
      <c r="K1285" s="0" t="inlineStr">
        <is>
          <t>[0;32m YES! [0m 	 c_dtoffset_0列源备映射正确，源端为datetimeoffset None位	期望更改为varchar(34)	实际备端为varchar 136位	位数精度不存在，通过长度比较</t>
        </is>
      </c>
    </row>
    <row r="1286">
      <c r="B1286" s="0" t="inlineStr">
        <is>
          <t>NULL</t>
        </is>
      </c>
      <c r="C1286" s="0" t="inlineStr">
        <is>
          <t>NULL</t>
        </is>
      </c>
      <c r="D1286" s="0" t="inlineStr">
        <is>
          <t>NULL</t>
        </is>
      </c>
      <c r="E1286" s="0" t="inlineStr">
        <is>
          <t>NULL</t>
        </is>
      </c>
      <c r="F1286" s="0" t="inlineStr">
        <is>
          <t>NULL</t>
        </is>
      </c>
      <c r="G1286" s="0" t="inlineStr">
        <is>
          <t>NULL</t>
        </is>
      </c>
      <c r="H1286" s="0" t="inlineStr">
        <is>
          <t>NULL</t>
        </is>
      </c>
      <c r="I1286" s="0" t="inlineStr">
        <is>
          <t>NULL</t>
        </is>
      </c>
      <c r="J1286" s="0" t="inlineStr">
        <is>
          <t>NULL</t>
        </is>
      </c>
      <c r="K1286" s="0" t="inlineStr">
        <is>
          <t>[0;32m YES! [0m 	 c_dtoffset_1列源备映射正确，源端为datetimeoffset None位	期望更改为varchar(34)	实际备端为varchar 136位	位数精度不存在，通过长度比较</t>
        </is>
      </c>
    </row>
    <row r="1287">
      <c r="B1287" s="0" t="inlineStr">
        <is>
          <t>NULL</t>
        </is>
      </c>
      <c r="C1287" s="0" t="inlineStr">
        <is>
          <t>NULL</t>
        </is>
      </c>
      <c r="D1287" s="0" t="inlineStr">
        <is>
          <t>NULL</t>
        </is>
      </c>
      <c r="E1287" s="0" t="inlineStr">
        <is>
          <t>NULL</t>
        </is>
      </c>
      <c r="F1287" s="0" t="inlineStr">
        <is>
          <t>NULL</t>
        </is>
      </c>
      <c r="G1287" s="0" t="inlineStr">
        <is>
          <t>NULL</t>
        </is>
      </c>
      <c r="H1287" s="0" t="inlineStr">
        <is>
          <t>NULL</t>
        </is>
      </c>
      <c r="I1287" s="0" t="inlineStr">
        <is>
          <t>NULL</t>
        </is>
      </c>
      <c r="J1287" s="0" t="inlineStr">
        <is>
          <t>NULL</t>
        </is>
      </c>
      <c r="K1287" s="0" t="inlineStr">
        <is>
          <t>[0;32m YES! [0m 	 c_dtoffset_2列源备映射正确，源端为datetimeoffset None位	期望更改为varchar(34)	实际备端为varchar 136位	位数精度不存在，通过长度比较</t>
        </is>
      </c>
    </row>
    <row r="1288">
      <c r="B1288" s="0" t="inlineStr">
        <is>
          <t>NULL</t>
        </is>
      </c>
      <c r="C1288" s="0" t="inlineStr">
        <is>
          <t>NULL</t>
        </is>
      </c>
      <c r="D1288" s="0" t="inlineStr">
        <is>
          <t>NULL</t>
        </is>
      </c>
      <c r="E1288" s="0" t="inlineStr">
        <is>
          <t>NULL</t>
        </is>
      </c>
      <c r="F1288" s="0" t="inlineStr">
        <is>
          <t>NULL</t>
        </is>
      </c>
      <c r="G1288" s="0" t="inlineStr">
        <is>
          <t>NULL</t>
        </is>
      </c>
      <c r="H1288" s="0" t="inlineStr">
        <is>
          <t>NULL</t>
        </is>
      </c>
      <c r="I1288" s="0" t="inlineStr">
        <is>
          <t>NULL</t>
        </is>
      </c>
      <c r="J1288" s="0" t="inlineStr">
        <is>
          <t>NULL</t>
        </is>
      </c>
      <c r="K1288" s="0" t="inlineStr">
        <is>
          <t>[0;32m YES! [0m 	 c_dtoffset_3列源备映射正确，源端为datetimeoffset None位	期望更改为varchar(34)	实际备端为varchar 136位	位数精度不存在，通过长度比较</t>
        </is>
      </c>
    </row>
    <row r="1289">
      <c r="B1289" s="0" t="inlineStr">
        <is>
          <t>NULL</t>
        </is>
      </c>
      <c r="C1289" s="0" t="inlineStr">
        <is>
          <t>NULL</t>
        </is>
      </c>
      <c r="D1289" s="0" t="inlineStr">
        <is>
          <t>NULL</t>
        </is>
      </c>
      <c r="E1289" s="0" t="inlineStr">
        <is>
          <t>NULL</t>
        </is>
      </c>
      <c r="F1289" s="0" t="inlineStr">
        <is>
          <t>NULL</t>
        </is>
      </c>
      <c r="G1289" s="0" t="inlineStr">
        <is>
          <t>NULL</t>
        </is>
      </c>
      <c r="H1289" s="0" t="inlineStr">
        <is>
          <t>NULL</t>
        </is>
      </c>
      <c r="I1289" s="0" t="inlineStr">
        <is>
          <t>NULL</t>
        </is>
      </c>
      <c r="J1289" s="0" t="inlineStr">
        <is>
          <t>NULL</t>
        </is>
      </c>
      <c r="K1289" s="0" t="inlineStr">
        <is>
          <t>[0;32m YES! [0m 	 c_dtoffset_4列源备映射正确，源端为datetimeoffset None位	期望更改为varchar(34)	实际备端为varchar 136位	位数精度不存在，通过长度比较</t>
        </is>
      </c>
    </row>
    <row r="1290">
      <c r="B1290" s="0" t="inlineStr">
        <is>
          <t>NULL</t>
        </is>
      </c>
      <c r="C1290" s="0" t="inlineStr">
        <is>
          <t>NULL</t>
        </is>
      </c>
      <c r="D1290" s="0" t="inlineStr">
        <is>
          <t>NULL</t>
        </is>
      </c>
      <c r="E1290" s="0" t="inlineStr">
        <is>
          <t>NULL</t>
        </is>
      </c>
      <c r="F1290" s="0" t="inlineStr">
        <is>
          <t>NULL</t>
        </is>
      </c>
      <c r="G1290" s="0" t="inlineStr">
        <is>
          <t>NULL</t>
        </is>
      </c>
      <c r="H1290" s="0" t="inlineStr">
        <is>
          <t>NULL</t>
        </is>
      </c>
      <c r="I1290" s="0" t="inlineStr">
        <is>
          <t>NULL</t>
        </is>
      </c>
      <c r="J1290" s="0" t="inlineStr">
        <is>
          <t>NULL</t>
        </is>
      </c>
      <c r="K1290" s="0" t="inlineStr">
        <is>
          <t>[0;32m YES! [0m 	 c_dtoffset_5列源备映射正确，源端为datetimeoffset None位	期望更改为varchar(34)	实际备端为varchar 136位	位数精度不存在，通过长度比较</t>
        </is>
      </c>
    </row>
    <row r="1291">
      <c r="B1291" s="0" t="inlineStr">
        <is>
          <t>NULL</t>
        </is>
      </c>
      <c r="C1291" s="0" t="inlineStr">
        <is>
          <t>NULL</t>
        </is>
      </c>
      <c r="D1291" s="0" t="inlineStr">
        <is>
          <t>NULL</t>
        </is>
      </c>
      <c r="E1291" s="0" t="inlineStr">
        <is>
          <t>NULL</t>
        </is>
      </c>
      <c r="F1291" s="0" t="inlineStr">
        <is>
          <t>NULL</t>
        </is>
      </c>
      <c r="G1291" s="0" t="inlineStr">
        <is>
          <t>NULL</t>
        </is>
      </c>
      <c r="H1291" s="0" t="inlineStr">
        <is>
          <t>NULL</t>
        </is>
      </c>
      <c r="I1291" s="0" t="inlineStr">
        <is>
          <t>NULL</t>
        </is>
      </c>
      <c r="J1291" s="0" t="inlineStr">
        <is>
          <t>NULL</t>
        </is>
      </c>
      <c r="K1291" s="0" t="inlineStr">
        <is>
          <t>[0;32m YES! [0m 	 c_dtoffset_6列源备映射正确，源端为datetimeoffset None位	期望更改为varchar(34)	实际备端为varchar 136位	位数精度不存在，通过长度比较</t>
        </is>
      </c>
    </row>
    <row r="1292">
      <c r="B1292" s="0" t="inlineStr">
        <is>
          <t>NULL</t>
        </is>
      </c>
      <c r="C1292" s="0" t="inlineStr">
        <is>
          <t>NULL</t>
        </is>
      </c>
      <c r="D1292" s="0" t="inlineStr">
        <is>
          <t>NULL</t>
        </is>
      </c>
      <c r="E1292" s="0" t="inlineStr">
        <is>
          <t>NULL</t>
        </is>
      </c>
      <c r="F1292" s="0" t="inlineStr">
        <is>
          <t>NULL</t>
        </is>
      </c>
      <c r="G1292" s="0" t="inlineStr">
        <is>
          <t>NULL</t>
        </is>
      </c>
      <c r="H1292" s="0" t="inlineStr">
        <is>
          <t>NULL</t>
        </is>
      </c>
      <c r="I1292" s="0" t="inlineStr">
        <is>
          <t>NULL</t>
        </is>
      </c>
      <c r="J1292" s="0" t="inlineStr">
        <is>
          <t>NULL</t>
        </is>
      </c>
      <c r="K1292" s="0" t="inlineStr">
        <is>
          <t>[0;32m YES! [0m 	 c_dtoffset列源备映射正确，源端为datetimeoffset None位	期望更改为varchar(34)	实际备端为varchar 136位	位数精度不存在，通过长度比较</t>
        </is>
      </c>
    </row>
    <row r="1293">
      <c r="A1293" s="0" t="inlineStr">
        <is>
          <t>info_time_dml_single_nopk</t>
        </is>
      </c>
      <c r="K1293" s="0" t="inlineStr">
        <is>
          <t>[0;34m info_time_dml_single_nopk [0m源备字段数相同，源端字段：9 	备端字段9</t>
        </is>
      </c>
      <c r="W1293" s="0" t="inlineStr">
        <is>
          <t>YES 源备无差异</t>
        </is>
      </c>
      <c r="X1293" s="0">
        <f>A1293</f>
        <v/>
      </c>
    </row>
    <row r="1294">
      <c r="B1294" s="0" t="inlineStr">
        <is>
          <t>NULL</t>
        </is>
      </c>
      <c r="C1294" s="0" t="inlineStr">
        <is>
          <t>NULL</t>
        </is>
      </c>
      <c r="D1294" s="0" t="inlineStr">
        <is>
          <t>NULL</t>
        </is>
      </c>
      <c r="E1294" s="0" t="inlineStr">
        <is>
          <t>NULL</t>
        </is>
      </c>
      <c r="F1294" s="0" t="inlineStr">
        <is>
          <t>NULL</t>
        </is>
      </c>
      <c r="G1294" s="0" t="inlineStr">
        <is>
          <t>NULL</t>
        </is>
      </c>
      <c r="H1294" s="0" t="inlineStr">
        <is>
          <t>NULL</t>
        </is>
      </c>
      <c r="I1294" s="0" t="inlineStr">
        <is>
          <t>NULL</t>
        </is>
      </c>
      <c r="J1294" s="0" t="inlineStr">
        <is>
          <t>NULL</t>
        </is>
      </c>
      <c r="K1294" s="0" t="inlineStr">
        <is>
          <t>YES! 	 id列源备映射正确，源端为int None位	期望更改为int	实际备端为int None位</t>
        </is>
      </c>
    </row>
    <row r="1295">
      <c r="B1295" s="0" t="inlineStr">
        <is>
          <t>NULL</t>
        </is>
      </c>
      <c r="C1295" s="0" t="inlineStr">
        <is>
          <t>NULL</t>
        </is>
      </c>
      <c r="D1295" s="0" t="inlineStr">
        <is>
          <t>NULL</t>
        </is>
      </c>
      <c r="E1295" s="0" t="inlineStr">
        <is>
          <t>NULL</t>
        </is>
      </c>
      <c r="F1295" s="0" t="inlineStr">
        <is>
          <t>NULL</t>
        </is>
      </c>
      <c r="G1295" s="0" t="inlineStr">
        <is>
          <t>NULL</t>
        </is>
      </c>
      <c r="H1295" s="0" t="inlineStr">
        <is>
          <t>NULL</t>
        </is>
      </c>
      <c r="I1295" s="0" t="inlineStr">
        <is>
          <t>NULL</t>
        </is>
      </c>
      <c r="J1295" s="0" t="inlineStr">
        <is>
          <t>NULL</t>
        </is>
      </c>
      <c r="K1295" s="0" t="inlineStr">
        <is>
          <t>[0;32m YES! [0m 	 c_time0列源备映射正确，源端为time None位	期望更改为varchar(20)	实际备端为varchar 80位	位数精度不存在，通过长度比较</t>
        </is>
      </c>
    </row>
    <row r="1296">
      <c r="B1296" s="0" t="inlineStr">
        <is>
          <t>NULL</t>
        </is>
      </c>
      <c r="C1296" s="0" t="inlineStr">
        <is>
          <t>NULL</t>
        </is>
      </c>
      <c r="D1296" s="0" t="inlineStr">
        <is>
          <t>NULL</t>
        </is>
      </c>
      <c r="E1296" s="0" t="inlineStr">
        <is>
          <t>NULL</t>
        </is>
      </c>
      <c r="F1296" s="0" t="inlineStr">
        <is>
          <t>NULL</t>
        </is>
      </c>
      <c r="G1296" s="0" t="inlineStr">
        <is>
          <t>NULL</t>
        </is>
      </c>
      <c r="H1296" s="0" t="inlineStr">
        <is>
          <t>NULL</t>
        </is>
      </c>
      <c r="I1296" s="0" t="inlineStr">
        <is>
          <t>NULL</t>
        </is>
      </c>
      <c r="J1296" s="0" t="inlineStr">
        <is>
          <t>NULL</t>
        </is>
      </c>
      <c r="K1296" s="0" t="inlineStr">
        <is>
          <t>[0;32m YES! [0m 	 c_time1列源备映射正确，源端为time None位	期望更改为varchar(20)	实际备端为varchar 80位	位数精度不存在，通过长度比较</t>
        </is>
      </c>
    </row>
    <row r="1297">
      <c r="B1297" s="0" t="inlineStr">
        <is>
          <t>NULL</t>
        </is>
      </c>
      <c r="C1297" s="0" t="inlineStr">
        <is>
          <t>NULL</t>
        </is>
      </c>
      <c r="D1297" s="0" t="inlineStr">
        <is>
          <t>NULL</t>
        </is>
      </c>
      <c r="E1297" s="0" t="inlineStr">
        <is>
          <t>NULL</t>
        </is>
      </c>
      <c r="F1297" s="0" t="inlineStr">
        <is>
          <t>NULL</t>
        </is>
      </c>
      <c r="G1297" s="0" t="inlineStr">
        <is>
          <t>NULL</t>
        </is>
      </c>
      <c r="H1297" s="0" t="inlineStr">
        <is>
          <t>NULL</t>
        </is>
      </c>
      <c r="I1297" s="0" t="inlineStr">
        <is>
          <t>NULL</t>
        </is>
      </c>
      <c r="J1297" s="0" t="inlineStr">
        <is>
          <t>NULL</t>
        </is>
      </c>
      <c r="K1297" s="0" t="inlineStr">
        <is>
          <t>[0;32m YES! [0m 	 c_time2列源备映射正确，源端为time None位	期望更改为varchar(20)	实际备端为varchar 80位	位数精度不存在，通过长度比较</t>
        </is>
      </c>
    </row>
    <row r="1298">
      <c r="B1298" s="0" t="inlineStr">
        <is>
          <t>NULL</t>
        </is>
      </c>
      <c r="C1298" s="0" t="inlineStr">
        <is>
          <t>NULL</t>
        </is>
      </c>
      <c r="D1298" s="0" t="inlineStr">
        <is>
          <t>NULL</t>
        </is>
      </c>
      <c r="E1298" s="0" t="inlineStr">
        <is>
          <t>NULL</t>
        </is>
      </c>
      <c r="F1298" s="0" t="inlineStr">
        <is>
          <t>NULL</t>
        </is>
      </c>
      <c r="G1298" s="0" t="inlineStr">
        <is>
          <t>NULL</t>
        </is>
      </c>
      <c r="H1298" s="0" t="inlineStr">
        <is>
          <t>NULL</t>
        </is>
      </c>
      <c r="I1298" s="0" t="inlineStr">
        <is>
          <t>NULL</t>
        </is>
      </c>
      <c r="J1298" s="0" t="inlineStr">
        <is>
          <t>NULL</t>
        </is>
      </c>
      <c r="K1298" s="0" t="inlineStr">
        <is>
          <t>[0;32m YES! [0m 	 c_time3列源备映射正确，源端为time None位	期望更改为varchar(20)	实际备端为varchar 80位	位数精度不存在，通过长度比较</t>
        </is>
      </c>
    </row>
    <row r="1299">
      <c r="B1299" s="0" t="inlineStr">
        <is>
          <t>NULL</t>
        </is>
      </c>
      <c r="C1299" s="0" t="inlineStr">
        <is>
          <t>NULL</t>
        </is>
      </c>
      <c r="D1299" s="0" t="inlineStr">
        <is>
          <t>NULL</t>
        </is>
      </c>
      <c r="E1299" s="0" t="inlineStr">
        <is>
          <t>NULL</t>
        </is>
      </c>
      <c r="F1299" s="0" t="inlineStr">
        <is>
          <t>NULL</t>
        </is>
      </c>
      <c r="G1299" s="0" t="inlineStr">
        <is>
          <t>NULL</t>
        </is>
      </c>
      <c r="H1299" s="0" t="inlineStr">
        <is>
          <t>NULL</t>
        </is>
      </c>
      <c r="I1299" s="0" t="inlineStr">
        <is>
          <t>NULL</t>
        </is>
      </c>
      <c r="J1299" s="0" t="inlineStr">
        <is>
          <t>NULL</t>
        </is>
      </c>
      <c r="K1299" s="0" t="inlineStr">
        <is>
          <t>[0;32m YES! [0m 	 c_time4列源备映射正确，源端为time None位	期望更改为varchar(20)	实际备端为varchar 80位	位数精度不存在，通过长度比较</t>
        </is>
      </c>
    </row>
    <row r="1300">
      <c r="B1300" s="0" t="inlineStr">
        <is>
          <t>NULL</t>
        </is>
      </c>
      <c r="C1300" s="0" t="inlineStr">
        <is>
          <t>NULL</t>
        </is>
      </c>
      <c r="D1300" s="0" t="inlineStr">
        <is>
          <t>NULL</t>
        </is>
      </c>
      <c r="E1300" s="0" t="inlineStr">
        <is>
          <t>NULL</t>
        </is>
      </c>
      <c r="F1300" s="0" t="inlineStr">
        <is>
          <t>NULL</t>
        </is>
      </c>
      <c r="G1300" s="0" t="inlineStr">
        <is>
          <t>NULL</t>
        </is>
      </c>
      <c r="H1300" s="0" t="inlineStr">
        <is>
          <t>NULL</t>
        </is>
      </c>
      <c r="I1300" s="0" t="inlineStr">
        <is>
          <t>NULL</t>
        </is>
      </c>
      <c r="J1300" s="0" t="inlineStr">
        <is>
          <t>NULL</t>
        </is>
      </c>
      <c r="K1300" s="0" t="inlineStr">
        <is>
          <t>[0;32m YES! [0m 	 c_time5列源备映射正确，源端为time None位	期望更改为varchar(20)	实际备端为varchar 80位	位数精度不存在，通过长度比较</t>
        </is>
      </c>
    </row>
    <row r="1301">
      <c r="B1301" s="0" t="inlineStr">
        <is>
          <t>NULL</t>
        </is>
      </c>
      <c r="C1301" s="0" t="inlineStr">
        <is>
          <t>NULL</t>
        </is>
      </c>
      <c r="D1301" s="0" t="inlineStr">
        <is>
          <t>NULL</t>
        </is>
      </c>
      <c r="E1301" s="0" t="inlineStr">
        <is>
          <t>NULL</t>
        </is>
      </c>
      <c r="F1301" s="0" t="inlineStr">
        <is>
          <t>NULL</t>
        </is>
      </c>
      <c r="G1301" s="0" t="inlineStr">
        <is>
          <t>NULL</t>
        </is>
      </c>
      <c r="H1301" s="0" t="inlineStr">
        <is>
          <t>NULL</t>
        </is>
      </c>
      <c r="I1301" s="0" t="inlineStr">
        <is>
          <t>NULL</t>
        </is>
      </c>
      <c r="J1301" s="0" t="inlineStr">
        <is>
          <t>NULL</t>
        </is>
      </c>
      <c r="K1301" s="0" t="inlineStr">
        <is>
          <t>[0;32m YES! [0m 	 c_time6列源备映射正确，源端为time None位	期望更改为varchar(20)	实际备端为varchar 80位	位数精度不存在，通过长度比较</t>
        </is>
      </c>
    </row>
    <row r="1302">
      <c r="B1302" s="0" t="inlineStr">
        <is>
          <t>NULL</t>
        </is>
      </c>
      <c r="C1302" s="0" t="inlineStr">
        <is>
          <t>NO!源None备NUL</t>
        </is>
      </c>
      <c r="D1302" s="0" t="inlineStr">
        <is>
          <t>NULL</t>
        </is>
      </c>
      <c r="E1302" s="0" t="inlineStr">
        <is>
          <t>NULL</t>
        </is>
      </c>
      <c r="F1302" s="0" t="inlineStr">
        <is>
          <t>NULL</t>
        </is>
      </c>
      <c r="G1302" s="0" t="inlineStr">
        <is>
          <t>NULL</t>
        </is>
      </c>
      <c r="H1302" s="0" t="inlineStr">
        <is>
          <t>NULL</t>
        </is>
      </c>
      <c r="I1302" s="0" t="inlineStr">
        <is>
          <t>NULL</t>
        </is>
      </c>
      <c r="J1302" s="0" t="inlineStr">
        <is>
          <t>NULL</t>
        </is>
      </c>
      <c r="K1302" s="0" t="inlineStr">
        <is>
          <t>[0;32m YES! [0m 	 c_time列源备映射正确，源端为time None位	期望更改为varchar(20)	实际备端为varchar 80位	位数精度不存在，通过长度比较</t>
        </is>
      </c>
    </row>
    <row r="1303">
      <c r="A1303" s="0" t="inlineStr">
        <is>
          <t>info_nvarchar_dml_batch1_pk</t>
        </is>
      </c>
      <c r="K1303" s="0" t="inlineStr">
        <is>
          <t>[0;34m info_nvarchar_dml_batch1_pk [0m源备字段数相同，源端字段：4 	备端字段4</t>
        </is>
      </c>
      <c r="W1303" s="0" t="inlineStr">
        <is>
          <t>YES 源备无差异</t>
        </is>
      </c>
      <c r="X1303" s="0">
        <f>A1303</f>
        <v/>
      </c>
    </row>
    <row r="1304">
      <c r="B1304" s="0" t="inlineStr">
        <is>
          <t>YES</t>
        </is>
      </c>
      <c r="C1304" s="0" t="inlineStr">
        <is>
          <t>NULL</t>
        </is>
      </c>
      <c r="D1304" s="0" t="inlineStr">
        <is>
          <t>NULL</t>
        </is>
      </c>
      <c r="E1304" s="0" t="inlineStr">
        <is>
          <t>NULL</t>
        </is>
      </c>
      <c r="F1304" s="0" t="inlineStr">
        <is>
          <t>NULL</t>
        </is>
      </c>
      <c r="G1304" s="0" t="inlineStr">
        <is>
          <t>NULL</t>
        </is>
      </c>
      <c r="H1304" s="0" t="inlineStr">
        <is>
          <t>NULL</t>
        </is>
      </c>
      <c r="I1304" s="0" t="inlineStr">
        <is>
          <t>YES!PK__info_nva__3213E83F25B073D3</t>
        </is>
      </c>
      <c r="J1304" s="0" t="inlineStr">
        <is>
          <t>YES! 主键相关索引</t>
        </is>
      </c>
      <c r="K1304" s="0" t="inlineStr">
        <is>
          <t>YES! 	 id列源备映射正确，源端为int None位	期望更改为int	实际备端为int None位</t>
        </is>
      </c>
    </row>
    <row r="1305">
      <c r="B1305" s="0" t="inlineStr">
        <is>
          <t>NULL</t>
        </is>
      </c>
      <c r="C1305" s="0" t="inlineStr">
        <is>
          <t>NULL</t>
        </is>
      </c>
      <c r="D1305" s="0" t="inlineStr">
        <is>
          <t>NULL</t>
        </is>
      </c>
      <c r="E1305" s="0" t="inlineStr">
        <is>
          <t>NULL</t>
        </is>
      </c>
      <c r="F1305" s="0" t="inlineStr">
        <is>
          <t>NULL</t>
        </is>
      </c>
      <c r="G1305" s="0" t="inlineStr">
        <is>
          <t>NULL</t>
        </is>
      </c>
      <c r="H1305" s="0" t="inlineStr">
        <is>
          <t>NULL</t>
        </is>
      </c>
      <c r="I1305" s="0" t="inlineStr">
        <is>
          <t>NULL</t>
        </is>
      </c>
      <c r="J1305" s="0" t="inlineStr">
        <is>
          <t>NULL</t>
        </is>
      </c>
      <c r="K1305" s="0" t="inlineStr">
        <is>
          <t>YES! 	 c_nvarchar列源备映射正确，源端为nvarchar 2位	期望更改为varchar(n)	实际备端为varchar 4位</t>
        </is>
      </c>
    </row>
    <row r="1306">
      <c r="B1306" s="0" t="inlineStr">
        <is>
          <t>NULL</t>
        </is>
      </c>
      <c r="C1306" s="0" t="inlineStr">
        <is>
          <t>NULL</t>
        </is>
      </c>
      <c r="D1306" s="0" t="inlineStr">
        <is>
          <t>NULL</t>
        </is>
      </c>
      <c r="E1306" s="0" t="inlineStr">
        <is>
          <t>NULL</t>
        </is>
      </c>
      <c r="F1306" s="0" t="inlineStr">
        <is>
          <t>NULL</t>
        </is>
      </c>
      <c r="G1306" s="0" t="inlineStr">
        <is>
          <t>NULL</t>
        </is>
      </c>
      <c r="H1306" s="0" t="inlineStr">
        <is>
          <t>NULL</t>
        </is>
      </c>
      <c r="I1306" s="0" t="inlineStr">
        <is>
          <t>NULL</t>
        </is>
      </c>
      <c r="J1306" s="0" t="inlineStr">
        <is>
          <t>NULL</t>
        </is>
      </c>
      <c r="K1306" s="0" t="inlineStr">
        <is>
          <t>YES! 	 c_nvarchar20列源备映射正确，源端为nvarchar 40位	期望更改为varchar(n)	实际备端为varchar 80位</t>
        </is>
      </c>
    </row>
    <row r="1307">
      <c r="B1307" s="0" t="inlineStr">
        <is>
          <t>NULL</t>
        </is>
      </c>
      <c r="C1307" s="0" t="inlineStr">
        <is>
          <t>NULL</t>
        </is>
      </c>
      <c r="D1307" s="0" t="inlineStr">
        <is>
          <t>NULL</t>
        </is>
      </c>
      <c r="E1307" s="0" t="inlineStr">
        <is>
          <t>NULL</t>
        </is>
      </c>
      <c r="F1307" s="0" t="inlineStr">
        <is>
          <t>NULL</t>
        </is>
      </c>
      <c r="G1307" s="0" t="inlineStr">
        <is>
          <t>NULL</t>
        </is>
      </c>
      <c r="H1307" s="0" t="inlineStr">
        <is>
          <t>NULL</t>
        </is>
      </c>
      <c r="I1307" s="0" t="inlineStr">
        <is>
          <t>NULL</t>
        </is>
      </c>
      <c r="J1307" s="0" t="inlineStr">
        <is>
          <t>NULL</t>
        </is>
      </c>
      <c r="K1307" s="0" t="inlineStr">
        <is>
          <t xml:space="preserve"> NO!  	 c_nvarchar3500列源备映射错误，源端为nchar 7000位	期望更改为varchar(n)	实际备端为text 65535位</t>
        </is>
      </c>
    </row>
    <row r="1308">
      <c r="A1308" s="0" t="inlineStr">
        <is>
          <t>info_datetime2_dml_single_pk_urp</t>
        </is>
      </c>
      <c r="K1308" s="0" t="inlineStr">
        <is>
          <t>[0;34m info_datetime2_dml_single_pk_urp [0m源备字段数相同，源端字段：9 	备端字段9</t>
        </is>
      </c>
      <c r="W1308" s="0" t="inlineStr">
        <is>
          <t>YES 源备无差异</t>
        </is>
      </c>
      <c r="X1308" s="0">
        <f>A1308</f>
        <v/>
      </c>
    </row>
    <row r="1309">
      <c r="B1309" s="0" t="inlineStr">
        <is>
          <t>YES</t>
        </is>
      </c>
      <c r="C1309" s="0" t="inlineStr">
        <is>
          <t>NULL</t>
        </is>
      </c>
      <c r="D1309" s="0" t="inlineStr">
        <is>
          <t>NULL</t>
        </is>
      </c>
      <c r="E1309" s="0" t="inlineStr">
        <is>
          <t>NULL</t>
        </is>
      </c>
      <c r="F1309" s="0" t="inlineStr">
        <is>
          <t>NULL</t>
        </is>
      </c>
      <c r="G1309" s="0" t="inlineStr">
        <is>
          <t>NULL</t>
        </is>
      </c>
      <c r="H1309" s="0" t="inlineStr">
        <is>
          <t>NULL</t>
        </is>
      </c>
      <c r="I1309" s="0" t="inlineStr">
        <is>
          <t>YES!PK__info_dat__3213E83F2B423AF7</t>
        </is>
      </c>
      <c r="J1309" s="0" t="inlineStr">
        <is>
          <t>YES! 主键相关索引</t>
        </is>
      </c>
      <c r="K1309" s="0" t="inlineStr">
        <is>
          <t>YES! 	 id列源备映射正确，源端为int None位	期望更改为int	实际备端为int None位</t>
        </is>
      </c>
    </row>
    <row r="1310">
      <c r="B1310" s="0" t="inlineStr">
        <is>
          <t>NULL</t>
        </is>
      </c>
      <c r="C1310" s="0" t="inlineStr">
        <is>
          <t>NULL</t>
        </is>
      </c>
      <c r="D1310" s="0" t="inlineStr">
        <is>
          <t>NULL</t>
        </is>
      </c>
      <c r="E1310" s="0" t="inlineStr">
        <is>
          <t>NULL</t>
        </is>
      </c>
      <c r="F1310" s="0" t="inlineStr">
        <is>
          <t>NULL</t>
        </is>
      </c>
      <c r="G1310" s="0" t="inlineStr">
        <is>
          <t>NULL</t>
        </is>
      </c>
      <c r="H1310" s="0" t="inlineStr">
        <is>
          <t>NULL</t>
        </is>
      </c>
      <c r="I1310" s="0" t="inlineStr">
        <is>
          <t>NULL</t>
        </is>
      </c>
      <c r="J1310" s="0" t="inlineStr">
        <is>
          <t>NULL</t>
        </is>
      </c>
      <c r="K1310" s="0" t="inlineStr">
        <is>
          <t>no,len不存在</t>
        </is>
      </c>
    </row>
    <row r="1311">
      <c r="B1311" s="0" t="inlineStr">
        <is>
          <t>NULL</t>
        </is>
      </c>
      <c r="C1311" s="0" t="inlineStr">
        <is>
          <t>NULL</t>
        </is>
      </c>
      <c r="D1311" s="0" t="inlineStr">
        <is>
          <t>NULL</t>
        </is>
      </c>
      <c r="E1311" s="0" t="inlineStr">
        <is>
          <t>NULL</t>
        </is>
      </c>
      <c r="F1311" s="0" t="inlineStr">
        <is>
          <t>NULL</t>
        </is>
      </c>
      <c r="G1311" s="0" t="inlineStr">
        <is>
          <t>NULL</t>
        </is>
      </c>
      <c r="H1311" s="0" t="inlineStr">
        <is>
          <t>NULL</t>
        </is>
      </c>
      <c r="I1311" s="0" t="inlineStr">
        <is>
          <t>NULL</t>
        </is>
      </c>
      <c r="J1311" s="0" t="inlineStr">
        <is>
          <t>NULL</t>
        </is>
      </c>
      <c r="K1311" s="0" t="inlineStr">
        <is>
          <t>YES! 	 c_dt2_1列源备映射正确，源端为datetime2 None位	期望更改为datetime(n)	实际备端为datetime None位</t>
        </is>
      </c>
    </row>
    <row r="1312">
      <c r="B1312" s="0" t="inlineStr">
        <is>
          <t>NULL</t>
        </is>
      </c>
      <c r="C1312" s="0" t="inlineStr">
        <is>
          <t>NULL</t>
        </is>
      </c>
      <c r="D1312" s="0" t="inlineStr">
        <is>
          <t>NULL</t>
        </is>
      </c>
      <c r="E1312" s="0" t="inlineStr">
        <is>
          <t>NULL</t>
        </is>
      </c>
      <c r="F1312" s="0" t="inlineStr">
        <is>
          <t>NULL</t>
        </is>
      </c>
      <c r="G1312" s="0" t="inlineStr">
        <is>
          <t>NULL</t>
        </is>
      </c>
      <c r="H1312" s="0" t="inlineStr">
        <is>
          <t>NULL</t>
        </is>
      </c>
      <c r="I1312" s="0" t="inlineStr">
        <is>
          <t>NULL</t>
        </is>
      </c>
      <c r="J1312" s="0" t="inlineStr">
        <is>
          <t>NULL</t>
        </is>
      </c>
      <c r="K1312" s="0" t="inlineStr">
        <is>
          <t>YES! 	 c_dt2_2列源备映射正确，源端为datetime2 None位	期望更改为datetime(n)	实际备端为datetime None位</t>
        </is>
      </c>
    </row>
    <row r="1313">
      <c r="B1313" s="0" t="inlineStr">
        <is>
          <t>NULL</t>
        </is>
      </c>
      <c r="C1313" s="0" t="inlineStr">
        <is>
          <t>NULL</t>
        </is>
      </c>
      <c r="D1313" s="0" t="inlineStr">
        <is>
          <t>NULL</t>
        </is>
      </c>
      <c r="E1313" s="0" t="inlineStr">
        <is>
          <t>NULL</t>
        </is>
      </c>
      <c r="F1313" s="0" t="inlineStr">
        <is>
          <t>NULL</t>
        </is>
      </c>
      <c r="G1313" s="0" t="inlineStr">
        <is>
          <t>NULL</t>
        </is>
      </c>
      <c r="H1313" s="0" t="inlineStr">
        <is>
          <t>NULL</t>
        </is>
      </c>
      <c r="I1313" s="0" t="inlineStr">
        <is>
          <t>NULL</t>
        </is>
      </c>
      <c r="J1313" s="0" t="inlineStr">
        <is>
          <t>NULL</t>
        </is>
      </c>
      <c r="K1313" s="0" t="inlineStr">
        <is>
          <t>YES! 	 c_dt2_3列源备映射正确，源端为datetime2 None位	期望更改为datetime(n)	实际备端为datetime None位</t>
        </is>
      </c>
    </row>
    <row r="1314">
      <c r="B1314" s="0" t="inlineStr">
        <is>
          <t>NULL</t>
        </is>
      </c>
      <c r="C1314" s="0" t="inlineStr">
        <is>
          <t>NULL</t>
        </is>
      </c>
      <c r="D1314" s="0" t="inlineStr">
        <is>
          <t>NULL</t>
        </is>
      </c>
      <c r="E1314" s="0" t="inlineStr">
        <is>
          <t>NULL</t>
        </is>
      </c>
      <c r="F1314" s="0" t="inlineStr">
        <is>
          <t>NULL</t>
        </is>
      </c>
      <c r="G1314" s="0" t="inlineStr">
        <is>
          <t>NULL</t>
        </is>
      </c>
      <c r="H1314" s="0" t="inlineStr">
        <is>
          <t>NULL</t>
        </is>
      </c>
      <c r="I1314" s="0" t="inlineStr">
        <is>
          <t>NULL</t>
        </is>
      </c>
      <c r="J1314" s="0" t="inlineStr">
        <is>
          <t>NULL</t>
        </is>
      </c>
      <c r="K1314" s="0" t="inlineStr">
        <is>
          <t>YES! 	 c_dt2_4列源备映射正确，源端为datetime2 None位	期望更改为datetime(n)	实际备端为datetime None位</t>
        </is>
      </c>
    </row>
    <row r="1315">
      <c r="B1315" s="0" t="inlineStr">
        <is>
          <t>NULL</t>
        </is>
      </c>
      <c r="C1315" s="0" t="inlineStr">
        <is>
          <t>NULL</t>
        </is>
      </c>
      <c r="D1315" s="0" t="inlineStr">
        <is>
          <t>NULL</t>
        </is>
      </c>
      <c r="E1315" s="0" t="inlineStr">
        <is>
          <t>NULL</t>
        </is>
      </c>
      <c r="F1315" s="0" t="inlineStr">
        <is>
          <t>NULL</t>
        </is>
      </c>
      <c r="G1315" s="0" t="inlineStr">
        <is>
          <t>NULL</t>
        </is>
      </c>
      <c r="H1315" s="0" t="inlineStr">
        <is>
          <t>NULL</t>
        </is>
      </c>
      <c r="I1315" s="0" t="inlineStr">
        <is>
          <t>NULL</t>
        </is>
      </c>
      <c r="J1315" s="0" t="inlineStr">
        <is>
          <t>NULL</t>
        </is>
      </c>
      <c r="K1315" s="0" t="inlineStr">
        <is>
          <t>YES! 	 c_dt2_5列源备映射正确，源端为datetime2 None位	期望更改为datetime(n)	实际备端为datetime None位</t>
        </is>
      </c>
    </row>
    <row r="1316">
      <c r="B1316" s="0" t="inlineStr">
        <is>
          <t>NULL</t>
        </is>
      </c>
      <c r="C1316" s="0" t="inlineStr">
        <is>
          <t>NULL</t>
        </is>
      </c>
      <c r="D1316" s="0" t="inlineStr">
        <is>
          <t>NULL</t>
        </is>
      </c>
      <c r="E1316" s="0" t="inlineStr">
        <is>
          <t>NULL</t>
        </is>
      </c>
      <c r="F1316" s="0" t="inlineStr">
        <is>
          <t>NULL</t>
        </is>
      </c>
      <c r="G1316" s="0" t="inlineStr">
        <is>
          <t>NULL</t>
        </is>
      </c>
      <c r="H1316" s="0" t="inlineStr">
        <is>
          <t>NULL</t>
        </is>
      </c>
      <c r="I1316" s="0" t="inlineStr">
        <is>
          <t>NULL</t>
        </is>
      </c>
      <c r="J1316" s="0" t="inlineStr">
        <is>
          <t>NULL</t>
        </is>
      </c>
      <c r="K1316" s="0" t="inlineStr">
        <is>
          <t>YES! 	 c_dt2_6列源备映射正确，源端为datetime2 None位	期望更改为datetime(n)	实际备端为datetime None位</t>
        </is>
      </c>
    </row>
    <row r="1317">
      <c r="B1317" s="0" t="inlineStr">
        <is>
          <t>NULL</t>
        </is>
      </c>
      <c r="C1317" s="0" t="inlineStr">
        <is>
          <t>NULL</t>
        </is>
      </c>
      <c r="D1317" s="0" t="inlineStr">
        <is>
          <t>NULL</t>
        </is>
      </c>
      <c r="E1317" s="0" t="inlineStr">
        <is>
          <t>NULL</t>
        </is>
      </c>
      <c r="F1317" s="0" t="inlineStr">
        <is>
          <t>NULL</t>
        </is>
      </c>
      <c r="G1317" s="0" t="inlineStr">
        <is>
          <t>NULL</t>
        </is>
      </c>
      <c r="H1317" s="0" t="inlineStr">
        <is>
          <t>NULL</t>
        </is>
      </c>
      <c r="I1317" s="0" t="inlineStr">
        <is>
          <t>NULL</t>
        </is>
      </c>
      <c r="J1317" s="0" t="inlineStr">
        <is>
          <t>NULL</t>
        </is>
      </c>
      <c r="K1317" s="0" t="inlineStr">
        <is>
          <t xml:space="preserve"> NO!  	 c_dt2列源备映射错误，源端为datetime2 None位	期望更改为datetime(n)	实际备端为varchar 136位</t>
        </is>
      </c>
    </row>
    <row r="1318">
      <c r="A1318" s="0" t="inlineStr">
        <is>
          <t>info_sdt_dml_single_nopk_irp</t>
        </is>
      </c>
      <c r="K1318" s="0" t="inlineStr">
        <is>
          <t>[0;34m info_sdt_dml_single_nopk_irp [0m源备字段数相同，源端字段：2 	备端字段2</t>
        </is>
      </c>
      <c r="W1318" s="0" t="inlineStr">
        <is>
          <t>YES 源备无差异</t>
        </is>
      </c>
      <c r="X1318" s="0">
        <f>A1318</f>
        <v/>
      </c>
    </row>
    <row r="1319">
      <c r="B1319" s="0" t="inlineStr">
        <is>
          <t>NULL</t>
        </is>
      </c>
      <c r="C1319" s="0" t="inlineStr">
        <is>
          <t>NULL</t>
        </is>
      </c>
      <c r="D1319" s="0" t="inlineStr">
        <is>
          <t>NULL</t>
        </is>
      </c>
      <c r="E1319" s="0" t="inlineStr">
        <is>
          <t>NULL</t>
        </is>
      </c>
      <c r="F1319" s="0" t="inlineStr">
        <is>
          <t>NULL</t>
        </is>
      </c>
      <c r="G1319" s="0" t="inlineStr">
        <is>
          <t>NULL</t>
        </is>
      </c>
      <c r="H1319" s="0" t="inlineStr">
        <is>
          <t>NULL</t>
        </is>
      </c>
      <c r="I1319" s="0" t="inlineStr">
        <is>
          <t>NULL</t>
        </is>
      </c>
      <c r="J1319" s="0" t="inlineStr">
        <is>
          <t>NULL</t>
        </is>
      </c>
      <c r="K1319" s="0" t="inlineStr">
        <is>
          <t>YES! 	 id列源备映射正确，源端为int None位	期望更改为int	实际备端为int None位</t>
        </is>
      </c>
    </row>
    <row r="1320">
      <c r="B1320" s="0" t="inlineStr">
        <is>
          <t>NULL</t>
        </is>
      </c>
      <c r="C1320" s="0" t="inlineStr">
        <is>
          <t>NO!源None备NUL</t>
        </is>
      </c>
      <c r="D1320" s="0" t="inlineStr">
        <is>
          <t>NULL</t>
        </is>
      </c>
      <c r="E1320" s="0" t="inlineStr">
        <is>
          <t>NULL</t>
        </is>
      </c>
      <c r="F1320" s="0" t="inlineStr">
        <is>
          <t>NULL</t>
        </is>
      </c>
      <c r="G1320" s="0" t="inlineStr">
        <is>
          <t>NULL</t>
        </is>
      </c>
      <c r="H1320" s="0" t="inlineStr">
        <is>
          <t>NULL</t>
        </is>
      </c>
      <c r="I1320" s="0" t="inlineStr">
        <is>
          <t>NULL</t>
        </is>
      </c>
      <c r="J1320" s="0" t="inlineStr">
        <is>
          <t>NULL</t>
        </is>
      </c>
      <c r="K1320" s="0" t="inlineStr">
        <is>
          <t>YES! 	 c_sdt列源备映射正确，源端为smalldatetime None位	期望更改为datetime	实际备端为datetime None位</t>
        </is>
      </c>
    </row>
    <row r="1321">
      <c r="A1321" s="0" t="inlineStr">
        <is>
          <t>info_datetimeoffset_dml_batch1_pk_urp1</t>
        </is>
      </c>
      <c r="K1321" s="0" t="inlineStr">
        <is>
          <t>[0;34m info_datetimeoffset_dml_batch1_pk_urp1 [0m源备字段数相同，源端字段：9 	备端字段9</t>
        </is>
      </c>
      <c r="W1321" s="0" t="inlineStr">
        <is>
          <t>YES 源备无差异</t>
        </is>
      </c>
      <c r="X1321" s="0">
        <f>A1321</f>
        <v/>
      </c>
    </row>
    <row r="1322">
      <c r="B1322" s="0" t="inlineStr">
        <is>
          <t>YES</t>
        </is>
      </c>
      <c r="C1322" s="0" t="inlineStr">
        <is>
          <t>NULL</t>
        </is>
      </c>
      <c r="D1322" s="0" t="inlineStr">
        <is>
          <t>NULL</t>
        </is>
      </c>
      <c r="E1322" s="0" t="inlineStr">
        <is>
          <t>NULL</t>
        </is>
      </c>
      <c r="F1322" s="0" t="inlineStr">
        <is>
          <t>NULL</t>
        </is>
      </c>
      <c r="G1322" s="0" t="inlineStr">
        <is>
          <t>NULL</t>
        </is>
      </c>
      <c r="H1322" s="0" t="inlineStr">
        <is>
          <t>NULL</t>
        </is>
      </c>
      <c r="I1322" s="0" t="inlineStr">
        <is>
          <t>YES!PK__info_dat__3213E83F38BE76EF</t>
        </is>
      </c>
      <c r="J1322" s="0" t="inlineStr">
        <is>
          <t>YES! 主键相关索引</t>
        </is>
      </c>
      <c r="K1322" s="0" t="inlineStr">
        <is>
          <t>YES! 	 id列源备映射正确，源端为int None位	期望更改为int	实际备端为int None位</t>
        </is>
      </c>
    </row>
    <row r="1323">
      <c r="B1323" s="0" t="inlineStr">
        <is>
          <t>NULL</t>
        </is>
      </c>
      <c r="C1323" s="0" t="inlineStr">
        <is>
          <t>NULL</t>
        </is>
      </c>
      <c r="D1323" s="0" t="inlineStr">
        <is>
          <t>NULL</t>
        </is>
      </c>
      <c r="E1323" s="0" t="inlineStr">
        <is>
          <t>NULL</t>
        </is>
      </c>
      <c r="F1323" s="0" t="inlineStr">
        <is>
          <t>NULL</t>
        </is>
      </c>
      <c r="G1323" s="0" t="inlineStr">
        <is>
          <t>NULL</t>
        </is>
      </c>
      <c r="H1323" s="0" t="inlineStr">
        <is>
          <t>NULL</t>
        </is>
      </c>
      <c r="I1323" s="0" t="inlineStr">
        <is>
          <t>NULL</t>
        </is>
      </c>
      <c r="J1323" s="0" t="inlineStr">
        <is>
          <t>NULL</t>
        </is>
      </c>
      <c r="K1323" s="0" t="inlineStr">
        <is>
          <t>[0;32m YES! [0m 	 c_dtoffset_0列源备映射正确，源端为datetimeoffset None位	期望更改为varchar(34)	实际备端为varchar 136位	位数精度不存在，通过长度比较</t>
        </is>
      </c>
    </row>
    <row r="1324">
      <c r="B1324" s="0" t="inlineStr">
        <is>
          <t>NULL</t>
        </is>
      </c>
      <c r="C1324" s="0" t="inlineStr">
        <is>
          <t>NULL</t>
        </is>
      </c>
      <c r="D1324" s="0" t="inlineStr">
        <is>
          <t>NULL</t>
        </is>
      </c>
      <c r="E1324" s="0" t="inlineStr">
        <is>
          <t>NULL</t>
        </is>
      </c>
      <c r="F1324" s="0" t="inlineStr">
        <is>
          <t>NULL</t>
        </is>
      </c>
      <c r="G1324" s="0" t="inlineStr">
        <is>
          <t>NULL</t>
        </is>
      </c>
      <c r="H1324" s="0" t="inlineStr">
        <is>
          <t>NULL</t>
        </is>
      </c>
      <c r="I1324" s="0" t="inlineStr">
        <is>
          <t>NULL</t>
        </is>
      </c>
      <c r="J1324" s="0" t="inlineStr">
        <is>
          <t>NULL</t>
        </is>
      </c>
      <c r="K1324" s="0" t="inlineStr">
        <is>
          <t>[0;32m YES! [0m 	 c_dtoffset_1列源备映射正确，源端为datetimeoffset None位	期望更改为varchar(34)	实际备端为varchar 136位	位数精度不存在，通过长度比较</t>
        </is>
      </c>
    </row>
    <row r="1325">
      <c r="B1325" s="0" t="inlineStr">
        <is>
          <t>NULL</t>
        </is>
      </c>
      <c r="C1325" s="0" t="inlineStr">
        <is>
          <t>NULL</t>
        </is>
      </c>
      <c r="D1325" s="0" t="inlineStr">
        <is>
          <t>NULL</t>
        </is>
      </c>
      <c r="E1325" s="0" t="inlineStr">
        <is>
          <t>NULL</t>
        </is>
      </c>
      <c r="F1325" s="0" t="inlineStr">
        <is>
          <t>NULL</t>
        </is>
      </c>
      <c r="G1325" s="0" t="inlineStr">
        <is>
          <t>NULL</t>
        </is>
      </c>
      <c r="H1325" s="0" t="inlineStr">
        <is>
          <t>NULL</t>
        </is>
      </c>
      <c r="I1325" s="0" t="inlineStr">
        <is>
          <t>NULL</t>
        </is>
      </c>
      <c r="J1325" s="0" t="inlineStr">
        <is>
          <t>NULL</t>
        </is>
      </c>
      <c r="K1325" s="0" t="inlineStr">
        <is>
          <t>[0;32m YES! [0m 	 c_dtoffset_2列源备映射正确，源端为datetimeoffset None位	期望更改为varchar(34)	实际备端为varchar 136位	位数精度不存在，通过长度比较</t>
        </is>
      </c>
    </row>
    <row r="1326">
      <c r="B1326" s="0" t="inlineStr">
        <is>
          <t>NULL</t>
        </is>
      </c>
      <c r="C1326" s="0" t="inlineStr">
        <is>
          <t>NULL</t>
        </is>
      </c>
      <c r="D1326" s="0" t="inlineStr">
        <is>
          <t>NULL</t>
        </is>
      </c>
      <c r="E1326" s="0" t="inlineStr">
        <is>
          <t>NULL</t>
        </is>
      </c>
      <c r="F1326" s="0" t="inlineStr">
        <is>
          <t>NULL</t>
        </is>
      </c>
      <c r="G1326" s="0" t="inlineStr">
        <is>
          <t>NULL</t>
        </is>
      </c>
      <c r="H1326" s="0" t="inlineStr">
        <is>
          <t>NULL</t>
        </is>
      </c>
      <c r="I1326" s="0" t="inlineStr">
        <is>
          <t>NULL</t>
        </is>
      </c>
      <c r="J1326" s="0" t="inlineStr">
        <is>
          <t>NULL</t>
        </is>
      </c>
      <c r="K1326" s="0" t="inlineStr">
        <is>
          <t>[0;32m YES! [0m 	 c_dtoffset_3列源备映射正确，源端为datetimeoffset None位	期望更改为varchar(34)	实际备端为varchar 136位	位数精度不存在，通过长度比较</t>
        </is>
      </c>
    </row>
    <row r="1327">
      <c r="B1327" s="0" t="inlineStr">
        <is>
          <t>NULL</t>
        </is>
      </c>
      <c r="C1327" s="0" t="inlineStr">
        <is>
          <t>NULL</t>
        </is>
      </c>
      <c r="D1327" s="0" t="inlineStr">
        <is>
          <t>NULL</t>
        </is>
      </c>
      <c r="E1327" s="0" t="inlineStr">
        <is>
          <t>NULL</t>
        </is>
      </c>
      <c r="F1327" s="0" t="inlineStr">
        <is>
          <t>NULL</t>
        </is>
      </c>
      <c r="G1327" s="0" t="inlineStr">
        <is>
          <t>NULL</t>
        </is>
      </c>
      <c r="H1327" s="0" t="inlineStr">
        <is>
          <t>NULL</t>
        </is>
      </c>
      <c r="I1327" s="0" t="inlineStr">
        <is>
          <t>NULL</t>
        </is>
      </c>
      <c r="J1327" s="0" t="inlineStr">
        <is>
          <t>NULL</t>
        </is>
      </c>
      <c r="K1327" s="0" t="inlineStr">
        <is>
          <t>[0;32m YES! [0m 	 c_dtoffset_4列源备映射正确，源端为datetimeoffset None位	期望更改为varchar(34)	实际备端为varchar 136位	位数精度不存在，通过长度比较</t>
        </is>
      </c>
    </row>
    <row r="1328">
      <c r="B1328" s="0" t="inlineStr">
        <is>
          <t>NULL</t>
        </is>
      </c>
      <c r="C1328" s="0" t="inlineStr">
        <is>
          <t>NULL</t>
        </is>
      </c>
      <c r="D1328" s="0" t="inlineStr">
        <is>
          <t>NULL</t>
        </is>
      </c>
      <c r="E1328" s="0" t="inlineStr">
        <is>
          <t>NULL</t>
        </is>
      </c>
      <c r="F1328" s="0" t="inlineStr">
        <is>
          <t>NULL</t>
        </is>
      </c>
      <c r="G1328" s="0" t="inlineStr">
        <is>
          <t>NULL</t>
        </is>
      </c>
      <c r="H1328" s="0" t="inlineStr">
        <is>
          <t>NULL</t>
        </is>
      </c>
      <c r="I1328" s="0" t="inlineStr">
        <is>
          <t>NULL</t>
        </is>
      </c>
      <c r="J1328" s="0" t="inlineStr">
        <is>
          <t>NULL</t>
        </is>
      </c>
      <c r="K1328" s="0" t="inlineStr">
        <is>
          <t>[0;32m YES! [0m 	 c_dtoffset_5列源备映射正确，源端为datetimeoffset None位	期望更改为varchar(34)	实际备端为varchar 136位	位数精度不存在，通过长度比较</t>
        </is>
      </c>
    </row>
    <row r="1329">
      <c r="B1329" s="0" t="inlineStr">
        <is>
          <t>NULL</t>
        </is>
      </c>
      <c r="C1329" s="0" t="inlineStr">
        <is>
          <t>NULL</t>
        </is>
      </c>
      <c r="D1329" s="0" t="inlineStr">
        <is>
          <t>NULL</t>
        </is>
      </c>
      <c r="E1329" s="0" t="inlineStr">
        <is>
          <t>NULL</t>
        </is>
      </c>
      <c r="F1329" s="0" t="inlineStr">
        <is>
          <t>NULL</t>
        </is>
      </c>
      <c r="G1329" s="0" t="inlineStr">
        <is>
          <t>NULL</t>
        </is>
      </c>
      <c r="H1329" s="0" t="inlineStr">
        <is>
          <t>NULL</t>
        </is>
      </c>
      <c r="I1329" s="0" t="inlineStr">
        <is>
          <t>NULL</t>
        </is>
      </c>
      <c r="J1329" s="0" t="inlineStr">
        <is>
          <t>NULL</t>
        </is>
      </c>
      <c r="K1329" s="0" t="inlineStr">
        <is>
          <t>[0;32m YES! [0m 	 c_dtoffset_6列源备映射正确，源端为datetimeoffset None位	期望更改为varchar(34)	实际备端为varchar 136位	位数精度不存在，通过长度比较</t>
        </is>
      </c>
    </row>
    <row r="1330">
      <c r="B1330" s="0" t="inlineStr">
        <is>
          <t>NULL</t>
        </is>
      </c>
      <c r="C1330" s="0" t="inlineStr">
        <is>
          <t>NULL</t>
        </is>
      </c>
      <c r="D1330" s="0" t="inlineStr">
        <is>
          <t>NULL</t>
        </is>
      </c>
      <c r="E1330" s="0" t="inlineStr">
        <is>
          <t>NULL</t>
        </is>
      </c>
      <c r="F1330" s="0" t="inlineStr">
        <is>
          <t>NULL</t>
        </is>
      </c>
      <c r="G1330" s="0" t="inlineStr">
        <is>
          <t>NULL</t>
        </is>
      </c>
      <c r="H1330" s="0" t="inlineStr">
        <is>
          <t>NULL</t>
        </is>
      </c>
      <c r="I1330" s="0" t="inlineStr">
        <is>
          <t>NULL</t>
        </is>
      </c>
      <c r="J1330" s="0" t="inlineStr">
        <is>
          <t>NULL</t>
        </is>
      </c>
      <c r="K1330" s="0" t="inlineStr">
        <is>
          <t>[0;32m YES! [0m 	 c_dtoffset列源备映射正确，源端为datetimeoffset None位	期望更改为varchar(34)	实际备端为varchar 136位	位数精度不存在，通过长度比较</t>
        </is>
      </c>
    </row>
    <row r="1331">
      <c r="A1331" s="0" t="inlineStr">
        <is>
          <t>info_sdt_dml_single_nopk_urp</t>
        </is>
      </c>
      <c r="K1331" s="0" t="inlineStr">
        <is>
          <t>[0;34m info_sdt_dml_single_nopk_urp [0m源备字段数相同，源端字段：2 	备端字段2</t>
        </is>
      </c>
      <c r="W1331" s="0" t="inlineStr">
        <is>
          <t>YES 源备无差异</t>
        </is>
      </c>
      <c r="X1331" s="0">
        <f>A1331</f>
        <v/>
      </c>
    </row>
    <row r="1332">
      <c r="B1332" s="0" t="inlineStr">
        <is>
          <t>NULL</t>
        </is>
      </c>
      <c r="C1332" s="0" t="inlineStr">
        <is>
          <t>NULL</t>
        </is>
      </c>
      <c r="D1332" s="0" t="inlineStr">
        <is>
          <t>NULL</t>
        </is>
      </c>
      <c r="E1332" s="0" t="inlineStr">
        <is>
          <t>NULL</t>
        </is>
      </c>
      <c r="F1332" s="0" t="inlineStr">
        <is>
          <t>NULL</t>
        </is>
      </c>
      <c r="G1332" s="0" t="inlineStr">
        <is>
          <t>NULL</t>
        </is>
      </c>
      <c r="H1332" s="0" t="inlineStr">
        <is>
          <t>NULL</t>
        </is>
      </c>
      <c r="I1332" s="0" t="inlineStr">
        <is>
          <t>NULL</t>
        </is>
      </c>
      <c r="J1332" s="0" t="inlineStr">
        <is>
          <t>NULL</t>
        </is>
      </c>
      <c r="K1332" s="0" t="inlineStr">
        <is>
          <t>YES! 	 id列源备映射正确，源端为int None位	期望更改为int	实际备端为int None位</t>
        </is>
      </c>
    </row>
    <row r="1333">
      <c r="B1333" s="0" t="inlineStr">
        <is>
          <t>NULL</t>
        </is>
      </c>
      <c r="C1333" s="0" t="inlineStr">
        <is>
          <t>NO!源None备NUL</t>
        </is>
      </c>
      <c r="D1333" s="0" t="inlineStr">
        <is>
          <t>NULL</t>
        </is>
      </c>
      <c r="E1333" s="0" t="inlineStr">
        <is>
          <t>NULL</t>
        </is>
      </c>
      <c r="F1333" s="0" t="inlineStr">
        <is>
          <t>NULL</t>
        </is>
      </c>
      <c r="G1333" s="0" t="inlineStr">
        <is>
          <t>NULL</t>
        </is>
      </c>
      <c r="H1333" s="0" t="inlineStr">
        <is>
          <t>NULL</t>
        </is>
      </c>
      <c r="I1333" s="0" t="inlineStr">
        <is>
          <t>NULL</t>
        </is>
      </c>
      <c r="J1333" s="0" t="inlineStr">
        <is>
          <t>NULL</t>
        </is>
      </c>
      <c r="K1333" s="0" t="inlineStr">
        <is>
          <t>YES! 	 c_sdt列源备映射正确，源端为smalldatetime None位	期望更改为datetime	实际备端为datetime None位</t>
        </is>
      </c>
    </row>
    <row r="1334">
      <c r="A1334" s="0" t="inlineStr">
        <is>
          <t>info_varcharmax_dml_batch1_pk_irp1</t>
        </is>
      </c>
      <c r="K1334" s="0" t="inlineStr">
        <is>
          <t>[0;34m info_varcharmax_dml_batch1_pk_irp1 [0m源备字段数相同，源端字段：3 	备端字段3</t>
        </is>
      </c>
      <c r="W1334" s="0" t="inlineStr">
        <is>
          <t>YES 源备无差异</t>
        </is>
      </c>
      <c r="X1334" s="0">
        <f>A1334</f>
        <v/>
      </c>
    </row>
    <row r="1335">
      <c r="B1335" s="0" t="inlineStr">
        <is>
          <t>YES</t>
        </is>
      </c>
      <c r="C1335" s="0" t="inlineStr">
        <is>
          <t>NULL</t>
        </is>
      </c>
      <c r="D1335" s="0" t="inlineStr">
        <is>
          <t>NULL</t>
        </is>
      </c>
      <c r="E1335" s="0" t="inlineStr">
        <is>
          <t>NULL</t>
        </is>
      </c>
      <c r="F1335" s="0" t="inlineStr">
        <is>
          <t>NULL</t>
        </is>
      </c>
      <c r="G1335" s="0" t="inlineStr">
        <is>
          <t>NULL</t>
        </is>
      </c>
      <c r="H1335" s="0" t="inlineStr">
        <is>
          <t>NULL</t>
        </is>
      </c>
      <c r="I1335" s="0" t="inlineStr">
        <is>
          <t>YES!PK__info_var__3213E83F4FAC50C4</t>
        </is>
      </c>
      <c r="J1335" s="0" t="inlineStr">
        <is>
          <t>YES! 主键相关索引</t>
        </is>
      </c>
      <c r="K1335" s="0" t="inlineStr">
        <is>
          <t>YES! 	 id列源备映射正确，源端为int None位	期望更改为int	实际备端为int None位</t>
        </is>
      </c>
    </row>
    <row r="1336">
      <c r="B1336" s="0" t="inlineStr">
        <is>
          <t>NULL</t>
        </is>
      </c>
      <c r="C1336" s="0" t="inlineStr">
        <is>
          <t>NULL</t>
        </is>
      </c>
      <c r="D1336" s="0" t="inlineStr">
        <is>
          <t>NULL</t>
        </is>
      </c>
      <c r="E1336" s="0" t="inlineStr">
        <is>
          <t>NULL</t>
        </is>
      </c>
      <c r="F1336" s="0" t="inlineStr">
        <is>
          <t>NULL</t>
        </is>
      </c>
      <c r="G1336" s="0" t="inlineStr">
        <is>
          <t>NULL</t>
        </is>
      </c>
      <c r="H1336" s="0" t="inlineStr">
        <is>
          <t>NULL</t>
        </is>
      </c>
      <c r="I1336" s="0" t="inlineStr">
        <is>
          <t>NULL</t>
        </is>
      </c>
      <c r="J1336" s="0" t="inlineStr">
        <is>
          <t>NULL</t>
        </is>
      </c>
      <c r="K1336" s="0" t="inlineStr">
        <is>
          <t>YES! 	 c_varchar_max列源备映射正确，源端为varchar -1位	期望更改为longtext	实际备端为longtext 4294967295位</t>
        </is>
      </c>
    </row>
    <row r="1337">
      <c r="B1337" s="0" t="inlineStr">
        <is>
          <t>NULL</t>
        </is>
      </c>
      <c r="C1337" s="0" t="inlineStr">
        <is>
          <t>NULL</t>
        </is>
      </c>
      <c r="D1337" s="0" t="inlineStr">
        <is>
          <t>NULL</t>
        </is>
      </c>
      <c r="E1337" s="0" t="inlineStr">
        <is>
          <t>NULL</t>
        </is>
      </c>
      <c r="F1337" s="0" t="inlineStr">
        <is>
          <t>NULL</t>
        </is>
      </c>
      <c r="G1337" s="0" t="inlineStr">
        <is>
          <t>NULL</t>
        </is>
      </c>
      <c r="H1337" s="0" t="inlineStr">
        <is>
          <t>NULL</t>
        </is>
      </c>
      <c r="I1337" s="0" t="inlineStr">
        <is>
          <t>NULL</t>
        </is>
      </c>
      <c r="J1337" s="0" t="inlineStr">
        <is>
          <t>NULL</t>
        </is>
      </c>
      <c r="K1337" s="0" t="inlineStr">
        <is>
          <t>YES! 	 c_nvarchar_max列源备映射正确，源端为nvarchar -1位	期望更改为longtext	实际备端为longtext 4294967295位</t>
        </is>
      </c>
    </row>
    <row r="1338">
      <c r="K1338" s="0" t="inlineStr">
        <is>
          <t>~ 空表</t>
        </is>
      </c>
    </row>
    <row r="1339">
      <c r="A1339" s="0" t="inlineStr">
        <is>
          <t>info_datetime2_dml_single_pk_drp</t>
        </is>
      </c>
      <c r="K1339" s="0" t="inlineStr">
        <is>
          <t>[0;34m info_datetime2_dml_single_pk_drp [0m源备字段数相同，源端字段：9 	备端字段9</t>
        </is>
      </c>
      <c r="W1339" s="0" t="inlineStr">
        <is>
          <t>YES 源备无差异</t>
        </is>
      </c>
      <c r="X1339" s="0">
        <f>A1339</f>
        <v/>
      </c>
    </row>
    <row r="1340">
      <c r="B1340" s="0" t="inlineStr">
        <is>
          <t>YES</t>
        </is>
      </c>
      <c r="C1340" s="0" t="inlineStr">
        <is>
          <t>NULL</t>
        </is>
      </c>
      <c r="D1340" s="0" t="inlineStr">
        <is>
          <t>NULL</t>
        </is>
      </c>
      <c r="E1340" s="0" t="inlineStr">
        <is>
          <t>NULL</t>
        </is>
      </c>
      <c r="F1340" s="0" t="inlineStr">
        <is>
          <t>NULL</t>
        </is>
      </c>
      <c r="G1340" s="0" t="inlineStr">
        <is>
          <t>NULL</t>
        </is>
      </c>
      <c r="H1340" s="0" t="inlineStr">
        <is>
          <t>NULL</t>
        </is>
      </c>
      <c r="I1340" s="0" t="inlineStr">
        <is>
          <t>YES!PK__info_dat__3213E83FF3CB7347</t>
        </is>
      </c>
      <c r="J1340" s="0" t="inlineStr">
        <is>
          <t>YES! 主键相关索引</t>
        </is>
      </c>
      <c r="K1340" s="0" t="inlineStr">
        <is>
          <t>YES! 	 id列源备映射正确，源端为int None位	期望更改为int	实际备端为int None位</t>
        </is>
      </c>
    </row>
    <row r="1341">
      <c r="B1341" s="0" t="inlineStr">
        <is>
          <t>NULL</t>
        </is>
      </c>
      <c r="C1341" s="0" t="inlineStr">
        <is>
          <t>NULL</t>
        </is>
      </c>
      <c r="D1341" s="0" t="inlineStr">
        <is>
          <t>NULL</t>
        </is>
      </c>
      <c r="E1341" s="0" t="inlineStr">
        <is>
          <t>NULL</t>
        </is>
      </c>
      <c r="F1341" s="0" t="inlineStr">
        <is>
          <t>NULL</t>
        </is>
      </c>
      <c r="G1341" s="0" t="inlineStr">
        <is>
          <t>NULL</t>
        </is>
      </c>
      <c r="H1341" s="0" t="inlineStr">
        <is>
          <t>NULL</t>
        </is>
      </c>
      <c r="I1341" s="0" t="inlineStr">
        <is>
          <t>NULL</t>
        </is>
      </c>
      <c r="J1341" s="0" t="inlineStr">
        <is>
          <t>NULL</t>
        </is>
      </c>
      <c r="K1341" s="0" t="inlineStr">
        <is>
          <t>no,len不存在</t>
        </is>
      </c>
    </row>
    <row r="1342">
      <c r="B1342" s="0" t="inlineStr">
        <is>
          <t>NULL</t>
        </is>
      </c>
      <c r="C1342" s="0" t="inlineStr">
        <is>
          <t>NULL</t>
        </is>
      </c>
      <c r="D1342" s="0" t="inlineStr">
        <is>
          <t>NULL</t>
        </is>
      </c>
      <c r="E1342" s="0" t="inlineStr">
        <is>
          <t>NULL</t>
        </is>
      </c>
      <c r="F1342" s="0" t="inlineStr">
        <is>
          <t>NULL</t>
        </is>
      </c>
      <c r="G1342" s="0" t="inlineStr">
        <is>
          <t>NULL</t>
        </is>
      </c>
      <c r="H1342" s="0" t="inlineStr">
        <is>
          <t>NULL</t>
        </is>
      </c>
      <c r="I1342" s="0" t="inlineStr">
        <is>
          <t>NULL</t>
        </is>
      </c>
      <c r="J1342" s="0" t="inlineStr">
        <is>
          <t>NULL</t>
        </is>
      </c>
      <c r="K1342" s="0" t="inlineStr">
        <is>
          <t>YES! 	 c_dt2_1列源备映射正确，源端为datetime2 None位	期望更改为datetime(n)	实际备端为datetime None位</t>
        </is>
      </c>
    </row>
    <row r="1343">
      <c r="B1343" s="0" t="inlineStr">
        <is>
          <t>NULL</t>
        </is>
      </c>
      <c r="C1343" s="0" t="inlineStr">
        <is>
          <t>NULL</t>
        </is>
      </c>
      <c r="D1343" s="0" t="inlineStr">
        <is>
          <t>NULL</t>
        </is>
      </c>
      <c r="E1343" s="0" t="inlineStr">
        <is>
          <t>NULL</t>
        </is>
      </c>
      <c r="F1343" s="0" t="inlineStr">
        <is>
          <t>NULL</t>
        </is>
      </c>
      <c r="G1343" s="0" t="inlineStr">
        <is>
          <t>NULL</t>
        </is>
      </c>
      <c r="H1343" s="0" t="inlineStr">
        <is>
          <t>NULL</t>
        </is>
      </c>
      <c r="I1343" s="0" t="inlineStr">
        <is>
          <t>NULL</t>
        </is>
      </c>
      <c r="J1343" s="0" t="inlineStr">
        <is>
          <t>NULL</t>
        </is>
      </c>
      <c r="K1343" s="0" t="inlineStr">
        <is>
          <t>YES! 	 c_dt2_2列源备映射正确，源端为datetime2 None位	期望更改为datetime(n)	实际备端为datetime None位</t>
        </is>
      </c>
    </row>
    <row r="1344">
      <c r="B1344" s="0" t="inlineStr">
        <is>
          <t>NULL</t>
        </is>
      </c>
      <c r="C1344" s="0" t="inlineStr">
        <is>
          <t>NULL</t>
        </is>
      </c>
      <c r="D1344" s="0" t="inlineStr">
        <is>
          <t>NULL</t>
        </is>
      </c>
      <c r="E1344" s="0" t="inlineStr">
        <is>
          <t>NULL</t>
        </is>
      </c>
      <c r="F1344" s="0" t="inlineStr">
        <is>
          <t>NULL</t>
        </is>
      </c>
      <c r="G1344" s="0" t="inlineStr">
        <is>
          <t>NULL</t>
        </is>
      </c>
      <c r="H1344" s="0" t="inlineStr">
        <is>
          <t>NULL</t>
        </is>
      </c>
      <c r="I1344" s="0" t="inlineStr">
        <is>
          <t>NULL</t>
        </is>
      </c>
      <c r="J1344" s="0" t="inlineStr">
        <is>
          <t>NULL</t>
        </is>
      </c>
      <c r="K1344" s="0" t="inlineStr">
        <is>
          <t>YES! 	 c_dt2_3列源备映射正确，源端为datetime2 None位	期望更改为datetime(n)	实际备端为datetime None位</t>
        </is>
      </c>
    </row>
    <row r="1345">
      <c r="B1345" s="0" t="inlineStr">
        <is>
          <t>NULL</t>
        </is>
      </c>
      <c r="C1345" s="0" t="inlineStr">
        <is>
          <t>NULL</t>
        </is>
      </c>
      <c r="D1345" s="0" t="inlineStr">
        <is>
          <t>NULL</t>
        </is>
      </c>
      <c r="E1345" s="0" t="inlineStr">
        <is>
          <t>NULL</t>
        </is>
      </c>
      <c r="F1345" s="0" t="inlineStr">
        <is>
          <t>NULL</t>
        </is>
      </c>
      <c r="G1345" s="0" t="inlineStr">
        <is>
          <t>NULL</t>
        </is>
      </c>
      <c r="H1345" s="0" t="inlineStr">
        <is>
          <t>NULL</t>
        </is>
      </c>
      <c r="I1345" s="0" t="inlineStr">
        <is>
          <t>NULL</t>
        </is>
      </c>
      <c r="J1345" s="0" t="inlineStr">
        <is>
          <t>NULL</t>
        </is>
      </c>
      <c r="K1345" s="0" t="inlineStr">
        <is>
          <t>YES! 	 c_dt2_4列源备映射正确，源端为datetime2 None位	期望更改为datetime(n)	实际备端为datetime None位</t>
        </is>
      </c>
    </row>
    <row r="1346">
      <c r="B1346" s="0" t="inlineStr">
        <is>
          <t>NULL</t>
        </is>
      </c>
      <c r="C1346" s="0" t="inlineStr">
        <is>
          <t>NULL</t>
        </is>
      </c>
      <c r="D1346" s="0" t="inlineStr">
        <is>
          <t>NULL</t>
        </is>
      </c>
      <c r="E1346" s="0" t="inlineStr">
        <is>
          <t>NULL</t>
        </is>
      </c>
      <c r="F1346" s="0" t="inlineStr">
        <is>
          <t>NULL</t>
        </is>
      </c>
      <c r="G1346" s="0" t="inlineStr">
        <is>
          <t>NULL</t>
        </is>
      </c>
      <c r="H1346" s="0" t="inlineStr">
        <is>
          <t>NULL</t>
        </is>
      </c>
      <c r="I1346" s="0" t="inlineStr">
        <is>
          <t>NULL</t>
        </is>
      </c>
      <c r="J1346" s="0" t="inlineStr">
        <is>
          <t>NULL</t>
        </is>
      </c>
      <c r="K1346" s="0" t="inlineStr">
        <is>
          <t>YES! 	 c_dt2_5列源备映射正确，源端为datetime2 None位	期望更改为datetime(n)	实际备端为datetime None位</t>
        </is>
      </c>
    </row>
    <row r="1347">
      <c r="B1347" s="0" t="inlineStr">
        <is>
          <t>NULL</t>
        </is>
      </c>
      <c r="C1347" s="0" t="inlineStr">
        <is>
          <t>NULL</t>
        </is>
      </c>
      <c r="D1347" s="0" t="inlineStr">
        <is>
          <t>NULL</t>
        </is>
      </c>
      <c r="E1347" s="0" t="inlineStr">
        <is>
          <t>NULL</t>
        </is>
      </c>
      <c r="F1347" s="0" t="inlineStr">
        <is>
          <t>NULL</t>
        </is>
      </c>
      <c r="G1347" s="0" t="inlineStr">
        <is>
          <t>NULL</t>
        </is>
      </c>
      <c r="H1347" s="0" t="inlineStr">
        <is>
          <t>NULL</t>
        </is>
      </c>
      <c r="I1347" s="0" t="inlineStr">
        <is>
          <t>NULL</t>
        </is>
      </c>
      <c r="J1347" s="0" t="inlineStr">
        <is>
          <t>NULL</t>
        </is>
      </c>
      <c r="K1347" s="0" t="inlineStr">
        <is>
          <t>YES! 	 c_dt2_6列源备映射正确，源端为datetime2 None位	期望更改为datetime(n)	实际备端为datetime None位</t>
        </is>
      </c>
    </row>
    <row r="1348">
      <c r="B1348" s="0" t="inlineStr">
        <is>
          <t>NULL</t>
        </is>
      </c>
      <c r="C1348" s="0" t="inlineStr">
        <is>
          <t>NULL</t>
        </is>
      </c>
      <c r="D1348" s="0" t="inlineStr">
        <is>
          <t>NULL</t>
        </is>
      </c>
      <c r="E1348" s="0" t="inlineStr">
        <is>
          <t>NULL</t>
        </is>
      </c>
      <c r="F1348" s="0" t="inlineStr">
        <is>
          <t>NULL</t>
        </is>
      </c>
      <c r="G1348" s="0" t="inlineStr">
        <is>
          <t>NULL</t>
        </is>
      </c>
      <c r="H1348" s="0" t="inlineStr">
        <is>
          <t>NULL</t>
        </is>
      </c>
      <c r="I1348" s="0" t="inlineStr">
        <is>
          <t>NULL</t>
        </is>
      </c>
      <c r="J1348" s="0" t="inlineStr">
        <is>
          <t>NULL</t>
        </is>
      </c>
      <c r="K1348" s="0" t="inlineStr">
        <is>
          <t xml:space="preserve"> NO!  	 c_dt2列源备映射错误，源端为datetime2 None位	期望更改为datetime(n)	实际备端为varchar 136位</t>
        </is>
      </c>
    </row>
    <row r="1349">
      <c r="A1349" s="0" t="inlineStr">
        <is>
          <t>info_varbinary_dml_single_nopk</t>
        </is>
      </c>
      <c r="K1349" s="0" t="inlineStr">
        <is>
          <t>[0;34m info_varbinary_dml_single_nopk [0m源备字段数相同，源端字段：4 	备端字段4</t>
        </is>
      </c>
      <c r="W1349" s="0" t="inlineStr">
        <is>
          <t>YES 源备无差异</t>
        </is>
      </c>
      <c r="X1349" s="0">
        <f>A1349</f>
        <v/>
      </c>
    </row>
    <row r="1350">
      <c r="B1350" s="0" t="inlineStr">
        <is>
          <t>NULL</t>
        </is>
      </c>
      <c r="C1350" s="0" t="inlineStr">
        <is>
          <t>NULL</t>
        </is>
      </c>
      <c r="D1350" s="0" t="inlineStr">
        <is>
          <t>NULL</t>
        </is>
      </c>
      <c r="E1350" s="0" t="inlineStr">
        <is>
          <t>NULL</t>
        </is>
      </c>
      <c r="F1350" s="0" t="inlineStr">
        <is>
          <t>NULL</t>
        </is>
      </c>
      <c r="G1350" s="0" t="inlineStr">
        <is>
          <t>NULL</t>
        </is>
      </c>
      <c r="H1350" s="0" t="inlineStr">
        <is>
          <t>NULL</t>
        </is>
      </c>
      <c r="I1350" s="0" t="inlineStr">
        <is>
          <t>NULL</t>
        </is>
      </c>
      <c r="J1350" s="0" t="inlineStr">
        <is>
          <t>NULL</t>
        </is>
      </c>
      <c r="K1350" s="0" t="inlineStr">
        <is>
          <t>YES! 	 id列源备映射正确，源端为int None位	期望更改为int	实际备端为int None位</t>
        </is>
      </c>
    </row>
    <row r="1351">
      <c r="B1351" s="0" t="inlineStr">
        <is>
          <t>NULL</t>
        </is>
      </c>
      <c r="C1351" s="0" t="inlineStr">
        <is>
          <t>NULL</t>
        </is>
      </c>
      <c r="D1351" s="0" t="inlineStr">
        <is>
          <t>NULL</t>
        </is>
      </c>
      <c r="E1351" s="0" t="inlineStr">
        <is>
          <t>NULL</t>
        </is>
      </c>
      <c r="F1351" s="0" t="inlineStr">
        <is>
          <t>NULL</t>
        </is>
      </c>
      <c r="G1351" s="0" t="inlineStr">
        <is>
          <t>NULL</t>
        </is>
      </c>
      <c r="H1351" s="0" t="inlineStr">
        <is>
          <t>NULL</t>
        </is>
      </c>
      <c r="I1351" s="0" t="inlineStr">
        <is>
          <t>NULL</t>
        </is>
      </c>
      <c r="J1351" s="0" t="inlineStr">
        <is>
          <t>NULL</t>
        </is>
      </c>
      <c r="K1351" s="0" t="inlineStr">
        <is>
          <t>YES! 	 c_varbinary列源备映射正确，源端为varbinary 1位	期望更改为varbinary(n)	实际备端为varbinary 1位</t>
        </is>
      </c>
    </row>
    <row r="1352">
      <c r="B1352" s="0" t="inlineStr">
        <is>
          <t>NULL</t>
        </is>
      </c>
      <c r="C1352" s="0" t="inlineStr">
        <is>
          <t>NULL</t>
        </is>
      </c>
      <c r="D1352" s="0" t="inlineStr">
        <is>
          <t>NULL</t>
        </is>
      </c>
      <c r="E1352" s="0" t="inlineStr">
        <is>
          <t>NULL</t>
        </is>
      </c>
      <c r="F1352" s="0" t="inlineStr">
        <is>
          <t>NULL</t>
        </is>
      </c>
      <c r="G1352" s="0" t="inlineStr">
        <is>
          <t>NULL</t>
        </is>
      </c>
      <c r="H1352" s="0" t="inlineStr">
        <is>
          <t>NULL</t>
        </is>
      </c>
      <c r="I1352" s="0" t="inlineStr">
        <is>
          <t>NULL</t>
        </is>
      </c>
      <c r="J1352" s="0" t="inlineStr">
        <is>
          <t>NULL</t>
        </is>
      </c>
      <c r="K1352" s="0" t="inlineStr">
        <is>
          <t>YES! 	 c_varbinary_100列源备映射正确，源端为varbinary 20位	期望更改为varbinary(n)	实际备端为varbinary 20位</t>
        </is>
      </c>
    </row>
    <row r="1353">
      <c r="B1353" s="0" t="inlineStr">
        <is>
          <t>NULL</t>
        </is>
      </c>
      <c r="C1353" s="0" t="inlineStr">
        <is>
          <t>NULL</t>
        </is>
      </c>
      <c r="D1353" s="0" t="inlineStr">
        <is>
          <t>NULL</t>
        </is>
      </c>
      <c r="E1353" s="0" t="inlineStr">
        <is>
          <t>NULL</t>
        </is>
      </c>
      <c r="F1353" s="0" t="inlineStr">
        <is>
          <t>NULL</t>
        </is>
      </c>
      <c r="G1353" s="0" t="inlineStr">
        <is>
          <t>NULL</t>
        </is>
      </c>
      <c r="H1353" s="0" t="inlineStr">
        <is>
          <t>NULL</t>
        </is>
      </c>
      <c r="I1353" s="0" t="inlineStr">
        <is>
          <t>NULL</t>
        </is>
      </c>
      <c r="J1353" s="0" t="inlineStr">
        <is>
          <t>NULL</t>
        </is>
      </c>
      <c r="K1353" s="0" t="inlineStr">
        <is>
          <t>YES! 	 c_varbinary_8000列源备映射正确，源端为varbinary 8000位	期望更改为longblob	实际备端为longblob 4294967295位</t>
        </is>
      </c>
    </row>
    <row r="1354">
      <c r="A1354" s="0" t="inlineStr">
        <is>
          <t>info_sdt_dml_single_nopk_drp</t>
        </is>
      </c>
      <c r="K1354" s="0" t="inlineStr">
        <is>
          <t>[0;34m info_sdt_dml_single_nopk_drp [0m源备字段数相同，源端字段：2 	备端字段2</t>
        </is>
      </c>
      <c r="W1354" s="0" t="inlineStr">
        <is>
          <t>YES 源备无差异</t>
        </is>
      </c>
      <c r="X1354" s="0">
        <f>A1354</f>
        <v/>
      </c>
    </row>
    <row r="1355">
      <c r="B1355" s="0" t="inlineStr">
        <is>
          <t>NULL</t>
        </is>
      </c>
      <c r="C1355" s="0" t="inlineStr">
        <is>
          <t>NULL</t>
        </is>
      </c>
      <c r="D1355" s="0" t="inlineStr">
        <is>
          <t>NULL</t>
        </is>
      </c>
      <c r="E1355" s="0" t="inlineStr">
        <is>
          <t>NULL</t>
        </is>
      </c>
      <c r="F1355" s="0" t="inlineStr">
        <is>
          <t>NULL</t>
        </is>
      </c>
      <c r="G1355" s="0" t="inlineStr">
        <is>
          <t>NULL</t>
        </is>
      </c>
      <c r="H1355" s="0" t="inlineStr">
        <is>
          <t>NULL</t>
        </is>
      </c>
      <c r="I1355" s="0" t="inlineStr">
        <is>
          <t>NULL</t>
        </is>
      </c>
      <c r="J1355" s="0" t="inlineStr">
        <is>
          <t>NULL</t>
        </is>
      </c>
      <c r="K1355" s="0" t="inlineStr">
        <is>
          <t>YES! 	 id列源备映射正确，源端为int None位	期望更改为int	实际备端为int None位</t>
        </is>
      </c>
    </row>
    <row r="1356">
      <c r="B1356" s="0" t="inlineStr">
        <is>
          <t>NULL</t>
        </is>
      </c>
      <c r="C1356" s="0" t="inlineStr">
        <is>
          <t>NO!源None备NUL</t>
        </is>
      </c>
      <c r="D1356" s="0" t="inlineStr">
        <is>
          <t>NULL</t>
        </is>
      </c>
      <c r="E1356" s="0" t="inlineStr">
        <is>
          <t>NULL</t>
        </is>
      </c>
      <c r="F1356" s="0" t="inlineStr">
        <is>
          <t>NULL</t>
        </is>
      </c>
      <c r="G1356" s="0" t="inlineStr">
        <is>
          <t>NULL</t>
        </is>
      </c>
      <c r="H1356" s="0" t="inlineStr">
        <is>
          <t>NULL</t>
        </is>
      </c>
      <c r="I1356" s="0" t="inlineStr">
        <is>
          <t>NULL</t>
        </is>
      </c>
      <c r="J1356" s="0" t="inlineStr">
        <is>
          <t>NULL</t>
        </is>
      </c>
      <c r="K1356" s="0" t="inlineStr">
        <is>
          <t>YES! 	 c_sdt列源备映射正确，源端为smalldatetime None位	期望更改为datetime	实际备端为datetime None位</t>
        </is>
      </c>
    </row>
    <row r="1357">
      <c r="A1357" s="0" t="inlineStr">
        <is>
          <t>info_datetimeoffset_dml_batch1_pk_urp2</t>
        </is>
      </c>
      <c r="K1357" s="0" t="inlineStr">
        <is>
          <t>[0;34m info_datetimeoffset_dml_batch1_pk_urp2 [0m源备字段数相同，源端字段：9 	备端字段9</t>
        </is>
      </c>
      <c r="W1357" s="0" t="inlineStr">
        <is>
          <t>YES 源备无差异</t>
        </is>
      </c>
      <c r="X1357" s="0">
        <f>A1357</f>
        <v/>
      </c>
    </row>
    <row r="1358">
      <c r="B1358" s="0" t="inlineStr">
        <is>
          <t>YES</t>
        </is>
      </c>
      <c r="C1358" s="0" t="inlineStr">
        <is>
          <t>NULL</t>
        </is>
      </c>
      <c r="D1358" s="0" t="inlineStr">
        <is>
          <t>NULL</t>
        </is>
      </c>
      <c r="E1358" s="0" t="inlineStr">
        <is>
          <t>NULL</t>
        </is>
      </c>
      <c r="F1358" s="0" t="inlineStr">
        <is>
          <t>NULL</t>
        </is>
      </c>
      <c r="G1358" s="0" t="inlineStr">
        <is>
          <t>NULL</t>
        </is>
      </c>
      <c r="H1358" s="0" t="inlineStr">
        <is>
          <t>NULL</t>
        </is>
      </c>
      <c r="I1358" s="0" t="inlineStr">
        <is>
          <t>YES!PK__info_dat__3213E83F54E654A8</t>
        </is>
      </c>
      <c r="J1358" s="0" t="inlineStr">
        <is>
          <t>YES! 主键相关索引</t>
        </is>
      </c>
      <c r="K1358" s="0" t="inlineStr">
        <is>
          <t>YES! 	 id列源备映射正确，源端为int None位	期望更改为int	实际备端为int None位</t>
        </is>
      </c>
    </row>
    <row r="1359">
      <c r="B1359" s="0" t="inlineStr">
        <is>
          <t>NULL</t>
        </is>
      </c>
      <c r="C1359" s="0" t="inlineStr">
        <is>
          <t>NULL</t>
        </is>
      </c>
      <c r="D1359" s="0" t="inlineStr">
        <is>
          <t>NULL</t>
        </is>
      </c>
      <c r="E1359" s="0" t="inlineStr">
        <is>
          <t>NULL</t>
        </is>
      </c>
      <c r="F1359" s="0" t="inlineStr">
        <is>
          <t>NULL</t>
        </is>
      </c>
      <c r="G1359" s="0" t="inlineStr">
        <is>
          <t>NULL</t>
        </is>
      </c>
      <c r="H1359" s="0" t="inlineStr">
        <is>
          <t>NULL</t>
        </is>
      </c>
      <c r="I1359" s="0" t="inlineStr">
        <is>
          <t>NULL</t>
        </is>
      </c>
      <c r="J1359" s="0" t="inlineStr">
        <is>
          <t>NULL</t>
        </is>
      </c>
      <c r="K1359" s="0" t="inlineStr">
        <is>
          <t>[0;32m YES! [0m 	 c_dtoffset_0列源备映射正确，源端为datetimeoffset None位	期望更改为varchar(34)	实际备端为varchar 136位	位数精度不存在，通过长度比较</t>
        </is>
      </c>
    </row>
    <row r="1360">
      <c r="B1360" s="0" t="inlineStr">
        <is>
          <t>NULL</t>
        </is>
      </c>
      <c r="C1360" s="0" t="inlineStr">
        <is>
          <t>NULL</t>
        </is>
      </c>
      <c r="D1360" s="0" t="inlineStr">
        <is>
          <t>NULL</t>
        </is>
      </c>
      <c r="E1360" s="0" t="inlineStr">
        <is>
          <t>NULL</t>
        </is>
      </c>
      <c r="F1360" s="0" t="inlineStr">
        <is>
          <t>NULL</t>
        </is>
      </c>
      <c r="G1360" s="0" t="inlineStr">
        <is>
          <t>NULL</t>
        </is>
      </c>
      <c r="H1360" s="0" t="inlineStr">
        <is>
          <t>NULL</t>
        </is>
      </c>
      <c r="I1360" s="0" t="inlineStr">
        <is>
          <t>NULL</t>
        </is>
      </c>
      <c r="J1360" s="0" t="inlineStr">
        <is>
          <t>NULL</t>
        </is>
      </c>
      <c r="K1360" s="0" t="inlineStr">
        <is>
          <t>[0;32m YES! [0m 	 c_dtoffset_1列源备映射正确，源端为datetimeoffset None位	期望更改为varchar(34)	实际备端为varchar 136位	位数精度不存在，通过长度比较</t>
        </is>
      </c>
    </row>
    <row r="1361">
      <c r="B1361" s="0" t="inlineStr">
        <is>
          <t>NULL</t>
        </is>
      </c>
      <c r="C1361" s="0" t="inlineStr">
        <is>
          <t>NULL</t>
        </is>
      </c>
      <c r="D1361" s="0" t="inlineStr">
        <is>
          <t>NULL</t>
        </is>
      </c>
      <c r="E1361" s="0" t="inlineStr">
        <is>
          <t>NULL</t>
        </is>
      </c>
      <c r="F1361" s="0" t="inlineStr">
        <is>
          <t>NULL</t>
        </is>
      </c>
      <c r="G1361" s="0" t="inlineStr">
        <is>
          <t>NULL</t>
        </is>
      </c>
      <c r="H1361" s="0" t="inlineStr">
        <is>
          <t>NULL</t>
        </is>
      </c>
      <c r="I1361" s="0" t="inlineStr">
        <is>
          <t>NULL</t>
        </is>
      </c>
      <c r="J1361" s="0" t="inlineStr">
        <is>
          <t>NULL</t>
        </is>
      </c>
      <c r="K1361" s="0" t="inlineStr">
        <is>
          <t>[0;32m YES! [0m 	 c_dtoffset_2列源备映射正确，源端为datetimeoffset None位	期望更改为varchar(34)	实际备端为varchar 136位	位数精度不存在，通过长度比较</t>
        </is>
      </c>
    </row>
    <row r="1362">
      <c r="B1362" s="0" t="inlineStr">
        <is>
          <t>NULL</t>
        </is>
      </c>
      <c r="C1362" s="0" t="inlineStr">
        <is>
          <t>NULL</t>
        </is>
      </c>
      <c r="D1362" s="0" t="inlineStr">
        <is>
          <t>NULL</t>
        </is>
      </c>
      <c r="E1362" s="0" t="inlineStr">
        <is>
          <t>NULL</t>
        </is>
      </c>
      <c r="F1362" s="0" t="inlineStr">
        <is>
          <t>NULL</t>
        </is>
      </c>
      <c r="G1362" s="0" t="inlineStr">
        <is>
          <t>NULL</t>
        </is>
      </c>
      <c r="H1362" s="0" t="inlineStr">
        <is>
          <t>NULL</t>
        </is>
      </c>
      <c r="I1362" s="0" t="inlineStr">
        <is>
          <t>NULL</t>
        </is>
      </c>
      <c r="J1362" s="0" t="inlineStr">
        <is>
          <t>NULL</t>
        </is>
      </c>
      <c r="K1362" s="0" t="inlineStr">
        <is>
          <t>[0;32m YES! [0m 	 c_dtoffset_3列源备映射正确，源端为datetimeoffset None位	期望更改为varchar(34)	实际备端为varchar 136位	位数精度不存在，通过长度比较</t>
        </is>
      </c>
    </row>
    <row r="1363">
      <c r="B1363" s="0" t="inlineStr">
        <is>
          <t>NULL</t>
        </is>
      </c>
      <c r="C1363" s="0" t="inlineStr">
        <is>
          <t>NULL</t>
        </is>
      </c>
      <c r="D1363" s="0" t="inlineStr">
        <is>
          <t>NULL</t>
        </is>
      </c>
      <c r="E1363" s="0" t="inlineStr">
        <is>
          <t>NULL</t>
        </is>
      </c>
      <c r="F1363" s="0" t="inlineStr">
        <is>
          <t>NULL</t>
        </is>
      </c>
      <c r="G1363" s="0" t="inlineStr">
        <is>
          <t>NULL</t>
        </is>
      </c>
      <c r="H1363" s="0" t="inlineStr">
        <is>
          <t>NULL</t>
        </is>
      </c>
      <c r="I1363" s="0" t="inlineStr">
        <is>
          <t>NULL</t>
        </is>
      </c>
      <c r="J1363" s="0" t="inlineStr">
        <is>
          <t>NULL</t>
        </is>
      </c>
      <c r="K1363" s="0" t="inlineStr">
        <is>
          <t>[0;32m YES! [0m 	 c_dtoffset_4列源备映射正确，源端为datetimeoffset None位	期望更改为varchar(34)	实际备端为varchar 136位	位数精度不存在，通过长度比较</t>
        </is>
      </c>
    </row>
    <row r="1364">
      <c r="B1364" s="0" t="inlineStr">
        <is>
          <t>NULL</t>
        </is>
      </c>
      <c r="C1364" s="0" t="inlineStr">
        <is>
          <t>NULL</t>
        </is>
      </c>
      <c r="D1364" s="0" t="inlineStr">
        <is>
          <t>NULL</t>
        </is>
      </c>
      <c r="E1364" s="0" t="inlineStr">
        <is>
          <t>NULL</t>
        </is>
      </c>
      <c r="F1364" s="0" t="inlineStr">
        <is>
          <t>NULL</t>
        </is>
      </c>
      <c r="G1364" s="0" t="inlineStr">
        <is>
          <t>NULL</t>
        </is>
      </c>
      <c r="H1364" s="0" t="inlineStr">
        <is>
          <t>NULL</t>
        </is>
      </c>
      <c r="I1364" s="0" t="inlineStr">
        <is>
          <t>NULL</t>
        </is>
      </c>
      <c r="J1364" s="0" t="inlineStr">
        <is>
          <t>NULL</t>
        </is>
      </c>
      <c r="K1364" s="0" t="inlineStr">
        <is>
          <t>[0;32m YES! [0m 	 c_dtoffset_5列源备映射正确，源端为datetimeoffset None位	期望更改为varchar(34)	实际备端为varchar 136位	位数精度不存在，通过长度比较</t>
        </is>
      </c>
    </row>
    <row r="1365">
      <c r="B1365" s="0" t="inlineStr">
        <is>
          <t>NULL</t>
        </is>
      </c>
      <c r="C1365" s="0" t="inlineStr">
        <is>
          <t>NULL</t>
        </is>
      </c>
      <c r="D1365" s="0" t="inlineStr">
        <is>
          <t>NULL</t>
        </is>
      </c>
      <c r="E1365" s="0" t="inlineStr">
        <is>
          <t>NULL</t>
        </is>
      </c>
      <c r="F1365" s="0" t="inlineStr">
        <is>
          <t>NULL</t>
        </is>
      </c>
      <c r="G1365" s="0" t="inlineStr">
        <is>
          <t>NULL</t>
        </is>
      </c>
      <c r="H1365" s="0" t="inlineStr">
        <is>
          <t>NULL</t>
        </is>
      </c>
      <c r="I1365" s="0" t="inlineStr">
        <is>
          <t>NULL</t>
        </is>
      </c>
      <c r="J1365" s="0" t="inlineStr">
        <is>
          <t>NULL</t>
        </is>
      </c>
      <c r="K1365" s="0" t="inlineStr">
        <is>
          <t>[0;32m YES! [0m 	 c_dtoffset_6列源备映射正确，源端为datetimeoffset None位	期望更改为varchar(34)	实际备端为varchar 136位	位数精度不存在，通过长度比较</t>
        </is>
      </c>
    </row>
    <row r="1366">
      <c r="B1366" s="0" t="inlineStr">
        <is>
          <t>NULL</t>
        </is>
      </c>
      <c r="C1366" s="0" t="inlineStr">
        <is>
          <t>NULL</t>
        </is>
      </c>
      <c r="D1366" s="0" t="inlineStr">
        <is>
          <t>NULL</t>
        </is>
      </c>
      <c r="E1366" s="0" t="inlineStr">
        <is>
          <t>NULL</t>
        </is>
      </c>
      <c r="F1366" s="0" t="inlineStr">
        <is>
          <t>NULL</t>
        </is>
      </c>
      <c r="G1366" s="0" t="inlineStr">
        <is>
          <t>NULL</t>
        </is>
      </c>
      <c r="H1366" s="0" t="inlineStr">
        <is>
          <t>NULL</t>
        </is>
      </c>
      <c r="I1366" s="0" t="inlineStr">
        <is>
          <t>NULL</t>
        </is>
      </c>
      <c r="J1366" s="0" t="inlineStr">
        <is>
          <t>NULL</t>
        </is>
      </c>
      <c r="K1366" s="0" t="inlineStr">
        <is>
          <t>[0;32m YES! [0m 	 c_dtoffset列源备映射正确，源端为datetimeoffset None位	期望更改为varchar(34)	实际备端为varchar 136位	位数精度不存在，通过长度比较</t>
        </is>
      </c>
    </row>
    <row r="1367">
      <c r="A1367" s="0" t="inlineStr">
        <is>
          <t>info_varcharmax_dml_batch1_pk_irp2</t>
        </is>
      </c>
      <c r="K1367" s="0" t="inlineStr">
        <is>
          <t>[0;34m info_varcharmax_dml_batch1_pk_irp2 [0m源备字段数相同，源端字段：3 	备端字段3</t>
        </is>
      </c>
      <c r="W1367" s="0" t="inlineStr">
        <is>
          <t>YES 源备无差异</t>
        </is>
      </c>
      <c r="X1367" s="0">
        <f>A1367</f>
        <v/>
      </c>
    </row>
    <row r="1368">
      <c r="B1368" s="0" t="inlineStr">
        <is>
          <t>YES</t>
        </is>
      </c>
      <c r="C1368" s="0" t="inlineStr">
        <is>
          <t>NULL</t>
        </is>
      </c>
      <c r="D1368" s="0" t="inlineStr">
        <is>
          <t>NULL</t>
        </is>
      </c>
      <c r="E1368" s="0" t="inlineStr">
        <is>
          <t>NULL</t>
        </is>
      </c>
      <c r="F1368" s="0" t="inlineStr">
        <is>
          <t>NULL</t>
        </is>
      </c>
      <c r="G1368" s="0" t="inlineStr">
        <is>
          <t>NULL</t>
        </is>
      </c>
      <c r="H1368" s="0" t="inlineStr">
        <is>
          <t>NULL</t>
        </is>
      </c>
      <c r="I1368" s="0" t="inlineStr">
        <is>
          <t>YES!PK__info_var__3213E83F44B37052</t>
        </is>
      </c>
      <c r="J1368" s="0" t="inlineStr">
        <is>
          <t>YES! 主键相关索引</t>
        </is>
      </c>
      <c r="K1368" s="0" t="inlineStr">
        <is>
          <t>YES! 	 id列源备映射正确，源端为int None位	期望更改为int	实际备端为int None位</t>
        </is>
      </c>
    </row>
    <row r="1369">
      <c r="B1369" s="0" t="inlineStr">
        <is>
          <t>NULL</t>
        </is>
      </c>
      <c r="C1369" s="0" t="inlineStr">
        <is>
          <t>NULL</t>
        </is>
      </c>
      <c r="D1369" s="0" t="inlineStr">
        <is>
          <t>NULL</t>
        </is>
      </c>
      <c r="E1369" s="0" t="inlineStr">
        <is>
          <t>NULL</t>
        </is>
      </c>
      <c r="F1369" s="0" t="inlineStr">
        <is>
          <t>NULL</t>
        </is>
      </c>
      <c r="G1369" s="0" t="inlineStr">
        <is>
          <t>NULL</t>
        </is>
      </c>
      <c r="H1369" s="0" t="inlineStr">
        <is>
          <t>NULL</t>
        </is>
      </c>
      <c r="I1369" s="0" t="inlineStr">
        <is>
          <t>NULL</t>
        </is>
      </c>
      <c r="J1369" s="0" t="inlineStr">
        <is>
          <t>NULL</t>
        </is>
      </c>
      <c r="K1369" s="0" t="inlineStr">
        <is>
          <t>YES! 	 c_varchar_max列源备映射正确，源端为varchar -1位	期望更改为longtext	实际备端为longtext 4294967295位</t>
        </is>
      </c>
    </row>
    <row r="1370">
      <c r="B1370" s="0" t="inlineStr">
        <is>
          <t>NULL</t>
        </is>
      </c>
      <c r="C1370" s="0" t="inlineStr">
        <is>
          <t>NULL</t>
        </is>
      </c>
      <c r="D1370" s="0" t="inlineStr">
        <is>
          <t>NULL</t>
        </is>
      </c>
      <c r="E1370" s="0" t="inlineStr">
        <is>
          <t>NULL</t>
        </is>
      </c>
      <c r="F1370" s="0" t="inlineStr">
        <is>
          <t>NULL</t>
        </is>
      </c>
      <c r="G1370" s="0" t="inlineStr">
        <is>
          <t>NULL</t>
        </is>
      </c>
      <c r="H1370" s="0" t="inlineStr">
        <is>
          <t>NULL</t>
        </is>
      </c>
      <c r="I1370" s="0" t="inlineStr">
        <is>
          <t>NULL</t>
        </is>
      </c>
      <c r="J1370" s="0" t="inlineStr">
        <is>
          <t>NULL</t>
        </is>
      </c>
      <c r="K1370" s="0" t="inlineStr">
        <is>
          <t>YES! 	 c_nvarchar_max列源备映射正确，源端为nvarchar -1位	期望更改为longtext	实际备端为longtext 4294967295位</t>
        </is>
      </c>
    </row>
    <row r="1371">
      <c r="K1371" s="0" t="inlineStr">
        <is>
          <t>~ 空表</t>
        </is>
      </c>
    </row>
    <row r="1372">
      <c r="A1372" s="0" t="inlineStr">
        <is>
          <t>info_sdt_dml_single_nopk</t>
        </is>
      </c>
      <c r="K1372" s="0" t="inlineStr">
        <is>
          <t>[0;34m info_sdt_dml_single_nopk [0m源备字段数相同，源端字段：2 	备端字段2</t>
        </is>
      </c>
      <c r="W1372" s="0" t="inlineStr">
        <is>
          <t>YES 源备无差异</t>
        </is>
      </c>
      <c r="X1372" s="0">
        <f>A1372</f>
        <v/>
      </c>
    </row>
    <row r="1373">
      <c r="B1373" s="0" t="inlineStr">
        <is>
          <t>NULL</t>
        </is>
      </c>
      <c r="C1373" s="0" t="inlineStr">
        <is>
          <t>NULL</t>
        </is>
      </c>
      <c r="D1373" s="0" t="inlineStr">
        <is>
          <t>NULL</t>
        </is>
      </c>
      <c r="E1373" s="0" t="inlineStr">
        <is>
          <t>NULL</t>
        </is>
      </c>
      <c r="F1373" s="0" t="inlineStr">
        <is>
          <t>NULL</t>
        </is>
      </c>
      <c r="G1373" s="0" t="inlineStr">
        <is>
          <t>NULL</t>
        </is>
      </c>
      <c r="H1373" s="0" t="inlineStr">
        <is>
          <t>NULL</t>
        </is>
      </c>
      <c r="I1373" s="0" t="inlineStr">
        <is>
          <t>NULL</t>
        </is>
      </c>
      <c r="J1373" s="0" t="inlineStr">
        <is>
          <t>NULL</t>
        </is>
      </c>
      <c r="K1373" s="0" t="inlineStr">
        <is>
          <t>YES! 	 id列源备映射正确，源端为int None位	期望更改为int	实际备端为int None位</t>
        </is>
      </c>
    </row>
    <row r="1374">
      <c r="B1374" s="0" t="inlineStr">
        <is>
          <t>NULL</t>
        </is>
      </c>
      <c r="C1374" s="0" t="inlineStr">
        <is>
          <t>NO!源None备NUL</t>
        </is>
      </c>
      <c r="D1374" s="0" t="inlineStr">
        <is>
          <t>NULL</t>
        </is>
      </c>
      <c r="E1374" s="0" t="inlineStr">
        <is>
          <t>NULL</t>
        </is>
      </c>
      <c r="F1374" s="0" t="inlineStr">
        <is>
          <t>NULL</t>
        </is>
      </c>
      <c r="G1374" s="0" t="inlineStr">
        <is>
          <t>NULL</t>
        </is>
      </c>
      <c r="H1374" s="0" t="inlineStr">
        <is>
          <t>NULL</t>
        </is>
      </c>
      <c r="I1374" s="0" t="inlineStr">
        <is>
          <t>NULL</t>
        </is>
      </c>
      <c r="J1374" s="0" t="inlineStr">
        <is>
          <t>NULL</t>
        </is>
      </c>
      <c r="K1374" s="0" t="inlineStr">
        <is>
          <t>YES! 	 c_sdt列源备映射正确，源端为smalldatetime None位	期望更改为datetime	实际备端为datetime None位</t>
        </is>
      </c>
    </row>
    <row r="1375">
      <c r="A1375" s="0" t="inlineStr">
        <is>
          <t>info_datetime2_dml_single_pk</t>
        </is>
      </c>
      <c r="K1375" s="0" t="inlineStr">
        <is>
          <t>[0;34m info_datetime2_dml_single_pk [0m源备字段数相同，源端字段：9 	备端字段9</t>
        </is>
      </c>
      <c r="W1375" s="0" t="inlineStr">
        <is>
          <t>YES 源备无差异</t>
        </is>
      </c>
      <c r="X1375" s="0">
        <f>A1375</f>
        <v/>
      </c>
    </row>
    <row r="1376">
      <c r="B1376" s="0" t="inlineStr">
        <is>
          <t>YES</t>
        </is>
      </c>
      <c r="C1376" s="0" t="inlineStr">
        <is>
          <t>NULL</t>
        </is>
      </c>
      <c r="D1376" s="0" t="inlineStr">
        <is>
          <t>NULL</t>
        </is>
      </c>
      <c r="E1376" s="0" t="inlineStr">
        <is>
          <t>NULL</t>
        </is>
      </c>
      <c r="F1376" s="0" t="inlineStr">
        <is>
          <t>NULL</t>
        </is>
      </c>
      <c r="G1376" s="0" t="inlineStr">
        <is>
          <t>NULL</t>
        </is>
      </c>
      <c r="H1376" s="0" t="inlineStr">
        <is>
          <t>NULL</t>
        </is>
      </c>
      <c r="I1376" s="0" t="inlineStr">
        <is>
          <t>YES!PK__info_dat__3213E83FBD2E2D87</t>
        </is>
      </c>
      <c r="J1376" s="0" t="inlineStr">
        <is>
          <t>YES! 主键相关索引</t>
        </is>
      </c>
      <c r="K1376" s="0" t="inlineStr">
        <is>
          <t>YES! 	 id列源备映射正确，源端为int None位	期望更改为int	实际备端为int None位</t>
        </is>
      </c>
    </row>
    <row r="1377">
      <c r="B1377" s="0" t="inlineStr">
        <is>
          <t>NULL</t>
        </is>
      </c>
      <c r="C1377" s="0" t="inlineStr">
        <is>
          <t>NULL</t>
        </is>
      </c>
      <c r="D1377" s="0" t="inlineStr">
        <is>
          <t>NULL</t>
        </is>
      </c>
      <c r="E1377" s="0" t="inlineStr">
        <is>
          <t>NULL</t>
        </is>
      </c>
      <c r="F1377" s="0" t="inlineStr">
        <is>
          <t>NULL</t>
        </is>
      </c>
      <c r="G1377" s="0" t="inlineStr">
        <is>
          <t>NULL</t>
        </is>
      </c>
      <c r="H1377" s="0" t="inlineStr">
        <is>
          <t>NULL</t>
        </is>
      </c>
      <c r="I1377" s="0" t="inlineStr">
        <is>
          <t>NULL</t>
        </is>
      </c>
      <c r="J1377" s="0" t="inlineStr">
        <is>
          <t>NULL</t>
        </is>
      </c>
      <c r="K1377" s="0" t="inlineStr">
        <is>
          <t>no,len不存在</t>
        </is>
      </c>
    </row>
    <row r="1378">
      <c r="B1378" s="0" t="inlineStr">
        <is>
          <t>NULL</t>
        </is>
      </c>
      <c r="C1378" s="0" t="inlineStr">
        <is>
          <t>NULL</t>
        </is>
      </c>
      <c r="D1378" s="0" t="inlineStr">
        <is>
          <t>NULL</t>
        </is>
      </c>
      <c r="E1378" s="0" t="inlineStr">
        <is>
          <t>NULL</t>
        </is>
      </c>
      <c r="F1378" s="0" t="inlineStr">
        <is>
          <t>NULL</t>
        </is>
      </c>
      <c r="G1378" s="0" t="inlineStr">
        <is>
          <t>NULL</t>
        </is>
      </c>
      <c r="H1378" s="0" t="inlineStr">
        <is>
          <t>NULL</t>
        </is>
      </c>
      <c r="I1378" s="0" t="inlineStr">
        <is>
          <t>NULL</t>
        </is>
      </c>
      <c r="J1378" s="0" t="inlineStr">
        <is>
          <t>NULL</t>
        </is>
      </c>
      <c r="K1378" s="0" t="inlineStr">
        <is>
          <t>YES! 	 c_dt2_1列源备映射正确，源端为datetime2 None位	期望更改为datetime(n)	实际备端为datetime None位</t>
        </is>
      </c>
    </row>
    <row r="1379">
      <c r="B1379" s="0" t="inlineStr">
        <is>
          <t>NULL</t>
        </is>
      </c>
      <c r="C1379" s="0" t="inlineStr">
        <is>
          <t>NULL</t>
        </is>
      </c>
      <c r="D1379" s="0" t="inlineStr">
        <is>
          <t>NULL</t>
        </is>
      </c>
      <c r="E1379" s="0" t="inlineStr">
        <is>
          <t>NULL</t>
        </is>
      </c>
      <c r="F1379" s="0" t="inlineStr">
        <is>
          <t>NULL</t>
        </is>
      </c>
      <c r="G1379" s="0" t="inlineStr">
        <is>
          <t>NULL</t>
        </is>
      </c>
      <c r="H1379" s="0" t="inlineStr">
        <is>
          <t>NULL</t>
        </is>
      </c>
      <c r="I1379" s="0" t="inlineStr">
        <is>
          <t>NULL</t>
        </is>
      </c>
      <c r="J1379" s="0" t="inlineStr">
        <is>
          <t>NULL</t>
        </is>
      </c>
      <c r="K1379" s="0" t="inlineStr">
        <is>
          <t>YES! 	 c_dt2_2列源备映射正确，源端为datetime2 None位	期望更改为datetime(n)	实际备端为datetime None位</t>
        </is>
      </c>
    </row>
    <row r="1380">
      <c r="B1380" s="0" t="inlineStr">
        <is>
          <t>NULL</t>
        </is>
      </c>
      <c r="C1380" s="0" t="inlineStr">
        <is>
          <t>NULL</t>
        </is>
      </c>
      <c r="D1380" s="0" t="inlineStr">
        <is>
          <t>NULL</t>
        </is>
      </c>
      <c r="E1380" s="0" t="inlineStr">
        <is>
          <t>NULL</t>
        </is>
      </c>
      <c r="F1380" s="0" t="inlineStr">
        <is>
          <t>NULL</t>
        </is>
      </c>
      <c r="G1380" s="0" t="inlineStr">
        <is>
          <t>NULL</t>
        </is>
      </c>
      <c r="H1380" s="0" t="inlineStr">
        <is>
          <t>NULL</t>
        </is>
      </c>
      <c r="I1380" s="0" t="inlineStr">
        <is>
          <t>NULL</t>
        </is>
      </c>
      <c r="J1380" s="0" t="inlineStr">
        <is>
          <t>NULL</t>
        </is>
      </c>
      <c r="K1380" s="0" t="inlineStr">
        <is>
          <t>YES! 	 c_dt2_3列源备映射正确，源端为datetime2 None位	期望更改为datetime(n)	实际备端为datetime None位</t>
        </is>
      </c>
    </row>
    <row r="1381">
      <c r="B1381" s="0" t="inlineStr">
        <is>
          <t>NULL</t>
        </is>
      </c>
      <c r="C1381" s="0" t="inlineStr">
        <is>
          <t>NULL</t>
        </is>
      </c>
      <c r="D1381" s="0" t="inlineStr">
        <is>
          <t>NULL</t>
        </is>
      </c>
      <c r="E1381" s="0" t="inlineStr">
        <is>
          <t>NULL</t>
        </is>
      </c>
      <c r="F1381" s="0" t="inlineStr">
        <is>
          <t>NULL</t>
        </is>
      </c>
      <c r="G1381" s="0" t="inlineStr">
        <is>
          <t>NULL</t>
        </is>
      </c>
      <c r="H1381" s="0" t="inlineStr">
        <is>
          <t>NULL</t>
        </is>
      </c>
      <c r="I1381" s="0" t="inlineStr">
        <is>
          <t>NULL</t>
        </is>
      </c>
      <c r="J1381" s="0" t="inlineStr">
        <is>
          <t>NULL</t>
        </is>
      </c>
      <c r="K1381" s="0" t="inlineStr">
        <is>
          <t>YES! 	 c_dt2_4列源备映射正确，源端为datetime2 None位	期望更改为datetime(n)	实际备端为datetime None位</t>
        </is>
      </c>
    </row>
    <row r="1382">
      <c r="B1382" s="0" t="inlineStr">
        <is>
          <t>NULL</t>
        </is>
      </c>
      <c r="C1382" s="0" t="inlineStr">
        <is>
          <t>NULL</t>
        </is>
      </c>
      <c r="D1382" s="0" t="inlineStr">
        <is>
          <t>NULL</t>
        </is>
      </c>
      <c r="E1382" s="0" t="inlineStr">
        <is>
          <t>NULL</t>
        </is>
      </c>
      <c r="F1382" s="0" t="inlineStr">
        <is>
          <t>NULL</t>
        </is>
      </c>
      <c r="G1382" s="0" t="inlineStr">
        <is>
          <t>NULL</t>
        </is>
      </c>
      <c r="H1382" s="0" t="inlineStr">
        <is>
          <t>NULL</t>
        </is>
      </c>
      <c r="I1382" s="0" t="inlineStr">
        <is>
          <t>NULL</t>
        </is>
      </c>
      <c r="J1382" s="0" t="inlineStr">
        <is>
          <t>NULL</t>
        </is>
      </c>
      <c r="K1382" s="0" t="inlineStr">
        <is>
          <t>YES! 	 c_dt2_5列源备映射正确，源端为datetime2 None位	期望更改为datetime(n)	实际备端为datetime None位</t>
        </is>
      </c>
    </row>
    <row r="1383">
      <c r="B1383" s="0" t="inlineStr">
        <is>
          <t>NULL</t>
        </is>
      </c>
      <c r="C1383" s="0" t="inlineStr">
        <is>
          <t>NULL</t>
        </is>
      </c>
      <c r="D1383" s="0" t="inlineStr">
        <is>
          <t>NULL</t>
        </is>
      </c>
      <c r="E1383" s="0" t="inlineStr">
        <is>
          <t>NULL</t>
        </is>
      </c>
      <c r="F1383" s="0" t="inlineStr">
        <is>
          <t>NULL</t>
        </is>
      </c>
      <c r="G1383" s="0" t="inlineStr">
        <is>
          <t>NULL</t>
        </is>
      </c>
      <c r="H1383" s="0" t="inlineStr">
        <is>
          <t>NULL</t>
        </is>
      </c>
      <c r="I1383" s="0" t="inlineStr">
        <is>
          <t>NULL</t>
        </is>
      </c>
      <c r="J1383" s="0" t="inlineStr">
        <is>
          <t>NULL</t>
        </is>
      </c>
      <c r="K1383" s="0" t="inlineStr">
        <is>
          <t>YES! 	 c_dt2_6列源备映射正确，源端为datetime2 None位	期望更改为datetime(n)	实际备端为datetime None位</t>
        </is>
      </c>
    </row>
    <row r="1384">
      <c r="B1384" s="0" t="inlineStr">
        <is>
          <t>NULL</t>
        </is>
      </c>
      <c r="C1384" s="0" t="inlineStr">
        <is>
          <t>NULL</t>
        </is>
      </c>
      <c r="D1384" s="0" t="inlineStr">
        <is>
          <t>NULL</t>
        </is>
      </c>
      <c r="E1384" s="0" t="inlineStr">
        <is>
          <t>NULL</t>
        </is>
      </c>
      <c r="F1384" s="0" t="inlineStr">
        <is>
          <t>NULL</t>
        </is>
      </c>
      <c r="G1384" s="0" t="inlineStr">
        <is>
          <t>NULL</t>
        </is>
      </c>
      <c r="H1384" s="0" t="inlineStr">
        <is>
          <t>NULL</t>
        </is>
      </c>
      <c r="I1384" s="0" t="inlineStr">
        <is>
          <t>NULL</t>
        </is>
      </c>
      <c r="J1384" s="0" t="inlineStr">
        <is>
          <t>NULL</t>
        </is>
      </c>
      <c r="K1384" s="0" t="inlineStr">
        <is>
          <t xml:space="preserve"> NO!  	 c_dt2列源备映射错误，源端为datetime2 None位	期望更改为datetime(n)	实际备端为varchar 136位</t>
        </is>
      </c>
    </row>
    <row r="1385">
      <c r="A1385" s="0" t="inlineStr">
        <is>
          <t>info_datetime_dml_single_nopk_irp</t>
        </is>
      </c>
      <c r="K1385" s="0" t="inlineStr">
        <is>
          <t>[0;34m info_datetime_dml_single_nopk_irp [0m源备字段数相同，源端字段：2 	备端字段2</t>
        </is>
      </c>
      <c r="W1385" s="0" t="inlineStr">
        <is>
          <t>YES 源备无差异</t>
        </is>
      </c>
      <c r="X1385" s="0">
        <f>A1385</f>
        <v/>
      </c>
    </row>
    <row r="1386">
      <c r="B1386" s="0" t="inlineStr">
        <is>
          <t>NULL</t>
        </is>
      </c>
      <c r="C1386" s="0" t="inlineStr">
        <is>
          <t>NULL</t>
        </is>
      </c>
      <c r="D1386" s="0" t="inlineStr">
        <is>
          <t>NULL</t>
        </is>
      </c>
      <c r="E1386" s="0" t="inlineStr">
        <is>
          <t>NULL</t>
        </is>
      </c>
      <c r="F1386" s="0" t="inlineStr">
        <is>
          <t>NULL</t>
        </is>
      </c>
      <c r="G1386" s="0" t="inlineStr">
        <is>
          <t>NULL</t>
        </is>
      </c>
      <c r="H1386" s="0" t="inlineStr">
        <is>
          <t>NULL</t>
        </is>
      </c>
      <c r="I1386" s="0" t="inlineStr">
        <is>
          <t>NULL</t>
        </is>
      </c>
      <c r="J1386" s="0" t="inlineStr">
        <is>
          <t>NULL</t>
        </is>
      </c>
      <c r="K1386" s="0" t="inlineStr">
        <is>
          <t>YES! 	 id列源备映射正确，源端为int None位	期望更改为int	实际备端为int None位</t>
        </is>
      </c>
    </row>
    <row r="1387">
      <c r="B1387" s="0" t="inlineStr">
        <is>
          <t>NULL</t>
        </is>
      </c>
      <c r="C1387" s="0" t="inlineStr">
        <is>
          <t>NO!源None备NUL</t>
        </is>
      </c>
      <c r="D1387" s="0" t="inlineStr">
        <is>
          <t>NULL</t>
        </is>
      </c>
      <c r="E1387" s="0" t="inlineStr">
        <is>
          <t>NULL</t>
        </is>
      </c>
      <c r="F1387" s="0" t="inlineStr">
        <is>
          <t>NULL</t>
        </is>
      </c>
      <c r="G1387" s="0" t="inlineStr">
        <is>
          <t>NULL</t>
        </is>
      </c>
      <c r="H1387" s="0" t="inlineStr">
        <is>
          <t>NULL</t>
        </is>
      </c>
      <c r="I1387" s="0" t="inlineStr">
        <is>
          <t>NULL</t>
        </is>
      </c>
      <c r="J1387" s="0" t="inlineStr">
        <is>
          <t>NULL</t>
        </is>
      </c>
      <c r="K1387" s="0" t="inlineStr">
        <is>
          <t>YES! 	 c_datetime列源备映射正确，源端为datetime None位	期望更改为datetime(3)	实际备端为datetime None位</t>
        </is>
      </c>
    </row>
    <row r="1388">
      <c r="A1388" s="0" t="inlineStr">
        <is>
          <t>info_datetime_dml_single_nopk_urp</t>
        </is>
      </c>
      <c r="K1388" s="0" t="inlineStr">
        <is>
          <t>[0;34m info_datetime_dml_single_nopk_urp [0m源备字段数相同，源端字段：2 	备端字段2</t>
        </is>
      </c>
      <c r="W1388" s="0" t="inlineStr">
        <is>
          <t>YES 源备无差异</t>
        </is>
      </c>
      <c r="X1388" s="0">
        <f>A1388</f>
        <v/>
      </c>
    </row>
    <row r="1389">
      <c r="B1389" s="0" t="inlineStr">
        <is>
          <t>NULL</t>
        </is>
      </c>
      <c r="C1389" s="0" t="inlineStr">
        <is>
          <t>NULL</t>
        </is>
      </c>
      <c r="D1389" s="0" t="inlineStr">
        <is>
          <t>NULL</t>
        </is>
      </c>
      <c r="E1389" s="0" t="inlineStr">
        <is>
          <t>NULL</t>
        </is>
      </c>
      <c r="F1389" s="0" t="inlineStr">
        <is>
          <t>NULL</t>
        </is>
      </c>
      <c r="G1389" s="0" t="inlineStr">
        <is>
          <t>NULL</t>
        </is>
      </c>
      <c r="H1389" s="0" t="inlineStr">
        <is>
          <t>NULL</t>
        </is>
      </c>
      <c r="I1389" s="0" t="inlineStr">
        <is>
          <t>NULL</t>
        </is>
      </c>
      <c r="J1389" s="0" t="inlineStr">
        <is>
          <t>NULL</t>
        </is>
      </c>
      <c r="K1389" s="0" t="inlineStr">
        <is>
          <t>YES! 	 id列源备映射正确，源端为int None位	期望更改为int	实际备端为int None位</t>
        </is>
      </c>
    </row>
    <row r="1390">
      <c r="B1390" s="0" t="inlineStr">
        <is>
          <t>NULL</t>
        </is>
      </c>
      <c r="C1390" s="0" t="inlineStr">
        <is>
          <t>NO!源None备NUL</t>
        </is>
      </c>
      <c r="D1390" s="0" t="inlineStr">
        <is>
          <t>NULL</t>
        </is>
      </c>
      <c r="E1390" s="0" t="inlineStr">
        <is>
          <t>NULL</t>
        </is>
      </c>
      <c r="F1390" s="0" t="inlineStr">
        <is>
          <t>NULL</t>
        </is>
      </c>
      <c r="G1390" s="0" t="inlineStr">
        <is>
          <t>NULL</t>
        </is>
      </c>
      <c r="H1390" s="0" t="inlineStr">
        <is>
          <t>NULL</t>
        </is>
      </c>
      <c r="I1390" s="0" t="inlineStr">
        <is>
          <t>NULL</t>
        </is>
      </c>
      <c r="J1390" s="0" t="inlineStr">
        <is>
          <t>NULL</t>
        </is>
      </c>
      <c r="K1390" s="0" t="inlineStr">
        <is>
          <t>YES! 	 c_datetime列源备映射正确，源端为datetime None位	期望更改为datetime(3)	实际备端为datetime None位</t>
        </is>
      </c>
    </row>
    <row r="1391">
      <c r="A1391" s="0" t="inlineStr">
        <is>
          <t>info_datetimeoffset_dml_batch1_pk_drp1</t>
        </is>
      </c>
      <c r="K1391" s="0" t="inlineStr">
        <is>
          <t>[0;34m info_datetimeoffset_dml_batch1_pk_drp1 [0m源备字段数相同，源端字段：9 	备端字段9</t>
        </is>
      </c>
      <c r="W1391" s="0" t="inlineStr">
        <is>
          <t>YES 源备无差异</t>
        </is>
      </c>
      <c r="X1391" s="0">
        <f>A1391</f>
        <v/>
      </c>
    </row>
    <row r="1392">
      <c r="B1392" s="0" t="inlineStr">
        <is>
          <t>YES</t>
        </is>
      </c>
      <c r="C1392" s="0" t="inlineStr">
        <is>
          <t>NULL</t>
        </is>
      </c>
      <c r="D1392" s="0" t="inlineStr">
        <is>
          <t>NULL</t>
        </is>
      </c>
      <c r="E1392" s="0" t="inlineStr">
        <is>
          <t>NULL</t>
        </is>
      </c>
      <c r="F1392" s="0" t="inlineStr">
        <is>
          <t>NULL</t>
        </is>
      </c>
      <c r="G1392" s="0" t="inlineStr">
        <is>
          <t>NULL</t>
        </is>
      </c>
      <c r="H1392" s="0" t="inlineStr">
        <is>
          <t>NULL</t>
        </is>
      </c>
      <c r="I1392" s="0" t="inlineStr">
        <is>
          <t>YES!PK__info_dat__3213E83F0155A89F</t>
        </is>
      </c>
      <c r="J1392" s="0" t="inlineStr">
        <is>
          <t>YES! 主键相关索引</t>
        </is>
      </c>
      <c r="K1392" s="0" t="inlineStr">
        <is>
          <t>YES! 	 id列源备映射正确，源端为int None位	期望更改为int	实际备端为int None位</t>
        </is>
      </c>
    </row>
    <row r="1393">
      <c r="B1393" s="0" t="inlineStr">
        <is>
          <t>NULL</t>
        </is>
      </c>
      <c r="C1393" s="0" t="inlineStr">
        <is>
          <t>NULL</t>
        </is>
      </c>
      <c r="D1393" s="0" t="inlineStr">
        <is>
          <t>NULL</t>
        </is>
      </c>
      <c r="E1393" s="0" t="inlineStr">
        <is>
          <t>NULL</t>
        </is>
      </c>
      <c r="F1393" s="0" t="inlineStr">
        <is>
          <t>NULL</t>
        </is>
      </c>
      <c r="G1393" s="0" t="inlineStr">
        <is>
          <t>NULL</t>
        </is>
      </c>
      <c r="H1393" s="0" t="inlineStr">
        <is>
          <t>NULL</t>
        </is>
      </c>
      <c r="I1393" s="0" t="inlineStr">
        <is>
          <t>NULL</t>
        </is>
      </c>
      <c r="J1393" s="0" t="inlineStr">
        <is>
          <t>NULL</t>
        </is>
      </c>
      <c r="K1393" s="0" t="inlineStr">
        <is>
          <t>[0;32m YES! [0m 	 c_dtoffset_0列源备映射正确，源端为datetimeoffset None位	期望更改为varchar(34)	实际备端为varchar 136位	位数精度不存在，通过长度比较</t>
        </is>
      </c>
    </row>
    <row r="1394">
      <c r="B1394" s="0" t="inlineStr">
        <is>
          <t>NULL</t>
        </is>
      </c>
      <c r="C1394" s="0" t="inlineStr">
        <is>
          <t>NULL</t>
        </is>
      </c>
      <c r="D1394" s="0" t="inlineStr">
        <is>
          <t>NULL</t>
        </is>
      </c>
      <c r="E1394" s="0" t="inlineStr">
        <is>
          <t>NULL</t>
        </is>
      </c>
      <c r="F1394" s="0" t="inlineStr">
        <is>
          <t>NULL</t>
        </is>
      </c>
      <c r="G1394" s="0" t="inlineStr">
        <is>
          <t>NULL</t>
        </is>
      </c>
      <c r="H1394" s="0" t="inlineStr">
        <is>
          <t>NULL</t>
        </is>
      </c>
      <c r="I1394" s="0" t="inlineStr">
        <is>
          <t>NULL</t>
        </is>
      </c>
      <c r="J1394" s="0" t="inlineStr">
        <is>
          <t>NULL</t>
        </is>
      </c>
      <c r="K1394" s="0" t="inlineStr">
        <is>
          <t>[0;32m YES! [0m 	 c_dtoffset_1列源备映射正确，源端为datetimeoffset None位	期望更改为varchar(34)	实际备端为varchar 136位	位数精度不存在，通过长度比较</t>
        </is>
      </c>
    </row>
    <row r="1395">
      <c r="B1395" s="0" t="inlineStr">
        <is>
          <t>NULL</t>
        </is>
      </c>
      <c r="C1395" s="0" t="inlineStr">
        <is>
          <t>NULL</t>
        </is>
      </c>
      <c r="D1395" s="0" t="inlineStr">
        <is>
          <t>NULL</t>
        </is>
      </c>
      <c r="E1395" s="0" t="inlineStr">
        <is>
          <t>NULL</t>
        </is>
      </c>
      <c r="F1395" s="0" t="inlineStr">
        <is>
          <t>NULL</t>
        </is>
      </c>
      <c r="G1395" s="0" t="inlineStr">
        <is>
          <t>NULL</t>
        </is>
      </c>
      <c r="H1395" s="0" t="inlineStr">
        <is>
          <t>NULL</t>
        </is>
      </c>
      <c r="I1395" s="0" t="inlineStr">
        <is>
          <t>NULL</t>
        </is>
      </c>
      <c r="J1395" s="0" t="inlineStr">
        <is>
          <t>NULL</t>
        </is>
      </c>
      <c r="K1395" s="0" t="inlineStr">
        <is>
          <t>[0;32m YES! [0m 	 c_dtoffset_2列源备映射正确，源端为datetimeoffset None位	期望更改为varchar(34)	实际备端为varchar 136位	位数精度不存在，通过长度比较</t>
        </is>
      </c>
    </row>
    <row r="1396">
      <c r="B1396" s="0" t="inlineStr">
        <is>
          <t>NULL</t>
        </is>
      </c>
      <c r="C1396" s="0" t="inlineStr">
        <is>
          <t>NULL</t>
        </is>
      </c>
      <c r="D1396" s="0" t="inlineStr">
        <is>
          <t>NULL</t>
        </is>
      </c>
      <c r="E1396" s="0" t="inlineStr">
        <is>
          <t>NULL</t>
        </is>
      </c>
      <c r="F1396" s="0" t="inlineStr">
        <is>
          <t>NULL</t>
        </is>
      </c>
      <c r="G1396" s="0" t="inlineStr">
        <is>
          <t>NULL</t>
        </is>
      </c>
      <c r="H1396" s="0" t="inlineStr">
        <is>
          <t>NULL</t>
        </is>
      </c>
      <c r="I1396" s="0" t="inlineStr">
        <is>
          <t>NULL</t>
        </is>
      </c>
      <c r="J1396" s="0" t="inlineStr">
        <is>
          <t>NULL</t>
        </is>
      </c>
      <c r="K1396" s="0" t="inlineStr">
        <is>
          <t>[0;32m YES! [0m 	 c_dtoffset_3列源备映射正确，源端为datetimeoffset None位	期望更改为varchar(34)	实际备端为varchar 136位	位数精度不存在，通过长度比较</t>
        </is>
      </c>
    </row>
    <row r="1397">
      <c r="B1397" s="0" t="inlineStr">
        <is>
          <t>NULL</t>
        </is>
      </c>
      <c r="C1397" s="0" t="inlineStr">
        <is>
          <t>NULL</t>
        </is>
      </c>
      <c r="D1397" s="0" t="inlineStr">
        <is>
          <t>NULL</t>
        </is>
      </c>
      <c r="E1397" s="0" t="inlineStr">
        <is>
          <t>NULL</t>
        </is>
      </c>
      <c r="F1397" s="0" t="inlineStr">
        <is>
          <t>NULL</t>
        </is>
      </c>
      <c r="G1397" s="0" t="inlineStr">
        <is>
          <t>NULL</t>
        </is>
      </c>
      <c r="H1397" s="0" t="inlineStr">
        <is>
          <t>NULL</t>
        </is>
      </c>
      <c r="I1397" s="0" t="inlineStr">
        <is>
          <t>NULL</t>
        </is>
      </c>
      <c r="J1397" s="0" t="inlineStr">
        <is>
          <t>NULL</t>
        </is>
      </c>
      <c r="K1397" s="0" t="inlineStr">
        <is>
          <t>[0;32m YES! [0m 	 c_dtoffset_4列源备映射正确，源端为datetimeoffset None位	期望更改为varchar(34)	实际备端为varchar 136位	位数精度不存在，通过长度比较</t>
        </is>
      </c>
    </row>
    <row r="1398">
      <c r="B1398" s="0" t="inlineStr">
        <is>
          <t>NULL</t>
        </is>
      </c>
      <c r="C1398" s="0" t="inlineStr">
        <is>
          <t>NULL</t>
        </is>
      </c>
      <c r="D1398" s="0" t="inlineStr">
        <is>
          <t>NULL</t>
        </is>
      </c>
      <c r="E1398" s="0" t="inlineStr">
        <is>
          <t>NULL</t>
        </is>
      </c>
      <c r="F1398" s="0" t="inlineStr">
        <is>
          <t>NULL</t>
        </is>
      </c>
      <c r="G1398" s="0" t="inlineStr">
        <is>
          <t>NULL</t>
        </is>
      </c>
      <c r="H1398" s="0" t="inlineStr">
        <is>
          <t>NULL</t>
        </is>
      </c>
      <c r="I1398" s="0" t="inlineStr">
        <is>
          <t>NULL</t>
        </is>
      </c>
      <c r="J1398" s="0" t="inlineStr">
        <is>
          <t>NULL</t>
        </is>
      </c>
      <c r="K1398" s="0" t="inlineStr">
        <is>
          <t>[0;32m YES! [0m 	 c_dtoffset_5列源备映射正确，源端为datetimeoffset None位	期望更改为varchar(34)	实际备端为varchar 136位	位数精度不存在，通过长度比较</t>
        </is>
      </c>
    </row>
    <row r="1399">
      <c r="B1399" s="0" t="inlineStr">
        <is>
          <t>NULL</t>
        </is>
      </c>
      <c r="C1399" s="0" t="inlineStr">
        <is>
          <t>NULL</t>
        </is>
      </c>
      <c r="D1399" s="0" t="inlineStr">
        <is>
          <t>NULL</t>
        </is>
      </c>
      <c r="E1399" s="0" t="inlineStr">
        <is>
          <t>NULL</t>
        </is>
      </c>
      <c r="F1399" s="0" t="inlineStr">
        <is>
          <t>NULL</t>
        </is>
      </c>
      <c r="G1399" s="0" t="inlineStr">
        <is>
          <t>NULL</t>
        </is>
      </c>
      <c r="H1399" s="0" t="inlineStr">
        <is>
          <t>NULL</t>
        </is>
      </c>
      <c r="I1399" s="0" t="inlineStr">
        <is>
          <t>NULL</t>
        </is>
      </c>
      <c r="J1399" s="0" t="inlineStr">
        <is>
          <t>NULL</t>
        </is>
      </c>
      <c r="K1399" s="0" t="inlineStr">
        <is>
          <t>[0;32m YES! [0m 	 c_dtoffset_6列源备映射正确，源端为datetimeoffset None位	期望更改为varchar(34)	实际备端为varchar 136位	位数精度不存在，通过长度比较</t>
        </is>
      </c>
    </row>
    <row r="1400">
      <c r="B1400" s="0" t="inlineStr">
        <is>
          <t>NULL</t>
        </is>
      </c>
      <c r="C1400" s="0" t="inlineStr">
        <is>
          <t>NULL</t>
        </is>
      </c>
      <c r="D1400" s="0" t="inlineStr">
        <is>
          <t>NULL</t>
        </is>
      </c>
      <c r="E1400" s="0" t="inlineStr">
        <is>
          <t>NULL</t>
        </is>
      </c>
      <c r="F1400" s="0" t="inlineStr">
        <is>
          <t>NULL</t>
        </is>
      </c>
      <c r="G1400" s="0" t="inlineStr">
        <is>
          <t>NULL</t>
        </is>
      </c>
      <c r="H1400" s="0" t="inlineStr">
        <is>
          <t>NULL</t>
        </is>
      </c>
      <c r="I1400" s="0" t="inlineStr">
        <is>
          <t>NULL</t>
        </is>
      </c>
      <c r="J1400" s="0" t="inlineStr">
        <is>
          <t>NULL</t>
        </is>
      </c>
      <c r="K1400" s="0" t="inlineStr">
        <is>
          <t>[0;32m YES! [0m 	 c_dtoffset列源备映射正确，源端为datetimeoffset None位	期望更改为varchar(34)	实际备端为varchar 136位	位数精度不存在，通过长度比较</t>
        </is>
      </c>
    </row>
    <row r="1401">
      <c r="K1401" s="0" t="inlineStr">
        <is>
          <t>~ 空表</t>
        </is>
      </c>
    </row>
    <row r="1402">
      <c r="A1402" s="0" t="inlineStr">
        <is>
          <t>info_varcharmax_dml_batch2_pk_irp1</t>
        </is>
      </c>
      <c r="K1402" s="0" t="inlineStr">
        <is>
          <t>[0;34m info_varcharmax_dml_batch2_pk_irp1 [0m源备字段数相同，源端字段：3 	备端字段3</t>
        </is>
      </c>
      <c r="W1402" s="0" t="inlineStr">
        <is>
          <t>YES 源备无差异</t>
        </is>
      </c>
      <c r="X1402" s="0">
        <f>A1402</f>
        <v/>
      </c>
    </row>
    <row r="1403">
      <c r="B1403" s="0" t="inlineStr">
        <is>
          <t>YES</t>
        </is>
      </c>
      <c r="C1403" s="0" t="inlineStr">
        <is>
          <t>NULL</t>
        </is>
      </c>
      <c r="D1403" s="0" t="inlineStr">
        <is>
          <t>NULL</t>
        </is>
      </c>
      <c r="E1403" s="0" t="inlineStr">
        <is>
          <t>NULL</t>
        </is>
      </c>
      <c r="F1403" s="0" t="inlineStr">
        <is>
          <t>NULL</t>
        </is>
      </c>
      <c r="G1403" s="0" t="inlineStr">
        <is>
          <t>NULL</t>
        </is>
      </c>
      <c r="H1403" s="0" t="inlineStr">
        <is>
          <t>NULL</t>
        </is>
      </c>
      <c r="I1403" s="0" t="inlineStr">
        <is>
          <t>YES!PK__info_var__3213E83F7B4AD6A5</t>
        </is>
      </c>
      <c r="J1403" s="0" t="inlineStr">
        <is>
          <t>YES! 主键相关索引</t>
        </is>
      </c>
      <c r="K1403" s="0" t="inlineStr">
        <is>
          <t>YES! 	 id列源备映射正确，源端为int None位	期望更改为int	实际备端为int None位</t>
        </is>
      </c>
    </row>
    <row r="1404">
      <c r="B1404" s="0" t="inlineStr">
        <is>
          <t>NULL</t>
        </is>
      </c>
      <c r="C1404" s="0" t="inlineStr">
        <is>
          <t>NULL</t>
        </is>
      </c>
      <c r="D1404" s="0" t="inlineStr">
        <is>
          <t>NULL</t>
        </is>
      </c>
      <c r="E1404" s="0" t="inlineStr">
        <is>
          <t>NULL</t>
        </is>
      </c>
      <c r="F1404" s="0" t="inlineStr">
        <is>
          <t>NULL</t>
        </is>
      </c>
      <c r="G1404" s="0" t="inlineStr">
        <is>
          <t>NULL</t>
        </is>
      </c>
      <c r="H1404" s="0" t="inlineStr">
        <is>
          <t>NULL</t>
        </is>
      </c>
      <c r="I1404" s="0" t="inlineStr">
        <is>
          <t>NULL</t>
        </is>
      </c>
      <c r="J1404" s="0" t="inlineStr">
        <is>
          <t>NULL</t>
        </is>
      </c>
      <c r="K1404" s="0" t="inlineStr">
        <is>
          <t>YES! 	 c_varchar_max列源备映射正确，源端为varchar -1位	期望更改为longtext	实际备端为longtext 4294967295位</t>
        </is>
      </c>
    </row>
    <row r="1405">
      <c r="B1405" s="0" t="inlineStr">
        <is>
          <t>NULL</t>
        </is>
      </c>
      <c r="C1405" s="0" t="inlineStr">
        <is>
          <t>NULL</t>
        </is>
      </c>
      <c r="D1405" s="0" t="inlineStr">
        <is>
          <t>NULL</t>
        </is>
      </c>
      <c r="E1405" s="0" t="inlineStr">
        <is>
          <t>NULL</t>
        </is>
      </c>
      <c r="F1405" s="0" t="inlineStr">
        <is>
          <t>NULL</t>
        </is>
      </c>
      <c r="G1405" s="0" t="inlineStr">
        <is>
          <t>NULL</t>
        </is>
      </c>
      <c r="H1405" s="0" t="inlineStr">
        <is>
          <t>NULL</t>
        </is>
      </c>
      <c r="I1405" s="0" t="inlineStr">
        <is>
          <t>NULL</t>
        </is>
      </c>
      <c r="J1405" s="0" t="inlineStr">
        <is>
          <t>NULL</t>
        </is>
      </c>
      <c r="K1405" s="0" t="inlineStr">
        <is>
          <t>YES! 	 c_nvarchar_max列源备映射正确，源端为nvarchar -1位	期望更改为longtext	实际备端为longtext 4294967295位</t>
        </is>
      </c>
    </row>
    <row r="1406">
      <c r="K1406" s="0" t="inlineStr">
        <is>
          <t>~ 空表</t>
        </is>
      </c>
    </row>
    <row r="1407">
      <c r="A1407" s="0" t="inlineStr">
        <is>
          <t>info_datetimeoffset_dml_single_pk_irp</t>
        </is>
      </c>
      <c r="K1407" s="0" t="inlineStr">
        <is>
          <t>[0;34m info_datetimeoffset_dml_single_pk_irp [0m源备字段数相同，源端字段：9 	备端字段9</t>
        </is>
      </c>
      <c r="W1407" s="0" t="inlineStr">
        <is>
          <t>YES 源备无差异</t>
        </is>
      </c>
      <c r="X1407" s="0">
        <f>A1407</f>
        <v/>
      </c>
    </row>
    <row r="1408">
      <c r="B1408" s="0" t="inlineStr">
        <is>
          <t>YES</t>
        </is>
      </c>
      <c r="C1408" s="0" t="inlineStr">
        <is>
          <t>NULL</t>
        </is>
      </c>
      <c r="D1408" s="0" t="inlineStr">
        <is>
          <t>NULL</t>
        </is>
      </c>
      <c r="E1408" s="0" t="inlineStr">
        <is>
          <t>NULL</t>
        </is>
      </c>
      <c r="F1408" s="0" t="inlineStr">
        <is>
          <t>NULL</t>
        </is>
      </c>
      <c r="G1408" s="0" t="inlineStr">
        <is>
          <t>NULL</t>
        </is>
      </c>
      <c r="H1408" s="0" t="inlineStr">
        <is>
          <t>NULL</t>
        </is>
      </c>
      <c r="I1408" s="0" t="inlineStr">
        <is>
          <t>YES!PK__info_dat__3213E83FC574CA33</t>
        </is>
      </c>
      <c r="J1408" s="0" t="inlineStr">
        <is>
          <t>YES! 主键相关索引</t>
        </is>
      </c>
      <c r="K1408" s="0" t="inlineStr">
        <is>
          <t>YES! 	 id列源备映射正确，源端为int None位	期望更改为int	实际备端为int None位</t>
        </is>
      </c>
    </row>
    <row r="1409">
      <c r="B1409" s="0" t="inlineStr">
        <is>
          <t>NULL</t>
        </is>
      </c>
      <c r="C1409" s="0" t="inlineStr">
        <is>
          <t>NULL</t>
        </is>
      </c>
      <c r="D1409" s="0" t="inlineStr">
        <is>
          <t>NULL</t>
        </is>
      </c>
      <c r="E1409" s="0" t="inlineStr">
        <is>
          <t>NULL</t>
        </is>
      </c>
      <c r="F1409" s="0" t="inlineStr">
        <is>
          <t>NULL</t>
        </is>
      </c>
      <c r="G1409" s="0" t="inlineStr">
        <is>
          <t>NULL</t>
        </is>
      </c>
      <c r="H1409" s="0" t="inlineStr">
        <is>
          <t>NULL</t>
        </is>
      </c>
      <c r="I1409" s="0" t="inlineStr">
        <is>
          <t>NULL</t>
        </is>
      </c>
      <c r="J1409" s="0" t="inlineStr">
        <is>
          <t>NULL</t>
        </is>
      </c>
      <c r="K1409" s="0" t="inlineStr">
        <is>
          <t>[0;32m YES! [0m 	 c_dtoffset_0列源备映射正确，源端为datetimeoffset None位	期望更改为varchar(34)	实际备端为varchar 136位	位数精度不存在，通过长度比较</t>
        </is>
      </c>
    </row>
    <row r="1410">
      <c r="B1410" s="0" t="inlineStr">
        <is>
          <t>NULL</t>
        </is>
      </c>
      <c r="C1410" s="0" t="inlineStr">
        <is>
          <t>NULL</t>
        </is>
      </c>
      <c r="D1410" s="0" t="inlineStr">
        <is>
          <t>NULL</t>
        </is>
      </c>
      <c r="E1410" s="0" t="inlineStr">
        <is>
          <t>NULL</t>
        </is>
      </c>
      <c r="F1410" s="0" t="inlineStr">
        <is>
          <t>NULL</t>
        </is>
      </c>
      <c r="G1410" s="0" t="inlineStr">
        <is>
          <t>NULL</t>
        </is>
      </c>
      <c r="H1410" s="0" t="inlineStr">
        <is>
          <t>NULL</t>
        </is>
      </c>
      <c r="I1410" s="0" t="inlineStr">
        <is>
          <t>NULL</t>
        </is>
      </c>
      <c r="J1410" s="0" t="inlineStr">
        <is>
          <t>NULL</t>
        </is>
      </c>
      <c r="K1410" s="0" t="inlineStr">
        <is>
          <t>[0;32m YES! [0m 	 c_dtoffset_1列源备映射正确，源端为datetimeoffset None位	期望更改为varchar(34)	实际备端为varchar 136位	位数精度不存在，通过长度比较</t>
        </is>
      </c>
    </row>
    <row r="1411">
      <c r="B1411" s="0" t="inlineStr">
        <is>
          <t>NULL</t>
        </is>
      </c>
      <c r="C1411" s="0" t="inlineStr">
        <is>
          <t>NULL</t>
        </is>
      </c>
      <c r="D1411" s="0" t="inlineStr">
        <is>
          <t>NULL</t>
        </is>
      </c>
      <c r="E1411" s="0" t="inlineStr">
        <is>
          <t>NULL</t>
        </is>
      </c>
      <c r="F1411" s="0" t="inlineStr">
        <is>
          <t>NULL</t>
        </is>
      </c>
      <c r="G1411" s="0" t="inlineStr">
        <is>
          <t>NULL</t>
        </is>
      </c>
      <c r="H1411" s="0" t="inlineStr">
        <is>
          <t>NULL</t>
        </is>
      </c>
      <c r="I1411" s="0" t="inlineStr">
        <is>
          <t>NULL</t>
        </is>
      </c>
      <c r="J1411" s="0" t="inlineStr">
        <is>
          <t>NULL</t>
        </is>
      </c>
      <c r="K1411" s="0" t="inlineStr">
        <is>
          <t>[0;32m YES! [0m 	 c_dtoffset_2列源备映射正确，源端为datetimeoffset None位	期望更改为varchar(34)	实际备端为varchar 136位	位数精度不存在，通过长度比较</t>
        </is>
      </c>
    </row>
    <row r="1412">
      <c r="B1412" s="0" t="inlineStr">
        <is>
          <t>NULL</t>
        </is>
      </c>
      <c r="C1412" s="0" t="inlineStr">
        <is>
          <t>NULL</t>
        </is>
      </c>
      <c r="D1412" s="0" t="inlineStr">
        <is>
          <t>NULL</t>
        </is>
      </c>
      <c r="E1412" s="0" t="inlineStr">
        <is>
          <t>NULL</t>
        </is>
      </c>
      <c r="F1412" s="0" t="inlineStr">
        <is>
          <t>NULL</t>
        </is>
      </c>
      <c r="G1412" s="0" t="inlineStr">
        <is>
          <t>NULL</t>
        </is>
      </c>
      <c r="H1412" s="0" t="inlineStr">
        <is>
          <t>NULL</t>
        </is>
      </c>
      <c r="I1412" s="0" t="inlineStr">
        <is>
          <t>NULL</t>
        </is>
      </c>
      <c r="J1412" s="0" t="inlineStr">
        <is>
          <t>NULL</t>
        </is>
      </c>
      <c r="K1412" s="0" t="inlineStr">
        <is>
          <t>[0;32m YES! [0m 	 c_dtoffset_3列源备映射正确，源端为datetimeoffset None位	期望更改为varchar(34)	实际备端为varchar 136位	位数精度不存在，通过长度比较</t>
        </is>
      </c>
    </row>
    <row r="1413">
      <c r="B1413" s="0" t="inlineStr">
        <is>
          <t>NULL</t>
        </is>
      </c>
      <c r="C1413" s="0" t="inlineStr">
        <is>
          <t>NULL</t>
        </is>
      </c>
      <c r="D1413" s="0" t="inlineStr">
        <is>
          <t>NULL</t>
        </is>
      </c>
      <c r="E1413" s="0" t="inlineStr">
        <is>
          <t>NULL</t>
        </is>
      </c>
      <c r="F1413" s="0" t="inlineStr">
        <is>
          <t>NULL</t>
        </is>
      </c>
      <c r="G1413" s="0" t="inlineStr">
        <is>
          <t>NULL</t>
        </is>
      </c>
      <c r="H1413" s="0" t="inlineStr">
        <is>
          <t>NULL</t>
        </is>
      </c>
      <c r="I1413" s="0" t="inlineStr">
        <is>
          <t>NULL</t>
        </is>
      </c>
      <c r="J1413" s="0" t="inlineStr">
        <is>
          <t>NULL</t>
        </is>
      </c>
      <c r="K1413" s="0" t="inlineStr">
        <is>
          <t>[0;32m YES! [0m 	 c_dtoffset_4列源备映射正确，源端为datetimeoffset None位	期望更改为varchar(34)	实际备端为varchar 136位	位数精度不存在，通过长度比较</t>
        </is>
      </c>
    </row>
    <row r="1414">
      <c r="B1414" s="0" t="inlineStr">
        <is>
          <t>NULL</t>
        </is>
      </c>
      <c r="C1414" s="0" t="inlineStr">
        <is>
          <t>NULL</t>
        </is>
      </c>
      <c r="D1414" s="0" t="inlineStr">
        <is>
          <t>NULL</t>
        </is>
      </c>
      <c r="E1414" s="0" t="inlineStr">
        <is>
          <t>NULL</t>
        </is>
      </c>
      <c r="F1414" s="0" t="inlineStr">
        <is>
          <t>NULL</t>
        </is>
      </c>
      <c r="G1414" s="0" t="inlineStr">
        <is>
          <t>NULL</t>
        </is>
      </c>
      <c r="H1414" s="0" t="inlineStr">
        <is>
          <t>NULL</t>
        </is>
      </c>
      <c r="I1414" s="0" t="inlineStr">
        <is>
          <t>NULL</t>
        </is>
      </c>
      <c r="J1414" s="0" t="inlineStr">
        <is>
          <t>NULL</t>
        </is>
      </c>
      <c r="K1414" s="0" t="inlineStr">
        <is>
          <t>[0;32m YES! [0m 	 c_dtoffset_5列源备映射正确，源端为datetimeoffset None位	期望更改为varchar(34)	实际备端为varchar 136位	位数精度不存在，通过长度比较</t>
        </is>
      </c>
    </row>
    <row r="1415">
      <c r="B1415" s="0" t="inlineStr">
        <is>
          <t>NULL</t>
        </is>
      </c>
      <c r="C1415" s="0" t="inlineStr">
        <is>
          <t>NULL</t>
        </is>
      </c>
      <c r="D1415" s="0" t="inlineStr">
        <is>
          <t>NULL</t>
        </is>
      </c>
      <c r="E1415" s="0" t="inlineStr">
        <is>
          <t>NULL</t>
        </is>
      </c>
      <c r="F1415" s="0" t="inlineStr">
        <is>
          <t>NULL</t>
        </is>
      </c>
      <c r="G1415" s="0" t="inlineStr">
        <is>
          <t>NULL</t>
        </is>
      </c>
      <c r="H1415" s="0" t="inlineStr">
        <is>
          <t>NULL</t>
        </is>
      </c>
      <c r="I1415" s="0" t="inlineStr">
        <is>
          <t>NULL</t>
        </is>
      </c>
      <c r="J1415" s="0" t="inlineStr">
        <is>
          <t>NULL</t>
        </is>
      </c>
      <c r="K1415" s="0" t="inlineStr">
        <is>
          <t>[0;32m YES! [0m 	 c_dtoffset_6列源备映射正确，源端为datetimeoffset None位	期望更改为varchar(34)	实际备端为varchar 136位	位数精度不存在，通过长度比较</t>
        </is>
      </c>
    </row>
    <row r="1416">
      <c r="B1416" s="0" t="inlineStr">
        <is>
          <t>NULL</t>
        </is>
      </c>
      <c r="C1416" s="0" t="inlineStr">
        <is>
          <t>NULL</t>
        </is>
      </c>
      <c r="D1416" s="0" t="inlineStr">
        <is>
          <t>NULL</t>
        </is>
      </c>
      <c r="E1416" s="0" t="inlineStr">
        <is>
          <t>NULL</t>
        </is>
      </c>
      <c r="F1416" s="0" t="inlineStr">
        <is>
          <t>NULL</t>
        </is>
      </c>
      <c r="G1416" s="0" t="inlineStr">
        <is>
          <t>NULL</t>
        </is>
      </c>
      <c r="H1416" s="0" t="inlineStr">
        <is>
          <t>NULL</t>
        </is>
      </c>
      <c r="I1416" s="0" t="inlineStr">
        <is>
          <t>NULL</t>
        </is>
      </c>
      <c r="J1416" s="0" t="inlineStr">
        <is>
          <t>NULL</t>
        </is>
      </c>
      <c r="K1416" s="0" t="inlineStr">
        <is>
          <t>[0;32m YES! [0m 	 c_dtoffset列源备映射正确，源端为datetimeoffset None位	期望更改为varchar(34)	实际备端为varchar 136位	位数精度不存在，通过长度比较</t>
        </is>
      </c>
    </row>
    <row r="1417">
      <c r="A1417" s="0" t="inlineStr">
        <is>
          <t>info_datetime_dml_single_nopk_drp</t>
        </is>
      </c>
      <c r="K1417" s="0" t="inlineStr">
        <is>
          <t>[0;34m info_datetime_dml_single_nopk_drp [0m源备字段数相同，源端字段：2 	备端字段2</t>
        </is>
      </c>
      <c r="W1417" s="0" t="inlineStr">
        <is>
          <t>YES 源备无差异</t>
        </is>
      </c>
      <c r="X1417" s="0">
        <f>A1417</f>
        <v/>
      </c>
    </row>
    <row r="1418">
      <c r="B1418" s="0" t="inlineStr">
        <is>
          <t>NULL</t>
        </is>
      </c>
      <c r="C1418" s="0" t="inlineStr">
        <is>
          <t>NULL</t>
        </is>
      </c>
      <c r="D1418" s="0" t="inlineStr">
        <is>
          <t>NULL</t>
        </is>
      </c>
      <c r="E1418" s="0" t="inlineStr">
        <is>
          <t>NULL</t>
        </is>
      </c>
      <c r="F1418" s="0" t="inlineStr">
        <is>
          <t>NULL</t>
        </is>
      </c>
      <c r="G1418" s="0" t="inlineStr">
        <is>
          <t>NULL</t>
        </is>
      </c>
      <c r="H1418" s="0" t="inlineStr">
        <is>
          <t>NULL</t>
        </is>
      </c>
      <c r="I1418" s="0" t="inlineStr">
        <is>
          <t>NULL</t>
        </is>
      </c>
      <c r="J1418" s="0" t="inlineStr">
        <is>
          <t>NULL</t>
        </is>
      </c>
      <c r="K1418" s="0" t="inlineStr">
        <is>
          <t>YES! 	 id列源备映射正确，源端为int None位	期望更改为int	实际备端为int None位</t>
        </is>
      </c>
    </row>
    <row r="1419">
      <c r="B1419" s="0" t="inlineStr">
        <is>
          <t>NULL</t>
        </is>
      </c>
      <c r="C1419" s="0" t="inlineStr">
        <is>
          <t>NO!源None备NUL</t>
        </is>
      </c>
      <c r="D1419" s="0" t="inlineStr">
        <is>
          <t>NULL</t>
        </is>
      </c>
      <c r="E1419" s="0" t="inlineStr">
        <is>
          <t>NULL</t>
        </is>
      </c>
      <c r="F1419" s="0" t="inlineStr">
        <is>
          <t>NULL</t>
        </is>
      </c>
      <c r="G1419" s="0" t="inlineStr">
        <is>
          <t>NULL</t>
        </is>
      </c>
      <c r="H1419" s="0" t="inlineStr">
        <is>
          <t>NULL</t>
        </is>
      </c>
      <c r="I1419" s="0" t="inlineStr">
        <is>
          <t>NULL</t>
        </is>
      </c>
      <c r="J1419" s="0" t="inlineStr">
        <is>
          <t>NULL</t>
        </is>
      </c>
      <c r="K1419" s="0" t="inlineStr">
        <is>
          <t>YES! 	 c_datetime列源备映射正确，源端为datetime None位	期望更改为datetime(3)	实际备端为datetime None位</t>
        </is>
      </c>
    </row>
    <row r="1420">
      <c r="A1420" s="0" t="inlineStr">
        <is>
          <t>info_varbinary_max_dml_single_nopk_irp</t>
        </is>
      </c>
      <c r="K1420" s="0" t="inlineStr">
        <is>
          <t>[0;34m info_varbinary_max_dml_single_nopk_irp [0m源备字段数相同，源端字段：4 	备端字段4</t>
        </is>
      </c>
      <c r="W1420" s="0" t="inlineStr">
        <is>
          <t>YES 源备无差异</t>
        </is>
      </c>
      <c r="X1420" s="0">
        <f>A1420</f>
        <v/>
      </c>
    </row>
    <row r="1421">
      <c r="B1421" s="0" t="inlineStr">
        <is>
          <t>NULL</t>
        </is>
      </c>
      <c r="C1421" s="0" t="inlineStr">
        <is>
          <t>NULL</t>
        </is>
      </c>
      <c r="D1421" s="0" t="inlineStr">
        <is>
          <t>NULL</t>
        </is>
      </c>
      <c r="E1421" s="0" t="inlineStr">
        <is>
          <t>NULL</t>
        </is>
      </c>
      <c r="F1421" s="0" t="inlineStr">
        <is>
          <t>NULL</t>
        </is>
      </c>
      <c r="G1421" s="0" t="inlineStr">
        <is>
          <t>NULL</t>
        </is>
      </c>
      <c r="H1421" s="0" t="inlineStr">
        <is>
          <t>NULL</t>
        </is>
      </c>
      <c r="I1421" s="0" t="inlineStr">
        <is>
          <t>NULL</t>
        </is>
      </c>
      <c r="J1421" s="0" t="inlineStr">
        <is>
          <t>NULL</t>
        </is>
      </c>
      <c r="K1421" s="0" t="inlineStr">
        <is>
          <t>YES! 	 id列源备映射正确，源端为int None位	期望更改为int	实际备端为int None位</t>
        </is>
      </c>
    </row>
    <row r="1422">
      <c r="B1422" s="0" t="inlineStr">
        <is>
          <t>NULL</t>
        </is>
      </c>
      <c r="C1422" s="0" t="inlineStr">
        <is>
          <t>NULL</t>
        </is>
      </c>
      <c r="D1422" s="0" t="inlineStr">
        <is>
          <t>NULL</t>
        </is>
      </c>
      <c r="E1422" s="0" t="inlineStr">
        <is>
          <t>NULL</t>
        </is>
      </c>
      <c r="F1422" s="0" t="inlineStr">
        <is>
          <t>NULL</t>
        </is>
      </c>
      <c r="G1422" s="0" t="inlineStr">
        <is>
          <t>NULL</t>
        </is>
      </c>
      <c r="H1422" s="0" t="inlineStr">
        <is>
          <t>NULL</t>
        </is>
      </c>
      <c r="I1422" s="0" t="inlineStr">
        <is>
          <t>NULL</t>
        </is>
      </c>
      <c r="J1422" s="0" t="inlineStr">
        <is>
          <t>NULL</t>
        </is>
      </c>
      <c r="K1422" s="0" t="inlineStr">
        <is>
          <t>YES! 	 c_varbinary_max1列源备映射正确，源端为varbinary -1位	期望更改为longblob	实际备端为longblob 4294967295位</t>
        </is>
      </c>
    </row>
    <row r="1423">
      <c r="B1423" s="0" t="inlineStr">
        <is>
          <t>NULL</t>
        </is>
      </c>
      <c r="C1423" s="0" t="inlineStr">
        <is>
          <t>NULL</t>
        </is>
      </c>
      <c r="D1423" s="0" t="inlineStr">
        <is>
          <t>NULL</t>
        </is>
      </c>
      <c r="E1423" s="0" t="inlineStr">
        <is>
          <t>NULL</t>
        </is>
      </c>
      <c r="F1423" s="0" t="inlineStr">
        <is>
          <t>NULL</t>
        </is>
      </c>
      <c r="G1423" s="0" t="inlineStr">
        <is>
          <t>NULL</t>
        </is>
      </c>
      <c r="H1423" s="0" t="inlineStr">
        <is>
          <t>NULL</t>
        </is>
      </c>
      <c r="I1423" s="0" t="inlineStr">
        <is>
          <t>NULL</t>
        </is>
      </c>
      <c r="J1423" s="0" t="inlineStr">
        <is>
          <t>NULL</t>
        </is>
      </c>
      <c r="K1423" s="0" t="inlineStr">
        <is>
          <t>YES! 	 c_varbinary_max2列源备映射正确，源端为varbinary -1位	期望更改为longblob	实际备端为longblob 4294967295位</t>
        </is>
      </c>
    </row>
    <row r="1424">
      <c r="B1424" s="0" t="inlineStr">
        <is>
          <t>NULL</t>
        </is>
      </c>
      <c r="C1424" s="0" t="inlineStr">
        <is>
          <t>NULL</t>
        </is>
      </c>
      <c r="D1424" s="0" t="inlineStr">
        <is>
          <t>NULL</t>
        </is>
      </c>
      <c r="E1424" s="0" t="inlineStr">
        <is>
          <t>NULL</t>
        </is>
      </c>
      <c r="F1424" s="0" t="inlineStr">
        <is>
          <t>NULL</t>
        </is>
      </c>
      <c r="G1424" s="0" t="inlineStr">
        <is>
          <t>NULL</t>
        </is>
      </c>
      <c r="H1424" s="0" t="inlineStr">
        <is>
          <t>NULL</t>
        </is>
      </c>
      <c r="I1424" s="0" t="inlineStr">
        <is>
          <t>NULL</t>
        </is>
      </c>
      <c r="J1424" s="0" t="inlineStr">
        <is>
          <t>NULL</t>
        </is>
      </c>
      <c r="K1424" s="0" t="inlineStr">
        <is>
          <t>YES! 	 c_image3列源备映射正确，源端为image 2147483647位	期望更改为longblob	实际备端为longblob 4294967295位</t>
        </is>
      </c>
    </row>
    <row r="1425">
      <c r="A1425" s="0" t="inlineStr">
        <is>
          <t>info_binary_dml_single_pk_irp</t>
        </is>
      </c>
      <c r="K1425" s="0" t="inlineStr">
        <is>
          <t>[0;34m info_binary_dml_single_pk_irp [0m源备字段数相同，源端字段：4 	备端字段4</t>
        </is>
      </c>
      <c r="W1425" s="0" t="inlineStr">
        <is>
          <t>YES 源备无差异</t>
        </is>
      </c>
      <c r="X1425" s="0">
        <f>A1425</f>
        <v/>
      </c>
    </row>
    <row r="1426">
      <c r="B1426" s="0" t="inlineStr">
        <is>
          <t>YES</t>
        </is>
      </c>
      <c r="C1426" s="0" t="inlineStr">
        <is>
          <t>NULL</t>
        </is>
      </c>
      <c r="D1426" s="0" t="inlineStr">
        <is>
          <t>NULL</t>
        </is>
      </c>
      <c r="E1426" s="0" t="inlineStr">
        <is>
          <t>NULL</t>
        </is>
      </c>
      <c r="F1426" s="0" t="inlineStr">
        <is>
          <t>NULL</t>
        </is>
      </c>
      <c r="G1426" s="0" t="inlineStr">
        <is>
          <t>NULL</t>
        </is>
      </c>
      <c r="H1426" s="0" t="inlineStr">
        <is>
          <t>NULL</t>
        </is>
      </c>
      <c r="I1426" s="0" t="inlineStr">
        <is>
          <t>YES!PK__info_bin__3213E83FFC5F28A0</t>
        </is>
      </c>
      <c r="J1426" s="0" t="inlineStr">
        <is>
          <t>YES! 主键相关索引</t>
        </is>
      </c>
      <c r="K1426" s="0" t="inlineStr">
        <is>
          <t>YES! 	 id列源备映射正确，源端为int None位	期望更改为int	实际备端为int None位</t>
        </is>
      </c>
    </row>
    <row r="1427">
      <c r="B1427" s="0" t="inlineStr">
        <is>
          <t>NULL</t>
        </is>
      </c>
      <c r="C1427" s="0" t="inlineStr">
        <is>
          <t>NULL</t>
        </is>
      </c>
      <c r="D1427" s="0" t="inlineStr">
        <is>
          <t>NULL</t>
        </is>
      </c>
      <c r="E1427" s="0" t="inlineStr">
        <is>
          <t>NULL</t>
        </is>
      </c>
      <c r="F1427" s="0" t="inlineStr">
        <is>
          <t>NULL</t>
        </is>
      </c>
      <c r="G1427" s="0" t="inlineStr">
        <is>
          <t>NULL</t>
        </is>
      </c>
      <c r="H1427" s="0" t="inlineStr">
        <is>
          <t>NULL</t>
        </is>
      </c>
      <c r="I1427" s="0" t="inlineStr">
        <is>
          <t>NULL</t>
        </is>
      </c>
      <c r="J1427" s="0" t="inlineStr">
        <is>
          <t>NULL</t>
        </is>
      </c>
      <c r="K1427" s="0" t="inlineStr">
        <is>
          <t>YES! 	 c_binary列源备映射正确，源端为binary 1位	期望更改为binary(n)	实际备端为binary 1位</t>
        </is>
      </c>
    </row>
    <row r="1428">
      <c r="B1428" s="0" t="inlineStr">
        <is>
          <t>NULL</t>
        </is>
      </c>
      <c r="C1428" s="0" t="inlineStr">
        <is>
          <t>NULL</t>
        </is>
      </c>
      <c r="D1428" s="0" t="inlineStr">
        <is>
          <t>NULL</t>
        </is>
      </c>
      <c r="E1428" s="0" t="inlineStr">
        <is>
          <t>NULL</t>
        </is>
      </c>
      <c r="F1428" s="0" t="inlineStr">
        <is>
          <t>NULL</t>
        </is>
      </c>
      <c r="G1428" s="0" t="inlineStr">
        <is>
          <t>NULL</t>
        </is>
      </c>
      <c r="H1428" s="0" t="inlineStr">
        <is>
          <t>NULL</t>
        </is>
      </c>
      <c r="I1428" s="0" t="inlineStr">
        <is>
          <t>NULL</t>
        </is>
      </c>
      <c r="J1428" s="0" t="inlineStr">
        <is>
          <t>NULL</t>
        </is>
      </c>
      <c r="K1428" s="0" t="inlineStr">
        <is>
          <t>YES! 	 c_binary_20列源备映射正确，源端为binary 20位	期望更改为binary(n)	实际备端为binary 20位</t>
        </is>
      </c>
    </row>
    <row r="1429">
      <c r="B1429" s="0" t="inlineStr">
        <is>
          <t>NULL</t>
        </is>
      </c>
      <c r="C1429" s="0" t="inlineStr">
        <is>
          <t>NULL</t>
        </is>
      </c>
      <c r="D1429" s="0" t="inlineStr">
        <is>
          <t>NULL</t>
        </is>
      </c>
      <c r="E1429" s="0" t="inlineStr">
        <is>
          <t>NULL</t>
        </is>
      </c>
      <c r="F1429" s="0" t="inlineStr">
        <is>
          <t>NULL</t>
        </is>
      </c>
      <c r="G1429" s="0" t="inlineStr">
        <is>
          <t>NULL</t>
        </is>
      </c>
      <c r="H1429" s="0" t="inlineStr">
        <is>
          <t>NULL</t>
        </is>
      </c>
      <c r="I1429" s="0" t="inlineStr">
        <is>
          <t>NULL</t>
        </is>
      </c>
      <c r="J1429" s="0" t="inlineStr">
        <is>
          <t>NULL</t>
        </is>
      </c>
      <c r="K1429" s="0" t="inlineStr">
        <is>
          <t>YES! 	 c_binary_8000列源备映射正确，源端为binary 8000位	期望更改为longblob	实际备端为longblob 4294967295位</t>
        </is>
      </c>
    </row>
    <row r="1430">
      <c r="A1430" s="0" t="inlineStr">
        <is>
          <t>info_datetimeoffset_dml_batch1_pk_drp2</t>
        </is>
      </c>
      <c r="K1430" s="0" t="inlineStr">
        <is>
          <t>[0;34m info_datetimeoffset_dml_batch1_pk_drp2 [0m源备字段数相同，源端字段：9 	备端字段9</t>
        </is>
      </c>
      <c r="W1430" s="0" t="inlineStr">
        <is>
          <t>YES 源备无差异</t>
        </is>
      </c>
      <c r="X1430" s="0">
        <f>A1430</f>
        <v/>
      </c>
    </row>
    <row r="1431">
      <c r="B1431" s="0" t="inlineStr">
        <is>
          <t>YES</t>
        </is>
      </c>
      <c r="C1431" s="0" t="inlineStr">
        <is>
          <t>NULL</t>
        </is>
      </c>
      <c r="D1431" s="0" t="inlineStr">
        <is>
          <t>NULL</t>
        </is>
      </c>
      <c r="E1431" s="0" t="inlineStr">
        <is>
          <t>NULL</t>
        </is>
      </c>
      <c r="F1431" s="0" t="inlineStr">
        <is>
          <t>NULL</t>
        </is>
      </c>
      <c r="G1431" s="0" t="inlineStr">
        <is>
          <t>NULL</t>
        </is>
      </c>
      <c r="H1431" s="0" t="inlineStr">
        <is>
          <t>NULL</t>
        </is>
      </c>
      <c r="I1431" s="0" t="inlineStr">
        <is>
          <t>YES!PK__info_dat__3213E83F76C7AF85</t>
        </is>
      </c>
      <c r="J1431" s="0" t="inlineStr">
        <is>
          <t>YES! 主键相关索引</t>
        </is>
      </c>
      <c r="K1431" s="0" t="inlineStr">
        <is>
          <t>YES! 	 id列源备映射正确，源端为int None位	期望更改为int	实际备端为int None位</t>
        </is>
      </c>
    </row>
    <row r="1432">
      <c r="B1432" s="0" t="inlineStr">
        <is>
          <t>NULL</t>
        </is>
      </c>
      <c r="C1432" s="0" t="inlineStr">
        <is>
          <t>NULL</t>
        </is>
      </c>
      <c r="D1432" s="0" t="inlineStr">
        <is>
          <t>NULL</t>
        </is>
      </c>
      <c r="E1432" s="0" t="inlineStr">
        <is>
          <t>NULL</t>
        </is>
      </c>
      <c r="F1432" s="0" t="inlineStr">
        <is>
          <t>NULL</t>
        </is>
      </c>
      <c r="G1432" s="0" t="inlineStr">
        <is>
          <t>NULL</t>
        </is>
      </c>
      <c r="H1432" s="0" t="inlineStr">
        <is>
          <t>NULL</t>
        </is>
      </c>
      <c r="I1432" s="0" t="inlineStr">
        <is>
          <t>NULL</t>
        </is>
      </c>
      <c r="J1432" s="0" t="inlineStr">
        <is>
          <t>NULL</t>
        </is>
      </c>
      <c r="K1432" s="0" t="inlineStr">
        <is>
          <t>[0;32m YES! [0m 	 c_dtoffset_0列源备映射正确，源端为datetimeoffset None位	期望更改为varchar(34)	实际备端为varchar 136位	位数精度不存在，通过长度比较</t>
        </is>
      </c>
    </row>
    <row r="1433">
      <c r="B1433" s="0" t="inlineStr">
        <is>
          <t>NULL</t>
        </is>
      </c>
      <c r="C1433" s="0" t="inlineStr">
        <is>
          <t>NULL</t>
        </is>
      </c>
      <c r="D1433" s="0" t="inlineStr">
        <is>
          <t>NULL</t>
        </is>
      </c>
      <c r="E1433" s="0" t="inlineStr">
        <is>
          <t>NULL</t>
        </is>
      </c>
      <c r="F1433" s="0" t="inlineStr">
        <is>
          <t>NULL</t>
        </is>
      </c>
      <c r="G1433" s="0" t="inlineStr">
        <is>
          <t>NULL</t>
        </is>
      </c>
      <c r="H1433" s="0" t="inlineStr">
        <is>
          <t>NULL</t>
        </is>
      </c>
      <c r="I1433" s="0" t="inlineStr">
        <is>
          <t>NULL</t>
        </is>
      </c>
      <c r="J1433" s="0" t="inlineStr">
        <is>
          <t>NULL</t>
        </is>
      </c>
      <c r="K1433" s="0" t="inlineStr">
        <is>
          <t>[0;32m YES! [0m 	 c_dtoffset_1列源备映射正确，源端为datetimeoffset None位	期望更改为varchar(34)	实际备端为varchar 136位	位数精度不存在，通过长度比较</t>
        </is>
      </c>
    </row>
    <row r="1434">
      <c r="B1434" s="0" t="inlineStr">
        <is>
          <t>NULL</t>
        </is>
      </c>
      <c r="C1434" s="0" t="inlineStr">
        <is>
          <t>NULL</t>
        </is>
      </c>
      <c r="D1434" s="0" t="inlineStr">
        <is>
          <t>NULL</t>
        </is>
      </c>
      <c r="E1434" s="0" t="inlineStr">
        <is>
          <t>NULL</t>
        </is>
      </c>
      <c r="F1434" s="0" t="inlineStr">
        <is>
          <t>NULL</t>
        </is>
      </c>
      <c r="G1434" s="0" t="inlineStr">
        <is>
          <t>NULL</t>
        </is>
      </c>
      <c r="H1434" s="0" t="inlineStr">
        <is>
          <t>NULL</t>
        </is>
      </c>
      <c r="I1434" s="0" t="inlineStr">
        <is>
          <t>NULL</t>
        </is>
      </c>
      <c r="J1434" s="0" t="inlineStr">
        <is>
          <t>NULL</t>
        </is>
      </c>
      <c r="K1434" s="0" t="inlineStr">
        <is>
          <t>[0;32m YES! [0m 	 c_dtoffset_2列源备映射正确，源端为datetimeoffset None位	期望更改为varchar(34)	实际备端为varchar 136位	位数精度不存在，通过长度比较</t>
        </is>
      </c>
    </row>
    <row r="1435">
      <c r="B1435" s="0" t="inlineStr">
        <is>
          <t>NULL</t>
        </is>
      </c>
      <c r="C1435" s="0" t="inlineStr">
        <is>
          <t>NULL</t>
        </is>
      </c>
      <c r="D1435" s="0" t="inlineStr">
        <is>
          <t>NULL</t>
        </is>
      </c>
      <c r="E1435" s="0" t="inlineStr">
        <is>
          <t>NULL</t>
        </is>
      </c>
      <c r="F1435" s="0" t="inlineStr">
        <is>
          <t>NULL</t>
        </is>
      </c>
      <c r="G1435" s="0" t="inlineStr">
        <is>
          <t>NULL</t>
        </is>
      </c>
      <c r="H1435" s="0" t="inlineStr">
        <is>
          <t>NULL</t>
        </is>
      </c>
      <c r="I1435" s="0" t="inlineStr">
        <is>
          <t>NULL</t>
        </is>
      </c>
      <c r="J1435" s="0" t="inlineStr">
        <is>
          <t>NULL</t>
        </is>
      </c>
      <c r="K1435" s="0" t="inlineStr">
        <is>
          <t>[0;32m YES! [0m 	 c_dtoffset_3列源备映射正确，源端为datetimeoffset None位	期望更改为varchar(34)	实际备端为varchar 136位	位数精度不存在，通过长度比较</t>
        </is>
      </c>
    </row>
    <row r="1436">
      <c r="B1436" s="0" t="inlineStr">
        <is>
          <t>NULL</t>
        </is>
      </c>
      <c r="C1436" s="0" t="inlineStr">
        <is>
          <t>NULL</t>
        </is>
      </c>
      <c r="D1436" s="0" t="inlineStr">
        <is>
          <t>NULL</t>
        </is>
      </c>
      <c r="E1436" s="0" t="inlineStr">
        <is>
          <t>NULL</t>
        </is>
      </c>
      <c r="F1436" s="0" t="inlineStr">
        <is>
          <t>NULL</t>
        </is>
      </c>
      <c r="G1436" s="0" t="inlineStr">
        <is>
          <t>NULL</t>
        </is>
      </c>
      <c r="H1436" s="0" t="inlineStr">
        <is>
          <t>NULL</t>
        </is>
      </c>
      <c r="I1436" s="0" t="inlineStr">
        <is>
          <t>NULL</t>
        </is>
      </c>
      <c r="J1436" s="0" t="inlineStr">
        <is>
          <t>NULL</t>
        </is>
      </c>
      <c r="K1436" s="0" t="inlineStr">
        <is>
          <t>[0;32m YES! [0m 	 c_dtoffset_4列源备映射正确，源端为datetimeoffset None位	期望更改为varchar(34)	实际备端为varchar 136位	位数精度不存在，通过长度比较</t>
        </is>
      </c>
    </row>
    <row r="1437">
      <c r="B1437" s="0" t="inlineStr">
        <is>
          <t>NULL</t>
        </is>
      </c>
      <c r="C1437" s="0" t="inlineStr">
        <is>
          <t>NULL</t>
        </is>
      </c>
      <c r="D1437" s="0" t="inlineStr">
        <is>
          <t>NULL</t>
        </is>
      </c>
      <c r="E1437" s="0" t="inlineStr">
        <is>
          <t>NULL</t>
        </is>
      </c>
      <c r="F1437" s="0" t="inlineStr">
        <is>
          <t>NULL</t>
        </is>
      </c>
      <c r="G1437" s="0" t="inlineStr">
        <is>
          <t>NULL</t>
        </is>
      </c>
      <c r="H1437" s="0" t="inlineStr">
        <is>
          <t>NULL</t>
        </is>
      </c>
      <c r="I1437" s="0" t="inlineStr">
        <is>
          <t>NULL</t>
        </is>
      </c>
      <c r="J1437" s="0" t="inlineStr">
        <is>
          <t>NULL</t>
        </is>
      </c>
      <c r="K1437" s="0" t="inlineStr">
        <is>
          <t>[0;32m YES! [0m 	 c_dtoffset_5列源备映射正确，源端为datetimeoffset None位	期望更改为varchar(34)	实际备端为varchar 136位	位数精度不存在，通过长度比较</t>
        </is>
      </c>
    </row>
    <row r="1438">
      <c r="B1438" s="0" t="inlineStr">
        <is>
          <t>NULL</t>
        </is>
      </c>
      <c r="C1438" s="0" t="inlineStr">
        <is>
          <t>NULL</t>
        </is>
      </c>
      <c r="D1438" s="0" t="inlineStr">
        <is>
          <t>NULL</t>
        </is>
      </c>
      <c r="E1438" s="0" t="inlineStr">
        <is>
          <t>NULL</t>
        </is>
      </c>
      <c r="F1438" s="0" t="inlineStr">
        <is>
          <t>NULL</t>
        </is>
      </c>
      <c r="G1438" s="0" t="inlineStr">
        <is>
          <t>NULL</t>
        </is>
      </c>
      <c r="H1438" s="0" t="inlineStr">
        <is>
          <t>NULL</t>
        </is>
      </c>
      <c r="I1438" s="0" t="inlineStr">
        <is>
          <t>NULL</t>
        </is>
      </c>
      <c r="J1438" s="0" t="inlineStr">
        <is>
          <t>NULL</t>
        </is>
      </c>
      <c r="K1438" s="0" t="inlineStr">
        <is>
          <t>[0;32m YES! [0m 	 c_dtoffset_6列源备映射正确，源端为datetimeoffset None位	期望更改为varchar(34)	实际备端为varchar 136位	位数精度不存在，通过长度比较</t>
        </is>
      </c>
    </row>
    <row r="1439">
      <c r="B1439" s="0" t="inlineStr">
        <is>
          <t>NULL</t>
        </is>
      </c>
      <c r="C1439" s="0" t="inlineStr">
        <is>
          <t>NULL</t>
        </is>
      </c>
      <c r="D1439" s="0" t="inlineStr">
        <is>
          <t>NULL</t>
        </is>
      </c>
      <c r="E1439" s="0" t="inlineStr">
        <is>
          <t>NULL</t>
        </is>
      </c>
      <c r="F1439" s="0" t="inlineStr">
        <is>
          <t>NULL</t>
        </is>
      </c>
      <c r="G1439" s="0" t="inlineStr">
        <is>
          <t>NULL</t>
        </is>
      </c>
      <c r="H1439" s="0" t="inlineStr">
        <is>
          <t>NULL</t>
        </is>
      </c>
      <c r="I1439" s="0" t="inlineStr">
        <is>
          <t>NULL</t>
        </is>
      </c>
      <c r="J1439" s="0" t="inlineStr">
        <is>
          <t>NULL</t>
        </is>
      </c>
      <c r="K1439" s="0" t="inlineStr">
        <is>
          <t>[0;32m YES! [0m 	 c_dtoffset列源备映射正确，源端为datetimeoffset None位	期望更改为varchar(34)	实际备端为varchar 136位	位数精度不存在，通过长度比较</t>
        </is>
      </c>
    </row>
    <row r="1440">
      <c r="A1440" s="0" t="inlineStr">
        <is>
          <t>info_datetime_dml_single_nopk</t>
        </is>
      </c>
      <c r="K1440" s="0" t="inlineStr">
        <is>
          <t>[0;34m info_datetime_dml_single_nopk [0m源备字段数相同，源端字段：2 	备端字段2</t>
        </is>
      </c>
      <c r="W1440" s="0" t="inlineStr">
        <is>
          <t>YES 源备无差异</t>
        </is>
      </c>
      <c r="X1440" s="0">
        <f>A1440</f>
        <v/>
      </c>
    </row>
    <row r="1441">
      <c r="B1441" s="0" t="inlineStr">
        <is>
          <t>NULL</t>
        </is>
      </c>
      <c r="C1441" s="0" t="inlineStr">
        <is>
          <t>NULL</t>
        </is>
      </c>
      <c r="D1441" s="0" t="inlineStr">
        <is>
          <t>NULL</t>
        </is>
      </c>
      <c r="E1441" s="0" t="inlineStr">
        <is>
          <t>NULL</t>
        </is>
      </c>
      <c r="F1441" s="0" t="inlineStr">
        <is>
          <t>NULL</t>
        </is>
      </c>
      <c r="G1441" s="0" t="inlineStr">
        <is>
          <t>NULL</t>
        </is>
      </c>
      <c r="H1441" s="0" t="inlineStr">
        <is>
          <t>NULL</t>
        </is>
      </c>
      <c r="I1441" s="0" t="inlineStr">
        <is>
          <t>NULL</t>
        </is>
      </c>
      <c r="J1441" s="0" t="inlineStr">
        <is>
          <t>NULL</t>
        </is>
      </c>
      <c r="K1441" s="0" t="inlineStr">
        <is>
          <t>YES! 	 id列源备映射正确，源端为int None位	期望更改为int	实际备端为int None位</t>
        </is>
      </c>
    </row>
    <row r="1442">
      <c r="B1442" s="0" t="inlineStr">
        <is>
          <t>NULL</t>
        </is>
      </c>
      <c r="C1442" s="0" t="inlineStr">
        <is>
          <t>NO!源None备NUL</t>
        </is>
      </c>
      <c r="D1442" s="0" t="inlineStr">
        <is>
          <t>NULL</t>
        </is>
      </c>
      <c r="E1442" s="0" t="inlineStr">
        <is>
          <t>NULL</t>
        </is>
      </c>
      <c r="F1442" s="0" t="inlineStr">
        <is>
          <t>NULL</t>
        </is>
      </c>
      <c r="G1442" s="0" t="inlineStr">
        <is>
          <t>NULL</t>
        </is>
      </c>
      <c r="H1442" s="0" t="inlineStr">
        <is>
          <t>NULL</t>
        </is>
      </c>
      <c r="I1442" s="0" t="inlineStr">
        <is>
          <t>NULL</t>
        </is>
      </c>
      <c r="J1442" s="0" t="inlineStr">
        <is>
          <t>NULL</t>
        </is>
      </c>
      <c r="K1442" s="0" t="inlineStr">
        <is>
          <t>YES! 	 c_datetime列源备映射正确，源端为datetime None位	期望更改为datetime(3)	实际备端为datetime None位</t>
        </is>
      </c>
    </row>
    <row r="1443">
      <c r="A1443" s="0" t="inlineStr">
        <is>
          <t>info_varcharmax_dml_batch2_pk_irp2</t>
        </is>
      </c>
      <c r="K1443" s="0" t="inlineStr">
        <is>
          <t>[0;34m info_varcharmax_dml_batch2_pk_irp2 [0m源备字段数相同，源端字段：3 	备端字段3</t>
        </is>
      </c>
      <c r="W1443" s="0" t="inlineStr">
        <is>
          <t>YES 源备无差异</t>
        </is>
      </c>
      <c r="X1443" s="0">
        <f>A1443</f>
        <v/>
      </c>
    </row>
    <row r="1444">
      <c r="B1444" s="0" t="inlineStr">
        <is>
          <t>YES</t>
        </is>
      </c>
      <c r="C1444" s="0" t="inlineStr">
        <is>
          <t>NULL</t>
        </is>
      </c>
      <c r="D1444" s="0" t="inlineStr">
        <is>
          <t>NULL</t>
        </is>
      </c>
      <c r="E1444" s="0" t="inlineStr">
        <is>
          <t>NULL</t>
        </is>
      </c>
      <c r="F1444" s="0" t="inlineStr">
        <is>
          <t>NULL</t>
        </is>
      </c>
      <c r="G1444" s="0" t="inlineStr">
        <is>
          <t>NULL</t>
        </is>
      </c>
      <c r="H1444" s="0" t="inlineStr">
        <is>
          <t>NULL</t>
        </is>
      </c>
      <c r="I1444" s="0" t="inlineStr">
        <is>
          <t>YES!PK__info_var__3213E83FBB95D9E3</t>
        </is>
      </c>
      <c r="J1444" s="0" t="inlineStr">
        <is>
          <t>YES! 主键相关索引</t>
        </is>
      </c>
      <c r="K1444" s="0" t="inlineStr">
        <is>
          <t>YES! 	 id列源备映射正确，源端为int None位	期望更改为int	实际备端为int None位</t>
        </is>
      </c>
    </row>
    <row r="1445">
      <c r="B1445" s="0" t="inlineStr">
        <is>
          <t>NULL</t>
        </is>
      </c>
      <c r="C1445" s="0" t="inlineStr">
        <is>
          <t>NULL</t>
        </is>
      </c>
      <c r="D1445" s="0" t="inlineStr">
        <is>
          <t>NULL</t>
        </is>
      </c>
      <c r="E1445" s="0" t="inlineStr">
        <is>
          <t>NULL</t>
        </is>
      </c>
      <c r="F1445" s="0" t="inlineStr">
        <is>
          <t>NULL</t>
        </is>
      </c>
      <c r="G1445" s="0" t="inlineStr">
        <is>
          <t>NULL</t>
        </is>
      </c>
      <c r="H1445" s="0" t="inlineStr">
        <is>
          <t>NULL</t>
        </is>
      </c>
      <c r="I1445" s="0" t="inlineStr">
        <is>
          <t>NULL</t>
        </is>
      </c>
      <c r="J1445" s="0" t="inlineStr">
        <is>
          <t>NULL</t>
        </is>
      </c>
      <c r="K1445" s="0" t="inlineStr">
        <is>
          <t>YES! 	 c_varchar_max列源备映射正确，源端为varchar -1位	期望更改为longtext	实际备端为longtext 4294967295位</t>
        </is>
      </c>
    </row>
    <row r="1446">
      <c r="B1446" s="0" t="inlineStr">
        <is>
          <t>NULL</t>
        </is>
      </c>
      <c r="C1446" s="0" t="inlineStr">
        <is>
          <t>NULL</t>
        </is>
      </c>
      <c r="D1446" s="0" t="inlineStr">
        <is>
          <t>NULL</t>
        </is>
      </c>
      <c r="E1446" s="0" t="inlineStr">
        <is>
          <t>NULL</t>
        </is>
      </c>
      <c r="F1446" s="0" t="inlineStr">
        <is>
          <t>NULL</t>
        </is>
      </c>
      <c r="G1446" s="0" t="inlineStr">
        <is>
          <t>NULL</t>
        </is>
      </c>
      <c r="H1446" s="0" t="inlineStr">
        <is>
          <t>NULL</t>
        </is>
      </c>
      <c r="I1446" s="0" t="inlineStr">
        <is>
          <t>NULL</t>
        </is>
      </c>
      <c r="J1446" s="0" t="inlineStr">
        <is>
          <t>NULL</t>
        </is>
      </c>
      <c r="K1446" s="0" t="inlineStr">
        <is>
          <t>YES! 	 c_nvarchar_max列源备映射正确，源端为nvarchar -1位	期望更改为longtext	实际备端为longtext 4294967295位</t>
        </is>
      </c>
    </row>
    <row r="1447">
      <c r="K1447" s="0" t="inlineStr">
        <is>
          <t>~ 空表</t>
        </is>
      </c>
    </row>
    <row r="1448">
      <c r="A1448" s="0" t="inlineStr">
        <is>
          <t>info_datetimeoffset_dml_single_pk_urp</t>
        </is>
      </c>
      <c r="K1448" s="0" t="inlineStr">
        <is>
          <t>[0;34m info_datetimeoffset_dml_single_pk_urp [0m源备字段数相同，源端字段：9 	备端字段9</t>
        </is>
      </c>
      <c r="W1448" s="0" t="inlineStr">
        <is>
          <t>YES 源备无差异</t>
        </is>
      </c>
      <c r="X1448" s="0">
        <f>A1448</f>
        <v/>
      </c>
    </row>
    <row r="1449">
      <c r="B1449" s="0" t="inlineStr">
        <is>
          <t>YES</t>
        </is>
      </c>
      <c r="C1449" s="0" t="inlineStr">
        <is>
          <t>NULL</t>
        </is>
      </c>
      <c r="D1449" s="0" t="inlineStr">
        <is>
          <t>NULL</t>
        </is>
      </c>
      <c r="E1449" s="0" t="inlineStr">
        <is>
          <t>NULL</t>
        </is>
      </c>
      <c r="F1449" s="0" t="inlineStr">
        <is>
          <t>NULL</t>
        </is>
      </c>
      <c r="G1449" s="0" t="inlineStr">
        <is>
          <t>NULL</t>
        </is>
      </c>
      <c r="H1449" s="0" t="inlineStr">
        <is>
          <t>NULL</t>
        </is>
      </c>
      <c r="I1449" s="0" t="inlineStr">
        <is>
          <t>YES!PK__info_dat__3213E83F615F1D58</t>
        </is>
      </c>
      <c r="J1449" s="0" t="inlineStr">
        <is>
          <t>YES! 主键相关索引</t>
        </is>
      </c>
      <c r="K1449" s="0" t="inlineStr">
        <is>
          <t>YES! 	 id列源备映射正确，源端为int None位	期望更改为int	实际备端为int None位</t>
        </is>
      </c>
    </row>
    <row r="1450">
      <c r="B1450" s="0" t="inlineStr">
        <is>
          <t>NULL</t>
        </is>
      </c>
      <c r="C1450" s="0" t="inlineStr">
        <is>
          <t>NULL</t>
        </is>
      </c>
      <c r="D1450" s="0" t="inlineStr">
        <is>
          <t>NULL</t>
        </is>
      </c>
      <c r="E1450" s="0" t="inlineStr">
        <is>
          <t>NULL</t>
        </is>
      </c>
      <c r="F1450" s="0" t="inlineStr">
        <is>
          <t>NULL</t>
        </is>
      </c>
      <c r="G1450" s="0" t="inlineStr">
        <is>
          <t>NULL</t>
        </is>
      </c>
      <c r="H1450" s="0" t="inlineStr">
        <is>
          <t>NULL</t>
        </is>
      </c>
      <c r="I1450" s="0" t="inlineStr">
        <is>
          <t>NULL</t>
        </is>
      </c>
      <c r="J1450" s="0" t="inlineStr">
        <is>
          <t>NULL</t>
        </is>
      </c>
      <c r="K1450" s="0" t="inlineStr">
        <is>
          <t>[0;32m YES! [0m 	 c_dtoffset_0列源备映射正确，源端为datetimeoffset None位	期望更改为varchar(34)	实际备端为varchar 136位	位数精度不存在，通过长度比较</t>
        </is>
      </c>
    </row>
    <row r="1451">
      <c r="B1451" s="0" t="inlineStr">
        <is>
          <t>NULL</t>
        </is>
      </c>
      <c r="C1451" s="0" t="inlineStr">
        <is>
          <t>NULL</t>
        </is>
      </c>
      <c r="D1451" s="0" t="inlineStr">
        <is>
          <t>NULL</t>
        </is>
      </c>
      <c r="E1451" s="0" t="inlineStr">
        <is>
          <t>NULL</t>
        </is>
      </c>
      <c r="F1451" s="0" t="inlineStr">
        <is>
          <t>NULL</t>
        </is>
      </c>
      <c r="G1451" s="0" t="inlineStr">
        <is>
          <t>NULL</t>
        </is>
      </c>
      <c r="H1451" s="0" t="inlineStr">
        <is>
          <t>NULL</t>
        </is>
      </c>
      <c r="I1451" s="0" t="inlineStr">
        <is>
          <t>NULL</t>
        </is>
      </c>
      <c r="J1451" s="0" t="inlineStr">
        <is>
          <t>NULL</t>
        </is>
      </c>
      <c r="K1451" s="0" t="inlineStr">
        <is>
          <t>[0;32m YES! [0m 	 c_dtoffset_1列源备映射正确，源端为datetimeoffset None位	期望更改为varchar(34)	实际备端为varchar 136位	位数精度不存在，通过长度比较</t>
        </is>
      </c>
    </row>
    <row r="1452">
      <c r="B1452" s="0" t="inlineStr">
        <is>
          <t>NULL</t>
        </is>
      </c>
      <c r="C1452" s="0" t="inlineStr">
        <is>
          <t>NULL</t>
        </is>
      </c>
      <c r="D1452" s="0" t="inlineStr">
        <is>
          <t>NULL</t>
        </is>
      </c>
      <c r="E1452" s="0" t="inlineStr">
        <is>
          <t>NULL</t>
        </is>
      </c>
      <c r="F1452" s="0" t="inlineStr">
        <is>
          <t>NULL</t>
        </is>
      </c>
      <c r="G1452" s="0" t="inlineStr">
        <is>
          <t>NULL</t>
        </is>
      </c>
      <c r="H1452" s="0" t="inlineStr">
        <is>
          <t>NULL</t>
        </is>
      </c>
      <c r="I1452" s="0" t="inlineStr">
        <is>
          <t>NULL</t>
        </is>
      </c>
      <c r="J1452" s="0" t="inlineStr">
        <is>
          <t>NULL</t>
        </is>
      </c>
      <c r="K1452" s="0" t="inlineStr">
        <is>
          <t>[0;32m YES! [0m 	 c_dtoffset_2列源备映射正确，源端为datetimeoffset None位	期望更改为varchar(34)	实际备端为varchar 136位	位数精度不存在，通过长度比较</t>
        </is>
      </c>
    </row>
    <row r="1453">
      <c r="B1453" s="0" t="inlineStr">
        <is>
          <t>NULL</t>
        </is>
      </c>
      <c r="C1453" s="0" t="inlineStr">
        <is>
          <t>NULL</t>
        </is>
      </c>
      <c r="D1453" s="0" t="inlineStr">
        <is>
          <t>NULL</t>
        </is>
      </c>
      <c r="E1453" s="0" t="inlineStr">
        <is>
          <t>NULL</t>
        </is>
      </c>
      <c r="F1453" s="0" t="inlineStr">
        <is>
          <t>NULL</t>
        </is>
      </c>
      <c r="G1453" s="0" t="inlineStr">
        <is>
          <t>NULL</t>
        </is>
      </c>
      <c r="H1453" s="0" t="inlineStr">
        <is>
          <t>NULL</t>
        </is>
      </c>
      <c r="I1453" s="0" t="inlineStr">
        <is>
          <t>NULL</t>
        </is>
      </c>
      <c r="J1453" s="0" t="inlineStr">
        <is>
          <t>NULL</t>
        </is>
      </c>
      <c r="K1453" s="0" t="inlineStr">
        <is>
          <t>[0;32m YES! [0m 	 c_dtoffset_3列源备映射正确，源端为datetimeoffset None位	期望更改为varchar(34)	实际备端为varchar 136位	位数精度不存在，通过长度比较</t>
        </is>
      </c>
    </row>
    <row r="1454">
      <c r="B1454" s="0" t="inlineStr">
        <is>
          <t>NULL</t>
        </is>
      </c>
      <c r="C1454" s="0" t="inlineStr">
        <is>
          <t>NULL</t>
        </is>
      </c>
      <c r="D1454" s="0" t="inlineStr">
        <is>
          <t>NULL</t>
        </is>
      </c>
      <c r="E1454" s="0" t="inlineStr">
        <is>
          <t>NULL</t>
        </is>
      </c>
      <c r="F1454" s="0" t="inlineStr">
        <is>
          <t>NULL</t>
        </is>
      </c>
      <c r="G1454" s="0" t="inlineStr">
        <is>
          <t>NULL</t>
        </is>
      </c>
      <c r="H1454" s="0" t="inlineStr">
        <is>
          <t>NULL</t>
        </is>
      </c>
      <c r="I1454" s="0" t="inlineStr">
        <is>
          <t>NULL</t>
        </is>
      </c>
      <c r="J1454" s="0" t="inlineStr">
        <is>
          <t>NULL</t>
        </is>
      </c>
      <c r="K1454" s="0" t="inlineStr">
        <is>
          <t>[0;32m YES! [0m 	 c_dtoffset_4列源备映射正确，源端为datetimeoffset None位	期望更改为varchar(34)	实际备端为varchar 136位	位数精度不存在，通过长度比较</t>
        </is>
      </c>
    </row>
    <row r="1455">
      <c r="B1455" s="0" t="inlineStr">
        <is>
          <t>NULL</t>
        </is>
      </c>
      <c r="C1455" s="0" t="inlineStr">
        <is>
          <t>NULL</t>
        </is>
      </c>
      <c r="D1455" s="0" t="inlineStr">
        <is>
          <t>NULL</t>
        </is>
      </c>
      <c r="E1455" s="0" t="inlineStr">
        <is>
          <t>NULL</t>
        </is>
      </c>
      <c r="F1455" s="0" t="inlineStr">
        <is>
          <t>NULL</t>
        </is>
      </c>
      <c r="G1455" s="0" t="inlineStr">
        <is>
          <t>NULL</t>
        </is>
      </c>
      <c r="H1455" s="0" t="inlineStr">
        <is>
          <t>NULL</t>
        </is>
      </c>
      <c r="I1455" s="0" t="inlineStr">
        <is>
          <t>NULL</t>
        </is>
      </c>
      <c r="J1455" s="0" t="inlineStr">
        <is>
          <t>NULL</t>
        </is>
      </c>
      <c r="K1455" s="0" t="inlineStr">
        <is>
          <t>[0;32m YES! [0m 	 c_dtoffset_5列源备映射正确，源端为datetimeoffset None位	期望更改为varchar(34)	实际备端为varchar 136位	位数精度不存在，通过长度比较</t>
        </is>
      </c>
    </row>
    <row r="1456">
      <c r="B1456" s="0" t="inlineStr">
        <is>
          <t>NULL</t>
        </is>
      </c>
      <c r="C1456" s="0" t="inlineStr">
        <is>
          <t>NULL</t>
        </is>
      </c>
      <c r="D1456" s="0" t="inlineStr">
        <is>
          <t>NULL</t>
        </is>
      </c>
      <c r="E1456" s="0" t="inlineStr">
        <is>
          <t>NULL</t>
        </is>
      </c>
      <c r="F1456" s="0" t="inlineStr">
        <is>
          <t>NULL</t>
        </is>
      </c>
      <c r="G1456" s="0" t="inlineStr">
        <is>
          <t>NULL</t>
        </is>
      </c>
      <c r="H1456" s="0" t="inlineStr">
        <is>
          <t>NULL</t>
        </is>
      </c>
      <c r="I1456" s="0" t="inlineStr">
        <is>
          <t>NULL</t>
        </is>
      </c>
      <c r="J1456" s="0" t="inlineStr">
        <is>
          <t>NULL</t>
        </is>
      </c>
      <c r="K1456" s="0" t="inlineStr">
        <is>
          <t>[0;32m YES! [0m 	 c_dtoffset_6列源备映射正确，源端为datetimeoffset None位	期望更改为varchar(34)	实际备端为varchar 136位	位数精度不存在，通过长度比较</t>
        </is>
      </c>
    </row>
    <row r="1457">
      <c r="B1457" s="0" t="inlineStr">
        <is>
          <t>NULL</t>
        </is>
      </c>
      <c r="C1457" s="0" t="inlineStr">
        <is>
          <t>NULL</t>
        </is>
      </c>
      <c r="D1457" s="0" t="inlineStr">
        <is>
          <t>NULL</t>
        </is>
      </c>
      <c r="E1457" s="0" t="inlineStr">
        <is>
          <t>NULL</t>
        </is>
      </c>
      <c r="F1457" s="0" t="inlineStr">
        <is>
          <t>NULL</t>
        </is>
      </c>
      <c r="G1457" s="0" t="inlineStr">
        <is>
          <t>NULL</t>
        </is>
      </c>
      <c r="H1457" s="0" t="inlineStr">
        <is>
          <t>NULL</t>
        </is>
      </c>
      <c r="I1457" s="0" t="inlineStr">
        <is>
          <t>NULL</t>
        </is>
      </c>
      <c r="J1457" s="0" t="inlineStr">
        <is>
          <t>NULL</t>
        </is>
      </c>
      <c r="K1457" s="0" t="inlineStr">
        <is>
          <t>[0;32m YES! [0m 	 c_dtoffset列源备映射正确，源端为datetimeoffset None位	期望更改为varchar(34)	实际备端为varchar 136位	位数精度不存在，通过长度比较</t>
        </is>
      </c>
    </row>
    <row r="1458">
      <c r="A1458" s="0" t="inlineStr">
        <is>
          <t>info_datetime2_dml_single_nopk_irp</t>
        </is>
      </c>
      <c r="K1458" s="0" t="inlineStr">
        <is>
          <t>[0;34m info_datetime2_dml_single_nopk_irp [0m源备字段数相同，源端字段：9 	备端字段9</t>
        </is>
      </c>
      <c r="W1458" s="0" t="inlineStr">
        <is>
          <t>YES 源备无差异</t>
        </is>
      </c>
      <c r="X1458" s="0">
        <f>A1458</f>
        <v/>
      </c>
    </row>
    <row r="1459">
      <c r="B1459" s="0" t="inlineStr">
        <is>
          <t>NULL</t>
        </is>
      </c>
      <c r="C1459" s="0" t="inlineStr">
        <is>
          <t>NULL</t>
        </is>
      </c>
      <c r="D1459" s="0" t="inlineStr">
        <is>
          <t>NULL</t>
        </is>
      </c>
      <c r="E1459" s="0" t="inlineStr">
        <is>
          <t>NULL</t>
        </is>
      </c>
      <c r="F1459" s="0" t="inlineStr">
        <is>
          <t>NULL</t>
        </is>
      </c>
      <c r="G1459" s="0" t="inlineStr">
        <is>
          <t>NULL</t>
        </is>
      </c>
      <c r="H1459" s="0" t="inlineStr">
        <is>
          <t>NULL</t>
        </is>
      </c>
      <c r="I1459" s="0" t="inlineStr">
        <is>
          <t>NULL</t>
        </is>
      </c>
      <c r="J1459" s="0" t="inlineStr">
        <is>
          <t>NULL</t>
        </is>
      </c>
      <c r="K1459" s="0" t="inlineStr">
        <is>
          <t>YES! 	 id列源备映射正确，源端为int None位	期望更改为int	实际备端为int None位</t>
        </is>
      </c>
    </row>
    <row r="1460">
      <c r="B1460" s="0" t="inlineStr">
        <is>
          <t>NULL</t>
        </is>
      </c>
      <c r="C1460" s="0" t="inlineStr">
        <is>
          <t>NULL</t>
        </is>
      </c>
      <c r="D1460" s="0" t="inlineStr">
        <is>
          <t>NULL</t>
        </is>
      </c>
      <c r="E1460" s="0" t="inlineStr">
        <is>
          <t>NULL</t>
        </is>
      </c>
      <c r="F1460" s="0" t="inlineStr">
        <is>
          <t>NULL</t>
        </is>
      </c>
      <c r="G1460" s="0" t="inlineStr">
        <is>
          <t>NULL</t>
        </is>
      </c>
      <c r="H1460" s="0" t="inlineStr">
        <is>
          <t>NULL</t>
        </is>
      </c>
      <c r="I1460" s="0" t="inlineStr">
        <is>
          <t>NULL</t>
        </is>
      </c>
      <c r="J1460" s="0" t="inlineStr">
        <is>
          <t>NULL</t>
        </is>
      </c>
      <c r="K1460" s="0" t="inlineStr">
        <is>
          <t>no,len不存在</t>
        </is>
      </c>
    </row>
    <row r="1461">
      <c r="B1461" s="0" t="inlineStr">
        <is>
          <t>NULL</t>
        </is>
      </c>
      <c r="C1461" s="0" t="inlineStr">
        <is>
          <t>NULL</t>
        </is>
      </c>
      <c r="D1461" s="0" t="inlineStr">
        <is>
          <t>NULL</t>
        </is>
      </c>
      <c r="E1461" s="0" t="inlineStr">
        <is>
          <t>NULL</t>
        </is>
      </c>
      <c r="F1461" s="0" t="inlineStr">
        <is>
          <t>NULL</t>
        </is>
      </c>
      <c r="G1461" s="0" t="inlineStr">
        <is>
          <t>NULL</t>
        </is>
      </c>
      <c r="H1461" s="0" t="inlineStr">
        <is>
          <t>NULL</t>
        </is>
      </c>
      <c r="I1461" s="0" t="inlineStr">
        <is>
          <t>NULL</t>
        </is>
      </c>
      <c r="J1461" s="0" t="inlineStr">
        <is>
          <t>NULL</t>
        </is>
      </c>
      <c r="K1461" s="0" t="inlineStr">
        <is>
          <t>YES! 	 c_dt2_1列源备映射正确，源端为datetime2 None位	期望更改为datetime(n)	实际备端为datetime None位</t>
        </is>
      </c>
    </row>
    <row r="1462">
      <c r="B1462" s="0" t="inlineStr">
        <is>
          <t>NULL</t>
        </is>
      </c>
      <c r="C1462" s="0" t="inlineStr">
        <is>
          <t>NULL</t>
        </is>
      </c>
      <c r="D1462" s="0" t="inlineStr">
        <is>
          <t>NULL</t>
        </is>
      </c>
      <c r="E1462" s="0" t="inlineStr">
        <is>
          <t>NULL</t>
        </is>
      </c>
      <c r="F1462" s="0" t="inlineStr">
        <is>
          <t>NULL</t>
        </is>
      </c>
      <c r="G1462" s="0" t="inlineStr">
        <is>
          <t>NULL</t>
        </is>
      </c>
      <c r="H1462" s="0" t="inlineStr">
        <is>
          <t>NULL</t>
        </is>
      </c>
      <c r="I1462" s="0" t="inlineStr">
        <is>
          <t>NULL</t>
        </is>
      </c>
      <c r="J1462" s="0" t="inlineStr">
        <is>
          <t>NULL</t>
        </is>
      </c>
      <c r="K1462" s="0" t="inlineStr">
        <is>
          <t>YES! 	 c_dt2_2列源备映射正确，源端为datetime2 None位	期望更改为datetime(n)	实际备端为datetime None位</t>
        </is>
      </c>
    </row>
    <row r="1463">
      <c r="B1463" s="0" t="inlineStr">
        <is>
          <t>NULL</t>
        </is>
      </c>
      <c r="C1463" s="0" t="inlineStr">
        <is>
          <t>NULL</t>
        </is>
      </c>
      <c r="D1463" s="0" t="inlineStr">
        <is>
          <t>NULL</t>
        </is>
      </c>
      <c r="E1463" s="0" t="inlineStr">
        <is>
          <t>NULL</t>
        </is>
      </c>
      <c r="F1463" s="0" t="inlineStr">
        <is>
          <t>NULL</t>
        </is>
      </c>
      <c r="G1463" s="0" t="inlineStr">
        <is>
          <t>NULL</t>
        </is>
      </c>
      <c r="H1463" s="0" t="inlineStr">
        <is>
          <t>NULL</t>
        </is>
      </c>
      <c r="I1463" s="0" t="inlineStr">
        <is>
          <t>NULL</t>
        </is>
      </c>
      <c r="J1463" s="0" t="inlineStr">
        <is>
          <t>NULL</t>
        </is>
      </c>
      <c r="K1463" s="0" t="inlineStr">
        <is>
          <t>YES! 	 c_dt2_3列源备映射正确，源端为datetime2 None位	期望更改为datetime(n)	实际备端为datetime None位</t>
        </is>
      </c>
    </row>
    <row r="1464">
      <c r="B1464" s="0" t="inlineStr">
        <is>
          <t>NULL</t>
        </is>
      </c>
      <c r="C1464" s="0" t="inlineStr">
        <is>
          <t>NULL</t>
        </is>
      </c>
      <c r="D1464" s="0" t="inlineStr">
        <is>
          <t>NULL</t>
        </is>
      </c>
      <c r="E1464" s="0" t="inlineStr">
        <is>
          <t>NULL</t>
        </is>
      </c>
      <c r="F1464" s="0" t="inlineStr">
        <is>
          <t>NULL</t>
        </is>
      </c>
      <c r="G1464" s="0" t="inlineStr">
        <is>
          <t>NULL</t>
        </is>
      </c>
      <c r="H1464" s="0" t="inlineStr">
        <is>
          <t>NULL</t>
        </is>
      </c>
      <c r="I1464" s="0" t="inlineStr">
        <is>
          <t>NULL</t>
        </is>
      </c>
      <c r="J1464" s="0" t="inlineStr">
        <is>
          <t>NULL</t>
        </is>
      </c>
      <c r="K1464" s="0" t="inlineStr">
        <is>
          <t>YES! 	 c_dt2_4列源备映射正确，源端为datetime2 None位	期望更改为datetime(n)	实际备端为datetime None位</t>
        </is>
      </c>
    </row>
    <row r="1465">
      <c r="B1465" s="0" t="inlineStr">
        <is>
          <t>NULL</t>
        </is>
      </c>
      <c r="C1465" s="0" t="inlineStr">
        <is>
          <t>NULL</t>
        </is>
      </c>
      <c r="D1465" s="0" t="inlineStr">
        <is>
          <t>NULL</t>
        </is>
      </c>
      <c r="E1465" s="0" t="inlineStr">
        <is>
          <t>NULL</t>
        </is>
      </c>
      <c r="F1465" s="0" t="inlineStr">
        <is>
          <t>NULL</t>
        </is>
      </c>
      <c r="G1465" s="0" t="inlineStr">
        <is>
          <t>NULL</t>
        </is>
      </c>
      <c r="H1465" s="0" t="inlineStr">
        <is>
          <t>NULL</t>
        </is>
      </c>
      <c r="I1465" s="0" t="inlineStr">
        <is>
          <t>NULL</t>
        </is>
      </c>
      <c r="J1465" s="0" t="inlineStr">
        <is>
          <t>NULL</t>
        </is>
      </c>
      <c r="K1465" s="0" t="inlineStr">
        <is>
          <t>YES! 	 c_dt2_5列源备映射正确，源端为datetime2 None位	期望更改为datetime(n)	实际备端为datetime None位</t>
        </is>
      </c>
    </row>
    <row r="1466">
      <c r="B1466" s="0" t="inlineStr">
        <is>
          <t>NULL</t>
        </is>
      </c>
      <c r="C1466" s="0" t="inlineStr">
        <is>
          <t>NULL</t>
        </is>
      </c>
      <c r="D1466" s="0" t="inlineStr">
        <is>
          <t>NULL</t>
        </is>
      </c>
      <c r="E1466" s="0" t="inlineStr">
        <is>
          <t>NULL</t>
        </is>
      </c>
      <c r="F1466" s="0" t="inlineStr">
        <is>
          <t>NULL</t>
        </is>
      </c>
      <c r="G1466" s="0" t="inlineStr">
        <is>
          <t>NULL</t>
        </is>
      </c>
      <c r="H1466" s="0" t="inlineStr">
        <is>
          <t>NULL</t>
        </is>
      </c>
      <c r="I1466" s="0" t="inlineStr">
        <is>
          <t>NULL</t>
        </is>
      </c>
      <c r="J1466" s="0" t="inlineStr">
        <is>
          <t>NULL</t>
        </is>
      </c>
      <c r="K1466" s="0" t="inlineStr">
        <is>
          <t>YES! 	 c_dt2_6列源备映射正确，源端为datetime2 None位	期望更改为datetime(n)	实际备端为datetime None位</t>
        </is>
      </c>
    </row>
    <row r="1467">
      <c r="B1467" s="0" t="inlineStr">
        <is>
          <t>NULL</t>
        </is>
      </c>
      <c r="C1467" s="0" t="inlineStr">
        <is>
          <t>NO!源None备NUL</t>
        </is>
      </c>
      <c r="D1467" s="0" t="inlineStr">
        <is>
          <t>NULL</t>
        </is>
      </c>
      <c r="E1467" s="0" t="inlineStr">
        <is>
          <t>NULL</t>
        </is>
      </c>
      <c r="F1467" s="0" t="inlineStr">
        <is>
          <t>NULL</t>
        </is>
      </c>
      <c r="G1467" s="0" t="inlineStr">
        <is>
          <t>NULL</t>
        </is>
      </c>
      <c r="H1467" s="0" t="inlineStr">
        <is>
          <t>NULL</t>
        </is>
      </c>
      <c r="I1467" s="0" t="inlineStr">
        <is>
          <t>NULL</t>
        </is>
      </c>
      <c r="J1467" s="0" t="inlineStr">
        <is>
          <t>NULL</t>
        </is>
      </c>
      <c r="K1467" s="0" t="inlineStr">
        <is>
          <t xml:space="preserve"> NO!  	 c_dt2列源备映射错误，源端为datetime2 None位	期望更改为datetime(n)	实际备端为varchar 136位</t>
        </is>
      </c>
    </row>
    <row r="1468">
      <c r="A1468" s="0" t="inlineStr">
        <is>
          <t>info_datetimeoffset_dml_batch1_pk</t>
        </is>
      </c>
      <c r="K1468" s="0" t="inlineStr">
        <is>
          <t>[0;34m info_datetimeoffset_dml_batch1_pk [0m源备字段数相同，源端字段：9 	备端字段9</t>
        </is>
      </c>
      <c r="W1468" s="0" t="inlineStr">
        <is>
          <t>YES 源备无差异</t>
        </is>
      </c>
      <c r="X1468" s="0">
        <f>A1468</f>
        <v/>
      </c>
    </row>
    <row r="1469">
      <c r="B1469" s="0" t="inlineStr">
        <is>
          <t>YES</t>
        </is>
      </c>
      <c r="C1469" s="0" t="inlineStr">
        <is>
          <t>NULL</t>
        </is>
      </c>
      <c r="D1469" s="0" t="inlineStr">
        <is>
          <t>NULL</t>
        </is>
      </c>
      <c r="E1469" s="0" t="inlineStr">
        <is>
          <t>NULL</t>
        </is>
      </c>
      <c r="F1469" s="0" t="inlineStr">
        <is>
          <t>NULL</t>
        </is>
      </c>
      <c r="G1469" s="0" t="inlineStr">
        <is>
          <t>NULL</t>
        </is>
      </c>
      <c r="H1469" s="0" t="inlineStr">
        <is>
          <t>NULL</t>
        </is>
      </c>
      <c r="I1469" s="0" t="inlineStr">
        <is>
          <t>YES!PK__info_dat__3213E83F51752AA8</t>
        </is>
      </c>
      <c r="J1469" s="0" t="inlineStr">
        <is>
          <t>YES! 主键相关索引</t>
        </is>
      </c>
      <c r="K1469" s="0" t="inlineStr">
        <is>
          <t>YES! 	 id列源备映射正确，源端为int None位	期望更改为int	实际备端为int None位</t>
        </is>
      </c>
    </row>
    <row r="1470">
      <c r="B1470" s="0" t="inlineStr">
        <is>
          <t>NULL</t>
        </is>
      </c>
      <c r="C1470" s="0" t="inlineStr">
        <is>
          <t>NULL</t>
        </is>
      </c>
      <c r="D1470" s="0" t="inlineStr">
        <is>
          <t>NULL</t>
        </is>
      </c>
      <c r="E1470" s="0" t="inlineStr">
        <is>
          <t>NULL</t>
        </is>
      </c>
      <c r="F1470" s="0" t="inlineStr">
        <is>
          <t>NULL</t>
        </is>
      </c>
      <c r="G1470" s="0" t="inlineStr">
        <is>
          <t>NULL</t>
        </is>
      </c>
      <c r="H1470" s="0" t="inlineStr">
        <is>
          <t>NULL</t>
        </is>
      </c>
      <c r="I1470" s="0" t="inlineStr">
        <is>
          <t>NULL</t>
        </is>
      </c>
      <c r="J1470" s="0" t="inlineStr">
        <is>
          <t>NULL</t>
        </is>
      </c>
      <c r="K1470" s="0" t="inlineStr">
        <is>
          <t>[0;32m YES! [0m 	 c_dtoffset_0列源备映射正确，源端为datetimeoffset None位	期望更改为varchar(34)	实际备端为varchar 136位	位数精度不存在，通过长度比较</t>
        </is>
      </c>
    </row>
    <row r="1471">
      <c r="B1471" s="0" t="inlineStr">
        <is>
          <t>NULL</t>
        </is>
      </c>
      <c r="C1471" s="0" t="inlineStr">
        <is>
          <t>NULL</t>
        </is>
      </c>
      <c r="D1471" s="0" t="inlineStr">
        <is>
          <t>NULL</t>
        </is>
      </c>
      <c r="E1471" s="0" t="inlineStr">
        <is>
          <t>NULL</t>
        </is>
      </c>
      <c r="F1471" s="0" t="inlineStr">
        <is>
          <t>NULL</t>
        </is>
      </c>
      <c r="G1471" s="0" t="inlineStr">
        <is>
          <t>NULL</t>
        </is>
      </c>
      <c r="H1471" s="0" t="inlineStr">
        <is>
          <t>NULL</t>
        </is>
      </c>
      <c r="I1471" s="0" t="inlineStr">
        <is>
          <t>NULL</t>
        </is>
      </c>
      <c r="J1471" s="0" t="inlineStr">
        <is>
          <t>NULL</t>
        </is>
      </c>
      <c r="K1471" s="0" t="inlineStr">
        <is>
          <t>[0;32m YES! [0m 	 c_dtoffset_1列源备映射正确，源端为datetimeoffset None位	期望更改为varchar(34)	实际备端为varchar 136位	位数精度不存在，通过长度比较</t>
        </is>
      </c>
    </row>
    <row r="1472">
      <c r="B1472" s="0" t="inlineStr">
        <is>
          <t>NULL</t>
        </is>
      </c>
      <c r="C1472" s="0" t="inlineStr">
        <is>
          <t>NULL</t>
        </is>
      </c>
      <c r="D1472" s="0" t="inlineStr">
        <is>
          <t>NULL</t>
        </is>
      </c>
      <c r="E1472" s="0" t="inlineStr">
        <is>
          <t>NULL</t>
        </is>
      </c>
      <c r="F1472" s="0" t="inlineStr">
        <is>
          <t>NULL</t>
        </is>
      </c>
      <c r="G1472" s="0" t="inlineStr">
        <is>
          <t>NULL</t>
        </is>
      </c>
      <c r="H1472" s="0" t="inlineStr">
        <is>
          <t>NULL</t>
        </is>
      </c>
      <c r="I1472" s="0" t="inlineStr">
        <is>
          <t>NULL</t>
        </is>
      </c>
      <c r="J1472" s="0" t="inlineStr">
        <is>
          <t>NULL</t>
        </is>
      </c>
      <c r="K1472" s="0" t="inlineStr">
        <is>
          <t>[0;32m YES! [0m 	 c_dtoffset_2列源备映射正确，源端为datetimeoffset None位	期望更改为varchar(34)	实际备端为varchar 136位	位数精度不存在，通过长度比较</t>
        </is>
      </c>
    </row>
    <row r="1473">
      <c r="B1473" s="0" t="inlineStr">
        <is>
          <t>NULL</t>
        </is>
      </c>
      <c r="C1473" s="0" t="inlineStr">
        <is>
          <t>NULL</t>
        </is>
      </c>
      <c r="D1473" s="0" t="inlineStr">
        <is>
          <t>NULL</t>
        </is>
      </c>
      <c r="E1473" s="0" t="inlineStr">
        <is>
          <t>NULL</t>
        </is>
      </c>
      <c r="F1473" s="0" t="inlineStr">
        <is>
          <t>NULL</t>
        </is>
      </c>
      <c r="G1473" s="0" t="inlineStr">
        <is>
          <t>NULL</t>
        </is>
      </c>
      <c r="H1473" s="0" t="inlineStr">
        <is>
          <t>NULL</t>
        </is>
      </c>
      <c r="I1473" s="0" t="inlineStr">
        <is>
          <t>NULL</t>
        </is>
      </c>
      <c r="J1473" s="0" t="inlineStr">
        <is>
          <t>NULL</t>
        </is>
      </c>
      <c r="K1473" s="0" t="inlineStr">
        <is>
          <t>[0;32m YES! [0m 	 c_dtoffset_3列源备映射正确，源端为datetimeoffset None位	期望更改为varchar(34)	实际备端为varchar 136位	位数精度不存在，通过长度比较</t>
        </is>
      </c>
    </row>
    <row r="1474">
      <c r="B1474" s="0" t="inlineStr">
        <is>
          <t>NULL</t>
        </is>
      </c>
      <c r="C1474" s="0" t="inlineStr">
        <is>
          <t>NULL</t>
        </is>
      </c>
      <c r="D1474" s="0" t="inlineStr">
        <is>
          <t>NULL</t>
        </is>
      </c>
      <c r="E1474" s="0" t="inlineStr">
        <is>
          <t>NULL</t>
        </is>
      </c>
      <c r="F1474" s="0" t="inlineStr">
        <is>
          <t>NULL</t>
        </is>
      </c>
      <c r="G1474" s="0" t="inlineStr">
        <is>
          <t>NULL</t>
        </is>
      </c>
      <c r="H1474" s="0" t="inlineStr">
        <is>
          <t>NULL</t>
        </is>
      </c>
      <c r="I1474" s="0" t="inlineStr">
        <is>
          <t>NULL</t>
        </is>
      </c>
      <c r="J1474" s="0" t="inlineStr">
        <is>
          <t>NULL</t>
        </is>
      </c>
      <c r="K1474" s="0" t="inlineStr">
        <is>
          <t>[0;32m YES! [0m 	 c_dtoffset_4列源备映射正确，源端为datetimeoffset None位	期望更改为varchar(34)	实际备端为varchar 136位	位数精度不存在，通过长度比较</t>
        </is>
      </c>
    </row>
    <row r="1475">
      <c r="B1475" s="0" t="inlineStr">
        <is>
          <t>NULL</t>
        </is>
      </c>
      <c r="C1475" s="0" t="inlineStr">
        <is>
          <t>NULL</t>
        </is>
      </c>
      <c r="D1475" s="0" t="inlineStr">
        <is>
          <t>NULL</t>
        </is>
      </c>
      <c r="E1475" s="0" t="inlineStr">
        <is>
          <t>NULL</t>
        </is>
      </c>
      <c r="F1475" s="0" t="inlineStr">
        <is>
          <t>NULL</t>
        </is>
      </c>
      <c r="G1475" s="0" t="inlineStr">
        <is>
          <t>NULL</t>
        </is>
      </c>
      <c r="H1475" s="0" t="inlineStr">
        <is>
          <t>NULL</t>
        </is>
      </c>
      <c r="I1475" s="0" t="inlineStr">
        <is>
          <t>NULL</t>
        </is>
      </c>
      <c r="J1475" s="0" t="inlineStr">
        <is>
          <t>NULL</t>
        </is>
      </c>
      <c r="K1475" s="0" t="inlineStr">
        <is>
          <t>[0;32m YES! [0m 	 c_dtoffset_5列源备映射正确，源端为datetimeoffset None位	期望更改为varchar(34)	实际备端为varchar 136位	位数精度不存在，通过长度比较</t>
        </is>
      </c>
    </row>
    <row r="1476">
      <c r="B1476" s="0" t="inlineStr">
        <is>
          <t>NULL</t>
        </is>
      </c>
      <c r="C1476" s="0" t="inlineStr">
        <is>
          <t>NULL</t>
        </is>
      </c>
      <c r="D1476" s="0" t="inlineStr">
        <is>
          <t>NULL</t>
        </is>
      </c>
      <c r="E1476" s="0" t="inlineStr">
        <is>
          <t>NULL</t>
        </is>
      </c>
      <c r="F1476" s="0" t="inlineStr">
        <is>
          <t>NULL</t>
        </is>
      </c>
      <c r="G1476" s="0" t="inlineStr">
        <is>
          <t>NULL</t>
        </is>
      </c>
      <c r="H1476" s="0" t="inlineStr">
        <is>
          <t>NULL</t>
        </is>
      </c>
      <c r="I1476" s="0" t="inlineStr">
        <is>
          <t>NULL</t>
        </is>
      </c>
      <c r="J1476" s="0" t="inlineStr">
        <is>
          <t>NULL</t>
        </is>
      </c>
      <c r="K1476" s="0" t="inlineStr">
        <is>
          <t>[0;32m YES! [0m 	 c_dtoffset_6列源备映射正确，源端为datetimeoffset None位	期望更改为varchar(34)	实际备端为varchar 136位	位数精度不存在，通过长度比较</t>
        </is>
      </c>
    </row>
    <row r="1477">
      <c r="B1477" s="0" t="inlineStr">
        <is>
          <t>NULL</t>
        </is>
      </c>
      <c r="C1477" s="0" t="inlineStr">
        <is>
          <t>NULL</t>
        </is>
      </c>
      <c r="D1477" s="0" t="inlineStr">
        <is>
          <t>NULL</t>
        </is>
      </c>
      <c r="E1477" s="0" t="inlineStr">
        <is>
          <t>NULL</t>
        </is>
      </c>
      <c r="F1477" s="0" t="inlineStr">
        <is>
          <t>NULL</t>
        </is>
      </c>
      <c r="G1477" s="0" t="inlineStr">
        <is>
          <t>NULL</t>
        </is>
      </c>
      <c r="H1477" s="0" t="inlineStr">
        <is>
          <t>NULL</t>
        </is>
      </c>
      <c r="I1477" s="0" t="inlineStr">
        <is>
          <t>NULL</t>
        </is>
      </c>
      <c r="J1477" s="0" t="inlineStr">
        <is>
          <t>NULL</t>
        </is>
      </c>
      <c r="K1477" s="0" t="inlineStr">
        <is>
          <t>[0;32m YES! [0m 	 c_dtoffset列源备映射正确，源端为datetimeoffset None位	期望更改为varchar(34)	实际备端为varchar 136位	位数精度不存在，通过长度比较</t>
        </is>
      </c>
    </row>
    <row r="1478">
      <c r="A1478" s="0" t="inlineStr">
        <is>
          <t>info_binary_dml_single_pk_urp</t>
        </is>
      </c>
      <c r="K1478" s="0" t="inlineStr">
        <is>
          <t>[0;34m info_binary_dml_single_pk_urp [0m源备字段数相同，源端字段：4 	备端字段4</t>
        </is>
      </c>
      <c r="W1478" s="0" t="inlineStr">
        <is>
          <t>YES 源备无差异</t>
        </is>
      </c>
      <c r="X1478" s="0">
        <f>A1478</f>
        <v/>
      </c>
    </row>
    <row r="1479">
      <c r="B1479" s="0" t="inlineStr">
        <is>
          <t>YES</t>
        </is>
      </c>
      <c r="C1479" s="0" t="inlineStr">
        <is>
          <t>NULL</t>
        </is>
      </c>
      <c r="D1479" s="0" t="inlineStr">
        <is>
          <t>NULL</t>
        </is>
      </c>
      <c r="E1479" s="0" t="inlineStr">
        <is>
          <t>NULL</t>
        </is>
      </c>
      <c r="F1479" s="0" t="inlineStr">
        <is>
          <t>NULL</t>
        </is>
      </c>
      <c r="G1479" s="0" t="inlineStr">
        <is>
          <t>NULL</t>
        </is>
      </c>
      <c r="H1479" s="0" t="inlineStr">
        <is>
          <t>NULL</t>
        </is>
      </c>
      <c r="I1479" s="0" t="inlineStr">
        <is>
          <t>YES!PK__info_bin__3213E83FF5F75715</t>
        </is>
      </c>
      <c r="J1479" s="0" t="inlineStr">
        <is>
          <t>YES! 主键相关索引</t>
        </is>
      </c>
      <c r="K1479" s="0" t="inlineStr">
        <is>
          <t>YES! 	 id列源备映射正确，源端为int None位	期望更改为int	实际备端为int None位</t>
        </is>
      </c>
    </row>
    <row r="1480">
      <c r="B1480" s="0" t="inlineStr">
        <is>
          <t>NULL</t>
        </is>
      </c>
      <c r="C1480" s="0" t="inlineStr">
        <is>
          <t>NULL</t>
        </is>
      </c>
      <c r="D1480" s="0" t="inlineStr">
        <is>
          <t>NULL</t>
        </is>
      </c>
      <c r="E1480" s="0" t="inlineStr">
        <is>
          <t>NULL</t>
        </is>
      </c>
      <c r="F1480" s="0" t="inlineStr">
        <is>
          <t>NULL</t>
        </is>
      </c>
      <c r="G1480" s="0" t="inlineStr">
        <is>
          <t>NULL</t>
        </is>
      </c>
      <c r="H1480" s="0" t="inlineStr">
        <is>
          <t>NULL</t>
        </is>
      </c>
      <c r="I1480" s="0" t="inlineStr">
        <is>
          <t>NULL</t>
        </is>
      </c>
      <c r="J1480" s="0" t="inlineStr">
        <is>
          <t>NULL</t>
        </is>
      </c>
      <c r="K1480" s="0" t="inlineStr">
        <is>
          <t>YES! 	 c_binary列源备映射正确，源端为binary 1位	期望更改为binary(n)	实际备端为binary 1位</t>
        </is>
      </c>
    </row>
    <row r="1481">
      <c r="B1481" s="0" t="inlineStr">
        <is>
          <t>NULL</t>
        </is>
      </c>
      <c r="C1481" s="0" t="inlineStr">
        <is>
          <t>NULL</t>
        </is>
      </c>
      <c r="D1481" s="0" t="inlineStr">
        <is>
          <t>NULL</t>
        </is>
      </c>
      <c r="E1481" s="0" t="inlineStr">
        <is>
          <t>NULL</t>
        </is>
      </c>
      <c r="F1481" s="0" t="inlineStr">
        <is>
          <t>NULL</t>
        </is>
      </c>
      <c r="G1481" s="0" t="inlineStr">
        <is>
          <t>NULL</t>
        </is>
      </c>
      <c r="H1481" s="0" t="inlineStr">
        <is>
          <t>NULL</t>
        </is>
      </c>
      <c r="I1481" s="0" t="inlineStr">
        <is>
          <t>NULL</t>
        </is>
      </c>
      <c r="J1481" s="0" t="inlineStr">
        <is>
          <t>NULL</t>
        </is>
      </c>
      <c r="K1481" s="0" t="inlineStr">
        <is>
          <t>YES! 	 c_binary_20列源备映射正确，源端为binary 20位	期望更改为binary(n)	实际备端为binary 20位</t>
        </is>
      </c>
    </row>
    <row r="1482">
      <c r="B1482" s="0" t="inlineStr">
        <is>
          <t>NULL</t>
        </is>
      </c>
      <c r="C1482" s="0" t="inlineStr">
        <is>
          <t>NULL</t>
        </is>
      </c>
      <c r="D1482" s="0" t="inlineStr">
        <is>
          <t>NULL</t>
        </is>
      </c>
      <c r="E1482" s="0" t="inlineStr">
        <is>
          <t>NULL</t>
        </is>
      </c>
      <c r="F1482" s="0" t="inlineStr">
        <is>
          <t>NULL</t>
        </is>
      </c>
      <c r="G1482" s="0" t="inlineStr">
        <is>
          <t>NULL</t>
        </is>
      </c>
      <c r="H1482" s="0" t="inlineStr">
        <is>
          <t>NULL</t>
        </is>
      </c>
      <c r="I1482" s="0" t="inlineStr">
        <is>
          <t>NULL</t>
        </is>
      </c>
      <c r="J1482" s="0" t="inlineStr">
        <is>
          <t>NULL</t>
        </is>
      </c>
      <c r="K1482" s="0" t="inlineStr">
        <is>
          <t>YES! 	 c_binary_8000列源备映射正确，源端为binary 8000位	期望更改为longblob	实际备端为longblob 4294967295位</t>
        </is>
      </c>
    </row>
    <row r="1483">
      <c r="A1483" s="0" t="inlineStr">
        <is>
          <t>info_datetime2_dml_single_nopk_urp</t>
        </is>
      </c>
      <c r="K1483" s="0" t="inlineStr">
        <is>
          <t>[0;34m info_datetime2_dml_single_nopk_urp [0m源备字段数相同，源端字段：9 	备端字段9</t>
        </is>
      </c>
      <c r="W1483" s="0" t="inlineStr">
        <is>
          <t>YES 源备无差异</t>
        </is>
      </c>
      <c r="X1483" s="0">
        <f>A1483</f>
        <v/>
      </c>
    </row>
    <row r="1484">
      <c r="B1484" s="0" t="inlineStr">
        <is>
          <t>NULL</t>
        </is>
      </c>
      <c r="C1484" s="0" t="inlineStr">
        <is>
          <t>NULL</t>
        </is>
      </c>
      <c r="D1484" s="0" t="inlineStr">
        <is>
          <t>NULL</t>
        </is>
      </c>
      <c r="E1484" s="0" t="inlineStr">
        <is>
          <t>NULL</t>
        </is>
      </c>
      <c r="F1484" s="0" t="inlineStr">
        <is>
          <t>NULL</t>
        </is>
      </c>
      <c r="G1484" s="0" t="inlineStr">
        <is>
          <t>NULL</t>
        </is>
      </c>
      <c r="H1484" s="0" t="inlineStr">
        <is>
          <t>NULL</t>
        </is>
      </c>
      <c r="I1484" s="0" t="inlineStr">
        <is>
          <t>NULL</t>
        </is>
      </c>
      <c r="J1484" s="0" t="inlineStr">
        <is>
          <t>NULL</t>
        </is>
      </c>
      <c r="K1484" s="0" t="inlineStr">
        <is>
          <t>YES! 	 id列源备映射正确，源端为int None位	期望更改为int	实际备端为int None位</t>
        </is>
      </c>
    </row>
    <row r="1485">
      <c r="B1485" s="0" t="inlineStr">
        <is>
          <t>NULL</t>
        </is>
      </c>
      <c r="C1485" s="0" t="inlineStr">
        <is>
          <t>NULL</t>
        </is>
      </c>
      <c r="D1485" s="0" t="inlineStr">
        <is>
          <t>NULL</t>
        </is>
      </c>
      <c r="E1485" s="0" t="inlineStr">
        <is>
          <t>NULL</t>
        </is>
      </c>
      <c r="F1485" s="0" t="inlineStr">
        <is>
          <t>NULL</t>
        </is>
      </c>
      <c r="G1485" s="0" t="inlineStr">
        <is>
          <t>NULL</t>
        </is>
      </c>
      <c r="H1485" s="0" t="inlineStr">
        <is>
          <t>NULL</t>
        </is>
      </c>
      <c r="I1485" s="0" t="inlineStr">
        <is>
          <t>NULL</t>
        </is>
      </c>
      <c r="J1485" s="0" t="inlineStr">
        <is>
          <t>NULL</t>
        </is>
      </c>
      <c r="K1485" s="0" t="inlineStr">
        <is>
          <t>no,len不存在</t>
        </is>
      </c>
    </row>
    <row r="1486">
      <c r="B1486" s="0" t="inlineStr">
        <is>
          <t>NULL</t>
        </is>
      </c>
      <c r="C1486" s="0" t="inlineStr">
        <is>
          <t>NULL</t>
        </is>
      </c>
      <c r="D1486" s="0" t="inlineStr">
        <is>
          <t>NULL</t>
        </is>
      </c>
      <c r="E1486" s="0" t="inlineStr">
        <is>
          <t>NULL</t>
        </is>
      </c>
      <c r="F1486" s="0" t="inlineStr">
        <is>
          <t>NULL</t>
        </is>
      </c>
      <c r="G1486" s="0" t="inlineStr">
        <is>
          <t>NULL</t>
        </is>
      </c>
      <c r="H1486" s="0" t="inlineStr">
        <is>
          <t>NULL</t>
        </is>
      </c>
      <c r="I1486" s="0" t="inlineStr">
        <is>
          <t>NULL</t>
        </is>
      </c>
      <c r="J1486" s="0" t="inlineStr">
        <is>
          <t>NULL</t>
        </is>
      </c>
      <c r="K1486" s="0" t="inlineStr">
        <is>
          <t>YES! 	 c_dt2_1列源备映射正确，源端为datetime2 None位	期望更改为datetime(n)	实际备端为datetime None位</t>
        </is>
      </c>
    </row>
    <row r="1487">
      <c r="B1487" s="0" t="inlineStr">
        <is>
          <t>NULL</t>
        </is>
      </c>
      <c r="C1487" s="0" t="inlineStr">
        <is>
          <t>NULL</t>
        </is>
      </c>
      <c r="D1487" s="0" t="inlineStr">
        <is>
          <t>NULL</t>
        </is>
      </c>
      <c r="E1487" s="0" t="inlineStr">
        <is>
          <t>NULL</t>
        </is>
      </c>
      <c r="F1487" s="0" t="inlineStr">
        <is>
          <t>NULL</t>
        </is>
      </c>
      <c r="G1487" s="0" t="inlineStr">
        <is>
          <t>NULL</t>
        </is>
      </c>
      <c r="H1487" s="0" t="inlineStr">
        <is>
          <t>NULL</t>
        </is>
      </c>
      <c r="I1487" s="0" t="inlineStr">
        <is>
          <t>NULL</t>
        </is>
      </c>
      <c r="J1487" s="0" t="inlineStr">
        <is>
          <t>NULL</t>
        </is>
      </c>
      <c r="K1487" s="0" t="inlineStr">
        <is>
          <t>YES! 	 c_dt2_2列源备映射正确，源端为datetime2 None位	期望更改为datetime(n)	实际备端为datetime None位</t>
        </is>
      </c>
    </row>
    <row r="1488">
      <c r="B1488" s="0" t="inlineStr">
        <is>
          <t>NULL</t>
        </is>
      </c>
      <c r="C1488" s="0" t="inlineStr">
        <is>
          <t>NULL</t>
        </is>
      </c>
      <c r="D1488" s="0" t="inlineStr">
        <is>
          <t>NULL</t>
        </is>
      </c>
      <c r="E1488" s="0" t="inlineStr">
        <is>
          <t>NULL</t>
        </is>
      </c>
      <c r="F1488" s="0" t="inlineStr">
        <is>
          <t>NULL</t>
        </is>
      </c>
      <c r="G1488" s="0" t="inlineStr">
        <is>
          <t>NULL</t>
        </is>
      </c>
      <c r="H1488" s="0" t="inlineStr">
        <is>
          <t>NULL</t>
        </is>
      </c>
      <c r="I1488" s="0" t="inlineStr">
        <is>
          <t>NULL</t>
        </is>
      </c>
      <c r="J1488" s="0" t="inlineStr">
        <is>
          <t>NULL</t>
        </is>
      </c>
      <c r="K1488" s="0" t="inlineStr">
        <is>
          <t>YES! 	 c_dt2_3列源备映射正确，源端为datetime2 None位	期望更改为datetime(n)	实际备端为datetime None位</t>
        </is>
      </c>
    </row>
    <row r="1489">
      <c r="B1489" s="0" t="inlineStr">
        <is>
          <t>NULL</t>
        </is>
      </c>
      <c r="C1489" s="0" t="inlineStr">
        <is>
          <t>NULL</t>
        </is>
      </c>
      <c r="D1489" s="0" t="inlineStr">
        <is>
          <t>NULL</t>
        </is>
      </c>
      <c r="E1489" s="0" t="inlineStr">
        <is>
          <t>NULL</t>
        </is>
      </c>
      <c r="F1489" s="0" t="inlineStr">
        <is>
          <t>NULL</t>
        </is>
      </c>
      <c r="G1489" s="0" t="inlineStr">
        <is>
          <t>NULL</t>
        </is>
      </c>
      <c r="H1489" s="0" t="inlineStr">
        <is>
          <t>NULL</t>
        </is>
      </c>
      <c r="I1489" s="0" t="inlineStr">
        <is>
          <t>NULL</t>
        </is>
      </c>
      <c r="J1489" s="0" t="inlineStr">
        <is>
          <t>NULL</t>
        </is>
      </c>
      <c r="K1489" s="0" t="inlineStr">
        <is>
          <t>YES! 	 c_dt2_4列源备映射正确，源端为datetime2 None位	期望更改为datetime(n)	实际备端为datetime None位</t>
        </is>
      </c>
    </row>
    <row r="1490">
      <c r="B1490" s="0" t="inlineStr">
        <is>
          <t>NULL</t>
        </is>
      </c>
      <c r="C1490" s="0" t="inlineStr">
        <is>
          <t>NULL</t>
        </is>
      </c>
      <c r="D1490" s="0" t="inlineStr">
        <is>
          <t>NULL</t>
        </is>
      </c>
      <c r="E1490" s="0" t="inlineStr">
        <is>
          <t>NULL</t>
        </is>
      </c>
      <c r="F1490" s="0" t="inlineStr">
        <is>
          <t>NULL</t>
        </is>
      </c>
      <c r="G1490" s="0" t="inlineStr">
        <is>
          <t>NULL</t>
        </is>
      </c>
      <c r="H1490" s="0" t="inlineStr">
        <is>
          <t>NULL</t>
        </is>
      </c>
      <c r="I1490" s="0" t="inlineStr">
        <is>
          <t>NULL</t>
        </is>
      </c>
      <c r="J1490" s="0" t="inlineStr">
        <is>
          <t>NULL</t>
        </is>
      </c>
      <c r="K1490" s="0" t="inlineStr">
        <is>
          <t>YES! 	 c_dt2_5列源备映射正确，源端为datetime2 None位	期望更改为datetime(n)	实际备端为datetime None位</t>
        </is>
      </c>
    </row>
    <row r="1491">
      <c r="B1491" s="0" t="inlineStr">
        <is>
          <t>NULL</t>
        </is>
      </c>
      <c r="C1491" s="0" t="inlineStr">
        <is>
          <t>NULL</t>
        </is>
      </c>
      <c r="D1491" s="0" t="inlineStr">
        <is>
          <t>NULL</t>
        </is>
      </c>
      <c r="E1491" s="0" t="inlineStr">
        <is>
          <t>NULL</t>
        </is>
      </c>
      <c r="F1491" s="0" t="inlineStr">
        <is>
          <t>NULL</t>
        </is>
      </c>
      <c r="G1491" s="0" t="inlineStr">
        <is>
          <t>NULL</t>
        </is>
      </c>
      <c r="H1491" s="0" t="inlineStr">
        <is>
          <t>NULL</t>
        </is>
      </c>
      <c r="I1491" s="0" t="inlineStr">
        <is>
          <t>NULL</t>
        </is>
      </c>
      <c r="J1491" s="0" t="inlineStr">
        <is>
          <t>NULL</t>
        </is>
      </c>
      <c r="K1491" s="0" t="inlineStr">
        <is>
          <t>YES! 	 c_dt2_6列源备映射正确，源端为datetime2 None位	期望更改为datetime(n)	实际备端为datetime None位</t>
        </is>
      </c>
    </row>
    <row r="1492">
      <c r="B1492" s="0" t="inlineStr">
        <is>
          <t>NULL</t>
        </is>
      </c>
      <c r="C1492" s="0" t="inlineStr">
        <is>
          <t>NO!源None备NUL</t>
        </is>
      </c>
      <c r="D1492" s="0" t="inlineStr">
        <is>
          <t>NULL</t>
        </is>
      </c>
      <c r="E1492" s="0" t="inlineStr">
        <is>
          <t>NULL</t>
        </is>
      </c>
      <c r="F1492" s="0" t="inlineStr">
        <is>
          <t>NULL</t>
        </is>
      </c>
      <c r="G1492" s="0" t="inlineStr">
        <is>
          <t>NULL</t>
        </is>
      </c>
      <c r="H1492" s="0" t="inlineStr">
        <is>
          <t>NULL</t>
        </is>
      </c>
      <c r="I1492" s="0" t="inlineStr">
        <is>
          <t>NULL</t>
        </is>
      </c>
      <c r="J1492" s="0" t="inlineStr">
        <is>
          <t>NULL</t>
        </is>
      </c>
      <c r="K1492" s="0" t="inlineStr">
        <is>
          <t xml:space="preserve"> NO!  	 c_dt2列源备映射错误，源端为datetime2 None位	期望更改为datetime(n)	实际备端为varchar 136位</t>
        </is>
      </c>
    </row>
    <row r="1493">
      <c r="A1493" s="0" t="inlineStr">
        <is>
          <t>info_varcharmax_dml_batch1_pk_urp1</t>
        </is>
      </c>
      <c r="K1493" s="0" t="inlineStr">
        <is>
          <t>[0;34m info_varcharmax_dml_batch1_pk_urp1 [0m源备字段数相同，源端字段：3 	备端字段3</t>
        </is>
      </c>
      <c r="W1493" s="0" t="inlineStr">
        <is>
          <t>YES 源备无差异</t>
        </is>
      </c>
      <c r="X1493" s="0">
        <f>A1493</f>
        <v/>
      </c>
    </row>
    <row r="1494">
      <c r="B1494" s="0" t="inlineStr">
        <is>
          <t>YES</t>
        </is>
      </c>
      <c r="C1494" s="0" t="inlineStr">
        <is>
          <t>NULL</t>
        </is>
      </c>
      <c r="D1494" s="0" t="inlineStr">
        <is>
          <t>NULL</t>
        </is>
      </c>
      <c r="E1494" s="0" t="inlineStr">
        <is>
          <t>NULL</t>
        </is>
      </c>
      <c r="F1494" s="0" t="inlineStr">
        <is>
          <t>NULL</t>
        </is>
      </c>
      <c r="G1494" s="0" t="inlineStr">
        <is>
          <t>NULL</t>
        </is>
      </c>
      <c r="H1494" s="0" t="inlineStr">
        <is>
          <t>NULL</t>
        </is>
      </c>
      <c r="I1494" s="0" t="inlineStr">
        <is>
          <t>YES!PK__info_var__3213E83FDE4211B1</t>
        </is>
      </c>
      <c r="J1494" s="0" t="inlineStr">
        <is>
          <t>YES! 主键相关索引</t>
        </is>
      </c>
      <c r="K1494" s="0" t="inlineStr">
        <is>
          <t>YES! 	 id列源备映射正确，源端为int None位	期望更改为int	实际备端为int None位</t>
        </is>
      </c>
    </row>
    <row r="1495">
      <c r="B1495" s="0" t="inlineStr">
        <is>
          <t>NULL</t>
        </is>
      </c>
      <c r="C1495" s="0" t="inlineStr">
        <is>
          <t>NULL</t>
        </is>
      </c>
      <c r="D1495" s="0" t="inlineStr">
        <is>
          <t>NULL</t>
        </is>
      </c>
      <c r="E1495" s="0" t="inlineStr">
        <is>
          <t>NULL</t>
        </is>
      </c>
      <c r="F1495" s="0" t="inlineStr">
        <is>
          <t>NULL</t>
        </is>
      </c>
      <c r="G1495" s="0" t="inlineStr">
        <is>
          <t>NULL</t>
        </is>
      </c>
      <c r="H1495" s="0" t="inlineStr">
        <is>
          <t>NULL</t>
        </is>
      </c>
      <c r="I1495" s="0" t="inlineStr">
        <is>
          <t>NULL</t>
        </is>
      </c>
      <c r="J1495" s="0" t="inlineStr">
        <is>
          <t>NULL</t>
        </is>
      </c>
      <c r="K1495" s="0" t="inlineStr">
        <is>
          <t>YES! 	 c_varchar_max列源备映射正确，源端为varchar -1位	期望更改为longtext	实际备端为longtext 4294967295位</t>
        </is>
      </c>
    </row>
    <row r="1496">
      <c r="B1496" s="0" t="inlineStr">
        <is>
          <t>NULL</t>
        </is>
      </c>
      <c r="C1496" s="0" t="inlineStr">
        <is>
          <t>NULL</t>
        </is>
      </c>
      <c r="D1496" s="0" t="inlineStr">
        <is>
          <t>NULL</t>
        </is>
      </c>
      <c r="E1496" s="0" t="inlineStr">
        <is>
          <t>NULL</t>
        </is>
      </c>
      <c r="F1496" s="0" t="inlineStr">
        <is>
          <t>NULL</t>
        </is>
      </c>
      <c r="G1496" s="0" t="inlineStr">
        <is>
          <t>NULL</t>
        </is>
      </c>
      <c r="H1496" s="0" t="inlineStr">
        <is>
          <t>NULL</t>
        </is>
      </c>
      <c r="I1496" s="0" t="inlineStr">
        <is>
          <t>NULL</t>
        </is>
      </c>
      <c r="J1496" s="0" t="inlineStr">
        <is>
          <t>NULL</t>
        </is>
      </c>
      <c r="K1496" s="0" t="inlineStr">
        <is>
          <t>YES! 	 c_nvarchar_max列源备映射正确，源端为nvarchar -1位	期望更改为longtext	实际备端为longtext 4294967295位</t>
        </is>
      </c>
    </row>
    <row r="1497">
      <c r="K1497" s="0" t="inlineStr">
        <is>
          <t>~ 空表</t>
        </is>
      </c>
    </row>
    <row r="1498">
      <c r="A1498" s="0" t="inlineStr">
        <is>
          <t>info_datetimeoffset_dml_single_pk_drp</t>
        </is>
      </c>
      <c r="K1498" s="0" t="inlineStr">
        <is>
          <t>[0;34m info_datetimeoffset_dml_single_pk_drp [0m源备字段数相同，源端字段：9 	备端字段9</t>
        </is>
      </c>
      <c r="W1498" s="0" t="inlineStr">
        <is>
          <t>YES 源备无差异</t>
        </is>
      </c>
      <c r="X1498" s="0">
        <f>A1498</f>
        <v/>
      </c>
    </row>
    <row r="1499">
      <c r="B1499" s="0" t="inlineStr">
        <is>
          <t>YES</t>
        </is>
      </c>
      <c r="C1499" s="0" t="inlineStr">
        <is>
          <t>NULL</t>
        </is>
      </c>
      <c r="D1499" s="0" t="inlineStr">
        <is>
          <t>NULL</t>
        </is>
      </c>
      <c r="E1499" s="0" t="inlineStr">
        <is>
          <t>NULL</t>
        </is>
      </c>
      <c r="F1499" s="0" t="inlineStr">
        <is>
          <t>NULL</t>
        </is>
      </c>
      <c r="G1499" s="0" t="inlineStr">
        <is>
          <t>NULL</t>
        </is>
      </c>
      <c r="H1499" s="0" t="inlineStr">
        <is>
          <t>NULL</t>
        </is>
      </c>
      <c r="I1499" s="0" t="inlineStr">
        <is>
          <t>YES!PK__info_dat__3213E83FB13C2792</t>
        </is>
      </c>
      <c r="J1499" s="0" t="inlineStr">
        <is>
          <t>YES! 主键相关索引</t>
        </is>
      </c>
      <c r="K1499" s="0" t="inlineStr">
        <is>
          <t>YES! 	 id列源备映射正确，源端为int None位	期望更改为int	实际备端为int None位</t>
        </is>
      </c>
    </row>
    <row r="1500">
      <c r="B1500" s="0" t="inlineStr">
        <is>
          <t>NULL</t>
        </is>
      </c>
      <c r="C1500" s="0" t="inlineStr">
        <is>
          <t>NULL</t>
        </is>
      </c>
      <c r="D1500" s="0" t="inlineStr">
        <is>
          <t>NULL</t>
        </is>
      </c>
      <c r="E1500" s="0" t="inlineStr">
        <is>
          <t>NULL</t>
        </is>
      </c>
      <c r="F1500" s="0" t="inlineStr">
        <is>
          <t>NULL</t>
        </is>
      </c>
      <c r="G1500" s="0" t="inlineStr">
        <is>
          <t>NULL</t>
        </is>
      </c>
      <c r="H1500" s="0" t="inlineStr">
        <is>
          <t>NULL</t>
        </is>
      </c>
      <c r="I1500" s="0" t="inlineStr">
        <is>
          <t>NULL</t>
        </is>
      </c>
      <c r="J1500" s="0" t="inlineStr">
        <is>
          <t>NULL</t>
        </is>
      </c>
      <c r="K1500" s="0" t="inlineStr">
        <is>
          <t>[0;32m YES! [0m 	 c_dtoffset_0列源备映射正确，源端为datetimeoffset None位	期望更改为varchar(34)	实际备端为varchar 136位	位数精度不存在，通过长度比较</t>
        </is>
      </c>
    </row>
    <row r="1501">
      <c r="B1501" s="0" t="inlineStr">
        <is>
          <t>NULL</t>
        </is>
      </c>
      <c r="C1501" s="0" t="inlineStr">
        <is>
          <t>NULL</t>
        </is>
      </c>
      <c r="D1501" s="0" t="inlineStr">
        <is>
          <t>NULL</t>
        </is>
      </c>
      <c r="E1501" s="0" t="inlineStr">
        <is>
          <t>NULL</t>
        </is>
      </c>
      <c r="F1501" s="0" t="inlineStr">
        <is>
          <t>NULL</t>
        </is>
      </c>
      <c r="G1501" s="0" t="inlineStr">
        <is>
          <t>NULL</t>
        </is>
      </c>
      <c r="H1501" s="0" t="inlineStr">
        <is>
          <t>NULL</t>
        </is>
      </c>
      <c r="I1501" s="0" t="inlineStr">
        <is>
          <t>NULL</t>
        </is>
      </c>
      <c r="J1501" s="0" t="inlineStr">
        <is>
          <t>NULL</t>
        </is>
      </c>
      <c r="K1501" s="0" t="inlineStr">
        <is>
          <t>[0;32m YES! [0m 	 c_dtoffset_1列源备映射正确，源端为datetimeoffset None位	期望更改为varchar(34)	实际备端为varchar 136位	位数精度不存在，通过长度比较</t>
        </is>
      </c>
    </row>
    <row r="1502">
      <c r="B1502" s="0" t="inlineStr">
        <is>
          <t>NULL</t>
        </is>
      </c>
      <c r="C1502" s="0" t="inlineStr">
        <is>
          <t>NULL</t>
        </is>
      </c>
      <c r="D1502" s="0" t="inlineStr">
        <is>
          <t>NULL</t>
        </is>
      </c>
      <c r="E1502" s="0" t="inlineStr">
        <is>
          <t>NULL</t>
        </is>
      </c>
      <c r="F1502" s="0" t="inlineStr">
        <is>
          <t>NULL</t>
        </is>
      </c>
      <c r="G1502" s="0" t="inlineStr">
        <is>
          <t>NULL</t>
        </is>
      </c>
      <c r="H1502" s="0" t="inlineStr">
        <is>
          <t>NULL</t>
        </is>
      </c>
      <c r="I1502" s="0" t="inlineStr">
        <is>
          <t>NULL</t>
        </is>
      </c>
      <c r="J1502" s="0" t="inlineStr">
        <is>
          <t>NULL</t>
        </is>
      </c>
      <c r="K1502" s="0" t="inlineStr">
        <is>
          <t>[0;32m YES! [0m 	 c_dtoffset_2列源备映射正确，源端为datetimeoffset None位	期望更改为varchar(34)	实际备端为varchar 136位	位数精度不存在，通过长度比较</t>
        </is>
      </c>
    </row>
    <row r="1503">
      <c r="B1503" s="0" t="inlineStr">
        <is>
          <t>NULL</t>
        </is>
      </c>
      <c r="C1503" s="0" t="inlineStr">
        <is>
          <t>NULL</t>
        </is>
      </c>
      <c r="D1503" s="0" t="inlineStr">
        <is>
          <t>NULL</t>
        </is>
      </c>
      <c r="E1503" s="0" t="inlineStr">
        <is>
          <t>NULL</t>
        </is>
      </c>
      <c r="F1503" s="0" t="inlineStr">
        <is>
          <t>NULL</t>
        </is>
      </c>
      <c r="G1503" s="0" t="inlineStr">
        <is>
          <t>NULL</t>
        </is>
      </c>
      <c r="H1503" s="0" t="inlineStr">
        <is>
          <t>NULL</t>
        </is>
      </c>
      <c r="I1503" s="0" t="inlineStr">
        <is>
          <t>NULL</t>
        </is>
      </c>
      <c r="J1503" s="0" t="inlineStr">
        <is>
          <t>NULL</t>
        </is>
      </c>
      <c r="K1503" s="0" t="inlineStr">
        <is>
          <t>[0;32m YES! [0m 	 c_dtoffset_3列源备映射正确，源端为datetimeoffset None位	期望更改为varchar(34)	实际备端为varchar 136位	位数精度不存在，通过长度比较</t>
        </is>
      </c>
    </row>
    <row r="1504">
      <c r="B1504" s="0" t="inlineStr">
        <is>
          <t>NULL</t>
        </is>
      </c>
      <c r="C1504" s="0" t="inlineStr">
        <is>
          <t>NULL</t>
        </is>
      </c>
      <c r="D1504" s="0" t="inlineStr">
        <is>
          <t>NULL</t>
        </is>
      </c>
      <c r="E1504" s="0" t="inlineStr">
        <is>
          <t>NULL</t>
        </is>
      </c>
      <c r="F1504" s="0" t="inlineStr">
        <is>
          <t>NULL</t>
        </is>
      </c>
      <c r="G1504" s="0" t="inlineStr">
        <is>
          <t>NULL</t>
        </is>
      </c>
      <c r="H1504" s="0" t="inlineStr">
        <is>
          <t>NULL</t>
        </is>
      </c>
      <c r="I1504" s="0" t="inlineStr">
        <is>
          <t>NULL</t>
        </is>
      </c>
      <c r="J1504" s="0" t="inlineStr">
        <is>
          <t>NULL</t>
        </is>
      </c>
      <c r="K1504" s="0" t="inlineStr">
        <is>
          <t>[0;32m YES! [0m 	 c_dtoffset_4列源备映射正确，源端为datetimeoffset None位	期望更改为varchar(34)	实际备端为varchar 136位	位数精度不存在，通过长度比较</t>
        </is>
      </c>
    </row>
    <row r="1505">
      <c r="B1505" s="0" t="inlineStr">
        <is>
          <t>NULL</t>
        </is>
      </c>
      <c r="C1505" s="0" t="inlineStr">
        <is>
          <t>NULL</t>
        </is>
      </c>
      <c r="D1505" s="0" t="inlineStr">
        <is>
          <t>NULL</t>
        </is>
      </c>
      <c r="E1505" s="0" t="inlineStr">
        <is>
          <t>NULL</t>
        </is>
      </c>
      <c r="F1505" s="0" t="inlineStr">
        <is>
          <t>NULL</t>
        </is>
      </c>
      <c r="G1505" s="0" t="inlineStr">
        <is>
          <t>NULL</t>
        </is>
      </c>
      <c r="H1505" s="0" t="inlineStr">
        <is>
          <t>NULL</t>
        </is>
      </c>
      <c r="I1505" s="0" t="inlineStr">
        <is>
          <t>NULL</t>
        </is>
      </c>
      <c r="J1505" s="0" t="inlineStr">
        <is>
          <t>NULL</t>
        </is>
      </c>
      <c r="K1505" s="0" t="inlineStr">
        <is>
          <t>[0;32m YES! [0m 	 c_dtoffset_5列源备映射正确，源端为datetimeoffset None位	期望更改为varchar(34)	实际备端为varchar 136位	位数精度不存在，通过长度比较</t>
        </is>
      </c>
    </row>
    <row r="1506">
      <c r="B1506" s="0" t="inlineStr">
        <is>
          <t>NULL</t>
        </is>
      </c>
      <c r="C1506" s="0" t="inlineStr">
        <is>
          <t>NULL</t>
        </is>
      </c>
      <c r="D1506" s="0" t="inlineStr">
        <is>
          <t>NULL</t>
        </is>
      </c>
      <c r="E1506" s="0" t="inlineStr">
        <is>
          <t>NULL</t>
        </is>
      </c>
      <c r="F1506" s="0" t="inlineStr">
        <is>
          <t>NULL</t>
        </is>
      </c>
      <c r="G1506" s="0" t="inlineStr">
        <is>
          <t>NULL</t>
        </is>
      </c>
      <c r="H1506" s="0" t="inlineStr">
        <is>
          <t>NULL</t>
        </is>
      </c>
      <c r="I1506" s="0" t="inlineStr">
        <is>
          <t>NULL</t>
        </is>
      </c>
      <c r="J1506" s="0" t="inlineStr">
        <is>
          <t>NULL</t>
        </is>
      </c>
      <c r="K1506" s="0" t="inlineStr">
        <is>
          <t>[0;32m YES! [0m 	 c_dtoffset_6列源备映射正确，源端为datetimeoffset None位	期望更改为varchar(34)	实际备端为varchar 136位	位数精度不存在，通过长度比较</t>
        </is>
      </c>
    </row>
    <row r="1507">
      <c r="B1507" s="0" t="inlineStr">
        <is>
          <t>NULL</t>
        </is>
      </c>
      <c r="C1507" s="0" t="inlineStr">
        <is>
          <t>NULL</t>
        </is>
      </c>
      <c r="D1507" s="0" t="inlineStr">
        <is>
          <t>NULL</t>
        </is>
      </c>
      <c r="E1507" s="0" t="inlineStr">
        <is>
          <t>NULL</t>
        </is>
      </c>
      <c r="F1507" s="0" t="inlineStr">
        <is>
          <t>NULL</t>
        </is>
      </c>
      <c r="G1507" s="0" t="inlineStr">
        <is>
          <t>NULL</t>
        </is>
      </c>
      <c r="H1507" s="0" t="inlineStr">
        <is>
          <t>NULL</t>
        </is>
      </c>
      <c r="I1507" s="0" t="inlineStr">
        <is>
          <t>NULL</t>
        </is>
      </c>
      <c r="J1507" s="0" t="inlineStr">
        <is>
          <t>NULL</t>
        </is>
      </c>
      <c r="K1507" s="0" t="inlineStr">
        <is>
          <t>[0;32m YES! [0m 	 c_dtoffset列源备映射正确，源端为datetimeoffset None位	期望更改为varchar(34)	实际备端为varchar 136位	位数精度不存在，通过长度比较</t>
        </is>
      </c>
    </row>
    <row r="1508">
      <c r="A1508" s="0" t="inlineStr">
        <is>
          <t>info_datetime2_dml_single_nopk_drp</t>
        </is>
      </c>
      <c r="K1508" s="0" t="inlineStr">
        <is>
          <t>[0;34m info_datetime2_dml_single_nopk_drp [0m源备字段数相同，源端字段：9 	备端字段9</t>
        </is>
      </c>
      <c r="W1508" s="0" t="inlineStr">
        <is>
          <t>YES 源备无差异</t>
        </is>
      </c>
      <c r="X1508" s="0">
        <f>A1508</f>
        <v/>
      </c>
    </row>
    <row r="1509">
      <c r="B1509" s="0" t="inlineStr">
        <is>
          <t>NULL</t>
        </is>
      </c>
      <c r="C1509" s="0" t="inlineStr">
        <is>
          <t>NULL</t>
        </is>
      </c>
      <c r="D1509" s="0" t="inlineStr">
        <is>
          <t>NULL</t>
        </is>
      </c>
      <c r="E1509" s="0" t="inlineStr">
        <is>
          <t>NULL</t>
        </is>
      </c>
      <c r="F1509" s="0" t="inlineStr">
        <is>
          <t>NULL</t>
        </is>
      </c>
      <c r="G1509" s="0" t="inlineStr">
        <is>
          <t>NULL</t>
        </is>
      </c>
      <c r="H1509" s="0" t="inlineStr">
        <is>
          <t>NULL</t>
        </is>
      </c>
      <c r="I1509" s="0" t="inlineStr">
        <is>
          <t>NULL</t>
        </is>
      </c>
      <c r="J1509" s="0" t="inlineStr">
        <is>
          <t>NULL</t>
        </is>
      </c>
      <c r="K1509" s="0" t="inlineStr">
        <is>
          <t>YES! 	 id列源备映射正确，源端为int None位	期望更改为int	实际备端为int None位</t>
        </is>
      </c>
    </row>
    <row r="1510">
      <c r="B1510" s="0" t="inlineStr">
        <is>
          <t>NULL</t>
        </is>
      </c>
      <c r="C1510" s="0" t="inlineStr">
        <is>
          <t>NULL</t>
        </is>
      </c>
      <c r="D1510" s="0" t="inlineStr">
        <is>
          <t>NULL</t>
        </is>
      </c>
      <c r="E1510" s="0" t="inlineStr">
        <is>
          <t>NULL</t>
        </is>
      </c>
      <c r="F1510" s="0" t="inlineStr">
        <is>
          <t>NULL</t>
        </is>
      </c>
      <c r="G1510" s="0" t="inlineStr">
        <is>
          <t>NULL</t>
        </is>
      </c>
      <c r="H1510" s="0" t="inlineStr">
        <is>
          <t>NULL</t>
        </is>
      </c>
      <c r="I1510" s="0" t="inlineStr">
        <is>
          <t>NULL</t>
        </is>
      </c>
      <c r="J1510" s="0" t="inlineStr">
        <is>
          <t>NULL</t>
        </is>
      </c>
      <c r="K1510" s="0" t="inlineStr">
        <is>
          <t>no,len不存在</t>
        </is>
      </c>
    </row>
    <row r="1511">
      <c r="B1511" s="0" t="inlineStr">
        <is>
          <t>NULL</t>
        </is>
      </c>
      <c r="C1511" s="0" t="inlineStr">
        <is>
          <t>NULL</t>
        </is>
      </c>
      <c r="D1511" s="0" t="inlineStr">
        <is>
          <t>NULL</t>
        </is>
      </c>
      <c r="E1511" s="0" t="inlineStr">
        <is>
          <t>NULL</t>
        </is>
      </c>
      <c r="F1511" s="0" t="inlineStr">
        <is>
          <t>NULL</t>
        </is>
      </c>
      <c r="G1511" s="0" t="inlineStr">
        <is>
          <t>NULL</t>
        </is>
      </c>
      <c r="H1511" s="0" t="inlineStr">
        <is>
          <t>NULL</t>
        </is>
      </c>
      <c r="I1511" s="0" t="inlineStr">
        <is>
          <t>NULL</t>
        </is>
      </c>
      <c r="J1511" s="0" t="inlineStr">
        <is>
          <t>NULL</t>
        </is>
      </c>
      <c r="K1511" s="0" t="inlineStr">
        <is>
          <t>YES! 	 c_dt2_1列源备映射正确，源端为datetime2 None位	期望更改为datetime(n)	实际备端为datetime None位</t>
        </is>
      </c>
    </row>
    <row r="1512">
      <c r="B1512" s="0" t="inlineStr">
        <is>
          <t>NULL</t>
        </is>
      </c>
      <c r="C1512" s="0" t="inlineStr">
        <is>
          <t>NULL</t>
        </is>
      </c>
      <c r="D1512" s="0" t="inlineStr">
        <is>
          <t>NULL</t>
        </is>
      </c>
      <c r="E1512" s="0" t="inlineStr">
        <is>
          <t>NULL</t>
        </is>
      </c>
      <c r="F1512" s="0" t="inlineStr">
        <is>
          <t>NULL</t>
        </is>
      </c>
      <c r="G1512" s="0" t="inlineStr">
        <is>
          <t>NULL</t>
        </is>
      </c>
      <c r="H1512" s="0" t="inlineStr">
        <is>
          <t>NULL</t>
        </is>
      </c>
      <c r="I1512" s="0" t="inlineStr">
        <is>
          <t>NULL</t>
        </is>
      </c>
      <c r="J1512" s="0" t="inlineStr">
        <is>
          <t>NULL</t>
        </is>
      </c>
      <c r="K1512" s="0" t="inlineStr">
        <is>
          <t>YES! 	 c_dt2_2列源备映射正确，源端为datetime2 None位	期望更改为datetime(n)	实际备端为datetime None位</t>
        </is>
      </c>
    </row>
    <row r="1513">
      <c r="B1513" s="0" t="inlineStr">
        <is>
          <t>NULL</t>
        </is>
      </c>
      <c r="C1513" s="0" t="inlineStr">
        <is>
          <t>NULL</t>
        </is>
      </c>
      <c r="D1513" s="0" t="inlineStr">
        <is>
          <t>NULL</t>
        </is>
      </c>
      <c r="E1513" s="0" t="inlineStr">
        <is>
          <t>NULL</t>
        </is>
      </c>
      <c r="F1513" s="0" t="inlineStr">
        <is>
          <t>NULL</t>
        </is>
      </c>
      <c r="G1513" s="0" t="inlineStr">
        <is>
          <t>NULL</t>
        </is>
      </c>
      <c r="H1513" s="0" t="inlineStr">
        <is>
          <t>NULL</t>
        </is>
      </c>
      <c r="I1513" s="0" t="inlineStr">
        <is>
          <t>NULL</t>
        </is>
      </c>
      <c r="J1513" s="0" t="inlineStr">
        <is>
          <t>NULL</t>
        </is>
      </c>
      <c r="K1513" s="0" t="inlineStr">
        <is>
          <t>YES! 	 c_dt2_3列源备映射正确，源端为datetime2 None位	期望更改为datetime(n)	实际备端为datetime None位</t>
        </is>
      </c>
    </row>
    <row r="1514">
      <c r="B1514" s="0" t="inlineStr">
        <is>
          <t>NULL</t>
        </is>
      </c>
      <c r="C1514" s="0" t="inlineStr">
        <is>
          <t>NULL</t>
        </is>
      </c>
      <c r="D1514" s="0" t="inlineStr">
        <is>
          <t>NULL</t>
        </is>
      </c>
      <c r="E1514" s="0" t="inlineStr">
        <is>
          <t>NULL</t>
        </is>
      </c>
      <c r="F1514" s="0" t="inlineStr">
        <is>
          <t>NULL</t>
        </is>
      </c>
      <c r="G1514" s="0" t="inlineStr">
        <is>
          <t>NULL</t>
        </is>
      </c>
      <c r="H1514" s="0" t="inlineStr">
        <is>
          <t>NULL</t>
        </is>
      </c>
      <c r="I1514" s="0" t="inlineStr">
        <is>
          <t>NULL</t>
        </is>
      </c>
      <c r="J1514" s="0" t="inlineStr">
        <is>
          <t>NULL</t>
        </is>
      </c>
      <c r="K1514" s="0" t="inlineStr">
        <is>
          <t>YES! 	 c_dt2_4列源备映射正确，源端为datetime2 None位	期望更改为datetime(n)	实际备端为datetime None位</t>
        </is>
      </c>
    </row>
    <row r="1515">
      <c r="B1515" s="0" t="inlineStr">
        <is>
          <t>NULL</t>
        </is>
      </c>
      <c r="C1515" s="0" t="inlineStr">
        <is>
          <t>NULL</t>
        </is>
      </c>
      <c r="D1515" s="0" t="inlineStr">
        <is>
          <t>NULL</t>
        </is>
      </c>
      <c r="E1515" s="0" t="inlineStr">
        <is>
          <t>NULL</t>
        </is>
      </c>
      <c r="F1515" s="0" t="inlineStr">
        <is>
          <t>NULL</t>
        </is>
      </c>
      <c r="G1515" s="0" t="inlineStr">
        <is>
          <t>NULL</t>
        </is>
      </c>
      <c r="H1515" s="0" t="inlineStr">
        <is>
          <t>NULL</t>
        </is>
      </c>
      <c r="I1515" s="0" t="inlineStr">
        <is>
          <t>NULL</t>
        </is>
      </c>
      <c r="J1515" s="0" t="inlineStr">
        <is>
          <t>NULL</t>
        </is>
      </c>
      <c r="K1515" s="0" t="inlineStr">
        <is>
          <t>YES! 	 c_dt2_5列源备映射正确，源端为datetime2 None位	期望更改为datetime(n)	实际备端为datetime None位</t>
        </is>
      </c>
    </row>
    <row r="1516">
      <c r="B1516" s="0" t="inlineStr">
        <is>
          <t>NULL</t>
        </is>
      </c>
      <c r="C1516" s="0" t="inlineStr">
        <is>
          <t>NULL</t>
        </is>
      </c>
      <c r="D1516" s="0" t="inlineStr">
        <is>
          <t>NULL</t>
        </is>
      </c>
      <c r="E1516" s="0" t="inlineStr">
        <is>
          <t>NULL</t>
        </is>
      </c>
      <c r="F1516" s="0" t="inlineStr">
        <is>
          <t>NULL</t>
        </is>
      </c>
      <c r="G1516" s="0" t="inlineStr">
        <is>
          <t>NULL</t>
        </is>
      </c>
      <c r="H1516" s="0" t="inlineStr">
        <is>
          <t>NULL</t>
        </is>
      </c>
      <c r="I1516" s="0" t="inlineStr">
        <is>
          <t>NULL</t>
        </is>
      </c>
      <c r="J1516" s="0" t="inlineStr">
        <is>
          <t>NULL</t>
        </is>
      </c>
      <c r="K1516" s="0" t="inlineStr">
        <is>
          <t>YES! 	 c_dt2_6列源备映射正确，源端为datetime2 None位	期望更改为datetime(n)	实际备端为datetime None位</t>
        </is>
      </c>
    </row>
    <row r="1517">
      <c r="B1517" s="0" t="inlineStr">
        <is>
          <t>NULL</t>
        </is>
      </c>
      <c r="C1517" s="0" t="inlineStr">
        <is>
          <t>NO!源None备NUL</t>
        </is>
      </c>
      <c r="D1517" s="0" t="inlineStr">
        <is>
          <t>NULL</t>
        </is>
      </c>
      <c r="E1517" s="0" t="inlineStr">
        <is>
          <t>NULL</t>
        </is>
      </c>
      <c r="F1517" s="0" t="inlineStr">
        <is>
          <t>NULL</t>
        </is>
      </c>
      <c r="G1517" s="0" t="inlineStr">
        <is>
          <t>NULL</t>
        </is>
      </c>
      <c r="H1517" s="0" t="inlineStr">
        <is>
          <t>NULL</t>
        </is>
      </c>
      <c r="I1517" s="0" t="inlineStr">
        <is>
          <t>NULL</t>
        </is>
      </c>
      <c r="J1517" s="0" t="inlineStr">
        <is>
          <t>NULL</t>
        </is>
      </c>
      <c r="K1517" s="0" t="inlineStr">
        <is>
          <t xml:space="preserve"> NO!  	 c_dt2列源备映射错误，源端为datetime2 None位	期望更改为datetime(n)	实际备端为varchar 136位</t>
        </is>
      </c>
    </row>
    <row r="1518">
      <c r="A1518" s="0" t="inlineStr">
        <is>
          <t>info_binary_dml_single_pk_drp</t>
        </is>
      </c>
      <c r="K1518" s="0" t="inlineStr">
        <is>
          <t>[0;34m info_binary_dml_single_pk_drp [0m源备字段数相同，源端字段：4 	备端字段4</t>
        </is>
      </c>
      <c r="W1518" s="0" t="inlineStr">
        <is>
          <t>YES 源备无差异</t>
        </is>
      </c>
      <c r="X1518" s="0">
        <f>A1518</f>
        <v/>
      </c>
    </row>
    <row r="1519">
      <c r="B1519" s="0" t="inlineStr">
        <is>
          <t>YES</t>
        </is>
      </c>
      <c r="C1519" s="0" t="inlineStr">
        <is>
          <t>NULL</t>
        </is>
      </c>
      <c r="D1519" s="0" t="inlineStr">
        <is>
          <t>NULL</t>
        </is>
      </c>
      <c r="E1519" s="0" t="inlineStr">
        <is>
          <t>NULL</t>
        </is>
      </c>
      <c r="F1519" s="0" t="inlineStr">
        <is>
          <t>NULL</t>
        </is>
      </c>
      <c r="G1519" s="0" t="inlineStr">
        <is>
          <t>NULL</t>
        </is>
      </c>
      <c r="H1519" s="0" t="inlineStr">
        <is>
          <t>NULL</t>
        </is>
      </c>
      <c r="I1519" s="0" t="inlineStr">
        <is>
          <t>YES!PK__info_bin__3213E83F5ED736A6</t>
        </is>
      </c>
      <c r="J1519" s="0" t="inlineStr">
        <is>
          <t>YES! 主键相关索引</t>
        </is>
      </c>
      <c r="K1519" s="0" t="inlineStr">
        <is>
          <t>YES! 	 id列源备映射正确，源端为int None位	期望更改为int	实际备端为int None位</t>
        </is>
      </c>
    </row>
    <row r="1520">
      <c r="B1520" s="0" t="inlineStr">
        <is>
          <t>NULL</t>
        </is>
      </c>
      <c r="C1520" s="0" t="inlineStr">
        <is>
          <t>NULL</t>
        </is>
      </c>
      <c r="D1520" s="0" t="inlineStr">
        <is>
          <t>NULL</t>
        </is>
      </c>
      <c r="E1520" s="0" t="inlineStr">
        <is>
          <t>NULL</t>
        </is>
      </c>
      <c r="F1520" s="0" t="inlineStr">
        <is>
          <t>NULL</t>
        </is>
      </c>
      <c r="G1520" s="0" t="inlineStr">
        <is>
          <t>NULL</t>
        </is>
      </c>
      <c r="H1520" s="0" t="inlineStr">
        <is>
          <t>NULL</t>
        </is>
      </c>
      <c r="I1520" s="0" t="inlineStr">
        <is>
          <t>NULL</t>
        </is>
      </c>
      <c r="J1520" s="0" t="inlineStr">
        <is>
          <t>NULL</t>
        </is>
      </c>
      <c r="K1520" s="0" t="inlineStr">
        <is>
          <t>YES! 	 c_binary列源备映射正确，源端为binary 1位	期望更改为binary(n)	实际备端为binary 1位</t>
        </is>
      </c>
    </row>
    <row r="1521">
      <c r="B1521" s="0" t="inlineStr">
        <is>
          <t>NULL</t>
        </is>
      </c>
      <c r="C1521" s="0" t="inlineStr">
        <is>
          <t>NULL</t>
        </is>
      </c>
      <c r="D1521" s="0" t="inlineStr">
        <is>
          <t>NULL</t>
        </is>
      </c>
      <c r="E1521" s="0" t="inlineStr">
        <is>
          <t>NULL</t>
        </is>
      </c>
      <c r="F1521" s="0" t="inlineStr">
        <is>
          <t>NULL</t>
        </is>
      </c>
      <c r="G1521" s="0" t="inlineStr">
        <is>
          <t>NULL</t>
        </is>
      </c>
      <c r="H1521" s="0" t="inlineStr">
        <is>
          <t>NULL</t>
        </is>
      </c>
      <c r="I1521" s="0" t="inlineStr">
        <is>
          <t>NULL</t>
        </is>
      </c>
      <c r="J1521" s="0" t="inlineStr">
        <is>
          <t>NULL</t>
        </is>
      </c>
      <c r="K1521" s="0" t="inlineStr">
        <is>
          <t>YES! 	 c_binary_20列源备映射正确，源端为binary 20位	期望更改为binary(n)	实际备端为binary 20位</t>
        </is>
      </c>
    </row>
    <row r="1522">
      <c r="B1522" s="0" t="inlineStr">
        <is>
          <t>NULL</t>
        </is>
      </c>
      <c r="C1522" s="0" t="inlineStr">
        <is>
          <t>NULL</t>
        </is>
      </c>
      <c r="D1522" s="0" t="inlineStr">
        <is>
          <t>NULL</t>
        </is>
      </c>
      <c r="E1522" s="0" t="inlineStr">
        <is>
          <t>NULL</t>
        </is>
      </c>
      <c r="F1522" s="0" t="inlineStr">
        <is>
          <t>NULL</t>
        </is>
      </c>
      <c r="G1522" s="0" t="inlineStr">
        <is>
          <t>NULL</t>
        </is>
      </c>
      <c r="H1522" s="0" t="inlineStr">
        <is>
          <t>NULL</t>
        </is>
      </c>
      <c r="I1522" s="0" t="inlineStr">
        <is>
          <t>NULL</t>
        </is>
      </c>
      <c r="J1522" s="0" t="inlineStr">
        <is>
          <t>NULL</t>
        </is>
      </c>
      <c r="K1522" s="0" t="inlineStr">
        <is>
          <t>YES! 	 c_binary_8000列源备映射正确，源端为binary 8000位	期望更改为longblob	实际备端为longblob 4294967295位</t>
        </is>
      </c>
    </row>
    <row r="1523">
      <c r="A1523" s="0" t="inlineStr">
        <is>
          <t>info_datetime2_dml_single_nopk</t>
        </is>
      </c>
      <c r="K1523" s="0" t="inlineStr">
        <is>
          <t>[0;34m info_datetime2_dml_single_nopk [0m源备字段数相同，源端字段：9 	备端字段9</t>
        </is>
      </c>
      <c r="W1523" s="0" t="inlineStr">
        <is>
          <t>YES 源备无差异</t>
        </is>
      </c>
      <c r="X1523" s="0">
        <f>A1523</f>
        <v/>
      </c>
    </row>
    <row r="1524">
      <c r="B1524" s="0" t="inlineStr">
        <is>
          <t>NULL</t>
        </is>
      </c>
      <c r="C1524" s="0" t="inlineStr">
        <is>
          <t>NULL</t>
        </is>
      </c>
      <c r="D1524" s="0" t="inlineStr">
        <is>
          <t>NULL</t>
        </is>
      </c>
      <c r="E1524" s="0" t="inlineStr">
        <is>
          <t>NULL</t>
        </is>
      </c>
      <c r="F1524" s="0" t="inlineStr">
        <is>
          <t>NULL</t>
        </is>
      </c>
      <c r="G1524" s="0" t="inlineStr">
        <is>
          <t>NULL</t>
        </is>
      </c>
      <c r="H1524" s="0" t="inlineStr">
        <is>
          <t>NULL</t>
        </is>
      </c>
      <c r="I1524" s="0" t="inlineStr">
        <is>
          <t>NULL</t>
        </is>
      </c>
      <c r="J1524" s="0" t="inlineStr">
        <is>
          <t>NULL</t>
        </is>
      </c>
      <c r="K1524" s="0" t="inlineStr">
        <is>
          <t>YES! 	 id列源备映射正确，源端为int None位	期望更改为int	实际备端为int None位</t>
        </is>
      </c>
    </row>
    <row r="1525">
      <c r="B1525" s="0" t="inlineStr">
        <is>
          <t>NULL</t>
        </is>
      </c>
      <c r="C1525" s="0" t="inlineStr">
        <is>
          <t>NULL</t>
        </is>
      </c>
      <c r="D1525" s="0" t="inlineStr">
        <is>
          <t>NULL</t>
        </is>
      </c>
      <c r="E1525" s="0" t="inlineStr">
        <is>
          <t>NULL</t>
        </is>
      </c>
      <c r="F1525" s="0" t="inlineStr">
        <is>
          <t>NULL</t>
        </is>
      </c>
      <c r="G1525" s="0" t="inlineStr">
        <is>
          <t>NULL</t>
        </is>
      </c>
      <c r="H1525" s="0" t="inlineStr">
        <is>
          <t>NULL</t>
        </is>
      </c>
      <c r="I1525" s="0" t="inlineStr">
        <is>
          <t>NULL</t>
        </is>
      </c>
      <c r="J1525" s="0" t="inlineStr">
        <is>
          <t>NULL</t>
        </is>
      </c>
      <c r="K1525" s="0" t="inlineStr">
        <is>
          <t>no,len不存在</t>
        </is>
      </c>
    </row>
    <row r="1526">
      <c r="B1526" s="0" t="inlineStr">
        <is>
          <t>NULL</t>
        </is>
      </c>
      <c r="C1526" s="0" t="inlineStr">
        <is>
          <t>NULL</t>
        </is>
      </c>
      <c r="D1526" s="0" t="inlineStr">
        <is>
          <t>NULL</t>
        </is>
      </c>
      <c r="E1526" s="0" t="inlineStr">
        <is>
          <t>NULL</t>
        </is>
      </c>
      <c r="F1526" s="0" t="inlineStr">
        <is>
          <t>NULL</t>
        </is>
      </c>
      <c r="G1526" s="0" t="inlineStr">
        <is>
          <t>NULL</t>
        </is>
      </c>
      <c r="H1526" s="0" t="inlineStr">
        <is>
          <t>NULL</t>
        </is>
      </c>
      <c r="I1526" s="0" t="inlineStr">
        <is>
          <t>NULL</t>
        </is>
      </c>
      <c r="J1526" s="0" t="inlineStr">
        <is>
          <t>NULL</t>
        </is>
      </c>
      <c r="K1526" s="0" t="inlineStr">
        <is>
          <t>YES! 	 c_dt2_1列源备映射正确，源端为datetime2 None位	期望更改为datetime(n)	实际备端为datetime None位</t>
        </is>
      </c>
    </row>
    <row r="1527">
      <c r="B1527" s="0" t="inlineStr">
        <is>
          <t>NULL</t>
        </is>
      </c>
      <c r="C1527" s="0" t="inlineStr">
        <is>
          <t>NULL</t>
        </is>
      </c>
      <c r="D1527" s="0" t="inlineStr">
        <is>
          <t>NULL</t>
        </is>
      </c>
      <c r="E1527" s="0" t="inlineStr">
        <is>
          <t>NULL</t>
        </is>
      </c>
      <c r="F1527" s="0" t="inlineStr">
        <is>
          <t>NULL</t>
        </is>
      </c>
      <c r="G1527" s="0" t="inlineStr">
        <is>
          <t>NULL</t>
        </is>
      </c>
      <c r="H1527" s="0" t="inlineStr">
        <is>
          <t>NULL</t>
        </is>
      </c>
      <c r="I1527" s="0" t="inlineStr">
        <is>
          <t>NULL</t>
        </is>
      </c>
      <c r="J1527" s="0" t="inlineStr">
        <is>
          <t>NULL</t>
        </is>
      </c>
      <c r="K1527" s="0" t="inlineStr">
        <is>
          <t>YES! 	 c_dt2_2列源备映射正确，源端为datetime2 None位	期望更改为datetime(n)	实际备端为datetime None位</t>
        </is>
      </c>
    </row>
    <row r="1528">
      <c r="B1528" s="0" t="inlineStr">
        <is>
          <t>NULL</t>
        </is>
      </c>
      <c r="C1528" s="0" t="inlineStr">
        <is>
          <t>NULL</t>
        </is>
      </c>
      <c r="D1528" s="0" t="inlineStr">
        <is>
          <t>NULL</t>
        </is>
      </c>
      <c r="E1528" s="0" t="inlineStr">
        <is>
          <t>NULL</t>
        </is>
      </c>
      <c r="F1528" s="0" t="inlineStr">
        <is>
          <t>NULL</t>
        </is>
      </c>
      <c r="G1528" s="0" t="inlineStr">
        <is>
          <t>NULL</t>
        </is>
      </c>
      <c r="H1528" s="0" t="inlineStr">
        <is>
          <t>NULL</t>
        </is>
      </c>
      <c r="I1528" s="0" t="inlineStr">
        <is>
          <t>NULL</t>
        </is>
      </c>
      <c r="J1528" s="0" t="inlineStr">
        <is>
          <t>NULL</t>
        </is>
      </c>
      <c r="K1528" s="0" t="inlineStr">
        <is>
          <t>YES! 	 c_dt2_3列源备映射正确，源端为datetime2 None位	期望更改为datetime(n)	实际备端为datetime None位</t>
        </is>
      </c>
    </row>
    <row r="1529">
      <c r="B1529" s="0" t="inlineStr">
        <is>
          <t>NULL</t>
        </is>
      </c>
      <c r="C1529" s="0" t="inlineStr">
        <is>
          <t>NULL</t>
        </is>
      </c>
      <c r="D1529" s="0" t="inlineStr">
        <is>
          <t>NULL</t>
        </is>
      </c>
      <c r="E1529" s="0" t="inlineStr">
        <is>
          <t>NULL</t>
        </is>
      </c>
      <c r="F1529" s="0" t="inlineStr">
        <is>
          <t>NULL</t>
        </is>
      </c>
      <c r="G1529" s="0" t="inlineStr">
        <is>
          <t>NULL</t>
        </is>
      </c>
      <c r="H1529" s="0" t="inlineStr">
        <is>
          <t>NULL</t>
        </is>
      </c>
      <c r="I1529" s="0" t="inlineStr">
        <is>
          <t>NULL</t>
        </is>
      </c>
      <c r="J1529" s="0" t="inlineStr">
        <is>
          <t>NULL</t>
        </is>
      </c>
      <c r="K1529" s="0" t="inlineStr">
        <is>
          <t>YES! 	 c_dt2_4列源备映射正确，源端为datetime2 None位	期望更改为datetime(n)	实际备端为datetime None位</t>
        </is>
      </c>
    </row>
    <row r="1530">
      <c r="B1530" s="0" t="inlineStr">
        <is>
          <t>NULL</t>
        </is>
      </c>
      <c r="C1530" s="0" t="inlineStr">
        <is>
          <t>NULL</t>
        </is>
      </c>
      <c r="D1530" s="0" t="inlineStr">
        <is>
          <t>NULL</t>
        </is>
      </c>
      <c r="E1530" s="0" t="inlineStr">
        <is>
          <t>NULL</t>
        </is>
      </c>
      <c r="F1530" s="0" t="inlineStr">
        <is>
          <t>NULL</t>
        </is>
      </c>
      <c r="G1530" s="0" t="inlineStr">
        <is>
          <t>NULL</t>
        </is>
      </c>
      <c r="H1530" s="0" t="inlineStr">
        <is>
          <t>NULL</t>
        </is>
      </c>
      <c r="I1530" s="0" t="inlineStr">
        <is>
          <t>NULL</t>
        </is>
      </c>
      <c r="J1530" s="0" t="inlineStr">
        <is>
          <t>NULL</t>
        </is>
      </c>
      <c r="K1530" s="0" t="inlineStr">
        <is>
          <t>YES! 	 c_dt2_5列源备映射正确，源端为datetime2 None位	期望更改为datetime(n)	实际备端为datetime None位</t>
        </is>
      </c>
    </row>
    <row r="1531">
      <c r="B1531" s="0" t="inlineStr">
        <is>
          <t>NULL</t>
        </is>
      </c>
      <c r="C1531" s="0" t="inlineStr">
        <is>
          <t>NULL</t>
        </is>
      </c>
      <c r="D1531" s="0" t="inlineStr">
        <is>
          <t>NULL</t>
        </is>
      </c>
      <c r="E1531" s="0" t="inlineStr">
        <is>
          <t>NULL</t>
        </is>
      </c>
      <c r="F1531" s="0" t="inlineStr">
        <is>
          <t>NULL</t>
        </is>
      </c>
      <c r="G1531" s="0" t="inlineStr">
        <is>
          <t>NULL</t>
        </is>
      </c>
      <c r="H1531" s="0" t="inlineStr">
        <is>
          <t>NULL</t>
        </is>
      </c>
      <c r="I1531" s="0" t="inlineStr">
        <is>
          <t>NULL</t>
        </is>
      </c>
      <c r="J1531" s="0" t="inlineStr">
        <is>
          <t>NULL</t>
        </is>
      </c>
      <c r="K1531" s="0" t="inlineStr">
        <is>
          <t>YES! 	 c_dt2_6列源备映射正确，源端为datetime2 None位	期望更改为datetime(n)	实际备端为datetime None位</t>
        </is>
      </c>
    </row>
    <row r="1532">
      <c r="B1532" s="0" t="inlineStr">
        <is>
          <t>NULL</t>
        </is>
      </c>
      <c r="C1532" s="0" t="inlineStr">
        <is>
          <t>NO!源None备NUL</t>
        </is>
      </c>
      <c r="D1532" s="0" t="inlineStr">
        <is>
          <t>NULL</t>
        </is>
      </c>
      <c r="E1532" s="0" t="inlineStr">
        <is>
          <t>NULL</t>
        </is>
      </c>
      <c r="F1532" s="0" t="inlineStr">
        <is>
          <t>NULL</t>
        </is>
      </c>
      <c r="G1532" s="0" t="inlineStr">
        <is>
          <t>NULL</t>
        </is>
      </c>
      <c r="H1532" s="0" t="inlineStr">
        <is>
          <t>NULL</t>
        </is>
      </c>
      <c r="I1532" s="0" t="inlineStr">
        <is>
          <t>NULL</t>
        </is>
      </c>
      <c r="J1532" s="0" t="inlineStr">
        <is>
          <t>NULL</t>
        </is>
      </c>
      <c r="K1532" s="0" t="inlineStr">
        <is>
          <t xml:space="preserve"> NO!  	 c_dt2列源备映射错误，源端为datetime2 None位	期望更改为datetime(n)	实际备端为varchar 136位</t>
        </is>
      </c>
    </row>
    <row r="1533">
      <c r="A1533" s="0" t="inlineStr">
        <is>
          <t>info_varcharmax_dml_batch1_pk_urp2</t>
        </is>
      </c>
      <c r="K1533" s="0" t="inlineStr">
        <is>
          <t>[0;34m info_varcharmax_dml_batch1_pk_urp2 [0m源备字段数相同，源端字段：3 	备端字段3</t>
        </is>
      </c>
      <c r="W1533" s="0" t="inlineStr">
        <is>
          <t>YES 源备无差异</t>
        </is>
      </c>
      <c r="X1533" s="0">
        <f>A1533</f>
        <v/>
      </c>
    </row>
    <row r="1534">
      <c r="B1534" s="0" t="inlineStr">
        <is>
          <t>YES</t>
        </is>
      </c>
      <c r="C1534" s="0" t="inlineStr">
        <is>
          <t>NULL</t>
        </is>
      </c>
      <c r="D1534" s="0" t="inlineStr">
        <is>
          <t>NULL</t>
        </is>
      </c>
      <c r="E1534" s="0" t="inlineStr">
        <is>
          <t>NULL</t>
        </is>
      </c>
      <c r="F1534" s="0" t="inlineStr">
        <is>
          <t>NULL</t>
        </is>
      </c>
      <c r="G1534" s="0" t="inlineStr">
        <is>
          <t>NULL</t>
        </is>
      </c>
      <c r="H1534" s="0" t="inlineStr">
        <is>
          <t>NULL</t>
        </is>
      </c>
      <c r="I1534" s="0" t="inlineStr">
        <is>
          <t>YES!PK__info_var__3213E83F08B8F603</t>
        </is>
      </c>
      <c r="J1534" s="0" t="inlineStr">
        <is>
          <t>YES! 主键相关索引</t>
        </is>
      </c>
      <c r="K1534" s="0" t="inlineStr">
        <is>
          <t>YES! 	 id列源备映射正确，源端为int None位	期望更改为int	实际备端为int None位</t>
        </is>
      </c>
    </row>
    <row r="1535">
      <c r="B1535" s="0" t="inlineStr">
        <is>
          <t>NULL</t>
        </is>
      </c>
      <c r="C1535" s="0" t="inlineStr">
        <is>
          <t>NULL</t>
        </is>
      </c>
      <c r="D1535" s="0" t="inlineStr">
        <is>
          <t>NULL</t>
        </is>
      </c>
      <c r="E1535" s="0" t="inlineStr">
        <is>
          <t>NULL</t>
        </is>
      </c>
      <c r="F1535" s="0" t="inlineStr">
        <is>
          <t>NULL</t>
        </is>
      </c>
      <c r="G1535" s="0" t="inlineStr">
        <is>
          <t>NULL</t>
        </is>
      </c>
      <c r="H1535" s="0" t="inlineStr">
        <is>
          <t>NULL</t>
        </is>
      </c>
      <c r="I1535" s="0" t="inlineStr">
        <is>
          <t>NULL</t>
        </is>
      </c>
      <c r="J1535" s="0" t="inlineStr">
        <is>
          <t>NULL</t>
        </is>
      </c>
      <c r="K1535" s="0" t="inlineStr">
        <is>
          <t>YES! 	 c_varchar_max列源备映射正确，源端为varchar -1位	期望更改为longtext	实际备端为longtext 4294967295位</t>
        </is>
      </c>
    </row>
    <row r="1536">
      <c r="B1536" s="0" t="inlineStr">
        <is>
          <t>NULL</t>
        </is>
      </c>
      <c r="C1536" s="0" t="inlineStr">
        <is>
          <t>NULL</t>
        </is>
      </c>
      <c r="D1536" s="0" t="inlineStr">
        <is>
          <t>NULL</t>
        </is>
      </c>
      <c r="E1536" s="0" t="inlineStr">
        <is>
          <t>NULL</t>
        </is>
      </c>
      <c r="F1536" s="0" t="inlineStr">
        <is>
          <t>NULL</t>
        </is>
      </c>
      <c r="G1536" s="0" t="inlineStr">
        <is>
          <t>NULL</t>
        </is>
      </c>
      <c r="H1536" s="0" t="inlineStr">
        <is>
          <t>NULL</t>
        </is>
      </c>
      <c r="I1536" s="0" t="inlineStr">
        <is>
          <t>NULL</t>
        </is>
      </c>
      <c r="J1536" s="0" t="inlineStr">
        <is>
          <t>NULL</t>
        </is>
      </c>
      <c r="K1536" s="0" t="inlineStr">
        <is>
          <t>YES! 	 c_nvarchar_max列源备映射正确，源端为nvarchar -1位	期望更改为longtext	实际备端为longtext 4294967295位</t>
        </is>
      </c>
    </row>
    <row r="1537">
      <c r="K1537" s="0" t="inlineStr">
        <is>
          <t>~ 空表</t>
        </is>
      </c>
    </row>
    <row r="1538">
      <c r="A1538" s="0" t="inlineStr">
        <is>
          <t>info_datetimeoffset_dml_single_pk</t>
        </is>
      </c>
      <c r="K1538" s="0" t="inlineStr">
        <is>
          <t>[0;34m info_datetimeoffset_dml_single_pk [0m源备字段数相同，源端字段：9 	备端字段9</t>
        </is>
      </c>
      <c r="W1538" s="0" t="inlineStr">
        <is>
          <t>YES 源备无差异</t>
        </is>
      </c>
      <c r="X1538" s="0">
        <f>A1538</f>
        <v/>
      </c>
    </row>
    <row r="1539">
      <c r="B1539" s="0" t="inlineStr">
        <is>
          <t>YES</t>
        </is>
      </c>
      <c r="C1539" s="0" t="inlineStr">
        <is>
          <t>NULL</t>
        </is>
      </c>
      <c r="D1539" s="0" t="inlineStr">
        <is>
          <t>NULL</t>
        </is>
      </c>
      <c r="E1539" s="0" t="inlineStr">
        <is>
          <t>NULL</t>
        </is>
      </c>
      <c r="F1539" s="0" t="inlineStr">
        <is>
          <t>NULL</t>
        </is>
      </c>
      <c r="G1539" s="0" t="inlineStr">
        <is>
          <t>NULL</t>
        </is>
      </c>
      <c r="H1539" s="0" t="inlineStr">
        <is>
          <t>NULL</t>
        </is>
      </c>
      <c r="I1539" s="0" t="inlineStr">
        <is>
          <t>YES!PK__info_dat__3213E83F4E94B57E</t>
        </is>
      </c>
      <c r="J1539" s="0" t="inlineStr">
        <is>
          <t>YES! 主键相关索引</t>
        </is>
      </c>
      <c r="K1539" s="0" t="inlineStr">
        <is>
          <t>YES! 	 id列源备映射正确，源端为int None位	期望更改为int	实际备端为int None位</t>
        </is>
      </c>
    </row>
    <row r="1540">
      <c r="B1540" s="0" t="inlineStr">
        <is>
          <t>NULL</t>
        </is>
      </c>
      <c r="C1540" s="0" t="inlineStr">
        <is>
          <t>NULL</t>
        </is>
      </c>
      <c r="D1540" s="0" t="inlineStr">
        <is>
          <t>NULL</t>
        </is>
      </c>
      <c r="E1540" s="0" t="inlineStr">
        <is>
          <t>NULL</t>
        </is>
      </c>
      <c r="F1540" s="0" t="inlineStr">
        <is>
          <t>NULL</t>
        </is>
      </c>
      <c r="G1540" s="0" t="inlineStr">
        <is>
          <t>NULL</t>
        </is>
      </c>
      <c r="H1540" s="0" t="inlineStr">
        <is>
          <t>NULL</t>
        </is>
      </c>
      <c r="I1540" s="0" t="inlineStr">
        <is>
          <t>NULL</t>
        </is>
      </c>
      <c r="J1540" s="0" t="inlineStr">
        <is>
          <t>NULL</t>
        </is>
      </c>
      <c r="K1540" s="0" t="inlineStr">
        <is>
          <t>[0;32m YES! [0m 	 c_dtoffset_0列源备映射正确，源端为datetimeoffset None位	期望更改为varchar(34)	实际备端为varchar 136位	位数精度不存在，通过长度比较</t>
        </is>
      </c>
    </row>
    <row r="1541">
      <c r="B1541" s="0" t="inlineStr">
        <is>
          <t>NULL</t>
        </is>
      </c>
      <c r="C1541" s="0" t="inlineStr">
        <is>
          <t>NULL</t>
        </is>
      </c>
      <c r="D1541" s="0" t="inlineStr">
        <is>
          <t>NULL</t>
        </is>
      </c>
      <c r="E1541" s="0" t="inlineStr">
        <is>
          <t>NULL</t>
        </is>
      </c>
      <c r="F1541" s="0" t="inlineStr">
        <is>
          <t>NULL</t>
        </is>
      </c>
      <c r="G1541" s="0" t="inlineStr">
        <is>
          <t>NULL</t>
        </is>
      </c>
      <c r="H1541" s="0" t="inlineStr">
        <is>
          <t>NULL</t>
        </is>
      </c>
      <c r="I1541" s="0" t="inlineStr">
        <is>
          <t>NULL</t>
        </is>
      </c>
      <c r="J1541" s="0" t="inlineStr">
        <is>
          <t>NULL</t>
        </is>
      </c>
      <c r="K1541" s="0" t="inlineStr">
        <is>
          <t>[0;32m YES! [0m 	 c_dtoffset_1列源备映射正确，源端为datetimeoffset None位	期望更改为varchar(34)	实际备端为varchar 136位	位数精度不存在，通过长度比较</t>
        </is>
      </c>
    </row>
    <row r="1542">
      <c r="B1542" s="0" t="inlineStr">
        <is>
          <t>NULL</t>
        </is>
      </c>
      <c r="C1542" s="0" t="inlineStr">
        <is>
          <t>NULL</t>
        </is>
      </c>
      <c r="D1542" s="0" t="inlineStr">
        <is>
          <t>NULL</t>
        </is>
      </c>
      <c r="E1542" s="0" t="inlineStr">
        <is>
          <t>NULL</t>
        </is>
      </c>
      <c r="F1542" s="0" t="inlineStr">
        <is>
          <t>NULL</t>
        </is>
      </c>
      <c r="G1542" s="0" t="inlineStr">
        <is>
          <t>NULL</t>
        </is>
      </c>
      <c r="H1542" s="0" t="inlineStr">
        <is>
          <t>NULL</t>
        </is>
      </c>
      <c r="I1542" s="0" t="inlineStr">
        <is>
          <t>NULL</t>
        </is>
      </c>
      <c r="J1542" s="0" t="inlineStr">
        <is>
          <t>NULL</t>
        </is>
      </c>
      <c r="K1542" s="0" t="inlineStr">
        <is>
          <t>[0;32m YES! [0m 	 c_dtoffset_2列源备映射正确，源端为datetimeoffset None位	期望更改为varchar(34)	实际备端为varchar 136位	位数精度不存在，通过长度比较</t>
        </is>
      </c>
    </row>
    <row r="1543">
      <c r="B1543" s="0" t="inlineStr">
        <is>
          <t>NULL</t>
        </is>
      </c>
      <c r="C1543" s="0" t="inlineStr">
        <is>
          <t>NULL</t>
        </is>
      </c>
      <c r="D1543" s="0" t="inlineStr">
        <is>
          <t>NULL</t>
        </is>
      </c>
      <c r="E1543" s="0" t="inlineStr">
        <is>
          <t>NULL</t>
        </is>
      </c>
      <c r="F1543" s="0" t="inlineStr">
        <is>
          <t>NULL</t>
        </is>
      </c>
      <c r="G1543" s="0" t="inlineStr">
        <is>
          <t>NULL</t>
        </is>
      </c>
      <c r="H1543" s="0" t="inlineStr">
        <is>
          <t>NULL</t>
        </is>
      </c>
      <c r="I1543" s="0" t="inlineStr">
        <is>
          <t>NULL</t>
        </is>
      </c>
      <c r="J1543" s="0" t="inlineStr">
        <is>
          <t>NULL</t>
        </is>
      </c>
      <c r="K1543" s="0" t="inlineStr">
        <is>
          <t>[0;32m YES! [0m 	 c_dtoffset_3列源备映射正确，源端为datetimeoffset None位	期望更改为varchar(34)	实际备端为varchar 136位	位数精度不存在，通过长度比较</t>
        </is>
      </c>
    </row>
    <row r="1544">
      <c r="B1544" s="0" t="inlineStr">
        <is>
          <t>NULL</t>
        </is>
      </c>
      <c r="C1544" s="0" t="inlineStr">
        <is>
          <t>NULL</t>
        </is>
      </c>
      <c r="D1544" s="0" t="inlineStr">
        <is>
          <t>NULL</t>
        </is>
      </c>
      <c r="E1544" s="0" t="inlineStr">
        <is>
          <t>NULL</t>
        </is>
      </c>
      <c r="F1544" s="0" t="inlineStr">
        <is>
          <t>NULL</t>
        </is>
      </c>
      <c r="G1544" s="0" t="inlineStr">
        <is>
          <t>NULL</t>
        </is>
      </c>
      <c r="H1544" s="0" t="inlineStr">
        <is>
          <t>NULL</t>
        </is>
      </c>
      <c r="I1544" s="0" t="inlineStr">
        <is>
          <t>NULL</t>
        </is>
      </c>
      <c r="J1544" s="0" t="inlineStr">
        <is>
          <t>NULL</t>
        </is>
      </c>
      <c r="K1544" s="0" t="inlineStr">
        <is>
          <t>[0;32m YES! [0m 	 c_dtoffset_4列源备映射正确，源端为datetimeoffset None位	期望更改为varchar(34)	实际备端为varchar 136位	位数精度不存在，通过长度比较</t>
        </is>
      </c>
    </row>
    <row r="1545">
      <c r="B1545" s="0" t="inlineStr">
        <is>
          <t>NULL</t>
        </is>
      </c>
      <c r="C1545" s="0" t="inlineStr">
        <is>
          <t>NULL</t>
        </is>
      </c>
      <c r="D1545" s="0" t="inlineStr">
        <is>
          <t>NULL</t>
        </is>
      </c>
      <c r="E1545" s="0" t="inlineStr">
        <is>
          <t>NULL</t>
        </is>
      </c>
      <c r="F1545" s="0" t="inlineStr">
        <is>
          <t>NULL</t>
        </is>
      </c>
      <c r="G1545" s="0" t="inlineStr">
        <is>
          <t>NULL</t>
        </is>
      </c>
      <c r="H1545" s="0" t="inlineStr">
        <is>
          <t>NULL</t>
        </is>
      </c>
      <c r="I1545" s="0" t="inlineStr">
        <is>
          <t>NULL</t>
        </is>
      </c>
      <c r="J1545" s="0" t="inlineStr">
        <is>
          <t>NULL</t>
        </is>
      </c>
      <c r="K1545" s="0" t="inlineStr">
        <is>
          <t>[0;32m YES! [0m 	 c_dtoffset_5列源备映射正确，源端为datetimeoffset None位	期望更改为varchar(34)	实际备端为varchar 136位	位数精度不存在，通过长度比较</t>
        </is>
      </c>
    </row>
    <row r="1546">
      <c r="B1546" s="0" t="inlineStr">
        <is>
          <t>NULL</t>
        </is>
      </c>
      <c r="C1546" s="0" t="inlineStr">
        <is>
          <t>NULL</t>
        </is>
      </c>
      <c r="D1546" s="0" t="inlineStr">
        <is>
          <t>NULL</t>
        </is>
      </c>
      <c r="E1546" s="0" t="inlineStr">
        <is>
          <t>NULL</t>
        </is>
      </c>
      <c r="F1546" s="0" t="inlineStr">
        <is>
          <t>NULL</t>
        </is>
      </c>
      <c r="G1546" s="0" t="inlineStr">
        <is>
          <t>NULL</t>
        </is>
      </c>
      <c r="H1546" s="0" t="inlineStr">
        <is>
          <t>NULL</t>
        </is>
      </c>
      <c r="I1546" s="0" t="inlineStr">
        <is>
          <t>NULL</t>
        </is>
      </c>
      <c r="J1546" s="0" t="inlineStr">
        <is>
          <t>NULL</t>
        </is>
      </c>
      <c r="K1546" s="0" t="inlineStr">
        <is>
          <t>[0;32m YES! [0m 	 c_dtoffset_6列源备映射正确，源端为datetimeoffset None位	期望更改为varchar(34)	实际备端为varchar 136位	位数精度不存在，通过长度比较</t>
        </is>
      </c>
    </row>
    <row r="1547">
      <c r="B1547" s="0" t="inlineStr">
        <is>
          <t>NULL</t>
        </is>
      </c>
      <c r="C1547" s="0" t="inlineStr">
        <is>
          <t>NULL</t>
        </is>
      </c>
      <c r="D1547" s="0" t="inlineStr">
        <is>
          <t>NULL</t>
        </is>
      </c>
      <c r="E1547" s="0" t="inlineStr">
        <is>
          <t>NULL</t>
        </is>
      </c>
      <c r="F1547" s="0" t="inlineStr">
        <is>
          <t>NULL</t>
        </is>
      </c>
      <c r="G1547" s="0" t="inlineStr">
        <is>
          <t>NULL</t>
        </is>
      </c>
      <c r="H1547" s="0" t="inlineStr">
        <is>
          <t>NULL</t>
        </is>
      </c>
      <c r="I1547" s="0" t="inlineStr">
        <is>
          <t>NULL</t>
        </is>
      </c>
      <c r="J1547" s="0" t="inlineStr">
        <is>
          <t>NULL</t>
        </is>
      </c>
      <c r="K1547" s="0" t="inlineStr">
        <is>
          <t>[0;32m YES! [0m 	 c_dtoffset列源备映射正确，源端为datetimeoffset None位	期望更改为varchar(34)	实际备端为varchar 136位	位数精度不存在，通过长度比较</t>
        </is>
      </c>
    </row>
    <row r="1548">
      <c r="A1548" s="0" t="inlineStr">
        <is>
          <t>info_datetimeoffset_dml_single_nopk_irp</t>
        </is>
      </c>
      <c r="K1548" s="0" t="inlineStr">
        <is>
          <t>[0;34m info_datetimeoffset_dml_single_nopk_irp [0m源备字段数相同，源端字段：9 	备端字段9</t>
        </is>
      </c>
      <c r="W1548" s="0" t="inlineStr">
        <is>
          <t>YES 源备无差异</t>
        </is>
      </c>
      <c r="X1548" s="0">
        <f>A1548</f>
        <v/>
      </c>
    </row>
    <row r="1549">
      <c r="B1549" s="0" t="inlineStr">
        <is>
          <t>NULL</t>
        </is>
      </c>
      <c r="C1549" s="0" t="inlineStr">
        <is>
          <t>NULL</t>
        </is>
      </c>
      <c r="D1549" s="0" t="inlineStr">
        <is>
          <t>NULL</t>
        </is>
      </c>
      <c r="E1549" s="0" t="inlineStr">
        <is>
          <t>NULL</t>
        </is>
      </c>
      <c r="F1549" s="0" t="inlineStr">
        <is>
          <t>NULL</t>
        </is>
      </c>
      <c r="G1549" s="0" t="inlineStr">
        <is>
          <t>NULL</t>
        </is>
      </c>
      <c r="H1549" s="0" t="inlineStr">
        <is>
          <t>NULL</t>
        </is>
      </c>
      <c r="I1549" s="0" t="inlineStr">
        <is>
          <t>NULL</t>
        </is>
      </c>
      <c r="J1549" s="0" t="inlineStr">
        <is>
          <t>NULL</t>
        </is>
      </c>
      <c r="K1549" s="0" t="inlineStr">
        <is>
          <t>YES! 	 id列源备映射正确，源端为int None位	期望更改为int	实际备端为int None位</t>
        </is>
      </c>
    </row>
    <row r="1550">
      <c r="B1550" s="0" t="inlineStr">
        <is>
          <t>NULL</t>
        </is>
      </c>
      <c r="C1550" s="0" t="inlineStr">
        <is>
          <t>NULL</t>
        </is>
      </c>
      <c r="D1550" s="0" t="inlineStr">
        <is>
          <t>NULL</t>
        </is>
      </c>
      <c r="E1550" s="0" t="inlineStr">
        <is>
          <t>NULL</t>
        </is>
      </c>
      <c r="F1550" s="0" t="inlineStr">
        <is>
          <t>NULL</t>
        </is>
      </c>
      <c r="G1550" s="0" t="inlineStr">
        <is>
          <t>NULL</t>
        </is>
      </c>
      <c r="H1550" s="0" t="inlineStr">
        <is>
          <t>NULL</t>
        </is>
      </c>
      <c r="I1550" s="0" t="inlineStr">
        <is>
          <t>NULL</t>
        </is>
      </c>
      <c r="J1550" s="0" t="inlineStr">
        <is>
          <t>NULL</t>
        </is>
      </c>
      <c r="K1550" s="0" t="inlineStr">
        <is>
          <t>[0;32m YES! [0m 	 c_dtoffset_0列源备映射正确，源端为datetimeoffset None位	期望更改为varchar(34)	实际备端为varchar 136位	位数精度不存在，通过长度比较</t>
        </is>
      </c>
    </row>
    <row r="1551">
      <c r="B1551" s="0" t="inlineStr">
        <is>
          <t>NULL</t>
        </is>
      </c>
      <c r="C1551" s="0" t="inlineStr">
        <is>
          <t>NULL</t>
        </is>
      </c>
      <c r="D1551" s="0" t="inlineStr">
        <is>
          <t>NULL</t>
        </is>
      </c>
      <c r="E1551" s="0" t="inlineStr">
        <is>
          <t>NULL</t>
        </is>
      </c>
      <c r="F1551" s="0" t="inlineStr">
        <is>
          <t>NULL</t>
        </is>
      </c>
      <c r="G1551" s="0" t="inlineStr">
        <is>
          <t>NULL</t>
        </is>
      </c>
      <c r="H1551" s="0" t="inlineStr">
        <is>
          <t>NULL</t>
        </is>
      </c>
      <c r="I1551" s="0" t="inlineStr">
        <is>
          <t>NULL</t>
        </is>
      </c>
      <c r="J1551" s="0" t="inlineStr">
        <is>
          <t>NULL</t>
        </is>
      </c>
      <c r="K1551" s="0" t="inlineStr">
        <is>
          <t>[0;32m YES! [0m 	 c_dtoffset_1列源备映射正确，源端为datetimeoffset None位	期望更改为varchar(34)	实际备端为varchar 136位	位数精度不存在，通过长度比较</t>
        </is>
      </c>
    </row>
    <row r="1552">
      <c r="B1552" s="0" t="inlineStr">
        <is>
          <t>NULL</t>
        </is>
      </c>
      <c r="C1552" s="0" t="inlineStr">
        <is>
          <t>NULL</t>
        </is>
      </c>
      <c r="D1552" s="0" t="inlineStr">
        <is>
          <t>NULL</t>
        </is>
      </c>
      <c r="E1552" s="0" t="inlineStr">
        <is>
          <t>NULL</t>
        </is>
      </c>
      <c r="F1552" s="0" t="inlineStr">
        <is>
          <t>NULL</t>
        </is>
      </c>
      <c r="G1552" s="0" t="inlineStr">
        <is>
          <t>NULL</t>
        </is>
      </c>
      <c r="H1552" s="0" t="inlineStr">
        <is>
          <t>NULL</t>
        </is>
      </c>
      <c r="I1552" s="0" t="inlineStr">
        <is>
          <t>NULL</t>
        </is>
      </c>
      <c r="J1552" s="0" t="inlineStr">
        <is>
          <t>NULL</t>
        </is>
      </c>
      <c r="K1552" s="0" t="inlineStr">
        <is>
          <t>[0;32m YES! [0m 	 c_dtoffset_2列源备映射正确，源端为datetimeoffset None位	期望更改为varchar(34)	实际备端为varchar 136位	位数精度不存在，通过长度比较</t>
        </is>
      </c>
    </row>
    <row r="1553">
      <c r="B1553" s="0" t="inlineStr">
        <is>
          <t>NULL</t>
        </is>
      </c>
      <c r="C1553" s="0" t="inlineStr">
        <is>
          <t>NULL</t>
        </is>
      </c>
      <c r="D1553" s="0" t="inlineStr">
        <is>
          <t>NULL</t>
        </is>
      </c>
      <c r="E1553" s="0" t="inlineStr">
        <is>
          <t>NULL</t>
        </is>
      </c>
      <c r="F1553" s="0" t="inlineStr">
        <is>
          <t>NULL</t>
        </is>
      </c>
      <c r="G1553" s="0" t="inlineStr">
        <is>
          <t>NULL</t>
        </is>
      </c>
      <c r="H1553" s="0" t="inlineStr">
        <is>
          <t>NULL</t>
        </is>
      </c>
      <c r="I1553" s="0" t="inlineStr">
        <is>
          <t>NULL</t>
        </is>
      </c>
      <c r="J1553" s="0" t="inlineStr">
        <is>
          <t>NULL</t>
        </is>
      </c>
      <c r="K1553" s="0" t="inlineStr">
        <is>
          <t>[0;32m YES! [0m 	 c_dtoffset_3列源备映射正确，源端为datetimeoffset None位	期望更改为varchar(34)	实际备端为varchar 136位	位数精度不存在，通过长度比较</t>
        </is>
      </c>
    </row>
    <row r="1554">
      <c r="B1554" s="0" t="inlineStr">
        <is>
          <t>NULL</t>
        </is>
      </c>
      <c r="C1554" s="0" t="inlineStr">
        <is>
          <t>NULL</t>
        </is>
      </c>
      <c r="D1554" s="0" t="inlineStr">
        <is>
          <t>NULL</t>
        </is>
      </c>
      <c r="E1554" s="0" t="inlineStr">
        <is>
          <t>NULL</t>
        </is>
      </c>
      <c r="F1554" s="0" t="inlineStr">
        <is>
          <t>NULL</t>
        </is>
      </c>
      <c r="G1554" s="0" t="inlineStr">
        <is>
          <t>NULL</t>
        </is>
      </c>
      <c r="H1554" s="0" t="inlineStr">
        <is>
          <t>NULL</t>
        </is>
      </c>
      <c r="I1554" s="0" t="inlineStr">
        <is>
          <t>NULL</t>
        </is>
      </c>
      <c r="J1554" s="0" t="inlineStr">
        <is>
          <t>NULL</t>
        </is>
      </c>
      <c r="K1554" s="0" t="inlineStr">
        <is>
          <t>[0;32m YES! [0m 	 c_dtoffset_4列源备映射正确，源端为datetimeoffset None位	期望更改为varchar(34)	实际备端为varchar 136位	位数精度不存在，通过长度比较</t>
        </is>
      </c>
    </row>
    <row r="1555">
      <c r="B1555" s="0" t="inlineStr">
        <is>
          <t>NULL</t>
        </is>
      </c>
      <c r="C1555" s="0" t="inlineStr">
        <is>
          <t>NULL</t>
        </is>
      </c>
      <c r="D1555" s="0" t="inlineStr">
        <is>
          <t>NULL</t>
        </is>
      </c>
      <c r="E1555" s="0" t="inlineStr">
        <is>
          <t>NULL</t>
        </is>
      </c>
      <c r="F1555" s="0" t="inlineStr">
        <is>
          <t>NULL</t>
        </is>
      </c>
      <c r="G1555" s="0" t="inlineStr">
        <is>
          <t>NULL</t>
        </is>
      </c>
      <c r="H1555" s="0" t="inlineStr">
        <is>
          <t>NULL</t>
        </is>
      </c>
      <c r="I1555" s="0" t="inlineStr">
        <is>
          <t>NULL</t>
        </is>
      </c>
      <c r="J1555" s="0" t="inlineStr">
        <is>
          <t>NULL</t>
        </is>
      </c>
      <c r="K1555" s="0" t="inlineStr">
        <is>
          <t>[0;32m YES! [0m 	 c_dtoffset_5列源备映射正确，源端为datetimeoffset None位	期望更改为varchar(34)	实际备端为varchar 136位	位数精度不存在，通过长度比较</t>
        </is>
      </c>
    </row>
    <row r="1556">
      <c r="B1556" s="0" t="inlineStr">
        <is>
          <t>NULL</t>
        </is>
      </c>
      <c r="C1556" s="0" t="inlineStr">
        <is>
          <t>NULL</t>
        </is>
      </c>
      <c r="D1556" s="0" t="inlineStr">
        <is>
          <t>NULL</t>
        </is>
      </c>
      <c r="E1556" s="0" t="inlineStr">
        <is>
          <t>NULL</t>
        </is>
      </c>
      <c r="F1556" s="0" t="inlineStr">
        <is>
          <t>NULL</t>
        </is>
      </c>
      <c r="G1556" s="0" t="inlineStr">
        <is>
          <t>NULL</t>
        </is>
      </c>
      <c r="H1556" s="0" t="inlineStr">
        <is>
          <t>NULL</t>
        </is>
      </c>
      <c r="I1556" s="0" t="inlineStr">
        <is>
          <t>NULL</t>
        </is>
      </c>
      <c r="J1556" s="0" t="inlineStr">
        <is>
          <t>NULL</t>
        </is>
      </c>
      <c r="K1556" s="0" t="inlineStr">
        <is>
          <t>[0;32m YES! [0m 	 c_dtoffset_6列源备映射正确，源端为datetimeoffset None位	期望更改为varchar(34)	实际备端为varchar 136位	位数精度不存在，通过长度比较</t>
        </is>
      </c>
    </row>
    <row r="1557">
      <c r="B1557" s="0" t="inlineStr">
        <is>
          <t>NULL</t>
        </is>
      </c>
      <c r="C1557" s="0" t="inlineStr">
        <is>
          <t>NO!源None备NUL</t>
        </is>
      </c>
      <c r="D1557" s="0" t="inlineStr">
        <is>
          <t>NULL</t>
        </is>
      </c>
      <c r="E1557" s="0" t="inlineStr">
        <is>
          <t>NULL</t>
        </is>
      </c>
      <c r="F1557" s="0" t="inlineStr">
        <is>
          <t>NULL</t>
        </is>
      </c>
      <c r="G1557" s="0" t="inlineStr">
        <is>
          <t>NULL</t>
        </is>
      </c>
      <c r="H1557" s="0" t="inlineStr">
        <is>
          <t>NULL</t>
        </is>
      </c>
      <c r="I1557" s="0" t="inlineStr">
        <is>
          <t>NULL</t>
        </is>
      </c>
      <c r="J1557" s="0" t="inlineStr">
        <is>
          <t>NULL</t>
        </is>
      </c>
      <c r="K1557" s="0" t="inlineStr">
        <is>
          <t>[0;32m YES! [0m 	 c_dtoffset列源备映射正确，源端为datetimeoffset None位	期望更改为varchar(34)	实际备端为varchar 136位	位数精度不存在，通过长度比较</t>
        </is>
      </c>
    </row>
    <row r="1558">
      <c r="A1558" s="0" t="inlineStr">
        <is>
          <t>info_varbinary_max_dml_single_nopk_urp</t>
        </is>
      </c>
      <c r="K1558" s="0" t="inlineStr">
        <is>
          <t>[0;34m info_varbinary_max_dml_single_nopk_urp [0m源备字段数相同，源端字段：4 	备端字段4</t>
        </is>
      </c>
      <c r="W1558" s="0" t="inlineStr">
        <is>
          <t>YES 源备无差异</t>
        </is>
      </c>
      <c r="X1558" s="0">
        <f>A1558</f>
        <v/>
      </c>
    </row>
    <row r="1559">
      <c r="B1559" s="0" t="inlineStr">
        <is>
          <t>NULL</t>
        </is>
      </c>
      <c r="C1559" s="0" t="inlineStr">
        <is>
          <t>NULL</t>
        </is>
      </c>
      <c r="D1559" s="0" t="inlineStr">
        <is>
          <t>NULL</t>
        </is>
      </c>
      <c r="E1559" s="0" t="inlineStr">
        <is>
          <t>NULL</t>
        </is>
      </c>
      <c r="F1559" s="0" t="inlineStr">
        <is>
          <t>NULL</t>
        </is>
      </c>
      <c r="G1559" s="0" t="inlineStr">
        <is>
          <t>NULL</t>
        </is>
      </c>
      <c r="H1559" s="0" t="inlineStr">
        <is>
          <t>NULL</t>
        </is>
      </c>
      <c r="I1559" s="0" t="inlineStr">
        <is>
          <t>NULL</t>
        </is>
      </c>
      <c r="J1559" s="0" t="inlineStr">
        <is>
          <t>NULL</t>
        </is>
      </c>
      <c r="K1559" s="0" t="inlineStr">
        <is>
          <t>YES! 	 id列源备映射正确，源端为int None位	期望更改为int	实际备端为int None位</t>
        </is>
      </c>
    </row>
    <row r="1560">
      <c r="B1560" s="0" t="inlineStr">
        <is>
          <t>NULL</t>
        </is>
      </c>
      <c r="C1560" s="0" t="inlineStr">
        <is>
          <t>NULL</t>
        </is>
      </c>
      <c r="D1560" s="0" t="inlineStr">
        <is>
          <t>NULL</t>
        </is>
      </c>
      <c r="E1560" s="0" t="inlineStr">
        <is>
          <t>NULL</t>
        </is>
      </c>
      <c r="F1560" s="0" t="inlineStr">
        <is>
          <t>NULL</t>
        </is>
      </c>
      <c r="G1560" s="0" t="inlineStr">
        <is>
          <t>NULL</t>
        </is>
      </c>
      <c r="H1560" s="0" t="inlineStr">
        <is>
          <t>NULL</t>
        </is>
      </c>
      <c r="I1560" s="0" t="inlineStr">
        <is>
          <t>NULL</t>
        </is>
      </c>
      <c r="J1560" s="0" t="inlineStr">
        <is>
          <t>NULL</t>
        </is>
      </c>
      <c r="K1560" s="0" t="inlineStr">
        <is>
          <t>YES! 	 c_varbinary_max1列源备映射正确，源端为varbinary -1位	期望更改为longblob	实际备端为longblob 4294967295位</t>
        </is>
      </c>
    </row>
    <row r="1561">
      <c r="B1561" s="0" t="inlineStr">
        <is>
          <t>NULL</t>
        </is>
      </c>
      <c r="C1561" s="0" t="inlineStr">
        <is>
          <t>NULL</t>
        </is>
      </c>
      <c r="D1561" s="0" t="inlineStr">
        <is>
          <t>NULL</t>
        </is>
      </c>
      <c r="E1561" s="0" t="inlineStr">
        <is>
          <t>NULL</t>
        </is>
      </c>
      <c r="F1561" s="0" t="inlineStr">
        <is>
          <t>NULL</t>
        </is>
      </c>
      <c r="G1561" s="0" t="inlineStr">
        <is>
          <t>NULL</t>
        </is>
      </c>
      <c r="H1561" s="0" t="inlineStr">
        <is>
          <t>NULL</t>
        </is>
      </c>
      <c r="I1561" s="0" t="inlineStr">
        <is>
          <t>NULL</t>
        </is>
      </c>
      <c r="J1561" s="0" t="inlineStr">
        <is>
          <t>NULL</t>
        </is>
      </c>
      <c r="K1561" s="0" t="inlineStr">
        <is>
          <t>YES! 	 c_varbinary_max2列源备映射正确，源端为varbinary -1位	期望更改为longblob	实际备端为longblob 4294967295位</t>
        </is>
      </c>
    </row>
    <row r="1562">
      <c r="B1562" s="0" t="inlineStr">
        <is>
          <t>NULL</t>
        </is>
      </c>
      <c r="C1562" s="0" t="inlineStr">
        <is>
          <t>NULL</t>
        </is>
      </c>
      <c r="D1562" s="0" t="inlineStr">
        <is>
          <t>NULL</t>
        </is>
      </c>
      <c r="E1562" s="0" t="inlineStr">
        <is>
          <t>NULL</t>
        </is>
      </c>
      <c r="F1562" s="0" t="inlineStr">
        <is>
          <t>NULL</t>
        </is>
      </c>
      <c r="G1562" s="0" t="inlineStr">
        <is>
          <t>NULL</t>
        </is>
      </c>
      <c r="H1562" s="0" t="inlineStr">
        <is>
          <t>NULL</t>
        </is>
      </c>
      <c r="I1562" s="0" t="inlineStr">
        <is>
          <t>NULL</t>
        </is>
      </c>
      <c r="J1562" s="0" t="inlineStr">
        <is>
          <t>NULL</t>
        </is>
      </c>
      <c r="K1562" s="0" t="inlineStr">
        <is>
          <t>YES! 	 c_image3列源备映射正确，源端为image 2147483647位	期望更改为longblob	实际备端为longblob 4294967295位</t>
        </is>
      </c>
    </row>
    <row r="1563">
      <c r="A1563" s="0" t="inlineStr">
        <is>
          <t>info_binary_dml_single_pk</t>
        </is>
      </c>
      <c r="K1563" s="0" t="inlineStr">
        <is>
          <t>[0;34m info_binary_dml_single_pk [0m源备字段数相同，源端字段：4 	备端字段4</t>
        </is>
      </c>
      <c r="W1563" s="0" t="inlineStr">
        <is>
          <t>YES 源备无差异</t>
        </is>
      </c>
      <c r="X1563" s="0">
        <f>A1563</f>
        <v/>
      </c>
    </row>
    <row r="1564">
      <c r="B1564" s="0" t="inlineStr">
        <is>
          <t>YES</t>
        </is>
      </c>
      <c r="C1564" s="0" t="inlineStr">
        <is>
          <t>NULL</t>
        </is>
      </c>
      <c r="D1564" s="0" t="inlineStr">
        <is>
          <t>NULL</t>
        </is>
      </c>
      <c r="E1564" s="0" t="inlineStr">
        <is>
          <t>NULL</t>
        </is>
      </c>
      <c r="F1564" s="0" t="inlineStr">
        <is>
          <t>NULL</t>
        </is>
      </c>
      <c r="G1564" s="0" t="inlineStr">
        <is>
          <t>NULL</t>
        </is>
      </c>
      <c r="H1564" s="0" t="inlineStr">
        <is>
          <t>NULL</t>
        </is>
      </c>
      <c r="I1564" s="0" t="inlineStr">
        <is>
          <t>YES!PK__info_bin__3213E83F4311331F</t>
        </is>
      </c>
      <c r="J1564" s="0" t="inlineStr">
        <is>
          <t>YES! 主键相关索引</t>
        </is>
      </c>
      <c r="K1564" s="0" t="inlineStr">
        <is>
          <t>YES! 	 id列源备映射正确，源端为int None位	期望更改为int	实际备端为int None位</t>
        </is>
      </c>
    </row>
    <row r="1565">
      <c r="B1565" s="0" t="inlineStr">
        <is>
          <t>NULL</t>
        </is>
      </c>
      <c r="C1565" s="0" t="inlineStr">
        <is>
          <t>NULL</t>
        </is>
      </c>
      <c r="D1565" s="0" t="inlineStr">
        <is>
          <t>NULL</t>
        </is>
      </c>
      <c r="E1565" s="0" t="inlineStr">
        <is>
          <t>NULL</t>
        </is>
      </c>
      <c r="F1565" s="0" t="inlineStr">
        <is>
          <t>NULL</t>
        </is>
      </c>
      <c r="G1565" s="0" t="inlineStr">
        <is>
          <t>NULL</t>
        </is>
      </c>
      <c r="H1565" s="0" t="inlineStr">
        <is>
          <t>NULL</t>
        </is>
      </c>
      <c r="I1565" s="0" t="inlineStr">
        <is>
          <t>NULL</t>
        </is>
      </c>
      <c r="J1565" s="0" t="inlineStr">
        <is>
          <t>NULL</t>
        </is>
      </c>
      <c r="K1565" s="0" t="inlineStr">
        <is>
          <t>YES! 	 c_binary列源备映射正确，源端为binary 1位	期望更改为binary(n)	实际备端为binary 1位</t>
        </is>
      </c>
    </row>
    <row r="1566">
      <c r="B1566" s="0" t="inlineStr">
        <is>
          <t>NULL</t>
        </is>
      </c>
      <c r="C1566" s="0" t="inlineStr">
        <is>
          <t>NULL</t>
        </is>
      </c>
      <c r="D1566" s="0" t="inlineStr">
        <is>
          <t>NULL</t>
        </is>
      </c>
      <c r="E1566" s="0" t="inlineStr">
        <is>
          <t>NULL</t>
        </is>
      </c>
      <c r="F1566" s="0" t="inlineStr">
        <is>
          <t>NULL</t>
        </is>
      </c>
      <c r="G1566" s="0" t="inlineStr">
        <is>
          <t>NULL</t>
        </is>
      </c>
      <c r="H1566" s="0" t="inlineStr">
        <is>
          <t>NULL</t>
        </is>
      </c>
      <c r="I1566" s="0" t="inlineStr">
        <is>
          <t>NULL</t>
        </is>
      </c>
      <c r="J1566" s="0" t="inlineStr">
        <is>
          <t>NULL</t>
        </is>
      </c>
      <c r="K1566" s="0" t="inlineStr">
        <is>
          <t>YES! 	 c_binary_20列源备映射正确，源端为binary 20位	期望更改为binary(n)	实际备端为binary 20位</t>
        </is>
      </c>
    </row>
    <row r="1567">
      <c r="B1567" s="0" t="inlineStr">
        <is>
          <t>NULL</t>
        </is>
      </c>
      <c r="C1567" s="0" t="inlineStr">
        <is>
          <t>NULL</t>
        </is>
      </c>
      <c r="D1567" s="0" t="inlineStr">
        <is>
          <t>NULL</t>
        </is>
      </c>
      <c r="E1567" s="0" t="inlineStr">
        <is>
          <t>NULL</t>
        </is>
      </c>
      <c r="F1567" s="0" t="inlineStr">
        <is>
          <t>NULL</t>
        </is>
      </c>
      <c r="G1567" s="0" t="inlineStr">
        <is>
          <t>NULL</t>
        </is>
      </c>
      <c r="H1567" s="0" t="inlineStr">
        <is>
          <t>NULL</t>
        </is>
      </c>
      <c r="I1567" s="0" t="inlineStr">
        <is>
          <t>NULL</t>
        </is>
      </c>
      <c r="J1567" s="0" t="inlineStr">
        <is>
          <t>NULL</t>
        </is>
      </c>
      <c r="K1567" s="0" t="inlineStr">
        <is>
          <t>YES! 	 c_binary_8000列源备映射正确，源端为binary 8000位	期望更改为longblob	实际备端为longblob 4294967295位</t>
        </is>
      </c>
    </row>
    <row r="1568">
      <c r="A1568" s="0" t="inlineStr">
        <is>
          <t>info_datetimeoffset_dml_single_nopk_urp</t>
        </is>
      </c>
      <c r="K1568" s="0" t="inlineStr">
        <is>
          <t>[0;34m info_datetimeoffset_dml_single_nopk_urp [0m源备字段数相同，源端字段：9 	备端字段9</t>
        </is>
      </c>
      <c r="W1568" s="0" t="inlineStr">
        <is>
          <t>YES 源备无差异</t>
        </is>
      </c>
      <c r="X1568" s="0">
        <f>A1568</f>
        <v/>
      </c>
    </row>
    <row r="1569">
      <c r="B1569" s="0" t="inlineStr">
        <is>
          <t>NULL</t>
        </is>
      </c>
      <c r="C1569" s="0" t="inlineStr">
        <is>
          <t>NULL</t>
        </is>
      </c>
      <c r="D1569" s="0" t="inlineStr">
        <is>
          <t>NULL</t>
        </is>
      </c>
      <c r="E1569" s="0" t="inlineStr">
        <is>
          <t>NULL</t>
        </is>
      </c>
      <c r="F1569" s="0" t="inlineStr">
        <is>
          <t>NULL</t>
        </is>
      </c>
      <c r="G1569" s="0" t="inlineStr">
        <is>
          <t>NULL</t>
        </is>
      </c>
      <c r="H1569" s="0" t="inlineStr">
        <is>
          <t>NULL</t>
        </is>
      </c>
      <c r="I1569" s="0" t="inlineStr">
        <is>
          <t>NULL</t>
        </is>
      </c>
      <c r="J1569" s="0" t="inlineStr">
        <is>
          <t>NULL</t>
        </is>
      </c>
      <c r="K1569" s="0" t="inlineStr">
        <is>
          <t>YES! 	 id列源备映射正确，源端为int None位	期望更改为int	实际备端为int None位</t>
        </is>
      </c>
    </row>
    <row r="1570">
      <c r="B1570" s="0" t="inlineStr">
        <is>
          <t>NULL</t>
        </is>
      </c>
      <c r="C1570" s="0" t="inlineStr">
        <is>
          <t>NULL</t>
        </is>
      </c>
      <c r="D1570" s="0" t="inlineStr">
        <is>
          <t>NULL</t>
        </is>
      </c>
      <c r="E1570" s="0" t="inlineStr">
        <is>
          <t>NULL</t>
        </is>
      </c>
      <c r="F1570" s="0" t="inlineStr">
        <is>
          <t>NULL</t>
        </is>
      </c>
      <c r="G1570" s="0" t="inlineStr">
        <is>
          <t>NULL</t>
        </is>
      </c>
      <c r="H1570" s="0" t="inlineStr">
        <is>
          <t>NULL</t>
        </is>
      </c>
      <c r="I1570" s="0" t="inlineStr">
        <is>
          <t>NULL</t>
        </is>
      </c>
      <c r="J1570" s="0" t="inlineStr">
        <is>
          <t>NULL</t>
        </is>
      </c>
      <c r="K1570" s="0" t="inlineStr">
        <is>
          <t>[0;32m YES! [0m 	 c_dtoffset_0列源备映射正确，源端为datetimeoffset None位	期望更改为varchar(34)	实际备端为varchar 136位	位数精度不存在，通过长度比较</t>
        </is>
      </c>
    </row>
    <row r="1571">
      <c r="B1571" s="0" t="inlineStr">
        <is>
          <t>NULL</t>
        </is>
      </c>
      <c r="C1571" s="0" t="inlineStr">
        <is>
          <t>NULL</t>
        </is>
      </c>
      <c r="D1571" s="0" t="inlineStr">
        <is>
          <t>NULL</t>
        </is>
      </c>
      <c r="E1571" s="0" t="inlineStr">
        <is>
          <t>NULL</t>
        </is>
      </c>
      <c r="F1571" s="0" t="inlineStr">
        <is>
          <t>NULL</t>
        </is>
      </c>
      <c r="G1571" s="0" t="inlineStr">
        <is>
          <t>NULL</t>
        </is>
      </c>
      <c r="H1571" s="0" t="inlineStr">
        <is>
          <t>NULL</t>
        </is>
      </c>
      <c r="I1571" s="0" t="inlineStr">
        <is>
          <t>NULL</t>
        </is>
      </c>
      <c r="J1571" s="0" t="inlineStr">
        <is>
          <t>NULL</t>
        </is>
      </c>
      <c r="K1571" s="0" t="inlineStr">
        <is>
          <t>[0;32m YES! [0m 	 c_dtoffset_1列源备映射正确，源端为datetimeoffset None位	期望更改为varchar(34)	实际备端为varchar 136位	位数精度不存在，通过长度比较</t>
        </is>
      </c>
    </row>
    <row r="1572">
      <c r="B1572" s="0" t="inlineStr">
        <is>
          <t>NULL</t>
        </is>
      </c>
      <c r="C1572" s="0" t="inlineStr">
        <is>
          <t>NULL</t>
        </is>
      </c>
      <c r="D1572" s="0" t="inlineStr">
        <is>
          <t>NULL</t>
        </is>
      </c>
      <c r="E1572" s="0" t="inlineStr">
        <is>
          <t>NULL</t>
        </is>
      </c>
      <c r="F1572" s="0" t="inlineStr">
        <is>
          <t>NULL</t>
        </is>
      </c>
      <c r="G1572" s="0" t="inlineStr">
        <is>
          <t>NULL</t>
        </is>
      </c>
      <c r="H1572" s="0" t="inlineStr">
        <is>
          <t>NULL</t>
        </is>
      </c>
      <c r="I1572" s="0" t="inlineStr">
        <is>
          <t>NULL</t>
        </is>
      </c>
      <c r="J1572" s="0" t="inlineStr">
        <is>
          <t>NULL</t>
        </is>
      </c>
      <c r="K1572" s="0" t="inlineStr">
        <is>
          <t>[0;32m YES! [0m 	 c_dtoffset_2列源备映射正确，源端为datetimeoffset None位	期望更改为varchar(34)	实际备端为varchar 136位	位数精度不存在，通过长度比较</t>
        </is>
      </c>
    </row>
    <row r="1573">
      <c r="B1573" s="0" t="inlineStr">
        <is>
          <t>NULL</t>
        </is>
      </c>
      <c r="C1573" s="0" t="inlineStr">
        <is>
          <t>NULL</t>
        </is>
      </c>
      <c r="D1573" s="0" t="inlineStr">
        <is>
          <t>NULL</t>
        </is>
      </c>
      <c r="E1573" s="0" t="inlineStr">
        <is>
          <t>NULL</t>
        </is>
      </c>
      <c r="F1573" s="0" t="inlineStr">
        <is>
          <t>NULL</t>
        </is>
      </c>
      <c r="G1573" s="0" t="inlineStr">
        <is>
          <t>NULL</t>
        </is>
      </c>
      <c r="H1573" s="0" t="inlineStr">
        <is>
          <t>NULL</t>
        </is>
      </c>
      <c r="I1573" s="0" t="inlineStr">
        <is>
          <t>NULL</t>
        </is>
      </c>
      <c r="J1573" s="0" t="inlineStr">
        <is>
          <t>NULL</t>
        </is>
      </c>
      <c r="K1573" s="0" t="inlineStr">
        <is>
          <t>[0;32m YES! [0m 	 c_dtoffset_3列源备映射正确，源端为datetimeoffset None位	期望更改为varchar(34)	实际备端为varchar 136位	位数精度不存在，通过长度比较</t>
        </is>
      </c>
    </row>
    <row r="1574">
      <c r="B1574" s="0" t="inlineStr">
        <is>
          <t>NULL</t>
        </is>
      </c>
      <c r="C1574" s="0" t="inlineStr">
        <is>
          <t>NULL</t>
        </is>
      </c>
      <c r="D1574" s="0" t="inlineStr">
        <is>
          <t>NULL</t>
        </is>
      </c>
      <c r="E1574" s="0" t="inlineStr">
        <is>
          <t>NULL</t>
        </is>
      </c>
      <c r="F1574" s="0" t="inlineStr">
        <is>
          <t>NULL</t>
        </is>
      </c>
      <c r="G1574" s="0" t="inlineStr">
        <is>
          <t>NULL</t>
        </is>
      </c>
      <c r="H1574" s="0" t="inlineStr">
        <is>
          <t>NULL</t>
        </is>
      </c>
      <c r="I1574" s="0" t="inlineStr">
        <is>
          <t>NULL</t>
        </is>
      </c>
      <c r="J1574" s="0" t="inlineStr">
        <is>
          <t>NULL</t>
        </is>
      </c>
      <c r="K1574" s="0" t="inlineStr">
        <is>
          <t>[0;32m YES! [0m 	 c_dtoffset_4列源备映射正确，源端为datetimeoffset None位	期望更改为varchar(34)	实际备端为varchar 136位	位数精度不存在，通过长度比较</t>
        </is>
      </c>
    </row>
    <row r="1575">
      <c r="B1575" s="0" t="inlineStr">
        <is>
          <t>NULL</t>
        </is>
      </c>
      <c r="C1575" s="0" t="inlineStr">
        <is>
          <t>NULL</t>
        </is>
      </c>
      <c r="D1575" s="0" t="inlineStr">
        <is>
          <t>NULL</t>
        </is>
      </c>
      <c r="E1575" s="0" t="inlineStr">
        <is>
          <t>NULL</t>
        </is>
      </c>
      <c r="F1575" s="0" t="inlineStr">
        <is>
          <t>NULL</t>
        </is>
      </c>
      <c r="G1575" s="0" t="inlineStr">
        <is>
          <t>NULL</t>
        </is>
      </c>
      <c r="H1575" s="0" t="inlineStr">
        <is>
          <t>NULL</t>
        </is>
      </c>
      <c r="I1575" s="0" t="inlineStr">
        <is>
          <t>NULL</t>
        </is>
      </c>
      <c r="J1575" s="0" t="inlineStr">
        <is>
          <t>NULL</t>
        </is>
      </c>
      <c r="K1575" s="0" t="inlineStr">
        <is>
          <t>[0;32m YES! [0m 	 c_dtoffset_5列源备映射正确，源端为datetimeoffset None位	期望更改为varchar(34)	实际备端为varchar 136位	位数精度不存在，通过长度比较</t>
        </is>
      </c>
    </row>
    <row r="1576">
      <c r="B1576" s="0" t="inlineStr">
        <is>
          <t>NULL</t>
        </is>
      </c>
      <c r="C1576" s="0" t="inlineStr">
        <is>
          <t>NULL</t>
        </is>
      </c>
      <c r="D1576" s="0" t="inlineStr">
        <is>
          <t>NULL</t>
        </is>
      </c>
      <c r="E1576" s="0" t="inlineStr">
        <is>
          <t>NULL</t>
        </is>
      </c>
      <c r="F1576" s="0" t="inlineStr">
        <is>
          <t>NULL</t>
        </is>
      </c>
      <c r="G1576" s="0" t="inlineStr">
        <is>
          <t>NULL</t>
        </is>
      </c>
      <c r="H1576" s="0" t="inlineStr">
        <is>
          <t>NULL</t>
        </is>
      </c>
      <c r="I1576" s="0" t="inlineStr">
        <is>
          <t>NULL</t>
        </is>
      </c>
      <c r="J1576" s="0" t="inlineStr">
        <is>
          <t>NULL</t>
        </is>
      </c>
      <c r="K1576" s="0" t="inlineStr">
        <is>
          <t>[0;32m YES! [0m 	 c_dtoffset_6列源备映射正确，源端为datetimeoffset None位	期望更改为varchar(34)	实际备端为varchar 136位	位数精度不存在，通过长度比较</t>
        </is>
      </c>
    </row>
    <row r="1577">
      <c r="B1577" s="0" t="inlineStr">
        <is>
          <t>NULL</t>
        </is>
      </c>
      <c r="C1577" s="0" t="inlineStr">
        <is>
          <t>NO!源None备NUL</t>
        </is>
      </c>
      <c r="D1577" s="0" t="inlineStr">
        <is>
          <t>NULL</t>
        </is>
      </c>
      <c r="E1577" s="0" t="inlineStr">
        <is>
          <t>NULL</t>
        </is>
      </c>
      <c r="F1577" s="0" t="inlineStr">
        <is>
          <t>NULL</t>
        </is>
      </c>
      <c r="G1577" s="0" t="inlineStr">
        <is>
          <t>NULL</t>
        </is>
      </c>
      <c r="H1577" s="0" t="inlineStr">
        <is>
          <t>NULL</t>
        </is>
      </c>
      <c r="I1577" s="0" t="inlineStr">
        <is>
          <t>NULL</t>
        </is>
      </c>
      <c r="J1577" s="0" t="inlineStr">
        <is>
          <t>NULL</t>
        </is>
      </c>
      <c r="K1577" s="0" t="inlineStr">
        <is>
          <t>[0;32m YES! [0m 	 c_dtoffset列源备映射正确，源端为datetimeoffset None位	期望更改为varchar(34)	实际备端为varchar 136位	位数精度不存在，通过长度比较</t>
        </is>
      </c>
    </row>
    <row r="1578">
      <c r="A1578" s="0" t="inlineStr">
        <is>
          <t>info_varcharmax_dml_batch1_pk_drp1</t>
        </is>
      </c>
      <c r="K1578" s="0" t="inlineStr">
        <is>
          <t>[0;34m info_varcharmax_dml_batch1_pk_drp1 [0m源备字段数相同，源端字段：3 	备端字段3</t>
        </is>
      </c>
      <c r="W1578" s="0" t="inlineStr">
        <is>
          <t>YES 源备无差异</t>
        </is>
      </c>
      <c r="X1578" s="0">
        <f>A1578</f>
        <v/>
      </c>
    </row>
    <row r="1579">
      <c r="B1579" s="0" t="inlineStr">
        <is>
          <t>YES</t>
        </is>
      </c>
      <c r="C1579" s="0" t="inlineStr">
        <is>
          <t>NULL</t>
        </is>
      </c>
      <c r="D1579" s="0" t="inlineStr">
        <is>
          <t>NULL</t>
        </is>
      </c>
      <c r="E1579" s="0" t="inlineStr">
        <is>
          <t>NULL</t>
        </is>
      </c>
      <c r="F1579" s="0" t="inlineStr">
        <is>
          <t>NULL</t>
        </is>
      </c>
      <c r="G1579" s="0" t="inlineStr">
        <is>
          <t>NULL</t>
        </is>
      </c>
      <c r="H1579" s="0" t="inlineStr">
        <is>
          <t>NULL</t>
        </is>
      </c>
      <c r="I1579" s="0" t="inlineStr">
        <is>
          <t>YES!PK__info_var__3213E83FE68E1CD5</t>
        </is>
      </c>
      <c r="J1579" s="0" t="inlineStr">
        <is>
          <t>YES! 主键相关索引</t>
        </is>
      </c>
      <c r="K1579" s="0" t="inlineStr">
        <is>
          <t>YES! 	 id列源备映射正确，源端为int None位	期望更改为int	实际备端为int None位</t>
        </is>
      </c>
    </row>
    <row r="1580">
      <c r="B1580" s="0" t="inlineStr">
        <is>
          <t>NULL</t>
        </is>
      </c>
      <c r="C1580" s="0" t="inlineStr">
        <is>
          <t>NULL</t>
        </is>
      </c>
      <c r="D1580" s="0" t="inlineStr">
        <is>
          <t>NULL</t>
        </is>
      </c>
      <c r="E1580" s="0" t="inlineStr">
        <is>
          <t>NULL</t>
        </is>
      </c>
      <c r="F1580" s="0" t="inlineStr">
        <is>
          <t>NULL</t>
        </is>
      </c>
      <c r="G1580" s="0" t="inlineStr">
        <is>
          <t>NULL</t>
        </is>
      </c>
      <c r="H1580" s="0" t="inlineStr">
        <is>
          <t>NULL</t>
        </is>
      </c>
      <c r="I1580" s="0" t="inlineStr">
        <is>
          <t>NULL</t>
        </is>
      </c>
      <c r="J1580" s="0" t="inlineStr">
        <is>
          <t>NULL</t>
        </is>
      </c>
      <c r="K1580" s="0" t="inlineStr">
        <is>
          <t>YES! 	 c_varchar_max列源备映射正确，源端为varchar -1位	期望更改为longtext	实际备端为longtext 4294967295位</t>
        </is>
      </c>
    </row>
    <row r="1581">
      <c r="B1581" s="0" t="inlineStr">
        <is>
          <t>NULL</t>
        </is>
      </c>
      <c r="C1581" s="0" t="inlineStr">
        <is>
          <t>NULL</t>
        </is>
      </c>
      <c r="D1581" s="0" t="inlineStr">
        <is>
          <t>NULL</t>
        </is>
      </c>
      <c r="E1581" s="0" t="inlineStr">
        <is>
          <t>NULL</t>
        </is>
      </c>
      <c r="F1581" s="0" t="inlineStr">
        <is>
          <t>NULL</t>
        </is>
      </c>
      <c r="G1581" s="0" t="inlineStr">
        <is>
          <t>NULL</t>
        </is>
      </c>
      <c r="H1581" s="0" t="inlineStr">
        <is>
          <t>NULL</t>
        </is>
      </c>
      <c r="I1581" s="0" t="inlineStr">
        <is>
          <t>NULL</t>
        </is>
      </c>
      <c r="J1581" s="0" t="inlineStr">
        <is>
          <t>NULL</t>
        </is>
      </c>
      <c r="K1581" s="0" t="inlineStr">
        <is>
          <t>YES! 	 c_nvarchar_max列源备映射正确，源端为nvarchar -1位	期望更改为longtext	实际备端为longtext 4294967295位</t>
        </is>
      </c>
    </row>
    <row r="1582">
      <c r="K1582" s="0" t="inlineStr">
        <is>
          <t>~ 空表</t>
        </is>
      </c>
    </row>
    <row r="1583">
      <c r="A1583" s="0" t="inlineStr">
        <is>
          <t>info_timestamp_dml_single_pk_irp</t>
        </is>
      </c>
      <c r="K1583" s="0" t="inlineStr">
        <is>
          <t>[0;34m info_timestamp_dml_single_pk_irp [0m源备字段数相同，源端字段：2 	备端字段2</t>
        </is>
      </c>
      <c r="W1583" s="0" t="inlineStr">
        <is>
          <t>YES 源备无差异</t>
        </is>
      </c>
      <c r="X1583" s="0">
        <f>A1583</f>
        <v/>
      </c>
    </row>
    <row r="1584">
      <c r="B1584" s="0" t="inlineStr">
        <is>
          <t>YES</t>
        </is>
      </c>
      <c r="C1584" s="0" t="inlineStr">
        <is>
          <t>NULL</t>
        </is>
      </c>
      <c r="D1584" s="0" t="inlineStr">
        <is>
          <t>NULL</t>
        </is>
      </c>
      <c r="E1584" s="0" t="inlineStr">
        <is>
          <t>NULL</t>
        </is>
      </c>
      <c r="F1584" s="0" t="inlineStr">
        <is>
          <t>NULL</t>
        </is>
      </c>
      <c r="G1584" s="0" t="inlineStr">
        <is>
          <t>NULL</t>
        </is>
      </c>
      <c r="H1584" s="0" t="inlineStr">
        <is>
          <t>NULL</t>
        </is>
      </c>
      <c r="I1584" s="0" t="inlineStr">
        <is>
          <t>YES!PK__info_tim__3213E83F0A74409F</t>
        </is>
      </c>
      <c r="J1584" s="0" t="inlineStr">
        <is>
          <t>YES! 主键相关索引</t>
        </is>
      </c>
      <c r="K1584" s="0" t="inlineStr">
        <is>
          <t>YES! 	 id列源备映射正确，源端为int None位	期望更改为int	实际备端为int None位</t>
        </is>
      </c>
    </row>
    <row r="1585">
      <c r="B1585" s="0" t="inlineStr">
        <is>
          <t>NULL</t>
        </is>
      </c>
      <c r="C1585" s="0" t="inlineStr">
        <is>
          <t>NULL</t>
        </is>
      </c>
      <c r="D1585" s="0" t="inlineStr">
        <is>
          <t>NULL</t>
        </is>
      </c>
      <c r="E1585" s="0" t="inlineStr">
        <is>
          <t>NULL</t>
        </is>
      </c>
      <c r="F1585" s="0" t="inlineStr">
        <is>
          <t>NULL</t>
        </is>
      </c>
      <c r="G1585" s="0" t="inlineStr">
        <is>
          <t>NULL</t>
        </is>
      </c>
      <c r="H1585" s="0" t="inlineStr">
        <is>
          <t>NULL</t>
        </is>
      </c>
      <c r="I1585" s="0" t="inlineStr">
        <is>
          <t>NULL</t>
        </is>
      </c>
      <c r="J1585" s="0" t="inlineStr">
        <is>
          <t>NULL</t>
        </is>
      </c>
      <c r="K1585" s="0" t="inlineStr">
        <is>
          <t>[0;32m YES! [0m 	 c_tiemstamp列源备映射正确，源端为timestamp None位	期望更改为binary(8)	实际备端为binary 8位	位数精度不存在，通过长度比较</t>
        </is>
      </c>
    </row>
    <row r="1586">
      <c r="A1586" s="0" t="inlineStr">
        <is>
          <t>info_datetimeoffset_dml_single_nopk_drp</t>
        </is>
      </c>
      <c r="K1586" s="0" t="inlineStr">
        <is>
          <t>[0;34m info_datetimeoffset_dml_single_nopk_drp [0m源备字段数相同，源端字段：9 	备端字段9</t>
        </is>
      </c>
      <c r="W1586" s="0" t="inlineStr">
        <is>
          <t>YES 源备无差异</t>
        </is>
      </c>
      <c r="X1586" s="0">
        <f>A1586</f>
        <v/>
      </c>
    </row>
    <row r="1587">
      <c r="B1587" s="0" t="inlineStr">
        <is>
          <t>NULL</t>
        </is>
      </c>
      <c r="C1587" s="0" t="inlineStr">
        <is>
          <t>NULL</t>
        </is>
      </c>
      <c r="D1587" s="0" t="inlineStr">
        <is>
          <t>NULL</t>
        </is>
      </c>
      <c r="E1587" s="0" t="inlineStr">
        <is>
          <t>NULL</t>
        </is>
      </c>
      <c r="F1587" s="0" t="inlineStr">
        <is>
          <t>NULL</t>
        </is>
      </c>
      <c r="G1587" s="0" t="inlineStr">
        <is>
          <t>NULL</t>
        </is>
      </c>
      <c r="H1587" s="0" t="inlineStr">
        <is>
          <t>NULL</t>
        </is>
      </c>
      <c r="I1587" s="0" t="inlineStr">
        <is>
          <t>NULL</t>
        </is>
      </c>
      <c r="J1587" s="0" t="inlineStr">
        <is>
          <t>NULL</t>
        </is>
      </c>
      <c r="K1587" s="0" t="inlineStr">
        <is>
          <t>YES! 	 id列源备映射正确，源端为int None位	期望更改为int	实际备端为int None位</t>
        </is>
      </c>
    </row>
    <row r="1588">
      <c r="B1588" s="0" t="inlineStr">
        <is>
          <t>NULL</t>
        </is>
      </c>
      <c r="C1588" s="0" t="inlineStr">
        <is>
          <t>NULL</t>
        </is>
      </c>
      <c r="D1588" s="0" t="inlineStr">
        <is>
          <t>NULL</t>
        </is>
      </c>
      <c r="E1588" s="0" t="inlineStr">
        <is>
          <t>NULL</t>
        </is>
      </c>
      <c r="F1588" s="0" t="inlineStr">
        <is>
          <t>NULL</t>
        </is>
      </c>
      <c r="G1588" s="0" t="inlineStr">
        <is>
          <t>NULL</t>
        </is>
      </c>
      <c r="H1588" s="0" t="inlineStr">
        <is>
          <t>NULL</t>
        </is>
      </c>
      <c r="I1588" s="0" t="inlineStr">
        <is>
          <t>NULL</t>
        </is>
      </c>
      <c r="J1588" s="0" t="inlineStr">
        <is>
          <t>NULL</t>
        </is>
      </c>
      <c r="K1588" s="0" t="inlineStr">
        <is>
          <t>[0;32m YES! [0m 	 c_dtoffset_0列源备映射正确，源端为datetimeoffset None位	期望更改为varchar(34)	实际备端为varchar 136位	位数精度不存在，通过长度比较</t>
        </is>
      </c>
    </row>
    <row r="1589">
      <c r="B1589" s="0" t="inlineStr">
        <is>
          <t>NULL</t>
        </is>
      </c>
      <c r="C1589" s="0" t="inlineStr">
        <is>
          <t>NULL</t>
        </is>
      </c>
      <c r="D1589" s="0" t="inlineStr">
        <is>
          <t>NULL</t>
        </is>
      </c>
      <c r="E1589" s="0" t="inlineStr">
        <is>
          <t>NULL</t>
        </is>
      </c>
      <c r="F1589" s="0" t="inlineStr">
        <is>
          <t>NULL</t>
        </is>
      </c>
      <c r="G1589" s="0" t="inlineStr">
        <is>
          <t>NULL</t>
        </is>
      </c>
      <c r="H1589" s="0" t="inlineStr">
        <is>
          <t>NULL</t>
        </is>
      </c>
      <c r="I1589" s="0" t="inlineStr">
        <is>
          <t>NULL</t>
        </is>
      </c>
      <c r="J1589" s="0" t="inlineStr">
        <is>
          <t>NULL</t>
        </is>
      </c>
      <c r="K1589" s="0" t="inlineStr">
        <is>
          <t>[0;32m YES! [0m 	 c_dtoffset_1列源备映射正确，源端为datetimeoffset None位	期望更改为varchar(34)	实际备端为varchar 136位	位数精度不存在，通过长度比较</t>
        </is>
      </c>
    </row>
    <row r="1590">
      <c r="B1590" s="0" t="inlineStr">
        <is>
          <t>NULL</t>
        </is>
      </c>
      <c r="C1590" s="0" t="inlineStr">
        <is>
          <t>NULL</t>
        </is>
      </c>
      <c r="D1590" s="0" t="inlineStr">
        <is>
          <t>NULL</t>
        </is>
      </c>
      <c r="E1590" s="0" t="inlineStr">
        <is>
          <t>NULL</t>
        </is>
      </c>
      <c r="F1590" s="0" t="inlineStr">
        <is>
          <t>NULL</t>
        </is>
      </c>
      <c r="G1590" s="0" t="inlineStr">
        <is>
          <t>NULL</t>
        </is>
      </c>
      <c r="H1590" s="0" t="inlineStr">
        <is>
          <t>NULL</t>
        </is>
      </c>
      <c r="I1590" s="0" t="inlineStr">
        <is>
          <t>NULL</t>
        </is>
      </c>
      <c r="J1590" s="0" t="inlineStr">
        <is>
          <t>NULL</t>
        </is>
      </c>
      <c r="K1590" s="0" t="inlineStr">
        <is>
          <t>[0;32m YES! [0m 	 c_dtoffset_2列源备映射正确，源端为datetimeoffset None位	期望更改为varchar(34)	实际备端为varchar 136位	位数精度不存在，通过长度比较</t>
        </is>
      </c>
    </row>
    <row r="1591">
      <c r="B1591" s="0" t="inlineStr">
        <is>
          <t>NULL</t>
        </is>
      </c>
      <c r="C1591" s="0" t="inlineStr">
        <is>
          <t>NULL</t>
        </is>
      </c>
      <c r="D1591" s="0" t="inlineStr">
        <is>
          <t>NULL</t>
        </is>
      </c>
      <c r="E1591" s="0" t="inlineStr">
        <is>
          <t>NULL</t>
        </is>
      </c>
      <c r="F1591" s="0" t="inlineStr">
        <is>
          <t>NULL</t>
        </is>
      </c>
      <c r="G1591" s="0" t="inlineStr">
        <is>
          <t>NULL</t>
        </is>
      </c>
      <c r="H1591" s="0" t="inlineStr">
        <is>
          <t>NULL</t>
        </is>
      </c>
      <c r="I1591" s="0" t="inlineStr">
        <is>
          <t>NULL</t>
        </is>
      </c>
      <c r="J1591" s="0" t="inlineStr">
        <is>
          <t>NULL</t>
        </is>
      </c>
      <c r="K1591" s="0" t="inlineStr">
        <is>
          <t>[0;32m YES! [0m 	 c_dtoffset_3列源备映射正确，源端为datetimeoffset None位	期望更改为varchar(34)	实际备端为varchar 136位	位数精度不存在，通过长度比较</t>
        </is>
      </c>
    </row>
    <row r="1592">
      <c r="B1592" s="0" t="inlineStr">
        <is>
          <t>NULL</t>
        </is>
      </c>
      <c r="C1592" s="0" t="inlineStr">
        <is>
          <t>NULL</t>
        </is>
      </c>
      <c r="D1592" s="0" t="inlineStr">
        <is>
          <t>NULL</t>
        </is>
      </c>
      <c r="E1592" s="0" t="inlineStr">
        <is>
          <t>NULL</t>
        </is>
      </c>
      <c r="F1592" s="0" t="inlineStr">
        <is>
          <t>NULL</t>
        </is>
      </c>
      <c r="G1592" s="0" t="inlineStr">
        <is>
          <t>NULL</t>
        </is>
      </c>
      <c r="H1592" s="0" t="inlineStr">
        <is>
          <t>NULL</t>
        </is>
      </c>
      <c r="I1592" s="0" t="inlineStr">
        <is>
          <t>NULL</t>
        </is>
      </c>
      <c r="J1592" s="0" t="inlineStr">
        <is>
          <t>NULL</t>
        </is>
      </c>
      <c r="K1592" s="0" t="inlineStr">
        <is>
          <t>[0;32m YES! [0m 	 c_dtoffset_4列源备映射正确，源端为datetimeoffset None位	期望更改为varchar(34)	实际备端为varchar 136位	位数精度不存在，通过长度比较</t>
        </is>
      </c>
    </row>
    <row r="1593">
      <c r="B1593" s="0" t="inlineStr">
        <is>
          <t>NULL</t>
        </is>
      </c>
      <c r="C1593" s="0" t="inlineStr">
        <is>
          <t>NULL</t>
        </is>
      </c>
      <c r="D1593" s="0" t="inlineStr">
        <is>
          <t>NULL</t>
        </is>
      </c>
      <c r="E1593" s="0" t="inlineStr">
        <is>
          <t>NULL</t>
        </is>
      </c>
      <c r="F1593" s="0" t="inlineStr">
        <is>
          <t>NULL</t>
        </is>
      </c>
      <c r="G1593" s="0" t="inlineStr">
        <is>
          <t>NULL</t>
        </is>
      </c>
      <c r="H1593" s="0" t="inlineStr">
        <is>
          <t>NULL</t>
        </is>
      </c>
      <c r="I1593" s="0" t="inlineStr">
        <is>
          <t>NULL</t>
        </is>
      </c>
      <c r="J1593" s="0" t="inlineStr">
        <is>
          <t>NULL</t>
        </is>
      </c>
      <c r="K1593" s="0" t="inlineStr">
        <is>
          <t>[0;32m YES! [0m 	 c_dtoffset_5列源备映射正确，源端为datetimeoffset None位	期望更改为varchar(34)	实际备端为varchar 136位	位数精度不存在，通过长度比较</t>
        </is>
      </c>
    </row>
    <row r="1594">
      <c r="B1594" s="0" t="inlineStr">
        <is>
          <t>NULL</t>
        </is>
      </c>
      <c r="C1594" s="0" t="inlineStr">
        <is>
          <t>NULL</t>
        </is>
      </c>
      <c r="D1594" s="0" t="inlineStr">
        <is>
          <t>NULL</t>
        </is>
      </c>
      <c r="E1594" s="0" t="inlineStr">
        <is>
          <t>NULL</t>
        </is>
      </c>
      <c r="F1594" s="0" t="inlineStr">
        <is>
          <t>NULL</t>
        </is>
      </c>
      <c r="G1594" s="0" t="inlineStr">
        <is>
          <t>NULL</t>
        </is>
      </c>
      <c r="H1594" s="0" t="inlineStr">
        <is>
          <t>NULL</t>
        </is>
      </c>
      <c r="I1594" s="0" t="inlineStr">
        <is>
          <t>NULL</t>
        </is>
      </c>
      <c r="J1594" s="0" t="inlineStr">
        <is>
          <t>NULL</t>
        </is>
      </c>
      <c r="K1594" s="0" t="inlineStr">
        <is>
          <t>[0;32m YES! [0m 	 c_dtoffset_6列源备映射正确，源端为datetimeoffset None位	期望更改为varchar(34)	实际备端为varchar 136位	位数精度不存在，通过长度比较</t>
        </is>
      </c>
    </row>
    <row r="1595">
      <c r="B1595" s="0" t="inlineStr">
        <is>
          <t>NULL</t>
        </is>
      </c>
      <c r="C1595" s="0" t="inlineStr">
        <is>
          <t>NO!源None备NUL</t>
        </is>
      </c>
      <c r="D1595" s="0" t="inlineStr">
        <is>
          <t>NULL</t>
        </is>
      </c>
      <c r="E1595" s="0" t="inlineStr">
        <is>
          <t>NULL</t>
        </is>
      </c>
      <c r="F1595" s="0" t="inlineStr">
        <is>
          <t>NULL</t>
        </is>
      </c>
      <c r="G1595" s="0" t="inlineStr">
        <is>
          <t>NULL</t>
        </is>
      </c>
      <c r="H1595" s="0" t="inlineStr">
        <is>
          <t>NULL</t>
        </is>
      </c>
      <c r="I1595" s="0" t="inlineStr">
        <is>
          <t>NULL</t>
        </is>
      </c>
      <c r="J1595" s="0" t="inlineStr">
        <is>
          <t>NULL</t>
        </is>
      </c>
      <c r="K1595" s="0" t="inlineStr">
        <is>
          <t>[0;32m YES! [0m 	 c_dtoffset列源备映射正确，源端为datetimeoffset None位	期望更改为varchar(34)	实际备端为varchar 136位	位数精度不存在，通过长度比较</t>
        </is>
      </c>
    </row>
    <row r="1596">
      <c r="A1596" s="0" t="inlineStr">
        <is>
          <t>info_varbinary_max_dml_single_nopk_drp</t>
        </is>
      </c>
      <c r="K1596" s="0" t="inlineStr">
        <is>
          <t>[0;34m info_varbinary_max_dml_single_nopk_drp [0m源备字段数相同，源端字段：4 	备端字段4</t>
        </is>
      </c>
      <c r="W1596" s="0" t="inlineStr">
        <is>
          <t>YES 源备无差异</t>
        </is>
      </c>
      <c r="X1596" s="0">
        <f>A1596</f>
        <v/>
      </c>
    </row>
    <row r="1597">
      <c r="B1597" s="0" t="inlineStr">
        <is>
          <t>NULL</t>
        </is>
      </c>
      <c r="C1597" s="0" t="inlineStr">
        <is>
          <t>NULL</t>
        </is>
      </c>
      <c r="D1597" s="0" t="inlineStr">
        <is>
          <t>NULL</t>
        </is>
      </c>
      <c r="E1597" s="0" t="inlineStr">
        <is>
          <t>NULL</t>
        </is>
      </c>
      <c r="F1597" s="0" t="inlineStr">
        <is>
          <t>NULL</t>
        </is>
      </c>
      <c r="G1597" s="0" t="inlineStr">
        <is>
          <t>NULL</t>
        </is>
      </c>
      <c r="H1597" s="0" t="inlineStr">
        <is>
          <t>NULL</t>
        </is>
      </c>
      <c r="I1597" s="0" t="inlineStr">
        <is>
          <t>NULL</t>
        </is>
      </c>
      <c r="J1597" s="0" t="inlineStr">
        <is>
          <t>NULL</t>
        </is>
      </c>
      <c r="K1597" s="0" t="inlineStr">
        <is>
          <t>YES! 	 id列源备映射正确，源端为int None位	期望更改为int	实际备端为int None位</t>
        </is>
      </c>
    </row>
    <row r="1598">
      <c r="B1598" s="0" t="inlineStr">
        <is>
          <t>NULL</t>
        </is>
      </c>
      <c r="C1598" s="0" t="inlineStr">
        <is>
          <t>NULL</t>
        </is>
      </c>
      <c r="D1598" s="0" t="inlineStr">
        <is>
          <t>NULL</t>
        </is>
      </c>
      <c r="E1598" s="0" t="inlineStr">
        <is>
          <t>NULL</t>
        </is>
      </c>
      <c r="F1598" s="0" t="inlineStr">
        <is>
          <t>NULL</t>
        </is>
      </c>
      <c r="G1598" s="0" t="inlineStr">
        <is>
          <t>NULL</t>
        </is>
      </c>
      <c r="H1598" s="0" t="inlineStr">
        <is>
          <t>NULL</t>
        </is>
      </c>
      <c r="I1598" s="0" t="inlineStr">
        <is>
          <t>NULL</t>
        </is>
      </c>
      <c r="J1598" s="0" t="inlineStr">
        <is>
          <t>NULL</t>
        </is>
      </c>
      <c r="K1598" s="0" t="inlineStr">
        <is>
          <t>YES! 	 c_varbinary_max1列源备映射正确，源端为varbinary -1位	期望更改为longblob	实际备端为longblob 4294967295位</t>
        </is>
      </c>
    </row>
    <row r="1599">
      <c r="B1599" s="0" t="inlineStr">
        <is>
          <t>NULL</t>
        </is>
      </c>
      <c r="C1599" s="0" t="inlineStr">
        <is>
          <t>NULL</t>
        </is>
      </c>
      <c r="D1599" s="0" t="inlineStr">
        <is>
          <t>NULL</t>
        </is>
      </c>
      <c r="E1599" s="0" t="inlineStr">
        <is>
          <t>NULL</t>
        </is>
      </c>
      <c r="F1599" s="0" t="inlineStr">
        <is>
          <t>NULL</t>
        </is>
      </c>
      <c r="G1599" s="0" t="inlineStr">
        <is>
          <t>NULL</t>
        </is>
      </c>
      <c r="H1599" s="0" t="inlineStr">
        <is>
          <t>NULL</t>
        </is>
      </c>
      <c r="I1599" s="0" t="inlineStr">
        <is>
          <t>NULL</t>
        </is>
      </c>
      <c r="J1599" s="0" t="inlineStr">
        <is>
          <t>NULL</t>
        </is>
      </c>
      <c r="K1599" s="0" t="inlineStr">
        <is>
          <t>YES! 	 c_varbinary_max2列源备映射正确，源端为varbinary -1位	期望更改为longblob	实际备端为longblob 4294967295位</t>
        </is>
      </c>
    </row>
    <row r="1600">
      <c r="B1600" s="0" t="inlineStr">
        <is>
          <t>NULL</t>
        </is>
      </c>
      <c r="C1600" s="0" t="inlineStr">
        <is>
          <t>NULL</t>
        </is>
      </c>
      <c r="D1600" s="0" t="inlineStr">
        <is>
          <t>NULL</t>
        </is>
      </c>
      <c r="E1600" s="0" t="inlineStr">
        <is>
          <t>NULL</t>
        </is>
      </c>
      <c r="F1600" s="0" t="inlineStr">
        <is>
          <t>NULL</t>
        </is>
      </c>
      <c r="G1600" s="0" t="inlineStr">
        <is>
          <t>NULL</t>
        </is>
      </c>
      <c r="H1600" s="0" t="inlineStr">
        <is>
          <t>NULL</t>
        </is>
      </c>
      <c r="I1600" s="0" t="inlineStr">
        <is>
          <t>NULL</t>
        </is>
      </c>
      <c r="J1600" s="0" t="inlineStr">
        <is>
          <t>NULL</t>
        </is>
      </c>
      <c r="K1600" s="0" t="inlineStr">
        <is>
          <t>YES! 	 c_image3列源备映射正确，源端为image 2147483647位	期望更改为longblob	实际备端为longblob 4294967295位</t>
        </is>
      </c>
    </row>
    <row r="1601">
      <c r="K1601" s="0" t="inlineStr">
        <is>
          <t>~ 空表</t>
        </is>
      </c>
    </row>
    <row r="1602">
      <c r="A1602" s="0" t="inlineStr">
        <is>
          <t>info_varbinary_dml_single_pk_irp</t>
        </is>
      </c>
      <c r="K1602" s="0" t="inlineStr">
        <is>
          <t>[0;34m info_varbinary_dml_single_pk_irp [0m源备字段数相同，源端字段：4 	备端字段4</t>
        </is>
      </c>
      <c r="W1602" s="0" t="inlineStr">
        <is>
          <t>YES 源备无差异</t>
        </is>
      </c>
      <c r="X1602" s="0">
        <f>A1602</f>
        <v/>
      </c>
    </row>
    <row r="1603">
      <c r="B1603" s="0" t="inlineStr">
        <is>
          <t>YES</t>
        </is>
      </c>
      <c r="C1603" s="0" t="inlineStr">
        <is>
          <t>NULL</t>
        </is>
      </c>
      <c r="D1603" s="0" t="inlineStr">
        <is>
          <t>NULL</t>
        </is>
      </c>
      <c r="E1603" s="0" t="inlineStr">
        <is>
          <t>NULL</t>
        </is>
      </c>
      <c r="F1603" s="0" t="inlineStr">
        <is>
          <t>NULL</t>
        </is>
      </c>
      <c r="G1603" s="0" t="inlineStr">
        <is>
          <t>NULL</t>
        </is>
      </c>
      <c r="H1603" s="0" t="inlineStr">
        <is>
          <t>NULL</t>
        </is>
      </c>
      <c r="I1603" s="0" t="inlineStr">
        <is>
          <t>YES!PK__info_var__3213E83F517D3015</t>
        </is>
      </c>
      <c r="J1603" s="0" t="inlineStr">
        <is>
          <t>YES! 主键相关索引</t>
        </is>
      </c>
      <c r="K1603" s="0" t="inlineStr">
        <is>
          <t>YES! 	 id列源备映射正确，源端为int None位	期望更改为int	实际备端为int None位</t>
        </is>
      </c>
    </row>
    <row r="1604">
      <c r="B1604" s="0" t="inlineStr">
        <is>
          <t>NULL</t>
        </is>
      </c>
      <c r="C1604" s="0" t="inlineStr">
        <is>
          <t>NULL</t>
        </is>
      </c>
      <c r="D1604" s="0" t="inlineStr">
        <is>
          <t>NULL</t>
        </is>
      </c>
      <c r="E1604" s="0" t="inlineStr">
        <is>
          <t>NULL</t>
        </is>
      </c>
      <c r="F1604" s="0" t="inlineStr">
        <is>
          <t>NULL</t>
        </is>
      </c>
      <c r="G1604" s="0" t="inlineStr">
        <is>
          <t>NULL</t>
        </is>
      </c>
      <c r="H1604" s="0" t="inlineStr">
        <is>
          <t>NULL</t>
        </is>
      </c>
      <c r="I1604" s="0" t="inlineStr">
        <is>
          <t>NULL</t>
        </is>
      </c>
      <c r="J1604" s="0" t="inlineStr">
        <is>
          <t>NULL</t>
        </is>
      </c>
      <c r="K1604" s="0" t="inlineStr">
        <is>
          <t>YES! 	 c_varbinary列源备映射正确，源端为varbinary 1位	期望更改为varbinary(n)	实际备端为varbinary 1位</t>
        </is>
      </c>
    </row>
    <row r="1605">
      <c r="B1605" s="0" t="inlineStr">
        <is>
          <t>NULL</t>
        </is>
      </c>
      <c r="C1605" s="0" t="inlineStr">
        <is>
          <t>NULL</t>
        </is>
      </c>
      <c r="D1605" s="0" t="inlineStr">
        <is>
          <t>NULL</t>
        </is>
      </c>
      <c r="E1605" s="0" t="inlineStr">
        <is>
          <t>NULL</t>
        </is>
      </c>
      <c r="F1605" s="0" t="inlineStr">
        <is>
          <t>NULL</t>
        </is>
      </c>
      <c r="G1605" s="0" t="inlineStr">
        <is>
          <t>NULL</t>
        </is>
      </c>
      <c r="H1605" s="0" t="inlineStr">
        <is>
          <t>NULL</t>
        </is>
      </c>
      <c r="I1605" s="0" t="inlineStr">
        <is>
          <t>NULL</t>
        </is>
      </c>
      <c r="J1605" s="0" t="inlineStr">
        <is>
          <t>NULL</t>
        </is>
      </c>
      <c r="K1605" s="0" t="inlineStr">
        <is>
          <t>YES! 	 c_varbinary_100列源备映射正确，源端为varbinary 100位	期望更改为varbinary(n)	实际备端为varbinary 100位</t>
        </is>
      </c>
    </row>
    <row r="1606">
      <c r="B1606" s="0" t="inlineStr">
        <is>
          <t>NULL</t>
        </is>
      </c>
      <c r="C1606" s="0" t="inlineStr">
        <is>
          <t>NULL</t>
        </is>
      </c>
      <c r="D1606" s="0" t="inlineStr">
        <is>
          <t>NULL</t>
        </is>
      </c>
      <c r="E1606" s="0" t="inlineStr">
        <is>
          <t>NULL</t>
        </is>
      </c>
      <c r="F1606" s="0" t="inlineStr">
        <is>
          <t>NULL</t>
        </is>
      </c>
      <c r="G1606" s="0" t="inlineStr">
        <is>
          <t>NULL</t>
        </is>
      </c>
      <c r="H1606" s="0" t="inlineStr">
        <is>
          <t>NULL</t>
        </is>
      </c>
      <c r="I1606" s="0" t="inlineStr">
        <is>
          <t>NULL</t>
        </is>
      </c>
      <c r="J1606" s="0" t="inlineStr">
        <is>
          <t>NULL</t>
        </is>
      </c>
      <c r="K1606" s="0" t="inlineStr">
        <is>
          <t>YES! 	 c_varbinary_8000列源备映射正确，源端为varbinary 8000位	期望更改为longblob	实际备端为longblob 4294967295位</t>
        </is>
      </c>
    </row>
    <row r="1607">
      <c r="A1607" s="0" t="inlineStr">
        <is>
          <t>info_datetimeoffset_dml_single_nopk</t>
        </is>
      </c>
      <c r="K1607" s="0" t="inlineStr">
        <is>
          <t>[0;34m info_datetimeoffset_dml_single_nopk [0m源备字段数相同，源端字段：9 	备端字段9</t>
        </is>
      </c>
      <c r="W1607" s="0" t="inlineStr">
        <is>
          <t>YES 源备无差异</t>
        </is>
      </c>
      <c r="X1607" s="0">
        <f>A1607</f>
        <v/>
      </c>
    </row>
    <row r="1608">
      <c r="B1608" s="0" t="inlineStr">
        <is>
          <t>NULL</t>
        </is>
      </c>
      <c r="C1608" s="0" t="inlineStr">
        <is>
          <t>NULL</t>
        </is>
      </c>
      <c r="D1608" s="0" t="inlineStr">
        <is>
          <t>NULL</t>
        </is>
      </c>
      <c r="E1608" s="0" t="inlineStr">
        <is>
          <t>NULL</t>
        </is>
      </c>
      <c r="F1608" s="0" t="inlineStr">
        <is>
          <t>NULL</t>
        </is>
      </c>
      <c r="G1608" s="0" t="inlineStr">
        <is>
          <t>NULL</t>
        </is>
      </c>
      <c r="H1608" s="0" t="inlineStr">
        <is>
          <t>NULL</t>
        </is>
      </c>
      <c r="I1608" s="0" t="inlineStr">
        <is>
          <t>NULL</t>
        </is>
      </c>
      <c r="J1608" s="0" t="inlineStr">
        <is>
          <t>NULL</t>
        </is>
      </c>
      <c r="K1608" s="0" t="inlineStr">
        <is>
          <t>YES! 	 id列源备映射正确，源端为int None位	期望更改为int	实际备端为int None位</t>
        </is>
      </c>
    </row>
    <row r="1609">
      <c r="B1609" s="0" t="inlineStr">
        <is>
          <t>NULL</t>
        </is>
      </c>
      <c r="C1609" s="0" t="inlineStr">
        <is>
          <t>NULL</t>
        </is>
      </c>
      <c r="D1609" s="0" t="inlineStr">
        <is>
          <t>NULL</t>
        </is>
      </c>
      <c r="E1609" s="0" t="inlineStr">
        <is>
          <t>NULL</t>
        </is>
      </c>
      <c r="F1609" s="0" t="inlineStr">
        <is>
          <t>NULL</t>
        </is>
      </c>
      <c r="G1609" s="0" t="inlineStr">
        <is>
          <t>NULL</t>
        </is>
      </c>
      <c r="H1609" s="0" t="inlineStr">
        <is>
          <t>NULL</t>
        </is>
      </c>
      <c r="I1609" s="0" t="inlineStr">
        <is>
          <t>NULL</t>
        </is>
      </c>
      <c r="J1609" s="0" t="inlineStr">
        <is>
          <t>NULL</t>
        </is>
      </c>
      <c r="K1609" s="0" t="inlineStr">
        <is>
          <t>[0;32m YES! [0m 	 c_dtoffset_0列源备映射正确，源端为datetimeoffset None位	期望更改为varchar(34)	实际备端为varchar 136位	位数精度不存在，通过长度比较</t>
        </is>
      </c>
    </row>
    <row r="1610">
      <c r="B1610" s="0" t="inlineStr">
        <is>
          <t>NULL</t>
        </is>
      </c>
      <c r="C1610" s="0" t="inlineStr">
        <is>
          <t>NULL</t>
        </is>
      </c>
      <c r="D1610" s="0" t="inlineStr">
        <is>
          <t>NULL</t>
        </is>
      </c>
      <c r="E1610" s="0" t="inlineStr">
        <is>
          <t>NULL</t>
        </is>
      </c>
      <c r="F1610" s="0" t="inlineStr">
        <is>
          <t>NULL</t>
        </is>
      </c>
      <c r="G1610" s="0" t="inlineStr">
        <is>
          <t>NULL</t>
        </is>
      </c>
      <c r="H1610" s="0" t="inlineStr">
        <is>
          <t>NULL</t>
        </is>
      </c>
      <c r="I1610" s="0" t="inlineStr">
        <is>
          <t>NULL</t>
        </is>
      </c>
      <c r="J1610" s="0" t="inlineStr">
        <is>
          <t>NULL</t>
        </is>
      </c>
      <c r="K1610" s="0" t="inlineStr">
        <is>
          <t>[0;32m YES! [0m 	 c_dtoffset_1列源备映射正确，源端为datetimeoffset None位	期望更改为varchar(34)	实际备端为varchar 136位	位数精度不存在，通过长度比较</t>
        </is>
      </c>
    </row>
    <row r="1611">
      <c r="B1611" s="0" t="inlineStr">
        <is>
          <t>NULL</t>
        </is>
      </c>
      <c r="C1611" s="0" t="inlineStr">
        <is>
          <t>NULL</t>
        </is>
      </c>
      <c r="D1611" s="0" t="inlineStr">
        <is>
          <t>NULL</t>
        </is>
      </c>
      <c r="E1611" s="0" t="inlineStr">
        <is>
          <t>NULL</t>
        </is>
      </c>
      <c r="F1611" s="0" t="inlineStr">
        <is>
          <t>NULL</t>
        </is>
      </c>
      <c r="G1611" s="0" t="inlineStr">
        <is>
          <t>NULL</t>
        </is>
      </c>
      <c r="H1611" s="0" t="inlineStr">
        <is>
          <t>NULL</t>
        </is>
      </c>
      <c r="I1611" s="0" t="inlineStr">
        <is>
          <t>NULL</t>
        </is>
      </c>
      <c r="J1611" s="0" t="inlineStr">
        <is>
          <t>NULL</t>
        </is>
      </c>
      <c r="K1611" s="0" t="inlineStr">
        <is>
          <t>[0;32m YES! [0m 	 c_dtoffset_2列源备映射正确，源端为datetimeoffset None位	期望更改为varchar(34)	实际备端为varchar 136位	位数精度不存在，通过长度比较</t>
        </is>
      </c>
    </row>
    <row r="1612">
      <c r="B1612" s="0" t="inlineStr">
        <is>
          <t>NULL</t>
        </is>
      </c>
      <c r="C1612" s="0" t="inlineStr">
        <is>
          <t>NULL</t>
        </is>
      </c>
      <c r="D1612" s="0" t="inlineStr">
        <is>
          <t>NULL</t>
        </is>
      </c>
      <c r="E1612" s="0" t="inlineStr">
        <is>
          <t>NULL</t>
        </is>
      </c>
      <c r="F1612" s="0" t="inlineStr">
        <is>
          <t>NULL</t>
        </is>
      </c>
      <c r="G1612" s="0" t="inlineStr">
        <is>
          <t>NULL</t>
        </is>
      </c>
      <c r="H1612" s="0" t="inlineStr">
        <is>
          <t>NULL</t>
        </is>
      </c>
      <c r="I1612" s="0" t="inlineStr">
        <is>
          <t>NULL</t>
        </is>
      </c>
      <c r="J1612" s="0" t="inlineStr">
        <is>
          <t>NULL</t>
        </is>
      </c>
      <c r="K1612" s="0" t="inlineStr">
        <is>
          <t>[0;32m YES! [0m 	 c_dtoffset_3列源备映射正确，源端为datetimeoffset None位	期望更改为varchar(34)	实际备端为varchar 136位	位数精度不存在，通过长度比较</t>
        </is>
      </c>
    </row>
    <row r="1613">
      <c r="B1613" s="0" t="inlineStr">
        <is>
          <t>NULL</t>
        </is>
      </c>
      <c r="C1613" s="0" t="inlineStr">
        <is>
          <t>NULL</t>
        </is>
      </c>
      <c r="D1613" s="0" t="inlineStr">
        <is>
          <t>NULL</t>
        </is>
      </c>
      <c r="E1613" s="0" t="inlineStr">
        <is>
          <t>NULL</t>
        </is>
      </c>
      <c r="F1613" s="0" t="inlineStr">
        <is>
          <t>NULL</t>
        </is>
      </c>
      <c r="G1613" s="0" t="inlineStr">
        <is>
          <t>NULL</t>
        </is>
      </c>
      <c r="H1613" s="0" t="inlineStr">
        <is>
          <t>NULL</t>
        </is>
      </c>
      <c r="I1613" s="0" t="inlineStr">
        <is>
          <t>NULL</t>
        </is>
      </c>
      <c r="J1613" s="0" t="inlineStr">
        <is>
          <t>NULL</t>
        </is>
      </c>
      <c r="K1613" s="0" t="inlineStr">
        <is>
          <t>[0;32m YES! [0m 	 c_dtoffset_4列源备映射正确，源端为datetimeoffset None位	期望更改为varchar(34)	实际备端为varchar 136位	位数精度不存在，通过长度比较</t>
        </is>
      </c>
    </row>
    <row r="1614">
      <c r="B1614" s="0" t="inlineStr">
        <is>
          <t>NULL</t>
        </is>
      </c>
      <c r="C1614" s="0" t="inlineStr">
        <is>
          <t>NULL</t>
        </is>
      </c>
      <c r="D1614" s="0" t="inlineStr">
        <is>
          <t>NULL</t>
        </is>
      </c>
      <c r="E1614" s="0" t="inlineStr">
        <is>
          <t>NULL</t>
        </is>
      </c>
      <c r="F1614" s="0" t="inlineStr">
        <is>
          <t>NULL</t>
        </is>
      </c>
      <c r="G1614" s="0" t="inlineStr">
        <is>
          <t>NULL</t>
        </is>
      </c>
      <c r="H1614" s="0" t="inlineStr">
        <is>
          <t>NULL</t>
        </is>
      </c>
      <c r="I1614" s="0" t="inlineStr">
        <is>
          <t>NULL</t>
        </is>
      </c>
      <c r="J1614" s="0" t="inlineStr">
        <is>
          <t>NULL</t>
        </is>
      </c>
      <c r="K1614" s="0" t="inlineStr">
        <is>
          <t>[0;32m YES! [0m 	 c_dtoffset_5列源备映射正确，源端为datetimeoffset None位	期望更改为varchar(34)	实际备端为varchar 136位	位数精度不存在，通过长度比较</t>
        </is>
      </c>
    </row>
    <row r="1615">
      <c r="B1615" s="0" t="inlineStr">
        <is>
          <t>NULL</t>
        </is>
      </c>
      <c r="C1615" s="0" t="inlineStr">
        <is>
          <t>NULL</t>
        </is>
      </c>
      <c r="D1615" s="0" t="inlineStr">
        <is>
          <t>NULL</t>
        </is>
      </c>
      <c r="E1615" s="0" t="inlineStr">
        <is>
          <t>NULL</t>
        </is>
      </c>
      <c r="F1615" s="0" t="inlineStr">
        <is>
          <t>NULL</t>
        </is>
      </c>
      <c r="G1615" s="0" t="inlineStr">
        <is>
          <t>NULL</t>
        </is>
      </c>
      <c r="H1615" s="0" t="inlineStr">
        <is>
          <t>NULL</t>
        </is>
      </c>
      <c r="I1615" s="0" t="inlineStr">
        <is>
          <t>NULL</t>
        </is>
      </c>
      <c r="J1615" s="0" t="inlineStr">
        <is>
          <t>NULL</t>
        </is>
      </c>
      <c r="K1615" s="0" t="inlineStr">
        <is>
          <t>[0;32m YES! [0m 	 c_dtoffset_6列源备映射正确，源端为datetimeoffset None位	期望更改为varchar(34)	实际备端为varchar 136位	位数精度不存在，通过长度比较</t>
        </is>
      </c>
    </row>
    <row r="1616">
      <c r="B1616" s="0" t="inlineStr">
        <is>
          <t>NULL</t>
        </is>
      </c>
      <c r="C1616" s="0" t="inlineStr">
        <is>
          <t>NO!源None备NUL</t>
        </is>
      </c>
      <c r="D1616" s="0" t="inlineStr">
        <is>
          <t>NULL</t>
        </is>
      </c>
      <c r="E1616" s="0" t="inlineStr">
        <is>
          <t>NULL</t>
        </is>
      </c>
      <c r="F1616" s="0" t="inlineStr">
        <is>
          <t>NULL</t>
        </is>
      </c>
      <c r="G1616" s="0" t="inlineStr">
        <is>
          <t>NULL</t>
        </is>
      </c>
      <c r="H1616" s="0" t="inlineStr">
        <is>
          <t>NULL</t>
        </is>
      </c>
      <c r="I1616" s="0" t="inlineStr">
        <is>
          <t>NULL</t>
        </is>
      </c>
      <c r="J1616" s="0" t="inlineStr">
        <is>
          <t>NULL</t>
        </is>
      </c>
      <c r="K1616" s="0" t="inlineStr">
        <is>
          <t>[0;32m YES! [0m 	 c_dtoffset列源备映射正确，源端为datetimeoffset None位	期望更改为varchar(34)	实际备端为varchar 136位	位数精度不存在，通过长度比较</t>
        </is>
      </c>
    </row>
    <row r="1617">
      <c r="A1617" s="0" t="inlineStr">
        <is>
          <t>info_varcharmax_dml_batch1_pk_drp2</t>
        </is>
      </c>
      <c r="K1617" s="0" t="inlineStr">
        <is>
          <t>[0;34m info_varcharmax_dml_batch1_pk_drp2 [0m源备字段数相同，源端字段：3 	备端字段3</t>
        </is>
      </c>
      <c r="W1617" s="0" t="inlineStr">
        <is>
          <t>YES 源备无差异</t>
        </is>
      </c>
      <c r="X1617" s="0">
        <f>A1617</f>
        <v/>
      </c>
    </row>
    <row r="1618">
      <c r="B1618" s="0" t="inlineStr">
        <is>
          <t>YES</t>
        </is>
      </c>
      <c r="C1618" s="0" t="inlineStr">
        <is>
          <t>NULL</t>
        </is>
      </c>
      <c r="D1618" s="0" t="inlineStr">
        <is>
          <t>NULL</t>
        </is>
      </c>
      <c r="E1618" s="0" t="inlineStr">
        <is>
          <t>NULL</t>
        </is>
      </c>
      <c r="F1618" s="0" t="inlineStr">
        <is>
          <t>NULL</t>
        </is>
      </c>
      <c r="G1618" s="0" t="inlineStr">
        <is>
          <t>NULL</t>
        </is>
      </c>
      <c r="H1618" s="0" t="inlineStr">
        <is>
          <t>NULL</t>
        </is>
      </c>
      <c r="I1618" s="0" t="inlineStr">
        <is>
          <t>YES!PK__info_var__3213E83FD6AC8B5C</t>
        </is>
      </c>
      <c r="J1618" s="0" t="inlineStr">
        <is>
          <t>YES! 主键相关索引</t>
        </is>
      </c>
      <c r="K1618" s="0" t="inlineStr">
        <is>
          <t>YES! 	 id列源备映射正确，源端为int None位	期望更改为int	实际备端为int None位</t>
        </is>
      </c>
    </row>
    <row r="1619">
      <c r="B1619" s="0" t="inlineStr">
        <is>
          <t>NULL</t>
        </is>
      </c>
      <c r="C1619" s="0" t="inlineStr">
        <is>
          <t>NULL</t>
        </is>
      </c>
      <c r="D1619" s="0" t="inlineStr">
        <is>
          <t>NULL</t>
        </is>
      </c>
      <c r="E1619" s="0" t="inlineStr">
        <is>
          <t>NULL</t>
        </is>
      </c>
      <c r="F1619" s="0" t="inlineStr">
        <is>
          <t>NULL</t>
        </is>
      </c>
      <c r="G1619" s="0" t="inlineStr">
        <is>
          <t>NULL</t>
        </is>
      </c>
      <c r="H1619" s="0" t="inlineStr">
        <is>
          <t>NULL</t>
        </is>
      </c>
      <c r="I1619" s="0" t="inlineStr">
        <is>
          <t>NULL</t>
        </is>
      </c>
      <c r="J1619" s="0" t="inlineStr">
        <is>
          <t>NULL</t>
        </is>
      </c>
      <c r="K1619" s="0" t="inlineStr">
        <is>
          <t>YES! 	 c_varchar_max列源备映射正确，源端为varchar -1位	期望更改为longtext	实际备端为longtext 4294967295位</t>
        </is>
      </c>
    </row>
    <row r="1620">
      <c r="B1620" s="0" t="inlineStr">
        <is>
          <t>NULL</t>
        </is>
      </c>
      <c r="C1620" s="0" t="inlineStr">
        <is>
          <t>NULL</t>
        </is>
      </c>
      <c r="D1620" s="0" t="inlineStr">
        <is>
          <t>NULL</t>
        </is>
      </c>
      <c r="E1620" s="0" t="inlineStr">
        <is>
          <t>NULL</t>
        </is>
      </c>
      <c r="F1620" s="0" t="inlineStr">
        <is>
          <t>NULL</t>
        </is>
      </c>
      <c r="G1620" s="0" t="inlineStr">
        <is>
          <t>NULL</t>
        </is>
      </c>
      <c r="H1620" s="0" t="inlineStr">
        <is>
          <t>NULL</t>
        </is>
      </c>
      <c r="I1620" s="0" t="inlineStr">
        <is>
          <t>NULL</t>
        </is>
      </c>
      <c r="J1620" s="0" t="inlineStr">
        <is>
          <t>NULL</t>
        </is>
      </c>
      <c r="K1620" s="0" t="inlineStr">
        <is>
          <t>YES! 	 c_nvarchar_max列源备映射正确，源端为nvarchar -1位	期望更改为longtext	实际备端为longtext 4294967295位</t>
        </is>
      </c>
    </row>
    <row r="1621">
      <c r="K1621" s="0" t="inlineStr">
        <is>
          <t>~ 空表</t>
        </is>
      </c>
    </row>
    <row r="1622">
      <c r="A1622" s="0" t="inlineStr">
        <is>
          <t>info_timestamp_dml_single_pk_drp</t>
        </is>
      </c>
      <c r="K1622" s="0" t="inlineStr">
        <is>
          <t>[0;34m info_timestamp_dml_single_pk_drp [0m源备字段数相同，源端字段：2 	备端字段2</t>
        </is>
      </c>
      <c r="W1622" s="0" t="inlineStr">
        <is>
          <t>YES 源备无差异</t>
        </is>
      </c>
      <c r="X1622" s="0">
        <f>A1622</f>
        <v/>
      </c>
    </row>
    <row r="1623">
      <c r="B1623" s="0" t="inlineStr">
        <is>
          <t>YES</t>
        </is>
      </c>
      <c r="C1623" s="0" t="inlineStr">
        <is>
          <t>NULL</t>
        </is>
      </c>
      <c r="D1623" s="0" t="inlineStr">
        <is>
          <t>NULL</t>
        </is>
      </c>
      <c r="E1623" s="0" t="inlineStr">
        <is>
          <t>NULL</t>
        </is>
      </c>
      <c r="F1623" s="0" t="inlineStr">
        <is>
          <t>NULL</t>
        </is>
      </c>
      <c r="G1623" s="0" t="inlineStr">
        <is>
          <t>NULL</t>
        </is>
      </c>
      <c r="H1623" s="0" t="inlineStr">
        <is>
          <t>NULL</t>
        </is>
      </c>
      <c r="I1623" s="0" t="inlineStr">
        <is>
          <t>YES!PK__info_tim__3213E83FED4B4672</t>
        </is>
      </c>
      <c r="J1623" s="0" t="inlineStr">
        <is>
          <t>YES! 主键相关索引</t>
        </is>
      </c>
      <c r="K1623" s="0" t="inlineStr">
        <is>
          <t>YES! 	 id列源备映射正确，源端为int None位	期望更改为int	实际备端为int None位</t>
        </is>
      </c>
    </row>
    <row r="1624">
      <c r="B1624" s="0" t="inlineStr">
        <is>
          <t>NULL</t>
        </is>
      </c>
      <c r="C1624" s="0" t="inlineStr">
        <is>
          <t>NULL</t>
        </is>
      </c>
      <c r="D1624" s="0" t="inlineStr">
        <is>
          <t>NULL</t>
        </is>
      </c>
      <c r="E1624" s="0" t="inlineStr">
        <is>
          <t>NULL</t>
        </is>
      </c>
      <c r="F1624" s="0" t="inlineStr">
        <is>
          <t>NULL</t>
        </is>
      </c>
      <c r="G1624" s="0" t="inlineStr">
        <is>
          <t>NULL</t>
        </is>
      </c>
      <c r="H1624" s="0" t="inlineStr">
        <is>
          <t>NULL</t>
        </is>
      </c>
      <c r="I1624" s="0" t="inlineStr">
        <is>
          <t>NULL</t>
        </is>
      </c>
      <c r="J1624" s="0" t="inlineStr">
        <is>
          <t>NULL</t>
        </is>
      </c>
      <c r="K1624" s="0" t="inlineStr">
        <is>
          <t>[0;32m YES! [0m 	 c_tiemstamp列源备映射正确，源端为timestamp None位	期望更改为binary(8)	实际备端为binary 8位	位数精度不存在，通过长度比较</t>
        </is>
      </c>
    </row>
    <row r="1625">
      <c r="A1625" s="0" t="inlineStr">
        <is>
          <t>info_varbinary_dml_single_pk_urp</t>
        </is>
      </c>
      <c r="K1625" s="0" t="inlineStr">
        <is>
          <t>[0;34m info_varbinary_dml_single_pk_urp [0m源备字段数相同，源端字段：4 	备端字段4</t>
        </is>
      </c>
      <c r="W1625" s="0" t="inlineStr">
        <is>
          <t>YES 源备无差异</t>
        </is>
      </c>
      <c r="X1625" s="0">
        <f>A1625</f>
        <v/>
      </c>
    </row>
    <row r="1626">
      <c r="B1626" s="0" t="inlineStr">
        <is>
          <t>YES</t>
        </is>
      </c>
      <c r="C1626" s="0" t="inlineStr">
        <is>
          <t>NULL</t>
        </is>
      </c>
      <c r="D1626" s="0" t="inlineStr">
        <is>
          <t>NULL</t>
        </is>
      </c>
      <c r="E1626" s="0" t="inlineStr">
        <is>
          <t>NULL</t>
        </is>
      </c>
      <c r="F1626" s="0" t="inlineStr">
        <is>
          <t>NULL</t>
        </is>
      </c>
      <c r="G1626" s="0" t="inlineStr">
        <is>
          <t>NULL</t>
        </is>
      </c>
      <c r="H1626" s="0" t="inlineStr">
        <is>
          <t>NULL</t>
        </is>
      </c>
      <c r="I1626" s="0" t="inlineStr">
        <is>
          <t>YES!PK__info_var__3213E83FC68DCD0E</t>
        </is>
      </c>
      <c r="J1626" s="0" t="inlineStr">
        <is>
          <t>YES! 主键相关索引</t>
        </is>
      </c>
      <c r="K1626" s="0" t="inlineStr">
        <is>
          <t>YES! 	 id列源备映射正确，源端为int None位	期望更改为int	实际备端为int None位</t>
        </is>
      </c>
    </row>
    <row r="1627">
      <c r="B1627" s="0" t="inlineStr">
        <is>
          <t>NULL</t>
        </is>
      </c>
      <c r="C1627" s="0" t="inlineStr">
        <is>
          <t>NULL</t>
        </is>
      </c>
      <c r="D1627" s="0" t="inlineStr">
        <is>
          <t>NULL</t>
        </is>
      </c>
      <c r="E1627" s="0" t="inlineStr">
        <is>
          <t>NULL</t>
        </is>
      </c>
      <c r="F1627" s="0" t="inlineStr">
        <is>
          <t>NULL</t>
        </is>
      </c>
      <c r="G1627" s="0" t="inlineStr">
        <is>
          <t>NULL</t>
        </is>
      </c>
      <c r="H1627" s="0" t="inlineStr">
        <is>
          <t>NULL</t>
        </is>
      </c>
      <c r="I1627" s="0" t="inlineStr">
        <is>
          <t>NULL</t>
        </is>
      </c>
      <c r="J1627" s="0" t="inlineStr">
        <is>
          <t>NULL</t>
        </is>
      </c>
      <c r="K1627" s="0" t="inlineStr">
        <is>
          <t>YES! 	 c_varbinary列源备映射正确，源端为varbinary 1位	期望更改为varbinary(n)	实际备端为varbinary 1位</t>
        </is>
      </c>
    </row>
    <row r="1628">
      <c r="B1628" s="0" t="inlineStr">
        <is>
          <t>NULL</t>
        </is>
      </c>
      <c r="C1628" s="0" t="inlineStr">
        <is>
          <t>NULL</t>
        </is>
      </c>
      <c r="D1628" s="0" t="inlineStr">
        <is>
          <t>NULL</t>
        </is>
      </c>
      <c r="E1628" s="0" t="inlineStr">
        <is>
          <t>NULL</t>
        </is>
      </c>
      <c r="F1628" s="0" t="inlineStr">
        <is>
          <t>NULL</t>
        </is>
      </c>
      <c r="G1628" s="0" t="inlineStr">
        <is>
          <t>NULL</t>
        </is>
      </c>
      <c r="H1628" s="0" t="inlineStr">
        <is>
          <t>NULL</t>
        </is>
      </c>
      <c r="I1628" s="0" t="inlineStr">
        <is>
          <t>NULL</t>
        </is>
      </c>
      <c r="J1628" s="0" t="inlineStr">
        <is>
          <t>NULL</t>
        </is>
      </c>
      <c r="K1628" s="0" t="inlineStr">
        <is>
          <t>YES! 	 c_varbinary_100列源备映射正确，源端为varbinary 100位	期望更改为varbinary(n)	实际备端为varbinary 100位</t>
        </is>
      </c>
    </row>
    <row r="1629">
      <c r="B1629" s="0" t="inlineStr">
        <is>
          <t>NULL</t>
        </is>
      </c>
      <c r="C1629" s="0" t="inlineStr">
        <is>
          <t>NULL</t>
        </is>
      </c>
      <c r="D1629" s="0" t="inlineStr">
        <is>
          <t>NULL</t>
        </is>
      </c>
      <c r="E1629" s="0" t="inlineStr">
        <is>
          <t>NULL</t>
        </is>
      </c>
      <c r="F1629" s="0" t="inlineStr">
        <is>
          <t>NULL</t>
        </is>
      </c>
      <c r="G1629" s="0" t="inlineStr">
        <is>
          <t>NULL</t>
        </is>
      </c>
      <c r="H1629" s="0" t="inlineStr">
        <is>
          <t>NULL</t>
        </is>
      </c>
      <c r="I1629" s="0" t="inlineStr">
        <is>
          <t>NULL</t>
        </is>
      </c>
      <c r="J1629" s="0" t="inlineStr">
        <is>
          <t>NULL</t>
        </is>
      </c>
      <c r="K1629" s="0" t="inlineStr">
        <is>
          <t>YES! 	 c_varbinary_8000列源备映射正确，源端为varbinary 8000位	期望更改为longblob	实际备端为longblob 4294967295位</t>
        </is>
      </c>
    </row>
    <row r="1630">
      <c r="A1630" s="0" t="inlineStr">
        <is>
          <t>info_varcharmax_dml_batch1_pk</t>
        </is>
      </c>
      <c r="K1630" s="0" t="inlineStr">
        <is>
          <t>[0;34m info_varcharmax_dml_batch1_pk [0m源备字段数相同，源端字段：3 	备端字段3</t>
        </is>
      </c>
      <c r="W1630" s="0" t="inlineStr">
        <is>
          <t>YES 源备无差异</t>
        </is>
      </c>
      <c r="X1630" s="0">
        <f>A1630</f>
        <v/>
      </c>
    </row>
    <row r="1631">
      <c r="B1631" s="0" t="inlineStr">
        <is>
          <t>YES</t>
        </is>
      </c>
      <c r="C1631" s="0" t="inlineStr">
        <is>
          <t>NULL</t>
        </is>
      </c>
      <c r="D1631" s="0" t="inlineStr">
        <is>
          <t>NULL</t>
        </is>
      </c>
      <c r="E1631" s="0" t="inlineStr">
        <is>
          <t>NULL</t>
        </is>
      </c>
      <c r="F1631" s="0" t="inlineStr">
        <is>
          <t>NULL</t>
        </is>
      </c>
      <c r="G1631" s="0" t="inlineStr">
        <is>
          <t>NULL</t>
        </is>
      </c>
      <c r="H1631" s="0" t="inlineStr">
        <is>
          <t>NULL</t>
        </is>
      </c>
      <c r="I1631" s="0" t="inlineStr">
        <is>
          <t>YES!PK__info_var__3213E83F1E5F20A4</t>
        </is>
      </c>
      <c r="J1631" s="0" t="inlineStr">
        <is>
          <t>YES! 主键相关索引</t>
        </is>
      </c>
      <c r="K1631" s="0" t="inlineStr">
        <is>
          <t>YES! 	 id列源备映射正确，源端为int None位	期望更改为int	实际备端为int None位</t>
        </is>
      </c>
    </row>
    <row r="1632">
      <c r="B1632" s="0" t="inlineStr">
        <is>
          <t>NULL</t>
        </is>
      </c>
      <c r="C1632" s="0" t="inlineStr">
        <is>
          <t>NULL</t>
        </is>
      </c>
      <c r="D1632" s="0" t="inlineStr">
        <is>
          <t>NULL</t>
        </is>
      </c>
      <c r="E1632" s="0" t="inlineStr">
        <is>
          <t>NULL</t>
        </is>
      </c>
      <c r="F1632" s="0" t="inlineStr">
        <is>
          <t>NULL</t>
        </is>
      </c>
      <c r="G1632" s="0" t="inlineStr">
        <is>
          <t>NULL</t>
        </is>
      </c>
      <c r="H1632" s="0" t="inlineStr">
        <is>
          <t>NULL</t>
        </is>
      </c>
      <c r="I1632" s="0" t="inlineStr">
        <is>
          <t>NULL</t>
        </is>
      </c>
      <c r="J1632" s="0" t="inlineStr">
        <is>
          <t>NULL</t>
        </is>
      </c>
      <c r="K1632" s="0" t="inlineStr">
        <is>
          <t>YES! 	 c_varchar_max列源备映射正确，源端为varchar -1位	期望更改为longtext	实际备端为longtext 4294967295位</t>
        </is>
      </c>
    </row>
    <row r="1633">
      <c r="B1633" s="0" t="inlineStr">
        <is>
          <t>NULL</t>
        </is>
      </c>
      <c r="C1633" s="0" t="inlineStr">
        <is>
          <t>NULL</t>
        </is>
      </c>
      <c r="D1633" s="0" t="inlineStr">
        <is>
          <t>NULL</t>
        </is>
      </c>
      <c r="E1633" s="0" t="inlineStr">
        <is>
          <t>NULL</t>
        </is>
      </c>
      <c r="F1633" s="0" t="inlineStr">
        <is>
          <t>NULL</t>
        </is>
      </c>
      <c r="G1633" s="0" t="inlineStr">
        <is>
          <t>NULL</t>
        </is>
      </c>
      <c r="H1633" s="0" t="inlineStr">
        <is>
          <t>NULL</t>
        </is>
      </c>
      <c r="I1633" s="0" t="inlineStr">
        <is>
          <t>NULL</t>
        </is>
      </c>
      <c r="J1633" s="0" t="inlineStr">
        <is>
          <t>NULL</t>
        </is>
      </c>
      <c r="K1633" s="0" t="inlineStr">
        <is>
          <t>YES! 	 c_nvarchar_max列源备映射正确，源端为nvarchar -1位	期望更改为longtext	实际备端为longtext 4294967295位</t>
        </is>
      </c>
    </row>
    <row r="1634">
      <c r="K1634" s="0" t="inlineStr">
        <is>
          <t>~ 空表</t>
        </is>
      </c>
    </row>
    <row r="1635">
      <c r="A1635" s="0" t="inlineStr">
        <is>
          <t>info_uniqueidentifier_dml_single_pk_irp</t>
        </is>
      </c>
      <c r="K1635" s="0" t="inlineStr">
        <is>
          <t>[0;34m info_uniqueidentifier_dml_single_pk_irp [0m源备字段数相同，源端字段：2 	备端字段2</t>
        </is>
      </c>
      <c r="W1635" s="0" t="inlineStr">
        <is>
          <t>YES 源备无差异</t>
        </is>
      </c>
      <c r="X1635" s="0">
        <f>A1635</f>
        <v/>
      </c>
    </row>
    <row r="1636">
      <c r="B1636" s="0" t="inlineStr">
        <is>
          <t>YES</t>
        </is>
      </c>
      <c r="C1636" s="0" t="inlineStr">
        <is>
          <t>NULL</t>
        </is>
      </c>
      <c r="D1636" s="0" t="inlineStr">
        <is>
          <t>NULL</t>
        </is>
      </c>
      <c r="E1636" s="0" t="inlineStr">
        <is>
          <t>NULL</t>
        </is>
      </c>
      <c r="F1636" s="0" t="inlineStr">
        <is>
          <t>NULL</t>
        </is>
      </c>
      <c r="G1636" s="0" t="inlineStr">
        <is>
          <t>NULL</t>
        </is>
      </c>
      <c r="H1636" s="0" t="inlineStr">
        <is>
          <t>NULL</t>
        </is>
      </c>
      <c r="I1636" s="0" t="inlineStr">
        <is>
          <t>YES!PK__info_uni__3213E83F0A588E05</t>
        </is>
      </c>
      <c r="J1636" s="0" t="inlineStr">
        <is>
          <t>YES! 主键相关索引</t>
        </is>
      </c>
      <c r="K1636" s="0" t="inlineStr">
        <is>
          <t>YES! 	 id列源备映射正确，源端为int None位	期望更改为int	实际备端为int None位</t>
        </is>
      </c>
    </row>
    <row r="1637">
      <c r="B1637" s="0" t="inlineStr">
        <is>
          <t>NULL</t>
        </is>
      </c>
      <c r="C1637" s="0" t="inlineStr">
        <is>
          <t>NULL</t>
        </is>
      </c>
      <c r="D1637" s="0" t="inlineStr">
        <is>
          <t>NULL</t>
        </is>
      </c>
      <c r="E1637" s="0" t="inlineStr">
        <is>
          <t>NULL</t>
        </is>
      </c>
      <c r="F1637" s="0" t="inlineStr">
        <is>
          <t>NULL</t>
        </is>
      </c>
      <c r="G1637" s="0" t="inlineStr">
        <is>
          <t>NULL</t>
        </is>
      </c>
      <c r="H1637" s="0" t="inlineStr">
        <is>
          <t>NULL</t>
        </is>
      </c>
      <c r="I1637" s="0" t="inlineStr">
        <is>
          <t>NULL</t>
        </is>
      </c>
      <c r="J1637" s="0" t="inlineStr">
        <is>
          <t>NULL</t>
        </is>
      </c>
      <c r="K1637" s="0" t="inlineStr">
        <is>
          <t>[0;32m YES! [0m 	 c_uniqueidentifier列源备映射正确，源端为uniqueidentifier None位	期望更改为VARCHAR(100)	实际备端为varchar 400位	位数精度不存在，通过长度比较</t>
        </is>
      </c>
    </row>
    <row r="1638">
      <c r="A1638" s="0" t="inlineStr">
        <is>
          <t>info_varbinary_dml_single_pk_drp</t>
        </is>
      </c>
      <c r="K1638" s="0" t="inlineStr">
        <is>
          <t>[0;34m info_varbinary_dml_single_pk_drp [0m源备字段数相同，源端字段：4 	备端字段4</t>
        </is>
      </c>
      <c r="W1638" s="0" t="inlineStr">
        <is>
          <t>YES 源备无差异</t>
        </is>
      </c>
      <c r="X1638" s="0">
        <f>A1638</f>
        <v/>
      </c>
    </row>
    <row r="1639">
      <c r="B1639" s="0" t="inlineStr">
        <is>
          <t>YES</t>
        </is>
      </c>
      <c r="C1639" s="0" t="inlineStr">
        <is>
          <t>NULL</t>
        </is>
      </c>
      <c r="D1639" s="0" t="inlineStr">
        <is>
          <t>NULL</t>
        </is>
      </c>
      <c r="E1639" s="0" t="inlineStr">
        <is>
          <t>NULL</t>
        </is>
      </c>
      <c r="F1639" s="0" t="inlineStr">
        <is>
          <t>NULL</t>
        </is>
      </c>
      <c r="G1639" s="0" t="inlineStr">
        <is>
          <t>NULL</t>
        </is>
      </c>
      <c r="H1639" s="0" t="inlineStr">
        <is>
          <t>NULL</t>
        </is>
      </c>
      <c r="I1639" s="0" t="inlineStr">
        <is>
          <t>YES!PK__info_var__3213E83F2608C4C6</t>
        </is>
      </c>
      <c r="J1639" s="0" t="inlineStr">
        <is>
          <t>YES! 主键相关索引</t>
        </is>
      </c>
      <c r="K1639" s="0" t="inlineStr">
        <is>
          <t>YES! 	 id列源备映射正确，源端为int None位	期望更改为int	实际备端为int None位</t>
        </is>
      </c>
    </row>
    <row r="1640">
      <c r="B1640" s="0" t="inlineStr">
        <is>
          <t>NULL</t>
        </is>
      </c>
      <c r="C1640" s="0" t="inlineStr">
        <is>
          <t>NULL</t>
        </is>
      </c>
      <c r="D1640" s="0" t="inlineStr">
        <is>
          <t>NULL</t>
        </is>
      </c>
      <c r="E1640" s="0" t="inlineStr">
        <is>
          <t>NULL</t>
        </is>
      </c>
      <c r="F1640" s="0" t="inlineStr">
        <is>
          <t>NULL</t>
        </is>
      </c>
      <c r="G1640" s="0" t="inlineStr">
        <is>
          <t>NULL</t>
        </is>
      </c>
      <c r="H1640" s="0" t="inlineStr">
        <is>
          <t>NULL</t>
        </is>
      </c>
      <c r="I1640" s="0" t="inlineStr">
        <is>
          <t>NULL</t>
        </is>
      </c>
      <c r="J1640" s="0" t="inlineStr">
        <is>
          <t>NULL</t>
        </is>
      </c>
      <c r="K1640" s="0" t="inlineStr">
        <is>
          <t>YES! 	 c_varbinary列源备映射正确，源端为varbinary 1位	期望更改为varbinary(n)	实际备端为varbinary 1位</t>
        </is>
      </c>
    </row>
    <row r="1641">
      <c r="B1641" s="0" t="inlineStr">
        <is>
          <t>NULL</t>
        </is>
      </c>
      <c r="C1641" s="0" t="inlineStr">
        <is>
          <t>NULL</t>
        </is>
      </c>
      <c r="D1641" s="0" t="inlineStr">
        <is>
          <t>NULL</t>
        </is>
      </c>
      <c r="E1641" s="0" t="inlineStr">
        <is>
          <t>NULL</t>
        </is>
      </c>
      <c r="F1641" s="0" t="inlineStr">
        <is>
          <t>NULL</t>
        </is>
      </c>
      <c r="G1641" s="0" t="inlineStr">
        <is>
          <t>NULL</t>
        </is>
      </c>
      <c r="H1641" s="0" t="inlineStr">
        <is>
          <t>NULL</t>
        </is>
      </c>
      <c r="I1641" s="0" t="inlineStr">
        <is>
          <t>NULL</t>
        </is>
      </c>
      <c r="J1641" s="0" t="inlineStr">
        <is>
          <t>NULL</t>
        </is>
      </c>
      <c r="K1641" s="0" t="inlineStr">
        <is>
          <t>YES! 	 c_varbinary_100列源备映射正确，源端为varbinary 100位	期望更改为varbinary(n)	实际备端为varbinary 100位</t>
        </is>
      </c>
    </row>
    <row r="1642">
      <c r="B1642" s="0" t="inlineStr">
        <is>
          <t>NULL</t>
        </is>
      </c>
      <c r="C1642" s="0" t="inlineStr">
        <is>
          <t>NULL</t>
        </is>
      </c>
      <c r="D1642" s="0" t="inlineStr">
        <is>
          <t>NULL</t>
        </is>
      </c>
      <c r="E1642" s="0" t="inlineStr">
        <is>
          <t>NULL</t>
        </is>
      </c>
      <c r="F1642" s="0" t="inlineStr">
        <is>
          <t>NULL</t>
        </is>
      </c>
      <c r="G1642" s="0" t="inlineStr">
        <is>
          <t>NULL</t>
        </is>
      </c>
      <c r="H1642" s="0" t="inlineStr">
        <is>
          <t>NULL</t>
        </is>
      </c>
      <c r="I1642" s="0" t="inlineStr">
        <is>
          <t>NULL</t>
        </is>
      </c>
      <c r="J1642" s="0" t="inlineStr">
        <is>
          <t>NULL</t>
        </is>
      </c>
      <c r="K1642" s="0" t="inlineStr">
        <is>
          <t>YES! 	 c_varbinary_8000列源备映射正确，源端为varbinary 8000位	期望更改为longblob	实际备端为longblob 4294967295位</t>
        </is>
      </c>
    </row>
    <row r="1643">
      <c r="A1643" s="0" t="inlineStr">
        <is>
          <t>info_int_dml_batch1_pk_irp1</t>
        </is>
      </c>
      <c r="K1643" s="0" t="inlineStr">
        <is>
          <t>[0;34m info_int_dml_batch1_pk_irp1 [0m源备字段数相同，源端字段：20 	备端字段20</t>
        </is>
      </c>
      <c r="W1643" s="15">
        <f>HYPERLINK("#2026051816mysql2!BR2","NO 源备存在差异，共4个")</f>
        <v/>
      </c>
      <c r="X1643" s="0">
        <f>A1643</f>
        <v/>
      </c>
    </row>
    <row r="1644">
      <c r="B1644" s="0" t="inlineStr">
        <is>
          <t>YES</t>
        </is>
      </c>
      <c r="C1644" s="0" t="inlineStr">
        <is>
          <t>NULL</t>
        </is>
      </c>
      <c r="D1644" s="0" t="inlineStr">
        <is>
          <t>NULL</t>
        </is>
      </c>
      <c r="E1644" s="0" t="inlineStr">
        <is>
          <t>NULL</t>
        </is>
      </c>
      <c r="F1644" s="0" t="inlineStr">
        <is>
          <t>NULL</t>
        </is>
      </c>
      <c r="G1644" s="0" t="inlineStr">
        <is>
          <t>NULL</t>
        </is>
      </c>
      <c r="H1644" s="0" t="inlineStr">
        <is>
          <t>NULL</t>
        </is>
      </c>
      <c r="I1644" s="0" t="inlineStr">
        <is>
          <t>YES!PK__info_int__3213E83FE5FDAB4C</t>
        </is>
      </c>
      <c r="J1644" s="0" t="inlineStr">
        <is>
          <t>YES! 主键相关索引</t>
        </is>
      </c>
      <c r="K1644" s="0" t="inlineStr">
        <is>
          <t>YES! 	 id列源备映射正确，源端为int None位	期望更改为int	实际备端为int None位</t>
        </is>
      </c>
    </row>
    <row r="1645">
      <c r="B1645" s="0" t="inlineStr">
        <is>
          <t>NULL</t>
        </is>
      </c>
      <c r="C1645" s="0" t="inlineStr">
        <is>
          <t>NULL</t>
        </is>
      </c>
      <c r="D1645" s="0" t="inlineStr">
        <is>
          <t>NULL</t>
        </is>
      </c>
      <c r="E1645" s="0" t="inlineStr">
        <is>
          <t>NULL</t>
        </is>
      </c>
      <c r="F1645" s="0" t="inlineStr">
        <is>
          <t>NULL</t>
        </is>
      </c>
      <c r="G1645" s="0" t="inlineStr">
        <is>
          <t>NULL</t>
        </is>
      </c>
      <c r="H1645" s="0" t="inlineStr">
        <is>
          <t>NULL</t>
        </is>
      </c>
      <c r="I1645" s="0" t="inlineStr">
        <is>
          <t>NULL</t>
        </is>
      </c>
      <c r="J1645" s="0" t="inlineStr">
        <is>
          <t>NULL</t>
        </is>
      </c>
      <c r="K1645" s="0" t="inlineStr">
        <is>
          <t>YES! 	 c_tinyint列源备映射正确，源端为tinyint None位	期望更改为tinyint	实际备端为tinyint None位</t>
        </is>
      </c>
    </row>
    <row r="1646">
      <c r="B1646" s="0" t="inlineStr">
        <is>
          <t>NULL</t>
        </is>
      </c>
      <c r="C1646" s="0" t="inlineStr">
        <is>
          <t>NULL</t>
        </is>
      </c>
      <c r="D1646" s="0" t="inlineStr">
        <is>
          <t>NULL</t>
        </is>
      </c>
      <c r="E1646" s="0" t="inlineStr">
        <is>
          <t>NULL</t>
        </is>
      </c>
      <c r="F1646" s="0" t="inlineStr">
        <is>
          <t>NULL</t>
        </is>
      </c>
      <c r="G1646" s="0" t="inlineStr">
        <is>
          <t>NULL</t>
        </is>
      </c>
      <c r="H1646" s="0" t="inlineStr">
        <is>
          <t>NULL</t>
        </is>
      </c>
      <c r="I1646" s="0" t="inlineStr">
        <is>
          <t>NULL</t>
        </is>
      </c>
      <c r="J1646" s="0" t="inlineStr">
        <is>
          <t>NULL</t>
        </is>
      </c>
      <c r="K1646" s="0" t="inlineStr">
        <is>
          <t>YES! 	 c_smallint列源备映射正确，源端为smallint None位	期望更改为smallint	实际备端为smallint None位</t>
        </is>
      </c>
    </row>
    <row r="1647">
      <c r="B1647" s="0" t="inlineStr">
        <is>
          <t>NULL</t>
        </is>
      </c>
      <c r="C1647" s="0" t="inlineStr">
        <is>
          <t>NULL</t>
        </is>
      </c>
      <c r="D1647" s="0" t="inlineStr">
        <is>
          <t>NULL</t>
        </is>
      </c>
      <c r="E1647" s="0" t="inlineStr">
        <is>
          <t>NULL</t>
        </is>
      </c>
      <c r="F1647" s="0" t="inlineStr">
        <is>
          <t>NULL</t>
        </is>
      </c>
      <c r="G1647" s="0" t="inlineStr">
        <is>
          <t>NULL</t>
        </is>
      </c>
      <c r="H1647" s="0" t="inlineStr">
        <is>
          <t>NULL</t>
        </is>
      </c>
      <c r="I1647" s="0" t="inlineStr">
        <is>
          <t>NULL</t>
        </is>
      </c>
      <c r="J1647" s="0" t="inlineStr">
        <is>
          <t>NULL</t>
        </is>
      </c>
      <c r="K1647" s="0" t="inlineStr">
        <is>
          <t>YES! 	 c_int列源备映射正确，源端为int None位	期望更改为int	实际备端为int None位</t>
        </is>
      </c>
    </row>
    <row r="1648">
      <c r="B1648" s="0" t="inlineStr">
        <is>
          <t>NULL</t>
        </is>
      </c>
      <c r="C1648" s="0" t="inlineStr">
        <is>
          <t>NULL</t>
        </is>
      </c>
      <c r="D1648" s="0" t="inlineStr">
        <is>
          <t>NULL</t>
        </is>
      </c>
      <c r="E1648" s="0" t="inlineStr">
        <is>
          <t>NULL</t>
        </is>
      </c>
      <c r="F1648" s="0" t="inlineStr">
        <is>
          <t>NULL</t>
        </is>
      </c>
      <c r="G1648" s="0" t="inlineStr">
        <is>
          <t>NULL</t>
        </is>
      </c>
      <c r="H1648" s="0" t="inlineStr">
        <is>
          <t>NULL</t>
        </is>
      </c>
      <c r="I1648" s="0" t="inlineStr">
        <is>
          <t>NULL</t>
        </is>
      </c>
      <c r="J1648" s="0" t="inlineStr">
        <is>
          <t>NULL</t>
        </is>
      </c>
      <c r="K1648" s="0" t="inlineStr">
        <is>
          <t>YES! 	 c_bigint列源备映射正确，源端为bigint None位	期望更改为bigint	实际备端为bigint None位</t>
        </is>
      </c>
    </row>
    <row r="1649">
      <c r="B1649" s="0" t="inlineStr">
        <is>
          <t>NULL</t>
        </is>
      </c>
      <c r="C1649" s="0" t="inlineStr">
        <is>
          <t>NULL</t>
        </is>
      </c>
      <c r="D1649" s="0" t="inlineStr">
        <is>
          <t>NULL</t>
        </is>
      </c>
      <c r="E1649" s="0" t="inlineStr">
        <is>
          <t>NULL</t>
        </is>
      </c>
      <c r="F1649" s="0" t="inlineStr">
        <is>
          <t>NULL</t>
        </is>
      </c>
      <c r="G1649" s="0" t="inlineStr">
        <is>
          <t>NULL</t>
        </is>
      </c>
      <c r="H1649" s="0" t="inlineStr">
        <is>
          <t>NULL</t>
        </is>
      </c>
      <c r="I1649" s="0" t="inlineStr">
        <is>
          <t>NULL</t>
        </is>
      </c>
      <c r="J1649" s="0" t="inlineStr">
        <is>
          <t>NULL</t>
        </is>
      </c>
      <c r="K1649" s="0" t="inlineStr">
        <is>
          <t>YES! 	 c_decimal列源备映射正确，源端为decimal None位	期望更改为decimal(p,s)	实际备端为decimal None位</t>
        </is>
      </c>
    </row>
    <row r="1650">
      <c r="B1650" s="0" t="inlineStr">
        <is>
          <t>NULL</t>
        </is>
      </c>
      <c r="C1650" s="0" t="inlineStr">
        <is>
          <t>NULL</t>
        </is>
      </c>
      <c r="D1650" s="0" t="inlineStr">
        <is>
          <t>NULL</t>
        </is>
      </c>
      <c r="E1650" s="0" t="inlineStr">
        <is>
          <t>NULL</t>
        </is>
      </c>
      <c r="F1650" s="0" t="inlineStr">
        <is>
          <t>NULL</t>
        </is>
      </c>
      <c r="G1650" s="0" t="inlineStr">
        <is>
          <t>NULL</t>
        </is>
      </c>
      <c r="H1650" s="0" t="inlineStr">
        <is>
          <t>NULL</t>
        </is>
      </c>
      <c r="I1650" s="0" t="inlineStr">
        <is>
          <t>NULL</t>
        </is>
      </c>
      <c r="J1650" s="0" t="inlineStr">
        <is>
          <t>NULL</t>
        </is>
      </c>
      <c r="K1650" s="0" t="inlineStr">
        <is>
          <t>YES! 	 c_decimal38列源备映射正确，源端为decimal None位	期望更改为decimal(p,s)	实际备端为decimal None位</t>
        </is>
      </c>
    </row>
    <row r="1651">
      <c r="B1651" s="0" t="inlineStr">
        <is>
          <t>NULL</t>
        </is>
      </c>
      <c r="C1651" s="0" t="inlineStr">
        <is>
          <t>NULL</t>
        </is>
      </c>
      <c r="D1651" s="0" t="inlineStr">
        <is>
          <t>NULL</t>
        </is>
      </c>
      <c r="E1651" s="0" t="inlineStr">
        <is>
          <t>NULL</t>
        </is>
      </c>
      <c r="F1651" s="0" t="inlineStr">
        <is>
          <t>NULL</t>
        </is>
      </c>
      <c r="G1651" s="0" t="inlineStr">
        <is>
          <t>NULL</t>
        </is>
      </c>
      <c r="H1651" s="0" t="inlineStr">
        <is>
          <t>NULL</t>
        </is>
      </c>
      <c r="I1651" s="0" t="inlineStr">
        <is>
          <t>NULL</t>
        </is>
      </c>
      <c r="J1651" s="0" t="inlineStr">
        <is>
          <t>NULL</t>
        </is>
      </c>
      <c r="K1651" s="0" t="inlineStr">
        <is>
          <t xml:space="preserve"> NO!  	 c_decimal38_38列源备映射错误，源端为decimal None位	期望更改为decimal(p,s)	实际备端为varchar 168位</t>
        </is>
      </c>
    </row>
    <row r="1652">
      <c r="B1652" s="0" t="inlineStr">
        <is>
          <t>NULL</t>
        </is>
      </c>
      <c r="C1652" s="0" t="inlineStr">
        <is>
          <t>NULL</t>
        </is>
      </c>
      <c r="D1652" s="0" t="inlineStr">
        <is>
          <t>NULL</t>
        </is>
      </c>
      <c r="E1652" s="0" t="inlineStr">
        <is>
          <t>NULL</t>
        </is>
      </c>
      <c r="F1652" s="0" t="inlineStr">
        <is>
          <t>NULL</t>
        </is>
      </c>
      <c r="G1652" s="0" t="inlineStr">
        <is>
          <t>NULL</t>
        </is>
      </c>
      <c r="H1652" s="0" t="inlineStr">
        <is>
          <t>NULL</t>
        </is>
      </c>
      <c r="I1652" s="0" t="inlineStr">
        <is>
          <t>NULL</t>
        </is>
      </c>
      <c r="J1652" s="0" t="inlineStr">
        <is>
          <t>NULL</t>
        </is>
      </c>
      <c r="K1652" s="0" t="inlineStr">
        <is>
          <t>YES! 	 c_decimal38_10列源备映射正确，源端为decimal None位	期望更改为decimal(p,s)	实际备端为decimal None位</t>
        </is>
      </c>
    </row>
    <row r="1653">
      <c r="B1653" s="0" t="inlineStr">
        <is>
          <t>NULL</t>
        </is>
      </c>
      <c r="C1653" s="0" t="inlineStr">
        <is>
          <t>NULL</t>
        </is>
      </c>
      <c r="D1653" s="0" t="inlineStr">
        <is>
          <t>NULL</t>
        </is>
      </c>
      <c r="E1653" s="0" t="inlineStr">
        <is>
          <t>NULL</t>
        </is>
      </c>
      <c r="F1653" s="0" t="inlineStr">
        <is>
          <t>NULL</t>
        </is>
      </c>
      <c r="G1653" s="0" t="inlineStr">
        <is>
          <t>NULL</t>
        </is>
      </c>
      <c r="H1653" s="0" t="inlineStr">
        <is>
          <t>NULL</t>
        </is>
      </c>
      <c r="I1653" s="0" t="inlineStr">
        <is>
          <t>NULL</t>
        </is>
      </c>
      <c r="J1653" s="0" t="inlineStr">
        <is>
          <t>NULL</t>
        </is>
      </c>
      <c r="K1653" s="0" t="inlineStr">
        <is>
          <t>YES! 	 c_decimal19_4列源备映射正确，源端为decimal None位	期望更改为decimal(p,s)	实际备端为decimal None位</t>
        </is>
      </c>
    </row>
    <row r="1654">
      <c r="B1654" s="0" t="inlineStr">
        <is>
          <t>NULL</t>
        </is>
      </c>
      <c r="C1654" s="0" t="inlineStr">
        <is>
          <t>NULL</t>
        </is>
      </c>
      <c r="D1654" s="0" t="inlineStr">
        <is>
          <t>NULL</t>
        </is>
      </c>
      <c r="E1654" s="0" t="inlineStr">
        <is>
          <t>NULL</t>
        </is>
      </c>
      <c r="F1654" s="0" t="inlineStr">
        <is>
          <t>NULL</t>
        </is>
      </c>
      <c r="G1654" s="0" t="inlineStr">
        <is>
          <t>NULL</t>
        </is>
      </c>
      <c r="H1654" s="0" t="inlineStr">
        <is>
          <t>NULL</t>
        </is>
      </c>
      <c r="I1654" s="0" t="inlineStr">
        <is>
          <t>NULL</t>
        </is>
      </c>
      <c r="J1654" s="0" t="inlineStr">
        <is>
          <t>NULL</t>
        </is>
      </c>
      <c r="K1654" s="0" t="inlineStr">
        <is>
          <t>YES! 	 c_numeric列源备映射正确，源端为numeric None位	期望更改为decimal(p,s)	实际备端为decimal None位</t>
        </is>
      </c>
    </row>
    <row r="1655">
      <c r="B1655" s="0" t="inlineStr">
        <is>
          <t>NULL</t>
        </is>
      </c>
      <c r="C1655" s="0" t="inlineStr">
        <is>
          <t>NULL</t>
        </is>
      </c>
      <c r="D1655" s="0" t="inlineStr">
        <is>
          <t>NULL</t>
        </is>
      </c>
      <c r="E1655" s="0" t="inlineStr">
        <is>
          <t>NULL</t>
        </is>
      </c>
      <c r="F1655" s="0" t="inlineStr">
        <is>
          <t>NULL</t>
        </is>
      </c>
      <c r="G1655" s="0" t="inlineStr">
        <is>
          <t>NULL</t>
        </is>
      </c>
      <c r="H1655" s="0" t="inlineStr">
        <is>
          <t>NULL</t>
        </is>
      </c>
      <c r="I1655" s="0" t="inlineStr">
        <is>
          <t>NULL</t>
        </is>
      </c>
      <c r="J1655" s="0" t="inlineStr">
        <is>
          <t>NULL</t>
        </is>
      </c>
      <c r="K1655" s="0" t="inlineStr">
        <is>
          <t>YES! 	 c_numeric38列源备映射正确，源端为numeric None位	期望更改为decimal(p,s)	实际备端为decimal None位</t>
        </is>
      </c>
    </row>
    <row r="1656">
      <c r="B1656" s="0" t="inlineStr">
        <is>
          <t>NULL</t>
        </is>
      </c>
      <c r="C1656" s="0" t="inlineStr">
        <is>
          <t>NULL</t>
        </is>
      </c>
      <c r="D1656" s="0" t="inlineStr">
        <is>
          <t>NULL</t>
        </is>
      </c>
      <c r="E1656" s="0" t="inlineStr">
        <is>
          <t>NULL</t>
        </is>
      </c>
      <c r="F1656" s="0" t="inlineStr">
        <is>
          <t>NULL</t>
        </is>
      </c>
      <c r="G1656" s="0" t="inlineStr">
        <is>
          <t>NULL</t>
        </is>
      </c>
      <c r="H1656" s="0" t="inlineStr">
        <is>
          <t>NULL</t>
        </is>
      </c>
      <c r="I1656" s="0" t="inlineStr">
        <is>
          <t>NULL</t>
        </is>
      </c>
      <c r="J1656" s="0" t="inlineStr">
        <is>
          <t>NULL</t>
        </is>
      </c>
      <c r="K1656" s="0" t="inlineStr">
        <is>
          <t xml:space="preserve"> NO!  	 c_numeric38_38列源备映射错误，源端为numeric None位	期望更改为decimal(p,s)	实际备端为varchar 168位</t>
        </is>
      </c>
    </row>
    <row r="1657">
      <c r="B1657" s="0" t="inlineStr">
        <is>
          <t>NULL</t>
        </is>
      </c>
      <c r="C1657" s="0" t="inlineStr">
        <is>
          <t>NULL</t>
        </is>
      </c>
      <c r="D1657" s="0" t="inlineStr">
        <is>
          <t>NULL</t>
        </is>
      </c>
      <c r="E1657" s="0" t="inlineStr">
        <is>
          <t>NULL</t>
        </is>
      </c>
      <c r="F1657" s="0" t="inlineStr">
        <is>
          <t>NULL</t>
        </is>
      </c>
      <c r="G1657" s="0" t="inlineStr">
        <is>
          <t>NULL</t>
        </is>
      </c>
      <c r="H1657" s="0" t="inlineStr">
        <is>
          <t>NULL</t>
        </is>
      </c>
      <c r="I1657" s="0" t="inlineStr">
        <is>
          <t>NULL</t>
        </is>
      </c>
      <c r="J1657" s="0" t="inlineStr">
        <is>
          <t>NULL</t>
        </is>
      </c>
      <c r="K1657" s="0" t="inlineStr">
        <is>
          <t>YES! 	 c_numeric38_10列源备映射正确，源端为numeric None位	期望更改为decimal(p,s)	实际备端为decimal None位</t>
        </is>
      </c>
    </row>
    <row r="1658">
      <c r="B1658" s="0" t="inlineStr">
        <is>
          <t>NULL</t>
        </is>
      </c>
      <c r="C1658" s="0" t="inlineStr">
        <is>
          <t>NULL</t>
        </is>
      </c>
      <c r="D1658" s="0" t="inlineStr">
        <is>
          <t>NULL</t>
        </is>
      </c>
      <c r="E1658" s="0" t="inlineStr">
        <is>
          <t>NULL</t>
        </is>
      </c>
      <c r="F1658" s="0" t="inlineStr">
        <is>
          <t>NULL</t>
        </is>
      </c>
      <c r="G1658" s="0" t="inlineStr">
        <is>
          <t>NULL</t>
        </is>
      </c>
      <c r="H1658" s="0" t="inlineStr">
        <is>
          <t>NULL</t>
        </is>
      </c>
      <c r="I1658" s="0" t="inlineStr">
        <is>
          <t>NULL</t>
        </is>
      </c>
      <c r="J1658" s="0" t="inlineStr">
        <is>
          <t>NULL</t>
        </is>
      </c>
      <c r="K1658" s="0" t="inlineStr">
        <is>
          <t>YES! 	 c_numeric18_2列源备映射正确，源端为numeric None位	期望更改为decimal(p,s)	实际备端为decimal None位</t>
        </is>
      </c>
    </row>
    <row r="1659">
      <c r="B1659" s="0" t="inlineStr">
        <is>
          <t>NULL</t>
        </is>
      </c>
      <c r="C1659" s="0" t="inlineStr">
        <is>
          <t>NULL</t>
        </is>
      </c>
      <c r="D1659" s="0" t="inlineStr">
        <is>
          <t>NULL</t>
        </is>
      </c>
      <c r="E1659" s="0" t="inlineStr">
        <is>
          <t>NULL</t>
        </is>
      </c>
      <c r="F1659" s="0" t="inlineStr">
        <is>
          <t>NULL</t>
        </is>
      </c>
      <c r="G1659" s="0" t="inlineStr">
        <is>
          <t>NULL</t>
        </is>
      </c>
      <c r="H1659" s="0" t="inlineStr">
        <is>
          <t>NULL</t>
        </is>
      </c>
      <c r="I1659" s="0" t="inlineStr">
        <is>
          <t>NULL</t>
        </is>
      </c>
      <c r="J1659" s="0" t="inlineStr">
        <is>
          <t>NULL</t>
        </is>
      </c>
      <c r="K1659" s="0" t="inlineStr">
        <is>
          <t>YES! 	 c_float列源备映射正确，源端为float None位	期望更改为double	实际备端为double None位</t>
        </is>
      </c>
    </row>
    <row r="1660">
      <c r="B1660" s="0" t="inlineStr">
        <is>
          <t>NULL</t>
        </is>
      </c>
      <c r="C1660" s="0" t="inlineStr">
        <is>
          <t>NULL</t>
        </is>
      </c>
      <c r="D1660" s="0" t="inlineStr">
        <is>
          <t>NULL</t>
        </is>
      </c>
      <c r="E1660" s="0" t="inlineStr">
        <is>
          <t>NULL</t>
        </is>
      </c>
      <c r="F1660" s="0" t="inlineStr">
        <is>
          <t>NULL</t>
        </is>
      </c>
      <c r="G1660" s="0" t="inlineStr">
        <is>
          <t>NULL</t>
        </is>
      </c>
      <c r="H1660" s="0" t="inlineStr">
        <is>
          <t>NULL</t>
        </is>
      </c>
      <c r="I1660" s="0" t="inlineStr">
        <is>
          <t>NULL</t>
        </is>
      </c>
      <c r="J1660" s="0" t="inlineStr">
        <is>
          <t>NULL</t>
        </is>
      </c>
      <c r="K1660" s="0" t="inlineStr">
        <is>
          <t>YES! 	 c_real列源备映射正确，源端为real None位	期望更改为double	实际备端为double None位</t>
        </is>
      </c>
    </row>
    <row r="1661">
      <c r="B1661" s="0" t="inlineStr">
        <is>
          <t>NULL</t>
        </is>
      </c>
      <c r="C1661" s="0" t="inlineStr">
        <is>
          <t>NULL</t>
        </is>
      </c>
      <c r="D1661" s="0" t="inlineStr">
        <is>
          <t>NULL</t>
        </is>
      </c>
      <c r="E1661" s="0" t="inlineStr">
        <is>
          <t>NULL</t>
        </is>
      </c>
      <c r="F1661" s="0" t="inlineStr">
        <is>
          <t>NULL</t>
        </is>
      </c>
      <c r="G1661" s="0" t="inlineStr">
        <is>
          <t>NULL</t>
        </is>
      </c>
      <c r="H1661" s="0" t="inlineStr">
        <is>
          <t>NULL</t>
        </is>
      </c>
      <c r="I1661" s="0" t="inlineStr">
        <is>
          <t>NULL</t>
        </is>
      </c>
      <c r="J1661" s="0" t="inlineStr">
        <is>
          <t>NULL</t>
        </is>
      </c>
      <c r="K1661" s="0" t="inlineStr">
        <is>
          <t>YES! 	 c_money列源备映射正确，源端为money None位	期望更改为decimal(19,4)	实际备端为decimal None位</t>
        </is>
      </c>
    </row>
    <row r="1662">
      <c r="B1662" s="0" t="inlineStr">
        <is>
          <t>NULL</t>
        </is>
      </c>
      <c r="C1662" s="0" t="inlineStr">
        <is>
          <t>NULL</t>
        </is>
      </c>
      <c r="D1662" s="0" t="inlineStr">
        <is>
          <t>NULL</t>
        </is>
      </c>
      <c r="E1662" s="0" t="inlineStr">
        <is>
          <t>NULL</t>
        </is>
      </c>
      <c r="F1662" s="0" t="inlineStr">
        <is>
          <t>NULL</t>
        </is>
      </c>
      <c r="G1662" s="0" t="inlineStr">
        <is>
          <t>NULL</t>
        </is>
      </c>
      <c r="H1662" s="0" t="inlineStr">
        <is>
          <t>NULL</t>
        </is>
      </c>
      <c r="I1662" s="0" t="inlineStr">
        <is>
          <t>NULL</t>
        </is>
      </c>
      <c r="J1662" s="0" t="inlineStr">
        <is>
          <t>NULL</t>
        </is>
      </c>
      <c r="K1662" s="0" t="inlineStr">
        <is>
          <t>YES! 	 c_smallmoney列源备映射正确，源端为smallmoney None位	期望更改为decimal(10,4)	实际备端为decimal None位</t>
        </is>
      </c>
    </row>
    <row r="1663">
      <c r="B1663" s="0" t="inlineStr">
        <is>
          <t>NULL</t>
        </is>
      </c>
      <c r="C1663" s="0" t="inlineStr">
        <is>
          <t>NULL</t>
        </is>
      </c>
      <c r="D1663" s="0" t="inlineStr">
        <is>
          <t>NULL</t>
        </is>
      </c>
      <c r="E1663" s="0" t="inlineStr">
        <is>
          <t>NULL</t>
        </is>
      </c>
      <c r="F1663" s="0" t="inlineStr">
        <is>
          <t>NULL</t>
        </is>
      </c>
      <c r="G1663" s="0" t="inlineStr">
        <is>
          <t>NULL</t>
        </is>
      </c>
      <c r="H1663" s="0" t="inlineStr">
        <is>
          <t>NULL</t>
        </is>
      </c>
      <c r="I1663" s="0" t="inlineStr">
        <is>
          <t>NULL</t>
        </is>
      </c>
      <c r="J1663" s="0" t="inlineStr">
        <is>
          <t>NULL</t>
        </is>
      </c>
      <c r="K1663" s="0" t="inlineStr">
        <is>
          <t>YES! 	 c_bit列源备映射正确，源端为bit None位	期望更改为tinyint(1) 	实际备端为tinyint None位</t>
        </is>
      </c>
    </row>
    <row r="1664">
      <c r="A1664" s="0" t="inlineStr">
        <is>
          <t>info_uniqueidentifier_dml_single_pk_urp</t>
        </is>
      </c>
      <c r="K1664" s="0" t="inlineStr">
        <is>
          <t>[0;34m info_uniqueidentifier_dml_single_pk_urp [0m源备字段数相同，源端字段：2 	备端字段2</t>
        </is>
      </c>
      <c r="W1664" s="0" t="inlineStr">
        <is>
          <t>YES 源备无差异</t>
        </is>
      </c>
      <c r="X1664" s="0">
        <f>A1664</f>
        <v/>
      </c>
    </row>
    <row r="1665">
      <c r="B1665" s="0" t="inlineStr">
        <is>
          <t>YES</t>
        </is>
      </c>
      <c r="C1665" s="0" t="inlineStr">
        <is>
          <t>NULL</t>
        </is>
      </c>
      <c r="D1665" s="0" t="inlineStr">
        <is>
          <t>NULL</t>
        </is>
      </c>
      <c r="E1665" s="0" t="inlineStr">
        <is>
          <t>NULL</t>
        </is>
      </c>
      <c r="F1665" s="0" t="inlineStr">
        <is>
          <t>NULL</t>
        </is>
      </c>
      <c r="G1665" s="0" t="inlineStr">
        <is>
          <t>NULL</t>
        </is>
      </c>
      <c r="H1665" s="0" t="inlineStr">
        <is>
          <t>NULL</t>
        </is>
      </c>
      <c r="I1665" s="0" t="inlineStr">
        <is>
          <t>YES!PK__info_uni__3213E83F481CAA22</t>
        </is>
      </c>
      <c r="J1665" s="0" t="inlineStr">
        <is>
          <t>YES! 主键相关索引</t>
        </is>
      </c>
      <c r="K1665" s="0" t="inlineStr">
        <is>
          <t>YES! 	 id列源备映射正确，源端为int None位	期望更改为int	实际备端为int None位</t>
        </is>
      </c>
    </row>
    <row r="1666">
      <c r="B1666" s="0" t="inlineStr">
        <is>
          <t>NULL</t>
        </is>
      </c>
      <c r="C1666" s="0" t="inlineStr">
        <is>
          <t>NULL</t>
        </is>
      </c>
      <c r="D1666" s="0" t="inlineStr">
        <is>
          <t>NULL</t>
        </is>
      </c>
      <c r="E1666" s="0" t="inlineStr">
        <is>
          <t>NULL</t>
        </is>
      </c>
      <c r="F1666" s="0" t="inlineStr">
        <is>
          <t>NULL</t>
        </is>
      </c>
      <c r="G1666" s="0" t="inlineStr">
        <is>
          <t>NULL</t>
        </is>
      </c>
      <c r="H1666" s="0" t="inlineStr">
        <is>
          <t>NULL</t>
        </is>
      </c>
      <c r="I1666" s="0" t="inlineStr">
        <is>
          <t>NULL</t>
        </is>
      </c>
      <c r="J1666" s="0" t="inlineStr">
        <is>
          <t>NULL</t>
        </is>
      </c>
      <c r="K1666" s="0" t="inlineStr">
        <is>
          <t>[0;32m YES! [0m 	 c_uniqueidentifier列源备映射正确，源端为uniqueidentifier None位	期望更改为VARCHAR(100)	实际备端为varchar 400位	位数精度不存在，通过长度比较</t>
        </is>
      </c>
    </row>
    <row r="1667">
      <c r="A1667" s="0" t="inlineStr">
        <is>
          <t>info_varbinary_max_dml_single_nopk</t>
        </is>
      </c>
      <c r="K1667" s="0" t="inlineStr">
        <is>
          <t>[0;34m info_varbinary_max_dml_single_nopk [0m源备字段数相同，源端字段：4 	备端字段4</t>
        </is>
      </c>
      <c r="W1667" s="0" t="inlineStr">
        <is>
          <t>YES 源备无差异</t>
        </is>
      </c>
      <c r="X1667" s="0">
        <f>A1667</f>
        <v/>
      </c>
    </row>
    <row r="1668">
      <c r="B1668" s="0" t="inlineStr">
        <is>
          <t>NULL</t>
        </is>
      </c>
      <c r="C1668" s="0" t="inlineStr">
        <is>
          <t>NULL</t>
        </is>
      </c>
      <c r="D1668" s="0" t="inlineStr">
        <is>
          <t>NULL</t>
        </is>
      </c>
      <c r="E1668" s="0" t="inlineStr">
        <is>
          <t>NULL</t>
        </is>
      </c>
      <c r="F1668" s="0" t="inlineStr">
        <is>
          <t>NULL</t>
        </is>
      </c>
      <c r="G1668" s="0" t="inlineStr">
        <is>
          <t>NULL</t>
        </is>
      </c>
      <c r="H1668" s="0" t="inlineStr">
        <is>
          <t>NULL</t>
        </is>
      </c>
      <c r="I1668" s="0" t="inlineStr">
        <is>
          <t>NULL</t>
        </is>
      </c>
      <c r="J1668" s="0" t="inlineStr">
        <is>
          <t>NULL</t>
        </is>
      </c>
      <c r="K1668" s="0" t="inlineStr">
        <is>
          <t>YES! 	 id列源备映射正确，源端为int None位	期望更改为int	实际备端为int None位</t>
        </is>
      </c>
    </row>
    <row r="1669">
      <c r="B1669" s="0" t="inlineStr">
        <is>
          <t>NULL</t>
        </is>
      </c>
      <c r="C1669" s="0" t="inlineStr">
        <is>
          <t>NULL</t>
        </is>
      </c>
      <c r="D1669" s="0" t="inlineStr">
        <is>
          <t>NULL</t>
        </is>
      </c>
      <c r="E1669" s="0" t="inlineStr">
        <is>
          <t>NULL</t>
        </is>
      </c>
      <c r="F1669" s="0" t="inlineStr">
        <is>
          <t>NULL</t>
        </is>
      </c>
      <c r="G1669" s="0" t="inlineStr">
        <is>
          <t>NULL</t>
        </is>
      </c>
      <c r="H1669" s="0" t="inlineStr">
        <is>
          <t>NULL</t>
        </is>
      </c>
      <c r="I1669" s="0" t="inlineStr">
        <is>
          <t>NULL</t>
        </is>
      </c>
      <c r="J1669" s="0" t="inlineStr">
        <is>
          <t>NULL</t>
        </is>
      </c>
      <c r="K1669" s="0" t="inlineStr">
        <is>
          <t>YES! 	 c_varbinary_max1列源备映射正确，源端为varbinary -1位	期望更改为longblob	实际备端为longblob 4294967295位</t>
        </is>
      </c>
    </row>
    <row r="1670">
      <c r="B1670" s="0" t="inlineStr">
        <is>
          <t>NULL</t>
        </is>
      </c>
      <c r="C1670" s="0" t="inlineStr">
        <is>
          <t>NULL</t>
        </is>
      </c>
      <c r="D1670" s="0" t="inlineStr">
        <is>
          <t>NULL</t>
        </is>
      </c>
      <c r="E1670" s="0" t="inlineStr">
        <is>
          <t>NULL</t>
        </is>
      </c>
      <c r="F1670" s="0" t="inlineStr">
        <is>
          <t>NULL</t>
        </is>
      </c>
      <c r="G1670" s="0" t="inlineStr">
        <is>
          <t>NULL</t>
        </is>
      </c>
      <c r="H1670" s="0" t="inlineStr">
        <is>
          <t>NULL</t>
        </is>
      </c>
      <c r="I1670" s="0" t="inlineStr">
        <is>
          <t>NULL</t>
        </is>
      </c>
      <c r="J1670" s="0" t="inlineStr">
        <is>
          <t>NULL</t>
        </is>
      </c>
      <c r="K1670" s="0" t="inlineStr">
        <is>
          <t>YES! 	 c_varbinary_max2列源备映射正确，源端为varbinary -1位	期望更改为longblob	实际备端为longblob 4294967295位</t>
        </is>
      </c>
    </row>
    <row r="1671">
      <c r="B1671" s="0" t="inlineStr">
        <is>
          <t>NULL</t>
        </is>
      </c>
      <c r="C1671" s="0" t="inlineStr">
        <is>
          <t>NULL</t>
        </is>
      </c>
      <c r="D1671" s="0" t="inlineStr">
        <is>
          <t>NULL</t>
        </is>
      </c>
      <c r="E1671" s="0" t="inlineStr">
        <is>
          <t>NULL</t>
        </is>
      </c>
      <c r="F1671" s="0" t="inlineStr">
        <is>
          <t>NULL</t>
        </is>
      </c>
      <c r="G1671" s="0" t="inlineStr">
        <is>
          <t>NULL</t>
        </is>
      </c>
      <c r="H1671" s="0" t="inlineStr">
        <is>
          <t>NULL</t>
        </is>
      </c>
      <c r="I1671" s="0" t="inlineStr">
        <is>
          <t>NULL</t>
        </is>
      </c>
      <c r="J1671" s="0" t="inlineStr">
        <is>
          <t>NULL</t>
        </is>
      </c>
      <c r="K1671" s="0" t="inlineStr">
        <is>
          <t>YES! 	 c_image3列源备映射正确，源端为image 2147483647位	期望更改为longblob	实际备端为longblob 4294967295位</t>
        </is>
      </c>
    </row>
    <row r="1672">
      <c r="A1672" s="0" t="inlineStr">
        <is>
          <t>info_varbinary_dml_single_pk</t>
        </is>
      </c>
      <c r="K1672" s="0" t="inlineStr">
        <is>
          <t>[0;34m info_varbinary_dml_single_pk [0m源备字段数相同，源端字段：4 	备端字段4</t>
        </is>
      </c>
      <c r="W1672" s="0" t="inlineStr">
        <is>
          <t>YES 源备无差异</t>
        </is>
      </c>
      <c r="X1672" s="0">
        <f>A1672</f>
        <v/>
      </c>
    </row>
    <row r="1673">
      <c r="B1673" s="0" t="inlineStr">
        <is>
          <t>YES</t>
        </is>
      </c>
      <c r="C1673" s="0" t="inlineStr">
        <is>
          <t>NULL</t>
        </is>
      </c>
      <c r="D1673" s="0" t="inlineStr">
        <is>
          <t>NULL</t>
        </is>
      </c>
      <c r="E1673" s="0" t="inlineStr">
        <is>
          <t>NULL</t>
        </is>
      </c>
      <c r="F1673" s="0" t="inlineStr">
        <is>
          <t>NULL</t>
        </is>
      </c>
      <c r="G1673" s="0" t="inlineStr">
        <is>
          <t>NULL</t>
        </is>
      </c>
      <c r="H1673" s="0" t="inlineStr">
        <is>
          <t>NULL</t>
        </is>
      </c>
      <c r="I1673" s="0" t="inlineStr">
        <is>
          <t>YES!PK__info_var__3213E83F5409CF8D</t>
        </is>
      </c>
      <c r="J1673" s="0" t="inlineStr">
        <is>
          <t>YES! 主键相关索引</t>
        </is>
      </c>
      <c r="K1673" s="0" t="inlineStr">
        <is>
          <t>YES! 	 id列源备映射正确，源端为int None位	期望更改为int	实际备端为int None位</t>
        </is>
      </c>
    </row>
    <row r="1674">
      <c r="B1674" s="0" t="inlineStr">
        <is>
          <t>NULL</t>
        </is>
      </c>
      <c r="C1674" s="0" t="inlineStr">
        <is>
          <t>NULL</t>
        </is>
      </c>
      <c r="D1674" s="0" t="inlineStr">
        <is>
          <t>NULL</t>
        </is>
      </c>
      <c r="E1674" s="0" t="inlineStr">
        <is>
          <t>NULL</t>
        </is>
      </c>
      <c r="F1674" s="0" t="inlineStr">
        <is>
          <t>NULL</t>
        </is>
      </c>
      <c r="G1674" s="0" t="inlineStr">
        <is>
          <t>NULL</t>
        </is>
      </c>
      <c r="H1674" s="0" t="inlineStr">
        <is>
          <t>NULL</t>
        </is>
      </c>
      <c r="I1674" s="0" t="inlineStr">
        <is>
          <t>NULL</t>
        </is>
      </c>
      <c r="J1674" s="0" t="inlineStr">
        <is>
          <t>NULL</t>
        </is>
      </c>
      <c r="K1674" s="0" t="inlineStr">
        <is>
          <t>YES! 	 c_varbinary列源备映射正确，源端为varbinary 1位	期望更改为varbinary(n)	实际备端为varbinary 1位</t>
        </is>
      </c>
    </row>
    <row r="1675">
      <c r="B1675" s="0" t="inlineStr">
        <is>
          <t>NULL</t>
        </is>
      </c>
      <c r="C1675" s="0" t="inlineStr">
        <is>
          <t>NULL</t>
        </is>
      </c>
      <c r="D1675" s="0" t="inlineStr">
        <is>
          <t>NULL</t>
        </is>
      </c>
      <c r="E1675" s="0" t="inlineStr">
        <is>
          <t>NULL</t>
        </is>
      </c>
      <c r="F1675" s="0" t="inlineStr">
        <is>
          <t>NULL</t>
        </is>
      </c>
      <c r="G1675" s="0" t="inlineStr">
        <is>
          <t>NULL</t>
        </is>
      </c>
      <c r="H1675" s="0" t="inlineStr">
        <is>
          <t>NULL</t>
        </is>
      </c>
      <c r="I1675" s="0" t="inlineStr">
        <is>
          <t>NULL</t>
        </is>
      </c>
      <c r="J1675" s="0" t="inlineStr">
        <is>
          <t>NULL</t>
        </is>
      </c>
      <c r="K1675" s="0" t="inlineStr">
        <is>
          <t>YES! 	 c_varbinary_100列源备映射正确，源端为varbinary 20位	期望更改为varbinary(n)	实际备端为varbinary 20位</t>
        </is>
      </c>
    </row>
    <row r="1676">
      <c r="B1676" s="0" t="inlineStr">
        <is>
          <t>NULL</t>
        </is>
      </c>
      <c r="C1676" s="0" t="inlineStr">
        <is>
          <t>NULL</t>
        </is>
      </c>
      <c r="D1676" s="0" t="inlineStr">
        <is>
          <t>NULL</t>
        </is>
      </c>
      <c r="E1676" s="0" t="inlineStr">
        <is>
          <t>NULL</t>
        </is>
      </c>
      <c r="F1676" s="0" t="inlineStr">
        <is>
          <t>NULL</t>
        </is>
      </c>
      <c r="G1676" s="0" t="inlineStr">
        <is>
          <t>NULL</t>
        </is>
      </c>
      <c r="H1676" s="0" t="inlineStr">
        <is>
          <t>NULL</t>
        </is>
      </c>
      <c r="I1676" s="0" t="inlineStr">
        <is>
          <t>NULL</t>
        </is>
      </c>
      <c r="J1676" s="0" t="inlineStr">
        <is>
          <t>NULL</t>
        </is>
      </c>
      <c r="K1676" s="0" t="inlineStr">
        <is>
          <t>YES! 	 c_varbinary_8000列源备映射正确，源端为varbinary 8000位	期望更改为longblob	实际备端为longblob 4294967295位</t>
        </is>
      </c>
    </row>
    <row r="1677">
      <c r="A1677" s="0" t="inlineStr">
        <is>
          <t>info_uniqueidentifier_dml_single_pk_drp</t>
        </is>
      </c>
      <c r="K1677" s="0" t="inlineStr">
        <is>
          <t>[0;34m info_uniqueidentifier_dml_single_pk_drp [0m源备字段数相同，源端字段：2 	备端字段2</t>
        </is>
      </c>
      <c r="W1677" s="0" t="inlineStr">
        <is>
          <t>YES 源备无差异</t>
        </is>
      </c>
      <c r="X1677" s="0">
        <f>A1677</f>
        <v/>
      </c>
    </row>
    <row r="1678">
      <c r="B1678" s="0" t="inlineStr">
        <is>
          <t>YES</t>
        </is>
      </c>
      <c r="C1678" s="0" t="inlineStr">
        <is>
          <t>NULL</t>
        </is>
      </c>
      <c r="D1678" s="0" t="inlineStr">
        <is>
          <t>NULL</t>
        </is>
      </c>
      <c r="E1678" s="0" t="inlineStr">
        <is>
          <t>NULL</t>
        </is>
      </c>
      <c r="F1678" s="0" t="inlineStr">
        <is>
          <t>NULL</t>
        </is>
      </c>
      <c r="G1678" s="0" t="inlineStr">
        <is>
          <t>NULL</t>
        </is>
      </c>
      <c r="H1678" s="0" t="inlineStr">
        <is>
          <t>NULL</t>
        </is>
      </c>
      <c r="I1678" s="0" t="inlineStr">
        <is>
          <t>YES!PK__info_uni__3213E83F99C036A0</t>
        </is>
      </c>
      <c r="J1678" s="0" t="inlineStr">
        <is>
          <t>YES! 主键相关索引</t>
        </is>
      </c>
      <c r="K1678" s="0" t="inlineStr">
        <is>
          <t>YES! 	 id列源备映射正确，源端为int None位	期望更改为int	实际备端为int None位</t>
        </is>
      </c>
    </row>
    <row r="1679">
      <c r="B1679" s="0" t="inlineStr">
        <is>
          <t>NULL</t>
        </is>
      </c>
      <c r="C1679" s="0" t="inlineStr">
        <is>
          <t>NULL</t>
        </is>
      </c>
      <c r="D1679" s="0" t="inlineStr">
        <is>
          <t>NULL</t>
        </is>
      </c>
      <c r="E1679" s="0" t="inlineStr">
        <is>
          <t>NULL</t>
        </is>
      </c>
      <c r="F1679" s="0" t="inlineStr">
        <is>
          <t>NULL</t>
        </is>
      </c>
      <c r="G1679" s="0" t="inlineStr">
        <is>
          <t>NULL</t>
        </is>
      </c>
      <c r="H1679" s="0" t="inlineStr">
        <is>
          <t>NULL</t>
        </is>
      </c>
      <c r="I1679" s="0" t="inlineStr">
        <is>
          <t>NULL</t>
        </is>
      </c>
      <c r="J1679" s="0" t="inlineStr">
        <is>
          <t>NULL</t>
        </is>
      </c>
      <c r="K1679" s="0" t="inlineStr">
        <is>
          <t>[0;32m YES! [0m 	 c_uniqueidentifier列源备映射正确，源端为uniqueidentifier None位	期望更改为VARCHAR(100)	实际备端为varchar 400位	位数精度不存在，通过长度比较</t>
        </is>
      </c>
    </row>
    <row r="1680">
      <c r="A1680" s="0" t="inlineStr">
        <is>
          <t>info_int_dml_batch1_pk_irp2</t>
        </is>
      </c>
      <c r="K1680" s="0" t="inlineStr">
        <is>
          <t>[0;34m info_int_dml_batch1_pk_irp2 [0m源备字段数相同，源端字段：20 	备端字段20</t>
        </is>
      </c>
      <c r="W1680" s="15">
        <f>HYPERLINK("#2026051816mysql2!BS2","NO 源备存在差异，共8个")</f>
        <v/>
      </c>
      <c r="X1680" s="0">
        <f>A1680</f>
        <v/>
      </c>
    </row>
    <row r="1681">
      <c r="B1681" s="0" t="inlineStr">
        <is>
          <t>YES</t>
        </is>
      </c>
      <c r="C1681" s="0" t="inlineStr">
        <is>
          <t>NULL</t>
        </is>
      </c>
      <c r="D1681" s="0" t="inlineStr">
        <is>
          <t>NULL</t>
        </is>
      </c>
      <c r="E1681" s="0" t="inlineStr">
        <is>
          <t>NULL</t>
        </is>
      </c>
      <c r="F1681" s="0" t="inlineStr">
        <is>
          <t>NULL</t>
        </is>
      </c>
      <c r="G1681" s="0" t="inlineStr">
        <is>
          <t>NULL</t>
        </is>
      </c>
      <c r="H1681" s="0" t="inlineStr">
        <is>
          <t>NULL</t>
        </is>
      </c>
      <c r="I1681" s="0" t="inlineStr">
        <is>
          <t>YES!PK__info_int__3213E83F7FA2DB7C</t>
        </is>
      </c>
      <c r="J1681" s="0" t="inlineStr">
        <is>
          <t>YES! 主键相关索引</t>
        </is>
      </c>
      <c r="K1681" s="0" t="inlineStr">
        <is>
          <t>YES! 	 id列源备映射正确，源端为int None位	期望更改为int	实际备端为int None位</t>
        </is>
      </c>
    </row>
    <row r="1682">
      <c r="B1682" s="0" t="inlineStr">
        <is>
          <t>NULL</t>
        </is>
      </c>
      <c r="C1682" s="0" t="inlineStr">
        <is>
          <t>NULL</t>
        </is>
      </c>
      <c r="D1682" s="0" t="inlineStr">
        <is>
          <t>NULL</t>
        </is>
      </c>
      <c r="E1682" s="0" t="inlineStr">
        <is>
          <t>NULL</t>
        </is>
      </c>
      <c r="F1682" s="0" t="inlineStr">
        <is>
          <t>NULL</t>
        </is>
      </c>
      <c r="G1682" s="0" t="inlineStr">
        <is>
          <t>NULL</t>
        </is>
      </c>
      <c r="H1682" s="0" t="inlineStr">
        <is>
          <t>NULL</t>
        </is>
      </c>
      <c r="I1682" s="0" t="inlineStr">
        <is>
          <t>NULL</t>
        </is>
      </c>
      <c r="J1682" s="0" t="inlineStr">
        <is>
          <t>NULL</t>
        </is>
      </c>
      <c r="K1682" s="0" t="inlineStr">
        <is>
          <t>YES! 	 c_tinyint列源备映射正确，源端为tinyint None位	期望更改为tinyint	实际备端为tinyint None位</t>
        </is>
      </c>
    </row>
    <row r="1683">
      <c r="B1683" s="0" t="inlineStr">
        <is>
          <t>NULL</t>
        </is>
      </c>
      <c r="C1683" s="0" t="inlineStr">
        <is>
          <t>NULL</t>
        </is>
      </c>
      <c r="D1683" s="0" t="inlineStr">
        <is>
          <t>NULL</t>
        </is>
      </c>
      <c r="E1683" s="0" t="inlineStr">
        <is>
          <t>NULL</t>
        </is>
      </c>
      <c r="F1683" s="0" t="inlineStr">
        <is>
          <t>NULL</t>
        </is>
      </c>
      <c r="G1683" s="0" t="inlineStr">
        <is>
          <t>NULL</t>
        </is>
      </c>
      <c r="H1683" s="0" t="inlineStr">
        <is>
          <t>NULL</t>
        </is>
      </c>
      <c r="I1683" s="0" t="inlineStr">
        <is>
          <t>NULL</t>
        </is>
      </c>
      <c r="J1683" s="0" t="inlineStr">
        <is>
          <t>NULL</t>
        </is>
      </c>
      <c r="K1683" s="0" t="inlineStr">
        <is>
          <t>YES! 	 c_smallint列源备映射正确，源端为smallint None位	期望更改为smallint	实际备端为smallint None位</t>
        </is>
      </c>
    </row>
    <row r="1684">
      <c r="B1684" s="0" t="inlineStr">
        <is>
          <t>NULL</t>
        </is>
      </c>
      <c r="C1684" s="0" t="inlineStr">
        <is>
          <t>NULL</t>
        </is>
      </c>
      <c r="D1684" s="0" t="inlineStr">
        <is>
          <t>NULL</t>
        </is>
      </c>
      <c r="E1684" s="0" t="inlineStr">
        <is>
          <t>NULL</t>
        </is>
      </c>
      <c r="F1684" s="0" t="inlineStr">
        <is>
          <t>NULL</t>
        </is>
      </c>
      <c r="G1684" s="0" t="inlineStr">
        <is>
          <t>NULL</t>
        </is>
      </c>
      <c r="H1684" s="0" t="inlineStr">
        <is>
          <t>NULL</t>
        </is>
      </c>
      <c r="I1684" s="0" t="inlineStr">
        <is>
          <t>NULL</t>
        </is>
      </c>
      <c r="J1684" s="0" t="inlineStr">
        <is>
          <t>NULL</t>
        </is>
      </c>
      <c r="K1684" s="0" t="inlineStr">
        <is>
          <t>YES! 	 c_int列源备映射正确，源端为int None位	期望更改为int	实际备端为int None位</t>
        </is>
      </c>
    </row>
    <row r="1685">
      <c r="B1685" s="0" t="inlineStr">
        <is>
          <t>NULL</t>
        </is>
      </c>
      <c r="C1685" s="0" t="inlineStr">
        <is>
          <t>NULL</t>
        </is>
      </c>
      <c r="D1685" s="0" t="inlineStr">
        <is>
          <t>NULL</t>
        </is>
      </c>
      <c r="E1685" s="0" t="inlineStr">
        <is>
          <t>NULL</t>
        </is>
      </c>
      <c r="F1685" s="0" t="inlineStr">
        <is>
          <t>NULL</t>
        </is>
      </c>
      <c r="G1685" s="0" t="inlineStr">
        <is>
          <t>NULL</t>
        </is>
      </c>
      <c r="H1685" s="0" t="inlineStr">
        <is>
          <t>NULL</t>
        </is>
      </c>
      <c r="I1685" s="0" t="inlineStr">
        <is>
          <t>NULL</t>
        </is>
      </c>
      <c r="J1685" s="0" t="inlineStr">
        <is>
          <t>NULL</t>
        </is>
      </c>
      <c r="K1685" s="0" t="inlineStr">
        <is>
          <t>YES! 	 c_bigint列源备映射正确，源端为bigint None位	期望更改为bigint	实际备端为bigint None位</t>
        </is>
      </c>
    </row>
    <row r="1686">
      <c r="B1686" s="0" t="inlineStr">
        <is>
          <t>NULL</t>
        </is>
      </c>
      <c r="C1686" s="0" t="inlineStr">
        <is>
          <t>NULL</t>
        </is>
      </c>
      <c r="D1686" s="0" t="inlineStr">
        <is>
          <t>NULL</t>
        </is>
      </c>
      <c r="E1686" s="0" t="inlineStr">
        <is>
          <t>NULL</t>
        </is>
      </c>
      <c r="F1686" s="0" t="inlineStr">
        <is>
          <t>NULL</t>
        </is>
      </c>
      <c r="G1686" s="0" t="inlineStr">
        <is>
          <t>NULL</t>
        </is>
      </c>
      <c r="H1686" s="0" t="inlineStr">
        <is>
          <t>NULL</t>
        </is>
      </c>
      <c r="I1686" s="0" t="inlineStr">
        <is>
          <t>NULL</t>
        </is>
      </c>
      <c r="J1686" s="0" t="inlineStr">
        <is>
          <t>NULL</t>
        </is>
      </c>
      <c r="K1686" s="0" t="inlineStr">
        <is>
          <t>YES! 	 c_decimal列源备映射正确，源端为decimal None位	期望更改为decimal(p,s)	实际备端为decimal None位</t>
        </is>
      </c>
    </row>
    <row r="1687">
      <c r="B1687" s="0" t="inlineStr">
        <is>
          <t>NULL</t>
        </is>
      </c>
      <c r="C1687" s="0" t="inlineStr">
        <is>
          <t>NULL</t>
        </is>
      </c>
      <c r="D1687" s="0" t="inlineStr">
        <is>
          <t>NULL</t>
        </is>
      </c>
      <c r="E1687" s="0" t="inlineStr">
        <is>
          <t>NULL</t>
        </is>
      </c>
      <c r="F1687" s="0" t="inlineStr">
        <is>
          <t>NULL</t>
        </is>
      </c>
      <c r="G1687" s="0" t="inlineStr">
        <is>
          <t>NULL</t>
        </is>
      </c>
      <c r="H1687" s="0" t="inlineStr">
        <is>
          <t>NULL</t>
        </is>
      </c>
      <c r="I1687" s="0" t="inlineStr">
        <is>
          <t>NULL</t>
        </is>
      </c>
      <c r="J1687" s="0" t="inlineStr">
        <is>
          <t>NULL</t>
        </is>
      </c>
      <c r="K1687" s="0" t="inlineStr">
        <is>
          <t>YES! 	 c_decimal38列源备映射正确，源端为decimal None位	期望更改为decimal(p,s)	实际备端为decimal None位</t>
        </is>
      </c>
    </row>
    <row r="1688">
      <c r="B1688" s="0" t="inlineStr">
        <is>
          <t>NULL</t>
        </is>
      </c>
      <c r="C1688" s="0" t="inlineStr">
        <is>
          <t>NULL</t>
        </is>
      </c>
      <c r="D1688" s="0" t="inlineStr">
        <is>
          <t>NULL</t>
        </is>
      </c>
      <c r="E1688" s="0" t="inlineStr">
        <is>
          <t>NULL</t>
        </is>
      </c>
      <c r="F1688" s="0" t="inlineStr">
        <is>
          <t>NULL</t>
        </is>
      </c>
      <c r="G1688" s="0" t="inlineStr">
        <is>
          <t>NULL</t>
        </is>
      </c>
      <c r="H1688" s="0" t="inlineStr">
        <is>
          <t>NULL</t>
        </is>
      </c>
      <c r="I1688" s="0" t="inlineStr">
        <is>
          <t>NULL</t>
        </is>
      </c>
      <c r="J1688" s="0" t="inlineStr">
        <is>
          <t>NULL</t>
        </is>
      </c>
      <c r="K1688" s="0" t="inlineStr">
        <is>
          <t xml:space="preserve"> NO!  	 c_decimal38_38列源备映射错误，源端为decimal None位	期望更改为decimal(p,s)	实际备端为varchar 168位</t>
        </is>
      </c>
    </row>
    <row r="1689">
      <c r="B1689" s="0" t="inlineStr">
        <is>
          <t>NULL</t>
        </is>
      </c>
      <c r="C1689" s="0" t="inlineStr">
        <is>
          <t>NULL</t>
        </is>
      </c>
      <c r="D1689" s="0" t="inlineStr">
        <is>
          <t>NULL</t>
        </is>
      </c>
      <c r="E1689" s="0" t="inlineStr">
        <is>
          <t>NULL</t>
        </is>
      </c>
      <c r="F1689" s="0" t="inlineStr">
        <is>
          <t>NULL</t>
        </is>
      </c>
      <c r="G1689" s="0" t="inlineStr">
        <is>
          <t>NULL</t>
        </is>
      </c>
      <c r="H1689" s="0" t="inlineStr">
        <is>
          <t>NULL</t>
        </is>
      </c>
      <c r="I1689" s="0" t="inlineStr">
        <is>
          <t>NULL</t>
        </is>
      </c>
      <c r="J1689" s="0" t="inlineStr">
        <is>
          <t>NULL</t>
        </is>
      </c>
      <c r="K1689" s="0" t="inlineStr">
        <is>
          <t>YES! 	 c_decimal38_10列源备映射正确，源端为decimal None位	期望更改为decimal(p,s)	实际备端为decimal None位</t>
        </is>
      </c>
    </row>
    <row r="1690">
      <c r="B1690" s="0" t="inlineStr">
        <is>
          <t>NULL</t>
        </is>
      </c>
      <c r="C1690" s="0" t="inlineStr">
        <is>
          <t>NULL</t>
        </is>
      </c>
      <c r="D1690" s="0" t="inlineStr">
        <is>
          <t>NULL</t>
        </is>
      </c>
      <c r="E1690" s="0" t="inlineStr">
        <is>
          <t>NULL</t>
        </is>
      </c>
      <c r="F1690" s="0" t="inlineStr">
        <is>
          <t>NULL</t>
        </is>
      </c>
      <c r="G1690" s="0" t="inlineStr">
        <is>
          <t>NULL</t>
        </is>
      </c>
      <c r="H1690" s="0" t="inlineStr">
        <is>
          <t>NULL</t>
        </is>
      </c>
      <c r="I1690" s="0" t="inlineStr">
        <is>
          <t>NULL</t>
        </is>
      </c>
      <c r="J1690" s="0" t="inlineStr">
        <is>
          <t>NULL</t>
        </is>
      </c>
      <c r="K1690" s="0" t="inlineStr">
        <is>
          <t>YES! 	 c_decimal19_4列源备映射正确，源端为decimal None位	期望更改为decimal(p,s)	实际备端为decimal None位</t>
        </is>
      </c>
    </row>
    <row r="1691">
      <c r="B1691" s="0" t="inlineStr">
        <is>
          <t>NULL</t>
        </is>
      </c>
      <c r="C1691" s="0" t="inlineStr">
        <is>
          <t>NULL</t>
        </is>
      </c>
      <c r="D1691" s="0" t="inlineStr">
        <is>
          <t>NULL</t>
        </is>
      </c>
      <c r="E1691" s="0" t="inlineStr">
        <is>
          <t>NULL</t>
        </is>
      </c>
      <c r="F1691" s="0" t="inlineStr">
        <is>
          <t>NULL</t>
        </is>
      </c>
      <c r="G1691" s="0" t="inlineStr">
        <is>
          <t>NULL</t>
        </is>
      </c>
      <c r="H1691" s="0" t="inlineStr">
        <is>
          <t>NULL</t>
        </is>
      </c>
      <c r="I1691" s="0" t="inlineStr">
        <is>
          <t>NULL</t>
        </is>
      </c>
      <c r="J1691" s="0" t="inlineStr">
        <is>
          <t>NULL</t>
        </is>
      </c>
      <c r="K1691" s="0" t="inlineStr">
        <is>
          <t>YES! 	 c_numeric列源备映射正确，源端为numeric None位	期望更改为decimal(p,s)	实际备端为decimal None位</t>
        </is>
      </c>
    </row>
    <row r="1692">
      <c r="B1692" s="0" t="inlineStr">
        <is>
          <t>NULL</t>
        </is>
      </c>
      <c r="C1692" s="0" t="inlineStr">
        <is>
          <t>NULL</t>
        </is>
      </c>
      <c r="D1692" s="0" t="inlineStr">
        <is>
          <t>NULL</t>
        </is>
      </c>
      <c r="E1692" s="0" t="inlineStr">
        <is>
          <t>NULL</t>
        </is>
      </c>
      <c r="F1692" s="0" t="inlineStr">
        <is>
          <t>NULL</t>
        </is>
      </c>
      <c r="G1692" s="0" t="inlineStr">
        <is>
          <t>NULL</t>
        </is>
      </c>
      <c r="H1692" s="0" t="inlineStr">
        <is>
          <t>NULL</t>
        </is>
      </c>
      <c r="I1692" s="0" t="inlineStr">
        <is>
          <t>NULL</t>
        </is>
      </c>
      <c r="J1692" s="0" t="inlineStr">
        <is>
          <t>NULL</t>
        </is>
      </c>
      <c r="K1692" s="0" t="inlineStr">
        <is>
          <t>YES! 	 c_numeric38列源备映射正确，源端为numeric None位	期望更改为decimal(p,s)	实际备端为decimal None位</t>
        </is>
      </c>
    </row>
    <row r="1693">
      <c r="B1693" s="0" t="inlineStr">
        <is>
          <t>NULL</t>
        </is>
      </c>
      <c r="C1693" s="0" t="inlineStr">
        <is>
          <t>NULL</t>
        </is>
      </c>
      <c r="D1693" s="0" t="inlineStr">
        <is>
          <t>NULL</t>
        </is>
      </c>
      <c r="E1693" s="0" t="inlineStr">
        <is>
          <t>NULL</t>
        </is>
      </c>
      <c r="F1693" s="0" t="inlineStr">
        <is>
          <t>NULL</t>
        </is>
      </c>
      <c r="G1693" s="0" t="inlineStr">
        <is>
          <t>NULL</t>
        </is>
      </c>
      <c r="H1693" s="0" t="inlineStr">
        <is>
          <t>NULL</t>
        </is>
      </c>
      <c r="I1693" s="0" t="inlineStr">
        <is>
          <t>NULL</t>
        </is>
      </c>
      <c r="J1693" s="0" t="inlineStr">
        <is>
          <t>NULL</t>
        </is>
      </c>
      <c r="K1693" s="0" t="inlineStr">
        <is>
          <t xml:space="preserve"> NO!  	 c_numeric38_38列源备映射错误，源端为numeric None位	期望更改为decimal(p,s)	实际备端为varchar 168位</t>
        </is>
      </c>
    </row>
    <row r="1694">
      <c r="B1694" s="0" t="inlineStr">
        <is>
          <t>NULL</t>
        </is>
      </c>
      <c r="C1694" s="0" t="inlineStr">
        <is>
          <t>NULL</t>
        </is>
      </c>
      <c r="D1694" s="0" t="inlineStr">
        <is>
          <t>NULL</t>
        </is>
      </c>
      <c r="E1694" s="0" t="inlineStr">
        <is>
          <t>NULL</t>
        </is>
      </c>
      <c r="F1694" s="0" t="inlineStr">
        <is>
          <t>NULL</t>
        </is>
      </c>
      <c r="G1694" s="0" t="inlineStr">
        <is>
          <t>NULL</t>
        </is>
      </c>
      <c r="H1694" s="0" t="inlineStr">
        <is>
          <t>NULL</t>
        </is>
      </c>
      <c r="I1694" s="0" t="inlineStr">
        <is>
          <t>NULL</t>
        </is>
      </c>
      <c r="J1694" s="0" t="inlineStr">
        <is>
          <t>NULL</t>
        </is>
      </c>
      <c r="K1694" s="0" t="inlineStr">
        <is>
          <t>YES! 	 c_numeric38_10列源备映射正确，源端为numeric None位	期望更改为decimal(p,s)	实际备端为decimal None位</t>
        </is>
      </c>
    </row>
    <row r="1695">
      <c r="B1695" s="0" t="inlineStr">
        <is>
          <t>NULL</t>
        </is>
      </c>
      <c r="C1695" s="0" t="inlineStr">
        <is>
          <t>NULL</t>
        </is>
      </c>
      <c r="D1695" s="0" t="inlineStr">
        <is>
          <t>NULL</t>
        </is>
      </c>
      <c r="E1695" s="0" t="inlineStr">
        <is>
          <t>NULL</t>
        </is>
      </c>
      <c r="F1695" s="0" t="inlineStr">
        <is>
          <t>NULL</t>
        </is>
      </c>
      <c r="G1695" s="0" t="inlineStr">
        <is>
          <t>NULL</t>
        </is>
      </c>
      <c r="H1695" s="0" t="inlineStr">
        <is>
          <t>NULL</t>
        </is>
      </c>
      <c r="I1695" s="0" t="inlineStr">
        <is>
          <t>NULL</t>
        </is>
      </c>
      <c r="J1695" s="0" t="inlineStr">
        <is>
          <t>NULL</t>
        </is>
      </c>
      <c r="K1695" s="0" t="inlineStr">
        <is>
          <t>YES! 	 c_numeric18_2列源备映射正确，源端为numeric None位	期望更改为decimal(p,s)	实际备端为decimal None位</t>
        </is>
      </c>
    </row>
    <row r="1696">
      <c r="B1696" s="0" t="inlineStr">
        <is>
          <t>NULL</t>
        </is>
      </c>
      <c r="C1696" s="0" t="inlineStr">
        <is>
          <t>NULL</t>
        </is>
      </c>
      <c r="D1696" s="0" t="inlineStr">
        <is>
          <t>NULL</t>
        </is>
      </c>
      <c r="E1696" s="0" t="inlineStr">
        <is>
          <t>NULL</t>
        </is>
      </c>
      <c r="F1696" s="0" t="inlineStr">
        <is>
          <t>NULL</t>
        </is>
      </c>
      <c r="G1696" s="0" t="inlineStr">
        <is>
          <t>NULL</t>
        </is>
      </c>
      <c r="H1696" s="0" t="inlineStr">
        <is>
          <t>NULL</t>
        </is>
      </c>
      <c r="I1696" s="0" t="inlineStr">
        <is>
          <t>NULL</t>
        </is>
      </c>
      <c r="J1696" s="0" t="inlineStr">
        <is>
          <t>NULL</t>
        </is>
      </c>
      <c r="K1696" s="0" t="inlineStr">
        <is>
          <t>YES! 	 c_float列源备映射正确，源端为float None位	期望更改为double	实际备端为double None位</t>
        </is>
      </c>
    </row>
    <row r="1697">
      <c r="B1697" s="0" t="inlineStr">
        <is>
          <t>NULL</t>
        </is>
      </c>
      <c r="C1697" s="0" t="inlineStr">
        <is>
          <t>NULL</t>
        </is>
      </c>
      <c r="D1697" s="0" t="inlineStr">
        <is>
          <t>NULL</t>
        </is>
      </c>
      <c r="E1697" s="0" t="inlineStr">
        <is>
          <t>NULL</t>
        </is>
      </c>
      <c r="F1697" s="0" t="inlineStr">
        <is>
          <t>NULL</t>
        </is>
      </c>
      <c r="G1697" s="0" t="inlineStr">
        <is>
          <t>NULL</t>
        </is>
      </c>
      <c r="H1697" s="0" t="inlineStr">
        <is>
          <t>NULL</t>
        </is>
      </c>
      <c r="I1697" s="0" t="inlineStr">
        <is>
          <t>NULL</t>
        </is>
      </c>
      <c r="J1697" s="0" t="inlineStr">
        <is>
          <t>NULL</t>
        </is>
      </c>
      <c r="K1697" s="0" t="inlineStr">
        <is>
          <t>YES! 	 c_real列源备映射正确，源端为real None位	期望更改为double	实际备端为double None位</t>
        </is>
      </c>
    </row>
    <row r="1698">
      <c r="B1698" s="0" t="inlineStr">
        <is>
          <t>NULL</t>
        </is>
      </c>
      <c r="C1698" s="0" t="inlineStr">
        <is>
          <t>NULL</t>
        </is>
      </c>
      <c r="D1698" s="0" t="inlineStr">
        <is>
          <t>NULL</t>
        </is>
      </c>
      <c r="E1698" s="0" t="inlineStr">
        <is>
          <t>NULL</t>
        </is>
      </c>
      <c r="F1698" s="0" t="inlineStr">
        <is>
          <t>NULL</t>
        </is>
      </c>
      <c r="G1698" s="0" t="inlineStr">
        <is>
          <t>NULL</t>
        </is>
      </c>
      <c r="H1698" s="0" t="inlineStr">
        <is>
          <t>NULL</t>
        </is>
      </c>
      <c r="I1698" s="0" t="inlineStr">
        <is>
          <t>NULL</t>
        </is>
      </c>
      <c r="J1698" s="0" t="inlineStr">
        <is>
          <t>NULL</t>
        </is>
      </c>
      <c r="K1698" s="0" t="inlineStr">
        <is>
          <t>YES! 	 c_money列源备映射正确，源端为money None位	期望更改为decimal(19,4)	实际备端为decimal None位</t>
        </is>
      </c>
    </row>
    <row r="1699">
      <c r="B1699" s="0" t="inlineStr">
        <is>
          <t>NULL</t>
        </is>
      </c>
      <c r="C1699" s="0" t="inlineStr">
        <is>
          <t>NULL</t>
        </is>
      </c>
      <c r="D1699" s="0" t="inlineStr">
        <is>
          <t>NULL</t>
        </is>
      </c>
      <c r="E1699" s="0" t="inlineStr">
        <is>
          <t>NULL</t>
        </is>
      </c>
      <c r="F1699" s="0" t="inlineStr">
        <is>
          <t>NULL</t>
        </is>
      </c>
      <c r="G1699" s="0" t="inlineStr">
        <is>
          <t>NULL</t>
        </is>
      </c>
      <c r="H1699" s="0" t="inlineStr">
        <is>
          <t>NULL</t>
        </is>
      </c>
      <c r="I1699" s="0" t="inlineStr">
        <is>
          <t>NULL</t>
        </is>
      </c>
      <c r="J1699" s="0" t="inlineStr">
        <is>
          <t>NULL</t>
        </is>
      </c>
      <c r="K1699" s="0" t="inlineStr">
        <is>
          <t>YES! 	 c_smallmoney列源备映射正确，源端为smallmoney None位	期望更改为decimal(10,4)	实际备端为decimal None位</t>
        </is>
      </c>
    </row>
    <row r="1700">
      <c r="B1700" s="0" t="inlineStr">
        <is>
          <t>NULL</t>
        </is>
      </c>
      <c r="C1700" s="0" t="inlineStr">
        <is>
          <t>NULL</t>
        </is>
      </c>
      <c r="D1700" s="0" t="inlineStr">
        <is>
          <t>NULL</t>
        </is>
      </c>
      <c r="E1700" s="0" t="inlineStr">
        <is>
          <t>NULL</t>
        </is>
      </c>
      <c r="F1700" s="0" t="inlineStr">
        <is>
          <t>NULL</t>
        </is>
      </c>
      <c r="G1700" s="0" t="inlineStr">
        <is>
          <t>NULL</t>
        </is>
      </c>
      <c r="H1700" s="0" t="inlineStr">
        <is>
          <t>NULL</t>
        </is>
      </c>
      <c r="I1700" s="0" t="inlineStr">
        <is>
          <t>NULL</t>
        </is>
      </c>
      <c r="J1700" s="0" t="inlineStr">
        <is>
          <t>NULL</t>
        </is>
      </c>
      <c r="K1700" s="0" t="inlineStr">
        <is>
          <t>YES! 	 c_bit列源备映射正确，源端为bit None位	期望更改为tinyint(1) 	实际备端为tinyint None位</t>
        </is>
      </c>
    </row>
    <row r="1701">
      <c r="A1701" s="0" t="inlineStr">
        <is>
          <t>info_varbinary_max_dml_single_pk_irp</t>
        </is>
      </c>
      <c r="K1701" s="0" t="inlineStr">
        <is>
          <t>[0;34m info_varbinary_max_dml_single_pk_irp [0m源备字段数相同，源端字段：4 	备端字段4</t>
        </is>
      </c>
      <c r="W1701" s="0" t="inlineStr">
        <is>
          <t>YES 源备无差异</t>
        </is>
      </c>
      <c r="X1701" s="0">
        <f>A1701</f>
        <v/>
      </c>
    </row>
    <row r="1702">
      <c r="B1702" s="0" t="inlineStr">
        <is>
          <t>YES</t>
        </is>
      </c>
      <c r="C1702" s="0" t="inlineStr">
        <is>
          <t>NULL</t>
        </is>
      </c>
      <c r="D1702" s="0" t="inlineStr">
        <is>
          <t>NULL</t>
        </is>
      </c>
      <c r="E1702" s="0" t="inlineStr">
        <is>
          <t>NULL</t>
        </is>
      </c>
      <c r="F1702" s="0" t="inlineStr">
        <is>
          <t>NULL</t>
        </is>
      </c>
      <c r="G1702" s="0" t="inlineStr">
        <is>
          <t>NULL</t>
        </is>
      </c>
      <c r="H1702" s="0" t="inlineStr">
        <is>
          <t>NULL</t>
        </is>
      </c>
      <c r="I1702" s="0" t="inlineStr">
        <is>
          <t>YES!PK__info_var__3213E83F00D7D29D</t>
        </is>
      </c>
      <c r="J1702" s="0" t="inlineStr">
        <is>
          <t>YES! 主键相关索引</t>
        </is>
      </c>
      <c r="K1702" s="0" t="inlineStr">
        <is>
          <t>YES! 	 id列源备映射正确，源端为int None位	期望更改为int	实际备端为int None位</t>
        </is>
      </c>
    </row>
    <row r="1703">
      <c r="B1703" s="0" t="inlineStr">
        <is>
          <t>NULL</t>
        </is>
      </c>
      <c r="C1703" s="0" t="inlineStr">
        <is>
          <t>NULL</t>
        </is>
      </c>
      <c r="D1703" s="0" t="inlineStr">
        <is>
          <t>NULL</t>
        </is>
      </c>
      <c r="E1703" s="0" t="inlineStr">
        <is>
          <t>NULL</t>
        </is>
      </c>
      <c r="F1703" s="0" t="inlineStr">
        <is>
          <t>NULL</t>
        </is>
      </c>
      <c r="G1703" s="0" t="inlineStr">
        <is>
          <t>NULL</t>
        </is>
      </c>
      <c r="H1703" s="0" t="inlineStr">
        <is>
          <t>NULL</t>
        </is>
      </c>
      <c r="I1703" s="0" t="inlineStr">
        <is>
          <t>NULL</t>
        </is>
      </c>
      <c r="J1703" s="0" t="inlineStr">
        <is>
          <t>NULL</t>
        </is>
      </c>
      <c r="K1703" s="0" t="inlineStr">
        <is>
          <t>YES! 	 c_varbinary_max1列源备映射正确，源端为varbinary -1位	期望更改为longblob	实际备端为longblob 4294967295位</t>
        </is>
      </c>
    </row>
    <row r="1704">
      <c r="B1704" s="0" t="inlineStr">
        <is>
          <t>NULL</t>
        </is>
      </c>
      <c r="C1704" s="0" t="inlineStr">
        <is>
          <t>NULL</t>
        </is>
      </c>
      <c r="D1704" s="0" t="inlineStr">
        <is>
          <t>NULL</t>
        </is>
      </c>
      <c r="E1704" s="0" t="inlineStr">
        <is>
          <t>NULL</t>
        </is>
      </c>
      <c r="F1704" s="0" t="inlineStr">
        <is>
          <t>NULL</t>
        </is>
      </c>
      <c r="G1704" s="0" t="inlineStr">
        <is>
          <t>NULL</t>
        </is>
      </c>
      <c r="H1704" s="0" t="inlineStr">
        <is>
          <t>NULL</t>
        </is>
      </c>
      <c r="I1704" s="0" t="inlineStr">
        <is>
          <t>NULL</t>
        </is>
      </c>
      <c r="J1704" s="0" t="inlineStr">
        <is>
          <t>NULL</t>
        </is>
      </c>
      <c r="K1704" s="0" t="inlineStr">
        <is>
          <t>YES! 	 c_varbinary_max2列源备映射正确，源端为varbinary -1位	期望更改为longblob	实际备端为longblob 4294967295位</t>
        </is>
      </c>
    </row>
    <row r="1705">
      <c r="B1705" s="0" t="inlineStr">
        <is>
          <t>NULL</t>
        </is>
      </c>
      <c r="C1705" s="0" t="inlineStr">
        <is>
          <t>NULL</t>
        </is>
      </c>
      <c r="D1705" s="0" t="inlineStr">
        <is>
          <t>NULL</t>
        </is>
      </c>
      <c r="E1705" s="0" t="inlineStr">
        <is>
          <t>NULL</t>
        </is>
      </c>
      <c r="F1705" s="0" t="inlineStr">
        <is>
          <t>NULL</t>
        </is>
      </c>
      <c r="G1705" s="0" t="inlineStr">
        <is>
          <t>NULL</t>
        </is>
      </c>
      <c r="H1705" s="0" t="inlineStr">
        <is>
          <t>NULL</t>
        </is>
      </c>
      <c r="I1705" s="0" t="inlineStr">
        <is>
          <t>NULL</t>
        </is>
      </c>
      <c r="J1705" s="0" t="inlineStr">
        <is>
          <t>NULL</t>
        </is>
      </c>
      <c r="K1705" s="0" t="inlineStr">
        <is>
          <t>YES! 	 c_image3列源备映射正确，源端为image 2147483647位	期望更改为longblob	实际备端为longblob 4294967295位</t>
        </is>
      </c>
    </row>
    <row r="1706">
      <c r="A1706" s="0" t="inlineStr">
        <is>
          <t>info_int_dml_batch2_pk_irp1</t>
        </is>
      </c>
      <c r="K1706" s="0" t="inlineStr">
        <is>
          <t>[0;34m info_int_dml_batch2_pk_irp1 [0m源备字段数相同，源端字段：20 	备端字段20</t>
        </is>
      </c>
      <c r="W1706" s="15">
        <f>HYPERLINK("#2026051816mysql2!BT2","NO 源备存在差异，共4个")</f>
        <v/>
      </c>
      <c r="X1706" s="0">
        <f>A1706</f>
        <v/>
      </c>
    </row>
    <row r="1707">
      <c r="B1707" s="0" t="inlineStr">
        <is>
          <t>YES</t>
        </is>
      </c>
      <c r="C1707" s="0" t="inlineStr">
        <is>
          <t>NULL</t>
        </is>
      </c>
      <c r="D1707" s="0" t="inlineStr">
        <is>
          <t>NULL</t>
        </is>
      </c>
      <c r="E1707" s="0" t="inlineStr">
        <is>
          <t>NULL</t>
        </is>
      </c>
      <c r="F1707" s="0" t="inlineStr">
        <is>
          <t>NULL</t>
        </is>
      </c>
      <c r="G1707" s="0" t="inlineStr">
        <is>
          <t>NULL</t>
        </is>
      </c>
      <c r="H1707" s="0" t="inlineStr">
        <is>
          <t>NULL</t>
        </is>
      </c>
      <c r="I1707" s="0" t="inlineStr">
        <is>
          <t>YES!PK__info_int__3213E83FC4381871</t>
        </is>
      </c>
      <c r="J1707" s="0" t="inlineStr">
        <is>
          <t>YES! 主键相关索引</t>
        </is>
      </c>
      <c r="K1707" s="0" t="inlineStr">
        <is>
          <t>YES! 	 id列源备映射正确，源端为int None位	期望更改为int	实际备端为int None位</t>
        </is>
      </c>
    </row>
    <row r="1708">
      <c r="B1708" s="0" t="inlineStr">
        <is>
          <t>NULL</t>
        </is>
      </c>
      <c r="C1708" s="0" t="inlineStr">
        <is>
          <t>NULL</t>
        </is>
      </c>
      <c r="D1708" s="0" t="inlineStr">
        <is>
          <t>NULL</t>
        </is>
      </c>
      <c r="E1708" s="0" t="inlineStr">
        <is>
          <t>NULL</t>
        </is>
      </c>
      <c r="F1708" s="0" t="inlineStr">
        <is>
          <t>NULL</t>
        </is>
      </c>
      <c r="G1708" s="0" t="inlineStr">
        <is>
          <t>NULL</t>
        </is>
      </c>
      <c r="H1708" s="0" t="inlineStr">
        <is>
          <t>NULL</t>
        </is>
      </c>
      <c r="I1708" s="0" t="inlineStr">
        <is>
          <t>NULL</t>
        </is>
      </c>
      <c r="J1708" s="0" t="inlineStr">
        <is>
          <t>NULL</t>
        </is>
      </c>
      <c r="K1708" s="0" t="inlineStr">
        <is>
          <t>YES! 	 c_tinyint列源备映射正确，源端为tinyint None位	期望更改为tinyint	实际备端为tinyint None位</t>
        </is>
      </c>
    </row>
    <row r="1709">
      <c r="B1709" s="0" t="inlineStr">
        <is>
          <t>NULL</t>
        </is>
      </c>
      <c r="C1709" s="0" t="inlineStr">
        <is>
          <t>NULL</t>
        </is>
      </c>
      <c r="D1709" s="0" t="inlineStr">
        <is>
          <t>NULL</t>
        </is>
      </c>
      <c r="E1709" s="0" t="inlineStr">
        <is>
          <t>NULL</t>
        </is>
      </c>
      <c r="F1709" s="0" t="inlineStr">
        <is>
          <t>NULL</t>
        </is>
      </c>
      <c r="G1709" s="0" t="inlineStr">
        <is>
          <t>NULL</t>
        </is>
      </c>
      <c r="H1709" s="0" t="inlineStr">
        <is>
          <t>NULL</t>
        </is>
      </c>
      <c r="I1709" s="0" t="inlineStr">
        <is>
          <t>NULL</t>
        </is>
      </c>
      <c r="J1709" s="0" t="inlineStr">
        <is>
          <t>NULL</t>
        </is>
      </c>
      <c r="K1709" s="0" t="inlineStr">
        <is>
          <t>YES! 	 c_smallint列源备映射正确，源端为smallint None位	期望更改为smallint	实际备端为smallint None位</t>
        </is>
      </c>
    </row>
    <row r="1710">
      <c r="B1710" s="0" t="inlineStr">
        <is>
          <t>NULL</t>
        </is>
      </c>
      <c r="C1710" s="0" t="inlineStr">
        <is>
          <t>NULL</t>
        </is>
      </c>
      <c r="D1710" s="0" t="inlineStr">
        <is>
          <t>NULL</t>
        </is>
      </c>
      <c r="E1710" s="0" t="inlineStr">
        <is>
          <t>NULL</t>
        </is>
      </c>
      <c r="F1710" s="0" t="inlineStr">
        <is>
          <t>NULL</t>
        </is>
      </c>
      <c r="G1710" s="0" t="inlineStr">
        <is>
          <t>NULL</t>
        </is>
      </c>
      <c r="H1710" s="0" t="inlineStr">
        <is>
          <t>NULL</t>
        </is>
      </c>
      <c r="I1710" s="0" t="inlineStr">
        <is>
          <t>NULL</t>
        </is>
      </c>
      <c r="J1710" s="0" t="inlineStr">
        <is>
          <t>NULL</t>
        </is>
      </c>
      <c r="K1710" s="0" t="inlineStr">
        <is>
          <t>YES! 	 c_int列源备映射正确，源端为int None位	期望更改为int	实际备端为int None位</t>
        </is>
      </c>
    </row>
    <row r="1711">
      <c r="B1711" s="0" t="inlineStr">
        <is>
          <t>NULL</t>
        </is>
      </c>
      <c r="C1711" s="0" t="inlineStr">
        <is>
          <t>NULL</t>
        </is>
      </c>
      <c r="D1711" s="0" t="inlineStr">
        <is>
          <t>NULL</t>
        </is>
      </c>
      <c r="E1711" s="0" t="inlineStr">
        <is>
          <t>NULL</t>
        </is>
      </c>
      <c r="F1711" s="0" t="inlineStr">
        <is>
          <t>NULL</t>
        </is>
      </c>
      <c r="G1711" s="0" t="inlineStr">
        <is>
          <t>NULL</t>
        </is>
      </c>
      <c r="H1711" s="0" t="inlineStr">
        <is>
          <t>NULL</t>
        </is>
      </c>
      <c r="I1711" s="0" t="inlineStr">
        <is>
          <t>NULL</t>
        </is>
      </c>
      <c r="J1711" s="0" t="inlineStr">
        <is>
          <t>NULL</t>
        </is>
      </c>
      <c r="K1711" s="0" t="inlineStr">
        <is>
          <t>YES! 	 c_bigint列源备映射正确，源端为bigint None位	期望更改为bigint	实际备端为bigint None位</t>
        </is>
      </c>
    </row>
    <row r="1712">
      <c r="B1712" s="0" t="inlineStr">
        <is>
          <t>NULL</t>
        </is>
      </c>
      <c r="C1712" s="0" t="inlineStr">
        <is>
          <t>NULL</t>
        </is>
      </c>
      <c r="D1712" s="0" t="inlineStr">
        <is>
          <t>NULL</t>
        </is>
      </c>
      <c r="E1712" s="0" t="inlineStr">
        <is>
          <t>NULL</t>
        </is>
      </c>
      <c r="F1712" s="0" t="inlineStr">
        <is>
          <t>NULL</t>
        </is>
      </c>
      <c r="G1712" s="0" t="inlineStr">
        <is>
          <t>NULL</t>
        </is>
      </c>
      <c r="H1712" s="0" t="inlineStr">
        <is>
          <t>NULL</t>
        </is>
      </c>
      <c r="I1712" s="0" t="inlineStr">
        <is>
          <t>NULL</t>
        </is>
      </c>
      <c r="J1712" s="0" t="inlineStr">
        <is>
          <t>NULL</t>
        </is>
      </c>
      <c r="K1712" s="0" t="inlineStr">
        <is>
          <t>YES! 	 c_decimal列源备映射正确，源端为decimal None位	期望更改为decimal(p,s)	实际备端为decimal None位</t>
        </is>
      </c>
    </row>
    <row r="1713">
      <c r="B1713" s="0" t="inlineStr">
        <is>
          <t>NULL</t>
        </is>
      </c>
      <c r="C1713" s="0" t="inlineStr">
        <is>
          <t>NULL</t>
        </is>
      </c>
      <c r="D1713" s="0" t="inlineStr">
        <is>
          <t>NULL</t>
        </is>
      </c>
      <c r="E1713" s="0" t="inlineStr">
        <is>
          <t>NULL</t>
        </is>
      </c>
      <c r="F1713" s="0" t="inlineStr">
        <is>
          <t>NULL</t>
        </is>
      </c>
      <c r="G1713" s="0" t="inlineStr">
        <is>
          <t>NULL</t>
        </is>
      </c>
      <c r="H1713" s="0" t="inlineStr">
        <is>
          <t>NULL</t>
        </is>
      </c>
      <c r="I1713" s="0" t="inlineStr">
        <is>
          <t>NULL</t>
        </is>
      </c>
      <c r="J1713" s="0" t="inlineStr">
        <is>
          <t>NULL</t>
        </is>
      </c>
      <c r="K1713" s="0" t="inlineStr">
        <is>
          <t>YES! 	 c_decimal38列源备映射正确，源端为decimal None位	期望更改为decimal(p,s)	实际备端为decimal None位</t>
        </is>
      </c>
    </row>
    <row r="1714">
      <c r="B1714" s="0" t="inlineStr">
        <is>
          <t>NULL</t>
        </is>
      </c>
      <c r="C1714" s="0" t="inlineStr">
        <is>
          <t>NULL</t>
        </is>
      </c>
      <c r="D1714" s="0" t="inlineStr">
        <is>
          <t>NULL</t>
        </is>
      </c>
      <c r="E1714" s="0" t="inlineStr">
        <is>
          <t>NULL</t>
        </is>
      </c>
      <c r="F1714" s="0" t="inlineStr">
        <is>
          <t>NULL</t>
        </is>
      </c>
      <c r="G1714" s="0" t="inlineStr">
        <is>
          <t>NULL</t>
        </is>
      </c>
      <c r="H1714" s="0" t="inlineStr">
        <is>
          <t>NULL</t>
        </is>
      </c>
      <c r="I1714" s="0" t="inlineStr">
        <is>
          <t>NULL</t>
        </is>
      </c>
      <c r="J1714" s="0" t="inlineStr">
        <is>
          <t>NULL</t>
        </is>
      </c>
      <c r="K1714" s="0" t="inlineStr">
        <is>
          <t xml:space="preserve"> NO!  	 c_decimal38_38列源备映射错误，源端为decimal None位	期望更改为decimal(p,s)	实际备端为varchar 168位</t>
        </is>
      </c>
    </row>
    <row r="1715">
      <c r="B1715" s="0" t="inlineStr">
        <is>
          <t>NULL</t>
        </is>
      </c>
      <c r="C1715" s="0" t="inlineStr">
        <is>
          <t>NULL</t>
        </is>
      </c>
      <c r="D1715" s="0" t="inlineStr">
        <is>
          <t>NULL</t>
        </is>
      </c>
      <c r="E1715" s="0" t="inlineStr">
        <is>
          <t>NULL</t>
        </is>
      </c>
      <c r="F1715" s="0" t="inlineStr">
        <is>
          <t>NULL</t>
        </is>
      </c>
      <c r="G1715" s="0" t="inlineStr">
        <is>
          <t>NULL</t>
        </is>
      </c>
      <c r="H1715" s="0" t="inlineStr">
        <is>
          <t>NULL</t>
        </is>
      </c>
      <c r="I1715" s="0" t="inlineStr">
        <is>
          <t>NULL</t>
        </is>
      </c>
      <c r="J1715" s="0" t="inlineStr">
        <is>
          <t>NULL</t>
        </is>
      </c>
      <c r="K1715" s="0" t="inlineStr">
        <is>
          <t>YES! 	 c_decimal38_10列源备映射正确，源端为decimal None位	期望更改为decimal(p,s)	实际备端为decimal None位</t>
        </is>
      </c>
    </row>
    <row r="1716">
      <c r="B1716" s="0" t="inlineStr">
        <is>
          <t>NULL</t>
        </is>
      </c>
      <c r="C1716" s="0" t="inlineStr">
        <is>
          <t>NULL</t>
        </is>
      </c>
      <c r="D1716" s="0" t="inlineStr">
        <is>
          <t>NULL</t>
        </is>
      </c>
      <c r="E1716" s="0" t="inlineStr">
        <is>
          <t>NULL</t>
        </is>
      </c>
      <c r="F1716" s="0" t="inlineStr">
        <is>
          <t>NULL</t>
        </is>
      </c>
      <c r="G1716" s="0" t="inlineStr">
        <is>
          <t>NULL</t>
        </is>
      </c>
      <c r="H1716" s="0" t="inlineStr">
        <is>
          <t>NULL</t>
        </is>
      </c>
      <c r="I1716" s="0" t="inlineStr">
        <is>
          <t>NULL</t>
        </is>
      </c>
      <c r="J1716" s="0" t="inlineStr">
        <is>
          <t>NULL</t>
        </is>
      </c>
      <c r="K1716" s="0" t="inlineStr">
        <is>
          <t>YES! 	 c_decimal19_4列源备映射正确，源端为decimal None位	期望更改为decimal(p,s)	实际备端为decimal None位</t>
        </is>
      </c>
    </row>
    <row r="1717">
      <c r="B1717" s="0" t="inlineStr">
        <is>
          <t>NULL</t>
        </is>
      </c>
      <c r="C1717" s="0" t="inlineStr">
        <is>
          <t>NULL</t>
        </is>
      </c>
      <c r="D1717" s="0" t="inlineStr">
        <is>
          <t>NULL</t>
        </is>
      </c>
      <c r="E1717" s="0" t="inlineStr">
        <is>
          <t>NULL</t>
        </is>
      </c>
      <c r="F1717" s="0" t="inlineStr">
        <is>
          <t>NULL</t>
        </is>
      </c>
      <c r="G1717" s="0" t="inlineStr">
        <is>
          <t>NULL</t>
        </is>
      </c>
      <c r="H1717" s="0" t="inlineStr">
        <is>
          <t>NULL</t>
        </is>
      </c>
      <c r="I1717" s="0" t="inlineStr">
        <is>
          <t>NULL</t>
        </is>
      </c>
      <c r="J1717" s="0" t="inlineStr">
        <is>
          <t>NULL</t>
        </is>
      </c>
      <c r="K1717" s="0" t="inlineStr">
        <is>
          <t>YES! 	 c_numeric列源备映射正确，源端为numeric None位	期望更改为decimal(p,s)	实际备端为decimal None位</t>
        </is>
      </c>
    </row>
    <row r="1718">
      <c r="B1718" s="0" t="inlineStr">
        <is>
          <t>NULL</t>
        </is>
      </c>
      <c r="C1718" s="0" t="inlineStr">
        <is>
          <t>NULL</t>
        </is>
      </c>
      <c r="D1718" s="0" t="inlineStr">
        <is>
          <t>NULL</t>
        </is>
      </c>
      <c r="E1718" s="0" t="inlineStr">
        <is>
          <t>NULL</t>
        </is>
      </c>
      <c r="F1718" s="0" t="inlineStr">
        <is>
          <t>NULL</t>
        </is>
      </c>
      <c r="G1718" s="0" t="inlineStr">
        <is>
          <t>NULL</t>
        </is>
      </c>
      <c r="H1718" s="0" t="inlineStr">
        <is>
          <t>NULL</t>
        </is>
      </c>
      <c r="I1718" s="0" t="inlineStr">
        <is>
          <t>NULL</t>
        </is>
      </c>
      <c r="J1718" s="0" t="inlineStr">
        <is>
          <t>NULL</t>
        </is>
      </c>
      <c r="K1718" s="0" t="inlineStr">
        <is>
          <t>YES! 	 c_numeric38列源备映射正确，源端为numeric None位	期望更改为decimal(p,s)	实际备端为decimal None位</t>
        </is>
      </c>
    </row>
    <row r="1719">
      <c r="B1719" s="0" t="inlineStr">
        <is>
          <t>NULL</t>
        </is>
      </c>
      <c r="C1719" s="0" t="inlineStr">
        <is>
          <t>NULL</t>
        </is>
      </c>
      <c r="D1719" s="0" t="inlineStr">
        <is>
          <t>NULL</t>
        </is>
      </c>
      <c r="E1719" s="0" t="inlineStr">
        <is>
          <t>NULL</t>
        </is>
      </c>
      <c r="F1719" s="0" t="inlineStr">
        <is>
          <t>NULL</t>
        </is>
      </c>
      <c r="G1719" s="0" t="inlineStr">
        <is>
          <t>NULL</t>
        </is>
      </c>
      <c r="H1719" s="0" t="inlineStr">
        <is>
          <t>NULL</t>
        </is>
      </c>
      <c r="I1719" s="0" t="inlineStr">
        <is>
          <t>NULL</t>
        </is>
      </c>
      <c r="J1719" s="0" t="inlineStr">
        <is>
          <t>NULL</t>
        </is>
      </c>
      <c r="K1719" s="0" t="inlineStr">
        <is>
          <t xml:space="preserve"> NO!  	 c_numeric38_38列源备映射错误，源端为numeric None位	期望更改为decimal(p,s)	实际备端为varchar 168位</t>
        </is>
      </c>
    </row>
    <row r="1720">
      <c r="B1720" s="0" t="inlineStr">
        <is>
          <t>NULL</t>
        </is>
      </c>
      <c r="C1720" s="0" t="inlineStr">
        <is>
          <t>NULL</t>
        </is>
      </c>
      <c r="D1720" s="0" t="inlineStr">
        <is>
          <t>NULL</t>
        </is>
      </c>
      <c r="E1720" s="0" t="inlineStr">
        <is>
          <t>NULL</t>
        </is>
      </c>
      <c r="F1720" s="0" t="inlineStr">
        <is>
          <t>NULL</t>
        </is>
      </c>
      <c r="G1720" s="0" t="inlineStr">
        <is>
          <t>NULL</t>
        </is>
      </c>
      <c r="H1720" s="0" t="inlineStr">
        <is>
          <t>NULL</t>
        </is>
      </c>
      <c r="I1720" s="0" t="inlineStr">
        <is>
          <t>NULL</t>
        </is>
      </c>
      <c r="J1720" s="0" t="inlineStr">
        <is>
          <t>NULL</t>
        </is>
      </c>
      <c r="K1720" s="0" t="inlineStr">
        <is>
          <t>YES! 	 c_numeric38_10列源备映射正确，源端为numeric None位	期望更改为decimal(p,s)	实际备端为decimal None位</t>
        </is>
      </c>
    </row>
    <row r="1721">
      <c r="B1721" s="0" t="inlineStr">
        <is>
          <t>NULL</t>
        </is>
      </c>
      <c r="C1721" s="0" t="inlineStr">
        <is>
          <t>NULL</t>
        </is>
      </c>
      <c r="D1721" s="0" t="inlineStr">
        <is>
          <t>NULL</t>
        </is>
      </c>
      <c r="E1721" s="0" t="inlineStr">
        <is>
          <t>NULL</t>
        </is>
      </c>
      <c r="F1721" s="0" t="inlineStr">
        <is>
          <t>NULL</t>
        </is>
      </c>
      <c r="G1721" s="0" t="inlineStr">
        <is>
          <t>NULL</t>
        </is>
      </c>
      <c r="H1721" s="0" t="inlineStr">
        <is>
          <t>NULL</t>
        </is>
      </c>
      <c r="I1721" s="0" t="inlineStr">
        <is>
          <t>NULL</t>
        </is>
      </c>
      <c r="J1721" s="0" t="inlineStr">
        <is>
          <t>NULL</t>
        </is>
      </c>
      <c r="K1721" s="0" t="inlineStr">
        <is>
          <t>YES! 	 c_numeric18_2列源备映射正确，源端为numeric None位	期望更改为decimal(p,s)	实际备端为decimal None位</t>
        </is>
      </c>
    </row>
    <row r="1722">
      <c r="B1722" s="0" t="inlineStr">
        <is>
          <t>NULL</t>
        </is>
      </c>
      <c r="C1722" s="0" t="inlineStr">
        <is>
          <t>NULL</t>
        </is>
      </c>
      <c r="D1722" s="0" t="inlineStr">
        <is>
          <t>NULL</t>
        </is>
      </c>
      <c r="E1722" s="0" t="inlineStr">
        <is>
          <t>NULL</t>
        </is>
      </c>
      <c r="F1722" s="0" t="inlineStr">
        <is>
          <t>NULL</t>
        </is>
      </c>
      <c r="G1722" s="0" t="inlineStr">
        <is>
          <t>NULL</t>
        </is>
      </c>
      <c r="H1722" s="0" t="inlineStr">
        <is>
          <t>NULL</t>
        </is>
      </c>
      <c r="I1722" s="0" t="inlineStr">
        <is>
          <t>NULL</t>
        </is>
      </c>
      <c r="J1722" s="0" t="inlineStr">
        <is>
          <t>NULL</t>
        </is>
      </c>
      <c r="K1722" s="0" t="inlineStr">
        <is>
          <t>YES! 	 c_float列源备映射正确，源端为float None位	期望更改为double	实际备端为double None位</t>
        </is>
      </c>
    </row>
    <row r="1723">
      <c r="B1723" s="0" t="inlineStr">
        <is>
          <t>NULL</t>
        </is>
      </c>
      <c r="C1723" s="0" t="inlineStr">
        <is>
          <t>NULL</t>
        </is>
      </c>
      <c r="D1723" s="0" t="inlineStr">
        <is>
          <t>NULL</t>
        </is>
      </c>
      <c r="E1723" s="0" t="inlineStr">
        <is>
          <t>NULL</t>
        </is>
      </c>
      <c r="F1723" s="0" t="inlineStr">
        <is>
          <t>NULL</t>
        </is>
      </c>
      <c r="G1723" s="0" t="inlineStr">
        <is>
          <t>NULL</t>
        </is>
      </c>
      <c r="H1723" s="0" t="inlineStr">
        <is>
          <t>NULL</t>
        </is>
      </c>
      <c r="I1723" s="0" t="inlineStr">
        <is>
          <t>NULL</t>
        </is>
      </c>
      <c r="J1723" s="0" t="inlineStr">
        <is>
          <t>NULL</t>
        </is>
      </c>
      <c r="K1723" s="0" t="inlineStr">
        <is>
          <t>YES! 	 c_real列源备映射正确，源端为real None位	期望更改为double	实际备端为double None位</t>
        </is>
      </c>
    </row>
    <row r="1724">
      <c r="B1724" s="0" t="inlineStr">
        <is>
          <t>NULL</t>
        </is>
      </c>
      <c r="C1724" s="0" t="inlineStr">
        <is>
          <t>NULL</t>
        </is>
      </c>
      <c r="D1724" s="0" t="inlineStr">
        <is>
          <t>NULL</t>
        </is>
      </c>
      <c r="E1724" s="0" t="inlineStr">
        <is>
          <t>NULL</t>
        </is>
      </c>
      <c r="F1724" s="0" t="inlineStr">
        <is>
          <t>NULL</t>
        </is>
      </c>
      <c r="G1724" s="0" t="inlineStr">
        <is>
          <t>NULL</t>
        </is>
      </c>
      <c r="H1724" s="0" t="inlineStr">
        <is>
          <t>NULL</t>
        </is>
      </c>
      <c r="I1724" s="0" t="inlineStr">
        <is>
          <t>NULL</t>
        </is>
      </c>
      <c r="J1724" s="0" t="inlineStr">
        <is>
          <t>NULL</t>
        </is>
      </c>
      <c r="K1724" s="0" t="inlineStr">
        <is>
          <t>YES! 	 c_money列源备映射正确，源端为money None位	期望更改为decimal(19,4)	实际备端为decimal None位</t>
        </is>
      </c>
    </row>
    <row r="1725">
      <c r="B1725" s="0" t="inlineStr">
        <is>
          <t>NULL</t>
        </is>
      </c>
      <c r="C1725" s="0" t="inlineStr">
        <is>
          <t>NULL</t>
        </is>
      </c>
      <c r="D1725" s="0" t="inlineStr">
        <is>
          <t>NULL</t>
        </is>
      </c>
      <c r="E1725" s="0" t="inlineStr">
        <is>
          <t>NULL</t>
        </is>
      </c>
      <c r="F1725" s="0" t="inlineStr">
        <is>
          <t>NULL</t>
        </is>
      </c>
      <c r="G1725" s="0" t="inlineStr">
        <is>
          <t>NULL</t>
        </is>
      </c>
      <c r="H1725" s="0" t="inlineStr">
        <is>
          <t>NULL</t>
        </is>
      </c>
      <c r="I1725" s="0" t="inlineStr">
        <is>
          <t>NULL</t>
        </is>
      </c>
      <c r="J1725" s="0" t="inlineStr">
        <is>
          <t>NULL</t>
        </is>
      </c>
      <c r="K1725" s="0" t="inlineStr">
        <is>
          <t>YES! 	 c_smallmoney列源备映射正确，源端为smallmoney None位	期望更改为decimal(10,4)	实际备端为decimal None位</t>
        </is>
      </c>
    </row>
    <row r="1726">
      <c r="B1726" s="0" t="inlineStr">
        <is>
          <t>NULL</t>
        </is>
      </c>
      <c r="C1726" s="0" t="inlineStr">
        <is>
          <t>NULL</t>
        </is>
      </c>
      <c r="D1726" s="0" t="inlineStr">
        <is>
          <t>NULL</t>
        </is>
      </c>
      <c r="E1726" s="0" t="inlineStr">
        <is>
          <t>NULL</t>
        </is>
      </c>
      <c r="F1726" s="0" t="inlineStr">
        <is>
          <t>NULL</t>
        </is>
      </c>
      <c r="G1726" s="0" t="inlineStr">
        <is>
          <t>NULL</t>
        </is>
      </c>
      <c r="H1726" s="0" t="inlineStr">
        <is>
          <t>NULL</t>
        </is>
      </c>
      <c r="I1726" s="0" t="inlineStr">
        <is>
          <t>NULL</t>
        </is>
      </c>
      <c r="J1726" s="0" t="inlineStr">
        <is>
          <t>NULL</t>
        </is>
      </c>
      <c r="K1726" s="0" t="inlineStr">
        <is>
          <t>YES! 	 c_bit列源备映射正确，源端为bit None位	期望更改为tinyint(1) 	实际备端为tinyint None位</t>
        </is>
      </c>
    </row>
    <row r="1727">
      <c r="A1727" s="0" t="inlineStr">
        <is>
          <t>info_uniqueidentifier_dml_single_pk</t>
        </is>
      </c>
      <c r="K1727" s="0" t="inlineStr">
        <is>
          <t>[0;34m info_uniqueidentifier_dml_single_pk [0m源备字段数相同，源端字段：2 	备端字段2</t>
        </is>
      </c>
      <c r="W1727" s="0" t="inlineStr">
        <is>
          <t>YES 源备无差异</t>
        </is>
      </c>
      <c r="X1727" s="0">
        <f>A1727</f>
        <v/>
      </c>
    </row>
    <row r="1728">
      <c r="B1728" s="0" t="inlineStr">
        <is>
          <t>YES</t>
        </is>
      </c>
      <c r="C1728" s="0" t="inlineStr">
        <is>
          <t>NULL</t>
        </is>
      </c>
      <c r="D1728" s="0" t="inlineStr">
        <is>
          <t>NULL</t>
        </is>
      </c>
      <c r="E1728" s="0" t="inlineStr">
        <is>
          <t>NULL</t>
        </is>
      </c>
      <c r="F1728" s="0" t="inlineStr">
        <is>
          <t>NULL</t>
        </is>
      </c>
      <c r="G1728" s="0" t="inlineStr">
        <is>
          <t>NULL</t>
        </is>
      </c>
      <c r="H1728" s="0" t="inlineStr">
        <is>
          <t>NULL</t>
        </is>
      </c>
      <c r="I1728" s="0" t="inlineStr">
        <is>
          <t>YES!PK__info_uni__3213E83F8F66C056</t>
        </is>
      </c>
      <c r="J1728" s="0" t="inlineStr">
        <is>
          <t>YES! 主键相关索引</t>
        </is>
      </c>
      <c r="K1728" s="0" t="inlineStr">
        <is>
          <t>YES! 	 id列源备映射正确，源端为int None位	期望更改为int	实际备端为int None位</t>
        </is>
      </c>
    </row>
    <row r="1729">
      <c r="B1729" s="0" t="inlineStr">
        <is>
          <t>NULL</t>
        </is>
      </c>
      <c r="C1729" s="0" t="inlineStr">
        <is>
          <t>NULL</t>
        </is>
      </c>
      <c r="D1729" s="0" t="inlineStr">
        <is>
          <t>NULL</t>
        </is>
      </c>
      <c r="E1729" s="0" t="inlineStr">
        <is>
          <t>NULL</t>
        </is>
      </c>
      <c r="F1729" s="0" t="inlineStr">
        <is>
          <t>NULL</t>
        </is>
      </c>
      <c r="G1729" s="0" t="inlineStr">
        <is>
          <t>NULL</t>
        </is>
      </c>
      <c r="H1729" s="0" t="inlineStr">
        <is>
          <t>NULL</t>
        </is>
      </c>
      <c r="I1729" s="0" t="inlineStr">
        <is>
          <t>NULL</t>
        </is>
      </c>
      <c r="J1729" s="0" t="inlineStr">
        <is>
          <t>NULL</t>
        </is>
      </c>
      <c r="K1729" s="0" t="inlineStr">
        <is>
          <t>[0;32m YES! [0m 	 c_uniqueidentifier列源备映射正确，源端为uniqueidentifier None位	期望更改为VARCHAR(100)	实际备端为varchar 400位	位数精度不存在，通过长度比较</t>
        </is>
      </c>
    </row>
    <row r="1730">
      <c r="A1730" s="0" t="inlineStr">
        <is>
          <t>info_varbinary_max_dml_single_pk_urp</t>
        </is>
      </c>
      <c r="K1730" s="0" t="inlineStr">
        <is>
          <t>[0;34m info_varbinary_max_dml_single_pk_urp [0m源备字段数相同，源端字段：4 	备端字段4</t>
        </is>
      </c>
      <c r="W1730" s="0" t="inlineStr">
        <is>
          <t>YES 源备无差异</t>
        </is>
      </c>
      <c r="X1730" s="0">
        <f>A1730</f>
        <v/>
      </c>
    </row>
    <row r="1731">
      <c r="B1731" s="0" t="inlineStr">
        <is>
          <t>YES</t>
        </is>
      </c>
      <c r="C1731" s="0" t="inlineStr">
        <is>
          <t>NULL</t>
        </is>
      </c>
      <c r="D1731" s="0" t="inlineStr">
        <is>
          <t>NULL</t>
        </is>
      </c>
      <c r="E1731" s="0" t="inlineStr">
        <is>
          <t>NULL</t>
        </is>
      </c>
      <c r="F1731" s="0" t="inlineStr">
        <is>
          <t>NULL</t>
        </is>
      </c>
      <c r="G1731" s="0" t="inlineStr">
        <is>
          <t>NULL</t>
        </is>
      </c>
      <c r="H1731" s="0" t="inlineStr">
        <is>
          <t>NULL</t>
        </is>
      </c>
      <c r="I1731" s="0" t="inlineStr">
        <is>
          <t>YES!PK__info_var__3213E83FE861EA08</t>
        </is>
      </c>
      <c r="J1731" s="0" t="inlineStr">
        <is>
          <t>YES! 主键相关索引</t>
        </is>
      </c>
      <c r="K1731" s="0" t="inlineStr">
        <is>
          <t>YES! 	 id列源备映射正确，源端为int None位	期望更改为int	实际备端为int None位</t>
        </is>
      </c>
    </row>
    <row r="1732">
      <c r="B1732" s="0" t="inlineStr">
        <is>
          <t>NULL</t>
        </is>
      </c>
      <c r="C1732" s="0" t="inlineStr">
        <is>
          <t>NULL</t>
        </is>
      </c>
      <c r="D1732" s="0" t="inlineStr">
        <is>
          <t>NULL</t>
        </is>
      </c>
      <c r="E1732" s="0" t="inlineStr">
        <is>
          <t>NULL</t>
        </is>
      </c>
      <c r="F1732" s="0" t="inlineStr">
        <is>
          <t>NULL</t>
        </is>
      </c>
      <c r="G1732" s="0" t="inlineStr">
        <is>
          <t>NULL</t>
        </is>
      </c>
      <c r="H1732" s="0" t="inlineStr">
        <is>
          <t>NULL</t>
        </is>
      </c>
      <c r="I1732" s="0" t="inlineStr">
        <is>
          <t>NULL</t>
        </is>
      </c>
      <c r="J1732" s="0" t="inlineStr">
        <is>
          <t>NULL</t>
        </is>
      </c>
      <c r="K1732" s="0" t="inlineStr">
        <is>
          <t>YES! 	 c_varbinary_max1列源备映射正确，源端为varbinary -1位	期望更改为longblob	实际备端为longblob 4294967295位</t>
        </is>
      </c>
    </row>
    <row r="1733">
      <c r="B1733" s="0" t="inlineStr">
        <is>
          <t>NULL</t>
        </is>
      </c>
      <c r="C1733" s="0" t="inlineStr">
        <is>
          <t>NULL</t>
        </is>
      </c>
      <c r="D1733" s="0" t="inlineStr">
        <is>
          <t>NULL</t>
        </is>
      </c>
      <c r="E1733" s="0" t="inlineStr">
        <is>
          <t>NULL</t>
        </is>
      </c>
      <c r="F1733" s="0" t="inlineStr">
        <is>
          <t>NULL</t>
        </is>
      </c>
      <c r="G1733" s="0" t="inlineStr">
        <is>
          <t>NULL</t>
        </is>
      </c>
      <c r="H1733" s="0" t="inlineStr">
        <is>
          <t>NULL</t>
        </is>
      </c>
      <c r="I1733" s="0" t="inlineStr">
        <is>
          <t>NULL</t>
        </is>
      </c>
      <c r="J1733" s="0" t="inlineStr">
        <is>
          <t>NULL</t>
        </is>
      </c>
      <c r="K1733" s="0" t="inlineStr">
        <is>
          <t>YES! 	 c_varbinary_max2列源备映射正确，源端为varbinary -1位	期望更改为longblob	实际备端为longblob 4294967295位</t>
        </is>
      </c>
    </row>
    <row r="1734">
      <c r="B1734" s="0" t="inlineStr">
        <is>
          <t>NULL</t>
        </is>
      </c>
      <c r="C1734" s="0" t="inlineStr">
        <is>
          <t>NULL</t>
        </is>
      </c>
      <c r="D1734" s="0" t="inlineStr">
        <is>
          <t>NULL</t>
        </is>
      </c>
      <c r="E1734" s="0" t="inlineStr">
        <is>
          <t>NULL</t>
        </is>
      </c>
      <c r="F1734" s="0" t="inlineStr">
        <is>
          <t>NULL</t>
        </is>
      </c>
      <c r="G1734" s="0" t="inlineStr">
        <is>
          <t>NULL</t>
        </is>
      </c>
      <c r="H1734" s="0" t="inlineStr">
        <is>
          <t>NULL</t>
        </is>
      </c>
      <c r="I1734" s="0" t="inlineStr">
        <is>
          <t>NULL</t>
        </is>
      </c>
      <c r="J1734" s="0" t="inlineStr">
        <is>
          <t>NULL</t>
        </is>
      </c>
      <c r="K1734" s="0" t="inlineStr">
        <is>
          <t>YES! 	 c_image3列源备映射正确，源端为image 2147483647位	期望更改为longblob	实际备端为longblob 4294967295位</t>
        </is>
      </c>
    </row>
    <row r="1735">
      <c r="A1735" s="0" t="inlineStr">
        <is>
          <t>info_int_dml_batch2_pk_irp2</t>
        </is>
      </c>
      <c r="K1735" s="0" t="inlineStr">
        <is>
          <t>[0;34m info_int_dml_batch2_pk_irp2 [0m源备字段数相同，源端字段：20 	备端字段20</t>
        </is>
      </c>
      <c r="W1735" s="15">
        <f>HYPERLINK("#2026051816mysql2!BU2","NO 源备存在差异，共8个")</f>
        <v/>
      </c>
      <c r="X1735" s="0">
        <f>A1735</f>
        <v/>
      </c>
    </row>
    <row r="1736">
      <c r="B1736" s="0" t="inlineStr">
        <is>
          <t>YES</t>
        </is>
      </c>
      <c r="C1736" s="0" t="inlineStr">
        <is>
          <t>NULL</t>
        </is>
      </c>
      <c r="D1736" s="0" t="inlineStr">
        <is>
          <t>NULL</t>
        </is>
      </c>
      <c r="E1736" s="0" t="inlineStr">
        <is>
          <t>NULL</t>
        </is>
      </c>
      <c r="F1736" s="0" t="inlineStr">
        <is>
          <t>NULL</t>
        </is>
      </c>
      <c r="G1736" s="0" t="inlineStr">
        <is>
          <t>NULL</t>
        </is>
      </c>
      <c r="H1736" s="0" t="inlineStr">
        <is>
          <t>NULL</t>
        </is>
      </c>
      <c r="I1736" s="0" t="inlineStr">
        <is>
          <t>YES!PK__info_int__3213E83FE80A05E7</t>
        </is>
      </c>
      <c r="J1736" s="0" t="inlineStr">
        <is>
          <t>YES! 主键相关索引</t>
        </is>
      </c>
      <c r="K1736" s="0" t="inlineStr">
        <is>
          <t>YES! 	 id列源备映射正确，源端为int None位	期望更改为int	实际备端为int None位</t>
        </is>
      </c>
    </row>
    <row r="1737">
      <c r="B1737" s="0" t="inlineStr">
        <is>
          <t>NULL</t>
        </is>
      </c>
      <c r="C1737" s="0" t="inlineStr">
        <is>
          <t>NULL</t>
        </is>
      </c>
      <c r="D1737" s="0" t="inlineStr">
        <is>
          <t>NULL</t>
        </is>
      </c>
      <c r="E1737" s="0" t="inlineStr">
        <is>
          <t>NULL</t>
        </is>
      </c>
      <c r="F1737" s="0" t="inlineStr">
        <is>
          <t>NULL</t>
        </is>
      </c>
      <c r="G1737" s="0" t="inlineStr">
        <is>
          <t>NULL</t>
        </is>
      </c>
      <c r="H1737" s="0" t="inlineStr">
        <is>
          <t>NULL</t>
        </is>
      </c>
      <c r="I1737" s="0" t="inlineStr">
        <is>
          <t>NULL</t>
        </is>
      </c>
      <c r="J1737" s="0" t="inlineStr">
        <is>
          <t>NULL</t>
        </is>
      </c>
      <c r="K1737" s="0" t="inlineStr">
        <is>
          <t>YES! 	 c_tinyint列源备映射正确，源端为tinyint None位	期望更改为tinyint	实际备端为tinyint None位</t>
        </is>
      </c>
    </row>
    <row r="1738">
      <c r="B1738" s="0" t="inlineStr">
        <is>
          <t>NULL</t>
        </is>
      </c>
      <c r="C1738" s="0" t="inlineStr">
        <is>
          <t>NULL</t>
        </is>
      </c>
      <c r="D1738" s="0" t="inlineStr">
        <is>
          <t>NULL</t>
        </is>
      </c>
      <c r="E1738" s="0" t="inlineStr">
        <is>
          <t>NULL</t>
        </is>
      </c>
      <c r="F1738" s="0" t="inlineStr">
        <is>
          <t>NULL</t>
        </is>
      </c>
      <c r="G1738" s="0" t="inlineStr">
        <is>
          <t>NULL</t>
        </is>
      </c>
      <c r="H1738" s="0" t="inlineStr">
        <is>
          <t>NULL</t>
        </is>
      </c>
      <c r="I1738" s="0" t="inlineStr">
        <is>
          <t>NULL</t>
        </is>
      </c>
      <c r="J1738" s="0" t="inlineStr">
        <is>
          <t>NULL</t>
        </is>
      </c>
      <c r="K1738" s="0" t="inlineStr">
        <is>
          <t>YES! 	 c_smallint列源备映射正确，源端为smallint None位	期望更改为smallint	实际备端为smallint None位</t>
        </is>
      </c>
    </row>
    <row r="1739">
      <c r="B1739" s="0" t="inlineStr">
        <is>
          <t>NULL</t>
        </is>
      </c>
      <c r="C1739" s="0" t="inlineStr">
        <is>
          <t>NULL</t>
        </is>
      </c>
      <c r="D1739" s="0" t="inlineStr">
        <is>
          <t>NULL</t>
        </is>
      </c>
      <c r="E1739" s="0" t="inlineStr">
        <is>
          <t>NULL</t>
        </is>
      </c>
      <c r="F1739" s="0" t="inlineStr">
        <is>
          <t>NULL</t>
        </is>
      </c>
      <c r="G1739" s="0" t="inlineStr">
        <is>
          <t>NULL</t>
        </is>
      </c>
      <c r="H1739" s="0" t="inlineStr">
        <is>
          <t>NULL</t>
        </is>
      </c>
      <c r="I1739" s="0" t="inlineStr">
        <is>
          <t>NULL</t>
        </is>
      </c>
      <c r="J1739" s="0" t="inlineStr">
        <is>
          <t>NULL</t>
        </is>
      </c>
      <c r="K1739" s="0" t="inlineStr">
        <is>
          <t>YES! 	 c_int列源备映射正确，源端为int None位	期望更改为int	实际备端为int None位</t>
        </is>
      </c>
    </row>
    <row r="1740">
      <c r="B1740" s="0" t="inlineStr">
        <is>
          <t>NULL</t>
        </is>
      </c>
      <c r="C1740" s="0" t="inlineStr">
        <is>
          <t>NULL</t>
        </is>
      </c>
      <c r="D1740" s="0" t="inlineStr">
        <is>
          <t>NULL</t>
        </is>
      </c>
      <c r="E1740" s="0" t="inlineStr">
        <is>
          <t>NULL</t>
        </is>
      </c>
      <c r="F1740" s="0" t="inlineStr">
        <is>
          <t>NULL</t>
        </is>
      </c>
      <c r="G1740" s="0" t="inlineStr">
        <is>
          <t>NULL</t>
        </is>
      </c>
      <c r="H1740" s="0" t="inlineStr">
        <is>
          <t>NULL</t>
        </is>
      </c>
      <c r="I1740" s="0" t="inlineStr">
        <is>
          <t>NULL</t>
        </is>
      </c>
      <c r="J1740" s="0" t="inlineStr">
        <is>
          <t>NULL</t>
        </is>
      </c>
      <c r="K1740" s="0" t="inlineStr">
        <is>
          <t>YES! 	 c_bigint列源备映射正确，源端为bigint None位	期望更改为bigint	实际备端为bigint None位</t>
        </is>
      </c>
    </row>
    <row r="1741">
      <c r="B1741" s="0" t="inlineStr">
        <is>
          <t>NULL</t>
        </is>
      </c>
      <c r="C1741" s="0" t="inlineStr">
        <is>
          <t>NULL</t>
        </is>
      </c>
      <c r="D1741" s="0" t="inlineStr">
        <is>
          <t>NULL</t>
        </is>
      </c>
      <c r="E1741" s="0" t="inlineStr">
        <is>
          <t>NULL</t>
        </is>
      </c>
      <c r="F1741" s="0" t="inlineStr">
        <is>
          <t>NULL</t>
        </is>
      </c>
      <c r="G1741" s="0" t="inlineStr">
        <is>
          <t>NULL</t>
        </is>
      </c>
      <c r="H1741" s="0" t="inlineStr">
        <is>
          <t>NULL</t>
        </is>
      </c>
      <c r="I1741" s="0" t="inlineStr">
        <is>
          <t>NULL</t>
        </is>
      </c>
      <c r="J1741" s="0" t="inlineStr">
        <is>
          <t>NULL</t>
        </is>
      </c>
      <c r="K1741" s="0" t="inlineStr">
        <is>
          <t>YES! 	 c_decimal列源备映射正确，源端为decimal None位	期望更改为decimal(p,s)	实际备端为decimal None位</t>
        </is>
      </c>
    </row>
    <row r="1742">
      <c r="B1742" s="0" t="inlineStr">
        <is>
          <t>NULL</t>
        </is>
      </c>
      <c r="C1742" s="0" t="inlineStr">
        <is>
          <t>NULL</t>
        </is>
      </c>
      <c r="D1742" s="0" t="inlineStr">
        <is>
          <t>NULL</t>
        </is>
      </c>
      <c r="E1742" s="0" t="inlineStr">
        <is>
          <t>NULL</t>
        </is>
      </c>
      <c r="F1742" s="0" t="inlineStr">
        <is>
          <t>NULL</t>
        </is>
      </c>
      <c r="G1742" s="0" t="inlineStr">
        <is>
          <t>NULL</t>
        </is>
      </c>
      <c r="H1742" s="0" t="inlineStr">
        <is>
          <t>NULL</t>
        </is>
      </c>
      <c r="I1742" s="0" t="inlineStr">
        <is>
          <t>NULL</t>
        </is>
      </c>
      <c r="J1742" s="0" t="inlineStr">
        <is>
          <t>NULL</t>
        </is>
      </c>
      <c r="K1742" s="0" t="inlineStr">
        <is>
          <t>YES! 	 c_decimal38列源备映射正确，源端为decimal None位	期望更改为decimal(p,s)	实际备端为decimal None位</t>
        </is>
      </c>
    </row>
    <row r="1743">
      <c r="B1743" s="0" t="inlineStr">
        <is>
          <t>NULL</t>
        </is>
      </c>
      <c r="C1743" s="0" t="inlineStr">
        <is>
          <t>NULL</t>
        </is>
      </c>
      <c r="D1743" s="0" t="inlineStr">
        <is>
          <t>NULL</t>
        </is>
      </c>
      <c r="E1743" s="0" t="inlineStr">
        <is>
          <t>NULL</t>
        </is>
      </c>
      <c r="F1743" s="0" t="inlineStr">
        <is>
          <t>NULL</t>
        </is>
      </c>
      <c r="G1743" s="0" t="inlineStr">
        <is>
          <t>NULL</t>
        </is>
      </c>
      <c r="H1743" s="0" t="inlineStr">
        <is>
          <t>NULL</t>
        </is>
      </c>
      <c r="I1743" s="0" t="inlineStr">
        <is>
          <t>NULL</t>
        </is>
      </c>
      <c r="J1743" s="0" t="inlineStr">
        <is>
          <t>NULL</t>
        </is>
      </c>
      <c r="K1743" s="0" t="inlineStr">
        <is>
          <t xml:space="preserve"> NO!  	 c_decimal38_38列源备映射错误，源端为decimal None位	期望更改为decimal(p,s)	实际备端为varchar 168位</t>
        </is>
      </c>
    </row>
    <row r="1744">
      <c r="B1744" s="0" t="inlineStr">
        <is>
          <t>NULL</t>
        </is>
      </c>
      <c r="C1744" s="0" t="inlineStr">
        <is>
          <t>NULL</t>
        </is>
      </c>
      <c r="D1744" s="0" t="inlineStr">
        <is>
          <t>NULL</t>
        </is>
      </c>
      <c r="E1744" s="0" t="inlineStr">
        <is>
          <t>NULL</t>
        </is>
      </c>
      <c r="F1744" s="0" t="inlineStr">
        <is>
          <t>NULL</t>
        </is>
      </c>
      <c r="G1744" s="0" t="inlineStr">
        <is>
          <t>NULL</t>
        </is>
      </c>
      <c r="H1744" s="0" t="inlineStr">
        <is>
          <t>NULL</t>
        </is>
      </c>
      <c r="I1744" s="0" t="inlineStr">
        <is>
          <t>NULL</t>
        </is>
      </c>
      <c r="J1744" s="0" t="inlineStr">
        <is>
          <t>NULL</t>
        </is>
      </c>
      <c r="K1744" s="0" t="inlineStr">
        <is>
          <t>YES! 	 c_decimal38_10列源备映射正确，源端为decimal None位	期望更改为decimal(p,s)	实际备端为decimal None位</t>
        </is>
      </c>
    </row>
    <row r="1745">
      <c r="B1745" s="0" t="inlineStr">
        <is>
          <t>NULL</t>
        </is>
      </c>
      <c r="C1745" s="0" t="inlineStr">
        <is>
          <t>NULL</t>
        </is>
      </c>
      <c r="D1745" s="0" t="inlineStr">
        <is>
          <t>NULL</t>
        </is>
      </c>
      <c r="E1745" s="0" t="inlineStr">
        <is>
          <t>NULL</t>
        </is>
      </c>
      <c r="F1745" s="0" t="inlineStr">
        <is>
          <t>NULL</t>
        </is>
      </c>
      <c r="G1745" s="0" t="inlineStr">
        <is>
          <t>NULL</t>
        </is>
      </c>
      <c r="H1745" s="0" t="inlineStr">
        <is>
          <t>NULL</t>
        </is>
      </c>
      <c r="I1745" s="0" t="inlineStr">
        <is>
          <t>NULL</t>
        </is>
      </c>
      <c r="J1745" s="0" t="inlineStr">
        <is>
          <t>NULL</t>
        </is>
      </c>
      <c r="K1745" s="0" t="inlineStr">
        <is>
          <t>YES! 	 c_decimal19_4列源备映射正确，源端为decimal None位	期望更改为decimal(p,s)	实际备端为decimal None位</t>
        </is>
      </c>
    </row>
    <row r="1746">
      <c r="B1746" s="0" t="inlineStr">
        <is>
          <t>NULL</t>
        </is>
      </c>
      <c r="C1746" s="0" t="inlineStr">
        <is>
          <t>NULL</t>
        </is>
      </c>
      <c r="D1746" s="0" t="inlineStr">
        <is>
          <t>NULL</t>
        </is>
      </c>
      <c r="E1746" s="0" t="inlineStr">
        <is>
          <t>NULL</t>
        </is>
      </c>
      <c r="F1746" s="0" t="inlineStr">
        <is>
          <t>NULL</t>
        </is>
      </c>
      <c r="G1746" s="0" t="inlineStr">
        <is>
          <t>NULL</t>
        </is>
      </c>
      <c r="H1746" s="0" t="inlineStr">
        <is>
          <t>NULL</t>
        </is>
      </c>
      <c r="I1746" s="0" t="inlineStr">
        <is>
          <t>NULL</t>
        </is>
      </c>
      <c r="J1746" s="0" t="inlineStr">
        <is>
          <t>NULL</t>
        </is>
      </c>
      <c r="K1746" s="0" t="inlineStr">
        <is>
          <t>YES! 	 c_numeric列源备映射正确，源端为numeric None位	期望更改为decimal(p,s)	实际备端为decimal None位</t>
        </is>
      </c>
    </row>
    <row r="1747">
      <c r="B1747" s="0" t="inlineStr">
        <is>
          <t>NULL</t>
        </is>
      </c>
      <c r="C1747" s="0" t="inlineStr">
        <is>
          <t>NULL</t>
        </is>
      </c>
      <c r="D1747" s="0" t="inlineStr">
        <is>
          <t>NULL</t>
        </is>
      </c>
      <c r="E1747" s="0" t="inlineStr">
        <is>
          <t>NULL</t>
        </is>
      </c>
      <c r="F1747" s="0" t="inlineStr">
        <is>
          <t>NULL</t>
        </is>
      </c>
      <c r="G1747" s="0" t="inlineStr">
        <is>
          <t>NULL</t>
        </is>
      </c>
      <c r="H1747" s="0" t="inlineStr">
        <is>
          <t>NULL</t>
        </is>
      </c>
      <c r="I1747" s="0" t="inlineStr">
        <is>
          <t>NULL</t>
        </is>
      </c>
      <c r="J1747" s="0" t="inlineStr">
        <is>
          <t>NULL</t>
        </is>
      </c>
      <c r="K1747" s="0" t="inlineStr">
        <is>
          <t>YES! 	 c_numeric38列源备映射正确，源端为numeric None位	期望更改为decimal(p,s)	实际备端为decimal None位</t>
        </is>
      </c>
    </row>
    <row r="1748">
      <c r="B1748" s="0" t="inlineStr">
        <is>
          <t>NULL</t>
        </is>
      </c>
      <c r="C1748" s="0" t="inlineStr">
        <is>
          <t>NULL</t>
        </is>
      </c>
      <c r="D1748" s="0" t="inlineStr">
        <is>
          <t>NULL</t>
        </is>
      </c>
      <c r="E1748" s="0" t="inlineStr">
        <is>
          <t>NULL</t>
        </is>
      </c>
      <c r="F1748" s="0" t="inlineStr">
        <is>
          <t>NULL</t>
        </is>
      </c>
      <c r="G1748" s="0" t="inlineStr">
        <is>
          <t>NULL</t>
        </is>
      </c>
      <c r="H1748" s="0" t="inlineStr">
        <is>
          <t>NULL</t>
        </is>
      </c>
      <c r="I1748" s="0" t="inlineStr">
        <is>
          <t>NULL</t>
        </is>
      </c>
      <c r="J1748" s="0" t="inlineStr">
        <is>
          <t>NULL</t>
        </is>
      </c>
      <c r="K1748" s="0" t="inlineStr">
        <is>
          <t xml:space="preserve"> NO!  	 c_numeric38_38列源备映射错误，源端为numeric None位	期望更改为decimal(p,s)	实际备端为varchar 168位</t>
        </is>
      </c>
    </row>
    <row r="1749">
      <c r="B1749" s="0" t="inlineStr">
        <is>
          <t>NULL</t>
        </is>
      </c>
      <c r="C1749" s="0" t="inlineStr">
        <is>
          <t>NULL</t>
        </is>
      </c>
      <c r="D1749" s="0" t="inlineStr">
        <is>
          <t>NULL</t>
        </is>
      </c>
      <c r="E1749" s="0" t="inlineStr">
        <is>
          <t>NULL</t>
        </is>
      </c>
      <c r="F1749" s="0" t="inlineStr">
        <is>
          <t>NULL</t>
        </is>
      </c>
      <c r="G1749" s="0" t="inlineStr">
        <is>
          <t>NULL</t>
        </is>
      </c>
      <c r="H1749" s="0" t="inlineStr">
        <is>
          <t>NULL</t>
        </is>
      </c>
      <c r="I1749" s="0" t="inlineStr">
        <is>
          <t>NULL</t>
        </is>
      </c>
      <c r="J1749" s="0" t="inlineStr">
        <is>
          <t>NULL</t>
        </is>
      </c>
      <c r="K1749" s="0" t="inlineStr">
        <is>
          <t>YES! 	 c_numeric38_10列源备映射正确，源端为numeric None位	期望更改为decimal(p,s)	实际备端为decimal None位</t>
        </is>
      </c>
    </row>
    <row r="1750">
      <c r="B1750" s="0" t="inlineStr">
        <is>
          <t>NULL</t>
        </is>
      </c>
      <c r="C1750" s="0" t="inlineStr">
        <is>
          <t>NULL</t>
        </is>
      </c>
      <c r="D1750" s="0" t="inlineStr">
        <is>
          <t>NULL</t>
        </is>
      </c>
      <c r="E1750" s="0" t="inlineStr">
        <is>
          <t>NULL</t>
        </is>
      </c>
      <c r="F1750" s="0" t="inlineStr">
        <is>
          <t>NULL</t>
        </is>
      </c>
      <c r="G1750" s="0" t="inlineStr">
        <is>
          <t>NULL</t>
        </is>
      </c>
      <c r="H1750" s="0" t="inlineStr">
        <is>
          <t>NULL</t>
        </is>
      </c>
      <c r="I1750" s="0" t="inlineStr">
        <is>
          <t>NULL</t>
        </is>
      </c>
      <c r="J1750" s="0" t="inlineStr">
        <is>
          <t>NULL</t>
        </is>
      </c>
      <c r="K1750" s="0" t="inlineStr">
        <is>
          <t>YES! 	 c_numeric18_2列源备映射正确，源端为numeric None位	期望更改为decimal(p,s)	实际备端为decimal None位</t>
        </is>
      </c>
    </row>
    <row r="1751">
      <c r="B1751" s="0" t="inlineStr">
        <is>
          <t>NULL</t>
        </is>
      </c>
      <c r="C1751" s="0" t="inlineStr">
        <is>
          <t>NULL</t>
        </is>
      </c>
      <c r="D1751" s="0" t="inlineStr">
        <is>
          <t>NULL</t>
        </is>
      </c>
      <c r="E1751" s="0" t="inlineStr">
        <is>
          <t>NULL</t>
        </is>
      </c>
      <c r="F1751" s="0" t="inlineStr">
        <is>
          <t>NULL</t>
        </is>
      </c>
      <c r="G1751" s="0" t="inlineStr">
        <is>
          <t>NULL</t>
        </is>
      </c>
      <c r="H1751" s="0" t="inlineStr">
        <is>
          <t>NULL</t>
        </is>
      </c>
      <c r="I1751" s="0" t="inlineStr">
        <is>
          <t>NULL</t>
        </is>
      </c>
      <c r="J1751" s="0" t="inlineStr">
        <is>
          <t>NULL</t>
        </is>
      </c>
      <c r="K1751" s="0" t="inlineStr">
        <is>
          <t>YES! 	 c_float列源备映射正确，源端为float None位	期望更改为double	实际备端为double None位</t>
        </is>
      </c>
    </row>
    <row r="1752">
      <c r="B1752" s="0" t="inlineStr">
        <is>
          <t>NULL</t>
        </is>
      </c>
      <c r="C1752" s="0" t="inlineStr">
        <is>
          <t>NULL</t>
        </is>
      </c>
      <c r="D1752" s="0" t="inlineStr">
        <is>
          <t>NULL</t>
        </is>
      </c>
      <c r="E1752" s="0" t="inlineStr">
        <is>
          <t>NULL</t>
        </is>
      </c>
      <c r="F1752" s="0" t="inlineStr">
        <is>
          <t>NULL</t>
        </is>
      </c>
      <c r="G1752" s="0" t="inlineStr">
        <is>
          <t>NULL</t>
        </is>
      </c>
      <c r="H1752" s="0" t="inlineStr">
        <is>
          <t>NULL</t>
        </is>
      </c>
      <c r="I1752" s="0" t="inlineStr">
        <is>
          <t>NULL</t>
        </is>
      </c>
      <c r="J1752" s="0" t="inlineStr">
        <is>
          <t>NULL</t>
        </is>
      </c>
      <c r="K1752" s="0" t="inlineStr">
        <is>
          <t>YES! 	 c_real列源备映射正确，源端为real None位	期望更改为double	实际备端为double None位</t>
        </is>
      </c>
    </row>
    <row r="1753">
      <c r="B1753" s="0" t="inlineStr">
        <is>
          <t>NULL</t>
        </is>
      </c>
      <c r="C1753" s="0" t="inlineStr">
        <is>
          <t>NULL</t>
        </is>
      </c>
      <c r="D1753" s="0" t="inlineStr">
        <is>
          <t>NULL</t>
        </is>
      </c>
      <c r="E1753" s="0" t="inlineStr">
        <is>
          <t>NULL</t>
        </is>
      </c>
      <c r="F1753" s="0" t="inlineStr">
        <is>
          <t>NULL</t>
        </is>
      </c>
      <c r="G1753" s="0" t="inlineStr">
        <is>
          <t>NULL</t>
        </is>
      </c>
      <c r="H1753" s="0" t="inlineStr">
        <is>
          <t>NULL</t>
        </is>
      </c>
      <c r="I1753" s="0" t="inlineStr">
        <is>
          <t>NULL</t>
        </is>
      </c>
      <c r="J1753" s="0" t="inlineStr">
        <is>
          <t>NULL</t>
        </is>
      </c>
      <c r="K1753" s="0" t="inlineStr">
        <is>
          <t>YES! 	 c_money列源备映射正确，源端为money None位	期望更改为decimal(19,4)	实际备端为decimal None位</t>
        </is>
      </c>
    </row>
    <row r="1754">
      <c r="B1754" s="0" t="inlineStr">
        <is>
          <t>NULL</t>
        </is>
      </c>
      <c r="C1754" s="0" t="inlineStr">
        <is>
          <t>NULL</t>
        </is>
      </c>
      <c r="D1754" s="0" t="inlineStr">
        <is>
          <t>NULL</t>
        </is>
      </c>
      <c r="E1754" s="0" t="inlineStr">
        <is>
          <t>NULL</t>
        </is>
      </c>
      <c r="F1754" s="0" t="inlineStr">
        <is>
          <t>NULL</t>
        </is>
      </c>
      <c r="G1754" s="0" t="inlineStr">
        <is>
          <t>NULL</t>
        </is>
      </c>
      <c r="H1754" s="0" t="inlineStr">
        <is>
          <t>NULL</t>
        </is>
      </c>
      <c r="I1754" s="0" t="inlineStr">
        <is>
          <t>NULL</t>
        </is>
      </c>
      <c r="J1754" s="0" t="inlineStr">
        <is>
          <t>NULL</t>
        </is>
      </c>
      <c r="K1754" s="0" t="inlineStr">
        <is>
          <t>YES! 	 c_smallmoney列源备映射正确，源端为smallmoney None位	期望更改为decimal(10,4)	实际备端为decimal None位</t>
        </is>
      </c>
    </row>
    <row r="1755">
      <c r="B1755" s="0" t="inlineStr">
        <is>
          <t>NULL</t>
        </is>
      </c>
      <c r="C1755" s="0" t="inlineStr">
        <is>
          <t>NULL</t>
        </is>
      </c>
      <c r="D1755" s="0" t="inlineStr">
        <is>
          <t>NULL</t>
        </is>
      </c>
      <c r="E1755" s="0" t="inlineStr">
        <is>
          <t>NULL</t>
        </is>
      </c>
      <c r="F1755" s="0" t="inlineStr">
        <is>
          <t>NULL</t>
        </is>
      </c>
      <c r="G1755" s="0" t="inlineStr">
        <is>
          <t>NULL</t>
        </is>
      </c>
      <c r="H1755" s="0" t="inlineStr">
        <is>
          <t>NULL</t>
        </is>
      </c>
      <c r="I1755" s="0" t="inlineStr">
        <is>
          <t>NULL</t>
        </is>
      </c>
      <c r="J1755" s="0" t="inlineStr">
        <is>
          <t>NULL</t>
        </is>
      </c>
      <c r="K1755" s="0" t="inlineStr">
        <is>
          <t>YES! 	 c_bit列源备映射正确，源端为bit None位	期望更改为tinyint(1) 	实际备端为tinyint None位</t>
        </is>
      </c>
    </row>
    <row r="1756">
      <c r="A1756" s="0" t="inlineStr">
        <is>
          <t>info_xml_dml_single_pk_irp</t>
        </is>
      </c>
      <c r="K1756" s="0" t="inlineStr">
        <is>
          <t>[0;34m info_xml_dml_single_pk_irp [0m源备字段数相同，源端字段：2 	备端字段2</t>
        </is>
      </c>
      <c r="W1756" s="0" t="inlineStr">
        <is>
          <t>YES 源备无差异</t>
        </is>
      </c>
      <c r="X1756" s="0">
        <f>A1756</f>
        <v/>
      </c>
    </row>
    <row r="1757">
      <c r="B1757" s="0" t="inlineStr">
        <is>
          <t>YES</t>
        </is>
      </c>
      <c r="C1757" s="0" t="inlineStr">
        <is>
          <t>NULL</t>
        </is>
      </c>
      <c r="D1757" s="0" t="inlineStr">
        <is>
          <t>NULL</t>
        </is>
      </c>
      <c r="E1757" s="0" t="inlineStr">
        <is>
          <t>NULL</t>
        </is>
      </c>
      <c r="F1757" s="0" t="inlineStr">
        <is>
          <t>NULL</t>
        </is>
      </c>
      <c r="G1757" s="0" t="inlineStr">
        <is>
          <t>NULL</t>
        </is>
      </c>
      <c r="H1757" s="0" t="inlineStr">
        <is>
          <t>NULL</t>
        </is>
      </c>
      <c r="I1757" s="0" t="inlineStr">
        <is>
          <t>YES!PK__info_xml__3213E83F2267ADE4</t>
        </is>
      </c>
      <c r="J1757" s="0" t="inlineStr">
        <is>
          <t>YES! 主键相关索引</t>
        </is>
      </c>
      <c r="K1757" s="0" t="inlineStr">
        <is>
          <t>YES! 	 id列源备映射正确，源端为int None位	期望更改为int	实际备端为int None位</t>
        </is>
      </c>
    </row>
    <row r="1758">
      <c r="B1758" s="0" t="inlineStr">
        <is>
          <t>NULL</t>
        </is>
      </c>
      <c r="C1758" s="0" t="inlineStr">
        <is>
          <t>NULL</t>
        </is>
      </c>
      <c r="D1758" s="0" t="inlineStr">
        <is>
          <t>NULL</t>
        </is>
      </c>
      <c r="E1758" s="0" t="inlineStr">
        <is>
          <t>NULL</t>
        </is>
      </c>
      <c r="F1758" s="0" t="inlineStr">
        <is>
          <t>NULL</t>
        </is>
      </c>
      <c r="G1758" s="0" t="inlineStr">
        <is>
          <t>NULL</t>
        </is>
      </c>
      <c r="H1758" s="0" t="inlineStr">
        <is>
          <t>NULL</t>
        </is>
      </c>
      <c r="I1758" s="0" t="inlineStr">
        <is>
          <t>NULL</t>
        </is>
      </c>
      <c r="J1758" s="0" t="inlineStr">
        <is>
          <t>NULL</t>
        </is>
      </c>
      <c r="K1758" s="0" t="inlineStr">
        <is>
          <t>YES! 	 c_xml列源备映射正确，源端为xml -1位	期望更改为longtext	实际备端为longtext 4294967295位</t>
        </is>
      </c>
    </row>
    <row r="1759">
      <c r="A1759" s="0" t="inlineStr">
        <is>
          <t>info_varbinary_max_dml_single_pk_drp</t>
        </is>
      </c>
      <c r="K1759" s="0" t="inlineStr">
        <is>
          <t>[0;34m info_varbinary_max_dml_single_pk_drp [0m源备字段数相同，源端字段：4 	备端字段4</t>
        </is>
      </c>
      <c r="W1759" s="0" t="inlineStr">
        <is>
          <t>YES 源备无差异</t>
        </is>
      </c>
      <c r="X1759" s="0">
        <f>A1759</f>
        <v/>
      </c>
    </row>
    <row r="1760">
      <c r="B1760" s="0" t="inlineStr">
        <is>
          <t>YES</t>
        </is>
      </c>
      <c r="C1760" s="0" t="inlineStr">
        <is>
          <t>NULL</t>
        </is>
      </c>
      <c r="D1760" s="0" t="inlineStr">
        <is>
          <t>NULL</t>
        </is>
      </c>
      <c r="E1760" s="0" t="inlineStr">
        <is>
          <t>NULL</t>
        </is>
      </c>
      <c r="F1760" s="0" t="inlineStr">
        <is>
          <t>NULL</t>
        </is>
      </c>
      <c r="G1760" s="0" t="inlineStr">
        <is>
          <t>NULL</t>
        </is>
      </c>
      <c r="H1760" s="0" t="inlineStr">
        <is>
          <t>NULL</t>
        </is>
      </c>
      <c r="I1760" s="0" t="inlineStr">
        <is>
          <t>YES!PK__info_var__3213E83FC08CB795</t>
        </is>
      </c>
      <c r="J1760" s="0" t="inlineStr">
        <is>
          <t>YES! 主键相关索引</t>
        </is>
      </c>
      <c r="K1760" s="0" t="inlineStr">
        <is>
          <t>YES! 	 id列源备映射正确，源端为int None位	期望更改为int	实际备端为int None位</t>
        </is>
      </c>
    </row>
    <row r="1761">
      <c r="B1761" s="0" t="inlineStr">
        <is>
          <t>NULL</t>
        </is>
      </c>
      <c r="C1761" s="0" t="inlineStr">
        <is>
          <t>NULL</t>
        </is>
      </c>
      <c r="D1761" s="0" t="inlineStr">
        <is>
          <t>NULL</t>
        </is>
      </c>
      <c r="E1761" s="0" t="inlineStr">
        <is>
          <t>NULL</t>
        </is>
      </c>
      <c r="F1761" s="0" t="inlineStr">
        <is>
          <t>NULL</t>
        </is>
      </c>
      <c r="G1761" s="0" t="inlineStr">
        <is>
          <t>NULL</t>
        </is>
      </c>
      <c r="H1761" s="0" t="inlineStr">
        <is>
          <t>NULL</t>
        </is>
      </c>
      <c r="I1761" s="0" t="inlineStr">
        <is>
          <t>NULL</t>
        </is>
      </c>
      <c r="J1761" s="0" t="inlineStr">
        <is>
          <t>NULL</t>
        </is>
      </c>
      <c r="K1761" s="0" t="inlineStr">
        <is>
          <t>YES! 	 c_varbinary_max1列源备映射正确，源端为varbinary -1位	期望更改为longblob	实际备端为longblob 4294967295位</t>
        </is>
      </c>
    </row>
    <row r="1762">
      <c r="B1762" s="0" t="inlineStr">
        <is>
          <t>NULL</t>
        </is>
      </c>
      <c r="C1762" s="0" t="inlineStr">
        <is>
          <t>NULL</t>
        </is>
      </c>
      <c r="D1762" s="0" t="inlineStr">
        <is>
          <t>NULL</t>
        </is>
      </c>
      <c r="E1762" s="0" t="inlineStr">
        <is>
          <t>NULL</t>
        </is>
      </c>
      <c r="F1762" s="0" t="inlineStr">
        <is>
          <t>NULL</t>
        </is>
      </c>
      <c r="G1762" s="0" t="inlineStr">
        <is>
          <t>NULL</t>
        </is>
      </c>
      <c r="H1762" s="0" t="inlineStr">
        <is>
          <t>NULL</t>
        </is>
      </c>
      <c r="I1762" s="0" t="inlineStr">
        <is>
          <t>NULL</t>
        </is>
      </c>
      <c r="J1762" s="0" t="inlineStr">
        <is>
          <t>NULL</t>
        </is>
      </c>
      <c r="K1762" s="0" t="inlineStr">
        <is>
          <t>YES! 	 c_varbinary_max2列源备映射正确，源端为varbinary -1位	期望更改为longblob	实际备端为longblob 4294967295位</t>
        </is>
      </c>
    </row>
    <row r="1763">
      <c r="B1763" s="0" t="inlineStr">
        <is>
          <t>NULL</t>
        </is>
      </c>
      <c r="C1763" s="0" t="inlineStr">
        <is>
          <t>NULL</t>
        </is>
      </c>
      <c r="D1763" s="0" t="inlineStr">
        <is>
          <t>NULL</t>
        </is>
      </c>
      <c r="E1763" s="0" t="inlineStr">
        <is>
          <t>NULL</t>
        </is>
      </c>
      <c r="F1763" s="0" t="inlineStr">
        <is>
          <t>NULL</t>
        </is>
      </c>
      <c r="G1763" s="0" t="inlineStr">
        <is>
          <t>NULL</t>
        </is>
      </c>
      <c r="H1763" s="0" t="inlineStr">
        <is>
          <t>NULL</t>
        </is>
      </c>
      <c r="I1763" s="0" t="inlineStr">
        <is>
          <t>NULL</t>
        </is>
      </c>
      <c r="J1763" s="0" t="inlineStr">
        <is>
          <t>NULL</t>
        </is>
      </c>
      <c r="K1763" s="0" t="inlineStr">
        <is>
          <t>YES! 	 c_image3列源备映射正确，源端为image 2147483647位	期望更改为longblob	实际备端为longblob 4294967295位</t>
        </is>
      </c>
    </row>
    <row r="1764">
      <c r="K1764" s="0" t="inlineStr">
        <is>
          <t>~ 空表</t>
        </is>
      </c>
    </row>
    <row r="1765">
      <c r="A1765" s="0" t="inlineStr">
        <is>
          <t>info_int_dml_batch1_pk_urp1</t>
        </is>
      </c>
      <c r="K1765" s="0" t="inlineStr">
        <is>
          <t>[0;34m info_int_dml_batch1_pk_urp1 [0m源备字段数相同，源端字段：20 	备端字段20</t>
        </is>
      </c>
      <c r="W1765" s="0" t="inlineStr">
        <is>
          <t>YES 源备无差异</t>
        </is>
      </c>
      <c r="X1765" s="0">
        <f>A1765</f>
        <v/>
      </c>
    </row>
    <row r="1766">
      <c r="B1766" s="0" t="inlineStr">
        <is>
          <t>YES</t>
        </is>
      </c>
      <c r="C1766" s="0" t="inlineStr">
        <is>
          <t>NULL</t>
        </is>
      </c>
      <c r="D1766" s="0" t="inlineStr">
        <is>
          <t>NULL</t>
        </is>
      </c>
      <c r="E1766" s="0" t="inlineStr">
        <is>
          <t>NULL</t>
        </is>
      </c>
      <c r="F1766" s="0" t="inlineStr">
        <is>
          <t>NULL</t>
        </is>
      </c>
      <c r="G1766" s="0" t="inlineStr">
        <is>
          <t>NULL</t>
        </is>
      </c>
      <c r="H1766" s="0" t="inlineStr">
        <is>
          <t>NULL</t>
        </is>
      </c>
      <c r="I1766" s="0" t="inlineStr">
        <is>
          <t>YES!PK__info_int__3213E83FE0417859</t>
        </is>
      </c>
      <c r="J1766" s="0" t="inlineStr">
        <is>
          <t>YES! 主键相关索引</t>
        </is>
      </c>
      <c r="K1766" s="0" t="inlineStr">
        <is>
          <t>YES! 	 id列源备映射正确，源端为int None位	期望更改为int	实际备端为int None位</t>
        </is>
      </c>
    </row>
    <row r="1767">
      <c r="B1767" s="0" t="inlineStr">
        <is>
          <t>NULL</t>
        </is>
      </c>
      <c r="C1767" s="0" t="inlineStr">
        <is>
          <t>NULL</t>
        </is>
      </c>
      <c r="D1767" s="0" t="inlineStr">
        <is>
          <t>NULL</t>
        </is>
      </c>
      <c r="E1767" s="0" t="inlineStr">
        <is>
          <t>NULL</t>
        </is>
      </c>
      <c r="F1767" s="0" t="inlineStr">
        <is>
          <t>NULL</t>
        </is>
      </c>
      <c r="G1767" s="0" t="inlineStr">
        <is>
          <t>NULL</t>
        </is>
      </c>
      <c r="H1767" s="0" t="inlineStr">
        <is>
          <t>NULL</t>
        </is>
      </c>
      <c r="I1767" s="0" t="inlineStr">
        <is>
          <t>NULL</t>
        </is>
      </c>
      <c r="J1767" s="0" t="inlineStr">
        <is>
          <t>NULL</t>
        </is>
      </c>
      <c r="K1767" s="0" t="inlineStr">
        <is>
          <t>YES! 	 c_tinyint列源备映射正确，源端为tinyint None位	期望更改为tinyint	实际备端为tinyint None位</t>
        </is>
      </c>
    </row>
    <row r="1768">
      <c r="B1768" s="0" t="inlineStr">
        <is>
          <t>NULL</t>
        </is>
      </c>
      <c r="C1768" s="0" t="inlineStr">
        <is>
          <t>NULL</t>
        </is>
      </c>
      <c r="D1768" s="0" t="inlineStr">
        <is>
          <t>NULL</t>
        </is>
      </c>
      <c r="E1768" s="0" t="inlineStr">
        <is>
          <t>NULL</t>
        </is>
      </c>
      <c r="F1768" s="0" t="inlineStr">
        <is>
          <t>NULL</t>
        </is>
      </c>
      <c r="G1768" s="0" t="inlineStr">
        <is>
          <t>NULL</t>
        </is>
      </c>
      <c r="H1768" s="0" t="inlineStr">
        <is>
          <t>NULL</t>
        </is>
      </c>
      <c r="I1768" s="0" t="inlineStr">
        <is>
          <t>NULL</t>
        </is>
      </c>
      <c r="J1768" s="0" t="inlineStr">
        <is>
          <t>NULL</t>
        </is>
      </c>
      <c r="K1768" s="0" t="inlineStr">
        <is>
          <t>YES! 	 c_smallint列源备映射正确，源端为smallint None位	期望更改为smallint	实际备端为smallint None位</t>
        </is>
      </c>
    </row>
    <row r="1769">
      <c r="B1769" s="0" t="inlineStr">
        <is>
          <t>NULL</t>
        </is>
      </c>
      <c r="C1769" s="0" t="inlineStr">
        <is>
          <t>NULL</t>
        </is>
      </c>
      <c r="D1769" s="0" t="inlineStr">
        <is>
          <t>NULL</t>
        </is>
      </c>
      <c r="E1769" s="0" t="inlineStr">
        <is>
          <t>NULL</t>
        </is>
      </c>
      <c r="F1769" s="0" t="inlineStr">
        <is>
          <t>NULL</t>
        </is>
      </c>
      <c r="G1769" s="0" t="inlineStr">
        <is>
          <t>NULL</t>
        </is>
      </c>
      <c r="H1769" s="0" t="inlineStr">
        <is>
          <t>NULL</t>
        </is>
      </c>
      <c r="I1769" s="0" t="inlineStr">
        <is>
          <t>NULL</t>
        </is>
      </c>
      <c r="J1769" s="0" t="inlineStr">
        <is>
          <t>NULL</t>
        </is>
      </c>
      <c r="K1769" s="0" t="inlineStr">
        <is>
          <t>YES! 	 c_int列源备映射正确，源端为int None位	期望更改为int	实际备端为int None位</t>
        </is>
      </c>
    </row>
    <row r="1770">
      <c r="B1770" s="0" t="inlineStr">
        <is>
          <t>NULL</t>
        </is>
      </c>
      <c r="C1770" s="0" t="inlineStr">
        <is>
          <t>NULL</t>
        </is>
      </c>
      <c r="D1770" s="0" t="inlineStr">
        <is>
          <t>NULL</t>
        </is>
      </c>
      <c r="E1770" s="0" t="inlineStr">
        <is>
          <t>NULL</t>
        </is>
      </c>
      <c r="F1770" s="0" t="inlineStr">
        <is>
          <t>NULL</t>
        </is>
      </c>
      <c r="G1770" s="0" t="inlineStr">
        <is>
          <t>NULL</t>
        </is>
      </c>
      <c r="H1770" s="0" t="inlineStr">
        <is>
          <t>NULL</t>
        </is>
      </c>
      <c r="I1770" s="0" t="inlineStr">
        <is>
          <t>NULL</t>
        </is>
      </c>
      <c r="J1770" s="0" t="inlineStr">
        <is>
          <t>NULL</t>
        </is>
      </c>
      <c r="K1770" s="0" t="inlineStr">
        <is>
          <t>YES! 	 c_bigint列源备映射正确，源端为bigint None位	期望更改为bigint	实际备端为bigint None位</t>
        </is>
      </c>
    </row>
    <row r="1771">
      <c r="B1771" s="0" t="inlineStr">
        <is>
          <t>NULL</t>
        </is>
      </c>
      <c r="C1771" s="0" t="inlineStr">
        <is>
          <t>NULL</t>
        </is>
      </c>
      <c r="D1771" s="0" t="inlineStr">
        <is>
          <t>NULL</t>
        </is>
      </c>
      <c r="E1771" s="0" t="inlineStr">
        <is>
          <t>NULL</t>
        </is>
      </c>
      <c r="F1771" s="0" t="inlineStr">
        <is>
          <t>NULL</t>
        </is>
      </c>
      <c r="G1771" s="0" t="inlineStr">
        <is>
          <t>NULL</t>
        </is>
      </c>
      <c r="H1771" s="0" t="inlineStr">
        <is>
          <t>NULL</t>
        </is>
      </c>
      <c r="I1771" s="0" t="inlineStr">
        <is>
          <t>NULL</t>
        </is>
      </c>
      <c r="J1771" s="0" t="inlineStr">
        <is>
          <t>NULL</t>
        </is>
      </c>
      <c r="K1771" s="0" t="inlineStr">
        <is>
          <t>YES! 	 c_decimal列源备映射正确，源端为decimal None位	期望更改为decimal(p,s)	实际备端为decimal None位</t>
        </is>
      </c>
    </row>
    <row r="1772">
      <c r="B1772" s="0" t="inlineStr">
        <is>
          <t>NULL</t>
        </is>
      </c>
      <c r="C1772" s="0" t="inlineStr">
        <is>
          <t>NULL</t>
        </is>
      </c>
      <c r="D1772" s="0" t="inlineStr">
        <is>
          <t>NULL</t>
        </is>
      </c>
      <c r="E1772" s="0" t="inlineStr">
        <is>
          <t>NULL</t>
        </is>
      </c>
      <c r="F1772" s="0" t="inlineStr">
        <is>
          <t>NULL</t>
        </is>
      </c>
      <c r="G1772" s="0" t="inlineStr">
        <is>
          <t>NULL</t>
        </is>
      </c>
      <c r="H1772" s="0" t="inlineStr">
        <is>
          <t>NULL</t>
        </is>
      </c>
      <c r="I1772" s="0" t="inlineStr">
        <is>
          <t>NULL</t>
        </is>
      </c>
      <c r="J1772" s="0" t="inlineStr">
        <is>
          <t>NULL</t>
        </is>
      </c>
      <c r="K1772" s="0" t="inlineStr">
        <is>
          <t>YES! 	 c_decimal38列源备映射正确，源端为decimal None位	期望更改为decimal(p,s)	实际备端为decimal None位</t>
        </is>
      </c>
    </row>
    <row r="1773">
      <c r="B1773" s="0" t="inlineStr">
        <is>
          <t>NULL</t>
        </is>
      </c>
      <c r="C1773" s="0" t="inlineStr">
        <is>
          <t>NULL</t>
        </is>
      </c>
      <c r="D1773" s="0" t="inlineStr">
        <is>
          <t>NULL</t>
        </is>
      </c>
      <c r="E1773" s="0" t="inlineStr">
        <is>
          <t>NULL</t>
        </is>
      </c>
      <c r="F1773" s="0" t="inlineStr">
        <is>
          <t>NULL</t>
        </is>
      </c>
      <c r="G1773" s="0" t="inlineStr">
        <is>
          <t>NULL</t>
        </is>
      </c>
      <c r="H1773" s="0" t="inlineStr">
        <is>
          <t>NULL</t>
        </is>
      </c>
      <c r="I1773" s="0" t="inlineStr">
        <is>
          <t>NULL</t>
        </is>
      </c>
      <c r="J1773" s="0" t="inlineStr">
        <is>
          <t>NULL</t>
        </is>
      </c>
      <c r="K1773" s="0" t="inlineStr">
        <is>
          <t xml:space="preserve"> NO!  	 c_decimal38_38列源备映射错误，源端为decimal None位	期望更改为decimal(p,s)	实际备端为varchar 168位</t>
        </is>
      </c>
    </row>
    <row r="1774">
      <c r="B1774" s="0" t="inlineStr">
        <is>
          <t>NULL</t>
        </is>
      </c>
      <c r="C1774" s="0" t="inlineStr">
        <is>
          <t>NULL</t>
        </is>
      </c>
      <c r="D1774" s="0" t="inlineStr">
        <is>
          <t>NULL</t>
        </is>
      </c>
      <c r="E1774" s="0" t="inlineStr">
        <is>
          <t>NULL</t>
        </is>
      </c>
      <c r="F1774" s="0" t="inlineStr">
        <is>
          <t>NULL</t>
        </is>
      </c>
      <c r="G1774" s="0" t="inlineStr">
        <is>
          <t>NULL</t>
        </is>
      </c>
      <c r="H1774" s="0" t="inlineStr">
        <is>
          <t>NULL</t>
        </is>
      </c>
      <c r="I1774" s="0" t="inlineStr">
        <is>
          <t>NULL</t>
        </is>
      </c>
      <c r="J1774" s="0" t="inlineStr">
        <is>
          <t>NULL</t>
        </is>
      </c>
      <c r="K1774" s="0" t="inlineStr">
        <is>
          <t>YES! 	 c_decimal38_10列源备映射正确，源端为decimal None位	期望更改为decimal(p,s)	实际备端为decimal None位</t>
        </is>
      </c>
    </row>
    <row r="1775">
      <c r="B1775" s="0" t="inlineStr">
        <is>
          <t>NULL</t>
        </is>
      </c>
      <c r="C1775" s="0" t="inlineStr">
        <is>
          <t>NULL</t>
        </is>
      </c>
      <c r="D1775" s="0" t="inlineStr">
        <is>
          <t>NULL</t>
        </is>
      </c>
      <c r="E1775" s="0" t="inlineStr">
        <is>
          <t>NULL</t>
        </is>
      </c>
      <c r="F1775" s="0" t="inlineStr">
        <is>
          <t>NULL</t>
        </is>
      </c>
      <c r="G1775" s="0" t="inlineStr">
        <is>
          <t>NULL</t>
        </is>
      </c>
      <c r="H1775" s="0" t="inlineStr">
        <is>
          <t>NULL</t>
        </is>
      </c>
      <c r="I1775" s="0" t="inlineStr">
        <is>
          <t>NULL</t>
        </is>
      </c>
      <c r="J1775" s="0" t="inlineStr">
        <is>
          <t>NULL</t>
        </is>
      </c>
      <c r="K1775" s="0" t="inlineStr">
        <is>
          <t>YES! 	 c_decimal19_4列源备映射正确，源端为decimal None位	期望更改为decimal(p,s)	实际备端为decimal None位</t>
        </is>
      </c>
    </row>
    <row r="1776">
      <c r="B1776" s="0" t="inlineStr">
        <is>
          <t>NULL</t>
        </is>
      </c>
      <c r="C1776" s="0" t="inlineStr">
        <is>
          <t>NULL</t>
        </is>
      </c>
      <c r="D1776" s="0" t="inlineStr">
        <is>
          <t>NULL</t>
        </is>
      </c>
      <c r="E1776" s="0" t="inlineStr">
        <is>
          <t>NULL</t>
        </is>
      </c>
      <c r="F1776" s="0" t="inlineStr">
        <is>
          <t>NULL</t>
        </is>
      </c>
      <c r="G1776" s="0" t="inlineStr">
        <is>
          <t>NULL</t>
        </is>
      </c>
      <c r="H1776" s="0" t="inlineStr">
        <is>
          <t>NULL</t>
        </is>
      </c>
      <c r="I1776" s="0" t="inlineStr">
        <is>
          <t>NULL</t>
        </is>
      </c>
      <c r="J1776" s="0" t="inlineStr">
        <is>
          <t>NULL</t>
        </is>
      </c>
      <c r="K1776" s="0" t="inlineStr">
        <is>
          <t>YES! 	 c_numeric列源备映射正确，源端为numeric None位	期望更改为decimal(p,s)	实际备端为decimal None位</t>
        </is>
      </c>
    </row>
    <row r="1777">
      <c r="B1777" s="0" t="inlineStr">
        <is>
          <t>NULL</t>
        </is>
      </c>
      <c r="C1777" s="0" t="inlineStr">
        <is>
          <t>NULL</t>
        </is>
      </c>
      <c r="D1777" s="0" t="inlineStr">
        <is>
          <t>NULL</t>
        </is>
      </c>
      <c r="E1777" s="0" t="inlineStr">
        <is>
          <t>NULL</t>
        </is>
      </c>
      <c r="F1777" s="0" t="inlineStr">
        <is>
          <t>NULL</t>
        </is>
      </c>
      <c r="G1777" s="0" t="inlineStr">
        <is>
          <t>NULL</t>
        </is>
      </c>
      <c r="H1777" s="0" t="inlineStr">
        <is>
          <t>NULL</t>
        </is>
      </c>
      <c r="I1777" s="0" t="inlineStr">
        <is>
          <t>NULL</t>
        </is>
      </c>
      <c r="J1777" s="0" t="inlineStr">
        <is>
          <t>NULL</t>
        </is>
      </c>
      <c r="K1777" s="0" t="inlineStr">
        <is>
          <t>YES! 	 c_numeric38列源备映射正确，源端为numeric None位	期望更改为decimal(p,s)	实际备端为decimal None位</t>
        </is>
      </c>
    </row>
    <row r="1778">
      <c r="B1778" s="0" t="inlineStr">
        <is>
          <t>NULL</t>
        </is>
      </c>
      <c r="C1778" s="0" t="inlineStr">
        <is>
          <t>NULL</t>
        </is>
      </c>
      <c r="D1778" s="0" t="inlineStr">
        <is>
          <t>NULL</t>
        </is>
      </c>
      <c r="E1778" s="0" t="inlineStr">
        <is>
          <t>NULL</t>
        </is>
      </c>
      <c r="F1778" s="0" t="inlineStr">
        <is>
          <t>NULL</t>
        </is>
      </c>
      <c r="G1778" s="0" t="inlineStr">
        <is>
          <t>NULL</t>
        </is>
      </c>
      <c r="H1778" s="0" t="inlineStr">
        <is>
          <t>NULL</t>
        </is>
      </c>
      <c r="I1778" s="0" t="inlineStr">
        <is>
          <t>NULL</t>
        </is>
      </c>
      <c r="J1778" s="0" t="inlineStr">
        <is>
          <t>NULL</t>
        </is>
      </c>
      <c r="K1778" s="0" t="inlineStr">
        <is>
          <t xml:space="preserve"> NO!  	 c_numeric38_38列源备映射错误，源端为numeric None位	期望更改为decimal(p,s)	实际备端为varchar 168位</t>
        </is>
      </c>
    </row>
    <row r="1779">
      <c r="B1779" s="0" t="inlineStr">
        <is>
          <t>NULL</t>
        </is>
      </c>
      <c r="C1779" s="0" t="inlineStr">
        <is>
          <t>NULL</t>
        </is>
      </c>
      <c r="D1779" s="0" t="inlineStr">
        <is>
          <t>NULL</t>
        </is>
      </c>
      <c r="E1779" s="0" t="inlineStr">
        <is>
          <t>NULL</t>
        </is>
      </c>
      <c r="F1779" s="0" t="inlineStr">
        <is>
          <t>NULL</t>
        </is>
      </c>
      <c r="G1779" s="0" t="inlineStr">
        <is>
          <t>NULL</t>
        </is>
      </c>
      <c r="H1779" s="0" t="inlineStr">
        <is>
          <t>NULL</t>
        </is>
      </c>
      <c r="I1779" s="0" t="inlineStr">
        <is>
          <t>NULL</t>
        </is>
      </c>
      <c r="J1779" s="0" t="inlineStr">
        <is>
          <t>NULL</t>
        </is>
      </c>
      <c r="K1779" s="0" t="inlineStr">
        <is>
          <t>YES! 	 c_numeric38_10列源备映射正确，源端为numeric None位	期望更改为decimal(p,s)	实际备端为decimal None位</t>
        </is>
      </c>
    </row>
    <row r="1780">
      <c r="B1780" s="0" t="inlineStr">
        <is>
          <t>NULL</t>
        </is>
      </c>
      <c r="C1780" s="0" t="inlineStr">
        <is>
          <t>NULL</t>
        </is>
      </c>
      <c r="D1780" s="0" t="inlineStr">
        <is>
          <t>NULL</t>
        </is>
      </c>
      <c r="E1780" s="0" t="inlineStr">
        <is>
          <t>NULL</t>
        </is>
      </c>
      <c r="F1780" s="0" t="inlineStr">
        <is>
          <t>NULL</t>
        </is>
      </c>
      <c r="G1780" s="0" t="inlineStr">
        <is>
          <t>NULL</t>
        </is>
      </c>
      <c r="H1780" s="0" t="inlineStr">
        <is>
          <t>NULL</t>
        </is>
      </c>
      <c r="I1780" s="0" t="inlineStr">
        <is>
          <t>NULL</t>
        </is>
      </c>
      <c r="J1780" s="0" t="inlineStr">
        <is>
          <t>NULL</t>
        </is>
      </c>
      <c r="K1780" s="0" t="inlineStr">
        <is>
          <t>YES! 	 c_numeric18_2列源备映射正确，源端为numeric None位	期望更改为decimal(p,s)	实际备端为decimal None位</t>
        </is>
      </c>
    </row>
    <row r="1781">
      <c r="B1781" s="0" t="inlineStr">
        <is>
          <t>NULL</t>
        </is>
      </c>
      <c r="C1781" s="0" t="inlineStr">
        <is>
          <t>NULL</t>
        </is>
      </c>
      <c r="D1781" s="0" t="inlineStr">
        <is>
          <t>NULL</t>
        </is>
      </c>
      <c r="E1781" s="0" t="inlineStr">
        <is>
          <t>NULL</t>
        </is>
      </c>
      <c r="F1781" s="0" t="inlineStr">
        <is>
          <t>NULL</t>
        </is>
      </c>
      <c r="G1781" s="0" t="inlineStr">
        <is>
          <t>NULL</t>
        </is>
      </c>
      <c r="H1781" s="0" t="inlineStr">
        <is>
          <t>NULL</t>
        </is>
      </c>
      <c r="I1781" s="0" t="inlineStr">
        <is>
          <t>NULL</t>
        </is>
      </c>
      <c r="J1781" s="0" t="inlineStr">
        <is>
          <t>NULL</t>
        </is>
      </c>
      <c r="K1781" s="0" t="inlineStr">
        <is>
          <t>YES! 	 c_float列源备映射正确，源端为float None位	期望更改为double	实际备端为double None位</t>
        </is>
      </c>
    </row>
    <row r="1782">
      <c r="B1782" s="0" t="inlineStr">
        <is>
          <t>NULL</t>
        </is>
      </c>
      <c r="C1782" s="0" t="inlineStr">
        <is>
          <t>NULL</t>
        </is>
      </c>
      <c r="D1782" s="0" t="inlineStr">
        <is>
          <t>NULL</t>
        </is>
      </c>
      <c r="E1782" s="0" t="inlineStr">
        <is>
          <t>NULL</t>
        </is>
      </c>
      <c r="F1782" s="0" t="inlineStr">
        <is>
          <t>NULL</t>
        </is>
      </c>
      <c r="G1782" s="0" t="inlineStr">
        <is>
          <t>NULL</t>
        </is>
      </c>
      <c r="H1782" s="0" t="inlineStr">
        <is>
          <t>NULL</t>
        </is>
      </c>
      <c r="I1782" s="0" t="inlineStr">
        <is>
          <t>NULL</t>
        </is>
      </c>
      <c r="J1782" s="0" t="inlineStr">
        <is>
          <t>NULL</t>
        </is>
      </c>
      <c r="K1782" s="0" t="inlineStr">
        <is>
          <t>YES! 	 c_real列源备映射正确，源端为real None位	期望更改为double	实际备端为double None位</t>
        </is>
      </c>
    </row>
    <row r="1783">
      <c r="B1783" s="0" t="inlineStr">
        <is>
          <t>NULL</t>
        </is>
      </c>
      <c r="C1783" s="0" t="inlineStr">
        <is>
          <t>NULL</t>
        </is>
      </c>
      <c r="D1783" s="0" t="inlineStr">
        <is>
          <t>NULL</t>
        </is>
      </c>
      <c r="E1783" s="0" t="inlineStr">
        <is>
          <t>NULL</t>
        </is>
      </c>
      <c r="F1783" s="0" t="inlineStr">
        <is>
          <t>NULL</t>
        </is>
      </c>
      <c r="G1783" s="0" t="inlineStr">
        <is>
          <t>NULL</t>
        </is>
      </c>
      <c r="H1783" s="0" t="inlineStr">
        <is>
          <t>NULL</t>
        </is>
      </c>
      <c r="I1783" s="0" t="inlineStr">
        <is>
          <t>NULL</t>
        </is>
      </c>
      <c r="J1783" s="0" t="inlineStr">
        <is>
          <t>NULL</t>
        </is>
      </c>
      <c r="K1783" s="0" t="inlineStr">
        <is>
          <t>YES! 	 c_money列源备映射正确，源端为money None位	期望更改为decimal(19,4)	实际备端为decimal None位</t>
        </is>
      </c>
    </row>
    <row r="1784">
      <c r="B1784" s="0" t="inlineStr">
        <is>
          <t>NULL</t>
        </is>
      </c>
      <c r="C1784" s="0" t="inlineStr">
        <is>
          <t>NULL</t>
        </is>
      </c>
      <c r="D1784" s="0" t="inlineStr">
        <is>
          <t>NULL</t>
        </is>
      </c>
      <c r="E1784" s="0" t="inlineStr">
        <is>
          <t>NULL</t>
        </is>
      </c>
      <c r="F1784" s="0" t="inlineStr">
        <is>
          <t>NULL</t>
        </is>
      </c>
      <c r="G1784" s="0" t="inlineStr">
        <is>
          <t>NULL</t>
        </is>
      </c>
      <c r="H1784" s="0" t="inlineStr">
        <is>
          <t>NULL</t>
        </is>
      </c>
      <c r="I1784" s="0" t="inlineStr">
        <is>
          <t>NULL</t>
        </is>
      </c>
      <c r="J1784" s="0" t="inlineStr">
        <is>
          <t>NULL</t>
        </is>
      </c>
      <c r="K1784" s="0" t="inlineStr">
        <is>
          <t>YES! 	 c_smallmoney列源备映射正确，源端为smallmoney None位	期望更改为decimal(10,4)	实际备端为decimal None位</t>
        </is>
      </c>
    </row>
    <row r="1785">
      <c r="B1785" s="0" t="inlineStr">
        <is>
          <t>NULL</t>
        </is>
      </c>
      <c r="C1785" s="0" t="inlineStr">
        <is>
          <t>NULL</t>
        </is>
      </c>
      <c r="D1785" s="0" t="inlineStr">
        <is>
          <t>NULL</t>
        </is>
      </c>
      <c r="E1785" s="0" t="inlineStr">
        <is>
          <t>NULL</t>
        </is>
      </c>
      <c r="F1785" s="0" t="inlineStr">
        <is>
          <t>NULL</t>
        </is>
      </c>
      <c r="G1785" s="0" t="inlineStr">
        <is>
          <t>NULL</t>
        </is>
      </c>
      <c r="H1785" s="0" t="inlineStr">
        <is>
          <t>NULL</t>
        </is>
      </c>
      <c r="I1785" s="0" t="inlineStr">
        <is>
          <t>NULL</t>
        </is>
      </c>
      <c r="J1785" s="0" t="inlineStr">
        <is>
          <t>NULL</t>
        </is>
      </c>
      <c r="K1785" s="0" t="inlineStr">
        <is>
          <t>YES! 	 c_bit列源备映射正确，源端为bit None位	期望更改为tinyint(1) 	实际备端为tinyint None位</t>
        </is>
      </c>
    </row>
    <row r="1786">
      <c r="A1786" s="0" t="inlineStr">
        <is>
          <t>info_xml_dml_single_pk_urp</t>
        </is>
      </c>
      <c r="K1786" s="0" t="inlineStr">
        <is>
          <t>[0;34m info_xml_dml_single_pk_urp [0m源备字段数相同，源端字段：2 	备端字段2</t>
        </is>
      </c>
      <c r="W1786" s="0" t="inlineStr">
        <is>
          <t>YES 源备无差异</t>
        </is>
      </c>
      <c r="X1786" s="0">
        <f>A1786</f>
        <v/>
      </c>
    </row>
    <row r="1787">
      <c r="B1787" s="0" t="inlineStr">
        <is>
          <t>YES</t>
        </is>
      </c>
      <c r="C1787" s="0" t="inlineStr">
        <is>
          <t>NULL</t>
        </is>
      </c>
      <c r="D1787" s="0" t="inlineStr">
        <is>
          <t>NULL</t>
        </is>
      </c>
      <c r="E1787" s="0" t="inlineStr">
        <is>
          <t>NULL</t>
        </is>
      </c>
      <c r="F1787" s="0" t="inlineStr">
        <is>
          <t>NULL</t>
        </is>
      </c>
      <c r="G1787" s="0" t="inlineStr">
        <is>
          <t>NULL</t>
        </is>
      </c>
      <c r="H1787" s="0" t="inlineStr">
        <is>
          <t>NULL</t>
        </is>
      </c>
      <c r="I1787" s="0" t="inlineStr">
        <is>
          <t>YES!PK__info_xml__3213E83F7193908E</t>
        </is>
      </c>
      <c r="J1787" s="0" t="inlineStr">
        <is>
          <t>YES! 主键相关索引</t>
        </is>
      </c>
      <c r="K1787" s="0" t="inlineStr">
        <is>
          <t>YES! 	 id列源备映射正确，源端为int None位	期望更改为int	实际备端为int None位</t>
        </is>
      </c>
    </row>
    <row r="1788">
      <c r="B1788" s="0" t="inlineStr">
        <is>
          <t>NULL</t>
        </is>
      </c>
      <c r="C1788" s="0" t="inlineStr">
        <is>
          <t>NULL</t>
        </is>
      </c>
      <c r="D1788" s="0" t="inlineStr">
        <is>
          <t>NULL</t>
        </is>
      </c>
      <c r="E1788" s="0" t="inlineStr">
        <is>
          <t>NULL</t>
        </is>
      </c>
      <c r="F1788" s="0" t="inlineStr">
        <is>
          <t>NULL</t>
        </is>
      </c>
      <c r="G1788" s="0" t="inlineStr">
        <is>
          <t>NULL</t>
        </is>
      </c>
      <c r="H1788" s="0" t="inlineStr">
        <is>
          <t>NULL</t>
        </is>
      </c>
      <c r="I1788" s="0" t="inlineStr">
        <is>
          <t>NULL</t>
        </is>
      </c>
      <c r="J1788" s="0" t="inlineStr">
        <is>
          <t>NULL</t>
        </is>
      </c>
      <c r="K1788" s="0" t="inlineStr">
        <is>
          <t>YES! 	 c_xml列源备映射正确，源端为xml -1位	期望更改为longtext	实际备端为longtext 4294967295位</t>
        </is>
      </c>
    </row>
    <row r="1789">
      <c r="A1789" s="0" t="inlineStr">
        <is>
          <t>info_varbinary_max_dml_single_pk</t>
        </is>
      </c>
      <c r="K1789" s="0" t="inlineStr">
        <is>
          <t>[0;34m info_varbinary_max_dml_single_pk [0m源备字段数相同，源端字段：4 	备端字段4</t>
        </is>
      </c>
      <c r="W1789" s="0" t="inlineStr">
        <is>
          <t>YES 源备无差异</t>
        </is>
      </c>
      <c r="X1789" s="0">
        <f>A1789</f>
        <v/>
      </c>
    </row>
    <row r="1790">
      <c r="B1790" s="0" t="inlineStr">
        <is>
          <t>YES</t>
        </is>
      </c>
      <c r="C1790" s="0" t="inlineStr">
        <is>
          <t>NULL</t>
        </is>
      </c>
      <c r="D1790" s="0" t="inlineStr">
        <is>
          <t>NULL</t>
        </is>
      </c>
      <c r="E1790" s="0" t="inlineStr">
        <is>
          <t>NULL</t>
        </is>
      </c>
      <c r="F1790" s="0" t="inlineStr">
        <is>
          <t>NULL</t>
        </is>
      </c>
      <c r="G1790" s="0" t="inlineStr">
        <is>
          <t>NULL</t>
        </is>
      </c>
      <c r="H1790" s="0" t="inlineStr">
        <is>
          <t>NULL</t>
        </is>
      </c>
      <c r="I1790" s="0" t="inlineStr">
        <is>
          <t>YES!PK__info_var__3213E83FA466D81D</t>
        </is>
      </c>
      <c r="J1790" s="0" t="inlineStr">
        <is>
          <t>YES! 主键相关索引</t>
        </is>
      </c>
      <c r="K1790" s="0" t="inlineStr">
        <is>
          <t>YES! 	 id列源备映射正确，源端为int None位	期望更改为int	实际备端为int None位</t>
        </is>
      </c>
    </row>
    <row r="1791">
      <c r="B1791" s="0" t="inlineStr">
        <is>
          <t>NULL</t>
        </is>
      </c>
      <c r="C1791" s="0" t="inlineStr">
        <is>
          <t>NULL</t>
        </is>
      </c>
      <c r="D1791" s="0" t="inlineStr">
        <is>
          <t>NULL</t>
        </is>
      </c>
      <c r="E1791" s="0" t="inlineStr">
        <is>
          <t>NULL</t>
        </is>
      </c>
      <c r="F1791" s="0" t="inlineStr">
        <is>
          <t>NULL</t>
        </is>
      </c>
      <c r="G1791" s="0" t="inlineStr">
        <is>
          <t>NULL</t>
        </is>
      </c>
      <c r="H1791" s="0" t="inlineStr">
        <is>
          <t>NULL</t>
        </is>
      </c>
      <c r="I1791" s="0" t="inlineStr">
        <is>
          <t>NULL</t>
        </is>
      </c>
      <c r="J1791" s="0" t="inlineStr">
        <is>
          <t>NULL</t>
        </is>
      </c>
      <c r="K1791" s="0" t="inlineStr">
        <is>
          <t>YES! 	 c_varbinary_max1列源备映射正确，源端为varbinary -1位	期望更改为longblob	实际备端为longblob 4294967295位</t>
        </is>
      </c>
    </row>
    <row r="1792">
      <c r="B1792" s="0" t="inlineStr">
        <is>
          <t>NULL</t>
        </is>
      </c>
      <c r="C1792" s="0" t="inlineStr">
        <is>
          <t>NULL</t>
        </is>
      </c>
      <c r="D1792" s="0" t="inlineStr">
        <is>
          <t>NULL</t>
        </is>
      </c>
      <c r="E1792" s="0" t="inlineStr">
        <is>
          <t>NULL</t>
        </is>
      </c>
      <c r="F1792" s="0" t="inlineStr">
        <is>
          <t>NULL</t>
        </is>
      </c>
      <c r="G1792" s="0" t="inlineStr">
        <is>
          <t>NULL</t>
        </is>
      </c>
      <c r="H1792" s="0" t="inlineStr">
        <is>
          <t>NULL</t>
        </is>
      </c>
      <c r="I1792" s="0" t="inlineStr">
        <is>
          <t>NULL</t>
        </is>
      </c>
      <c r="J1792" s="0" t="inlineStr">
        <is>
          <t>NULL</t>
        </is>
      </c>
      <c r="K1792" s="0" t="inlineStr">
        <is>
          <t>YES! 	 c_varbinary_max2列源备映射正确，源端为varbinary -1位	期望更改为longblob	实际备端为longblob 4294967295位</t>
        </is>
      </c>
    </row>
    <row r="1793">
      <c r="B1793" s="0" t="inlineStr">
        <is>
          <t>NULL</t>
        </is>
      </c>
      <c r="C1793" s="0" t="inlineStr">
        <is>
          <t>NULL</t>
        </is>
      </c>
      <c r="D1793" s="0" t="inlineStr">
        <is>
          <t>NULL</t>
        </is>
      </c>
      <c r="E1793" s="0" t="inlineStr">
        <is>
          <t>NULL</t>
        </is>
      </c>
      <c r="F1793" s="0" t="inlineStr">
        <is>
          <t>NULL</t>
        </is>
      </c>
      <c r="G1793" s="0" t="inlineStr">
        <is>
          <t>NULL</t>
        </is>
      </c>
      <c r="H1793" s="0" t="inlineStr">
        <is>
          <t>NULL</t>
        </is>
      </c>
      <c r="I1793" s="0" t="inlineStr">
        <is>
          <t>NULL</t>
        </is>
      </c>
      <c r="J1793" s="0" t="inlineStr">
        <is>
          <t>NULL</t>
        </is>
      </c>
      <c r="K1793" s="0" t="inlineStr">
        <is>
          <t>YES! 	 c_image3列源备映射正确，源端为image 2147483647位	期望更改为longblob	实际备端为longblob 4294967295位</t>
        </is>
      </c>
    </row>
    <row r="1794">
      <c r="A1794" s="0" t="inlineStr">
        <is>
          <t>info_int_dml_batch1_pk_urp2</t>
        </is>
      </c>
      <c r="K1794" s="0" t="inlineStr">
        <is>
          <t>[0;34m info_int_dml_batch1_pk_urp2 [0m源备字段数相同，源端字段：20 	备端字段20</t>
        </is>
      </c>
      <c r="W1794" s="0" t="inlineStr">
        <is>
          <t>YES 源备无差异</t>
        </is>
      </c>
      <c r="X1794" s="0">
        <f>A1794</f>
        <v/>
      </c>
    </row>
    <row r="1795">
      <c r="B1795" s="0" t="inlineStr">
        <is>
          <t>YES</t>
        </is>
      </c>
      <c r="C1795" s="0" t="inlineStr">
        <is>
          <t>NULL</t>
        </is>
      </c>
      <c r="D1795" s="0" t="inlineStr">
        <is>
          <t>NULL</t>
        </is>
      </c>
      <c r="E1795" s="0" t="inlineStr">
        <is>
          <t>NULL</t>
        </is>
      </c>
      <c r="F1795" s="0" t="inlineStr">
        <is>
          <t>NULL</t>
        </is>
      </c>
      <c r="G1795" s="0" t="inlineStr">
        <is>
          <t>NULL</t>
        </is>
      </c>
      <c r="H1795" s="0" t="inlineStr">
        <is>
          <t>NULL</t>
        </is>
      </c>
      <c r="I1795" s="0" t="inlineStr">
        <is>
          <t>YES!PK__info_int__3213E83F144F3BF9</t>
        </is>
      </c>
      <c r="J1795" s="0" t="inlineStr">
        <is>
          <t>YES! 主键相关索引</t>
        </is>
      </c>
      <c r="K1795" s="0" t="inlineStr">
        <is>
          <t>YES! 	 id列源备映射正确，源端为int None位	期望更改为int	实际备端为int None位</t>
        </is>
      </c>
    </row>
    <row r="1796">
      <c r="B1796" s="0" t="inlineStr">
        <is>
          <t>NULL</t>
        </is>
      </c>
      <c r="C1796" s="0" t="inlineStr">
        <is>
          <t>NULL</t>
        </is>
      </c>
      <c r="D1796" s="0" t="inlineStr">
        <is>
          <t>NULL</t>
        </is>
      </c>
      <c r="E1796" s="0" t="inlineStr">
        <is>
          <t>NULL</t>
        </is>
      </c>
      <c r="F1796" s="0" t="inlineStr">
        <is>
          <t>NULL</t>
        </is>
      </c>
      <c r="G1796" s="0" t="inlineStr">
        <is>
          <t>NULL</t>
        </is>
      </c>
      <c r="H1796" s="0" t="inlineStr">
        <is>
          <t>NULL</t>
        </is>
      </c>
      <c r="I1796" s="0" t="inlineStr">
        <is>
          <t>NULL</t>
        </is>
      </c>
      <c r="J1796" s="0" t="inlineStr">
        <is>
          <t>NULL</t>
        </is>
      </c>
      <c r="K1796" s="0" t="inlineStr">
        <is>
          <t>YES! 	 c_tinyint列源备映射正确，源端为tinyint None位	期望更改为tinyint	实际备端为tinyint None位</t>
        </is>
      </c>
    </row>
    <row r="1797">
      <c r="B1797" s="0" t="inlineStr">
        <is>
          <t>NULL</t>
        </is>
      </c>
      <c r="C1797" s="0" t="inlineStr">
        <is>
          <t>NULL</t>
        </is>
      </c>
      <c r="D1797" s="0" t="inlineStr">
        <is>
          <t>NULL</t>
        </is>
      </c>
      <c r="E1797" s="0" t="inlineStr">
        <is>
          <t>NULL</t>
        </is>
      </c>
      <c r="F1797" s="0" t="inlineStr">
        <is>
          <t>NULL</t>
        </is>
      </c>
      <c r="G1797" s="0" t="inlineStr">
        <is>
          <t>NULL</t>
        </is>
      </c>
      <c r="H1797" s="0" t="inlineStr">
        <is>
          <t>NULL</t>
        </is>
      </c>
      <c r="I1797" s="0" t="inlineStr">
        <is>
          <t>NULL</t>
        </is>
      </c>
      <c r="J1797" s="0" t="inlineStr">
        <is>
          <t>NULL</t>
        </is>
      </c>
      <c r="K1797" s="0" t="inlineStr">
        <is>
          <t>YES! 	 c_smallint列源备映射正确，源端为smallint None位	期望更改为smallint	实际备端为smallint None位</t>
        </is>
      </c>
    </row>
    <row r="1798">
      <c r="B1798" s="0" t="inlineStr">
        <is>
          <t>NULL</t>
        </is>
      </c>
      <c r="C1798" s="0" t="inlineStr">
        <is>
          <t>NULL</t>
        </is>
      </c>
      <c r="D1798" s="0" t="inlineStr">
        <is>
          <t>NULL</t>
        </is>
      </c>
      <c r="E1798" s="0" t="inlineStr">
        <is>
          <t>NULL</t>
        </is>
      </c>
      <c r="F1798" s="0" t="inlineStr">
        <is>
          <t>NULL</t>
        </is>
      </c>
      <c r="G1798" s="0" t="inlineStr">
        <is>
          <t>NULL</t>
        </is>
      </c>
      <c r="H1798" s="0" t="inlineStr">
        <is>
          <t>NULL</t>
        </is>
      </c>
      <c r="I1798" s="0" t="inlineStr">
        <is>
          <t>NULL</t>
        </is>
      </c>
      <c r="J1798" s="0" t="inlineStr">
        <is>
          <t>NULL</t>
        </is>
      </c>
      <c r="K1798" s="0" t="inlineStr">
        <is>
          <t>YES! 	 c_int列源备映射正确，源端为int None位	期望更改为int	实际备端为int None位</t>
        </is>
      </c>
    </row>
    <row r="1799">
      <c r="B1799" s="0" t="inlineStr">
        <is>
          <t>NULL</t>
        </is>
      </c>
      <c r="C1799" s="0" t="inlineStr">
        <is>
          <t>NULL</t>
        </is>
      </c>
      <c r="D1799" s="0" t="inlineStr">
        <is>
          <t>NULL</t>
        </is>
      </c>
      <c r="E1799" s="0" t="inlineStr">
        <is>
          <t>NULL</t>
        </is>
      </c>
      <c r="F1799" s="0" t="inlineStr">
        <is>
          <t>NULL</t>
        </is>
      </c>
      <c r="G1799" s="0" t="inlineStr">
        <is>
          <t>NULL</t>
        </is>
      </c>
      <c r="H1799" s="0" t="inlineStr">
        <is>
          <t>NULL</t>
        </is>
      </c>
      <c r="I1799" s="0" t="inlineStr">
        <is>
          <t>NULL</t>
        </is>
      </c>
      <c r="J1799" s="0" t="inlineStr">
        <is>
          <t>NULL</t>
        </is>
      </c>
      <c r="K1799" s="0" t="inlineStr">
        <is>
          <t>YES! 	 c_bigint列源备映射正确，源端为bigint None位	期望更改为bigint	实际备端为bigint None位</t>
        </is>
      </c>
    </row>
    <row r="1800">
      <c r="B1800" s="0" t="inlineStr">
        <is>
          <t>NULL</t>
        </is>
      </c>
      <c r="C1800" s="0" t="inlineStr">
        <is>
          <t>NULL</t>
        </is>
      </c>
      <c r="D1800" s="0" t="inlineStr">
        <is>
          <t>NULL</t>
        </is>
      </c>
      <c r="E1800" s="0" t="inlineStr">
        <is>
          <t>NULL</t>
        </is>
      </c>
      <c r="F1800" s="0" t="inlineStr">
        <is>
          <t>NULL</t>
        </is>
      </c>
      <c r="G1800" s="0" t="inlineStr">
        <is>
          <t>NULL</t>
        </is>
      </c>
      <c r="H1800" s="0" t="inlineStr">
        <is>
          <t>NULL</t>
        </is>
      </c>
      <c r="I1800" s="0" t="inlineStr">
        <is>
          <t>NULL</t>
        </is>
      </c>
      <c r="J1800" s="0" t="inlineStr">
        <is>
          <t>NULL</t>
        </is>
      </c>
      <c r="K1800" s="0" t="inlineStr">
        <is>
          <t>YES! 	 c_decimal列源备映射正确，源端为decimal None位	期望更改为decimal(p,s)	实际备端为decimal None位</t>
        </is>
      </c>
    </row>
    <row r="1801">
      <c r="B1801" s="0" t="inlineStr">
        <is>
          <t>NULL</t>
        </is>
      </c>
      <c r="C1801" s="0" t="inlineStr">
        <is>
          <t>NULL</t>
        </is>
      </c>
      <c r="D1801" s="0" t="inlineStr">
        <is>
          <t>NULL</t>
        </is>
      </c>
      <c r="E1801" s="0" t="inlineStr">
        <is>
          <t>NULL</t>
        </is>
      </c>
      <c r="F1801" s="0" t="inlineStr">
        <is>
          <t>NULL</t>
        </is>
      </c>
      <c r="G1801" s="0" t="inlineStr">
        <is>
          <t>NULL</t>
        </is>
      </c>
      <c r="H1801" s="0" t="inlineStr">
        <is>
          <t>NULL</t>
        </is>
      </c>
      <c r="I1801" s="0" t="inlineStr">
        <is>
          <t>NULL</t>
        </is>
      </c>
      <c r="J1801" s="0" t="inlineStr">
        <is>
          <t>NULL</t>
        </is>
      </c>
      <c r="K1801" s="0" t="inlineStr">
        <is>
          <t>YES! 	 c_decimal38列源备映射正确，源端为decimal None位	期望更改为decimal(p,s)	实际备端为decimal None位</t>
        </is>
      </c>
    </row>
    <row r="1802">
      <c r="B1802" s="0" t="inlineStr">
        <is>
          <t>NULL</t>
        </is>
      </c>
      <c r="C1802" s="0" t="inlineStr">
        <is>
          <t>NULL</t>
        </is>
      </c>
      <c r="D1802" s="0" t="inlineStr">
        <is>
          <t>NULL</t>
        </is>
      </c>
      <c r="E1802" s="0" t="inlineStr">
        <is>
          <t>NULL</t>
        </is>
      </c>
      <c r="F1802" s="0" t="inlineStr">
        <is>
          <t>NULL</t>
        </is>
      </c>
      <c r="G1802" s="0" t="inlineStr">
        <is>
          <t>NULL</t>
        </is>
      </c>
      <c r="H1802" s="0" t="inlineStr">
        <is>
          <t>NULL</t>
        </is>
      </c>
      <c r="I1802" s="0" t="inlineStr">
        <is>
          <t>NULL</t>
        </is>
      </c>
      <c r="J1802" s="0" t="inlineStr">
        <is>
          <t>NULL</t>
        </is>
      </c>
      <c r="K1802" s="0" t="inlineStr">
        <is>
          <t xml:space="preserve"> NO!  	 c_decimal38_38列源备映射错误，源端为decimal None位	期望更改为decimal(p,s)	实际备端为varchar 168位</t>
        </is>
      </c>
    </row>
    <row r="1803">
      <c r="B1803" s="0" t="inlineStr">
        <is>
          <t>NULL</t>
        </is>
      </c>
      <c r="C1803" s="0" t="inlineStr">
        <is>
          <t>NULL</t>
        </is>
      </c>
      <c r="D1803" s="0" t="inlineStr">
        <is>
          <t>NULL</t>
        </is>
      </c>
      <c r="E1803" s="0" t="inlineStr">
        <is>
          <t>NULL</t>
        </is>
      </c>
      <c r="F1803" s="0" t="inlineStr">
        <is>
          <t>NULL</t>
        </is>
      </c>
      <c r="G1803" s="0" t="inlineStr">
        <is>
          <t>NULL</t>
        </is>
      </c>
      <c r="H1803" s="0" t="inlineStr">
        <is>
          <t>NULL</t>
        </is>
      </c>
      <c r="I1803" s="0" t="inlineStr">
        <is>
          <t>NULL</t>
        </is>
      </c>
      <c r="J1803" s="0" t="inlineStr">
        <is>
          <t>NULL</t>
        </is>
      </c>
      <c r="K1803" s="0" t="inlineStr">
        <is>
          <t>YES! 	 c_decimal38_10列源备映射正确，源端为decimal None位	期望更改为decimal(p,s)	实际备端为decimal None位</t>
        </is>
      </c>
    </row>
    <row r="1804">
      <c r="B1804" s="0" t="inlineStr">
        <is>
          <t>NULL</t>
        </is>
      </c>
      <c r="C1804" s="0" t="inlineStr">
        <is>
          <t>NULL</t>
        </is>
      </c>
      <c r="D1804" s="0" t="inlineStr">
        <is>
          <t>NULL</t>
        </is>
      </c>
      <c r="E1804" s="0" t="inlineStr">
        <is>
          <t>NULL</t>
        </is>
      </c>
      <c r="F1804" s="0" t="inlineStr">
        <is>
          <t>NULL</t>
        </is>
      </c>
      <c r="G1804" s="0" t="inlineStr">
        <is>
          <t>NULL</t>
        </is>
      </c>
      <c r="H1804" s="0" t="inlineStr">
        <is>
          <t>NULL</t>
        </is>
      </c>
      <c r="I1804" s="0" t="inlineStr">
        <is>
          <t>NULL</t>
        </is>
      </c>
      <c r="J1804" s="0" t="inlineStr">
        <is>
          <t>NULL</t>
        </is>
      </c>
      <c r="K1804" s="0" t="inlineStr">
        <is>
          <t>YES! 	 c_decimal19_4列源备映射正确，源端为decimal None位	期望更改为decimal(p,s)	实际备端为decimal None位</t>
        </is>
      </c>
    </row>
    <row r="1805">
      <c r="B1805" s="0" t="inlineStr">
        <is>
          <t>NULL</t>
        </is>
      </c>
      <c r="C1805" s="0" t="inlineStr">
        <is>
          <t>NULL</t>
        </is>
      </c>
      <c r="D1805" s="0" t="inlineStr">
        <is>
          <t>NULL</t>
        </is>
      </c>
      <c r="E1805" s="0" t="inlineStr">
        <is>
          <t>NULL</t>
        </is>
      </c>
      <c r="F1805" s="0" t="inlineStr">
        <is>
          <t>NULL</t>
        </is>
      </c>
      <c r="G1805" s="0" t="inlineStr">
        <is>
          <t>NULL</t>
        </is>
      </c>
      <c r="H1805" s="0" t="inlineStr">
        <is>
          <t>NULL</t>
        </is>
      </c>
      <c r="I1805" s="0" t="inlineStr">
        <is>
          <t>NULL</t>
        </is>
      </c>
      <c r="J1805" s="0" t="inlineStr">
        <is>
          <t>NULL</t>
        </is>
      </c>
      <c r="K1805" s="0" t="inlineStr">
        <is>
          <t>YES! 	 c_numeric列源备映射正确，源端为numeric None位	期望更改为decimal(p,s)	实际备端为decimal None位</t>
        </is>
      </c>
    </row>
    <row r="1806">
      <c r="B1806" s="0" t="inlineStr">
        <is>
          <t>NULL</t>
        </is>
      </c>
      <c r="C1806" s="0" t="inlineStr">
        <is>
          <t>NULL</t>
        </is>
      </c>
      <c r="D1806" s="0" t="inlineStr">
        <is>
          <t>NULL</t>
        </is>
      </c>
      <c r="E1806" s="0" t="inlineStr">
        <is>
          <t>NULL</t>
        </is>
      </c>
      <c r="F1806" s="0" t="inlineStr">
        <is>
          <t>NULL</t>
        </is>
      </c>
      <c r="G1806" s="0" t="inlineStr">
        <is>
          <t>NULL</t>
        </is>
      </c>
      <c r="H1806" s="0" t="inlineStr">
        <is>
          <t>NULL</t>
        </is>
      </c>
      <c r="I1806" s="0" t="inlineStr">
        <is>
          <t>NULL</t>
        </is>
      </c>
      <c r="J1806" s="0" t="inlineStr">
        <is>
          <t>NULL</t>
        </is>
      </c>
      <c r="K1806" s="0" t="inlineStr">
        <is>
          <t>YES! 	 c_numeric38列源备映射正确，源端为numeric None位	期望更改为decimal(p,s)	实际备端为decimal None位</t>
        </is>
      </c>
    </row>
    <row r="1807">
      <c r="B1807" s="0" t="inlineStr">
        <is>
          <t>NULL</t>
        </is>
      </c>
      <c r="C1807" s="0" t="inlineStr">
        <is>
          <t>NULL</t>
        </is>
      </c>
      <c r="D1807" s="0" t="inlineStr">
        <is>
          <t>NULL</t>
        </is>
      </c>
      <c r="E1807" s="0" t="inlineStr">
        <is>
          <t>NULL</t>
        </is>
      </c>
      <c r="F1807" s="0" t="inlineStr">
        <is>
          <t>NULL</t>
        </is>
      </c>
      <c r="G1807" s="0" t="inlineStr">
        <is>
          <t>NULL</t>
        </is>
      </c>
      <c r="H1807" s="0" t="inlineStr">
        <is>
          <t>NULL</t>
        </is>
      </c>
      <c r="I1807" s="0" t="inlineStr">
        <is>
          <t>NULL</t>
        </is>
      </c>
      <c r="J1807" s="0" t="inlineStr">
        <is>
          <t>NULL</t>
        </is>
      </c>
      <c r="K1807" s="0" t="inlineStr">
        <is>
          <t xml:space="preserve"> NO!  	 c_numeric38_38列源备映射错误，源端为numeric None位	期望更改为decimal(p,s)	实际备端为varchar 168位</t>
        </is>
      </c>
    </row>
    <row r="1808">
      <c r="B1808" s="0" t="inlineStr">
        <is>
          <t>NULL</t>
        </is>
      </c>
      <c r="C1808" s="0" t="inlineStr">
        <is>
          <t>NULL</t>
        </is>
      </c>
      <c r="D1808" s="0" t="inlineStr">
        <is>
          <t>NULL</t>
        </is>
      </c>
      <c r="E1808" s="0" t="inlineStr">
        <is>
          <t>NULL</t>
        </is>
      </c>
      <c r="F1808" s="0" t="inlineStr">
        <is>
          <t>NULL</t>
        </is>
      </c>
      <c r="G1808" s="0" t="inlineStr">
        <is>
          <t>NULL</t>
        </is>
      </c>
      <c r="H1808" s="0" t="inlineStr">
        <is>
          <t>NULL</t>
        </is>
      </c>
      <c r="I1808" s="0" t="inlineStr">
        <is>
          <t>NULL</t>
        </is>
      </c>
      <c r="J1808" s="0" t="inlineStr">
        <is>
          <t>NULL</t>
        </is>
      </c>
      <c r="K1808" s="0" t="inlineStr">
        <is>
          <t>YES! 	 c_numeric38_10列源备映射正确，源端为numeric None位	期望更改为decimal(p,s)	实际备端为decimal None位</t>
        </is>
      </c>
    </row>
    <row r="1809">
      <c r="B1809" s="0" t="inlineStr">
        <is>
          <t>NULL</t>
        </is>
      </c>
      <c r="C1809" s="0" t="inlineStr">
        <is>
          <t>NULL</t>
        </is>
      </c>
      <c r="D1809" s="0" t="inlineStr">
        <is>
          <t>NULL</t>
        </is>
      </c>
      <c r="E1809" s="0" t="inlineStr">
        <is>
          <t>NULL</t>
        </is>
      </c>
      <c r="F1809" s="0" t="inlineStr">
        <is>
          <t>NULL</t>
        </is>
      </c>
      <c r="G1809" s="0" t="inlineStr">
        <is>
          <t>NULL</t>
        </is>
      </c>
      <c r="H1809" s="0" t="inlineStr">
        <is>
          <t>NULL</t>
        </is>
      </c>
      <c r="I1809" s="0" t="inlineStr">
        <is>
          <t>NULL</t>
        </is>
      </c>
      <c r="J1809" s="0" t="inlineStr">
        <is>
          <t>NULL</t>
        </is>
      </c>
      <c r="K1809" s="0" t="inlineStr">
        <is>
          <t>YES! 	 c_numeric18_2列源备映射正确，源端为numeric None位	期望更改为decimal(p,s)	实际备端为decimal None位</t>
        </is>
      </c>
    </row>
    <row r="1810">
      <c r="B1810" s="0" t="inlineStr">
        <is>
          <t>NULL</t>
        </is>
      </c>
      <c r="C1810" s="0" t="inlineStr">
        <is>
          <t>NULL</t>
        </is>
      </c>
      <c r="D1810" s="0" t="inlineStr">
        <is>
          <t>NULL</t>
        </is>
      </c>
      <c r="E1810" s="0" t="inlineStr">
        <is>
          <t>NULL</t>
        </is>
      </c>
      <c r="F1810" s="0" t="inlineStr">
        <is>
          <t>NULL</t>
        </is>
      </c>
      <c r="G1810" s="0" t="inlineStr">
        <is>
          <t>NULL</t>
        </is>
      </c>
      <c r="H1810" s="0" t="inlineStr">
        <is>
          <t>NULL</t>
        </is>
      </c>
      <c r="I1810" s="0" t="inlineStr">
        <is>
          <t>NULL</t>
        </is>
      </c>
      <c r="J1810" s="0" t="inlineStr">
        <is>
          <t>NULL</t>
        </is>
      </c>
      <c r="K1810" s="0" t="inlineStr">
        <is>
          <t>YES! 	 c_float列源备映射正确，源端为float None位	期望更改为double	实际备端为double None位</t>
        </is>
      </c>
    </row>
    <row r="1811">
      <c r="B1811" s="0" t="inlineStr">
        <is>
          <t>NULL</t>
        </is>
      </c>
      <c r="C1811" s="0" t="inlineStr">
        <is>
          <t>NULL</t>
        </is>
      </c>
      <c r="D1811" s="0" t="inlineStr">
        <is>
          <t>NULL</t>
        </is>
      </c>
      <c r="E1811" s="0" t="inlineStr">
        <is>
          <t>NULL</t>
        </is>
      </c>
      <c r="F1811" s="0" t="inlineStr">
        <is>
          <t>NULL</t>
        </is>
      </c>
      <c r="G1811" s="0" t="inlineStr">
        <is>
          <t>NULL</t>
        </is>
      </c>
      <c r="H1811" s="0" t="inlineStr">
        <is>
          <t>NULL</t>
        </is>
      </c>
      <c r="I1811" s="0" t="inlineStr">
        <is>
          <t>NULL</t>
        </is>
      </c>
      <c r="J1811" s="0" t="inlineStr">
        <is>
          <t>NULL</t>
        </is>
      </c>
      <c r="K1811" s="0" t="inlineStr">
        <is>
          <t>YES! 	 c_real列源备映射正确，源端为real None位	期望更改为double	实际备端为double None位</t>
        </is>
      </c>
    </row>
    <row r="1812">
      <c r="B1812" s="0" t="inlineStr">
        <is>
          <t>NULL</t>
        </is>
      </c>
      <c r="C1812" s="0" t="inlineStr">
        <is>
          <t>NULL</t>
        </is>
      </c>
      <c r="D1812" s="0" t="inlineStr">
        <is>
          <t>NULL</t>
        </is>
      </c>
      <c r="E1812" s="0" t="inlineStr">
        <is>
          <t>NULL</t>
        </is>
      </c>
      <c r="F1812" s="0" t="inlineStr">
        <is>
          <t>NULL</t>
        </is>
      </c>
      <c r="G1812" s="0" t="inlineStr">
        <is>
          <t>NULL</t>
        </is>
      </c>
      <c r="H1812" s="0" t="inlineStr">
        <is>
          <t>NULL</t>
        </is>
      </c>
      <c r="I1812" s="0" t="inlineStr">
        <is>
          <t>NULL</t>
        </is>
      </c>
      <c r="J1812" s="0" t="inlineStr">
        <is>
          <t>NULL</t>
        </is>
      </c>
      <c r="K1812" s="0" t="inlineStr">
        <is>
          <t>YES! 	 c_money列源备映射正确，源端为money None位	期望更改为decimal(19,4)	实际备端为decimal None位</t>
        </is>
      </c>
    </row>
    <row r="1813">
      <c r="B1813" s="0" t="inlineStr">
        <is>
          <t>NULL</t>
        </is>
      </c>
      <c r="C1813" s="0" t="inlineStr">
        <is>
          <t>NULL</t>
        </is>
      </c>
      <c r="D1813" s="0" t="inlineStr">
        <is>
          <t>NULL</t>
        </is>
      </c>
      <c r="E1813" s="0" t="inlineStr">
        <is>
          <t>NULL</t>
        </is>
      </c>
      <c r="F1813" s="0" t="inlineStr">
        <is>
          <t>NULL</t>
        </is>
      </c>
      <c r="G1813" s="0" t="inlineStr">
        <is>
          <t>NULL</t>
        </is>
      </c>
      <c r="H1813" s="0" t="inlineStr">
        <is>
          <t>NULL</t>
        </is>
      </c>
      <c r="I1813" s="0" t="inlineStr">
        <is>
          <t>NULL</t>
        </is>
      </c>
      <c r="J1813" s="0" t="inlineStr">
        <is>
          <t>NULL</t>
        </is>
      </c>
      <c r="K1813" s="0" t="inlineStr">
        <is>
          <t>YES! 	 c_smallmoney列源备映射正确，源端为smallmoney None位	期望更改为decimal(10,4)	实际备端为decimal None位</t>
        </is>
      </c>
    </row>
    <row r="1814">
      <c r="B1814" s="0" t="inlineStr">
        <is>
          <t>NULL</t>
        </is>
      </c>
      <c r="C1814" s="0" t="inlineStr">
        <is>
          <t>NULL</t>
        </is>
      </c>
      <c r="D1814" s="0" t="inlineStr">
        <is>
          <t>NULL</t>
        </is>
      </c>
      <c r="E1814" s="0" t="inlineStr">
        <is>
          <t>NULL</t>
        </is>
      </c>
      <c r="F1814" s="0" t="inlineStr">
        <is>
          <t>NULL</t>
        </is>
      </c>
      <c r="G1814" s="0" t="inlineStr">
        <is>
          <t>NULL</t>
        </is>
      </c>
      <c r="H1814" s="0" t="inlineStr">
        <is>
          <t>NULL</t>
        </is>
      </c>
      <c r="I1814" s="0" t="inlineStr">
        <is>
          <t>NULL</t>
        </is>
      </c>
      <c r="J1814" s="0" t="inlineStr">
        <is>
          <t>NULL</t>
        </is>
      </c>
      <c r="K1814" s="0" t="inlineStr">
        <is>
          <t>YES! 	 c_bit列源备映射正确，源端为bit None位	期望更改为tinyint(1) 	实际备端为tinyint None位</t>
        </is>
      </c>
    </row>
    <row r="1815">
      <c r="A1815" s="0" t="inlineStr">
        <is>
          <t>info_xml_dml_single_pk_drp</t>
        </is>
      </c>
      <c r="K1815" s="0" t="inlineStr">
        <is>
          <t>[0;34m info_xml_dml_single_pk_drp [0m源备字段数相同，源端字段：2 	备端字段2</t>
        </is>
      </c>
      <c r="W1815" s="0" t="inlineStr">
        <is>
          <t>YES 源备无差异</t>
        </is>
      </c>
      <c r="X1815" s="0">
        <f>A1815</f>
        <v/>
      </c>
    </row>
    <row r="1816">
      <c r="B1816" s="0" t="inlineStr">
        <is>
          <t>YES</t>
        </is>
      </c>
      <c r="C1816" s="0" t="inlineStr">
        <is>
          <t>NULL</t>
        </is>
      </c>
      <c r="D1816" s="0" t="inlineStr">
        <is>
          <t>NULL</t>
        </is>
      </c>
      <c r="E1816" s="0" t="inlineStr">
        <is>
          <t>NULL</t>
        </is>
      </c>
      <c r="F1816" s="0" t="inlineStr">
        <is>
          <t>NULL</t>
        </is>
      </c>
      <c r="G1816" s="0" t="inlineStr">
        <is>
          <t>NULL</t>
        </is>
      </c>
      <c r="H1816" s="0" t="inlineStr">
        <is>
          <t>NULL</t>
        </is>
      </c>
      <c r="I1816" s="0" t="inlineStr">
        <is>
          <t>YES!PK__info_xml__3213E83F1BC1C943</t>
        </is>
      </c>
      <c r="J1816" s="0" t="inlineStr">
        <is>
          <t>YES! 主键相关索引</t>
        </is>
      </c>
      <c r="K1816" s="0" t="inlineStr">
        <is>
          <t>YES! 	 id列源备映射正确，源端为int None位	期望更改为int	实际备端为int None位</t>
        </is>
      </c>
    </row>
    <row r="1817">
      <c r="B1817" s="0" t="inlineStr">
        <is>
          <t>NULL</t>
        </is>
      </c>
      <c r="C1817" s="0" t="inlineStr">
        <is>
          <t>NULL</t>
        </is>
      </c>
      <c r="D1817" s="0" t="inlineStr">
        <is>
          <t>NULL</t>
        </is>
      </c>
      <c r="E1817" s="0" t="inlineStr">
        <is>
          <t>NULL</t>
        </is>
      </c>
      <c r="F1817" s="0" t="inlineStr">
        <is>
          <t>NULL</t>
        </is>
      </c>
      <c r="G1817" s="0" t="inlineStr">
        <is>
          <t>NULL</t>
        </is>
      </c>
      <c r="H1817" s="0" t="inlineStr">
        <is>
          <t>NULL</t>
        </is>
      </c>
      <c r="I1817" s="0" t="inlineStr">
        <is>
          <t>NULL</t>
        </is>
      </c>
      <c r="J1817" s="0" t="inlineStr">
        <is>
          <t>NULL</t>
        </is>
      </c>
      <c r="K1817" s="0" t="inlineStr">
        <is>
          <t>YES! 	 c_xml列源备映射正确，源端为xml -1位	期望更改为longtext	实际备端为longtext 4294967295位</t>
        </is>
      </c>
    </row>
    <row r="1818">
      <c r="A1818" s="0" t="inlineStr">
        <is>
          <t>info_int_dml_batch1_pk_drp1</t>
        </is>
      </c>
      <c r="K1818" s="0" t="inlineStr">
        <is>
          <t>[0;34m info_int_dml_batch1_pk_drp1 [0m源备字段数相同，源端字段：20 	备端字段20</t>
        </is>
      </c>
      <c r="W1818" s="0" t="inlineStr">
        <is>
          <t>YES 源备无差异</t>
        </is>
      </c>
      <c r="X1818" s="0">
        <f>A1818</f>
        <v/>
      </c>
    </row>
    <row r="1819">
      <c r="B1819" s="0" t="inlineStr">
        <is>
          <t>YES</t>
        </is>
      </c>
      <c r="C1819" s="0" t="inlineStr">
        <is>
          <t>NULL</t>
        </is>
      </c>
      <c r="D1819" s="0" t="inlineStr">
        <is>
          <t>NULL</t>
        </is>
      </c>
      <c r="E1819" s="0" t="inlineStr">
        <is>
          <t>NULL</t>
        </is>
      </c>
      <c r="F1819" s="0" t="inlineStr">
        <is>
          <t>NULL</t>
        </is>
      </c>
      <c r="G1819" s="0" t="inlineStr">
        <is>
          <t>NULL</t>
        </is>
      </c>
      <c r="H1819" s="0" t="inlineStr">
        <is>
          <t>NULL</t>
        </is>
      </c>
      <c r="I1819" s="0" t="inlineStr">
        <is>
          <t>YES!PK__info_int__3213E83F306EE40F</t>
        </is>
      </c>
      <c r="J1819" s="0" t="inlineStr">
        <is>
          <t>YES! 主键相关索引</t>
        </is>
      </c>
      <c r="K1819" s="0" t="inlineStr">
        <is>
          <t>YES! 	 id列源备映射正确，源端为int None位	期望更改为int	实际备端为int None位</t>
        </is>
      </c>
    </row>
    <row r="1820">
      <c r="B1820" s="0" t="inlineStr">
        <is>
          <t>NULL</t>
        </is>
      </c>
      <c r="C1820" s="0" t="inlineStr">
        <is>
          <t>NULL</t>
        </is>
      </c>
      <c r="D1820" s="0" t="inlineStr">
        <is>
          <t>NULL</t>
        </is>
      </c>
      <c r="E1820" s="0" t="inlineStr">
        <is>
          <t>NULL</t>
        </is>
      </c>
      <c r="F1820" s="0" t="inlineStr">
        <is>
          <t>NULL</t>
        </is>
      </c>
      <c r="G1820" s="0" t="inlineStr">
        <is>
          <t>NULL</t>
        </is>
      </c>
      <c r="H1820" s="0" t="inlineStr">
        <is>
          <t>NULL</t>
        </is>
      </c>
      <c r="I1820" s="0" t="inlineStr">
        <is>
          <t>NULL</t>
        </is>
      </c>
      <c r="J1820" s="0" t="inlineStr">
        <is>
          <t>NULL</t>
        </is>
      </c>
      <c r="K1820" s="0" t="inlineStr">
        <is>
          <t>YES! 	 c_tinyint列源备映射正确，源端为tinyint None位	期望更改为tinyint	实际备端为tinyint None位</t>
        </is>
      </c>
    </row>
    <row r="1821">
      <c r="B1821" s="0" t="inlineStr">
        <is>
          <t>NULL</t>
        </is>
      </c>
      <c r="C1821" s="0" t="inlineStr">
        <is>
          <t>NULL</t>
        </is>
      </c>
      <c r="D1821" s="0" t="inlineStr">
        <is>
          <t>NULL</t>
        </is>
      </c>
      <c r="E1821" s="0" t="inlineStr">
        <is>
          <t>NULL</t>
        </is>
      </c>
      <c r="F1821" s="0" t="inlineStr">
        <is>
          <t>NULL</t>
        </is>
      </c>
      <c r="G1821" s="0" t="inlineStr">
        <is>
          <t>NULL</t>
        </is>
      </c>
      <c r="H1821" s="0" t="inlineStr">
        <is>
          <t>NULL</t>
        </is>
      </c>
      <c r="I1821" s="0" t="inlineStr">
        <is>
          <t>NULL</t>
        </is>
      </c>
      <c r="J1821" s="0" t="inlineStr">
        <is>
          <t>NULL</t>
        </is>
      </c>
      <c r="K1821" s="0" t="inlineStr">
        <is>
          <t>YES! 	 c_smallint列源备映射正确，源端为smallint None位	期望更改为smallint	实际备端为smallint None位</t>
        </is>
      </c>
    </row>
    <row r="1822">
      <c r="B1822" s="0" t="inlineStr">
        <is>
          <t>NULL</t>
        </is>
      </c>
      <c r="C1822" s="0" t="inlineStr">
        <is>
          <t>NULL</t>
        </is>
      </c>
      <c r="D1822" s="0" t="inlineStr">
        <is>
          <t>NULL</t>
        </is>
      </c>
      <c r="E1822" s="0" t="inlineStr">
        <is>
          <t>NULL</t>
        </is>
      </c>
      <c r="F1822" s="0" t="inlineStr">
        <is>
          <t>NULL</t>
        </is>
      </c>
      <c r="G1822" s="0" t="inlineStr">
        <is>
          <t>NULL</t>
        </is>
      </c>
      <c r="H1822" s="0" t="inlineStr">
        <is>
          <t>NULL</t>
        </is>
      </c>
      <c r="I1822" s="0" t="inlineStr">
        <is>
          <t>NULL</t>
        </is>
      </c>
      <c r="J1822" s="0" t="inlineStr">
        <is>
          <t>NULL</t>
        </is>
      </c>
      <c r="K1822" s="0" t="inlineStr">
        <is>
          <t>YES! 	 c_int列源备映射正确，源端为int None位	期望更改为int	实际备端为int None位</t>
        </is>
      </c>
    </row>
    <row r="1823">
      <c r="B1823" s="0" t="inlineStr">
        <is>
          <t>NULL</t>
        </is>
      </c>
      <c r="C1823" s="0" t="inlineStr">
        <is>
          <t>NULL</t>
        </is>
      </c>
      <c r="D1823" s="0" t="inlineStr">
        <is>
          <t>NULL</t>
        </is>
      </c>
      <c r="E1823" s="0" t="inlineStr">
        <is>
          <t>NULL</t>
        </is>
      </c>
      <c r="F1823" s="0" t="inlineStr">
        <is>
          <t>NULL</t>
        </is>
      </c>
      <c r="G1823" s="0" t="inlineStr">
        <is>
          <t>NULL</t>
        </is>
      </c>
      <c r="H1823" s="0" t="inlineStr">
        <is>
          <t>NULL</t>
        </is>
      </c>
      <c r="I1823" s="0" t="inlineStr">
        <is>
          <t>NULL</t>
        </is>
      </c>
      <c r="J1823" s="0" t="inlineStr">
        <is>
          <t>NULL</t>
        </is>
      </c>
      <c r="K1823" s="0" t="inlineStr">
        <is>
          <t>YES! 	 c_bigint列源备映射正确，源端为bigint None位	期望更改为bigint	实际备端为bigint None位</t>
        </is>
      </c>
    </row>
    <row r="1824">
      <c r="B1824" s="0" t="inlineStr">
        <is>
          <t>NULL</t>
        </is>
      </c>
      <c r="C1824" s="0" t="inlineStr">
        <is>
          <t>NULL</t>
        </is>
      </c>
      <c r="D1824" s="0" t="inlineStr">
        <is>
          <t>NULL</t>
        </is>
      </c>
      <c r="E1824" s="0" t="inlineStr">
        <is>
          <t>NULL</t>
        </is>
      </c>
      <c r="F1824" s="0" t="inlineStr">
        <is>
          <t>NULL</t>
        </is>
      </c>
      <c r="G1824" s="0" t="inlineStr">
        <is>
          <t>NULL</t>
        </is>
      </c>
      <c r="H1824" s="0" t="inlineStr">
        <is>
          <t>NULL</t>
        </is>
      </c>
      <c r="I1824" s="0" t="inlineStr">
        <is>
          <t>NULL</t>
        </is>
      </c>
      <c r="J1824" s="0" t="inlineStr">
        <is>
          <t>NULL</t>
        </is>
      </c>
      <c r="K1824" s="0" t="inlineStr">
        <is>
          <t>YES! 	 c_decimal列源备映射正确，源端为decimal None位	期望更改为decimal(p,s)	实际备端为decimal None位</t>
        </is>
      </c>
    </row>
    <row r="1825">
      <c r="B1825" s="0" t="inlineStr">
        <is>
          <t>NULL</t>
        </is>
      </c>
      <c r="C1825" s="0" t="inlineStr">
        <is>
          <t>NULL</t>
        </is>
      </c>
      <c r="D1825" s="0" t="inlineStr">
        <is>
          <t>NULL</t>
        </is>
      </c>
      <c r="E1825" s="0" t="inlineStr">
        <is>
          <t>NULL</t>
        </is>
      </c>
      <c r="F1825" s="0" t="inlineStr">
        <is>
          <t>NULL</t>
        </is>
      </c>
      <c r="G1825" s="0" t="inlineStr">
        <is>
          <t>NULL</t>
        </is>
      </c>
      <c r="H1825" s="0" t="inlineStr">
        <is>
          <t>NULL</t>
        </is>
      </c>
      <c r="I1825" s="0" t="inlineStr">
        <is>
          <t>NULL</t>
        </is>
      </c>
      <c r="J1825" s="0" t="inlineStr">
        <is>
          <t>NULL</t>
        </is>
      </c>
      <c r="K1825" s="0" t="inlineStr">
        <is>
          <t>YES! 	 c_decimal38列源备映射正确，源端为decimal None位	期望更改为decimal(p,s)	实际备端为decimal None位</t>
        </is>
      </c>
    </row>
    <row r="1826">
      <c r="B1826" s="0" t="inlineStr">
        <is>
          <t>NULL</t>
        </is>
      </c>
      <c r="C1826" s="0" t="inlineStr">
        <is>
          <t>NULL</t>
        </is>
      </c>
      <c r="D1826" s="0" t="inlineStr">
        <is>
          <t>NULL</t>
        </is>
      </c>
      <c r="E1826" s="0" t="inlineStr">
        <is>
          <t>NULL</t>
        </is>
      </c>
      <c r="F1826" s="0" t="inlineStr">
        <is>
          <t>NULL</t>
        </is>
      </c>
      <c r="G1826" s="0" t="inlineStr">
        <is>
          <t>NULL</t>
        </is>
      </c>
      <c r="H1826" s="0" t="inlineStr">
        <is>
          <t>NULL</t>
        </is>
      </c>
      <c r="I1826" s="0" t="inlineStr">
        <is>
          <t>NULL</t>
        </is>
      </c>
      <c r="J1826" s="0" t="inlineStr">
        <is>
          <t>NULL</t>
        </is>
      </c>
      <c r="K1826" s="0" t="inlineStr">
        <is>
          <t xml:space="preserve"> NO!  	 c_decimal38_38列源备映射错误，源端为decimal None位	期望更改为decimal(p,s)	实际备端为varchar 168位</t>
        </is>
      </c>
    </row>
    <row r="1827">
      <c r="B1827" s="0" t="inlineStr">
        <is>
          <t>NULL</t>
        </is>
      </c>
      <c r="C1827" s="0" t="inlineStr">
        <is>
          <t>NULL</t>
        </is>
      </c>
      <c r="D1827" s="0" t="inlineStr">
        <is>
          <t>NULL</t>
        </is>
      </c>
      <c r="E1827" s="0" t="inlineStr">
        <is>
          <t>NULL</t>
        </is>
      </c>
      <c r="F1827" s="0" t="inlineStr">
        <is>
          <t>NULL</t>
        </is>
      </c>
      <c r="G1827" s="0" t="inlineStr">
        <is>
          <t>NULL</t>
        </is>
      </c>
      <c r="H1827" s="0" t="inlineStr">
        <is>
          <t>NULL</t>
        </is>
      </c>
      <c r="I1827" s="0" t="inlineStr">
        <is>
          <t>NULL</t>
        </is>
      </c>
      <c r="J1827" s="0" t="inlineStr">
        <is>
          <t>NULL</t>
        </is>
      </c>
      <c r="K1827" s="0" t="inlineStr">
        <is>
          <t>YES! 	 c_decimal38_10列源备映射正确，源端为decimal None位	期望更改为decimal(p,s)	实际备端为decimal None位</t>
        </is>
      </c>
    </row>
    <row r="1828">
      <c r="B1828" s="0" t="inlineStr">
        <is>
          <t>NULL</t>
        </is>
      </c>
      <c r="C1828" s="0" t="inlineStr">
        <is>
          <t>NULL</t>
        </is>
      </c>
      <c r="D1828" s="0" t="inlineStr">
        <is>
          <t>NULL</t>
        </is>
      </c>
      <c r="E1828" s="0" t="inlineStr">
        <is>
          <t>NULL</t>
        </is>
      </c>
      <c r="F1828" s="0" t="inlineStr">
        <is>
          <t>NULL</t>
        </is>
      </c>
      <c r="G1828" s="0" t="inlineStr">
        <is>
          <t>NULL</t>
        </is>
      </c>
      <c r="H1828" s="0" t="inlineStr">
        <is>
          <t>NULL</t>
        </is>
      </c>
      <c r="I1828" s="0" t="inlineStr">
        <is>
          <t>NULL</t>
        </is>
      </c>
      <c r="J1828" s="0" t="inlineStr">
        <is>
          <t>NULL</t>
        </is>
      </c>
      <c r="K1828" s="0" t="inlineStr">
        <is>
          <t>YES! 	 c_decimal19_4列源备映射正确，源端为decimal None位	期望更改为decimal(p,s)	实际备端为decimal None位</t>
        </is>
      </c>
    </row>
    <row r="1829">
      <c r="B1829" s="0" t="inlineStr">
        <is>
          <t>NULL</t>
        </is>
      </c>
      <c r="C1829" s="0" t="inlineStr">
        <is>
          <t>NULL</t>
        </is>
      </c>
      <c r="D1829" s="0" t="inlineStr">
        <is>
          <t>NULL</t>
        </is>
      </c>
      <c r="E1829" s="0" t="inlineStr">
        <is>
          <t>NULL</t>
        </is>
      </c>
      <c r="F1829" s="0" t="inlineStr">
        <is>
          <t>NULL</t>
        </is>
      </c>
      <c r="G1829" s="0" t="inlineStr">
        <is>
          <t>NULL</t>
        </is>
      </c>
      <c r="H1829" s="0" t="inlineStr">
        <is>
          <t>NULL</t>
        </is>
      </c>
      <c r="I1829" s="0" t="inlineStr">
        <is>
          <t>NULL</t>
        </is>
      </c>
      <c r="J1829" s="0" t="inlineStr">
        <is>
          <t>NULL</t>
        </is>
      </c>
      <c r="K1829" s="0" t="inlineStr">
        <is>
          <t>YES! 	 c_numeric列源备映射正确，源端为numeric None位	期望更改为decimal(p,s)	实际备端为decimal None位</t>
        </is>
      </c>
    </row>
    <row r="1830">
      <c r="B1830" s="0" t="inlineStr">
        <is>
          <t>NULL</t>
        </is>
      </c>
      <c r="C1830" s="0" t="inlineStr">
        <is>
          <t>NULL</t>
        </is>
      </c>
      <c r="D1830" s="0" t="inlineStr">
        <is>
          <t>NULL</t>
        </is>
      </c>
      <c r="E1830" s="0" t="inlineStr">
        <is>
          <t>NULL</t>
        </is>
      </c>
      <c r="F1830" s="0" t="inlineStr">
        <is>
          <t>NULL</t>
        </is>
      </c>
      <c r="G1830" s="0" t="inlineStr">
        <is>
          <t>NULL</t>
        </is>
      </c>
      <c r="H1830" s="0" t="inlineStr">
        <is>
          <t>NULL</t>
        </is>
      </c>
      <c r="I1830" s="0" t="inlineStr">
        <is>
          <t>NULL</t>
        </is>
      </c>
      <c r="J1830" s="0" t="inlineStr">
        <is>
          <t>NULL</t>
        </is>
      </c>
      <c r="K1830" s="0" t="inlineStr">
        <is>
          <t>YES! 	 c_numeric38列源备映射正确，源端为numeric None位	期望更改为decimal(p,s)	实际备端为decimal None位</t>
        </is>
      </c>
    </row>
    <row r="1831">
      <c r="B1831" s="0" t="inlineStr">
        <is>
          <t>NULL</t>
        </is>
      </c>
      <c r="C1831" s="0" t="inlineStr">
        <is>
          <t>NULL</t>
        </is>
      </c>
      <c r="D1831" s="0" t="inlineStr">
        <is>
          <t>NULL</t>
        </is>
      </c>
      <c r="E1831" s="0" t="inlineStr">
        <is>
          <t>NULL</t>
        </is>
      </c>
      <c r="F1831" s="0" t="inlineStr">
        <is>
          <t>NULL</t>
        </is>
      </c>
      <c r="G1831" s="0" t="inlineStr">
        <is>
          <t>NULL</t>
        </is>
      </c>
      <c r="H1831" s="0" t="inlineStr">
        <is>
          <t>NULL</t>
        </is>
      </c>
      <c r="I1831" s="0" t="inlineStr">
        <is>
          <t>NULL</t>
        </is>
      </c>
      <c r="J1831" s="0" t="inlineStr">
        <is>
          <t>NULL</t>
        </is>
      </c>
      <c r="K1831" s="0" t="inlineStr">
        <is>
          <t xml:space="preserve"> NO!  	 c_numeric38_38列源备映射错误，源端为numeric None位	期望更改为decimal(p,s)	实际备端为varchar 168位</t>
        </is>
      </c>
    </row>
    <row r="1832">
      <c r="B1832" s="0" t="inlineStr">
        <is>
          <t>NULL</t>
        </is>
      </c>
      <c r="C1832" s="0" t="inlineStr">
        <is>
          <t>NULL</t>
        </is>
      </c>
      <c r="D1832" s="0" t="inlineStr">
        <is>
          <t>NULL</t>
        </is>
      </c>
      <c r="E1832" s="0" t="inlineStr">
        <is>
          <t>NULL</t>
        </is>
      </c>
      <c r="F1832" s="0" t="inlineStr">
        <is>
          <t>NULL</t>
        </is>
      </c>
      <c r="G1832" s="0" t="inlineStr">
        <is>
          <t>NULL</t>
        </is>
      </c>
      <c r="H1832" s="0" t="inlineStr">
        <is>
          <t>NULL</t>
        </is>
      </c>
      <c r="I1832" s="0" t="inlineStr">
        <is>
          <t>NULL</t>
        </is>
      </c>
      <c r="J1832" s="0" t="inlineStr">
        <is>
          <t>NULL</t>
        </is>
      </c>
      <c r="K1832" s="0" t="inlineStr">
        <is>
          <t>YES! 	 c_numeric38_10列源备映射正确，源端为numeric None位	期望更改为decimal(p,s)	实际备端为decimal None位</t>
        </is>
      </c>
    </row>
    <row r="1833">
      <c r="B1833" s="0" t="inlineStr">
        <is>
          <t>NULL</t>
        </is>
      </c>
      <c r="C1833" s="0" t="inlineStr">
        <is>
          <t>NULL</t>
        </is>
      </c>
      <c r="D1833" s="0" t="inlineStr">
        <is>
          <t>NULL</t>
        </is>
      </c>
      <c r="E1833" s="0" t="inlineStr">
        <is>
          <t>NULL</t>
        </is>
      </c>
      <c r="F1833" s="0" t="inlineStr">
        <is>
          <t>NULL</t>
        </is>
      </c>
      <c r="G1833" s="0" t="inlineStr">
        <is>
          <t>NULL</t>
        </is>
      </c>
      <c r="H1833" s="0" t="inlineStr">
        <is>
          <t>NULL</t>
        </is>
      </c>
      <c r="I1833" s="0" t="inlineStr">
        <is>
          <t>NULL</t>
        </is>
      </c>
      <c r="J1833" s="0" t="inlineStr">
        <is>
          <t>NULL</t>
        </is>
      </c>
      <c r="K1833" s="0" t="inlineStr">
        <is>
          <t>YES! 	 c_numeric18_2列源备映射正确，源端为numeric None位	期望更改为decimal(p,s)	实际备端为decimal None位</t>
        </is>
      </c>
    </row>
    <row r="1834">
      <c r="B1834" s="0" t="inlineStr">
        <is>
          <t>NULL</t>
        </is>
      </c>
      <c r="C1834" s="0" t="inlineStr">
        <is>
          <t>NULL</t>
        </is>
      </c>
      <c r="D1834" s="0" t="inlineStr">
        <is>
          <t>NULL</t>
        </is>
      </c>
      <c r="E1834" s="0" t="inlineStr">
        <is>
          <t>NULL</t>
        </is>
      </c>
      <c r="F1834" s="0" t="inlineStr">
        <is>
          <t>NULL</t>
        </is>
      </c>
      <c r="G1834" s="0" t="inlineStr">
        <is>
          <t>NULL</t>
        </is>
      </c>
      <c r="H1834" s="0" t="inlineStr">
        <is>
          <t>NULL</t>
        </is>
      </c>
      <c r="I1834" s="0" t="inlineStr">
        <is>
          <t>NULL</t>
        </is>
      </c>
      <c r="J1834" s="0" t="inlineStr">
        <is>
          <t>NULL</t>
        </is>
      </c>
      <c r="K1834" s="0" t="inlineStr">
        <is>
          <t>YES! 	 c_float列源备映射正确，源端为float None位	期望更改为double	实际备端为double None位</t>
        </is>
      </c>
    </row>
    <row r="1835">
      <c r="B1835" s="0" t="inlineStr">
        <is>
          <t>NULL</t>
        </is>
      </c>
      <c r="C1835" s="0" t="inlineStr">
        <is>
          <t>NULL</t>
        </is>
      </c>
      <c r="D1835" s="0" t="inlineStr">
        <is>
          <t>NULL</t>
        </is>
      </c>
      <c r="E1835" s="0" t="inlineStr">
        <is>
          <t>NULL</t>
        </is>
      </c>
      <c r="F1835" s="0" t="inlineStr">
        <is>
          <t>NULL</t>
        </is>
      </c>
      <c r="G1835" s="0" t="inlineStr">
        <is>
          <t>NULL</t>
        </is>
      </c>
      <c r="H1835" s="0" t="inlineStr">
        <is>
          <t>NULL</t>
        </is>
      </c>
      <c r="I1835" s="0" t="inlineStr">
        <is>
          <t>NULL</t>
        </is>
      </c>
      <c r="J1835" s="0" t="inlineStr">
        <is>
          <t>NULL</t>
        </is>
      </c>
      <c r="K1835" s="0" t="inlineStr">
        <is>
          <t>YES! 	 c_real列源备映射正确，源端为real None位	期望更改为double	实际备端为double None位</t>
        </is>
      </c>
    </row>
    <row r="1836">
      <c r="B1836" s="0" t="inlineStr">
        <is>
          <t>NULL</t>
        </is>
      </c>
      <c r="C1836" s="0" t="inlineStr">
        <is>
          <t>NULL</t>
        </is>
      </c>
      <c r="D1836" s="0" t="inlineStr">
        <is>
          <t>NULL</t>
        </is>
      </c>
      <c r="E1836" s="0" t="inlineStr">
        <is>
          <t>NULL</t>
        </is>
      </c>
      <c r="F1836" s="0" t="inlineStr">
        <is>
          <t>NULL</t>
        </is>
      </c>
      <c r="G1836" s="0" t="inlineStr">
        <is>
          <t>NULL</t>
        </is>
      </c>
      <c r="H1836" s="0" t="inlineStr">
        <is>
          <t>NULL</t>
        </is>
      </c>
      <c r="I1836" s="0" t="inlineStr">
        <is>
          <t>NULL</t>
        </is>
      </c>
      <c r="J1836" s="0" t="inlineStr">
        <is>
          <t>NULL</t>
        </is>
      </c>
      <c r="K1836" s="0" t="inlineStr">
        <is>
          <t>YES! 	 c_money列源备映射正确，源端为money None位	期望更改为decimal(19,4)	实际备端为decimal None位</t>
        </is>
      </c>
    </row>
    <row r="1837">
      <c r="B1837" s="0" t="inlineStr">
        <is>
          <t>NULL</t>
        </is>
      </c>
      <c r="C1837" s="0" t="inlineStr">
        <is>
          <t>NULL</t>
        </is>
      </c>
      <c r="D1837" s="0" t="inlineStr">
        <is>
          <t>NULL</t>
        </is>
      </c>
      <c r="E1837" s="0" t="inlineStr">
        <is>
          <t>NULL</t>
        </is>
      </c>
      <c r="F1837" s="0" t="inlineStr">
        <is>
          <t>NULL</t>
        </is>
      </c>
      <c r="G1837" s="0" t="inlineStr">
        <is>
          <t>NULL</t>
        </is>
      </c>
      <c r="H1837" s="0" t="inlineStr">
        <is>
          <t>NULL</t>
        </is>
      </c>
      <c r="I1837" s="0" t="inlineStr">
        <is>
          <t>NULL</t>
        </is>
      </c>
      <c r="J1837" s="0" t="inlineStr">
        <is>
          <t>NULL</t>
        </is>
      </c>
      <c r="K1837" s="0" t="inlineStr">
        <is>
          <t>YES! 	 c_smallmoney列源备映射正确，源端为smallmoney None位	期望更改为decimal(10,4)	实际备端为decimal None位</t>
        </is>
      </c>
    </row>
    <row r="1838">
      <c r="B1838" s="0" t="inlineStr">
        <is>
          <t>NULL</t>
        </is>
      </c>
      <c r="C1838" s="0" t="inlineStr">
        <is>
          <t>NULL</t>
        </is>
      </c>
      <c r="D1838" s="0" t="inlineStr">
        <is>
          <t>NULL</t>
        </is>
      </c>
      <c r="E1838" s="0" t="inlineStr">
        <is>
          <t>NULL</t>
        </is>
      </c>
      <c r="F1838" s="0" t="inlineStr">
        <is>
          <t>NULL</t>
        </is>
      </c>
      <c r="G1838" s="0" t="inlineStr">
        <is>
          <t>NULL</t>
        </is>
      </c>
      <c r="H1838" s="0" t="inlineStr">
        <is>
          <t>NULL</t>
        </is>
      </c>
      <c r="I1838" s="0" t="inlineStr">
        <is>
          <t>NULL</t>
        </is>
      </c>
      <c r="J1838" s="0" t="inlineStr">
        <is>
          <t>NULL</t>
        </is>
      </c>
      <c r="K1838" s="0" t="inlineStr">
        <is>
          <t>YES! 	 c_bit列源备映射正确，源端为bit None位	期望更改为tinyint(1) 	实际备端为tinyint None位</t>
        </is>
      </c>
    </row>
    <row r="1839">
      <c r="K1839" s="0" t="inlineStr">
        <is>
          <t>~ 空表</t>
        </is>
      </c>
    </row>
    <row r="1840">
      <c r="A1840" s="0" t="inlineStr">
        <is>
          <t>info_xml_dml_single_pk</t>
        </is>
      </c>
      <c r="K1840" s="0" t="inlineStr">
        <is>
          <t>[0;34m info_xml_dml_single_pk [0m源备字段数相同，源端字段：2 	备端字段2</t>
        </is>
      </c>
      <c r="W1840" s="0" t="inlineStr">
        <is>
          <t>YES 源备无差异</t>
        </is>
      </c>
      <c r="X1840" s="0">
        <f>A1840</f>
        <v/>
      </c>
    </row>
    <row r="1841">
      <c r="B1841" s="0" t="inlineStr">
        <is>
          <t>YES</t>
        </is>
      </c>
      <c r="C1841" s="0" t="inlineStr">
        <is>
          <t>NULL</t>
        </is>
      </c>
      <c r="D1841" s="0" t="inlineStr">
        <is>
          <t>NULL</t>
        </is>
      </c>
      <c r="E1841" s="0" t="inlineStr">
        <is>
          <t>NULL</t>
        </is>
      </c>
      <c r="F1841" s="0" t="inlineStr">
        <is>
          <t>NULL</t>
        </is>
      </c>
      <c r="G1841" s="0" t="inlineStr">
        <is>
          <t>NULL</t>
        </is>
      </c>
      <c r="H1841" s="0" t="inlineStr">
        <is>
          <t>NULL</t>
        </is>
      </c>
      <c r="I1841" s="0" t="inlineStr">
        <is>
          <t>YES!PK__info_xml__3213E83F18208475</t>
        </is>
      </c>
      <c r="J1841" s="0" t="inlineStr">
        <is>
          <t>YES! 主键相关索引</t>
        </is>
      </c>
      <c r="K1841" s="0" t="inlineStr">
        <is>
          <t>YES! 	 id列源备映射正确，源端为int None位	期望更改为int	实际备端为int None位</t>
        </is>
      </c>
    </row>
    <row r="1842">
      <c r="B1842" s="0" t="inlineStr">
        <is>
          <t>NULL</t>
        </is>
      </c>
      <c r="C1842" s="0" t="inlineStr">
        <is>
          <t>NULL</t>
        </is>
      </c>
      <c r="D1842" s="0" t="inlineStr">
        <is>
          <t>NULL</t>
        </is>
      </c>
      <c r="E1842" s="0" t="inlineStr">
        <is>
          <t>NULL</t>
        </is>
      </c>
      <c r="F1842" s="0" t="inlineStr">
        <is>
          <t>NULL</t>
        </is>
      </c>
      <c r="G1842" s="0" t="inlineStr">
        <is>
          <t>NULL</t>
        </is>
      </c>
      <c r="H1842" s="0" t="inlineStr">
        <is>
          <t>NULL</t>
        </is>
      </c>
      <c r="I1842" s="0" t="inlineStr">
        <is>
          <t>NULL</t>
        </is>
      </c>
      <c r="J1842" s="0" t="inlineStr">
        <is>
          <t>NULL</t>
        </is>
      </c>
      <c r="K1842" s="0" t="inlineStr">
        <is>
          <t>YES! 	 c_xml列源备映射正确，源端为xml -1位	期望更改为longtext	实际备端为longtext 4294967295位</t>
        </is>
      </c>
    </row>
    <row r="1843">
      <c r="A1843" s="0" t="inlineStr">
        <is>
          <t>info_int_dml_batch1_pk_drp2</t>
        </is>
      </c>
      <c r="K1843" s="0" t="inlineStr">
        <is>
          <t>[0;34m info_int_dml_batch1_pk_drp2 [0m源备字段数相同，源端字段：20 	备端字段20</t>
        </is>
      </c>
      <c r="W1843" s="0" t="inlineStr">
        <is>
          <t>YES 源备无差异</t>
        </is>
      </c>
      <c r="X1843" s="0">
        <f>A1843</f>
        <v/>
      </c>
    </row>
    <row r="1844">
      <c r="B1844" s="0" t="inlineStr">
        <is>
          <t>YES</t>
        </is>
      </c>
      <c r="C1844" s="0" t="inlineStr">
        <is>
          <t>NULL</t>
        </is>
      </c>
      <c r="D1844" s="0" t="inlineStr">
        <is>
          <t>NULL</t>
        </is>
      </c>
      <c r="E1844" s="0" t="inlineStr">
        <is>
          <t>NULL</t>
        </is>
      </c>
      <c r="F1844" s="0" t="inlineStr">
        <is>
          <t>NULL</t>
        </is>
      </c>
      <c r="G1844" s="0" t="inlineStr">
        <is>
          <t>NULL</t>
        </is>
      </c>
      <c r="H1844" s="0" t="inlineStr">
        <is>
          <t>NULL</t>
        </is>
      </c>
      <c r="I1844" s="0" t="inlineStr">
        <is>
          <t>YES!PK__info_int__3213E83F7F818277</t>
        </is>
      </c>
      <c r="J1844" s="0" t="inlineStr">
        <is>
          <t>YES! 主键相关索引</t>
        </is>
      </c>
      <c r="K1844" s="0" t="inlineStr">
        <is>
          <t>YES! 	 id列源备映射正确，源端为int None位	期望更改为int	实际备端为int None位</t>
        </is>
      </c>
    </row>
    <row r="1845">
      <c r="B1845" s="0" t="inlineStr">
        <is>
          <t>NULL</t>
        </is>
      </c>
      <c r="C1845" s="0" t="inlineStr">
        <is>
          <t>NULL</t>
        </is>
      </c>
      <c r="D1845" s="0" t="inlineStr">
        <is>
          <t>NULL</t>
        </is>
      </c>
      <c r="E1845" s="0" t="inlineStr">
        <is>
          <t>NULL</t>
        </is>
      </c>
      <c r="F1845" s="0" t="inlineStr">
        <is>
          <t>NULL</t>
        </is>
      </c>
      <c r="G1845" s="0" t="inlineStr">
        <is>
          <t>NULL</t>
        </is>
      </c>
      <c r="H1845" s="0" t="inlineStr">
        <is>
          <t>NULL</t>
        </is>
      </c>
      <c r="I1845" s="0" t="inlineStr">
        <is>
          <t>NULL</t>
        </is>
      </c>
      <c r="J1845" s="0" t="inlineStr">
        <is>
          <t>NULL</t>
        </is>
      </c>
      <c r="K1845" s="0" t="inlineStr">
        <is>
          <t>YES! 	 c_tinyint列源备映射正确，源端为tinyint None位	期望更改为tinyint	实际备端为tinyint None位</t>
        </is>
      </c>
    </row>
    <row r="1846">
      <c r="B1846" s="0" t="inlineStr">
        <is>
          <t>NULL</t>
        </is>
      </c>
      <c r="C1846" s="0" t="inlineStr">
        <is>
          <t>NULL</t>
        </is>
      </c>
      <c r="D1846" s="0" t="inlineStr">
        <is>
          <t>NULL</t>
        </is>
      </c>
      <c r="E1846" s="0" t="inlineStr">
        <is>
          <t>NULL</t>
        </is>
      </c>
      <c r="F1846" s="0" t="inlineStr">
        <is>
          <t>NULL</t>
        </is>
      </c>
      <c r="G1846" s="0" t="inlineStr">
        <is>
          <t>NULL</t>
        </is>
      </c>
      <c r="H1846" s="0" t="inlineStr">
        <is>
          <t>NULL</t>
        </is>
      </c>
      <c r="I1846" s="0" t="inlineStr">
        <is>
          <t>NULL</t>
        </is>
      </c>
      <c r="J1846" s="0" t="inlineStr">
        <is>
          <t>NULL</t>
        </is>
      </c>
      <c r="K1846" s="0" t="inlineStr">
        <is>
          <t>YES! 	 c_smallint列源备映射正确，源端为smallint None位	期望更改为smallint	实际备端为smallint None位</t>
        </is>
      </c>
    </row>
    <row r="1847">
      <c r="B1847" s="0" t="inlineStr">
        <is>
          <t>NULL</t>
        </is>
      </c>
      <c r="C1847" s="0" t="inlineStr">
        <is>
          <t>NULL</t>
        </is>
      </c>
      <c r="D1847" s="0" t="inlineStr">
        <is>
          <t>NULL</t>
        </is>
      </c>
      <c r="E1847" s="0" t="inlineStr">
        <is>
          <t>NULL</t>
        </is>
      </c>
      <c r="F1847" s="0" t="inlineStr">
        <is>
          <t>NULL</t>
        </is>
      </c>
      <c r="G1847" s="0" t="inlineStr">
        <is>
          <t>NULL</t>
        </is>
      </c>
      <c r="H1847" s="0" t="inlineStr">
        <is>
          <t>NULL</t>
        </is>
      </c>
      <c r="I1847" s="0" t="inlineStr">
        <is>
          <t>NULL</t>
        </is>
      </c>
      <c r="J1847" s="0" t="inlineStr">
        <is>
          <t>NULL</t>
        </is>
      </c>
      <c r="K1847" s="0" t="inlineStr">
        <is>
          <t>YES! 	 c_int列源备映射正确，源端为int None位	期望更改为int	实际备端为int None位</t>
        </is>
      </c>
    </row>
    <row r="1848">
      <c r="B1848" s="0" t="inlineStr">
        <is>
          <t>NULL</t>
        </is>
      </c>
      <c r="C1848" s="0" t="inlineStr">
        <is>
          <t>NULL</t>
        </is>
      </c>
      <c r="D1848" s="0" t="inlineStr">
        <is>
          <t>NULL</t>
        </is>
      </c>
      <c r="E1848" s="0" t="inlineStr">
        <is>
          <t>NULL</t>
        </is>
      </c>
      <c r="F1848" s="0" t="inlineStr">
        <is>
          <t>NULL</t>
        </is>
      </c>
      <c r="G1848" s="0" t="inlineStr">
        <is>
          <t>NULL</t>
        </is>
      </c>
      <c r="H1848" s="0" t="inlineStr">
        <is>
          <t>NULL</t>
        </is>
      </c>
      <c r="I1848" s="0" t="inlineStr">
        <is>
          <t>NULL</t>
        </is>
      </c>
      <c r="J1848" s="0" t="inlineStr">
        <is>
          <t>NULL</t>
        </is>
      </c>
      <c r="K1848" s="0" t="inlineStr">
        <is>
          <t>YES! 	 c_bigint列源备映射正确，源端为bigint None位	期望更改为bigint	实际备端为bigint None位</t>
        </is>
      </c>
    </row>
    <row r="1849">
      <c r="B1849" s="0" t="inlineStr">
        <is>
          <t>NULL</t>
        </is>
      </c>
      <c r="C1849" s="0" t="inlineStr">
        <is>
          <t>NULL</t>
        </is>
      </c>
      <c r="D1849" s="0" t="inlineStr">
        <is>
          <t>NULL</t>
        </is>
      </c>
      <c r="E1849" s="0" t="inlineStr">
        <is>
          <t>NULL</t>
        </is>
      </c>
      <c r="F1849" s="0" t="inlineStr">
        <is>
          <t>NULL</t>
        </is>
      </c>
      <c r="G1849" s="0" t="inlineStr">
        <is>
          <t>NULL</t>
        </is>
      </c>
      <c r="H1849" s="0" t="inlineStr">
        <is>
          <t>NULL</t>
        </is>
      </c>
      <c r="I1849" s="0" t="inlineStr">
        <is>
          <t>NULL</t>
        </is>
      </c>
      <c r="J1849" s="0" t="inlineStr">
        <is>
          <t>NULL</t>
        </is>
      </c>
      <c r="K1849" s="0" t="inlineStr">
        <is>
          <t>YES! 	 c_decimal列源备映射正确，源端为decimal None位	期望更改为decimal(p,s)	实际备端为decimal None位</t>
        </is>
      </c>
    </row>
    <row r="1850">
      <c r="B1850" s="0" t="inlineStr">
        <is>
          <t>NULL</t>
        </is>
      </c>
      <c r="C1850" s="0" t="inlineStr">
        <is>
          <t>NULL</t>
        </is>
      </c>
      <c r="D1850" s="0" t="inlineStr">
        <is>
          <t>NULL</t>
        </is>
      </c>
      <c r="E1850" s="0" t="inlineStr">
        <is>
          <t>NULL</t>
        </is>
      </c>
      <c r="F1850" s="0" t="inlineStr">
        <is>
          <t>NULL</t>
        </is>
      </c>
      <c r="G1850" s="0" t="inlineStr">
        <is>
          <t>NULL</t>
        </is>
      </c>
      <c r="H1850" s="0" t="inlineStr">
        <is>
          <t>NULL</t>
        </is>
      </c>
      <c r="I1850" s="0" t="inlineStr">
        <is>
          <t>NULL</t>
        </is>
      </c>
      <c r="J1850" s="0" t="inlineStr">
        <is>
          <t>NULL</t>
        </is>
      </c>
      <c r="K1850" s="0" t="inlineStr">
        <is>
          <t>YES! 	 c_decimal38列源备映射正确，源端为decimal None位	期望更改为decimal(p,s)	实际备端为decimal None位</t>
        </is>
      </c>
    </row>
    <row r="1851">
      <c r="B1851" s="0" t="inlineStr">
        <is>
          <t>NULL</t>
        </is>
      </c>
      <c r="C1851" s="0" t="inlineStr">
        <is>
          <t>NULL</t>
        </is>
      </c>
      <c r="D1851" s="0" t="inlineStr">
        <is>
          <t>NULL</t>
        </is>
      </c>
      <c r="E1851" s="0" t="inlineStr">
        <is>
          <t>NULL</t>
        </is>
      </c>
      <c r="F1851" s="0" t="inlineStr">
        <is>
          <t>NULL</t>
        </is>
      </c>
      <c r="G1851" s="0" t="inlineStr">
        <is>
          <t>NULL</t>
        </is>
      </c>
      <c r="H1851" s="0" t="inlineStr">
        <is>
          <t>NULL</t>
        </is>
      </c>
      <c r="I1851" s="0" t="inlineStr">
        <is>
          <t>NULL</t>
        </is>
      </c>
      <c r="J1851" s="0" t="inlineStr">
        <is>
          <t>NULL</t>
        </is>
      </c>
      <c r="K1851" s="0" t="inlineStr">
        <is>
          <t xml:space="preserve"> NO!  	 c_decimal38_38列源备映射错误，源端为decimal None位	期望更改为decimal(p,s)	实际备端为varchar 168位</t>
        </is>
      </c>
    </row>
    <row r="1852">
      <c r="B1852" s="0" t="inlineStr">
        <is>
          <t>NULL</t>
        </is>
      </c>
      <c r="C1852" s="0" t="inlineStr">
        <is>
          <t>NULL</t>
        </is>
      </c>
      <c r="D1852" s="0" t="inlineStr">
        <is>
          <t>NULL</t>
        </is>
      </c>
      <c r="E1852" s="0" t="inlineStr">
        <is>
          <t>NULL</t>
        </is>
      </c>
      <c r="F1852" s="0" t="inlineStr">
        <is>
          <t>NULL</t>
        </is>
      </c>
      <c r="G1852" s="0" t="inlineStr">
        <is>
          <t>NULL</t>
        </is>
      </c>
      <c r="H1852" s="0" t="inlineStr">
        <is>
          <t>NULL</t>
        </is>
      </c>
      <c r="I1852" s="0" t="inlineStr">
        <is>
          <t>NULL</t>
        </is>
      </c>
      <c r="J1852" s="0" t="inlineStr">
        <is>
          <t>NULL</t>
        </is>
      </c>
      <c r="K1852" s="0" t="inlineStr">
        <is>
          <t>YES! 	 c_decimal38_10列源备映射正确，源端为decimal None位	期望更改为decimal(p,s)	实际备端为decimal None位</t>
        </is>
      </c>
    </row>
    <row r="1853">
      <c r="B1853" s="0" t="inlineStr">
        <is>
          <t>NULL</t>
        </is>
      </c>
      <c r="C1853" s="0" t="inlineStr">
        <is>
          <t>NULL</t>
        </is>
      </c>
      <c r="D1853" s="0" t="inlineStr">
        <is>
          <t>NULL</t>
        </is>
      </c>
      <c r="E1853" s="0" t="inlineStr">
        <is>
          <t>NULL</t>
        </is>
      </c>
      <c r="F1853" s="0" t="inlineStr">
        <is>
          <t>NULL</t>
        </is>
      </c>
      <c r="G1853" s="0" t="inlineStr">
        <is>
          <t>NULL</t>
        </is>
      </c>
      <c r="H1853" s="0" t="inlineStr">
        <is>
          <t>NULL</t>
        </is>
      </c>
      <c r="I1853" s="0" t="inlineStr">
        <is>
          <t>NULL</t>
        </is>
      </c>
      <c r="J1853" s="0" t="inlineStr">
        <is>
          <t>NULL</t>
        </is>
      </c>
      <c r="K1853" s="0" t="inlineStr">
        <is>
          <t>YES! 	 c_decimal19_4列源备映射正确，源端为decimal None位	期望更改为decimal(p,s)	实际备端为decimal None位</t>
        </is>
      </c>
    </row>
    <row r="1854">
      <c r="B1854" s="0" t="inlineStr">
        <is>
          <t>NULL</t>
        </is>
      </c>
      <c r="C1854" s="0" t="inlineStr">
        <is>
          <t>NULL</t>
        </is>
      </c>
      <c r="D1854" s="0" t="inlineStr">
        <is>
          <t>NULL</t>
        </is>
      </c>
      <c r="E1854" s="0" t="inlineStr">
        <is>
          <t>NULL</t>
        </is>
      </c>
      <c r="F1854" s="0" t="inlineStr">
        <is>
          <t>NULL</t>
        </is>
      </c>
      <c r="G1854" s="0" t="inlineStr">
        <is>
          <t>NULL</t>
        </is>
      </c>
      <c r="H1854" s="0" t="inlineStr">
        <is>
          <t>NULL</t>
        </is>
      </c>
      <c r="I1854" s="0" t="inlineStr">
        <is>
          <t>NULL</t>
        </is>
      </c>
      <c r="J1854" s="0" t="inlineStr">
        <is>
          <t>NULL</t>
        </is>
      </c>
      <c r="K1854" s="0" t="inlineStr">
        <is>
          <t>YES! 	 c_numeric列源备映射正确，源端为numeric None位	期望更改为decimal(p,s)	实际备端为decimal None位</t>
        </is>
      </c>
    </row>
    <row r="1855">
      <c r="B1855" s="0" t="inlineStr">
        <is>
          <t>NULL</t>
        </is>
      </c>
      <c r="C1855" s="0" t="inlineStr">
        <is>
          <t>NULL</t>
        </is>
      </c>
      <c r="D1855" s="0" t="inlineStr">
        <is>
          <t>NULL</t>
        </is>
      </c>
      <c r="E1855" s="0" t="inlineStr">
        <is>
          <t>NULL</t>
        </is>
      </c>
      <c r="F1855" s="0" t="inlineStr">
        <is>
          <t>NULL</t>
        </is>
      </c>
      <c r="G1855" s="0" t="inlineStr">
        <is>
          <t>NULL</t>
        </is>
      </c>
      <c r="H1855" s="0" t="inlineStr">
        <is>
          <t>NULL</t>
        </is>
      </c>
      <c r="I1855" s="0" t="inlineStr">
        <is>
          <t>NULL</t>
        </is>
      </c>
      <c r="J1855" s="0" t="inlineStr">
        <is>
          <t>NULL</t>
        </is>
      </c>
      <c r="K1855" s="0" t="inlineStr">
        <is>
          <t>YES! 	 c_numeric38列源备映射正确，源端为numeric None位	期望更改为decimal(p,s)	实际备端为decimal None位</t>
        </is>
      </c>
    </row>
    <row r="1856">
      <c r="B1856" s="0" t="inlineStr">
        <is>
          <t>NULL</t>
        </is>
      </c>
      <c r="C1856" s="0" t="inlineStr">
        <is>
          <t>NULL</t>
        </is>
      </c>
      <c r="D1856" s="0" t="inlineStr">
        <is>
          <t>NULL</t>
        </is>
      </c>
      <c r="E1856" s="0" t="inlineStr">
        <is>
          <t>NULL</t>
        </is>
      </c>
      <c r="F1856" s="0" t="inlineStr">
        <is>
          <t>NULL</t>
        </is>
      </c>
      <c r="G1856" s="0" t="inlineStr">
        <is>
          <t>NULL</t>
        </is>
      </c>
      <c r="H1856" s="0" t="inlineStr">
        <is>
          <t>NULL</t>
        </is>
      </c>
      <c r="I1856" s="0" t="inlineStr">
        <is>
          <t>NULL</t>
        </is>
      </c>
      <c r="J1856" s="0" t="inlineStr">
        <is>
          <t>NULL</t>
        </is>
      </c>
      <c r="K1856" s="0" t="inlineStr">
        <is>
          <t xml:space="preserve"> NO!  	 c_numeric38_38列源备映射错误，源端为numeric None位	期望更改为decimal(p,s)	实际备端为varchar 168位</t>
        </is>
      </c>
    </row>
    <row r="1857">
      <c r="B1857" s="0" t="inlineStr">
        <is>
          <t>NULL</t>
        </is>
      </c>
      <c r="C1857" s="0" t="inlineStr">
        <is>
          <t>NULL</t>
        </is>
      </c>
      <c r="D1857" s="0" t="inlineStr">
        <is>
          <t>NULL</t>
        </is>
      </c>
      <c r="E1857" s="0" t="inlineStr">
        <is>
          <t>NULL</t>
        </is>
      </c>
      <c r="F1857" s="0" t="inlineStr">
        <is>
          <t>NULL</t>
        </is>
      </c>
      <c r="G1857" s="0" t="inlineStr">
        <is>
          <t>NULL</t>
        </is>
      </c>
      <c r="H1857" s="0" t="inlineStr">
        <is>
          <t>NULL</t>
        </is>
      </c>
      <c r="I1857" s="0" t="inlineStr">
        <is>
          <t>NULL</t>
        </is>
      </c>
      <c r="J1857" s="0" t="inlineStr">
        <is>
          <t>NULL</t>
        </is>
      </c>
      <c r="K1857" s="0" t="inlineStr">
        <is>
          <t>YES! 	 c_numeric38_10列源备映射正确，源端为numeric None位	期望更改为decimal(p,s)	实际备端为decimal None位</t>
        </is>
      </c>
    </row>
    <row r="1858">
      <c r="B1858" s="0" t="inlineStr">
        <is>
          <t>NULL</t>
        </is>
      </c>
      <c r="C1858" s="0" t="inlineStr">
        <is>
          <t>NULL</t>
        </is>
      </c>
      <c r="D1858" s="0" t="inlineStr">
        <is>
          <t>NULL</t>
        </is>
      </c>
      <c r="E1858" s="0" t="inlineStr">
        <is>
          <t>NULL</t>
        </is>
      </c>
      <c r="F1858" s="0" t="inlineStr">
        <is>
          <t>NULL</t>
        </is>
      </c>
      <c r="G1858" s="0" t="inlineStr">
        <is>
          <t>NULL</t>
        </is>
      </c>
      <c r="H1858" s="0" t="inlineStr">
        <is>
          <t>NULL</t>
        </is>
      </c>
      <c r="I1858" s="0" t="inlineStr">
        <is>
          <t>NULL</t>
        </is>
      </c>
      <c r="J1858" s="0" t="inlineStr">
        <is>
          <t>NULL</t>
        </is>
      </c>
      <c r="K1858" s="0" t="inlineStr">
        <is>
          <t>YES! 	 c_numeric18_2列源备映射正确，源端为numeric None位	期望更改为decimal(p,s)	实际备端为decimal None位</t>
        </is>
      </c>
    </row>
    <row r="1859">
      <c r="B1859" s="0" t="inlineStr">
        <is>
          <t>NULL</t>
        </is>
      </c>
      <c r="C1859" s="0" t="inlineStr">
        <is>
          <t>NULL</t>
        </is>
      </c>
      <c r="D1859" s="0" t="inlineStr">
        <is>
          <t>NULL</t>
        </is>
      </c>
      <c r="E1859" s="0" t="inlineStr">
        <is>
          <t>NULL</t>
        </is>
      </c>
      <c r="F1859" s="0" t="inlineStr">
        <is>
          <t>NULL</t>
        </is>
      </c>
      <c r="G1859" s="0" t="inlineStr">
        <is>
          <t>NULL</t>
        </is>
      </c>
      <c r="H1859" s="0" t="inlineStr">
        <is>
          <t>NULL</t>
        </is>
      </c>
      <c r="I1859" s="0" t="inlineStr">
        <is>
          <t>NULL</t>
        </is>
      </c>
      <c r="J1859" s="0" t="inlineStr">
        <is>
          <t>NULL</t>
        </is>
      </c>
      <c r="K1859" s="0" t="inlineStr">
        <is>
          <t>YES! 	 c_float列源备映射正确，源端为float None位	期望更改为double	实际备端为double None位</t>
        </is>
      </c>
    </row>
    <row r="1860">
      <c r="B1860" s="0" t="inlineStr">
        <is>
          <t>NULL</t>
        </is>
      </c>
      <c r="C1860" s="0" t="inlineStr">
        <is>
          <t>NULL</t>
        </is>
      </c>
      <c r="D1860" s="0" t="inlineStr">
        <is>
          <t>NULL</t>
        </is>
      </c>
      <c r="E1860" s="0" t="inlineStr">
        <is>
          <t>NULL</t>
        </is>
      </c>
      <c r="F1860" s="0" t="inlineStr">
        <is>
          <t>NULL</t>
        </is>
      </c>
      <c r="G1860" s="0" t="inlineStr">
        <is>
          <t>NULL</t>
        </is>
      </c>
      <c r="H1860" s="0" t="inlineStr">
        <is>
          <t>NULL</t>
        </is>
      </c>
      <c r="I1860" s="0" t="inlineStr">
        <is>
          <t>NULL</t>
        </is>
      </c>
      <c r="J1860" s="0" t="inlineStr">
        <is>
          <t>NULL</t>
        </is>
      </c>
      <c r="K1860" s="0" t="inlineStr">
        <is>
          <t>YES! 	 c_real列源备映射正确，源端为real None位	期望更改为double	实际备端为double None位</t>
        </is>
      </c>
    </row>
    <row r="1861">
      <c r="B1861" s="0" t="inlineStr">
        <is>
          <t>NULL</t>
        </is>
      </c>
      <c r="C1861" s="0" t="inlineStr">
        <is>
          <t>NULL</t>
        </is>
      </c>
      <c r="D1861" s="0" t="inlineStr">
        <is>
          <t>NULL</t>
        </is>
      </c>
      <c r="E1861" s="0" t="inlineStr">
        <is>
          <t>NULL</t>
        </is>
      </c>
      <c r="F1861" s="0" t="inlineStr">
        <is>
          <t>NULL</t>
        </is>
      </c>
      <c r="G1861" s="0" t="inlineStr">
        <is>
          <t>NULL</t>
        </is>
      </c>
      <c r="H1861" s="0" t="inlineStr">
        <is>
          <t>NULL</t>
        </is>
      </c>
      <c r="I1861" s="0" t="inlineStr">
        <is>
          <t>NULL</t>
        </is>
      </c>
      <c r="J1861" s="0" t="inlineStr">
        <is>
          <t>NULL</t>
        </is>
      </c>
      <c r="K1861" s="0" t="inlineStr">
        <is>
          <t>YES! 	 c_money列源备映射正确，源端为money None位	期望更改为decimal(19,4)	实际备端为decimal None位</t>
        </is>
      </c>
    </row>
    <row r="1862">
      <c r="B1862" s="0" t="inlineStr">
        <is>
          <t>NULL</t>
        </is>
      </c>
      <c r="C1862" s="0" t="inlineStr">
        <is>
          <t>NULL</t>
        </is>
      </c>
      <c r="D1862" s="0" t="inlineStr">
        <is>
          <t>NULL</t>
        </is>
      </c>
      <c r="E1862" s="0" t="inlineStr">
        <is>
          <t>NULL</t>
        </is>
      </c>
      <c r="F1862" s="0" t="inlineStr">
        <is>
          <t>NULL</t>
        </is>
      </c>
      <c r="G1862" s="0" t="inlineStr">
        <is>
          <t>NULL</t>
        </is>
      </c>
      <c r="H1862" s="0" t="inlineStr">
        <is>
          <t>NULL</t>
        </is>
      </c>
      <c r="I1862" s="0" t="inlineStr">
        <is>
          <t>NULL</t>
        </is>
      </c>
      <c r="J1862" s="0" t="inlineStr">
        <is>
          <t>NULL</t>
        </is>
      </c>
      <c r="K1862" s="0" t="inlineStr">
        <is>
          <t>YES! 	 c_smallmoney列源备映射正确，源端为smallmoney None位	期望更改为decimal(10,4)	实际备端为decimal None位</t>
        </is>
      </c>
    </row>
    <row r="1863">
      <c r="B1863" s="0" t="inlineStr">
        <is>
          <t>NULL</t>
        </is>
      </c>
      <c r="C1863" s="0" t="inlineStr">
        <is>
          <t>NULL</t>
        </is>
      </c>
      <c r="D1863" s="0" t="inlineStr">
        <is>
          <t>NULL</t>
        </is>
      </c>
      <c r="E1863" s="0" t="inlineStr">
        <is>
          <t>NULL</t>
        </is>
      </c>
      <c r="F1863" s="0" t="inlineStr">
        <is>
          <t>NULL</t>
        </is>
      </c>
      <c r="G1863" s="0" t="inlineStr">
        <is>
          <t>NULL</t>
        </is>
      </c>
      <c r="H1863" s="0" t="inlineStr">
        <is>
          <t>NULL</t>
        </is>
      </c>
      <c r="I1863" s="0" t="inlineStr">
        <is>
          <t>NULL</t>
        </is>
      </c>
      <c r="J1863" s="0" t="inlineStr">
        <is>
          <t>NULL</t>
        </is>
      </c>
      <c r="K1863" s="0" t="inlineStr">
        <is>
          <t>YES! 	 c_bit列源备映射正确，源端为bit None位	期望更改为tinyint(1) 	实际备端为tinyint None位</t>
        </is>
      </c>
    </row>
    <row r="1864">
      <c r="A1864" s="0" t="inlineStr">
        <is>
          <t>info_binary_dml_batch1_pk_irp1</t>
        </is>
      </c>
      <c r="K1864" s="0" t="inlineStr">
        <is>
          <t>[0;34m info_binary_dml_batch1_pk_irp1 [0m源备字段数相同，源端字段：4 	备端字段4</t>
        </is>
      </c>
      <c r="W1864" s="0" t="inlineStr">
        <is>
          <t>YES 源备无差异</t>
        </is>
      </c>
      <c r="X1864" s="0">
        <f>A1864</f>
        <v/>
      </c>
    </row>
    <row r="1865">
      <c r="B1865" s="0" t="inlineStr">
        <is>
          <t>YES</t>
        </is>
      </c>
      <c r="C1865" s="0" t="inlineStr">
        <is>
          <t>NULL</t>
        </is>
      </c>
      <c r="D1865" s="0" t="inlineStr">
        <is>
          <t>NULL</t>
        </is>
      </c>
      <c r="E1865" s="0" t="inlineStr">
        <is>
          <t>NULL</t>
        </is>
      </c>
      <c r="F1865" s="0" t="inlineStr">
        <is>
          <t>NULL</t>
        </is>
      </c>
      <c r="G1865" s="0" t="inlineStr">
        <is>
          <t>NULL</t>
        </is>
      </c>
      <c r="H1865" s="0" t="inlineStr">
        <is>
          <t>NULL</t>
        </is>
      </c>
      <c r="I1865" s="0" t="inlineStr">
        <is>
          <t>YES!PK__info_bin__3213E83F5AD451F2</t>
        </is>
      </c>
      <c r="J1865" s="0" t="inlineStr">
        <is>
          <t>YES! 主键相关索引</t>
        </is>
      </c>
      <c r="K1865" s="0" t="inlineStr">
        <is>
          <t>YES! 	 id列源备映射正确，源端为int None位	期望更改为int	实际备端为int None位</t>
        </is>
      </c>
    </row>
    <row r="1866">
      <c r="B1866" s="0" t="inlineStr">
        <is>
          <t>NULL</t>
        </is>
      </c>
      <c r="C1866" s="0" t="inlineStr">
        <is>
          <t>NULL</t>
        </is>
      </c>
      <c r="D1866" s="0" t="inlineStr">
        <is>
          <t>NULL</t>
        </is>
      </c>
      <c r="E1866" s="0" t="inlineStr">
        <is>
          <t>NULL</t>
        </is>
      </c>
      <c r="F1866" s="0" t="inlineStr">
        <is>
          <t>NULL</t>
        </is>
      </c>
      <c r="G1866" s="0" t="inlineStr">
        <is>
          <t>NULL</t>
        </is>
      </c>
      <c r="H1866" s="0" t="inlineStr">
        <is>
          <t>NULL</t>
        </is>
      </c>
      <c r="I1866" s="0" t="inlineStr">
        <is>
          <t>NULL</t>
        </is>
      </c>
      <c r="J1866" s="0" t="inlineStr">
        <is>
          <t>NULL</t>
        </is>
      </c>
      <c r="K1866" s="0" t="inlineStr">
        <is>
          <t>YES! 	 c_binary列源备映射正确，源端为binary 1位	期望更改为binary(n)	实际备端为binary 1位</t>
        </is>
      </c>
    </row>
    <row r="1867">
      <c r="B1867" s="0" t="inlineStr">
        <is>
          <t>NULL</t>
        </is>
      </c>
      <c r="C1867" s="0" t="inlineStr">
        <is>
          <t>NULL</t>
        </is>
      </c>
      <c r="D1867" s="0" t="inlineStr">
        <is>
          <t>NULL</t>
        </is>
      </c>
      <c r="E1867" s="0" t="inlineStr">
        <is>
          <t>NULL</t>
        </is>
      </c>
      <c r="F1867" s="0" t="inlineStr">
        <is>
          <t>NULL</t>
        </is>
      </c>
      <c r="G1867" s="0" t="inlineStr">
        <is>
          <t>NULL</t>
        </is>
      </c>
      <c r="H1867" s="0" t="inlineStr">
        <is>
          <t>NULL</t>
        </is>
      </c>
      <c r="I1867" s="0" t="inlineStr">
        <is>
          <t>NULL</t>
        </is>
      </c>
      <c r="J1867" s="0" t="inlineStr">
        <is>
          <t>NULL</t>
        </is>
      </c>
      <c r="K1867" s="0" t="inlineStr">
        <is>
          <t>YES! 	 c_binary_20列源备映射正确，源端为binary 20位	期望更改为binary(n)	实际备端为binary 20位</t>
        </is>
      </c>
    </row>
    <row r="1868">
      <c r="B1868" s="0" t="inlineStr">
        <is>
          <t>NULL</t>
        </is>
      </c>
      <c r="C1868" s="0" t="inlineStr">
        <is>
          <t>NULL</t>
        </is>
      </c>
      <c r="D1868" s="0" t="inlineStr">
        <is>
          <t>NULL</t>
        </is>
      </c>
      <c r="E1868" s="0" t="inlineStr">
        <is>
          <t>NULL</t>
        </is>
      </c>
      <c r="F1868" s="0" t="inlineStr">
        <is>
          <t>NULL</t>
        </is>
      </c>
      <c r="G1868" s="0" t="inlineStr">
        <is>
          <t>NULL</t>
        </is>
      </c>
      <c r="H1868" s="0" t="inlineStr">
        <is>
          <t>NULL</t>
        </is>
      </c>
      <c r="I1868" s="0" t="inlineStr">
        <is>
          <t>NULL</t>
        </is>
      </c>
      <c r="J1868" s="0" t="inlineStr">
        <is>
          <t>NULL</t>
        </is>
      </c>
      <c r="K1868" s="0" t="inlineStr">
        <is>
          <t>YES! 	 c_binary_8000列源备映射正确，源端为binary 8000位	期望更改为longblob	实际备端为longblob 4294967295位</t>
        </is>
      </c>
    </row>
    <row r="1869">
      <c r="A1869" s="0" t="inlineStr">
        <is>
          <t>info_int_dml_batch1_pk</t>
        </is>
      </c>
      <c r="K1869" s="0" t="inlineStr">
        <is>
          <t>[0;34m info_int_dml_batch1_pk [0m源备字段数相同，源端字段：20 	备端字段20</t>
        </is>
      </c>
      <c r="W1869" s="0" t="inlineStr">
        <is>
          <t>YES 源备无差异</t>
        </is>
      </c>
      <c r="X1869" s="0">
        <f>A1869</f>
        <v/>
      </c>
    </row>
    <row r="1870">
      <c r="B1870" s="0" t="inlineStr">
        <is>
          <t>YES</t>
        </is>
      </c>
      <c r="C1870" s="0" t="inlineStr">
        <is>
          <t>NULL</t>
        </is>
      </c>
      <c r="D1870" s="0" t="inlineStr">
        <is>
          <t>NULL</t>
        </is>
      </c>
      <c r="E1870" s="0" t="inlineStr">
        <is>
          <t>NULL</t>
        </is>
      </c>
      <c r="F1870" s="0" t="inlineStr">
        <is>
          <t>NULL</t>
        </is>
      </c>
      <c r="G1870" s="0" t="inlineStr">
        <is>
          <t>NULL</t>
        </is>
      </c>
      <c r="H1870" s="0" t="inlineStr">
        <is>
          <t>NULL</t>
        </is>
      </c>
      <c r="I1870" s="0" t="inlineStr">
        <is>
          <t>YES!PK__info_int__3213E83FF3EC9625</t>
        </is>
      </c>
      <c r="J1870" s="0" t="inlineStr">
        <is>
          <t>YES! 主键相关索引</t>
        </is>
      </c>
      <c r="K1870" s="0" t="inlineStr">
        <is>
          <t>YES! 	 id列源备映射正确，源端为int None位	期望更改为int	实际备端为int None位</t>
        </is>
      </c>
    </row>
    <row r="1871">
      <c r="B1871" s="0" t="inlineStr">
        <is>
          <t>NULL</t>
        </is>
      </c>
      <c r="C1871" s="0" t="inlineStr">
        <is>
          <t>NULL</t>
        </is>
      </c>
      <c r="D1871" s="0" t="inlineStr">
        <is>
          <t>NULL</t>
        </is>
      </c>
      <c r="E1871" s="0" t="inlineStr">
        <is>
          <t>NULL</t>
        </is>
      </c>
      <c r="F1871" s="0" t="inlineStr">
        <is>
          <t>NULL</t>
        </is>
      </c>
      <c r="G1871" s="0" t="inlineStr">
        <is>
          <t>NULL</t>
        </is>
      </c>
      <c r="H1871" s="0" t="inlineStr">
        <is>
          <t>NULL</t>
        </is>
      </c>
      <c r="I1871" s="0" t="inlineStr">
        <is>
          <t>NULL</t>
        </is>
      </c>
      <c r="J1871" s="0" t="inlineStr">
        <is>
          <t>NULL</t>
        </is>
      </c>
      <c r="K1871" s="0" t="inlineStr">
        <is>
          <t>YES! 	 c_tinyint列源备映射正确，源端为tinyint None位	期望更改为tinyint	实际备端为tinyint None位</t>
        </is>
      </c>
    </row>
    <row r="1872">
      <c r="B1872" s="0" t="inlineStr">
        <is>
          <t>NULL</t>
        </is>
      </c>
      <c r="C1872" s="0" t="inlineStr">
        <is>
          <t>NULL</t>
        </is>
      </c>
      <c r="D1872" s="0" t="inlineStr">
        <is>
          <t>NULL</t>
        </is>
      </c>
      <c r="E1872" s="0" t="inlineStr">
        <is>
          <t>NULL</t>
        </is>
      </c>
      <c r="F1872" s="0" t="inlineStr">
        <is>
          <t>NULL</t>
        </is>
      </c>
      <c r="G1872" s="0" t="inlineStr">
        <is>
          <t>NULL</t>
        </is>
      </c>
      <c r="H1872" s="0" t="inlineStr">
        <is>
          <t>NULL</t>
        </is>
      </c>
      <c r="I1872" s="0" t="inlineStr">
        <is>
          <t>NULL</t>
        </is>
      </c>
      <c r="J1872" s="0" t="inlineStr">
        <is>
          <t>NULL</t>
        </is>
      </c>
      <c r="K1872" s="0" t="inlineStr">
        <is>
          <t>YES! 	 c_smallint列源备映射正确，源端为smallint None位	期望更改为smallint	实际备端为smallint None位</t>
        </is>
      </c>
    </row>
    <row r="1873">
      <c r="B1873" s="0" t="inlineStr">
        <is>
          <t>NULL</t>
        </is>
      </c>
      <c r="C1873" s="0" t="inlineStr">
        <is>
          <t>NULL</t>
        </is>
      </c>
      <c r="D1873" s="0" t="inlineStr">
        <is>
          <t>NULL</t>
        </is>
      </c>
      <c r="E1873" s="0" t="inlineStr">
        <is>
          <t>NULL</t>
        </is>
      </c>
      <c r="F1873" s="0" t="inlineStr">
        <is>
          <t>NULL</t>
        </is>
      </c>
      <c r="G1873" s="0" t="inlineStr">
        <is>
          <t>NULL</t>
        </is>
      </c>
      <c r="H1873" s="0" t="inlineStr">
        <is>
          <t>NULL</t>
        </is>
      </c>
      <c r="I1873" s="0" t="inlineStr">
        <is>
          <t>NULL</t>
        </is>
      </c>
      <c r="J1873" s="0" t="inlineStr">
        <is>
          <t>NULL</t>
        </is>
      </c>
      <c r="K1873" s="0" t="inlineStr">
        <is>
          <t>YES! 	 c_int列源备映射正确，源端为int None位	期望更改为int	实际备端为int None位</t>
        </is>
      </c>
    </row>
    <row r="1874">
      <c r="B1874" s="0" t="inlineStr">
        <is>
          <t>NULL</t>
        </is>
      </c>
      <c r="C1874" s="0" t="inlineStr">
        <is>
          <t>NULL</t>
        </is>
      </c>
      <c r="D1874" s="0" t="inlineStr">
        <is>
          <t>NULL</t>
        </is>
      </c>
      <c r="E1874" s="0" t="inlineStr">
        <is>
          <t>NULL</t>
        </is>
      </c>
      <c r="F1874" s="0" t="inlineStr">
        <is>
          <t>NULL</t>
        </is>
      </c>
      <c r="G1874" s="0" t="inlineStr">
        <is>
          <t>NULL</t>
        </is>
      </c>
      <c r="H1874" s="0" t="inlineStr">
        <is>
          <t>NULL</t>
        </is>
      </c>
      <c r="I1874" s="0" t="inlineStr">
        <is>
          <t>NULL</t>
        </is>
      </c>
      <c r="J1874" s="0" t="inlineStr">
        <is>
          <t>NULL</t>
        </is>
      </c>
      <c r="K1874" s="0" t="inlineStr">
        <is>
          <t>YES! 	 c_bigint列源备映射正确，源端为bigint None位	期望更改为bigint	实际备端为bigint None位</t>
        </is>
      </c>
    </row>
    <row r="1875">
      <c r="B1875" s="0" t="inlineStr">
        <is>
          <t>NULL</t>
        </is>
      </c>
      <c r="C1875" s="0" t="inlineStr">
        <is>
          <t>NULL</t>
        </is>
      </c>
      <c r="D1875" s="0" t="inlineStr">
        <is>
          <t>NULL</t>
        </is>
      </c>
      <c r="E1875" s="0" t="inlineStr">
        <is>
          <t>NULL</t>
        </is>
      </c>
      <c r="F1875" s="0" t="inlineStr">
        <is>
          <t>NULL</t>
        </is>
      </c>
      <c r="G1875" s="0" t="inlineStr">
        <is>
          <t>NULL</t>
        </is>
      </c>
      <c r="H1875" s="0" t="inlineStr">
        <is>
          <t>NULL</t>
        </is>
      </c>
      <c r="I1875" s="0" t="inlineStr">
        <is>
          <t>NULL</t>
        </is>
      </c>
      <c r="J1875" s="0" t="inlineStr">
        <is>
          <t>NULL</t>
        </is>
      </c>
      <c r="K1875" s="0" t="inlineStr">
        <is>
          <t>YES! 	 c_decimal列源备映射正确，源端为decimal None位	期望更改为decimal(p,s)	实际备端为decimal None位</t>
        </is>
      </c>
    </row>
    <row r="1876">
      <c r="B1876" s="0" t="inlineStr">
        <is>
          <t>NULL</t>
        </is>
      </c>
      <c r="C1876" s="0" t="inlineStr">
        <is>
          <t>NULL</t>
        </is>
      </c>
      <c r="D1876" s="0" t="inlineStr">
        <is>
          <t>NULL</t>
        </is>
      </c>
      <c r="E1876" s="0" t="inlineStr">
        <is>
          <t>NULL</t>
        </is>
      </c>
      <c r="F1876" s="0" t="inlineStr">
        <is>
          <t>NULL</t>
        </is>
      </c>
      <c r="G1876" s="0" t="inlineStr">
        <is>
          <t>NULL</t>
        </is>
      </c>
      <c r="H1876" s="0" t="inlineStr">
        <is>
          <t>NULL</t>
        </is>
      </c>
      <c r="I1876" s="0" t="inlineStr">
        <is>
          <t>NULL</t>
        </is>
      </c>
      <c r="J1876" s="0" t="inlineStr">
        <is>
          <t>NULL</t>
        </is>
      </c>
      <c r="K1876" s="0" t="inlineStr">
        <is>
          <t>YES! 	 c_decimal38列源备映射正确，源端为decimal None位	期望更改为decimal(p,s)	实际备端为decimal None位</t>
        </is>
      </c>
    </row>
    <row r="1877">
      <c r="B1877" s="0" t="inlineStr">
        <is>
          <t>NULL</t>
        </is>
      </c>
      <c r="C1877" s="0" t="inlineStr">
        <is>
          <t>NULL</t>
        </is>
      </c>
      <c r="D1877" s="0" t="inlineStr">
        <is>
          <t>NULL</t>
        </is>
      </c>
      <c r="E1877" s="0" t="inlineStr">
        <is>
          <t>NULL</t>
        </is>
      </c>
      <c r="F1877" s="0" t="inlineStr">
        <is>
          <t>NULL</t>
        </is>
      </c>
      <c r="G1877" s="0" t="inlineStr">
        <is>
          <t>NULL</t>
        </is>
      </c>
      <c r="H1877" s="0" t="inlineStr">
        <is>
          <t>NULL</t>
        </is>
      </c>
      <c r="I1877" s="0" t="inlineStr">
        <is>
          <t>NULL</t>
        </is>
      </c>
      <c r="J1877" s="0" t="inlineStr">
        <is>
          <t>NULL</t>
        </is>
      </c>
      <c r="K1877" s="0" t="inlineStr">
        <is>
          <t xml:space="preserve"> NO!  	 c_decimal38_38列源备映射错误，源端为decimal None位	期望更改为decimal(p,s)	实际备端为varchar 168位</t>
        </is>
      </c>
    </row>
    <row r="1878">
      <c r="B1878" s="0" t="inlineStr">
        <is>
          <t>NULL</t>
        </is>
      </c>
      <c r="C1878" s="0" t="inlineStr">
        <is>
          <t>NULL</t>
        </is>
      </c>
      <c r="D1878" s="0" t="inlineStr">
        <is>
          <t>NULL</t>
        </is>
      </c>
      <c r="E1878" s="0" t="inlineStr">
        <is>
          <t>NULL</t>
        </is>
      </c>
      <c r="F1878" s="0" t="inlineStr">
        <is>
          <t>NULL</t>
        </is>
      </c>
      <c r="G1878" s="0" t="inlineStr">
        <is>
          <t>NULL</t>
        </is>
      </c>
      <c r="H1878" s="0" t="inlineStr">
        <is>
          <t>NULL</t>
        </is>
      </c>
      <c r="I1878" s="0" t="inlineStr">
        <is>
          <t>NULL</t>
        </is>
      </c>
      <c r="J1878" s="0" t="inlineStr">
        <is>
          <t>NULL</t>
        </is>
      </c>
      <c r="K1878" s="0" t="inlineStr">
        <is>
          <t>YES! 	 c_decimal38_10列源备映射正确，源端为decimal None位	期望更改为decimal(p,s)	实际备端为decimal None位</t>
        </is>
      </c>
    </row>
    <row r="1879">
      <c r="B1879" s="0" t="inlineStr">
        <is>
          <t>NULL</t>
        </is>
      </c>
      <c r="C1879" s="0" t="inlineStr">
        <is>
          <t>NULL</t>
        </is>
      </c>
      <c r="D1879" s="0" t="inlineStr">
        <is>
          <t>NULL</t>
        </is>
      </c>
      <c r="E1879" s="0" t="inlineStr">
        <is>
          <t>NULL</t>
        </is>
      </c>
      <c r="F1879" s="0" t="inlineStr">
        <is>
          <t>NULL</t>
        </is>
      </c>
      <c r="G1879" s="0" t="inlineStr">
        <is>
          <t>NULL</t>
        </is>
      </c>
      <c r="H1879" s="0" t="inlineStr">
        <is>
          <t>NULL</t>
        </is>
      </c>
      <c r="I1879" s="0" t="inlineStr">
        <is>
          <t>NULL</t>
        </is>
      </c>
      <c r="J1879" s="0" t="inlineStr">
        <is>
          <t>NULL</t>
        </is>
      </c>
      <c r="K1879" s="0" t="inlineStr">
        <is>
          <t>YES! 	 c_decimal19_4列源备映射正确，源端为decimal None位	期望更改为decimal(p,s)	实际备端为decimal None位</t>
        </is>
      </c>
    </row>
    <row r="1880">
      <c r="B1880" s="0" t="inlineStr">
        <is>
          <t>NULL</t>
        </is>
      </c>
      <c r="C1880" s="0" t="inlineStr">
        <is>
          <t>NULL</t>
        </is>
      </c>
      <c r="D1880" s="0" t="inlineStr">
        <is>
          <t>NULL</t>
        </is>
      </c>
      <c r="E1880" s="0" t="inlineStr">
        <is>
          <t>NULL</t>
        </is>
      </c>
      <c r="F1880" s="0" t="inlineStr">
        <is>
          <t>NULL</t>
        </is>
      </c>
      <c r="G1880" s="0" t="inlineStr">
        <is>
          <t>NULL</t>
        </is>
      </c>
      <c r="H1880" s="0" t="inlineStr">
        <is>
          <t>NULL</t>
        </is>
      </c>
      <c r="I1880" s="0" t="inlineStr">
        <is>
          <t>NULL</t>
        </is>
      </c>
      <c r="J1880" s="0" t="inlineStr">
        <is>
          <t>NULL</t>
        </is>
      </c>
      <c r="K1880" s="0" t="inlineStr">
        <is>
          <t>YES! 	 c_numeric列源备映射正确，源端为numeric None位	期望更改为decimal(p,s)	实际备端为decimal None位</t>
        </is>
      </c>
    </row>
    <row r="1881">
      <c r="B1881" s="0" t="inlineStr">
        <is>
          <t>NULL</t>
        </is>
      </c>
      <c r="C1881" s="0" t="inlineStr">
        <is>
          <t>NULL</t>
        </is>
      </c>
      <c r="D1881" s="0" t="inlineStr">
        <is>
          <t>NULL</t>
        </is>
      </c>
      <c r="E1881" s="0" t="inlineStr">
        <is>
          <t>NULL</t>
        </is>
      </c>
      <c r="F1881" s="0" t="inlineStr">
        <is>
          <t>NULL</t>
        </is>
      </c>
      <c r="G1881" s="0" t="inlineStr">
        <is>
          <t>NULL</t>
        </is>
      </c>
      <c r="H1881" s="0" t="inlineStr">
        <is>
          <t>NULL</t>
        </is>
      </c>
      <c r="I1881" s="0" t="inlineStr">
        <is>
          <t>NULL</t>
        </is>
      </c>
      <c r="J1881" s="0" t="inlineStr">
        <is>
          <t>NULL</t>
        </is>
      </c>
      <c r="K1881" s="0" t="inlineStr">
        <is>
          <t>YES! 	 c_numeric38列源备映射正确，源端为numeric None位	期望更改为decimal(p,s)	实际备端为decimal None位</t>
        </is>
      </c>
    </row>
    <row r="1882">
      <c r="B1882" s="0" t="inlineStr">
        <is>
          <t>NULL</t>
        </is>
      </c>
      <c r="C1882" s="0" t="inlineStr">
        <is>
          <t>NULL</t>
        </is>
      </c>
      <c r="D1882" s="0" t="inlineStr">
        <is>
          <t>NULL</t>
        </is>
      </c>
      <c r="E1882" s="0" t="inlineStr">
        <is>
          <t>NULL</t>
        </is>
      </c>
      <c r="F1882" s="0" t="inlineStr">
        <is>
          <t>NULL</t>
        </is>
      </c>
      <c r="G1882" s="0" t="inlineStr">
        <is>
          <t>NULL</t>
        </is>
      </c>
      <c r="H1882" s="0" t="inlineStr">
        <is>
          <t>NULL</t>
        </is>
      </c>
      <c r="I1882" s="0" t="inlineStr">
        <is>
          <t>NULL</t>
        </is>
      </c>
      <c r="J1882" s="0" t="inlineStr">
        <is>
          <t>NULL</t>
        </is>
      </c>
      <c r="K1882" s="0" t="inlineStr">
        <is>
          <t xml:space="preserve"> NO!  	 c_numeric38_38列源备映射错误，源端为numeric None位	期望更改为decimal(p,s)	实际备端为varchar 168位</t>
        </is>
      </c>
    </row>
    <row r="1883">
      <c r="B1883" s="0" t="inlineStr">
        <is>
          <t>NULL</t>
        </is>
      </c>
      <c r="C1883" s="0" t="inlineStr">
        <is>
          <t>NULL</t>
        </is>
      </c>
      <c r="D1883" s="0" t="inlineStr">
        <is>
          <t>NULL</t>
        </is>
      </c>
      <c r="E1883" s="0" t="inlineStr">
        <is>
          <t>NULL</t>
        </is>
      </c>
      <c r="F1883" s="0" t="inlineStr">
        <is>
          <t>NULL</t>
        </is>
      </c>
      <c r="G1883" s="0" t="inlineStr">
        <is>
          <t>NULL</t>
        </is>
      </c>
      <c r="H1883" s="0" t="inlineStr">
        <is>
          <t>NULL</t>
        </is>
      </c>
      <c r="I1883" s="0" t="inlineStr">
        <is>
          <t>NULL</t>
        </is>
      </c>
      <c r="J1883" s="0" t="inlineStr">
        <is>
          <t>NULL</t>
        </is>
      </c>
      <c r="K1883" s="0" t="inlineStr">
        <is>
          <t>YES! 	 c_numeric38_10列源备映射正确，源端为numeric None位	期望更改为decimal(p,s)	实际备端为decimal None位</t>
        </is>
      </c>
    </row>
    <row r="1884">
      <c r="B1884" s="0" t="inlineStr">
        <is>
          <t>NULL</t>
        </is>
      </c>
      <c r="C1884" s="0" t="inlineStr">
        <is>
          <t>NULL</t>
        </is>
      </c>
      <c r="D1884" s="0" t="inlineStr">
        <is>
          <t>NULL</t>
        </is>
      </c>
      <c r="E1884" s="0" t="inlineStr">
        <is>
          <t>NULL</t>
        </is>
      </c>
      <c r="F1884" s="0" t="inlineStr">
        <is>
          <t>NULL</t>
        </is>
      </c>
      <c r="G1884" s="0" t="inlineStr">
        <is>
          <t>NULL</t>
        </is>
      </c>
      <c r="H1884" s="0" t="inlineStr">
        <is>
          <t>NULL</t>
        </is>
      </c>
      <c r="I1884" s="0" t="inlineStr">
        <is>
          <t>NULL</t>
        </is>
      </c>
      <c r="J1884" s="0" t="inlineStr">
        <is>
          <t>NULL</t>
        </is>
      </c>
      <c r="K1884" s="0" t="inlineStr">
        <is>
          <t>YES! 	 c_numeric18_2列源备映射正确，源端为numeric None位	期望更改为decimal(p,s)	实际备端为decimal None位</t>
        </is>
      </c>
    </row>
    <row r="1885">
      <c r="B1885" s="0" t="inlineStr">
        <is>
          <t>NULL</t>
        </is>
      </c>
      <c r="C1885" s="0" t="inlineStr">
        <is>
          <t>NULL</t>
        </is>
      </c>
      <c r="D1885" s="0" t="inlineStr">
        <is>
          <t>NULL</t>
        </is>
      </c>
      <c r="E1885" s="0" t="inlineStr">
        <is>
          <t>NULL</t>
        </is>
      </c>
      <c r="F1885" s="0" t="inlineStr">
        <is>
          <t>NULL</t>
        </is>
      </c>
      <c r="G1885" s="0" t="inlineStr">
        <is>
          <t>NULL</t>
        </is>
      </c>
      <c r="H1885" s="0" t="inlineStr">
        <is>
          <t>NULL</t>
        </is>
      </c>
      <c r="I1885" s="0" t="inlineStr">
        <is>
          <t>NULL</t>
        </is>
      </c>
      <c r="J1885" s="0" t="inlineStr">
        <is>
          <t>NULL</t>
        </is>
      </c>
      <c r="K1885" s="0" t="inlineStr">
        <is>
          <t>YES! 	 c_float列源备映射正确，源端为float None位	期望更改为double	实际备端为double None位</t>
        </is>
      </c>
    </row>
    <row r="1886">
      <c r="B1886" s="0" t="inlineStr">
        <is>
          <t>NULL</t>
        </is>
      </c>
      <c r="C1886" s="0" t="inlineStr">
        <is>
          <t>NULL</t>
        </is>
      </c>
      <c r="D1886" s="0" t="inlineStr">
        <is>
          <t>NULL</t>
        </is>
      </c>
      <c r="E1886" s="0" t="inlineStr">
        <is>
          <t>NULL</t>
        </is>
      </c>
      <c r="F1886" s="0" t="inlineStr">
        <is>
          <t>NULL</t>
        </is>
      </c>
      <c r="G1886" s="0" t="inlineStr">
        <is>
          <t>NULL</t>
        </is>
      </c>
      <c r="H1886" s="0" t="inlineStr">
        <is>
          <t>NULL</t>
        </is>
      </c>
      <c r="I1886" s="0" t="inlineStr">
        <is>
          <t>NULL</t>
        </is>
      </c>
      <c r="J1886" s="0" t="inlineStr">
        <is>
          <t>NULL</t>
        </is>
      </c>
      <c r="K1886" s="0" t="inlineStr">
        <is>
          <t>YES! 	 c_real列源备映射正确，源端为real None位	期望更改为double	实际备端为double None位</t>
        </is>
      </c>
    </row>
    <row r="1887">
      <c r="B1887" s="0" t="inlineStr">
        <is>
          <t>NULL</t>
        </is>
      </c>
      <c r="C1887" s="0" t="inlineStr">
        <is>
          <t>NULL</t>
        </is>
      </c>
      <c r="D1887" s="0" t="inlineStr">
        <is>
          <t>NULL</t>
        </is>
      </c>
      <c r="E1887" s="0" t="inlineStr">
        <is>
          <t>NULL</t>
        </is>
      </c>
      <c r="F1887" s="0" t="inlineStr">
        <is>
          <t>NULL</t>
        </is>
      </c>
      <c r="G1887" s="0" t="inlineStr">
        <is>
          <t>NULL</t>
        </is>
      </c>
      <c r="H1887" s="0" t="inlineStr">
        <is>
          <t>NULL</t>
        </is>
      </c>
      <c r="I1887" s="0" t="inlineStr">
        <is>
          <t>NULL</t>
        </is>
      </c>
      <c r="J1887" s="0" t="inlineStr">
        <is>
          <t>NULL</t>
        </is>
      </c>
      <c r="K1887" s="0" t="inlineStr">
        <is>
          <t>YES! 	 c_money列源备映射正确，源端为money None位	期望更改为decimal(19,4)	实际备端为decimal None位</t>
        </is>
      </c>
    </row>
    <row r="1888">
      <c r="B1888" s="0" t="inlineStr">
        <is>
          <t>NULL</t>
        </is>
      </c>
      <c r="C1888" s="0" t="inlineStr">
        <is>
          <t>NULL</t>
        </is>
      </c>
      <c r="D1888" s="0" t="inlineStr">
        <is>
          <t>NULL</t>
        </is>
      </c>
      <c r="E1888" s="0" t="inlineStr">
        <is>
          <t>NULL</t>
        </is>
      </c>
      <c r="F1888" s="0" t="inlineStr">
        <is>
          <t>NULL</t>
        </is>
      </c>
      <c r="G1888" s="0" t="inlineStr">
        <is>
          <t>NULL</t>
        </is>
      </c>
      <c r="H1888" s="0" t="inlineStr">
        <is>
          <t>NULL</t>
        </is>
      </c>
      <c r="I1888" s="0" t="inlineStr">
        <is>
          <t>NULL</t>
        </is>
      </c>
      <c r="J1888" s="0" t="inlineStr">
        <is>
          <t>NULL</t>
        </is>
      </c>
      <c r="K1888" s="0" t="inlineStr">
        <is>
          <t>YES! 	 c_smallmoney列源备映射正确，源端为smallmoney None位	期望更改为decimal(10,4)	实际备端为decimal None位</t>
        </is>
      </c>
    </row>
    <row r="1889">
      <c r="B1889" s="0" t="inlineStr">
        <is>
          <t>NULL</t>
        </is>
      </c>
      <c r="C1889" s="0" t="inlineStr">
        <is>
          <t>NULL</t>
        </is>
      </c>
      <c r="D1889" s="0" t="inlineStr">
        <is>
          <t>NULL</t>
        </is>
      </c>
      <c r="E1889" s="0" t="inlineStr">
        <is>
          <t>NULL</t>
        </is>
      </c>
      <c r="F1889" s="0" t="inlineStr">
        <is>
          <t>NULL</t>
        </is>
      </c>
      <c r="G1889" s="0" t="inlineStr">
        <is>
          <t>NULL</t>
        </is>
      </c>
      <c r="H1889" s="0" t="inlineStr">
        <is>
          <t>NULL</t>
        </is>
      </c>
      <c r="I1889" s="0" t="inlineStr">
        <is>
          <t>NULL</t>
        </is>
      </c>
      <c r="J1889" s="0" t="inlineStr">
        <is>
          <t>NULL</t>
        </is>
      </c>
      <c r="K1889" s="0" t="inlineStr">
        <is>
          <t>YES! 	 c_bit列源备映射正确，源端为bit None位	期望更改为tinyint(1) 	实际备端为tinyint None位</t>
        </is>
      </c>
    </row>
    <row r="1890">
      <c r="A1890" s="0" t="inlineStr">
        <is>
          <t>info_date_dml_batch1_pk_irp1</t>
        </is>
      </c>
      <c r="K1890" s="0" t="inlineStr">
        <is>
          <t>[0;34m info_date_dml_batch1_pk_irp1 [0m源备字段数相同，源端字段：2 	备端字段2</t>
        </is>
      </c>
      <c r="W1890" s="0" t="inlineStr">
        <is>
          <t>YES 源备无差异</t>
        </is>
      </c>
      <c r="X1890" s="0">
        <f>A1890</f>
        <v/>
      </c>
    </row>
    <row r="1891">
      <c r="B1891" s="0" t="inlineStr">
        <is>
          <t>YES</t>
        </is>
      </c>
      <c r="C1891" s="0" t="inlineStr">
        <is>
          <t>NULL</t>
        </is>
      </c>
      <c r="D1891" s="0" t="inlineStr">
        <is>
          <t>NULL</t>
        </is>
      </c>
      <c r="E1891" s="0" t="inlineStr">
        <is>
          <t>NULL</t>
        </is>
      </c>
      <c r="F1891" s="0" t="inlineStr">
        <is>
          <t>NULL</t>
        </is>
      </c>
      <c r="G1891" s="0" t="inlineStr">
        <is>
          <t>NULL</t>
        </is>
      </c>
      <c r="H1891" s="0" t="inlineStr">
        <is>
          <t>NULL</t>
        </is>
      </c>
      <c r="I1891" s="0" t="inlineStr">
        <is>
          <t>YES!PK__info_dat__3213E83F1F958682</t>
        </is>
      </c>
      <c r="J1891" s="0" t="inlineStr">
        <is>
          <t>YES! 主键相关索引</t>
        </is>
      </c>
      <c r="K1891" s="0" t="inlineStr">
        <is>
          <t>YES! 	 id列源备映射正确，源端为int None位	期望更改为int	实际备端为int None位</t>
        </is>
      </c>
    </row>
    <row r="1892">
      <c r="B1892" s="0" t="inlineStr">
        <is>
          <t>NULL</t>
        </is>
      </c>
      <c r="C1892" s="0" t="inlineStr">
        <is>
          <t>NULL</t>
        </is>
      </c>
      <c r="D1892" s="0" t="inlineStr">
        <is>
          <t>NULL</t>
        </is>
      </c>
      <c r="E1892" s="0" t="inlineStr">
        <is>
          <t>NULL</t>
        </is>
      </c>
      <c r="F1892" s="0" t="inlineStr">
        <is>
          <t>NULL</t>
        </is>
      </c>
      <c r="G1892" s="0" t="inlineStr">
        <is>
          <t>NULL</t>
        </is>
      </c>
      <c r="H1892" s="0" t="inlineStr">
        <is>
          <t>NULL</t>
        </is>
      </c>
      <c r="I1892" s="0" t="inlineStr">
        <is>
          <t>NULL</t>
        </is>
      </c>
      <c r="J1892" s="0" t="inlineStr">
        <is>
          <t>NULL</t>
        </is>
      </c>
      <c r="K1892" s="0" t="inlineStr">
        <is>
          <t>YES! 	 c_date列源备映射正确，源端为date None位	期望更改为date	实际备端为date None位</t>
        </is>
      </c>
    </row>
    <row r="1893">
      <c r="K1893" s="0" t="inlineStr">
        <is>
          <t>~ 空表</t>
        </is>
      </c>
    </row>
    <row r="1894">
      <c r="A1894" s="0" t="inlineStr">
        <is>
          <t>info_binary_dml_batch1_pk_irp2</t>
        </is>
      </c>
      <c r="K1894" s="0" t="inlineStr">
        <is>
          <t>[0;34m info_binary_dml_batch1_pk_irp2 [0m源备字段数相同，源端字段：4 	备端字段4</t>
        </is>
      </c>
      <c r="W1894" s="0" t="inlineStr">
        <is>
          <t>YES 源备无差异</t>
        </is>
      </c>
      <c r="X1894" s="0">
        <f>A1894</f>
        <v/>
      </c>
    </row>
    <row r="1895">
      <c r="B1895" s="0" t="inlineStr">
        <is>
          <t>YES</t>
        </is>
      </c>
      <c r="C1895" s="0" t="inlineStr">
        <is>
          <t>NULL</t>
        </is>
      </c>
      <c r="D1895" s="0" t="inlineStr">
        <is>
          <t>NULL</t>
        </is>
      </c>
      <c r="E1895" s="0" t="inlineStr">
        <is>
          <t>NULL</t>
        </is>
      </c>
      <c r="F1895" s="0" t="inlineStr">
        <is>
          <t>NULL</t>
        </is>
      </c>
      <c r="G1895" s="0" t="inlineStr">
        <is>
          <t>NULL</t>
        </is>
      </c>
      <c r="H1895" s="0" t="inlineStr">
        <is>
          <t>NULL</t>
        </is>
      </c>
      <c r="I1895" s="0" t="inlineStr">
        <is>
          <t>YES!PK__info_bin__3213E83F477BD939</t>
        </is>
      </c>
      <c r="J1895" s="0" t="inlineStr">
        <is>
          <t>YES! 主键相关索引</t>
        </is>
      </c>
      <c r="K1895" s="0" t="inlineStr">
        <is>
          <t>YES! 	 id列源备映射正确，源端为int None位	期望更改为int	实际备端为int None位</t>
        </is>
      </c>
    </row>
    <row r="1896">
      <c r="B1896" s="0" t="inlineStr">
        <is>
          <t>NULL</t>
        </is>
      </c>
      <c r="C1896" s="0" t="inlineStr">
        <is>
          <t>NULL</t>
        </is>
      </c>
      <c r="D1896" s="0" t="inlineStr">
        <is>
          <t>NULL</t>
        </is>
      </c>
      <c r="E1896" s="0" t="inlineStr">
        <is>
          <t>NULL</t>
        </is>
      </c>
      <c r="F1896" s="0" t="inlineStr">
        <is>
          <t>NULL</t>
        </is>
      </c>
      <c r="G1896" s="0" t="inlineStr">
        <is>
          <t>NULL</t>
        </is>
      </c>
      <c r="H1896" s="0" t="inlineStr">
        <is>
          <t>NULL</t>
        </is>
      </c>
      <c r="I1896" s="0" t="inlineStr">
        <is>
          <t>NULL</t>
        </is>
      </c>
      <c r="J1896" s="0" t="inlineStr">
        <is>
          <t>NULL</t>
        </is>
      </c>
      <c r="K1896" s="0" t="inlineStr">
        <is>
          <t>YES! 	 c_binary列源备映射正确，源端为binary 1位	期望更改为binary(n)	实际备端为binary 1位</t>
        </is>
      </c>
    </row>
    <row r="1897">
      <c r="B1897" s="0" t="inlineStr">
        <is>
          <t>NULL</t>
        </is>
      </c>
      <c r="C1897" s="0" t="inlineStr">
        <is>
          <t>NULL</t>
        </is>
      </c>
      <c r="D1897" s="0" t="inlineStr">
        <is>
          <t>NULL</t>
        </is>
      </c>
      <c r="E1897" s="0" t="inlineStr">
        <is>
          <t>NULL</t>
        </is>
      </c>
      <c r="F1897" s="0" t="inlineStr">
        <is>
          <t>NULL</t>
        </is>
      </c>
      <c r="G1897" s="0" t="inlineStr">
        <is>
          <t>NULL</t>
        </is>
      </c>
      <c r="H1897" s="0" t="inlineStr">
        <is>
          <t>NULL</t>
        </is>
      </c>
      <c r="I1897" s="0" t="inlineStr">
        <is>
          <t>NULL</t>
        </is>
      </c>
      <c r="J1897" s="0" t="inlineStr">
        <is>
          <t>NULL</t>
        </is>
      </c>
      <c r="K1897" s="0" t="inlineStr">
        <is>
          <t>YES! 	 c_binary_20列源备映射正确，源端为binary 20位	期望更改为binary(n)	实际备端为binary 20位</t>
        </is>
      </c>
    </row>
    <row r="1898">
      <c r="B1898" s="0" t="inlineStr">
        <is>
          <t>NULL</t>
        </is>
      </c>
      <c r="C1898" s="0" t="inlineStr">
        <is>
          <t>NULL</t>
        </is>
      </c>
      <c r="D1898" s="0" t="inlineStr">
        <is>
          <t>NULL</t>
        </is>
      </c>
      <c r="E1898" s="0" t="inlineStr">
        <is>
          <t>NULL</t>
        </is>
      </c>
      <c r="F1898" s="0" t="inlineStr">
        <is>
          <t>NULL</t>
        </is>
      </c>
      <c r="G1898" s="0" t="inlineStr">
        <is>
          <t>NULL</t>
        </is>
      </c>
      <c r="H1898" s="0" t="inlineStr">
        <is>
          <t>NULL</t>
        </is>
      </c>
      <c r="I1898" s="0" t="inlineStr">
        <is>
          <t>NULL</t>
        </is>
      </c>
      <c r="J1898" s="0" t="inlineStr">
        <is>
          <t>NULL</t>
        </is>
      </c>
      <c r="K1898" s="0" t="inlineStr">
        <is>
          <t>YES! 	 c_binary_8000列源备映射正确，源端为binary 8000位	期望更改为longblob	实际备端为longblob 4294967295位</t>
        </is>
      </c>
    </row>
    <row r="1899">
      <c r="A1899" s="0" t="inlineStr">
        <is>
          <t>info_binary_dml_batch2_pk_irp1</t>
        </is>
      </c>
      <c r="K1899" s="0" t="inlineStr">
        <is>
          <t>[0;34m info_binary_dml_batch2_pk_irp1 [0m源备字段数相同，源端字段：4 	备端字段4</t>
        </is>
      </c>
      <c r="W1899" s="0" t="inlineStr">
        <is>
          <t>YES 源备无差异</t>
        </is>
      </c>
      <c r="X1899" s="0">
        <f>A1899</f>
        <v/>
      </c>
    </row>
    <row r="1900">
      <c r="B1900" s="0" t="inlineStr">
        <is>
          <t>YES</t>
        </is>
      </c>
      <c r="C1900" s="0" t="inlineStr">
        <is>
          <t>NULL</t>
        </is>
      </c>
      <c r="D1900" s="0" t="inlineStr">
        <is>
          <t>NULL</t>
        </is>
      </c>
      <c r="E1900" s="0" t="inlineStr">
        <is>
          <t>NULL</t>
        </is>
      </c>
      <c r="F1900" s="0" t="inlineStr">
        <is>
          <t>NULL</t>
        </is>
      </c>
      <c r="G1900" s="0" t="inlineStr">
        <is>
          <t>NULL</t>
        </is>
      </c>
      <c r="H1900" s="0" t="inlineStr">
        <is>
          <t>NULL</t>
        </is>
      </c>
      <c r="I1900" s="0" t="inlineStr">
        <is>
          <t>YES!PK__info_bin__3213E83F840C6C46</t>
        </is>
      </c>
      <c r="J1900" s="0" t="inlineStr">
        <is>
          <t>YES! 主键相关索引</t>
        </is>
      </c>
      <c r="K1900" s="0" t="inlineStr">
        <is>
          <t>YES! 	 id列源备映射正确，源端为int None位	期望更改为int	实际备端为int None位</t>
        </is>
      </c>
    </row>
    <row r="1901">
      <c r="B1901" s="0" t="inlineStr">
        <is>
          <t>NULL</t>
        </is>
      </c>
      <c r="C1901" s="0" t="inlineStr">
        <is>
          <t>NULL</t>
        </is>
      </c>
      <c r="D1901" s="0" t="inlineStr">
        <is>
          <t>NULL</t>
        </is>
      </c>
      <c r="E1901" s="0" t="inlineStr">
        <is>
          <t>NULL</t>
        </is>
      </c>
      <c r="F1901" s="0" t="inlineStr">
        <is>
          <t>NULL</t>
        </is>
      </c>
      <c r="G1901" s="0" t="inlineStr">
        <is>
          <t>NULL</t>
        </is>
      </c>
      <c r="H1901" s="0" t="inlineStr">
        <is>
          <t>NULL</t>
        </is>
      </c>
      <c r="I1901" s="0" t="inlineStr">
        <is>
          <t>NULL</t>
        </is>
      </c>
      <c r="J1901" s="0" t="inlineStr">
        <is>
          <t>NULL</t>
        </is>
      </c>
      <c r="K1901" s="0" t="inlineStr">
        <is>
          <t>YES! 	 c_binary列源备映射正确，源端为binary 1位	期望更改为binary(n)	实际备端为binary 1位</t>
        </is>
      </c>
    </row>
    <row r="1902">
      <c r="B1902" s="0" t="inlineStr">
        <is>
          <t>NULL</t>
        </is>
      </c>
      <c r="C1902" s="0" t="inlineStr">
        <is>
          <t>NULL</t>
        </is>
      </c>
      <c r="D1902" s="0" t="inlineStr">
        <is>
          <t>NULL</t>
        </is>
      </c>
      <c r="E1902" s="0" t="inlineStr">
        <is>
          <t>NULL</t>
        </is>
      </c>
      <c r="F1902" s="0" t="inlineStr">
        <is>
          <t>NULL</t>
        </is>
      </c>
      <c r="G1902" s="0" t="inlineStr">
        <is>
          <t>NULL</t>
        </is>
      </c>
      <c r="H1902" s="0" t="inlineStr">
        <is>
          <t>NULL</t>
        </is>
      </c>
      <c r="I1902" s="0" t="inlineStr">
        <is>
          <t>NULL</t>
        </is>
      </c>
      <c r="J1902" s="0" t="inlineStr">
        <is>
          <t>NULL</t>
        </is>
      </c>
      <c r="K1902" s="0" t="inlineStr">
        <is>
          <t>YES! 	 c_binary_20列源备映射正确，源端为binary 20位	期望更改为binary(n)	实际备端为binary 20位</t>
        </is>
      </c>
    </row>
    <row r="1903">
      <c r="B1903" s="0" t="inlineStr">
        <is>
          <t>NULL</t>
        </is>
      </c>
      <c r="C1903" s="0" t="inlineStr">
        <is>
          <t>NULL</t>
        </is>
      </c>
      <c r="D1903" s="0" t="inlineStr">
        <is>
          <t>NULL</t>
        </is>
      </c>
      <c r="E1903" s="0" t="inlineStr">
        <is>
          <t>NULL</t>
        </is>
      </c>
      <c r="F1903" s="0" t="inlineStr">
        <is>
          <t>NULL</t>
        </is>
      </c>
      <c r="G1903" s="0" t="inlineStr">
        <is>
          <t>NULL</t>
        </is>
      </c>
      <c r="H1903" s="0" t="inlineStr">
        <is>
          <t>NULL</t>
        </is>
      </c>
      <c r="I1903" s="0" t="inlineStr">
        <is>
          <t>NULL</t>
        </is>
      </c>
      <c r="J1903" s="0" t="inlineStr">
        <is>
          <t>NULL</t>
        </is>
      </c>
      <c r="K1903" s="0" t="inlineStr">
        <is>
          <t>YES! 	 c_binary_8000列源备映射正确，源端为binary 8000位	期望更改为longblob	实际备端为longblob 4294967295位</t>
        </is>
      </c>
    </row>
    <row r="1904">
      <c r="A1904" s="0" t="inlineStr">
        <is>
          <t>info_date_dml_batch1_pk_irp2</t>
        </is>
      </c>
      <c r="K1904" s="0" t="inlineStr">
        <is>
          <t>[0;34m info_date_dml_batch1_pk_irp2 [0m源备字段数相同，源端字段：2 	备端字段2</t>
        </is>
      </c>
      <c r="W1904" s="0" t="inlineStr">
        <is>
          <t>YES 源备无差异</t>
        </is>
      </c>
      <c r="X1904" s="0">
        <f>A1904</f>
        <v/>
      </c>
    </row>
    <row r="1905">
      <c r="B1905" s="0" t="inlineStr">
        <is>
          <t>YES</t>
        </is>
      </c>
      <c r="C1905" s="0" t="inlineStr">
        <is>
          <t>NULL</t>
        </is>
      </c>
      <c r="D1905" s="0" t="inlineStr">
        <is>
          <t>NULL</t>
        </is>
      </c>
      <c r="E1905" s="0" t="inlineStr">
        <is>
          <t>NULL</t>
        </is>
      </c>
      <c r="F1905" s="0" t="inlineStr">
        <is>
          <t>NULL</t>
        </is>
      </c>
      <c r="G1905" s="0" t="inlineStr">
        <is>
          <t>NULL</t>
        </is>
      </c>
      <c r="H1905" s="0" t="inlineStr">
        <is>
          <t>NULL</t>
        </is>
      </c>
      <c r="I1905" s="0" t="inlineStr">
        <is>
          <t>YES!PK__info_dat__3213E83FFDE92A62</t>
        </is>
      </c>
      <c r="J1905" s="0" t="inlineStr">
        <is>
          <t>YES! 主键相关索引</t>
        </is>
      </c>
      <c r="K1905" s="0" t="inlineStr">
        <is>
          <t>YES! 	 id列源备映射正确，源端为int None位	期望更改为int	实际备端为int None位</t>
        </is>
      </c>
    </row>
    <row r="1906">
      <c r="B1906" s="0" t="inlineStr">
        <is>
          <t>NULL</t>
        </is>
      </c>
      <c r="C1906" s="0" t="inlineStr">
        <is>
          <t>NULL</t>
        </is>
      </c>
      <c r="D1906" s="0" t="inlineStr">
        <is>
          <t>NULL</t>
        </is>
      </c>
      <c r="E1906" s="0" t="inlineStr">
        <is>
          <t>NULL</t>
        </is>
      </c>
      <c r="F1906" s="0" t="inlineStr">
        <is>
          <t>NULL</t>
        </is>
      </c>
      <c r="G1906" s="0" t="inlineStr">
        <is>
          <t>NULL</t>
        </is>
      </c>
      <c r="H1906" s="0" t="inlineStr">
        <is>
          <t>NULL</t>
        </is>
      </c>
      <c r="I1906" s="0" t="inlineStr">
        <is>
          <t>NULL</t>
        </is>
      </c>
      <c r="J1906" s="0" t="inlineStr">
        <is>
          <t>NULL</t>
        </is>
      </c>
      <c r="K1906" s="0" t="inlineStr">
        <is>
          <t>YES! 	 c_date列源备映射正确，源端为date None位	期望更改为date	实际备端为date None位</t>
        </is>
      </c>
    </row>
    <row r="1907">
      <c r="A1907" s="0" t="inlineStr">
        <is>
          <t>info_date_dml_batch2_pk_irp1</t>
        </is>
      </c>
      <c r="K1907" s="0" t="inlineStr">
        <is>
          <t>[0;34m info_date_dml_batch2_pk_irp1 [0m源备字段数相同，源端字段：2 	备端字段2</t>
        </is>
      </c>
      <c r="W1907" s="0" t="inlineStr">
        <is>
          <t>YES 源备无差异</t>
        </is>
      </c>
      <c r="X1907" s="0">
        <f>A1907</f>
        <v/>
      </c>
    </row>
    <row r="1908">
      <c r="B1908" s="0" t="inlineStr">
        <is>
          <t>YES</t>
        </is>
      </c>
      <c r="C1908" s="0" t="inlineStr">
        <is>
          <t>NULL</t>
        </is>
      </c>
      <c r="D1908" s="0" t="inlineStr">
        <is>
          <t>NULL</t>
        </is>
      </c>
      <c r="E1908" s="0" t="inlineStr">
        <is>
          <t>NULL</t>
        </is>
      </c>
      <c r="F1908" s="0" t="inlineStr">
        <is>
          <t>NULL</t>
        </is>
      </c>
      <c r="G1908" s="0" t="inlineStr">
        <is>
          <t>NULL</t>
        </is>
      </c>
      <c r="H1908" s="0" t="inlineStr">
        <is>
          <t>NULL</t>
        </is>
      </c>
      <c r="I1908" s="0" t="inlineStr">
        <is>
          <t>YES!PK__info_dat__3213E83F33B1CB1D</t>
        </is>
      </c>
      <c r="J1908" s="0" t="inlineStr">
        <is>
          <t>YES! 主键相关索引</t>
        </is>
      </c>
      <c r="K1908" s="0" t="inlineStr">
        <is>
          <t>YES! 	 id列源备映射正确，源端为int None位	期望更改为int	实际备端为int None位</t>
        </is>
      </c>
    </row>
    <row r="1909">
      <c r="B1909" s="0" t="inlineStr">
        <is>
          <t>NULL</t>
        </is>
      </c>
      <c r="C1909" s="0" t="inlineStr">
        <is>
          <t>NULL</t>
        </is>
      </c>
      <c r="D1909" s="0" t="inlineStr">
        <is>
          <t>NULL</t>
        </is>
      </c>
      <c r="E1909" s="0" t="inlineStr">
        <is>
          <t>NULL</t>
        </is>
      </c>
      <c r="F1909" s="0" t="inlineStr">
        <is>
          <t>NULL</t>
        </is>
      </c>
      <c r="G1909" s="0" t="inlineStr">
        <is>
          <t>NULL</t>
        </is>
      </c>
      <c r="H1909" s="0" t="inlineStr">
        <is>
          <t>NULL</t>
        </is>
      </c>
      <c r="I1909" s="0" t="inlineStr">
        <is>
          <t>NULL</t>
        </is>
      </c>
      <c r="J1909" s="0" t="inlineStr">
        <is>
          <t>NULL</t>
        </is>
      </c>
      <c r="K1909" s="0" t="inlineStr">
        <is>
          <t>YES! 	 c_date列源备映射正确，源端为date None位	期望更改为date	实际备端为date None位</t>
        </is>
      </c>
    </row>
    <row r="1910">
      <c r="A1910" s="0" t="inlineStr">
        <is>
          <t>info_binary_dml_batch2_pk_irp2</t>
        </is>
      </c>
      <c r="K1910" s="0" t="inlineStr">
        <is>
          <t>[0;34m info_binary_dml_batch2_pk_irp2 [0m源备字段数相同，源端字段：4 	备端字段4</t>
        </is>
      </c>
      <c r="W1910" s="0" t="inlineStr">
        <is>
          <t>YES 源备无差异</t>
        </is>
      </c>
      <c r="X1910" s="0">
        <f>A1910</f>
        <v/>
      </c>
    </row>
    <row r="1911">
      <c r="B1911" s="0" t="inlineStr">
        <is>
          <t>YES</t>
        </is>
      </c>
      <c r="C1911" s="0" t="inlineStr">
        <is>
          <t>NULL</t>
        </is>
      </c>
      <c r="D1911" s="0" t="inlineStr">
        <is>
          <t>NULL</t>
        </is>
      </c>
      <c r="E1911" s="0" t="inlineStr">
        <is>
          <t>NULL</t>
        </is>
      </c>
      <c r="F1911" s="0" t="inlineStr">
        <is>
          <t>NULL</t>
        </is>
      </c>
      <c r="G1911" s="0" t="inlineStr">
        <is>
          <t>NULL</t>
        </is>
      </c>
      <c r="H1911" s="0" t="inlineStr">
        <is>
          <t>NULL</t>
        </is>
      </c>
      <c r="I1911" s="0" t="inlineStr">
        <is>
          <t>YES!PK__info_bin__3213E83F8A446D33</t>
        </is>
      </c>
      <c r="J1911" s="0" t="inlineStr">
        <is>
          <t>YES! 主键相关索引</t>
        </is>
      </c>
      <c r="K1911" s="0" t="inlineStr">
        <is>
          <t>YES! 	 id列源备映射正确，源端为int None位	期望更改为int	实际备端为int None位</t>
        </is>
      </c>
    </row>
    <row r="1912">
      <c r="B1912" s="0" t="inlineStr">
        <is>
          <t>NULL</t>
        </is>
      </c>
      <c r="C1912" s="0" t="inlineStr">
        <is>
          <t>NULL</t>
        </is>
      </c>
      <c r="D1912" s="0" t="inlineStr">
        <is>
          <t>NULL</t>
        </is>
      </c>
      <c r="E1912" s="0" t="inlineStr">
        <is>
          <t>NULL</t>
        </is>
      </c>
      <c r="F1912" s="0" t="inlineStr">
        <is>
          <t>NULL</t>
        </is>
      </c>
      <c r="G1912" s="0" t="inlineStr">
        <is>
          <t>NULL</t>
        </is>
      </c>
      <c r="H1912" s="0" t="inlineStr">
        <is>
          <t>NULL</t>
        </is>
      </c>
      <c r="I1912" s="0" t="inlineStr">
        <is>
          <t>NULL</t>
        </is>
      </c>
      <c r="J1912" s="0" t="inlineStr">
        <is>
          <t>NULL</t>
        </is>
      </c>
      <c r="K1912" s="0" t="inlineStr">
        <is>
          <t>YES! 	 c_binary列源备映射正确，源端为binary 1位	期望更改为binary(n)	实际备端为binary 1位</t>
        </is>
      </c>
    </row>
    <row r="1913">
      <c r="B1913" s="0" t="inlineStr">
        <is>
          <t>NULL</t>
        </is>
      </c>
      <c r="C1913" s="0" t="inlineStr">
        <is>
          <t>NULL</t>
        </is>
      </c>
      <c r="D1913" s="0" t="inlineStr">
        <is>
          <t>NULL</t>
        </is>
      </c>
      <c r="E1913" s="0" t="inlineStr">
        <is>
          <t>NULL</t>
        </is>
      </c>
      <c r="F1913" s="0" t="inlineStr">
        <is>
          <t>NULL</t>
        </is>
      </c>
      <c r="G1913" s="0" t="inlineStr">
        <is>
          <t>NULL</t>
        </is>
      </c>
      <c r="H1913" s="0" t="inlineStr">
        <is>
          <t>NULL</t>
        </is>
      </c>
      <c r="I1913" s="0" t="inlineStr">
        <is>
          <t>NULL</t>
        </is>
      </c>
      <c r="J1913" s="0" t="inlineStr">
        <is>
          <t>NULL</t>
        </is>
      </c>
      <c r="K1913" s="0" t="inlineStr">
        <is>
          <t>YES! 	 c_binary_20列源备映射正确，源端为binary 20位	期望更改为binary(n)	实际备端为binary 20位</t>
        </is>
      </c>
    </row>
    <row r="1914">
      <c r="B1914" s="0" t="inlineStr">
        <is>
          <t>NULL</t>
        </is>
      </c>
      <c r="C1914" s="0" t="inlineStr">
        <is>
          <t>NULL</t>
        </is>
      </c>
      <c r="D1914" s="0" t="inlineStr">
        <is>
          <t>NULL</t>
        </is>
      </c>
      <c r="E1914" s="0" t="inlineStr">
        <is>
          <t>NULL</t>
        </is>
      </c>
      <c r="F1914" s="0" t="inlineStr">
        <is>
          <t>NULL</t>
        </is>
      </c>
      <c r="G1914" s="0" t="inlineStr">
        <is>
          <t>NULL</t>
        </is>
      </c>
      <c r="H1914" s="0" t="inlineStr">
        <is>
          <t>NULL</t>
        </is>
      </c>
      <c r="I1914" s="0" t="inlineStr">
        <is>
          <t>NULL</t>
        </is>
      </c>
      <c r="J1914" s="0" t="inlineStr">
        <is>
          <t>NULL</t>
        </is>
      </c>
      <c r="K1914" s="0" t="inlineStr">
        <is>
          <t>YES! 	 c_binary_8000列源备映射正确，源端为binary 8000位	期望更改为longblob	实际备端为longblob 4294967295位</t>
        </is>
      </c>
    </row>
    <row r="1915">
      <c r="A1915" s="0" t="inlineStr">
        <is>
          <t>info_binary_dml_batch1_pk_urp1</t>
        </is>
      </c>
      <c r="K1915" s="0" t="inlineStr">
        <is>
          <t>[0;34m info_binary_dml_batch1_pk_urp1 [0m源备字段数相同，源端字段：4 	备端字段4</t>
        </is>
      </c>
      <c r="W1915" s="0" t="inlineStr">
        <is>
          <t>YES 源备无差异</t>
        </is>
      </c>
      <c r="X1915" s="0">
        <f>A1915</f>
        <v/>
      </c>
    </row>
    <row r="1916">
      <c r="B1916" s="0" t="inlineStr">
        <is>
          <t>YES</t>
        </is>
      </c>
      <c r="C1916" s="0" t="inlineStr">
        <is>
          <t>NULL</t>
        </is>
      </c>
      <c r="D1916" s="0" t="inlineStr">
        <is>
          <t>NULL</t>
        </is>
      </c>
      <c r="E1916" s="0" t="inlineStr">
        <is>
          <t>NULL</t>
        </is>
      </c>
      <c r="F1916" s="0" t="inlineStr">
        <is>
          <t>NULL</t>
        </is>
      </c>
      <c r="G1916" s="0" t="inlineStr">
        <is>
          <t>NULL</t>
        </is>
      </c>
      <c r="H1916" s="0" t="inlineStr">
        <is>
          <t>NULL</t>
        </is>
      </c>
      <c r="I1916" s="0" t="inlineStr">
        <is>
          <t>YES!PK__info_bin__3213E83FC8D78F05</t>
        </is>
      </c>
      <c r="J1916" s="0" t="inlineStr">
        <is>
          <t>YES! 主键相关索引</t>
        </is>
      </c>
      <c r="K1916" s="0" t="inlineStr">
        <is>
          <t>YES! 	 id列源备映射正确，源端为int None位	期望更改为int	实际备端为int None位</t>
        </is>
      </c>
    </row>
    <row r="1917">
      <c r="B1917" s="0" t="inlineStr">
        <is>
          <t>NULL</t>
        </is>
      </c>
      <c r="C1917" s="0" t="inlineStr">
        <is>
          <t>NULL</t>
        </is>
      </c>
      <c r="D1917" s="0" t="inlineStr">
        <is>
          <t>NULL</t>
        </is>
      </c>
      <c r="E1917" s="0" t="inlineStr">
        <is>
          <t>NULL</t>
        </is>
      </c>
      <c r="F1917" s="0" t="inlineStr">
        <is>
          <t>NULL</t>
        </is>
      </c>
      <c r="G1917" s="0" t="inlineStr">
        <is>
          <t>NULL</t>
        </is>
      </c>
      <c r="H1917" s="0" t="inlineStr">
        <is>
          <t>NULL</t>
        </is>
      </c>
      <c r="I1917" s="0" t="inlineStr">
        <is>
          <t>NULL</t>
        </is>
      </c>
      <c r="J1917" s="0" t="inlineStr">
        <is>
          <t>NULL</t>
        </is>
      </c>
      <c r="K1917" s="0" t="inlineStr">
        <is>
          <t>YES! 	 c_binary列源备映射正确，源端为binary 1位	期望更改为binary(n)	实际备端为binary 1位</t>
        </is>
      </c>
    </row>
    <row r="1918">
      <c r="B1918" s="0" t="inlineStr">
        <is>
          <t>NULL</t>
        </is>
      </c>
      <c r="C1918" s="0" t="inlineStr">
        <is>
          <t>NULL</t>
        </is>
      </c>
      <c r="D1918" s="0" t="inlineStr">
        <is>
          <t>NULL</t>
        </is>
      </c>
      <c r="E1918" s="0" t="inlineStr">
        <is>
          <t>NULL</t>
        </is>
      </c>
      <c r="F1918" s="0" t="inlineStr">
        <is>
          <t>NULL</t>
        </is>
      </c>
      <c r="G1918" s="0" t="inlineStr">
        <is>
          <t>NULL</t>
        </is>
      </c>
      <c r="H1918" s="0" t="inlineStr">
        <is>
          <t>NULL</t>
        </is>
      </c>
      <c r="I1918" s="0" t="inlineStr">
        <is>
          <t>NULL</t>
        </is>
      </c>
      <c r="J1918" s="0" t="inlineStr">
        <is>
          <t>NULL</t>
        </is>
      </c>
      <c r="K1918" s="0" t="inlineStr">
        <is>
          <t>YES! 	 c_binary_20列源备映射正确，源端为binary 20位	期望更改为binary(n)	实际备端为binary 20位</t>
        </is>
      </c>
    </row>
    <row r="1919">
      <c r="B1919" s="0" t="inlineStr">
        <is>
          <t>NULL</t>
        </is>
      </c>
      <c r="C1919" s="0" t="inlineStr">
        <is>
          <t>NULL</t>
        </is>
      </c>
      <c r="D1919" s="0" t="inlineStr">
        <is>
          <t>NULL</t>
        </is>
      </c>
      <c r="E1919" s="0" t="inlineStr">
        <is>
          <t>NULL</t>
        </is>
      </c>
      <c r="F1919" s="0" t="inlineStr">
        <is>
          <t>NULL</t>
        </is>
      </c>
      <c r="G1919" s="0" t="inlineStr">
        <is>
          <t>NULL</t>
        </is>
      </c>
      <c r="H1919" s="0" t="inlineStr">
        <is>
          <t>NULL</t>
        </is>
      </c>
      <c r="I1919" s="0" t="inlineStr">
        <is>
          <t>NULL</t>
        </is>
      </c>
      <c r="J1919" s="0" t="inlineStr">
        <is>
          <t>NULL</t>
        </is>
      </c>
      <c r="K1919" s="0" t="inlineStr">
        <is>
          <t>YES! 	 c_binary_8000列源备映射正确，源端为binary 8000位	期望更改为longblob	实际备端为longblob 4294967295位</t>
        </is>
      </c>
    </row>
    <row r="1920">
      <c r="A1920" s="0" t="inlineStr">
        <is>
          <t>info_geography_dml_single_nopk_irp</t>
        </is>
      </c>
      <c r="K1920" s="0" t="inlineStr">
        <is>
          <t>[0;34m info_geography_dml_single_nopk_irp [0m源备字段数相同，源端字段：2 	备端字段2</t>
        </is>
      </c>
      <c r="W1920" s="0" t="inlineStr">
        <is>
          <t>YES 源备无差异</t>
        </is>
      </c>
      <c r="X1920" s="0">
        <f>A1920</f>
        <v/>
      </c>
    </row>
    <row r="1921">
      <c r="B1921" s="0" t="inlineStr">
        <is>
          <t>NULL</t>
        </is>
      </c>
      <c r="C1921" s="0" t="inlineStr">
        <is>
          <t>NULL</t>
        </is>
      </c>
      <c r="D1921" s="0" t="inlineStr">
        <is>
          <t>NULL</t>
        </is>
      </c>
      <c r="E1921" s="0" t="inlineStr">
        <is>
          <t>NULL</t>
        </is>
      </c>
      <c r="F1921" s="0" t="inlineStr">
        <is>
          <t>NULL</t>
        </is>
      </c>
      <c r="G1921" s="0" t="inlineStr">
        <is>
          <t>NULL</t>
        </is>
      </c>
      <c r="H1921" s="0" t="inlineStr">
        <is>
          <t>NULL</t>
        </is>
      </c>
      <c r="I1921" s="0" t="inlineStr">
        <is>
          <t>NULL</t>
        </is>
      </c>
      <c r="J1921" s="0" t="inlineStr">
        <is>
          <t>NULL</t>
        </is>
      </c>
      <c r="K1921" s="0" t="inlineStr">
        <is>
          <t>YES! 	 id列源备映射正确，源端为int None位	期望更改为int	实际备端为int None位</t>
        </is>
      </c>
    </row>
    <row r="1922">
      <c r="B1922" s="0" t="inlineStr">
        <is>
          <t>NULL</t>
        </is>
      </c>
      <c r="C1922" s="0" t="inlineStr">
        <is>
          <t>NULL</t>
        </is>
      </c>
      <c r="D1922" s="0" t="inlineStr">
        <is>
          <t>NULL</t>
        </is>
      </c>
      <c r="E1922" s="0" t="inlineStr">
        <is>
          <t>NULL</t>
        </is>
      </c>
      <c r="F1922" s="0" t="inlineStr">
        <is>
          <t>NULL</t>
        </is>
      </c>
      <c r="G1922" s="0" t="inlineStr">
        <is>
          <t>NULL</t>
        </is>
      </c>
      <c r="H1922" s="0" t="inlineStr">
        <is>
          <t>NULL</t>
        </is>
      </c>
      <c r="I1922" s="0" t="inlineStr">
        <is>
          <t>NULL</t>
        </is>
      </c>
      <c r="J1922" s="0" t="inlineStr">
        <is>
          <t>NULL</t>
        </is>
      </c>
      <c r="K1922" s="0" t="inlineStr">
        <is>
          <t>YES! 	 c_geography列源备映射正确，源端为geography -1位	期望更改为text	实际备端为text 65535位</t>
        </is>
      </c>
    </row>
    <row r="1923">
      <c r="A1923" s="0" t="inlineStr">
        <is>
          <t>info_date_dml_batch2_pk_irp2</t>
        </is>
      </c>
      <c r="K1923" s="0" t="inlineStr">
        <is>
          <t>[0;34m info_date_dml_batch2_pk_irp2 [0m源备字段数相同，源端字段：2 	备端字段2</t>
        </is>
      </c>
      <c r="W1923" s="0" t="inlineStr">
        <is>
          <t>YES 源备无差异</t>
        </is>
      </c>
      <c r="X1923" s="0">
        <f>A1923</f>
        <v/>
      </c>
    </row>
    <row r="1924">
      <c r="B1924" s="0" t="inlineStr">
        <is>
          <t>YES</t>
        </is>
      </c>
      <c r="C1924" s="0" t="inlineStr">
        <is>
          <t>NULL</t>
        </is>
      </c>
      <c r="D1924" s="0" t="inlineStr">
        <is>
          <t>NULL</t>
        </is>
      </c>
      <c r="E1924" s="0" t="inlineStr">
        <is>
          <t>NULL</t>
        </is>
      </c>
      <c r="F1924" s="0" t="inlineStr">
        <is>
          <t>NULL</t>
        </is>
      </c>
      <c r="G1924" s="0" t="inlineStr">
        <is>
          <t>NULL</t>
        </is>
      </c>
      <c r="H1924" s="0" t="inlineStr">
        <is>
          <t>NULL</t>
        </is>
      </c>
      <c r="I1924" s="0" t="inlineStr">
        <is>
          <t>YES!PK__info_dat__3213E83F431A717B</t>
        </is>
      </c>
      <c r="J1924" s="0" t="inlineStr">
        <is>
          <t>YES! 主键相关索引</t>
        </is>
      </c>
      <c r="K1924" s="0" t="inlineStr">
        <is>
          <t>YES! 	 id列源备映射正确，源端为int None位	期望更改为int	实际备端为int None位</t>
        </is>
      </c>
    </row>
    <row r="1925">
      <c r="B1925" s="0" t="inlineStr">
        <is>
          <t>NULL</t>
        </is>
      </c>
      <c r="C1925" s="0" t="inlineStr">
        <is>
          <t>NULL</t>
        </is>
      </c>
      <c r="D1925" s="0" t="inlineStr">
        <is>
          <t>NULL</t>
        </is>
      </c>
      <c r="E1925" s="0" t="inlineStr">
        <is>
          <t>NULL</t>
        </is>
      </c>
      <c r="F1925" s="0" t="inlineStr">
        <is>
          <t>NULL</t>
        </is>
      </c>
      <c r="G1925" s="0" t="inlineStr">
        <is>
          <t>NULL</t>
        </is>
      </c>
      <c r="H1925" s="0" t="inlineStr">
        <is>
          <t>NULL</t>
        </is>
      </c>
      <c r="I1925" s="0" t="inlineStr">
        <is>
          <t>NULL</t>
        </is>
      </c>
      <c r="J1925" s="0" t="inlineStr">
        <is>
          <t>NULL</t>
        </is>
      </c>
      <c r="K1925" s="0" t="inlineStr">
        <is>
          <t>YES! 	 c_date列源备映射正确，源端为date None位	期望更改为date	实际备端为date None位</t>
        </is>
      </c>
    </row>
    <row r="1926">
      <c r="A1926" s="0" t="inlineStr">
        <is>
          <t>info_geography_dml_single_nopk_urp</t>
        </is>
      </c>
      <c r="K1926" s="0" t="inlineStr">
        <is>
          <t>[0;34m info_geography_dml_single_nopk_urp [0m源备字段数相同，源端字段：2 	备端字段2</t>
        </is>
      </c>
      <c r="W1926" s="0" t="inlineStr">
        <is>
          <t>YES 源备无差异</t>
        </is>
      </c>
      <c r="X1926" s="0">
        <f>A1926</f>
        <v/>
      </c>
    </row>
    <row r="1927">
      <c r="B1927" s="0" t="inlineStr">
        <is>
          <t>NULL</t>
        </is>
      </c>
      <c r="C1927" s="0" t="inlineStr">
        <is>
          <t>NULL</t>
        </is>
      </c>
      <c r="D1927" s="0" t="inlineStr">
        <is>
          <t>NULL</t>
        </is>
      </c>
      <c r="E1927" s="0" t="inlineStr">
        <is>
          <t>NULL</t>
        </is>
      </c>
      <c r="F1927" s="0" t="inlineStr">
        <is>
          <t>NULL</t>
        </is>
      </c>
      <c r="G1927" s="0" t="inlineStr">
        <is>
          <t>NULL</t>
        </is>
      </c>
      <c r="H1927" s="0" t="inlineStr">
        <is>
          <t>NULL</t>
        </is>
      </c>
      <c r="I1927" s="0" t="inlineStr">
        <is>
          <t>NULL</t>
        </is>
      </c>
      <c r="J1927" s="0" t="inlineStr">
        <is>
          <t>NULL</t>
        </is>
      </c>
      <c r="K1927" s="0" t="inlineStr">
        <is>
          <t>YES! 	 id列源备映射正确，源端为int None位	期望更改为int	实际备端为int None位</t>
        </is>
      </c>
    </row>
    <row r="1928">
      <c r="B1928" s="0" t="inlineStr">
        <is>
          <t>NULL</t>
        </is>
      </c>
      <c r="C1928" s="0" t="inlineStr">
        <is>
          <t>NULL</t>
        </is>
      </c>
      <c r="D1928" s="0" t="inlineStr">
        <is>
          <t>NULL</t>
        </is>
      </c>
      <c r="E1928" s="0" t="inlineStr">
        <is>
          <t>NULL</t>
        </is>
      </c>
      <c r="F1928" s="0" t="inlineStr">
        <is>
          <t>NULL</t>
        </is>
      </c>
      <c r="G1928" s="0" t="inlineStr">
        <is>
          <t>NULL</t>
        </is>
      </c>
      <c r="H1928" s="0" t="inlineStr">
        <is>
          <t>NULL</t>
        </is>
      </c>
      <c r="I1928" s="0" t="inlineStr">
        <is>
          <t>NULL</t>
        </is>
      </c>
      <c r="J1928" s="0" t="inlineStr">
        <is>
          <t>NULL</t>
        </is>
      </c>
      <c r="K1928" s="0" t="inlineStr">
        <is>
          <t>YES! 	 c_geography列源备映射正确，源端为geography -1位	期望更改为text	实际备端为text 65535位</t>
        </is>
      </c>
    </row>
    <row r="1929">
      <c r="A1929" s="0" t="inlineStr">
        <is>
          <t>info_geography_dml_single_nopk_drp</t>
        </is>
      </c>
      <c r="K1929" s="0" t="inlineStr">
        <is>
          <t>[0;34m info_geography_dml_single_nopk_drp [0m源备字段数相同，源端字段：2 	备端字段2</t>
        </is>
      </c>
      <c r="W1929" s="0" t="inlineStr">
        <is>
          <t>YES 源备无差异</t>
        </is>
      </c>
      <c r="X1929" s="0">
        <f>A1929</f>
        <v/>
      </c>
    </row>
    <row r="1930">
      <c r="B1930" s="0" t="inlineStr">
        <is>
          <t>NULL</t>
        </is>
      </c>
      <c r="C1930" s="0" t="inlineStr">
        <is>
          <t>NULL</t>
        </is>
      </c>
      <c r="D1930" s="0" t="inlineStr">
        <is>
          <t>NULL</t>
        </is>
      </c>
      <c r="E1930" s="0" t="inlineStr">
        <is>
          <t>NULL</t>
        </is>
      </c>
      <c r="F1930" s="0" t="inlineStr">
        <is>
          <t>NULL</t>
        </is>
      </c>
      <c r="G1930" s="0" t="inlineStr">
        <is>
          <t>NULL</t>
        </is>
      </c>
      <c r="H1930" s="0" t="inlineStr">
        <is>
          <t>NULL</t>
        </is>
      </c>
      <c r="I1930" s="0" t="inlineStr">
        <is>
          <t>NULL</t>
        </is>
      </c>
      <c r="J1930" s="0" t="inlineStr">
        <is>
          <t>NULL</t>
        </is>
      </c>
      <c r="K1930" s="0" t="inlineStr">
        <is>
          <t>YES! 	 id列源备映射正确，源端为int None位	期望更改为int	实际备端为int None位</t>
        </is>
      </c>
    </row>
    <row r="1931">
      <c r="B1931" s="0" t="inlineStr">
        <is>
          <t>NULL</t>
        </is>
      </c>
      <c r="C1931" s="0" t="inlineStr">
        <is>
          <t>NULL</t>
        </is>
      </c>
      <c r="D1931" s="0" t="inlineStr">
        <is>
          <t>NULL</t>
        </is>
      </c>
      <c r="E1931" s="0" t="inlineStr">
        <is>
          <t>NULL</t>
        </is>
      </c>
      <c r="F1931" s="0" t="inlineStr">
        <is>
          <t>NULL</t>
        </is>
      </c>
      <c r="G1931" s="0" t="inlineStr">
        <is>
          <t>NULL</t>
        </is>
      </c>
      <c r="H1931" s="0" t="inlineStr">
        <is>
          <t>NULL</t>
        </is>
      </c>
      <c r="I1931" s="0" t="inlineStr">
        <is>
          <t>NULL</t>
        </is>
      </c>
      <c r="J1931" s="0" t="inlineStr">
        <is>
          <t>NULL</t>
        </is>
      </c>
      <c r="K1931" s="0" t="inlineStr">
        <is>
          <t>YES! 	 c_geography列源备映射正确，源端为geography -1位	期望更改为text	实际备端为text 65535位</t>
        </is>
      </c>
    </row>
    <row r="1932">
      <c r="A1932" s="0" t="inlineStr">
        <is>
          <t>info_binary_dml_batch1_pk_urp2</t>
        </is>
      </c>
      <c r="K1932" s="0" t="inlineStr">
        <is>
          <t>[0;34m info_binary_dml_batch1_pk_urp2 [0m源备字段数相同，源端字段：4 	备端字段4</t>
        </is>
      </c>
      <c r="W1932" s="0" t="inlineStr">
        <is>
          <t>YES 源备无差异</t>
        </is>
      </c>
      <c r="X1932" s="0">
        <f>A1932</f>
        <v/>
      </c>
    </row>
    <row r="1933">
      <c r="B1933" s="0" t="inlineStr">
        <is>
          <t>YES</t>
        </is>
      </c>
      <c r="C1933" s="0" t="inlineStr">
        <is>
          <t>NULL</t>
        </is>
      </c>
      <c r="D1933" s="0" t="inlineStr">
        <is>
          <t>NULL</t>
        </is>
      </c>
      <c r="E1933" s="0" t="inlineStr">
        <is>
          <t>NULL</t>
        </is>
      </c>
      <c r="F1933" s="0" t="inlineStr">
        <is>
          <t>NULL</t>
        </is>
      </c>
      <c r="G1933" s="0" t="inlineStr">
        <is>
          <t>NULL</t>
        </is>
      </c>
      <c r="H1933" s="0" t="inlineStr">
        <is>
          <t>NULL</t>
        </is>
      </c>
      <c r="I1933" s="0" t="inlineStr">
        <is>
          <t>YES!PK__info_bin__3213E83F2CFFDD81</t>
        </is>
      </c>
      <c r="J1933" s="0" t="inlineStr">
        <is>
          <t>YES! 主键相关索引</t>
        </is>
      </c>
      <c r="K1933" s="0" t="inlineStr">
        <is>
          <t>YES! 	 id列源备映射正确，源端为int None位	期望更改为int	实际备端为int None位</t>
        </is>
      </c>
    </row>
    <row r="1934">
      <c r="B1934" s="0" t="inlineStr">
        <is>
          <t>NULL</t>
        </is>
      </c>
      <c r="C1934" s="0" t="inlineStr">
        <is>
          <t>NULL</t>
        </is>
      </c>
      <c r="D1934" s="0" t="inlineStr">
        <is>
          <t>NULL</t>
        </is>
      </c>
      <c r="E1934" s="0" t="inlineStr">
        <is>
          <t>NULL</t>
        </is>
      </c>
      <c r="F1934" s="0" t="inlineStr">
        <is>
          <t>NULL</t>
        </is>
      </c>
      <c r="G1934" s="0" t="inlineStr">
        <is>
          <t>NULL</t>
        </is>
      </c>
      <c r="H1934" s="0" t="inlineStr">
        <is>
          <t>NULL</t>
        </is>
      </c>
      <c r="I1934" s="0" t="inlineStr">
        <is>
          <t>NULL</t>
        </is>
      </c>
      <c r="J1934" s="0" t="inlineStr">
        <is>
          <t>NULL</t>
        </is>
      </c>
      <c r="K1934" s="0" t="inlineStr">
        <is>
          <t>YES! 	 c_binary列源备映射正确，源端为binary 1位	期望更改为binary(n)	实际备端为binary 1位</t>
        </is>
      </c>
    </row>
    <row r="1935">
      <c r="B1935" s="0" t="inlineStr">
        <is>
          <t>NULL</t>
        </is>
      </c>
      <c r="C1935" s="0" t="inlineStr">
        <is>
          <t>NULL</t>
        </is>
      </c>
      <c r="D1935" s="0" t="inlineStr">
        <is>
          <t>NULL</t>
        </is>
      </c>
      <c r="E1935" s="0" t="inlineStr">
        <is>
          <t>NULL</t>
        </is>
      </c>
      <c r="F1935" s="0" t="inlineStr">
        <is>
          <t>NULL</t>
        </is>
      </c>
      <c r="G1935" s="0" t="inlineStr">
        <is>
          <t>NULL</t>
        </is>
      </c>
      <c r="H1935" s="0" t="inlineStr">
        <is>
          <t>NULL</t>
        </is>
      </c>
      <c r="I1935" s="0" t="inlineStr">
        <is>
          <t>NULL</t>
        </is>
      </c>
      <c r="J1935" s="0" t="inlineStr">
        <is>
          <t>NULL</t>
        </is>
      </c>
      <c r="K1935" s="0" t="inlineStr">
        <is>
          <t>YES! 	 c_binary_20列源备映射正确，源端为binary 20位	期望更改为binary(n)	实际备端为binary 20位</t>
        </is>
      </c>
    </row>
    <row r="1936">
      <c r="B1936" s="0" t="inlineStr">
        <is>
          <t>NULL</t>
        </is>
      </c>
      <c r="C1936" s="0" t="inlineStr">
        <is>
          <t>NULL</t>
        </is>
      </c>
      <c r="D1936" s="0" t="inlineStr">
        <is>
          <t>NULL</t>
        </is>
      </c>
      <c r="E1936" s="0" t="inlineStr">
        <is>
          <t>NULL</t>
        </is>
      </c>
      <c r="F1936" s="0" t="inlineStr">
        <is>
          <t>NULL</t>
        </is>
      </c>
      <c r="G1936" s="0" t="inlineStr">
        <is>
          <t>NULL</t>
        </is>
      </c>
      <c r="H1936" s="0" t="inlineStr">
        <is>
          <t>NULL</t>
        </is>
      </c>
      <c r="I1936" s="0" t="inlineStr">
        <is>
          <t>NULL</t>
        </is>
      </c>
      <c r="J1936" s="0" t="inlineStr">
        <is>
          <t>NULL</t>
        </is>
      </c>
      <c r="K1936" s="0" t="inlineStr">
        <is>
          <t>YES! 	 c_binary_8000列源备映射正确，源端为binary 8000位	期望更改为longblob	实际备端为longblob 4294967295位</t>
        </is>
      </c>
    </row>
    <row r="1937">
      <c r="A1937" s="0" t="inlineStr">
        <is>
          <t>info_date_dml_batch1_pk_urp1</t>
        </is>
      </c>
      <c r="K1937" s="0" t="inlineStr">
        <is>
          <t>[0;34m info_date_dml_batch1_pk_urp1 [0m源备字段数相同，源端字段：2 	备端字段2</t>
        </is>
      </c>
      <c r="W1937" s="0" t="inlineStr">
        <is>
          <t>YES 源备无差异</t>
        </is>
      </c>
      <c r="X1937" s="0">
        <f>A1937</f>
        <v/>
      </c>
    </row>
    <row r="1938">
      <c r="B1938" s="0" t="inlineStr">
        <is>
          <t>YES</t>
        </is>
      </c>
      <c r="C1938" s="0" t="inlineStr">
        <is>
          <t>NULL</t>
        </is>
      </c>
      <c r="D1938" s="0" t="inlineStr">
        <is>
          <t>NULL</t>
        </is>
      </c>
      <c r="E1938" s="0" t="inlineStr">
        <is>
          <t>NULL</t>
        </is>
      </c>
      <c r="F1938" s="0" t="inlineStr">
        <is>
          <t>NULL</t>
        </is>
      </c>
      <c r="G1938" s="0" t="inlineStr">
        <is>
          <t>NULL</t>
        </is>
      </c>
      <c r="H1938" s="0" t="inlineStr">
        <is>
          <t>NULL</t>
        </is>
      </c>
      <c r="I1938" s="0" t="inlineStr">
        <is>
          <t>YES!PK__info_dat__3213E83F255EEA90</t>
        </is>
      </c>
      <c r="J1938" s="0" t="inlineStr">
        <is>
          <t>YES! 主键相关索引</t>
        </is>
      </c>
      <c r="K1938" s="0" t="inlineStr">
        <is>
          <t>YES! 	 id列源备映射正确，源端为int None位	期望更改为int	实际备端为int None位</t>
        </is>
      </c>
    </row>
    <row r="1939">
      <c r="B1939" s="0" t="inlineStr">
        <is>
          <t>NULL</t>
        </is>
      </c>
      <c r="C1939" s="0" t="inlineStr">
        <is>
          <t>NULL</t>
        </is>
      </c>
      <c r="D1939" s="0" t="inlineStr">
        <is>
          <t>NULL</t>
        </is>
      </c>
      <c r="E1939" s="0" t="inlineStr">
        <is>
          <t>NULL</t>
        </is>
      </c>
      <c r="F1939" s="0" t="inlineStr">
        <is>
          <t>NULL</t>
        </is>
      </c>
      <c r="G1939" s="0" t="inlineStr">
        <is>
          <t>NULL</t>
        </is>
      </c>
      <c r="H1939" s="0" t="inlineStr">
        <is>
          <t>NULL</t>
        </is>
      </c>
      <c r="I1939" s="0" t="inlineStr">
        <is>
          <t>NULL</t>
        </is>
      </c>
      <c r="J1939" s="0" t="inlineStr">
        <is>
          <t>NULL</t>
        </is>
      </c>
      <c r="K1939" s="0" t="inlineStr">
        <is>
          <t>YES! 	 c_date列源备映射正确，源端为date None位	期望更改为date	实际备端为date None位</t>
        </is>
      </c>
    </row>
    <row r="1940">
      <c r="A1940" s="0" t="inlineStr">
        <is>
          <t>info_geography_dml_single_nopk</t>
        </is>
      </c>
      <c r="K1940" s="0" t="inlineStr">
        <is>
          <t>[0;34m info_geography_dml_single_nopk [0m源备字段数相同，源端字段：2 	备端字段2</t>
        </is>
      </c>
      <c r="W1940" s="0" t="inlineStr">
        <is>
          <t>YES 源备无差异</t>
        </is>
      </c>
      <c r="X1940" s="0">
        <f>A1940</f>
        <v/>
      </c>
    </row>
    <row r="1941">
      <c r="B1941" s="0" t="inlineStr">
        <is>
          <t>NULL</t>
        </is>
      </c>
      <c r="C1941" s="0" t="inlineStr">
        <is>
          <t>NULL</t>
        </is>
      </c>
      <c r="D1941" s="0" t="inlineStr">
        <is>
          <t>NULL</t>
        </is>
      </c>
      <c r="E1941" s="0" t="inlineStr">
        <is>
          <t>NULL</t>
        </is>
      </c>
      <c r="F1941" s="0" t="inlineStr">
        <is>
          <t>NULL</t>
        </is>
      </c>
      <c r="G1941" s="0" t="inlineStr">
        <is>
          <t>NULL</t>
        </is>
      </c>
      <c r="H1941" s="0" t="inlineStr">
        <is>
          <t>NULL</t>
        </is>
      </c>
      <c r="I1941" s="0" t="inlineStr">
        <is>
          <t>NULL</t>
        </is>
      </c>
      <c r="J1941" s="0" t="inlineStr">
        <is>
          <t>NULL</t>
        </is>
      </c>
      <c r="K1941" s="0" t="inlineStr">
        <is>
          <t>YES! 	 id列源备映射正确，源端为int None位	期望更改为int	实际备端为int None位</t>
        </is>
      </c>
    </row>
    <row r="1942">
      <c r="B1942" s="0" t="inlineStr">
        <is>
          <t>NULL</t>
        </is>
      </c>
      <c r="C1942" s="0" t="inlineStr">
        <is>
          <t>NULL</t>
        </is>
      </c>
      <c r="D1942" s="0" t="inlineStr">
        <is>
          <t>NULL</t>
        </is>
      </c>
      <c r="E1942" s="0" t="inlineStr">
        <is>
          <t>NULL</t>
        </is>
      </c>
      <c r="F1942" s="0" t="inlineStr">
        <is>
          <t>NULL</t>
        </is>
      </c>
      <c r="G1942" s="0" t="inlineStr">
        <is>
          <t>NULL</t>
        </is>
      </c>
      <c r="H1942" s="0" t="inlineStr">
        <is>
          <t>NULL</t>
        </is>
      </c>
      <c r="I1942" s="0" t="inlineStr">
        <is>
          <t>NULL</t>
        </is>
      </c>
      <c r="J1942" s="0" t="inlineStr">
        <is>
          <t>NULL</t>
        </is>
      </c>
      <c r="K1942" s="0" t="inlineStr">
        <is>
          <t>YES! 	 c_geography列源备映射正确，源端为geography -1位	期望更改为text	实际备端为text 65535位</t>
        </is>
      </c>
    </row>
    <row r="1943">
      <c r="A1943" s="0" t="inlineStr">
        <is>
          <t>info_binary_dml_batch1_pk_drp1</t>
        </is>
      </c>
      <c r="K1943" s="0" t="inlineStr">
        <is>
          <t>[0;34m info_binary_dml_batch1_pk_drp1 [0m源备字段数相同，源端字段：4 	备端字段4</t>
        </is>
      </c>
      <c r="W1943" s="0" t="inlineStr">
        <is>
          <t>YES 源备无差异</t>
        </is>
      </c>
      <c r="X1943" s="0">
        <f>A1943</f>
        <v/>
      </c>
    </row>
    <row r="1944">
      <c r="B1944" s="0" t="inlineStr">
        <is>
          <t>YES</t>
        </is>
      </c>
      <c r="C1944" s="0" t="inlineStr">
        <is>
          <t>NULL</t>
        </is>
      </c>
      <c r="D1944" s="0" t="inlineStr">
        <is>
          <t>NULL</t>
        </is>
      </c>
      <c r="E1944" s="0" t="inlineStr">
        <is>
          <t>NULL</t>
        </is>
      </c>
      <c r="F1944" s="0" t="inlineStr">
        <is>
          <t>NULL</t>
        </is>
      </c>
      <c r="G1944" s="0" t="inlineStr">
        <is>
          <t>NULL</t>
        </is>
      </c>
      <c r="H1944" s="0" t="inlineStr">
        <is>
          <t>NULL</t>
        </is>
      </c>
      <c r="I1944" s="0" t="inlineStr">
        <is>
          <t>YES!PK__info_bin__3213E83F4B9A4F56</t>
        </is>
      </c>
      <c r="J1944" s="0" t="inlineStr">
        <is>
          <t>YES! 主键相关索引</t>
        </is>
      </c>
      <c r="K1944" s="0" t="inlineStr">
        <is>
          <t>YES! 	 id列源备映射正确，源端为int None位	期望更改为int	实际备端为int None位</t>
        </is>
      </c>
    </row>
    <row r="1945">
      <c r="B1945" s="0" t="inlineStr">
        <is>
          <t>NULL</t>
        </is>
      </c>
      <c r="C1945" s="0" t="inlineStr">
        <is>
          <t>NULL</t>
        </is>
      </c>
      <c r="D1945" s="0" t="inlineStr">
        <is>
          <t>NULL</t>
        </is>
      </c>
      <c r="E1945" s="0" t="inlineStr">
        <is>
          <t>NULL</t>
        </is>
      </c>
      <c r="F1945" s="0" t="inlineStr">
        <is>
          <t>NULL</t>
        </is>
      </c>
      <c r="G1945" s="0" t="inlineStr">
        <is>
          <t>NULL</t>
        </is>
      </c>
      <c r="H1945" s="0" t="inlineStr">
        <is>
          <t>NULL</t>
        </is>
      </c>
      <c r="I1945" s="0" t="inlineStr">
        <is>
          <t>NULL</t>
        </is>
      </c>
      <c r="J1945" s="0" t="inlineStr">
        <is>
          <t>NULL</t>
        </is>
      </c>
      <c r="K1945" s="0" t="inlineStr">
        <is>
          <t>YES! 	 c_binary列源备映射正确，源端为binary 1位	期望更改为binary(n)	实际备端为binary 1位</t>
        </is>
      </c>
    </row>
    <row r="1946">
      <c r="B1946" s="0" t="inlineStr">
        <is>
          <t>NULL</t>
        </is>
      </c>
      <c r="C1946" s="0" t="inlineStr">
        <is>
          <t>NULL</t>
        </is>
      </c>
      <c r="D1946" s="0" t="inlineStr">
        <is>
          <t>NULL</t>
        </is>
      </c>
      <c r="E1946" s="0" t="inlineStr">
        <is>
          <t>NULL</t>
        </is>
      </c>
      <c r="F1946" s="0" t="inlineStr">
        <is>
          <t>NULL</t>
        </is>
      </c>
      <c r="G1946" s="0" t="inlineStr">
        <is>
          <t>NULL</t>
        </is>
      </c>
      <c r="H1946" s="0" t="inlineStr">
        <is>
          <t>NULL</t>
        </is>
      </c>
      <c r="I1946" s="0" t="inlineStr">
        <is>
          <t>NULL</t>
        </is>
      </c>
      <c r="J1946" s="0" t="inlineStr">
        <is>
          <t>NULL</t>
        </is>
      </c>
      <c r="K1946" s="0" t="inlineStr">
        <is>
          <t>YES! 	 c_binary_20列源备映射正确，源端为binary 20位	期望更改为binary(n)	实际备端为binary 20位</t>
        </is>
      </c>
    </row>
    <row r="1947">
      <c r="B1947" s="0" t="inlineStr">
        <is>
          <t>NULL</t>
        </is>
      </c>
      <c r="C1947" s="0" t="inlineStr">
        <is>
          <t>NULL</t>
        </is>
      </c>
      <c r="D1947" s="0" t="inlineStr">
        <is>
          <t>NULL</t>
        </is>
      </c>
      <c r="E1947" s="0" t="inlineStr">
        <is>
          <t>NULL</t>
        </is>
      </c>
      <c r="F1947" s="0" t="inlineStr">
        <is>
          <t>NULL</t>
        </is>
      </c>
      <c r="G1947" s="0" t="inlineStr">
        <is>
          <t>NULL</t>
        </is>
      </c>
      <c r="H1947" s="0" t="inlineStr">
        <is>
          <t>NULL</t>
        </is>
      </c>
      <c r="I1947" s="0" t="inlineStr">
        <is>
          <t>NULL</t>
        </is>
      </c>
      <c r="J1947" s="0" t="inlineStr">
        <is>
          <t>NULL</t>
        </is>
      </c>
      <c r="K1947" s="0" t="inlineStr">
        <is>
          <t>YES! 	 c_binary_8000列源备映射正确，源端为binary 8000位	期望更改为longblob	实际备端为longblob 4294967295位</t>
        </is>
      </c>
    </row>
    <row r="1948">
      <c r="K1948" s="0" t="inlineStr">
        <is>
          <t>~ 空表</t>
        </is>
      </c>
    </row>
    <row r="1949">
      <c r="A1949" s="0" t="inlineStr">
        <is>
          <t>info_geometry_dml_single_nopk_irp</t>
        </is>
      </c>
      <c r="K1949" s="0" t="inlineStr">
        <is>
          <t>[0;34m info_geometry_dml_single_nopk_irp [0m源备字段数相同，源端字段：2 	备端字段2</t>
        </is>
      </c>
      <c r="W1949" s="0" t="inlineStr">
        <is>
          <t>YES 源备无差异</t>
        </is>
      </c>
      <c r="X1949" s="0">
        <f>A1949</f>
        <v/>
      </c>
    </row>
    <row r="1950">
      <c r="B1950" s="0" t="inlineStr">
        <is>
          <t>NULL</t>
        </is>
      </c>
      <c r="C1950" s="0" t="inlineStr">
        <is>
          <t>NULL</t>
        </is>
      </c>
      <c r="D1950" s="0" t="inlineStr">
        <is>
          <t>NULL</t>
        </is>
      </c>
      <c r="E1950" s="0" t="inlineStr">
        <is>
          <t>NULL</t>
        </is>
      </c>
      <c r="F1950" s="0" t="inlineStr">
        <is>
          <t>NULL</t>
        </is>
      </c>
      <c r="G1950" s="0" t="inlineStr">
        <is>
          <t>NULL</t>
        </is>
      </c>
      <c r="H1950" s="0" t="inlineStr">
        <is>
          <t>NULL</t>
        </is>
      </c>
      <c r="I1950" s="0" t="inlineStr">
        <is>
          <t>NULL</t>
        </is>
      </c>
      <c r="J1950" s="0" t="inlineStr">
        <is>
          <t>NULL</t>
        </is>
      </c>
      <c r="K1950" s="0" t="inlineStr">
        <is>
          <t>YES! 	 id列源备映射正确，源端为int None位	期望更改为int	实际备端为int None位</t>
        </is>
      </c>
    </row>
    <row r="1951">
      <c r="B1951" s="0" t="inlineStr">
        <is>
          <t>NULL</t>
        </is>
      </c>
      <c r="C1951" s="0" t="inlineStr">
        <is>
          <t>NULL</t>
        </is>
      </c>
      <c r="D1951" s="0" t="inlineStr">
        <is>
          <t>NULL</t>
        </is>
      </c>
      <c r="E1951" s="0" t="inlineStr">
        <is>
          <t>NULL</t>
        </is>
      </c>
      <c r="F1951" s="0" t="inlineStr">
        <is>
          <t>NULL</t>
        </is>
      </c>
      <c r="G1951" s="0" t="inlineStr">
        <is>
          <t>NULL</t>
        </is>
      </c>
      <c r="H1951" s="0" t="inlineStr">
        <is>
          <t>NULL</t>
        </is>
      </c>
      <c r="I1951" s="0" t="inlineStr">
        <is>
          <t>NULL</t>
        </is>
      </c>
      <c r="J1951" s="0" t="inlineStr">
        <is>
          <t>NULL</t>
        </is>
      </c>
      <c r="K1951" s="0" t="inlineStr">
        <is>
          <t>YES! 	 c_geometry列源备映射正确，源端为geometry -1位	期望更改为text	实际备端为text 65535位</t>
        </is>
      </c>
    </row>
    <row r="1952">
      <c r="A1952" s="0" t="inlineStr">
        <is>
          <t>info_geography_dml_single_pk_irp</t>
        </is>
      </c>
      <c r="K1952" s="0" t="inlineStr">
        <is>
          <t>[0;34m info_geography_dml_single_pk_irp [0m源备字段数相同，源端字段：2 	备端字段2</t>
        </is>
      </c>
      <c r="W1952" s="0" t="inlineStr">
        <is>
          <t>YES 源备无差异</t>
        </is>
      </c>
      <c r="X1952" s="0">
        <f>A1952</f>
        <v/>
      </c>
    </row>
    <row r="1953">
      <c r="B1953" s="0" t="inlineStr">
        <is>
          <t>YES</t>
        </is>
      </c>
      <c r="C1953" s="0" t="inlineStr">
        <is>
          <t>NULL</t>
        </is>
      </c>
      <c r="D1953" s="0" t="inlineStr">
        <is>
          <t>NULL</t>
        </is>
      </c>
      <c r="E1953" s="0" t="inlineStr">
        <is>
          <t>NULL</t>
        </is>
      </c>
      <c r="F1953" s="0" t="inlineStr">
        <is>
          <t>NULL</t>
        </is>
      </c>
      <c r="G1953" s="0" t="inlineStr">
        <is>
          <t>NULL</t>
        </is>
      </c>
      <c r="H1953" s="0" t="inlineStr">
        <is>
          <t>NULL</t>
        </is>
      </c>
      <c r="I1953" s="0" t="inlineStr">
        <is>
          <t>YES!PK__info_geo__3213E83F168AB9E6</t>
        </is>
      </c>
      <c r="J1953" s="0" t="inlineStr">
        <is>
          <t>YES! 主键相关索引</t>
        </is>
      </c>
      <c r="K1953" s="0" t="inlineStr">
        <is>
          <t>YES! 	 id列源备映射正确，源端为int None位	期望更改为int	实际备端为int None位</t>
        </is>
      </c>
    </row>
    <row r="1954">
      <c r="B1954" s="0" t="inlineStr">
        <is>
          <t>NULL</t>
        </is>
      </c>
      <c r="C1954" s="0" t="inlineStr">
        <is>
          <t>NULL</t>
        </is>
      </c>
      <c r="D1954" s="0" t="inlineStr">
        <is>
          <t>NULL</t>
        </is>
      </c>
      <c r="E1954" s="0" t="inlineStr">
        <is>
          <t>NULL</t>
        </is>
      </c>
      <c r="F1954" s="0" t="inlineStr">
        <is>
          <t>NULL</t>
        </is>
      </c>
      <c r="G1954" s="0" t="inlineStr">
        <is>
          <t>NULL</t>
        </is>
      </c>
      <c r="H1954" s="0" t="inlineStr">
        <is>
          <t>NULL</t>
        </is>
      </c>
      <c r="I1954" s="0" t="inlineStr">
        <is>
          <t>NULL</t>
        </is>
      </c>
      <c r="J1954" s="0" t="inlineStr">
        <is>
          <t>NULL</t>
        </is>
      </c>
      <c r="K1954" s="0" t="inlineStr">
        <is>
          <t>YES! 	 c_geography列源备映射正确，源端为geography -1位	期望更改为text	实际备端为text 65535位</t>
        </is>
      </c>
    </row>
    <row r="1955">
      <c r="A1955" s="0" t="inlineStr">
        <is>
          <t>info_date_dml_batch1_pk_urp2</t>
        </is>
      </c>
      <c r="K1955" s="0" t="inlineStr">
        <is>
          <t>[0;34m info_date_dml_batch1_pk_urp2 [0m源备字段数相同，源端字段：2 	备端字段2</t>
        </is>
      </c>
      <c r="W1955" s="0" t="inlineStr">
        <is>
          <t>YES 源备无差异</t>
        </is>
      </c>
      <c r="X1955" s="0">
        <f>A1955</f>
        <v/>
      </c>
    </row>
    <row r="1956">
      <c r="B1956" s="0" t="inlineStr">
        <is>
          <t>YES</t>
        </is>
      </c>
      <c r="C1956" s="0" t="inlineStr">
        <is>
          <t>NULL</t>
        </is>
      </c>
      <c r="D1956" s="0" t="inlineStr">
        <is>
          <t>NULL</t>
        </is>
      </c>
      <c r="E1956" s="0" t="inlineStr">
        <is>
          <t>NULL</t>
        </is>
      </c>
      <c r="F1956" s="0" t="inlineStr">
        <is>
          <t>NULL</t>
        </is>
      </c>
      <c r="G1956" s="0" t="inlineStr">
        <is>
          <t>NULL</t>
        </is>
      </c>
      <c r="H1956" s="0" t="inlineStr">
        <is>
          <t>NULL</t>
        </is>
      </c>
      <c r="I1956" s="0" t="inlineStr">
        <is>
          <t>YES!PK__info_dat__3213E83FC684ACA3</t>
        </is>
      </c>
      <c r="J1956" s="0" t="inlineStr">
        <is>
          <t>YES! 主键相关索引</t>
        </is>
      </c>
      <c r="K1956" s="0" t="inlineStr">
        <is>
          <t>YES! 	 id列源备映射正确，源端为int None位	期望更改为int	实际备端为int None位</t>
        </is>
      </c>
    </row>
    <row r="1957">
      <c r="B1957" s="0" t="inlineStr">
        <is>
          <t>NULL</t>
        </is>
      </c>
      <c r="C1957" s="0" t="inlineStr">
        <is>
          <t>NULL</t>
        </is>
      </c>
      <c r="D1957" s="0" t="inlineStr">
        <is>
          <t>NULL</t>
        </is>
      </c>
      <c r="E1957" s="0" t="inlineStr">
        <is>
          <t>NULL</t>
        </is>
      </c>
      <c r="F1957" s="0" t="inlineStr">
        <is>
          <t>NULL</t>
        </is>
      </c>
      <c r="G1957" s="0" t="inlineStr">
        <is>
          <t>NULL</t>
        </is>
      </c>
      <c r="H1957" s="0" t="inlineStr">
        <is>
          <t>NULL</t>
        </is>
      </c>
      <c r="I1957" s="0" t="inlineStr">
        <is>
          <t>NULL</t>
        </is>
      </c>
      <c r="J1957" s="0" t="inlineStr">
        <is>
          <t>NULL</t>
        </is>
      </c>
      <c r="K1957" s="0" t="inlineStr">
        <is>
          <t>YES! 	 c_date列源备映射正确，源端为date None位	期望更改为date	实际备端为date None位</t>
        </is>
      </c>
    </row>
    <row r="1958">
      <c r="A1958" s="0" t="inlineStr">
        <is>
          <t>info_binary_dml_batch1_pk_drp2</t>
        </is>
      </c>
      <c r="K1958" s="0" t="inlineStr">
        <is>
          <t>[0;34m info_binary_dml_batch1_pk_drp2 [0m源备字段数相同，源端字段：4 	备端字段4</t>
        </is>
      </c>
      <c r="W1958" s="0" t="inlineStr">
        <is>
          <t>YES 源备无差异</t>
        </is>
      </c>
      <c r="X1958" s="0">
        <f>A1958</f>
        <v/>
      </c>
    </row>
    <row r="1959">
      <c r="B1959" s="0" t="inlineStr">
        <is>
          <t>YES</t>
        </is>
      </c>
      <c r="C1959" s="0" t="inlineStr">
        <is>
          <t>NULL</t>
        </is>
      </c>
      <c r="D1959" s="0" t="inlineStr">
        <is>
          <t>NULL</t>
        </is>
      </c>
      <c r="E1959" s="0" t="inlineStr">
        <is>
          <t>NULL</t>
        </is>
      </c>
      <c r="F1959" s="0" t="inlineStr">
        <is>
          <t>NULL</t>
        </is>
      </c>
      <c r="G1959" s="0" t="inlineStr">
        <is>
          <t>NULL</t>
        </is>
      </c>
      <c r="H1959" s="0" t="inlineStr">
        <is>
          <t>NULL</t>
        </is>
      </c>
      <c r="I1959" s="0" t="inlineStr">
        <is>
          <t>YES!PK__info_bin__3213E83F14AE18E3</t>
        </is>
      </c>
      <c r="J1959" s="0" t="inlineStr">
        <is>
          <t>YES! 主键相关索引</t>
        </is>
      </c>
      <c r="K1959" s="0" t="inlineStr">
        <is>
          <t>YES! 	 id列源备映射正确，源端为int None位	期望更改为int	实际备端为int None位</t>
        </is>
      </c>
    </row>
    <row r="1960">
      <c r="B1960" s="0" t="inlineStr">
        <is>
          <t>NULL</t>
        </is>
      </c>
      <c r="C1960" s="0" t="inlineStr">
        <is>
          <t>NULL</t>
        </is>
      </c>
      <c r="D1960" s="0" t="inlineStr">
        <is>
          <t>NULL</t>
        </is>
      </c>
      <c r="E1960" s="0" t="inlineStr">
        <is>
          <t>NULL</t>
        </is>
      </c>
      <c r="F1960" s="0" t="inlineStr">
        <is>
          <t>NULL</t>
        </is>
      </c>
      <c r="G1960" s="0" t="inlineStr">
        <is>
          <t>NULL</t>
        </is>
      </c>
      <c r="H1960" s="0" t="inlineStr">
        <is>
          <t>NULL</t>
        </is>
      </c>
      <c r="I1960" s="0" t="inlineStr">
        <is>
          <t>NULL</t>
        </is>
      </c>
      <c r="J1960" s="0" t="inlineStr">
        <is>
          <t>NULL</t>
        </is>
      </c>
      <c r="K1960" s="0" t="inlineStr">
        <is>
          <t>YES! 	 c_binary列源备映射正确，源端为binary 1位	期望更改为binary(n)	实际备端为binary 1位</t>
        </is>
      </c>
    </row>
    <row r="1961">
      <c r="B1961" s="0" t="inlineStr">
        <is>
          <t>NULL</t>
        </is>
      </c>
      <c r="C1961" s="0" t="inlineStr">
        <is>
          <t>NULL</t>
        </is>
      </c>
      <c r="D1961" s="0" t="inlineStr">
        <is>
          <t>NULL</t>
        </is>
      </c>
      <c r="E1961" s="0" t="inlineStr">
        <is>
          <t>NULL</t>
        </is>
      </c>
      <c r="F1961" s="0" t="inlineStr">
        <is>
          <t>NULL</t>
        </is>
      </c>
      <c r="G1961" s="0" t="inlineStr">
        <is>
          <t>NULL</t>
        </is>
      </c>
      <c r="H1961" s="0" t="inlineStr">
        <is>
          <t>NULL</t>
        </is>
      </c>
      <c r="I1961" s="0" t="inlineStr">
        <is>
          <t>NULL</t>
        </is>
      </c>
      <c r="J1961" s="0" t="inlineStr">
        <is>
          <t>NULL</t>
        </is>
      </c>
      <c r="K1961" s="0" t="inlineStr">
        <is>
          <t>YES! 	 c_binary_20列源备映射正确，源端为binary 20位	期望更改为binary(n)	实际备端为binary 20位</t>
        </is>
      </c>
    </row>
    <row r="1962">
      <c r="B1962" s="0" t="inlineStr">
        <is>
          <t>NULL</t>
        </is>
      </c>
      <c r="C1962" s="0" t="inlineStr">
        <is>
          <t>NULL</t>
        </is>
      </c>
      <c r="D1962" s="0" t="inlineStr">
        <is>
          <t>NULL</t>
        </is>
      </c>
      <c r="E1962" s="0" t="inlineStr">
        <is>
          <t>NULL</t>
        </is>
      </c>
      <c r="F1962" s="0" t="inlineStr">
        <is>
          <t>NULL</t>
        </is>
      </c>
      <c r="G1962" s="0" t="inlineStr">
        <is>
          <t>NULL</t>
        </is>
      </c>
      <c r="H1962" s="0" t="inlineStr">
        <is>
          <t>NULL</t>
        </is>
      </c>
      <c r="I1962" s="0" t="inlineStr">
        <is>
          <t>NULL</t>
        </is>
      </c>
      <c r="J1962" s="0" t="inlineStr">
        <is>
          <t>NULL</t>
        </is>
      </c>
      <c r="K1962" s="0" t="inlineStr">
        <is>
          <t>YES! 	 c_binary_8000列源备映射正确，源端为binary 8000位	期望更改为longblob	实际备端为longblob 4294967295位</t>
        </is>
      </c>
    </row>
    <row r="1963">
      <c r="A1963" s="0" t="inlineStr">
        <is>
          <t>info_geometry_dml_single_nopk_urp</t>
        </is>
      </c>
      <c r="K1963" s="0" t="inlineStr">
        <is>
          <t>[0;34m info_geometry_dml_single_nopk_urp [0m源备字段数相同，源端字段：2 	备端字段2</t>
        </is>
      </c>
      <c r="W1963" s="0" t="inlineStr">
        <is>
          <t>YES 源备无差异</t>
        </is>
      </c>
      <c r="X1963" s="0">
        <f>A1963</f>
        <v/>
      </c>
    </row>
    <row r="1964">
      <c r="B1964" s="0" t="inlineStr">
        <is>
          <t>NULL</t>
        </is>
      </c>
      <c r="C1964" s="0" t="inlineStr">
        <is>
          <t>NULL</t>
        </is>
      </c>
      <c r="D1964" s="0" t="inlineStr">
        <is>
          <t>NULL</t>
        </is>
      </c>
      <c r="E1964" s="0" t="inlineStr">
        <is>
          <t>NULL</t>
        </is>
      </c>
      <c r="F1964" s="0" t="inlineStr">
        <is>
          <t>NULL</t>
        </is>
      </c>
      <c r="G1964" s="0" t="inlineStr">
        <is>
          <t>NULL</t>
        </is>
      </c>
      <c r="H1964" s="0" t="inlineStr">
        <is>
          <t>NULL</t>
        </is>
      </c>
      <c r="I1964" s="0" t="inlineStr">
        <is>
          <t>NULL</t>
        </is>
      </c>
      <c r="J1964" s="0" t="inlineStr">
        <is>
          <t>NULL</t>
        </is>
      </c>
      <c r="K1964" s="0" t="inlineStr">
        <is>
          <t>YES! 	 id列源备映射正确，源端为int None位	期望更改为int	实际备端为int None位</t>
        </is>
      </c>
    </row>
    <row r="1965">
      <c r="B1965" s="0" t="inlineStr">
        <is>
          <t>NULL</t>
        </is>
      </c>
      <c r="C1965" s="0" t="inlineStr">
        <is>
          <t>NULL</t>
        </is>
      </c>
      <c r="D1965" s="0" t="inlineStr">
        <is>
          <t>NULL</t>
        </is>
      </c>
      <c r="E1965" s="0" t="inlineStr">
        <is>
          <t>NULL</t>
        </is>
      </c>
      <c r="F1965" s="0" t="inlineStr">
        <is>
          <t>NULL</t>
        </is>
      </c>
      <c r="G1965" s="0" t="inlineStr">
        <is>
          <t>NULL</t>
        </is>
      </c>
      <c r="H1965" s="0" t="inlineStr">
        <is>
          <t>NULL</t>
        </is>
      </c>
      <c r="I1965" s="0" t="inlineStr">
        <is>
          <t>NULL</t>
        </is>
      </c>
      <c r="J1965" s="0" t="inlineStr">
        <is>
          <t>NULL</t>
        </is>
      </c>
      <c r="K1965" s="0" t="inlineStr">
        <is>
          <t>YES! 	 c_geometry列源备映射正确，源端为geometry -1位	期望更改为text	实际备端为text 65535位</t>
        </is>
      </c>
    </row>
    <row r="1966">
      <c r="A1966" s="0" t="inlineStr">
        <is>
          <t>info_geometry_dml_single_nopk_drp</t>
        </is>
      </c>
      <c r="K1966" s="0" t="inlineStr">
        <is>
          <t>[0;34m info_geometry_dml_single_nopk_drp [0m源备字段数相同，源端字段：2 	备端字段2</t>
        </is>
      </c>
      <c r="W1966" s="0" t="inlineStr">
        <is>
          <t>YES 源备无差异</t>
        </is>
      </c>
      <c r="X1966" s="0">
        <f>A1966</f>
        <v/>
      </c>
    </row>
    <row r="1967">
      <c r="B1967" s="0" t="inlineStr">
        <is>
          <t>NULL</t>
        </is>
      </c>
      <c r="C1967" s="0" t="inlineStr">
        <is>
          <t>NULL</t>
        </is>
      </c>
      <c r="D1967" s="0" t="inlineStr">
        <is>
          <t>NULL</t>
        </is>
      </c>
      <c r="E1967" s="0" t="inlineStr">
        <is>
          <t>NULL</t>
        </is>
      </c>
      <c r="F1967" s="0" t="inlineStr">
        <is>
          <t>NULL</t>
        </is>
      </c>
      <c r="G1967" s="0" t="inlineStr">
        <is>
          <t>NULL</t>
        </is>
      </c>
      <c r="H1967" s="0" t="inlineStr">
        <is>
          <t>NULL</t>
        </is>
      </c>
      <c r="I1967" s="0" t="inlineStr">
        <is>
          <t>NULL</t>
        </is>
      </c>
      <c r="J1967" s="0" t="inlineStr">
        <is>
          <t>NULL</t>
        </is>
      </c>
      <c r="K1967" s="0" t="inlineStr">
        <is>
          <t>YES! 	 id列源备映射正确，源端为int None位	期望更改为int	实际备端为int None位</t>
        </is>
      </c>
    </row>
    <row r="1968">
      <c r="B1968" s="0" t="inlineStr">
        <is>
          <t>NULL</t>
        </is>
      </c>
      <c r="C1968" s="0" t="inlineStr">
        <is>
          <t>NULL</t>
        </is>
      </c>
      <c r="D1968" s="0" t="inlineStr">
        <is>
          <t>NULL</t>
        </is>
      </c>
      <c r="E1968" s="0" t="inlineStr">
        <is>
          <t>NULL</t>
        </is>
      </c>
      <c r="F1968" s="0" t="inlineStr">
        <is>
          <t>NULL</t>
        </is>
      </c>
      <c r="G1968" s="0" t="inlineStr">
        <is>
          <t>NULL</t>
        </is>
      </c>
      <c r="H1968" s="0" t="inlineStr">
        <is>
          <t>NULL</t>
        </is>
      </c>
      <c r="I1968" s="0" t="inlineStr">
        <is>
          <t>NULL</t>
        </is>
      </c>
      <c r="J1968" s="0" t="inlineStr">
        <is>
          <t>NULL</t>
        </is>
      </c>
      <c r="K1968" s="0" t="inlineStr">
        <is>
          <t>YES! 	 c_geometry列源备映射正确，源端为geometry -1位	期望更改为text	实际备端为text 65535位</t>
        </is>
      </c>
    </row>
    <row r="1969">
      <c r="A1969" s="0" t="inlineStr">
        <is>
          <t>info_geography_dml_single_pk_urp</t>
        </is>
      </c>
      <c r="K1969" s="0" t="inlineStr">
        <is>
          <t>[0;34m info_geography_dml_single_pk_urp [0m源备字段数相同，源端字段：2 	备端字段2</t>
        </is>
      </c>
      <c r="W1969" s="0" t="inlineStr">
        <is>
          <t>YES 源备无差异</t>
        </is>
      </c>
      <c r="X1969" s="0">
        <f>A1969</f>
        <v/>
      </c>
    </row>
    <row r="1970">
      <c r="B1970" s="0" t="inlineStr">
        <is>
          <t>YES</t>
        </is>
      </c>
      <c r="C1970" s="0" t="inlineStr">
        <is>
          <t>NULL</t>
        </is>
      </c>
      <c r="D1970" s="0" t="inlineStr">
        <is>
          <t>NULL</t>
        </is>
      </c>
      <c r="E1970" s="0" t="inlineStr">
        <is>
          <t>NULL</t>
        </is>
      </c>
      <c r="F1970" s="0" t="inlineStr">
        <is>
          <t>NULL</t>
        </is>
      </c>
      <c r="G1970" s="0" t="inlineStr">
        <is>
          <t>NULL</t>
        </is>
      </c>
      <c r="H1970" s="0" t="inlineStr">
        <is>
          <t>NULL</t>
        </is>
      </c>
      <c r="I1970" s="0" t="inlineStr">
        <is>
          <t>YES!PK__info_geo__3213E83F016608C5</t>
        </is>
      </c>
      <c r="J1970" s="0" t="inlineStr">
        <is>
          <t>YES! 主键相关索引</t>
        </is>
      </c>
      <c r="K1970" s="0" t="inlineStr">
        <is>
          <t>YES! 	 id列源备映射正确，源端为int None位	期望更改为int	实际备端为int None位</t>
        </is>
      </c>
    </row>
    <row r="1971">
      <c r="B1971" s="0" t="inlineStr">
        <is>
          <t>NULL</t>
        </is>
      </c>
      <c r="C1971" s="0" t="inlineStr">
        <is>
          <t>NULL</t>
        </is>
      </c>
      <c r="D1971" s="0" t="inlineStr">
        <is>
          <t>NULL</t>
        </is>
      </c>
      <c r="E1971" s="0" t="inlineStr">
        <is>
          <t>NULL</t>
        </is>
      </c>
      <c r="F1971" s="0" t="inlineStr">
        <is>
          <t>NULL</t>
        </is>
      </c>
      <c r="G1971" s="0" t="inlineStr">
        <is>
          <t>NULL</t>
        </is>
      </c>
      <c r="H1971" s="0" t="inlineStr">
        <is>
          <t>NULL</t>
        </is>
      </c>
      <c r="I1971" s="0" t="inlineStr">
        <is>
          <t>NULL</t>
        </is>
      </c>
      <c r="J1971" s="0" t="inlineStr">
        <is>
          <t>NULL</t>
        </is>
      </c>
      <c r="K1971" s="0" t="inlineStr">
        <is>
          <t>YES! 	 c_geography列源备映射正确，源端为geography -1位	期望更改为text	实际备端为text 65535位</t>
        </is>
      </c>
    </row>
    <row r="1972">
      <c r="A1972" s="0" t="inlineStr">
        <is>
          <t>info_date_dml_batch1_pk_drp1</t>
        </is>
      </c>
      <c r="K1972" s="0" t="inlineStr">
        <is>
          <t>[0;34m info_date_dml_batch1_pk_drp1 [0m源备字段数相同，源端字段：2 	备端字段2</t>
        </is>
      </c>
      <c r="W1972" s="0" t="inlineStr">
        <is>
          <t>YES 源备无差异</t>
        </is>
      </c>
      <c r="X1972" s="0">
        <f>A1972</f>
        <v/>
      </c>
    </row>
    <row r="1973">
      <c r="B1973" s="0" t="inlineStr">
        <is>
          <t>YES</t>
        </is>
      </c>
      <c r="C1973" s="0" t="inlineStr">
        <is>
          <t>NULL</t>
        </is>
      </c>
      <c r="D1973" s="0" t="inlineStr">
        <is>
          <t>NULL</t>
        </is>
      </c>
      <c r="E1973" s="0" t="inlineStr">
        <is>
          <t>NULL</t>
        </is>
      </c>
      <c r="F1973" s="0" t="inlineStr">
        <is>
          <t>NULL</t>
        </is>
      </c>
      <c r="G1973" s="0" t="inlineStr">
        <is>
          <t>NULL</t>
        </is>
      </c>
      <c r="H1973" s="0" t="inlineStr">
        <is>
          <t>NULL</t>
        </is>
      </c>
      <c r="I1973" s="0" t="inlineStr">
        <is>
          <t>YES!PK__info_dat__3213E83F912DB1E0</t>
        </is>
      </c>
      <c r="J1973" s="0" t="inlineStr">
        <is>
          <t>YES! 主键相关索引</t>
        </is>
      </c>
      <c r="K1973" s="0" t="inlineStr">
        <is>
          <t>YES! 	 id列源备映射正确，源端为int None位	期望更改为int	实际备端为int None位</t>
        </is>
      </c>
    </row>
    <row r="1974">
      <c r="B1974" s="0" t="inlineStr">
        <is>
          <t>NULL</t>
        </is>
      </c>
      <c r="C1974" s="0" t="inlineStr">
        <is>
          <t>NULL</t>
        </is>
      </c>
      <c r="D1974" s="0" t="inlineStr">
        <is>
          <t>NULL</t>
        </is>
      </c>
      <c r="E1974" s="0" t="inlineStr">
        <is>
          <t>NULL</t>
        </is>
      </c>
      <c r="F1974" s="0" t="inlineStr">
        <is>
          <t>NULL</t>
        </is>
      </c>
      <c r="G1974" s="0" t="inlineStr">
        <is>
          <t>NULL</t>
        </is>
      </c>
      <c r="H1974" s="0" t="inlineStr">
        <is>
          <t>NULL</t>
        </is>
      </c>
      <c r="I1974" s="0" t="inlineStr">
        <is>
          <t>NULL</t>
        </is>
      </c>
      <c r="J1974" s="0" t="inlineStr">
        <is>
          <t>NULL</t>
        </is>
      </c>
      <c r="K1974" s="0" t="inlineStr">
        <is>
          <t>YES! 	 c_date列源备映射正确，源端为date None位	期望更改为date	实际备端为date None位</t>
        </is>
      </c>
    </row>
    <row r="1975">
      <c r="K1975" s="0" t="inlineStr">
        <is>
          <t>~ 空表</t>
        </is>
      </c>
    </row>
    <row r="1976">
      <c r="A1976" s="0" t="inlineStr">
        <is>
          <t>info_geometry_dml_single_nopk</t>
        </is>
      </c>
      <c r="K1976" s="0" t="inlineStr">
        <is>
          <t>[0;34m info_geometry_dml_single_nopk [0m源备字段数相同，源端字段：2 	备端字段2</t>
        </is>
      </c>
      <c r="W1976" s="0" t="inlineStr">
        <is>
          <t>YES 源备无差异</t>
        </is>
      </c>
      <c r="X1976" s="0">
        <f>A1976</f>
        <v/>
      </c>
    </row>
    <row r="1977">
      <c r="B1977" s="0" t="inlineStr">
        <is>
          <t>NULL</t>
        </is>
      </c>
      <c r="C1977" s="0" t="inlineStr">
        <is>
          <t>NULL</t>
        </is>
      </c>
      <c r="D1977" s="0" t="inlineStr">
        <is>
          <t>NULL</t>
        </is>
      </c>
      <c r="E1977" s="0" t="inlineStr">
        <is>
          <t>NULL</t>
        </is>
      </c>
      <c r="F1977" s="0" t="inlineStr">
        <is>
          <t>NULL</t>
        </is>
      </c>
      <c r="G1977" s="0" t="inlineStr">
        <is>
          <t>NULL</t>
        </is>
      </c>
      <c r="H1977" s="0" t="inlineStr">
        <is>
          <t>NULL</t>
        </is>
      </c>
      <c r="I1977" s="0" t="inlineStr">
        <is>
          <t>NULL</t>
        </is>
      </c>
      <c r="J1977" s="0" t="inlineStr">
        <is>
          <t>NULL</t>
        </is>
      </c>
      <c r="K1977" s="0" t="inlineStr">
        <is>
          <t>YES! 	 id列源备映射正确，源端为int None位	期望更改为int	实际备端为int None位</t>
        </is>
      </c>
    </row>
    <row r="1978">
      <c r="B1978" s="0" t="inlineStr">
        <is>
          <t>NULL</t>
        </is>
      </c>
      <c r="C1978" s="0" t="inlineStr">
        <is>
          <t>NULL</t>
        </is>
      </c>
      <c r="D1978" s="0" t="inlineStr">
        <is>
          <t>NULL</t>
        </is>
      </c>
      <c r="E1978" s="0" t="inlineStr">
        <is>
          <t>NULL</t>
        </is>
      </c>
      <c r="F1978" s="0" t="inlineStr">
        <is>
          <t>NULL</t>
        </is>
      </c>
      <c r="G1978" s="0" t="inlineStr">
        <is>
          <t>NULL</t>
        </is>
      </c>
      <c r="H1978" s="0" t="inlineStr">
        <is>
          <t>NULL</t>
        </is>
      </c>
      <c r="I1978" s="0" t="inlineStr">
        <is>
          <t>NULL</t>
        </is>
      </c>
      <c r="J1978" s="0" t="inlineStr">
        <is>
          <t>NULL</t>
        </is>
      </c>
      <c r="K1978" s="0" t="inlineStr">
        <is>
          <t>YES! 	 c_geometry列源备映射正确，源端为geometry -1位	期望更改为text	实际备端为text 65535位</t>
        </is>
      </c>
    </row>
    <row r="1979">
      <c r="A1979" s="0" t="inlineStr">
        <is>
          <t>info_binary_dml_batch1_pk</t>
        </is>
      </c>
      <c r="K1979" s="0" t="inlineStr">
        <is>
          <t>[0;34m info_binary_dml_batch1_pk [0m源备字段数相同，源端字段：4 	备端字段4</t>
        </is>
      </c>
      <c r="W1979" s="0" t="inlineStr">
        <is>
          <t>YES 源备无差异</t>
        </is>
      </c>
      <c r="X1979" s="0">
        <f>A1979</f>
        <v/>
      </c>
    </row>
    <row r="1980">
      <c r="B1980" s="0" t="inlineStr">
        <is>
          <t>YES</t>
        </is>
      </c>
      <c r="C1980" s="0" t="inlineStr">
        <is>
          <t>NULL</t>
        </is>
      </c>
      <c r="D1980" s="0" t="inlineStr">
        <is>
          <t>NULL</t>
        </is>
      </c>
      <c r="E1980" s="0" t="inlineStr">
        <is>
          <t>NULL</t>
        </is>
      </c>
      <c r="F1980" s="0" t="inlineStr">
        <is>
          <t>NULL</t>
        </is>
      </c>
      <c r="G1980" s="0" t="inlineStr">
        <is>
          <t>NULL</t>
        </is>
      </c>
      <c r="H1980" s="0" t="inlineStr">
        <is>
          <t>NULL</t>
        </is>
      </c>
      <c r="I1980" s="0" t="inlineStr">
        <is>
          <t>YES!PK__info_bin__3213E83FDCC0460B</t>
        </is>
      </c>
      <c r="J1980" s="0" t="inlineStr">
        <is>
          <t>YES! 主键相关索引</t>
        </is>
      </c>
      <c r="K1980" s="0" t="inlineStr">
        <is>
          <t>YES! 	 id列源备映射正确，源端为int None位	期望更改为int	实际备端为int None位</t>
        </is>
      </c>
    </row>
    <row r="1981">
      <c r="B1981" s="0" t="inlineStr">
        <is>
          <t>NULL</t>
        </is>
      </c>
      <c r="C1981" s="0" t="inlineStr">
        <is>
          <t>NULL</t>
        </is>
      </c>
      <c r="D1981" s="0" t="inlineStr">
        <is>
          <t>NULL</t>
        </is>
      </c>
      <c r="E1981" s="0" t="inlineStr">
        <is>
          <t>NULL</t>
        </is>
      </c>
      <c r="F1981" s="0" t="inlineStr">
        <is>
          <t>NULL</t>
        </is>
      </c>
      <c r="G1981" s="0" t="inlineStr">
        <is>
          <t>NULL</t>
        </is>
      </c>
      <c r="H1981" s="0" t="inlineStr">
        <is>
          <t>NULL</t>
        </is>
      </c>
      <c r="I1981" s="0" t="inlineStr">
        <is>
          <t>NULL</t>
        </is>
      </c>
      <c r="J1981" s="0" t="inlineStr">
        <is>
          <t>NULL</t>
        </is>
      </c>
      <c r="K1981" s="0" t="inlineStr">
        <is>
          <t>YES! 	 c_binary列源备映射正确，源端为binary 1位	期望更改为binary(n)	实际备端为binary 1位</t>
        </is>
      </c>
    </row>
    <row r="1982">
      <c r="B1982" s="0" t="inlineStr">
        <is>
          <t>NULL</t>
        </is>
      </c>
      <c r="C1982" s="0" t="inlineStr">
        <is>
          <t>NULL</t>
        </is>
      </c>
      <c r="D1982" s="0" t="inlineStr">
        <is>
          <t>NULL</t>
        </is>
      </c>
      <c r="E1982" s="0" t="inlineStr">
        <is>
          <t>NULL</t>
        </is>
      </c>
      <c r="F1982" s="0" t="inlineStr">
        <is>
          <t>NULL</t>
        </is>
      </c>
      <c r="G1982" s="0" t="inlineStr">
        <is>
          <t>NULL</t>
        </is>
      </c>
      <c r="H1982" s="0" t="inlineStr">
        <is>
          <t>NULL</t>
        </is>
      </c>
      <c r="I1982" s="0" t="inlineStr">
        <is>
          <t>NULL</t>
        </is>
      </c>
      <c r="J1982" s="0" t="inlineStr">
        <is>
          <t>NULL</t>
        </is>
      </c>
      <c r="K1982" s="0" t="inlineStr">
        <is>
          <t>YES! 	 c_binary_20列源备映射正确，源端为binary 20位	期望更改为binary(n)	实际备端为binary 20位</t>
        </is>
      </c>
    </row>
    <row r="1983">
      <c r="B1983" s="0" t="inlineStr">
        <is>
          <t>NULL</t>
        </is>
      </c>
      <c r="C1983" s="0" t="inlineStr">
        <is>
          <t>NULL</t>
        </is>
      </c>
      <c r="D1983" s="0" t="inlineStr">
        <is>
          <t>NULL</t>
        </is>
      </c>
      <c r="E1983" s="0" t="inlineStr">
        <is>
          <t>NULL</t>
        </is>
      </c>
      <c r="F1983" s="0" t="inlineStr">
        <is>
          <t>NULL</t>
        </is>
      </c>
      <c r="G1983" s="0" t="inlineStr">
        <is>
          <t>NULL</t>
        </is>
      </c>
      <c r="H1983" s="0" t="inlineStr">
        <is>
          <t>NULL</t>
        </is>
      </c>
      <c r="I1983" s="0" t="inlineStr">
        <is>
          <t>NULL</t>
        </is>
      </c>
      <c r="J1983" s="0" t="inlineStr">
        <is>
          <t>NULL</t>
        </is>
      </c>
      <c r="K1983" s="0" t="inlineStr">
        <is>
          <t>YES! 	 c_binary_8000列源备映射正确，源端为binary 8000位	期望更改为longblob	实际备端为longblob 4294967295位</t>
        </is>
      </c>
    </row>
    <row r="1984">
      <c r="A1984" s="0" t="inlineStr">
        <is>
          <t>info_geography_dml_single_pk_drp</t>
        </is>
      </c>
      <c r="K1984" s="0" t="inlineStr">
        <is>
          <t>[0;34m info_geography_dml_single_pk_drp [0m源备字段数相同，源端字段：2 	备端字段2</t>
        </is>
      </c>
      <c r="W1984" s="0" t="inlineStr">
        <is>
          <t>YES 源备无差异</t>
        </is>
      </c>
      <c r="X1984" s="0">
        <f>A1984</f>
        <v/>
      </c>
    </row>
    <row r="1985">
      <c r="B1985" s="0" t="inlineStr">
        <is>
          <t>YES</t>
        </is>
      </c>
      <c r="C1985" s="0" t="inlineStr">
        <is>
          <t>NULL</t>
        </is>
      </c>
      <c r="D1985" s="0" t="inlineStr">
        <is>
          <t>NULL</t>
        </is>
      </c>
      <c r="E1985" s="0" t="inlineStr">
        <is>
          <t>NULL</t>
        </is>
      </c>
      <c r="F1985" s="0" t="inlineStr">
        <is>
          <t>NULL</t>
        </is>
      </c>
      <c r="G1985" s="0" t="inlineStr">
        <is>
          <t>NULL</t>
        </is>
      </c>
      <c r="H1985" s="0" t="inlineStr">
        <is>
          <t>NULL</t>
        </is>
      </c>
      <c r="I1985" s="0" t="inlineStr">
        <is>
          <t>YES!PK__info_geo__3213E83FCAF7A129</t>
        </is>
      </c>
      <c r="J1985" s="0" t="inlineStr">
        <is>
          <t>YES! 主键相关索引</t>
        </is>
      </c>
      <c r="K1985" s="0" t="inlineStr">
        <is>
          <t>YES! 	 id列源备映射正确，源端为int None位	期望更改为int	实际备端为int None位</t>
        </is>
      </c>
    </row>
    <row r="1986">
      <c r="B1986" s="0" t="inlineStr">
        <is>
          <t>NULL</t>
        </is>
      </c>
      <c r="C1986" s="0" t="inlineStr">
        <is>
          <t>NULL</t>
        </is>
      </c>
      <c r="D1986" s="0" t="inlineStr">
        <is>
          <t>NULL</t>
        </is>
      </c>
      <c r="E1986" s="0" t="inlineStr">
        <is>
          <t>NULL</t>
        </is>
      </c>
      <c r="F1986" s="0" t="inlineStr">
        <is>
          <t>NULL</t>
        </is>
      </c>
      <c r="G1986" s="0" t="inlineStr">
        <is>
          <t>NULL</t>
        </is>
      </c>
      <c r="H1986" s="0" t="inlineStr">
        <is>
          <t>NULL</t>
        </is>
      </c>
      <c r="I1986" s="0" t="inlineStr">
        <is>
          <t>NULL</t>
        </is>
      </c>
      <c r="J1986" s="0" t="inlineStr">
        <is>
          <t>NULL</t>
        </is>
      </c>
      <c r="K1986" s="0" t="inlineStr">
        <is>
          <t>YES! 	 c_geography列源备映射正确，源端为geography -1位	期望更改为text	实际备端为text 65535位</t>
        </is>
      </c>
    </row>
    <row r="1987">
      <c r="A1987" s="0" t="inlineStr">
        <is>
          <t>info_date_dml_batch1_pk_drp2</t>
        </is>
      </c>
      <c r="K1987" s="0" t="inlineStr">
        <is>
          <t>[0;34m info_date_dml_batch1_pk_drp2 [0m源备字段数相同，源端字段：2 	备端字段2</t>
        </is>
      </c>
      <c r="W1987" s="0" t="inlineStr">
        <is>
          <t>YES 源备无差异</t>
        </is>
      </c>
      <c r="X1987" s="0">
        <f>A1987</f>
        <v/>
      </c>
    </row>
    <row r="1988">
      <c r="B1988" s="0" t="inlineStr">
        <is>
          <t>YES</t>
        </is>
      </c>
      <c r="C1988" s="0" t="inlineStr">
        <is>
          <t>NULL</t>
        </is>
      </c>
      <c r="D1988" s="0" t="inlineStr">
        <is>
          <t>NULL</t>
        </is>
      </c>
      <c r="E1988" s="0" t="inlineStr">
        <is>
          <t>NULL</t>
        </is>
      </c>
      <c r="F1988" s="0" t="inlineStr">
        <is>
          <t>NULL</t>
        </is>
      </c>
      <c r="G1988" s="0" t="inlineStr">
        <is>
          <t>NULL</t>
        </is>
      </c>
      <c r="H1988" s="0" t="inlineStr">
        <is>
          <t>NULL</t>
        </is>
      </c>
      <c r="I1988" s="0" t="inlineStr">
        <is>
          <t>YES!PK__info_dat__3213E83F25800C71</t>
        </is>
      </c>
      <c r="J1988" s="0" t="inlineStr">
        <is>
          <t>YES! 主键相关索引</t>
        </is>
      </c>
      <c r="K1988" s="0" t="inlineStr">
        <is>
          <t>YES! 	 id列源备映射正确，源端为int None位	期望更改为int	实际备端为int None位</t>
        </is>
      </c>
    </row>
    <row r="1989">
      <c r="B1989" s="0" t="inlineStr">
        <is>
          <t>NULL</t>
        </is>
      </c>
      <c r="C1989" s="0" t="inlineStr">
        <is>
          <t>NULL</t>
        </is>
      </c>
      <c r="D1989" s="0" t="inlineStr">
        <is>
          <t>NULL</t>
        </is>
      </c>
      <c r="E1989" s="0" t="inlineStr">
        <is>
          <t>NULL</t>
        </is>
      </c>
      <c r="F1989" s="0" t="inlineStr">
        <is>
          <t>NULL</t>
        </is>
      </c>
      <c r="G1989" s="0" t="inlineStr">
        <is>
          <t>NULL</t>
        </is>
      </c>
      <c r="H1989" s="0" t="inlineStr">
        <is>
          <t>NULL</t>
        </is>
      </c>
      <c r="I1989" s="0" t="inlineStr">
        <is>
          <t>NULL</t>
        </is>
      </c>
      <c r="J1989" s="0" t="inlineStr">
        <is>
          <t>NULL</t>
        </is>
      </c>
      <c r="K1989" s="0" t="inlineStr">
        <is>
          <t>YES! 	 c_date列源备映射正确，源端为date None位	期望更改为date	实际备端为date None位</t>
        </is>
      </c>
    </row>
    <row r="1990">
      <c r="A1990" s="0" t="inlineStr">
        <is>
          <t>info_varbinary_dml_batch1_pk_irp1</t>
        </is>
      </c>
      <c r="K1990" s="0" t="inlineStr">
        <is>
          <t>[0;34m info_varbinary_dml_batch1_pk_irp1 [0m源备字段数相同，源端字段：4 	备端字段4</t>
        </is>
      </c>
      <c r="W1990" s="0" t="inlineStr">
        <is>
          <t>YES 源备无差异</t>
        </is>
      </c>
      <c r="X1990" s="0">
        <f>A1990</f>
        <v/>
      </c>
    </row>
    <row r="1991">
      <c r="B1991" s="0" t="inlineStr">
        <is>
          <t>YES</t>
        </is>
      </c>
      <c r="C1991" s="0" t="inlineStr">
        <is>
          <t>NULL</t>
        </is>
      </c>
      <c r="D1991" s="0" t="inlineStr">
        <is>
          <t>NULL</t>
        </is>
      </c>
      <c r="E1991" s="0" t="inlineStr">
        <is>
          <t>NULL</t>
        </is>
      </c>
      <c r="F1991" s="0" t="inlineStr">
        <is>
          <t>NULL</t>
        </is>
      </c>
      <c r="G1991" s="0" t="inlineStr">
        <is>
          <t>NULL</t>
        </is>
      </c>
      <c r="H1991" s="0" t="inlineStr">
        <is>
          <t>NULL</t>
        </is>
      </c>
      <c r="I1991" s="0" t="inlineStr">
        <is>
          <t>YES!PK__info_var__3213E83F1C6883B8</t>
        </is>
      </c>
      <c r="J1991" s="0" t="inlineStr">
        <is>
          <t>YES! 主键相关索引</t>
        </is>
      </c>
      <c r="K1991" s="0" t="inlineStr">
        <is>
          <t>YES! 	 id列源备映射正确，源端为int None位	期望更改为int	实际备端为int None位</t>
        </is>
      </c>
    </row>
    <row r="1992">
      <c r="B1992" s="0" t="inlineStr">
        <is>
          <t>NULL</t>
        </is>
      </c>
      <c r="C1992" s="0" t="inlineStr">
        <is>
          <t>NULL</t>
        </is>
      </c>
      <c r="D1992" s="0" t="inlineStr">
        <is>
          <t>NULL</t>
        </is>
      </c>
      <c r="E1992" s="0" t="inlineStr">
        <is>
          <t>NULL</t>
        </is>
      </c>
      <c r="F1992" s="0" t="inlineStr">
        <is>
          <t>NULL</t>
        </is>
      </c>
      <c r="G1992" s="0" t="inlineStr">
        <is>
          <t>NULL</t>
        </is>
      </c>
      <c r="H1992" s="0" t="inlineStr">
        <is>
          <t>NULL</t>
        </is>
      </c>
      <c r="I1992" s="0" t="inlineStr">
        <is>
          <t>NULL</t>
        </is>
      </c>
      <c r="J1992" s="0" t="inlineStr">
        <is>
          <t>NULL</t>
        </is>
      </c>
      <c r="K1992" s="0" t="inlineStr">
        <is>
          <t>YES! 	 c_varbinary列源备映射正确，源端为varbinary 1位	期望更改为varbinary(n)	实际备端为varbinary 1位</t>
        </is>
      </c>
    </row>
    <row r="1993">
      <c r="B1993" s="0" t="inlineStr">
        <is>
          <t>NULL</t>
        </is>
      </c>
      <c r="C1993" s="0" t="inlineStr">
        <is>
          <t>NULL</t>
        </is>
      </c>
      <c r="D1993" s="0" t="inlineStr">
        <is>
          <t>NULL</t>
        </is>
      </c>
      <c r="E1993" s="0" t="inlineStr">
        <is>
          <t>NULL</t>
        </is>
      </c>
      <c r="F1993" s="0" t="inlineStr">
        <is>
          <t>NULL</t>
        </is>
      </c>
      <c r="G1993" s="0" t="inlineStr">
        <is>
          <t>NULL</t>
        </is>
      </c>
      <c r="H1993" s="0" t="inlineStr">
        <is>
          <t>NULL</t>
        </is>
      </c>
      <c r="I1993" s="0" t="inlineStr">
        <is>
          <t>NULL</t>
        </is>
      </c>
      <c r="J1993" s="0" t="inlineStr">
        <is>
          <t>NULL</t>
        </is>
      </c>
      <c r="K1993" s="0" t="inlineStr">
        <is>
          <t>YES! 	 c_varbinary_100列源备映射正确，源端为varbinary 100位	期望更改为varbinary(n)	实际备端为varbinary 100位</t>
        </is>
      </c>
    </row>
    <row r="1994">
      <c r="B1994" s="0" t="inlineStr">
        <is>
          <t>NULL</t>
        </is>
      </c>
      <c r="C1994" s="0" t="inlineStr">
        <is>
          <t>NULL</t>
        </is>
      </c>
      <c r="D1994" s="0" t="inlineStr">
        <is>
          <t>NULL</t>
        </is>
      </c>
      <c r="E1994" s="0" t="inlineStr">
        <is>
          <t>NULL</t>
        </is>
      </c>
      <c r="F1994" s="0" t="inlineStr">
        <is>
          <t>NULL</t>
        </is>
      </c>
      <c r="G1994" s="0" t="inlineStr">
        <is>
          <t>NULL</t>
        </is>
      </c>
      <c r="H1994" s="0" t="inlineStr">
        <is>
          <t>NULL</t>
        </is>
      </c>
      <c r="I1994" s="0" t="inlineStr">
        <is>
          <t>NULL</t>
        </is>
      </c>
      <c r="J1994" s="0" t="inlineStr">
        <is>
          <t>NULL</t>
        </is>
      </c>
      <c r="K1994" s="0" t="inlineStr">
        <is>
          <t>YES! 	 c_varbinary_8000列源备映射正确，源端为varbinary 8000位	期望更改为longblob	实际备端为longblob 4294967295位</t>
        </is>
      </c>
    </row>
    <row r="1995">
      <c r="A1995" s="0" t="inlineStr">
        <is>
          <t>info_date_dml_batch1_pk</t>
        </is>
      </c>
      <c r="K1995" s="0" t="inlineStr">
        <is>
          <t>[0;34m info_date_dml_batch1_pk [0m源备字段数相同，源端字段：2 	备端字段2</t>
        </is>
      </c>
      <c r="W1995" s="0" t="inlineStr">
        <is>
          <t>YES 源备无差异</t>
        </is>
      </c>
      <c r="X1995" s="0">
        <f>A1995</f>
        <v/>
      </c>
    </row>
    <row r="1996">
      <c r="B1996" s="0" t="inlineStr">
        <is>
          <t>YES</t>
        </is>
      </c>
      <c r="C1996" s="0" t="inlineStr">
        <is>
          <t>NULL</t>
        </is>
      </c>
      <c r="D1996" s="0" t="inlineStr">
        <is>
          <t>NULL</t>
        </is>
      </c>
      <c r="E1996" s="0" t="inlineStr">
        <is>
          <t>NULL</t>
        </is>
      </c>
      <c r="F1996" s="0" t="inlineStr">
        <is>
          <t>NULL</t>
        </is>
      </c>
      <c r="G1996" s="0" t="inlineStr">
        <is>
          <t>NULL</t>
        </is>
      </c>
      <c r="H1996" s="0" t="inlineStr">
        <is>
          <t>NULL</t>
        </is>
      </c>
      <c r="I1996" s="0" t="inlineStr">
        <is>
          <t>YES!PK__info_dat__3213E83F49C2F59F</t>
        </is>
      </c>
      <c r="J1996" s="0" t="inlineStr">
        <is>
          <t>YES! 主键相关索引</t>
        </is>
      </c>
      <c r="K1996" s="0" t="inlineStr">
        <is>
          <t>YES! 	 id列源备映射正确，源端为int None位	期望更改为int	实际备端为int None位</t>
        </is>
      </c>
    </row>
    <row r="1997">
      <c r="B1997" s="0" t="inlineStr">
        <is>
          <t>NULL</t>
        </is>
      </c>
      <c r="C1997" s="0" t="inlineStr">
        <is>
          <t>NULL</t>
        </is>
      </c>
      <c r="D1997" s="0" t="inlineStr">
        <is>
          <t>NULL</t>
        </is>
      </c>
      <c r="E1997" s="0" t="inlineStr">
        <is>
          <t>NULL</t>
        </is>
      </c>
      <c r="F1997" s="0" t="inlineStr">
        <is>
          <t>NULL</t>
        </is>
      </c>
      <c r="G1997" s="0" t="inlineStr">
        <is>
          <t>NULL</t>
        </is>
      </c>
      <c r="H1997" s="0" t="inlineStr">
        <is>
          <t>NULL</t>
        </is>
      </c>
      <c r="I1997" s="0" t="inlineStr">
        <is>
          <t>NULL</t>
        </is>
      </c>
      <c r="J1997" s="0" t="inlineStr">
        <is>
          <t>NULL</t>
        </is>
      </c>
      <c r="K1997" s="0" t="inlineStr">
        <is>
          <t>YES! 	 c_date列源备映射正确，源端为date None位	期望更改为date	实际备端为date None位</t>
        </is>
      </c>
    </row>
    <row r="1998">
      <c r="A1998" s="0" t="inlineStr">
        <is>
          <t>info_geography_dml_single_pk</t>
        </is>
      </c>
      <c r="K1998" s="0" t="inlineStr">
        <is>
          <t>[0;34m info_geography_dml_single_pk [0m源备字段数相同，源端字段：2 	备端字段2</t>
        </is>
      </c>
      <c r="W1998" s="0" t="inlineStr">
        <is>
          <t>YES 源备无差异</t>
        </is>
      </c>
      <c r="X1998" s="0">
        <f>A1998</f>
        <v/>
      </c>
    </row>
    <row r="1999">
      <c r="B1999" s="0" t="inlineStr">
        <is>
          <t>YES</t>
        </is>
      </c>
      <c r="C1999" s="0" t="inlineStr">
        <is>
          <t>NULL</t>
        </is>
      </c>
      <c r="D1999" s="0" t="inlineStr">
        <is>
          <t>NULL</t>
        </is>
      </c>
      <c r="E1999" s="0" t="inlineStr">
        <is>
          <t>NULL</t>
        </is>
      </c>
      <c r="F1999" s="0" t="inlineStr">
        <is>
          <t>NULL</t>
        </is>
      </c>
      <c r="G1999" s="0" t="inlineStr">
        <is>
          <t>NULL</t>
        </is>
      </c>
      <c r="H1999" s="0" t="inlineStr">
        <is>
          <t>NULL</t>
        </is>
      </c>
      <c r="I1999" s="0" t="inlineStr">
        <is>
          <t>YES!PK__info_geo__3213E83FFD6B584B</t>
        </is>
      </c>
      <c r="J1999" s="0" t="inlineStr">
        <is>
          <t>YES! 主键相关索引</t>
        </is>
      </c>
      <c r="K1999" s="0" t="inlineStr">
        <is>
          <t>YES! 	 id列源备映射正确，源端为int None位	期望更改为int	实际备端为int None位</t>
        </is>
      </c>
    </row>
    <row r="2000">
      <c r="B2000" s="0" t="inlineStr">
        <is>
          <t>NULL</t>
        </is>
      </c>
      <c r="C2000" s="0" t="inlineStr">
        <is>
          <t>NULL</t>
        </is>
      </c>
      <c r="D2000" s="0" t="inlineStr">
        <is>
          <t>NULL</t>
        </is>
      </c>
      <c r="E2000" s="0" t="inlineStr">
        <is>
          <t>NULL</t>
        </is>
      </c>
      <c r="F2000" s="0" t="inlineStr">
        <is>
          <t>NULL</t>
        </is>
      </c>
      <c r="G2000" s="0" t="inlineStr">
        <is>
          <t>NULL</t>
        </is>
      </c>
      <c r="H2000" s="0" t="inlineStr">
        <is>
          <t>NULL</t>
        </is>
      </c>
      <c r="I2000" s="0" t="inlineStr">
        <is>
          <t>NULL</t>
        </is>
      </c>
      <c r="J2000" s="0" t="inlineStr">
        <is>
          <t>NULL</t>
        </is>
      </c>
      <c r="K2000" s="0" t="inlineStr">
        <is>
          <t>YES! 	 c_geography列源备映射正确，源端为geography -1位	期望更改为text	实际备端为text 65535位</t>
        </is>
      </c>
    </row>
    <row r="2001">
      <c r="A2001" s="0" t="inlineStr">
        <is>
          <t>info_geometry_dml_single_pk_irp</t>
        </is>
      </c>
      <c r="K2001" s="0" t="inlineStr">
        <is>
          <t>[0;34m info_geometry_dml_single_pk_irp [0m源备字段数相同，源端字段：2 	备端字段2</t>
        </is>
      </c>
      <c r="W2001" s="0" t="inlineStr">
        <is>
          <t>YES 源备无差异</t>
        </is>
      </c>
      <c r="X2001" s="0">
        <f>A2001</f>
        <v/>
      </c>
    </row>
    <row r="2002">
      <c r="B2002" s="0" t="inlineStr">
        <is>
          <t>YES</t>
        </is>
      </c>
      <c r="C2002" s="0" t="inlineStr">
        <is>
          <t>NULL</t>
        </is>
      </c>
      <c r="D2002" s="0" t="inlineStr">
        <is>
          <t>NULL</t>
        </is>
      </c>
      <c r="E2002" s="0" t="inlineStr">
        <is>
          <t>NULL</t>
        </is>
      </c>
      <c r="F2002" s="0" t="inlineStr">
        <is>
          <t>NULL</t>
        </is>
      </c>
      <c r="G2002" s="0" t="inlineStr">
        <is>
          <t>NULL</t>
        </is>
      </c>
      <c r="H2002" s="0" t="inlineStr">
        <is>
          <t>NULL</t>
        </is>
      </c>
      <c r="I2002" s="0" t="inlineStr">
        <is>
          <t>YES!PK__info_geo__3213E83F064D017F</t>
        </is>
      </c>
      <c r="J2002" s="0" t="inlineStr">
        <is>
          <t>YES! 主键相关索引</t>
        </is>
      </c>
      <c r="K2002" s="0" t="inlineStr">
        <is>
          <t>YES! 	 id列源备映射正确，源端为int None位	期望更改为int	实际备端为int None位</t>
        </is>
      </c>
    </row>
    <row r="2003">
      <c r="B2003" s="0" t="inlineStr">
        <is>
          <t>NULL</t>
        </is>
      </c>
      <c r="C2003" s="0" t="inlineStr">
        <is>
          <t>NULL</t>
        </is>
      </c>
      <c r="D2003" s="0" t="inlineStr">
        <is>
          <t>NULL</t>
        </is>
      </c>
      <c r="E2003" s="0" t="inlineStr">
        <is>
          <t>NULL</t>
        </is>
      </c>
      <c r="F2003" s="0" t="inlineStr">
        <is>
          <t>NULL</t>
        </is>
      </c>
      <c r="G2003" s="0" t="inlineStr">
        <is>
          <t>NULL</t>
        </is>
      </c>
      <c r="H2003" s="0" t="inlineStr">
        <is>
          <t>NULL</t>
        </is>
      </c>
      <c r="I2003" s="0" t="inlineStr">
        <is>
          <t>NULL</t>
        </is>
      </c>
      <c r="J2003" s="0" t="inlineStr">
        <is>
          <t>NULL</t>
        </is>
      </c>
      <c r="K2003" s="0" t="inlineStr">
        <is>
          <t>YES! 	 c_geometry列源备映射正确，源端为geometry -1位	期望更改为text	实际备端为text 65535位</t>
        </is>
      </c>
    </row>
    <row r="2004">
      <c r="A2004" s="0" t="inlineStr">
        <is>
          <t>info_varbinary_dml_batch1_pk_irp2</t>
        </is>
      </c>
      <c r="K2004" s="0" t="inlineStr">
        <is>
          <t>[0;34m info_varbinary_dml_batch1_pk_irp2 [0m源备字段数相同，源端字段：4 	备端字段4</t>
        </is>
      </c>
      <c r="W2004" s="0" t="inlineStr">
        <is>
          <t>YES 源备无差异</t>
        </is>
      </c>
      <c r="X2004" s="0">
        <f>A2004</f>
        <v/>
      </c>
    </row>
    <row r="2005">
      <c r="B2005" s="0" t="inlineStr">
        <is>
          <t>YES</t>
        </is>
      </c>
      <c r="C2005" s="0" t="inlineStr">
        <is>
          <t>NULL</t>
        </is>
      </c>
      <c r="D2005" s="0" t="inlineStr">
        <is>
          <t>NULL</t>
        </is>
      </c>
      <c r="E2005" s="0" t="inlineStr">
        <is>
          <t>NULL</t>
        </is>
      </c>
      <c r="F2005" s="0" t="inlineStr">
        <is>
          <t>NULL</t>
        </is>
      </c>
      <c r="G2005" s="0" t="inlineStr">
        <is>
          <t>NULL</t>
        </is>
      </c>
      <c r="H2005" s="0" t="inlineStr">
        <is>
          <t>NULL</t>
        </is>
      </c>
      <c r="I2005" s="0" t="inlineStr">
        <is>
          <t>YES!PK__info_var__3213E83F34D14596</t>
        </is>
      </c>
      <c r="J2005" s="0" t="inlineStr">
        <is>
          <t>YES! 主键相关索引</t>
        </is>
      </c>
      <c r="K2005" s="0" t="inlineStr">
        <is>
          <t>YES! 	 id列源备映射正确，源端为int None位	期望更改为int	实际备端为int None位</t>
        </is>
      </c>
    </row>
    <row r="2006">
      <c r="B2006" s="0" t="inlineStr">
        <is>
          <t>NULL</t>
        </is>
      </c>
      <c r="C2006" s="0" t="inlineStr">
        <is>
          <t>NULL</t>
        </is>
      </c>
      <c r="D2006" s="0" t="inlineStr">
        <is>
          <t>NULL</t>
        </is>
      </c>
      <c r="E2006" s="0" t="inlineStr">
        <is>
          <t>NULL</t>
        </is>
      </c>
      <c r="F2006" s="0" t="inlineStr">
        <is>
          <t>NULL</t>
        </is>
      </c>
      <c r="G2006" s="0" t="inlineStr">
        <is>
          <t>NULL</t>
        </is>
      </c>
      <c r="H2006" s="0" t="inlineStr">
        <is>
          <t>NULL</t>
        </is>
      </c>
      <c r="I2006" s="0" t="inlineStr">
        <is>
          <t>NULL</t>
        </is>
      </c>
      <c r="J2006" s="0" t="inlineStr">
        <is>
          <t>NULL</t>
        </is>
      </c>
      <c r="K2006" s="0" t="inlineStr">
        <is>
          <t>YES! 	 c_varbinary列源备映射正确，源端为varbinary 1位	期望更改为varbinary(n)	实际备端为varbinary 1位</t>
        </is>
      </c>
    </row>
    <row r="2007">
      <c r="B2007" s="0" t="inlineStr">
        <is>
          <t>NULL</t>
        </is>
      </c>
      <c r="C2007" s="0" t="inlineStr">
        <is>
          <t>NULL</t>
        </is>
      </c>
      <c r="D2007" s="0" t="inlineStr">
        <is>
          <t>NULL</t>
        </is>
      </c>
      <c r="E2007" s="0" t="inlineStr">
        <is>
          <t>NULL</t>
        </is>
      </c>
      <c r="F2007" s="0" t="inlineStr">
        <is>
          <t>NULL</t>
        </is>
      </c>
      <c r="G2007" s="0" t="inlineStr">
        <is>
          <t>NULL</t>
        </is>
      </c>
      <c r="H2007" s="0" t="inlineStr">
        <is>
          <t>NULL</t>
        </is>
      </c>
      <c r="I2007" s="0" t="inlineStr">
        <is>
          <t>NULL</t>
        </is>
      </c>
      <c r="J2007" s="0" t="inlineStr">
        <is>
          <t>NULL</t>
        </is>
      </c>
      <c r="K2007" s="0" t="inlineStr">
        <is>
          <t>YES! 	 c_varbinary_100列源备映射正确，源端为varbinary 100位	期望更改为varbinary(n)	实际备端为varbinary 100位</t>
        </is>
      </c>
    </row>
    <row r="2008">
      <c r="B2008" s="0" t="inlineStr">
        <is>
          <t>NULL</t>
        </is>
      </c>
      <c r="C2008" s="0" t="inlineStr">
        <is>
          <t>NULL</t>
        </is>
      </c>
      <c r="D2008" s="0" t="inlineStr">
        <is>
          <t>NULL</t>
        </is>
      </c>
      <c r="E2008" s="0" t="inlineStr">
        <is>
          <t>NULL</t>
        </is>
      </c>
      <c r="F2008" s="0" t="inlineStr">
        <is>
          <t>NULL</t>
        </is>
      </c>
      <c r="G2008" s="0" t="inlineStr">
        <is>
          <t>NULL</t>
        </is>
      </c>
      <c r="H2008" s="0" t="inlineStr">
        <is>
          <t>NULL</t>
        </is>
      </c>
      <c r="I2008" s="0" t="inlineStr">
        <is>
          <t>NULL</t>
        </is>
      </c>
      <c r="J2008" s="0" t="inlineStr">
        <is>
          <t>NULL</t>
        </is>
      </c>
      <c r="K2008" s="0" t="inlineStr">
        <is>
          <t>YES! 	 c_varbinary_8000列源备映射正确，源端为varbinary 8000位	期望更改为longblob	实际备端为longblob 4294967295位</t>
        </is>
      </c>
    </row>
    <row r="2009">
      <c r="A2009" s="0" t="inlineStr">
        <is>
          <t>info_time_dml_batch1_pk_irp1</t>
        </is>
      </c>
      <c r="K2009" s="0" t="inlineStr">
        <is>
          <t>[0;34m info_time_dml_batch1_pk_irp1 [0m源备字段数相同，源端字段：9 	备端字段9</t>
        </is>
      </c>
      <c r="W2009" s="0" t="inlineStr">
        <is>
          <t>YES 源备无差异</t>
        </is>
      </c>
      <c r="X2009" s="0">
        <f>A2009</f>
        <v/>
      </c>
    </row>
    <row r="2010">
      <c r="B2010" s="0" t="inlineStr">
        <is>
          <t>YES</t>
        </is>
      </c>
      <c r="C2010" s="0" t="inlineStr">
        <is>
          <t>NULL</t>
        </is>
      </c>
      <c r="D2010" s="0" t="inlineStr">
        <is>
          <t>NULL</t>
        </is>
      </c>
      <c r="E2010" s="0" t="inlineStr">
        <is>
          <t>NULL</t>
        </is>
      </c>
      <c r="F2010" s="0" t="inlineStr">
        <is>
          <t>NULL</t>
        </is>
      </c>
      <c r="G2010" s="0" t="inlineStr">
        <is>
          <t>NULL</t>
        </is>
      </c>
      <c r="H2010" s="0" t="inlineStr">
        <is>
          <t>NULL</t>
        </is>
      </c>
      <c r="I2010" s="0" t="inlineStr">
        <is>
          <t>YES!PK__info_tim__3213E83FE72A75AF</t>
        </is>
      </c>
      <c r="J2010" s="0" t="inlineStr">
        <is>
          <t>YES! 主键相关索引</t>
        </is>
      </c>
      <c r="K2010" s="0" t="inlineStr">
        <is>
          <t>YES! 	 id列源备映射正确，源端为int None位	期望更改为int	实际备端为int None位</t>
        </is>
      </c>
    </row>
    <row r="2011">
      <c r="B2011" s="0" t="inlineStr">
        <is>
          <t>NULL</t>
        </is>
      </c>
      <c r="C2011" s="0" t="inlineStr">
        <is>
          <t>NULL</t>
        </is>
      </c>
      <c r="D2011" s="0" t="inlineStr">
        <is>
          <t>NULL</t>
        </is>
      </c>
      <c r="E2011" s="0" t="inlineStr">
        <is>
          <t>NULL</t>
        </is>
      </c>
      <c r="F2011" s="0" t="inlineStr">
        <is>
          <t>NULL</t>
        </is>
      </c>
      <c r="G2011" s="0" t="inlineStr">
        <is>
          <t>NULL</t>
        </is>
      </c>
      <c r="H2011" s="0" t="inlineStr">
        <is>
          <t>NULL</t>
        </is>
      </c>
      <c r="I2011" s="0" t="inlineStr">
        <is>
          <t>NULL</t>
        </is>
      </c>
      <c r="J2011" s="0" t="inlineStr">
        <is>
          <t>NULL</t>
        </is>
      </c>
      <c r="K2011" s="0" t="inlineStr">
        <is>
          <t>[0;32m YES! [0m 	 c_time0列源备映射正确，源端为time None位	期望更改为varchar(20)	实际备端为varchar 80位	位数精度不存在，通过长度比较</t>
        </is>
      </c>
    </row>
    <row r="2012">
      <c r="B2012" s="0" t="inlineStr">
        <is>
          <t>NULL</t>
        </is>
      </c>
      <c r="C2012" s="0" t="inlineStr">
        <is>
          <t>NULL</t>
        </is>
      </c>
      <c r="D2012" s="0" t="inlineStr">
        <is>
          <t>NULL</t>
        </is>
      </c>
      <c r="E2012" s="0" t="inlineStr">
        <is>
          <t>NULL</t>
        </is>
      </c>
      <c r="F2012" s="0" t="inlineStr">
        <is>
          <t>NULL</t>
        </is>
      </c>
      <c r="G2012" s="0" t="inlineStr">
        <is>
          <t>NULL</t>
        </is>
      </c>
      <c r="H2012" s="0" t="inlineStr">
        <is>
          <t>NULL</t>
        </is>
      </c>
      <c r="I2012" s="0" t="inlineStr">
        <is>
          <t>NULL</t>
        </is>
      </c>
      <c r="J2012" s="0" t="inlineStr">
        <is>
          <t>NULL</t>
        </is>
      </c>
      <c r="K2012" s="0" t="inlineStr">
        <is>
          <t>[0;32m YES! [0m 	 c_time1列源备映射正确，源端为time None位	期望更改为varchar(20)	实际备端为varchar 80位	位数精度不存在，通过长度比较</t>
        </is>
      </c>
    </row>
    <row r="2013">
      <c r="B2013" s="0" t="inlineStr">
        <is>
          <t>NULL</t>
        </is>
      </c>
      <c r="C2013" s="0" t="inlineStr">
        <is>
          <t>NULL</t>
        </is>
      </c>
      <c r="D2013" s="0" t="inlineStr">
        <is>
          <t>NULL</t>
        </is>
      </c>
      <c r="E2013" s="0" t="inlineStr">
        <is>
          <t>NULL</t>
        </is>
      </c>
      <c r="F2013" s="0" t="inlineStr">
        <is>
          <t>NULL</t>
        </is>
      </c>
      <c r="G2013" s="0" t="inlineStr">
        <is>
          <t>NULL</t>
        </is>
      </c>
      <c r="H2013" s="0" t="inlineStr">
        <is>
          <t>NULL</t>
        </is>
      </c>
      <c r="I2013" s="0" t="inlineStr">
        <is>
          <t>NULL</t>
        </is>
      </c>
      <c r="J2013" s="0" t="inlineStr">
        <is>
          <t>NULL</t>
        </is>
      </c>
      <c r="K2013" s="0" t="inlineStr">
        <is>
          <t>[0;32m YES! [0m 	 c_time2列源备映射正确，源端为time None位	期望更改为varchar(20)	实际备端为varchar 80位	位数精度不存在，通过长度比较</t>
        </is>
      </c>
    </row>
    <row r="2014">
      <c r="B2014" s="0" t="inlineStr">
        <is>
          <t>NULL</t>
        </is>
      </c>
      <c r="C2014" s="0" t="inlineStr">
        <is>
          <t>NULL</t>
        </is>
      </c>
      <c r="D2014" s="0" t="inlineStr">
        <is>
          <t>NULL</t>
        </is>
      </c>
      <c r="E2014" s="0" t="inlineStr">
        <is>
          <t>NULL</t>
        </is>
      </c>
      <c r="F2014" s="0" t="inlineStr">
        <is>
          <t>NULL</t>
        </is>
      </c>
      <c r="G2014" s="0" t="inlineStr">
        <is>
          <t>NULL</t>
        </is>
      </c>
      <c r="H2014" s="0" t="inlineStr">
        <is>
          <t>NULL</t>
        </is>
      </c>
      <c r="I2014" s="0" t="inlineStr">
        <is>
          <t>NULL</t>
        </is>
      </c>
      <c r="J2014" s="0" t="inlineStr">
        <is>
          <t>NULL</t>
        </is>
      </c>
      <c r="K2014" s="0" t="inlineStr">
        <is>
          <t>[0;32m YES! [0m 	 c_time3列源备映射正确，源端为time None位	期望更改为varchar(20)	实际备端为varchar 80位	位数精度不存在，通过长度比较</t>
        </is>
      </c>
    </row>
    <row r="2015">
      <c r="B2015" s="0" t="inlineStr">
        <is>
          <t>NULL</t>
        </is>
      </c>
      <c r="C2015" s="0" t="inlineStr">
        <is>
          <t>NULL</t>
        </is>
      </c>
      <c r="D2015" s="0" t="inlineStr">
        <is>
          <t>NULL</t>
        </is>
      </c>
      <c r="E2015" s="0" t="inlineStr">
        <is>
          <t>NULL</t>
        </is>
      </c>
      <c r="F2015" s="0" t="inlineStr">
        <is>
          <t>NULL</t>
        </is>
      </c>
      <c r="G2015" s="0" t="inlineStr">
        <is>
          <t>NULL</t>
        </is>
      </c>
      <c r="H2015" s="0" t="inlineStr">
        <is>
          <t>NULL</t>
        </is>
      </c>
      <c r="I2015" s="0" t="inlineStr">
        <is>
          <t>NULL</t>
        </is>
      </c>
      <c r="J2015" s="0" t="inlineStr">
        <is>
          <t>NULL</t>
        </is>
      </c>
      <c r="K2015" s="0" t="inlineStr">
        <is>
          <t>[0;32m YES! [0m 	 c_time4列源备映射正确，源端为time None位	期望更改为varchar(20)	实际备端为varchar 80位	位数精度不存在，通过长度比较</t>
        </is>
      </c>
    </row>
    <row r="2016">
      <c r="B2016" s="0" t="inlineStr">
        <is>
          <t>NULL</t>
        </is>
      </c>
      <c r="C2016" s="0" t="inlineStr">
        <is>
          <t>NULL</t>
        </is>
      </c>
      <c r="D2016" s="0" t="inlineStr">
        <is>
          <t>NULL</t>
        </is>
      </c>
      <c r="E2016" s="0" t="inlineStr">
        <is>
          <t>NULL</t>
        </is>
      </c>
      <c r="F2016" s="0" t="inlineStr">
        <is>
          <t>NULL</t>
        </is>
      </c>
      <c r="G2016" s="0" t="inlineStr">
        <is>
          <t>NULL</t>
        </is>
      </c>
      <c r="H2016" s="0" t="inlineStr">
        <is>
          <t>NULL</t>
        </is>
      </c>
      <c r="I2016" s="0" t="inlineStr">
        <is>
          <t>NULL</t>
        </is>
      </c>
      <c r="J2016" s="0" t="inlineStr">
        <is>
          <t>NULL</t>
        </is>
      </c>
      <c r="K2016" s="0" t="inlineStr">
        <is>
          <t>[0;32m YES! [0m 	 c_time5列源备映射正确，源端为time None位	期望更改为varchar(20)	实际备端为varchar 80位	位数精度不存在，通过长度比较</t>
        </is>
      </c>
    </row>
    <row r="2017">
      <c r="B2017" s="0" t="inlineStr">
        <is>
          <t>NULL</t>
        </is>
      </c>
      <c r="C2017" s="0" t="inlineStr">
        <is>
          <t>NULL</t>
        </is>
      </c>
      <c r="D2017" s="0" t="inlineStr">
        <is>
          <t>NULL</t>
        </is>
      </c>
      <c r="E2017" s="0" t="inlineStr">
        <is>
          <t>NULL</t>
        </is>
      </c>
      <c r="F2017" s="0" t="inlineStr">
        <is>
          <t>NULL</t>
        </is>
      </c>
      <c r="G2017" s="0" t="inlineStr">
        <is>
          <t>NULL</t>
        </is>
      </c>
      <c r="H2017" s="0" t="inlineStr">
        <is>
          <t>NULL</t>
        </is>
      </c>
      <c r="I2017" s="0" t="inlineStr">
        <is>
          <t>NULL</t>
        </is>
      </c>
      <c r="J2017" s="0" t="inlineStr">
        <is>
          <t>NULL</t>
        </is>
      </c>
      <c r="K2017" s="0" t="inlineStr">
        <is>
          <t>[0;32m YES! [0m 	 c_time6列源备映射正确，源端为time None位	期望更改为varchar(20)	实际备端为varchar 80位	位数精度不存在，通过长度比较</t>
        </is>
      </c>
    </row>
    <row r="2018">
      <c r="B2018" s="0" t="inlineStr">
        <is>
          <t>NULL</t>
        </is>
      </c>
      <c r="C2018" s="0" t="inlineStr">
        <is>
          <t>NULL</t>
        </is>
      </c>
      <c r="D2018" s="0" t="inlineStr">
        <is>
          <t>NULL</t>
        </is>
      </c>
      <c r="E2018" s="0" t="inlineStr">
        <is>
          <t>NULL</t>
        </is>
      </c>
      <c r="F2018" s="0" t="inlineStr">
        <is>
          <t>NULL</t>
        </is>
      </c>
      <c r="G2018" s="0" t="inlineStr">
        <is>
          <t>NULL</t>
        </is>
      </c>
      <c r="H2018" s="0" t="inlineStr">
        <is>
          <t>NULL</t>
        </is>
      </c>
      <c r="I2018" s="0" t="inlineStr">
        <is>
          <t>NULL</t>
        </is>
      </c>
      <c r="J2018" s="0" t="inlineStr">
        <is>
          <t>NULL</t>
        </is>
      </c>
      <c r="K2018" s="0" t="inlineStr">
        <is>
          <t>[0;32m YES! [0m 	 c_time列源备映射正确，源端为time None位	期望更改为varchar(20)	实际备端为varchar 80位	位数精度不存在，通过长度比较</t>
        </is>
      </c>
    </row>
    <row r="2019">
      <c r="A2019" s="0" t="inlineStr">
        <is>
          <t>info_varbinary_dml_batch2_pk_irp1</t>
        </is>
      </c>
      <c r="K2019" s="0" t="inlineStr">
        <is>
          <t>[0;34m info_varbinary_dml_batch2_pk_irp1 [0m源备字段数相同，源端字段：4 	备端字段4</t>
        </is>
      </c>
      <c r="W2019" s="0" t="inlineStr">
        <is>
          <t>YES 源备无差异</t>
        </is>
      </c>
      <c r="X2019" s="0">
        <f>A2019</f>
        <v/>
      </c>
    </row>
    <row r="2020">
      <c r="B2020" s="0" t="inlineStr">
        <is>
          <t>YES</t>
        </is>
      </c>
      <c r="C2020" s="0" t="inlineStr">
        <is>
          <t>NULL</t>
        </is>
      </c>
      <c r="D2020" s="0" t="inlineStr">
        <is>
          <t>NULL</t>
        </is>
      </c>
      <c r="E2020" s="0" t="inlineStr">
        <is>
          <t>NULL</t>
        </is>
      </c>
      <c r="F2020" s="0" t="inlineStr">
        <is>
          <t>NULL</t>
        </is>
      </c>
      <c r="G2020" s="0" t="inlineStr">
        <is>
          <t>NULL</t>
        </is>
      </c>
      <c r="H2020" s="0" t="inlineStr">
        <is>
          <t>NULL</t>
        </is>
      </c>
      <c r="I2020" s="0" t="inlineStr">
        <is>
          <t>YES!PK__info_var__3213E83F593F6778</t>
        </is>
      </c>
      <c r="J2020" s="0" t="inlineStr">
        <is>
          <t>YES! 主键相关索引</t>
        </is>
      </c>
      <c r="K2020" s="0" t="inlineStr">
        <is>
          <t>YES! 	 id列源备映射正确，源端为int None位	期望更改为int	实际备端为int None位</t>
        </is>
      </c>
    </row>
    <row r="2021">
      <c r="B2021" s="0" t="inlineStr">
        <is>
          <t>NULL</t>
        </is>
      </c>
      <c r="C2021" s="0" t="inlineStr">
        <is>
          <t>NULL</t>
        </is>
      </c>
      <c r="D2021" s="0" t="inlineStr">
        <is>
          <t>NULL</t>
        </is>
      </c>
      <c r="E2021" s="0" t="inlineStr">
        <is>
          <t>NULL</t>
        </is>
      </c>
      <c r="F2021" s="0" t="inlineStr">
        <is>
          <t>NULL</t>
        </is>
      </c>
      <c r="G2021" s="0" t="inlineStr">
        <is>
          <t>NULL</t>
        </is>
      </c>
      <c r="H2021" s="0" t="inlineStr">
        <is>
          <t>NULL</t>
        </is>
      </c>
      <c r="I2021" s="0" t="inlineStr">
        <is>
          <t>NULL</t>
        </is>
      </c>
      <c r="J2021" s="0" t="inlineStr">
        <is>
          <t>NULL</t>
        </is>
      </c>
      <c r="K2021" s="0" t="inlineStr">
        <is>
          <t>YES! 	 c_varbinary列源备映射正确，源端为varbinary 1位	期望更改为varbinary(n)	实际备端为varbinary 1位</t>
        </is>
      </c>
    </row>
    <row r="2022">
      <c r="B2022" s="0" t="inlineStr">
        <is>
          <t>NULL</t>
        </is>
      </c>
      <c r="C2022" s="0" t="inlineStr">
        <is>
          <t>NULL</t>
        </is>
      </c>
      <c r="D2022" s="0" t="inlineStr">
        <is>
          <t>NULL</t>
        </is>
      </c>
      <c r="E2022" s="0" t="inlineStr">
        <is>
          <t>NULL</t>
        </is>
      </c>
      <c r="F2022" s="0" t="inlineStr">
        <is>
          <t>NULL</t>
        </is>
      </c>
      <c r="G2022" s="0" t="inlineStr">
        <is>
          <t>NULL</t>
        </is>
      </c>
      <c r="H2022" s="0" t="inlineStr">
        <is>
          <t>NULL</t>
        </is>
      </c>
      <c r="I2022" s="0" t="inlineStr">
        <is>
          <t>NULL</t>
        </is>
      </c>
      <c r="J2022" s="0" t="inlineStr">
        <is>
          <t>NULL</t>
        </is>
      </c>
      <c r="K2022" s="0" t="inlineStr">
        <is>
          <t>YES! 	 c_varbinary_100列源备映射正确，源端为varbinary 100位	期望更改为varbinary(n)	实际备端为varbinary 100位</t>
        </is>
      </c>
    </row>
    <row r="2023">
      <c r="B2023" s="0" t="inlineStr">
        <is>
          <t>NULL</t>
        </is>
      </c>
      <c r="C2023" s="0" t="inlineStr">
        <is>
          <t>NULL</t>
        </is>
      </c>
      <c r="D2023" s="0" t="inlineStr">
        <is>
          <t>NULL</t>
        </is>
      </c>
      <c r="E2023" s="0" t="inlineStr">
        <is>
          <t>NULL</t>
        </is>
      </c>
      <c r="F2023" s="0" t="inlineStr">
        <is>
          <t>NULL</t>
        </is>
      </c>
      <c r="G2023" s="0" t="inlineStr">
        <is>
          <t>NULL</t>
        </is>
      </c>
      <c r="H2023" s="0" t="inlineStr">
        <is>
          <t>NULL</t>
        </is>
      </c>
      <c r="I2023" s="0" t="inlineStr">
        <is>
          <t>NULL</t>
        </is>
      </c>
      <c r="J2023" s="0" t="inlineStr">
        <is>
          <t>NULL</t>
        </is>
      </c>
      <c r="K2023" s="0" t="inlineStr">
        <is>
          <t>YES! 	 c_varbinary_8000列源备映射正确，源端为varbinary 8000位	期望更改为longblob	实际备端为longblob 4294967295位</t>
        </is>
      </c>
    </row>
  </sheetData>
  <mergeCells count="303">
    <mergeCell ref="A1146:A1150"/>
    <mergeCell ref="A645:A649"/>
    <mergeCell ref="A1098:A1100"/>
    <mergeCell ref="A1548:A1557"/>
    <mergeCell ref="A1667:A1671"/>
    <mergeCell ref="A1987:A1989"/>
    <mergeCell ref="A442:A445"/>
    <mergeCell ref="A793:A795"/>
    <mergeCell ref="A265:A267"/>
    <mergeCell ref="A1756:A1758"/>
    <mergeCell ref="A26:A30"/>
    <mergeCell ref="A13:A15"/>
    <mergeCell ref="A1334:A1338"/>
    <mergeCell ref="A633:A635"/>
    <mergeCell ref="A900:A909"/>
    <mergeCell ref="A786:A788"/>
    <mergeCell ref="A39:A48"/>
    <mergeCell ref="A1188:A1190"/>
    <mergeCell ref="A1483:A1492"/>
    <mergeCell ref="A2009:A2018"/>
    <mergeCell ref="A77:A81"/>
    <mergeCell ref="A107:A109"/>
    <mergeCell ref="A848:A852"/>
    <mergeCell ref="A929:A938"/>
    <mergeCell ref="A1910:A1914"/>
    <mergeCell ref="A1932:A1936"/>
    <mergeCell ref="A589:A591"/>
    <mergeCell ref="A1843:A1863"/>
    <mergeCell ref="A123:A127"/>
    <mergeCell ref="A925:A928"/>
    <mergeCell ref="A641:A644"/>
    <mergeCell ref="A663:A667"/>
    <mergeCell ref="A1508:A1517"/>
    <mergeCell ref="A1894:A1898"/>
    <mergeCell ref="A222:A224"/>
    <mergeCell ref="A862:A887"/>
    <mergeCell ref="A1038:A1040"/>
    <mergeCell ref="A1151:A1153"/>
    <mergeCell ref="A1759:A1764"/>
    <mergeCell ref="A1706:A1726"/>
    <mergeCell ref="A563:A588"/>
    <mergeCell ref="A628:A632"/>
    <mergeCell ref="A1568:A1577"/>
    <mergeCell ref="A1425:A1429"/>
    <mergeCell ref="A1958:A1962"/>
    <mergeCell ref="A196:A198"/>
    <mergeCell ref="A1701:A1705"/>
    <mergeCell ref="A2001:A2003"/>
    <mergeCell ref="A214:A216"/>
    <mergeCell ref="A16:A20"/>
    <mergeCell ref="A636:A640"/>
    <mergeCell ref="A244:A264"/>
    <mergeCell ref="A1920:A1922"/>
    <mergeCell ref="A698:A702"/>
    <mergeCell ref="A920:A924"/>
    <mergeCell ref="A1578:A1582"/>
    <mergeCell ref="A1622:A1624"/>
    <mergeCell ref="A955:A964"/>
    <mergeCell ref="A1238:A1247"/>
    <mergeCell ref="A1375:A1384"/>
    <mergeCell ref="A1907:A1909"/>
    <mergeCell ref="A1727:A1729"/>
    <mergeCell ref="A1735:A1755"/>
    <mergeCell ref="A1677:A1679"/>
    <mergeCell ref="A128:A138"/>
    <mergeCell ref="A2019:A2023"/>
    <mergeCell ref="A1730:A1734"/>
    <mergeCell ref="A1523:A1532"/>
    <mergeCell ref="A1388:A1390"/>
    <mergeCell ref="A181:A190"/>
    <mergeCell ref="A1984:A1986"/>
    <mergeCell ref="A385:A389"/>
    <mergeCell ref="A1074:A1076"/>
    <mergeCell ref="A1372:A1374"/>
    <mergeCell ref="A592:A596"/>
    <mergeCell ref="A1518:A1522"/>
    <mergeCell ref="A991:A1000"/>
    <mergeCell ref="A1558:A1562"/>
    <mergeCell ref="A1583:A1585"/>
    <mergeCell ref="A1596:A1601"/>
    <mergeCell ref="A972:A981"/>
    <mergeCell ref="A1533:A1537"/>
    <mergeCell ref="A1402:A1406"/>
    <mergeCell ref="A653:A658"/>
    <mergeCell ref="A1448:A1457"/>
    <mergeCell ref="A1638:A1642"/>
    <mergeCell ref="A1443:A1447"/>
    <mergeCell ref="A1154:A1158"/>
    <mergeCell ref="A62:A66"/>
    <mergeCell ref="A382:A384"/>
    <mergeCell ref="A969:A971"/>
    <mergeCell ref="A1890:A1893"/>
    <mergeCell ref="A1122:A1124"/>
    <mergeCell ref="A1211:A1213"/>
    <mergeCell ref="A1201:A1210"/>
    <mergeCell ref="A1680:A1700"/>
    <mergeCell ref="A1963:A1965"/>
    <mergeCell ref="A1979:A1983"/>
    <mergeCell ref="A199:A203"/>
    <mergeCell ref="A241:A243"/>
    <mergeCell ref="A1025:A1029"/>
    <mergeCell ref="A735:A737"/>
    <mergeCell ref="A1196:A1200"/>
    <mergeCell ref="A673:A675"/>
    <mergeCell ref="A31:A33"/>
    <mergeCell ref="A888:A890"/>
    <mergeCell ref="A1468:A1477"/>
    <mergeCell ref="A1972:A1975"/>
    <mergeCell ref="A338:A340"/>
    <mergeCell ref="A1051:A1053"/>
    <mergeCell ref="A1458:A1467"/>
    <mergeCell ref="A1818:A1839"/>
    <mergeCell ref="A1283:A1292"/>
    <mergeCell ref="A1012:A1014"/>
    <mergeCell ref="A856:A858"/>
    <mergeCell ref="A1607:A1616"/>
    <mergeCell ref="A1478:A1482"/>
    <mergeCell ref="A1949:A1951"/>
    <mergeCell ref="A1059:A1063"/>
    <mergeCell ref="A1101:A1103"/>
    <mergeCell ref="A986:A990"/>
    <mergeCell ref="A1004:A1007"/>
    <mergeCell ref="A1899:A1903"/>
    <mergeCell ref="A1990:A1994"/>
    <mergeCell ref="A225:A229"/>
    <mergeCell ref="A727:A729"/>
    <mergeCell ref="A467:A471"/>
    <mergeCell ref="A1318:A1320"/>
    <mergeCell ref="A743:A746"/>
    <mergeCell ref="A910:A919"/>
    <mergeCell ref="A949:A954"/>
    <mergeCell ref="A703:A707"/>
    <mergeCell ref="A1308:A1317"/>
    <mergeCell ref="A1064:A1073"/>
    <mergeCell ref="A1349:A1353"/>
    <mergeCell ref="A1440:A1442"/>
    <mergeCell ref="A690:A694"/>
    <mergeCell ref="A356:A376"/>
    <mergeCell ref="A1357:A1366"/>
    <mergeCell ref="A346:A350"/>
    <mergeCell ref="A235:A240"/>
    <mergeCell ref="A1943:A1948"/>
    <mergeCell ref="A1966:A1968"/>
    <mergeCell ref="A1136:A1145"/>
    <mergeCell ref="A1869:A1889"/>
    <mergeCell ref="A139:A141"/>
    <mergeCell ref="A503:A507"/>
    <mergeCell ref="A2004:A2008"/>
    <mergeCell ref="A1765:A1785"/>
    <mergeCell ref="A965:A968"/>
    <mergeCell ref="A1185:A1187"/>
    <mergeCell ref="A1293:A1302"/>
    <mergeCell ref="A268:A272"/>
    <mergeCell ref="A1976:A1978"/>
    <mergeCell ref="A217:A221"/>
    <mergeCell ref="A1223:A1227"/>
    <mergeCell ref="A1563:A1567"/>
    <mergeCell ref="A1625:A1629"/>
    <mergeCell ref="A204:A208"/>
    <mergeCell ref="A553:A557"/>
    <mergeCell ref="A97:A106"/>
    <mergeCell ref="A853:A855"/>
    <mergeCell ref="A1107:A1116"/>
    <mergeCell ref="A1093:A1097"/>
    <mergeCell ref="A738:A742"/>
    <mergeCell ref="A1258:A1262"/>
    <mergeCell ref="A1952:A1954"/>
    <mergeCell ref="A341:A345"/>
    <mergeCell ref="A720:A722"/>
    <mergeCell ref="A1104:A1106"/>
    <mergeCell ref="A377:A381"/>
    <mergeCell ref="A1077:A1081"/>
    <mergeCell ref="A529:A531"/>
    <mergeCell ref="A1117:A1121"/>
    <mergeCell ref="A1815:A1817"/>
    <mergeCell ref="A747:A750"/>
    <mergeCell ref="A1167:A1169"/>
    <mergeCell ref="A1643:A1663"/>
    <mergeCell ref="A1937:A1939"/>
    <mergeCell ref="A708:A711"/>
    <mergeCell ref="A59:A61"/>
    <mergeCell ref="A67:A76"/>
    <mergeCell ref="A421:A441"/>
    <mergeCell ref="A1391:A1401"/>
    <mergeCell ref="A1786:A1788"/>
    <mergeCell ref="A982:A985"/>
    <mergeCell ref="A416:A420"/>
    <mergeCell ref="A82:A91"/>
    <mergeCell ref="A152:A154"/>
    <mergeCell ref="A1263:A1272"/>
    <mergeCell ref="A1354:A1356"/>
    <mergeCell ref="A1929:A1931"/>
    <mergeCell ref="A390:A415"/>
    <mergeCell ref="A230:A234"/>
    <mergeCell ref="A173:A177"/>
    <mergeCell ref="A1923:A1925"/>
    <mergeCell ref="A142:A146"/>
    <mergeCell ref="A34:A38"/>
    <mergeCell ref="A191:A195"/>
    <mergeCell ref="A1321:A1330"/>
    <mergeCell ref="A92:A96"/>
    <mergeCell ref="A1248:A1257"/>
    <mergeCell ref="A1130:A1132"/>
    <mergeCell ref="A1214:A1219"/>
    <mergeCell ref="A3:A12"/>
    <mergeCell ref="A178:A180"/>
    <mergeCell ref="A1664:A1666"/>
    <mergeCell ref="A1170:A1179"/>
    <mergeCell ref="A1940:A1942"/>
    <mergeCell ref="A1955:A1957"/>
    <mergeCell ref="A1001:A1003"/>
    <mergeCell ref="A712:A714"/>
    <mergeCell ref="A54:A58"/>
    <mergeCell ref="A1273:A1282"/>
    <mergeCell ref="A668:A672"/>
    <mergeCell ref="A163:A172"/>
    <mergeCell ref="A781:A785"/>
    <mergeCell ref="A120:A122"/>
    <mergeCell ref="A1417:A1419"/>
    <mergeCell ref="A755:A780"/>
    <mergeCell ref="A789:A792"/>
    <mergeCell ref="A891:A895"/>
    <mergeCell ref="A508:A528"/>
    <mergeCell ref="A1794:A1814"/>
    <mergeCell ref="A278:A298"/>
    <mergeCell ref="A695:A697"/>
    <mergeCell ref="A1789:A1793"/>
    <mergeCell ref="A1926:A1928"/>
    <mergeCell ref="A273:A277"/>
    <mergeCell ref="A751:A754"/>
    <mergeCell ref="A1133:A1135"/>
    <mergeCell ref="A1220:A1222"/>
    <mergeCell ref="A307:A311"/>
    <mergeCell ref="A1041:A1050"/>
    <mergeCell ref="A1191:A1195"/>
    <mergeCell ref="A1339:A1348"/>
    <mergeCell ref="A21:A25"/>
    <mergeCell ref="A1602:A1606"/>
    <mergeCell ref="A558:A562"/>
    <mergeCell ref="A1035:A1037"/>
    <mergeCell ref="A1303:A1307"/>
    <mergeCell ref="A1617:A1621"/>
    <mergeCell ref="A650:A652"/>
    <mergeCell ref="A796:A821"/>
    <mergeCell ref="A312:A316"/>
    <mergeCell ref="A1635:A1637"/>
    <mergeCell ref="A1015:A1024"/>
    <mergeCell ref="A1054:A1058"/>
    <mergeCell ref="A299:A303"/>
    <mergeCell ref="A1125:A1129"/>
    <mergeCell ref="A115:A119"/>
    <mergeCell ref="A597:A601"/>
    <mergeCell ref="A659:A662"/>
    <mergeCell ref="A681:A685"/>
    <mergeCell ref="A1159:A1161"/>
    <mergeCell ref="A209:A213"/>
    <mergeCell ref="A1998:A2000"/>
    <mergeCell ref="A147:A151"/>
    <mergeCell ref="A715:A719"/>
    <mergeCell ref="A446:A466"/>
    <mergeCell ref="A472:A497"/>
    <mergeCell ref="A1904:A1906"/>
    <mergeCell ref="A1969:A1971"/>
    <mergeCell ref="A1228:A1237"/>
    <mergeCell ref="A723:A726"/>
    <mergeCell ref="A730:A734"/>
    <mergeCell ref="A939:A948"/>
    <mergeCell ref="A1385:A1387"/>
    <mergeCell ref="A155:A159"/>
    <mergeCell ref="A304:A306"/>
    <mergeCell ref="A1082:A1092"/>
    <mergeCell ref="A532:A552"/>
    <mergeCell ref="A1498:A1507"/>
    <mergeCell ref="A49:A53"/>
    <mergeCell ref="A1538:A1547"/>
    <mergeCell ref="A1840:A1842"/>
    <mergeCell ref="A602:A627"/>
    <mergeCell ref="A1493:A1497"/>
    <mergeCell ref="A1864:A1868"/>
    <mergeCell ref="A1430:A1439"/>
    <mergeCell ref="A676:A680"/>
    <mergeCell ref="A896:A899"/>
    <mergeCell ref="A1008:A1011"/>
    <mergeCell ref="A1030:A1034"/>
    <mergeCell ref="A859:A861"/>
    <mergeCell ref="A1630:A1634"/>
    <mergeCell ref="A822:A847"/>
    <mergeCell ref="A1331:A1333"/>
    <mergeCell ref="A498:A502"/>
    <mergeCell ref="A1407:A1416"/>
    <mergeCell ref="A110:A114"/>
    <mergeCell ref="A317:A337"/>
    <mergeCell ref="A1915:A1919"/>
    <mergeCell ref="A1586:A1595"/>
    <mergeCell ref="A1672:A1676"/>
    <mergeCell ref="A1995:A1997"/>
    <mergeCell ref="A1420:A1424"/>
    <mergeCell ref="A1180:A1184"/>
    <mergeCell ref="A686:A689"/>
    <mergeCell ref="A1162:A1166"/>
    <mergeCell ref="A1367:A1371"/>
    <mergeCell ref="A160:A162"/>
    <mergeCell ref="A351:A35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U2024"/>
  <sheetViews>
    <sheetView workbookViewId="0">
      <selection activeCell="A1" sqref="A1"/>
    </sheetView>
  </sheetViews>
  <sheetFormatPr baseColWidth="8" defaultRowHeight="15"/>
  <sheetData>
    <row r="1">
      <c r="A1" t="inlineStr">
        <is>
          <t>sqlserver -- 2026052610mysql</t>
        </is>
      </c>
      <c r="E1" t="inlineStr">
        <is>
          <t>源备表数量不一致，源端共计 332个表，备端共计 305个表，
 缺失表单['proc_t4', 'proc_t5', 'proc_t6', 'proc_t7', 'syn_t2', 'syn_t3', 'syn_t4', 'syn_t5', "o/'malley", 'o/malley', 'otab(1)', 'o space', 'o@at', 'o&amp;and', 'o%di@、&amp;、%、/v', 'sys_nc0008$', 'dbms_sfs$_info2', 'i2_nov', 'stutable', 'op_sssqmx', 'func_t1', 'func_t2', 'proc_t1', 'proc_t2', 'trig_t1', 'trig_t1_sum1', 'trig_t2', 'info_time_part', 'proc_t3']</t>
        </is>
      </c>
    </row>
    <row r="2">
      <c r="A2" t="inlineStr">
        <is>
          <t>表名</t>
        </is>
      </c>
      <c r="B2" t="inlineStr">
        <is>
          <t>pk</t>
        </is>
      </c>
      <c r="C2" t="inlineStr">
        <is>
          <t>default</t>
        </is>
      </c>
      <c r="D2" t="inlineStr">
        <is>
          <t>唯一</t>
        </is>
      </c>
      <c r="E2" t="inlineStr">
        <is>
          <t>复合唯一</t>
        </is>
      </c>
      <c r="F2" t="inlineStr">
        <is>
          <t>check</t>
        </is>
      </c>
      <c r="G2" t="inlineStr">
        <is>
          <t>源ck_def</t>
        </is>
      </c>
      <c r="H2" t="inlineStr">
        <is>
          <t>备check</t>
        </is>
      </c>
      <c r="I2" t="inlineStr">
        <is>
          <t>索引</t>
        </is>
      </c>
      <c r="J2" t="inlineStr">
        <is>
          <t>复合索引</t>
        </is>
      </c>
      <c r="K2" t="inlineStr">
        <is>
          <t>状态</t>
        </is>
      </c>
      <c r="W2" t="inlineStr">
        <is>
          <t>表内容</t>
        </is>
      </c>
      <c r="Y2" s="15">
        <f>HYPERLINK("#2026052610mysql0!W16","info_char_dml_single_nopk_drp")</f>
        <v/>
      </c>
      <c r="Z2" s="15">
        <f>HYPERLINK("#2026052610mysql0!W39","info_char_dml_single_nopk_irp")</f>
        <v/>
      </c>
      <c r="AA2" s="15">
        <f>HYPERLINK("#2026052610mysql0!W44","info_char_dml_single_nopk")</f>
        <v/>
      </c>
      <c r="AB2" s="15">
        <f>HYPERLINK("#2026052610mysql0!W97","info_char_dml_single_nopk_urp")</f>
        <v/>
      </c>
      <c r="AC2" s="15">
        <f>HYPERLINK("#2026052610mysql0!W102","info_hierarchyid_dml_single_nopk_irp")</f>
        <v/>
      </c>
      <c r="AD2" s="15">
        <f>HYPERLINK("#2026052610mysql0!W105","info_char_dml_batch1_pk_irp1")</f>
        <v/>
      </c>
      <c r="AE2" s="15">
        <f>HYPERLINK("#2026052610mysql0!W137","info_hierarchyid_dml_single_pk_irp")</f>
        <v/>
      </c>
      <c r="AF2" s="15">
        <f>HYPERLINK("#2026052610mysql0!W140","info_char_dml_batch2_pk_irp1")</f>
        <v/>
      </c>
      <c r="AG2" s="15">
        <f>HYPERLINK("#2026052610mysql0!W158","info_char_dml_single_pk_urp")</f>
        <v/>
      </c>
      <c r="AH2" s="15">
        <f>HYPERLINK("#2026052610mysql0!W166","info_char_dml_batch1_pk_irp2")</f>
        <v/>
      </c>
      <c r="AI2" s="15">
        <f>HYPERLINK("#2026052610mysql0!W181","info_char_dml_batch1_pk_urp1")</f>
        <v/>
      </c>
      <c r="AJ2" s="15">
        <f>HYPERLINK("#2026052610mysql0!W186","info_char_dml_single_pk_drp")</f>
        <v/>
      </c>
      <c r="AK2" s="15">
        <f>HYPERLINK("#2026052610mysql0!W199","info_char_dml_single_pk")</f>
        <v/>
      </c>
      <c r="AL2" s="15">
        <f>HYPERLINK("#2026052610mysql0!W204","info_char_dml_single_pk_irp")</f>
        <v/>
      </c>
      <c r="AM2" s="15">
        <f>HYPERLINK("#2026052610mysql0!W212","info_char_dml_batch1_pk_urp2")</f>
        <v/>
      </c>
      <c r="AN2" s="15">
        <f>HYPERLINK("#2026052610mysql0!W229","info_int_dml_single_pk_irp")</f>
        <v/>
      </c>
      <c r="AO2" s="15">
        <f>HYPERLINK("#2026052610mysql0!W260","info_char_dml_batch2_pk_irp2")</f>
        <v/>
      </c>
      <c r="AP2" s="15">
        <f>HYPERLINK("#2026052610mysql0!W273","info_nchar_dml_single_nopk_irp")</f>
        <v/>
      </c>
      <c r="AQ2" s="15">
        <f>HYPERLINK("#2026052610mysql0!W283","info_int_dml_single_pk_urp")</f>
        <v/>
      </c>
      <c r="AR2" s="15">
        <f>HYPERLINK("#2026052610mysql0!W317","info_int_dml_single_pk_drp")</f>
        <v/>
      </c>
      <c r="AS2" s="15">
        <f>HYPERLINK("#2026052610mysql0!W338","info_nchar_dml_single_nopk_drp")</f>
        <v/>
      </c>
      <c r="AT2" s="15">
        <f>HYPERLINK("#2026052610mysql0!W343","info_nchar_dml_single_nopk_urp")</f>
        <v/>
      </c>
      <c r="AU2" s="15">
        <f>HYPERLINK("#2026052610mysql0!W375","info_nchar_dml_single_nopk")</f>
        <v/>
      </c>
      <c r="AV2" s="15">
        <f>HYPERLINK("#2026052610mysql0!W380","info_sql_variant_dml_single_pk_irp")</f>
        <v/>
      </c>
      <c r="AW2" s="15">
        <f>HYPERLINK("#2026052610mysql0!W411","info_nchar_dml_single_pk_irp")</f>
        <v/>
      </c>
      <c r="AX2" s="15">
        <f>HYPERLINK("#2026052610mysql0!W416","info_nchar_dml_single_pk_urp")</f>
        <v/>
      </c>
      <c r="AY2" s="15">
        <f>HYPERLINK("#2026052610mysql0!W421","info_int_dml_single_nopk_irp")</f>
        <v/>
      </c>
      <c r="AZ2" s="15">
        <f>HYPERLINK("#2026052610mysql0!W451","info_int_dml_single_nopk_urp")</f>
        <v/>
      </c>
      <c r="BA2" s="15">
        <f>HYPERLINK("#2026052610mysql0!W472","info_sql_variant_dml_single_pk_urp")</f>
        <v/>
      </c>
      <c r="BB2" s="15">
        <f>HYPERLINK("#2026052610mysql0!W501","info_int_dml_single_nopk_drp")</f>
        <v/>
      </c>
      <c r="BC2" s="15">
        <f>HYPERLINK("#2026052610mysql0!W548","info_nchar_dml_single_pk_drp")</f>
        <v/>
      </c>
      <c r="BD2" s="15">
        <f>HYPERLINK("#2026052610mysql0!W553","info_sql_variant_dml_single_pk_drp")</f>
        <v/>
      </c>
      <c r="BE2" s="15">
        <f>HYPERLINK("#2026052610mysql0!W597","info_sql_variant_dml_single_pk")</f>
        <v/>
      </c>
      <c r="BF2" s="15">
        <f>HYPERLINK("#2026052610mysql0!W623","info_nchar_dml_single_pk")</f>
        <v/>
      </c>
      <c r="BG2" s="15">
        <f>HYPERLINK("#2026052610mysql0!W726","info_nchar_dml_batch1_pk_irp1")</f>
        <v/>
      </c>
      <c r="BH2" s="15">
        <f>HYPERLINK("#2026052610mysql0!W750","info_sql_variant_dml_single_nopk_irp")</f>
        <v/>
      </c>
      <c r="BI2" s="15">
        <f>HYPERLINK("#2026052610mysql0!W779","info_sql_variant_dml_single_nopk_urp")</f>
        <v/>
      </c>
      <c r="BJ2" s="15">
        <f>HYPERLINK("#2026052610mysql0!W812","info_sql_variant_dml_single_nopk_drp")</f>
        <v/>
      </c>
      <c r="BK2" s="15">
        <f>HYPERLINK("#2026052610mysql0!W838","info_nchar_dml_batch1_pk_irp2")</f>
        <v/>
      </c>
      <c r="BL2" s="15">
        <f>HYPERLINK("#2026052610mysql0!W846","info_sql_variant_dml_single_nopk")</f>
        <v/>
      </c>
      <c r="BM2" s="15">
        <f>HYPERLINK("#2026052610mysql0!W878","info_nchar_dml_batch2_pk_irp1")</f>
        <v/>
      </c>
      <c r="BN2" s="15">
        <f>HYPERLINK("#2026052610mysql0!W896","info_nchar_dml_batch2_pk_irp2")</f>
        <v/>
      </c>
      <c r="BO2" s="15">
        <f>HYPERLINK("#2026052610mysql0!W925","info_nchar_dml_batch2_pk_urp2")</f>
        <v/>
      </c>
      <c r="BP2" s="15">
        <f>HYPERLINK("#2026052610mysql0!W960","info_nchar_dml_batch1_pk_urp1")</f>
        <v/>
      </c>
      <c r="BQ2" s="15">
        <f>HYPERLINK("#2026052610mysql0!W982","info_nchar_dml_batch1_pk_drp2")</f>
        <v/>
      </c>
      <c r="BR2" s="15">
        <f>HYPERLINK("#2026052610mysql0!W1638","info_int_dml_batch1_pk_irp1")</f>
        <v/>
      </c>
      <c r="BS2" s="15">
        <f>HYPERLINK("#2026052610mysql0!W1675","info_int_dml_batch1_pk_irp2")</f>
        <v/>
      </c>
      <c r="BT2" s="15">
        <f>HYPERLINK("#2026052610mysql0!W1696","info_int_dml_batch2_pk_irp1")</f>
        <v/>
      </c>
      <c r="BU2" s="15">
        <f>HYPERLINK("#2026052610mysql0!W1770","info_int_dml_batch2_pk_irp2")</f>
        <v/>
      </c>
    </row>
    <row r="3">
      <c r="A3" t="inlineStr">
        <is>
          <t>info_time_dml_batch1_pk_irp2</t>
        </is>
      </c>
      <c r="K3" t="inlineStr">
        <is>
          <t>[0;34m info_time_dml_batch1_pk_irp2 [0m源备字段数相同，源端字段：9 	备端字段9</t>
        </is>
      </c>
      <c r="W3" t="inlineStr">
        <is>
          <t>YES 源备无差异</t>
        </is>
      </c>
      <c r="X3">
        <f>A3</f>
        <v/>
      </c>
      <c r="Y3" t="inlineStr">
        <is>
          <t>tgt行 ['2', '', '', '                                                                                                                                                                                                                                                                                                                                                                                                                                                                                                                                                                                                                                                                                                                                                                                                                                                                                                                                                                                                                                                                                                                                                                                                                                                                                                                                                                                                                                                                                                                                                                                                                                                                                                                                                                                                                                                                                                                                                                                                                                                                                                                                                                                                                                                                                                                                                                                                                                                                                                                                                                                                                                                                                                                                                                                                                                                                                                                                                                                                                                                                                                                                                                                                                                                                                                                                                                                                                                                                                                                                                                                                                                                                                                                                                                                                                                                                                                                                                                                                                                                                                                                                                                                                                                                                                                                                                                                                                                                                                                                                                                                                                                                                                                                                                                                                                                                                                                                                                                                                                                                                                                                                                                                                                                                                                                                                                                                                                                                                                                                                                                                                                                                                                                                                                                                                                                                                                                                                                                                                                                                                                                                                                                                                                                                                                                                                                                                                                                                                                                                                                                                                                                                                                                                                                                                                                                                                                                                                                                                                                                                                                                                                                                                                                                                                                        ']列，源：None 备：adfc7b63a288f9e068cee3ae698e6187</t>
        </is>
      </c>
      <c r="Z3" t="inlineStr">
        <is>
          <t>tgt行 ['2', '', '', '                                                                                                                                                                                                                                                                                                                                                                                                                                                                                                                                                                                                                                                                                                                                                                                                                                                                                                                                                                                                                                                                                                                                                                                                                                                                                                                                                                                                                                                                                                                                                                                                                                                                                                                                                                                                                                                                                                                                                                                                                                                                                                                                                                                                                                                                                                                                                                                                                                                                                                                                                                                                                                                                                                                                                                                                                                                                                                                                                                                                                                                                                                                                                                                                                                                                                                                                                                                                                                                                                                                                                                                                                                                                                                                                                                                                                                                                                                                                                                                                                                                                                                                                                                                                                                                                                                                                                                                                                                                                                                                                                                                                                                                                                                                                                                                                                                                                                                                                                                                                                                                                                                                                                                                                                                                                                                                                                                                                                                                                                                                                                                                                                                                                                                                                                                                                                                                                                                                                                                                                                                                                                                                                                                                                                                                                                                                                                                                                                                                                                                                                                                                                                                                                                                                                                                                                                                                                                                                                                                                                                                                                                                                                                                                                                                                                                                                                                                                                                                                                                                                                                                                                                                                                                                                                                                                                                                                                                                                                                                                                                                                                                                                                                                                                                                                                                                                                ']列，源：None 备：512c57ed09deb3da564132dbbe7d4f86</t>
        </is>
      </c>
      <c r="AA3" t="inlineStr">
        <is>
          <t>tgt行 ['2', '', '', '                                                                                                                                                                                                                                                                                                                                                                                                                                                                                                                                                                                                                                                                                                                                                                                                                                                                                                                                                                                                                                                                                                                                                                                                                                                                                                                                                                                                                                                                                                                                                                                                                                                                                                                                                                                                                                                                                                                                                                                                                                                                                                                                                                                                                                                                                                                                                                                                                                                                                                                                                                                                                                                                                                                                                                                                                                                                                                                                                                                                                                                                                                                                                                                                                                                                                                                                                                                                                                                                                                                                                                                                                                                                                                                                                                                                                                                                                                                                                                                                                                                                                                                                                                                                                                                                                                                                                                                                                                                                                                                                                                                                                                                                                                                                                                                                                                                                                                                                                                                                                                                                                                                                                                                                                                                                                                                                                                                                                                                                                                                                                                                                                                                                                                                                                                                                                                                                                                                                                                                                                                                                                                                                                                                                                                                                                                                                                                                                                                                                                                                                                                                                                                                                                                                                                                                                                                                                                                                                                                                                                                                                                                                                                                                                                                                                                        ']列，源：None 备：adfc7b63a288f9e068cee3ae698e6187</t>
        </is>
      </c>
      <c r="AB3"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备：3b3144555c9a0b155cbdb06c0bbb8008</t>
        </is>
      </c>
      <c r="AC3" t="inlineStr">
        <is>
          <t>tgt行 ['2', '']列，源：None 备：090d8bcb2d9d15c11e38e2091bef3450</t>
        </is>
      </c>
      <c r="AD3" t="inlineStr">
        <is>
          <t>tgt行 ['2', '', '', '                                                                                                                                                                                                                                                                                                                                                                                                                                                                                                                                                                                                                                                                                                                                                                                                                                                                                                                                                                                                                                                                                                                                                                                                                                                                                                                                                                                                                                                                                                                                                                                                                                                                                                                                                                                                                                                                                                                                                                                                                                                                                                                                                                                                                                                                                                                                                                                                                                                                                                                                                                                                                                                                                                                                                                                                                                                                                                                                                                                                                                                                                                                                                                                                                                                                                                                                                                                                                                                                                                                                                                                                                                                                                                                                                                                                                                                                                                                                                                                                                                                                                                                                                                                                                                                                                                                                                                                                                                                                                                                                                                                                                                                                                                                                                                                                                                                                                                                                                                                                                                                                                                                                                                                                                                                                                                                                                                                                                                                                                                                                                                                                                                                                                                                                                                                                                                                                                                                                                                                                                                                                                                                                                                                                                                                                                                                                                                                                                                                                                                                                                                                                                                                                                                                                                                                                                                                                                                                                                                                                                                                                                                                                                                                                                                                                                                                                                                                                                                                                                                                                                                                                                                                                                                                                                                                                                                                                                                                                                                                                                                                                                                                                                                                                                                                                                                                                ']列，源：None 备：512c57ed09deb3da564132dbbe7d4f86</t>
        </is>
      </c>
      <c r="AE3" t="inlineStr">
        <is>
          <t>tgt行 ['2', '']列，源：None 备：090d8bcb2d9d15c11e38e2091bef3450</t>
        </is>
      </c>
      <c r="AF3" t="inlineStr">
        <is>
          <t>tgt行 ['2', '', '', '                                                                                                                                                                                                                                                                                                                                                                                                                                                                                                                                                                                                                                                                                                                                                                                                                                                                                                                                                                                                                                                                                                                                                                                                                                                                                                                                                                                                                                                                                                                                                                                                                                                                                                                                                                                                                                                                                                                                                                                                                                                                                                                                                                                                                                                                                                                                                                                                                                                                                                                                                                                                                                                                                                                                                                                                                                                                                                                                                                                                                                                                                                                                                                                                                                                                                                                                                                                                                                                                                                                                                                                                                                                                                                                                                                                                                                                                                                                                                                                                                                                                                                                                                                                                                                                                                                                                                                                                                                                                                                                                                                                                                                                                                                                                                                                                                                                                                                                                                                                                                                                                                                                                                                                                                                                                                                                                                                                                                                                                                                                                                                                                                                                                                                                                                                                                                                                                                                                                                                                                                                                                                                                                                                                                                                                                                                                                                                                                                                                                                                                                                                                                                                                                                                                                                                                                                                                                                                                                                                                                                                                                                                                                                                                                                                                                                                                                                                                                                                                                                                                                                                                                                                                                                                                                                                                                                                                                                                                                                                                                                                                                                                                                                                                                                                                                                                                                ']列，源：None 备：512c57ed09deb3da564132dbbe7d4f86</t>
        </is>
      </c>
      <c r="AG3"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备：3b3144555c9a0b155cbdb06c0bbb8008</t>
        </is>
      </c>
      <c r="AH3" t="inlineStr">
        <is>
          <t>tgt行 ['2', '', '', '                                                                                                                                                                                                                                                                                                                                                                                                                                                                                                                                                                                                                                                                                                                                                                                                                                                                                                                                                                                                                                                                                                                                                                                                                                                                                                                                                                                                                                                                                                                                                                                                                                                                                                                                                                                                                                                                                                                                                                                                                                                                                                                                                                                                                                                                                                                                                                                                                                                                                                                                                                                                                                                                                                                                                                                                                                                                                                                                                                                                                                                                                                                                                                                                                                                                                                                                                                                                                                                                                                                                                                                                                                                                                                                                                                                                                                                                                                                                                                                                                                                                                                                                                                                                                                                                                                                                                                                                                                                                                                                                                                                                                                                                                                                                                                                                                                                                                                                                                                                                                                                                                                                                                                                                                                                                                                                                                                                                                                                                                                                                                                                                                                                                                                                                                                                                                                                                                                                                                                                                                                                                                                                                                                                                                                                                                                                                                                                                                                                                                                                                                                                                                                                                                                                                                                                                                                                                                                                                                                                                                                                                                                                                                                                                                                                                                                                                                                                                                                                                                                                                                                                                                                                                                                                                                                                                                                                                                                                                                                                                                                                                                                                                                                                                                                                                                                                                ']列，源：None 备：512c57ed09deb3da564132dbbe7d4f86</t>
        </is>
      </c>
      <c r="AI3" t="inlineStr">
        <is>
          <t>tgt行 ['5', '?', '€?I€?', '€?I€?€?I€?€?I€?€?I€?€?I€?€?I€?€?I€?€?I€?€?I€?€?I€?€?I€?€?I€?€?I€?€?I€?€?I€?€?I€?€?I€?€?I€?€?I€?€?I€?€?I€?€?I€?€?I€?€?I€?€?I€?€?I€?€?I€?€?I€?€?I€?€?I€?€?I€?€?I€?€?I€?€?I€?€?I€?€?I€?€?I€?€?I€?€?I€?€?I€?€?I€?€?I€?€?I€?€?I€?€?I€?€?I€?€?I€?€?I€?€?I€?€?I€?€?I€?€?I€?€?I€?€?I€?€?I€?€?I€?€?I€?€?I€?€?I€?€?I€?€?I€?€?I€?€?I€?€?I€?€?I€?€?I€?€?I€?€?I€?€?I€?€?I€?€?I€?€?I€?€?I€?€?I€?€?I€?€?I€?€?I€?€?I€?€?I€?€?I€?€?I€?€?I€?€?I€?€?I€?€?I€?€?I€?€?I€?€?I€?€?I€?€?I€?€?I€?€?I€?€?I€?€?I€?€?I€?€?I€?€?I€?€?I€?€?I€?€?I€?€?I€?€?I€?€?I€?€?I€?€?I€?€?I€?€?I€?€?I€?€?I€?€?I€?€?I€?€?I€?€?I€?€?I€?€?I€?€?I€?€?I€?€?I€?€?I€?€?I€?€?I€?€?I€?€?I€?€?I€?€?I€?€?I€?€?I€?€?I€?€?I€?€?I€?€?I€?€?I€?€?I€?€?I€?€?I€?€?I€?€?I€?€?I€?€?I€?€?I€?€?I€?€?I€?€?I€?€?I€?€?I€?€?I€?€?I€?€?I€?€?I€?€?I€?€?I€?€?I€?€?I€?€?I€?€?I€?€?I€?€?I€?€?I€?€?I€?€?I€?€?I€?€?I€?€?I€?€?I€?€?I€?€?I€?€?I€?€?I€?€?I€?€?I€?€?I€?€?I€?€?I€?€?I€?€?I€?€?I€?€?I€?€?I€?€?I€?€?I€?€?I€?€?I€?€?I€?€?I€?€?I€?€?I€?€?I€?€?I€?€?I€?€?I€?€?I€?€?I€?€?I€?€?I€?€?I€?€?I€?€?I€?€?I€?€?I€?€?I€?                                                                                                                                                                                                                                                                                                                                                                                                                                                                                                                                                                                                                                                                                                                                                                                                                                                                                                                                                                                                                                                                                                                                                                                                                                                                                                                                                                                                                                                                                                                                                                                                                                                                                                                                                                                                                                                                                                                                                                                                                                                                                                                                                                                                                                                                                                                                                                                                                                                                                                                                                                                                                                                                                                                                                                                                                                                                                                                                                                                                                                                                                                                                                                                                                                                                                                                                                                                                                                                                                                                                                                                                                                                                                                                                                                                                                                                                                                                                                                                                                                                                                                                                                                                                                                                                                                                                                                                                                                                                                                                                                                                                                                                                                                                                                                                                                                                                                                                                                                                                                                                                                                                                                                                                                                                                                                                                                                                                                                                                                                                                                                                                                                                                                                                                                                                                                                                                                                                                                                                                                                                                                                                                                                                                                                                ']列，源：None 备：e52368c97be94176db16aab6e322b0ee</t>
        </is>
      </c>
      <c r="AJ3" t="inlineStr">
        <is>
          <t>tgt行 ['2', '', '', '                                                                                                                                                                                                                                                                                                                                                                                                                                                                                                                                                                                                                                                                                                                                                                                                                                                                                                                                                                                                                                                                                                                                                                                                                                                                                                                                                                                                                                                                                                                                                                                                                                                                                                                                                                                                                                                                                                                                                                                                                                                                                                                                                                                                                                                                                                                                                                                                                                                                                                                                                                                                                                                                                                                                                                                                                                                                                                                                                                                                                                                                                                                                                                                                                                                                                                                                                                                                                                                                                                                                                                                                                                                                                                                                                                                                                                                                                                                                                                                                                                                                                                                                                                                                                                                                                                                                                                                                                                                                                                                                                                                                                                                                                                                                                                                                                                                                                                                                                                                                                                                                                                                                                                                                                                                                                                                                                                                                                                                                                                                                                                                                                                                                                                                                                                                                                                                                                                                                                                                                                                                                                                                                                                                                                                                                                                                                                                                                                                                                                                                                                                                                                                                                                                                                                                                                                                                                                                                                                                                                                                                                                                                                                                                                                                                                                        ']列，源：None 备：adfc7b63a288f9e068cee3ae698e6187</t>
        </is>
      </c>
      <c r="AK3" t="inlineStr">
        <is>
          <t>tgt行 ['2', '', '', '                                                                                                                                                                                                                                                                                                                                                                                                                                                                                                                                                                                                                                                                                                                                                                                                                                                                                                                                                                                                                                                                                                                                                                                                                                                                                                                                                                                                                                                                                                                                                                                                                                                                                                                                                                                                                                                                                                                                                                                                                                                                                                                                                                                                                                                                                                                                                                                                                                                                                                                                                                                                                                                                                                                                                                                                                                                                                                                                                                                                                                                                                                                                                                                                                                                                                                                                                                                                                                                                                                                                                                                                                                                                                                                                                                                                                                                                                                                                                                                                                                                                                                                                                                                                                                                                                                                                                                                                                                                                                                                                                                                                                                                                                                                                                                                                                                                                                                                                                                                                                                                                                                                                                                                                                                                                                                                                                                                                                                                                                                                                                                                                                                                                                                                                                                                                                                                                                                                                                                                                                                                                                                                                                                                                                                                                                                                                                                                                                                                                                                                                                                                                                                                                                                                                                                                                                                                                                                                                                                                                                                                                                                                                                                                                                                                                                        ']列，源：None 备：adfc7b63a288f9e068cee3ae698e6187</t>
        </is>
      </c>
      <c r="AL3" t="inlineStr">
        <is>
          <t>tgt行 ['2', '', '', '                                                                                                                                                                                                                                                                                                                                                                                                                                                                                                                                                                                                                                                                                                                                                                                                                                                                                                                                                                                                                                                                                                                                                                                                                                                                                                                                                                                                                                                                                                                                                                                                                                                                                                                                                                                                                                                                                                                                                                                                                                                                                                                                                                                                                                                                                                                                                                                                                                                                                                                                                                                                                                                                                                                                                                                                                                                                                                                                                                                                                                                                                                                                                                                                                                                                                                                                                                                                                                                                                                                                                                                                                                                                                                                                                                                                                                                                                                                                                                                                                                                                                                                                                                                                                                                                                                                                                                                                                                                                                                                                                                                                                                                                                                                                                                                                                                                                                                                                                                                                                                                                                                                                                                                                                                                                                                                                                                                                                                                                                                                                                                                                                                                                                                                                                                                                                                                                                                                                                                                                                                                                                                                                                                                                                                                                                                                                                                                                                                                                                                                                                                                                                                                                                                                                                                                                                                                                                                                                                                                                                                                                                                                                                                                                                                                                                                                                                                                                                                                                                                                                                                                                                                                                                                                                                                                                                                                                                                                                                                                                                                                                                                                                                                                                                                                                                                                                ']列，源：None 备：512c57ed09deb3da564132dbbe7d4f86</t>
        </is>
      </c>
      <c r="AM3" t="inlineStr">
        <is>
          <t>tgt行 ['1',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备：9c0c81ffb8197d54f21ae2b3324da22d</t>
        </is>
      </c>
      <c r="AN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O3" t="inlineStr">
        <is>
          <t>tgt行 ['2', '', '', '                                                                                                                                                                                                                                                                                                                                                                                                                                                                                                                                                                                                                                                                                                                                                                                                                                                                                                                                                                                                                                                                                                                                                                                                                                                                                                                                                                                                                                                                                                                                                                                                                                                                                                                                                                                                                                                                                                                                                                                                                                                                                                                                                                                                                                                                                                                                                                                                                                                                                                                                                                                                                                                                                                                                                                                                                                                                                                                                                                                                                                                                                                                                                                                                                                                                                                                                                                                                                                                                                                                                                                                                                                                                                                                                                                                                                                                                                                                                                                                                                                                                                                                                                                                                                                                                                                                                                                                                                                                                                                                                                                                                                                                                                                                                                                                                                                                                                                                                                                                                                                                                                                                                                                                                                                                                                                                                                                                                                                                                                                                                                                                                                                                                                                                                                                                                                                                                                                                                                                                                                                                                                                                                                                                                                                                                                                                                                                                                                                                                                                                                                                                                                                                                                                                                                                                                                                                                                                                                                                                                                                                                                                                                                                                                                                                                                                                                                                                                                                                                                                                                                                                                                                                                                                                                                                                                                                                                                                                                                                                                                                                                                                                                                                                                                                                                                                                                ']列，源：None 备：512c57ed09deb3da564132dbbe7d4f86</t>
        </is>
      </c>
      <c r="AP3" t="inlineStr">
        <is>
          <t>tgt行 ['2', '', '', '                                                                                                                                                                                                                                                                                                                                                                                                                                                                                                                                                                                                                                                                                                                                                                                                                                                                                                                                                                                                                                                                                                                                                                                                                                                                                                                                                                                                                                                                                                                                                                                                                                                                                                                                                                                                                                                                                                                                                                                                                                                                                                                                                                                                                                                                                                                                                                                                                                                                                                                                                                                                                                                                                                                                                                                                                                                                                                                                                                                                                                                                                                                                                                                                                                                                                                                                                                                                                                                                                                                                                                                                                                                                                                                                                                                                                                                                                                                                                                                                                                                                                                                                                                ']列，源：None 备：9724bd9cb33efa4e9e97a4b69ab3e9c9</t>
        </is>
      </c>
      <c r="AQ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R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S3" t="inlineStr">
        <is>
          <t>tgt行 ['2', '', '', '                                                                                                                                                                                                                                                                                                                                                                                                                                                                                                                                                                                                                                                                                                                                                                                                                                                                                                                                                                                                                                                                                                                                                                                                                                                                                                                                                                                                                                                                                                                                                                                                                                                                                                                                                                                                                                                                                                                                                                                                                                                                                                                                                                                                                                                                                                                                                                                                                                                                                                                                                                                                                                                                                                                                                                                                                                                                                                                                                                                                                                                                                                                                                                                                                                                                                                                                                                                                                                                                                                                                                                                                                                            ']列，源：None 备：0bb8f1d20540822f7cd467954d7939b9</t>
        </is>
      </c>
      <c r="AT3"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备：d88ce31dd320460aa584642750fac856</t>
        </is>
      </c>
      <c r="AU3" t="inlineStr">
        <is>
          <t>tgt行 ['2', '', '', '                                                                                                                                                                                                                                                                                                                                                                                                                                                                                                                                                                                                                                                                                                                                                                                                                                                                                                                                                                                                                                                                                                                                                                                                                                                                                                                                                                                                                                                                                                                                                                                                                                                                                                                                                                                                                                                                                                                                                                                                                                                                                                                                                                                                                                                                                                                                                                                                                                                                                                                                                                                                                                                                                                                                                                                                                                                                                                                                                                                                                                                                                                                                                                                                                                                                                                                                                                                                                                                                                                                                                                                                                                            ']列，源：None 备：0bb8f1d20540822f7cd467954d7939b9</t>
        </is>
      </c>
      <c r="AV3" t="inlineStr">
        <is>
          <t>tgt行 ['2', '2020-02-29 00:00', '2026-05-26 23:59', '2046-05-11 14:30', '1971-05-11 00:00+14:00', '0', '-32768', '-2147483648', '2023-10-01 14:30', '-3.4e+38', '-922337203685477.5808', '9999-12-30 23:59', '-1.79e+308', '0', '-1000000000000000', 'A7B0C3D4-E8F9-4A5B-6C7D-8E9F0A1B2C3D', '2026-05-26 21:47', '-9223372036854775808', '0x3132333435363738393031323334353637383930', '$TooLong英255Val方&amp;', '0xC9CFBAA3D3A2B7BDC8EDBCFEB9C9B7DDB9ABCBBE', '$TooLong英255Val方&amp; ', '$TooLong英255Val方&amp;', '$TooLong英255Val方&amp;   ']列，源：None 备：49e9d3fc7bf3c6b44b5a99c41f26f314</t>
        </is>
      </c>
      <c r="AW3" t="inlineStr">
        <is>
          <t>tgt行 ['2', '', '', '                                                                                                                                                                                                                                                                                                                                                                                                                                                                                                                                                                                                                                                                                                                                                                                                                                                                                                                                                                                                                                                                                                                                                                                                                                                                                                                                                                                                                                                                                                                                                                                                                                                                                                                                                                                                                                                                                                                                                                                                                                                                                                                                                                                                                                                                                                                                                                                                                                                                                                                                                                                                                                                                                                                                                                                                                                                                                                                                                                                                                                                                                                                                                                                                                                                                                                                                                                                                                                                                                                                                                                                                                                                                                                                                                                                                                                                                                                                                                                                                                                                                                                                                                                ']列，源：None 备：9724bd9cb33efa4e9e97a4b69ab3e9c9</t>
        </is>
      </c>
      <c r="AX3"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备：d88ce31dd320460aa584642750fac856</t>
        </is>
      </c>
      <c r="AY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AZ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A3" t="inlineStr">
        <is>
          <t>tgt行 ['1', '2046-05-11 00:00', '2026-05-26 18:10', '2012-05-11 14:30', '1999-05-11 15:30+01:00', '255', '32767', '2147483647', '2012-10-01 14:30', '0', '922337203685477.5807', '2000-05-01 23:59', '6.62607e-34', '1', '123456789012.1234', 'B6B0C3D4-E8F9-4A5B-6C7D-8E9F0A1B2C3E', '1234.5678', '1234567890123', '0x7661726961626C65206C656E6774682062696E61', '这是一个中文字符串', '0xC9CFBAA32324255E262A2D3D0000000000000000', '*TEST英255Val方&amp;    ', '*TEST英255Val方&amp;', '&amp;TooLong英255Val方!   ']列，源：None 备：463833105f4b713f130f24e708762bb9</t>
        </is>
      </c>
      <c r="BB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C3" t="inlineStr">
        <is>
          <t>tgt行 ['2', '', '', '                                                                                                                                                                                                                                                                                                                                                                                                                                                                                                                                                                                                                                                                                                                                                                                                                                                                                                                                                                                                                                                                                                                                                                                                                                                                                                                                                                                                                                                                                                                                                                                                                                                                                                                                                                                                                                                                                                                                                                                                                                                                                                                                                                                                                                                                                                                                                                                                                                                                                                                                                                                                                                                                                                                                                                                                                                                                                                                                                                                                                                                                                                                                                                                                                                                                                                                                                                                                                                                                                                                                                                                                                                            ']列，源：None 备：0bb8f1d20540822f7cd467954d7939b9</t>
        </is>
      </c>
      <c r="BD3" t="inlineStr">
        <is>
          <t>tgt行 ['3', '2034-02-21 00:00', '2026-05-26 03:59', '2012-05-11 14:30', '1991-05-11 00:00+14:00', '10', '-12768', '-147483648', '2013-10-01 14:30', '-1.4e+38', '-122337203685477.5808', '1999-12-30 23:59', '-1.79e+30', '1', '-2000000000000', 'C1B0C3D4-E8F9-4A5B-6C7D-8E9F0A1B2C3D', '2026-05-26 11:47', '-1223372036854775808', '0x31313131313031323334353637383930', '!TooLong英255Val方&amp;', '0x4023D3A2B7BDC8EDBCFEB9C9B7DDB9ABCBBE0000', '*TooLong英255Val方&amp; ', '~Long英255Val方&amp;', '`Long英255Val方&amp;      ']列，源：None 备：5ed2bf6d1533529041a1fa54c51a0b76</t>
        </is>
      </c>
      <c r="BE3" t="inlineStr">
        <is>
          <t>tgt行 ['4', '2054-02-21 00:00', '2026-05-26 23:19', '2002-05-11 14:30', '1991-05-11 00:00+14:00', '77', '1768-05-26 00:00', '-17483648', '2023-09-01 14:30', '-1.4e+38', '-12337203685477.5808', '1995-12-30 23:59', '-1.79e+30', '0', '-2000000000000', 'C1B0C3D4-E8F9-4A5B-6C7D-8E9F0A1B2C3D', '2026-05-26 11:47', '-1223372036854775808', '0x31313131313031323334353637383930', '!TooLong英255Val方&amp;', '0x4023D3A2B7BDC8EDBCFEB9C9B7DDB9ABCBBE0000', '*TooLong英255Val方&amp; ', '~Long英255Val方&amp;', '`Long英255Val方&amp;      ']列，源：None 备：06077728a8afd4730638f703fee4b38c</t>
        </is>
      </c>
      <c r="BF3" t="inlineStr">
        <is>
          <t>tgt行 ['2', '', '', '                                                                                                                                                                                                                                                                                                                                                                                                                                                                                                                                                                                                                                                                                                                                                                                                                                                                                                                                                                                                                                                                                                                                                                                                                                                                                                                                                                                                                                                                                                                                                                                                                                                                                                                                                                                                                                                                                                                                                                                                                                                                                                                                                                                                                                                                                                                                                                                                                                                                                                                                                                                                                                                                                                                                                                                                                                                                                                                                                                                                                                                                                                                                                                                                                                                                                                                                                                                                                                                                                                                                                                                                                                            ']列，源：None 备：0bb8f1d20540822f7cd467954d7939b9</t>
        </is>
      </c>
      <c r="BG3" t="inlineStr">
        <is>
          <t>tgt行 ['2', '', '', '                                                                                                                                                                                                                                                                                                                                                                                                                                                                                                                                                                                                                                                                                                                                                                                                                                                                                                                                                                                                                                                                                                                                                                                                                                                                                                                                                                                                                                                                                                                                                                                                                                                                                                                                                                                                                                                                                                                                                                                                                                                                                                                                                                                                                                                                                                                                                                                                                                                                                                                                                                                                                                                                                                                                                                                                                                                                                                                                                                                                                                                                                                                                                                                                                                                                                                                                                                                                                                                                                                                                                                                                                                                                                                                                                                                                                                                                                                                                                                                                                                                                                                                                                                ']列，源：None 备：9724bd9cb33efa4e9e97a4b69ab3e9c9</t>
        </is>
      </c>
      <c r="BH3" t="inlineStr">
        <is>
          <t>tgt行 ['2', '2020-02-29 00:00', '2026-05-26 23:59', '2046-05-11 14:30', '1971-05-11 00:00+14:00', '0', '-32768', '-2147483648', '2023-10-01 14:30', '-3.4e+38', '-922337203685477.5808', '9999-12-30 23:59', '-1.79e+308', '0', '-1000000000000000', 'A7B0C3D4-E8F9-4A5B-6C7D-8E9F0A1B2C3D', '2026-05-26 21:47', '-9223372036854775808', '0x3132333435363738393031323334353637383930', '$TooLong英255Val方&amp;', '0xC9CFBAA3D3A2B7BDC8EDBCFEB9C9B7DDB9ABCBBE', '$TooLong英255Val方&amp; ', '$TooLong英255Val方&amp;', '$TooLong英255Val方&amp;   ']列，源：None 备：49e9d3fc7bf3c6b44b5a99c41f26f314</t>
        </is>
      </c>
      <c r="BI3" t="inlineStr">
        <is>
          <t>tgt行 ['1', '2046-05-11 00:00', '2026-05-26 18:10', '2012-05-11 14:30', '1999-05-11 15:30+01:00', '255', '32767', '2147483647', '2012-10-01 14:30', '0', '922337203685477.5807', '2000-05-01 23:59', '6.62607e-34', '1', '123456789012.1234', 'B6B0C3D4-E8F9-4A5B-6C7D-8E9F0A1B2C3E', '1234.5678', '1234567890123', '0x7661726961626C65206C656E6774682062696E61', '这是一个中文字符串', '0xC9CFBAA32324255E262A2D3D0000000000000000', '*TEST英255Val方&amp;    ', '*TEST英255Val方&amp;', '&amp;TooLong英255Val方!   ']列，源：None 备：463833105f4b713f130f24e708762bb9</t>
        </is>
      </c>
      <c r="BJ3" t="inlineStr">
        <is>
          <t>tgt行 ['3', '2034-02-21 00:00', '2026-05-26 03:59', '2012-05-11 14:30', '1991-05-11 00:00+14:00', '10', '-12768', '-147483648', '2013-10-01 14:30', '-1.4e+38', '-122337203685477.5808', '1999-12-30 23:59', '-1.79e+30', '1', '-2000000000000', 'C1B0C3D4-E8F9-4A5B-6C7D-8E9F0A1B2C3D', '2026-05-26 11:47', '-1223372036854775808', '0x31313131313031323334353637383930', '!TooLong英255Val方&amp;', '0x4023D3A2B7BDC8EDBCFEB9C9B7DDB9ABCBBE0000', '*TooLong英255Val方&amp; ', '~Long英255Val方&amp;', '`Long英255Val方&amp;      ']列，源：None 备：5ed2bf6d1533529041a1fa54c51a0b76</t>
        </is>
      </c>
      <c r="BK3" t="inlineStr">
        <is>
          <t>tgt行 ['2', '', '', '                                                                                                                                                                                                                                                                                                                                                                                                                                                                                                                                                                                                                                                                                                                                                                                                                                                                                                                                                                                                                                                                                                                                                                                                                                                                                                                                                                                                                                                                                                                                                                                                                                                                                                                                                                                                                                                                                                                                                                                                                                                                                                                                                                                                                                                                                                                                                                                                                                                                                                                                                                                                                                                                                                                                                                                                                                                                                                                                                                                                                                                                                                                                                                                                                                                                                                                                                                                                                                                                                                                                                                                                                                            ']列，源：None 备：0bb8f1d20540822f7cd467954d7939b9</t>
        </is>
      </c>
      <c r="BL3" t="inlineStr">
        <is>
          <t>tgt行 ['4', '2054-02-21 00:00', '2026-05-26 23:19', '2002-05-11 14:30', '1991-05-11 00:00+14:00', '77', '1768-05-26 00:00', '-17483648', '2023-09-01 14:30', '-1.4e+38', '-12337203685477.5808', '1995-12-30 23:59', '-1.79e+30', '0', '-2000000000000', 'C1B0C3D4-E8F9-4A5B-6C7D-8E9F0A1B2C3D', '2026-05-26 11:47', '-1223372036854775808', '0x31313131313031323334353637383930', '!TooLong英255Val方&amp;', '0x4023D3A2B7BDC8EDBCFEB9C9B7DDB9ABCBBE0000', '*TooLong英255Val方&amp; ', '~Long英255Val方&amp;', '`Long英255Val方&amp;      ']列，源：None 备：06077728a8afd4730638f703fee4b38c</t>
        </is>
      </c>
      <c r="BM3" t="inlineStr">
        <is>
          <t>tgt行 ['2', '', '', '                                                                                                                                                                                                                                                                                                                                                                                                                                                                                                                                                                                                                                                                                                                                                                                                                                                                                                                                                                                                                                                                                                                                                                                                                                                                                                                                                                                                                                                                                                                                                                                                                                                                                                                                                                                                                                                                                                                                                                                                                                                                                                                                                                                                                                                                                                                                                                                                                                                                                                                                                                                                                                                                                                                                                                                                                                                                                                                                                                                                                                                                                                                                                                                                                                                                                                                                                                                                                                                                                                                                                                                                                                            ']列，源：None 备：0bb8f1d20540822f7cd467954d7939b9</t>
        </is>
      </c>
      <c r="BN3" t="inlineStr">
        <is>
          <t>tgt行 ['22', '', '', '                                                                                                                                                                                                                                                                                                                                                                                                                                                                                                                                                                                                                                                                                                                                                                                                                                                                                                                                                                                                                                                                                                                                                                                                                                                                                                                                                                                                                                                                                                                                                                                                                                                                                                                                                                                                                                                                                                                                                                                                                                                                                                                                                                                                                                                                                                                                                                                                                                                                                                                                                                                                                                                                                                                                                                                                                                                                                                                                                                                                                                                                                                                                                                                                                                                                                                                                                                                                                                                                                                                                                                                                                                            ']列，源：None 备：44ebbbfc115541cbff55869bde0f90ec</t>
        </is>
      </c>
      <c r="BO3" t="inlineStr">
        <is>
          <t>tgt行 ['1',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备：fe445427715721eca4f4023b63071806</t>
        </is>
      </c>
      <c r="BP3" t="inlineStr">
        <is>
          <t>tgt行 ['1',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备：d88ce31dd320460aa584642750fac856</t>
        </is>
      </c>
      <c r="BQ3" t="inlineStr">
        <is>
          <t>tgt行 ['2', '', '', '                                                                                                                                                                                                                                                                                                                                                                                                                                                                                                                                                                                                                                                                                                                                                                                                                                                                                                                                                                                                                                                                                                                                                                                                                                                                                                                                                                                                                                                                                                                                                                                                                                                                                                                                                                                                                                                                                                                                                                                                                                                                                                                                                                                                                                                                                                                                                                                                                                                                                                                                                                                                                                                                                                                                                                                                                                                                                                                                                                                                                                                                                                                                                                                                                                                                                                                                                                                                                                                                                                                                                                                                                                            ']列，源：None 备：0bb8f1d20540822f7cd467954d7939b9</t>
        </is>
      </c>
      <c r="BR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S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T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c r="BU3" t="inlineStr">
        <is>
          <t>tgt行 ['2', '255', '32767', '2147483647', '9223372036854775808', '999999999999999999', '100000000000000000000000000000000000000', '1', '10000000000000000000000000000', '999999999999999.9999', '999999999999999999', '100000000000000000000000000000000000000', '1', '10000000000000000000000000000', '9999999999999999.99', '1.79e308', '3.4e38', '922337203685477.5807', '214748.3647', '1']列，源：None 备：0767ecb7d9343925c01bd2713df60fea</t>
        </is>
      </c>
    </row>
    <row r="4">
      <c r="B4" t="inlineStr">
        <is>
          <t>YES</t>
        </is>
      </c>
      <c r="C4" t="inlineStr">
        <is>
          <t>NULL</t>
        </is>
      </c>
      <c r="D4" t="inlineStr">
        <is>
          <t>NULL</t>
        </is>
      </c>
      <c r="E4" t="inlineStr">
        <is>
          <t>NULL</t>
        </is>
      </c>
      <c r="F4" t="inlineStr">
        <is>
          <t>NULL</t>
        </is>
      </c>
      <c r="G4" t="inlineStr">
        <is>
          <t>NULL</t>
        </is>
      </c>
      <c r="H4" t="inlineStr">
        <is>
          <t>NULL</t>
        </is>
      </c>
      <c r="I4" t="inlineStr">
        <is>
          <t>YES!PK__info_tim__3213E83F6B8886E9</t>
        </is>
      </c>
      <c r="J4" t="inlineStr">
        <is>
          <t>YES! 主键相关索引</t>
        </is>
      </c>
      <c r="K4" t="inlineStr">
        <is>
          <t>YES! 	 id列源备映射正确，源端为int None位	期望更改为int	实际备端为int None位</t>
        </is>
      </c>
      <c r="Y4" t="inlineStr">
        <is>
          <t>tgt行 ['4', '', '', '                                                                                                                                                                                                                                                                                                                                                                                                                                                                                                                                                                                                                                                                                                                                                                                                                                                                                                                                                                                                                                                                                                                                                                                                                                                                                                                                                                                                                                                                                                                                                                                                                                                                                                                                                                                                                                                                                                                                                                                                                                                                                                                                                                                                                                                                                                                                                                                                                                                                                                                                                                                                                                                                                                                                                                                                                                                                                                                                                                                                                                                                                                                                                                                                                                                                                                                                                                                                                                                                                                                                                                                                                                                                                                                                                                                                                                                                                                                                                                                                                                                                                                                                                                                                                                                                                                                                                                                                                                                                                                                                                                                                                                                                                                                                                                                                                                                                                                                                                                                                                                                                                                                                                                                                                                                                                                                                                                                                                                                                                                                                                                                                                                                                                                                                                                                                                                                                                                                                                                                                                                                                                                                                                                                                                                                                                                                                                                                                                                                                                                                                                                                                                                                                                                                                                                                                                                                                                                                                                                                                                                                                                                                                                                                                                                                                                        ']列，源：None 备：6513d7866b5552d16b48bd1761452a95</t>
        </is>
      </c>
      <c r="Z4" t="inlineStr">
        <is>
          <t>tgt行 ['3', '', '', '                                                                                                                                                                                                                                                                                                                                                                                                                                                                                                                                                                                                                                                                                                                                                                                                                                                                                                                                                                                                                                                                                                                                                                                                                                                                                                                                                                                                                                                                                                                                                                                                                                                                                                                                                                                                                                                                                                                                                                                                                                                                                                                                                                                                                                                                                                                                                                                                                                                                                                                                                                                                                                                                                                                                                                                                                                                                                                                                                                                                                                                                                                                                                                                                                                                                                                                                                                                                                                                                                                                                                                                                                                                                                                                                                                                                                                                                                                                                                                                                                                                                                                                                                                                                                                                                                                                                                                                                                                                                                                                                                                                                                                                                                                                                                                                                                                                                                                                                                                                                                                                                                                                                                                                                                                                                                                                                                                                                                                                                                                                                                                                                                                                                                                                                                                                                                                                                                                                                                                                                                                                                                                                                                                                                                                                                                                                                                                                                                                                                                                                                                                                                                                                                                                                                                                                                                                                                                                                                                                                                                                                                                                                                                                                                                                                                                                                                                                                                                                                                                                                                                                                                                                                                                                                                                                                                                                                                                                                                                                                                                                                                                                                                                                                                                                                                                                                                ']列，源：None 备：b04285f5f4cda3087283e5bf12a63f6d</t>
        </is>
      </c>
      <c r="AA4" t="inlineStr">
        <is>
          <t>tgt行 ['4', '', '', '                                                                                                                                                                                                                                                                                                                                                                                                                                                                                                                                                                                                                                                                                                                                                                                                                                                                                                                                                                                                                                                                                                                                                                                                                                                                                                                                                                                                                                                                                                                                                                                                                                                                                                                                                                                                                                                                                                                                                                                                                                                                                                                                                                                                                                                                                                                                                                                                                                                                                                                                                                                                                                                                                                                                                                                                                                                                                                                                                                                                                                                                                                                                                                                                                                                                                                                                                                                                                                                                                                                                                                                                                                                                                                                                                                                                                                                                                                                                                                                                                                                                                                                                                                                                                                                                                                                                                                                                                                                                                                                                                                                                                                                                                                                                                                                                                                                                                                                                                                                                                                                                                                                                                                                                                                                                                                                                                                                                                                                                                                                                                                                                                                                                                                                                                                                                                                                                                                                                                                                                                                                                                                                                                                                                                                                                                                                                                                                                                                                                                                                                                                                                                                                                                                                                                                                                                                                                                                                                                                                                                                                                                                                                                                                                                                                                                        ']列，源：None 备：6513d7866b5552d16b48bd1761452a95</t>
        </is>
      </c>
      <c r="AB4" t="inlineStr">
        <is>
          <t>tgt行 ['2', '', '', '                                                                                                                                                                                                                                                                                                                                                                                                                                                                                                                                                                                                                                                                                                                                                                                                                                                                                                                                                                                                                                                                                                                                                                                                                                                                                                                                                                                                                                                                                                                                                                                                                                                                                                                                                                                                                                                                                                                                                                                                                                                                                                                                                                                                                                                                                                                                                                                                                                                                                                                                                                                                                                                                                                                                                                                                                                                                                                                                                                                                                                                                                                                                                                                                                                                                                                                                                                                                                                                                                                                                                                                                                                                                                                                                                                                                                                                                                                                                                                                                                                                                                                                                                                                                                                                                                                                                                                                                                                                                                                                                                                                                                                                                                                                                                                                                                                                                                                                                                                                                                                                                                                                                                                                                                                                                                                                                                                                                                                                                                                                                                                                                                                                                                                                                                                                                                                                                                                                                                                                                                                                                                                                                                                                                                                                                                                                                                                                                                                                                                                                                                                                                                                                                                                                                                                                                                                                                                                                                                                                                                                                                                                                                                                                                                                                                                        ']列，源：None 备：adfc7b63a288f9e068cee3ae698e6187</t>
        </is>
      </c>
      <c r="AC4" t="inlineStr">
        <is>
          <t>tgt行 ['5', '']列，源：None 备：82374ec1090b34777f1263e34f705522</t>
        </is>
      </c>
      <c r="AD4" t="inlineStr">
        <is>
          <t>tgt行 ['3', '', '', '                                                                                                                                                                                                                                                                                                                                                                                                                                                                                                                                                                                                                                                                                                                                                                                                                                                                                                                                                                                                                                                                                                                                                                                                                                                                                                                                                                                                                                                                                                                                                                                                                                                                                                                                                                                                                                                                                                                                                                                                                                                                                                                                                                                                                                                                                                                                                                                                                                                                                                                                                                                                                                                                                                                                                                                                                                                                                                                                                                                                                                                                                                                                                                                                                                                                                                                                                                                                                                                                                                                                                                                                                                                                                                                                                                                                                                                                                                                                                                                                                                                                                                                                                                                                                                                                                                                                                                                                                                                                                                                                                                                                                                                                                                                                                                                                                                                                                                                                                                                                                                                                                                                                                                                                                                                                                                                                                                                                                                                                                                                                                                                                                                                                                                                                                                                                                                                                                                                                                                                                                                                                                                                                                                                                                                                                                                                                                                                                                                                                                                                                                                                                                                                                                                                                                                                                                                                                                                                                                                                                                                                                                                                                                                                                                                                                                                                                                                                                                                                                                                                                                                                                                                                                                                                                                                                                                                                                                                                                                                                                                                                                                                                                                                                                                                                                                                                                ']列，源：None 备：b04285f5f4cda3087283e5bf12a63f6d</t>
        </is>
      </c>
      <c r="AE4" t="inlineStr">
        <is>
          <t>tgt行 ['5', '']列，源：None 备：82374ec1090b34777f1263e34f705522</t>
        </is>
      </c>
      <c r="AF4" t="inlineStr">
        <is>
          <t>tgt行 ['3',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备：805569f5c382c6c26ac5c12b129ecfed</t>
        </is>
      </c>
      <c r="AG4" t="inlineStr">
        <is>
          <t>tgt行 ['2', '', '', '                                                                                                                                                                                                                                                                                                                                                                                                                                                                                                                                                                                                                                                                                                                                                                                                                                                                                                                                                                                                                                                                                                                                                                                                                                                                                                                                                                                                                                                                                                                                                                                                                                                                                                                                                                                                                                                                                                                                                                                                                                                                                                                                                                                                                                                                                                                                                                                                                                                                                                                                                                                                                                                                                                                                                                                                                                                                                                                                                                                                                                                                                                                                                                                                                                                                                                                                                                                                                                                                                                                                                                                                                                                                                                                                                                                                                                                                                                                                                                                                                                                                                                                                                                                                                                                                                                                                                                                                                                                                                                                                                                                                                                                                                                                                                                                                                                                                                                                                                                                                                                                                                                                                                                                                                                                                                                                                                                                                                                                                                                                                                                                                                                                                                                                                                                                                                                                                                                                                                                                                                                                                                                                                                                                                                                                                                                                                                                                                                                                                                                                                                                                                                                                                                                                                                                                                                                                                                                                                                                                                                                                                                                                                                                                                                                                                                        ']列，源：None 备：adfc7b63a288f9e068cee3ae698e6187</t>
        </is>
      </c>
      <c r="AH4" t="inlineStr">
        <is>
          <t>tgt行 ['3',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备：805569f5c382c6c26ac5c12b129ecfed</t>
        </is>
      </c>
      <c r="AI4" t="inlineStr">
        <is>
          <t>tgt行 ['6', '&amp;', '测试数据更新', '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                                                                                                                                                                                                                                                                                                                                                                                                                                                                                                                                                                                                                                                                                                                                                                                                                                                                                                                                                                                                                                                                                                                                                                                                                                                                                                                                                                                                                                                                                                                                                                                                                                                                                                                                                                                                                                                                                                                                                                                                                                                                                                                                                                                                                                                                                                                                                                                                                                                                                                                                                                                                                                                                                                                                                                                                                                                                                                                                                                                                                                                                                                                                                                                                                                                                                                                                                                                                                                                                                                                                                                                                                                                                                                                                                                                                                                                                                                                                                                                                                                                                                                                                                                                                                                                                                                                                                                                                                                                                                                                                                                                                                                                                                                                                                                                                                                                                                                                                                                                                                                                                                                                                                                                                                                                                                                                                                                                                                                                                                                                                                                                                                        ']列，源：None 备：5f036ee200915992e342518957ae7f34</t>
        </is>
      </c>
      <c r="AJ4" t="inlineStr">
        <is>
          <t>tgt行 ['4', '', '', '                                                                                                                                                                                                                                                                                                                                                                                                                                                                                                                                                                                                                                                                                                                                                                                                                                                                                                                                                                                                                                                                                                                                                                                                                                                                                                                                                                                                                                                                                                                                                                                                                                                                                                                                                                                                                                                                                                                                                                                                                                                                                                                                                                                                                                                                                                                                                                                                                                                                                                                                                                                                                                                                                                                                                                                                                                                                                                                                                                                                                                                                                                                                                                                                                                                                                                                                                                                                                                                                                                                                                                                                                                                                                                                                                                                                                                                                                                                                                                                                                                                                                                                                                                                                                                                                                                                                                                                                                                                                                                                                                                                                                                                                                                                                                                                                                                                                                                                                                                                                                                                                                                                                                                                                                                                                                                                                                                                                                                                                                                                                                                                                                                                                                                                                                                                                                                                                                                                                                                                                                                                                                                                                                                                                                                                                                                                                                                                                                                                                                                                                                                                                                                                                                                                                                                                                                                                                                                                                                                                                                                                                                                                                                                                                                                                                                        ']列，源：None 备：6513d7866b5552d16b48bd1761452a95</t>
        </is>
      </c>
      <c r="AK4" t="inlineStr">
        <is>
          <t>tgt行 ['4', '', '', '                                                                                                                                                                                                                                                                                                                                                                                                                                                                                                                                                                                                                                                                                                                                                                                                                                                                                                                                                                                                                                                                                                                                                                                                                                                                                                                                                                                                                                                                                                                                                                                                                                                                                                                                                                                                                                                                                                                                                                                                                                                                                                                                                                                                                                                                                                                                                                                                                                                                                                                                                                                                                                                                                                                                                                                                                                                                                                                                                                                                                                                                                                                                                                                                                                                                                                                                                                                                                                                                                                                                                                                                                                                                                                                                                                                                                                                                                                                                                                                                                                                                                                                                                                                                                                                                                                                                                                                                                                                                                                                                                                                                                                                                                                                                                                                                                                                                                                                                                                                                                                                                                                                                                                                                                                                                                                                                                                                                                                                                                                                                                                                                                                                                                                                                                                                                                                                                                                                                                                                                                                                                                                                                                                                                                                                                                                                                                                                                                                                                                                                                                                                                                                                                                                                                                                                                                                                                                                                                                                                                                                                                                                                                                                                                                                                                                        ']列，源：None 备：6513d7866b5552d16b48bd1761452a95</t>
        </is>
      </c>
      <c r="AL4" t="inlineStr">
        <is>
          <t>tgt行 ['3', '', '', '                                                                                                                                                                                                                                                                                                                                                                                                                                                                                                                                                                                                                                                                                                                                                                                                                                                                                                                                                                                                                                                                                                                                                                                                                                                                                                                                                                                                                                                                                                                                                                                                                                                                                                                                                                                                                                                                                                                                                                                                                                                                                                                                                                                                                                                                                                                                                                                                                                                                                                                                                                                                                                                                                                                                                                                                                                                                                                                                                                                                                                                                                                                                                                                                                                                                                                                                                                                                                                                                                                                                                                                                                                                                                                                                                                                                                                                                                                                                                                                                                                                                                                                                                                                                                                                                                                                                                                                                                                                                                                                                                                                                                                                                                                                                                                                                                                                                                                                                                                                                                                                                                                                                                                                                                                                                                                                                                                                                                                                                                                                                                                                                                                                                                                                                                                                                                                                                                                                                                                                                                                                                                                                                                                                                                                                                                                                                                                                                                                                                                                                                                                                                                                                                                                                                                                                                                                                                                                                                                                                                                                                                                                                                                                                                                                                                                                                                                                                                                                                                                                                                                                                                                                                                                                                                                                                                                                                                                                                                                                                                                                                                                                                                                                                                                                                                                                                                ']列，源：None 备：b04285f5f4cda3087283e5bf12a63f6d</t>
        </is>
      </c>
      <c r="AM4" t="inlineStr">
        <is>
          <t>tgt行 ['2',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备：80a7c21f149b685a1d09c3f1c08f4f53</t>
        </is>
      </c>
      <c r="AN4"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O4" t="inlineStr">
        <is>
          <t>tgt行 ['3',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备：805569f5c382c6c26ac5c12b129ecfed</t>
        </is>
      </c>
      <c r="AP4" t="inlineStr">
        <is>
          <t>tgt行 ['3', '', '', '                                                                                                                                                                                                                                                                                                                                                                                                                                                                                                                                                                                                                                                                                                                                                                                                                                                                                                                                                                                                                                                                                                                                                                                                                                                                                                                                                                                                                                                                                                                                                                                                                                                                                                                                                                                                                                                                                                                                                                                                                                                                                                                                                                                                                                                                                                                                                                                                                                                                                                                                                                                                                                                                                                                                                                                                                                                                                                                                                                                                                                                                                                                                                                                                                                                                                                                                                                                                                                                                                                                                                                                                                                                                                                                                                                                                                                                                                                                                                                                                                                                                                                                                                                ']列，源：None 备：609526bd7fff80e130c30b94dbb52acf</t>
        </is>
      </c>
      <c r="AQ4"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R4"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S4" t="inlineStr">
        <is>
          <t>tgt行 ['4', '', '', '                                                                                                                                                                                                                                                                                                                                                                                                                                                                                                                                                                                                                                                                                                                                                                                                                                                                                                                                                                                                                                                                                                                                                                                                                                                                                                                                                                                                                                                                                                                                                                                                                                                                                                                                                                                                                                                                                                                                                                                                                                                                                                                                                                                                                                                                                                                                                                                                                                                                                                                                                                                                                                                                                                                                                                                                                                                                                                                                                                                                                                                                                                                                                                                                                                                                                                                                                                                                                                                                                                                                                                                                                                            ']列，源：None 备：9a7c351bdd451155eeaa79ff29f5267d</t>
        </is>
      </c>
      <c r="AT4" t="inlineStr">
        <is>
          <t>tgt行 ['2', '', '', '                                                                                                                                                                                                                                                                                                                                                                                                                                                                                                                                                                                                                                                                                                                                                                                                                                                                                                                                                                                                                                                                                                                                                                                                                                                                                                                                                                                                                                                                                                                                                                                                                                                                                                                                                                                                                                                                                                                                                                                                                                                                                                                                                                                                                                                                                                                                                                                                                                                                                                                                                                                                                                                                                                                                                                                                                                                                                                                                                                                                                                                                                                                                                                                                                                                                                                                                                                                                                                                                                                                                                                                                                                            ']列，源：None 备：0bb8f1d20540822f7cd467954d7939b9</t>
        </is>
      </c>
      <c r="AU4" t="inlineStr">
        <is>
          <t>tgt行 ['4', '', '', '                                                                                                                                                                                                                                                                                                                                                                                                                                                                                                                                                                                                                                                                                                                                                                                                                                                                                                                                                                                                                                                                                                                                                                                                                                                                                                                                                                                                                                                                                                                                                                                                                                                                                                                                                                                                                                                                                                                                                                                                                                                                                                                                                                                                                                                                                                                                                                                                                                                                                                                                                                                                                                                                                                                                                                                                                                                                                                                                                                                                                                                                                                                                                                                                                                                                                                                                                                                                                                                                                                                                                                                                                                            ']列，源：None 备：9a7c351bdd451155eeaa79ff29f5267d</t>
        </is>
      </c>
      <c r="AV4" t="inlineStr">
        <is>
          <t>src行 ['2', '2020-02-29 00:00', '2026-05-26 23:59', '2046-05-11 14:30', '1971-05-11 00:00+14:00', '0', '-32768', '-2147483648', '2023-10-01 14:30', '-3.4e+038', '-922337203685477.58', '9999-12-30 23:59', '-1.79e+308', '0', '-1000000000000000', 'A7B0C3D4-E8F9-4A5B-6C7D-8E9F0A1B2C3D', '2026-05-26 21:47', '-9223372036854775808', '0x3132333435363738393031323334353637383930', '$TooLong英255Val方&amp;', '0xC9CFBAA3D3A2B7BDC8EDBCFEB9C9B7DDB9ABCBBE', '$TooLong英255Val方&amp; ', '$TooLong英255Val方&amp;', '$TooLong英255Val方&amp;   ']列，源：a930edbb558436d89be3046527fbbc16 备：None</t>
        </is>
      </c>
      <c r="AW4" t="inlineStr">
        <is>
          <t>tgt行 ['3', '', '', '                                                                                                                                                                                                                                                                                                                                                                                                                                                                                                                                                                                                                                                                                                                                                                                                                                                                                                                                                                                                                                                                                                                                                                                                                                                                                                                                                                                                                                                                                                                                                                                                                                                                                                                                                                                                                                                                                                                                                                                                                                                                                                                                                                                                                                                                                                                                                                                                                                                                                                                                                                                                                                                                                                                                                                                                                                                                                                                                                                                                                                                                                                                                                                                                                                                                                                                                                                                                                                                                                                                                                                                                                                                                                                                                                                                                                                                                                                                                                                                                                                                                                                                                                                ']列，源：None 备：609526bd7fff80e130c30b94dbb52acf</t>
        </is>
      </c>
      <c r="AX4" t="inlineStr">
        <is>
          <t>tgt行 ['2', '', '', '                                                                                                                                                                                                                                                                                                                                                                                                                                                                                                                                                                                                                                                                                                                                                                                                                                                                                                                                                                                                                                                                                                                                                                                                                                                                                                                                                                                                                                                                                                                                                                                                                                                                                                                                                                                                                                                                                                                                                                                                                                                                                                                                                                                                                                                                                                                                                                                                                                                                                                                                                                                                                                                                                                                                                                                                                                                                                                                                                                                                                                                                                                                                                                                                                                                                                                                                                                                                                                                                                                                                                                                                                                            ']列，源：None 备：0bb8f1d20540822f7cd467954d7939b9</t>
        </is>
      </c>
      <c r="AY4"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AZ4"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A4" t="inlineStr">
        <is>
          <t>src行 ['1', '2046-05-11 00:00', '2026-05-26 18:10', '2012-05-11 14:30', '1999-05-11 15:30+01:00', '255', '32767', '2147483647', '2012-10-01 14:30', '0', '922337203685477.5807', '2000-05-01 23:59', '6.62607e-034', '1', '123456789012.1234', 'B6B0C3D4-E8F9-4A5B-6C7D-8E9F0A1B2C3E', '1234.5678', '1234567890123', '0x7661726961626C65206C656E6774682062696E61', '这是一个中文字符串', '0xC9CFBAA32324255E262A2D3D0000000000000000', '*TEST英255Val方&amp;    ', '*TEST英255Val方&amp;', '&amp;TooLong英255Val方!   ']列，源：454e62838f72b755db2112c24439cace 备：None</t>
        </is>
      </c>
      <c r="BB4"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C4" t="inlineStr">
        <is>
          <t>tgt行 ['4', '', '', '                                                                                                                                                                                                                                                                                                                                                                                                                                                                                                                                                                                                                                                                                                                                                                                                                                                                                                                                                                                                                                                                                                                                                                                                                                                                                                                                                                                                                                                                                                                                                                                                                                                                                                                                                                                                                                                                                                                                                                                                                                                                                                                                                                                                                                                                                                                                                                                                                                                                                                                                                                                                                                                                                                                                                                                                                                                                                                                                                                                                                                                                                                                                                                                                                                                                                                                                                                                                                                                                                                                                                                                                                                            ']列，源：None 备：9a7c351bdd451155eeaa79ff29f5267d</t>
        </is>
      </c>
      <c r="BD4" t="inlineStr">
        <is>
          <t>src行 ['3', '2034-02-21 00:00', '2026-05-26 03:59', '2012-05-11 14:30', '1991-05-11 00:00+14:00', '10', '-12768', '-147483648', '2013-10-01 14:30', '-1.4e+038', '-122337203685477.58', '1999-12-30 23:59', '-1.79e+030', '1', '-2000000000000', 'C1B0C3D4-E8F9-4A5B-6C7D-8E9F0A1B2C3D', '2026-05-26 11:47', '-1223372036854775808', '0x31313131313031323334353637383930', '!TooLong英255Val方&amp;', '0x4023D3A2B7BDC8EDBCFEB9C9B7DDB9ABCBBE0000', '*TooLong英255Val方&amp; ', '~Long英255Val方&amp;', '`Long英255Val方&amp;      ']列，源：aabb81244bb6b42698cb066d93f84f1c 备：None</t>
        </is>
      </c>
      <c r="BE4" t="inlineStr">
        <is>
          <t>src行 ['4', '2054-02-21 00:00', '2026-05-26 23:19', '2002-05-11 14:30', '1991-05-11 00:00+14:00', '77', '1768-05-26 00:00', '-17483648', '2023-09-01 14:30', '-1.4e+038', '-12337203685477.58', '1995-12-30 23:59', '-1.79e+030', '0', '-2000000000000', 'C1B0C3D4-E8F9-4A5B-6C7D-8E9F0A1B2C3D', '2026-05-26 11:47', '-1223372036854775808', '0x31313131313031323334353637383930', '!TooLong英255Val方&amp;', '0x4023D3A2B7BDC8EDBCFEB9C9B7DDB9ABCBBE0000', '*TooLong英255Val方&amp; ', '~Long英255Val方&amp;', '`Long英255Val方&amp;      ']列，源：3a4c446e8b645d7267f67f8930972761 备：None</t>
        </is>
      </c>
      <c r="BF4" t="inlineStr">
        <is>
          <t>tgt行 ['4', '', '', '                                                                                                                                                                                                                                                                                                                                                                                                                                                                                                                                                                                                                                                                                                                                                                                                                                                                                                                                                                                                                                                                                                                                                                                                                                                                                                                                                                                                                                                                                                                                                                                                                                                                                                                                                                                                                                                                                                                                                                                                                                                                                                                                                                                                                                                                                                                                                                                                                                                                                                                                                                                                                                                                                                                                                                                                                                                                                                                                                                                                                                                                                                                                                                                                                                                                                                                                                                                                                                                                                                                                                                                                                                            ']列，源：None 备：9a7c351bdd451155eeaa79ff29f5267d</t>
        </is>
      </c>
      <c r="BG4" t="inlineStr">
        <is>
          <t>tgt行 ['3', '', '', '                                                                                                                                                                                                                                                                                                                                                                                                                                                                                                                                                                                                                                                                                                                                                                                                                                                                                                                                                                                                                                                                                                                                                                                                                                                                                                                                                                                                                                                                                                                                                                                                                                                                                                                                                                                                                                                                                                                                                                                                                                                                                                                                                                                                                                                                                                                                                                                                                                                                                                                                                                                                                                                                                                                                                                                                                                                                                                                                                                                                                                                                                                                                                                                                                                                                                                                                                                                                                                                                                                                                                                                                                                                                                                                                                                                                                                                                                                                                                                                                                                                                                                                                                                ']列，源：None 备：609526bd7fff80e130c30b94dbb52acf</t>
        </is>
      </c>
      <c r="BH4" t="inlineStr">
        <is>
          <t>src行 ['2', '2020-02-29 00:00', '2026-05-26 23:59', '2046-05-11 14:30', '1971-05-11 00:00+14:00', '0', '-32768', '-2147483648', '2023-10-01 14:30', '-3.4e+038', '-922337203685477.58', '9999-12-30 23:59', '-1.79e+308', '0', '-1000000000000000', 'A7B0C3D4-E8F9-4A5B-6C7D-8E9F0A1B2C3D', '2026-05-26 21:47', '-9223372036854775808', '0x3132333435363738393031323334353637383930', '$TooLong英255Val方&amp;', '0xC9CFBAA3D3A2B7BDC8EDBCFEB9C9B7DDB9ABCBBE', '$TooLong英255Val方&amp; ', '$TooLong英255Val方&amp;', '$TooLong英255Val方&amp;   ']列，源：a930edbb558436d89be3046527fbbc16 备：None</t>
        </is>
      </c>
      <c r="BI4" t="inlineStr">
        <is>
          <t>src行 ['1', '2046-05-11 00:00', '2026-05-26 18:10', '2012-05-11 14:30', '1999-05-11 15:30+01:00', '255', '32767', '2147483647', '2012-10-01 14:30', '0', '922337203685477.5807', '2000-05-01 23:59', '6.62607e-034', '1', '123456789012.1234', 'B6B0C3D4-E8F9-4A5B-6C7D-8E9F0A1B2C3E', '1234.5678', '1234567890123', '0x7661726961626C65206C656E6774682062696E61', '这是一个中文字符串', '0xC9CFBAA32324255E262A2D3D0000000000000000', '*TEST英255Val方&amp;    ', '*TEST英255Val方&amp;', '&amp;TooLong英255Val方!   ']列，源：454e62838f72b755db2112c24439cace 备：None</t>
        </is>
      </c>
      <c r="BJ4" t="inlineStr">
        <is>
          <t>src行 ['3', '2034-02-21 00:00', '2026-05-26 03:59', '2012-05-11 14:30', '1991-05-11 00:00+14:00', '10', '-12768', '-147483648', '2013-10-01 14:30', '-1.4e+038', '-122337203685477.58', '1999-12-30 23:59', '-1.79e+030', '1', '-2000000000000', 'C1B0C3D4-E8F9-4A5B-6C7D-8E9F0A1B2C3D', '2026-05-26 11:47', '-1223372036854775808', '0x31313131313031323334353637383930', '!TooLong英255Val方&amp;', '0x4023D3A2B7BDC8EDBCFEB9C9B7DDB9ABCBBE0000', '*TooLong英255Val方&amp; ', '~Long英255Val方&amp;', '`Long英255Val方&amp;      ']列，源：aabb81244bb6b42698cb066d93f84f1c 备：None</t>
        </is>
      </c>
      <c r="BK4" t="inlineStr">
        <is>
          <t>tgt行 ['6', 'Y', '€¶I€¶', '€¶I€¶€¶I€¶€¶I€¶€¶I€¶€¶I€¶€¶I€¶€¶I€¶€¶I€¶€¶I€¶€¶I€¶€¶I€¶€¶I€¶€¶I€¶€¶I€¶€¶I€¶€¶I€¶€¶I€¶€¶I€¶€¶I€¶€¶I€¶€¶I€¶€¶I€¶€¶I€¶€¶I€¶€¶I€¶€¶I€¶€¶I€¶€¶I€¶€¶I€¶€¶I€¶€¶I€¶€¶I€¶€¶I€¶€¶I€¶€¶I€¶€¶I€¶€¶I€¶€¶I€¶€¶I€¶€¶I€¶€¶I€¶€¶I€¶€¶I€¶€¶I€¶€¶I€¶€¶I€¶€¶I€¶€¶I€¶€¶I€¶€¶I€¶€¶I€¶€¶I€¶€¶I€¶€¶I€¶€¶I€¶€¶I€¶€¶I€¶€¶I€¶€¶I€¶€¶I€¶€¶I€¶€¶I€¶€¶I€¶€¶I€¶€¶I€¶€¶I€¶€¶I€¶€¶I€¶€¶I€¶€¶I€¶€¶I€¶€¶I€¶€¶I€¶€¶I€¶€¶I€¶€¶I€¶€¶I€¶€¶I€¶€¶I€¶€¶I€¶€¶I€¶€¶I€¶€¶I€¶€¶I€¶€¶I€¶€¶I€¶€¶I€¶€¶I€¶€¶I€¶€¶I€¶€¶I€¶€¶I€¶€¶I€¶€¶I€¶€¶I€¶€¶I€¶€¶I€¶€¶I€¶€¶I€¶€¶I€¶€¶I€¶€¶I€¶€¶I€¶€¶I€¶€¶I€¶€¶I€¶€¶I€¶€¶I€¶€¶I€¶€¶I€¶€¶I€¶€¶I€¶€¶I€¶€¶I€¶€¶I€¶€¶I€¶€¶I€¶€¶I€¶€¶I€¶€¶I€¶€¶I€¶€¶I€¶€¶I€¶€¶I€¶€¶I€¶€¶I€¶€¶I€¶€¶I€¶€¶I€¶€¶I€¶€¶I€¶€¶I€¶€¶I€¶€¶I€¶€¶I€¶€¶I€¶€¶I€¶€¶I€¶€¶I€¶€¶I€¶€¶I€¶€¶I€¶€¶I€¶€¶I€¶€¶I€¶€¶I€¶€¶I€¶€¶I€¶€¶I€¶€¶I€¶€¶I€¶€¶I€¶€¶I€¶€¶I€¶€¶I€¶€¶I€¶€¶I€¶€¶I€¶€¶I€¶€¶I€¶€¶I€¶€¶I€¶€¶I€¶€¶I€¶€¶I€¶€¶I€¶€¶I€¶€¶I€¶€¶I€¶€¶I€¶€¶I€¶€¶I€¶€¶I€¶€¶I€¶€¶I€¶€¶I€¶€¶I€¶€¶I€¶€¶I€¶€¶I€¶€¶I€¶€¶I€¶€¶I€¶€¶I€¶€¶I€¶€¶I€¶€¶I€¶€¶I€¶€¶I€¶€¶I€¶€¶I€¶€¶I€¶€¶I€¶€¶I€¶€¶I€¶€¶I€¶€¶I€¶€¶I€¶€¶I€¶€¶I€¶                                                                                                                                                                                                                                                                                                                                                                                                                                                                                                                                                                                                                                                                                                                                                                                                                                                                                                                                                                                                                                                                                                                                                                                                                                                                                                                                                                                                                                                                                                                                                                                                                                                                                                                                                                                                                                                                                                                                                                                                                                                                                                                                                                                                                                                                                                                                                                                                                                                                                                                                                                                                    ']列，源：None 备：4e1571524e1cfc2cc4eb4d4e8d16a1f9</t>
        </is>
      </c>
      <c r="BL4" t="inlineStr">
        <is>
          <t>src行 ['4', '2054-02-21 00:00', '2026-05-26 23:19', '2002-05-11 14:30', '1991-05-11 00:00+14:00', '77', '1768-05-26 00:00', '-17483648', '2023-09-01 14:30', '-1.4e+038', '-12337203685477.58', '1995-12-30 23:59', '-1.79e+030', '0', '-2000000000000', 'C1B0C3D4-E8F9-4A5B-6C7D-8E9F0A1B2C3D', '2026-05-26 11:47', '-1223372036854775808', '0x31313131313031323334353637383930', '!TooLong英255Val方&amp;', '0x4023D3A2B7BDC8EDBCFEB9C9B7DDB9ABCBBE0000', '*TooLong英255Val方&amp; ', '~Long英255Val方&amp;', '`Long英255Val方&amp;      ']列，源：3a4c446e8b645d7267f67f8930972761 备：None</t>
        </is>
      </c>
      <c r="BM4" t="inlineStr">
        <is>
          <t>tgt行 ['6', 'Y', '€¶I€¶', '€¶I€¶€¶I€¶€¶I€¶€¶I€¶€¶I€¶€¶I€¶€¶I€¶€¶I€¶€¶I€¶€¶I€¶€¶I€¶€¶I€¶€¶I€¶€¶I€¶€¶I€¶€¶I€¶€¶I€¶€¶I€¶€¶I€¶€¶I€¶€¶I€¶€¶I€¶€¶I€¶€¶I€¶€¶I€¶€¶I€¶€¶I€¶€¶I€¶€¶I€¶€¶I€¶€¶I€¶€¶I€¶€¶I€¶€¶I€¶€¶I€¶€¶I€¶€¶I€¶€¶I€¶€¶I€¶€¶I€¶€¶I€¶€¶I€¶€¶I€¶€¶I€¶€¶I€¶€¶I€¶€¶I€¶€¶I€¶€¶I€¶€¶I€¶€¶I€¶€¶I€¶€¶I€¶€¶I€¶€¶I€¶€¶I€¶€¶I€¶€¶I€¶€¶I€¶€¶I€¶€¶I€¶€¶I€¶€¶I€¶€¶I€¶€¶I€¶€¶I€¶€¶I€¶€¶I€¶€¶I€¶€¶I€¶€¶I€¶€¶I€¶€¶I€¶€¶I€¶€¶I€¶€¶I€¶€¶I€¶€¶I€¶€¶I€¶€¶I€¶€¶I€¶€¶I€¶€¶I€¶€¶I€¶€¶I€¶€¶I€¶€¶I€¶€¶I€¶€¶I€¶€¶I€¶€¶I€¶€¶I€¶€¶I€¶€¶I€¶€¶I€¶€¶I€¶€¶I€¶€¶I€¶€¶I€¶€¶I€¶€¶I€¶€¶I€¶€¶I€¶€¶I€¶€¶I€¶€¶I€¶€¶I€¶€¶I€¶€¶I€¶€¶I€¶€¶I€¶€¶I€¶€¶I€¶€¶I€¶€¶I€¶€¶I€¶€¶I€¶€¶I€¶€¶I€¶€¶I€¶€¶I€¶€¶I€¶€¶I€¶€¶I€¶€¶I€¶€¶I€¶€¶I€¶€¶I€¶€¶I€¶€¶I€¶€¶I€¶€¶I€¶€¶I€¶€¶I€¶€¶I€¶€¶I€¶€¶I€¶€¶I€¶€¶I€¶€¶I€¶€¶I€¶€¶I€¶€¶I€¶€¶I€¶€¶I€¶€¶I€¶€¶I€¶€¶I€¶€¶I€¶€¶I€¶€¶I€¶€¶I€¶€¶I€¶€¶I€¶€¶I€¶€¶I€¶€¶I€¶€¶I€¶€¶I€¶€¶I€¶€¶I€¶€¶I€¶€¶I€¶€¶I€¶€¶I€¶€¶I€¶€¶I€¶€¶I€¶€¶I€¶€¶I€¶€¶I€¶€¶I€¶€¶I€¶€¶I€¶€¶I€¶€¶I€¶€¶I€¶€¶I€¶€¶I€¶€¶I€¶€¶I€¶€¶I€¶€¶I€¶€¶I€¶€¶I€¶€¶I€¶€¶I€¶€¶I€¶€¶I€¶€¶I€¶€¶I€¶€¶I€¶€¶I€¶€¶I€¶€¶I€¶€¶I€¶€¶I€¶€¶I€¶€¶I€¶€¶I€¶                                                                                                                                                                                                                                                                                                                                                                                                                                                                                                                                                                                                                                                                                                                                                                                                                                                                                                                                                                                                                                                                                                                                                                                                                                                                                                                                                                                                                                                                                                                                                                                                                                                                                                                                                                                                                                                                                                                                                                                                                                                                                                                                                                                                                                                                                                                                                                                                                                                                                                                                                                                                    ']列，源：None 备：4e1571524e1cfc2cc4eb4d4e8d16a1f9</t>
        </is>
      </c>
      <c r="BN4" t="inlineStr">
        <is>
          <t>tgt行 ['26', 'Y', '€¶I€¶', '€¶I€¶€¶I€¶€¶I€¶€¶I€¶€¶I€¶€¶I€¶€¶I€¶€¶I€¶€¶I€¶€¶I€¶€¶I€¶€¶I€¶€¶I€¶€¶I€¶€¶I€¶€¶I€¶€¶I€¶€¶I€¶€¶I€¶€¶I€¶€¶I€¶€¶I€¶€¶I€¶€¶I€¶€¶I€¶€¶I€¶€¶I€¶€¶I€¶€¶I€¶€¶I€¶€¶I€¶€¶I€¶€¶I€¶€¶I€¶€¶I€¶€¶I€¶€¶I€¶€¶I€¶€¶I€¶€¶I€¶€¶I€¶€¶I€¶€¶I€¶€¶I€¶€¶I€¶€¶I€¶€¶I€¶€¶I€¶€¶I€¶€¶I€¶€¶I€¶€¶I€¶€¶I€¶€¶I€¶€¶I€¶€¶I€¶€¶I€¶€¶I€¶€¶I€¶€¶I€¶€¶I€¶€¶I€¶€¶I€¶€¶I€¶€¶I€¶€¶I€¶€¶I€¶€¶I€¶€¶I€¶€¶I€¶€¶I€¶€¶I€¶€¶I€¶€¶I€¶€¶I€¶€¶I€¶€¶I€¶€¶I€¶€¶I€¶€¶I€¶€¶I€¶€¶I€¶€¶I€¶€¶I€¶€¶I€¶€¶I€¶€¶I€¶€¶I€¶€¶I€¶€¶I€¶€¶I€¶€¶I€¶€¶I€¶€¶I€¶€¶I€¶€¶I€¶€¶I€¶€¶I€¶€¶I€¶€¶I€¶€¶I€¶€¶I€¶€¶I€¶€¶I€¶€¶I€¶€¶I€¶€¶I€¶€¶I€¶€¶I€¶€¶I€¶€¶I€¶€¶I€¶€¶I€¶€¶I€¶€¶I€¶€¶I€¶€¶I€¶€¶I€¶€¶I€¶€¶I€¶€¶I€¶€¶I€¶€¶I€¶€¶I€¶€¶I€¶€¶I€¶€¶I€¶€¶I€¶€¶I€¶€¶I€¶€¶I€¶€¶I€¶€¶I€¶€¶I€¶€¶I€¶€¶I€¶€¶I€¶€¶I€¶€¶I€¶€¶I€¶€¶I€¶€¶I€¶€¶I€¶€¶I€¶€¶I€¶€¶I€¶€¶I€¶€¶I€¶€¶I€¶€¶I€¶€¶I€¶€¶I€¶€¶I€¶€¶I€¶€¶I€¶€¶I€¶€¶I€¶€¶I€¶€¶I€¶€¶I€¶€¶I€¶€¶I€¶€¶I€¶€¶I€¶€¶I€¶€¶I€¶€¶I€¶€¶I€¶€¶I€¶€¶I€¶€¶I€¶€¶I€¶€¶I€¶€¶I€¶€¶I€¶€¶I€¶€¶I€¶€¶I€¶€¶I€¶€¶I€¶€¶I€¶€¶I€¶€¶I€¶€¶I€¶€¶I€¶€¶I€¶€¶I€¶€¶I€¶€¶I€¶€¶I€¶€¶I€¶€¶I€¶€¶I€¶€¶I€¶€¶I€¶€¶I€¶€¶I€¶€¶I€¶€¶I€¶€¶I€¶                                                                                                                                                                                                                                                                                                                                                                                                                                                                                                                                                                                                                                                                                                                                                                                                                                                                                                                                                                                                                                                                                                                                                                                                                                                                                                                                                                                                                                                                                                                                                                                                                                                                                                                                                                                                                                                                                                                                                                                                                                                                                                                                                                                                                                                                                                                                                                                                                                                                                                                                                                                                    ']列，源：None 备：861f8bd62324fa207cefffa797a08398</t>
        </is>
      </c>
      <c r="BO4" t="inlineStr">
        <is>
          <t>tgt行 ['2',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备：e4c6a50f87744375a17663a80de1e83b</t>
        </is>
      </c>
      <c r="BP4" t="inlineStr">
        <is>
          <t>tgt行 ['2',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备：e934e9ccc2c18abe60ebba9e0d9d25e8</t>
        </is>
      </c>
      <c r="BQ4" t="inlineStr">
        <is>
          <t>src行 ['2', ' ', '                    ', '                                                                                                                                                                                                                                                                                                                                                                                                                                                                                                                                                                                                                                                                                                                                                                                                                                                                                                                                                                                                                                                                                                                                                                                                                                                                                                                                                                                                                                                                                                                                                                                                                                                                                                                                                                                                                                                                                                                                                                                                                                                                                                                                                                                                                                                                                                                                                                                                                                                                                                                                                                                                                                                                                                                                                                                                                                                                                                                                                                                                                                                                                                                                                                                                                                                                                                                                                                                                                                                                                                                                                                                                                                            ']列，源：02d9880d07a3d705c0a13a24433be8c8 备：None</t>
        </is>
      </c>
      <c r="BR4" t="inlineStr">
        <is>
          <t>tgt行 ['7', '255', '32767', '2147483647', '9223372036854775808', '', '', '', '', '', '', '', '', '', '', '', '', '', '', '']列，源：None 备：20f2834ef0775cc8e2a6f6d9df406343</t>
        </is>
      </c>
      <c r="BS4" t="inlineStr">
        <is>
          <t>tgt行 ['7', '255', '32767', '2147483647', '9223372036854775808', '', '', '', '', '', '', '', '', '', '', '', '', '', '', '']列，源：None 备：20f2834ef0775cc8e2a6f6d9df406343</t>
        </is>
      </c>
      <c r="BT4" t="inlineStr">
        <is>
          <t>tgt行 ['7', '255', '32767', '2147483647', '9223372036854775808', '', '', '', '', '', '', '', '', '', '', '', '', '', '', '']列，源：None 备：20f2834ef0775cc8e2a6f6d9df406343</t>
        </is>
      </c>
      <c r="BU4" t="inlineStr">
        <is>
          <t>tgt行 ['7', '255', '32767', '2147483647', '9223372036854775808', '', '', '', '', '', '', '', '', '', '', '', '', '', '', '']列，源：None 备：20f2834ef0775cc8e2a6f6d9df406343</t>
        </is>
      </c>
    </row>
    <row r="5">
      <c r="B5" t="inlineStr">
        <is>
          <t>NULL</t>
        </is>
      </c>
      <c r="C5" t="inlineStr">
        <is>
          <t>NULL</t>
        </is>
      </c>
      <c r="D5" t="inlineStr">
        <is>
          <t>NULL</t>
        </is>
      </c>
      <c r="E5" t="inlineStr">
        <is>
          <t>NULL</t>
        </is>
      </c>
      <c r="F5" t="inlineStr">
        <is>
          <t>NULL</t>
        </is>
      </c>
      <c r="G5" t="inlineStr">
        <is>
          <t>NULL</t>
        </is>
      </c>
      <c r="H5" t="inlineStr">
        <is>
          <t>NULL</t>
        </is>
      </c>
      <c r="I5" t="inlineStr">
        <is>
          <t>NULL</t>
        </is>
      </c>
      <c r="J5" t="inlineStr">
        <is>
          <t>NULL</t>
        </is>
      </c>
      <c r="K5" t="inlineStr">
        <is>
          <t>[0;32m YES! [0m 	 c_time0列源备映射正确，源端为time None位	期望更改为varchar(20)	实际备端为varchar 80位	位数精度不存在，通过长度比较</t>
        </is>
      </c>
      <c r="Y5" t="inlineStr">
        <is>
          <t>src行 ['2', ' ', '                    ', '                                                                                                                                                                                                                                                                                                                                                                                                                                                                                                                                                                                                                                                                                                                                                                                                                                                                                                                                                                                                                                                                                                                                                                                                                                                                                                                                                                                                                                                                                                                                                                                                                                                                                                                                                                                                                                                                                                                                                                                                                                                                                                                                                                                                                                                                                                                                                                                                                                                                                                                                                                                                                                                                                                                                                                                                                                                                                                                                                                                                                                                                                                                                                                                                                                                                                                                                                                                                                                                                                                                                                                                                                                                                                                                                                                                                                                                                                                                                                                                                                                                                                                                                                                                                                                                                                                                                                                                                                                                                                                                                                                                                                                                                                                                                                                                                                                                                                                                                                                                                                                                                                                                                                                                                                                                                                                                                                                                                                                                                                                                                                                                                                                                                                                                                                                                                                                                                                                                                                                                                                                                                                                                                                                                                                                                                                                                                                                                                                                                                                                                                                                                                                                                                                                                                                                                                                                                                                                                                                                                                                                                                                                                                                                                                                                                                                        ']列，源：e6e9184d117f9a63cd2a757d28d0a88d 备：None</t>
        </is>
      </c>
      <c r="Z5" t="inlineStr">
        <is>
          <t>tgt行 ['4', '', '', '                                                                                                                                                                                                                                                                                                                                                                                                                                                                                                                                                                                                                                                                                                                                                                                                                                                                                                                                                                                                                                                                                                                                                                                                                                                                                                                                                                                                                                                                                                                                                                                                                                                                                                                                                                                                                                                                                                                                                                                                                                                                                                                                                                                                                                                                                                                                                                                                                                                                                                                                                                                                                                                                                                                                                                                                                                                                                                                                                                                                                                                                                                                                                                                                                                                                                                                                                                                                                                                                                                                                                                                                                                                                                                                                                                                                                                                                                                                                                                                                                                                                                                                                                                                                                                                                                                                                                                                                                                                                                                                                                                                                                                                                                                                                                                                                                                                                                                                                                                                                                                                                                                                                                                                                                                                                                                                                                                                                                                                                                                                                                                                                                                                                                                                                                                                                                                                                                                                                                                                                                                                                                                                                                                                                                                                                                                                                                                                                                                                                                                                                                                                                                                                                                                                                                                                                                                                                                                                                                                                                                                                                                                                                                                                                                                                                                                                                                                                                                                                                                                                                                                                                                                                                                                                                                                                                                                                                                                                                                                                                                                                                                                                                                                                                                                                                                                                                ']列，源：None 备：ca3b4ecac068926407fdab0f959c9b50</t>
        </is>
      </c>
      <c r="AA5" t="inlineStr">
        <is>
          <t>src行 ['2', ' ', '                    ', '                                                                                                                                                                                                                                                                                                                                                                                                                                                                                                                                                                                                                                                                                                                                                                                                                                                                                                                                                                                                                                                                                                                                                                                                                                                                                                                                                                                                                                                                                                                                                                                                                                                                                                                                                                                                                                                                                                                                                                                                                                                                                                                                                                                                                                                                                                                                                                                                                                                                                                                                                                                                                                                                                                                                                                                                                                                                                                                                                                                                                                                                                                                                                                                                                                                                                                                                                                                                                                                                                                                                                                                                                                                                                                                                                                                                                                                                                                                                                                                                                                                                                                                                                                                                                                                                                                                                                                                                                                                                                                                                                                                                                                                                                                                                                                                                                                                                                                                                                                                                                                                                                                                                                                                                                                                                                                                                                                                                                                                                                                                                                                                                                                                                                                                                                                                                                                                                                                                                                                                                                                                                                                                                                                                                                                                                                                                                                                                                                                                                                                                                                                                                                                                                                                                                                                                                                                                                                                                                                                                                                                                                                                                                                                                                                                                                                        ']列，源：e6e9184d117f9a63cd2a757d28d0a88d 备：None</t>
        </is>
      </c>
      <c r="AB5" t="inlineStr">
        <is>
          <t>tgt行 ['4', '', '', '                                                                                                                                                                                                                                                                                                                                                                                                                                                                                                                                                                                                                                                                                                                                                                                                                                                                                                                                                                                                                                                                                                                                                                                                                                                                                                                                                                                                                                                                                                                                                                                                                                                                                                                                                                                                                                                                                                                                                                                                                                                                                                                                                                                                                                                                                                                                                                                                                                                                                                                                                                                                                                                                                                                                                                                                                                                                                                                                                                                                                                                                                                                                                                                                                                                                                                                                                                                                                                                                                                                                                                                                                                                                                                                                                                                                                                                                                                                                                                                                                                                                                                                                                                                                                                                                                                                                                                                                                                                                                                                                                                                                                                                                                                                                                                                                                                                                                                                                                                                                                                                                                                                                                                                                                                                                                                                                                                                                                                                                                                                                                                                                                                                                                                                                                                                                                                                                                                                                                                                                                                                                                                                                                                                                                                                                                                                                                                                                                                                                                                                                                                                                                                                                                                                                                                                                                                                                                                                                                                                                                                                                                                                                                                                                                                                                                        ']列，源：None 备：6513d7866b5552d16b48bd1761452a95</t>
        </is>
      </c>
      <c r="AC5" t="inlineStr">
        <is>
          <t>src行 ['2', '/']列，源：1863203c3dc3eb634853d840e8a83eec 备：None</t>
        </is>
      </c>
      <c r="AD5" t="inlineStr">
        <is>
          <t>tgt行 ['4', '', '', '                                                                                                                                                                                                                                                                                                                                                                                                                                                                                                                                                                                                                                                                                                                                                                                                                                                                                                                                                                                                                                                                                                                                                                                                                                                                                                                                                                                                                                                                                                                                                                                                                                                                                                                                                                                                                                                                                                                                                                                                                                                                                                                                                                                                                                                                                                                                                                                                                                                                                                                                                                                                                                                                                                                                                                                                                                                                                                                                                                                                                                                                                                                                                                                                                                                                                                                                                                                                                                                                                                                                                                                                                                                                                                                                                                                                                                                                                                                                                                                                                                                                                                                                                                                                                                                                                                                                                                                                                                                                                                                                                                                                                                                                                                                                                                                                                                                                                                                                                                                                                                                                                                                                                                                                                                                                                                                                                                                                                                                                                                                                                                                                                                                                                                                                                                                                                                                                                                                                                                                                                                                                                                                                                                                                                                                                                                                                                                                                                                                                                                                                                                                                                                                                                                                                                                                                                                                                                                                                                                                                                                                                                                                                                                                                                                                                                                                                                                                                                                                                                                                                                                                                                                                                                                                                                                                                                                                                                                                                                                                                                                                                                                                                                                                                                                                                                                                                ']列，源：None 备：ca3b4ecac068926407fdab0f959c9b50</t>
        </is>
      </c>
      <c r="AE5" t="inlineStr">
        <is>
          <t>src行 ['2', '/']列，源：1863203c3dc3eb634853d840e8a83eec 备：None</t>
        </is>
      </c>
      <c r="AF5" t="inlineStr">
        <is>
          <t>tgt行 ['5',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备：4281df298c294c60a234792539d5fd8a</t>
        </is>
      </c>
      <c r="AG5" t="inlineStr">
        <is>
          <t>tgt行 ['4', '', '', '                                                                                                                                                                                                                                                                                                                                                                                                                                                                                                                                                                                                                                                                                                                                                                                                                                                                                                                                                                                                                                                                                                                                                                                                                                                                                                                                                                                                                                                                                                                                                                                                                                                                                                                                                                                                                                                                                                                                                                                                                                                                                                                                                                                                                                                                                                                                                                                                                                                                                                                                                                                                                                                                                                                                                                                                                                                                                                                                                                                                                                                                                                                                                                                                                                                                                                                                                                                                                                                                                                                                                                                                                                                                                                                                                                                                                                                                                                                                                                                                                                                                                                                                                                                                                                                                                                                                                                                                                                                                                                                                                                                                                                                                                                                                                                                                                                                                                                                                                                                                                                                                                                                                                                                                                                                                                                                                                                                                                                                                                                                                                                                                                                                                                                                                                                                                                                                                                                                                                                                                                                                                                                                                                                                                                                                                                                                                                                                                                                                                                                                                                                                                                                                                                                                                                                                                                                                                                                                                                                                                                                                                                                                                                                                                                                                                                        ']列，源：None 备：6513d7866b5552d16b48bd1761452a95</t>
        </is>
      </c>
      <c r="AH5" t="inlineStr">
        <is>
          <t>tgt行 ['5',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备：4281df298c294c60a234792539d5fd8a</t>
        </is>
      </c>
      <c r="AI5" t="inlineStr">
        <is>
          <t>src行 ['5', '?', '€?I€?               ', '€?I€?€?I€?€?I€?€?I€?€?I€?€?I€?€?I€?€?I€?€?I€?€?I€?€?I€?€?I€?€?I€?€?I€?€?I€?€?I€?€?I€?€?I€?€?I€?€?I€?€?I€?€?I€?€?I€?€?I€?€?I€?€?I€?€?I€?€?I€?€?I€?€?I€?€?I€?€?I€?€?I€?€?I€?€?I€?€?I€?€?I€?€?I€?€?I€?€?I€?€?I€?€?I€?€?I€?€?I€?€?I€?€?I€?€?I€?€?I€?€?I€?€?I€?€?I€?€?I€?€?I€?€?I€?€?I€?€?I€?€?I€?€?I€?€?I€?€?I€?€?I€?€?I€?€?I€?€?I€?€?I€?€?I€?€?I€?€?I€?€?I€?€?I€?€?I€?€?I€?€?I€?€?I€?€?I€?€?I€?€?I€?€?I€?€?I€?€?I€?€?I€?€?I€?€?I€?€?I€?€?I€?€?I€?€?I€?€?I€?€?I€?€?I€?€?I€?€?I€?€?I€?€?I€?€?I€?€?I€?€?I€?€?I€?€?I€?€?I€?€?I€?€?I€?€?I€?€?I€?€?I€?€?I€?€?I€?€?I€?€?I€?€?I€?€?I€?€?I€?€?I€?€?I€?€?I€?€?I€?€?I€?€?I€?€?I€?€?I€?€?I€?€?I€?€?I€?€?I€?€?I€?€?I€?€?I€?€?I€?€?I€?€?I€?€?I€?€?I€?€?I€?€?I€?€?I€?€?I€?€?I€?€?I€?€?I€?€?I€?€?I€?€?I€?€?I€?€?I€?€?I€?€?I€?€?I€?€?I€?€?I€?€?I€?€?I€?€?I€?€?I€?€?I€?€?I€?€?I€?€?I€?€?I€?€?I€?€?I€?€?I€?€?I€?€?I€?€?I€?€?I€?€?I€?€?I€?€?I€?€?I€?€?I€?€?I€?€?I€?€?I€?€?I€?€?I€?€?I€?€?I€?€?I€?€?I€?€?I€?€?I€?€?I€?€?I€?€?I€?€?I€?€?I€?€?I€?€?I€?€?I€?€?I€?€?I€?€?I€?€?I€?€?I€?€?I€?€?I€?€?I€?€?I€?€?I€?€?I€?                                                                                                                                                                                                                                                                                                                                                                                                                                                                                                                                                                                                                                                                                                                                                                                                                                                                                                                                                                                                                                                                                                                                                                                                                                                                                                                                                                                                                                                                                                                                                                                                                                                                                                                                                                                                                                                                                                                                                                                                                                                                                                                                                                                                                                                                                                                                                                                                                                                                                                                                                                                                                                                                                                                                                                                                                                                                                                                                                                                                                                                                                                                                                                                                                                                                                                                                                                                                                                                                                                                                                                                                                                                                                                                                                                                                                                                                                                                                                                                                                                                                                                                                                                                                                                                                                                                                                                                                                                                                                                                                                                                                                                                                                                                                                                                                                                                                                                                                                                                                                                                                                                                                                                                                                                                                                                                                                                                                                                                                                                                                                                                                                                                                                                                                                                                                                                                                                                                                                                                                                                                                                                                                                                                                                                                ']列，源：0cc90592b8029f64baaf14f0c7b71028 备：None</t>
        </is>
      </c>
      <c r="AJ5" t="inlineStr">
        <is>
          <t>src行 ['2', ' ', '                    ', '                                                                                                                                                                                                                                                                                                                                                                                                                                                                                                                                                                                                                                                                                                                                                                                                                                                                                                                                                                                                                                                                                                                                                                                                                                                                                                                                                                                                                                                                                                                                                                                                                                                                                                                                                                                                                                                                                                                                                                                                                                                                                                                                                                                                                                                                                                                                                                                                                                                                                                                                                                                                                                                                                                                                                                                                                                                                                                                                                                                                                                                                                                                                                                                                                                                                                                                                                                                                                                                                                                                                                                                                                                                                                                                                                                                                                                                                                                                                                                                                                                                                                                                                                                                                                                                                                                                                                                                                                                                                                                                                                                                                                                                                                                                                                                                                                                                                                                                                                                                                                                                                                                                                                                                                                                                                                                                                                                                                                                                                                                                                                                                                                                                                                                                                                                                                                                                                                                                                                                                                                                                                                                                                                                                                                                                                                                                                                                                                                                                                                                                                                                                                                                                                                                                                                                                                                                                                                                                                                                                                                                                                                                                                                                                                                                                                                        ']列，源：e6e9184d117f9a63cd2a757d28d0a88d 备：None</t>
        </is>
      </c>
      <c r="AK5" t="inlineStr">
        <is>
          <t>src行 ['2', ' ', '                    ', '                                                                                                                                                                                                                                                                                                                                                                                                                                                                                                                                                                                                                                                                                                                                                                                                                                                                                                                                                                                                                                                                                                                                                                                                                                                                                                                                                                                                                                                                                                                                                                                                                                                                                                                                                                                                                                                                                                                                                                                                                                                                                                                                                                                                                                                                                                                                                                                                                                                                                                                                                                                                                                                                                                                                                                                                                                                                                                                                                                                                                                                                                                                                                                                                                                                                                                                                                                                                                                                                                                                                                                                                                                                                                                                                                                                                                                                                                                                                                                                                                                                                                                                                                                                                                                                                                                                                                                                                                                                                                                                                                                                                                                                                                                                                                                                                                                                                                                                                                                                                                                                                                                                                                                                                                                                                                                                                                                                                                                                                                                                                                                                                                                                                                                                                                                                                                                                                                                                                                                                                                                                                                                                                                                                                                                                                                                                                                                                                                                                                                                                                                                                                                                                                                                                                                                                                                                                                                                                                                                                                                                                                                                                                                                                                                                                                                        ']列，源：e6e9184d117f9a63cd2a757d28d0a88d 备：None</t>
        </is>
      </c>
      <c r="AL5" t="inlineStr">
        <is>
          <t>tgt行 ['4', '', '', '                                                                                                                                                                                                                                                                                                                                                                                                                                                                                                                                                                                                                                                                                                                                                                                                                                                                                                                                                                                                                                                                                                                                                                                                                                                                                                                                                                                                                                                                                                                                                                                                                                                                                                                                                                                                                                                                                                                                                                                                                                                                                                                                                                                                                                                                                                                                                                                                                                                                                                                                                                                                                                                                                                                                                                                                                                                                                                                                                                                                                                                                                                                                                                                                                                                                                                                                                                                                                                                                                                                                                                                                                                                                                                                                                                                                                                                                                                                                                                                                                                                                                                                                                                                                                                                                                                                                                                                                                                                                                                                                                                                                                                                                                                                                                                                                                                                                                                                                                                                                                                                                                                                                                                                                                                                                                                                                                                                                                                                                                                                                                                                                                                                                                                                                                                                                                                                                                                                                                                                                                                                                                                                                                                                                                                                                                                                                                                                                                                                                                                                                                                                                                                                                                                                                                                                                                                                                                                                                                                                                                                                                                                                                                                                                                                                                                                                                                                                                                                                                                                                                                                                                                                                                                                                                                                                                                                                                                                                                                                                                                                                                                                                                                                                                                                                                                                                                ']列，源：None 备：ca3b4ecac068926407fdab0f959c9b50</t>
        </is>
      </c>
      <c r="AM5" t="inlineStr">
        <is>
          <t>src行 ['1',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']列，源：9305dacb941d4a4d6647295bd59fb788 备：None</t>
        </is>
      </c>
      <c r="AO5" t="inlineStr">
        <is>
          <t>tgt行 ['5',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备：4281df298c294c60a234792539d5fd8a</t>
        </is>
      </c>
      <c r="AP5" t="inlineStr">
        <is>
          <t>tgt行 ['4', '', '', '                                                                                                                                                                                                                                                                                                                                                                                                                                                                                                                                                                                                                                                                                                                                                                                                                                                                                                                                                                                                                                                                                                                                                                                                                                                                                                                                                                                                                                                                                                                                                                                                                                                                                                                                                                                                                                                                                                                                                                                                                                                                                                                                                                                                                                                                                                                                                                                                                                                                                                                                                                                                                                                                                                                                                                                                                                                                                                                                                                                                                                                                                                                                                                                                                                                                                                                                                                                                                                                                                                                                                                                                                                                                                                                                                                                                                                                                                                                                                                                                                                                                                                                                                                ']列，源：None 备：9cbb5e37aaf0f65e272f7adc2b875040</t>
        </is>
      </c>
      <c r="AS5" t="inlineStr">
        <is>
          <t>src行 ['2', ' ', '                    ', '                                                                                                                                                                                                                                                                                                                                                                                                                                                                                                                                                                                                                                                                                                                                                                                                                                                                                                                                                                                                                                                                                                                                                                                                                                                                                                                                                                                                                                                                                                                                                                                                                                                                                                                                                                                                                                                                                                                                                                                                                                                                                                                                                                                                                                                                                                                                                                                                                                                                                                                                                                                                                                                                                                                                                                                                                                                                                                                                                                                                                                                                                                                                                                                                                                                                                                                                                                                                                                                                                                                                                                                                                                            ']列，源：02d9880d07a3d705c0a13a24433be8c8 备：None</t>
        </is>
      </c>
      <c r="AT5" t="inlineStr">
        <is>
          <t>tgt行 ['4', '', '', '                                                                                                                                                                                                                                                                                                                                                                                                                                                                                                                                                                                                                                                                                                                                                                                                                                                                                                                                                                                                                                                                                                                                                                                                                                                                                                                                                                                                                                                                                                                                                                                                                                                                                                                                                                                                                                                                                                                                                                                                                                                                                                                                                                                                                                                                                                                                                                                                                                                                                                                                                                                                                                                                                                                                                                                                                                                                                                                                                                                                                                                                                                                                                                                                                                                                                                                                                                                                                                                                                                                                                                                                                                            ']列，源：None 备：9a7c351bdd451155eeaa79ff29f5267d</t>
        </is>
      </c>
      <c r="AU5" t="inlineStr">
        <is>
          <t>src行 ['2', ' ', '                    ', '                                                                                                                                                                                                                                                                                                                                                                                                                                                                                                                                                                                                                                                                                                                                                                                                                                                                                                                                                                                                                                                                                                                                                                                                                                                                                                                                                                                                                                                                                                                                                                                                                                                                                                                                                                                                                                                                                                                                                                                                                                                                                                                                                                                                                                                                                                                                                                                                                                                                                                                                                                                                                                                                                                                                                                                                                                                                                                                                                                                                                                                                                                                                                                                                                                                                                                                                                                                                                                                                                                                                                                                                                                            ']列，源：02d9880d07a3d705c0a13a24433be8c8 备：None</t>
        </is>
      </c>
      <c r="AW5" t="inlineStr">
        <is>
          <t>tgt行 ['4', '', '', '                                                                                                                                                                                                                                                                                                                                                                                                                                                                                                                                                                                                                                                                                                                                                                                                                                                                                                                                                                                                                                                                                                                                                                                                                                                                                                                                                                                                                                                                                                                                                                                                                                                                                                                                                                                                                                                                                                                                                                                                                                                                                                                                                                                                                                                                                                                                                                                                                                                                                                                                                                                                                                                                                                                                                                                                                                                                                                                                                                                                                                                                                                                                                                                                                                                                                                                                                                                                                                                                                                                                                                                                                                                                                                                                                                                                                                                                                                                                                                                                                                                                                                                                                                ']列，源：None 备：9cbb5e37aaf0f65e272f7adc2b875040</t>
        </is>
      </c>
      <c r="AX5" t="inlineStr">
        <is>
          <t>tgt行 ['4', '', '', '                                                                                                                                                                                                                                                                                                                                                                                                                                                                                                                                                                                                                                                                                                                                                                                                                                                                                                                                                                                                                                                                                                                                                                                                                                                                                                                                                                                                                                                                                                                                                                                                                                                                                                                                                                                                                                                                                                                                                                                                                                                                                                                                                                                                                                                                                                                                                                                                                                                                                                                                                                                                                                                                                                                                                                                                                                                                                                                                                                                                                                                                                                                                                                                                                                                                                                                                                                                                                                                                                                                                                                                                                                            ']列，源：None 备：9a7c351bdd451155eeaa79ff29f5267d</t>
        </is>
      </c>
      <c r="BC5" t="inlineStr">
        <is>
          <t>src行 ['2', ' ', '                    ', '                                                                                                                                                                                                                                                                                                                                                                                                                                                                                                                                                                                                                                                                                                                                                                                                                                                                                                                                                                                                                                                                                                                                                                                                                                                                                                                                                                                                                                                                                                                                                                                                                                                                                                                                                                                                                                                                                                                                                                                                                                                                                                                                                                                                                                                                                                                                                                                                                                                                                                                                                                                                                                                                                                                                                                                                                                                                                                                                                                                                                                                                                                                                                                                                                                                                                                                                                                                                                                                                                                                                                                                                                                            ']列，源：02d9880d07a3d705c0a13a24433be8c8 备：None</t>
        </is>
      </c>
      <c r="BF5" t="inlineStr">
        <is>
          <t>src行 ['2', ' ', '                    ', '                                                                                                                                                                                                                                                                                                                                                                                                                                                                                                                                                                                                                                                                                                                                                                                                                                                                                                                                                                                                                                                                                                                                                                                                                                                                                                                                                                                                                                                                                                                                                                                                                                                                                                                                                                                                                                                                                                                                                                                                                                                                                                                                                                                                                                                                                                                                                                                                                                                                                                                                                                                                                                                                                                                                                                                                                                                                                                                                                                                                                                                                                                                                                                                                                                                                                                                                                                                                                                                                                                                                                                                                                                            ']列，源：02d9880d07a3d705c0a13a24433be8c8 备：None</t>
        </is>
      </c>
      <c r="BG5" t="inlineStr">
        <is>
          <t>tgt行 ['4', '', '', '                                                                                                                                                                                                                                                                                                                                                                                                                                                                                                                                                                                                                                                                                                                                                                                                                                                                                                                                                                                                                                                                                                                                                                                                                                                                                                                                                                                                                                                                                                                                                                                                                                                                                                                                                                                                                                                                                                                                                                                                                                                                                                                                                                                                                                                                                                                                                                                                                                                                                                                                                                                                                                                                                                                                                                                                                                                                                                                                                                                                                                                                                                                                                                                                                                                                                                                                                                                                                                                                                                                                                                                                                                                                                                                                                                                                                                                                                                                                                                                                                                                                                                                                                                ']列，源：None 备：9cbb5e37aaf0f65e272f7adc2b875040</t>
        </is>
      </c>
      <c r="BK5" t="inlineStr">
        <is>
          <t>tgt行 ['7',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备：e377c612ccb3d914d2fc683779215114</t>
        </is>
      </c>
      <c r="BM5" t="inlineStr">
        <is>
          <t>tgt行 ['7',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备：e377c612ccb3d914d2fc683779215114</t>
        </is>
      </c>
      <c r="BN5" t="inlineStr">
        <is>
          <t>tgt行 ['27',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备：0d98e9bb8204fd1c68bac115ac428f2b</t>
        </is>
      </c>
      <c r="BO5" t="inlineStr">
        <is>
          <t>src行 ['1',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']列，源：c82eac5b73374254a597fdc4c56e9271 备：None</t>
        </is>
      </c>
      <c r="BP5" t="inlineStr">
        <is>
          <t>tgt行 ['3',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备：0a5e66ca9309048875c3f810c89c08bf</t>
        </is>
      </c>
      <c r="BR5"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S5" t="inlineStr">
        <is>
          <t>tgt行 ['52', '255', '32767', '2147483647', '9223372036854775808', '', '', '', '', '', '', '', '', '', '', '', '', '', '', '']列，源：None 备：9edd1ec9c2018553f7a3ba187eeb0c8e</t>
        </is>
      </c>
      <c r="BT5"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U5" t="inlineStr">
        <is>
          <t>tgt行 ['52', '255', '32767', '2147483647', '9223372036854775808', '', '', '', '', '', '', '', '', '', '', '', '', '', '', '']列，源：None 备：9edd1ec9c2018553f7a3ba187eeb0c8e</t>
        </is>
      </c>
    </row>
    <row r="6">
      <c r="B6" t="inlineStr">
        <is>
          <t>NULL</t>
        </is>
      </c>
      <c r="C6" t="inlineStr">
        <is>
          <t>NULL</t>
        </is>
      </c>
      <c r="D6" t="inlineStr">
        <is>
          <t>NULL</t>
        </is>
      </c>
      <c r="E6" t="inlineStr">
        <is>
          <t>NULL</t>
        </is>
      </c>
      <c r="F6" t="inlineStr">
        <is>
          <t>NULL</t>
        </is>
      </c>
      <c r="G6" t="inlineStr">
        <is>
          <t>NULL</t>
        </is>
      </c>
      <c r="H6" t="inlineStr">
        <is>
          <t>NULL</t>
        </is>
      </c>
      <c r="I6" t="inlineStr">
        <is>
          <t>NULL</t>
        </is>
      </c>
      <c r="J6" t="inlineStr">
        <is>
          <t>NULL</t>
        </is>
      </c>
      <c r="K6" t="inlineStr">
        <is>
          <t>[0;32m YES! [0m 	 c_time1列源备映射正确，源端为time None位	期望更改为varchar(20)	实际备端为varchar 80位	位数精度不存在，通过长度比较</t>
        </is>
      </c>
      <c r="Y6" t="inlineStr">
        <is>
          <t>src行 ['4', ' ', '                    ', '                                                                                                                                                                                                                                                                                                                                                                                                                                                                                                                                                                                                                                                                                                                                                                                                                                                                                                                                                                                                                                                                                                                                                                                                                                                                                                                                                                                                                                                                                                                                                                                                                                                                                                                                                                                                                                                                                                                                                                                                                                                                                                                                                                                                                                                                                                                                                                                                                                                                                                                                                                                                                                                                                                                                                                                                                                                                                                                                                                                                                                                                                                                                                                                                                                                                                                                                                                                                                                                                                                                                                                                                                                                                                                                                                                                                                                                                                                                                                                                                                                                                                                                                                                                                                                                                                                                                                                                                                                                                                                                                                                                                                                                                                                                                                                                                                                                                                                                                                                                                                                                                                                                                                                                                                                                                                                                                                                                                                                                                                                                                                                                                                                                                                                                                                                                                                                                                                                                                                                                                                                                                                                                                                                                                                                                                                                                                                                                                                                                                                                                                                                                                                                                                                                                                                                                                                                                                                                                                                                                                                                                                                                                                                                                                                                                                                        ']列，源：95ad0c0fc0728efd6176ee2613a1550d 备：None</t>
        </is>
      </c>
      <c r="Z6"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备：d019d4aebff49513606feb0fa9e75d20</t>
        </is>
      </c>
      <c r="AA6" t="inlineStr">
        <is>
          <t>src行 ['4', ' ', '                    ', '                                                                                                                                                                                                                                                                                                                                                                                                                                                                                                                                                                                                                                                                                                                                                                                                                                                                                                                                                                                                                                                                                                                                                                                                                                                                                                                                                                                                                                                                                                                                                                                                                                                                                                                                                                                                                                                                                                                                                                                                                                                                                                                                                                                                                                                                                                                                                                                                                                                                                                                                                                                                                                                                                                                                                                                                                                                                                                                                                                                                                                                                                                                                                                                                                                                                                                                                                                                                                                                                                                                                                                                                                                                                                                                                                                                                                                                                                                                                                                                                                                                                                                                                                                                                                                                                                                                                                                                                                                                                                                                                                                                                                                                                                                                                                                                                                                                                                                                                                                                                                                                                                                                                                                                                                                                                                                                                                                                                                                                                                                                                                                                                                                                                                                                                                                                                                                                                                                                                                                                                                                                                                                                                                                                                                                                                                                                                                                                                                                                                                                                                                                                                                                                                                                                                                                                                                                                                                                                                                                                                                                                                                                                                                                                                                                                                                        ']列，源：95ad0c0fc0728efd6176ee2613a1550d 备：None</t>
        </is>
      </c>
      <c r="AB6" t="inlineStr">
        <is>
          <t>tgt行 ['5', 'B',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备：8c1bb23576266360c4a9a9d718245e98</t>
        </is>
      </c>
      <c r="AC6" t="inlineStr">
        <is>
          <t>src行 ['5', '/']列，源：f1cad2934f3b4af849d5e55b081255f8 备：None</t>
        </is>
      </c>
      <c r="AD6"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备：d019d4aebff49513606feb0fa9e75d20</t>
        </is>
      </c>
      <c r="AE6" t="inlineStr">
        <is>
          <t>src行 ['5', '/']列，源：f1cad2934f3b4af849d5e55b081255f8 备：None</t>
        </is>
      </c>
      <c r="AF6" t="inlineStr">
        <is>
          <t>tgt行 ['6',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备：b8304aefe66f86420c4920ce77b47903</t>
        </is>
      </c>
      <c r="AG6"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']列，源：84359eb458ef929461bfd5c78a436c5f 备：None</t>
        </is>
      </c>
      <c r="AH6" t="inlineStr">
        <is>
          <t>tgt行 ['6',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备：b8304aefe66f86420c4920ce77b47903</t>
        </is>
      </c>
      <c r="AI6" t="inlineStr">
        <is>
          <t>src行 ['6', '&amp;', '测试数据更新        ', '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测试数据                                                                                                                                                                                                                                                                                                                                                                                                                                                                                                                                                                                                                                                                                                                                                                                                                                                                                                                                                                                                                                                                                                                                                                                                                                                                                                                                                                                                                                                                                                                                                                                                                                                                                                                                                                                                                                                                                                                                                                                                                                                                                                                                                                                                                                                                                                                                                                                                                                                                                                                                                                                                                                                                                                                                                                                                                                                                                                                                                                                                                                                                                                                                                                                                                                                                                                                                                                                                                                                                                                                                                                                                                                                                                                                                                                                                                                                                                                                                                                                                                                                                                                                                                                                                                                                                                                                                                                                                                                                                                                                                                                                                                                                                                                                                                                                                                                                                                                                                                                                                                                                                                                                                                                                                                                                                                                                                                                                                                                                                                                                                                                                                                        ']列，源：1e9591fad80a4ffb68abc976df373212 备：None</t>
        </is>
      </c>
      <c r="AJ6" t="inlineStr">
        <is>
          <t>src行 ['4', ' ', '                    ', '                                                                                                                                                                                                                                                                                                                                                                                                                                                                                                                                                                                                                                                                                                                                                                                                                                                                                                                                                                                                                                                                                                                                                                                                                                                                                                                                                                                                                                                                                                                                                                                                                                                                                                                                                                                                                                                                                                                                                                                                                                                                                                                                                                                                                                                                                                                                                                                                                                                                                                                                                                                                                                                                                                                                                                                                                                                                                                                                                                                                                                                                                                                                                                                                                                                                                                                                                                                                                                                                                                                                                                                                                                                                                                                                                                                                                                                                                                                                                                                                                                                                                                                                                                                                                                                                                                                                                                                                                                                                                                                                                                                                                                                                                                                                                                                                                                                                                                                                                                                                                                                                                                                                                                                                                                                                                                                                                                                                                                                                                                                                                                                                                                                                                                                                                                                                                                                                                                                                                                                                                                                                                                                                                                                                                                                                                                                                                                                                                                                                                                                                                                                                                                                                                                                                                                                                                                                                                                                                                                                                                                                                                                                                                                                                                                                                                        ']列，源：95ad0c0fc0728efd6176ee2613a1550d 备：None</t>
        </is>
      </c>
      <c r="AK6" t="inlineStr">
        <is>
          <t>src行 ['4', ' ', '                    ', '                                                                                                                                                                                                                                                                                                                                                                                                                                                                                                                                                                                                                                                                                                                                                                                                                                                                                                                                                                                                                                                                                                                                                                                                                                                                                                                                                                                                                                                                                                                                                                                                                                                                                                                                                                                                                                                                                                                                                                                                                                                                                                                                                                                                                                                                                                                                                                                                                                                                                                                                                                                                                                                                                                                                                                                                                                                                                                                                                                                                                                                                                                                                                                                                                                                                                                                                                                                                                                                                                                                                                                                                                                                                                                                                                                                                                                                                                                                                                                                                                                                                                                                                                                                                                                                                                                                                                                                                                                                                                                                                                                                                                                                                                                                                                                                                                                                                                                                                                                                                                                                                                                                                                                                                                                                                                                                                                                                                                                                                                                                                                                                                                                                                                                                                                                                                                                                                                                                                                                                                                                                                                                                                                                                                                                                                                                                                                                                                                                                                                                                                                                                                                                                                                                                                                                                                                                                                                                                                                                                                                                                                                                                                                                                                                                                                                        ']列，源：95ad0c0fc0728efd6176ee2613a1550d 备：None</t>
        </is>
      </c>
      <c r="AL6"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备：d019d4aebff49513606feb0fa9e75d20</t>
        </is>
      </c>
      <c r="AM6" t="inlineStr">
        <is>
          <t>src行 ['2',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']列，源：1b72483c10290ea02490b9f54c90e54d 备：None</t>
        </is>
      </c>
      <c r="AO6" t="inlineStr">
        <is>
          <t>tgt行 ['6',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备：b8304aefe66f86420c4920ce77b47903</t>
        </is>
      </c>
      <c r="AP6"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备：f7674a2ec53991ef24034d3745dc6e0e</t>
        </is>
      </c>
      <c r="AS6" t="inlineStr">
        <is>
          <t>src行 ['4', ' ', '                    ', '                                                                                                                                                                                                                                                                                                                                                                                                                                                                                                                                                                                                                                                                                                                                                                                                                                                                                                                                                                                                                                                                                                                                                                                                                                                                                                                                                                                                                                                                                                                                                                                                                                                                                                                                                                                                                                                                                                                                                                                                                                                                                                                                                                                                                                                                                                                                                                                                                                                                                                                                                                                                                                                                                                                                                                                                                                                                                                                                                                                                                                                                                                                                                                                                                                                                                                                                                                                                                                                                                                                                                                                                                                            ']列，源：adc5a8ebac2e7f1001c11b5a60a574e6 备：None</t>
        </is>
      </c>
      <c r="AT6" t="inlineStr">
        <is>
          <t>tgt行 ['5', '测',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备：058723bd5a9aa3817e18b02f21bc3b5e</t>
        </is>
      </c>
      <c r="AU6" t="inlineStr">
        <is>
          <t>src行 ['4', ' ', '                    ', '                                                                                                                                                                                                                                                                                                                                                                                                                                                                                                                                                                                                                                                                                                                                                                                                                                                                                                                                                                                                                                                                                                                                                                                                                                                                                                                                                                                                                                                                                                                                                                                                                                                                                                                                                                                                                                                                                                                                                                                                                                                                                                                                                                                                                                                                                                                                                                                                                                                                                                                                                                                                                                                                                                                                                                                                                                                                                                                                                                                                                                                                                                                                                                                                                                                                                                                                                                                                                                                                                                                                                                                                                                            ']列，源：adc5a8ebac2e7f1001c11b5a60a574e6 备：None</t>
        </is>
      </c>
      <c r="AW6"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备：f7674a2ec53991ef24034d3745dc6e0e</t>
        </is>
      </c>
      <c r="AX6" t="inlineStr">
        <is>
          <t>tgt行 ['5', '测', '这是一个中文字符串',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']列，源：None 备：058723bd5a9aa3817e18b02f21bc3b5e</t>
        </is>
      </c>
      <c r="BC6" t="inlineStr">
        <is>
          <t>src行 ['4', ' ', '                    ', '                                                                                                                                                                                                                                                                                                                                                                                                                                                                                                                                                                                                                                                                                                                                                                                                                                                                                                                                                                                                                                                                                                                                                                                                                                                                                                                                                                                                                                                                                                                                                                                                                                                                                                                                                                                                                                                                                                                                                                                                                                                                                                                                                                                                                                                                                                                                                                                                                                                                                                                                                                                                                                                                                                                                                                                                                                                                                                                                                                                                                                                                                                                                                                                                                                                                                                                                                                                                                                                                                                                                                                                                                                            ']列，源：adc5a8ebac2e7f1001c11b5a60a574e6 备：None</t>
        </is>
      </c>
      <c r="BF6" t="inlineStr">
        <is>
          <t>src行 ['4', ' ', '                    ', '                                                                                                                                                                                                                                                                                                                                                                                                                                                                                                                                                                                                                                                                                                                                                                                                                                                                                                                                                                                                                                                                                                                                                                                                                                                                                                                                                                                                                                                                                                                                                                                                                                                                                                                                                                                                                                                                                                                                                                                                                                                                                                                                                                                                                                                                                                                                                                                                                                                                                                                                                                                                                                                                                                                                                                                                                                                                                                                                                                                                                                                                                                                                                                                                                                                                                                                                                                                                                                                                                                                                                                                                                                            ']列，源：adc5a8ebac2e7f1001c11b5a60a574e6 备：None</t>
        </is>
      </c>
      <c r="BG6" t="inlineStr">
        <is>
          <t>tgt行 ['6',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备：f7674a2ec53991ef24034d3745dc6e0e</t>
        </is>
      </c>
      <c r="BK6" t="inlineStr">
        <is>
          <t>tgt行 ['8',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备：3a07acd73034badf898a25dd5e4edfbe</t>
        </is>
      </c>
      <c r="BM6" t="inlineStr">
        <is>
          <t>tgt行 ['8',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备：3a07acd73034badf898a25dd5e4edfbe</t>
        </is>
      </c>
      <c r="BN6" t="inlineStr">
        <is>
          <t>tgt行 ['28',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备：ba428586c19a5a8442d1c9bfc4f1e9a3</t>
        </is>
      </c>
      <c r="BO6" t="inlineStr">
        <is>
          <t>src行 ['2',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']列，源：79127cf1f77189206d9bb5a4489f78d3 备：None</t>
        </is>
      </c>
      <c r="BP6" t="inlineStr">
        <is>
          <t>tgt行 ['4',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备：a5de67c488806e8e53922dfd23a7f9c1</t>
        </is>
      </c>
      <c r="BR6" t="inlineStr">
        <is>
          <t>src行 ['7', '255', '32767', '2147483647', '9223372036854775807', '', '', '', '', '', '', '', '', '', '', '', '', '', '', '']列，源：40913b37c5e68ffe3e0791ff7ffc2253 备：None</t>
        </is>
      </c>
      <c r="BS6" t="inlineStr">
        <is>
          <t>tgt行 ['57', '255', '32767', '2147483647', '9223372036854775808', '', '', '', '', '', '', '', '', '', '', '', '', '', '', '']列，源：None 备：251b6f3f24ba2b7b6dff7af682630b57</t>
        </is>
      </c>
      <c r="BT6" t="inlineStr">
        <is>
          <t>src行 ['7', '255', '32767', '2147483647', '9223372036854775807', '', '', '', '', '', '', '', '', '', '', '', '', '', '', '']列，源：40913b37c5e68ffe3e0791ff7ffc2253 备：None</t>
        </is>
      </c>
      <c r="BU6" t="inlineStr">
        <is>
          <t>tgt行 ['57', '255', '32767', '2147483647', '9223372036854775808', '', '', '', '', '', '', '', '', '', '', '', '', '', '', '']列，源：None 备：251b6f3f24ba2b7b6dff7af682630b57</t>
        </is>
      </c>
    </row>
    <row r="7">
      <c r="B7" t="inlineStr">
        <is>
          <t>NULL</t>
        </is>
      </c>
      <c r="C7" t="inlineStr">
        <is>
          <t>NULL</t>
        </is>
      </c>
      <c r="D7" t="inlineStr">
        <is>
          <t>NULL</t>
        </is>
      </c>
      <c r="E7" t="inlineStr">
        <is>
          <t>NULL</t>
        </is>
      </c>
      <c r="F7" t="inlineStr">
        <is>
          <t>NULL</t>
        </is>
      </c>
      <c r="G7" t="inlineStr">
        <is>
          <t>NULL</t>
        </is>
      </c>
      <c r="H7" t="inlineStr">
        <is>
          <t>NULL</t>
        </is>
      </c>
      <c r="I7" t="inlineStr">
        <is>
          <t>NULL</t>
        </is>
      </c>
      <c r="J7" t="inlineStr">
        <is>
          <t>NULL</t>
        </is>
      </c>
      <c r="K7" t="inlineStr">
        <is>
          <t>[0;32m YES! [0m 	 c_time2列源备映射正确，源端为time None位	期望更改为varchar(20)	实际备端为varchar 80位	位数精度不存在，通过长度比较</t>
        </is>
      </c>
      <c r="Z7"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备：11336239bb24c640ac27443d2d8a3a3c</t>
        </is>
      </c>
      <c r="AB7"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']列，源：84359eb458ef929461bfd5c78a436c5f 备：None</t>
        </is>
      </c>
      <c r="AD7"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备：11336239bb24c640ac27443d2d8a3a3c</t>
        </is>
      </c>
      <c r="AF7" t="inlineStr">
        <is>
          <t>tgt行 ['9',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备：28f601318912b3615cce30cdb53da129</t>
        </is>
      </c>
      <c r="AG7" t="inlineStr">
        <is>
          <t>src行 ['2', ' ', '                    ', '                                                                                                                                                                                                                                                                                                                                                                                                                                                                                                                                                                                                                                                                                                                                                                                                                                                                                                                                                                                                                                                                                                                                                                                                                                                                                                                                                                                                                                                                                                                                                                                                                                                                                                                                                                                                                                                                                                                                                                                                                                                                                                                                                                                                                                                                                                                                                                                                                                                                                                                                                                                                                                                                                                                                                                                                                                                                                                                                                                                                                                                                                                                                                                                                                                                                                                                                                                                                                                                                                                                                                                                                                                                                                                                                                                                                                                                                                                                                                                                                                                                                                                                                                                                                                                                                                                                                                                                                                                                                                                                                                                                                                                                                                                                                                                                                                                                                                                                                                                                                                                                                                                                                                                                                                                                                                                                                                                                                                                                                                                                                                                                                                                                                                                                                                                                                                                                                                                                                                                                                                                                                                                                                                                                                                                                                                                                                                                                                                                                                                                                                                                                                                                                                                                                                                                                                                                                                                                                                                                                                                                                                                                                                                                                                                                                                                        ']列，源：e6e9184d117f9a63cd2a757d28d0a88d 备：None</t>
        </is>
      </c>
      <c r="AH7" t="inlineStr">
        <is>
          <t>tgt行 ['9',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备：28f601318912b3615cce30cdb53da129</t>
        </is>
      </c>
      <c r="AL7"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备：11336239bb24c640ac27443d2d8a3a3c</t>
        </is>
      </c>
      <c r="AO7" t="inlineStr">
        <is>
          <t>tgt行 ['9',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备：28f601318912b3615cce30cdb53da129</t>
        </is>
      </c>
      <c r="AP7" t="inlineStr">
        <is>
          <t>tgt行 ['9', 'Y', '上海英方股份有限公司',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None 备：7ccffbd5a396f4b5cd29d9cbd7039161</t>
        </is>
      </c>
      <c r="AT7" t="inlineStr">
        <is>
          <t>tgt行 ['9', '英', '€¶6€¶', '€¶6€¶€¶6€¶€¶6€¶€¶6€¶€¶6€¶€¶6€¶€¶6€¶€¶6€¶€¶6€¶€¶6€¶€¶6€¶€¶6€¶€¶6€¶€¶6€¶€¶6€¶€¶6€¶€¶6€¶€¶6€¶€¶6€¶€¶6€¶€¶6€¶€¶6€¶€¶6€¶€¶6€¶€¶6€¶€¶6€¶€¶6€¶€¶6€¶€¶6€¶€¶6€¶€¶6€¶€¶6€¶€¶6€¶€¶6€¶€¶6€¶€¶6€¶€¶6€¶€¶6€¶€¶6€¶€¶6€¶€¶6€¶€¶6€¶€¶6€¶€¶6€¶€¶6€¶€¶6€¶€¶6€¶€¶6€¶€¶6€¶€¶6€¶€¶6€¶€¶6€¶€¶6€¶€¶6€¶€¶6€¶€¶6€¶€¶6€¶€¶6€¶€¶6€¶€¶6€¶€¶6€¶€¶6€¶€¶6€¶€¶6€¶€¶6€¶€¶6€¶€¶6€¶€¶6€¶€¶6€¶€¶6€¶€¶6€¶€¶6€¶€¶6€¶€¶6€¶€¶6€¶€¶6€¶€¶6€¶€¶6€¶€¶6€¶€¶6€¶                                                                                                                                                                                                                                                                                                                                                                                                                                                                                                                                                                                                                                                                                                                                                                                                                                                                                                                                                                                                                                                                                                                                                                                                                                                                                                                                                                                                                                                                                                                                                                                                                                                                                                                                                                                                                                                                                                                                                                                                                                                                                                                                                                                                                                                                                                                                                                                                                                                                                                                                                                                                                                                                                                                                                                                                                                                                                                                                                                                                                                                                                                                                                                                                                            ']列，源：None 备：0721058b19726b4d3be0491055626f4a</t>
        </is>
      </c>
      <c r="AW7" t="inlineStr">
        <is>
          <t>tgt行 ['9', 'Y', '上海英方股份有限公司',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None 备：7ccffbd5a396f4b5cd29d9cbd7039161</t>
        </is>
      </c>
      <c r="AX7" t="inlineStr">
        <is>
          <t>tgt行 ['9', '英', '€¶I€¶', '€¶I€¶€¶I€¶€¶I€¶€¶I€¶€¶I€¶€¶I€¶€¶I€¶€¶I€¶€¶I€¶€¶I€¶€¶I€¶€¶I€¶€¶I€¶€¶I€¶€¶I€¶€¶I€¶€¶I€¶€¶I€¶€¶I€¶€¶I€¶€¶I€¶€¶I€¶€¶I€¶€¶I€¶€¶I€¶€¶I€¶€¶I€¶€¶I€¶€¶I€¶€¶I€¶€¶I€¶€¶I€¶€¶I€¶€¶I€¶€¶I€¶€¶I€¶€¶I€¶€¶I€¶€¶I€¶€¶I€¶€¶I€¶€¶I€¶€¶I€¶€¶I€¶€¶I€¶€¶I€¶€¶I€¶€¶I€¶€¶I€¶€¶I€¶€¶I€¶€¶I€¶€¶I€¶€¶I€¶€¶I€¶€¶I€¶€¶I€¶€¶I€¶€¶I€¶€¶I€¶€¶I€¶€¶I€¶€¶I€¶€¶I€¶€¶I€¶€¶I€¶€¶I€¶€¶I€¶€¶I€¶€¶I€¶€¶I€¶€¶I€¶€¶I€¶€¶I€¶€¶I€¶€¶I€¶€¶I€¶€¶I€¶€¶I€¶€¶I€¶                                                                                                                                                                                                                                                                                                                                                                                                                                                                                                                                                                                                                                                                                                                                                                                                                                                                                                                                                                                                                                                                                                                                                                                                                                                                                                                                                                                                                                                                                                                                                                                                                                                                                                                                                                                                                                                                                                                                                                                                                                                                                                                                                                                                                                                                                                                                                                                                                                                                                                                                                                                                                                                                                                                                                                                                                                                                                                                                                                                                                                                                                                                                                                                                                            ']列，源：None 备：910b605787f179e959010d6a726b2b08</t>
        </is>
      </c>
      <c r="BG7" t="inlineStr">
        <is>
          <t>tgt行 ['9', 'Y', '上海英方股份有限公司',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None 备：7ccffbd5a396f4b5cd29d9cbd7039161</t>
        </is>
      </c>
      <c r="BK7" t="inlineStr">
        <is>
          <t>tgt行 ['22', '', '', '                                                                                                                                                                                                                                                                                                                                                                                                                                                                                                                                                                                                                                                                                                                                                                                                                                                                                                                                                                                                                                                                                                                                                                                                                                                                                                                                                                                                                                                                                                                                                                                                                                                                                                                                                                                                                                                                                                                                                                                                                                                                                                                                                                                                                                                                                                                                                                                                                                                                                                                                                                                                                                                                                                                                                                                                                                                                                                                                                                                                                                                                                                                                                                                                                                                                                                                                                                                                                                                                                                                                                                                                                                            ']列，源：None 备：44ebbbfc115541cbff55869bde0f90ec</t>
        </is>
      </c>
      <c r="BM7" t="inlineStr">
        <is>
          <t>src行 ['2', ' ', '                    ', '                                                                                                                                                                                                                                                                                                                                                                                                                                                                                                                                                                                                                                                                                                                                                                                                                                                                                                                                                                                                                                                                                                                                                                                                                                                                                                                                                                                                                                                                                                                                                                                                                                                                                                                                                                                                                                                                                                                                                                                                                                                                                                                                                                                                                                                                                                                                                                                                                                                                                                                                                                                                                                                                                                                                                                                                                                                                                                                                                                                                                                                                                                                                                                                                                                                                                                                                                                                                                                                                                                                                                                                                                                            ']列，源：02d9880d07a3d705c0a13a24433be8c8 备：None</t>
        </is>
      </c>
      <c r="BN7" t="inlineStr">
        <is>
          <t>tgt行 ['56', 'Y', '€¶I€¶', '€¶I€¶€¶I€¶€¶I€¶€¶I€¶€¶I€¶€¶I€¶€¶I€¶€¶I€¶€¶I€¶€¶I€¶€¶I€¶€¶I€¶€¶I€¶€¶I€¶€¶I€¶€¶I€¶€¶I€¶€¶I€¶€¶I€¶€¶I€¶€¶I€¶€¶I€¶€¶I€¶€¶I€¶€¶I€¶€¶I€¶€¶I€¶€¶I€¶€¶I€¶€¶I€¶€¶I€¶€¶I€¶€¶I€¶€¶I€¶€¶I€¶€¶I€¶€¶I€¶€¶I€¶€¶I€¶€¶I€¶€¶I€¶€¶I€¶€¶I€¶€¶I€¶€¶I€¶€¶I€¶€¶I€¶€¶I€¶€¶I€¶€¶I€¶€¶I€¶€¶I€¶€¶I€¶€¶I€¶€¶I€¶€¶I€¶€¶I€¶€¶I€¶€¶I€¶€¶I€¶€¶I€¶€¶I€¶€¶I€¶€¶I€¶€¶I€¶€¶I€¶€¶I€¶€¶I€¶€¶I€¶€¶I€¶€¶I€¶€¶I€¶€¶I€¶€¶I€¶€¶I€¶€¶I€¶€¶I€¶€¶I€¶€¶I€¶€¶I€¶€¶I€¶€¶I€¶€¶I€¶€¶I€¶€¶I€¶€¶I€¶€¶I€¶€¶I€¶€¶I€¶€¶I€¶€¶I€¶€¶I€¶€¶I€¶€¶I€¶€¶I€¶€¶I€¶€¶I€¶€¶I€¶€¶I€¶€¶I€¶€¶I€¶€¶I€¶€¶I€¶€¶I€¶€¶I€¶€¶I€¶€¶I€¶€¶I€¶€¶I€¶€¶I€¶€¶I€¶€¶I€¶€¶I€¶€¶I€¶€¶I€¶€¶I€¶€¶I€¶€¶I€¶€¶I€¶€¶I€¶€¶I€¶€¶I€¶€¶I€¶€¶I€¶€¶I€¶€¶I€¶€¶I€¶€¶I€¶€¶I€¶€¶I€¶€¶I€¶€¶I€¶€¶I€¶€¶I€¶€¶I€¶€¶I€¶€¶I€¶€¶I€¶€¶I€¶€¶I€¶€¶I€¶€¶I€¶€¶I€¶€¶I€¶€¶I€¶€¶I€¶€¶I€¶€¶I€¶€¶I€¶€¶I€¶€¶I€¶€¶I€¶€¶I€¶€¶I€¶€¶I€¶€¶I€¶€¶I€¶€¶I€¶€¶I€¶€¶I€¶€¶I€¶€¶I€¶€¶I€¶€¶I€¶€¶I€¶€¶I€¶€¶I€¶€¶I€¶€¶I€¶€¶I€¶€¶I€¶€¶I€¶€¶I€¶€¶I€¶€¶I€¶€¶I€¶€¶I€¶€¶I€¶€¶I€¶€¶I€¶€¶I€¶€¶I€¶€¶I€¶€¶I€¶€¶I€¶€¶I€¶€¶I€¶€¶I€¶€¶I€¶€¶I€¶€¶I€¶€¶I€¶€¶I€¶€¶I€¶€¶I€¶€¶I€¶€¶I€¶€¶I€¶€¶I€¶€¶I€¶                                                                                                                                                                                                                                                                                                                                                                                                                                                                                                                                                                                                                                                                                                                                                                                                                                                                                                                                                                                                                                                                                                                                                                                                                                                                                                                                                                                                                                                                                                                                                                                                                                                                                                                                                                                                                                                                                                                                                                                                                                                                                                                                                                                                                                                                                                                                                                                                                                                                                                                                                                                                    ']列，源：None 备：d63c48582facc8910b08cdcc93455588</t>
        </is>
      </c>
      <c r="BP7" t="inlineStr">
        <is>
          <t>tgt行 ['5',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备：e505824c872b12c7df6911a1a0d3f7a1</t>
        </is>
      </c>
      <c r="BS7"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c r="BU7" t="inlineStr">
        <is>
          <t>src行 ['2', '255', '32767', '2147483647', '9223372036854775807', '999999999999999999', '100000000000000000000000000000000000000', '1', '10000000000000000000000000000', '999999999999999.9999', '999999999999999999', '100000000000000000000000000000000000000', '1', '10000000000000000000000000000', '9999999999999999.99', '1.79e308', '3.4e38', '922337203685477.5807', '214748.3647', '1']列，源：4adc77715fbe71a309c6d543a433dd3a 备：None</t>
        </is>
      </c>
    </row>
    <row r="8">
      <c r="B8" t="inlineStr">
        <is>
          <t>NULL</t>
        </is>
      </c>
      <c r="C8" t="inlineStr">
        <is>
          <t>NULL</t>
        </is>
      </c>
      <c r="D8" t="inlineStr">
        <is>
          <t>NULL</t>
        </is>
      </c>
      <c r="E8" t="inlineStr">
        <is>
          <t>NULL</t>
        </is>
      </c>
      <c r="F8" t="inlineStr">
        <is>
          <t>NULL</t>
        </is>
      </c>
      <c r="G8" t="inlineStr">
        <is>
          <t>NULL</t>
        </is>
      </c>
      <c r="H8" t="inlineStr">
        <is>
          <t>NULL</t>
        </is>
      </c>
      <c r="I8" t="inlineStr">
        <is>
          <t>NULL</t>
        </is>
      </c>
      <c r="J8" t="inlineStr">
        <is>
          <t>NULL</t>
        </is>
      </c>
      <c r="K8" t="inlineStr">
        <is>
          <t>[0;32m YES! [0m 	 c_time3列源备映射正确，源端为time None位	期望更改为varchar(20)	实际备端为varchar 80位	位数精度不存在，通过长度比较</t>
        </is>
      </c>
      <c r="Z8"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备：898fa726310e60b77cebda58e9ff4ca1</t>
        </is>
      </c>
      <c r="AB8" t="inlineStr">
        <is>
          <t>src行 ['2', ' ', '                    ', '                                                                                                                                                                                                                                                                                                                                                                                                                                                                                                                                                                                                                                                                                                                                                                                                                                                                                                                                                                                                                                                                                                                                                                                                                                                                                                                                                                                                                                                                                                                                                                                                                                                                                                                                                                                                                                                                                                                                                                                                                                                                                                                                                                                                                                                                                                                                                                                                                                                                                                                                                                                                                                                                                                                                                                                                                                                                                                                                                                                                                                                                                                                                                                                                                                                                                                                                                                                                                                                                                                                                                                                                                                                                                                                                                                                                                                                                                                                                                                                                                                                                                                                                                                                                                                                                                                                                                                                                                                                                                                                                                                                                                                                                                                                                                                                                                                                                                                                                                                                                                                                                                                                                                                                                                                                                                                                                                                                                                                                                                                                                                                                                                                                                                                                                                                                                                                                                                                                                                                                                                                                                                                                                                                                                                                                                                                                                                                                                                                                                                                                                                                                                                                                                                                                                                                                                                                                                                                                                                                                                                                                                                                                                                                                                                                                                                        ']列，源：e6e9184d117f9a63cd2a757d28d0a88d 备：None</t>
        </is>
      </c>
      <c r="AD8"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备：898fa726310e60b77cebda58e9ff4ca1</t>
        </is>
      </c>
      <c r="AF8" t="inlineStr">
        <is>
          <t>src行 ['2', ' ', '                    ', '                                                                                                                                                                                                                                                                                                                                                                                                                                                                                                                                                                                                                                                                                                                                                                                                                                                                                                                                                                                                                                                                                                                                                                                                                                                                                                                                                                                                                                                                                                                                                                                                                                                                                                                                                                                                                                                                                                                                                                                                                                                                                                                                                                                                                                                                                                                                                                                                                                                                                                                                                                                                                                                                                                                                                                                                                                                                                                                                                                                                                                                                                                                                                                                                                                                                                                                                                                                                                                                                                                                                                                                                                                                                                                                                                                                                                                                                                                                                                                                                                                                                                                                                                                                                                                                                                                                                                                                                                                                                                                                                                                                                                                                                                                                                                                                                                                                                                                                                                                                                                                                                                                                                                                                                                                                                                                                                                                                                                                                                                                                                                                                                                                                                                                                                                                                                                                                                                                                                                                                                                                                                                                                                                                                                                                                                                                                                                                                                                                                                                                                                                                                                                                                                                                                                                                                                                                                                                                                                                                                                                                                                                                                                                                                                                                                                                                                                                                                                                                                                                                                                                                                                                                                                                                                                                                                                                                                                                                                                                                                                                                                                                                                                                                                                                                                                                                                                ']列，源：f6f27b4fce84894f44b4fe1b2769a4af 备：None</t>
        </is>
      </c>
      <c r="AG8" t="inlineStr">
        <is>
          <t>src行 ['4', ' ', '                    ', '                                                                                                                                                                                                                                                                                                                                                                                                                                                                                                                                                                                                                                                                                                                                                                                                                                                                                                                                                                                                                                                                                                                                                                                                                                                                                                                                                                                                                                                                                                                                                                                                                                                                                                                                                                                                                                                                                                                                                                                                                                                                                                                                                                                                                                                                                                                                                                                                                                                                                                                                                                                                                                                                                                                                                                                                                                                                                                                                                                                                                                                                                                                                                                                                                                                                                                                                                                                                                                                                                                                                                                                                                                                                                                                                                                                                                                                                                                                                                                                                                                                                                                                                                                                                                                                                                                                                                                                                                                                                                                                                                                                                                                                                                                                                                                                                                                                                                                                                                                                                                                                                                                                                                                                                                                                                                                                                                                                                                                                                                                                                                                                                                                                                                                                                                                                                                                                                                                                                                                                                                                                                                                                                                                                                                                                                                                                                                                                                                                                                                                                                                                                                                                                                                                                                                                                                                                                                                                                                                                                                                                                                                                                                                                                                                                                                                        ']列，源：95ad0c0fc0728efd6176ee2613a1550d 备：None</t>
        </is>
      </c>
      <c r="AH8" t="inlineStr">
        <is>
          <t>tgt行 ['22', '', '', '                                                                                                                                                                                                                                                                                                                                                                                                                                                                                                                                                                                                                                                                                                                                                                                                                                                                                                                                                                                                                                                                                                                                                                                                                                                                                                                                                                                                                                                                                                                                                                                                                                                                                                                                                                                                                                                                                                                                                                                                                                                                                                                                                                                                                                                                                                                                                                                                                                                                                                                                                                                                                                                                                                                                                                                                                                                                                                                                                                                                                                                                                                                                                                                                                                                                                                                                                                                                                                                                                                                                                                                                                                                                                                                                                                                                                                                                                                                                                                                                                                                                                                                                                                                                                                                                                                                                                                                                                                                                                                                                                                                                                                                                                                                                                                                                                                                                                                                                                                                                                                                                                                                                                                                                                                                                                                                                                                                                                                                                                                                                                                                                                                                                                                                                                                                                                                                                                                                                                                                                                                                                                                                                                                                                                                                                                                                                                                                                                                                                                                                                                                                                                                                                                                                                                                                                                                                                                                                                                                                                                                                                                                                                                                                                                                                                                                                                                                                                                                                                                                                                                                                                                                                                                                                                                                                                                                                                                                                                                                                                                                                                                                                                                                                                                                                                                                                                ']列，源：None 备：caa10bc88519e51879bb65b949eca3e4</t>
        </is>
      </c>
      <c r="AL8"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备：898fa726310e60b77cebda58e9ff4ca1</t>
        </is>
      </c>
      <c r="AO8" t="inlineStr">
        <is>
          <t>tgt行 ['56',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备：05a6adbc19528c2f0d44cdba39c93f0e</t>
        </is>
      </c>
      <c r="AP8"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备：ea8411046e85b789223f6e6f9ac52f79</t>
        </is>
      </c>
      <c r="AT8" t="inlineStr">
        <is>
          <t>tgt行 ['10', '￥',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备：32d10d413714f4ce6373998f39ae2514</t>
        </is>
      </c>
      <c r="AW8"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备：ea8411046e85b789223f6e6f9ac52f79</t>
        </is>
      </c>
      <c r="AX8" t="inlineStr">
        <is>
          <t>tgt行 ['10', '￥',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备：32d10d413714f4ce6373998f39ae2514</t>
        </is>
      </c>
      <c r="BG8" t="inlineStr">
        <is>
          <t>tgt行 ['10',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备：ea8411046e85b789223f6e6f9ac52f79</t>
        </is>
      </c>
      <c r="BK8" t="inlineStr">
        <is>
          <t>tgt行 ['26', 'Y', '€¶I€¶', '€¶I€¶€¶I€¶€¶I€¶€¶I€¶€¶I€¶€¶I€¶€¶I€¶€¶I€¶€¶I€¶€¶I€¶€¶I€¶€¶I€¶€¶I€¶€¶I€¶€¶I€¶€¶I€¶€¶I€¶€¶I€¶€¶I€¶€¶I€¶€¶I€¶€¶I€¶€¶I€¶€¶I€¶€¶I€¶€¶I€¶€¶I€¶€¶I€¶€¶I€¶€¶I€¶€¶I€¶€¶I€¶€¶I€¶€¶I€¶€¶I€¶€¶I€¶€¶I€¶€¶I€¶€¶I€¶€¶I€¶€¶I€¶€¶I€¶€¶I€¶€¶I€¶€¶I€¶€¶I€¶€¶I€¶€¶I€¶€¶I€¶€¶I€¶€¶I€¶€¶I€¶€¶I€¶€¶I€¶€¶I€¶€¶I€¶€¶I€¶€¶I€¶€¶I€¶€¶I€¶€¶I€¶€¶I€¶€¶I€¶€¶I€¶€¶I€¶€¶I€¶€¶I€¶€¶I€¶€¶I€¶€¶I€¶€¶I€¶€¶I€¶€¶I€¶€¶I€¶€¶I€¶€¶I€¶€¶I€¶€¶I€¶€¶I€¶€¶I€¶€¶I€¶€¶I€¶€¶I€¶€¶I€¶€¶I€¶€¶I€¶€¶I€¶€¶I€¶€¶I€¶€¶I€¶€¶I€¶€¶I€¶€¶I€¶€¶I€¶€¶I€¶€¶I€¶€¶I€¶€¶I€¶€¶I€¶€¶I€¶€¶I€¶€¶I€¶€¶I€¶€¶I€¶€¶I€¶€¶I€¶€¶I€¶€¶I€¶€¶I€¶€¶I€¶€¶I€¶€¶I€¶€¶I€¶€¶I€¶€¶I€¶€¶I€¶€¶I€¶€¶I€¶€¶I€¶€¶I€¶€¶I€¶€¶I€¶€¶I€¶€¶I€¶€¶I€¶€¶I€¶€¶I€¶€¶I€¶€¶I€¶€¶I€¶€¶I€¶€¶I€¶€¶I€¶€¶I€¶€¶I€¶€¶I€¶€¶I€¶€¶I€¶€¶I€¶€¶I€¶€¶I€¶€¶I€¶€¶I€¶€¶I€¶€¶I€¶€¶I€¶€¶I€¶€¶I€¶€¶I€¶€¶I€¶€¶I€¶€¶I€¶€¶I€¶€¶I€¶€¶I€¶€¶I€¶€¶I€¶€¶I€¶€¶I€¶€¶I€¶€¶I€¶€¶I€¶€¶I€¶€¶I€¶€¶I€¶€¶I€¶€¶I€¶€¶I€¶€¶I€¶€¶I€¶€¶I€¶€¶I€¶€¶I€¶€¶I€¶€¶I€¶€¶I€¶€¶I€¶€¶I€¶€¶I€¶€¶I€¶€¶I€¶€¶I€¶€¶I€¶€¶I€¶€¶I€¶€¶I€¶€¶I€¶€¶I€¶€¶I€¶€¶I€¶€¶I€¶€¶I€¶€¶I€¶€¶I€¶€¶I€¶€¶I€¶€¶I€¶€¶I€¶€¶I€¶€¶I€¶                                                                                                                                                                                                                                                                                                                                                                                                                                                                                                                                                                                                                                                                                                                                                                                                                                                                                                                                                                                                                                                                                                                                                                                                                                                                                                                                                                                                                                                                                                                                                                                                                                                                                                                                                                                                                                                                                                                                                                                                                                                                                                                                                                                                                                                                                                                                                                                                                                                                                                                                                                                                    ']列，源：None 备：861f8bd62324fa207cefffa797a08398</t>
        </is>
      </c>
      <c r="BM8" t="inlineStr">
        <is>
          <t>src行 ['6', 'Y', '€¶I€¶               ', '€¶I€¶€¶I€¶€¶I€¶€¶I€¶€¶I€¶€¶I€¶€¶I€¶€¶I€¶€¶I€¶€¶I€¶€¶I€¶€¶I€¶€¶I€¶€¶I€¶€¶I€¶€¶I€¶€¶I€¶€¶I€¶€¶I€¶€¶I€¶€¶I€¶€¶I€¶€¶I€¶€¶I€¶€¶I€¶€¶I€¶€¶I€¶€¶I€¶€¶I€¶€¶I€¶€¶I€¶€¶I€¶€¶I€¶€¶I€¶€¶I€¶€¶I€¶€¶I€¶€¶I€¶€¶I€¶€¶I€¶€¶I€¶€¶I€¶€¶I€¶€¶I€¶€¶I€¶€¶I€¶€¶I€¶€¶I€¶€¶I€¶€¶I€¶€¶I€¶€¶I€¶€¶I€¶€¶I€¶€¶I€¶€¶I€¶€¶I€¶€¶I€¶€¶I€¶€¶I€¶€¶I€¶€¶I€¶€¶I€¶€¶I€¶€¶I€¶€¶I€¶€¶I€¶€¶I€¶€¶I€¶€¶I€¶€¶I€¶€¶I€¶€¶I€¶€¶I€¶€¶I€¶€¶I€¶€¶I€¶€¶I€¶€¶I€¶€¶I€¶€¶I€¶€¶I€¶€¶I€¶€¶I€¶€¶I€¶€¶I€¶€¶I€¶€¶I€¶€¶I€¶€¶I€¶€¶I€¶€¶I€¶€¶I€¶€¶I€¶€¶I€¶€¶I€¶€¶I€¶€¶I€¶€¶I€¶€¶I€¶€¶I€¶€¶I€¶€¶I€¶€¶I€¶€¶I€¶€¶I€¶€¶I€¶€¶I€¶€¶I€¶€¶I€¶€¶I€¶€¶I€¶€¶I€¶€¶I€¶€¶I€¶€¶I€¶€¶I€¶€¶I€¶€¶I€¶€¶I€¶€¶I€¶€¶I€¶€¶I€¶€¶I€¶€¶I€¶€¶I€¶€¶I€¶€¶I€¶€¶I€¶€¶I€¶€¶I€¶€¶I€¶€¶I€¶€¶I€¶€¶I€¶€¶I€¶€¶I€¶€¶I€¶€¶I€¶€¶I€¶€¶I€¶€¶I€¶€¶I€¶€¶I€¶€¶I€¶€¶I€¶€¶I€¶€¶I€¶€¶I€¶€¶I€¶€¶I€¶€¶I€¶€¶I€¶€¶I€¶€¶I€¶€¶I€¶€¶I€¶€¶I€¶€¶I€¶€¶I€¶€¶I€¶€¶I€¶€¶I€¶€¶I€¶€¶I€¶€¶I€¶€¶I€¶€¶I€¶€¶I€¶€¶I€¶€¶I€¶€¶I€¶€¶I€¶€¶I€¶€¶I€¶€¶I€¶€¶I€¶€¶I€¶€¶I€¶€¶I€¶€¶I€¶€¶I€¶€¶I€¶€¶I€¶€¶I€¶€¶I€¶€¶I€¶€¶I€¶€¶I€¶€¶I€¶€¶I€¶€¶I€¶€¶I€¶€¶I€¶€¶I€¶€¶I€¶€¶I€¶€¶I€¶€¶I€¶€¶I€¶                                                                                                                                                                                                                                                                                                                                                                                                                                                                                                                                                                                                                                                                                                                                                                                                                                                                                                                                                                                                                                                                                                                                                                                                                                                                                                                                                                                                                                                                                                                                                                                                                                                                                                                                                                                                                                                                                                                                                                                                                                                                                                                                                                                                                                                                                                                                                                                                                                                                                                                                                                                                    ']列，源：fe7f40f2102ce276b6cabcbcdeb1213e 备：None</t>
        </is>
      </c>
      <c r="BN8" t="inlineStr">
        <is>
          <t>tgt行 ['57',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备：3c8bab5aef56df4c0f3f2dc2fe3a43d7</t>
        </is>
      </c>
      <c r="BP8" t="inlineStr">
        <is>
          <t>tgt行 ['6',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备：24f5422a8123f6b7345b1bffacb66397</t>
        </is>
      </c>
      <c r="BS8" t="inlineStr">
        <is>
          <t>src行 ['7', '255', '32767', '2147483647', '9223372036854775807', '', '', '', '', '', '', '', '', '', '', '', '', '', '', '']列，源：40913b37c5e68ffe3e0791ff7ffc2253 备：None</t>
        </is>
      </c>
      <c r="BU8" t="inlineStr">
        <is>
          <t>src行 ['7', '255', '32767', '2147483647', '9223372036854775807', '', '', '', '', '', '', '', '', '', '', '', '', '', '', '']列，源：40913b37c5e68ffe3e0791ff7ffc2253 备：None</t>
        </is>
      </c>
    </row>
    <row r="9">
      <c r="B9" t="inlineStr">
        <is>
          <t>NULL</t>
        </is>
      </c>
      <c r="C9" t="inlineStr">
        <is>
          <t>NULL</t>
        </is>
      </c>
      <c r="D9" t="inlineStr">
        <is>
          <t>NULL</t>
        </is>
      </c>
      <c r="E9" t="inlineStr">
        <is>
          <t>NULL</t>
        </is>
      </c>
      <c r="F9" t="inlineStr">
        <is>
          <t>NULL</t>
        </is>
      </c>
      <c r="G9" t="inlineStr">
        <is>
          <t>NULL</t>
        </is>
      </c>
      <c r="H9" t="inlineStr">
        <is>
          <t>NULL</t>
        </is>
      </c>
      <c r="I9" t="inlineStr">
        <is>
          <t>NULL</t>
        </is>
      </c>
      <c r="J9" t="inlineStr">
        <is>
          <t>NULL</t>
        </is>
      </c>
      <c r="K9" t="inlineStr">
        <is>
          <t>[0;32m YES! [0m 	 c_time4列源备映射正确，源端为time None位	期望更改为varchar(20)	实际备端为varchar 80位	位数精度不存在，通过长度比较</t>
        </is>
      </c>
      <c r="Z9" t="inlineStr">
        <is>
          <t>tgt行 ['15', '?', '€?6€?',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']列，源：None 备：d13d995bf19ae1f6cd9c89f6f97aa265</t>
        </is>
      </c>
      <c r="AB9" t="inlineStr">
        <is>
          <t>src行 ['4', ' ', '                    ', '                                                                                                                                                                                                                                                                                                                                                                                                                                                                                                                                                                                                                                                                                                                                                                                                                                                                                                                                                                                                                                                                                                                                                                                                                                                                                                                                                                                                                                                                                                                                                                                                                                                                                                                                                                                                                                                                                                                                                                                                                                                                                                                                                                                                                                                                                                                                                                                                                                                                                                                                                                                                                                                                                                                                                                                                                                                                                                                                                                                                                                                                                                                                                                                                                                                                                                                                                                                                                                                                                                                                                                                                                                                                                                                                                                                                                                                                                                                                                                                                                                                                                                                                                                                                                                                                                                                                                                                                                                                                                                                                                                                                                                                                                                                                                                                                                                                                                                                                                                                                                                                                                                                                                                                                                                                                                                                                                                                                                                                                                                                                                                                                                                                                                                                                                                                                                                                                                                                                                                                                                                                                                                                                                                                                                                                                                                                                                                                                                                                                                                                                                                                                                                                                                                                                                                                                                                                                                                                                                                                                                                                                                                                                                                                                                                                                                        ']列，源：95ad0c0fc0728efd6176ee2613a1550d 备：None</t>
        </is>
      </c>
      <c r="AD9" t="inlineStr">
        <is>
          <t>tgt行 ['15',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备：cc0281376acb7e2949d7c6a565acdc17</t>
        </is>
      </c>
      <c r="AF9" t="inlineStr">
        <is>
          <t>src行 ['3',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']列，源：80ce671eeca0b55a629ff4f3a0b1f178 备：None</t>
        </is>
      </c>
      <c r="AH9" t="inlineStr">
        <is>
          <t>tgt行 ['23',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备：ee2ffd96548bf161cc87403e72bb88e8</t>
        </is>
      </c>
      <c r="AL9" t="inlineStr">
        <is>
          <t>tgt行 ['15',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备：cc0281376acb7e2949d7c6a565acdc17</t>
        </is>
      </c>
      <c r="AO9" t="inlineStr">
        <is>
          <t>tgt行 ['59',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备：e596f5dacd92ddba5eb9f82e06f8bc36</t>
        </is>
      </c>
      <c r="AP9"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备：d418245efa7b505bb7b965a961babf98</t>
        </is>
      </c>
      <c r="AT9"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']列，源：90cdc9706132f799ab275d6b8e6fcfd1 备：None</t>
        </is>
      </c>
      <c r="AW9"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备：d418245efa7b505bb7b965a961babf98</t>
        </is>
      </c>
      <c r="AX9"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']列，源：90cdc9706132f799ab275d6b8e6fcfd1 备：None</t>
        </is>
      </c>
      <c r="BG9" t="inlineStr">
        <is>
          <t>tgt行 ['12',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备：d418245efa7b505bb7b965a961babf98</t>
        </is>
      </c>
      <c r="BK9" t="inlineStr">
        <is>
          <t>tgt行 ['27',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备：0d98e9bb8204fd1c68bac115ac428f2b</t>
        </is>
      </c>
      <c r="BM9" t="inlineStr">
        <is>
          <t>src行 ['7',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']列，源：99577313aa6c12424a76d5f06e546e28 备：None</t>
        </is>
      </c>
      <c r="BN9" t="inlineStr">
        <is>
          <t>tgt行 ['58',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备：503b4bc061181cdd401b0af89f52a5cb</t>
        </is>
      </c>
      <c r="BP9" t="inlineStr">
        <is>
          <t>tgt行 ['7',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备：964999a4aaa724fa065d016a23912c88</t>
        </is>
      </c>
      <c r="BS9" t="inlineStr">
        <is>
          <t>src行 ['52', '255', '32767', '2147483647', '9223372036854775807', '', '', '', '', '', '', '', '', '', '', '', '', '', '', '']列，源：53ac74c7719a79671a4d3cc61decfa2a 备：None</t>
        </is>
      </c>
      <c r="BU9" t="inlineStr">
        <is>
          <t>src行 ['52', '255', '32767', '2147483647', '9223372036854775807', '', '', '', '', '', '', '', '', '', '', '', '', '', '', '']列，源：53ac74c7719a79671a4d3cc61decfa2a 备：None</t>
        </is>
      </c>
    </row>
    <row r="10">
      <c r="B10" t="inlineStr">
        <is>
          <t>NULL</t>
        </is>
      </c>
      <c r="C10" t="inlineStr">
        <is>
          <t>NULL</t>
        </is>
      </c>
      <c r="D10" t="inlineStr">
        <is>
          <t>NULL</t>
        </is>
      </c>
      <c r="E10" t="inlineStr">
        <is>
          <t>NULL</t>
        </is>
      </c>
      <c r="F10" t="inlineStr">
        <is>
          <t>NULL</t>
        </is>
      </c>
      <c r="G10" t="inlineStr">
        <is>
          <t>NULL</t>
        </is>
      </c>
      <c r="H10" t="inlineStr">
        <is>
          <t>NULL</t>
        </is>
      </c>
      <c r="I10" t="inlineStr">
        <is>
          <t>NULL</t>
        </is>
      </c>
      <c r="J10" t="inlineStr">
        <is>
          <t>NULL</t>
        </is>
      </c>
      <c r="K10" t="inlineStr">
        <is>
          <t>[0;32m YES! [0m 	 c_time5列源备映射正确，源端为time None位	期望更改为varchar(20)	实际备端为varchar 80位	位数精度不存在，通过长度比较</t>
        </is>
      </c>
      <c r="Z10" t="inlineStr">
        <is>
          <t>src行 ['2', ' ', '                    ', '                                                                                                                                                                                                                                                                                                                                                                                                                                                                                                                                                                                                                                                                                                                                                                                                                                                                                                                                                                                                                                                                                                                                                                                                                                                                                                                                                                                                                                                                                                                                                                                                                                                                                                                                                                                                                                                                                                                                                                                                                                                                                                                                                                                                                                                                                                                                                                                                                                                                                                                                                                                                                                                                                                                                                                                                                                                                                                                                                                                                                                                                                                                                                                                                                                                                                                                                                                                                                                                                                                                                                                                                                                                                                                                                                                                                                                                                                                                                                                                                                                                                                                                                                                                                                                                                                                                                                                                                                                                                                                                                                                                                                                                                                                                                                                                                                                                                                                                                                                                                                                                                                                                                                                                                                                                                                                                                                                                                                                                                                                                                                                                                                                                                                                                                                                                                                                                                                                                                                                                                                                                                                                                                                                                                                                                                                                                                                                                                                                                                                                                                                                                                                                                                                                                                                                                                                                                                                                                                                                                                                                                                                                                                                                                                                                                                                                                                                                                                                                                                                                                                                                                                                                                                                                                                                                                                                                                                                                                                                                                                                                                                                                                                                                                                                                                                                                                                ']列，源：f6f27b4fce84894f44b4fe1b2769a4af 备：None</t>
        </is>
      </c>
      <c r="AB10" t="inlineStr">
        <is>
          <t>src行 ['5', 'B',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']列，源：8a0217e8e7a6b6eb402bc7c2b3f8fa50 备：None</t>
        </is>
      </c>
      <c r="AD10" t="inlineStr">
        <is>
          <t>src行 ['2', ' ', '                    ', '                                                                                                                                                                                                                                                                                                                                                                                                                                                                                                                                                                                                                                                                                                                                                                                                                                                                                                                                                                                                                                                                                                                                                                                                                                                                                                                                                                                                                                                                                                                                                                                                                                                                                                                                                                                                                                                                                                                                                                                                                                                                                                                                                                                                                                                                                                                                                                                                                                                                                                                                                                                                                                                                                                                                                                                                                                                                                                                                                                                                                                                                                                                                                                                                                                                                                                                                                                                                                                                                                                                                                                                                                                                                                                                                                                                                                                                                                                                                                                                                                                                                                                                                                                                                                                                                                                                                                                                                                                                                                                                                                                                                                                                                                                                                                                                                                                                                                                                                                                                                                                                                                                                                                                                                                                                                                                                                                                                                                                                                                                                                                                                                                                                                                                                                                                                                                                                                                                                                                                                                                                                                                                                                                                                                                                                                                                                                                                                                                                                                                                                                                                                                                                                                                                                                                                                                                                                                                                                                                                                                                                                                                                                                                                                                                                                                                                                                                                                                                                                                                                                                                                                                                                                                                                                                                                                                                                                                                                                                                                                                                                                                                                                                                                                                                                                                                                                                ']列，源：f6f27b4fce84894f44b4fe1b2769a4af 备：None</t>
        </is>
      </c>
      <c r="AF10" t="inlineStr">
        <is>
          <t>src行 ['5',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']列，源：1b07fa796a4047401456235b0baf2482 备：None</t>
        </is>
      </c>
      <c r="AH10" t="inlineStr">
        <is>
          <t>tgt行 ['25',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备：96edd8c0fcfb3d0932518ce703311895</t>
        </is>
      </c>
      <c r="AL10" t="inlineStr">
        <is>
          <t>src行 ['2', ' ', '                    ', '                                                                                                                                                                                                                                                                                                                                                                                                                                                                                                                                                                                                                                                                                                                                                                                                                                                                                                                                                                                                                                                                                                                                                                                                                                                                                                                                                                                                                                                                                                                                                                                                                                                                                                                                                                                                                                                                                                                                                                                                                                                                                                                                                                                                                                                                                                                                                                                                                                                                                                                                                                                                                                                                                                                                                                                                                                                                                                                                                                                                                                                                                                                                                                                                                                                                                                                                                                                                                                                                                                                                                                                                                                                                                                                                                                                                                                                                                                                                                                                                                                                                                                                                                                                                                                                                                                                                                                                                                                                                                                                                                                                                                                                                                                                                                                                                                                                                                                                                                                                                                                                                                                                                                                                                                                                                                                                                                                                                                                                                                                                                                                                                                                                                                                                                                                                                                                                                                                                                                                                                                                                                                                                                                                                                                                                                                                                                                                                                                                                                                                                                                                                                                                                                                                                                                                                                                                                                                                                                                                                                                                                                                                                                                                                                                                                                                                                                                                                                                                                                                                                                                                                                                                                                                                                                                                                                                                                                                                                                                                                                                                                                                                                                                                                                                                                                                                                                ']列，源：f6f27b4fce84894f44b4fe1b2769a4af 备：None</t>
        </is>
      </c>
      <c r="AO10" t="inlineStr">
        <is>
          <t>tgt行 ['106',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备：637de52d7ac424b25fc57a5b2f9ee14b</t>
        </is>
      </c>
      <c r="AP10" t="inlineStr">
        <is>
          <t>tgt行 ['14', 'Y', '测Test\\n%_8试&amp;12YG@2',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']列，源：None 备：82f5eed6d376f2ff19c317ef6718a8d7</t>
        </is>
      </c>
      <c r="AT10" t="inlineStr">
        <is>
          <t>src行 ['2', ' ', '                    ', '                                                                                                                                                                                                                                                                                                                                                                                                                                                                                                                                                                                                                                                                                                                                                                                                                                                                                                                                                                                                                                                                                                                                                                                                                                                                                                                                                                                                                                                                                                                                                                                                                                                                                                                                                                                                                                                                                                                                                                                                                                                                                                                                                                                                                                                                                                                                                                                                                                                                                                                                                                                                                                                                                                                                                                                                                                                                                                                                                                                                                                                                                                                                                                                                                                                                                                                                                                                                                                                                                                                                                                                                                                            ']列，源：02d9880d07a3d705c0a13a24433be8c8 备：None</t>
        </is>
      </c>
      <c r="AW10" t="inlineStr">
        <is>
          <t>tgt行 ['14', 'Y', '测Test\\n%_8试&amp;12YG@2',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']列，源：None 备：82f5eed6d376f2ff19c317ef6718a8d7</t>
        </is>
      </c>
      <c r="AX10" t="inlineStr">
        <is>
          <t>src行 ['2', ' ', '                    ', '                                                                                                                                                                                                                                                                                                                                                                                                                                                                                                                                                                                                                                                                                                                                                                                                                                                                                                                                                                                                                                                                                                                                                                                                                                                                                                                                                                                                                                                                                                                                                                                                                                                                                                                                                                                                                                                                                                                                                                                                                                                                                                                                                                                                                                                                                                                                                                                                                                                                                                                                                                                                                                                                                                                                                                                                                                                                                                                                                                                                                                                                                                                                                                                                                                                                                                                                                                                                                                                                                                                                                                                                                                            ']列，源：02d9880d07a3d705c0a13a24433be8c8 备：None</t>
        </is>
      </c>
      <c r="BG10" t="inlineStr">
        <is>
          <t>tgt行 ['14', 'Y', '测Test\\n%_8试&amp;12YG@2',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']列，源：None 备：82f5eed6d376f2ff19c317ef6718a8d7</t>
        </is>
      </c>
      <c r="BK10" t="inlineStr">
        <is>
          <t>tgt行 ['28',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备：ba428586c19a5a8442d1c9bfc4f1e9a3</t>
        </is>
      </c>
      <c r="BM10" t="inlineStr">
        <is>
          <t>src行 ['8',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']列，源：1f4a40f4d8e07429cdca730b9795f7f7 备：None</t>
        </is>
      </c>
      <c r="BN10" t="inlineStr">
        <is>
          <t>src行 ['22', ' ', '                    ', '                                                                                                                                                                                                                                                                                                                                                                                                                                                                                                                                                                                                                                                                                                                                                                                                                                                                                                                                                                                                                                                                                                                                                                                                                                                                                                                                                                                                                                                                                                                                                                                                                                                                                                                                                                                                                                                                                                                                                                                                                                                                                                                                                                                                                                                                                                                                                                                                                                                                                                                                                                                                                                                                                                                                                                                                                                                                                                                                                                                                                                                                                                                                                                                                                                                                                                                                                                                                                                                                                                                                                                                                                                            ']列，源：d4d661acace5b8b1e989fb1734442c5f 备：None</t>
        </is>
      </c>
      <c r="BP10" t="inlineStr">
        <is>
          <t>tgt行 ['8', '€', '$TooLong英255Val方&amp;',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']列，源：None 备：d4f20effbc57d32b8239b4eee21eb8a7</t>
        </is>
      </c>
      <c r="BS10" t="inlineStr">
        <is>
          <t>src行 ['57', '255', '32767', '2147483647', '9223372036854775807', '', '', '', '', '', '', '', '', '', '', '', '', '', '', '']列，源：5c6023e590239f39ad2a1e9c217e16e5 备：None</t>
        </is>
      </c>
      <c r="BU10" t="inlineStr">
        <is>
          <t>src行 ['57', '255', '32767', '2147483647', '9223372036854775807', '', '', '', '', '', '', '', '', '', '', '', '', '', '', '']列，源：5c6023e590239f39ad2a1e9c217e16e5 备：None</t>
        </is>
      </c>
    </row>
    <row r="11">
      <c r="B11" t="inlineStr">
        <is>
          <t>NULL</t>
        </is>
      </c>
      <c r="C11" t="inlineStr">
        <is>
          <t>NULL</t>
        </is>
      </c>
      <c r="D11" t="inlineStr">
        <is>
          <t>NULL</t>
        </is>
      </c>
      <c r="E11" t="inlineStr">
        <is>
          <t>NULL</t>
        </is>
      </c>
      <c r="F11" t="inlineStr">
        <is>
          <t>NULL</t>
        </is>
      </c>
      <c r="G11" t="inlineStr">
        <is>
          <t>NULL</t>
        </is>
      </c>
      <c r="H11" t="inlineStr">
        <is>
          <t>NULL</t>
        </is>
      </c>
      <c r="I11" t="inlineStr">
        <is>
          <t>NULL</t>
        </is>
      </c>
      <c r="J11" t="inlineStr">
        <is>
          <t>NULL</t>
        </is>
      </c>
      <c r="K11" t="inlineStr">
        <is>
          <t>[0;32m YES! [0m 	 c_time6列源备映射正确，源端为time None位	期望更改为varchar(20)	实际备端为varchar 80位	位数精度不存在，通过长度比较</t>
        </is>
      </c>
      <c r="Z11" t="inlineStr">
        <is>
          <t>src行 ['3', ' ', '                    ', '                                                                                                                                                                                                                                                                                                                                                                                                                                                                                                                                                                                                                                                                                                                                                                                                                                                                                                                                                                                                                                                                                                                                                                                                                                                                                                                                                                                                                                                                                                                                                                                                                                                                                                                                                                                                                                                                                                                                                                                                                                                                                                                                                                                                                                                                                                                                                                                                                                                                                                                                                                                                                                                                                                                                                                                                                                                                                                                                                                                                                                                                                                                                                                                                                                                                                                                                                                                                                                                                                                                                                                                                                                                                                                                                                                                                                                                                                                                                                                                                                                                                                                                                                                                                                                                                                                                                                                                                                                                                                                                                                                                                                                                                                                                                                                                                                                                                                                                                                                                                                                                                                                                                                                                                                                                                                                                                                                                                                                                                                                                                                                                                                                                                                                                                                                                                                                                                                                                                                                                                                                                                                                                                                                                                                                                                                                                                                                                                                                                                                                                                                                                                                                                                                                                                                                                                                                                                                                                                                                                                                                                                                                                                                                                                                                                                                                                                                                                                                                                                                                                                                                                                                                                                                                                                                                                                                                                                                                                                                                                                                                                                                                                                                                                                                                                                                                                                ']列，源：86ceb7aa3eed9bd3ac1278b34fa397a9 备：None</t>
        </is>
      </c>
      <c r="AD11" t="inlineStr">
        <is>
          <t>src行 ['3', ' ', '                    ', '                                                                                                                                                                                                                                                                                                                                                                                                                                                                                                                                                                                                                                                                                                                                                                                                                                                                                                                                                                                                                                                                                                                                                                                                                                                                                                                                                                                                                                                                                                                                                                                                                                                                                                                                                                                                                                                                                                                                                                                                                                                                                                                                                                                                                                                                                                                                                                                                                                                                                                                                                                                                                                                                                                                                                                                                                                                                                                                                                                                                                                                                                                                                                                                                                                                                                                                                                                                                                                                                                                                                                                                                                                                                                                                                                                                                                                                                                                                                                                                                                                                                                                                                                                                                                                                                                                                                                                                                                                                                                                                                                                                                                                                                                                                                                                                                                                                                                                                                                                                                                                                                                                                                                                                                                                                                                                                                                                                                                                                                                                                                                                                                                                                                                                                                                                                                                                                                                                                                                                                                                                                                                                                                                                                                                                                                                                                                                                                                                                                                                                                                                                                                                                                                                                                                                                                                                                                                                                                                                                                                                                                                                                                                                                                                                                                                                                                                                                                                                                                                                                                                                                                                                                                                                                                                                                                                                                                                                                                                                                                                                                                                                                                                                                                                                                                                                                                                ']列，源：86ceb7aa3eed9bd3ac1278b34fa397a9 备：None</t>
        </is>
      </c>
      <c r="AF11" t="inlineStr">
        <is>
          <t>src行 ['6',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']列，源：eb161edca117ad34f6054bfc360e3b21 备：None</t>
        </is>
      </c>
      <c r="AH11" t="inlineStr">
        <is>
          <t>tgt行 ['26',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备：2371cd48c85c4df37e7f2c77cc235a69</t>
        </is>
      </c>
      <c r="AL11" t="inlineStr">
        <is>
          <t>src行 ['3', ' ', '                    ', '                                                                                                                                                                                                                                                                                                                                                                                                                                                                                                                                                                                                                                                                                                                                                                                                                                                                                                                                                                                                                                                                                                                                                                                                                                                                                                                                                                                                                                                                                                                                                                                                                                                                                                                                                                                                                                                                                                                                                                                                                                                                                                                                                                                                                                                                                                                                                                                                                                                                                                                                                                                                                                                                                                                                                                                                                                                                                                                                                                                                                                                                                                                                                                                                                                                                                                                                                                                                                                                                                                                                                                                                                                                                                                                                                                                                                                                                                                                                                                                                                                                                                                                                                                                                                                                                                                                                                                                                                                                                                                                                                                                                                                                                                                                                                                                                                                                                                                                                                                                                                                                                                                                                                                                                                                                                                                                                                                                                                                                                                                                                                                                                                                                                                                                                                                                                                                                                                                                                                                                                                                                                                                                                                                                                                                                                                                                                                                                                                                                                                                                                                                                                                                                                                                                                                                                                                                                                                                                                                                                                                                                                                                                                                                                                                                                                                                                                                                                                                                                                                                                                                                                                                                                                                                                                                                                                                                                                                                                                                                                                                                                                                                                                                                                                                                                                                                                                ']列，源：86ceb7aa3eed9bd3ac1278b34fa397a9 备：None</t>
        </is>
      </c>
      <c r="AO11" t="inlineStr">
        <is>
          <t>src行 ['2', ' ', '                    ', '                                                                                                                                                                                                                                                                                                                                                                                                                                                                                                                                                                                                                                                                                                                                                                                                                                                                                                                                                                                                                                                                                                                                                                                                                                                                                                                                                                                                                                                                                                                                                                                                                                                                                                                                                                                                                                                                                                                                                                                                                                                                                                                                                                                                                                                                                                                                                                                                                                                                                                                                                                                                                                                                                                                                                                                                                                                                                                                                                                                                                                                                                                                                                                                                                                                                                                                                                                                                                                                                                                                                                                                                                                                                                                                                                                                                                                                                                                                                                                                                                                                                                                                                                                                                                                                                                                                                                                                                                                                                                                                                                                                                                                                                                                                                                                                                                                                                                                                                                                                                                                                                                                                                                                                                                                                                                                                                                                                                                                                                                                                                                                                                                                                                                                                                                                                                                                                                                                                                                                                                                                                                                                                                                                                                                                                                                                                                                                                                                                                                                                                                                                                                                                                                                                                                                                                                                                                                                                                                                                                                                                                                                                                                                                                                                                                                                                                                                                                                                                                                                                                                                                                                                                                                                                                                                                                                                                                                                                                                                                                                                                                                                                                                                                                                                                                                                                                                ']列，源：f6f27b4fce84894f44b4fe1b2769a4af 备：None</t>
        </is>
      </c>
      <c r="AP11" t="inlineStr">
        <is>
          <t>tgt行 ['15', 'N', '€¶6€¶',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']列，源：None 备：fab77a51608ac74a813e11307baca011</t>
        </is>
      </c>
      <c r="AT11" t="inlineStr">
        <is>
          <t>src行 ['4', ' ', '                    ', '                                                                                                                                                                                                                                                                                                                                                                                                                                                                                                                                                                                                                                                                                                                                                                                                                                                                                                                                                                                                                                                                                                                                                                                                                                                                                                                                                                                                                                                                                                                                                                                                                                                                                                                                                                                                                                                                                                                                                                                                                                                                                                                                                                                                                                                                                                                                                                                                                                                                                                                                                                                                                                                                                                                                                                                                                                                                                                                                                                                                                                                                                                                                                                                                                                                                                                                                                                                                                                                                                                                                                                                                                                            ']列，源：adc5a8ebac2e7f1001c11b5a60a574e6 备：None</t>
        </is>
      </c>
      <c r="AW11" t="inlineStr">
        <is>
          <t>tgt行 ['15', 'N',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备：c7a080058be2c459878bf60c162350b8</t>
        </is>
      </c>
      <c r="AX11" t="inlineStr">
        <is>
          <t>src行 ['4', ' ', '                    ', '                                                                                                                                                                                                                                                                                                                                                                                                                                                                                                                                                                                                                                                                                                                                                                                                                                                                                                                                                                                                                                                                                                                                                                                                                                                                                                                                                                                                                                                                                                                                                                                                                                                                                                                                                                                                                                                                                                                                                                                                                                                                                                                                                                                                                                                                                                                                                                                                                                                                                                                                                                                                                                                                                                                                                                                                                                                                                                                                                                                                                                                                                                                                                                                                                                                                                                                                                                                                                                                                                                                                                                                                                                            ']列，源：adc5a8ebac2e7f1001c11b5a60a574e6 备：None</t>
        </is>
      </c>
      <c r="BG11" t="inlineStr">
        <is>
          <t>tgt行 ['15', 'N',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备：c7a080058be2c459878bf60c162350b8</t>
        </is>
      </c>
      <c r="BK11" t="inlineStr">
        <is>
          <t>tgt行 ['56', 'Y', '€¶I€¶', '€¶I€¶€¶I€¶€¶I€¶€¶I€¶€¶I€¶€¶I€¶€¶I€¶€¶I€¶€¶I€¶€¶I€¶€¶I€¶€¶I€¶€¶I€¶€¶I€¶€¶I€¶€¶I€¶€¶I€¶€¶I€¶€¶I€¶€¶I€¶€¶I€¶€¶I€¶€¶I€¶€¶I€¶€¶I€¶€¶I€¶€¶I€¶€¶I€¶€¶I€¶€¶I€¶€¶I€¶€¶I€¶€¶I€¶€¶I€¶€¶I€¶€¶I€¶€¶I€¶€¶I€¶€¶I€¶€¶I€¶€¶I€¶€¶I€¶€¶I€¶€¶I€¶€¶I€¶€¶I€¶€¶I€¶€¶I€¶€¶I€¶€¶I€¶€¶I€¶€¶I€¶€¶I€¶€¶I€¶€¶I€¶€¶I€¶€¶I€¶€¶I€¶€¶I€¶€¶I€¶€¶I€¶€¶I€¶€¶I€¶€¶I€¶€¶I€¶€¶I€¶€¶I€¶€¶I€¶€¶I€¶€¶I€¶€¶I€¶€¶I€¶€¶I€¶€¶I€¶€¶I€¶€¶I€¶€¶I€¶€¶I€¶€¶I€¶€¶I€¶€¶I€¶€¶I€¶€¶I€¶€¶I€¶€¶I€¶€¶I€¶€¶I€¶€¶I€¶€¶I€¶€¶I€¶€¶I€¶€¶I€¶€¶I€¶€¶I€¶€¶I€¶€¶I€¶€¶I€¶€¶I€¶€¶I€¶€¶I€¶€¶I€¶€¶I€¶€¶I€¶€¶I€¶€¶I€¶€¶I€¶€¶I€¶€¶I€¶€¶I€¶€¶I€¶€¶I€¶€¶I€¶€¶I€¶€¶I€¶€¶I€¶€¶I€¶€¶I€¶€¶I€¶€¶I€¶€¶I€¶€¶I€¶€¶I€¶€¶I€¶€¶I€¶€¶I€¶€¶I€¶€¶I€¶€¶I€¶€¶I€¶€¶I€¶€¶I€¶€¶I€¶€¶I€¶€¶I€¶€¶I€¶€¶I€¶€¶I€¶€¶I€¶€¶I€¶€¶I€¶€¶I€¶€¶I€¶€¶I€¶€¶I€¶€¶I€¶€¶I€¶€¶I€¶€¶I€¶€¶I€¶€¶I€¶€¶I€¶€¶I€¶€¶I€¶€¶I€¶€¶I€¶€¶I€¶€¶I€¶€¶I€¶€¶I€¶€¶I€¶€¶I€¶€¶I€¶€¶I€¶€¶I€¶€¶I€¶€¶I€¶€¶I€¶€¶I€¶€¶I€¶€¶I€¶€¶I€¶€¶I€¶€¶I€¶€¶I€¶€¶I€¶€¶I€¶€¶I€¶€¶I€¶€¶I€¶€¶I€¶€¶I€¶€¶I€¶€¶I€¶€¶I€¶€¶I€¶€¶I€¶€¶I€¶€¶I€¶€¶I€¶€¶I€¶€¶I€¶€¶I€¶€¶I€¶€¶I€¶€¶I€¶€¶I€¶€¶I€¶€¶I€¶€¶I€¶€¶I€¶                                                                                                                                                                                                                                                                                                                                                                                                                                                                                                                                                                                                                                                                                                                                                                                                                                                                                                                                                                                                                                                                                                                                                                                                                                                                                                                                                                                                                                                                                                                                                                                                                                                                                                                                                                                                                                                                                                                                                                                                                                                                                                                                                                                                                                                                                                                                                                                                                                                                                                                                                                                                    ']列，源：None 备：d63c48582facc8910b08cdcc93455588</t>
        </is>
      </c>
      <c r="BN11" t="inlineStr">
        <is>
          <t>src行 ['26', 'Y', '€¶I€¶               ', '€¶I€¶€¶I€¶€¶I€¶€¶I€¶€¶I€¶€¶I€¶€¶I€¶€¶I€¶€¶I€¶€¶I€¶€¶I€¶€¶I€¶€¶I€¶€¶I€¶€¶I€¶€¶I€¶€¶I€¶€¶I€¶€¶I€¶€¶I€¶€¶I€¶€¶I€¶€¶I€¶€¶I€¶€¶I€¶€¶I€¶€¶I€¶€¶I€¶€¶I€¶€¶I€¶€¶I€¶€¶I€¶€¶I€¶€¶I€¶€¶I€¶€¶I€¶€¶I€¶€¶I€¶€¶I€¶€¶I€¶€¶I€¶€¶I€¶€¶I€¶€¶I€¶€¶I€¶€¶I€¶€¶I€¶€¶I€¶€¶I€¶€¶I€¶€¶I€¶€¶I€¶€¶I€¶€¶I€¶€¶I€¶€¶I€¶€¶I€¶€¶I€¶€¶I€¶€¶I€¶€¶I€¶€¶I€¶€¶I€¶€¶I€¶€¶I€¶€¶I€¶€¶I€¶€¶I€¶€¶I€¶€¶I€¶€¶I€¶€¶I€¶€¶I€¶€¶I€¶€¶I€¶€¶I€¶€¶I€¶€¶I€¶€¶I€¶€¶I€¶€¶I€¶€¶I€¶€¶I€¶€¶I€¶€¶I€¶€¶I€¶€¶I€¶€¶I€¶€¶I€¶€¶I€¶€¶I€¶€¶I€¶€¶I€¶€¶I€¶€¶I€¶€¶I€¶€¶I€¶€¶I€¶€¶I€¶€¶I€¶€¶I€¶€¶I€¶€¶I€¶€¶I€¶€¶I€¶€¶I€¶€¶I€¶€¶I€¶€¶I€¶€¶I€¶€¶I€¶€¶I€¶€¶I€¶€¶I€¶€¶I€¶€¶I€¶€¶I€¶€¶I€¶€¶I€¶€¶I€¶€¶I€¶€¶I€¶€¶I€¶€¶I€¶€¶I€¶€¶I€¶€¶I€¶€¶I€¶€¶I€¶€¶I€¶€¶I€¶€¶I€¶€¶I€¶€¶I€¶€¶I€¶€¶I€¶€¶I€¶€¶I€¶€¶I€¶€¶I€¶€¶I€¶€¶I€¶€¶I€¶€¶I€¶€¶I€¶€¶I€¶€¶I€¶€¶I€¶€¶I€¶€¶I€¶€¶I€¶€¶I€¶€¶I€¶€¶I€¶€¶I€¶€¶I€¶€¶I€¶€¶I€¶€¶I€¶€¶I€¶€¶I€¶€¶I€¶€¶I€¶€¶I€¶€¶I€¶€¶I€¶€¶I€¶€¶I€¶€¶I€¶€¶I€¶€¶I€¶€¶I€¶€¶I€¶€¶I€¶€¶I€¶€¶I€¶€¶I€¶€¶I€¶€¶I€¶€¶I€¶€¶I€¶€¶I€¶€¶I€¶€¶I€¶€¶I€¶€¶I€¶€¶I€¶€¶I€¶€¶I€¶€¶I€¶€¶I€¶€¶I€¶€¶I€¶€¶I€¶€¶I€¶€¶I€¶€¶I€¶€¶I€¶€¶I€¶€¶I€¶                                                                                                                                                                                                                                                                                                                                                                                                                                                                                                                                                                                                                                                                                                                                                                                                                                                                                                                                                                                                                                                                                                                                                                                                                                                                                                                                                                                                                                                                                                                                                                                                                                                                                                                                                                                                                                                                                                                                                                                                                                                                                                                                                                                                                                                                                                                                                                                                                                                                                                                                                                                                    ']列，源：f2ba61fb2bfcb781c0b22002d8466c53 备：None</t>
        </is>
      </c>
      <c r="BP11" t="inlineStr">
        <is>
          <t>src行 ['1',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']列，源：90cdc9706132f799ab275d6b8e6fcfd1 备：None</t>
        </is>
      </c>
    </row>
    <row r="12">
      <c r="B12" t="inlineStr">
        <is>
          <t>NULL</t>
        </is>
      </c>
      <c r="C12" t="inlineStr">
        <is>
          <t>NULL</t>
        </is>
      </c>
      <c r="D12" t="inlineStr">
        <is>
          <t>NULL</t>
        </is>
      </c>
      <c r="E12" t="inlineStr">
        <is>
          <t>NULL</t>
        </is>
      </c>
      <c r="F12" t="inlineStr">
        <is>
          <t>NULL</t>
        </is>
      </c>
      <c r="G12" t="inlineStr">
        <is>
          <t>NULL</t>
        </is>
      </c>
      <c r="H12" t="inlineStr">
        <is>
          <t>NULL</t>
        </is>
      </c>
      <c r="I12" t="inlineStr">
        <is>
          <t>NULL</t>
        </is>
      </c>
      <c r="J12" t="inlineStr">
        <is>
          <t>NULL</t>
        </is>
      </c>
      <c r="K12" t="inlineStr">
        <is>
          <t>[0;32m YES! [0m 	 c_time列源备映射正确，源端为time None位	期望更改为varchar(20)	实际备端为varchar 80位	位数精度不存在，通过长度比较</t>
        </is>
      </c>
      <c r="Z12" t="inlineStr">
        <is>
          <t>src行 ['4', ' ', '                    ', '                                                                                                                                                                                                                                                                                                                                                                                                                                                                                                                                                                                                                                                                                                                                                                                                                                                                                                                                                                                                                                                                                                                                                                                                                                                                                                                                                                                                                                                                                                                                                                                                                                                                                                                                                                                                                                                                                                                                                                                                                                                                                                                                                                                                                                                                                                                                                                                                                                                                                                                                                                                                                                                                                                                                                                                                                                                                                                                                                                                                                                                                                                                                                                                                                                                                                                                                                                                                                                                                                                                                                                                                                                                                                                                                                                                                                                                                                                                                                                                                                                                                                                                                                                                                                                                                                                                                                                                                                                                                                                                                                                                                                                                                                                                                                                                                                                                                                                                                                                                                                                                                                                                                                                                                                                                                                                                                                                                                                                                                                                                                                                                                                                                                                                                                                                                                                                                                                                                                                                                                                                                                                                                                                                                                                                                                                                                                                                                                                                                                                                                                                                                                                                                                                                                                                                                                                                                                                                                                                                                                                                                                                                                                                                                                                                                                                                                                                                                                                                                                                                                                                                                                                                                                                                                                                                                                                                                                                                                                                                                                                                                                                                                                                                                                                                                                                                                                ']列，源：b8699aa6b337420856845b5ab0934925 备：None</t>
        </is>
      </c>
      <c r="AD12" t="inlineStr">
        <is>
          <t>src行 ['4', ' ', '                    ', '                                                                                                                                                                                                                                                                                                                                                                                                                                                                                                                                                                                                                                                                                                                                                                                                                                                                                                                                                                                                                                                                                                                                                                                                                                                                                                                                                                                                                                                                                                                                                                                                                                                                                                                                                                                                                                                                                                                                                                                                                                                                                                                                                                                                                                                                                                                                                                                                                                                                                                                                                                                                                                                                                                                                                                                                                                                                                                                                                                                                                                                                                                                                                                                                                                                                                                                                                                                                                                                                                                                                                                                                                                                                                                                                                                                                                                                                                                                                                                                                                                                                                                                                                                                                                                                                                                                                                                                                                                                                                                                                                                                                                                                                                                                                                                                                                                                                                                                                                                                                                                                                                                                                                                                                                                                                                                                                                                                                                                                                                                                                                                                                                                                                                                                                                                                                                                                                                                                                                                                                                                                                                                                                                                                                                                                                                                                                                                                                                                                                                                                                                                                                                                                                                                                                                                                                                                                                                                                                                                                                                                                                                                                                                                                                                                                                                                                                                                                                                                                                                                                                                                                                                                                                                                                                                                                                                                                                                                                                                                                                                                                                                                                                                                                                                                                                                                                                ']列，源：b8699aa6b337420856845b5ab0934925 备：None</t>
        </is>
      </c>
      <c r="AF12" t="inlineStr">
        <is>
          <t>src行 ['9',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']列，源：43b8a179cab7bd60ef79b07e18b3b3d2 备：None</t>
        </is>
      </c>
      <c r="AH12" t="inlineStr">
        <is>
          <t>tgt行 ['29',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备：d2c61b923ddb6520f71b1753c6acbd32</t>
        </is>
      </c>
      <c r="AL12" t="inlineStr">
        <is>
          <t>src行 ['4', ' ', '                    ', '                                                                                                                                                                                                                                                                                                                                                                                                                                                                                                                                                                                                                                                                                                                                                                                                                                                                                                                                                                                                                                                                                                                                                                                                                                                                                                                                                                                                                                                                                                                                                                                                                                                                                                                                                                                                                                                                                                                                                                                                                                                                                                                                                                                                                                                                                                                                                                                                                                                                                                                                                                                                                                                                                                                                                                                                                                                                                                                                                                                                                                                                                                                                                                                                                                                                                                                                                                                                                                                                                                                                                                                                                                                                                                                                                                                                                                                                                                                                                                                                                                                                                                                                                                                                                                                                                                                                                                                                                                                                                                                                                                                                                                                                                                                                                                                                                                                                                                                                                                                                                                                                                                                                                                                                                                                                                                                                                                                                                                                                                                                                                                                                                                                                                                                                                                                                                                                                                                                                                                                                                                                                                                                                                                                                                                                                                                                                                                                                                                                                                                                                                                                                                                                                                                                                                                                                                                                                                                                                                                                                                                                                                                                                                                                                                                                                                                                                                                                                                                                                                                                                                                                                                                                                                                                                                                                                                                                                                                                                                                                                                                                                                                                                                                                                                                                                                                                                ']列，源：b8699aa6b337420856845b5ab0934925 备：None</t>
        </is>
      </c>
      <c r="AO12" t="inlineStr">
        <is>
          <t>src行 ['3',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']列，源：80ce671eeca0b55a629ff4f3a0b1f178 备：None</t>
        </is>
      </c>
      <c r="AP12" t="inlineStr">
        <is>
          <t>tgt行 ['16', 'X',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备：298008f2ae0c5993d54e9c24aa79adaf</t>
        </is>
      </c>
      <c r="AT12" t="inlineStr">
        <is>
          <t>src行 ['5', '测',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']列，源：a9dcde08b245ddd4a78ffa10171d0976 备：None</t>
        </is>
      </c>
      <c r="AW12" t="inlineStr">
        <is>
          <t>tgt行 ['16', 'X',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备：298008f2ae0c5993d54e9c24aa79adaf</t>
        </is>
      </c>
      <c r="AX12" t="inlineStr">
        <is>
          <t>src行 ['5', '测', '这是一个中文字符串           ', '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这是一个长中文字符串                                                                                                                                                                                                                                                                                                                                                                                                                                                                                                                                                                                                                                                                                                                                                                                                                                                                                                                                                                                                                                                                                                                                                                                                                                                                                                                                                                                                                                                                                                                                                            ']列，源：a9dcde08b245ddd4a78ffa10171d0976 备：None</t>
        </is>
      </c>
      <c r="BG12" t="inlineStr">
        <is>
          <t>tgt行 ['16', 'X', '𧿹䗪䒦𠀀',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']列，源：None 备：298008f2ae0c5993d54e9c24aa79adaf</t>
        </is>
      </c>
      <c r="BK12" t="inlineStr">
        <is>
          <t>tgt行 ['57',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备：3c8bab5aef56df4c0f3f2dc2fe3a43d7</t>
        </is>
      </c>
      <c r="BN12" t="inlineStr">
        <is>
          <t>src行 ['27',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']列，源：cf7dcc94a3edaf59a27d8050c62e528d 备：None</t>
        </is>
      </c>
      <c r="BP12" t="inlineStr">
        <is>
          <t>src行 ['2',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']列，源：23af6d605a1a552f0fe8ddd840f7ef5e 备：None</t>
        </is>
      </c>
    </row>
    <row r="13">
      <c r="A13" t="inlineStr">
        <is>
          <t>info_geometry_dml_single_pk_urp</t>
        </is>
      </c>
      <c r="K13" t="inlineStr">
        <is>
          <t>[0;34m info_geometry_dml_single_pk_urp [0m源备字段数相同，源端字段：2 	备端字段2</t>
        </is>
      </c>
      <c r="W13" t="inlineStr">
        <is>
          <t>YES 源备无差异</t>
        </is>
      </c>
      <c r="X13">
        <f>A13</f>
        <v/>
      </c>
      <c r="Z13"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']列，源：74b304ec22e1dccf8261f102294b1bcd 备：None</t>
        </is>
      </c>
      <c r="AD13"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']列，源：74b304ec22e1dccf8261f102294b1bcd 备：None</t>
        </is>
      </c>
      <c r="AH13" t="inlineStr">
        <is>
          <t>tgt行 ['56',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备：05a6adbc19528c2f0d44cdba39c93f0e</t>
        </is>
      </c>
      <c r="AL13"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']列，源：74b304ec22e1dccf8261f102294b1bcd 备：None</t>
        </is>
      </c>
      <c r="AO13" t="inlineStr">
        <is>
          <t>src行 ['5',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']列，源：1b07fa796a4047401456235b0baf2482 备：None</t>
        </is>
      </c>
      <c r="AP13" t="inlineStr">
        <is>
          <t>src行 ['2', ' ', '                    ', '                                                                                                                                                                                                                                                                                                                                                                                                                                                                                                                                                                                                                                                                                                                                                                                                                                                                                                                                                                                                                                                                                                                                                                                                                                                                                                                                                                                                                                                                                                                                                                                                                                                                                                                                                                                                                                                                                                                                                                                                                                                                                                                                                                                                                                                                                                                                                                                                                                                                                                                                                                                                                                                                                                                                                                                                                                                                                                                                                                                                                                                                                                                                                                                                                                                                                                                                                                                                                                                                                                                                                                                                                                                                                                                                                                                                                                                                                                                                                                                                                                                                                                                                                                ']列，源：ba574e0682e7636163637d71c3795157 备：None</t>
        </is>
      </c>
      <c r="AT13" t="inlineStr">
        <is>
          <t>src行 ['9', '英', '€¶6€¶               ', '€¶6€¶€¶6€¶€¶6€¶€¶6€¶€¶6€¶€¶6€¶€¶6€¶€¶6€¶€¶6€¶€¶6€¶€¶6€¶€¶6€¶€¶6€¶€¶6€¶€¶6€¶€¶6€¶€¶6€¶€¶6€¶€¶6€¶€¶6€¶€¶6€¶€¶6€¶€¶6€¶€¶6€¶€¶6€¶€¶6€¶€¶6€¶€¶6€¶€¶6€¶€¶6€¶€¶6€¶€¶6€¶€¶6€¶€¶6€¶€¶6€¶€¶6€¶€¶6€¶€¶6€¶€¶6€¶€¶6€¶€¶6€¶€¶6€¶€¶6€¶€¶6€¶€¶6€¶€¶6€¶€¶6€¶€¶6€¶€¶6€¶€¶6€¶€¶6€¶€¶6€¶€¶6€¶€¶6€¶€¶6€¶€¶6€¶€¶6€¶€¶6€¶€¶6€¶€¶6€¶€¶6€¶€¶6€¶€¶6€¶€¶6€¶€¶6€¶€¶6€¶€¶6€¶€¶6€¶€¶6€¶€¶6€¶€¶6€¶€¶6€¶€¶6€¶€¶6€¶€¶6€¶€¶6€¶€¶6€¶€¶6€¶€¶6€¶€¶6€¶                                                                                                                                                                                                                                                                                                                                                                                                                                                                                                                                                                                                                                                                                                                                                                                                                                                                                                                                                                                                                                                                                                                                                                                                                                                                                                                                                                                                                                                                                                                                                                                                                                                                                                                                                                                                                                                                                                                                                                                                                                                                                                                                                                                                                                                                                                                                                                                                                                                                                                                                                                                                                                                                                                                                                                                                                                                                                                                                                                                                                                                                                                                                                                                                                            ']列，源：ebbd52a12cfb8a93fbaedb99f088526a 备：None</t>
        </is>
      </c>
      <c r="AW13" t="inlineStr">
        <is>
          <t>src行 ['2', ' ', '                    ', '                                                                                                                                                                                                                                                                                                                                                                                                                                                                                                                                                                                                                                                                                                                                                                                                                                                                                                                                                                                                                                                                                                                                                                                                                                                                                                                                                                                                                                                                                                                                                                                                                                                                                                                                                                                                                                                                                                                                                                                                                                                                                                                                                                                                                                                                                                                                                                                                                                                                                                                                                                                                                                                                                                                                                                                                                                                                                                                                                                                                                                                                                                                                                                                                                                                                                                                                                                                                                                                                                                                                                                                                                                                                                                                                                                                                                                                                                                                                                                                                                                                                                                                                                                ']列，源：ba574e0682e7636163637d71c3795157 备：None</t>
        </is>
      </c>
      <c r="AX13" t="inlineStr">
        <is>
          <t>src行 ['9', '英', '€¶I€¶               ', '€¶I€¶€¶I€¶€¶I€¶€¶I€¶€¶I€¶€¶I€¶€¶I€¶€¶I€¶€¶I€¶€¶I€¶€¶I€¶€¶I€¶€¶I€¶€¶I€¶€¶I€¶€¶I€¶€¶I€¶€¶I€¶€¶I€¶€¶I€¶€¶I€¶€¶I€¶€¶I€¶€¶I€¶€¶I€¶€¶I€¶€¶I€¶€¶I€¶€¶I€¶€¶I€¶€¶I€¶€¶I€¶€¶I€¶€¶I€¶€¶I€¶€¶I€¶€¶I€¶€¶I€¶€¶I€¶€¶I€¶€¶I€¶€¶I€¶€¶I€¶€¶I€¶€¶I€¶€¶I€¶€¶I€¶€¶I€¶€¶I€¶€¶I€¶€¶I€¶€¶I€¶€¶I€¶€¶I€¶€¶I€¶€¶I€¶€¶I€¶€¶I€¶€¶I€¶€¶I€¶€¶I€¶€¶I€¶€¶I€¶€¶I€¶€¶I€¶€¶I€¶€¶I€¶€¶I€¶€¶I€¶€¶I€¶€¶I€¶€¶I€¶€¶I€¶€¶I€¶€¶I€¶€¶I€¶€¶I€¶€¶I€¶€¶I€¶€¶I€¶                                                                                                                                                                                                                                                                                                                                                                                                                                                                                                                                                                                                                                                                                                                                                                                                                                                                                                                                                                                                                                                                                                                                                                                                                                                                                                                                                                                                                                                                                                                                                                                                                                                                                                                                                                                                                                                                                                                                                                                                                                                                                                                                                                                                                                                                                                                                                                                                                                                                                                                                                                                                                                                                                                                                                                                                                                                                                                                                                                                                                                                                                                                                                                                                                            ']列，源：ce4bbf8fa2f654a33f2d855d66828234 备：None</t>
        </is>
      </c>
      <c r="BG13" t="inlineStr">
        <is>
          <t>src行 ['2', ' ', '                    ', '                                                                                                                                                                                                                                                                                                                                                                                                                                                                                                                                                                                                                                                                                                                                                                                                                                                                                                                                                                                                                                                                                                                                                                                                                                                                                                                                                                                                                                                                                                                                                                                                                                                                                                                                                                                                                                                                                                                                                                                                                                                                                                                                                                                                                                                                                                                                                                                                                                                                                                                                                                                                                                                                                                                                                                                                                                                                                                                                                                                                                                                                                                                                                                                                                                                                                                                                                                                                                                                                                                                                                                                                                                                                                                                                                                                                                                                                                                                                                                                                                                                                                                                                                                ']列，源：ba574e0682e7636163637d71c3795157 备：None</t>
        </is>
      </c>
      <c r="BK13" t="inlineStr">
        <is>
          <t>tgt行 ['58',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备：503b4bc061181cdd401b0af89f52a5cb</t>
        </is>
      </c>
      <c r="BN13" t="inlineStr">
        <is>
          <t>src行 ['28',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']列，源：444aabd97eb796fffc30c56f81a09256 备：None</t>
        </is>
      </c>
      <c r="BP13" t="inlineStr">
        <is>
          <t>src行 ['3',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']列，源：53948f56f0aaf15cf48ae68e8706ab85 备：None</t>
        </is>
      </c>
    </row>
    <row r="14">
      <c r="B14" t="inlineStr">
        <is>
          <t>YES</t>
        </is>
      </c>
      <c r="C14" t="inlineStr">
        <is>
          <t>NULL</t>
        </is>
      </c>
      <c r="D14" t="inlineStr">
        <is>
          <t>NULL</t>
        </is>
      </c>
      <c r="E14" t="inlineStr">
        <is>
          <t>NULL</t>
        </is>
      </c>
      <c r="F14" t="inlineStr">
        <is>
          <t>NULL</t>
        </is>
      </c>
      <c r="G14" t="inlineStr">
        <is>
          <t>NULL</t>
        </is>
      </c>
      <c r="H14" t="inlineStr">
        <is>
          <t>NULL</t>
        </is>
      </c>
      <c r="I14" t="inlineStr">
        <is>
          <t>YES!PK__info_geo__3213E83F295FBDD4</t>
        </is>
      </c>
      <c r="J14" t="inlineStr">
        <is>
          <t>YES! 主键相关索引</t>
        </is>
      </c>
      <c r="K14" t="inlineStr">
        <is>
          <t>YES! 	 id列源备映射正确，源端为int None位	期望更改为int	实际备端为int None位</t>
        </is>
      </c>
      <c r="Z14"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']列，源：6e1808a1eaecdeff3bdb84402fecccdd 备：None</t>
        </is>
      </c>
      <c r="AD14"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']列，源：6e1808a1eaecdeff3bdb84402fecccdd 备：None</t>
        </is>
      </c>
      <c r="AH14" t="inlineStr">
        <is>
          <t>tgt行 ['59',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备：e596f5dacd92ddba5eb9f82e06f8bc36</t>
        </is>
      </c>
      <c r="AL14"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']列，源：6e1808a1eaecdeff3bdb84402fecccdd 备：None</t>
        </is>
      </c>
      <c r="AO14" t="inlineStr">
        <is>
          <t>src行 ['6',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']列，源：eb161edca117ad34f6054bfc360e3b21 备：None</t>
        </is>
      </c>
      <c r="AP14" t="inlineStr">
        <is>
          <t>src行 ['3', ' ', '                    ', '                                                                                                                                                                                                                                                                                                                                                                                                                                                                                                                                                                                                                                                                                                                                                                                                                                                                                                                                                                                                                                                                                                                                                                                                                                                                                                                                                                                                                                                                                                                                                                                                                                                                                                                                                                                                                                                                                                                                                                                                                                                                                                                                                                                                                                                                                                                                                                                                                                                                                                                                                                                                                                                                                                                                                                                                                                                                                                                                                                                                                                                                                                                                                                                                                                                                                                                                                                                                                                                                                                                                                                                                                                                                                                                                                                                                                                                                                                                                                                                                                                                                                                                                                                ']列，源：1c5dd6469a0388ba1d09651693737b1c 备：None</t>
        </is>
      </c>
      <c r="AT14" t="inlineStr">
        <is>
          <t>src行 ['10', '￥',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']列，源：3bde065c74ea21601ca4617c19d20a68 备：None</t>
        </is>
      </c>
      <c r="AW14" t="inlineStr">
        <is>
          <t>src行 ['3', ' ', '                    ', '                                                                                                                                                                                                                                                                                                                                                                                                                                                                                                                                                                                                                                                                                                                                                                                                                                                                                                                                                                                                                                                                                                                                                                                                                                                                                                                                                                                                                                                                                                                                                                                                                                                                                                                                                                                                                                                                                                                                                                                                                                                                                                                                                                                                                                                                                                                                                                                                                                                                                                                                                                                                                                                                                                                                                                                                                                                                                                                                                                                                                                                                                                                                                                                                                                                                                                                                                                                                                                                                                                                                                                                                                                                                                                                                                                                                                                                                                                                                                                                                                                                                                                                                                                ']列，源：1c5dd6469a0388ba1d09651693737b1c 备：None</t>
        </is>
      </c>
      <c r="AX14" t="inlineStr">
        <is>
          <t>src行 ['10', '￥',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']列，源：3bde065c74ea21601ca4617c19d20a68 备：None</t>
        </is>
      </c>
      <c r="BG14" t="inlineStr">
        <is>
          <t>src行 ['3', ' ', '                    ', '                                                                                                                                                                                                                                                                                                                                                                                                                                                                                                                                                                                                                                                                                                                                                                                                                                                                                                                                                                                                                                                                                                                                                                                                                                                                                                                                                                                                                                                                                                                                                                                                                                                                                                                                                                                                                                                                                                                                                                                                                                                                                                                                                                                                                                                                                                                                                                                                                                                                                                                                                                                                                                                                                                                                                                                                                                                                                                                                                                                                                                                                                                                                                                                                                                                                                                                                                                                                                                                                                                                                                                                                                                                                                                                                                                                                                                                                                                                                                                                                                                                                                                                                                                ']列，源：1c5dd6469a0388ba1d09651693737b1c 备：None</t>
        </is>
      </c>
      <c r="BK14" t="inlineStr">
        <is>
          <t>tgt行 ['72', '', '', '                                                                                                                                                                                                                                                                                                                                                                                                                                                                                                                                                                                                                                                                                                                                                                                                                                                                                                                                                                                                                                                                                                                                                                                                                                                                                                                                                                                                                                                                                                                                                                                                                                                                                                                                                                                                                                                                                                                                                                                                                                                                                                                                                                                                                                                                                                                                                                                                                                                                                                                                                                                                                                                                                                                                                                                                                                                                                                                                                                                                                                                                                                                                                                                                                                                                                                                                                                                                                                                                                                                                                                                                                                            ']列，源：None 备：9b27bd82e12584a144731ade8f4e0533</t>
        </is>
      </c>
      <c r="BN14" t="inlineStr">
        <is>
          <t>src行 ['56', 'Y', '€¶I€¶               ', '€¶I€¶€¶I€¶€¶I€¶€¶I€¶€¶I€¶€¶I€¶€¶I€¶€¶I€¶€¶I€¶€¶I€¶€¶I€¶€¶I€¶€¶I€¶€¶I€¶€¶I€¶€¶I€¶€¶I€¶€¶I€¶€¶I€¶€¶I€¶€¶I€¶€¶I€¶€¶I€¶€¶I€¶€¶I€¶€¶I€¶€¶I€¶€¶I€¶€¶I€¶€¶I€¶€¶I€¶€¶I€¶€¶I€¶€¶I€¶€¶I€¶€¶I€¶€¶I€¶€¶I€¶€¶I€¶€¶I€¶€¶I€¶€¶I€¶€¶I€¶€¶I€¶€¶I€¶€¶I€¶€¶I€¶€¶I€¶€¶I€¶€¶I€¶€¶I€¶€¶I€¶€¶I€¶€¶I€¶€¶I€¶€¶I€¶€¶I€¶€¶I€¶€¶I€¶€¶I€¶€¶I€¶€¶I€¶€¶I€¶€¶I€¶€¶I€¶€¶I€¶€¶I€¶€¶I€¶€¶I€¶€¶I€¶€¶I€¶€¶I€¶€¶I€¶€¶I€¶€¶I€¶€¶I€¶€¶I€¶€¶I€¶€¶I€¶€¶I€¶€¶I€¶€¶I€¶€¶I€¶€¶I€¶€¶I€¶€¶I€¶€¶I€¶€¶I€¶€¶I€¶€¶I€¶€¶I€¶€¶I€¶€¶I€¶€¶I€¶€¶I€¶€¶I€¶€¶I€¶€¶I€¶€¶I€¶€¶I€¶€¶I€¶€¶I€¶€¶I€¶€¶I€¶€¶I€¶€¶I€¶€¶I€¶€¶I€¶€¶I€¶€¶I€¶€¶I€¶€¶I€¶€¶I€¶€¶I€¶€¶I€¶€¶I€¶€¶I€¶€¶I€¶€¶I€¶€¶I€¶€¶I€¶€¶I€¶€¶I€¶€¶I€¶€¶I€¶€¶I€¶€¶I€¶€¶I€¶€¶I€¶€¶I€¶€¶I€¶€¶I€¶€¶I€¶€¶I€¶€¶I€¶€¶I€¶€¶I€¶€¶I€¶€¶I€¶€¶I€¶€¶I€¶€¶I€¶€¶I€¶€¶I€¶€¶I€¶€¶I€¶€¶I€¶€¶I€¶€¶I€¶€¶I€¶€¶I€¶€¶I€¶€¶I€¶€¶I€¶€¶I€¶€¶I€¶€¶I€¶€¶I€¶€¶I€¶€¶I€¶€¶I€¶€¶I€¶€¶I€¶€¶I€¶€¶I€¶€¶I€¶€¶I€¶€¶I€¶€¶I€¶€¶I€¶€¶I€¶€¶I€¶€¶I€¶€¶I€¶€¶I€¶€¶I€¶€¶I€¶€¶I€¶€¶I€¶€¶I€¶€¶I€¶€¶I€¶€¶I€¶€¶I€¶€¶I€¶€¶I€¶€¶I€¶€¶I€¶€¶I€¶€¶I€¶€¶I€¶€¶I€¶€¶I€¶€¶I€¶€¶I€¶€¶I€¶€¶I€¶€¶I€¶€¶I€¶€¶I€¶                                                                                                                                                                                                                                                                                                                                                                                                                                                                                                                                                                                                                                                                                                                                                                                                                                                                                                                                                                                                                                                                                                                                                                                                                                                                                                                                                                                                                                                                                                                                                                                                                                                                                                                                                                                                                                                                                                                                                                                                                                                                                                                                                                                                                                                                                                                                                                                                                                                                                                                                                                                                    ']列，源：aeaa0bf9f6ab9f82a99aea09d457e1f0 备：None</t>
        </is>
      </c>
      <c r="BP14" t="inlineStr">
        <is>
          <t>src行 ['4',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']列，源：5de5d56fc4eebcec586b93322480f2a0 备：None</t>
        </is>
      </c>
    </row>
    <row r="15">
      <c r="B15" t="inlineStr">
        <is>
          <t>NULL</t>
        </is>
      </c>
      <c r="C15" t="inlineStr">
        <is>
          <t>NULL</t>
        </is>
      </c>
      <c r="D15" t="inlineStr">
        <is>
          <t>NULL</t>
        </is>
      </c>
      <c r="E15" t="inlineStr">
        <is>
          <t>NULL</t>
        </is>
      </c>
      <c r="F15" t="inlineStr">
        <is>
          <t>NULL</t>
        </is>
      </c>
      <c r="G15" t="inlineStr">
        <is>
          <t>NULL</t>
        </is>
      </c>
      <c r="H15" t="inlineStr">
        <is>
          <t>NULL</t>
        </is>
      </c>
      <c r="I15" t="inlineStr">
        <is>
          <t>NULL</t>
        </is>
      </c>
      <c r="J15" t="inlineStr">
        <is>
          <t>NULL</t>
        </is>
      </c>
      <c r="K15" t="inlineStr">
        <is>
          <t>YES! 	 c_geometry列源备映射正确，源端为geometry -1位	期望更改为text	实际备端为text 65535位</t>
        </is>
      </c>
      <c r="Z15"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']列，源：7aad3c80cd620720da53e2ea4e026ba0 备：None</t>
        </is>
      </c>
      <c r="AD15"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']列，源：7aad3c80cd620720da53e2ea4e026ba0 备：None</t>
        </is>
      </c>
      <c r="AH15" t="inlineStr">
        <is>
          <t>tgt行 ['72', '', '', '                                                                                                                                                                                                                                                                                                                                                                                                                                                                                                                                                                                                                                                                                                                                                                                                                                                                                                                                                                                                                                                                                                                                                                                                                                                                                                                                                                                                                                                                                                                                                                                                                                                                                                                                                                                                                                                                                                                                                                                                                                                                                                                                                                                                                                                                                                                                                                                                                                                                                                                                                                                                                                                                                                                                                                                                                                                                                                                                                                                                                                                                                                                                                                                                                                                                                                                                                                                                                                                                                                                                                                                                                                                                                                                                                                                                                                                                                                                                                                                                                                                                                                                                                                                                                                                                                                                                                                                                                                                                                                                                                                                                                                                                                                                                                                                                                                                                                                                                                                                                                                                                                                                                                                                                                                                                                                                                                                                                                                                                                                                                                                                                                                                                                                                                                                                                                                                                                                                                                                                                                                                                                                                                                                                                                                                                                                                                                                                                                                                                                                                                                                                                                                                                                                                                                                                                                                                                                                                                                                                                                                                                                                                                                                                                                                                                                                                                                                                                                                                                                                                                                                                                                                                                                                                                                                                                                                                                                                                                                                                                                                                                                                                                                                                                                                                                                                                                ']列，源：None 备：2279f83ab5acc06da341c8841cf9f7fb</t>
        </is>
      </c>
      <c r="AL15"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']列，源：7aad3c80cd620720da53e2ea4e026ba0 备：None</t>
        </is>
      </c>
      <c r="AO15" t="inlineStr">
        <is>
          <t>src行 ['9',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']列，源：43b8a179cab7bd60ef79b07e18b3b3d2 备：None</t>
        </is>
      </c>
      <c r="AP15" t="inlineStr">
        <is>
          <t>src行 ['4', ' ', '                    ', '                                                                                                                                                                                                                                                                                                                                                                                                                                                                                                                                                                                                                                                                                                                                                                                                                                                                                                                                                                                                                                                                                                                                                                                                                                                                                                                                                                                                                                                                                                                                                                                                                                                                                                                                                                                                                                                                                                                                                                                                                                                                                                                                                                                                                                                                                                                                                                                                                                                                                                                                                                                                                                                                                                                                                                                                                                                                                                                                                                                                                                                                                                                                                                                                                                                                                                                                                                                                                                                                                                                                                                                                                                                                                                                                                                                                                                                                                                                                                                                                                                                                                                                                                                ']列，源：6ef0406423b1860246adb58cdba7d56f 备：None</t>
        </is>
      </c>
      <c r="AW15" t="inlineStr">
        <is>
          <t>src行 ['4', ' ', '                    ', '                                                                                                                                                                                                                                                                                                                                                                                                                                                                                                                                                                                                                                                                                                                                                                                                                                                                                                                                                                                                                                                                                                                                                                                                                                                                                                                                                                                                                                                                                                                                                                                                                                                                                                                                                                                                                                                                                                                                                                                                                                                                                                                                                                                                                                                                                                                                                                                                                                                                                                                                                                                                                                                                                                                                                                                                                                                                                                                                                                                                                                                                                                                                                                                                                                                                                                                                                                                                                                                                                                                                                                                                                                                                                                                                                                                                                                                                                                                                                                                                                                                                                                                                                                ']列，源：6ef0406423b1860246adb58cdba7d56f 备：None</t>
        </is>
      </c>
      <c r="BG15" t="inlineStr">
        <is>
          <t>src行 ['4', ' ', '                    ', '                                                                                                                                                                                                                                                                                                                                                                                                                                                                                                                                                                                                                                                                                                                                                                                                                                                                                                                                                                                                                                                                                                                                                                                                                                                                                                                                                                                                                                                                                                                                                                                                                                                                                                                                                                                                                                                                                                                                                                                                                                                                                                                                                                                                                                                                                                                                                                                                                                                                                                                                                                                                                                                                                                                                                                                                                                                                                                                                                                                                                                                                                                                                                                                                                                                                                                                                                                                                                                                                                                                                                                                                                                                                                                                                                                                                                                                                                                                                                                                                                                                                                                                                                                ']列，源：6ef0406423b1860246adb58cdba7d56f 备：None</t>
        </is>
      </c>
      <c r="BK15" t="inlineStr">
        <is>
          <t>tgt行 ['76', 'Y', '€¶I€¶', '€¶I€¶€¶I€¶€¶I€¶€¶I€¶€¶I€¶€¶I€¶€¶I€¶€¶I€¶€¶I€¶€¶I€¶€¶I€¶€¶I€¶€¶I€¶€¶I€¶€¶I€¶€¶I€¶€¶I€¶€¶I€¶€¶I€¶€¶I€¶€¶I€¶€¶I€¶€¶I€¶€¶I€¶€¶I€¶€¶I€¶€¶I€¶€¶I€¶€¶I€¶€¶I€¶€¶I€¶€¶I€¶€¶I€¶€¶I€¶€¶I€¶€¶I€¶€¶I€¶€¶I€¶€¶I€¶€¶I€¶€¶I€¶€¶I€¶€¶I€¶€¶I€¶€¶I€¶€¶I€¶€¶I€¶€¶I€¶€¶I€¶€¶I€¶€¶I€¶€¶I€¶€¶I€¶€¶I€¶€¶I€¶€¶I€¶€¶I€¶€¶I€¶€¶I€¶€¶I€¶€¶I€¶€¶I€¶€¶I€¶€¶I€¶€¶I€¶€¶I€¶€¶I€¶€¶I€¶€¶I€¶€¶I€¶€¶I€¶€¶I€¶€¶I€¶€¶I€¶€¶I€¶€¶I€¶€¶I€¶€¶I€¶€¶I€¶€¶I€¶€¶I€¶€¶I€¶€¶I€¶€¶I€¶€¶I€¶€¶I€¶€¶I€¶€¶I€¶€¶I€¶€¶I€¶€¶I€¶€¶I€¶€¶I€¶€¶I€¶€¶I€¶€¶I€¶€¶I€¶€¶I€¶€¶I€¶€¶I€¶€¶I€¶€¶I€¶€¶I€¶€¶I€¶€¶I€¶€¶I€¶€¶I€¶€¶I€¶€¶I€¶€¶I€¶€¶I€¶€¶I€¶€¶I€¶€¶I€¶€¶I€¶€¶I€¶€¶I€¶€¶I€¶€¶I€¶€¶I€¶€¶I€¶€¶I€¶€¶I€¶€¶I€¶€¶I€¶€¶I€¶€¶I€¶€¶I€¶€¶I€¶€¶I€¶€¶I€¶€¶I€¶€¶I€¶€¶I€¶€¶I€¶€¶I€¶€¶I€¶€¶I€¶€¶I€¶€¶I€¶€¶I€¶€¶I€¶€¶I€¶€¶I€¶€¶I€¶€¶I€¶€¶I€¶€¶I€¶€¶I€¶€¶I€¶€¶I€¶€¶I€¶€¶I€¶€¶I€¶€¶I€¶€¶I€¶€¶I€¶€¶I€¶€¶I€¶€¶I€¶€¶I€¶€¶I€¶€¶I€¶€¶I€¶€¶I€¶€¶I€¶€¶I€¶€¶I€¶€¶I€¶€¶I€¶€¶I€¶€¶I€¶€¶I€¶€¶I€¶€¶I€¶€¶I€¶€¶I€¶€¶I€¶€¶I€¶€¶I€¶€¶I€¶€¶I€¶€¶I€¶€¶I€¶€¶I€¶€¶I€¶€¶I€¶€¶I€¶€¶I€¶€¶I€¶€¶I€¶€¶I€¶€¶I€¶€¶I€¶€¶I€¶€¶I€¶€¶I€¶€¶I€¶€¶I€¶€¶I€¶                                                                                                                                                                                                                                                                                                                                                                                                                                                                                                                                                                                                                                                                                                                                                                                                                                                                                                                                                                                                                                                                                                                                                                                                                                                                                                                                                                                                                                                                                                                                                                                                                                                                                                                                                                                                                                                                                                                                                                                                                                                                                                                                                                                                                                                                                                                                                                                                                                                                                                                                                                                                    ']列，源：None 备：9704c6ccaec43f7eedc20fa36e83bae7</t>
        </is>
      </c>
      <c r="BN15" t="inlineStr">
        <is>
          <t>src行 ['57',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']列，源：3af69c9c655758aedba02eb9c7a7bdb0 备：None</t>
        </is>
      </c>
      <c r="BP15" t="inlineStr">
        <is>
          <t>src行 ['5',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']列，源：19637d629316c9c8707cfaca955ad8b9 备：None</t>
        </is>
      </c>
    </row>
    <row r="16">
      <c r="A16" t="inlineStr">
        <is>
          <t>info_char_dml_single_nopk_drp</t>
        </is>
      </c>
      <c r="K16" t="inlineStr">
        <is>
          <t>[0;34m info_char_dml_single_nopk_drp [0m源备字段数相同，源端字段：4 	备端字段4</t>
        </is>
      </c>
      <c r="W16" s="15">
        <f>HYPERLINK("#2026052610mysql0!Y2","NO 源备存在差异，共4个")</f>
        <v/>
      </c>
      <c r="X16">
        <f>A16</f>
        <v/>
      </c>
      <c r="Z16" t="inlineStr">
        <is>
          <t>src行 ['15', '?', '€?6€?               ',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']列，源：2f371b35195b1331ce39ea281163e205 备：None</t>
        </is>
      </c>
      <c r="AD16" t="inlineStr">
        <is>
          <t>src行 ['15',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']列，源：ff678eda7372b75870603fe368ed4a21 备：None</t>
        </is>
      </c>
      <c r="AH16" t="inlineStr">
        <is>
          <t>tgt行 ['73', 'A', 'THIS IS 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']列，源：None 备：13fbef08ceb2550b41b4e55e52197996</t>
        </is>
      </c>
      <c r="AL16" t="inlineStr">
        <is>
          <t>src行 ['15',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']列，源：ff678eda7372b75870603fe368ed4a21 备：None</t>
        </is>
      </c>
      <c r="AO16" t="inlineStr">
        <is>
          <t>src行 ['56',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']列，源：43e6d5cebb8d20cc513db35cacbd6a10 备：None</t>
        </is>
      </c>
      <c r="AP16"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']列，源：18f4ad56ef8dfed2293145937fc36545 备：None</t>
        </is>
      </c>
      <c r="AW16"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']列，源：18f4ad56ef8dfed2293145937fc36545 备：None</t>
        </is>
      </c>
      <c r="BG16" t="inlineStr">
        <is>
          <t>src行 ['6',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']列，源：18f4ad56ef8dfed2293145937fc36545 备：None</t>
        </is>
      </c>
      <c r="BK16" t="inlineStr">
        <is>
          <t>tgt行 ['77', '测', '这是一个长字符串',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']列，源：None 备：3830c8a7177a2cb6873bfb7dd0976e6d</t>
        </is>
      </c>
      <c r="BN16" t="inlineStr">
        <is>
          <t>src行 ['58',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']列，源：09383deda7198b8fdb0e204bccc75282 备：None</t>
        </is>
      </c>
      <c r="BP16" t="inlineStr">
        <is>
          <t>src行 ['6',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']列，源：dafd1391906b6d59e20b92e35aee3e69 备：None</t>
        </is>
      </c>
    </row>
    <row r="17">
      <c r="B17" t="inlineStr">
        <is>
          <t>NULL</t>
        </is>
      </c>
      <c r="C17" t="inlineStr">
        <is>
          <t>NULL</t>
        </is>
      </c>
      <c r="D17" t="inlineStr">
        <is>
          <t>NULL</t>
        </is>
      </c>
      <c r="E17" t="inlineStr">
        <is>
          <t>NULL</t>
        </is>
      </c>
      <c r="F17" t="inlineStr">
        <is>
          <t>NULL</t>
        </is>
      </c>
      <c r="G17" t="inlineStr">
        <is>
          <t>NULL</t>
        </is>
      </c>
      <c r="H17" t="inlineStr">
        <is>
          <t>NULL</t>
        </is>
      </c>
      <c r="I17" t="inlineStr">
        <is>
          <t>NULL</t>
        </is>
      </c>
      <c r="J17" t="inlineStr">
        <is>
          <t>NULL</t>
        </is>
      </c>
      <c r="K17" t="inlineStr">
        <is>
          <t>YES! 	 id列源备映射正确，源端为int None位	期望更改为int	实际备端为int None位</t>
        </is>
      </c>
      <c r="AH17" t="inlineStr">
        <is>
          <t>tgt行 ['75',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备：e3f6c8260961962aa888c8f80d459079</t>
        </is>
      </c>
      <c r="AO17" t="inlineStr">
        <is>
          <t>src行 ['59',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']列，源：9697c4c8a7a5a9480308ec5e2554ca7f 备：None</t>
        </is>
      </c>
      <c r="AP17" t="inlineStr">
        <is>
          <t>src行 ['9', 'Y', '上海英方股份有限公司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585549ec68665599d25f0a85026144ee 备：None</t>
        </is>
      </c>
      <c r="AW17" t="inlineStr">
        <is>
          <t>src行 ['9', 'Y', '上海英方股份有限公司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585549ec68665599d25f0a85026144ee 备：None</t>
        </is>
      </c>
      <c r="BG17" t="inlineStr">
        <is>
          <t>src行 ['9', 'Y', '上海英方股份有限公司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列，源：585549ec68665599d25f0a85026144ee 备：None</t>
        </is>
      </c>
      <c r="BK17" t="inlineStr">
        <is>
          <t>tgt行 ['78',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备：f455fcf65338f6f7b75df0af89cdf8b5</t>
        </is>
      </c>
      <c r="BP17" t="inlineStr">
        <is>
          <t>src行 ['7',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']列，源：5d19f9f66f4856422c6e01281a1dcf06 备：None</t>
        </is>
      </c>
    </row>
    <row r="18">
      <c r="B18" t="inlineStr">
        <is>
          <t>NULL</t>
        </is>
      </c>
      <c r="C18" t="inlineStr">
        <is>
          <t>NULL</t>
        </is>
      </c>
      <c r="D18" t="inlineStr">
        <is>
          <t>NULL</t>
        </is>
      </c>
      <c r="E18" t="inlineStr">
        <is>
          <t>NULL</t>
        </is>
      </c>
      <c r="F18" t="inlineStr">
        <is>
          <t>NULL</t>
        </is>
      </c>
      <c r="G18" t="inlineStr">
        <is>
          <t>NULL</t>
        </is>
      </c>
      <c r="H18" t="inlineStr">
        <is>
          <t>NULL</t>
        </is>
      </c>
      <c r="I18" t="inlineStr">
        <is>
          <t>NULL</t>
        </is>
      </c>
      <c r="J18" t="inlineStr">
        <is>
          <t>NULL</t>
        </is>
      </c>
      <c r="K18" t="inlineStr">
        <is>
          <t>YES! 	 c_char列源备映射正确，源端为char 1位	期望更改为char(n)	实际备端为char 4位</t>
        </is>
      </c>
      <c r="AH18" t="inlineStr">
        <is>
          <t>tgt行 ['76', '2', '123456789',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']列，源：None 备：a1185d60eaff7edd77df5f87ba2397b5</t>
        </is>
      </c>
      <c r="AO18" t="inlineStr">
        <is>
          <t>src行 ['106',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']列，源：b59b3d52f283f495b4bada0284af2e71 备：None</t>
        </is>
      </c>
      <c r="AP18"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']列，源：48fc24a0362eb50fbdf4d7b1b92a82c3 备：None</t>
        </is>
      </c>
      <c r="AW18"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']列，源：48fc24a0362eb50fbdf4d7b1b92a82c3 备：None</t>
        </is>
      </c>
      <c r="BG18" t="inlineStr">
        <is>
          <t>src行 ['10',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']列，源：48fc24a0362eb50fbdf4d7b1b92a82c3 备：None</t>
        </is>
      </c>
      <c r="BK18" t="inlineStr">
        <is>
          <t>tgt行 ['128',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备：9fdcc7456b71bc11c87ef69081e588a8</t>
        </is>
      </c>
      <c r="BP18" t="inlineStr">
        <is>
          <t>src行 ['8', '€', '$TooLong英255Val方&amp;   ', '$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TooLong英255Val方&amp;                                                                                                    ']列，源：236a453edf09bd6268cd0312b9e821a1 备：None</t>
        </is>
      </c>
    </row>
    <row r="19">
      <c r="B19" t="inlineStr">
        <is>
          <t>NULL</t>
        </is>
      </c>
      <c r="C19" t="inlineStr">
        <is>
          <t>NULL</t>
        </is>
      </c>
      <c r="D19" t="inlineStr">
        <is>
          <t>NULL</t>
        </is>
      </c>
      <c r="E19" t="inlineStr">
        <is>
          <t>NULL</t>
        </is>
      </c>
      <c r="F19" t="inlineStr">
        <is>
          <t>NULL</t>
        </is>
      </c>
      <c r="G19" t="inlineStr">
        <is>
          <t>NULL</t>
        </is>
      </c>
      <c r="H19" t="inlineStr">
        <is>
          <t>NULL</t>
        </is>
      </c>
      <c r="I19" t="inlineStr">
        <is>
          <t>NULL</t>
        </is>
      </c>
      <c r="J19" t="inlineStr">
        <is>
          <t>NULL</t>
        </is>
      </c>
      <c r="K19" t="inlineStr">
        <is>
          <t>YES! 	 c_char20列源备映射正确，源端为char 20位	期望更改为char(n)	实际备端为char 80位</t>
        </is>
      </c>
      <c r="AH19" t="inlineStr">
        <is>
          <t>tgt行 ['79', '?', '€?I€?',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']列，源：None 备：498761d27b297eba91ce8eec639fecb5</t>
        </is>
      </c>
      <c r="AP19"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']列，源：b1dbb91b05c36d0de9b6140d5b5bf5d4 备：None</t>
        </is>
      </c>
      <c r="AW19"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']列，源：b1dbb91b05c36d0de9b6140d5b5bf5d4 备：None</t>
        </is>
      </c>
      <c r="BG19" t="inlineStr">
        <is>
          <t>src行 ['12',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']列，源：b1dbb91b05c36d0de9b6140d5b5bf5d4 备：None</t>
        </is>
      </c>
      <c r="BK19" t="inlineStr">
        <is>
          <t>tgt行 ['158',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备：eba76e4ad1817efcb2fa66c8c31c3407</t>
        </is>
      </c>
    </row>
    <row r="20">
      <c r="B20" t="inlineStr">
        <is>
          <t>NULL</t>
        </is>
      </c>
      <c r="C20" t="inlineStr">
        <is>
          <t>NULL</t>
        </is>
      </c>
      <c r="D20" t="inlineStr">
        <is>
          <t>NULL</t>
        </is>
      </c>
      <c r="E20" t="inlineStr">
        <is>
          <t>NULL</t>
        </is>
      </c>
      <c r="F20" t="inlineStr">
        <is>
          <t>NULL</t>
        </is>
      </c>
      <c r="G20" t="inlineStr">
        <is>
          <t>NULL</t>
        </is>
      </c>
      <c r="H20" t="inlineStr">
        <is>
          <t>NULL</t>
        </is>
      </c>
      <c r="I20" t="inlineStr">
        <is>
          <t>NULL</t>
        </is>
      </c>
      <c r="J20" t="inlineStr">
        <is>
          <t>NULL</t>
        </is>
      </c>
      <c r="K20" t="inlineStr">
        <is>
          <t>YES! 	 c_char7000列源备映射正确，源端为char 7000位	期望更改为text	实际备端为text 65535位</t>
        </is>
      </c>
      <c r="AH20" t="inlineStr">
        <is>
          <t>tgt行 ['125',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备：4fa548258f3242bdd742f9bc88f79d23</t>
        </is>
      </c>
      <c r="AP20" t="inlineStr">
        <is>
          <t>src行 ['14', 'Y', '测Test\\n%_8试&amp;12YG@2  ',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']列，源：a400c7f7007054388afe4b30693d713a 备：None</t>
        </is>
      </c>
      <c r="AW20" t="inlineStr">
        <is>
          <t>src行 ['14', 'Y', '测Test\\n%_8试&amp;12YG@2  ',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']列，源：a400c7f7007054388afe4b30693d713a 备：None</t>
        </is>
      </c>
      <c r="BG20" t="inlineStr">
        <is>
          <t>src行 ['14', 'Y', '测Test\\n%_8试&amp;12YG@2  ', '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测Test\\n%_8试&amp;12YG@2                                                                                                                                                                                                                                                                                                                                                                                                                                                                                                                                                                                                                                                                                                                                                                                                                                                                                                                                                                                                                                                                                                                                                                                                                                                                                                                                                                                                                                                                                                                                                                                                                                                                                                                                                                                                                                                                                                                                                                                                                                                                                                                                                                                                                                                                                        ']列，源：a400c7f7007054388afe4b30693d713a 备：None</t>
        </is>
      </c>
      <c r="BK20" t="inlineStr">
        <is>
          <t>tgt行 ['178', '试', '更新生僻字',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']列，源：None 备：5b93bea8f2afe2b100e9ad59f0b67f11</t>
        </is>
      </c>
    </row>
    <row r="21">
      <c r="A21" t="inlineStr">
        <is>
          <t>info_geometry_dml_single_pk_drp</t>
        </is>
      </c>
      <c r="K21" t="inlineStr">
        <is>
          <t>[0;34m info_geometry_dml_single_pk_drp [0m源备字段数相同，源端字段：2 	备端字段2</t>
        </is>
      </c>
      <c r="W21" t="inlineStr">
        <is>
          <t>YES 源备无差异</t>
        </is>
      </c>
      <c r="X21">
        <f>A21</f>
        <v/>
      </c>
      <c r="AH21" t="inlineStr">
        <is>
          <t>tgt行 ['175', 'Y', '上海英方股份',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']列，源：None 备：0f6bde24b77aeed0d0ccec2112910539</t>
        </is>
      </c>
      <c r="AP21" t="inlineStr">
        <is>
          <t>src行 ['15', 'N', '€¶6€¶               ', '€¶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']列，源：f069777d1c61b98186fb7dbd8fc9faed 备：None</t>
        </is>
      </c>
      <c r="AW21" t="inlineStr">
        <is>
          <t>src行 ['15', 'N',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']列，源：e372b02a37765b07ef4deb1b16300866 备：None</t>
        </is>
      </c>
      <c r="BG21" t="inlineStr">
        <is>
          <t>src行 ['15', 'N',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']列，源：e372b02a37765b07ef4deb1b16300866 备：None</t>
        </is>
      </c>
      <c r="BK21" t="inlineStr">
        <is>
          <t>src行 ['2', ' ', '                    ', '                                                                                                                                                                                                                                                                                                                                                                                                                                                                                                                                                                                                                                                                                                                                                                                                                                                                                                                                                                                                                                                                                                                                                                                                                                                                                                                                                                                                                                                                                                                                                                                                                                                                                                                                                                                                                                                                                                                                                                                                                                                                                                                                                                                                                                                                                                                                                                                                                                                                                                                                                                                                                                                                                                                                                                                                                                                                                                                                                                                                                                                                                                                                                                                                                                                                                                                                                                                                                                                                                                                                                                                                                                            ']列，源：02d9880d07a3d705c0a13a24433be8c8 备：None</t>
        </is>
      </c>
    </row>
    <row r="22">
      <c r="B22" t="inlineStr">
        <is>
          <t>YES</t>
        </is>
      </c>
      <c r="C22" t="inlineStr">
        <is>
          <t>NULL</t>
        </is>
      </c>
      <c r="D22" t="inlineStr">
        <is>
          <t>NULL</t>
        </is>
      </c>
      <c r="E22" t="inlineStr">
        <is>
          <t>NULL</t>
        </is>
      </c>
      <c r="F22" t="inlineStr">
        <is>
          <t>NULL</t>
        </is>
      </c>
      <c r="G22" t="inlineStr">
        <is>
          <t>NULL</t>
        </is>
      </c>
      <c r="H22" t="inlineStr">
        <is>
          <t>NULL</t>
        </is>
      </c>
      <c r="I22" t="inlineStr">
        <is>
          <t>YES!PK__info_geo__3213E83FD0AD5C3B</t>
        </is>
      </c>
      <c r="J22" t="inlineStr">
        <is>
          <t>YES! 主键相关索引</t>
        </is>
      </c>
      <c r="K22" t="inlineStr">
        <is>
          <t>YES! 	 id列源备映射正确，源端为int None位	期望更改为int	实际备端为int None位</t>
        </is>
      </c>
      <c r="AH22" t="inlineStr">
        <is>
          <t>src行 ['2', ' ', '                    ', '                                                                                                                                                                                                                                                                                                                                                                                                                                                                                                                                                                                                                                                                                                                                                                                                                                                                                                                                                                                                                                                                                                                                                                                                                                                                                                                                                                                                                                                                                                                                                                                                                                                                                                                                                                                                                                                                                                                                                                                                                                                                                                                                                                                                                                                                                                                                                                                                                                                                                                                                                                                                                                                                                                                                                                                                                                                                                                                                                                                                                                                                                                                                                                                                                                                                                                                                                                                                                                                                                                                                                                                                                                                                                                                                                                                                                                                                                                                                                                                                                                                                                                                                                                                                                                                                                                                                                                                                                                                                                                                                                                                                                                                                                                                                                                                                                                                                                                                                                                                                                                                                                                                                                                                                                                                                                                                                                                                                                                                                                                                                                                                                                                                                                                                                                                                                                                                                                                                                                                                                                                                                                                                                                                                                                                                                                                                                                                                                                                                                                                                                                                                                                                                                                                                                                                                                                                                                                                                                                                                                                                                                                                                                                                                                                                                                                                                                                                                                                                                                                                                                                                                                                                                                                                                                                                                                                                                                                                                                                                                                                                                                                                                                                                                                                                                                                                                                ']列，源：f6f27b4fce84894f44b4fe1b2769a4af 备：None</t>
        </is>
      </c>
      <c r="AP22" t="inlineStr">
        <is>
          <t>src行 ['16', 'X',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']列，源：41d886d84861cc0e0a17bde3631b99f3 备：None</t>
        </is>
      </c>
      <c r="AW22" t="inlineStr">
        <is>
          <t>src行 ['16', 'X',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']列，源：41d886d84861cc0e0a17bde3631b99f3 备：None</t>
        </is>
      </c>
      <c r="BG22" t="inlineStr">
        <is>
          <t>src行 ['16', 'X', '𧿹䗪䒦𠀀              ', '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𧿹䗪䒦𠀀                                                                                                                                                                                                                                                                                                                                                                                                                                                                                                                                                                                                                                                                                                                                                                                                                                                                                                                                                                                                                                        ']列，源：41d886d84861cc0e0a17bde3631b99f3 备：None</t>
        </is>
      </c>
      <c r="BK22" t="inlineStr">
        <is>
          <t>src行 ['6', 'Y', '€¶I€¶               ', '€¶I€¶€¶I€¶€¶I€¶€¶I€¶€¶I€¶€¶I€¶€¶I€¶€¶I€¶€¶I€¶€¶I€¶€¶I€¶€¶I€¶€¶I€¶€¶I€¶€¶I€¶€¶I€¶€¶I€¶€¶I€¶€¶I€¶€¶I€¶€¶I€¶€¶I€¶€¶I€¶€¶I€¶€¶I€¶€¶I€¶€¶I€¶€¶I€¶€¶I€¶€¶I€¶€¶I€¶€¶I€¶€¶I€¶€¶I€¶€¶I€¶€¶I€¶€¶I€¶€¶I€¶€¶I€¶€¶I€¶€¶I€¶€¶I€¶€¶I€¶€¶I€¶€¶I€¶€¶I€¶€¶I€¶€¶I€¶€¶I€¶€¶I€¶€¶I€¶€¶I€¶€¶I€¶€¶I€¶€¶I€¶€¶I€¶€¶I€¶€¶I€¶€¶I€¶€¶I€¶€¶I€¶€¶I€¶€¶I€¶€¶I€¶€¶I€¶€¶I€¶€¶I€¶€¶I€¶€¶I€¶€¶I€¶€¶I€¶€¶I€¶€¶I€¶€¶I€¶€¶I€¶€¶I€¶€¶I€¶€¶I€¶€¶I€¶€¶I€¶€¶I€¶€¶I€¶€¶I€¶€¶I€¶€¶I€¶€¶I€¶€¶I€¶€¶I€¶€¶I€¶€¶I€¶€¶I€¶€¶I€¶€¶I€¶€¶I€¶€¶I€¶€¶I€¶€¶I€¶€¶I€¶€¶I€¶€¶I€¶€¶I€¶€¶I€¶€¶I€¶€¶I€¶€¶I€¶€¶I€¶€¶I€¶€¶I€¶€¶I€¶€¶I€¶€¶I€¶€¶I€¶€¶I€¶€¶I€¶€¶I€¶€¶I€¶€¶I€¶€¶I€¶€¶I€¶€¶I€¶€¶I€¶€¶I€¶€¶I€¶€¶I€¶€¶I€¶€¶I€¶€¶I€¶€¶I€¶€¶I€¶€¶I€¶€¶I€¶€¶I€¶€¶I€¶€¶I€¶€¶I€¶€¶I€¶€¶I€¶€¶I€¶€¶I€¶€¶I€¶€¶I€¶€¶I€¶€¶I€¶€¶I€¶€¶I€¶€¶I€¶€¶I€¶€¶I€¶€¶I€¶€¶I€¶€¶I€¶€¶I€¶€¶I€¶€¶I€¶€¶I€¶€¶I€¶€¶I€¶€¶I€¶€¶I€¶€¶I€¶€¶I€¶€¶I€¶€¶I€¶€¶I€¶€¶I€¶€¶I€¶€¶I€¶€¶I€¶€¶I€¶€¶I€¶€¶I€¶€¶I€¶€¶I€¶€¶I€¶€¶I€¶€¶I€¶€¶I€¶€¶I€¶€¶I€¶€¶I€¶€¶I€¶€¶I€¶€¶I€¶€¶I€¶€¶I€¶€¶I€¶€¶I€¶€¶I€¶€¶I€¶€¶I€¶€¶I€¶€¶I€¶€¶I€¶€¶I€¶€¶I€¶€¶I€¶€¶I€¶€¶I€¶€¶I€¶€¶I€¶                                                                                                                                                                                                                                                                                                                                                                                                                                                                                                                                                                                                                                                                                                                                                                                                                                                                                                                                                                                                                                                                                                                                                                                                                                                                                                                                                                                                                                                                                                                                                                                                                                                                                                                                                                                                                                                                                                                                                                                                                                                                                                                                                                                                                                                                                                                                                                                                                                                                                                                                                                                                    ']列，源：fe7f40f2102ce276b6cabcbcdeb1213e 备：None</t>
        </is>
      </c>
    </row>
    <row r="23">
      <c r="B23" t="inlineStr">
        <is>
          <t>NULL</t>
        </is>
      </c>
      <c r="C23" t="inlineStr">
        <is>
          <t>NULL</t>
        </is>
      </c>
      <c r="D23" t="inlineStr">
        <is>
          <t>NULL</t>
        </is>
      </c>
      <c r="E23" t="inlineStr">
        <is>
          <t>NULL</t>
        </is>
      </c>
      <c r="F23" t="inlineStr">
        <is>
          <t>NULL</t>
        </is>
      </c>
      <c r="G23" t="inlineStr">
        <is>
          <t>NULL</t>
        </is>
      </c>
      <c r="H23" t="inlineStr">
        <is>
          <t>NULL</t>
        </is>
      </c>
      <c r="I23" t="inlineStr">
        <is>
          <t>NULL</t>
        </is>
      </c>
      <c r="J23" t="inlineStr">
        <is>
          <t>NULL</t>
        </is>
      </c>
      <c r="K23" t="inlineStr">
        <is>
          <t>YES! 	 c_geometry列源备映射正确，源端为geometry -1位	期望更改为text	实际备端为text 65535位</t>
        </is>
      </c>
      <c r="AH23" t="inlineStr">
        <is>
          <t>src行 ['3',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']列，源：80ce671eeca0b55a629ff4f3a0b1f178 备：None</t>
        </is>
      </c>
      <c r="BK23" t="inlineStr">
        <is>
          <t>src行 ['7',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']列，源：99577313aa6c12424a76d5f06e546e28 备：None</t>
        </is>
      </c>
    </row>
    <row r="24">
      <c r="A24" t="inlineStr">
        <is>
          <t>info_time_dml_batch2_pk_irp1</t>
        </is>
      </c>
      <c r="K24" t="inlineStr">
        <is>
          <t>[0;34m info_time_dml_batch2_pk_irp1 [0m源备字段数相同，源端字段：9 	备端字段9</t>
        </is>
      </c>
      <c r="W24" t="inlineStr">
        <is>
          <t>YES 源备无差异</t>
        </is>
      </c>
      <c r="X24">
        <f>A24</f>
        <v/>
      </c>
      <c r="AH24" t="inlineStr">
        <is>
          <t>src行 ['5',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']列，源：1b07fa796a4047401456235b0baf2482 备：None</t>
        </is>
      </c>
      <c r="BK24" t="inlineStr">
        <is>
          <t>src行 ['8',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']列，源：1f4a40f4d8e07429cdca730b9795f7f7 备：None</t>
        </is>
      </c>
    </row>
    <row r="25">
      <c r="B25" t="inlineStr">
        <is>
          <t>YES</t>
        </is>
      </c>
      <c r="C25" t="inlineStr">
        <is>
          <t>NULL</t>
        </is>
      </c>
      <c r="D25" t="inlineStr">
        <is>
          <t>NULL</t>
        </is>
      </c>
      <c r="E25" t="inlineStr">
        <is>
          <t>NULL</t>
        </is>
      </c>
      <c r="F25" t="inlineStr">
        <is>
          <t>NULL</t>
        </is>
      </c>
      <c r="G25" t="inlineStr">
        <is>
          <t>NULL</t>
        </is>
      </c>
      <c r="H25" t="inlineStr">
        <is>
          <t>NULL</t>
        </is>
      </c>
      <c r="I25" t="inlineStr">
        <is>
          <t>YES!PK__info_tim__3213E83FCA93B547</t>
        </is>
      </c>
      <c r="J25" t="inlineStr">
        <is>
          <t>YES! 主键相关索引</t>
        </is>
      </c>
      <c r="K25" t="inlineStr">
        <is>
          <t>YES! 	 id列源备映射正确，源端为int None位	期望更改为int	实际备端为int None位</t>
        </is>
      </c>
      <c r="AH25" t="inlineStr">
        <is>
          <t>src行 ['6',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']列，源：eb161edca117ad34f6054bfc360e3b21 备：None</t>
        </is>
      </c>
      <c r="BK25" t="inlineStr">
        <is>
          <t>src行 ['22', ' ', '                    ', '                                                                                                                                                                                                                                                                                                                                                                                                                                                                                                                                                                                                                                                                                                                                                                                                                                                                                                                                                                                                                                                                                                                                                                                                                                                                                                                                                                                                                                                                                                                                                                                                                                                                                                                                                                                                                                                                                                                                                                                                                                                                                                                                                                                                                                                                                                                                                                                                                                                                                                                                                                                                                                                                                                                                                                                                                                                                                                                                                                                                                                                                                                                                                                                                                                                                                                                                                                                                                                                                                                                                                                                                                                            ']列，源：d4d661acace5b8b1e989fb1734442c5f 备：None</t>
        </is>
      </c>
    </row>
    <row r="26">
      <c r="B26" t="inlineStr">
        <is>
          <t>NULL</t>
        </is>
      </c>
      <c r="C26" t="inlineStr">
        <is>
          <t>NULL</t>
        </is>
      </c>
      <c r="D26" t="inlineStr">
        <is>
          <t>NULL</t>
        </is>
      </c>
      <c r="E26" t="inlineStr">
        <is>
          <t>NULL</t>
        </is>
      </c>
      <c r="F26" t="inlineStr">
        <is>
          <t>NULL</t>
        </is>
      </c>
      <c r="G26" t="inlineStr">
        <is>
          <t>NULL</t>
        </is>
      </c>
      <c r="H26" t="inlineStr">
        <is>
          <t>NULL</t>
        </is>
      </c>
      <c r="I26" t="inlineStr">
        <is>
          <t>NULL</t>
        </is>
      </c>
      <c r="J26" t="inlineStr">
        <is>
          <t>NULL</t>
        </is>
      </c>
      <c r="K26" t="inlineStr">
        <is>
          <t>[0;32m YES! [0m 	 c_time0列源备映射正确，源端为time None位	期望更改为varchar(20)	实际备端为varchar 80位	位数精度不存在，通过长度比较</t>
        </is>
      </c>
      <c r="AH26" t="inlineStr">
        <is>
          <t>src行 ['9',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']列，源：43b8a179cab7bd60ef79b07e18b3b3d2 备：None</t>
        </is>
      </c>
      <c r="BK26" t="inlineStr">
        <is>
          <t>src行 ['26', 'Y', '€¶I€¶               ', '€¶I€¶€¶I€¶€¶I€¶€¶I€¶€¶I€¶€¶I€¶€¶I€¶€¶I€¶€¶I€¶€¶I€¶€¶I€¶€¶I€¶€¶I€¶€¶I€¶€¶I€¶€¶I€¶€¶I€¶€¶I€¶€¶I€¶€¶I€¶€¶I€¶€¶I€¶€¶I€¶€¶I€¶€¶I€¶€¶I€¶€¶I€¶€¶I€¶€¶I€¶€¶I€¶€¶I€¶€¶I€¶€¶I€¶€¶I€¶€¶I€¶€¶I€¶€¶I€¶€¶I€¶€¶I€¶€¶I€¶€¶I€¶€¶I€¶€¶I€¶€¶I€¶€¶I€¶€¶I€¶€¶I€¶€¶I€¶€¶I€¶€¶I€¶€¶I€¶€¶I€¶€¶I€¶€¶I€¶€¶I€¶€¶I€¶€¶I€¶€¶I€¶€¶I€¶€¶I€¶€¶I€¶€¶I€¶€¶I€¶€¶I€¶€¶I€¶€¶I€¶€¶I€¶€¶I€¶€¶I€¶€¶I€¶€¶I€¶€¶I€¶€¶I€¶€¶I€¶€¶I€¶€¶I€¶€¶I€¶€¶I€¶€¶I€¶€¶I€¶€¶I€¶€¶I€¶€¶I€¶€¶I€¶€¶I€¶€¶I€¶€¶I€¶€¶I€¶€¶I€¶€¶I€¶€¶I€¶€¶I€¶€¶I€¶€¶I€¶€¶I€¶€¶I€¶€¶I€¶€¶I€¶€¶I€¶€¶I€¶€¶I€¶€¶I€¶€¶I€¶€¶I€¶€¶I€¶€¶I€¶€¶I€¶€¶I€¶€¶I€¶€¶I€¶€¶I€¶€¶I€¶€¶I€¶€¶I€¶€¶I€¶€¶I€¶€¶I€¶€¶I€¶€¶I€¶€¶I€¶€¶I€¶€¶I€¶€¶I€¶€¶I€¶€¶I€¶€¶I€¶€¶I€¶€¶I€¶€¶I€¶€¶I€¶€¶I€¶€¶I€¶€¶I€¶€¶I€¶€¶I€¶€¶I€¶€¶I€¶€¶I€¶€¶I€¶€¶I€¶€¶I€¶€¶I€¶€¶I€¶€¶I€¶€¶I€¶€¶I€¶€¶I€¶€¶I€¶€¶I€¶€¶I€¶€¶I€¶€¶I€¶€¶I€¶€¶I€¶€¶I€¶€¶I€¶€¶I€¶€¶I€¶€¶I€¶€¶I€¶€¶I€¶€¶I€¶€¶I€¶€¶I€¶€¶I€¶€¶I€¶€¶I€¶€¶I€¶€¶I€¶€¶I€¶€¶I€¶€¶I€¶€¶I€¶€¶I€¶€¶I€¶€¶I€¶€¶I€¶€¶I€¶€¶I€¶€¶I€¶€¶I€¶€¶I€¶€¶I€¶€¶I€¶€¶I€¶€¶I€¶€¶I€¶€¶I€¶€¶I€¶€¶I€¶€¶I€¶€¶I€¶€¶I€¶€¶I€¶€¶I€¶€¶I€¶€¶I€¶€¶I€¶€¶I€¶€¶I€¶                                                                                                                                                                                                                                                                                                                                                                                                                                                                                                                                                                                                                                                                                                                                                                                                                                                                                                                                                                                                                                                                                                                                                                                                                                                                                                                                                                                                                                                                                                                                                                                                                                                                                                                                                                                                                                                                                                                                                                                                                                                                                                                                                                                                                                                                                                                                                                                                                                                                                                                                                                                                    ']列，源：f2ba61fb2bfcb781c0b22002d8466c53 备：None</t>
        </is>
      </c>
    </row>
    <row r="27">
      <c r="B27" t="inlineStr">
        <is>
          <t>NULL</t>
        </is>
      </c>
      <c r="C27" t="inlineStr">
        <is>
          <t>NULL</t>
        </is>
      </c>
      <c r="D27" t="inlineStr">
        <is>
          <t>NULL</t>
        </is>
      </c>
      <c r="E27" t="inlineStr">
        <is>
          <t>NULL</t>
        </is>
      </c>
      <c r="F27" t="inlineStr">
        <is>
          <t>NULL</t>
        </is>
      </c>
      <c r="G27" t="inlineStr">
        <is>
          <t>NULL</t>
        </is>
      </c>
      <c r="H27" t="inlineStr">
        <is>
          <t>NULL</t>
        </is>
      </c>
      <c r="I27" t="inlineStr">
        <is>
          <t>NULL</t>
        </is>
      </c>
      <c r="J27" t="inlineStr">
        <is>
          <t>NULL</t>
        </is>
      </c>
      <c r="K27" t="inlineStr">
        <is>
          <t>[0;32m YES! [0m 	 c_time1列源备映射正确，源端为time None位	期望更改为varchar(20)	实际备端为varchar 80位	位数精度不存在，通过长度比较</t>
        </is>
      </c>
      <c r="AH27" t="inlineStr">
        <is>
          <t>src行 ['22', ' ', '                    ', '                                                                                                                                                                                                                                                                                                                                                                                                                                                                                                                                                                                                                                                                                                                                                                                                                                                                                                                                                                                                                                                                                                                                                                                                                                                                                                                                                                                                                                                                                                                                                                                                                                                                                                                                                                                                                                                                                                                                                                                                                                                                                                                                                                                                                                                                                                                                                                                                                                                                                                                                                                                                                                                                                                                                                                                                                                                                                                                                                                                                                                                                                                                                                                                                                                                                                                                                                                                                                                                                                                                                                                                                                                                                                                                                                                                                                                                                                                                                                                                                                                                                                                                                                                                                                                                                                                                                                                                                                                                                                                                                                                                                                                                                                                                                                                                                                                                                                                                                                                                                                                                                                                                                                                                                                                                                                                                                                                                                                                                                                                                                                                                                                                                                                                                                                                                                                                                                                                                                                                                                                                                                                                                                                                                                                                                                                                                                                                                                                                                                                                                                                                                                                                                                                                                                                                                                                                                                                                                                                                                                                                                                                                                                                                                                                                                                                                                                                                                                                                                                                                                                                                                                                                                                                                                                                                                                                                                                                                                                                                                                                                                                                                                                                                                                                                                                                                                                ']列，源：c66113c826353c42f6d85b881fa784d3 备：None</t>
        </is>
      </c>
      <c r="BK27" t="inlineStr">
        <is>
          <t>src行 ['27',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']列，源：cf7dcc94a3edaf59a27d8050c62e528d 备：None</t>
        </is>
      </c>
    </row>
    <row r="28">
      <c r="B28" t="inlineStr">
        <is>
          <t>NULL</t>
        </is>
      </c>
      <c r="C28" t="inlineStr">
        <is>
          <t>NULL</t>
        </is>
      </c>
      <c r="D28" t="inlineStr">
        <is>
          <t>NULL</t>
        </is>
      </c>
      <c r="E28" t="inlineStr">
        <is>
          <t>NULL</t>
        </is>
      </c>
      <c r="F28" t="inlineStr">
        <is>
          <t>NULL</t>
        </is>
      </c>
      <c r="G28" t="inlineStr">
        <is>
          <t>NULL</t>
        </is>
      </c>
      <c r="H28" t="inlineStr">
        <is>
          <t>NULL</t>
        </is>
      </c>
      <c r="I28" t="inlineStr">
        <is>
          <t>NULL</t>
        </is>
      </c>
      <c r="J28" t="inlineStr">
        <is>
          <t>NULL</t>
        </is>
      </c>
      <c r="K28" t="inlineStr">
        <is>
          <t>[0;32m YES! [0m 	 c_time2列源备映射正确，源端为time None位	期望更改为varchar(20)	实际备端为varchar 80位	位数精度不存在，通过长度比较</t>
        </is>
      </c>
      <c r="AH28" t="inlineStr">
        <is>
          <t>src行 ['23',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']列，源：e640d340a04a71fe349d9efe7144d7cb 备：None</t>
        </is>
      </c>
      <c r="BK28" t="inlineStr">
        <is>
          <t>src行 ['28',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']列，源：444aabd97eb796fffc30c56f81a09256 备：None</t>
        </is>
      </c>
    </row>
    <row r="29">
      <c r="B29" t="inlineStr">
        <is>
          <t>NULL</t>
        </is>
      </c>
      <c r="C29" t="inlineStr">
        <is>
          <t>NULL</t>
        </is>
      </c>
      <c r="D29" t="inlineStr">
        <is>
          <t>NULL</t>
        </is>
      </c>
      <c r="E29" t="inlineStr">
        <is>
          <t>NULL</t>
        </is>
      </c>
      <c r="F29" t="inlineStr">
        <is>
          <t>NULL</t>
        </is>
      </c>
      <c r="G29" t="inlineStr">
        <is>
          <t>NULL</t>
        </is>
      </c>
      <c r="H29" t="inlineStr">
        <is>
          <t>NULL</t>
        </is>
      </c>
      <c r="I29" t="inlineStr">
        <is>
          <t>NULL</t>
        </is>
      </c>
      <c r="J29" t="inlineStr">
        <is>
          <t>NULL</t>
        </is>
      </c>
      <c r="K29" t="inlineStr">
        <is>
          <t>[0;32m YES! [0m 	 c_time3列源备映射正确，源端为time None位	期望更改为varchar(20)	实际备端为varchar 80位	位数精度不存在，通过长度比较</t>
        </is>
      </c>
      <c r="AH29" t="inlineStr">
        <is>
          <t>src行 ['25',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']列，源：c114ea2c834a26d6fd7e80196956941b 备：None</t>
        </is>
      </c>
      <c r="BK29" t="inlineStr">
        <is>
          <t>src行 ['56', 'Y', '€¶I€¶               ', '€¶I€¶€¶I€¶€¶I€¶€¶I€¶€¶I€¶€¶I€¶€¶I€¶€¶I€¶€¶I€¶€¶I€¶€¶I€¶€¶I€¶€¶I€¶€¶I€¶€¶I€¶€¶I€¶€¶I€¶€¶I€¶€¶I€¶€¶I€¶€¶I€¶€¶I€¶€¶I€¶€¶I€¶€¶I€¶€¶I€¶€¶I€¶€¶I€¶€¶I€¶€¶I€¶€¶I€¶€¶I€¶€¶I€¶€¶I€¶€¶I€¶€¶I€¶€¶I€¶€¶I€¶€¶I€¶€¶I€¶€¶I€¶€¶I€¶€¶I€¶€¶I€¶€¶I€¶€¶I€¶€¶I€¶€¶I€¶€¶I€¶€¶I€¶€¶I€¶€¶I€¶€¶I€¶€¶I€¶€¶I€¶€¶I€¶€¶I€¶€¶I€¶€¶I€¶€¶I€¶€¶I€¶€¶I€¶€¶I€¶€¶I€¶€¶I€¶€¶I€¶€¶I€¶€¶I€¶€¶I€¶€¶I€¶€¶I€¶€¶I€¶€¶I€¶€¶I€¶€¶I€¶€¶I€¶€¶I€¶€¶I€¶€¶I€¶€¶I€¶€¶I€¶€¶I€¶€¶I€¶€¶I€¶€¶I€¶€¶I€¶€¶I€¶€¶I€¶€¶I€¶€¶I€¶€¶I€¶€¶I€¶€¶I€¶€¶I€¶€¶I€¶€¶I€¶€¶I€¶€¶I€¶€¶I€¶€¶I€¶€¶I€¶€¶I€¶€¶I€¶€¶I€¶€¶I€¶€¶I€¶€¶I€¶€¶I€¶€¶I€¶€¶I€¶€¶I€¶€¶I€¶€¶I€¶€¶I€¶€¶I€¶€¶I€¶€¶I€¶€¶I€¶€¶I€¶€¶I€¶€¶I€¶€¶I€¶€¶I€¶€¶I€¶€¶I€¶€¶I€¶€¶I€¶€¶I€¶€¶I€¶€¶I€¶€¶I€¶€¶I€¶€¶I€¶€¶I€¶€¶I€¶€¶I€¶€¶I€¶€¶I€¶€¶I€¶€¶I€¶€¶I€¶€¶I€¶€¶I€¶€¶I€¶€¶I€¶€¶I€¶€¶I€¶€¶I€¶€¶I€¶€¶I€¶€¶I€¶€¶I€¶€¶I€¶€¶I€¶€¶I€¶€¶I€¶€¶I€¶€¶I€¶€¶I€¶€¶I€¶€¶I€¶€¶I€¶€¶I€¶€¶I€¶€¶I€¶€¶I€¶€¶I€¶€¶I€¶€¶I€¶€¶I€¶€¶I€¶€¶I€¶€¶I€¶€¶I€¶€¶I€¶€¶I€¶€¶I€¶€¶I€¶€¶I€¶€¶I€¶€¶I€¶€¶I€¶€¶I€¶€¶I€¶€¶I€¶€¶I€¶€¶I€¶€¶I€¶€¶I€¶€¶I€¶€¶I€¶€¶I€¶€¶I€¶€¶I€¶€¶I€¶€¶I€¶€¶I€¶€¶I€¶€¶I€¶€¶I€¶                                                                                                                                                                                                                                                                                                                                                                                                                                                                                                                                                                                                                                                                                                                                                                                                                                                                                                                                                                                                                                                                                                                                                                                                                                                                                                                                                                                                                                                                                                                                                                                                                                                                                                                                                                                                                                                                                                                                                                                                                                                                                                                                                                                                                                                                                                                                                                                                                                                                                                                                                                                                    ']列，源：aeaa0bf9f6ab9f82a99aea09d457e1f0 备：None</t>
        </is>
      </c>
    </row>
    <row r="30">
      <c r="B30" t="inlineStr">
        <is>
          <t>NULL</t>
        </is>
      </c>
      <c r="C30" t="inlineStr">
        <is>
          <t>NULL</t>
        </is>
      </c>
      <c r="D30" t="inlineStr">
        <is>
          <t>NULL</t>
        </is>
      </c>
      <c r="E30" t="inlineStr">
        <is>
          <t>NULL</t>
        </is>
      </c>
      <c r="F30" t="inlineStr">
        <is>
          <t>NULL</t>
        </is>
      </c>
      <c r="G30" t="inlineStr">
        <is>
          <t>NULL</t>
        </is>
      </c>
      <c r="H30" t="inlineStr">
        <is>
          <t>NULL</t>
        </is>
      </c>
      <c r="I30" t="inlineStr">
        <is>
          <t>NULL</t>
        </is>
      </c>
      <c r="J30" t="inlineStr">
        <is>
          <t>NULL</t>
        </is>
      </c>
      <c r="K30" t="inlineStr">
        <is>
          <t>[0;32m YES! [0m 	 c_time4列源备映射正确，源端为time None位	期望更改为varchar(20)	实际备端为varchar 80位	位数精度不存在，通过长度比较</t>
        </is>
      </c>
      <c r="AH30" t="inlineStr">
        <is>
          <t>src行 ['26',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']列，源：fe1cbafd6c4590411a3fde445bce8218 备：None</t>
        </is>
      </c>
      <c r="BK30" t="inlineStr">
        <is>
          <t>src行 ['57',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']列，源：3af69c9c655758aedba02eb9c7a7bdb0 备：None</t>
        </is>
      </c>
    </row>
    <row r="31">
      <c r="B31" t="inlineStr">
        <is>
          <t>NULL</t>
        </is>
      </c>
      <c r="C31" t="inlineStr">
        <is>
          <t>NULL</t>
        </is>
      </c>
      <c r="D31" t="inlineStr">
        <is>
          <t>NULL</t>
        </is>
      </c>
      <c r="E31" t="inlineStr">
        <is>
          <t>NULL</t>
        </is>
      </c>
      <c r="F31" t="inlineStr">
        <is>
          <t>NULL</t>
        </is>
      </c>
      <c r="G31" t="inlineStr">
        <is>
          <t>NULL</t>
        </is>
      </c>
      <c r="H31" t="inlineStr">
        <is>
          <t>NULL</t>
        </is>
      </c>
      <c r="I31" t="inlineStr">
        <is>
          <t>NULL</t>
        </is>
      </c>
      <c r="J31" t="inlineStr">
        <is>
          <t>NULL</t>
        </is>
      </c>
      <c r="K31" t="inlineStr">
        <is>
          <t>[0;32m YES! [0m 	 c_time5列源备映射正确，源端为time None位	期望更改为varchar(20)	实际备端为varchar 80位	位数精度不存在，通过长度比较</t>
        </is>
      </c>
      <c r="AH31" t="inlineStr">
        <is>
          <t>src行 ['29',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']列，源：a1ba27b3cfc6873728d2486686f2da0a 备：None</t>
        </is>
      </c>
      <c r="BK31" t="inlineStr">
        <is>
          <t>src行 ['58',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']列，源：09383deda7198b8fdb0e204bccc75282 备：None</t>
        </is>
      </c>
    </row>
    <row r="32">
      <c r="B32" t="inlineStr">
        <is>
          <t>NULL</t>
        </is>
      </c>
      <c r="C32" t="inlineStr">
        <is>
          <t>NULL</t>
        </is>
      </c>
      <c r="D32" t="inlineStr">
        <is>
          <t>NULL</t>
        </is>
      </c>
      <c r="E32" t="inlineStr">
        <is>
          <t>NULL</t>
        </is>
      </c>
      <c r="F32" t="inlineStr">
        <is>
          <t>NULL</t>
        </is>
      </c>
      <c r="G32" t="inlineStr">
        <is>
          <t>NULL</t>
        </is>
      </c>
      <c r="H32" t="inlineStr">
        <is>
          <t>NULL</t>
        </is>
      </c>
      <c r="I32" t="inlineStr">
        <is>
          <t>NULL</t>
        </is>
      </c>
      <c r="J32" t="inlineStr">
        <is>
          <t>NULL</t>
        </is>
      </c>
      <c r="K32" t="inlineStr">
        <is>
          <t>[0;32m YES! [0m 	 c_time6列源备映射正确，源端为time None位	期望更改为varchar(20)	实际备端为varchar 80位	位数精度不存在，通过长度比较</t>
        </is>
      </c>
      <c r="AH32" t="inlineStr">
        <is>
          <t>src行 ['56',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']列，源：43e6d5cebb8d20cc513db35cacbd6a10 备：None</t>
        </is>
      </c>
      <c r="BK32" t="inlineStr">
        <is>
          <t>src行 ['72', ' ', '                    ', '                                                                                                                                                                                                                                                                                                                                                                                                                                                                                                                                                                                                                                                                                                                                                                                                                                                                                                                                                                                                                                                                                                                                                                                                                                                                                                                                                                                                                                                                                                                                                                                                                                                                                                                                                                                                                                                                                                                                                                                                                                                                                                                                                                                                                                                                                                                                                                                                                                                                                                                                                                                                                                                                                                                                                                                                                                                                                                                                                                                                                                                                                                                                                                                                                                                                                                                                                                                                                                                                                                                                                                                                                                            ']列，源：688327dcacccf4c8dd49cc4459e757b1 备：None</t>
        </is>
      </c>
    </row>
    <row r="33">
      <c r="B33" t="inlineStr">
        <is>
          <t>NULL</t>
        </is>
      </c>
      <c r="C33" t="inlineStr">
        <is>
          <t>NULL</t>
        </is>
      </c>
      <c r="D33" t="inlineStr">
        <is>
          <t>NULL</t>
        </is>
      </c>
      <c r="E33" t="inlineStr">
        <is>
          <t>NULL</t>
        </is>
      </c>
      <c r="F33" t="inlineStr">
        <is>
          <t>NULL</t>
        </is>
      </c>
      <c r="G33" t="inlineStr">
        <is>
          <t>NULL</t>
        </is>
      </c>
      <c r="H33" t="inlineStr">
        <is>
          <t>NULL</t>
        </is>
      </c>
      <c r="I33" t="inlineStr">
        <is>
          <t>NULL</t>
        </is>
      </c>
      <c r="J33" t="inlineStr">
        <is>
          <t>NULL</t>
        </is>
      </c>
      <c r="K33" t="inlineStr">
        <is>
          <t>[0;32m YES! [0m 	 c_time列源备映射正确，源端为time None位	期望更改为varchar(20)	实际备端为varchar 80位	位数精度不存在，通过长度比较</t>
        </is>
      </c>
      <c r="AH33" t="inlineStr">
        <is>
          <t>src行 ['59',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']列，源：9697c4c8a7a5a9480308ec5e2554ca7f 备：None</t>
        </is>
      </c>
      <c r="BK33" t="inlineStr">
        <is>
          <t>src行 ['76', 'Y', '€¶I€¶               ', '€¶I€¶€¶I€¶€¶I€¶€¶I€¶€¶I€¶€¶I€¶€¶I€¶€¶I€¶€¶I€¶€¶I€¶€¶I€¶€¶I€¶€¶I€¶€¶I€¶€¶I€¶€¶I€¶€¶I€¶€¶I€¶€¶I€¶€¶I€¶€¶I€¶€¶I€¶€¶I€¶€¶I€¶€¶I€¶€¶I€¶€¶I€¶€¶I€¶€¶I€¶€¶I€¶€¶I€¶€¶I€¶€¶I€¶€¶I€¶€¶I€¶€¶I€¶€¶I€¶€¶I€¶€¶I€¶€¶I€¶€¶I€¶€¶I€¶€¶I€¶€¶I€¶€¶I€¶€¶I€¶€¶I€¶€¶I€¶€¶I€¶€¶I€¶€¶I€¶€¶I€¶€¶I€¶€¶I€¶€¶I€¶€¶I€¶€¶I€¶€¶I€¶€¶I€¶€¶I€¶€¶I€¶€¶I€¶€¶I€¶€¶I€¶€¶I€¶€¶I€¶€¶I€¶€¶I€¶€¶I€¶€¶I€¶€¶I€¶€¶I€¶€¶I€¶€¶I€¶€¶I€¶€¶I€¶€¶I€¶€¶I€¶€¶I€¶€¶I€¶€¶I€¶€¶I€¶€¶I€¶€¶I€¶€¶I€¶€¶I€¶€¶I€¶€¶I€¶€¶I€¶€¶I€¶€¶I€¶€¶I€¶€¶I€¶€¶I€¶€¶I€¶€¶I€¶€¶I€¶€¶I€¶€¶I€¶€¶I€¶€¶I€¶€¶I€¶€¶I€¶€¶I€¶€¶I€¶€¶I€¶€¶I€¶€¶I€¶€¶I€¶€¶I€¶€¶I€¶€¶I€¶€¶I€¶€¶I€¶€¶I€¶€¶I€¶€¶I€¶€¶I€¶€¶I€¶€¶I€¶€¶I€¶€¶I€¶€¶I€¶€¶I€¶€¶I€¶€¶I€¶€¶I€¶€¶I€¶€¶I€¶€¶I€¶€¶I€¶€¶I€¶€¶I€¶€¶I€¶€¶I€¶€¶I€¶€¶I€¶€¶I€¶€¶I€¶€¶I€¶€¶I€¶€¶I€¶€¶I€¶€¶I€¶€¶I€¶€¶I€¶€¶I€¶€¶I€¶€¶I€¶€¶I€¶€¶I€¶€¶I€¶€¶I€¶€¶I€¶€¶I€¶€¶I€¶€¶I€¶€¶I€¶€¶I€¶€¶I€¶€¶I€¶€¶I€¶€¶I€¶€¶I€¶€¶I€¶€¶I€¶€¶I€¶€¶I€¶€¶I€¶€¶I€¶€¶I€¶€¶I€¶€¶I€¶€¶I€¶€¶I€¶€¶I€¶€¶I€¶€¶I€¶€¶I€¶€¶I€¶€¶I€¶€¶I€¶€¶I€¶€¶I€¶€¶I€¶€¶I€¶€¶I€¶€¶I€¶€¶I€¶€¶I€¶€¶I€¶€¶I€¶€¶I€¶€¶I€¶€¶I€¶€¶I€¶€¶I€¶€¶I€¶€¶I€¶€¶I€¶                                                                                                                                                                                                                                                                                                                                                                                                                                                                                                                                                                                                                                                                                                                                                                                                                                                                                                                                                                                                                                                                                                                                                                                                                                                                                                                                                                                                                                                                                                                                                                                                                                                                                                                                                                                                                                                                                                                                                                                                                                                                                                                                                                                                                                                                                                                                                                                                                                                                                                                                                                                                    ']列，源：ecf3d8d49feab7ad0b7c6d0520f503b0 备：None</t>
        </is>
      </c>
    </row>
    <row r="34">
      <c r="A34" t="inlineStr">
        <is>
          <t>info_varbinary_dml_batch2_pk_irp2</t>
        </is>
      </c>
      <c r="K34" t="inlineStr">
        <is>
          <t>[0;34m info_varbinary_dml_batch2_pk_irp2 [0m源备字段数相同，源端字段：4 	备端字段4</t>
        </is>
      </c>
      <c r="W34" t="inlineStr">
        <is>
          <t>YES 源备无差异</t>
        </is>
      </c>
      <c r="X34">
        <f>A34</f>
        <v/>
      </c>
      <c r="AH34" t="inlineStr">
        <is>
          <t>src行 ['72', ' ', '                    ', '                                                                                                                                                                                                                                                                                                                                                                                                                                                                                                                                                                                                                                                                                                                                                                                                                                                                                                                                                                                                                                                                                                                                                                                                                                                                                                                                                                                                                                                                                                                                                                                                                                                                                                                                                                                                                                                                                                                                                                                                                                                                                                                                                                                                                                                                                                                                                                                                                                                                                                                                                                                                                                                                                                                                                                                                                                                                                                                                                                                                                                                                                                                                                                                                                                                                                                                                                                                                                                                                                                                                                                                                                                                                                                                                                                                                                                                                                                                                                                                                                                                                                                                                                                                                                                                                                                                                                                                                                                                                                                                                                                                                                                                                                                                                                                                                                                                                                                                                                                                                                                                                                                                                                                                                                                                                                                                                                                                                                                                                                                                                                                                                                                                                                                                                                                                                                                                                                                                                                                                                                                                                                                                                                                                                                                                                                                                                                                                                                                                                                                                                                                                                                                                                                                                                                                                                                                                                                                                                                                                                                                                                                                                                                                                                                                                                                                                                                                                                                                                                                                                                                                                                                                                                                                                                                                                                                                                                                                                                                                                                                                                                                                                                                                                                                                                                                                                                ']列，源：7551f688ceb20fb82dfb42cffacd63b7 备：None</t>
        </is>
      </c>
      <c r="BK34" t="inlineStr">
        <is>
          <t>src行 ['77', '测', '这是一个长字符串            ', '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这是一个长中文                                                                                                                                                                                                                                                                                                                                                                                                                                                                                                                                                                                                                                                                                                                                                                                                                                                                                                                                                                                                                                                                                                                                                                                                                                                                                                                                                                                                                                                                                                                                                                                                                                                                                                                                                                                                                                                                                                                                                                                                                                                                                                                                                                                                                                                                                                                                                                                                                                                                                                                                                                                                                                                                                                                                                                                                                                                                                                                ']列，源：aa2bc73d0ff27ff1742e00f802544466 备：None</t>
        </is>
      </c>
    </row>
    <row r="35">
      <c r="B35" t="inlineStr">
        <is>
          <t>YES</t>
        </is>
      </c>
      <c r="C35" t="inlineStr">
        <is>
          <t>NULL</t>
        </is>
      </c>
      <c r="D35" t="inlineStr">
        <is>
          <t>NULL</t>
        </is>
      </c>
      <c r="E35" t="inlineStr">
        <is>
          <t>NULL</t>
        </is>
      </c>
      <c r="F35" t="inlineStr">
        <is>
          <t>NULL</t>
        </is>
      </c>
      <c r="G35" t="inlineStr">
        <is>
          <t>NULL</t>
        </is>
      </c>
      <c r="H35" t="inlineStr">
        <is>
          <t>NULL</t>
        </is>
      </c>
      <c r="I35" t="inlineStr">
        <is>
          <t>YES!PK__info_var__3213E83F61D7EA8F</t>
        </is>
      </c>
      <c r="J35" t="inlineStr">
        <is>
          <t>YES! 主键相关索引</t>
        </is>
      </c>
      <c r="K35" t="inlineStr">
        <is>
          <t>YES! 	 id列源备映射正确，源端为int None位	期望更改为int	实际备端为int None位</t>
        </is>
      </c>
      <c r="AH35" t="inlineStr">
        <is>
          <t>src行 ['73', 'A', 'THIS IS A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']列，源：bda3038fd13dcd1e60ac90527334fb0f 备：None</t>
        </is>
      </c>
      <c r="BK35" t="inlineStr">
        <is>
          <t>src行 ['78',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']列，源：d67c420f737ec28840a5582bbcc3942c 备：None</t>
        </is>
      </c>
    </row>
    <row r="36">
      <c r="B36" t="inlineStr">
        <is>
          <t>NULL</t>
        </is>
      </c>
      <c r="C36" t="inlineStr">
        <is>
          <t>NULL</t>
        </is>
      </c>
      <c r="D36" t="inlineStr">
        <is>
          <t>NULL</t>
        </is>
      </c>
      <c r="E36" t="inlineStr">
        <is>
          <t>NULL</t>
        </is>
      </c>
      <c r="F36" t="inlineStr">
        <is>
          <t>NULL</t>
        </is>
      </c>
      <c r="G36" t="inlineStr">
        <is>
          <t>NULL</t>
        </is>
      </c>
      <c r="H36" t="inlineStr">
        <is>
          <t>NULL</t>
        </is>
      </c>
      <c r="I36" t="inlineStr">
        <is>
          <t>NULL</t>
        </is>
      </c>
      <c r="J36" t="inlineStr">
        <is>
          <t>NULL</t>
        </is>
      </c>
      <c r="K36" t="inlineStr">
        <is>
          <t>YES! 	 c_varbinary列源备映射正确，源端为varbinary 1位	期望更改为varbinary(n)	实际备端为varbinary 1位</t>
        </is>
      </c>
      <c r="AH36" t="inlineStr">
        <is>
          <t>src行 ['75',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']列，源：ce8f89056f64bb32e5d8a780cbb51c41 备：None</t>
        </is>
      </c>
      <c r="BK36" t="inlineStr">
        <is>
          <t>src行 ['128',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']列，源：ead420959b8f82fcffbdd3e3b5b9f1a4 备：None</t>
        </is>
      </c>
    </row>
    <row r="37">
      <c r="B37" t="inlineStr">
        <is>
          <t>NULL</t>
        </is>
      </c>
      <c r="C37" t="inlineStr">
        <is>
          <t>NULL</t>
        </is>
      </c>
      <c r="D37" t="inlineStr">
        <is>
          <t>NULL</t>
        </is>
      </c>
      <c r="E37" t="inlineStr">
        <is>
          <t>NULL</t>
        </is>
      </c>
      <c r="F37" t="inlineStr">
        <is>
          <t>NULL</t>
        </is>
      </c>
      <c r="G37" t="inlineStr">
        <is>
          <t>NULL</t>
        </is>
      </c>
      <c r="H37" t="inlineStr">
        <is>
          <t>NULL</t>
        </is>
      </c>
      <c r="I37" t="inlineStr">
        <is>
          <t>NULL</t>
        </is>
      </c>
      <c r="J37" t="inlineStr">
        <is>
          <t>NULL</t>
        </is>
      </c>
      <c r="K37" t="inlineStr">
        <is>
          <t>YES! 	 c_varbinary_100列源备映射正确，源端为varbinary 100位	期望更改为varbinary(n)	实际备端为varbinary 100位</t>
        </is>
      </c>
      <c r="AH37" t="inlineStr">
        <is>
          <t>src行 ['76', '2', '123456789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                                                                                                                                                                                                                                                                                                                                                                                                                                                                                                                                                                                                                                                                                                                                                                                                                                                                                                                                                                                                                                                                                                                                                                                                                                                                                                                                                                                                                                                                                                                                                                                                                                                                                                                                                                                                                                                                                                                                                                                                                                                                                                                                                                                                                                                                                                                                                                                                                                                                                                                                                                                                                                                                                                                                                                                                                                                                                                                                                                                                                                                                                                                                                                                                                                                                                                                                                                                                                                                                                                                                                                                                                                                                                                                                                                                                                                                                                                                                                                                                                                                                                                                                                                                                                                                                                                                                                                                                                                                                                                                                                                                                                                                                                                                                                                                                                                                                                                                                                                                                                                                                                                                                                                                                                                                                                                                                                                                                                                                                                                                                                                                                                                                                                                                                                                                                                                                                                                                                                                                                                                                                                                                                                                                                                                                ']列，源：d94a6d299a8ab9c226e42d54890c47f9 备：None</t>
        </is>
      </c>
      <c r="BK37" t="inlineStr">
        <is>
          <t>src行 ['158',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']列，源：ec48c44a9f4473b327b7f0e650db08c3 备：None</t>
        </is>
      </c>
    </row>
    <row r="38">
      <c r="B38" t="inlineStr">
        <is>
          <t>NULL</t>
        </is>
      </c>
      <c r="C38" t="inlineStr">
        <is>
          <t>NULL</t>
        </is>
      </c>
      <c r="D38" t="inlineStr">
        <is>
          <t>NULL</t>
        </is>
      </c>
      <c r="E38" t="inlineStr">
        <is>
          <t>NULL</t>
        </is>
      </c>
      <c r="F38" t="inlineStr">
        <is>
          <t>NULL</t>
        </is>
      </c>
      <c r="G38" t="inlineStr">
        <is>
          <t>NULL</t>
        </is>
      </c>
      <c r="H38" t="inlineStr">
        <is>
          <t>NULL</t>
        </is>
      </c>
      <c r="I38" t="inlineStr">
        <is>
          <t>NULL</t>
        </is>
      </c>
      <c r="J38" t="inlineStr">
        <is>
          <t>NULL</t>
        </is>
      </c>
      <c r="K38" t="inlineStr">
        <is>
          <t>YES! 	 c_varbinary_8000列源备映射正确，源端为varbinary 8000位	期望更改为longblob	实际备端为longblob 4294967295位</t>
        </is>
      </c>
      <c r="AH38" t="inlineStr">
        <is>
          <t>src行 ['79', '?', '€?I€?               ', '€?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']列，源：d68c5c66ce2325f62c56025c16467227 备：None</t>
        </is>
      </c>
      <c r="BK38" t="inlineStr">
        <is>
          <t>src行 ['178', '试', '更新生僻字               ', '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更新生僻字                                                                                                                                                                                                                                                                                                                                                                                                                                                                                                                                                                                                                                                                                                                                                                                                                                                                                                                                                                                                                                                                                                                                                                                                                                                                                                                                                                                                                                                                                                                                                                                                                                                                                                                                                                                                                                                                                                                                                                                                                                                                                                                                                                                                                                                                                                                                                                                                                                                                                                                                                                                                                                                                                                                                                                                                                                                                                                                                                                                                                                                                                                                        ']列，源：84fbf526ea729a80ff1313bfcc3bbf75 备：None</t>
        </is>
      </c>
    </row>
    <row r="39">
      <c r="A39" t="inlineStr">
        <is>
          <t>info_char_dml_single_nopk_irp</t>
        </is>
      </c>
      <c r="K39" t="inlineStr">
        <is>
          <t>[0;34m info_char_dml_single_nopk_irp [0m源备字段数相同，源端字段：4 	备端字段4</t>
        </is>
      </c>
      <c r="W39" s="15">
        <f>HYPERLINK("#2026052610mysql0!Z2","NO 源备存在差异，共14个")</f>
        <v/>
      </c>
      <c r="X39">
        <f>A39</f>
        <v/>
      </c>
      <c r="AH39" t="inlineStr">
        <is>
          <t>src行 ['125',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']列，源：29356d7eed7285d23e8d0b56773c0ae4 备：None</t>
        </is>
      </c>
    </row>
    <row r="40">
      <c r="B40" t="inlineStr">
        <is>
          <t>NULL</t>
        </is>
      </c>
      <c r="C40" t="inlineStr">
        <is>
          <t>NULL</t>
        </is>
      </c>
      <c r="D40" t="inlineStr">
        <is>
          <t>NULL</t>
        </is>
      </c>
      <c r="E40" t="inlineStr">
        <is>
          <t>NULL</t>
        </is>
      </c>
      <c r="F40" t="inlineStr">
        <is>
          <t>NULL</t>
        </is>
      </c>
      <c r="G40" t="inlineStr">
        <is>
          <t>NULL</t>
        </is>
      </c>
      <c r="H40" t="inlineStr">
        <is>
          <t>NULL</t>
        </is>
      </c>
      <c r="I40" t="inlineStr">
        <is>
          <t>NULL</t>
        </is>
      </c>
      <c r="J40" t="inlineStr">
        <is>
          <t>NULL</t>
        </is>
      </c>
      <c r="K40" t="inlineStr">
        <is>
          <t>YES! 	 id列源备映射正确，源端为int None位	期望更改为int	实际备端为int None位</t>
        </is>
      </c>
      <c r="AH40" t="inlineStr">
        <is>
          <t>src行 ['175', 'Y', '上海英方股份        ', '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英方                                                                                                                                                                                                                                                                                                                                                                                                                                                                                                                                                                                                                                                                                                                                                                                                                                                                                                                                                                                                                                                                                                                                                                                                                                                                                                                                                                                                                                                                                                                                                                                                                                                                                                                                                                                                                                                                                                                                                                                                                                                                                                                                                                                                                                                                                                                                                                                                                                                                                                                                                                                                                                                                                                                                                                                                                                                                                                                                                                                                                                                                                                                                                                                                                                                                                                                                                                                                                                                                                                                                                                                                                                                                                                                                                                                                                                                                                                                                                                                                                                                                                                                                                                                                                                                                                                                                                                                                                                                                                                                                                                                                                                                                                                                                                                                                                                                                                                                                                                                                                                                                                                                                                                                                                                                                                                                                                                                                                                                                                                                                                                                                                                                                                                                                                                                                                                                                                                                                                                                                                                                                                                                                                                                                                                                ']列，源：e4e0cb89f0c777be1f4a7b74f743d6b4 备：None</t>
        </is>
      </c>
    </row>
    <row r="41">
      <c r="B41" t="inlineStr">
        <is>
          <t>NULL</t>
        </is>
      </c>
      <c r="C41" t="inlineStr">
        <is>
          <t>NULL</t>
        </is>
      </c>
      <c r="D41" t="inlineStr">
        <is>
          <t>NULL</t>
        </is>
      </c>
      <c r="E41" t="inlineStr">
        <is>
          <t>NULL</t>
        </is>
      </c>
      <c r="F41" t="inlineStr">
        <is>
          <t>NULL</t>
        </is>
      </c>
      <c r="G41" t="inlineStr">
        <is>
          <t>NULL</t>
        </is>
      </c>
      <c r="H41" t="inlineStr">
        <is>
          <t>NULL</t>
        </is>
      </c>
      <c r="I41" t="inlineStr">
        <is>
          <t>NULL</t>
        </is>
      </c>
      <c r="J41" t="inlineStr">
        <is>
          <t>NULL</t>
        </is>
      </c>
      <c r="K41" t="inlineStr">
        <is>
          <t>YES! 	 c_char列源备映射正确，源端为char 1位	期望更改为char(n)	实际备端为char 4位</t>
        </is>
      </c>
    </row>
    <row r="42">
      <c r="B42" t="inlineStr">
        <is>
          <t>NULL</t>
        </is>
      </c>
      <c r="C42" t="inlineStr">
        <is>
          <t>NULL</t>
        </is>
      </c>
      <c r="D42" t="inlineStr">
        <is>
          <t>NULL</t>
        </is>
      </c>
      <c r="E42" t="inlineStr">
        <is>
          <t>NULL</t>
        </is>
      </c>
      <c r="F42" t="inlineStr">
        <is>
          <t>NULL</t>
        </is>
      </c>
      <c r="G42" t="inlineStr">
        <is>
          <t>NULL</t>
        </is>
      </c>
      <c r="H42" t="inlineStr">
        <is>
          <t>NULL</t>
        </is>
      </c>
      <c r="I42" t="inlineStr">
        <is>
          <t>NULL</t>
        </is>
      </c>
      <c r="J42" t="inlineStr">
        <is>
          <t>NULL</t>
        </is>
      </c>
      <c r="K42" t="inlineStr">
        <is>
          <t>YES! 	 c_char20列源备映射正确，源端为char 20位	期望更改为char(n)	实际备端为char 80位</t>
        </is>
      </c>
    </row>
    <row r="43">
      <c r="B43" t="inlineStr">
        <is>
          <t>NULL</t>
        </is>
      </c>
      <c r="C43" t="inlineStr">
        <is>
          <t>NULL</t>
        </is>
      </c>
      <c r="D43" t="inlineStr">
        <is>
          <t>NULL</t>
        </is>
      </c>
      <c r="E43" t="inlineStr">
        <is>
          <t>NULL</t>
        </is>
      </c>
      <c r="F43" t="inlineStr">
        <is>
          <t>NULL</t>
        </is>
      </c>
      <c r="G43" t="inlineStr">
        <is>
          <t>NULL</t>
        </is>
      </c>
      <c r="H43" t="inlineStr">
        <is>
          <t>NULL</t>
        </is>
      </c>
      <c r="I43" t="inlineStr">
        <is>
          <t>NULL</t>
        </is>
      </c>
      <c r="J43" t="inlineStr">
        <is>
          <t>NULL</t>
        </is>
      </c>
      <c r="K43" t="inlineStr">
        <is>
          <t>YES! 	 c_char8000列源备映射正确，源端为char 8000位	期望更改为text	实际备端为text 65535位</t>
        </is>
      </c>
    </row>
    <row r="44">
      <c r="A44" t="inlineStr">
        <is>
          <t>info_char_dml_single_nopk</t>
        </is>
      </c>
      <c r="K44" t="inlineStr">
        <is>
          <t>[0;34m info_char_dml_single_nopk [0m源备字段数相同，源端字段：4 	备端字段4</t>
        </is>
      </c>
      <c r="W44" s="15">
        <f>HYPERLINK("#2026052610mysql0!AA2","NO 源备存在差异，共4个")</f>
        <v/>
      </c>
      <c r="X44">
        <f>A44</f>
        <v/>
      </c>
    </row>
    <row r="45">
      <c r="B45" t="inlineStr">
        <is>
          <t>NULL</t>
        </is>
      </c>
      <c r="C45" t="inlineStr">
        <is>
          <t>NULL</t>
        </is>
      </c>
      <c r="D45" t="inlineStr">
        <is>
          <t>NULL</t>
        </is>
      </c>
      <c r="E45" t="inlineStr">
        <is>
          <t>NULL</t>
        </is>
      </c>
      <c r="F45" t="inlineStr">
        <is>
          <t>NULL</t>
        </is>
      </c>
      <c r="G45" t="inlineStr">
        <is>
          <t>NULL</t>
        </is>
      </c>
      <c r="H45" t="inlineStr">
        <is>
          <t>NULL</t>
        </is>
      </c>
      <c r="I45" t="inlineStr">
        <is>
          <t>NULL</t>
        </is>
      </c>
      <c r="J45" t="inlineStr">
        <is>
          <t>NULL</t>
        </is>
      </c>
      <c r="K45" t="inlineStr">
        <is>
          <t>YES! 	 id列源备映射正确，源端为int None位	期望更改为int	实际备端为int None位</t>
        </is>
      </c>
    </row>
    <row r="46">
      <c r="B46" t="inlineStr">
        <is>
          <t>NULL</t>
        </is>
      </c>
      <c r="C46" t="inlineStr">
        <is>
          <t>NULL</t>
        </is>
      </c>
      <c r="D46" t="inlineStr">
        <is>
          <t>NULL</t>
        </is>
      </c>
      <c r="E46" t="inlineStr">
        <is>
          <t>NULL</t>
        </is>
      </c>
      <c r="F46" t="inlineStr">
        <is>
          <t>NULL</t>
        </is>
      </c>
      <c r="G46" t="inlineStr">
        <is>
          <t>NULL</t>
        </is>
      </c>
      <c r="H46" t="inlineStr">
        <is>
          <t>NULL</t>
        </is>
      </c>
      <c r="I46" t="inlineStr">
        <is>
          <t>NULL</t>
        </is>
      </c>
      <c r="J46" t="inlineStr">
        <is>
          <t>NULL</t>
        </is>
      </c>
      <c r="K46" t="inlineStr">
        <is>
          <t>YES! 	 c_char列源备映射正确，源端为char 1位	期望更改为char(n)	实际备端为char 4位</t>
        </is>
      </c>
    </row>
    <row r="47">
      <c r="B47" t="inlineStr">
        <is>
          <t>NULL</t>
        </is>
      </c>
      <c r="C47" t="inlineStr">
        <is>
          <t>NULL</t>
        </is>
      </c>
      <c r="D47" t="inlineStr">
        <is>
          <t>NULL</t>
        </is>
      </c>
      <c r="E47" t="inlineStr">
        <is>
          <t>NULL</t>
        </is>
      </c>
      <c r="F47" t="inlineStr">
        <is>
          <t>NULL</t>
        </is>
      </c>
      <c r="G47" t="inlineStr">
        <is>
          <t>NULL</t>
        </is>
      </c>
      <c r="H47" t="inlineStr">
        <is>
          <t>NULL</t>
        </is>
      </c>
      <c r="I47" t="inlineStr">
        <is>
          <t>NULL</t>
        </is>
      </c>
      <c r="J47" t="inlineStr">
        <is>
          <t>NULL</t>
        </is>
      </c>
      <c r="K47" t="inlineStr">
        <is>
          <t>YES! 	 c_char20列源备映射正确，源端为char 20位	期望更改为char(n)	实际备端为char 80位</t>
        </is>
      </c>
    </row>
    <row r="48">
      <c r="B48" t="inlineStr">
        <is>
          <t>NULL</t>
        </is>
      </c>
      <c r="C48" t="inlineStr">
        <is>
          <t>NULL</t>
        </is>
      </c>
      <c r="D48" t="inlineStr">
        <is>
          <t>NULL</t>
        </is>
      </c>
      <c r="E48" t="inlineStr">
        <is>
          <t>NULL</t>
        </is>
      </c>
      <c r="F48" t="inlineStr">
        <is>
          <t>NULL</t>
        </is>
      </c>
      <c r="G48" t="inlineStr">
        <is>
          <t>NULL</t>
        </is>
      </c>
      <c r="H48" t="inlineStr">
        <is>
          <t>NULL</t>
        </is>
      </c>
      <c r="I48" t="inlineStr">
        <is>
          <t>NULL</t>
        </is>
      </c>
      <c r="J48" t="inlineStr">
        <is>
          <t>NULL</t>
        </is>
      </c>
      <c r="K48" t="inlineStr">
        <is>
          <t>YES! 	 c_char7000列源备映射正确，源端为char 7000位	期望更改为text	实际备端为text 65535位</t>
        </is>
      </c>
    </row>
    <row r="49">
      <c r="A49" t="inlineStr">
        <is>
          <t>info_varbinary_dml_batch1_pk_urp1</t>
        </is>
      </c>
      <c r="K49" t="inlineStr">
        <is>
          <t>[0;34m info_varbinary_dml_batch1_pk_urp1 [0m源备字段数相同，源端字段：4 	备端字段4</t>
        </is>
      </c>
      <c r="W49" t="inlineStr">
        <is>
          <t>YES 源备无差异</t>
        </is>
      </c>
      <c r="X49">
        <f>A49</f>
        <v/>
      </c>
    </row>
    <row r="50">
      <c r="B50" t="inlineStr">
        <is>
          <t>YES</t>
        </is>
      </c>
      <c r="C50" t="inlineStr">
        <is>
          <t>NULL</t>
        </is>
      </c>
      <c r="D50" t="inlineStr">
        <is>
          <t>NULL</t>
        </is>
      </c>
      <c r="E50" t="inlineStr">
        <is>
          <t>NULL</t>
        </is>
      </c>
      <c r="F50" t="inlineStr">
        <is>
          <t>NULL</t>
        </is>
      </c>
      <c r="G50" t="inlineStr">
        <is>
          <t>NULL</t>
        </is>
      </c>
      <c r="H50" t="inlineStr">
        <is>
          <t>NULL</t>
        </is>
      </c>
      <c r="I50" t="inlineStr">
        <is>
          <t>YES!PK__info_var__3213E83F21F585F3</t>
        </is>
      </c>
      <c r="J50" t="inlineStr">
        <is>
          <t>YES! 主键相关索引</t>
        </is>
      </c>
      <c r="K50" t="inlineStr">
        <is>
          <t>YES! 	 id列源备映射正确，源端为int None位	期望更改为int	实际备端为int None位</t>
        </is>
      </c>
    </row>
    <row r="51">
      <c r="B51" t="inlineStr">
        <is>
          <t>NULL</t>
        </is>
      </c>
      <c r="C51" t="inlineStr">
        <is>
          <t>NULL</t>
        </is>
      </c>
      <c r="D51" t="inlineStr">
        <is>
          <t>NULL</t>
        </is>
      </c>
      <c r="E51" t="inlineStr">
        <is>
          <t>NULL</t>
        </is>
      </c>
      <c r="F51" t="inlineStr">
        <is>
          <t>NULL</t>
        </is>
      </c>
      <c r="G51" t="inlineStr">
        <is>
          <t>NULL</t>
        </is>
      </c>
      <c r="H51" t="inlineStr">
        <is>
          <t>NULL</t>
        </is>
      </c>
      <c r="I51" t="inlineStr">
        <is>
          <t>NULL</t>
        </is>
      </c>
      <c r="J51" t="inlineStr">
        <is>
          <t>NULL</t>
        </is>
      </c>
      <c r="K51" t="inlineStr">
        <is>
          <t>YES! 	 c_varbinary列源备映射正确，源端为varbinary 1位	期望更改为varbinary(n)	实际备端为varbinary 1位</t>
        </is>
      </c>
    </row>
    <row r="52">
      <c r="B52" t="inlineStr">
        <is>
          <t>NULL</t>
        </is>
      </c>
      <c r="C52" t="inlineStr">
        <is>
          <t>NULL</t>
        </is>
      </c>
      <c r="D52" t="inlineStr">
        <is>
          <t>NULL</t>
        </is>
      </c>
      <c r="E52" t="inlineStr">
        <is>
          <t>NULL</t>
        </is>
      </c>
      <c r="F52" t="inlineStr">
        <is>
          <t>NULL</t>
        </is>
      </c>
      <c r="G52" t="inlineStr">
        <is>
          <t>NULL</t>
        </is>
      </c>
      <c r="H52" t="inlineStr">
        <is>
          <t>NULL</t>
        </is>
      </c>
      <c r="I52" t="inlineStr">
        <is>
          <t>NULL</t>
        </is>
      </c>
      <c r="J52" t="inlineStr">
        <is>
          <t>NULL</t>
        </is>
      </c>
      <c r="K52" t="inlineStr">
        <is>
          <t>YES! 	 c_varbinary_100列源备映射正确，源端为varbinary 100位	期望更改为varbinary(n)	实际备端为varbinary 100位</t>
        </is>
      </c>
    </row>
    <row r="53">
      <c r="B53" t="inlineStr">
        <is>
          <t>NULL</t>
        </is>
      </c>
      <c r="C53" t="inlineStr">
        <is>
          <t>NULL</t>
        </is>
      </c>
      <c r="D53" t="inlineStr">
        <is>
          <t>NULL</t>
        </is>
      </c>
      <c r="E53" t="inlineStr">
        <is>
          <t>NULL</t>
        </is>
      </c>
      <c r="F53" t="inlineStr">
        <is>
          <t>NULL</t>
        </is>
      </c>
      <c r="G53" t="inlineStr">
        <is>
          <t>NULL</t>
        </is>
      </c>
      <c r="H53" t="inlineStr">
        <is>
          <t>NULL</t>
        </is>
      </c>
      <c r="I53" t="inlineStr">
        <is>
          <t>NULL</t>
        </is>
      </c>
      <c r="J53" t="inlineStr">
        <is>
          <t>NULL</t>
        </is>
      </c>
      <c r="K53" t="inlineStr">
        <is>
          <t>YES! 	 c_varbinary_8000列源备映射正确，源端为varbinary 8000位	期望更改为longblob	实际备端为longblob 4294967295位</t>
        </is>
      </c>
    </row>
    <row r="54">
      <c r="A54" t="inlineStr">
        <is>
          <t>info_geometry_dml_single_pk</t>
        </is>
      </c>
      <c r="K54" t="inlineStr">
        <is>
          <t>[0;34m info_geometry_dml_single_pk [0m源备字段数相同，源端字段：2 	备端字段2</t>
        </is>
      </c>
      <c r="W54" t="inlineStr">
        <is>
          <t>YES 源备无差异</t>
        </is>
      </c>
      <c r="X54">
        <f>A54</f>
        <v/>
      </c>
    </row>
    <row r="55">
      <c r="B55" t="inlineStr">
        <is>
          <t>YES</t>
        </is>
      </c>
      <c r="C55" t="inlineStr">
        <is>
          <t>NULL</t>
        </is>
      </c>
      <c r="D55" t="inlineStr">
        <is>
          <t>NULL</t>
        </is>
      </c>
      <c r="E55" t="inlineStr">
        <is>
          <t>NULL</t>
        </is>
      </c>
      <c r="F55" t="inlineStr">
        <is>
          <t>NULL</t>
        </is>
      </c>
      <c r="G55" t="inlineStr">
        <is>
          <t>NULL</t>
        </is>
      </c>
      <c r="H55" t="inlineStr">
        <is>
          <t>NULL</t>
        </is>
      </c>
      <c r="I55" t="inlineStr">
        <is>
          <t>YES!PK__info_geo__3213E83FC1F51764</t>
        </is>
      </c>
      <c r="J55" t="inlineStr">
        <is>
          <t>YES! 主键相关索引</t>
        </is>
      </c>
      <c r="K55" t="inlineStr">
        <is>
          <t>YES! 	 id列源备映射正确，源端为int None位	期望更改为int	实际备端为int None位</t>
        </is>
      </c>
    </row>
    <row r="56">
      <c r="B56" t="inlineStr">
        <is>
          <t>NULL</t>
        </is>
      </c>
      <c r="C56" t="inlineStr">
        <is>
          <t>NULL</t>
        </is>
      </c>
      <c r="D56" t="inlineStr">
        <is>
          <t>NULL</t>
        </is>
      </c>
      <c r="E56" t="inlineStr">
        <is>
          <t>NULL</t>
        </is>
      </c>
      <c r="F56" t="inlineStr">
        <is>
          <t>NULL</t>
        </is>
      </c>
      <c r="G56" t="inlineStr">
        <is>
          <t>NULL</t>
        </is>
      </c>
      <c r="H56" t="inlineStr">
        <is>
          <t>NULL</t>
        </is>
      </c>
      <c r="I56" t="inlineStr">
        <is>
          <t>NULL</t>
        </is>
      </c>
      <c r="J56" t="inlineStr">
        <is>
          <t>NULL</t>
        </is>
      </c>
      <c r="K56" t="inlineStr">
        <is>
          <t>YES! 	 c_geometry列源备映射正确，源端为geometry -1位	期望更改为text	实际备端为text 65535位</t>
        </is>
      </c>
    </row>
    <row r="57">
      <c r="A57" t="inlineStr">
        <is>
          <t>info_time_dml_batch2_pk_irp2</t>
        </is>
      </c>
      <c r="K57" t="inlineStr">
        <is>
          <t>[0;34m info_time_dml_batch2_pk_irp2 [0m源备字段数相同，源端字段：9 	备端字段9</t>
        </is>
      </c>
      <c r="W57" t="inlineStr">
        <is>
          <t>YES 源备无差异</t>
        </is>
      </c>
      <c r="X57">
        <f>A57</f>
        <v/>
      </c>
    </row>
    <row r="58">
      <c r="B58" t="inlineStr">
        <is>
          <t>YES</t>
        </is>
      </c>
      <c r="C58" t="inlineStr">
        <is>
          <t>NULL</t>
        </is>
      </c>
      <c r="D58" t="inlineStr">
        <is>
          <t>NULL</t>
        </is>
      </c>
      <c r="E58" t="inlineStr">
        <is>
          <t>NULL</t>
        </is>
      </c>
      <c r="F58" t="inlineStr">
        <is>
          <t>NULL</t>
        </is>
      </c>
      <c r="G58" t="inlineStr">
        <is>
          <t>NULL</t>
        </is>
      </c>
      <c r="H58" t="inlineStr">
        <is>
          <t>NULL</t>
        </is>
      </c>
      <c r="I58" t="inlineStr">
        <is>
          <t>YES!PK__info_tim__3213E83F0736C131</t>
        </is>
      </c>
      <c r="J58" t="inlineStr">
        <is>
          <t>YES! 主键相关索引</t>
        </is>
      </c>
      <c r="K58" t="inlineStr">
        <is>
          <t>YES! 	 id列源备映射正确，源端为int None位	期望更改为int	实际备端为int None位</t>
        </is>
      </c>
    </row>
    <row r="59">
      <c r="B59" t="inlineStr">
        <is>
          <t>NULL</t>
        </is>
      </c>
      <c r="C59" t="inlineStr">
        <is>
          <t>NULL</t>
        </is>
      </c>
      <c r="D59" t="inlineStr">
        <is>
          <t>NULL</t>
        </is>
      </c>
      <c r="E59" t="inlineStr">
        <is>
          <t>NULL</t>
        </is>
      </c>
      <c r="F59" t="inlineStr">
        <is>
          <t>NULL</t>
        </is>
      </c>
      <c r="G59" t="inlineStr">
        <is>
          <t>NULL</t>
        </is>
      </c>
      <c r="H59" t="inlineStr">
        <is>
          <t>NULL</t>
        </is>
      </c>
      <c r="I59" t="inlineStr">
        <is>
          <t>NULL</t>
        </is>
      </c>
      <c r="J59" t="inlineStr">
        <is>
          <t>NULL</t>
        </is>
      </c>
      <c r="K59" t="inlineStr">
        <is>
          <t>[0;32m YES! [0m 	 c_time0列源备映射正确，源端为time None位	期望更改为varchar(20)	实际备端为varchar 80位	位数精度不存在，通过长度比较</t>
        </is>
      </c>
    </row>
    <row r="60">
      <c r="B60" t="inlineStr">
        <is>
          <t>NULL</t>
        </is>
      </c>
      <c r="C60" t="inlineStr">
        <is>
          <t>NULL</t>
        </is>
      </c>
      <c r="D60" t="inlineStr">
        <is>
          <t>NULL</t>
        </is>
      </c>
      <c r="E60" t="inlineStr">
        <is>
          <t>NULL</t>
        </is>
      </c>
      <c r="F60" t="inlineStr">
        <is>
          <t>NULL</t>
        </is>
      </c>
      <c r="G60" t="inlineStr">
        <is>
          <t>NULL</t>
        </is>
      </c>
      <c r="H60" t="inlineStr">
        <is>
          <t>NULL</t>
        </is>
      </c>
      <c r="I60" t="inlineStr">
        <is>
          <t>NULL</t>
        </is>
      </c>
      <c r="J60" t="inlineStr">
        <is>
          <t>NULL</t>
        </is>
      </c>
      <c r="K60" t="inlineStr">
        <is>
          <t>[0;32m YES! [0m 	 c_time1列源备映射正确，源端为time None位	期望更改为varchar(20)	实际备端为varchar 80位	位数精度不存在，通过长度比较</t>
        </is>
      </c>
    </row>
    <row r="61">
      <c r="B61" t="inlineStr">
        <is>
          <t>NULL</t>
        </is>
      </c>
      <c r="C61" t="inlineStr">
        <is>
          <t>NULL</t>
        </is>
      </c>
      <c r="D61" t="inlineStr">
        <is>
          <t>NULL</t>
        </is>
      </c>
      <c r="E61" t="inlineStr">
        <is>
          <t>NULL</t>
        </is>
      </c>
      <c r="F61" t="inlineStr">
        <is>
          <t>NULL</t>
        </is>
      </c>
      <c r="G61" t="inlineStr">
        <is>
          <t>NULL</t>
        </is>
      </c>
      <c r="H61" t="inlineStr">
        <is>
          <t>NULL</t>
        </is>
      </c>
      <c r="I61" t="inlineStr">
        <is>
          <t>NULL</t>
        </is>
      </c>
      <c r="J61" t="inlineStr">
        <is>
          <t>NULL</t>
        </is>
      </c>
      <c r="K61" t="inlineStr">
        <is>
          <t>[0;32m YES! [0m 	 c_time2列源备映射正确，源端为time None位	期望更改为varchar(20)	实际备端为varchar 80位	位数精度不存在，通过长度比较</t>
        </is>
      </c>
    </row>
    <row r="62">
      <c r="B62" t="inlineStr">
        <is>
          <t>NULL</t>
        </is>
      </c>
      <c r="C62" t="inlineStr">
        <is>
          <t>NULL</t>
        </is>
      </c>
      <c r="D62" t="inlineStr">
        <is>
          <t>NULL</t>
        </is>
      </c>
      <c r="E62" t="inlineStr">
        <is>
          <t>NULL</t>
        </is>
      </c>
      <c r="F62" t="inlineStr">
        <is>
          <t>NULL</t>
        </is>
      </c>
      <c r="G62" t="inlineStr">
        <is>
          <t>NULL</t>
        </is>
      </c>
      <c r="H62" t="inlineStr">
        <is>
          <t>NULL</t>
        </is>
      </c>
      <c r="I62" t="inlineStr">
        <is>
          <t>NULL</t>
        </is>
      </c>
      <c r="J62" t="inlineStr">
        <is>
          <t>NULL</t>
        </is>
      </c>
      <c r="K62" t="inlineStr">
        <is>
          <t>[0;32m YES! [0m 	 c_time3列源备映射正确，源端为time None位	期望更改为varchar(20)	实际备端为varchar 80位	位数精度不存在，通过长度比较</t>
        </is>
      </c>
    </row>
    <row r="63">
      <c r="B63" t="inlineStr">
        <is>
          <t>NULL</t>
        </is>
      </c>
      <c r="C63" t="inlineStr">
        <is>
          <t>NULL</t>
        </is>
      </c>
      <c r="D63" t="inlineStr">
        <is>
          <t>NULL</t>
        </is>
      </c>
      <c r="E63" t="inlineStr">
        <is>
          <t>NULL</t>
        </is>
      </c>
      <c r="F63" t="inlineStr">
        <is>
          <t>NULL</t>
        </is>
      </c>
      <c r="G63" t="inlineStr">
        <is>
          <t>NULL</t>
        </is>
      </c>
      <c r="H63" t="inlineStr">
        <is>
          <t>NULL</t>
        </is>
      </c>
      <c r="I63" t="inlineStr">
        <is>
          <t>NULL</t>
        </is>
      </c>
      <c r="J63" t="inlineStr">
        <is>
          <t>NULL</t>
        </is>
      </c>
      <c r="K63" t="inlineStr">
        <is>
          <t>[0;32m YES! [0m 	 c_time4列源备映射正确，源端为time None位	期望更改为varchar(20)	实际备端为varchar 80位	位数精度不存在，通过长度比较</t>
        </is>
      </c>
    </row>
    <row r="64">
      <c r="B64" t="inlineStr">
        <is>
          <t>NULL</t>
        </is>
      </c>
      <c r="C64" t="inlineStr">
        <is>
          <t>NULL</t>
        </is>
      </c>
      <c r="D64" t="inlineStr">
        <is>
          <t>NULL</t>
        </is>
      </c>
      <c r="E64" t="inlineStr">
        <is>
          <t>NULL</t>
        </is>
      </c>
      <c r="F64" t="inlineStr">
        <is>
          <t>NULL</t>
        </is>
      </c>
      <c r="G64" t="inlineStr">
        <is>
          <t>NULL</t>
        </is>
      </c>
      <c r="H64" t="inlineStr">
        <is>
          <t>NULL</t>
        </is>
      </c>
      <c r="I64" t="inlineStr">
        <is>
          <t>NULL</t>
        </is>
      </c>
      <c r="J64" t="inlineStr">
        <is>
          <t>NULL</t>
        </is>
      </c>
      <c r="K64" t="inlineStr">
        <is>
          <t>[0;32m YES! [0m 	 c_time5列源备映射正确，源端为time None位	期望更改为varchar(20)	实际备端为varchar 80位	位数精度不存在，通过长度比较</t>
        </is>
      </c>
    </row>
    <row r="65">
      <c r="B65" t="inlineStr">
        <is>
          <t>NULL</t>
        </is>
      </c>
      <c r="C65" t="inlineStr">
        <is>
          <t>NULL</t>
        </is>
      </c>
      <c r="D65" t="inlineStr">
        <is>
          <t>NULL</t>
        </is>
      </c>
      <c r="E65" t="inlineStr">
        <is>
          <t>NULL</t>
        </is>
      </c>
      <c r="F65" t="inlineStr">
        <is>
          <t>NULL</t>
        </is>
      </c>
      <c r="G65" t="inlineStr">
        <is>
          <t>NULL</t>
        </is>
      </c>
      <c r="H65" t="inlineStr">
        <is>
          <t>NULL</t>
        </is>
      </c>
      <c r="I65" t="inlineStr">
        <is>
          <t>NULL</t>
        </is>
      </c>
      <c r="J65" t="inlineStr">
        <is>
          <t>NULL</t>
        </is>
      </c>
      <c r="K65" t="inlineStr">
        <is>
          <t>[0;32m YES! [0m 	 c_time6列源备映射正确，源端为time None位	期望更改为varchar(20)	实际备端为varchar 80位	位数精度不存在，通过长度比较</t>
        </is>
      </c>
    </row>
    <row r="66">
      <c r="B66" t="inlineStr">
        <is>
          <t>NULL</t>
        </is>
      </c>
      <c r="C66" t="inlineStr">
        <is>
          <t>NULL</t>
        </is>
      </c>
      <c r="D66" t="inlineStr">
        <is>
          <t>NULL</t>
        </is>
      </c>
      <c r="E66" t="inlineStr">
        <is>
          <t>NULL</t>
        </is>
      </c>
      <c r="F66" t="inlineStr">
        <is>
          <t>NULL</t>
        </is>
      </c>
      <c r="G66" t="inlineStr">
        <is>
          <t>NULL</t>
        </is>
      </c>
      <c r="H66" t="inlineStr">
        <is>
          <t>NULL</t>
        </is>
      </c>
      <c r="I66" t="inlineStr">
        <is>
          <t>NULL</t>
        </is>
      </c>
      <c r="J66" t="inlineStr">
        <is>
          <t>NULL</t>
        </is>
      </c>
      <c r="K66" t="inlineStr">
        <is>
          <t>[0;32m YES! [0m 	 c_time列源备映射正确，源端为time None位	期望更改为varchar(20)	实际备端为varchar 80位	位数精度不存在，通过长度比较</t>
        </is>
      </c>
    </row>
    <row r="67">
      <c r="A67" t="inlineStr">
        <is>
          <t>info_time_dml_batch1_pk_urp1</t>
        </is>
      </c>
      <c r="K67" t="inlineStr">
        <is>
          <t>[0;34m info_time_dml_batch1_pk_urp1 [0m源备字段数相同，源端字段：9 	备端字段9</t>
        </is>
      </c>
      <c r="W67" t="inlineStr">
        <is>
          <t>YES 源备无差异</t>
        </is>
      </c>
      <c r="X67">
        <f>A67</f>
        <v/>
      </c>
    </row>
    <row r="68">
      <c r="B68" t="inlineStr">
        <is>
          <t>YES</t>
        </is>
      </c>
      <c r="C68" t="inlineStr">
        <is>
          <t>NULL</t>
        </is>
      </c>
      <c r="D68" t="inlineStr">
        <is>
          <t>NULL</t>
        </is>
      </c>
      <c r="E68" t="inlineStr">
        <is>
          <t>NULL</t>
        </is>
      </c>
      <c r="F68" t="inlineStr">
        <is>
          <t>NULL</t>
        </is>
      </c>
      <c r="G68" t="inlineStr">
        <is>
          <t>NULL</t>
        </is>
      </c>
      <c r="H68" t="inlineStr">
        <is>
          <t>NULL</t>
        </is>
      </c>
      <c r="I68" t="inlineStr">
        <is>
          <t>YES!PK__info_tim__3213E83FB7AFA254</t>
        </is>
      </c>
      <c r="J68" t="inlineStr">
        <is>
          <t>YES! 主键相关索引</t>
        </is>
      </c>
      <c r="K68" t="inlineStr">
        <is>
          <t>YES! 	 id列源备映射正确，源端为int None位	期望更改为int	实际备端为int None位</t>
        </is>
      </c>
    </row>
    <row r="69">
      <c r="B69" t="inlineStr">
        <is>
          <t>NULL</t>
        </is>
      </c>
      <c r="C69" t="inlineStr">
        <is>
          <t>NULL</t>
        </is>
      </c>
      <c r="D69" t="inlineStr">
        <is>
          <t>NULL</t>
        </is>
      </c>
      <c r="E69" t="inlineStr">
        <is>
          <t>NULL</t>
        </is>
      </c>
      <c r="F69" t="inlineStr">
        <is>
          <t>NULL</t>
        </is>
      </c>
      <c r="G69" t="inlineStr">
        <is>
          <t>NULL</t>
        </is>
      </c>
      <c r="H69" t="inlineStr">
        <is>
          <t>NULL</t>
        </is>
      </c>
      <c r="I69" t="inlineStr">
        <is>
          <t>NULL</t>
        </is>
      </c>
      <c r="J69" t="inlineStr">
        <is>
          <t>NULL</t>
        </is>
      </c>
      <c r="K69" t="inlineStr">
        <is>
          <t>[0;32m YES! [0m 	 c_time0列源备映射正确，源端为time None位	期望更改为varchar(20)	实际备端为varchar 80位	位数精度不存在，通过长度比较</t>
        </is>
      </c>
    </row>
    <row r="70">
      <c r="B70" t="inlineStr">
        <is>
          <t>NULL</t>
        </is>
      </c>
      <c r="C70" t="inlineStr">
        <is>
          <t>NULL</t>
        </is>
      </c>
      <c r="D70" t="inlineStr">
        <is>
          <t>NULL</t>
        </is>
      </c>
      <c r="E70" t="inlineStr">
        <is>
          <t>NULL</t>
        </is>
      </c>
      <c r="F70" t="inlineStr">
        <is>
          <t>NULL</t>
        </is>
      </c>
      <c r="G70" t="inlineStr">
        <is>
          <t>NULL</t>
        </is>
      </c>
      <c r="H70" t="inlineStr">
        <is>
          <t>NULL</t>
        </is>
      </c>
      <c r="I70" t="inlineStr">
        <is>
          <t>NULL</t>
        </is>
      </c>
      <c r="J70" t="inlineStr">
        <is>
          <t>NULL</t>
        </is>
      </c>
      <c r="K70" t="inlineStr">
        <is>
          <t>[0;32m YES! [0m 	 c_time1列源备映射正确，源端为time None位	期望更改为varchar(20)	实际备端为varchar 80位	位数精度不存在，通过长度比较</t>
        </is>
      </c>
    </row>
    <row r="71">
      <c r="B71" t="inlineStr">
        <is>
          <t>NULL</t>
        </is>
      </c>
      <c r="C71" t="inlineStr">
        <is>
          <t>NULL</t>
        </is>
      </c>
      <c r="D71" t="inlineStr">
        <is>
          <t>NULL</t>
        </is>
      </c>
      <c r="E71" t="inlineStr">
        <is>
          <t>NULL</t>
        </is>
      </c>
      <c r="F71" t="inlineStr">
        <is>
          <t>NULL</t>
        </is>
      </c>
      <c r="G71" t="inlineStr">
        <is>
          <t>NULL</t>
        </is>
      </c>
      <c r="H71" t="inlineStr">
        <is>
          <t>NULL</t>
        </is>
      </c>
      <c r="I71" t="inlineStr">
        <is>
          <t>NULL</t>
        </is>
      </c>
      <c r="J71" t="inlineStr">
        <is>
          <t>NULL</t>
        </is>
      </c>
      <c r="K71" t="inlineStr">
        <is>
          <t>[0;32m YES! [0m 	 c_time2列源备映射正确，源端为time None位	期望更改为varchar(20)	实际备端为varchar 80位	位数精度不存在，通过长度比较</t>
        </is>
      </c>
    </row>
    <row r="72">
      <c r="B72" t="inlineStr">
        <is>
          <t>NULL</t>
        </is>
      </c>
      <c r="C72" t="inlineStr">
        <is>
          <t>NULL</t>
        </is>
      </c>
      <c r="D72" t="inlineStr">
        <is>
          <t>NULL</t>
        </is>
      </c>
      <c r="E72" t="inlineStr">
        <is>
          <t>NULL</t>
        </is>
      </c>
      <c r="F72" t="inlineStr">
        <is>
          <t>NULL</t>
        </is>
      </c>
      <c r="G72" t="inlineStr">
        <is>
          <t>NULL</t>
        </is>
      </c>
      <c r="H72" t="inlineStr">
        <is>
          <t>NULL</t>
        </is>
      </c>
      <c r="I72" t="inlineStr">
        <is>
          <t>NULL</t>
        </is>
      </c>
      <c r="J72" t="inlineStr">
        <is>
          <t>NULL</t>
        </is>
      </c>
      <c r="K72" t="inlineStr">
        <is>
          <t>[0;32m YES! [0m 	 c_time3列源备映射正确，源端为time None位	期望更改为varchar(20)	实际备端为varchar 80位	位数精度不存在，通过长度比较</t>
        </is>
      </c>
    </row>
    <row r="73">
      <c r="B73" t="inlineStr">
        <is>
          <t>NULL</t>
        </is>
      </c>
      <c r="C73" t="inlineStr">
        <is>
          <t>NULL</t>
        </is>
      </c>
      <c r="D73" t="inlineStr">
        <is>
          <t>NULL</t>
        </is>
      </c>
      <c r="E73" t="inlineStr">
        <is>
          <t>NULL</t>
        </is>
      </c>
      <c r="F73" t="inlineStr">
        <is>
          <t>NULL</t>
        </is>
      </c>
      <c r="G73" t="inlineStr">
        <is>
          <t>NULL</t>
        </is>
      </c>
      <c r="H73" t="inlineStr">
        <is>
          <t>NULL</t>
        </is>
      </c>
      <c r="I73" t="inlineStr">
        <is>
          <t>NULL</t>
        </is>
      </c>
      <c r="J73" t="inlineStr">
        <is>
          <t>NULL</t>
        </is>
      </c>
      <c r="K73" t="inlineStr">
        <is>
          <t>[0;32m YES! [0m 	 c_time4列源备映射正确，源端为time None位	期望更改为varchar(20)	实际备端为varchar 80位	位数精度不存在，通过长度比较</t>
        </is>
      </c>
    </row>
    <row r="74">
      <c r="B74" t="inlineStr">
        <is>
          <t>NULL</t>
        </is>
      </c>
      <c r="C74" t="inlineStr">
        <is>
          <t>NULL</t>
        </is>
      </c>
      <c r="D74" t="inlineStr">
        <is>
          <t>NULL</t>
        </is>
      </c>
      <c r="E74" t="inlineStr">
        <is>
          <t>NULL</t>
        </is>
      </c>
      <c r="F74" t="inlineStr">
        <is>
          <t>NULL</t>
        </is>
      </c>
      <c r="G74" t="inlineStr">
        <is>
          <t>NULL</t>
        </is>
      </c>
      <c r="H74" t="inlineStr">
        <is>
          <t>NULL</t>
        </is>
      </c>
      <c r="I74" t="inlineStr">
        <is>
          <t>NULL</t>
        </is>
      </c>
      <c r="J74" t="inlineStr">
        <is>
          <t>NULL</t>
        </is>
      </c>
      <c r="K74" t="inlineStr">
        <is>
          <t>[0;32m YES! [0m 	 c_time5列源备映射正确，源端为time None位	期望更改为varchar(20)	实际备端为varchar 80位	位数精度不存在，通过长度比较</t>
        </is>
      </c>
    </row>
    <row r="75">
      <c r="B75" t="inlineStr">
        <is>
          <t>NULL</t>
        </is>
      </c>
      <c r="C75" t="inlineStr">
        <is>
          <t>NULL</t>
        </is>
      </c>
      <c r="D75" t="inlineStr">
        <is>
          <t>NULL</t>
        </is>
      </c>
      <c r="E75" t="inlineStr">
        <is>
          <t>NULL</t>
        </is>
      </c>
      <c r="F75" t="inlineStr">
        <is>
          <t>NULL</t>
        </is>
      </c>
      <c r="G75" t="inlineStr">
        <is>
          <t>NULL</t>
        </is>
      </c>
      <c r="H75" t="inlineStr">
        <is>
          <t>NULL</t>
        </is>
      </c>
      <c r="I75" t="inlineStr">
        <is>
          <t>NULL</t>
        </is>
      </c>
      <c r="J75" t="inlineStr">
        <is>
          <t>NULL</t>
        </is>
      </c>
      <c r="K75" t="inlineStr">
        <is>
          <t>[0;32m YES! [0m 	 c_time6列源备映射正确，源端为time None位	期望更改为varchar(20)	实际备端为varchar 80位	位数精度不存在，通过长度比较</t>
        </is>
      </c>
    </row>
    <row r="76">
      <c r="B76" t="inlineStr">
        <is>
          <t>NULL</t>
        </is>
      </c>
      <c r="C76" t="inlineStr">
        <is>
          <t>NULL</t>
        </is>
      </c>
      <c r="D76" t="inlineStr">
        <is>
          <t>NULL</t>
        </is>
      </c>
      <c r="E76" t="inlineStr">
        <is>
          <t>NULL</t>
        </is>
      </c>
      <c r="F76" t="inlineStr">
        <is>
          <t>NULL</t>
        </is>
      </c>
      <c r="G76" t="inlineStr">
        <is>
          <t>NULL</t>
        </is>
      </c>
      <c r="H76" t="inlineStr">
        <is>
          <t>NULL</t>
        </is>
      </c>
      <c r="I76" t="inlineStr">
        <is>
          <t>NULL</t>
        </is>
      </c>
      <c r="J76" t="inlineStr">
        <is>
          <t>NULL</t>
        </is>
      </c>
      <c r="K76" t="inlineStr">
        <is>
          <t>[0;32m YES! [0m 	 c_time列源备映射正确，源端为time None位	期望更改为varchar(20)	实际备端为varchar 80位	位数精度不存在，通过长度比较</t>
        </is>
      </c>
    </row>
    <row r="77">
      <c r="A77" t="inlineStr">
        <is>
          <t>info_varbinary_dml_batch1_pk_urp2</t>
        </is>
      </c>
      <c r="K77" t="inlineStr">
        <is>
          <t>[0;34m info_varbinary_dml_batch1_pk_urp2 [0m源备字段数相同，源端字段：4 	备端字段4</t>
        </is>
      </c>
      <c r="W77" t="inlineStr">
        <is>
          <t>YES 源备无差异</t>
        </is>
      </c>
      <c r="X77">
        <f>A77</f>
        <v/>
      </c>
    </row>
    <row r="78">
      <c r="B78" t="inlineStr">
        <is>
          <t>YES</t>
        </is>
      </c>
      <c r="C78" t="inlineStr">
        <is>
          <t>NULL</t>
        </is>
      </c>
      <c r="D78" t="inlineStr">
        <is>
          <t>NULL</t>
        </is>
      </c>
      <c r="E78" t="inlineStr">
        <is>
          <t>NULL</t>
        </is>
      </c>
      <c r="F78" t="inlineStr">
        <is>
          <t>NULL</t>
        </is>
      </c>
      <c r="G78" t="inlineStr">
        <is>
          <t>NULL</t>
        </is>
      </c>
      <c r="H78" t="inlineStr">
        <is>
          <t>NULL</t>
        </is>
      </c>
      <c r="I78" t="inlineStr">
        <is>
          <t>YES!PK__info_var__3213E83F13B34F30</t>
        </is>
      </c>
      <c r="J78" t="inlineStr">
        <is>
          <t>YES! 主键相关索引</t>
        </is>
      </c>
      <c r="K78" t="inlineStr">
        <is>
          <t>YES! 	 id列源备映射正确，源端为int None位	期望更改为int	实际备端为int None位</t>
        </is>
      </c>
    </row>
    <row r="79">
      <c r="B79" t="inlineStr">
        <is>
          <t>NULL</t>
        </is>
      </c>
      <c r="C79" t="inlineStr">
        <is>
          <t>NULL</t>
        </is>
      </c>
      <c r="D79" t="inlineStr">
        <is>
          <t>NULL</t>
        </is>
      </c>
      <c r="E79" t="inlineStr">
        <is>
          <t>NULL</t>
        </is>
      </c>
      <c r="F79" t="inlineStr">
        <is>
          <t>NULL</t>
        </is>
      </c>
      <c r="G79" t="inlineStr">
        <is>
          <t>NULL</t>
        </is>
      </c>
      <c r="H79" t="inlineStr">
        <is>
          <t>NULL</t>
        </is>
      </c>
      <c r="I79" t="inlineStr">
        <is>
          <t>NULL</t>
        </is>
      </c>
      <c r="J79" t="inlineStr">
        <is>
          <t>NULL</t>
        </is>
      </c>
      <c r="K79" t="inlineStr">
        <is>
          <t>YES! 	 c_varbinary列源备映射正确，源端为varbinary 1位	期望更改为varbinary(n)	实际备端为varbinary 1位</t>
        </is>
      </c>
    </row>
    <row r="80">
      <c r="B80" t="inlineStr">
        <is>
          <t>NULL</t>
        </is>
      </c>
      <c r="C80" t="inlineStr">
        <is>
          <t>NULL</t>
        </is>
      </c>
      <c r="D80" t="inlineStr">
        <is>
          <t>NULL</t>
        </is>
      </c>
      <c r="E80" t="inlineStr">
        <is>
          <t>NULL</t>
        </is>
      </c>
      <c r="F80" t="inlineStr">
        <is>
          <t>NULL</t>
        </is>
      </c>
      <c r="G80" t="inlineStr">
        <is>
          <t>NULL</t>
        </is>
      </c>
      <c r="H80" t="inlineStr">
        <is>
          <t>NULL</t>
        </is>
      </c>
      <c r="I80" t="inlineStr">
        <is>
          <t>NULL</t>
        </is>
      </c>
      <c r="J80" t="inlineStr">
        <is>
          <t>NULL</t>
        </is>
      </c>
      <c r="K80" t="inlineStr">
        <is>
          <t>YES! 	 c_varbinary_100列源备映射正确，源端为varbinary 100位	期望更改为varbinary(n)	实际备端为varbinary 100位</t>
        </is>
      </c>
    </row>
    <row r="81">
      <c r="B81" t="inlineStr">
        <is>
          <t>NULL</t>
        </is>
      </c>
      <c r="C81" t="inlineStr">
        <is>
          <t>NULL</t>
        </is>
      </c>
      <c r="D81" t="inlineStr">
        <is>
          <t>NULL</t>
        </is>
      </c>
      <c r="E81" t="inlineStr">
        <is>
          <t>NULL</t>
        </is>
      </c>
      <c r="F81" t="inlineStr">
        <is>
          <t>NULL</t>
        </is>
      </c>
      <c r="G81" t="inlineStr">
        <is>
          <t>NULL</t>
        </is>
      </c>
      <c r="H81" t="inlineStr">
        <is>
          <t>NULL</t>
        </is>
      </c>
      <c r="I81" t="inlineStr">
        <is>
          <t>NULL</t>
        </is>
      </c>
      <c r="J81" t="inlineStr">
        <is>
          <t>NULL</t>
        </is>
      </c>
      <c r="K81" t="inlineStr">
        <is>
          <t>YES! 	 c_varbinary_8000列源备映射正确，源端为varbinary 8000位	期望更改为longblob	实际备端为longblob 4294967295位</t>
        </is>
      </c>
    </row>
    <row r="82">
      <c r="A82" t="inlineStr">
        <is>
          <t>info_varchar_dml_single_nopk_irp</t>
        </is>
      </c>
      <c r="K82" t="inlineStr">
        <is>
          <t>[0;34m info_varchar_dml_single_nopk_irp [0m源备字段数相同，源端字段：4 	备端字段4</t>
        </is>
      </c>
      <c r="W82" t="inlineStr">
        <is>
          <t>YES 源备无差异</t>
        </is>
      </c>
      <c r="X82">
        <f>A82</f>
        <v/>
      </c>
    </row>
    <row r="83">
      <c r="B83" t="inlineStr">
        <is>
          <t>NULL</t>
        </is>
      </c>
      <c r="C83" t="inlineStr">
        <is>
          <t>NULL</t>
        </is>
      </c>
      <c r="D83" t="inlineStr">
        <is>
          <t>NULL</t>
        </is>
      </c>
      <c r="E83" t="inlineStr">
        <is>
          <t>NULL</t>
        </is>
      </c>
      <c r="F83" t="inlineStr">
        <is>
          <t>NULL</t>
        </is>
      </c>
      <c r="G83" t="inlineStr">
        <is>
          <t>NULL</t>
        </is>
      </c>
      <c r="H83" t="inlineStr">
        <is>
          <t>NULL</t>
        </is>
      </c>
      <c r="I83" t="inlineStr">
        <is>
          <t>NULL</t>
        </is>
      </c>
      <c r="J83" t="inlineStr">
        <is>
          <t>NULL</t>
        </is>
      </c>
      <c r="K83" t="inlineStr">
        <is>
          <t>YES! 	 id列源备映射正确，源端为int None位	期望更改为int	实际备端为int None位</t>
        </is>
      </c>
    </row>
    <row r="84">
      <c r="B84" t="inlineStr">
        <is>
          <t>NULL</t>
        </is>
      </c>
      <c r="C84" t="inlineStr">
        <is>
          <t>NULL</t>
        </is>
      </c>
      <c r="D84" t="inlineStr">
        <is>
          <t>NULL</t>
        </is>
      </c>
      <c r="E84" t="inlineStr">
        <is>
          <t>NULL</t>
        </is>
      </c>
      <c r="F84" t="inlineStr">
        <is>
          <t>NULL</t>
        </is>
      </c>
      <c r="G84" t="inlineStr">
        <is>
          <t>NULL</t>
        </is>
      </c>
      <c r="H84" t="inlineStr">
        <is>
          <t>NULL</t>
        </is>
      </c>
      <c r="I84" t="inlineStr">
        <is>
          <t>NULL</t>
        </is>
      </c>
      <c r="J84" t="inlineStr">
        <is>
          <t>NULL</t>
        </is>
      </c>
      <c r="K84" t="inlineStr">
        <is>
          <t>YES! 	 c_varchar列源备映射正确，源端为varchar 1位	期望更改为varchar(n)	实际备端为varchar 4位</t>
        </is>
      </c>
    </row>
    <row r="85">
      <c r="B85" t="inlineStr">
        <is>
          <t>NULL</t>
        </is>
      </c>
      <c r="C85" t="inlineStr">
        <is>
          <t>NULL</t>
        </is>
      </c>
      <c r="D85" t="inlineStr">
        <is>
          <t>NULL</t>
        </is>
      </c>
      <c r="E85" t="inlineStr">
        <is>
          <t>NULL</t>
        </is>
      </c>
      <c r="F85" t="inlineStr">
        <is>
          <t>NULL</t>
        </is>
      </c>
      <c r="G85" t="inlineStr">
        <is>
          <t>NULL</t>
        </is>
      </c>
      <c r="H85" t="inlineStr">
        <is>
          <t>NULL</t>
        </is>
      </c>
      <c r="I85" t="inlineStr">
        <is>
          <t>NULL</t>
        </is>
      </c>
      <c r="J85" t="inlineStr">
        <is>
          <t>NULL</t>
        </is>
      </c>
      <c r="K85" t="inlineStr">
        <is>
          <t>YES! 	 c_varchar50列源备映射正确，源端为varchar 50位	期望更改为varchar(n)	实际备端为varchar 200位</t>
        </is>
      </c>
    </row>
    <row r="86">
      <c r="B86" t="inlineStr">
        <is>
          <t>NULL</t>
        </is>
      </c>
      <c r="C86" t="inlineStr">
        <is>
          <t>NULL</t>
        </is>
      </c>
      <c r="D86" t="inlineStr">
        <is>
          <t>NULL</t>
        </is>
      </c>
      <c r="E86" t="inlineStr">
        <is>
          <t>NULL</t>
        </is>
      </c>
      <c r="F86" t="inlineStr">
        <is>
          <t>NULL</t>
        </is>
      </c>
      <c r="G86" t="inlineStr">
        <is>
          <t>NULL</t>
        </is>
      </c>
      <c r="H86" t="inlineStr">
        <is>
          <t>NULL</t>
        </is>
      </c>
      <c r="I86" t="inlineStr">
        <is>
          <t>NULL</t>
        </is>
      </c>
      <c r="J86" t="inlineStr">
        <is>
          <t>NULL</t>
        </is>
      </c>
      <c r="K86" t="inlineStr">
        <is>
          <t xml:space="preserve"> NO!  	 c_varchar8000列源备映射错误，源端为varchar 8000位	期望更改为longtext	实际备端为text 65535位</t>
        </is>
      </c>
    </row>
    <row r="87">
      <c r="A87" t="inlineStr">
        <is>
          <t>info_time_dml_batch1_pk_urp2</t>
        </is>
      </c>
      <c r="K87" t="inlineStr">
        <is>
          <t>[0;34m info_time_dml_batch1_pk_urp2 [0m源备字段数相同，源端字段：9 	备端字段9</t>
        </is>
      </c>
      <c r="W87" t="inlineStr">
        <is>
          <t>YES 源备无差异</t>
        </is>
      </c>
      <c r="X87">
        <f>A87</f>
        <v/>
      </c>
    </row>
    <row r="88">
      <c r="B88" t="inlineStr">
        <is>
          <t>YES</t>
        </is>
      </c>
      <c r="C88" t="inlineStr">
        <is>
          <t>NULL</t>
        </is>
      </c>
      <c r="D88" t="inlineStr">
        <is>
          <t>NULL</t>
        </is>
      </c>
      <c r="E88" t="inlineStr">
        <is>
          <t>NULL</t>
        </is>
      </c>
      <c r="F88" t="inlineStr">
        <is>
          <t>NULL</t>
        </is>
      </c>
      <c r="G88" t="inlineStr">
        <is>
          <t>NULL</t>
        </is>
      </c>
      <c r="H88" t="inlineStr">
        <is>
          <t>NULL</t>
        </is>
      </c>
      <c r="I88" t="inlineStr">
        <is>
          <t>YES!PK__info_tim__3213E83F7BBC653D</t>
        </is>
      </c>
      <c r="J88" t="inlineStr">
        <is>
          <t>YES! 主键相关索引</t>
        </is>
      </c>
      <c r="K88" t="inlineStr">
        <is>
          <t>YES! 	 id列源备映射正确，源端为int None位	期望更改为int	实际备端为int None位</t>
        </is>
      </c>
    </row>
    <row r="89">
      <c r="B89" t="inlineStr">
        <is>
          <t>NULL</t>
        </is>
      </c>
      <c r="C89" t="inlineStr">
        <is>
          <t>NULL</t>
        </is>
      </c>
      <c r="D89" t="inlineStr">
        <is>
          <t>NULL</t>
        </is>
      </c>
      <c r="E89" t="inlineStr">
        <is>
          <t>NULL</t>
        </is>
      </c>
      <c r="F89" t="inlineStr">
        <is>
          <t>NULL</t>
        </is>
      </c>
      <c r="G89" t="inlineStr">
        <is>
          <t>NULL</t>
        </is>
      </c>
      <c r="H89" t="inlineStr">
        <is>
          <t>NULL</t>
        </is>
      </c>
      <c r="I89" t="inlineStr">
        <is>
          <t>NULL</t>
        </is>
      </c>
      <c r="J89" t="inlineStr">
        <is>
          <t>NULL</t>
        </is>
      </c>
      <c r="K89" t="inlineStr">
        <is>
          <t>[0;32m YES! [0m 	 c_time0列源备映射正确，源端为time None位	期望更改为varchar(20)	实际备端为varchar 80位	位数精度不存在，通过长度比较</t>
        </is>
      </c>
    </row>
    <row r="90">
      <c r="B90" t="inlineStr">
        <is>
          <t>NULL</t>
        </is>
      </c>
      <c r="C90" t="inlineStr">
        <is>
          <t>NULL</t>
        </is>
      </c>
      <c r="D90" t="inlineStr">
        <is>
          <t>NULL</t>
        </is>
      </c>
      <c r="E90" t="inlineStr">
        <is>
          <t>NULL</t>
        </is>
      </c>
      <c r="F90" t="inlineStr">
        <is>
          <t>NULL</t>
        </is>
      </c>
      <c r="G90" t="inlineStr">
        <is>
          <t>NULL</t>
        </is>
      </c>
      <c r="H90" t="inlineStr">
        <is>
          <t>NULL</t>
        </is>
      </c>
      <c r="I90" t="inlineStr">
        <is>
          <t>NULL</t>
        </is>
      </c>
      <c r="J90" t="inlineStr">
        <is>
          <t>NULL</t>
        </is>
      </c>
      <c r="K90" t="inlineStr">
        <is>
          <t>[0;32m YES! [0m 	 c_time1列源备映射正确，源端为time None位	期望更改为varchar(20)	实际备端为varchar 80位	位数精度不存在，通过长度比较</t>
        </is>
      </c>
    </row>
    <row r="91">
      <c r="B91" t="inlineStr">
        <is>
          <t>NULL</t>
        </is>
      </c>
      <c r="C91" t="inlineStr">
        <is>
          <t>NULL</t>
        </is>
      </c>
      <c r="D91" t="inlineStr">
        <is>
          <t>NULL</t>
        </is>
      </c>
      <c r="E91" t="inlineStr">
        <is>
          <t>NULL</t>
        </is>
      </c>
      <c r="F91" t="inlineStr">
        <is>
          <t>NULL</t>
        </is>
      </c>
      <c r="G91" t="inlineStr">
        <is>
          <t>NULL</t>
        </is>
      </c>
      <c r="H91" t="inlineStr">
        <is>
          <t>NULL</t>
        </is>
      </c>
      <c r="I91" t="inlineStr">
        <is>
          <t>NULL</t>
        </is>
      </c>
      <c r="J91" t="inlineStr">
        <is>
          <t>NULL</t>
        </is>
      </c>
      <c r="K91" t="inlineStr">
        <is>
          <t>[0;32m YES! [0m 	 c_time2列源备映射正确，源端为time None位	期望更改为varchar(20)	实际备端为varchar 80位	位数精度不存在，通过长度比较</t>
        </is>
      </c>
    </row>
    <row r="92">
      <c r="B92" t="inlineStr">
        <is>
          <t>NULL</t>
        </is>
      </c>
      <c r="C92" t="inlineStr">
        <is>
          <t>NULL</t>
        </is>
      </c>
      <c r="D92" t="inlineStr">
        <is>
          <t>NULL</t>
        </is>
      </c>
      <c r="E92" t="inlineStr">
        <is>
          <t>NULL</t>
        </is>
      </c>
      <c r="F92" t="inlineStr">
        <is>
          <t>NULL</t>
        </is>
      </c>
      <c r="G92" t="inlineStr">
        <is>
          <t>NULL</t>
        </is>
      </c>
      <c r="H92" t="inlineStr">
        <is>
          <t>NULL</t>
        </is>
      </c>
      <c r="I92" t="inlineStr">
        <is>
          <t>NULL</t>
        </is>
      </c>
      <c r="J92" t="inlineStr">
        <is>
          <t>NULL</t>
        </is>
      </c>
      <c r="K92" t="inlineStr">
        <is>
          <t>[0;32m YES! [0m 	 c_time3列源备映射正确，源端为time None位	期望更改为varchar(20)	实际备端为varchar 80位	位数精度不存在，通过长度比较</t>
        </is>
      </c>
    </row>
    <row r="93">
      <c r="B93" t="inlineStr">
        <is>
          <t>NULL</t>
        </is>
      </c>
      <c r="C93" t="inlineStr">
        <is>
          <t>NULL</t>
        </is>
      </c>
      <c r="D93" t="inlineStr">
        <is>
          <t>NULL</t>
        </is>
      </c>
      <c r="E93" t="inlineStr">
        <is>
          <t>NULL</t>
        </is>
      </c>
      <c r="F93" t="inlineStr">
        <is>
          <t>NULL</t>
        </is>
      </c>
      <c r="G93" t="inlineStr">
        <is>
          <t>NULL</t>
        </is>
      </c>
      <c r="H93" t="inlineStr">
        <is>
          <t>NULL</t>
        </is>
      </c>
      <c r="I93" t="inlineStr">
        <is>
          <t>NULL</t>
        </is>
      </c>
      <c r="J93" t="inlineStr">
        <is>
          <t>NULL</t>
        </is>
      </c>
      <c r="K93" t="inlineStr">
        <is>
          <t>[0;32m YES! [0m 	 c_time4列源备映射正确，源端为time None位	期望更改为varchar(20)	实际备端为varchar 80位	位数精度不存在，通过长度比较</t>
        </is>
      </c>
    </row>
    <row r="94">
      <c r="B94" t="inlineStr">
        <is>
          <t>NULL</t>
        </is>
      </c>
      <c r="C94" t="inlineStr">
        <is>
          <t>NULL</t>
        </is>
      </c>
      <c r="D94" t="inlineStr">
        <is>
          <t>NULL</t>
        </is>
      </c>
      <c r="E94" t="inlineStr">
        <is>
          <t>NULL</t>
        </is>
      </c>
      <c r="F94" t="inlineStr">
        <is>
          <t>NULL</t>
        </is>
      </c>
      <c r="G94" t="inlineStr">
        <is>
          <t>NULL</t>
        </is>
      </c>
      <c r="H94" t="inlineStr">
        <is>
          <t>NULL</t>
        </is>
      </c>
      <c r="I94" t="inlineStr">
        <is>
          <t>NULL</t>
        </is>
      </c>
      <c r="J94" t="inlineStr">
        <is>
          <t>NULL</t>
        </is>
      </c>
      <c r="K94" t="inlineStr">
        <is>
          <t>[0;32m YES! [0m 	 c_time5列源备映射正确，源端为time None位	期望更改为varchar(20)	实际备端为varchar 80位	位数精度不存在，通过长度比较</t>
        </is>
      </c>
    </row>
    <row r="95">
      <c r="B95" t="inlineStr">
        <is>
          <t>NULL</t>
        </is>
      </c>
      <c r="C95" t="inlineStr">
        <is>
          <t>NULL</t>
        </is>
      </c>
      <c r="D95" t="inlineStr">
        <is>
          <t>NULL</t>
        </is>
      </c>
      <c r="E95" t="inlineStr">
        <is>
          <t>NULL</t>
        </is>
      </c>
      <c r="F95" t="inlineStr">
        <is>
          <t>NULL</t>
        </is>
      </c>
      <c r="G95" t="inlineStr">
        <is>
          <t>NULL</t>
        </is>
      </c>
      <c r="H95" t="inlineStr">
        <is>
          <t>NULL</t>
        </is>
      </c>
      <c r="I95" t="inlineStr">
        <is>
          <t>NULL</t>
        </is>
      </c>
      <c r="J95" t="inlineStr">
        <is>
          <t>NULL</t>
        </is>
      </c>
      <c r="K95" t="inlineStr">
        <is>
          <t>[0;32m YES! [0m 	 c_time6列源备映射正确，源端为time None位	期望更改为varchar(20)	实际备端为varchar 80位	位数精度不存在，通过长度比较</t>
        </is>
      </c>
    </row>
    <row r="96">
      <c r="B96" t="inlineStr">
        <is>
          <t>NULL</t>
        </is>
      </c>
      <c r="C96" t="inlineStr">
        <is>
          <t>NULL</t>
        </is>
      </c>
      <c r="D96" t="inlineStr">
        <is>
          <t>NULL</t>
        </is>
      </c>
      <c r="E96" t="inlineStr">
        <is>
          <t>NULL</t>
        </is>
      </c>
      <c r="F96" t="inlineStr">
        <is>
          <t>NULL</t>
        </is>
      </c>
      <c r="G96" t="inlineStr">
        <is>
          <t>NULL</t>
        </is>
      </c>
      <c r="H96" t="inlineStr">
        <is>
          <t>NULL</t>
        </is>
      </c>
      <c r="I96" t="inlineStr">
        <is>
          <t>NULL</t>
        </is>
      </c>
      <c r="J96" t="inlineStr">
        <is>
          <t>NULL</t>
        </is>
      </c>
      <c r="K96" t="inlineStr">
        <is>
          <t>[0;32m YES! [0m 	 c_time列源备映射正确，源端为time None位	期望更改为varchar(20)	实际备端为varchar 80位	位数精度不存在，通过长度比较</t>
        </is>
      </c>
    </row>
    <row r="97">
      <c r="A97" t="inlineStr">
        <is>
          <t>info_char_dml_single_nopk_urp</t>
        </is>
      </c>
      <c r="K97" t="inlineStr">
        <is>
          <t>[0;34m info_char_dml_single_nopk_urp [0m源备字段数相同，源端字段：4 	备端字段4</t>
        </is>
      </c>
      <c r="W97" s="15">
        <f>HYPERLINK("#2026052610mysql0!AB2","NO 源备存在差异，共8个")</f>
        <v/>
      </c>
      <c r="X97">
        <f>A97</f>
        <v/>
      </c>
    </row>
    <row r="98">
      <c r="B98" t="inlineStr">
        <is>
          <t>NULL</t>
        </is>
      </c>
      <c r="C98" t="inlineStr">
        <is>
          <t>NULL</t>
        </is>
      </c>
      <c r="D98" t="inlineStr">
        <is>
          <t>NULL</t>
        </is>
      </c>
      <c r="E98" t="inlineStr">
        <is>
          <t>NULL</t>
        </is>
      </c>
      <c r="F98" t="inlineStr">
        <is>
          <t>NULL</t>
        </is>
      </c>
      <c r="G98" t="inlineStr">
        <is>
          <t>NULL</t>
        </is>
      </c>
      <c r="H98" t="inlineStr">
        <is>
          <t>NULL</t>
        </is>
      </c>
      <c r="I98" t="inlineStr">
        <is>
          <t>NULL</t>
        </is>
      </c>
      <c r="J98" t="inlineStr">
        <is>
          <t>NULL</t>
        </is>
      </c>
      <c r="K98" t="inlineStr">
        <is>
          <t>YES! 	 id列源备映射正确，源端为int None位	期望更改为int	实际备端为int None位</t>
        </is>
      </c>
    </row>
    <row r="99">
      <c r="B99" t="inlineStr">
        <is>
          <t>NULL</t>
        </is>
      </c>
      <c r="C99" t="inlineStr">
        <is>
          <t>NULL</t>
        </is>
      </c>
      <c r="D99" t="inlineStr">
        <is>
          <t>NULL</t>
        </is>
      </c>
      <c r="E99" t="inlineStr">
        <is>
          <t>NULL</t>
        </is>
      </c>
      <c r="F99" t="inlineStr">
        <is>
          <t>NULL</t>
        </is>
      </c>
      <c r="G99" t="inlineStr">
        <is>
          <t>NULL</t>
        </is>
      </c>
      <c r="H99" t="inlineStr">
        <is>
          <t>NULL</t>
        </is>
      </c>
      <c r="I99" t="inlineStr">
        <is>
          <t>NULL</t>
        </is>
      </c>
      <c r="J99" t="inlineStr">
        <is>
          <t>NULL</t>
        </is>
      </c>
      <c r="K99" t="inlineStr">
        <is>
          <t>YES! 	 c_char列源备映射正确，源端为char 1位	期望更改为char(n)	实际备端为char 4位</t>
        </is>
      </c>
    </row>
    <row r="100">
      <c r="B100" t="inlineStr">
        <is>
          <t>NULL</t>
        </is>
      </c>
      <c r="C100" t="inlineStr">
        <is>
          <t>NULL</t>
        </is>
      </c>
      <c r="D100" t="inlineStr">
        <is>
          <t>NULL</t>
        </is>
      </c>
      <c r="E100" t="inlineStr">
        <is>
          <t>NULL</t>
        </is>
      </c>
      <c r="F100" t="inlineStr">
        <is>
          <t>NULL</t>
        </is>
      </c>
      <c r="G100" t="inlineStr">
        <is>
          <t>NULL</t>
        </is>
      </c>
      <c r="H100" t="inlineStr">
        <is>
          <t>NULL</t>
        </is>
      </c>
      <c r="I100" t="inlineStr">
        <is>
          <t>NULL</t>
        </is>
      </c>
      <c r="J100" t="inlineStr">
        <is>
          <t>NULL</t>
        </is>
      </c>
      <c r="K100" t="inlineStr">
        <is>
          <t>YES! 	 c_char20列源备映射正确，源端为char 20位	期望更改为char(n)	实际备端为char 80位</t>
        </is>
      </c>
    </row>
    <row r="101">
      <c r="B101" t="inlineStr">
        <is>
          <t>NULL</t>
        </is>
      </c>
      <c r="C101" t="inlineStr">
        <is>
          <t>NULL</t>
        </is>
      </c>
      <c r="D101" t="inlineStr">
        <is>
          <t>NULL</t>
        </is>
      </c>
      <c r="E101" t="inlineStr">
        <is>
          <t>NULL</t>
        </is>
      </c>
      <c r="F101" t="inlineStr">
        <is>
          <t>NULL</t>
        </is>
      </c>
      <c r="G101" t="inlineStr">
        <is>
          <t>NULL</t>
        </is>
      </c>
      <c r="H101" t="inlineStr">
        <is>
          <t>NULL</t>
        </is>
      </c>
      <c r="I101" t="inlineStr">
        <is>
          <t>NULL</t>
        </is>
      </c>
      <c r="J101" t="inlineStr">
        <is>
          <t>NULL</t>
        </is>
      </c>
      <c r="K101" t="inlineStr">
        <is>
          <t>YES! 	 c_char7000列源备映射正确，源端为char 7000位	期望更改为text	实际备端为text 65535位</t>
        </is>
      </c>
    </row>
    <row r="102">
      <c r="A102" t="inlineStr">
        <is>
          <t>info_hierarchyid_dml_single_nopk_irp</t>
        </is>
      </c>
      <c r="K102" t="inlineStr">
        <is>
          <t>[0;34m info_hierarchyid_dml_single_nopk_irp [0m源备字段数相同，源端字段：2 	备端字段2</t>
        </is>
      </c>
      <c r="W102" s="15">
        <f>HYPERLINK("#2026052610mysql0!AC2","NO 源备存在差异，共4个")</f>
        <v/>
      </c>
      <c r="X102">
        <f>A102</f>
        <v/>
      </c>
    </row>
    <row r="103">
      <c r="B103" t="inlineStr">
        <is>
          <t>NULL</t>
        </is>
      </c>
      <c r="C103" t="inlineStr">
        <is>
          <t>NULL</t>
        </is>
      </c>
      <c r="D103" t="inlineStr">
        <is>
          <t>NULL</t>
        </is>
      </c>
      <c r="E103" t="inlineStr">
        <is>
          <t>NULL</t>
        </is>
      </c>
      <c r="F103" t="inlineStr">
        <is>
          <t>NULL</t>
        </is>
      </c>
      <c r="G103" t="inlineStr">
        <is>
          <t>NULL</t>
        </is>
      </c>
      <c r="H103" t="inlineStr">
        <is>
          <t>NULL</t>
        </is>
      </c>
      <c r="I103" t="inlineStr">
        <is>
          <t>NULL</t>
        </is>
      </c>
      <c r="J103" t="inlineStr">
        <is>
          <t>NULL</t>
        </is>
      </c>
      <c r="K103" t="inlineStr">
        <is>
          <t>YES! 	 id列源备映射正确，源端为int None位	期望更改为int	实际备端为int None位</t>
        </is>
      </c>
    </row>
    <row r="104">
      <c r="B104" t="inlineStr">
        <is>
          <t>NULL</t>
        </is>
      </c>
      <c r="C104" t="inlineStr">
        <is>
          <t>NO!源None备NUL</t>
        </is>
      </c>
      <c r="D104" t="inlineStr">
        <is>
          <t>NULL</t>
        </is>
      </c>
      <c r="E104" t="inlineStr">
        <is>
          <t>NULL</t>
        </is>
      </c>
      <c r="F104" t="inlineStr">
        <is>
          <t>NULL</t>
        </is>
      </c>
      <c r="G104" t="inlineStr">
        <is>
          <t>NULL</t>
        </is>
      </c>
      <c r="H104" t="inlineStr">
        <is>
          <t>NULL</t>
        </is>
      </c>
      <c r="I104" t="inlineStr">
        <is>
          <t>NULL</t>
        </is>
      </c>
      <c r="J104" t="inlineStr">
        <is>
          <t>NULL</t>
        </is>
      </c>
      <c r="K104" t="inlineStr">
        <is>
          <t>[0;32m YES! [0m 	 c_hierarchyid列源备映射正确，源端为hierarchyid 892位	期望更改为varchar(200)	实际备端为varchar 800位	位数精度不存在，通过长度比较</t>
        </is>
      </c>
    </row>
    <row r="105">
      <c r="A105" t="inlineStr">
        <is>
          <t>info_char_dml_batch1_pk_irp1</t>
        </is>
      </c>
      <c r="K105" t="inlineStr">
        <is>
          <t>[0;34m info_char_dml_batch1_pk_irp1 [0m源备字段数相同，源端字段：4 	备端字段4</t>
        </is>
      </c>
      <c r="W105" s="15">
        <f>HYPERLINK("#2026052610mysql0!AD2","NO 源备存在差异，共14个")</f>
        <v/>
      </c>
      <c r="X105">
        <f>A105</f>
        <v/>
      </c>
    </row>
    <row r="106">
      <c r="B106" t="inlineStr">
        <is>
          <t>YES</t>
        </is>
      </c>
      <c r="C106" t="inlineStr">
        <is>
          <t>NULL</t>
        </is>
      </c>
      <c r="D106" t="inlineStr">
        <is>
          <t>NULL</t>
        </is>
      </c>
      <c r="E106" t="inlineStr">
        <is>
          <t>NULL</t>
        </is>
      </c>
      <c r="F106" t="inlineStr">
        <is>
          <t>NULL</t>
        </is>
      </c>
      <c r="G106" t="inlineStr">
        <is>
          <t>NULL</t>
        </is>
      </c>
      <c r="H106" t="inlineStr">
        <is>
          <t>NULL</t>
        </is>
      </c>
      <c r="I106" t="inlineStr">
        <is>
          <t>YES!PK__info_cha__3213E83F0B0734D3</t>
        </is>
      </c>
      <c r="J106" t="inlineStr">
        <is>
          <t>YES! 主键相关索引</t>
        </is>
      </c>
      <c r="K106" t="inlineStr">
        <is>
          <t>YES! 	 id列源备映射正确，源端为int None位	期望更改为int	实际备端为int None位</t>
        </is>
      </c>
    </row>
    <row r="107">
      <c r="B107" t="inlineStr">
        <is>
          <t>NULL</t>
        </is>
      </c>
      <c r="C107" t="inlineStr">
        <is>
          <t>NULL</t>
        </is>
      </c>
      <c r="D107" t="inlineStr">
        <is>
          <t>NULL</t>
        </is>
      </c>
      <c r="E107" t="inlineStr">
        <is>
          <t>NULL</t>
        </is>
      </c>
      <c r="F107" t="inlineStr">
        <is>
          <t>NULL</t>
        </is>
      </c>
      <c r="G107" t="inlineStr">
        <is>
          <t>NULL</t>
        </is>
      </c>
      <c r="H107" t="inlineStr">
        <is>
          <t>NULL</t>
        </is>
      </c>
      <c r="I107" t="inlineStr">
        <is>
          <t>NULL</t>
        </is>
      </c>
      <c r="J107" t="inlineStr">
        <is>
          <t>NULL</t>
        </is>
      </c>
      <c r="K107" t="inlineStr">
        <is>
          <t>YES! 	 c_char列源备映射正确，源端为char 1位	期望更改为char(n)	实际备端为char 4位</t>
        </is>
      </c>
    </row>
    <row r="108">
      <c r="B108" t="inlineStr">
        <is>
          <t>NULL</t>
        </is>
      </c>
      <c r="C108" t="inlineStr">
        <is>
          <t>NULL</t>
        </is>
      </c>
      <c r="D108" t="inlineStr">
        <is>
          <t>NULL</t>
        </is>
      </c>
      <c r="E108" t="inlineStr">
        <is>
          <t>NULL</t>
        </is>
      </c>
      <c r="F108" t="inlineStr">
        <is>
          <t>NULL</t>
        </is>
      </c>
      <c r="G108" t="inlineStr">
        <is>
          <t>NULL</t>
        </is>
      </c>
      <c r="H108" t="inlineStr">
        <is>
          <t>NULL</t>
        </is>
      </c>
      <c r="I108" t="inlineStr">
        <is>
          <t>NULL</t>
        </is>
      </c>
      <c r="J108" t="inlineStr">
        <is>
          <t>NULL</t>
        </is>
      </c>
      <c r="K108" t="inlineStr">
        <is>
          <t>YES! 	 c_char20列源备映射正确，源端为char 20位	期望更改为char(n)	实际备端为char 80位</t>
        </is>
      </c>
    </row>
    <row r="109">
      <c r="B109" t="inlineStr">
        <is>
          <t>NULL</t>
        </is>
      </c>
      <c r="C109" t="inlineStr">
        <is>
          <t>NULL</t>
        </is>
      </c>
      <c r="D109" t="inlineStr">
        <is>
          <t>NULL</t>
        </is>
      </c>
      <c r="E109" t="inlineStr">
        <is>
          <t>NULL</t>
        </is>
      </c>
      <c r="F109" t="inlineStr">
        <is>
          <t>NULL</t>
        </is>
      </c>
      <c r="G109" t="inlineStr">
        <is>
          <t>NULL</t>
        </is>
      </c>
      <c r="H109" t="inlineStr">
        <is>
          <t>NULL</t>
        </is>
      </c>
      <c r="I109" t="inlineStr">
        <is>
          <t>NULL</t>
        </is>
      </c>
      <c r="J109" t="inlineStr">
        <is>
          <t>NULL</t>
        </is>
      </c>
      <c r="K109" t="inlineStr">
        <is>
          <t>YES! 	 c_char8000列源备映射正确，源端为char 8000位	期望更改为text	实际备端为text 65535位</t>
        </is>
      </c>
    </row>
    <row r="110">
      <c r="A110" t="inlineStr">
        <is>
          <t>info_hierarchyid_dml_single_nopk_urp</t>
        </is>
      </c>
      <c r="K110" t="inlineStr">
        <is>
          <t>[0;34m info_hierarchyid_dml_single_nopk_urp [0m源备字段数相同，源端字段：2 	备端字段2</t>
        </is>
      </c>
      <c r="W110" t="inlineStr">
        <is>
          <t>YES 源备无差异</t>
        </is>
      </c>
      <c r="X110">
        <f>A110</f>
        <v/>
      </c>
    </row>
    <row r="111">
      <c r="B111" t="inlineStr">
        <is>
          <t>NULL</t>
        </is>
      </c>
      <c r="C111" t="inlineStr">
        <is>
          <t>NULL</t>
        </is>
      </c>
      <c r="D111" t="inlineStr">
        <is>
          <t>NULL</t>
        </is>
      </c>
      <c r="E111" t="inlineStr">
        <is>
          <t>NULL</t>
        </is>
      </c>
      <c r="F111" t="inlineStr">
        <is>
          <t>NULL</t>
        </is>
      </c>
      <c r="G111" t="inlineStr">
        <is>
          <t>NULL</t>
        </is>
      </c>
      <c r="H111" t="inlineStr">
        <is>
          <t>NULL</t>
        </is>
      </c>
      <c r="I111" t="inlineStr">
        <is>
          <t>NULL</t>
        </is>
      </c>
      <c r="J111" t="inlineStr">
        <is>
          <t>NULL</t>
        </is>
      </c>
      <c r="K111" t="inlineStr">
        <is>
          <t>YES! 	 id列源备映射正确，源端为int None位	期望更改为int	实际备端为int None位</t>
        </is>
      </c>
    </row>
    <row r="112">
      <c r="B112" t="inlineStr">
        <is>
          <t>NULL</t>
        </is>
      </c>
      <c r="C112" t="inlineStr">
        <is>
          <t>NO!源None备NUL</t>
        </is>
      </c>
      <c r="D112" t="inlineStr">
        <is>
          <t>NULL</t>
        </is>
      </c>
      <c r="E112" t="inlineStr">
        <is>
          <t>NULL</t>
        </is>
      </c>
      <c r="F112" t="inlineStr">
        <is>
          <t>NULL</t>
        </is>
      </c>
      <c r="G112" t="inlineStr">
        <is>
          <t>NULL</t>
        </is>
      </c>
      <c r="H112" t="inlineStr">
        <is>
          <t>NULL</t>
        </is>
      </c>
      <c r="I112" t="inlineStr">
        <is>
          <t>NULL</t>
        </is>
      </c>
      <c r="J112" t="inlineStr">
        <is>
          <t>NULL</t>
        </is>
      </c>
      <c r="K112" t="inlineStr">
        <is>
          <t>[0;32m YES! [0m 	 c_hierarchyid列源备映射正确，源端为hierarchyid 892位	期望更改为varchar(200)	实际备端为varchar 800位	位数精度不存在，通过长度比较</t>
        </is>
      </c>
    </row>
    <row r="113">
      <c r="A113" t="inlineStr">
        <is>
          <t>info_varchar_dml_single_nopk_urp</t>
        </is>
      </c>
      <c r="K113" t="inlineStr">
        <is>
          <t>[0;34m info_varchar_dml_single_nopk_urp [0m源备字段数相同，源端字段：4 	备端字段4</t>
        </is>
      </c>
      <c r="W113" t="inlineStr">
        <is>
          <t>YES 源备无差异</t>
        </is>
      </c>
      <c r="X113">
        <f>A113</f>
        <v/>
      </c>
    </row>
    <row r="114">
      <c r="B114" t="inlineStr">
        <is>
          <t>NULL</t>
        </is>
      </c>
      <c r="C114" t="inlineStr">
        <is>
          <t>NULL</t>
        </is>
      </c>
      <c r="D114" t="inlineStr">
        <is>
          <t>NULL</t>
        </is>
      </c>
      <c r="E114" t="inlineStr">
        <is>
          <t>NULL</t>
        </is>
      </c>
      <c r="F114" t="inlineStr">
        <is>
          <t>NULL</t>
        </is>
      </c>
      <c r="G114" t="inlineStr">
        <is>
          <t>NULL</t>
        </is>
      </c>
      <c r="H114" t="inlineStr">
        <is>
          <t>NULL</t>
        </is>
      </c>
      <c r="I114" t="inlineStr">
        <is>
          <t>NULL</t>
        </is>
      </c>
      <c r="J114" t="inlineStr">
        <is>
          <t>NULL</t>
        </is>
      </c>
      <c r="K114" t="inlineStr">
        <is>
          <t>YES! 	 id列源备映射正确，源端为int None位	期望更改为int	实际备端为int None位</t>
        </is>
      </c>
    </row>
    <row r="115">
      <c r="B115" t="inlineStr">
        <is>
          <t>NULL</t>
        </is>
      </c>
      <c r="C115" t="inlineStr">
        <is>
          <t>NULL</t>
        </is>
      </c>
      <c r="D115" t="inlineStr">
        <is>
          <t>NULL</t>
        </is>
      </c>
      <c r="E115" t="inlineStr">
        <is>
          <t>NULL</t>
        </is>
      </c>
      <c r="F115" t="inlineStr">
        <is>
          <t>NULL</t>
        </is>
      </c>
      <c r="G115" t="inlineStr">
        <is>
          <t>NULL</t>
        </is>
      </c>
      <c r="H115" t="inlineStr">
        <is>
          <t>NULL</t>
        </is>
      </c>
      <c r="I115" t="inlineStr">
        <is>
          <t>NULL</t>
        </is>
      </c>
      <c r="J115" t="inlineStr">
        <is>
          <t>NULL</t>
        </is>
      </c>
      <c r="K115" t="inlineStr">
        <is>
          <t>YES! 	 c_varchar列源备映射正确，源端为varchar 1位	期望更改为varchar(n)	实际备端为varchar 4位</t>
        </is>
      </c>
    </row>
    <row r="116">
      <c r="B116" t="inlineStr">
        <is>
          <t>NULL</t>
        </is>
      </c>
      <c r="C116" t="inlineStr">
        <is>
          <t>NULL</t>
        </is>
      </c>
      <c r="D116" t="inlineStr">
        <is>
          <t>NULL</t>
        </is>
      </c>
      <c r="E116" t="inlineStr">
        <is>
          <t>NULL</t>
        </is>
      </c>
      <c r="F116" t="inlineStr">
        <is>
          <t>NULL</t>
        </is>
      </c>
      <c r="G116" t="inlineStr">
        <is>
          <t>NULL</t>
        </is>
      </c>
      <c r="H116" t="inlineStr">
        <is>
          <t>NULL</t>
        </is>
      </c>
      <c r="I116" t="inlineStr">
        <is>
          <t>NULL</t>
        </is>
      </c>
      <c r="J116" t="inlineStr">
        <is>
          <t>NULL</t>
        </is>
      </c>
      <c r="K116" t="inlineStr">
        <is>
          <t>YES! 	 c_varchar50列源备映射正确，源端为varchar 50位	期望更改为varchar(n)	实际备端为varchar 200位</t>
        </is>
      </c>
    </row>
    <row r="117">
      <c r="B117" t="inlineStr">
        <is>
          <t>NULL</t>
        </is>
      </c>
      <c r="C117" t="inlineStr">
        <is>
          <t>NULL</t>
        </is>
      </c>
      <c r="D117" t="inlineStr">
        <is>
          <t>NULL</t>
        </is>
      </c>
      <c r="E117" t="inlineStr">
        <is>
          <t>NULL</t>
        </is>
      </c>
      <c r="F117" t="inlineStr">
        <is>
          <t>NULL</t>
        </is>
      </c>
      <c r="G117" t="inlineStr">
        <is>
          <t>NULL</t>
        </is>
      </c>
      <c r="H117" t="inlineStr">
        <is>
          <t>NULL</t>
        </is>
      </c>
      <c r="I117" t="inlineStr">
        <is>
          <t>NULL</t>
        </is>
      </c>
      <c r="J117" t="inlineStr">
        <is>
          <t>NULL</t>
        </is>
      </c>
      <c r="K117" t="inlineStr">
        <is>
          <t xml:space="preserve"> NO!  	 c_varchar8000列源备映射错误，源端为varchar 8000位	期望更改为longtext	实际备端为text 65535位</t>
        </is>
      </c>
    </row>
    <row r="118">
      <c r="A118" t="inlineStr">
        <is>
          <t>info_time_dml_batch1_pk_drp1</t>
        </is>
      </c>
      <c r="K118" t="inlineStr">
        <is>
          <t>[0;34m info_time_dml_batch1_pk_drp1 [0m源备字段数相同，源端字段：9 	备端字段9</t>
        </is>
      </c>
      <c r="W118" t="inlineStr">
        <is>
          <t>YES 源备无差异</t>
        </is>
      </c>
      <c r="X118">
        <f>A118</f>
        <v/>
      </c>
    </row>
    <row r="119">
      <c r="B119" t="inlineStr">
        <is>
          <t>YES</t>
        </is>
      </c>
      <c r="C119" t="inlineStr">
        <is>
          <t>NULL</t>
        </is>
      </c>
      <c r="D119" t="inlineStr">
        <is>
          <t>NULL</t>
        </is>
      </c>
      <c r="E119" t="inlineStr">
        <is>
          <t>NULL</t>
        </is>
      </c>
      <c r="F119" t="inlineStr">
        <is>
          <t>NULL</t>
        </is>
      </c>
      <c r="G119" t="inlineStr">
        <is>
          <t>NULL</t>
        </is>
      </c>
      <c r="H119" t="inlineStr">
        <is>
          <t>NULL</t>
        </is>
      </c>
      <c r="I119" t="inlineStr">
        <is>
          <t>YES!PK__info_tim__3213E83F046A3DFB</t>
        </is>
      </c>
      <c r="J119" t="inlineStr">
        <is>
          <t>YES! 主键相关索引</t>
        </is>
      </c>
      <c r="K119" t="inlineStr">
        <is>
          <t>YES! 	 id列源备映射正确，源端为int None位	期望更改为int	实际备端为int None位</t>
        </is>
      </c>
    </row>
    <row r="120">
      <c r="B120" t="inlineStr">
        <is>
          <t>NULL</t>
        </is>
      </c>
      <c r="C120" t="inlineStr">
        <is>
          <t>NULL</t>
        </is>
      </c>
      <c r="D120" t="inlineStr">
        <is>
          <t>NULL</t>
        </is>
      </c>
      <c r="E120" t="inlineStr">
        <is>
          <t>NULL</t>
        </is>
      </c>
      <c r="F120" t="inlineStr">
        <is>
          <t>NULL</t>
        </is>
      </c>
      <c r="G120" t="inlineStr">
        <is>
          <t>NULL</t>
        </is>
      </c>
      <c r="H120" t="inlineStr">
        <is>
          <t>NULL</t>
        </is>
      </c>
      <c r="I120" t="inlineStr">
        <is>
          <t>NULL</t>
        </is>
      </c>
      <c r="J120" t="inlineStr">
        <is>
          <t>NULL</t>
        </is>
      </c>
      <c r="K120" t="inlineStr">
        <is>
          <t>[0;32m YES! [0m 	 c_time0列源备映射正确，源端为time None位	期望更改为varchar(20)	实际备端为varchar 80位	位数精度不存在，通过长度比较</t>
        </is>
      </c>
    </row>
    <row r="121">
      <c r="B121" t="inlineStr">
        <is>
          <t>NULL</t>
        </is>
      </c>
      <c r="C121" t="inlineStr">
        <is>
          <t>NULL</t>
        </is>
      </c>
      <c r="D121" t="inlineStr">
        <is>
          <t>NULL</t>
        </is>
      </c>
      <c r="E121" t="inlineStr">
        <is>
          <t>NULL</t>
        </is>
      </c>
      <c r="F121" t="inlineStr">
        <is>
          <t>NULL</t>
        </is>
      </c>
      <c r="G121" t="inlineStr">
        <is>
          <t>NULL</t>
        </is>
      </c>
      <c r="H121" t="inlineStr">
        <is>
          <t>NULL</t>
        </is>
      </c>
      <c r="I121" t="inlineStr">
        <is>
          <t>NULL</t>
        </is>
      </c>
      <c r="J121" t="inlineStr">
        <is>
          <t>NULL</t>
        </is>
      </c>
      <c r="K121" t="inlineStr">
        <is>
          <t>[0;32m YES! [0m 	 c_time1列源备映射正确，源端为time None位	期望更改为varchar(20)	实际备端为varchar 80位	位数精度不存在，通过长度比较</t>
        </is>
      </c>
    </row>
    <row r="122">
      <c r="B122" t="inlineStr">
        <is>
          <t>NULL</t>
        </is>
      </c>
      <c r="C122" t="inlineStr">
        <is>
          <t>NULL</t>
        </is>
      </c>
      <c r="D122" t="inlineStr">
        <is>
          <t>NULL</t>
        </is>
      </c>
      <c r="E122" t="inlineStr">
        <is>
          <t>NULL</t>
        </is>
      </c>
      <c r="F122" t="inlineStr">
        <is>
          <t>NULL</t>
        </is>
      </c>
      <c r="G122" t="inlineStr">
        <is>
          <t>NULL</t>
        </is>
      </c>
      <c r="H122" t="inlineStr">
        <is>
          <t>NULL</t>
        </is>
      </c>
      <c r="I122" t="inlineStr">
        <is>
          <t>NULL</t>
        </is>
      </c>
      <c r="J122" t="inlineStr">
        <is>
          <t>NULL</t>
        </is>
      </c>
      <c r="K122" t="inlineStr">
        <is>
          <t>[0;32m YES! [0m 	 c_time2列源备映射正确，源端为time None位	期望更改为varchar(20)	实际备端为varchar 80位	位数精度不存在，通过长度比较</t>
        </is>
      </c>
    </row>
    <row r="123">
      <c r="B123" t="inlineStr">
        <is>
          <t>NULL</t>
        </is>
      </c>
      <c r="C123" t="inlineStr">
        <is>
          <t>NULL</t>
        </is>
      </c>
      <c r="D123" t="inlineStr">
        <is>
          <t>NULL</t>
        </is>
      </c>
      <c r="E123" t="inlineStr">
        <is>
          <t>NULL</t>
        </is>
      </c>
      <c r="F123" t="inlineStr">
        <is>
          <t>NULL</t>
        </is>
      </c>
      <c r="G123" t="inlineStr">
        <is>
          <t>NULL</t>
        </is>
      </c>
      <c r="H123" t="inlineStr">
        <is>
          <t>NULL</t>
        </is>
      </c>
      <c r="I123" t="inlineStr">
        <is>
          <t>NULL</t>
        </is>
      </c>
      <c r="J123" t="inlineStr">
        <is>
          <t>NULL</t>
        </is>
      </c>
      <c r="K123" t="inlineStr">
        <is>
          <t>[0;32m YES! [0m 	 c_time3列源备映射正确，源端为time None位	期望更改为varchar(20)	实际备端为varchar 80位	位数精度不存在，通过长度比较</t>
        </is>
      </c>
    </row>
    <row r="124">
      <c r="B124" t="inlineStr">
        <is>
          <t>NULL</t>
        </is>
      </c>
      <c r="C124" t="inlineStr">
        <is>
          <t>NULL</t>
        </is>
      </c>
      <c r="D124" t="inlineStr">
        <is>
          <t>NULL</t>
        </is>
      </c>
      <c r="E124" t="inlineStr">
        <is>
          <t>NULL</t>
        </is>
      </c>
      <c r="F124" t="inlineStr">
        <is>
          <t>NULL</t>
        </is>
      </c>
      <c r="G124" t="inlineStr">
        <is>
          <t>NULL</t>
        </is>
      </c>
      <c r="H124" t="inlineStr">
        <is>
          <t>NULL</t>
        </is>
      </c>
      <c r="I124" t="inlineStr">
        <is>
          <t>NULL</t>
        </is>
      </c>
      <c r="J124" t="inlineStr">
        <is>
          <t>NULL</t>
        </is>
      </c>
      <c r="K124" t="inlineStr">
        <is>
          <t>[0;32m YES! [0m 	 c_time4列源备映射正确，源端为time None位	期望更改为varchar(20)	实际备端为varchar 80位	位数精度不存在，通过长度比较</t>
        </is>
      </c>
    </row>
    <row r="125">
      <c r="B125" t="inlineStr">
        <is>
          <t>NULL</t>
        </is>
      </c>
      <c r="C125" t="inlineStr">
        <is>
          <t>NULL</t>
        </is>
      </c>
      <c r="D125" t="inlineStr">
        <is>
          <t>NULL</t>
        </is>
      </c>
      <c r="E125" t="inlineStr">
        <is>
          <t>NULL</t>
        </is>
      </c>
      <c r="F125" t="inlineStr">
        <is>
          <t>NULL</t>
        </is>
      </c>
      <c r="G125" t="inlineStr">
        <is>
          <t>NULL</t>
        </is>
      </c>
      <c r="H125" t="inlineStr">
        <is>
          <t>NULL</t>
        </is>
      </c>
      <c r="I125" t="inlineStr">
        <is>
          <t>NULL</t>
        </is>
      </c>
      <c r="J125" t="inlineStr">
        <is>
          <t>NULL</t>
        </is>
      </c>
      <c r="K125" t="inlineStr">
        <is>
          <t>[0;32m YES! [0m 	 c_time5列源备映射正确，源端为time None位	期望更改为varchar(20)	实际备端为varchar 80位	位数精度不存在，通过长度比较</t>
        </is>
      </c>
    </row>
    <row r="126">
      <c r="B126" t="inlineStr">
        <is>
          <t>NULL</t>
        </is>
      </c>
      <c r="C126" t="inlineStr">
        <is>
          <t>NULL</t>
        </is>
      </c>
      <c r="D126" t="inlineStr">
        <is>
          <t>NULL</t>
        </is>
      </c>
      <c r="E126" t="inlineStr">
        <is>
          <t>NULL</t>
        </is>
      </c>
      <c r="F126" t="inlineStr">
        <is>
          <t>NULL</t>
        </is>
      </c>
      <c r="G126" t="inlineStr">
        <is>
          <t>NULL</t>
        </is>
      </c>
      <c r="H126" t="inlineStr">
        <is>
          <t>NULL</t>
        </is>
      </c>
      <c r="I126" t="inlineStr">
        <is>
          <t>NULL</t>
        </is>
      </c>
      <c r="J126" t="inlineStr">
        <is>
          <t>NULL</t>
        </is>
      </c>
      <c r="K126" t="inlineStr">
        <is>
          <t>[0;32m YES! [0m 	 c_time6列源备映射正确，源端为time None位	期望更改为varchar(20)	实际备端为varchar 80位	位数精度不存在，通过长度比较</t>
        </is>
      </c>
    </row>
    <row r="127">
      <c r="B127" t="inlineStr">
        <is>
          <t>NULL</t>
        </is>
      </c>
      <c r="C127" t="inlineStr">
        <is>
          <t>NULL</t>
        </is>
      </c>
      <c r="D127" t="inlineStr">
        <is>
          <t>NULL</t>
        </is>
      </c>
      <c r="E127" t="inlineStr">
        <is>
          <t>NULL</t>
        </is>
      </c>
      <c r="F127" t="inlineStr">
        <is>
          <t>NULL</t>
        </is>
      </c>
      <c r="G127" t="inlineStr">
        <is>
          <t>NULL</t>
        </is>
      </c>
      <c r="H127" t="inlineStr">
        <is>
          <t>NULL</t>
        </is>
      </c>
      <c r="I127" t="inlineStr">
        <is>
          <t>NULL</t>
        </is>
      </c>
      <c r="J127" t="inlineStr">
        <is>
          <t>NULL</t>
        </is>
      </c>
      <c r="K127" t="inlineStr">
        <is>
          <t>[0;32m YES! [0m 	 c_time列源备映射正确，源端为time None位	期望更改为varchar(20)	实际备端为varchar 80位	位数精度不存在，通过长度比较</t>
        </is>
      </c>
    </row>
    <row r="128">
      <c r="K128" t="inlineStr">
        <is>
          <t>~ 空表</t>
        </is>
      </c>
    </row>
    <row r="129">
      <c r="A129" t="inlineStr">
        <is>
          <t>info_hierarchyid_dml_single_nopk_drp</t>
        </is>
      </c>
      <c r="K129" t="inlineStr">
        <is>
          <t>[0;34m info_hierarchyid_dml_single_nopk_drp [0m源备字段数相同，源端字段：2 	备端字段2</t>
        </is>
      </c>
      <c r="W129" t="inlineStr">
        <is>
          <t>YES 源备无差异</t>
        </is>
      </c>
      <c r="X129">
        <f>A129</f>
        <v/>
      </c>
    </row>
    <row r="130">
      <c r="B130" t="inlineStr">
        <is>
          <t>NULL</t>
        </is>
      </c>
      <c r="C130" t="inlineStr">
        <is>
          <t>NULL</t>
        </is>
      </c>
      <c r="D130" t="inlineStr">
        <is>
          <t>NULL</t>
        </is>
      </c>
      <c r="E130" t="inlineStr">
        <is>
          <t>NULL</t>
        </is>
      </c>
      <c r="F130" t="inlineStr">
        <is>
          <t>NULL</t>
        </is>
      </c>
      <c r="G130" t="inlineStr">
        <is>
          <t>NULL</t>
        </is>
      </c>
      <c r="H130" t="inlineStr">
        <is>
          <t>NULL</t>
        </is>
      </c>
      <c r="I130" t="inlineStr">
        <is>
          <t>NULL</t>
        </is>
      </c>
      <c r="J130" t="inlineStr">
        <is>
          <t>NULL</t>
        </is>
      </c>
      <c r="K130" t="inlineStr">
        <is>
          <t>YES! 	 id列源备映射正确，源端为int None位	期望更改为int	实际备端为int None位</t>
        </is>
      </c>
    </row>
    <row r="131">
      <c r="B131" t="inlineStr">
        <is>
          <t>NULL</t>
        </is>
      </c>
      <c r="C131" t="inlineStr">
        <is>
          <t>NO!源None备NUL</t>
        </is>
      </c>
      <c r="D131" t="inlineStr">
        <is>
          <t>NULL</t>
        </is>
      </c>
      <c r="E131" t="inlineStr">
        <is>
          <t>NULL</t>
        </is>
      </c>
      <c r="F131" t="inlineStr">
        <is>
          <t>NULL</t>
        </is>
      </c>
      <c r="G131" t="inlineStr">
        <is>
          <t>NULL</t>
        </is>
      </c>
      <c r="H131" t="inlineStr">
        <is>
          <t>NULL</t>
        </is>
      </c>
      <c r="I131" t="inlineStr">
        <is>
          <t>NULL</t>
        </is>
      </c>
      <c r="J131" t="inlineStr">
        <is>
          <t>NULL</t>
        </is>
      </c>
      <c r="K131" t="inlineStr">
        <is>
          <t>[0;32m YES! [0m 	 c_hierarchyid列源备映射正确，源端为hierarchyid 892位	期望更改为varchar(200)	实际备端为varchar 800位	位数精度不存在，通过长度比较</t>
        </is>
      </c>
    </row>
    <row r="132">
      <c r="A132" t="inlineStr">
        <is>
          <t>info_varchar_dml_single_nopk_drp</t>
        </is>
      </c>
      <c r="K132" t="inlineStr">
        <is>
          <t>[0;34m info_varchar_dml_single_nopk_drp [0m源备字段数相同，源端字段：4 	备端字段4</t>
        </is>
      </c>
      <c r="W132" t="inlineStr">
        <is>
          <t>YES 源备无差异</t>
        </is>
      </c>
      <c r="X132">
        <f>A132</f>
        <v/>
      </c>
    </row>
    <row r="133">
      <c r="B133" t="inlineStr">
        <is>
          <t>NULL</t>
        </is>
      </c>
      <c r="C133" t="inlineStr">
        <is>
          <t>NULL</t>
        </is>
      </c>
      <c r="D133" t="inlineStr">
        <is>
          <t>NULL</t>
        </is>
      </c>
      <c r="E133" t="inlineStr">
        <is>
          <t>NULL</t>
        </is>
      </c>
      <c r="F133" t="inlineStr">
        <is>
          <t>NULL</t>
        </is>
      </c>
      <c r="G133" t="inlineStr">
        <is>
          <t>NULL</t>
        </is>
      </c>
      <c r="H133" t="inlineStr">
        <is>
          <t>NULL</t>
        </is>
      </c>
      <c r="I133" t="inlineStr">
        <is>
          <t>NULL</t>
        </is>
      </c>
      <c r="J133" t="inlineStr">
        <is>
          <t>NULL</t>
        </is>
      </c>
      <c r="K133" t="inlineStr">
        <is>
          <t>YES! 	 id列源备映射正确，源端为int None位	期望更改为int	实际备端为int None位</t>
        </is>
      </c>
    </row>
    <row r="134">
      <c r="B134" t="inlineStr">
        <is>
          <t>NULL</t>
        </is>
      </c>
      <c r="C134" t="inlineStr">
        <is>
          <t>NULL</t>
        </is>
      </c>
      <c r="D134" t="inlineStr">
        <is>
          <t>NULL</t>
        </is>
      </c>
      <c r="E134" t="inlineStr">
        <is>
          <t>NULL</t>
        </is>
      </c>
      <c r="F134" t="inlineStr">
        <is>
          <t>NULL</t>
        </is>
      </c>
      <c r="G134" t="inlineStr">
        <is>
          <t>NULL</t>
        </is>
      </c>
      <c r="H134" t="inlineStr">
        <is>
          <t>NULL</t>
        </is>
      </c>
      <c r="I134" t="inlineStr">
        <is>
          <t>NULL</t>
        </is>
      </c>
      <c r="J134" t="inlineStr">
        <is>
          <t>NULL</t>
        </is>
      </c>
      <c r="K134" t="inlineStr">
        <is>
          <t>YES! 	 c_varchar列源备映射正确，源端为varchar 1位	期望更改为varchar(n)	实际备端为varchar 4位</t>
        </is>
      </c>
    </row>
    <row r="135">
      <c r="B135" t="inlineStr">
        <is>
          <t>NULL</t>
        </is>
      </c>
      <c r="C135" t="inlineStr">
        <is>
          <t>NULL</t>
        </is>
      </c>
      <c r="D135" t="inlineStr">
        <is>
          <t>NULL</t>
        </is>
      </c>
      <c r="E135" t="inlineStr">
        <is>
          <t>NULL</t>
        </is>
      </c>
      <c r="F135" t="inlineStr">
        <is>
          <t>NULL</t>
        </is>
      </c>
      <c r="G135" t="inlineStr">
        <is>
          <t>NULL</t>
        </is>
      </c>
      <c r="H135" t="inlineStr">
        <is>
          <t>NULL</t>
        </is>
      </c>
      <c r="I135" t="inlineStr">
        <is>
          <t>NULL</t>
        </is>
      </c>
      <c r="J135" t="inlineStr">
        <is>
          <t>NULL</t>
        </is>
      </c>
      <c r="K135" t="inlineStr">
        <is>
          <t>YES! 	 c_varchar50列源备映射正确，源端为varchar 50位	期望更改为varchar(n)	实际备端为varchar 200位</t>
        </is>
      </c>
    </row>
    <row r="136">
      <c r="B136" t="inlineStr">
        <is>
          <t>NULL</t>
        </is>
      </c>
      <c r="C136" t="inlineStr">
        <is>
          <t>NULL</t>
        </is>
      </c>
      <c r="D136" t="inlineStr">
        <is>
          <t>NULL</t>
        </is>
      </c>
      <c r="E136" t="inlineStr">
        <is>
          <t>NULL</t>
        </is>
      </c>
      <c r="F136" t="inlineStr">
        <is>
          <t>NULL</t>
        </is>
      </c>
      <c r="G136" t="inlineStr">
        <is>
          <t>NULL</t>
        </is>
      </c>
      <c r="H136" t="inlineStr">
        <is>
          <t>NULL</t>
        </is>
      </c>
      <c r="I136" t="inlineStr">
        <is>
          <t>NULL</t>
        </is>
      </c>
      <c r="J136" t="inlineStr">
        <is>
          <t>NULL</t>
        </is>
      </c>
      <c r="K136" t="inlineStr">
        <is>
          <t xml:space="preserve"> NO!  	 c_varchar8000列源备映射错误，源端为varchar 8000位	期望更改为longtext	实际备端为text 65535位</t>
        </is>
      </c>
    </row>
    <row r="137">
      <c r="A137" t="inlineStr">
        <is>
          <t>info_hierarchyid_dml_single_pk_irp</t>
        </is>
      </c>
      <c r="K137" t="inlineStr">
        <is>
          <t>[0;34m info_hierarchyid_dml_single_pk_irp [0m源备字段数相同，源端字段：2 	备端字段2</t>
        </is>
      </c>
      <c r="W137" s="15">
        <f>HYPERLINK("#2026052610mysql0!AE2","NO 源备存在差异，共4个")</f>
        <v/>
      </c>
      <c r="X137">
        <f>A137</f>
        <v/>
      </c>
    </row>
    <row r="138">
      <c r="B138" t="inlineStr">
        <is>
          <t>YES</t>
        </is>
      </c>
      <c r="C138" t="inlineStr">
        <is>
          <t>NULL</t>
        </is>
      </c>
      <c r="D138" t="inlineStr">
        <is>
          <t>NULL</t>
        </is>
      </c>
      <c r="E138" t="inlineStr">
        <is>
          <t>NULL</t>
        </is>
      </c>
      <c r="F138" t="inlineStr">
        <is>
          <t>NULL</t>
        </is>
      </c>
      <c r="G138" t="inlineStr">
        <is>
          <t>NULL</t>
        </is>
      </c>
      <c r="H138" t="inlineStr">
        <is>
          <t>NULL</t>
        </is>
      </c>
      <c r="I138" t="inlineStr">
        <is>
          <t>YES!PK__info_hie__3213E83FDEFBB5DB</t>
        </is>
      </c>
      <c r="J138" t="inlineStr">
        <is>
          <t>YES! 主键相关索引</t>
        </is>
      </c>
      <c r="K138" t="inlineStr">
        <is>
          <t>YES! 	 id列源备映射正确，源端为int None位	期望更改为int	实际备端为int None位</t>
        </is>
      </c>
    </row>
    <row r="139">
      <c r="B139" t="inlineStr">
        <is>
          <t>NULL</t>
        </is>
      </c>
      <c r="C139" t="inlineStr">
        <is>
          <t>NULL</t>
        </is>
      </c>
      <c r="D139" t="inlineStr">
        <is>
          <t>NULL</t>
        </is>
      </c>
      <c r="E139" t="inlineStr">
        <is>
          <t>NULL</t>
        </is>
      </c>
      <c r="F139" t="inlineStr">
        <is>
          <t>NULL</t>
        </is>
      </c>
      <c r="G139" t="inlineStr">
        <is>
          <t>NULL</t>
        </is>
      </c>
      <c r="H139" t="inlineStr">
        <is>
          <t>NULL</t>
        </is>
      </c>
      <c r="I139" t="inlineStr">
        <is>
          <t>NULL</t>
        </is>
      </c>
      <c r="J139" t="inlineStr">
        <is>
          <t>NULL</t>
        </is>
      </c>
      <c r="K139" t="inlineStr">
        <is>
          <t>[0;32m YES! [0m 	 c_hierarchyid列源备映射正确，源端为hierarchyid 892位	期望更改为varchar(200)	实际备端为varchar 800位	位数精度不存在，通过长度比较</t>
        </is>
      </c>
    </row>
    <row r="140">
      <c r="A140" t="inlineStr">
        <is>
          <t>info_char_dml_batch2_pk_irp1</t>
        </is>
      </c>
      <c r="K140" t="inlineStr">
        <is>
          <t>[0;34m info_char_dml_batch2_pk_irp1 [0m源备字段数相同，源端字段：4 	备端字段4</t>
        </is>
      </c>
      <c r="W140" s="15">
        <f>HYPERLINK("#2026052610mysql0!AF2","NO 源备存在差异，共10个")</f>
        <v/>
      </c>
      <c r="X140">
        <f>A140</f>
        <v/>
      </c>
    </row>
    <row r="141">
      <c r="B141" t="inlineStr">
        <is>
          <t>YES</t>
        </is>
      </c>
      <c r="C141" t="inlineStr">
        <is>
          <t>NULL</t>
        </is>
      </c>
      <c r="D141" t="inlineStr">
        <is>
          <t>NULL</t>
        </is>
      </c>
      <c r="E141" t="inlineStr">
        <is>
          <t>NULL</t>
        </is>
      </c>
      <c r="F141" t="inlineStr">
        <is>
          <t>NULL</t>
        </is>
      </c>
      <c r="G141" t="inlineStr">
        <is>
          <t>NULL</t>
        </is>
      </c>
      <c r="H141" t="inlineStr">
        <is>
          <t>NULL</t>
        </is>
      </c>
      <c r="I141" t="inlineStr">
        <is>
          <t>YES!PK__info_cha__3213E83F491E4A05</t>
        </is>
      </c>
      <c r="J141" t="inlineStr">
        <is>
          <t>YES! 主键相关索引</t>
        </is>
      </c>
      <c r="K141" t="inlineStr">
        <is>
          <t>YES! 	 id列源备映射正确，源端为int None位	期望更改为int	实际备端为int None位</t>
        </is>
      </c>
    </row>
    <row r="142">
      <c r="B142" t="inlineStr">
        <is>
          <t>NULL</t>
        </is>
      </c>
      <c r="C142" t="inlineStr">
        <is>
          <t>NULL</t>
        </is>
      </c>
      <c r="D142" t="inlineStr">
        <is>
          <t>NULL</t>
        </is>
      </c>
      <c r="E142" t="inlineStr">
        <is>
          <t>NULL</t>
        </is>
      </c>
      <c r="F142" t="inlineStr">
        <is>
          <t>NULL</t>
        </is>
      </c>
      <c r="G142" t="inlineStr">
        <is>
          <t>NULL</t>
        </is>
      </c>
      <c r="H142" t="inlineStr">
        <is>
          <t>NULL</t>
        </is>
      </c>
      <c r="I142" t="inlineStr">
        <is>
          <t>NULL</t>
        </is>
      </c>
      <c r="J142" t="inlineStr">
        <is>
          <t>NULL</t>
        </is>
      </c>
      <c r="K142" t="inlineStr">
        <is>
          <t>YES! 	 c_char列源备映射正确，源端为char 1位	期望更改为char(n)	实际备端为char 4位</t>
        </is>
      </c>
    </row>
    <row r="143">
      <c r="B143" t="inlineStr">
        <is>
          <t>NULL</t>
        </is>
      </c>
      <c r="C143" t="inlineStr">
        <is>
          <t>NULL</t>
        </is>
      </c>
      <c r="D143" t="inlineStr">
        <is>
          <t>NULL</t>
        </is>
      </c>
      <c r="E143" t="inlineStr">
        <is>
          <t>NULL</t>
        </is>
      </c>
      <c r="F143" t="inlineStr">
        <is>
          <t>NULL</t>
        </is>
      </c>
      <c r="G143" t="inlineStr">
        <is>
          <t>NULL</t>
        </is>
      </c>
      <c r="H143" t="inlineStr">
        <is>
          <t>NULL</t>
        </is>
      </c>
      <c r="I143" t="inlineStr">
        <is>
          <t>NULL</t>
        </is>
      </c>
      <c r="J143" t="inlineStr">
        <is>
          <t>NULL</t>
        </is>
      </c>
      <c r="K143" t="inlineStr">
        <is>
          <t>YES! 	 c_char20列源备映射正确，源端为char 20位	期望更改为char(n)	实际备端为char 80位</t>
        </is>
      </c>
    </row>
    <row r="144">
      <c r="B144" t="inlineStr">
        <is>
          <t>NULL</t>
        </is>
      </c>
      <c r="C144" t="inlineStr">
        <is>
          <t>NULL</t>
        </is>
      </c>
      <c r="D144" t="inlineStr">
        <is>
          <t>NULL</t>
        </is>
      </c>
      <c r="E144" t="inlineStr">
        <is>
          <t>NULL</t>
        </is>
      </c>
      <c r="F144" t="inlineStr">
        <is>
          <t>NULL</t>
        </is>
      </c>
      <c r="G144" t="inlineStr">
        <is>
          <t>NULL</t>
        </is>
      </c>
      <c r="H144" t="inlineStr">
        <is>
          <t>NULL</t>
        </is>
      </c>
      <c r="I144" t="inlineStr">
        <is>
          <t>NULL</t>
        </is>
      </c>
      <c r="J144" t="inlineStr">
        <is>
          <t>NULL</t>
        </is>
      </c>
      <c r="K144" t="inlineStr">
        <is>
          <t>YES! 	 c_char8000列源备映射正确，源端为char 8000位	期望更改为text	实际备端为text 65535位</t>
        </is>
      </c>
    </row>
    <row r="145">
      <c r="A145" t="inlineStr">
        <is>
          <t>info_hierarchyid_dml_single_nopk</t>
        </is>
      </c>
      <c r="K145" t="inlineStr">
        <is>
          <t>[0;34m info_hierarchyid_dml_single_nopk [0m源备字段数相同，源端字段：2 	备端字段2</t>
        </is>
      </c>
      <c r="W145" t="inlineStr">
        <is>
          <t>YES 源备无差异</t>
        </is>
      </c>
      <c r="X145">
        <f>A145</f>
        <v/>
      </c>
    </row>
    <row r="146">
      <c r="B146" t="inlineStr">
        <is>
          <t>NULL</t>
        </is>
      </c>
      <c r="C146" t="inlineStr">
        <is>
          <t>NULL</t>
        </is>
      </c>
      <c r="D146" t="inlineStr">
        <is>
          <t>NULL</t>
        </is>
      </c>
      <c r="E146" t="inlineStr">
        <is>
          <t>NULL</t>
        </is>
      </c>
      <c r="F146" t="inlineStr">
        <is>
          <t>NULL</t>
        </is>
      </c>
      <c r="G146" t="inlineStr">
        <is>
          <t>NULL</t>
        </is>
      </c>
      <c r="H146" t="inlineStr">
        <is>
          <t>NULL</t>
        </is>
      </c>
      <c r="I146" t="inlineStr">
        <is>
          <t>NULL</t>
        </is>
      </c>
      <c r="J146" t="inlineStr">
        <is>
          <t>NULL</t>
        </is>
      </c>
      <c r="K146" t="inlineStr">
        <is>
          <t>YES! 	 id列源备映射正确，源端为int None位	期望更改为int	实际备端为int None位</t>
        </is>
      </c>
    </row>
    <row r="147">
      <c r="B147" t="inlineStr">
        <is>
          <t>NULL</t>
        </is>
      </c>
      <c r="C147" t="inlineStr">
        <is>
          <t>NO!源None备NUL</t>
        </is>
      </c>
      <c r="D147" t="inlineStr">
        <is>
          <t>NULL</t>
        </is>
      </c>
      <c r="E147" t="inlineStr">
        <is>
          <t>NULL</t>
        </is>
      </c>
      <c r="F147" t="inlineStr">
        <is>
          <t>NULL</t>
        </is>
      </c>
      <c r="G147" t="inlineStr">
        <is>
          <t>NULL</t>
        </is>
      </c>
      <c r="H147" t="inlineStr">
        <is>
          <t>NULL</t>
        </is>
      </c>
      <c r="I147" t="inlineStr">
        <is>
          <t>NULL</t>
        </is>
      </c>
      <c r="J147" t="inlineStr">
        <is>
          <t>NULL</t>
        </is>
      </c>
      <c r="K147" t="inlineStr">
        <is>
          <t>[0;32m YES! [0m 	 c_hierarchyid列源备映射正确，源端为hierarchyid 892位	期望更改为varchar(200)	实际备端为varchar 800位	位数精度不存在，通过长度比较</t>
        </is>
      </c>
    </row>
    <row r="148">
      <c r="A148" t="inlineStr">
        <is>
          <t>info_time_dml_batch1_pk_drp2</t>
        </is>
      </c>
      <c r="K148" t="inlineStr">
        <is>
          <t>[0;34m info_time_dml_batch1_pk_drp2 [0m源备字段数相同，源端字段：9 	备端字段9</t>
        </is>
      </c>
      <c r="W148" t="inlineStr">
        <is>
          <t>YES 源备无差异</t>
        </is>
      </c>
      <c r="X148">
        <f>A148</f>
        <v/>
      </c>
    </row>
    <row r="149">
      <c r="B149" t="inlineStr">
        <is>
          <t>YES</t>
        </is>
      </c>
      <c r="C149" t="inlineStr">
        <is>
          <t>NULL</t>
        </is>
      </c>
      <c r="D149" t="inlineStr">
        <is>
          <t>NULL</t>
        </is>
      </c>
      <c r="E149" t="inlineStr">
        <is>
          <t>NULL</t>
        </is>
      </c>
      <c r="F149" t="inlineStr">
        <is>
          <t>NULL</t>
        </is>
      </c>
      <c r="G149" t="inlineStr">
        <is>
          <t>NULL</t>
        </is>
      </c>
      <c r="H149" t="inlineStr">
        <is>
          <t>NULL</t>
        </is>
      </c>
      <c r="I149" t="inlineStr">
        <is>
          <t>YES!PK__info_tim__3213E83FA75E52F7</t>
        </is>
      </c>
      <c r="J149" t="inlineStr">
        <is>
          <t>YES! 主键相关索引</t>
        </is>
      </c>
      <c r="K149" t="inlineStr">
        <is>
          <t>YES! 	 id列源备映射正确，源端为int None位	期望更改为int	实际备端为int None位</t>
        </is>
      </c>
    </row>
    <row r="150">
      <c r="B150" t="inlineStr">
        <is>
          <t>NULL</t>
        </is>
      </c>
      <c r="C150" t="inlineStr">
        <is>
          <t>NULL</t>
        </is>
      </c>
      <c r="D150" t="inlineStr">
        <is>
          <t>NULL</t>
        </is>
      </c>
      <c r="E150" t="inlineStr">
        <is>
          <t>NULL</t>
        </is>
      </c>
      <c r="F150" t="inlineStr">
        <is>
          <t>NULL</t>
        </is>
      </c>
      <c r="G150" t="inlineStr">
        <is>
          <t>NULL</t>
        </is>
      </c>
      <c r="H150" t="inlineStr">
        <is>
          <t>NULL</t>
        </is>
      </c>
      <c r="I150" t="inlineStr">
        <is>
          <t>NULL</t>
        </is>
      </c>
      <c r="J150" t="inlineStr">
        <is>
          <t>NULL</t>
        </is>
      </c>
      <c r="K150" t="inlineStr">
        <is>
          <t>[0;32m YES! [0m 	 c_time0列源备映射正确，源端为time None位	期望更改为varchar(20)	实际备端为varchar 80位	位数精度不存在，通过长度比较</t>
        </is>
      </c>
    </row>
    <row r="151">
      <c r="B151" t="inlineStr">
        <is>
          <t>NULL</t>
        </is>
      </c>
      <c r="C151" t="inlineStr">
        <is>
          <t>NULL</t>
        </is>
      </c>
      <c r="D151" t="inlineStr">
        <is>
          <t>NULL</t>
        </is>
      </c>
      <c r="E151" t="inlineStr">
        <is>
          <t>NULL</t>
        </is>
      </c>
      <c r="F151" t="inlineStr">
        <is>
          <t>NULL</t>
        </is>
      </c>
      <c r="G151" t="inlineStr">
        <is>
          <t>NULL</t>
        </is>
      </c>
      <c r="H151" t="inlineStr">
        <is>
          <t>NULL</t>
        </is>
      </c>
      <c r="I151" t="inlineStr">
        <is>
          <t>NULL</t>
        </is>
      </c>
      <c r="J151" t="inlineStr">
        <is>
          <t>NULL</t>
        </is>
      </c>
      <c r="K151" t="inlineStr">
        <is>
          <t>[0;32m YES! [0m 	 c_time1列源备映射正确，源端为time None位	期望更改为varchar(20)	实际备端为varchar 80位	位数精度不存在，通过长度比较</t>
        </is>
      </c>
    </row>
    <row r="152">
      <c r="B152" t="inlineStr">
        <is>
          <t>NULL</t>
        </is>
      </c>
      <c r="C152" t="inlineStr">
        <is>
          <t>NULL</t>
        </is>
      </c>
      <c r="D152" t="inlineStr">
        <is>
          <t>NULL</t>
        </is>
      </c>
      <c r="E152" t="inlineStr">
        <is>
          <t>NULL</t>
        </is>
      </c>
      <c r="F152" t="inlineStr">
        <is>
          <t>NULL</t>
        </is>
      </c>
      <c r="G152" t="inlineStr">
        <is>
          <t>NULL</t>
        </is>
      </c>
      <c r="H152" t="inlineStr">
        <is>
          <t>NULL</t>
        </is>
      </c>
      <c r="I152" t="inlineStr">
        <is>
          <t>NULL</t>
        </is>
      </c>
      <c r="J152" t="inlineStr">
        <is>
          <t>NULL</t>
        </is>
      </c>
      <c r="K152" t="inlineStr">
        <is>
          <t>[0;32m YES! [0m 	 c_time2列源备映射正确，源端为time None位	期望更改为varchar(20)	实际备端为varchar 80位	位数精度不存在，通过长度比较</t>
        </is>
      </c>
    </row>
    <row r="153">
      <c r="B153" t="inlineStr">
        <is>
          <t>NULL</t>
        </is>
      </c>
      <c r="C153" t="inlineStr">
        <is>
          <t>NULL</t>
        </is>
      </c>
      <c r="D153" t="inlineStr">
        <is>
          <t>NULL</t>
        </is>
      </c>
      <c r="E153" t="inlineStr">
        <is>
          <t>NULL</t>
        </is>
      </c>
      <c r="F153" t="inlineStr">
        <is>
          <t>NULL</t>
        </is>
      </c>
      <c r="G153" t="inlineStr">
        <is>
          <t>NULL</t>
        </is>
      </c>
      <c r="H153" t="inlineStr">
        <is>
          <t>NULL</t>
        </is>
      </c>
      <c r="I153" t="inlineStr">
        <is>
          <t>NULL</t>
        </is>
      </c>
      <c r="J153" t="inlineStr">
        <is>
          <t>NULL</t>
        </is>
      </c>
      <c r="K153" t="inlineStr">
        <is>
          <t>[0;32m YES! [0m 	 c_time3列源备映射正确，源端为time None位	期望更改为varchar(20)	实际备端为varchar 80位	位数精度不存在，通过长度比较</t>
        </is>
      </c>
    </row>
    <row r="154">
      <c r="B154" t="inlineStr">
        <is>
          <t>NULL</t>
        </is>
      </c>
      <c r="C154" t="inlineStr">
        <is>
          <t>NULL</t>
        </is>
      </c>
      <c r="D154" t="inlineStr">
        <is>
          <t>NULL</t>
        </is>
      </c>
      <c r="E154" t="inlineStr">
        <is>
          <t>NULL</t>
        </is>
      </c>
      <c r="F154" t="inlineStr">
        <is>
          <t>NULL</t>
        </is>
      </c>
      <c r="G154" t="inlineStr">
        <is>
          <t>NULL</t>
        </is>
      </c>
      <c r="H154" t="inlineStr">
        <is>
          <t>NULL</t>
        </is>
      </c>
      <c r="I154" t="inlineStr">
        <is>
          <t>NULL</t>
        </is>
      </c>
      <c r="J154" t="inlineStr">
        <is>
          <t>NULL</t>
        </is>
      </c>
      <c r="K154" t="inlineStr">
        <is>
          <t>[0;32m YES! [0m 	 c_time4列源备映射正确，源端为time None位	期望更改为varchar(20)	实际备端为varchar 80位	位数精度不存在，通过长度比较</t>
        </is>
      </c>
    </row>
    <row r="155">
      <c r="B155" t="inlineStr">
        <is>
          <t>NULL</t>
        </is>
      </c>
      <c r="C155" t="inlineStr">
        <is>
          <t>NULL</t>
        </is>
      </c>
      <c r="D155" t="inlineStr">
        <is>
          <t>NULL</t>
        </is>
      </c>
      <c r="E155" t="inlineStr">
        <is>
          <t>NULL</t>
        </is>
      </c>
      <c r="F155" t="inlineStr">
        <is>
          <t>NULL</t>
        </is>
      </c>
      <c r="G155" t="inlineStr">
        <is>
          <t>NULL</t>
        </is>
      </c>
      <c r="H155" t="inlineStr">
        <is>
          <t>NULL</t>
        </is>
      </c>
      <c r="I155" t="inlineStr">
        <is>
          <t>NULL</t>
        </is>
      </c>
      <c r="J155" t="inlineStr">
        <is>
          <t>NULL</t>
        </is>
      </c>
      <c r="K155" t="inlineStr">
        <is>
          <t>[0;32m YES! [0m 	 c_time5列源备映射正确，源端为time None位	期望更改为varchar(20)	实际备端为varchar 80位	位数精度不存在，通过长度比较</t>
        </is>
      </c>
    </row>
    <row r="156">
      <c r="B156" t="inlineStr">
        <is>
          <t>NULL</t>
        </is>
      </c>
      <c r="C156" t="inlineStr">
        <is>
          <t>NULL</t>
        </is>
      </c>
      <c r="D156" t="inlineStr">
        <is>
          <t>NULL</t>
        </is>
      </c>
      <c r="E156" t="inlineStr">
        <is>
          <t>NULL</t>
        </is>
      </c>
      <c r="F156" t="inlineStr">
        <is>
          <t>NULL</t>
        </is>
      </c>
      <c r="G156" t="inlineStr">
        <is>
          <t>NULL</t>
        </is>
      </c>
      <c r="H156" t="inlineStr">
        <is>
          <t>NULL</t>
        </is>
      </c>
      <c r="I156" t="inlineStr">
        <is>
          <t>NULL</t>
        </is>
      </c>
      <c r="J156" t="inlineStr">
        <is>
          <t>NULL</t>
        </is>
      </c>
      <c r="K156" t="inlineStr">
        <is>
          <t>[0;32m YES! [0m 	 c_time6列源备映射正确，源端为time None位	期望更改为varchar(20)	实际备端为varchar 80位	位数精度不存在，通过长度比较</t>
        </is>
      </c>
    </row>
    <row r="157">
      <c r="B157" t="inlineStr">
        <is>
          <t>NULL</t>
        </is>
      </c>
      <c r="C157" t="inlineStr">
        <is>
          <t>NULL</t>
        </is>
      </c>
      <c r="D157" t="inlineStr">
        <is>
          <t>NULL</t>
        </is>
      </c>
      <c r="E157" t="inlineStr">
        <is>
          <t>NULL</t>
        </is>
      </c>
      <c r="F157" t="inlineStr">
        <is>
          <t>NULL</t>
        </is>
      </c>
      <c r="G157" t="inlineStr">
        <is>
          <t>NULL</t>
        </is>
      </c>
      <c r="H157" t="inlineStr">
        <is>
          <t>NULL</t>
        </is>
      </c>
      <c r="I157" t="inlineStr">
        <is>
          <t>NULL</t>
        </is>
      </c>
      <c r="J157" t="inlineStr">
        <is>
          <t>NULL</t>
        </is>
      </c>
      <c r="K157" t="inlineStr">
        <is>
          <t>[0;32m YES! [0m 	 c_time列源备映射正确，源端为time None位	期望更改为varchar(20)	实际备端为varchar 80位	位数精度不存在，通过长度比较</t>
        </is>
      </c>
    </row>
    <row r="158">
      <c r="A158" t="inlineStr">
        <is>
          <t>info_char_dml_single_pk_urp</t>
        </is>
      </c>
      <c r="K158" t="inlineStr">
        <is>
          <t>[0;34m info_char_dml_single_pk_urp [0m源备字段数相同，源端字段：4 	备端字段4</t>
        </is>
      </c>
      <c r="W158" s="15">
        <f>HYPERLINK("#2026052610mysql0!AG2","NO 源备存在差异，共6个")</f>
        <v/>
      </c>
      <c r="X158">
        <f>A158</f>
        <v/>
      </c>
    </row>
    <row r="159">
      <c r="B159" t="inlineStr">
        <is>
          <t>YES</t>
        </is>
      </c>
      <c r="C159" t="inlineStr">
        <is>
          <t>NULL</t>
        </is>
      </c>
      <c r="D159" t="inlineStr">
        <is>
          <t>NULL</t>
        </is>
      </c>
      <c r="E159" t="inlineStr">
        <is>
          <t>NULL</t>
        </is>
      </c>
      <c r="F159" t="inlineStr">
        <is>
          <t>NULL</t>
        </is>
      </c>
      <c r="G159" t="inlineStr">
        <is>
          <t>NULL</t>
        </is>
      </c>
      <c r="H159" t="inlineStr">
        <is>
          <t>NULL</t>
        </is>
      </c>
      <c r="I159" t="inlineStr">
        <is>
          <t>YES!PK__info_cha__3213E83FD6E1F870</t>
        </is>
      </c>
      <c r="J159" t="inlineStr">
        <is>
          <t>YES! 主键相关索引</t>
        </is>
      </c>
      <c r="K159" t="inlineStr">
        <is>
          <t>YES! 	 id列源备映射正确，源端为int None位	期望更改为int	实际备端为int None位</t>
        </is>
      </c>
    </row>
    <row r="160">
      <c r="B160" t="inlineStr">
        <is>
          <t>NULL</t>
        </is>
      </c>
      <c r="C160" t="inlineStr">
        <is>
          <t>NULL</t>
        </is>
      </c>
      <c r="D160" t="inlineStr">
        <is>
          <t>NULL</t>
        </is>
      </c>
      <c r="E160" t="inlineStr">
        <is>
          <t>NULL</t>
        </is>
      </c>
      <c r="F160" t="inlineStr">
        <is>
          <t>NULL</t>
        </is>
      </c>
      <c r="G160" t="inlineStr">
        <is>
          <t>NULL</t>
        </is>
      </c>
      <c r="H160" t="inlineStr">
        <is>
          <t>NULL</t>
        </is>
      </c>
      <c r="I160" t="inlineStr">
        <is>
          <t>NULL</t>
        </is>
      </c>
      <c r="J160" t="inlineStr">
        <is>
          <t>NULL</t>
        </is>
      </c>
      <c r="K160" t="inlineStr">
        <is>
          <t>YES! 	 c_char列源备映射正确，源端为char 1位	期望更改为char(n)	实际备端为char 4位</t>
        </is>
      </c>
    </row>
    <row r="161">
      <c r="B161" t="inlineStr">
        <is>
          <t>NULL</t>
        </is>
      </c>
      <c r="C161" t="inlineStr">
        <is>
          <t>NULL</t>
        </is>
      </c>
      <c r="D161" t="inlineStr">
        <is>
          <t>NULL</t>
        </is>
      </c>
      <c r="E161" t="inlineStr">
        <is>
          <t>NULL</t>
        </is>
      </c>
      <c r="F161" t="inlineStr">
        <is>
          <t>NULL</t>
        </is>
      </c>
      <c r="G161" t="inlineStr">
        <is>
          <t>NULL</t>
        </is>
      </c>
      <c r="H161" t="inlineStr">
        <is>
          <t>NULL</t>
        </is>
      </c>
      <c r="I161" t="inlineStr">
        <is>
          <t>NULL</t>
        </is>
      </c>
      <c r="J161" t="inlineStr">
        <is>
          <t>NULL</t>
        </is>
      </c>
      <c r="K161" t="inlineStr">
        <is>
          <t>YES! 	 c_char20列源备映射正确，源端为char 20位	期望更改为char(n)	实际备端为char 80位</t>
        </is>
      </c>
    </row>
    <row r="162">
      <c r="B162" t="inlineStr">
        <is>
          <t>NULL</t>
        </is>
      </c>
      <c r="C162" t="inlineStr">
        <is>
          <t>NULL</t>
        </is>
      </c>
      <c r="D162" t="inlineStr">
        <is>
          <t>NULL</t>
        </is>
      </c>
      <c r="E162" t="inlineStr">
        <is>
          <t>NULL</t>
        </is>
      </c>
      <c r="F162" t="inlineStr">
        <is>
          <t>NULL</t>
        </is>
      </c>
      <c r="G162" t="inlineStr">
        <is>
          <t>NULL</t>
        </is>
      </c>
      <c r="H162" t="inlineStr">
        <is>
          <t>NULL</t>
        </is>
      </c>
      <c r="I162" t="inlineStr">
        <is>
          <t>NULL</t>
        </is>
      </c>
      <c r="J162" t="inlineStr">
        <is>
          <t>NULL</t>
        </is>
      </c>
      <c r="K162" t="inlineStr">
        <is>
          <t>YES! 	 c_char7000列源备映射正确，源端为char 7000位	期望更改为text	实际备端为text 65535位</t>
        </is>
      </c>
    </row>
    <row r="163">
      <c r="A163" t="inlineStr">
        <is>
          <t>info_hierarchyid_dml_single_pk_urp</t>
        </is>
      </c>
      <c r="K163" t="inlineStr">
        <is>
          <t>[0;34m info_hierarchyid_dml_single_pk_urp [0m源备字段数相同，源端字段：2 	备端字段2</t>
        </is>
      </c>
      <c r="W163" t="inlineStr">
        <is>
          <t>YES 源备无差异</t>
        </is>
      </c>
      <c r="X163">
        <f>A163</f>
        <v/>
      </c>
    </row>
    <row r="164">
      <c r="B164" t="inlineStr">
        <is>
          <t>YES</t>
        </is>
      </c>
      <c r="C164" t="inlineStr">
        <is>
          <t>NULL</t>
        </is>
      </c>
      <c r="D164" t="inlineStr">
        <is>
          <t>NULL</t>
        </is>
      </c>
      <c r="E164" t="inlineStr">
        <is>
          <t>NULL</t>
        </is>
      </c>
      <c r="F164" t="inlineStr">
        <is>
          <t>NULL</t>
        </is>
      </c>
      <c r="G164" t="inlineStr">
        <is>
          <t>NULL</t>
        </is>
      </c>
      <c r="H164" t="inlineStr">
        <is>
          <t>NULL</t>
        </is>
      </c>
      <c r="I164" t="inlineStr">
        <is>
          <t>YES!PK__info_hie__3213E83F2943E668</t>
        </is>
      </c>
      <c r="J164" t="inlineStr">
        <is>
          <t>YES! 主键相关索引</t>
        </is>
      </c>
      <c r="K164" t="inlineStr">
        <is>
          <t>YES! 	 id列源备映射正确，源端为int None位	期望更改为int	实际备端为int None位</t>
        </is>
      </c>
    </row>
    <row r="165">
      <c r="B165" t="inlineStr">
        <is>
          <t>NULL</t>
        </is>
      </c>
      <c r="C165" t="inlineStr">
        <is>
          <t>NULL</t>
        </is>
      </c>
      <c r="D165" t="inlineStr">
        <is>
          <t>NULL</t>
        </is>
      </c>
      <c r="E165" t="inlineStr">
        <is>
          <t>NULL</t>
        </is>
      </c>
      <c r="F165" t="inlineStr">
        <is>
          <t>NULL</t>
        </is>
      </c>
      <c r="G165" t="inlineStr">
        <is>
          <t>NULL</t>
        </is>
      </c>
      <c r="H165" t="inlineStr">
        <is>
          <t>NULL</t>
        </is>
      </c>
      <c r="I165" t="inlineStr">
        <is>
          <t>NULL</t>
        </is>
      </c>
      <c r="J165" t="inlineStr">
        <is>
          <t>NULL</t>
        </is>
      </c>
      <c r="K165" t="inlineStr">
        <is>
          <t>[0;32m YES! [0m 	 c_hierarchyid列源备映射正确，源端为hierarchyid 892位	期望更改为varchar(200)	实际备端为varchar 800位	位数精度不存在，通过长度比较</t>
        </is>
      </c>
    </row>
    <row r="166">
      <c r="A166" t="inlineStr">
        <is>
          <t>info_char_dml_batch1_pk_irp2</t>
        </is>
      </c>
      <c r="K166" t="inlineStr">
        <is>
          <t>[0;34m info_char_dml_batch1_pk_irp2 [0m源备字段数相同，源端字段：4 	备端字段4</t>
        </is>
      </c>
      <c r="W166" s="15">
        <f>HYPERLINK("#2026052610mysql0!AH2","NO 源备存在差异，共38个")</f>
        <v/>
      </c>
      <c r="X166">
        <f>A166</f>
        <v/>
      </c>
    </row>
    <row r="167">
      <c r="B167" t="inlineStr">
        <is>
          <t>YES</t>
        </is>
      </c>
      <c r="C167" t="inlineStr">
        <is>
          <t>NULL</t>
        </is>
      </c>
      <c r="D167" t="inlineStr">
        <is>
          <t>NULL</t>
        </is>
      </c>
      <c r="E167" t="inlineStr">
        <is>
          <t>NULL</t>
        </is>
      </c>
      <c r="F167" t="inlineStr">
        <is>
          <t>NULL</t>
        </is>
      </c>
      <c r="G167" t="inlineStr">
        <is>
          <t>NULL</t>
        </is>
      </c>
      <c r="H167" t="inlineStr">
        <is>
          <t>NULL</t>
        </is>
      </c>
      <c r="I167" t="inlineStr">
        <is>
          <t>YES!PK__info_cha__3213E83FC0741F30</t>
        </is>
      </c>
      <c r="J167" t="inlineStr">
        <is>
          <t>YES! 主键相关索引</t>
        </is>
      </c>
      <c r="K167" t="inlineStr">
        <is>
          <t>YES! 	 id列源备映射正确，源端为int None位	期望更改为int	实际备端为int None位</t>
        </is>
      </c>
    </row>
    <row r="168">
      <c r="B168" t="inlineStr">
        <is>
          <t>NULL</t>
        </is>
      </c>
      <c r="C168" t="inlineStr">
        <is>
          <t>NULL</t>
        </is>
      </c>
      <c r="D168" t="inlineStr">
        <is>
          <t>NULL</t>
        </is>
      </c>
      <c r="E168" t="inlineStr">
        <is>
          <t>NULL</t>
        </is>
      </c>
      <c r="F168" t="inlineStr">
        <is>
          <t>NULL</t>
        </is>
      </c>
      <c r="G168" t="inlineStr">
        <is>
          <t>NULL</t>
        </is>
      </c>
      <c r="H168" t="inlineStr">
        <is>
          <t>NULL</t>
        </is>
      </c>
      <c r="I168" t="inlineStr">
        <is>
          <t>NULL</t>
        </is>
      </c>
      <c r="J168" t="inlineStr">
        <is>
          <t>NULL</t>
        </is>
      </c>
      <c r="K168" t="inlineStr">
        <is>
          <t>YES! 	 c_char列源备映射正确，源端为char 1位	期望更改为char(n)	实际备端为char 4位</t>
        </is>
      </c>
    </row>
    <row r="169">
      <c r="B169" t="inlineStr">
        <is>
          <t>NULL</t>
        </is>
      </c>
      <c r="C169" t="inlineStr">
        <is>
          <t>NULL</t>
        </is>
      </c>
      <c r="D169" t="inlineStr">
        <is>
          <t>NULL</t>
        </is>
      </c>
      <c r="E169" t="inlineStr">
        <is>
          <t>NULL</t>
        </is>
      </c>
      <c r="F169" t="inlineStr">
        <is>
          <t>NULL</t>
        </is>
      </c>
      <c r="G169" t="inlineStr">
        <is>
          <t>NULL</t>
        </is>
      </c>
      <c r="H169" t="inlineStr">
        <is>
          <t>NULL</t>
        </is>
      </c>
      <c r="I169" t="inlineStr">
        <is>
          <t>NULL</t>
        </is>
      </c>
      <c r="J169" t="inlineStr">
        <is>
          <t>NULL</t>
        </is>
      </c>
      <c r="K169" t="inlineStr">
        <is>
          <t>YES! 	 c_char20列源备映射正确，源端为char 20位	期望更改为char(n)	实际备端为char 80位</t>
        </is>
      </c>
    </row>
    <row r="170">
      <c r="B170" t="inlineStr">
        <is>
          <t>NULL</t>
        </is>
      </c>
      <c r="C170" t="inlineStr">
        <is>
          <t>NULL</t>
        </is>
      </c>
      <c r="D170" t="inlineStr">
        <is>
          <t>NULL</t>
        </is>
      </c>
      <c r="E170" t="inlineStr">
        <is>
          <t>NULL</t>
        </is>
      </c>
      <c r="F170" t="inlineStr">
        <is>
          <t>NULL</t>
        </is>
      </c>
      <c r="G170" t="inlineStr">
        <is>
          <t>NULL</t>
        </is>
      </c>
      <c r="H170" t="inlineStr">
        <is>
          <t>NULL</t>
        </is>
      </c>
      <c r="I170" t="inlineStr">
        <is>
          <t>NULL</t>
        </is>
      </c>
      <c r="J170" t="inlineStr">
        <is>
          <t>NULL</t>
        </is>
      </c>
      <c r="K170" t="inlineStr">
        <is>
          <t>YES! 	 c_char8000列源备映射正确，源端为char 8000位	期望更改为text	实际备端为text 65535位</t>
        </is>
      </c>
    </row>
    <row r="171">
      <c r="A171" t="inlineStr">
        <is>
          <t>info_time_dml_batch1_pk</t>
        </is>
      </c>
      <c r="K171" t="inlineStr">
        <is>
          <t>[0;34m info_time_dml_batch1_pk [0m源备字段数相同，源端字段：9 	备端字段9</t>
        </is>
      </c>
      <c r="W171" t="inlineStr">
        <is>
          <t>YES 源备无差异</t>
        </is>
      </c>
      <c r="X171">
        <f>A171</f>
        <v/>
      </c>
    </row>
    <row r="172">
      <c r="B172" t="inlineStr">
        <is>
          <t>YES</t>
        </is>
      </c>
      <c r="C172" t="inlineStr">
        <is>
          <t>NULL</t>
        </is>
      </c>
      <c r="D172" t="inlineStr">
        <is>
          <t>NULL</t>
        </is>
      </c>
      <c r="E172" t="inlineStr">
        <is>
          <t>NULL</t>
        </is>
      </c>
      <c r="F172" t="inlineStr">
        <is>
          <t>NULL</t>
        </is>
      </c>
      <c r="G172" t="inlineStr">
        <is>
          <t>NULL</t>
        </is>
      </c>
      <c r="H172" t="inlineStr">
        <is>
          <t>NULL</t>
        </is>
      </c>
      <c r="I172" t="inlineStr">
        <is>
          <t>YES!PK__info_tim__3213E83F7708C811</t>
        </is>
      </c>
      <c r="J172" t="inlineStr">
        <is>
          <t>YES! 主键相关索引</t>
        </is>
      </c>
      <c r="K172" t="inlineStr">
        <is>
          <t>YES! 	 id列源备映射正确，源端为int None位	期望更改为int	实际备端为int None位</t>
        </is>
      </c>
    </row>
    <row r="173">
      <c r="B173" t="inlineStr">
        <is>
          <t>NULL</t>
        </is>
      </c>
      <c r="C173" t="inlineStr">
        <is>
          <t>NULL</t>
        </is>
      </c>
      <c r="D173" t="inlineStr">
        <is>
          <t>NULL</t>
        </is>
      </c>
      <c r="E173" t="inlineStr">
        <is>
          <t>NULL</t>
        </is>
      </c>
      <c r="F173" t="inlineStr">
        <is>
          <t>NULL</t>
        </is>
      </c>
      <c r="G173" t="inlineStr">
        <is>
          <t>NULL</t>
        </is>
      </c>
      <c r="H173" t="inlineStr">
        <is>
          <t>NULL</t>
        </is>
      </c>
      <c r="I173" t="inlineStr">
        <is>
          <t>NULL</t>
        </is>
      </c>
      <c r="J173" t="inlineStr">
        <is>
          <t>NULL</t>
        </is>
      </c>
      <c r="K173" t="inlineStr">
        <is>
          <t>[0;32m YES! [0m 	 c_time0列源备映射正确，源端为time None位	期望更改为varchar(20)	实际备端为varchar 80位	位数精度不存在，通过长度比较</t>
        </is>
      </c>
    </row>
    <row r="174">
      <c r="B174" t="inlineStr">
        <is>
          <t>NULL</t>
        </is>
      </c>
      <c r="C174" t="inlineStr">
        <is>
          <t>NULL</t>
        </is>
      </c>
      <c r="D174" t="inlineStr">
        <is>
          <t>NULL</t>
        </is>
      </c>
      <c r="E174" t="inlineStr">
        <is>
          <t>NULL</t>
        </is>
      </c>
      <c r="F174" t="inlineStr">
        <is>
          <t>NULL</t>
        </is>
      </c>
      <c r="G174" t="inlineStr">
        <is>
          <t>NULL</t>
        </is>
      </c>
      <c r="H174" t="inlineStr">
        <is>
          <t>NULL</t>
        </is>
      </c>
      <c r="I174" t="inlineStr">
        <is>
          <t>NULL</t>
        </is>
      </c>
      <c r="J174" t="inlineStr">
        <is>
          <t>NULL</t>
        </is>
      </c>
      <c r="K174" t="inlineStr">
        <is>
          <t>[0;32m YES! [0m 	 c_time1列源备映射正确，源端为time None位	期望更改为varchar(20)	实际备端为varchar 80位	位数精度不存在，通过长度比较</t>
        </is>
      </c>
    </row>
    <row r="175">
      <c r="B175" t="inlineStr">
        <is>
          <t>NULL</t>
        </is>
      </c>
      <c r="C175" t="inlineStr">
        <is>
          <t>NULL</t>
        </is>
      </c>
      <c r="D175" t="inlineStr">
        <is>
          <t>NULL</t>
        </is>
      </c>
      <c r="E175" t="inlineStr">
        <is>
          <t>NULL</t>
        </is>
      </c>
      <c r="F175" t="inlineStr">
        <is>
          <t>NULL</t>
        </is>
      </c>
      <c r="G175" t="inlineStr">
        <is>
          <t>NULL</t>
        </is>
      </c>
      <c r="H175" t="inlineStr">
        <is>
          <t>NULL</t>
        </is>
      </c>
      <c r="I175" t="inlineStr">
        <is>
          <t>NULL</t>
        </is>
      </c>
      <c r="J175" t="inlineStr">
        <is>
          <t>NULL</t>
        </is>
      </c>
      <c r="K175" t="inlineStr">
        <is>
          <t>[0;32m YES! [0m 	 c_time2列源备映射正确，源端为time None位	期望更改为varchar(20)	实际备端为varchar 80位	位数精度不存在，通过长度比较</t>
        </is>
      </c>
    </row>
    <row r="176">
      <c r="B176" t="inlineStr">
        <is>
          <t>NULL</t>
        </is>
      </c>
      <c r="C176" t="inlineStr">
        <is>
          <t>NULL</t>
        </is>
      </c>
      <c r="D176" t="inlineStr">
        <is>
          <t>NULL</t>
        </is>
      </c>
      <c r="E176" t="inlineStr">
        <is>
          <t>NULL</t>
        </is>
      </c>
      <c r="F176" t="inlineStr">
        <is>
          <t>NULL</t>
        </is>
      </c>
      <c r="G176" t="inlineStr">
        <is>
          <t>NULL</t>
        </is>
      </c>
      <c r="H176" t="inlineStr">
        <is>
          <t>NULL</t>
        </is>
      </c>
      <c r="I176" t="inlineStr">
        <is>
          <t>NULL</t>
        </is>
      </c>
      <c r="J176" t="inlineStr">
        <is>
          <t>NULL</t>
        </is>
      </c>
      <c r="K176" t="inlineStr">
        <is>
          <t>[0;32m YES! [0m 	 c_time3列源备映射正确，源端为time None位	期望更改为varchar(20)	实际备端为varchar 80位	位数精度不存在，通过长度比较</t>
        </is>
      </c>
    </row>
    <row r="177">
      <c r="B177" t="inlineStr">
        <is>
          <t>NULL</t>
        </is>
      </c>
      <c r="C177" t="inlineStr">
        <is>
          <t>NULL</t>
        </is>
      </c>
      <c r="D177" t="inlineStr">
        <is>
          <t>NULL</t>
        </is>
      </c>
      <c r="E177" t="inlineStr">
        <is>
          <t>NULL</t>
        </is>
      </c>
      <c r="F177" t="inlineStr">
        <is>
          <t>NULL</t>
        </is>
      </c>
      <c r="G177" t="inlineStr">
        <is>
          <t>NULL</t>
        </is>
      </c>
      <c r="H177" t="inlineStr">
        <is>
          <t>NULL</t>
        </is>
      </c>
      <c r="I177" t="inlineStr">
        <is>
          <t>NULL</t>
        </is>
      </c>
      <c r="J177" t="inlineStr">
        <is>
          <t>NULL</t>
        </is>
      </c>
      <c r="K177" t="inlineStr">
        <is>
          <t>[0;32m YES! [0m 	 c_time4列源备映射正确，源端为time None位	期望更改为varchar(20)	实际备端为varchar 80位	位数精度不存在，通过长度比较</t>
        </is>
      </c>
    </row>
    <row r="178">
      <c r="B178" t="inlineStr">
        <is>
          <t>NULL</t>
        </is>
      </c>
      <c r="C178" t="inlineStr">
        <is>
          <t>NULL</t>
        </is>
      </c>
      <c r="D178" t="inlineStr">
        <is>
          <t>NULL</t>
        </is>
      </c>
      <c r="E178" t="inlineStr">
        <is>
          <t>NULL</t>
        </is>
      </c>
      <c r="F178" t="inlineStr">
        <is>
          <t>NULL</t>
        </is>
      </c>
      <c r="G178" t="inlineStr">
        <is>
          <t>NULL</t>
        </is>
      </c>
      <c r="H178" t="inlineStr">
        <is>
          <t>NULL</t>
        </is>
      </c>
      <c r="I178" t="inlineStr">
        <is>
          <t>NULL</t>
        </is>
      </c>
      <c r="J178" t="inlineStr">
        <is>
          <t>NULL</t>
        </is>
      </c>
      <c r="K178" t="inlineStr">
        <is>
          <t>[0;32m YES! [0m 	 c_time5列源备映射正确，源端为time None位	期望更改为varchar(20)	实际备端为varchar 80位	位数精度不存在，通过长度比较</t>
        </is>
      </c>
    </row>
    <row r="179">
      <c r="B179" t="inlineStr">
        <is>
          <t>NULL</t>
        </is>
      </c>
      <c r="C179" t="inlineStr">
        <is>
          <t>NULL</t>
        </is>
      </c>
      <c r="D179" t="inlineStr">
        <is>
          <t>NULL</t>
        </is>
      </c>
      <c r="E179" t="inlineStr">
        <is>
          <t>NULL</t>
        </is>
      </c>
      <c r="F179" t="inlineStr">
        <is>
          <t>NULL</t>
        </is>
      </c>
      <c r="G179" t="inlineStr">
        <is>
          <t>NULL</t>
        </is>
      </c>
      <c r="H179" t="inlineStr">
        <is>
          <t>NULL</t>
        </is>
      </c>
      <c r="I179" t="inlineStr">
        <is>
          <t>NULL</t>
        </is>
      </c>
      <c r="J179" t="inlineStr">
        <is>
          <t>NULL</t>
        </is>
      </c>
      <c r="K179" t="inlineStr">
        <is>
          <t>[0;32m YES! [0m 	 c_time6列源备映射正确，源端为time None位	期望更改为varchar(20)	实际备端为varchar 80位	位数精度不存在，通过长度比较</t>
        </is>
      </c>
    </row>
    <row r="180">
      <c r="B180" t="inlineStr">
        <is>
          <t>NULL</t>
        </is>
      </c>
      <c r="C180" t="inlineStr">
        <is>
          <t>NULL</t>
        </is>
      </c>
      <c r="D180" t="inlineStr">
        <is>
          <t>NULL</t>
        </is>
      </c>
      <c r="E180" t="inlineStr">
        <is>
          <t>NULL</t>
        </is>
      </c>
      <c r="F180" t="inlineStr">
        <is>
          <t>NULL</t>
        </is>
      </c>
      <c r="G180" t="inlineStr">
        <is>
          <t>NULL</t>
        </is>
      </c>
      <c r="H180" t="inlineStr">
        <is>
          <t>NULL</t>
        </is>
      </c>
      <c r="I180" t="inlineStr">
        <is>
          <t>NULL</t>
        </is>
      </c>
      <c r="J180" t="inlineStr">
        <is>
          <t>NULL</t>
        </is>
      </c>
      <c r="K180" t="inlineStr">
        <is>
          <t>[0;32m YES! [0m 	 c_time列源备映射正确，源端为time None位	期望更改为varchar(20)	实际备端为varchar 80位	位数精度不存在，通过长度比较</t>
        </is>
      </c>
    </row>
    <row r="181">
      <c r="A181" t="inlineStr">
        <is>
          <t>info_char_dml_batch1_pk_urp1</t>
        </is>
      </c>
      <c r="K181" t="inlineStr">
        <is>
          <t>[0;34m info_char_dml_batch1_pk_urp1 [0m源备字段数相同，源端字段：4 	备端字段4</t>
        </is>
      </c>
      <c r="W181" s="15">
        <f>HYPERLINK("#2026052610mysql0!AI2","NO 源备存在差异，共4个")</f>
        <v/>
      </c>
      <c r="X181">
        <f>A181</f>
        <v/>
      </c>
    </row>
    <row r="182">
      <c r="B182" t="inlineStr">
        <is>
          <t>YES</t>
        </is>
      </c>
      <c r="C182" t="inlineStr">
        <is>
          <t>NULL</t>
        </is>
      </c>
      <c r="D182" t="inlineStr">
        <is>
          <t>NULL</t>
        </is>
      </c>
      <c r="E182" t="inlineStr">
        <is>
          <t>NULL</t>
        </is>
      </c>
      <c r="F182" t="inlineStr">
        <is>
          <t>NULL</t>
        </is>
      </c>
      <c r="G182" t="inlineStr">
        <is>
          <t>NULL</t>
        </is>
      </c>
      <c r="H182" t="inlineStr">
        <is>
          <t>NULL</t>
        </is>
      </c>
      <c r="I182" t="inlineStr">
        <is>
          <t>YES!PK__info_cha__3213E83F919F0F13</t>
        </is>
      </c>
      <c r="J182" t="inlineStr">
        <is>
          <t>YES! 主键相关索引</t>
        </is>
      </c>
      <c r="K182" t="inlineStr">
        <is>
          <t>YES! 	 id列源备映射正确，源端为int None位	期望更改为int	实际备端为int None位</t>
        </is>
      </c>
    </row>
    <row r="183">
      <c r="B183" t="inlineStr">
        <is>
          <t>NULL</t>
        </is>
      </c>
      <c r="C183" t="inlineStr">
        <is>
          <t>NULL</t>
        </is>
      </c>
      <c r="D183" t="inlineStr">
        <is>
          <t>NULL</t>
        </is>
      </c>
      <c r="E183" t="inlineStr">
        <is>
          <t>NULL</t>
        </is>
      </c>
      <c r="F183" t="inlineStr">
        <is>
          <t>NULL</t>
        </is>
      </c>
      <c r="G183" t="inlineStr">
        <is>
          <t>NULL</t>
        </is>
      </c>
      <c r="H183" t="inlineStr">
        <is>
          <t>NULL</t>
        </is>
      </c>
      <c r="I183" t="inlineStr">
        <is>
          <t>NULL</t>
        </is>
      </c>
      <c r="J183" t="inlineStr">
        <is>
          <t>NULL</t>
        </is>
      </c>
      <c r="K183" t="inlineStr">
        <is>
          <t>YES! 	 c_char列源备映射正确，源端为char 1位	期望更改为char(n)	实际备端为char 4位</t>
        </is>
      </c>
    </row>
    <row r="184">
      <c r="B184" t="inlineStr">
        <is>
          <t>NULL</t>
        </is>
      </c>
      <c r="C184" t="inlineStr">
        <is>
          <t>NULL</t>
        </is>
      </c>
      <c r="D184" t="inlineStr">
        <is>
          <t>NULL</t>
        </is>
      </c>
      <c r="E184" t="inlineStr">
        <is>
          <t>NULL</t>
        </is>
      </c>
      <c r="F184" t="inlineStr">
        <is>
          <t>NULL</t>
        </is>
      </c>
      <c r="G184" t="inlineStr">
        <is>
          <t>NULL</t>
        </is>
      </c>
      <c r="H184" t="inlineStr">
        <is>
          <t>NULL</t>
        </is>
      </c>
      <c r="I184" t="inlineStr">
        <is>
          <t>NULL</t>
        </is>
      </c>
      <c r="J184" t="inlineStr">
        <is>
          <t>NULL</t>
        </is>
      </c>
      <c r="K184" t="inlineStr">
        <is>
          <t>YES! 	 c_char20列源备映射正确，源端为char 20位	期望更改为char(n)	实际备端为char 80位</t>
        </is>
      </c>
    </row>
    <row r="185">
      <c r="B185" t="inlineStr">
        <is>
          <t>NULL</t>
        </is>
      </c>
      <c r="C185" t="inlineStr">
        <is>
          <t>NULL</t>
        </is>
      </c>
      <c r="D185" t="inlineStr">
        <is>
          <t>NULL</t>
        </is>
      </c>
      <c r="E185" t="inlineStr">
        <is>
          <t>NULL</t>
        </is>
      </c>
      <c r="F185" t="inlineStr">
        <is>
          <t>NULL</t>
        </is>
      </c>
      <c r="G185" t="inlineStr">
        <is>
          <t>NULL</t>
        </is>
      </c>
      <c r="H185" t="inlineStr">
        <is>
          <t>NULL</t>
        </is>
      </c>
      <c r="I185" t="inlineStr">
        <is>
          <t>NULL</t>
        </is>
      </c>
      <c r="J185" t="inlineStr">
        <is>
          <t>NULL</t>
        </is>
      </c>
      <c r="K185" t="inlineStr">
        <is>
          <t>YES! 	 c_char7000列源备映射正确，源端为char 7000位	期望更改为text	实际备端为text 65535位</t>
        </is>
      </c>
    </row>
    <row r="186">
      <c r="A186" t="inlineStr">
        <is>
          <t>info_char_dml_single_pk_drp</t>
        </is>
      </c>
      <c r="K186" t="inlineStr">
        <is>
          <t>[0;34m info_char_dml_single_pk_drp [0m源备字段数相同，源端字段：4 	备端字段4</t>
        </is>
      </c>
      <c r="W186" s="15">
        <f>HYPERLINK("#2026052610mysql0!AJ2","NO 源备存在差异，共4个")</f>
        <v/>
      </c>
      <c r="X186">
        <f>A186</f>
        <v/>
      </c>
    </row>
    <row r="187">
      <c r="B187" t="inlineStr">
        <is>
          <t>YES</t>
        </is>
      </c>
      <c r="C187" t="inlineStr">
        <is>
          <t>NULL</t>
        </is>
      </c>
      <c r="D187" t="inlineStr">
        <is>
          <t>NULL</t>
        </is>
      </c>
      <c r="E187" t="inlineStr">
        <is>
          <t>NULL</t>
        </is>
      </c>
      <c r="F187" t="inlineStr">
        <is>
          <t>NULL</t>
        </is>
      </c>
      <c r="G187" t="inlineStr">
        <is>
          <t>NULL</t>
        </is>
      </c>
      <c r="H187" t="inlineStr">
        <is>
          <t>NULL</t>
        </is>
      </c>
      <c r="I187" t="inlineStr">
        <is>
          <t>YES!PK__info_cha__3213E83F737F950F</t>
        </is>
      </c>
      <c r="J187" t="inlineStr">
        <is>
          <t>YES! 主键相关索引</t>
        </is>
      </c>
      <c r="K187" t="inlineStr">
        <is>
          <t>YES! 	 id列源备映射正确，源端为int None位	期望更改为int	实际备端为int None位</t>
        </is>
      </c>
    </row>
    <row r="188">
      <c r="B188" t="inlineStr">
        <is>
          <t>NULL</t>
        </is>
      </c>
      <c r="C188" t="inlineStr">
        <is>
          <t>NULL</t>
        </is>
      </c>
      <c r="D188" t="inlineStr">
        <is>
          <t>NULL</t>
        </is>
      </c>
      <c r="E188" t="inlineStr">
        <is>
          <t>NULL</t>
        </is>
      </c>
      <c r="F188" t="inlineStr">
        <is>
          <t>NULL</t>
        </is>
      </c>
      <c r="G188" t="inlineStr">
        <is>
          <t>NULL</t>
        </is>
      </c>
      <c r="H188" t="inlineStr">
        <is>
          <t>NULL</t>
        </is>
      </c>
      <c r="I188" t="inlineStr">
        <is>
          <t>NULL</t>
        </is>
      </c>
      <c r="J188" t="inlineStr">
        <is>
          <t>NULL</t>
        </is>
      </c>
      <c r="K188" t="inlineStr">
        <is>
          <t>YES! 	 c_char列源备映射正确，源端为char 1位	期望更改为char(n)	实际备端为char 4位</t>
        </is>
      </c>
    </row>
    <row r="189">
      <c r="B189" t="inlineStr">
        <is>
          <t>NULL</t>
        </is>
      </c>
      <c r="C189" t="inlineStr">
        <is>
          <t>NULL</t>
        </is>
      </c>
      <c r="D189" t="inlineStr">
        <is>
          <t>NULL</t>
        </is>
      </c>
      <c r="E189" t="inlineStr">
        <is>
          <t>NULL</t>
        </is>
      </c>
      <c r="F189" t="inlineStr">
        <is>
          <t>NULL</t>
        </is>
      </c>
      <c r="G189" t="inlineStr">
        <is>
          <t>NULL</t>
        </is>
      </c>
      <c r="H189" t="inlineStr">
        <is>
          <t>NULL</t>
        </is>
      </c>
      <c r="I189" t="inlineStr">
        <is>
          <t>NULL</t>
        </is>
      </c>
      <c r="J189" t="inlineStr">
        <is>
          <t>NULL</t>
        </is>
      </c>
      <c r="K189" t="inlineStr">
        <is>
          <t>YES! 	 c_char20列源备映射正确，源端为char 20位	期望更改为char(n)	实际备端为char 80位</t>
        </is>
      </c>
    </row>
    <row r="190">
      <c r="B190" t="inlineStr">
        <is>
          <t>NULL</t>
        </is>
      </c>
      <c r="C190" t="inlineStr">
        <is>
          <t>NULL</t>
        </is>
      </c>
      <c r="D190" t="inlineStr">
        <is>
          <t>NULL</t>
        </is>
      </c>
      <c r="E190" t="inlineStr">
        <is>
          <t>NULL</t>
        </is>
      </c>
      <c r="F190" t="inlineStr">
        <is>
          <t>NULL</t>
        </is>
      </c>
      <c r="G190" t="inlineStr">
        <is>
          <t>NULL</t>
        </is>
      </c>
      <c r="H190" t="inlineStr">
        <is>
          <t>NULL</t>
        </is>
      </c>
      <c r="I190" t="inlineStr">
        <is>
          <t>NULL</t>
        </is>
      </c>
      <c r="J190" t="inlineStr">
        <is>
          <t>NULL</t>
        </is>
      </c>
      <c r="K190" t="inlineStr">
        <is>
          <t>YES! 	 c_char7000列源备映射正确，源端为char 7000位	期望更改为text	实际备端为text 65535位</t>
        </is>
      </c>
    </row>
    <row r="191">
      <c r="A191" t="inlineStr">
        <is>
          <t>info_hierarchyid_dml_single_pk_drp</t>
        </is>
      </c>
      <c r="K191" t="inlineStr">
        <is>
          <t>[0;34m info_hierarchyid_dml_single_pk_drp [0m源备字段数相同，源端字段：2 	备端字段2</t>
        </is>
      </c>
      <c r="W191" t="inlineStr">
        <is>
          <t>YES 源备无差异</t>
        </is>
      </c>
      <c r="X191">
        <f>A191</f>
        <v/>
      </c>
    </row>
    <row r="192">
      <c r="B192" t="inlineStr">
        <is>
          <t>YES</t>
        </is>
      </c>
      <c r="C192" t="inlineStr">
        <is>
          <t>NULL</t>
        </is>
      </c>
      <c r="D192" t="inlineStr">
        <is>
          <t>NULL</t>
        </is>
      </c>
      <c r="E192" t="inlineStr">
        <is>
          <t>NULL</t>
        </is>
      </c>
      <c r="F192" t="inlineStr">
        <is>
          <t>NULL</t>
        </is>
      </c>
      <c r="G192" t="inlineStr">
        <is>
          <t>NULL</t>
        </is>
      </c>
      <c r="H192" t="inlineStr">
        <is>
          <t>NULL</t>
        </is>
      </c>
      <c r="I192" t="inlineStr">
        <is>
          <t>YES!PK__info_hie__3213E83F1847B547</t>
        </is>
      </c>
      <c r="J192" t="inlineStr">
        <is>
          <t>YES! 主键相关索引</t>
        </is>
      </c>
      <c r="K192" t="inlineStr">
        <is>
          <t>YES! 	 id列源备映射正确，源端为int None位	期望更改为int	实际备端为int None位</t>
        </is>
      </c>
    </row>
    <row r="193">
      <c r="B193" t="inlineStr">
        <is>
          <t>NULL</t>
        </is>
      </c>
      <c r="C193" t="inlineStr">
        <is>
          <t>NULL</t>
        </is>
      </c>
      <c r="D193" t="inlineStr">
        <is>
          <t>NULL</t>
        </is>
      </c>
      <c r="E193" t="inlineStr">
        <is>
          <t>NULL</t>
        </is>
      </c>
      <c r="F193" t="inlineStr">
        <is>
          <t>NULL</t>
        </is>
      </c>
      <c r="G193" t="inlineStr">
        <is>
          <t>NULL</t>
        </is>
      </c>
      <c r="H193" t="inlineStr">
        <is>
          <t>NULL</t>
        </is>
      </c>
      <c r="I193" t="inlineStr">
        <is>
          <t>NULL</t>
        </is>
      </c>
      <c r="J193" t="inlineStr">
        <is>
          <t>NULL</t>
        </is>
      </c>
      <c r="K193" t="inlineStr">
        <is>
          <t>[0;32m YES! [0m 	 c_hierarchyid列源备映射正确，源端为hierarchyid 892位	期望更改为varchar(200)	实际备端为varchar 800位	位数精度不存在，通过长度比较</t>
        </is>
      </c>
    </row>
    <row r="194">
      <c r="A194" t="inlineStr">
        <is>
          <t>info_varchar_dml_single_nopk</t>
        </is>
      </c>
      <c r="K194" t="inlineStr">
        <is>
          <t>[0;34m info_varchar_dml_single_nopk [0m源备字段数相同，源端字段：4 	备端字段4</t>
        </is>
      </c>
      <c r="W194" t="inlineStr">
        <is>
          <t>YES 源备无差异</t>
        </is>
      </c>
      <c r="X194">
        <f>A194</f>
        <v/>
      </c>
    </row>
    <row r="195">
      <c r="B195" t="inlineStr">
        <is>
          <t>NULL</t>
        </is>
      </c>
      <c r="C195" t="inlineStr">
        <is>
          <t>NULL</t>
        </is>
      </c>
      <c r="D195" t="inlineStr">
        <is>
          <t>NULL</t>
        </is>
      </c>
      <c r="E195" t="inlineStr">
        <is>
          <t>NULL</t>
        </is>
      </c>
      <c r="F195" t="inlineStr">
        <is>
          <t>NULL</t>
        </is>
      </c>
      <c r="G195" t="inlineStr">
        <is>
          <t>NULL</t>
        </is>
      </c>
      <c r="H195" t="inlineStr">
        <is>
          <t>NULL</t>
        </is>
      </c>
      <c r="I195" t="inlineStr">
        <is>
          <t>NULL</t>
        </is>
      </c>
      <c r="J195" t="inlineStr">
        <is>
          <t>NULL</t>
        </is>
      </c>
      <c r="K195" t="inlineStr">
        <is>
          <t>YES! 	 id列源备映射正确，源端为int None位	期望更改为int	实际备端为int None位</t>
        </is>
      </c>
    </row>
    <row r="196">
      <c r="B196" t="inlineStr">
        <is>
          <t>NULL</t>
        </is>
      </c>
      <c r="C196" t="inlineStr">
        <is>
          <t>NULL</t>
        </is>
      </c>
      <c r="D196" t="inlineStr">
        <is>
          <t>NULL</t>
        </is>
      </c>
      <c r="E196" t="inlineStr">
        <is>
          <t>NULL</t>
        </is>
      </c>
      <c r="F196" t="inlineStr">
        <is>
          <t>NULL</t>
        </is>
      </c>
      <c r="G196" t="inlineStr">
        <is>
          <t>NULL</t>
        </is>
      </c>
      <c r="H196" t="inlineStr">
        <is>
          <t>NULL</t>
        </is>
      </c>
      <c r="I196" t="inlineStr">
        <is>
          <t>NULL</t>
        </is>
      </c>
      <c r="J196" t="inlineStr">
        <is>
          <t>NULL</t>
        </is>
      </c>
      <c r="K196" t="inlineStr">
        <is>
          <t>YES! 	 c_varchar列源备映射正确，源端为varchar 1位	期望更改为varchar(n)	实际备端为varchar 4位</t>
        </is>
      </c>
    </row>
    <row r="197">
      <c r="B197" t="inlineStr">
        <is>
          <t>NULL</t>
        </is>
      </c>
      <c r="C197" t="inlineStr">
        <is>
          <t>NULL</t>
        </is>
      </c>
      <c r="D197" t="inlineStr">
        <is>
          <t>NULL</t>
        </is>
      </c>
      <c r="E197" t="inlineStr">
        <is>
          <t>NULL</t>
        </is>
      </c>
      <c r="F197" t="inlineStr">
        <is>
          <t>NULL</t>
        </is>
      </c>
      <c r="G197" t="inlineStr">
        <is>
          <t>NULL</t>
        </is>
      </c>
      <c r="H197" t="inlineStr">
        <is>
          <t>NULL</t>
        </is>
      </c>
      <c r="I197" t="inlineStr">
        <is>
          <t>NULL</t>
        </is>
      </c>
      <c r="J197" t="inlineStr">
        <is>
          <t>NULL</t>
        </is>
      </c>
      <c r="K197" t="inlineStr">
        <is>
          <t>YES! 	 c_varchar50列源备映射正确，源端为varchar 50位	期望更改为varchar(n)	实际备端为varchar 200位</t>
        </is>
      </c>
    </row>
    <row r="198">
      <c r="B198" t="inlineStr">
        <is>
          <t>NULL</t>
        </is>
      </c>
      <c r="C198" t="inlineStr">
        <is>
          <t>NULL</t>
        </is>
      </c>
      <c r="D198" t="inlineStr">
        <is>
          <t>NULL</t>
        </is>
      </c>
      <c r="E198" t="inlineStr">
        <is>
          <t>NULL</t>
        </is>
      </c>
      <c r="F198" t="inlineStr">
        <is>
          <t>NULL</t>
        </is>
      </c>
      <c r="G198" t="inlineStr">
        <is>
          <t>NULL</t>
        </is>
      </c>
      <c r="H198" t="inlineStr">
        <is>
          <t>NULL</t>
        </is>
      </c>
      <c r="I198" t="inlineStr">
        <is>
          <t>NULL</t>
        </is>
      </c>
      <c r="J198" t="inlineStr">
        <is>
          <t>NULL</t>
        </is>
      </c>
      <c r="K198" t="inlineStr">
        <is>
          <t xml:space="preserve"> NO!  	 c_varchar8000列源备映射错误，源端为varchar 8000位	期望更改为longtext	实际备端为text 65535位</t>
        </is>
      </c>
    </row>
    <row r="199">
      <c r="A199" t="inlineStr">
        <is>
          <t>info_char_dml_single_pk</t>
        </is>
      </c>
      <c r="K199" t="inlineStr">
        <is>
          <t>[0;34m info_char_dml_single_pk [0m源备字段数相同，源端字段：4 	备端字段4</t>
        </is>
      </c>
      <c r="W199" s="15">
        <f>HYPERLINK("#2026052610mysql0!AK2","NO 源备存在差异，共4个")</f>
        <v/>
      </c>
      <c r="X199">
        <f>A199</f>
        <v/>
      </c>
    </row>
    <row r="200">
      <c r="B200" t="inlineStr">
        <is>
          <t>YES</t>
        </is>
      </c>
      <c r="C200" t="inlineStr">
        <is>
          <t>NULL</t>
        </is>
      </c>
      <c r="D200" t="inlineStr">
        <is>
          <t>NULL</t>
        </is>
      </c>
      <c r="E200" t="inlineStr">
        <is>
          <t>NULL</t>
        </is>
      </c>
      <c r="F200" t="inlineStr">
        <is>
          <t>NULL</t>
        </is>
      </c>
      <c r="G200" t="inlineStr">
        <is>
          <t>NULL</t>
        </is>
      </c>
      <c r="H200" t="inlineStr">
        <is>
          <t>NULL</t>
        </is>
      </c>
      <c r="I200" t="inlineStr">
        <is>
          <t>YES!PK__info_cha__3213E83FE0B552FC</t>
        </is>
      </c>
      <c r="J200" t="inlineStr">
        <is>
          <t>YES! 主键相关索引</t>
        </is>
      </c>
      <c r="K200" t="inlineStr">
        <is>
          <t>YES! 	 id列源备映射正确，源端为int None位	期望更改为int	实际备端为int None位</t>
        </is>
      </c>
    </row>
    <row r="201">
      <c r="B201" t="inlineStr">
        <is>
          <t>NULL</t>
        </is>
      </c>
      <c r="C201" t="inlineStr">
        <is>
          <t>NULL</t>
        </is>
      </c>
      <c r="D201" t="inlineStr">
        <is>
          <t>NULL</t>
        </is>
      </c>
      <c r="E201" t="inlineStr">
        <is>
          <t>NULL</t>
        </is>
      </c>
      <c r="F201" t="inlineStr">
        <is>
          <t>NULL</t>
        </is>
      </c>
      <c r="G201" t="inlineStr">
        <is>
          <t>NULL</t>
        </is>
      </c>
      <c r="H201" t="inlineStr">
        <is>
          <t>NULL</t>
        </is>
      </c>
      <c r="I201" t="inlineStr">
        <is>
          <t>NULL</t>
        </is>
      </c>
      <c r="J201" t="inlineStr">
        <is>
          <t>NULL</t>
        </is>
      </c>
      <c r="K201" t="inlineStr">
        <is>
          <t>YES! 	 c_char列源备映射正确，源端为char 1位	期望更改为char(n)	实际备端为char 4位</t>
        </is>
      </c>
    </row>
    <row r="202">
      <c r="B202" t="inlineStr">
        <is>
          <t>NULL</t>
        </is>
      </c>
      <c r="C202" t="inlineStr">
        <is>
          <t>NULL</t>
        </is>
      </c>
      <c r="D202" t="inlineStr">
        <is>
          <t>NULL</t>
        </is>
      </c>
      <c r="E202" t="inlineStr">
        <is>
          <t>NULL</t>
        </is>
      </c>
      <c r="F202" t="inlineStr">
        <is>
          <t>NULL</t>
        </is>
      </c>
      <c r="G202" t="inlineStr">
        <is>
          <t>NULL</t>
        </is>
      </c>
      <c r="H202" t="inlineStr">
        <is>
          <t>NULL</t>
        </is>
      </c>
      <c r="I202" t="inlineStr">
        <is>
          <t>NULL</t>
        </is>
      </c>
      <c r="J202" t="inlineStr">
        <is>
          <t>NULL</t>
        </is>
      </c>
      <c r="K202" t="inlineStr">
        <is>
          <t>YES! 	 c_char20列源备映射正确，源端为char 20位	期望更改为char(n)	实际备端为char 80位</t>
        </is>
      </c>
    </row>
    <row r="203">
      <c r="B203" t="inlineStr">
        <is>
          <t>NULL</t>
        </is>
      </c>
      <c r="C203" t="inlineStr">
        <is>
          <t>NULL</t>
        </is>
      </c>
      <c r="D203" t="inlineStr">
        <is>
          <t>NULL</t>
        </is>
      </c>
      <c r="E203" t="inlineStr">
        <is>
          <t>NULL</t>
        </is>
      </c>
      <c r="F203" t="inlineStr">
        <is>
          <t>NULL</t>
        </is>
      </c>
      <c r="G203" t="inlineStr">
        <is>
          <t>NULL</t>
        </is>
      </c>
      <c r="H203" t="inlineStr">
        <is>
          <t>NULL</t>
        </is>
      </c>
      <c r="I203" t="inlineStr">
        <is>
          <t>NULL</t>
        </is>
      </c>
      <c r="J203" t="inlineStr">
        <is>
          <t>NULL</t>
        </is>
      </c>
      <c r="K203" t="inlineStr">
        <is>
          <t>YES! 	 c_char7000列源备映射正确，源端为char 7000位	期望更改为text	实际备端为text 65535位</t>
        </is>
      </c>
    </row>
    <row r="204">
      <c r="A204" t="inlineStr">
        <is>
          <t>info_char_dml_single_pk_irp</t>
        </is>
      </c>
      <c r="K204" t="inlineStr">
        <is>
          <t>[0;34m info_char_dml_single_pk_irp [0m源备字段数相同，源端字段：4 	备端字段4</t>
        </is>
      </c>
      <c r="W204" s="15">
        <f>HYPERLINK("#2026052610mysql0!AL2","NO 源备存在差异，共14个")</f>
        <v/>
      </c>
      <c r="X204">
        <f>A204</f>
        <v/>
      </c>
    </row>
    <row r="205">
      <c r="B205" t="inlineStr">
        <is>
          <t>YES</t>
        </is>
      </c>
      <c r="C205" t="inlineStr">
        <is>
          <t>NULL</t>
        </is>
      </c>
      <c r="D205" t="inlineStr">
        <is>
          <t>NULL</t>
        </is>
      </c>
      <c r="E205" t="inlineStr">
        <is>
          <t>NULL</t>
        </is>
      </c>
      <c r="F205" t="inlineStr">
        <is>
          <t>NULL</t>
        </is>
      </c>
      <c r="G205" t="inlineStr">
        <is>
          <t>NULL</t>
        </is>
      </c>
      <c r="H205" t="inlineStr">
        <is>
          <t>NULL</t>
        </is>
      </c>
      <c r="I205" t="inlineStr">
        <is>
          <t>YES!PK__info_cha__3213E83FD6236BC6</t>
        </is>
      </c>
      <c r="J205" t="inlineStr">
        <is>
          <t>YES! 主键相关索引</t>
        </is>
      </c>
      <c r="K205" t="inlineStr">
        <is>
          <t>YES! 	 id列源备映射正确，源端为int None位	期望更改为int	实际备端为int None位</t>
        </is>
      </c>
    </row>
    <row r="206">
      <c r="B206" t="inlineStr">
        <is>
          <t>NULL</t>
        </is>
      </c>
      <c r="C206" t="inlineStr">
        <is>
          <t>NULL</t>
        </is>
      </c>
      <c r="D206" t="inlineStr">
        <is>
          <t>NULL</t>
        </is>
      </c>
      <c r="E206" t="inlineStr">
        <is>
          <t>NULL</t>
        </is>
      </c>
      <c r="F206" t="inlineStr">
        <is>
          <t>NULL</t>
        </is>
      </c>
      <c r="G206" t="inlineStr">
        <is>
          <t>NULL</t>
        </is>
      </c>
      <c r="H206" t="inlineStr">
        <is>
          <t>NULL</t>
        </is>
      </c>
      <c r="I206" t="inlineStr">
        <is>
          <t>NULL</t>
        </is>
      </c>
      <c r="J206" t="inlineStr">
        <is>
          <t>NULL</t>
        </is>
      </c>
      <c r="K206" t="inlineStr">
        <is>
          <t>NO! 备端缺失列c_CHAR</t>
        </is>
      </c>
    </row>
    <row r="207">
      <c r="B207" t="inlineStr">
        <is>
          <t>NULL</t>
        </is>
      </c>
      <c r="C207" t="inlineStr">
        <is>
          <t>NULL</t>
        </is>
      </c>
      <c r="D207" t="inlineStr">
        <is>
          <t>NULL</t>
        </is>
      </c>
      <c r="E207" t="inlineStr">
        <is>
          <t>NULL</t>
        </is>
      </c>
      <c r="F207" t="inlineStr">
        <is>
          <t>NULL</t>
        </is>
      </c>
      <c r="G207" t="inlineStr">
        <is>
          <t>NULL</t>
        </is>
      </c>
      <c r="H207" t="inlineStr">
        <is>
          <t>NULL</t>
        </is>
      </c>
      <c r="I207" t="inlineStr">
        <is>
          <t>NULL</t>
        </is>
      </c>
      <c r="J207" t="inlineStr">
        <is>
          <t>NULL</t>
        </is>
      </c>
      <c r="K207" t="inlineStr">
        <is>
          <t>NO! 备端缺失列c_char20</t>
        </is>
      </c>
    </row>
    <row r="208">
      <c r="B208" t="inlineStr">
        <is>
          <t>NULL</t>
        </is>
      </c>
      <c r="C208" t="inlineStr">
        <is>
          <t>NULL</t>
        </is>
      </c>
      <c r="D208" t="inlineStr">
        <is>
          <t>NULL</t>
        </is>
      </c>
      <c r="E208" t="inlineStr">
        <is>
          <t>NULL</t>
        </is>
      </c>
      <c r="F208" t="inlineStr">
        <is>
          <t>NULL</t>
        </is>
      </c>
      <c r="G208" t="inlineStr">
        <is>
          <t>NULL</t>
        </is>
      </c>
      <c r="H208" t="inlineStr">
        <is>
          <t>NULL</t>
        </is>
      </c>
      <c r="I208" t="inlineStr">
        <is>
          <t>NULL</t>
        </is>
      </c>
      <c r="J208" t="inlineStr">
        <is>
          <t>NULL</t>
        </is>
      </c>
      <c r="K208" t="inlineStr">
        <is>
          <t>NO! 备端缺失列c_char8000</t>
        </is>
      </c>
    </row>
    <row r="209">
      <c r="A209" t="inlineStr">
        <is>
          <t>info_sdt_dml_batch1_pk_irp1</t>
        </is>
      </c>
      <c r="K209" t="inlineStr">
        <is>
          <t>[0;34m info_sdt_dml_batch1_pk_irp1 [0m源备字段数相同，源端字段：2 	备端字段2</t>
        </is>
      </c>
      <c r="W209" t="inlineStr">
        <is>
          <t>YES 源备无差异</t>
        </is>
      </c>
      <c r="X209">
        <f>A209</f>
        <v/>
      </c>
    </row>
    <row r="210">
      <c r="B210" t="inlineStr">
        <is>
          <t>YES</t>
        </is>
      </c>
      <c r="C210" t="inlineStr">
        <is>
          <t>NULL</t>
        </is>
      </c>
      <c r="D210" t="inlineStr">
        <is>
          <t>NULL</t>
        </is>
      </c>
      <c r="E210" t="inlineStr">
        <is>
          <t>NULL</t>
        </is>
      </c>
      <c r="F210" t="inlineStr">
        <is>
          <t>NULL</t>
        </is>
      </c>
      <c r="G210" t="inlineStr">
        <is>
          <t>NULL</t>
        </is>
      </c>
      <c r="H210" t="inlineStr">
        <is>
          <t>NULL</t>
        </is>
      </c>
      <c r="I210" t="inlineStr">
        <is>
          <t>YES!PK__info_sdt__3213E83F1B06488F</t>
        </is>
      </c>
      <c r="J210" t="inlineStr">
        <is>
          <t>YES! 主键相关索引</t>
        </is>
      </c>
      <c r="K210" t="inlineStr">
        <is>
          <t>YES! 	 id列源备映射正确，源端为int None位	期望更改为int	实际备端为int None位</t>
        </is>
      </c>
    </row>
    <row r="211">
      <c r="B211" t="inlineStr">
        <is>
          <t>NULL</t>
        </is>
      </c>
      <c r="C211" t="inlineStr">
        <is>
          <t>NULL</t>
        </is>
      </c>
      <c r="D211" t="inlineStr">
        <is>
          <t>NULL</t>
        </is>
      </c>
      <c r="E211" t="inlineStr">
        <is>
          <t>NULL</t>
        </is>
      </c>
      <c r="F211" t="inlineStr">
        <is>
          <t>NULL</t>
        </is>
      </c>
      <c r="G211" t="inlineStr">
        <is>
          <t>NULL</t>
        </is>
      </c>
      <c r="H211" t="inlineStr">
        <is>
          <t>NULL</t>
        </is>
      </c>
      <c r="I211" t="inlineStr">
        <is>
          <t>NULL</t>
        </is>
      </c>
      <c r="J211" t="inlineStr">
        <is>
          <t>NULL</t>
        </is>
      </c>
      <c r="K211" t="inlineStr">
        <is>
          <t>YES! 	 c_sdt列源备映射正确，源端为smalldatetime None位	期望更改为datetime	实际备端为datetime None位</t>
        </is>
      </c>
    </row>
    <row r="212">
      <c r="A212" t="inlineStr">
        <is>
          <t>info_char_dml_batch1_pk_urp2</t>
        </is>
      </c>
      <c r="K212" t="inlineStr">
        <is>
          <t>[0;34m info_char_dml_batch1_pk_urp2 [0m源备字段数相同，源端字段：4 	备端字段4</t>
        </is>
      </c>
      <c r="W212" s="15">
        <f>HYPERLINK("#2026052610mysql0!AM2","NO 源备存在差异，共4个")</f>
        <v/>
      </c>
      <c r="X212">
        <f>A212</f>
        <v/>
      </c>
    </row>
    <row r="213">
      <c r="B213" t="inlineStr">
        <is>
          <t>YES</t>
        </is>
      </c>
      <c r="C213" t="inlineStr">
        <is>
          <t>NULL</t>
        </is>
      </c>
      <c r="D213" t="inlineStr">
        <is>
          <t>NULL</t>
        </is>
      </c>
      <c r="E213" t="inlineStr">
        <is>
          <t>NULL</t>
        </is>
      </c>
      <c r="F213" t="inlineStr">
        <is>
          <t>NULL</t>
        </is>
      </c>
      <c r="G213" t="inlineStr">
        <is>
          <t>NULL</t>
        </is>
      </c>
      <c r="H213" t="inlineStr">
        <is>
          <t>NULL</t>
        </is>
      </c>
      <c r="I213" t="inlineStr">
        <is>
          <t>YES!PK__info_cha__3213E83FEA22634D</t>
        </is>
      </c>
      <c r="J213" t="inlineStr">
        <is>
          <t>YES! 主键相关索引</t>
        </is>
      </c>
      <c r="K213" t="inlineStr">
        <is>
          <t>YES! 	 id列源备映射正确，源端为int None位	期望更改为int	实际备端为int None位</t>
        </is>
      </c>
    </row>
    <row r="214">
      <c r="B214" t="inlineStr">
        <is>
          <t>NULL</t>
        </is>
      </c>
      <c r="C214" t="inlineStr">
        <is>
          <t>NULL</t>
        </is>
      </c>
      <c r="D214" t="inlineStr">
        <is>
          <t>NULL</t>
        </is>
      </c>
      <c r="E214" t="inlineStr">
        <is>
          <t>NULL</t>
        </is>
      </c>
      <c r="F214" t="inlineStr">
        <is>
          <t>NULL</t>
        </is>
      </c>
      <c r="G214" t="inlineStr">
        <is>
          <t>NULL</t>
        </is>
      </c>
      <c r="H214" t="inlineStr">
        <is>
          <t>NULL</t>
        </is>
      </c>
      <c r="I214" t="inlineStr">
        <is>
          <t>NULL</t>
        </is>
      </c>
      <c r="J214" t="inlineStr">
        <is>
          <t>NULL</t>
        </is>
      </c>
      <c r="K214" t="inlineStr">
        <is>
          <t>YES! 	 c_char列源备映射正确，源端为char 1位	期望更改为char(n)	实际备端为char 4位</t>
        </is>
      </c>
    </row>
    <row r="215">
      <c r="B215" t="inlineStr">
        <is>
          <t>NULL</t>
        </is>
      </c>
      <c r="C215" t="inlineStr">
        <is>
          <t>NULL</t>
        </is>
      </c>
      <c r="D215" t="inlineStr">
        <is>
          <t>NULL</t>
        </is>
      </c>
      <c r="E215" t="inlineStr">
        <is>
          <t>NULL</t>
        </is>
      </c>
      <c r="F215" t="inlineStr">
        <is>
          <t>NULL</t>
        </is>
      </c>
      <c r="G215" t="inlineStr">
        <is>
          <t>NULL</t>
        </is>
      </c>
      <c r="H215" t="inlineStr">
        <is>
          <t>NULL</t>
        </is>
      </c>
      <c r="I215" t="inlineStr">
        <is>
          <t>NULL</t>
        </is>
      </c>
      <c r="J215" t="inlineStr">
        <is>
          <t>NULL</t>
        </is>
      </c>
      <c r="K215" t="inlineStr">
        <is>
          <t>YES! 	 c_char20列源备映射正确，源端为char 20位	期望更改为char(n)	实际备端为char 80位</t>
        </is>
      </c>
    </row>
    <row r="216">
      <c r="B216" t="inlineStr">
        <is>
          <t>NULL</t>
        </is>
      </c>
      <c r="C216" t="inlineStr">
        <is>
          <t>NULL</t>
        </is>
      </c>
      <c r="D216" t="inlineStr">
        <is>
          <t>NULL</t>
        </is>
      </c>
      <c r="E216" t="inlineStr">
        <is>
          <t>NULL</t>
        </is>
      </c>
      <c r="F216" t="inlineStr">
        <is>
          <t>NULL</t>
        </is>
      </c>
      <c r="G216" t="inlineStr">
        <is>
          <t>NULL</t>
        </is>
      </c>
      <c r="H216" t="inlineStr">
        <is>
          <t>NULL</t>
        </is>
      </c>
      <c r="I216" t="inlineStr">
        <is>
          <t>NULL</t>
        </is>
      </c>
      <c r="J216" t="inlineStr">
        <is>
          <t>NULL</t>
        </is>
      </c>
      <c r="K216" t="inlineStr">
        <is>
          <t>YES! 	 c_char7000列源备映射正确，源端为char 7000位	期望更改为text	实际备端为text 65535位</t>
        </is>
      </c>
    </row>
    <row r="217">
      <c r="A217" t="inlineStr">
        <is>
          <t>info_hierarchyid_dml_single_pk</t>
        </is>
      </c>
      <c r="K217" t="inlineStr">
        <is>
          <t>[0;34m info_hierarchyid_dml_single_pk [0m源备字段数相同，源端字段：2 	备端字段2</t>
        </is>
      </c>
      <c r="W217" t="inlineStr">
        <is>
          <t>YES 源备无差异</t>
        </is>
      </c>
      <c r="X217">
        <f>A217</f>
        <v/>
      </c>
    </row>
    <row r="218">
      <c r="B218" t="inlineStr">
        <is>
          <t>YES</t>
        </is>
      </c>
      <c r="C218" t="inlineStr">
        <is>
          <t>NULL</t>
        </is>
      </c>
      <c r="D218" t="inlineStr">
        <is>
          <t>NULL</t>
        </is>
      </c>
      <c r="E218" t="inlineStr">
        <is>
          <t>NULL</t>
        </is>
      </c>
      <c r="F218" t="inlineStr">
        <is>
          <t>NULL</t>
        </is>
      </c>
      <c r="G218" t="inlineStr">
        <is>
          <t>NULL</t>
        </is>
      </c>
      <c r="H218" t="inlineStr">
        <is>
          <t>NULL</t>
        </is>
      </c>
      <c r="I218" t="inlineStr">
        <is>
          <t>YES!PK__info_hie__3213E83F2067C9E4</t>
        </is>
      </c>
      <c r="J218" t="inlineStr">
        <is>
          <t>YES! 主键相关索引</t>
        </is>
      </c>
      <c r="K218" t="inlineStr">
        <is>
          <t>YES! 	 id列源备映射正确，源端为int None位	期望更改为int	实际备端为int None位</t>
        </is>
      </c>
    </row>
    <row r="219">
      <c r="B219" t="inlineStr">
        <is>
          <t>NULL</t>
        </is>
      </c>
      <c r="C219" t="inlineStr">
        <is>
          <t>NULL</t>
        </is>
      </c>
      <c r="D219" t="inlineStr">
        <is>
          <t>NULL</t>
        </is>
      </c>
      <c r="E219" t="inlineStr">
        <is>
          <t>NULL</t>
        </is>
      </c>
      <c r="F219" t="inlineStr">
        <is>
          <t>NULL</t>
        </is>
      </c>
      <c r="G219" t="inlineStr">
        <is>
          <t>NULL</t>
        </is>
      </c>
      <c r="H219" t="inlineStr">
        <is>
          <t>NULL</t>
        </is>
      </c>
      <c r="I219" t="inlineStr">
        <is>
          <t>NULL</t>
        </is>
      </c>
      <c r="J219" t="inlineStr">
        <is>
          <t>NULL</t>
        </is>
      </c>
      <c r="K219" t="inlineStr">
        <is>
          <t>[0;32m YES! [0m 	 c_hierarchyid列源备映射正确，源端为hierarchyid 892位	期望更改为varchar(200)	实际备端为varchar 800位	位数精度不存在，通过长度比较</t>
        </is>
      </c>
    </row>
    <row r="220">
      <c r="A220" t="inlineStr">
        <is>
          <t>info_sdt_dml_batch1_pk_irp2</t>
        </is>
      </c>
      <c r="K220" t="inlineStr">
        <is>
          <t>[0;34m info_sdt_dml_batch1_pk_irp2 [0m源备字段数相同，源端字段：2 	备端字段2</t>
        </is>
      </c>
      <c r="W220" t="inlineStr">
        <is>
          <t>YES 源备无差异</t>
        </is>
      </c>
      <c r="X220">
        <f>A220</f>
        <v/>
      </c>
    </row>
    <row r="221">
      <c r="B221" t="inlineStr">
        <is>
          <t>YES</t>
        </is>
      </c>
      <c r="C221" t="inlineStr">
        <is>
          <t>NULL</t>
        </is>
      </c>
      <c r="D221" t="inlineStr">
        <is>
          <t>NULL</t>
        </is>
      </c>
      <c r="E221" t="inlineStr">
        <is>
          <t>NULL</t>
        </is>
      </c>
      <c r="F221" t="inlineStr">
        <is>
          <t>NULL</t>
        </is>
      </c>
      <c r="G221" t="inlineStr">
        <is>
          <t>NULL</t>
        </is>
      </c>
      <c r="H221" t="inlineStr">
        <is>
          <t>NULL</t>
        </is>
      </c>
      <c r="I221" t="inlineStr">
        <is>
          <t>YES!PK__info_sdt__3213E83F0A3BD479</t>
        </is>
      </c>
      <c r="J221" t="inlineStr">
        <is>
          <t>YES! 主键相关索引</t>
        </is>
      </c>
      <c r="K221" t="inlineStr">
        <is>
          <t>YES! 	 id列源备映射正确，源端为int None位	期望更改为int	实际备端为int None位</t>
        </is>
      </c>
    </row>
    <row r="222">
      <c r="B222" t="inlineStr">
        <is>
          <t>NULL</t>
        </is>
      </c>
      <c r="C222" t="inlineStr">
        <is>
          <t>NULL</t>
        </is>
      </c>
      <c r="D222" t="inlineStr">
        <is>
          <t>NULL</t>
        </is>
      </c>
      <c r="E222" t="inlineStr">
        <is>
          <t>NULL</t>
        </is>
      </c>
      <c r="F222" t="inlineStr">
        <is>
          <t>NULL</t>
        </is>
      </c>
      <c r="G222" t="inlineStr">
        <is>
          <t>NULL</t>
        </is>
      </c>
      <c r="H222" t="inlineStr">
        <is>
          <t>NULL</t>
        </is>
      </c>
      <c r="I222" t="inlineStr">
        <is>
          <t>NULL</t>
        </is>
      </c>
      <c r="J222" t="inlineStr">
        <is>
          <t>NULL</t>
        </is>
      </c>
      <c r="K222" t="inlineStr">
        <is>
          <t>YES! 	 c_sdt列源备映射正确，源端为smalldatetime None位	期望更改为datetime	实际备端为datetime None位</t>
        </is>
      </c>
    </row>
    <row r="223">
      <c r="A223" t="inlineStr">
        <is>
          <t>info_char_dml_batch1_pk_drp1</t>
        </is>
      </c>
      <c r="K223" t="inlineStr">
        <is>
          <t>[0;34m info_char_dml_batch1_pk_drp1 [0m源备字段数相同，源端字段：4 	备端字段4</t>
        </is>
      </c>
      <c r="W223" t="inlineStr">
        <is>
          <t>YES 源备无差异</t>
        </is>
      </c>
      <c r="X223">
        <f>A223</f>
        <v/>
      </c>
    </row>
    <row r="224">
      <c r="B224" t="inlineStr">
        <is>
          <t>YES</t>
        </is>
      </c>
      <c r="C224" t="inlineStr">
        <is>
          <t>NULL</t>
        </is>
      </c>
      <c r="D224" t="inlineStr">
        <is>
          <t>NULL</t>
        </is>
      </c>
      <c r="E224" t="inlineStr">
        <is>
          <t>NULL</t>
        </is>
      </c>
      <c r="F224" t="inlineStr">
        <is>
          <t>NULL</t>
        </is>
      </c>
      <c r="G224" t="inlineStr">
        <is>
          <t>NULL</t>
        </is>
      </c>
      <c r="H224" t="inlineStr">
        <is>
          <t>NULL</t>
        </is>
      </c>
      <c r="I224" t="inlineStr">
        <is>
          <t>YES!PK__info_cha__3213E83F784E87B3</t>
        </is>
      </c>
      <c r="J224" t="inlineStr">
        <is>
          <t>YES! 主键相关索引</t>
        </is>
      </c>
      <c r="K224" t="inlineStr">
        <is>
          <t>YES! 	 id列源备映射正确，源端为int None位	期望更改为int	实际备端为int None位</t>
        </is>
      </c>
    </row>
    <row r="225">
      <c r="B225" t="inlineStr">
        <is>
          <t>NULL</t>
        </is>
      </c>
      <c r="C225" t="inlineStr">
        <is>
          <t>NULL</t>
        </is>
      </c>
      <c r="D225" t="inlineStr">
        <is>
          <t>NULL</t>
        </is>
      </c>
      <c r="E225" t="inlineStr">
        <is>
          <t>NULL</t>
        </is>
      </c>
      <c r="F225" t="inlineStr">
        <is>
          <t>NULL</t>
        </is>
      </c>
      <c r="G225" t="inlineStr">
        <is>
          <t>NULL</t>
        </is>
      </c>
      <c r="H225" t="inlineStr">
        <is>
          <t>NULL</t>
        </is>
      </c>
      <c r="I225" t="inlineStr">
        <is>
          <t>NULL</t>
        </is>
      </c>
      <c r="J225" t="inlineStr">
        <is>
          <t>NULL</t>
        </is>
      </c>
      <c r="K225" t="inlineStr">
        <is>
          <t>YES! 	 c_char列源备映射正确，源端为char 1位	期望更改为char(n)	实际备端为char 4位</t>
        </is>
      </c>
    </row>
    <row r="226">
      <c r="B226" t="inlineStr">
        <is>
          <t>NULL</t>
        </is>
      </c>
      <c r="C226" t="inlineStr">
        <is>
          <t>NULL</t>
        </is>
      </c>
      <c r="D226" t="inlineStr">
        <is>
          <t>NULL</t>
        </is>
      </c>
      <c r="E226" t="inlineStr">
        <is>
          <t>NULL</t>
        </is>
      </c>
      <c r="F226" t="inlineStr">
        <is>
          <t>NULL</t>
        </is>
      </c>
      <c r="G226" t="inlineStr">
        <is>
          <t>NULL</t>
        </is>
      </c>
      <c r="H226" t="inlineStr">
        <is>
          <t>NULL</t>
        </is>
      </c>
      <c r="I226" t="inlineStr">
        <is>
          <t>NULL</t>
        </is>
      </c>
      <c r="J226" t="inlineStr">
        <is>
          <t>NULL</t>
        </is>
      </c>
      <c r="K226" t="inlineStr">
        <is>
          <t>YES! 	 c_char20列源备映射正确，源端为char 20位	期望更改为char(n)	实际备端为char 80位</t>
        </is>
      </c>
    </row>
    <row r="227">
      <c r="B227" t="inlineStr">
        <is>
          <t>NULL</t>
        </is>
      </c>
      <c r="C227" t="inlineStr">
        <is>
          <t>NULL</t>
        </is>
      </c>
      <c r="D227" t="inlineStr">
        <is>
          <t>NULL</t>
        </is>
      </c>
      <c r="E227" t="inlineStr">
        <is>
          <t>NULL</t>
        </is>
      </c>
      <c r="F227" t="inlineStr">
        <is>
          <t>NULL</t>
        </is>
      </c>
      <c r="G227" t="inlineStr">
        <is>
          <t>NULL</t>
        </is>
      </c>
      <c r="H227" t="inlineStr">
        <is>
          <t>NULL</t>
        </is>
      </c>
      <c r="I227" t="inlineStr">
        <is>
          <t>NULL</t>
        </is>
      </c>
      <c r="J227" t="inlineStr">
        <is>
          <t>NULL</t>
        </is>
      </c>
      <c r="K227" t="inlineStr">
        <is>
          <t>YES! 	 c_char7000列源备映射正确，源端为char 7000位	期望更改为text	实际备端为text 65535位</t>
        </is>
      </c>
    </row>
    <row r="228">
      <c r="K228" t="inlineStr">
        <is>
          <t>~ 空表</t>
        </is>
      </c>
    </row>
    <row r="229">
      <c r="A229" t="inlineStr">
        <is>
          <t>info_int_dml_single_pk_irp</t>
        </is>
      </c>
      <c r="K229" t="inlineStr">
        <is>
          <t>[0;34m info_int_dml_single_pk_irp [0m源备字段数相同，源端字段：20 	备端字段20</t>
        </is>
      </c>
      <c r="W229" s="15">
        <f>HYPERLINK("#2026052610mysql0!AN2","NO 源备存在差异，共2个")</f>
        <v/>
      </c>
      <c r="X229">
        <f>A229</f>
        <v/>
      </c>
    </row>
    <row r="230">
      <c r="B230" t="inlineStr">
        <is>
          <t>YES</t>
        </is>
      </c>
      <c r="C230" t="inlineStr">
        <is>
          <t>NULL</t>
        </is>
      </c>
      <c r="D230" t="inlineStr">
        <is>
          <t>NULL</t>
        </is>
      </c>
      <c r="E230" t="inlineStr">
        <is>
          <t>NULL</t>
        </is>
      </c>
      <c r="F230" t="inlineStr">
        <is>
          <t>NULL</t>
        </is>
      </c>
      <c r="G230" t="inlineStr">
        <is>
          <t>NULL</t>
        </is>
      </c>
      <c r="H230" t="inlineStr">
        <is>
          <t>NULL</t>
        </is>
      </c>
      <c r="I230" t="inlineStr">
        <is>
          <t>YES!PK__info_int__3213E83FB01EAE8E</t>
        </is>
      </c>
      <c r="J230" t="inlineStr">
        <is>
          <t>YES! 主键相关索引</t>
        </is>
      </c>
      <c r="K230" t="inlineStr">
        <is>
          <t>YES! 	 id列源备映射正确，源端为int None位	期望更改为int	实际备端为int None位</t>
        </is>
      </c>
    </row>
    <row r="231">
      <c r="B231" t="inlineStr">
        <is>
          <t>NULL</t>
        </is>
      </c>
      <c r="C231" t="inlineStr">
        <is>
          <t>NULL</t>
        </is>
      </c>
      <c r="D231" t="inlineStr">
        <is>
          <t>NULL</t>
        </is>
      </c>
      <c r="E231" t="inlineStr">
        <is>
          <t>NULL</t>
        </is>
      </c>
      <c r="F231" t="inlineStr">
        <is>
          <t>NULL</t>
        </is>
      </c>
      <c r="G231" t="inlineStr">
        <is>
          <t>NULL</t>
        </is>
      </c>
      <c r="H231" t="inlineStr">
        <is>
          <t>NULL</t>
        </is>
      </c>
      <c r="I231" t="inlineStr">
        <is>
          <t>NULL</t>
        </is>
      </c>
      <c r="J231" t="inlineStr">
        <is>
          <t>NULL</t>
        </is>
      </c>
      <c r="K231" t="inlineStr">
        <is>
          <t>YES! 	 c_tinyint列源备映射正确，源端为tinyint None位	期望更改为tinyint	实际备端为tinyint None位</t>
        </is>
      </c>
    </row>
    <row r="232">
      <c r="B232" t="inlineStr">
        <is>
          <t>NULL</t>
        </is>
      </c>
      <c r="C232" t="inlineStr">
        <is>
          <t>NULL</t>
        </is>
      </c>
      <c r="D232" t="inlineStr">
        <is>
          <t>NULL</t>
        </is>
      </c>
      <c r="E232" t="inlineStr">
        <is>
          <t>NULL</t>
        </is>
      </c>
      <c r="F232" t="inlineStr">
        <is>
          <t>NULL</t>
        </is>
      </c>
      <c r="G232" t="inlineStr">
        <is>
          <t>NULL</t>
        </is>
      </c>
      <c r="H232" t="inlineStr">
        <is>
          <t>NULL</t>
        </is>
      </c>
      <c r="I232" t="inlineStr">
        <is>
          <t>NULL</t>
        </is>
      </c>
      <c r="J232" t="inlineStr">
        <is>
          <t>NULL</t>
        </is>
      </c>
      <c r="K232" t="inlineStr">
        <is>
          <t>YES! 	 c_smallint列源备映射正确，源端为smallint None位	期望更改为smallint	实际备端为smallint None位</t>
        </is>
      </c>
    </row>
    <row r="233">
      <c r="B233" t="inlineStr">
        <is>
          <t>NULL</t>
        </is>
      </c>
      <c r="C233" t="inlineStr">
        <is>
          <t>NULL</t>
        </is>
      </c>
      <c r="D233" t="inlineStr">
        <is>
          <t>NULL</t>
        </is>
      </c>
      <c r="E233" t="inlineStr">
        <is>
          <t>NULL</t>
        </is>
      </c>
      <c r="F233" t="inlineStr">
        <is>
          <t>NULL</t>
        </is>
      </c>
      <c r="G233" t="inlineStr">
        <is>
          <t>NULL</t>
        </is>
      </c>
      <c r="H233" t="inlineStr">
        <is>
          <t>NULL</t>
        </is>
      </c>
      <c r="I233" t="inlineStr">
        <is>
          <t>NULL</t>
        </is>
      </c>
      <c r="J233" t="inlineStr">
        <is>
          <t>NULL</t>
        </is>
      </c>
      <c r="K233" t="inlineStr">
        <is>
          <t>YES! 	 c_int列源备映射正确，源端为int None位	期望更改为int	实际备端为int None位</t>
        </is>
      </c>
    </row>
    <row r="234">
      <c r="B234" t="inlineStr">
        <is>
          <t>NULL</t>
        </is>
      </c>
      <c r="C234" t="inlineStr">
        <is>
          <t>NULL</t>
        </is>
      </c>
      <c r="D234" t="inlineStr">
        <is>
          <t>NULL</t>
        </is>
      </c>
      <c r="E234" t="inlineStr">
        <is>
          <t>NULL</t>
        </is>
      </c>
      <c r="F234" t="inlineStr">
        <is>
          <t>NULL</t>
        </is>
      </c>
      <c r="G234" t="inlineStr">
        <is>
          <t>NULL</t>
        </is>
      </c>
      <c r="H234" t="inlineStr">
        <is>
          <t>NULL</t>
        </is>
      </c>
      <c r="I234" t="inlineStr">
        <is>
          <t>NULL</t>
        </is>
      </c>
      <c r="J234" t="inlineStr">
        <is>
          <t>NULL</t>
        </is>
      </c>
      <c r="K234" t="inlineStr">
        <is>
          <t>YES! 	 c_bigint列源备映射正确，源端为bigint None位	期望更改为bigint	实际备端为bigint None位</t>
        </is>
      </c>
    </row>
    <row r="235">
      <c r="B235" t="inlineStr">
        <is>
          <t>NULL</t>
        </is>
      </c>
      <c r="C235" t="inlineStr">
        <is>
          <t>NULL</t>
        </is>
      </c>
      <c r="D235" t="inlineStr">
        <is>
          <t>NULL</t>
        </is>
      </c>
      <c r="E235" t="inlineStr">
        <is>
          <t>NULL</t>
        </is>
      </c>
      <c r="F235" t="inlineStr">
        <is>
          <t>NULL</t>
        </is>
      </c>
      <c r="G235" t="inlineStr">
        <is>
          <t>NULL</t>
        </is>
      </c>
      <c r="H235" t="inlineStr">
        <is>
          <t>NULL</t>
        </is>
      </c>
      <c r="I235" t="inlineStr">
        <is>
          <t>NULL</t>
        </is>
      </c>
      <c r="J235" t="inlineStr">
        <is>
          <t>NULL</t>
        </is>
      </c>
      <c r="K235" t="inlineStr">
        <is>
          <t>YES! 	 c_decimal列源备映射正确，源端为decimal None位	期望更改为decimal(p,s)	实际备端为decimal None位</t>
        </is>
      </c>
    </row>
    <row r="236">
      <c r="B236" t="inlineStr">
        <is>
          <t>NULL</t>
        </is>
      </c>
      <c r="C236" t="inlineStr">
        <is>
          <t>NULL</t>
        </is>
      </c>
      <c r="D236" t="inlineStr">
        <is>
          <t>NULL</t>
        </is>
      </c>
      <c r="E236" t="inlineStr">
        <is>
          <t>NULL</t>
        </is>
      </c>
      <c r="F236" t="inlineStr">
        <is>
          <t>NULL</t>
        </is>
      </c>
      <c r="G236" t="inlineStr">
        <is>
          <t>NULL</t>
        </is>
      </c>
      <c r="H236" t="inlineStr">
        <is>
          <t>NULL</t>
        </is>
      </c>
      <c r="I236" t="inlineStr">
        <is>
          <t>NULL</t>
        </is>
      </c>
      <c r="J236" t="inlineStr">
        <is>
          <t>NULL</t>
        </is>
      </c>
      <c r="K236" t="inlineStr">
        <is>
          <t>YES! 	 c_decimal38列源备映射正确，源端为decimal None位	期望更改为decimal(p,s)	实际备端为decimal None位</t>
        </is>
      </c>
    </row>
    <row r="237">
      <c r="B237" t="inlineStr">
        <is>
          <t>NULL</t>
        </is>
      </c>
      <c r="C237" t="inlineStr">
        <is>
          <t>NULL</t>
        </is>
      </c>
      <c r="D237" t="inlineStr">
        <is>
          <t>NULL</t>
        </is>
      </c>
      <c r="E237" t="inlineStr">
        <is>
          <t>NULL</t>
        </is>
      </c>
      <c r="F237" t="inlineStr">
        <is>
          <t>NULL</t>
        </is>
      </c>
      <c r="G237" t="inlineStr">
        <is>
          <t>NULL</t>
        </is>
      </c>
      <c r="H237" t="inlineStr">
        <is>
          <t>NULL</t>
        </is>
      </c>
      <c r="I237" t="inlineStr">
        <is>
          <t>NULL</t>
        </is>
      </c>
      <c r="J237" t="inlineStr">
        <is>
          <t>NULL</t>
        </is>
      </c>
      <c r="K237" t="inlineStr">
        <is>
          <t xml:space="preserve"> NO!  	 c_decimal38_38列源备映射错误，源端为decimal None位	期望更改为decimal(p,s)	实际备端为varchar 168位</t>
        </is>
      </c>
    </row>
    <row r="238">
      <c r="B238" t="inlineStr">
        <is>
          <t>NULL</t>
        </is>
      </c>
      <c r="C238" t="inlineStr">
        <is>
          <t>NULL</t>
        </is>
      </c>
      <c r="D238" t="inlineStr">
        <is>
          <t>NULL</t>
        </is>
      </c>
      <c r="E238" t="inlineStr">
        <is>
          <t>NULL</t>
        </is>
      </c>
      <c r="F238" t="inlineStr">
        <is>
          <t>NULL</t>
        </is>
      </c>
      <c r="G238" t="inlineStr">
        <is>
          <t>NULL</t>
        </is>
      </c>
      <c r="H238" t="inlineStr">
        <is>
          <t>NULL</t>
        </is>
      </c>
      <c r="I238" t="inlineStr">
        <is>
          <t>NULL</t>
        </is>
      </c>
      <c r="J238" t="inlineStr">
        <is>
          <t>NULL</t>
        </is>
      </c>
      <c r="K238" t="inlineStr">
        <is>
          <t>YES! 	 c_decimal38_10列源备映射正确，源端为decimal None位	期望更改为decimal(p,s)	实际备端为decimal None位</t>
        </is>
      </c>
    </row>
    <row r="239">
      <c r="B239" t="inlineStr">
        <is>
          <t>NULL</t>
        </is>
      </c>
      <c r="C239" t="inlineStr">
        <is>
          <t>NULL</t>
        </is>
      </c>
      <c r="D239" t="inlineStr">
        <is>
          <t>NULL</t>
        </is>
      </c>
      <c r="E239" t="inlineStr">
        <is>
          <t>NULL</t>
        </is>
      </c>
      <c r="F239" t="inlineStr">
        <is>
          <t>NULL</t>
        </is>
      </c>
      <c r="G239" t="inlineStr">
        <is>
          <t>NULL</t>
        </is>
      </c>
      <c r="H239" t="inlineStr">
        <is>
          <t>NULL</t>
        </is>
      </c>
      <c r="I239" t="inlineStr">
        <is>
          <t>NULL</t>
        </is>
      </c>
      <c r="J239" t="inlineStr">
        <is>
          <t>NULL</t>
        </is>
      </c>
      <c r="K239" t="inlineStr">
        <is>
          <t>YES! 	 c_decimal19_4列源备映射正确，源端为decimal None位	期望更改为decimal(p,s)	实际备端为decimal None位</t>
        </is>
      </c>
    </row>
    <row r="240">
      <c r="B240" t="inlineStr">
        <is>
          <t>NULL</t>
        </is>
      </c>
      <c r="C240" t="inlineStr">
        <is>
          <t>NULL</t>
        </is>
      </c>
      <c r="D240" t="inlineStr">
        <is>
          <t>NULL</t>
        </is>
      </c>
      <c r="E240" t="inlineStr">
        <is>
          <t>NULL</t>
        </is>
      </c>
      <c r="F240" t="inlineStr">
        <is>
          <t>NULL</t>
        </is>
      </c>
      <c r="G240" t="inlineStr">
        <is>
          <t>NULL</t>
        </is>
      </c>
      <c r="H240" t="inlineStr">
        <is>
          <t>NULL</t>
        </is>
      </c>
      <c r="I240" t="inlineStr">
        <is>
          <t>NULL</t>
        </is>
      </c>
      <c r="J240" t="inlineStr">
        <is>
          <t>NULL</t>
        </is>
      </c>
      <c r="K240" t="inlineStr">
        <is>
          <t>YES! 	 c_numeric列源备映射正确，源端为numeric None位	期望更改为decimal(p,s)	实际备端为decimal None位</t>
        </is>
      </c>
    </row>
    <row r="241">
      <c r="B241" t="inlineStr">
        <is>
          <t>NULL</t>
        </is>
      </c>
      <c r="C241" t="inlineStr">
        <is>
          <t>NULL</t>
        </is>
      </c>
      <c r="D241" t="inlineStr">
        <is>
          <t>NULL</t>
        </is>
      </c>
      <c r="E241" t="inlineStr">
        <is>
          <t>NULL</t>
        </is>
      </c>
      <c r="F241" t="inlineStr">
        <is>
          <t>NULL</t>
        </is>
      </c>
      <c r="G241" t="inlineStr">
        <is>
          <t>NULL</t>
        </is>
      </c>
      <c r="H241" t="inlineStr">
        <is>
          <t>NULL</t>
        </is>
      </c>
      <c r="I241" t="inlineStr">
        <is>
          <t>NULL</t>
        </is>
      </c>
      <c r="J241" t="inlineStr">
        <is>
          <t>NULL</t>
        </is>
      </c>
      <c r="K241" t="inlineStr">
        <is>
          <t>YES! 	 c_numeric38列源备映射正确，源端为numeric None位	期望更改为decimal(p,s)	实际备端为decimal None位</t>
        </is>
      </c>
    </row>
    <row r="242">
      <c r="B242" t="inlineStr">
        <is>
          <t>NULL</t>
        </is>
      </c>
      <c r="C242" t="inlineStr">
        <is>
          <t>NULL</t>
        </is>
      </c>
      <c r="D242" t="inlineStr">
        <is>
          <t>NULL</t>
        </is>
      </c>
      <c r="E242" t="inlineStr">
        <is>
          <t>NULL</t>
        </is>
      </c>
      <c r="F242" t="inlineStr">
        <is>
          <t>NULL</t>
        </is>
      </c>
      <c r="G242" t="inlineStr">
        <is>
          <t>NULL</t>
        </is>
      </c>
      <c r="H242" t="inlineStr">
        <is>
          <t>NULL</t>
        </is>
      </c>
      <c r="I242" t="inlineStr">
        <is>
          <t>NULL</t>
        </is>
      </c>
      <c r="J242" t="inlineStr">
        <is>
          <t>NULL</t>
        </is>
      </c>
      <c r="K242" t="inlineStr">
        <is>
          <t xml:space="preserve"> NO!  	 c_numeric38_38列源备映射错误，源端为numeric None位	期望更改为decimal(p,s)	实际备端为varchar 168位</t>
        </is>
      </c>
    </row>
    <row r="243">
      <c r="B243" t="inlineStr">
        <is>
          <t>NULL</t>
        </is>
      </c>
      <c r="C243" t="inlineStr">
        <is>
          <t>NULL</t>
        </is>
      </c>
      <c r="D243" t="inlineStr">
        <is>
          <t>NULL</t>
        </is>
      </c>
      <c r="E243" t="inlineStr">
        <is>
          <t>NULL</t>
        </is>
      </c>
      <c r="F243" t="inlineStr">
        <is>
          <t>NULL</t>
        </is>
      </c>
      <c r="G243" t="inlineStr">
        <is>
          <t>NULL</t>
        </is>
      </c>
      <c r="H243" t="inlineStr">
        <is>
          <t>NULL</t>
        </is>
      </c>
      <c r="I243" t="inlineStr">
        <is>
          <t>NULL</t>
        </is>
      </c>
      <c r="J243" t="inlineStr">
        <is>
          <t>NULL</t>
        </is>
      </c>
      <c r="K243" t="inlineStr">
        <is>
          <t>YES! 	 c_numeric38_10列源备映射正确，源端为numeric None位	期望更改为decimal(p,s)	实际备端为decimal None位</t>
        </is>
      </c>
    </row>
    <row r="244">
      <c r="B244" t="inlineStr">
        <is>
          <t>NULL</t>
        </is>
      </c>
      <c r="C244" t="inlineStr">
        <is>
          <t>NULL</t>
        </is>
      </c>
      <c r="D244" t="inlineStr">
        <is>
          <t>NULL</t>
        </is>
      </c>
      <c r="E244" t="inlineStr">
        <is>
          <t>NULL</t>
        </is>
      </c>
      <c r="F244" t="inlineStr">
        <is>
          <t>NULL</t>
        </is>
      </c>
      <c r="G244" t="inlineStr">
        <is>
          <t>NULL</t>
        </is>
      </c>
      <c r="H244" t="inlineStr">
        <is>
          <t>NULL</t>
        </is>
      </c>
      <c r="I244" t="inlineStr">
        <is>
          <t>NULL</t>
        </is>
      </c>
      <c r="J244" t="inlineStr">
        <is>
          <t>NULL</t>
        </is>
      </c>
      <c r="K244" t="inlineStr">
        <is>
          <t>YES! 	 c_numeric18_2列源备映射正确，源端为numeric None位	期望更改为decimal(p,s)	实际备端为decimal None位</t>
        </is>
      </c>
    </row>
    <row r="245">
      <c r="B245" t="inlineStr">
        <is>
          <t>NULL</t>
        </is>
      </c>
      <c r="C245" t="inlineStr">
        <is>
          <t>NULL</t>
        </is>
      </c>
      <c r="D245" t="inlineStr">
        <is>
          <t>NULL</t>
        </is>
      </c>
      <c r="E245" t="inlineStr">
        <is>
          <t>NULL</t>
        </is>
      </c>
      <c r="F245" t="inlineStr">
        <is>
          <t>NULL</t>
        </is>
      </c>
      <c r="G245" t="inlineStr">
        <is>
          <t>NULL</t>
        </is>
      </c>
      <c r="H245" t="inlineStr">
        <is>
          <t>NULL</t>
        </is>
      </c>
      <c r="I245" t="inlineStr">
        <is>
          <t>NULL</t>
        </is>
      </c>
      <c r="J245" t="inlineStr">
        <is>
          <t>NULL</t>
        </is>
      </c>
      <c r="K245" t="inlineStr">
        <is>
          <t>YES! 	 c_float列源备映射正确，源端为float None位	期望更改为double	实际备端为double None位</t>
        </is>
      </c>
    </row>
    <row r="246">
      <c r="B246" t="inlineStr">
        <is>
          <t>NULL</t>
        </is>
      </c>
      <c r="C246" t="inlineStr">
        <is>
          <t>NULL</t>
        </is>
      </c>
      <c r="D246" t="inlineStr">
        <is>
          <t>NULL</t>
        </is>
      </c>
      <c r="E246" t="inlineStr">
        <is>
          <t>NULL</t>
        </is>
      </c>
      <c r="F246" t="inlineStr">
        <is>
          <t>NULL</t>
        </is>
      </c>
      <c r="G246" t="inlineStr">
        <is>
          <t>NULL</t>
        </is>
      </c>
      <c r="H246" t="inlineStr">
        <is>
          <t>NULL</t>
        </is>
      </c>
      <c r="I246" t="inlineStr">
        <is>
          <t>NULL</t>
        </is>
      </c>
      <c r="J246" t="inlineStr">
        <is>
          <t>NULL</t>
        </is>
      </c>
      <c r="K246" t="inlineStr">
        <is>
          <t>YES! 	 c_real列源备映射正确，源端为real None位	期望更改为double	实际备端为double None位</t>
        </is>
      </c>
    </row>
    <row r="247">
      <c r="B247" t="inlineStr">
        <is>
          <t>NULL</t>
        </is>
      </c>
      <c r="C247" t="inlineStr">
        <is>
          <t>NULL</t>
        </is>
      </c>
      <c r="D247" t="inlineStr">
        <is>
          <t>NULL</t>
        </is>
      </c>
      <c r="E247" t="inlineStr">
        <is>
          <t>NULL</t>
        </is>
      </c>
      <c r="F247" t="inlineStr">
        <is>
          <t>NULL</t>
        </is>
      </c>
      <c r="G247" t="inlineStr">
        <is>
          <t>NULL</t>
        </is>
      </c>
      <c r="H247" t="inlineStr">
        <is>
          <t>NULL</t>
        </is>
      </c>
      <c r="I247" t="inlineStr">
        <is>
          <t>NULL</t>
        </is>
      </c>
      <c r="J247" t="inlineStr">
        <is>
          <t>NULL</t>
        </is>
      </c>
      <c r="K247" t="inlineStr">
        <is>
          <t>YES! 	 c_money列源备映射正确，源端为money None位	期望更改为decimal(19,4)	实际备端为decimal None位</t>
        </is>
      </c>
    </row>
    <row r="248">
      <c r="B248" t="inlineStr">
        <is>
          <t>NULL</t>
        </is>
      </c>
      <c r="C248" t="inlineStr">
        <is>
          <t>NULL</t>
        </is>
      </c>
      <c r="D248" t="inlineStr">
        <is>
          <t>NULL</t>
        </is>
      </c>
      <c r="E248" t="inlineStr">
        <is>
          <t>NULL</t>
        </is>
      </c>
      <c r="F248" t="inlineStr">
        <is>
          <t>NULL</t>
        </is>
      </c>
      <c r="G248" t="inlineStr">
        <is>
          <t>NULL</t>
        </is>
      </c>
      <c r="H248" t="inlineStr">
        <is>
          <t>NULL</t>
        </is>
      </c>
      <c r="I248" t="inlineStr">
        <is>
          <t>NULL</t>
        </is>
      </c>
      <c r="J248" t="inlineStr">
        <is>
          <t>NULL</t>
        </is>
      </c>
      <c r="K248" t="inlineStr">
        <is>
          <t>YES! 	 c_smallmoney列源备映射正确，源端为smallmoney None位	期望更改为decimal(10,4)	实际备端为decimal None位</t>
        </is>
      </c>
    </row>
    <row r="249">
      <c r="B249" t="inlineStr">
        <is>
          <t>NULL</t>
        </is>
      </c>
      <c r="C249" t="inlineStr">
        <is>
          <t>NULL</t>
        </is>
      </c>
      <c r="D249" t="inlineStr">
        <is>
          <t>NULL</t>
        </is>
      </c>
      <c r="E249" t="inlineStr">
        <is>
          <t>NULL</t>
        </is>
      </c>
      <c r="F249" t="inlineStr">
        <is>
          <t>NULL</t>
        </is>
      </c>
      <c r="G249" t="inlineStr">
        <is>
          <t>NULL</t>
        </is>
      </c>
      <c r="H249" t="inlineStr">
        <is>
          <t>NULL</t>
        </is>
      </c>
      <c r="I249" t="inlineStr">
        <is>
          <t>NULL</t>
        </is>
      </c>
      <c r="J249" t="inlineStr">
        <is>
          <t>NULL</t>
        </is>
      </c>
      <c r="K249" t="inlineStr">
        <is>
          <t>YES! 	 c_bit列源备映射正确，源端为bit None位	期望更改为tinyint(1) 	实际备端为tinyint None位</t>
        </is>
      </c>
    </row>
    <row r="250">
      <c r="A250" t="inlineStr">
        <is>
          <t>info_varchar_dml_single_pk_urp</t>
        </is>
      </c>
      <c r="K250" t="inlineStr">
        <is>
          <t>[0;34m info_varchar_dml_single_pk_urp [0m源备字段数相同，源端字段：4 	备端字段4</t>
        </is>
      </c>
      <c r="W250" t="inlineStr">
        <is>
          <t>YES 源备无差异</t>
        </is>
      </c>
      <c r="X250">
        <f>A250</f>
        <v/>
      </c>
    </row>
    <row r="251">
      <c r="B251" t="inlineStr">
        <is>
          <t>YES</t>
        </is>
      </c>
      <c r="C251" t="inlineStr">
        <is>
          <t>NULL</t>
        </is>
      </c>
      <c r="D251" t="inlineStr">
        <is>
          <t>NULL</t>
        </is>
      </c>
      <c r="E251" t="inlineStr">
        <is>
          <t>NULL</t>
        </is>
      </c>
      <c r="F251" t="inlineStr">
        <is>
          <t>NULL</t>
        </is>
      </c>
      <c r="G251" t="inlineStr">
        <is>
          <t>NULL</t>
        </is>
      </c>
      <c r="H251" t="inlineStr">
        <is>
          <t>NULL</t>
        </is>
      </c>
      <c r="I251" t="inlineStr">
        <is>
          <t>YES!PK__info_var__3213E83F339AEA58</t>
        </is>
      </c>
      <c r="J251" t="inlineStr">
        <is>
          <t>YES! 主键相关索引</t>
        </is>
      </c>
      <c r="K251" t="inlineStr">
        <is>
          <t>YES! 	 id列源备映射正确，源端为int None位	期望更改为int	实际备端为int None位</t>
        </is>
      </c>
    </row>
    <row r="252">
      <c r="B252" t="inlineStr">
        <is>
          <t>NULL</t>
        </is>
      </c>
      <c r="C252" t="inlineStr">
        <is>
          <t>NULL</t>
        </is>
      </c>
      <c r="D252" t="inlineStr">
        <is>
          <t>NULL</t>
        </is>
      </c>
      <c r="E252" t="inlineStr">
        <is>
          <t>NULL</t>
        </is>
      </c>
      <c r="F252" t="inlineStr">
        <is>
          <t>NULL</t>
        </is>
      </c>
      <c r="G252" t="inlineStr">
        <is>
          <t>NULL</t>
        </is>
      </c>
      <c r="H252" t="inlineStr">
        <is>
          <t>NULL</t>
        </is>
      </c>
      <c r="I252" t="inlineStr">
        <is>
          <t>NULL</t>
        </is>
      </c>
      <c r="J252" t="inlineStr">
        <is>
          <t>NULL</t>
        </is>
      </c>
      <c r="K252" t="inlineStr">
        <is>
          <t>YES! 	 c_varchar列源备映射正确，源端为varchar 1位	期望更改为varchar(n)	实际备端为varchar 4位</t>
        </is>
      </c>
    </row>
    <row r="253">
      <c r="B253" t="inlineStr">
        <is>
          <t>NULL</t>
        </is>
      </c>
      <c r="C253" t="inlineStr">
        <is>
          <t>NULL</t>
        </is>
      </c>
      <c r="D253" t="inlineStr">
        <is>
          <t>NULL</t>
        </is>
      </c>
      <c r="E253" t="inlineStr">
        <is>
          <t>NULL</t>
        </is>
      </c>
      <c r="F253" t="inlineStr">
        <is>
          <t>NULL</t>
        </is>
      </c>
      <c r="G253" t="inlineStr">
        <is>
          <t>NULL</t>
        </is>
      </c>
      <c r="H253" t="inlineStr">
        <is>
          <t>NULL</t>
        </is>
      </c>
      <c r="I253" t="inlineStr">
        <is>
          <t>NULL</t>
        </is>
      </c>
      <c r="J253" t="inlineStr">
        <is>
          <t>NULL</t>
        </is>
      </c>
      <c r="K253" t="inlineStr">
        <is>
          <t>YES! 	 c_varchar50列源备映射正确，源端为varchar 50位	期望更改为varchar(n)	实际备端为varchar 200位</t>
        </is>
      </c>
    </row>
    <row r="254">
      <c r="B254" t="inlineStr">
        <is>
          <t>NULL</t>
        </is>
      </c>
      <c r="C254" t="inlineStr">
        <is>
          <t>NULL</t>
        </is>
      </c>
      <c r="D254" t="inlineStr">
        <is>
          <t>NULL</t>
        </is>
      </c>
      <c r="E254" t="inlineStr">
        <is>
          <t>NULL</t>
        </is>
      </c>
      <c r="F254" t="inlineStr">
        <is>
          <t>NULL</t>
        </is>
      </c>
      <c r="G254" t="inlineStr">
        <is>
          <t>NULL</t>
        </is>
      </c>
      <c r="H254" t="inlineStr">
        <is>
          <t>NULL</t>
        </is>
      </c>
      <c r="I254" t="inlineStr">
        <is>
          <t>NULL</t>
        </is>
      </c>
      <c r="J254" t="inlineStr">
        <is>
          <t>NULL</t>
        </is>
      </c>
      <c r="K254" t="inlineStr">
        <is>
          <t xml:space="preserve"> NO!  	 c_varchar8000列源备映射错误，源端为varchar 8000位	期望更改为longtext	实际备端为text 65535位</t>
        </is>
      </c>
    </row>
    <row r="255">
      <c r="A255" t="inlineStr">
        <is>
          <t>info_varchar_dml_single_pk_irp</t>
        </is>
      </c>
      <c r="K255" t="inlineStr">
        <is>
          <t>[0;34m info_varchar_dml_single_pk_irp [0m源备字段数相同，源端字段：4 	备端字段4</t>
        </is>
      </c>
      <c r="W255" t="inlineStr">
        <is>
          <t>YES 源备无差异</t>
        </is>
      </c>
      <c r="X255">
        <f>A255</f>
        <v/>
      </c>
    </row>
    <row r="256">
      <c r="B256" t="inlineStr">
        <is>
          <t>YES</t>
        </is>
      </c>
      <c r="C256" t="inlineStr">
        <is>
          <t>NULL</t>
        </is>
      </c>
      <c r="D256" t="inlineStr">
        <is>
          <t>NULL</t>
        </is>
      </c>
      <c r="E256" t="inlineStr">
        <is>
          <t>NULL</t>
        </is>
      </c>
      <c r="F256" t="inlineStr">
        <is>
          <t>NULL</t>
        </is>
      </c>
      <c r="G256" t="inlineStr">
        <is>
          <t>NULL</t>
        </is>
      </c>
      <c r="H256" t="inlineStr">
        <is>
          <t>NULL</t>
        </is>
      </c>
      <c r="I256" t="inlineStr">
        <is>
          <t>YES!PK__info_var__3213E83F6E448EB5</t>
        </is>
      </c>
      <c r="J256" t="inlineStr">
        <is>
          <t>YES! 主键相关索引</t>
        </is>
      </c>
      <c r="K256" t="inlineStr">
        <is>
          <t>YES! 	 id列源备映射正确，源端为int None位	期望更改为int	实际备端为int None位</t>
        </is>
      </c>
    </row>
    <row r="257">
      <c r="B257" t="inlineStr">
        <is>
          <t>NULL</t>
        </is>
      </c>
      <c r="C257" t="inlineStr">
        <is>
          <t>NULL</t>
        </is>
      </c>
      <c r="D257" t="inlineStr">
        <is>
          <t>NULL</t>
        </is>
      </c>
      <c r="E257" t="inlineStr">
        <is>
          <t>NULL</t>
        </is>
      </c>
      <c r="F257" t="inlineStr">
        <is>
          <t>NULL</t>
        </is>
      </c>
      <c r="G257" t="inlineStr">
        <is>
          <t>NULL</t>
        </is>
      </c>
      <c r="H257" t="inlineStr">
        <is>
          <t>NULL</t>
        </is>
      </c>
      <c r="I257" t="inlineStr">
        <is>
          <t>NULL</t>
        </is>
      </c>
      <c r="J257" t="inlineStr">
        <is>
          <t>NULL</t>
        </is>
      </c>
      <c r="K257" t="inlineStr">
        <is>
          <t>YES! 	 c_varchar列源备映射正确，源端为varchar 1位	期望更改为varchar(n)	实际备端为varchar 4位</t>
        </is>
      </c>
    </row>
    <row r="258">
      <c r="B258" t="inlineStr">
        <is>
          <t>NULL</t>
        </is>
      </c>
      <c r="C258" t="inlineStr">
        <is>
          <t>NULL</t>
        </is>
      </c>
      <c r="D258" t="inlineStr">
        <is>
          <t>NULL</t>
        </is>
      </c>
      <c r="E258" t="inlineStr">
        <is>
          <t>NULL</t>
        </is>
      </c>
      <c r="F258" t="inlineStr">
        <is>
          <t>NULL</t>
        </is>
      </c>
      <c r="G258" t="inlineStr">
        <is>
          <t>NULL</t>
        </is>
      </c>
      <c r="H258" t="inlineStr">
        <is>
          <t>NULL</t>
        </is>
      </c>
      <c r="I258" t="inlineStr">
        <is>
          <t>NULL</t>
        </is>
      </c>
      <c r="J258" t="inlineStr">
        <is>
          <t>NULL</t>
        </is>
      </c>
      <c r="K258" t="inlineStr">
        <is>
          <t>YES! 	 c_varchar50列源备映射正确，源端为varchar 50位	期望更改为varchar(n)	实际备端为varchar 200位</t>
        </is>
      </c>
    </row>
    <row r="259">
      <c r="B259" t="inlineStr">
        <is>
          <t>NULL</t>
        </is>
      </c>
      <c r="C259" t="inlineStr">
        <is>
          <t>NULL</t>
        </is>
      </c>
      <c r="D259" t="inlineStr">
        <is>
          <t>NULL</t>
        </is>
      </c>
      <c r="E259" t="inlineStr">
        <is>
          <t>NULL</t>
        </is>
      </c>
      <c r="F259" t="inlineStr">
        <is>
          <t>NULL</t>
        </is>
      </c>
      <c r="G259" t="inlineStr">
        <is>
          <t>NULL</t>
        </is>
      </c>
      <c r="H259" t="inlineStr">
        <is>
          <t>NULL</t>
        </is>
      </c>
      <c r="I259" t="inlineStr">
        <is>
          <t>NULL</t>
        </is>
      </c>
      <c r="J259" t="inlineStr">
        <is>
          <t>NULL</t>
        </is>
      </c>
      <c r="K259" t="inlineStr">
        <is>
          <t xml:space="preserve"> NO!  	 c_varchar8000列源备映射错误，源端为varchar 8000位	期望更改为longtext	实际备端为text 65535位</t>
        </is>
      </c>
    </row>
    <row r="260">
      <c r="A260" t="inlineStr">
        <is>
          <t>info_char_dml_batch2_pk_irp2</t>
        </is>
      </c>
      <c r="K260" t="inlineStr">
        <is>
          <t>[0;34m info_char_dml_batch2_pk_irp2 [0m源备字段数相同，源端字段：4 	备端字段4</t>
        </is>
      </c>
      <c r="W260" s="15">
        <f>HYPERLINK("#2026052610mysql0!AO2","NO 源备存在差异，共16个")</f>
        <v/>
      </c>
      <c r="X260">
        <f>A260</f>
        <v/>
      </c>
    </row>
    <row r="261">
      <c r="B261" t="inlineStr">
        <is>
          <t>YES</t>
        </is>
      </c>
      <c r="C261" t="inlineStr">
        <is>
          <t>NULL</t>
        </is>
      </c>
      <c r="D261" t="inlineStr">
        <is>
          <t>NULL</t>
        </is>
      </c>
      <c r="E261" t="inlineStr">
        <is>
          <t>NULL</t>
        </is>
      </c>
      <c r="F261" t="inlineStr">
        <is>
          <t>NULL</t>
        </is>
      </c>
      <c r="G261" t="inlineStr">
        <is>
          <t>NULL</t>
        </is>
      </c>
      <c r="H261" t="inlineStr">
        <is>
          <t>NULL</t>
        </is>
      </c>
      <c r="I261" t="inlineStr">
        <is>
          <t>YES!PK__info_cha__3213E83F17ECD9F4</t>
        </is>
      </c>
      <c r="J261" t="inlineStr">
        <is>
          <t>YES! 主键相关索引</t>
        </is>
      </c>
      <c r="K261" t="inlineStr">
        <is>
          <t>YES! 	 id列源备映射正确，源端为int None位	期望更改为int	实际备端为int None位</t>
        </is>
      </c>
    </row>
    <row r="262">
      <c r="B262" t="inlineStr">
        <is>
          <t>NULL</t>
        </is>
      </c>
      <c r="C262" t="inlineStr">
        <is>
          <t>NULL</t>
        </is>
      </c>
      <c r="D262" t="inlineStr">
        <is>
          <t>NULL</t>
        </is>
      </c>
      <c r="E262" t="inlineStr">
        <is>
          <t>NULL</t>
        </is>
      </c>
      <c r="F262" t="inlineStr">
        <is>
          <t>NULL</t>
        </is>
      </c>
      <c r="G262" t="inlineStr">
        <is>
          <t>NULL</t>
        </is>
      </c>
      <c r="H262" t="inlineStr">
        <is>
          <t>NULL</t>
        </is>
      </c>
      <c r="I262" t="inlineStr">
        <is>
          <t>NULL</t>
        </is>
      </c>
      <c r="J262" t="inlineStr">
        <is>
          <t>NULL</t>
        </is>
      </c>
      <c r="K262" t="inlineStr">
        <is>
          <t>YES! 	 c_char列源备映射正确，源端为char 1位	期望更改为char(n)	实际备端为char 4位</t>
        </is>
      </c>
    </row>
    <row r="263">
      <c r="B263" t="inlineStr">
        <is>
          <t>NULL</t>
        </is>
      </c>
      <c r="C263" t="inlineStr">
        <is>
          <t>NULL</t>
        </is>
      </c>
      <c r="D263" t="inlineStr">
        <is>
          <t>NULL</t>
        </is>
      </c>
      <c r="E263" t="inlineStr">
        <is>
          <t>NULL</t>
        </is>
      </c>
      <c r="F263" t="inlineStr">
        <is>
          <t>NULL</t>
        </is>
      </c>
      <c r="G263" t="inlineStr">
        <is>
          <t>NULL</t>
        </is>
      </c>
      <c r="H263" t="inlineStr">
        <is>
          <t>NULL</t>
        </is>
      </c>
      <c r="I263" t="inlineStr">
        <is>
          <t>NULL</t>
        </is>
      </c>
      <c r="J263" t="inlineStr">
        <is>
          <t>NULL</t>
        </is>
      </c>
      <c r="K263" t="inlineStr">
        <is>
          <t>YES! 	 c_char20列源备映射正确，源端为char 20位	期望更改为char(n)	实际备端为char 80位</t>
        </is>
      </c>
    </row>
    <row r="264">
      <c r="B264" t="inlineStr">
        <is>
          <t>NULL</t>
        </is>
      </c>
      <c r="C264" t="inlineStr">
        <is>
          <t>NULL</t>
        </is>
      </c>
      <c r="D264" t="inlineStr">
        <is>
          <t>NULL</t>
        </is>
      </c>
      <c r="E264" t="inlineStr">
        <is>
          <t>NULL</t>
        </is>
      </c>
      <c r="F264" t="inlineStr">
        <is>
          <t>NULL</t>
        </is>
      </c>
      <c r="G264" t="inlineStr">
        <is>
          <t>NULL</t>
        </is>
      </c>
      <c r="H264" t="inlineStr">
        <is>
          <t>NULL</t>
        </is>
      </c>
      <c r="I264" t="inlineStr">
        <is>
          <t>NULL</t>
        </is>
      </c>
      <c r="J264" t="inlineStr">
        <is>
          <t>NULL</t>
        </is>
      </c>
      <c r="K264" t="inlineStr">
        <is>
          <t>YES! 	 c_char8000列源备映射正确，源端为char 8000位	期望更改为text	实际备端为text 65535位</t>
        </is>
      </c>
    </row>
    <row r="265">
      <c r="A265" t="inlineStr">
        <is>
          <t>info_sdt_dml_batch2_pk_irp1</t>
        </is>
      </c>
      <c r="K265" t="inlineStr">
        <is>
          <t>[0;34m info_sdt_dml_batch2_pk_irp1 [0m源备字段数相同，源端字段：2 	备端字段2</t>
        </is>
      </c>
      <c r="W265" t="inlineStr">
        <is>
          <t>YES 源备无差异</t>
        </is>
      </c>
      <c r="X265">
        <f>A265</f>
        <v/>
      </c>
    </row>
    <row r="266">
      <c r="B266" t="inlineStr">
        <is>
          <t>YES</t>
        </is>
      </c>
      <c r="C266" t="inlineStr">
        <is>
          <t>NULL</t>
        </is>
      </c>
      <c r="D266" t="inlineStr">
        <is>
          <t>NULL</t>
        </is>
      </c>
      <c r="E266" t="inlineStr">
        <is>
          <t>NULL</t>
        </is>
      </c>
      <c r="F266" t="inlineStr">
        <is>
          <t>NULL</t>
        </is>
      </c>
      <c r="G266" t="inlineStr">
        <is>
          <t>NULL</t>
        </is>
      </c>
      <c r="H266" t="inlineStr">
        <is>
          <t>NULL</t>
        </is>
      </c>
      <c r="I266" t="inlineStr">
        <is>
          <t>YES!PK__info_sdt__3213E83F3D82C417</t>
        </is>
      </c>
      <c r="J266" t="inlineStr">
        <is>
          <t>YES! 主键相关索引</t>
        </is>
      </c>
      <c r="K266" t="inlineStr">
        <is>
          <t>YES! 	 id列源备映射正确，源端为int None位	期望更改为int	实际备端为int None位</t>
        </is>
      </c>
    </row>
    <row r="267">
      <c r="B267" t="inlineStr">
        <is>
          <t>NULL</t>
        </is>
      </c>
      <c r="C267" t="inlineStr">
        <is>
          <t>NULL</t>
        </is>
      </c>
      <c r="D267" t="inlineStr">
        <is>
          <t>NULL</t>
        </is>
      </c>
      <c r="E267" t="inlineStr">
        <is>
          <t>NULL</t>
        </is>
      </c>
      <c r="F267" t="inlineStr">
        <is>
          <t>NULL</t>
        </is>
      </c>
      <c r="G267" t="inlineStr">
        <is>
          <t>NULL</t>
        </is>
      </c>
      <c r="H267" t="inlineStr">
        <is>
          <t>NULL</t>
        </is>
      </c>
      <c r="I267" t="inlineStr">
        <is>
          <t>NULL</t>
        </is>
      </c>
      <c r="J267" t="inlineStr">
        <is>
          <t>NULL</t>
        </is>
      </c>
      <c r="K267" t="inlineStr">
        <is>
          <t>YES! 	 c_sdt列源备映射正确，源端为smalldatetime None位	期望更改为datetime	实际备端为datetime None位</t>
        </is>
      </c>
    </row>
    <row r="268">
      <c r="A268" t="inlineStr">
        <is>
          <t>info_char_dml_batch1_pk_drp2</t>
        </is>
      </c>
      <c r="K268" t="inlineStr">
        <is>
          <t>[0;34m info_char_dml_batch1_pk_drp2 [0m源备字段数相同，源端字段：4 	备端字段4</t>
        </is>
      </c>
      <c r="W268" t="inlineStr">
        <is>
          <t>YES 源备无差异</t>
        </is>
      </c>
      <c r="X268">
        <f>A268</f>
        <v/>
      </c>
    </row>
    <row r="269">
      <c r="B269" t="inlineStr">
        <is>
          <t>YES</t>
        </is>
      </c>
      <c r="C269" t="inlineStr">
        <is>
          <t>NULL</t>
        </is>
      </c>
      <c r="D269" t="inlineStr">
        <is>
          <t>NULL</t>
        </is>
      </c>
      <c r="E269" t="inlineStr">
        <is>
          <t>NULL</t>
        </is>
      </c>
      <c r="F269" t="inlineStr">
        <is>
          <t>NULL</t>
        </is>
      </c>
      <c r="G269" t="inlineStr">
        <is>
          <t>NULL</t>
        </is>
      </c>
      <c r="H269" t="inlineStr">
        <is>
          <t>NULL</t>
        </is>
      </c>
      <c r="I269" t="inlineStr">
        <is>
          <t>YES!PK__info_cha__3213E83FE351DA10</t>
        </is>
      </c>
      <c r="J269" t="inlineStr">
        <is>
          <t>YES! 主键相关索引</t>
        </is>
      </c>
      <c r="K269" t="inlineStr">
        <is>
          <t>YES! 	 id列源备映射正确，源端为int None位	期望更改为int	实际备端为int None位</t>
        </is>
      </c>
    </row>
    <row r="270">
      <c r="B270" t="inlineStr">
        <is>
          <t>NULL</t>
        </is>
      </c>
      <c r="C270" t="inlineStr">
        <is>
          <t>NULL</t>
        </is>
      </c>
      <c r="D270" t="inlineStr">
        <is>
          <t>NULL</t>
        </is>
      </c>
      <c r="E270" t="inlineStr">
        <is>
          <t>NULL</t>
        </is>
      </c>
      <c r="F270" t="inlineStr">
        <is>
          <t>NULL</t>
        </is>
      </c>
      <c r="G270" t="inlineStr">
        <is>
          <t>NULL</t>
        </is>
      </c>
      <c r="H270" t="inlineStr">
        <is>
          <t>NULL</t>
        </is>
      </c>
      <c r="I270" t="inlineStr">
        <is>
          <t>NULL</t>
        </is>
      </c>
      <c r="J270" t="inlineStr">
        <is>
          <t>NULL</t>
        </is>
      </c>
      <c r="K270" t="inlineStr">
        <is>
          <t>YES! 	 c_char列源备映射正确，源端为char 1位	期望更改为char(n)	实际备端为char 4位</t>
        </is>
      </c>
    </row>
    <row r="271">
      <c r="B271" t="inlineStr">
        <is>
          <t>NULL</t>
        </is>
      </c>
      <c r="C271" t="inlineStr">
        <is>
          <t>NULL</t>
        </is>
      </c>
      <c r="D271" t="inlineStr">
        <is>
          <t>NULL</t>
        </is>
      </c>
      <c r="E271" t="inlineStr">
        <is>
          <t>NULL</t>
        </is>
      </c>
      <c r="F271" t="inlineStr">
        <is>
          <t>NULL</t>
        </is>
      </c>
      <c r="G271" t="inlineStr">
        <is>
          <t>NULL</t>
        </is>
      </c>
      <c r="H271" t="inlineStr">
        <is>
          <t>NULL</t>
        </is>
      </c>
      <c r="I271" t="inlineStr">
        <is>
          <t>NULL</t>
        </is>
      </c>
      <c r="J271" t="inlineStr">
        <is>
          <t>NULL</t>
        </is>
      </c>
      <c r="K271" t="inlineStr">
        <is>
          <t>YES! 	 c_char20列源备映射正确，源端为char 20位	期望更改为char(n)	实际备端为char 80位</t>
        </is>
      </c>
    </row>
    <row r="272">
      <c r="B272" t="inlineStr">
        <is>
          <t>NULL</t>
        </is>
      </c>
      <c r="C272" t="inlineStr">
        <is>
          <t>NULL</t>
        </is>
      </c>
      <c r="D272" t="inlineStr">
        <is>
          <t>NULL</t>
        </is>
      </c>
      <c r="E272" t="inlineStr">
        <is>
          <t>NULL</t>
        </is>
      </c>
      <c r="F272" t="inlineStr">
        <is>
          <t>NULL</t>
        </is>
      </c>
      <c r="G272" t="inlineStr">
        <is>
          <t>NULL</t>
        </is>
      </c>
      <c r="H272" t="inlineStr">
        <is>
          <t>NULL</t>
        </is>
      </c>
      <c r="I272" t="inlineStr">
        <is>
          <t>NULL</t>
        </is>
      </c>
      <c r="J272" t="inlineStr">
        <is>
          <t>NULL</t>
        </is>
      </c>
      <c r="K272" t="inlineStr">
        <is>
          <t>YES! 	 c_char7000列源备映射正确，源端为char 7000位	期望更改为text	实际备端为text 65535位</t>
        </is>
      </c>
    </row>
    <row r="273">
      <c r="A273" t="inlineStr">
        <is>
          <t>info_nchar_dml_single_nopk_irp</t>
        </is>
      </c>
      <c r="K273" t="inlineStr">
        <is>
          <t>[0;34m info_nchar_dml_single_nopk_irp [0m源备字段数相同，源端字段：4 	备端字段4</t>
        </is>
      </c>
      <c r="W273" s="15">
        <f>HYPERLINK("#2026052610mysql0!AP2","NO 源备存在差异，共20个")</f>
        <v/>
      </c>
      <c r="X273">
        <f>A273</f>
        <v/>
      </c>
    </row>
    <row r="274">
      <c r="B274" t="inlineStr">
        <is>
          <t>NULL</t>
        </is>
      </c>
      <c r="C274" t="inlineStr">
        <is>
          <t>NULL</t>
        </is>
      </c>
      <c r="D274" t="inlineStr">
        <is>
          <t>NULL</t>
        </is>
      </c>
      <c r="E274" t="inlineStr">
        <is>
          <t>NULL</t>
        </is>
      </c>
      <c r="F274" t="inlineStr">
        <is>
          <t>NULL</t>
        </is>
      </c>
      <c r="G274" t="inlineStr">
        <is>
          <t>NULL</t>
        </is>
      </c>
      <c r="H274" t="inlineStr">
        <is>
          <t>NULL</t>
        </is>
      </c>
      <c r="I274" t="inlineStr">
        <is>
          <t>NULL</t>
        </is>
      </c>
      <c r="J274" t="inlineStr">
        <is>
          <t>NULL</t>
        </is>
      </c>
      <c r="K274" t="inlineStr">
        <is>
          <t>YES! 	 id列源备映射正确，源端为int None位	期望更改为int	实际备端为int None位</t>
        </is>
      </c>
    </row>
    <row r="275">
      <c r="B275" t="inlineStr">
        <is>
          <t>NULL</t>
        </is>
      </c>
      <c r="C275" t="inlineStr">
        <is>
          <t>NULL</t>
        </is>
      </c>
      <c r="D275" t="inlineStr">
        <is>
          <t>NULL</t>
        </is>
      </c>
      <c r="E275" t="inlineStr">
        <is>
          <t>NULL</t>
        </is>
      </c>
      <c r="F275" t="inlineStr">
        <is>
          <t>NULL</t>
        </is>
      </c>
      <c r="G275" t="inlineStr">
        <is>
          <t>NULL</t>
        </is>
      </c>
      <c r="H275" t="inlineStr">
        <is>
          <t>NULL</t>
        </is>
      </c>
      <c r="I275" t="inlineStr">
        <is>
          <t>NULL</t>
        </is>
      </c>
      <c r="J275" t="inlineStr">
        <is>
          <t>NULL</t>
        </is>
      </c>
      <c r="K275" t="inlineStr">
        <is>
          <t>YES! 	 c_nchar列源备映射正确，源端为nchar 2位	期望更改为char(n)	实际备端为char 4位</t>
        </is>
      </c>
    </row>
    <row r="276">
      <c r="B276" t="inlineStr">
        <is>
          <t>NULL</t>
        </is>
      </c>
      <c r="C276" t="inlineStr">
        <is>
          <t>NULL</t>
        </is>
      </c>
      <c r="D276" t="inlineStr">
        <is>
          <t>NULL</t>
        </is>
      </c>
      <c r="E276" t="inlineStr">
        <is>
          <t>NULL</t>
        </is>
      </c>
      <c r="F276" t="inlineStr">
        <is>
          <t>NULL</t>
        </is>
      </c>
      <c r="G276" t="inlineStr">
        <is>
          <t>NULL</t>
        </is>
      </c>
      <c r="H276" t="inlineStr">
        <is>
          <t>NULL</t>
        </is>
      </c>
      <c r="I276" t="inlineStr">
        <is>
          <t>NULL</t>
        </is>
      </c>
      <c r="J276" t="inlineStr">
        <is>
          <t>NULL</t>
        </is>
      </c>
      <c r="K276" t="inlineStr">
        <is>
          <t>YES! 	 c_nchar20列源备映射正确，源端为nchar 40位	期望更改为char(n)	实际备端为char 80位</t>
        </is>
      </c>
    </row>
    <row r="277">
      <c r="B277" t="inlineStr">
        <is>
          <t>NULL</t>
        </is>
      </c>
      <c r="C277" t="inlineStr">
        <is>
          <t>NULL</t>
        </is>
      </c>
      <c r="D277" t="inlineStr">
        <is>
          <t>NULL</t>
        </is>
      </c>
      <c r="E277" t="inlineStr">
        <is>
          <t>NULL</t>
        </is>
      </c>
      <c r="F277" t="inlineStr">
        <is>
          <t>NULL</t>
        </is>
      </c>
      <c r="G277" t="inlineStr">
        <is>
          <t>NULL</t>
        </is>
      </c>
      <c r="H277" t="inlineStr">
        <is>
          <t>NULL</t>
        </is>
      </c>
      <c r="I277" t="inlineStr">
        <is>
          <t>NULL</t>
        </is>
      </c>
      <c r="J277" t="inlineStr">
        <is>
          <t>NULL</t>
        </is>
      </c>
      <c r="K277" t="inlineStr">
        <is>
          <t>YES! 	 c_nchar4000列源备映射正确，源端为nchar 8000位	期望更改为text	实际备端为text 65535位</t>
        </is>
      </c>
    </row>
    <row r="278">
      <c r="A278" t="inlineStr">
        <is>
          <t>info_varchar_dml_single_pk_drp</t>
        </is>
      </c>
      <c r="K278" t="inlineStr">
        <is>
          <t>[0;34m info_varchar_dml_single_pk_drp [0m源备字段数相同，源端字段：4 	备端字段4</t>
        </is>
      </c>
      <c r="W278" t="inlineStr">
        <is>
          <t>YES 源备无差异</t>
        </is>
      </c>
      <c r="X278">
        <f>A278</f>
        <v/>
      </c>
    </row>
    <row r="279">
      <c r="B279" t="inlineStr">
        <is>
          <t>YES</t>
        </is>
      </c>
      <c r="C279" t="inlineStr">
        <is>
          <t>NULL</t>
        </is>
      </c>
      <c r="D279" t="inlineStr">
        <is>
          <t>NULL</t>
        </is>
      </c>
      <c r="E279" t="inlineStr">
        <is>
          <t>NULL</t>
        </is>
      </c>
      <c r="F279" t="inlineStr">
        <is>
          <t>NULL</t>
        </is>
      </c>
      <c r="G279" t="inlineStr">
        <is>
          <t>NULL</t>
        </is>
      </c>
      <c r="H279" t="inlineStr">
        <is>
          <t>NULL</t>
        </is>
      </c>
      <c r="I279" t="inlineStr">
        <is>
          <t>YES!PK__info_var__3213E83FEE4FC36C</t>
        </is>
      </c>
      <c r="J279" t="inlineStr">
        <is>
          <t>YES! 主键相关索引</t>
        </is>
      </c>
      <c r="K279" t="inlineStr">
        <is>
          <t>YES! 	 id列源备映射正确，源端为int None位	期望更改为int	实际备端为int None位</t>
        </is>
      </c>
    </row>
    <row r="280">
      <c r="B280" t="inlineStr">
        <is>
          <t>NULL</t>
        </is>
      </c>
      <c r="C280" t="inlineStr">
        <is>
          <t>NULL</t>
        </is>
      </c>
      <c r="D280" t="inlineStr">
        <is>
          <t>NULL</t>
        </is>
      </c>
      <c r="E280" t="inlineStr">
        <is>
          <t>NULL</t>
        </is>
      </c>
      <c r="F280" t="inlineStr">
        <is>
          <t>NULL</t>
        </is>
      </c>
      <c r="G280" t="inlineStr">
        <is>
          <t>NULL</t>
        </is>
      </c>
      <c r="H280" t="inlineStr">
        <is>
          <t>NULL</t>
        </is>
      </c>
      <c r="I280" t="inlineStr">
        <is>
          <t>NULL</t>
        </is>
      </c>
      <c r="J280" t="inlineStr">
        <is>
          <t>NULL</t>
        </is>
      </c>
      <c r="K280" t="inlineStr">
        <is>
          <t>YES! 	 c_varchar列源备映射正确，源端为varchar 1位	期望更改为varchar(n)	实际备端为varchar 4位</t>
        </is>
      </c>
    </row>
    <row r="281">
      <c r="B281" t="inlineStr">
        <is>
          <t>NULL</t>
        </is>
      </c>
      <c r="C281" t="inlineStr">
        <is>
          <t>NULL</t>
        </is>
      </c>
      <c r="D281" t="inlineStr">
        <is>
          <t>NULL</t>
        </is>
      </c>
      <c r="E281" t="inlineStr">
        <is>
          <t>NULL</t>
        </is>
      </c>
      <c r="F281" t="inlineStr">
        <is>
          <t>NULL</t>
        </is>
      </c>
      <c r="G281" t="inlineStr">
        <is>
          <t>NULL</t>
        </is>
      </c>
      <c r="H281" t="inlineStr">
        <is>
          <t>NULL</t>
        </is>
      </c>
      <c r="I281" t="inlineStr">
        <is>
          <t>NULL</t>
        </is>
      </c>
      <c r="J281" t="inlineStr">
        <is>
          <t>NULL</t>
        </is>
      </c>
      <c r="K281" t="inlineStr">
        <is>
          <t>YES! 	 c_varchar50列源备映射正确，源端为varchar 50位	期望更改为varchar(n)	实际备端为varchar 200位</t>
        </is>
      </c>
    </row>
    <row r="282">
      <c r="B282" t="inlineStr">
        <is>
          <t>NULL</t>
        </is>
      </c>
      <c r="C282" t="inlineStr">
        <is>
          <t>NULL</t>
        </is>
      </c>
      <c r="D282" t="inlineStr">
        <is>
          <t>NULL</t>
        </is>
      </c>
      <c r="E282" t="inlineStr">
        <is>
          <t>NULL</t>
        </is>
      </c>
      <c r="F282" t="inlineStr">
        <is>
          <t>NULL</t>
        </is>
      </c>
      <c r="G282" t="inlineStr">
        <is>
          <t>NULL</t>
        </is>
      </c>
      <c r="H282" t="inlineStr">
        <is>
          <t>NULL</t>
        </is>
      </c>
      <c r="I282" t="inlineStr">
        <is>
          <t>NULL</t>
        </is>
      </c>
      <c r="J282" t="inlineStr">
        <is>
          <t>NULL</t>
        </is>
      </c>
      <c r="K282" t="inlineStr">
        <is>
          <t xml:space="preserve"> NO!  	 c_varchar8000列源备映射错误，源端为varchar 8000位	期望更改为longtext	实际备端为text 65535位</t>
        </is>
      </c>
    </row>
    <row r="283">
      <c r="A283" t="inlineStr">
        <is>
          <t>info_int_dml_single_pk_urp</t>
        </is>
      </c>
      <c r="K283" t="inlineStr">
        <is>
          <t>[0;34m info_int_dml_single_pk_urp [0m源备字段数相同，源端字段：20 	备端字段20</t>
        </is>
      </c>
      <c r="W283" s="15">
        <f>HYPERLINK("#2026052610mysql0!AQ2","NO 源备存在差异，共2个")</f>
        <v/>
      </c>
      <c r="X283">
        <f>A283</f>
        <v/>
      </c>
    </row>
    <row r="284">
      <c r="B284" t="inlineStr">
        <is>
          <t>YES</t>
        </is>
      </c>
      <c r="C284" t="inlineStr">
        <is>
          <t>NULL</t>
        </is>
      </c>
      <c r="D284" t="inlineStr">
        <is>
          <t>NULL</t>
        </is>
      </c>
      <c r="E284" t="inlineStr">
        <is>
          <t>NULL</t>
        </is>
      </c>
      <c r="F284" t="inlineStr">
        <is>
          <t>NULL</t>
        </is>
      </c>
      <c r="G284" t="inlineStr">
        <is>
          <t>NULL</t>
        </is>
      </c>
      <c r="H284" t="inlineStr">
        <is>
          <t>NULL</t>
        </is>
      </c>
      <c r="I284" t="inlineStr">
        <is>
          <t>YES!PK__info_int__3213E83FF3C9ADF2</t>
        </is>
      </c>
      <c r="J284" t="inlineStr">
        <is>
          <t>YES! 主键相关索引</t>
        </is>
      </c>
      <c r="K284" t="inlineStr">
        <is>
          <t>YES! 	 id列源备映射正确，源端为int None位	期望更改为int	实际备端为int None位</t>
        </is>
      </c>
    </row>
    <row r="285">
      <c r="B285" t="inlineStr">
        <is>
          <t>NULL</t>
        </is>
      </c>
      <c r="C285" t="inlineStr">
        <is>
          <t>NULL</t>
        </is>
      </c>
      <c r="D285" t="inlineStr">
        <is>
          <t>NULL</t>
        </is>
      </c>
      <c r="E285" t="inlineStr">
        <is>
          <t>NULL</t>
        </is>
      </c>
      <c r="F285" t="inlineStr">
        <is>
          <t>NULL</t>
        </is>
      </c>
      <c r="G285" t="inlineStr">
        <is>
          <t>NULL</t>
        </is>
      </c>
      <c r="H285" t="inlineStr">
        <is>
          <t>NULL</t>
        </is>
      </c>
      <c r="I285" t="inlineStr">
        <is>
          <t>NULL</t>
        </is>
      </c>
      <c r="J285" t="inlineStr">
        <is>
          <t>NULL</t>
        </is>
      </c>
      <c r="K285" t="inlineStr">
        <is>
          <t>YES! 	 c_tinyint列源备映射正确，源端为tinyint None位	期望更改为tinyint	实际备端为tinyint None位</t>
        </is>
      </c>
    </row>
    <row r="286">
      <c r="B286" t="inlineStr">
        <is>
          <t>NULL</t>
        </is>
      </c>
      <c r="C286" t="inlineStr">
        <is>
          <t>NULL</t>
        </is>
      </c>
      <c r="D286" t="inlineStr">
        <is>
          <t>NULL</t>
        </is>
      </c>
      <c r="E286" t="inlineStr">
        <is>
          <t>NULL</t>
        </is>
      </c>
      <c r="F286" t="inlineStr">
        <is>
          <t>NULL</t>
        </is>
      </c>
      <c r="G286" t="inlineStr">
        <is>
          <t>NULL</t>
        </is>
      </c>
      <c r="H286" t="inlineStr">
        <is>
          <t>NULL</t>
        </is>
      </c>
      <c r="I286" t="inlineStr">
        <is>
          <t>NULL</t>
        </is>
      </c>
      <c r="J286" t="inlineStr">
        <is>
          <t>NULL</t>
        </is>
      </c>
      <c r="K286" t="inlineStr">
        <is>
          <t>YES! 	 c_smallint列源备映射正确，源端为smallint None位	期望更改为smallint	实际备端为smallint None位</t>
        </is>
      </c>
    </row>
    <row r="287">
      <c r="B287" t="inlineStr">
        <is>
          <t>NULL</t>
        </is>
      </c>
      <c r="C287" t="inlineStr">
        <is>
          <t>NULL</t>
        </is>
      </c>
      <c r="D287" t="inlineStr">
        <is>
          <t>NULL</t>
        </is>
      </c>
      <c r="E287" t="inlineStr">
        <is>
          <t>NULL</t>
        </is>
      </c>
      <c r="F287" t="inlineStr">
        <is>
          <t>NULL</t>
        </is>
      </c>
      <c r="G287" t="inlineStr">
        <is>
          <t>NULL</t>
        </is>
      </c>
      <c r="H287" t="inlineStr">
        <is>
          <t>NULL</t>
        </is>
      </c>
      <c r="I287" t="inlineStr">
        <is>
          <t>NULL</t>
        </is>
      </c>
      <c r="J287" t="inlineStr">
        <is>
          <t>NULL</t>
        </is>
      </c>
      <c r="K287" t="inlineStr">
        <is>
          <t>YES! 	 c_int列源备映射正确，源端为int None位	期望更改为int	实际备端为int None位</t>
        </is>
      </c>
    </row>
    <row r="288">
      <c r="B288" t="inlineStr">
        <is>
          <t>NULL</t>
        </is>
      </c>
      <c r="C288" t="inlineStr">
        <is>
          <t>NULL</t>
        </is>
      </c>
      <c r="D288" t="inlineStr">
        <is>
          <t>NULL</t>
        </is>
      </c>
      <c r="E288" t="inlineStr">
        <is>
          <t>NULL</t>
        </is>
      </c>
      <c r="F288" t="inlineStr">
        <is>
          <t>NULL</t>
        </is>
      </c>
      <c r="G288" t="inlineStr">
        <is>
          <t>NULL</t>
        </is>
      </c>
      <c r="H288" t="inlineStr">
        <is>
          <t>NULL</t>
        </is>
      </c>
      <c r="I288" t="inlineStr">
        <is>
          <t>NULL</t>
        </is>
      </c>
      <c r="J288" t="inlineStr">
        <is>
          <t>NULL</t>
        </is>
      </c>
      <c r="K288" t="inlineStr">
        <is>
          <t>YES! 	 c_bigint列源备映射正确，源端为bigint None位	期望更改为bigint	实际备端为bigint None位</t>
        </is>
      </c>
    </row>
    <row r="289">
      <c r="B289" t="inlineStr">
        <is>
          <t>NULL</t>
        </is>
      </c>
      <c r="C289" t="inlineStr">
        <is>
          <t>NULL</t>
        </is>
      </c>
      <c r="D289" t="inlineStr">
        <is>
          <t>NULL</t>
        </is>
      </c>
      <c r="E289" t="inlineStr">
        <is>
          <t>NULL</t>
        </is>
      </c>
      <c r="F289" t="inlineStr">
        <is>
          <t>NULL</t>
        </is>
      </c>
      <c r="G289" t="inlineStr">
        <is>
          <t>NULL</t>
        </is>
      </c>
      <c r="H289" t="inlineStr">
        <is>
          <t>NULL</t>
        </is>
      </c>
      <c r="I289" t="inlineStr">
        <is>
          <t>NULL</t>
        </is>
      </c>
      <c r="J289" t="inlineStr">
        <is>
          <t>NULL</t>
        </is>
      </c>
      <c r="K289" t="inlineStr">
        <is>
          <t>YES! 	 c_decimal列源备映射正确，源端为decimal None位	期望更改为decimal(p,s)	实际备端为decimal None位</t>
        </is>
      </c>
    </row>
    <row r="290">
      <c r="B290" t="inlineStr">
        <is>
          <t>NULL</t>
        </is>
      </c>
      <c r="C290" t="inlineStr">
        <is>
          <t>NULL</t>
        </is>
      </c>
      <c r="D290" t="inlineStr">
        <is>
          <t>NULL</t>
        </is>
      </c>
      <c r="E290" t="inlineStr">
        <is>
          <t>NULL</t>
        </is>
      </c>
      <c r="F290" t="inlineStr">
        <is>
          <t>NULL</t>
        </is>
      </c>
      <c r="G290" t="inlineStr">
        <is>
          <t>NULL</t>
        </is>
      </c>
      <c r="H290" t="inlineStr">
        <is>
          <t>NULL</t>
        </is>
      </c>
      <c r="I290" t="inlineStr">
        <is>
          <t>NULL</t>
        </is>
      </c>
      <c r="J290" t="inlineStr">
        <is>
          <t>NULL</t>
        </is>
      </c>
      <c r="K290" t="inlineStr">
        <is>
          <t>YES! 	 c_decimal38列源备映射正确，源端为decimal None位	期望更改为decimal(p,s)	实际备端为decimal None位</t>
        </is>
      </c>
    </row>
    <row r="291">
      <c r="B291" t="inlineStr">
        <is>
          <t>NULL</t>
        </is>
      </c>
      <c r="C291" t="inlineStr">
        <is>
          <t>NULL</t>
        </is>
      </c>
      <c r="D291" t="inlineStr">
        <is>
          <t>NULL</t>
        </is>
      </c>
      <c r="E291" t="inlineStr">
        <is>
          <t>NULL</t>
        </is>
      </c>
      <c r="F291" t="inlineStr">
        <is>
          <t>NULL</t>
        </is>
      </c>
      <c r="G291" t="inlineStr">
        <is>
          <t>NULL</t>
        </is>
      </c>
      <c r="H291" t="inlineStr">
        <is>
          <t>NULL</t>
        </is>
      </c>
      <c r="I291" t="inlineStr">
        <is>
          <t>NULL</t>
        </is>
      </c>
      <c r="J291" t="inlineStr">
        <is>
          <t>NULL</t>
        </is>
      </c>
      <c r="K291" t="inlineStr">
        <is>
          <t xml:space="preserve"> NO!  	 c_decimal38_38列源备映射错误，源端为decimal None位	期望更改为decimal(p,s)	实际备端为varchar 168位</t>
        </is>
      </c>
    </row>
    <row r="292">
      <c r="B292" t="inlineStr">
        <is>
          <t>NULL</t>
        </is>
      </c>
      <c r="C292" t="inlineStr">
        <is>
          <t>NULL</t>
        </is>
      </c>
      <c r="D292" t="inlineStr">
        <is>
          <t>NULL</t>
        </is>
      </c>
      <c r="E292" t="inlineStr">
        <is>
          <t>NULL</t>
        </is>
      </c>
      <c r="F292" t="inlineStr">
        <is>
          <t>NULL</t>
        </is>
      </c>
      <c r="G292" t="inlineStr">
        <is>
          <t>NULL</t>
        </is>
      </c>
      <c r="H292" t="inlineStr">
        <is>
          <t>NULL</t>
        </is>
      </c>
      <c r="I292" t="inlineStr">
        <is>
          <t>NULL</t>
        </is>
      </c>
      <c r="J292" t="inlineStr">
        <is>
          <t>NULL</t>
        </is>
      </c>
      <c r="K292" t="inlineStr">
        <is>
          <t>YES! 	 c_decimal38_10列源备映射正确，源端为decimal None位	期望更改为decimal(p,s)	实际备端为decimal None位</t>
        </is>
      </c>
    </row>
    <row r="293">
      <c r="B293" t="inlineStr">
        <is>
          <t>NULL</t>
        </is>
      </c>
      <c r="C293" t="inlineStr">
        <is>
          <t>NULL</t>
        </is>
      </c>
      <c r="D293" t="inlineStr">
        <is>
          <t>NULL</t>
        </is>
      </c>
      <c r="E293" t="inlineStr">
        <is>
          <t>NULL</t>
        </is>
      </c>
      <c r="F293" t="inlineStr">
        <is>
          <t>NULL</t>
        </is>
      </c>
      <c r="G293" t="inlineStr">
        <is>
          <t>NULL</t>
        </is>
      </c>
      <c r="H293" t="inlineStr">
        <is>
          <t>NULL</t>
        </is>
      </c>
      <c r="I293" t="inlineStr">
        <is>
          <t>NULL</t>
        </is>
      </c>
      <c r="J293" t="inlineStr">
        <is>
          <t>NULL</t>
        </is>
      </c>
      <c r="K293" t="inlineStr">
        <is>
          <t>YES! 	 c_decimal19_4列源备映射正确，源端为decimal None位	期望更改为decimal(p,s)	实际备端为decimal None位</t>
        </is>
      </c>
    </row>
    <row r="294">
      <c r="B294" t="inlineStr">
        <is>
          <t>NULL</t>
        </is>
      </c>
      <c r="C294" t="inlineStr">
        <is>
          <t>NULL</t>
        </is>
      </c>
      <c r="D294" t="inlineStr">
        <is>
          <t>NULL</t>
        </is>
      </c>
      <c r="E294" t="inlineStr">
        <is>
          <t>NULL</t>
        </is>
      </c>
      <c r="F294" t="inlineStr">
        <is>
          <t>NULL</t>
        </is>
      </c>
      <c r="G294" t="inlineStr">
        <is>
          <t>NULL</t>
        </is>
      </c>
      <c r="H294" t="inlineStr">
        <is>
          <t>NULL</t>
        </is>
      </c>
      <c r="I294" t="inlineStr">
        <is>
          <t>NULL</t>
        </is>
      </c>
      <c r="J294" t="inlineStr">
        <is>
          <t>NULL</t>
        </is>
      </c>
      <c r="K294" t="inlineStr">
        <is>
          <t>YES! 	 c_numeric列源备映射正确，源端为numeric None位	期望更改为decimal(p,s)	实际备端为decimal None位</t>
        </is>
      </c>
    </row>
    <row r="295">
      <c r="B295" t="inlineStr">
        <is>
          <t>NULL</t>
        </is>
      </c>
      <c r="C295" t="inlineStr">
        <is>
          <t>NULL</t>
        </is>
      </c>
      <c r="D295" t="inlineStr">
        <is>
          <t>NULL</t>
        </is>
      </c>
      <c r="E295" t="inlineStr">
        <is>
          <t>NULL</t>
        </is>
      </c>
      <c r="F295" t="inlineStr">
        <is>
          <t>NULL</t>
        </is>
      </c>
      <c r="G295" t="inlineStr">
        <is>
          <t>NULL</t>
        </is>
      </c>
      <c r="H295" t="inlineStr">
        <is>
          <t>NULL</t>
        </is>
      </c>
      <c r="I295" t="inlineStr">
        <is>
          <t>NULL</t>
        </is>
      </c>
      <c r="J295" t="inlineStr">
        <is>
          <t>NULL</t>
        </is>
      </c>
      <c r="K295" t="inlineStr">
        <is>
          <t>YES! 	 c_numeric38列源备映射正确，源端为numeric None位	期望更改为decimal(p,s)	实际备端为decimal None位</t>
        </is>
      </c>
    </row>
    <row r="296">
      <c r="B296" t="inlineStr">
        <is>
          <t>NULL</t>
        </is>
      </c>
      <c r="C296" t="inlineStr">
        <is>
          <t>NULL</t>
        </is>
      </c>
      <c r="D296" t="inlineStr">
        <is>
          <t>NULL</t>
        </is>
      </c>
      <c r="E296" t="inlineStr">
        <is>
          <t>NULL</t>
        </is>
      </c>
      <c r="F296" t="inlineStr">
        <is>
          <t>NULL</t>
        </is>
      </c>
      <c r="G296" t="inlineStr">
        <is>
          <t>NULL</t>
        </is>
      </c>
      <c r="H296" t="inlineStr">
        <is>
          <t>NULL</t>
        </is>
      </c>
      <c r="I296" t="inlineStr">
        <is>
          <t>NULL</t>
        </is>
      </c>
      <c r="J296" t="inlineStr">
        <is>
          <t>NULL</t>
        </is>
      </c>
      <c r="K296" t="inlineStr">
        <is>
          <t xml:space="preserve"> NO!  	 c_numeric38_38列源备映射错误，源端为numeric None位	期望更改为decimal(p,s)	实际备端为varchar 168位</t>
        </is>
      </c>
    </row>
    <row r="297">
      <c r="B297" t="inlineStr">
        <is>
          <t>NULL</t>
        </is>
      </c>
      <c r="C297" t="inlineStr">
        <is>
          <t>NULL</t>
        </is>
      </c>
      <c r="D297" t="inlineStr">
        <is>
          <t>NULL</t>
        </is>
      </c>
      <c r="E297" t="inlineStr">
        <is>
          <t>NULL</t>
        </is>
      </c>
      <c r="F297" t="inlineStr">
        <is>
          <t>NULL</t>
        </is>
      </c>
      <c r="G297" t="inlineStr">
        <is>
          <t>NULL</t>
        </is>
      </c>
      <c r="H297" t="inlineStr">
        <is>
          <t>NULL</t>
        </is>
      </c>
      <c r="I297" t="inlineStr">
        <is>
          <t>NULL</t>
        </is>
      </c>
      <c r="J297" t="inlineStr">
        <is>
          <t>NULL</t>
        </is>
      </c>
      <c r="K297" t="inlineStr">
        <is>
          <t>YES! 	 c_numeric38_10列源备映射正确，源端为numeric None位	期望更改为decimal(p,s)	实际备端为decimal None位</t>
        </is>
      </c>
    </row>
    <row r="298">
      <c r="B298" t="inlineStr">
        <is>
          <t>NULL</t>
        </is>
      </c>
      <c r="C298" t="inlineStr">
        <is>
          <t>NULL</t>
        </is>
      </c>
      <c r="D298" t="inlineStr">
        <is>
          <t>NULL</t>
        </is>
      </c>
      <c r="E298" t="inlineStr">
        <is>
          <t>NULL</t>
        </is>
      </c>
      <c r="F298" t="inlineStr">
        <is>
          <t>NULL</t>
        </is>
      </c>
      <c r="G298" t="inlineStr">
        <is>
          <t>NULL</t>
        </is>
      </c>
      <c r="H298" t="inlineStr">
        <is>
          <t>NULL</t>
        </is>
      </c>
      <c r="I298" t="inlineStr">
        <is>
          <t>NULL</t>
        </is>
      </c>
      <c r="J298" t="inlineStr">
        <is>
          <t>NULL</t>
        </is>
      </c>
      <c r="K298" t="inlineStr">
        <is>
          <t>YES! 	 c_numeric18_2列源备映射正确，源端为numeric None位	期望更改为decimal(p,s)	实际备端为decimal None位</t>
        </is>
      </c>
    </row>
    <row r="299">
      <c r="B299" t="inlineStr">
        <is>
          <t>NULL</t>
        </is>
      </c>
      <c r="C299" t="inlineStr">
        <is>
          <t>NULL</t>
        </is>
      </c>
      <c r="D299" t="inlineStr">
        <is>
          <t>NULL</t>
        </is>
      </c>
      <c r="E299" t="inlineStr">
        <is>
          <t>NULL</t>
        </is>
      </c>
      <c r="F299" t="inlineStr">
        <is>
          <t>NULL</t>
        </is>
      </c>
      <c r="G299" t="inlineStr">
        <is>
          <t>NULL</t>
        </is>
      </c>
      <c r="H299" t="inlineStr">
        <is>
          <t>NULL</t>
        </is>
      </c>
      <c r="I299" t="inlineStr">
        <is>
          <t>NULL</t>
        </is>
      </c>
      <c r="J299" t="inlineStr">
        <is>
          <t>NULL</t>
        </is>
      </c>
      <c r="K299" t="inlineStr">
        <is>
          <t>YES! 	 c_float列源备映射正确，源端为float None位	期望更改为double	实际备端为double None位</t>
        </is>
      </c>
    </row>
    <row r="300">
      <c r="B300" t="inlineStr">
        <is>
          <t>NULL</t>
        </is>
      </c>
      <c r="C300" t="inlineStr">
        <is>
          <t>NULL</t>
        </is>
      </c>
      <c r="D300" t="inlineStr">
        <is>
          <t>NULL</t>
        </is>
      </c>
      <c r="E300" t="inlineStr">
        <is>
          <t>NULL</t>
        </is>
      </c>
      <c r="F300" t="inlineStr">
        <is>
          <t>NULL</t>
        </is>
      </c>
      <c r="G300" t="inlineStr">
        <is>
          <t>NULL</t>
        </is>
      </c>
      <c r="H300" t="inlineStr">
        <is>
          <t>NULL</t>
        </is>
      </c>
      <c r="I300" t="inlineStr">
        <is>
          <t>NULL</t>
        </is>
      </c>
      <c r="J300" t="inlineStr">
        <is>
          <t>NULL</t>
        </is>
      </c>
      <c r="K300" t="inlineStr">
        <is>
          <t>YES! 	 c_real列源备映射正确，源端为real None位	期望更改为double	实际备端为double None位</t>
        </is>
      </c>
    </row>
    <row r="301">
      <c r="B301" t="inlineStr">
        <is>
          <t>NULL</t>
        </is>
      </c>
      <c r="C301" t="inlineStr">
        <is>
          <t>NULL</t>
        </is>
      </c>
      <c r="D301" t="inlineStr">
        <is>
          <t>NULL</t>
        </is>
      </c>
      <c r="E301" t="inlineStr">
        <is>
          <t>NULL</t>
        </is>
      </c>
      <c r="F301" t="inlineStr">
        <is>
          <t>NULL</t>
        </is>
      </c>
      <c r="G301" t="inlineStr">
        <is>
          <t>NULL</t>
        </is>
      </c>
      <c r="H301" t="inlineStr">
        <is>
          <t>NULL</t>
        </is>
      </c>
      <c r="I301" t="inlineStr">
        <is>
          <t>NULL</t>
        </is>
      </c>
      <c r="J301" t="inlineStr">
        <is>
          <t>NULL</t>
        </is>
      </c>
      <c r="K301" t="inlineStr">
        <is>
          <t>YES! 	 c_money列源备映射正确，源端为money None位	期望更改为decimal(19,4)	实际备端为decimal None位</t>
        </is>
      </c>
    </row>
    <row r="302">
      <c r="B302" t="inlineStr">
        <is>
          <t>NULL</t>
        </is>
      </c>
      <c r="C302" t="inlineStr">
        <is>
          <t>NULL</t>
        </is>
      </c>
      <c r="D302" t="inlineStr">
        <is>
          <t>NULL</t>
        </is>
      </c>
      <c r="E302" t="inlineStr">
        <is>
          <t>NULL</t>
        </is>
      </c>
      <c r="F302" t="inlineStr">
        <is>
          <t>NULL</t>
        </is>
      </c>
      <c r="G302" t="inlineStr">
        <is>
          <t>NULL</t>
        </is>
      </c>
      <c r="H302" t="inlineStr">
        <is>
          <t>NULL</t>
        </is>
      </c>
      <c r="I302" t="inlineStr">
        <is>
          <t>NULL</t>
        </is>
      </c>
      <c r="J302" t="inlineStr">
        <is>
          <t>NULL</t>
        </is>
      </c>
      <c r="K302" t="inlineStr">
        <is>
          <t>YES! 	 c_smallmoney列源备映射正确，源端为smallmoney None位	期望更改为decimal(10,4)	实际备端为decimal None位</t>
        </is>
      </c>
    </row>
    <row r="303">
      <c r="B303" t="inlineStr">
        <is>
          <t>NULL</t>
        </is>
      </c>
      <c r="C303" t="inlineStr">
        <is>
          <t>NULL</t>
        </is>
      </c>
      <c r="D303" t="inlineStr">
        <is>
          <t>NULL</t>
        </is>
      </c>
      <c r="E303" t="inlineStr">
        <is>
          <t>NULL</t>
        </is>
      </c>
      <c r="F303" t="inlineStr">
        <is>
          <t>NULL</t>
        </is>
      </c>
      <c r="G303" t="inlineStr">
        <is>
          <t>NULL</t>
        </is>
      </c>
      <c r="H303" t="inlineStr">
        <is>
          <t>NULL</t>
        </is>
      </c>
      <c r="I303" t="inlineStr">
        <is>
          <t>NULL</t>
        </is>
      </c>
      <c r="J303" t="inlineStr">
        <is>
          <t>NULL</t>
        </is>
      </c>
      <c r="K303" t="inlineStr">
        <is>
          <t>YES! 	 c_bit列源备映射正确，源端为bit None位	期望更改为tinyint(1) 	实际备端为tinyint None位</t>
        </is>
      </c>
    </row>
    <row r="304">
      <c r="A304" t="inlineStr">
        <is>
          <t>info_sdt_dml_batch2_pk_irp2</t>
        </is>
      </c>
      <c r="K304" t="inlineStr">
        <is>
          <t>[0;34m info_sdt_dml_batch2_pk_irp2 [0m源备字段数相同，源端字段：2 	备端字段2</t>
        </is>
      </c>
      <c r="W304" t="inlineStr">
        <is>
          <t>YES 源备无差异</t>
        </is>
      </c>
      <c r="X304">
        <f>A304</f>
        <v/>
      </c>
    </row>
    <row r="305">
      <c r="B305" t="inlineStr">
        <is>
          <t>YES</t>
        </is>
      </c>
      <c r="C305" t="inlineStr">
        <is>
          <t>NULL</t>
        </is>
      </c>
      <c r="D305" t="inlineStr">
        <is>
          <t>NULL</t>
        </is>
      </c>
      <c r="E305" t="inlineStr">
        <is>
          <t>NULL</t>
        </is>
      </c>
      <c r="F305" t="inlineStr">
        <is>
          <t>NULL</t>
        </is>
      </c>
      <c r="G305" t="inlineStr">
        <is>
          <t>NULL</t>
        </is>
      </c>
      <c r="H305" t="inlineStr">
        <is>
          <t>NULL</t>
        </is>
      </c>
      <c r="I305" t="inlineStr">
        <is>
          <t>YES!PK__info_sdt__3213E83F8FF1A01C</t>
        </is>
      </c>
      <c r="J305" t="inlineStr">
        <is>
          <t>YES! 主键相关索引</t>
        </is>
      </c>
      <c r="K305" t="inlineStr">
        <is>
          <t>YES! 	 id列源备映射正确，源端为int None位	期望更改为int	实际备端为int None位</t>
        </is>
      </c>
    </row>
    <row r="306">
      <c r="B306" t="inlineStr">
        <is>
          <t>NULL</t>
        </is>
      </c>
      <c r="C306" t="inlineStr">
        <is>
          <t>NULL</t>
        </is>
      </c>
      <c r="D306" t="inlineStr">
        <is>
          <t>NULL</t>
        </is>
      </c>
      <c r="E306" t="inlineStr">
        <is>
          <t>NULL</t>
        </is>
      </c>
      <c r="F306" t="inlineStr">
        <is>
          <t>NULL</t>
        </is>
      </c>
      <c r="G306" t="inlineStr">
        <is>
          <t>NULL</t>
        </is>
      </c>
      <c r="H306" t="inlineStr">
        <is>
          <t>NULL</t>
        </is>
      </c>
      <c r="I306" t="inlineStr">
        <is>
          <t>NULL</t>
        </is>
      </c>
      <c r="J306" t="inlineStr">
        <is>
          <t>NULL</t>
        </is>
      </c>
      <c r="K306" t="inlineStr">
        <is>
          <t>YES! 	 c_sdt列源备映射正确，源端为smalldatetime None位	期望更改为datetime	实际备端为datetime None位</t>
        </is>
      </c>
    </row>
    <row r="307">
      <c r="A307" t="inlineStr">
        <is>
          <t>info_char_dml_batch1_pk</t>
        </is>
      </c>
      <c r="K307" t="inlineStr">
        <is>
          <t>[0;34m info_char_dml_batch1_pk [0m源备字段数相同，源端字段：4 	备端字段4</t>
        </is>
      </c>
      <c r="W307" t="inlineStr">
        <is>
          <t>YES 源备无差异</t>
        </is>
      </c>
      <c r="X307">
        <f>A307</f>
        <v/>
      </c>
    </row>
    <row r="308">
      <c r="B308" t="inlineStr">
        <is>
          <t>YES</t>
        </is>
      </c>
      <c r="C308" t="inlineStr">
        <is>
          <t>NULL</t>
        </is>
      </c>
      <c r="D308" t="inlineStr">
        <is>
          <t>NULL</t>
        </is>
      </c>
      <c r="E308" t="inlineStr">
        <is>
          <t>NULL</t>
        </is>
      </c>
      <c r="F308" t="inlineStr">
        <is>
          <t>NULL</t>
        </is>
      </c>
      <c r="G308" t="inlineStr">
        <is>
          <t>NULL</t>
        </is>
      </c>
      <c r="H308" t="inlineStr">
        <is>
          <t>NULL</t>
        </is>
      </c>
      <c r="I308" t="inlineStr">
        <is>
          <t>YES!PK__info_cha__3213E83F5CF1C334</t>
        </is>
      </c>
      <c r="J308" t="inlineStr">
        <is>
          <t>YES! 主键相关索引</t>
        </is>
      </c>
      <c r="K308" t="inlineStr">
        <is>
          <t>YES! 	 id列源备映射正确，源端为int None位	期望更改为int	实际备端为int None位</t>
        </is>
      </c>
    </row>
    <row r="309">
      <c r="B309" t="inlineStr">
        <is>
          <t>NULL</t>
        </is>
      </c>
      <c r="C309" t="inlineStr">
        <is>
          <t>NULL</t>
        </is>
      </c>
      <c r="D309" t="inlineStr">
        <is>
          <t>NULL</t>
        </is>
      </c>
      <c r="E309" t="inlineStr">
        <is>
          <t>NULL</t>
        </is>
      </c>
      <c r="F309" t="inlineStr">
        <is>
          <t>NULL</t>
        </is>
      </c>
      <c r="G309" t="inlineStr">
        <is>
          <t>NULL</t>
        </is>
      </c>
      <c r="H309" t="inlineStr">
        <is>
          <t>NULL</t>
        </is>
      </c>
      <c r="I309" t="inlineStr">
        <is>
          <t>NULL</t>
        </is>
      </c>
      <c r="J309" t="inlineStr">
        <is>
          <t>NULL</t>
        </is>
      </c>
      <c r="K309" t="inlineStr">
        <is>
          <t>YES! 	 c_char列源备映射正确，源端为char 1位	期望更改为char(n)	实际备端为char 4位</t>
        </is>
      </c>
    </row>
    <row r="310">
      <c r="B310" t="inlineStr">
        <is>
          <t>NULL</t>
        </is>
      </c>
      <c r="C310" t="inlineStr">
        <is>
          <t>NULL</t>
        </is>
      </c>
      <c r="D310" t="inlineStr">
        <is>
          <t>NULL</t>
        </is>
      </c>
      <c r="E310" t="inlineStr">
        <is>
          <t>NULL</t>
        </is>
      </c>
      <c r="F310" t="inlineStr">
        <is>
          <t>NULL</t>
        </is>
      </c>
      <c r="G310" t="inlineStr">
        <is>
          <t>NULL</t>
        </is>
      </c>
      <c r="H310" t="inlineStr">
        <is>
          <t>NULL</t>
        </is>
      </c>
      <c r="I310" t="inlineStr">
        <is>
          <t>NULL</t>
        </is>
      </c>
      <c r="J310" t="inlineStr">
        <is>
          <t>NULL</t>
        </is>
      </c>
      <c r="K310" t="inlineStr">
        <is>
          <t>YES! 	 c_char20列源备映射正确，源端为char 20位	期望更改为char(n)	实际备端为char 80位</t>
        </is>
      </c>
    </row>
    <row r="311">
      <c r="B311" t="inlineStr">
        <is>
          <t>NULL</t>
        </is>
      </c>
      <c r="C311" t="inlineStr">
        <is>
          <t>NULL</t>
        </is>
      </c>
      <c r="D311" t="inlineStr">
        <is>
          <t>NULL</t>
        </is>
      </c>
      <c r="E311" t="inlineStr">
        <is>
          <t>NULL</t>
        </is>
      </c>
      <c r="F311" t="inlineStr">
        <is>
          <t>NULL</t>
        </is>
      </c>
      <c r="G311" t="inlineStr">
        <is>
          <t>NULL</t>
        </is>
      </c>
      <c r="H311" t="inlineStr">
        <is>
          <t>NULL</t>
        </is>
      </c>
      <c r="I311" t="inlineStr">
        <is>
          <t>NULL</t>
        </is>
      </c>
      <c r="J311" t="inlineStr">
        <is>
          <t>NULL</t>
        </is>
      </c>
      <c r="K311" t="inlineStr">
        <is>
          <t>YES! 	 c_char7000列源备映射正确，源端为char 7000位	期望更改为text	实际备端为text 65535位</t>
        </is>
      </c>
    </row>
    <row r="312">
      <c r="A312" t="inlineStr">
        <is>
          <t>info_varchar_dml_single_pk</t>
        </is>
      </c>
      <c r="K312" t="inlineStr">
        <is>
          <t>[0;34m info_varchar_dml_single_pk [0m源备字段数相同，源端字段：4 	备端字段4</t>
        </is>
      </c>
      <c r="W312" t="inlineStr">
        <is>
          <t>YES 源备无差异</t>
        </is>
      </c>
      <c r="X312">
        <f>A312</f>
        <v/>
      </c>
    </row>
    <row r="313">
      <c r="B313" t="inlineStr">
        <is>
          <t>YES</t>
        </is>
      </c>
      <c r="C313" t="inlineStr">
        <is>
          <t>NULL</t>
        </is>
      </c>
      <c r="D313" t="inlineStr">
        <is>
          <t>NULL</t>
        </is>
      </c>
      <c r="E313" t="inlineStr">
        <is>
          <t>NULL</t>
        </is>
      </c>
      <c r="F313" t="inlineStr">
        <is>
          <t>NULL</t>
        </is>
      </c>
      <c r="G313" t="inlineStr">
        <is>
          <t>NULL</t>
        </is>
      </c>
      <c r="H313" t="inlineStr">
        <is>
          <t>NULL</t>
        </is>
      </c>
      <c r="I313" t="inlineStr">
        <is>
          <t>YES!PK__info_var__3213E83F455A32E8</t>
        </is>
      </c>
      <c r="J313" t="inlineStr">
        <is>
          <t>YES! 主键相关索引</t>
        </is>
      </c>
      <c r="K313" t="inlineStr">
        <is>
          <t>YES! 	 id列源备映射正确，源端为int None位	期望更改为int	实际备端为int None位</t>
        </is>
      </c>
    </row>
    <row r="314">
      <c r="B314" t="inlineStr">
        <is>
          <t>NULL</t>
        </is>
      </c>
      <c r="C314" t="inlineStr">
        <is>
          <t>NULL</t>
        </is>
      </c>
      <c r="D314" t="inlineStr">
        <is>
          <t>NULL</t>
        </is>
      </c>
      <c r="E314" t="inlineStr">
        <is>
          <t>NULL</t>
        </is>
      </c>
      <c r="F314" t="inlineStr">
        <is>
          <t>NULL</t>
        </is>
      </c>
      <c r="G314" t="inlineStr">
        <is>
          <t>NULL</t>
        </is>
      </c>
      <c r="H314" t="inlineStr">
        <is>
          <t>NULL</t>
        </is>
      </c>
      <c r="I314" t="inlineStr">
        <is>
          <t>NULL</t>
        </is>
      </c>
      <c r="J314" t="inlineStr">
        <is>
          <t>NULL</t>
        </is>
      </c>
      <c r="K314" t="inlineStr">
        <is>
          <t>YES! 	 c_varchar列源备映射正确，源端为varchar 1位	期望更改为varchar(n)	实际备端为varchar 4位</t>
        </is>
      </c>
    </row>
    <row r="315">
      <c r="B315" t="inlineStr">
        <is>
          <t>NULL</t>
        </is>
      </c>
      <c r="C315" t="inlineStr">
        <is>
          <t>NULL</t>
        </is>
      </c>
      <c r="D315" t="inlineStr">
        <is>
          <t>NULL</t>
        </is>
      </c>
      <c r="E315" t="inlineStr">
        <is>
          <t>NULL</t>
        </is>
      </c>
      <c r="F315" t="inlineStr">
        <is>
          <t>NULL</t>
        </is>
      </c>
      <c r="G315" t="inlineStr">
        <is>
          <t>NULL</t>
        </is>
      </c>
      <c r="H315" t="inlineStr">
        <is>
          <t>NULL</t>
        </is>
      </c>
      <c r="I315" t="inlineStr">
        <is>
          <t>NULL</t>
        </is>
      </c>
      <c r="J315" t="inlineStr">
        <is>
          <t>NULL</t>
        </is>
      </c>
      <c r="K315" t="inlineStr">
        <is>
          <t>YES! 	 c_varchar50列源备映射正确，源端为varchar 50位	期望更改为varchar(n)	实际备端为varchar 200位</t>
        </is>
      </c>
    </row>
    <row r="316">
      <c r="B316" t="inlineStr">
        <is>
          <t>NULL</t>
        </is>
      </c>
      <c r="C316" t="inlineStr">
        <is>
          <t>NULL</t>
        </is>
      </c>
      <c r="D316" t="inlineStr">
        <is>
          <t>NULL</t>
        </is>
      </c>
      <c r="E316" t="inlineStr">
        <is>
          <t>NULL</t>
        </is>
      </c>
      <c r="F316" t="inlineStr">
        <is>
          <t>NULL</t>
        </is>
      </c>
      <c r="G316" t="inlineStr">
        <is>
          <t>NULL</t>
        </is>
      </c>
      <c r="H316" t="inlineStr">
        <is>
          <t>NULL</t>
        </is>
      </c>
      <c r="I316" t="inlineStr">
        <is>
          <t>NULL</t>
        </is>
      </c>
      <c r="J316" t="inlineStr">
        <is>
          <t>NULL</t>
        </is>
      </c>
      <c r="K316" t="inlineStr">
        <is>
          <t xml:space="preserve"> NO!  	 c_varchar8000列源备映射错误，源端为varchar 8000位	期望更改为longtext	实际备端为text 65535位</t>
        </is>
      </c>
    </row>
    <row r="317">
      <c r="A317" t="inlineStr">
        <is>
          <t>info_int_dml_single_pk_drp</t>
        </is>
      </c>
      <c r="K317" t="inlineStr">
        <is>
          <t>[0;34m info_int_dml_single_pk_drp [0m源备字段数相同，源端字段：20 	备端字段20</t>
        </is>
      </c>
      <c r="W317" s="15">
        <f>HYPERLINK("#2026052610mysql0!AR2","NO 源备存在差异，共2个")</f>
        <v/>
      </c>
      <c r="X317">
        <f>A317</f>
        <v/>
      </c>
    </row>
    <row r="318">
      <c r="B318" t="inlineStr">
        <is>
          <t>YES</t>
        </is>
      </c>
      <c r="C318" t="inlineStr">
        <is>
          <t>NULL</t>
        </is>
      </c>
      <c r="D318" t="inlineStr">
        <is>
          <t>NULL</t>
        </is>
      </c>
      <c r="E318" t="inlineStr">
        <is>
          <t>NULL</t>
        </is>
      </c>
      <c r="F318" t="inlineStr">
        <is>
          <t>NULL</t>
        </is>
      </c>
      <c r="G318" t="inlineStr">
        <is>
          <t>NULL</t>
        </is>
      </c>
      <c r="H318" t="inlineStr">
        <is>
          <t>NULL</t>
        </is>
      </c>
      <c r="I318" t="inlineStr">
        <is>
          <t>YES!PK__info_int__3213E83FD0B3ADA3</t>
        </is>
      </c>
      <c r="J318" t="inlineStr">
        <is>
          <t>YES! 主键相关索引</t>
        </is>
      </c>
      <c r="K318" t="inlineStr">
        <is>
          <t>YES! 	 id列源备映射正确，源端为int None位	期望更改为int	实际备端为int None位</t>
        </is>
      </c>
    </row>
    <row r="319">
      <c r="B319" t="inlineStr">
        <is>
          <t>NULL</t>
        </is>
      </c>
      <c r="C319" t="inlineStr">
        <is>
          <t>NULL</t>
        </is>
      </c>
      <c r="D319" t="inlineStr">
        <is>
          <t>NULL</t>
        </is>
      </c>
      <c r="E319" t="inlineStr">
        <is>
          <t>NULL</t>
        </is>
      </c>
      <c r="F319" t="inlineStr">
        <is>
          <t>NULL</t>
        </is>
      </c>
      <c r="G319" t="inlineStr">
        <is>
          <t>NULL</t>
        </is>
      </c>
      <c r="H319" t="inlineStr">
        <is>
          <t>NULL</t>
        </is>
      </c>
      <c r="I319" t="inlineStr">
        <is>
          <t>NULL</t>
        </is>
      </c>
      <c r="J319" t="inlineStr">
        <is>
          <t>NULL</t>
        </is>
      </c>
      <c r="K319" t="inlineStr">
        <is>
          <t>YES! 	 c_tinyint列源备映射正确，源端为tinyint None位	期望更改为tinyint	实际备端为tinyint None位</t>
        </is>
      </c>
    </row>
    <row r="320">
      <c r="B320" t="inlineStr">
        <is>
          <t>NULL</t>
        </is>
      </c>
      <c r="C320" t="inlineStr">
        <is>
          <t>NULL</t>
        </is>
      </c>
      <c r="D320" t="inlineStr">
        <is>
          <t>NULL</t>
        </is>
      </c>
      <c r="E320" t="inlineStr">
        <is>
          <t>NULL</t>
        </is>
      </c>
      <c r="F320" t="inlineStr">
        <is>
          <t>NULL</t>
        </is>
      </c>
      <c r="G320" t="inlineStr">
        <is>
          <t>NULL</t>
        </is>
      </c>
      <c r="H320" t="inlineStr">
        <is>
          <t>NULL</t>
        </is>
      </c>
      <c r="I320" t="inlineStr">
        <is>
          <t>NULL</t>
        </is>
      </c>
      <c r="J320" t="inlineStr">
        <is>
          <t>NULL</t>
        </is>
      </c>
      <c r="K320" t="inlineStr">
        <is>
          <t>YES! 	 c_smallint列源备映射正确，源端为smallint None位	期望更改为smallint	实际备端为smallint None位</t>
        </is>
      </c>
    </row>
    <row r="321">
      <c r="B321" t="inlineStr">
        <is>
          <t>NULL</t>
        </is>
      </c>
      <c r="C321" t="inlineStr">
        <is>
          <t>NULL</t>
        </is>
      </c>
      <c r="D321" t="inlineStr">
        <is>
          <t>NULL</t>
        </is>
      </c>
      <c r="E321" t="inlineStr">
        <is>
          <t>NULL</t>
        </is>
      </c>
      <c r="F321" t="inlineStr">
        <is>
          <t>NULL</t>
        </is>
      </c>
      <c r="G321" t="inlineStr">
        <is>
          <t>NULL</t>
        </is>
      </c>
      <c r="H321" t="inlineStr">
        <is>
          <t>NULL</t>
        </is>
      </c>
      <c r="I321" t="inlineStr">
        <is>
          <t>NULL</t>
        </is>
      </c>
      <c r="J321" t="inlineStr">
        <is>
          <t>NULL</t>
        </is>
      </c>
      <c r="K321" t="inlineStr">
        <is>
          <t>YES! 	 c_int列源备映射正确，源端为int None位	期望更改为int	实际备端为int None位</t>
        </is>
      </c>
    </row>
    <row r="322">
      <c r="B322" t="inlineStr">
        <is>
          <t>NULL</t>
        </is>
      </c>
      <c r="C322" t="inlineStr">
        <is>
          <t>NULL</t>
        </is>
      </c>
      <c r="D322" t="inlineStr">
        <is>
          <t>NULL</t>
        </is>
      </c>
      <c r="E322" t="inlineStr">
        <is>
          <t>NULL</t>
        </is>
      </c>
      <c r="F322" t="inlineStr">
        <is>
          <t>NULL</t>
        </is>
      </c>
      <c r="G322" t="inlineStr">
        <is>
          <t>NULL</t>
        </is>
      </c>
      <c r="H322" t="inlineStr">
        <is>
          <t>NULL</t>
        </is>
      </c>
      <c r="I322" t="inlineStr">
        <is>
          <t>NULL</t>
        </is>
      </c>
      <c r="J322" t="inlineStr">
        <is>
          <t>NULL</t>
        </is>
      </c>
      <c r="K322" t="inlineStr">
        <is>
          <t>YES! 	 c_bigint列源备映射正确，源端为bigint None位	期望更改为bigint	实际备端为bigint None位</t>
        </is>
      </c>
    </row>
    <row r="323">
      <c r="B323" t="inlineStr">
        <is>
          <t>NULL</t>
        </is>
      </c>
      <c r="C323" t="inlineStr">
        <is>
          <t>NULL</t>
        </is>
      </c>
      <c r="D323" t="inlineStr">
        <is>
          <t>NULL</t>
        </is>
      </c>
      <c r="E323" t="inlineStr">
        <is>
          <t>NULL</t>
        </is>
      </c>
      <c r="F323" t="inlineStr">
        <is>
          <t>NULL</t>
        </is>
      </c>
      <c r="G323" t="inlineStr">
        <is>
          <t>NULL</t>
        </is>
      </c>
      <c r="H323" t="inlineStr">
        <is>
          <t>NULL</t>
        </is>
      </c>
      <c r="I323" t="inlineStr">
        <is>
          <t>NULL</t>
        </is>
      </c>
      <c r="J323" t="inlineStr">
        <is>
          <t>NULL</t>
        </is>
      </c>
      <c r="K323" t="inlineStr">
        <is>
          <t>YES! 	 c_decimal列源备映射正确，源端为decimal None位	期望更改为decimal(p,s)	实际备端为decimal None位</t>
        </is>
      </c>
    </row>
    <row r="324">
      <c r="B324" t="inlineStr">
        <is>
          <t>NULL</t>
        </is>
      </c>
      <c r="C324" t="inlineStr">
        <is>
          <t>NULL</t>
        </is>
      </c>
      <c r="D324" t="inlineStr">
        <is>
          <t>NULL</t>
        </is>
      </c>
      <c r="E324" t="inlineStr">
        <is>
          <t>NULL</t>
        </is>
      </c>
      <c r="F324" t="inlineStr">
        <is>
          <t>NULL</t>
        </is>
      </c>
      <c r="G324" t="inlineStr">
        <is>
          <t>NULL</t>
        </is>
      </c>
      <c r="H324" t="inlineStr">
        <is>
          <t>NULL</t>
        </is>
      </c>
      <c r="I324" t="inlineStr">
        <is>
          <t>NULL</t>
        </is>
      </c>
      <c r="J324" t="inlineStr">
        <is>
          <t>NULL</t>
        </is>
      </c>
      <c r="K324" t="inlineStr">
        <is>
          <t>YES! 	 c_decimal38列源备映射正确，源端为decimal None位	期望更改为decimal(p,s)	实际备端为decimal None位</t>
        </is>
      </c>
    </row>
    <row r="325">
      <c r="B325" t="inlineStr">
        <is>
          <t>NULL</t>
        </is>
      </c>
      <c r="C325" t="inlineStr">
        <is>
          <t>NULL</t>
        </is>
      </c>
      <c r="D325" t="inlineStr">
        <is>
          <t>NULL</t>
        </is>
      </c>
      <c r="E325" t="inlineStr">
        <is>
          <t>NULL</t>
        </is>
      </c>
      <c r="F325" t="inlineStr">
        <is>
          <t>NULL</t>
        </is>
      </c>
      <c r="G325" t="inlineStr">
        <is>
          <t>NULL</t>
        </is>
      </c>
      <c r="H325" t="inlineStr">
        <is>
          <t>NULL</t>
        </is>
      </c>
      <c r="I325" t="inlineStr">
        <is>
          <t>NULL</t>
        </is>
      </c>
      <c r="J325" t="inlineStr">
        <is>
          <t>NULL</t>
        </is>
      </c>
      <c r="K325" t="inlineStr">
        <is>
          <t xml:space="preserve"> NO!  	 c_decimal38_38列源备映射错误，源端为decimal None位	期望更改为decimal(p,s)	实际备端为varchar 168位</t>
        </is>
      </c>
    </row>
    <row r="326">
      <c r="B326" t="inlineStr">
        <is>
          <t>NULL</t>
        </is>
      </c>
      <c r="C326" t="inlineStr">
        <is>
          <t>NULL</t>
        </is>
      </c>
      <c r="D326" t="inlineStr">
        <is>
          <t>NULL</t>
        </is>
      </c>
      <c r="E326" t="inlineStr">
        <is>
          <t>NULL</t>
        </is>
      </c>
      <c r="F326" t="inlineStr">
        <is>
          <t>NULL</t>
        </is>
      </c>
      <c r="G326" t="inlineStr">
        <is>
          <t>NULL</t>
        </is>
      </c>
      <c r="H326" t="inlineStr">
        <is>
          <t>NULL</t>
        </is>
      </c>
      <c r="I326" t="inlineStr">
        <is>
          <t>NULL</t>
        </is>
      </c>
      <c r="J326" t="inlineStr">
        <is>
          <t>NULL</t>
        </is>
      </c>
      <c r="K326" t="inlineStr">
        <is>
          <t>YES! 	 c_decimal38_10列源备映射正确，源端为decimal None位	期望更改为decimal(p,s)	实际备端为decimal None位</t>
        </is>
      </c>
    </row>
    <row r="327">
      <c r="B327" t="inlineStr">
        <is>
          <t>NULL</t>
        </is>
      </c>
      <c r="C327" t="inlineStr">
        <is>
          <t>NULL</t>
        </is>
      </c>
      <c r="D327" t="inlineStr">
        <is>
          <t>NULL</t>
        </is>
      </c>
      <c r="E327" t="inlineStr">
        <is>
          <t>NULL</t>
        </is>
      </c>
      <c r="F327" t="inlineStr">
        <is>
          <t>NULL</t>
        </is>
      </c>
      <c r="G327" t="inlineStr">
        <is>
          <t>NULL</t>
        </is>
      </c>
      <c r="H327" t="inlineStr">
        <is>
          <t>NULL</t>
        </is>
      </c>
      <c r="I327" t="inlineStr">
        <is>
          <t>NULL</t>
        </is>
      </c>
      <c r="J327" t="inlineStr">
        <is>
          <t>NULL</t>
        </is>
      </c>
      <c r="K327" t="inlineStr">
        <is>
          <t>YES! 	 c_decimal19_4列源备映射正确，源端为decimal None位	期望更改为decimal(p,s)	实际备端为decimal None位</t>
        </is>
      </c>
    </row>
    <row r="328">
      <c r="B328" t="inlineStr">
        <is>
          <t>NULL</t>
        </is>
      </c>
      <c r="C328" t="inlineStr">
        <is>
          <t>NULL</t>
        </is>
      </c>
      <c r="D328" t="inlineStr">
        <is>
          <t>NULL</t>
        </is>
      </c>
      <c r="E328" t="inlineStr">
        <is>
          <t>NULL</t>
        </is>
      </c>
      <c r="F328" t="inlineStr">
        <is>
          <t>NULL</t>
        </is>
      </c>
      <c r="G328" t="inlineStr">
        <is>
          <t>NULL</t>
        </is>
      </c>
      <c r="H328" t="inlineStr">
        <is>
          <t>NULL</t>
        </is>
      </c>
      <c r="I328" t="inlineStr">
        <is>
          <t>NULL</t>
        </is>
      </c>
      <c r="J328" t="inlineStr">
        <is>
          <t>NULL</t>
        </is>
      </c>
      <c r="K328" t="inlineStr">
        <is>
          <t>YES! 	 c_numeric列源备映射正确，源端为numeric None位	期望更改为decimal(p,s)	实际备端为decimal None位</t>
        </is>
      </c>
    </row>
    <row r="329">
      <c r="B329" t="inlineStr">
        <is>
          <t>NULL</t>
        </is>
      </c>
      <c r="C329" t="inlineStr">
        <is>
          <t>NULL</t>
        </is>
      </c>
      <c r="D329" t="inlineStr">
        <is>
          <t>NULL</t>
        </is>
      </c>
      <c r="E329" t="inlineStr">
        <is>
          <t>NULL</t>
        </is>
      </c>
      <c r="F329" t="inlineStr">
        <is>
          <t>NULL</t>
        </is>
      </c>
      <c r="G329" t="inlineStr">
        <is>
          <t>NULL</t>
        </is>
      </c>
      <c r="H329" t="inlineStr">
        <is>
          <t>NULL</t>
        </is>
      </c>
      <c r="I329" t="inlineStr">
        <is>
          <t>NULL</t>
        </is>
      </c>
      <c r="J329" t="inlineStr">
        <is>
          <t>NULL</t>
        </is>
      </c>
      <c r="K329" t="inlineStr">
        <is>
          <t>YES! 	 c_numeric38列源备映射正确，源端为numeric None位	期望更改为decimal(p,s)	实际备端为decimal None位</t>
        </is>
      </c>
    </row>
    <row r="330">
      <c r="B330" t="inlineStr">
        <is>
          <t>NULL</t>
        </is>
      </c>
      <c r="C330" t="inlineStr">
        <is>
          <t>NULL</t>
        </is>
      </c>
      <c r="D330" t="inlineStr">
        <is>
          <t>NULL</t>
        </is>
      </c>
      <c r="E330" t="inlineStr">
        <is>
          <t>NULL</t>
        </is>
      </c>
      <c r="F330" t="inlineStr">
        <is>
          <t>NULL</t>
        </is>
      </c>
      <c r="G330" t="inlineStr">
        <is>
          <t>NULL</t>
        </is>
      </c>
      <c r="H330" t="inlineStr">
        <is>
          <t>NULL</t>
        </is>
      </c>
      <c r="I330" t="inlineStr">
        <is>
          <t>NULL</t>
        </is>
      </c>
      <c r="J330" t="inlineStr">
        <is>
          <t>NULL</t>
        </is>
      </c>
      <c r="K330" t="inlineStr">
        <is>
          <t xml:space="preserve"> NO!  	 c_numeric38_38列源备映射错误，源端为numeric None位	期望更改为decimal(p,s)	实际备端为varchar 168位</t>
        </is>
      </c>
    </row>
    <row r="331">
      <c r="B331" t="inlineStr">
        <is>
          <t>NULL</t>
        </is>
      </c>
      <c r="C331" t="inlineStr">
        <is>
          <t>NULL</t>
        </is>
      </c>
      <c r="D331" t="inlineStr">
        <is>
          <t>NULL</t>
        </is>
      </c>
      <c r="E331" t="inlineStr">
        <is>
          <t>NULL</t>
        </is>
      </c>
      <c r="F331" t="inlineStr">
        <is>
          <t>NULL</t>
        </is>
      </c>
      <c r="G331" t="inlineStr">
        <is>
          <t>NULL</t>
        </is>
      </c>
      <c r="H331" t="inlineStr">
        <is>
          <t>NULL</t>
        </is>
      </c>
      <c r="I331" t="inlineStr">
        <is>
          <t>NULL</t>
        </is>
      </c>
      <c r="J331" t="inlineStr">
        <is>
          <t>NULL</t>
        </is>
      </c>
      <c r="K331" t="inlineStr">
        <is>
          <t>YES! 	 c_numeric38_10列源备映射正确，源端为numeric None位	期望更改为decimal(p,s)	实际备端为decimal None位</t>
        </is>
      </c>
    </row>
    <row r="332">
      <c r="B332" t="inlineStr">
        <is>
          <t>NULL</t>
        </is>
      </c>
      <c r="C332" t="inlineStr">
        <is>
          <t>NULL</t>
        </is>
      </c>
      <c r="D332" t="inlineStr">
        <is>
          <t>NULL</t>
        </is>
      </c>
      <c r="E332" t="inlineStr">
        <is>
          <t>NULL</t>
        </is>
      </c>
      <c r="F332" t="inlineStr">
        <is>
          <t>NULL</t>
        </is>
      </c>
      <c r="G332" t="inlineStr">
        <is>
          <t>NULL</t>
        </is>
      </c>
      <c r="H332" t="inlineStr">
        <is>
          <t>NULL</t>
        </is>
      </c>
      <c r="I332" t="inlineStr">
        <is>
          <t>NULL</t>
        </is>
      </c>
      <c r="J332" t="inlineStr">
        <is>
          <t>NULL</t>
        </is>
      </c>
      <c r="K332" t="inlineStr">
        <is>
          <t>YES! 	 c_numeric18_2列源备映射正确，源端为numeric None位	期望更改为decimal(p,s)	实际备端为decimal None位</t>
        </is>
      </c>
    </row>
    <row r="333">
      <c r="B333" t="inlineStr">
        <is>
          <t>NULL</t>
        </is>
      </c>
      <c r="C333" t="inlineStr">
        <is>
          <t>NULL</t>
        </is>
      </c>
      <c r="D333" t="inlineStr">
        <is>
          <t>NULL</t>
        </is>
      </c>
      <c r="E333" t="inlineStr">
        <is>
          <t>NULL</t>
        </is>
      </c>
      <c r="F333" t="inlineStr">
        <is>
          <t>NULL</t>
        </is>
      </c>
      <c r="G333" t="inlineStr">
        <is>
          <t>NULL</t>
        </is>
      </c>
      <c r="H333" t="inlineStr">
        <is>
          <t>NULL</t>
        </is>
      </c>
      <c r="I333" t="inlineStr">
        <is>
          <t>NULL</t>
        </is>
      </c>
      <c r="J333" t="inlineStr">
        <is>
          <t>NULL</t>
        </is>
      </c>
      <c r="K333" t="inlineStr">
        <is>
          <t>YES! 	 c_float列源备映射正确，源端为float None位	期望更改为double	实际备端为double None位</t>
        </is>
      </c>
    </row>
    <row r="334">
      <c r="B334" t="inlineStr">
        <is>
          <t>NULL</t>
        </is>
      </c>
      <c r="C334" t="inlineStr">
        <is>
          <t>NULL</t>
        </is>
      </c>
      <c r="D334" t="inlineStr">
        <is>
          <t>NULL</t>
        </is>
      </c>
      <c r="E334" t="inlineStr">
        <is>
          <t>NULL</t>
        </is>
      </c>
      <c r="F334" t="inlineStr">
        <is>
          <t>NULL</t>
        </is>
      </c>
      <c r="G334" t="inlineStr">
        <is>
          <t>NULL</t>
        </is>
      </c>
      <c r="H334" t="inlineStr">
        <is>
          <t>NULL</t>
        </is>
      </c>
      <c r="I334" t="inlineStr">
        <is>
          <t>NULL</t>
        </is>
      </c>
      <c r="J334" t="inlineStr">
        <is>
          <t>NULL</t>
        </is>
      </c>
      <c r="K334" t="inlineStr">
        <is>
          <t>YES! 	 c_real列源备映射正确，源端为real None位	期望更改为double	实际备端为double None位</t>
        </is>
      </c>
    </row>
    <row r="335">
      <c r="B335" t="inlineStr">
        <is>
          <t>NULL</t>
        </is>
      </c>
      <c r="C335" t="inlineStr">
        <is>
          <t>NULL</t>
        </is>
      </c>
      <c r="D335" t="inlineStr">
        <is>
          <t>NULL</t>
        </is>
      </c>
      <c r="E335" t="inlineStr">
        <is>
          <t>NULL</t>
        </is>
      </c>
      <c r="F335" t="inlineStr">
        <is>
          <t>NULL</t>
        </is>
      </c>
      <c r="G335" t="inlineStr">
        <is>
          <t>NULL</t>
        </is>
      </c>
      <c r="H335" t="inlineStr">
        <is>
          <t>NULL</t>
        </is>
      </c>
      <c r="I335" t="inlineStr">
        <is>
          <t>NULL</t>
        </is>
      </c>
      <c r="J335" t="inlineStr">
        <is>
          <t>NULL</t>
        </is>
      </c>
      <c r="K335" t="inlineStr">
        <is>
          <t>YES! 	 c_money列源备映射正确，源端为money None位	期望更改为decimal(19,4)	实际备端为decimal None位</t>
        </is>
      </c>
    </row>
    <row r="336">
      <c r="B336" t="inlineStr">
        <is>
          <t>NULL</t>
        </is>
      </c>
      <c r="C336" t="inlineStr">
        <is>
          <t>NULL</t>
        </is>
      </c>
      <c r="D336" t="inlineStr">
        <is>
          <t>NULL</t>
        </is>
      </c>
      <c r="E336" t="inlineStr">
        <is>
          <t>NULL</t>
        </is>
      </c>
      <c r="F336" t="inlineStr">
        <is>
          <t>NULL</t>
        </is>
      </c>
      <c r="G336" t="inlineStr">
        <is>
          <t>NULL</t>
        </is>
      </c>
      <c r="H336" t="inlineStr">
        <is>
          <t>NULL</t>
        </is>
      </c>
      <c r="I336" t="inlineStr">
        <is>
          <t>NULL</t>
        </is>
      </c>
      <c r="J336" t="inlineStr">
        <is>
          <t>NULL</t>
        </is>
      </c>
      <c r="K336" t="inlineStr">
        <is>
          <t>YES! 	 c_smallmoney列源备映射正确，源端为smallmoney None位	期望更改为decimal(10,4)	实际备端为decimal None位</t>
        </is>
      </c>
    </row>
    <row r="337">
      <c r="B337" t="inlineStr">
        <is>
          <t>NULL</t>
        </is>
      </c>
      <c r="C337" t="inlineStr">
        <is>
          <t>NULL</t>
        </is>
      </c>
      <c r="D337" t="inlineStr">
        <is>
          <t>NULL</t>
        </is>
      </c>
      <c r="E337" t="inlineStr">
        <is>
          <t>NULL</t>
        </is>
      </c>
      <c r="F337" t="inlineStr">
        <is>
          <t>NULL</t>
        </is>
      </c>
      <c r="G337" t="inlineStr">
        <is>
          <t>NULL</t>
        </is>
      </c>
      <c r="H337" t="inlineStr">
        <is>
          <t>NULL</t>
        </is>
      </c>
      <c r="I337" t="inlineStr">
        <is>
          <t>NULL</t>
        </is>
      </c>
      <c r="J337" t="inlineStr">
        <is>
          <t>NULL</t>
        </is>
      </c>
      <c r="K337" t="inlineStr">
        <is>
          <t>YES! 	 c_bit列源备映射正确，源端为bit None位	期望更改为tinyint(1) 	实际备端为tinyint None位</t>
        </is>
      </c>
    </row>
    <row r="338">
      <c r="A338" t="inlineStr">
        <is>
          <t>info_nchar_dml_single_nopk_drp</t>
        </is>
      </c>
      <c r="K338" t="inlineStr">
        <is>
          <t>[0;34m info_nchar_dml_single_nopk_drp [0m源备字段数相同，源端字段：4 	备端字段4</t>
        </is>
      </c>
      <c r="W338" s="15">
        <f>HYPERLINK("#2026052610mysql0!AS2","NO 源备存在差异，共4个")</f>
        <v/>
      </c>
      <c r="X338">
        <f>A338</f>
        <v/>
      </c>
    </row>
    <row r="339">
      <c r="B339" t="inlineStr">
        <is>
          <t>NULL</t>
        </is>
      </c>
      <c r="C339" t="inlineStr">
        <is>
          <t>NULL</t>
        </is>
      </c>
      <c r="D339" t="inlineStr">
        <is>
          <t>NULL</t>
        </is>
      </c>
      <c r="E339" t="inlineStr">
        <is>
          <t>NULL</t>
        </is>
      </c>
      <c r="F339" t="inlineStr">
        <is>
          <t>NULL</t>
        </is>
      </c>
      <c r="G339" t="inlineStr">
        <is>
          <t>NULL</t>
        </is>
      </c>
      <c r="H339" t="inlineStr">
        <is>
          <t>NULL</t>
        </is>
      </c>
      <c r="I339" t="inlineStr">
        <is>
          <t>NULL</t>
        </is>
      </c>
      <c r="J339" t="inlineStr">
        <is>
          <t>NULL</t>
        </is>
      </c>
      <c r="K339" t="inlineStr">
        <is>
          <t>YES! 	 id列源备映射正确，源端为int None位	期望更改为int	实际备端为int None位</t>
        </is>
      </c>
    </row>
    <row r="340">
      <c r="B340" t="inlineStr">
        <is>
          <t>NULL</t>
        </is>
      </c>
      <c r="C340" t="inlineStr">
        <is>
          <t>NULL</t>
        </is>
      </c>
      <c r="D340" t="inlineStr">
        <is>
          <t>NULL</t>
        </is>
      </c>
      <c r="E340" t="inlineStr">
        <is>
          <t>NULL</t>
        </is>
      </c>
      <c r="F340" t="inlineStr">
        <is>
          <t>NULL</t>
        </is>
      </c>
      <c r="G340" t="inlineStr">
        <is>
          <t>NULL</t>
        </is>
      </c>
      <c r="H340" t="inlineStr">
        <is>
          <t>NULL</t>
        </is>
      </c>
      <c r="I340" t="inlineStr">
        <is>
          <t>NULL</t>
        </is>
      </c>
      <c r="J340" t="inlineStr">
        <is>
          <t>NULL</t>
        </is>
      </c>
      <c r="K340" t="inlineStr">
        <is>
          <t>YES! 	 c_nchar列源备映射正确，源端为nchar 2位	期望更改为char(n)	实际备端为char 4位</t>
        </is>
      </c>
    </row>
    <row r="341">
      <c r="B341" t="inlineStr">
        <is>
          <t>NULL</t>
        </is>
      </c>
      <c r="C341" t="inlineStr">
        <is>
          <t>NULL</t>
        </is>
      </c>
      <c r="D341" t="inlineStr">
        <is>
          <t>NULL</t>
        </is>
      </c>
      <c r="E341" t="inlineStr">
        <is>
          <t>NULL</t>
        </is>
      </c>
      <c r="F341" t="inlineStr">
        <is>
          <t>NULL</t>
        </is>
      </c>
      <c r="G341" t="inlineStr">
        <is>
          <t>NULL</t>
        </is>
      </c>
      <c r="H341" t="inlineStr">
        <is>
          <t>NULL</t>
        </is>
      </c>
      <c r="I341" t="inlineStr">
        <is>
          <t>NULL</t>
        </is>
      </c>
      <c r="J341" t="inlineStr">
        <is>
          <t>NULL</t>
        </is>
      </c>
      <c r="K341" t="inlineStr">
        <is>
          <t>YES! 	 c_nchar20列源备映射正确，源端为nchar 40位	期望更改为char(n)	实际备端为char 80位</t>
        </is>
      </c>
    </row>
    <row r="342">
      <c r="B342" t="inlineStr">
        <is>
          <t>NULL</t>
        </is>
      </c>
      <c r="C342" t="inlineStr">
        <is>
          <t>NULL</t>
        </is>
      </c>
      <c r="D342" t="inlineStr">
        <is>
          <t>NULL</t>
        </is>
      </c>
      <c r="E342" t="inlineStr">
        <is>
          <t>NULL</t>
        </is>
      </c>
      <c r="F342" t="inlineStr">
        <is>
          <t>NULL</t>
        </is>
      </c>
      <c r="G342" t="inlineStr">
        <is>
          <t>NULL</t>
        </is>
      </c>
      <c r="H342" t="inlineStr">
        <is>
          <t>NULL</t>
        </is>
      </c>
      <c r="I342" t="inlineStr">
        <is>
          <t>NULL</t>
        </is>
      </c>
      <c r="J342" t="inlineStr">
        <is>
          <t>NULL</t>
        </is>
      </c>
      <c r="K342" t="inlineStr">
        <is>
          <t xml:space="preserve"> NO!  	 c_nchar3500列源备映射错误，源端为nchar 7000位	期望更改为varchar(n)	实际备端为text 65535位</t>
        </is>
      </c>
    </row>
    <row r="343">
      <c r="A343" t="inlineStr">
        <is>
          <t>info_nchar_dml_single_nopk_urp</t>
        </is>
      </c>
      <c r="K343" t="inlineStr">
        <is>
          <t>[0;34m info_nchar_dml_single_nopk_urp [0m源备字段数相同，源端字段：4 	备端字段4</t>
        </is>
      </c>
      <c r="W343" s="15">
        <f>HYPERLINK("#2026052610mysql0!AT2","NO 源备存在差异，共12个")</f>
        <v/>
      </c>
      <c r="X343">
        <f>A343</f>
        <v/>
      </c>
    </row>
    <row r="344">
      <c r="B344" t="inlineStr">
        <is>
          <t>NULL</t>
        </is>
      </c>
      <c r="C344" t="inlineStr">
        <is>
          <t>NULL</t>
        </is>
      </c>
      <c r="D344" t="inlineStr">
        <is>
          <t>NULL</t>
        </is>
      </c>
      <c r="E344" t="inlineStr">
        <is>
          <t>NULL</t>
        </is>
      </c>
      <c r="F344" t="inlineStr">
        <is>
          <t>NULL</t>
        </is>
      </c>
      <c r="G344" t="inlineStr">
        <is>
          <t>NULL</t>
        </is>
      </c>
      <c r="H344" t="inlineStr">
        <is>
          <t>NULL</t>
        </is>
      </c>
      <c r="I344" t="inlineStr">
        <is>
          <t>NULL</t>
        </is>
      </c>
      <c r="J344" t="inlineStr">
        <is>
          <t>NULL</t>
        </is>
      </c>
      <c r="K344" t="inlineStr">
        <is>
          <t>YES! 	 id列源备映射正确，源端为int None位	期望更改为int	实际备端为int None位</t>
        </is>
      </c>
    </row>
    <row r="345">
      <c r="B345" t="inlineStr">
        <is>
          <t>NULL</t>
        </is>
      </c>
      <c r="C345" t="inlineStr">
        <is>
          <t>NULL</t>
        </is>
      </c>
      <c r="D345" t="inlineStr">
        <is>
          <t>NULL</t>
        </is>
      </c>
      <c r="E345" t="inlineStr">
        <is>
          <t>NULL</t>
        </is>
      </c>
      <c r="F345" t="inlineStr">
        <is>
          <t>NULL</t>
        </is>
      </c>
      <c r="G345" t="inlineStr">
        <is>
          <t>NULL</t>
        </is>
      </c>
      <c r="H345" t="inlineStr">
        <is>
          <t>NULL</t>
        </is>
      </c>
      <c r="I345" t="inlineStr">
        <is>
          <t>NULL</t>
        </is>
      </c>
      <c r="J345" t="inlineStr">
        <is>
          <t>NULL</t>
        </is>
      </c>
      <c r="K345" t="inlineStr">
        <is>
          <t>YES! 	 c_nchar列源备映射正确，源端为nchar 2位	期望更改为char(n)	实际备端为char 4位</t>
        </is>
      </c>
    </row>
    <row r="346">
      <c r="B346" t="inlineStr">
        <is>
          <t>NULL</t>
        </is>
      </c>
      <c r="C346" t="inlineStr">
        <is>
          <t>NULL</t>
        </is>
      </c>
      <c r="D346" t="inlineStr">
        <is>
          <t>NULL</t>
        </is>
      </c>
      <c r="E346" t="inlineStr">
        <is>
          <t>NULL</t>
        </is>
      </c>
      <c r="F346" t="inlineStr">
        <is>
          <t>NULL</t>
        </is>
      </c>
      <c r="G346" t="inlineStr">
        <is>
          <t>NULL</t>
        </is>
      </c>
      <c r="H346" t="inlineStr">
        <is>
          <t>NULL</t>
        </is>
      </c>
      <c r="I346" t="inlineStr">
        <is>
          <t>NULL</t>
        </is>
      </c>
      <c r="J346" t="inlineStr">
        <is>
          <t>NULL</t>
        </is>
      </c>
      <c r="K346" t="inlineStr">
        <is>
          <t>YES! 	 c_nchar20列源备映射正确，源端为nchar 40位	期望更改为char(n)	实际备端为char 80位</t>
        </is>
      </c>
    </row>
    <row r="347">
      <c r="B347" t="inlineStr">
        <is>
          <t>NULL</t>
        </is>
      </c>
      <c r="C347" t="inlineStr">
        <is>
          <t>NULL</t>
        </is>
      </c>
      <c r="D347" t="inlineStr">
        <is>
          <t>NULL</t>
        </is>
      </c>
      <c r="E347" t="inlineStr">
        <is>
          <t>NULL</t>
        </is>
      </c>
      <c r="F347" t="inlineStr">
        <is>
          <t>NULL</t>
        </is>
      </c>
      <c r="G347" t="inlineStr">
        <is>
          <t>NULL</t>
        </is>
      </c>
      <c r="H347" t="inlineStr">
        <is>
          <t>NULL</t>
        </is>
      </c>
      <c r="I347" t="inlineStr">
        <is>
          <t>NULL</t>
        </is>
      </c>
      <c r="J347" t="inlineStr">
        <is>
          <t>NULL</t>
        </is>
      </c>
      <c r="K347" t="inlineStr">
        <is>
          <t xml:space="preserve"> NO!  	 c_nchar3500列源备映射错误，源端为nchar 7000位	期望更改为varchar(n)	实际备端为text 65535位</t>
        </is>
      </c>
    </row>
    <row r="348">
      <c r="A348" t="inlineStr">
        <is>
          <t>info_sdt_dml_batch1_pk_urp1</t>
        </is>
      </c>
      <c r="K348" t="inlineStr">
        <is>
          <t>[0;34m info_sdt_dml_batch1_pk_urp1 [0m源备字段数相同，源端字段：2 	备端字段2</t>
        </is>
      </c>
      <c r="W348" t="inlineStr">
        <is>
          <t>YES 源备无差异</t>
        </is>
      </c>
      <c r="X348">
        <f>A348</f>
        <v/>
      </c>
    </row>
    <row r="349">
      <c r="B349" t="inlineStr">
        <is>
          <t>YES</t>
        </is>
      </c>
      <c r="C349" t="inlineStr">
        <is>
          <t>NULL</t>
        </is>
      </c>
      <c r="D349" t="inlineStr">
        <is>
          <t>NULL</t>
        </is>
      </c>
      <c r="E349" t="inlineStr">
        <is>
          <t>NULL</t>
        </is>
      </c>
      <c r="F349" t="inlineStr">
        <is>
          <t>NULL</t>
        </is>
      </c>
      <c r="G349" t="inlineStr">
        <is>
          <t>NULL</t>
        </is>
      </c>
      <c r="H349" t="inlineStr">
        <is>
          <t>NULL</t>
        </is>
      </c>
      <c r="I349" t="inlineStr">
        <is>
          <t>YES!PK__info_sdt__3213E83FC4043C95</t>
        </is>
      </c>
      <c r="J349" t="inlineStr">
        <is>
          <t>YES! 主键相关索引</t>
        </is>
      </c>
      <c r="K349" t="inlineStr">
        <is>
          <t>YES! 	 id列源备映射正确，源端为int None位	期望更改为int	实际备端为int None位</t>
        </is>
      </c>
    </row>
    <row r="350">
      <c r="B350" t="inlineStr">
        <is>
          <t>NULL</t>
        </is>
      </c>
      <c r="C350" t="inlineStr">
        <is>
          <t>NULL</t>
        </is>
      </c>
      <c r="D350" t="inlineStr">
        <is>
          <t>NULL</t>
        </is>
      </c>
      <c r="E350" t="inlineStr">
        <is>
          <t>NULL</t>
        </is>
      </c>
      <c r="F350" t="inlineStr">
        <is>
          <t>NULL</t>
        </is>
      </c>
      <c r="G350" t="inlineStr">
        <is>
          <t>NULL</t>
        </is>
      </c>
      <c r="H350" t="inlineStr">
        <is>
          <t>NULL</t>
        </is>
      </c>
      <c r="I350" t="inlineStr">
        <is>
          <t>NULL</t>
        </is>
      </c>
      <c r="J350" t="inlineStr">
        <is>
          <t>NULL</t>
        </is>
      </c>
      <c r="K350" t="inlineStr">
        <is>
          <t>YES! 	 c_sdt列源备映射正确，源端为smalldatetime None位	期望更改为datetime	实际备端为datetime None位</t>
        </is>
      </c>
    </row>
    <row r="351">
      <c r="A351" t="inlineStr">
        <is>
          <t>info_int_dml_single_pk</t>
        </is>
      </c>
      <c r="K351" t="inlineStr">
        <is>
          <t>[0;34m info_int_dml_single_pk [0m源备字段数相同，源端字段：20 	备端字段20</t>
        </is>
      </c>
      <c r="W351" t="inlineStr">
        <is>
          <t>YES 源备无差异</t>
        </is>
      </c>
      <c r="X351">
        <f>A351</f>
        <v/>
      </c>
    </row>
    <row r="352">
      <c r="B352" t="inlineStr">
        <is>
          <t>YES</t>
        </is>
      </c>
      <c r="C352" t="inlineStr">
        <is>
          <t>NULL</t>
        </is>
      </c>
      <c r="D352" t="inlineStr">
        <is>
          <t>NULL</t>
        </is>
      </c>
      <c r="E352" t="inlineStr">
        <is>
          <t>NULL</t>
        </is>
      </c>
      <c r="F352" t="inlineStr">
        <is>
          <t>NULL</t>
        </is>
      </c>
      <c r="G352" t="inlineStr">
        <is>
          <t>NULL</t>
        </is>
      </c>
      <c r="H352" t="inlineStr">
        <is>
          <t>NULL</t>
        </is>
      </c>
      <c r="I352" t="inlineStr">
        <is>
          <t>YES!PK__info_int__3213E83F5D7987FF</t>
        </is>
      </c>
      <c r="J352" t="inlineStr">
        <is>
          <t>YES! 主键相关索引</t>
        </is>
      </c>
      <c r="K352" t="inlineStr">
        <is>
          <t>YES! 	 id列源备映射正确，源端为int None位	期望更改为int	实际备端为int None位</t>
        </is>
      </c>
    </row>
    <row r="353">
      <c r="B353" t="inlineStr">
        <is>
          <t>NULL</t>
        </is>
      </c>
      <c r="C353" t="inlineStr">
        <is>
          <t>NULL</t>
        </is>
      </c>
      <c r="D353" t="inlineStr">
        <is>
          <t>NULL</t>
        </is>
      </c>
      <c r="E353" t="inlineStr">
        <is>
          <t>NULL</t>
        </is>
      </c>
      <c r="F353" t="inlineStr">
        <is>
          <t>NULL</t>
        </is>
      </c>
      <c r="G353" t="inlineStr">
        <is>
          <t>NULL</t>
        </is>
      </c>
      <c r="H353" t="inlineStr">
        <is>
          <t>NULL</t>
        </is>
      </c>
      <c r="I353" t="inlineStr">
        <is>
          <t>NULL</t>
        </is>
      </c>
      <c r="J353" t="inlineStr">
        <is>
          <t>NULL</t>
        </is>
      </c>
      <c r="K353" t="inlineStr">
        <is>
          <t>YES! 	 c_tinyint列源备映射正确，源端为tinyint None位	期望更改为tinyint	实际备端为tinyint None位</t>
        </is>
      </c>
    </row>
    <row r="354">
      <c r="B354" t="inlineStr">
        <is>
          <t>NULL</t>
        </is>
      </c>
      <c r="C354" t="inlineStr">
        <is>
          <t>NULL</t>
        </is>
      </c>
      <c r="D354" t="inlineStr">
        <is>
          <t>NULL</t>
        </is>
      </c>
      <c r="E354" t="inlineStr">
        <is>
          <t>NULL</t>
        </is>
      </c>
      <c r="F354" t="inlineStr">
        <is>
          <t>NULL</t>
        </is>
      </c>
      <c r="G354" t="inlineStr">
        <is>
          <t>NULL</t>
        </is>
      </c>
      <c r="H354" t="inlineStr">
        <is>
          <t>NULL</t>
        </is>
      </c>
      <c r="I354" t="inlineStr">
        <is>
          <t>NULL</t>
        </is>
      </c>
      <c r="J354" t="inlineStr">
        <is>
          <t>NULL</t>
        </is>
      </c>
      <c r="K354" t="inlineStr">
        <is>
          <t>YES! 	 c_smallint列源备映射正确，源端为smallint None位	期望更改为smallint	实际备端为smallint None位</t>
        </is>
      </c>
    </row>
    <row r="355">
      <c r="B355" t="inlineStr">
        <is>
          <t>NULL</t>
        </is>
      </c>
      <c r="C355" t="inlineStr">
        <is>
          <t>NULL</t>
        </is>
      </c>
      <c r="D355" t="inlineStr">
        <is>
          <t>NULL</t>
        </is>
      </c>
      <c r="E355" t="inlineStr">
        <is>
          <t>NULL</t>
        </is>
      </c>
      <c r="F355" t="inlineStr">
        <is>
          <t>NULL</t>
        </is>
      </c>
      <c r="G355" t="inlineStr">
        <is>
          <t>NULL</t>
        </is>
      </c>
      <c r="H355" t="inlineStr">
        <is>
          <t>NULL</t>
        </is>
      </c>
      <c r="I355" t="inlineStr">
        <is>
          <t>NULL</t>
        </is>
      </c>
      <c r="J355" t="inlineStr">
        <is>
          <t>NULL</t>
        </is>
      </c>
      <c r="K355" t="inlineStr">
        <is>
          <t>YES! 	 c_int列源备映射正确，源端为int None位	期望更改为int	实际备端为int None位</t>
        </is>
      </c>
    </row>
    <row r="356">
      <c r="B356" t="inlineStr">
        <is>
          <t>NULL</t>
        </is>
      </c>
      <c r="C356" t="inlineStr">
        <is>
          <t>NULL</t>
        </is>
      </c>
      <c r="D356" t="inlineStr">
        <is>
          <t>NULL</t>
        </is>
      </c>
      <c r="E356" t="inlineStr">
        <is>
          <t>NULL</t>
        </is>
      </c>
      <c r="F356" t="inlineStr">
        <is>
          <t>NULL</t>
        </is>
      </c>
      <c r="G356" t="inlineStr">
        <is>
          <t>NULL</t>
        </is>
      </c>
      <c r="H356" t="inlineStr">
        <is>
          <t>NULL</t>
        </is>
      </c>
      <c r="I356" t="inlineStr">
        <is>
          <t>NULL</t>
        </is>
      </c>
      <c r="J356" t="inlineStr">
        <is>
          <t>NULL</t>
        </is>
      </c>
      <c r="K356" t="inlineStr">
        <is>
          <t>YES! 	 c_bigint列源备映射正确，源端为bigint None位	期望更改为bigint	实际备端为bigint None位</t>
        </is>
      </c>
    </row>
    <row r="357">
      <c r="B357" t="inlineStr">
        <is>
          <t>NULL</t>
        </is>
      </c>
      <c r="C357" t="inlineStr">
        <is>
          <t>NULL</t>
        </is>
      </c>
      <c r="D357" t="inlineStr">
        <is>
          <t>NULL</t>
        </is>
      </c>
      <c r="E357" t="inlineStr">
        <is>
          <t>NULL</t>
        </is>
      </c>
      <c r="F357" t="inlineStr">
        <is>
          <t>NULL</t>
        </is>
      </c>
      <c r="G357" t="inlineStr">
        <is>
          <t>NULL</t>
        </is>
      </c>
      <c r="H357" t="inlineStr">
        <is>
          <t>NULL</t>
        </is>
      </c>
      <c r="I357" t="inlineStr">
        <is>
          <t>NULL</t>
        </is>
      </c>
      <c r="J357" t="inlineStr">
        <is>
          <t>NULL</t>
        </is>
      </c>
      <c r="K357" t="inlineStr">
        <is>
          <t>YES! 	 c_decimal列源备映射正确，源端为decimal None位	期望更改为decimal(p,s)	实际备端为decimal None位</t>
        </is>
      </c>
    </row>
    <row r="358">
      <c r="B358" t="inlineStr">
        <is>
          <t>NULL</t>
        </is>
      </c>
      <c r="C358" t="inlineStr">
        <is>
          <t>NULL</t>
        </is>
      </c>
      <c r="D358" t="inlineStr">
        <is>
          <t>NULL</t>
        </is>
      </c>
      <c r="E358" t="inlineStr">
        <is>
          <t>NULL</t>
        </is>
      </c>
      <c r="F358" t="inlineStr">
        <is>
          <t>NULL</t>
        </is>
      </c>
      <c r="G358" t="inlineStr">
        <is>
          <t>NULL</t>
        </is>
      </c>
      <c r="H358" t="inlineStr">
        <is>
          <t>NULL</t>
        </is>
      </c>
      <c r="I358" t="inlineStr">
        <is>
          <t>NULL</t>
        </is>
      </c>
      <c r="J358" t="inlineStr">
        <is>
          <t>NULL</t>
        </is>
      </c>
      <c r="K358" t="inlineStr">
        <is>
          <t>YES! 	 c_decimal38列源备映射正确，源端为decimal None位	期望更改为decimal(p,s)	实际备端为decimal None位</t>
        </is>
      </c>
    </row>
    <row r="359">
      <c r="B359" t="inlineStr">
        <is>
          <t>NULL</t>
        </is>
      </c>
      <c r="C359" t="inlineStr">
        <is>
          <t>NULL</t>
        </is>
      </c>
      <c r="D359" t="inlineStr">
        <is>
          <t>NULL</t>
        </is>
      </c>
      <c r="E359" t="inlineStr">
        <is>
          <t>NULL</t>
        </is>
      </c>
      <c r="F359" t="inlineStr">
        <is>
          <t>NULL</t>
        </is>
      </c>
      <c r="G359" t="inlineStr">
        <is>
          <t>NULL</t>
        </is>
      </c>
      <c r="H359" t="inlineStr">
        <is>
          <t>NULL</t>
        </is>
      </c>
      <c r="I359" t="inlineStr">
        <is>
          <t>NULL</t>
        </is>
      </c>
      <c r="J359" t="inlineStr">
        <is>
          <t>NULL</t>
        </is>
      </c>
      <c r="K359" t="inlineStr">
        <is>
          <t xml:space="preserve"> NO!  	 c_decimal38_38列源备映射错误，源端为decimal None位	期望更改为decimal(p,s)	实际备端为varchar 168位</t>
        </is>
      </c>
    </row>
    <row r="360">
      <c r="B360" t="inlineStr">
        <is>
          <t>NULL</t>
        </is>
      </c>
      <c r="C360" t="inlineStr">
        <is>
          <t>NULL</t>
        </is>
      </c>
      <c r="D360" t="inlineStr">
        <is>
          <t>NULL</t>
        </is>
      </c>
      <c r="E360" t="inlineStr">
        <is>
          <t>NULL</t>
        </is>
      </c>
      <c r="F360" t="inlineStr">
        <is>
          <t>NULL</t>
        </is>
      </c>
      <c r="G360" t="inlineStr">
        <is>
          <t>NULL</t>
        </is>
      </c>
      <c r="H360" t="inlineStr">
        <is>
          <t>NULL</t>
        </is>
      </c>
      <c r="I360" t="inlineStr">
        <is>
          <t>NULL</t>
        </is>
      </c>
      <c r="J360" t="inlineStr">
        <is>
          <t>NULL</t>
        </is>
      </c>
      <c r="K360" t="inlineStr">
        <is>
          <t>YES! 	 c_decimal38_10列源备映射正确，源端为decimal None位	期望更改为decimal(p,s)	实际备端为decimal None位</t>
        </is>
      </c>
    </row>
    <row r="361">
      <c r="B361" t="inlineStr">
        <is>
          <t>NULL</t>
        </is>
      </c>
      <c r="C361" t="inlineStr">
        <is>
          <t>NULL</t>
        </is>
      </c>
      <c r="D361" t="inlineStr">
        <is>
          <t>NULL</t>
        </is>
      </c>
      <c r="E361" t="inlineStr">
        <is>
          <t>NULL</t>
        </is>
      </c>
      <c r="F361" t="inlineStr">
        <is>
          <t>NULL</t>
        </is>
      </c>
      <c r="G361" t="inlineStr">
        <is>
          <t>NULL</t>
        </is>
      </c>
      <c r="H361" t="inlineStr">
        <is>
          <t>NULL</t>
        </is>
      </c>
      <c r="I361" t="inlineStr">
        <is>
          <t>NULL</t>
        </is>
      </c>
      <c r="J361" t="inlineStr">
        <is>
          <t>NULL</t>
        </is>
      </c>
      <c r="K361" t="inlineStr">
        <is>
          <t>YES! 	 c_decimal19_4列源备映射正确，源端为decimal None位	期望更改为decimal(p,s)	实际备端为decimal None位</t>
        </is>
      </c>
    </row>
    <row r="362">
      <c r="B362" t="inlineStr">
        <is>
          <t>NULL</t>
        </is>
      </c>
      <c r="C362" t="inlineStr">
        <is>
          <t>NULL</t>
        </is>
      </c>
      <c r="D362" t="inlineStr">
        <is>
          <t>NULL</t>
        </is>
      </c>
      <c r="E362" t="inlineStr">
        <is>
          <t>NULL</t>
        </is>
      </c>
      <c r="F362" t="inlineStr">
        <is>
          <t>NULL</t>
        </is>
      </c>
      <c r="G362" t="inlineStr">
        <is>
          <t>NULL</t>
        </is>
      </c>
      <c r="H362" t="inlineStr">
        <is>
          <t>NULL</t>
        </is>
      </c>
      <c r="I362" t="inlineStr">
        <is>
          <t>NULL</t>
        </is>
      </c>
      <c r="J362" t="inlineStr">
        <is>
          <t>NULL</t>
        </is>
      </c>
      <c r="K362" t="inlineStr">
        <is>
          <t>YES! 	 c_numeric列源备映射正确，源端为numeric None位	期望更改为decimal(p,s)	实际备端为decimal None位</t>
        </is>
      </c>
    </row>
    <row r="363">
      <c r="B363" t="inlineStr">
        <is>
          <t>NULL</t>
        </is>
      </c>
      <c r="C363" t="inlineStr">
        <is>
          <t>NULL</t>
        </is>
      </c>
      <c r="D363" t="inlineStr">
        <is>
          <t>NULL</t>
        </is>
      </c>
      <c r="E363" t="inlineStr">
        <is>
          <t>NULL</t>
        </is>
      </c>
      <c r="F363" t="inlineStr">
        <is>
          <t>NULL</t>
        </is>
      </c>
      <c r="G363" t="inlineStr">
        <is>
          <t>NULL</t>
        </is>
      </c>
      <c r="H363" t="inlineStr">
        <is>
          <t>NULL</t>
        </is>
      </c>
      <c r="I363" t="inlineStr">
        <is>
          <t>NULL</t>
        </is>
      </c>
      <c r="J363" t="inlineStr">
        <is>
          <t>NULL</t>
        </is>
      </c>
      <c r="K363" t="inlineStr">
        <is>
          <t>YES! 	 c_numeric38列源备映射正确，源端为numeric None位	期望更改为decimal(p,s)	实际备端为decimal None位</t>
        </is>
      </c>
    </row>
    <row r="364">
      <c r="B364" t="inlineStr">
        <is>
          <t>NULL</t>
        </is>
      </c>
      <c r="C364" t="inlineStr">
        <is>
          <t>NULL</t>
        </is>
      </c>
      <c r="D364" t="inlineStr">
        <is>
          <t>NULL</t>
        </is>
      </c>
      <c r="E364" t="inlineStr">
        <is>
          <t>NULL</t>
        </is>
      </c>
      <c r="F364" t="inlineStr">
        <is>
          <t>NULL</t>
        </is>
      </c>
      <c r="G364" t="inlineStr">
        <is>
          <t>NULL</t>
        </is>
      </c>
      <c r="H364" t="inlineStr">
        <is>
          <t>NULL</t>
        </is>
      </c>
      <c r="I364" t="inlineStr">
        <is>
          <t>NULL</t>
        </is>
      </c>
      <c r="J364" t="inlineStr">
        <is>
          <t>NULL</t>
        </is>
      </c>
      <c r="K364" t="inlineStr">
        <is>
          <t xml:space="preserve"> NO!  	 c_numeric38_38列源备映射错误，源端为numeric None位	期望更改为decimal(p,s)	实际备端为varchar 168位</t>
        </is>
      </c>
    </row>
    <row r="365">
      <c r="B365" t="inlineStr">
        <is>
          <t>NULL</t>
        </is>
      </c>
      <c r="C365" t="inlineStr">
        <is>
          <t>NULL</t>
        </is>
      </c>
      <c r="D365" t="inlineStr">
        <is>
          <t>NULL</t>
        </is>
      </c>
      <c r="E365" t="inlineStr">
        <is>
          <t>NULL</t>
        </is>
      </c>
      <c r="F365" t="inlineStr">
        <is>
          <t>NULL</t>
        </is>
      </c>
      <c r="G365" t="inlineStr">
        <is>
          <t>NULL</t>
        </is>
      </c>
      <c r="H365" t="inlineStr">
        <is>
          <t>NULL</t>
        </is>
      </c>
      <c r="I365" t="inlineStr">
        <is>
          <t>NULL</t>
        </is>
      </c>
      <c r="J365" t="inlineStr">
        <is>
          <t>NULL</t>
        </is>
      </c>
      <c r="K365" t="inlineStr">
        <is>
          <t>YES! 	 c_numeric38_10列源备映射正确，源端为numeric None位	期望更改为decimal(p,s)	实际备端为decimal None位</t>
        </is>
      </c>
    </row>
    <row r="366">
      <c r="B366" t="inlineStr">
        <is>
          <t>NULL</t>
        </is>
      </c>
      <c r="C366" t="inlineStr">
        <is>
          <t>NULL</t>
        </is>
      </c>
      <c r="D366" t="inlineStr">
        <is>
          <t>NULL</t>
        </is>
      </c>
      <c r="E366" t="inlineStr">
        <is>
          <t>NULL</t>
        </is>
      </c>
      <c r="F366" t="inlineStr">
        <is>
          <t>NULL</t>
        </is>
      </c>
      <c r="G366" t="inlineStr">
        <is>
          <t>NULL</t>
        </is>
      </c>
      <c r="H366" t="inlineStr">
        <is>
          <t>NULL</t>
        </is>
      </c>
      <c r="I366" t="inlineStr">
        <is>
          <t>NULL</t>
        </is>
      </c>
      <c r="J366" t="inlineStr">
        <is>
          <t>NULL</t>
        </is>
      </c>
      <c r="K366" t="inlineStr">
        <is>
          <t>YES! 	 c_numeric18_2列源备映射正确，源端为numeric None位	期望更改为decimal(p,s)	实际备端为decimal None位</t>
        </is>
      </c>
    </row>
    <row r="367">
      <c r="B367" t="inlineStr">
        <is>
          <t>NULL</t>
        </is>
      </c>
      <c r="C367" t="inlineStr">
        <is>
          <t>NULL</t>
        </is>
      </c>
      <c r="D367" t="inlineStr">
        <is>
          <t>NULL</t>
        </is>
      </c>
      <c r="E367" t="inlineStr">
        <is>
          <t>NULL</t>
        </is>
      </c>
      <c r="F367" t="inlineStr">
        <is>
          <t>NULL</t>
        </is>
      </c>
      <c r="G367" t="inlineStr">
        <is>
          <t>NULL</t>
        </is>
      </c>
      <c r="H367" t="inlineStr">
        <is>
          <t>NULL</t>
        </is>
      </c>
      <c r="I367" t="inlineStr">
        <is>
          <t>NULL</t>
        </is>
      </c>
      <c r="J367" t="inlineStr">
        <is>
          <t>NULL</t>
        </is>
      </c>
      <c r="K367" t="inlineStr">
        <is>
          <t>YES! 	 c_float列源备映射正确，源端为float None位	期望更改为double	实际备端为double None位</t>
        </is>
      </c>
    </row>
    <row r="368">
      <c r="B368" t="inlineStr">
        <is>
          <t>NULL</t>
        </is>
      </c>
      <c r="C368" t="inlineStr">
        <is>
          <t>NULL</t>
        </is>
      </c>
      <c r="D368" t="inlineStr">
        <is>
          <t>NULL</t>
        </is>
      </c>
      <c r="E368" t="inlineStr">
        <is>
          <t>NULL</t>
        </is>
      </c>
      <c r="F368" t="inlineStr">
        <is>
          <t>NULL</t>
        </is>
      </c>
      <c r="G368" t="inlineStr">
        <is>
          <t>NULL</t>
        </is>
      </c>
      <c r="H368" t="inlineStr">
        <is>
          <t>NULL</t>
        </is>
      </c>
      <c r="I368" t="inlineStr">
        <is>
          <t>NULL</t>
        </is>
      </c>
      <c r="J368" t="inlineStr">
        <is>
          <t>NULL</t>
        </is>
      </c>
      <c r="K368" t="inlineStr">
        <is>
          <t>YES! 	 c_real列源备映射正确，源端为real None位	期望更改为double	实际备端为double None位</t>
        </is>
      </c>
    </row>
    <row r="369">
      <c r="B369" t="inlineStr">
        <is>
          <t>NULL</t>
        </is>
      </c>
      <c r="C369" t="inlineStr">
        <is>
          <t>NULL</t>
        </is>
      </c>
      <c r="D369" t="inlineStr">
        <is>
          <t>NULL</t>
        </is>
      </c>
      <c r="E369" t="inlineStr">
        <is>
          <t>NULL</t>
        </is>
      </c>
      <c r="F369" t="inlineStr">
        <is>
          <t>NULL</t>
        </is>
      </c>
      <c r="G369" t="inlineStr">
        <is>
          <t>NULL</t>
        </is>
      </c>
      <c r="H369" t="inlineStr">
        <is>
          <t>NULL</t>
        </is>
      </c>
      <c r="I369" t="inlineStr">
        <is>
          <t>NULL</t>
        </is>
      </c>
      <c r="J369" t="inlineStr">
        <is>
          <t>NULL</t>
        </is>
      </c>
      <c r="K369" t="inlineStr">
        <is>
          <t>YES! 	 c_money列源备映射正确，源端为money None位	期望更改为decimal(19,4)	实际备端为decimal None位</t>
        </is>
      </c>
    </row>
    <row r="370">
      <c r="B370" t="inlineStr">
        <is>
          <t>NULL</t>
        </is>
      </c>
      <c r="C370" t="inlineStr">
        <is>
          <t>NULL</t>
        </is>
      </c>
      <c r="D370" t="inlineStr">
        <is>
          <t>NULL</t>
        </is>
      </c>
      <c r="E370" t="inlineStr">
        <is>
          <t>NULL</t>
        </is>
      </c>
      <c r="F370" t="inlineStr">
        <is>
          <t>NULL</t>
        </is>
      </c>
      <c r="G370" t="inlineStr">
        <is>
          <t>NULL</t>
        </is>
      </c>
      <c r="H370" t="inlineStr">
        <is>
          <t>NULL</t>
        </is>
      </c>
      <c r="I370" t="inlineStr">
        <is>
          <t>NULL</t>
        </is>
      </c>
      <c r="J370" t="inlineStr">
        <is>
          <t>NULL</t>
        </is>
      </c>
      <c r="K370" t="inlineStr">
        <is>
          <t>YES! 	 c_smallmoney列源备映射正确，源端为smallmoney None位	期望更改为decimal(10,4)	实际备端为decimal None位</t>
        </is>
      </c>
    </row>
    <row r="371">
      <c r="B371" t="inlineStr">
        <is>
          <t>NULL</t>
        </is>
      </c>
      <c r="C371" t="inlineStr">
        <is>
          <t>NULL</t>
        </is>
      </c>
      <c r="D371" t="inlineStr">
        <is>
          <t>NULL</t>
        </is>
      </c>
      <c r="E371" t="inlineStr">
        <is>
          <t>NULL</t>
        </is>
      </c>
      <c r="F371" t="inlineStr">
        <is>
          <t>NULL</t>
        </is>
      </c>
      <c r="G371" t="inlineStr">
        <is>
          <t>NULL</t>
        </is>
      </c>
      <c r="H371" t="inlineStr">
        <is>
          <t>NULL</t>
        </is>
      </c>
      <c r="I371" t="inlineStr">
        <is>
          <t>NULL</t>
        </is>
      </c>
      <c r="J371" t="inlineStr">
        <is>
          <t>NULL</t>
        </is>
      </c>
      <c r="K371" t="inlineStr">
        <is>
          <t>YES! 	 c_bit列源备映射正确，源端为bit None位	期望更改为tinyint(1) 	实际备端为tinyint None位</t>
        </is>
      </c>
    </row>
    <row r="372">
      <c r="A372" t="inlineStr">
        <is>
          <t>info_sdt_dml_batch1_pk_urp2</t>
        </is>
      </c>
      <c r="K372" t="inlineStr">
        <is>
          <t>[0;34m info_sdt_dml_batch1_pk_urp2 [0m源备字段数相同，源端字段：2 	备端字段2</t>
        </is>
      </c>
      <c r="W372" t="inlineStr">
        <is>
          <t>YES 源备无差异</t>
        </is>
      </c>
      <c r="X372">
        <f>A372</f>
        <v/>
      </c>
    </row>
    <row r="373">
      <c r="B373" t="inlineStr">
        <is>
          <t>YES</t>
        </is>
      </c>
      <c r="C373" t="inlineStr">
        <is>
          <t>NULL</t>
        </is>
      </c>
      <c r="D373" t="inlineStr">
        <is>
          <t>NULL</t>
        </is>
      </c>
      <c r="E373" t="inlineStr">
        <is>
          <t>NULL</t>
        </is>
      </c>
      <c r="F373" t="inlineStr">
        <is>
          <t>NULL</t>
        </is>
      </c>
      <c r="G373" t="inlineStr">
        <is>
          <t>NULL</t>
        </is>
      </c>
      <c r="H373" t="inlineStr">
        <is>
          <t>NULL</t>
        </is>
      </c>
      <c r="I373" t="inlineStr">
        <is>
          <t>YES!PK__info_sdt__3213E83F9232A2E1</t>
        </is>
      </c>
      <c r="J373" t="inlineStr">
        <is>
          <t>YES! 主键相关索引</t>
        </is>
      </c>
      <c r="K373" t="inlineStr">
        <is>
          <t>YES! 	 id列源备映射正确，源端为int None位	期望更改为int	实际备端为int None位</t>
        </is>
      </c>
    </row>
    <row r="374">
      <c r="B374" t="inlineStr">
        <is>
          <t>NULL</t>
        </is>
      </c>
      <c r="C374" t="inlineStr">
        <is>
          <t>NULL</t>
        </is>
      </c>
      <c r="D374" t="inlineStr">
        <is>
          <t>NULL</t>
        </is>
      </c>
      <c r="E374" t="inlineStr">
        <is>
          <t>NULL</t>
        </is>
      </c>
      <c r="F374" t="inlineStr">
        <is>
          <t>NULL</t>
        </is>
      </c>
      <c r="G374" t="inlineStr">
        <is>
          <t>NULL</t>
        </is>
      </c>
      <c r="H374" t="inlineStr">
        <is>
          <t>NULL</t>
        </is>
      </c>
      <c r="I374" t="inlineStr">
        <is>
          <t>NULL</t>
        </is>
      </c>
      <c r="J374" t="inlineStr">
        <is>
          <t>NULL</t>
        </is>
      </c>
      <c r="K374" t="inlineStr">
        <is>
          <t>YES! 	 c_sdt列源备映射正确，源端为smalldatetime None位	期望更改为datetime	实际备端为datetime None位</t>
        </is>
      </c>
    </row>
    <row r="375">
      <c r="A375" t="inlineStr">
        <is>
          <t>info_nchar_dml_single_nopk</t>
        </is>
      </c>
      <c r="K375" t="inlineStr">
        <is>
          <t>[0;34m info_nchar_dml_single_nopk [0m源备字段数相同，源端字段：4 	备端字段4</t>
        </is>
      </c>
      <c r="W375" s="15">
        <f>HYPERLINK("#2026052610mysql0!AU2","NO 源备存在差异，共4个")</f>
        <v/>
      </c>
      <c r="X375">
        <f>A375</f>
        <v/>
      </c>
    </row>
    <row r="376">
      <c r="B376" t="inlineStr">
        <is>
          <t>NULL</t>
        </is>
      </c>
      <c r="C376" t="inlineStr">
        <is>
          <t>NULL</t>
        </is>
      </c>
      <c r="D376" t="inlineStr">
        <is>
          <t>NULL</t>
        </is>
      </c>
      <c r="E376" t="inlineStr">
        <is>
          <t>NULL</t>
        </is>
      </c>
      <c r="F376" t="inlineStr">
        <is>
          <t>NULL</t>
        </is>
      </c>
      <c r="G376" t="inlineStr">
        <is>
          <t>NULL</t>
        </is>
      </c>
      <c r="H376" t="inlineStr">
        <is>
          <t>NULL</t>
        </is>
      </c>
      <c r="I376" t="inlineStr">
        <is>
          <t>NULL</t>
        </is>
      </c>
      <c r="J376" t="inlineStr">
        <is>
          <t>NULL</t>
        </is>
      </c>
      <c r="K376" t="inlineStr">
        <is>
          <t>YES! 	 id列源备映射正确，源端为int None位	期望更改为int	实际备端为int None位</t>
        </is>
      </c>
    </row>
    <row r="377">
      <c r="B377" t="inlineStr">
        <is>
          <t>NULL</t>
        </is>
      </c>
      <c r="C377" t="inlineStr">
        <is>
          <t>NULL</t>
        </is>
      </c>
      <c r="D377" t="inlineStr">
        <is>
          <t>NULL</t>
        </is>
      </c>
      <c r="E377" t="inlineStr">
        <is>
          <t>NULL</t>
        </is>
      </c>
      <c r="F377" t="inlineStr">
        <is>
          <t>NULL</t>
        </is>
      </c>
      <c r="G377" t="inlineStr">
        <is>
          <t>NULL</t>
        </is>
      </c>
      <c r="H377" t="inlineStr">
        <is>
          <t>NULL</t>
        </is>
      </c>
      <c r="I377" t="inlineStr">
        <is>
          <t>NULL</t>
        </is>
      </c>
      <c r="J377" t="inlineStr">
        <is>
          <t>NULL</t>
        </is>
      </c>
      <c r="K377" t="inlineStr">
        <is>
          <t>YES! 	 c_nchar列源备映射正确，源端为nchar 2位	期望更改为char(n)	实际备端为char 4位</t>
        </is>
      </c>
    </row>
    <row r="378">
      <c r="B378" t="inlineStr">
        <is>
          <t>NULL</t>
        </is>
      </c>
      <c r="C378" t="inlineStr">
        <is>
          <t>NULL</t>
        </is>
      </c>
      <c r="D378" t="inlineStr">
        <is>
          <t>NULL</t>
        </is>
      </c>
      <c r="E378" t="inlineStr">
        <is>
          <t>NULL</t>
        </is>
      </c>
      <c r="F378" t="inlineStr">
        <is>
          <t>NULL</t>
        </is>
      </c>
      <c r="G378" t="inlineStr">
        <is>
          <t>NULL</t>
        </is>
      </c>
      <c r="H378" t="inlineStr">
        <is>
          <t>NULL</t>
        </is>
      </c>
      <c r="I378" t="inlineStr">
        <is>
          <t>NULL</t>
        </is>
      </c>
      <c r="J378" t="inlineStr">
        <is>
          <t>NULL</t>
        </is>
      </c>
      <c r="K378" t="inlineStr">
        <is>
          <t>YES! 	 c_nchar20列源备映射正确，源端为nchar 40位	期望更改为char(n)	实际备端为char 80位</t>
        </is>
      </c>
    </row>
    <row r="379">
      <c r="B379" t="inlineStr">
        <is>
          <t>NULL</t>
        </is>
      </c>
      <c r="C379" t="inlineStr">
        <is>
          <t>NULL</t>
        </is>
      </c>
      <c r="D379" t="inlineStr">
        <is>
          <t>NULL</t>
        </is>
      </c>
      <c r="E379" t="inlineStr">
        <is>
          <t>NULL</t>
        </is>
      </c>
      <c r="F379" t="inlineStr">
        <is>
          <t>NULL</t>
        </is>
      </c>
      <c r="G379" t="inlineStr">
        <is>
          <t>NULL</t>
        </is>
      </c>
      <c r="H379" t="inlineStr">
        <is>
          <t>NULL</t>
        </is>
      </c>
      <c r="I379" t="inlineStr">
        <is>
          <t>NULL</t>
        </is>
      </c>
      <c r="J379" t="inlineStr">
        <is>
          <t>NULL</t>
        </is>
      </c>
      <c r="K379" t="inlineStr">
        <is>
          <t xml:space="preserve"> NO!  	 c_nchar3500列源备映射错误，源端为nchar 7000位	期望更改为varchar(n)	实际备端为text 65535位</t>
        </is>
      </c>
    </row>
    <row r="380">
      <c r="A380" t="inlineStr">
        <is>
          <t>info_sql_variant_dml_single_pk_irp</t>
        </is>
      </c>
      <c r="K380" t="inlineStr">
        <is>
          <t>[0;34m info_sql_variant_dml_single_pk_irp [0m源备字段数相同，源端字段：25 	备端字段25</t>
        </is>
      </c>
      <c r="W380" s="15">
        <f>HYPERLINK("#2026052610mysql0!AV2","NO 源备存在差异，共2个")</f>
        <v/>
      </c>
      <c r="X380">
        <f>A380</f>
        <v/>
      </c>
    </row>
    <row r="381">
      <c r="B381" t="inlineStr">
        <is>
          <t>YES</t>
        </is>
      </c>
      <c r="C381" t="inlineStr">
        <is>
          <t>NULL</t>
        </is>
      </c>
      <c r="D381" t="inlineStr">
        <is>
          <t>NULL</t>
        </is>
      </c>
      <c r="E381" t="inlineStr">
        <is>
          <t>NULL</t>
        </is>
      </c>
      <c r="F381" t="inlineStr">
        <is>
          <t>NULL</t>
        </is>
      </c>
      <c r="G381" t="inlineStr">
        <is>
          <t>NULL</t>
        </is>
      </c>
      <c r="H381" t="inlineStr">
        <is>
          <t>NULL</t>
        </is>
      </c>
      <c r="I381" t="inlineStr">
        <is>
          <t>YES!PK__info_sql__3213E83F8AA9C4B2</t>
        </is>
      </c>
      <c r="J381" t="inlineStr">
        <is>
          <t>YES! 主键相关索引</t>
        </is>
      </c>
      <c r="K381" t="inlineStr">
        <is>
          <t>YES! 	 id列源备映射正确，源端为int None位	期望更改为int	实际备端为int None位</t>
        </is>
      </c>
    </row>
    <row r="382">
      <c r="B382" t="inlineStr">
        <is>
          <t>NULL</t>
        </is>
      </c>
      <c r="C382" t="inlineStr">
        <is>
          <t>NULL</t>
        </is>
      </c>
      <c r="D382" t="inlineStr">
        <is>
          <t>NULL</t>
        </is>
      </c>
      <c r="E382" t="inlineStr">
        <is>
          <t>NULL</t>
        </is>
      </c>
      <c r="F382" t="inlineStr">
        <is>
          <t>NULL</t>
        </is>
      </c>
      <c r="G382" t="inlineStr">
        <is>
          <t>NULL</t>
        </is>
      </c>
      <c r="H382" t="inlineStr">
        <is>
          <t>NULL</t>
        </is>
      </c>
      <c r="I382" t="inlineStr">
        <is>
          <t>NULL</t>
        </is>
      </c>
      <c r="J382" t="inlineStr">
        <is>
          <t>NULL</t>
        </is>
      </c>
      <c r="K382" t="inlineStr">
        <is>
          <t>[0;32m YES! [0m 	 c_date列源备映射正确，源端为sql_variant 0位	期望更改为VARCHAR(255)	实际备端为varchar 1020位	位数精度不存在，通过长度比较</t>
        </is>
      </c>
    </row>
    <row r="383">
      <c r="B383" t="inlineStr">
        <is>
          <t>NULL</t>
        </is>
      </c>
      <c r="C383" t="inlineStr">
        <is>
          <t>NULL</t>
        </is>
      </c>
      <c r="D383" t="inlineStr">
        <is>
          <t>NULL</t>
        </is>
      </c>
      <c r="E383" t="inlineStr">
        <is>
          <t>NULL</t>
        </is>
      </c>
      <c r="F383" t="inlineStr">
        <is>
          <t>NULL</t>
        </is>
      </c>
      <c r="G383" t="inlineStr">
        <is>
          <t>NULL</t>
        </is>
      </c>
      <c r="H383" t="inlineStr">
        <is>
          <t>NULL</t>
        </is>
      </c>
      <c r="I383" t="inlineStr">
        <is>
          <t>NULL</t>
        </is>
      </c>
      <c r="J383" t="inlineStr">
        <is>
          <t>NULL</t>
        </is>
      </c>
      <c r="K383" t="inlineStr">
        <is>
          <t>[0;32m YES! [0m 	 c_time列源备映射正确，源端为sql_variant 0位	期望更改为VARCHAR(255)	实际备端为varchar 1020位	位数精度不存在，通过长度比较</t>
        </is>
      </c>
    </row>
    <row r="384">
      <c r="B384" t="inlineStr">
        <is>
          <t>NULL</t>
        </is>
      </c>
      <c r="C384" t="inlineStr">
        <is>
          <t>NULL</t>
        </is>
      </c>
      <c r="D384" t="inlineStr">
        <is>
          <t>NULL</t>
        </is>
      </c>
      <c r="E384" t="inlineStr">
        <is>
          <t>NULL</t>
        </is>
      </c>
      <c r="F384" t="inlineStr">
        <is>
          <t>NULL</t>
        </is>
      </c>
      <c r="G384" t="inlineStr">
        <is>
          <t>NULL</t>
        </is>
      </c>
      <c r="H384" t="inlineStr">
        <is>
          <t>NULL</t>
        </is>
      </c>
      <c r="I384" t="inlineStr">
        <is>
          <t>NULL</t>
        </is>
      </c>
      <c r="J384" t="inlineStr">
        <is>
          <t>NULL</t>
        </is>
      </c>
      <c r="K384" t="inlineStr">
        <is>
          <t>[0;32m YES! [0m 	 c_datetime2列源备映射正确，源端为sql_variant 0位	期望更改为VARCHAR(255)	实际备端为varchar 1020位	位数精度不存在，通过长度比较</t>
        </is>
      </c>
    </row>
    <row r="385">
      <c r="B385" t="inlineStr">
        <is>
          <t>NULL</t>
        </is>
      </c>
      <c r="C385" t="inlineStr">
        <is>
          <t>NULL</t>
        </is>
      </c>
      <c r="D385" t="inlineStr">
        <is>
          <t>NULL</t>
        </is>
      </c>
      <c r="E385" t="inlineStr">
        <is>
          <t>NULL</t>
        </is>
      </c>
      <c r="F385" t="inlineStr">
        <is>
          <t>NULL</t>
        </is>
      </c>
      <c r="G385" t="inlineStr">
        <is>
          <t>NULL</t>
        </is>
      </c>
      <c r="H385" t="inlineStr">
        <is>
          <t>NULL</t>
        </is>
      </c>
      <c r="I385" t="inlineStr">
        <is>
          <t>NULL</t>
        </is>
      </c>
      <c r="J385" t="inlineStr">
        <is>
          <t>NULL</t>
        </is>
      </c>
      <c r="K385" t="inlineStr">
        <is>
          <t>[0;32m YES! [0m 	 c_datetimeoffset列源备映射正确，源端为sql_variant 0位	期望更改为VARCHAR(255)	实际备端为varchar 1020位	位数精度不存在，通过长度比较</t>
        </is>
      </c>
    </row>
    <row r="386">
      <c r="B386" t="inlineStr">
        <is>
          <t>NULL</t>
        </is>
      </c>
      <c r="C386" t="inlineStr">
        <is>
          <t>NULL</t>
        </is>
      </c>
      <c r="D386" t="inlineStr">
        <is>
          <t>NULL</t>
        </is>
      </c>
      <c r="E386" t="inlineStr">
        <is>
          <t>NULL</t>
        </is>
      </c>
      <c r="F386" t="inlineStr">
        <is>
          <t>NULL</t>
        </is>
      </c>
      <c r="G386" t="inlineStr">
        <is>
          <t>NULL</t>
        </is>
      </c>
      <c r="H386" t="inlineStr">
        <is>
          <t>NULL</t>
        </is>
      </c>
      <c r="I386" t="inlineStr">
        <is>
          <t>NULL</t>
        </is>
      </c>
      <c r="J386" t="inlineStr">
        <is>
          <t>NULL</t>
        </is>
      </c>
      <c r="K386" t="inlineStr">
        <is>
          <t>[0;32m YES! [0m 	 c_tinyint列源备映射正确，源端为sql_variant 0位	期望更改为VARCHAR(255)	实际备端为varchar 1020位	位数精度不存在，通过长度比较</t>
        </is>
      </c>
    </row>
    <row r="387">
      <c r="B387" t="inlineStr">
        <is>
          <t>NULL</t>
        </is>
      </c>
      <c r="C387" t="inlineStr">
        <is>
          <t>NULL</t>
        </is>
      </c>
      <c r="D387" t="inlineStr">
        <is>
          <t>NULL</t>
        </is>
      </c>
      <c r="E387" t="inlineStr">
        <is>
          <t>NULL</t>
        </is>
      </c>
      <c r="F387" t="inlineStr">
        <is>
          <t>NULL</t>
        </is>
      </c>
      <c r="G387" t="inlineStr">
        <is>
          <t>NULL</t>
        </is>
      </c>
      <c r="H387" t="inlineStr">
        <is>
          <t>NULL</t>
        </is>
      </c>
      <c r="I387" t="inlineStr">
        <is>
          <t>NULL</t>
        </is>
      </c>
      <c r="J387" t="inlineStr">
        <is>
          <t>NULL</t>
        </is>
      </c>
      <c r="K387" t="inlineStr">
        <is>
          <t>[0;32m YES! [0m 	 c_smallint列源备映射正确，源端为sql_variant 0位	期望更改为VARCHAR(255)	实际备端为varchar 1020位	位数精度不存在，通过长度比较</t>
        </is>
      </c>
    </row>
    <row r="388">
      <c r="B388" t="inlineStr">
        <is>
          <t>NULL</t>
        </is>
      </c>
      <c r="C388" t="inlineStr">
        <is>
          <t>NULL</t>
        </is>
      </c>
      <c r="D388" t="inlineStr">
        <is>
          <t>NULL</t>
        </is>
      </c>
      <c r="E388" t="inlineStr">
        <is>
          <t>NULL</t>
        </is>
      </c>
      <c r="F388" t="inlineStr">
        <is>
          <t>NULL</t>
        </is>
      </c>
      <c r="G388" t="inlineStr">
        <is>
          <t>NULL</t>
        </is>
      </c>
      <c r="H388" t="inlineStr">
        <is>
          <t>NULL</t>
        </is>
      </c>
      <c r="I388" t="inlineStr">
        <is>
          <t>NULL</t>
        </is>
      </c>
      <c r="J388" t="inlineStr">
        <is>
          <t>NULL</t>
        </is>
      </c>
      <c r="K388" t="inlineStr">
        <is>
          <t>[0;32m YES! [0m 	 c_int列源备映射正确，源端为sql_variant 0位	期望更改为VARCHAR(255)	实际备端为varchar 1020位	位数精度不存在，通过长度比较</t>
        </is>
      </c>
    </row>
    <row r="389">
      <c r="B389" t="inlineStr">
        <is>
          <t>NULL</t>
        </is>
      </c>
      <c r="C389" t="inlineStr">
        <is>
          <t>NULL</t>
        </is>
      </c>
      <c r="D389" t="inlineStr">
        <is>
          <t>NULL</t>
        </is>
      </c>
      <c r="E389" t="inlineStr">
        <is>
          <t>NULL</t>
        </is>
      </c>
      <c r="F389" t="inlineStr">
        <is>
          <t>NULL</t>
        </is>
      </c>
      <c r="G389" t="inlineStr">
        <is>
          <t>NULL</t>
        </is>
      </c>
      <c r="H389" t="inlineStr">
        <is>
          <t>NULL</t>
        </is>
      </c>
      <c r="I389" t="inlineStr">
        <is>
          <t>NULL</t>
        </is>
      </c>
      <c r="J389" t="inlineStr">
        <is>
          <t>NULL</t>
        </is>
      </c>
      <c r="K389" t="inlineStr">
        <is>
          <t>[0;32m YES! [0m 	 c_sdt列源备映射正确，源端为sql_variant 0位	期望更改为VARCHAR(255)	实际备端为varchar 1020位	位数精度不存在，通过长度比较</t>
        </is>
      </c>
    </row>
    <row r="390">
      <c r="B390" t="inlineStr">
        <is>
          <t>NULL</t>
        </is>
      </c>
      <c r="C390" t="inlineStr">
        <is>
          <t>NULL</t>
        </is>
      </c>
      <c r="D390" t="inlineStr">
        <is>
          <t>NULL</t>
        </is>
      </c>
      <c r="E390" t="inlineStr">
        <is>
          <t>NULL</t>
        </is>
      </c>
      <c r="F390" t="inlineStr">
        <is>
          <t>NULL</t>
        </is>
      </c>
      <c r="G390" t="inlineStr">
        <is>
          <t>NULL</t>
        </is>
      </c>
      <c r="H390" t="inlineStr">
        <is>
          <t>NULL</t>
        </is>
      </c>
      <c r="I390" t="inlineStr">
        <is>
          <t>NULL</t>
        </is>
      </c>
      <c r="J390" t="inlineStr">
        <is>
          <t>NULL</t>
        </is>
      </c>
      <c r="K390" t="inlineStr">
        <is>
          <t>[0;32m YES! [0m 	 c_real列源备映射正确，源端为sql_variant 0位	期望更改为VARCHAR(255)	实际备端为varchar 1020位	位数精度不存在，通过长度比较</t>
        </is>
      </c>
    </row>
    <row r="391">
      <c r="B391" t="inlineStr">
        <is>
          <t>NULL</t>
        </is>
      </c>
      <c r="C391" t="inlineStr">
        <is>
          <t>NULL</t>
        </is>
      </c>
      <c r="D391" t="inlineStr">
        <is>
          <t>NULL</t>
        </is>
      </c>
      <c r="E391" t="inlineStr">
        <is>
          <t>NULL</t>
        </is>
      </c>
      <c r="F391" t="inlineStr">
        <is>
          <t>NULL</t>
        </is>
      </c>
      <c r="G391" t="inlineStr">
        <is>
          <t>NULL</t>
        </is>
      </c>
      <c r="H391" t="inlineStr">
        <is>
          <t>NULL</t>
        </is>
      </c>
      <c r="I391" t="inlineStr">
        <is>
          <t>NULL</t>
        </is>
      </c>
      <c r="J391" t="inlineStr">
        <is>
          <t>NULL</t>
        </is>
      </c>
      <c r="K391" t="inlineStr">
        <is>
          <t>[0;32m YES! [0m 	 c_money列源备映射正确，源端为sql_variant 0位	期望更改为VARCHAR(255)	实际备端为varchar 1020位	位数精度不存在，通过长度比较</t>
        </is>
      </c>
    </row>
    <row r="392">
      <c r="B392" t="inlineStr">
        <is>
          <t>NULL</t>
        </is>
      </c>
      <c r="C392" t="inlineStr">
        <is>
          <t>NULL</t>
        </is>
      </c>
      <c r="D392" t="inlineStr">
        <is>
          <t>NULL</t>
        </is>
      </c>
      <c r="E392" t="inlineStr">
        <is>
          <t>NULL</t>
        </is>
      </c>
      <c r="F392" t="inlineStr">
        <is>
          <t>NULL</t>
        </is>
      </c>
      <c r="G392" t="inlineStr">
        <is>
          <t>NULL</t>
        </is>
      </c>
      <c r="H392" t="inlineStr">
        <is>
          <t>NULL</t>
        </is>
      </c>
      <c r="I392" t="inlineStr">
        <is>
          <t>NULL</t>
        </is>
      </c>
      <c r="J392" t="inlineStr">
        <is>
          <t>NULL</t>
        </is>
      </c>
      <c r="K392" t="inlineStr">
        <is>
          <t>[0;32m YES! [0m 	 c_datetime列源备映射正确，源端为sql_variant 0位	期望更改为VARCHAR(255)	实际备端为varchar 1020位	位数精度不存在，通过长度比较</t>
        </is>
      </c>
    </row>
    <row r="393">
      <c r="B393" t="inlineStr">
        <is>
          <t>NULL</t>
        </is>
      </c>
      <c r="C393" t="inlineStr">
        <is>
          <t>NULL</t>
        </is>
      </c>
      <c r="D393" t="inlineStr">
        <is>
          <t>NULL</t>
        </is>
      </c>
      <c r="E393" t="inlineStr">
        <is>
          <t>NULL</t>
        </is>
      </c>
      <c r="F393" t="inlineStr">
        <is>
          <t>NULL</t>
        </is>
      </c>
      <c r="G393" t="inlineStr">
        <is>
          <t>NULL</t>
        </is>
      </c>
      <c r="H393" t="inlineStr">
        <is>
          <t>NULL</t>
        </is>
      </c>
      <c r="I393" t="inlineStr">
        <is>
          <t>NULL</t>
        </is>
      </c>
      <c r="J393" t="inlineStr">
        <is>
          <t>NULL</t>
        </is>
      </c>
      <c r="K393" t="inlineStr">
        <is>
          <t>[0;32m YES! [0m 	 c_float列源备映射正确，源端为sql_variant 0位	期望更改为VARCHAR(255)	实际备端为varchar 1020位	位数精度不存在，通过长度比较</t>
        </is>
      </c>
    </row>
    <row r="394">
      <c r="B394" t="inlineStr">
        <is>
          <t>NULL</t>
        </is>
      </c>
      <c r="C394" t="inlineStr">
        <is>
          <t>NULL</t>
        </is>
      </c>
      <c r="D394" t="inlineStr">
        <is>
          <t>NULL</t>
        </is>
      </c>
      <c r="E394" t="inlineStr">
        <is>
          <t>NULL</t>
        </is>
      </c>
      <c r="F394" t="inlineStr">
        <is>
          <t>NULL</t>
        </is>
      </c>
      <c r="G394" t="inlineStr">
        <is>
          <t>NULL</t>
        </is>
      </c>
      <c r="H394" t="inlineStr">
        <is>
          <t>NULL</t>
        </is>
      </c>
      <c r="I394" t="inlineStr">
        <is>
          <t>NULL</t>
        </is>
      </c>
      <c r="J394" t="inlineStr">
        <is>
          <t>NULL</t>
        </is>
      </c>
      <c r="K394" t="inlineStr">
        <is>
          <t>[0;32m YES! [0m 	 c_bit列源备映射正确，源端为sql_variant 0位	期望更改为VARCHAR(255)	实际备端为varchar 1020位	位数精度不存在，通过长度比较</t>
        </is>
      </c>
    </row>
    <row r="395">
      <c r="B395" t="inlineStr">
        <is>
          <t>NULL</t>
        </is>
      </c>
      <c r="C395" t="inlineStr">
        <is>
          <t>NULL</t>
        </is>
      </c>
      <c r="D395" t="inlineStr">
        <is>
          <t>NULL</t>
        </is>
      </c>
      <c r="E395" t="inlineStr">
        <is>
          <t>NULL</t>
        </is>
      </c>
      <c r="F395" t="inlineStr">
        <is>
          <t>NULL</t>
        </is>
      </c>
      <c r="G395" t="inlineStr">
        <is>
          <t>NULL</t>
        </is>
      </c>
      <c r="H395" t="inlineStr">
        <is>
          <t>NULL</t>
        </is>
      </c>
      <c r="I395" t="inlineStr">
        <is>
          <t>NULL</t>
        </is>
      </c>
      <c r="J395" t="inlineStr">
        <is>
          <t>NULL</t>
        </is>
      </c>
      <c r="K395" t="inlineStr">
        <is>
          <t>[0;32m YES! [0m 	 c_decimal列源备映射正确，源端为sql_variant 0位	期望更改为VARCHAR(255)	实际备端为varchar 1020位	位数精度不存在，通过长度比较</t>
        </is>
      </c>
    </row>
    <row r="396">
      <c r="B396" t="inlineStr">
        <is>
          <t>NULL</t>
        </is>
      </c>
      <c r="C396" t="inlineStr">
        <is>
          <t>NULL</t>
        </is>
      </c>
      <c r="D396" t="inlineStr">
        <is>
          <t>NULL</t>
        </is>
      </c>
      <c r="E396" t="inlineStr">
        <is>
          <t>NULL</t>
        </is>
      </c>
      <c r="F396" t="inlineStr">
        <is>
          <t>NULL</t>
        </is>
      </c>
      <c r="G396" t="inlineStr">
        <is>
          <t>NULL</t>
        </is>
      </c>
      <c r="H396" t="inlineStr">
        <is>
          <t>NULL</t>
        </is>
      </c>
      <c r="I396" t="inlineStr">
        <is>
          <t>NULL</t>
        </is>
      </c>
      <c r="J396" t="inlineStr">
        <is>
          <t>NULL</t>
        </is>
      </c>
      <c r="K396" t="inlineStr">
        <is>
          <t>[0;32m YES! [0m 	 c_uniqueidentifier列源备映射正确，源端为sql_variant 0位	期望更改为VARCHAR(255)	实际备端为varchar 1020位	位数精度不存在，通过长度比较</t>
        </is>
      </c>
    </row>
    <row r="397">
      <c r="B397" t="inlineStr">
        <is>
          <t>NULL</t>
        </is>
      </c>
      <c r="C397" t="inlineStr">
        <is>
          <t>NULL</t>
        </is>
      </c>
      <c r="D397" t="inlineStr">
        <is>
          <t>NULL</t>
        </is>
      </c>
      <c r="E397" t="inlineStr">
        <is>
          <t>NULL</t>
        </is>
      </c>
      <c r="F397" t="inlineStr">
        <is>
          <t>NULL</t>
        </is>
      </c>
      <c r="G397" t="inlineStr">
        <is>
          <t>NULL</t>
        </is>
      </c>
      <c r="H397" t="inlineStr">
        <is>
          <t>NULL</t>
        </is>
      </c>
      <c r="I397" t="inlineStr">
        <is>
          <t>NULL</t>
        </is>
      </c>
      <c r="J397" t="inlineStr">
        <is>
          <t>NULL</t>
        </is>
      </c>
      <c r="K397" t="inlineStr">
        <is>
          <t>[0;32m YES! [0m 	 c_smallmoney列源备映射正确，源端为sql_variant 0位	期望更改为VARCHAR(255)	实际备端为varchar 1020位	位数精度不存在，通过长度比较</t>
        </is>
      </c>
    </row>
    <row r="398">
      <c r="B398" t="inlineStr">
        <is>
          <t>NULL</t>
        </is>
      </c>
      <c r="C398" t="inlineStr">
        <is>
          <t>NULL</t>
        </is>
      </c>
      <c r="D398" t="inlineStr">
        <is>
          <t>NULL</t>
        </is>
      </c>
      <c r="E398" t="inlineStr">
        <is>
          <t>NULL</t>
        </is>
      </c>
      <c r="F398" t="inlineStr">
        <is>
          <t>NULL</t>
        </is>
      </c>
      <c r="G398" t="inlineStr">
        <is>
          <t>NULL</t>
        </is>
      </c>
      <c r="H398" t="inlineStr">
        <is>
          <t>NULL</t>
        </is>
      </c>
      <c r="I398" t="inlineStr">
        <is>
          <t>NULL</t>
        </is>
      </c>
      <c r="J398" t="inlineStr">
        <is>
          <t>NULL</t>
        </is>
      </c>
      <c r="K398" t="inlineStr">
        <is>
          <t>[0;32m YES! [0m 	 c_bigint列源备映射正确，源端为sql_variant 0位	期望更改为VARCHAR(255)	实际备端为varchar 1020位	位数精度不存在，通过长度比较</t>
        </is>
      </c>
    </row>
    <row r="399">
      <c r="B399" t="inlineStr">
        <is>
          <t>NULL</t>
        </is>
      </c>
      <c r="C399" t="inlineStr">
        <is>
          <t>NULL</t>
        </is>
      </c>
      <c r="D399" t="inlineStr">
        <is>
          <t>NULL</t>
        </is>
      </c>
      <c r="E399" t="inlineStr">
        <is>
          <t>NULL</t>
        </is>
      </c>
      <c r="F399" t="inlineStr">
        <is>
          <t>NULL</t>
        </is>
      </c>
      <c r="G399" t="inlineStr">
        <is>
          <t>NULL</t>
        </is>
      </c>
      <c r="H399" t="inlineStr">
        <is>
          <t>NULL</t>
        </is>
      </c>
      <c r="I399" t="inlineStr">
        <is>
          <t>NULL</t>
        </is>
      </c>
      <c r="J399" t="inlineStr">
        <is>
          <t>NULL</t>
        </is>
      </c>
      <c r="K399" t="inlineStr">
        <is>
          <t>[0;32m YES! [0m 	 c_varbinary_20列源备映射正确，源端为sql_variant 0位	期望更改为VARCHAR(255)	实际备端为varchar 1020位	位数精度不存在，通过长度比较</t>
        </is>
      </c>
    </row>
    <row r="400">
      <c r="B400" t="inlineStr">
        <is>
          <t>NULL</t>
        </is>
      </c>
      <c r="C400" t="inlineStr">
        <is>
          <t>NULL</t>
        </is>
      </c>
      <c r="D400" t="inlineStr">
        <is>
          <t>NULL</t>
        </is>
      </c>
      <c r="E400" t="inlineStr">
        <is>
          <t>NULL</t>
        </is>
      </c>
      <c r="F400" t="inlineStr">
        <is>
          <t>NULL</t>
        </is>
      </c>
      <c r="G400" t="inlineStr">
        <is>
          <t>NULL</t>
        </is>
      </c>
      <c r="H400" t="inlineStr">
        <is>
          <t>NULL</t>
        </is>
      </c>
      <c r="I400" t="inlineStr">
        <is>
          <t>NULL</t>
        </is>
      </c>
      <c r="J400" t="inlineStr">
        <is>
          <t>NULL</t>
        </is>
      </c>
      <c r="K400" t="inlineStr">
        <is>
          <t>[0;32m YES! [0m 	 c_varchar_20列源备映射正确，源端为sql_variant 0位	期望更改为VARCHAR(255)	实际备端为varchar 1020位	位数精度不存在，通过长度比较</t>
        </is>
      </c>
    </row>
    <row r="401">
      <c r="B401" t="inlineStr">
        <is>
          <t>NULL</t>
        </is>
      </c>
      <c r="C401" t="inlineStr">
        <is>
          <t>NULL</t>
        </is>
      </c>
      <c r="D401" t="inlineStr">
        <is>
          <t>NULL</t>
        </is>
      </c>
      <c r="E401" t="inlineStr">
        <is>
          <t>NULL</t>
        </is>
      </c>
      <c r="F401" t="inlineStr">
        <is>
          <t>NULL</t>
        </is>
      </c>
      <c r="G401" t="inlineStr">
        <is>
          <t>NULL</t>
        </is>
      </c>
      <c r="H401" t="inlineStr">
        <is>
          <t>NULL</t>
        </is>
      </c>
      <c r="I401" t="inlineStr">
        <is>
          <t>NULL</t>
        </is>
      </c>
      <c r="J401" t="inlineStr">
        <is>
          <t>NULL</t>
        </is>
      </c>
      <c r="K401" t="inlineStr">
        <is>
          <t>[0;32m YES! [0m 	 c_binary_20列源备映射正确，源端为sql_variant 0位	期望更改为VARCHAR(255)	实际备端为varchar 1020位	位数精度不存在，通过长度比较</t>
        </is>
      </c>
    </row>
    <row r="402">
      <c r="B402" t="inlineStr">
        <is>
          <t>NULL</t>
        </is>
      </c>
      <c r="C402" t="inlineStr">
        <is>
          <t>NULL</t>
        </is>
      </c>
      <c r="D402" t="inlineStr">
        <is>
          <t>NULL</t>
        </is>
      </c>
      <c r="E402" t="inlineStr">
        <is>
          <t>NULL</t>
        </is>
      </c>
      <c r="F402" t="inlineStr">
        <is>
          <t>NULL</t>
        </is>
      </c>
      <c r="G402" t="inlineStr">
        <is>
          <t>NULL</t>
        </is>
      </c>
      <c r="H402" t="inlineStr">
        <is>
          <t>NULL</t>
        </is>
      </c>
      <c r="I402" t="inlineStr">
        <is>
          <t>NULL</t>
        </is>
      </c>
      <c r="J402" t="inlineStr">
        <is>
          <t>NULL</t>
        </is>
      </c>
      <c r="K402" t="inlineStr">
        <is>
          <t>[0;32m YES! [0m 	 c_char_20列源备映射正确，源端为sql_variant 0位	期望更改为VARCHAR(255)	实际备端为varchar 1020位	位数精度不存在，通过长度比较</t>
        </is>
      </c>
    </row>
    <row r="403">
      <c r="B403" t="inlineStr">
        <is>
          <t>NULL</t>
        </is>
      </c>
      <c r="C403" t="inlineStr">
        <is>
          <t>NULL</t>
        </is>
      </c>
      <c r="D403" t="inlineStr">
        <is>
          <t>NULL</t>
        </is>
      </c>
      <c r="E403" t="inlineStr">
        <is>
          <t>NULL</t>
        </is>
      </c>
      <c r="F403" t="inlineStr">
        <is>
          <t>NULL</t>
        </is>
      </c>
      <c r="G403" t="inlineStr">
        <is>
          <t>NULL</t>
        </is>
      </c>
      <c r="H403" t="inlineStr">
        <is>
          <t>NULL</t>
        </is>
      </c>
      <c r="I403" t="inlineStr">
        <is>
          <t>NULL</t>
        </is>
      </c>
      <c r="J403" t="inlineStr">
        <is>
          <t>NULL</t>
        </is>
      </c>
      <c r="K403" t="inlineStr">
        <is>
          <t>[0;32m YES! [0m 	 c_nvarchar_20列源备映射正确，源端为sql_variant 0位	期望更改为VARCHAR(255)	实际备端为varchar 1020位	位数精度不存在，通过长度比较</t>
        </is>
      </c>
    </row>
    <row r="404">
      <c r="B404" t="inlineStr">
        <is>
          <t>NULL</t>
        </is>
      </c>
      <c r="C404" t="inlineStr">
        <is>
          <t>NULL</t>
        </is>
      </c>
      <c r="D404" t="inlineStr">
        <is>
          <t>NULL</t>
        </is>
      </c>
      <c r="E404" t="inlineStr">
        <is>
          <t>NULL</t>
        </is>
      </c>
      <c r="F404" t="inlineStr">
        <is>
          <t>NULL</t>
        </is>
      </c>
      <c r="G404" t="inlineStr">
        <is>
          <t>NULL</t>
        </is>
      </c>
      <c r="H404" t="inlineStr">
        <is>
          <t>NULL</t>
        </is>
      </c>
      <c r="I404" t="inlineStr">
        <is>
          <t>NULL</t>
        </is>
      </c>
      <c r="J404" t="inlineStr">
        <is>
          <t>NULL</t>
        </is>
      </c>
      <c r="K404" t="inlineStr">
        <is>
          <t>[0;32m YES! [0m 	 c_nchar_20列源备映射正确，源端为sql_variant 0位	期望更改为VARCHAR(255)	实际备端为varchar 1020位	位数精度不存在，通过长度比较</t>
        </is>
      </c>
    </row>
    <row r="405">
      <c r="B405" t="inlineStr">
        <is>
          <t>NULL</t>
        </is>
      </c>
      <c r="C405" t="inlineStr">
        <is>
          <t>NULL</t>
        </is>
      </c>
      <c r="D405" t="inlineStr">
        <is>
          <t>NULL</t>
        </is>
      </c>
      <c r="E405" t="inlineStr">
        <is>
          <t>NULL</t>
        </is>
      </c>
      <c r="F405" t="inlineStr">
        <is>
          <t>NULL</t>
        </is>
      </c>
      <c r="G405" t="inlineStr">
        <is>
          <t>NULL</t>
        </is>
      </c>
      <c r="H405" t="inlineStr">
        <is>
          <t>NULL</t>
        </is>
      </c>
      <c r="I405" t="inlineStr">
        <is>
          <t>NULL</t>
        </is>
      </c>
      <c r="J405" t="inlineStr">
        <is>
          <t>NULL</t>
        </is>
      </c>
      <c r="K405" t="inlineStr">
        <is>
          <t>[0;32m YES! [0m 	 c_timestamp列源备映射正确，源端为timestamp None位	期望更改为binary(8)	实际备端为binary 8位	位数精度不存在，通过长度比较</t>
        </is>
      </c>
    </row>
    <row r="406">
      <c r="A406" t="inlineStr">
        <is>
          <t>info_varchar_dml_batch1_pk_irp1</t>
        </is>
      </c>
      <c r="K406" t="inlineStr">
        <is>
          <t>[0;34m info_varchar_dml_batch1_pk_irp1 [0m源备字段数相同，源端字段：4 	备端字段4</t>
        </is>
      </c>
      <c r="W406" t="inlineStr">
        <is>
          <t>YES 源备无差异</t>
        </is>
      </c>
      <c r="X406">
        <f>A406</f>
        <v/>
      </c>
    </row>
    <row r="407">
      <c r="B407" t="inlineStr">
        <is>
          <t>YES</t>
        </is>
      </c>
      <c r="C407" t="inlineStr">
        <is>
          <t>NULL</t>
        </is>
      </c>
      <c r="D407" t="inlineStr">
        <is>
          <t>NULL</t>
        </is>
      </c>
      <c r="E407" t="inlineStr">
        <is>
          <t>NULL</t>
        </is>
      </c>
      <c r="F407" t="inlineStr">
        <is>
          <t>NULL</t>
        </is>
      </c>
      <c r="G407" t="inlineStr">
        <is>
          <t>NULL</t>
        </is>
      </c>
      <c r="H407" t="inlineStr">
        <is>
          <t>NULL</t>
        </is>
      </c>
      <c r="I407" t="inlineStr">
        <is>
          <t>YES!PK__info_var__3213E83F369F1F96</t>
        </is>
      </c>
      <c r="J407" t="inlineStr">
        <is>
          <t>YES! 主键相关索引</t>
        </is>
      </c>
      <c r="K407" t="inlineStr">
        <is>
          <t>YES! 	 id列源备映射正确，源端为int None位	期望更改为int	实际备端为int None位</t>
        </is>
      </c>
    </row>
    <row r="408">
      <c r="B408" t="inlineStr">
        <is>
          <t>NULL</t>
        </is>
      </c>
      <c r="C408" t="inlineStr">
        <is>
          <t>NULL</t>
        </is>
      </c>
      <c r="D408" t="inlineStr">
        <is>
          <t>NULL</t>
        </is>
      </c>
      <c r="E408" t="inlineStr">
        <is>
          <t>NULL</t>
        </is>
      </c>
      <c r="F408" t="inlineStr">
        <is>
          <t>NULL</t>
        </is>
      </c>
      <c r="G408" t="inlineStr">
        <is>
          <t>NULL</t>
        </is>
      </c>
      <c r="H408" t="inlineStr">
        <is>
          <t>NULL</t>
        </is>
      </c>
      <c r="I408" t="inlineStr">
        <is>
          <t>NULL</t>
        </is>
      </c>
      <c r="J408" t="inlineStr">
        <is>
          <t>NULL</t>
        </is>
      </c>
      <c r="K408" t="inlineStr">
        <is>
          <t>YES! 	 c_varchar列源备映射正确，源端为varchar 1位	期望更改为varchar(n)	实际备端为varchar 4位</t>
        </is>
      </c>
    </row>
    <row r="409">
      <c r="B409" t="inlineStr">
        <is>
          <t>NULL</t>
        </is>
      </c>
      <c r="C409" t="inlineStr">
        <is>
          <t>NULL</t>
        </is>
      </c>
      <c r="D409" t="inlineStr">
        <is>
          <t>NULL</t>
        </is>
      </c>
      <c r="E409" t="inlineStr">
        <is>
          <t>NULL</t>
        </is>
      </c>
      <c r="F409" t="inlineStr">
        <is>
          <t>NULL</t>
        </is>
      </c>
      <c r="G409" t="inlineStr">
        <is>
          <t>NULL</t>
        </is>
      </c>
      <c r="H409" t="inlineStr">
        <is>
          <t>NULL</t>
        </is>
      </c>
      <c r="I409" t="inlineStr">
        <is>
          <t>NULL</t>
        </is>
      </c>
      <c r="J409" t="inlineStr">
        <is>
          <t>NULL</t>
        </is>
      </c>
      <c r="K409" t="inlineStr">
        <is>
          <t>YES! 	 c_varchar20列源备映射正确，源端为varchar 20位	期望更改为varchar(n)	实际备端为varchar 80位</t>
        </is>
      </c>
    </row>
    <row r="410">
      <c r="B410" t="inlineStr">
        <is>
          <t>NULL</t>
        </is>
      </c>
      <c r="C410" t="inlineStr">
        <is>
          <t>NULL</t>
        </is>
      </c>
      <c r="D410" t="inlineStr">
        <is>
          <t>NULL</t>
        </is>
      </c>
      <c r="E410" t="inlineStr">
        <is>
          <t>NULL</t>
        </is>
      </c>
      <c r="F410" t="inlineStr">
        <is>
          <t>NULL</t>
        </is>
      </c>
      <c r="G410" t="inlineStr">
        <is>
          <t>NULL</t>
        </is>
      </c>
      <c r="H410" t="inlineStr">
        <is>
          <t>NULL</t>
        </is>
      </c>
      <c r="I410" t="inlineStr">
        <is>
          <t>NULL</t>
        </is>
      </c>
      <c r="J410" t="inlineStr">
        <is>
          <t>NULL</t>
        </is>
      </c>
      <c r="K410" t="inlineStr">
        <is>
          <t xml:space="preserve"> NO!  	 c_varchar8000列源备映射错误，源端为varchar 8000位	期望更改为longtext	实际备端为text 65535位</t>
        </is>
      </c>
    </row>
    <row r="411">
      <c r="A411" t="inlineStr">
        <is>
          <t>info_nchar_dml_single_pk_irp</t>
        </is>
      </c>
      <c r="K411" t="inlineStr">
        <is>
          <t>[0;34m info_nchar_dml_single_pk_irp [0m源备字段数相同，源端字段：4 	备端字段4</t>
        </is>
      </c>
      <c r="W411" s="15">
        <f>HYPERLINK("#2026052610mysql0!AW2","NO 源备存在差异，共20个")</f>
        <v/>
      </c>
      <c r="X411">
        <f>A411</f>
        <v/>
      </c>
    </row>
    <row r="412">
      <c r="B412" t="inlineStr">
        <is>
          <t>YES</t>
        </is>
      </c>
      <c r="C412" t="inlineStr">
        <is>
          <t>NULL</t>
        </is>
      </c>
      <c r="D412" t="inlineStr">
        <is>
          <t>NULL</t>
        </is>
      </c>
      <c r="E412" t="inlineStr">
        <is>
          <t>NULL</t>
        </is>
      </c>
      <c r="F412" t="inlineStr">
        <is>
          <t>NULL</t>
        </is>
      </c>
      <c r="G412" t="inlineStr">
        <is>
          <t>NULL</t>
        </is>
      </c>
      <c r="H412" t="inlineStr">
        <is>
          <t>NULL</t>
        </is>
      </c>
      <c r="I412" t="inlineStr">
        <is>
          <t>YES!PK__info_nch__3213E83F5EB3C382</t>
        </is>
      </c>
      <c r="J412" t="inlineStr">
        <is>
          <t>YES! 主键相关索引</t>
        </is>
      </c>
      <c r="K412" t="inlineStr">
        <is>
          <t>YES! 	 id列源备映射正确，源端为int None位	期望更改为int	实际备端为int None位</t>
        </is>
      </c>
    </row>
    <row r="413">
      <c r="B413" t="inlineStr">
        <is>
          <t>NULL</t>
        </is>
      </c>
      <c r="C413" t="inlineStr">
        <is>
          <t>NULL</t>
        </is>
      </c>
      <c r="D413" t="inlineStr">
        <is>
          <t>NULL</t>
        </is>
      </c>
      <c r="E413" t="inlineStr">
        <is>
          <t>NULL</t>
        </is>
      </c>
      <c r="F413" t="inlineStr">
        <is>
          <t>NULL</t>
        </is>
      </c>
      <c r="G413" t="inlineStr">
        <is>
          <t>NULL</t>
        </is>
      </c>
      <c r="H413" t="inlineStr">
        <is>
          <t>NULL</t>
        </is>
      </c>
      <c r="I413" t="inlineStr">
        <is>
          <t>NULL</t>
        </is>
      </c>
      <c r="J413" t="inlineStr">
        <is>
          <t>NULL</t>
        </is>
      </c>
      <c r="K413" t="inlineStr">
        <is>
          <t>YES! 	 c_nchar列源备映射正确，源端为nchar 2位	期望更改为char(n)	实际备端为char 4位</t>
        </is>
      </c>
    </row>
    <row r="414">
      <c r="B414" t="inlineStr">
        <is>
          <t>NULL</t>
        </is>
      </c>
      <c r="C414" t="inlineStr">
        <is>
          <t>NULL</t>
        </is>
      </c>
      <c r="D414" t="inlineStr">
        <is>
          <t>NULL</t>
        </is>
      </c>
      <c r="E414" t="inlineStr">
        <is>
          <t>NULL</t>
        </is>
      </c>
      <c r="F414" t="inlineStr">
        <is>
          <t>NULL</t>
        </is>
      </c>
      <c r="G414" t="inlineStr">
        <is>
          <t>NULL</t>
        </is>
      </c>
      <c r="H414" t="inlineStr">
        <is>
          <t>NULL</t>
        </is>
      </c>
      <c r="I414" t="inlineStr">
        <is>
          <t>NULL</t>
        </is>
      </c>
      <c r="J414" t="inlineStr">
        <is>
          <t>NULL</t>
        </is>
      </c>
      <c r="K414" t="inlineStr">
        <is>
          <t>YES! 	 c_nchar20列源备映射正确，源端为nchar 40位	期望更改为char(n)	实际备端为char 80位</t>
        </is>
      </c>
    </row>
    <row r="415">
      <c r="B415" t="inlineStr">
        <is>
          <t>NULL</t>
        </is>
      </c>
      <c r="C415" t="inlineStr">
        <is>
          <t>NULL</t>
        </is>
      </c>
      <c r="D415" t="inlineStr">
        <is>
          <t>NULL</t>
        </is>
      </c>
      <c r="E415" t="inlineStr">
        <is>
          <t>NULL</t>
        </is>
      </c>
      <c r="F415" t="inlineStr">
        <is>
          <t>NULL</t>
        </is>
      </c>
      <c r="G415" t="inlineStr">
        <is>
          <t>NULL</t>
        </is>
      </c>
      <c r="H415" t="inlineStr">
        <is>
          <t>NULL</t>
        </is>
      </c>
      <c r="I415" t="inlineStr">
        <is>
          <t>NULL</t>
        </is>
      </c>
      <c r="J415" t="inlineStr">
        <is>
          <t>NULL</t>
        </is>
      </c>
      <c r="K415" t="inlineStr">
        <is>
          <t>YES! 	 c_nchar4000列源备映射正确，源端为nchar 8000位	期望更改为text	实际备端为text 65535位</t>
        </is>
      </c>
    </row>
    <row r="416">
      <c r="A416" t="inlineStr">
        <is>
          <t>info_nchar_dml_single_pk_urp</t>
        </is>
      </c>
      <c r="K416" t="inlineStr">
        <is>
          <t>[0;34m info_nchar_dml_single_pk_urp [0m源备字段数相同，源端字段：4 	备端字段4</t>
        </is>
      </c>
      <c r="W416" s="15">
        <f>HYPERLINK("#2026052610mysql0!AX2","NO 源备存在差异，共12个")</f>
        <v/>
      </c>
      <c r="X416">
        <f>A416</f>
        <v/>
      </c>
    </row>
    <row r="417">
      <c r="B417" t="inlineStr">
        <is>
          <t>YES</t>
        </is>
      </c>
      <c r="C417" t="inlineStr">
        <is>
          <t>NULL</t>
        </is>
      </c>
      <c r="D417" t="inlineStr">
        <is>
          <t>NULL</t>
        </is>
      </c>
      <c r="E417" t="inlineStr">
        <is>
          <t>NULL</t>
        </is>
      </c>
      <c r="F417" t="inlineStr">
        <is>
          <t>NULL</t>
        </is>
      </c>
      <c r="G417" t="inlineStr">
        <is>
          <t>NULL</t>
        </is>
      </c>
      <c r="H417" t="inlineStr">
        <is>
          <t>NULL</t>
        </is>
      </c>
      <c r="I417" t="inlineStr">
        <is>
          <t>YES!PK__info_nch__3213E83FF1080D2F</t>
        </is>
      </c>
      <c r="J417" t="inlineStr">
        <is>
          <t>YES! 主键相关索引</t>
        </is>
      </c>
      <c r="K417" t="inlineStr">
        <is>
          <t>YES! 	 id列源备映射正确，源端为int None位	期望更改为int	实际备端为int None位</t>
        </is>
      </c>
    </row>
    <row r="418">
      <c r="B418" t="inlineStr">
        <is>
          <t>NULL</t>
        </is>
      </c>
      <c r="C418" t="inlineStr">
        <is>
          <t>NULL</t>
        </is>
      </c>
      <c r="D418" t="inlineStr">
        <is>
          <t>NULL</t>
        </is>
      </c>
      <c r="E418" t="inlineStr">
        <is>
          <t>NULL</t>
        </is>
      </c>
      <c r="F418" t="inlineStr">
        <is>
          <t>NULL</t>
        </is>
      </c>
      <c r="G418" t="inlineStr">
        <is>
          <t>NULL</t>
        </is>
      </c>
      <c r="H418" t="inlineStr">
        <is>
          <t>NULL</t>
        </is>
      </c>
      <c r="I418" t="inlineStr">
        <is>
          <t>NULL</t>
        </is>
      </c>
      <c r="J418" t="inlineStr">
        <is>
          <t>NULL</t>
        </is>
      </c>
      <c r="K418" t="inlineStr">
        <is>
          <t>YES! 	 c_nchar列源备映射正确，源端为nchar 2位	期望更改为char(n)	实际备端为char 4位</t>
        </is>
      </c>
    </row>
    <row r="419">
      <c r="B419" t="inlineStr">
        <is>
          <t>NULL</t>
        </is>
      </c>
      <c r="C419" t="inlineStr">
        <is>
          <t>NULL</t>
        </is>
      </c>
      <c r="D419" t="inlineStr">
        <is>
          <t>NULL</t>
        </is>
      </c>
      <c r="E419" t="inlineStr">
        <is>
          <t>NULL</t>
        </is>
      </c>
      <c r="F419" t="inlineStr">
        <is>
          <t>NULL</t>
        </is>
      </c>
      <c r="G419" t="inlineStr">
        <is>
          <t>NULL</t>
        </is>
      </c>
      <c r="H419" t="inlineStr">
        <is>
          <t>NULL</t>
        </is>
      </c>
      <c r="I419" t="inlineStr">
        <is>
          <t>NULL</t>
        </is>
      </c>
      <c r="J419" t="inlineStr">
        <is>
          <t>NULL</t>
        </is>
      </c>
      <c r="K419" t="inlineStr">
        <is>
          <t>YES! 	 c_nchar20列源备映射正确，源端为nchar 40位	期望更改为char(n)	实际备端为char 80位</t>
        </is>
      </c>
    </row>
    <row r="420">
      <c r="B420" t="inlineStr">
        <is>
          <t>NULL</t>
        </is>
      </c>
      <c r="C420" t="inlineStr">
        <is>
          <t>NULL</t>
        </is>
      </c>
      <c r="D420" t="inlineStr">
        <is>
          <t>NULL</t>
        </is>
      </c>
      <c r="E420" t="inlineStr">
        <is>
          <t>NULL</t>
        </is>
      </c>
      <c r="F420" t="inlineStr">
        <is>
          <t>NULL</t>
        </is>
      </c>
      <c r="G420" t="inlineStr">
        <is>
          <t>NULL</t>
        </is>
      </c>
      <c r="H420" t="inlineStr">
        <is>
          <t>NULL</t>
        </is>
      </c>
      <c r="I420" t="inlineStr">
        <is>
          <t>NULL</t>
        </is>
      </c>
      <c r="J420" t="inlineStr">
        <is>
          <t>NULL</t>
        </is>
      </c>
      <c r="K420" t="inlineStr">
        <is>
          <t xml:space="preserve"> NO!  	 c_nchar3500列源备映射错误，源端为nchar 7000位	期望更改为varchar(n)	实际备端为text 65535位</t>
        </is>
      </c>
    </row>
    <row r="421">
      <c r="A421" t="inlineStr">
        <is>
          <t>info_int_dml_single_nopk_irp</t>
        </is>
      </c>
      <c r="K421" t="inlineStr">
        <is>
          <t>[0;34m info_int_dml_single_nopk_irp [0m源备字段数相同，源端字段：20 	备端字段20</t>
        </is>
      </c>
      <c r="W421" s="15">
        <f>HYPERLINK("#2026052610mysql0!AY2","NO 源备存在差异，共2个")</f>
        <v/>
      </c>
      <c r="X421">
        <f>A421</f>
        <v/>
      </c>
    </row>
    <row r="422">
      <c r="B422" t="inlineStr">
        <is>
          <t>NULL</t>
        </is>
      </c>
      <c r="C422" t="inlineStr">
        <is>
          <t>NULL</t>
        </is>
      </c>
      <c r="D422" t="inlineStr">
        <is>
          <t>NULL</t>
        </is>
      </c>
      <c r="E422" t="inlineStr">
        <is>
          <t>NULL</t>
        </is>
      </c>
      <c r="F422" t="inlineStr">
        <is>
          <t>NULL</t>
        </is>
      </c>
      <c r="G422" t="inlineStr">
        <is>
          <t>NULL</t>
        </is>
      </c>
      <c r="H422" t="inlineStr">
        <is>
          <t>NULL</t>
        </is>
      </c>
      <c r="I422" t="inlineStr">
        <is>
          <t>NULL</t>
        </is>
      </c>
      <c r="J422" t="inlineStr">
        <is>
          <t>NULL</t>
        </is>
      </c>
      <c r="K422" t="inlineStr">
        <is>
          <t>YES! 	 id列源备映射正确，源端为int None位	期望更改为int	实际备端为int None位</t>
        </is>
      </c>
    </row>
    <row r="423">
      <c r="B423" t="inlineStr">
        <is>
          <t>NULL</t>
        </is>
      </c>
      <c r="C423" t="inlineStr">
        <is>
          <t>NULL</t>
        </is>
      </c>
      <c r="D423" t="inlineStr">
        <is>
          <t>NULL</t>
        </is>
      </c>
      <c r="E423" t="inlineStr">
        <is>
          <t>NULL</t>
        </is>
      </c>
      <c r="F423" t="inlineStr">
        <is>
          <t>NULL</t>
        </is>
      </c>
      <c r="G423" t="inlineStr">
        <is>
          <t>NULL</t>
        </is>
      </c>
      <c r="H423" t="inlineStr">
        <is>
          <t>NULL</t>
        </is>
      </c>
      <c r="I423" t="inlineStr">
        <is>
          <t>NULL</t>
        </is>
      </c>
      <c r="J423" t="inlineStr">
        <is>
          <t>NULL</t>
        </is>
      </c>
      <c r="K423" t="inlineStr">
        <is>
          <t>YES! 	 c_tinyint列源备映射正确，源端为tinyint None位	期望更改为tinyint	实际备端为tinyint None位</t>
        </is>
      </c>
    </row>
    <row r="424">
      <c r="B424" t="inlineStr">
        <is>
          <t>NULL</t>
        </is>
      </c>
      <c r="C424" t="inlineStr">
        <is>
          <t>NULL</t>
        </is>
      </c>
      <c r="D424" t="inlineStr">
        <is>
          <t>NULL</t>
        </is>
      </c>
      <c r="E424" t="inlineStr">
        <is>
          <t>NULL</t>
        </is>
      </c>
      <c r="F424" t="inlineStr">
        <is>
          <t>NULL</t>
        </is>
      </c>
      <c r="G424" t="inlineStr">
        <is>
          <t>NULL</t>
        </is>
      </c>
      <c r="H424" t="inlineStr">
        <is>
          <t>NULL</t>
        </is>
      </c>
      <c r="I424" t="inlineStr">
        <is>
          <t>NULL</t>
        </is>
      </c>
      <c r="J424" t="inlineStr">
        <is>
          <t>NULL</t>
        </is>
      </c>
      <c r="K424" t="inlineStr">
        <is>
          <t>YES! 	 c_smallint列源备映射正确，源端为smallint None位	期望更改为smallint	实际备端为smallint None位</t>
        </is>
      </c>
    </row>
    <row r="425">
      <c r="B425" t="inlineStr">
        <is>
          <t>NULL</t>
        </is>
      </c>
      <c r="C425" t="inlineStr">
        <is>
          <t>NULL</t>
        </is>
      </c>
      <c r="D425" t="inlineStr">
        <is>
          <t>NULL</t>
        </is>
      </c>
      <c r="E425" t="inlineStr">
        <is>
          <t>NULL</t>
        </is>
      </c>
      <c r="F425" t="inlineStr">
        <is>
          <t>NULL</t>
        </is>
      </c>
      <c r="G425" t="inlineStr">
        <is>
          <t>NULL</t>
        </is>
      </c>
      <c r="H425" t="inlineStr">
        <is>
          <t>NULL</t>
        </is>
      </c>
      <c r="I425" t="inlineStr">
        <is>
          <t>NULL</t>
        </is>
      </c>
      <c r="J425" t="inlineStr">
        <is>
          <t>NULL</t>
        </is>
      </c>
      <c r="K425" t="inlineStr">
        <is>
          <t>YES! 	 c_int列源备映射正确，源端为int None位	期望更改为int	实际备端为int None位</t>
        </is>
      </c>
    </row>
    <row r="426">
      <c r="B426" t="inlineStr">
        <is>
          <t>NULL</t>
        </is>
      </c>
      <c r="C426" t="inlineStr">
        <is>
          <t>NULL</t>
        </is>
      </c>
      <c r="D426" t="inlineStr">
        <is>
          <t>NULL</t>
        </is>
      </c>
      <c r="E426" t="inlineStr">
        <is>
          <t>NULL</t>
        </is>
      </c>
      <c r="F426" t="inlineStr">
        <is>
          <t>NULL</t>
        </is>
      </c>
      <c r="G426" t="inlineStr">
        <is>
          <t>NULL</t>
        </is>
      </c>
      <c r="H426" t="inlineStr">
        <is>
          <t>NULL</t>
        </is>
      </c>
      <c r="I426" t="inlineStr">
        <is>
          <t>NULL</t>
        </is>
      </c>
      <c r="J426" t="inlineStr">
        <is>
          <t>NULL</t>
        </is>
      </c>
      <c r="K426" t="inlineStr">
        <is>
          <t>YES! 	 c_bigint列源备映射正确，源端为bigint None位	期望更改为bigint	实际备端为bigint None位</t>
        </is>
      </c>
    </row>
    <row r="427">
      <c r="B427" t="inlineStr">
        <is>
          <t>NULL</t>
        </is>
      </c>
      <c r="C427" t="inlineStr">
        <is>
          <t>NULL</t>
        </is>
      </c>
      <c r="D427" t="inlineStr">
        <is>
          <t>NULL</t>
        </is>
      </c>
      <c r="E427" t="inlineStr">
        <is>
          <t>NULL</t>
        </is>
      </c>
      <c r="F427" t="inlineStr">
        <is>
          <t>NULL</t>
        </is>
      </c>
      <c r="G427" t="inlineStr">
        <is>
          <t>NULL</t>
        </is>
      </c>
      <c r="H427" t="inlineStr">
        <is>
          <t>NULL</t>
        </is>
      </c>
      <c r="I427" t="inlineStr">
        <is>
          <t>NULL</t>
        </is>
      </c>
      <c r="J427" t="inlineStr">
        <is>
          <t>NULL</t>
        </is>
      </c>
      <c r="K427" t="inlineStr">
        <is>
          <t>YES! 	 c_decimal列源备映射正确，源端为decimal None位	期望更改为decimal(p,s)	实际备端为decimal None位</t>
        </is>
      </c>
    </row>
    <row r="428">
      <c r="B428" t="inlineStr">
        <is>
          <t>NULL</t>
        </is>
      </c>
      <c r="C428" t="inlineStr">
        <is>
          <t>NULL</t>
        </is>
      </c>
      <c r="D428" t="inlineStr">
        <is>
          <t>NULL</t>
        </is>
      </c>
      <c r="E428" t="inlineStr">
        <is>
          <t>NULL</t>
        </is>
      </c>
      <c r="F428" t="inlineStr">
        <is>
          <t>NULL</t>
        </is>
      </c>
      <c r="G428" t="inlineStr">
        <is>
          <t>NULL</t>
        </is>
      </c>
      <c r="H428" t="inlineStr">
        <is>
          <t>NULL</t>
        </is>
      </c>
      <c r="I428" t="inlineStr">
        <is>
          <t>NULL</t>
        </is>
      </c>
      <c r="J428" t="inlineStr">
        <is>
          <t>NULL</t>
        </is>
      </c>
      <c r="K428" t="inlineStr">
        <is>
          <t>YES! 	 c_decimal38列源备映射正确，源端为decimal None位	期望更改为decimal(p,s)	实际备端为decimal None位</t>
        </is>
      </c>
    </row>
    <row r="429">
      <c r="B429" t="inlineStr">
        <is>
          <t>NULL</t>
        </is>
      </c>
      <c r="C429" t="inlineStr">
        <is>
          <t>NULL</t>
        </is>
      </c>
      <c r="D429" t="inlineStr">
        <is>
          <t>NULL</t>
        </is>
      </c>
      <c r="E429" t="inlineStr">
        <is>
          <t>NULL</t>
        </is>
      </c>
      <c r="F429" t="inlineStr">
        <is>
          <t>NULL</t>
        </is>
      </c>
      <c r="G429" t="inlineStr">
        <is>
          <t>NULL</t>
        </is>
      </c>
      <c r="H429" t="inlineStr">
        <is>
          <t>NULL</t>
        </is>
      </c>
      <c r="I429" t="inlineStr">
        <is>
          <t>NULL</t>
        </is>
      </c>
      <c r="J429" t="inlineStr">
        <is>
          <t>NULL</t>
        </is>
      </c>
      <c r="K429" t="inlineStr">
        <is>
          <t xml:space="preserve"> NO!  	 c_decimal38_38列源备映射错误，源端为decimal None位	期望更改为decimal(p,s)	实际备端为varchar 168位</t>
        </is>
      </c>
    </row>
    <row r="430">
      <c r="B430" t="inlineStr">
        <is>
          <t>NULL</t>
        </is>
      </c>
      <c r="C430" t="inlineStr">
        <is>
          <t>NULL</t>
        </is>
      </c>
      <c r="D430" t="inlineStr">
        <is>
          <t>NULL</t>
        </is>
      </c>
      <c r="E430" t="inlineStr">
        <is>
          <t>NULL</t>
        </is>
      </c>
      <c r="F430" t="inlineStr">
        <is>
          <t>NULL</t>
        </is>
      </c>
      <c r="G430" t="inlineStr">
        <is>
          <t>NULL</t>
        </is>
      </c>
      <c r="H430" t="inlineStr">
        <is>
          <t>NULL</t>
        </is>
      </c>
      <c r="I430" t="inlineStr">
        <is>
          <t>NULL</t>
        </is>
      </c>
      <c r="J430" t="inlineStr">
        <is>
          <t>NULL</t>
        </is>
      </c>
      <c r="K430" t="inlineStr">
        <is>
          <t>YES! 	 c_decimal38_10列源备映射正确，源端为decimal None位	期望更改为decimal(p,s)	实际备端为decimal None位</t>
        </is>
      </c>
    </row>
    <row r="431">
      <c r="B431" t="inlineStr">
        <is>
          <t>NULL</t>
        </is>
      </c>
      <c r="C431" t="inlineStr">
        <is>
          <t>NULL</t>
        </is>
      </c>
      <c r="D431" t="inlineStr">
        <is>
          <t>NULL</t>
        </is>
      </c>
      <c r="E431" t="inlineStr">
        <is>
          <t>NULL</t>
        </is>
      </c>
      <c r="F431" t="inlineStr">
        <is>
          <t>NULL</t>
        </is>
      </c>
      <c r="G431" t="inlineStr">
        <is>
          <t>NULL</t>
        </is>
      </c>
      <c r="H431" t="inlineStr">
        <is>
          <t>NULL</t>
        </is>
      </c>
      <c r="I431" t="inlineStr">
        <is>
          <t>NULL</t>
        </is>
      </c>
      <c r="J431" t="inlineStr">
        <is>
          <t>NULL</t>
        </is>
      </c>
      <c r="K431" t="inlineStr">
        <is>
          <t>YES! 	 c_decimal19_4列源备映射正确，源端为decimal None位	期望更改为decimal(p,s)	实际备端为decimal None位</t>
        </is>
      </c>
    </row>
    <row r="432">
      <c r="B432" t="inlineStr">
        <is>
          <t>NULL</t>
        </is>
      </c>
      <c r="C432" t="inlineStr">
        <is>
          <t>NULL</t>
        </is>
      </c>
      <c r="D432" t="inlineStr">
        <is>
          <t>NULL</t>
        </is>
      </c>
      <c r="E432" t="inlineStr">
        <is>
          <t>NULL</t>
        </is>
      </c>
      <c r="F432" t="inlineStr">
        <is>
          <t>NULL</t>
        </is>
      </c>
      <c r="G432" t="inlineStr">
        <is>
          <t>NULL</t>
        </is>
      </c>
      <c r="H432" t="inlineStr">
        <is>
          <t>NULL</t>
        </is>
      </c>
      <c r="I432" t="inlineStr">
        <is>
          <t>NULL</t>
        </is>
      </c>
      <c r="J432" t="inlineStr">
        <is>
          <t>NULL</t>
        </is>
      </c>
      <c r="K432" t="inlineStr">
        <is>
          <t>YES! 	 c_numeric列源备映射正确，源端为numeric None位	期望更改为decimal(p,s)	实际备端为decimal None位</t>
        </is>
      </c>
    </row>
    <row r="433">
      <c r="B433" t="inlineStr">
        <is>
          <t>NULL</t>
        </is>
      </c>
      <c r="C433" t="inlineStr">
        <is>
          <t>NULL</t>
        </is>
      </c>
      <c r="D433" t="inlineStr">
        <is>
          <t>NULL</t>
        </is>
      </c>
      <c r="E433" t="inlineStr">
        <is>
          <t>NULL</t>
        </is>
      </c>
      <c r="F433" t="inlineStr">
        <is>
          <t>NULL</t>
        </is>
      </c>
      <c r="G433" t="inlineStr">
        <is>
          <t>NULL</t>
        </is>
      </c>
      <c r="H433" t="inlineStr">
        <is>
          <t>NULL</t>
        </is>
      </c>
      <c r="I433" t="inlineStr">
        <is>
          <t>NULL</t>
        </is>
      </c>
      <c r="J433" t="inlineStr">
        <is>
          <t>NULL</t>
        </is>
      </c>
      <c r="K433" t="inlineStr">
        <is>
          <t>YES! 	 c_numeric38列源备映射正确，源端为numeric None位	期望更改为decimal(p,s)	实际备端为decimal None位</t>
        </is>
      </c>
    </row>
    <row r="434">
      <c r="B434" t="inlineStr">
        <is>
          <t>NULL</t>
        </is>
      </c>
      <c r="C434" t="inlineStr">
        <is>
          <t>NULL</t>
        </is>
      </c>
      <c r="D434" t="inlineStr">
        <is>
          <t>NULL</t>
        </is>
      </c>
      <c r="E434" t="inlineStr">
        <is>
          <t>NULL</t>
        </is>
      </c>
      <c r="F434" t="inlineStr">
        <is>
          <t>NULL</t>
        </is>
      </c>
      <c r="G434" t="inlineStr">
        <is>
          <t>NULL</t>
        </is>
      </c>
      <c r="H434" t="inlineStr">
        <is>
          <t>NULL</t>
        </is>
      </c>
      <c r="I434" t="inlineStr">
        <is>
          <t>NULL</t>
        </is>
      </c>
      <c r="J434" t="inlineStr">
        <is>
          <t>NULL</t>
        </is>
      </c>
      <c r="K434" t="inlineStr">
        <is>
          <t xml:space="preserve"> NO!  	 c_numeric38_38列源备映射错误，源端为numeric None位	期望更改为decimal(p,s)	实际备端为varchar 168位</t>
        </is>
      </c>
    </row>
    <row r="435">
      <c r="B435" t="inlineStr">
        <is>
          <t>NULL</t>
        </is>
      </c>
      <c r="C435" t="inlineStr">
        <is>
          <t>NULL</t>
        </is>
      </c>
      <c r="D435" t="inlineStr">
        <is>
          <t>NULL</t>
        </is>
      </c>
      <c r="E435" t="inlineStr">
        <is>
          <t>NULL</t>
        </is>
      </c>
      <c r="F435" t="inlineStr">
        <is>
          <t>NULL</t>
        </is>
      </c>
      <c r="G435" t="inlineStr">
        <is>
          <t>NULL</t>
        </is>
      </c>
      <c r="H435" t="inlineStr">
        <is>
          <t>NULL</t>
        </is>
      </c>
      <c r="I435" t="inlineStr">
        <is>
          <t>NULL</t>
        </is>
      </c>
      <c r="J435" t="inlineStr">
        <is>
          <t>NULL</t>
        </is>
      </c>
      <c r="K435" t="inlineStr">
        <is>
          <t>YES! 	 c_numeric38_10列源备映射正确，源端为numeric None位	期望更改为decimal(p,s)	实际备端为decimal None位</t>
        </is>
      </c>
    </row>
    <row r="436">
      <c r="B436" t="inlineStr">
        <is>
          <t>NULL</t>
        </is>
      </c>
      <c r="C436" t="inlineStr">
        <is>
          <t>NULL</t>
        </is>
      </c>
      <c r="D436" t="inlineStr">
        <is>
          <t>NULL</t>
        </is>
      </c>
      <c r="E436" t="inlineStr">
        <is>
          <t>NULL</t>
        </is>
      </c>
      <c r="F436" t="inlineStr">
        <is>
          <t>NULL</t>
        </is>
      </c>
      <c r="G436" t="inlineStr">
        <is>
          <t>NULL</t>
        </is>
      </c>
      <c r="H436" t="inlineStr">
        <is>
          <t>NULL</t>
        </is>
      </c>
      <c r="I436" t="inlineStr">
        <is>
          <t>NULL</t>
        </is>
      </c>
      <c r="J436" t="inlineStr">
        <is>
          <t>NULL</t>
        </is>
      </c>
      <c r="K436" t="inlineStr">
        <is>
          <t>YES! 	 c_numeric18_2列源备映射正确，源端为numeric None位	期望更改为decimal(p,s)	实际备端为decimal None位</t>
        </is>
      </c>
    </row>
    <row r="437">
      <c r="B437" t="inlineStr">
        <is>
          <t>NULL</t>
        </is>
      </c>
      <c r="C437" t="inlineStr">
        <is>
          <t>NULL</t>
        </is>
      </c>
      <c r="D437" t="inlineStr">
        <is>
          <t>NULL</t>
        </is>
      </c>
      <c r="E437" t="inlineStr">
        <is>
          <t>NULL</t>
        </is>
      </c>
      <c r="F437" t="inlineStr">
        <is>
          <t>NULL</t>
        </is>
      </c>
      <c r="G437" t="inlineStr">
        <is>
          <t>NULL</t>
        </is>
      </c>
      <c r="H437" t="inlineStr">
        <is>
          <t>NULL</t>
        </is>
      </c>
      <c r="I437" t="inlineStr">
        <is>
          <t>NULL</t>
        </is>
      </c>
      <c r="J437" t="inlineStr">
        <is>
          <t>NULL</t>
        </is>
      </c>
      <c r="K437" t="inlineStr">
        <is>
          <t>YES! 	 c_float列源备映射正确，源端为float None位	期望更改为double	实际备端为double None位</t>
        </is>
      </c>
    </row>
    <row r="438">
      <c r="B438" t="inlineStr">
        <is>
          <t>NULL</t>
        </is>
      </c>
      <c r="C438" t="inlineStr">
        <is>
          <t>NULL</t>
        </is>
      </c>
      <c r="D438" t="inlineStr">
        <is>
          <t>NULL</t>
        </is>
      </c>
      <c r="E438" t="inlineStr">
        <is>
          <t>NULL</t>
        </is>
      </c>
      <c r="F438" t="inlineStr">
        <is>
          <t>NULL</t>
        </is>
      </c>
      <c r="G438" t="inlineStr">
        <is>
          <t>NULL</t>
        </is>
      </c>
      <c r="H438" t="inlineStr">
        <is>
          <t>NULL</t>
        </is>
      </c>
      <c r="I438" t="inlineStr">
        <is>
          <t>NULL</t>
        </is>
      </c>
      <c r="J438" t="inlineStr">
        <is>
          <t>NULL</t>
        </is>
      </c>
      <c r="K438" t="inlineStr">
        <is>
          <t>YES! 	 c_real列源备映射正确，源端为real None位	期望更改为double	实际备端为double None位</t>
        </is>
      </c>
    </row>
    <row r="439">
      <c r="B439" t="inlineStr">
        <is>
          <t>NULL</t>
        </is>
      </c>
      <c r="C439" t="inlineStr">
        <is>
          <t>NULL</t>
        </is>
      </c>
      <c r="D439" t="inlineStr">
        <is>
          <t>NULL</t>
        </is>
      </c>
      <c r="E439" t="inlineStr">
        <is>
          <t>NULL</t>
        </is>
      </c>
      <c r="F439" t="inlineStr">
        <is>
          <t>NULL</t>
        </is>
      </c>
      <c r="G439" t="inlineStr">
        <is>
          <t>NULL</t>
        </is>
      </c>
      <c r="H439" t="inlineStr">
        <is>
          <t>NULL</t>
        </is>
      </c>
      <c r="I439" t="inlineStr">
        <is>
          <t>NULL</t>
        </is>
      </c>
      <c r="J439" t="inlineStr">
        <is>
          <t>NULL</t>
        </is>
      </c>
      <c r="K439" t="inlineStr">
        <is>
          <t>YES! 	 c_money列源备映射正确，源端为money None位	期望更改为decimal(19,4)	实际备端为decimal None位</t>
        </is>
      </c>
    </row>
    <row r="440">
      <c r="B440" t="inlineStr">
        <is>
          <t>NULL</t>
        </is>
      </c>
      <c r="C440" t="inlineStr">
        <is>
          <t>NULL</t>
        </is>
      </c>
      <c r="D440" t="inlineStr">
        <is>
          <t>NULL</t>
        </is>
      </c>
      <c r="E440" t="inlineStr">
        <is>
          <t>NULL</t>
        </is>
      </c>
      <c r="F440" t="inlineStr">
        <is>
          <t>NULL</t>
        </is>
      </c>
      <c r="G440" t="inlineStr">
        <is>
          <t>NULL</t>
        </is>
      </c>
      <c r="H440" t="inlineStr">
        <is>
          <t>NULL</t>
        </is>
      </c>
      <c r="I440" t="inlineStr">
        <is>
          <t>NULL</t>
        </is>
      </c>
      <c r="J440" t="inlineStr">
        <is>
          <t>NULL</t>
        </is>
      </c>
      <c r="K440" t="inlineStr">
        <is>
          <t>YES! 	 c_smallmoney列源备映射正确，源端为smallmoney None位	期望更改为decimal(10,4)	实际备端为decimal None位</t>
        </is>
      </c>
    </row>
    <row r="441">
      <c r="B441" t="inlineStr">
        <is>
          <t>NULL</t>
        </is>
      </c>
      <c r="C441" t="inlineStr">
        <is>
          <t>NO!源None备NUL</t>
        </is>
      </c>
      <c r="D441" t="inlineStr">
        <is>
          <t>NULL</t>
        </is>
      </c>
      <c r="E441" t="inlineStr">
        <is>
          <t>NULL</t>
        </is>
      </c>
      <c r="F441" t="inlineStr">
        <is>
          <t>NULL</t>
        </is>
      </c>
      <c r="G441" t="inlineStr">
        <is>
          <t>NULL</t>
        </is>
      </c>
      <c r="H441" t="inlineStr">
        <is>
          <t>NULL</t>
        </is>
      </c>
      <c r="I441" t="inlineStr">
        <is>
          <t>NULL</t>
        </is>
      </c>
      <c r="J441" t="inlineStr">
        <is>
          <t>NULL</t>
        </is>
      </c>
      <c r="K441" t="inlineStr">
        <is>
          <t>YES! 	 c_bit列源备映射正确，源端为bit None位	期望更改为tinyint(1) 	实际备端为tinyint None位</t>
        </is>
      </c>
    </row>
    <row r="442">
      <c r="A442" t="inlineStr">
        <is>
          <t>info_varchar_dml_batch1_pk_irp2</t>
        </is>
      </c>
      <c r="K442" t="inlineStr">
        <is>
          <t>[0;34m info_varchar_dml_batch1_pk_irp2 [0m源备字段数相同，源端字段：4 	备端字段4</t>
        </is>
      </c>
      <c r="W442" t="inlineStr">
        <is>
          <t>YES 源备无差异</t>
        </is>
      </c>
      <c r="X442">
        <f>A442</f>
        <v/>
      </c>
    </row>
    <row r="443">
      <c r="B443" t="inlineStr">
        <is>
          <t>YES</t>
        </is>
      </c>
      <c r="C443" t="inlineStr">
        <is>
          <t>NULL</t>
        </is>
      </c>
      <c r="D443" t="inlineStr">
        <is>
          <t>NULL</t>
        </is>
      </c>
      <c r="E443" t="inlineStr">
        <is>
          <t>NULL</t>
        </is>
      </c>
      <c r="F443" t="inlineStr">
        <is>
          <t>NULL</t>
        </is>
      </c>
      <c r="G443" t="inlineStr">
        <is>
          <t>NULL</t>
        </is>
      </c>
      <c r="H443" t="inlineStr">
        <is>
          <t>NULL</t>
        </is>
      </c>
      <c r="I443" t="inlineStr">
        <is>
          <t>YES!PK__info_var__3213E83FA0841A50</t>
        </is>
      </c>
      <c r="J443" t="inlineStr">
        <is>
          <t>YES! 主键相关索引</t>
        </is>
      </c>
      <c r="K443" t="inlineStr">
        <is>
          <t>YES! 	 id列源备映射正确，源端为int None位	期望更改为int	实际备端为int None位</t>
        </is>
      </c>
    </row>
    <row r="444">
      <c r="B444" t="inlineStr">
        <is>
          <t>NULL</t>
        </is>
      </c>
      <c r="C444" t="inlineStr">
        <is>
          <t>NULL</t>
        </is>
      </c>
      <c r="D444" t="inlineStr">
        <is>
          <t>NULL</t>
        </is>
      </c>
      <c r="E444" t="inlineStr">
        <is>
          <t>NULL</t>
        </is>
      </c>
      <c r="F444" t="inlineStr">
        <is>
          <t>NULL</t>
        </is>
      </c>
      <c r="G444" t="inlineStr">
        <is>
          <t>NULL</t>
        </is>
      </c>
      <c r="H444" t="inlineStr">
        <is>
          <t>NULL</t>
        </is>
      </c>
      <c r="I444" t="inlineStr">
        <is>
          <t>NULL</t>
        </is>
      </c>
      <c r="J444" t="inlineStr">
        <is>
          <t>NULL</t>
        </is>
      </c>
      <c r="K444" t="inlineStr">
        <is>
          <t>YES! 	 c_varchar列源备映射正确，源端为varchar 1位	期望更改为varchar(n)	实际备端为varchar 4位</t>
        </is>
      </c>
    </row>
    <row r="445">
      <c r="B445" t="inlineStr">
        <is>
          <t>NULL</t>
        </is>
      </c>
      <c r="C445" t="inlineStr">
        <is>
          <t>NULL</t>
        </is>
      </c>
      <c r="D445" t="inlineStr">
        <is>
          <t>NULL</t>
        </is>
      </c>
      <c r="E445" t="inlineStr">
        <is>
          <t>NULL</t>
        </is>
      </c>
      <c r="F445" t="inlineStr">
        <is>
          <t>NULL</t>
        </is>
      </c>
      <c r="G445" t="inlineStr">
        <is>
          <t>NULL</t>
        </is>
      </c>
      <c r="H445" t="inlineStr">
        <is>
          <t>NULL</t>
        </is>
      </c>
      <c r="I445" t="inlineStr">
        <is>
          <t>NULL</t>
        </is>
      </c>
      <c r="J445" t="inlineStr">
        <is>
          <t>NULL</t>
        </is>
      </c>
      <c r="K445" t="inlineStr">
        <is>
          <t>YES! 	 c_varchar20列源备映射正确，源端为varchar 20位	期望更改为varchar(n)	实际备端为varchar 80位</t>
        </is>
      </c>
    </row>
    <row r="446">
      <c r="B446" t="inlineStr">
        <is>
          <t>NULL</t>
        </is>
      </c>
      <c r="C446" t="inlineStr">
        <is>
          <t>NULL</t>
        </is>
      </c>
      <c r="D446" t="inlineStr">
        <is>
          <t>NULL</t>
        </is>
      </c>
      <c r="E446" t="inlineStr">
        <is>
          <t>NULL</t>
        </is>
      </c>
      <c r="F446" t="inlineStr">
        <is>
          <t>NULL</t>
        </is>
      </c>
      <c r="G446" t="inlineStr">
        <is>
          <t>NULL</t>
        </is>
      </c>
      <c r="H446" t="inlineStr">
        <is>
          <t>NULL</t>
        </is>
      </c>
      <c r="I446" t="inlineStr">
        <is>
          <t>NULL</t>
        </is>
      </c>
      <c r="J446" t="inlineStr">
        <is>
          <t>NULL</t>
        </is>
      </c>
      <c r="K446" t="inlineStr">
        <is>
          <t xml:space="preserve"> NO!  	 c_varchar8000列源备映射错误，源端为varchar 8000位	期望更改为longtext	实际备端为text 65535位</t>
        </is>
      </c>
    </row>
    <row r="447">
      <c r="A447" t="inlineStr">
        <is>
          <t>info_sdt_dml_batch1_pk_drp1</t>
        </is>
      </c>
      <c r="K447" t="inlineStr">
        <is>
          <t>[0;34m info_sdt_dml_batch1_pk_drp1 [0m源备字段数相同，源端字段：2 	备端字段2</t>
        </is>
      </c>
      <c r="W447" t="inlineStr">
        <is>
          <t>YES 源备无差异</t>
        </is>
      </c>
      <c r="X447">
        <f>A447</f>
        <v/>
      </c>
    </row>
    <row r="448">
      <c r="B448" t="inlineStr">
        <is>
          <t>YES</t>
        </is>
      </c>
      <c r="C448" t="inlineStr">
        <is>
          <t>NULL</t>
        </is>
      </c>
      <c r="D448" t="inlineStr">
        <is>
          <t>NULL</t>
        </is>
      </c>
      <c r="E448" t="inlineStr">
        <is>
          <t>NULL</t>
        </is>
      </c>
      <c r="F448" t="inlineStr">
        <is>
          <t>NULL</t>
        </is>
      </c>
      <c r="G448" t="inlineStr">
        <is>
          <t>NULL</t>
        </is>
      </c>
      <c r="H448" t="inlineStr">
        <is>
          <t>NULL</t>
        </is>
      </c>
      <c r="I448" t="inlineStr">
        <is>
          <t>YES!PK__info_sdt__3213E83F8E7E5405</t>
        </is>
      </c>
      <c r="J448" t="inlineStr">
        <is>
          <t>YES! 主键相关索引</t>
        </is>
      </c>
      <c r="K448" t="inlineStr">
        <is>
          <t>YES! 	 id列源备映射正确，源端为int None位	期望更改为int	实际备端为int None位</t>
        </is>
      </c>
    </row>
    <row r="449">
      <c r="B449" t="inlineStr">
        <is>
          <t>NULL</t>
        </is>
      </c>
      <c r="C449" t="inlineStr">
        <is>
          <t>NULL</t>
        </is>
      </c>
      <c r="D449" t="inlineStr">
        <is>
          <t>NULL</t>
        </is>
      </c>
      <c r="E449" t="inlineStr">
        <is>
          <t>NULL</t>
        </is>
      </c>
      <c r="F449" t="inlineStr">
        <is>
          <t>NULL</t>
        </is>
      </c>
      <c r="G449" t="inlineStr">
        <is>
          <t>NULL</t>
        </is>
      </c>
      <c r="H449" t="inlineStr">
        <is>
          <t>NULL</t>
        </is>
      </c>
      <c r="I449" t="inlineStr">
        <is>
          <t>NULL</t>
        </is>
      </c>
      <c r="J449" t="inlineStr">
        <is>
          <t>NULL</t>
        </is>
      </c>
      <c r="K449" t="inlineStr">
        <is>
          <t>YES! 	 c_sdt列源备映射正确，源端为smalldatetime None位	期望更改为datetime	实际备端为datetime None位</t>
        </is>
      </c>
    </row>
    <row r="450">
      <c r="K450" t="inlineStr">
        <is>
          <t>~ 空表</t>
        </is>
      </c>
    </row>
    <row r="451">
      <c r="A451" t="inlineStr">
        <is>
          <t>info_int_dml_single_nopk_urp</t>
        </is>
      </c>
      <c r="K451" t="inlineStr">
        <is>
          <t>[0;34m info_int_dml_single_nopk_urp [0m源备字段数相同，源端字段：20 	备端字段20</t>
        </is>
      </c>
      <c r="W451" s="15">
        <f>HYPERLINK("#2026052610mysql0!AZ2","NO 源备存在差异，共2个")</f>
        <v/>
      </c>
      <c r="X451">
        <f>A451</f>
        <v/>
      </c>
    </row>
    <row r="452">
      <c r="B452" t="inlineStr">
        <is>
          <t>NULL</t>
        </is>
      </c>
      <c r="C452" t="inlineStr">
        <is>
          <t>NULL</t>
        </is>
      </c>
      <c r="D452" t="inlineStr">
        <is>
          <t>NULL</t>
        </is>
      </c>
      <c r="E452" t="inlineStr">
        <is>
          <t>NULL</t>
        </is>
      </c>
      <c r="F452" t="inlineStr">
        <is>
          <t>NULL</t>
        </is>
      </c>
      <c r="G452" t="inlineStr">
        <is>
          <t>NULL</t>
        </is>
      </c>
      <c r="H452" t="inlineStr">
        <is>
          <t>NULL</t>
        </is>
      </c>
      <c r="I452" t="inlineStr">
        <is>
          <t>NULL</t>
        </is>
      </c>
      <c r="J452" t="inlineStr">
        <is>
          <t>NULL</t>
        </is>
      </c>
      <c r="K452" t="inlineStr">
        <is>
          <t>YES! 	 id列源备映射正确，源端为int None位	期望更改为int	实际备端为int None位</t>
        </is>
      </c>
    </row>
    <row r="453">
      <c r="B453" t="inlineStr">
        <is>
          <t>NULL</t>
        </is>
      </c>
      <c r="C453" t="inlineStr">
        <is>
          <t>NULL</t>
        </is>
      </c>
      <c r="D453" t="inlineStr">
        <is>
          <t>NULL</t>
        </is>
      </c>
      <c r="E453" t="inlineStr">
        <is>
          <t>NULL</t>
        </is>
      </c>
      <c r="F453" t="inlineStr">
        <is>
          <t>NULL</t>
        </is>
      </c>
      <c r="G453" t="inlineStr">
        <is>
          <t>NULL</t>
        </is>
      </c>
      <c r="H453" t="inlineStr">
        <is>
          <t>NULL</t>
        </is>
      </c>
      <c r="I453" t="inlineStr">
        <is>
          <t>NULL</t>
        </is>
      </c>
      <c r="J453" t="inlineStr">
        <is>
          <t>NULL</t>
        </is>
      </c>
      <c r="K453" t="inlineStr">
        <is>
          <t>YES! 	 c_tinyint列源备映射正确，源端为tinyint None位	期望更改为tinyint	实际备端为tinyint None位</t>
        </is>
      </c>
    </row>
    <row r="454">
      <c r="B454" t="inlineStr">
        <is>
          <t>NULL</t>
        </is>
      </c>
      <c r="C454" t="inlineStr">
        <is>
          <t>NULL</t>
        </is>
      </c>
      <c r="D454" t="inlineStr">
        <is>
          <t>NULL</t>
        </is>
      </c>
      <c r="E454" t="inlineStr">
        <is>
          <t>NULL</t>
        </is>
      </c>
      <c r="F454" t="inlineStr">
        <is>
          <t>NULL</t>
        </is>
      </c>
      <c r="G454" t="inlineStr">
        <is>
          <t>NULL</t>
        </is>
      </c>
      <c r="H454" t="inlineStr">
        <is>
          <t>NULL</t>
        </is>
      </c>
      <c r="I454" t="inlineStr">
        <is>
          <t>NULL</t>
        </is>
      </c>
      <c r="J454" t="inlineStr">
        <is>
          <t>NULL</t>
        </is>
      </c>
      <c r="K454" t="inlineStr">
        <is>
          <t>YES! 	 c_smallint列源备映射正确，源端为smallint None位	期望更改为smallint	实际备端为smallint None位</t>
        </is>
      </c>
    </row>
    <row r="455">
      <c r="B455" t="inlineStr">
        <is>
          <t>NULL</t>
        </is>
      </c>
      <c r="C455" t="inlineStr">
        <is>
          <t>NULL</t>
        </is>
      </c>
      <c r="D455" t="inlineStr">
        <is>
          <t>NULL</t>
        </is>
      </c>
      <c r="E455" t="inlineStr">
        <is>
          <t>NULL</t>
        </is>
      </c>
      <c r="F455" t="inlineStr">
        <is>
          <t>NULL</t>
        </is>
      </c>
      <c r="G455" t="inlineStr">
        <is>
          <t>NULL</t>
        </is>
      </c>
      <c r="H455" t="inlineStr">
        <is>
          <t>NULL</t>
        </is>
      </c>
      <c r="I455" t="inlineStr">
        <is>
          <t>NULL</t>
        </is>
      </c>
      <c r="J455" t="inlineStr">
        <is>
          <t>NULL</t>
        </is>
      </c>
      <c r="K455" t="inlineStr">
        <is>
          <t>YES! 	 c_int列源备映射正确，源端为int None位	期望更改为int	实际备端为int None位</t>
        </is>
      </c>
    </row>
    <row r="456">
      <c r="B456" t="inlineStr">
        <is>
          <t>NULL</t>
        </is>
      </c>
      <c r="C456" t="inlineStr">
        <is>
          <t>NULL</t>
        </is>
      </c>
      <c r="D456" t="inlineStr">
        <is>
          <t>NULL</t>
        </is>
      </c>
      <c r="E456" t="inlineStr">
        <is>
          <t>NULL</t>
        </is>
      </c>
      <c r="F456" t="inlineStr">
        <is>
          <t>NULL</t>
        </is>
      </c>
      <c r="G456" t="inlineStr">
        <is>
          <t>NULL</t>
        </is>
      </c>
      <c r="H456" t="inlineStr">
        <is>
          <t>NULL</t>
        </is>
      </c>
      <c r="I456" t="inlineStr">
        <is>
          <t>NULL</t>
        </is>
      </c>
      <c r="J456" t="inlineStr">
        <is>
          <t>NULL</t>
        </is>
      </c>
      <c r="K456" t="inlineStr">
        <is>
          <t>YES! 	 c_bigint列源备映射正确，源端为bigint None位	期望更改为bigint	实际备端为bigint None位</t>
        </is>
      </c>
    </row>
    <row r="457">
      <c r="B457" t="inlineStr">
        <is>
          <t>NULL</t>
        </is>
      </c>
      <c r="C457" t="inlineStr">
        <is>
          <t>NULL</t>
        </is>
      </c>
      <c r="D457" t="inlineStr">
        <is>
          <t>NULL</t>
        </is>
      </c>
      <c r="E457" t="inlineStr">
        <is>
          <t>NULL</t>
        </is>
      </c>
      <c r="F457" t="inlineStr">
        <is>
          <t>NULL</t>
        </is>
      </c>
      <c r="G457" t="inlineStr">
        <is>
          <t>NULL</t>
        </is>
      </c>
      <c r="H457" t="inlineStr">
        <is>
          <t>NULL</t>
        </is>
      </c>
      <c r="I457" t="inlineStr">
        <is>
          <t>NULL</t>
        </is>
      </c>
      <c r="J457" t="inlineStr">
        <is>
          <t>NULL</t>
        </is>
      </c>
      <c r="K457" t="inlineStr">
        <is>
          <t>YES! 	 c_decimal列源备映射正确，源端为decimal None位	期望更改为decimal(p,s)	实际备端为decimal None位</t>
        </is>
      </c>
    </row>
    <row r="458">
      <c r="B458" t="inlineStr">
        <is>
          <t>NULL</t>
        </is>
      </c>
      <c r="C458" t="inlineStr">
        <is>
          <t>NULL</t>
        </is>
      </c>
      <c r="D458" t="inlineStr">
        <is>
          <t>NULL</t>
        </is>
      </c>
      <c r="E458" t="inlineStr">
        <is>
          <t>NULL</t>
        </is>
      </c>
      <c r="F458" t="inlineStr">
        <is>
          <t>NULL</t>
        </is>
      </c>
      <c r="G458" t="inlineStr">
        <is>
          <t>NULL</t>
        </is>
      </c>
      <c r="H458" t="inlineStr">
        <is>
          <t>NULL</t>
        </is>
      </c>
      <c r="I458" t="inlineStr">
        <is>
          <t>NULL</t>
        </is>
      </c>
      <c r="J458" t="inlineStr">
        <is>
          <t>NULL</t>
        </is>
      </c>
      <c r="K458" t="inlineStr">
        <is>
          <t>YES! 	 c_decimal38列源备映射正确，源端为decimal None位	期望更改为decimal(p,s)	实际备端为decimal None位</t>
        </is>
      </c>
    </row>
    <row r="459">
      <c r="B459" t="inlineStr">
        <is>
          <t>NULL</t>
        </is>
      </c>
      <c r="C459" t="inlineStr">
        <is>
          <t>NULL</t>
        </is>
      </c>
      <c r="D459" t="inlineStr">
        <is>
          <t>NULL</t>
        </is>
      </c>
      <c r="E459" t="inlineStr">
        <is>
          <t>NULL</t>
        </is>
      </c>
      <c r="F459" t="inlineStr">
        <is>
          <t>NULL</t>
        </is>
      </c>
      <c r="G459" t="inlineStr">
        <is>
          <t>NULL</t>
        </is>
      </c>
      <c r="H459" t="inlineStr">
        <is>
          <t>NULL</t>
        </is>
      </c>
      <c r="I459" t="inlineStr">
        <is>
          <t>NULL</t>
        </is>
      </c>
      <c r="J459" t="inlineStr">
        <is>
          <t>NULL</t>
        </is>
      </c>
      <c r="K459" t="inlineStr">
        <is>
          <t xml:space="preserve"> NO!  	 c_decimal38_38列源备映射错误，源端为decimal None位	期望更改为decimal(p,s)	实际备端为varchar 168位</t>
        </is>
      </c>
    </row>
    <row r="460">
      <c r="B460" t="inlineStr">
        <is>
          <t>NULL</t>
        </is>
      </c>
      <c r="C460" t="inlineStr">
        <is>
          <t>NULL</t>
        </is>
      </c>
      <c r="D460" t="inlineStr">
        <is>
          <t>NULL</t>
        </is>
      </c>
      <c r="E460" t="inlineStr">
        <is>
          <t>NULL</t>
        </is>
      </c>
      <c r="F460" t="inlineStr">
        <is>
          <t>NULL</t>
        </is>
      </c>
      <c r="G460" t="inlineStr">
        <is>
          <t>NULL</t>
        </is>
      </c>
      <c r="H460" t="inlineStr">
        <is>
          <t>NULL</t>
        </is>
      </c>
      <c r="I460" t="inlineStr">
        <is>
          <t>NULL</t>
        </is>
      </c>
      <c r="J460" t="inlineStr">
        <is>
          <t>NULL</t>
        </is>
      </c>
      <c r="K460" t="inlineStr">
        <is>
          <t>YES! 	 c_decimal38_10列源备映射正确，源端为decimal None位	期望更改为decimal(p,s)	实际备端为decimal None位</t>
        </is>
      </c>
    </row>
    <row r="461">
      <c r="B461" t="inlineStr">
        <is>
          <t>NULL</t>
        </is>
      </c>
      <c r="C461" t="inlineStr">
        <is>
          <t>NULL</t>
        </is>
      </c>
      <c r="D461" t="inlineStr">
        <is>
          <t>NULL</t>
        </is>
      </c>
      <c r="E461" t="inlineStr">
        <is>
          <t>NULL</t>
        </is>
      </c>
      <c r="F461" t="inlineStr">
        <is>
          <t>NULL</t>
        </is>
      </c>
      <c r="G461" t="inlineStr">
        <is>
          <t>NULL</t>
        </is>
      </c>
      <c r="H461" t="inlineStr">
        <is>
          <t>NULL</t>
        </is>
      </c>
      <c r="I461" t="inlineStr">
        <is>
          <t>NULL</t>
        </is>
      </c>
      <c r="J461" t="inlineStr">
        <is>
          <t>NULL</t>
        </is>
      </c>
      <c r="K461" t="inlineStr">
        <is>
          <t>YES! 	 c_decimal19_4列源备映射正确，源端为decimal None位	期望更改为decimal(p,s)	实际备端为decimal None位</t>
        </is>
      </c>
    </row>
    <row r="462">
      <c r="B462" t="inlineStr">
        <is>
          <t>NULL</t>
        </is>
      </c>
      <c r="C462" t="inlineStr">
        <is>
          <t>NULL</t>
        </is>
      </c>
      <c r="D462" t="inlineStr">
        <is>
          <t>NULL</t>
        </is>
      </c>
      <c r="E462" t="inlineStr">
        <is>
          <t>NULL</t>
        </is>
      </c>
      <c r="F462" t="inlineStr">
        <is>
          <t>NULL</t>
        </is>
      </c>
      <c r="G462" t="inlineStr">
        <is>
          <t>NULL</t>
        </is>
      </c>
      <c r="H462" t="inlineStr">
        <is>
          <t>NULL</t>
        </is>
      </c>
      <c r="I462" t="inlineStr">
        <is>
          <t>NULL</t>
        </is>
      </c>
      <c r="J462" t="inlineStr">
        <is>
          <t>NULL</t>
        </is>
      </c>
      <c r="K462" t="inlineStr">
        <is>
          <t>YES! 	 c_numeric列源备映射正确，源端为numeric None位	期望更改为decimal(p,s)	实际备端为decimal None位</t>
        </is>
      </c>
    </row>
    <row r="463">
      <c r="B463" t="inlineStr">
        <is>
          <t>NULL</t>
        </is>
      </c>
      <c r="C463" t="inlineStr">
        <is>
          <t>NULL</t>
        </is>
      </c>
      <c r="D463" t="inlineStr">
        <is>
          <t>NULL</t>
        </is>
      </c>
      <c r="E463" t="inlineStr">
        <is>
          <t>NULL</t>
        </is>
      </c>
      <c r="F463" t="inlineStr">
        <is>
          <t>NULL</t>
        </is>
      </c>
      <c r="G463" t="inlineStr">
        <is>
          <t>NULL</t>
        </is>
      </c>
      <c r="H463" t="inlineStr">
        <is>
          <t>NULL</t>
        </is>
      </c>
      <c r="I463" t="inlineStr">
        <is>
          <t>NULL</t>
        </is>
      </c>
      <c r="J463" t="inlineStr">
        <is>
          <t>NULL</t>
        </is>
      </c>
      <c r="K463" t="inlineStr">
        <is>
          <t>YES! 	 c_numeric38列源备映射正确，源端为numeric None位	期望更改为decimal(p,s)	实际备端为decimal None位</t>
        </is>
      </c>
    </row>
    <row r="464">
      <c r="B464" t="inlineStr">
        <is>
          <t>NULL</t>
        </is>
      </c>
      <c r="C464" t="inlineStr">
        <is>
          <t>NULL</t>
        </is>
      </c>
      <c r="D464" t="inlineStr">
        <is>
          <t>NULL</t>
        </is>
      </c>
      <c r="E464" t="inlineStr">
        <is>
          <t>NULL</t>
        </is>
      </c>
      <c r="F464" t="inlineStr">
        <is>
          <t>NULL</t>
        </is>
      </c>
      <c r="G464" t="inlineStr">
        <is>
          <t>NULL</t>
        </is>
      </c>
      <c r="H464" t="inlineStr">
        <is>
          <t>NULL</t>
        </is>
      </c>
      <c r="I464" t="inlineStr">
        <is>
          <t>NULL</t>
        </is>
      </c>
      <c r="J464" t="inlineStr">
        <is>
          <t>NULL</t>
        </is>
      </c>
      <c r="K464" t="inlineStr">
        <is>
          <t xml:space="preserve"> NO!  	 c_numeric38_38列源备映射错误，源端为numeric None位	期望更改为decimal(p,s)	实际备端为varchar 168位</t>
        </is>
      </c>
    </row>
    <row r="465">
      <c r="B465" t="inlineStr">
        <is>
          <t>NULL</t>
        </is>
      </c>
      <c r="C465" t="inlineStr">
        <is>
          <t>NULL</t>
        </is>
      </c>
      <c r="D465" t="inlineStr">
        <is>
          <t>NULL</t>
        </is>
      </c>
      <c r="E465" t="inlineStr">
        <is>
          <t>NULL</t>
        </is>
      </c>
      <c r="F465" t="inlineStr">
        <is>
          <t>NULL</t>
        </is>
      </c>
      <c r="G465" t="inlineStr">
        <is>
          <t>NULL</t>
        </is>
      </c>
      <c r="H465" t="inlineStr">
        <is>
          <t>NULL</t>
        </is>
      </c>
      <c r="I465" t="inlineStr">
        <is>
          <t>NULL</t>
        </is>
      </c>
      <c r="J465" t="inlineStr">
        <is>
          <t>NULL</t>
        </is>
      </c>
      <c r="K465" t="inlineStr">
        <is>
          <t>YES! 	 c_numeric38_10列源备映射正确，源端为numeric None位	期望更改为decimal(p,s)	实际备端为decimal None位</t>
        </is>
      </c>
    </row>
    <row r="466">
      <c r="B466" t="inlineStr">
        <is>
          <t>NULL</t>
        </is>
      </c>
      <c r="C466" t="inlineStr">
        <is>
          <t>NULL</t>
        </is>
      </c>
      <c r="D466" t="inlineStr">
        <is>
          <t>NULL</t>
        </is>
      </c>
      <c r="E466" t="inlineStr">
        <is>
          <t>NULL</t>
        </is>
      </c>
      <c r="F466" t="inlineStr">
        <is>
          <t>NULL</t>
        </is>
      </c>
      <c r="G466" t="inlineStr">
        <is>
          <t>NULL</t>
        </is>
      </c>
      <c r="H466" t="inlineStr">
        <is>
          <t>NULL</t>
        </is>
      </c>
      <c r="I466" t="inlineStr">
        <is>
          <t>NULL</t>
        </is>
      </c>
      <c r="J466" t="inlineStr">
        <is>
          <t>NULL</t>
        </is>
      </c>
      <c r="K466" t="inlineStr">
        <is>
          <t>YES! 	 c_numeric18_2列源备映射正确，源端为numeric None位	期望更改为decimal(p,s)	实际备端为decimal None位</t>
        </is>
      </c>
    </row>
    <row r="467">
      <c r="B467" t="inlineStr">
        <is>
          <t>NULL</t>
        </is>
      </c>
      <c r="C467" t="inlineStr">
        <is>
          <t>NULL</t>
        </is>
      </c>
      <c r="D467" t="inlineStr">
        <is>
          <t>NULL</t>
        </is>
      </c>
      <c r="E467" t="inlineStr">
        <is>
          <t>NULL</t>
        </is>
      </c>
      <c r="F467" t="inlineStr">
        <is>
          <t>NULL</t>
        </is>
      </c>
      <c r="G467" t="inlineStr">
        <is>
          <t>NULL</t>
        </is>
      </c>
      <c r="H467" t="inlineStr">
        <is>
          <t>NULL</t>
        </is>
      </c>
      <c r="I467" t="inlineStr">
        <is>
          <t>NULL</t>
        </is>
      </c>
      <c r="J467" t="inlineStr">
        <is>
          <t>NULL</t>
        </is>
      </c>
      <c r="K467" t="inlineStr">
        <is>
          <t>YES! 	 c_float列源备映射正确，源端为float None位	期望更改为double	实际备端为double None位</t>
        </is>
      </c>
    </row>
    <row r="468">
      <c r="B468" t="inlineStr">
        <is>
          <t>NULL</t>
        </is>
      </c>
      <c r="C468" t="inlineStr">
        <is>
          <t>NULL</t>
        </is>
      </c>
      <c r="D468" t="inlineStr">
        <is>
          <t>NULL</t>
        </is>
      </c>
      <c r="E468" t="inlineStr">
        <is>
          <t>NULL</t>
        </is>
      </c>
      <c r="F468" t="inlineStr">
        <is>
          <t>NULL</t>
        </is>
      </c>
      <c r="G468" t="inlineStr">
        <is>
          <t>NULL</t>
        </is>
      </c>
      <c r="H468" t="inlineStr">
        <is>
          <t>NULL</t>
        </is>
      </c>
      <c r="I468" t="inlineStr">
        <is>
          <t>NULL</t>
        </is>
      </c>
      <c r="J468" t="inlineStr">
        <is>
          <t>NULL</t>
        </is>
      </c>
      <c r="K468" t="inlineStr">
        <is>
          <t>YES! 	 c_real列源备映射正确，源端为real None位	期望更改为double	实际备端为double None位</t>
        </is>
      </c>
    </row>
    <row r="469">
      <c r="B469" t="inlineStr">
        <is>
          <t>NULL</t>
        </is>
      </c>
      <c r="C469" t="inlineStr">
        <is>
          <t>NULL</t>
        </is>
      </c>
      <c r="D469" t="inlineStr">
        <is>
          <t>NULL</t>
        </is>
      </c>
      <c r="E469" t="inlineStr">
        <is>
          <t>NULL</t>
        </is>
      </c>
      <c r="F469" t="inlineStr">
        <is>
          <t>NULL</t>
        </is>
      </c>
      <c r="G469" t="inlineStr">
        <is>
          <t>NULL</t>
        </is>
      </c>
      <c r="H469" t="inlineStr">
        <is>
          <t>NULL</t>
        </is>
      </c>
      <c r="I469" t="inlineStr">
        <is>
          <t>NULL</t>
        </is>
      </c>
      <c r="J469" t="inlineStr">
        <is>
          <t>NULL</t>
        </is>
      </c>
      <c r="K469" t="inlineStr">
        <is>
          <t>YES! 	 c_money列源备映射正确，源端为money None位	期望更改为decimal(19,4)	实际备端为decimal None位</t>
        </is>
      </c>
    </row>
    <row r="470">
      <c r="B470" t="inlineStr">
        <is>
          <t>NULL</t>
        </is>
      </c>
      <c r="C470" t="inlineStr">
        <is>
          <t>NULL</t>
        </is>
      </c>
      <c r="D470" t="inlineStr">
        <is>
          <t>NULL</t>
        </is>
      </c>
      <c r="E470" t="inlineStr">
        <is>
          <t>NULL</t>
        </is>
      </c>
      <c r="F470" t="inlineStr">
        <is>
          <t>NULL</t>
        </is>
      </c>
      <c r="G470" t="inlineStr">
        <is>
          <t>NULL</t>
        </is>
      </c>
      <c r="H470" t="inlineStr">
        <is>
          <t>NULL</t>
        </is>
      </c>
      <c r="I470" t="inlineStr">
        <is>
          <t>NULL</t>
        </is>
      </c>
      <c r="J470" t="inlineStr">
        <is>
          <t>NULL</t>
        </is>
      </c>
      <c r="K470" t="inlineStr">
        <is>
          <t>YES! 	 c_smallmoney列源备映射正确，源端为smallmoney None位	期望更改为decimal(10,4)	实际备端为decimal None位</t>
        </is>
      </c>
    </row>
    <row r="471">
      <c r="B471" t="inlineStr">
        <is>
          <t>NULL</t>
        </is>
      </c>
      <c r="C471" t="inlineStr">
        <is>
          <t>NO!源None备NUL</t>
        </is>
      </c>
      <c r="D471" t="inlineStr">
        <is>
          <t>NULL</t>
        </is>
      </c>
      <c r="E471" t="inlineStr">
        <is>
          <t>NULL</t>
        </is>
      </c>
      <c r="F471" t="inlineStr">
        <is>
          <t>NULL</t>
        </is>
      </c>
      <c r="G471" t="inlineStr">
        <is>
          <t>NULL</t>
        </is>
      </c>
      <c r="H471" t="inlineStr">
        <is>
          <t>NULL</t>
        </is>
      </c>
      <c r="I471" t="inlineStr">
        <is>
          <t>NULL</t>
        </is>
      </c>
      <c r="J471" t="inlineStr">
        <is>
          <t>NULL</t>
        </is>
      </c>
      <c r="K471" t="inlineStr">
        <is>
          <t>YES! 	 c_bit列源备映射正确，源端为bit None位	期望更改为tinyint(1) 	实际备端为tinyint None位</t>
        </is>
      </c>
    </row>
    <row r="472">
      <c r="A472" t="inlineStr">
        <is>
          <t>info_sql_variant_dml_single_pk_urp</t>
        </is>
      </c>
      <c r="K472" t="inlineStr">
        <is>
          <t>[0;34m info_sql_variant_dml_single_pk_urp [0m源备字段数相同，源端字段：25 	备端字段25</t>
        </is>
      </c>
      <c r="W472" s="15">
        <f>HYPERLINK("#2026052610mysql0!BA2","NO 源备存在差异，共2个")</f>
        <v/>
      </c>
      <c r="X472">
        <f>A472</f>
        <v/>
      </c>
    </row>
    <row r="473">
      <c r="B473" t="inlineStr">
        <is>
          <t>YES</t>
        </is>
      </c>
      <c r="C473" t="inlineStr">
        <is>
          <t>NULL</t>
        </is>
      </c>
      <c r="D473" t="inlineStr">
        <is>
          <t>NULL</t>
        </is>
      </c>
      <c r="E473" t="inlineStr">
        <is>
          <t>NULL</t>
        </is>
      </c>
      <c r="F473" t="inlineStr">
        <is>
          <t>NULL</t>
        </is>
      </c>
      <c r="G473" t="inlineStr">
        <is>
          <t>NULL</t>
        </is>
      </c>
      <c r="H473" t="inlineStr">
        <is>
          <t>NULL</t>
        </is>
      </c>
      <c r="I473" t="inlineStr">
        <is>
          <t>YES!PK__info_sql__3213E83F919861E2</t>
        </is>
      </c>
      <c r="J473" t="inlineStr">
        <is>
          <t>YES! 主键相关索引</t>
        </is>
      </c>
      <c r="K473" t="inlineStr">
        <is>
          <t>YES! 	 id列源备映射正确，源端为int None位	期望更改为int	实际备端为int None位</t>
        </is>
      </c>
    </row>
    <row r="474">
      <c r="B474" t="inlineStr">
        <is>
          <t>NULL</t>
        </is>
      </c>
      <c r="C474" t="inlineStr">
        <is>
          <t>NULL</t>
        </is>
      </c>
      <c r="D474" t="inlineStr">
        <is>
          <t>NULL</t>
        </is>
      </c>
      <c r="E474" t="inlineStr">
        <is>
          <t>NULL</t>
        </is>
      </c>
      <c r="F474" t="inlineStr">
        <is>
          <t>NULL</t>
        </is>
      </c>
      <c r="G474" t="inlineStr">
        <is>
          <t>NULL</t>
        </is>
      </c>
      <c r="H474" t="inlineStr">
        <is>
          <t>NULL</t>
        </is>
      </c>
      <c r="I474" t="inlineStr">
        <is>
          <t>NULL</t>
        </is>
      </c>
      <c r="J474" t="inlineStr">
        <is>
          <t>NULL</t>
        </is>
      </c>
      <c r="K474" t="inlineStr">
        <is>
          <t>[0;32m YES! [0m 	 c_date列源备映射正确，源端为sql_variant 0位	期望更改为VARCHAR(255)	实际备端为varchar 1020位	位数精度不存在，通过长度比较</t>
        </is>
      </c>
    </row>
    <row r="475">
      <c r="B475" t="inlineStr">
        <is>
          <t>NULL</t>
        </is>
      </c>
      <c r="C475" t="inlineStr">
        <is>
          <t>NULL</t>
        </is>
      </c>
      <c r="D475" t="inlineStr">
        <is>
          <t>NULL</t>
        </is>
      </c>
      <c r="E475" t="inlineStr">
        <is>
          <t>NULL</t>
        </is>
      </c>
      <c r="F475" t="inlineStr">
        <is>
          <t>NULL</t>
        </is>
      </c>
      <c r="G475" t="inlineStr">
        <is>
          <t>NULL</t>
        </is>
      </c>
      <c r="H475" t="inlineStr">
        <is>
          <t>NULL</t>
        </is>
      </c>
      <c r="I475" t="inlineStr">
        <is>
          <t>NULL</t>
        </is>
      </c>
      <c r="J475" t="inlineStr">
        <is>
          <t>NULL</t>
        </is>
      </c>
      <c r="K475" t="inlineStr">
        <is>
          <t>[0;32m YES! [0m 	 c_time列源备映射正确，源端为sql_variant 0位	期望更改为VARCHAR(255)	实际备端为varchar 1020位	位数精度不存在，通过长度比较</t>
        </is>
      </c>
    </row>
    <row r="476">
      <c r="B476" t="inlineStr">
        <is>
          <t>NULL</t>
        </is>
      </c>
      <c r="C476" t="inlineStr">
        <is>
          <t>NULL</t>
        </is>
      </c>
      <c r="D476" t="inlineStr">
        <is>
          <t>NULL</t>
        </is>
      </c>
      <c r="E476" t="inlineStr">
        <is>
          <t>NULL</t>
        </is>
      </c>
      <c r="F476" t="inlineStr">
        <is>
          <t>NULL</t>
        </is>
      </c>
      <c r="G476" t="inlineStr">
        <is>
          <t>NULL</t>
        </is>
      </c>
      <c r="H476" t="inlineStr">
        <is>
          <t>NULL</t>
        </is>
      </c>
      <c r="I476" t="inlineStr">
        <is>
          <t>NULL</t>
        </is>
      </c>
      <c r="J476" t="inlineStr">
        <is>
          <t>NULL</t>
        </is>
      </c>
      <c r="K476" t="inlineStr">
        <is>
          <t>[0;32m YES! [0m 	 c_datetime2列源备映射正确，源端为sql_variant 0位	期望更改为VARCHAR(255)	实际备端为varchar 1020位	位数精度不存在，通过长度比较</t>
        </is>
      </c>
    </row>
    <row r="477">
      <c r="B477" t="inlineStr">
        <is>
          <t>NULL</t>
        </is>
      </c>
      <c r="C477" t="inlineStr">
        <is>
          <t>NULL</t>
        </is>
      </c>
      <c r="D477" t="inlineStr">
        <is>
          <t>NULL</t>
        </is>
      </c>
      <c r="E477" t="inlineStr">
        <is>
          <t>NULL</t>
        </is>
      </c>
      <c r="F477" t="inlineStr">
        <is>
          <t>NULL</t>
        </is>
      </c>
      <c r="G477" t="inlineStr">
        <is>
          <t>NULL</t>
        </is>
      </c>
      <c r="H477" t="inlineStr">
        <is>
          <t>NULL</t>
        </is>
      </c>
      <c r="I477" t="inlineStr">
        <is>
          <t>NULL</t>
        </is>
      </c>
      <c r="J477" t="inlineStr">
        <is>
          <t>NULL</t>
        </is>
      </c>
      <c r="K477" t="inlineStr">
        <is>
          <t>[0;32m YES! [0m 	 c_datetimeoffset列源备映射正确，源端为sql_variant 0位	期望更改为VARCHAR(255)	实际备端为varchar 1020位	位数精度不存在，通过长度比较</t>
        </is>
      </c>
    </row>
    <row r="478">
      <c r="B478" t="inlineStr">
        <is>
          <t>NULL</t>
        </is>
      </c>
      <c r="C478" t="inlineStr">
        <is>
          <t>NULL</t>
        </is>
      </c>
      <c r="D478" t="inlineStr">
        <is>
          <t>NULL</t>
        </is>
      </c>
      <c r="E478" t="inlineStr">
        <is>
          <t>NULL</t>
        </is>
      </c>
      <c r="F478" t="inlineStr">
        <is>
          <t>NULL</t>
        </is>
      </c>
      <c r="G478" t="inlineStr">
        <is>
          <t>NULL</t>
        </is>
      </c>
      <c r="H478" t="inlineStr">
        <is>
          <t>NULL</t>
        </is>
      </c>
      <c r="I478" t="inlineStr">
        <is>
          <t>NULL</t>
        </is>
      </c>
      <c r="J478" t="inlineStr">
        <is>
          <t>NULL</t>
        </is>
      </c>
      <c r="K478" t="inlineStr">
        <is>
          <t>[0;32m YES! [0m 	 c_tinyint列源备映射正确，源端为sql_variant 0位	期望更改为VARCHAR(255)	实际备端为varchar 1020位	位数精度不存在，通过长度比较</t>
        </is>
      </c>
    </row>
    <row r="479">
      <c r="B479" t="inlineStr">
        <is>
          <t>NULL</t>
        </is>
      </c>
      <c r="C479" t="inlineStr">
        <is>
          <t>NULL</t>
        </is>
      </c>
      <c r="D479" t="inlineStr">
        <is>
          <t>NULL</t>
        </is>
      </c>
      <c r="E479" t="inlineStr">
        <is>
          <t>NULL</t>
        </is>
      </c>
      <c r="F479" t="inlineStr">
        <is>
          <t>NULL</t>
        </is>
      </c>
      <c r="G479" t="inlineStr">
        <is>
          <t>NULL</t>
        </is>
      </c>
      <c r="H479" t="inlineStr">
        <is>
          <t>NULL</t>
        </is>
      </c>
      <c r="I479" t="inlineStr">
        <is>
          <t>NULL</t>
        </is>
      </c>
      <c r="J479" t="inlineStr">
        <is>
          <t>NULL</t>
        </is>
      </c>
      <c r="K479" t="inlineStr">
        <is>
          <t>[0;32m YES! [0m 	 c_smallint列源备映射正确，源端为sql_variant 0位	期望更改为VARCHAR(255)	实际备端为varchar 1020位	位数精度不存在，通过长度比较</t>
        </is>
      </c>
    </row>
    <row r="480">
      <c r="B480" t="inlineStr">
        <is>
          <t>NULL</t>
        </is>
      </c>
      <c r="C480" t="inlineStr">
        <is>
          <t>NULL</t>
        </is>
      </c>
      <c r="D480" t="inlineStr">
        <is>
          <t>NULL</t>
        </is>
      </c>
      <c r="E480" t="inlineStr">
        <is>
          <t>NULL</t>
        </is>
      </c>
      <c r="F480" t="inlineStr">
        <is>
          <t>NULL</t>
        </is>
      </c>
      <c r="G480" t="inlineStr">
        <is>
          <t>NULL</t>
        </is>
      </c>
      <c r="H480" t="inlineStr">
        <is>
          <t>NULL</t>
        </is>
      </c>
      <c r="I480" t="inlineStr">
        <is>
          <t>NULL</t>
        </is>
      </c>
      <c r="J480" t="inlineStr">
        <is>
          <t>NULL</t>
        </is>
      </c>
      <c r="K480" t="inlineStr">
        <is>
          <t>[0;32m YES! [0m 	 c_int列源备映射正确，源端为sql_variant 0位	期望更改为VARCHAR(255)	实际备端为varchar 1020位	位数精度不存在，通过长度比较</t>
        </is>
      </c>
    </row>
    <row r="481">
      <c r="B481" t="inlineStr">
        <is>
          <t>NULL</t>
        </is>
      </c>
      <c r="C481" t="inlineStr">
        <is>
          <t>NULL</t>
        </is>
      </c>
      <c r="D481" t="inlineStr">
        <is>
          <t>NULL</t>
        </is>
      </c>
      <c r="E481" t="inlineStr">
        <is>
          <t>NULL</t>
        </is>
      </c>
      <c r="F481" t="inlineStr">
        <is>
          <t>NULL</t>
        </is>
      </c>
      <c r="G481" t="inlineStr">
        <is>
          <t>NULL</t>
        </is>
      </c>
      <c r="H481" t="inlineStr">
        <is>
          <t>NULL</t>
        </is>
      </c>
      <c r="I481" t="inlineStr">
        <is>
          <t>NULL</t>
        </is>
      </c>
      <c r="J481" t="inlineStr">
        <is>
          <t>NULL</t>
        </is>
      </c>
      <c r="K481" t="inlineStr">
        <is>
          <t>[0;32m YES! [0m 	 c_sdt列源备映射正确，源端为sql_variant 0位	期望更改为VARCHAR(255)	实际备端为varchar 1020位	位数精度不存在，通过长度比较</t>
        </is>
      </c>
    </row>
    <row r="482">
      <c r="B482" t="inlineStr">
        <is>
          <t>NULL</t>
        </is>
      </c>
      <c r="C482" t="inlineStr">
        <is>
          <t>NULL</t>
        </is>
      </c>
      <c r="D482" t="inlineStr">
        <is>
          <t>NULL</t>
        </is>
      </c>
      <c r="E482" t="inlineStr">
        <is>
          <t>NULL</t>
        </is>
      </c>
      <c r="F482" t="inlineStr">
        <is>
          <t>NULL</t>
        </is>
      </c>
      <c r="G482" t="inlineStr">
        <is>
          <t>NULL</t>
        </is>
      </c>
      <c r="H482" t="inlineStr">
        <is>
          <t>NULL</t>
        </is>
      </c>
      <c r="I482" t="inlineStr">
        <is>
          <t>NULL</t>
        </is>
      </c>
      <c r="J482" t="inlineStr">
        <is>
          <t>NULL</t>
        </is>
      </c>
      <c r="K482" t="inlineStr">
        <is>
          <t>[0;32m YES! [0m 	 c_real列源备映射正确，源端为sql_variant 0位	期望更改为VARCHAR(255)	实际备端为varchar 1020位	位数精度不存在，通过长度比较</t>
        </is>
      </c>
    </row>
    <row r="483">
      <c r="B483" t="inlineStr">
        <is>
          <t>NULL</t>
        </is>
      </c>
      <c r="C483" t="inlineStr">
        <is>
          <t>NULL</t>
        </is>
      </c>
      <c r="D483" t="inlineStr">
        <is>
          <t>NULL</t>
        </is>
      </c>
      <c r="E483" t="inlineStr">
        <is>
          <t>NULL</t>
        </is>
      </c>
      <c r="F483" t="inlineStr">
        <is>
          <t>NULL</t>
        </is>
      </c>
      <c r="G483" t="inlineStr">
        <is>
          <t>NULL</t>
        </is>
      </c>
      <c r="H483" t="inlineStr">
        <is>
          <t>NULL</t>
        </is>
      </c>
      <c r="I483" t="inlineStr">
        <is>
          <t>NULL</t>
        </is>
      </c>
      <c r="J483" t="inlineStr">
        <is>
          <t>NULL</t>
        </is>
      </c>
      <c r="K483" t="inlineStr">
        <is>
          <t>[0;32m YES! [0m 	 c_money列源备映射正确，源端为sql_variant 0位	期望更改为VARCHAR(255)	实际备端为varchar 1020位	位数精度不存在，通过长度比较</t>
        </is>
      </c>
    </row>
    <row r="484">
      <c r="B484" t="inlineStr">
        <is>
          <t>NULL</t>
        </is>
      </c>
      <c r="C484" t="inlineStr">
        <is>
          <t>NULL</t>
        </is>
      </c>
      <c r="D484" t="inlineStr">
        <is>
          <t>NULL</t>
        </is>
      </c>
      <c r="E484" t="inlineStr">
        <is>
          <t>NULL</t>
        </is>
      </c>
      <c r="F484" t="inlineStr">
        <is>
          <t>NULL</t>
        </is>
      </c>
      <c r="G484" t="inlineStr">
        <is>
          <t>NULL</t>
        </is>
      </c>
      <c r="H484" t="inlineStr">
        <is>
          <t>NULL</t>
        </is>
      </c>
      <c r="I484" t="inlineStr">
        <is>
          <t>NULL</t>
        </is>
      </c>
      <c r="J484" t="inlineStr">
        <is>
          <t>NULL</t>
        </is>
      </c>
      <c r="K484" t="inlineStr">
        <is>
          <t>[0;32m YES! [0m 	 c_datetime列源备映射正确，源端为sql_variant 0位	期望更改为VARCHAR(255)	实际备端为varchar 1020位	位数精度不存在，通过长度比较</t>
        </is>
      </c>
    </row>
    <row r="485">
      <c r="B485" t="inlineStr">
        <is>
          <t>NULL</t>
        </is>
      </c>
      <c r="C485" t="inlineStr">
        <is>
          <t>NULL</t>
        </is>
      </c>
      <c r="D485" t="inlineStr">
        <is>
          <t>NULL</t>
        </is>
      </c>
      <c r="E485" t="inlineStr">
        <is>
          <t>NULL</t>
        </is>
      </c>
      <c r="F485" t="inlineStr">
        <is>
          <t>NULL</t>
        </is>
      </c>
      <c r="G485" t="inlineStr">
        <is>
          <t>NULL</t>
        </is>
      </c>
      <c r="H485" t="inlineStr">
        <is>
          <t>NULL</t>
        </is>
      </c>
      <c r="I485" t="inlineStr">
        <is>
          <t>NULL</t>
        </is>
      </c>
      <c r="J485" t="inlineStr">
        <is>
          <t>NULL</t>
        </is>
      </c>
      <c r="K485" t="inlineStr">
        <is>
          <t>[0;32m YES! [0m 	 c_float列源备映射正确，源端为sql_variant 0位	期望更改为VARCHAR(255)	实际备端为varchar 1020位	位数精度不存在，通过长度比较</t>
        </is>
      </c>
    </row>
    <row r="486">
      <c r="B486" t="inlineStr">
        <is>
          <t>NULL</t>
        </is>
      </c>
      <c r="C486" t="inlineStr">
        <is>
          <t>NULL</t>
        </is>
      </c>
      <c r="D486" t="inlineStr">
        <is>
          <t>NULL</t>
        </is>
      </c>
      <c r="E486" t="inlineStr">
        <is>
          <t>NULL</t>
        </is>
      </c>
      <c r="F486" t="inlineStr">
        <is>
          <t>NULL</t>
        </is>
      </c>
      <c r="G486" t="inlineStr">
        <is>
          <t>NULL</t>
        </is>
      </c>
      <c r="H486" t="inlineStr">
        <is>
          <t>NULL</t>
        </is>
      </c>
      <c r="I486" t="inlineStr">
        <is>
          <t>NULL</t>
        </is>
      </c>
      <c r="J486" t="inlineStr">
        <is>
          <t>NULL</t>
        </is>
      </c>
      <c r="K486" t="inlineStr">
        <is>
          <t>[0;32m YES! [0m 	 c_bit列源备映射正确，源端为sql_variant 0位	期望更改为VARCHAR(255)	实际备端为varchar 1020位	位数精度不存在，通过长度比较</t>
        </is>
      </c>
    </row>
    <row r="487">
      <c r="B487" t="inlineStr">
        <is>
          <t>NULL</t>
        </is>
      </c>
      <c r="C487" t="inlineStr">
        <is>
          <t>NULL</t>
        </is>
      </c>
      <c r="D487" t="inlineStr">
        <is>
          <t>NULL</t>
        </is>
      </c>
      <c r="E487" t="inlineStr">
        <is>
          <t>NULL</t>
        </is>
      </c>
      <c r="F487" t="inlineStr">
        <is>
          <t>NULL</t>
        </is>
      </c>
      <c r="G487" t="inlineStr">
        <is>
          <t>NULL</t>
        </is>
      </c>
      <c r="H487" t="inlineStr">
        <is>
          <t>NULL</t>
        </is>
      </c>
      <c r="I487" t="inlineStr">
        <is>
          <t>NULL</t>
        </is>
      </c>
      <c r="J487" t="inlineStr">
        <is>
          <t>NULL</t>
        </is>
      </c>
      <c r="K487" t="inlineStr">
        <is>
          <t>[0;32m YES! [0m 	 c_decimal列源备映射正确，源端为sql_variant 0位	期望更改为VARCHAR(255)	实际备端为varchar 1020位	位数精度不存在，通过长度比较</t>
        </is>
      </c>
    </row>
    <row r="488">
      <c r="B488" t="inlineStr">
        <is>
          <t>NULL</t>
        </is>
      </c>
      <c r="C488" t="inlineStr">
        <is>
          <t>NULL</t>
        </is>
      </c>
      <c r="D488" t="inlineStr">
        <is>
          <t>NULL</t>
        </is>
      </c>
      <c r="E488" t="inlineStr">
        <is>
          <t>NULL</t>
        </is>
      </c>
      <c r="F488" t="inlineStr">
        <is>
          <t>NULL</t>
        </is>
      </c>
      <c r="G488" t="inlineStr">
        <is>
          <t>NULL</t>
        </is>
      </c>
      <c r="H488" t="inlineStr">
        <is>
          <t>NULL</t>
        </is>
      </c>
      <c r="I488" t="inlineStr">
        <is>
          <t>NULL</t>
        </is>
      </c>
      <c r="J488" t="inlineStr">
        <is>
          <t>NULL</t>
        </is>
      </c>
      <c r="K488" t="inlineStr">
        <is>
          <t>[0;32m YES! [0m 	 c_uniqueidentifier列源备映射正确，源端为sql_variant 0位	期望更改为VARCHAR(255)	实际备端为varchar 1020位	位数精度不存在，通过长度比较</t>
        </is>
      </c>
    </row>
    <row r="489">
      <c r="B489" t="inlineStr">
        <is>
          <t>NULL</t>
        </is>
      </c>
      <c r="C489" t="inlineStr">
        <is>
          <t>NULL</t>
        </is>
      </c>
      <c r="D489" t="inlineStr">
        <is>
          <t>NULL</t>
        </is>
      </c>
      <c r="E489" t="inlineStr">
        <is>
          <t>NULL</t>
        </is>
      </c>
      <c r="F489" t="inlineStr">
        <is>
          <t>NULL</t>
        </is>
      </c>
      <c r="G489" t="inlineStr">
        <is>
          <t>NULL</t>
        </is>
      </c>
      <c r="H489" t="inlineStr">
        <is>
          <t>NULL</t>
        </is>
      </c>
      <c r="I489" t="inlineStr">
        <is>
          <t>NULL</t>
        </is>
      </c>
      <c r="J489" t="inlineStr">
        <is>
          <t>NULL</t>
        </is>
      </c>
      <c r="K489" t="inlineStr">
        <is>
          <t>[0;32m YES! [0m 	 c_smallmoney列源备映射正确，源端为sql_variant 0位	期望更改为VARCHAR(255)	实际备端为varchar 1020位	位数精度不存在，通过长度比较</t>
        </is>
      </c>
    </row>
    <row r="490">
      <c r="B490" t="inlineStr">
        <is>
          <t>NULL</t>
        </is>
      </c>
      <c r="C490" t="inlineStr">
        <is>
          <t>NULL</t>
        </is>
      </c>
      <c r="D490" t="inlineStr">
        <is>
          <t>NULL</t>
        </is>
      </c>
      <c r="E490" t="inlineStr">
        <is>
          <t>NULL</t>
        </is>
      </c>
      <c r="F490" t="inlineStr">
        <is>
          <t>NULL</t>
        </is>
      </c>
      <c r="G490" t="inlineStr">
        <is>
          <t>NULL</t>
        </is>
      </c>
      <c r="H490" t="inlineStr">
        <is>
          <t>NULL</t>
        </is>
      </c>
      <c r="I490" t="inlineStr">
        <is>
          <t>NULL</t>
        </is>
      </c>
      <c r="J490" t="inlineStr">
        <is>
          <t>NULL</t>
        </is>
      </c>
      <c r="K490" t="inlineStr">
        <is>
          <t>[0;32m YES! [0m 	 c_bigint列源备映射正确，源端为sql_variant 0位	期望更改为VARCHAR(255)	实际备端为varchar 1020位	位数精度不存在，通过长度比较</t>
        </is>
      </c>
    </row>
    <row r="491">
      <c r="B491" t="inlineStr">
        <is>
          <t>NULL</t>
        </is>
      </c>
      <c r="C491" t="inlineStr">
        <is>
          <t>NULL</t>
        </is>
      </c>
      <c r="D491" t="inlineStr">
        <is>
          <t>NULL</t>
        </is>
      </c>
      <c r="E491" t="inlineStr">
        <is>
          <t>NULL</t>
        </is>
      </c>
      <c r="F491" t="inlineStr">
        <is>
          <t>NULL</t>
        </is>
      </c>
      <c r="G491" t="inlineStr">
        <is>
          <t>NULL</t>
        </is>
      </c>
      <c r="H491" t="inlineStr">
        <is>
          <t>NULL</t>
        </is>
      </c>
      <c r="I491" t="inlineStr">
        <is>
          <t>NULL</t>
        </is>
      </c>
      <c r="J491" t="inlineStr">
        <is>
          <t>NULL</t>
        </is>
      </c>
      <c r="K491" t="inlineStr">
        <is>
          <t>[0;32m YES! [0m 	 c_varbinary_20列源备映射正确，源端为sql_variant 0位	期望更改为VARCHAR(255)	实际备端为varchar 1020位	位数精度不存在，通过长度比较</t>
        </is>
      </c>
    </row>
    <row r="492">
      <c r="B492" t="inlineStr">
        <is>
          <t>NULL</t>
        </is>
      </c>
      <c r="C492" t="inlineStr">
        <is>
          <t>NULL</t>
        </is>
      </c>
      <c r="D492" t="inlineStr">
        <is>
          <t>NULL</t>
        </is>
      </c>
      <c r="E492" t="inlineStr">
        <is>
          <t>NULL</t>
        </is>
      </c>
      <c r="F492" t="inlineStr">
        <is>
          <t>NULL</t>
        </is>
      </c>
      <c r="G492" t="inlineStr">
        <is>
          <t>NULL</t>
        </is>
      </c>
      <c r="H492" t="inlineStr">
        <is>
          <t>NULL</t>
        </is>
      </c>
      <c r="I492" t="inlineStr">
        <is>
          <t>NULL</t>
        </is>
      </c>
      <c r="J492" t="inlineStr">
        <is>
          <t>NULL</t>
        </is>
      </c>
      <c r="K492" t="inlineStr">
        <is>
          <t>[0;32m YES! [0m 	 c_varchar_20列源备映射正确，源端为sql_variant 0位	期望更改为VARCHAR(255)	实际备端为varchar 1020位	位数精度不存在，通过长度比较</t>
        </is>
      </c>
    </row>
    <row r="493">
      <c r="B493" t="inlineStr">
        <is>
          <t>NULL</t>
        </is>
      </c>
      <c r="C493" t="inlineStr">
        <is>
          <t>NULL</t>
        </is>
      </c>
      <c r="D493" t="inlineStr">
        <is>
          <t>NULL</t>
        </is>
      </c>
      <c r="E493" t="inlineStr">
        <is>
          <t>NULL</t>
        </is>
      </c>
      <c r="F493" t="inlineStr">
        <is>
          <t>NULL</t>
        </is>
      </c>
      <c r="G493" t="inlineStr">
        <is>
          <t>NULL</t>
        </is>
      </c>
      <c r="H493" t="inlineStr">
        <is>
          <t>NULL</t>
        </is>
      </c>
      <c r="I493" t="inlineStr">
        <is>
          <t>NULL</t>
        </is>
      </c>
      <c r="J493" t="inlineStr">
        <is>
          <t>NULL</t>
        </is>
      </c>
      <c r="K493" t="inlineStr">
        <is>
          <t>[0;32m YES! [0m 	 c_binary_20列源备映射正确，源端为sql_variant 0位	期望更改为VARCHAR(255)	实际备端为varchar 1020位	位数精度不存在，通过长度比较</t>
        </is>
      </c>
    </row>
    <row r="494">
      <c r="B494" t="inlineStr">
        <is>
          <t>NULL</t>
        </is>
      </c>
      <c r="C494" t="inlineStr">
        <is>
          <t>NULL</t>
        </is>
      </c>
      <c r="D494" t="inlineStr">
        <is>
          <t>NULL</t>
        </is>
      </c>
      <c r="E494" t="inlineStr">
        <is>
          <t>NULL</t>
        </is>
      </c>
      <c r="F494" t="inlineStr">
        <is>
          <t>NULL</t>
        </is>
      </c>
      <c r="G494" t="inlineStr">
        <is>
          <t>NULL</t>
        </is>
      </c>
      <c r="H494" t="inlineStr">
        <is>
          <t>NULL</t>
        </is>
      </c>
      <c r="I494" t="inlineStr">
        <is>
          <t>NULL</t>
        </is>
      </c>
      <c r="J494" t="inlineStr">
        <is>
          <t>NULL</t>
        </is>
      </c>
      <c r="K494" t="inlineStr">
        <is>
          <t>[0;32m YES! [0m 	 c_char_20列源备映射正确，源端为sql_variant 0位	期望更改为VARCHAR(255)	实际备端为varchar 1020位	位数精度不存在，通过长度比较</t>
        </is>
      </c>
    </row>
    <row r="495">
      <c r="B495" t="inlineStr">
        <is>
          <t>NULL</t>
        </is>
      </c>
      <c r="C495" t="inlineStr">
        <is>
          <t>NULL</t>
        </is>
      </c>
      <c r="D495" t="inlineStr">
        <is>
          <t>NULL</t>
        </is>
      </c>
      <c r="E495" t="inlineStr">
        <is>
          <t>NULL</t>
        </is>
      </c>
      <c r="F495" t="inlineStr">
        <is>
          <t>NULL</t>
        </is>
      </c>
      <c r="G495" t="inlineStr">
        <is>
          <t>NULL</t>
        </is>
      </c>
      <c r="H495" t="inlineStr">
        <is>
          <t>NULL</t>
        </is>
      </c>
      <c r="I495" t="inlineStr">
        <is>
          <t>NULL</t>
        </is>
      </c>
      <c r="J495" t="inlineStr">
        <is>
          <t>NULL</t>
        </is>
      </c>
      <c r="K495" t="inlineStr">
        <is>
          <t>[0;32m YES! [0m 	 c_nvarchar_20列源备映射正确，源端为sql_variant 0位	期望更改为VARCHAR(255)	实际备端为varchar 1020位	位数精度不存在，通过长度比较</t>
        </is>
      </c>
    </row>
    <row r="496">
      <c r="B496" t="inlineStr">
        <is>
          <t>NULL</t>
        </is>
      </c>
      <c r="C496" t="inlineStr">
        <is>
          <t>NULL</t>
        </is>
      </c>
      <c r="D496" t="inlineStr">
        <is>
          <t>NULL</t>
        </is>
      </c>
      <c r="E496" t="inlineStr">
        <is>
          <t>NULL</t>
        </is>
      </c>
      <c r="F496" t="inlineStr">
        <is>
          <t>NULL</t>
        </is>
      </c>
      <c r="G496" t="inlineStr">
        <is>
          <t>NULL</t>
        </is>
      </c>
      <c r="H496" t="inlineStr">
        <is>
          <t>NULL</t>
        </is>
      </c>
      <c r="I496" t="inlineStr">
        <is>
          <t>NULL</t>
        </is>
      </c>
      <c r="J496" t="inlineStr">
        <is>
          <t>NULL</t>
        </is>
      </c>
      <c r="K496" t="inlineStr">
        <is>
          <t>[0;32m YES! [0m 	 c_nchar_20列源备映射正确，源端为sql_variant 0位	期望更改为VARCHAR(255)	实际备端为varchar 1020位	位数精度不存在，通过长度比较</t>
        </is>
      </c>
    </row>
    <row r="497">
      <c r="B497" t="inlineStr">
        <is>
          <t>NULL</t>
        </is>
      </c>
      <c r="C497" t="inlineStr">
        <is>
          <t>NULL</t>
        </is>
      </c>
      <c r="D497" t="inlineStr">
        <is>
          <t>NULL</t>
        </is>
      </c>
      <c r="E497" t="inlineStr">
        <is>
          <t>NULL</t>
        </is>
      </c>
      <c r="F497" t="inlineStr">
        <is>
          <t>NULL</t>
        </is>
      </c>
      <c r="G497" t="inlineStr">
        <is>
          <t>NULL</t>
        </is>
      </c>
      <c r="H497" t="inlineStr">
        <is>
          <t>NULL</t>
        </is>
      </c>
      <c r="I497" t="inlineStr">
        <is>
          <t>NULL</t>
        </is>
      </c>
      <c r="J497" t="inlineStr">
        <is>
          <t>NULL</t>
        </is>
      </c>
      <c r="K497" t="inlineStr">
        <is>
          <t>[0;32m YES! [0m 	 c_timestamp列源备映射正确，源端为timestamp None位	期望更改为binary(8)	实际备端为binary 8位	位数精度不存在，通过长度比较</t>
        </is>
      </c>
    </row>
    <row r="498">
      <c r="A498" t="inlineStr">
        <is>
          <t>info_sdt_dml_batch1_pk_drp2</t>
        </is>
      </c>
      <c r="K498" t="inlineStr">
        <is>
          <t>[0;34m info_sdt_dml_batch1_pk_drp2 [0m源备字段数相同，源端字段：2 	备端字段2</t>
        </is>
      </c>
      <c r="W498" t="inlineStr">
        <is>
          <t>YES 源备无差异</t>
        </is>
      </c>
      <c r="X498">
        <f>A498</f>
        <v/>
      </c>
    </row>
    <row r="499">
      <c r="B499" t="inlineStr">
        <is>
          <t>YES</t>
        </is>
      </c>
      <c r="C499" t="inlineStr">
        <is>
          <t>NULL</t>
        </is>
      </c>
      <c r="D499" t="inlineStr">
        <is>
          <t>NULL</t>
        </is>
      </c>
      <c r="E499" t="inlineStr">
        <is>
          <t>NULL</t>
        </is>
      </c>
      <c r="F499" t="inlineStr">
        <is>
          <t>NULL</t>
        </is>
      </c>
      <c r="G499" t="inlineStr">
        <is>
          <t>NULL</t>
        </is>
      </c>
      <c r="H499" t="inlineStr">
        <is>
          <t>NULL</t>
        </is>
      </c>
      <c r="I499" t="inlineStr">
        <is>
          <t>YES!PK__info_sdt__3213E83FFF98C716</t>
        </is>
      </c>
      <c r="J499" t="inlineStr">
        <is>
          <t>YES! 主键相关索引</t>
        </is>
      </c>
      <c r="K499" t="inlineStr">
        <is>
          <t>YES! 	 id列源备映射正确，源端为int None位	期望更改为int	实际备端为int None位</t>
        </is>
      </c>
    </row>
    <row r="500">
      <c r="B500" t="inlineStr">
        <is>
          <t>NULL</t>
        </is>
      </c>
      <c r="C500" t="inlineStr">
        <is>
          <t>NULL</t>
        </is>
      </c>
      <c r="D500" t="inlineStr">
        <is>
          <t>NULL</t>
        </is>
      </c>
      <c r="E500" t="inlineStr">
        <is>
          <t>NULL</t>
        </is>
      </c>
      <c r="F500" t="inlineStr">
        <is>
          <t>NULL</t>
        </is>
      </c>
      <c r="G500" t="inlineStr">
        <is>
          <t>NULL</t>
        </is>
      </c>
      <c r="H500" t="inlineStr">
        <is>
          <t>NULL</t>
        </is>
      </c>
      <c r="I500" t="inlineStr">
        <is>
          <t>NULL</t>
        </is>
      </c>
      <c r="J500" t="inlineStr">
        <is>
          <t>NULL</t>
        </is>
      </c>
      <c r="K500" t="inlineStr">
        <is>
          <t>YES! 	 c_sdt列源备映射正确，源端为smalldatetime None位	期望更改为datetime	实际备端为datetime None位</t>
        </is>
      </c>
    </row>
    <row r="501">
      <c r="A501" t="inlineStr">
        <is>
          <t>info_int_dml_single_nopk_drp</t>
        </is>
      </c>
      <c r="K501" t="inlineStr">
        <is>
          <t>[0;34m info_int_dml_single_nopk_drp [0m源备字段数相同，源端字段：20 	备端字段20</t>
        </is>
      </c>
      <c r="W501" s="15">
        <f>HYPERLINK("#2026052610mysql0!BB2","NO 源备存在差异，共2个")</f>
        <v/>
      </c>
      <c r="X501">
        <f>A501</f>
        <v/>
      </c>
    </row>
    <row r="502">
      <c r="B502" t="inlineStr">
        <is>
          <t>NULL</t>
        </is>
      </c>
      <c r="C502" t="inlineStr">
        <is>
          <t>NULL</t>
        </is>
      </c>
      <c r="D502" t="inlineStr">
        <is>
          <t>NULL</t>
        </is>
      </c>
      <c r="E502" t="inlineStr">
        <is>
          <t>NULL</t>
        </is>
      </c>
      <c r="F502" t="inlineStr">
        <is>
          <t>NULL</t>
        </is>
      </c>
      <c r="G502" t="inlineStr">
        <is>
          <t>NULL</t>
        </is>
      </c>
      <c r="H502" t="inlineStr">
        <is>
          <t>NULL</t>
        </is>
      </c>
      <c r="I502" t="inlineStr">
        <is>
          <t>NULL</t>
        </is>
      </c>
      <c r="J502" t="inlineStr">
        <is>
          <t>NULL</t>
        </is>
      </c>
      <c r="K502" t="inlineStr">
        <is>
          <t>YES! 	 id列源备映射正确，源端为int None位	期望更改为int	实际备端为int None位</t>
        </is>
      </c>
    </row>
    <row r="503">
      <c r="B503" t="inlineStr">
        <is>
          <t>NULL</t>
        </is>
      </c>
      <c r="C503" t="inlineStr">
        <is>
          <t>NULL</t>
        </is>
      </c>
      <c r="D503" t="inlineStr">
        <is>
          <t>NULL</t>
        </is>
      </c>
      <c r="E503" t="inlineStr">
        <is>
          <t>NULL</t>
        </is>
      </c>
      <c r="F503" t="inlineStr">
        <is>
          <t>NULL</t>
        </is>
      </c>
      <c r="G503" t="inlineStr">
        <is>
          <t>NULL</t>
        </is>
      </c>
      <c r="H503" t="inlineStr">
        <is>
          <t>NULL</t>
        </is>
      </c>
      <c r="I503" t="inlineStr">
        <is>
          <t>NULL</t>
        </is>
      </c>
      <c r="J503" t="inlineStr">
        <is>
          <t>NULL</t>
        </is>
      </c>
      <c r="K503" t="inlineStr">
        <is>
          <t>YES! 	 c_tinyint列源备映射正确，源端为tinyint None位	期望更改为tinyint	实际备端为tinyint None位</t>
        </is>
      </c>
    </row>
    <row r="504">
      <c r="B504" t="inlineStr">
        <is>
          <t>NULL</t>
        </is>
      </c>
      <c r="C504" t="inlineStr">
        <is>
          <t>NULL</t>
        </is>
      </c>
      <c r="D504" t="inlineStr">
        <is>
          <t>NULL</t>
        </is>
      </c>
      <c r="E504" t="inlineStr">
        <is>
          <t>NULL</t>
        </is>
      </c>
      <c r="F504" t="inlineStr">
        <is>
          <t>NULL</t>
        </is>
      </c>
      <c r="G504" t="inlineStr">
        <is>
          <t>NULL</t>
        </is>
      </c>
      <c r="H504" t="inlineStr">
        <is>
          <t>NULL</t>
        </is>
      </c>
      <c r="I504" t="inlineStr">
        <is>
          <t>NULL</t>
        </is>
      </c>
      <c r="J504" t="inlineStr">
        <is>
          <t>NULL</t>
        </is>
      </c>
      <c r="K504" t="inlineStr">
        <is>
          <t>YES! 	 c_smallint列源备映射正确，源端为smallint None位	期望更改为smallint	实际备端为smallint None位</t>
        </is>
      </c>
    </row>
    <row r="505">
      <c r="B505" t="inlineStr">
        <is>
          <t>NULL</t>
        </is>
      </c>
      <c r="C505" t="inlineStr">
        <is>
          <t>NULL</t>
        </is>
      </c>
      <c r="D505" t="inlineStr">
        <is>
          <t>NULL</t>
        </is>
      </c>
      <c r="E505" t="inlineStr">
        <is>
          <t>NULL</t>
        </is>
      </c>
      <c r="F505" t="inlineStr">
        <is>
          <t>NULL</t>
        </is>
      </c>
      <c r="G505" t="inlineStr">
        <is>
          <t>NULL</t>
        </is>
      </c>
      <c r="H505" t="inlineStr">
        <is>
          <t>NULL</t>
        </is>
      </c>
      <c r="I505" t="inlineStr">
        <is>
          <t>NULL</t>
        </is>
      </c>
      <c r="J505" t="inlineStr">
        <is>
          <t>NULL</t>
        </is>
      </c>
      <c r="K505" t="inlineStr">
        <is>
          <t>YES! 	 c_int列源备映射正确，源端为int None位	期望更改为int	实际备端为int None位</t>
        </is>
      </c>
    </row>
    <row r="506">
      <c r="B506" t="inlineStr">
        <is>
          <t>NULL</t>
        </is>
      </c>
      <c r="C506" t="inlineStr">
        <is>
          <t>NULL</t>
        </is>
      </c>
      <c r="D506" t="inlineStr">
        <is>
          <t>NULL</t>
        </is>
      </c>
      <c r="E506" t="inlineStr">
        <is>
          <t>NULL</t>
        </is>
      </c>
      <c r="F506" t="inlineStr">
        <is>
          <t>NULL</t>
        </is>
      </c>
      <c r="G506" t="inlineStr">
        <is>
          <t>NULL</t>
        </is>
      </c>
      <c r="H506" t="inlineStr">
        <is>
          <t>NULL</t>
        </is>
      </c>
      <c r="I506" t="inlineStr">
        <is>
          <t>NULL</t>
        </is>
      </c>
      <c r="J506" t="inlineStr">
        <is>
          <t>NULL</t>
        </is>
      </c>
      <c r="K506" t="inlineStr">
        <is>
          <t>YES! 	 c_bigint列源备映射正确，源端为bigint None位	期望更改为bigint	实际备端为bigint None位</t>
        </is>
      </c>
    </row>
    <row r="507">
      <c r="B507" t="inlineStr">
        <is>
          <t>NULL</t>
        </is>
      </c>
      <c r="C507" t="inlineStr">
        <is>
          <t>NULL</t>
        </is>
      </c>
      <c r="D507" t="inlineStr">
        <is>
          <t>NULL</t>
        </is>
      </c>
      <c r="E507" t="inlineStr">
        <is>
          <t>NULL</t>
        </is>
      </c>
      <c r="F507" t="inlineStr">
        <is>
          <t>NULL</t>
        </is>
      </c>
      <c r="G507" t="inlineStr">
        <is>
          <t>NULL</t>
        </is>
      </c>
      <c r="H507" t="inlineStr">
        <is>
          <t>NULL</t>
        </is>
      </c>
      <c r="I507" t="inlineStr">
        <is>
          <t>NULL</t>
        </is>
      </c>
      <c r="J507" t="inlineStr">
        <is>
          <t>NULL</t>
        </is>
      </c>
      <c r="K507" t="inlineStr">
        <is>
          <t>YES! 	 c_decimal列源备映射正确，源端为decimal None位	期望更改为decimal(p,s)	实际备端为decimal None位</t>
        </is>
      </c>
    </row>
    <row r="508">
      <c r="B508" t="inlineStr">
        <is>
          <t>NULL</t>
        </is>
      </c>
      <c r="C508" t="inlineStr">
        <is>
          <t>NULL</t>
        </is>
      </c>
      <c r="D508" t="inlineStr">
        <is>
          <t>NULL</t>
        </is>
      </c>
      <c r="E508" t="inlineStr">
        <is>
          <t>NULL</t>
        </is>
      </c>
      <c r="F508" t="inlineStr">
        <is>
          <t>NULL</t>
        </is>
      </c>
      <c r="G508" t="inlineStr">
        <is>
          <t>NULL</t>
        </is>
      </c>
      <c r="H508" t="inlineStr">
        <is>
          <t>NULL</t>
        </is>
      </c>
      <c r="I508" t="inlineStr">
        <is>
          <t>NULL</t>
        </is>
      </c>
      <c r="J508" t="inlineStr">
        <is>
          <t>NULL</t>
        </is>
      </c>
      <c r="K508" t="inlineStr">
        <is>
          <t>YES! 	 c_decimal38列源备映射正确，源端为decimal None位	期望更改为decimal(p,s)	实际备端为decimal None位</t>
        </is>
      </c>
    </row>
    <row r="509">
      <c r="B509" t="inlineStr">
        <is>
          <t>NULL</t>
        </is>
      </c>
      <c r="C509" t="inlineStr">
        <is>
          <t>NULL</t>
        </is>
      </c>
      <c r="D509" t="inlineStr">
        <is>
          <t>NULL</t>
        </is>
      </c>
      <c r="E509" t="inlineStr">
        <is>
          <t>NULL</t>
        </is>
      </c>
      <c r="F509" t="inlineStr">
        <is>
          <t>NULL</t>
        </is>
      </c>
      <c r="G509" t="inlineStr">
        <is>
          <t>NULL</t>
        </is>
      </c>
      <c r="H509" t="inlineStr">
        <is>
          <t>NULL</t>
        </is>
      </c>
      <c r="I509" t="inlineStr">
        <is>
          <t>NULL</t>
        </is>
      </c>
      <c r="J509" t="inlineStr">
        <is>
          <t>NULL</t>
        </is>
      </c>
      <c r="K509" t="inlineStr">
        <is>
          <t xml:space="preserve"> NO!  	 c_decimal38_38列源备映射错误，源端为decimal None位	期望更改为decimal(p,s)	实际备端为varchar 168位</t>
        </is>
      </c>
    </row>
    <row r="510">
      <c r="B510" t="inlineStr">
        <is>
          <t>NULL</t>
        </is>
      </c>
      <c r="C510" t="inlineStr">
        <is>
          <t>NULL</t>
        </is>
      </c>
      <c r="D510" t="inlineStr">
        <is>
          <t>NULL</t>
        </is>
      </c>
      <c r="E510" t="inlineStr">
        <is>
          <t>NULL</t>
        </is>
      </c>
      <c r="F510" t="inlineStr">
        <is>
          <t>NULL</t>
        </is>
      </c>
      <c r="G510" t="inlineStr">
        <is>
          <t>NULL</t>
        </is>
      </c>
      <c r="H510" t="inlineStr">
        <is>
          <t>NULL</t>
        </is>
      </c>
      <c r="I510" t="inlineStr">
        <is>
          <t>NULL</t>
        </is>
      </c>
      <c r="J510" t="inlineStr">
        <is>
          <t>NULL</t>
        </is>
      </c>
      <c r="K510" t="inlineStr">
        <is>
          <t>YES! 	 c_decimal38_10列源备映射正确，源端为decimal None位	期望更改为decimal(p,s)	实际备端为decimal None位</t>
        </is>
      </c>
    </row>
    <row r="511">
      <c r="B511" t="inlineStr">
        <is>
          <t>NULL</t>
        </is>
      </c>
      <c r="C511" t="inlineStr">
        <is>
          <t>NULL</t>
        </is>
      </c>
      <c r="D511" t="inlineStr">
        <is>
          <t>NULL</t>
        </is>
      </c>
      <c r="E511" t="inlineStr">
        <is>
          <t>NULL</t>
        </is>
      </c>
      <c r="F511" t="inlineStr">
        <is>
          <t>NULL</t>
        </is>
      </c>
      <c r="G511" t="inlineStr">
        <is>
          <t>NULL</t>
        </is>
      </c>
      <c r="H511" t="inlineStr">
        <is>
          <t>NULL</t>
        </is>
      </c>
      <c r="I511" t="inlineStr">
        <is>
          <t>NULL</t>
        </is>
      </c>
      <c r="J511" t="inlineStr">
        <is>
          <t>NULL</t>
        </is>
      </c>
      <c r="K511" t="inlineStr">
        <is>
          <t>YES! 	 c_decimal19_4列源备映射正确，源端为decimal None位	期望更改为decimal(p,s)	实际备端为decimal None位</t>
        </is>
      </c>
    </row>
    <row r="512">
      <c r="B512" t="inlineStr">
        <is>
          <t>NULL</t>
        </is>
      </c>
      <c r="C512" t="inlineStr">
        <is>
          <t>NULL</t>
        </is>
      </c>
      <c r="D512" t="inlineStr">
        <is>
          <t>NULL</t>
        </is>
      </c>
      <c r="E512" t="inlineStr">
        <is>
          <t>NULL</t>
        </is>
      </c>
      <c r="F512" t="inlineStr">
        <is>
          <t>NULL</t>
        </is>
      </c>
      <c r="G512" t="inlineStr">
        <is>
          <t>NULL</t>
        </is>
      </c>
      <c r="H512" t="inlineStr">
        <is>
          <t>NULL</t>
        </is>
      </c>
      <c r="I512" t="inlineStr">
        <is>
          <t>NULL</t>
        </is>
      </c>
      <c r="J512" t="inlineStr">
        <is>
          <t>NULL</t>
        </is>
      </c>
      <c r="K512" t="inlineStr">
        <is>
          <t>YES! 	 c_numeric列源备映射正确，源端为numeric None位	期望更改为decimal(p,s)	实际备端为decimal None位</t>
        </is>
      </c>
    </row>
    <row r="513">
      <c r="B513" t="inlineStr">
        <is>
          <t>NULL</t>
        </is>
      </c>
      <c r="C513" t="inlineStr">
        <is>
          <t>NULL</t>
        </is>
      </c>
      <c r="D513" t="inlineStr">
        <is>
          <t>NULL</t>
        </is>
      </c>
      <c r="E513" t="inlineStr">
        <is>
          <t>NULL</t>
        </is>
      </c>
      <c r="F513" t="inlineStr">
        <is>
          <t>NULL</t>
        </is>
      </c>
      <c r="G513" t="inlineStr">
        <is>
          <t>NULL</t>
        </is>
      </c>
      <c r="H513" t="inlineStr">
        <is>
          <t>NULL</t>
        </is>
      </c>
      <c r="I513" t="inlineStr">
        <is>
          <t>NULL</t>
        </is>
      </c>
      <c r="J513" t="inlineStr">
        <is>
          <t>NULL</t>
        </is>
      </c>
      <c r="K513" t="inlineStr">
        <is>
          <t>YES! 	 c_numeric38列源备映射正确，源端为numeric None位	期望更改为decimal(p,s)	实际备端为decimal None位</t>
        </is>
      </c>
    </row>
    <row r="514">
      <c r="B514" t="inlineStr">
        <is>
          <t>NULL</t>
        </is>
      </c>
      <c r="C514" t="inlineStr">
        <is>
          <t>NULL</t>
        </is>
      </c>
      <c r="D514" t="inlineStr">
        <is>
          <t>NULL</t>
        </is>
      </c>
      <c r="E514" t="inlineStr">
        <is>
          <t>NULL</t>
        </is>
      </c>
      <c r="F514" t="inlineStr">
        <is>
          <t>NULL</t>
        </is>
      </c>
      <c r="G514" t="inlineStr">
        <is>
          <t>NULL</t>
        </is>
      </c>
      <c r="H514" t="inlineStr">
        <is>
          <t>NULL</t>
        </is>
      </c>
      <c r="I514" t="inlineStr">
        <is>
          <t>NULL</t>
        </is>
      </c>
      <c r="J514" t="inlineStr">
        <is>
          <t>NULL</t>
        </is>
      </c>
      <c r="K514" t="inlineStr">
        <is>
          <t xml:space="preserve"> NO!  	 c_numeric38_38列源备映射错误，源端为numeric None位	期望更改为decimal(p,s)	实际备端为varchar 168位</t>
        </is>
      </c>
    </row>
    <row r="515">
      <c r="B515" t="inlineStr">
        <is>
          <t>NULL</t>
        </is>
      </c>
      <c r="C515" t="inlineStr">
        <is>
          <t>NULL</t>
        </is>
      </c>
      <c r="D515" t="inlineStr">
        <is>
          <t>NULL</t>
        </is>
      </c>
      <c r="E515" t="inlineStr">
        <is>
          <t>NULL</t>
        </is>
      </c>
      <c r="F515" t="inlineStr">
        <is>
          <t>NULL</t>
        </is>
      </c>
      <c r="G515" t="inlineStr">
        <is>
          <t>NULL</t>
        </is>
      </c>
      <c r="H515" t="inlineStr">
        <is>
          <t>NULL</t>
        </is>
      </c>
      <c r="I515" t="inlineStr">
        <is>
          <t>NULL</t>
        </is>
      </c>
      <c r="J515" t="inlineStr">
        <is>
          <t>NULL</t>
        </is>
      </c>
      <c r="K515" t="inlineStr">
        <is>
          <t>YES! 	 c_numeric38_10列源备映射正确，源端为numeric None位	期望更改为decimal(p,s)	实际备端为decimal None位</t>
        </is>
      </c>
    </row>
    <row r="516">
      <c r="B516" t="inlineStr">
        <is>
          <t>NULL</t>
        </is>
      </c>
      <c r="C516" t="inlineStr">
        <is>
          <t>NULL</t>
        </is>
      </c>
      <c r="D516" t="inlineStr">
        <is>
          <t>NULL</t>
        </is>
      </c>
      <c r="E516" t="inlineStr">
        <is>
          <t>NULL</t>
        </is>
      </c>
      <c r="F516" t="inlineStr">
        <is>
          <t>NULL</t>
        </is>
      </c>
      <c r="G516" t="inlineStr">
        <is>
          <t>NULL</t>
        </is>
      </c>
      <c r="H516" t="inlineStr">
        <is>
          <t>NULL</t>
        </is>
      </c>
      <c r="I516" t="inlineStr">
        <is>
          <t>NULL</t>
        </is>
      </c>
      <c r="J516" t="inlineStr">
        <is>
          <t>NULL</t>
        </is>
      </c>
      <c r="K516" t="inlineStr">
        <is>
          <t>YES! 	 c_numeric18_2列源备映射正确，源端为numeric None位	期望更改为decimal(p,s)	实际备端为decimal None位</t>
        </is>
      </c>
    </row>
    <row r="517">
      <c r="B517" t="inlineStr">
        <is>
          <t>NULL</t>
        </is>
      </c>
      <c r="C517" t="inlineStr">
        <is>
          <t>NULL</t>
        </is>
      </c>
      <c r="D517" t="inlineStr">
        <is>
          <t>NULL</t>
        </is>
      </c>
      <c r="E517" t="inlineStr">
        <is>
          <t>NULL</t>
        </is>
      </c>
      <c r="F517" t="inlineStr">
        <is>
          <t>NULL</t>
        </is>
      </c>
      <c r="G517" t="inlineStr">
        <is>
          <t>NULL</t>
        </is>
      </c>
      <c r="H517" t="inlineStr">
        <is>
          <t>NULL</t>
        </is>
      </c>
      <c r="I517" t="inlineStr">
        <is>
          <t>NULL</t>
        </is>
      </c>
      <c r="J517" t="inlineStr">
        <is>
          <t>NULL</t>
        </is>
      </c>
      <c r="K517" t="inlineStr">
        <is>
          <t>YES! 	 c_float列源备映射正确，源端为float None位	期望更改为double	实际备端为double None位</t>
        </is>
      </c>
    </row>
    <row r="518">
      <c r="B518" t="inlineStr">
        <is>
          <t>NULL</t>
        </is>
      </c>
      <c r="C518" t="inlineStr">
        <is>
          <t>NULL</t>
        </is>
      </c>
      <c r="D518" t="inlineStr">
        <is>
          <t>NULL</t>
        </is>
      </c>
      <c r="E518" t="inlineStr">
        <is>
          <t>NULL</t>
        </is>
      </c>
      <c r="F518" t="inlineStr">
        <is>
          <t>NULL</t>
        </is>
      </c>
      <c r="G518" t="inlineStr">
        <is>
          <t>NULL</t>
        </is>
      </c>
      <c r="H518" t="inlineStr">
        <is>
          <t>NULL</t>
        </is>
      </c>
      <c r="I518" t="inlineStr">
        <is>
          <t>NULL</t>
        </is>
      </c>
      <c r="J518" t="inlineStr">
        <is>
          <t>NULL</t>
        </is>
      </c>
      <c r="K518" t="inlineStr">
        <is>
          <t>YES! 	 c_real列源备映射正确，源端为real None位	期望更改为double	实际备端为double None位</t>
        </is>
      </c>
    </row>
    <row r="519">
      <c r="B519" t="inlineStr">
        <is>
          <t>NULL</t>
        </is>
      </c>
      <c r="C519" t="inlineStr">
        <is>
          <t>NULL</t>
        </is>
      </c>
      <c r="D519" t="inlineStr">
        <is>
          <t>NULL</t>
        </is>
      </c>
      <c r="E519" t="inlineStr">
        <is>
          <t>NULL</t>
        </is>
      </c>
      <c r="F519" t="inlineStr">
        <is>
          <t>NULL</t>
        </is>
      </c>
      <c r="G519" t="inlineStr">
        <is>
          <t>NULL</t>
        </is>
      </c>
      <c r="H519" t="inlineStr">
        <is>
          <t>NULL</t>
        </is>
      </c>
      <c r="I519" t="inlineStr">
        <is>
          <t>NULL</t>
        </is>
      </c>
      <c r="J519" t="inlineStr">
        <is>
          <t>NULL</t>
        </is>
      </c>
      <c r="K519" t="inlineStr">
        <is>
          <t>YES! 	 c_money列源备映射正确，源端为money None位	期望更改为decimal(19,4)	实际备端为decimal None位</t>
        </is>
      </c>
    </row>
    <row r="520">
      <c r="B520" t="inlineStr">
        <is>
          <t>NULL</t>
        </is>
      </c>
      <c r="C520" t="inlineStr">
        <is>
          <t>NULL</t>
        </is>
      </c>
      <c r="D520" t="inlineStr">
        <is>
          <t>NULL</t>
        </is>
      </c>
      <c r="E520" t="inlineStr">
        <is>
          <t>NULL</t>
        </is>
      </c>
      <c r="F520" t="inlineStr">
        <is>
          <t>NULL</t>
        </is>
      </c>
      <c r="G520" t="inlineStr">
        <is>
          <t>NULL</t>
        </is>
      </c>
      <c r="H520" t="inlineStr">
        <is>
          <t>NULL</t>
        </is>
      </c>
      <c r="I520" t="inlineStr">
        <is>
          <t>NULL</t>
        </is>
      </c>
      <c r="J520" t="inlineStr">
        <is>
          <t>NULL</t>
        </is>
      </c>
      <c r="K520" t="inlineStr">
        <is>
          <t>YES! 	 c_smallmoney列源备映射正确，源端为smallmoney None位	期望更改为decimal(10,4)	实际备端为decimal None位</t>
        </is>
      </c>
    </row>
    <row r="521">
      <c r="B521" t="inlineStr">
        <is>
          <t>NULL</t>
        </is>
      </c>
      <c r="C521" t="inlineStr">
        <is>
          <t>NO!源None备NUL</t>
        </is>
      </c>
      <c r="D521" t="inlineStr">
        <is>
          <t>NULL</t>
        </is>
      </c>
      <c r="E521" t="inlineStr">
        <is>
          <t>NULL</t>
        </is>
      </c>
      <c r="F521" t="inlineStr">
        <is>
          <t>NULL</t>
        </is>
      </c>
      <c r="G521" t="inlineStr">
        <is>
          <t>NULL</t>
        </is>
      </c>
      <c r="H521" t="inlineStr">
        <is>
          <t>NULL</t>
        </is>
      </c>
      <c r="I521" t="inlineStr">
        <is>
          <t>NULL</t>
        </is>
      </c>
      <c r="J521" t="inlineStr">
        <is>
          <t>NULL</t>
        </is>
      </c>
      <c r="K521" t="inlineStr">
        <is>
          <t>YES! 	 c_bit列源备映射正确，源端为bit None位	期望更改为tinyint(1) 	实际备端为tinyint None位</t>
        </is>
      </c>
    </row>
    <row r="522">
      <c r="A522" t="inlineStr">
        <is>
          <t>info_int_dml_single_nopk</t>
        </is>
      </c>
      <c r="K522" t="inlineStr">
        <is>
          <t>[0;34m info_int_dml_single_nopk [0m源备字段数相同，源端字段：20 	备端字段20</t>
        </is>
      </c>
      <c r="W522" t="inlineStr">
        <is>
          <t>YES 源备无差异</t>
        </is>
      </c>
      <c r="X522">
        <f>A522</f>
        <v/>
      </c>
    </row>
    <row r="523">
      <c r="B523" t="inlineStr">
        <is>
          <t>NULL</t>
        </is>
      </c>
      <c r="C523" t="inlineStr">
        <is>
          <t>NULL</t>
        </is>
      </c>
      <c r="D523" t="inlineStr">
        <is>
          <t>NULL</t>
        </is>
      </c>
      <c r="E523" t="inlineStr">
        <is>
          <t>NULL</t>
        </is>
      </c>
      <c r="F523" t="inlineStr">
        <is>
          <t>NULL</t>
        </is>
      </c>
      <c r="G523" t="inlineStr">
        <is>
          <t>NULL</t>
        </is>
      </c>
      <c r="H523" t="inlineStr">
        <is>
          <t>NULL</t>
        </is>
      </c>
      <c r="I523" t="inlineStr">
        <is>
          <t>NULL</t>
        </is>
      </c>
      <c r="J523" t="inlineStr">
        <is>
          <t>NULL</t>
        </is>
      </c>
      <c r="K523" t="inlineStr">
        <is>
          <t>YES! 	 id列源备映射正确，源端为int None位	期望更改为int	实际备端为int None位</t>
        </is>
      </c>
    </row>
    <row r="524">
      <c r="B524" t="inlineStr">
        <is>
          <t>NULL</t>
        </is>
      </c>
      <c r="C524" t="inlineStr">
        <is>
          <t>NULL</t>
        </is>
      </c>
      <c r="D524" t="inlineStr">
        <is>
          <t>NULL</t>
        </is>
      </c>
      <c r="E524" t="inlineStr">
        <is>
          <t>NULL</t>
        </is>
      </c>
      <c r="F524" t="inlineStr">
        <is>
          <t>NULL</t>
        </is>
      </c>
      <c r="G524" t="inlineStr">
        <is>
          <t>NULL</t>
        </is>
      </c>
      <c r="H524" t="inlineStr">
        <is>
          <t>NULL</t>
        </is>
      </c>
      <c r="I524" t="inlineStr">
        <is>
          <t>NULL</t>
        </is>
      </c>
      <c r="J524" t="inlineStr">
        <is>
          <t>NULL</t>
        </is>
      </c>
      <c r="K524" t="inlineStr">
        <is>
          <t>YES! 	 c_tinyint列源备映射正确，源端为tinyint None位	期望更改为tinyint	实际备端为tinyint None位</t>
        </is>
      </c>
    </row>
    <row r="525">
      <c r="B525" t="inlineStr">
        <is>
          <t>NULL</t>
        </is>
      </c>
      <c r="C525" t="inlineStr">
        <is>
          <t>NULL</t>
        </is>
      </c>
      <c r="D525" t="inlineStr">
        <is>
          <t>NULL</t>
        </is>
      </c>
      <c r="E525" t="inlineStr">
        <is>
          <t>NULL</t>
        </is>
      </c>
      <c r="F525" t="inlineStr">
        <is>
          <t>NULL</t>
        </is>
      </c>
      <c r="G525" t="inlineStr">
        <is>
          <t>NULL</t>
        </is>
      </c>
      <c r="H525" t="inlineStr">
        <is>
          <t>NULL</t>
        </is>
      </c>
      <c r="I525" t="inlineStr">
        <is>
          <t>NULL</t>
        </is>
      </c>
      <c r="J525" t="inlineStr">
        <is>
          <t>NULL</t>
        </is>
      </c>
      <c r="K525" t="inlineStr">
        <is>
          <t>YES! 	 c_smallint列源备映射正确，源端为smallint None位	期望更改为smallint	实际备端为smallint None位</t>
        </is>
      </c>
    </row>
    <row r="526">
      <c r="B526" t="inlineStr">
        <is>
          <t>NULL</t>
        </is>
      </c>
      <c r="C526" t="inlineStr">
        <is>
          <t>NULL</t>
        </is>
      </c>
      <c r="D526" t="inlineStr">
        <is>
          <t>NULL</t>
        </is>
      </c>
      <c r="E526" t="inlineStr">
        <is>
          <t>NULL</t>
        </is>
      </c>
      <c r="F526" t="inlineStr">
        <is>
          <t>NULL</t>
        </is>
      </c>
      <c r="G526" t="inlineStr">
        <is>
          <t>NULL</t>
        </is>
      </c>
      <c r="H526" t="inlineStr">
        <is>
          <t>NULL</t>
        </is>
      </c>
      <c r="I526" t="inlineStr">
        <is>
          <t>NULL</t>
        </is>
      </c>
      <c r="J526" t="inlineStr">
        <is>
          <t>NULL</t>
        </is>
      </c>
      <c r="K526" t="inlineStr">
        <is>
          <t>YES! 	 c_int列源备映射正确，源端为int None位	期望更改为int	实际备端为int None位</t>
        </is>
      </c>
    </row>
    <row r="527">
      <c r="B527" t="inlineStr">
        <is>
          <t>NULL</t>
        </is>
      </c>
      <c r="C527" t="inlineStr">
        <is>
          <t>NULL</t>
        </is>
      </c>
      <c r="D527" t="inlineStr">
        <is>
          <t>NULL</t>
        </is>
      </c>
      <c r="E527" t="inlineStr">
        <is>
          <t>NULL</t>
        </is>
      </c>
      <c r="F527" t="inlineStr">
        <is>
          <t>NULL</t>
        </is>
      </c>
      <c r="G527" t="inlineStr">
        <is>
          <t>NULL</t>
        </is>
      </c>
      <c r="H527" t="inlineStr">
        <is>
          <t>NULL</t>
        </is>
      </c>
      <c r="I527" t="inlineStr">
        <is>
          <t>NULL</t>
        </is>
      </c>
      <c r="J527" t="inlineStr">
        <is>
          <t>NULL</t>
        </is>
      </c>
      <c r="K527" t="inlineStr">
        <is>
          <t>YES! 	 c_bigint列源备映射正确，源端为bigint None位	期望更改为bigint	实际备端为bigint None位</t>
        </is>
      </c>
    </row>
    <row r="528">
      <c r="B528" t="inlineStr">
        <is>
          <t>NULL</t>
        </is>
      </c>
      <c r="C528" t="inlineStr">
        <is>
          <t>NULL</t>
        </is>
      </c>
      <c r="D528" t="inlineStr">
        <is>
          <t>NULL</t>
        </is>
      </c>
      <c r="E528" t="inlineStr">
        <is>
          <t>NULL</t>
        </is>
      </c>
      <c r="F528" t="inlineStr">
        <is>
          <t>NULL</t>
        </is>
      </c>
      <c r="G528" t="inlineStr">
        <is>
          <t>NULL</t>
        </is>
      </c>
      <c r="H528" t="inlineStr">
        <is>
          <t>NULL</t>
        </is>
      </c>
      <c r="I528" t="inlineStr">
        <is>
          <t>NULL</t>
        </is>
      </c>
      <c r="J528" t="inlineStr">
        <is>
          <t>NULL</t>
        </is>
      </c>
      <c r="K528" t="inlineStr">
        <is>
          <t>YES! 	 c_decimal列源备映射正确，源端为decimal None位	期望更改为decimal(p,s)	实际备端为decimal None位</t>
        </is>
      </c>
    </row>
    <row r="529">
      <c r="B529" t="inlineStr">
        <is>
          <t>NULL</t>
        </is>
      </c>
      <c r="C529" t="inlineStr">
        <is>
          <t>NULL</t>
        </is>
      </c>
      <c r="D529" t="inlineStr">
        <is>
          <t>NULL</t>
        </is>
      </c>
      <c r="E529" t="inlineStr">
        <is>
          <t>NULL</t>
        </is>
      </c>
      <c r="F529" t="inlineStr">
        <is>
          <t>NULL</t>
        </is>
      </c>
      <c r="G529" t="inlineStr">
        <is>
          <t>NULL</t>
        </is>
      </c>
      <c r="H529" t="inlineStr">
        <is>
          <t>NULL</t>
        </is>
      </c>
      <c r="I529" t="inlineStr">
        <is>
          <t>NULL</t>
        </is>
      </c>
      <c r="J529" t="inlineStr">
        <is>
          <t>NULL</t>
        </is>
      </c>
      <c r="K529" t="inlineStr">
        <is>
          <t>YES! 	 c_decimal38列源备映射正确，源端为decimal None位	期望更改为decimal(p,s)	实际备端为decimal None位</t>
        </is>
      </c>
    </row>
    <row r="530">
      <c r="B530" t="inlineStr">
        <is>
          <t>NULL</t>
        </is>
      </c>
      <c r="C530" t="inlineStr">
        <is>
          <t>NULL</t>
        </is>
      </c>
      <c r="D530" t="inlineStr">
        <is>
          <t>NULL</t>
        </is>
      </c>
      <c r="E530" t="inlineStr">
        <is>
          <t>NULL</t>
        </is>
      </c>
      <c r="F530" t="inlineStr">
        <is>
          <t>NULL</t>
        </is>
      </c>
      <c r="G530" t="inlineStr">
        <is>
          <t>NULL</t>
        </is>
      </c>
      <c r="H530" t="inlineStr">
        <is>
          <t>NULL</t>
        </is>
      </c>
      <c r="I530" t="inlineStr">
        <is>
          <t>NULL</t>
        </is>
      </c>
      <c r="J530" t="inlineStr">
        <is>
          <t>NULL</t>
        </is>
      </c>
      <c r="K530" t="inlineStr">
        <is>
          <t xml:space="preserve"> NO!  	 c_decimal38_38列源备映射错误，源端为decimal None位	期望更改为decimal(p,s)	实际备端为varchar 168位</t>
        </is>
      </c>
    </row>
    <row r="531">
      <c r="B531" t="inlineStr">
        <is>
          <t>NULL</t>
        </is>
      </c>
      <c r="C531" t="inlineStr">
        <is>
          <t>NULL</t>
        </is>
      </c>
      <c r="D531" t="inlineStr">
        <is>
          <t>NULL</t>
        </is>
      </c>
      <c r="E531" t="inlineStr">
        <is>
          <t>NULL</t>
        </is>
      </c>
      <c r="F531" t="inlineStr">
        <is>
          <t>NULL</t>
        </is>
      </c>
      <c r="G531" t="inlineStr">
        <is>
          <t>NULL</t>
        </is>
      </c>
      <c r="H531" t="inlineStr">
        <is>
          <t>NULL</t>
        </is>
      </c>
      <c r="I531" t="inlineStr">
        <is>
          <t>NULL</t>
        </is>
      </c>
      <c r="J531" t="inlineStr">
        <is>
          <t>NULL</t>
        </is>
      </c>
      <c r="K531" t="inlineStr">
        <is>
          <t>YES! 	 c_decimal38_10列源备映射正确，源端为decimal None位	期望更改为decimal(p,s)	实际备端为decimal None位</t>
        </is>
      </c>
    </row>
    <row r="532">
      <c r="B532" t="inlineStr">
        <is>
          <t>NULL</t>
        </is>
      </c>
      <c r="C532" t="inlineStr">
        <is>
          <t>NULL</t>
        </is>
      </c>
      <c r="D532" t="inlineStr">
        <is>
          <t>NULL</t>
        </is>
      </c>
      <c r="E532" t="inlineStr">
        <is>
          <t>NULL</t>
        </is>
      </c>
      <c r="F532" t="inlineStr">
        <is>
          <t>NULL</t>
        </is>
      </c>
      <c r="G532" t="inlineStr">
        <is>
          <t>NULL</t>
        </is>
      </c>
      <c r="H532" t="inlineStr">
        <is>
          <t>NULL</t>
        </is>
      </c>
      <c r="I532" t="inlineStr">
        <is>
          <t>NULL</t>
        </is>
      </c>
      <c r="J532" t="inlineStr">
        <is>
          <t>NULL</t>
        </is>
      </c>
      <c r="K532" t="inlineStr">
        <is>
          <t>YES! 	 c_decimal19_4列源备映射正确，源端为decimal None位	期望更改为decimal(p,s)	实际备端为decimal None位</t>
        </is>
      </c>
    </row>
    <row r="533">
      <c r="B533" t="inlineStr">
        <is>
          <t>NULL</t>
        </is>
      </c>
      <c r="C533" t="inlineStr">
        <is>
          <t>NULL</t>
        </is>
      </c>
      <c r="D533" t="inlineStr">
        <is>
          <t>NULL</t>
        </is>
      </c>
      <c r="E533" t="inlineStr">
        <is>
          <t>NULL</t>
        </is>
      </c>
      <c r="F533" t="inlineStr">
        <is>
          <t>NULL</t>
        </is>
      </c>
      <c r="G533" t="inlineStr">
        <is>
          <t>NULL</t>
        </is>
      </c>
      <c r="H533" t="inlineStr">
        <is>
          <t>NULL</t>
        </is>
      </c>
      <c r="I533" t="inlineStr">
        <is>
          <t>NULL</t>
        </is>
      </c>
      <c r="J533" t="inlineStr">
        <is>
          <t>NULL</t>
        </is>
      </c>
      <c r="K533" t="inlineStr">
        <is>
          <t>YES! 	 c_numeric列源备映射正确，源端为numeric None位	期望更改为decimal(p,s)	实际备端为decimal None位</t>
        </is>
      </c>
    </row>
    <row r="534">
      <c r="B534" t="inlineStr">
        <is>
          <t>NULL</t>
        </is>
      </c>
      <c r="C534" t="inlineStr">
        <is>
          <t>NULL</t>
        </is>
      </c>
      <c r="D534" t="inlineStr">
        <is>
          <t>NULL</t>
        </is>
      </c>
      <c r="E534" t="inlineStr">
        <is>
          <t>NULL</t>
        </is>
      </c>
      <c r="F534" t="inlineStr">
        <is>
          <t>NULL</t>
        </is>
      </c>
      <c r="G534" t="inlineStr">
        <is>
          <t>NULL</t>
        </is>
      </c>
      <c r="H534" t="inlineStr">
        <is>
          <t>NULL</t>
        </is>
      </c>
      <c r="I534" t="inlineStr">
        <is>
          <t>NULL</t>
        </is>
      </c>
      <c r="J534" t="inlineStr">
        <is>
          <t>NULL</t>
        </is>
      </c>
      <c r="K534" t="inlineStr">
        <is>
          <t>YES! 	 c_numeric38列源备映射正确，源端为numeric None位	期望更改为decimal(p,s)	实际备端为decimal None位</t>
        </is>
      </c>
    </row>
    <row r="535">
      <c r="B535" t="inlineStr">
        <is>
          <t>NULL</t>
        </is>
      </c>
      <c r="C535" t="inlineStr">
        <is>
          <t>NULL</t>
        </is>
      </c>
      <c r="D535" t="inlineStr">
        <is>
          <t>NULL</t>
        </is>
      </c>
      <c r="E535" t="inlineStr">
        <is>
          <t>NULL</t>
        </is>
      </c>
      <c r="F535" t="inlineStr">
        <is>
          <t>NULL</t>
        </is>
      </c>
      <c r="G535" t="inlineStr">
        <is>
          <t>NULL</t>
        </is>
      </c>
      <c r="H535" t="inlineStr">
        <is>
          <t>NULL</t>
        </is>
      </c>
      <c r="I535" t="inlineStr">
        <is>
          <t>NULL</t>
        </is>
      </c>
      <c r="J535" t="inlineStr">
        <is>
          <t>NULL</t>
        </is>
      </c>
      <c r="K535" t="inlineStr">
        <is>
          <t xml:space="preserve"> NO!  	 c_numeric38_38列源备映射错误，源端为numeric None位	期望更改为decimal(p,s)	实际备端为varchar 168位</t>
        </is>
      </c>
    </row>
    <row r="536">
      <c r="B536" t="inlineStr">
        <is>
          <t>NULL</t>
        </is>
      </c>
      <c r="C536" t="inlineStr">
        <is>
          <t>NULL</t>
        </is>
      </c>
      <c r="D536" t="inlineStr">
        <is>
          <t>NULL</t>
        </is>
      </c>
      <c r="E536" t="inlineStr">
        <is>
          <t>NULL</t>
        </is>
      </c>
      <c r="F536" t="inlineStr">
        <is>
          <t>NULL</t>
        </is>
      </c>
      <c r="G536" t="inlineStr">
        <is>
          <t>NULL</t>
        </is>
      </c>
      <c r="H536" t="inlineStr">
        <is>
          <t>NULL</t>
        </is>
      </c>
      <c r="I536" t="inlineStr">
        <is>
          <t>NULL</t>
        </is>
      </c>
      <c r="J536" t="inlineStr">
        <is>
          <t>NULL</t>
        </is>
      </c>
      <c r="K536" t="inlineStr">
        <is>
          <t>YES! 	 c_numeric38_10列源备映射正确，源端为numeric None位	期望更改为decimal(p,s)	实际备端为decimal None位</t>
        </is>
      </c>
    </row>
    <row r="537">
      <c r="B537" t="inlineStr">
        <is>
          <t>NULL</t>
        </is>
      </c>
      <c r="C537" t="inlineStr">
        <is>
          <t>NULL</t>
        </is>
      </c>
      <c r="D537" t="inlineStr">
        <is>
          <t>NULL</t>
        </is>
      </c>
      <c r="E537" t="inlineStr">
        <is>
          <t>NULL</t>
        </is>
      </c>
      <c r="F537" t="inlineStr">
        <is>
          <t>NULL</t>
        </is>
      </c>
      <c r="G537" t="inlineStr">
        <is>
          <t>NULL</t>
        </is>
      </c>
      <c r="H537" t="inlineStr">
        <is>
          <t>NULL</t>
        </is>
      </c>
      <c r="I537" t="inlineStr">
        <is>
          <t>NULL</t>
        </is>
      </c>
      <c r="J537" t="inlineStr">
        <is>
          <t>NULL</t>
        </is>
      </c>
      <c r="K537" t="inlineStr">
        <is>
          <t>YES! 	 c_numeric18_2列源备映射正确，源端为numeric None位	期望更改为decimal(p,s)	实际备端为decimal None位</t>
        </is>
      </c>
    </row>
    <row r="538">
      <c r="B538" t="inlineStr">
        <is>
          <t>NULL</t>
        </is>
      </c>
      <c r="C538" t="inlineStr">
        <is>
          <t>NULL</t>
        </is>
      </c>
      <c r="D538" t="inlineStr">
        <is>
          <t>NULL</t>
        </is>
      </c>
      <c r="E538" t="inlineStr">
        <is>
          <t>NULL</t>
        </is>
      </c>
      <c r="F538" t="inlineStr">
        <is>
          <t>NULL</t>
        </is>
      </c>
      <c r="G538" t="inlineStr">
        <is>
          <t>NULL</t>
        </is>
      </c>
      <c r="H538" t="inlineStr">
        <is>
          <t>NULL</t>
        </is>
      </c>
      <c r="I538" t="inlineStr">
        <is>
          <t>NULL</t>
        </is>
      </c>
      <c r="J538" t="inlineStr">
        <is>
          <t>NULL</t>
        </is>
      </c>
      <c r="K538" t="inlineStr">
        <is>
          <t>YES! 	 c_float列源备映射正确，源端为float None位	期望更改为double	实际备端为double None位</t>
        </is>
      </c>
    </row>
    <row r="539">
      <c r="B539" t="inlineStr">
        <is>
          <t>NULL</t>
        </is>
      </c>
      <c r="C539" t="inlineStr">
        <is>
          <t>NULL</t>
        </is>
      </c>
      <c r="D539" t="inlineStr">
        <is>
          <t>NULL</t>
        </is>
      </c>
      <c r="E539" t="inlineStr">
        <is>
          <t>NULL</t>
        </is>
      </c>
      <c r="F539" t="inlineStr">
        <is>
          <t>NULL</t>
        </is>
      </c>
      <c r="G539" t="inlineStr">
        <is>
          <t>NULL</t>
        </is>
      </c>
      <c r="H539" t="inlineStr">
        <is>
          <t>NULL</t>
        </is>
      </c>
      <c r="I539" t="inlineStr">
        <is>
          <t>NULL</t>
        </is>
      </c>
      <c r="J539" t="inlineStr">
        <is>
          <t>NULL</t>
        </is>
      </c>
      <c r="K539" t="inlineStr">
        <is>
          <t>YES! 	 c_real列源备映射正确，源端为real None位	期望更改为double	实际备端为double None位</t>
        </is>
      </c>
    </row>
    <row r="540">
      <c r="B540" t="inlineStr">
        <is>
          <t>NULL</t>
        </is>
      </c>
      <c r="C540" t="inlineStr">
        <is>
          <t>NULL</t>
        </is>
      </c>
      <c r="D540" t="inlineStr">
        <is>
          <t>NULL</t>
        </is>
      </c>
      <c r="E540" t="inlineStr">
        <is>
          <t>NULL</t>
        </is>
      </c>
      <c r="F540" t="inlineStr">
        <is>
          <t>NULL</t>
        </is>
      </c>
      <c r="G540" t="inlineStr">
        <is>
          <t>NULL</t>
        </is>
      </c>
      <c r="H540" t="inlineStr">
        <is>
          <t>NULL</t>
        </is>
      </c>
      <c r="I540" t="inlineStr">
        <is>
          <t>NULL</t>
        </is>
      </c>
      <c r="J540" t="inlineStr">
        <is>
          <t>NULL</t>
        </is>
      </c>
      <c r="K540" t="inlineStr">
        <is>
          <t>YES! 	 c_money列源备映射正确，源端为money None位	期望更改为decimal(19,4)	实际备端为decimal None位</t>
        </is>
      </c>
    </row>
    <row r="541">
      <c r="B541" t="inlineStr">
        <is>
          <t>NULL</t>
        </is>
      </c>
      <c r="C541" t="inlineStr">
        <is>
          <t>NULL</t>
        </is>
      </c>
      <c r="D541" t="inlineStr">
        <is>
          <t>NULL</t>
        </is>
      </c>
      <c r="E541" t="inlineStr">
        <is>
          <t>NULL</t>
        </is>
      </c>
      <c r="F541" t="inlineStr">
        <is>
          <t>NULL</t>
        </is>
      </c>
      <c r="G541" t="inlineStr">
        <is>
          <t>NULL</t>
        </is>
      </c>
      <c r="H541" t="inlineStr">
        <is>
          <t>NULL</t>
        </is>
      </c>
      <c r="I541" t="inlineStr">
        <is>
          <t>NULL</t>
        </is>
      </c>
      <c r="J541" t="inlineStr">
        <is>
          <t>NULL</t>
        </is>
      </c>
      <c r="K541" t="inlineStr">
        <is>
          <t>YES! 	 c_smallmoney列源备映射正确，源端为smallmoney None位	期望更改为decimal(10,4)	实际备端为decimal None位</t>
        </is>
      </c>
    </row>
    <row r="542">
      <c r="B542" t="inlineStr">
        <is>
          <t>NULL</t>
        </is>
      </c>
      <c r="C542" t="inlineStr">
        <is>
          <t>NO!源None备NUL</t>
        </is>
      </c>
      <c r="D542" t="inlineStr">
        <is>
          <t>NULL</t>
        </is>
      </c>
      <c r="E542" t="inlineStr">
        <is>
          <t>NULL</t>
        </is>
      </c>
      <c r="F542" t="inlineStr">
        <is>
          <t>NULL</t>
        </is>
      </c>
      <c r="G542" t="inlineStr">
        <is>
          <t>NULL</t>
        </is>
      </c>
      <c r="H542" t="inlineStr">
        <is>
          <t>NULL</t>
        </is>
      </c>
      <c r="I542" t="inlineStr">
        <is>
          <t>NULL</t>
        </is>
      </c>
      <c r="J542" t="inlineStr">
        <is>
          <t>NULL</t>
        </is>
      </c>
      <c r="K542" t="inlineStr">
        <is>
          <t>YES! 	 c_bit列源备映射正确，源端为bit None位	期望更改为tinyint(1) 	实际备端为tinyint None位</t>
        </is>
      </c>
    </row>
    <row r="543">
      <c r="A543" t="inlineStr">
        <is>
          <t>info_varchar_dml_batch2_pk_irp1</t>
        </is>
      </c>
      <c r="K543" t="inlineStr">
        <is>
          <t>[0;34m info_varchar_dml_batch2_pk_irp1 [0m源备字段数相同，源端字段：4 	备端字段4</t>
        </is>
      </c>
      <c r="W543" t="inlineStr">
        <is>
          <t>YES 源备无差异</t>
        </is>
      </c>
      <c r="X543">
        <f>A543</f>
        <v/>
      </c>
    </row>
    <row r="544">
      <c r="B544" t="inlineStr">
        <is>
          <t>YES</t>
        </is>
      </c>
      <c r="C544" t="inlineStr">
        <is>
          <t>NULL</t>
        </is>
      </c>
      <c r="D544" t="inlineStr">
        <is>
          <t>NULL</t>
        </is>
      </c>
      <c r="E544" t="inlineStr">
        <is>
          <t>NULL</t>
        </is>
      </c>
      <c r="F544" t="inlineStr">
        <is>
          <t>NULL</t>
        </is>
      </c>
      <c r="G544" t="inlineStr">
        <is>
          <t>NULL</t>
        </is>
      </c>
      <c r="H544" t="inlineStr">
        <is>
          <t>NULL</t>
        </is>
      </c>
      <c r="I544" t="inlineStr">
        <is>
          <t>YES!PK__info_var__3213E83FAC523603</t>
        </is>
      </c>
      <c r="J544" t="inlineStr">
        <is>
          <t>YES! 主键相关索引</t>
        </is>
      </c>
      <c r="K544" t="inlineStr">
        <is>
          <t>YES! 	 id列源备映射正确，源端为int None位	期望更改为int	实际备端为int None位</t>
        </is>
      </c>
    </row>
    <row r="545">
      <c r="B545" t="inlineStr">
        <is>
          <t>NULL</t>
        </is>
      </c>
      <c r="C545" t="inlineStr">
        <is>
          <t>NULL</t>
        </is>
      </c>
      <c r="D545" t="inlineStr">
        <is>
          <t>NULL</t>
        </is>
      </c>
      <c r="E545" t="inlineStr">
        <is>
          <t>NULL</t>
        </is>
      </c>
      <c r="F545" t="inlineStr">
        <is>
          <t>NULL</t>
        </is>
      </c>
      <c r="G545" t="inlineStr">
        <is>
          <t>NULL</t>
        </is>
      </c>
      <c r="H545" t="inlineStr">
        <is>
          <t>NULL</t>
        </is>
      </c>
      <c r="I545" t="inlineStr">
        <is>
          <t>NULL</t>
        </is>
      </c>
      <c r="J545" t="inlineStr">
        <is>
          <t>NULL</t>
        </is>
      </c>
      <c r="K545" t="inlineStr">
        <is>
          <t>YES! 	 c_varchar列源备映射正确，源端为varchar 1位	期望更改为varchar(n)	实际备端为varchar 4位</t>
        </is>
      </c>
    </row>
    <row r="546">
      <c r="B546" t="inlineStr">
        <is>
          <t>NULL</t>
        </is>
      </c>
      <c r="C546" t="inlineStr">
        <is>
          <t>NULL</t>
        </is>
      </c>
      <c r="D546" t="inlineStr">
        <is>
          <t>NULL</t>
        </is>
      </c>
      <c r="E546" t="inlineStr">
        <is>
          <t>NULL</t>
        </is>
      </c>
      <c r="F546" t="inlineStr">
        <is>
          <t>NULL</t>
        </is>
      </c>
      <c r="G546" t="inlineStr">
        <is>
          <t>NULL</t>
        </is>
      </c>
      <c r="H546" t="inlineStr">
        <is>
          <t>NULL</t>
        </is>
      </c>
      <c r="I546" t="inlineStr">
        <is>
          <t>NULL</t>
        </is>
      </c>
      <c r="J546" t="inlineStr">
        <is>
          <t>NULL</t>
        </is>
      </c>
      <c r="K546" t="inlineStr">
        <is>
          <t>YES! 	 c_varchar20列源备映射正确，源端为varchar 20位	期望更改为varchar(n)	实际备端为varchar 80位</t>
        </is>
      </c>
    </row>
    <row r="547">
      <c r="B547" t="inlineStr">
        <is>
          <t>NULL</t>
        </is>
      </c>
      <c r="C547" t="inlineStr">
        <is>
          <t>NULL</t>
        </is>
      </c>
      <c r="D547" t="inlineStr">
        <is>
          <t>NULL</t>
        </is>
      </c>
      <c r="E547" t="inlineStr">
        <is>
          <t>NULL</t>
        </is>
      </c>
      <c r="F547" t="inlineStr">
        <is>
          <t>NULL</t>
        </is>
      </c>
      <c r="G547" t="inlineStr">
        <is>
          <t>NULL</t>
        </is>
      </c>
      <c r="H547" t="inlineStr">
        <is>
          <t>NULL</t>
        </is>
      </c>
      <c r="I547" t="inlineStr">
        <is>
          <t>NULL</t>
        </is>
      </c>
      <c r="J547" t="inlineStr">
        <is>
          <t>NULL</t>
        </is>
      </c>
      <c r="K547" t="inlineStr">
        <is>
          <t xml:space="preserve"> NO!  	 c_varchar8000列源备映射错误，源端为varchar 8000位	期望更改为longtext	实际备端为text 65535位</t>
        </is>
      </c>
    </row>
    <row r="548">
      <c r="A548" t="inlineStr">
        <is>
          <t>info_nchar_dml_single_pk_drp</t>
        </is>
      </c>
      <c r="K548" t="inlineStr">
        <is>
          <t>[0;34m info_nchar_dml_single_pk_drp [0m源备字段数相同，源端字段：4 	备端字段4</t>
        </is>
      </c>
      <c r="W548" s="15">
        <f>HYPERLINK("#2026052610mysql0!BC2","NO 源备存在差异，共4个")</f>
        <v/>
      </c>
      <c r="X548">
        <f>A548</f>
        <v/>
      </c>
    </row>
    <row r="549">
      <c r="B549" t="inlineStr">
        <is>
          <t>YES</t>
        </is>
      </c>
      <c r="C549" t="inlineStr">
        <is>
          <t>NULL</t>
        </is>
      </c>
      <c r="D549" t="inlineStr">
        <is>
          <t>NULL</t>
        </is>
      </c>
      <c r="E549" t="inlineStr">
        <is>
          <t>NULL</t>
        </is>
      </c>
      <c r="F549" t="inlineStr">
        <is>
          <t>NULL</t>
        </is>
      </c>
      <c r="G549" t="inlineStr">
        <is>
          <t>NULL</t>
        </is>
      </c>
      <c r="H549" t="inlineStr">
        <is>
          <t>NULL</t>
        </is>
      </c>
      <c r="I549" t="inlineStr">
        <is>
          <t>YES!PK__info_nch__3213E83FFD93D76F</t>
        </is>
      </c>
      <c r="J549" t="inlineStr">
        <is>
          <t>YES! 主键相关索引</t>
        </is>
      </c>
      <c r="K549" t="inlineStr">
        <is>
          <t>YES! 	 id列源备映射正确，源端为int None位	期望更改为int	实际备端为int None位</t>
        </is>
      </c>
    </row>
    <row r="550">
      <c r="B550" t="inlineStr">
        <is>
          <t>NULL</t>
        </is>
      </c>
      <c r="C550" t="inlineStr">
        <is>
          <t>NULL</t>
        </is>
      </c>
      <c r="D550" t="inlineStr">
        <is>
          <t>NULL</t>
        </is>
      </c>
      <c r="E550" t="inlineStr">
        <is>
          <t>NULL</t>
        </is>
      </c>
      <c r="F550" t="inlineStr">
        <is>
          <t>NULL</t>
        </is>
      </c>
      <c r="G550" t="inlineStr">
        <is>
          <t>NULL</t>
        </is>
      </c>
      <c r="H550" t="inlineStr">
        <is>
          <t>NULL</t>
        </is>
      </c>
      <c r="I550" t="inlineStr">
        <is>
          <t>NULL</t>
        </is>
      </c>
      <c r="J550" t="inlineStr">
        <is>
          <t>NULL</t>
        </is>
      </c>
      <c r="K550" t="inlineStr">
        <is>
          <t>YES! 	 c_nchar列源备映射正确，源端为nchar 2位	期望更改为char(n)	实际备端为char 4位</t>
        </is>
      </c>
    </row>
    <row r="551">
      <c r="B551" t="inlineStr">
        <is>
          <t>NULL</t>
        </is>
      </c>
      <c r="C551" t="inlineStr">
        <is>
          <t>NULL</t>
        </is>
      </c>
      <c r="D551" t="inlineStr">
        <is>
          <t>NULL</t>
        </is>
      </c>
      <c r="E551" t="inlineStr">
        <is>
          <t>NULL</t>
        </is>
      </c>
      <c r="F551" t="inlineStr">
        <is>
          <t>NULL</t>
        </is>
      </c>
      <c r="G551" t="inlineStr">
        <is>
          <t>NULL</t>
        </is>
      </c>
      <c r="H551" t="inlineStr">
        <is>
          <t>NULL</t>
        </is>
      </c>
      <c r="I551" t="inlineStr">
        <is>
          <t>NULL</t>
        </is>
      </c>
      <c r="J551" t="inlineStr">
        <is>
          <t>NULL</t>
        </is>
      </c>
      <c r="K551" t="inlineStr">
        <is>
          <t>YES! 	 c_nchar20列源备映射正确，源端为nchar 40位	期望更改为char(n)	实际备端为char 80位</t>
        </is>
      </c>
    </row>
    <row r="552">
      <c r="B552" t="inlineStr">
        <is>
          <t>NULL</t>
        </is>
      </c>
      <c r="C552" t="inlineStr">
        <is>
          <t>NULL</t>
        </is>
      </c>
      <c r="D552" t="inlineStr">
        <is>
          <t>NULL</t>
        </is>
      </c>
      <c r="E552" t="inlineStr">
        <is>
          <t>NULL</t>
        </is>
      </c>
      <c r="F552" t="inlineStr">
        <is>
          <t>NULL</t>
        </is>
      </c>
      <c r="G552" t="inlineStr">
        <is>
          <t>NULL</t>
        </is>
      </c>
      <c r="H552" t="inlineStr">
        <is>
          <t>NULL</t>
        </is>
      </c>
      <c r="I552" t="inlineStr">
        <is>
          <t>NULL</t>
        </is>
      </c>
      <c r="J552" t="inlineStr">
        <is>
          <t>NULL</t>
        </is>
      </c>
      <c r="K552" t="inlineStr">
        <is>
          <t xml:space="preserve"> NO!  	 c_nchar3500列源备映射错误，源端为nchar 7000位	期望更改为varchar(n)	实际备端为text 65535位</t>
        </is>
      </c>
    </row>
    <row r="553">
      <c r="A553" t="inlineStr">
        <is>
          <t>info_sql_variant_dml_single_pk_drp</t>
        </is>
      </c>
      <c r="K553" t="inlineStr">
        <is>
          <t>[0;34m info_sql_variant_dml_single_pk_drp [0m源备字段数相同，源端字段：25 	备端字段25</t>
        </is>
      </c>
      <c r="W553" s="15">
        <f>HYPERLINK("#2026052610mysql0!BD2","NO 源备存在差异，共2个")</f>
        <v/>
      </c>
      <c r="X553">
        <f>A553</f>
        <v/>
      </c>
    </row>
    <row r="554">
      <c r="B554" t="inlineStr">
        <is>
          <t>YES</t>
        </is>
      </c>
      <c r="C554" t="inlineStr">
        <is>
          <t>NULL</t>
        </is>
      </c>
      <c r="D554" t="inlineStr">
        <is>
          <t>NULL</t>
        </is>
      </c>
      <c r="E554" t="inlineStr">
        <is>
          <t>NULL</t>
        </is>
      </c>
      <c r="F554" t="inlineStr">
        <is>
          <t>NULL</t>
        </is>
      </c>
      <c r="G554" t="inlineStr">
        <is>
          <t>NULL</t>
        </is>
      </c>
      <c r="H554" t="inlineStr">
        <is>
          <t>NULL</t>
        </is>
      </c>
      <c r="I554" t="inlineStr">
        <is>
          <t>YES!PK__info_sql__3213E83FE63D4520</t>
        </is>
      </c>
      <c r="J554" t="inlineStr">
        <is>
          <t>YES! 主键相关索引</t>
        </is>
      </c>
      <c r="K554" t="inlineStr">
        <is>
          <t>YES! 	 id列源备映射正确，源端为int None位	期望更改为int	实际备端为int None位</t>
        </is>
      </c>
    </row>
    <row r="555">
      <c r="B555" t="inlineStr">
        <is>
          <t>NULL</t>
        </is>
      </c>
      <c r="C555" t="inlineStr">
        <is>
          <t>NULL</t>
        </is>
      </c>
      <c r="D555" t="inlineStr">
        <is>
          <t>NULL</t>
        </is>
      </c>
      <c r="E555" t="inlineStr">
        <is>
          <t>NULL</t>
        </is>
      </c>
      <c r="F555" t="inlineStr">
        <is>
          <t>NULL</t>
        </is>
      </c>
      <c r="G555" t="inlineStr">
        <is>
          <t>NULL</t>
        </is>
      </c>
      <c r="H555" t="inlineStr">
        <is>
          <t>NULL</t>
        </is>
      </c>
      <c r="I555" t="inlineStr">
        <is>
          <t>NULL</t>
        </is>
      </c>
      <c r="J555" t="inlineStr">
        <is>
          <t>NULL</t>
        </is>
      </c>
      <c r="K555" t="inlineStr">
        <is>
          <t>[0;32m YES! [0m 	 c_date列源备映射正确，源端为sql_variant 0位	期望更改为VARCHAR(255)	实际备端为varchar 1020位	位数精度不存在，通过长度比较</t>
        </is>
      </c>
    </row>
    <row r="556">
      <c r="B556" t="inlineStr">
        <is>
          <t>NULL</t>
        </is>
      </c>
      <c r="C556" t="inlineStr">
        <is>
          <t>NULL</t>
        </is>
      </c>
      <c r="D556" t="inlineStr">
        <is>
          <t>NULL</t>
        </is>
      </c>
      <c r="E556" t="inlineStr">
        <is>
          <t>NULL</t>
        </is>
      </c>
      <c r="F556" t="inlineStr">
        <is>
          <t>NULL</t>
        </is>
      </c>
      <c r="G556" t="inlineStr">
        <is>
          <t>NULL</t>
        </is>
      </c>
      <c r="H556" t="inlineStr">
        <is>
          <t>NULL</t>
        </is>
      </c>
      <c r="I556" t="inlineStr">
        <is>
          <t>NULL</t>
        </is>
      </c>
      <c r="J556" t="inlineStr">
        <is>
          <t>NULL</t>
        </is>
      </c>
      <c r="K556" t="inlineStr">
        <is>
          <t>[0;32m YES! [0m 	 c_time列源备映射正确，源端为sql_variant 0位	期望更改为VARCHAR(255)	实际备端为varchar 1020位	位数精度不存在，通过长度比较</t>
        </is>
      </c>
    </row>
    <row r="557">
      <c r="B557" t="inlineStr">
        <is>
          <t>NULL</t>
        </is>
      </c>
      <c r="C557" t="inlineStr">
        <is>
          <t>NULL</t>
        </is>
      </c>
      <c r="D557" t="inlineStr">
        <is>
          <t>NULL</t>
        </is>
      </c>
      <c r="E557" t="inlineStr">
        <is>
          <t>NULL</t>
        </is>
      </c>
      <c r="F557" t="inlineStr">
        <is>
          <t>NULL</t>
        </is>
      </c>
      <c r="G557" t="inlineStr">
        <is>
          <t>NULL</t>
        </is>
      </c>
      <c r="H557" t="inlineStr">
        <is>
          <t>NULL</t>
        </is>
      </c>
      <c r="I557" t="inlineStr">
        <is>
          <t>NULL</t>
        </is>
      </c>
      <c r="J557" t="inlineStr">
        <is>
          <t>NULL</t>
        </is>
      </c>
      <c r="K557" t="inlineStr">
        <is>
          <t>[0;32m YES! [0m 	 c_datetime2列源备映射正确，源端为sql_variant 0位	期望更改为VARCHAR(255)	实际备端为varchar 1020位	位数精度不存在，通过长度比较</t>
        </is>
      </c>
    </row>
    <row r="558">
      <c r="B558" t="inlineStr">
        <is>
          <t>NULL</t>
        </is>
      </c>
      <c r="C558" t="inlineStr">
        <is>
          <t>NULL</t>
        </is>
      </c>
      <c r="D558" t="inlineStr">
        <is>
          <t>NULL</t>
        </is>
      </c>
      <c r="E558" t="inlineStr">
        <is>
          <t>NULL</t>
        </is>
      </c>
      <c r="F558" t="inlineStr">
        <is>
          <t>NULL</t>
        </is>
      </c>
      <c r="G558" t="inlineStr">
        <is>
          <t>NULL</t>
        </is>
      </c>
      <c r="H558" t="inlineStr">
        <is>
          <t>NULL</t>
        </is>
      </c>
      <c r="I558" t="inlineStr">
        <is>
          <t>NULL</t>
        </is>
      </c>
      <c r="J558" t="inlineStr">
        <is>
          <t>NULL</t>
        </is>
      </c>
      <c r="K558" t="inlineStr">
        <is>
          <t>[0;32m YES! [0m 	 c_datetimeoffset列源备映射正确，源端为sql_variant 0位	期望更改为VARCHAR(255)	实际备端为varchar 1020位	位数精度不存在，通过长度比较</t>
        </is>
      </c>
    </row>
    <row r="559">
      <c r="B559" t="inlineStr">
        <is>
          <t>NULL</t>
        </is>
      </c>
      <c r="C559" t="inlineStr">
        <is>
          <t>NULL</t>
        </is>
      </c>
      <c r="D559" t="inlineStr">
        <is>
          <t>NULL</t>
        </is>
      </c>
      <c r="E559" t="inlineStr">
        <is>
          <t>NULL</t>
        </is>
      </c>
      <c r="F559" t="inlineStr">
        <is>
          <t>NULL</t>
        </is>
      </c>
      <c r="G559" t="inlineStr">
        <is>
          <t>NULL</t>
        </is>
      </c>
      <c r="H559" t="inlineStr">
        <is>
          <t>NULL</t>
        </is>
      </c>
      <c r="I559" t="inlineStr">
        <is>
          <t>NULL</t>
        </is>
      </c>
      <c r="J559" t="inlineStr">
        <is>
          <t>NULL</t>
        </is>
      </c>
      <c r="K559" t="inlineStr">
        <is>
          <t>[0;32m YES! [0m 	 c_tinyint列源备映射正确，源端为sql_variant 0位	期望更改为VARCHAR(255)	实际备端为varchar 1020位	位数精度不存在，通过长度比较</t>
        </is>
      </c>
    </row>
    <row r="560">
      <c r="B560" t="inlineStr">
        <is>
          <t>NULL</t>
        </is>
      </c>
      <c r="C560" t="inlineStr">
        <is>
          <t>NULL</t>
        </is>
      </c>
      <c r="D560" t="inlineStr">
        <is>
          <t>NULL</t>
        </is>
      </c>
      <c r="E560" t="inlineStr">
        <is>
          <t>NULL</t>
        </is>
      </c>
      <c r="F560" t="inlineStr">
        <is>
          <t>NULL</t>
        </is>
      </c>
      <c r="G560" t="inlineStr">
        <is>
          <t>NULL</t>
        </is>
      </c>
      <c r="H560" t="inlineStr">
        <is>
          <t>NULL</t>
        </is>
      </c>
      <c r="I560" t="inlineStr">
        <is>
          <t>NULL</t>
        </is>
      </c>
      <c r="J560" t="inlineStr">
        <is>
          <t>NULL</t>
        </is>
      </c>
      <c r="K560" t="inlineStr">
        <is>
          <t>[0;32m YES! [0m 	 c_smallint列源备映射正确，源端为sql_variant 0位	期望更改为VARCHAR(255)	实际备端为varchar 1020位	位数精度不存在，通过长度比较</t>
        </is>
      </c>
    </row>
    <row r="561">
      <c r="B561" t="inlineStr">
        <is>
          <t>NULL</t>
        </is>
      </c>
      <c r="C561" t="inlineStr">
        <is>
          <t>NULL</t>
        </is>
      </c>
      <c r="D561" t="inlineStr">
        <is>
          <t>NULL</t>
        </is>
      </c>
      <c r="E561" t="inlineStr">
        <is>
          <t>NULL</t>
        </is>
      </c>
      <c r="F561" t="inlineStr">
        <is>
          <t>NULL</t>
        </is>
      </c>
      <c r="G561" t="inlineStr">
        <is>
          <t>NULL</t>
        </is>
      </c>
      <c r="H561" t="inlineStr">
        <is>
          <t>NULL</t>
        </is>
      </c>
      <c r="I561" t="inlineStr">
        <is>
          <t>NULL</t>
        </is>
      </c>
      <c r="J561" t="inlineStr">
        <is>
          <t>NULL</t>
        </is>
      </c>
      <c r="K561" t="inlineStr">
        <is>
          <t>[0;32m YES! [0m 	 c_int列源备映射正确，源端为sql_variant 0位	期望更改为VARCHAR(255)	实际备端为varchar 1020位	位数精度不存在，通过长度比较</t>
        </is>
      </c>
    </row>
    <row r="562">
      <c r="B562" t="inlineStr">
        <is>
          <t>NULL</t>
        </is>
      </c>
      <c r="C562" t="inlineStr">
        <is>
          <t>NULL</t>
        </is>
      </c>
      <c r="D562" t="inlineStr">
        <is>
          <t>NULL</t>
        </is>
      </c>
      <c r="E562" t="inlineStr">
        <is>
          <t>NULL</t>
        </is>
      </c>
      <c r="F562" t="inlineStr">
        <is>
          <t>NULL</t>
        </is>
      </c>
      <c r="G562" t="inlineStr">
        <is>
          <t>NULL</t>
        </is>
      </c>
      <c r="H562" t="inlineStr">
        <is>
          <t>NULL</t>
        </is>
      </c>
      <c r="I562" t="inlineStr">
        <is>
          <t>NULL</t>
        </is>
      </c>
      <c r="J562" t="inlineStr">
        <is>
          <t>NULL</t>
        </is>
      </c>
      <c r="K562" t="inlineStr">
        <is>
          <t>[0;32m YES! [0m 	 c_sdt列源备映射正确，源端为sql_variant 0位	期望更改为VARCHAR(255)	实际备端为varchar 1020位	位数精度不存在，通过长度比较</t>
        </is>
      </c>
    </row>
    <row r="563">
      <c r="B563" t="inlineStr">
        <is>
          <t>NULL</t>
        </is>
      </c>
      <c r="C563" t="inlineStr">
        <is>
          <t>NULL</t>
        </is>
      </c>
      <c r="D563" t="inlineStr">
        <is>
          <t>NULL</t>
        </is>
      </c>
      <c r="E563" t="inlineStr">
        <is>
          <t>NULL</t>
        </is>
      </c>
      <c r="F563" t="inlineStr">
        <is>
          <t>NULL</t>
        </is>
      </c>
      <c r="G563" t="inlineStr">
        <is>
          <t>NULL</t>
        </is>
      </c>
      <c r="H563" t="inlineStr">
        <is>
          <t>NULL</t>
        </is>
      </c>
      <c r="I563" t="inlineStr">
        <is>
          <t>NULL</t>
        </is>
      </c>
      <c r="J563" t="inlineStr">
        <is>
          <t>NULL</t>
        </is>
      </c>
      <c r="K563" t="inlineStr">
        <is>
          <t>[0;32m YES! [0m 	 c_real列源备映射正确，源端为sql_variant 0位	期望更改为VARCHAR(255)	实际备端为varchar 1020位	位数精度不存在，通过长度比较</t>
        </is>
      </c>
    </row>
    <row r="564">
      <c r="B564" t="inlineStr">
        <is>
          <t>NULL</t>
        </is>
      </c>
      <c r="C564" t="inlineStr">
        <is>
          <t>NULL</t>
        </is>
      </c>
      <c r="D564" t="inlineStr">
        <is>
          <t>NULL</t>
        </is>
      </c>
      <c r="E564" t="inlineStr">
        <is>
          <t>NULL</t>
        </is>
      </c>
      <c r="F564" t="inlineStr">
        <is>
          <t>NULL</t>
        </is>
      </c>
      <c r="G564" t="inlineStr">
        <is>
          <t>NULL</t>
        </is>
      </c>
      <c r="H564" t="inlineStr">
        <is>
          <t>NULL</t>
        </is>
      </c>
      <c r="I564" t="inlineStr">
        <is>
          <t>NULL</t>
        </is>
      </c>
      <c r="J564" t="inlineStr">
        <is>
          <t>NULL</t>
        </is>
      </c>
      <c r="K564" t="inlineStr">
        <is>
          <t>[0;32m YES! [0m 	 c_money列源备映射正确，源端为sql_variant 0位	期望更改为VARCHAR(255)	实际备端为varchar 1020位	位数精度不存在，通过长度比较</t>
        </is>
      </c>
    </row>
    <row r="565">
      <c r="B565" t="inlineStr">
        <is>
          <t>NULL</t>
        </is>
      </c>
      <c r="C565" t="inlineStr">
        <is>
          <t>NULL</t>
        </is>
      </c>
      <c r="D565" t="inlineStr">
        <is>
          <t>NULL</t>
        </is>
      </c>
      <c r="E565" t="inlineStr">
        <is>
          <t>NULL</t>
        </is>
      </c>
      <c r="F565" t="inlineStr">
        <is>
          <t>NULL</t>
        </is>
      </c>
      <c r="G565" t="inlineStr">
        <is>
          <t>NULL</t>
        </is>
      </c>
      <c r="H565" t="inlineStr">
        <is>
          <t>NULL</t>
        </is>
      </c>
      <c r="I565" t="inlineStr">
        <is>
          <t>NULL</t>
        </is>
      </c>
      <c r="J565" t="inlineStr">
        <is>
          <t>NULL</t>
        </is>
      </c>
      <c r="K565" t="inlineStr">
        <is>
          <t>[0;32m YES! [0m 	 c_datetime列源备映射正确，源端为sql_variant 0位	期望更改为VARCHAR(255)	实际备端为varchar 1020位	位数精度不存在，通过长度比较</t>
        </is>
      </c>
    </row>
    <row r="566">
      <c r="B566" t="inlineStr">
        <is>
          <t>NULL</t>
        </is>
      </c>
      <c r="C566" t="inlineStr">
        <is>
          <t>NULL</t>
        </is>
      </c>
      <c r="D566" t="inlineStr">
        <is>
          <t>NULL</t>
        </is>
      </c>
      <c r="E566" t="inlineStr">
        <is>
          <t>NULL</t>
        </is>
      </c>
      <c r="F566" t="inlineStr">
        <is>
          <t>NULL</t>
        </is>
      </c>
      <c r="G566" t="inlineStr">
        <is>
          <t>NULL</t>
        </is>
      </c>
      <c r="H566" t="inlineStr">
        <is>
          <t>NULL</t>
        </is>
      </c>
      <c r="I566" t="inlineStr">
        <is>
          <t>NULL</t>
        </is>
      </c>
      <c r="J566" t="inlineStr">
        <is>
          <t>NULL</t>
        </is>
      </c>
      <c r="K566" t="inlineStr">
        <is>
          <t>[0;32m YES! [0m 	 c_float列源备映射正确，源端为sql_variant 0位	期望更改为VARCHAR(255)	实际备端为varchar 1020位	位数精度不存在，通过长度比较</t>
        </is>
      </c>
    </row>
    <row r="567">
      <c r="B567" t="inlineStr">
        <is>
          <t>NULL</t>
        </is>
      </c>
      <c r="C567" t="inlineStr">
        <is>
          <t>NULL</t>
        </is>
      </c>
      <c r="D567" t="inlineStr">
        <is>
          <t>NULL</t>
        </is>
      </c>
      <c r="E567" t="inlineStr">
        <is>
          <t>NULL</t>
        </is>
      </c>
      <c r="F567" t="inlineStr">
        <is>
          <t>NULL</t>
        </is>
      </c>
      <c r="G567" t="inlineStr">
        <is>
          <t>NULL</t>
        </is>
      </c>
      <c r="H567" t="inlineStr">
        <is>
          <t>NULL</t>
        </is>
      </c>
      <c r="I567" t="inlineStr">
        <is>
          <t>NULL</t>
        </is>
      </c>
      <c r="J567" t="inlineStr">
        <is>
          <t>NULL</t>
        </is>
      </c>
      <c r="K567" t="inlineStr">
        <is>
          <t>[0;32m YES! [0m 	 c_bit列源备映射正确，源端为sql_variant 0位	期望更改为VARCHAR(255)	实际备端为varchar 1020位	位数精度不存在，通过长度比较</t>
        </is>
      </c>
    </row>
    <row r="568">
      <c r="B568" t="inlineStr">
        <is>
          <t>NULL</t>
        </is>
      </c>
      <c r="C568" t="inlineStr">
        <is>
          <t>NULL</t>
        </is>
      </c>
      <c r="D568" t="inlineStr">
        <is>
          <t>NULL</t>
        </is>
      </c>
      <c r="E568" t="inlineStr">
        <is>
          <t>NULL</t>
        </is>
      </c>
      <c r="F568" t="inlineStr">
        <is>
          <t>NULL</t>
        </is>
      </c>
      <c r="G568" t="inlineStr">
        <is>
          <t>NULL</t>
        </is>
      </c>
      <c r="H568" t="inlineStr">
        <is>
          <t>NULL</t>
        </is>
      </c>
      <c r="I568" t="inlineStr">
        <is>
          <t>NULL</t>
        </is>
      </c>
      <c r="J568" t="inlineStr">
        <is>
          <t>NULL</t>
        </is>
      </c>
      <c r="K568" t="inlineStr">
        <is>
          <t>[0;32m YES! [0m 	 c_decimal列源备映射正确，源端为sql_variant 0位	期望更改为VARCHAR(255)	实际备端为varchar 1020位	位数精度不存在，通过长度比较</t>
        </is>
      </c>
    </row>
    <row r="569">
      <c r="B569" t="inlineStr">
        <is>
          <t>NULL</t>
        </is>
      </c>
      <c r="C569" t="inlineStr">
        <is>
          <t>NULL</t>
        </is>
      </c>
      <c r="D569" t="inlineStr">
        <is>
          <t>NULL</t>
        </is>
      </c>
      <c r="E569" t="inlineStr">
        <is>
          <t>NULL</t>
        </is>
      </c>
      <c r="F569" t="inlineStr">
        <is>
          <t>NULL</t>
        </is>
      </c>
      <c r="G569" t="inlineStr">
        <is>
          <t>NULL</t>
        </is>
      </c>
      <c r="H569" t="inlineStr">
        <is>
          <t>NULL</t>
        </is>
      </c>
      <c r="I569" t="inlineStr">
        <is>
          <t>NULL</t>
        </is>
      </c>
      <c r="J569" t="inlineStr">
        <is>
          <t>NULL</t>
        </is>
      </c>
      <c r="K569" t="inlineStr">
        <is>
          <t>[0;32m YES! [0m 	 c_uniqueidentifier列源备映射正确，源端为sql_variant 0位	期望更改为VARCHAR(255)	实际备端为varchar 1020位	位数精度不存在，通过长度比较</t>
        </is>
      </c>
    </row>
    <row r="570">
      <c r="B570" t="inlineStr">
        <is>
          <t>NULL</t>
        </is>
      </c>
      <c r="C570" t="inlineStr">
        <is>
          <t>NULL</t>
        </is>
      </c>
      <c r="D570" t="inlineStr">
        <is>
          <t>NULL</t>
        </is>
      </c>
      <c r="E570" t="inlineStr">
        <is>
          <t>NULL</t>
        </is>
      </c>
      <c r="F570" t="inlineStr">
        <is>
          <t>NULL</t>
        </is>
      </c>
      <c r="G570" t="inlineStr">
        <is>
          <t>NULL</t>
        </is>
      </c>
      <c r="H570" t="inlineStr">
        <is>
          <t>NULL</t>
        </is>
      </c>
      <c r="I570" t="inlineStr">
        <is>
          <t>NULL</t>
        </is>
      </c>
      <c r="J570" t="inlineStr">
        <is>
          <t>NULL</t>
        </is>
      </c>
      <c r="K570" t="inlineStr">
        <is>
          <t>[0;32m YES! [0m 	 c_smallmoney列源备映射正确，源端为sql_variant 0位	期望更改为VARCHAR(255)	实际备端为varchar 1020位	位数精度不存在，通过长度比较</t>
        </is>
      </c>
    </row>
    <row r="571">
      <c r="B571" t="inlineStr">
        <is>
          <t>NULL</t>
        </is>
      </c>
      <c r="C571" t="inlineStr">
        <is>
          <t>NULL</t>
        </is>
      </c>
      <c r="D571" t="inlineStr">
        <is>
          <t>NULL</t>
        </is>
      </c>
      <c r="E571" t="inlineStr">
        <is>
          <t>NULL</t>
        </is>
      </c>
      <c r="F571" t="inlineStr">
        <is>
          <t>NULL</t>
        </is>
      </c>
      <c r="G571" t="inlineStr">
        <is>
          <t>NULL</t>
        </is>
      </c>
      <c r="H571" t="inlineStr">
        <is>
          <t>NULL</t>
        </is>
      </c>
      <c r="I571" t="inlineStr">
        <is>
          <t>NULL</t>
        </is>
      </c>
      <c r="J571" t="inlineStr">
        <is>
          <t>NULL</t>
        </is>
      </c>
      <c r="K571" t="inlineStr">
        <is>
          <t>[0;32m YES! [0m 	 c_bigint列源备映射正确，源端为sql_variant 0位	期望更改为VARCHAR(255)	实际备端为varchar 1020位	位数精度不存在，通过长度比较</t>
        </is>
      </c>
    </row>
    <row r="572">
      <c r="B572" t="inlineStr">
        <is>
          <t>NULL</t>
        </is>
      </c>
      <c r="C572" t="inlineStr">
        <is>
          <t>NULL</t>
        </is>
      </c>
      <c r="D572" t="inlineStr">
        <is>
          <t>NULL</t>
        </is>
      </c>
      <c r="E572" t="inlineStr">
        <is>
          <t>NULL</t>
        </is>
      </c>
      <c r="F572" t="inlineStr">
        <is>
          <t>NULL</t>
        </is>
      </c>
      <c r="G572" t="inlineStr">
        <is>
          <t>NULL</t>
        </is>
      </c>
      <c r="H572" t="inlineStr">
        <is>
          <t>NULL</t>
        </is>
      </c>
      <c r="I572" t="inlineStr">
        <is>
          <t>NULL</t>
        </is>
      </c>
      <c r="J572" t="inlineStr">
        <is>
          <t>NULL</t>
        </is>
      </c>
      <c r="K572" t="inlineStr">
        <is>
          <t>[0;32m YES! [0m 	 c_varbinary_20列源备映射正确，源端为sql_variant 0位	期望更改为VARCHAR(255)	实际备端为varchar 1020位	位数精度不存在，通过长度比较</t>
        </is>
      </c>
    </row>
    <row r="573">
      <c r="B573" t="inlineStr">
        <is>
          <t>NULL</t>
        </is>
      </c>
      <c r="C573" t="inlineStr">
        <is>
          <t>NULL</t>
        </is>
      </c>
      <c r="D573" t="inlineStr">
        <is>
          <t>NULL</t>
        </is>
      </c>
      <c r="E573" t="inlineStr">
        <is>
          <t>NULL</t>
        </is>
      </c>
      <c r="F573" t="inlineStr">
        <is>
          <t>NULL</t>
        </is>
      </c>
      <c r="G573" t="inlineStr">
        <is>
          <t>NULL</t>
        </is>
      </c>
      <c r="H573" t="inlineStr">
        <is>
          <t>NULL</t>
        </is>
      </c>
      <c r="I573" t="inlineStr">
        <is>
          <t>NULL</t>
        </is>
      </c>
      <c r="J573" t="inlineStr">
        <is>
          <t>NULL</t>
        </is>
      </c>
      <c r="K573" t="inlineStr">
        <is>
          <t>[0;32m YES! [0m 	 c_varchar_20列源备映射正确，源端为sql_variant 0位	期望更改为VARCHAR(255)	实际备端为varchar 1020位	位数精度不存在，通过长度比较</t>
        </is>
      </c>
    </row>
    <row r="574">
      <c r="B574" t="inlineStr">
        <is>
          <t>NULL</t>
        </is>
      </c>
      <c r="C574" t="inlineStr">
        <is>
          <t>NULL</t>
        </is>
      </c>
      <c r="D574" t="inlineStr">
        <is>
          <t>NULL</t>
        </is>
      </c>
      <c r="E574" t="inlineStr">
        <is>
          <t>NULL</t>
        </is>
      </c>
      <c r="F574" t="inlineStr">
        <is>
          <t>NULL</t>
        </is>
      </c>
      <c r="G574" t="inlineStr">
        <is>
          <t>NULL</t>
        </is>
      </c>
      <c r="H574" t="inlineStr">
        <is>
          <t>NULL</t>
        </is>
      </c>
      <c r="I574" t="inlineStr">
        <is>
          <t>NULL</t>
        </is>
      </c>
      <c r="J574" t="inlineStr">
        <is>
          <t>NULL</t>
        </is>
      </c>
      <c r="K574" t="inlineStr">
        <is>
          <t>[0;32m YES! [0m 	 c_binary_20列源备映射正确，源端为sql_variant 0位	期望更改为VARCHAR(255)	实际备端为varchar 1020位	位数精度不存在，通过长度比较</t>
        </is>
      </c>
    </row>
    <row r="575">
      <c r="B575" t="inlineStr">
        <is>
          <t>NULL</t>
        </is>
      </c>
      <c r="C575" t="inlineStr">
        <is>
          <t>NULL</t>
        </is>
      </c>
      <c r="D575" t="inlineStr">
        <is>
          <t>NULL</t>
        </is>
      </c>
      <c r="E575" t="inlineStr">
        <is>
          <t>NULL</t>
        </is>
      </c>
      <c r="F575" t="inlineStr">
        <is>
          <t>NULL</t>
        </is>
      </c>
      <c r="G575" t="inlineStr">
        <is>
          <t>NULL</t>
        </is>
      </c>
      <c r="H575" t="inlineStr">
        <is>
          <t>NULL</t>
        </is>
      </c>
      <c r="I575" t="inlineStr">
        <is>
          <t>NULL</t>
        </is>
      </c>
      <c r="J575" t="inlineStr">
        <is>
          <t>NULL</t>
        </is>
      </c>
      <c r="K575" t="inlineStr">
        <is>
          <t>[0;32m YES! [0m 	 c_char_20列源备映射正确，源端为sql_variant 0位	期望更改为VARCHAR(255)	实际备端为varchar 1020位	位数精度不存在，通过长度比较</t>
        </is>
      </c>
    </row>
    <row r="576">
      <c r="B576" t="inlineStr">
        <is>
          <t>NULL</t>
        </is>
      </c>
      <c r="C576" t="inlineStr">
        <is>
          <t>NULL</t>
        </is>
      </c>
      <c r="D576" t="inlineStr">
        <is>
          <t>NULL</t>
        </is>
      </c>
      <c r="E576" t="inlineStr">
        <is>
          <t>NULL</t>
        </is>
      </c>
      <c r="F576" t="inlineStr">
        <is>
          <t>NULL</t>
        </is>
      </c>
      <c r="G576" t="inlineStr">
        <is>
          <t>NULL</t>
        </is>
      </c>
      <c r="H576" t="inlineStr">
        <is>
          <t>NULL</t>
        </is>
      </c>
      <c r="I576" t="inlineStr">
        <is>
          <t>NULL</t>
        </is>
      </c>
      <c r="J576" t="inlineStr">
        <is>
          <t>NULL</t>
        </is>
      </c>
      <c r="K576" t="inlineStr">
        <is>
          <t>[0;32m YES! [0m 	 c_nvarchar_20列源备映射正确，源端为sql_variant 0位	期望更改为VARCHAR(255)	实际备端为varchar 1020位	位数精度不存在，通过长度比较</t>
        </is>
      </c>
    </row>
    <row r="577">
      <c r="B577" t="inlineStr">
        <is>
          <t>NULL</t>
        </is>
      </c>
      <c r="C577" t="inlineStr">
        <is>
          <t>NULL</t>
        </is>
      </c>
      <c r="D577" t="inlineStr">
        <is>
          <t>NULL</t>
        </is>
      </c>
      <c r="E577" t="inlineStr">
        <is>
          <t>NULL</t>
        </is>
      </c>
      <c r="F577" t="inlineStr">
        <is>
          <t>NULL</t>
        </is>
      </c>
      <c r="G577" t="inlineStr">
        <is>
          <t>NULL</t>
        </is>
      </c>
      <c r="H577" t="inlineStr">
        <is>
          <t>NULL</t>
        </is>
      </c>
      <c r="I577" t="inlineStr">
        <is>
          <t>NULL</t>
        </is>
      </c>
      <c r="J577" t="inlineStr">
        <is>
          <t>NULL</t>
        </is>
      </c>
      <c r="K577" t="inlineStr">
        <is>
          <t>[0;32m YES! [0m 	 c_nchar_20列源备映射正确，源端为sql_variant 0位	期望更改为VARCHAR(255)	实际备端为varchar 1020位	位数精度不存在，通过长度比较</t>
        </is>
      </c>
    </row>
    <row r="578">
      <c r="B578" t="inlineStr">
        <is>
          <t>NULL</t>
        </is>
      </c>
      <c r="C578" t="inlineStr">
        <is>
          <t>NULL</t>
        </is>
      </c>
      <c r="D578" t="inlineStr">
        <is>
          <t>NULL</t>
        </is>
      </c>
      <c r="E578" t="inlineStr">
        <is>
          <t>NULL</t>
        </is>
      </c>
      <c r="F578" t="inlineStr">
        <is>
          <t>NULL</t>
        </is>
      </c>
      <c r="G578" t="inlineStr">
        <is>
          <t>NULL</t>
        </is>
      </c>
      <c r="H578" t="inlineStr">
        <is>
          <t>NULL</t>
        </is>
      </c>
      <c r="I578" t="inlineStr">
        <is>
          <t>NULL</t>
        </is>
      </c>
      <c r="J578" t="inlineStr">
        <is>
          <t>NULL</t>
        </is>
      </c>
      <c r="K578" t="inlineStr">
        <is>
          <t>[0;32m YES! [0m 	 c_timestamp列源备映射正确，源端为timestamp None位	期望更改为binary(8)	实际备端为binary 8位	位数精度不存在，通过长度比较</t>
        </is>
      </c>
    </row>
    <row r="579">
      <c r="A579" t="inlineStr">
        <is>
          <t>info_varchar_dml_batch2_pk_irp2</t>
        </is>
      </c>
      <c r="K579" t="inlineStr">
        <is>
          <t>[0;34m info_varchar_dml_batch2_pk_irp2 [0m源备字段数相同，源端字段：4 	备端字段4</t>
        </is>
      </c>
      <c r="W579" t="inlineStr">
        <is>
          <t>YES 源备无差异</t>
        </is>
      </c>
      <c r="X579">
        <f>A579</f>
        <v/>
      </c>
    </row>
    <row r="580">
      <c r="B580" t="inlineStr">
        <is>
          <t>YES</t>
        </is>
      </c>
      <c r="C580" t="inlineStr">
        <is>
          <t>NULL</t>
        </is>
      </c>
      <c r="D580" t="inlineStr">
        <is>
          <t>NULL</t>
        </is>
      </c>
      <c r="E580" t="inlineStr">
        <is>
          <t>NULL</t>
        </is>
      </c>
      <c r="F580" t="inlineStr">
        <is>
          <t>NULL</t>
        </is>
      </c>
      <c r="G580" t="inlineStr">
        <is>
          <t>NULL</t>
        </is>
      </c>
      <c r="H580" t="inlineStr">
        <is>
          <t>NULL</t>
        </is>
      </c>
      <c r="I580" t="inlineStr">
        <is>
          <t>YES!PK__info_var__3213E83F3FF2B9DE</t>
        </is>
      </c>
      <c r="J580" t="inlineStr">
        <is>
          <t>YES! 主键相关索引</t>
        </is>
      </c>
      <c r="K580" t="inlineStr">
        <is>
          <t>YES! 	 id列源备映射正确，源端为int None位	期望更改为int	实际备端为int None位</t>
        </is>
      </c>
    </row>
    <row r="581">
      <c r="B581" t="inlineStr">
        <is>
          <t>NULL</t>
        </is>
      </c>
      <c r="C581" t="inlineStr">
        <is>
          <t>NULL</t>
        </is>
      </c>
      <c r="D581" t="inlineStr">
        <is>
          <t>NULL</t>
        </is>
      </c>
      <c r="E581" t="inlineStr">
        <is>
          <t>NULL</t>
        </is>
      </c>
      <c r="F581" t="inlineStr">
        <is>
          <t>NULL</t>
        </is>
      </c>
      <c r="G581" t="inlineStr">
        <is>
          <t>NULL</t>
        </is>
      </c>
      <c r="H581" t="inlineStr">
        <is>
          <t>NULL</t>
        </is>
      </c>
      <c r="I581" t="inlineStr">
        <is>
          <t>NULL</t>
        </is>
      </c>
      <c r="J581" t="inlineStr">
        <is>
          <t>NULL</t>
        </is>
      </c>
      <c r="K581" t="inlineStr">
        <is>
          <t>YES! 	 c_varchar列源备映射正确，源端为varchar 1位	期望更改为varchar(n)	实际备端为varchar 4位</t>
        </is>
      </c>
    </row>
    <row r="582">
      <c r="B582" t="inlineStr">
        <is>
          <t>NULL</t>
        </is>
      </c>
      <c r="C582" t="inlineStr">
        <is>
          <t>NULL</t>
        </is>
      </c>
      <c r="D582" t="inlineStr">
        <is>
          <t>NULL</t>
        </is>
      </c>
      <c r="E582" t="inlineStr">
        <is>
          <t>NULL</t>
        </is>
      </c>
      <c r="F582" t="inlineStr">
        <is>
          <t>NULL</t>
        </is>
      </c>
      <c r="G582" t="inlineStr">
        <is>
          <t>NULL</t>
        </is>
      </c>
      <c r="H582" t="inlineStr">
        <is>
          <t>NULL</t>
        </is>
      </c>
      <c r="I582" t="inlineStr">
        <is>
          <t>NULL</t>
        </is>
      </c>
      <c r="J582" t="inlineStr">
        <is>
          <t>NULL</t>
        </is>
      </c>
      <c r="K582" t="inlineStr">
        <is>
          <t>YES! 	 c_varchar20列源备映射正确，源端为varchar 20位	期望更改为varchar(n)	实际备端为varchar 80位</t>
        </is>
      </c>
    </row>
    <row r="583">
      <c r="B583" t="inlineStr">
        <is>
          <t>NULL</t>
        </is>
      </c>
      <c r="C583" t="inlineStr">
        <is>
          <t>NULL</t>
        </is>
      </c>
      <c r="D583" t="inlineStr">
        <is>
          <t>NULL</t>
        </is>
      </c>
      <c r="E583" t="inlineStr">
        <is>
          <t>NULL</t>
        </is>
      </c>
      <c r="F583" t="inlineStr">
        <is>
          <t>NULL</t>
        </is>
      </c>
      <c r="G583" t="inlineStr">
        <is>
          <t>NULL</t>
        </is>
      </c>
      <c r="H583" t="inlineStr">
        <is>
          <t>NULL</t>
        </is>
      </c>
      <c r="I583" t="inlineStr">
        <is>
          <t>NULL</t>
        </is>
      </c>
      <c r="J583" t="inlineStr">
        <is>
          <t>NULL</t>
        </is>
      </c>
      <c r="K583" t="inlineStr">
        <is>
          <t xml:space="preserve"> NO!  	 c_varchar8000列源备映射错误，源端为varchar 8000位	期望更改为longtext	实际备端为text 65535位</t>
        </is>
      </c>
    </row>
    <row r="584">
      <c r="A584" t="inlineStr">
        <is>
          <t>info_sdt_dml_batch1_pk</t>
        </is>
      </c>
      <c r="K584" t="inlineStr">
        <is>
          <t>[0;34m info_sdt_dml_batch1_pk [0m源备字段数相同，源端字段：2 	备端字段2</t>
        </is>
      </c>
      <c r="W584" t="inlineStr">
        <is>
          <t>YES 源备无差异</t>
        </is>
      </c>
      <c r="X584">
        <f>A584</f>
        <v/>
      </c>
    </row>
    <row r="585">
      <c r="B585" t="inlineStr">
        <is>
          <t>YES</t>
        </is>
      </c>
      <c r="C585" t="inlineStr">
        <is>
          <t>NULL</t>
        </is>
      </c>
      <c r="D585" t="inlineStr">
        <is>
          <t>NULL</t>
        </is>
      </c>
      <c r="E585" t="inlineStr">
        <is>
          <t>NULL</t>
        </is>
      </c>
      <c r="F585" t="inlineStr">
        <is>
          <t>NULL</t>
        </is>
      </c>
      <c r="G585" t="inlineStr">
        <is>
          <t>NULL</t>
        </is>
      </c>
      <c r="H585" t="inlineStr">
        <is>
          <t>NULL</t>
        </is>
      </c>
      <c r="I585" t="inlineStr">
        <is>
          <t>YES!PK__info_sdt__3213E83FA1971A79</t>
        </is>
      </c>
      <c r="J585" t="inlineStr">
        <is>
          <t>YES! 主键相关索引</t>
        </is>
      </c>
      <c r="K585" t="inlineStr">
        <is>
          <t>YES! 	 id列源备映射正确，源端为int None位	期望更改为int	实际备端为int None位</t>
        </is>
      </c>
    </row>
    <row r="586">
      <c r="B586" t="inlineStr">
        <is>
          <t>NULL</t>
        </is>
      </c>
      <c r="C586" t="inlineStr">
        <is>
          <t>NULL</t>
        </is>
      </c>
      <c r="D586" t="inlineStr">
        <is>
          <t>NULL</t>
        </is>
      </c>
      <c r="E586" t="inlineStr">
        <is>
          <t>NULL</t>
        </is>
      </c>
      <c r="F586" t="inlineStr">
        <is>
          <t>NULL</t>
        </is>
      </c>
      <c r="G586" t="inlineStr">
        <is>
          <t>NULL</t>
        </is>
      </c>
      <c r="H586" t="inlineStr">
        <is>
          <t>NULL</t>
        </is>
      </c>
      <c r="I586" t="inlineStr">
        <is>
          <t>NULL</t>
        </is>
      </c>
      <c r="J586" t="inlineStr">
        <is>
          <t>NULL</t>
        </is>
      </c>
      <c r="K586" t="inlineStr">
        <is>
          <t>YES! 	 c_sdt列源备映射正确，源端为smalldatetime None位	期望更改为datetime	实际备端为datetime None位</t>
        </is>
      </c>
    </row>
    <row r="587">
      <c r="A587" t="inlineStr">
        <is>
          <t>info_varchar_dml_batch1_pk_urp1</t>
        </is>
      </c>
      <c r="K587" t="inlineStr">
        <is>
          <t>[0;34m info_varchar_dml_batch1_pk_urp1 [0m源备字段数相同，源端字段：4 	备端字段4</t>
        </is>
      </c>
      <c r="W587" t="inlineStr">
        <is>
          <t>YES 源备无差异</t>
        </is>
      </c>
      <c r="X587">
        <f>A587</f>
        <v/>
      </c>
    </row>
    <row r="588">
      <c r="B588" t="inlineStr">
        <is>
          <t>YES</t>
        </is>
      </c>
      <c r="C588" t="inlineStr">
        <is>
          <t>NULL</t>
        </is>
      </c>
      <c r="D588" t="inlineStr">
        <is>
          <t>NULL</t>
        </is>
      </c>
      <c r="E588" t="inlineStr">
        <is>
          <t>NULL</t>
        </is>
      </c>
      <c r="F588" t="inlineStr">
        <is>
          <t>NULL</t>
        </is>
      </c>
      <c r="G588" t="inlineStr">
        <is>
          <t>NULL</t>
        </is>
      </c>
      <c r="H588" t="inlineStr">
        <is>
          <t>NULL</t>
        </is>
      </c>
      <c r="I588" t="inlineStr">
        <is>
          <t>YES!PK__info_var__3213E83F95050969</t>
        </is>
      </c>
      <c r="J588" t="inlineStr">
        <is>
          <t>YES! 主键相关索引</t>
        </is>
      </c>
      <c r="K588" t="inlineStr">
        <is>
          <t>YES! 	 id列源备映射正确，源端为int None位	期望更改为int	实际备端为int None位</t>
        </is>
      </c>
    </row>
    <row r="589">
      <c r="B589" t="inlineStr">
        <is>
          <t>NULL</t>
        </is>
      </c>
      <c r="C589" t="inlineStr">
        <is>
          <t>NULL</t>
        </is>
      </c>
      <c r="D589" t="inlineStr">
        <is>
          <t>NULL</t>
        </is>
      </c>
      <c r="E589" t="inlineStr">
        <is>
          <t>NULL</t>
        </is>
      </c>
      <c r="F589" t="inlineStr">
        <is>
          <t>NULL</t>
        </is>
      </c>
      <c r="G589" t="inlineStr">
        <is>
          <t>NULL</t>
        </is>
      </c>
      <c r="H589" t="inlineStr">
        <is>
          <t>NULL</t>
        </is>
      </c>
      <c r="I589" t="inlineStr">
        <is>
          <t>NULL</t>
        </is>
      </c>
      <c r="J589" t="inlineStr">
        <is>
          <t>NULL</t>
        </is>
      </c>
      <c r="K589" t="inlineStr">
        <is>
          <t>YES! 	 c_varchar列源备映射正确，源端为varchar 1位	期望更改为varchar(n)	实际备端为varchar 4位</t>
        </is>
      </c>
    </row>
    <row r="590">
      <c r="B590" t="inlineStr">
        <is>
          <t>NULL</t>
        </is>
      </c>
      <c r="C590" t="inlineStr">
        <is>
          <t>NULL</t>
        </is>
      </c>
      <c r="D590" t="inlineStr">
        <is>
          <t>NULL</t>
        </is>
      </c>
      <c r="E590" t="inlineStr">
        <is>
          <t>NULL</t>
        </is>
      </c>
      <c r="F590" t="inlineStr">
        <is>
          <t>NULL</t>
        </is>
      </c>
      <c r="G590" t="inlineStr">
        <is>
          <t>NULL</t>
        </is>
      </c>
      <c r="H590" t="inlineStr">
        <is>
          <t>NULL</t>
        </is>
      </c>
      <c r="I590" t="inlineStr">
        <is>
          <t>NULL</t>
        </is>
      </c>
      <c r="J590" t="inlineStr">
        <is>
          <t>NULL</t>
        </is>
      </c>
      <c r="K590" t="inlineStr">
        <is>
          <t>YES! 	 c_varchar20列源备映射正确，源端为varchar 20位	期望更改为varchar(n)	实际备端为varchar 80位</t>
        </is>
      </c>
    </row>
    <row r="591">
      <c r="B591" t="inlineStr">
        <is>
          <t>NULL</t>
        </is>
      </c>
      <c r="C591" t="inlineStr">
        <is>
          <t>NULL</t>
        </is>
      </c>
      <c r="D591" t="inlineStr">
        <is>
          <t>NULL</t>
        </is>
      </c>
      <c r="E591" t="inlineStr">
        <is>
          <t>NULL</t>
        </is>
      </c>
      <c r="F591" t="inlineStr">
        <is>
          <t>NULL</t>
        </is>
      </c>
      <c r="G591" t="inlineStr">
        <is>
          <t>NULL</t>
        </is>
      </c>
      <c r="H591" t="inlineStr">
        <is>
          <t>NULL</t>
        </is>
      </c>
      <c r="I591" t="inlineStr">
        <is>
          <t>NULL</t>
        </is>
      </c>
      <c r="J591" t="inlineStr">
        <is>
          <t>NULL</t>
        </is>
      </c>
      <c r="K591" t="inlineStr">
        <is>
          <t xml:space="preserve"> NO!  	 c_varchar7000列源备映射错误，源端为varchar 7000位	期望更改为longtext	实际备端为text 65535位</t>
        </is>
      </c>
    </row>
    <row r="592">
      <c r="A592" t="inlineStr">
        <is>
          <t>info_nvarchar_dml_single_nopk_irp</t>
        </is>
      </c>
      <c r="K592" t="inlineStr">
        <is>
          <t>[0;34m info_nvarchar_dml_single_nopk_irp [0m源备字段数相同，源端字段：4 	备端字段4</t>
        </is>
      </c>
      <c r="W592" t="inlineStr">
        <is>
          <t>YES 源备无差异</t>
        </is>
      </c>
      <c r="X592">
        <f>A592</f>
        <v/>
      </c>
    </row>
    <row r="593">
      <c r="B593" t="inlineStr">
        <is>
          <t>NULL</t>
        </is>
      </c>
      <c r="C593" t="inlineStr">
        <is>
          <t>NULL</t>
        </is>
      </c>
      <c r="D593" t="inlineStr">
        <is>
          <t>NULL</t>
        </is>
      </c>
      <c r="E593" t="inlineStr">
        <is>
          <t>NULL</t>
        </is>
      </c>
      <c r="F593" t="inlineStr">
        <is>
          <t>NULL</t>
        </is>
      </c>
      <c r="G593" t="inlineStr">
        <is>
          <t>NULL</t>
        </is>
      </c>
      <c r="H593" t="inlineStr">
        <is>
          <t>NULL</t>
        </is>
      </c>
      <c r="I593" t="inlineStr">
        <is>
          <t>NULL</t>
        </is>
      </c>
      <c r="J593" t="inlineStr">
        <is>
          <t>NULL</t>
        </is>
      </c>
      <c r="K593" t="inlineStr">
        <is>
          <t>YES! 	 id列源备映射正确，源端为int None位	期望更改为int	实际备端为int None位</t>
        </is>
      </c>
    </row>
    <row r="594">
      <c r="B594" t="inlineStr">
        <is>
          <t>NULL</t>
        </is>
      </c>
      <c r="C594" t="inlineStr">
        <is>
          <t>NULL</t>
        </is>
      </c>
      <c r="D594" t="inlineStr">
        <is>
          <t>NULL</t>
        </is>
      </c>
      <c r="E594" t="inlineStr">
        <is>
          <t>NULL</t>
        </is>
      </c>
      <c r="F594" t="inlineStr">
        <is>
          <t>NULL</t>
        </is>
      </c>
      <c r="G594" t="inlineStr">
        <is>
          <t>NULL</t>
        </is>
      </c>
      <c r="H594" t="inlineStr">
        <is>
          <t>NULL</t>
        </is>
      </c>
      <c r="I594" t="inlineStr">
        <is>
          <t>NULL</t>
        </is>
      </c>
      <c r="J594" t="inlineStr">
        <is>
          <t>NULL</t>
        </is>
      </c>
      <c r="K594" t="inlineStr">
        <is>
          <t>YES! 	 c_nvarchar列源备映射正确，源端为nvarchar 2位	期望更改为varchar(n)	实际备端为varchar 4位</t>
        </is>
      </c>
    </row>
    <row r="595">
      <c r="B595" t="inlineStr">
        <is>
          <t>NULL</t>
        </is>
      </c>
      <c r="C595" t="inlineStr">
        <is>
          <t>NULL</t>
        </is>
      </c>
      <c r="D595" t="inlineStr">
        <is>
          <t>NULL</t>
        </is>
      </c>
      <c r="E595" t="inlineStr">
        <is>
          <t>NULL</t>
        </is>
      </c>
      <c r="F595" t="inlineStr">
        <is>
          <t>NULL</t>
        </is>
      </c>
      <c r="G595" t="inlineStr">
        <is>
          <t>NULL</t>
        </is>
      </c>
      <c r="H595" t="inlineStr">
        <is>
          <t>NULL</t>
        </is>
      </c>
      <c r="I595" t="inlineStr">
        <is>
          <t>NULL</t>
        </is>
      </c>
      <c r="J595" t="inlineStr">
        <is>
          <t>NULL</t>
        </is>
      </c>
      <c r="K595" t="inlineStr">
        <is>
          <t>YES! 	 c_nvarchar20列源备映射正确，源端为nvarchar 40位	期望更改为varchar(n)	实际备端为varchar 80位</t>
        </is>
      </c>
    </row>
    <row r="596">
      <c r="B596" t="inlineStr">
        <is>
          <t>NULL</t>
        </is>
      </c>
      <c r="C596" t="inlineStr">
        <is>
          <t>NULL</t>
        </is>
      </c>
      <c r="D596" t="inlineStr">
        <is>
          <t>NULL</t>
        </is>
      </c>
      <c r="E596" t="inlineStr">
        <is>
          <t>NULL</t>
        </is>
      </c>
      <c r="F596" t="inlineStr">
        <is>
          <t>NULL</t>
        </is>
      </c>
      <c r="G596" t="inlineStr">
        <is>
          <t>NULL</t>
        </is>
      </c>
      <c r="H596" t="inlineStr">
        <is>
          <t>NULL</t>
        </is>
      </c>
      <c r="I596" t="inlineStr">
        <is>
          <t>NULL</t>
        </is>
      </c>
      <c r="J596" t="inlineStr">
        <is>
          <t>NULL</t>
        </is>
      </c>
      <c r="K596" t="inlineStr">
        <is>
          <t xml:space="preserve"> NO!  	 c_nvarchar4000列源备映射错误，源端为nvarchar 8000位	期望更改为longtext	实际备端为text 65535位</t>
        </is>
      </c>
    </row>
    <row r="597">
      <c r="A597" t="inlineStr">
        <is>
          <t>info_sql_variant_dml_single_pk</t>
        </is>
      </c>
      <c r="K597" t="inlineStr">
        <is>
          <t>[0;34m info_sql_variant_dml_single_pk [0m源备字段数相同，源端字段：25 	备端字段25</t>
        </is>
      </c>
      <c r="W597" s="15">
        <f>HYPERLINK("#2026052610mysql0!BE2","NO 源备存在差异，共2个")</f>
        <v/>
      </c>
      <c r="X597">
        <f>A597</f>
        <v/>
      </c>
    </row>
    <row r="598">
      <c r="B598" t="inlineStr">
        <is>
          <t>YES</t>
        </is>
      </c>
      <c r="C598" t="inlineStr">
        <is>
          <t>NULL</t>
        </is>
      </c>
      <c r="D598" t="inlineStr">
        <is>
          <t>NULL</t>
        </is>
      </c>
      <c r="E598" t="inlineStr">
        <is>
          <t>NULL</t>
        </is>
      </c>
      <c r="F598" t="inlineStr">
        <is>
          <t>NULL</t>
        </is>
      </c>
      <c r="G598" t="inlineStr">
        <is>
          <t>NULL</t>
        </is>
      </c>
      <c r="H598" t="inlineStr">
        <is>
          <t>NULL</t>
        </is>
      </c>
      <c r="I598" t="inlineStr">
        <is>
          <t>YES!PK__info_sql__3213E83F0AEFC72B</t>
        </is>
      </c>
      <c r="J598" t="inlineStr">
        <is>
          <t>YES! 主键相关索引</t>
        </is>
      </c>
      <c r="K598" t="inlineStr">
        <is>
          <t>YES! 	 id列源备映射正确，源端为int None位	期望更改为int	实际备端为int None位</t>
        </is>
      </c>
    </row>
    <row r="599">
      <c r="B599" t="inlineStr">
        <is>
          <t>NULL</t>
        </is>
      </c>
      <c r="C599" t="inlineStr">
        <is>
          <t>NULL</t>
        </is>
      </c>
      <c r="D599" t="inlineStr">
        <is>
          <t>NULL</t>
        </is>
      </c>
      <c r="E599" t="inlineStr">
        <is>
          <t>NULL</t>
        </is>
      </c>
      <c r="F599" t="inlineStr">
        <is>
          <t>NULL</t>
        </is>
      </c>
      <c r="G599" t="inlineStr">
        <is>
          <t>NULL</t>
        </is>
      </c>
      <c r="H599" t="inlineStr">
        <is>
          <t>NULL</t>
        </is>
      </c>
      <c r="I599" t="inlineStr">
        <is>
          <t>NULL</t>
        </is>
      </c>
      <c r="J599" t="inlineStr">
        <is>
          <t>NULL</t>
        </is>
      </c>
      <c r="K599" t="inlineStr">
        <is>
          <t>[0;32m YES! [0m 	 c_date列源备映射正确，源端为sql_variant 0位	期望更改为VARCHAR(255)	实际备端为varchar 1020位	位数精度不存在，通过长度比较</t>
        </is>
      </c>
    </row>
    <row r="600">
      <c r="B600" t="inlineStr">
        <is>
          <t>NULL</t>
        </is>
      </c>
      <c r="C600" t="inlineStr">
        <is>
          <t>NULL</t>
        </is>
      </c>
      <c r="D600" t="inlineStr">
        <is>
          <t>NULL</t>
        </is>
      </c>
      <c r="E600" t="inlineStr">
        <is>
          <t>NULL</t>
        </is>
      </c>
      <c r="F600" t="inlineStr">
        <is>
          <t>NULL</t>
        </is>
      </c>
      <c r="G600" t="inlineStr">
        <is>
          <t>NULL</t>
        </is>
      </c>
      <c r="H600" t="inlineStr">
        <is>
          <t>NULL</t>
        </is>
      </c>
      <c r="I600" t="inlineStr">
        <is>
          <t>NULL</t>
        </is>
      </c>
      <c r="J600" t="inlineStr">
        <is>
          <t>NULL</t>
        </is>
      </c>
      <c r="K600" t="inlineStr">
        <is>
          <t>[0;32m YES! [0m 	 c_time列源备映射正确，源端为sql_variant 0位	期望更改为VARCHAR(255)	实际备端为varchar 1020位	位数精度不存在，通过长度比较</t>
        </is>
      </c>
    </row>
    <row r="601">
      <c r="B601" t="inlineStr">
        <is>
          <t>NULL</t>
        </is>
      </c>
      <c r="C601" t="inlineStr">
        <is>
          <t>NULL</t>
        </is>
      </c>
      <c r="D601" t="inlineStr">
        <is>
          <t>NULL</t>
        </is>
      </c>
      <c r="E601" t="inlineStr">
        <is>
          <t>NULL</t>
        </is>
      </c>
      <c r="F601" t="inlineStr">
        <is>
          <t>NULL</t>
        </is>
      </c>
      <c r="G601" t="inlineStr">
        <is>
          <t>NULL</t>
        </is>
      </c>
      <c r="H601" t="inlineStr">
        <is>
          <t>NULL</t>
        </is>
      </c>
      <c r="I601" t="inlineStr">
        <is>
          <t>NULL</t>
        </is>
      </c>
      <c r="J601" t="inlineStr">
        <is>
          <t>NULL</t>
        </is>
      </c>
      <c r="K601" t="inlineStr">
        <is>
          <t>[0;32m YES! [0m 	 c_datetime2列源备映射正确，源端为sql_variant 0位	期望更改为VARCHAR(255)	实际备端为varchar 1020位	位数精度不存在，通过长度比较</t>
        </is>
      </c>
    </row>
    <row r="602">
      <c r="B602" t="inlineStr">
        <is>
          <t>NULL</t>
        </is>
      </c>
      <c r="C602" t="inlineStr">
        <is>
          <t>NULL</t>
        </is>
      </c>
      <c r="D602" t="inlineStr">
        <is>
          <t>NULL</t>
        </is>
      </c>
      <c r="E602" t="inlineStr">
        <is>
          <t>NULL</t>
        </is>
      </c>
      <c r="F602" t="inlineStr">
        <is>
          <t>NULL</t>
        </is>
      </c>
      <c r="G602" t="inlineStr">
        <is>
          <t>NULL</t>
        </is>
      </c>
      <c r="H602" t="inlineStr">
        <is>
          <t>NULL</t>
        </is>
      </c>
      <c r="I602" t="inlineStr">
        <is>
          <t>NULL</t>
        </is>
      </c>
      <c r="J602" t="inlineStr">
        <is>
          <t>NULL</t>
        </is>
      </c>
      <c r="K602" t="inlineStr">
        <is>
          <t>[0;32m YES! [0m 	 c_datetimeoffset列源备映射正确，源端为sql_variant 0位	期望更改为VARCHAR(255)	实际备端为varchar 1020位	位数精度不存在，通过长度比较</t>
        </is>
      </c>
    </row>
    <row r="603">
      <c r="B603" t="inlineStr">
        <is>
          <t>NULL</t>
        </is>
      </c>
      <c r="C603" t="inlineStr">
        <is>
          <t>NULL</t>
        </is>
      </c>
      <c r="D603" t="inlineStr">
        <is>
          <t>NULL</t>
        </is>
      </c>
      <c r="E603" t="inlineStr">
        <is>
          <t>NULL</t>
        </is>
      </c>
      <c r="F603" t="inlineStr">
        <is>
          <t>NULL</t>
        </is>
      </c>
      <c r="G603" t="inlineStr">
        <is>
          <t>NULL</t>
        </is>
      </c>
      <c r="H603" t="inlineStr">
        <is>
          <t>NULL</t>
        </is>
      </c>
      <c r="I603" t="inlineStr">
        <is>
          <t>NULL</t>
        </is>
      </c>
      <c r="J603" t="inlineStr">
        <is>
          <t>NULL</t>
        </is>
      </c>
      <c r="K603" t="inlineStr">
        <is>
          <t>[0;32m YES! [0m 	 c_tinyint列源备映射正确，源端为sql_variant 0位	期望更改为VARCHAR(255)	实际备端为varchar 1020位	位数精度不存在，通过长度比较</t>
        </is>
      </c>
    </row>
    <row r="604">
      <c r="B604" t="inlineStr">
        <is>
          <t>NULL</t>
        </is>
      </c>
      <c r="C604" t="inlineStr">
        <is>
          <t>NULL</t>
        </is>
      </c>
      <c r="D604" t="inlineStr">
        <is>
          <t>NULL</t>
        </is>
      </c>
      <c r="E604" t="inlineStr">
        <is>
          <t>NULL</t>
        </is>
      </c>
      <c r="F604" t="inlineStr">
        <is>
          <t>NULL</t>
        </is>
      </c>
      <c r="G604" t="inlineStr">
        <is>
          <t>NULL</t>
        </is>
      </c>
      <c r="H604" t="inlineStr">
        <is>
          <t>NULL</t>
        </is>
      </c>
      <c r="I604" t="inlineStr">
        <is>
          <t>NULL</t>
        </is>
      </c>
      <c r="J604" t="inlineStr">
        <is>
          <t>NULL</t>
        </is>
      </c>
      <c r="K604" t="inlineStr">
        <is>
          <t>[0;32m YES! [0m 	 c_smallint列源备映射正确，源端为sql_variant 0位	期望更改为VARCHAR(255)	实际备端为varchar 1020位	位数精度不存在，通过长度比较</t>
        </is>
      </c>
    </row>
    <row r="605">
      <c r="B605" t="inlineStr">
        <is>
          <t>NULL</t>
        </is>
      </c>
      <c r="C605" t="inlineStr">
        <is>
          <t>NULL</t>
        </is>
      </c>
      <c r="D605" t="inlineStr">
        <is>
          <t>NULL</t>
        </is>
      </c>
      <c r="E605" t="inlineStr">
        <is>
          <t>NULL</t>
        </is>
      </c>
      <c r="F605" t="inlineStr">
        <is>
          <t>NULL</t>
        </is>
      </c>
      <c r="G605" t="inlineStr">
        <is>
          <t>NULL</t>
        </is>
      </c>
      <c r="H605" t="inlineStr">
        <is>
          <t>NULL</t>
        </is>
      </c>
      <c r="I605" t="inlineStr">
        <is>
          <t>NULL</t>
        </is>
      </c>
      <c r="J605" t="inlineStr">
        <is>
          <t>NULL</t>
        </is>
      </c>
      <c r="K605" t="inlineStr">
        <is>
          <t>[0;32m YES! [0m 	 c_int列源备映射正确，源端为sql_variant 0位	期望更改为VARCHAR(255)	实际备端为varchar 1020位	位数精度不存在，通过长度比较</t>
        </is>
      </c>
    </row>
    <row r="606">
      <c r="B606" t="inlineStr">
        <is>
          <t>NULL</t>
        </is>
      </c>
      <c r="C606" t="inlineStr">
        <is>
          <t>NULL</t>
        </is>
      </c>
      <c r="D606" t="inlineStr">
        <is>
          <t>NULL</t>
        </is>
      </c>
      <c r="E606" t="inlineStr">
        <is>
          <t>NULL</t>
        </is>
      </c>
      <c r="F606" t="inlineStr">
        <is>
          <t>NULL</t>
        </is>
      </c>
      <c r="G606" t="inlineStr">
        <is>
          <t>NULL</t>
        </is>
      </c>
      <c r="H606" t="inlineStr">
        <is>
          <t>NULL</t>
        </is>
      </c>
      <c r="I606" t="inlineStr">
        <is>
          <t>NULL</t>
        </is>
      </c>
      <c r="J606" t="inlineStr">
        <is>
          <t>NULL</t>
        </is>
      </c>
      <c r="K606" t="inlineStr">
        <is>
          <t>[0;32m YES! [0m 	 c_sdt列源备映射正确，源端为sql_variant 0位	期望更改为VARCHAR(255)	实际备端为varchar 1020位	位数精度不存在，通过长度比较</t>
        </is>
      </c>
    </row>
    <row r="607">
      <c r="B607" t="inlineStr">
        <is>
          <t>NULL</t>
        </is>
      </c>
      <c r="C607" t="inlineStr">
        <is>
          <t>NULL</t>
        </is>
      </c>
      <c r="D607" t="inlineStr">
        <is>
          <t>NULL</t>
        </is>
      </c>
      <c r="E607" t="inlineStr">
        <is>
          <t>NULL</t>
        </is>
      </c>
      <c r="F607" t="inlineStr">
        <is>
          <t>NULL</t>
        </is>
      </c>
      <c r="G607" t="inlineStr">
        <is>
          <t>NULL</t>
        </is>
      </c>
      <c r="H607" t="inlineStr">
        <is>
          <t>NULL</t>
        </is>
      </c>
      <c r="I607" t="inlineStr">
        <is>
          <t>NULL</t>
        </is>
      </c>
      <c r="J607" t="inlineStr">
        <is>
          <t>NULL</t>
        </is>
      </c>
      <c r="K607" t="inlineStr">
        <is>
          <t>[0;32m YES! [0m 	 c_real列源备映射正确，源端为sql_variant 0位	期望更改为VARCHAR(255)	实际备端为varchar 1020位	位数精度不存在，通过长度比较</t>
        </is>
      </c>
    </row>
    <row r="608">
      <c r="B608" t="inlineStr">
        <is>
          <t>NULL</t>
        </is>
      </c>
      <c r="C608" t="inlineStr">
        <is>
          <t>NULL</t>
        </is>
      </c>
      <c r="D608" t="inlineStr">
        <is>
          <t>NULL</t>
        </is>
      </c>
      <c r="E608" t="inlineStr">
        <is>
          <t>NULL</t>
        </is>
      </c>
      <c r="F608" t="inlineStr">
        <is>
          <t>NULL</t>
        </is>
      </c>
      <c r="G608" t="inlineStr">
        <is>
          <t>NULL</t>
        </is>
      </c>
      <c r="H608" t="inlineStr">
        <is>
          <t>NULL</t>
        </is>
      </c>
      <c r="I608" t="inlineStr">
        <is>
          <t>NULL</t>
        </is>
      </c>
      <c r="J608" t="inlineStr">
        <is>
          <t>NULL</t>
        </is>
      </c>
      <c r="K608" t="inlineStr">
        <is>
          <t>[0;32m YES! [0m 	 c_money列源备映射正确，源端为sql_variant 0位	期望更改为VARCHAR(255)	实际备端为varchar 1020位	位数精度不存在，通过长度比较</t>
        </is>
      </c>
    </row>
    <row r="609">
      <c r="B609" t="inlineStr">
        <is>
          <t>NULL</t>
        </is>
      </c>
      <c r="C609" t="inlineStr">
        <is>
          <t>NULL</t>
        </is>
      </c>
      <c r="D609" t="inlineStr">
        <is>
          <t>NULL</t>
        </is>
      </c>
      <c r="E609" t="inlineStr">
        <is>
          <t>NULL</t>
        </is>
      </c>
      <c r="F609" t="inlineStr">
        <is>
          <t>NULL</t>
        </is>
      </c>
      <c r="G609" t="inlineStr">
        <is>
          <t>NULL</t>
        </is>
      </c>
      <c r="H609" t="inlineStr">
        <is>
          <t>NULL</t>
        </is>
      </c>
      <c r="I609" t="inlineStr">
        <is>
          <t>NULL</t>
        </is>
      </c>
      <c r="J609" t="inlineStr">
        <is>
          <t>NULL</t>
        </is>
      </c>
      <c r="K609" t="inlineStr">
        <is>
          <t>[0;32m YES! [0m 	 c_datetime列源备映射正确，源端为sql_variant 0位	期望更改为VARCHAR(255)	实际备端为varchar 1020位	位数精度不存在，通过长度比较</t>
        </is>
      </c>
    </row>
    <row r="610">
      <c r="B610" t="inlineStr">
        <is>
          <t>NULL</t>
        </is>
      </c>
      <c r="C610" t="inlineStr">
        <is>
          <t>NULL</t>
        </is>
      </c>
      <c r="D610" t="inlineStr">
        <is>
          <t>NULL</t>
        </is>
      </c>
      <c r="E610" t="inlineStr">
        <is>
          <t>NULL</t>
        </is>
      </c>
      <c r="F610" t="inlineStr">
        <is>
          <t>NULL</t>
        </is>
      </c>
      <c r="G610" t="inlineStr">
        <is>
          <t>NULL</t>
        </is>
      </c>
      <c r="H610" t="inlineStr">
        <is>
          <t>NULL</t>
        </is>
      </c>
      <c r="I610" t="inlineStr">
        <is>
          <t>NULL</t>
        </is>
      </c>
      <c r="J610" t="inlineStr">
        <is>
          <t>NULL</t>
        </is>
      </c>
      <c r="K610" t="inlineStr">
        <is>
          <t>[0;32m YES! [0m 	 c_float列源备映射正确，源端为sql_variant 0位	期望更改为VARCHAR(255)	实际备端为varchar 1020位	位数精度不存在，通过长度比较</t>
        </is>
      </c>
    </row>
    <row r="611">
      <c r="B611" t="inlineStr">
        <is>
          <t>NULL</t>
        </is>
      </c>
      <c r="C611" t="inlineStr">
        <is>
          <t>NULL</t>
        </is>
      </c>
      <c r="D611" t="inlineStr">
        <is>
          <t>NULL</t>
        </is>
      </c>
      <c r="E611" t="inlineStr">
        <is>
          <t>NULL</t>
        </is>
      </c>
      <c r="F611" t="inlineStr">
        <is>
          <t>NULL</t>
        </is>
      </c>
      <c r="G611" t="inlineStr">
        <is>
          <t>NULL</t>
        </is>
      </c>
      <c r="H611" t="inlineStr">
        <is>
          <t>NULL</t>
        </is>
      </c>
      <c r="I611" t="inlineStr">
        <is>
          <t>NULL</t>
        </is>
      </c>
      <c r="J611" t="inlineStr">
        <is>
          <t>NULL</t>
        </is>
      </c>
      <c r="K611" t="inlineStr">
        <is>
          <t>[0;32m YES! [0m 	 c_bit列源备映射正确，源端为sql_variant 0位	期望更改为VARCHAR(255)	实际备端为varchar 1020位	位数精度不存在，通过长度比较</t>
        </is>
      </c>
    </row>
    <row r="612">
      <c r="B612" t="inlineStr">
        <is>
          <t>NULL</t>
        </is>
      </c>
      <c r="C612" t="inlineStr">
        <is>
          <t>NULL</t>
        </is>
      </c>
      <c r="D612" t="inlineStr">
        <is>
          <t>NULL</t>
        </is>
      </c>
      <c r="E612" t="inlineStr">
        <is>
          <t>NULL</t>
        </is>
      </c>
      <c r="F612" t="inlineStr">
        <is>
          <t>NULL</t>
        </is>
      </c>
      <c r="G612" t="inlineStr">
        <is>
          <t>NULL</t>
        </is>
      </c>
      <c r="H612" t="inlineStr">
        <is>
          <t>NULL</t>
        </is>
      </c>
      <c r="I612" t="inlineStr">
        <is>
          <t>NULL</t>
        </is>
      </c>
      <c r="J612" t="inlineStr">
        <is>
          <t>NULL</t>
        </is>
      </c>
      <c r="K612" t="inlineStr">
        <is>
          <t>[0;32m YES! [0m 	 c_decimal列源备映射正确，源端为sql_variant 0位	期望更改为VARCHAR(255)	实际备端为varchar 1020位	位数精度不存在，通过长度比较</t>
        </is>
      </c>
    </row>
    <row r="613">
      <c r="B613" t="inlineStr">
        <is>
          <t>NULL</t>
        </is>
      </c>
      <c r="C613" t="inlineStr">
        <is>
          <t>NULL</t>
        </is>
      </c>
      <c r="D613" t="inlineStr">
        <is>
          <t>NULL</t>
        </is>
      </c>
      <c r="E613" t="inlineStr">
        <is>
          <t>NULL</t>
        </is>
      </c>
      <c r="F613" t="inlineStr">
        <is>
          <t>NULL</t>
        </is>
      </c>
      <c r="G613" t="inlineStr">
        <is>
          <t>NULL</t>
        </is>
      </c>
      <c r="H613" t="inlineStr">
        <is>
          <t>NULL</t>
        </is>
      </c>
      <c r="I613" t="inlineStr">
        <is>
          <t>NULL</t>
        </is>
      </c>
      <c r="J613" t="inlineStr">
        <is>
          <t>NULL</t>
        </is>
      </c>
      <c r="K613" t="inlineStr">
        <is>
          <t>[0;32m YES! [0m 	 c_uniqueidentifier列源备映射正确，源端为sql_variant 0位	期望更改为VARCHAR(255)	实际备端为varchar 1020位	位数精度不存在，通过长度比较</t>
        </is>
      </c>
    </row>
    <row r="614">
      <c r="B614" t="inlineStr">
        <is>
          <t>NULL</t>
        </is>
      </c>
      <c r="C614" t="inlineStr">
        <is>
          <t>NULL</t>
        </is>
      </c>
      <c r="D614" t="inlineStr">
        <is>
          <t>NULL</t>
        </is>
      </c>
      <c r="E614" t="inlineStr">
        <is>
          <t>NULL</t>
        </is>
      </c>
      <c r="F614" t="inlineStr">
        <is>
          <t>NULL</t>
        </is>
      </c>
      <c r="G614" t="inlineStr">
        <is>
          <t>NULL</t>
        </is>
      </c>
      <c r="H614" t="inlineStr">
        <is>
          <t>NULL</t>
        </is>
      </c>
      <c r="I614" t="inlineStr">
        <is>
          <t>NULL</t>
        </is>
      </c>
      <c r="J614" t="inlineStr">
        <is>
          <t>NULL</t>
        </is>
      </c>
      <c r="K614" t="inlineStr">
        <is>
          <t>[0;32m YES! [0m 	 c_smallmoney列源备映射正确，源端为sql_variant 0位	期望更改为VARCHAR(255)	实际备端为varchar 1020位	位数精度不存在，通过长度比较</t>
        </is>
      </c>
    </row>
    <row r="615">
      <c r="B615" t="inlineStr">
        <is>
          <t>NULL</t>
        </is>
      </c>
      <c r="C615" t="inlineStr">
        <is>
          <t>NULL</t>
        </is>
      </c>
      <c r="D615" t="inlineStr">
        <is>
          <t>NULL</t>
        </is>
      </c>
      <c r="E615" t="inlineStr">
        <is>
          <t>NULL</t>
        </is>
      </c>
      <c r="F615" t="inlineStr">
        <is>
          <t>NULL</t>
        </is>
      </c>
      <c r="G615" t="inlineStr">
        <is>
          <t>NULL</t>
        </is>
      </c>
      <c r="H615" t="inlineStr">
        <is>
          <t>NULL</t>
        </is>
      </c>
      <c r="I615" t="inlineStr">
        <is>
          <t>NULL</t>
        </is>
      </c>
      <c r="J615" t="inlineStr">
        <is>
          <t>NULL</t>
        </is>
      </c>
      <c r="K615" t="inlineStr">
        <is>
          <t>[0;32m YES! [0m 	 c_bigint列源备映射正确，源端为sql_variant 0位	期望更改为VARCHAR(255)	实际备端为varchar 1020位	位数精度不存在，通过长度比较</t>
        </is>
      </c>
    </row>
    <row r="616">
      <c r="B616" t="inlineStr">
        <is>
          <t>NULL</t>
        </is>
      </c>
      <c r="C616" t="inlineStr">
        <is>
          <t>NULL</t>
        </is>
      </c>
      <c r="D616" t="inlineStr">
        <is>
          <t>NULL</t>
        </is>
      </c>
      <c r="E616" t="inlineStr">
        <is>
          <t>NULL</t>
        </is>
      </c>
      <c r="F616" t="inlineStr">
        <is>
          <t>NULL</t>
        </is>
      </c>
      <c r="G616" t="inlineStr">
        <is>
          <t>NULL</t>
        </is>
      </c>
      <c r="H616" t="inlineStr">
        <is>
          <t>NULL</t>
        </is>
      </c>
      <c r="I616" t="inlineStr">
        <is>
          <t>NULL</t>
        </is>
      </c>
      <c r="J616" t="inlineStr">
        <is>
          <t>NULL</t>
        </is>
      </c>
      <c r="K616" t="inlineStr">
        <is>
          <t>[0;32m YES! [0m 	 c_varbinary_20列源备映射正确，源端为sql_variant 0位	期望更改为VARCHAR(255)	实际备端为varchar 1020位	位数精度不存在，通过长度比较</t>
        </is>
      </c>
    </row>
    <row r="617">
      <c r="B617" t="inlineStr">
        <is>
          <t>NULL</t>
        </is>
      </c>
      <c r="C617" t="inlineStr">
        <is>
          <t>NULL</t>
        </is>
      </c>
      <c r="D617" t="inlineStr">
        <is>
          <t>NULL</t>
        </is>
      </c>
      <c r="E617" t="inlineStr">
        <is>
          <t>NULL</t>
        </is>
      </c>
      <c r="F617" t="inlineStr">
        <is>
          <t>NULL</t>
        </is>
      </c>
      <c r="G617" t="inlineStr">
        <is>
          <t>NULL</t>
        </is>
      </c>
      <c r="H617" t="inlineStr">
        <is>
          <t>NULL</t>
        </is>
      </c>
      <c r="I617" t="inlineStr">
        <is>
          <t>NULL</t>
        </is>
      </c>
      <c r="J617" t="inlineStr">
        <is>
          <t>NULL</t>
        </is>
      </c>
      <c r="K617" t="inlineStr">
        <is>
          <t>[0;32m YES! [0m 	 c_varchar_20列源备映射正确，源端为sql_variant 0位	期望更改为VARCHAR(255)	实际备端为varchar 1020位	位数精度不存在，通过长度比较</t>
        </is>
      </c>
    </row>
    <row r="618">
      <c r="B618" t="inlineStr">
        <is>
          <t>NULL</t>
        </is>
      </c>
      <c r="C618" t="inlineStr">
        <is>
          <t>NULL</t>
        </is>
      </c>
      <c r="D618" t="inlineStr">
        <is>
          <t>NULL</t>
        </is>
      </c>
      <c r="E618" t="inlineStr">
        <is>
          <t>NULL</t>
        </is>
      </c>
      <c r="F618" t="inlineStr">
        <is>
          <t>NULL</t>
        </is>
      </c>
      <c r="G618" t="inlineStr">
        <is>
          <t>NULL</t>
        </is>
      </c>
      <c r="H618" t="inlineStr">
        <is>
          <t>NULL</t>
        </is>
      </c>
      <c r="I618" t="inlineStr">
        <is>
          <t>NULL</t>
        </is>
      </c>
      <c r="J618" t="inlineStr">
        <is>
          <t>NULL</t>
        </is>
      </c>
      <c r="K618" t="inlineStr">
        <is>
          <t>[0;32m YES! [0m 	 c_binary_20列源备映射正确，源端为sql_variant 0位	期望更改为VARCHAR(255)	实际备端为varchar 1020位	位数精度不存在，通过长度比较</t>
        </is>
      </c>
    </row>
    <row r="619">
      <c r="B619" t="inlineStr">
        <is>
          <t>NULL</t>
        </is>
      </c>
      <c r="C619" t="inlineStr">
        <is>
          <t>NULL</t>
        </is>
      </c>
      <c r="D619" t="inlineStr">
        <is>
          <t>NULL</t>
        </is>
      </c>
      <c r="E619" t="inlineStr">
        <is>
          <t>NULL</t>
        </is>
      </c>
      <c r="F619" t="inlineStr">
        <is>
          <t>NULL</t>
        </is>
      </c>
      <c r="G619" t="inlineStr">
        <is>
          <t>NULL</t>
        </is>
      </c>
      <c r="H619" t="inlineStr">
        <is>
          <t>NULL</t>
        </is>
      </c>
      <c r="I619" t="inlineStr">
        <is>
          <t>NULL</t>
        </is>
      </c>
      <c r="J619" t="inlineStr">
        <is>
          <t>NULL</t>
        </is>
      </c>
      <c r="K619" t="inlineStr">
        <is>
          <t>[0;32m YES! [0m 	 c_char_20列源备映射正确，源端为sql_variant 0位	期望更改为VARCHAR(255)	实际备端为varchar 1020位	位数精度不存在，通过长度比较</t>
        </is>
      </c>
    </row>
    <row r="620">
      <c r="B620" t="inlineStr">
        <is>
          <t>NULL</t>
        </is>
      </c>
      <c r="C620" t="inlineStr">
        <is>
          <t>NULL</t>
        </is>
      </c>
      <c r="D620" t="inlineStr">
        <is>
          <t>NULL</t>
        </is>
      </c>
      <c r="E620" t="inlineStr">
        <is>
          <t>NULL</t>
        </is>
      </c>
      <c r="F620" t="inlineStr">
        <is>
          <t>NULL</t>
        </is>
      </c>
      <c r="G620" t="inlineStr">
        <is>
          <t>NULL</t>
        </is>
      </c>
      <c r="H620" t="inlineStr">
        <is>
          <t>NULL</t>
        </is>
      </c>
      <c r="I620" t="inlineStr">
        <is>
          <t>NULL</t>
        </is>
      </c>
      <c r="J620" t="inlineStr">
        <is>
          <t>NULL</t>
        </is>
      </c>
      <c r="K620" t="inlineStr">
        <is>
          <t>[0;32m YES! [0m 	 c_nvarchar_20列源备映射正确，源端为sql_variant 0位	期望更改为VARCHAR(255)	实际备端为varchar 1020位	位数精度不存在，通过长度比较</t>
        </is>
      </c>
    </row>
    <row r="621">
      <c r="B621" t="inlineStr">
        <is>
          <t>NULL</t>
        </is>
      </c>
      <c r="C621" t="inlineStr">
        <is>
          <t>NULL</t>
        </is>
      </c>
      <c r="D621" t="inlineStr">
        <is>
          <t>NULL</t>
        </is>
      </c>
      <c r="E621" t="inlineStr">
        <is>
          <t>NULL</t>
        </is>
      </c>
      <c r="F621" t="inlineStr">
        <is>
          <t>NULL</t>
        </is>
      </c>
      <c r="G621" t="inlineStr">
        <is>
          <t>NULL</t>
        </is>
      </c>
      <c r="H621" t="inlineStr">
        <is>
          <t>NULL</t>
        </is>
      </c>
      <c r="I621" t="inlineStr">
        <is>
          <t>NULL</t>
        </is>
      </c>
      <c r="J621" t="inlineStr">
        <is>
          <t>NULL</t>
        </is>
      </c>
      <c r="K621" t="inlineStr">
        <is>
          <t>[0;32m YES! [0m 	 c_nchar_20列源备映射正确，源端为sql_variant 0位	期望更改为VARCHAR(255)	实际备端为varchar 1020位	位数精度不存在，通过长度比较</t>
        </is>
      </c>
    </row>
    <row r="622">
      <c r="B622" t="inlineStr">
        <is>
          <t>NULL</t>
        </is>
      </c>
      <c r="C622" t="inlineStr">
        <is>
          <t>NULL</t>
        </is>
      </c>
      <c r="D622" t="inlineStr">
        <is>
          <t>NULL</t>
        </is>
      </c>
      <c r="E622" t="inlineStr">
        <is>
          <t>NULL</t>
        </is>
      </c>
      <c r="F622" t="inlineStr">
        <is>
          <t>NULL</t>
        </is>
      </c>
      <c r="G622" t="inlineStr">
        <is>
          <t>NULL</t>
        </is>
      </c>
      <c r="H622" t="inlineStr">
        <is>
          <t>NULL</t>
        </is>
      </c>
      <c r="I622" t="inlineStr">
        <is>
          <t>NULL</t>
        </is>
      </c>
      <c r="J622" t="inlineStr">
        <is>
          <t>NULL</t>
        </is>
      </c>
      <c r="K622" t="inlineStr">
        <is>
          <t>[0;32m YES! [0m 	 c_timestamp列源备映射正确，源端为timestamp None位	期望更改为binary(8)	实际备端为binary 8位	位数精度不存在，通过长度比较</t>
        </is>
      </c>
    </row>
    <row r="623">
      <c r="A623" t="inlineStr">
        <is>
          <t>info_nchar_dml_single_pk</t>
        </is>
      </c>
      <c r="K623" t="inlineStr">
        <is>
          <t>[0;34m info_nchar_dml_single_pk [0m源备字段数相同，源端字段：4 	备端字段4</t>
        </is>
      </c>
      <c r="W623" s="15">
        <f>HYPERLINK("#2026052610mysql0!BF2","NO 源备存在差异，共4个")</f>
        <v/>
      </c>
      <c r="X623">
        <f>A623</f>
        <v/>
      </c>
    </row>
    <row r="624">
      <c r="B624" t="inlineStr">
        <is>
          <t>YES</t>
        </is>
      </c>
      <c r="C624" t="inlineStr">
        <is>
          <t>NULL</t>
        </is>
      </c>
      <c r="D624" t="inlineStr">
        <is>
          <t>NULL</t>
        </is>
      </c>
      <c r="E624" t="inlineStr">
        <is>
          <t>NULL</t>
        </is>
      </c>
      <c r="F624" t="inlineStr">
        <is>
          <t>NULL</t>
        </is>
      </c>
      <c r="G624" t="inlineStr">
        <is>
          <t>NULL</t>
        </is>
      </c>
      <c r="H624" t="inlineStr">
        <is>
          <t>NULL</t>
        </is>
      </c>
      <c r="I624" t="inlineStr">
        <is>
          <t>YES!PK__info_nch__3213E83F0FC1BC65</t>
        </is>
      </c>
      <c r="J624" t="inlineStr">
        <is>
          <t>YES! 主键相关索引</t>
        </is>
      </c>
      <c r="K624" t="inlineStr">
        <is>
          <t>YES! 	 id列源备映射正确，源端为int None位	期望更改为int	实际备端为int None位</t>
        </is>
      </c>
    </row>
    <row r="625">
      <c r="B625" t="inlineStr">
        <is>
          <t>NULL</t>
        </is>
      </c>
      <c r="C625" t="inlineStr">
        <is>
          <t>NULL</t>
        </is>
      </c>
      <c r="D625" t="inlineStr">
        <is>
          <t>NULL</t>
        </is>
      </c>
      <c r="E625" t="inlineStr">
        <is>
          <t>NULL</t>
        </is>
      </c>
      <c r="F625" t="inlineStr">
        <is>
          <t>NULL</t>
        </is>
      </c>
      <c r="G625" t="inlineStr">
        <is>
          <t>NULL</t>
        </is>
      </c>
      <c r="H625" t="inlineStr">
        <is>
          <t>NULL</t>
        </is>
      </c>
      <c r="I625" t="inlineStr">
        <is>
          <t>NULL</t>
        </is>
      </c>
      <c r="J625" t="inlineStr">
        <is>
          <t>NULL</t>
        </is>
      </c>
      <c r="K625" t="inlineStr">
        <is>
          <t>YES! 	 c_nchar列源备映射正确，源端为nchar 2位	期望更改为char(n)	实际备端为char 4位</t>
        </is>
      </c>
    </row>
    <row r="626">
      <c r="B626" t="inlineStr">
        <is>
          <t>NULL</t>
        </is>
      </c>
      <c r="C626" t="inlineStr">
        <is>
          <t>NULL</t>
        </is>
      </c>
      <c r="D626" t="inlineStr">
        <is>
          <t>NULL</t>
        </is>
      </c>
      <c r="E626" t="inlineStr">
        <is>
          <t>NULL</t>
        </is>
      </c>
      <c r="F626" t="inlineStr">
        <is>
          <t>NULL</t>
        </is>
      </c>
      <c r="G626" t="inlineStr">
        <is>
          <t>NULL</t>
        </is>
      </c>
      <c r="H626" t="inlineStr">
        <is>
          <t>NULL</t>
        </is>
      </c>
      <c r="I626" t="inlineStr">
        <is>
          <t>NULL</t>
        </is>
      </c>
      <c r="J626" t="inlineStr">
        <is>
          <t>NULL</t>
        </is>
      </c>
      <c r="K626" t="inlineStr">
        <is>
          <t>YES! 	 c_nchar20列源备映射正确，源端为nchar 40位	期望更改为char(n)	实际备端为char 80位</t>
        </is>
      </c>
    </row>
    <row r="627">
      <c r="B627" t="inlineStr">
        <is>
          <t>NULL</t>
        </is>
      </c>
      <c r="C627" t="inlineStr">
        <is>
          <t>NULL</t>
        </is>
      </c>
      <c r="D627" t="inlineStr">
        <is>
          <t>NULL</t>
        </is>
      </c>
      <c r="E627" t="inlineStr">
        <is>
          <t>NULL</t>
        </is>
      </c>
      <c r="F627" t="inlineStr">
        <is>
          <t>NULL</t>
        </is>
      </c>
      <c r="G627" t="inlineStr">
        <is>
          <t>NULL</t>
        </is>
      </c>
      <c r="H627" t="inlineStr">
        <is>
          <t>NULL</t>
        </is>
      </c>
      <c r="I627" t="inlineStr">
        <is>
          <t>NULL</t>
        </is>
      </c>
      <c r="J627" t="inlineStr">
        <is>
          <t>NULL</t>
        </is>
      </c>
      <c r="K627" t="inlineStr">
        <is>
          <t xml:space="preserve"> NO!  	 c_nchar3500列源备映射错误，源端为nchar 7000位	期望更改为varchar(n)	实际备端为text 65535位</t>
        </is>
      </c>
    </row>
    <row r="628">
      <c r="A628" t="inlineStr">
        <is>
          <t>info_datetime_dml_batch1_pk_irp1</t>
        </is>
      </c>
      <c r="K628" t="inlineStr">
        <is>
          <t>[0;34m info_datetime_dml_batch1_pk_irp1 [0m源备字段数相同，源端字段：2 	备端字段2</t>
        </is>
      </c>
      <c r="W628" t="inlineStr">
        <is>
          <t>YES 源备无差异</t>
        </is>
      </c>
      <c r="X628">
        <f>A628</f>
        <v/>
      </c>
    </row>
    <row r="629">
      <c r="B629" t="inlineStr">
        <is>
          <t>YES</t>
        </is>
      </c>
      <c r="C629" t="inlineStr">
        <is>
          <t>NULL</t>
        </is>
      </c>
      <c r="D629" t="inlineStr">
        <is>
          <t>NULL</t>
        </is>
      </c>
      <c r="E629" t="inlineStr">
        <is>
          <t>NULL</t>
        </is>
      </c>
      <c r="F629" t="inlineStr">
        <is>
          <t>NULL</t>
        </is>
      </c>
      <c r="G629" t="inlineStr">
        <is>
          <t>NULL</t>
        </is>
      </c>
      <c r="H629" t="inlineStr">
        <is>
          <t>NULL</t>
        </is>
      </c>
      <c r="I629" t="inlineStr">
        <is>
          <t>YES!PK__info_dat__3213E83F68737736</t>
        </is>
      </c>
      <c r="J629" t="inlineStr">
        <is>
          <t>YES! 主键相关索引</t>
        </is>
      </c>
      <c r="K629" t="inlineStr">
        <is>
          <t>YES! 	 id列源备映射正确，源端为int None位	期望更改为int	实际备端为int None位</t>
        </is>
      </c>
    </row>
    <row r="630">
      <c r="B630" t="inlineStr">
        <is>
          <t>NULL</t>
        </is>
      </c>
      <c r="C630" t="inlineStr">
        <is>
          <t>NULL</t>
        </is>
      </c>
      <c r="D630" t="inlineStr">
        <is>
          <t>NULL</t>
        </is>
      </c>
      <c r="E630" t="inlineStr">
        <is>
          <t>NULL</t>
        </is>
      </c>
      <c r="F630" t="inlineStr">
        <is>
          <t>NULL</t>
        </is>
      </c>
      <c r="G630" t="inlineStr">
        <is>
          <t>NULL</t>
        </is>
      </c>
      <c r="H630" t="inlineStr">
        <is>
          <t>NULL</t>
        </is>
      </c>
      <c r="I630" t="inlineStr">
        <is>
          <t>NULL</t>
        </is>
      </c>
      <c r="J630" t="inlineStr">
        <is>
          <t>NULL</t>
        </is>
      </c>
      <c r="K630" t="inlineStr">
        <is>
          <t>YES! 	 c_datetime列源备映射正确，源端为datetime None位	期望更改为datetime(3)	实际备端为datetime None位</t>
        </is>
      </c>
    </row>
    <row r="631">
      <c r="A631" t="inlineStr">
        <is>
          <t>info_varchar_dml_batch1_pk_urp2</t>
        </is>
      </c>
      <c r="K631" t="inlineStr">
        <is>
          <t>[0;34m info_varchar_dml_batch1_pk_urp2 [0m源备字段数相同，源端字段：4 	备端字段4</t>
        </is>
      </c>
      <c r="W631" t="inlineStr">
        <is>
          <t>YES 源备无差异</t>
        </is>
      </c>
      <c r="X631">
        <f>A631</f>
        <v/>
      </c>
    </row>
    <row r="632">
      <c r="B632" t="inlineStr">
        <is>
          <t>YES</t>
        </is>
      </c>
      <c r="C632" t="inlineStr">
        <is>
          <t>NULL</t>
        </is>
      </c>
      <c r="D632" t="inlineStr">
        <is>
          <t>NULL</t>
        </is>
      </c>
      <c r="E632" t="inlineStr">
        <is>
          <t>NULL</t>
        </is>
      </c>
      <c r="F632" t="inlineStr">
        <is>
          <t>NULL</t>
        </is>
      </c>
      <c r="G632" t="inlineStr">
        <is>
          <t>NULL</t>
        </is>
      </c>
      <c r="H632" t="inlineStr">
        <is>
          <t>NULL</t>
        </is>
      </c>
      <c r="I632" t="inlineStr">
        <is>
          <t>YES!PK__info_var__3213E83F4CFCFE42</t>
        </is>
      </c>
      <c r="J632" t="inlineStr">
        <is>
          <t>YES! 主键相关索引</t>
        </is>
      </c>
      <c r="K632" t="inlineStr">
        <is>
          <t>YES! 	 id列源备映射正确，源端为int None位	期望更改为int	实际备端为int None位</t>
        </is>
      </c>
    </row>
    <row r="633">
      <c r="B633" t="inlineStr">
        <is>
          <t>NULL</t>
        </is>
      </c>
      <c r="C633" t="inlineStr">
        <is>
          <t>NULL</t>
        </is>
      </c>
      <c r="D633" t="inlineStr">
        <is>
          <t>NULL</t>
        </is>
      </c>
      <c r="E633" t="inlineStr">
        <is>
          <t>NULL</t>
        </is>
      </c>
      <c r="F633" t="inlineStr">
        <is>
          <t>NULL</t>
        </is>
      </c>
      <c r="G633" t="inlineStr">
        <is>
          <t>NULL</t>
        </is>
      </c>
      <c r="H633" t="inlineStr">
        <is>
          <t>NULL</t>
        </is>
      </c>
      <c r="I633" t="inlineStr">
        <is>
          <t>NULL</t>
        </is>
      </c>
      <c r="J633" t="inlineStr">
        <is>
          <t>NULL</t>
        </is>
      </c>
      <c r="K633" t="inlineStr">
        <is>
          <t>YES! 	 c_varchar列源备映射正确，源端为varchar 1位	期望更改为varchar(n)	实际备端为varchar 4位</t>
        </is>
      </c>
    </row>
    <row r="634">
      <c r="B634" t="inlineStr">
        <is>
          <t>NULL</t>
        </is>
      </c>
      <c r="C634" t="inlineStr">
        <is>
          <t>NULL</t>
        </is>
      </c>
      <c r="D634" t="inlineStr">
        <is>
          <t>NULL</t>
        </is>
      </c>
      <c r="E634" t="inlineStr">
        <is>
          <t>NULL</t>
        </is>
      </c>
      <c r="F634" t="inlineStr">
        <is>
          <t>NULL</t>
        </is>
      </c>
      <c r="G634" t="inlineStr">
        <is>
          <t>NULL</t>
        </is>
      </c>
      <c r="H634" t="inlineStr">
        <is>
          <t>NULL</t>
        </is>
      </c>
      <c r="I634" t="inlineStr">
        <is>
          <t>NULL</t>
        </is>
      </c>
      <c r="J634" t="inlineStr">
        <is>
          <t>NULL</t>
        </is>
      </c>
      <c r="K634" t="inlineStr">
        <is>
          <t>YES! 	 c_varchar20列源备映射正确，源端为varchar 20位	期望更改为varchar(n)	实际备端为varchar 80位</t>
        </is>
      </c>
    </row>
    <row r="635">
      <c r="B635" t="inlineStr">
        <is>
          <t>NULL</t>
        </is>
      </c>
      <c r="C635" t="inlineStr">
        <is>
          <t>NULL</t>
        </is>
      </c>
      <c r="D635" t="inlineStr">
        <is>
          <t>NULL</t>
        </is>
      </c>
      <c r="E635" t="inlineStr">
        <is>
          <t>NULL</t>
        </is>
      </c>
      <c r="F635" t="inlineStr">
        <is>
          <t>NULL</t>
        </is>
      </c>
      <c r="G635" t="inlineStr">
        <is>
          <t>NULL</t>
        </is>
      </c>
      <c r="H635" t="inlineStr">
        <is>
          <t>NULL</t>
        </is>
      </c>
      <c r="I635" t="inlineStr">
        <is>
          <t>NULL</t>
        </is>
      </c>
      <c r="J635" t="inlineStr">
        <is>
          <t>NULL</t>
        </is>
      </c>
      <c r="K635" t="inlineStr">
        <is>
          <t xml:space="preserve"> NO!  	 c_varchar7000列源备映射错误，源端为varchar 7000位	期望更改为longtext	实际备端为text 65535位</t>
        </is>
      </c>
    </row>
    <row r="636">
      <c r="A636" t="inlineStr">
        <is>
          <t>info_nvarchar_dml_single_pk_irp</t>
        </is>
      </c>
      <c r="K636" t="inlineStr">
        <is>
          <t>[0;34m info_nvarchar_dml_single_pk_irp [0m源备字段数相同，源端字段：4 	备端字段4</t>
        </is>
      </c>
      <c r="W636" t="inlineStr">
        <is>
          <t>YES 源备无差异</t>
        </is>
      </c>
      <c r="X636">
        <f>A636</f>
        <v/>
      </c>
    </row>
    <row r="637">
      <c r="B637" t="inlineStr">
        <is>
          <t>YES</t>
        </is>
      </c>
      <c r="C637" t="inlineStr">
        <is>
          <t>NULL</t>
        </is>
      </c>
      <c r="D637" t="inlineStr">
        <is>
          <t>NULL</t>
        </is>
      </c>
      <c r="E637" t="inlineStr">
        <is>
          <t>NULL</t>
        </is>
      </c>
      <c r="F637" t="inlineStr">
        <is>
          <t>NULL</t>
        </is>
      </c>
      <c r="G637" t="inlineStr">
        <is>
          <t>NULL</t>
        </is>
      </c>
      <c r="H637" t="inlineStr">
        <is>
          <t>NULL</t>
        </is>
      </c>
      <c r="I637" t="inlineStr">
        <is>
          <t>YES!PK__info_nva__3213E83F20750FC0</t>
        </is>
      </c>
      <c r="J637" t="inlineStr">
        <is>
          <t>YES! 主键相关索引</t>
        </is>
      </c>
      <c r="K637" t="inlineStr">
        <is>
          <t>YES! 	 id列源备映射正确，源端为int None位	期望更改为int	实际备端为int None位</t>
        </is>
      </c>
    </row>
    <row r="638">
      <c r="B638" t="inlineStr">
        <is>
          <t>NULL</t>
        </is>
      </c>
      <c r="C638" t="inlineStr">
        <is>
          <t>NULL</t>
        </is>
      </c>
      <c r="D638" t="inlineStr">
        <is>
          <t>NULL</t>
        </is>
      </c>
      <c r="E638" t="inlineStr">
        <is>
          <t>NULL</t>
        </is>
      </c>
      <c r="F638" t="inlineStr">
        <is>
          <t>NULL</t>
        </is>
      </c>
      <c r="G638" t="inlineStr">
        <is>
          <t>NULL</t>
        </is>
      </c>
      <c r="H638" t="inlineStr">
        <is>
          <t>NULL</t>
        </is>
      </c>
      <c r="I638" t="inlineStr">
        <is>
          <t>NULL</t>
        </is>
      </c>
      <c r="J638" t="inlineStr">
        <is>
          <t>NULL</t>
        </is>
      </c>
      <c r="K638" t="inlineStr">
        <is>
          <t>YES! 	 c_nvarchar列源备映射正确，源端为nvarchar 2位	期望更改为varchar(n)	实际备端为varchar 4位</t>
        </is>
      </c>
    </row>
    <row r="639">
      <c r="B639" t="inlineStr">
        <is>
          <t>NULL</t>
        </is>
      </c>
      <c r="C639" t="inlineStr">
        <is>
          <t>NULL</t>
        </is>
      </c>
      <c r="D639" t="inlineStr">
        <is>
          <t>NULL</t>
        </is>
      </c>
      <c r="E639" t="inlineStr">
        <is>
          <t>NULL</t>
        </is>
      </c>
      <c r="F639" t="inlineStr">
        <is>
          <t>NULL</t>
        </is>
      </c>
      <c r="G639" t="inlineStr">
        <is>
          <t>NULL</t>
        </is>
      </c>
      <c r="H639" t="inlineStr">
        <is>
          <t>NULL</t>
        </is>
      </c>
      <c r="I639" t="inlineStr">
        <is>
          <t>NULL</t>
        </is>
      </c>
      <c r="J639" t="inlineStr">
        <is>
          <t>NULL</t>
        </is>
      </c>
      <c r="K639" t="inlineStr">
        <is>
          <t>YES! 	 c_nvarchar20列源备映射正确，源端为nvarchar 40位	期望更改为varchar(n)	实际备端为varchar 80位</t>
        </is>
      </c>
    </row>
    <row r="640">
      <c r="B640" t="inlineStr">
        <is>
          <t>NULL</t>
        </is>
      </c>
      <c r="C640" t="inlineStr">
        <is>
          <t>NULL</t>
        </is>
      </c>
      <c r="D640" t="inlineStr">
        <is>
          <t>NULL</t>
        </is>
      </c>
      <c r="E640" t="inlineStr">
        <is>
          <t>NULL</t>
        </is>
      </c>
      <c r="F640" t="inlineStr">
        <is>
          <t>NULL</t>
        </is>
      </c>
      <c r="G640" t="inlineStr">
        <is>
          <t>NULL</t>
        </is>
      </c>
      <c r="H640" t="inlineStr">
        <is>
          <t>NULL</t>
        </is>
      </c>
      <c r="I640" t="inlineStr">
        <is>
          <t>NULL</t>
        </is>
      </c>
      <c r="J640" t="inlineStr">
        <is>
          <t>NULL</t>
        </is>
      </c>
      <c r="K640" t="inlineStr">
        <is>
          <t xml:space="preserve"> NO!  	 c_nvarchar4000列源备映射错误，源端为nvarchar 8000位	期望更改为longtext	实际备端为text 65535位</t>
        </is>
      </c>
    </row>
    <row r="641">
      <c r="A641" t="inlineStr">
        <is>
          <t>info_nvarchar_dml_single_pk_urp</t>
        </is>
      </c>
      <c r="K641" t="inlineStr">
        <is>
          <t>[0;34m info_nvarchar_dml_single_pk_urp [0m源备字段数相同，源端字段：4 	备端字段4</t>
        </is>
      </c>
      <c r="W641" t="inlineStr">
        <is>
          <t>YES 源备无差异</t>
        </is>
      </c>
      <c r="X641">
        <f>A641</f>
        <v/>
      </c>
    </row>
    <row r="642">
      <c r="B642" t="inlineStr">
        <is>
          <t>YES</t>
        </is>
      </c>
      <c r="C642" t="inlineStr">
        <is>
          <t>NULL</t>
        </is>
      </c>
      <c r="D642" t="inlineStr">
        <is>
          <t>NULL</t>
        </is>
      </c>
      <c r="E642" t="inlineStr">
        <is>
          <t>NULL</t>
        </is>
      </c>
      <c r="F642" t="inlineStr">
        <is>
          <t>NULL</t>
        </is>
      </c>
      <c r="G642" t="inlineStr">
        <is>
          <t>NULL</t>
        </is>
      </c>
      <c r="H642" t="inlineStr">
        <is>
          <t>NULL</t>
        </is>
      </c>
      <c r="I642" t="inlineStr">
        <is>
          <t>YES!PK__info_nva__3213E83F53891649</t>
        </is>
      </c>
      <c r="J642" t="inlineStr">
        <is>
          <t>YES! 主键相关索引</t>
        </is>
      </c>
      <c r="K642" t="inlineStr">
        <is>
          <t>YES! 	 id列源备映射正确，源端为int None位	期望更改为int	实际备端为int None位</t>
        </is>
      </c>
    </row>
    <row r="643">
      <c r="B643" t="inlineStr">
        <is>
          <t>NULL</t>
        </is>
      </c>
      <c r="C643" t="inlineStr">
        <is>
          <t>NULL</t>
        </is>
      </c>
      <c r="D643" t="inlineStr">
        <is>
          <t>NULL</t>
        </is>
      </c>
      <c r="E643" t="inlineStr">
        <is>
          <t>NULL</t>
        </is>
      </c>
      <c r="F643" t="inlineStr">
        <is>
          <t>NULL</t>
        </is>
      </c>
      <c r="G643" t="inlineStr">
        <is>
          <t>NULL</t>
        </is>
      </c>
      <c r="H643" t="inlineStr">
        <is>
          <t>NULL</t>
        </is>
      </c>
      <c r="I643" t="inlineStr">
        <is>
          <t>NULL</t>
        </is>
      </c>
      <c r="J643" t="inlineStr">
        <is>
          <t>NULL</t>
        </is>
      </c>
      <c r="K643" t="inlineStr">
        <is>
          <t>YES! 	 c_nvarchar列源备映射正确，源端为nvarchar 2位	期望更改为varchar(n)	实际备端为varchar 4位</t>
        </is>
      </c>
    </row>
    <row r="644">
      <c r="B644" t="inlineStr">
        <is>
          <t>NULL</t>
        </is>
      </c>
      <c r="C644" t="inlineStr">
        <is>
          <t>NULL</t>
        </is>
      </c>
      <c r="D644" t="inlineStr">
        <is>
          <t>NULL</t>
        </is>
      </c>
      <c r="E644" t="inlineStr">
        <is>
          <t>NULL</t>
        </is>
      </c>
      <c r="F644" t="inlineStr">
        <is>
          <t>NULL</t>
        </is>
      </c>
      <c r="G644" t="inlineStr">
        <is>
          <t>NULL</t>
        </is>
      </c>
      <c r="H644" t="inlineStr">
        <is>
          <t>NULL</t>
        </is>
      </c>
      <c r="I644" t="inlineStr">
        <is>
          <t>NULL</t>
        </is>
      </c>
      <c r="J644" t="inlineStr">
        <is>
          <t>NULL</t>
        </is>
      </c>
      <c r="K644" t="inlineStr">
        <is>
          <t>YES! 	 c_nvarchar20列源备映射正确，源端为nvarchar 40位	期望更改为varchar(n)	实际备端为varchar 80位</t>
        </is>
      </c>
    </row>
    <row r="645">
      <c r="B645" t="inlineStr">
        <is>
          <t>NULL</t>
        </is>
      </c>
      <c r="C645" t="inlineStr">
        <is>
          <t>NULL</t>
        </is>
      </c>
      <c r="D645" t="inlineStr">
        <is>
          <t>NULL</t>
        </is>
      </c>
      <c r="E645" t="inlineStr">
        <is>
          <t>NULL</t>
        </is>
      </c>
      <c r="F645" t="inlineStr">
        <is>
          <t>NULL</t>
        </is>
      </c>
      <c r="G645" t="inlineStr">
        <is>
          <t>NULL</t>
        </is>
      </c>
      <c r="H645" t="inlineStr">
        <is>
          <t>NULL</t>
        </is>
      </c>
      <c r="I645" t="inlineStr">
        <is>
          <t>NULL</t>
        </is>
      </c>
      <c r="J645" t="inlineStr">
        <is>
          <t>NULL</t>
        </is>
      </c>
      <c r="K645" t="inlineStr">
        <is>
          <t xml:space="preserve"> NO!  	 c_nvarchar4000列源备映射错误，源端为nvarchar 8000位	期望更改为longtext	实际备端为text 65535位</t>
        </is>
      </c>
    </row>
    <row r="646">
      <c r="A646" t="inlineStr">
        <is>
          <t>info_datetime_dml_batch1_pk_irp2</t>
        </is>
      </c>
      <c r="K646" t="inlineStr">
        <is>
          <t>[0;34m info_datetime_dml_batch1_pk_irp2 [0m源备字段数相同，源端字段：2 	备端字段2</t>
        </is>
      </c>
      <c r="W646" t="inlineStr">
        <is>
          <t>YES 源备无差异</t>
        </is>
      </c>
      <c r="X646">
        <f>A646</f>
        <v/>
      </c>
    </row>
    <row r="647">
      <c r="B647" t="inlineStr">
        <is>
          <t>YES</t>
        </is>
      </c>
      <c r="C647" t="inlineStr">
        <is>
          <t>NULL</t>
        </is>
      </c>
      <c r="D647" t="inlineStr">
        <is>
          <t>NULL</t>
        </is>
      </c>
      <c r="E647" t="inlineStr">
        <is>
          <t>NULL</t>
        </is>
      </c>
      <c r="F647" t="inlineStr">
        <is>
          <t>NULL</t>
        </is>
      </c>
      <c r="G647" t="inlineStr">
        <is>
          <t>NULL</t>
        </is>
      </c>
      <c r="H647" t="inlineStr">
        <is>
          <t>NULL</t>
        </is>
      </c>
      <c r="I647" t="inlineStr">
        <is>
          <t>YES!PK__info_dat__3213E83F21CD4C86</t>
        </is>
      </c>
      <c r="J647" t="inlineStr">
        <is>
          <t>YES! 主键相关索引</t>
        </is>
      </c>
      <c r="K647" t="inlineStr">
        <is>
          <t>YES! 	 id列源备映射正确，源端为int None位	期望更改为int	实际备端为int None位</t>
        </is>
      </c>
    </row>
    <row r="648">
      <c r="B648" t="inlineStr">
        <is>
          <t>NULL</t>
        </is>
      </c>
      <c r="C648" t="inlineStr">
        <is>
          <t>NULL</t>
        </is>
      </c>
      <c r="D648" t="inlineStr">
        <is>
          <t>NULL</t>
        </is>
      </c>
      <c r="E648" t="inlineStr">
        <is>
          <t>NULL</t>
        </is>
      </c>
      <c r="F648" t="inlineStr">
        <is>
          <t>NULL</t>
        </is>
      </c>
      <c r="G648" t="inlineStr">
        <is>
          <t>NULL</t>
        </is>
      </c>
      <c r="H648" t="inlineStr">
        <is>
          <t>NULL</t>
        </is>
      </c>
      <c r="I648" t="inlineStr">
        <is>
          <t>NULL</t>
        </is>
      </c>
      <c r="J648" t="inlineStr">
        <is>
          <t>NULL</t>
        </is>
      </c>
      <c r="K648" t="inlineStr">
        <is>
          <t>YES! 	 c_datetime列源备映射正确，源端为datetime None位	期望更改为datetime(3)	实际备端为datetime None位</t>
        </is>
      </c>
    </row>
    <row r="649">
      <c r="A649" t="inlineStr">
        <is>
          <t>info_nvarchar_dml_single_pk_drp</t>
        </is>
      </c>
      <c r="K649" t="inlineStr">
        <is>
          <t>[0;34m info_nvarchar_dml_single_pk_drp [0m源备字段数相同，源端字段：4 	备端字段4</t>
        </is>
      </c>
      <c r="W649" t="inlineStr">
        <is>
          <t>YES 源备无差异</t>
        </is>
      </c>
      <c r="X649">
        <f>A649</f>
        <v/>
      </c>
    </row>
    <row r="650">
      <c r="B650" t="inlineStr">
        <is>
          <t>YES</t>
        </is>
      </c>
      <c r="C650" t="inlineStr">
        <is>
          <t>NULL</t>
        </is>
      </c>
      <c r="D650" t="inlineStr">
        <is>
          <t>NULL</t>
        </is>
      </c>
      <c r="E650" t="inlineStr">
        <is>
          <t>NULL</t>
        </is>
      </c>
      <c r="F650" t="inlineStr">
        <is>
          <t>NULL</t>
        </is>
      </c>
      <c r="G650" t="inlineStr">
        <is>
          <t>NULL</t>
        </is>
      </c>
      <c r="H650" t="inlineStr">
        <is>
          <t>NULL</t>
        </is>
      </c>
      <c r="I650" t="inlineStr">
        <is>
          <t>YES!PK__info_nva__3213E83FA5AB5E4B</t>
        </is>
      </c>
      <c r="J650" t="inlineStr">
        <is>
          <t>YES! 主键相关索引</t>
        </is>
      </c>
      <c r="K650" t="inlineStr">
        <is>
          <t>YES! 	 id列源备映射正确，源端为int None位	期望更改为int	实际备端为int None位</t>
        </is>
      </c>
    </row>
    <row r="651">
      <c r="B651" t="inlineStr">
        <is>
          <t>NULL</t>
        </is>
      </c>
      <c r="C651" t="inlineStr">
        <is>
          <t>NULL</t>
        </is>
      </c>
      <c r="D651" t="inlineStr">
        <is>
          <t>NULL</t>
        </is>
      </c>
      <c r="E651" t="inlineStr">
        <is>
          <t>NULL</t>
        </is>
      </c>
      <c r="F651" t="inlineStr">
        <is>
          <t>NULL</t>
        </is>
      </c>
      <c r="G651" t="inlineStr">
        <is>
          <t>NULL</t>
        </is>
      </c>
      <c r="H651" t="inlineStr">
        <is>
          <t>NULL</t>
        </is>
      </c>
      <c r="I651" t="inlineStr">
        <is>
          <t>NULL</t>
        </is>
      </c>
      <c r="J651" t="inlineStr">
        <is>
          <t>NULL</t>
        </is>
      </c>
      <c r="K651" t="inlineStr">
        <is>
          <t>YES! 	 c_nvarchar列源备映射正确，源端为nvarchar 2位	期望更改为varchar(n)	实际备端为varchar 4位</t>
        </is>
      </c>
    </row>
    <row r="652">
      <c r="B652" t="inlineStr">
        <is>
          <t>NULL</t>
        </is>
      </c>
      <c r="C652" t="inlineStr">
        <is>
          <t>NULL</t>
        </is>
      </c>
      <c r="D652" t="inlineStr">
        <is>
          <t>NULL</t>
        </is>
      </c>
      <c r="E652" t="inlineStr">
        <is>
          <t>NULL</t>
        </is>
      </c>
      <c r="F652" t="inlineStr">
        <is>
          <t>NULL</t>
        </is>
      </c>
      <c r="G652" t="inlineStr">
        <is>
          <t>NULL</t>
        </is>
      </c>
      <c r="H652" t="inlineStr">
        <is>
          <t>NULL</t>
        </is>
      </c>
      <c r="I652" t="inlineStr">
        <is>
          <t>NULL</t>
        </is>
      </c>
      <c r="J652" t="inlineStr">
        <is>
          <t>NULL</t>
        </is>
      </c>
      <c r="K652" t="inlineStr">
        <is>
          <t>YES! 	 c_nvarchar20列源备映射正确，源端为nvarchar 40位	期望更改为varchar(n)	实际备端为varchar 80位</t>
        </is>
      </c>
    </row>
    <row r="653">
      <c r="B653" t="inlineStr">
        <is>
          <t>NULL</t>
        </is>
      </c>
      <c r="C653" t="inlineStr">
        <is>
          <t>NULL</t>
        </is>
      </c>
      <c r="D653" t="inlineStr">
        <is>
          <t>NULL</t>
        </is>
      </c>
      <c r="E653" t="inlineStr">
        <is>
          <t>NULL</t>
        </is>
      </c>
      <c r="F653" t="inlineStr">
        <is>
          <t>NULL</t>
        </is>
      </c>
      <c r="G653" t="inlineStr">
        <is>
          <t>NULL</t>
        </is>
      </c>
      <c r="H653" t="inlineStr">
        <is>
          <t>NULL</t>
        </is>
      </c>
      <c r="I653" t="inlineStr">
        <is>
          <t>NULL</t>
        </is>
      </c>
      <c r="J653" t="inlineStr">
        <is>
          <t>NULL</t>
        </is>
      </c>
      <c r="K653" t="inlineStr">
        <is>
          <t xml:space="preserve"> NO!  	 c_nvarchar4000列源备映射错误，源端为nvarchar 8000位	期望更改为longtext	实际备端为text 65535位</t>
        </is>
      </c>
    </row>
    <row r="654">
      <c r="A654" t="inlineStr">
        <is>
          <t>info_text_dml_single_pk_urp</t>
        </is>
      </c>
      <c r="K654" t="inlineStr">
        <is>
          <t>[0;34m info_text_dml_single_pk_urp [0m源备字段数相同，源端字段：3 	备端字段3</t>
        </is>
      </c>
      <c r="W654" t="inlineStr">
        <is>
          <t>YES 源备无差异</t>
        </is>
      </c>
      <c r="X654">
        <f>A654</f>
        <v/>
      </c>
    </row>
    <row r="655">
      <c r="B655" t="inlineStr">
        <is>
          <t>YES</t>
        </is>
      </c>
      <c r="C655" t="inlineStr">
        <is>
          <t>NULL</t>
        </is>
      </c>
      <c r="D655" t="inlineStr">
        <is>
          <t>NULL</t>
        </is>
      </c>
      <c r="E655" t="inlineStr">
        <is>
          <t>NULL</t>
        </is>
      </c>
      <c r="F655" t="inlineStr">
        <is>
          <t>NULL</t>
        </is>
      </c>
      <c r="G655" t="inlineStr">
        <is>
          <t>NULL</t>
        </is>
      </c>
      <c r="H655" t="inlineStr">
        <is>
          <t>NULL</t>
        </is>
      </c>
      <c r="I655" t="inlineStr">
        <is>
          <t>YES!PK__info_tex__3213E83FEE1A52C4</t>
        </is>
      </c>
      <c r="J655" t="inlineStr">
        <is>
          <t>YES! 主键相关索引</t>
        </is>
      </c>
      <c r="K655" t="inlineStr">
        <is>
          <t>YES! 	 id列源备映射正确，源端为int None位	期望更改为int	实际备端为int None位</t>
        </is>
      </c>
    </row>
    <row r="656">
      <c r="B656" t="inlineStr">
        <is>
          <t>NULL</t>
        </is>
      </c>
      <c r="C656" t="inlineStr">
        <is>
          <t>NULL</t>
        </is>
      </c>
      <c r="D656" t="inlineStr">
        <is>
          <t>NULL</t>
        </is>
      </c>
      <c r="E656" t="inlineStr">
        <is>
          <t>NULL</t>
        </is>
      </c>
      <c r="F656" t="inlineStr">
        <is>
          <t>NULL</t>
        </is>
      </c>
      <c r="G656" t="inlineStr">
        <is>
          <t>NULL</t>
        </is>
      </c>
      <c r="H656" t="inlineStr">
        <is>
          <t>NULL</t>
        </is>
      </c>
      <c r="I656" t="inlineStr">
        <is>
          <t>NULL</t>
        </is>
      </c>
      <c r="J656" t="inlineStr">
        <is>
          <t>NULL</t>
        </is>
      </c>
      <c r="K656" t="inlineStr">
        <is>
          <t>YES! 	 c_text列源备映射正确，源端为text 2147483647位	期望更改为longtext	实际备端为longtext 4294967295位</t>
        </is>
      </c>
    </row>
    <row r="657">
      <c r="B657" t="inlineStr">
        <is>
          <t>NULL</t>
        </is>
      </c>
      <c r="C657" t="inlineStr">
        <is>
          <t>NULL</t>
        </is>
      </c>
      <c r="D657" t="inlineStr">
        <is>
          <t>NULL</t>
        </is>
      </c>
      <c r="E657" t="inlineStr">
        <is>
          <t>NULL</t>
        </is>
      </c>
      <c r="F657" t="inlineStr">
        <is>
          <t>NULL</t>
        </is>
      </c>
      <c r="G657" t="inlineStr">
        <is>
          <t>NULL</t>
        </is>
      </c>
      <c r="H657" t="inlineStr">
        <is>
          <t>NULL</t>
        </is>
      </c>
      <c r="I657" t="inlineStr">
        <is>
          <t>NULL</t>
        </is>
      </c>
      <c r="J657" t="inlineStr">
        <is>
          <t>NULL</t>
        </is>
      </c>
      <c r="K657" t="inlineStr">
        <is>
          <t>YES! 	 c_ntext列源备映射正确，源端为ntext 2147483646位	期望更改为longtext	实际备端为longtext 4294967295位</t>
        </is>
      </c>
    </row>
    <row r="658">
      <c r="A658" t="inlineStr">
        <is>
          <t>info_nvarchar_dml_single_nopk_urp</t>
        </is>
      </c>
      <c r="K658" t="inlineStr">
        <is>
          <t>[0;34m info_nvarchar_dml_single_nopk_urp [0m源备字段数相同，源端字段：4 	备端字段4</t>
        </is>
      </c>
      <c r="W658" t="inlineStr">
        <is>
          <t>YES 源备无差异</t>
        </is>
      </c>
      <c r="X658">
        <f>A658</f>
        <v/>
      </c>
    </row>
    <row r="659">
      <c r="B659" t="inlineStr">
        <is>
          <t>NULL</t>
        </is>
      </c>
      <c r="C659" t="inlineStr">
        <is>
          <t>NULL</t>
        </is>
      </c>
      <c r="D659" t="inlineStr">
        <is>
          <t>NULL</t>
        </is>
      </c>
      <c r="E659" t="inlineStr">
        <is>
          <t>NULL</t>
        </is>
      </c>
      <c r="F659" t="inlineStr">
        <is>
          <t>NULL</t>
        </is>
      </c>
      <c r="G659" t="inlineStr">
        <is>
          <t>NULL</t>
        </is>
      </c>
      <c r="H659" t="inlineStr">
        <is>
          <t>NULL</t>
        </is>
      </c>
      <c r="I659" t="inlineStr">
        <is>
          <t>NULL</t>
        </is>
      </c>
      <c r="J659" t="inlineStr">
        <is>
          <t>NULL</t>
        </is>
      </c>
      <c r="K659" t="inlineStr">
        <is>
          <t>YES! 	 id列源备映射正确，源端为int None位	期望更改为int	实际备端为int None位</t>
        </is>
      </c>
    </row>
    <row r="660">
      <c r="B660" t="inlineStr">
        <is>
          <t>NULL</t>
        </is>
      </c>
      <c r="C660" t="inlineStr">
        <is>
          <t>NULL</t>
        </is>
      </c>
      <c r="D660" t="inlineStr">
        <is>
          <t>NULL</t>
        </is>
      </c>
      <c r="E660" t="inlineStr">
        <is>
          <t>NULL</t>
        </is>
      </c>
      <c r="F660" t="inlineStr">
        <is>
          <t>NULL</t>
        </is>
      </c>
      <c r="G660" t="inlineStr">
        <is>
          <t>NULL</t>
        </is>
      </c>
      <c r="H660" t="inlineStr">
        <is>
          <t>NULL</t>
        </is>
      </c>
      <c r="I660" t="inlineStr">
        <is>
          <t>NULL</t>
        </is>
      </c>
      <c r="J660" t="inlineStr">
        <is>
          <t>NULL</t>
        </is>
      </c>
      <c r="K660" t="inlineStr">
        <is>
          <t>YES! 	 c_nvarchar列源备映射正确，源端为nvarchar 2位	期望更改为varchar(n)	实际备端为varchar 4位</t>
        </is>
      </c>
    </row>
    <row r="661">
      <c r="B661" t="inlineStr">
        <is>
          <t>NULL</t>
        </is>
      </c>
      <c r="C661" t="inlineStr">
        <is>
          <t>NULL</t>
        </is>
      </c>
      <c r="D661" t="inlineStr">
        <is>
          <t>NULL</t>
        </is>
      </c>
      <c r="E661" t="inlineStr">
        <is>
          <t>NULL</t>
        </is>
      </c>
      <c r="F661" t="inlineStr">
        <is>
          <t>NULL</t>
        </is>
      </c>
      <c r="G661" t="inlineStr">
        <is>
          <t>NULL</t>
        </is>
      </c>
      <c r="H661" t="inlineStr">
        <is>
          <t>NULL</t>
        </is>
      </c>
      <c r="I661" t="inlineStr">
        <is>
          <t>NULL</t>
        </is>
      </c>
      <c r="J661" t="inlineStr">
        <is>
          <t>NULL</t>
        </is>
      </c>
      <c r="K661" t="inlineStr">
        <is>
          <t>YES! 	 c_nvarchar20列源备映射正确，源端为nvarchar 40位	期望更改为varchar(n)	实际备端为varchar 80位</t>
        </is>
      </c>
    </row>
    <row r="662">
      <c r="B662" t="inlineStr">
        <is>
          <t>NULL</t>
        </is>
      </c>
      <c r="C662" t="inlineStr">
        <is>
          <t>NULL</t>
        </is>
      </c>
      <c r="D662" t="inlineStr">
        <is>
          <t>NULL</t>
        </is>
      </c>
      <c r="E662" t="inlineStr">
        <is>
          <t>NULL</t>
        </is>
      </c>
      <c r="F662" t="inlineStr">
        <is>
          <t>NULL</t>
        </is>
      </c>
      <c r="G662" t="inlineStr">
        <is>
          <t>NULL</t>
        </is>
      </c>
      <c r="H662" t="inlineStr">
        <is>
          <t>NULL</t>
        </is>
      </c>
      <c r="I662" t="inlineStr">
        <is>
          <t>NULL</t>
        </is>
      </c>
      <c r="J662" t="inlineStr">
        <is>
          <t>NULL</t>
        </is>
      </c>
      <c r="K662" t="inlineStr">
        <is>
          <t xml:space="preserve"> NO!  	 c_nvarchar4000列源备映射错误，源端为nvarchar 8000位	期望更改为longtext	实际备端为text 65535位</t>
        </is>
      </c>
    </row>
    <row r="663">
      <c r="A663" t="inlineStr">
        <is>
          <t>info_text_dml_single_pk_irp</t>
        </is>
      </c>
      <c r="K663" t="inlineStr">
        <is>
          <t>[0;34m info_text_dml_single_pk_irp [0m源备字段数相同，源端字段：3 	备端字段3</t>
        </is>
      </c>
      <c r="W663" t="inlineStr">
        <is>
          <t>YES 源备无差异</t>
        </is>
      </c>
      <c r="X663">
        <f>A663</f>
        <v/>
      </c>
    </row>
    <row r="664">
      <c r="B664" t="inlineStr">
        <is>
          <t>YES</t>
        </is>
      </c>
      <c r="C664" t="inlineStr">
        <is>
          <t>NULL</t>
        </is>
      </c>
      <c r="D664" t="inlineStr">
        <is>
          <t>NULL</t>
        </is>
      </c>
      <c r="E664" t="inlineStr">
        <is>
          <t>NULL</t>
        </is>
      </c>
      <c r="F664" t="inlineStr">
        <is>
          <t>NULL</t>
        </is>
      </c>
      <c r="G664" t="inlineStr">
        <is>
          <t>NULL</t>
        </is>
      </c>
      <c r="H664" t="inlineStr">
        <is>
          <t>NULL</t>
        </is>
      </c>
      <c r="I664" t="inlineStr">
        <is>
          <t>YES!PK__info_tex__3213E83F50700C1A</t>
        </is>
      </c>
      <c r="J664" t="inlineStr">
        <is>
          <t>YES! 主键相关索引</t>
        </is>
      </c>
      <c r="K664" t="inlineStr">
        <is>
          <t>YES! 	 id列源备映射正确，源端为int None位	期望更改为int	实际备端为int None位</t>
        </is>
      </c>
    </row>
    <row r="665">
      <c r="B665" t="inlineStr">
        <is>
          <t>NULL</t>
        </is>
      </c>
      <c r="C665" t="inlineStr">
        <is>
          <t>NULL</t>
        </is>
      </c>
      <c r="D665" t="inlineStr">
        <is>
          <t>NULL</t>
        </is>
      </c>
      <c r="E665" t="inlineStr">
        <is>
          <t>NULL</t>
        </is>
      </c>
      <c r="F665" t="inlineStr">
        <is>
          <t>NULL</t>
        </is>
      </c>
      <c r="G665" t="inlineStr">
        <is>
          <t>NULL</t>
        </is>
      </c>
      <c r="H665" t="inlineStr">
        <is>
          <t>NULL</t>
        </is>
      </c>
      <c r="I665" t="inlineStr">
        <is>
          <t>NULL</t>
        </is>
      </c>
      <c r="J665" t="inlineStr">
        <is>
          <t>NULL</t>
        </is>
      </c>
      <c r="K665" t="inlineStr">
        <is>
          <t>YES! 	 c_text列源备映射正确，源端为text 2147483647位	期望更改为longtext	实际备端为longtext 4294967295位</t>
        </is>
      </c>
    </row>
    <row r="666">
      <c r="B666" t="inlineStr">
        <is>
          <t>NULL</t>
        </is>
      </c>
      <c r="C666" t="inlineStr">
        <is>
          <t>NULL</t>
        </is>
      </c>
      <c r="D666" t="inlineStr">
        <is>
          <t>NULL</t>
        </is>
      </c>
      <c r="E666" t="inlineStr">
        <is>
          <t>NULL</t>
        </is>
      </c>
      <c r="F666" t="inlineStr">
        <is>
          <t>NULL</t>
        </is>
      </c>
      <c r="G666" t="inlineStr">
        <is>
          <t>NULL</t>
        </is>
      </c>
      <c r="H666" t="inlineStr">
        <is>
          <t>NULL</t>
        </is>
      </c>
      <c r="I666" t="inlineStr">
        <is>
          <t>NULL</t>
        </is>
      </c>
      <c r="J666" t="inlineStr">
        <is>
          <t>NULL</t>
        </is>
      </c>
      <c r="K666" t="inlineStr">
        <is>
          <t>YES! 	 c_ntext列源备映射正确，源端为ntext 2147483646位	期望更改为longtext	实际备端为longtext 4294967295位</t>
        </is>
      </c>
    </row>
    <row r="667">
      <c r="A667" t="inlineStr">
        <is>
          <t>info_datetime_dml_batch2_pk_irp1</t>
        </is>
      </c>
      <c r="K667" t="inlineStr">
        <is>
          <t>[0;34m info_datetime_dml_batch2_pk_irp1 [0m源备字段数相同，源端字段：2 	备端字段2</t>
        </is>
      </c>
      <c r="W667" t="inlineStr">
        <is>
          <t>YES 源备无差异</t>
        </is>
      </c>
      <c r="X667">
        <f>A667</f>
        <v/>
      </c>
    </row>
    <row r="668">
      <c r="B668" t="inlineStr">
        <is>
          <t>YES</t>
        </is>
      </c>
      <c r="C668" t="inlineStr">
        <is>
          <t>NULL</t>
        </is>
      </c>
      <c r="D668" t="inlineStr">
        <is>
          <t>NULL</t>
        </is>
      </c>
      <c r="E668" t="inlineStr">
        <is>
          <t>NULL</t>
        </is>
      </c>
      <c r="F668" t="inlineStr">
        <is>
          <t>NULL</t>
        </is>
      </c>
      <c r="G668" t="inlineStr">
        <is>
          <t>NULL</t>
        </is>
      </c>
      <c r="H668" t="inlineStr">
        <is>
          <t>NULL</t>
        </is>
      </c>
      <c r="I668" t="inlineStr">
        <is>
          <t>YES!PK__info_dat__3213E83F87685DE4</t>
        </is>
      </c>
      <c r="J668" t="inlineStr">
        <is>
          <t>YES! 主键相关索引</t>
        </is>
      </c>
      <c r="K668" t="inlineStr">
        <is>
          <t>YES! 	 id列源备映射正确，源端为int None位	期望更改为int	实际备端为int None位</t>
        </is>
      </c>
    </row>
    <row r="669">
      <c r="B669" t="inlineStr">
        <is>
          <t>NULL</t>
        </is>
      </c>
      <c r="C669" t="inlineStr">
        <is>
          <t>NULL</t>
        </is>
      </c>
      <c r="D669" t="inlineStr">
        <is>
          <t>NULL</t>
        </is>
      </c>
      <c r="E669" t="inlineStr">
        <is>
          <t>NULL</t>
        </is>
      </c>
      <c r="F669" t="inlineStr">
        <is>
          <t>NULL</t>
        </is>
      </c>
      <c r="G669" t="inlineStr">
        <is>
          <t>NULL</t>
        </is>
      </c>
      <c r="H669" t="inlineStr">
        <is>
          <t>NULL</t>
        </is>
      </c>
      <c r="I669" t="inlineStr">
        <is>
          <t>NULL</t>
        </is>
      </c>
      <c r="J669" t="inlineStr">
        <is>
          <t>NULL</t>
        </is>
      </c>
      <c r="K669" t="inlineStr">
        <is>
          <t>YES! 	 c_datetime列源备映射正确，源端为datetime None位	期望更改为datetime(3)	实际备端为datetime None位</t>
        </is>
      </c>
    </row>
    <row r="670">
      <c r="A670" t="inlineStr">
        <is>
          <t>info_varchar_dml_batch1_pk_drp2</t>
        </is>
      </c>
      <c r="K670" t="inlineStr">
        <is>
          <t>[0;34m info_varchar_dml_batch1_pk_drp2 [0m源备字段数相同，源端字段：4 	备端字段4</t>
        </is>
      </c>
      <c r="W670" t="inlineStr">
        <is>
          <t>YES 源备无差异</t>
        </is>
      </c>
      <c r="X670">
        <f>A670</f>
        <v/>
      </c>
    </row>
    <row r="671">
      <c r="B671" t="inlineStr">
        <is>
          <t>YES</t>
        </is>
      </c>
      <c r="C671" t="inlineStr">
        <is>
          <t>NULL</t>
        </is>
      </c>
      <c r="D671" t="inlineStr">
        <is>
          <t>NULL</t>
        </is>
      </c>
      <c r="E671" t="inlineStr">
        <is>
          <t>NULL</t>
        </is>
      </c>
      <c r="F671" t="inlineStr">
        <is>
          <t>NULL</t>
        </is>
      </c>
      <c r="G671" t="inlineStr">
        <is>
          <t>NULL</t>
        </is>
      </c>
      <c r="H671" t="inlineStr">
        <is>
          <t>NULL</t>
        </is>
      </c>
      <c r="I671" t="inlineStr">
        <is>
          <t>YES!PK__info_var__3213E83F35EFE402</t>
        </is>
      </c>
      <c r="J671" t="inlineStr">
        <is>
          <t>YES! 主键相关索引</t>
        </is>
      </c>
      <c r="K671" t="inlineStr">
        <is>
          <t>YES! 	 id列源备映射正确，源端为int None位	期望更改为int	实际备端为int None位</t>
        </is>
      </c>
    </row>
    <row r="672">
      <c r="B672" t="inlineStr">
        <is>
          <t>NULL</t>
        </is>
      </c>
      <c r="C672" t="inlineStr">
        <is>
          <t>NULL</t>
        </is>
      </c>
      <c r="D672" t="inlineStr">
        <is>
          <t>NULL</t>
        </is>
      </c>
      <c r="E672" t="inlineStr">
        <is>
          <t>NULL</t>
        </is>
      </c>
      <c r="F672" t="inlineStr">
        <is>
          <t>NULL</t>
        </is>
      </c>
      <c r="G672" t="inlineStr">
        <is>
          <t>NULL</t>
        </is>
      </c>
      <c r="H672" t="inlineStr">
        <is>
          <t>NULL</t>
        </is>
      </c>
      <c r="I672" t="inlineStr">
        <is>
          <t>NULL</t>
        </is>
      </c>
      <c r="J672" t="inlineStr">
        <is>
          <t>NULL</t>
        </is>
      </c>
      <c r="K672" t="inlineStr">
        <is>
          <t>YES! 	 c_varchar列源备映射正确，源端为varchar 1位	期望更改为varchar(n)	实际备端为varchar 4位</t>
        </is>
      </c>
    </row>
    <row r="673">
      <c r="B673" t="inlineStr">
        <is>
          <t>NULL</t>
        </is>
      </c>
      <c r="C673" t="inlineStr">
        <is>
          <t>NULL</t>
        </is>
      </c>
      <c r="D673" t="inlineStr">
        <is>
          <t>NULL</t>
        </is>
      </c>
      <c r="E673" t="inlineStr">
        <is>
          <t>NULL</t>
        </is>
      </c>
      <c r="F673" t="inlineStr">
        <is>
          <t>NULL</t>
        </is>
      </c>
      <c r="G673" t="inlineStr">
        <is>
          <t>NULL</t>
        </is>
      </c>
      <c r="H673" t="inlineStr">
        <is>
          <t>NULL</t>
        </is>
      </c>
      <c r="I673" t="inlineStr">
        <is>
          <t>NULL</t>
        </is>
      </c>
      <c r="J673" t="inlineStr">
        <is>
          <t>NULL</t>
        </is>
      </c>
      <c r="K673" t="inlineStr">
        <is>
          <t>YES! 	 c_varchar20列源备映射正确，源端为varchar 20位	期望更改为varchar(n)	实际备端为varchar 80位</t>
        </is>
      </c>
    </row>
    <row r="674">
      <c r="B674" t="inlineStr">
        <is>
          <t>NULL</t>
        </is>
      </c>
      <c r="C674" t="inlineStr">
        <is>
          <t>NULL</t>
        </is>
      </c>
      <c r="D674" t="inlineStr">
        <is>
          <t>NULL</t>
        </is>
      </c>
      <c r="E674" t="inlineStr">
        <is>
          <t>NULL</t>
        </is>
      </c>
      <c r="F674" t="inlineStr">
        <is>
          <t>NULL</t>
        </is>
      </c>
      <c r="G674" t="inlineStr">
        <is>
          <t>NULL</t>
        </is>
      </c>
      <c r="H674" t="inlineStr">
        <is>
          <t>NULL</t>
        </is>
      </c>
      <c r="I674" t="inlineStr">
        <is>
          <t>NULL</t>
        </is>
      </c>
      <c r="J674" t="inlineStr">
        <is>
          <t>NULL</t>
        </is>
      </c>
      <c r="K674" t="inlineStr">
        <is>
          <t xml:space="preserve"> NO!  	 c_varchar7000列源备映射错误，源端为varchar 7000位	期望更改为longtext	实际备端为text 65535位</t>
        </is>
      </c>
    </row>
    <row r="675">
      <c r="A675" t="inlineStr">
        <is>
          <t>info_nvarchar_dml_single_pk</t>
        </is>
      </c>
      <c r="K675" t="inlineStr">
        <is>
          <t>[0;34m info_nvarchar_dml_single_pk [0m源备字段数相同，源端字段：4 	备端字段4</t>
        </is>
      </c>
      <c r="W675" t="inlineStr">
        <is>
          <t>YES 源备无差异</t>
        </is>
      </c>
      <c r="X675">
        <f>A675</f>
        <v/>
      </c>
    </row>
    <row r="676">
      <c r="B676" t="inlineStr">
        <is>
          <t>YES</t>
        </is>
      </c>
      <c r="C676" t="inlineStr">
        <is>
          <t>NULL</t>
        </is>
      </c>
      <c r="D676" t="inlineStr">
        <is>
          <t>NULL</t>
        </is>
      </c>
      <c r="E676" t="inlineStr">
        <is>
          <t>NULL</t>
        </is>
      </c>
      <c r="F676" t="inlineStr">
        <is>
          <t>NULL</t>
        </is>
      </c>
      <c r="G676" t="inlineStr">
        <is>
          <t>NULL</t>
        </is>
      </c>
      <c r="H676" t="inlineStr">
        <is>
          <t>NULL</t>
        </is>
      </c>
      <c r="I676" t="inlineStr">
        <is>
          <t>YES!PK__info_nva__3213E83F88384AD8</t>
        </is>
      </c>
      <c r="J676" t="inlineStr">
        <is>
          <t>YES! 主键相关索引</t>
        </is>
      </c>
      <c r="K676" t="inlineStr">
        <is>
          <t>YES! 	 id列源备映射正确，源端为int None位	期望更改为int	实际备端为int None位</t>
        </is>
      </c>
    </row>
    <row r="677">
      <c r="B677" t="inlineStr">
        <is>
          <t>NULL</t>
        </is>
      </c>
      <c r="C677" t="inlineStr">
        <is>
          <t>NULL</t>
        </is>
      </c>
      <c r="D677" t="inlineStr">
        <is>
          <t>NULL</t>
        </is>
      </c>
      <c r="E677" t="inlineStr">
        <is>
          <t>NULL</t>
        </is>
      </c>
      <c r="F677" t="inlineStr">
        <is>
          <t>NULL</t>
        </is>
      </c>
      <c r="G677" t="inlineStr">
        <is>
          <t>NULL</t>
        </is>
      </c>
      <c r="H677" t="inlineStr">
        <is>
          <t>NULL</t>
        </is>
      </c>
      <c r="I677" t="inlineStr">
        <is>
          <t>NULL</t>
        </is>
      </c>
      <c r="J677" t="inlineStr">
        <is>
          <t>NULL</t>
        </is>
      </c>
      <c r="K677" t="inlineStr">
        <is>
          <t>YES! 	 c_nvarchar列源备映射正确，源端为nvarchar 2位	期望更改为varchar(n)	实际备端为varchar 4位</t>
        </is>
      </c>
    </row>
    <row r="678">
      <c r="B678" t="inlineStr">
        <is>
          <t>NULL</t>
        </is>
      </c>
      <c r="C678" t="inlineStr">
        <is>
          <t>NULL</t>
        </is>
      </c>
      <c r="D678" t="inlineStr">
        <is>
          <t>NULL</t>
        </is>
      </c>
      <c r="E678" t="inlineStr">
        <is>
          <t>NULL</t>
        </is>
      </c>
      <c r="F678" t="inlineStr">
        <is>
          <t>NULL</t>
        </is>
      </c>
      <c r="G678" t="inlineStr">
        <is>
          <t>NULL</t>
        </is>
      </c>
      <c r="H678" t="inlineStr">
        <is>
          <t>NULL</t>
        </is>
      </c>
      <c r="I678" t="inlineStr">
        <is>
          <t>NULL</t>
        </is>
      </c>
      <c r="J678" t="inlineStr">
        <is>
          <t>NULL</t>
        </is>
      </c>
      <c r="K678" t="inlineStr">
        <is>
          <t>YES! 	 c_nvarchar20列源备映射正确，源端为nvarchar 40位	期望更改为varchar(n)	实际备端为varchar 80位</t>
        </is>
      </c>
    </row>
    <row r="679">
      <c r="B679" t="inlineStr">
        <is>
          <t>NULL</t>
        </is>
      </c>
      <c r="C679" t="inlineStr">
        <is>
          <t>NULL</t>
        </is>
      </c>
      <c r="D679" t="inlineStr">
        <is>
          <t>NULL</t>
        </is>
      </c>
      <c r="E679" t="inlineStr">
        <is>
          <t>NULL</t>
        </is>
      </c>
      <c r="F679" t="inlineStr">
        <is>
          <t>NULL</t>
        </is>
      </c>
      <c r="G679" t="inlineStr">
        <is>
          <t>NULL</t>
        </is>
      </c>
      <c r="H679" t="inlineStr">
        <is>
          <t>NULL</t>
        </is>
      </c>
      <c r="I679" t="inlineStr">
        <is>
          <t>NULL</t>
        </is>
      </c>
      <c r="J679" t="inlineStr">
        <is>
          <t>NULL</t>
        </is>
      </c>
      <c r="K679" t="inlineStr">
        <is>
          <t xml:space="preserve"> NO!  	 c_nvarchar4000列源备映射错误，源端为nvarchar 8000位	期望更改为longtext	实际备端为text 65535位</t>
        </is>
      </c>
    </row>
    <row r="680">
      <c r="A680" t="inlineStr">
        <is>
          <t>info_nvarchar_dml_single_nopk_drp</t>
        </is>
      </c>
      <c r="K680" t="inlineStr">
        <is>
          <t>[0;34m info_nvarchar_dml_single_nopk_drp [0m源备字段数相同，源端字段：4 	备端字段4</t>
        </is>
      </c>
      <c r="W680" t="inlineStr">
        <is>
          <t>YES 源备无差异</t>
        </is>
      </c>
      <c r="X680">
        <f>A680</f>
        <v/>
      </c>
    </row>
    <row r="681">
      <c r="B681" t="inlineStr">
        <is>
          <t>NULL</t>
        </is>
      </c>
      <c r="C681" t="inlineStr">
        <is>
          <t>NULL</t>
        </is>
      </c>
      <c r="D681" t="inlineStr">
        <is>
          <t>NULL</t>
        </is>
      </c>
      <c r="E681" t="inlineStr">
        <is>
          <t>NULL</t>
        </is>
      </c>
      <c r="F681" t="inlineStr">
        <is>
          <t>NULL</t>
        </is>
      </c>
      <c r="G681" t="inlineStr">
        <is>
          <t>NULL</t>
        </is>
      </c>
      <c r="H681" t="inlineStr">
        <is>
          <t>NULL</t>
        </is>
      </c>
      <c r="I681" t="inlineStr">
        <is>
          <t>NULL</t>
        </is>
      </c>
      <c r="J681" t="inlineStr">
        <is>
          <t>NULL</t>
        </is>
      </c>
      <c r="K681" t="inlineStr">
        <is>
          <t>YES! 	 id列源备映射正确，源端为int None位	期望更改为int	实际备端为int None位</t>
        </is>
      </c>
    </row>
    <row r="682">
      <c r="B682" t="inlineStr">
        <is>
          <t>NULL</t>
        </is>
      </c>
      <c r="C682" t="inlineStr">
        <is>
          <t>NULL</t>
        </is>
      </c>
      <c r="D682" t="inlineStr">
        <is>
          <t>NULL</t>
        </is>
      </c>
      <c r="E682" t="inlineStr">
        <is>
          <t>NULL</t>
        </is>
      </c>
      <c r="F682" t="inlineStr">
        <is>
          <t>NULL</t>
        </is>
      </c>
      <c r="G682" t="inlineStr">
        <is>
          <t>NULL</t>
        </is>
      </c>
      <c r="H682" t="inlineStr">
        <is>
          <t>NULL</t>
        </is>
      </c>
      <c r="I682" t="inlineStr">
        <is>
          <t>NULL</t>
        </is>
      </c>
      <c r="J682" t="inlineStr">
        <is>
          <t>NULL</t>
        </is>
      </c>
      <c r="K682" t="inlineStr">
        <is>
          <t>YES! 	 c_nvarchar列源备映射正确，源端为nvarchar 2位	期望更改为varchar(n)	实际备端为varchar 4位</t>
        </is>
      </c>
    </row>
    <row r="683">
      <c r="B683" t="inlineStr">
        <is>
          <t>NULL</t>
        </is>
      </c>
      <c r="C683" t="inlineStr">
        <is>
          <t>NULL</t>
        </is>
      </c>
      <c r="D683" t="inlineStr">
        <is>
          <t>NULL</t>
        </is>
      </c>
      <c r="E683" t="inlineStr">
        <is>
          <t>NULL</t>
        </is>
      </c>
      <c r="F683" t="inlineStr">
        <is>
          <t>NULL</t>
        </is>
      </c>
      <c r="G683" t="inlineStr">
        <is>
          <t>NULL</t>
        </is>
      </c>
      <c r="H683" t="inlineStr">
        <is>
          <t>NULL</t>
        </is>
      </c>
      <c r="I683" t="inlineStr">
        <is>
          <t>NULL</t>
        </is>
      </c>
      <c r="J683" t="inlineStr">
        <is>
          <t>NULL</t>
        </is>
      </c>
      <c r="K683" t="inlineStr">
        <is>
          <t>YES! 	 c_nvarchar20列源备映射正确，源端为nvarchar 40位	期望更改为varchar(n)	实际备端为varchar 80位</t>
        </is>
      </c>
    </row>
    <row r="684">
      <c r="B684" t="inlineStr">
        <is>
          <t>NULL</t>
        </is>
      </c>
      <c r="C684" t="inlineStr">
        <is>
          <t>NULL</t>
        </is>
      </c>
      <c r="D684" t="inlineStr">
        <is>
          <t>NULL</t>
        </is>
      </c>
      <c r="E684" t="inlineStr">
        <is>
          <t>NULL</t>
        </is>
      </c>
      <c r="F684" t="inlineStr">
        <is>
          <t>NULL</t>
        </is>
      </c>
      <c r="G684" t="inlineStr">
        <is>
          <t>NULL</t>
        </is>
      </c>
      <c r="H684" t="inlineStr">
        <is>
          <t>NULL</t>
        </is>
      </c>
      <c r="I684" t="inlineStr">
        <is>
          <t>NULL</t>
        </is>
      </c>
      <c r="J684" t="inlineStr">
        <is>
          <t>NULL</t>
        </is>
      </c>
      <c r="K684" t="inlineStr">
        <is>
          <t xml:space="preserve"> NO!  	 c_nvarchar4000列源备映射错误，源端为nvarchar 8000位	期望更改为longtext	实际备端为text 65535位</t>
        </is>
      </c>
    </row>
    <row r="685">
      <c r="A685" t="inlineStr">
        <is>
          <t>info_varchar_dml_batch1_pk_drp1</t>
        </is>
      </c>
      <c r="K685" t="inlineStr">
        <is>
          <t>[0;34m info_varchar_dml_batch1_pk_drp1 [0m源备字段数相同，源端字段：4 	备端字段4</t>
        </is>
      </c>
      <c r="W685" t="inlineStr">
        <is>
          <t>YES 源备无差异</t>
        </is>
      </c>
      <c r="X685">
        <f>A685</f>
        <v/>
      </c>
    </row>
    <row r="686">
      <c r="B686" t="inlineStr">
        <is>
          <t>YES</t>
        </is>
      </c>
      <c r="C686" t="inlineStr">
        <is>
          <t>NULL</t>
        </is>
      </c>
      <c r="D686" t="inlineStr">
        <is>
          <t>NULL</t>
        </is>
      </c>
      <c r="E686" t="inlineStr">
        <is>
          <t>NULL</t>
        </is>
      </c>
      <c r="F686" t="inlineStr">
        <is>
          <t>NULL</t>
        </is>
      </c>
      <c r="G686" t="inlineStr">
        <is>
          <t>NULL</t>
        </is>
      </c>
      <c r="H686" t="inlineStr">
        <is>
          <t>NULL</t>
        </is>
      </c>
      <c r="I686" t="inlineStr">
        <is>
          <t>YES!PK__info_var__3213E83F0FF499FE</t>
        </is>
      </c>
      <c r="J686" t="inlineStr">
        <is>
          <t>YES! 主键相关索引</t>
        </is>
      </c>
      <c r="K686" t="inlineStr">
        <is>
          <t>YES! 	 id列源备映射正确，源端为int None位	期望更改为int	实际备端为int None位</t>
        </is>
      </c>
    </row>
    <row r="687">
      <c r="B687" t="inlineStr">
        <is>
          <t>NULL</t>
        </is>
      </c>
      <c r="C687" t="inlineStr">
        <is>
          <t>NULL</t>
        </is>
      </c>
      <c r="D687" t="inlineStr">
        <is>
          <t>NULL</t>
        </is>
      </c>
      <c r="E687" t="inlineStr">
        <is>
          <t>NULL</t>
        </is>
      </c>
      <c r="F687" t="inlineStr">
        <is>
          <t>NULL</t>
        </is>
      </c>
      <c r="G687" t="inlineStr">
        <is>
          <t>NULL</t>
        </is>
      </c>
      <c r="H687" t="inlineStr">
        <is>
          <t>NULL</t>
        </is>
      </c>
      <c r="I687" t="inlineStr">
        <is>
          <t>NULL</t>
        </is>
      </c>
      <c r="J687" t="inlineStr">
        <is>
          <t>NULL</t>
        </is>
      </c>
      <c r="K687" t="inlineStr">
        <is>
          <t>YES! 	 c_varchar列源备映射正确，源端为varchar 1位	期望更改为varchar(n)	实际备端为varchar 4位</t>
        </is>
      </c>
    </row>
    <row r="688">
      <c r="B688" t="inlineStr">
        <is>
          <t>NULL</t>
        </is>
      </c>
      <c r="C688" t="inlineStr">
        <is>
          <t>NULL</t>
        </is>
      </c>
      <c r="D688" t="inlineStr">
        <is>
          <t>NULL</t>
        </is>
      </c>
      <c r="E688" t="inlineStr">
        <is>
          <t>NULL</t>
        </is>
      </c>
      <c r="F688" t="inlineStr">
        <is>
          <t>NULL</t>
        </is>
      </c>
      <c r="G688" t="inlineStr">
        <is>
          <t>NULL</t>
        </is>
      </c>
      <c r="H688" t="inlineStr">
        <is>
          <t>NULL</t>
        </is>
      </c>
      <c r="I688" t="inlineStr">
        <is>
          <t>NULL</t>
        </is>
      </c>
      <c r="J688" t="inlineStr">
        <is>
          <t>NULL</t>
        </is>
      </c>
      <c r="K688" t="inlineStr">
        <is>
          <t>YES! 	 c_varchar20列源备映射正确，源端为varchar 20位	期望更改为varchar(n)	实际备端为varchar 80位</t>
        </is>
      </c>
    </row>
    <row r="689">
      <c r="B689" t="inlineStr">
        <is>
          <t>NULL</t>
        </is>
      </c>
      <c r="C689" t="inlineStr">
        <is>
          <t>NULL</t>
        </is>
      </c>
      <c r="D689" t="inlineStr">
        <is>
          <t>NULL</t>
        </is>
      </c>
      <c r="E689" t="inlineStr">
        <is>
          <t>NULL</t>
        </is>
      </c>
      <c r="F689" t="inlineStr">
        <is>
          <t>NULL</t>
        </is>
      </c>
      <c r="G689" t="inlineStr">
        <is>
          <t>NULL</t>
        </is>
      </c>
      <c r="H689" t="inlineStr">
        <is>
          <t>NULL</t>
        </is>
      </c>
      <c r="I689" t="inlineStr">
        <is>
          <t>NULL</t>
        </is>
      </c>
      <c r="J689" t="inlineStr">
        <is>
          <t>NULL</t>
        </is>
      </c>
      <c r="K689" t="inlineStr">
        <is>
          <t xml:space="preserve"> NO!  	 c_varchar7000列源备映射错误，源端为varchar 7000位	期望更改为longtext	实际备端为text 65535位</t>
        </is>
      </c>
    </row>
    <row r="690">
      <c r="K690" t="inlineStr">
        <is>
          <t>~ 空表</t>
        </is>
      </c>
    </row>
    <row r="691">
      <c r="A691" t="inlineStr">
        <is>
          <t>info_datetime_dml_batch2_pk_irp2</t>
        </is>
      </c>
      <c r="K691" t="inlineStr">
        <is>
          <t>[0;34m info_datetime_dml_batch2_pk_irp2 [0m源备字段数相同，源端字段：2 	备端字段2</t>
        </is>
      </c>
      <c r="W691" t="inlineStr">
        <is>
          <t>YES 源备无差异</t>
        </is>
      </c>
      <c r="X691">
        <f>A691</f>
        <v/>
      </c>
    </row>
    <row r="692">
      <c r="B692" t="inlineStr">
        <is>
          <t>YES</t>
        </is>
      </c>
      <c r="C692" t="inlineStr">
        <is>
          <t>NULL</t>
        </is>
      </c>
      <c r="D692" t="inlineStr">
        <is>
          <t>NULL</t>
        </is>
      </c>
      <c r="E692" t="inlineStr">
        <is>
          <t>NULL</t>
        </is>
      </c>
      <c r="F692" t="inlineStr">
        <is>
          <t>NULL</t>
        </is>
      </c>
      <c r="G692" t="inlineStr">
        <is>
          <t>NULL</t>
        </is>
      </c>
      <c r="H692" t="inlineStr">
        <is>
          <t>NULL</t>
        </is>
      </c>
      <c r="I692" t="inlineStr">
        <is>
          <t>YES!PK__info_dat__3213E83F297599A4</t>
        </is>
      </c>
      <c r="J692" t="inlineStr">
        <is>
          <t>YES! 主键相关索引</t>
        </is>
      </c>
      <c r="K692" t="inlineStr">
        <is>
          <t>YES! 	 id列源备映射正确，源端为int None位	期望更改为int	实际备端为int None位</t>
        </is>
      </c>
    </row>
    <row r="693">
      <c r="B693" t="inlineStr">
        <is>
          <t>NULL</t>
        </is>
      </c>
      <c r="C693" t="inlineStr">
        <is>
          <t>NULL</t>
        </is>
      </c>
      <c r="D693" t="inlineStr">
        <is>
          <t>NULL</t>
        </is>
      </c>
      <c r="E693" t="inlineStr">
        <is>
          <t>NULL</t>
        </is>
      </c>
      <c r="F693" t="inlineStr">
        <is>
          <t>NULL</t>
        </is>
      </c>
      <c r="G693" t="inlineStr">
        <is>
          <t>NULL</t>
        </is>
      </c>
      <c r="H693" t="inlineStr">
        <is>
          <t>NULL</t>
        </is>
      </c>
      <c r="I693" t="inlineStr">
        <is>
          <t>NULL</t>
        </is>
      </c>
      <c r="J693" t="inlineStr">
        <is>
          <t>NULL</t>
        </is>
      </c>
      <c r="K693" t="inlineStr">
        <is>
          <t>YES! 	 c_datetime列源备映射正确，源端为datetime None位	期望更改为datetime(3)	实际备端为datetime None位</t>
        </is>
      </c>
    </row>
    <row r="694">
      <c r="A694" t="inlineStr">
        <is>
          <t>info_varchar_dml_batch1_pk</t>
        </is>
      </c>
      <c r="K694" t="inlineStr">
        <is>
          <t>[0;34m info_varchar_dml_batch1_pk [0m源备字段数相同，源端字段：4 	备端字段4</t>
        </is>
      </c>
      <c r="W694" t="inlineStr">
        <is>
          <t>YES 源备无差异</t>
        </is>
      </c>
      <c r="X694">
        <f>A694</f>
        <v/>
      </c>
    </row>
    <row r="695">
      <c r="B695" t="inlineStr">
        <is>
          <t>YES</t>
        </is>
      </c>
      <c r="C695" t="inlineStr">
        <is>
          <t>NULL</t>
        </is>
      </c>
      <c r="D695" t="inlineStr">
        <is>
          <t>NULL</t>
        </is>
      </c>
      <c r="E695" t="inlineStr">
        <is>
          <t>NULL</t>
        </is>
      </c>
      <c r="F695" t="inlineStr">
        <is>
          <t>NULL</t>
        </is>
      </c>
      <c r="G695" t="inlineStr">
        <is>
          <t>NULL</t>
        </is>
      </c>
      <c r="H695" t="inlineStr">
        <is>
          <t>NULL</t>
        </is>
      </c>
      <c r="I695" t="inlineStr">
        <is>
          <t>YES!PK__info_var__3213E83FFA843D84</t>
        </is>
      </c>
      <c r="J695" t="inlineStr">
        <is>
          <t>YES! 主键相关索引</t>
        </is>
      </c>
      <c r="K695" t="inlineStr">
        <is>
          <t>YES! 	 id列源备映射正确，源端为int None位	期望更改为int	实际备端为int None位</t>
        </is>
      </c>
    </row>
    <row r="696">
      <c r="B696" t="inlineStr">
        <is>
          <t>NULL</t>
        </is>
      </c>
      <c r="C696" t="inlineStr">
        <is>
          <t>NULL</t>
        </is>
      </c>
      <c r="D696" t="inlineStr">
        <is>
          <t>NULL</t>
        </is>
      </c>
      <c r="E696" t="inlineStr">
        <is>
          <t>NULL</t>
        </is>
      </c>
      <c r="F696" t="inlineStr">
        <is>
          <t>NULL</t>
        </is>
      </c>
      <c r="G696" t="inlineStr">
        <is>
          <t>NULL</t>
        </is>
      </c>
      <c r="H696" t="inlineStr">
        <is>
          <t>NULL</t>
        </is>
      </c>
      <c r="I696" t="inlineStr">
        <is>
          <t>NULL</t>
        </is>
      </c>
      <c r="J696" t="inlineStr">
        <is>
          <t>NULL</t>
        </is>
      </c>
      <c r="K696" t="inlineStr">
        <is>
          <t>YES! 	 c_varchar列源备映射正确，源端为varchar 1位	期望更改为varchar(n)	实际备端为varchar 4位</t>
        </is>
      </c>
    </row>
    <row r="697">
      <c r="B697" t="inlineStr">
        <is>
          <t>NULL</t>
        </is>
      </c>
      <c r="C697" t="inlineStr">
        <is>
          <t>NULL</t>
        </is>
      </c>
      <c r="D697" t="inlineStr">
        <is>
          <t>NULL</t>
        </is>
      </c>
      <c r="E697" t="inlineStr">
        <is>
          <t>NULL</t>
        </is>
      </c>
      <c r="F697" t="inlineStr">
        <is>
          <t>NULL</t>
        </is>
      </c>
      <c r="G697" t="inlineStr">
        <is>
          <t>NULL</t>
        </is>
      </c>
      <c r="H697" t="inlineStr">
        <is>
          <t>NULL</t>
        </is>
      </c>
      <c r="I697" t="inlineStr">
        <is>
          <t>NULL</t>
        </is>
      </c>
      <c r="J697" t="inlineStr">
        <is>
          <t>NULL</t>
        </is>
      </c>
      <c r="K697" t="inlineStr">
        <is>
          <t>YES! 	 c_varchar20列源备映射正确，源端为varchar 20位	期望更改为varchar(n)	实际备端为varchar 80位</t>
        </is>
      </c>
    </row>
    <row r="698">
      <c r="B698" t="inlineStr">
        <is>
          <t>NULL</t>
        </is>
      </c>
      <c r="C698" t="inlineStr">
        <is>
          <t>NULL</t>
        </is>
      </c>
      <c r="D698" t="inlineStr">
        <is>
          <t>NULL</t>
        </is>
      </c>
      <c r="E698" t="inlineStr">
        <is>
          <t>NULL</t>
        </is>
      </c>
      <c r="F698" t="inlineStr">
        <is>
          <t>NULL</t>
        </is>
      </c>
      <c r="G698" t="inlineStr">
        <is>
          <t>NULL</t>
        </is>
      </c>
      <c r="H698" t="inlineStr">
        <is>
          <t>NULL</t>
        </is>
      </c>
      <c r="I698" t="inlineStr">
        <is>
          <t>NULL</t>
        </is>
      </c>
      <c r="J698" t="inlineStr">
        <is>
          <t>NULL</t>
        </is>
      </c>
      <c r="K698" t="inlineStr">
        <is>
          <t xml:space="preserve"> NO!  	 c_varchar7000列源备映射错误，源端为varchar 7000位	期望更改为longtext	实际备端为text 65535位</t>
        </is>
      </c>
    </row>
    <row r="699">
      <c r="A699" t="inlineStr">
        <is>
          <t>info_text_dml_single_pk</t>
        </is>
      </c>
      <c r="K699" t="inlineStr">
        <is>
          <t>[0;34m info_text_dml_single_pk [0m源备字段数相同，源端字段：3 	备端字段3</t>
        </is>
      </c>
      <c r="W699" t="inlineStr">
        <is>
          <t>YES 源备无差异</t>
        </is>
      </c>
      <c r="X699">
        <f>A699</f>
        <v/>
      </c>
    </row>
    <row r="700">
      <c r="B700" t="inlineStr">
        <is>
          <t>YES</t>
        </is>
      </c>
      <c r="C700" t="inlineStr">
        <is>
          <t>NULL</t>
        </is>
      </c>
      <c r="D700" t="inlineStr">
        <is>
          <t>NULL</t>
        </is>
      </c>
      <c r="E700" t="inlineStr">
        <is>
          <t>NULL</t>
        </is>
      </c>
      <c r="F700" t="inlineStr">
        <is>
          <t>NULL</t>
        </is>
      </c>
      <c r="G700" t="inlineStr">
        <is>
          <t>NULL</t>
        </is>
      </c>
      <c r="H700" t="inlineStr">
        <is>
          <t>NULL</t>
        </is>
      </c>
      <c r="I700" t="inlineStr">
        <is>
          <t>YES!PK__info_tex__3213E83F041B8173</t>
        </is>
      </c>
      <c r="J700" t="inlineStr">
        <is>
          <t>YES! 主键相关索引</t>
        </is>
      </c>
      <c r="K700" t="inlineStr">
        <is>
          <t>YES! 	 id列源备映射正确，源端为int None位	期望更改为int	实际备端为int None位</t>
        </is>
      </c>
    </row>
    <row r="701">
      <c r="B701" t="inlineStr">
        <is>
          <t>NULL</t>
        </is>
      </c>
      <c r="C701" t="inlineStr">
        <is>
          <t>NULL</t>
        </is>
      </c>
      <c r="D701" t="inlineStr">
        <is>
          <t>NULL</t>
        </is>
      </c>
      <c r="E701" t="inlineStr">
        <is>
          <t>NULL</t>
        </is>
      </c>
      <c r="F701" t="inlineStr">
        <is>
          <t>NULL</t>
        </is>
      </c>
      <c r="G701" t="inlineStr">
        <is>
          <t>NULL</t>
        </is>
      </c>
      <c r="H701" t="inlineStr">
        <is>
          <t>NULL</t>
        </is>
      </c>
      <c r="I701" t="inlineStr">
        <is>
          <t>NULL</t>
        </is>
      </c>
      <c r="J701" t="inlineStr">
        <is>
          <t>NULL</t>
        </is>
      </c>
      <c r="K701" t="inlineStr">
        <is>
          <t>YES! 	 c_text列源备映射正确，源端为text 2147483647位	期望更改为longtext	实际备端为longtext 4294967295位</t>
        </is>
      </c>
    </row>
    <row r="702">
      <c r="B702" t="inlineStr">
        <is>
          <t>NULL</t>
        </is>
      </c>
      <c r="C702" t="inlineStr">
        <is>
          <t>NULL</t>
        </is>
      </c>
      <c r="D702" t="inlineStr">
        <is>
          <t>NULL</t>
        </is>
      </c>
      <c r="E702" t="inlineStr">
        <is>
          <t>NULL</t>
        </is>
      </c>
      <c r="F702" t="inlineStr">
        <is>
          <t>NULL</t>
        </is>
      </c>
      <c r="G702" t="inlineStr">
        <is>
          <t>NULL</t>
        </is>
      </c>
      <c r="H702" t="inlineStr">
        <is>
          <t>NULL</t>
        </is>
      </c>
      <c r="I702" t="inlineStr">
        <is>
          <t>NULL</t>
        </is>
      </c>
      <c r="J702" t="inlineStr">
        <is>
          <t>NULL</t>
        </is>
      </c>
      <c r="K702" t="inlineStr">
        <is>
          <t>YES! 	 c_ntext列源备映射正确，源端为ntext 2147483646位	期望更改为longtext	实际备端为longtext 4294967295位</t>
        </is>
      </c>
    </row>
    <row r="703">
      <c r="K703" t="inlineStr">
        <is>
          <t>~ 空表</t>
        </is>
      </c>
    </row>
    <row r="704">
      <c r="A704" t="inlineStr">
        <is>
          <t>info_datetime_dml_batch1_pk_urp1</t>
        </is>
      </c>
      <c r="K704" t="inlineStr">
        <is>
          <t>[0;34m info_datetime_dml_batch1_pk_urp1 [0m源备字段数相同，源端字段：2 	备端字段2</t>
        </is>
      </c>
      <c r="W704" t="inlineStr">
        <is>
          <t>YES 源备无差异</t>
        </is>
      </c>
      <c r="X704">
        <f>A704</f>
        <v/>
      </c>
    </row>
    <row r="705">
      <c r="B705" t="inlineStr">
        <is>
          <t>YES</t>
        </is>
      </c>
      <c r="C705" t="inlineStr">
        <is>
          <t>NULL</t>
        </is>
      </c>
      <c r="D705" t="inlineStr">
        <is>
          <t>NULL</t>
        </is>
      </c>
      <c r="E705" t="inlineStr">
        <is>
          <t>NULL</t>
        </is>
      </c>
      <c r="F705" t="inlineStr">
        <is>
          <t>NULL</t>
        </is>
      </c>
      <c r="G705" t="inlineStr">
        <is>
          <t>NULL</t>
        </is>
      </c>
      <c r="H705" t="inlineStr">
        <is>
          <t>NULL</t>
        </is>
      </c>
      <c r="I705" t="inlineStr">
        <is>
          <t>YES!PK__info_dat__3213E83FFC5CACE2</t>
        </is>
      </c>
      <c r="J705" t="inlineStr">
        <is>
          <t>YES! 主键相关索引</t>
        </is>
      </c>
      <c r="K705" t="inlineStr">
        <is>
          <t>YES! 	 id列源备映射正确，源端为int None位	期望更改为int	实际备端为int None位</t>
        </is>
      </c>
    </row>
    <row r="706">
      <c r="B706" t="inlineStr">
        <is>
          <t>NULL</t>
        </is>
      </c>
      <c r="C706" t="inlineStr">
        <is>
          <t>NULL</t>
        </is>
      </c>
      <c r="D706" t="inlineStr">
        <is>
          <t>NULL</t>
        </is>
      </c>
      <c r="E706" t="inlineStr">
        <is>
          <t>NULL</t>
        </is>
      </c>
      <c r="F706" t="inlineStr">
        <is>
          <t>NULL</t>
        </is>
      </c>
      <c r="G706" t="inlineStr">
        <is>
          <t>NULL</t>
        </is>
      </c>
      <c r="H706" t="inlineStr">
        <is>
          <t>NULL</t>
        </is>
      </c>
      <c r="I706" t="inlineStr">
        <is>
          <t>NULL</t>
        </is>
      </c>
      <c r="J706" t="inlineStr">
        <is>
          <t>NULL</t>
        </is>
      </c>
      <c r="K706" t="inlineStr">
        <is>
          <t>YES! 	 c_datetime列源备映射正确，源端为datetime None位	期望更改为datetime(3)	实际备端为datetime None位</t>
        </is>
      </c>
    </row>
    <row r="707">
      <c r="A707" t="inlineStr">
        <is>
          <t>info_date_dml_single_pk_irp</t>
        </is>
      </c>
      <c r="K707" t="inlineStr">
        <is>
          <t>[0;34m info_date_dml_single_pk_irp [0m源备字段数相同，源端字段：2 	备端字段2</t>
        </is>
      </c>
      <c r="W707" t="inlineStr">
        <is>
          <t>YES 源备无差异</t>
        </is>
      </c>
      <c r="X707">
        <f>A707</f>
        <v/>
      </c>
    </row>
    <row r="708">
      <c r="B708" t="inlineStr">
        <is>
          <t>YES</t>
        </is>
      </c>
      <c r="C708" t="inlineStr">
        <is>
          <t>NULL</t>
        </is>
      </c>
      <c r="D708" t="inlineStr">
        <is>
          <t>NULL</t>
        </is>
      </c>
      <c r="E708" t="inlineStr">
        <is>
          <t>NULL</t>
        </is>
      </c>
      <c r="F708" t="inlineStr">
        <is>
          <t>NULL</t>
        </is>
      </c>
      <c r="G708" t="inlineStr">
        <is>
          <t>NULL</t>
        </is>
      </c>
      <c r="H708" t="inlineStr">
        <is>
          <t>NULL</t>
        </is>
      </c>
      <c r="I708" t="inlineStr">
        <is>
          <t>YES!PK__info_dat__3213E83FA4D0597A</t>
        </is>
      </c>
      <c r="J708" t="inlineStr">
        <is>
          <t>YES! 主键相关索引</t>
        </is>
      </c>
      <c r="K708" t="inlineStr">
        <is>
          <t>YES! 	 id列源备映射正确，源端为int None位	期望更改为int	实际备端为int None位</t>
        </is>
      </c>
    </row>
    <row r="709">
      <c r="B709" t="inlineStr">
        <is>
          <t>NULL</t>
        </is>
      </c>
      <c r="C709" t="inlineStr">
        <is>
          <t>NULL</t>
        </is>
      </c>
      <c r="D709" t="inlineStr">
        <is>
          <t>NULL</t>
        </is>
      </c>
      <c r="E709" t="inlineStr">
        <is>
          <t>NULL</t>
        </is>
      </c>
      <c r="F709" t="inlineStr">
        <is>
          <t>NULL</t>
        </is>
      </c>
      <c r="G709" t="inlineStr">
        <is>
          <t>NULL</t>
        </is>
      </c>
      <c r="H709" t="inlineStr">
        <is>
          <t>NULL</t>
        </is>
      </c>
      <c r="I709" t="inlineStr">
        <is>
          <t>NULL</t>
        </is>
      </c>
      <c r="J709" t="inlineStr">
        <is>
          <t>NULL</t>
        </is>
      </c>
      <c r="K709" t="inlineStr">
        <is>
          <t>YES! 	 c_date列源备映射正确，源端为date None位	期望更改为date	实际备端为date None位</t>
        </is>
      </c>
    </row>
    <row r="710">
      <c r="A710" t="inlineStr">
        <is>
          <t>info_varcharmax_dml_single_pk_irp</t>
        </is>
      </c>
      <c r="K710" t="inlineStr">
        <is>
          <t>[0;34m info_varcharmax_dml_single_pk_irp [0m源备字段数相同，源端字段：3 	备端字段3</t>
        </is>
      </c>
      <c r="W710" t="inlineStr">
        <is>
          <t>YES 源备无差异</t>
        </is>
      </c>
      <c r="X710">
        <f>A710</f>
        <v/>
      </c>
    </row>
    <row r="711">
      <c r="B711" t="inlineStr">
        <is>
          <t>YES</t>
        </is>
      </c>
      <c r="C711" t="inlineStr">
        <is>
          <t>NULL</t>
        </is>
      </c>
      <c r="D711" t="inlineStr">
        <is>
          <t>NULL</t>
        </is>
      </c>
      <c r="E711" t="inlineStr">
        <is>
          <t>NULL</t>
        </is>
      </c>
      <c r="F711" t="inlineStr">
        <is>
          <t>NULL</t>
        </is>
      </c>
      <c r="G711" t="inlineStr">
        <is>
          <t>NULL</t>
        </is>
      </c>
      <c r="H711" t="inlineStr">
        <is>
          <t>NULL</t>
        </is>
      </c>
      <c r="I711" t="inlineStr">
        <is>
          <t>YES!PK__info_var__3213E83F850C6496</t>
        </is>
      </c>
      <c r="J711" t="inlineStr">
        <is>
          <t>YES! 主键相关索引</t>
        </is>
      </c>
      <c r="K711" t="inlineStr">
        <is>
          <t>YES! 	 id列源备映射正确，源端为int None位	期望更改为int	实际备端为int None位</t>
        </is>
      </c>
    </row>
    <row r="712">
      <c r="B712" t="inlineStr">
        <is>
          <t>NULL</t>
        </is>
      </c>
      <c r="C712" t="inlineStr">
        <is>
          <t>NULL</t>
        </is>
      </c>
      <c r="D712" t="inlineStr">
        <is>
          <t>NULL</t>
        </is>
      </c>
      <c r="E712" t="inlineStr">
        <is>
          <t>NULL</t>
        </is>
      </c>
      <c r="F712" t="inlineStr">
        <is>
          <t>NULL</t>
        </is>
      </c>
      <c r="G712" t="inlineStr">
        <is>
          <t>NULL</t>
        </is>
      </c>
      <c r="H712" t="inlineStr">
        <is>
          <t>NULL</t>
        </is>
      </c>
      <c r="I712" t="inlineStr">
        <is>
          <t>NULL</t>
        </is>
      </c>
      <c r="J712" t="inlineStr">
        <is>
          <t>NULL</t>
        </is>
      </c>
      <c r="K712" t="inlineStr">
        <is>
          <t>YES! 	 c_varchar_max列源备映射正确，源端为varchar -1位	期望更改为longtext	实际备端为longtext 4294967295位</t>
        </is>
      </c>
    </row>
    <row r="713">
      <c r="B713" t="inlineStr">
        <is>
          <t>NULL</t>
        </is>
      </c>
      <c r="C713" t="inlineStr">
        <is>
          <t>NULL</t>
        </is>
      </c>
      <c r="D713" t="inlineStr">
        <is>
          <t>NULL</t>
        </is>
      </c>
      <c r="E713" t="inlineStr">
        <is>
          <t>NULL</t>
        </is>
      </c>
      <c r="F713" t="inlineStr">
        <is>
          <t>NULL</t>
        </is>
      </c>
      <c r="G713" t="inlineStr">
        <is>
          <t>NULL</t>
        </is>
      </c>
      <c r="H713" t="inlineStr">
        <is>
          <t>NULL</t>
        </is>
      </c>
      <c r="I713" t="inlineStr">
        <is>
          <t>NULL</t>
        </is>
      </c>
      <c r="J713" t="inlineStr">
        <is>
          <t>NULL</t>
        </is>
      </c>
      <c r="K713" t="inlineStr">
        <is>
          <t>YES! 	 c_nvarchar_max列源备映射正确，源端为nvarchar -1位	期望更改为longtext	实际备端为longtext 4294967295位</t>
        </is>
      </c>
    </row>
    <row r="714">
      <c r="A714" t="inlineStr">
        <is>
          <t>info_varcharmax_dml_single_pk_urp</t>
        </is>
      </c>
      <c r="K714" t="inlineStr">
        <is>
          <t>[0;34m info_varcharmax_dml_single_pk_urp [0m源备字段数相同，源端字段：3 	备端字段3</t>
        </is>
      </c>
      <c r="W714" t="inlineStr">
        <is>
          <t>YES 源备无差异</t>
        </is>
      </c>
      <c r="X714">
        <f>A714</f>
        <v/>
      </c>
    </row>
    <row r="715">
      <c r="B715" t="inlineStr">
        <is>
          <t>YES</t>
        </is>
      </c>
      <c r="C715" t="inlineStr">
        <is>
          <t>NULL</t>
        </is>
      </c>
      <c r="D715" t="inlineStr">
        <is>
          <t>NULL</t>
        </is>
      </c>
      <c r="E715" t="inlineStr">
        <is>
          <t>NULL</t>
        </is>
      </c>
      <c r="F715" t="inlineStr">
        <is>
          <t>NULL</t>
        </is>
      </c>
      <c r="G715" t="inlineStr">
        <is>
          <t>NULL</t>
        </is>
      </c>
      <c r="H715" t="inlineStr">
        <is>
          <t>NULL</t>
        </is>
      </c>
      <c r="I715" t="inlineStr">
        <is>
          <t>YES!PK__info_var__3213E83FDD33FE7B</t>
        </is>
      </c>
      <c r="J715" t="inlineStr">
        <is>
          <t>YES! 主键相关索引</t>
        </is>
      </c>
      <c r="K715" t="inlineStr">
        <is>
          <t>YES! 	 id列源备映射正确，源端为int None位	期望更改为int	实际备端为int None位</t>
        </is>
      </c>
    </row>
    <row r="716">
      <c r="B716" t="inlineStr">
        <is>
          <t>NULL</t>
        </is>
      </c>
      <c r="C716" t="inlineStr">
        <is>
          <t>NULL</t>
        </is>
      </c>
      <c r="D716" t="inlineStr">
        <is>
          <t>NULL</t>
        </is>
      </c>
      <c r="E716" t="inlineStr">
        <is>
          <t>NULL</t>
        </is>
      </c>
      <c r="F716" t="inlineStr">
        <is>
          <t>NULL</t>
        </is>
      </c>
      <c r="G716" t="inlineStr">
        <is>
          <t>NULL</t>
        </is>
      </c>
      <c r="H716" t="inlineStr">
        <is>
          <t>NULL</t>
        </is>
      </c>
      <c r="I716" t="inlineStr">
        <is>
          <t>NULL</t>
        </is>
      </c>
      <c r="J716" t="inlineStr">
        <is>
          <t>NULL</t>
        </is>
      </c>
      <c r="K716" t="inlineStr">
        <is>
          <t>YES! 	 c_varchar_max列源备映射正确，源端为varchar -1位	期望更改为longtext	实际备端为longtext 4294967295位</t>
        </is>
      </c>
    </row>
    <row r="717">
      <c r="B717" t="inlineStr">
        <is>
          <t>NULL</t>
        </is>
      </c>
      <c r="C717" t="inlineStr">
        <is>
          <t>NULL</t>
        </is>
      </c>
      <c r="D717" t="inlineStr">
        <is>
          <t>NULL</t>
        </is>
      </c>
      <c r="E717" t="inlineStr">
        <is>
          <t>NULL</t>
        </is>
      </c>
      <c r="F717" t="inlineStr">
        <is>
          <t>NULL</t>
        </is>
      </c>
      <c r="G717" t="inlineStr">
        <is>
          <t>NULL</t>
        </is>
      </c>
      <c r="H717" t="inlineStr">
        <is>
          <t>NULL</t>
        </is>
      </c>
      <c r="I717" t="inlineStr">
        <is>
          <t>NULL</t>
        </is>
      </c>
      <c r="J717" t="inlineStr">
        <is>
          <t>NULL</t>
        </is>
      </c>
      <c r="K717" t="inlineStr">
        <is>
          <t>YES! 	 c_nvarchar_max列源备映射正确，源端为nvarchar -1位	期望更改为longtext	实际备端为longtext 4294967295位</t>
        </is>
      </c>
    </row>
    <row r="718">
      <c r="A718" t="inlineStr">
        <is>
          <t>info_datetime_dml_batch1_pk_urp2</t>
        </is>
      </c>
      <c r="K718" t="inlineStr">
        <is>
          <t>[0;34m info_datetime_dml_batch1_pk_urp2 [0m源备字段数相同，源端字段：2 	备端字段2</t>
        </is>
      </c>
      <c r="W718" t="inlineStr">
        <is>
          <t>YES 源备无差异</t>
        </is>
      </c>
      <c r="X718">
        <f>A718</f>
        <v/>
      </c>
    </row>
    <row r="719">
      <c r="B719" t="inlineStr">
        <is>
          <t>YES</t>
        </is>
      </c>
      <c r="C719" t="inlineStr">
        <is>
          <t>NULL</t>
        </is>
      </c>
      <c r="D719" t="inlineStr">
        <is>
          <t>NULL</t>
        </is>
      </c>
      <c r="E719" t="inlineStr">
        <is>
          <t>NULL</t>
        </is>
      </c>
      <c r="F719" t="inlineStr">
        <is>
          <t>NULL</t>
        </is>
      </c>
      <c r="G719" t="inlineStr">
        <is>
          <t>NULL</t>
        </is>
      </c>
      <c r="H719" t="inlineStr">
        <is>
          <t>NULL</t>
        </is>
      </c>
      <c r="I719" t="inlineStr">
        <is>
          <t>YES!PK__info_dat__3213E83F3FB40563</t>
        </is>
      </c>
      <c r="J719" t="inlineStr">
        <is>
          <t>YES! 主键相关索引</t>
        </is>
      </c>
      <c r="K719" t="inlineStr">
        <is>
          <t>YES! 	 id列源备映射正确，源端为int None位	期望更改为int	实际备端为int None位</t>
        </is>
      </c>
    </row>
    <row r="720">
      <c r="B720" t="inlineStr">
        <is>
          <t>NULL</t>
        </is>
      </c>
      <c r="C720" t="inlineStr">
        <is>
          <t>NULL</t>
        </is>
      </c>
      <c r="D720" t="inlineStr">
        <is>
          <t>NULL</t>
        </is>
      </c>
      <c r="E720" t="inlineStr">
        <is>
          <t>NULL</t>
        </is>
      </c>
      <c r="F720" t="inlineStr">
        <is>
          <t>NULL</t>
        </is>
      </c>
      <c r="G720" t="inlineStr">
        <is>
          <t>NULL</t>
        </is>
      </c>
      <c r="H720" t="inlineStr">
        <is>
          <t>NULL</t>
        </is>
      </c>
      <c r="I720" t="inlineStr">
        <is>
          <t>NULL</t>
        </is>
      </c>
      <c r="J720" t="inlineStr">
        <is>
          <t>NULL</t>
        </is>
      </c>
      <c r="K720" t="inlineStr">
        <is>
          <t>YES! 	 c_datetime列源备映射正确，源端为datetime None位	期望更改为datetime(3)	实际备端为datetime None位</t>
        </is>
      </c>
    </row>
    <row r="721">
      <c r="A721" t="inlineStr">
        <is>
          <t>info_nvarchar_dml_single_nopk</t>
        </is>
      </c>
      <c r="K721" t="inlineStr">
        <is>
          <t>[0;34m info_nvarchar_dml_single_nopk [0m源备字段数相同，源端字段：4 	备端字段4</t>
        </is>
      </c>
      <c r="W721" t="inlineStr">
        <is>
          <t>YES 源备无差异</t>
        </is>
      </c>
      <c r="X721">
        <f>A721</f>
        <v/>
      </c>
    </row>
    <row r="722">
      <c r="B722" t="inlineStr">
        <is>
          <t>NULL</t>
        </is>
      </c>
      <c r="C722" t="inlineStr">
        <is>
          <t>NULL</t>
        </is>
      </c>
      <c r="D722" t="inlineStr">
        <is>
          <t>NULL</t>
        </is>
      </c>
      <c r="E722" t="inlineStr">
        <is>
          <t>NULL</t>
        </is>
      </c>
      <c r="F722" t="inlineStr">
        <is>
          <t>NULL</t>
        </is>
      </c>
      <c r="G722" t="inlineStr">
        <is>
          <t>NULL</t>
        </is>
      </c>
      <c r="H722" t="inlineStr">
        <is>
          <t>NULL</t>
        </is>
      </c>
      <c r="I722" t="inlineStr">
        <is>
          <t>NULL</t>
        </is>
      </c>
      <c r="J722" t="inlineStr">
        <is>
          <t>NULL</t>
        </is>
      </c>
      <c r="K722" t="inlineStr">
        <is>
          <t>YES! 	 id列源备映射正确，源端为int None位	期望更改为int	实际备端为int None位</t>
        </is>
      </c>
    </row>
    <row r="723">
      <c r="B723" t="inlineStr">
        <is>
          <t>NULL</t>
        </is>
      </c>
      <c r="C723" t="inlineStr">
        <is>
          <t>NULL</t>
        </is>
      </c>
      <c r="D723" t="inlineStr">
        <is>
          <t>NULL</t>
        </is>
      </c>
      <c r="E723" t="inlineStr">
        <is>
          <t>NULL</t>
        </is>
      </c>
      <c r="F723" t="inlineStr">
        <is>
          <t>NULL</t>
        </is>
      </c>
      <c r="G723" t="inlineStr">
        <is>
          <t>NULL</t>
        </is>
      </c>
      <c r="H723" t="inlineStr">
        <is>
          <t>NULL</t>
        </is>
      </c>
      <c r="I723" t="inlineStr">
        <is>
          <t>NULL</t>
        </is>
      </c>
      <c r="J723" t="inlineStr">
        <is>
          <t>NULL</t>
        </is>
      </c>
      <c r="K723" t="inlineStr">
        <is>
          <t>YES! 	 c_nvarchar列源备映射正确，源端为nvarchar 2位	期望更改为varchar(n)	实际备端为varchar 4位</t>
        </is>
      </c>
    </row>
    <row r="724">
      <c r="B724" t="inlineStr">
        <is>
          <t>NULL</t>
        </is>
      </c>
      <c r="C724" t="inlineStr">
        <is>
          <t>NULL</t>
        </is>
      </c>
      <c r="D724" t="inlineStr">
        <is>
          <t>NULL</t>
        </is>
      </c>
      <c r="E724" t="inlineStr">
        <is>
          <t>NULL</t>
        </is>
      </c>
      <c r="F724" t="inlineStr">
        <is>
          <t>NULL</t>
        </is>
      </c>
      <c r="G724" t="inlineStr">
        <is>
          <t>NULL</t>
        </is>
      </c>
      <c r="H724" t="inlineStr">
        <is>
          <t>NULL</t>
        </is>
      </c>
      <c r="I724" t="inlineStr">
        <is>
          <t>NULL</t>
        </is>
      </c>
      <c r="J724" t="inlineStr">
        <is>
          <t>NULL</t>
        </is>
      </c>
      <c r="K724" t="inlineStr">
        <is>
          <t>YES! 	 c_nvarchar20列源备映射正确，源端为nvarchar 40位	期望更改为varchar(n)	实际备端为varchar 80位</t>
        </is>
      </c>
    </row>
    <row r="725">
      <c r="B725" t="inlineStr">
        <is>
          <t>NULL</t>
        </is>
      </c>
      <c r="C725" t="inlineStr">
        <is>
          <t>NULL</t>
        </is>
      </c>
      <c r="D725" t="inlineStr">
        <is>
          <t>NULL</t>
        </is>
      </c>
      <c r="E725" t="inlineStr">
        <is>
          <t>NULL</t>
        </is>
      </c>
      <c r="F725" t="inlineStr">
        <is>
          <t>NULL</t>
        </is>
      </c>
      <c r="G725" t="inlineStr">
        <is>
          <t>NULL</t>
        </is>
      </c>
      <c r="H725" t="inlineStr">
        <is>
          <t>NULL</t>
        </is>
      </c>
      <c r="I725" t="inlineStr">
        <is>
          <t>NULL</t>
        </is>
      </c>
      <c r="J725" t="inlineStr">
        <is>
          <t>NULL</t>
        </is>
      </c>
      <c r="K725" t="inlineStr">
        <is>
          <t xml:space="preserve"> NO!  	 c_nvarchar4000列源备映射错误，源端为nvarchar 8000位	期望更改为longtext	实际备端为text 65535位</t>
        </is>
      </c>
    </row>
    <row r="726">
      <c r="A726" t="inlineStr">
        <is>
          <t>info_nchar_dml_batch1_pk_irp1</t>
        </is>
      </c>
      <c r="K726" t="inlineStr">
        <is>
          <t>[0;34m info_nchar_dml_batch1_pk_irp1 [0m源备字段数相同，源端字段：4 	备端字段4</t>
        </is>
      </c>
      <c r="W726" s="15">
        <f>HYPERLINK("#2026052610mysql0!BG2","NO 源备存在差异，共20个")</f>
        <v/>
      </c>
      <c r="X726">
        <f>A726</f>
        <v/>
      </c>
    </row>
    <row r="727">
      <c r="B727" t="inlineStr">
        <is>
          <t>YES</t>
        </is>
      </c>
      <c r="C727" t="inlineStr">
        <is>
          <t>NULL</t>
        </is>
      </c>
      <c r="D727" t="inlineStr">
        <is>
          <t>NULL</t>
        </is>
      </c>
      <c r="E727" t="inlineStr">
        <is>
          <t>NULL</t>
        </is>
      </c>
      <c r="F727" t="inlineStr">
        <is>
          <t>NULL</t>
        </is>
      </c>
      <c r="G727" t="inlineStr">
        <is>
          <t>NULL</t>
        </is>
      </c>
      <c r="H727" t="inlineStr">
        <is>
          <t>NULL</t>
        </is>
      </c>
      <c r="I727" t="inlineStr">
        <is>
          <t>YES!PK__info_nch__3213E83F3F983448</t>
        </is>
      </c>
      <c r="J727" t="inlineStr">
        <is>
          <t>YES! 主键相关索引</t>
        </is>
      </c>
      <c r="K727" t="inlineStr">
        <is>
          <t>YES! 	 id列源备映射正确，源端为int None位	期望更改为int	实际备端为int None位</t>
        </is>
      </c>
    </row>
    <row r="728">
      <c r="B728" t="inlineStr">
        <is>
          <t>NULL</t>
        </is>
      </c>
      <c r="C728" t="inlineStr">
        <is>
          <t>NULL</t>
        </is>
      </c>
      <c r="D728" t="inlineStr">
        <is>
          <t>NULL</t>
        </is>
      </c>
      <c r="E728" t="inlineStr">
        <is>
          <t>NULL</t>
        </is>
      </c>
      <c r="F728" t="inlineStr">
        <is>
          <t>NULL</t>
        </is>
      </c>
      <c r="G728" t="inlineStr">
        <is>
          <t>NULL</t>
        </is>
      </c>
      <c r="H728" t="inlineStr">
        <is>
          <t>NULL</t>
        </is>
      </c>
      <c r="I728" t="inlineStr">
        <is>
          <t>NULL</t>
        </is>
      </c>
      <c r="J728" t="inlineStr">
        <is>
          <t>NULL</t>
        </is>
      </c>
      <c r="K728" t="inlineStr">
        <is>
          <t>YES! 	 c_nchar列源备映射正确，源端为nchar 2位	期望更改为char(n)	实际备端为char 4位</t>
        </is>
      </c>
    </row>
    <row r="729">
      <c r="B729" t="inlineStr">
        <is>
          <t>NULL</t>
        </is>
      </c>
      <c r="C729" t="inlineStr">
        <is>
          <t>NULL</t>
        </is>
      </c>
      <c r="D729" t="inlineStr">
        <is>
          <t>NULL</t>
        </is>
      </c>
      <c r="E729" t="inlineStr">
        <is>
          <t>NULL</t>
        </is>
      </c>
      <c r="F729" t="inlineStr">
        <is>
          <t>NULL</t>
        </is>
      </c>
      <c r="G729" t="inlineStr">
        <is>
          <t>NULL</t>
        </is>
      </c>
      <c r="H729" t="inlineStr">
        <is>
          <t>NULL</t>
        </is>
      </c>
      <c r="I729" t="inlineStr">
        <is>
          <t>NULL</t>
        </is>
      </c>
      <c r="J729" t="inlineStr">
        <is>
          <t>NULL</t>
        </is>
      </c>
      <c r="K729" t="inlineStr">
        <is>
          <t>YES! 	 c_nchar20列源备映射正确，源端为nchar 40位	期望更改为char(n)	实际备端为char 80位</t>
        </is>
      </c>
    </row>
    <row r="730">
      <c r="B730" t="inlineStr">
        <is>
          <t>NULL</t>
        </is>
      </c>
      <c r="C730" t="inlineStr">
        <is>
          <t>NULL</t>
        </is>
      </c>
      <c r="D730" t="inlineStr">
        <is>
          <t>NULL</t>
        </is>
      </c>
      <c r="E730" t="inlineStr">
        <is>
          <t>NULL</t>
        </is>
      </c>
      <c r="F730" t="inlineStr">
        <is>
          <t>NULL</t>
        </is>
      </c>
      <c r="G730" t="inlineStr">
        <is>
          <t>NULL</t>
        </is>
      </c>
      <c r="H730" t="inlineStr">
        <is>
          <t>NULL</t>
        </is>
      </c>
      <c r="I730" t="inlineStr">
        <is>
          <t>NULL</t>
        </is>
      </c>
      <c r="J730" t="inlineStr">
        <is>
          <t>NULL</t>
        </is>
      </c>
      <c r="K730" t="inlineStr">
        <is>
          <t>YES! 	 c_nchar4000列源备映射正确，源端为nchar 8000位	期望更改为text	实际备端为text 65535位</t>
        </is>
      </c>
    </row>
    <row r="731">
      <c r="A731" t="inlineStr">
        <is>
          <t>info_date_dml_single_pk_urp</t>
        </is>
      </c>
      <c r="K731" t="inlineStr">
        <is>
          <t>[0;34m info_date_dml_single_pk_urp [0m源备字段数相同，源端字段：2 	备端字段2</t>
        </is>
      </c>
      <c r="W731" t="inlineStr">
        <is>
          <t>YES 源备无差异</t>
        </is>
      </c>
      <c r="X731">
        <f>A731</f>
        <v/>
      </c>
    </row>
    <row r="732">
      <c r="B732" t="inlineStr">
        <is>
          <t>YES</t>
        </is>
      </c>
      <c r="C732" t="inlineStr">
        <is>
          <t>NULL</t>
        </is>
      </c>
      <c r="D732" t="inlineStr">
        <is>
          <t>NULL</t>
        </is>
      </c>
      <c r="E732" t="inlineStr">
        <is>
          <t>NULL</t>
        </is>
      </c>
      <c r="F732" t="inlineStr">
        <is>
          <t>NULL</t>
        </is>
      </c>
      <c r="G732" t="inlineStr">
        <is>
          <t>NULL</t>
        </is>
      </c>
      <c r="H732" t="inlineStr">
        <is>
          <t>NULL</t>
        </is>
      </c>
      <c r="I732" t="inlineStr">
        <is>
          <t>YES!PK__info_dat__3213E83F54C67E83</t>
        </is>
      </c>
      <c r="J732" t="inlineStr">
        <is>
          <t>YES! 主键相关索引</t>
        </is>
      </c>
      <c r="K732" t="inlineStr">
        <is>
          <t>YES! 	 id列源备映射正确，源端为int None位	期望更改为int	实际备端为int None位</t>
        </is>
      </c>
    </row>
    <row r="733">
      <c r="B733" t="inlineStr">
        <is>
          <t>NULL</t>
        </is>
      </c>
      <c r="C733" t="inlineStr">
        <is>
          <t>NULL</t>
        </is>
      </c>
      <c r="D733" t="inlineStr">
        <is>
          <t>NULL</t>
        </is>
      </c>
      <c r="E733" t="inlineStr">
        <is>
          <t>NULL</t>
        </is>
      </c>
      <c r="F733" t="inlineStr">
        <is>
          <t>NULL</t>
        </is>
      </c>
      <c r="G733" t="inlineStr">
        <is>
          <t>NULL</t>
        </is>
      </c>
      <c r="H733" t="inlineStr">
        <is>
          <t>NULL</t>
        </is>
      </c>
      <c r="I733" t="inlineStr">
        <is>
          <t>NULL</t>
        </is>
      </c>
      <c r="J733" t="inlineStr">
        <is>
          <t>NULL</t>
        </is>
      </c>
      <c r="K733" t="inlineStr">
        <is>
          <t>YES! 	 c_date列源备映射正确，源端为date None位	期望更改为date	实际备端为date None位</t>
        </is>
      </c>
    </row>
    <row r="734">
      <c r="A734" t="inlineStr">
        <is>
          <t>info_text_dml_single_pk_drp</t>
        </is>
      </c>
      <c r="K734" t="inlineStr">
        <is>
          <t>[0;34m info_text_dml_single_pk_drp [0m源备字段数相同，源端字段：3 	备端字段3</t>
        </is>
      </c>
      <c r="W734" t="inlineStr">
        <is>
          <t>YES 源备无差异</t>
        </is>
      </c>
      <c r="X734">
        <f>A734</f>
        <v/>
      </c>
    </row>
    <row r="735">
      <c r="B735" t="inlineStr">
        <is>
          <t>YES</t>
        </is>
      </c>
      <c r="C735" t="inlineStr">
        <is>
          <t>NULL</t>
        </is>
      </c>
      <c r="D735" t="inlineStr">
        <is>
          <t>NULL</t>
        </is>
      </c>
      <c r="E735" t="inlineStr">
        <is>
          <t>NULL</t>
        </is>
      </c>
      <c r="F735" t="inlineStr">
        <is>
          <t>NULL</t>
        </is>
      </c>
      <c r="G735" t="inlineStr">
        <is>
          <t>NULL</t>
        </is>
      </c>
      <c r="H735" t="inlineStr">
        <is>
          <t>NULL</t>
        </is>
      </c>
      <c r="I735" t="inlineStr">
        <is>
          <t>YES!PK__info_tex__3213E83FEC81611A</t>
        </is>
      </c>
      <c r="J735" t="inlineStr">
        <is>
          <t>YES! 主键相关索引</t>
        </is>
      </c>
      <c r="K735" t="inlineStr">
        <is>
          <t>YES! 	 id列源备映射正确，源端为int None位	期望更改为int	实际备端为int None位</t>
        </is>
      </c>
    </row>
    <row r="736">
      <c r="B736" t="inlineStr">
        <is>
          <t>NULL</t>
        </is>
      </c>
      <c r="C736" t="inlineStr">
        <is>
          <t>NULL</t>
        </is>
      </c>
      <c r="D736" t="inlineStr">
        <is>
          <t>NULL</t>
        </is>
      </c>
      <c r="E736" t="inlineStr">
        <is>
          <t>NULL</t>
        </is>
      </c>
      <c r="F736" t="inlineStr">
        <is>
          <t>NULL</t>
        </is>
      </c>
      <c r="G736" t="inlineStr">
        <is>
          <t>NULL</t>
        </is>
      </c>
      <c r="H736" t="inlineStr">
        <is>
          <t>NULL</t>
        </is>
      </c>
      <c r="I736" t="inlineStr">
        <is>
          <t>NULL</t>
        </is>
      </c>
      <c r="J736" t="inlineStr">
        <is>
          <t>NULL</t>
        </is>
      </c>
      <c r="K736" t="inlineStr">
        <is>
          <t>YES! 	 c_text列源备映射正确，源端为text 2147483647位	期望更改为longtext	实际备端为longtext 4294967295位</t>
        </is>
      </c>
    </row>
    <row r="737">
      <c r="B737" t="inlineStr">
        <is>
          <t>NULL</t>
        </is>
      </c>
      <c r="C737" t="inlineStr">
        <is>
          <t>NULL</t>
        </is>
      </c>
      <c r="D737" t="inlineStr">
        <is>
          <t>NULL</t>
        </is>
      </c>
      <c r="E737" t="inlineStr">
        <is>
          <t>NULL</t>
        </is>
      </c>
      <c r="F737" t="inlineStr">
        <is>
          <t>NULL</t>
        </is>
      </c>
      <c r="G737" t="inlineStr">
        <is>
          <t>NULL</t>
        </is>
      </c>
      <c r="H737" t="inlineStr">
        <is>
          <t>NULL</t>
        </is>
      </c>
      <c r="I737" t="inlineStr">
        <is>
          <t>NULL</t>
        </is>
      </c>
      <c r="J737" t="inlineStr">
        <is>
          <t>NULL</t>
        </is>
      </c>
      <c r="K737" t="inlineStr">
        <is>
          <t>YES! 	 c_ntext列源备映射正确，源端为ntext 2147483646位	期望更改为longtext	实际备端为longtext 4294967295位</t>
        </is>
      </c>
    </row>
    <row r="738">
      <c r="A738" t="inlineStr">
        <is>
          <t>info_varcharmax_dml_single_pk_drp</t>
        </is>
      </c>
      <c r="K738" t="inlineStr">
        <is>
          <t>[0;34m info_varcharmax_dml_single_pk_drp [0m源备字段数相同，源端字段：3 	备端字段3</t>
        </is>
      </c>
      <c r="W738" t="inlineStr">
        <is>
          <t>YES 源备无差异</t>
        </is>
      </c>
      <c r="X738">
        <f>A738</f>
        <v/>
      </c>
    </row>
    <row r="739">
      <c r="B739" t="inlineStr">
        <is>
          <t>YES</t>
        </is>
      </c>
      <c r="C739" t="inlineStr">
        <is>
          <t>NULL</t>
        </is>
      </c>
      <c r="D739" t="inlineStr">
        <is>
          <t>NULL</t>
        </is>
      </c>
      <c r="E739" t="inlineStr">
        <is>
          <t>NULL</t>
        </is>
      </c>
      <c r="F739" t="inlineStr">
        <is>
          <t>NULL</t>
        </is>
      </c>
      <c r="G739" t="inlineStr">
        <is>
          <t>NULL</t>
        </is>
      </c>
      <c r="H739" t="inlineStr">
        <is>
          <t>NULL</t>
        </is>
      </c>
      <c r="I739" t="inlineStr">
        <is>
          <t>YES!PK__info_var__3213E83FA49B8609</t>
        </is>
      </c>
      <c r="J739" t="inlineStr">
        <is>
          <t>YES! 主键相关索引</t>
        </is>
      </c>
      <c r="K739" t="inlineStr">
        <is>
          <t>YES! 	 id列源备映射正确，源端为int None位	期望更改为int	实际备端为int None位</t>
        </is>
      </c>
    </row>
    <row r="740">
      <c r="B740" t="inlineStr">
        <is>
          <t>NULL</t>
        </is>
      </c>
      <c r="C740" t="inlineStr">
        <is>
          <t>NULL</t>
        </is>
      </c>
      <c r="D740" t="inlineStr">
        <is>
          <t>NULL</t>
        </is>
      </c>
      <c r="E740" t="inlineStr">
        <is>
          <t>NULL</t>
        </is>
      </c>
      <c r="F740" t="inlineStr">
        <is>
          <t>NULL</t>
        </is>
      </c>
      <c r="G740" t="inlineStr">
        <is>
          <t>NULL</t>
        </is>
      </c>
      <c r="H740" t="inlineStr">
        <is>
          <t>NULL</t>
        </is>
      </c>
      <c r="I740" t="inlineStr">
        <is>
          <t>NULL</t>
        </is>
      </c>
      <c r="J740" t="inlineStr">
        <is>
          <t>NULL</t>
        </is>
      </c>
      <c r="K740" t="inlineStr">
        <is>
          <t>YES! 	 c_varchar_max列源备映射正确，源端为varchar -1位	期望更改为longtext	实际备端为longtext 4294967295位</t>
        </is>
      </c>
    </row>
    <row r="741">
      <c r="B741" t="inlineStr">
        <is>
          <t>NULL</t>
        </is>
      </c>
      <c r="C741" t="inlineStr">
        <is>
          <t>NULL</t>
        </is>
      </c>
      <c r="D741" t="inlineStr">
        <is>
          <t>NULL</t>
        </is>
      </c>
      <c r="E741" t="inlineStr">
        <is>
          <t>NULL</t>
        </is>
      </c>
      <c r="F741" t="inlineStr">
        <is>
          <t>NULL</t>
        </is>
      </c>
      <c r="G741" t="inlineStr">
        <is>
          <t>NULL</t>
        </is>
      </c>
      <c r="H741" t="inlineStr">
        <is>
          <t>NULL</t>
        </is>
      </c>
      <c r="I741" t="inlineStr">
        <is>
          <t>NULL</t>
        </is>
      </c>
      <c r="J741" t="inlineStr">
        <is>
          <t>NULL</t>
        </is>
      </c>
      <c r="K741" t="inlineStr">
        <is>
          <t>YES! 	 c_nvarchar_max列源备映射正确，源端为nvarchar -1位	期望更改为longtext	实际备端为longtext 4294967295位</t>
        </is>
      </c>
    </row>
    <row r="742">
      <c r="A742" t="inlineStr">
        <is>
          <t>info_datetime_dml_batch1_pk_drp1</t>
        </is>
      </c>
      <c r="K742" t="inlineStr">
        <is>
          <t>[0;34m info_datetime_dml_batch1_pk_drp1 [0m源备字段数相同，源端字段：2 	备端字段2</t>
        </is>
      </c>
      <c r="W742" t="inlineStr">
        <is>
          <t>YES 源备无差异</t>
        </is>
      </c>
      <c r="X742">
        <f>A742</f>
        <v/>
      </c>
    </row>
    <row r="743">
      <c r="B743" t="inlineStr">
        <is>
          <t>YES</t>
        </is>
      </c>
      <c r="C743" t="inlineStr">
        <is>
          <t>NULL</t>
        </is>
      </c>
      <c r="D743" t="inlineStr">
        <is>
          <t>NULL</t>
        </is>
      </c>
      <c r="E743" t="inlineStr">
        <is>
          <t>NULL</t>
        </is>
      </c>
      <c r="F743" t="inlineStr">
        <is>
          <t>NULL</t>
        </is>
      </c>
      <c r="G743" t="inlineStr">
        <is>
          <t>NULL</t>
        </is>
      </c>
      <c r="H743" t="inlineStr">
        <is>
          <t>NULL</t>
        </is>
      </c>
      <c r="I743" t="inlineStr">
        <is>
          <t>YES!PK__info_dat__3213E83F32B4DE99</t>
        </is>
      </c>
      <c r="J743" t="inlineStr">
        <is>
          <t>YES! 主键相关索引</t>
        </is>
      </c>
      <c r="K743" t="inlineStr">
        <is>
          <t>YES! 	 id列源备映射正确，源端为int None位	期望更改为int	实际备端为int None位</t>
        </is>
      </c>
    </row>
    <row r="744">
      <c r="B744" t="inlineStr">
        <is>
          <t>NULL</t>
        </is>
      </c>
      <c r="C744" t="inlineStr">
        <is>
          <t>NULL</t>
        </is>
      </c>
      <c r="D744" t="inlineStr">
        <is>
          <t>NULL</t>
        </is>
      </c>
      <c r="E744" t="inlineStr">
        <is>
          <t>NULL</t>
        </is>
      </c>
      <c r="F744" t="inlineStr">
        <is>
          <t>NULL</t>
        </is>
      </c>
      <c r="G744" t="inlineStr">
        <is>
          <t>NULL</t>
        </is>
      </c>
      <c r="H744" t="inlineStr">
        <is>
          <t>NULL</t>
        </is>
      </c>
      <c r="I744" t="inlineStr">
        <is>
          <t>NULL</t>
        </is>
      </c>
      <c r="J744" t="inlineStr">
        <is>
          <t>NULL</t>
        </is>
      </c>
      <c r="K744" t="inlineStr">
        <is>
          <t>YES! 	 c_datetime列源备映射正确，源端为datetime None位	期望更改为datetime(3)	实际备端为datetime None位</t>
        </is>
      </c>
    </row>
    <row r="745">
      <c r="K745" t="inlineStr">
        <is>
          <t>~ 空表</t>
        </is>
      </c>
    </row>
    <row r="746">
      <c r="A746" t="inlineStr">
        <is>
          <t>info_varcharmax_dml_single_nopk_irp</t>
        </is>
      </c>
      <c r="K746" t="inlineStr">
        <is>
          <t>[0;34m info_varcharmax_dml_single_nopk_irp [0m源备字段数相同，源端字段：3 	备端字段3</t>
        </is>
      </c>
      <c r="W746" t="inlineStr">
        <is>
          <t>YES 源备无差异</t>
        </is>
      </c>
      <c r="X746">
        <f>A746</f>
        <v/>
      </c>
    </row>
    <row r="747">
      <c r="B747" t="inlineStr">
        <is>
          <t>NULL</t>
        </is>
      </c>
      <c r="C747" t="inlineStr">
        <is>
          <t>NULL</t>
        </is>
      </c>
      <c r="D747" t="inlineStr">
        <is>
          <t>NULL</t>
        </is>
      </c>
      <c r="E747" t="inlineStr">
        <is>
          <t>NULL</t>
        </is>
      </c>
      <c r="F747" t="inlineStr">
        <is>
          <t>NULL</t>
        </is>
      </c>
      <c r="G747" t="inlineStr">
        <is>
          <t>NULL</t>
        </is>
      </c>
      <c r="H747" t="inlineStr">
        <is>
          <t>NULL</t>
        </is>
      </c>
      <c r="I747" t="inlineStr">
        <is>
          <t>NULL</t>
        </is>
      </c>
      <c r="J747" t="inlineStr">
        <is>
          <t>NULL</t>
        </is>
      </c>
      <c r="K747" t="inlineStr">
        <is>
          <t>YES! 	 id列源备映射正确，源端为int None位	期望更改为int	实际备端为int None位</t>
        </is>
      </c>
    </row>
    <row r="748">
      <c r="B748" t="inlineStr">
        <is>
          <t>NULL</t>
        </is>
      </c>
      <c r="C748" t="inlineStr">
        <is>
          <t>NULL</t>
        </is>
      </c>
      <c r="D748" t="inlineStr">
        <is>
          <t>NULL</t>
        </is>
      </c>
      <c r="E748" t="inlineStr">
        <is>
          <t>NULL</t>
        </is>
      </c>
      <c r="F748" t="inlineStr">
        <is>
          <t>NULL</t>
        </is>
      </c>
      <c r="G748" t="inlineStr">
        <is>
          <t>NULL</t>
        </is>
      </c>
      <c r="H748" t="inlineStr">
        <is>
          <t>NULL</t>
        </is>
      </c>
      <c r="I748" t="inlineStr">
        <is>
          <t>NULL</t>
        </is>
      </c>
      <c r="J748" t="inlineStr">
        <is>
          <t>NULL</t>
        </is>
      </c>
      <c r="K748" t="inlineStr">
        <is>
          <t>YES! 	 c_varchar_max列源备映射正确，源端为varchar -1位	期望更改为longtext	实际备端为longtext 4294967295位</t>
        </is>
      </c>
    </row>
    <row r="749">
      <c r="B749" t="inlineStr">
        <is>
          <t>NULL</t>
        </is>
      </c>
      <c r="C749" t="inlineStr">
        <is>
          <t>NULL</t>
        </is>
      </c>
      <c r="D749" t="inlineStr">
        <is>
          <t>NULL</t>
        </is>
      </c>
      <c r="E749" t="inlineStr">
        <is>
          <t>NULL</t>
        </is>
      </c>
      <c r="F749" t="inlineStr">
        <is>
          <t>NULL</t>
        </is>
      </c>
      <c r="G749" t="inlineStr">
        <is>
          <t>NULL</t>
        </is>
      </c>
      <c r="H749" t="inlineStr">
        <is>
          <t>NULL</t>
        </is>
      </c>
      <c r="I749" t="inlineStr">
        <is>
          <t>NULL</t>
        </is>
      </c>
      <c r="J749" t="inlineStr">
        <is>
          <t>NULL</t>
        </is>
      </c>
      <c r="K749" t="inlineStr">
        <is>
          <t>YES! 	 c_nvarchar_max列源备映射正确，源端为nvarchar -1位	期望更改为longtext	实际备端为longtext 4294967295位</t>
        </is>
      </c>
    </row>
    <row r="750">
      <c r="A750" t="inlineStr">
        <is>
          <t>info_sql_variant_dml_single_nopk_irp</t>
        </is>
      </c>
      <c r="K750" t="inlineStr">
        <is>
          <t>[0;34m info_sql_variant_dml_single_nopk_irp [0m源备字段数相同，源端字段：25 	备端字段25</t>
        </is>
      </c>
      <c r="W750" s="15">
        <f>HYPERLINK("#2026052610mysql0!BH2","NO 源备存在差异，共2个")</f>
        <v/>
      </c>
      <c r="X750">
        <f>A750</f>
        <v/>
      </c>
    </row>
    <row r="751">
      <c r="B751" t="inlineStr">
        <is>
          <t>NULL</t>
        </is>
      </c>
      <c r="C751" t="inlineStr">
        <is>
          <t>NULL</t>
        </is>
      </c>
      <c r="D751" t="inlineStr">
        <is>
          <t>NULL</t>
        </is>
      </c>
      <c r="E751" t="inlineStr">
        <is>
          <t>NULL</t>
        </is>
      </c>
      <c r="F751" t="inlineStr">
        <is>
          <t>NULL</t>
        </is>
      </c>
      <c r="G751" t="inlineStr">
        <is>
          <t>NULL</t>
        </is>
      </c>
      <c r="H751" t="inlineStr">
        <is>
          <t>NULL</t>
        </is>
      </c>
      <c r="I751" t="inlineStr">
        <is>
          <t>NULL</t>
        </is>
      </c>
      <c r="J751" t="inlineStr">
        <is>
          <t>NULL</t>
        </is>
      </c>
      <c r="K751" t="inlineStr">
        <is>
          <t>YES! 	 id列源备映射正确，源端为int None位	期望更改为int	实际备端为int None位</t>
        </is>
      </c>
    </row>
    <row r="752">
      <c r="B752" t="inlineStr">
        <is>
          <t>NULL</t>
        </is>
      </c>
      <c r="C752" t="inlineStr">
        <is>
          <t>NULL</t>
        </is>
      </c>
      <c r="D752" t="inlineStr">
        <is>
          <t>NULL</t>
        </is>
      </c>
      <c r="E752" t="inlineStr">
        <is>
          <t>NULL</t>
        </is>
      </c>
      <c r="F752" t="inlineStr">
        <is>
          <t>NULL</t>
        </is>
      </c>
      <c r="G752" t="inlineStr">
        <is>
          <t>NULL</t>
        </is>
      </c>
      <c r="H752" t="inlineStr">
        <is>
          <t>NULL</t>
        </is>
      </c>
      <c r="I752" t="inlineStr">
        <is>
          <t>NULL</t>
        </is>
      </c>
      <c r="J752" t="inlineStr">
        <is>
          <t>NULL</t>
        </is>
      </c>
      <c r="K752" t="inlineStr">
        <is>
          <t>[0;32m YES! [0m 	 c_date列源备映射正确，源端为sql_variant 0位	期望更改为VARCHAR(255)	实际备端为varchar 1020位	位数精度不存在，通过长度比较</t>
        </is>
      </c>
    </row>
    <row r="753">
      <c r="B753" t="inlineStr">
        <is>
          <t>NULL</t>
        </is>
      </c>
      <c r="C753" t="inlineStr">
        <is>
          <t>NULL</t>
        </is>
      </c>
      <c r="D753" t="inlineStr">
        <is>
          <t>NULL</t>
        </is>
      </c>
      <c r="E753" t="inlineStr">
        <is>
          <t>NULL</t>
        </is>
      </c>
      <c r="F753" t="inlineStr">
        <is>
          <t>NULL</t>
        </is>
      </c>
      <c r="G753" t="inlineStr">
        <is>
          <t>NULL</t>
        </is>
      </c>
      <c r="H753" t="inlineStr">
        <is>
          <t>NULL</t>
        </is>
      </c>
      <c r="I753" t="inlineStr">
        <is>
          <t>NULL</t>
        </is>
      </c>
      <c r="J753" t="inlineStr">
        <is>
          <t>NULL</t>
        </is>
      </c>
      <c r="K753" t="inlineStr">
        <is>
          <t>[0;32m YES! [0m 	 c_time列源备映射正确，源端为sql_variant 0位	期望更改为VARCHAR(255)	实际备端为varchar 1020位	位数精度不存在，通过长度比较</t>
        </is>
      </c>
    </row>
    <row r="754">
      <c r="B754" t="inlineStr">
        <is>
          <t>NULL</t>
        </is>
      </c>
      <c r="C754" t="inlineStr">
        <is>
          <t>NULL</t>
        </is>
      </c>
      <c r="D754" t="inlineStr">
        <is>
          <t>NULL</t>
        </is>
      </c>
      <c r="E754" t="inlineStr">
        <is>
          <t>NULL</t>
        </is>
      </c>
      <c r="F754" t="inlineStr">
        <is>
          <t>NULL</t>
        </is>
      </c>
      <c r="G754" t="inlineStr">
        <is>
          <t>NULL</t>
        </is>
      </c>
      <c r="H754" t="inlineStr">
        <is>
          <t>NULL</t>
        </is>
      </c>
      <c r="I754" t="inlineStr">
        <is>
          <t>NULL</t>
        </is>
      </c>
      <c r="J754" t="inlineStr">
        <is>
          <t>NULL</t>
        </is>
      </c>
      <c r="K754" t="inlineStr">
        <is>
          <t>[0;32m YES! [0m 	 c_datetime2列源备映射正确，源端为sql_variant 0位	期望更改为VARCHAR(255)	实际备端为varchar 1020位	位数精度不存在，通过长度比较</t>
        </is>
      </c>
    </row>
    <row r="755">
      <c r="B755" t="inlineStr">
        <is>
          <t>NULL</t>
        </is>
      </c>
      <c r="C755" t="inlineStr">
        <is>
          <t>NULL</t>
        </is>
      </c>
      <c r="D755" t="inlineStr">
        <is>
          <t>NULL</t>
        </is>
      </c>
      <c r="E755" t="inlineStr">
        <is>
          <t>NULL</t>
        </is>
      </c>
      <c r="F755" t="inlineStr">
        <is>
          <t>NULL</t>
        </is>
      </c>
      <c r="G755" t="inlineStr">
        <is>
          <t>NULL</t>
        </is>
      </c>
      <c r="H755" t="inlineStr">
        <is>
          <t>NULL</t>
        </is>
      </c>
      <c r="I755" t="inlineStr">
        <is>
          <t>NULL</t>
        </is>
      </c>
      <c r="J755" t="inlineStr">
        <is>
          <t>NULL</t>
        </is>
      </c>
      <c r="K755" t="inlineStr">
        <is>
          <t>[0;32m YES! [0m 	 c_datetimeoffset列源备映射正确，源端为sql_variant 0位	期望更改为VARCHAR(255)	实际备端为varchar 1020位	位数精度不存在，通过长度比较</t>
        </is>
      </c>
    </row>
    <row r="756">
      <c r="B756" t="inlineStr">
        <is>
          <t>NULL</t>
        </is>
      </c>
      <c r="C756" t="inlineStr">
        <is>
          <t>NULL</t>
        </is>
      </c>
      <c r="D756" t="inlineStr">
        <is>
          <t>NULL</t>
        </is>
      </c>
      <c r="E756" t="inlineStr">
        <is>
          <t>NULL</t>
        </is>
      </c>
      <c r="F756" t="inlineStr">
        <is>
          <t>NULL</t>
        </is>
      </c>
      <c r="G756" t="inlineStr">
        <is>
          <t>NULL</t>
        </is>
      </c>
      <c r="H756" t="inlineStr">
        <is>
          <t>NULL</t>
        </is>
      </c>
      <c r="I756" t="inlineStr">
        <is>
          <t>NULL</t>
        </is>
      </c>
      <c r="J756" t="inlineStr">
        <is>
          <t>NULL</t>
        </is>
      </c>
      <c r="K756" t="inlineStr">
        <is>
          <t>[0;32m YES! [0m 	 c_tinyint列源备映射正确，源端为sql_variant 0位	期望更改为VARCHAR(255)	实际备端为varchar 1020位	位数精度不存在，通过长度比较</t>
        </is>
      </c>
    </row>
    <row r="757">
      <c r="B757" t="inlineStr">
        <is>
          <t>NULL</t>
        </is>
      </c>
      <c r="C757" t="inlineStr">
        <is>
          <t>NULL</t>
        </is>
      </c>
      <c r="D757" t="inlineStr">
        <is>
          <t>NULL</t>
        </is>
      </c>
      <c r="E757" t="inlineStr">
        <is>
          <t>NULL</t>
        </is>
      </c>
      <c r="F757" t="inlineStr">
        <is>
          <t>NULL</t>
        </is>
      </c>
      <c r="G757" t="inlineStr">
        <is>
          <t>NULL</t>
        </is>
      </c>
      <c r="H757" t="inlineStr">
        <is>
          <t>NULL</t>
        </is>
      </c>
      <c r="I757" t="inlineStr">
        <is>
          <t>NULL</t>
        </is>
      </c>
      <c r="J757" t="inlineStr">
        <is>
          <t>NULL</t>
        </is>
      </c>
      <c r="K757" t="inlineStr">
        <is>
          <t>[0;32m YES! [0m 	 c_smallint列源备映射正确，源端为sql_variant 0位	期望更改为VARCHAR(255)	实际备端为varchar 1020位	位数精度不存在，通过长度比较</t>
        </is>
      </c>
    </row>
    <row r="758">
      <c r="B758" t="inlineStr">
        <is>
          <t>NULL</t>
        </is>
      </c>
      <c r="C758" t="inlineStr">
        <is>
          <t>NULL</t>
        </is>
      </c>
      <c r="D758" t="inlineStr">
        <is>
          <t>NULL</t>
        </is>
      </c>
      <c r="E758" t="inlineStr">
        <is>
          <t>NULL</t>
        </is>
      </c>
      <c r="F758" t="inlineStr">
        <is>
          <t>NULL</t>
        </is>
      </c>
      <c r="G758" t="inlineStr">
        <is>
          <t>NULL</t>
        </is>
      </c>
      <c r="H758" t="inlineStr">
        <is>
          <t>NULL</t>
        </is>
      </c>
      <c r="I758" t="inlineStr">
        <is>
          <t>NULL</t>
        </is>
      </c>
      <c r="J758" t="inlineStr">
        <is>
          <t>NULL</t>
        </is>
      </c>
      <c r="K758" t="inlineStr">
        <is>
          <t>[0;32m YES! [0m 	 c_int列源备映射正确，源端为sql_variant 0位	期望更改为VARCHAR(255)	实际备端为varchar 1020位	位数精度不存在，通过长度比较</t>
        </is>
      </c>
    </row>
    <row r="759">
      <c r="B759" t="inlineStr">
        <is>
          <t>NULL</t>
        </is>
      </c>
      <c r="C759" t="inlineStr">
        <is>
          <t>NULL</t>
        </is>
      </c>
      <c r="D759" t="inlineStr">
        <is>
          <t>NULL</t>
        </is>
      </c>
      <c r="E759" t="inlineStr">
        <is>
          <t>NULL</t>
        </is>
      </c>
      <c r="F759" t="inlineStr">
        <is>
          <t>NULL</t>
        </is>
      </c>
      <c r="G759" t="inlineStr">
        <is>
          <t>NULL</t>
        </is>
      </c>
      <c r="H759" t="inlineStr">
        <is>
          <t>NULL</t>
        </is>
      </c>
      <c r="I759" t="inlineStr">
        <is>
          <t>NULL</t>
        </is>
      </c>
      <c r="J759" t="inlineStr">
        <is>
          <t>NULL</t>
        </is>
      </c>
      <c r="K759" t="inlineStr">
        <is>
          <t>[0;32m YES! [0m 	 c_sdt列源备映射正确，源端为sql_variant 0位	期望更改为VARCHAR(255)	实际备端为varchar 1020位	位数精度不存在，通过长度比较</t>
        </is>
      </c>
    </row>
    <row r="760">
      <c r="B760" t="inlineStr">
        <is>
          <t>NULL</t>
        </is>
      </c>
      <c r="C760" t="inlineStr">
        <is>
          <t>NULL</t>
        </is>
      </c>
      <c r="D760" t="inlineStr">
        <is>
          <t>NULL</t>
        </is>
      </c>
      <c r="E760" t="inlineStr">
        <is>
          <t>NULL</t>
        </is>
      </c>
      <c r="F760" t="inlineStr">
        <is>
          <t>NULL</t>
        </is>
      </c>
      <c r="G760" t="inlineStr">
        <is>
          <t>NULL</t>
        </is>
      </c>
      <c r="H760" t="inlineStr">
        <is>
          <t>NULL</t>
        </is>
      </c>
      <c r="I760" t="inlineStr">
        <is>
          <t>NULL</t>
        </is>
      </c>
      <c r="J760" t="inlineStr">
        <is>
          <t>NULL</t>
        </is>
      </c>
      <c r="K760" t="inlineStr">
        <is>
          <t>[0;32m YES! [0m 	 c_real列源备映射正确，源端为sql_variant 0位	期望更改为VARCHAR(255)	实际备端为varchar 1020位	位数精度不存在，通过长度比较</t>
        </is>
      </c>
    </row>
    <row r="761">
      <c r="B761" t="inlineStr">
        <is>
          <t>NULL</t>
        </is>
      </c>
      <c r="C761" t="inlineStr">
        <is>
          <t>NULL</t>
        </is>
      </c>
      <c r="D761" t="inlineStr">
        <is>
          <t>NULL</t>
        </is>
      </c>
      <c r="E761" t="inlineStr">
        <is>
          <t>NULL</t>
        </is>
      </c>
      <c r="F761" t="inlineStr">
        <is>
          <t>NULL</t>
        </is>
      </c>
      <c r="G761" t="inlineStr">
        <is>
          <t>NULL</t>
        </is>
      </c>
      <c r="H761" t="inlineStr">
        <is>
          <t>NULL</t>
        </is>
      </c>
      <c r="I761" t="inlineStr">
        <is>
          <t>NULL</t>
        </is>
      </c>
      <c r="J761" t="inlineStr">
        <is>
          <t>NULL</t>
        </is>
      </c>
      <c r="K761" t="inlineStr">
        <is>
          <t>[0;32m YES! [0m 	 c_money列源备映射正确，源端为sql_variant 0位	期望更改为VARCHAR(255)	实际备端为varchar 1020位	位数精度不存在，通过长度比较</t>
        </is>
      </c>
    </row>
    <row r="762">
      <c r="B762" t="inlineStr">
        <is>
          <t>NULL</t>
        </is>
      </c>
      <c r="C762" t="inlineStr">
        <is>
          <t>NULL</t>
        </is>
      </c>
      <c r="D762" t="inlineStr">
        <is>
          <t>NULL</t>
        </is>
      </c>
      <c r="E762" t="inlineStr">
        <is>
          <t>NULL</t>
        </is>
      </c>
      <c r="F762" t="inlineStr">
        <is>
          <t>NULL</t>
        </is>
      </c>
      <c r="G762" t="inlineStr">
        <is>
          <t>NULL</t>
        </is>
      </c>
      <c r="H762" t="inlineStr">
        <is>
          <t>NULL</t>
        </is>
      </c>
      <c r="I762" t="inlineStr">
        <is>
          <t>NULL</t>
        </is>
      </c>
      <c r="J762" t="inlineStr">
        <is>
          <t>NULL</t>
        </is>
      </c>
      <c r="K762" t="inlineStr">
        <is>
          <t>[0;32m YES! [0m 	 c_datetime列源备映射正确，源端为sql_variant 0位	期望更改为VARCHAR(255)	实际备端为varchar 1020位	位数精度不存在，通过长度比较</t>
        </is>
      </c>
    </row>
    <row r="763">
      <c r="B763" t="inlineStr">
        <is>
          <t>NULL</t>
        </is>
      </c>
      <c r="C763" t="inlineStr">
        <is>
          <t>NULL</t>
        </is>
      </c>
      <c r="D763" t="inlineStr">
        <is>
          <t>NULL</t>
        </is>
      </c>
      <c r="E763" t="inlineStr">
        <is>
          <t>NULL</t>
        </is>
      </c>
      <c r="F763" t="inlineStr">
        <is>
          <t>NULL</t>
        </is>
      </c>
      <c r="G763" t="inlineStr">
        <is>
          <t>NULL</t>
        </is>
      </c>
      <c r="H763" t="inlineStr">
        <is>
          <t>NULL</t>
        </is>
      </c>
      <c r="I763" t="inlineStr">
        <is>
          <t>NULL</t>
        </is>
      </c>
      <c r="J763" t="inlineStr">
        <is>
          <t>NULL</t>
        </is>
      </c>
      <c r="K763" t="inlineStr">
        <is>
          <t>[0;32m YES! [0m 	 c_float列源备映射正确，源端为sql_variant 0位	期望更改为VARCHAR(255)	实际备端为varchar 1020位	位数精度不存在，通过长度比较</t>
        </is>
      </c>
    </row>
    <row r="764">
      <c r="B764" t="inlineStr">
        <is>
          <t>NULL</t>
        </is>
      </c>
      <c r="C764" t="inlineStr">
        <is>
          <t>NULL</t>
        </is>
      </c>
      <c r="D764" t="inlineStr">
        <is>
          <t>NULL</t>
        </is>
      </c>
      <c r="E764" t="inlineStr">
        <is>
          <t>NULL</t>
        </is>
      </c>
      <c r="F764" t="inlineStr">
        <is>
          <t>NULL</t>
        </is>
      </c>
      <c r="G764" t="inlineStr">
        <is>
          <t>NULL</t>
        </is>
      </c>
      <c r="H764" t="inlineStr">
        <is>
          <t>NULL</t>
        </is>
      </c>
      <c r="I764" t="inlineStr">
        <is>
          <t>NULL</t>
        </is>
      </c>
      <c r="J764" t="inlineStr">
        <is>
          <t>NULL</t>
        </is>
      </c>
      <c r="K764" t="inlineStr">
        <is>
          <t>[0;32m YES! [0m 	 c_bit列源备映射正确，源端为sql_variant 0位	期望更改为VARCHAR(255)	实际备端为varchar 1020位	位数精度不存在，通过长度比较</t>
        </is>
      </c>
    </row>
    <row r="765">
      <c r="B765" t="inlineStr">
        <is>
          <t>NULL</t>
        </is>
      </c>
      <c r="C765" t="inlineStr">
        <is>
          <t>NULL</t>
        </is>
      </c>
      <c r="D765" t="inlineStr">
        <is>
          <t>NULL</t>
        </is>
      </c>
      <c r="E765" t="inlineStr">
        <is>
          <t>NULL</t>
        </is>
      </c>
      <c r="F765" t="inlineStr">
        <is>
          <t>NULL</t>
        </is>
      </c>
      <c r="G765" t="inlineStr">
        <is>
          <t>NULL</t>
        </is>
      </c>
      <c r="H765" t="inlineStr">
        <is>
          <t>NULL</t>
        </is>
      </c>
      <c r="I765" t="inlineStr">
        <is>
          <t>NULL</t>
        </is>
      </c>
      <c r="J765" t="inlineStr">
        <is>
          <t>NULL</t>
        </is>
      </c>
      <c r="K765" t="inlineStr">
        <is>
          <t>[0;32m YES! [0m 	 c_decimal列源备映射正确，源端为sql_variant 0位	期望更改为VARCHAR(255)	实际备端为varchar 1020位	位数精度不存在，通过长度比较</t>
        </is>
      </c>
    </row>
    <row r="766">
      <c r="B766" t="inlineStr">
        <is>
          <t>NULL</t>
        </is>
      </c>
      <c r="C766" t="inlineStr">
        <is>
          <t>NULL</t>
        </is>
      </c>
      <c r="D766" t="inlineStr">
        <is>
          <t>NULL</t>
        </is>
      </c>
      <c r="E766" t="inlineStr">
        <is>
          <t>NULL</t>
        </is>
      </c>
      <c r="F766" t="inlineStr">
        <is>
          <t>NULL</t>
        </is>
      </c>
      <c r="G766" t="inlineStr">
        <is>
          <t>NULL</t>
        </is>
      </c>
      <c r="H766" t="inlineStr">
        <is>
          <t>NULL</t>
        </is>
      </c>
      <c r="I766" t="inlineStr">
        <is>
          <t>NULL</t>
        </is>
      </c>
      <c r="J766" t="inlineStr">
        <is>
          <t>NULL</t>
        </is>
      </c>
      <c r="K766" t="inlineStr">
        <is>
          <t>[0;32m YES! [0m 	 c_uniqueidentifier列源备映射正确，源端为sql_variant 0位	期望更改为VARCHAR(255)	实际备端为varchar 1020位	位数精度不存在，通过长度比较</t>
        </is>
      </c>
    </row>
    <row r="767">
      <c r="B767" t="inlineStr">
        <is>
          <t>NULL</t>
        </is>
      </c>
      <c r="C767" t="inlineStr">
        <is>
          <t>NULL</t>
        </is>
      </c>
      <c r="D767" t="inlineStr">
        <is>
          <t>NULL</t>
        </is>
      </c>
      <c r="E767" t="inlineStr">
        <is>
          <t>NULL</t>
        </is>
      </c>
      <c r="F767" t="inlineStr">
        <is>
          <t>NULL</t>
        </is>
      </c>
      <c r="G767" t="inlineStr">
        <is>
          <t>NULL</t>
        </is>
      </c>
      <c r="H767" t="inlineStr">
        <is>
          <t>NULL</t>
        </is>
      </c>
      <c r="I767" t="inlineStr">
        <is>
          <t>NULL</t>
        </is>
      </c>
      <c r="J767" t="inlineStr">
        <is>
          <t>NULL</t>
        </is>
      </c>
      <c r="K767" t="inlineStr">
        <is>
          <t>[0;32m YES! [0m 	 c_smallmoney列源备映射正确，源端为sql_variant 0位	期望更改为VARCHAR(255)	实际备端为varchar 1020位	位数精度不存在，通过长度比较</t>
        </is>
      </c>
    </row>
    <row r="768">
      <c r="B768" t="inlineStr">
        <is>
          <t>NULL</t>
        </is>
      </c>
      <c r="C768" t="inlineStr">
        <is>
          <t>NULL</t>
        </is>
      </c>
      <c r="D768" t="inlineStr">
        <is>
          <t>NULL</t>
        </is>
      </c>
      <c r="E768" t="inlineStr">
        <is>
          <t>NULL</t>
        </is>
      </c>
      <c r="F768" t="inlineStr">
        <is>
          <t>NULL</t>
        </is>
      </c>
      <c r="G768" t="inlineStr">
        <is>
          <t>NULL</t>
        </is>
      </c>
      <c r="H768" t="inlineStr">
        <is>
          <t>NULL</t>
        </is>
      </c>
      <c r="I768" t="inlineStr">
        <is>
          <t>NULL</t>
        </is>
      </c>
      <c r="J768" t="inlineStr">
        <is>
          <t>NULL</t>
        </is>
      </c>
      <c r="K768" t="inlineStr">
        <is>
          <t>[0;32m YES! [0m 	 c_bigint列源备映射正确，源端为sql_variant 0位	期望更改为VARCHAR(255)	实际备端为varchar 1020位	位数精度不存在，通过长度比较</t>
        </is>
      </c>
    </row>
    <row r="769">
      <c r="B769" t="inlineStr">
        <is>
          <t>NULL</t>
        </is>
      </c>
      <c r="C769" t="inlineStr">
        <is>
          <t>NULL</t>
        </is>
      </c>
      <c r="D769" t="inlineStr">
        <is>
          <t>NULL</t>
        </is>
      </c>
      <c r="E769" t="inlineStr">
        <is>
          <t>NULL</t>
        </is>
      </c>
      <c r="F769" t="inlineStr">
        <is>
          <t>NULL</t>
        </is>
      </c>
      <c r="G769" t="inlineStr">
        <is>
          <t>NULL</t>
        </is>
      </c>
      <c r="H769" t="inlineStr">
        <is>
          <t>NULL</t>
        </is>
      </c>
      <c r="I769" t="inlineStr">
        <is>
          <t>NULL</t>
        </is>
      </c>
      <c r="J769" t="inlineStr">
        <is>
          <t>NULL</t>
        </is>
      </c>
      <c r="K769" t="inlineStr">
        <is>
          <t>[0;32m YES! [0m 	 c_varbinary_20列源备映射正确，源端为sql_variant 0位	期望更改为VARCHAR(255)	实际备端为varchar 1020位	位数精度不存在，通过长度比较</t>
        </is>
      </c>
    </row>
    <row r="770">
      <c r="B770" t="inlineStr">
        <is>
          <t>NULL</t>
        </is>
      </c>
      <c r="C770" t="inlineStr">
        <is>
          <t>NULL</t>
        </is>
      </c>
      <c r="D770" t="inlineStr">
        <is>
          <t>NULL</t>
        </is>
      </c>
      <c r="E770" t="inlineStr">
        <is>
          <t>NULL</t>
        </is>
      </c>
      <c r="F770" t="inlineStr">
        <is>
          <t>NULL</t>
        </is>
      </c>
      <c r="G770" t="inlineStr">
        <is>
          <t>NULL</t>
        </is>
      </c>
      <c r="H770" t="inlineStr">
        <is>
          <t>NULL</t>
        </is>
      </c>
      <c r="I770" t="inlineStr">
        <is>
          <t>NULL</t>
        </is>
      </c>
      <c r="J770" t="inlineStr">
        <is>
          <t>NULL</t>
        </is>
      </c>
      <c r="K770" t="inlineStr">
        <is>
          <t>[0;32m YES! [0m 	 c_varchar_20列源备映射正确，源端为sql_variant 0位	期望更改为VARCHAR(255)	实际备端为varchar 1020位	位数精度不存在，通过长度比较</t>
        </is>
      </c>
    </row>
    <row r="771">
      <c r="B771" t="inlineStr">
        <is>
          <t>NULL</t>
        </is>
      </c>
      <c r="C771" t="inlineStr">
        <is>
          <t>NULL</t>
        </is>
      </c>
      <c r="D771" t="inlineStr">
        <is>
          <t>NULL</t>
        </is>
      </c>
      <c r="E771" t="inlineStr">
        <is>
          <t>NULL</t>
        </is>
      </c>
      <c r="F771" t="inlineStr">
        <is>
          <t>NULL</t>
        </is>
      </c>
      <c r="G771" t="inlineStr">
        <is>
          <t>NULL</t>
        </is>
      </c>
      <c r="H771" t="inlineStr">
        <is>
          <t>NULL</t>
        </is>
      </c>
      <c r="I771" t="inlineStr">
        <is>
          <t>NULL</t>
        </is>
      </c>
      <c r="J771" t="inlineStr">
        <is>
          <t>NULL</t>
        </is>
      </c>
      <c r="K771" t="inlineStr">
        <is>
          <t>[0;32m YES! [0m 	 c_binary_20列源备映射正确，源端为sql_variant 0位	期望更改为VARCHAR(255)	实际备端为varchar 1020位	位数精度不存在，通过长度比较</t>
        </is>
      </c>
    </row>
    <row r="772">
      <c r="B772" t="inlineStr">
        <is>
          <t>NULL</t>
        </is>
      </c>
      <c r="C772" t="inlineStr">
        <is>
          <t>NULL</t>
        </is>
      </c>
      <c r="D772" t="inlineStr">
        <is>
          <t>NULL</t>
        </is>
      </c>
      <c r="E772" t="inlineStr">
        <is>
          <t>NULL</t>
        </is>
      </c>
      <c r="F772" t="inlineStr">
        <is>
          <t>NULL</t>
        </is>
      </c>
      <c r="G772" t="inlineStr">
        <is>
          <t>NULL</t>
        </is>
      </c>
      <c r="H772" t="inlineStr">
        <is>
          <t>NULL</t>
        </is>
      </c>
      <c r="I772" t="inlineStr">
        <is>
          <t>NULL</t>
        </is>
      </c>
      <c r="J772" t="inlineStr">
        <is>
          <t>NULL</t>
        </is>
      </c>
      <c r="K772" t="inlineStr">
        <is>
          <t>[0;32m YES! [0m 	 c_char_20列源备映射正确，源端为sql_variant 0位	期望更改为VARCHAR(255)	实际备端为varchar 1020位	位数精度不存在，通过长度比较</t>
        </is>
      </c>
    </row>
    <row r="773">
      <c r="B773" t="inlineStr">
        <is>
          <t>NULL</t>
        </is>
      </c>
      <c r="C773" t="inlineStr">
        <is>
          <t>NULL</t>
        </is>
      </c>
      <c r="D773" t="inlineStr">
        <is>
          <t>NULL</t>
        </is>
      </c>
      <c r="E773" t="inlineStr">
        <is>
          <t>NULL</t>
        </is>
      </c>
      <c r="F773" t="inlineStr">
        <is>
          <t>NULL</t>
        </is>
      </c>
      <c r="G773" t="inlineStr">
        <is>
          <t>NULL</t>
        </is>
      </c>
      <c r="H773" t="inlineStr">
        <is>
          <t>NULL</t>
        </is>
      </c>
      <c r="I773" t="inlineStr">
        <is>
          <t>NULL</t>
        </is>
      </c>
      <c r="J773" t="inlineStr">
        <is>
          <t>NULL</t>
        </is>
      </c>
      <c r="K773" t="inlineStr">
        <is>
          <t>[0;32m YES! [0m 	 c_nvarchar_20列源备映射正确，源端为sql_variant 0位	期望更改为VARCHAR(255)	实际备端为varchar 1020位	位数精度不存在，通过长度比较</t>
        </is>
      </c>
    </row>
    <row r="774">
      <c r="B774" t="inlineStr">
        <is>
          <t>NULL</t>
        </is>
      </c>
      <c r="C774" t="inlineStr">
        <is>
          <t>NULL</t>
        </is>
      </c>
      <c r="D774" t="inlineStr">
        <is>
          <t>NULL</t>
        </is>
      </c>
      <c r="E774" t="inlineStr">
        <is>
          <t>NULL</t>
        </is>
      </c>
      <c r="F774" t="inlineStr">
        <is>
          <t>NULL</t>
        </is>
      </c>
      <c r="G774" t="inlineStr">
        <is>
          <t>NULL</t>
        </is>
      </c>
      <c r="H774" t="inlineStr">
        <is>
          <t>NULL</t>
        </is>
      </c>
      <c r="I774" t="inlineStr">
        <is>
          <t>NULL</t>
        </is>
      </c>
      <c r="J774" t="inlineStr">
        <is>
          <t>NULL</t>
        </is>
      </c>
      <c r="K774" t="inlineStr">
        <is>
          <t>[0;32m YES! [0m 	 c_nchar_20列源备映射正确，源端为sql_variant 0位	期望更改为VARCHAR(255)	实际备端为varchar 1020位	位数精度不存在，通过长度比较</t>
        </is>
      </c>
    </row>
    <row r="775">
      <c r="B775" t="inlineStr">
        <is>
          <t>NULL</t>
        </is>
      </c>
      <c r="C775" t="inlineStr">
        <is>
          <t>NULL</t>
        </is>
      </c>
      <c r="D775" t="inlineStr">
        <is>
          <t>NULL</t>
        </is>
      </c>
      <c r="E775" t="inlineStr">
        <is>
          <t>NULL</t>
        </is>
      </c>
      <c r="F775" t="inlineStr">
        <is>
          <t>NULL</t>
        </is>
      </c>
      <c r="G775" t="inlineStr">
        <is>
          <t>NULL</t>
        </is>
      </c>
      <c r="H775" t="inlineStr">
        <is>
          <t>NULL</t>
        </is>
      </c>
      <c r="I775" t="inlineStr">
        <is>
          <t>NULL</t>
        </is>
      </c>
      <c r="J775" t="inlineStr">
        <is>
          <t>NULL</t>
        </is>
      </c>
      <c r="K775" t="inlineStr">
        <is>
          <t>[0;32m YES! [0m 	 c_timestamp列源备映射正确，源端为timestamp None位	期望更改为binary(8)	实际备端为binary 8位	位数精度不存在，通过长度比较</t>
        </is>
      </c>
    </row>
    <row r="776">
      <c r="A776" t="inlineStr">
        <is>
          <t>info_date_dml_single_pk_drp</t>
        </is>
      </c>
      <c r="K776" t="inlineStr">
        <is>
          <t>[0;34m info_date_dml_single_pk_drp [0m源备字段数相同，源端字段：2 	备端字段2</t>
        </is>
      </c>
      <c r="W776" t="inlineStr">
        <is>
          <t>YES 源备无差异</t>
        </is>
      </c>
      <c r="X776">
        <f>A776</f>
        <v/>
      </c>
    </row>
    <row r="777">
      <c r="B777" t="inlineStr">
        <is>
          <t>YES</t>
        </is>
      </c>
      <c r="C777" t="inlineStr">
        <is>
          <t>NULL</t>
        </is>
      </c>
      <c r="D777" t="inlineStr">
        <is>
          <t>NULL</t>
        </is>
      </c>
      <c r="E777" t="inlineStr">
        <is>
          <t>NULL</t>
        </is>
      </c>
      <c r="F777" t="inlineStr">
        <is>
          <t>NULL</t>
        </is>
      </c>
      <c r="G777" t="inlineStr">
        <is>
          <t>NULL</t>
        </is>
      </c>
      <c r="H777" t="inlineStr">
        <is>
          <t>NULL</t>
        </is>
      </c>
      <c r="I777" t="inlineStr">
        <is>
          <t>YES!PK__info_dat__3213E83FC7ACFD5F</t>
        </is>
      </c>
      <c r="J777" t="inlineStr">
        <is>
          <t>YES! 主键相关索引</t>
        </is>
      </c>
      <c r="K777" t="inlineStr">
        <is>
          <t>YES! 	 id列源备映射正确，源端为int None位	期望更改为int	实际备端为int None位</t>
        </is>
      </c>
    </row>
    <row r="778">
      <c r="B778" t="inlineStr">
        <is>
          <t>NULL</t>
        </is>
      </c>
      <c r="C778" t="inlineStr">
        <is>
          <t>NULL</t>
        </is>
      </c>
      <c r="D778" t="inlineStr">
        <is>
          <t>NULL</t>
        </is>
      </c>
      <c r="E778" t="inlineStr">
        <is>
          <t>NULL</t>
        </is>
      </c>
      <c r="F778" t="inlineStr">
        <is>
          <t>NULL</t>
        </is>
      </c>
      <c r="G778" t="inlineStr">
        <is>
          <t>NULL</t>
        </is>
      </c>
      <c r="H778" t="inlineStr">
        <is>
          <t>NULL</t>
        </is>
      </c>
      <c r="I778" t="inlineStr">
        <is>
          <t>NULL</t>
        </is>
      </c>
      <c r="J778" t="inlineStr">
        <is>
          <t>NULL</t>
        </is>
      </c>
      <c r="K778" t="inlineStr">
        <is>
          <t>YES! 	 c_date列源备映射正确，源端为date None位	期望更改为date	实际备端为date None位</t>
        </is>
      </c>
    </row>
    <row r="779">
      <c r="A779" t="inlineStr">
        <is>
          <t>info_sql_variant_dml_single_nopk_urp</t>
        </is>
      </c>
      <c r="K779" t="inlineStr">
        <is>
          <t>[0;34m info_sql_variant_dml_single_nopk_urp [0m源备字段数相同，源端字段：25 	备端字段25</t>
        </is>
      </c>
      <c r="W779" s="15">
        <f>HYPERLINK("#2026052610mysql0!BI2","NO 源备存在差异，共2个")</f>
        <v/>
      </c>
      <c r="X779">
        <f>A779</f>
        <v/>
      </c>
    </row>
    <row r="780">
      <c r="B780" t="inlineStr">
        <is>
          <t>NULL</t>
        </is>
      </c>
      <c r="C780" t="inlineStr">
        <is>
          <t>NULL</t>
        </is>
      </c>
      <c r="D780" t="inlineStr">
        <is>
          <t>NULL</t>
        </is>
      </c>
      <c r="E780" t="inlineStr">
        <is>
          <t>NULL</t>
        </is>
      </c>
      <c r="F780" t="inlineStr">
        <is>
          <t>NULL</t>
        </is>
      </c>
      <c r="G780" t="inlineStr">
        <is>
          <t>NULL</t>
        </is>
      </c>
      <c r="H780" t="inlineStr">
        <is>
          <t>NULL</t>
        </is>
      </c>
      <c r="I780" t="inlineStr">
        <is>
          <t>NULL</t>
        </is>
      </c>
      <c r="J780" t="inlineStr">
        <is>
          <t>NULL</t>
        </is>
      </c>
      <c r="K780" t="inlineStr">
        <is>
          <t>YES! 	 id列源备映射正确，源端为int None位	期望更改为int	实际备端为int None位</t>
        </is>
      </c>
    </row>
    <row r="781">
      <c r="B781" t="inlineStr">
        <is>
          <t>NULL</t>
        </is>
      </c>
      <c r="C781" t="inlineStr">
        <is>
          <t>NULL</t>
        </is>
      </c>
      <c r="D781" t="inlineStr">
        <is>
          <t>NULL</t>
        </is>
      </c>
      <c r="E781" t="inlineStr">
        <is>
          <t>NULL</t>
        </is>
      </c>
      <c r="F781" t="inlineStr">
        <is>
          <t>NULL</t>
        </is>
      </c>
      <c r="G781" t="inlineStr">
        <is>
          <t>NULL</t>
        </is>
      </c>
      <c r="H781" t="inlineStr">
        <is>
          <t>NULL</t>
        </is>
      </c>
      <c r="I781" t="inlineStr">
        <is>
          <t>NULL</t>
        </is>
      </c>
      <c r="J781" t="inlineStr">
        <is>
          <t>NULL</t>
        </is>
      </c>
      <c r="K781" t="inlineStr">
        <is>
          <t>[0;32m YES! [0m 	 c_date列源备映射正确，源端为sql_variant 0位	期望更改为VARCHAR(255)	实际备端为varchar 1020位	位数精度不存在，通过长度比较</t>
        </is>
      </c>
    </row>
    <row r="782">
      <c r="B782" t="inlineStr">
        <is>
          <t>NULL</t>
        </is>
      </c>
      <c r="C782" t="inlineStr">
        <is>
          <t>NULL</t>
        </is>
      </c>
      <c r="D782" t="inlineStr">
        <is>
          <t>NULL</t>
        </is>
      </c>
      <c r="E782" t="inlineStr">
        <is>
          <t>NULL</t>
        </is>
      </c>
      <c r="F782" t="inlineStr">
        <is>
          <t>NULL</t>
        </is>
      </c>
      <c r="G782" t="inlineStr">
        <is>
          <t>NULL</t>
        </is>
      </c>
      <c r="H782" t="inlineStr">
        <is>
          <t>NULL</t>
        </is>
      </c>
      <c r="I782" t="inlineStr">
        <is>
          <t>NULL</t>
        </is>
      </c>
      <c r="J782" t="inlineStr">
        <is>
          <t>NULL</t>
        </is>
      </c>
      <c r="K782" t="inlineStr">
        <is>
          <t>[0;32m YES! [0m 	 c_time列源备映射正确，源端为sql_variant 0位	期望更改为VARCHAR(255)	实际备端为varchar 1020位	位数精度不存在，通过长度比较</t>
        </is>
      </c>
    </row>
    <row r="783">
      <c r="B783" t="inlineStr">
        <is>
          <t>NULL</t>
        </is>
      </c>
      <c r="C783" t="inlineStr">
        <is>
          <t>NULL</t>
        </is>
      </c>
      <c r="D783" t="inlineStr">
        <is>
          <t>NULL</t>
        </is>
      </c>
      <c r="E783" t="inlineStr">
        <is>
          <t>NULL</t>
        </is>
      </c>
      <c r="F783" t="inlineStr">
        <is>
          <t>NULL</t>
        </is>
      </c>
      <c r="G783" t="inlineStr">
        <is>
          <t>NULL</t>
        </is>
      </c>
      <c r="H783" t="inlineStr">
        <is>
          <t>NULL</t>
        </is>
      </c>
      <c r="I783" t="inlineStr">
        <is>
          <t>NULL</t>
        </is>
      </c>
      <c r="J783" t="inlineStr">
        <is>
          <t>NULL</t>
        </is>
      </c>
      <c r="K783" t="inlineStr">
        <is>
          <t>[0;32m YES! [0m 	 c_datetime2列源备映射正确，源端为sql_variant 0位	期望更改为VARCHAR(255)	实际备端为varchar 1020位	位数精度不存在，通过长度比较</t>
        </is>
      </c>
    </row>
    <row r="784">
      <c r="B784" t="inlineStr">
        <is>
          <t>NULL</t>
        </is>
      </c>
      <c r="C784" t="inlineStr">
        <is>
          <t>NULL</t>
        </is>
      </c>
      <c r="D784" t="inlineStr">
        <is>
          <t>NULL</t>
        </is>
      </c>
      <c r="E784" t="inlineStr">
        <is>
          <t>NULL</t>
        </is>
      </c>
      <c r="F784" t="inlineStr">
        <is>
          <t>NULL</t>
        </is>
      </c>
      <c r="G784" t="inlineStr">
        <is>
          <t>NULL</t>
        </is>
      </c>
      <c r="H784" t="inlineStr">
        <is>
          <t>NULL</t>
        </is>
      </c>
      <c r="I784" t="inlineStr">
        <is>
          <t>NULL</t>
        </is>
      </c>
      <c r="J784" t="inlineStr">
        <is>
          <t>NULL</t>
        </is>
      </c>
      <c r="K784" t="inlineStr">
        <is>
          <t>[0;32m YES! [0m 	 c_datetimeoffset列源备映射正确，源端为sql_variant 0位	期望更改为VARCHAR(255)	实际备端为varchar 1020位	位数精度不存在，通过长度比较</t>
        </is>
      </c>
    </row>
    <row r="785">
      <c r="B785" t="inlineStr">
        <is>
          <t>NULL</t>
        </is>
      </c>
      <c r="C785" t="inlineStr">
        <is>
          <t>NULL</t>
        </is>
      </c>
      <c r="D785" t="inlineStr">
        <is>
          <t>NULL</t>
        </is>
      </c>
      <c r="E785" t="inlineStr">
        <is>
          <t>NULL</t>
        </is>
      </c>
      <c r="F785" t="inlineStr">
        <is>
          <t>NULL</t>
        </is>
      </c>
      <c r="G785" t="inlineStr">
        <is>
          <t>NULL</t>
        </is>
      </c>
      <c r="H785" t="inlineStr">
        <is>
          <t>NULL</t>
        </is>
      </c>
      <c r="I785" t="inlineStr">
        <is>
          <t>NULL</t>
        </is>
      </c>
      <c r="J785" t="inlineStr">
        <is>
          <t>NULL</t>
        </is>
      </c>
      <c r="K785" t="inlineStr">
        <is>
          <t>[0;32m YES! [0m 	 c_tinyint列源备映射正确，源端为sql_variant 0位	期望更改为VARCHAR(255)	实际备端为varchar 1020位	位数精度不存在，通过长度比较</t>
        </is>
      </c>
    </row>
    <row r="786">
      <c r="B786" t="inlineStr">
        <is>
          <t>NULL</t>
        </is>
      </c>
      <c r="C786" t="inlineStr">
        <is>
          <t>NULL</t>
        </is>
      </c>
      <c r="D786" t="inlineStr">
        <is>
          <t>NULL</t>
        </is>
      </c>
      <c r="E786" t="inlineStr">
        <is>
          <t>NULL</t>
        </is>
      </c>
      <c r="F786" t="inlineStr">
        <is>
          <t>NULL</t>
        </is>
      </c>
      <c r="G786" t="inlineStr">
        <is>
          <t>NULL</t>
        </is>
      </c>
      <c r="H786" t="inlineStr">
        <is>
          <t>NULL</t>
        </is>
      </c>
      <c r="I786" t="inlineStr">
        <is>
          <t>NULL</t>
        </is>
      </c>
      <c r="J786" t="inlineStr">
        <is>
          <t>NULL</t>
        </is>
      </c>
      <c r="K786" t="inlineStr">
        <is>
          <t>[0;32m YES! [0m 	 c_smallint列源备映射正确，源端为sql_variant 0位	期望更改为VARCHAR(255)	实际备端为varchar 1020位	位数精度不存在，通过长度比较</t>
        </is>
      </c>
    </row>
    <row r="787">
      <c r="B787" t="inlineStr">
        <is>
          <t>NULL</t>
        </is>
      </c>
      <c r="C787" t="inlineStr">
        <is>
          <t>NULL</t>
        </is>
      </c>
      <c r="D787" t="inlineStr">
        <is>
          <t>NULL</t>
        </is>
      </c>
      <c r="E787" t="inlineStr">
        <is>
          <t>NULL</t>
        </is>
      </c>
      <c r="F787" t="inlineStr">
        <is>
          <t>NULL</t>
        </is>
      </c>
      <c r="G787" t="inlineStr">
        <is>
          <t>NULL</t>
        </is>
      </c>
      <c r="H787" t="inlineStr">
        <is>
          <t>NULL</t>
        </is>
      </c>
      <c r="I787" t="inlineStr">
        <is>
          <t>NULL</t>
        </is>
      </c>
      <c r="J787" t="inlineStr">
        <is>
          <t>NULL</t>
        </is>
      </c>
      <c r="K787" t="inlineStr">
        <is>
          <t>[0;32m YES! [0m 	 c_int列源备映射正确，源端为sql_variant 0位	期望更改为VARCHAR(255)	实际备端为varchar 1020位	位数精度不存在，通过长度比较</t>
        </is>
      </c>
    </row>
    <row r="788">
      <c r="B788" t="inlineStr">
        <is>
          <t>NULL</t>
        </is>
      </c>
      <c r="C788" t="inlineStr">
        <is>
          <t>NULL</t>
        </is>
      </c>
      <c r="D788" t="inlineStr">
        <is>
          <t>NULL</t>
        </is>
      </c>
      <c r="E788" t="inlineStr">
        <is>
          <t>NULL</t>
        </is>
      </c>
      <c r="F788" t="inlineStr">
        <is>
          <t>NULL</t>
        </is>
      </c>
      <c r="G788" t="inlineStr">
        <is>
          <t>NULL</t>
        </is>
      </c>
      <c r="H788" t="inlineStr">
        <is>
          <t>NULL</t>
        </is>
      </c>
      <c r="I788" t="inlineStr">
        <is>
          <t>NULL</t>
        </is>
      </c>
      <c r="J788" t="inlineStr">
        <is>
          <t>NULL</t>
        </is>
      </c>
      <c r="K788" t="inlineStr">
        <is>
          <t>[0;32m YES! [0m 	 c_sdt列源备映射正确，源端为sql_variant 0位	期望更改为VARCHAR(255)	实际备端为varchar 1020位	位数精度不存在，通过长度比较</t>
        </is>
      </c>
    </row>
    <row r="789">
      <c r="B789" t="inlineStr">
        <is>
          <t>NULL</t>
        </is>
      </c>
      <c r="C789" t="inlineStr">
        <is>
          <t>NULL</t>
        </is>
      </c>
      <c r="D789" t="inlineStr">
        <is>
          <t>NULL</t>
        </is>
      </c>
      <c r="E789" t="inlineStr">
        <is>
          <t>NULL</t>
        </is>
      </c>
      <c r="F789" t="inlineStr">
        <is>
          <t>NULL</t>
        </is>
      </c>
      <c r="G789" t="inlineStr">
        <is>
          <t>NULL</t>
        </is>
      </c>
      <c r="H789" t="inlineStr">
        <is>
          <t>NULL</t>
        </is>
      </c>
      <c r="I789" t="inlineStr">
        <is>
          <t>NULL</t>
        </is>
      </c>
      <c r="J789" t="inlineStr">
        <is>
          <t>NULL</t>
        </is>
      </c>
      <c r="K789" t="inlineStr">
        <is>
          <t>[0;32m YES! [0m 	 c_real列源备映射正确，源端为sql_variant 0位	期望更改为VARCHAR(255)	实际备端为varchar 1020位	位数精度不存在，通过长度比较</t>
        </is>
      </c>
    </row>
    <row r="790">
      <c r="B790" t="inlineStr">
        <is>
          <t>NULL</t>
        </is>
      </c>
      <c r="C790" t="inlineStr">
        <is>
          <t>NULL</t>
        </is>
      </c>
      <c r="D790" t="inlineStr">
        <is>
          <t>NULL</t>
        </is>
      </c>
      <c r="E790" t="inlineStr">
        <is>
          <t>NULL</t>
        </is>
      </c>
      <c r="F790" t="inlineStr">
        <is>
          <t>NULL</t>
        </is>
      </c>
      <c r="G790" t="inlineStr">
        <is>
          <t>NULL</t>
        </is>
      </c>
      <c r="H790" t="inlineStr">
        <is>
          <t>NULL</t>
        </is>
      </c>
      <c r="I790" t="inlineStr">
        <is>
          <t>NULL</t>
        </is>
      </c>
      <c r="J790" t="inlineStr">
        <is>
          <t>NULL</t>
        </is>
      </c>
      <c r="K790" t="inlineStr">
        <is>
          <t>[0;32m YES! [0m 	 c_money列源备映射正确，源端为sql_variant 0位	期望更改为VARCHAR(255)	实际备端为varchar 1020位	位数精度不存在，通过长度比较</t>
        </is>
      </c>
    </row>
    <row r="791">
      <c r="B791" t="inlineStr">
        <is>
          <t>NULL</t>
        </is>
      </c>
      <c r="C791" t="inlineStr">
        <is>
          <t>NULL</t>
        </is>
      </c>
      <c r="D791" t="inlineStr">
        <is>
          <t>NULL</t>
        </is>
      </c>
      <c r="E791" t="inlineStr">
        <is>
          <t>NULL</t>
        </is>
      </c>
      <c r="F791" t="inlineStr">
        <is>
          <t>NULL</t>
        </is>
      </c>
      <c r="G791" t="inlineStr">
        <is>
          <t>NULL</t>
        </is>
      </c>
      <c r="H791" t="inlineStr">
        <is>
          <t>NULL</t>
        </is>
      </c>
      <c r="I791" t="inlineStr">
        <is>
          <t>NULL</t>
        </is>
      </c>
      <c r="J791" t="inlineStr">
        <is>
          <t>NULL</t>
        </is>
      </c>
      <c r="K791" t="inlineStr">
        <is>
          <t>[0;32m YES! [0m 	 c_datetime列源备映射正确，源端为sql_variant 0位	期望更改为VARCHAR(255)	实际备端为varchar 1020位	位数精度不存在，通过长度比较</t>
        </is>
      </c>
    </row>
    <row r="792">
      <c r="B792" t="inlineStr">
        <is>
          <t>NULL</t>
        </is>
      </c>
      <c r="C792" t="inlineStr">
        <is>
          <t>NULL</t>
        </is>
      </c>
      <c r="D792" t="inlineStr">
        <is>
          <t>NULL</t>
        </is>
      </c>
      <c r="E792" t="inlineStr">
        <is>
          <t>NULL</t>
        </is>
      </c>
      <c r="F792" t="inlineStr">
        <is>
          <t>NULL</t>
        </is>
      </c>
      <c r="G792" t="inlineStr">
        <is>
          <t>NULL</t>
        </is>
      </c>
      <c r="H792" t="inlineStr">
        <is>
          <t>NULL</t>
        </is>
      </c>
      <c r="I792" t="inlineStr">
        <is>
          <t>NULL</t>
        </is>
      </c>
      <c r="J792" t="inlineStr">
        <is>
          <t>NULL</t>
        </is>
      </c>
      <c r="K792" t="inlineStr">
        <is>
          <t>[0;32m YES! [0m 	 c_float列源备映射正确，源端为sql_variant 0位	期望更改为VARCHAR(255)	实际备端为varchar 1020位	位数精度不存在，通过长度比较</t>
        </is>
      </c>
    </row>
    <row r="793">
      <c r="B793" t="inlineStr">
        <is>
          <t>NULL</t>
        </is>
      </c>
      <c r="C793" t="inlineStr">
        <is>
          <t>NULL</t>
        </is>
      </c>
      <c r="D793" t="inlineStr">
        <is>
          <t>NULL</t>
        </is>
      </c>
      <c r="E793" t="inlineStr">
        <is>
          <t>NULL</t>
        </is>
      </c>
      <c r="F793" t="inlineStr">
        <is>
          <t>NULL</t>
        </is>
      </c>
      <c r="G793" t="inlineStr">
        <is>
          <t>NULL</t>
        </is>
      </c>
      <c r="H793" t="inlineStr">
        <is>
          <t>NULL</t>
        </is>
      </c>
      <c r="I793" t="inlineStr">
        <is>
          <t>NULL</t>
        </is>
      </c>
      <c r="J793" t="inlineStr">
        <is>
          <t>NULL</t>
        </is>
      </c>
      <c r="K793" t="inlineStr">
        <is>
          <t>[0;32m YES! [0m 	 c_bit列源备映射正确，源端为sql_variant 0位	期望更改为VARCHAR(255)	实际备端为varchar 1020位	位数精度不存在，通过长度比较</t>
        </is>
      </c>
    </row>
    <row r="794">
      <c r="B794" t="inlineStr">
        <is>
          <t>NULL</t>
        </is>
      </c>
      <c r="C794" t="inlineStr">
        <is>
          <t>NULL</t>
        </is>
      </c>
      <c r="D794" t="inlineStr">
        <is>
          <t>NULL</t>
        </is>
      </c>
      <c r="E794" t="inlineStr">
        <is>
          <t>NULL</t>
        </is>
      </c>
      <c r="F794" t="inlineStr">
        <is>
          <t>NULL</t>
        </is>
      </c>
      <c r="G794" t="inlineStr">
        <is>
          <t>NULL</t>
        </is>
      </c>
      <c r="H794" t="inlineStr">
        <is>
          <t>NULL</t>
        </is>
      </c>
      <c r="I794" t="inlineStr">
        <is>
          <t>NULL</t>
        </is>
      </c>
      <c r="J794" t="inlineStr">
        <is>
          <t>NULL</t>
        </is>
      </c>
      <c r="K794" t="inlineStr">
        <is>
          <t>[0;32m YES! [0m 	 c_decimal列源备映射正确，源端为sql_variant 0位	期望更改为VARCHAR(255)	实际备端为varchar 1020位	位数精度不存在，通过长度比较</t>
        </is>
      </c>
    </row>
    <row r="795">
      <c r="B795" t="inlineStr">
        <is>
          <t>NULL</t>
        </is>
      </c>
      <c r="C795" t="inlineStr">
        <is>
          <t>NULL</t>
        </is>
      </c>
      <c r="D795" t="inlineStr">
        <is>
          <t>NULL</t>
        </is>
      </c>
      <c r="E795" t="inlineStr">
        <is>
          <t>NULL</t>
        </is>
      </c>
      <c r="F795" t="inlineStr">
        <is>
          <t>NULL</t>
        </is>
      </c>
      <c r="G795" t="inlineStr">
        <is>
          <t>NULL</t>
        </is>
      </c>
      <c r="H795" t="inlineStr">
        <is>
          <t>NULL</t>
        </is>
      </c>
      <c r="I795" t="inlineStr">
        <is>
          <t>NULL</t>
        </is>
      </c>
      <c r="J795" t="inlineStr">
        <is>
          <t>NULL</t>
        </is>
      </c>
      <c r="K795" t="inlineStr">
        <is>
          <t>[0;32m YES! [0m 	 c_uniqueidentifier列源备映射正确，源端为sql_variant 0位	期望更改为VARCHAR(255)	实际备端为varchar 1020位	位数精度不存在，通过长度比较</t>
        </is>
      </c>
    </row>
    <row r="796">
      <c r="B796" t="inlineStr">
        <is>
          <t>NULL</t>
        </is>
      </c>
      <c r="C796" t="inlineStr">
        <is>
          <t>NULL</t>
        </is>
      </c>
      <c r="D796" t="inlineStr">
        <is>
          <t>NULL</t>
        </is>
      </c>
      <c r="E796" t="inlineStr">
        <is>
          <t>NULL</t>
        </is>
      </c>
      <c r="F796" t="inlineStr">
        <is>
          <t>NULL</t>
        </is>
      </c>
      <c r="G796" t="inlineStr">
        <is>
          <t>NULL</t>
        </is>
      </c>
      <c r="H796" t="inlineStr">
        <is>
          <t>NULL</t>
        </is>
      </c>
      <c r="I796" t="inlineStr">
        <is>
          <t>NULL</t>
        </is>
      </c>
      <c r="J796" t="inlineStr">
        <is>
          <t>NULL</t>
        </is>
      </c>
      <c r="K796" t="inlineStr">
        <is>
          <t>[0;32m YES! [0m 	 c_smallmoney列源备映射正确，源端为sql_variant 0位	期望更改为VARCHAR(255)	实际备端为varchar 1020位	位数精度不存在，通过长度比较</t>
        </is>
      </c>
    </row>
    <row r="797">
      <c r="B797" t="inlineStr">
        <is>
          <t>NULL</t>
        </is>
      </c>
      <c r="C797" t="inlineStr">
        <is>
          <t>NULL</t>
        </is>
      </c>
      <c r="D797" t="inlineStr">
        <is>
          <t>NULL</t>
        </is>
      </c>
      <c r="E797" t="inlineStr">
        <is>
          <t>NULL</t>
        </is>
      </c>
      <c r="F797" t="inlineStr">
        <is>
          <t>NULL</t>
        </is>
      </c>
      <c r="G797" t="inlineStr">
        <is>
          <t>NULL</t>
        </is>
      </c>
      <c r="H797" t="inlineStr">
        <is>
          <t>NULL</t>
        </is>
      </c>
      <c r="I797" t="inlineStr">
        <is>
          <t>NULL</t>
        </is>
      </c>
      <c r="J797" t="inlineStr">
        <is>
          <t>NULL</t>
        </is>
      </c>
      <c r="K797" t="inlineStr">
        <is>
          <t>[0;32m YES! [0m 	 c_bigint列源备映射正确，源端为sql_variant 0位	期望更改为VARCHAR(255)	实际备端为varchar 1020位	位数精度不存在，通过长度比较</t>
        </is>
      </c>
    </row>
    <row r="798">
      <c r="B798" t="inlineStr">
        <is>
          <t>NULL</t>
        </is>
      </c>
      <c r="C798" t="inlineStr">
        <is>
          <t>NULL</t>
        </is>
      </c>
      <c r="D798" t="inlineStr">
        <is>
          <t>NULL</t>
        </is>
      </c>
      <c r="E798" t="inlineStr">
        <is>
          <t>NULL</t>
        </is>
      </c>
      <c r="F798" t="inlineStr">
        <is>
          <t>NULL</t>
        </is>
      </c>
      <c r="G798" t="inlineStr">
        <is>
          <t>NULL</t>
        </is>
      </c>
      <c r="H798" t="inlineStr">
        <is>
          <t>NULL</t>
        </is>
      </c>
      <c r="I798" t="inlineStr">
        <is>
          <t>NULL</t>
        </is>
      </c>
      <c r="J798" t="inlineStr">
        <is>
          <t>NULL</t>
        </is>
      </c>
      <c r="K798" t="inlineStr">
        <is>
          <t>[0;32m YES! [0m 	 c_varbinary_20列源备映射正确，源端为sql_variant 0位	期望更改为VARCHAR(255)	实际备端为varchar 1020位	位数精度不存在，通过长度比较</t>
        </is>
      </c>
    </row>
    <row r="799">
      <c r="B799" t="inlineStr">
        <is>
          <t>NULL</t>
        </is>
      </c>
      <c r="C799" t="inlineStr">
        <is>
          <t>NULL</t>
        </is>
      </c>
      <c r="D799" t="inlineStr">
        <is>
          <t>NULL</t>
        </is>
      </c>
      <c r="E799" t="inlineStr">
        <is>
          <t>NULL</t>
        </is>
      </c>
      <c r="F799" t="inlineStr">
        <is>
          <t>NULL</t>
        </is>
      </c>
      <c r="G799" t="inlineStr">
        <is>
          <t>NULL</t>
        </is>
      </c>
      <c r="H799" t="inlineStr">
        <is>
          <t>NULL</t>
        </is>
      </c>
      <c r="I799" t="inlineStr">
        <is>
          <t>NULL</t>
        </is>
      </c>
      <c r="J799" t="inlineStr">
        <is>
          <t>NULL</t>
        </is>
      </c>
      <c r="K799" t="inlineStr">
        <is>
          <t>[0;32m YES! [0m 	 c_varchar_20列源备映射正确，源端为sql_variant 0位	期望更改为VARCHAR(255)	实际备端为varchar 1020位	位数精度不存在，通过长度比较</t>
        </is>
      </c>
    </row>
    <row r="800">
      <c r="B800" t="inlineStr">
        <is>
          <t>NULL</t>
        </is>
      </c>
      <c r="C800" t="inlineStr">
        <is>
          <t>NULL</t>
        </is>
      </c>
      <c r="D800" t="inlineStr">
        <is>
          <t>NULL</t>
        </is>
      </c>
      <c r="E800" t="inlineStr">
        <is>
          <t>NULL</t>
        </is>
      </c>
      <c r="F800" t="inlineStr">
        <is>
          <t>NULL</t>
        </is>
      </c>
      <c r="G800" t="inlineStr">
        <is>
          <t>NULL</t>
        </is>
      </c>
      <c r="H800" t="inlineStr">
        <is>
          <t>NULL</t>
        </is>
      </c>
      <c r="I800" t="inlineStr">
        <is>
          <t>NULL</t>
        </is>
      </c>
      <c r="J800" t="inlineStr">
        <is>
          <t>NULL</t>
        </is>
      </c>
      <c r="K800" t="inlineStr">
        <is>
          <t>[0;32m YES! [0m 	 c_binary_20列源备映射正确，源端为sql_variant 0位	期望更改为VARCHAR(255)	实际备端为varchar 1020位	位数精度不存在，通过长度比较</t>
        </is>
      </c>
    </row>
    <row r="801">
      <c r="B801" t="inlineStr">
        <is>
          <t>NULL</t>
        </is>
      </c>
      <c r="C801" t="inlineStr">
        <is>
          <t>NULL</t>
        </is>
      </c>
      <c r="D801" t="inlineStr">
        <is>
          <t>NULL</t>
        </is>
      </c>
      <c r="E801" t="inlineStr">
        <is>
          <t>NULL</t>
        </is>
      </c>
      <c r="F801" t="inlineStr">
        <is>
          <t>NULL</t>
        </is>
      </c>
      <c r="G801" t="inlineStr">
        <is>
          <t>NULL</t>
        </is>
      </c>
      <c r="H801" t="inlineStr">
        <is>
          <t>NULL</t>
        </is>
      </c>
      <c r="I801" t="inlineStr">
        <is>
          <t>NULL</t>
        </is>
      </c>
      <c r="J801" t="inlineStr">
        <is>
          <t>NULL</t>
        </is>
      </c>
      <c r="K801" t="inlineStr">
        <is>
          <t>[0;32m YES! [0m 	 c_char_20列源备映射正确，源端为sql_variant 0位	期望更改为VARCHAR(255)	实际备端为varchar 1020位	位数精度不存在，通过长度比较</t>
        </is>
      </c>
    </row>
    <row r="802">
      <c r="B802" t="inlineStr">
        <is>
          <t>NULL</t>
        </is>
      </c>
      <c r="C802" t="inlineStr">
        <is>
          <t>NULL</t>
        </is>
      </c>
      <c r="D802" t="inlineStr">
        <is>
          <t>NULL</t>
        </is>
      </c>
      <c r="E802" t="inlineStr">
        <is>
          <t>NULL</t>
        </is>
      </c>
      <c r="F802" t="inlineStr">
        <is>
          <t>NULL</t>
        </is>
      </c>
      <c r="G802" t="inlineStr">
        <is>
          <t>NULL</t>
        </is>
      </c>
      <c r="H802" t="inlineStr">
        <is>
          <t>NULL</t>
        </is>
      </c>
      <c r="I802" t="inlineStr">
        <is>
          <t>NULL</t>
        </is>
      </c>
      <c r="J802" t="inlineStr">
        <is>
          <t>NULL</t>
        </is>
      </c>
      <c r="K802" t="inlineStr">
        <is>
          <t>[0;32m YES! [0m 	 c_nvarchar_20列源备映射正确，源端为sql_variant 0位	期望更改为VARCHAR(255)	实际备端为varchar 1020位	位数精度不存在，通过长度比较</t>
        </is>
      </c>
    </row>
    <row r="803">
      <c r="B803" t="inlineStr">
        <is>
          <t>NULL</t>
        </is>
      </c>
      <c r="C803" t="inlineStr">
        <is>
          <t>NULL</t>
        </is>
      </c>
      <c r="D803" t="inlineStr">
        <is>
          <t>NULL</t>
        </is>
      </c>
      <c r="E803" t="inlineStr">
        <is>
          <t>NULL</t>
        </is>
      </c>
      <c r="F803" t="inlineStr">
        <is>
          <t>NULL</t>
        </is>
      </c>
      <c r="G803" t="inlineStr">
        <is>
          <t>NULL</t>
        </is>
      </c>
      <c r="H803" t="inlineStr">
        <is>
          <t>NULL</t>
        </is>
      </c>
      <c r="I803" t="inlineStr">
        <is>
          <t>NULL</t>
        </is>
      </c>
      <c r="J803" t="inlineStr">
        <is>
          <t>NULL</t>
        </is>
      </c>
      <c r="K803" t="inlineStr">
        <is>
          <t>[0;32m YES! [0m 	 c_nchar_20列源备映射正确，源端为sql_variant 0位	期望更改为VARCHAR(255)	实际备端为varchar 1020位	位数精度不存在，通过长度比较</t>
        </is>
      </c>
    </row>
    <row r="804">
      <c r="B804" t="inlineStr">
        <is>
          <t>NULL</t>
        </is>
      </c>
      <c r="C804" t="inlineStr">
        <is>
          <t>NULL</t>
        </is>
      </c>
      <c r="D804" t="inlineStr">
        <is>
          <t>NULL</t>
        </is>
      </c>
      <c r="E804" t="inlineStr">
        <is>
          <t>NULL</t>
        </is>
      </c>
      <c r="F804" t="inlineStr">
        <is>
          <t>NULL</t>
        </is>
      </c>
      <c r="G804" t="inlineStr">
        <is>
          <t>NULL</t>
        </is>
      </c>
      <c r="H804" t="inlineStr">
        <is>
          <t>NULL</t>
        </is>
      </c>
      <c r="I804" t="inlineStr">
        <is>
          <t>NULL</t>
        </is>
      </c>
      <c r="J804" t="inlineStr">
        <is>
          <t>NULL</t>
        </is>
      </c>
      <c r="K804" t="inlineStr">
        <is>
          <t>[0;32m YES! [0m 	 c_timestamp列源备映射正确，源端为timestamp None位	期望更改为binary(8)	实际备端为binary 8位	位数精度不存在，通过长度比较</t>
        </is>
      </c>
    </row>
    <row r="805">
      <c r="A805" t="inlineStr">
        <is>
          <t>info_datetime_dml_batch1_pk_drp2</t>
        </is>
      </c>
      <c r="K805" t="inlineStr">
        <is>
          <t>[0;34m info_datetime_dml_batch1_pk_drp2 [0m源备字段数相同，源端字段：2 	备端字段2</t>
        </is>
      </c>
      <c r="W805" t="inlineStr">
        <is>
          <t>YES 源备无差异</t>
        </is>
      </c>
      <c r="X805">
        <f>A805</f>
        <v/>
      </c>
    </row>
    <row r="806">
      <c r="B806" t="inlineStr">
        <is>
          <t>YES</t>
        </is>
      </c>
      <c r="C806" t="inlineStr">
        <is>
          <t>NULL</t>
        </is>
      </c>
      <c r="D806" t="inlineStr">
        <is>
          <t>NULL</t>
        </is>
      </c>
      <c r="E806" t="inlineStr">
        <is>
          <t>NULL</t>
        </is>
      </c>
      <c r="F806" t="inlineStr">
        <is>
          <t>NULL</t>
        </is>
      </c>
      <c r="G806" t="inlineStr">
        <is>
          <t>NULL</t>
        </is>
      </c>
      <c r="H806" t="inlineStr">
        <is>
          <t>NULL</t>
        </is>
      </c>
      <c r="I806" t="inlineStr">
        <is>
          <t>YES!PK__info_dat__3213E83F0270B48C</t>
        </is>
      </c>
      <c r="J806" t="inlineStr">
        <is>
          <t>YES! 主键相关索引</t>
        </is>
      </c>
      <c r="K806" t="inlineStr">
        <is>
          <t>YES! 	 id列源备映射正确，源端为int None位	期望更改为int	实际备端为int None位</t>
        </is>
      </c>
    </row>
    <row r="807">
      <c r="B807" t="inlineStr">
        <is>
          <t>NULL</t>
        </is>
      </c>
      <c r="C807" t="inlineStr">
        <is>
          <t>NULL</t>
        </is>
      </c>
      <c r="D807" t="inlineStr">
        <is>
          <t>NULL</t>
        </is>
      </c>
      <c r="E807" t="inlineStr">
        <is>
          <t>NULL</t>
        </is>
      </c>
      <c r="F807" t="inlineStr">
        <is>
          <t>NULL</t>
        </is>
      </c>
      <c r="G807" t="inlineStr">
        <is>
          <t>NULL</t>
        </is>
      </c>
      <c r="H807" t="inlineStr">
        <is>
          <t>NULL</t>
        </is>
      </c>
      <c r="I807" t="inlineStr">
        <is>
          <t>NULL</t>
        </is>
      </c>
      <c r="J807" t="inlineStr">
        <is>
          <t>NULL</t>
        </is>
      </c>
      <c r="K807" t="inlineStr">
        <is>
          <t>YES! 	 c_datetime列源备映射正确，源端为datetime None位	期望更改为datetime(3)	实际备端为datetime None位</t>
        </is>
      </c>
    </row>
    <row r="808">
      <c r="A808" t="inlineStr">
        <is>
          <t>info_varcharmax_dml_single_pk</t>
        </is>
      </c>
      <c r="K808" t="inlineStr">
        <is>
          <t>[0;34m info_varcharmax_dml_single_pk [0m源备字段数相同，源端字段：3 	备端字段3</t>
        </is>
      </c>
      <c r="W808" t="inlineStr">
        <is>
          <t>YES 源备无差异</t>
        </is>
      </c>
      <c r="X808">
        <f>A808</f>
        <v/>
      </c>
    </row>
    <row r="809">
      <c r="B809" t="inlineStr">
        <is>
          <t>YES</t>
        </is>
      </c>
      <c r="C809" t="inlineStr">
        <is>
          <t>NULL</t>
        </is>
      </c>
      <c r="D809" t="inlineStr">
        <is>
          <t>NULL</t>
        </is>
      </c>
      <c r="E809" t="inlineStr">
        <is>
          <t>NULL</t>
        </is>
      </c>
      <c r="F809" t="inlineStr">
        <is>
          <t>NULL</t>
        </is>
      </c>
      <c r="G809" t="inlineStr">
        <is>
          <t>NULL</t>
        </is>
      </c>
      <c r="H809" t="inlineStr">
        <is>
          <t>NULL</t>
        </is>
      </c>
      <c r="I809" t="inlineStr">
        <is>
          <t>YES!PK__info_var__3213E83FAA8F1DB7</t>
        </is>
      </c>
      <c r="J809" t="inlineStr">
        <is>
          <t>YES! 主键相关索引</t>
        </is>
      </c>
      <c r="K809" t="inlineStr">
        <is>
          <t>YES! 	 id列源备映射正确，源端为int None位	期望更改为int	实际备端为int None位</t>
        </is>
      </c>
    </row>
    <row r="810">
      <c r="B810" t="inlineStr">
        <is>
          <t>NULL</t>
        </is>
      </c>
      <c r="C810" t="inlineStr">
        <is>
          <t>NULL</t>
        </is>
      </c>
      <c r="D810" t="inlineStr">
        <is>
          <t>NULL</t>
        </is>
      </c>
      <c r="E810" t="inlineStr">
        <is>
          <t>NULL</t>
        </is>
      </c>
      <c r="F810" t="inlineStr">
        <is>
          <t>NULL</t>
        </is>
      </c>
      <c r="G810" t="inlineStr">
        <is>
          <t>NULL</t>
        </is>
      </c>
      <c r="H810" t="inlineStr">
        <is>
          <t>NULL</t>
        </is>
      </c>
      <c r="I810" t="inlineStr">
        <is>
          <t>NULL</t>
        </is>
      </c>
      <c r="J810" t="inlineStr">
        <is>
          <t>NULL</t>
        </is>
      </c>
      <c r="K810" t="inlineStr">
        <is>
          <t>YES! 	 c_varchar_max列源备映射正确，源端为varchar -1位	期望更改为longtext	实际备端为longtext 4294967295位</t>
        </is>
      </c>
    </row>
    <row r="811">
      <c r="B811" t="inlineStr">
        <is>
          <t>NULL</t>
        </is>
      </c>
      <c r="C811" t="inlineStr">
        <is>
          <t>NULL</t>
        </is>
      </c>
      <c r="D811" t="inlineStr">
        <is>
          <t>NULL</t>
        </is>
      </c>
      <c r="E811" t="inlineStr">
        <is>
          <t>NULL</t>
        </is>
      </c>
      <c r="F811" t="inlineStr">
        <is>
          <t>NULL</t>
        </is>
      </c>
      <c r="G811" t="inlineStr">
        <is>
          <t>NULL</t>
        </is>
      </c>
      <c r="H811" t="inlineStr">
        <is>
          <t>NULL</t>
        </is>
      </c>
      <c r="I811" t="inlineStr">
        <is>
          <t>NULL</t>
        </is>
      </c>
      <c r="J811" t="inlineStr">
        <is>
          <t>NULL</t>
        </is>
      </c>
      <c r="K811" t="inlineStr">
        <is>
          <t>YES! 	 c_nvarchar_max列源备映射正确，源端为nvarchar -1位	期望更改为longtext	实际备端为longtext 4294967295位</t>
        </is>
      </c>
    </row>
    <row r="812">
      <c r="A812" t="inlineStr">
        <is>
          <t>info_sql_variant_dml_single_nopk_drp</t>
        </is>
      </c>
      <c r="K812" t="inlineStr">
        <is>
          <t>[0;34m info_sql_variant_dml_single_nopk_drp [0m源备字段数相同，源端字段：25 	备端字段25</t>
        </is>
      </c>
      <c r="W812" s="15">
        <f>HYPERLINK("#2026052610mysql0!BJ2","NO 源备存在差异，共2个")</f>
        <v/>
      </c>
      <c r="X812">
        <f>A812</f>
        <v/>
      </c>
    </row>
    <row r="813">
      <c r="B813" t="inlineStr">
        <is>
          <t>NULL</t>
        </is>
      </c>
      <c r="C813" t="inlineStr">
        <is>
          <t>NULL</t>
        </is>
      </c>
      <c r="D813" t="inlineStr">
        <is>
          <t>NULL</t>
        </is>
      </c>
      <c r="E813" t="inlineStr">
        <is>
          <t>NULL</t>
        </is>
      </c>
      <c r="F813" t="inlineStr">
        <is>
          <t>NULL</t>
        </is>
      </c>
      <c r="G813" t="inlineStr">
        <is>
          <t>NULL</t>
        </is>
      </c>
      <c r="H813" t="inlineStr">
        <is>
          <t>NULL</t>
        </is>
      </c>
      <c r="I813" t="inlineStr">
        <is>
          <t>NULL</t>
        </is>
      </c>
      <c r="J813" t="inlineStr">
        <is>
          <t>NULL</t>
        </is>
      </c>
      <c r="K813" t="inlineStr">
        <is>
          <t>YES! 	 id列源备映射正确，源端为int None位	期望更改为int	实际备端为int None位</t>
        </is>
      </c>
    </row>
    <row r="814">
      <c r="B814" t="inlineStr">
        <is>
          <t>NULL</t>
        </is>
      </c>
      <c r="C814" t="inlineStr">
        <is>
          <t>NULL</t>
        </is>
      </c>
      <c r="D814" t="inlineStr">
        <is>
          <t>NULL</t>
        </is>
      </c>
      <c r="E814" t="inlineStr">
        <is>
          <t>NULL</t>
        </is>
      </c>
      <c r="F814" t="inlineStr">
        <is>
          <t>NULL</t>
        </is>
      </c>
      <c r="G814" t="inlineStr">
        <is>
          <t>NULL</t>
        </is>
      </c>
      <c r="H814" t="inlineStr">
        <is>
          <t>NULL</t>
        </is>
      </c>
      <c r="I814" t="inlineStr">
        <is>
          <t>NULL</t>
        </is>
      </c>
      <c r="J814" t="inlineStr">
        <is>
          <t>NULL</t>
        </is>
      </c>
      <c r="K814" t="inlineStr">
        <is>
          <t>[0;32m YES! [0m 	 c_date列源备映射正确，源端为sql_variant 0位	期望更改为VARCHAR(255)	实际备端为varchar 1020位	位数精度不存在，通过长度比较</t>
        </is>
      </c>
    </row>
    <row r="815">
      <c r="B815" t="inlineStr">
        <is>
          <t>NULL</t>
        </is>
      </c>
      <c r="C815" t="inlineStr">
        <is>
          <t>NULL</t>
        </is>
      </c>
      <c r="D815" t="inlineStr">
        <is>
          <t>NULL</t>
        </is>
      </c>
      <c r="E815" t="inlineStr">
        <is>
          <t>NULL</t>
        </is>
      </c>
      <c r="F815" t="inlineStr">
        <is>
          <t>NULL</t>
        </is>
      </c>
      <c r="G815" t="inlineStr">
        <is>
          <t>NULL</t>
        </is>
      </c>
      <c r="H815" t="inlineStr">
        <is>
          <t>NULL</t>
        </is>
      </c>
      <c r="I815" t="inlineStr">
        <is>
          <t>NULL</t>
        </is>
      </c>
      <c r="J815" t="inlineStr">
        <is>
          <t>NULL</t>
        </is>
      </c>
      <c r="K815" t="inlineStr">
        <is>
          <t>[0;32m YES! [0m 	 c_time列源备映射正确，源端为sql_variant 0位	期望更改为VARCHAR(255)	实际备端为varchar 1020位	位数精度不存在，通过长度比较</t>
        </is>
      </c>
    </row>
    <row r="816">
      <c r="B816" t="inlineStr">
        <is>
          <t>NULL</t>
        </is>
      </c>
      <c r="C816" t="inlineStr">
        <is>
          <t>NULL</t>
        </is>
      </c>
      <c r="D816" t="inlineStr">
        <is>
          <t>NULL</t>
        </is>
      </c>
      <c r="E816" t="inlineStr">
        <is>
          <t>NULL</t>
        </is>
      </c>
      <c r="F816" t="inlineStr">
        <is>
          <t>NULL</t>
        </is>
      </c>
      <c r="G816" t="inlineStr">
        <is>
          <t>NULL</t>
        </is>
      </c>
      <c r="H816" t="inlineStr">
        <is>
          <t>NULL</t>
        </is>
      </c>
      <c r="I816" t="inlineStr">
        <is>
          <t>NULL</t>
        </is>
      </c>
      <c r="J816" t="inlineStr">
        <is>
          <t>NULL</t>
        </is>
      </c>
      <c r="K816" t="inlineStr">
        <is>
          <t>[0;32m YES! [0m 	 c_datetime2列源备映射正确，源端为sql_variant 0位	期望更改为VARCHAR(255)	实际备端为varchar 1020位	位数精度不存在，通过长度比较</t>
        </is>
      </c>
    </row>
    <row r="817">
      <c r="B817" t="inlineStr">
        <is>
          <t>NULL</t>
        </is>
      </c>
      <c r="C817" t="inlineStr">
        <is>
          <t>NULL</t>
        </is>
      </c>
      <c r="D817" t="inlineStr">
        <is>
          <t>NULL</t>
        </is>
      </c>
      <c r="E817" t="inlineStr">
        <is>
          <t>NULL</t>
        </is>
      </c>
      <c r="F817" t="inlineStr">
        <is>
          <t>NULL</t>
        </is>
      </c>
      <c r="G817" t="inlineStr">
        <is>
          <t>NULL</t>
        </is>
      </c>
      <c r="H817" t="inlineStr">
        <is>
          <t>NULL</t>
        </is>
      </c>
      <c r="I817" t="inlineStr">
        <is>
          <t>NULL</t>
        </is>
      </c>
      <c r="J817" t="inlineStr">
        <is>
          <t>NULL</t>
        </is>
      </c>
      <c r="K817" t="inlineStr">
        <is>
          <t>[0;32m YES! [0m 	 c_datetimeoffset列源备映射正确，源端为sql_variant 0位	期望更改为VARCHAR(255)	实际备端为varchar 1020位	位数精度不存在，通过长度比较</t>
        </is>
      </c>
    </row>
    <row r="818">
      <c r="B818" t="inlineStr">
        <is>
          <t>NULL</t>
        </is>
      </c>
      <c r="C818" t="inlineStr">
        <is>
          <t>NULL</t>
        </is>
      </c>
      <c r="D818" t="inlineStr">
        <is>
          <t>NULL</t>
        </is>
      </c>
      <c r="E818" t="inlineStr">
        <is>
          <t>NULL</t>
        </is>
      </c>
      <c r="F818" t="inlineStr">
        <is>
          <t>NULL</t>
        </is>
      </c>
      <c r="G818" t="inlineStr">
        <is>
          <t>NULL</t>
        </is>
      </c>
      <c r="H818" t="inlineStr">
        <is>
          <t>NULL</t>
        </is>
      </c>
      <c r="I818" t="inlineStr">
        <is>
          <t>NULL</t>
        </is>
      </c>
      <c r="J818" t="inlineStr">
        <is>
          <t>NULL</t>
        </is>
      </c>
      <c r="K818" t="inlineStr">
        <is>
          <t>[0;32m YES! [0m 	 c_tinyint列源备映射正确，源端为sql_variant 0位	期望更改为VARCHAR(255)	实际备端为varchar 1020位	位数精度不存在，通过长度比较</t>
        </is>
      </c>
    </row>
    <row r="819">
      <c r="B819" t="inlineStr">
        <is>
          <t>NULL</t>
        </is>
      </c>
      <c r="C819" t="inlineStr">
        <is>
          <t>NULL</t>
        </is>
      </c>
      <c r="D819" t="inlineStr">
        <is>
          <t>NULL</t>
        </is>
      </c>
      <c r="E819" t="inlineStr">
        <is>
          <t>NULL</t>
        </is>
      </c>
      <c r="F819" t="inlineStr">
        <is>
          <t>NULL</t>
        </is>
      </c>
      <c r="G819" t="inlineStr">
        <is>
          <t>NULL</t>
        </is>
      </c>
      <c r="H819" t="inlineStr">
        <is>
          <t>NULL</t>
        </is>
      </c>
      <c r="I819" t="inlineStr">
        <is>
          <t>NULL</t>
        </is>
      </c>
      <c r="J819" t="inlineStr">
        <is>
          <t>NULL</t>
        </is>
      </c>
      <c r="K819" t="inlineStr">
        <is>
          <t>[0;32m YES! [0m 	 c_smallint列源备映射正确，源端为sql_variant 0位	期望更改为VARCHAR(255)	实际备端为varchar 1020位	位数精度不存在，通过长度比较</t>
        </is>
      </c>
    </row>
    <row r="820">
      <c r="B820" t="inlineStr">
        <is>
          <t>NULL</t>
        </is>
      </c>
      <c r="C820" t="inlineStr">
        <is>
          <t>NULL</t>
        </is>
      </c>
      <c r="D820" t="inlineStr">
        <is>
          <t>NULL</t>
        </is>
      </c>
      <c r="E820" t="inlineStr">
        <is>
          <t>NULL</t>
        </is>
      </c>
      <c r="F820" t="inlineStr">
        <is>
          <t>NULL</t>
        </is>
      </c>
      <c r="G820" t="inlineStr">
        <is>
          <t>NULL</t>
        </is>
      </c>
      <c r="H820" t="inlineStr">
        <is>
          <t>NULL</t>
        </is>
      </c>
      <c r="I820" t="inlineStr">
        <is>
          <t>NULL</t>
        </is>
      </c>
      <c r="J820" t="inlineStr">
        <is>
          <t>NULL</t>
        </is>
      </c>
      <c r="K820" t="inlineStr">
        <is>
          <t>[0;32m YES! [0m 	 c_int列源备映射正确，源端为sql_variant 0位	期望更改为VARCHAR(255)	实际备端为varchar 1020位	位数精度不存在，通过长度比较</t>
        </is>
      </c>
    </row>
    <row r="821">
      <c r="B821" t="inlineStr">
        <is>
          <t>NULL</t>
        </is>
      </c>
      <c r="C821" t="inlineStr">
        <is>
          <t>NULL</t>
        </is>
      </c>
      <c r="D821" t="inlineStr">
        <is>
          <t>NULL</t>
        </is>
      </c>
      <c r="E821" t="inlineStr">
        <is>
          <t>NULL</t>
        </is>
      </c>
      <c r="F821" t="inlineStr">
        <is>
          <t>NULL</t>
        </is>
      </c>
      <c r="G821" t="inlineStr">
        <is>
          <t>NULL</t>
        </is>
      </c>
      <c r="H821" t="inlineStr">
        <is>
          <t>NULL</t>
        </is>
      </c>
      <c r="I821" t="inlineStr">
        <is>
          <t>NULL</t>
        </is>
      </c>
      <c r="J821" t="inlineStr">
        <is>
          <t>NULL</t>
        </is>
      </c>
      <c r="K821" t="inlineStr">
        <is>
          <t>[0;32m YES! [0m 	 c_sdt列源备映射正确，源端为sql_variant 0位	期望更改为VARCHAR(255)	实际备端为varchar 1020位	位数精度不存在，通过长度比较</t>
        </is>
      </c>
    </row>
    <row r="822">
      <c r="B822" t="inlineStr">
        <is>
          <t>NULL</t>
        </is>
      </c>
      <c r="C822" t="inlineStr">
        <is>
          <t>NULL</t>
        </is>
      </c>
      <c r="D822" t="inlineStr">
        <is>
          <t>NULL</t>
        </is>
      </c>
      <c r="E822" t="inlineStr">
        <is>
          <t>NULL</t>
        </is>
      </c>
      <c r="F822" t="inlineStr">
        <is>
          <t>NULL</t>
        </is>
      </c>
      <c r="G822" t="inlineStr">
        <is>
          <t>NULL</t>
        </is>
      </c>
      <c r="H822" t="inlineStr">
        <is>
          <t>NULL</t>
        </is>
      </c>
      <c r="I822" t="inlineStr">
        <is>
          <t>NULL</t>
        </is>
      </c>
      <c r="J822" t="inlineStr">
        <is>
          <t>NULL</t>
        </is>
      </c>
      <c r="K822" t="inlineStr">
        <is>
          <t>[0;32m YES! [0m 	 c_real列源备映射正确，源端为sql_variant 0位	期望更改为VARCHAR(255)	实际备端为varchar 1020位	位数精度不存在，通过长度比较</t>
        </is>
      </c>
    </row>
    <row r="823">
      <c r="B823" t="inlineStr">
        <is>
          <t>NULL</t>
        </is>
      </c>
      <c r="C823" t="inlineStr">
        <is>
          <t>NULL</t>
        </is>
      </c>
      <c r="D823" t="inlineStr">
        <is>
          <t>NULL</t>
        </is>
      </c>
      <c r="E823" t="inlineStr">
        <is>
          <t>NULL</t>
        </is>
      </c>
      <c r="F823" t="inlineStr">
        <is>
          <t>NULL</t>
        </is>
      </c>
      <c r="G823" t="inlineStr">
        <is>
          <t>NULL</t>
        </is>
      </c>
      <c r="H823" t="inlineStr">
        <is>
          <t>NULL</t>
        </is>
      </c>
      <c r="I823" t="inlineStr">
        <is>
          <t>NULL</t>
        </is>
      </c>
      <c r="J823" t="inlineStr">
        <is>
          <t>NULL</t>
        </is>
      </c>
      <c r="K823" t="inlineStr">
        <is>
          <t>[0;32m YES! [0m 	 c_money列源备映射正确，源端为sql_variant 0位	期望更改为VARCHAR(255)	实际备端为varchar 1020位	位数精度不存在，通过长度比较</t>
        </is>
      </c>
    </row>
    <row r="824">
      <c r="B824" t="inlineStr">
        <is>
          <t>NULL</t>
        </is>
      </c>
      <c r="C824" t="inlineStr">
        <is>
          <t>NULL</t>
        </is>
      </c>
      <c r="D824" t="inlineStr">
        <is>
          <t>NULL</t>
        </is>
      </c>
      <c r="E824" t="inlineStr">
        <is>
          <t>NULL</t>
        </is>
      </c>
      <c r="F824" t="inlineStr">
        <is>
          <t>NULL</t>
        </is>
      </c>
      <c r="G824" t="inlineStr">
        <is>
          <t>NULL</t>
        </is>
      </c>
      <c r="H824" t="inlineStr">
        <is>
          <t>NULL</t>
        </is>
      </c>
      <c r="I824" t="inlineStr">
        <is>
          <t>NULL</t>
        </is>
      </c>
      <c r="J824" t="inlineStr">
        <is>
          <t>NULL</t>
        </is>
      </c>
      <c r="K824" t="inlineStr">
        <is>
          <t>[0;32m YES! [0m 	 c_datetime列源备映射正确，源端为sql_variant 0位	期望更改为VARCHAR(255)	实际备端为varchar 1020位	位数精度不存在，通过长度比较</t>
        </is>
      </c>
    </row>
    <row r="825">
      <c r="B825" t="inlineStr">
        <is>
          <t>NULL</t>
        </is>
      </c>
      <c r="C825" t="inlineStr">
        <is>
          <t>NULL</t>
        </is>
      </c>
      <c r="D825" t="inlineStr">
        <is>
          <t>NULL</t>
        </is>
      </c>
      <c r="E825" t="inlineStr">
        <is>
          <t>NULL</t>
        </is>
      </c>
      <c r="F825" t="inlineStr">
        <is>
          <t>NULL</t>
        </is>
      </c>
      <c r="G825" t="inlineStr">
        <is>
          <t>NULL</t>
        </is>
      </c>
      <c r="H825" t="inlineStr">
        <is>
          <t>NULL</t>
        </is>
      </c>
      <c r="I825" t="inlineStr">
        <is>
          <t>NULL</t>
        </is>
      </c>
      <c r="J825" t="inlineStr">
        <is>
          <t>NULL</t>
        </is>
      </c>
      <c r="K825" t="inlineStr">
        <is>
          <t>[0;32m YES! [0m 	 c_float列源备映射正确，源端为sql_variant 0位	期望更改为VARCHAR(255)	实际备端为varchar 1020位	位数精度不存在，通过长度比较</t>
        </is>
      </c>
    </row>
    <row r="826">
      <c r="B826" t="inlineStr">
        <is>
          <t>NULL</t>
        </is>
      </c>
      <c r="C826" t="inlineStr">
        <is>
          <t>NULL</t>
        </is>
      </c>
      <c r="D826" t="inlineStr">
        <is>
          <t>NULL</t>
        </is>
      </c>
      <c r="E826" t="inlineStr">
        <is>
          <t>NULL</t>
        </is>
      </c>
      <c r="F826" t="inlineStr">
        <is>
          <t>NULL</t>
        </is>
      </c>
      <c r="G826" t="inlineStr">
        <is>
          <t>NULL</t>
        </is>
      </c>
      <c r="H826" t="inlineStr">
        <is>
          <t>NULL</t>
        </is>
      </c>
      <c r="I826" t="inlineStr">
        <is>
          <t>NULL</t>
        </is>
      </c>
      <c r="J826" t="inlineStr">
        <is>
          <t>NULL</t>
        </is>
      </c>
      <c r="K826" t="inlineStr">
        <is>
          <t>[0;32m YES! [0m 	 c_bit列源备映射正确，源端为sql_variant 0位	期望更改为VARCHAR(255)	实际备端为varchar 1020位	位数精度不存在，通过长度比较</t>
        </is>
      </c>
    </row>
    <row r="827">
      <c r="B827" t="inlineStr">
        <is>
          <t>NULL</t>
        </is>
      </c>
      <c r="C827" t="inlineStr">
        <is>
          <t>NULL</t>
        </is>
      </c>
      <c r="D827" t="inlineStr">
        <is>
          <t>NULL</t>
        </is>
      </c>
      <c r="E827" t="inlineStr">
        <is>
          <t>NULL</t>
        </is>
      </c>
      <c r="F827" t="inlineStr">
        <is>
          <t>NULL</t>
        </is>
      </c>
      <c r="G827" t="inlineStr">
        <is>
          <t>NULL</t>
        </is>
      </c>
      <c r="H827" t="inlineStr">
        <is>
          <t>NULL</t>
        </is>
      </c>
      <c r="I827" t="inlineStr">
        <is>
          <t>NULL</t>
        </is>
      </c>
      <c r="J827" t="inlineStr">
        <is>
          <t>NULL</t>
        </is>
      </c>
      <c r="K827" t="inlineStr">
        <is>
          <t>[0;32m YES! [0m 	 c_decimal列源备映射正确，源端为sql_variant 0位	期望更改为VARCHAR(255)	实际备端为varchar 1020位	位数精度不存在，通过长度比较</t>
        </is>
      </c>
    </row>
    <row r="828">
      <c r="B828" t="inlineStr">
        <is>
          <t>NULL</t>
        </is>
      </c>
      <c r="C828" t="inlineStr">
        <is>
          <t>NULL</t>
        </is>
      </c>
      <c r="D828" t="inlineStr">
        <is>
          <t>NULL</t>
        </is>
      </c>
      <c r="E828" t="inlineStr">
        <is>
          <t>NULL</t>
        </is>
      </c>
      <c r="F828" t="inlineStr">
        <is>
          <t>NULL</t>
        </is>
      </c>
      <c r="G828" t="inlineStr">
        <is>
          <t>NULL</t>
        </is>
      </c>
      <c r="H828" t="inlineStr">
        <is>
          <t>NULL</t>
        </is>
      </c>
      <c r="I828" t="inlineStr">
        <is>
          <t>NULL</t>
        </is>
      </c>
      <c r="J828" t="inlineStr">
        <is>
          <t>NULL</t>
        </is>
      </c>
      <c r="K828" t="inlineStr">
        <is>
          <t>[0;32m YES! [0m 	 c_uniqueidentifier列源备映射正确，源端为sql_variant 0位	期望更改为VARCHAR(255)	实际备端为varchar 1020位	位数精度不存在，通过长度比较</t>
        </is>
      </c>
    </row>
    <row r="829">
      <c r="B829" t="inlineStr">
        <is>
          <t>NULL</t>
        </is>
      </c>
      <c r="C829" t="inlineStr">
        <is>
          <t>NULL</t>
        </is>
      </c>
      <c r="D829" t="inlineStr">
        <is>
          <t>NULL</t>
        </is>
      </c>
      <c r="E829" t="inlineStr">
        <is>
          <t>NULL</t>
        </is>
      </c>
      <c r="F829" t="inlineStr">
        <is>
          <t>NULL</t>
        </is>
      </c>
      <c r="G829" t="inlineStr">
        <is>
          <t>NULL</t>
        </is>
      </c>
      <c r="H829" t="inlineStr">
        <is>
          <t>NULL</t>
        </is>
      </c>
      <c r="I829" t="inlineStr">
        <is>
          <t>NULL</t>
        </is>
      </c>
      <c r="J829" t="inlineStr">
        <is>
          <t>NULL</t>
        </is>
      </c>
      <c r="K829" t="inlineStr">
        <is>
          <t>[0;32m YES! [0m 	 c_smallmoney列源备映射正确，源端为sql_variant 0位	期望更改为VARCHAR(255)	实际备端为varchar 1020位	位数精度不存在，通过长度比较</t>
        </is>
      </c>
    </row>
    <row r="830">
      <c r="B830" t="inlineStr">
        <is>
          <t>NULL</t>
        </is>
      </c>
      <c r="C830" t="inlineStr">
        <is>
          <t>NULL</t>
        </is>
      </c>
      <c r="D830" t="inlineStr">
        <is>
          <t>NULL</t>
        </is>
      </c>
      <c r="E830" t="inlineStr">
        <is>
          <t>NULL</t>
        </is>
      </c>
      <c r="F830" t="inlineStr">
        <is>
          <t>NULL</t>
        </is>
      </c>
      <c r="G830" t="inlineStr">
        <is>
          <t>NULL</t>
        </is>
      </c>
      <c r="H830" t="inlineStr">
        <is>
          <t>NULL</t>
        </is>
      </c>
      <c r="I830" t="inlineStr">
        <is>
          <t>NULL</t>
        </is>
      </c>
      <c r="J830" t="inlineStr">
        <is>
          <t>NULL</t>
        </is>
      </c>
      <c r="K830" t="inlineStr">
        <is>
          <t>[0;32m YES! [0m 	 c_bigint列源备映射正确，源端为sql_variant 0位	期望更改为VARCHAR(255)	实际备端为varchar 1020位	位数精度不存在，通过长度比较</t>
        </is>
      </c>
    </row>
    <row r="831">
      <c r="B831" t="inlineStr">
        <is>
          <t>NULL</t>
        </is>
      </c>
      <c r="C831" t="inlineStr">
        <is>
          <t>NULL</t>
        </is>
      </c>
      <c r="D831" t="inlineStr">
        <is>
          <t>NULL</t>
        </is>
      </c>
      <c r="E831" t="inlineStr">
        <is>
          <t>NULL</t>
        </is>
      </c>
      <c r="F831" t="inlineStr">
        <is>
          <t>NULL</t>
        </is>
      </c>
      <c r="G831" t="inlineStr">
        <is>
          <t>NULL</t>
        </is>
      </c>
      <c r="H831" t="inlineStr">
        <is>
          <t>NULL</t>
        </is>
      </c>
      <c r="I831" t="inlineStr">
        <is>
          <t>NULL</t>
        </is>
      </c>
      <c r="J831" t="inlineStr">
        <is>
          <t>NULL</t>
        </is>
      </c>
      <c r="K831" t="inlineStr">
        <is>
          <t>[0;32m YES! [0m 	 c_varbinary_20列源备映射正确，源端为sql_variant 0位	期望更改为VARCHAR(255)	实际备端为varchar 1020位	位数精度不存在，通过长度比较</t>
        </is>
      </c>
    </row>
    <row r="832">
      <c r="B832" t="inlineStr">
        <is>
          <t>NULL</t>
        </is>
      </c>
      <c r="C832" t="inlineStr">
        <is>
          <t>NULL</t>
        </is>
      </c>
      <c r="D832" t="inlineStr">
        <is>
          <t>NULL</t>
        </is>
      </c>
      <c r="E832" t="inlineStr">
        <is>
          <t>NULL</t>
        </is>
      </c>
      <c r="F832" t="inlineStr">
        <is>
          <t>NULL</t>
        </is>
      </c>
      <c r="G832" t="inlineStr">
        <is>
          <t>NULL</t>
        </is>
      </c>
      <c r="H832" t="inlineStr">
        <is>
          <t>NULL</t>
        </is>
      </c>
      <c r="I832" t="inlineStr">
        <is>
          <t>NULL</t>
        </is>
      </c>
      <c r="J832" t="inlineStr">
        <is>
          <t>NULL</t>
        </is>
      </c>
      <c r="K832" t="inlineStr">
        <is>
          <t>[0;32m YES! [0m 	 c_varchar_20列源备映射正确，源端为sql_variant 0位	期望更改为VARCHAR(255)	实际备端为varchar 1020位	位数精度不存在，通过长度比较</t>
        </is>
      </c>
    </row>
    <row r="833">
      <c r="B833" t="inlineStr">
        <is>
          <t>NULL</t>
        </is>
      </c>
      <c r="C833" t="inlineStr">
        <is>
          <t>NULL</t>
        </is>
      </c>
      <c r="D833" t="inlineStr">
        <is>
          <t>NULL</t>
        </is>
      </c>
      <c r="E833" t="inlineStr">
        <is>
          <t>NULL</t>
        </is>
      </c>
      <c r="F833" t="inlineStr">
        <is>
          <t>NULL</t>
        </is>
      </c>
      <c r="G833" t="inlineStr">
        <is>
          <t>NULL</t>
        </is>
      </c>
      <c r="H833" t="inlineStr">
        <is>
          <t>NULL</t>
        </is>
      </c>
      <c r="I833" t="inlineStr">
        <is>
          <t>NULL</t>
        </is>
      </c>
      <c r="J833" t="inlineStr">
        <is>
          <t>NULL</t>
        </is>
      </c>
      <c r="K833" t="inlineStr">
        <is>
          <t>[0;32m YES! [0m 	 c_binary_20列源备映射正确，源端为sql_variant 0位	期望更改为VARCHAR(255)	实际备端为varchar 1020位	位数精度不存在，通过长度比较</t>
        </is>
      </c>
    </row>
    <row r="834">
      <c r="B834" t="inlineStr">
        <is>
          <t>NULL</t>
        </is>
      </c>
      <c r="C834" t="inlineStr">
        <is>
          <t>NULL</t>
        </is>
      </c>
      <c r="D834" t="inlineStr">
        <is>
          <t>NULL</t>
        </is>
      </c>
      <c r="E834" t="inlineStr">
        <is>
          <t>NULL</t>
        </is>
      </c>
      <c r="F834" t="inlineStr">
        <is>
          <t>NULL</t>
        </is>
      </c>
      <c r="G834" t="inlineStr">
        <is>
          <t>NULL</t>
        </is>
      </c>
      <c r="H834" t="inlineStr">
        <is>
          <t>NULL</t>
        </is>
      </c>
      <c r="I834" t="inlineStr">
        <is>
          <t>NULL</t>
        </is>
      </c>
      <c r="J834" t="inlineStr">
        <is>
          <t>NULL</t>
        </is>
      </c>
      <c r="K834" t="inlineStr">
        <is>
          <t>[0;32m YES! [0m 	 c_char_20列源备映射正确，源端为sql_variant 0位	期望更改为VARCHAR(255)	实际备端为varchar 1020位	位数精度不存在，通过长度比较</t>
        </is>
      </c>
    </row>
    <row r="835">
      <c r="B835" t="inlineStr">
        <is>
          <t>NULL</t>
        </is>
      </c>
      <c r="C835" t="inlineStr">
        <is>
          <t>NULL</t>
        </is>
      </c>
      <c r="D835" t="inlineStr">
        <is>
          <t>NULL</t>
        </is>
      </c>
      <c r="E835" t="inlineStr">
        <is>
          <t>NULL</t>
        </is>
      </c>
      <c r="F835" t="inlineStr">
        <is>
          <t>NULL</t>
        </is>
      </c>
      <c r="G835" t="inlineStr">
        <is>
          <t>NULL</t>
        </is>
      </c>
      <c r="H835" t="inlineStr">
        <is>
          <t>NULL</t>
        </is>
      </c>
      <c r="I835" t="inlineStr">
        <is>
          <t>NULL</t>
        </is>
      </c>
      <c r="J835" t="inlineStr">
        <is>
          <t>NULL</t>
        </is>
      </c>
      <c r="K835" t="inlineStr">
        <is>
          <t>[0;32m YES! [0m 	 c_nvarchar_20列源备映射正确，源端为sql_variant 0位	期望更改为VARCHAR(255)	实际备端为varchar 1020位	位数精度不存在，通过长度比较</t>
        </is>
      </c>
    </row>
    <row r="836">
      <c r="B836" t="inlineStr">
        <is>
          <t>NULL</t>
        </is>
      </c>
      <c r="C836" t="inlineStr">
        <is>
          <t>NULL</t>
        </is>
      </c>
      <c r="D836" t="inlineStr">
        <is>
          <t>NULL</t>
        </is>
      </c>
      <c r="E836" t="inlineStr">
        <is>
          <t>NULL</t>
        </is>
      </c>
      <c r="F836" t="inlineStr">
        <is>
          <t>NULL</t>
        </is>
      </c>
      <c r="G836" t="inlineStr">
        <is>
          <t>NULL</t>
        </is>
      </c>
      <c r="H836" t="inlineStr">
        <is>
          <t>NULL</t>
        </is>
      </c>
      <c r="I836" t="inlineStr">
        <is>
          <t>NULL</t>
        </is>
      </c>
      <c r="J836" t="inlineStr">
        <is>
          <t>NULL</t>
        </is>
      </c>
      <c r="K836" t="inlineStr">
        <is>
          <t>[0;32m YES! [0m 	 c_nchar_20列源备映射正确，源端为sql_variant 0位	期望更改为VARCHAR(255)	实际备端为varchar 1020位	位数精度不存在，通过长度比较</t>
        </is>
      </c>
    </row>
    <row r="837">
      <c r="B837" t="inlineStr">
        <is>
          <t>NULL</t>
        </is>
      </c>
      <c r="C837" t="inlineStr">
        <is>
          <t>NULL</t>
        </is>
      </c>
      <c r="D837" t="inlineStr">
        <is>
          <t>NULL</t>
        </is>
      </c>
      <c r="E837" t="inlineStr">
        <is>
          <t>NULL</t>
        </is>
      </c>
      <c r="F837" t="inlineStr">
        <is>
          <t>NULL</t>
        </is>
      </c>
      <c r="G837" t="inlineStr">
        <is>
          <t>NULL</t>
        </is>
      </c>
      <c r="H837" t="inlineStr">
        <is>
          <t>NULL</t>
        </is>
      </c>
      <c r="I837" t="inlineStr">
        <is>
          <t>NULL</t>
        </is>
      </c>
      <c r="J837" t="inlineStr">
        <is>
          <t>NULL</t>
        </is>
      </c>
      <c r="K837" t="inlineStr">
        <is>
          <t>[0;32m YES! [0m 	 c_timestamp列源备映射正确，源端为timestamp None位	期望更改为binary(8)	实际备端为binary 8位	位数精度不存在，通过长度比较</t>
        </is>
      </c>
    </row>
    <row r="838">
      <c r="A838" t="inlineStr">
        <is>
          <t>info_nchar_dml_batch1_pk_irp2</t>
        </is>
      </c>
      <c r="K838" t="inlineStr">
        <is>
          <t>[0;34m info_nchar_dml_batch1_pk_irp2 [0m源备字段数相同，源端字段：4 	备端字段4</t>
        </is>
      </c>
      <c r="W838" s="15">
        <f>HYPERLINK("#2026052610mysql0!BK2","NO 源备存在差异，共36个")</f>
        <v/>
      </c>
      <c r="X838">
        <f>A838</f>
        <v/>
      </c>
    </row>
    <row r="839">
      <c r="B839" t="inlineStr">
        <is>
          <t>YES</t>
        </is>
      </c>
      <c r="C839" t="inlineStr">
        <is>
          <t>NULL</t>
        </is>
      </c>
      <c r="D839" t="inlineStr">
        <is>
          <t>NULL</t>
        </is>
      </c>
      <c r="E839" t="inlineStr">
        <is>
          <t>NULL</t>
        </is>
      </c>
      <c r="F839" t="inlineStr">
        <is>
          <t>NULL</t>
        </is>
      </c>
      <c r="G839" t="inlineStr">
        <is>
          <t>NULL</t>
        </is>
      </c>
      <c r="H839" t="inlineStr">
        <is>
          <t>NULL</t>
        </is>
      </c>
      <c r="I839" t="inlineStr">
        <is>
          <t>YES!PK__info_nch__3213E83F8697A893</t>
        </is>
      </c>
      <c r="J839" t="inlineStr">
        <is>
          <t>YES! 主键相关索引</t>
        </is>
      </c>
      <c r="K839" t="inlineStr">
        <is>
          <t>YES! 	 id列源备映射正确，源端为int None位	期望更改为int	实际备端为int None位</t>
        </is>
      </c>
    </row>
    <row r="840">
      <c r="B840" t="inlineStr">
        <is>
          <t>NULL</t>
        </is>
      </c>
      <c r="C840" t="inlineStr">
        <is>
          <t>NULL</t>
        </is>
      </c>
      <c r="D840" t="inlineStr">
        <is>
          <t>NULL</t>
        </is>
      </c>
      <c r="E840" t="inlineStr">
        <is>
          <t>NULL</t>
        </is>
      </c>
      <c r="F840" t="inlineStr">
        <is>
          <t>NULL</t>
        </is>
      </c>
      <c r="G840" t="inlineStr">
        <is>
          <t>NULL</t>
        </is>
      </c>
      <c r="H840" t="inlineStr">
        <is>
          <t>NULL</t>
        </is>
      </c>
      <c r="I840" t="inlineStr">
        <is>
          <t>NULL</t>
        </is>
      </c>
      <c r="J840" t="inlineStr">
        <is>
          <t>NULL</t>
        </is>
      </c>
      <c r="K840" t="inlineStr">
        <is>
          <t>YES! 	 c_nchar列源备映射正确，源端为nchar 2位	期望更改为char(n)	实际备端为char 4位</t>
        </is>
      </c>
    </row>
    <row r="841">
      <c r="B841" t="inlineStr">
        <is>
          <t>NULL</t>
        </is>
      </c>
      <c r="C841" t="inlineStr">
        <is>
          <t>NULL</t>
        </is>
      </c>
      <c r="D841" t="inlineStr">
        <is>
          <t>NULL</t>
        </is>
      </c>
      <c r="E841" t="inlineStr">
        <is>
          <t>NULL</t>
        </is>
      </c>
      <c r="F841" t="inlineStr">
        <is>
          <t>NULL</t>
        </is>
      </c>
      <c r="G841" t="inlineStr">
        <is>
          <t>NULL</t>
        </is>
      </c>
      <c r="H841" t="inlineStr">
        <is>
          <t>NULL</t>
        </is>
      </c>
      <c r="I841" t="inlineStr">
        <is>
          <t>NULL</t>
        </is>
      </c>
      <c r="J841" t="inlineStr">
        <is>
          <t>NULL</t>
        </is>
      </c>
      <c r="K841" t="inlineStr">
        <is>
          <t>YES! 	 c_nchar20列源备映射正确，源端为nchar 40位	期望更改为char(n)	实际备端为char 80位</t>
        </is>
      </c>
    </row>
    <row r="842">
      <c r="B842" t="inlineStr">
        <is>
          <t>NULL</t>
        </is>
      </c>
      <c r="C842" t="inlineStr">
        <is>
          <t>NULL</t>
        </is>
      </c>
      <c r="D842" t="inlineStr">
        <is>
          <t>NULL</t>
        </is>
      </c>
      <c r="E842" t="inlineStr">
        <is>
          <t>NULL</t>
        </is>
      </c>
      <c r="F842" t="inlineStr">
        <is>
          <t>NULL</t>
        </is>
      </c>
      <c r="G842" t="inlineStr">
        <is>
          <t>NULL</t>
        </is>
      </c>
      <c r="H842" t="inlineStr">
        <is>
          <t>NULL</t>
        </is>
      </c>
      <c r="I842" t="inlineStr">
        <is>
          <t>NULL</t>
        </is>
      </c>
      <c r="J842" t="inlineStr">
        <is>
          <t>NULL</t>
        </is>
      </c>
      <c r="K842" t="inlineStr">
        <is>
          <t xml:space="preserve"> NO!  	 c_nchar3500列源备映射错误，源端为nchar 7000位	期望更改为varchar(n)	实际备端为text 65535位</t>
        </is>
      </c>
    </row>
    <row r="843">
      <c r="A843" t="inlineStr">
        <is>
          <t>info_timestamp_dml_single_nopk_irp</t>
        </is>
      </c>
      <c r="K843" t="inlineStr">
        <is>
          <t>[0;34m info_timestamp_dml_single_nopk_irp [0m源备字段数相同，源端字段：2 	备端字段2</t>
        </is>
      </c>
      <c r="W843" t="inlineStr">
        <is>
          <t>YES 源备无差异</t>
        </is>
      </c>
      <c r="X843">
        <f>A843</f>
        <v/>
      </c>
    </row>
    <row r="844">
      <c r="B844" t="inlineStr">
        <is>
          <t>NULL</t>
        </is>
      </c>
      <c r="C844" t="inlineStr">
        <is>
          <t>NULL</t>
        </is>
      </c>
      <c r="D844" t="inlineStr">
        <is>
          <t>NULL</t>
        </is>
      </c>
      <c r="E844" t="inlineStr">
        <is>
          <t>NULL</t>
        </is>
      </c>
      <c r="F844" t="inlineStr">
        <is>
          <t>NULL</t>
        </is>
      </c>
      <c r="G844" t="inlineStr">
        <is>
          <t>NULL</t>
        </is>
      </c>
      <c r="H844" t="inlineStr">
        <is>
          <t>NULL</t>
        </is>
      </c>
      <c r="I844" t="inlineStr">
        <is>
          <t>NULL</t>
        </is>
      </c>
      <c r="J844" t="inlineStr">
        <is>
          <t>NULL</t>
        </is>
      </c>
      <c r="K844" t="inlineStr">
        <is>
          <t>YES! 	 id列源备映射正确，源端为int None位	期望更改为int	实际备端为int None位</t>
        </is>
      </c>
    </row>
    <row r="845">
      <c r="B845" t="inlineStr">
        <is>
          <t>NULL</t>
        </is>
      </c>
      <c r="C845" t="inlineStr">
        <is>
          <t>NULL</t>
        </is>
      </c>
      <c r="D845" t="inlineStr">
        <is>
          <t>NULL</t>
        </is>
      </c>
      <c r="E845" t="inlineStr">
        <is>
          <t>NULL</t>
        </is>
      </c>
      <c r="F845" t="inlineStr">
        <is>
          <t>NULL</t>
        </is>
      </c>
      <c r="G845" t="inlineStr">
        <is>
          <t>NULL</t>
        </is>
      </c>
      <c r="H845" t="inlineStr">
        <is>
          <t>NULL</t>
        </is>
      </c>
      <c r="I845" t="inlineStr">
        <is>
          <t>NULL</t>
        </is>
      </c>
      <c r="J845" t="inlineStr">
        <is>
          <t>NULL</t>
        </is>
      </c>
      <c r="K845" t="inlineStr">
        <is>
          <t>[0;32m YES! [0m 	 c_tiemstamp列源备映射正确，源端为timestamp None位	期望更改为binary(8)	实际备端为binary 8位	位数精度不存在，通过长度比较</t>
        </is>
      </c>
    </row>
    <row r="846">
      <c r="A846" t="inlineStr">
        <is>
          <t>info_sql_variant_dml_single_nopk</t>
        </is>
      </c>
      <c r="K846" t="inlineStr">
        <is>
          <t>[0;34m info_sql_variant_dml_single_nopk [0m源备字段数相同，源端字段：25 	备端字段25</t>
        </is>
      </c>
      <c r="W846" s="15">
        <f>HYPERLINK("#2026052610mysql0!BL2","NO 源备存在差异，共2个")</f>
        <v/>
      </c>
      <c r="X846">
        <f>A846</f>
        <v/>
      </c>
    </row>
    <row r="847">
      <c r="B847" t="inlineStr">
        <is>
          <t>NULL</t>
        </is>
      </c>
      <c r="C847" t="inlineStr">
        <is>
          <t>NULL</t>
        </is>
      </c>
      <c r="D847" t="inlineStr">
        <is>
          <t>NULL</t>
        </is>
      </c>
      <c r="E847" t="inlineStr">
        <is>
          <t>NULL</t>
        </is>
      </c>
      <c r="F847" t="inlineStr">
        <is>
          <t>NULL</t>
        </is>
      </c>
      <c r="G847" t="inlineStr">
        <is>
          <t>NULL</t>
        </is>
      </c>
      <c r="H847" t="inlineStr">
        <is>
          <t>NULL</t>
        </is>
      </c>
      <c r="I847" t="inlineStr">
        <is>
          <t>NULL</t>
        </is>
      </c>
      <c r="J847" t="inlineStr">
        <is>
          <t>NULL</t>
        </is>
      </c>
      <c r="K847" t="inlineStr">
        <is>
          <t>YES! 	 id列源备映射正确，源端为int None位	期望更改为int	实际备端为int None位</t>
        </is>
      </c>
    </row>
    <row r="848">
      <c r="B848" t="inlineStr">
        <is>
          <t>NULL</t>
        </is>
      </c>
      <c r="C848" t="inlineStr">
        <is>
          <t>NULL</t>
        </is>
      </c>
      <c r="D848" t="inlineStr">
        <is>
          <t>NULL</t>
        </is>
      </c>
      <c r="E848" t="inlineStr">
        <is>
          <t>NULL</t>
        </is>
      </c>
      <c r="F848" t="inlineStr">
        <is>
          <t>NULL</t>
        </is>
      </c>
      <c r="G848" t="inlineStr">
        <is>
          <t>NULL</t>
        </is>
      </c>
      <c r="H848" t="inlineStr">
        <is>
          <t>NULL</t>
        </is>
      </c>
      <c r="I848" t="inlineStr">
        <is>
          <t>NULL</t>
        </is>
      </c>
      <c r="J848" t="inlineStr">
        <is>
          <t>NULL</t>
        </is>
      </c>
      <c r="K848" t="inlineStr">
        <is>
          <t>[0;32m YES! [0m 	 c_date列源备映射正确，源端为sql_variant 0位	期望更改为VARCHAR(255)	实际备端为varchar 1020位	位数精度不存在，通过长度比较</t>
        </is>
      </c>
    </row>
    <row r="849">
      <c r="B849" t="inlineStr">
        <is>
          <t>NULL</t>
        </is>
      </c>
      <c r="C849" t="inlineStr">
        <is>
          <t>NULL</t>
        </is>
      </c>
      <c r="D849" t="inlineStr">
        <is>
          <t>NULL</t>
        </is>
      </c>
      <c r="E849" t="inlineStr">
        <is>
          <t>NULL</t>
        </is>
      </c>
      <c r="F849" t="inlineStr">
        <is>
          <t>NULL</t>
        </is>
      </c>
      <c r="G849" t="inlineStr">
        <is>
          <t>NULL</t>
        </is>
      </c>
      <c r="H849" t="inlineStr">
        <is>
          <t>NULL</t>
        </is>
      </c>
      <c r="I849" t="inlineStr">
        <is>
          <t>NULL</t>
        </is>
      </c>
      <c r="J849" t="inlineStr">
        <is>
          <t>NULL</t>
        </is>
      </c>
      <c r="K849" t="inlineStr">
        <is>
          <t>[0;32m YES! [0m 	 c_time列源备映射正确，源端为sql_variant 0位	期望更改为VARCHAR(255)	实际备端为varchar 1020位	位数精度不存在，通过长度比较</t>
        </is>
      </c>
    </row>
    <row r="850">
      <c r="B850" t="inlineStr">
        <is>
          <t>NULL</t>
        </is>
      </c>
      <c r="C850" t="inlineStr">
        <is>
          <t>NULL</t>
        </is>
      </c>
      <c r="D850" t="inlineStr">
        <is>
          <t>NULL</t>
        </is>
      </c>
      <c r="E850" t="inlineStr">
        <is>
          <t>NULL</t>
        </is>
      </c>
      <c r="F850" t="inlineStr">
        <is>
          <t>NULL</t>
        </is>
      </c>
      <c r="G850" t="inlineStr">
        <is>
          <t>NULL</t>
        </is>
      </c>
      <c r="H850" t="inlineStr">
        <is>
          <t>NULL</t>
        </is>
      </c>
      <c r="I850" t="inlineStr">
        <is>
          <t>NULL</t>
        </is>
      </c>
      <c r="J850" t="inlineStr">
        <is>
          <t>NULL</t>
        </is>
      </c>
      <c r="K850" t="inlineStr">
        <is>
          <t>[0;32m YES! [0m 	 c_datetime2列源备映射正确，源端为sql_variant 0位	期望更改为VARCHAR(255)	实际备端为varchar 1020位	位数精度不存在，通过长度比较</t>
        </is>
      </c>
    </row>
    <row r="851">
      <c r="B851" t="inlineStr">
        <is>
          <t>NULL</t>
        </is>
      </c>
      <c r="C851" t="inlineStr">
        <is>
          <t>NULL</t>
        </is>
      </c>
      <c r="D851" t="inlineStr">
        <is>
          <t>NULL</t>
        </is>
      </c>
      <c r="E851" t="inlineStr">
        <is>
          <t>NULL</t>
        </is>
      </c>
      <c r="F851" t="inlineStr">
        <is>
          <t>NULL</t>
        </is>
      </c>
      <c r="G851" t="inlineStr">
        <is>
          <t>NULL</t>
        </is>
      </c>
      <c r="H851" t="inlineStr">
        <is>
          <t>NULL</t>
        </is>
      </c>
      <c r="I851" t="inlineStr">
        <is>
          <t>NULL</t>
        </is>
      </c>
      <c r="J851" t="inlineStr">
        <is>
          <t>NULL</t>
        </is>
      </c>
      <c r="K851" t="inlineStr">
        <is>
          <t>[0;32m YES! [0m 	 c_datetimeoffset列源备映射正确，源端为sql_variant 0位	期望更改为VARCHAR(255)	实际备端为varchar 1020位	位数精度不存在，通过长度比较</t>
        </is>
      </c>
    </row>
    <row r="852">
      <c r="B852" t="inlineStr">
        <is>
          <t>NULL</t>
        </is>
      </c>
      <c r="C852" t="inlineStr">
        <is>
          <t>NULL</t>
        </is>
      </c>
      <c r="D852" t="inlineStr">
        <is>
          <t>NULL</t>
        </is>
      </c>
      <c r="E852" t="inlineStr">
        <is>
          <t>NULL</t>
        </is>
      </c>
      <c r="F852" t="inlineStr">
        <is>
          <t>NULL</t>
        </is>
      </c>
      <c r="G852" t="inlineStr">
        <is>
          <t>NULL</t>
        </is>
      </c>
      <c r="H852" t="inlineStr">
        <is>
          <t>NULL</t>
        </is>
      </c>
      <c r="I852" t="inlineStr">
        <is>
          <t>NULL</t>
        </is>
      </c>
      <c r="J852" t="inlineStr">
        <is>
          <t>NULL</t>
        </is>
      </c>
      <c r="K852" t="inlineStr">
        <is>
          <t>[0;32m YES! [0m 	 c_tinyint列源备映射正确，源端为sql_variant 0位	期望更改为VARCHAR(255)	实际备端为varchar 1020位	位数精度不存在，通过长度比较</t>
        </is>
      </c>
    </row>
    <row r="853">
      <c r="B853" t="inlineStr">
        <is>
          <t>NULL</t>
        </is>
      </c>
      <c r="C853" t="inlineStr">
        <is>
          <t>NULL</t>
        </is>
      </c>
      <c r="D853" t="inlineStr">
        <is>
          <t>NULL</t>
        </is>
      </c>
      <c r="E853" t="inlineStr">
        <is>
          <t>NULL</t>
        </is>
      </c>
      <c r="F853" t="inlineStr">
        <is>
          <t>NULL</t>
        </is>
      </c>
      <c r="G853" t="inlineStr">
        <is>
          <t>NULL</t>
        </is>
      </c>
      <c r="H853" t="inlineStr">
        <is>
          <t>NULL</t>
        </is>
      </c>
      <c r="I853" t="inlineStr">
        <is>
          <t>NULL</t>
        </is>
      </c>
      <c r="J853" t="inlineStr">
        <is>
          <t>NULL</t>
        </is>
      </c>
      <c r="K853" t="inlineStr">
        <is>
          <t>[0;32m YES! [0m 	 c_smallint列源备映射正确，源端为sql_variant 0位	期望更改为VARCHAR(255)	实际备端为varchar 1020位	位数精度不存在，通过长度比较</t>
        </is>
      </c>
    </row>
    <row r="854">
      <c r="B854" t="inlineStr">
        <is>
          <t>NULL</t>
        </is>
      </c>
      <c r="C854" t="inlineStr">
        <is>
          <t>NULL</t>
        </is>
      </c>
      <c r="D854" t="inlineStr">
        <is>
          <t>NULL</t>
        </is>
      </c>
      <c r="E854" t="inlineStr">
        <is>
          <t>NULL</t>
        </is>
      </c>
      <c r="F854" t="inlineStr">
        <is>
          <t>NULL</t>
        </is>
      </c>
      <c r="G854" t="inlineStr">
        <is>
          <t>NULL</t>
        </is>
      </c>
      <c r="H854" t="inlineStr">
        <is>
          <t>NULL</t>
        </is>
      </c>
      <c r="I854" t="inlineStr">
        <is>
          <t>NULL</t>
        </is>
      </c>
      <c r="J854" t="inlineStr">
        <is>
          <t>NULL</t>
        </is>
      </c>
      <c r="K854" t="inlineStr">
        <is>
          <t>[0;32m YES! [0m 	 c_int列源备映射正确，源端为sql_variant 0位	期望更改为VARCHAR(255)	实际备端为varchar 1020位	位数精度不存在，通过长度比较</t>
        </is>
      </c>
    </row>
    <row r="855">
      <c r="B855" t="inlineStr">
        <is>
          <t>NULL</t>
        </is>
      </c>
      <c r="C855" t="inlineStr">
        <is>
          <t>NULL</t>
        </is>
      </c>
      <c r="D855" t="inlineStr">
        <is>
          <t>NULL</t>
        </is>
      </c>
      <c r="E855" t="inlineStr">
        <is>
          <t>NULL</t>
        </is>
      </c>
      <c r="F855" t="inlineStr">
        <is>
          <t>NULL</t>
        </is>
      </c>
      <c r="G855" t="inlineStr">
        <is>
          <t>NULL</t>
        </is>
      </c>
      <c r="H855" t="inlineStr">
        <is>
          <t>NULL</t>
        </is>
      </c>
      <c r="I855" t="inlineStr">
        <is>
          <t>NULL</t>
        </is>
      </c>
      <c r="J855" t="inlineStr">
        <is>
          <t>NULL</t>
        </is>
      </c>
      <c r="K855" t="inlineStr">
        <is>
          <t>[0;32m YES! [0m 	 c_sdt列源备映射正确，源端为sql_variant 0位	期望更改为VARCHAR(255)	实际备端为varchar 1020位	位数精度不存在，通过长度比较</t>
        </is>
      </c>
    </row>
    <row r="856">
      <c r="B856" t="inlineStr">
        <is>
          <t>NULL</t>
        </is>
      </c>
      <c r="C856" t="inlineStr">
        <is>
          <t>NULL</t>
        </is>
      </c>
      <c r="D856" t="inlineStr">
        <is>
          <t>NULL</t>
        </is>
      </c>
      <c r="E856" t="inlineStr">
        <is>
          <t>NULL</t>
        </is>
      </c>
      <c r="F856" t="inlineStr">
        <is>
          <t>NULL</t>
        </is>
      </c>
      <c r="G856" t="inlineStr">
        <is>
          <t>NULL</t>
        </is>
      </c>
      <c r="H856" t="inlineStr">
        <is>
          <t>NULL</t>
        </is>
      </c>
      <c r="I856" t="inlineStr">
        <is>
          <t>NULL</t>
        </is>
      </c>
      <c r="J856" t="inlineStr">
        <is>
          <t>NULL</t>
        </is>
      </c>
      <c r="K856" t="inlineStr">
        <is>
          <t>[0;32m YES! [0m 	 c_real列源备映射正确，源端为sql_variant 0位	期望更改为VARCHAR(255)	实际备端为varchar 1020位	位数精度不存在，通过长度比较</t>
        </is>
      </c>
    </row>
    <row r="857">
      <c r="B857" t="inlineStr">
        <is>
          <t>NULL</t>
        </is>
      </c>
      <c r="C857" t="inlineStr">
        <is>
          <t>NULL</t>
        </is>
      </c>
      <c r="D857" t="inlineStr">
        <is>
          <t>NULL</t>
        </is>
      </c>
      <c r="E857" t="inlineStr">
        <is>
          <t>NULL</t>
        </is>
      </c>
      <c r="F857" t="inlineStr">
        <is>
          <t>NULL</t>
        </is>
      </c>
      <c r="G857" t="inlineStr">
        <is>
          <t>NULL</t>
        </is>
      </c>
      <c r="H857" t="inlineStr">
        <is>
          <t>NULL</t>
        </is>
      </c>
      <c r="I857" t="inlineStr">
        <is>
          <t>NULL</t>
        </is>
      </c>
      <c r="J857" t="inlineStr">
        <is>
          <t>NULL</t>
        </is>
      </c>
      <c r="K857" t="inlineStr">
        <is>
          <t>[0;32m YES! [0m 	 c_money列源备映射正确，源端为sql_variant 0位	期望更改为VARCHAR(255)	实际备端为varchar 1020位	位数精度不存在，通过长度比较</t>
        </is>
      </c>
    </row>
    <row r="858">
      <c r="B858" t="inlineStr">
        <is>
          <t>NULL</t>
        </is>
      </c>
      <c r="C858" t="inlineStr">
        <is>
          <t>NULL</t>
        </is>
      </c>
      <c r="D858" t="inlineStr">
        <is>
          <t>NULL</t>
        </is>
      </c>
      <c r="E858" t="inlineStr">
        <is>
          <t>NULL</t>
        </is>
      </c>
      <c r="F858" t="inlineStr">
        <is>
          <t>NULL</t>
        </is>
      </c>
      <c r="G858" t="inlineStr">
        <is>
          <t>NULL</t>
        </is>
      </c>
      <c r="H858" t="inlineStr">
        <is>
          <t>NULL</t>
        </is>
      </c>
      <c r="I858" t="inlineStr">
        <is>
          <t>NULL</t>
        </is>
      </c>
      <c r="J858" t="inlineStr">
        <is>
          <t>NULL</t>
        </is>
      </c>
      <c r="K858" t="inlineStr">
        <is>
          <t>[0;32m YES! [0m 	 c_datetime列源备映射正确，源端为sql_variant 0位	期望更改为VARCHAR(255)	实际备端为varchar 1020位	位数精度不存在，通过长度比较</t>
        </is>
      </c>
    </row>
    <row r="859">
      <c r="B859" t="inlineStr">
        <is>
          <t>NULL</t>
        </is>
      </c>
      <c r="C859" t="inlineStr">
        <is>
          <t>NULL</t>
        </is>
      </c>
      <c r="D859" t="inlineStr">
        <is>
          <t>NULL</t>
        </is>
      </c>
      <c r="E859" t="inlineStr">
        <is>
          <t>NULL</t>
        </is>
      </c>
      <c r="F859" t="inlineStr">
        <is>
          <t>NULL</t>
        </is>
      </c>
      <c r="G859" t="inlineStr">
        <is>
          <t>NULL</t>
        </is>
      </c>
      <c r="H859" t="inlineStr">
        <is>
          <t>NULL</t>
        </is>
      </c>
      <c r="I859" t="inlineStr">
        <is>
          <t>NULL</t>
        </is>
      </c>
      <c r="J859" t="inlineStr">
        <is>
          <t>NULL</t>
        </is>
      </c>
      <c r="K859" t="inlineStr">
        <is>
          <t>[0;32m YES! [0m 	 c_float列源备映射正确，源端为sql_variant 0位	期望更改为VARCHAR(255)	实际备端为varchar 1020位	位数精度不存在，通过长度比较</t>
        </is>
      </c>
    </row>
    <row r="860">
      <c r="B860" t="inlineStr">
        <is>
          <t>NULL</t>
        </is>
      </c>
      <c r="C860" t="inlineStr">
        <is>
          <t>NULL</t>
        </is>
      </c>
      <c r="D860" t="inlineStr">
        <is>
          <t>NULL</t>
        </is>
      </c>
      <c r="E860" t="inlineStr">
        <is>
          <t>NULL</t>
        </is>
      </c>
      <c r="F860" t="inlineStr">
        <is>
          <t>NULL</t>
        </is>
      </c>
      <c r="G860" t="inlineStr">
        <is>
          <t>NULL</t>
        </is>
      </c>
      <c r="H860" t="inlineStr">
        <is>
          <t>NULL</t>
        </is>
      </c>
      <c r="I860" t="inlineStr">
        <is>
          <t>NULL</t>
        </is>
      </c>
      <c r="J860" t="inlineStr">
        <is>
          <t>NULL</t>
        </is>
      </c>
      <c r="K860" t="inlineStr">
        <is>
          <t>[0;32m YES! [0m 	 c_bit列源备映射正确，源端为sql_variant 0位	期望更改为VARCHAR(255)	实际备端为varchar 1020位	位数精度不存在，通过长度比较</t>
        </is>
      </c>
    </row>
    <row r="861">
      <c r="B861" t="inlineStr">
        <is>
          <t>NULL</t>
        </is>
      </c>
      <c r="C861" t="inlineStr">
        <is>
          <t>NULL</t>
        </is>
      </c>
      <c r="D861" t="inlineStr">
        <is>
          <t>NULL</t>
        </is>
      </c>
      <c r="E861" t="inlineStr">
        <is>
          <t>NULL</t>
        </is>
      </c>
      <c r="F861" t="inlineStr">
        <is>
          <t>NULL</t>
        </is>
      </c>
      <c r="G861" t="inlineStr">
        <is>
          <t>NULL</t>
        </is>
      </c>
      <c r="H861" t="inlineStr">
        <is>
          <t>NULL</t>
        </is>
      </c>
      <c r="I861" t="inlineStr">
        <is>
          <t>NULL</t>
        </is>
      </c>
      <c r="J861" t="inlineStr">
        <is>
          <t>NULL</t>
        </is>
      </c>
      <c r="K861" t="inlineStr">
        <is>
          <t>[0;32m YES! [0m 	 c_decimal列源备映射正确，源端为sql_variant 0位	期望更改为VARCHAR(255)	实际备端为varchar 1020位	位数精度不存在，通过长度比较</t>
        </is>
      </c>
    </row>
    <row r="862">
      <c r="B862" t="inlineStr">
        <is>
          <t>NULL</t>
        </is>
      </c>
      <c r="C862" t="inlineStr">
        <is>
          <t>NULL</t>
        </is>
      </c>
      <c r="D862" t="inlineStr">
        <is>
          <t>NULL</t>
        </is>
      </c>
      <c r="E862" t="inlineStr">
        <is>
          <t>NULL</t>
        </is>
      </c>
      <c r="F862" t="inlineStr">
        <is>
          <t>NULL</t>
        </is>
      </c>
      <c r="G862" t="inlineStr">
        <is>
          <t>NULL</t>
        </is>
      </c>
      <c r="H862" t="inlineStr">
        <is>
          <t>NULL</t>
        </is>
      </c>
      <c r="I862" t="inlineStr">
        <is>
          <t>NULL</t>
        </is>
      </c>
      <c r="J862" t="inlineStr">
        <is>
          <t>NULL</t>
        </is>
      </c>
      <c r="K862" t="inlineStr">
        <is>
          <t>[0;32m YES! [0m 	 c_uniqueidentifier列源备映射正确，源端为sql_variant 0位	期望更改为VARCHAR(255)	实际备端为varchar 1020位	位数精度不存在，通过长度比较</t>
        </is>
      </c>
    </row>
    <row r="863">
      <c r="B863" t="inlineStr">
        <is>
          <t>NULL</t>
        </is>
      </c>
      <c r="C863" t="inlineStr">
        <is>
          <t>NULL</t>
        </is>
      </c>
      <c r="D863" t="inlineStr">
        <is>
          <t>NULL</t>
        </is>
      </c>
      <c r="E863" t="inlineStr">
        <is>
          <t>NULL</t>
        </is>
      </c>
      <c r="F863" t="inlineStr">
        <is>
          <t>NULL</t>
        </is>
      </c>
      <c r="G863" t="inlineStr">
        <is>
          <t>NULL</t>
        </is>
      </c>
      <c r="H863" t="inlineStr">
        <is>
          <t>NULL</t>
        </is>
      </c>
      <c r="I863" t="inlineStr">
        <is>
          <t>NULL</t>
        </is>
      </c>
      <c r="J863" t="inlineStr">
        <is>
          <t>NULL</t>
        </is>
      </c>
      <c r="K863" t="inlineStr">
        <is>
          <t>[0;32m YES! [0m 	 c_smallmoney列源备映射正确，源端为sql_variant 0位	期望更改为VARCHAR(255)	实际备端为varchar 1020位	位数精度不存在，通过长度比较</t>
        </is>
      </c>
    </row>
    <row r="864">
      <c r="B864" t="inlineStr">
        <is>
          <t>NULL</t>
        </is>
      </c>
      <c r="C864" t="inlineStr">
        <is>
          <t>NULL</t>
        </is>
      </c>
      <c r="D864" t="inlineStr">
        <is>
          <t>NULL</t>
        </is>
      </c>
      <c r="E864" t="inlineStr">
        <is>
          <t>NULL</t>
        </is>
      </c>
      <c r="F864" t="inlineStr">
        <is>
          <t>NULL</t>
        </is>
      </c>
      <c r="G864" t="inlineStr">
        <is>
          <t>NULL</t>
        </is>
      </c>
      <c r="H864" t="inlineStr">
        <is>
          <t>NULL</t>
        </is>
      </c>
      <c r="I864" t="inlineStr">
        <is>
          <t>NULL</t>
        </is>
      </c>
      <c r="J864" t="inlineStr">
        <is>
          <t>NULL</t>
        </is>
      </c>
      <c r="K864" t="inlineStr">
        <is>
          <t>[0;32m YES! [0m 	 c_bigint列源备映射正确，源端为sql_variant 0位	期望更改为VARCHAR(255)	实际备端为varchar 1020位	位数精度不存在，通过长度比较</t>
        </is>
      </c>
    </row>
    <row r="865">
      <c r="B865" t="inlineStr">
        <is>
          <t>NULL</t>
        </is>
      </c>
      <c r="C865" t="inlineStr">
        <is>
          <t>NULL</t>
        </is>
      </c>
      <c r="D865" t="inlineStr">
        <is>
          <t>NULL</t>
        </is>
      </c>
      <c r="E865" t="inlineStr">
        <is>
          <t>NULL</t>
        </is>
      </c>
      <c r="F865" t="inlineStr">
        <is>
          <t>NULL</t>
        </is>
      </c>
      <c r="G865" t="inlineStr">
        <is>
          <t>NULL</t>
        </is>
      </c>
      <c r="H865" t="inlineStr">
        <is>
          <t>NULL</t>
        </is>
      </c>
      <c r="I865" t="inlineStr">
        <is>
          <t>NULL</t>
        </is>
      </c>
      <c r="J865" t="inlineStr">
        <is>
          <t>NULL</t>
        </is>
      </c>
      <c r="K865" t="inlineStr">
        <is>
          <t>[0;32m YES! [0m 	 c_varbinary_20列源备映射正确，源端为sql_variant 0位	期望更改为VARCHAR(255)	实际备端为varchar 1020位	位数精度不存在，通过长度比较</t>
        </is>
      </c>
    </row>
    <row r="866">
      <c r="B866" t="inlineStr">
        <is>
          <t>NULL</t>
        </is>
      </c>
      <c r="C866" t="inlineStr">
        <is>
          <t>NULL</t>
        </is>
      </c>
      <c r="D866" t="inlineStr">
        <is>
          <t>NULL</t>
        </is>
      </c>
      <c r="E866" t="inlineStr">
        <is>
          <t>NULL</t>
        </is>
      </c>
      <c r="F866" t="inlineStr">
        <is>
          <t>NULL</t>
        </is>
      </c>
      <c r="G866" t="inlineStr">
        <is>
          <t>NULL</t>
        </is>
      </c>
      <c r="H866" t="inlineStr">
        <is>
          <t>NULL</t>
        </is>
      </c>
      <c r="I866" t="inlineStr">
        <is>
          <t>NULL</t>
        </is>
      </c>
      <c r="J866" t="inlineStr">
        <is>
          <t>NULL</t>
        </is>
      </c>
      <c r="K866" t="inlineStr">
        <is>
          <t>[0;32m YES! [0m 	 c_varchar_20列源备映射正确，源端为sql_variant 0位	期望更改为VARCHAR(255)	实际备端为varchar 1020位	位数精度不存在，通过长度比较</t>
        </is>
      </c>
    </row>
    <row r="867">
      <c r="B867" t="inlineStr">
        <is>
          <t>NULL</t>
        </is>
      </c>
      <c r="C867" t="inlineStr">
        <is>
          <t>NULL</t>
        </is>
      </c>
      <c r="D867" t="inlineStr">
        <is>
          <t>NULL</t>
        </is>
      </c>
      <c r="E867" t="inlineStr">
        <is>
          <t>NULL</t>
        </is>
      </c>
      <c r="F867" t="inlineStr">
        <is>
          <t>NULL</t>
        </is>
      </c>
      <c r="G867" t="inlineStr">
        <is>
          <t>NULL</t>
        </is>
      </c>
      <c r="H867" t="inlineStr">
        <is>
          <t>NULL</t>
        </is>
      </c>
      <c r="I867" t="inlineStr">
        <is>
          <t>NULL</t>
        </is>
      </c>
      <c r="J867" t="inlineStr">
        <is>
          <t>NULL</t>
        </is>
      </c>
      <c r="K867" t="inlineStr">
        <is>
          <t>[0;32m YES! [0m 	 c_binary_20列源备映射正确，源端为sql_variant 0位	期望更改为VARCHAR(255)	实际备端为varchar 1020位	位数精度不存在，通过长度比较</t>
        </is>
      </c>
    </row>
    <row r="868">
      <c r="B868" t="inlineStr">
        <is>
          <t>NULL</t>
        </is>
      </c>
      <c r="C868" t="inlineStr">
        <is>
          <t>NULL</t>
        </is>
      </c>
      <c r="D868" t="inlineStr">
        <is>
          <t>NULL</t>
        </is>
      </c>
      <c r="E868" t="inlineStr">
        <is>
          <t>NULL</t>
        </is>
      </c>
      <c r="F868" t="inlineStr">
        <is>
          <t>NULL</t>
        </is>
      </c>
      <c r="G868" t="inlineStr">
        <is>
          <t>NULL</t>
        </is>
      </c>
      <c r="H868" t="inlineStr">
        <is>
          <t>NULL</t>
        </is>
      </c>
      <c r="I868" t="inlineStr">
        <is>
          <t>NULL</t>
        </is>
      </c>
      <c r="J868" t="inlineStr">
        <is>
          <t>NULL</t>
        </is>
      </c>
      <c r="K868" t="inlineStr">
        <is>
          <t>[0;32m YES! [0m 	 c_char_20列源备映射正确，源端为sql_variant 0位	期望更改为VARCHAR(255)	实际备端为varchar 1020位	位数精度不存在，通过长度比较</t>
        </is>
      </c>
    </row>
    <row r="869">
      <c r="B869" t="inlineStr">
        <is>
          <t>NULL</t>
        </is>
      </c>
      <c r="C869" t="inlineStr">
        <is>
          <t>NULL</t>
        </is>
      </c>
      <c r="D869" t="inlineStr">
        <is>
          <t>NULL</t>
        </is>
      </c>
      <c r="E869" t="inlineStr">
        <is>
          <t>NULL</t>
        </is>
      </c>
      <c r="F869" t="inlineStr">
        <is>
          <t>NULL</t>
        </is>
      </c>
      <c r="G869" t="inlineStr">
        <is>
          <t>NULL</t>
        </is>
      </c>
      <c r="H869" t="inlineStr">
        <is>
          <t>NULL</t>
        </is>
      </c>
      <c r="I869" t="inlineStr">
        <is>
          <t>NULL</t>
        </is>
      </c>
      <c r="J869" t="inlineStr">
        <is>
          <t>NULL</t>
        </is>
      </c>
      <c r="K869" t="inlineStr">
        <is>
          <t>[0;32m YES! [0m 	 c_nvarchar_20列源备映射正确，源端为sql_variant 0位	期望更改为VARCHAR(255)	实际备端为varchar 1020位	位数精度不存在，通过长度比较</t>
        </is>
      </c>
    </row>
    <row r="870">
      <c r="B870" t="inlineStr">
        <is>
          <t>NULL</t>
        </is>
      </c>
      <c r="C870" t="inlineStr">
        <is>
          <t>NULL</t>
        </is>
      </c>
      <c r="D870" t="inlineStr">
        <is>
          <t>NULL</t>
        </is>
      </c>
      <c r="E870" t="inlineStr">
        <is>
          <t>NULL</t>
        </is>
      </c>
      <c r="F870" t="inlineStr">
        <is>
          <t>NULL</t>
        </is>
      </c>
      <c r="G870" t="inlineStr">
        <is>
          <t>NULL</t>
        </is>
      </c>
      <c r="H870" t="inlineStr">
        <is>
          <t>NULL</t>
        </is>
      </c>
      <c r="I870" t="inlineStr">
        <is>
          <t>NULL</t>
        </is>
      </c>
      <c r="J870" t="inlineStr">
        <is>
          <t>NULL</t>
        </is>
      </c>
      <c r="K870" t="inlineStr">
        <is>
          <t>[0;32m YES! [0m 	 c_nchar_20列源备映射正确，源端为sql_variant 0位	期望更改为VARCHAR(255)	实际备端为varchar 1020位	位数精度不存在，通过长度比较</t>
        </is>
      </c>
    </row>
    <row r="871">
      <c r="B871" t="inlineStr">
        <is>
          <t>NULL</t>
        </is>
      </c>
      <c r="C871" t="inlineStr">
        <is>
          <t>NULL</t>
        </is>
      </c>
      <c r="D871" t="inlineStr">
        <is>
          <t>NULL</t>
        </is>
      </c>
      <c r="E871" t="inlineStr">
        <is>
          <t>NULL</t>
        </is>
      </c>
      <c r="F871" t="inlineStr">
        <is>
          <t>NULL</t>
        </is>
      </c>
      <c r="G871" t="inlineStr">
        <is>
          <t>NULL</t>
        </is>
      </c>
      <c r="H871" t="inlineStr">
        <is>
          <t>NULL</t>
        </is>
      </c>
      <c r="I871" t="inlineStr">
        <is>
          <t>NULL</t>
        </is>
      </c>
      <c r="J871" t="inlineStr">
        <is>
          <t>NULL</t>
        </is>
      </c>
      <c r="K871" t="inlineStr">
        <is>
          <t>[0;32m YES! [0m 	 c_timestamp列源备映射正确，源端为timestamp None位	期望更改为binary(8)	实际备端为binary 8位	位数精度不存在，通过长度比较</t>
        </is>
      </c>
    </row>
    <row r="872">
      <c r="A872" t="inlineStr">
        <is>
          <t>info_timestamp_dml_single_nopk_drp</t>
        </is>
      </c>
      <c r="K872" t="inlineStr">
        <is>
          <t>[0;34m info_timestamp_dml_single_nopk_drp [0m源备字段数相同，源端字段：2 	备端字段2</t>
        </is>
      </c>
      <c r="W872" t="inlineStr">
        <is>
          <t>YES 源备无差异</t>
        </is>
      </c>
      <c r="X872">
        <f>A872</f>
        <v/>
      </c>
    </row>
    <row r="873">
      <c r="B873" t="inlineStr">
        <is>
          <t>NULL</t>
        </is>
      </c>
      <c r="C873" t="inlineStr">
        <is>
          <t>NULL</t>
        </is>
      </c>
      <c r="D873" t="inlineStr">
        <is>
          <t>NULL</t>
        </is>
      </c>
      <c r="E873" t="inlineStr">
        <is>
          <t>NULL</t>
        </is>
      </c>
      <c r="F873" t="inlineStr">
        <is>
          <t>NULL</t>
        </is>
      </c>
      <c r="G873" t="inlineStr">
        <is>
          <t>NULL</t>
        </is>
      </c>
      <c r="H873" t="inlineStr">
        <is>
          <t>NULL</t>
        </is>
      </c>
      <c r="I873" t="inlineStr">
        <is>
          <t>NULL</t>
        </is>
      </c>
      <c r="J873" t="inlineStr">
        <is>
          <t>NULL</t>
        </is>
      </c>
      <c r="K873" t="inlineStr">
        <is>
          <t>YES! 	 id列源备映射正确，源端为int None位	期望更改为int	实际备端为int None位</t>
        </is>
      </c>
    </row>
    <row r="874">
      <c r="B874" t="inlineStr">
        <is>
          <t>NULL</t>
        </is>
      </c>
      <c r="C874" t="inlineStr">
        <is>
          <t>NULL</t>
        </is>
      </c>
      <c r="D874" t="inlineStr">
        <is>
          <t>NULL</t>
        </is>
      </c>
      <c r="E874" t="inlineStr">
        <is>
          <t>NULL</t>
        </is>
      </c>
      <c r="F874" t="inlineStr">
        <is>
          <t>NULL</t>
        </is>
      </c>
      <c r="G874" t="inlineStr">
        <is>
          <t>NULL</t>
        </is>
      </c>
      <c r="H874" t="inlineStr">
        <is>
          <t>NULL</t>
        </is>
      </c>
      <c r="I874" t="inlineStr">
        <is>
          <t>NULL</t>
        </is>
      </c>
      <c r="J874" t="inlineStr">
        <is>
          <t>NULL</t>
        </is>
      </c>
      <c r="K874" t="inlineStr">
        <is>
          <t>[0;32m YES! [0m 	 c_tiemstamp列源备映射正确，源端为timestamp None位	期望更改为binary(8)	实际备端为binary 8位	位数精度不存在，通过长度比较</t>
        </is>
      </c>
    </row>
    <row r="875">
      <c r="A875" t="inlineStr">
        <is>
          <t>info_date_dml_single_pk</t>
        </is>
      </c>
      <c r="K875" t="inlineStr">
        <is>
          <t>[0;34m info_date_dml_single_pk [0m源备字段数相同，源端字段：2 	备端字段2</t>
        </is>
      </c>
      <c r="W875" t="inlineStr">
        <is>
          <t>YES 源备无差异</t>
        </is>
      </c>
      <c r="X875">
        <f>A875</f>
        <v/>
      </c>
    </row>
    <row r="876">
      <c r="B876" t="inlineStr">
        <is>
          <t>YES</t>
        </is>
      </c>
      <c r="C876" t="inlineStr">
        <is>
          <t>NULL</t>
        </is>
      </c>
      <c r="D876" t="inlineStr">
        <is>
          <t>NULL</t>
        </is>
      </c>
      <c r="E876" t="inlineStr">
        <is>
          <t>NULL</t>
        </is>
      </c>
      <c r="F876" t="inlineStr">
        <is>
          <t>NULL</t>
        </is>
      </c>
      <c r="G876" t="inlineStr">
        <is>
          <t>NULL</t>
        </is>
      </c>
      <c r="H876" t="inlineStr">
        <is>
          <t>NULL</t>
        </is>
      </c>
      <c r="I876" t="inlineStr">
        <is>
          <t>YES!PK__info_dat__3213E83FBC98E2C8</t>
        </is>
      </c>
      <c r="J876" t="inlineStr">
        <is>
          <t>YES! 主键相关索引</t>
        </is>
      </c>
      <c r="K876" t="inlineStr">
        <is>
          <t>YES! 	 id列源备映射正确，源端为int None位	期望更改为int	实际备端为int None位</t>
        </is>
      </c>
    </row>
    <row r="877">
      <c r="B877" t="inlineStr">
        <is>
          <t>NULL</t>
        </is>
      </c>
      <c r="C877" t="inlineStr">
        <is>
          <t>NULL</t>
        </is>
      </c>
      <c r="D877" t="inlineStr">
        <is>
          <t>NULL</t>
        </is>
      </c>
      <c r="E877" t="inlineStr">
        <is>
          <t>NULL</t>
        </is>
      </c>
      <c r="F877" t="inlineStr">
        <is>
          <t>NULL</t>
        </is>
      </c>
      <c r="G877" t="inlineStr">
        <is>
          <t>NULL</t>
        </is>
      </c>
      <c r="H877" t="inlineStr">
        <is>
          <t>NULL</t>
        </is>
      </c>
      <c r="I877" t="inlineStr">
        <is>
          <t>NULL</t>
        </is>
      </c>
      <c r="J877" t="inlineStr">
        <is>
          <t>NULL</t>
        </is>
      </c>
      <c r="K877" t="inlineStr">
        <is>
          <t>YES! 	 c_date列源备映射正确，源端为date None位	期望更改为date	实际备端为date None位</t>
        </is>
      </c>
    </row>
    <row r="878">
      <c r="A878" t="inlineStr">
        <is>
          <t>info_nchar_dml_batch2_pk_irp1</t>
        </is>
      </c>
      <c r="K878" t="inlineStr">
        <is>
          <t>[0;34m info_nchar_dml_batch2_pk_irp1 [0m源备字段数相同，源端字段：4 	备端字段4</t>
        </is>
      </c>
      <c r="W878" s="15">
        <f>HYPERLINK("#2026052610mysql0!BM2","NO 源备存在差异，共8个")</f>
        <v/>
      </c>
      <c r="X878">
        <f>A878</f>
        <v/>
      </c>
    </row>
    <row r="879">
      <c r="B879" t="inlineStr">
        <is>
          <t>YES</t>
        </is>
      </c>
      <c r="C879" t="inlineStr">
        <is>
          <t>NULL</t>
        </is>
      </c>
      <c r="D879" t="inlineStr">
        <is>
          <t>NULL</t>
        </is>
      </c>
      <c r="E879" t="inlineStr">
        <is>
          <t>NULL</t>
        </is>
      </c>
      <c r="F879" t="inlineStr">
        <is>
          <t>NULL</t>
        </is>
      </c>
      <c r="G879" t="inlineStr">
        <is>
          <t>NULL</t>
        </is>
      </c>
      <c r="H879" t="inlineStr">
        <is>
          <t>NULL</t>
        </is>
      </c>
      <c r="I879" t="inlineStr">
        <is>
          <t>YES!PK__info_nch__3213E83F71E2BC7E</t>
        </is>
      </c>
      <c r="J879" t="inlineStr">
        <is>
          <t>YES! 主键相关索引</t>
        </is>
      </c>
      <c r="K879" t="inlineStr">
        <is>
          <t>YES! 	 id列源备映射正确，源端为int None位	期望更改为int	实际备端为int None位</t>
        </is>
      </c>
    </row>
    <row r="880">
      <c r="B880" t="inlineStr">
        <is>
          <t>NULL</t>
        </is>
      </c>
      <c r="C880" t="inlineStr">
        <is>
          <t>NULL</t>
        </is>
      </c>
      <c r="D880" t="inlineStr">
        <is>
          <t>NULL</t>
        </is>
      </c>
      <c r="E880" t="inlineStr">
        <is>
          <t>NULL</t>
        </is>
      </c>
      <c r="F880" t="inlineStr">
        <is>
          <t>NULL</t>
        </is>
      </c>
      <c r="G880" t="inlineStr">
        <is>
          <t>NULL</t>
        </is>
      </c>
      <c r="H880" t="inlineStr">
        <is>
          <t>NULL</t>
        </is>
      </c>
      <c r="I880" t="inlineStr">
        <is>
          <t>NULL</t>
        </is>
      </c>
      <c r="J880" t="inlineStr">
        <is>
          <t>NULL</t>
        </is>
      </c>
      <c r="K880" t="inlineStr">
        <is>
          <t>YES! 	 c_nchar列源备映射正确，源端为nchar 2位	期望更改为char(n)	实际备端为char 4位</t>
        </is>
      </c>
    </row>
    <row r="881">
      <c r="B881" t="inlineStr">
        <is>
          <t>NULL</t>
        </is>
      </c>
      <c r="C881" t="inlineStr">
        <is>
          <t>NULL</t>
        </is>
      </c>
      <c r="D881" t="inlineStr">
        <is>
          <t>NULL</t>
        </is>
      </c>
      <c r="E881" t="inlineStr">
        <is>
          <t>NULL</t>
        </is>
      </c>
      <c r="F881" t="inlineStr">
        <is>
          <t>NULL</t>
        </is>
      </c>
      <c r="G881" t="inlineStr">
        <is>
          <t>NULL</t>
        </is>
      </c>
      <c r="H881" t="inlineStr">
        <is>
          <t>NULL</t>
        </is>
      </c>
      <c r="I881" t="inlineStr">
        <is>
          <t>NULL</t>
        </is>
      </c>
      <c r="J881" t="inlineStr">
        <is>
          <t>NULL</t>
        </is>
      </c>
      <c r="K881" t="inlineStr">
        <is>
          <t>YES! 	 c_nchar20列源备映射正确，源端为nchar 40位	期望更改为char(n)	实际备端为char 80位</t>
        </is>
      </c>
    </row>
    <row r="882">
      <c r="B882" t="inlineStr">
        <is>
          <t>NULL</t>
        </is>
      </c>
      <c r="C882" t="inlineStr">
        <is>
          <t>NULL</t>
        </is>
      </c>
      <c r="D882" t="inlineStr">
        <is>
          <t>NULL</t>
        </is>
      </c>
      <c r="E882" t="inlineStr">
        <is>
          <t>NULL</t>
        </is>
      </c>
      <c r="F882" t="inlineStr">
        <is>
          <t>NULL</t>
        </is>
      </c>
      <c r="G882" t="inlineStr">
        <is>
          <t>NULL</t>
        </is>
      </c>
      <c r="H882" t="inlineStr">
        <is>
          <t>NULL</t>
        </is>
      </c>
      <c r="I882" t="inlineStr">
        <is>
          <t>NULL</t>
        </is>
      </c>
      <c r="J882" t="inlineStr">
        <is>
          <t>NULL</t>
        </is>
      </c>
      <c r="K882" t="inlineStr">
        <is>
          <t xml:space="preserve"> NO!  	 c_nchar3500列源备映射错误，源端为nchar 7000位	期望更改为varchar(n)	实际备端为text 65535位</t>
        </is>
      </c>
    </row>
    <row r="883">
      <c r="A883" t="inlineStr">
        <is>
          <t>info_datetime_dml_batch1_pk</t>
        </is>
      </c>
      <c r="K883" t="inlineStr">
        <is>
          <t>[0;34m info_datetime_dml_batch1_pk [0m源备字段数相同，源端字段：2 	备端字段2</t>
        </is>
      </c>
      <c r="W883" t="inlineStr">
        <is>
          <t>YES 源备无差异</t>
        </is>
      </c>
      <c r="X883">
        <f>A883</f>
        <v/>
      </c>
    </row>
    <row r="884">
      <c r="B884" t="inlineStr">
        <is>
          <t>YES</t>
        </is>
      </c>
      <c r="C884" t="inlineStr">
        <is>
          <t>NULL</t>
        </is>
      </c>
      <c r="D884" t="inlineStr">
        <is>
          <t>NULL</t>
        </is>
      </c>
      <c r="E884" t="inlineStr">
        <is>
          <t>NULL</t>
        </is>
      </c>
      <c r="F884" t="inlineStr">
        <is>
          <t>NULL</t>
        </is>
      </c>
      <c r="G884" t="inlineStr">
        <is>
          <t>NULL</t>
        </is>
      </c>
      <c r="H884" t="inlineStr">
        <is>
          <t>NULL</t>
        </is>
      </c>
      <c r="I884" t="inlineStr">
        <is>
          <t>YES!PK__info_dat__3213E83FF22C8314</t>
        </is>
      </c>
      <c r="J884" t="inlineStr">
        <is>
          <t>YES! 主键相关索引</t>
        </is>
      </c>
      <c r="K884" t="inlineStr">
        <is>
          <t>YES! 	 id列源备映射正确，源端为int None位	期望更改为int	实际备端为int None位</t>
        </is>
      </c>
    </row>
    <row r="885">
      <c r="B885" t="inlineStr">
        <is>
          <t>NULL</t>
        </is>
      </c>
      <c r="C885" t="inlineStr">
        <is>
          <t>NULL</t>
        </is>
      </c>
      <c r="D885" t="inlineStr">
        <is>
          <t>NULL</t>
        </is>
      </c>
      <c r="E885" t="inlineStr">
        <is>
          <t>NULL</t>
        </is>
      </c>
      <c r="F885" t="inlineStr">
        <is>
          <t>NULL</t>
        </is>
      </c>
      <c r="G885" t="inlineStr">
        <is>
          <t>NULL</t>
        </is>
      </c>
      <c r="H885" t="inlineStr">
        <is>
          <t>NULL</t>
        </is>
      </c>
      <c r="I885" t="inlineStr">
        <is>
          <t>NULL</t>
        </is>
      </c>
      <c r="J885" t="inlineStr">
        <is>
          <t>NULL</t>
        </is>
      </c>
      <c r="K885" t="inlineStr">
        <is>
          <t>YES! 	 c_datetime列源备映射正确，源端为datetime None位	期望更改为datetime(3)	实际备端为datetime None位</t>
        </is>
      </c>
    </row>
    <row r="886">
      <c r="A886" t="inlineStr">
        <is>
          <t>info_time_dml_single_pk_irp</t>
        </is>
      </c>
      <c r="K886" t="inlineStr">
        <is>
          <t>[0;34m info_time_dml_single_pk_irp [0m源备字段数相同，源端字段：9 	备端字段9</t>
        </is>
      </c>
      <c r="W886" t="inlineStr">
        <is>
          <t>YES 源备无差异</t>
        </is>
      </c>
      <c r="X886">
        <f>A886</f>
        <v/>
      </c>
    </row>
    <row r="887">
      <c r="B887" t="inlineStr">
        <is>
          <t>YES</t>
        </is>
      </c>
      <c r="C887" t="inlineStr">
        <is>
          <t>NULL</t>
        </is>
      </c>
      <c r="D887" t="inlineStr">
        <is>
          <t>NULL</t>
        </is>
      </c>
      <c r="E887" t="inlineStr">
        <is>
          <t>NULL</t>
        </is>
      </c>
      <c r="F887" t="inlineStr">
        <is>
          <t>NULL</t>
        </is>
      </c>
      <c r="G887" t="inlineStr">
        <is>
          <t>NULL</t>
        </is>
      </c>
      <c r="H887" t="inlineStr">
        <is>
          <t>NULL</t>
        </is>
      </c>
      <c r="I887" t="inlineStr">
        <is>
          <t>YES!PK__info_tim__3213E83F20F79211</t>
        </is>
      </c>
      <c r="J887" t="inlineStr">
        <is>
          <t>YES! 主键相关索引</t>
        </is>
      </c>
      <c r="K887" t="inlineStr">
        <is>
          <t>YES! 	 id列源备映射正确，源端为int None位	期望更改为int	实际备端为int None位</t>
        </is>
      </c>
    </row>
    <row r="888">
      <c r="B888" t="inlineStr">
        <is>
          <t>NULL</t>
        </is>
      </c>
      <c r="C888" t="inlineStr">
        <is>
          <t>NULL</t>
        </is>
      </c>
      <c r="D888" t="inlineStr">
        <is>
          <t>NULL</t>
        </is>
      </c>
      <c r="E888" t="inlineStr">
        <is>
          <t>NULL</t>
        </is>
      </c>
      <c r="F888" t="inlineStr">
        <is>
          <t>NULL</t>
        </is>
      </c>
      <c r="G888" t="inlineStr">
        <is>
          <t>NULL</t>
        </is>
      </c>
      <c r="H888" t="inlineStr">
        <is>
          <t>NULL</t>
        </is>
      </c>
      <c r="I888" t="inlineStr">
        <is>
          <t>NULL</t>
        </is>
      </c>
      <c r="J888" t="inlineStr">
        <is>
          <t>NULL</t>
        </is>
      </c>
      <c r="K888" t="inlineStr">
        <is>
          <t>[0;32m YES! [0m 	 c_time0列源备映射正确，源端为time None位	期望更改为varchar(20)	实际备端为varchar 80位	位数精度不存在，通过长度比较</t>
        </is>
      </c>
    </row>
    <row r="889">
      <c r="B889" t="inlineStr">
        <is>
          <t>NULL</t>
        </is>
      </c>
      <c r="C889" t="inlineStr">
        <is>
          <t>NULL</t>
        </is>
      </c>
      <c r="D889" t="inlineStr">
        <is>
          <t>NULL</t>
        </is>
      </c>
      <c r="E889" t="inlineStr">
        <is>
          <t>NULL</t>
        </is>
      </c>
      <c r="F889" t="inlineStr">
        <is>
          <t>NULL</t>
        </is>
      </c>
      <c r="G889" t="inlineStr">
        <is>
          <t>NULL</t>
        </is>
      </c>
      <c r="H889" t="inlineStr">
        <is>
          <t>NULL</t>
        </is>
      </c>
      <c r="I889" t="inlineStr">
        <is>
          <t>NULL</t>
        </is>
      </c>
      <c r="J889" t="inlineStr">
        <is>
          <t>NULL</t>
        </is>
      </c>
      <c r="K889" t="inlineStr">
        <is>
          <t>[0;32m YES! [0m 	 c_time1列源备映射正确，源端为time None位	期望更改为varchar(20)	实际备端为varchar 80位	位数精度不存在，通过长度比较</t>
        </is>
      </c>
    </row>
    <row r="890">
      <c r="B890" t="inlineStr">
        <is>
          <t>NULL</t>
        </is>
      </c>
      <c r="C890" t="inlineStr">
        <is>
          <t>NULL</t>
        </is>
      </c>
      <c r="D890" t="inlineStr">
        <is>
          <t>NULL</t>
        </is>
      </c>
      <c r="E890" t="inlineStr">
        <is>
          <t>NULL</t>
        </is>
      </c>
      <c r="F890" t="inlineStr">
        <is>
          <t>NULL</t>
        </is>
      </c>
      <c r="G890" t="inlineStr">
        <is>
          <t>NULL</t>
        </is>
      </c>
      <c r="H890" t="inlineStr">
        <is>
          <t>NULL</t>
        </is>
      </c>
      <c r="I890" t="inlineStr">
        <is>
          <t>NULL</t>
        </is>
      </c>
      <c r="J890" t="inlineStr">
        <is>
          <t>NULL</t>
        </is>
      </c>
      <c r="K890" t="inlineStr">
        <is>
          <t>[0;32m YES! [0m 	 c_time2列源备映射正确，源端为time None位	期望更改为varchar(20)	实际备端为varchar 80位	位数精度不存在，通过长度比较</t>
        </is>
      </c>
    </row>
    <row r="891">
      <c r="B891" t="inlineStr">
        <is>
          <t>NULL</t>
        </is>
      </c>
      <c r="C891" t="inlineStr">
        <is>
          <t>NULL</t>
        </is>
      </c>
      <c r="D891" t="inlineStr">
        <is>
          <t>NULL</t>
        </is>
      </c>
      <c r="E891" t="inlineStr">
        <is>
          <t>NULL</t>
        </is>
      </c>
      <c r="F891" t="inlineStr">
        <is>
          <t>NULL</t>
        </is>
      </c>
      <c r="G891" t="inlineStr">
        <is>
          <t>NULL</t>
        </is>
      </c>
      <c r="H891" t="inlineStr">
        <is>
          <t>NULL</t>
        </is>
      </c>
      <c r="I891" t="inlineStr">
        <is>
          <t>NULL</t>
        </is>
      </c>
      <c r="J891" t="inlineStr">
        <is>
          <t>NULL</t>
        </is>
      </c>
      <c r="K891" t="inlineStr">
        <is>
          <t>[0;32m YES! [0m 	 c_time3列源备映射正确，源端为time None位	期望更改为varchar(20)	实际备端为varchar 80位	位数精度不存在，通过长度比较</t>
        </is>
      </c>
    </row>
    <row r="892">
      <c r="B892" t="inlineStr">
        <is>
          <t>NULL</t>
        </is>
      </c>
      <c r="C892" t="inlineStr">
        <is>
          <t>NULL</t>
        </is>
      </c>
      <c r="D892" t="inlineStr">
        <is>
          <t>NULL</t>
        </is>
      </c>
      <c r="E892" t="inlineStr">
        <is>
          <t>NULL</t>
        </is>
      </c>
      <c r="F892" t="inlineStr">
        <is>
          <t>NULL</t>
        </is>
      </c>
      <c r="G892" t="inlineStr">
        <is>
          <t>NULL</t>
        </is>
      </c>
      <c r="H892" t="inlineStr">
        <is>
          <t>NULL</t>
        </is>
      </c>
      <c r="I892" t="inlineStr">
        <is>
          <t>NULL</t>
        </is>
      </c>
      <c r="J892" t="inlineStr">
        <is>
          <t>NULL</t>
        </is>
      </c>
      <c r="K892" t="inlineStr">
        <is>
          <t>[0;32m YES! [0m 	 c_time4列源备映射正确，源端为time None位	期望更改为varchar(20)	实际备端为varchar 80位	位数精度不存在，通过长度比较</t>
        </is>
      </c>
    </row>
    <row r="893">
      <c r="B893" t="inlineStr">
        <is>
          <t>NULL</t>
        </is>
      </c>
      <c r="C893" t="inlineStr">
        <is>
          <t>NULL</t>
        </is>
      </c>
      <c r="D893" t="inlineStr">
        <is>
          <t>NULL</t>
        </is>
      </c>
      <c r="E893" t="inlineStr">
        <is>
          <t>NULL</t>
        </is>
      </c>
      <c r="F893" t="inlineStr">
        <is>
          <t>NULL</t>
        </is>
      </c>
      <c r="G893" t="inlineStr">
        <is>
          <t>NULL</t>
        </is>
      </c>
      <c r="H893" t="inlineStr">
        <is>
          <t>NULL</t>
        </is>
      </c>
      <c r="I893" t="inlineStr">
        <is>
          <t>NULL</t>
        </is>
      </c>
      <c r="J893" t="inlineStr">
        <is>
          <t>NULL</t>
        </is>
      </c>
      <c r="K893" t="inlineStr">
        <is>
          <t>[0;32m YES! [0m 	 c_time5列源备映射正确，源端为time None位	期望更改为varchar(20)	实际备端为varchar 80位	位数精度不存在，通过长度比较</t>
        </is>
      </c>
    </row>
    <row r="894">
      <c r="B894" t="inlineStr">
        <is>
          <t>NULL</t>
        </is>
      </c>
      <c r="C894" t="inlineStr">
        <is>
          <t>NULL</t>
        </is>
      </c>
      <c r="D894" t="inlineStr">
        <is>
          <t>NULL</t>
        </is>
      </c>
      <c r="E894" t="inlineStr">
        <is>
          <t>NULL</t>
        </is>
      </c>
      <c r="F894" t="inlineStr">
        <is>
          <t>NULL</t>
        </is>
      </c>
      <c r="G894" t="inlineStr">
        <is>
          <t>NULL</t>
        </is>
      </c>
      <c r="H894" t="inlineStr">
        <is>
          <t>NULL</t>
        </is>
      </c>
      <c r="I894" t="inlineStr">
        <is>
          <t>NULL</t>
        </is>
      </c>
      <c r="J894" t="inlineStr">
        <is>
          <t>NULL</t>
        </is>
      </c>
      <c r="K894" t="inlineStr">
        <is>
          <t>[0;32m YES! [0m 	 c_time6列源备映射正确，源端为time None位	期望更改为varchar(20)	实际备端为varchar 80位	位数精度不存在，通过长度比较</t>
        </is>
      </c>
    </row>
    <row r="895">
      <c r="B895" t="inlineStr">
        <is>
          <t>NULL</t>
        </is>
      </c>
      <c r="C895" t="inlineStr">
        <is>
          <t>NULL</t>
        </is>
      </c>
      <c r="D895" t="inlineStr">
        <is>
          <t>NULL</t>
        </is>
      </c>
      <c r="E895" t="inlineStr">
        <is>
          <t>NULL</t>
        </is>
      </c>
      <c r="F895" t="inlineStr">
        <is>
          <t>NULL</t>
        </is>
      </c>
      <c r="G895" t="inlineStr">
        <is>
          <t>NULL</t>
        </is>
      </c>
      <c r="H895" t="inlineStr">
        <is>
          <t>NULL</t>
        </is>
      </c>
      <c r="I895" t="inlineStr">
        <is>
          <t>NULL</t>
        </is>
      </c>
      <c r="J895" t="inlineStr">
        <is>
          <t>NULL</t>
        </is>
      </c>
      <c r="K895" t="inlineStr">
        <is>
          <t>[0;32m YES! [0m 	 c_time列源备映射正确，源端为time None位	期望更改为varchar(20)	实际备端为varchar 80位	位数精度不存在，通过长度比较</t>
        </is>
      </c>
    </row>
    <row r="896">
      <c r="A896" t="inlineStr">
        <is>
          <t>info_nchar_dml_batch2_pk_irp2</t>
        </is>
      </c>
      <c r="K896" t="inlineStr">
        <is>
          <t>[0;34m info_nchar_dml_batch2_pk_irp2 [0m源备字段数相同，源端字段：4 	备端字段4</t>
        </is>
      </c>
      <c r="W896" s="15">
        <f>HYPERLINK("#2026052610mysql0!BN2","NO 源备存在差异，共14个")</f>
        <v/>
      </c>
      <c r="X896">
        <f>A896</f>
        <v/>
      </c>
    </row>
    <row r="897">
      <c r="B897" t="inlineStr">
        <is>
          <t>YES</t>
        </is>
      </c>
      <c r="C897" t="inlineStr">
        <is>
          <t>NULL</t>
        </is>
      </c>
      <c r="D897" t="inlineStr">
        <is>
          <t>NULL</t>
        </is>
      </c>
      <c r="E897" t="inlineStr">
        <is>
          <t>NULL</t>
        </is>
      </c>
      <c r="F897" t="inlineStr">
        <is>
          <t>NULL</t>
        </is>
      </c>
      <c r="G897" t="inlineStr">
        <is>
          <t>NULL</t>
        </is>
      </c>
      <c r="H897" t="inlineStr">
        <is>
          <t>NULL</t>
        </is>
      </c>
      <c r="I897" t="inlineStr">
        <is>
          <t>YES!PK__info_nch__3213E83FAF7F0A51</t>
        </is>
      </c>
      <c r="J897" t="inlineStr">
        <is>
          <t>YES! 主键相关索引</t>
        </is>
      </c>
      <c r="K897" t="inlineStr">
        <is>
          <t>YES! 	 id列源备映射正确，源端为int None位	期望更改为int	实际备端为int None位</t>
        </is>
      </c>
    </row>
    <row r="898">
      <c r="B898" t="inlineStr">
        <is>
          <t>NULL</t>
        </is>
      </c>
      <c r="C898" t="inlineStr">
        <is>
          <t>NULL</t>
        </is>
      </c>
      <c r="D898" t="inlineStr">
        <is>
          <t>NULL</t>
        </is>
      </c>
      <c r="E898" t="inlineStr">
        <is>
          <t>NULL</t>
        </is>
      </c>
      <c r="F898" t="inlineStr">
        <is>
          <t>NULL</t>
        </is>
      </c>
      <c r="G898" t="inlineStr">
        <is>
          <t>NULL</t>
        </is>
      </c>
      <c r="H898" t="inlineStr">
        <is>
          <t>NULL</t>
        </is>
      </c>
      <c r="I898" t="inlineStr">
        <is>
          <t>NULL</t>
        </is>
      </c>
      <c r="J898" t="inlineStr">
        <is>
          <t>NULL</t>
        </is>
      </c>
      <c r="K898" t="inlineStr">
        <is>
          <t>YES! 	 c_nchar列源备映射正确，源端为nchar 2位	期望更改为char(n)	实际备端为char 4位</t>
        </is>
      </c>
    </row>
    <row r="899">
      <c r="B899" t="inlineStr">
        <is>
          <t>NULL</t>
        </is>
      </c>
      <c r="C899" t="inlineStr">
        <is>
          <t>NULL</t>
        </is>
      </c>
      <c r="D899" t="inlineStr">
        <is>
          <t>NULL</t>
        </is>
      </c>
      <c r="E899" t="inlineStr">
        <is>
          <t>NULL</t>
        </is>
      </c>
      <c r="F899" t="inlineStr">
        <is>
          <t>NULL</t>
        </is>
      </c>
      <c r="G899" t="inlineStr">
        <is>
          <t>NULL</t>
        </is>
      </c>
      <c r="H899" t="inlineStr">
        <is>
          <t>NULL</t>
        </is>
      </c>
      <c r="I899" t="inlineStr">
        <is>
          <t>NULL</t>
        </is>
      </c>
      <c r="J899" t="inlineStr">
        <is>
          <t>NULL</t>
        </is>
      </c>
      <c r="K899" t="inlineStr">
        <is>
          <t>YES! 	 c_nchar20列源备映射正确，源端为nchar 40位	期望更改为char(n)	实际备端为char 80位</t>
        </is>
      </c>
    </row>
    <row r="900">
      <c r="B900" t="inlineStr">
        <is>
          <t>NULL</t>
        </is>
      </c>
      <c r="C900" t="inlineStr">
        <is>
          <t>NULL</t>
        </is>
      </c>
      <c r="D900" t="inlineStr">
        <is>
          <t>NULL</t>
        </is>
      </c>
      <c r="E900" t="inlineStr">
        <is>
          <t>NULL</t>
        </is>
      </c>
      <c r="F900" t="inlineStr">
        <is>
          <t>NULL</t>
        </is>
      </c>
      <c r="G900" t="inlineStr">
        <is>
          <t>NULL</t>
        </is>
      </c>
      <c r="H900" t="inlineStr">
        <is>
          <t>NULL</t>
        </is>
      </c>
      <c r="I900" t="inlineStr">
        <is>
          <t>NULL</t>
        </is>
      </c>
      <c r="J900" t="inlineStr">
        <is>
          <t>NULL</t>
        </is>
      </c>
      <c r="K900" t="inlineStr">
        <is>
          <t xml:space="preserve"> NO!  	 c_nchar3500列源备映射错误，源端为nchar 7000位	期望更改为varchar(n)	实际备端为text 65535位</t>
        </is>
      </c>
    </row>
    <row r="901">
      <c r="A901" t="inlineStr">
        <is>
          <t>info_varcharmax_dml_single_nopk_urp</t>
        </is>
      </c>
      <c r="K901" t="inlineStr">
        <is>
          <t>[0;34m info_varcharmax_dml_single_nopk_urp [0m源备字段数相同，源端字段：3 	备端字段3</t>
        </is>
      </c>
      <c r="W901" t="inlineStr">
        <is>
          <t>YES 源备无差异</t>
        </is>
      </c>
      <c r="X901">
        <f>A901</f>
        <v/>
      </c>
    </row>
    <row r="902">
      <c r="B902" t="inlineStr">
        <is>
          <t>NULL</t>
        </is>
      </c>
      <c r="C902" t="inlineStr">
        <is>
          <t>NULL</t>
        </is>
      </c>
      <c r="D902" t="inlineStr">
        <is>
          <t>NULL</t>
        </is>
      </c>
      <c r="E902" t="inlineStr">
        <is>
          <t>NULL</t>
        </is>
      </c>
      <c r="F902" t="inlineStr">
        <is>
          <t>NULL</t>
        </is>
      </c>
      <c r="G902" t="inlineStr">
        <is>
          <t>NULL</t>
        </is>
      </c>
      <c r="H902" t="inlineStr">
        <is>
          <t>NULL</t>
        </is>
      </c>
      <c r="I902" t="inlineStr">
        <is>
          <t>NULL</t>
        </is>
      </c>
      <c r="J902" t="inlineStr">
        <is>
          <t>NULL</t>
        </is>
      </c>
      <c r="K902" t="inlineStr">
        <is>
          <t>YES! 	 id列源备映射正确，源端为int None位	期望更改为int	实际备端为int None位</t>
        </is>
      </c>
    </row>
    <row r="903">
      <c r="B903" t="inlineStr">
        <is>
          <t>NULL</t>
        </is>
      </c>
      <c r="C903" t="inlineStr">
        <is>
          <t>NULL</t>
        </is>
      </c>
      <c r="D903" t="inlineStr">
        <is>
          <t>NULL</t>
        </is>
      </c>
      <c r="E903" t="inlineStr">
        <is>
          <t>NULL</t>
        </is>
      </c>
      <c r="F903" t="inlineStr">
        <is>
          <t>NULL</t>
        </is>
      </c>
      <c r="G903" t="inlineStr">
        <is>
          <t>NULL</t>
        </is>
      </c>
      <c r="H903" t="inlineStr">
        <is>
          <t>NULL</t>
        </is>
      </c>
      <c r="I903" t="inlineStr">
        <is>
          <t>NULL</t>
        </is>
      </c>
      <c r="J903" t="inlineStr">
        <is>
          <t>NULL</t>
        </is>
      </c>
      <c r="K903" t="inlineStr">
        <is>
          <t>YES! 	 c_varchar_max列源备映射正确，源端为varchar -1位	期望更改为longtext	实际备端为longtext 4294967295位</t>
        </is>
      </c>
    </row>
    <row r="904">
      <c r="B904" t="inlineStr">
        <is>
          <t>NULL</t>
        </is>
      </c>
      <c r="C904" t="inlineStr">
        <is>
          <t>NULL</t>
        </is>
      </c>
      <c r="D904" t="inlineStr">
        <is>
          <t>NULL</t>
        </is>
      </c>
      <c r="E904" t="inlineStr">
        <is>
          <t>NULL</t>
        </is>
      </c>
      <c r="F904" t="inlineStr">
        <is>
          <t>NULL</t>
        </is>
      </c>
      <c r="G904" t="inlineStr">
        <is>
          <t>NULL</t>
        </is>
      </c>
      <c r="H904" t="inlineStr">
        <is>
          <t>NULL</t>
        </is>
      </c>
      <c r="I904" t="inlineStr">
        <is>
          <t>NULL</t>
        </is>
      </c>
      <c r="J904" t="inlineStr">
        <is>
          <t>NULL</t>
        </is>
      </c>
      <c r="K904" t="inlineStr">
        <is>
          <t>YES! 	 c_nvarchar_max列源备映射正确，源端为nvarchar -1位	期望更改为longtext	实际备端为longtext 4294967295位</t>
        </is>
      </c>
    </row>
    <row r="905">
      <c r="A905" t="inlineStr">
        <is>
          <t>info_datetime2_dml_batch1_pk_irp1</t>
        </is>
      </c>
      <c r="K905" t="inlineStr">
        <is>
          <t>[0;34m info_datetime2_dml_batch1_pk_irp1 [0m源备字段数相同，源端字段：9 	备端字段9</t>
        </is>
      </c>
      <c r="W905" t="inlineStr">
        <is>
          <t>YES 源备无差异</t>
        </is>
      </c>
      <c r="X905">
        <f>A905</f>
        <v/>
      </c>
    </row>
    <row r="906">
      <c r="B906" t="inlineStr">
        <is>
          <t>YES</t>
        </is>
      </c>
      <c r="C906" t="inlineStr">
        <is>
          <t>NULL</t>
        </is>
      </c>
      <c r="D906" t="inlineStr">
        <is>
          <t>NULL</t>
        </is>
      </c>
      <c r="E906" t="inlineStr">
        <is>
          <t>NULL</t>
        </is>
      </c>
      <c r="F906" t="inlineStr">
        <is>
          <t>NULL</t>
        </is>
      </c>
      <c r="G906" t="inlineStr">
        <is>
          <t>NULL</t>
        </is>
      </c>
      <c r="H906" t="inlineStr">
        <is>
          <t>NULL</t>
        </is>
      </c>
      <c r="I906" t="inlineStr">
        <is>
          <t>YES!PK__info_dat__3213E83FC6B7B484</t>
        </is>
      </c>
      <c r="J906" t="inlineStr">
        <is>
          <t>YES! 主键相关索引</t>
        </is>
      </c>
      <c r="K906" t="inlineStr">
        <is>
          <t>YES! 	 id列源备映射正确，源端为int None位	期望更改为int	实际备端为int None位</t>
        </is>
      </c>
    </row>
    <row r="907">
      <c r="B907" t="inlineStr">
        <is>
          <t>NULL</t>
        </is>
      </c>
      <c r="C907" t="inlineStr">
        <is>
          <t>NULL</t>
        </is>
      </c>
      <c r="D907" t="inlineStr">
        <is>
          <t>NULL</t>
        </is>
      </c>
      <c r="E907" t="inlineStr">
        <is>
          <t>NULL</t>
        </is>
      </c>
      <c r="F907" t="inlineStr">
        <is>
          <t>NULL</t>
        </is>
      </c>
      <c r="G907" t="inlineStr">
        <is>
          <t>NULL</t>
        </is>
      </c>
      <c r="H907" t="inlineStr">
        <is>
          <t>NULL</t>
        </is>
      </c>
      <c r="I907" t="inlineStr">
        <is>
          <t>NULL</t>
        </is>
      </c>
      <c r="J907" t="inlineStr">
        <is>
          <t>NULL</t>
        </is>
      </c>
      <c r="K907" t="inlineStr">
        <is>
          <t>no,len不存在</t>
        </is>
      </c>
    </row>
    <row r="908">
      <c r="B908" t="inlineStr">
        <is>
          <t>NULL</t>
        </is>
      </c>
      <c r="C908" t="inlineStr">
        <is>
          <t>NULL</t>
        </is>
      </c>
      <c r="D908" t="inlineStr">
        <is>
          <t>NULL</t>
        </is>
      </c>
      <c r="E908" t="inlineStr">
        <is>
          <t>NULL</t>
        </is>
      </c>
      <c r="F908" t="inlineStr">
        <is>
          <t>NULL</t>
        </is>
      </c>
      <c r="G908" t="inlineStr">
        <is>
          <t>NULL</t>
        </is>
      </c>
      <c r="H908" t="inlineStr">
        <is>
          <t>NULL</t>
        </is>
      </c>
      <c r="I908" t="inlineStr">
        <is>
          <t>NULL</t>
        </is>
      </c>
      <c r="J908" t="inlineStr">
        <is>
          <t>NULL</t>
        </is>
      </c>
      <c r="K908" t="inlineStr">
        <is>
          <t>YES! 	 c_dt2_1列源备映射正确，源端为datetime2 None位	期望更改为datetime(n)	实际备端为datetime None位</t>
        </is>
      </c>
    </row>
    <row r="909">
      <c r="B909" t="inlineStr">
        <is>
          <t>NULL</t>
        </is>
      </c>
      <c r="C909" t="inlineStr">
        <is>
          <t>NULL</t>
        </is>
      </c>
      <c r="D909" t="inlineStr">
        <is>
          <t>NULL</t>
        </is>
      </c>
      <c r="E909" t="inlineStr">
        <is>
          <t>NULL</t>
        </is>
      </c>
      <c r="F909" t="inlineStr">
        <is>
          <t>NULL</t>
        </is>
      </c>
      <c r="G909" t="inlineStr">
        <is>
          <t>NULL</t>
        </is>
      </c>
      <c r="H909" t="inlineStr">
        <is>
          <t>NULL</t>
        </is>
      </c>
      <c r="I909" t="inlineStr">
        <is>
          <t>NULL</t>
        </is>
      </c>
      <c r="J909" t="inlineStr">
        <is>
          <t>NULL</t>
        </is>
      </c>
      <c r="K909" t="inlineStr">
        <is>
          <t>YES! 	 c_dt2_2列源备映射正确，源端为datetime2 None位	期望更改为datetime(n)	实际备端为datetime None位</t>
        </is>
      </c>
    </row>
    <row r="910">
      <c r="B910" t="inlineStr">
        <is>
          <t>NULL</t>
        </is>
      </c>
      <c r="C910" t="inlineStr">
        <is>
          <t>NULL</t>
        </is>
      </c>
      <c r="D910" t="inlineStr">
        <is>
          <t>NULL</t>
        </is>
      </c>
      <c r="E910" t="inlineStr">
        <is>
          <t>NULL</t>
        </is>
      </c>
      <c r="F910" t="inlineStr">
        <is>
          <t>NULL</t>
        </is>
      </c>
      <c r="G910" t="inlineStr">
        <is>
          <t>NULL</t>
        </is>
      </c>
      <c r="H910" t="inlineStr">
        <is>
          <t>NULL</t>
        </is>
      </c>
      <c r="I910" t="inlineStr">
        <is>
          <t>NULL</t>
        </is>
      </c>
      <c r="J910" t="inlineStr">
        <is>
          <t>NULL</t>
        </is>
      </c>
      <c r="K910" t="inlineStr">
        <is>
          <t>YES! 	 c_dt2_3列源备映射正确，源端为datetime2 None位	期望更改为datetime(n)	实际备端为datetime None位</t>
        </is>
      </c>
    </row>
    <row r="911">
      <c r="B911" t="inlineStr">
        <is>
          <t>NULL</t>
        </is>
      </c>
      <c r="C911" t="inlineStr">
        <is>
          <t>NULL</t>
        </is>
      </c>
      <c r="D911" t="inlineStr">
        <is>
          <t>NULL</t>
        </is>
      </c>
      <c r="E911" t="inlineStr">
        <is>
          <t>NULL</t>
        </is>
      </c>
      <c r="F911" t="inlineStr">
        <is>
          <t>NULL</t>
        </is>
      </c>
      <c r="G911" t="inlineStr">
        <is>
          <t>NULL</t>
        </is>
      </c>
      <c r="H911" t="inlineStr">
        <is>
          <t>NULL</t>
        </is>
      </c>
      <c r="I911" t="inlineStr">
        <is>
          <t>NULL</t>
        </is>
      </c>
      <c r="J911" t="inlineStr">
        <is>
          <t>NULL</t>
        </is>
      </c>
      <c r="K911" t="inlineStr">
        <is>
          <t>YES! 	 c_dt2_4列源备映射正确，源端为datetime2 None位	期望更改为datetime(n)	实际备端为datetime None位</t>
        </is>
      </c>
    </row>
    <row r="912">
      <c r="B912" t="inlineStr">
        <is>
          <t>NULL</t>
        </is>
      </c>
      <c r="C912" t="inlineStr">
        <is>
          <t>NULL</t>
        </is>
      </c>
      <c r="D912" t="inlineStr">
        <is>
          <t>NULL</t>
        </is>
      </c>
      <c r="E912" t="inlineStr">
        <is>
          <t>NULL</t>
        </is>
      </c>
      <c r="F912" t="inlineStr">
        <is>
          <t>NULL</t>
        </is>
      </c>
      <c r="G912" t="inlineStr">
        <is>
          <t>NULL</t>
        </is>
      </c>
      <c r="H912" t="inlineStr">
        <is>
          <t>NULL</t>
        </is>
      </c>
      <c r="I912" t="inlineStr">
        <is>
          <t>NULL</t>
        </is>
      </c>
      <c r="J912" t="inlineStr">
        <is>
          <t>NULL</t>
        </is>
      </c>
      <c r="K912" t="inlineStr">
        <is>
          <t>YES! 	 c_dt2_5列源备映射正确，源端为datetime2 None位	期望更改为datetime(n)	实际备端为datetime None位</t>
        </is>
      </c>
    </row>
    <row r="913">
      <c r="B913" t="inlineStr">
        <is>
          <t>NULL</t>
        </is>
      </c>
      <c r="C913" t="inlineStr">
        <is>
          <t>NULL</t>
        </is>
      </c>
      <c r="D913" t="inlineStr">
        <is>
          <t>NULL</t>
        </is>
      </c>
      <c r="E913" t="inlineStr">
        <is>
          <t>NULL</t>
        </is>
      </c>
      <c r="F913" t="inlineStr">
        <is>
          <t>NULL</t>
        </is>
      </c>
      <c r="G913" t="inlineStr">
        <is>
          <t>NULL</t>
        </is>
      </c>
      <c r="H913" t="inlineStr">
        <is>
          <t>NULL</t>
        </is>
      </c>
      <c r="I913" t="inlineStr">
        <is>
          <t>NULL</t>
        </is>
      </c>
      <c r="J913" t="inlineStr">
        <is>
          <t>NULL</t>
        </is>
      </c>
      <c r="K913" t="inlineStr">
        <is>
          <t>YES! 	 c_dt2_6列源备映射正确，源端为datetime2 None位	期望更改为datetime(n)	实际备端为datetime None位</t>
        </is>
      </c>
    </row>
    <row r="914">
      <c r="B914" t="inlineStr">
        <is>
          <t>NULL</t>
        </is>
      </c>
      <c r="C914" t="inlineStr">
        <is>
          <t>NULL</t>
        </is>
      </c>
      <c r="D914" t="inlineStr">
        <is>
          <t>NULL</t>
        </is>
      </c>
      <c r="E914" t="inlineStr">
        <is>
          <t>NULL</t>
        </is>
      </c>
      <c r="F914" t="inlineStr">
        <is>
          <t>NULL</t>
        </is>
      </c>
      <c r="G914" t="inlineStr">
        <is>
          <t>NULL</t>
        </is>
      </c>
      <c r="H914" t="inlineStr">
        <is>
          <t>NULL</t>
        </is>
      </c>
      <c r="I914" t="inlineStr">
        <is>
          <t>NULL</t>
        </is>
      </c>
      <c r="J914" t="inlineStr">
        <is>
          <t>NULL</t>
        </is>
      </c>
      <c r="K914" t="inlineStr">
        <is>
          <t xml:space="preserve"> NO!  	 c_dt2列源备映射错误，源端为datetime2 None位	期望更改为datetime(n)	实际备端为varchar 136位</t>
        </is>
      </c>
    </row>
    <row r="915">
      <c r="A915" t="inlineStr">
        <is>
          <t>info_time_dml_single_pk_urp</t>
        </is>
      </c>
      <c r="K915" t="inlineStr">
        <is>
          <t>[0;34m info_time_dml_single_pk_urp [0m源备字段数相同，源端字段：9 	备端字段9</t>
        </is>
      </c>
      <c r="W915" t="inlineStr">
        <is>
          <t>YES 源备无差异</t>
        </is>
      </c>
      <c r="X915">
        <f>A915</f>
        <v/>
      </c>
    </row>
    <row r="916">
      <c r="B916" t="inlineStr">
        <is>
          <t>YES</t>
        </is>
      </c>
      <c r="C916" t="inlineStr">
        <is>
          <t>NULL</t>
        </is>
      </c>
      <c r="D916" t="inlineStr">
        <is>
          <t>NULL</t>
        </is>
      </c>
      <c r="E916" t="inlineStr">
        <is>
          <t>NULL</t>
        </is>
      </c>
      <c r="F916" t="inlineStr">
        <is>
          <t>NULL</t>
        </is>
      </c>
      <c r="G916" t="inlineStr">
        <is>
          <t>NULL</t>
        </is>
      </c>
      <c r="H916" t="inlineStr">
        <is>
          <t>NULL</t>
        </is>
      </c>
      <c r="I916" t="inlineStr">
        <is>
          <t>YES!PK__info_tim__3213E83F1D372851</t>
        </is>
      </c>
      <c r="J916" t="inlineStr">
        <is>
          <t>YES! 主键相关索引</t>
        </is>
      </c>
      <c r="K916" t="inlineStr">
        <is>
          <t>YES! 	 id列源备映射正确，源端为int None位	期望更改为int	实际备端为int None位</t>
        </is>
      </c>
    </row>
    <row r="917">
      <c r="B917" t="inlineStr">
        <is>
          <t>NULL</t>
        </is>
      </c>
      <c r="C917" t="inlineStr">
        <is>
          <t>NULL</t>
        </is>
      </c>
      <c r="D917" t="inlineStr">
        <is>
          <t>NULL</t>
        </is>
      </c>
      <c r="E917" t="inlineStr">
        <is>
          <t>NULL</t>
        </is>
      </c>
      <c r="F917" t="inlineStr">
        <is>
          <t>NULL</t>
        </is>
      </c>
      <c r="G917" t="inlineStr">
        <is>
          <t>NULL</t>
        </is>
      </c>
      <c r="H917" t="inlineStr">
        <is>
          <t>NULL</t>
        </is>
      </c>
      <c r="I917" t="inlineStr">
        <is>
          <t>NULL</t>
        </is>
      </c>
      <c r="J917" t="inlineStr">
        <is>
          <t>NULL</t>
        </is>
      </c>
      <c r="K917" t="inlineStr">
        <is>
          <t>[0;32m YES! [0m 	 c_time0列源备映射正确，源端为time None位	期望更改为varchar(20)	实际备端为varchar 80位	位数精度不存在，通过长度比较</t>
        </is>
      </c>
    </row>
    <row r="918">
      <c r="B918" t="inlineStr">
        <is>
          <t>NULL</t>
        </is>
      </c>
      <c r="C918" t="inlineStr">
        <is>
          <t>NULL</t>
        </is>
      </c>
      <c r="D918" t="inlineStr">
        <is>
          <t>NULL</t>
        </is>
      </c>
      <c r="E918" t="inlineStr">
        <is>
          <t>NULL</t>
        </is>
      </c>
      <c r="F918" t="inlineStr">
        <is>
          <t>NULL</t>
        </is>
      </c>
      <c r="G918" t="inlineStr">
        <is>
          <t>NULL</t>
        </is>
      </c>
      <c r="H918" t="inlineStr">
        <is>
          <t>NULL</t>
        </is>
      </c>
      <c r="I918" t="inlineStr">
        <is>
          <t>NULL</t>
        </is>
      </c>
      <c r="J918" t="inlineStr">
        <is>
          <t>NULL</t>
        </is>
      </c>
      <c r="K918" t="inlineStr">
        <is>
          <t>[0;32m YES! [0m 	 c_time1列源备映射正确，源端为time None位	期望更改为varchar(20)	实际备端为varchar 80位	位数精度不存在，通过长度比较</t>
        </is>
      </c>
    </row>
    <row r="919">
      <c r="B919" t="inlineStr">
        <is>
          <t>NULL</t>
        </is>
      </c>
      <c r="C919" t="inlineStr">
        <is>
          <t>NULL</t>
        </is>
      </c>
      <c r="D919" t="inlineStr">
        <is>
          <t>NULL</t>
        </is>
      </c>
      <c r="E919" t="inlineStr">
        <is>
          <t>NULL</t>
        </is>
      </c>
      <c r="F919" t="inlineStr">
        <is>
          <t>NULL</t>
        </is>
      </c>
      <c r="G919" t="inlineStr">
        <is>
          <t>NULL</t>
        </is>
      </c>
      <c r="H919" t="inlineStr">
        <is>
          <t>NULL</t>
        </is>
      </c>
      <c r="I919" t="inlineStr">
        <is>
          <t>NULL</t>
        </is>
      </c>
      <c r="J919" t="inlineStr">
        <is>
          <t>NULL</t>
        </is>
      </c>
      <c r="K919" t="inlineStr">
        <is>
          <t>[0;32m YES! [0m 	 c_time2列源备映射正确，源端为time None位	期望更改为varchar(20)	实际备端为varchar 80位	位数精度不存在，通过长度比较</t>
        </is>
      </c>
    </row>
    <row r="920">
      <c r="B920" t="inlineStr">
        <is>
          <t>NULL</t>
        </is>
      </c>
      <c r="C920" t="inlineStr">
        <is>
          <t>NULL</t>
        </is>
      </c>
      <c r="D920" t="inlineStr">
        <is>
          <t>NULL</t>
        </is>
      </c>
      <c r="E920" t="inlineStr">
        <is>
          <t>NULL</t>
        </is>
      </c>
      <c r="F920" t="inlineStr">
        <is>
          <t>NULL</t>
        </is>
      </c>
      <c r="G920" t="inlineStr">
        <is>
          <t>NULL</t>
        </is>
      </c>
      <c r="H920" t="inlineStr">
        <is>
          <t>NULL</t>
        </is>
      </c>
      <c r="I920" t="inlineStr">
        <is>
          <t>NULL</t>
        </is>
      </c>
      <c r="J920" t="inlineStr">
        <is>
          <t>NULL</t>
        </is>
      </c>
      <c r="K920" t="inlineStr">
        <is>
          <t>[0;32m YES! [0m 	 c_time3列源备映射正确，源端为time None位	期望更改为varchar(20)	实际备端为varchar 80位	位数精度不存在，通过长度比较</t>
        </is>
      </c>
    </row>
    <row r="921">
      <c r="B921" t="inlineStr">
        <is>
          <t>NULL</t>
        </is>
      </c>
      <c r="C921" t="inlineStr">
        <is>
          <t>NULL</t>
        </is>
      </c>
      <c r="D921" t="inlineStr">
        <is>
          <t>NULL</t>
        </is>
      </c>
      <c r="E921" t="inlineStr">
        <is>
          <t>NULL</t>
        </is>
      </c>
      <c r="F921" t="inlineStr">
        <is>
          <t>NULL</t>
        </is>
      </c>
      <c r="G921" t="inlineStr">
        <is>
          <t>NULL</t>
        </is>
      </c>
      <c r="H921" t="inlineStr">
        <is>
          <t>NULL</t>
        </is>
      </c>
      <c r="I921" t="inlineStr">
        <is>
          <t>NULL</t>
        </is>
      </c>
      <c r="J921" t="inlineStr">
        <is>
          <t>NULL</t>
        </is>
      </c>
      <c r="K921" t="inlineStr">
        <is>
          <t>[0;32m YES! [0m 	 c_time4列源备映射正确，源端为time None位	期望更改为varchar(20)	实际备端为varchar 80位	位数精度不存在，通过长度比较</t>
        </is>
      </c>
    </row>
    <row r="922">
      <c r="B922" t="inlineStr">
        <is>
          <t>NULL</t>
        </is>
      </c>
      <c r="C922" t="inlineStr">
        <is>
          <t>NULL</t>
        </is>
      </c>
      <c r="D922" t="inlineStr">
        <is>
          <t>NULL</t>
        </is>
      </c>
      <c r="E922" t="inlineStr">
        <is>
          <t>NULL</t>
        </is>
      </c>
      <c r="F922" t="inlineStr">
        <is>
          <t>NULL</t>
        </is>
      </c>
      <c r="G922" t="inlineStr">
        <is>
          <t>NULL</t>
        </is>
      </c>
      <c r="H922" t="inlineStr">
        <is>
          <t>NULL</t>
        </is>
      </c>
      <c r="I922" t="inlineStr">
        <is>
          <t>NULL</t>
        </is>
      </c>
      <c r="J922" t="inlineStr">
        <is>
          <t>NULL</t>
        </is>
      </c>
      <c r="K922" t="inlineStr">
        <is>
          <t>[0;32m YES! [0m 	 c_time5列源备映射正确，源端为time None位	期望更改为varchar(20)	实际备端为varchar 80位	位数精度不存在，通过长度比较</t>
        </is>
      </c>
    </row>
    <row r="923">
      <c r="B923" t="inlineStr">
        <is>
          <t>NULL</t>
        </is>
      </c>
      <c r="C923" t="inlineStr">
        <is>
          <t>NULL</t>
        </is>
      </c>
      <c r="D923" t="inlineStr">
        <is>
          <t>NULL</t>
        </is>
      </c>
      <c r="E923" t="inlineStr">
        <is>
          <t>NULL</t>
        </is>
      </c>
      <c r="F923" t="inlineStr">
        <is>
          <t>NULL</t>
        </is>
      </c>
      <c r="G923" t="inlineStr">
        <is>
          <t>NULL</t>
        </is>
      </c>
      <c r="H923" t="inlineStr">
        <is>
          <t>NULL</t>
        </is>
      </c>
      <c r="I923" t="inlineStr">
        <is>
          <t>NULL</t>
        </is>
      </c>
      <c r="J923" t="inlineStr">
        <is>
          <t>NULL</t>
        </is>
      </c>
      <c r="K923" t="inlineStr">
        <is>
          <t>[0;32m YES! [0m 	 c_time6列源备映射正确，源端为time None位	期望更改为varchar(20)	实际备端为varchar 80位	位数精度不存在，通过长度比较</t>
        </is>
      </c>
    </row>
    <row r="924">
      <c r="B924" t="inlineStr">
        <is>
          <t>NULL</t>
        </is>
      </c>
      <c r="C924" t="inlineStr">
        <is>
          <t>NULL</t>
        </is>
      </c>
      <c r="D924" t="inlineStr">
        <is>
          <t>NULL</t>
        </is>
      </c>
      <c r="E924" t="inlineStr">
        <is>
          <t>NULL</t>
        </is>
      </c>
      <c r="F924" t="inlineStr">
        <is>
          <t>NULL</t>
        </is>
      </c>
      <c r="G924" t="inlineStr">
        <is>
          <t>NULL</t>
        </is>
      </c>
      <c r="H924" t="inlineStr">
        <is>
          <t>NULL</t>
        </is>
      </c>
      <c r="I924" t="inlineStr">
        <is>
          <t>NULL</t>
        </is>
      </c>
      <c r="J924" t="inlineStr">
        <is>
          <t>NULL</t>
        </is>
      </c>
      <c r="K924" t="inlineStr">
        <is>
          <t>[0;32m YES! [0m 	 c_time列源备映射正确，源端为time None位	期望更改为varchar(20)	实际备端为varchar 80位	位数精度不存在，通过长度比较</t>
        </is>
      </c>
    </row>
    <row r="925">
      <c r="A925" t="inlineStr">
        <is>
          <t>info_nchar_dml_batch2_pk_urp2</t>
        </is>
      </c>
      <c r="K925" t="inlineStr">
        <is>
          <t>[0;34m info_nchar_dml_batch2_pk_urp2 [0m源备字段数相同，源端字段：4 	备端字段4</t>
        </is>
      </c>
      <c r="W925" s="15">
        <f>HYPERLINK("#2026052610mysql0!BO2","NO 源备存在差异，共4个")</f>
        <v/>
      </c>
      <c r="X925">
        <f>A925</f>
        <v/>
      </c>
    </row>
    <row r="926">
      <c r="B926" t="inlineStr">
        <is>
          <t>YES</t>
        </is>
      </c>
      <c r="C926" t="inlineStr">
        <is>
          <t>NULL</t>
        </is>
      </c>
      <c r="D926" t="inlineStr">
        <is>
          <t>NULL</t>
        </is>
      </c>
      <c r="E926" t="inlineStr">
        <is>
          <t>NULL</t>
        </is>
      </c>
      <c r="F926" t="inlineStr">
        <is>
          <t>NULL</t>
        </is>
      </c>
      <c r="G926" t="inlineStr">
        <is>
          <t>NULL</t>
        </is>
      </c>
      <c r="H926" t="inlineStr">
        <is>
          <t>NULL</t>
        </is>
      </c>
      <c r="I926" t="inlineStr">
        <is>
          <t>YES!PK__info_nch__3213E83F61A8127B</t>
        </is>
      </c>
      <c r="J926" t="inlineStr">
        <is>
          <t>YES! 主键相关索引</t>
        </is>
      </c>
      <c r="K926" t="inlineStr">
        <is>
          <t>YES! 	 id列源备映射正确，源端为int None位	期望更改为int	实际备端为int None位</t>
        </is>
      </c>
    </row>
    <row r="927">
      <c r="B927" t="inlineStr">
        <is>
          <t>NULL</t>
        </is>
      </c>
      <c r="C927" t="inlineStr">
        <is>
          <t>NULL</t>
        </is>
      </c>
      <c r="D927" t="inlineStr">
        <is>
          <t>NULL</t>
        </is>
      </c>
      <c r="E927" t="inlineStr">
        <is>
          <t>NULL</t>
        </is>
      </c>
      <c r="F927" t="inlineStr">
        <is>
          <t>NULL</t>
        </is>
      </c>
      <c r="G927" t="inlineStr">
        <is>
          <t>NULL</t>
        </is>
      </c>
      <c r="H927" t="inlineStr">
        <is>
          <t>NULL</t>
        </is>
      </c>
      <c r="I927" t="inlineStr">
        <is>
          <t>NULL</t>
        </is>
      </c>
      <c r="J927" t="inlineStr">
        <is>
          <t>NULL</t>
        </is>
      </c>
      <c r="K927" t="inlineStr">
        <is>
          <t>YES! 	 c_nchar列源备映射正确，源端为nchar 2位	期望更改为char(n)	实际备端为char 4位</t>
        </is>
      </c>
    </row>
    <row r="928">
      <c r="B928" t="inlineStr">
        <is>
          <t>NULL</t>
        </is>
      </c>
      <c r="C928" t="inlineStr">
        <is>
          <t>NULL</t>
        </is>
      </c>
      <c r="D928" t="inlineStr">
        <is>
          <t>NULL</t>
        </is>
      </c>
      <c r="E928" t="inlineStr">
        <is>
          <t>NULL</t>
        </is>
      </c>
      <c r="F928" t="inlineStr">
        <is>
          <t>NULL</t>
        </is>
      </c>
      <c r="G928" t="inlineStr">
        <is>
          <t>NULL</t>
        </is>
      </c>
      <c r="H928" t="inlineStr">
        <is>
          <t>NULL</t>
        </is>
      </c>
      <c r="I928" t="inlineStr">
        <is>
          <t>NULL</t>
        </is>
      </c>
      <c r="J928" t="inlineStr">
        <is>
          <t>NULL</t>
        </is>
      </c>
      <c r="K928" t="inlineStr">
        <is>
          <t>YES! 	 c_nchar20列源备映射正确，源端为nchar 40位	期望更改为char(n)	实际备端为char 80位</t>
        </is>
      </c>
    </row>
    <row r="929">
      <c r="B929" t="inlineStr">
        <is>
          <t>NULL</t>
        </is>
      </c>
      <c r="C929" t="inlineStr">
        <is>
          <t>NULL</t>
        </is>
      </c>
      <c r="D929" t="inlineStr">
        <is>
          <t>NULL</t>
        </is>
      </c>
      <c r="E929" t="inlineStr">
        <is>
          <t>NULL</t>
        </is>
      </c>
      <c r="F929" t="inlineStr">
        <is>
          <t>NULL</t>
        </is>
      </c>
      <c r="G929" t="inlineStr">
        <is>
          <t>NULL</t>
        </is>
      </c>
      <c r="H929" t="inlineStr">
        <is>
          <t>NULL</t>
        </is>
      </c>
      <c r="I929" t="inlineStr">
        <is>
          <t>NULL</t>
        </is>
      </c>
      <c r="J929" t="inlineStr">
        <is>
          <t>NULL</t>
        </is>
      </c>
      <c r="K929" t="inlineStr">
        <is>
          <t xml:space="preserve"> NO!  	 c_nchar3500列源备映射错误，源端为nchar 7000位	期望更改为varchar(n)	实际备端为text 65535位</t>
        </is>
      </c>
    </row>
    <row r="930">
      <c r="A930" t="inlineStr">
        <is>
          <t>info_varcharmax_dml_single_nopk_drp</t>
        </is>
      </c>
      <c r="K930" t="inlineStr">
        <is>
          <t>[0;34m info_varcharmax_dml_single_nopk_drp [0m源备字段数相同，源端字段：3 	备端字段3</t>
        </is>
      </c>
      <c r="W930" t="inlineStr">
        <is>
          <t>YES 源备无差异</t>
        </is>
      </c>
      <c r="X930">
        <f>A930</f>
        <v/>
      </c>
    </row>
    <row r="931">
      <c r="B931" t="inlineStr">
        <is>
          <t>NULL</t>
        </is>
      </c>
      <c r="C931" t="inlineStr">
        <is>
          <t>NULL</t>
        </is>
      </c>
      <c r="D931" t="inlineStr">
        <is>
          <t>NULL</t>
        </is>
      </c>
      <c r="E931" t="inlineStr">
        <is>
          <t>NULL</t>
        </is>
      </c>
      <c r="F931" t="inlineStr">
        <is>
          <t>NULL</t>
        </is>
      </c>
      <c r="G931" t="inlineStr">
        <is>
          <t>NULL</t>
        </is>
      </c>
      <c r="H931" t="inlineStr">
        <is>
          <t>NULL</t>
        </is>
      </c>
      <c r="I931" t="inlineStr">
        <is>
          <t>NULL</t>
        </is>
      </c>
      <c r="J931" t="inlineStr">
        <is>
          <t>NULL</t>
        </is>
      </c>
      <c r="K931" t="inlineStr">
        <is>
          <t>YES! 	 id列源备映射正确，源端为int None位	期望更改为int	实际备端为int None位</t>
        </is>
      </c>
    </row>
    <row r="932">
      <c r="B932" t="inlineStr">
        <is>
          <t>NULL</t>
        </is>
      </c>
      <c r="C932" t="inlineStr">
        <is>
          <t>NULL</t>
        </is>
      </c>
      <c r="D932" t="inlineStr">
        <is>
          <t>NULL</t>
        </is>
      </c>
      <c r="E932" t="inlineStr">
        <is>
          <t>NULL</t>
        </is>
      </c>
      <c r="F932" t="inlineStr">
        <is>
          <t>NULL</t>
        </is>
      </c>
      <c r="G932" t="inlineStr">
        <is>
          <t>NULL</t>
        </is>
      </c>
      <c r="H932" t="inlineStr">
        <is>
          <t>NULL</t>
        </is>
      </c>
      <c r="I932" t="inlineStr">
        <is>
          <t>NULL</t>
        </is>
      </c>
      <c r="J932" t="inlineStr">
        <is>
          <t>NULL</t>
        </is>
      </c>
      <c r="K932" t="inlineStr">
        <is>
          <t>YES! 	 c_varchar_max列源备映射正确，源端为varchar -1位	期望更改为longtext	实际备端为longtext 4294967295位</t>
        </is>
      </c>
    </row>
    <row r="933">
      <c r="B933" t="inlineStr">
        <is>
          <t>NULL</t>
        </is>
      </c>
      <c r="C933" t="inlineStr">
        <is>
          <t>NULL</t>
        </is>
      </c>
      <c r="D933" t="inlineStr">
        <is>
          <t>NULL</t>
        </is>
      </c>
      <c r="E933" t="inlineStr">
        <is>
          <t>NULL</t>
        </is>
      </c>
      <c r="F933" t="inlineStr">
        <is>
          <t>NULL</t>
        </is>
      </c>
      <c r="G933" t="inlineStr">
        <is>
          <t>NULL</t>
        </is>
      </c>
      <c r="H933" t="inlineStr">
        <is>
          <t>NULL</t>
        </is>
      </c>
      <c r="I933" t="inlineStr">
        <is>
          <t>NULL</t>
        </is>
      </c>
      <c r="J933" t="inlineStr">
        <is>
          <t>NULL</t>
        </is>
      </c>
      <c r="K933" t="inlineStr">
        <is>
          <t>YES! 	 c_nvarchar_max列源备映射正确，源端为nvarchar -1位	期望更改为longtext	实际备端为longtext 4294967295位</t>
        </is>
      </c>
    </row>
    <row r="934">
      <c r="A934" t="inlineStr">
        <is>
          <t>info_datetime2_dml_batch1_pk_irp2</t>
        </is>
      </c>
      <c r="K934" t="inlineStr">
        <is>
          <t>[0;34m info_datetime2_dml_batch1_pk_irp2 [0m源备字段数相同，源端字段：9 	备端字段9</t>
        </is>
      </c>
      <c r="W934" t="inlineStr">
        <is>
          <t>YES 源备无差异</t>
        </is>
      </c>
      <c r="X934">
        <f>A934</f>
        <v/>
      </c>
    </row>
    <row r="935">
      <c r="B935" t="inlineStr">
        <is>
          <t>YES</t>
        </is>
      </c>
      <c r="C935" t="inlineStr">
        <is>
          <t>NULL</t>
        </is>
      </c>
      <c r="D935" t="inlineStr">
        <is>
          <t>NULL</t>
        </is>
      </c>
      <c r="E935" t="inlineStr">
        <is>
          <t>NULL</t>
        </is>
      </c>
      <c r="F935" t="inlineStr">
        <is>
          <t>NULL</t>
        </is>
      </c>
      <c r="G935" t="inlineStr">
        <is>
          <t>NULL</t>
        </is>
      </c>
      <c r="H935" t="inlineStr">
        <is>
          <t>NULL</t>
        </is>
      </c>
      <c r="I935" t="inlineStr">
        <is>
          <t>YES!PK__info_dat__3213E83F477FF471</t>
        </is>
      </c>
      <c r="J935" t="inlineStr">
        <is>
          <t>YES! 主键相关索引</t>
        </is>
      </c>
      <c r="K935" t="inlineStr">
        <is>
          <t>YES! 	 id列源备映射正确，源端为int None位	期望更改为int	实际备端为int None位</t>
        </is>
      </c>
    </row>
    <row r="936">
      <c r="B936" t="inlineStr">
        <is>
          <t>NULL</t>
        </is>
      </c>
      <c r="C936" t="inlineStr">
        <is>
          <t>NULL</t>
        </is>
      </c>
      <c r="D936" t="inlineStr">
        <is>
          <t>NULL</t>
        </is>
      </c>
      <c r="E936" t="inlineStr">
        <is>
          <t>NULL</t>
        </is>
      </c>
      <c r="F936" t="inlineStr">
        <is>
          <t>NULL</t>
        </is>
      </c>
      <c r="G936" t="inlineStr">
        <is>
          <t>NULL</t>
        </is>
      </c>
      <c r="H936" t="inlineStr">
        <is>
          <t>NULL</t>
        </is>
      </c>
      <c r="I936" t="inlineStr">
        <is>
          <t>NULL</t>
        </is>
      </c>
      <c r="J936" t="inlineStr">
        <is>
          <t>NULL</t>
        </is>
      </c>
      <c r="K936" t="inlineStr">
        <is>
          <t>no,len不存在</t>
        </is>
      </c>
    </row>
    <row r="937">
      <c r="B937" t="inlineStr">
        <is>
          <t>NULL</t>
        </is>
      </c>
      <c r="C937" t="inlineStr">
        <is>
          <t>NULL</t>
        </is>
      </c>
      <c r="D937" t="inlineStr">
        <is>
          <t>NULL</t>
        </is>
      </c>
      <c r="E937" t="inlineStr">
        <is>
          <t>NULL</t>
        </is>
      </c>
      <c r="F937" t="inlineStr">
        <is>
          <t>NULL</t>
        </is>
      </c>
      <c r="G937" t="inlineStr">
        <is>
          <t>NULL</t>
        </is>
      </c>
      <c r="H937" t="inlineStr">
        <is>
          <t>NULL</t>
        </is>
      </c>
      <c r="I937" t="inlineStr">
        <is>
          <t>NULL</t>
        </is>
      </c>
      <c r="J937" t="inlineStr">
        <is>
          <t>NULL</t>
        </is>
      </c>
      <c r="K937" t="inlineStr">
        <is>
          <t>YES! 	 c_dt2_1列源备映射正确，源端为datetime2 None位	期望更改为datetime(n)	实际备端为datetime None位</t>
        </is>
      </c>
    </row>
    <row r="938">
      <c r="B938" t="inlineStr">
        <is>
          <t>NULL</t>
        </is>
      </c>
      <c r="C938" t="inlineStr">
        <is>
          <t>NULL</t>
        </is>
      </c>
      <c r="D938" t="inlineStr">
        <is>
          <t>NULL</t>
        </is>
      </c>
      <c r="E938" t="inlineStr">
        <is>
          <t>NULL</t>
        </is>
      </c>
      <c r="F938" t="inlineStr">
        <is>
          <t>NULL</t>
        </is>
      </c>
      <c r="G938" t="inlineStr">
        <is>
          <t>NULL</t>
        </is>
      </c>
      <c r="H938" t="inlineStr">
        <is>
          <t>NULL</t>
        </is>
      </c>
      <c r="I938" t="inlineStr">
        <is>
          <t>NULL</t>
        </is>
      </c>
      <c r="J938" t="inlineStr">
        <is>
          <t>NULL</t>
        </is>
      </c>
      <c r="K938" t="inlineStr">
        <is>
          <t>YES! 	 c_dt2_2列源备映射正确，源端为datetime2 None位	期望更改为datetime(n)	实际备端为datetime None位</t>
        </is>
      </c>
    </row>
    <row r="939">
      <c r="B939" t="inlineStr">
        <is>
          <t>NULL</t>
        </is>
      </c>
      <c r="C939" t="inlineStr">
        <is>
          <t>NULL</t>
        </is>
      </c>
      <c r="D939" t="inlineStr">
        <is>
          <t>NULL</t>
        </is>
      </c>
      <c r="E939" t="inlineStr">
        <is>
          <t>NULL</t>
        </is>
      </c>
      <c r="F939" t="inlineStr">
        <is>
          <t>NULL</t>
        </is>
      </c>
      <c r="G939" t="inlineStr">
        <is>
          <t>NULL</t>
        </is>
      </c>
      <c r="H939" t="inlineStr">
        <is>
          <t>NULL</t>
        </is>
      </c>
      <c r="I939" t="inlineStr">
        <is>
          <t>NULL</t>
        </is>
      </c>
      <c r="J939" t="inlineStr">
        <is>
          <t>NULL</t>
        </is>
      </c>
      <c r="K939" t="inlineStr">
        <is>
          <t>YES! 	 c_dt2_3列源备映射正确，源端为datetime2 None位	期望更改为datetime(n)	实际备端为datetime None位</t>
        </is>
      </c>
    </row>
    <row r="940">
      <c r="B940" t="inlineStr">
        <is>
          <t>NULL</t>
        </is>
      </c>
      <c r="C940" t="inlineStr">
        <is>
          <t>NULL</t>
        </is>
      </c>
      <c r="D940" t="inlineStr">
        <is>
          <t>NULL</t>
        </is>
      </c>
      <c r="E940" t="inlineStr">
        <is>
          <t>NULL</t>
        </is>
      </c>
      <c r="F940" t="inlineStr">
        <is>
          <t>NULL</t>
        </is>
      </c>
      <c r="G940" t="inlineStr">
        <is>
          <t>NULL</t>
        </is>
      </c>
      <c r="H940" t="inlineStr">
        <is>
          <t>NULL</t>
        </is>
      </c>
      <c r="I940" t="inlineStr">
        <is>
          <t>NULL</t>
        </is>
      </c>
      <c r="J940" t="inlineStr">
        <is>
          <t>NULL</t>
        </is>
      </c>
      <c r="K940" t="inlineStr">
        <is>
          <t>YES! 	 c_dt2_4列源备映射正确，源端为datetime2 None位	期望更改为datetime(n)	实际备端为datetime None位</t>
        </is>
      </c>
    </row>
    <row r="941">
      <c r="B941" t="inlineStr">
        <is>
          <t>NULL</t>
        </is>
      </c>
      <c r="C941" t="inlineStr">
        <is>
          <t>NULL</t>
        </is>
      </c>
      <c r="D941" t="inlineStr">
        <is>
          <t>NULL</t>
        </is>
      </c>
      <c r="E941" t="inlineStr">
        <is>
          <t>NULL</t>
        </is>
      </c>
      <c r="F941" t="inlineStr">
        <is>
          <t>NULL</t>
        </is>
      </c>
      <c r="G941" t="inlineStr">
        <is>
          <t>NULL</t>
        </is>
      </c>
      <c r="H941" t="inlineStr">
        <is>
          <t>NULL</t>
        </is>
      </c>
      <c r="I941" t="inlineStr">
        <is>
          <t>NULL</t>
        </is>
      </c>
      <c r="J941" t="inlineStr">
        <is>
          <t>NULL</t>
        </is>
      </c>
      <c r="K941" t="inlineStr">
        <is>
          <t>YES! 	 c_dt2_5列源备映射正确，源端为datetime2 None位	期望更改为datetime(n)	实际备端为datetime None位</t>
        </is>
      </c>
    </row>
    <row r="942">
      <c r="B942" t="inlineStr">
        <is>
          <t>NULL</t>
        </is>
      </c>
      <c r="C942" t="inlineStr">
        <is>
          <t>NULL</t>
        </is>
      </c>
      <c r="D942" t="inlineStr">
        <is>
          <t>NULL</t>
        </is>
      </c>
      <c r="E942" t="inlineStr">
        <is>
          <t>NULL</t>
        </is>
      </c>
      <c r="F942" t="inlineStr">
        <is>
          <t>NULL</t>
        </is>
      </c>
      <c r="G942" t="inlineStr">
        <is>
          <t>NULL</t>
        </is>
      </c>
      <c r="H942" t="inlineStr">
        <is>
          <t>NULL</t>
        </is>
      </c>
      <c r="I942" t="inlineStr">
        <is>
          <t>NULL</t>
        </is>
      </c>
      <c r="J942" t="inlineStr">
        <is>
          <t>NULL</t>
        </is>
      </c>
      <c r="K942" t="inlineStr">
        <is>
          <t>YES! 	 c_dt2_6列源备映射正确，源端为datetime2 None位	期望更改为datetime(n)	实际备端为datetime None位</t>
        </is>
      </c>
    </row>
    <row r="943">
      <c r="B943" t="inlineStr">
        <is>
          <t>NULL</t>
        </is>
      </c>
      <c r="C943" t="inlineStr">
        <is>
          <t>NULL</t>
        </is>
      </c>
      <c r="D943" t="inlineStr">
        <is>
          <t>NULL</t>
        </is>
      </c>
      <c r="E943" t="inlineStr">
        <is>
          <t>NULL</t>
        </is>
      </c>
      <c r="F943" t="inlineStr">
        <is>
          <t>NULL</t>
        </is>
      </c>
      <c r="G943" t="inlineStr">
        <is>
          <t>NULL</t>
        </is>
      </c>
      <c r="H943" t="inlineStr">
        <is>
          <t>NULL</t>
        </is>
      </c>
      <c r="I943" t="inlineStr">
        <is>
          <t>NULL</t>
        </is>
      </c>
      <c r="J943" t="inlineStr">
        <is>
          <t>NULL</t>
        </is>
      </c>
      <c r="K943" t="inlineStr">
        <is>
          <t xml:space="preserve"> NO!  	 c_dt2列源备映射错误，源端为datetime2 None位	期望更改为datetime(n)	实际备端为varchar 136位</t>
        </is>
      </c>
    </row>
    <row r="944">
      <c r="A944" t="inlineStr">
        <is>
          <t>info_nchar_dml_batch1_pk_drp1</t>
        </is>
      </c>
      <c r="K944" t="inlineStr">
        <is>
          <t>[0;34m info_nchar_dml_batch1_pk_drp1 [0m源备字段数相同，源端字段：4 	备端字段4</t>
        </is>
      </c>
      <c r="W944" t="inlineStr">
        <is>
          <t>YES 源备无差异</t>
        </is>
      </c>
      <c r="X944">
        <f>A944</f>
        <v/>
      </c>
    </row>
    <row r="945">
      <c r="B945" t="inlineStr">
        <is>
          <t>YES</t>
        </is>
      </c>
      <c r="C945" t="inlineStr">
        <is>
          <t>NULL</t>
        </is>
      </c>
      <c r="D945" t="inlineStr">
        <is>
          <t>NULL</t>
        </is>
      </c>
      <c r="E945" t="inlineStr">
        <is>
          <t>NULL</t>
        </is>
      </c>
      <c r="F945" t="inlineStr">
        <is>
          <t>NULL</t>
        </is>
      </c>
      <c r="G945" t="inlineStr">
        <is>
          <t>NULL</t>
        </is>
      </c>
      <c r="H945" t="inlineStr">
        <is>
          <t>NULL</t>
        </is>
      </c>
      <c r="I945" t="inlineStr">
        <is>
          <t>YES!PK__info_nch__3213E83F969B1219</t>
        </is>
      </c>
      <c r="J945" t="inlineStr">
        <is>
          <t>YES! 主键相关索引</t>
        </is>
      </c>
      <c r="K945" t="inlineStr">
        <is>
          <t>YES! 	 id列源备映射正确，源端为int None位	期望更改为int	实际备端为int None位</t>
        </is>
      </c>
    </row>
    <row r="946">
      <c r="B946" t="inlineStr">
        <is>
          <t>NULL</t>
        </is>
      </c>
      <c r="C946" t="inlineStr">
        <is>
          <t>NULL</t>
        </is>
      </c>
      <c r="D946" t="inlineStr">
        <is>
          <t>NULL</t>
        </is>
      </c>
      <c r="E946" t="inlineStr">
        <is>
          <t>NULL</t>
        </is>
      </c>
      <c r="F946" t="inlineStr">
        <is>
          <t>NULL</t>
        </is>
      </c>
      <c r="G946" t="inlineStr">
        <is>
          <t>NULL</t>
        </is>
      </c>
      <c r="H946" t="inlineStr">
        <is>
          <t>NULL</t>
        </is>
      </c>
      <c r="I946" t="inlineStr">
        <is>
          <t>NULL</t>
        </is>
      </c>
      <c r="J946" t="inlineStr">
        <is>
          <t>NULL</t>
        </is>
      </c>
      <c r="K946" t="inlineStr">
        <is>
          <t>YES! 	 c_nchar列源备映射正确，源端为nchar 2位	期望更改为char(n)	实际备端为char 4位</t>
        </is>
      </c>
    </row>
    <row r="947">
      <c r="B947" t="inlineStr">
        <is>
          <t>NULL</t>
        </is>
      </c>
      <c r="C947" t="inlineStr">
        <is>
          <t>NULL</t>
        </is>
      </c>
      <c r="D947" t="inlineStr">
        <is>
          <t>NULL</t>
        </is>
      </c>
      <c r="E947" t="inlineStr">
        <is>
          <t>NULL</t>
        </is>
      </c>
      <c r="F947" t="inlineStr">
        <is>
          <t>NULL</t>
        </is>
      </c>
      <c r="G947" t="inlineStr">
        <is>
          <t>NULL</t>
        </is>
      </c>
      <c r="H947" t="inlineStr">
        <is>
          <t>NULL</t>
        </is>
      </c>
      <c r="I947" t="inlineStr">
        <is>
          <t>NULL</t>
        </is>
      </c>
      <c r="J947" t="inlineStr">
        <is>
          <t>NULL</t>
        </is>
      </c>
      <c r="K947" t="inlineStr">
        <is>
          <t>YES! 	 c_nchar20列源备映射正确，源端为nchar 40位	期望更改为char(n)	实际备端为char 80位</t>
        </is>
      </c>
    </row>
    <row r="948">
      <c r="B948" t="inlineStr">
        <is>
          <t>NULL</t>
        </is>
      </c>
      <c r="C948" t="inlineStr">
        <is>
          <t>NULL</t>
        </is>
      </c>
      <c r="D948" t="inlineStr">
        <is>
          <t>NULL</t>
        </is>
      </c>
      <c r="E948" t="inlineStr">
        <is>
          <t>NULL</t>
        </is>
      </c>
      <c r="F948" t="inlineStr">
        <is>
          <t>NULL</t>
        </is>
      </c>
      <c r="G948" t="inlineStr">
        <is>
          <t>NULL</t>
        </is>
      </c>
      <c r="H948" t="inlineStr">
        <is>
          <t>NULL</t>
        </is>
      </c>
      <c r="I948" t="inlineStr">
        <is>
          <t>NULL</t>
        </is>
      </c>
      <c r="J948" t="inlineStr">
        <is>
          <t>NULL</t>
        </is>
      </c>
      <c r="K948" t="inlineStr">
        <is>
          <t xml:space="preserve"> NO!  	 c_nchar3500列源备映射错误，源端为nchar 7000位	期望更改为varchar(n)	实际备端为text 65535位</t>
        </is>
      </c>
    </row>
    <row r="949">
      <c r="K949" t="inlineStr">
        <is>
          <t>~ 空表</t>
        </is>
      </c>
    </row>
    <row r="950">
      <c r="A950" t="inlineStr">
        <is>
          <t>info_time_dml_single_pk_drp</t>
        </is>
      </c>
      <c r="K950" t="inlineStr">
        <is>
          <t>[0;34m info_time_dml_single_pk_drp [0m源备字段数相同，源端字段：9 	备端字段9</t>
        </is>
      </c>
      <c r="W950" t="inlineStr">
        <is>
          <t>YES 源备无差异</t>
        </is>
      </c>
      <c r="X950">
        <f>A950</f>
        <v/>
      </c>
    </row>
    <row r="951">
      <c r="B951" t="inlineStr">
        <is>
          <t>YES</t>
        </is>
      </c>
      <c r="C951" t="inlineStr">
        <is>
          <t>NULL</t>
        </is>
      </c>
      <c r="D951" t="inlineStr">
        <is>
          <t>NULL</t>
        </is>
      </c>
      <c r="E951" t="inlineStr">
        <is>
          <t>NULL</t>
        </is>
      </c>
      <c r="F951" t="inlineStr">
        <is>
          <t>NULL</t>
        </is>
      </c>
      <c r="G951" t="inlineStr">
        <is>
          <t>NULL</t>
        </is>
      </c>
      <c r="H951" t="inlineStr">
        <is>
          <t>NULL</t>
        </is>
      </c>
      <c r="I951" t="inlineStr">
        <is>
          <t>YES!PK__info_tim__3213E83FC101F4AB</t>
        </is>
      </c>
      <c r="J951" t="inlineStr">
        <is>
          <t>YES! 主键相关索引</t>
        </is>
      </c>
      <c r="K951" t="inlineStr">
        <is>
          <t>YES! 	 id列源备映射正确，源端为int None位	期望更改为int	实际备端为int None位</t>
        </is>
      </c>
    </row>
    <row r="952">
      <c r="B952" t="inlineStr">
        <is>
          <t>NULL</t>
        </is>
      </c>
      <c r="C952" t="inlineStr">
        <is>
          <t>NULL</t>
        </is>
      </c>
      <c r="D952" t="inlineStr">
        <is>
          <t>NULL</t>
        </is>
      </c>
      <c r="E952" t="inlineStr">
        <is>
          <t>NULL</t>
        </is>
      </c>
      <c r="F952" t="inlineStr">
        <is>
          <t>NULL</t>
        </is>
      </c>
      <c r="G952" t="inlineStr">
        <is>
          <t>NULL</t>
        </is>
      </c>
      <c r="H952" t="inlineStr">
        <is>
          <t>NULL</t>
        </is>
      </c>
      <c r="I952" t="inlineStr">
        <is>
          <t>NULL</t>
        </is>
      </c>
      <c r="J952" t="inlineStr">
        <is>
          <t>NULL</t>
        </is>
      </c>
      <c r="K952" t="inlineStr">
        <is>
          <t>[0;32m YES! [0m 	 c_time0列源备映射正确，源端为time None位	期望更改为varchar(20)	实际备端为varchar 80位	位数精度不存在，通过长度比较</t>
        </is>
      </c>
    </row>
    <row r="953">
      <c r="B953" t="inlineStr">
        <is>
          <t>NULL</t>
        </is>
      </c>
      <c r="C953" t="inlineStr">
        <is>
          <t>NULL</t>
        </is>
      </c>
      <c r="D953" t="inlineStr">
        <is>
          <t>NULL</t>
        </is>
      </c>
      <c r="E953" t="inlineStr">
        <is>
          <t>NULL</t>
        </is>
      </c>
      <c r="F953" t="inlineStr">
        <is>
          <t>NULL</t>
        </is>
      </c>
      <c r="G953" t="inlineStr">
        <is>
          <t>NULL</t>
        </is>
      </c>
      <c r="H953" t="inlineStr">
        <is>
          <t>NULL</t>
        </is>
      </c>
      <c r="I953" t="inlineStr">
        <is>
          <t>NULL</t>
        </is>
      </c>
      <c r="J953" t="inlineStr">
        <is>
          <t>NULL</t>
        </is>
      </c>
      <c r="K953" t="inlineStr">
        <is>
          <t>[0;32m YES! [0m 	 c_time1列源备映射正确，源端为time None位	期望更改为varchar(20)	实际备端为varchar 80位	位数精度不存在，通过长度比较</t>
        </is>
      </c>
    </row>
    <row r="954">
      <c r="B954" t="inlineStr">
        <is>
          <t>NULL</t>
        </is>
      </c>
      <c r="C954" t="inlineStr">
        <is>
          <t>NULL</t>
        </is>
      </c>
      <c r="D954" t="inlineStr">
        <is>
          <t>NULL</t>
        </is>
      </c>
      <c r="E954" t="inlineStr">
        <is>
          <t>NULL</t>
        </is>
      </c>
      <c r="F954" t="inlineStr">
        <is>
          <t>NULL</t>
        </is>
      </c>
      <c r="G954" t="inlineStr">
        <is>
          <t>NULL</t>
        </is>
      </c>
      <c r="H954" t="inlineStr">
        <is>
          <t>NULL</t>
        </is>
      </c>
      <c r="I954" t="inlineStr">
        <is>
          <t>NULL</t>
        </is>
      </c>
      <c r="J954" t="inlineStr">
        <is>
          <t>NULL</t>
        </is>
      </c>
      <c r="K954" t="inlineStr">
        <is>
          <t>[0;32m YES! [0m 	 c_time2列源备映射正确，源端为time None位	期望更改为varchar(20)	实际备端为varchar 80位	位数精度不存在，通过长度比较</t>
        </is>
      </c>
    </row>
    <row r="955">
      <c r="B955" t="inlineStr">
        <is>
          <t>NULL</t>
        </is>
      </c>
      <c r="C955" t="inlineStr">
        <is>
          <t>NULL</t>
        </is>
      </c>
      <c r="D955" t="inlineStr">
        <is>
          <t>NULL</t>
        </is>
      </c>
      <c r="E955" t="inlineStr">
        <is>
          <t>NULL</t>
        </is>
      </c>
      <c r="F955" t="inlineStr">
        <is>
          <t>NULL</t>
        </is>
      </c>
      <c r="G955" t="inlineStr">
        <is>
          <t>NULL</t>
        </is>
      </c>
      <c r="H955" t="inlineStr">
        <is>
          <t>NULL</t>
        </is>
      </c>
      <c r="I955" t="inlineStr">
        <is>
          <t>NULL</t>
        </is>
      </c>
      <c r="J955" t="inlineStr">
        <is>
          <t>NULL</t>
        </is>
      </c>
      <c r="K955" t="inlineStr">
        <is>
          <t>[0;32m YES! [0m 	 c_time3列源备映射正确，源端为time None位	期望更改为varchar(20)	实际备端为varchar 80位	位数精度不存在，通过长度比较</t>
        </is>
      </c>
    </row>
    <row r="956">
      <c r="B956" t="inlineStr">
        <is>
          <t>NULL</t>
        </is>
      </c>
      <c r="C956" t="inlineStr">
        <is>
          <t>NULL</t>
        </is>
      </c>
      <c r="D956" t="inlineStr">
        <is>
          <t>NULL</t>
        </is>
      </c>
      <c r="E956" t="inlineStr">
        <is>
          <t>NULL</t>
        </is>
      </c>
      <c r="F956" t="inlineStr">
        <is>
          <t>NULL</t>
        </is>
      </c>
      <c r="G956" t="inlineStr">
        <is>
          <t>NULL</t>
        </is>
      </c>
      <c r="H956" t="inlineStr">
        <is>
          <t>NULL</t>
        </is>
      </c>
      <c r="I956" t="inlineStr">
        <is>
          <t>NULL</t>
        </is>
      </c>
      <c r="J956" t="inlineStr">
        <is>
          <t>NULL</t>
        </is>
      </c>
      <c r="K956" t="inlineStr">
        <is>
          <t>[0;32m YES! [0m 	 c_time4列源备映射正确，源端为time None位	期望更改为varchar(20)	实际备端为varchar 80位	位数精度不存在，通过长度比较</t>
        </is>
      </c>
    </row>
    <row r="957">
      <c r="B957" t="inlineStr">
        <is>
          <t>NULL</t>
        </is>
      </c>
      <c r="C957" t="inlineStr">
        <is>
          <t>NULL</t>
        </is>
      </c>
      <c r="D957" t="inlineStr">
        <is>
          <t>NULL</t>
        </is>
      </c>
      <c r="E957" t="inlineStr">
        <is>
          <t>NULL</t>
        </is>
      </c>
      <c r="F957" t="inlineStr">
        <is>
          <t>NULL</t>
        </is>
      </c>
      <c r="G957" t="inlineStr">
        <is>
          <t>NULL</t>
        </is>
      </c>
      <c r="H957" t="inlineStr">
        <is>
          <t>NULL</t>
        </is>
      </c>
      <c r="I957" t="inlineStr">
        <is>
          <t>NULL</t>
        </is>
      </c>
      <c r="J957" t="inlineStr">
        <is>
          <t>NULL</t>
        </is>
      </c>
      <c r="K957" t="inlineStr">
        <is>
          <t>[0;32m YES! [0m 	 c_time5列源备映射正确，源端为time None位	期望更改为varchar(20)	实际备端为varchar 80位	位数精度不存在，通过长度比较</t>
        </is>
      </c>
    </row>
    <row r="958">
      <c r="B958" t="inlineStr">
        <is>
          <t>NULL</t>
        </is>
      </c>
      <c r="C958" t="inlineStr">
        <is>
          <t>NULL</t>
        </is>
      </c>
      <c r="D958" t="inlineStr">
        <is>
          <t>NULL</t>
        </is>
      </c>
      <c r="E958" t="inlineStr">
        <is>
          <t>NULL</t>
        </is>
      </c>
      <c r="F958" t="inlineStr">
        <is>
          <t>NULL</t>
        </is>
      </c>
      <c r="G958" t="inlineStr">
        <is>
          <t>NULL</t>
        </is>
      </c>
      <c r="H958" t="inlineStr">
        <is>
          <t>NULL</t>
        </is>
      </c>
      <c r="I958" t="inlineStr">
        <is>
          <t>NULL</t>
        </is>
      </c>
      <c r="J958" t="inlineStr">
        <is>
          <t>NULL</t>
        </is>
      </c>
      <c r="K958" t="inlineStr">
        <is>
          <t>[0;32m YES! [0m 	 c_time6列源备映射正确，源端为time None位	期望更改为varchar(20)	实际备端为varchar 80位	位数精度不存在，通过长度比较</t>
        </is>
      </c>
    </row>
    <row r="959">
      <c r="B959" t="inlineStr">
        <is>
          <t>NULL</t>
        </is>
      </c>
      <c r="C959" t="inlineStr">
        <is>
          <t>NULL</t>
        </is>
      </c>
      <c r="D959" t="inlineStr">
        <is>
          <t>NULL</t>
        </is>
      </c>
      <c r="E959" t="inlineStr">
        <is>
          <t>NULL</t>
        </is>
      </c>
      <c r="F959" t="inlineStr">
        <is>
          <t>NULL</t>
        </is>
      </c>
      <c r="G959" t="inlineStr">
        <is>
          <t>NULL</t>
        </is>
      </c>
      <c r="H959" t="inlineStr">
        <is>
          <t>NULL</t>
        </is>
      </c>
      <c r="I959" t="inlineStr">
        <is>
          <t>NULL</t>
        </is>
      </c>
      <c r="J959" t="inlineStr">
        <is>
          <t>NULL</t>
        </is>
      </c>
      <c r="K959" t="inlineStr">
        <is>
          <t>[0;32m YES! [0m 	 c_time列源备映射正确，源端为time None位	期望更改为varchar(20)	实际备端为varchar 80位	位数精度不存在，通过长度比较</t>
        </is>
      </c>
    </row>
    <row r="960">
      <c r="A960" t="inlineStr">
        <is>
          <t>info_nchar_dml_batch1_pk_urp1</t>
        </is>
      </c>
      <c r="K960" t="inlineStr">
        <is>
          <t>[0;34m info_nchar_dml_batch1_pk_urp1 [0m源备字段数相同，源端字段：4 	备端字段4</t>
        </is>
      </c>
      <c r="W960" s="15">
        <f>HYPERLINK("#2026052610mysql0!BP2","NO 源备存在差异，共16个")</f>
        <v/>
      </c>
      <c r="X960">
        <f>A960</f>
        <v/>
      </c>
    </row>
    <row r="961">
      <c r="B961" t="inlineStr">
        <is>
          <t>YES</t>
        </is>
      </c>
      <c r="C961" t="inlineStr">
        <is>
          <t>NULL</t>
        </is>
      </c>
      <c r="D961" t="inlineStr">
        <is>
          <t>NULL</t>
        </is>
      </c>
      <c r="E961" t="inlineStr">
        <is>
          <t>NULL</t>
        </is>
      </c>
      <c r="F961" t="inlineStr">
        <is>
          <t>NULL</t>
        </is>
      </c>
      <c r="G961" t="inlineStr">
        <is>
          <t>NULL</t>
        </is>
      </c>
      <c r="H961" t="inlineStr">
        <is>
          <t>NULL</t>
        </is>
      </c>
      <c r="I961" t="inlineStr">
        <is>
          <t>YES!PK__info_nch__3213E83F7342E96E</t>
        </is>
      </c>
      <c r="J961" t="inlineStr">
        <is>
          <t>YES! 主键相关索引</t>
        </is>
      </c>
      <c r="K961" t="inlineStr">
        <is>
          <t>YES! 	 id列源备映射正确，源端为int None位	期望更改为int	实际备端为int None位</t>
        </is>
      </c>
    </row>
    <row r="962">
      <c r="B962" t="inlineStr">
        <is>
          <t>NULL</t>
        </is>
      </c>
      <c r="C962" t="inlineStr">
        <is>
          <t>NULL</t>
        </is>
      </c>
      <c r="D962" t="inlineStr">
        <is>
          <t>NULL</t>
        </is>
      </c>
      <c r="E962" t="inlineStr">
        <is>
          <t>NULL</t>
        </is>
      </c>
      <c r="F962" t="inlineStr">
        <is>
          <t>NULL</t>
        </is>
      </c>
      <c r="G962" t="inlineStr">
        <is>
          <t>NULL</t>
        </is>
      </c>
      <c r="H962" t="inlineStr">
        <is>
          <t>NULL</t>
        </is>
      </c>
      <c r="I962" t="inlineStr">
        <is>
          <t>NULL</t>
        </is>
      </c>
      <c r="J962" t="inlineStr">
        <is>
          <t>NULL</t>
        </is>
      </c>
      <c r="K962" t="inlineStr">
        <is>
          <t>YES! 	 c_nchar列源备映射正确，源端为nchar 2位	期望更改为char(n)	实际备端为char 4位</t>
        </is>
      </c>
    </row>
    <row r="963">
      <c r="B963" t="inlineStr">
        <is>
          <t>NULL</t>
        </is>
      </c>
      <c r="C963" t="inlineStr">
        <is>
          <t>NULL</t>
        </is>
      </c>
      <c r="D963" t="inlineStr">
        <is>
          <t>NULL</t>
        </is>
      </c>
      <c r="E963" t="inlineStr">
        <is>
          <t>NULL</t>
        </is>
      </c>
      <c r="F963" t="inlineStr">
        <is>
          <t>NULL</t>
        </is>
      </c>
      <c r="G963" t="inlineStr">
        <is>
          <t>NULL</t>
        </is>
      </c>
      <c r="H963" t="inlineStr">
        <is>
          <t>NULL</t>
        </is>
      </c>
      <c r="I963" t="inlineStr">
        <is>
          <t>NULL</t>
        </is>
      </c>
      <c r="J963" t="inlineStr">
        <is>
          <t>NULL</t>
        </is>
      </c>
      <c r="K963" t="inlineStr">
        <is>
          <t>YES! 	 c_nchar20列源备映射正确，源端为nchar 40位	期望更改为char(n)	实际备端为char 80位</t>
        </is>
      </c>
    </row>
    <row r="964">
      <c r="B964" t="inlineStr">
        <is>
          <t>NULL</t>
        </is>
      </c>
      <c r="C964" t="inlineStr">
        <is>
          <t>NULL</t>
        </is>
      </c>
      <c r="D964" t="inlineStr">
        <is>
          <t>NULL</t>
        </is>
      </c>
      <c r="E964" t="inlineStr">
        <is>
          <t>NULL</t>
        </is>
      </c>
      <c r="F964" t="inlineStr">
        <is>
          <t>NULL</t>
        </is>
      </c>
      <c r="G964" t="inlineStr">
        <is>
          <t>NULL</t>
        </is>
      </c>
      <c r="H964" t="inlineStr">
        <is>
          <t>NULL</t>
        </is>
      </c>
      <c r="I964" t="inlineStr">
        <is>
          <t>NULL</t>
        </is>
      </c>
      <c r="J964" t="inlineStr">
        <is>
          <t>NULL</t>
        </is>
      </c>
      <c r="K964" t="inlineStr">
        <is>
          <t xml:space="preserve"> NO!  	 c_nchar3500列源备映射错误，源端为nchar 7000位	期望更改为varchar(n)	实际备端为text 65535位</t>
        </is>
      </c>
    </row>
    <row r="965">
      <c r="A965" t="inlineStr">
        <is>
          <t>info_uniqueidentifier_dml_single_nopk_irp</t>
        </is>
      </c>
      <c r="K965" t="inlineStr">
        <is>
          <t>[0;34m info_uniqueidentifier_dml_single_nopk_irp [0m源备字段数相同，源端字段：2 	备端字段2</t>
        </is>
      </c>
      <c r="W965" t="inlineStr">
        <is>
          <t>YES 源备无差异</t>
        </is>
      </c>
      <c r="X965">
        <f>A965</f>
        <v/>
      </c>
    </row>
    <row r="966">
      <c r="B966" t="inlineStr">
        <is>
          <t>NULL</t>
        </is>
      </c>
      <c r="C966" t="inlineStr">
        <is>
          <t>NULL</t>
        </is>
      </c>
      <c r="D966" t="inlineStr">
        <is>
          <t>NULL</t>
        </is>
      </c>
      <c r="E966" t="inlineStr">
        <is>
          <t>NULL</t>
        </is>
      </c>
      <c r="F966" t="inlineStr">
        <is>
          <t>NULL</t>
        </is>
      </c>
      <c r="G966" t="inlineStr">
        <is>
          <t>NULL</t>
        </is>
      </c>
      <c r="H966" t="inlineStr">
        <is>
          <t>NULL</t>
        </is>
      </c>
      <c r="I966" t="inlineStr">
        <is>
          <t>NULL</t>
        </is>
      </c>
      <c r="J966" t="inlineStr">
        <is>
          <t>NULL</t>
        </is>
      </c>
      <c r="K966" t="inlineStr">
        <is>
          <t>YES! 	 id列源备映射正确，源端为int None位	期望更改为int	实际备端为int None位</t>
        </is>
      </c>
    </row>
    <row r="967">
      <c r="B967" t="inlineStr">
        <is>
          <t>NULL</t>
        </is>
      </c>
      <c r="C967" t="inlineStr">
        <is>
          <t>NO!源None备NUL</t>
        </is>
      </c>
      <c r="D967" t="inlineStr">
        <is>
          <t>NULL</t>
        </is>
      </c>
      <c r="E967" t="inlineStr">
        <is>
          <t>NULL</t>
        </is>
      </c>
      <c r="F967" t="inlineStr">
        <is>
          <t>NULL</t>
        </is>
      </c>
      <c r="G967" t="inlineStr">
        <is>
          <t>NULL</t>
        </is>
      </c>
      <c r="H967" t="inlineStr">
        <is>
          <t>NULL</t>
        </is>
      </c>
      <c r="I967" t="inlineStr">
        <is>
          <t>NULL</t>
        </is>
      </c>
      <c r="J967" t="inlineStr">
        <is>
          <t>NULL</t>
        </is>
      </c>
      <c r="K967" t="inlineStr">
        <is>
          <t>[0;32m YES! [0m 	 c_uniqueidentifier列源备映射正确，源端为uniqueidentifier None位	期望更改为VARCHAR(100)	实际备端为varchar 400位	位数精度不存在，通过长度比较</t>
        </is>
      </c>
    </row>
    <row r="968">
      <c r="A968" t="inlineStr">
        <is>
          <t>info_datetime2_dml_batch2_pk_irp1</t>
        </is>
      </c>
      <c r="K968" t="inlineStr">
        <is>
          <t>[0;34m info_datetime2_dml_batch2_pk_irp1 [0m源备字段数相同，源端字段：9 	备端字段9</t>
        </is>
      </c>
      <c r="W968" t="inlineStr">
        <is>
          <t>YES 源备无差异</t>
        </is>
      </c>
      <c r="X968">
        <f>A968</f>
        <v/>
      </c>
    </row>
    <row r="969">
      <c r="B969" t="inlineStr">
        <is>
          <t>YES</t>
        </is>
      </c>
      <c r="C969" t="inlineStr">
        <is>
          <t>NULL</t>
        </is>
      </c>
      <c r="D969" t="inlineStr">
        <is>
          <t>NULL</t>
        </is>
      </c>
      <c r="E969" t="inlineStr">
        <is>
          <t>NULL</t>
        </is>
      </c>
      <c r="F969" t="inlineStr">
        <is>
          <t>NULL</t>
        </is>
      </c>
      <c r="G969" t="inlineStr">
        <is>
          <t>NULL</t>
        </is>
      </c>
      <c r="H969" t="inlineStr">
        <is>
          <t>NULL</t>
        </is>
      </c>
      <c r="I969" t="inlineStr">
        <is>
          <t>YES!PK__info_dat__3213E83FD21814D0</t>
        </is>
      </c>
      <c r="J969" t="inlineStr">
        <is>
          <t>YES! 主键相关索引</t>
        </is>
      </c>
      <c r="K969" t="inlineStr">
        <is>
          <t>YES! 	 id列源备映射正确，源端为int None位	期望更改为int	实际备端为int None位</t>
        </is>
      </c>
    </row>
    <row r="970">
      <c r="B970" t="inlineStr">
        <is>
          <t>NULL</t>
        </is>
      </c>
      <c r="C970" t="inlineStr">
        <is>
          <t>NULL</t>
        </is>
      </c>
      <c r="D970" t="inlineStr">
        <is>
          <t>NULL</t>
        </is>
      </c>
      <c r="E970" t="inlineStr">
        <is>
          <t>NULL</t>
        </is>
      </c>
      <c r="F970" t="inlineStr">
        <is>
          <t>NULL</t>
        </is>
      </c>
      <c r="G970" t="inlineStr">
        <is>
          <t>NULL</t>
        </is>
      </c>
      <c r="H970" t="inlineStr">
        <is>
          <t>NULL</t>
        </is>
      </c>
      <c r="I970" t="inlineStr">
        <is>
          <t>NULL</t>
        </is>
      </c>
      <c r="J970" t="inlineStr">
        <is>
          <t>NULL</t>
        </is>
      </c>
      <c r="K970" t="inlineStr">
        <is>
          <t>no,len不存在</t>
        </is>
      </c>
    </row>
    <row r="971">
      <c r="B971" t="inlineStr">
        <is>
          <t>NULL</t>
        </is>
      </c>
      <c r="C971" t="inlineStr">
        <is>
          <t>NULL</t>
        </is>
      </c>
      <c r="D971" t="inlineStr">
        <is>
          <t>NULL</t>
        </is>
      </c>
      <c r="E971" t="inlineStr">
        <is>
          <t>NULL</t>
        </is>
      </c>
      <c r="F971" t="inlineStr">
        <is>
          <t>NULL</t>
        </is>
      </c>
      <c r="G971" t="inlineStr">
        <is>
          <t>NULL</t>
        </is>
      </c>
      <c r="H971" t="inlineStr">
        <is>
          <t>NULL</t>
        </is>
      </c>
      <c r="I971" t="inlineStr">
        <is>
          <t>NULL</t>
        </is>
      </c>
      <c r="J971" t="inlineStr">
        <is>
          <t>NULL</t>
        </is>
      </c>
      <c r="K971" t="inlineStr">
        <is>
          <t>YES! 	 c_dt2_1列源备映射正确，源端为datetime2 None位	期望更改为datetime(n)	实际备端为datetime None位</t>
        </is>
      </c>
    </row>
    <row r="972">
      <c r="B972" t="inlineStr">
        <is>
          <t>NULL</t>
        </is>
      </c>
      <c r="C972" t="inlineStr">
        <is>
          <t>NULL</t>
        </is>
      </c>
      <c r="D972" t="inlineStr">
        <is>
          <t>NULL</t>
        </is>
      </c>
      <c r="E972" t="inlineStr">
        <is>
          <t>NULL</t>
        </is>
      </c>
      <c r="F972" t="inlineStr">
        <is>
          <t>NULL</t>
        </is>
      </c>
      <c r="G972" t="inlineStr">
        <is>
          <t>NULL</t>
        </is>
      </c>
      <c r="H972" t="inlineStr">
        <is>
          <t>NULL</t>
        </is>
      </c>
      <c r="I972" t="inlineStr">
        <is>
          <t>NULL</t>
        </is>
      </c>
      <c r="J972" t="inlineStr">
        <is>
          <t>NULL</t>
        </is>
      </c>
      <c r="K972" t="inlineStr">
        <is>
          <t>YES! 	 c_dt2_2列源备映射正确，源端为datetime2 None位	期望更改为datetime(n)	实际备端为datetime None位</t>
        </is>
      </c>
    </row>
    <row r="973">
      <c r="B973" t="inlineStr">
        <is>
          <t>NULL</t>
        </is>
      </c>
      <c r="C973" t="inlineStr">
        <is>
          <t>NULL</t>
        </is>
      </c>
      <c r="D973" t="inlineStr">
        <is>
          <t>NULL</t>
        </is>
      </c>
      <c r="E973" t="inlineStr">
        <is>
          <t>NULL</t>
        </is>
      </c>
      <c r="F973" t="inlineStr">
        <is>
          <t>NULL</t>
        </is>
      </c>
      <c r="G973" t="inlineStr">
        <is>
          <t>NULL</t>
        </is>
      </c>
      <c r="H973" t="inlineStr">
        <is>
          <t>NULL</t>
        </is>
      </c>
      <c r="I973" t="inlineStr">
        <is>
          <t>NULL</t>
        </is>
      </c>
      <c r="J973" t="inlineStr">
        <is>
          <t>NULL</t>
        </is>
      </c>
      <c r="K973" t="inlineStr">
        <is>
          <t>YES! 	 c_dt2_3列源备映射正确，源端为datetime2 None位	期望更改为datetime(n)	实际备端为datetime None位</t>
        </is>
      </c>
    </row>
    <row r="974">
      <c r="B974" t="inlineStr">
        <is>
          <t>NULL</t>
        </is>
      </c>
      <c r="C974" t="inlineStr">
        <is>
          <t>NULL</t>
        </is>
      </c>
      <c r="D974" t="inlineStr">
        <is>
          <t>NULL</t>
        </is>
      </c>
      <c r="E974" t="inlineStr">
        <is>
          <t>NULL</t>
        </is>
      </c>
      <c r="F974" t="inlineStr">
        <is>
          <t>NULL</t>
        </is>
      </c>
      <c r="G974" t="inlineStr">
        <is>
          <t>NULL</t>
        </is>
      </c>
      <c r="H974" t="inlineStr">
        <is>
          <t>NULL</t>
        </is>
      </c>
      <c r="I974" t="inlineStr">
        <is>
          <t>NULL</t>
        </is>
      </c>
      <c r="J974" t="inlineStr">
        <is>
          <t>NULL</t>
        </is>
      </c>
      <c r="K974" t="inlineStr">
        <is>
          <t>YES! 	 c_dt2_4列源备映射正确，源端为datetime2 None位	期望更改为datetime(n)	实际备端为datetime None位</t>
        </is>
      </c>
    </row>
    <row r="975">
      <c r="B975" t="inlineStr">
        <is>
          <t>NULL</t>
        </is>
      </c>
      <c r="C975" t="inlineStr">
        <is>
          <t>NULL</t>
        </is>
      </c>
      <c r="D975" t="inlineStr">
        <is>
          <t>NULL</t>
        </is>
      </c>
      <c r="E975" t="inlineStr">
        <is>
          <t>NULL</t>
        </is>
      </c>
      <c r="F975" t="inlineStr">
        <is>
          <t>NULL</t>
        </is>
      </c>
      <c r="G975" t="inlineStr">
        <is>
          <t>NULL</t>
        </is>
      </c>
      <c r="H975" t="inlineStr">
        <is>
          <t>NULL</t>
        </is>
      </c>
      <c r="I975" t="inlineStr">
        <is>
          <t>NULL</t>
        </is>
      </c>
      <c r="J975" t="inlineStr">
        <is>
          <t>NULL</t>
        </is>
      </c>
      <c r="K975" t="inlineStr">
        <is>
          <t>YES! 	 c_dt2_5列源备映射正确，源端为datetime2 None位	期望更改为datetime(n)	实际备端为datetime None位</t>
        </is>
      </c>
    </row>
    <row r="976">
      <c r="B976" t="inlineStr">
        <is>
          <t>NULL</t>
        </is>
      </c>
      <c r="C976" t="inlineStr">
        <is>
          <t>NULL</t>
        </is>
      </c>
      <c r="D976" t="inlineStr">
        <is>
          <t>NULL</t>
        </is>
      </c>
      <c r="E976" t="inlineStr">
        <is>
          <t>NULL</t>
        </is>
      </c>
      <c r="F976" t="inlineStr">
        <is>
          <t>NULL</t>
        </is>
      </c>
      <c r="G976" t="inlineStr">
        <is>
          <t>NULL</t>
        </is>
      </c>
      <c r="H976" t="inlineStr">
        <is>
          <t>NULL</t>
        </is>
      </c>
      <c r="I976" t="inlineStr">
        <is>
          <t>NULL</t>
        </is>
      </c>
      <c r="J976" t="inlineStr">
        <is>
          <t>NULL</t>
        </is>
      </c>
      <c r="K976" t="inlineStr">
        <is>
          <t>YES! 	 c_dt2_6列源备映射正确，源端为datetime2 None位	期望更改为datetime(n)	实际备端为datetime None位</t>
        </is>
      </c>
    </row>
    <row r="977">
      <c r="B977" t="inlineStr">
        <is>
          <t>NULL</t>
        </is>
      </c>
      <c r="C977" t="inlineStr">
        <is>
          <t>NULL</t>
        </is>
      </c>
      <c r="D977" t="inlineStr">
        <is>
          <t>NULL</t>
        </is>
      </c>
      <c r="E977" t="inlineStr">
        <is>
          <t>NULL</t>
        </is>
      </c>
      <c r="F977" t="inlineStr">
        <is>
          <t>NULL</t>
        </is>
      </c>
      <c r="G977" t="inlineStr">
        <is>
          <t>NULL</t>
        </is>
      </c>
      <c r="H977" t="inlineStr">
        <is>
          <t>NULL</t>
        </is>
      </c>
      <c r="I977" t="inlineStr">
        <is>
          <t>NULL</t>
        </is>
      </c>
      <c r="J977" t="inlineStr">
        <is>
          <t>NULL</t>
        </is>
      </c>
      <c r="K977" t="inlineStr">
        <is>
          <t xml:space="preserve"> NO!  	 c_dt2列源备映射错误，源端为datetime2 None位	期望更改为datetime(n)	实际备端为varchar 136位</t>
        </is>
      </c>
    </row>
    <row r="978">
      <c r="A978" t="inlineStr">
        <is>
          <t>info_text_dml_single_nopk_irp</t>
        </is>
      </c>
      <c r="K978" t="inlineStr">
        <is>
          <t>[0;34m info_text_dml_single_nopk_irp [0m源备字段数相同，源端字段：3 	备端字段3</t>
        </is>
      </c>
      <c r="W978" t="inlineStr">
        <is>
          <t>YES 源备无差异</t>
        </is>
      </c>
      <c r="X978">
        <f>A978</f>
        <v/>
      </c>
    </row>
    <row r="979">
      <c r="B979" t="inlineStr">
        <is>
          <t>NULL</t>
        </is>
      </c>
      <c r="C979" t="inlineStr">
        <is>
          <t>NULL</t>
        </is>
      </c>
      <c r="D979" t="inlineStr">
        <is>
          <t>NULL</t>
        </is>
      </c>
      <c r="E979" t="inlineStr">
        <is>
          <t>NULL</t>
        </is>
      </c>
      <c r="F979" t="inlineStr">
        <is>
          <t>NULL</t>
        </is>
      </c>
      <c r="G979" t="inlineStr">
        <is>
          <t>NULL</t>
        </is>
      </c>
      <c r="H979" t="inlineStr">
        <is>
          <t>NULL</t>
        </is>
      </c>
      <c r="I979" t="inlineStr">
        <is>
          <t>NULL</t>
        </is>
      </c>
      <c r="J979" t="inlineStr">
        <is>
          <t>NULL</t>
        </is>
      </c>
      <c r="K979" t="inlineStr">
        <is>
          <t>YES! 	 id列源备映射正确，源端为int None位	期望更改为int	实际备端为int None位</t>
        </is>
      </c>
    </row>
    <row r="980">
      <c r="B980" t="inlineStr">
        <is>
          <t>NULL</t>
        </is>
      </c>
      <c r="C980" t="inlineStr">
        <is>
          <t>NULL</t>
        </is>
      </c>
      <c r="D980" t="inlineStr">
        <is>
          <t>NULL</t>
        </is>
      </c>
      <c r="E980" t="inlineStr">
        <is>
          <t>NULL</t>
        </is>
      </c>
      <c r="F980" t="inlineStr">
        <is>
          <t>NULL</t>
        </is>
      </c>
      <c r="G980" t="inlineStr">
        <is>
          <t>NULL</t>
        </is>
      </c>
      <c r="H980" t="inlineStr">
        <is>
          <t>NULL</t>
        </is>
      </c>
      <c r="I980" t="inlineStr">
        <is>
          <t>NULL</t>
        </is>
      </c>
      <c r="J980" t="inlineStr">
        <is>
          <t>NULL</t>
        </is>
      </c>
      <c r="K980" t="inlineStr">
        <is>
          <t>YES! 	 c_text列源备映射正确，源端为text 2147483647位	期望更改为longtext	实际备端为longtext 4294967295位</t>
        </is>
      </c>
    </row>
    <row r="981">
      <c r="B981" t="inlineStr">
        <is>
          <t>NULL</t>
        </is>
      </c>
      <c r="C981" t="inlineStr">
        <is>
          <t>NULL</t>
        </is>
      </c>
      <c r="D981" t="inlineStr">
        <is>
          <t>NULL</t>
        </is>
      </c>
      <c r="E981" t="inlineStr">
        <is>
          <t>NULL</t>
        </is>
      </c>
      <c r="F981" t="inlineStr">
        <is>
          <t>NULL</t>
        </is>
      </c>
      <c r="G981" t="inlineStr">
        <is>
          <t>NULL</t>
        </is>
      </c>
      <c r="H981" t="inlineStr">
        <is>
          <t>NULL</t>
        </is>
      </c>
      <c r="I981" t="inlineStr">
        <is>
          <t>NULL</t>
        </is>
      </c>
      <c r="J981" t="inlineStr">
        <is>
          <t>NULL</t>
        </is>
      </c>
      <c r="K981" t="inlineStr">
        <is>
          <t>YES! 	 c_ntext列源备映射正确，源端为ntext 2147483646位	期望更改为longtext	实际备端为longtext 4294967295位</t>
        </is>
      </c>
    </row>
    <row r="982">
      <c r="A982" t="inlineStr">
        <is>
          <t>info_nchar_dml_batch1_pk_drp2</t>
        </is>
      </c>
      <c r="K982" t="inlineStr">
        <is>
          <t>[0;34m info_nchar_dml_batch1_pk_drp2 [0m源备字段数相同，源端字段：4 	备端字段4</t>
        </is>
      </c>
      <c r="W982" s="15">
        <f>HYPERLINK("#2026052610mysql0!BQ2","NO 源备存在差异，共2个")</f>
        <v/>
      </c>
      <c r="X982">
        <f>A982</f>
        <v/>
      </c>
    </row>
    <row r="983">
      <c r="B983" t="inlineStr">
        <is>
          <t>YES</t>
        </is>
      </c>
      <c r="C983" t="inlineStr">
        <is>
          <t>NULL</t>
        </is>
      </c>
      <c r="D983" t="inlineStr">
        <is>
          <t>NULL</t>
        </is>
      </c>
      <c r="E983" t="inlineStr">
        <is>
          <t>NULL</t>
        </is>
      </c>
      <c r="F983" t="inlineStr">
        <is>
          <t>NULL</t>
        </is>
      </c>
      <c r="G983" t="inlineStr">
        <is>
          <t>NULL</t>
        </is>
      </c>
      <c r="H983" t="inlineStr">
        <is>
          <t>NULL</t>
        </is>
      </c>
      <c r="I983" t="inlineStr">
        <is>
          <t>YES!PK__info_nch__3213E83F73BB4B53</t>
        </is>
      </c>
      <c r="J983" t="inlineStr">
        <is>
          <t>YES! 主键相关索引</t>
        </is>
      </c>
      <c r="K983" t="inlineStr">
        <is>
          <t>YES! 	 id列源备映射正确，源端为int None位	期望更改为int	实际备端为int None位</t>
        </is>
      </c>
    </row>
    <row r="984">
      <c r="B984" t="inlineStr">
        <is>
          <t>NULL</t>
        </is>
      </c>
      <c r="C984" t="inlineStr">
        <is>
          <t>NULL</t>
        </is>
      </c>
      <c r="D984" t="inlineStr">
        <is>
          <t>NULL</t>
        </is>
      </c>
      <c r="E984" t="inlineStr">
        <is>
          <t>NULL</t>
        </is>
      </c>
      <c r="F984" t="inlineStr">
        <is>
          <t>NULL</t>
        </is>
      </c>
      <c r="G984" t="inlineStr">
        <is>
          <t>NULL</t>
        </is>
      </c>
      <c r="H984" t="inlineStr">
        <is>
          <t>NULL</t>
        </is>
      </c>
      <c r="I984" t="inlineStr">
        <is>
          <t>NULL</t>
        </is>
      </c>
      <c r="J984" t="inlineStr">
        <is>
          <t>NULL</t>
        </is>
      </c>
      <c r="K984" t="inlineStr">
        <is>
          <t>YES! 	 c_nchar列源备映射正确，源端为nchar 2位	期望更改为char(n)	实际备端为char 4位</t>
        </is>
      </c>
    </row>
    <row r="985">
      <c r="B985" t="inlineStr">
        <is>
          <t>NULL</t>
        </is>
      </c>
      <c r="C985" t="inlineStr">
        <is>
          <t>NULL</t>
        </is>
      </c>
      <c r="D985" t="inlineStr">
        <is>
          <t>NULL</t>
        </is>
      </c>
      <c r="E985" t="inlineStr">
        <is>
          <t>NULL</t>
        </is>
      </c>
      <c r="F985" t="inlineStr">
        <is>
          <t>NULL</t>
        </is>
      </c>
      <c r="G985" t="inlineStr">
        <is>
          <t>NULL</t>
        </is>
      </c>
      <c r="H985" t="inlineStr">
        <is>
          <t>NULL</t>
        </is>
      </c>
      <c r="I985" t="inlineStr">
        <is>
          <t>NULL</t>
        </is>
      </c>
      <c r="J985" t="inlineStr">
        <is>
          <t>NULL</t>
        </is>
      </c>
      <c r="K985" t="inlineStr">
        <is>
          <t>YES! 	 c_nchar20列源备映射正确，源端为nchar 40位	期望更改为char(n)	实际备端为char 80位</t>
        </is>
      </c>
    </row>
    <row r="986">
      <c r="B986" t="inlineStr">
        <is>
          <t>NULL</t>
        </is>
      </c>
      <c r="C986" t="inlineStr">
        <is>
          <t>NULL</t>
        </is>
      </c>
      <c r="D986" t="inlineStr">
        <is>
          <t>NULL</t>
        </is>
      </c>
      <c r="E986" t="inlineStr">
        <is>
          <t>NULL</t>
        </is>
      </c>
      <c r="F986" t="inlineStr">
        <is>
          <t>NULL</t>
        </is>
      </c>
      <c r="G986" t="inlineStr">
        <is>
          <t>NULL</t>
        </is>
      </c>
      <c r="H986" t="inlineStr">
        <is>
          <t>NULL</t>
        </is>
      </c>
      <c r="I986" t="inlineStr">
        <is>
          <t>NULL</t>
        </is>
      </c>
      <c r="J986" t="inlineStr">
        <is>
          <t>NULL</t>
        </is>
      </c>
      <c r="K986" t="inlineStr">
        <is>
          <t xml:space="preserve"> NO!  	 c_nchar3500列源备映射错误，源端为nchar 7000位	期望更改为varchar(n)	实际备端为text 65535位</t>
        </is>
      </c>
    </row>
    <row r="987">
      <c r="A987" t="inlineStr">
        <is>
          <t>info_uniqueidentifier_dml_single_nopk_urp</t>
        </is>
      </c>
      <c r="K987" t="inlineStr">
        <is>
          <t>[0;34m info_uniqueidentifier_dml_single_nopk_urp [0m源备字段数相同，源端字段：2 	备端字段2</t>
        </is>
      </c>
      <c r="W987" t="inlineStr">
        <is>
          <t>YES 源备无差异</t>
        </is>
      </c>
      <c r="X987">
        <f>A987</f>
        <v/>
      </c>
    </row>
    <row r="988">
      <c r="B988" t="inlineStr">
        <is>
          <t>NULL</t>
        </is>
      </c>
      <c r="C988" t="inlineStr">
        <is>
          <t>NULL</t>
        </is>
      </c>
      <c r="D988" t="inlineStr">
        <is>
          <t>NULL</t>
        </is>
      </c>
      <c r="E988" t="inlineStr">
        <is>
          <t>NULL</t>
        </is>
      </c>
      <c r="F988" t="inlineStr">
        <is>
          <t>NULL</t>
        </is>
      </c>
      <c r="G988" t="inlineStr">
        <is>
          <t>NULL</t>
        </is>
      </c>
      <c r="H988" t="inlineStr">
        <is>
          <t>NULL</t>
        </is>
      </c>
      <c r="I988" t="inlineStr">
        <is>
          <t>NULL</t>
        </is>
      </c>
      <c r="J988" t="inlineStr">
        <is>
          <t>NULL</t>
        </is>
      </c>
      <c r="K988" t="inlineStr">
        <is>
          <t>YES! 	 id列源备映射正确，源端为int None位	期望更改为int	实际备端为int None位</t>
        </is>
      </c>
    </row>
    <row r="989">
      <c r="B989" t="inlineStr">
        <is>
          <t>NULL</t>
        </is>
      </c>
      <c r="C989" t="inlineStr">
        <is>
          <t>NO!源None备NUL</t>
        </is>
      </c>
      <c r="D989" t="inlineStr">
        <is>
          <t>NULL</t>
        </is>
      </c>
      <c r="E989" t="inlineStr">
        <is>
          <t>NULL</t>
        </is>
      </c>
      <c r="F989" t="inlineStr">
        <is>
          <t>NULL</t>
        </is>
      </c>
      <c r="G989" t="inlineStr">
        <is>
          <t>NULL</t>
        </is>
      </c>
      <c r="H989" t="inlineStr">
        <is>
          <t>NULL</t>
        </is>
      </c>
      <c r="I989" t="inlineStr">
        <is>
          <t>NULL</t>
        </is>
      </c>
      <c r="J989" t="inlineStr">
        <is>
          <t>NULL</t>
        </is>
      </c>
      <c r="K989" t="inlineStr">
        <is>
          <t>[0;32m YES! [0m 	 c_uniqueidentifier列源备映射正确，源端为uniqueidentifier None位	期望更改为VARCHAR(100)	实际备端为varchar 400位	位数精度不存在，通过长度比较</t>
        </is>
      </c>
    </row>
    <row r="990">
      <c r="A990" t="inlineStr">
        <is>
          <t>info_text_dml_single_nopk_urp</t>
        </is>
      </c>
      <c r="K990" t="inlineStr">
        <is>
          <t>[0;34m info_text_dml_single_nopk_urp [0m源备字段数相同，源端字段：3 	备端字段3</t>
        </is>
      </c>
      <c r="W990" t="inlineStr">
        <is>
          <t>YES 源备无差异</t>
        </is>
      </c>
      <c r="X990">
        <f>A990</f>
        <v/>
      </c>
    </row>
    <row r="991">
      <c r="B991" t="inlineStr">
        <is>
          <t>NULL</t>
        </is>
      </c>
      <c r="C991" t="inlineStr">
        <is>
          <t>NULL</t>
        </is>
      </c>
      <c r="D991" t="inlineStr">
        <is>
          <t>NULL</t>
        </is>
      </c>
      <c r="E991" t="inlineStr">
        <is>
          <t>NULL</t>
        </is>
      </c>
      <c r="F991" t="inlineStr">
        <is>
          <t>NULL</t>
        </is>
      </c>
      <c r="G991" t="inlineStr">
        <is>
          <t>NULL</t>
        </is>
      </c>
      <c r="H991" t="inlineStr">
        <is>
          <t>NULL</t>
        </is>
      </c>
      <c r="I991" t="inlineStr">
        <is>
          <t>NULL</t>
        </is>
      </c>
      <c r="J991" t="inlineStr">
        <is>
          <t>NULL</t>
        </is>
      </c>
      <c r="K991" t="inlineStr">
        <is>
          <t>YES! 	 id列源备映射正确，源端为int None位	期望更改为int	实际备端为int None位</t>
        </is>
      </c>
    </row>
    <row r="992">
      <c r="B992" t="inlineStr">
        <is>
          <t>NULL</t>
        </is>
      </c>
      <c r="C992" t="inlineStr">
        <is>
          <t>NULL</t>
        </is>
      </c>
      <c r="D992" t="inlineStr">
        <is>
          <t>NULL</t>
        </is>
      </c>
      <c r="E992" t="inlineStr">
        <is>
          <t>NULL</t>
        </is>
      </c>
      <c r="F992" t="inlineStr">
        <is>
          <t>NULL</t>
        </is>
      </c>
      <c r="G992" t="inlineStr">
        <is>
          <t>NULL</t>
        </is>
      </c>
      <c r="H992" t="inlineStr">
        <is>
          <t>NULL</t>
        </is>
      </c>
      <c r="I992" t="inlineStr">
        <is>
          <t>NULL</t>
        </is>
      </c>
      <c r="J992" t="inlineStr">
        <is>
          <t>NULL</t>
        </is>
      </c>
      <c r="K992" t="inlineStr">
        <is>
          <t>YES! 	 c_text列源备映射正确，源端为text 2147483647位	期望更改为longtext	实际备端为longtext 4294967295位</t>
        </is>
      </c>
    </row>
    <row r="993">
      <c r="B993" t="inlineStr">
        <is>
          <t>NULL</t>
        </is>
      </c>
      <c r="C993" t="inlineStr">
        <is>
          <t>NULL</t>
        </is>
      </c>
      <c r="D993" t="inlineStr">
        <is>
          <t>NULL</t>
        </is>
      </c>
      <c r="E993" t="inlineStr">
        <is>
          <t>NULL</t>
        </is>
      </c>
      <c r="F993" t="inlineStr">
        <is>
          <t>NULL</t>
        </is>
      </c>
      <c r="G993" t="inlineStr">
        <is>
          <t>NULL</t>
        </is>
      </c>
      <c r="H993" t="inlineStr">
        <is>
          <t>NULL</t>
        </is>
      </c>
      <c r="I993" t="inlineStr">
        <is>
          <t>NULL</t>
        </is>
      </c>
      <c r="J993" t="inlineStr">
        <is>
          <t>NULL</t>
        </is>
      </c>
      <c r="K993" t="inlineStr">
        <is>
          <t>YES! 	 c_ntext列源备映射正确，源端为ntext 2147483646位	期望更改为longtext	实际备端为longtext 4294967295位</t>
        </is>
      </c>
    </row>
    <row r="994">
      <c r="A994" t="inlineStr">
        <is>
          <t>info_time_dml_single_pk</t>
        </is>
      </c>
      <c r="K994" t="inlineStr">
        <is>
          <t>[0;34m info_time_dml_single_pk [0m源备字段数相同，源端字段：9 	备端字段9</t>
        </is>
      </c>
      <c r="W994" t="inlineStr">
        <is>
          <t>YES 源备无差异</t>
        </is>
      </c>
      <c r="X994">
        <f>A994</f>
        <v/>
      </c>
    </row>
    <row r="995">
      <c r="B995" t="inlineStr">
        <is>
          <t>YES</t>
        </is>
      </c>
      <c r="C995" t="inlineStr">
        <is>
          <t>NULL</t>
        </is>
      </c>
      <c r="D995" t="inlineStr">
        <is>
          <t>NULL</t>
        </is>
      </c>
      <c r="E995" t="inlineStr">
        <is>
          <t>NULL</t>
        </is>
      </c>
      <c r="F995" t="inlineStr">
        <is>
          <t>NULL</t>
        </is>
      </c>
      <c r="G995" t="inlineStr">
        <is>
          <t>NULL</t>
        </is>
      </c>
      <c r="H995" t="inlineStr">
        <is>
          <t>NULL</t>
        </is>
      </c>
      <c r="I995" t="inlineStr">
        <is>
          <t>YES!PK__info_tim__3213E83F4F90D1A9</t>
        </is>
      </c>
      <c r="J995" t="inlineStr">
        <is>
          <t>YES! 主键相关索引</t>
        </is>
      </c>
      <c r="K995" t="inlineStr">
        <is>
          <t>YES! 	 id列源备映射正确，源端为int None位	期望更改为int	实际备端为int None位</t>
        </is>
      </c>
    </row>
    <row r="996">
      <c r="B996" t="inlineStr">
        <is>
          <t>NULL</t>
        </is>
      </c>
      <c r="C996" t="inlineStr">
        <is>
          <t>NULL</t>
        </is>
      </c>
      <c r="D996" t="inlineStr">
        <is>
          <t>NULL</t>
        </is>
      </c>
      <c r="E996" t="inlineStr">
        <is>
          <t>NULL</t>
        </is>
      </c>
      <c r="F996" t="inlineStr">
        <is>
          <t>NULL</t>
        </is>
      </c>
      <c r="G996" t="inlineStr">
        <is>
          <t>NULL</t>
        </is>
      </c>
      <c r="H996" t="inlineStr">
        <is>
          <t>NULL</t>
        </is>
      </c>
      <c r="I996" t="inlineStr">
        <is>
          <t>NULL</t>
        </is>
      </c>
      <c r="J996" t="inlineStr">
        <is>
          <t>NULL</t>
        </is>
      </c>
      <c r="K996" t="inlineStr">
        <is>
          <t>[0;32m YES! [0m 	 c_time0列源备映射正确，源端为time None位	期望更改为varchar(20)	实际备端为varchar 80位	位数精度不存在，通过长度比较</t>
        </is>
      </c>
    </row>
    <row r="997">
      <c r="B997" t="inlineStr">
        <is>
          <t>NULL</t>
        </is>
      </c>
      <c r="C997" t="inlineStr">
        <is>
          <t>NULL</t>
        </is>
      </c>
      <c r="D997" t="inlineStr">
        <is>
          <t>NULL</t>
        </is>
      </c>
      <c r="E997" t="inlineStr">
        <is>
          <t>NULL</t>
        </is>
      </c>
      <c r="F997" t="inlineStr">
        <is>
          <t>NULL</t>
        </is>
      </c>
      <c r="G997" t="inlineStr">
        <is>
          <t>NULL</t>
        </is>
      </c>
      <c r="H997" t="inlineStr">
        <is>
          <t>NULL</t>
        </is>
      </c>
      <c r="I997" t="inlineStr">
        <is>
          <t>NULL</t>
        </is>
      </c>
      <c r="J997" t="inlineStr">
        <is>
          <t>NULL</t>
        </is>
      </c>
      <c r="K997" t="inlineStr">
        <is>
          <t>[0;32m YES! [0m 	 c_time1列源备映射正确，源端为time None位	期望更改为varchar(20)	实际备端为varchar 80位	位数精度不存在，通过长度比较</t>
        </is>
      </c>
    </row>
    <row r="998">
      <c r="B998" t="inlineStr">
        <is>
          <t>NULL</t>
        </is>
      </c>
      <c r="C998" t="inlineStr">
        <is>
          <t>NULL</t>
        </is>
      </c>
      <c r="D998" t="inlineStr">
        <is>
          <t>NULL</t>
        </is>
      </c>
      <c r="E998" t="inlineStr">
        <is>
          <t>NULL</t>
        </is>
      </c>
      <c r="F998" t="inlineStr">
        <is>
          <t>NULL</t>
        </is>
      </c>
      <c r="G998" t="inlineStr">
        <is>
          <t>NULL</t>
        </is>
      </c>
      <c r="H998" t="inlineStr">
        <is>
          <t>NULL</t>
        </is>
      </c>
      <c r="I998" t="inlineStr">
        <is>
          <t>NULL</t>
        </is>
      </c>
      <c r="J998" t="inlineStr">
        <is>
          <t>NULL</t>
        </is>
      </c>
      <c r="K998" t="inlineStr">
        <is>
          <t>[0;32m YES! [0m 	 c_time2列源备映射正确，源端为time None位	期望更改为varchar(20)	实际备端为varchar 80位	位数精度不存在，通过长度比较</t>
        </is>
      </c>
    </row>
    <row r="999">
      <c r="B999" t="inlineStr">
        <is>
          <t>NULL</t>
        </is>
      </c>
      <c r="C999" t="inlineStr">
        <is>
          <t>NULL</t>
        </is>
      </c>
      <c r="D999" t="inlineStr">
        <is>
          <t>NULL</t>
        </is>
      </c>
      <c r="E999" t="inlineStr">
        <is>
          <t>NULL</t>
        </is>
      </c>
      <c r="F999" t="inlineStr">
        <is>
          <t>NULL</t>
        </is>
      </c>
      <c r="G999" t="inlineStr">
        <is>
          <t>NULL</t>
        </is>
      </c>
      <c r="H999" t="inlineStr">
        <is>
          <t>NULL</t>
        </is>
      </c>
      <c r="I999" t="inlineStr">
        <is>
          <t>NULL</t>
        </is>
      </c>
      <c r="J999" t="inlineStr">
        <is>
          <t>NULL</t>
        </is>
      </c>
      <c r="K999" t="inlineStr">
        <is>
          <t>[0;32m YES! [0m 	 c_time3列源备映射正确，源端为time None位	期望更改为varchar(20)	实际备端为varchar 80位	位数精度不存在，通过长度比较</t>
        </is>
      </c>
    </row>
    <row r="1000">
      <c r="B1000" t="inlineStr">
        <is>
          <t>NULL</t>
        </is>
      </c>
      <c r="C1000" t="inlineStr">
        <is>
          <t>NULL</t>
        </is>
      </c>
      <c r="D1000" t="inlineStr">
        <is>
          <t>NULL</t>
        </is>
      </c>
      <c r="E1000" t="inlineStr">
        <is>
          <t>NULL</t>
        </is>
      </c>
      <c r="F1000" t="inlineStr">
        <is>
          <t>NULL</t>
        </is>
      </c>
      <c r="G1000" t="inlineStr">
        <is>
          <t>NULL</t>
        </is>
      </c>
      <c r="H1000" t="inlineStr">
        <is>
          <t>NULL</t>
        </is>
      </c>
      <c r="I1000" t="inlineStr">
        <is>
          <t>NULL</t>
        </is>
      </c>
      <c r="J1000" t="inlineStr">
        <is>
          <t>NULL</t>
        </is>
      </c>
      <c r="K1000" t="inlineStr">
        <is>
          <t>[0;32m YES! [0m 	 c_time4列源备映射正确，源端为time None位	期望更改为varchar(20)	实际备端为varchar 80位	位数精度不存在，通过长度比较</t>
        </is>
      </c>
    </row>
    <row r="1001">
      <c r="B1001" t="inlineStr">
        <is>
          <t>NULL</t>
        </is>
      </c>
      <c r="C1001" t="inlineStr">
        <is>
          <t>NULL</t>
        </is>
      </c>
      <c r="D1001" t="inlineStr">
        <is>
          <t>NULL</t>
        </is>
      </c>
      <c r="E1001" t="inlineStr">
        <is>
          <t>NULL</t>
        </is>
      </c>
      <c r="F1001" t="inlineStr">
        <is>
          <t>NULL</t>
        </is>
      </c>
      <c r="G1001" t="inlineStr">
        <is>
          <t>NULL</t>
        </is>
      </c>
      <c r="H1001" t="inlineStr">
        <is>
          <t>NULL</t>
        </is>
      </c>
      <c r="I1001" t="inlineStr">
        <is>
          <t>NULL</t>
        </is>
      </c>
      <c r="J1001" t="inlineStr">
        <is>
          <t>NULL</t>
        </is>
      </c>
      <c r="K1001" t="inlineStr">
        <is>
          <t>[0;32m YES! [0m 	 c_time5列源备映射正确，源端为time None位	期望更改为varchar(20)	实际备端为varchar 80位	位数精度不存在，通过长度比较</t>
        </is>
      </c>
    </row>
    <row r="1002">
      <c r="B1002" t="inlineStr">
        <is>
          <t>NULL</t>
        </is>
      </c>
      <c r="C1002" t="inlineStr">
        <is>
          <t>NULL</t>
        </is>
      </c>
      <c r="D1002" t="inlineStr">
        <is>
          <t>NULL</t>
        </is>
      </c>
      <c r="E1002" t="inlineStr">
        <is>
          <t>NULL</t>
        </is>
      </c>
      <c r="F1002" t="inlineStr">
        <is>
          <t>NULL</t>
        </is>
      </c>
      <c r="G1002" t="inlineStr">
        <is>
          <t>NULL</t>
        </is>
      </c>
      <c r="H1002" t="inlineStr">
        <is>
          <t>NULL</t>
        </is>
      </c>
      <c r="I1002" t="inlineStr">
        <is>
          <t>NULL</t>
        </is>
      </c>
      <c r="J1002" t="inlineStr">
        <is>
          <t>NULL</t>
        </is>
      </c>
      <c r="K1002" t="inlineStr">
        <is>
          <t>[0;32m YES! [0m 	 c_time6列源备映射正确，源端为time None位	期望更改为varchar(20)	实际备端为varchar 80位	位数精度不存在，通过长度比较</t>
        </is>
      </c>
    </row>
    <row r="1003">
      <c r="B1003" t="inlineStr">
        <is>
          <t>NULL</t>
        </is>
      </c>
      <c r="C1003" t="inlineStr">
        <is>
          <t>NULL</t>
        </is>
      </c>
      <c r="D1003" t="inlineStr">
        <is>
          <t>NULL</t>
        </is>
      </c>
      <c r="E1003" t="inlineStr">
        <is>
          <t>NULL</t>
        </is>
      </c>
      <c r="F1003" t="inlineStr">
        <is>
          <t>NULL</t>
        </is>
      </c>
      <c r="G1003" t="inlineStr">
        <is>
          <t>NULL</t>
        </is>
      </c>
      <c r="H1003" t="inlineStr">
        <is>
          <t>NULL</t>
        </is>
      </c>
      <c r="I1003" t="inlineStr">
        <is>
          <t>NULL</t>
        </is>
      </c>
      <c r="J1003" t="inlineStr">
        <is>
          <t>NULL</t>
        </is>
      </c>
      <c r="K1003" t="inlineStr">
        <is>
          <t>[0;32m YES! [0m 	 c_time列源备映射正确，源端为time None位	期望更改为varchar(20)	实际备端为varchar 80位	位数精度不存在，通过长度比较</t>
        </is>
      </c>
    </row>
    <row r="1004">
      <c r="A1004" t="inlineStr">
        <is>
          <t>info_uniqueidentifier_dml_single_nopk_drp</t>
        </is>
      </c>
      <c r="K1004" t="inlineStr">
        <is>
          <t>[0;34m info_uniqueidentifier_dml_single_nopk_drp [0m源备字段数相同，源端字段：2 	备端字段2</t>
        </is>
      </c>
      <c r="W1004" t="inlineStr">
        <is>
          <t>YES 源备无差异</t>
        </is>
      </c>
      <c r="X1004">
        <f>A1004</f>
        <v/>
      </c>
    </row>
    <row r="1005">
      <c r="B1005" t="inlineStr">
        <is>
          <t>NULL</t>
        </is>
      </c>
      <c r="C1005" t="inlineStr">
        <is>
          <t>NULL</t>
        </is>
      </c>
      <c r="D1005" t="inlineStr">
        <is>
          <t>NULL</t>
        </is>
      </c>
      <c r="E1005" t="inlineStr">
        <is>
          <t>NULL</t>
        </is>
      </c>
      <c r="F1005" t="inlineStr">
        <is>
          <t>NULL</t>
        </is>
      </c>
      <c r="G1005" t="inlineStr">
        <is>
          <t>NULL</t>
        </is>
      </c>
      <c r="H1005" t="inlineStr">
        <is>
          <t>NULL</t>
        </is>
      </c>
      <c r="I1005" t="inlineStr">
        <is>
          <t>NULL</t>
        </is>
      </c>
      <c r="J1005" t="inlineStr">
        <is>
          <t>NULL</t>
        </is>
      </c>
      <c r="K1005" t="inlineStr">
        <is>
          <t>YES! 	 id列源备映射正确，源端为int None位	期望更改为int	实际备端为int None位</t>
        </is>
      </c>
    </row>
    <row r="1006">
      <c r="B1006" t="inlineStr">
        <is>
          <t>NULL</t>
        </is>
      </c>
      <c r="C1006" t="inlineStr">
        <is>
          <t>NO!源None备NUL</t>
        </is>
      </c>
      <c r="D1006" t="inlineStr">
        <is>
          <t>NULL</t>
        </is>
      </c>
      <c r="E1006" t="inlineStr">
        <is>
          <t>NULL</t>
        </is>
      </c>
      <c r="F1006" t="inlineStr">
        <is>
          <t>NULL</t>
        </is>
      </c>
      <c r="G1006" t="inlineStr">
        <is>
          <t>NULL</t>
        </is>
      </c>
      <c r="H1006" t="inlineStr">
        <is>
          <t>NULL</t>
        </is>
      </c>
      <c r="I1006" t="inlineStr">
        <is>
          <t>NULL</t>
        </is>
      </c>
      <c r="J1006" t="inlineStr">
        <is>
          <t>NULL</t>
        </is>
      </c>
      <c r="K1006" t="inlineStr">
        <is>
          <t>[0;32m YES! [0m 	 c_uniqueidentifier列源备映射正确，源端为uniqueidentifier None位	期望更改为VARCHAR(100)	实际备端为varchar 400位	位数精度不存在，通过长度比较</t>
        </is>
      </c>
    </row>
    <row r="1007">
      <c r="A1007" t="inlineStr">
        <is>
          <t>info_datetime2_dml_batch2_pk_irp2</t>
        </is>
      </c>
      <c r="K1007" t="inlineStr">
        <is>
          <t>[0;34m info_datetime2_dml_batch2_pk_irp2 [0m源备字段数相同，源端字段：9 	备端字段9</t>
        </is>
      </c>
      <c r="W1007" t="inlineStr">
        <is>
          <t>YES 源备无差异</t>
        </is>
      </c>
      <c r="X1007">
        <f>A1007</f>
        <v/>
      </c>
    </row>
    <row r="1008">
      <c r="B1008" t="inlineStr">
        <is>
          <t>YES</t>
        </is>
      </c>
      <c r="C1008" t="inlineStr">
        <is>
          <t>NULL</t>
        </is>
      </c>
      <c r="D1008" t="inlineStr">
        <is>
          <t>NULL</t>
        </is>
      </c>
      <c r="E1008" t="inlineStr">
        <is>
          <t>NULL</t>
        </is>
      </c>
      <c r="F1008" t="inlineStr">
        <is>
          <t>NULL</t>
        </is>
      </c>
      <c r="G1008" t="inlineStr">
        <is>
          <t>NULL</t>
        </is>
      </c>
      <c r="H1008" t="inlineStr">
        <is>
          <t>NULL</t>
        </is>
      </c>
      <c r="I1008" t="inlineStr">
        <is>
          <t>YES!PK__info_dat__3213E83FDFC319CF</t>
        </is>
      </c>
      <c r="J1008" t="inlineStr">
        <is>
          <t>YES! 主键相关索引</t>
        </is>
      </c>
      <c r="K1008" t="inlineStr">
        <is>
          <t>YES! 	 id列源备映射正确，源端为int None位	期望更改为int	实际备端为int None位</t>
        </is>
      </c>
    </row>
    <row r="1009">
      <c r="B1009" t="inlineStr">
        <is>
          <t>NULL</t>
        </is>
      </c>
      <c r="C1009" t="inlineStr">
        <is>
          <t>NULL</t>
        </is>
      </c>
      <c r="D1009" t="inlineStr">
        <is>
          <t>NULL</t>
        </is>
      </c>
      <c r="E1009" t="inlineStr">
        <is>
          <t>NULL</t>
        </is>
      </c>
      <c r="F1009" t="inlineStr">
        <is>
          <t>NULL</t>
        </is>
      </c>
      <c r="G1009" t="inlineStr">
        <is>
          <t>NULL</t>
        </is>
      </c>
      <c r="H1009" t="inlineStr">
        <is>
          <t>NULL</t>
        </is>
      </c>
      <c r="I1009" t="inlineStr">
        <is>
          <t>NULL</t>
        </is>
      </c>
      <c r="J1009" t="inlineStr">
        <is>
          <t>NULL</t>
        </is>
      </c>
      <c r="K1009" t="inlineStr">
        <is>
          <t>no,len不存在</t>
        </is>
      </c>
    </row>
    <row r="1010">
      <c r="B1010" t="inlineStr">
        <is>
          <t>NULL</t>
        </is>
      </c>
      <c r="C1010" t="inlineStr">
        <is>
          <t>NULL</t>
        </is>
      </c>
      <c r="D1010" t="inlineStr">
        <is>
          <t>NULL</t>
        </is>
      </c>
      <c r="E1010" t="inlineStr">
        <is>
          <t>NULL</t>
        </is>
      </c>
      <c r="F1010" t="inlineStr">
        <is>
          <t>NULL</t>
        </is>
      </c>
      <c r="G1010" t="inlineStr">
        <is>
          <t>NULL</t>
        </is>
      </c>
      <c r="H1010" t="inlineStr">
        <is>
          <t>NULL</t>
        </is>
      </c>
      <c r="I1010" t="inlineStr">
        <is>
          <t>NULL</t>
        </is>
      </c>
      <c r="J1010" t="inlineStr">
        <is>
          <t>NULL</t>
        </is>
      </c>
      <c r="K1010" t="inlineStr">
        <is>
          <t>YES! 	 c_dt2_1列源备映射正确，源端为datetime2 None位	期望更改为datetime(n)	实际备端为datetime None位</t>
        </is>
      </c>
    </row>
    <row r="1011">
      <c r="B1011" t="inlineStr">
        <is>
          <t>NULL</t>
        </is>
      </c>
      <c r="C1011" t="inlineStr">
        <is>
          <t>NULL</t>
        </is>
      </c>
      <c r="D1011" t="inlineStr">
        <is>
          <t>NULL</t>
        </is>
      </c>
      <c r="E1011" t="inlineStr">
        <is>
          <t>NULL</t>
        </is>
      </c>
      <c r="F1011" t="inlineStr">
        <is>
          <t>NULL</t>
        </is>
      </c>
      <c r="G1011" t="inlineStr">
        <is>
          <t>NULL</t>
        </is>
      </c>
      <c r="H1011" t="inlineStr">
        <is>
          <t>NULL</t>
        </is>
      </c>
      <c r="I1011" t="inlineStr">
        <is>
          <t>NULL</t>
        </is>
      </c>
      <c r="J1011" t="inlineStr">
        <is>
          <t>NULL</t>
        </is>
      </c>
      <c r="K1011" t="inlineStr">
        <is>
          <t>YES! 	 c_dt2_2列源备映射正确，源端为datetime2 None位	期望更改为datetime(n)	实际备端为datetime None位</t>
        </is>
      </c>
    </row>
    <row r="1012">
      <c r="B1012" t="inlineStr">
        <is>
          <t>NULL</t>
        </is>
      </c>
      <c r="C1012" t="inlineStr">
        <is>
          <t>NULL</t>
        </is>
      </c>
      <c r="D1012" t="inlineStr">
        <is>
          <t>NULL</t>
        </is>
      </c>
      <c r="E1012" t="inlineStr">
        <is>
          <t>NULL</t>
        </is>
      </c>
      <c r="F1012" t="inlineStr">
        <is>
          <t>NULL</t>
        </is>
      </c>
      <c r="G1012" t="inlineStr">
        <is>
          <t>NULL</t>
        </is>
      </c>
      <c r="H1012" t="inlineStr">
        <is>
          <t>NULL</t>
        </is>
      </c>
      <c r="I1012" t="inlineStr">
        <is>
          <t>NULL</t>
        </is>
      </c>
      <c r="J1012" t="inlineStr">
        <is>
          <t>NULL</t>
        </is>
      </c>
      <c r="K1012" t="inlineStr">
        <is>
          <t>YES! 	 c_dt2_3列源备映射正确，源端为datetime2 None位	期望更改为datetime(n)	实际备端为datetime None位</t>
        </is>
      </c>
    </row>
    <row r="1013">
      <c r="B1013" t="inlineStr">
        <is>
          <t>NULL</t>
        </is>
      </c>
      <c r="C1013" t="inlineStr">
        <is>
          <t>NULL</t>
        </is>
      </c>
      <c r="D1013" t="inlineStr">
        <is>
          <t>NULL</t>
        </is>
      </c>
      <c r="E1013" t="inlineStr">
        <is>
          <t>NULL</t>
        </is>
      </c>
      <c r="F1013" t="inlineStr">
        <is>
          <t>NULL</t>
        </is>
      </c>
      <c r="G1013" t="inlineStr">
        <is>
          <t>NULL</t>
        </is>
      </c>
      <c r="H1013" t="inlineStr">
        <is>
          <t>NULL</t>
        </is>
      </c>
      <c r="I1013" t="inlineStr">
        <is>
          <t>NULL</t>
        </is>
      </c>
      <c r="J1013" t="inlineStr">
        <is>
          <t>NULL</t>
        </is>
      </c>
      <c r="K1013" t="inlineStr">
        <is>
          <t>YES! 	 c_dt2_4列源备映射正确，源端为datetime2 None位	期望更改为datetime(n)	实际备端为datetime None位</t>
        </is>
      </c>
    </row>
    <row r="1014">
      <c r="B1014" t="inlineStr">
        <is>
          <t>NULL</t>
        </is>
      </c>
      <c r="C1014" t="inlineStr">
        <is>
          <t>NULL</t>
        </is>
      </c>
      <c r="D1014" t="inlineStr">
        <is>
          <t>NULL</t>
        </is>
      </c>
      <c r="E1014" t="inlineStr">
        <is>
          <t>NULL</t>
        </is>
      </c>
      <c r="F1014" t="inlineStr">
        <is>
          <t>NULL</t>
        </is>
      </c>
      <c r="G1014" t="inlineStr">
        <is>
          <t>NULL</t>
        </is>
      </c>
      <c r="H1014" t="inlineStr">
        <is>
          <t>NULL</t>
        </is>
      </c>
      <c r="I1014" t="inlineStr">
        <is>
          <t>NULL</t>
        </is>
      </c>
      <c r="J1014" t="inlineStr">
        <is>
          <t>NULL</t>
        </is>
      </c>
      <c r="K1014" t="inlineStr">
        <is>
          <t>YES! 	 c_dt2_5列源备映射正确，源端为datetime2 None位	期望更改为datetime(n)	实际备端为datetime None位</t>
        </is>
      </c>
    </row>
    <row r="1015">
      <c r="B1015" t="inlineStr">
        <is>
          <t>NULL</t>
        </is>
      </c>
      <c r="C1015" t="inlineStr">
        <is>
          <t>NULL</t>
        </is>
      </c>
      <c r="D1015" t="inlineStr">
        <is>
          <t>NULL</t>
        </is>
      </c>
      <c r="E1015" t="inlineStr">
        <is>
          <t>NULL</t>
        </is>
      </c>
      <c r="F1015" t="inlineStr">
        <is>
          <t>NULL</t>
        </is>
      </c>
      <c r="G1015" t="inlineStr">
        <is>
          <t>NULL</t>
        </is>
      </c>
      <c r="H1015" t="inlineStr">
        <is>
          <t>NULL</t>
        </is>
      </c>
      <c r="I1015" t="inlineStr">
        <is>
          <t>NULL</t>
        </is>
      </c>
      <c r="J1015" t="inlineStr">
        <is>
          <t>NULL</t>
        </is>
      </c>
      <c r="K1015" t="inlineStr">
        <is>
          <t>YES! 	 c_dt2_6列源备映射正确，源端为datetime2 None位	期望更改为datetime(n)	实际备端为datetime None位</t>
        </is>
      </c>
    </row>
    <row r="1016">
      <c r="B1016" t="inlineStr">
        <is>
          <t>NULL</t>
        </is>
      </c>
      <c r="C1016" t="inlineStr">
        <is>
          <t>NULL</t>
        </is>
      </c>
      <c r="D1016" t="inlineStr">
        <is>
          <t>NULL</t>
        </is>
      </c>
      <c r="E1016" t="inlineStr">
        <is>
          <t>NULL</t>
        </is>
      </c>
      <c r="F1016" t="inlineStr">
        <is>
          <t>NULL</t>
        </is>
      </c>
      <c r="G1016" t="inlineStr">
        <is>
          <t>NULL</t>
        </is>
      </c>
      <c r="H1016" t="inlineStr">
        <is>
          <t>NULL</t>
        </is>
      </c>
      <c r="I1016" t="inlineStr">
        <is>
          <t>NULL</t>
        </is>
      </c>
      <c r="J1016" t="inlineStr">
        <is>
          <t>NULL</t>
        </is>
      </c>
      <c r="K1016" t="inlineStr">
        <is>
          <t xml:space="preserve"> NO!  	 c_dt2列源备映射错误，源端为datetime2 None位	期望更改为datetime(n)	实际备端为varchar 136位</t>
        </is>
      </c>
    </row>
    <row r="1017">
      <c r="A1017" t="inlineStr">
        <is>
          <t>info_nchar_dml_batch1_pk</t>
        </is>
      </c>
      <c r="K1017" t="inlineStr">
        <is>
          <t>[0;34m info_nchar_dml_batch1_pk [0m源备字段数相同，源端字段：4 	备端字段4</t>
        </is>
      </c>
      <c r="W1017" t="inlineStr">
        <is>
          <t>YES 源备无差异</t>
        </is>
      </c>
      <c r="X1017">
        <f>A1017</f>
        <v/>
      </c>
    </row>
    <row r="1018">
      <c r="B1018" t="inlineStr">
        <is>
          <t>YES</t>
        </is>
      </c>
      <c r="C1018" t="inlineStr">
        <is>
          <t>NULL</t>
        </is>
      </c>
      <c r="D1018" t="inlineStr">
        <is>
          <t>NULL</t>
        </is>
      </c>
      <c r="E1018" t="inlineStr">
        <is>
          <t>NULL</t>
        </is>
      </c>
      <c r="F1018" t="inlineStr">
        <is>
          <t>NULL</t>
        </is>
      </c>
      <c r="G1018" t="inlineStr">
        <is>
          <t>NULL</t>
        </is>
      </c>
      <c r="H1018" t="inlineStr">
        <is>
          <t>NULL</t>
        </is>
      </c>
      <c r="I1018" t="inlineStr">
        <is>
          <t>YES!PK__info_nch__3213E83F565E5991</t>
        </is>
      </c>
      <c r="J1018" t="inlineStr">
        <is>
          <t>YES! 主键相关索引</t>
        </is>
      </c>
      <c r="K1018" t="inlineStr">
        <is>
          <t>YES! 	 id列源备映射正确，源端为int None位	期望更改为int	实际备端为int None位</t>
        </is>
      </c>
    </row>
    <row r="1019">
      <c r="B1019" t="inlineStr">
        <is>
          <t>NULL</t>
        </is>
      </c>
      <c r="C1019" t="inlineStr">
        <is>
          <t>NULL</t>
        </is>
      </c>
      <c r="D1019" t="inlineStr">
        <is>
          <t>NULL</t>
        </is>
      </c>
      <c r="E1019" t="inlineStr">
        <is>
          <t>NULL</t>
        </is>
      </c>
      <c r="F1019" t="inlineStr">
        <is>
          <t>NULL</t>
        </is>
      </c>
      <c r="G1019" t="inlineStr">
        <is>
          <t>NULL</t>
        </is>
      </c>
      <c r="H1019" t="inlineStr">
        <is>
          <t>NULL</t>
        </is>
      </c>
      <c r="I1019" t="inlineStr">
        <is>
          <t>NULL</t>
        </is>
      </c>
      <c r="J1019" t="inlineStr">
        <is>
          <t>NULL</t>
        </is>
      </c>
      <c r="K1019" t="inlineStr">
        <is>
          <t>YES! 	 c_nchar列源备映射正确，源端为nchar 2位	期望更改为char(n)	实际备端为char 4位</t>
        </is>
      </c>
    </row>
    <row r="1020">
      <c r="B1020" t="inlineStr">
        <is>
          <t>NULL</t>
        </is>
      </c>
      <c r="C1020" t="inlineStr">
        <is>
          <t>NULL</t>
        </is>
      </c>
      <c r="D1020" t="inlineStr">
        <is>
          <t>NULL</t>
        </is>
      </c>
      <c r="E1020" t="inlineStr">
        <is>
          <t>NULL</t>
        </is>
      </c>
      <c r="F1020" t="inlineStr">
        <is>
          <t>NULL</t>
        </is>
      </c>
      <c r="G1020" t="inlineStr">
        <is>
          <t>NULL</t>
        </is>
      </c>
      <c r="H1020" t="inlineStr">
        <is>
          <t>NULL</t>
        </is>
      </c>
      <c r="I1020" t="inlineStr">
        <is>
          <t>NULL</t>
        </is>
      </c>
      <c r="J1020" t="inlineStr">
        <is>
          <t>NULL</t>
        </is>
      </c>
      <c r="K1020" t="inlineStr">
        <is>
          <t>YES! 	 c_nchar20列源备映射正确，源端为nchar 40位	期望更改为char(n)	实际备端为char 80位</t>
        </is>
      </c>
    </row>
    <row r="1021">
      <c r="B1021" t="inlineStr">
        <is>
          <t>NULL</t>
        </is>
      </c>
      <c r="C1021" t="inlineStr">
        <is>
          <t>NULL</t>
        </is>
      </c>
      <c r="D1021" t="inlineStr">
        <is>
          <t>NULL</t>
        </is>
      </c>
      <c r="E1021" t="inlineStr">
        <is>
          <t>NULL</t>
        </is>
      </c>
      <c r="F1021" t="inlineStr">
        <is>
          <t>NULL</t>
        </is>
      </c>
      <c r="G1021" t="inlineStr">
        <is>
          <t>NULL</t>
        </is>
      </c>
      <c r="H1021" t="inlineStr">
        <is>
          <t>NULL</t>
        </is>
      </c>
      <c r="I1021" t="inlineStr">
        <is>
          <t>NULL</t>
        </is>
      </c>
      <c r="J1021" t="inlineStr">
        <is>
          <t>NULL</t>
        </is>
      </c>
      <c r="K1021" t="inlineStr">
        <is>
          <t xml:space="preserve"> NO!  	 c_nchar3500列源备映射错误，源端为nchar 7000位	期望更改为varchar(n)	实际备端为text 65535位</t>
        </is>
      </c>
    </row>
    <row r="1022">
      <c r="A1022" t="inlineStr">
        <is>
          <t>info_text_dml_single_nopk</t>
        </is>
      </c>
      <c r="K1022" t="inlineStr">
        <is>
          <t>[0;34m info_text_dml_single_nopk [0m源备字段数相同，源端字段：3 	备端字段3</t>
        </is>
      </c>
      <c r="W1022" t="inlineStr">
        <is>
          <t>YES 源备无差异</t>
        </is>
      </c>
      <c r="X1022">
        <f>A1022</f>
        <v/>
      </c>
    </row>
    <row r="1023">
      <c r="B1023" t="inlineStr">
        <is>
          <t>NULL</t>
        </is>
      </c>
      <c r="C1023" t="inlineStr">
        <is>
          <t>NULL</t>
        </is>
      </c>
      <c r="D1023" t="inlineStr">
        <is>
          <t>NULL</t>
        </is>
      </c>
      <c r="E1023" t="inlineStr">
        <is>
          <t>NULL</t>
        </is>
      </c>
      <c r="F1023" t="inlineStr">
        <is>
          <t>NULL</t>
        </is>
      </c>
      <c r="G1023" t="inlineStr">
        <is>
          <t>NULL</t>
        </is>
      </c>
      <c r="H1023" t="inlineStr">
        <is>
          <t>NULL</t>
        </is>
      </c>
      <c r="I1023" t="inlineStr">
        <is>
          <t>NULL</t>
        </is>
      </c>
      <c r="J1023" t="inlineStr">
        <is>
          <t>NULL</t>
        </is>
      </c>
      <c r="K1023" t="inlineStr">
        <is>
          <t>YES! 	 id列源备映射正确，源端为int None位	期望更改为int	实际备端为int None位</t>
        </is>
      </c>
    </row>
    <row r="1024">
      <c r="B1024" t="inlineStr">
        <is>
          <t>NULL</t>
        </is>
      </c>
      <c r="C1024" t="inlineStr">
        <is>
          <t>NULL</t>
        </is>
      </c>
      <c r="D1024" t="inlineStr">
        <is>
          <t>NULL</t>
        </is>
      </c>
      <c r="E1024" t="inlineStr">
        <is>
          <t>NULL</t>
        </is>
      </c>
      <c r="F1024" t="inlineStr">
        <is>
          <t>NULL</t>
        </is>
      </c>
      <c r="G1024" t="inlineStr">
        <is>
          <t>NULL</t>
        </is>
      </c>
      <c r="H1024" t="inlineStr">
        <is>
          <t>NULL</t>
        </is>
      </c>
      <c r="I1024" t="inlineStr">
        <is>
          <t>NULL</t>
        </is>
      </c>
      <c r="J1024" t="inlineStr">
        <is>
          <t>NULL</t>
        </is>
      </c>
      <c r="K1024" t="inlineStr">
        <is>
          <t>YES! 	 c_text列源备映射正确，源端为text 2147483647位	期望更改为longtext	实际备端为longtext 4294967295位</t>
        </is>
      </c>
    </row>
    <row r="1025">
      <c r="B1025" t="inlineStr">
        <is>
          <t>NULL</t>
        </is>
      </c>
      <c r="C1025" t="inlineStr">
        <is>
          <t>NULL</t>
        </is>
      </c>
      <c r="D1025" t="inlineStr">
        <is>
          <t>NULL</t>
        </is>
      </c>
      <c r="E1025" t="inlineStr">
        <is>
          <t>NULL</t>
        </is>
      </c>
      <c r="F1025" t="inlineStr">
        <is>
          <t>NULL</t>
        </is>
      </c>
      <c r="G1025" t="inlineStr">
        <is>
          <t>NULL</t>
        </is>
      </c>
      <c r="H1025" t="inlineStr">
        <is>
          <t>NULL</t>
        </is>
      </c>
      <c r="I1025" t="inlineStr">
        <is>
          <t>NULL</t>
        </is>
      </c>
      <c r="J1025" t="inlineStr">
        <is>
          <t>NULL</t>
        </is>
      </c>
      <c r="K1025" t="inlineStr">
        <is>
          <t>YES! 	 c_ntext列源备映射正确，源端为ntext 2147483646位	期望更改为longtext	实际备端为longtext 4294967295位</t>
        </is>
      </c>
    </row>
    <row r="1026">
      <c r="K1026" t="inlineStr">
        <is>
          <t>~ 空表</t>
        </is>
      </c>
    </row>
    <row r="1027">
      <c r="A1027" t="inlineStr">
        <is>
          <t>info_sdt_dml_single_pk_irp</t>
        </is>
      </c>
      <c r="K1027" t="inlineStr">
        <is>
          <t>[0;34m info_sdt_dml_single_pk_irp [0m源备字段数相同，源端字段：2 	备端字段2</t>
        </is>
      </c>
      <c r="W1027" t="inlineStr">
        <is>
          <t>YES 源备无差异</t>
        </is>
      </c>
      <c r="X1027">
        <f>A1027</f>
        <v/>
      </c>
    </row>
    <row r="1028">
      <c r="B1028" t="inlineStr">
        <is>
          <t>YES</t>
        </is>
      </c>
      <c r="C1028" t="inlineStr">
        <is>
          <t>NULL</t>
        </is>
      </c>
      <c r="D1028" t="inlineStr">
        <is>
          <t>NULL</t>
        </is>
      </c>
      <c r="E1028" t="inlineStr">
        <is>
          <t>NULL</t>
        </is>
      </c>
      <c r="F1028" t="inlineStr">
        <is>
          <t>NULL</t>
        </is>
      </c>
      <c r="G1028" t="inlineStr">
        <is>
          <t>NULL</t>
        </is>
      </c>
      <c r="H1028" t="inlineStr">
        <is>
          <t>NULL</t>
        </is>
      </c>
      <c r="I1028" t="inlineStr">
        <is>
          <t>YES!PK__info_sdt__3213E83F63FCCC00</t>
        </is>
      </c>
      <c r="J1028" t="inlineStr">
        <is>
          <t>YES! 主键相关索引</t>
        </is>
      </c>
      <c r="K1028" t="inlineStr">
        <is>
          <t>YES! 	 id列源备映射正确，源端为int None位	期望更改为int	实际备端为int None位</t>
        </is>
      </c>
    </row>
    <row r="1029">
      <c r="B1029" t="inlineStr">
        <is>
          <t>NULL</t>
        </is>
      </c>
      <c r="C1029" t="inlineStr">
        <is>
          <t>NULL</t>
        </is>
      </c>
      <c r="D1029" t="inlineStr">
        <is>
          <t>NULL</t>
        </is>
      </c>
      <c r="E1029" t="inlineStr">
        <is>
          <t>NULL</t>
        </is>
      </c>
      <c r="F1029" t="inlineStr">
        <is>
          <t>NULL</t>
        </is>
      </c>
      <c r="G1029" t="inlineStr">
        <is>
          <t>NULL</t>
        </is>
      </c>
      <c r="H1029" t="inlineStr">
        <is>
          <t>NULL</t>
        </is>
      </c>
      <c r="I1029" t="inlineStr">
        <is>
          <t>NULL</t>
        </is>
      </c>
      <c r="J1029" t="inlineStr">
        <is>
          <t>NULL</t>
        </is>
      </c>
      <c r="K1029" t="inlineStr">
        <is>
          <t>YES! 	 c_sdt列源备映射正确，源端为smalldatetime None位	期望更改为datetime	实际备端为datetime None位</t>
        </is>
      </c>
    </row>
    <row r="1030">
      <c r="A1030" t="inlineStr">
        <is>
          <t>info_text_dml_single_nopk_drp</t>
        </is>
      </c>
      <c r="K1030" t="inlineStr">
        <is>
          <t>[0;34m info_text_dml_single_nopk_drp [0m源备字段数相同，源端字段：3 	备端字段3</t>
        </is>
      </c>
      <c r="W1030" t="inlineStr">
        <is>
          <t>YES 源备无差异</t>
        </is>
      </c>
      <c r="X1030">
        <f>A1030</f>
        <v/>
      </c>
    </row>
    <row r="1031">
      <c r="B1031" t="inlineStr">
        <is>
          <t>NULL</t>
        </is>
      </c>
      <c r="C1031" t="inlineStr">
        <is>
          <t>NULL</t>
        </is>
      </c>
      <c r="D1031" t="inlineStr">
        <is>
          <t>NULL</t>
        </is>
      </c>
      <c r="E1031" t="inlineStr">
        <is>
          <t>NULL</t>
        </is>
      </c>
      <c r="F1031" t="inlineStr">
        <is>
          <t>NULL</t>
        </is>
      </c>
      <c r="G1031" t="inlineStr">
        <is>
          <t>NULL</t>
        </is>
      </c>
      <c r="H1031" t="inlineStr">
        <is>
          <t>NULL</t>
        </is>
      </c>
      <c r="I1031" t="inlineStr">
        <is>
          <t>NULL</t>
        </is>
      </c>
      <c r="J1031" t="inlineStr">
        <is>
          <t>NULL</t>
        </is>
      </c>
      <c r="K1031" t="inlineStr">
        <is>
          <t>YES! 	 id列源备映射正确，源端为int None位	期望更改为int	实际备端为int None位</t>
        </is>
      </c>
    </row>
    <row r="1032">
      <c r="B1032" t="inlineStr">
        <is>
          <t>NULL</t>
        </is>
      </c>
      <c r="C1032" t="inlineStr">
        <is>
          <t>NULL</t>
        </is>
      </c>
      <c r="D1032" t="inlineStr">
        <is>
          <t>NULL</t>
        </is>
      </c>
      <c r="E1032" t="inlineStr">
        <is>
          <t>NULL</t>
        </is>
      </c>
      <c r="F1032" t="inlineStr">
        <is>
          <t>NULL</t>
        </is>
      </c>
      <c r="G1032" t="inlineStr">
        <is>
          <t>NULL</t>
        </is>
      </c>
      <c r="H1032" t="inlineStr">
        <is>
          <t>NULL</t>
        </is>
      </c>
      <c r="I1032" t="inlineStr">
        <is>
          <t>NULL</t>
        </is>
      </c>
      <c r="J1032" t="inlineStr">
        <is>
          <t>NULL</t>
        </is>
      </c>
      <c r="K1032" t="inlineStr">
        <is>
          <t>YES! 	 c_text列源备映射正确，源端为text 2147483647位	期望更改为longtext	实际备端为longtext 4294967295位</t>
        </is>
      </c>
    </row>
    <row r="1033">
      <c r="B1033" t="inlineStr">
        <is>
          <t>NULL</t>
        </is>
      </c>
      <c r="C1033" t="inlineStr">
        <is>
          <t>NULL</t>
        </is>
      </c>
      <c r="D1033" t="inlineStr">
        <is>
          <t>NULL</t>
        </is>
      </c>
      <c r="E1033" t="inlineStr">
        <is>
          <t>NULL</t>
        </is>
      </c>
      <c r="F1033" t="inlineStr">
        <is>
          <t>NULL</t>
        </is>
      </c>
      <c r="G1033" t="inlineStr">
        <is>
          <t>NULL</t>
        </is>
      </c>
      <c r="H1033" t="inlineStr">
        <is>
          <t>NULL</t>
        </is>
      </c>
      <c r="I1033" t="inlineStr">
        <is>
          <t>NULL</t>
        </is>
      </c>
      <c r="J1033" t="inlineStr">
        <is>
          <t>NULL</t>
        </is>
      </c>
      <c r="K1033" t="inlineStr">
        <is>
          <t>YES! 	 c_ntext列源备映射正确，源端为ntext 2147483646位	期望更改为longtext	实际备端为longtext 4294967295位</t>
        </is>
      </c>
    </row>
    <row r="1034">
      <c r="A1034" t="inlineStr">
        <is>
          <t>info_uniqueidentifier_dml_single_nopk</t>
        </is>
      </c>
      <c r="K1034" t="inlineStr">
        <is>
          <t>[0;34m info_uniqueidentifier_dml_single_nopk [0m源备字段数相同，源端字段：2 	备端字段2</t>
        </is>
      </c>
      <c r="W1034" t="inlineStr">
        <is>
          <t>YES 源备无差异</t>
        </is>
      </c>
      <c r="X1034">
        <f>A1034</f>
        <v/>
      </c>
    </row>
    <row r="1035">
      <c r="B1035" t="inlineStr">
        <is>
          <t>NULL</t>
        </is>
      </c>
      <c r="C1035" t="inlineStr">
        <is>
          <t>NULL</t>
        </is>
      </c>
      <c r="D1035" t="inlineStr">
        <is>
          <t>NULL</t>
        </is>
      </c>
      <c r="E1035" t="inlineStr">
        <is>
          <t>NULL</t>
        </is>
      </c>
      <c r="F1035" t="inlineStr">
        <is>
          <t>NULL</t>
        </is>
      </c>
      <c r="G1035" t="inlineStr">
        <is>
          <t>NULL</t>
        </is>
      </c>
      <c r="H1035" t="inlineStr">
        <is>
          <t>NULL</t>
        </is>
      </c>
      <c r="I1035" t="inlineStr">
        <is>
          <t>NULL</t>
        </is>
      </c>
      <c r="J1035" t="inlineStr">
        <is>
          <t>NULL</t>
        </is>
      </c>
      <c r="K1035" t="inlineStr">
        <is>
          <t>YES! 	 id列源备映射正确，源端为int None位	期望更改为int	实际备端为int None位</t>
        </is>
      </c>
    </row>
    <row r="1036">
      <c r="B1036" t="inlineStr">
        <is>
          <t>NULL</t>
        </is>
      </c>
      <c r="C1036" t="inlineStr">
        <is>
          <t>NO!源None备NUL</t>
        </is>
      </c>
      <c r="D1036" t="inlineStr">
        <is>
          <t>NULL</t>
        </is>
      </c>
      <c r="E1036" t="inlineStr">
        <is>
          <t>NULL</t>
        </is>
      </c>
      <c r="F1036" t="inlineStr">
        <is>
          <t>NULL</t>
        </is>
      </c>
      <c r="G1036" t="inlineStr">
        <is>
          <t>NULL</t>
        </is>
      </c>
      <c r="H1036" t="inlineStr">
        <is>
          <t>NULL</t>
        </is>
      </c>
      <c r="I1036" t="inlineStr">
        <is>
          <t>NULL</t>
        </is>
      </c>
      <c r="J1036" t="inlineStr">
        <is>
          <t>NULL</t>
        </is>
      </c>
      <c r="K1036" t="inlineStr">
        <is>
          <t>[0;32m YES! [0m 	 c_uniqueidentifier列源备映射正确，源端为uniqueidentifier None位	期望更改为VARCHAR(100)	实际备端为varchar 400位	位数精度不存在，通过长度比较</t>
        </is>
      </c>
    </row>
    <row r="1037">
      <c r="A1037" t="inlineStr">
        <is>
          <t>info_datetime2_dml_batch1_pk_urp1</t>
        </is>
      </c>
      <c r="K1037" t="inlineStr">
        <is>
          <t>[0;34m info_datetime2_dml_batch1_pk_urp1 [0m源备字段数相同，源端字段：9 	备端字段9</t>
        </is>
      </c>
      <c r="W1037" t="inlineStr">
        <is>
          <t>YES 源备无差异</t>
        </is>
      </c>
      <c r="X1037">
        <f>A1037</f>
        <v/>
      </c>
    </row>
    <row r="1038">
      <c r="B1038" t="inlineStr">
        <is>
          <t>YES</t>
        </is>
      </c>
      <c r="C1038" t="inlineStr">
        <is>
          <t>NULL</t>
        </is>
      </c>
      <c r="D1038" t="inlineStr">
        <is>
          <t>NULL</t>
        </is>
      </c>
      <c r="E1038" t="inlineStr">
        <is>
          <t>NULL</t>
        </is>
      </c>
      <c r="F1038" t="inlineStr">
        <is>
          <t>NULL</t>
        </is>
      </c>
      <c r="G1038" t="inlineStr">
        <is>
          <t>NULL</t>
        </is>
      </c>
      <c r="H1038" t="inlineStr">
        <is>
          <t>NULL</t>
        </is>
      </c>
      <c r="I1038" t="inlineStr">
        <is>
          <t>YES!PK__info_dat__3213E83F0F515F5B</t>
        </is>
      </c>
      <c r="J1038" t="inlineStr">
        <is>
          <t>YES! 主键相关索引</t>
        </is>
      </c>
      <c r="K1038" t="inlineStr">
        <is>
          <t>YES! 	 id列源备映射正确，源端为int None位	期望更改为int	实际备端为int None位</t>
        </is>
      </c>
    </row>
    <row r="1039">
      <c r="B1039" t="inlineStr">
        <is>
          <t>NULL</t>
        </is>
      </c>
      <c r="C1039" t="inlineStr">
        <is>
          <t>NULL</t>
        </is>
      </c>
      <c r="D1039" t="inlineStr">
        <is>
          <t>NULL</t>
        </is>
      </c>
      <c r="E1039" t="inlineStr">
        <is>
          <t>NULL</t>
        </is>
      </c>
      <c r="F1039" t="inlineStr">
        <is>
          <t>NULL</t>
        </is>
      </c>
      <c r="G1039" t="inlineStr">
        <is>
          <t>NULL</t>
        </is>
      </c>
      <c r="H1039" t="inlineStr">
        <is>
          <t>NULL</t>
        </is>
      </c>
      <c r="I1039" t="inlineStr">
        <is>
          <t>NULL</t>
        </is>
      </c>
      <c r="J1039" t="inlineStr">
        <is>
          <t>NULL</t>
        </is>
      </c>
      <c r="K1039" t="inlineStr">
        <is>
          <t>no,len不存在</t>
        </is>
      </c>
    </row>
    <row r="1040">
      <c r="B1040" t="inlineStr">
        <is>
          <t>NULL</t>
        </is>
      </c>
      <c r="C1040" t="inlineStr">
        <is>
          <t>NULL</t>
        </is>
      </c>
      <c r="D1040" t="inlineStr">
        <is>
          <t>NULL</t>
        </is>
      </c>
      <c r="E1040" t="inlineStr">
        <is>
          <t>NULL</t>
        </is>
      </c>
      <c r="F1040" t="inlineStr">
        <is>
          <t>NULL</t>
        </is>
      </c>
      <c r="G1040" t="inlineStr">
        <is>
          <t>NULL</t>
        </is>
      </c>
      <c r="H1040" t="inlineStr">
        <is>
          <t>NULL</t>
        </is>
      </c>
      <c r="I1040" t="inlineStr">
        <is>
          <t>NULL</t>
        </is>
      </c>
      <c r="J1040" t="inlineStr">
        <is>
          <t>NULL</t>
        </is>
      </c>
      <c r="K1040" t="inlineStr">
        <is>
          <t>YES! 	 c_dt2_1列源备映射正确，源端为datetime2 None位	期望更改为datetime(n)	实际备端为datetime None位</t>
        </is>
      </c>
    </row>
    <row r="1041">
      <c r="B1041" t="inlineStr">
        <is>
          <t>NULL</t>
        </is>
      </c>
      <c r="C1041" t="inlineStr">
        <is>
          <t>NULL</t>
        </is>
      </c>
      <c r="D1041" t="inlineStr">
        <is>
          <t>NULL</t>
        </is>
      </c>
      <c r="E1041" t="inlineStr">
        <is>
          <t>NULL</t>
        </is>
      </c>
      <c r="F1041" t="inlineStr">
        <is>
          <t>NULL</t>
        </is>
      </c>
      <c r="G1041" t="inlineStr">
        <is>
          <t>NULL</t>
        </is>
      </c>
      <c r="H1041" t="inlineStr">
        <is>
          <t>NULL</t>
        </is>
      </c>
      <c r="I1041" t="inlineStr">
        <is>
          <t>NULL</t>
        </is>
      </c>
      <c r="J1041" t="inlineStr">
        <is>
          <t>NULL</t>
        </is>
      </c>
      <c r="K1041" t="inlineStr">
        <is>
          <t>YES! 	 c_dt2_2列源备映射正确，源端为datetime2 None位	期望更改为datetime(n)	实际备端为datetime None位</t>
        </is>
      </c>
    </row>
    <row r="1042">
      <c r="B1042" t="inlineStr">
        <is>
          <t>NULL</t>
        </is>
      </c>
      <c r="C1042" t="inlineStr">
        <is>
          <t>NULL</t>
        </is>
      </c>
      <c r="D1042" t="inlineStr">
        <is>
          <t>NULL</t>
        </is>
      </c>
      <c r="E1042" t="inlineStr">
        <is>
          <t>NULL</t>
        </is>
      </c>
      <c r="F1042" t="inlineStr">
        <is>
          <t>NULL</t>
        </is>
      </c>
      <c r="G1042" t="inlineStr">
        <is>
          <t>NULL</t>
        </is>
      </c>
      <c r="H1042" t="inlineStr">
        <is>
          <t>NULL</t>
        </is>
      </c>
      <c r="I1042" t="inlineStr">
        <is>
          <t>NULL</t>
        </is>
      </c>
      <c r="J1042" t="inlineStr">
        <is>
          <t>NULL</t>
        </is>
      </c>
      <c r="K1042" t="inlineStr">
        <is>
          <t>YES! 	 c_dt2_3列源备映射正确，源端为datetime2 None位	期望更改为datetime(n)	实际备端为datetime None位</t>
        </is>
      </c>
    </row>
    <row r="1043">
      <c r="B1043" t="inlineStr">
        <is>
          <t>NULL</t>
        </is>
      </c>
      <c r="C1043" t="inlineStr">
        <is>
          <t>NULL</t>
        </is>
      </c>
      <c r="D1043" t="inlineStr">
        <is>
          <t>NULL</t>
        </is>
      </c>
      <c r="E1043" t="inlineStr">
        <is>
          <t>NULL</t>
        </is>
      </c>
      <c r="F1043" t="inlineStr">
        <is>
          <t>NULL</t>
        </is>
      </c>
      <c r="G1043" t="inlineStr">
        <is>
          <t>NULL</t>
        </is>
      </c>
      <c r="H1043" t="inlineStr">
        <is>
          <t>NULL</t>
        </is>
      </c>
      <c r="I1043" t="inlineStr">
        <is>
          <t>NULL</t>
        </is>
      </c>
      <c r="J1043" t="inlineStr">
        <is>
          <t>NULL</t>
        </is>
      </c>
      <c r="K1043" t="inlineStr">
        <is>
          <t>YES! 	 c_dt2_4列源备映射正确，源端为datetime2 None位	期望更改为datetime(n)	实际备端为datetime None位</t>
        </is>
      </c>
    </row>
    <row r="1044">
      <c r="B1044" t="inlineStr">
        <is>
          <t>NULL</t>
        </is>
      </c>
      <c r="C1044" t="inlineStr">
        <is>
          <t>NULL</t>
        </is>
      </c>
      <c r="D1044" t="inlineStr">
        <is>
          <t>NULL</t>
        </is>
      </c>
      <c r="E1044" t="inlineStr">
        <is>
          <t>NULL</t>
        </is>
      </c>
      <c r="F1044" t="inlineStr">
        <is>
          <t>NULL</t>
        </is>
      </c>
      <c r="G1044" t="inlineStr">
        <is>
          <t>NULL</t>
        </is>
      </c>
      <c r="H1044" t="inlineStr">
        <is>
          <t>NULL</t>
        </is>
      </c>
      <c r="I1044" t="inlineStr">
        <is>
          <t>NULL</t>
        </is>
      </c>
      <c r="J1044" t="inlineStr">
        <is>
          <t>NULL</t>
        </is>
      </c>
      <c r="K1044" t="inlineStr">
        <is>
          <t>YES! 	 c_dt2_5列源备映射正确，源端为datetime2 None位	期望更改为datetime(n)	实际备端为datetime None位</t>
        </is>
      </c>
    </row>
    <row r="1045">
      <c r="B1045" t="inlineStr">
        <is>
          <t>NULL</t>
        </is>
      </c>
      <c r="C1045" t="inlineStr">
        <is>
          <t>NULL</t>
        </is>
      </c>
      <c r="D1045" t="inlineStr">
        <is>
          <t>NULL</t>
        </is>
      </c>
      <c r="E1045" t="inlineStr">
        <is>
          <t>NULL</t>
        </is>
      </c>
      <c r="F1045" t="inlineStr">
        <is>
          <t>NULL</t>
        </is>
      </c>
      <c r="G1045" t="inlineStr">
        <is>
          <t>NULL</t>
        </is>
      </c>
      <c r="H1045" t="inlineStr">
        <is>
          <t>NULL</t>
        </is>
      </c>
      <c r="I1045" t="inlineStr">
        <is>
          <t>NULL</t>
        </is>
      </c>
      <c r="J1045" t="inlineStr">
        <is>
          <t>NULL</t>
        </is>
      </c>
      <c r="K1045" t="inlineStr">
        <is>
          <t>YES! 	 c_dt2_6列源备映射正确，源端为datetime2 None位	期望更改为datetime(n)	实际备端为datetime None位</t>
        </is>
      </c>
    </row>
    <row r="1046">
      <c r="B1046" t="inlineStr">
        <is>
          <t>NULL</t>
        </is>
      </c>
      <c r="C1046" t="inlineStr">
        <is>
          <t>NULL</t>
        </is>
      </c>
      <c r="D1046" t="inlineStr">
        <is>
          <t>NULL</t>
        </is>
      </c>
      <c r="E1046" t="inlineStr">
        <is>
          <t>NULL</t>
        </is>
      </c>
      <c r="F1046" t="inlineStr">
        <is>
          <t>NULL</t>
        </is>
      </c>
      <c r="G1046" t="inlineStr">
        <is>
          <t>NULL</t>
        </is>
      </c>
      <c r="H1046" t="inlineStr">
        <is>
          <t>NULL</t>
        </is>
      </c>
      <c r="I1046" t="inlineStr">
        <is>
          <t>NULL</t>
        </is>
      </c>
      <c r="J1046" t="inlineStr">
        <is>
          <t>NULL</t>
        </is>
      </c>
      <c r="K1046" t="inlineStr">
        <is>
          <t xml:space="preserve"> NO!  	 c_dt2列源备映射错误，源端为datetime2 None位	期望更改为datetime(n)	实际备端为varchar 136位</t>
        </is>
      </c>
    </row>
    <row r="1047">
      <c r="A1047" t="inlineStr">
        <is>
          <t>info_varcharmax_dml_single_nopk</t>
        </is>
      </c>
      <c r="K1047" t="inlineStr">
        <is>
          <t>[0;34m info_varcharmax_dml_single_nopk [0m源备字段数相同，源端字段：3 	备端字段3</t>
        </is>
      </c>
      <c r="W1047" t="inlineStr">
        <is>
          <t>YES 源备无差异</t>
        </is>
      </c>
      <c r="X1047">
        <f>A1047</f>
        <v/>
      </c>
    </row>
    <row r="1048">
      <c r="B1048" t="inlineStr">
        <is>
          <t>NULL</t>
        </is>
      </c>
      <c r="C1048" t="inlineStr">
        <is>
          <t>NULL</t>
        </is>
      </c>
      <c r="D1048" t="inlineStr">
        <is>
          <t>NULL</t>
        </is>
      </c>
      <c r="E1048" t="inlineStr">
        <is>
          <t>NULL</t>
        </is>
      </c>
      <c r="F1048" t="inlineStr">
        <is>
          <t>NULL</t>
        </is>
      </c>
      <c r="G1048" t="inlineStr">
        <is>
          <t>NULL</t>
        </is>
      </c>
      <c r="H1048" t="inlineStr">
        <is>
          <t>NULL</t>
        </is>
      </c>
      <c r="I1048" t="inlineStr">
        <is>
          <t>NULL</t>
        </is>
      </c>
      <c r="J1048" t="inlineStr">
        <is>
          <t>NULL</t>
        </is>
      </c>
      <c r="K1048" t="inlineStr">
        <is>
          <t>YES! 	 id列源备映射正确，源端为int None位	期望更改为int	实际备端为int None位</t>
        </is>
      </c>
    </row>
    <row r="1049">
      <c r="B1049" t="inlineStr">
        <is>
          <t>NULL</t>
        </is>
      </c>
      <c r="C1049" t="inlineStr">
        <is>
          <t>NULL</t>
        </is>
      </c>
      <c r="D1049" t="inlineStr">
        <is>
          <t>NULL</t>
        </is>
      </c>
      <c r="E1049" t="inlineStr">
        <is>
          <t>NULL</t>
        </is>
      </c>
      <c r="F1049" t="inlineStr">
        <is>
          <t>NULL</t>
        </is>
      </c>
      <c r="G1049" t="inlineStr">
        <is>
          <t>NULL</t>
        </is>
      </c>
      <c r="H1049" t="inlineStr">
        <is>
          <t>NULL</t>
        </is>
      </c>
      <c r="I1049" t="inlineStr">
        <is>
          <t>NULL</t>
        </is>
      </c>
      <c r="J1049" t="inlineStr">
        <is>
          <t>NULL</t>
        </is>
      </c>
      <c r="K1049" t="inlineStr">
        <is>
          <t>YES! 	 c_varchar_max列源备映射正确，源端为varchar -1位	期望更改为longtext	实际备端为longtext 4294967295位</t>
        </is>
      </c>
    </row>
    <row r="1050">
      <c r="B1050" t="inlineStr">
        <is>
          <t>NULL</t>
        </is>
      </c>
      <c r="C1050" t="inlineStr">
        <is>
          <t>NULL</t>
        </is>
      </c>
      <c r="D1050" t="inlineStr">
        <is>
          <t>NULL</t>
        </is>
      </c>
      <c r="E1050" t="inlineStr">
        <is>
          <t>NULL</t>
        </is>
      </c>
      <c r="F1050" t="inlineStr">
        <is>
          <t>NULL</t>
        </is>
      </c>
      <c r="G1050" t="inlineStr">
        <is>
          <t>NULL</t>
        </is>
      </c>
      <c r="H1050" t="inlineStr">
        <is>
          <t>NULL</t>
        </is>
      </c>
      <c r="I1050" t="inlineStr">
        <is>
          <t>NULL</t>
        </is>
      </c>
      <c r="J1050" t="inlineStr">
        <is>
          <t>NULL</t>
        </is>
      </c>
      <c r="K1050" t="inlineStr">
        <is>
          <t>YES! 	 c_nvarchar_max列源备映射正确，源端为nvarchar -1位	期望更改为longtext	实际备端为longtext 4294967295位</t>
        </is>
      </c>
    </row>
    <row r="1051">
      <c r="A1051" t="inlineStr">
        <is>
          <t>info_sdt_dml_single_pk_urp</t>
        </is>
      </c>
      <c r="K1051" t="inlineStr">
        <is>
          <t>[0;34m info_sdt_dml_single_pk_urp [0m源备字段数相同，源端字段：2 	备端字段2</t>
        </is>
      </c>
      <c r="W1051" t="inlineStr">
        <is>
          <t>YES 源备无差异</t>
        </is>
      </c>
      <c r="X1051">
        <f>A1051</f>
        <v/>
      </c>
    </row>
    <row r="1052">
      <c r="B1052" t="inlineStr">
        <is>
          <t>YES</t>
        </is>
      </c>
      <c r="C1052" t="inlineStr">
        <is>
          <t>NULL</t>
        </is>
      </c>
      <c r="D1052" t="inlineStr">
        <is>
          <t>NULL</t>
        </is>
      </c>
      <c r="E1052" t="inlineStr">
        <is>
          <t>NULL</t>
        </is>
      </c>
      <c r="F1052" t="inlineStr">
        <is>
          <t>NULL</t>
        </is>
      </c>
      <c r="G1052" t="inlineStr">
        <is>
          <t>NULL</t>
        </is>
      </c>
      <c r="H1052" t="inlineStr">
        <is>
          <t>NULL</t>
        </is>
      </c>
      <c r="I1052" t="inlineStr">
        <is>
          <t>YES!PK__info_sdt__3213E83F06D79574</t>
        </is>
      </c>
      <c r="J1052" t="inlineStr">
        <is>
          <t>YES! 主键相关索引</t>
        </is>
      </c>
      <c r="K1052" t="inlineStr">
        <is>
          <t>YES! 	 id列源备映射正确，源端为int None位	期望更改为int	实际备端为int None位</t>
        </is>
      </c>
    </row>
    <row r="1053">
      <c r="B1053" t="inlineStr">
        <is>
          <t>NULL</t>
        </is>
      </c>
      <c r="C1053" t="inlineStr">
        <is>
          <t>NULL</t>
        </is>
      </c>
      <c r="D1053" t="inlineStr">
        <is>
          <t>NULL</t>
        </is>
      </c>
      <c r="E1053" t="inlineStr">
        <is>
          <t>NULL</t>
        </is>
      </c>
      <c r="F1053" t="inlineStr">
        <is>
          <t>NULL</t>
        </is>
      </c>
      <c r="G1053" t="inlineStr">
        <is>
          <t>NULL</t>
        </is>
      </c>
      <c r="H1053" t="inlineStr">
        <is>
          <t>NULL</t>
        </is>
      </c>
      <c r="I1053" t="inlineStr">
        <is>
          <t>NULL</t>
        </is>
      </c>
      <c r="J1053" t="inlineStr">
        <is>
          <t>NULL</t>
        </is>
      </c>
      <c r="K1053" t="inlineStr">
        <is>
          <t>YES! 	 c_sdt列源备映射正确，源端为smalldatetime None位	期望更改为datetime	实际备端为datetime None位</t>
        </is>
      </c>
    </row>
    <row r="1054">
      <c r="A1054" t="inlineStr">
        <is>
          <t>info_nvarchar_dml_batch1_pk_irp1</t>
        </is>
      </c>
      <c r="K1054" t="inlineStr">
        <is>
          <t>[0;34m info_nvarchar_dml_batch1_pk_irp1 [0m源备字段数相同，源端字段：4 	备端字段4</t>
        </is>
      </c>
      <c r="W1054" t="inlineStr">
        <is>
          <t>YES 源备无差异</t>
        </is>
      </c>
      <c r="X1054">
        <f>A1054</f>
        <v/>
      </c>
    </row>
    <row r="1055">
      <c r="B1055" t="inlineStr">
        <is>
          <t>YES</t>
        </is>
      </c>
      <c r="C1055" t="inlineStr">
        <is>
          <t>NULL</t>
        </is>
      </c>
      <c r="D1055" t="inlineStr">
        <is>
          <t>NULL</t>
        </is>
      </c>
      <c r="E1055" t="inlineStr">
        <is>
          <t>NULL</t>
        </is>
      </c>
      <c r="F1055" t="inlineStr">
        <is>
          <t>NULL</t>
        </is>
      </c>
      <c r="G1055" t="inlineStr">
        <is>
          <t>NULL</t>
        </is>
      </c>
      <c r="H1055" t="inlineStr">
        <is>
          <t>NULL</t>
        </is>
      </c>
      <c r="I1055" t="inlineStr">
        <is>
          <t>YES!PK__info_nva__3213E83FD4B93CAE</t>
        </is>
      </c>
      <c r="J1055" t="inlineStr">
        <is>
          <t>YES! 主键相关索引</t>
        </is>
      </c>
      <c r="K1055" t="inlineStr">
        <is>
          <t>YES! 	 id列源备映射正确，源端为int None位	期望更改为int	实际备端为int None位</t>
        </is>
      </c>
    </row>
    <row r="1056">
      <c r="B1056" t="inlineStr">
        <is>
          <t>NULL</t>
        </is>
      </c>
      <c r="C1056" t="inlineStr">
        <is>
          <t>NULL</t>
        </is>
      </c>
      <c r="D1056" t="inlineStr">
        <is>
          <t>NULL</t>
        </is>
      </c>
      <c r="E1056" t="inlineStr">
        <is>
          <t>NULL</t>
        </is>
      </c>
      <c r="F1056" t="inlineStr">
        <is>
          <t>NULL</t>
        </is>
      </c>
      <c r="G1056" t="inlineStr">
        <is>
          <t>NULL</t>
        </is>
      </c>
      <c r="H1056" t="inlineStr">
        <is>
          <t>NULL</t>
        </is>
      </c>
      <c r="I1056" t="inlineStr">
        <is>
          <t>NULL</t>
        </is>
      </c>
      <c r="J1056" t="inlineStr">
        <is>
          <t>NULL</t>
        </is>
      </c>
      <c r="K1056" t="inlineStr">
        <is>
          <t>YES! 	 c_nvarchar列源备映射正确，源端为nvarchar 2位	期望更改为varchar(n)	实际备端为varchar 4位</t>
        </is>
      </c>
    </row>
    <row r="1057">
      <c r="B1057" t="inlineStr">
        <is>
          <t>NULL</t>
        </is>
      </c>
      <c r="C1057" t="inlineStr">
        <is>
          <t>NULL</t>
        </is>
      </c>
      <c r="D1057" t="inlineStr">
        <is>
          <t>NULL</t>
        </is>
      </c>
      <c r="E1057" t="inlineStr">
        <is>
          <t>NULL</t>
        </is>
      </c>
      <c r="F1057" t="inlineStr">
        <is>
          <t>NULL</t>
        </is>
      </c>
      <c r="G1057" t="inlineStr">
        <is>
          <t>NULL</t>
        </is>
      </c>
      <c r="H1057" t="inlineStr">
        <is>
          <t>NULL</t>
        </is>
      </c>
      <c r="I1057" t="inlineStr">
        <is>
          <t>NULL</t>
        </is>
      </c>
      <c r="J1057" t="inlineStr">
        <is>
          <t>NULL</t>
        </is>
      </c>
      <c r="K1057" t="inlineStr">
        <is>
          <t>YES! 	 c_nvarchar20列源备映射正确，源端为nvarchar 40位	期望更改为varchar(n)	实际备端为varchar 80位</t>
        </is>
      </c>
    </row>
    <row r="1058">
      <c r="B1058" t="inlineStr">
        <is>
          <t>NULL</t>
        </is>
      </c>
      <c r="C1058" t="inlineStr">
        <is>
          <t>NULL</t>
        </is>
      </c>
      <c r="D1058" t="inlineStr">
        <is>
          <t>NULL</t>
        </is>
      </c>
      <c r="E1058" t="inlineStr">
        <is>
          <t>NULL</t>
        </is>
      </c>
      <c r="F1058" t="inlineStr">
        <is>
          <t>NULL</t>
        </is>
      </c>
      <c r="G1058" t="inlineStr">
        <is>
          <t>NULL</t>
        </is>
      </c>
      <c r="H1058" t="inlineStr">
        <is>
          <t>NULL</t>
        </is>
      </c>
      <c r="I1058" t="inlineStr">
        <is>
          <t>NULL</t>
        </is>
      </c>
      <c r="J1058" t="inlineStr">
        <is>
          <t>NULL</t>
        </is>
      </c>
      <c r="K1058" t="inlineStr">
        <is>
          <t xml:space="preserve"> NO!  	 c_nvarchar4000列源备映射错误，源端为nvarchar 8000位	期望更改为longtext	实际备端为text 65535位</t>
        </is>
      </c>
    </row>
    <row r="1059">
      <c r="A1059" t="inlineStr">
        <is>
          <t>info_sdt_dml_single_pk_drp</t>
        </is>
      </c>
      <c r="K1059" t="inlineStr">
        <is>
          <t>[0;34m info_sdt_dml_single_pk_drp [0m源备字段数相同，源端字段：2 	备端字段2</t>
        </is>
      </c>
      <c r="W1059" t="inlineStr">
        <is>
          <t>YES 源备无差异</t>
        </is>
      </c>
      <c r="X1059">
        <f>A1059</f>
        <v/>
      </c>
    </row>
    <row r="1060">
      <c r="B1060" t="inlineStr">
        <is>
          <t>YES</t>
        </is>
      </c>
      <c r="C1060" t="inlineStr">
        <is>
          <t>NULL</t>
        </is>
      </c>
      <c r="D1060" t="inlineStr">
        <is>
          <t>NULL</t>
        </is>
      </c>
      <c r="E1060" t="inlineStr">
        <is>
          <t>NULL</t>
        </is>
      </c>
      <c r="F1060" t="inlineStr">
        <is>
          <t>NULL</t>
        </is>
      </c>
      <c r="G1060" t="inlineStr">
        <is>
          <t>NULL</t>
        </is>
      </c>
      <c r="H1060" t="inlineStr">
        <is>
          <t>NULL</t>
        </is>
      </c>
      <c r="I1060" t="inlineStr">
        <is>
          <t>YES!PK__info_sdt__3213E83FD9FF0613</t>
        </is>
      </c>
      <c r="J1060" t="inlineStr">
        <is>
          <t>YES! 主键相关索引</t>
        </is>
      </c>
      <c r="K1060" t="inlineStr">
        <is>
          <t>YES! 	 id列源备映射正确，源端为int None位	期望更改为int	实际备端为int None位</t>
        </is>
      </c>
    </row>
    <row r="1061">
      <c r="B1061" t="inlineStr">
        <is>
          <t>NULL</t>
        </is>
      </c>
      <c r="C1061" t="inlineStr">
        <is>
          <t>NULL</t>
        </is>
      </c>
      <c r="D1061" t="inlineStr">
        <is>
          <t>NULL</t>
        </is>
      </c>
      <c r="E1061" t="inlineStr">
        <is>
          <t>NULL</t>
        </is>
      </c>
      <c r="F1061" t="inlineStr">
        <is>
          <t>NULL</t>
        </is>
      </c>
      <c r="G1061" t="inlineStr">
        <is>
          <t>NULL</t>
        </is>
      </c>
      <c r="H1061" t="inlineStr">
        <is>
          <t>NULL</t>
        </is>
      </c>
      <c r="I1061" t="inlineStr">
        <is>
          <t>NULL</t>
        </is>
      </c>
      <c r="J1061" t="inlineStr">
        <is>
          <t>NULL</t>
        </is>
      </c>
      <c r="K1061" t="inlineStr">
        <is>
          <t>YES! 	 c_sdt列源备映射正确，源端为smalldatetime None位	期望更改为datetime	实际备端为datetime None位</t>
        </is>
      </c>
    </row>
    <row r="1062">
      <c r="A1062" t="inlineStr">
        <is>
          <t>info_datetime2_dml_batch1_pk_urp2</t>
        </is>
      </c>
      <c r="K1062" t="inlineStr">
        <is>
          <t>[0;34m info_datetime2_dml_batch1_pk_urp2 [0m源备字段数相同，源端字段：9 	备端字段9</t>
        </is>
      </c>
      <c r="W1062" t="inlineStr">
        <is>
          <t>YES 源备无差异</t>
        </is>
      </c>
      <c r="X1062">
        <f>A1062</f>
        <v/>
      </c>
    </row>
    <row r="1063">
      <c r="B1063" t="inlineStr">
        <is>
          <t>YES</t>
        </is>
      </c>
      <c r="C1063" t="inlineStr">
        <is>
          <t>NULL</t>
        </is>
      </c>
      <c r="D1063" t="inlineStr">
        <is>
          <t>NULL</t>
        </is>
      </c>
      <c r="E1063" t="inlineStr">
        <is>
          <t>NULL</t>
        </is>
      </c>
      <c r="F1063" t="inlineStr">
        <is>
          <t>NULL</t>
        </is>
      </c>
      <c r="G1063" t="inlineStr">
        <is>
          <t>NULL</t>
        </is>
      </c>
      <c r="H1063" t="inlineStr">
        <is>
          <t>NULL</t>
        </is>
      </c>
      <c r="I1063" t="inlineStr">
        <is>
          <t>YES!PK__info_dat__3213E83FB73D9BC9</t>
        </is>
      </c>
      <c r="J1063" t="inlineStr">
        <is>
          <t>YES! 主键相关索引</t>
        </is>
      </c>
      <c r="K1063" t="inlineStr">
        <is>
          <t>YES! 	 id列源备映射正确，源端为int None位	期望更改为int	实际备端为int None位</t>
        </is>
      </c>
    </row>
    <row r="1064">
      <c r="B1064" t="inlineStr">
        <is>
          <t>NULL</t>
        </is>
      </c>
      <c r="C1064" t="inlineStr">
        <is>
          <t>NULL</t>
        </is>
      </c>
      <c r="D1064" t="inlineStr">
        <is>
          <t>NULL</t>
        </is>
      </c>
      <c r="E1064" t="inlineStr">
        <is>
          <t>NULL</t>
        </is>
      </c>
      <c r="F1064" t="inlineStr">
        <is>
          <t>NULL</t>
        </is>
      </c>
      <c r="G1064" t="inlineStr">
        <is>
          <t>NULL</t>
        </is>
      </c>
      <c r="H1064" t="inlineStr">
        <is>
          <t>NULL</t>
        </is>
      </c>
      <c r="I1064" t="inlineStr">
        <is>
          <t>NULL</t>
        </is>
      </c>
      <c r="J1064" t="inlineStr">
        <is>
          <t>NULL</t>
        </is>
      </c>
      <c r="K1064" t="inlineStr">
        <is>
          <t>no,len不存在</t>
        </is>
      </c>
    </row>
    <row r="1065">
      <c r="B1065" t="inlineStr">
        <is>
          <t>NULL</t>
        </is>
      </c>
      <c r="C1065" t="inlineStr">
        <is>
          <t>NULL</t>
        </is>
      </c>
      <c r="D1065" t="inlineStr">
        <is>
          <t>NULL</t>
        </is>
      </c>
      <c r="E1065" t="inlineStr">
        <is>
          <t>NULL</t>
        </is>
      </c>
      <c r="F1065" t="inlineStr">
        <is>
          <t>NULL</t>
        </is>
      </c>
      <c r="G1065" t="inlineStr">
        <is>
          <t>NULL</t>
        </is>
      </c>
      <c r="H1065" t="inlineStr">
        <is>
          <t>NULL</t>
        </is>
      </c>
      <c r="I1065" t="inlineStr">
        <is>
          <t>NULL</t>
        </is>
      </c>
      <c r="J1065" t="inlineStr">
        <is>
          <t>NULL</t>
        </is>
      </c>
      <c r="K1065" t="inlineStr">
        <is>
          <t>YES! 	 c_dt2_1列源备映射正确，源端为datetime2 None位	期望更改为datetime(n)	实际备端为datetime None位</t>
        </is>
      </c>
    </row>
    <row r="1066">
      <c r="B1066" t="inlineStr">
        <is>
          <t>NULL</t>
        </is>
      </c>
      <c r="C1066" t="inlineStr">
        <is>
          <t>NULL</t>
        </is>
      </c>
      <c r="D1066" t="inlineStr">
        <is>
          <t>NULL</t>
        </is>
      </c>
      <c r="E1066" t="inlineStr">
        <is>
          <t>NULL</t>
        </is>
      </c>
      <c r="F1066" t="inlineStr">
        <is>
          <t>NULL</t>
        </is>
      </c>
      <c r="G1066" t="inlineStr">
        <is>
          <t>NULL</t>
        </is>
      </c>
      <c r="H1066" t="inlineStr">
        <is>
          <t>NULL</t>
        </is>
      </c>
      <c r="I1066" t="inlineStr">
        <is>
          <t>NULL</t>
        </is>
      </c>
      <c r="J1066" t="inlineStr">
        <is>
          <t>NULL</t>
        </is>
      </c>
      <c r="K1066" t="inlineStr">
        <is>
          <t>YES! 	 c_dt2_2列源备映射正确，源端为datetime2 None位	期望更改为datetime(n)	实际备端为datetime None位</t>
        </is>
      </c>
    </row>
    <row r="1067">
      <c r="B1067" t="inlineStr">
        <is>
          <t>NULL</t>
        </is>
      </c>
      <c r="C1067" t="inlineStr">
        <is>
          <t>NULL</t>
        </is>
      </c>
      <c r="D1067" t="inlineStr">
        <is>
          <t>NULL</t>
        </is>
      </c>
      <c r="E1067" t="inlineStr">
        <is>
          <t>NULL</t>
        </is>
      </c>
      <c r="F1067" t="inlineStr">
        <is>
          <t>NULL</t>
        </is>
      </c>
      <c r="G1067" t="inlineStr">
        <is>
          <t>NULL</t>
        </is>
      </c>
      <c r="H1067" t="inlineStr">
        <is>
          <t>NULL</t>
        </is>
      </c>
      <c r="I1067" t="inlineStr">
        <is>
          <t>NULL</t>
        </is>
      </c>
      <c r="J1067" t="inlineStr">
        <is>
          <t>NULL</t>
        </is>
      </c>
      <c r="K1067" t="inlineStr">
        <is>
          <t>YES! 	 c_dt2_3列源备映射正确，源端为datetime2 None位	期望更改为datetime(n)	实际备端为datetime None位</t>
        </is>
      </c>
    </row>
    <row r="1068">
      <c r="B1068" t="inlineStr">
        <is>
          <t>NULL</t>
        </is>
      </c>
      <c r="C1068" t="inlineStr">
        <is>
          <t>NULL</t>
        </is>
      </c>
      <c r="D1068" t="inlineStr">
        <is>
          <t>NULL</t>
        </is>
      </c>
      <c r="E1068" t="inlineStr">
        <is>
          <t>NULL</t>
        </is>
      </c>
      <c r="F1068" t="inlineStr">
        <is>
          <t>NULL</t>
        </is>
      </c>
      <c r="G1068" t="inlineStr">
        <is>
          <t>NULL</t>
        </is>
      </c>
      <c r="H1068" t="inlineStr">
        <is>
          <t>NULL</t>
        </is>
      </c>
      <c r="I1068" t="inlineStr">
        <is>
          <t>NULL</t>
        </is>
      </c>
      <c r="J1068" t="inlineStr">
        <is>
          <t>NULL</t>
        </is>
      </c>
      <c r="K1068" t="inlineStr">
        <is>
          <t>YES! 	 c_dt2_4列源备映射正确，源端为datetime2 None位	期望更改为datetime(n)	实际备端为datetime None位</t>
        </is>
      </c>
    </row>
    <row r="1069">
      <c r="B1069" t="inlineStr">
        <is>
          <t>NULL</t>
        </is>
      </c>
      <c r="C1069" t="inlineStr">
        <is>
          <t>NULL</t>
        </is>
      </c>
      <c r="D1069" t="inlineStr">
        <is>
          <t>NULL</t>
        </is>
      </c>
      <c r="E1069" t="inlineStr">
        <is>
          <t>NULL</t>
        </is>
      </c>
      <c r="F1069" t="inlineStr">
        <is>
          <t>NULL</t>
        </is>
      </c>
      <c r="G1069" t="inlineStr">
        <is>
          <t>NULL</t>
        </is>
      </c>
      <c r="H1069" t="inlineStr">
        <is>
          <t>NULL</t>
        </is>
      </c>
      <c r="I1069" t="inlineStr">
        <is>
          <t>NULL</t>
        </is>
      </c>
      <c r="J1069" t="inlineStr">
        <is>
          <t>NULL</t>
        </is>
      </c>
      <c r="K1069" t="inlineStr">
        <is>
          <t>YES! 	 c_dt2_5列源备映射正确，源端为datetime2 None位	期望更改为datetime(n)	实际备端为datetime None位</t>
        </is>
      </c>
    </row>
    <row r="1070">
      <c r="B1070" t="inlineStr">
        <is>
          <t>NULL</t>
        </is>
      </c>
      <c r="C1070" t="inlineStr">
        <is>
          <t>NULL</t>
        </is>
      </c>
      <c r="D1070" t="inlineStr">
        <is>
          <t>NULL</t>
        </is>
      </c>
      <c r="E1070" t="inlineStr">
        <is>
          <t>NULL</t>
        </is>
      </c>
      <c r="F1070" t="inlineStr">
        <is>
          <t>NULL</t>
        </is>
      </c>
      <c r="G1070" t="inlineStr">
        <is>
          <t>NULL</t>
        </is>
      </c>
      <c r="H1070" t="inlineStr">
        <is>
          <t>NULL</t>
        </is>
      </c>
      <c r="I1070" t="inlineStr">
        <is>
          <t>NULL</t>
        </is>
      </c>
      <c r="J1070" t="inlineStr">
        <is>
          <t>NULL</t>
        </is>
      </c>
      <c r="K1070" t="inlineStr">
        <is>
          <t>YES! 	 c_dt2_6列源备映射正确，源端为datetime2 None位	期望更改为datetime(n)	实际备端为datetime None位</t>
        </is>
      </c>
    </row>
    <row r="1071">
      <c r="B1071" t="inlineStr">
        <is>
          <t>NULL</t>
        </is>
      </c>
      <c r="C1071" t="inlineStr">
        <is>
          <t>NULL</t>
        </is>
      </c>
      <c r="D1071" t="inlineStr">
        <is>
          <t>NULL</t>
        </is>
      </c>
      <c r="E1071" t="inlineStr">
        <is>
          <t>NULL</t>
        </is>
      </c>
      <c r="F1071" t="inlineStr">
        <is>
          <t>NULL</t>
        </is>
      </c>
      <c r="G1071" t="inlineStr">
        <is>
          <t>NULL</t>
        </is>
      </c>
      <c r="H1071" t="inlineStr">
        <is>
          <t>NULL</t>
        </is>
      </c>
      <c r="I1071" t="inlineStr">
        <is>
          <t>NULL</t>
        </is>
      </c>
      <c r="J1071" t="inlineStr">
        <is>
          <t>NULL</t>
        </is>
      </c>
      <c r="K1071" t="inlineStr">
        <is>
          <t xml:space="preserve"> NO!  	 c_dt2列源备映射错误，源端为datetime2 None位	期望更改为datetime(n)	实际备端为varchar 136位</t>
        </is>
      </c>
    </row>
    <row r="1072">
      <c r="A1072" t="inlineStr">
        <is>
          <t>info_datetime2_dml_batch1_pk_drp1</t>
        </is>
      </c>
      <c r="K1072" t="inlineStr">
        <is>
          <t>[0;34m info_datetime2_dml_batch1_pk_drp1 [0m源备字段数相同，源端字段：9 	备端字段9</t>
        </is>
      </c>
      <c r="W1072" t="inlineStr">
        <is>
          <t>YES 源备无差异</t>
        </is>
      </c>
      <c r="X1072">
        <f>A1072</f>
        <v/>
      </c>
    </row>
    <row r="1073">
      <c r="B1073" t="inlineStr">
        <is>
          <t>YES</t>
        </is>
      </c>
      <c r="C1073" t="inlineStr">
        <is>
          <t>NULL</t>
        </is>
      </c>
      <c r="D1073" t="inlineStr">
        <is>
          <t>NULL</t>
        </is>
      </c>
      <c r="E1073" t="inlineStr">
        <is>
          <t>NULL</t>
        </is>
      </c>
      <c r="F1073" t="inlineStr">
        <is>
          <t>NULL</t>
        </is>
      </c>
      <c r="G1073" t="inlineStr">
        <is>
          <t>NULL</t>
        </is>
      </c>
      <c r="H1073" t="inlineStr">
        <is>
          <t>NULL</t>
        </is>
      </c>
      <c r="I1073" t="inlineStr">
        <is>
          <t>YES!PK__info_dat__3213E83F6849006D</t>
        </is>
      </c>
      <c r="J1073" t="inlineStr">
        <is>
          <t>YES! 主键相关索引</t>
        </is>
      </c>
      <c r="K1073" t="inlineStr">
        <is>
          <t>YES! 	 id列源备映射正确，源端为int None位	期望更改为int	实际备端为int None位</t>
        </is>
      </c>
    </row>
    <row r="1074">
      <c r="B1074" t="inlineStr">
        <is>
          <t>NULL</t>
        </is>
      </c>
      <c r="C1074" t="inlineStr">
        <is>
          <t>NULL</t>
        </is>
      </c>
      <c r="D1074" t="inlineStr">
        <is>
          <t>NULL</t>
        </is>
      </c>
      <c r="E1074" t="inlineStr">
        <is>
          <t>NULL</t>
        </is>
      </c>
      <c r="F1074" t="inlineStr">
        <is>
          <t>NULL</t>
        </is>
      </c>
      <c r="G1074" t="inlineStr">
        <is>
          <t>NULL</t>
        </is>
      </c>
      <c r="H1074" t="inlineStr">
        <is>
          <t>NULL</t>
        </is>
      </c>
      <c r="I1074" t="inlineStr">
        <is>
          <t>NULL</t>
        </is>
      </c>
      <c r="J1074" t="inlineStr">
        <is>
          <t>NULL</t>
        </is>
      </c>
      <c r="K1074" t="inlineStr">
        <is>
          <t>no,len不存在</t>
        </is>
      </c>
    </row>
    <row r="1075">
      <c r="B1075" t="inlineStr">
        <is>
          <t>NULL</t>
        </is>
      </c>
      <c r="C1075" t="inlineStr">
        <is>
          <t>NULL</t>
        </is>
      </c>
      <c r="D1075" t="inlineStr">
        <is>
          <t>NULL</t>
        </is>
      </c>
      <c r="E1075" t="inlineStr">
        <is>
          <t>NULL</t>
        </is>
      </c>
      <c r="F1075" t="inlineStr">
        <is>
          <t>NULL</t>
        </is>
      </c>
      <c r="G1075" t="inlineStr">
        <is>
          <t>NULL</t>
        </is>
      </c>
      <c r="H1075" t="inlineStr">
        <is>
          <t>NULL</t>
        </is>
      </c>
      <c r="I1075" t="inlineStr">
        <is>
          <t>NULL</t>
        </is>
      </c>
      <c r="J1075" t="inlineStr">
        <is>
          <t>NULL</t>
        </is>
      </c>
      <c r="K1075" t="inlineStr">
        <is>
          <t>YES! 	 c_dt2_1列源备映射正确，源端为datetime2 None位	期望更改为datetime(n)	实际备端为datetime None位</t>
        </is>
      </c>
    </row>
    <row r="1076">
      <c r="B1076" t="inlineStr">
        <is>
          <t>NULL</t>
        </is>
      </c>
      <c r="C1076" t="inlineStr">
        <is>
          <t>NULL</t>
        </is>
      </c>
      <c r="D1076" t="inlineStr">
        <is>
          <t>NULL</t>
        </is>
      </c>
      <c r="E1076" t="inlineStr">
        <is>
          <t>NULL</t>
        </is>
      </c>
      <c r="F1076" t="inlineStr">
        <is>
          <t>NULL</t>
        </is>
      </c>
      <c r="G1076" t="inlineStr">
        <is>
          <t>NULL</t>
        </is>
      </c>
      <c r="H1076" t="inlineStr">
        <is>
          <t>NULL</t>
        </is>
      </c>
      <c r="I1076" t="inlineStr">
        <is>
          <t>NULL</t>
        </is>
      </c>
      <c r="J1076" t="inlineStr">
        <is>
          <t>NULL</t>
        </is>
      </c>
      <c r="K1076" t="inlineStr">
        <is>
          <t>YES! 	 c_dt2_2列源备映射正确，源端为datetime2 None位	期望更改为datetime(n)	实际备端为datetime None位</t>
        </is>
      </c>
    </row>
    <row r="1077">
      <c r="B1077" t="inlineStr">
        <is>
          <t>NULL</t>
        </is>
      </c>
      <c r="C1077" t="inlineStr">
        <is>
          <t>NULL</t>
        </is>
      </c>
      <c r="D1077" t="inlineStr">
        <is>
          <t>NULL</t>
        </is>
      </c>
      <c r="E1077" t="inlineStr">
        <is>
          <t>NULL</t>
        </is>
      </c>
      <c r="F1077" t="inlineStr">
        <is>
          <t>NULL</t>
        </is>
      </c>
      <c r="G1077" t="inlineStr">
        <is>
          <t>NULL</t>
        </is>
      </c>
      <c r="H1077" t="inlineStr">
        <is>
          <t>NULL</t>
        </is>
      </c>
      <c r="I1077" t="inlineStr">
        <is>
          <t>NULL</t>
        </is>
      </c>
      <c r="J1077" t="inlineStr">
        <is>
          <t>NULL</t>
        </is>
      </c>
      <c r="K1077" t="inlineStr">
        <is>
          <t>YES! 	 c_dt2_3列源备映射正确，源端为datetime2 None位	期望更改为datetime(n)	实际备端为datetime None位</t>
        </is>
      </c>
    </row>
    <row r="1078">
      <c r="B1078" t="inlineStr">
        <is>
          <t>NULL</t>
        </is>
      </c>
      <c r="C1078" t="inlineStr">
        <is>
          <t>NULL</t>
        </is>
      </c>
      <c r="D1078" t="inlineStr">
        <is>
          <t>NULL</t>
        </is>
      </c>
      <c r="E1078" t="inlineStr">
        <is>
          <t>NULL</t>
        </is>
      </c>
      <c r="F1078" t="inlineStr">
        <is>
          <t>NULL</t>
        </is>
      </c>
      <c r="G1078" t="inlineStr">
        <is>
          <t>NULL</t>
        </is>
      </c>
      <c r="H1078" t="inlineStr">
        <is>
          <t>NULL</t>
        </is>
      </c>
      <c r="I1078" t="inlineStr">
        <is>
          <t>NULL</t>
        </is>
      </c>
      <c r="J1078" t="inlineStr">
        <is>
          <t>NULL</t>
        </is>
      </c>
      <c r="K1078" t="inlineStr">
        <is>
          <t>YES! 	 c_dt2_4列源备映射正确，源端为datetime2 None位	期望更改为datetime(n)	实际备端为datetime None位</t>
        </is>
      </c>
    </row>
    <row r="1079">
      <c r="B1079" t="inlineStr">
        <is>
          <t>NULL</t>
        </is>
      </c>
      <c r="C1079" t="inlineStr">
        <is>
          <t>NULL</t>
        </is>
      </c>
      <c r="D1079" t="inlineStr">
        <is>
          <t>NULL</t>
        </is>
      </c>
      <c r="E1079" t="inlineStr">
        <is>
          <t>NULL</t>
        </is>
      </c>
      <c r="F1079" t="inlineStr">
        <is>
          <t>NULL</t>
        </is>
      </c>
      <c r="G1079" t="inlineStr">
        <is>
          <t>NULL</t>
        </is>
      </c>
      <c r="H1079" t="inlineStr">
        <is>
          <t>NULL</t>
        </is>
      </c>
      <c r="I1079" t="inlineStr">
        <is>
          <t>NULL</t>
        </is>
      </c>
      <c r="J1079" t="inlineStr">
        <is>
          <t>NULL</t>
        </is>
      </c>
      <c r="K1079" t="inlineStr">
        <is>
          <t>YES! 	 c_dt2_5列源备映射正确，源端为datetime2 None位	期望更改为datetime(n)	实际备端为datetime None位</t>
        </is>
      </c>
    </row>
    <row r="1080">
      <c r="B1080" t="inlineStr">
        <is>
          <t>NULL</t>
        </is>
      </c>
      <c r="C1080" t="inlineStr">
        <is>
          <t>NULL</t>
        </is>
      </c>
      <c r="D1080" t="inlineStr">
        <is>
          <t>NULL</t>
        </is>
      </c>
      <c r="E1080" t="inlineStr">
        <is>
          <t>NULL</t>
        </is>
      </c>
      <c r="F1080" t="inlineStr">
        <is>
          <t>NULL</t>
        </is>
      </c>
      <c r="G1080" t="inlineStr">
        <is>
          <t>NULL</t>
        </is>
      </c>
      <c r="H1080" t="inlineStr">
        <is>
          <t>NULL</t>
        </is>
      </c>
      <c r="I1080" t="inlineStr">
        <is>
          <t>NULL</t>
        </is>
      </c>
      <c r="J1080" t="inlineStr">
        <is>
          <t>NULL</t>
        </is>
      </c>
      <c r="K1080" t="inlineStr">
        <is>
          <t>YES! 	 c_dt2_6列源备映射正确，源端为datetime2 None位	期望更改为datetime(n)	实际备端为datetime None位</t>
        </is>
      </c>
    </row>
    <row r="1081">
      <c r="B1081" t="inlineStr">
        <is>
          <t>NULL</t>
        </is>
      </c>
      <c r="C1081" t="inlineStr">
        <is>
          <t>NULL</t>
        </is>
      </c>
      <c r="D1081" t="inlineStr">
        <is>
          <t>NULL</t>
        </is>
      </c>
      <c r="E1081" t="inlineStr">
        <is>
          <t>NULL</t>
        </is>
      </c>
      <c r="F1081" t="inlineStr">
        <is>
          <t>NULL</t>
        </is>
      </c>
      <c r="G1081" t="inlineStr">
        <is>
          <t>NULL</t>
        </is>
      </c>
      <c r="H1081" t="inlineStr">
        <is>
          <t>NULL</t>
        </is>
      </c>
      <c r="I1081" t="inlineStr">
        <is>
          <t>NULL</t>
        </is>
      </c>
      <c r="J1081" t="inlineStr">
        <is>
          <t>NULL</t>
        </is>
      </c>
      <c r="K1081" t="inlineStr">
        <is>
          <t xml:space="preserve"> NO!  	 c_dt2列源备映射错误，源端为datetime2 None位	期望更改为datetime(n)	实际备端为varchar 136位</t>
        </is>
      </c>
    </row>
    <row r="1082">
      <c r="K1082" t="inlineStr">
        <is>
          <t>~ 空表</t>
        </is>
      </c>
    </row>
    <row r="1083">
      <c r="A1083" t="inlineStr">
        <is>
          <t>info_nvarchar_dml_batch1_pk_irp2</t>
        </is>
      </c>
      <c r="K1083" t="inlineStr">
        <is>
          <t>[0;34m info_nvarchar_dml_batch1_pk_irp2 [0m源备字段数相同，源端字段：4 	备端字段4</t>
        </is>
      </c>
      <c r="W1083" t="inlineStr">
        <is>
          <t>YES 源备无差异</t>
        </is>
      </c>
      <c r="X1083">
        <f>A1083</f>
        <v/>
      </c>
    </row>
    <row r="1084">
      <c r="B1084" t="inlineStr">
        <is>
          <t>YES</t>
        </is>
      </c>
      <c r="C1084" t="inlineStr">
        <is>
          <t>NULL</t>
        </is>
      </c>
      <c r="D1084" t="inlineStr">
        <is>
          <t>NULL</t>
        </is>
      </c>
      <c r="E1084" t="inlineStr">
        <is>
          <t>NULL</t>
        </is>
      </c>
      <c r="F1084" t="inlineStr">
        <is>
          <t>NULL</t>
        </is>
      </c>
      <c r="G1084" t="inlineStr">
        <is>
          <t>NULL</t>
        </is>
      </c>
      <c r="H1084" t="inlineStr">
        <is>
          <t>NULL</t>
        </is>
      </c>
      <c r="I1084" t="inlineStr">
        <is>
          <t>YES!PK__info_nva__3213E83FF8A54FF1</t>
        </is>
      </c>
      <c r="J1084" t="inlineStr">
        <is>
          <t>YES! 主键相关索引</t>
        </is>
      </c>
      <c r="K1084" t="inlineStr">
        <is>
          <t>YES! 	 id列源备映射正确，源端为int None位	期望更改为int	实际备端为int None位</t>
        </is>
      </c>
    </row>
    <row r="1085">
      <c r="B1085" t="inlineStr">
        <is>
          <t>NULL</t>
        </is>
      </c>
      <c r="C1085" t="inlineStr">
        <is>
          <t>NULL</t>
        </is>
      </c>
      <c r="D1085" t="inlineStr">
        <is>
          <t>NULL</t>
        </is>
      </c>
      <c r="E1085" t="inlineStr">
        <is>
          <t>NULL</t>
        </is>
      </c>
      <c r="F1085" t="inlineStr">
        <is>
          <t>NULL</t>
        </is>
      </c>
      <c r="G1085" t="inlineStr">
        <is>
          <t>NULL</t>
        </is>
      </c>
      <c r="H1085" t="inlineStr">
        <is>
          <t>NULL</t>
        </is>
      </c>
      <c r="I1085" t="inlineStr">
        <is>
          <t>NULL</t>
        </is>
      </c>
      <c r="J1085" t="inlineStr">
        <is>
          <t>NULL</t>
        </is>
      </c>
      <c r="K1085" t="inlineStr">
        <is>
          <t>YES! 	 c_nvarchar列源备映射正确，源端为nvarchar 2位	期望更改为varchar(n)	实际备端为varchar 4位</t>
        </is>
      </c>
    </row>
    <row r="1086">
      <c r="B1086" t="inlineStr">
        <is>
          <t>NULL</t>
        </is>
      </c>
      <c r="C1086" t="inlineStr">
        <is>
          <t>NULL</t>
        </is>
      </c>
      <c r="D1086" t="inlineStr">
        <is>
          <t>NULL</t>
        </is>
      </c>
      <c r="E1086" t="inlineStr">
        <is>
          <t>NULL</t>
        </is>
      </c>
      <c r="F1086" t="inlineStr">
        <is>
          <t>NULL</t>
        </is>
      </c>
      <c r="G1086" t="inlineStr">
        <is>
          <t>NULL</t>
        </is>
      </c>
      <c r="H1086" t="inlineStr">
        <is>
          <t>NULL</t>
        </is>
      </c>
      <c r="I1086" t="inlineStr">
        <is>
          <t>NULL</t>
        </is>
      </c>
      <c r="J1086" t="inlineStr">
        <is>
          <t>NULL</t>
        </is>
      </c>
      <c r="K1086" t="inlineStr">
        <is>
          <t>YES! 	 c_nvarchar20列源备映射正确，源端为nvarchar 40位	期望更改为varchar(n)	实际备端为varchar 80位</t>
        </is>
      </c>
    </row>
    <row r="1087">
      <c r="B1087" t="inlineStr">
        <is>
          <t>NULL</t>
        </is>
      </c>
      <c r="C1087" t="inlineStr">
        <is>
          <t>NULL</t>
        </is>
      </c>
      <c r="D1087" t="inlineStr">
        <is>
          <t>NULL</t>
        </is>
      </c>
      <c r="E1087" t="inlineStr">
        <is>
          <t>NULL</t>
        </is>
      </c>
      <c r="F1087" t="inlineStr">
        <is>
          <t>NULL</t>
        </is>
      </c>
      <c r="G1087" t="inlineStr">
        <is>
          <t>NULL</t>
        </is>
      </c>
      <c r="H1087" t="inlineStr">
        <is>
          <t>NULL</t>
        </is>
      </c>
      <c r="I1087" t="inlineStr">
        <is>
          <t>NULL</t>
        </is>
      </c>
      <c r="J1087" t="inlineStr">
        <is>
          <t>NULL</t>
        </is>
      </c>
      <c r="K1087" t="inlineStr">
        <is>
          <t>YES! 	 c_nvarchar3500列源备映射正确，源端为nvarchar 7000位	期望更改为text	实际备端为text 65535位</t>
        </is>
      </c>
    </row>
    <row r="1088">
      <c r="A1088" t="inlineStr">
        <is>
          <t>info_binary_dml_single_nopk_irp</t>
        </is>
      </c>
      <c r="K1088" t="inlineStr">
        <is>
          <t>[0;34m info_binary_dml_single_nopk_irp [0m源备字段数相同，源端字段：4 	备端字段4</t>
        </is>
      </c>
      <c r="W1088" t="inlineStr">
        <is>
          <t>YES 源备无差异</t>
        </is>
      </c>
      <c r="X1088">
        <f>A1088</f>
        <v/>
      </c>
    </row>
    <row r="1089">
      <c r="B1089" t="inlineStr">
        <is>
          <t>NULL</t>
        </is>
      </c>
      <c r="C1089" t="inlineStr">
        <is>
          <t>NULL</t>
        </is>
      </c>
      <c r="D1089" t="inlineStr">
        <is>
          <t>NULL</t>
        </is>
      </c>
      <c r="E1089" t="inlineStr">
        <is>
          <t>NULL</t>
        </is>
      </c>
      <c r="F1089" t="inlineStr">
        <is>
          <t>NULL</t>
        </is>
      </c>
      <c r="G1089" t="inlineStr">
        <is>
          <t>NULL</t>
        </is>
      </c>
      <c r="H1089" t="inlineStr">
        <is>
          <t>NULL</t>
        </is>
      </c>
      <c r="I1089" t="inlineStr">
        <is>
          <t>NULL</t>
        </is>
      </c>
      <c r="J1089" t="inlineStr">
        <is>
          <t>NULL</t>
        </is>
      </c>
      <c r="K1089" t="inlineStr">
        <is>
          <t>YES! 	 id列源备映射正确，源端为int None位	期望更改为int	实际备端为int None位</t>
        </is>
      </c>
    </row>
    <row r="1090">
      <c r="B1090" t="inlineStr">
        <is>
          <t>NULL</t>
        </is>
      </c>
      <c r="C1090" t="inlineStr">
        <is>
          <t>NULL</t>
        </is>
      </c>
      <c r="D1090" t="inlineStr">
        <is>
          <t>NULL</t>
        </is>
      </c>
      <c r="E1090" t="inlineStr">
        <is>
          <t>NULL</t>
        </is>
      </c>
      <c r="F1090" t="inlineStr">
        <is>
          <t>NULL</t>
        </is>
      </c>
      <c r="G1090" t="inlineStr">
        <is>
          <t>NULL</t>
        </is>
      </c>
      <c r="H1090" t="inlineStr">
        <is>
          <t>NULL</t>
        </is>
      </c>
      <c r="I1090" t="inlineStr">
        <is>
          <t>NULL</t>
        </is>
      </c>
      <c r="J1090" t="inlineStr">
        <is>
          <t>NULL</t>
        </is>
      </c>
      <c r="K1090" t="inlineStr">
        <is>
          <t>YES! 	 c_binary列源备映射正确，源端为binary 1位	期望更改为binary(n)	实际备端为binary 1位</t>
        </is>
      </c>
    </row>
    <row r="1091">
      <c r="B1091" t="inlineStr">
        <is>
          <t>NULL</t>
        </is>
      </c>
      <c r="C1091" t="inlineStr">
        <is>
          <t>NULL</t>
        </is>
      </c>
      <c r="D1091" t="inlineStr">
        <is>
          <t>NULL</t>
        </is>
      </c>
      <c r="E1091" t="inlineStr">
        <is>
          <t>NULL</t>
        </is>
      </c>
      <c r="F1091" t="inlineStr">
        <is>
          <t>NULL</t>
        </is>
      </c>
      <c r="G1091" t="inlineStr">
        <is>
          <t>NULL</t>
        </is>
      </c>
      <c r="H1091" t="inlineStr">
        <is>
          <t>NULL</t>
        </is>
      </c>
      <c r="I1091" t="inlineStr">
        <is>
          <t>NULL</t>
        </is>
      </c>
      <c r="J1091" t="inlineStr">
        <is>
          <t>NULL</t>
        </is>
      </c>
      <c r="K1091" t="inlineStr">
        <is>
          <t>YES! 	 c_binary_20列源备映射正确，源端为binary 20位	期望更改为binary(n)	实际备端为binary 20位</t>
        </is>
      </c>
    </row>
    <row r="1092">
      <c r="B1092" t="inlineStr">
        <is>
          <t>NULL</t>
        </is>
      </c>
      <c r="C1092" t="inlineStr">
        <is>
          <t>NULL</t>
        </is>
      </c>
      <c r="D1092" t="inlineStr">
        <is>
          <t>NULL</t>
        </is>
      </c>
      <c r="E1092" t="inlineStr">
        <is>
          <t>NULL</t>
        </is>
      </c>
      <c r="F1092" t="inlineStr">
        <is>
          <t>NULL</t>
        </is>
      </c>
      <c r="G1092" t="inlineStr">
        <is>
          <t>NULL</t>
        </is>
      </c>
      <c r="H1092" t="inlineStr">
        <is>
          <t>NULL</t>
        </is>
      </c>
      <c r="I1092" t="inlineStr">
        <is>
          <t>NULL</t>
        </is>
      </c>
      <c r="J1092" t="inlineStr">
        <is>
          <t>NULL</t>
        </is>
      </c>
      <c r="K1092" t="inlineStr">
        <is>
          <t>YES! 	 c_binary_8000列源备映射正确，源端为binary 8000位	期望更改为longblob	实际备端为longblob 4294967295位</t>
        </is>
      </c>
    </row>
    <row r="1093">
      <c r="A1093" t="inlineStr">
        <is>
          <t>info_nvarchar_dml_batch2_pk_irp1</t>
        </is>
      </c>
      <c r="K1093" t="inlineStr">
        <is>
          <t>[0;34m info_nvarchar_dml_batch2_pk_irp1 [0m源备字段数相同，源端字段：4 	备端字段4</t>
        </is>
      </c>
      <c r="W1093" t="inlineStr">
        <is>
          <t>YES 源备无差异</t>
        </is>
      </c>
      <c r="X1093">
        <f>A1093</f>
        <v/>
      </c>
    </row>
    <row r="1094">
      <c r="B1094" t="inlineStr">
        <is>
          <t>YES</t>
        </is>
      </c>
      <c r="C1094" t="inlineStr">
        <is>
          <t>NULL</t>
        </is>
      </c>
      <c r="D1094" t="inlineStr">
        <is>
          <t>NULL</t>
        </is>
      </c>
      <c r="E1094" t="inlineStr">
        <is>
          <t>NULL</t>
        </is>
      </c>
      <c r="F1094" t="inlineStr">
        <is>
          <t>NULL</t>
        </is>
      </c>
      <c r="G1094" t="inlineStr">
        <is>
          <t>NULL</t>
        </is>
      </c>
      <c r="H1094" t="inlineStr">
        <is>
          <t>NULL</t>
        </is>
      </c>
      <c r="I1094" t="inlineStr">
        <is>
          <t>YES!PK__info_nva__3213E83F98EA7D40</t>
        </is>
      </c>
      <c r="J1094" t="inlineStr">
        <is>
          <t>YES! 主键相关索引</t>
        </is>
      </c>
      <c r="K1094" t="inlineStr">
        <is>
          <t>YES! 	 id列源备映射正确，源端为int None位	期望更改为int	实际备端为int None位</t>
        </is>
      </c>
    </row>
    <row r="1095">
      <c r="B1095" t="inlineStr">
        <is>
          <t>NULL</t>
        </is>
      </c>
      <c r="C1095" t="inlineStr">
        <is>
          <t>NULL</t>
        </is>
      </c>
      <c r="D1095" t="inlineStr">
        <is>
          <t>NULL</t>
        </is>
      </c>
      <c r="E1095" t="inlineStr">
        <is>
          <t>NULL</t>
        </is>
      </c>
      <c r="F1095" t="inlineStr">
        <is>
          <t>NULL</t>
        </is>
      </c>
      <c r="G1095" t="inlineStr">
        <is>
          <t>NULL</t>
        </is>
      </c>
      <c r="H1095" t="inlineStr">
        <is>
          <t>NULL</t>
        </is>
      </c>
      <c r="I1095" t="inlineStr">
        <is>
          <t>NULL</t>
        </is>
      </c>
      <c r="J1095" t="inlineStr">
        <is>
          <t>NULL</t>
        </is>
      </c>
      <c r="K1095" t="inlineStr">
        <is>
          <t>YES! 	 c_nvarchar列源备映射正确，源端为nvarchar 2位	期望更改为varchar(n)	实际备端为varchar 4位</t>
        </is>
      </c>
    </row>
    <row r="1096">
      <c r="B1096" t="inlineStr">
        <is>
          <t>NULL</t>
        </is>
      </c>
      <c r="C1096" t="inlineStr">
        <is>
          <t>NULL</t>
        </is>
      </c>
      <c r="D1096" t="inlineStr">
        <is>
          <t>NULL</t>
        </is>
      </c>
      <c r="E1096" t="inlineStr">
        <is>
          <t>NULL</t>
        </is>
      </c>
      <c r="F1096" t="inlineStr">
        <is>
          <t>NULL</t>
        </is>
      </c>
      <c r="G1096" t="inlineStr">
        <is>
          <t>NULL</t>
        </is>
      </c>
      <c r="H1096" t="inlineStr">
        <is>
          <t>NULL</t>
        </is>
      </c>
      <c r="I1096" t="inlineStr">
        <is>
          <t>NULL</t>
        </is>
      </c>
      <c r="J1096" t="inlineStr">
        <is>
          <t>NULL</t>
        </is>
      </c>
      <c r="K1096" t="inlineStr">
        <is>
          <t>YES! 	 c_nvarchar20列源备映射正确，源端为nvarchar 40位	期望更改为varchar(n)	实际备端为varchar 80位</t>
        </is>
      </c>
    </row>
    <row r="1097">
      <c r="B1097" t="inlineStr">
        <is>
          <t>NULL</t>
        </is>
      </c>
      <c r="C1097" t="inlineStr">
        <is>
          <t>NULL</t>
        </is>
      </c>
      <c r="D1097" t="inlineStr">
        <is>
          <t>NULL</t>
        </is>
      </c>
      <c r="E1097" t="inlineStr">
        <is>
          <t>NULL</t>
        </is>
      </c>
      <c r="F1097" t="inlineStr">
        <is>
          <t>NULL</t>
        </is>
      </c>
      <c r="G1097" t="inlineStr">
        <is>
          <t>NULL</t>
        </is>
      </c>
      <c r="H1097" t="inlineStr">
        <is>
          <t>NULL</t>
        </is>
      </c>
      <c r="I1097" t="inlineStr">
        <is>
          <t>NULL</t>
        </is>
      </c>
      <c r="J1097" t="inlineStr">
        <is>
          <t>NULL</t>
        </is>
      </c>
      <c r="K1097" t="inlineStr">
        <is>
          <t>YES! 	 c_nvarchar3500列源备映射正确，源端为nvarchar 7000位	期望更改为text	实际备端为text 65535位</t>
        </is>
      </c>
    </row>
    <row r="1098">
      <c r="A1098" t="inlineStr">
        <is>
          <t>info_sdt_dml_single_pk</t>
        </is>
      </c>
      <c r="K1098" t="inlineStr">
        <is>
          <t>[0;34m info_sdt_dml_single_pk [0m源备字段数相同，源端字段：2 	备端字段2</t>
        </is>
      </c>
      <c r="W1098" t="inlineStr">
        <is>
          <t>YES 源备无差异</t>
        </is>
      </c>
      <c r="X1098">
        <f>A1098</f>
        <v/>
      </c>
    </row>
    <row r="1099">
      <c r="B1099" t="inlineStr">
        <is>
          <t>YES</t>
        </is>
      </c>
      <c r="C1099" t="inlineStr">
        <is>
          <t>NULL</t>
        </is>
      </c>
      <c r="D1099" t="inlineStr">
        <is>
          <t>NULL</t>
        </is>
      </c>
      <c r="E1099" t="inlineStr">
        <is>
          <t>NULL</t>
        </is>
      </c>
      <c r="F1099" t="inlineStr">
        <is>
          <t>NULL</t>
        </is>
      </c>
      <c r="G1099" t="inlineStr">
        <is>
          <t>NULL</t>
        </is>
      </c>
      <c r="H1099" t="inlineStr">
        <is>
          <t>NULL</t>
        </is>
      </c>
      <c r="I1099" t="inlineStr">
        <is>
          <t>YES!PK__info_sdt__3213E83F38803C50</t>
        </is>
      </c>
      <c r="J1099" t="inlineStr">
        <is>
          <t>YES! 主键相关索引</t>
        </is>
      </c>
      <c r="K1099" t="inlineStr">
        <is>
          <t>YES! 	 id列源备映射正确，源端为int None位	期望更改为int	实际备端为int None位</t>
        </is>
      </c>
    </row>
    <row r="1100">
      <c r="B1100" t="inlineStr">
        <is>
          <t>NULL</t>
        </is>
      </c>
      <c r="C1100" t="inlineStr">
        <is>
          <t>NULL</t>
        </is>
      </c>
      <c r="D1100" t="inlineStr">
        <is>
          <t>NULL</t>
        </is>
      </c>
      <c r="E1100" t="inlineStr">
        <is>
          <t>NULL</t>
        </is>
      </c>
      <c r="F1100" t="inlineStr">
        <is>
          <t>NULL</t>
        </is>
      </c>
      <c r="G1100" t="inlineStr">
        <is>
          <t>NULL</t>
        </is>
      </c>
      <c r="H1100" t="inlineStr">
        <is>
          <t>NULL</t>
        </is>
      </c>
      <c r="I1100" t="inlineStr">
        <is>
          <t>NULL</t>
        </is>
      </c>
      <c r="J1100" t="inlineStr">
        <is>
          <t>NULL</t>
        </is>
      </c>
      <c r="K1100" t="inlineStr">
        <is>
          <t>YES! 	 c_sdt列源备映射正确，源端为smalldatetime None位	期望更改为datetime	实际备端为datetime None位</t>
        </is>
      </c>
    </row>
    <row r="1101">
      <c r="A1101" t="inlineStr">
        <is>
          <t>info_datetime2_dml_batch1_pk_drp2</t>
        </is>
      </c>
      <c r="K1101" t="inlineStr">
        <is>
          <t>[0;34m info_datetime2_dml_batch1_pk_drp2 [0m源备字段数相同，源端字段：9 	备端字段9</t>
        </is>
      </c>
      <c r="W1101" t="inlineStr">
        <is>
          <t>YES 源备无差异</t>
        </is>
      </c>
      <c r="X1101">
        <f>A1101</f>
        <v/>
      </c>
    </row>
    <row r="1102">
      <c r="B1102" t="inlineStr">
        <is>
          <t>YES</t>
        </is>
      </c>
      <c r="C1102" t="inlineStr">
        <is>
          <t>NULL</t>
        </is>
      </c>
      <c r="D1102" t="inlineStr">
        <is>
          <t>NULL</t>
        </is>
      </c>
      <c r="E1102" t="inlineStr">
        <is>
          <t>NULL</t>
        </is>
      </c>
      <c r="F1102" t="inlineStr">
        <is>
          <t>NULL</t>
        </is>
      </c>
      <c r="G1102" t="inlineStr">
        <is>
          <t>NULL</t>
        </is>
      </c>
      <c r="H1102" t="inlineStr">
        <is>
          <t>NULL</t>
        </is>
      </c>
      <c r="I1102" t="inlineStr">
        <is>
          <t>YES!PK__info_dat__3213E83F9BDAC31B</t>
        </is>
      </c>
      <c r="J1102" t="inlineStr">
        <is>
          <t>YES! 主键相关索引</t>
        </is>
      </c>
      <c r="K1102" t="inlineStr">
        <is>
          <t>YES! 	 id列源备映射正确，源端为int None位	期望更改为int	实际备端为int None位</t>
        </is>
      </c>
    </row>
    <row r="1103">
      <c r="B1103" t="inlineStr">
        <is>
          <t>NULL</t>
        </is>
      </c>
      <c r="C1103" t="inlineStr">
        <is>
          <t>NULL</t>
        </is>
      </c>
      <c r="D1103" t="inlineStr">
        <is>
          <t>NULL</t>
        </is>
      </c>
      <c r="E1103" t="inlineStr">
        <is>
          <t>NULL</t>
        </is>
      </c>
      <c r="F1103" t="inlineStr">
        <is>
          <t>NULL</t>
        </is>
      </c>
      <c r="G1103" t="inlineStr">
        <is>
          <t>NULL</t>
        </is>
      </c>
      <c r="H1103" t="inlineStr">
        <is>
          <t>NULL</t>
        </is>
      </c>
      <c r="I1103" t="inlineStr">
        <is>
          <t>NULL</t>
        </is>
      </c>
      <c r="J1103" t="inlineStr">
        <is>
          <t>NULL</t>
        </is>
      </c>
      <c r="K1103" t="inlineStr">
        <is>
          <t>no,len不存在</t>
        </is>
      </c>
    </row>
    <row r="1104">
      <c r="B1104" t="inlineStr">
        <is>
          <t>NULL</t>
        </is>
      </c>
      <c r="C1104" t="inlineStr">
        <is>
          <t>NULL</t>
        </is>
      </c>
      <c r="D1104" t="inlineStr">
        <is>
          <t>NULL</t>
        </is>
      </c>
      <c r="E1104" t="inlineStr">
        <is>
          <t>NULL</t>
        </is>
      </c>
      <c r="F1104" t="inlineStr">
        <is>
          <t>NULL</t>
        </is>
      </c>
      <c r="G1104" t="inlineStr">
        <is>
          <t>NULL</t>
        </is>
      </c>
      <c r="H1104" t="inlineStr">
        <is>
          <t>NULL</t>
        </is>
      </c>
      <c r="I1104" t="inlineStr">
        <is>
          <t>NULL</t>
        </is>
      </c>
      <c r="J1104" t="inlineStr">
        <is>
          <t>NULL</t>
        </is>
      </c>
      <c r="K1104" t="inlineStr">
        <is>
          <t>YES! 	 c_dt2_1列源备映射正确，源端为datetime2 None位	期望更改为datetime(n)	实际备端为datetime None位</t>
        </is>
      </c>
    </row>
    <row r="1105">
      <c r="B1105" t="inlineStr">
        <is>
          <t>NULL</t>
        </is>
      </c>
      <c r="C1105" t="inlineStr">
        <is>
          <t>NULL</t>
        </is>
      </c>
      <c r="D1105" t="inlineStr">
        <is>
          <t>NULL</t>
        </is>
      </c>
      <c r="E1105" t="inlineStr">
        <is>
          <t>NULL</t>
        </is>
      </c>
      <c r="F1105" t="inlineStr">
        <is>
          <t>NULL</t>
        </is>
      </c>
      <c r="G1105" t="inlineStr">
        <is>
          <t>NULL</t>
        </is>
      </c>
      <c r="H1105" t="inlineStr">
        <is>
          <t>NULL</t>
        </is>
      </c>
      <c r="I1105" t="inlineStr">
        <is>
          <t>NULL</t>
        </is>
      </c>
      <c r="J1105" t="inlineStr">
        <is>
          <t>NULL</t>
        </is>
      </c>
      <c r="K1105" t="inlineStr">
        <is>
          <t>YES! 	 c_dt2_2列源备映射正确，源端为datetime2 None位	期望更改为datetime(n)	实际备端为datetime None位</t>
        </is>
      </c>
    </row>
    <row r="1106">
      <c r="B1106" t="inlineStr">
        <is>
          <t>NULL</t>
        </is>
      </c>
      <c r="C1106" t="inlineStr">
        <is>
          <t>NULL</t>
        </is>
      </c>
      <c r="D1106" t="inlineStr">
        <is>
          <t>NULL</t>
        </is>
      </c>
      <c r="E1106" t="inlineStr">
        <is>
          <t>NULL</t>
        </is>
      </c>
      <c r="F1106" t="inlineStr">
        <is>
          <t>NULL</t>
        </is>
      </c>
      <c r="G1106" t="inlineStr">
        <is>
          <t>NULL</t>
        </is>
      </c>
      <c r="H1106" t="inlineStr">
        <is>
          <t>NULL</t>
        </is>
      </c>
      <c r="I1106" t="inlineStr">
        <is>
          <t>NULL</t>
        </is>
      </c>
      <c r="J1106" t="inlineStr">
        <is>
          <t>NULL</t>
        </is>
      </c>
      <c r="K1106" t="inlineStr">
        <is>
          <t>YES! 	 c_dt2_3列源备映射正确，源端为datetime2 None位	期望更改为datetime(n)	实际备端为datetime None位</t>
        </is>
      </c>
    </row>
    <row r="1107">
      <c r="B1107" t="inlineStr">
        <is>
          <t>NULL</t>
        </is>
      </c>
      <c r="C1107" t="inlineStr">
        <is>
          <t>NULL</t>
        </is>
      </c>
      <c r="D1107" t="inlineStr">
        <is>
          <t>NULL</t>
        </is>
      </c>
      <c r="E1107" t="inlineStr">
        <is>
          <t>NULL</t>
        </is>
      </c>
      <c r="F1107" t="inlineStr">
        <is>
          <t>NULL</t>
        </is>
      </c>
      <c r="G1107" t="inlineStr">
        <is>
          <t>NULL</t>
        </is>
      </c>
      <c r="H1107" t="inlineStr">
        <is>
          <t>NULL</t>
        </is>
      </c>
      <c r="I1107" t="inlineStr">
        <is>
          <t>NULL</t>
        </is>
      </c>
      <c r="J1107" t="inlineStr">
        <is>
          <t>NULL</t>
        </is>
      </c>
      <c r="K1107" t="inlineStr">
        <is>
          <t>YES! 	 c_dt2_4列源备映射正确，源端为datetime2 None位	期望更改为datetime(n)	实际备端为datetime None位</t>
        </is>
      </c>
    </row>
    <row r="1108">
      <c r="B1108" t="inlineStr">
        <is>
          <t>NULL</t>
        </is>
      </c>
      <c r="C1108" t="inlineStr">
        <is>
          <t>NULL</t>
        </is>
      </c>
      <c r="D1108" t="inlineStr">
        <is>
          <t>NULL</t>
        </is>
      </c>
      <c r="E1108" t="inlineStr">
        <is>
          <t>NULL</t>
        </is>
      </c>
      <c r="F1108" t="inlineStr">
        <is>
          <t>NULL</t>
        </is>
      </c>
      <c r="G1108" t="inlineStr">
        <is>
          <t>NULL</t>
        </is>
      </c>
      <c r="H1108" t="inlineStr">
        <is>
          <t>NULL</t>
        </is>
      </c>
      <c r="I1108" t="inlineStr">
        <is>
          <t>NULL</t>
        </is>
      </c>
      <c r="J1108" t="inlineStr">
        <is>
          <t>NULL</t>
        </is>
      </c>
      <c r="K1108" t="inlineStr">
        <is>
          <t>YES! 	 c_dt2_5列源备映射正确，源端为datetime2 None位	期望更改为datetime(n)	实际备端为datetime None位</t>
        </is>
      </c>
    </row>
    <row r="1109">
      <c r="B1109" t="inlineStr">
        <is>
          <t>NULL</t>
        </is>
      </c>
      <c r="C1109" t="inlineStr">
        <is>
          <t>NULL</t>
        </is>
      </c>
      <c r="D1109" t="inlineStr">
        <is>
          <t>NULL</t>
        </is>
      </c>
      <c r="E1109" t="inlineStr">
        <is>
          <t>NULL</t>
        </is>
      </c>
      <c r="F1109" t="inlineStr">
        <is>
          <t>NULL</t>
        </is>
      </c>
      <c r="G1109" t="inlineStr">
        <is>
          <t>NULL</t>
        </is>
      </c>
      <c r="H1109" t="inlineStr">
        <is>
          <t>NULL</t>
        </is>
      </c>
      <c r="I1109" t="inlineStr">
        <is>
          <t>NULL</t>
        </is>
      </c>
      <c r="J1109" t="inlineStr">
        <is>
          <t>NULL</t>
        </is>
      </c>
      <c r="K1109" t="inlineStr">
        <is>
          <t>YES! 	 c_dt2_6列源备映射正确，源端为datetime2 None位	期望更改为datetime(n)	实际备端为datetime None位</t>
        </is>
      </c>
    </row>
    <row r="1110">
      <c r="B1110" t="inlineStr">
        <is>
          <t>NULL</t>
        </is>
      </c>
      <c r="C1110" t="inlineStr">
        <is>
          <t>NULL</t>
        </is>
      </c>
      <c r="D1110" t="inlineStr">
        <is>
          <t>NULL</t>
        </is>
      </c>
      <c r="E1110" t="inlineStr">
        <is>
          <t>NULL</t>
        </is>
      </c>
      <c r="F1110" t="inlineStr">
        <is>
          <t>NULL</t>
        </is>
      </c>
      <c r="G1110" t="inlineStr">
        <is>
          <t>NULL</t>
        </is>
      </c>
      <c r="H1110" t="inlineStr">
        <is>
          <t>NULL</t>
        </is>
      </c>
      <c r="I1110" t="inlineStr">
        <is>
          <t>NULL</t>
        </is>
      </c>
      <c r="J1110" t="inlineStr">
        <is>
          <t>NULL</t>
        </is>
      </c>
      <c r="K1110" t="inlineStr">
        <is>
          <t xml:space="preserve"> NO!  	 c_dt2列源备映射错误，源端为datetime2 None位	期望更改为datetime(n)	实际备端为varchar 136位</t>
        </is>
      </c>
    </row>
    <row r="1111">
      <c r="A1111" t="inlineStr">
        <is>
          <t>info_xml_dml_single_nopk_irp</t>
        </is>
      </c>
      <c r="K1111" t="inlineStr">
        <is>
          <t>[0;34m info_xml_dml_single_nopk_irp [0m源备字段数相同，源端字段：2 	备端字段2</t>
        </is>
      </c>
      <c r="W1111" t="inlineStr">
        <is>
          <t>YES 源备无差异</t>
        </is>
      </c>
      <c r="X1111">
        <f>A1111</f>
        <v/>
      </c>
    </row>
    <row r="1112">
      <c r="B1112" t="inlineStr">
        <is>
          <t>NULL</t>
        </is>
      </c>
      <c r="C1112" t="inlineStr">
        <is>
          <t>NULL</t>
        </is>
      </c>
      <c r="D1112" t="inlineStr">
        <is>
          <t>NULL</t>
        </is>
      </c>
      <c r="E1112" t="inlineStr">
        <is>
          <t>NULL</t>
        </is>
      </c>
      <c r="F1112" t="inlineStr">
        <is>
          <t>NULL</t>
        </is>
      </c>
      <c r="G1112" t="inlineStr">
        <is>
          <t>NULL</t>
        </is>
      </c>
      <c r="H1112" t="inlineStr">
        <is>
          <t>NULL</t>
        </is>
      </c>
      <c r="I1112" t="inlineStr">
        <is>
          <t>NULL</t>
        </is>
      </c>
      <c r="J1112" t="inlineStr">
        <is>
          <t>NULL</t>
        </is>
      </c>
      <c r="K1112" t="inlineStr">
        <is>
          <t>YES! 	 id列源备映射正确，源端为int None位	期望更改为int	实际备端为int None位</t>
        </is>
      </c>
    </row>
    <row r="1113">
      <c r="B1113" t="inlineStr">
        <is>
          <t>NULL</t>
        </is>
      </c>
      <c r="C1113" t="inlineStr">
        <is>
          <t>NULL</t>
        </is>
      </c>
      <c r="D1113" t="inlineStr">
        <is>
          <t>NULL</t>
        </is>
      </c>
      <c r="E1113" t="inlineStr">
        <is>
          <t>NULL</t>
        </is>
      </c>
      <c r="F1113" t="inlineStr">
        <is>
          <t>NULL</t>
        </is>
      </c>
      <c r="G1113" t="inlineStr">
        <is>
          <t>NULL</t>
        </is>
      </c>
      <c r="H1113" t="inlineStr">
        <is>
          <t>NULL</t>
        </is>
      </c>
      <c r="I1113" t="inlineStr">
        <is>
          <t>NULL</t>
        </is>
      </c>
      <c r="J1113" t="inlineStr">
        <is>
          <t>NULL</t>
        </is>
      </c>
      <c r="K1113" t="inlineStr">
        <is>
          <t>YES! 	 c_xml列源备映射正确，源端为xml -1位	期望更改为longtext	实际备端为longtext 4294967295位</t>
        </is>
      </c>
    </row>
    <row r="1114">
      <c r="A1114" t="inlineStr">
        <is>
          <t>info_binary_dml_single_nopk_urp</t>
        </is>
      </c>
      <c r="K1114" t="inlineStr">
        <is>
          <t>[0;34m info_binary_dml_single_nopk_urp [0m源备字段数相同，源端字段：4 	备端字段4</t>
        </is>
      </c>
      <c r="W1114" t="inlineStr">
        <is>
          <t>YES 源备无差异</t>
        </is>
      </c>
      <c r="X1114">
        <f>A1114</f>
        <v/>
      </c>
    </row>
    <row r="1115">
      <c r="B1115" t="inlineStr">
        <is>
          <t>NULL</t>
        </is>
      </c>
      <c r="C1115" t="inlineStr">
        <is>
          <t>NULL</t>
        </is>
      </c>
      <c r="D1115" t="inlineStr">
        <is>
          <t>NULL</t>
        </is>
      </c>
      <c r="E1115" t="inlineStr">
        <is>
          <t>NULL</t>
        </is>
      </c>
      <c r="F1115" t="inlineStr">
        <is>
          <t>NULL</t>
        </is>
      </c>
      <c r="G1115" t="inlineStr">
        <is>
          <t>NULL</t>
        </is>
      </c>
      <c r="H1115" t="inlineStr">
        <is>
          <t>NULL</t>
        </is>
      </c>
      <c r="I1115" t="inlineStr">
        <is>
          <t>NULL</t>
        </is>
      </c>
      <c r="J1115" t="inlineStr">
        <is>
          <t>NULL</t>
        </is>
      </c>
      <c r="K1115" t="inlineStr">
        <is>
          <t>YES! 	 id列源备映射正确，源端为int None位	期望更改为int	实际备端为int None位</t>
        </is>
      </c>
    </row>
    <row r="1116">
      <c r="B1116" t="inlineStr">
        <is>
          <t>NULL</t>
        </is>
      </c>
      <c r="C1116" t="inlineStr">
        <is>
          <t>NULL</t>
        </is>
      </c>
      <c r="D1116" t="inlineStr">
        <is>
          <t>NULL</t>
        </is>
      </c>
      <c r="E1116" t="inlineStr">
        <is>
          <t>NULL</t>
        </is>
      </c>
      <c r="F1116" t="inlineStr">
        <is>
          <t>NULL</t>
        </is>
      </c>
      <c r="G1116" t="inlineStr">
        <is>
          <t>NULL</t>
        </is>
      </c>
      <c r="H1116" t="inlineStr">
        <is>
          <t>NULL</t>
        </is>
      </c>
      <c r="I1116" t="inlineStr">
        <is>
          <t>NULL</t>
        </is>
      </c>
      <c r="J1116" t="inlineStr">
        <is>
          <t>NULL</t>
        </is>
      </c>
      <c r="K1116" t="inlineStr">
        <is>
          <t>YES! 	 c_binary列源备映射正确，源端为binary 1位	期望更改为binary(n)	实际备端为binary 1位</t>
        </is>
      </c>
    </row>
    <row r="1117">
      <c r="B1117" t="inlineStr">
        <is>
          <t>NULL</t>
        </is>
      </c>
      <c r="C1117" t="inlineStr">
        <is>
          <t>NULL</t>
        </is>
      </c>
      <c r="D1117" t="inlineStr">
        <is>
          <t>NULL</t>
        </is>
      </c>
      <c r="E1117" t="inlineStr">
        <is>
          <t>NULL</t>
        </is>
      </c>
      <c r="F1117" t="inlineStr">
        <is>
          <t>NULL</t>
        </is>
      </c>
      <c r="G1117" t="inlineStr">
        <is>
          <t>NULL</t>
        </is>
      </c>
      <c r="H1117" t="inlineStr">
        <is>
          <t>NULL</t>
        </is>
      </c>
      <c r="I1117" t="inlineStr">
        <is>
          <t>NULL</t>
        </is>
      </c>
      <c r="J1117" t="inlineStr">
        <is>
          <t>NULL</t>
        </is>
      </c>
      <c r="K1117" t="inlineStr">
        <is>
          <t>YES! 	 c_binary_20列源备映射正确，源端为binary 20位	期望更改为binary(n)	实际备端为binary 20位</t>
        </is>
      </c>
    </row>
    <row r="1118">
      <c r="B1118" t="inlineStr">
        <is>
          <t>NULL</t>
        </is>
      </c>
      <c r="C1118" t="inlineStr">
        <is>
          <t>NULL</t>
        </is>
      </c>
      <c r="D1118" t="inlineStr">
        <is>
          <t>NULL</t>
        </is>
      </c>
      <c r="E1118" t="inlineStr">
        <is>
          <t>NULL</t>
        </is>
      </c>
      <c r="F1118" t="inlineStr">
        <is>
          <t>NULL</t>
        </is>
      </c>
      <c r="G1118" t="inlineStr">
        <is>
          <t>NULL</t>
        </is>
      </c>
      <c r="H1118" t="inlineStr">
        <is>
          <t>NULL</t>
        </is>
      </c>
      <c r="I1118" t="inlineStr">
        <is>
          <t>NULL</t>
        </is>
      </c>
      <c r="J1118" t="inlineStr">
        <is>
          <t>NULL</t>
        </is>
      </c>
      <c r="K1118" t="inlineStr">
        <is>
          <t>YES! 	 c_binary_8000列源备映射正确，源端为binary 8000位	期望更改为longblob	实际备端为longblob 4294967295位</t>
        </is>
      </c>
    </row>
    <row r="1119">
      <c r="A1119" t="inlineStr">
        <is>
          <t>info_xml_dml_single_nopk_urp</t>
        </is>
      </c>
      <c r="K1119" t="inlineStr">
        <is>
          <t>[0;34m info_xml_dml_single_nopk_urp [0m源备字段数相同，源端字段：2 	备端字段2</t>
        </is>
      </c>
      <c r="W1119" t="inlineStr">
        <is>
          <t>YES 源备无差异</t>
        </is>
      </c>
      <c r="X1119">
        <f>A1119</f>
        <v/>
      </c>
    </row>
    <row r="1120">
      <c r="B1120" t="inlineStr">
        <is>
          <t>NULL</t>
        </is>
      </c>
      <c r="C1120" t="inlineStr">
        <is>
          <t>NULL</t>
        </is>
      </c>
      <c r="D1120" t="inlineStr">
        <is>
          <t>NULL</t>
        </is>
      </c>
      <c r="E1120" t="inlineStr">
        <is>
          <t>NULL</t>
        </is>
      </c>
      <c r="F1120" t="inlineStr">
        <is>
          <t>NULL</t>
        </is>
      </c>
      <c r="G1120" t="inlineStr">
        <is>
          <t>NULL</t>
        </is>
      </c>
      <c r="H1120" t="inlineStr">
        <is>
          <t>NULL</t>
        </is>
      </c>
      <c r="I1120" t="inlineStr">
        <is>
          <t>NULL</t>
        </is>
      </c>
      <c r="J1120" t="inlineStr">
        <is>
          <t>NULL</t>
        </is>
      </c>
      <c r="K1120" t="inlineStr">
        <is>
          <t>YES! 	 id列源备映射正确，源端为int None位	期望更改为int	实际备端为int None位</t>
        </is>
      </c>
    </row>
    <row r="1121">
      <c r="B1121" t="inlineStr">
        <is>
          <t>NULL</t>
        </is>
      </c>
      <c r="C1121" t="inlineStr">
        <is>
          <t>NULL</t>
        </is>
      </c>
      <c r="D1121" t="inlineStr">
        <is>
          <t>NULL</t>
        </is>
      </c>
      <c r="E1121" t="inlineStr">
        <is>
          <t>NULL</t>
        </is>
      </c>
      <c r="F1121" t="inlineStr">
        <is>
          <t>NULL</t>
        </is>
      </c>
      <c r="G1121" t="inlineStr">
        <is>
          <t>NULL</t>
        </is>
      </c>
      <c r="H1121" t="inlineStr">
        <is>
          <t>NULL</t>
        </is>
      </c>
      <c r="I1121" t="inlineStr">
        <is>
          <t>NULL</t>
        </is>
      </c>
      <c r="J1121" t="inlineStr">
        <is>
          <t>NULL</t>
        </is>
      </c>
      <c r="K1121" t="inlineStr">
        <is>
          <t>YES! 	 c_xml列源备映射正确，源端为xml -1位	期望更改为longtext	实际备端为longtext 4294967295位</t>
        </is>
      </c>
    </row>
    <row r="1122">
      <c r="A1122" t="inlineStr">
        <is>
          <t>info_datetime_dml_single_pk_irp</t>
        </is>
      </c>
      <c r="K1122" t="inlineStr">
        <is>
          <t>[0;34m info_datetime_dml_single_pk_irp [0m源备字段数相同，源端字段：2 	备端字段2</t>
        </is>
      </c>
      <c r="W1122" t="inlineStr">
        <is>
          <t>YES 源备无差异</t>
        </is>
      </c>
      <c r="X1122">
        <f>A1122</f>
        <v/>
      </c>
    </row>
    <row r="1123">
      <c r="B1123" t="inlineStr">
        <is>
          <t>YES</t>
        </is>
      </c>
      <c r="C1123" t="inlineStr">
        <is>
          <t>NULL</t>
        </is>
      </c>
      <c r="D1123" t="inlineStr">
        <is>
          <t>NULL</t>
        </is>
      </c>
      <c r="E1123" t="inlineStr">
        <is>
          <t>NULL</t>
        </is>
      </c>
      <c r="F1123" t="inlineStr">
        <is>
          <t>NULL</t>
        </is>
      </c>
      <c r="G1123" t="inlineStr">
        <is>
          <t>NULL</t>
        </is>
      </c>
      <c r="H1123" t="inlineStr">
        <is>
          <t>NULL</t>
        </is>
      </c>
      <c r="I1123" t="inlineStr">
        <is>
          <t>YES!PK__info_dat__3213E83F9B704CC8</t>
        </is>
      </c>
      <c r="J1123" t="inlineStr">
        <is>
          <t>YES! 主键相关索引</t>
        </is>
      </c>
      <c r="K1123" t="inlineStr">
        <is>
          <t>YES! 	 id列源备映射正确，源端为int None位	期望更改为int	实际备端为int None位</t>
        </is>
      </c>
    </row>
    <row r="1124">
      <c r="B1124" t="inlineStr">
        <is>
          <t>NULL</t>
        </is>
      </c>
      <c r="C1124" t="inlineStr">
        <is>
          <t>NULL</t>
        </is>
      </c>
      <c r="D1124" t="inlineStr">
        <is>
          <t>NULL</t>
        </is>
      </c>
      <c r="E1124" t="inlineStr">
        <is>
          <t>NULL</t>
        </is>
      </c>
      <c r="F1124" t="inlineStr">
        <is>
          <t>NULL</t>
        </is>
      </c>
      <c r="G1124" t="inlineStr">
        <is>
          <t>NULL</t>
        </is>
      </c>
      <c r="H1124" t="inlineStr">
        <is>
          <t>NULL</t>
        </is>
      </c>
      <c r="I1124" t="inlineStr">
        <is>
          <t>NULL</t>
        </is>
      </c>
      <c r="J1124" t="inlineStr">
        <is>
          <t>NULL</t>
        </is>
      </c>
      <c r="K1124" t="inlineStr">
        <is>
          <t>YES! 	 c_datetime列源备映射正确，源端为datetime None位	期望更改为datetime(3)	实际备端为datetime None位</t>
        </is>
      </c>
    </row>
    <row r="1125">
      <c r="A1125" t="inlineStr">
        <is>
          <t>info_xml_dml_single_nopk_drp</t>
        </is>
      </c>
      <c r="K1125" t="inlineStr">
        <is>
          <t>[0;34m info_xml_dml_single_nopk_drp [0m源备字段数相同，源端字段：2 	备端字段2</t>
        </is>
      </c>
      <c r="W1125" t="inlineStr">
        <is>
          <t>YES 源备无差异</t>
        </is>
      </c>
      <c r="X1125">
        <f>A1125</f>
        <v/>
      </c>
    </row>
    <row r="1126">
      <c r="B1126" t="inlineStr">
        <is>
          <t>NULL</t>
        </is>
      </c>
      <c r="C1126" t="inlineStr">
        <is>
          <t>NULL</t>
        </is>
      </c>
      <c r="D1126" t="inlineStr">
        <is>
          <t>NULL</t>
        </is>
      </c>
      <c r="E1126" t="inlineStr">
        <is>
          <t>NULL</t>
        </is>
      </c>
      <c r="F1126" t="inlineStr">
        <is>
          <t>NULL</t>
        </is>
      </c>
      <c r="G1126" t="inlineStr">
        <is>
          <t>NULL</t>
        </is>
      </c>
      <c r="H1126" t="inlineStr">
        <is>
          <t>NULL</t>
        </is>
      </c>
      <c r="I1126" t="inlineStr">
        <is>
          <t>NULL</t>
        </is>
      </c>
      <c r="J1126" t="inlineStr">
        <is>
          <t>NULL</t>
        </is>
      </c>
      <c r="K1126" t="inlineStr">
        <is>
          <t>YES! 	 id列源备映射正确，源端为int None位	期望更改为int	实际备端为int None位</t>
        </is>
      </c>
    </row>
    <row r="1127">
      <c r="B1127" t="inlineStr">
        <is>
          <t>NULL</t>
        </is>
      </c>
      <c r="C1127" t="inlineStr">
        <is>
          <t>NULL</t>
        </is>
      </c>
      <c r="D1127" t="inlineStr">
        <is>
          <t>NULL</t>
        </is>
      </c>
      <c r="E1127" t="inlineStr">
        <is>
          <t>NULL</t>
        </is>
      </c>
      <c r="F1127" t="inlineStr">
        <is>
          <t>NULL</t>
        </is>
      </c>
      <c r="G1127" t="inlineStr">
        <is>
          <t>NULL</t>
        </is>
      </c>
      <c r="H1127" t="inlineStr">
        <is>
          <t>NULL</t>
        </is>
      </c>
      <c r="I1127" t="inlineStr">
        <is>
          <t>NULL</t>
        </is>
      </c>
      <c r="J1127" t="inlineStr">
        <is>
          <t>NULL</t>
        </is>
      </c>
      <c r="K1127" t="inlineStr">
        <is>
          <t>YES! 	 c_xml列源备映射正确，源端为xml -1位	期望更改为longtext	实际备端为longtext 4294967295位</t>
        </is>
      </c>
    </row>
    <row r="1128">
      <c r="A1128" t="inlineStr">
        <is>
          <t>info_nvarchar_dml_batch2_pk_irp2</t>
        </is>
      </c>
      <c r="K1128" t="inlineStr">
        <is>
          <t>[0;34m info_nvarchar_dml_batch2_pk_irp2 [0m源备字段数相同，源端字段：4 	备端字段4</t>
        </is>
      </c>
      <c r="W1128" t="inlineStr">
        <is>
          <t>YES 源备无差异</t>
        </is>
      </c>
      <c r="X1128">
        <f>A1128</f>
        <v/>
      </c>
    </row>
    <row r="1129">
      <c r="B1129" t="inlineStr">
        <is>
          <t>YES</t>
        </is>
      </c>
      <c r="C1129" t="inlineStr">
        <is>
          <t>NULL</t>
        </is>
      </c>
      <c r="D1129" t="inlineStr">
        <is>
          <t>NULL</t>
        </is>
      </c>
      <c r="E1129" t="inlineStr">
        <is>
          <t>NULL</t>
        </is>
      </c>
      <c r="F1129" t="inlineStr">
        <is>
          <t>NULL</t>
        </is>
      </c>
      <c r="G1129" t="inlineStr">
        <is>
          <t>NULL</t>
        </is>
      </c>
      <c r="H1129" t="inlineStr">
        <is>
          <t>NULL</t>
        </is>
      </c>
      <c r="I1129" t="inlineStr">
        <is>
          <t>YES!PK__info_nva__3213E83F40A54535</t>
        </is>
      </c>
      <c r="J1129" t="inlineStr">
        <is>
          <t>YES! 主键相关索引</t>
        </is>
      </c>
      <c r="K1129" t="inlineStr">
        <is>
          <t>YES! 	 id列源备映射正确，源端为int None位	期望更改为int	实际备端为int None位</t>
        </is>
      </c>
    </row>
    <row r="1130">
      <c r="B1130" t="inlineStr">
        <is>
          <t>NULL</t>
        </is>
      </c>
      <c r="C1130" t="inlineStr">
        <is>
          <t>NULL</t>
        </is>
      </c>
      <c r="D1130" t="inlineStr">
        <is>
          <t>NULL</t>
        </is>
      </c>
      <c r="E1130" t="inlineStr">
        <is>
          <t>NULL</t>
        </is>
      </c>
      <c r="F1130" t="inlineStr">
        <is>
          <t>NULL</t>
        </is>
      </c>
      <c r="G1130" t="inlineStr">
        <is>
          <t>NULL</t>
        </is>
      </c>
      <c r="H1130" t="inlineStr">
        <is>
          <t>NULL</t>
        </is>
      </c>
      <c r="I1130" t="inlineStr">
        <is>
          <t>NULL</t>
        </is>
      </c>
      <c r="J1130" t="inlineStr">
        <is>
          <t>NULL</t>
        </is>
      </c>
      <c r="K1130" t="inlineStr">
        <is>
          <t>YES! 	 c_nvarchar列源备映射正确，源端为nvarchar 2位	期望更改为varchar(n)	实际备端为varchar 4位</t>
        </is>
      </c>
    </row>
    <row r="1131">
      <c r="B1131" t="inlineStr">
        <is>
          <t>NULL</t>
        </is>
      </c>
      <c r="C1131" t="inlineStr">
        <is>
          <t>NULL</t>
        </is>
      </c>
      <c r="D1131" t="inlineStr">
        <is>
          <t>NULL</t>
        </is>
      </c>
      <c r="E1131" t="inlineStr">
        <is>
          <t>NULL</t>
        </is>
      </c>
      <c r="F1131" t="inlineStr">
        <is>
          <t>NULL</t>
        </is>
      </c>
      <c r="G1131" t="inlineStr">
        <is>
          <t>NULL</t>
        </is>
      </c>
      <c r="H1131" t="inlineStr">
        <is>
          <t>NULL</t>
        </is>
      </c>
      <c r="I1131" t="inlineStr">
        <is>
          <t>NULL</t>
        </is>
      </c>
      <c r="J1131" t="inlineStr">
        <is>
          <t>NULL</t>
        </is>
      </c>
      <c r="K1131" t="inlineStr">
        <is>
          <t>YES! 	 c_nvarchar20列源备映射正确，源端为nvarchar 40位	期望更改为varchar(n)	实际备端为varchar 80位</t>
        </is>
      </c>
    </row>
    <row r="1132">
      <c r="B1132" t="inlineStr">
        <is>
          <t>NULL</t>
        </is>
      </c>
      <c r="C1132" t="inlineStr">
        <is>
          <t>NULL</t>
        </is>
      </c>
      <c r="D1132" t="inlineStr">
        <is>
          <t>NULL</t>
        </is>
      </c>
      <c r="E1132" t="inlineStr">
        <is>
          <t>NULL</t>
        </is>
      </c>
      <c r="F1132" t="inlineStr">
        <is>
          <t>NULL</t>
        </is>
      </c>
      <c r="G1132" t="inlineStr">
        <is>
          <t>NULL</t>
        </is>
      </c>
      <c r="H1132" t="inlineStr">
        <is>
          <t>NULL</t>
        </is>
      </c>
      <c r="I1132" t="inlineStr">
        <is>
          <t>NULL</t>
        </is>
      </c>
      <c r="J1132" t="inlineStr">
        <is>
          <t>NULL</t>
        </is>
      </c>
      <c r="K1132" t="inlineStr">
        <is>
          <t>YES! 	 c_nvarchar3500列源备映射正确，源端为nvarchar 7000位	期望更改为text	实际备端为text 65535位</t>
        </is>
      </c>
    </row>
    <row r="1133">
      <c r="A1133" t="inlineStr">
        <is>
          <t>info_xml_dml_single_nopk</t>
        </is>
      </c>
      <c r="K1133" t="inlineStr">
        <is>
          <t>[0;34m info_xml_dml_single_nopk [0m源备字段数相同，源端字段：2 	备端字段2</t>
        </is>
      </c>
      <c r="W1133" t="inlineStr">
        <is>
          <t>YES 源备无差异</t>
        </is>
      </c>
      <c r="X1133">
        <f>A1133</f>
        <v/>
      </c>
    </row>
    <row r="1134">
      <c r="B1134" t="inlineStr">
        <is>
          <t>NULL</t>
        </is>
      </c>
      <c r="C1134" t="inlineStr">
        <is>
          <t>NULL</t>
        </is>
      </c>
      <c r="D1134" t="inlineStr">
        <is>
          <t>NULL</t>
        </is>
      </c>
      <c r="E1134" t="inlineStr">
        <is>
          <t>NULL</t>
        </is>
      </c>
      <c r="F1134" t="inlineStr">
        <is>
          <t>NULL</t>
        </is>
      </c>
      <c r="G1134" t="inlineStr">
        <is>
          <t>NULL</t>
        </is>
      </c>
      <c r="H1134" t="inlineStr">
        <is>
          <t>NULL</t>
        </is>
      </c>
      <c r="I1134" t="inlineStr">
        <is>
          <t>NULL</t>
        </is>
      </c>
      <c r="J1134" t="inlineStr">
        <is>
          <t>NULL</t>
        </is>
      </c>
      <c r="K1134" t="inlineStr">
        <is>
          <t>YES! 	 id列源备映射正确，源端为int None位	期望更改为int	实际备端为int None位</t>
        </is>
      </c>
    </row>
    <row r="1135">
      <c r="B1135" t="inlineStr">
        <is>
          <t>NULL</t>
        </is>
      </c>
      <c r="C1135" t="inlineStr">
        <is>
          <t>NULL</t>
        </is>
      </c>
      <c r="D1135" t="inlineStr">
        <is>
          <t>NULL</t>
        </is>
      </c>
      <c r="E1135" t="inlineStr">
        <is>
          <t>NULL</t>
        </is>
      </c>
      <c r="F1135" t="inlineStr">
        <is>
          <t>NULL</t>
        </is>
      </c>
      <c r="G1135" t="inlineStr">
        <is>
          <t>NULL</t>
        </is>
      </c>
      <c r="H1135" t="inlineStr">
        <is>
          <t>NULL</t>
        </is>
      </c>
      <c r="I1135" t="inlineStr">
        <is>
          <t>NULL</t>
        </is>
      </c>
      <c r="J1135" t="inlineStr">
        <is>
          <t>NULL</t>
        </is>
      </c>
      <c r="K1135" t="inlineStr">
        <is>
          <t>YES! 	 c_xml列源备映射正确，源端为xml -1位	期望更改为longtext	实际备端为longtext 4294967295位</t>
        </is>
      </c>
    </row>
    <row r="1136">
      <c r="A1136" t="inlineStr">
        <is>
          <t>info_datetime2_dml_batch1_pk</t>
        </is>
      </c>
      <c r="K1136" t="inlineStr">
        <is>
          <t>[0;34m info_datetime2_dml_batch1_pk [0m源备字段数相同，源端字段：9 	备端字段9</t>
        </is>
      </c>
      <c r="W1136" t="inlineStr">
        <is>
          <t>YES 源备无差异</t>
        </is>
      </c>
      <c r="X1136">
        <f>A1136</f>
        <v/>
      </c>
    </row>
    <row r="1137">
      <c r="B1137" t="inlineStr">
        <is>
          <t>YES</t>
        </is>
      </c>
      <c r="C1137" t="inlineStr">
        <is>
          <t>NULL</t>
        </is>
      </c>
      <c r="D1137" t="inlineStr">
        <is>
          <t>NULL</t>
        </is>
      </c>
      <c r="E1137" t="inlineStr">
        <is>
          <t>NULL</t>
        </is>
      </c>
      <c r="F1137" t="inlineStr">
        <is>
          <t>NULL</t>
        </is>
      </c>
      <c r="G1137" t="inlineStr">
        <is>
          <t>NULL</t>
        </is>
      </c>
      <c r="H1137" t="inlineStr">
        <is>
          <t>NULL</t>
        </is>
      </c>
      <c r="I1137" t="inlineStr">
        <is>
          <t>YES!PK__info_dat__3213E83F40C47290</t>
        </is>
      </c>
      <c r="J1137" t="inlineStr">
        <is>
          <t>YES! 主键相关索引</t>
        </is>
      </c>
      <c r="K1137" t="inlineStr">
        <is>
          <t>YES! 	 id列源备映射正确，源端为int None位	期望更改为int	实际备端为int None位</t>
        </is>
      </c>
    </row>
    <row r="1138">
      <c r="B1138" t="inlineStr">
        <is>
          <t>NULL</t>
        </is>
      </c>
      <c r="C1138" t="inlineStr">
        <is>
          <t>NULL</t>
        </is>
      </c>
      <c r="D1138" t="inlineStr">
        <is>
          <t>NULL</t>
        </is>
      </c>
      <c r="E1138" t="inlineStr">
        <is>
          <t>NULL</t>
        </is>
      </c>
      <c r="F1138" t="inlineStr">
        <is>
          <t>NULL</t>
        </is>
      </c>
      <c r="G1138" t="inlineStr">
        <is>
          <t>NULL</t>
        </is>
      </c>
      <c r="H1138" t="inlineStr">
        <is>
          <t>NULL</t>
        </is>
      </c>
      <c r="I1138" t="inlineStr">
        <is>
          <t>NULL</t>
        </is>
      </c>
      <c r="J1138" t="inlineStr">
        <is>
          <t>NULL</t>
        </is>
      </c>
      <c r="K1138" t="inlineStr">
        <is>
          <t>no,len不存在</t>
        </is>
      </c>
    </row>
    <row r="1139">
      <c r="B1139" t="inlineStr">
        <is>
          <t>NULL</t>
        </is>
      </c>
      <c r="C1139" t="inlineStr">
        <is>
          <t>NULL</t>
        </is>
      </c>
      <c r="D1139" t="inlineStr">
        <is>
          <t>NULL</t>
        </is>
      </c>
      <c r="E1139" t="inlineStr">
        <is>
          <t>NULL</t>
        </is>
      </c>
      <c r="F1139" t="inlineStr">
        <is>
          <t>NULL</t>
        </is>
      </c>
      <c r="G1139" t="inlineStr">
        <is>
          <t>NULL</t>
        </is>
      </c>
      <c r="H1139" t="inlineStr">
        <is>
          <t>NULL</t>
        </is>
      </c>
      <c r="I1139" t="inlineStr">
        <is>
          <t>NULL</t>
        </is>
      </c>
      <c r="J1139" t="inlineStr">
        <is>
          <t>NULL</t>
        </is>
      </c>
      <c r="K1139" t="inlineStr">
        <is>
          <t>YES! 	 c_dt2_1列源备映射正确，源端为datetime2 None位	期望更改为datetime(n)	实际备端为datetime None位</t>
        </is>
      </c>
    </row>
    <row r="1140">
      <c r="B1140" t="inlineStr">
        <is>
          <t>NULL</t>
        </is>
      </c>
      <c r="C1140" t="inlineStr">
        <is>
          <t>NULL</t>
        </is>
      </c>
      <c r="D1140" t="inlineStr">
        <is>
          <t>NULL</t>
        </is>
      </c>
      <c r="E1140" t="inlineStr">
        <is>
          <t>NULL</t>
        </is>
      </c>
      <c r="F1140" t="inlineStr">
        <is>
          <t>NULL</t>
        </is>
      </c>
      <c r="G1140" t="inlineStr">
        <is>
          <t>NULL</t>
        </is>
      </c>
      <c r="H1140" t="inlineStr">
        <is>
          <t>NULL</t>
        </is>
      </c>
      <c r="I1140" t="inlineStr">
        <is>
          <t>NULL</t>
        </is>
      </c>
      <c r="J1140" t="inlineStr">
        <is>
          <t>NULL</t>
        </is>
      </c>
      <c r="K1140" t="inlineStr">
        <is>
          <t>YES! 	 c_dt2_2列源备映射正确，源端为datetime2 None位	期望更改为datetime(n)	实际备端为datetime None位</t>
        </is>
      </c>
    </row>
    <row r="1141">
      <c r="B1141" t="inlineStr">
        <is>
          <t>NULL</t>
        </is>
      </c>
      <c r="C1141" t="inlineStr">
        <is>
          <t>NULL</t>
        </is>
      </c>
      <c r="D1141" t="inlineStr">
        <is>
          <t>NULL</t>
        </is>
      </c>
      <c r="E1141" t="inlineStr">
        <is>
          <t>NULL</t>
        </is>
      </c>
      <c r="F1141" t="inlineStr">
        <is>
          <t>NULL</t>
        </is>
      </c>
      <c r="G1141" t="inlineStr">
        <is>
          <t>NULL</t>
        </is>
      </c>
      <c r="H1141" t="inlineStr">
        <is>
          <t>NULL</t>
        </is>
      </c>
      <c r="I1141" t="inlineStr">
        <is>
          <t>NULL</t>
        </is>
      </c>
      <c r="J1141" t="inlineStr">
        <is>
          <t>NULL</t>
        </is>
      </c>
      <c r="K1141" t="inlineStr">
        <is>
          <t>YES! 	 c_dt2_3列源备映射正确，源端为datetime2 None位	期望更改为datetime(n)	实际备端为datetime None位</t>
        </is>
      </c>
    </row>
    <row r="1142">
      <c r="B1142" t="inlineStr">
        <is>
          <t>NULL</t>
        </is>
      </c>
      <c r="C1142" t="inlineStr">
        <is>
          <t>NULL</t>
        </is>
      </c>
      <c r="D1142" t="inlineStr">
        <is>
          <t>NULL</t>
        </is>
      </c>
      <c r="E1142" t="inlineStr">
        <is>
          <t>NULL</t>
        </is>
      </c>
      <c r="F1142" t="inlineStr">
        <is>
          <t>NULL</t>
        </is>
      </c>
      <c r="G1142" t="inlineStr">
        <is>
          <t>NULL</t>
        </is>
      </c>
      <c r="H1142" t="inlineStr">
        <is>
          <t>NULL</t>
        </is>
      </c>
      <c r="I1142" t="inlineStr">
        <is>
          <t>NULL</t>
        </is>
      </c>
      <c r="J1142" t="inlineStr">
        <is>
          <t>NULL</t>
        </is>
      </c>
      <c r="K1142" t="inlineStr">
        <is>
          <t>YES! 	 c_dt2_4列源备映射正确，源端为datetime2 None位	期望更改为datetime(n)	实际备端为datetime None位</t>
        </is>
      </c>
    </row>
    <row r="1143">
      <c r="B1143" t="inlineStr">
        <is>
          <t>NULL</t>
        </is>
      </c>
      <c r="C1143" t="inlineStr">
        <is>
          <t>NULL</t>
        </is>
      </c>
      <c r="D1143" t="inlineStr">
        <is>
          <t>NULL</t>
        </is>
      </c>
      <c r="E1143" t="inlineStr">
        <is>
          <t>NULL</t>
        </is>
      </c>
      <c r="F1143" t="inlineStr">
        <is>
          <t>NULL</t>
        </is>
      </c>
      <c r="G1143" t="inlineStr">
        <is>
          <t>NULL</t>
        </is>
      </c>
      <c r="H1143" t="inlineStr">
        <is>
          <t>NULL</t>
        </is>
      </c>
      <c r="I1143" t="inlineStr">
        <is>
          <t>NULL</t>
        </is>
      </c>
      <c r="J1143" t="inlineStr">
        <is>
          <t>NULL</t>
        </is>
      </c>
      <c r="K1143" t="inlineStr">
        <is>
          <t>YES! 	 c_dt2_5列源备映射正确，源端为datetime2 None位	期望更改为datetime(n)	实际备端为datetime None位</t>
        </is>
      </c>
    </row>
    <row r="1144">
      <c r="B1144" t="inlineStr">
        <is>
          <t>NULL</t>
        </is>
      </c>
      <c r="C1144" t="inlineStr">
        <is>
          <t>NULL</t>
        </is>
      </c>
      <c r="D1144" t="inlineStr">
        <is>
          <t>NULL</t>
        </is>
      </c>
      <c r="E1144" t="inlineStr">
        <is>
          <t>NULL</t>
        </is>
      </c>
      <c r="F1144" t="inlineStr">
        <is>
          <t>NULL</t>
        </is>
      </c>
      <c r="G1144" t="inlineStr">
        <is>
          <t>NULL</t>
        </is>
      </c>
      <c r="H1144" t="inlineStr">
        <is>
          <t>NULL</t>
        </is>
      </c>
      <c r="I1144" t="inlineStr">
        <is>
          <t>NULL</t>
        </is>
      </c>
      <c r="J1144" t="inlineStr">
        <is>
          <t>NULL</t>
        </is>
      </c>
      <c r="K1144" t="inlineStr">
        <is>
          <t>YES! 	 c_dt2_6列源备映射正确，源端为datetime2 None位	期望更改为datetime(n)	实际备端为datetime None位</t>
        </is>
      </c>
    </row>
    <row r="1145">
      <c r="B1145" t="inlineStr">
        <is>
          <t>NULL</t>
        </is>
      </c>
      <c r="C1145" t="inlineStr">
        <is>
          <t>NULL</t>
        </is>
      </c>
      <c r="D1145" t="inlineStr">
        <is>
          <t>NULL</t>
        </is>
      </c>
      <c r="E1145" t="inlineStr">
        <is>
          <t>NULL</t>
        </is>
      </c>
      <c r="F1145" t="inlineStr">
        <is>
          <t>NULL</t>
        </is>
      </c>
      <c r="G1145" t="inlineStr">
        <is>
          <t>NULL</t>
        </is>
      </c>
      <c r="H1145" t="inlineStr">
        <is>
          <t>NULL</t>
        </is>
      </c>
      <c r="I1145" t="inlineStr">
        <is>
          <t>NULL</t>
        </is>
      </c>
      <c r="J1145" t="inlineStr">
        <is>
          <t>NULL</t>
        </is>
      </c>
      <c r="K1145" t="inlineStr">
        <is>
          <t xml:space="preserve"> NO!  	 c_dt2列源备映射错误，源端为datetime2 None位	期望更改为datetime(n)	实际备端为varchar 136位</t>
        </is>
      </c>
    </row>
    <row r="1146">
      <c r="A1146" t="inlineStr">
        <is>
          <t>info_datetime_dml_single_pk_urp</t>
        </is>
      </c>
      <c r="K1146" t="inlineStr">
        <is>
          <t>[0;34m info_datetime_dml_single_pk_urp [0m源备字段数相同，源端字段：2 	备端字段2</t>
        </is>
      </c>
      <c r="W1146" t="inlineStr">
        <is>
          <t>YES 源备无差异</t>
        </is>
      </c>
      <c r="X1146">
        <f>A1146</f>
        <v/>
      </c>
    </row>
    <row r="1147">
      <c r="B1147" t="inlineStr">
        <is>
          <t>YES</t>
        </is>
      </c>
      <c r="C1147" t="inlineStr">
        <is>
          <t>NULL</t>
        </is>
      </c>
      <c r="D1147" t="inlineStr">
        <is>
          <t>NULL</t>
        </is>
      </c>
      <c r="E1147" t="inlineStr">
        <is>
          <t>NULL</t>
        </is>
      </c>
      <c r="F1147" t="inlineStr">
        <is>
          <t>NULL</t>
        </is>
      </c>
      <c r="G1147" t="inlineStr">
        <is>
          <t>NULL</t>
        </is>
      </c>
      <c r="H1147" t="inlineStr">
        <is>
          <t>NULL</t>
        </is>
      </c>
      <c r="I1147" t="inlineStr">
        <is>
          <t>YES!PK__info_dat__3213E83F0D54FDEB</t>
        </is>
      </c>
      <c r="J1147" t="inlineStr">
        <is>
          <t>YES! 主键相关索引</t>
        </is>
      </c>
      <c r="K1147" t="inlineStr">
        <is>
          <t>YES! 	 id列源备映射正确，源端为int None位	期望更改为int	实际备端为int None位</t>
        </is>
      </c>
    </row>
    <row r="1148">
      <c r="B1148" t="inlineStr">
        <is>
          <t>NULL</t>
        </is>
      </c>
      <c r="C1148" t="inlineStr">
        <is>
          <t>NULL</t>
        </is>
      </c>
      <c r="D1148" t="inlineStr">
        <is>
          <t>NULL</t>
        </is>
      </c>
      <c r="E1148" t="inlineStr">
        <is>
          <t>NULL</t>
        </is>
      </c>
      <c r="F1148" t="inlineStr">
        <is>
          <t>NULL</t>
        </is>
      </c>
      <c r="G1148" t="inlineStr">
        <is>
          <t>NULL</t>
        </is>
      </c>
      <c r="H1148" t="inlineStr">
        <is>
          <t>NULL</t>
        </is>
      </c>
      <c r="I1148" t="inlineStr">
        <is>
          <t>NULL</t>
        </is>
      </c>
      <c r="J1148" t="inlineStr">
        <is>
          <t>NULL</t>
        </is>
      </c>
      <c r="K1148" t="inlineStr">
        <is>
          <t>YES! 	 c_datetime列源备映射正确，源端为datetime None位	期望更改为datetime(3)	实际备端为datetime None位</t>
        </is>
      </c>
    </row>
    <row r="1149">
      <c r="A1149" t="inlineStr">
        <is>
          <t>info_date_dml_single_nopk_irp</t>
        </is>
      </c>
      <c r="K1149" t="inlineStr">
        <is>
          <t>[0;34m info_date_dml_single_nopk_irp [0m源备字段数相同，源端字段：2 	备端字段2</t>
        </is>
      </c>
      <c r="W1149" t="inlineStr">
        <is>
          <t>YES 源备无差异</t>
        </is>
      </c>
      <c r="X1149">
        <f>A1149</f>
        <v/>
      </c>
    </row>
    <row r="1150">
      <c r="B1150" t="inlineStr">
        <is>
          <t>NULL</t>
        </is>
      </c>
      <c r="C1150" t="inlineStr">
        <is>
          <t>NULL</t>
        </is>
      </c>
      <c r="D1150" t="inlineStr">
        <is>
          <t>NULL</t>
        </is>
      </c>
      <c r="E1150" t="inlineStr">
        <is>
          <t>NULL</t>
        </is>
      </c>
      <c r="F1150" t="inlineStr">
        <is>
          <t>NULL</t>
        </is>
      </c>
      <c r="G1150" t="inlineStr">
        <is>
          <t>NULL</t>
        </is>
      </c>
      <c r="H1150" t="inlineStr">
        <is>
          <t>NULL</t>
        </is>
      </c>
      <c r="I1150" t="inlineStr">
        <is>
          <t>NULL</t>
        </is>
      </c>
      <c r="J1150" t="inlineStr">
        <is>
          <t>NULL</t>
        </is>
      </c>
      <c r="K1150" t="inlineStr">
        <is>
          <t>YES! 	 id列源备映射正确，源端为int None位	期望更改为int	实际备端为int None位</t>
        </is>
      </c>
    </row>
    <row r="1151">
      <c r="B1151" t="inlineStr">
        <is>
          <t>NULL</t>
        </is>
      </c>
      <c r="C1151" t="inlineStr">
        <is>
          <t>NO!源None备NUL</t>
        </is>
      </c>
      <c r="D1151" t="inlineStr">
        <is>
          <t>NULL</t>
        </is>
      </c>
      <c r="E1151" t="inlineStr">
        <is>
          <t>NULL</t>
        </is>
      </c>
      <c r="F1151" t="inlineStr">
        <is>
          <t>NULL</t>
        </is>
      </c>
      <c r="G1151" t="inlineStr">
        <is>
          <t>NULL</t>
        </is>
      </c>
      <c r="H1151" t="inlineStr">
        <is>
          <t>NULL</t>
        </is>
      </c>
      <c r="I1151" t="inlineStr">
        <is>
          <t>NULL</t>
        </is>
      </c>
      <c r="J1151" t="inlineStr">
        <is>
          <t>NULL</t>
        </is>
      </c>
      <c r="K1151" t="inlineStr">
        <is>
          <t>YES! 	 c_date列源备映射正确，源端为date None位	期望更改为date	实际备端为date None位</t>
        </is>
      </c>
    </row>
    <row r="1152">
      <c r="A1152" t="inlineStr">
        <is>
          <t>info_binary_dml_single_nopk</t>
        </is>
      </c>
      <c r="K1152" t="inlineStr">
        <is>
          <t>[0;34m info_binary_dml_single_nopk [0m源备字段数相同，源端字段：4 	备端字段4</t>
        </is>
      </c>
      <c r="W1152" t="inlineStr">
        <is>
          <t>YES 源备无差异</t>
        </is>
      </c>
      <c r="X1152">
        <f>A1152</f>
        <v/>
      </c>
    </row>
    <row r="1153">
      <c r="B1153" t="inlineStr">
        <is>
          <t>NULL</t>
        </is>
      </c>
      <c r="C1153" t="inlineStr">
        <is>
          <t>NULL</t>
        </is>
      </c>
      <c r="D1153" t="inlineStr">
        <is>
          <t>NULL</t>
        </is>
      </c>
      <c r="E1153" t="inlineStr">
        <is>
          <t>NULL</t>
        </is>
      </c>
      <c r="F1153" t="inlineStr">
        <is>
          <t>NULL</t>
        </is>
      </c>
      <c r="G1153" t="inlineStr">
        <is>
          <t>NULL</t>
        </is>
      </c>
      <c r="H1153" t="inlineStr">
        <is>
          <t>NULL</t>
        </is>
      </c>
      <c r="I1153" t="inlineStr">
        <is>
          <t>NULL</t>
        </is>
      </c>
      <c r="J1153" t="inlineStr">
        <is>
          <t>NULL</t>
        </is>
      </c>
      <c r="K1153" t="inlineStr">
        <is>
          <t>YES! 	 id列源备映射正确，源端为int None位	期望更改为int	实际备端为int None位</t>
        </is>
      </c>
    </row>
    <row r="1154">
      <c r="B1154" t="inlineStr">
        <is>
          <t>NULL</t>
        </is>
      </c>
      <c r="C1154" t="inlineStr">
        <is>
          <t>NULL</t>
        </is>
      </c>
      <c r="D1154" t="inlineStr">
        <is>
          <t>NULL</t>
        </is>
      </c>
      <c r="E1154" t="inlineStr">
        <is>
          <t>NULL</t>
        </is>
      </c>
      <c r="F1154" t="inlineStr">
        <is>
          <t>NULL</t>
        </is>
      </c>
      <c r="G1154" t="inlineStr">
        <is>
          <t>NULL</t>
        </is>
      </c>
      <c r="H1154" t="inlineStr">
        <is>
          <t>NULL</t>
        </is>
      </c>
      <c r="I1154" t="inlineStr">
        <is>
          <t>NULL</t>
        </is>
      </c>
      <c r="J1154" t="inlineStr">
        <is>
          <t>NULL</t>
        </is>
      </c>
      <c r="K1154" t="inlineStr">
        <is>
          <t>YES! 	 c_binary列源备映射正确，源端为binary 1位	期望更改为binary(n)	实际备端为binary 1位</t>
        </is>
      </c>
    </row>
    <row r="1155">
      <c r="B1155" t="inlineStr">
        <is>
          <t>NULL</t>
        </is>
      </c>
      <c r="C1155" t="inlineStr">
        <is>
          <t>NULL</t>
        </is>
      </c>
      <c r="D1155" t="inlineStr">
        <is>
          <t>NULL</t>
        </is>
      </c>
      <c r="E1155" t="inlineStr">
        <is>
          <t>NULL</t>
        </is>
      </c>
      <c r="F1155" t="inlineStr">
        <is>
          <t>NULL</t>
        </is>
      </c>
      <c r="G1155" t="inlineStr">
        <is>
          <t>NULL</t>
        </is>
      </c>
      <c r="H1155" t="inlineStr">
        <is>
          <t>NULL</t>
        </is>
      </c>
      <c r="I1155" t="inlineStr">
        <is>
          <t>NULL</t>
        </is>
      </c>
      <c r="J1155" t="inlineStr">
        <is>
          <t>NULL</t>
        </is>
      </c>
      <c r="K1155" t="inlineStr">
        <is>
          <t>YES! 	 c_binary_20列源备映射正确，源端为binary 20位	期望更改为binary(n)	实际备端为binary 20位</t>
        </is>
      </c>
    </row>
    <row r="1156">
      <c r="B1156" t="inlineStr">
        <is>
          <t>NULL</t>
        </is>
      </c>
      <c r="C1156" t="inlineStr">
        <is>
          <t>NULL</t>
        </is>
      </c>
      <c r="D1156" t="inlineStr">
        <is>
          <t>NULL</t>
        </is>
      </c>
      <c r="E1156" t="inlineStr">
        <is>
          <t>NULL</t>
        </is>
      </c>
      <c r="F1156" t="inlineStr">
        <is>
          <t>NULL</t>
        </is>
      </c>
      <c r="G1156" t="inlineStr">
        <is>
          <t>NULL</t>
        </is>
      </c>
      <c r="H1156" t="inlineStr">
        <is>
          <t>NULL</t>
        </is>
      </c>
      <c r="I1156" t="inlineStr">
        <is>
          <t>NULL</t>
        </is>
      </c>
      <c r="J1156" t="inlineStr">
        <is>
          <t>NULL</t>
        </is>
      </c>
      <c r="K1156" t="inlineStr">
        <is>
          <t>YES! 	 c_binary_8000列源备映射正确，源端为binary 8000位	期望更改为longblob	实际备端为longblob 4294967295位</t>
        </is>
      </c>
    </row>
    <row r="1157">
      <c r="A1157" t="inlineStr">
        <is>
          <t>info_date_dml_single_nopk_urp</t>
        </is>
      </c>
      <c r="K1157" t="inlineStr">
        <is>
          <t>[0;34m info_date_dml_single_nopk_urp [0m源备字段数相同，源端字段：2 	备端字段2</t>
        </is>
      </c>
      <c r="W1157" t="inlineStr">
        <is>
          <t>YES 源备无差异</t>
        </is>
      </c>
      <c r="X1157">
        <f>A1157</f>
        <v/>
      </c>
    </row>
    <row r="1158">
      <c r="B1158" t="inlineStr">
        <is>
          <t>NULL</t>
        </is>
      </c>
      <c r="C1158" t="inlineStr">
        <is>
          <t>NULL</t>
        </is>
      </c>
      <c r="D1158" t="inlineStr">
        <is>
          <t>NULL</t>
        </is>
      </c>
      <c r="E1158" t="inlineStr">
        <is>
          <t>NULL</t>
        </is>
      </c>
      <c r="F1158" t="inlineStr">
        <is>
          <t>NULL</t>
        </is>
      </c>
      <c r="G1158" t="inlineStr">
        <is>
          <t>NULL</t>
        </is>
      </c>
      <c r="H1158" t="inlineStr">
        <is>
          <t>NULL</t>
        </is>
      </c>
      <c r="I1158" t="inlineStr">
        <is>
          <t>NULL</t>
        </is>
      </c>
      <c r="J1158" t="inlineStr">
        <is>
          <t>NULL</t>
        </is>
      </c>
      <c r="K1158" t="inlineStr">
        <is>
          <t>YES! 	 id列源备映射正确，源端为int None位	期望更改为int	实际备端为int None位</t>
        </is>
      </c>
    </row>
    <row r="1159">
      <c r="B1159" t="inlineStr">
        <is>
          <t>NULL</t>
        </is>
      </c>
      <c r="C1159" t="inlineStr">
        <is>
          <t>NO!源None备NUL</t>
        </is>
      </c>
      <c r="D1159" t="inlineStr">
        <is>
          <t>NULL</t>
        </is>
      </c>
      <c r="E1159" t="inlineStr">
        <is>
          <t>NULL</t>
        </is>
      </c>
      <c r="F1159" t="inlineStr">
        <is>
          <t>NULL</t>
        </is>
      </c>
      <c r="G1159" t="inlineStr">
        <is>
          <t>NULL</t>
        </is>
      </c>
      <c r="H1159" t="inlineStr">
        <is>
          <t>NULL</t>
        </is>
      </c>
      <c r="I1159" t="inlineStr">
        <is>
          <t>NULL</t>
        </is>
      </c>
      <c r="J1159" t="inlineStr">
        <is>
          <t>NULL</t>
        </is>
      </c>
      <c r="K1159" t="inlineStr">
        <is>
          <t>YES! 	 c_date列源备映射正确，源端为date None位	期望更改为date	实际备端为date None位</t>
        </is>
      </c>
    </row>
    <row r="1160">
      <c r="A1160" t="inlineStr">
        <is>
          <t>info_binary_dml_single_nopk_drp</t>
        </is>
      </c>
      <c r="K1160" t="inlineStr">
        <is>
          <t>[0;34m info_binary_dml_single_nopk_drp [0m源备字段数相同，源端字段：4 	备端字段4</t>
        </is>
      </c>
      <c r="W1160" t="inlineStr">
        <is>
          <t>YES 源备无差异</t>
        </is>
      </c>
      <c r="X1160">
        <f>A1160</f>
        <v/>
      </c>
    </row>
    <row r="1161">
      <c r="B1161" t="inlineStr">
        <is>
          <t>NULL</t>
        </is>
      </c>
      <c r="C1161" t="inlineStr">
        <is>
          <t>NULL</t>
        </is>
      </c>
      <c r="D1161" t="inlineStr">
        <is>
          <t>NULL</t>
        </is>
      </c>
      <c r="E1161" t="inlineStr">
        <is>
          <t>NULL</t>
        </is>
      </c>
      <c r="F1161" t="inlineStr">
        <is>
          <t>NULL</t>
        </is>
      </c>
      <c r="G1161" t="inlineStr">
        <is>
          <t>NULL</t>
        </is>
      </c>
      <c r="H1161" t="inlineStr">
        <is>
          <t>NULL</t>
        </is>
      </c>
      <c r="I1161" t="inlineStr">
        <is>
          <t>NULL</t>
        </is>
      </c>
      <c r="J1161" t="inlineStr">
        <is>
          <t>NULL</t>
        </is>
      </c>
      <c r="K1161" t="inlineStr">
        <is>
          <t>YES! 	 id列源备映射正确，源端为int None位	期望更改为int	实际备端为int None位</t>
        </is>
      </c>
    </row>
    <row r="1162">
      <c r="B1162" t="inlineStr">
        <is>
          <t>NULL</t>
        </is>
      </c>
      <c r="C1162" t="inlineStr">
        <is>
          <t>NULL</t>
        </is>
      </c>
      <c r="D1162" t="inlineStr">
        <is>
          <t>NULL</t>
        </is>
      </c>
      <c r="E1162" t="inlineStr">
        <is>
          <t>NULL</t>
        </is>
      </c>
      <c r="F1162" t="inlineStr">
        <is>
          <t>NULL</t>
        </is>
      </c>
      <c r="G1162" t="inlineStr">
        <is>
          <t>NULL</t>
        </is>
      </c>
      <c r="H1162" t="inlineStr">
        <is>
          <t>NULL</t>
        </is>
      </c>
      <c r="I1162" t="inlineStr">
        <is>
          <t>NULL</t>
        </is>
      </c>
      <c r="J1162" t="inlineStr">
        <is>
          <t>NULL</t>
        </is>
      </c>
      <c r="K1162" t="inlineStr">
        <is>
          <t>YES! 	 c_binary列源备映射正确，源端为binary 1位	期望更改为binary(n)	实际备端为binary 1位</t>
        </is>
      </c>
    </row>
    <row r="1163">
      <c r="B1163" t="inlineStr">
        <is>
          <t>NULL</t>
        </is>
      </c>
      <c r="C1163" t="inlineStr">
        <is>
          <t>NULL</t>
        </is>
      </c>
      <c r="D1163" t="inlineStr">
        <is>
          <t>NULL</t>
        </is>
      </c>
      <c r="E1163" t="inlineStr">
        <is>
          <t>NULL</t>
        </is>
      </c>
      <c r="F1163" t="inlineStr">
        <is>
          <t>NULL</t>
        </is>
      </c>
      <c r="G1163" t="inlineStr">
        <is>
          <t>NULL</t>
        </is>
      </c>
      <c r="H1163" t="inlineStr">
        <is>
          <t>NULL</t>
        </is>
      </c>
      <c r="I1163" t="inlineStr">
        <is>
          <t>NULL</t>
        </is>
      </c>
      <c r="J1163" t="inlineStr">
        <is>
          <t>NULL</t>
        </is>
      </c>
      <c r="K1163" t="inlineStr">
        <is>
          <t>YES! 	 c_binary_20列源备映射正确，源端为binary 20位	期望更改为binary(n)	实际备端为binary 20位</t>
        </is>
      </c>
    </row>
    <row r="1164">
      <c r="B1164" t="inlineStr">
        <is>
          <t>NULL</t>
        </is>
      </c>
      <c r="C1164" t="inlineStr">
        <is>
          <t>NULL</t>
        </is>
      </c>
      <c r="D1164" t="inlineStr">
        <is>
          <t>NULL</t>
        </is>
      </c>
      <c r="E1164" t="inlineStr">
        <is>
          <t>NULL</t>
        </is>
      </c>
      <c r="F1164" t="inlineStr">
        <is>
          <t>NULL</t>
        </is>
      </c>
      <c r="G1164" t="inlineStr">
        <is>
          <t>NULL</t>
        </is>
      </c>
      <c r="H1164" t="inlineStr">
        <is>
          <t>NULL</t>
        </is>
      </c>
      <c r="I1164" t="inlineStr">
        <is>
          <t>NULL</t>
        </is>
      </c>
      <c r="J1164" t="inlineStr">
        <is>
          <t>NULL</t>
        </is>
      </c>
      <c r="K1164" t="inlineStr">
        <is>
          <t>YES! 	 c_binary_8000列源备映射正确，源端为binary 8000位	期望更改为longblob	实际备端为longblob 4294967295位</t>
        </is>
      </c>
    </row>
    <row r="1165">
      <c r="A1165" t="inlineStr">
        <is>
          <t>info_datetime_dml_single_pk_drp</t>
        </is>
      </c>
      <c r="K1165" t="inlineStr">
        <is>
          <t>[0;34m info_datetime_dml_single_pk_drp [0m源备字段数相同，源端字段：2 	备端字段2</t>
        </is>
      </c>
      <c r="W1165" t="inlineStr">
        <is>
          <t>YES 源备无差异</t>
        </is>
      </c>
      <c r="X1165">
        <f>A1165</f>
        <v/>
      </c>
    </row>
    <row r="1166">
      <c r="B1166" t="inlineStr">
        <is>
          <t>YES</t>
        </is>
      </c>
      <c r="C1166" t="inlineStr">
        <is>
          <t>NULL</t>
        </is>
      </c>
      <c r="D1166" t="inlineStr">
        <is>
          <t>NULL</t>
        </is>
      </c>
      <c r="E1166" t="inlineStr">
        <is>
          <t>NULL</t>
        </is>
      </c>
      <c r="F1166" t="inlineStr">
        <is>
          <t>NULL</t>
        </is>
      </c>
      <c r="G1166" t="inlineStr">
        <is>
          <t>NULL</t>
        </is>
      </c>
      <c r="H1166" t="inlineStr">
        <is>
          <t>NULL</t>
        </is>
      </c>
      <c r="I1166" t="inlineStr">
        <is>
          <t>YES!PK__info_dat__3213E83F6C5AB8FE</t>
        </is>
      </c>
      <c r="J1166" t="inlineStr">
        <is>
          <t>YES! 主键相关索引</t>
        </is>
      </c>
      <c r="K1166" t="inlineStr">
        <is>
          <t>YES! 	 id列源备映射正确，源端为int None位	期望更改为int	实际备端为int None位</t>
        </is>
      </c>
    </row>
    <row r="1167">
      <c r="B1167" t="inlineStr">
        <is>
          <t>NULL</t>
        </is>
      </c>
      <c r="C1167" t="inlineStr">
        <is>
          <t>NULL</t>
        </is>
      </c>
      <c r="D1167" t="inlineStr">
        <is>
          <t>NULL</t>
        </is>
      </c>
      <c r="E1167" t="inlineStr">
        <is>
          <t>NULL</t>
        </is>
      </c>
      <c r="F1167" t="inlineStr">
        <is>
          <t>NULL</t>
        </is>
      </c>
      <c r="G1167" t="inlineStr">
        <is>
          <t>NULL</t>
        </is>
      </c>
      <c r="H1167" t="inlineStr">
        <is>
          <t>NULL</t>
        </is>
      </c>
      <c r="I1167" t="inlineStr">
        <is>
          <t>NULL</t>
        </is>
      </c>
      <c r="J1167" t="inlineStr">
        <is>
          <t>NULL</t>
        </is>
      </c>
      <c r="K1167" t="inlineStr">
        <is>
          <t>YES! 	 c_datetime列源备映射正确，源端为datetime None位	期望更改为datetime(3)	实际备端为datetime None位</t>
        </is>
      </c>
    </row>
    <row r="1168">
      <c r="A1168" t="inlineStr">
        <is>
          <t>info_nvarchar_dml_batch2_pk_urp2</t>
        </is>
      </c>
      <c r="K1168" t="inlineStr">
        <is>
          <t>[0;34m info_nvarchar_dml_batch2_pk_urp2 [0m源备字段数相同，源端字段：4 	备端字段4</t>
        </is>
      </c>
      <c r="W1168" t="inlineStr">
        <is>
          <t>YES 源备无差异</t>
        </is>
      </c>
      <c r="X1168">
        <f>A1168</f>
        <v/>
      </c>
    </row>
    <row r="1169">
      <c r="B1169" t="inlineStr">
        <is>
          <t>YES</t>
        </is>
      </c>
      <c r="C1169" t="inlineStr">
        <is>
          <t>NULL</t>
        </is>
      </c>
      <c r="D1169" t="inlineStr">
        <is>
          <t>NULL</t>
        </is>
      </c>
      <c r="E1169" t="inlineStr">
        <is>
          <t>NULL</t>
        </is>
      </c>
      <c r="F1169" t="inlineStr">
        <is>
          <t>NULL</t>
        </is>
      </c>
      <c r="G1169" t="inlineStr">
        <is>
          <t>NULL</t>
        </is>
      </c>
      <c r="H1169" t="inlineStr">
        <is>
          <t>NULL</t>
        </is>
      </c>
      <c r="I1169" t="inlineStr">
        <is>
          <t>YES!PK__info_nva__3213E83FC6E75F78</t>
        </is>
      </c>
      <c r="J1169" t="inlineStr">
        <is>
          <t>YES! 主键相关索引</t>
        </is>
      </c>
      <c r="K1169" t="inlineStr">
        <is>
          <t>YES! 	 id列源备映射正确，源端为int None位	期望更改为int	实际备端为int None位</t>
        </is>
      </c>
    </row>
    <row r="1170">
      <c r="B1170" t="inlineStr">
        <is>
          <t>NULL</t>
        </is>
      </c>
      <c r="C1170" t="inlineStr">
        <is>
          <t>NULL</t>
        </is>
      </c>
      <c r="D1170" t="inlineStr">
        <is>
          <t>NULL</t>
        </is>
      </c>
      <c r="E1170" t="inlineStr">
        <is>
          <t>NULL</t>
        </is>
      </c>
      <c r="F1170" t="inlineStr">
        <is>
          <t>NULL</t>
        </is>
      </c>
      <c r="G1170" t="inlineStr">
        <is>
          <t>NULL</t>
        </is>
      </c>
      <c r="H1170" t="inlineStr">
        <is>
          <t>NULL</t>
        </is>
      </c>
      <c r="I1170" t="inlineStr">
        <is>
          <t>NULL</t>
        </is>
      </c>
      <c r="J1170" t="inlineStr">
        <is>
          <t>NULL</t>
        </is>
      </c>
      <c r="K1170" t="inlineStr">
        <is>
          <t>YES! 	 c_nvarchar列源备映射正确，源端为nvarchar 2位	期望更改为varchar(n)	实际备端为varchar 4位</t>
        </is>
      </c>
    </row>
    <row r="1171">
      <c r="B1171" t="inlineStr">
        <is>
          <t>NULL</t>
        </is>
      </c>
      <c r="C1171" t="inlineStr">
        <is>
          <t>NULL</t>
        </is>
      </c>
      <c r="D1171" t="inlineStr">
        <is>
          <t>NULL</t>
        </is>
      </c>
      <c r="E1171" t="inlineStr">
        <is>
          <t>NULL</t>
        </is>
      </c>
      <c r="F1171" t="inlineStr">
        <is>
          <t>NULL</t>
        </is>
      </c>
      <c r="G1171" t="inlineStr">
        <is>
          <t>NULL</t>
        </is>
      </c>
      <c r="H1171" t="inlineStr">
        <is>
          <t>NULL</t>
        </is>
      </c>
      <c r="I1171" t="inlineStr">
        <is>
          <t>NULL</t>
        </is>
      </c>
      <c r="J1171" t="inlineStr">
        <is>
          <t>NULL</t>
        </is>
      </c>
      <c r="K1171" t="inlineStr">
        <is>
          <t>YES! 	 c_nvarchar20列源备映射正确，源端为nvarchar 40位	期望更改为varchar(n)	实际备端为varchar 80位</t>
        </is>
      </c>
    </row>
    <row r="1172">
      <c r="B1172" t="inlineStr">
        <is>
          <t>NULL</t>
        </is>
      </c>
      <c r="C1172" t="inlineStr">
        <is>
          <t>NULL</t>
        </is>
      </c>
      <c r="D1172" t="inlineStr">
        <is>
          <t>NULL</t>
        </is>
      </c>
      <c r="E1172" t="inlineStr">
        <is>
          <t>NULL</t>
        </is>
      </c>
      <c r="F1172" t="inlineStr">
        <is>
          <t>NULL</t>
        </is>
      </c>
      <c r="G1172" t="inlineStr">
        <is>
          <t>NULL</t>
        </is>
      </c>
      <c r="H1172" t="inlineStr">
        <is>
          <t>NULL</t>
        </is>
      </c>
      <c r="I1172" t="inlineStr">
        <is>
          <t>NULL</t>
        </is>
      </c>
      <c r="J1172" t="inlineStr">
        <is>
          <t>NULL</t>
        </is>
      </c>
      <c r="K1172" t="inlineStr">
        <is>
          <t>YES! 	 c_nvarchar3500列源备映射正确，源端为nvarchar 7000位	期望更改为text	实际备端为text 65535位</t>
        </is>
      </c>
    </row>
    <row r="1173">
      <c r="A1173" t="inlineStr">
        <is>
          <t>info_nvarchar_dml_batch1_pk_urp1</t>
        </is>
      </c>
      <c r="K1173" t="inlineStr">
        <is>
          <t>[0;34m info_nvarchar_dml_batch1_pk_urp1 [0m源备字段数相同，源端字段：4 	备端字段4</t>
        </is>
      </c>
      <c r="W1173" t="inlineStr">
        <is>
          <t>YES 源备无差异</t>
        </is>
      </c>
      <c r="X1173">
        <f>A1173</f>
        <v/>
      </c>
    </row>
    <row r="1174">
      <c r="B1174" t="inlineStr">
        <is>
          <t>YES</t>
        </is>
      </c>
      <c r="C1174" t="inlineStr">
        <is>
          <t>NULL</t>
        </is>
      </c>
      <c r="D1174" t="inlineStr">
        <is>
          <t>NULL</t>
        </is>
      </c>
      <c r="E1174" t="inlineStr">
        <is>
          <t>NULL</t>
        </is>
      </c>
      <c r="F1174" t="inlineStr">
        <is>
          <t>NULL</t>
        </is>
      </c>
      <c r="G1174" t="inlineStr">
        <is>
          <t>NULL</t>
        </is>
      </c>
      <c r="H1174" t="inlineStr">
        <is>
          <t>NULL</t>
        </is>
      </c>
      <c r="I1174" t="inlineStr">
        <is>
          <t>YES!PK__info_nva__3213E83F96E49186</t>
        </is>
      </c>
      <c r="J1174" t="inlineStr">
        <is>
          <t>YES! 主键相关索引</t>
        </is>
      </c>
      <c r="K1174" t="inlineStr">
        <is>
          <t>YES! 	 id列源备映射正确，源端为int None位	期望更改为int	实际备端为int None位</t>
        </is>
      </c>
    </row>
    <row r="1175">
      <c r="B1175" t="inlineStr">
        <is>
          <t>NULL</t>
        </is>
      </c>
      <c r="C1175" t="inlineStr">
        <is>
          <t>NULL</t>
        </is>
      </c>
      <c r="D1175" t="inlineStr">
        <is>
          <t>NULL</t>
        </is>
      </c>
      <c r="E1175" t="inlineStr">
        <is>
          <t>NULL</t>
        </is>
      </c>
      <c r="F1175" t="inlineStr">
        <is>
          <t>NULL</t>
        </is>
      </c>
      <c r="G1175" t="inlineStr">
        <is>
          <t>NULL</t>
        </is>
      </c>
      <c r="H1175" t="inlineStr">
        <is>
          <t>NULL</t>
        </is>
      </c>
      <c r="I1175" t="inlineStr">
        <is>
          <t>NULL</t>
        </is>
      </c>
      <c r="J1175" t="inlineStr">
        <is>
          <t>NULL</t>
        </is>
      </c>
      <c r="K1175" t="inlineStr">
        <is>
          <t>YES! 	 c_nvarchar列源备映射正确，源端为nvarchar 2位	期望更改为varchar(n)	实际备端为varchar 4位</t>
        </is>
      </c>
    </row>
    <row r="1176">
      <c r="B1176" t="inlineStr">
        <is>
          <t>NULL</t>
        </is>
      </c>
      <c r="C1176" t="inlineStr">
        <is>
          <t>NULL</t>
        </is>
      </c>
      <c r="D1176" t="inlineStr">
        <is>
          <t>NULL</t>
        </is>
      </c>
      <c r="E1176" t="inlineStr">
        <is>
          <t>NULL</t>
        </is>
      </c>
      <c r="F1176" t="inlineStr">
        <is>
          <t>NULL</t>
        </is>
      </c>
      <c r="G1176" t="inlineStr">
        <is>
          <t>NULL</t>
        </is>
      </c>
      <c r="H1176" t="inlineStr">
        <is>
          <t>NULL</t>
        </is>
      </c>
      <c r="I1176" t="inlineStr">
        <is>
          <t>NULL</t>
        </is>
      </c>
      <c r="J1176" t="inlineStr">
        <is>
          <t>NULL</t>
        </is>
      </c>
      <c r="K1176" t="inlineStr">
        <is>
          <t>YES! 	 c_nvarchar20列源备映射正确，源端为nvarchar 40位	期望更改为varchar(n)	实际备端为varchar 80位</t>
        </is>
      </c>
    </row>
    <row r="1177">
      <c r="B1177" t="inlineStr">
        <is>
          <t>NULL</t>
        </is>
      </c>
      <c r="C1177" t="inlineStr">
        <is>
          <t>NULL</t>
        </is>
      </c>
      <c r="D1177" t="inlineStr">
        <is>
          <t>NULL</t>
        </is>
      </c>
      <c r="E1177" t="inlineStr">
        <is>
          <t>NULL</t>
        </is>
      </c>
      <c r="F1177" t="inlineStr">
        <is>
          <t>NULL</t>
        </is>
      </c>
      <c r="G1177" t="inlineStr">
        <is>
          <t>NULL</t>
        </is>
      </c>
      <c r="H1177" t="inlineStr">
        <is>
          <t>NULL</t>
        </is>
      </c>
      <c r="I1177" t="inlineStr">
        <is>
          <t>NULL</t>
        </is>
      </c>
      <c r="J1177" t="inlineStr">
        <is>
          <t>NULL</t>
        </is>
      </c>
      <c r="K1177" t="inlineStr">
        <is>
          <t>YES! 	 c_nvarchar3500列源备映射正确，源端为nvarchar 7000位	期望更改为text	实际备端为text 65535位</t>
        </is>
      </c>
    </row>
    <row r="1178">
      <c r="A1178" t="inlineStr">
        <is>
          <t>info_date_dml_single_nopk_drp</t>
        </is>
      </c>
      <c r="K1178" t="inlineStr">
        <is>
          <t>[0;34m info_date_dml_single_nopk_drp [0m源备字段数相同，源端字段：2 	备端字段2</t>
        </is>
      </c>
      <c r="W1178" t="inlineStr">
        <is>
          <t>YES 源备无差异</t>
        </is>
      </c>
      <c r="X1178">
        <f>A1178</f>
        <v/>
      </c>
    </row>
    <row r="1179">
      <c r="B1179" t="inlineStr">
        <is>
          <t>NULL</t>
        </is>
      </c>
      <c r="C1179" t="inlineStr">
        <is>
          <t>NULL</t>
        </is>
      </c>
      <c r="D1179" t="inlineStr">
        <is>
          <t>NULL</t>
        </is>
      </c>
      <c r="E1179" t="inlineStr">
        <is>
          <t>NULL</t>
        </is>
      </c>
      <c r="F1179" t="inlineStr">
        <is>
          <t>NULL</t>
        </is>
      </c>
      <c r="G1179" t="inlineStr">
        <is>
          <t>NULL</t>
        </is>
      </c>
      <c r="H1179" t="inlineStr">
        <is>
          <t>NULL</t>
        </is>
      </c>
      <c r="I1179" t="inlineStr">
        <is>
          <t>NULL</t>
        </is>
      </c>
      <c r="J1179" t="inlineStr">
        <is>
          <t>NULL</t>
        </is>
      </c>
      <c r="K1179" t="inlineStr">
        <is>
          <t>YES! 	 id列源备映射正确，源端为int None位	期望更改为int	实际备端为int None位</t>
        </is>
      </c>
    </row>
    <row r="1180">
      <c r="B1180" t="inlineStr">
        <is>
          <t>NULL</t>
        </is>
      </c>
      <c r="C1180" t="inlineStr">
        <is>
          <t>NO!源None备NUL</t>
        </is>
      </c>
      <c r="D1180" t="inlineStr">
        <is>
          <t>NULL</t>
        </is>
      </c>
      <c r="E1180" t="inlineStr">
        <is>
          <t>NULL</t>
        </is>
      </c>
      <c r="F1180" t="inlineStr">
        <is>
          <t>NULL</t>
        </is>
      </c>
      <c r="G1180" t="inlineStr">
        <is>
          <t>NULL</t>
        </is>
      </c>
      <c r="H1180" t="inlineStr">
        <is>
          <t>NULL</t>
        </is>
      </c>
      <c r="I1180" t="inlineStr">
        <is>
          <t>NULL</t>
        </is>
      </c>
      <c r="J1180" t="inlineStr">
        <is>
          <t>NULL</t>
        </is>
      </c>
      <c r="K1180" t="inlineStr">
        <is>
          <t>YES! 	 c_date列源备映射正确，源端为date None位	期望更改为date	实际备端为date None位</t>
        </is>
      </c>
    </row>
    <row r="1181">
      <c r="A1181" t="inlineStr">
        <is>
          <t>info_datetimeoffset_dml_batch1_pk_irp1</t>
        </is>
      </c>
      <c r="K1181" t="inlineStr">
        <is>
          <t>[0;34m info_datetimeoffset_dml_batch1_pk_irp1 [0m源备字段数相同，源端字段：9 	备端字段9</t>
        </is>
      </c>
      <c r="W1181" t="inlineStr">
        <is>
          <t>YES 源备无差异</t>
        </is>
      </c>
      <c r="X1181">
        <f>A1181</f>
        <v/>
      </c>
    </row>
    <row r="1182">
      <c r="B1182" t="inlineStr">
        <is>
          <t>YES</t>
        </is>
      </c>
      <c r="C1182" t="inlineStr">
        <is>
          <t>NULL</t>
        </is>
      </c>
      <c r="D1182" t="inlineStr">
        <is>
          <t>NULL</t>
        </is>
      </c>
      <c r="E1182" t="inlineStr">
        <is>
          <t>NULL</t>
        </is>
      </c>
      <c r="F1182" t="inlineStr">
        <is>
          <t>NULL</t>
        </is>
      </c>
      <c r="G1182" t="inlineStr">
        <is>
          <t>NULL</t>
        </is>
      </c>
      <c r="H1182" t="inlineStr">
        <is>
          <t>NULL</t>
        </is>
      </c>
      <c r="I1182" t="inlineStr">
        <is>
          <t>YES!PK__info_dat__3213E83F5DFBACE1</t>
        </is>
      </c>
      <c r="J1182" t="inlineStr">
        <is>
          <t>YES! 主键相关索引</t>
        </is>
      </c>
      <c r="K1182" t="inlineStr">
        <is>
          <t>YES! 	 id列源备映射正确，源端为int None位	期望更改为int	实际备端为int None位</t>
        </is>
      </c>
    </row>
    <row r="1183">
      <c r="B1183" t="inlineStr">
        <is>
          <t>NULL</t>
        </is>
      </c>
      <c r="C1183" t="inlineStr">
        <is>
          <t>NULL</t>
        </is>
      </c>
      <c r="D1183" t="inlineStr">
        <is>
          <t>NULL</t>
        </is>
      </c>
      <c r="E1183" t="inlineStr">
        <is>
          <t>NULL</t>
        </is>
      </c>
      <c r="F1183" t="inlineStr">
        <is>
          <t>NULL</t>
        </is>
      </c>
      <c r="G1183" t="inlineStr">
        <is>
          <t>NULL</t>
        </is>
      </c>
      <c r="H1183" t="inlineStr">
        <is>
          <t>NULL</t>
        </is>
      </c>
      <c r="I1183" t="inlineStr">
        <is>
          <t>NULL</t>
        </is>
      </c>
      <c r="J1183" t="inlineStr">
        <is>
          <t>NULL</t>
        </is>
      </c>
      <c r="K1183" t="inlineStr">
        <is>
          <t>[0;32m YES! [0m 	 c_dtoffset_0列源备映射正确，源端为datetimeoffset None位	期望更改为varchar(34)	实际备端为varchar 136位	位数精度不存在，通过长度比较</t>
        </is>
      </c>
    </row>
    <row r="1184">
      <c r="B1184" t="inlineStr">
        <is>
          <t>NULL</t>
        </is>
      </c>
      <c r="C1184" t="inlineStr">
        <is>
          <t>NULL</t>
        </is>
      </c>
      <c r="D1184" t="inlineStr">
        <is>
          <t>NULL</t>
        </is>
      </c>
      <c r="E1184" t="inlineStr">
        <is>
          <t>NULL</t>
        </is>
      </c>
      <c r="F1184" t="inlineStr">
        <is>
          <t>NULL</t>
        </is>
      </c>
      <c r="G1184" t="inlineStr">
        <is>
          <t>NULL</t>
        </is>
      </c>
      <c r="H1184" t="inlineStr">
        <is>
          <t>NULL</t>
        </is>
      </c>
      <c r="I1184" t="inlineStr">
        <is>
          <t>NULL</t>
        </is>
      </c>
      <c r="J1184" t="inlineStr">
        <is>
          <t>NULL</t>
        </is>
      </c>
      <c r="K1184" t="inlineStr">
        <is>
          <t>[0;32m YES! [0m 	 c_dtoffset_1列源备映射正确，源端为datetimeoffset None位	期望更改为varchar(34)	实际备端为varchar 136位	位数精度不存在，通过长度比较</t>
        </is>
      </c>
    </row>
    <row r="1185">
      <c r="B1185" t="inlineStr">
        <is>
          <t>NULL</t>
        </is>
      </c>
      <c r="C1185" t="inlineStr">
        <is>
          <t>NULL</t>
        </is>
      </c>
      <c r="D1185" t="inlineStr">
        <is>
          <t>NULL</t>
        </is>
      </c>
      <c r="E1185" t="inlineStr">
        <is>
          <t>NULL</t>
        </is>
      </c>
      <c r="F1185" t="inlineStr">
        <is>
          <t>NULL</t>
        </is>
      </c>
      <c r="G1185" t="inlineStr">
        <is>
          <t>NULL</t>
        </is>
      </c>
      <c r="H1185" t="inlineStr">
        <is>
          <t>NULL</t>
        </is>
      </c>
      <c r="I1185" t="inlineStr">
        <is>
          <t>NULL</t>
        </is>
      </c>
      <c r="J1185" t="inlineStr">
        <is>
          <t>NULL</t>
        </is>
      </c>
      <c r="K1185" t="inlineStr">
        <is>
          <t>[0;32m YES! [0m 	 c_dtoffset_2列源备映射正确，源端为datetimeoffset None位	期望更改为varchar(34)	实际备端为varchar 136位	位数精度不存在，通过长度比较</t>
        </is>
      </c>
    </row>
    <row r="1186">
      <c r="B1186" t="inlineStr">
        <is>
          <t>NULL</t>
        </is>
      </c>
      <c r="C1186" t="inlineStr">
        <is>
          <t>NULL</t>
        </is>
      </c>
      <c r="D1186" t="inlineStr">
        <is>
          <t>NULL</t>
        </is>
      </c>
      <c r="E1186" t="inlineStr">
        <is>
          <t>NULL</t>
        </is>
      </c>
      <c r="F1186" t="inlineStr">
        <is>
          <t>NULL</t>
        </is>
      </c>
      <c r="G1186" t="inlineStr">
        <is>
          <t>NULL</t>
        </is>
      </c>
      <c r="H1186" t="inlineStr">
        <is>
          <t>NULL</t>
        </is>
      </c>
      <c r="I1186" t="inlineStr">
        <is>
          <t>NULL</t>
        </is>
      </c>
      <c r="J1186" t="inlineStr">
        <is>
          <t>NULL</t>
        </is>
      </c>
      <c r="K1186" t="inlineStr">
        <is>
          <t>[0;32m YES! [0m 	 c_dtoffset_3列源备映射正确，源端为datetimeoffset None位	期望更改为varchar(34)	实际备端为varchar 136位	位数精度不存在，通过长度比较</t>
        </is>
      </c>
    </row>
    <row r="1187">
      <c r="B1187" t="inlineStr">
        <is>
          <t>NULL</t>
        </is>
      </c>
      <c r="C1187" t="inlineStr">
        <is>
          <t>NULL</t>
        </is>
      </c>
      <c r="D1187" t="inlineStr">
        <is>
          <t>NULL</t>
        </is>
      </c>
      <c r="E1187" t="inlineStr">
        <is>
          <t>NULL</t>
        </is>
      </c>
      <c r="F1187" t="inlineStr">
        <is>
          <t>NULL</t>
        </is>
      </c>
      <c r="G1187" t="inlineStr">
        <is>
          <t>NULL</t>
        </is>
      </c>
      <c r="H1187" t="inlineStr">
        <is>
          <t>NULL</t>
        </is>
      </c>
      <c r="I1187" t="inlineStr">
        <is>
          <t>NULL</t>
        </is>
      </c>
      <c r="J1187" t="inlineStr">
        <is>
          <t>NULL</t>
        </is>
      </c>
      <c r="K1187" t="inlineStr">
        <is>
          <t>[0;32m YES! [0m 	 c_dtoffset_4列源备映射正确，源端为datetimeoffset None位	期望更改为varchar(34)	实际备端为varchar 136位	位数精度不存在，通过长度比较</t>
        </is>
      </c>
    </row>
    <row r="1188">
      <c r="B1188" t="inlineStr">
        <is>
          <t>NULL</t>
        </is>
      </c>
      <c r="C1188" t="inlineStr">
        <is>
          <t>NULL</t>
        </is>
      </c>
      <c r="D1188" t="inlineStr">
        <is>
          <t>NULL</t>
        </is>
      </c>
      <c r="E1188" t="inlineStr">
        <is>
          <t>NULL</t>
        </is>
      </c>
      <c r="F1188" t="inlineStr">
        <is>
          <t>NULL</t>
        </is>
      </c>
      <c r="G1188" t="inlineStr">
        <is>
          <t>NULL</t>
        </is>
      </c>
      <c r="H1188" t="inlineStr">
        <is>
          <t>NULL</t>
        </is>
      </c>
      <c r="I1188" t="inlineStr">
        <is>
          <t>NULL</t>
        </is>
      </c>
      <c r="J1188" t="inlineStr">
        <is>
          <t>NULL</t>
        </is>
      </c>
      <c r="K1188" t="inlineStr">
        <is>
          <t>[0;32m YES! [0m 	 c_dtoffset_5列源备映射正确，源端为datetimeoffset None位	期望更改为varchar(34)	实际备端为varchar 136位	位数精度不存在，通过长度比较</t>
        </is>
      </c>
    </row>
    <row r="1189">
      <c r="B1189" t="inlineStr">
        <is>
          <t>NULL</t>
        </is>
      </c>
      <c r="C1189" t="inlineStr">
        <is>
          <t>NULL</t>
        </is>
      </c>
      <c r="D1189" t="inlineStr">
        <is>
          <t>NULL</t>
        </is>
      </c>
      <c r="E1189" t="inlineStr">
        <is>
          <t>NULL</t>
        </is>
      </c>
      <c r="F1189" t="inlineStr">
        <is>
          <t>NULL</t>
        </is>
      </c>
      <c r="G1189" t="inlineStr">
        <is>
          <t>NULL</t>
        </is>
      </c>
      <c r="H1189" t="inlineStr">
        <is>
          <t>NULL</t>
        </is>
      </c>
      <c r="I1189" t="inlineStr">
        <is>
          <t>NULL</t>
        </is>
      </c>
      <c r="J1189" t="inlineStr">
        <is>
          <t>NULL</t>
        </is>
      </c>
      <c r="K1189" t="inlineStr">
        <is>
          <t>[0;32m YES! [0m 	 c_dtoffset_6列源备映射正确，源端为datetimeoffset None位	期望更改为varchar(34)	实际备端为varchar 136位	位数精度不存在，通过长度比较</t>
        </is>
      </c>
    </row>
    <row r="1190">
      <c r="B1190" t="inlineStr">
        <is>
          <t>NULL</t>
        </is>
      </c>
      <c r="C1190" t="inlineStr">
        <is>
          <t>NULL</t>
        </is>
      </c>
      <c r="D1190" t="inlineStr">
        <is>
          <t>NULL</t>
        </is>
      </c>
      <c r="E1190" t="inlineStr">
        <is>
          <t>NULL</t>
        </is>
      </c>
      <c r="F1190" t="inlineStr">
        <is>
          <t>NULL</t>
        </is>
      </c>
      <c r="G1190" t="inlineStr">
        <is>
          <t>NULL</t>
        </is>
      </c>
      <c r="H1190" t="inlineStr">
        <is>
          <t>NULL</t>
        </is>
      </c>
      <c r="I1190" t="inlineStr">
        <is>
          <t>NULL</t>
        </is>
      </c>
      <c r="J1190" t="inlineStr">
        <is>
          <t>NULL</t>
        </is>
      </c>
      <c r="K1190" t="inlineStr">
        <is>
          <t>[0;32m YES! [0m 	 c_dtoffset列源备映射正确，源端为datetimeoffset None位	期望更改为varchar(34)	实际备端为varchar 136位	位数精度不存在，通过长度比较</t>
        </is>
      </c>
    </row>
    <row r="1191">
      <c r="A1191" t="inlineStr">
        <is>
          <t>info_date_dml_single_nopk</t>
        </is>
      </c>
      <c r="K1191" t="inlineStr">
        <is>
          <t>[0;34m info_date_dml_single_nopk [0m源备字段数相同，源端字段：2 	备端字段2</t>
        </is>
      </c>
      <c r="W1191" t="inlineStr">
        <is>
          <t>YES 源备无差异</t>
        </is>
      </c>
      <c r="X1191">
        <f>A1191</f>
        <v/>
      </c>
    </row>
    <row r="1192">
      <c r="B1192" t="inlineStr">
        <is>
          <t>NULL</t>
        </is>
      </c>
      <c r="C1192" t="inlineStr">
        <is>
          <t>NULL</t>
        </is>
      </c>
      <c r="D1192" t="inlineStr">
        <is>
          <t>NULL</t>
        </is>
      </c>
      <c r="E1192" t="inlineStr">
        <is>
          <t>NULL</t>
        </is>
      </c>
      <c r="F1192" t="inlineStr">
        <is>
          <t>NULL</t>
        </is>
      </c>
      <c r="G1192" t="inlineStr">
        <is>
          <t>NULL</t>
        </is>
      </c>
      <c r="H1192" t="inlineStr">
        <is>
          <t>NULL</t>
        </is>
      </c>
      <c r="I1192" t="inlineStr">
        <is>
          <t>NULL</t>
        </is>
      </c>
      <c r="J1192" t="inlineStr">
        <is>
          <t>NULL</t>
        </is>
      </c>
      <c r="K1192" t="inlineStr">
        <is>
          <t>YES! 	 id列源备映射正确，源端为int None位	期望更改为int	实际备端为int None位</t>
        </is>
      </c>
    </row>
    <row r="1193">
      <c r="B1193" t="inlineStr">
        <is>
          <t>NULL</t>
        </is>
      </c>
      <c r="C1193" t="inlineStr">
        <is>
          <t>NO!源None备NUL</t>
        </is>
      </c>
      <c r="D1193" t="inlineStr">
        <is>
          <t>NULL</t>
        </is>
      </c>
      <c r="E1193" t="inlineStr">
        <is>
          <t>NULL</t>
        </is>
      </c>
      <c r="F1193" t="inlineStr">
        <is>
          <t>NULL</t>
        </is>
      </c>
      <c r="G1193" t="inlineStr">
        <is>
          <t>NULL</t>
        </is>
      </c>
      <c r="H1193" t="inlineStr">
        <is>
          <t>NULL</t>
        </is>
      </c>
      <c r="I1193" t="inlineStr">
        <is>
          <t>NULL</t>
        </is>
      </c>
      <c r="J1193" t="inlineStr">
        <is>
          <t>NULL</t>
        </is>
      </c>
      <c r="K1193" t="inlineStr">
        <is>
          <t>YES! 	 c_date列源备映射正确，源端为date None位	期望更改为date	实际备端为date None位</t>
        </is>
      </c>
    </row>
    <row r="1194">
      <c r="A1194" t="inlineStr">
        <is>
          <t>info_varbinary_dml_single_nopk_irp</t>
        </is>
      </c>
      <c r="K1194" t="inlineStr">
        <is>
          <t>[0;34m info_varbinary_dml_single_nopk_irp [0m源备字段数相同，源端字段：4 	备端字段4</t>
        </is>
      </c>
      <c r="W1194" t="inlineStr">
        <is>
          <t>YES 源备无差异</t>
        </is>
      </c>
      <c r="X1194">
        <f>A1194</f>
        <v/>
      </c>
    </row>
    <row r="1195">
      <c r="B1195" t="inlineStr">
        <is>
          <t>NULL</t>
        </is>
      </c>
      <c r="C1195" t="inlineStr">
        <is>
          <t>NULL</t>
        </is>
      </c>
      <c r="D1195" t="inlineStr">
        <is>
          <t>NULL</t>
        </is>
      </c>
      <c r="E1195" t="inlineStr">
        <is>
          <t>NULL</t>
        </is>
      </c>
      <c r="F1195" t="inlineStr">
        <is>
          <t>NULL</t>
        </is>
      </c>
      <c r="G1195" t="inlineStr">
        <is>
          <t>NULL</t>
        </is>
      </c>
      <c r="H1195" t="inlineStr">
        <is>
          <t>NULL</t>
        </is>
      </c>
      <c r="I1195" t="inlineStr">
        <is>
          <t>NULL</t>
        </is>
      </c>
      <c r="J1195" t="inlineStr">
        <is>
          <t>NULL</t>
        </is>
      </c>
      <c r="K1195" t="inlineStr">
        <is>
          <t>YES! 	 id列源备映射正确，源端为int None位	期望更改为int	实际备端为int None位</t>
        </is>
      </c>
    </row>
    <row r="1196">
      <c r="B1196" t="inlineStr">
        <is>
          <t>NULL</t>
        </is>
      </c>
      <c r="C1196" t="inlineStr">
        <is>
          <t>NULL</t>
        </is>
      </c>
      <c r="D1196" t="inlineStr">
        <is>
          <t>NULL</t>
        </is>
      </c>
      <c r="E1196" t="inlineStr">
        <is>
          <t>NULL</t>
        </is>
      </c>
      <c r="F1196" t="inlineStr">
        <is>
          <t>NULL</t>
        </is>
      </c>
      <c r="G1196" t="inlineStr">
        <is>
          <t>NULL</t>
        </is>
      </c>
      <c r="H1196" t="inlineStr">
        <is>
          <t>NULL</t>
        </is>
      </c>
      <c r="I1196" t="inlineStr">
        <is>
          <t>NULL</t>
        </is>
      </c>
      <c r="J1196" t="inlineStr">
        <is>
          <t>NULL</t>
        </is>
      </c>
      <c r="K1196" t="inlineStr">
        <is>
          <t>YES! 	 c_varbinary列源备映射正确，源端为varbinary 1位	期望更改为varbinary(n)	实际备端为varbinary 1位</t>
        </is>
      </c>
    </row>
    <row r="1197">
      <c r="B1197" t="inlineStr">
        <is>
          <t>NULL</t>
        </is>
      </c>
      <c r="C1197" t="inlineStr">
        <is>
          <t>NULL</t>
        </is>
      </c>
      <c r="D1197" t="inlineStr">
        <is>
          <t>NULL</t>
        </is>
      </c>
      <c r="E1197" t="inlineStr">
        <is>
          <t>NULL</t>
        </is>
      </c>
      <c r="F1197" t="inlineStr">
        <is>
          <t>NULL</t>
        </is>
      </c>
      <c r="G1197" t="inlineStr">
        <is>
          <t>NULL</t>
        </is>
      </c>
      <c r="H1197" t="inlineStr">
        <is>
          <t>NULL</t>
        </is>
      </c>
      <c r="I1197" t="inlineStr">
        <is>
          <t>NULL</t>
        </is>
      </c>
      <c r="J1197" t="inlineStr">
        <is>
          <t>NULL</t>
        </is>
      </c>
      <c r="K1197" t="inlineStr">
        <is>
          <t>YES! 	 c_varbinary_100列源备映射正确，源端为varbinary 100位	期望更改为varbinary(n)	实际备端为varbinary 100位</t>
        </is>
      </c>
    </row>
    <row r="1198">
      <c r="B1198" t="inlineStr">
        <is>
          <t>NULL</t>
        </is>
      </c>
      <c r="C1198" t="inlineStr">
        <is>
          <t>NULL</t>
        </is>
      </c>
      <c r="D1198" t="inlineStr">
        <is>
          <t>NULL</t>
        </is>
      </c>
      <c r="E1198" t="inlineStr">
        <is>
          <t>NULL</t>
        </is>
      </c>
      <c r="F1198" t="inlineStr">
        <is>
          <t>NULL</t>
        </is>
      </c>
      <c r="G1198" t="inlineStr">
        <is>
          <t>NULL</t>
        </is>
      </c>
      <c r="H1198" t="inlineStr">
        <is>
          <t>NULL</t>
        </is>
      </c>
      <c r="I1198" t="inlineStr">
        <is>
          <t>NULL</t>
        </is>
      </c>
      <c r="J1198" t="inlineStr">
        <is>
          <t>NULL</t>
        </is>
      </c>
      <c r="K1198" t="inlineStr">
        <is>
          <t>YES! 	 c_varbinary_8000列源备映射正确，源端为varbinary 8000位	期望更改为longblob	实际备端为longblob 4294967295位</t>
        </is>
      </c>
    </row>
    <row r="1199">
      <c r="A1199" t="inlineStr">
        <is>
          <t>info_datetimeoffset_dml_batch1_pk_irp2</t>
        </is>
      </c>
      <c r="K1199" t="inlineStr">
        <is>
          <t>[0;34m info_datetimeoffset_dml_batch1_pk_irp2 [0m源备字段数相同，源端字段：9 	备端字段9</t>
        </is>
      </c>
      <c r="W1199" t="inlineStr">
        <is>
          <t>YES 源备无差异</t>
        </is>
      </c>
      <c r="X1199">
        <f>A1199</f>
        <v/>
      </c>
    </row>
    <row r="1200">
      <c r="B1200" t="inlineStr">
        <is>
          <t>YES</t>
        </is>
      </c>
      <c r="C1200" t="inlineStr">
        <is>
          <t>NULL</t>
        </is>
      </c>
      <c r="D1200" t="inlineStr">
        <is>
          <t>NULL</t>
        </is>
      </c>
      <c r="E1200" t="inlineStr">
        <is>
          <t>NULL</t>
        </is>
      </c>
      <c r="F1200" t="inlineStr">
        <is>
          <t>NULL</t>
        </is>
      </c>
      <c r="G1200" t="inlineStr">
        <is>
          <t>NULL</t>
        </is>
      </c>
      <c r="H1200" t="inlineStr">
        <is>
          <t>NULL</t>
        </is>
      </c>
      <c r="I1200" t="inlineStr">
        <is>
          <t>YES!PK__info_dat__3213E83F631E24C3</t>
        </is>
      </c>
      <c r="J1200" t="inlineStr">
        <is>
          <t>YES! 主键相关索引</t>
        </is>
      </c>
      <c r="K1200" t="inlineStr">
        <is>
          <t>YES! 	 id列源备映射正确，源端为int None位	期望更改为int	实际备端为int None位</t>
        </is>
      </c>
    </row>
    <row r="1201">
      <c r="B1201" t="inlineStr">
        <is>
          <t>NULL</t>
        </is>
      </c>
      <c r="C1201" t="inlineStr">
        <is>
          <t>NULL</t>
        </is>
      </c>
      <c r="D1201" t="inlineStr">
        <is>
          <t>NULL</t>
        </is>
      </c>
      <c r="E1201" t="inlineStr">
        <is>
          <t>NULL</t>
        </is>
      </c>
      <c r="F1201" t="inlineStr">
        <is>
          <t>NULL</t>
        </is>
      </c>
      <c r="G1201" t="inlineStr">
        <is>
          <t>NULL</t>
        </is>
      </c>
      <c r="H1201" t="inlineStr">
        <is>
          <t>NULL</t>
        </is>
      </c>
      <c r="I1201" t="inlineStr">
        <is>
          <t>NULL</t>
        </is>
      </c>
      <c r="J1201" t="inlineStr">
        <is>
          <t>NULL</t>
        </is>
      </c>
      <c r="K1201" t="inlineStr">
        <is>
          <t>[0;32m YES! [0m 	 c_dtoffset_0列源备映射正确，源端为datetimeoffset None位	期望更改为varchar(34)	实际备端为varchar 136位	位数精度不存在，通过长度比较</t>
        </is>
      </c>
    </row>
    <row r="1202">
      <c r="B1202" t="inlineStr">
        <is>
          <t>NULL</t>
        </is>
      </c>
      <c r="C1202" t="inlineStr">
        <is>
          <t>NULL</t>
        </is>
      </c>
      <c r="D1202" t="inlineStr">
        <is>
          <t>NULL</t>
        </is>
      </c>
      <c r="E1202" t="inlineStr">
        <is>
          <t>NULL</t>
        </is>
      </c>
      <c r="F1202" t="inlineStr">
        <is>
          <t>NULL</t>
        </is>
      </c>
      <c r="G1202" t="inlineStr">
        <is>
          <t>NULL</t>
        </is>
      </c>
      <c r="H1202" t="inlineStr">
        <is>
          <t>NULL</t>
        </is>
      </c>
      <c r="I1202" t="inlineStr">
        <is>
          <t>NULL</t>
        </is>
      </c>
      <c r="J1202" t="inlineStr">
        <is>
          <t>NULL</t>
        </is>
      </c>
      <c r="K1202" t="inlineStr">
        <is>
          <t>[0;32m YES! [0m 	 c_dtoffset_1列源备映射正确，源端为datetimeoffset None位	期望更改为varchar(34)	实际备端为varchar 136位	位数精度不存在，通过长度比较</t>
        </is>
      </c>
    </row>
    <row r="1203">
      <c r="B1203" t="inlineStr">
        <is>
          <t>NULL</t>
        </is>
      </c>
      <c r="C1203" t="inlineStr">
        <is>
          <t>NULL</t>
        </is>
      </c>
      <c r="D1203" t="inlineStr">
        <is>
          <t>NULL</t>
        </is>
      </c>
      <c r="E1203" t="inlineStr">
        <is>
          <t>NULL</t>
        </is>
      </c>
      <c r="F1203" t="inlineStr">
        <is>
          <t>NULL</t>
        </is>
      </c>
      <c r="G1203" t="inlineStr">
        <is>
          <t>NULL</t>
        </is>
      </c>
      <c r="H1203" t="inlineStr">
        <is>
          <t>NULL</t>
        </is>
      </c>
      <c r="I1203" t="inlineStr">
        <is>
          <t>NULL</t>
        </is>
      </c>
      <c r="J1203" t="inlineStr">
        <is>
          <t>NULL</t>
        </is>
      </c>
      <c r="K1203" t="inlineStr">
        <is>
          <t>[0;32m YES! [0m 	 c_dtoffset_2列源备映射正确，源端为datetimeoffset None位	期望更改为varchar(34)	实际备端为varchar 136位	位数精度不存在，通过长度比较</t>
        </is>
      </c>
    </row>
    <row r="1204">
      <c r="B1204" t="inlineStr">
        <is>
          <t>NULL</t>
        </is>
      </c>
      <c r="C1204" t="inlineStr">
        <is>
          <t>NULL</t>
        </is>
      </c>
      <c r="D1204" t="inlineStr">
        <is>
          <t>NULL</t>
        </is>
      </c>
      <c r="E1204" t="inlineStr">
        <is>
          <t>NULL</t>
        </is>
      </c>
      <c r="F1204" t="inlineStr">
        <is>
          <t>NULL</t>
        </is>
      </c>
      <c r="G1204" t="inlineStr">
        <is>
          <t>NULL</t>
        </is>
      </c>
      <c r="H1204" t="inlineStr">
        <is>
          <t>NULL</t>
        </is>
      </c>
      <c r="I1204" t="inlineStr">
        <is>
          <t>NULL</t>
        </is>
      </c>
      <c r="J1204" t="inlineStr">
        <is>
          <t>NULL</t>
        </is>
      </c>
      <c r="K1204" t="inlineStr">
        <is>
          <t>[0;32m YES! [0m 	 c_dtoffset_3列源备映射正确，源端为datetimeoffset None位	期望更改为varchar(34)	实际备端为varchar 136位	位数精度不存在，通过长度比较</t>
        </is>
      </c>
    </row>
    <row r="1205">
      <c r="B1205" t="inlineStr">
        <is>
          <t>NULL</t>
        </is>
      </c>
      <c r="C1205" t="inlineStr">
        <is>
          <t>NULL</t>
        </is>
      </c>
      <c r="D1205" t="inlineStr">
        <is>
          <t>NULL</t>
        </is>
      </c>
      <c r="E1205" t="inlineStr">
        <is>
          <t>NULL</t>
        </is>
      </c>
      <c r="F1205" t="inlineStr">
        <is>
          <t>NULL</t>
        </is>
      </c>
      <c r="G1205" t="inlineStr">
        <is>
          <t>NULL</t>
        </is>
      </c>
      <c r="H1205" t="inlineStr">
        <is>
          <t>NULL</t>
        </is>
      </c>
      <c r="I1205" t="inlineStr">
        <is>
          <t>NULL</t>
        </is>
      </c>
      <c r="J1205" t="inlineStr">
        <is>
          <t>NULL</t>
        </is>
      </c>
      <c r="K1205" t="inlineStr">
        <is>
          <t>[0;32m YES! [0m 	 c_dtoffset_4列源备映射正确，源端为datetimeoffset None位	期望更改为varchar(34)	实际备端为varchar 136位	位数精度不存在，通过长度比较</t>
        </is>
      </c>
    </row>
    <row r="1206">
      <c r="B1206" t="inlineStr">
        <is>
          <t>NULL</t>
        </is>
      </c>
      <c r="C1206" t="inlineStr">
        <is>
          <t>NULL</t>
        </is>
      </c>
      <c r="D1206" t="inlineStr">
        <is>
          <t>NULL</t>
        </is>
      </c>
      <c r="E1206" t="inlineStr">
        <is>
          <t>NULL</t>
        </is>
      </c>
      <c r="F1206" t="inlineStr">
        <is>
          <t>NULL</t>
        </is>
      </c>
      <c r="G1206" t="inlineStr">
        <is>
          <t>NULL</t>
        </is>
      </c>
      <c r="H1206" t="inlineStr">
        <is>
          <t>NULL</t>
        </is>
      </c>
      <c r="I1206" t="inlineStr">
        <is>
          <t>NULL</t>
        </is>
      </c>
      <c r="J1206" t="inlineStr">
        <is>
          <t>NULL</t>
        </is>
      </c>
      <c r="K1206" t="inlineStr">
        <is>
          <t>[0;32m YES! [0m 	 c_dtoffset_5列源备映射正确，源端为datetimeoffset None位	期望更改为varchar(34)	实际备端为varchar 136位	位数精度不存在，通过长度比较</t>
        </is>
      </c>
    </row>
    <row r="1207">
      <c r="B1207" t="inlineStr">
        <is>
          <t>NULL</t>
        </is>
      </c>
      <c r="C1207" t="inlineStr">
        <is>
          <t>NULL</t>
        </is>
      </c>
      <c r="D1207" t="inlineStr">
        <is>
          <t>NULL</t>
        </is>
      </c>
      <c r="E1207" t="inlineStr">
        <is>
          <t>NULL</t>
        </is>
      </c>
      <c r="F1207" t="inlineStr">
        <is>
          <t>NULL</t>
        </is>
      </c>
      <c r="G1207" t="inlineStr">
        <is>
          <t>NULL</t>
        </is>
      </c>
      <c r="H1207" t="inlineStr">
        <is>
          <t>NULL</t>
        </is>
      </c>
      <c r="I1207" t="inlineStr">
        <is>
          <t>NULL</t>
        </is>
      </c>
      <c r="J1207" t="inlineStr">
        <is>
          <t>NULL</t>
        </is>
      </c>
      <c r="K1207" t="inlineStr">
        <is>
          <t>[0;32m YES! [0m 	 c_dtoffset_6列源备映射正确，源端为datetimeoffset None位	期望更改为varchar(34)	实际备端为varchar 136位	位数精度不存在，通过长度比较</t>
        </is>
      </c>
    </row>
    <row r="1208">
      <c r="B1208" t="inlineStr">
        <is>
          <t>NULL</t>
        </is>
      </c>
      <c r="C1208" t="inlineStr">
        <is>
          <t>NULL</t>
        </is>
      </c>
      <c r="D1208" t="inlineStr">
        <is>
          <t>NULL</t>
        </is>
      </c>
      <c r="E1208" t="inlineStr">
        <is>
          <t>NULL</t>
        </is>
      </c>
      <c r="F1208" t="inlineStr">
        <is>
          <t>NULL</t>
        </is>
      </c>
      <c r="G1208" t="inlineStr">
        <is>
          <t>NULL</t>
        </is>
      </c>
      <c r="H1208" t="inlineStr">
        <is>
          <t>NULL</t>
        </is>
      </c>
      <c r="I1208" t="inlineStr">
        <is>
          <t>NULL</t>
        </is>
      </c>
      <c r="J1208" t="inlineStr">
        <is>
          <t>NULL</t>
        </is>
      </c>
      <c r="K1208" t="inlineStr">
        <is>
          <t>[0;32m YES! [0m 	 c_dtoffset列源备映射正确，源端为datetimeoffset None位	期望更改为varchar(34)	实际备端为varchar 136位	位数精度不存在，通过长度比较</t>
        </is>
      </c>
    </row>
    <row r="1209">
      <c r="A1209" t="inlineStr">
        <is>
          <t>info_varbinary_dml_single_nopk_urp</t>
        </is>
      </c>
      <c r="K1209" t="inlineStr">
        <is>
          <t>[0;34m info_varbinary_dml_single_nopk_urp [0m源备字段数相同，源端字段：4 	备端字段4</t>
        </is>
      </c>
      <c r="W1209" t="inlineStr">
        <is>
          <t>YES 源备无差异</t>
        </is>
      </c>
      <c r="X1209">
        <f>A1209</f>
        <v/>
      </c>
    </row>
    <row r="1210">
      <c r="B1210" t="inlineStr">
        <is>
          <t>NULL</t>
        </is>
      </c>
      <c r="C1210" t="inlineStr">
        <is>
          <t>NULL</t>
        </is>
      </c>
      <c r="D1210" t="inlineStr">
        <is>
          <t>NULL</t>
        </is>
      </c>
      <c r="E1210" t="inlineStr">
        <is>
          <t>NULL</t>
        </is>
      </c>
      <c r="F1210" t="inlineStr">
        <is>
          <t>NULL</t>
        </is>
      </c>
      <c r="G1210" t="inlineStr">
        <is>
          <t>NULL</t>
        </is>
      </c>
      <c r="H1210" t="inlineStr">
        <is>
          <t>NULL</t>
        </is>
      </c>
      <c r="I1210" t="inlineStr">
        <is>
          <t>NULL</t>
        </is>
      </c>
      <c r="J1210" t="inlineStr">
        <is>
          <t>NULL</t>
        </is>
      </c>
      <c r="K1210" t="inlineStr">
        <is>
          <t>YES! 	 id列源备映射正确，源端为int None位	期望更改为int	实际备端为int None位</t>
        </is>
      </c>
    </row>
    <row r="1211">
      <c r="B1211" t="inlineStr">
        <is>
          <t>NULL</t>
        </is>
      </c>
      <c r="C1211" t="inlineStr">
        <is>
          <t>NULL</t>
        </is>
      </c>
      <c r="D1211" t="inlineStr">
        <is>
          <t>NULL</t>
        </is>
      </c>
      <c r="E1211" t="inlineStr">
        <is>
          <t>NULL</t>
        </is>
      </c>
      <c r="F1211" t="inlineStr">
        <is>
          <t>NULL</t>
        </is>
      </c>
      <c r="G1211" t="inlineStr">
        <is>
          <t>NULL</t>
        </is>
      </c>
      <c r="H1211" t="inlineStr">
        <is>
          <t>NULL</t>
        </is>
      </c>
      <c r="I1211" t="inlineStr">
        <is>
          <t>NULL</t>
        </is>
      </c>
      <c r="J1211" t="inlineStr">
        <is>
          <t>NULL</t>
        </is>
      </c>
      <c r="K1211" t="inlineStr">
        <is>
          <t>YES! 	 c_varbinary列源备映射正确，源端为varbinary 1位	期望更改为varbinary(n)	实际备端为varbinary 1位</t>
        </is>
      </c>
    </row>
    <row r="1212">
      <c r="B1212" t="inlineStr">
        <is>
          <t>NULL</t>
        </is>
      </c>
      <c r="C1212" t="inlineStr">
        <is>
          <t>NULL</t>
        </is>
      </c>
      <c r="D1212" t="inlineStr">
        <is>
          <t>NULL</t>
        </is>
      </c>
      <c r="E1212" t="inlineStr">
        <is>
          <t>NULL</t>
        </is>
      </c>
      <c r="F1212" t="inlineStr">
        <is>
          <t>NULL</t>
        </is>
      </c>
      <c r="G1212" t="inlineStr">
        <is>
          <t>NULL</t>
        </is>
      </c>
      <c r="H1212" t="inlineStr">
        <is>
          <t>NULL</t>
        </is>
      </c>
      <c r="I1212" t="inlineStr">
        <is>
          <t>NULL</t>
        </is>
      </c>
      <c r="J1212" t="inlineStr">
        <is>
          <t>NULL</t>
        </is>
      </c>
      <c r="K1212" t="inlineStr">
        <is>
          <t>YES! 	 c_varbinary_100列源备映射正确，源端为varbinary 100位	期望更改为varbinary(n)	实际备端为varbinary 100位</t>
        </is>
      </c>
    </row>
    <row r="1213">
      <c r="B1213" t="inlineStr">
        <is>
          <t>NULL</t>
        </is>
      </c>
      <c r="C1213" t="inlineStr">
        <is>
          <t>NULL</t>
        </is>
      </c>
      <c r="D1213" t="inlineStr">
        <is>
          <t>NULL</t>
        </is>
      </c>
      <c r="E1213" t="inlineStr">
        <is>
          <t>NULL</t>
        </is>
      </c>
      <c r="F1213" t="inlineStr">
        <is>
          <t>NULL</t>
        </is>
      </c>
      <c r="G1213" t="inlineStr">
        <is>
          <t>NULL</t>
        </is>
      </c>
      <c r="H1213" t="inlineStr">
        <is>
          <t>NULL</t>
        </is>
      </c>
      <c r="I1213" t="inlineStr">
        <is>
          <t>NULL</t>
        </is>
      </c>
      <c r="J1213" t="inlineStr">
        <is>
          <t>NULL</t>
        </is>
      </c>
      <c r="K1213" t="inlineStr">
        <is>
          <t>YES! 	 c_varbinary_8000列源备映射正确，源端为varbinary 8000位	期望更改为longblob	实际备端为longblob 4294967295位</t>
        </is>
      </c>
    </row>
    <row r="1214">
      <c r="A1214" t="inlineStr">
        <is>
          <t>info_nvarchar_dml_batch1_pk_drp1</t>
        </is>
      </c>
      <c r="K1214" t="inlineStr">
        <is>
          <t>[0;34m info_nvarchar_dml_batch1_pk_drp1 [0m源备字段数相同，源端字段：4 	备端字段4</t>
        </is>
      </c>
      <c r="W1214" t="inlineStr">
        <is>
          <t>YES 源备无差异</t>
        </is>
      </c>
      <c r="X1214">
        <f>A1214</f>
        <v/>
      </c>
    </row>
    <row r="1215">
      <c r="B1215" t="inlineStr">
        <is>
          <t>YES</t>
        </is>
      </c>
      <c r="C1215" t="inlineStr">
        <is>
          <t>NULL</t>
        </is>
      </c>
      <c r="D1215" t="inlineStr">
        <is>
          <t>NULL</t>
        </is>
      </c>
      <c r="E1215" t="inlineStr">
        <is>
          <t>NULL</t>
        </is>
      </c>
      <c r="F1215" t="inlineStr">
        <is>
          <t>NULL</t>
        </is>
      </c>
      <c r="G1215" t="inlineStr">
        <is>
          <t>NULL</t>
        </is>
      </c>
      <c r="H1215" t="inlineStr">
        <is>
          <t>NULL</t>
        </is>
      </c>
      <c r="I1215" t="inlineStr">
        <is>
          <t>YES!PK__info_nva__3213E83F3B807937</t>
        </is>
      </c>
      <c r="J1215" t="inlineStr">
        <is>
          <t>YES! 主键相关索引</t>
        </is>
      </c>
      <c r="K1215" t="inlineStr">
        <is>
          <t>YES! 	 id列源备映射正确，源端为int None位	期望更改为int	实际备端为int None位</t>
        </is>
      </c>
    </row>
    <row r="1216">
      <c r="B1216" t="inlineStr">
        <is>
          <t>NULL</t>
        </is>
      </c>
      <c r="C1216" t="inlineStr">
        <is>
          <t>NULL</t>
        </is>
      </c>
      <c r="D1216" t="inlineStr">
        <is>
          <t>NULL</t>
        </is>
      </c>
      <c r="E1216" t="inlineStr">
        <is>
          <t>NULL</t>
        </is>
      </c>
      <c r="F1216" t="inlineStr">
        <is>
          <t>NULL</t>
        </is>
      </c>
      <c r="G1216" t="inlineStr">
        <is>
          <t>NULL</t>
        </is>
      </c>
      <c r="H1216" t="inlineStr">
        <is>
          <t>NULL</t>
        </is>
      </c>
      <c r="I1216" t="inlineStr">
        <is>
          <t>NULL</t>
        </is>
      </c>
      <c r="J1216" t="inlineStr">
        <is>
          <t>NULL</t>
        </is>
      </c>
      <c r="K1216" t="inlineStr">
        <is>
          <t>YES! 	 c_nvarchar列源备映射正确，源端为nvarchar 2位	期望更改为varchar(n)	实际备端为varchar 4位</t>
        </is>
      </c>
    </row>
    <row r="1217">
      <c r="B1217" t="inlineStr">
        <is>
          <t>NULL</t>
        </is>
      </c>
      <c r="C1217" t="inlineStr">
        <is>
          <t>NULL</t>
        </is>
      </c>
      <c r="D1217" t="inlineStr">
        <is>
          <t>NULL</t>
        </is>
      </c>
      <c r="E1217" t="inlineStr">
        <is>
          <t>NULL</t>
        </is>
      </c>
      <c r="F1217" t="inlineStr">
        <is>
          <t>NULL</t>
        </is>
      </c>
      <c r="G1217" t="inlineStr">
        <is>
          <t>NULL</t>
        </is>
      </c>
      <c r="H1217" t="inlineStr">
        <is>
          <t>NULL</t>
        </is>
      </c>
      <c r="I1217" t="inlineStr">
        <is>
          <t>NULL</t>
        </is>
      </c>
      <c r="J1217" t="inlineStr">
        <is>
          <t>NULL</t>
        </is>
      </c>
      <c r="K1217" t="inlineStr">
        <is>
          <t>YES! 	 c_nvarchar20列源备映射正确，源端为nvarchar 40位	期望更改为varchar(n)	实际备端为varchar 80位</t>
        </is>
      </c>
    </row>
    <row r="1218">
      <c r="B1218" t="inlineStr">
        <is>
          <t>NULL</t>
        </is>
      </c>
      <c r="C1218" t="inlineStr">
        <is>
          <t>NULL</t>
        </is>
      </c>
      <c r="D1218" t="inlineStr">
        <is>
          <t>NULL</t>
        </is>
      </c>
      <c r="E1218" t="inlineStr">
        <is>
          <t>NULL</t>
        </is>
      </c>
      <c r="F1218" t="inlineStr">
        <is>
          <t>NULL</t>
        </is>
      </c>
      <c r="G1218" t="inlineStr">
        <is>
          <t>NULL</t>
        </is>
      </c>
      <c r="H1218" t="inlineStr">
        <is>
          <t>NULL</t>
        </is>
      </c>
      <c r="I1218" t="inlineStr">
        <is>
          <t>NULL</t>
        </is>
      </c>
      <c r="J1218" t="inlineStr">
        <is>
          <t>NULL</t>
        </is>
      </c>
      <c r="K1218" t="inlineStr">
        <is>
          <t>YES! 	 c_nvarchar3500列源备映射正确，源端为nvarchar 7000位	期望更改为text	实际备端为text 65535位</t>
        </is>
      </c>
    </row>
    <row r="1219">
      <c r="K1219" t="inlineStr">
        <is>
          <t>~ 空表</t>
        </is>
      </c>
    </row>
    <row r="1220">
      <c r="A1220" t="inlineStr">
        <is>
          <t>info_varbinary_dml_single_nopk_drp</t>
        </is>
      </c>
      <c r="K1220" t="inlineStr">
        <is>
          <t>[0;34m info_varbinary_dml_single_nopk_drp [0m源备字段数相同，源端字段：4 	备端字段4</t>
        </is>
      </c>
      <c r="W1220" t="inlineStr">
        <is>
          <t>YES 源备无差异</t>
        </is>
      </c>
      <c r="X1220">
        <f>A1220</f>
        <v/>
      </c>
    </row>
    <row r="1221">
      <c r="B1221" t="inlineStr">
        <is>
          <t>NULL</t>
        </is>
      </c>
      <c r="C1221" t="inlineStr">
        <is>
          <t>NULL</t>
        </is>
      </c>
      <c r="D1221" t="inlineStr">
        <is>
          <t>NULL</t>
        </is>
      </c>
      <c r="E1221" t="inlineStr">
        <is>
          <t>NULL</t>
        </is>
      </c>
      <c r="F1221" t="inlineStr">
        <is>
          <t>NULL</t>
        </is>
      </c>
      <c r="G1221" t="inlineStr">
        <is>
          <t>NULL</t>
        </is>
      </c>
      <c r="H1221" t="inlineStr">
        <is>
          <t>NULL</t>
        </is>
      </c>
      <c r="I1221" t="inlineStr">
        <is>
          <t>NULL</t>
        </is>
      </c>
      <c r="J1221" t="inlineStr">
        <is>
          <t>NULL</t>
        </is>
      </c>
      <c r="K1221" t="inlineStr">
        <is>
          <t>YES! 	 id列源备映射正确，源端为int None位	期望更改为int	实际备端为int None位</t>
        </is>
      </c>
    </row>
    <row r="1222">
      <c r="B1222" t="inlineStr">
        <is>
          <t>NULL</t>
        </is>
      </c>
      <c r="C1222" t="inlineStr">
        <is>
          <t>NULL</t>
        </is>
      </c>
      <c r="D1222" t="inlineStr">
        <is>
          <t>NULL</t>
        </is>
      </c>
      <c r="E1222" t="inlineStr">
        <is>
          <t>NULL</t>
        </is>
      </c>
      <c r="F1222" t="inlineStr">
        <is>
          <t>NULL</t>
        </is>
      </c>
      <c r="G1222" t="inlineStr">
        <is>
          <t>NULL</t>
        </is>
      </c>
      <c r="H1222" t="inlineStr">
        <is>
          <t>NULL</t>
        </is>
      </c>
      <c r="I1222" t="inlineStr">
        <is>
          <t>NULL</t>
        </is>
      </c>
      <c r="J1222" t="inlineStr">
        <is>
          <t>NULL</t>
        </is>
      </c>
      <c r="K1222" t="inlineStr">
        <is>
          <t>YES! 	 c_varbinary列源备映射正确，源端为varbinary 1位	期望更改为varbinary(n)	实际备端为varbinary 1位</t>
        </is>
      </c>
    </row>
    <row r="1223">
      <c r="B1223" t="inlineStr">
        <is>
          <t>NULL</t>
        </is>
      </c>
      <c r="C1223" t="inlineStr">
        <is>
          <t>NULL</t>
        </is>
      </c>
      <c r="D1223" t="inlineStr">
        <is>
          <t>NULL</t>
        </is>
      </c>
      <c r="E1223" t="inlineStr">
        <is>
          <t>NULL</t>
        </is>
      </c>
      <c r="F1223" t="inlineStr">
        <is>
          <t>NULL</t>
        </is>
      </c>
      <c r="G1223" t="inlineStr">
        <is>
          <t>NULL</t>
        </is>
      </c>
      <c r="H1223" t="inlineStr">
        <is>
          <t>NULL</t>
        </is>
      </c>
      <c r="I1223" t="inlineStr">
        <is>
          <t>NULL</t>
        </is>
      </c>
      <c r="J1223" t="inlineStr">
        <is>
          <t>NULL</t>
        </is>
      </c>
      <c r="K1223" t="inlineStr">
        <is>
          <t>YES! 	 c_varbinary_100列源备映射正确，源端为varbinary 100位	期望更改为varbinary(n)	实际备端为varbinary 100位</t>
        </is>
      </c>
    </row>
    <row r="1224">
      <c r="B1224" t="inlineStr">
        <is>
          <t>NULL</t>
        </is>
      </c>
      <c r="C1224" t="inlineStr">
        <is>
          <t>NULL</t>
        </is>
      </c>
      <c r="D1224" t="inlineStr">
        <is>
          <t>NULL</t>
        </is>
      </c>
      <c r="E1224" t="inlineStr">
        <is>
          <t>NULL</t>
        </is>
      </c>
      <c r="F1224" t="inlineStr">
        <is>
          <t>NULL</t>
        </is>
      </c>
      <c r="G1224" t="inlineStr">
        <is>
          <t>NULL</t>
        </is>
      </c>
      <c r="H1224" t="inlineStr">
        <is>
          <t>NULL</t>
        </is>
      </c>
      <c r="I1224" t="inlineStr">
        <is>
          <t>NULL</t>
        </is>
      </c>
      <c r="J1224" t="inlineStr">
        <is>
          <t>NULL</t>
        </is>
      </c>
      <c r="K1224" t="inlineStr">
        <is>
          <t>YES! 	 c_varbinary_8000列源备映射正确，源端为varbinary 8000位	期望更改为longblob	实际备端为longblob 4294967295位</t>
        </is>
      </c>
    </row>
    <row r="1225">
      <c r="A1225" t="inlineStr">
        <is>
          <t>info_datetimeoffset_dml_batch2_pk_irp1</t>
        </is>
      </c>
      <c r="K1225" t="inlineStr">
        <is>
          <t>[0;34m info_datetimeoffset_dml_batch2_pk_irp1 [0m源备字段数相同，源端字段：9 	备端字段9</t>
        </is>
      </c>
      <c r="W1225" t="inlineStr">
        <is>
          <t>YES 源备无差异</t>
        </is>
      </c>
      <c r="X1225">
        <f>A1225</f>
        <v/>
      </c>
    </row>
    <row r="1226">
      <c r="B1226" t="inlineStr">
        <is>
          <t>YES</t>
        </is>
      </c>
      <c r="C1226" t="inlineStr">
        <is>
          <t>NULL</t>
        </is>
      </c>
      <c r="D1226" t="inlineStr">
        <is>
          <t>NULL</t>
        </is>
      </c>
      <c r="E1226" t="inlineStr">
        <is>
          <t>NULL</t>
        </is>
      </c>
      <c r="F1226" t="inlineStr">
        <is>
          <t>NULL</t>
        </is>
      </c>
      <c r="G1226" t="inlineStr">
        <is>
          <t>NULL</t>
        </is>
      </c>
      <c r="H1226" t="inlineStr">
        <is>
          <t>NULL</t>
        </is>
      </c>
      <c r="I1226" t="inlineStr">
        <is>
          <t>YES!PK__info_dat__3213E83FCC9DEC18</t>
        </is>
      </c>
      <c r="J1226" t="inlineStr">
        <is>
          <t>YES! 主键相关索引</t>
        </is>
      </c>
      <c r="K1226" t="inlineStr">
        <is>
          <t>YES! 	 id列源备映射正确，源端为int None位	期望更改为int	实际备端为int None位</t>
        </is>
      </c>
    </row>
    <row r="1227">
      <c r="B1227" t="inlineStr">
        <is>
          <t>NULL</t>
        </is>
      </c>
      <c r="C1227" t="inlineStr">
        <is>
          <t>NULL</t>
        </is>
      </c>
      <c r="D1227" t="inlineStr">
        <is>
          <t>NULL</t>
        </is>
      </c>
      <c r="E1227" t="inlineStr">
        <is>
          <t>NULL</t>
        </is>
      </c>
      <c r="F1227" t="inlineStr">
        <is>
          <t>NULL</t>
        </is>
      </c>
      <c r="G1227" t="inlineStr">
        <is>
          <t>NULL</t>
        </is>
      </c>
      <c r="H1227" t="inlineStr">
        <is>
          <t>NULL</t>
        </is>
      </c>
      <c r="I1227" t="inlineStr">
        <is>
          <t>NULL</t>
        </is>
      </c>
      <c r="J1227" t="inlineStr">
        <is>
          <t>NULL</t>
        </is>
      </c>
      <c r="K1227" t="inlineStr">
        <is>
          <t>[0;32m YES! [0m 	 c_dtoffset_0列源备映射正确，源端为datetimeoffset None位	期望更改为varchar(34)	实际备端为varchar 136位	位数精度不存在，通过长度比较</t>
        </is>
      </c>
    </row>
    <row r="1228">
      <c r="B1228" t="inlineStr">
        <is>
          <t>NULL</t>
        </is>
      </c>
      <c r="C1228" t="inlineStr">
        <is>
          <t>NULL</t>
        </is>
      </c>
      <c r="D1228" t="inlineStr">
        <is>
          <t>NULL</t>
        </is>
      </c>
      <c r="E1228" t="inlineStr">
        <is>
          <t>NULL</t>
        </is>
      </c>
      <c r="F1228" t="inlineStr">
        <is>
          <t>NULL</t>
        </is>
      </c>
      <c r="G1228" t="inlineStr">
        <is>
          <t>NULL</t>
        </is>
      </c>
      <c r="H1228" t="inlineStr">
        <is>
          <t>NULL</t>
        </is>
      </c>
      <c r="I1228" t="inlineStr">
        <is>
          <t>NULL</t>
        </is>
      </c>
      <c r="J1228" t="inlineStr">
        <is>
          <t>NULL</t>
        </is>
      </c>
      <c r="K1228" t="inlineStr">
        <is>
          <t>[0;32m YES! [0m 	 c_dtoffset_1列源备映射正确，源端为datetimeoffset None位	期望更改为varchar(34)	实际备端为varchar 136位	位数精度不存在，通过长度比较</t>
        </is>
      </c>
    </row>
    <row r="1229">
      <c r="B1229" t="inlineStr">
        <is>
          <t>NULL</t>
        </is>
      </c>
      <c r="C1229" t="inlineStr">
        <is>
          <t>NULL</t>
        </is>
      </c>
      <c r="D1229" t="inlineStr">
        <is>
          <t>NULL</t>
        </is>
      </c>
      <c r="E1229" t="inlineStr">
        <is>
          <t>NULL</t>
        </is>
      </c>
      <c r="F1229" t="inlineStr">
        <is>
          <t>NULL</t>
        </is>
      </c>
      <c r="G1229" t="inlineStr">
        <is>
          <t>NULL</t>
        </is>
      </c>
      <c r="H1229" t="inlineStr">
        <is>
          <t>NULL</t>
        </is>
      </c>
      <c r="I1229" t="inlineStr">
        <is>
          <t>NULL</t>
        </is>
      </c>
      <c r="J1229" t="inlineStr">
        <is>
          <t>NULL</t>
        </is>
      </c>
      <c r="K1229" t="inlineStr">
        <is>
          <t>[0;32m YES! [0m 	 c_dtoffset_2列源备映射正确，源端为datetimeoffset None位	期望更改为varchar(34)	实际备端为varchar 136位	位数精度不存在，通过长度比较</t>
        </is>
      </c>
    </row>
    <row r="1230">
      <c r="B1230" t="inlineStr">
        <is>
          <t>NULL</t>
        </is>
      </c>
      <c r="C1230" t="inlineStr">
        <is>
          <t>NULL</t>
        </is>
      </c>
      <c r="D1230" t="inlineStr">
        <is>
          <t>NULL</t>
        </is>
      </c>
      <c r="E1230" t="inlineStr">
        <is>
          <t>NULL</t>
        </is>
      </c>
      <c r="F1230" t="inlineStr">
        <is>
          <t>NULL</t>
        </is>
      </c>
      <c r="G1230" t="inlineStr">
        <is>
          <t>NULL</t>
        </is>
      </c>
      <c r="H1230" t="inlineStr">
        <is>
          <t>NULL</t>
        </is>
      </c>
      <c r="I1230" t="inlineStr">
        <is>
          <t>NULL</t>
        </is>
      </c>
      <c r="J1230" t="inlineStr">
        <is>
          <t>NULL</t>
        </is>
      </c>
      <c r="K1230" t="inlineStr">
        <is>
          <t>[0;32m YES! [0m 	 c_dtoffset_3列源备映射正确，源端为datetimeoffset None位	期望更改为varchar(34)	实际备端为varchar 136位	位数精度不存在，通过长度比较</t>
        </is>
      </c>
    </row>
    <row r="1231">
      <c r="B1231" t="inlineStr">
        <is>
          <t>NULL</t>
        </is>
      </c>
      <c r="C1231" t="inlineStr">
        <is>
          <t>NULL</t>
        </is>
      </c>
      <c r="D1231" t="inlineStr">
        <is>
          <t>NULL</t>
        </is>
      </c>
      <c r="E1231" t="inlineStr">
        <is>
          <t>NULL</t>
        </is>
      </c>
      <c r="F1231" t="inlineStr">
        <is>
          <t>NULL</t>
        </is>
      </c>
      <c r="G1231" t="inlineStr">
        <is>
          <t>NULL</t>
        </is>
      </c>
      <c r="H1231" t="inlineStr">
        <is>
          <t>NULL</t>
        </is>
      </c>
      <c r="I1231" t="inlineStr">
        <is>
          <t>NULL</t>
        </is>
      </c>
      <c r="J1231" t="inlineStr">
        <is>
          <t>NULL</t>
        </is>
      </c>
      <c r="K1231" t="inlineStr">
        <is>
          <t>[0;32m YES! [0m 	 c_dtoffset_4列源备映射正确，源端为datetimeoffset None位	期望更改为varchar(34)	实际备端为varchar 136位	位数精度不存在，通过长度比较</t>
        </is>
      </c>
    </row>
    <row r="1232">
      <c r="B1232" t="inlineStr">
        <is>
          <t>NULL</t>
        </is>
      </c>
      <c r="C1232" t="inlineStr">
        <is>
          <t>NULL</t>
        </is>
      </c>
      <c r="D1232" t="inlineStr">
        <is>
          <t>NULL</t>
        </is>
      </c>
      <c r="E1232" t="inlineStr">
        <is>
          <t>NULL</t>
        </is>
      </c>
      <c r="F1232" t="inlineStr">
        <is>
          <t>NULL</t>
        </is>
      </c>
      <c r="G1232" t="inlineStr">
        <is>
          <t>NULL</t>
        </is>
      </c>
      <c r="H1232" t="inlineStr">
        <is>
          <t>NULL</t>
        </is>
      </c>
      <c r="I1232" t="inlineStr">
        <is>
          <t>NULL</t>
        </is>
      </c>
      <c r="J1232" t="inlineStr">
        <is>
          <t>NULL</t>
        </is>
      </c>
      <c r="K1232" t="inlineStr">
        <is>
          <t>[0;32m YES! [0m 	 c_dtoffset_5列源备映射正确，源端为datetimeoffset None位	期望更改为varchar(34)	实际备端为varchar 136位	位数精度不存在，通过长度比较</t>
        </is>
      </c>
    </row>
    <row r="1233">
      <c r="B1233" t="inlineStr">
        <is>
          <t>NULL</t>
        </is>
      </c>
      <c r="C1233" t="inlineStr">
        <is>
          <t>NULL</t>
        </is>
      </c>
      <c r="D1233" t="inlineStr">
        <is>
          <t>NULL</t>
        </is>
      </c>
      <c r="E1233" t="inlineStr">
        <is>
          <t>NULL</t>
        </is>
      </c>
      <c r="F1233" t="inlineStr">
        <is>
          <t>NULL</t>
        </is>
      </c>
      <c r="G1233" t="inlineStr">
        <is>
          <t>NULL</t>
        </is>
      </c>
      <c r="H1233" t="inlineStr">
        <is>
          <t>NULL</t>
        </is>
      </c>
      <c r="I1233" t="inlineStr">
        <is>
          <t>NULL</t>
        </is>
      </c>
      <c r="J1233" t="inlineStr">
        <is>
          <t>NULL</t>
        </is>
      </c>
      <c r="K1233" t="inlineStr">
        <is>
          <t>[0;32m YES! [0m 	 c_dtoffset_6列源备映射正确，源端为datetimeoffset None位	期望更改为varchar(34)	实际备端为varchar 136位	位数精度不存在，通过长度比较</t>
        </is>
      </c>
    </row>
    <row r="1234">
      <c r="B1234" t="inlineStr">
        <is>
          <t>NULL</t>
        </is>
      </c>
      <c r="C1234" t="inlineStr">
        <is>
          <t>NULL</t>
        </is>
      </c>
      <c r="D1234" t="inlineStr">
        <is>
          <t>NULL</t>
        </is>
      </c>
      <c r="E1234" t="inlineStr">
        <is>
          <t>NULL</t>
        </is>
      </c>
      <c r="F1234" t="inlineStr">
        <is>
          <t>NULL</t>
        </is>
      </c>
      <c r="G1234" t="inlineStr">
        <is>
          <t>NULL</t>
        </is>
      </c>
      <c r="H1234" t="inlineStr">
        <is>
          <t>NULL</t>
        </is>
      </c>
      <c r="I1234" t="inlineStr">
        <is>
          <t>NULL</t>
        </is>
      </c>
      <c r="J1234" t="inlineStr">
        <is>
          <t>NULL</t>
        </is>
      </c>
      <c r="K1234" t="inlineStr">
        <is>
          <t>[0;32m YES! [0m 	 c_dtoffset列源备映射正确，源端为datetimeoffset None位	期望更改为varchar(34)	实际备端为varchar 136位	位数精度不存在，通过长度比较</t>
        </is>
      </c>
    </row>
    <row r="1235">
      <c r="A1235" t="inlineStr">
        <is>
          <t>info_time_dml_single_nopk_urp</t>
        </is>
      </c>
      <c r="K1235" t="inlineStr">
        <is>
          <t>[0;34m info_time_dml_single_nopk_urp [0m源备字段数相同，源端字段：9 	备端字段9</t>
        </is>
      </c>
      <c r="W1235" t="inlineStr">
        <is>
          <t>YES 源备无差异</t>
        </is>
      </c>
      <c r="X1235">
        <f>A1235</f>
        <v/>
      </c>
    </row>
    <row r="1236">
      <c r="B1236" t="inlineStr">
        <is>
          <t>NULL</t>
        </is>
      </c>
      <c r="C1236" t="inlineStr">
        <is>
          <t>NULL</t>
        </is>
      </c>
      <c r="D1236" t="inlineStr">
        <is>
          <t>NULL</t>
        </is>
      </c>
      <c r="E1236" t="inlineStr">
        <is>
          <t>NULL</t>
        </is>
      </c>
      <c r="F1236" t="inlineStr">
        <is>
          <t>NULL</t>
        </is>
      </c>
      <c r="G1236" t="inlineStr">
        <is>
          <t>NULL</t>
        </is>
      </c>
      <c r="H1236" t="inlineStr">
        <is>
          <t>NULL</t>
        </is>
      </c>
      <c r="I1236" t="inlineStr">
        <is>
          <t>NULL</t>
        </is>
      </c>
      <c r="J1236" t="inlineStr">
        <is>
          <t>NULL</t>
        </is>
      </c>
      <c r="K1236" t="inlineStr">
        <is>
          <t>YES! 	 id列源备映射正确，源端为int None位	期望更改为int	实际备端为int None位</t>
        </is>
      </c>
    </row>
    <row r="1237">
      <c r="B1237" t="inlineStr">
        <is>
          <t>NULL</t>
        </is>
      </c>
      <c r="C1237" t="inlineStr">
        <is>
          <t>NULL</t>
        </is>
      </c>
      <c r="D1237" t="inlineStr">
        <is>
          <t>NULL</t>
        </is>
      </c>
      <c r="E1237" t="inlineStr">
        <is>
          <t>NULL</t>
        </is>
      </c>
      <c r="F1237" t="inlineStr">
        <is>
          <t>NULL</t>
        </is>
      </c>
      <c r="G1237" t="inlineStr">
        <is>
          <t>NULL</t>
        </is>
      </c>
      <c r="H1237" t="inlineStr">
        <is>
          <t>NULL</t>
        </is>
      </c>
      <c r="I1237" t="inlineStr">
        <is>
          <t>NULL</t>
        </is>
      </c>
      <c r="J1237" t="inlineStr">
        <is>
          <t>NULL</t>
        </is>
      </c>
      <c r="K1237" t="inlineStr">
        <is>
          <t>[0;32m YES! [0m 	 c_time0列源备映射正确，源端为time None位	期望更改为varchar(20)	实际备端为varchar 80位	位数精度不存在，通过长度比较</t>
        </is>
      </c>
    </row>
    <row r="1238">
      <c r="B1238" t="inlineStr">
        <is>
          <t>NULL</t>
        </is>
      </c>
      <c r="C1238" t="inlineStr">
        <is>
          <t>NULL</t>
        </is>
      </c>
      <c r="D1238" t="inlineStr">
        <is>
          <t>NULL</t>
        </is>
      </c>
      <c r="E1238" t="inlineStr">
        <is>
          <t>NULL</t>
        </is>
      </c>
      <c r="F1238" t="inlineStr">
        <is>
          <t>NULL</t>
        </is>
      </c>
      <c r="G1238" t="inlineStr">
        <is>
          <t>NULL</t>
        </is>
      </c>
      <c r="H1238" t="inlineStr">
        <is>
          <t>NULL</t>
        </is>
      </c>
      <c r="I1238" t="inlineStr">
        <is>
          <t>NULL</t>
        </is>
      </c>
      <c r="J1238" t="inlineStr">
        <is>
          <t>NULL</t>
        </is>
      </c>
      <c r="K1238" t="inlineStr">
        <is>
          <t>[0;32m YES! [0m 	 c_time1列源备映射正确，源端为time None位	期望更改为varchar(20)	实际备端为varchar 80位	位数精度不存在，通过长度比较</t>
        </is>
      </c>
    </row>
    <row r="1239">
      <c r="B1239" t="inlineStr">
        <is>
          <t>NULL</t>
        </is>
      </c>
      <c r="C1239" t="inlineStr">
        <is>
          <t>NULL</t>
        </is>
      </c>
      <c r="D1239" t="inlineStr">
        <is>
          <t>NULL</t>
        </is>
      </c>
      <c r="E1239" t="inlineStr">
        <is>
          <t>NULL</t>
        </is>
      </c>
      <c r="F1239" t="inlineStr">
        <is>
          <t>NULL</t>
        </is>
      </c>
      <c r="G1239" t="inlineStr">
        <is>
          <t>NULL</t>
        </is>
      </c>
      <c r="H1239" t="inlineStr">
        <is>
          <t>NULL</t>
        </is>
      </c>
      <c r="I1239" t="inlineStr">
        <is>
          <t>NULL</t>
        </is>
      </c>
      <c r="J1239" t="inlineStr">
        <is>
          <t>NULL</t>
        </is>
      </c>
      <c r="K1239" t="inlineStr">
        <is>
          <t>[0;32m YES! [0m 	 c_time2列源备映射正确，源端为time None位	期望更改为varchar(20)	实际备端为varchar 80位	位数精度不存在，通过长度比较</t>
        </is>
      </c>
    </row>
    <row r="1240">
      <c r="B1240" t="inlineStr">
        <is>
          <t>NULL</t>
        </is>
      </c>
      <c r="C1240" t="inlineStr">
        <is>
          <t>NULL</t>
        </is>
      </c>
      <c r="D1240" t="inlineStr">
        <is>
          <t>NULL</t>
        </is>
      </c>
      <c r="E1240" t="inlineStr">
        <is>
          <t>NULL</t>
        </is>
      </c>
      <c r="F1240" t="inlineStr">
        <is>
          <t>NULL</t>
        </is>
      </c>
      <c r="G1240" t="inlineStr">
        <is>
          <t>NULL</t>
        </is>
      </c>
      <c r="H1240" t="inlineStr">
        <is>
          <t>NULL</t>
        </is>
      </c>
      <c r="I1240" t="inlineStr">
        <is>
          <t>NULL</t>
        </is>
      </c>
      <c r="J1240" t="inlineStr">
        <is>
          <t>NULL</t>
        </is>
      </c>
      <c r="K1240" t="inlineStr">
        <is>
          <t>[0;32m YES! [0m 	 c_time3列源备映射正确，源端为time None位	期望更改为varchar(20)	实际备端为varchar 80位	位数精度不存在，通过长度比较</t>
        </is>
      </c>
    </row>
    <row r="1241">
      <c r="B1241" t="inlineStr">
        <is>
          <t>NULL</t>
        </is>
      </c>
      <c r="C1241" t="inlineStr">
        <is>
          <t>NULL</t>
        </is>
      </c>
      <c r="D1241" t="inlineStr">
        <is>
          <t>NULL</t>
        </is>
      </c>
      <c r="E1241" t="inlineStr">
        <is>
          <t>NULL</t>
        </is>
      </c>
      <c r="F1241" t="inlineStr">
        <is>
          <t>NULL</t>
        </is>
      </c>
      <c r="G1241" t="inlineStr">
        <is>
          <t>NULL</t>
        </is>
      </c>
      <c r="H1241" t="inlineStr">
        <is>
          <t>NULL</t>
        </is>
      </c>
      <c r="I1241" t="inlineStr">
        <is>
          <t>NULL</t>
        </is>
      </c>
      <c r="J1241" t="inlineStr">
        <is>
          <t>NULL</t>
        </is>
      </c>
      <c r="K1241" t="inlineStr">
        <is>
          <t>[0;32m YES! [0m 	 c_time4列源备映射正确，源端为time None位	期望更改为varchar(20)	实际备端为varchar 80位	位数精度不存在，通过长度比较</t>
        </is>
      </c>
    </row>
    <row r="1242">
      <c r="B1242" t="inlineStr">
        <is>
          <t>NULL</t>
        </is>
      </c>
      <c r="C1242" t="inlineStr">
        <is>
          <t>NULL</t>
        </is>
      </c>
      <c r="D1242" t="inlineStr">
        <is>
          <t>NULL</t>
        </is>
      </c>
      <c r="E1242" t="inlineStr">
        <is>
          <t>NULL</t>
        </is>
      </c>
      <c r="F1242" t="inlineStr">
        <is>
          <t>NULL</t>
        </is>
      </c>
      <c r="G1242" t="inlineStr">
        <is>
          <t>NULL</t>
        </is>
      </c>
      <c r="H1242" t="inlineStr">
        <is>
          <t>NULL</t>
        </is>
      </c>
      <c r="I1242" t="inlineStr">
        <is>
          <t>NULL</t>
        </is>
      </c>
      <c r="J1242" t="inlineStr">
        <is>
          <t>NULL</t>
        </is>
      </c>
      <c r="K1242" t="inlineStr">
        <is>
          <t>[0;32m YES! [0m 	 c_time5列源备映射正确，源端为time None位	期望更改为varchar(20)	实际备端为varchar 80位	位数精度不存在，通过长度比较</t>
        </is>
      </c>
    </row>
    <row r="1243">
      <c r="B1243" t="inlineStr">
        <is>
          <t>NULL</t>
        </is>
      </c>
      <c r="C1243" t="inlineStr">
        <is>
          <t>NULL</t>
        </is>
      </c>
      <c r="D1243" t="inlineStr">
        <is>
          <t>NULL</t>
        </is>
      </c>
      <c r="E1243" t="inlineStr">
        <is>
          <t>NULL</t>
        </is>
      </c>
      <c r="F1243" t="inlineStr">
        <is>
          <t>NULL</t>
        </is>
      </c>
      <c r="G1243" t="inlineStr">
        <is>
          <t>NULL</t>
        </is>
      </c>
      <c r="H1243" t="inlineStr">
        <is>
          <t>NULL</t>
        </is>
      </c>
      <c r="I1243" t="inlineStr">
        <is>
          <t>NULL</t>
        </is>
      </c>
      <c r="J1243" t="inlineStr">
        <is>
          <t>NULL</t>
        </is>
      </c>
      <c r="K1243" t="inlineStr">
        <is>
          <t>[0;32m YES! [0m 	 c_time6列源备映射正确，源端为time None位	期望更改为varchar(20)	实际备端为varchar 80位	位数精度不存在，通过长度比较</t>
        </is>
      </c>
    </row>
    <row r="1244">
      <c r="B1244" t="inlineStr">
        <is>
          <t>NULL</t>
        </is>
      </c>
      <c r="C1244" t="inlineStr">
        <is>
          <t>NO!源None备NUL</t>
        </is>
      </c>
      <c r="D1244" t="inlineStr">
        <is>
          <t>NULL</t>
        </is>
      </c>
      <c r="E1244" t="inlineStr">
        <is>
          <t>NULL</t>
        </is>
      </c>
      <c r="F1244" t="inlineStr">
        <is>
          <t>NULL</t>
        </is>
      </c>
      <c r="G1244" t="inlineStr">
        <is>
          <t>NULL</t>
        </is>
      </c>
      <c r="H1244" t="inlineStr">
        <is>
          <t>NULL</t>
        </is>
      </c>
      <c r="I1244" t="inlineStr">
        <is>
          <t>NULL</t>
        </is>
      </c>
      <c r="J1244" t="inlineStr">
        <is>
          <t>NULL</t>
        </is>
      </c>
      <c r="K1244" t="inlineStr">
        <is>
          <t>[0;32m YES! [0m 	 c_time列源备映射正确，源端为time None位	期望更改为varchar(20)	实际备端为varchar 80位	位数精度不存在，通过长度比较</t>
        </is>
      </c>
    </row>
    <row r="1245">
      <c r="A1245" t="inlineStr">
        <is>
          <t>info_datetime_dml_single_pk</t>
        </is>
      </c>
      <c r="K1245" t="inlineStr">
        <is>
          <t>[0;34m info_datetime_dml_single_pk [0m源备字段数相同，源端字段：2 	备端字段2</t>
        </is>
      </c>
      <c r="W1245" t="inlineStr">
        <is>
          <t>YES 源备无差异</t>
        </is>
      </c>
      <c r="X1245">
        <f>A1245</f>
        <v/>
      </c>
    </row>
    <row r="1246">
      <c r="B1246" t="inlineStr">
        <is>
          <t>YES</t>
        </is>
      </c>
      <c r="C1246" t="inlineStr">
        <is>
          <t>NULL</t>
        </is>
      </c>
      <c r="D1246" t="inlineStr">
        <is>
          <t>NULL</t>
        </is>
      </c>
      <c r="E1246" t="inlineStr">
        <is>
          <t>NULL</t>
        </is>
      </c>
      <c r="F1246" t="inlineStr">
        <is>
          <t>NULL</t>
        </is>
      </c>
      <c r="G1246" t="inlineStr">
        <is>
          <t>NULL</t>
        </is>
      </c>
      <c r="H1246" t="inlineStr">
        <is>
          <t>NULL</t>
        </is>
      </c>
      <c r="I1246" t="inlineStr">
        <is>
          <t>YES!PK__info_dat__3213E83FFC8EEB2A</t>
        </is>
      </c>
      <c r="J1246" t="inlineStr">
        <is>
          <t>YES! 主键相关索引</t>
        </is>
      </c>
      <c r="K1246" t="inlineStr">
        <is>
          <t>YES! 	 id列源备映射正确，源端为int None位	期望更改为int	实际备端为int None位</t>
        </is>
      </c>
    </row>
    <row r="1247">
      <c r="B1247" t="inlineStr">
        <is>
          <t>NULL</t>
        </is>
      </c>
      <c r="C1247" t="inlineStr">
        <is>
          <t>NULL</t>
        </is>
      </c>
      <c r="D1247" t="inlineStr">
        <is>
          <t>NULL</t>
        </is>
      </c>
      <c r="E1247" t="inlineStr">
        <is>
          <t>NULL</t>
        </is>
      </c>
      <c r="F1247" t="inlineStr">
        <is>
          <t>NULL</t>
        </is>
      </c>
      <c r="G1247" t="inlineStr">
        <is>
          <t>NULL</t>
        </is>
      </c>
      <c r="H1247" t="inlineStr">
        <is>
          <t>NULL</t>
        </is>
      </c>
      <c r="I1247" t="inlineStr">
        <is>
          <t>NULL</t>
        </is>
      </c>
      <c r="J1247" t="inlineStr">
        <is>
          <t>NULL</t>
        </is>
      </c>
      <c r="K1247" t="inlineStr">
        <is>
          <t>YES! 	 c_datetime列源备映射正确，源端为datetime None位	期望更改为datetime(3)	实际备端为datetime None位</t>
        </is>
      </c>
    </row>
    <row r="1248">
      <c r="A1248" t="inlineStr">
        <is>
          <t>info_time_dml_single_nopk_irp</t>
        </is>
      </c>
      <c r="K1248" t="inlineStr">
        <is>
          <t>[0;34m info_time_dml_single_nopk_irp [0m源备字段数相同，源端字段：9 	备端字段9</t>
        </is>
      </c>
      <c r="W1248" t="inlineStr">
        <is>
          <t>YES 源备无差异</t>
        </is>
      </c>
      <c r="X1248">
        <f>A1248</f>
        <v/>
      </c>
    </row>
    <row r="1249">
      <c r="B1249" t="inlineStr">
        <is>
          <t>NULL</t>
        </is>
      </c>
      <c r="C1249" t="inlineStr">
        <is>
          <t>NULL</t>
        </is>
      </c>
      <c r="D1249" t="inlineStr">
        <is>
          <t>NULL</t>
        </is>
      </c>
      <c r="E1249" t="inlineStr">
        <is>
          <t>NULL</t>
        </is>
      </c>
      <c r="F1249" t="inlineStr">
        <is>
          <t>NULL</t>
        </is>
      </c>
      <c r="G1249" t="inlineStr">
        <is>
          <t>NULL</t>
        </is>
      </c>
      <c r="H1249" t="inlineStr">
        <is>
          <t>NULL</t>
        </is>
      </c>
      <c r="I1249" t="inlineStr">
        <is>
          <t>NULL</t>
        </is>
      </c>
      <c r="J1249" t="inlineStr">
        <is>
          <t>NULL</t>
        </is>
      </c>
      <c r="K1249" t="inlineStr">
        <is>
          <t>YES! 	 id列源备映射正确，源端为int None位	期望更改为int	实际备端为int None位</t>
        </is>
      </c>
    </row>
    <row r="1250">
      <c r="B1250" t="inlineStr">
        <is>
          <t>NULL</t>
        </is>
      </c>
      <c r="C1250" t="inlineStr">
        <is>
          <t>NULL</t>
        </is>
      </c>
      <c r="D1250" t="inlineStr">
        <is>
          <t>NULL</t>
        </is>
      </c>
      <c r="E1250" t="inlineStr">
        <is>
          <t>NULL</t>
        </is>
      </c>
      <c r="F1250" t="inlineStr">
        <is>
          <t>NULL</t>
        </is>
      </c>
      <c r="G1250" t="inlineStr">
        <is>
          <t>NULL</t>
        </is>
      </c>
      <c r="H1250" t="inlineStr">
        <is>
          <t>NULL</t>
        </is>
      </c>
      <c r="I1250" t="inlineStr">
        <is>
          <t>NULL</t>
        </is>
      </c>
      <c r="J1250" t="inlineStr">
        <is>
          <t>NULL</t>
        </is>
      </c>
      <c r="K1250" t="inlineStr">
        <is>
          <t>[0;32m YES! [0m 	 c_time0列源备映射正确，源端为time None位	期望更改为varchar(20)	实际备端为varchar 80位	位数精度不存在，通过长度比较</t>
        </is>
      </c>
    </row>
    <row r="1251">
      <c r="B1251" t="inlineStr">
        <is>
          <t>NULL</t>
        </is>
      </c>
      <c r="C1251" t="inlineStr">
        <is>
          <t>NULL</t>
        </is>
      </c>
      <c r="D1251" t="inlineStr">
        <is>
          <t>NULL</t>
        </is>
      </c>
      <c r="E1251" t="inlineStr">
        <is>
          <t>NULL</t>
        </is>
      </c>
      <c r="F1251" t="inlineStr">
        <is>
          <t>NULL</t>
        </is>
      </c>
      <c r="G1251" t="inlineStr">
        <is>
          <t>NULL</t>
        </is>
      </c>
      <c r="H1251" t="inlineStr">
        <is>
          <t>NULL</t>
        </is>
      </c>
      <c r="I1251" t="inlineStr">
        <is>
          <t>NULL</t>
        </is>
      </c>
      <c r="J1251" t="inlineStr">
        <is>
          <t>NULL</t>
        </is>
      </c>
      <c r="K1251" t="inlineStr">
        <is>
          <t>[0;32m YES! [0m 	 c_time1列源备映射正确，源端为time None位	期望更改为varchar(20)	实际备端为varchar 80位	位数精度不存在，通过长度比较</t>
        </is>
      </c>
    </row>
    <row r="1252">
      <c r="B1252" t="inlineStr">
        <is>
          <t>NULL</t>
        </is>
      </c>
      <c r="C1252" t="inlineStr">
        <is>
          <t>NULL</t>
        </is>
      </c>
      <c r="D1252" t="inlineStr">
        <is>
          <t>NULL</t>
        </is>
      </c>
      <c r="E1252" t="inlineStr">
        <is>
          <t>NULL</t>
        </is>
      </c>
      <c r="F1252" t="inlineStr">
        <is>
          <t>NULL</t>
        </is>
      </c>
      <c r="G1252" t="inlineStr">
        <is>
          <t>NULL</t>
        </is>
      </c>
      <c r="H1252" t="inlineStr">
        <is>
          <t>NULL</t>
        </is>
      </c>
      <c r="I1252" t="inlineStr">
        <is>
          <t>NULL</t>
        </is>
      </c>
      <c r="J1252" t="inlineStr">
        <is>
          <t>NULL</t>
        </is>
      </c>
      <c r="K1252" t="inlineStr">
        <is>
          <t>[0;32m YES! [0m 	 c_time2列源备映射正确，源端为time None位	期望更改为varchar(20)	实际备端为varchar 80位	位数精度不存在，通过长度比较</t>
        </is>
      </c>
    </row>
    <row r="1253">
      <c r="B1253" t="inlineStr">
        <is>
          <t>NULL</t>
        </is>
      </c>
      <c r="C1253" t="inlineStr">
        <is>
          <t>NULL</t>
        </is>
      </c>
      <c r="D1253" t="inlineStr">
        <is>
          <t>NULL</t>
        </is>
      </c>
      <c r="E1253" t="inlineStr">
        <is>
          <t>NULL</t>
        </is>
      </c>
      <c r="F1253" t="inlineStr">
        <is>
          <t>NULL</t>
        </is>
      </c>
      <c r="G1253" t="inlineStr">
        <is>
          <t>NULL</t>
        </is>
      </c>
      <c r="H1253" t="inlineStr">
        <is>
          <t>NULL</t>
        </is>
      </c>
      <c r="I1253" t="inlineStr">
        <is>
          <t>NULL</t>
        </is>
      </c>
      <c r="J1253" t="inlineStr">
        <is>
          <t>NULL</t>
        </is>
      </c>
      <c r="K1253" t="inlineStr">
        <is>
          <t>[0;32m YES! [0m 	 c_time3列源备映射正确，源端为time None位	期望更改为varchar(20)	实际备端为varchar 80位	位数精度不存在，通过长度比较</t>
        </is>
      </c>
    </row>
    <row r="1254">
      <c r="B1254" t="inlineStr">
        <is>
          <t>NULL</t>
        </is>
      </c>
      <c r="C1254" t="inlineStr">
        <is>
          <t>NULL</t>
        </is>
      </c>
      <c r="D1254" t="inlineStr">
        <is>
          <t>NULL</t>
        </is>
      </c>
      <c r="E1254" t="inlineStr">
        <is>
          <t>NULL</t>
        </is>
      </c>
      <c r="F1254" t="inlineStr">
        <is>
          <t>NULL</t>
        </is>
      </c>
      <c r="G1254" t="inlineStr">
        <is>
          <t>NULL</t>
        </is>
      </c>
      <c r="H1254" t="inlineStr">
        <is>
          <t>NULL</t>
        </is>
      </c>
      <c r="I1254" t="inlineStr">
        <is>
          <t>NULL</t>
        </is>
      </c>
      <c r="J1254" t="inlineStr">
        <is>
          <t>NULL</t>
        </is>
      </c>
      <c r="K1254" t="inlineStr">
        <is>
          <t>[0;32m YES! [0m 	 c_time4列源备映射正确，源端为time None位	期望更改为varchar(20)	实际备端为varchar 80位	位数精度不存在，通过长度比较</t>
        </is>
      </c>
    </row>
    <row r="1255">
      <c r="B1255" t="inlineStr">
        <is>
          <t>NULL</t>
        </is>
      </c>
      <c r="C1255" t="inlineStr">
        <is>
          <t>NULL</t>
        </is>
      </c>
      <c r="D1255" t="inlineStr">
        <is>
          <t>NULL</t>
        </is>
      </c>
      <c r="E1255" t="inlineStr">
        <is>
          <t>NULL</t>
        </is>
      </c>
      <c r="F1255" t="inlineStr">
        <is>
          <t>NULL</t>
        </is>
      </c>
      <c r="G1255" t="inlineStr">
        <is>
          <t>NULL</t>
        </is>
      </c>
      <c r="H1255" t="inlineStr">
        <is>
          <t>NULL</t>
        </is>
      </c>
      <c r="I1255" t="inlineStr">
        <is>
          <t>NULL</t>
        </is>
      </c>
      <c r="J1255" t="inlineStr">
        <is>
          <t>NULL</t>
        </is>
      </c>
      <c r="K1255" t="inlineStr">
        <is>
          <t>[0;32m YES! [0m 	 c_time5列源备映射正确，源端为time None位	期望更改为varchar(20)	实际备端为varchar 80位	位数精度不存在，通过长度比较</t>
        </is>
      </c>
    </row>
    <row r="1256">
      <c r="B1256" t="inlineStr">
        <is>
          <t>NULL</t>
        </is>
      </c>
      <c r="C1256" t="inlineStr">
        <is>
          <t>NULL</t>
        </is>
      </c>
      <c r="D1256" t="inlineStr">
        <is>
          <t>NULL</t>
        </is>
      </c>
      <c r="E1256" t="inlineStr">
        <is>
          <t>NULL</t>
        </is>
      </c>
      <c r="F1256" t="inlineStr">
        <is>
          <t>NULL</t>
        </is>
      </c>
      <c r="G1256" t="inlineStr">
        <is>
          <t>NULL</t>
        </is>
      </c>
      <c r="H1256" t="inlineStr">
        <is>
          <t>NULL</t>
        </is>
      </c>
      <c r="I1256" t="inlineStr">
        <is>
          <t>NULL</t>
        </is>
      </c>
      <c r="J1256" t="inlineStr">
        <is>
          <t>NULL</t>
        </is>
      </c>
      <c r="K1256" t="inlineStr">
        <is>
          <t>[0;32m YES! [0m 	 c_time6列源备映射正确，源端为time None位	期望更改为varchar(20)	实际备端为varchar 80位	位数精度不存在，通过长度比较</t>
        </is>
      </c>
    </row>
    <row r="1257">
      <c r="B1257" t="inlineStr">
        <is>
          <t>NULL</t>
        </is>
      </c>
      <c r="C1257" t="inlineStr">
        <is>
          <t>NO!源None备NUL</t>
        </is>
      </c>
      <c r="D1257" t="inlineStr">
        <is>
          <t>NULL</t>
        </is>
      </c>
      <c r="E1257" t="inlineStr">
        <is>
          <t>NULL</t>
        </is>
      </c>
      <c r="F1257" t="inlineStr">
        <is>
          <t>NULL</t>
        </is>
      </c>
      <c r="G1257" t="inlineStr">
        <is>
          <t>NULL</t>
        </is>
      </c>
      <c r="H1257" t="inlineStr">
        <is>
          <t>NULL</t>
        </is>
      </c>
      <c r="I1257" t="inlineStr">
        <is>
          <t>NULL</t>
        </is>
      </c>
      <c r="J1257" t="inlineStr">
        <is>
          <t>NULL</t>
        </is>
      </c>
      <c r="K1257" t="inlineStr">
        <is>
          <t>[0;32m YES! [0m 	 c_time列源备映射正确，源端为time None位	期望更改为varchar(20)	实际备端为varchar 80位	位数精度不存在，通过长度比较</t>
        </is>
      </c>
    </row>
    <row r="1258">
      <c r="A1258" t="inlineStr">
        <is>
          <t>info_nvarchar_dml_batch1_pk_drp2</t>
        </is>
      </c>
      <c r="K1258" t="inlineStr">
        <is>
          <t>[0;34m info_nvarchar_dml_batch1_pk_drp2 [0m源备字段数相同，源端字段：4 	备端字段4</t>
        </is>
      </c>
      <c r="W1258" t="inlineStr">
        <is>
          <t>YES 源备无差异</t>
        </is>
      </c>
      <c r="X1258">
        <f>A1258</f>
        <v/>
      </c>
    </row>
    <row r="1259">
      <c r="B1259" t="inlineStr">
        <is>
          <t>YES</t>
        </is>
      </c>
      <c r="C1259" t="inlineStr">
        <is>
          <t>NULL</t>
        </is>
      </c>
      <c r="D1259" t="inlineStr">
        <is>
          <t>NULL</t>
        </is>
      </c>
      <c r="E1259" t="inlineStr">
        <is>
          <t>NULL</t>
        </is>
      </c>
      <c r="F1259" t="inlineStr">
        <is>
          <t>NULL</t>
        </is>
      </c>
      <c r="G1259" t="inlineStr">
        <is>
          <t>NULL</t>
        </is>
      </c>
      <c r="H1259" t="inlineStr">
        <is>
          <t>NULL</t>
        </is>
      </c>
      <c r="I1259" t="inlineStr">
        <is>
          <t>YES!PK__info_nva__3213E83FF3212B0C</t>
        </is>
      </c>
      <c r="J1259" t="inlineStr">
        <is>
          <t>YES! 主键相关索引</t>
        </is>
      </c>
      <c r="K1259" t="inlineStr">
        <is>
          <t>YES! 	 id列源备映射正确，源端为int None位	期望更改为int	实际备端为int None位</t>
        </is>
      </c>
    </row>
    <row r="1260">
      <c r="B1260" t="inlineStr">
        <is>
          <t>NULL</t>
        </is>
      </c>
      <c r="C1260" t="inlineStr">
        <is>
          <t>NULL</t>
        </is>
      </c>
      <c r="D1260" t="inlineStr">
        <is>
          <t>NULL</t>
        </is>
      </c>
      <c r="E1260" t="inlineStr">
        <is>
          <t>NULL</t>
        </is>
      </c>
      <c r="F1260" t="inlineStr">
        <is>
          <t>NULL</t>
        </is>
      </c>
      <c r="G1260" t="inlineStr">
        <is>
          <t>NULL</t>
        </is>
      </c>
      <c r="H1260" t="inlineStr">
        <is>
          <t>NULL</t>
        </is>
      </c>
      <c r="I1260" t="inlineStr">
        <is>
          <t>NULL</t>
        </is>
      </c>
      <c r="J1260" t="inlineStr">
        <is>
          <t>NULL</t>
        </is>
      </c>
      <c r="K1260" t="inlineStr">
        <is>
          <t>YES! 	 c_nvarchar列源备映射正确，源端为nvarchar 2位	期望更改为varchar(n)	实际备端为varchar 4位</t>
        </is>
      </c>
    </row>
    <row r="1261">
      <c r="B1261" t="inlineStr">
        <is>
          <t>NULL</t>
        </is>
      </c>
      <c r="C1261" t="inlineStr">
        <is>
          <t>NULL</t>
        </is>
      </c>
      <c r="D1261" t="inlineStr">
        <is>
          <t>NULL</t>
        </is>
      </c>
      <c r="E1261" t="inlineStr">
        <is>
          <t>NULL</t>
        </is>
      </c>
      <c r="F1261" t="inlineStr">
        <is>
          <t>NULL</t>
        </is>
      </c>
      <c r="G1261" t="inlineStr">
        <is>
          <t>NULL</t>
        </is>
      </c>
      <c r="H1261" t="inlineStr">
        <is>
          <t>NULL</t>
        </is>
      </c>
      <c r="I1261" t="inlineStr">
        <is>
          <t>NULL</t>
        </is>
      </c>
      <c r="J1261" t="inlineStr">
        <is>
          <t>NULL</t>
        </is>
      </c>
      <c r="K1261" t="inlineStr">
        <is>
          <t>YES! 	 c_nvarchar20列源备映射正确，源端为nvarchar 40位	期望更改为varchar(n)	实际备端为varchar 80位</t>
        </is>
      </c>
    </row>
    <row r="1262">
      <c r="B1262" t="inlineStr">
        <is>
          <t>NULL</t>
        </is>
      </c>
      <c r="C1262" t="inlineStr">
        <is>
          <t>NULL</t>
        </is>
      </c>
      <c r="D1262" t="inlineStr">
        <is>
          <t>NULL</t>
        </is>
      </c>
      <c r="E1262" t="inlineStr">
        <is>
          <t>NULL</t>
        </is>
      </c>
      <c r="F1262" t="inlineStr">
        <is>
          <t>NULL</t>
        </is>
      </c>
      <c r="G1262" t="inlineStr">
        <is>
          <t>NULL</t>
        </is>
      </c>
      <c r="H1262" t="inlineStr">
        <is>
          <t>NULL</t>
        </is>
      </c>
      <c r="I1262" t="inlineStr">
        <is>
          <t>NULL</t>
        </is>
      </c>
      <c r="J1262" t="inlineStr">
        <is>
          <t>NULL</t>
        </is>
      </c>
      <c r="K1262" t="inlineStr">
        <is>
          <t xml:space="preserve"> NO!  	 c_nvarchar3500列源备映射错误，源端为nchar 7000位	期望更改为varchar(n)	实际备端为text 65535位</t>
        </is>
      </c>
    </row>
    <row r="1263">
      <c r="A1263" t="inlineStr">
        <is>
          <t>info_time_dml_single_nopk_drp</t>
        </is>
      </c>
      <c r="K1263" t="inlineStr">
        <is>
          <t>[0;34m info_time_dml_single_nopk_drp [0m源备字段数相同，源端字段：9 	备端字段9</t>
        </is>
      </c>
      <c r="W1263" t="inlineStr">
        <is>
          <t>YES 源备无差异</t>
        </is>
      </c>
      <c r="X1263">
        <f>A1263</f>
        <v/>
      </c>
    </row>
    <row r="1264">
      <c r="B1264" t="inlineStr">
        <is>
          <t>NULL</t>
        </is>
      </c>
      <c r="C1264" t="inlineStr">
        <is>
          <t>NULL</t>
        </is>
      </c>
      <c r="D1264" t="inlineStr">
        <is>
          <t>NULL</t>
        </is>
      </c>
      <c r="E1264" t="inlineStr">
        <is>
          <t>NULL</t>
        </is>
      </c>
      <c r="F1264" t="inlineStr">
        <is>
          <t>NULL</t>
        </is>
      </c>
      <c r="G1264" t="inlineStr">
        <is>
          <t>NULL</t>
        </is>
      </c>
      <c r="H1264" t="inlineStr">
        <is>
          <t>NULL</t>
        </is>
      </c>
      <c r="I1264" t="inlineStr">
        <is>
          <t>NULL</t>
        </is>
      </c>
      <c r="J1264" t="inlineStr">
        <is>
          <t>NULL</t>
        </is>
      </c>
      <c r="K1264" t="inlineStr">
        <is>
          <t>YES! 	 id列源备映射正确，源端为int None位	期望更改为int	实际备端为int None位</t>
        </is>
      </c>
    </row>
    <row r="1265">
      <c r="B1265" t="inlineStr">
        <is>
          <t>NULL</t>
        </is>
      </c>
      <c r="C1265" t="inlineStr">
        <is>
          <t>NULL</t>
        </is>
      </c>
      <c r="D1265" t="inlineStr">
        <is>
          <t>NULL</t>
        </is>
      </c>
      <c r="E1265" t="inlineStr">
        <is>
          <t>NULL</t>
        </is>
      </c>
      <c r="F1265" t="inlineStr">
        <is>
          <t>NULL</t>
        </is>
      </c>
      <c r="G1265" t="inlineStr">
        <is>
          <t>NULL</t>
        </is>
      </c>
      <c r="H1265" t="inlineStr">
        <is>
          <t>NULL</t>
        </is>
      </c>
      <c r="I1265" t="inlineStr">
        <is>
          <t>NULL</t>
        </is>
      </c>
      <c r="J1265" t="inlineStr">
        <is>
          <t>NULL</t>
        </is>
      </c>
      <c r="K1265" t="inlineStr">
        <is>
          <t>[0;32m YES! [0m 	 c_time0列源备映射正确，源端为time None位	期望更改为varchar(20)	实际备端为varchar 80位	位数精度不存在，通过长度比较</t>
        </is>
      </c>
    </row>
    <row r="1266">
      <c r="B1266" t="inlineStr">
        <is>
          <t>NULL</t>
        </is>
      </c>
      <c r="C1266" t="inlineStr">
        <is>
          <t>NULL</t>
        </is>
      </c>
      <c r="D1266" t="inlineStr">
        <is>
          <t>NULL</t>
        </is>
      </c>
      <c r="E1266" t="inlineStr">
        <is>
          <t>NULL</t>
        </is>
      </c>
      <c r="F1266" t="inlineStr">
        <is>
          <t>NULL</t>
        </is>
      </c>
      <c r="G1266" t="inlineStr">
        <is>
          <t>NULL</t>
        </is>
      </c>
      <c r="H1266" t="inlineStr">
        <is>
          <t>NULL</t>
        </is>
      </c>
      <c r="I1266" t="inlineStr">
        <is>
          <t>NULL</t>
        </is>
      </c>
      <c r="J1266" t="inlineStr">
        <is>
          <t>NULL</t>
        </is>
      </c>
      <c r="K1266" t="inlineStr">
        <is>
          <t>[0;32m YES! [0m 	 c_time1列源备映射正确，源端为time None位	期望更改为varchar(20)	实际备端为varchar 80位	位数精度不存在，通过长度比较</t>
        </is>
      </c>
    </row>
    <row r="1267">
      <c r="B1267" t="inlineStr">
        <is>
          <t>NULL</t>
        </is>
      </c>
      <c r="C1267" t="inlineStr">
        <is>
          <t>NULL</t>
        </is>
      </c>
      <c r="D1267" t="inlineStr">
        <is>
          <t>NULL</t>
        </is>
      </c>
      <c r="E1267" t="inlineStr">
        <is>
          <t>NULL</t>
        </is>
      </c>
      <c r="F1267" t="inlineStr">
        <is>
          <t>NULL</t>
        </is>
      </c>
      <c r="G1267" t="inlineStr">
        <is>
          <t>NULL</t>
        </is>
      </c>
      <c r="H1267" t="inlineStr">
        <is>
          <t>NULL</t>
        </is>
      </c>
      <c r="I1267" t="inlineStr">
        <is>
          <t>NULL</t>
        </is>
      </c>
      <c r="J1267" t="inlineStr">
        <is>
          <t>NULL</t>
        </is>
      </c>
      <c r="K1267" t="inlineStr">
        <is>
          <t>[0;32m YES! [0m 	 c_time2列源备映射正确，源端为time None位	期望更改为varchar(20)	实际备端为varchar 80位	位数精度不存在，通过长度比较</t>
        </is>
      </c>
    </row>
    <row r="1268">
      <c r="B1268" t="inlineStr">
        <is>
          <t>NULL</t>
        </is>
      </c>
      <c r="C1268" t="inlineStr">
        <is>
          <t>NULL</t>
        </is>
      </c>
      <c r="D1268" t="inlineStr">
        <is>
          <t>NULL</t>
        </is>
      </c>
      <c r="E1268" t="inlineStr">
        <is>
          <t>NULL</t>
        </is>
      </c>
      <c r="F1268" t="inlineStr">
        <is>
          <t>NULL</t>
        </is>
      </c>
      <c r="G1268" t="inlineStr">
        <is>
          <t>NULL</t>
        </is>
      </c>
      <c r="H1268" t="inlineStr">
        <is>
          <t>NULL</t>
        </is>
      </c>
      <c r="I1268" t="inlineStr">
        <is>
          <t>NULL</t>
        </is>
      </c>
      <c r="J1268" t="inlineStr">
        <is>
          <t>NULL</t>
        </is>
      </c>
      <c r="K1268" t="inlineStr">
        <is>
          <t>[0;32m YES! [0m 	 c_time3列源备映射正确，源端为time None位	期望更改为varchar(20)	实际备端为varchar 80位	位数精度不存在，通过长度比较</t>
        </is>
      </c>
    </row>
    <row r="1269">
      <c r="B1269" t="inlineStr">
        <is>
          <t>NULL</t>
        </is>
      </c>
      <c r="C1269" t="inlineStr">
        <is>
          <t>NULL</t>
        </is>
      </c>
      <c r="D1269" t="inlineStr">
        <is>
          <t>NULL</t>
        </is>
      </c>
      <c r="E1269" t="inlineStr">
        <is>
          <t>NULL</t>
        </is>
      </c>
      <c r="F1269" t="inlineStr">
        <is>
          <t>NULL</t>
        </is>
      </c>
      <c r="G1269" t="inlineStr">
        <is>
          <t>NULL</t>
        </is>
      </c>
      <c r="H1269" t="inlineStr">
        <is>
          <t>NULL</t>
        </is>
      </c>
      <c r="I1269" t="inlineStr">
        <is>
          <t>NULL</t>
        </is>
      </c>
      <c r="J1269" t="inlineStr">
        <is>
          <t>NULL</t>
        </is>
      </c>
      <c r="K1269" t="inlineStr">
        <is>
          <t>[0;32m YES! [0m 	 c_time4列源备映射正确，源端为time None位	期望更改为varchar(20)	实际备端为varchar 80位	位数精度不存在，通过长度比较</t>
        </is>
      </c>
    </row>
    <row r="1270">
      <c r="B1270" t="inlineStr">
        <is>
          <t>NULL</t>
        </is>
      </c>
      <c r="C1270" t="inlineStr">
        <is>
          <t>NULL</t>
        </is>
      </c>
      <c r="D1270" t="inlineStr">
        <is>
          <t>NULL</t>
        </is>
      </c>
      <c r="E1270" t="inlineStr">
        <is>
          <t>NULL</t>
        </is>
      </c>
      <c r="F1270" t="inlineStr">
        <is>
          <t>NULL</t>
        </is>
      </c>
      <c r="G1270" t="inlineStr">
        <is>
          <t>NULL</t>
        </is>
      </c>
      <c r="H1270" t="inlineStr">
        <is>
          <t>NULL</t>
        </is>
      </c>
      <c r="I1270" t="inlineStr">
        <is>
          <t>NULL</t>
        </is>
      </c>
      <c r="J1270" t="inlineStr">
        <is>
          <t>NULL</t>
        </is>
      </c>
      <c r="K1270" t="inlineStr">
        <is>
          <t>[0;32m YES! [0m 	 c_time5列源备映射正确，源端为time None位	期望更改为varchar(20)	实际备端为varchar 80位	位数精度不存在，通过长度比较</t>
        </is>
      </c>
    </row>
    <row r="1271">
      <c r="B1271" t="inlineStr">
        <is>
          <t>NULL</t>
        </is>
      </c>
      <c r="C1271" t="inlineStr">
        <is>
          <t>NULL</t>
        </is>
      </c>
      <c r="D1271" t="inlineStr">
        <is>
          <t>NULL</t>
        </is>
      </c>
      <c r="E1271" t="inlineStr">
        <is>
          <t>NULL</t>
        </is>
      </c>
      <c r="F1271" t="inlineStr">
        <is>
          <t>NULL</t>
        </is>
      </c>
      <c r="G1271" t="inlineStr">
        <is>
          <t>NULL</t>
        </is>
      </c>
      <c r="H1271" t="inlineStr">
        <is>
          <t>NULL</t>
        </is>
      </c>
      <c r="I1271" t="inlineStr">
        <is>
          <t>NULL</t>
        </is>
      </c>
      <c r="J1271" t="inlineStr">
        <is>
          <t>NULL</t>
        </is>
      </c>
      <c r="K1271" t="inlineStr">
        <is>
          <t>[0;32m YES! [0m 	 c_time6列源备映射正确，源端为time None位	期望更改为varchar(20)	实际备端为varchar 80位	位数精度不存在，通过长度比较</t>
        </is>
      </c>
    </row>
    <row r="1272">
      <c r="B1272" t="inlineStr">
        <is>
          <t>NULL</t>
        </is>
      </c>
      <c r="C1272" t="inlineStr">
        <is>
          <t>NO!源None备NUL</t>
        </is>
      </c>
      <c r="D1272" t="inlineStr">
        <is>
          <t>NULL</t>
        </is>
      </c>
      <c r="E1272" t="inlineStr">
        <is>
          <t>NULL</t>
        </is>
      </c>
      <c r="F1272" t="inlineStr">
        <is>
          <t>NULL</t>
        </is>
      </c>
      <c r="G1272" t="inlineStr">
        <is>
          <t>NULL</t>
        </is>
      </c>
      <c r="H1272" t="inlineStr">
        <is>
          <t>NULL</t>
        </is>
      </c>
      <c r="I1272" t="inlineStr">
        <is>
          <t>NULL</t>
        </is>
      </c>
      <c r="J1272" t="inlineStr">
        <is>
          <t>NULL</t>
        </is>
      </c>
      <c r="K1272" t="inlineStr">
        <is>
          <t>[0;32m YES! [0m 	 c_time列源备映射正确，源端为time None位	期望更改为varchar(20)	实际备端为varchar 80位	位数精度不存在，通过长度比较</t>
        </is>
      </c>
    </row>
    <row r="1273">
      <c r="A1273" t="inlineStr">
        <is>
          <t>info_datetime2_dml_single_pk_irp</t>
        </is>
      </c>
      <c r="K1273" t="inlineStr">
        <is>
          <t>[0;34m info_datetime2_dml_single_pk_irp [0m源备字段数相同，源端字段：9 	备端字段9</t>
        </is>
      </c>
      <c r="W1273" t="inlineStr">
        <is>
          <t>YES 源备无差异</t>
        </is>
      </c>
      <c r="X1273">
        <f>A1273</f>
        <v/>
      </c>
    </row>
    <row r="1274">
      <c r="B1274" t="inlineStr">
        <is>
          <t>YES</t>
        </is>
      </c>
      <c r="C1274" t="inlineStr">
        <is>
          <t>NULL</t>
        </is>
      </c>
      <c r="D1274" t="inlineStr">
        <is>
          <t>NULL</t>
        </is>
      </c>
      <c r="E1274" t="inlineStr">
        <is>
          <t>NULL</t>
        </is>
      </c>
      <c r="F1274" t="inlineStr">
        <is>
          <t>NULL</t>
        </is>
      </c>
      <c r="G1274" t="inlineStr">
        <is>
          <t>NULL</t>
        </is>
      </c>
      <c r="H1274" t="inlineStr">
        <is>
          <t>NULL</t>
        </is>
      </c>
      <c r="I1274" t="inlineStr">
        <is>
          <t>YES!PK__info_dat__3213E83F033181D9</t>
        </is>
      </c>
      <c r="J1274" t="inlineStr">
        <is>
          <t>YES! 主键相关索引</t>
        </is>
      </c>
      <c r="K1274" t="inlineStr">
        <is>
          <t>YES! 	 id列源备映射正确，源端为int None位	期望更改为int	实际备端为int None位</t>
        </is>
      </c>
    </row>
    <row r="1275">
      <c r="B1275" t="inlineStr">
        <is>
          <t>NULL</t>
        </is>
      </c>
      <c r="C1275" t="inlineStr">
        <is>
          <t>NULL</t>
        </is>
      </c>
      <c r="D1275" t="inlineStr">
        <is>
          <t>NULL</t>
        </is>
      </c>
      <c r="E1275" t="inlineStr">
        <is>
          <t>NULL</t>
        </is>
      </c>
      <c r="F1275" t="inlineStr">
        <is>
          <t>NULL</t>
        </is>
      </c>
      <c r="G1275" t="inlineStr">
        <is>
          <t>NULL</t>
        </is>
      </c>
      <c r="H1275" t="inlineStr">
        <is>
          <t>NULL</t>
        </is>
      </c>
      <c r="I1275" t="inlineStr">
        <is>
          <t>NULL</t>
        </is>
      </c>
      <c r="J1275" t="inlineStr">
        <is>
          <t>NULL</t>
        </is>
      </c>
      <c r="K1275" t="inlineStr">
        <is>
          <t>no,len不存在</t>
        </is>
      </c>
    </row>
    <row r="1276">
      <c r="B1276" t="inlineStr">
        <is>
          <t>NULL</t>
        </is>
      </c>
      <c r="C1276" t="inlineStr">
        <is>
          <t>NULL</t>
        </is>
      </c>
      <c r="D1276" t="inlineStr">
        <is>
          <t>NULL</t>
        </is>
      </c>
      <c r="E1276" t="inlineStr">
        <is>
          <t>NULL</t>
        </is>
      </c>
      <c r="F1276" t="inlineStr">
        <is>
          <t>NULL</t>
        </is>
      </c>
      <c r="G1276" t="inlineStr">
        <is>
          <t>NULL</t>
        </is>
      </c>
      <c r="H1276" t="inlineStr">
        <is>
          <t>NULL</t>
        </is>
      </c>
      <c r="I1276" t="inlineStr">
        <is>
          <t>NULL</t>
        </is>
      </c>
      <c r="J1276" t="inlineStr">
        <is>
          <t>NULL</t>
        </is>
      </c>
      <c r="K1276" t="inlineStr">
        <is>
          <t>YES! 	 c_dt2_1列源备映射正确，源端为datetime2 None位	期望更改为datetime(n)	实际备端为datetime None位</t>
        </is>
      </c>
    </row>
    <row r="1277">
      <c r="B1277" t="inlineStr">
        <is>
          <t>NULL</t>
        </is>
      </c>
      <c r="C1277" t="inlineStr">
        <is>
          <t>NULL</t>
        </is>
      </c>
      <c r="D1277" t="inlineStr">
        <is>
          <t>NULL</t>
        </is>
      </c>
      <c r="E1277" t="inlineStr">
        <is>
          <t>NULL</t>
        </is>
      </c>
      <c r="F1277" t="inlineStr">
        <is>
          <t>NULL</t>
        </is>
      </c>
      <c r="G1277" t="inlineStr">
        <is>
          <t>NULL</t>
        </is>
      </c>
      <c r="H1277" t="inlineStr">
        <is>
          <t>NULL</t>
        </is>
      </c>
      <c r="I1277" t="inlineStr">
        <is>
          <t>NULL</t>
        </is>
      </c>
      <c r="J1277" t="inlineStr">
        <is>
          <t>NULL</t>
        </is>
      </c>
      <c r="K1277" t="inlineStr">
        <is>
          <t>YES! 	 c_dt2_2列源备映射正确，源端为datetime2 None位	期望更改为datetime(n)	实际备端为datetime None位</t>
        </is>
      </c>
    </row>
    <row r="1278">
      <c r="B1278" t="inlineStr">
        <is>
          <t>NULL</t>
        </is>
      </c>
      <c r="C1278" t="inlineStr">
        <is>
          <t>NULL</t>
        </is>
      </c>
      <c r="D1278" t="inlineStr">
        <is>
          <t>NULL</t>
        </is>
      </c>
      <c r="E1278" t="inlineStr">
        <is>
          <t>NULL</t>
        </is>
      </c>
      <c r="F1278" t="inlineStr">
        <is>
          <t>NULL</t>
        </is>
      </c>
      <c r="G1278" t="inlineStr">
        <is>
          <t>NULL</t>
        </is>
      </c>
      <c r="H1278" t="inlineStr">
        <is>
          <t>NULL</t>
        </is>
      </c>
      <c r="I1278" t="inlineStr">
        <is>
          <t>NULL</t>
        </is>
      </c>
      <c r="J1278" t="inlineStr">
        <is>
          <t>NULL</t>
        </is>
      </c>
      <c r="K1278" t="inlineStr">
        <is>
          <t>YES! 	 c_dt2_3列源备映射正确，源端为datetime2 None位	期望更改为datetime(n)	实际备端为datetime None位</t>
        </is>
      </c>
    </row>
    <row r="1279">
      <c r="B1279" t="inlineStr">
        <is>
          <t>NULL</t>
        </is>
      </c>
      <c r="C1279" t="inlineStr">
        <is>
          <t>NULL</t>
        </is>
      </c>
      <c r="D1279" t="inlineStr">
        <is>
          <t>NULL</t>
        </is>
      </c>
      <c r="E1279" t="inlineStr">
        <is>
          <t>NULL</t>
        </is>
      </c>
      <c r="F1279" t="inlineStr">
        <is>
          <t>NULL</t>
        </is>
      </c>
      <c r="G1279" t="inlineStr">
        <is>
          <t>NULL</t>
        </is>
      </c>
      <c r="H1279" t="inlineStr">
        <is>
          <t>NULL</t>
        </is>
      </c>
      <c r="I1279" t="inlineStr">
        <is>
          <t>NULL</t>
        </is>
      </c>
      <c r="J1279" t="inlineStr">
        <is>
          <t>NULL</t>
        </is>
      </c>
      <c r="K1279" t="inlineStr">
        <is>
          <t>YES! 	 c_dt2_4列源备映射正确，源端为datetime2 None位	期望更改为datetime(n)	实际备端为datetime None位</t>
        </is>
      </c>
    </row>
    <row r="1280">
      <c r="B1280" t="inlineStr">
        <is>
          <t>NULL</t>
        </is>
      </c>
      <c r="C1280" t="inlineStr">
        <is>
          <t>NULL</t>
        </is>
      </c>
      <c r="D1280" t="inlineStr">
        <is>
          <t>NULL</t>
        </is>
      </c>
      <c r="E1280" t="inlineStr">
        <is>
          <t>NULL</t>
        </is>
      </c>
      <c r="F1280" t="inlineStr">
        <is>
          <t>NULL</t>
        </is>
      </c>
      <c r="G1280" t="inlineStr">
        <is>
          <t>NULL</t>
        </is>
      </c>
      <c r="H1280" t="inlineStr">
        <is>
          <t>NULL</t>
        </is>
      </c>
      <c r="I1280" t="inlineStr">
        <is>
          <t>NULL</t>
        </is>
      </c>
      <c r="J1280" t="inlineStr">
        <is>
          <t>NULL</t>
        </is>
      </c>
      <c r="K1280" t="inlineStr">
        <is>
          <t>YES! 	 c_dt2_5列源备映射正确，源端为datetime2 None位	期望更改为datetime(n)	实际备端为datetime None位</t>
        </is>
      </c>
    </row>
    <row r="1281">
      <c r="B1281" t="inlineStr">
        <is>
          <t>NULL</t>
        </is>
      </c>
      <c r="C1281" t="inlineStr">
        <is>
          <t>NULL</t>
        </is>
      </c>
      <c r="D1281" t="inlineStr">
        <is>
          <t>NULL</t>
        </is>
      </c>
      <c r="E1281" t="inlineStr">
        <is>
          <t>NULL</t>
        </is>
      </c>
      <c r="F1281" t="inlineStr">
        <is>
          <t>NULL</t>
        </is>
      </c>
      <c r="G1281" t="inlineStr">
        <is>
          <t>NULL</t>
        </is>
      </c>
      <c r="H1281" t="inlineStr">
        <is>
          <t>NULL</t>
        </is>
      </c>
      <c r="I1281" t="inlineStr">
        <is>
          <t>NULL</t>
        </is>
      </c>
      <c r="J1281" t="inlineStr">
        <is>
          <t>NULL</t>
        </is>
      </c>
      <c r="K1281" t="inlineStr">
        <is>
          <t>YES! 	 c_dt2_6列源备映射正确，源端为datetime2 None位	期望更改为datetime(n)	实际备端为datetime None位</t>
        </is>
      </c>
    </row>
    <row r="1282">
      <c r="B1282" t="inlineStr">
        <is>
          <t>NULL</t>
        </is>
      </c>
      <c r="C1282" t="inlineStr">
        <is>
          <t>NULL</t>
        </is>
      </c>
      <c r="D1282" t="inlineStr">
        <is>
          <t>NULL</t>
        </is>
      </c>
      <c r="E1282" t="inlineStr">
        <is>
          <t>NULL</t>
        </is>
      </c>
      <c r="F1282" t="inlineStr">
        <is>
          <t>NULL</t>
        </is>
      </c>
      <c r="G1282" t="inlineStr">
        <is>
          <t>NULL</t>
        </is>
      </c>
      <c r="H1282" t="inlineStr">
        <is>
          <t>NULL</t>
        </is>
      </c>
      <c r="I1282" t="inlineStr">
        <is>
          <t>NULL</t>
        </is>
      </c>
      <c r="J1282" t="inlineStr">
        <is>
          <t>NULL</t>
        </is>
      </c>
      <c r="K1282" t="inlineStr">
        <is>
          <t xml:space="preserve"> NO!  	 c_dt2列源备映射错误，源端为datetime2 None位	期望更改为datetime(n)	实际备端为varchar 136位</t>
        </is>
      </c>
    </row>
    <row r="1283">
      <c r="A1283" t="inlineStr">
        <is>
          <t>info_time_dml_single_nopk</t>
        </is>
      </c>
      <c r="K1283" t="inlineStr">
        <is>
          <t>[0;34m info_time_dml_single_nopk [0m源备字段数相同，源端字段：9 	备端字段9</t>
        </is>
      </c>
      <c r="W1283" t="inlineStr">
        <is>
          <t>YES 源备无差异</t>
        </is>
      </c>
      <c r="X1283">
        <f>A1283</f>
        <v/>
      </c>
    </row>
    <row r="1284">
      <c r="B1284" t="inlineStr">
        <is>
          <t>NULL</t>
        </is>
      </c>
      <c r="C1284" t="inlineStr">
        <is>
          <t>NULL</t>
        </is>
      </c>
      <c r="D1284" t="inlineStr">
        <is>
          <t>NULL</t>
        </is>
      </c>
      <c r="E1284" t="inlineStr">
        <is>
          <t>NULL</t>
        </is>
      </c>
      <c r="F1284" t="inlineStr">
        <is>
          <t>NULL</t>
        </is>
      </c>
      <c r="G1284" t="inlineStr">
        <is>
          <t>NULL</t>
        </is>
      </c>
      <c r="H1284" t="inlineStr">
        <is>
          <t>NULL</t>
        </is>
      </c>
      <c r="I1284" t="inlineStr">
        <is>
          <t>NULL</t>
        </is>
      </c>
      <c r="J1284" t="inlineStr">
        <is>
          <t>NULL</t>
        </is>
      </c>
      <c r="K1284" t="inlineStr">
        <is>
          <t>YES! 	 id列源备映射正确，源端为int None位	期望更改为int	实际备端为int None位</t>
        </is>
      </c>
    </row>
    <row r="1285">
      <c r="B1285" t="inlineStr">
        <is>
          <t>NULL</t>
        </is>
      </c>
      <c r="C1285" t="inlineStr">
        <is>
          <t>NULL</t>
        </is>
      </c>
      <c r="D1285" t="inlineStr">
        <is>
          <t>NULL</t>
        </is>
      </c>
      <c r="E1285" t="inlineStr">
        <is>
          <t>NULL</t>
        </is>
      </c>
      <c r="F1285" t="inlineStr">
        <is>
          <t>NULL</t>
        </is>
      </c>
      <c r="G1285" t="inlineStr">
        <is>
          <t>NULL</t>
        </is>
      </c>
      <c r="H1285" t="inlineStr">
        <is>
          <t>NULL</t>
        </is>
      </c>
      <c r="I1285" t="inlineStr">
        <is>
          <t>NULL</t>
        </is>
      </c>
      <c r="J1285" t="inlineStr">
        <is>
          <t>NULL</t>
        </is>
      </c>
      <c r="K1285" t="inlineStr">
        <is>
          <t>[0;32m YES! [0m 	 c_time0列源备映射正确，源端为time None位	期望更改为varchar(20)	实际备端为varchar 80位	位数精度不存在，通过长度比较</t>
        </is>
      </c>
    </row>
    <row r="1286">
      <c r="B1286" t="inlineStr">
        <is>
          <t>NULL</t>
        </is>
      </c>
      <c r="C1286" t="inlineStr">
        <is>
          <t>NULL</t>
        </is>
      </c>
      <c r="D1286" t="inlineStr">
        <is>
          <t>NULL</t>
        </is>
      </c>
      <c r="E1286" t="inlineStr">
        <is>
          <t>NULL</t>
        </is>
      </c>
      <c r="F1286" t="inlineStr">
        <is>
          <t>NULL</t>
        </is>
      </c>
      <c r="G1286" t="inlineStr">
        <is>
          <t>NULL</t>
        </is>
      </c>
      <c r="H1286" t="inlineStr">
        <is>
          <t>NULL</t>
        </is>
      </c>
      <c r="I1286" t="inlineStr">
        <is>
          <t>NULL</t>
        </is>
      </c>
      <c r="J1286" t="inlineStr">
        <is>
          <t>NULL</t>
        </is>
      </c>
      <c r="K1286" t="inlineStr">
        <is>
          <t>[0;32m YES! [0m 	 c_time1列源备映射正确，源端为time None位	期望更改为varchar(20)	实际备端为varchar 80位	位数精度不存在，通过长度比较</t>
        </is>
      </c>
    </row>
    <row r="1287">
      <c r="B1287" t="inlineStr">
        <is>
          <t>NULL</t>
        </is>
      </c>
      <c r="C1287" t="inlineStr">
        <is>
          <t>NULL</t>
        </is>
      </c>
      <c r="D1287" t="inlineStr">
        <is>
          <t>NULL</t>
        </is>
      </c>
      <c r="E1287" t="inlineStr">
        <is>
          <t>NULL</t>
        </is>
      </c>
      <c r="F1287" t="inlineStr">
        <is>
          <t>NULL</t>
        </is>
      </c>
      <c r="G1287" t="inlineStr">
        <is>
          <t>NULL</t>
        </is>
      </c>
      <c r="H1287" t="inlineStr">
        <is>
          <t>NULL</t>
        </is>
      </c>
      <c r="I1287" t="inlineStr">
        <is>
          <t>NULL</t>
        </is>
      </c>
      <c r="J1287" t="inlineStr">
        <is>
          <t>NULL</t>
        </is>
      </c>
      <c r="K1287" t="inlineStr">
        <is>
          <t>[0;32m YES! [0m 	 c_time2列源备映射正确，源端为time None位	期望更改为varchar(20)	实际备端为varchar 80位	位数精度不存在，通过长度比较</t>
        </is>
      </c>
    </row>
    <row r="1288">
      <c r="B1288" t="inlineStr">
        <is>
          <t>NULL</t>
        </is>
      </c>
      <c r="C1288" t="inlineStr">
        <is>
          <t>NULL</t>
        </is>
      </c>
      <c r="D1288" t="inlineStr">
        <is>
          <t>NULL</t>
        </is>
      </c>
      <c r="E1288" t="inlineStr">
        <is>
          <t>NULL</t>
        </is>
      </c>
      <c r="F1288" t="inlineStr">
        <is>
          <t>NULL</t>
        </is>
      </c>
      <c r="G1288" t="inlineStr">
        <is>
          <t>NULL</t>
        </is>
      </c>
      <c r="H1288" t="inlineStr">
        <is>
          <t>NULL</t>
        </is>
      </c>
      <c r="I1288" t="inlineStr">
        <is>
          <t>NULL</t>
        </is>
      </c>
      <c r="J1288" t="inlineStr">
        <is>
          <t>NULL</t>
        </is>
      </c>
      <c r="K1288" t="inlineStr">
        <is>
          <t>[0;32m YES! [0m 	 c_time3列源备映射正确，源端为time None位	期望更改为varchar(20)	实际备端为varchar 80位	位数精度不存在，通过长度比较</t>
        </is>
      </c>
    </row>
    <row r="1289">
      <c r="B1289" t="inlineStr">
        <is>
          <t>NULL</t>
        </is>
      </c>
      <c r="C1289" t="inlineStr">
        <is>
          <t>NULL</t>
        </is>
      </c>
      <c r="D1289" t="inlineStr">
        <is>
          <t>NULL</t>
        </is>
      </c>
      <c r="E1289" t="inlineStr">
        <is>
          <t>NULL</t>
        </is>
      </c>
      <c r="F1289" t="inlineStr">
        <is>
          <t>NULL</t>
        </is>
      </c>
      <c r="G1289" t="inlineStr">
        <is>
          <t>NULL</t>
        </is>
      </c>
      <c r="H1289" t="inlineStr">
        <is>
          <t>NULL</t>
        </is>
      </c>
      <c r="I1289" t="inlineStr">
        <is>
          <t>NULL</t>
        </is>
      </c>
      <c r="J1289" t="inlineStr">
        <is>
          <t>NULL</t>
        </is>
      </c>
      <c r="K1289" t="inlineStr">
        <is>
          <t>[0;32m YES! [0m 	 c_time4列源备映射正确，源端为time None位	期望更改为varchar(20)	实际备端为varchar 80位	位数精度不存在，通过长度比较</t>
        </is>
      </c>
    </row>
    <row r="1290">
      <c r="B1290" t="inlineStr">
        <is>
          <t>NULL</t>
        </is>
      </c>
      <c r="C1290" t="inlineStr">
        <is>
          <t>NULL</t>
        </is>
      </c>
      <c r="D1290" t="inlineStr">
        <is>
          <t>NULL</t>
        </is>
      </c>
      <c r="E1290" t="inlineStr">
        <is>
          <t>NULL</t>
        </is>
      </c>
      <c r="F1290" t="inlineStr">
        <is>
          <t>NULL</t>
        </is>
      </c>
      <c r="G1290" t="inlineStr">
        <is>
          <t>NULL</t>
        </is>
      </c>
      <c r="H1290" t="inlineStr">
        <is>
          <t>NULL</t>
        </is>
      </c>
      <c r="I1290" t="inlineStr">
        <is>
          <t>NULL</t>
        </is>
      </c>
      <c r="J1290" t="inlineStr">
        <is>
          <t>NULL</t>
        </is>
      </c>
      <c r="K1290" t="inlineStr">
        <is>
          <t>[0;32m YES! [0m 	 c_time5列源备映射正确，源端为time None位	期望更改为varchar(20)	实际备端为varchar 80位	位数精度不存在，通过长度比较</t>
        </is>
      </c>
    </row>
    <row r="1291">
      <c r="B1291" t="inlineStr">
        <is>
          <t>NULL</t>
        </is>
      </c>
      <c r="C1291" t="inlineStr">
        <is>
          <t>NULL</t>
        </is>
      </c>
      <c r="D1291" t="inlineStr">
        <is>
          <t>NULL</t>
        </is>
      </c>
      <c r="E1291" t="inlineStr">
        <is>
          <t>NULL</t>
        </is>
      </c>
      <c r="F1291" t="inlineStr">
        <is>
          <t>NULL</t>
        </is>
      </c>
      <c r="G1291" t="inlineStr">
        <is>
          <t>NULL</t>
        </is>
      </c>
      <c r="H1291" t="inlineStr">
        <is>
          <t>NULL</t>
        </is>
      </c>
      <c r="I1291" t="inlineStr">
        <is>
          <t>NULL</t>
        </is>
      </c>
      <c r="J1291" t="inlineStr">
        <is>
          <t>NULL</t>
        </is>
      </c>
      <c r="K1291" t="inlineStr">
        <is>
          <t>[0;32m YES! [0m 	 c_time6列源备映射正确，源端为time None位	期望更改为varchar(20)	实际备端为varchar 80位	位数精度不存在，通过长度比较</t>
        </is>
      </c>
    </row>
    <row r="1292">
      <c r="B1292" t="inlineStr">
        <is>
          <t>NULL</t>
        </is>
      </c>
      <c r="C1292" t="inlineStr">
        <is>
          <t>NO!源None备NUL</t>
        </is>
      </c>
      <c r="D1292" t="inlineStr">
        <is>
          <t>NULL</t>
        </is>
      </c>
      <c r="E1292" t="inlineStr">
        <is>
          <t>NULL</t>
        </is>
      </c>
      <c r="F1292" t="inlineStr">
        <is>
          <t>NULL</t>
        </is>
      </c>
      <c r="G1292" t="inlineStr">
        <is>
          <t>NULL</t>
        </is>
      </c>
      <c r="H1292" t="inlineStr">
        <is>
          <t>NULL</t>
        </is>
      </c>
      <c r="I1292" t="inlineStr">
        <is>
          <t>NULL</t>
        </is>
      </c>
      <c r="J1292" t="inlineStr">
        <is>
          <t>NULL</t>
        </is>
      </c>
      <c r="K1292" t="inlineStr">
        <is>
          <t>[0;32m YES! [0m 	 c_time列源备映射正确，源端为time None位	期望更改为varchar(20)	实际备端为varchar 80位	位数精度不存在，通过长度比较</t>
        </is>
      </c>
    </row>
    <row r="1293">
      <c r="A1293" t="inlineStr">
        <is>
          <t>info_datetimeoffset_dml_batch2_pk_irp2</t>
        </is>
      </c>
      <c r="K1293" t="inlineStr">
        <is>
          <t>[0;34m info_datetimeoffset_dml_batch2_pk_irp2 [0m源备字段数相同，源端字段：9 	备端字段9</t>
        </is>
      </c>
      <c r="W1293" t="inlineStr">
        <is>
          <t>YES 源备无差异</t>
        </is>
      </c>
      <c r="X1293">
        <f>A1293</f>
        <v/>
      </c>
    </row>
    <row r="1294">
      <c r="B1294" t="inlineStr">
        <is>
          <t>YES</t>
        </is>
      </c>
      <c r="C1294" t="inlineStr">
        <is>
          <t>NULL</t>
        </is>
      </c>
      <c r="D1294" t="inlineStr">
        <is>
          <t>NULL</t>
        </is>
      </c>
      <c r="E1294" t="inlineStr">
        <is>
          <t>NULL</t>
        </is>
      </c>
      <c r="F1294" t="inlineStr">
        <is>
          <t>NULL</t>
        </is>
      </c>
      <c r="G1294" t="inlineStr">
        <is>
          <t>NULL</t>
        </is>
      </c>
      <c r="H1294" t="inlineStr">
        <is>
          <t>NULL</t>
        </is>
      </c>
      <c r="I1294" t="inlineStr">
        <is>
          <t>YES!PK__info_dat__3213E83FAEDFA5B2</t>
        </is>
      </c>
      <c r="J1294" t="inlineStr">
        <is>
          <t>YES! 主键相关索引</t>
        </is>
      </c>
      <c r="K1294" t="inlineStr">
        <is>
          <t>YES! 	 id列源备映射正确，源端为int None位	期望更改为int	实际备端为int None位</t>
        </is>
      </c>
    </row>
    <row r="1295">
      <c r="B1295" t="inlineStr">
        <is>
          <t>NULL</t>
        </is>
      </c>
      <c r="C1295" t="inlineStr">
        <is>
          <t>NULL</t>
        </is>
      </c>
      <c r="D1295" t="inlineStr">
        <is>
          <t>NULL</t>
        </is>
      </c>
      <c r="E1295" t="inlineStr">
        <is>
          <t>NULL</t>
        </is>
      </c>
      <c r="F1295" t="inlineStr">
        <is>
          <t>NULL</t>
        </is>
      </c>
      <c r="G1295" t="inlineStr">
        <is>
          <t>NULL</t>
        </is>
      </c>
      <c r="H1295" t="inlineStr">
        <is>
          <t>NULL</t>
        </is>
      </c>
      <c r="I1295" t="inlineStr">
        <is>
          <t>NULL</t>
        </is>
      </c>
      <c r="J1295" t="inlineStr">
        <is>
          <t>NULL</t>
        </is>
      </c>
      <c r="K1295" t="inlineStr">
        <is>
          <t>[0;32m YES! [0m 	 c_dtoffset_0列源备映射正确，源端为datetimeoffset None位	期望更改为varchar(34)	实际备端为varchar 136位	位数精度不存在，通过长度比较</t>
        </is>
      </c>
    </row>
    <row r="1296">
      <c r="B1296" t="inlineStr">
        <is>
          <t>NULL</t>
        </is>
      </c>
      <c r="C1296" t="inlineStr">
        <is>
          <t>NULL</t>
        </is>
      </c>
      <c r="D1296" t="inlineStr">
        <is>
          <t>NULL</t>
        </is>
      </c>
      <c r="E1296" t="inlineStr">
        <is>
          <t>NULL</t>
        </is>
      </c>
      <c r="F1296" t="inlineStr">
        <is>
          <t>NULL</t>
        </is>
      </c>
      <c r="G1296" t="inlineStr">
        <is>
          <t>NULL</t>
        </is>
      </c>
      <c r="H1296" t="inlineStr">
        <is>
          <t>NULL</t>
        </is>
      </c>
      <c r="I1296" t="inlineStr">
        <is>
          <t>NULL</t>
        </is>
      </c>
      <c r="J1296" t="inlineStr">
        <is>
          <t>NULL</t>
        </is>
      </c>
      <c r="K1296" t="inlineStr">
        <is>
          <t>[0;32m YES! [0m 	 c_dtoffset_1列源备映射正确，源端为datetimeoffset None位	期望更改为varchar(34)	实际备端为varchar 136位	位数精度不存在，通过长度比较</t>
        </is>
      </c>
    </row>
    <row r="1297">
      <c r="B1297" t="inlineStr">
        <is>
          <t>NULL</t>
        </is>
      </c>
      <c r="C1297" t="inlineStr">
        <is>
          <t>NULL</t>
        </is>
      </c>
      <c r="D1297" t="inlineStr">
        <is>
          <t>NULL</t>
        </is>
      </c>
      <c r="E1297" t="inlineStr">
        <is>
          <t>NULL</t>
        </is>
      </c>
      <c r="F1297" t="inlineStr">
        <is>
          <t>NULL</t>
        </is>
      </c>
      <c r="G1297" t="inlineStr">
        <is>
          <t>NULL</t>
        </is>
      </c>
      <c r="H1297" t="inlineStr">
        <is>
          <t>NULL</t>
        </is>
      </c>
      <c r="I1297" t="inlineStr">
        <is>
          <t>NULL</t>
        </is>
      </c>
      <c r="J1297" t="inlineStr">
        <is>
          <t>NULL</t>
        </is>
      </c>
      <c r="K1297" t="inlineStr">
        <is>
          <t>[0;32m YES! [0m 	 c_dtoffset_2列源备映射正确，源端为datetimeoffset None位	期望更改为varchar(34)	实际备端为varchar 136位	位数精度不存在，通过长度比较</t>
        </is>
      </c>
    </row>
    <row r="1298">
      <c r="B1298" t="inlineStr">
        <is>
          <t>NULL</t>
        </is>
      </c>
      <c r="C1298" t="inlineStr">
        <is>
          <t>NULL</t>
        </is>
      </c>
      <c r="D1298" t="inlineStr">
        <is>
          <t>NULL</t>
        </is>
      </c>
      <c r="E1298" t="inlineStr">
        <is>
          <t>NULL</t>
        </is>
      </c>
      <c r="F1298" t="inlineStr">
        <is>
          <t>NULL</t>
        </is>
      </c>
      <c r="G1298" t="inlineStr">
        <is>
          <t>NULL</t>
        </is>
      </c>
      <c r="H1298" t="inlineStr">
        <is>
          <t>NULL</t>
        </is>
      </c>
      <c r="I1298" t="inlineStr">
        <is>
          <t>NULL</t>
        </is>
      </c>
      <c r="J1298" t="inlineStr">
        <is>
          <t>NULL</t>
        </is>
      </c>
      <c r="K1298" t="inlineStr">
        <is>
          <t>[0;32m YES! [0m 	 c_dtoffset_3列源备映射正确，源端为datetimeoffset None位	期望更改为varchar(34)	实际备端为varchar 136位	位数精度不存在，通过长度比较</t>
        </is>
      </c>
    </row>
    <row r="1299">
      <c r="B1299" t="inlineStr">
        <is>
          <t>NULL</t>
        </is>
      </c>
      <c r="C1299" t="inlineStr">
        <is>
          <t>NULL</t>
        </is>
      </c>
      <c r="D1299" t="inlineStr">
        <is>
          <t>NULL</t>
        </is>
      </c>
      <c r="E1299" t="inlineStr">
        <is>
          <t>NULL</t>
        </is>
      </c>
      <c r="F1299" t="inlineStr">
        <is>
          <t>NULL</t>
        </is>
      </c>
      <c r="G1299" t="inlineStr">
        <is>
          <t>NULL</t>
        </is>
      </c>
      <c r="H1299" t="inlineStr">
        <is>
          <t>NULL</t>
        </is>
      </c>
      <c r="I1299" t="inlineStr">
        <is>
          <t>NULL</t>
        </is>
      </c>
      <c r="J1299" t="inlineStr">
        <is>
          <t>NULL</t>
        </is>
      </c>
      <c r="K1299" t="inlineStr">
        <is>
          <t>[0;32m YES! [0m 	 c_dtoffset_4列源备映射正确，源端为datetimeoffset None位	期望更改为varchar(34)	实际备端为varchar 136位	位数精度不存在，通过长度比较</t>
        </is>
      </c>
    </row>
    <row r="1300">
      <c r="B1300" t="inlineStr">
        <is>
          <t>NULL</t>
        </is>
      </c>
      <c r="C1300" t="inlineStr">
        <is>
          <t>NULL</t>
        </is>
      </c>
      <c r="D1300" t="inlineStr">
        <is>
          <t>NULL</t>
        </is>
      </c>
      <c r="E1300" t="inlineStr">
        <is>
          <t>NULL</t>
        </is>
      </c>
      <c r="F1300" t="inlineStr">
        <is>
          <t>NULL</t>
        </is>
      </c>
      <c r="G1300" t="inlineStr">
        <is>
          <t>NULL</t>
        </is>
      </c>
      <c r="H1300" t="inlineStr">
        <is>
          <t>NULL</t>
        </is>
      </c>
      <c r="I1300" t="inlineStr">
        <is>
          <t>NULL</t>
        </is>
      </c>
      <c r="J1300" t="inlineStr">
        <is>
          <t>NULL</t>
        </is>
      </c>
      <c r="K1300" t="inlineStr">
        <is>
          <t>[0;32m YES! [0m 	 c_dtoffset_5列源备映射正确，源端为datetimeoffset None位	期望更改为varchar(34)	实际备端为varchar 136位	位数精度不存在，通过长度比较</t>
        </is>
      </c>
    </row>
    <row r="1301">
      <c r="B1301" t="inlineStr">
        <is>
          <t>NULL</t>
        </is>
      </c>
      <c r="C1301" t="inlineStr">
        <is>
          <t>NULL</t>
        </is>
      </c>
      <c r="D1301" t="inlineStr">
        <is>
          <t>NULL</t>
        </is>
      </c>
      <c r="E1301" t="inlineStr">
        <is>
          <t>NULL</t>
        </is>
      </c>
      <c r="F1301" t="inlineStr">
        <is>
          <t>NULL</t>
        </is>
      </c>
      <c r="G1301" t="inlineStr">
        <is>
          <t>NULL</t>
        </is>
      </c>
      <c r="H1301" t="inlineStr">
        <is>
          <t>NULL</t>
        </is>
      </c>
      <c r="I1301" t="inlineStr">
        <is>
          <t>NULL</t>
        </is>
      </c>
      <c r="J1301" t="inlineStr">
        <is>
          <t>NULL</t>
        </is>
      </c>
      <c r="K1301" t="inlineStr">
        <is>
          <t>[0;32m YES! [0m 	 c_dtoffset_6列源备映射正确，源端为datetimeoffset None位	期望更改为varchar(34)	实际备端为varchar 136位	位数精度不存在，通过长度比较</t>
        </is>
      </c>
    </row>
    <row r="1302">
      <c r="B1302" t="inlineStr">
        <is>
          <t>NULL</t>
        </is>
      </c>
      <c r="C1302" t="inlineStr">
        <is>
          <t>NULL</t>
        </is>
      </c>
      <c r="D1302" t="inlineStr">
        <is>
          <t>NULL</t>
        </is>
      </c>
      <c r="E1302" t="inlineStr">
        <is>
          <t>NULL</t>
        </is>
      </c>
      <c r="F1302" t="inlineStr">
        <is>
          <t>NULL</t>
        </is>
      </c>
      <c r="G1302" t="inlineStr">
        <is>
          <t>NULL</t>
        </is>
      </c>
      <c r="H1302" t="inlineStr">
        <is>
          <t>NULL</t>
        </is>
      </c>
      <c r="I1302" t="inlineStr">
        <is>
          <t>NULL</t>
        </is>
      </c>
      <c r="J1302" t="inlineStr">
        <is>
          <t>NULL</t>
        </is>
      </c>
      <c r="K1302" t="inlineStr">
        <is>
          <t>[0;32m YES! [0m 	 c_dtoffset列源备映射正确，源端为datetimeoffset None位	期望更改为varchar(34)	实际备端为varchar 136位	位数精度不存在，通过长度比较</t>
        </is>
      </c>
    </row>
    <row r="1303">
      <c r="A1303" t="inlineStr">
        <is>
          <t>info_nvarchar_dml_batch1_pk</t>
        </is>
      </c>
      <c r="K1303" t="inlineStr">
        <is>
          <t>[0;34m info_nvarchar_dml_batch1_pk [0m源备字段数相同，源端字段：4 	备端字段4</t>
        </is>
      </c>
      <c r="W1303" t="inlineStr">
        <is>
          <t>YES 源备无差异</t>
        </is>
      </c>
      <c r="X1303">
        <f>A1303</f>
        <v/>
      </c>
    </row>
    <row r="1304">
      <c r="B1304" t="inlineStr">
        <is>
          <t>YES</t>
        </is>
      </c>
      <c r="C1304" t="inlineStr">
        <is>
          <t>NULL</t>
        </is>
      </c>
      <c r="D1304" t="inlineStr">
        <is>
          <t>NULL</t>
        </is>
      </c>
      <c r="E1304" t="inlineStr">
        <is>
          <t>NULL</t>
        </is>
      </c>
      <c r="F1304" t="inlineStr">
        <is>
          <t>NULL</t>
        </is>
      </c>
      <c r="G1304" t="inlineStr">
        <is>
          <t>NULL</t>
        </is>
      </c>
      <c r="H1304" t="inlineStr">
        <is>
          <t>NULL</t>
        </is>
      </c>
      <c r="I1304" t="inlineStr">
        <is>
          <t>YES!PK__info_nva__3213E83F25B073D3</t>
        </is>
      </c>
      <c r="J1304" t="inlineStr">
        <is>
          <t>YES! 主键相关索引</t>
        </is>
      </c>
      <c r="K1304" t="inlineStr">
        <is>
          <t>YES! 	 id列源备映射正确，源端为int None位	期望更改为int	实际备端为int None位</t>
        </is>
      </c>
    </row>
    <row r="1305">
      <c r="B1305" t="inlineStr">
        <is>
          <t>NULL</t>
        </is>
      </c>
      <c r="C1305" t="inlineStr">
        <is>
          <t>NULL</t>
        </is>
      </c>
      <c r="D1305" t="inlineStr">
        <is>
          <t>NULL</t>
        </is>
      </c>
      <c r="E1305" t="inlineStr">
        <is>
          <t>NULL</t>
        </is>
      </c>
      <c r="F1305" t="inlineStr">
        <is>
          <t>NULL</t>
        </is>
      </c>
      <c r="G1305" t="inlineStr">
        <is>
          <t>NULL</t>
        </is>
      </c>
      <c r="H1305" t="inlineStr">
        <is>
          <t>NULL</t>
        </is>
      </c>
      <c r="I1305" t="inlineStr">
        <is>
          <t>NULL</t>
        </is>
      </c>
      <c r="J1305" t="inlineStr">
        <is>
          <t>NULL</t>
        </is>
      </c>
      <c r="K1305" t="inlineStr">
        <is>
          <t>YES! 	 c_nvarchar列源备映射正确，源端为nvarchar 2位	期望更改为varchar(n)	实际备端为varchar 4位</t>
        </is>
      </c>
    </row>
    <row r="1306">
      <c r="B1306" t="inlineStr">
        <is>
          <t>NULL</t>
        </is>
      </c>
      <c r="C1306" t="inlineStr">
        <is>
          <t>NULL</t>
        </is>
      </c>
      <c r="D1306" t="inlineStr">
        <is>
          <t>NULL</t>
        </is>
      </c>
      <c r="E1306" t="inlineStr">
        <is>
          <t>NULL</t>
        </is>
      </c>
      <c r="F1306" t="inlineStr">
        <is>
          <t>NULL</t>
        </is>
      </c>
      <c r="G1306" t="inlineStr">
        <is>
          <t>NULL</t>
        </is>
      </c>
      <c r="H1306" t="inlineStr">
        <is>
          <t>NULL</t>
        </is>
      </c>
      <c r="I1306" t="inlineStr">
        <is>
          <t>NULL</t>
        </is>
      </c>
      <c r="J1306" t="inlineStr">
        <is>
          <t>NULL</t>
        </is>
      </c>
      <c r="K1306" t="inlineStr">
        <is>
          <t>YES! 	 c_nvarchar20列源备映射正确，源端为nvarchar 40位	期望更改为varchar(n)	实际备端为varchar 80位</t>
        </is>
      </c>
    </row>
    <row r="1307">
      <c r="B1307" t="inlineStr">
        <is>
          <t>NULL</t>
        </is>
      </c>
      <c r="C1307" t="inlineStr">
        <is>
          <t>NULL</t>
        </is>
      </c>
      <c r="D1307" t="inlineStr">
        <is>
          <t>NULL</t>
        </is>
      </c>
      <c r="E1307" t="inlineStr">
        <is>
          <t>NULL</t>
        </is>
      </c>
      <c r="F1307" t="inlineStr">
        <is>
          <t>NULL</t>
        </is>
      </c>
      <c r="G1307" t="inlineStr">
        <is>
          <t>NULL</t>
        </is>
      </c>
      <c r="H1307" t="inlineStr">
        <is>
          <t>NULL</t>
        </is>
      </c>
      <c r="I1307" t="inlineStr">
        <is>
          <t>NULL</t>
        </is>
      </c>
      <c r="J1307" t="inlineStr">
        <is>
          <t>NULL</t>
        </is>
      </c>
      <c r="K1307" t="inlineStr">
        <is>
          <t xml:space="preserve"> NO!  	 c_nvarchar3500列源备映射错误，源端为nchar 7000位	期望更改为varchar(n)	实际备端为text 65535位</t>
        </is>
      </c>
    </row>
    <row r="1308">
      <c r="A1308" t="inlineStr">
        <is>
          <t>info_datetime2_dml_single_pk_urp</t>
        </is>
      </c>
      <c r="K1308" t="inlineStr">
        <is>
          <t>[0;34m info_datetime2_dml_single_pk_urp [0m源备字段数相同，源端字段：9 	备端字段9</t>
        </is>
      </c>
      <c r="W1308" t="inlineStr">
        <is>
          <t>YES 源备无差异</t>
        </is>
      </c>
      <c r="X1308">
        <f>A1308</f>
        <v/>
      </c>
    </row>
    <row r="1309">
      <c r="B1309" t="inlineStr">
        <is>
          <t>YES</t>
        </is>
      </c>
      <c r="C1309" t="inlineStr">
        <is>
          <t>NULL</t>
        </is>
      </c>
      <c r="D1309" t="inlineStr">
        <is>
          <t>NULL</t>
        </is>
      </c>
      <c r="E1309" t="inlineStr">
        <is>
          <t>NULL</t>
        </is>
      </c>
      <c r="F1309" t="inlineStr">
        <is>
          <t>NULL</t>
        </is>
      </c>
      <c r="G1309" t="inlineStr">
        <is>
          <t>NULL</t>
        </is>
      </c>
      <c r="H1309" t="inlineStr">
        <is>
          <t>NULL</t>
        </is>
      </c>
      <c r="I1309" t="inlineStr">
        <is>
          <t>YES!PK__info_dat__3213E83F2B423AF7</t>
        </is>
      </c>
      <c r="J1309" t="inlineStr">
        <is>
          <t>YES! 主键相关索引</t>
        </is>
      </c>
      <c r="K1309" t="inlineStr">
        <is>
          <t>YES! 	 id列源备映射正确，源端为int None位	期望更改为int	实际备端为int None位</t>
        </is>
      </c>
    </row>
    <row r="1310">
      <c r="B1310" t="inlineStr">
        <is>
          <t>NULL</t>
        </is>
      </c>
      <c r="C1310" t="inlineStr">
        <is>
          <t>NULL</t>
        </is>
      </c>
      <c r="D1310" t="inlineStr">
        <is>
          <t>NULL</t>
        </is>
      </c>
      <c r="E1310" t="inlineStr">
        <is>
          <t>NULL</t>
        </is>
      </c>
      <c r="F1310" t="inlineStr">
        <is>
          <t>NULL</t>
        </is>
      </c>
      <c r="G1310" t="inlineStr">
        <is>
          <t>NULL</t>
        </is>
      </c>
      <c r="H1310" t="inlineStr">
        <is>
          <t>NULL</t>
        </is>
      </c>
      <c r="I1310" t="inlineStr">
        <is>
          <t>NULL</t>
        </is>
      </c>
      <c r="J1310" t="inlineStr">
        <is>
          <t>NULL</t>
        </is>
      </c>
      <c r="K1310" t="inlineStr">
        <is>
          <t>no,len不存在</t>
        </is>
      </c>
    </row>
    <row r="1311">
      <c r="B1311" t="inlineStr">
        <is>
          <t>NULL</t>
        </is>
      </c>
      <c r="C1311" t="inlineStr">
        <is>
          <t>NULL</t>
        </is>
      </c>
      <c r="D1311" t="inlineStr">
        <is>
          <t>NULL</t>
        </is>
      </c>
      <c r="E1311" t="inlineStr">
        <is>
          <t>NULL</t>
        </is>
      </c>
      <c r="F1311" t="inlineStr">
        <is>
          <t>NULL</t>
        </is>
      </c>
      <c r="G1311" t="inlineStr">
        <is>
          <t>NULL</t>
        </is>
      </c>
      <c r="H1311" t="inlineStr">
        <is>
          <t>NULL</t>
        </is>
      </c>
      <c r="I1311" t="inlineStr">
        <is>
          <t>NULL</t>
        </is>
      </c>
      <c r="J1311" t="inlineStr">
        <is>
          <t>NULL</t>
        </is>
      </c>
      <c r="K1311" t="inlineStr">
        <is>
          <t>YES! 	 c_dt2_1列源备映射正确，源端为datetime2 None位	期望更改为datetime(n)	实际备端为datetime None位</t>
        </is>
      </c>
    </row>
    <row r="1312">
      <c r="B1312" t="inlineStr">
        <is>
          <t>NULL</t>
        </is>
      </c>
      <c r="C1312" t="inlineStr">
        <is>
          <t>NULL</t>
        </is>
      </c>
      <c r="D1312" t="inlineStr">
        <is>
          <t>NULL</t>
        </is>
      </c>
      <c r="E1312" t="inlineStr">
        <is>
          <t>NULL</t>
        </is>
      </c>
      <c r="F1312" t="inlineStr">
        <is>
          <t>NULL</t>
        </is>
      </c>
      <c r="G1312" t="inlineStr">
        <is>
          <t>NULL</t>
        </is>
      </c>
      <c r="H1312" t="inlineStr">
        <is>
          <t>NULL</t>
        </is>
      </c>
      <c r="I1312" t="inlineStr">
        <is>
          <t>NULL</t>
        </is>
      </c>
      <c r="J1312" t="inlineStr">
        <is>
          <t>NULL</t>
        </is>
      </c>
      <c r="K1312" t="inlineStr">
        <is>
          <t>YES! 	 c_dt2_2列源备映射正确，源端为datetime2 None位	期望更改为datetime(n)	实际备端为datetime None位</t>
        </is>
      </c>
    </row>
    <row r="1313">
      <c r="B1313" t="inlineStr">
        <is>
          <t>NULL</t>
        </is>
      </c>
      <c r="C1313" t="inlineStr">
        <is>
          <t>NULL</t>
        </is>
      </c>
      <c r="D1313" t="inlineStr">
        <is>
          <t>NULL</t>
        </is>
      </c>
      <c r="E1313" t="inlineStr">
        <is>
          <t>NULL</t>
        </is>
      </c>
      <c r="F1313" t="inlineStr">
        <is>
          <t>NULL</t>
        </is>
      </c>
      <c r="G1313" t="inlineStr">
        <is>
          <t>NULL</t>
        </is>
      </c>
      <c r="H1313" t="inlineStr">
        <is>
          <t>NULL</t>
        </is>
      </c>
      <c r="I1313" t="inlineStr">
        <is>
          <t>NULL</t>
        </is>
      </c>
      <c r="J1313" t="inlineStr">
        <is>
          <t>NULL</t>
        </is>
      </c>
      <c r="K1313" t="inlineStr">
        <is>
          <t>YES! 	 c_dt2_3列源备映射正确，源端为datetime2 None位	期望更改为datetime(n)	实际备端为datetime None位</t>
        </is>
      </c>
    </row>
    <row r="1314">
      <c r="B1314" t="inlineStr">
        <is>
          <t>NULL</t>
        </is>
      </c>
      <c r="C1314" t="inlineStr">
        <is>
          <t>NULL</t>
        </is>
      </c>
      <c r="D1314" t="inlineStr">
        <is>
          <t>NULL</t>
        </is>
      </c>
      <c r="E1314" t="inlineStr">
        <is>
          <t>NULL</t>
        </is>
      </c>
      <c r="F1314" t="inlineStr">
        <is>
          <t>NULL</t>
        </is>
      </c>
      <c r="G1314" t="inlineStr">
        <is>
          <t>NULL</t>
        </is>
      </c>
      <c r="H1314" t="inlineStr">
        <is>
          <t>NULL</t>
        </is>
      </c>
      <c r="I1314" t="inlineStr">
        <is>
          <t>NULL</t>
        </is>
      </c>
      <c r="J1314" t="inlineStr">
        <is>
          <t>NULL</t>
        </is>
      </c>
      <c r="K1314" t="inlineStr">
        <is>
          <t>YES! 	 c_dt2_4列源备映射正确，源端为datetime2 None位	期望更改为datetime(n)	实际备端为datetime None位</t>
        </is>
      </c>
    </row>
    <row r="1315">
      <c r="B1315" t="inlineStr">
        <is>
          <t>NULL</t>
        </is>
      </c>
      <c r="C1315" t="inlineStr">
        <is>
          <t>NULL</t>
        </is>
      </c>
      <c r="D1315" t="inlineStr">
        <is>
          <t>NULL</t>
        </is>
      </c>
      <c r="E1315" t="inlineStr">
        <is>
          <t>NULL</t>
        </is>
      </c>
      <c r="F1315" t="inlineStr">
        <is>
          <t>NULL</t>
        </is>
      </c>
      <c r="G1315" t="inlineStr">
        <is>
          <t>NULL</t>
        </is>
      </c>
      <c r="H1315" t="inlineStr">
        <is>
          <t>NULL</t>
        </is>
      </c>
      <c r="I1315" t="inlineStr">
        <is>
          <t>NULL</t>
        </is>
      </c>
      <c r="J1315" t="inlineStr">
        <is>
          <t>NULL</t>
        </is>
      </c>
      <c r="K1315" t="inlineStr">
        <is>
          <t>YES! 	 c_dt2_5列源备映射正确，源端为datetime2 None位	期望更改为datetime(n)	实际备端为datetime None位</t>
        </is>
      </c>
    </row>
    <row r="1316">
      <c r="B1316" t="inlineStr">
        <is>
          <t>NULL</t>
        </is>
      </c>
      <c r="C1316" t="inlineStr">
        <is>
          <t>NULL</t>
        </is>
      </c>
      <c r="D1316" t="inlineStr">
        <is>
          <t>NULL</t>
        </is>
      </c>
      <c r="E1316" t="inlineStr">
        <is>
          <t>NULL</t>
        </is>
      </c>
      <c r="F1316" t="inlineStr">
        <is>
          <t>NULL</t>
        </is>
      </c>
      <c r="G1316" t="inlineStr">
        <is>
          <t>NULL</t>
        </is>
      </c>
      <c r="H1316" t="inlineStr">
        <is>
          <t>NULL</t>
        </is>
      </c>
      <c r="I1316" t="inlineStr">
        <is>
          <t>NULL</t>
        </is>
      </c>
      <c r="J1316" t="inlineStr">
        <is>
          <t>NULL</t>
        </is>
      </c>
      <c r="K1316" t="inlineStr">
        <is>
          <t>YES! 	 c_dt2_6列源备映射正确，源端为datetime2 None位	期望更改为datetime(n)	实际备端为datetime None位</t>
        </is>
      </c>
    </row>
    <row r="1317">
      <c r="B1317" t="inlineStr">
        <is>
          <t>NULL</t>
        </is>
      </c>
      <c r="C1317" t="inlineStr">
        <is>
          <t>NULL</t>
        </is>
      </c>
      <c r="D1317" t="inlineStr">
        <is>
          <t>NULL</t>
        </is>
      </c>
      <c r="E1317" t="inlineStr">
        <is>
          <t>NULL</t>
        </is>
      </c>
      <c r="F1317" t="inlineStr">
        <is>
          <t>NULL</t>
        </is>
      </c>
      <c r="G1317" t="inlineStr">
        <is>
          <t>NULL</t>
        </is>
      </c>
      <c r="H1317" t="inlineStr">
        <is>
          <t>NULL</t>
        </is>
      </c>
      <c r="I1317" t="inlineStr">
        <is>
          <t>NULL</t>
        </is>
      </c>
      <c r="J1317" t="inlineStr">
        <is>
          <t>NULL</t>
        </is>
      </c>
      <c r="K1317" t="inlineStr">
        <is>
          <t xml:space="preserve"> NO!  	 c_dt2列源备映射错误，源端为datetime2 None位	期望更改为datetime(n)	实际备端为varchar 136位</t>
        </is>
      </c>
    </row>
    <row r="1318">
      <c r="A1318" t="inlineStr">
        <is>
          <t>info_sdt_dml_single_nopk_irp</t>
        </is>
      </c>
      <c r="K1318" t="inlineStr">
        <is>
          <t>[0;34m info_sdt_dml_single_nopk_irp [0m源备字段数相同，源端字段：2 	备端字段2</t>
        </is>
      </c>
      <c r="W1318" t="inlineStr">
        <is>
          <t>YES 源备无差异</t>
        </is>
      </c>
      <c r="X1318">
        <f>A1318</f>
        <v/>
      </c>
    </row>
    <row r="1319">
      <c r="B1319" t="inlineStr">
        <is>
          <t>NULL</t>
        </is>
      </c>
      <c r="C1319" t="inlineStr">
        <is>
          <t>NULL</t>
        </is>
      </c>
      <c r="D1319" t="inlineStr">
        <is>
          <t>NULL</t>
        </is>
      </c>
      <c r="E1319" t="inlineStr">
        <is>
          <t>NULL</t>
        </is>
      </c>
      <c r="F1319" t="inlineStr">
        <is>
          <t>NULL</t>
        </is>
      </c>
      <c r="G1319" t="inlineStr">
        <is>
          <t>NULL</t>
        </is>
      </c>
      <c r="H1319" t="inlineStr">
        <is>
          <t>NULL</t>
        </is>
      </c>
      <c r="I1319" t="inlineStr">
        <is>
          <t>NULL</t>
        </is>
      </c>
      <c r="J1319" t="inlineStr">
        <is>
          <t>NULL</t>
        </is>
      </c>
      <c r="K1319" t="inlineStr">
        <is>
          <t>YES! 	 id列源备映射正确，源端为int None位	期望更改为int	实际备端为int None位</t>
        </is>
      </c>
    </row>
    <row r="1320">
      <c r="B1320" t="inlineStr">
        <is>
          <t>NULL</t>
        </is>
      </c>
      <c r="C1320" t="inlineStr">
        <is>
          <t>NO!源None备NUL</t>
        </is>
      </c>
      <c r="D1320" t="inlineStr">
        <is>
          <t>NULL</t>
        </is>
      </c>
      <c r="E1320" t="inlineStr">
        <is>
          <t>NULL</t>
        </is>
      </c>
      <c r="F1320" t="inlineStr">
        <is>
          <t>NULL</t>
        </is>
      </c>
      <c r="G1320" t="inlineStr">
        <is>
          <t>NULL</t>
        </is>
      </c>
      <c r="H1320" t="inlineStr">
        <is>
          <t>NULL</t>
        </is>
      </c>
      <c r="I1320" t="inlineStr">
        <is>
          <t>NULL</t>
        </is>
      </c>
      <c r="J1320" t="inlineStr">
        <is>
          <t>NULL</t>
        </is>
      </c>
      <c r="K1320" t="inlineStr">
        <is>
          <t>YES! 	 c_sdt列源备映射正确，源端为smalldatetime None位	期望更改为datetime	实际备端为datetime None位</t>
        </is>
      </c>
    </row>
    <row r="1321">
      <c r="A1321" t="inlineStr">
        <is>
          <t>info_datetimeoffset_dml_batch1_pk_urp1</t>
        </is>
      </c>
      <c r="K1321" t="inlineStr">
        <is>
          <t>[0;34m info_datetimeoffset_dml_batch1_pk_urp1 [0m源备字段数相同，源端字段：9 	备端字段9</t>
        </is>
      </c>
      <c r="W1321" t="inlineStr">
        <is>
          <t>YES 源备无差异</t>
        </is>
      </c>
      <c r="X1321">
        <f>A1321</f>
        <v/>
      </c>
    </row>
    <row r="1322">
      <c r="B1322" t="inlineStr">
        <is>
          <t>YES</t>
        </is>
      </c>
      <c r="C1322" t="inlineStr">
        <is>
          <t>NULL</t>
        </is>
      </c>
      <c r="D1322" t="inlineStr">
        <is>
          <t>NULL</t>
        </is>
      </c>
      <c r="E1322" t="inlineStr">
        <is>
          <t>NULL</t>
        </is>
      </c>
      <c r="F1322" t="inlineStr">
        <is>
          <t>NULL</t>
        </is>
      </c>
      <c r="G1322" t="inlineStr">
        <is>
          <t>NULL</t>
        </is>
      </c>
      <c r="H1322" t="inlineStr">
        <is>
          <t>NULL</t>
        </is>
      </c>
      <c r="I1322" t="inlineStr">
        <is>
          <t>YES!PK__info_dat__3213E83F38BE76EF</t>
        </is>
      </c>
      <c r="J1322" t="inlineStr">
        <is>
          <t>YES! 主键相关索引</t>
        </is>
      </c>
      <c r="K1322" t="inlineStr">
        <is>
          <t>YES! 	 id列源备映射正确，源端为int None位	期望更改为int	实际备端为int None位</t>
        </is>
      </c>
    </row>
    <row r="1323">
      <c r="B1323" t="inlineStr">
        <is>
          <t>NULL</t>
        </is>
      </c>
      <c r="C1323" t="inlineStr">
        <is>
          <t>NULL</t>
        </is>
      </c>
      <c r="D1323" t="inlineStr">
        <is>
          <t>NULL</t>
        </is>
      </c>
      <c r="E1323" t="inlineStr">
        <is>
          <t>NULL</t>
        </is>
      </c>
      <c r="F1323" t="inlineStr">
        <is>
          <t>NULL</t>
        </is>
      </c>
      <c r="G1323" t="inlineStr">
        <is>
          <t>NULL</t>
        </is>
      </c>
      <c r="H1323" t="inlineStr">
        <is>
          <t>NULL</t>
        </is>
      </c>
      <c r="I1323" t="inlineStr">
        <is>
          <t>NULL</t>
        </is>
      </c>
      <c r="J1323" t="inlineStr">
        <is>
          <t>NULL</t>
        </is>
      </c>
      <c r="K1323" t="inlineStr">
        <is>
          <t>[0;32m YES! [0m 	 c_dtoffset_0列源备映射正确，源端为datetimeoffset None位	期望更改为varchar(34)	实际备端为varchar 136位	位数精度不存在，通过长度比较</t>
        </is>
      </c>
    </row>
    <row r="1324">
      <c r="B1324" t="inlineStr">
        <is>
          <t>NULL</t>
        </is>
      </c>
      <c r="C1324" t="inlineStr">
        <is>
          <t>NULL</t>
        </is>
      </c>
      <c r="D1324" t="inlineStr">
        <is>
          <t>NULL</t>
        </is>
      </c>
      <c r="E1324" t="inlineStr">
        <is>
          <t>NULL</t>
        </is>
      </c>
      <c r="F1324" t="inlineStr">
        <is>
          <t>NULL</t>
        </is>
      </c>
      <c r="G1324" t="inlineStr">
        <is>
          <t>NULL</t>
        </is>
      </c>
      <c r="H1324" t="inlineStr">
        <is>
          <t>NULL</t>
        </is>
      </c>
      <c r="I1324" t="inlineStr">
        <is>
          <t>NULL</t>
        </is>
      </c>
      <c r="J1324" t="inlineStr">
        <is>
          <t>NULL</t>
        </is>
      </c>
      <c r="K1324" t="inlineStr">
        <is>
          <t>[0;32m YES! [0m 	 c_dtoffset_1列源备映射正确，源端为datetimeoffset None位	期望更改为varchar(34)	实际备端为varchar 136位	位数精度不存在，通过长度比较</t>
        </is>
      </c>
    </row>
    <row r="1325">
      <c r="B1325" t="inlineStr">
        <is>
          <t>NULL</t>
        </is>
      </c>
      <c r="C1325" t="inlineStr">
        <is>
          <t>NULL</t>
        </is>
      </c>
      <c r="D1325" t="inlineStr">
        <is>
          <t>NULL</t>
        </is>
      </c>
      <c r="E1325" t="inlineStr">
        <is>
          <t>NULL</t>
        </is>
      </c>
      <c r="F1325" t="inlineStr">
        <is>
          <t>NULL</t>
        </is>
      </c>
      <c r="G1325" t="inlineStr">
        <is>
          <t>NULL</t>
        </is>
      </c>
      <c r="H1325" t="inlineStr">
        <is>
          <t>NULL</t>
        </is>
      </c>
      <c r="I1325" t="inlineStr">
        <is>
          <t>NULL</t>
        </is>
      </c>
      <c r="J1325" t="inlineStr">
        <is>
          <t>NULL</t>
        </is>
      </c>
      <c r="K1325" t="inlineStr">
        <is>
          <t>[0;32m YES! [0m 	 c_dtoffset_2列源备映射正确，源端为datetimeoffset None位	期望更改为varchar(34)	实际备端为varchar 136位	位数精度不存在，通过长度比较</t>
        </is>
      </c>
    </row>
    <row r="1326">
      <c r="B1326" t="inlineStr">
        <is>
          <t>NULL</t>
        </is>
      </c>
      <c r="C1326" t="inlineStr">
        <is>
          <t>NULL</t>
        </is>
      </c>
      <c r="D1326" t="inlineStr">
        <is>
          <t>NULL</t>
        </is>
      </c>
      <c r="E1326" t="inlineStr">
        <is>
          <t>NULL</t>
        </is>
      </c>
      <c r="F1326" t="inlineStr">
        <is>
          <t>NULL</t>
        </is>
      </c>
      <c r="G1326" t="inlineStr">
        <is>
          <t>NULL</t>
        </is>
      </c>
      <c r="H1326" t="inlineStr">
        <is>
          <t>NULL</t>
        </is>
      </c>
      <c r="I1326" t="inlineStr">
        <is>
          <t>NULL</t>
        </is>
      </c>
      <c r="J1326" t="inlineStr">
        <is>
          <t>NULL</t>
        </is>
      </c>
      <c r="K1326" t="inlineStr">
        <is>
          <t>[0;32m YES! [0m 	 c_dtoffset_3列源备映射正确，源端为datetimeoffset None位	期望更改为varchar(34)	实际备端为varchar 136位	位数精度不存在，通过长度比较</t>
        </is>
      </c>
    </row>
    <row r="1327">
      <c r="B1327" t="inlineStr">
        <is>
          <t>NULL</t>
        </is>
      </c>
      <c r="C1327" t="inlineStr">
        <is>
          <t>NULL</t>
        </is>
      </c>
      <c r="D1327" t="inlineStr">
        <is>
          <t>NULL</t>
        </is>
      </c>
      <c r="E1327" t="inlineStr">
        <is>
          <t>NULL</t>
        </is>
      </c>
      <c r="F1327" t="inlineStr">
        <is>
          <t>NULL</t>
        </is>
      </c>
      <c r="G1327" t="inlineStr">
        <is>
          <t>NULL</t>
        </is>
      </c>
      <c r="H1327" t="inlineStr">
        <is>
          <t>NULL</t>
        </is>
      </c>
      <c r="I1327" t="inlineStr">
        <is>
          <t>NULL</t>
        </is>
      </c>
      <c r="J1327" t="inlineStr">
        <is>
          <t>NULL</t>
        </is>
      </c>
      <c r="K1327" t="inlineStr">
        <is>
          <t>[0;32m YES! [0m 	 c_dtoffset_4列源备映射正确，源端为datetimeoffset None位	期望更改为varchar(34)	实际备端为varchar 136位	位数精度不存在，通过长度比较</t>
        </is>
      </c>
    </row>
    <row r="1328">
      <c r="B1328" t="inlineStr">
        <is>
          <t>NULL</t>
        </is>
      </c>
      <c r="C1328" t="inlineStr">
        <is>
          <t>NULL</t>
        </is>
      </c>
      <c r="D1328" t="inlineStr">
        <is>
          <t>NULL</t>
        </is>
      </c>
      <c r="E1328" t="inlineStr">
        <is>
          <t>NULL</t>
        </is>
      </c>
      <c r="F1328" t="inlineStr">
        <is>
          <t>NULL</t>
        </is>
      </c>
      <c r="G1328" t="inlineStr">
        <is>
          <t>NULL</t>
        </is>
      </c>
      <c r="H1328" t="inlineStr">
        <is>
          <t>NULL</t>
        </is>
      </c>
      <c r="I1328" t="inlineStr">
        <is>
          <t>NULL</t>
        </is>
      </c>
      <c r="J1328" t="inlineStr">
        <is>
          <t>NULL</t>
        </is>
      </c>
      <c r="K1328" t="inlineStr">
        <is>
          <t>[0;32m YES! [0m 	 c_dtoffset_5列源备映射正确，源端为datetimeoffset None位	期望更改为varchar(34)	实际备端为varchar 136位	位数精度不存在，通过长度比较</t>
        </is>
      </c>
    </row>
    <row r="1329">
      <c r="B1329" t="inlineStr">
        <is>
          <t>NULL</t>
        </is>
      </c>
      <c r="C1329" t="inlineStr">
        <is>
          <t>NULL</t>
        </is>
      </c>
      <c r="D1329" t="inlineStr">
        <is>
          <t>NULL</t>
        </is>
      </c>
      <c r="E1329" t="inlineStr">
        <is>
          <t>NULL</t>
        </is>
      </c>
      <c r="F1329" t="inlineStr">
        <is>
          <t>NULL</t>
        </is>
      </c>
      <c r="G1329" t="inlineStr">
        <is>
          <t>NULL</t>
        </is>
      </c>
      <c r="H1329" t="inlineStr">
        <is>
          <t>NULL</t>
        </is>
      </c>
      <c r="I1329" t="inlineStr">
        <is>
          <t>NULL</t>
        </is>
      </c>
      <c r="J1329" t="inlineStr">
        <is>
          <t>NULL</t>
        </is>
      </c>
      <c r="K1329" t="inlineStr">
        <is>
          <t>[0;32m YES! [0m 	 c_dtoffset_6列源备映射正确，源端为datetimeoffset None位	期望更改为varchar(34)	实际备端为varchar 136位	位数精度不存在，通过长度比较</t>
        </is>
      </c>
    </row>
    <row r="1330">
      <c r="B1330" t="inlineStr">
        <is>
          <t>NULL</t>
        </is>
      </c>
      <c r="C1330" t="inlineStr">
        <is>
          <t>NULL</t>
        </is>
      </c>
      <c r="D1330" t="inlineStr">
        <is>
          <t>NULL</t>
        </is>
      </c>
      <c r="E1330" t="inlineStr">
        <is>
          <t>NULL</t>
        </is>
      </c>
      <c r="F1330" t="inlineStr">
        <is>
          <t>NULL</t>
        </is>
      </c>
      <c r="G1330" t="inlineStr">
        <is>
          <t>NULL</t>
        </is>
      </c>
      <c r="H1330" t="inlineStr">
        <is>
          <t>NULL</t>
        </is>
      </c>
      <c r="I1330" t="inlineStr">
        <is>
          <t>NULL</t>
        </is>
      </c>
      <c r="J1330" t="inlineStr">
        <is>
          <t>NULL</t>
        </is>
      </c>
      <c r="K1330" t="inlineStr">
        <is>
          <t>[0;32m YES! [0m 	 c_dtoffset列源备映射正确，源端为datetimeoffset None位	期望更改为varchar(34)	实际备端为varchar 136位	位数精度不存在，通过长度比较</t>
        </is>
      </c>
    </row>
    <row r="1331">
      <c r="A1331" t="inlineStr">
        <is>
          <t>info_varcharmax_dml_batch1_pk_irp1</t>
        </is>
      </c>
      <c r="K1331" t="inlineStr">
        <is>
          <t>[0;34m info_varcharmax_dml_batch1_pk_irp1 [0m源备字段数相同，源端字段：3 	备端字段3</t>
        </is>
      </c>
      <c r="W1331" t="inlineStr">
        <is>
          <t>YES 源备无差异</t>
        </is>
      </c>
      <c r="X1331">
        <f>A1331</f>
        <v/>
      </c>
    </row>
    <row r="1332">
      <c r="B1332" t="inlineStr">
        <is>
          <t>YES</t>
        </is>
      </c>
      <c r="C1332" t="inlineStr">
        <is>
          <t>NULL</t>
        </is>
      </c>
      <c r="D1332" t="inlineStr">
        <is>
          <t>NULL</t>
        </is>
      </c>
      <c r="E1332" t="inlineStr">
        <is>
          <t>NULL</t>
        </is>
      </c>
      <c r="F1332" t="inlineStr">
        <is>
          <t>NULL</t>
        </is>
      </c>
      <c r="G1332" t="inlineStr">
        <is>
          <t>NULL</t>
        </is>
      </c>
      <c r="H1332" t="inlineStr">
        <is>
          <t>NULL</t>
        </is>
      </c>
      <c r="I1332" t="inlineStr">
        <is>
          <t>YES!PK__info_var__3213E83F4FAC50C4</t>
        </is>
      </c>
      <c r="J1332" t="inlineStr">
        <is>
          <t>YES! 主键相关索引</t>
        </is>
      </c>
      <c r="K1332" t="inlineStr">
        <is>
          <t>YES! 	 id列源备映射正确，源端为int None位	期望更改为int	实际备端为int None位</t>
        </is>
      </c>
    </row>
    <row r="1333">
      <c r="B1333" t="inlineStr">
        <is>
          <t>NULL</t>
        </is>
      </c>
      <c r="C1333" t="inlineStr">
        <is>
          <t>NULL</t>
        </is>
      </c>
      <c r="D1333" t="inlineStr">
        <is>
          <t>NULL</t>
        </is>
      </c>
      <c r="E1333" t="inlineStr">
        <is>
          <t>NULL</t>
        </is>
      </c>
      <c r="F1333" t="inlineStr">
        <is>
          <t>NULL</t>
        </is>
      </c>
      <c r="G1333" t="inlineStr">
        <is>
          <t>NULL</t>
        </is>
      </c>
      <c r="H1333" t="inlineStr">
        <is>
          <t>NULL</t>
        </is>
      </c>
      <c r="I1333" t="inlineStr">
        <is>
          <t>NULL</t>
        </is>
      </c>
      <c r="J1333" t="inlineStr">
        <is>
          <t>NULL</t>
        </is>
      </c>
      <c r="K1333" t="inlineStr">
        <is>
          <t>YES! 	 c_varchar_max列源备映射正确，源端为varchar -1位	期望更改为longtext	实际备端为longtext 4294967295位</t>
        </is>
      </c>
    </row>
    <row r="1334">
      <c r="B1334" t="inlineStr">
        <is>
          <t>NULL</t>
        </is>
      </c>
      <c r="C1334" t="inlineStr">
        <is>
          <t>NULL</t>
        </is>
      </c>
      <c r="D1334" t="inlineStr">
        <is>
          <t>NULL</t>
        </is>
      </c>
      <c r="E1334" t="inlineStr">
        <is>
          <t>NULL</t>
        </is>
      </c>
      <c r="F1334" t="inlineStr">
        <is>
          <t>NULL</t>
        </is>
      </c>
      <c r="G1334" t="inlineStr">
        <is>
          <t>NULL</t>
        </is>
      </c>
      <c r="H1334" t="inlineStr">
        <is>
          <t>NULL</t>
        </is>
      </c>
      <c r="I1334" t="inlineStr">
        <is>
          <t>NULL</t>
        </is>
      </c>
      <c r="J1334" t="inlineStr">
        <is>
          <t>NULL</t>
        </is>
      </c>
      <c r="K1334" t="inlineStr">
        <is>
          <t>YES! 	 c_nvarchar_max列源备映射正确，源端为nvarchar -1位	期望更改为longtext	实际备端为longtext 4294967295位</t>
        </is>
      </c>
    </row>
    <row r="1335">
      <c r="K1335" t="inlineStr">
        <is>
          <t>~ 空表</t>
        </is>
      </c>
    </row>
    <row r="1336">
      <c r="A1336" t="inlineStr">
        <is>
          <t>info_sdt_dml_single_nopk_urp</t>
        </is>
      </c>
      <c r="K1336" t="inlineStr">
        <is>
          <t>[0;34m info_sdt_dml_single_nopk_urp [0m源备字段数相同，源端字段：2 	备端字段2</t>
        </is>
      </c>
      <c r="W1336" t="inlineStr">
        <is>
          <t>YES 源备无差异</t>
        </is>
      </c>
      <c r="X1336">
        <f>A1336</f>
        <v/>
      </c>
    </row>
    <row r="1337">
      <c r="B1337" t="inlineStr">
        <is>
          <t>NULL</t>
        </is>
      </c>
      <c r="C1337" t="inlineStr">
        <is>
          <t>NULL</t>
        </is>
      </c>
      <c r="D1337" t="inlineStr">
        <is>
          <t>NULL</t>
        </is>
      </c>
      <c r="E1337" t="inlineStr">
        <is>
          <t>NULL</t>
        </is>
      </c>
      <c r="F1337" t="inlineStr">
        <is>
          <t>NULL</t>
        </is>
      </c>
      <c r="G1337" t="inlineStr">
        <is>
          <t>NULL</t>
        </is>
      </c>
      <c r="H1337" t="inlineStr">
        <is>
          <t>NULL</t>
        </is>
      </c>
      <c r="I1337" t="inlineStr">
        <is>
          <t>NULL</t>
        </is>
      </c>
      <c r="J1337" t="inlineStr">
        <is>
          <t>NULL</t>
        </is>
      </c>
      <c r="K1337" t="inlineStr">
        <is>
          <t>YES! 	 id列源备映射正确，源端为int None位	期望更改为int	实际备端为int None位</t>
        </is>
      </c>
    </row>
    <row r="1338">
      <c r="B1338" t="inlineStr">
        <is>
          <t>NULL</t>
        </is>
      </c>
      <c r="C1338" t="inlineStr">
        <is>
          <t>NO!源None备NUL</t>
        </is>
      </c>
      <c r="D1338" t="inlineStr">
        <is>
          <t>NULL</t>
        </is>
      </c>
      <c r="E1338" t="inlineStr">
        <is>
          <t>NULL</t>
        </is>
      </c>
      <c r="F1338" t="inlineStr">
        <is>
          <t>NULL</t>
        </is>
      </c>
      <c r="G1338" t="inlineStr">
        <is>
          <t>NULL</t>
        </is>
      </c>
      <c r="H1338" t="inlineStr">
        <is>
          <t>NULL</t>
        </is>
      </c>
      <c r="I1338" t="inlineStr">
        <is>
          <t>NULL</t>
        </is>
      </c>
      <c r="J1338" t="inlineStr">
        <is>
          <t>NULL</t>
        </is>
      </c>
      <c r="K1338" t="inlineStr">
        <is>
          <t>YES! 	 c_sdt列源备映射正确，源端为smalldatetime None位	期望更改为datetime	实际备端为datetime None位</t>
        </is>
      </c>
    </row>
    <row r="1339">
      <c r="A1339" t="inlineStr">
        <is>
          <t>info_datetime2_dml_single_pk_drp</t>
        </is>
      </c>
      <c r="K1339" t="inlineStr">
        <is>
          <t>[0;34m info_datetime2_dml_single_pk_drp [0m源备字段数相同，源端字段：9 	备端字段9</t>
        </is>
      </c>
      <c r="W1339" t="inlineStr">
        <is>
          <t>YES 源备无差异</t>
        </is>
      </c>
      <c r="X1339">
        <f>A1339</f>
        <v/>
      </c>
    </row>
    <row r="1340">
      <c r="B1340" t="inlineStr">
        <is>
          <t>YES</t>
        </is>
      </c>
      <c r="C1340" t="inlineStr">
        <is>
          <t>NULL</t>
        </is>
      </c>
      <c r="D1340" t="inlineStr">
        <is>
          <t>NULL</t>
        </is>
      </c>
      <c r="E1340" t="inlineStr">
        <is>
          <t>NULL</t>
        </is>
      </c>
      <c r="F1340" t="inlineStr">
        <is>
          <t>NULL</t>
        </is>
      </c>
      <c r="G1340" t="inlineStr">
        <is>
          <t>NULL</t>
        </is>
      </c>
      <c r="H1340" t="inlineStr">
        <is>
          <t>NULL</t>
        </is>
      </c>
      <c r="I1340" t="inlineStr">
        <is>
          <t>YES!PK__info_dat__3213E83FF3CB7347</t>
        </is>
      </c>
      <c r="J1340" t="inlineStr">
        <is>
          <t>YES! 主键相关索引</t>
        </is>
      </c>
      <c r="K1340" t="inlineStr">
        <is>
          <t>YES! 	 id列源备映射正确，源端为int None位	期望更改为int	实际备端为int None位</t>
        </is>
      </c>
    </row>
    <row r="1341">
      <c r="B1341" t="inlineStr">
        <is>
          <t>NULL</t>
        </is>
      </c>
      <c r="C1341" t="inlineStr">
        <is>
          <t>NULL</t>
        </is>
      </c>
      <c r="D1341" t="inlineStr">
        <is>
          <t>NULL</t>
        </is>
      </c>
      <c r="E1341" t="inlineStr">
        <is>
          <t>NULL</t>
        </is>
      </c>
      <c r="F1341" t="inlineStr">
        <is>
          <t>NULL</t>
        </is>
      </c>
      <c r="G1341" t="inlineStr">
        <is>
          <t>NULL</t>
        </is>
      </c>
      <c r="H1341" t="inlineStr">
        <is>
          <t>NULL</t>
        </is>
      </c>
      <c r="I1341" t="inlineStr">
        <is>
          <t>NULL</t>
        </is>
      </c>
      <c r="J1341" t="inlineStr">
        <is>
          <t>NULL</t>
        </is>
      </c>
      <c r="K1341" t="inlineStr">
        <is>
          <t>no,len不存在</t>
        </is>
      </c>
    </row>
    <row r="1342">
      <c r="B1342" t="inlineStr">
        <is>
          <t>NULL</t>
        </is>
      </c>
      <c r="C1342" t="inlineStr">
        <is>
          <t>NULL</t>
        </is>
      </c>
      <c r="D1342" t="inlineStr">
        <is>
          <t>NULL</t>
        </is>
      </c>
      <c r="E1342" t="inlineStr">
        <is>
          <t>NULL</t>
        </is>
      </c>
      <c r="F1342" t="inlineStr">
        <is>
          <t>NULL</t>
        </is>
      </c>
      <c r="G1342" t="inlineStr">
        <is>
          <t>NULL</t>
        </is>
      </c>
      <c r="H1342" t="inlineStr">
        <is>
          <t>NULL</t>
        </is>
      </c>
      <c r="I1342" t="inlineStr">
        <is>
          <t>NULL</t>
        </is>
      </c>
      <c r="J1342" t="inlineStr">
        <is>
          <t>NULL</t>
        </is>
      </c>
      <c r="K1342" t="inlineStr">
        <is>
          <t>YES! 	 c_dt2_1列源备映射正确，源端为datetime2 None位	期望更改为datetime(n)	实际备端为datetime None位</t>
        </is>
      </c>
    </row>
    <row r="1343">
      <c r="B1343" t="inlineStr">
        <is>
          <t>NULL</t>
        </is>
      </c>
      <c r="C1343" t="inlineStr">
        <is>
          <t>NULL</t>
        </is>
      </c>
      <c r="D1343" t="inlineStr">
        <is>
          <t>NULL</t>
        </is>
      </c>
      <c r="E1343" t="inlineStr">
        <is>
          <t>NULL</t>
        </is>
      </c>
      <c r="F1343" t="inlineStr">
        <is>
          <t>NULL</t>
        </is>
      </c>
      <c r="G1343" t="inlineStr">
        <is>
          <t>NULL</t>
        </is>
      </c>
      <c r="H1343" t="inlineStr">
        <is>
          <t>NULL</t>
        </is>
      </c>
      <c r="I1343" t="inlineStr">
        <is>
          <t>NULL</t>
        </is>
      </c>
      <c r="J1343" t="inlineStr">
        <is>
          <t>NULL</t>
        </is>
      </c>
      <c r="K1343" t="inlineStr">
        <is>
          <t>YES! 	 c_dt2_2列源备映射正确，源端为datetime2 None位	期望更改为datetime(n)	实际备端为datetime None位</t>
        </is>
      </c>
    </row>
    <row r="1344">
      <c r="B1344" t="inlineStr">
        <is>
          <t>NULL</t>
        </is>
      </c>
      <c r="C1344" t="inlineStr">
        <is>
          <t>NULL</t>
        </is>
      </c>
      <c r="D1344" t="inlineStr">
        <is>
          <t>NULL</t>
        </is>
      </c>
      <c r="E1344" t="inlineStr">
        <is>
          <t>NULL</t>
        </is>
      </c>
      <c r="F1344" t="inlineStr">
        <is>
          <t>NULL</t>
        </is>
      </c>
      <c r="G1344" t="inlineStr">
        <is>
          <t>NULL</t>
        </is>
      </c>
      <c r="H1344" t="inlineStr">
        <is>
          <t>NULL</t>
        </is>
      </c>
      <c r="I1344" t="inlineStr">
        <is>
          <t>NULL</t>
        </is>
      </c>
      <c r="J1344" t="inlineStr">
        <is>
          <t>NULL</t>
        </is>
      </c>
      <c r="K1344" t="inlineStr">
        <is>
          <t>YES! 	 c_dt2_3列源备映射正确，源端为datetime2 None位	期望更改为datetime(n)	实际备端为datetime None位</t>
        </is>
      </c>
    </row>
    <row r="1345">
      <c r="B1345" t="inlineStr">
        <is>
          <t>NULL</t>
        </is>
      </c>
      <c r="C1345" t="inlineStr">
        <is>
          <t>NULL</t>
        </is>
      </c>
      <c r="D1345" t="inlineStr">
        <is>
          <t>NULL</t>
        </is>
      </c>
      <c r="E1345" t="inlineStr">
        <is>
          <t>NULL</t>
        </is>
      </c>
      <c r="F1345" t="inlineStr">
        <is>
          <t>NULL</t>
        </is>
      </c>
      <c r="G1345" t="inlineStr">
        <is>
          <t>NULL</t>
        </is>
      </c>
      <c r="H1345" t="inlineStr">
        <is>
          <t>NULL</t>
        </is>
      </c>
      <c r="I1345" t="inlineStr">
        <is>
          <t>NULL</t>
        </is>
      </c>
      <c r="J1345" t="inlineStr">
        <is>
          <t>NULL</t>
        </is>
      </c>
      <c r="K1345" t="inlineStr">
        <is>
          <t>YES! 	 c_dt2_4列源备映射正确，源端为datetime2 None位	期望更改为datetime(n)	实际备端为datetime None位</t>
        </is>
      </c>
    </row>
    <row r="1346">
      <c r="B1346" t="inlineStr">
        <is>
          <t>NULL</t>
        </is>
      </c>
      <c r="C1346" t="inlineStr">
        <is>
          <t>NULL</t>
        </is>
      </c>
      <c r="D1346" t="inlineStr">
        <is>
          <t>NULL</t>
        </is>
      </c>
      <c r="E1346" t="inlineStr">
        <is>
          <t>NULL</t>
        </is>
      </c>
      <c r="F1346" t="inlineStr">
        <is>
          <t>NULL</t>
        </is>
      </c>
      <c r="G1346" t="inlineStr">
        <is>
          <t>NULL</t>
        </is>
      </c>
      <c r="H1346" t="inlineStr">
        <is>
          <t>NULL</t>
        </is>
      </c>
      <c r="I1346" t="inlineStr">
        <is>
          <t>NULL</t>
        </is>
      </c>
      <c r="J1346" t="inlineStr">
        <is>
          <t>NULL</t>
        </is>
      </c>
      <c r="K1346" t="inlineStr">
        <is>
          <t>YES! 	 c_dt2_5列源备映射正确，源端为datetime2 None位	期望更改为datetime(n)	实际备端为datetime None位</t>
        </is>
      </c>
    </row>
    <row r="1347">
      <c r="B1347" t="inlineStr">
        <is>
          <t>NULL</t>
        </is>
      </c>
      <c r="C1347" t="inlineStr">
        <is>
          <t>NULL</t>
        </is>
      </c>
      <c r="D1347" t="inlineStr">
        <is>
          <t>NULL</t>
        </is>
      </c>
      <c r="E1347" t="inlineStr">
        <is>
          <t>NULL</t>
        </is>
      </c>
      <c r="F1347" t="inlineStr">
        <is>
          <t>NULL</t>
        </is>
      </c>
      <c r="G1347" t="inlineStr">
        <is>
          <t>NULL</t>
        </is>
      </c>
      <c r="H1347" t="inlineStr">
        <is>
          <t>NULL</t>
        </is>
      </c>
      <c r="I1347" t="inlineStr">
        <is>
          <t>NULL</t>
        </is>
      </c>
      <c r="J1347" t="inlineStr">
        <is>
          <t>NULL</t>
        </is>
      </c>
      <c r="K1347" t="inlineStr">
        <is>
          <t>YES! 	 c_dt2_6列源备映射正确，源端为datetime2 None位	期望更改为datetime(n)	实际备端为datetime None位</t>
        </is>
      </c>
    </row>
    <row r="1348">
      <c r="B1348" t="inlineStr">
        <is>
          <t>NULL</t>
        </is>
      </c>
      <c r="C1348" t="inlineStr">
        <is>
          <t>NULL</t>
        </is>
      </c>
      <c r="D1348" t="inlineStr">
        <is>
          <t>NULL</t>
        </is>
      </c>
      <c r="E1348" t="inlineStr">
        <is>
          <t>NULL</t>
        </is>
      </c>
      <c r="F1348" t="inlineStr">
        <is>
          <t>NULL</t>
        </is>
      </c>
      <c r="G1348" t="inlineStr">
        <is>
          <t>NULL</t>
        </is>
      </c>
      <c r="H1348" t="inlineStr">
        <is>
          <t>NULL</t>
        </is>
      </c>
      <c r="I1348" t="inlineStr">
        <is>
          <t>NULL</t>
        </is>
      </c>
      <c r="J1348" t="inlineStr">
        <is>
          <t>NULL</t>
        </is>
      </c>
      <c r="K1348" t="inlineStr">
        <is>
          <t xml:space="preserve"> NO!  	 c_dt2列源备映射错误，源端为datetime2 None位	期望更改为datetime(n)	实际备端为varchar 136位</t>
        </is>
      </c>
    </row>
    <row r="1349">
      <c r="A1349" t="inlineStr">
        <is>
          <t>info_sdt_dml_single_nopk_drp</t>
        </is>
      </c>
      <c r="K1349" t="inlineStr">
        <is>
          <t>[0;34m info_sdt_dml_single_nopk_drp [0m源备字段数相同，源端字段：2 	备端字段2</t>
        </is>
      </c>
      <c r="W1349" t="inlineStr">
        <is>
          <t>YES 源备无差异</t>
        </is>
      </c>
      <c r="X1349">
        <f>A1349</f>
        <v/>
      </c>
    </row>
    <row r="1350">
      <c r="B1350" t="inlineStr">
        <is>
          <t>NULL</t>
        </is>
      </c>
      <c r="C1350" t="inlineStr">
        <is>
          <t>NULL</t>
        </is>
      </c>
      <c r="D1350" t="inlineStr">
        <is>
          <t>NULL</t>
        </is>
      </c>
      <c r="E1350" t="inlineStr">
        <is>
          <t>NULL</t>
        </is>
      </c>
      <c r="F1350" t="inlineStr">
        <is>
          <t>NULL</t>
        </is>
      </c>
      <c r="G1350" t="inlineStr">
        <is>
          <t>NULL</t>
        </is>
      </c>
      <c r="H1350" t="inlineStr">
        <is>
          <t>NULL</t>
        </is>
      </c>
      <c r="I1350" t="inlineStr">
        <is>
          <t>NULL</t>
        </is>
      </c>
      <c r="J1350" t="inlineStr">
        <is>
          <t>NULL</t>
        </is>
      </c>
      <c r="K1350" t="inlineStr">
        <is>
          <t>YES! 	 id列源备映射正确，源端为int None位	期望更改为int	实际备端为int None位</t>
        </is>
      </c>
    </row>
    <row r="1351">
      <c r="B1351" t="inlineStr">
        <is>
          <t>NULL</t>
        </is>
      </c>
      <c r="C1351" t="inlineStr">
        <is>
          <t>NO!源None备NUL</t>
        </is>
      </c>
      <c r="D1351" t="inlineStr">
        <is>
          <t>NULL</t>
        </is>
      </c>
      <c r="E1351" t="inlineStr">
        <is>
          <t>NULL</t>
        </is>
      </c>
      <c r="F1351" t="inlineStr">
        <is>
          <t>NULL</t>
        </is>
      </c>
      <c r="G1351" t="inlineStr">
        <is>
          <t>NULL</t>
        </is>
      </c>
      <c r="H1351" t="inlineStr">
        <is>
          <t>NULL</t>
        </is>
      </c>
      <c r="I1351" t="inlineStr">
        <is>
          <t>NULL</t>
        </is>
      </c>
      <c r="J1351" t="inlineStr">
        <is>
          <t>NULL</t>
        </is>
      </c>
      <c r="K1351" t="inlineStr">
        <is>
          <t>YES! 	 c_sdt列源备映射正确，源端为smalldatetime None位	期望更改为datetime	实际备端为datetime None位</t>
        </is>
      </c>
    </row>
    <row r="1352">
      <c r="A1352" t="inlineStr">
        <is>
          <t>info_varbinary_dml_single_nopk</t>
        </is>
      </c>
      <c r="K1352" t="inlineStr">
        <is>
          <t>[0;34m info_varbinary_dml_single_nopk [0m源备字段数相同，源端字段：4 	备端字段4</t>
        </is>
      </c>
      <c r="W1352" t="inlineStr">
        <is>
          <t>YES 源备无差异</t>
        </is>
      </c>
      <c r="X1352">
        <f>A1352</f>
        <v/>
      </c>
    </row>
    <row r="1353">
      <c r="B1353" t="inlineStr">
        <is>
          <t>NULL</t>
        </is>
      </c>
      <c r="C1353" t="inlineStr">
        <is>
          <t>NULL</t>
        </is>
      </c>
      <c r="D1353" t="inlineStr">
        <is>
          <t>NULL</t>
        </is>
      </c>
      <c r="E1353" t="inlineStr">
        <is>
          <t>NULL</t>
        </is>
      </c>
      <c r="F1353" t="inlineStr">
        <is>
          <t>NULL</t>
        </is>
      </c>
      <c r="G1353" t="inlineStr">
        <is>
          <t>NULL</t>
        </is>
      </c>
      <c r="H1353" t="inlineStr">
        <is>
          <t>NULL</t>
        </is>
      </c>
      <c r="I1353" t="inlineStr">
        <is>
          <t>NULL</t>
        </is>
      </c>
      <c r="J1353" t="inlineStr">
        <is>
          <t>NULL</t>
        </is>
      </c>
      <c r="K1353" t="inlineStr">
        <is>
          <t>YES! 	 id列源备映射正确，源端为int None位	期望更改为int	实际备端为int None位</t>
        </is>
      </c>
    </row>
    <row r="1354">
      <c r="B1354" t="inlineStr">
        <is>
          <t>NULL</t>
        </is>
      </c>
      <c r="C1354" t="inlineStr">
        <is>
          <t>NULL</t>
        </is>
      </c>
      <c r="D1354" t="inlineStr">
        <is>
          <t>NULL</t>
        </is>
      </c>
      <c r="E1354" t="inlineStr">
        <is>
          <t>NULL</t>
        </is>
      </c>
      <c r="F1354" t="inlineStr">
        <is>
          <t>NULL</t>
        </is>
      </c>
      <c r="G1354" t="inlineStr">
        <is>
          <t>NULL</t>
        </is>
      </c>
      <c r="H1354" t="inlineStr">
        <is>
          <t>NULL</t>
        </is>
      </c>
      <c r="I1354" t="inlineStr">
        <is>
          <t>NULL</t>
        </is>
      </c>
      <c r="J1354" t="inlineStr">
        <is>
          <t>NULL</t>
        </is>
      </c>
      <c r="K1354" t="inlineStr">
        <is>
          <t>YES! 	 c_varbinary列源备映射正确，源端为varbinary 1位	期望更改为varbinary(n)	实际备端为varbinary 1位</t>
        </is>
      </c>
    </row>
    <row r="1355">
      <c r="B1355" t="inlineStr">
        <is>
          <t>NULL</t>
        </is>
      </c>
      <c r="C1355" t="inlineStr">
        <is>
          <t>NULL</t>
        </is>
      </c>
      <c r="D1355" t="inlineStr">
        <is>
          <t>NULL</t>
        </is>
      </c>
      <c r="E1355" t="inlineStr">
        <is>
          <t>NULL</t>
        </is>
      </c>
      <c r="F1355" t="inlineStr">
        <is>
          <t>NULL</t>
        </is>
      </c>
      <c r="G1355" t="inlineStr">
        <is>
          <t>NULL</t>
        </is>
      </c>
      <c r="H1355" t="inlineStr">
        <is>
          <t>NULL</t>
        </is>
      </c>
      <c r="I1355" t="inlineStr">
        <is>
          <t>NULL</t>
        </is>
      </c>
      <c r="J1355" t="inlineStr">
        <is>
          <t>NULL</t>
        </is>
      </c>
      <c r="K1355" t="inlineStr">
        <is>
          <t>YES! 	 c_varbinary_100列源备映射正确，源端为varbinary 20位	期望更改为varbinary(n)	实际备端为varbinary 20位</t>
        </is>
      </c>
    </row>
    <row r="1356">
      <c r="B1356" t="inlineStr">
        <is>
          <t>NULL</t>
        </is>
      </c>
      <c r="C1356" t="inlineStr">
        <is>
          <t>NULL</t>
        </is>
      </c>
      <c r="D1356" t="inlineStr">
        <is>
          <t>NULL</t>
        </is>
      </c>
      <c r="E1356" t="inlineStr">
        <is>
          <t>NULL</t>
        </is>
      </c>
      <c r="F1356" t="inlineStr">
        <is>
          <t>NULL</t>
        </is>
      </c>
      <c r="G1356" t="inlineStr">
        <is>
          <t>NULL</t>
        </is>
      </c>
      <c r="H1356" t="inlineStr">
        <is>
          <t>NULL</t>
        </is>
      </c>
      <c r="I1356" t="inlineStr">
        <is>
          <t>NULL</t>
        </is>
      </c>
      <c r="J1356" t="inlineStr">
        <is>
          <t>NULL</t>
        </is>
      </c>
      <c r="K1356" t="inlineStr">
        <is>
          <t>YES! 	 c_varbinary_8000列源备映射正确，源端为varbinary 8000位	期望更改为longblob	实际备端为longblob 4294967295位</t>
        </is>
      </c>
    </row>
    <row r="1357">
      <c r="A1357" t="inlineStr">
        <is>
          <t>info_sdt_dml_single_nopk</t>
        </is>
      </c>
      <c r="K1357" t="inlineStr">
        <is>
          <t>[0;34m info_sdt_dml_single_nopk [0m源备字段数相同，源端字段：2 	备端字段2</t>
        </is>
      </c>
      <c r="W1357" t="inlineStr">
        <is>
          <t>YES 源备无差异</t>
        </is>
      </c>
      <c r="X1357">
        <f>A1357</f>
        <v/>
      </c>
    </row>
    <row r="1358">
      <c r="B1358" t="inlineStr">
        <is>
          <t>NULL</t>
        </is>
      </c>
      <c r="C1358" t="inlineStr">
        <is>
          <t>NULL</t>
        </is>
      </c>
      <c r="D1358" t="inlineStr">
        <is>
          <t>NULL</t>
        </is>
      </c>
      <c r="E1358" t="inlineStr">
        <is>
          <t>NULL</t>
        </is>
      </c>
      <c r="F1358" t="inlineStr">
        <is>
          <t>NULL</t>
        </is>
      </c>
      <c r="G1358" t="inlineStr">
        <is>
          <t>NULL</t>
        </is>
      </c>
      <c r="H1358" t="inlineStr">
        <is>
          <t>NULL</t>
        </is>
      </c>
      <c r="I1358" t="inlineStr">
        <is>
          <t>NULL</t>
        </is>
      </c>
      <c r="J1358" t="inlineStr">
        <is>
          <t>NULL</t>
        </is>
      </c>
      <c r="K1358" t="inlineStr">
        <is>
          <t>YES! 	 id列源备映射正确，源端为int None位	期望更改为int	实际备端为int None位</t>
        </is>
      </c>
    </row>
    <row r="1359">
      <c r="B1359" t="inlineStr">
        <is>
          <t>NULL</t>
        </is>
      </c>
      <c r="C1359" t="inlineStr">
        <is>
          <t>NO!源None备NUL</t>
        </is>
      </c>
      <c r="D1359" t="inlineStr">
        <is>
          <t>NULL</t>
        </is>
      </c>
      <c r="E1359" t="inlineStr">
        <is>
          <t>NULL</t>
        </is>
      </c>
      <c r="F1359" t="inlineStr">
        <is>
          <t>NULL</t>
        </is>
      </c>
      <c r="G1359" t="inlineStr">
        <is>
          <t>NULL</t>
        </is>
      </c>
      <c r="H1359" t="inlineStr">
        <is>
          <t>NULL</t>
        </is>
      </c>
      <c r="I1359" t="inlineStr">
        <is>
          <t>NULL</t>
        </is>
      </c>
      <c r="J1359" t="inlineStr">
        <is>
          <t>NULL</t>
        </is>
      </c>
      <c r="K1359" t="inlineStr">
        <is>
          <t>YES! 	 c_sdt列源备映射正确，源端为smalldatetime None位	期望更改为datetime	实际备端为datetime None位</t>
        </is>
      </c>
    </row>
    <row r="1360">
      <c r="A1360" t="inlineStr">
        <is>
          <t>info_datetimeoffset_dml_batch1_pk_urp2</t>
        </is>
      </c>
      <c r="K1360" t="inlineStr">
        <is>
          <t>[0;34m info_datetimeoffset_dml_batch1_pk_urp2 [0m源备字段数相同，源端字段：9 	备端字段9</t>
        </is>
      </c>
      <c r="W1360" t="inlineStr">
        <is>
          <t>YES 源备无差异</t>
        </is>
      </c>
      <c r="X1360">
        <f>A1360</f>
        <v/>
      </c>
    </row>
    <row r="1361">
      <c r="B1361" t="inlineStr">
        <is>
          <t>YES</t>
        </is>
      </c>
      <c r="C1361" t="inlineStr">
        <is>
          <t>NULL</t>
        </is>
      </c>
      <c r="D1361" t="inlineStr">
        <is>
          <t>NULL</t>
        </is>
      </c>
      <c r="E1361" t="inlineStr">
        <is>
          <t>NULL</t>
        </is>
      </c>
      <c r="F1361" t="inlineStr">
        <is>
          <t>NULL</t>
        </is>
      </c>
      <c r="G1361" t="inlineStr">
        <is>
          <t>NULL</t>
        </is>
      </c>
      <c r="H1361" t="inlineStr">
        <is>
          <t>NULL</t>
        </is>
      </c>
      <c r="I1361" t="inlineStr">
        <is>
          <t>YES!PK__info_dat__3213E83F54E654A8</t>
        </is>
      </c>
      <c r="J1361" t="inlineStr">
        <is>
          <t>YES! 主键相关索引</t>
        </is>
      </c>
      <c r="K1361" t="inlineStr">
        <is>
          <t>YES! 	 id列源备映射正确，源端为int None位	期望更改为int	实际备端为int None位</t>
        </is>
      </c>
    </row>
    <row r="1362">
      <c r="B1362" t="inlineStr">
        <is>
          <t>NULL</t>
        </is>
      </c>
      <c r="C1362" t="inlineStr">
        <is>
          <t>NULL</t>
        </is>
      </c>
      <c r="D1362" t="inlineStr">
        <is>
          <t>NULL</t>
        </is>
      </c>
      <c r="E1362" t="inlineStr">
        <is>
          <t>NULL</t>
        </is>
      </c>
      <c r="F1362" t="inlineStr">
        <is>
          <t>NULL</t>
        </is>
      </c>
      <c r="G1362" t="inlineStr">
        <is>
          <t>NULL</t>
        </is>
      </c>
      <c r="H1362" t="inlineStr">
        <is>
          <t>NULL</t>
        </is>
      </c>
      <c r="I1362" t="inlineStr">
        <is>
          <t>NULL</t>
        </is>
      </c>
      <c r="J1362" t="inlineStr">
        <is>
          <t>NULL</t>
        </is>
      </c>
      <c r="K1362" t="inlineStr">
        <is>
          <t>[0;32m YES! [0m 	 c_dtoffset_0列源备映射正确，源端为datetimeoffset None位	期望更改为varchar(34)	实际备端为varchar 136位	位数精度不存在，通过长度比较</t>
        </is>
      </c>
    </row>
    <row r="1363">
      <c r="B1363" t="inlineStr">
        <is>
          <t>NULL</t>
        </is>
      </c>
      <c r="C1363" t="inlineStr">
        <is>
          <t>NULL</t>
        </is>
      </c>
      <c r="D1363" t="inlineStr">
        <is>
          <t>NULL</t>
        </is>
      </c>
      <c r="E1363" t="inlineStr">
        <is>
          <t>NULL</t>
        </is>
      </c>
      <c r="F1363" t="inlineStr">
        <is>
          <t>NULL</t>
        </is>
      </c>
      <c r="G1363" t="inlineStr">
        <is>
          <t>NULL</t>
        </is>
      </c>
      <c r="H1363" t="inlineStr">
        <is>
          <t>NULL</t>
        </is>
      </c>
      <c r="I1363" t="inlineStr">
        <is>
          <t>NULL</t>
        </is>
      </c>
      <c r="J1363" t="inlineStr">
        <is>
          <t>NULL</t>
        </is>
      </c>
      <c r="K1363" t="inlineStr">
        <is>
          <t>[0;32m YES! [0m 	 c_dtoffset_1列源备映射正确，源端为datetimeoffset None位	期望更改为varchar(34)	实际备端为varchar 136位	位数精度不存在，通过长度比较</t>
        </is>
      </c>
    </row>
    <row r="1364">
      <c r="B1364" t="inlineStr">
        <is>
          <t>NULL</t>
        </is>
      </c>
      <c r="C1364" t="inlineStr">
        <is>
          <t>NULL</t>
        </is>
      </c>
      <c r="D1364" t="inlineStr">
        <is>
          <t>NULL</t>
        </is>
      </c>
      <c r="E1364" t="inlineStr">
        <is>
          <t>NULL</t>
        </is>
      </c>
      <c r="F1364" t="inlineStr">
        <is>
          <t>NULL</t>
        </is>
      </c>
      <c r="G1364" t="inlineStr">
        <is>
          <t>NULL</t>
        </is>
      </c>
      <c r="H1364" t="inlineStr">
        <is>
          <t>NULL</t>
        </is>
      </c>
      <c r="I1364" t="inlineStr">
        <is>
          <t>NULL</t>
        </is>
      </c>
      <c r="J1364" t="inlineStr">
        <is>
          <t>NULL</t>
        </is>
      </c>
      <c r="K1364" t="inlineStr">
        <is>
          <t>[0;32m YES! [0m 	 c_dtoffset_2列源备映射正确，源端为datetimeoffset None位	期望更改为varchar(34)	实际备端为varchar 136位	位数精度不存在，通过长度比较</t>
        </is>
      </c>
    </row>
    <row r="1365">
      <c r="B1365" t="inlineStr">
        <is>
          <t>NULL</t>
        </is>
      </c>
      <c r="C1365" t="inlineStr">
        <is>
          <t>NULL</t>
        </is>
      </c>
      <c r="D1365" t="inlineStr">
        <is>
          <t>NULL</t>
        </is>
      </c>
      <c r="E1365" t="inlineStr">
        <is>
          <t>NULL</t>
        </is>
      </c>
      <c r="F1365" t="inlineStr">
        <is>
          <t>NULL</t>
        </is>
      </c>
      <c r="G1365" t="inlineStr">
        <is>
          <t>NULL</t>
        </is>
      </c>
      <c r="H1365" t="inlineStr">
        <is>
          <t>NULL</t>
        </is>
      </c>
      <c r="I1365" t="inlineStr">
        <is>
          <t>NULL</t>
        </is>
      </c>
      <c r="J1365" t="inlineStr">
        <is>
          <t>NULL</t>
        </is>
      </c>
      <c r="K1365" t="inlineStr">
        <is>
          <t>[0;32m YES! [0m 	 c_dtoffset_3列源备映射正确，源端为datetimeoffset None位	期望更改为varchar(34)	实际备端为varchar 136位	位数精度不存在，通过长度比较</t>
        </is>
      </c>
    </row>
    <row r="1366">
      <c r="B1366" t="inlineStr">
        <is>
          <t>NULL</t>
        </is>
      </c>
      <c r="C1366" t="inlineStr">
        <is>
          <t>NULL</t>
        </is>
      </c>
      <c r="D1366" t="inlineStr">
        <is>
          <t>NULL</t>
        </is>
      </c>
      <c r="E1366" t="inlineStr">
        <is>
          <t>NULL</t>
        </is>
      </c>
      <c r="F1366" t="inlineStr">
        <is>
          <t>NULL</t>
        </is>
      </c>
      <c r="G1366" t="inlineStr">
        <is>
          <t>NULL</t>
        </is>
      </c>
      <c r="H1366" t="inlineStr">
        <is>
          <t>NULL</t>
        </is>
      </c>
      <c r="I1366" t="inlineStr">
        <is>
          <t>NULL</t>
        </is>
      </c>
      <c r="J1366" t="inlineStr">
        <is>
          <t>NULL</t>
        </is>
      </c>
      <c r="K1366" t="inlineStr">
        <is>
          <t>[0;32m YES! [0m 	 c_dtoffset_4列源备映射正确，源端为datetimeoffset None位	期望更改为varchar(34)	实际备端为varchar 136位	位数精度不存在，通过长度比较</t>
        </is>
      </c>
    </row>
    <row r="1367">
      <c r="B1367" t="inlineStr">
        <is>
          <t>NULL</t>
        </is>
      </c>
      <c r="C1367" t="inlineStr">
        <is>
          <t>NULL</t>
        </is>
      </c>
      <c r="D1367" t="inlineStr">
        <is>
          <t>NULL</t>
        </is>
      </c>
      <c r="E1367" t="inlineStr">
        <is>
          <t>NULL</t>
        </is>
      </c>
      <c r="F1367" t="inlineStr">
        <is>
          <t>NULL</t>
        </is>
      </c>
      <c r="G1367" t="inlineStr">
        <is>
          <t>NULL</t>
        </is>
      </c>
      <c r="H1367" t="inlineStr">
        <is>
          <t>NULL</t>
        </is>
      </c>
      <c r="I1367" t="inlineStr">
        <is>
          <t>NULL</t>
        </is>
      </c>
      <c r="J1367" t="inlineStr">
        <is>
          <t>NULL</t>
        </is>
      </c>
      <c r="K1367" t="inlineStr">
        <is>
          <t>[0;32m YES! [0m 	 c_dtoffset_5列源备映射正确，源端为datetimeoffset None位	期望更改为varchar(34)	实际备端为varchar 136位	位数精度不存在，通过长度比较</t>
        </is>
      </c>
    </row>
    <row r="1368">
      <c r="B1368" t="inlineStr">
        <is>
          <t>NULL</t>
        </is>
      </c>
      <c r="C1368" t="inlineStr">
        <is>
          <t>NULL</t>
        </is>
      </c>
      <c r="D1368" t="inlineStr">
        <is>
          <t>NULL</t>
        </is>
      </c>
      <c r="E1368" t="inlineStr">
        <is>
          <t>NULL</t>
        </is>
      </c>
      <c r="F1368" t="inlineStr">
        <is>
          <t>NULL</t>
        </is>
      </c>
      <c r="G1368" t="inlineStr">
        <is>
          <t>NULL</t>
        </is>
      </c>
      <c r="H1368" t="inlineStr">
        <is>
          <t>NULL</t>
        </is>
      </c>
      <c r="I1368" t="inlineStr">
        <is>
          <t>NULL</t>
        </is>
      </c>
      <c r="J1368" t="inlineStr">
        <is>
          <t>NULL</t>
        </is>
      </c>
      <c r="K1368" t="inlineStr">
        <is>
          <t>[0;32m YES! [0m 	 c_dtoffset_6列源备映射正确，源端为datetimeoffset None位	期望更改为varchar(34)	实际备端为varchar 136位	位数精度不存在，通过长度比较</t>
        </is>
      </c>
    </row>
    <row r="1369">
      <c r="B1369" t="inlineStr">
        <is>
          <t>NULL</t>
        </is>
      </c>
      <c r="C1369" t="inlineStr">
        <is>
          <t>NULL</t>
        </is>
      </c>
      <c r="D1369" t="inlineStr">
        <is>
          <t>NULL</t>
        </is>
      </c>
      <c r="E1369" t="inlineStr">
        <is>
          <t>NULL</t>
        </is>
      </c>
      <c r="F1369" t="inlineStr">
        <is>
          <t>NULL</t>
        </is>
      </c>
      <c r="G1369" t="inlineStr">
        <is>
          <t>NULL</t>
        </is>
      </c>
      <c r="H1369" t="inlineStr">
        <is>
          <t>NULL</t>
        </is>
      </c>
      <c r="I1369" t="inlineStr">
        <is>
          <t>NULL</t>
        </is>
      </c>
      <c r="J1369" t="inlineStr">
        <is>
          <t>NULL</t>
        </is>
      </c>
      <c r="K1369" t="inlineStr">
        <is>
          <t>[0;32m YES! [0m 	 c_dtoffset列源备映射正确，源端为datetimeoffset None位	期望更改为varchar(34)	实际备端为varchar 136位	位数精度不存在，通过长度比较</t>
        </is>
      </c>
    </row>
    <row r="1370">
      <c r="A1370" t="inlineStr">
        <is>
          <t>info_varcharmax_dml_batch1_pk_irp2</t>
        </is>
      </c>
      <c r="K1370" t="inlineStr">
        <is>
          <t>[0;34m info_varcharmax_dml_batch1_pk_irp2 [0m源备字段数相同，源端字段：3 	备端字段3</t>
        </is>
      </c>
      <c r="W1370" t="inlineStr">
        <is>
          <t>YES 源备无差异</t>
        </is>
      </c>
      <c r="X1370">
        <f>A1370</f>
        <v/>
      </c>
    </row>
    <row r="1371">
      <c r="B1371" t="inlineStr">
        <is>
          <t>YES</t>
        </is>
      </c>
      <c r="C1371" t="inlineStr">
        <is>
          <t>NULL</t>
        </is>
      </c>
      <c r="D1371" t="inlineStr">
        <is>
          <t>NULL</t>
        </is>
      </c>
      <c r="E1371" t="inlineStr">
        <is>
          <t>NULL</t>
        </is>
      </c>
      <c r="F1371" t="inlineStr">
        <is>
          <t>NULL</t>
        </is>
      </c>
      <c r="G1371" t="inlineStr">
        <is>
          <t>NULL</t>
        </is>
      </c>
      <c r="H1371" t="inlineStr">
        <is>
          <t>NULL</t>
        </is>
      </c>
      <c r="I1371" t="inlineStr">
        <is>
          <t>YES!PK__info_var__3213E83F44B37052</t>
        </is>
      </c>
      <c r="J1371" t="inlineStr">
        <is>
          <t>YES! 主键相关索引</t>
        </is>
      </c>
      <c r="K1371" t="inlineStr">
        <is>
          <t>YES! 	 id列源备映射正确，源端为int None位	期望更改为int	实际备端为int None位</t>
        </is>
      </c>
    </row>
    <row r="1372">
      <c r="B1372" t="inlineStr">
        <is>
          <t>NULL</t>
        </is>
      </c>
      <c r="C1372" t="inlineStr">
        <is>
          <t>NULL</t>
        </is>
      </c>
      <c r="D1372" t="inlineStr">
        <is>
          <t>NULL</t>
        </is>
      </c>
      <c r="E1372" t="inlineStr">
        <is>
          <t>NULL</t>
        </is>
      </c>
      <c r="F1372" t="inlineStr">
        <is>
          <t>NULL</t>
        </is>
      </c>
      <c r="G1372" t="inlineStr">
        <is>
          <t>NULL</t>
        </is>
      </c>
      <c r="H1372" t="inlineStr">
        <is>
          <t>NULL</t>
        </is>
      </c>
      <c r="I1372" t="inlineStr">
        <is>
          <t>NULL</t>
        </is>
      </c>
      <c r="J1372" t="inlineStr">
        <is>
          <t>NULL</t>
        </is>
      </c>
      <c r="K1372" t="inlineStr">
        <is>
          <t>YES! 	 c_varchar_max列源备映射正确，源端为varchar -1位	期望更改为longtext	实际备端为longtext 4294967295位</t>
        </is>
      </c>
    </row>
    <row r="1373">
      <c r="B1373" t="inlineStr">
        <is>
          <t>NULL</t>
        </is>
      </c>
      <c r="C1373" t="inlineStr">
        <is>
          <t>NULL</t>
        </is>
      </c>
      <c r="D1373" t="inlineStr">
        <is>
          <t>NULL</t>
        </is>
      </c>
      <c r="E1373" t="inlineStr">
        <is>
          <t>NULL</t>
        </is>
      </c>
      <c r="F1373" t="inlineStr">
        <is>
          <t>NULL</t>
        </is>
      </c>
      <c r="G1373" t="inlineStr">
        <is>
          <t>NULL</t>
        </is>
      </c>
      <c r="H1373" t="inlineStr">
        <is>
          <t>NULL</t>
        </is>
      </c>
      <c r="I1373" t="inlineStr">
        <is>
          <t>NULL</t>
        </is>
      </c>
      <c r="J1373" t="inlineStr">
        <is>
          <t>NULL</t>
        </is>
      </c>
      <c r="K1373" t="inlineStr">
        <is>
          <t>YES! 	 c_nvarchar_max列源备映射正确，源端为nvarchar -1位	期望更改为longtext	实际备端为longtext 4294967295位</t>
        </is>
      </c>
    </row>
    <row r="1374">
      <c r="K1374" t="inlineStr">
        <is>
          <t>~ 空表</t>
        </is>
      </c>
    </row>
    <row r="1375">
      <c r="A1375" t="inlineStr">
        <is>
          <t>info_datetime_dml_single_nopk_irp</t>
        </is>
      </c>
      <c r="K1375" t="inlineStr">
        <is>
          <t>[0;34m info_datetime_dml_single_nopk_irp [0m源备字段数相同，源端字段：2 	备端字段2</t>
        </is>
      </c>
      <c r="W1375" t="inlineStr">
        <is>
          <t>YES 源备无差异</t>
        </is>
      </c>
      <c r="X1375">
        <f>A1375</f>
        <v/>
      </c>
    </row>
    <row r="1376">
      <c r="B1376" t="inlineStr">
        <is>
          <t>NULL</t>
        </is>
      </c>
      <c r="C1376" t="inlineStr">
        <is>
          <t>NULL</t>
        </is>
      </c>
      <c r="D1376" t="inlineStr">
        <is>
          <t>NULL</t>
        </is>
      </c>
      <c r="E1376" t="inlineStr">
        <is>
          <t>NULL</t>
        </is>
      </c>
      <c r="F1376" t="inlineStr">
        <is>
          <t>NULL</t>
        </is>
      </c>
      <c r="G1376" t="inlineStr">
        <is>
          <t>NULL</t>
        </is>
      </c>
      <c r="H1376" t="inlineStr">
        <is>
          <t>NULL</t>
        </is>
      </c>
      <c r="I1376" t="inlineStr">
        <is>
          <t>NULL</t>
        </is>
      </c>
      <c r="J1376" t="inlineStr">
        <is>
          <t>NULL</t>
        </is>
      </c>
      <c r="K1376" t="inlineStr">
        <is>
          <t>YES! 	 id列源备映射正确，源端为int None位	期望更改为int	实际备端为int None位</t>
        </is>
      </c>
    </row>
    <row r="1377">
      <c r="B1377" t="inlineStr">
        <is>
          <t>NULL</t>
        </is>
      </c>
      <c r="C1377" t="inlineStr">
        <is>
          <t>NO!源None备NUL</t>
        </is>
      </c>
      <c r="D1377" t="inlineStr">
        <is>
          <t>NULL</t>
        </is>
      </c>
      <c r="E1377" t="inlineStr">
        <is>
          <t>NULL</t>
        </is>
      </c>
      <c r="F1377" t="inlineStr">
        <is>
          <t>NULL</t>
        </is>
      </c>
      <c r="G1377" t="inlineStr">
        <is>
          <t>NULL</t>
        </is>
      </c>
      <c r="H1377" t="inlineStr">
        <is>
          <t>NULL</t>
        </is>
      </c>
      <c r="I1377" t="inlineStr">
        <is>
          <t>NULL</t>
        </is>
      </c>
      <c r="J1377" t="inlineStr">
        <is>
          <t>NULL</t>
        </is>
      </c>
      <c r="K1377" t="inlineStr">
        <is>
          <t>YES! 	 c_datetime列源备映射正确，源端为datetime None位	期望更改为datetime(3)	实际备端为datetime None位</t>
        </is>
      </c>
    </row>
    <row r="1378">
      <c r="A1378" t="inlineStr">
        <is>
          <t>info_datetimeoffset_dml_batch1_pk_drp1</t>
        </is>
      </c>
      <c r="K1378" t="inlineStr">
        <is>
          <t>[0;34m info_datetimeoffset_dml_batch1_pk_drp1 [0m源备字段数相同，源端字段：9 	备端字段9</t>
        </is>
      </c>
      <c r="W1378" t="inlineStr">
        <is>
          <t>YES 源备无差异</t>
        </is>
      </c>
      <c r="X1378">
        <f>A1378</f>
        <v/>
      </c>
    </row>
    <row r="1379">
      <c r="B1379" t="inlineStr">
        <is>
          <t>YES</t>
        </is>
      </c>
      <c r="C1379" t="inlineStr">
        <is>
          <t>NULL</t>
        </is>
      </c>
      <c r="D1379" t="inlineStr">
        <is>
          <t>NULL</t>
        </is>
      </c>
      <c r="E1379" t="inlineStr">
        <is>
          <t>NULL</t>
        </is>
      </c>
      <c r="F1379" t="inlineStr">
        <is>
          <t>NULL</t>
        </is>
      </c>
      <c r="G1379" t="inlineStr">
        <is>
          <t>NULL</t>
        </is>
      </c>
      <c r="H1379" t="inlineStr">
        <is>
          <t>NULL</t>
        </is>
      </c>
      <c r="I1379" t="inlineStr">
        <is>
          <t>YES!PK__info_dat__3213E83F0155A89F</t>
        </is>
      </c>
      <c r="J1379" t="inlineStr">
        <is>
          <t>YES! 主键相关索引</t>
        </is>
      </c>
      <c r="K1379" t="inlineStr">
        <is>
          <t>YES! 	 id列源备映射正确，源端为int None位	期望更改为int	实际备端为int None位</t>
        </is>
      </c>
    </row>
    <row r="1380">
      <c r="B1380" t="inlineStr">
        <is>
          <t>NULL</t>
        </is>
      </c>
      <c r="C1380" t="inlineStr">
        <is>
          <t>NULL</t>
        </is>
      </c>
      <c r="D1380" t="inlineStr">
        <is>
          <t>NULL</t>
        </is>
      </c>
      <c r="E1380" t="inlineStr">
        <is>
          <t>NULL</t>
        </is>
      </c>
      <c r="F1380" t="inlineStr">
        <is>
          <t>NULL</t>
        </is>
      </c>
      <c r="G1380" t="inlineStr">
        <is>
          <t>NULL</t>
        </is>
      </c>
      <c r="H1380" t="inlineStr">
        <is>
          <t>NULL</t>
        </is>
      </c>
      <c r="I1380" t="inlineStr">
        <is>
          <t>NULL</t>
        </is>
      </c>
      <c r="J1380" t="inlineStr">
        <is>
          <t>NULL</t>
        </is>
      </c>
      <c r="K1380" t="inlineStr">
        <is>
          <t>[0;32m YES! [0m 	 c_dtoffset_0列源备映射正确，源端为datetimeoffset None位	期望更改为varchar(34)	实际备端为varchar 136位	位数精度不存在，通过长度比较</t>
        </is>
      </c>
    </row>
    <row r="1381">
      <c r="B1381" t="inlineStr">
        <is>
          <t>NULL</t>
        </is>
      </c>
      <c r="C1381" t="inlineStr">
        <is>
          <t>NULL</t>
        </is>
      </c>
      <c r="D1381" t="inlineStr">
        <is>
          <t>NULL</t>
        </is>
      </c>
      <c r="E1381" t="inlineStr">
        <is>
          <t>NULL</t>
        </is>
      </c>
      <c r="F1381" t="inlineStr">
        <is>
          <t>NULL</t>
        </is>
      </c>
      <c r="G1381" t="inlineStr">
        <is>
          <t>NULL</t>
        </is>
      </c>
      <c r="H1381" t="inlineStr">
        <is>
          <t>NULL</t>
        </is>
      </c>
      <c r="I1381" t="inlineStr">
        <is>
          <t>NULL</t>
        </is>
      </c>
      <c r="J1381" t="inlineStr">
        <is>
          <t>NULL</t>
        </is>
      </c>
      <c r="K1381" t="inlineStr">
        <is>
          <t>[0;32m YES! [0m 	 c_dtoffset_1列源备映射正确，源端为datetimeoffset None位	期望更改为varchar(34)	实际备端为varchar 136位	位数精度不存在，通过长度比较</t>
        </is>
      </c>
    </row>
    <row r="1382">
      <c r="B1382" t="inlineStr">
        <is>
          <t>NULL</t>
        </is>
      </c>
      <c r="C1382" t="inlineStr">
        <is>
          <t>NULL</t>
        </is>
      </c>
      <c r="D1382" t="inlineStr">
        <is>
          <t>NULL</t>
        </is>
      </c>
      <c r="E1382" t="inlineStr">
        <is>
          <t>NULL</t>
        </is>
      </c>
      <c r="F1382" t="inlineStr">
        <is>
          <t>NULL</t>
        </is>
      </c>
      <c r="G1382" t="inlineStr">
        <is>
          <t>NULL</t>
        </is>
      </c>
      <c r="H1382" t="inlineStr">
        <is>
          <t>NULL</t>
        </is>
      </c>
      <c r="I1382" t="inlineStr">
        <is>
          <t>NULL</t>
        </is>
      </c>
      <c r="J1382" t="inlineStr">
        <is>
          <t>NULL</t>
        </is>
      </c>
      <c r="K1382" t="inlineStr">
        <is>
          <t>[0;32m YES! [0m 	 c_dtoffset_2列源备映射正确，源端为datetimeoffset None位	期望更改为varchar(34)	实际备端为varchar 136位	位数精度不存在，通过长度比较</t>
        </is>
      </c>
    </row>
    <row r="1383">
      <c r="B1383" t="inlineStr">
        <is>
          <t>NULL</t>
        </is>
      </c>
      <c r="C1383" t="inlineStr">
        <is>
          <t>NULL</t>
        </is>
      </c>
      <c r="D1383" t="inlineStr">
        <is>
          <t>NULL</t>
        </is>
      </c>
      <c r="E1383" t="inlineStr">
        <is>
          <t>NULL</t>
        </is>
      </c>
      <c r="F1383" t="inlineStr">
        <is>
          <t>NULL</t>
        </is>
      </c>
      <c r="G1383" t="inlineStr">
        <is>
          <t>NULL</t>
        </is>
      </c>
      <c r="H1383" t="inlineStr">
        <is>
          <t>NULL</t>
        </is>
      </c>
      <c r="I1383" t="inlineStr">
        <is>
          <t>NULL</t>
        </is>
      </c>
      <c r="J1383" t="inlineStr">
        <is>
          <t>NULL</t>
        </is>
      </c>
      <c r="K1383" t="inlineStr">
        <is>
          <t>[0;32m YES! [0m 	 c_dtoffset_3列源备映射正确，源端为datetimeoffset None位	期望更改为varchar(34)	实际备端为varchar 136位	位数精度不存在，通过长度比较</t>
        </is>
      </c>
    </row>
    <row r="1384">
      <c r="B1384" t="inlineStr">
        <is>
          <t>NULL</t>
        </is>
      </c>
      <c r="C1384" t="inlineStr">
        <is>
          <t>NULL</t>
        </is>
      </c>
      <c r="D1384" t="inlineStr">
        <is>
          <t>NULL</t>
        </is>
      </c>
      <c r="E1384" t="inlineStr">
        <is>
          <t>NULL</t>
        </is>
      </c>
      <c r="F1384" t="inlineStr">
        <is>
          <t>NULL</t>
        </is>
      </c>
      <c r="G1384" t="inlineStr">
        <is>
          <t>NULL</t>
        </is>
      </c>
      <c r="H1384" t="inlineStr">
        <is>
          <t>NULL</t>
        </is>
      </c>
      <c r="I1384" t="inlineStr">
        <is>
          <t>NULL</t>
        </is>
      </c>
      <c r="J1384" t="inlineStr">
        <is>
          <t>NULL</t>
        </is>
      </c>
      <c r="K1384" t="inlineStr">
        <is>
          <t>[0;32m YES! [0m 	 c_dtoffset_4列源备映射正确，源端为datetimeoffset None位	期望更改为varchar(34)	实际备端为varchar 136位	位数精度不存在，通过长度比较</t>
        </is>
      </c>
    </row>
    <row r="1385">
      <c r="B1385" t="inlineStr">
        <is>
          <t>NULL</t>
        </is>
      </c>
      <c r="C1385" t="inlineStr">
        <is>
          <t>NULL</t>
        </is>
      </c>
      <c r="D1385" t="inlineStr">
        <is>
          <t>NULL</t>
        </is>
      </c>
      <c r="E1385" t="inlineStr">
        <is>
          <t>NULL</t>
        </is>
      </c>
      <c r="F1385" t="inlineStr">
        <is>
          <t>NULL</t>
        </is>
      </c>
      <c r="G1385" t="inlineStr">
        <is>
          <t>NULL</t>
        </is>
      </c>
      <c r="H1385" t="inlineStr">
        <is>
          <t>NULL</t>
        </is>
      </c>
      <c r="I1385" t="inlineStr">
        <is>
          <t>NULL</t>
        </is>
      </c>
      <c r="J1385" t="inlineStr">
        <is>
          <t>NULL</t>
        </is>
      </c>
      <c r="K1385" t="inlineStr">
        <is>
          <t>[0;32m YES! [0m 	 c_dtoffset_5列源备映射正确，源端为datetimeoffset None位	期望更改为varchar(34)	实际备端为varchar 136位	位数精度不存在，通过长度比较</t>
        </is>
      </c>
    </row>
    <row r="1386">
      <c r="B1386" t="inlineStr">
        <is>
          <t>NULL</t>
        </is>
      </c>
      <c r="C1386" t="inlineStr">
        <is>
          <t>NULL</t>
        </is>
      </c>
      <c r="D1386" t="inlineStr">
        <is>
          <t>NULL</t>
        </is>
      </c>
      <c r="E1386" t="inlineStr">
        <is>
          <t>NULL</t>
        </is>
      </c>
      <c r="F1386" t="inlineStr">
        <is>
          <t>NULL</t>
        </is>
      </c>
      <c r="G1386" t="inlineStr">
        <is>
          <t>NULL</t>
        </is>
      </c>
      <c r="H1386" t="inlineStr">
        <is>
          <t>NULL</t>
        </is>
      </c>
      <c r="I1386" t="inlineStr">
        <is>
          <t>NULL</t>
        </is>
      </c>
      <c r="J1386" t="inlineStr">
        <is>
          <t>NULL</t>
        </is>
      </c>
      <c r="K1386" t="inlineStr">
        <is>
          <t>[0;32m YES! [0m 	 c_dtoffset_6列源备映射正确，源端为datetimeoffset None位	期望更改为varchar(34)	实际备端为varchar 136位	位数精度不存在，通过长度比较</t>
        </is>
      </c>
    </row>
    <row r="1387">
      <c r="B1387" t="inlineStr">
        <is>
          <t>NULL</t>
        </is>
      </c>
      <c r="C1387" t="inlineStr">
        <is>
          <t>NULL</t>
        </is>
      </c>
      <c r="D1387" t="inlineStr">
        <is>
          <t>NULL</t>
        </is>
      </c>
      <c r="E1387" t="inlineStr">
        <is>
          <t>NULL</t>
        </is>
      </c>
      <c r="F1387" t="inlineStr">
        <is>
          <t>NULL</t>
        </is>
      </c>
      <c r="G1387" t="inlineStr">
        <is>
          <t>NULL</t>
        </is>
      </c>
      <c r="H1387" t="inlineStr">
        <is>
          <t>NULL</t>
        </is>
      </c>
      <c r="I1387" t="inlineStr">
        <is>
          <t>NULL</t>
        </is>
      </c>
      <c r="J1387" t="inlineStr">
        <is>
          <t>NULL</t>
        </is>
      </c>
      <c r="K1387" t="inlineStr">
        <is>
          <t>[0;32m YES! [0m 	 c_dtoffset列源备映射正确，源端为datetimeoffset None位	期望更改为varchar(34)	实际备端为varchar 136位	位数精度不存在，通过长度比较</t>
        </is>
      </c>
    </row>
    <row r="1388">
      <c r="K1388" t="inlineStr">
        <is>
          <t>~ 空表</t>
        </is>
      </c>
    </row>
    <row r="1389">
      <c r="A1389" t="inlineStr">
        <is>
          <t>info_varcharmax_dml_batch2_pk_irp1</t>
        </is>
      </c>
      <c r="K1389" t="inlineStr">
        <is>
          <t>[0;34m info_varcharmax_dml_batch2_pk_irp1 [0m源备字段数相同，源端字段：3 	备端字段3</t>
        </is>
      </c>
      <c r="W1389" t="inlineStr">
        <is>
          <t>YES 源备无差异</t>
        </is>
      </c>
      <c r="X1389">
        <f>A1389</f>
        <v/>
      </c>
    </row>
    <row r="1390">
      <c r="B1390" t="inlineStr">
        <is>
          <t>YES</t>
        </is>
      </c>
      <c r="C1390" t="inlineStr">
        <is>
          <t>NULL</t>
        </is>
      </c>
      <c r="D1390" t="inlineStr">
        <is>
          <t>NULL</t>
        </is>
      </c>
      <c r="E1390" t="inlineStr">
        <is>
          <t>NULL</t>
        </is>
      </c>
      <c r="F1390" t="inlineStr">
        <is>
          <t>NULL</t>
        </is>
      </c>
      <c r="G1390" t="inlineStr">
        <is>
          <t>NULL</t>
        </is>
      </c>
      <c r="H1390" t="inlineStr">
        <is>
          <t>NULL</t>
        </is>
      </c>
      <c r="I1390" t="inlineStr">
        <is>
          <t>YES!PK__info_var__3213E83F7B4AD6A5</t>
        </is>
      </c>
      <c r="J1390" t="inlineStr">
        <is>
          <t>YES! 主键相关索引</t>
        </is>
      </c>
      <c r="K1390" t="inlineStr">
        <is>
          <t>YES! 	 id列源备映射正确，源端为int None位	期望更改为int	实际备端为int None位</t>
        </is>
      </c>
    </row>
    <row r="1391">
      <c r="B1391" t="inlineStr">
        <is>
          <t>NULL</t>
        </is>
      </c>
      <c r="C1391" t="inlineStr">
        <is>
          <t>NULL</t>
        </is>
      </c>
      <c r="D1391" t="inlineStr">
        <is>
          <t>NULL</t>
        </is>
      </c>
      <c r="E1391" t="inlineStr">
        <is>
          <t>NULL</t>
        </is>
      </c>
      <c r="F1391" t="inlineStr">
        <is>
          <t>NULL</t>
        </is>
      </c>
      <c r="G1391" t="inlineStr">
        <is>
          <t>NULL</t>
        </is>
      </c>
      <c r="H1391" t="inlineStr">
        <is>
          <t>NULL</t>
        </is>
      </c>
      <c r="I1391" t="inlineStr">
        <is>
          <t>NULL</t>
        </is>
      </c>
      <c r="J1391" t="inlineStr">
        <is>
          <t>NULL</t>
        </is>
      </c>
      <c r="K1391" t="inlineStr">
        <is>
          <t>YES! 	 c_varchar_max列源备映射正确，源端为varchar -1位	期望更改为longtext	实际备端为longtext 4294967295位</t>
        </is>
      </c>
    </row>
    <row r="1392">
      <c r="B1392" t="inlineStr">
        <is>
          <t>NULL</t>
        </is>
      </c>
      <c r="C1392" t="inlineStr">
        <is>
          <t>NULL</t>
        </is>
      </c>
      <c r="D1392" t="inlineStr">
        <is>
          <t>NULL</t>
        </is>
      </c>
      <c r="E1392" t="inlineStr">
        <is>
          <t>NULL</t>
        </is>
      </c>
      <c r="F1392" t="inlineStr">
        <is>
          <t>NULL</t>
        </is>
      </c>
      <c r="G1392" t="inlineStr">
        <is>
          <t>NULL</t>
        </is>
      </c>
      <c r="H1392" t="inlineStr">
        <is>
          <t>NULL</t>
        </is>
      </c>
      <c r="I1392" t="inlineStr">
        <is>
          <t>NULL</t>
        </is>
      </c>
      <c r="J1392" t="inlineStr">
        <is>
          <t>NULL</t>
        </is>
      </c>
      <c r="K1392" t="inlineStr">
        <is>
          <t>YES! 	 c_nvarchar_max列源备映射正确，源端为nvarchar -1位	期望更改为longtext	实际备端为longtext 4294967295位</t>
        </is>
      </c>
    </row>
    <row r="1393">
      <c r="K1393" t="inlineStr">
        <is>
          <t>~ 空表</t>
        </is>
      </c>
    </row>
    <row r="1394">
      <c r="A1394" t="inlineStr">
        <is>
          <t>info_datetimeoffset_dml_single_pk_irp</t>
        </is>
      </c>
      <c r="K1394" t="inlineStr">
        <is>
          <t>[0;34m info_datetimeoffset_dml_single_pk_irp [0m源备字段数相同，源端字段：9 	备端字段9</t>
        </is>
      </c>
      <c r="W1394" t="inlineStr">
        <is>
          <t>YES 源备无差异</t>
        </is>
      </c>
      <c r="X1394">
        <f>A1394</f>
        <v/>
      </c>
    </row>
    <row r="1395">
      <c r="B1395" t="inlineStr">
        <is>
          <t>YES</t>
        </is>
      </c>
      <c r="C1395" t="inlineStr">
        <is>
          <t>NULL</t>
        </is>
      </c>
      <c r="D1395" t="inlineStr">
        <is>
          <t>NULL</t>
        </is>
      </c>
      <c r="E1395" t="inlineStr">
        <is>
          <t>NULL</t>
        </is>
      </c>
      <c r="F1395" t="inlineStr">
        <is>
          <t>NULL</t>
        </is>
      </c>
      <c r="G1395" t="inlineStr">
        <is>
          <t>NULL</t>
        </is>
      </c>
      <c r="H1395" t="inlineStr">
        <is>
          <t>NULL</t>
        </is>
      </c>
      <c r="I1395" t="inlineStr">
        <is>
          <t>YES!PK__info_dat__3213E83FC574CA33</t>
        </is>
      </c>
      <c r="J1395" t="inlineStr">
        <is>
          <t>YES! 主键相关索引</t>
        </is>
      </c>
      <c r="K1395" t="inlineStr">
        <is>
          <t>YES! 	 id列源备映射正确，源端为int None位	期望更改为int	实际备端为int None位</t>
        </is>
      </c>
    </row>
    <row r="1396">
      <c r="B1396" t="inlineStr">
        <is>
          <t>NULL</t>
        </is>
      </c>
      <c r="C1396" t="inlineStr">
        <is>
          <t>NULL</t>
        </is>
      </c>
      <c r="D1396" t="inlineStr">
        <is>
          <t>NULL</t>
        </is>
      </c>
      <c r="E1396" t="inlineStr">
        <is>
          <t>NULL</t>
        </is>
      </c>
      <c r="F1396" t="inlineStr">
        <is>
          <t>NULL</t>
        </is>
      </c>
      <c r="G1396" t="inlineStr">
        <is>
          <t>NULL</t>
        </is>
      </c>
      <c r="H1396" t="inlineStr">
        <is>
          <t>NULL</t>
        </is>
      </c>
      <c r="I1396" t="inlineStr">
        <is>
          <t>NULL</t>
        </is>
      </c>
      <c r="J1396" t="inlineStr">
        <is>
          <t>NULL</t>
        </is>
      </c>
      <c r="K1396" t="inlineStr">
        <is>
          <t>[0;32m YES! [0m 	 c_dtoffset_0列源备映射正确，源端为datetimeoffset None位	期望更改为varchar(34)	实际备端为varchar 136位	位数精度不存在，通过长度比较</t>
        </is>
      </c>
    </row>
    <row r="1397">
      <c r="B1397" t="inlineStr">
        <is>
          <t>NULL</t>
        </is>
      </c>
      <c r="C1397" t="inlineStr">
        <is>
          <t>NULL</t>
        </is>
      </c>
      <c r="D1397" t="inlineStr">
        <is>
          <t>NULL</t>
        </is>
      </c>
      <c r="E1397" t="inlineStr">
        <is>
          <t>NULL</t>
        </is>
      </c>
      <c r="F1397" t="inlineStr">
        <is>
          <t>NULL</t>
        </is>
      </c>
      <c r="G1397" t="inlineStr">
        <is>
          <t>NULL</t>
        </is>
      </c>
      <c r="H1397" t="inlineStr">
        <is>
          <t>NULL</t>
        </is>
      </c>
      <c r="I1397" t="inlineStr">
        <is>
          <t>NULL</t>
        </is>
      </c>
      <c r="J1397" t="inlineStr">
        <is>
          <t>NULL</t>
        </is>
      </c>
      <c r="K1397" t="inlineStr">
        <is>
          <t>[0;32m YES! [0m 	 c_dtoffset_1列源备映射正确，源端为datetimeoffset None位	期望更改为varchar(34)	实际备端为varchar 136位	位数精度不存在，通过长度比较</t>
        </is>
      </c>
    </row>
    <row r="1398">
      <c r="B1398" t="inlineStr">
        <is>
          <t>NULL</t>
        </is>
      </c>
      <c r="C1398" t="inlineStr">
        <is>
          <t>NULL</t>
        </is>
      </c>
      <c r="D1398" t="inlineStr">
        <is>
          <t>NULL</t>
        </is>
      </c>
      <c r="E1398" t="inlineStr">
        <is>
          <t>NULL</t>
        </is>
      </c>
      <c r="F1398" t="inlineStr">
        <is>
          <t>NULL</t>
        </is>
      </c>
      <c r="G1398" t="inlineStr">
        <is>
          <t>NULL</t>
        </is>
      </c>
      <c r="H1398" t="inlineStr">
        <is>
          <t>NULL</t>
        </is>
      </c>
      <c r="I1398" t="inlineStr">
        <is>
          <t>NULL</t>
        </is>
      </c>
      <c r="J1398" t="inlineStr">
        <is>
          <t>NULL</t>
        </is>
      </c>
      <c r="K1398" t="inlineStr">
        <is>
          <t>[0;32m YES! [0m 	 c_dtoffset_2列源备映射正确，源端为datetimeoffset None位	期望更改为varchar(34)	实际备端为varchar 136位	位数精度不存在，通过长度比较</t>
        </is>
      </c>
    </row>
    <row r="1399">
      <c r="B1399" t="inlineStr">
        <is>
          <t>NULL</t>
        </is>
      </c>
      <c r="C1399" t="inlineStr">
        <is>
          <t>NULL</t>
        </is>
      </c>
      <c r="D1399" t="inlineStr">
        <is>
          <t>NULL</t>
        </is>
      </c>
      <c r="E1399" t="inlineStr">
        <is>
          <t>NULL</t>
        </is>
      </c>
      <c r="F1399" t="inlineStr">
        <is>
          <t>NULL</t>
        </is>
      </c>
      <c r="G1399" t="inlineStr">
        <is>
          <t>NULL</t>
        </is>
      </c>
      <c r="H1399" t="inlineStr">
        <is>
          <t>NULL</t>
        </is>
      </c>
      <c r="I1399" t="inlineStr">
        <is>
          <t>NULL</t>
        </is>
      </c>
      <c r="J1399" t="inlineStr">
        <is>
          <t>NULL</t>
        </is>
      </c>
      <c r="K1399" t="inlineStr">
        <is>
          <t>[0;32m YES! [0m 	 c_dtoffset_3列源备映射正确，源端为datetimeoffset None位	期望更改为varchar(34)	实际备端为varchar 136位	位数精度不存在，通过长度比较</t>
        </is>
      </c>
    </row>
    <row r="1400">
      <c r="B1400" t="inlineStr">
        <is>
          <t>NULL</t>
        </is>
      </c>
      <c r="C1400" t="inlineStr">
        <is>
          <t>NULL</t>
        </is>
      </c>
      <c r="D1400" t="inlineStr">
        <is>
          <t>NULL</t>
        </is>
      </c>
      <c r="E1400" t="inlineStr">
        <is>
          <t>NULL</t>
        </is>
      </c>
      <c r="F1400" t="inlineStr">
        <is>
          <t>NULL</t>
        </is>
      </c>
      <c r="G1400" t="inlineStr">
        <is>
          <t>NULL</t>
        </is>
      </c>
      <c r="H1400" t="inlineStr">
        <is>
          <t>NULL</t>
        </is>
      </c>
      <c r="I1400" t="inlineStr">
        <is>
          <t>NULL</t>
        </is>
      </c>
      <c r="J1400" t="inlineStr">
        <is>
          <t>NULL</t>
        </is>
      </c>
      <c r="K1400" t="inlineStr">
        <is>
          <t>[0;32m YES! [0m 	 c_dtoffset_4列源备映射正确，源端为datetimeoffset None位	期望更改为varchar(34)	实际备端为varchar 136位	位数精度不存在，通过长度比较</t>
        </is>
      </c>
    </row>
    <row r="1401">
      <c r="B1401" t="inlineStr">
        <is>
          <t>NULL</t>
        </is>
      </c>
      <c r="C1401" t="inlineStr">
        <is>
          <t>NULL</t>
        </is>
      </c>
      <c r="D1401" t="inlineStr">
        <is>
          <t>NULL</t>
        </is>
      </c>
      <c r="E1401" t="inlineStr">
        <is>
          <t>NULL</t>
        </is>
      </c>
      <c r="F1401" t="inlineStr">
        <is>
          <t>NULL</t>
        </is>
      </c>
      <c r="G1401" t="inlineStr">
        <is>
          <t>NULL</t>
        </is>
      </c>
      <c r="H1401" t="inlineStr">
        <is>
          <t>NULL</t>
        </is>
      </c>
      <c r="I1401" t="inlineStr">
        <is>
          <t>NULL</t>
        </is>
      </c>
      <c r="J1401" t="inlineStr">
        <is>
          <t>NULL</t>
        </is>
      </c>
      <c r="K1401" t="inlineStr">
        <is>
          <t>[0;32m YES! [0m 	 c_dtoffset_5列源备映射正确，源端为datetimeoffset None位	期望更改为varchar(34)	实际备端为varchar 136位	位数精度不存在，通过长度比较</t>
        </is>
      </c>
    </row>
    <row r="1402">
      <c r="B1402" t="inlineStr">
        <is>
          <t>NULL</t>
        </is>
      </c>
      <c r="C1402" t="inlineStr">
        <is>
          <t>NULL</t>
        </is>
      </c>
      <c r="D1402" t="inlineStr">
        <is>
          <t>NULL</t>
        </is>
      </c>
      <c r="E1402" t="inlineStr">
        <is>
          <t>NULL</t>
        </is>
      </c>
      <c r="F1402" t="inlineStr">
        <is>
          <t>NULL</t>
        </is>
      </c>
      <c r="G1402" t="inlineStr">
        <is>
          <t>NULL</t>
        </is>
      </c>
      <c r="H1402" t="inlineStr">
        <is>
          <t>NULL</t>
        </is>
      </c>
      <c r="I1402" t="inlineStr">
        <is>
          <t>NULL</t>
        </is>
      </c>
      <c r="J1402" t="inlineStr">
        <is>
          <t>NULL</t>
        </is>
      </c>
      <c r="K1402" t="inlineStr">
        <is>
          <t>[0;32m YES! [0m 	 c_dtoffset_6列源备映射正确，源端为datetimeoffset None位	期望更改为varchar(34)	实际备端为varchar 136位	位数精度不存在，通过长度比较</t>
        </is>
      </c>
    </row>
    <row r="1403">
      <c r="B1403" t="inlineStr">
        <is>
          <t>NULL</t>
        </is>
      </c>
      <c r="C1403" t="inlineStr">
        <is>
          <t>NULL</t>
        </is>
      </c>
      <c r="D1403" t="inlineStr">
        <is>
          <t>NULL</t>
        </is>
      </c>
      <c r="E1403" t="inlineStr">
        <is>
          <t>NULL</t>
        </is>
      </c>
      <c r="F1403" t="inlineStr">
        <is>
          <t>NULL</t>
        </is>
      </c>
      <c r="G1403" t="inlineStr">
        <is>
          <t>NULL</t>
        </is>
      </c>
      <c r="H1403" t="inlineStr">
        <is>
          <t>NULL</t>
        </is>
      </c>
      <c r="I1403" t="inlineStr">
        <is>
          <t>NULL</t>
        </is>
      </c>
      <c r="J1403" t="inlineStr">
        <is>
          <t>NULL</t>
        </is>
      </c>
      <c r="K1403" t="inlineStr">
        <is>
          <t>[0;32m YES! [0m 	 c_dtoffset列源备映射正确，源端为datetimeoffset None位	期望更改为varchar(34)	实际备端为varchar 136位	位数精度不存在，通过长度比较</t>
        </is>
      </c>
    </row>
    <row r="1404">
      <c r="A1404" t="inlineStr">
        <is>
          <t>info_datetime_dml_single_nopk_drp</t>
        </is>
      </c>
      <c r="K1404" t="inlineStr">
        <is>
          <t>[0;34m info_datetime_dml_single_nopk_drp [0m源备字段数相同，源端字段：2 	备端字段2</t>
        </is>
      </c>
      <c r="W1404" t="inlineStr">
        <is>
          <t>YES 源备无差异</t>
        </is>
      </c>
      <c r="X1404">
        <f>A1404</f>
        <v/>
      </c>
    </row>
    <row r="1405">
      <c r="B1405" t="inlineStr">
        <is>
          <t>NULL</t>
        </is>
      </c>
      <c r="C1405" t="inlineStr">
        <is>
          <t>NULL</t>
        </is>
      </c>
      <c r="D1405" t="inlineStr">
        <is>
          <t>NULL</t>
        </is>
      </c>
      <c r="E1405" t="inlineStr">
        <is>
          <t>NULL</t>
        </is>
      </c>
      <c r="F1405" t="inlineStr">
        <is>
          <t>NULL</t>
        </is>
      </c>
      <c r="G1405" t="inlineStr">
        <is>
          <t>NULL</t>
        </is>
      </c>
      <c r="H1405" t="inlineStr">
        <is>
          <t>NULL</t>
        </is>
      </c>
      <c r="I1405" t="inlineStr">
        <is>
          <t>NULL</t>
        </is>
      </c>
      <c r="J1405" t="inlineStr">
        <is>
          <t>NULL</t>
        </is>
      </c>
      <c r="K1405" t="inlineStr">
        <is>
          <t>YES! 	 id列源备映射正确，源端为int None位	期望更改为int	实际备端为int None位</t>
        </is>
      </c>
    </row>
    <row r="1406">
      <c r="B1406" t="inlineStr">
        <is>
          <t>NULL</t>
        </is>
      </c>
      <c r="C1406" t="inlineStr">
        <is>
          <t>NO!源None备NUL</t>
        </is>
      </c>
      <c r="D1406" t="inlineStr">
        <is>
          <t>NULL</t>
        </is>
      </c>
      <c r="E1406" t="inlineStr">
        <is>
          <t>NULL</t>
        </is>
      </c>
      <c r="F1406" t="inlineStr">
        <is>
          <t>NULL</t>
        </is>
      </c>
      <c r="G1406" t="inlineStr">
        <is>
          <t>NULL</t>
        </is>
      </c>
      <c r="H1406" t="inlineStr">
        <is>
          <t>NULL</t>
        </is>
      </c>
      <c r="I1406" t="inlineStr">
        <is>
          <t>NULL</t>
        </is>
      </c>
      <c r="J1406" t="inlineStr">
        <is>
          <t>NULL</t>
        </is>
      </c>
      <c r="K1406" t="inlineStr">
        <is>
          <t>YES! 	 c_datetime列源备映射正确，源端为datetime None位	期望更改为datetime(3)	实际备端为datetime None位</t>
        </is>
      </c>
    </row>
    <row r="1407">
      <c r="A1407" t="inlineStr">
        <is>
          <t>info_datetime2_dml_single_pk</t>
        </is>
      </c>
      <c r="K1407" t="inlineStr">
        <is>
          <t>[0;34m info_datetime2_dml_single_pk [0m源备字段数相同，源端字段：9 	备端字段9</t>
        </is>
      </c>
      <c r="W1407" t="inlineStr">
        <is>
          <t>YES 源备无差异</t>
        </is>
      </c>
      <c r="X1407">
        <f>A1407</f>
        <v/>
      </c>
    </row>
    <row r="1408">
      <c r="B1408" t="inlineStr">
        <is>
          <t>YES</t>
        </is>
      </c>
      <c r="C1408" t="inlineStr">
        <is>
          <t>NULL</t>
        </is>
      </c>
      <c r="D1408" t="inlineStr">
        <is>
          <t>NULL</t>
        </is>
      </c>
      <c r="E1408" t="inlineStr">
        <is>
          <t>NULL</t>
        </is>
      </c>
      <c r="F1408" t="inlineStr">
        <is>
          <t>NULL</t>
        </is>
      </c>
      <c r="G1408" t="inlineStr">
        <is>
          <t>NULL</t>
        </is>
      </c>
      <c r="H1408" t="inlineStr">
        <is>
          <t>NULL</t>
        </is>
      </c>
      <c r="I1408" t="inlineStr">
        <is>
          <t>YES!PK__info_dat__3213E83FBD2E2D87</t>
        </is>
      </c>
      <c r="J1408" t="inlineStr">
        <is>
          <t>YES! 主键相关索引</t>
        </is>
      </c>
      <c r="K1408" t="inlineStr">
        <is>
          <t>YES! 	 id列源备映射正确，源端为int None位	期望更改为int	实际备端为int None位</t>
        </is>
      </c>
    </row>
    <row r="1409">
      <c r="B1409" t="inlineStr">
        <is>
          <t>NULL</t>
        </is>
      </c>
      <c r="C1409" t="inlineStr">
        <is>
          <t>NULL</t>
        </is>
      </c>
      <c r="D1409" t="inlineStr">
        <is>
          <t>NULL</t>
        </is>
      </c>
      <c r="E1409" t="inlineStr">
        <is>
          <t>NULL</t>
        </is>
      </c>
      <c r="F1409" t="inlineStr">
        <is>
          <t>NULL</t>
        </is>
      </c>
      <c r="G1409" t="inlineStr">
        <is>
          <t>NULL</t>
        </is>
      </c>
      <c r="H1409" t="inlineStr">
        <is>
          <t>NULL</t>
        </is>
      </c>
      <c r="I1409" t="inlineStr">
        <is>
          <t>NULL</t>
        </is>
      </c>
      <c r="J1409" t="inlineStr">
        <is>
          <t>NULL</t>
        </is>
      </c>
      <c r="K1409" t="inlineStr">
        <is>
          <t>no,len不存在</t>
        </is>
      </c>
    </row>
    <row r="1410">
      <c r="B1410" t="inlineStr">
        <is>
          <t>NULL</t>
        </is>
      </c>
      <c r="C1410" t="inlineStr">
        <is>
          <t>NULL</t>
        </is>
      </c>
      <c r="D1410" t="inlineStr">
        <is>
          <t>NULL</t>
        </is>
      </c>
      <c r="E1410" t="inlineStr">
        <is>
          <t>NULL</t>
        </is>
      </c>
      <c r="F1410" t="inlineStr">
        <is>
          <t>NULL</t>
        </is>
      </c>
      <c r="G1410" t="inlineStr">
        <is>
          <t>NULL</t>
        </is>
      </c>
      <c r="H1410" t="inlineStr">
        <is>
          <t>NULL</t>
        </is>
      </c>
      <c r="I1410" t="inlineStr">
        <is>
          <t>NULL</t>
        </is>
      </c>
      <c r="J1410" t="inlineStr">
        <is>
          <t>NULL</t>
        </is>
      </c>
      <c r="K1410" t="inlineStr">
        <is>
          <t>YES! 	 c_dt2_1列源备映射正确，源端为datetime2 None位	期望更改为datetime(n)	实际备端为datetime None位</t>
        </is>
      </c>
    </row>
    <row r="1411">
      <c r="B1411" t="inlineStr">
        <is>
          <t>NULL</t>
        </is>
      </c>
      <c r="C1411" t="inlineStr">
        <is>
          <t>NULL</t>
        </is>
      </c>
      <c r="D1411" t="inlineStr">
        <is>
          <t>NULL</t>
        </is>
      </c>
      <c r="E1411" t="inlineStr">
        <is>
          <t>NULL</t>
        </is>
      </c>
      <c r="F1411" t="inlineStr">
        <is>
          <t>NULL</t>
        </is>
      </c>
      <c r="G1411" t="inlineStr">
        <is>
          <t>NULL</t>
        </is>
      </c>
      <c r="H1411" t="inlineStr">
        <is>
          <t>NULL</t>
        </is>
      </c>
      <c r="I1411" t="inlineStr">
        <is>
          <t>NULL</t>
        </is>
      </c>
      <c r="J1411" t="inlineStr">
        <is>
          <t>NULL</t>
        </is>
      </c>
      <c r="K1411" t="inlineStr">
        <is>
          <t>YES! 	 c_dt2_2列源备映射正确，源端为datetime2 None位	期望更改为datetime(n)	实际备端为datetime None位</t>
        </is>
      </c>
    </row>
    <row r="1412">
      <c r="B1412" t="inlineStr">
        <is>
          <t>NULL</t>
        </is>
      </c>
      <c r="C1412" t="inlineStr">
        <is>
          <t>NULL</t>
        </is>
      </c>
      <c r="D1412" t="inlineStr">
        <is>
          <t>NULL</t>
        </is>
      </c>
      <c r="E1412" t="inlineStr">
        <is>
          <t>NULL</t>
        </is>
      </c>
      <c r="F1412" t="inlineStr">
        <is>
          <t>NULL</t>
        </is>
      </c>
      <c r="G1412" t="inlineStr">
        <is>
          <t>NULL</t>
        </is>
      </c>
      <c r="H1412" t="inlineStr">
        <is>
          <t>NULL</t>
        </is>
      </c>
      <c r="I1412" t="inlineStr">
        <is>
          <t>NULL</t>
        </is>
      </c>
      <c r="J1412" t="inlineStr">
        <is>
          <t>NULL</t>
        </is>
      </c>
      <c r="K1412" t="inlineStr">
        <is>
          <t>YES! 	 c_dt2_3列源备映射正确，源端为datetime2 None位	期望更改为datetime(n)	实际备端为datetime None位</t>
        </is>
      </c>
    </row>
    <row r="1413">
      <c r="B1413" t="inlineStr">
        <is>
          <t>NULL</t>
        </is>
      </c>
      <c r="C1413" t="inlineStr">
        <is>
          <t>NULL</t>
        </is>
      </c>
      <c r="D1413" t="inlineStr">
        <is>
          <t>NULL</t>
        </is>
      </c>
      <c r="E1413" t="inlineStr">
        <is>
          <t>NULL</t>
        </is>
      </c>
      <c r="F1413" t="inlineStr">
        <is>
          <t>NULL</t>
        </is>
      </c>
      <c r="G1413" t="inlineStr">
        <is>
          <t>NULL</t>
        </is>
      </c>
      <c r="H1413" t="inlineStr">
        <is>
          <t>NULL</t>
        </is>
      </c>
      <c r="I1413" t="inlineStr">
        <is>
          <t>NULL</t>
        </is>
      </c>
      <c r="J1413" t="inlineStr">
        <is>
          <t>NULL</t>
        </is>
      </c>
      <c r="K1413" t="inlineStr">
        <is>
          <t>YES! 	 c_dt2_4列源备映射正确，源端为datetime2 None位	期望更改为datetime(n)	实际备端为datetime None位</t>
        </is>
      </c>
    </row>
    <row r="1414">
      <c r="B1414" t="inlineStr">
        <is>
          <t>NULL</t>
        </is>
      </c>
      <c r="C1414" t="inlineStr">
        <is>
          <t>NULL</t>
        </is>
      </c>
      <c r="D1414" t="inlineStr">
        <is>
          <t>NULL</t>
        </is>
      </c>
      <c r="E1414" t="inlineStr">
        <is>
          <t>NULL</t>
        </is>
      </c>
      <c r="F1414" t="inlineStr">
        <is>
          <t>NULL</t>
        </is>
      </c>
      <c r="G1414" t="inlineStr">
        <is>
          <t>NULL</t>
        </is>
      </c>
      <c r="H1414" t="inlineStr">
        <is>
          <t>NULL</t>
        </is>
      </c>
      <c r="I1414" t="inlineStr">
        <is>
          <t>NULL</t>
        </is>
      </c>
      <c r="J1414" t="inlineStr">
        <is>
          <t>NULL</t>
        </is>
      </c>
      <c r="K1414" t="inlineStr">
        <is>
          <t>YES! 	 c_dt2_5列源备映射正确，源端为datetime2 None位	期望更改为datetime(n)	实际备端为datetime None位</t>
        </is>
      </c>
    </row>
    <row r="1415">
      <c r="B1415" t="inlineStr">
        <is>
          <t>NULL</t>
        </is>
      </c>
      <c r="C1415" t="inlineStr">
        <is>
          <t>NULL</t>
        </is>
      </c>
      <c r="D1415" t="inlineStr">
        <is>
          <t>NULL</t>
        </is>
      </c>
      <c r="E1415" t="inlineStr">
        <is>
          <t>NULL</t>
        </is>
      </c>
      <c r="F1415" t="inlineStr">
        <is>
          <t>NULL</t>
        </is>
      </c>
      <c r="G1415" t="inlineStr">
        <is>
          <t>NULL</t>
        </is>
      </c>
      <c r="H1415" t="inlineStr">
        <is>
          <t>NULL</t>
        </is>
      </c>
      <c r="I1415" t="inlineStr">
        <is>
          <t>NULL</t>
        </is>
      </c>
      <c r="J1415" t="inlineStr">
        <is>
          <t>NULL</t>
        </is>
      </c>
      <c r="K1415" t="inlineStr">
        <is>
          <t>YES! 	 c_dt2_6列源备映射正确，源端为datetime2 None位	期望更改为datetime(n)	实际备端为datetime None位</t>
        </is>
      </c>
    </row>
    <row r="1416">
      <c r="B1416" t="inlineStr">
        <is>
          <t>NULL</t>
        </is>
      </c>
      <c r="C1416" t="inlineStr">
        <is>
          <t>NULL</t>
        </is>
      </c>
      <c r="D1416" t="inlineStr">
        <is>
          <t>NULL</t>
        </is>
      </c>
      <c r="E1416" t="inlineStr">
        <is>
          <t>NULL</t>
        </is>
      </c>
      <c r="F1416" t="inlineStr">
        <is>
          <t>NULL</t>
        </is>
      </c>
      <c r="G1416" t="inlineStr">
        <is>
          <t>NULL</t>
        </is>
      </c>
      <c r="H1416" t="inlineStr">
        <is>
          <t>NULL</t>
        </is>
      </c>
      <c r="I1416" t="inlineStr">
        <is>
          <t>NULL</t>
        </is>
      </c>
      <c r="J1416" t="inlineStr">
        <is>
          <t>NULL</t>
        </is>
      </c>
      <c r="K1416" t="inlineStr">
        <is>
          <t xml:space="preserve"> NO!  	 c_dt2列源备映射错误，源端为datetime2 None位	期望更改为datetime(n)	实际备端为varchar 136位</t>
        </is>
      </c>
    </row>
    <row r="1417">
      <c r="A1417" t="inlineStr">
        <is>
          <t>info_datetimeoffset_dml_batch1_pk_drp2</t>
        </is>
      </c>
      <c r="K1417" t="inlineStr">
        <is>
          <t>[0;34m info_datetimeoffset_dml_batch1_pk_drp2 [0m源备字段数相同，源端字段：9 	备端字段9</t>
        </is>
      </c>
      <c r="W1417" t="inlineStr">
        <is>
          <t>YES 源备无差异</t>
        </is>
      </c>
      <c r="X1417">
        <f>A1417</f>
        <v/>
      </c>
    </row>
    <row r="1418">
      <c r="B1418" t="inlineStr">
        <is>
          <t>YES</t>
        </is>
      </c>
      <c r="C1418" t="inlineStr">
        <is>
          <t>NULL</t>
        </is>
      </c>
      <c r="D1418" t="inlineStr">
        <is>
          <t>NULL</t>
        </is>
      </c>
      <c r="E1418" t="inlineStr">
        <is>
          <t>NULL</t>
        </is>
      </c>
      <c r="F1418" t="inlineStr">
        <is>
          <t>NULL</t>
        </is>
      </c>
      <c r="G1418" t="inlineStr">
        <is>
          <t>NULL</t>
        </is>
      </c>
      <c r="H1418" t="inlineStr">
        <is>
          <t>NULL</t>
        </is>
      </c>
      <c r="I1418" t="inlineStr">
        <is>
          <t>YES!PK__info_dat__3213E83F76C7AF85</t>
        </is>
      </c>
      <c r="J1418" t="inlineStr">
        <is>
          <t>YES! 主键相关索引</t>
        </is>
      </c>
      <c r="K1418" t="inlineStr">
        <is>
          <t>YES! 	 id列源备映射正确，源端为int None位	期望更改为int	实际备端为int None位</t>
        </is>
      </c>
    </row>
    <row r="1419">
      <c r="B1419" t="inlineStr">
        <is>
          <t>NULL</t>
        </is>
      </c>
      <c r="C1419" t="inlineStr">
        <is>
          <t>NULL</t>
        </is>
      </c>
      <c r="D1419" t="inlineStr">
        <is>
          <t>NULL</t>
        </is>
      </c>
      <c r="E1419" t="inlineStr">
        <is>
          <t>NULL</t>
        </is>
      </c>
      <c r="F1419" t="inlineStr">
        <is>
          <t>NULL</t>
        </is>
      </c>
      <c r="G1419" t="inlineStr">
        <is>
          <t>NULL</t>
        </is>
      </c>
      <c r="H1419" t="inlineStr">
        <is>
          <t>NULL</t>
        </is>
      </c>
      <c r="I1419" t="inlineStr">
        <is>
          <t>NULL</t>
        </is>
      </c>
      <c r="J1419" t="inlineStr">
        <is>
          <t>NULL</t>
        </is>
      </c>
      <c r="K1419" t="inlineStr">
        <is>
          <t>[0;32m YES! [0m 	 c_dtoffset_0列源备映射正确，源端为datetimeoffset None位	期望更改为varchar(34)	实际备端为varchar 136位	位数精度不存在，通过长度比较</t>
        </is>
      </c>
    </row>
    <row r="1420">
      <c r="B1420" t="inlineStr">
        <is>
          <t>NULL</t>
        </is>
      </c>
      <c r="C1420" t="inlineStr">
        <is>
          <t>NULL</t>
        </is>
      </c>
      <c r="D1420" t="inlineStr">
        <is>
          <t>NULL</t>
        </is>
      </c>
      <c r="E1420" t="inlineStr">
        <is>
          <t>NULL</t>
        </is>
      </c>
      <c r="F1420" t="inlineStr">
        <is>
          <t>NULL</t>
        </is>
      </c>
      <c r="G1420" t="inlineStr">
        <is>
          <t>NULL</t>
        </is>
      </c>
      <c r="H1420" t="inlineStr">
        <is>
          <t>NULL</t>
        </is>
      </c>
      <c r="I1420" t="inlineStr">
        <is>
          <t>NULL</t>
        </is>
      </c>
      <c r="J1420" t="inlineStr">
        <is>
          <t>NULL</t>
        </is>
      </c>
      <c r="K1420" t="inlineStr">
        <is>
          <t>[0;32m YES! [0m 	 c_dtoffset_1列源备映射正确，源端为datetimeoffset None位	期望更改为varchar(34)	实际备端为varchar 136位	位数精度不存在，通过长度比较</t>
        </is>
      </c>
    </row>
    <row r="1421">
      <c r="B1421" t="inlineStr">
        <is>
          <t>NULL</t>
        </is>
      </c>
      <c r="C1421" t="inlineStr">
        <is>
          <t>NULL</t>
        </is>
      </c>
      <c r="D1421" t="inlineStr">
        <is>
          <t>NULL</t>
        </is>
      </c>
      <c r="E1421" t="inlineStr">
        <is>
          <t>NULL</t>
        </is>
      </c>
      <c r="F1421" t="inlineStr">
        <is>
          <t>NULL</t>
        </is>
      </c>
      <c r="G1421" t="inlineStr">
        <is>
          <t>NULL</t>
        </is>
      </c>
      <c r="H1421" t="inlineStr">
        <is>
          <t>NULL</t>
        </is>
      </c>
      <c r="I1421" t="inlineStr">
        <is>
          <t>NULL</t>
        </is>
      </c>
      <c r="J1421" t="inlineStr">
        <is>
          <t>NULL</t>
        </is>
      </c>
      <c r="K1421" t="inlineStr">
        <is>
          <t>[0;32m YES! [0m 	 c_dtoffset_2列源备映射正确，源端为datetimeoffset None位	期望更改为varchar(34)	实际备端为varchar 136位	位数精度不存在，通过长度比较</t>
        </is>
      </c>
    </row>
    <row r="1422">
      <c r="B1422" t="inlineStr">
        <is>
          <t>NULL</t>
        </is>
      </c>
      <c r="C1422" t="inlineStr">
        <is>
          <t>NULL</t>
        </is>
      </c>
      <c r="D1422" t="inlineStr">
        <is>
          <t>NULL</t>
        </is>
      </c>
      <c r="E1422" t="inlineStr">
        <is>
          <t>NULL</t>
        </is>
      </c>
      <c r="F1422" t="inlineStr">
        <is>
          <t>NULL</t>
        </is>
      </c>
      <c r="G1422" t="inlineStr">
        <is>
          <t>NULL</t>
        </is>
      </c>
      <c r="H1422" t="inlineStr">
        <is>
          <t>NULL</t>
        </is>
      </c>
      <c r="I1422" t="inlineStr">
        <is>
          <t>NULL</t>
        </is>
      </c>
      <c r="J1422" t="inlineStr">
        <is>
          <t>NULL</t>
        </is>
      </c>
      <c r="K1422" t="inlineStr">
        <is>
          <t>[0;32m YES! [0m 	 c_dtoffset_3列源备映射正确，源端为datetimeoffset None位	期望更改为varchar(34)	实际备端为varchar 136位	位数精度不存在，通过长度比较</t>
        </is>
      </c>
    </row>
    <row r="1423">
      <c r="B1423" t="inlineStr">
        <is>
          <t>NULL</t>
        </is>
      </c>
      <c r="C1423" t="inlineStr">
        <is>
          <t>NULL</t>
        </is>
      </c>
      <c r="D1423" t="inlineStr">
        <is>
          <t>NULL</t>
        </is>
      </c>
      <c r="E1423" t="inlineStr">
        <is>
          <t>NULL</t>
        </is>
      </c>
      <c r="F1423" t="inlineStr">
        <is>
          <t>NULL</t>
        </is>
      </c>
      <c r="G1423" t="inlineStr">
        <is>
          <t>NULL</t>
        </is>
      </c>
      <c r="H1423" t="inlineStr">
        <is>
          <t>NULL</t>
        </is>
      </c>
      <c r="I1423" t="inlineStr">
        <is>
          <t>NULL</t>
        </is>
      </c>
      <c r="J1423" t="inlineStr">
        <is>
          <t>NULL</t>
        </is>
      </c>
      <c r="K1423" t="inlineStr">
        <is>
          <t>[0;32m YES! [0m 	 c_dtoffset_4列源备映射正确，源端为datetimeoffset None位	期望更改为varchar(34)	实际备端为varchar 136位	位数精度不存在，通过长度比较</t>
        </is>
      </c>
    </row>
    <row r="1424">
      <c r="B1424" t="inlineStr">
        <is>
          <t>NULL</t>
        </is>
      </c>
      <c r="C1424" t="inlineStr">
        <is>
          <t>NULL</t>
        </is>
      </c>
      <c r="D1424" t="inlineStr">
        <is>
          <t>NULL</t>
        </is>
      </c>
      <c r="E1424" t="inlineStr">
        <is>
          <t>NULL</t>
        </is>
      </c>
      <c r="F1424" t="inlineStr">
        <is>
          <t>NULL</t>
        </is>
      </c>
      <c r="G1424" t="inlineStr">
        <is>
          <t>NULL</t>
        </is>
      </c>
      <c r="H1424" t="inlineStr">
        <is>
          <t>NULL</t>
        </is>
      </c>
      <c r="I1424" t="inlineStr">
        <is>
          <t>NULL</t>
        </is>
      </c>
      <c r="J1424" t="inlineStr">
        <is>
          <t>NULL</t>
        </is>
      </c>
      <c r="K1424" t="inlineStr">
        <is>
          <t>[0;32m YES! [0m 	 c_dtoffset_5列源备映射正确，源端为datetimeoffset None位	期望更改为varchar(34)	实际备端为varchar 136位	位数精度不存在，通过长度比较</t>
        </is>
      </c>
    </row>
    <row r="1425">
      <c r="B1425" t="inlineStr">
        <is>
          <t>NULL</t>
        </is>
      </c>
      <c r="C1425" t="inlineStr">
        <is>
          <t>NULL</t>
        </is>
      </c>
      <c r="D1425" t="inlineStr">
        <is>
          <t>NULL</t>
        </is>
      </c>
      <c r="E1425" t="inlineStr">
        <is>
          <t>NULL</t>
        </is>
      </c>
      <c r="F1425" t="inlineStr">
        <is>
          <t>NULL</t>
        </is>
      </c>
      <c r="G1425" t="inlineStr">
        <is>
          <t>NULL</t>
        </is>
      </c>
      <c r="H1425" t="inlineStr">
        <is>
          <t>NULL</t>
        </is>
      </c>
      <c r="I1425" t="inlineStr">
        <is>
          <t>NULL</t>
        </is>
      </c>
      <c r="J1425" t="inlineStr">
        <is>
          <t>NULL</t>
        </is>
      </c>
      <c r="K1425" t="inlineStr">
        <is>
          <t>[0;32m YES! [0m 	 c_dtoffset_6列源备映射正确，源端为datetimeoffset None位	期望更改为varchar(34)	实际备端为varchar 136位	位数精度不存在，通过长度比较</t>
        </is>
      </c>
    </row>
    <row r="1426">
      <c r="B1426" t="inlineStr">
        <is>
          <t>NULL</t>
        </is>
      </c>
      <c r="C1426" t="inlineStr">
        <is>
          <t>NULL</t>
        </is>
      </c>
      <c r="D1426" t="inlineStr">
        <is>
          <t>NULL</t>
        </is>
      </c>
      <c r="E1426" t="inlineStr">
        <is>
          <t>NULL</t>
        </is>
      </c>
      <c r="F1426" t="inlineStr">
        <is>
          <t>NULL</t>
        </is>
      </c>
      <c r="G1426" t="inlineStr">
        <is>
          <t>NULL</t>
        </is>
      </c>
      <c r="H1426" t="inlineStr">
        <is>
          <t>NULL</t>
        </is>
      </c>
      <c r="I1426" t="inlineStr">
        <is>
          <t>NULL</t>
        </is>
      </c>
      <c r="J1426" t="inlineStr">
        <is>
          <t>NULL</t>
        </is>
      </c>
      <c r="K1426" t="inlineStr">
        <is>
          <t>[0;32m YES! [0m 	 c_dtoffset列源备映射正确，源端为datetimeoffset None位	期望更改为varchar(34)	实际备端为varchar 136位	位数精度不存在，通过长度比较</t>
        </is>
      </c>
    </row>
    <row r="1427">
      <c r="A1427" t="inlineStr">
        <is>
          <t>info_datetime_dml_single_nopk</t>
        </is>
      </c>
      <c r="K1427" t="inlineStr">
        <is>
          <t>[0;34m info_datetime_dml_single_nopk [0m源备字段数相同，源端字段：2 	备端字段2</t>
        </is>
      </c>
      <c r="W1427" t="inlineStr">
        <is>
          <t>YES 源备无差异</t>
        </is>
      </c>
      <c r="X1427">
        <f>A1427</f>
        <v/>
      </c>
    </row>
    <row r="1428">
      <c r="B1428" t="inlineStr">
        <is>
          <t>NULL</t>
        </is>
      </c>
      <c r="C1428" t="inlineStr">
        <is>
          <t>NULL</t>
        </is>
      </c>
      <c r="D1428" t="inlineStr">
        <is>
          <t>NULL</t>
        </is>
      </c>
      <c r="E1428" t="inlineStr">
        <is>
          <t>NULL</t>
        </is>
      </c>
      <c r="F1428" t="inlineStr">
        <is>
          <t>NULL</t>
        </is>
      </c>
      <c r="G1428" t="inlineStr">
        <is>
          <t>NULL</t>
        </is>
      </c>
      <c r="H1428" t="inlineStr">
        <is>
          <t>NULL</t>
        </is>
      </c>
      <c r="I1428" t="inlineStr">
        <is>
          <t>NULL</t>
        </is>
      </c>
      <c r="J1428" t="inlineStr">
        <is>
          <t>NULL</t>
        </is>
      </c>
      <c r="K1428" t="inlineStr">
        <is>
          <t>YES! 	 id列源备映射正确，源端为int None位	期望更改为int	实际备端为int None位</t>
        </is>
      </c>
    </row>
    <row r="1429">
      <c r="B1429" t="inlineStr">
        <is>
          <t>NULL</t>
        </is>
      </c>
      <c r="C1429" t="inlineStr">
        <is>
          <t>NO!源None备NUL</t>
        </is>
      </c>
      <c r="D1429" t="inlineStr">
        <is>
          <t>NULL</t>
        </is>
      </c>
      <c r="E1429" t="inlineStr">
        <is>
          <t>NULL</t>
        </is>
      </c>
      <c r="F1429" t="inlineStr">
        <is>
          <t>NULL</t>
        </is>
      </c>
      <c r="G1429" t="inlineStr">
        <is>
          <t>NULL</t>
        </is>
      </c>
      <c r="H1429" t="inlineStr">
        <is>
          <t>NULL</t>
        </is>
      </c>
      <c r="I1429" t="inlineStr">
        <is>
          <t>NULL</t>
        </is>
      </c>
      <c r="J1429" t="inlineStr">
        <is>
          <t>NULL</t>
        </is>
      </c>
      <c r="K1429" t="inlineStr">
        <is>
          <t>YES! 	 c_datetime列源备映射正确，源端为datetime None位	期望更改为datetime(3)	实际备端为datetime None位</t>
        </is>
      </c>
    </row>
    <row r="1430">
      <c r="A1430" t="inlineStr">
        <is>
          <t>info_datetime_dml_single_nopk_urp</t>
        </is>
      </c>
      <c r="K1430" t="inlineStr">
        <is>
          <t>[0;34m info_datetime_dml_single_nopk_urp [0m源备字段数相同，源端字段：2 	备端字段2</t>
        </is>
      </c>
      <c r="W1430" t="inlineStr">
        <is>
          <t>YES 源备无差异</t>
        </is>
      </c>
      <c r="X1430">
        <f>A1430</f>
        <v/>
      </c>
    </row>
    <row r="1431">
      <c r="B1431" t="inlineStr">
        <is>
          <t>NULL</t>
        </is>
      </c>
      <c r="C1431" t="inlineStr">
        <is>
          <t>NULL</t>
        </is>
      </c>
      <c r="D1431" t="inlineStr">
        <is>
          <t>NULL</t>
        </is>
      </c>
      <c r="E1431" t="inlineStr">
        <is>
          <t>NULL</t>
        </is>
      </c>
      <c r="F1431" t="inlineStr">
        <is>
          <t>NULL</t>
        </is>
      </c>
      <c r="G1431" t="inlineStr">
        <is>
          <t>NULL</t>
        </is>
      </c>
      <c r="H1431" t="inlineStr">
        <is>
          <t>NULL</t>
        </is>
      </c>
      <c r="I1431" t="inlineStr">
        <is>
          <t>NULL</t>
        </is>
      </c>
      <c r="J1431" t="inlineStr">
        <is>
          <t>NULL</t>
        </is>
      </c>
      <c r="K1431" t="inlineStr">
        <is>
          <t>YES! 	 id列源备映射正确，源端为int None位	期望更改为int	实际备端为int None位</t>
        </is>
      </c>
    </row>
    <row r="1432">
      <c r="B1432" t="inlineStr">
        <is>
          <t>NULL</t>
        </is>
      </c>
      <c r="C1432" t="inlineStr">
        <is>
          <t>NO!源None备NUL</t>
        </is>
      </c>
      <c r="D1432" t="inlineStr">
        <is>
          <t>NULL</t>
        </is>
      </c>
      <c r="E1432" t="inlineStr">
        <is>
          <t>NULL</t>
        </is>
      </c>
      <c r="F1432" t="inlineStr">
        <is>
          <t>NULL</t>
        </is>
      </c>
      <c r="G1432" t="inlineStr">
        <is>
          <t>NULL</t>
        </is>
      </c>
      <c r="H1432" t="inlineStr">
        <is>
          <t>NULL</t>
        </is>
      </c>
      <c r="I1432" t="inlineStr">
        <is>
          <t>NULL</t>
        </is>
      </c>
      <c r="J1432" t="inlineStr">
        <is>
          <t>NULL</t>
        </is>
      </c>
      <c r="K1432" t="inlineStr">
        <is>
          <t>YES! 	 c_datetime列源备映射正确，源端为datetime None位	期望更改为datetime(3)	实际备端为datetime None位</t>
        </is>
      </c>
    </row>
    <row r="1433">
      <c r="A1433" t="inlineStr">
        <is>
          <t>info_varcharmax_dml_batch2_pk_irp2</t>
        </is>
      </c>
      <c r="K1433" t="inlineStr">
        <is>
          <t>[0;34m info_varcharmax_dml_batch2_pk_irp2 [0m源备字段数相同，源端字段：3 	备端字段3</t>
        </is>
      </c>
      <c r="W1433" t="inlineStr">
        <is>
          <t>YES 源备无差异</t>
        </is>
      </c>
      <c r="X1433">
        <f>A1433</f>
        <v/>
      </c>
    </row>
    <row r="1434">
      <c r="B1434" t="inlineStr">
        <is>
          <t>YES</t>
        </is>
      </c>
      <c r="C1434" t="inlineStr">
        <is>
          <t>NULL</t>
        </is>
      </c>
      <c r="D1434" t="inlineStr">
        <is>
          <t>NULL</t>
        </is>
      </c>
      <c r="E1434" t="inlineStr">
        <is>
          <t>NULL</t>
        </is>
      </c>
      <c r="F1434" t="inlineStr">
        <is>
          <t>NULL</t>
        </is>
      </c>
      <c r="G1434" t="inlineStr">
        <is>
          <t>NULL</t>
        </is>
      </c>
      <c r="H1434" t="inlineStr">
        <is>
          <t>NULL</t>
        </is>
      </c>
      <c r="I1434" t="inlineStr">
        <is>
          <t>YES!PK__info_var__3213E83FBB95D9E3</t>
        </is>
      </c>
      <c r="J1434" t="inlineStr">
        <is>
          <t>YES! 主键相关索引</t>
        </is>
      </c>
      <c r="K1434" t="inlineStr">
        <is>
          <t>YES! 	 id列源备映射正确，源端为int None位	期望更改为int	实际备端为int None位</t>
        </is>
      </c>
    </row>
    <row r="1435">
      <c r="B1435" t="inlineStr">
        <is>
          <t>NULL</t>
        </is>
      </c>
      <c r="C1435" t="inlineStr">
        <is>
          <t>NULL</t>
        </is>
      </c>
      <c r="D1435" t="inlineStr">
        <is>
          <t>NULL</t>
        </is>
      </c>
      <c r="E1435" t="inlineStr">
        <is>
          <t>NULL</t>
        </is>
      </c>
      <c r="F1435" t="inlineStr">
        <is>
          <t>NULL</t>
        </is>
      </c>
      <c r="G1435" t="inlineStr">
        <is>
          <t>NULL</t>
        </is>
      </c>
      <c r="H1435" t="inlineStr">
        <is>
          <t>NULL</t>
        </is>
      </c>
      <c r="I1435" t="inlineStr">
        <is>
          <t>NULL</t>
        </is>
      </c>
      <c r="J1435" t="inlineStr">
        <is>
          <t>NULL</t>
        </is>
      </c>
      <c r="K1435" t="inlineStr">
        <is>
          <t>YES! 	 c_varchar_max列源备映射正确，源端为varchar -1位	期望更改为longtext	实际备端为longtext 4294967295位</t>
        </is>
      </c>
    </row>
    <row r="1436">
      <c r="B1436" t="inlineStr">
        <is>
          <t>NULL</t>
        </is>
      </c>
      <c r="C1436" t="inlineStr">
        <is>
          <t>NULL</t>
        </is>
      </c>
      <c r="D1436" t="inlineStr">
        <is>
          <t>NULL</t>
        </is>
      </c>
      <c r="E1436" t="inlineStr">
        <is>
          <t>NULL</t>
        </is>
      </c>
      <c r="F1436" t="inlineStr">
        <is>
          <t>NULL</t>
        </is>
      </c>
      <c r="G1436" t="inlineStr">
        <is>
          <t>NULL</t>
        </is>
      </c>
      <c r="H1436" t="inlineStr">
        <is>
          <t>NULL</t>
        </is>
      </c>
      <c r="I1436" t="inlineStr">
        <is>
          <t>NULL</t>
        </is>
      </c>
      <c r="J1436" t="inlineStr">
        <is>
          <t>NULL</t>
        </is>
      </c>
      <c r="K1436" t="inlineStr">
        <is>
          <t>YES! 	 c_nvarchar_max列源备映射正确，源端为nvarchar -1位	期望更改为longtext	实际备端为longtext 4294967295位</t>
        </is>
      </c>
    </row>
    <row r="1437">
      <c r="K1437" t="inlineStr">
        <is>
          <t>~ 空表</t>
        </is>
      </c>
    </row>
    <row r="1438">
      <c r="A1438" t="inlineStr">
        <is>
          <t>info_datetime2_dml_single_nopk_irp</t>
        </is>
      </c>
      <c r="K1438" t="inlineStr">
        <is>
          <t>[0;34m info_datetime2_dml_single_nopk_irp [0m源备字段数相同，源端字段：9 	备端字段9</t>
        </is>
      </c>
      <c r="W1438" t="inlineStr">
        <is>
          <t>YES 源备无差异</t>
        </is>
      </c>
      <c r="X1438">
        <f>A1438</f>
        <v/>
      </c>
    </row>
    <row r="1439">
      <c r="B1439" t="inlineStr">
        <is>
          <t>NULL</t>
        </is>
      </c>
      <c r="C1439" t="inlineStr">
        <is>
          <t>NULL</t>
        </is>
      </c>
      <c r="D1439" t="inlineStr">
        <is>
          <t>NULL</t>
        </is>
      </c>
      <c r="E1439" t="inlineStr">
        <is>
          <t>NULL</t>
        </is>
      </c>
      <c r="F1439" t="inlineStr">
        <is>
          <t>NULL</t>
        </is>
      </c>
      <c r="G1439" t="inlineStr">
        <is>
          <t>NULL</t>
        </is>
      </c>
      <c r="H1439" t="inlineStr">
        <is>
          <t>NULL</t>
        </is>
      </c>
      <c r="I1439" t="inlineStr">
        <is>
          <t>NULL</t>
        </is>
      </c>
      <c r="J1439" t="inlineStr">
        <is>
          <t>NULL</t>
        </is>
      </c>
      <c r="K1439" t="inlineStr">
        <is>
          <t>YES! 	 id列源备映射正确，源端为int None位	期望更改为int	实际备端为int None位</t>
        </is>
      </c>
    </row>
    <row r="1440">
      <c r="B1440" t="inlineStr">
        <is>
          <t>NULL</t>
        </is>
      </c>
      <c r="C1440" t="inlineStr">
        <is>
          <t>NULL</t>
        </is>
      </c>
      <c r="D1440" t="inlineStr">
        <is>
          <t>NULL</t>
        </is>
      </c>
      <c r="E1440" t="inlineStr">
        <is>
          <t>NULL</t>
        </is>
      </c>
      <c r="F1440" t="inlineStr">
        <is>
          <t>NULL</t>
        </is>
      </c>
      <c r="G1440" t="inlineStr">
        <is>
          <t>NULL</t>
        </is>
      </c>
      <c r="H1440" t="inlineStr">
        <is>
          <t>NULL</t>
        </is>
      </c>
      <c r="I1440" t="inlineStr">
        <is>
          <t>NULL</t>
        </is>
      </c>
      <c r="J1440" t="inlineStr">
        <is>
          <t>NULL</t>
        </is>
      </c>
      <c r="K1440" t="inlineStr">
        <is>
          <t>no,len不存在</t>
        </is>
      </c>
    </row>
    <row r="1441">
      <c r="B1441" t="inlineStr">
        <is>
          <t>NULL</t>
        </is>
      </c>
      <c r="C1441" t="inlineStr">
        <is>
          <t>NULL</t>
        </is>
      </c>
      <c r="D1441" t="inlineStr">
        <is>
          <t>NULL</t>
        </is>
      </c>
      <c r="E1441" t="inlineStr">
        <is>
          <t>NULL</t>
        </is>
      </c>
      <c r="F1441" t="inlineStr">
        <is>
          <t>NULL</t>
        </is>
      </c>
      <c r="G1441" t="inlineStr">
        <is>
          <t>NULL</t>
        </is>
      </c>
      <c r="H1441" t="inlineStr">
        <is>
          <t>NULL</t>
        </is>
      </c>
      <c r="I1441" t="inlineStr">
        <is>
          <t>NULL</t>
        </is>
      </c>
      <c r="J1441" t="inlineStr">
        <is>
          <t>NULL</t>
        </is>
      </c>
      <c r="K1441" t="inlineStr">
        <is>
          <t>YES! 	 c_dt2_1列源备映射正确，源端为datetime2 None位	期望更改为datetime(n)	实际备端为datetime None位</t>
        </is>
      </c>
    </row>
    <row r="1442">
      <c r="B1442" t="inlineStr">
        <is>
          <t>NULL</t>
        </is>
      </c>
      <c r="C1442" t="inlineStr">
        <is>
          <t>NULL</t>
        </is>
      </c>
      <c r="D1442" t="inlineStr">
        <is>
          <t>NULL</t>
        </is>
      </c>
      <c r="E1442" t="inlineStr">
        <is>
          <t>NULL</t>
        </is>
      </c>
      <c r="F1442" t="inlineStr">
        <is>
          <t>NULL</t>
        </is>
      </c>
      <c r="G1442" t="inlineStr">
        <is>
          <t>NULL</t>
        </is>
      </c>
      <c r="H1442" t="inlineStr">
        <is>
          <t>NULL</t>
        </is>
      </c>
      <c r="I1442" t="inlineStr">
        <is>
          <t>NULL</t>
        </is>
      </c>
      <c r="J1442" t="inlineStr">
        <is>
          <t>NULL</t>
        </is>
      </c>
      <c r="K1442" t="inlineStr">
        <is>
          <t>YES! 	 c_dt2_2列源备映射正确，源端为datetime2 None位	期望更改为datetime(n)	实际备端为datetime None位</t>
        </is>
      </c>
    </row>
    <row r="1443">
      <c r="B1443" t="inlineStr">
        <is>
          <t>NULL</t>
        </is>
      </c>
      <c r="C1443" t="inlineStr">
        <is>
          <t>NULL</t>
        </is>
      </c>
      <c r="D1443" t="inlineStr">
        <is>
          <t>NULL</t>
        </is>
      </c>
      <c r="E1443" t="inlineStr">
        <is>
          <t>NULL</t>
        </is>
      </c>
      <c r="F1443" t="inlineStr">
        <is>
          <t>NULL</t>
        </is>
      </c>
      <c r="G1443" t="inlineStr">
        <is>
          <t>NULL</t>
        </is>
      </c>
      <c r="H1443" t="inlineStr">
        <is>
          <t>NULL</t>
        </is>
      </c>
      <c r="I1443" t="inlineStr">
        <is>
          <t>NULL</t>
        </is>
      </c>
      <c r="J1443" t="inlineStr">
        <is>
          <t>NULL</t>
        </is>
      </c>
      <c r="K1443" t="inlineStr">
        <is>
          <t>YES! 	 c_dt2_3列源备映射正确，源端为datetime2 None位	期望更改为datetime(n)	实际备端为datetime None位</t>
        </is>
      </c>
    </row>
    <row r="1444">
      <c r="B1444" t="inlineStr">
        <is>
          <t>NULL</t>
        </is>
      </c>
      <c r="C1444" t="inlineStr">
        <is>
          <t>NULL</t>
        </is>
      </c>
      <c r="D1444" t="inlineStr">
        <is>
          <t>NULL</t>
        </is>
      </c>
      <c r="E1444" t="inlineStr">
        <is>
          <t>NULL</t>
        </is>
      </c>
      <c r="F1444" t="inlineStr">
        <is>
          <t>NULL</t>
        </is>
      </c>
      <c r="G1444" t="inlineStr">
        <is>
          <t>NULL</t>
        </is>
      </c>
      <c r="H1444" t="inlineStr">
        <is>
          <t>NULL</t>
        </is>
      </c>
      <c r="I1444" t="inlineStr">
        <is>
          <t>NULL</t>
        </is>
      </c>
      <c r="J1444" t="inlineStr">
        <is>
          <t>NULL</t>
        </is>
      </c>
      <c r="K1444" t="inlineStr">
        <is>
          <t>YES! 	 c_dt2_4列源备映射正确，源端为datetime2 None位	期望更改为datetime(n)	实际备端为datetime None位</t>
        </is>
      </c>
    </row>
    <row r="1445">
      <c r="B1445" t="inlineStr">
        <is>
          <t>NULL</t>
        </is>
      </c>
      <c r="C1445" t="inlineStr">
        <is>
          <t>NULL</t>
        </is>
      </c>
      <c r="D1445" t="inlineStr">
        <is>
          <t>NULL</t>
        </is>
      </c>
      <c r="E1445" t="inlineStr">
        <is>
          <t>NULL</t>
        </is>
      </c>
      <c r="F1445" t="inlineStr">
        <is>
          <t>NULL</t>
        </is>
      </c>
      <c r="G1445" t="inlineStr">
        <is>
          <t>NULL</t>
        </is>
      </c>
      <c r="H1445" t="inlineStr">
        <is>
          <t>NULL</t>
        </is>
      </c>
      <c r="I1445" t="inlineStr">
        <is>
          <t>NULL</t>
        </is>
      </c>
      <c r="J1445" t="inlineStr">
        <is>
          <t>NULL</t>
        </is>
      </c>
      <c r="K1445" t="inlineStr">
        <is>
          <t>YES! 	 c_dt2_5列源备映射正确，源端为datetime2 None位	期望更改为datetime(n)	实际备端为datetime None位</t>
        </is>
      </c>
    </row>
    <row r="1446">
      <c r="B1446" t="inlineStr">
        <is>
          <t>NULL</t>
        </is>
      </c>
      <c r="C1446" t="inlineStr">
        <is>
          <t>NULL</t>
        </is>
      </c>
      <c r="D1446" t="inlineStr">
        <is>
          <t>NULL</t>
        </is>
      </c>
      <c r="E1446" t="inlineStr">
        <is>
          <t>NULL</t>
        </is>
      </c>
      <c r="F1446" t="inlineStr">
        <is>
          <t>NULL</t>
        </is>
      </c>
      <c r="G1446" t="inlineStr">
        <is>
          <t>NULL</t>
        </is>
      </c>
      <c r="H1446" t="inlineStr">
        <is>
          <t>NULL</t>
        </is>
      </c>
      <c r="I1446" t="inlineStr">
        <is>
          <t>NULL</t>
        </is>
      </c>
      <c r="J1446" t="inlineStr">
        <is>
          <t>NULL</t>
        </is>
      </c>
      <c r="K1446" t="inlineStr">
        <is>
          <t>YES! 	 c_dt2_6列源备映射正确，源端为datetime2 None位	期望更改为datetime(n)	实际备端为datetime None位</t>
        </is>
      </c>
    </row>
    <row r="1447">
      <c r="B1447" t="inlineStr">
        <is>
          <t>NULL</t>
        </is>
      </c>
      <c r="C1447" t="inlineStr">
        <is>
          <t>NO!源None备NUL</t>
        </is>
      </c>
      <c r="D1447" t="inlineStr">
        <is>
          <t>NULL</t>
        </is>
      </c>
      <c r="E1447" t="inlineStr">
        <is>
          <t>NULL</t>
        </is>
      </c>
      <c r="F1447" t="inlineStr">
        <is>
          <t>NULL</t>
        </is>
      </c>
      <c r="G1447" t="inlineStr">
        <is>
          <t>NULL</t>
        </is>
      </c>
      <c r="H1447" t="inlineStr">
        <is>
          <t>NULL</t>
        </is>
      </c>
      <c r="I1447" t="inlineStr">
        <is>
          <t>NULL</t>
        </is>
      </c>
      <c r="J1447" t="inlineStr">
        <is>
          <t>NULL</t>
        </is>
      </c>
      <c r="K1447" t="inlineStr">
        <is>
          <t xml:space="preserve"> NO!  	 c_dt2列源备映射错误，源端为datetime2 None位	期望更改为datetime(n)	实际备端为varchar 136位</t>
        </is>
      </c>
    </row>
    <row r="1448">
      <c r="A1448" t="inlineStr">
        <is>
          <t>info_varbinary_max_dml_single_nopk_irp</t>
        </is>
      </c>
      <c r="K1448" t="inlineStr">
        <is>
          <t>[0;34m info_varbinary_max_dml_single_nopk_irp [0m源备字段数相同，源端字段：4 	备端字段4</t>
        </is>
      </c>
      <c r="W1448" t="inlineStr">
        <is>
          <t>YES 源备无差异</t>
        </is>
      </c>
      <c r="X1448">
        <f>A1448</f>
        <v/>
      </c>
    </row>
    <row r="1449">
      <c r="B1449" t="inlineStr">
        <is>
          <t>NULL</t>
        </is>
      </c>
      <c r="C1449" t="inlineStr">
        <is>
          <t>NULL</t>
        </is>
      </c>
      <c r="D1449" t="inlineStr">
        <is>
          <t>NULL</t>
        </is>
      </c>
      <c r="E1449" t="inlineStr">
        <is>
          <t>NULL</t>
        </is>
      </c>
      <c r="F1449" t="inlineStr">
        <is>
          <t>NULL</t>
        </is>
      </c>
      <c r="G1449" t="inlineStr">
        <is>
          <t>NULL</t>
        </is>
      </c>
      <c r="H1449" t="inlineStr">
        <is>
          <t>NULL</t>
        </is>
      </c>
      <c r="I1449" t="inlineStr">
        <is>
          <t>NULL</t>
        </is>
      </c>
      <c r="J1449" t="inlineStr">
        <is>
          <t>NULL</t>
        </is>
      </c>
      <c r="K1449" t="inlineStr">
        <is>
          <t>YES! 	 id列源备映射正确，源端为int None位	期望更改为int	实际备端为int None位</t>
        </is>
      </c>
    </row>
    <row r="1450">
      <c r="B1450" t="inlineStr">
        <is>
          <t>NULL</t>
        </is>
      </c>
      <c r="C1450" t="inlineStr">
        <is>
          <t>NULL</t>
        </is>
      </c>
      <c r="D1450" t="inlineStr">
        <is>
          <t>NULL</t>
        </is>
      </c>
      <c r="E1450" t="inlineStr">
        <is>
          <t>NULL</t>
        </is>
      </c>
      <c r="F1450" t="inlineStr">
        <is>
          <t>NULL</t>
        </is>
      </c>
      <c r="G1450" t="inlineStr">
        <is>
          <t>NULL</t>
        </is>
      </c>
      <c r="H1450" t="inlineStr">
        <is>
          <t>NULL</t>
        </is>
      </c>
      <c r="I1450" t="inlineStr">
        <is>
          <t>NULL</t>
        </is>
      </c>
      <c r="J1450" t="inlineStr">
        <is>
          <t>NULL</t>
        </is>
      </c>
      <c r="K1450" t="inlineStr">
        <is>
          <t>YES! 	 c_varbinary_max1列源备映射正确，源端为varbinary -1位	期望更改为longblob	实际备端为longblob 4294967295位</t>
        </is>
      </c>
    </row>
    <row r="1451">
      <c r="B1451" t="inlineStr">
        <is>
          <t>NULL</t>
        </is>
      </c>
      <c r="C1451" t="inlineStr">
        <is>
          <t>NULL</t>
        </is>
      </c>
      <c r="D1451" t="inlineStr">
        <is>
          <t>NULL</t>
        </is>
      </c>
      <c r="E1451" t="inlineStr">
        <is>
          <t>NULL</t>
        </is>
      </c>
      <c r="F1451" t="inlineStr">
        <is>
          <t>NULL</t>
        </is>
      </c>
      <c r="G1451" t="inlineStr">
        <is>
          <t>NULL</t>
        </is>
      </c>
      <c r="H1451" t="inlineStr">
        <is>
          <t>NULL</t>
        </is>
      </c>
      <c r="I1451" t="inlineStr">
        <is>
          <t>NULL</t>
        </is>
      </c>
      <c r="J1451" t="inlineStr">
        <is>
          <t>NULL</t>
        </is>
      </c>
      <c r="K1451" t="inlineStr">
        <is>
          <t>YES! 	 c_varbinary_max2列源备映射正确，源端为varbinary -1位	期望更改为longblob	实际备端为longblob 4294967295位</t>
        </is>
      </c>
    </row>
    <row r="1452">
      <c r="B1452" t="inlineStr">
        <is>
          <t>NULL</t>
        </is>
      </c>
      <c r="C1452" t="inlineStr">
        <is>
          <t>NULL</t>
        </is>
      </c>
      <c r="D1452" t="inlineStr">
        <is>
          <t>NULL</t>
        </is>
      </c>
      <c r="E1452" t="inlineStr">
        <is>
          <t>NULL</t>
        </is>
      </c>
      <c r="F1452" t="inlineStr">
        <is>
          <t>NULL</t>
        </is>
      </c>
      <c r="G1452" t="inlineStr">
        <is>
          <t>NULL</t>
        </is>
      </c>
      <c r="H1452" t="inlineStr">
        <is>
          <t>NULL</t>
        </is>
      </c>
      <c r="I1452" t="inlineStr">
        <is>
          <t>NULL</t>
        </is>
      </c>
      <c r="J1452" t="inlineStr">
        <is>
          <t>NULL</t>
        </is>
      </c>
      <c r="K1452" t="inlineStr">
        <is>
          <t>YES! 	 c_image3列源备映射正确，源端为image 2147483647位	期望更改为longblob	实际备端为longblob 4294967295位</t>
        </is>
      </c>
    </row>
    <row r="1453">
      <c r="A1453" t="inlineStr">
        <is>
          <t>info_binary_dml_single_pk_irp</t>
        </is>
      </c>
      <c r="K1453" t="inlineStr">
        <is>
          <t>[0;34m info_binary_dml_single_pk_irp [0m源备字段数相同，源端字段：4 	备端字段4</t>
        </is>
      </c>
      <c r="W1453" t="inlineStr">
        <is>
          <t>YES 源备无差异</t>
        </is>
      </c>
      <c r="X1453">
        <f>A1453</f>
        <v/>
      </c>
    </row>
    <row r="1454">
      <c r="B1454" t="inlineStr">
        <is>
          <t>YES</t>
        </is>
      </c>
      <c r="C1454" t="inlineStr">
        <is>
          <t>NULL</t>
        </is>
      </c>
      <c r="D1454" t="inlineStr">
        <is>
          <t>NULL</t>
        </is>
      </c>
      <c r="E1454" t="inlineStr">
        <is>
          <t>NULL</t>
        </is>
      </c>
      <c r="F1454" t="inlineStr">
        <is>
          <t>NULL</t>
        </is>
      </c>
      <c r="G1454" t="inlineStr">
        <is>
          <t>NULL</t>
        </is>
      </c>
      <c r="H1454" t="inlineStr">
        <is>
          <t>NULL</t>
        </is>
      </c>
      <c r="I1454" t="inlineStr">
        <is>
          <t>YES!PK__info_bin__3213E83FFC5F28A0</t>
        </is>
      </c>
      <c r="J1454" t="inlineStr">
        <is>
          <t>YES! 主键相关索引</t>
        </is>
      </c>
      <c r="K1454" t="inlineStr">
        <is>
          <t>YES! 	 id列源备映射正确，源端为int None位	期望更改为int	实际备端为int None位</t>
        </is>
      </c>
    </row>
    <row r="1455">
      <c r="B1455" t="inlineStr">
        <is>
          <t>NULL</t>
        </is>
      </c>
      <c r="C1455" t="inlineStr">
        <is>
          <t>NULL</t>
        </is>
      </c>
      <c r="D1455" t="inlineStr">
        <is>
          <t>NULL</t>
        </is>
      </c>
      <c r="E1455" t="inlineStr">
        <is>
          <t>NULL</t>
        </is>
      </c>
      <c r="F1455" t="inlineStr">
        <is>
          <t>NULL</t>
        </is>
      </c>
      <c r="G1455" t="inlineStr">
        <is>
          <t>NULL</t>
        </is>
      </c>
      <c r="H1455" t="inlineStr">
        <is>
          <t>NULL</t>
        </is>
      </c>
      <c r="I1455" t="inlineStr">
        <is>
          <t>NULL</t>
        </is>
      </c>
      <c r="J1455" t="inlineStr">
        <is>
          <t>NULL</t>
        </is>
      </c>
      <c r="K1455" t="inlineStr">
        <is>
          <t>YES! 	 c_binary列源备映射正确，源端为binary 1位	期望更改为binary(n)	实际备端为binary 1位</t>
        </is>
      </c>
    </row>
    <row r="1456">
      <c r="B1456" t="inlineStr">
        <is>
          <t>NULL</t>
        </is>
      </c>
      <c r="C1456" t="inlineStr">
        <is>
          <t>NULL</t>
        </is>
      </c>
      <c r="D1456" t="inlineStr">
        <is>
          <t>NULL</t>
        </is>
      </c>
      <c r="E1456" t="inlineStr">
        <is>
          <t>NULL</t>
        </is>
      </c>
      <c r="F1456" t="inlineStr">
        <is>
          <t>NULL</t>
        </is>
      </c>
      <c r="G1456" t="inlineStr">
        <is>
          <t>NULL</t>
        </is>
      </c>
      <c r="H1456" t="inlineStr">
        <is>
          <t>NULL</t>
        </is>
      </c>
      <c r="I1456" t="inlineStr">
        <is>
          <t>NULL</t>
        </is>
      </c>
      <c r="J1456" t="inlineStr">
        <is>
          <t>NULL</t>
        </is>
      </c>
      <c r="K1456" t="inlineStr">
        <is>
          <t>YES! 	 c_binary_20列源备映射正确，源端为binary 20位	期望更改为binary(n)	实际备端为binary 20位</t>
        </is>
      </c>
    </row>
    <row r="1457">
      <c r="B1457" t="inlineStr">
        <is>
          <t>NULL</t>
        </is>
      </c>
      <c r="C1457" t="inlineStr">
        <is>
          <t>NULL</t>
        </is>
      </c>
      <c r="D1457" t="inlineStr">
        <is>
          <t>NULL</t>
        </is>
      </c>
      <c r="E1457" t="inlineStr">
        <is>
          <t>NULL</t>
        </is>
      </c>
      <c r="F1457" t="inlineStr">
        <is>
          <t>NULL</t>
        </is>
      </c>
      <c r="G1457" t="inlineStr">
        <is>
          <t>NULL</t>
        </is>
      </c>
      <c r="H1457" t="inlineStr">
        <is>
          <t>NULL</t>
        </is>
      </c>
      <c r="I1457" t="inlineStr">
        <is>
          <t>NULL</t>
        </is>
      </c>
      <c r="J1457" t="inlineStr">
        <is>
          <t>NULL</t>
        </is>
      </c>
      <c r="K1457" t="inlineStr">
        <is>
          <t>YES! 	 c_binary_8000列源备映射正确，源端为binary 8000位	期望更改为longblob	实际备端为longblob 4294967295位</t>
        </is>
      </c>
    </row>
    <row r="1458">
      <c r="A1458" t="inlineStr">
        <is>
          <t>info_datetimeoffset_dml_single_pk_urp</t>
        </is>
      </c>
      <c r="K1458" t="inlineStr">
        <is>
          <t>[0;34m info_datetimeoffset_dml_single_pk_urp [0m源备字段数相同，源端字段：9 	备端字段9</t>
        </is>
      </c>
      <c r="W1458" t="inlineStr">
        <is>
          <t>YES 源备无差异</t>
        </is>
      </c>
      <c r="X1458">
        <f>A1458</f>
        <v/>
      </c>
    </row>
    <row r="1459">
      <c r="B1459" t="inlineStr">
        <is>
          <t>YES</t>
        </is>
      </c>
      <c r="C1459" t="inlineStr">
        <is>
          <t>NULL</t>
        </is>
      </c>
      <c r="D1459" t="inlineStr">
        <is>
          <t>NULL</t>
        </is>
      </c>
      <c r="E1459" t="inlineStr">
        <is>
          <t>NULL</t>
        </is>
      </c>
      <c r="F1459" t="inlineStr">
        <is>
          <t>NULL</t>
        </is>
      </c>
      <c r="G1459" t="inlineStr">
        <is>
          <t>NULL</t>
        </is>
      </c>
      <c r="H1459" t="inlineStr">
        <is>
          <t>NULL</t>
        </is>
      </c>
      <c r="I1459" t="inlineStr">
        <is>
          <t>YES!PK__info_dat__3213E83F615F1D58</t>
        </is>
      </c>
      <c r="J1459" t="inlineStr">
        <is>
          <t>YES! 主键相关索引</t>
        </is>
      </c>
      <c r="K1459" t="inlineStr">
        <is>
          <t>YES! 	 id列源备映射正确，源端为int None位	期望更改为int	实际备端为int None位</t>
        </is>
      </c>
    </row>
    <row r="1460">
      <c r="B1460" t="inlineStr">
        <is>
          <t>NULL</t>
        </is>
      </c>
      <c r="C1460" t="inlineStr">
        <is>
          <t>NULL</t>
        </is>
      </c>
      <c r="D1460" t="inlineStr">
        <is>
          <t>NULL</t>
        </is>
      </c>
      <c r="E1460" t="inlineStr">
        <is>
          <t>NULL</t>
        </is>
      </c>
      <c r="F1460" t="inlineStr">
        <is>
          <t>NULL</t>
        </is>
      </c>
      <c r="G1460" t="inlineStr">
        <is>
          <t>NULL</t>
        </is>
      </c>
      <c r="H1460" t="inlineStr">
        <is>
          <t>NULL</t>
        </is>
      </c>
      <c r="I1460" t="inlineStr">
        <is>
          <t>NULL</t>
        </is>
      </c>
      <c r="J1460" t="inlineStr">
        <is>
          <t>NULL</t>
        </is>
      </c>
      <c r="K1460" t="inlineStr">
        <is>
          <t>[0;32m YES! [0m 	 c_dtoffset_0列源备映射正确，源端为datetimeoffset None位	期望更改为varchar(34)	实际备端为varchar 136位	位数精度不存在，通过长度比较</t>
        </is>
      </c>
    </row>
    <row r="1461">
      <c r="B1461" t="inlineStr">
        <is>
          <t>NULL</t>
        </is>
      </c>
      <c r="C1461" t="inlineStr">
        <is>
          <t>NULL</t>
        </is>
      </c>
      <c r="D1461" t="inlineStr">
        <is>
          <t>NULL</t>
        </is>
      </c>
      <c r="E1461" t="inlineStr">
        <is>
          <t>NULL</t>
        </is>
      </c>
      <c r="F1461" t="inlineStr">
        <is>
          <t>NULL</t>
        </is>
      </c>
      <c r="G1461" t="inlineStr">
        <is>
          <t>NULL</t>
        </is>
      </c>
      <c r="H1461" t="inlineStr">
        <is>
          <t>NULL</t>
        </is>
      </c>
      <c r="I1461" t="inlineStr">
        <is>
          <t>NULL</t>
        </is>
      </c>
      <c r="J1461" t="inlineStr">
        <is>
          <t>NULL</t>
        </is>
      </c>
      <c r="K1461" t="inlineStr">
        <is>
          <t>[0;32m YES! [0m 	 c_dtoffset_1列源备映射正确，源端为datetimeoffset None位	期望更改为varchar(34)	实际备端为varchar 136位	位数精度不存在，通过长度比较</t>
        </is>
      </c>
    </row>
    <row r="1462">
      <c r="B1462" t="inlineStr">
        <is>
          <t>NULL</t>
        </is>
      </c>
      <c r="C1462" t="inlineStr">
        <is>
          <t>NULL</t>
        </is>
      </c>
      <c r="D1462" t="inlineStr">
        <is>
          <t>NULL</t>
        </is>
      </c>
      <c r="E1462" t="inlineStr">
        <is>
          <t>NULL</t>
        </is>
      </c>
      <c r="F1462" t="inlineStr">
        <is>
          <t>NULL</t>
        </is>
      </c>
      <c r="G1462" t="inlineStr">
        <is>
          <t>NULL</t>
        </is>
      </c>
      <c r="H1462" t="inlineStr">
        <is>
          <t>NULL</t>
        </is>
      </c>
      <c r="I1462" t="inlineStr">
        <is>
          <t>NULL</t>
        </is>
      </c>
      <c r="J1462" t="inlineStr">
        <is>
          <t>NULL</t>
        </is>
      </c>
      <c r="K1462" t="inlineStr">
        <is>
          <t>[0;32m YES! [0m 	 c_dtoffset_2列源备映射正确，源端为datetimeoffset None位	期望更改为varchar(34)	实际备端为varchar 136位	位数精度不存在，通过长度比较</t>
        </is>
      </c>
    </row>
    <row r="1463">
      <c r="B1463" t="inlineStr">
        <is>
          <t>NULL</t>
        </is>
      </c>
      <c r="C1463" t="inlineStr">
        <is>
          <t>NULL</t>
        </is>
      </c>
      <c r="D1463" t="inlineStr">
        <is>
          <t>NULL</t>
        </is>
      </c>
      <c r="E1463" t="inlineStr">
        <is>
          <t>NULL</t>
        </is>
      </c>
      <c r="F1463" t="inlineStr">
        <is>
          <t>NULL</t>
        </is>
      </c>
      <c r="G1463" t="inlineStr">
        <is>
          <t>NULL</t>
        </is>
      </c>
      <c r="H1463" t="inlineStr">
        <is>
          <t>NULL</t>
        </is>
      </c>
      <c r="I1463" t="inlineStr">
        <is>
          <t>NULL</t>
        </is>
      </c>
      <c r="J1463" t="inlineStr">
        <is>
          <t>NULL</t>
        </is>
      </c>
      <c r="K1463" t="inlineStr">
        <is>
          <t>[0;32m YES! [0m 	 c_dtoffset_3列源备映射正确，源端为datetimeoffset None位	期望更改为varchar(34)	实际备端为varchar 136位	位数精度不存在，通过长度比较</t>
        </is>
      </c>
    </row>
    <row r="1464">
      <c r="B1464" t="inlineStr">
        <is>
          <t>NULL</t>
        </is>
      </c>
      <c r="C1464" t="inlineStr">
        <is>
          <t>NULL</t>
        </is>
      </c>
      <c r="D1464" t="inlineStr">
        <is>
          <t>NULL</t>
        </is>
      </c>
      <c r="E1464" t="inlineStr">
        <is>
          <t>NULL</t>
        </is>
      </c>
      <c r="F1464" t="inlineStr">
        <is>
          <t>NULL</t>
        </is>
      </c>
      <c r="G1464" t="inlineStr">
        <is>
          <t>NULL</t>
        </is>
      </c>
      <c r="H1464" t="inlineStr">
        <is>
          <t>NULL</t>
        </is>
      </c>
      <c r="I1464" t="inlineStr">
        <is>
          <t>NULL</t>
        </is>
      </c>
      <c r="J1464" t="inlineStr">
        <is>
          <t>NULL</t>
        </is>
      </c>
      <c r="K1464" t="inlineStr">
        <is>
          <t>[0;32m YES! [0m 	 c_dtoffset_4列源备映射正确，源端为datetimeoffset None位	期望更改为varchar(34)	实际备端为varchar 136位	位数精度不存在，通过长度比较</t>
        </is>
      </c>
    </row>
    <row r="1465">
      <c r="B1465" t="inlineStr">
        <is>
          <t>NULL</t>
        </is>
      </c>
      <c r="C1465" t="inlineStr">
        <is>
          <t>NULL</t>
        </is>
      </c>
      <c r="D1465" t="inlineStr">
        <is>
          <t>NULL</t>
        </is>
      </c>
      <c r="E1465" t="inlineStr">
        <is>
          <t>NULL</t>
        </is>
      </c>
      <c r="F1465" t="inlineStr">
        <is>
          <t>NULL</t>
        </is>
      </c>
      <c r="G1465" t="inlineStr">
        <is>
          <t>NULL</t>
        </is>
      </c>
      <c r="H1465" t="inlineStr">
        <is>
          <t>NULL</t>
        </is>
      </c>
      <c r="I1465" t="inlineStr">
        <is>
          <t>NULL</t>
        </is>
      </c>
      <c r="J1465" t="inlineStr">
        <is>
          <t>NULL</t>
        </is>
      </c>
      <c r="K1465" t="inlineStr">
        <is>
          <t>[0;32m YES! [0m 	 c_dtoffset_5列源备映射正确，源端为datetimeoffset None位	期望更改为varchar(34)	实际备端为varchar 136位	位数精度不存在，通过长度比较</t>
        </is>
      </c>
    </row>
    <row r="1466">
      <c r="B1466" t="inlineStr">
        <is>
          <t>NULL</t>
        </is>
      </c>
      <c r="C1466" t="inlineStr">
        <is>
          <t>NULL</t>
        </is>
      </c>
      <c r="D1466" t="inlineStr">
        <is>
          <t>NULL</t>
        </is>
      </c>
      <c r="E1466" t="inlineStr">
        <is>
          <t>NULL</t>
        </is>
      </c>
      <c r="F1466" t="inlineStr">
        <is>
          <t>NULL</t>
        </is>
      </c>
      <c r="G1466" t="inlineStr">
        <is>
          <t>NULL</t>
        </is>
      </c>
      <c r="H1466" t="inlineStr">
        <is>
          <t>NULL</t>
        </is>
      </c>
      <c r="I1466" t="inlineStr">
        <is>
          <t>NULL</t>
        </is>
      </c>
      <c r="J1466" t="inlineStr">
        <is>
          <t>NULL</t>
        </is>
      </c>
      <c r="K1466" t="inlineStr">
        <is>
          <t>[0;32m YES! [0m 	 c_dtoffset_6列源备映射正确，源端为datetimeoffset None位	期望更改为varchar(34)	实际备端为varchar 136位	位数精度不存在，通过长度比较</t>
        </is>
      </c>
    </row>
    <row r="1467">
      <c r="B1467" t="inlineStr">
        <is>
          <t>NULL</t>
        </is>
      </c>
      <c r="C1467" t="inlineStr">
        <is>
          <t>NULL</t>
        </is>
      </c>
      <c r="D1467" t="inlineStr">
        <is>
          <t>NULL</t>
        </is>
      </c>
      <c r="E1467" t="inlineStr">
        <is>
          <t>NULL</t>
        </is>
      </c>
      <c r="F1467" t="inlineStr">
        <is>
          <t>NULL</t>
        </is>
      </c>
      <c r="G1467" t="inlineStr">
        <is>
          <t>NULL</t>
        </is>
      </c>
      <c r="H1467" t="inlineStr">
        <is>
          <t>NULL</t>
        </is>
      </c>
      <c r="I1467" t="inlineStr">
        <is>
          <t>NULL</t>
        </is>
      </c>
      <c r="J1467" t="inlineStr">
        <is>
          <t>NULL</t>
        </is>
      </c>
      <c r="K1467" t="inlineStr">
        <is>
          <t>[0;32m YES! [0m 	 c_dtoffset列源备映射正确，源端为datetimeoffset None位	期望更改为varchar(34)	实际备端为varchar 136位	位数精度不存在，通过长度比较</t>
        </is>
      </c>
    </row>
    <row r="1468">
      <c r="A1468" t="inlineStr">
        <is>
          <t>info_datetimeoffset_dml_batch1_pk</t>
        </is>
      </c>
      <c r="K1468" t="inlineStr">
        <is>
          <t>[0;34m info_datetimeoffset_dml_batch1_pk [0m源备字段数相同，源端字段：9 	备端字段9</t>
        </is>
      </c>
      <c r="W1468" t="inlineStr">
        <is>
          <t>YES 源备无差异</t>
        </is>
      </c>
      <c r="X1468">
        <f>A1468</f>
        <v/>
      </c>
    </row>
    <row r="1469">
      <c r="B1469" t="inlineStr">
        <is>
          <t>YES</t>
        </is>
      </c>
      <c r="C1469" t="inlineStr">
        <is>
          <t>NULL</t>
        </is>
      </c>
      <c r="D1469" t="inlineStr">
        <is>
          <t>NULL</t>
        </is>
      </c>
      <c r="E1469" t="inlineStr">
        <is>
          <t>NULL</t>
        </is>
      </c>
      <c r="F1469" t="inlineStr">
        <is>
          <t>NULL</t>
        </is>
      </c>
      <c r="G1469" t="inlineStr">
        <is>
          <t>NULL</t>
        </is>
      </c>
      <c r="H1469" t="inlineStr">
        <is>
          <t>NULL</t>
        </is>
      </c>
      <c r="I1469" t="inlineStr">
        <is>
          <t>YES!PK__info_dat__3213E83F51752AA8</t>
        </is>
      </c>
      <c r="J1469" t="inlineStr">
        <is>
          <t>YES! 主键相关索引</t>
        </is>
      </c>
      <c r="K1469" t="inlineStr">
        <is>
          <t>YES! 	 id列源备映射正确，源端为int None位	期望更改为int	实际备端为int None位</t>
        </is>
      </c>
    </row>
    <row r="1470">
      <c r="B1470" t="inlineStr">
        <is>
          <t>NULL</t>
        </is>
      </c>
      <c r="C1470" t="inlineStr">
        <is>
          <t>NULL</t>
        </is>
      </c>
      <c r="D1470" t="inlineStr">
        <is>
          <t>NULL</t>
        </is>
      </c>
      <c r="E1470" t="inlineStr">
        <is>
          <t>NULL</t>
        </is>
      </c>
      <c r="F1470" t="inlineStr">
        <is>
          <t>NULL</t>
        </is>
      </c>
      <c r="G1470" t="inlineStr">
        <is>
          <t>NULL</t>
        </is>
      </c>
      <c r="H1470" t="inlineStr">
        <is>
          <t>NULL</t>
        </is>
      </c>
      <c r="I1470" t="inlineStr">
        <is>
          <t>NULL</t>
        </is>
      </c>
      <c r="J1470" t="inlineStr">
        <is>
          <t>NULL</t>
        </is>
      </c>
      <c r="K1470" t="inlineStr">
        <is>
          <t>[0;32m YES! [0m 	 c_dtoffset_0列源备映射正确，源端为datetimeoffset None位	期望更改为varchar(34)	实际备端为varchar 136位	位数精度不存在，通过长度比较</t>
        </is>
      </c>
    </row>
    <row r="1471">
      <c r="B1471" t="inlineStr">
        <is>
          <t>NULL</t>
        </is>
      </c>
      <c r="C1471" t="inlineStr">
        <is>
          <t>NULL</t>
        </is>
      </c>
      <c r="D1471" t="inlineStr">
        <is>
          <t>NULL</t>
        </is>
      </c>
      <c r="E1471" t="inlineStr">
        <is>
          <t>NULL</t>
        </is>
      </c>
      <c r="F1471" t="inlineStr">
        <is>
          <t>NULL</t>
        </is>
      </c>
      <c r="G1471" t="inlineStr">
        <is>
          <t>NULL</t>
        </is>
      </c>
      <c r="H1471" t="inlineStr">
        <is>
          <t>NULL</t>
        </is>
      </c>
      <c r="I1471" t="inlineStr">
        <is>
          <t>NULL</t>
        </is>
      </c>
      <c r="J1471" t="inlineStr">
        <is>
          <t>NULL</t>
        </is>
      </c>
      <c r="K1471" t="inlineStr">
        <is>
          <t>[0;32m YES! [0m 	 c_dtoffset_1列源备映射正确，源端为datetimeoffset None位	期望更改为varchar(34)	实际备端为varchar 136位	位数精度不存在，通过长度比较</t>
        </is>
      </c>
    </row>
    <row r="1472">
      <c r="B1472" t="inlineStr">
        <is>
          <t>NULL</t>
        </is>
      </c>
      <c r="C1472" t="inlineStr">
        <is>
          <t>NULL</t>
        </is>
      </c>
      <c r="D1472" t="inlineStr">
        <is>
          <t>NULL</t>
        </is>
      </c>
      <c r="E1472" t="inlineStr">
        <is>
          <t>NULL</t>
        </is>
      </c>
      <c r="F1472" t="inlineStr">
        <is>
          <t>NULL</t>
        </is>
      </c>
      <c r="G1472" t="inlineStr">
        <is>
          <t>NULL</t>
        </is>
      </c>
      <c r="H1472" t="inlineStr">
        <is>
          <t>NULL</t>
        </is>
      </c>
      <c r="I1472" t="inlineStr">
        <is>
          <t>NULL</t>
        </is>
      </c>
      <c r="J1472" t="inlineStr">
        <is>
          <t>NULL</t>
        </is>
      </c>
      <c r="K1472" t="inlineStr">
        <is>
          <t>[0;32m YES! [0m 	 c_dtoffset_2列源备映射正确，源端为datetimeoffset None位	期望更改为varchar(34)	实际备端为varchar 136位	位数精度不存在，通过长度比较</t>
        </is>
      </c>
    </row>
    <row r="1473">
      <c r="B1473" t="inlineStr">
        <is>
          <t>NULL</t>
        </is>
      </c>
      <c r="C1473" t="inlineStr">
        <is>
          <t>NULL</t>
        </is>
      </c>
      <c r="D1473" t="inlineStr">
        <is>
          <t>NULL</t>
        </is>
      </c>
      <c r="E1473" t="inlineStr">
        <is>
          <t>NULL</t>
        </is>
      </c>
      <c r="F1473" t="inlineStr">
        <is>
          <t>NULL</t>
        </is>
      </c>
      <c r="G1473" t="inlineStr">
        <is>
          <t>NULL</t>
        </is>
      </c>
      <c r="H1473" t="inlineStr">
        <is>
          <t>NULL</t>
        </is>
      </c>
      <c r="I1473" t="inlineStr">
        <is>
          <t>NULL</t>
        </is>
      </c>
      <c r="J1473" t="inlineStr">
        <is>
          <t>NULL</t>
        </is>
      </c>
      <c r="K1473" t="inlineStr">
        <is>
          <t>[0;32m YES! [0m 	 c_dtoffset_3列源备映射正确，源端为datetimeoffset None位	期望更改为varchar(34)	实际备端为varchar 136位	位数精度不存在，通过长度比较</t>
        </is>
      </c>
    </row>
    <row r="1474">
      <c r="B1474" t="inlineStr">
        <is>
          <t>NULL</t>
        </is>
      </c>
      <c r="C1474" t="inlineStr">
        <is>
          <t>NULL</t>
        </is>
      </c>
      <c r="D1474" t="inlineStr">
        <is>
          <t>NULL</t>
        </is>
      </c>
      <c r="E1474" t="inlineStr">
        <is>
          <t>NULL</t>
        </is>
      </c>
      <c r="F1474" t="inlineStr">
        <is>
          <t>NULL</t>
        </is>
      </c>
      <c r="G1474" t="inlineStr">
        <is>
          <t>NULL</t>
        </is>
      </c>
      <c r="H1474" t="inlineStr">
        <is>
          <t>NULL</t>
        </is>
      </c>
      <c r="I1474" t="inlineStr">
        <is>
          <t>NULL</t>
        </is>
      </c>
      <c r="J1474" t="inlineStr">
        <is>
          <t>NULL</t>
        </is>
      </c>
      <c r="K1474" t="inlineStr">
        <is>
          <t>[0;32m YES! [0m 	 c_dtoffset_4列源备映射正确，源端为datetimeoffset None位	期望更改为varchar(34)	实际备端为varchar 136位	位数精度不存在，通过长度比较</t>
        </is>
      </c>
    </row>
    <row r="1475">
      <c r="B1475" t="inlineStr">
        <is>
          <t>NULL</t>
        </is>
      </c>
      <c r="C1475" t="inlineStr">
        <is>
          <t>NULL</t>
        </is>
      </c>
      <c r="D1475" t="inlineStr">
        <is>
          <t>NULL</t>
        </is>
      </c>
      <c r="E1475" t="inlineStr">
        <is>
          <t>NULL</t>
        </is>
      </c>
      <c r="F1475" t="inlineStr">
        <is>
          <t>NULL</t>
        </is>
      </c>
      <c r="G1475" t="inlineStr">
        <is>
          <t>NULL</t>
        </is>
      </c>
      <c r="H1475" t="inlineStr">
        <is>
          <t>NULL</t>
        </is>
      </c>
      <c r="I1475" t="inlineStr">
        <is>
          <t>NULL</t>
        </is>
      </c>
      <c r="J1475" t="inlineStr">
        <is>
          <t>NULL</t>
        </is>
      </c>
      <c r="K1475" t="inlineStr">
        <is>
          <t>[0;32m YES! [0m 	 c_dtoffset_5列源备映射正确，源端为datetimeoffset None位	期望更改为varchar(34)	实际备端为varchar 136位	位数精度不存在，通过长度比较</t>
        </is>
      </c>
    </row>
    <row r="1476">
      <c r="B1476" t="inlineStr">
        <is>
          <t>NULL</t>
        </is>
      </c>
      <c r="C1476" t="inlineStr">
        <is>
          <t>NULL</t>
        </is>
      </c>
      <c r="D1476" t="inlineStr">
        <is>
          <t>NULL</t>
        </is>
      </c>
      <c r="E1476" t="inlineStr">
        <is>
          <t>NULL</t>
        </is>
      </c>
      <c r="F1476" t="inlineStr">
        <is>
          <t>NULL</t>
        </is>
      </c>
      <c r="G1476" t="inlineStr">
        <is>
          <t>NULL</t>
        </is>
      </c>
      <c r="H1476" t="inlineStr">
        <is>
          <t>NULL</t>
        </is>
      </c>
      <c r="I1476" t="inlineStr">
        <is>
          <t>NULL</t>
        </is>
      </c>
      <c r="J1476" t="inlineStr">
        <is>
          <t>NULL</t>
        </is>
      </c>
      <c r="K1476" t="inlineStr">
        <is>
          <t>[0;32m YES! [0m 	 c_dtoffset_6列源备映射正确，源端为datetimeoffset None位	期望更改为varchar(34)	实际备端为varchar 136位	位数精度不存在，通过长度比较</t>
        </is>
      </c>
    </row>
    <row r="1477">
      <c r="B1477" t="inlineStr">
        <is>
          <t>NULL</t>
        </is>
      </c>
      <c r="C1477" t="inlineStr">
        <is>
          <t>NULL</t>
        </is>
      </c>
      <c r="D1477" t="inlineStr">
        <is>
          <t>NULL</t>
        </is>
      </c>
      <c r="E1477" t="inlineStr">
        <is>
          <t>NULL</t>
        </is>
      </c>
      <c r="F1477" t="inlineStr">
        <is>
          <t>NULL</t>
        </is>
      </c>
      <c r="G1477" t="inlineStr">
        <is>
          <t>NULL</t>
        </is>
      </c>
      <c r="H1477" t="inlineStr">
        <is>
          <t>NULL</t>
        </is>
      </c>
      <c r="I1477" t="inlineStr">
        <is>
          <t>NULL</t>
        </is>
      </c>
      <c r="J1477" t="inlineStr">
        <is>
          <t>NULL</t>
        </is>
      </c>
      <c r="K1477" t="inlineStr">
        <is>
          <t>[0;32m YES! [0m 	 c_dtoffset列源备映射正确，源端为datetimeoffset None位	期望更改为varchar(34)	实际备端为varchar 136位	位数精度不存在，通过长度比较</t>
        </is>
      </c>
    </row>
    <row r="1478">
      <c r="A1478" t="inlineStr">
        <is>
          <t>info_binary_dml_single_pk_urp</t>
        </is>
      </c>
      <c r="K1478" t="inlineStr">
        <is>
          <t>[0;34m info_binary_dml_single_pk_urp [0m源备字段数相同，源端字段：4 	备端字段4</t>
        </is>
      </c>
      <c r="W1478" t="inlineStr">
        <is>
          <t>YES 源备无差异</t>
        </is>
      </c>
      <c r="X1478">
        <f>A1478</f>
        <v/>
      </c>
    </row>
    <row r="1479">
      <c r="B1479" t="inlineStr">
        <is>
          <t>YES</t>
        </is>
      </c>
      <c r="C1479" t="inlineStr">
        <is>
          <t>NULL</t>
        </is>
      </c>
      <c r="D1479" t="inlineStr">
        <is>
          <t>NULL</t>
        </is>
      </c>
      <c r="E1479" t="inlineStr">
        <is>
          <t>NULL</t>
        </is>
      </c>
      <c r="F1479" t="inlineStr">
        <is>
          <t>NULL</t>
        </is>
      </c>
      <c r="G1479" t="inlineStr">
        <is>
          <t>NULL</t>
        </is>
      </c>
      <c r="H1479" t="inlineStr">
        <is>
          <t>NULL</t>
        </is>
      </c>
      <c r="I1479" t="inlineStr">
        <is>
          <t>YES!PK__info_bin__3213E83FF5F75715</t>
        </is>
      </c>
      <c r="J1479" t="inlineStr">
        <is>
          <t>YES! 主键相关索引</t>
        </is>
      </c>
      <c r="K1479" t="inlineStr">
        <is>
          <t>YES! 	 id列源备映射正确，源端为int None位	期望更改为int	实际备端为int None位</t>
        </is>
      </c>
    </row>
    <row r="1480">
      <c r="B1480" t="inlineStr">
        <is>
          <t>NULL</t>
        </is>
      </c>
      <c r="C1480" t="inlineStr">
        <is>
          <t>NULL</t>
        </is>
      </c>
      <c r="D1480" t="inlineStr">
        <is>
          <t>NULL</t>
        </is>
      </c>
      <c r="E1480" t="inlineStr">
        <is>
          <t>NULL</t>
        </is>
      </c>
      <c r="F1480" t="inlineStr">
        <is>
          <t>NULL</t>
        </is>
      </c>
      <c r="G1480" t="inlineStr">
        <is>
          <t>NULL</t>
        </is>
      </c>
      <c r="H1480" t="inlineStr">
        <is>
          <t>NULL</t>
        </is>
      </c>
      <c r="I1480" t="inlineStr">
        <is>
          <t>NULL</t>
        </is>
      </c>
      <c r="J1480" t="inlineStr">
        <is>
          <t>NULL</t>
        </is>
      </c>
      <c r="K1480" t="inlineStr">
        <is>
          <t>YES! 	 c_binary列源备映射正确，源端为binary 1位	期望更改为binary(n)	实际备端为binary 1位</t>
        </is>
      </c>
    </row>
    <row r="1481">
      <c r="B1481" t="inlineStr">
        <is>
          <t>NULL</t>
        </is>
      </c>
      <c r="C1481" t="inlineStr">
        <is>
          <t>NULL</t>
        </is>
      </c>
      <c r="D1481" t="inlineStr">
        <is>
          <t>NULL</t>
        </is>
      </c>
      <c r="E1481" t="inlineStr">
        <is>
          <t>NULL</t>
        </is>
      </c>
      <c r="F1481" t="inlineStr">
        <is>
          <t>NULL</t>
        </is>
      </c>
      <c r="G1481" t="inlineStr">
        <is>
          <t>NULL</t>
        </is>
      </c>
      <c r="H1481" t="inlineStr">
        <is>
          <t>NULL</t>
        </is>
      </c>
      <c r="I1481" t="inlineStr">
        <is>
          <t>NULL</t>
        </is>
      </c>
      <c r="J1481" t="inlineStr">
        <is>
          <t>NULL</t>
        </is>
      </c>
      <c r="K1481" t="inlineStr">
        <is>
          <t>YES! 	 c_binary_20列源备映射正确，源端为binary 20位	期望更改为binary(n)	实际备端为binary 20位</t>
        </is>
      </c>
    </row>
    <row r="1482">
      <c r="B1482" t="inlineStr">
        <is>
          <t>NULL</t>
        </is>
      </c>
      <c r="C1482" t="inlineStr">
        <is>
          <t>NULL</t>
        </is>
      </c>
      <c r="D1482" t="inlineStr">
        <is>
          <t>NULL</t>
        </is>
      </c>
      <c r="E1482" t="inlineStr">
        <is>
          <t>NULL</t>
        </is>
      </c>
      <c r="F1482" t="inlineStr">
        <is>
          <t>NULL</t>
        </is>
      </c>
      <c r="G1482" t="inlineStr">
        <is>
          <t>NULL</t>
        </is>
      </c>
      <c r="H1482" t="inlineStr">
        <is>
          <t>NULL</t>
        </is>
      </c>
      <c r="I1482" t="inlineStr">
        <is>
          <t>NULL</t>
        </is>
      </c>
      <c r="J1482" t="inlineStr">
        <is>
          <t>NULL</t>
        </is>
      </c>
      <c r="K1482" t="inlineStr">
        <is>
          <t>YES! 	 c_binary_8000列源备映射正确，源端为binary 8000位	期望更改为longblob	实际备端为longblob 4294967295位</t>
        </is>
      </c>
    </row>
    <row r="1483">
      <c r="A1483" t="inlineStr">
        <is>
          <t>info_datetime2_dml_single_nopk_urp</t>
        </is>
      </c>
      <c r="K1483" t="inlineStr">
        <is>
          <t>[0;34m info_datetime2_dml_single_nopk_urp [0m源备字段数相同，源端字段：9 	备端字段9</t>
        </is>
      </c>
      <c r="W1483" t="inlineStr">
        <is>
          <t>YES 源备无差异</t>
        </is>
      </c>
      <c r="X1483">
        <f>A1483</f>
        <v/>
      </c>
    </row>
    <row r="1484">
      <c r="B1484" t="inlineStr">
        <is>
          <t>NULL</t>
        </is>
      </c>
      <c r="C1484" t="inlineStr">
        <is>
          <t>NULL</t>
        </is>
      </c>
      <c r="D1484" t="inlineStr">
        <is>
          <t>NULL</t>
        </is>
      </c>
      <c r="E1484" t="inlineStr">
        <is>
          <t>NULL</t>
        </is>
      </c>
      <c r="F1484" t="inlineStr">
        <is>
          <t>NULL</t>
        </is>
      </c>
      <c r="G1484" t="inlineStr">
        <is>
          <t>NULL</t>
        </is>
      </c>
      <c r="H1484" t="inlineStr">
        <is>
          <t>NULL</t>
        </is>
      </c>
      <c r="I1484" t="inlineStr">
        <is>
          <t>NULL</t>
        </is>
      </c>
      <c r="J1484" t="inlineStr">
        <is>
          <t>NULL</t>
        </is>
      </c>
      <c r="K1484" t="inlineStr">
        <is>
          <t>YES! 	 id列源备映射正确，源端为int None位	期望更改为int	实际备端为int None位</t>
        </is>
      </c>
    </row>
    <row r="1485">
      <c r="B1485" t="inlineStr">
        <is>
          <t>NULL</t>
        </is>
      </c>
      <c r="C1485" t="inlineStr">
        <is>
          <t>NULL</t>
        </is>
      </c>
      <c r="D1485" t="inlineStr">
        <is>
          <t>NULL</t>
        </is>
      </c>
      <c r="E1485" t="inlineStr">
        <is>
          <t>NULL</t>
        </is>
      </c>
      <c r="F1485" t="inlineStr">
        <is>
          <t>NULL</t>
        </is>
      </c>
      <c r="G1485" t="inlineStr">
        <is>
          <t>NULL</t>
        </is>
      </c>
      <c r="H1485" t="inlineStr">
        <is>
          <t>NULL</t>
        </is>
      </c>
      <c r="I1485" t="inlineStr">
        <is>
          <t>NULL</t>
        </is>
      </c>
      <c r="J1485" t="inlineStr">
        <is>
          <t>NULL</t>
        </is>
      </c>
      <c r="K1485" t="inlineStr">
        <is>
          <t>no,len不存在</t>
        </is>
      </c>
    </row>
    <row r="1486">
      <c r="B1486" t="inlineStr">
        <is>
          <t>NULL</t>
        </is>
      </c>
      <c r="C1486" t="inlineStr">
        <is>
          <t>NULL</t>
        </is>
      </c>
      <c r="D1486" t="inlineStr">
        <is>
          <t>NULL</t>
        </is>
      </c>
      <c r="E1486" t="inlineStr">
        <is>
          <t>NULL</t>
        </is>
      </c>
      <c r="F1486" t="inlineStr">
        <is>
          <t>NULL</t>
        </is>
      </c>
      <c r="G1486" t="inlineStr">
        <is>
          <t>NULL</t>
        </is>
      </c>
      <c r="H1486" t="inlineStr">
        <is>
          <t>NULL</t>
        </is>
      </c>
      <c r="I1486" t="inlineStr">
        <is>
          <t>NULL</t>
        </is>
      </c>
      <c r="J1486" t="inlineStr">
        <is>
          <t>NULL</t>
        </is>
      </c>
      <c r="K1486" t="inlineStr">
        <is>
          <t>YES! 	 c_dt2_1列源备映射正确，源端为datetime2 None位	期望更改为datetime(n)	实际备端为datetime None位</t>
        </is>
      </c>
    </row>
    <row r="1487">
      <c r="B1487" t="inlineStr">
        <is>
          <t>NULL</t>
        </is>
      </c>
      <c r="C1487" t="inlineStr">
        <is>
          <t>NULL</t>
        </is>
      </c>
      <c r="D1487" t="inlineStr">
        <is>
          <t>NULL</t>
        </is>
      </c>
      <c r="E1487" t="inlineStr">
        <is>
          <t>NULL</t>
        </is>
      </c>
      <c r="F1487" t="inlineStr">
        <is>
          <t>NULL</t>
        </is>
      </c>
      <c r="G1487" t="inlineStr">
        <is>
          <t>NULL</t>
        </is>
      </c>
      <c r="H1487" t="inlineStr">
        <is>
          <t>NULL</t>
        </is>
      </c>
      <c r="I1487" t="inlineStr">
        <is>
          <t>NULL</t>
        </is>
      </c>
      <c r="J1487" t="inlineStr">
        <is>
          <t>NULL</t>
        </is>
      </c>
      <c r="K1487" t="inlineStr">
        <is>
          <t>YES! 	 c_dt2_2列源备映射正确，源端为datetime2 None位	期望更改为datetime(n)	实际备端为datetime None位</t>
        </is>
      </c>
    </row>
    <row r="1488">
      <c r="B1488" t="inlineStr">
        <is>
          <t>NULL</t>
        </is>
      </c>
      <c r="C1488" t="inlineStr">
        <is>
          <t>NULL</t>
        </is>
      </c>
      <c r="D1488" t="inlineStr">
        <is>
          <t>NULL</t>
        </is>
      </c>
      <c r="E1488" t="inlineStr">
        <is>
          <t>NULL</t>
        </is>
      </c>
      <c r="F1488" t="inlineStr">
        <is>
          <t>NULL</t>
        </is>
      </c>
      <c r="G1488" t="inlineStr">
        <is>
          <t>NULL</t>
        </is>
      </c>
      <c r="H1488" t="inlineStr">
        <is>
          <t>NULL</t>
        </is>
      </c>
      <c r="I1488" t="inlineStr">
        <is>
          <t>NULL</t>
        </is>
      </c>
      <c r="J1488" t="inlineStr">
        <is>
          <t>NULL</t>
        </is>
      </c>
      <c r="K1488" t="inlineStr">
        <is>
          <t>YES! 	 c_dt2_3列源备映射正确，源端为datetime2 None位	期望更改为datetime(n)	实际备端为datetime None位</t>
        </is>
      </c>
    </row>
    <row r="1489">
      <c r="B1489" t="inlineStr">
        <is>
          <t>NULL</t>
        </is>
      </c>
      <c r="C1489" t="inlineStr">
        <is>
          <t>NULL</t>
        </is>
      </c>
      <c r="D1489" t="inlineStr">
        <is>
          <t>NULL</t>
        </is>
      </c>
      <c r="E1489" t="inlineStr">
        <is>
          <t>NULL</t>
        </is>
      </c>
      <c r="F1489" t="inlineStr">
        <is>
          <t>NULL</t>
        </is>
      </c>
      <c r="G1489" t="inlineStr">
        <is>
          <t>NULL</t>
        </is>
      </c>
      <c r="H1489" t="inlineStr">
        <is>
          <t>NULL</t>
        </is>
      </c>
      <c r="I1489" t="inlineStr">
        <is>
          <t>NULL</t>
        </is>
      </c>
      <c r="J1489" t="inlineStr">
        <is>
          <t>NULL</t>
        </is>
      </c>
      <c r="K1489" t="inlineStr">
        <is>
          <t>YES! 	 c_dt2_4列源备映射正确，源端为datetime2 None位	期望更改为datetime(n)	实际备端为datetime None位</t>
        </is>
      </c>
    </row>
    <row r="1490">
      <c r="B1490" t="inlineStr">
        <is>
          <t>NULL</t>
        </is>
      </c>
      <c r="C1490" t="inlineStr">
        <is>
          <t>NULL</t>
        </is>
      </c>
      <c r="D1490" t="inlineStr">
        <is>
          <t>NULL</t>
        </is>
      </c>
      <c r="E1490" t="inlineStr">
        <is>
          <t>NULL</t>
        </is>
      </c>
      <c r="F1490" t="inlineStr">
        <is>
          <t>NULL</t>
        </is>
      </c>
      <c r="G1490" t="inlineStr">
        <is>
          <t>NULL</t>
        </is>
      </c>
      <c r="H1490" t="inlineStr">
        <is>
          <t>NULL</t>
        </is>
      </c>
      <c r="I1490" t="inlineStr">
        <is>
          <t>NULL</t>
        </is>
      </c>
      <c r="J1490" t="inlineStr">
        <is>
          <t>NULL</t>
        </is>
      </c>
      <c r="K1490" t="inlineStr">
        <is>
          <t>YES! 	 c_dt2_5列源备映射正确，源端为datetime2 None位	期望更改为datetime(n)	实际备端为datetime None位</t>
        </is>
      </c>
    </row>
    <row r="1491">
      <c r="B1491" t="inlineStr">
        <is>
          <t>NULL</t>
        </is>
      </c>
      <c r="C1491" t="inlineStr">
        <is>
          <t>NULL</t>
        </is>
      </c>
      <c r="D1491" t="inlineStr">
        <is>
          <t>NULL</t>
        </is>
      </c>
      <c r="E1491" t="inlineStr">
        <is>
          <t>NULL</t>
        </is>
      </c>
      <c r="F1491" t="inlineStr">
        <is>
          <t>NULL</t>
        </is>
      </c>
      <c r="G1491" t="inlineStr">
        <is>
          <t>NULL</t>
        </is>
      </c>
      <c r="H1491" t="inlineStr">
        <is>
          <t>NULL</t>
        </is>
      </c>
      <c r="I1491" t="inlineStr">
        <is>
          <t>NULL</t>
        </is>
      </c>
      <c r="J1491" t="inlineStr">
        <is>
          <t>NULL</t>
        </is>
      </c>
      <c r="K1491" t="inlineStr">
        <is>
          <t>YES! 	 c_dt2_6列源备映射正确，源端为datetime2 None位	期望更改为datetime(n)	实际备端为datetime None位</t>
        </is>
      </c>
    </row>
    <row r="1492">
      <c r="B1492" t="inlineStr">
        <is>
          <t>NULL</t>
        </is>
      </c>
      <c r="C1492" t="inlineStr">
        <is>
          <t>NO!源None备NUL</t>
        </is>
      </c>
      <c r="D1492" t="inlineStr">
        <is>
          <t>NULL</t>
        </is>
      </c>
      <c r="E1492" t="inlineStr">
        <is>
          <t>NULL</t>
        </is>
      </c>
      <c r="F1492" t="inlineStr">
        <is>
          <t>NULL</t>
        </is>
      </c>
      <c r="G1492" t="inlineStr">
        <is>
          <t>NULL</t>
        </is>
      </c>
      <c r="H1492" t="inlineStr">
        <is>
          <t>NULL</t>
        </is>
      </c>
      <c r="I1492" t="inlineStr">
        <is>
          <t>NULL</t>
        </is>
      </c>
      <c r="J1492" t="inlineStr">
        <is>
          <t>NULL</t>
        </is>
      </c>
      <c r="K1492" t="inlineStr">
        <is>
          <t xml:space="preserve"> NO!  	 c_dt2列源备映射错误，源端为datetime2 None位	期望更改为datetime(n)	实际备端为varchar 136位</t>
        </is>
      </c>
    </row>
    <row r="1493">
      <c r="A1493" t="inlineStr">
        <is>
          <t>info_varcharmax_dml_batch1_pk_urp1</t>
        </is>
      </c>
      <c r="K1493" t="inlineStr">
        <is>
          <t>[0;34m info_varcharmax_dml_batch1_pk_urp1 [0m源备字段数相同，源端字段：3 	备端字段3</t>
        </is>
      </c>
      <c r="W1493" t="inlineStr">
        <is>
          <t>YES 源备无差异</t>
        </is>
      </c>
      <c r="X1493">
        <f>A1493</f>
        <v/>
      </c>
    </row>
    <row r="1494">
      <c r="B1494" t="inlineStr">
        <is>
          <t>YES</t>
        </is>
      </c>
      <c r="C1494" t="inlineStr">
        <is>
          <t>NULL</t>
        </is>
      </c>
      <c r="D1494" t="inlineStr">
        <is>
          <t>NULL</t>
        </is>
      </c>
      <c r="E1494" t="inlineStr">
        <is>
          <t>NULL</t>
        </is>
      </c>
      <c r="F1494" t="inlineStr">
        <is>
          <t>NULL</t>
        </is>
      </c>
      <c r="G1494" t="inlineStr">
        <is>
          <t>NULL</t>
        </is>
      </c>
      <c r="H1494" t="inlineStr">
        <is>
          <t>NULL</t>
        </is>
      </c>
      <c r="I1494" t="inlineStr">
        <is>
          <t>YES!PK__info_var__3213E83FDE4211B1</t>
        </is>
      </c>
      <c r="J1494" t="inlineStr">
        <is>
          <t>YES! 主键相关索引</t>
        </is>
      </c>
      <c r="K1494" t="inlineStr">
        <is>
          <t>YES! 	 id列源备映射正确，源端为int None位	期望更改为int	实际备端为int None位</t>
        </is>
      </c>
    </row>
    <row r="1495">
      <c r="B1495" t="inlineStr">
        <is>
          <t>NULL</t>
        </is>
      </c>
      <c r="C1495" t="inlineStr">
        <is>
          <t>NULL</t>
        </is>
      </c>
      <c r="D1495" t="inlineStr">
        <is>
          <t>NULL</t>
        </is>
      </c>
      <c r="E1495" t="inlineStr">
        <is>
          <t>NULL</t>
        </is>
      </c>
      <c r="F1495" t="inlineStr">
        <is>
          <t>NULL</t>
        </is>
      </c>
      <c r="G1495" t="inlineStr">
        <is>
          <t>NULL</t>
        </is>
      </c>
      <c r="H1495" t="inlineStr">
        <is>
          <t>NULL</t>
        </is>
      </c>
      <c r="I1495" t="inlineStr">
        <is>
          <t>NULL</t>
        </is>
      </c>
      <c r="J1495" t="inlineStr">
        <is>
          <t>NULL</t>
        </is>
      </c>
      <c r="K1495" t="inlineStr">
        <is>
          <t>YES! 	 c_varchar_max列源备映射正确，源端为varchar -1位	期望更改为longtext	实际备端为longtext 4294967295位</t>
        </is>
      </c>
    </row>
    <row r="1496">
      <c r="B1496" t="inlineStr">
        <is>
          <t>NULL</t>
        </is>
      </c>
      <c r="C1496" t="inlineStr">
        <is>
          <t>NULL</t>
        </is>
      </c>
      <c r="D1496" t="inlineStr">
        <is>
          <t>NULL</t>
        </is>
      </c>
      <c r="E1496" t="inlineStr">
        <is>
          <t>NULL</t>
        </is>
      </c>
      <c r="F1496" t="inlineStr">
        <is>
          <t>NULL</t>
        </is>
      </c>
      <c r="G1496" t="inlineStr">
        <is>
          <t>NULL</t>
        </is>
      </c>
      <c r="H1496" t="inlineStr">
        <is>
          <t>NULL</t>
        </is>
      </c>
      <c r="I1496" t="inlineStr">
        <is>
          <t>NULL</t>
        </is>
      </c>
      <c r="J1496" t="inlineStr">
        <is>
          <t>NULL</t>
        </is>
      </c>
      <c r="K1496" t="inlineStr">
        <is>
          <t>YES! 	 c_nvarchar_max列源备映射正确，源端为nvarchar -1位	期望更改为longtext	实际备端为longtext 4294967295位</t>
        </is>
      </c>
    </row>
    <row r="1497">
      <c r="K1497" t="inlineStr">
        <is>
          <t>~ 空表</t>
        </is>
      </c>
    </row>
    <row r="1498">
      <c r="A1498" t="inlineStr">
        <is>
          <t>info_datetimeoffset_dml_single_pk_drp</t>
        </is>
      </c>
      <c r="K1498" t="inlineStr">
        <is>
          <t>[0;34m info_datetimeoffset_dml_single_pk_drp [0m源备字段数相同，源端字段：9 	备端字段9</t>
        </is>
      </c>
      <c r="W1498" t="inlineStr">
        <is>
          <t>YES 源备无差异</t>
        </is>
      </c>
      <c r="X1498">
        <f>A1498</f>
        <v/>
      </c>
    </row>
    <row r="1499">
      <c r="B1499" t="inlineStr">
        <is>
          <t>YES</t>
        </is>
      </c>
      <c r="C1499" t="inlineStr">
        <is>
          <t>NULL</t>
        </is>
      </c>
      <c r="D1499" t="inlineStr">
        <is>
          <t>NULL</t>
        </is>
      </c>
      <c r="E1499" t="inlineStr">
        <is>
          <t>NULL</t>
        </is>
      </c>
      <c r="F1499" t="inlineStr">
        <is>
          <t>NULL</t>
        </is>
      </c>
      <c r="G1499" t="inlineStr">
        <is>
          <t>NULL</t>
        </is>
      </c>
      <c r="H1499" t="inlineStr">
        <is>
          <t>NULL</t>
        </is>
      </c>
      <c r="I1499" t="inlineStr">
        <is>
          <t>YES!PK__info_dat__3213E83FB13C2792</t>
        </is>
      </c>
      <c r="J1499" t="inlineStr">
        <is>
          <t>YES! 主键相关索引</t>
        </is>
      </c>
      <c r="K1499" t="inlineStr">
        <is>
          <t>YES! 	 id列源备映射正确，源端为int None位	期望更改为int	实际备端为int None位</t>
        </is>
      </c>
    </row>
    <row r="1500">
      <c r="B1500" t="inlineStr">
        <is>
          <t>NULL</t>
        </is>
      </c>
      <c r="C1500" t="inlineStr">
        <is>
          <t>NULL</t>
        </is>
      </c>
      <c r="D1500" t="inlineStr">
        <is>
          <t>NULL</t>
        </is>
      </c>
      <c r="E1500" t="inlineStr">
        <is>
          <t>NULL</t>
        </is>
      </c>
      <c r="F1500" t="inlineStr">
        <is>
          <t>NULL</t>
        </is>
      </c>
      <c r="G1500" t="inlineStr">
        <is>
          <t>NULL</t>
        </is>
      </c>
      <c r="H1500" t="inlineStr">
        <is>
          <t>NULL</t>
        </is>
      </c>
      <c r="I1500" t="inlineStr">
        <is>
          <t>NULL</t>
        </is>
      </c>
      <c r="J1500" t="inlineStr">
        <is>
          <t>NULL</t>
        </is>
      </c>
      <c r="K1500" t="inlineStr">
        <is>
          <t>[0;32m YES! [0m 	 c_dtoffset_0列源备映射正确，源端为datetimeoffset None位	期望更改为varchar(34)	实际备端为varchar 136位	位数精度不存在，通过长度比较</t>
        </is>
      </c>
    </row>
    <row r="1501">
      <c r="B1501" t="inlineStr">
        <is>
          <t>NULL</t>
        </is>
      </c>
      <c r="C1501" t="inlineStr">
        <is>
          <t>NULL</t>
        </is>
      </c>
      <c r="D1501" t="inlineStr">
        <is>
          <t>NULL</t>
        </is>
      </c>
      <c r="E1501" t="inlineStr">
        <is>
          <t>NULL</t>
        </is>
      </c>
      <c r="F1501" t="inlineStr">
        <is>
          <t>NULL</t>
        </is>
      </c>
      <c r="G1501" t="inlineStr">
        <is>
          <t>NULL</t>
        </is>
      </c>
      <c r="H1501" t="inlineStr">
        <is>
          <t>NULL</t>
        </is>
      </c>
      <c r="I1501" t="inlineStr">
        <is>
          <t>NULL</t>
        </is>
      </c>
      <c r="J1501" t="inlineStr">
        <is>
          <t>NULL</t>
        </is>
      </c>
      <c r="K1501" t="inlineStr">
        <is>
          <t>[0;32m YES! [0m 	 c_dtoffset_1列源备映射正确，源端为datetimeoffset None位	期望更改为varchar(34)	实际备端为varchar 136位	位数精度不存在，通过长度比较</t>
        </is>
      </c>
    </row>
    <row r="1502">
      <c r="B1502" t="inlineStr">
        <is>
          <t>NULL</t>
        </is>
      </c>
      <c r="C1502" t="inlineStr">
        <is>
          <t>NULL</t>
        </is>
      </c>
      <c r="D1502" t="inlineStr">
        <is>
          <t>NULL</t>
        </is>
      </c>
      <c r="E1502" t="inlineStr">
        <is>
          <t>NULL</t>
        </is>
      </c>
      <c r="F1502" t="inlineStr">
        <is>
          <t>NULL</t>
        </is>
      </c>
      <c r="G1502" t="inlineStr">
        <is>
          <t>NULL</t>
        </is>
      </c>
      <c r="H1502" t="inlineStr">
        <is>
          <t>NULL</t>
        </is>
      </c>
      <c r="I1502" t="inlineStr">
        <is>
          <t>NULL</t>
        </is>
      </c>
      <c r="J1502" t="inlineStr">
        <is>
          <t>NULL</t>
        </is>
      </c>
      <c r="K1502" t="inlineStr">
        <is>
          <t>[0;32m YES! [0m 	 c_dtoffset_2列源备映射正确，源端为datetimeoffset None位	期望更改为varchar(34)	实际备端为varchar 136位	位数精度不存在，通过长度比较</t>
        </is>
      </c>
    </row>
    <row r="1503">
      <c r="B1503" t="inlineStr">
        <is>
          <t>NULL</t>
        </is>
      </c>
      <c r="C1503" t="inlineStr">
        <is>
          <t>NULL</t>
        </is>
      </c>
      <c r="D1503" t="inlineStr">
        <is>
          <t>NULL</t>
        </is>
      </c>
      <c r="E1503" t="inlineStr">
        <is>
          <t>NULL</t>
        </is>
      </c>
      <c r="F1503" t="inlineStr">
        <is>
          <t>NULL</t>
        </is>
      </c>
      <c r="G1503" t="inlineStr">
        <is>
          <t>NULL</t>
        </is>
      </c>
      <c r="H1503" t="inlineStr">
        <is>
          <t>NULL</t>
        </is>
      </c>
      <c r="I1503" t="inlineStr">
        <is>
          <t>NULL</t>
        </is>
      </c>
      <c r="J1503" t="inlineStr">
        <is>
          <t>NULL</t>
        </is>
      </c>
      <c r="K1503" t="inlineStr">
        <is>
          <t>[0;32m YES! [0m 	 c_dtoffset_3列源备映射正确，源端为datetimeoffset None位	期望更改为varchar(34)	实际备端为varchar 136位	位数精度不存在，通过长度比较</t>
        </is>
      </c>
    </row>
    <row r="1504">
      <c r="B1504" t="inlineStr">
        <is>
          <t>NULL</t>
        </is>
      </c>
      <c r="C1504" t="inlineStr">
        <is>
          <t>NULL</t>
        </is>
      </c>
      <c r="D1504" t="inlineStr">
        <is>
          <t>NULL</t>
        </is>
      </c>
      <c r="E1504" t="inlineStr">
        <is>
          <t>NULL</t>
        </is>
      </c>
      <c r="F1504" t="inlineStr">
        <is>
          <t>NULL</t>
        </is>
      </c>
      <c r="G1504" t="inlineStr">
        <is>
          <t>NULL</t>
        </is>
      </c>
      <c r="H1504" t="inlineStr">
        <is>
          <t>NULL</t>
        </is>
      </c>
      <c r="I1504" t="inlineStr">
        <is>
          <t>NULL</t>
        </is>
      </c>
      <c r="J1504" t="inlineStr">
        <is>
          <t>NULL</t>
        </is>
      </c>
      <c r="K1504" t="inlineStr">
        <is>
          <t>[0;32m YES! [0m 	 c_dtoffset_4列源备映射正确，源端为datetimeoffset None位	期望更改为varchar(34)	实际备端为varchar 136位	位数精度不存在，通过长度比较</t>
        </is>
      </c>
    </row>
    <row r="1505">
      <c r="B1505" t="inlineStr">
        <is>
          <t>NULL</t>
        </is>
      </c>
      <c r="C1505" t="inlineStr">
        <is>
          <t>NULL</t>
        </is>
      </c>
      <c r="D1505" t="inlineStr">
        <is>
          <t>NULL</t>
        </is>
      </c>
      <c r="E1505" t="inlineStr">
        <is>
          <t>NULL</t>
        </is>
      </c>
      <c r="F1505" t="inlineStr">
        <is>
          <t>NULL</t>
        </is>
      </c>
      <c r="G1505" t="inlineStr">
        <is>
          <t>NULL</t>
        </is>
      </c>
      <c r="H1505" t="inlineStr">
        <is>
          <t>NULL</t>
        </is>
      </c>
      <c r="I1505" t="inlineStr">
        <is>
          <t>NULL</t>
        </is>
      </c>
      <c r="J1505" t="inlineStr">
        <is>
          <t>NULL</t>
        </is>
      </c>
      <c r="K1505" t="inlineStr">
        <is>
          <t>[0;32m YES! [0m 	 c_dtoffset_5列源备映射正确，源端为datetimeoffset None位	期望更改为varchar(34)	实际备端为varchar 136位	位数精度不存在，通过长度比较</t>
        </is>
      </c>
    </row>
    <row r="1506">
      <c r="B1506" t="inlineStr">
        <is>
          <t>NULL</t>
        </is>
      </c>
      <c r="C1506" t="inlineStr">
        <is>
          <t>NULL</t>
        </is>
      </c>
      <c r="D1506" t="inlineStr">
        <is>
          <t>NULL</t>
        </is>
      </c>
      <c r="E1506" t="inlineStr">
        <is>
          <t>NULL</t>
        </is>
      </c>
      <c r="F1506" t="inlineStr">
        <is>
          <t>NULL</t>
        </is>
      </c>
      <c r="G1506" t="inlineStr">
        <is>
          <t>NULL</t>
        </is>
      </c>
      <c r="H1506" t="inlineStr">
        <is>
          <t>NULL</t>
        </is>
      </c>
      <c r="I1506" t="inlineStr">
        <is>
          <t>NULL</t>
        </is>
      </c>
      <c r="J1506" t="inlineStr">
        <is>
          <t>NULL</t>
        </is>
      </c>
      <c r="K1506" t="inlineStr">
        <is>
          <t>[0;32m YES! [0m 	 c_dtoffset_6列源备映射正确，源端为datetimeoffset None位	期望更改为varchar(34)	实际备端为varchar 136位	位数精度不存在，通过长度比较</t>
        </is>
      </c>
    </row>
    <row r="1507">
      <c r="B1507" t="inlineStr">
        <is>
          <t>NULL</t>
        </is>
      </c>
      <c r="C1507" t="inlineStr">
        <is>
          <t>NULL</t>
        </is>
      </c>
      <c r="D1507" t="inlineStr">
        <is>
          <t>NULL</t>
        </is>
      </c>
      <c r="E1507" t="inlineStr">
        <is>
          <t>NULL</t>
        </is>
      </c>
      <c r="F1507" t="inlineStr">
        <is>
          <t>NULL</t>
        </is>
      </c>
      <c r="G1507" t="inlineStr">
        <is>
          <t>NULL</t>
        </is>
      </c>
      <c r="H1507" t="inlineStr">
        <is>
          <t>NULL</t>
        </is>
      </c>
      <c r="I1507" t="inlineStr">
        <is>
          <t>NULL</t>
        </is>
      </c>
      <c r="J1507" t="inlineStr">
        <is>
          <t>NULL</t>
        </is>
      </c>
      <c r="K1507" t="inlineStr">
        <is>
          <t>[0;32m YES! [0m 	 c_dtoffset列源备映射正确，源端为datetimeoffset None位	期望更改为varchar(34)	实际备端为varchar 136位	位数精度不存在，通过长度比较</t>
        </is>
      </c>
    </row>
    <row r="1508">
      <c r="A1508" t="inlineStr">
        <is>
          <t>info_datetime2_dml_single_nopk_drp</t>
        </is>
      </c>
      <c r="K1508" t="inlineStr">
        <is>
          <t>[0;34m info_datetime2_dml_single_nopk_drp [0m源备字段数相同，源端字段：9 	备端字段9</t>
        </is>
      </c>
      <c r="W1508" t="inlineStr">
        <is>
          <t>YES 源备无差异</t>
        </is>
      </c>
      <c r="X1508">
        <f>A1508</f>
        <v/>
      </c>
    </row>
    <row r="1509">
      <c r="B1509" t="inlineStr">
        <is>
          <t>NULL</t>
        </is>
      </c>
      <c r="C1509" t="inlineStr">
        <is>
          <t>NULL</t>
        </is>
      </c>
      <c r="D1509" t="inlineStr">
        <is>
          <t>NULL</t>
        </is>
      </c>
      <c r="E1509" t="inlineStr">
        <is>
          <t>NULL</t>
        </is>
      </c>
      <c r="F1509" t="inlineStr">
        <is>
          <t>NULL</t>
        </is>
      </c>
      <c r="G1509" t="inlineStr">
        <is>
          <t>NULL</t>
        </is>
      </c>
      <c r="H1509" t="inlineStr">
        <is>
          <t>NULL</t>
        </is>
      </c>
      <c r="I1509" t="inlineStr">
        <is>
          <t>NULL</t>
        </is>
      </c>
      <c r="J1509" t="inlineStr">
        <is>
          <t>NULL</t>
        </is>
      </c>
      <c r="K1509" t="inlineStr">
        <is>
          <t>YES! 	 id列源备映射正确，源端为int None位	期望更改为int	实际备端为int None位</t>
        </is>
      </c>
    </row>
    <row r="1510">
      <c r="B1510" t="inlineStr">
        <is>
          <t>NULL</t>
        </is>
      </c>
      <c r="C1510" t="inlineStr">
        <is>
          <t>NULL</t>
        </is>
      </c>
      <c r="D1510" t="inlineStr">
        <is>
          <t>NULL</t>
        </is>
      </c>
      <c r="E1510" t="inlineStr">
        <is>
          <t>NULL</t>
        </is>
      </c>
      <c r="F1510" t="inlineStr">
        <is>
          <t>NULL</t>
        </is>
      </c>
      <c r="G1510" t="inlineStr">
        <is>
          <t>NULL</t>
        </is>
      </c>
      <c r="H1510" t="inlineStr">
        <is>
          <t>NULL</t>
        </is>
      </c>
      <c r="I1510" t="inlineStr">
        <is>
          <t>NULL</t>
        </is>
      </c>
      <c r="J1510" t="inlineStr">
        <is>
          <t>NULL</t>
        </is>
      </c>
      <c r="K1510" t="inlineStr">
        <is>
          <t>no,len不存在</t>
        </is>
      </c>
    </row>
    <row r="1511">
      <c r="B1511" t="inlineStr">
        <is>
          <t>NULL</t>
        </is>
      </c>
      <c r="C1511" t="inlineStr">
        <is>
          <t>NULL</t>
        </is>
      </c>
      <c r="D1511" t="inlineStr">
        <is>
          <t>NULL</t>
        </is>
      </c>
      <c r="E1511" t="inlineStr">
        <is>
          <t>NULL</t>
        </is>
      </c>
      <c r="F1511" t="inlineStr">
        <is>
          <t>NULL</t>
        </is>
      </c>
      <c r="G1511" t="inlineStr">
        <is>
          <t>NULL</t>
        </is>
      </c>
      <c r="H1511" t="inlineStr">
        <is>
          <t>NULL</t>
        </is>
      </c>
      <c r="I1511" t="inlineStr">
        <is>
          <t>NULL</t>
        </is>
      </c>
      <c r="J1511" t="inlineStr">
        <is>
          <t>NULL</t>
        </is>
      </c>
      <c r="K1511" t="inlineStr">
        <is>
          <t>YES! 	 c_dt2_1列源备映射正确，源端为datetime2 None位	期望更改为datetime(n)	实际备端为datetime None位</t>
        </is>
      </c>
    </row>
    <row r="1512">
      <c r="B1512" t="inlineStr">
        <is>
          <t>NULL</t>
        </is>
      </c>
      <c r="C1512" t="inlineStr">
        <is>
          <t>NULL</t>
        </is>
      </c>
      <c r="D1512" t="inlineStr">
        <is>
          <t>NULL</t>
        </is>
      </c>
      <c r="E1512" t="inlineStr">
        <is>
          <t>NULL</t>
        </is>
      </c>
      <c r="F1512" t="inlineStr">
        <is>
          <t>NULL</t>
        </is>
      </c>
      <c r="G1512" t="inlineStr">
        <is>
          <t>NULL</t>
        </is>
      </c>
      <c r="H1512" t="inlineStr">
        <is>
          <t>NULL</t>
        </is>
      </c>
      <c r="I1512" t="inlineStr">
        <is>
          <t>NULL</t>
        </is>
      </c>
      <c r="J1512" t="inlineStr">
        <is>
          <t>NULL</t>
        </is>
      </c>
      <c r="K1512" t="inlineStr">
        <is>
          <t>YES! 	 c_dt2_2列源备映射正确，源端为datetime2 None位	期望更改为datetime(n)	实际备端为datetime None位</t>
        </is>
      </c>
    </row>
    <row r="1513">
      <c r="B1513" t="inlineStr">
        <is>
          <t>NULL</t>
        </is>
      </c>
      <c r="C1513" t="inlineStr">
        <is>
          <t>NULL</t>
        </is>
      </c>
      <c r="D1513" t="inlineStr">
        <is>
          <t>NULL</t>
        </is>
      </c>
      <c r="E1513" t="inlineStr">
        <is>
          <t>NULL</t>
        </is>
      </c>
      <c r="F1513" t="inlineStr">
        <is>
          <t>NULL</t>
        </is>
      </c>
      <c r="G1513" t="inlineStr">
        <is>
          <t>NULL</t>
        </is>
      </c>
      <c r="H1513" t="inlineStr">
        <is>
          <t>NULL</t>
        </is>
      </c>
      <c r="I1513" t="inlineStr">
        <is>
          <t>NULL</t>
        </is>
      </c>
      <c r="J1513" t="inlineStr">
        <is>
          <t>NULL</t>
        </is>
      </c>
      <c r="K1513" t="inlineStr">
        <is>
          <t>YES! 	 c_dt2_3列源备映射正确，源端为datetime2 None位	期望更改为datetime(n)	实际备端为datetime None位</t>
        </is>
      </c>
    </row>
    <row r="1514">
      <c r="B1514" t="inlineStr">
        <is>
          <t>NULL</t>
        </is>
      </c>
      <c r="C1514" t="inlineStr">
        <is>
          <t>NULL</t>
        </is>
      </c>
      <c r="D1514" t="inlineStr">
        <is>
          <t>NULL</t>
        </is>
      </c>
      <c r="E1514" t="inlineStr">
        <is>
          <t>NULL</t>
        </is>
      </c>
      <c r="F1514" t="inlineStr">
        <is>
          <t>NULL</t>
        </is>
      </c>
      <c r="G1514" t="inlineStr">
        <is>
          <t>NULL</t>
        </is>
      </c>
      <c r="H1514" t="inlineStr">
        <is>
          <t>NULL</t>
        </is>
      </c>
      <c r="I1514" t="inlineStr">
        <is>
          <t>NULL</t>
        </is>
      </c>
      <c r="J1514" t="inlineStr">
        <is>
          <t>NULL</t>
        </is>
      </c>
      <c r="K1514" t="inlineStr">
        <is>
          <t>YES! 	 c_dt2_4列源备映射正确，源端为datetime2 None位	期望更改为datetime(n)	实际备端为datetime None位</t>
        </is>
      </c>
    </row>
    <row r="1515">
      <c r="B1515" t="inlineStr">
        <is>
          <t>NULL</t>
        </is>
      </c>
      <c r="C1515" t="inlineStr">
        <is>
          <t>NULL</t>
        </is>
      </c>
      <c r="D1515" t="inlineStr">
        <is>
          <t>NULL</t>
        </is>
      </c>
      <c r="E1515" t="inlineStr">
        <is>
          <t>NULL</t>
        </is>
      </c>
      <c r="F1515" t="inlineStr">
        <is>
          <t>NULL</t>
        </is>
      </c>
      <c r="G1515" t="inlineStr">
        <is>
          <t>NULL</t>
        </is>
      </c>
      <c r="H1515" t="inlineStr">
        <is>
          <t>NULL</t>
        </is>
      </c>
      <c r="I1515" t="inlineStr">
        <is>
          <t>NULL</t>
        </is>
      </c>
      <c r="J1515" t="inlineStr">
        <is>
          <t>NULL</t>
        </is>
      </c>
      <c r="K1515" t="inlineStr">
        <is>
          <t>YES! 	 c_dt2_5列源备映射正确，源端为datetime2 None位	期望更改为datetime(n)	实际备端为datetime None位</t>
        </is>
      </c>
    </row>
    <row r="1516">
      <c r="B1516" t="inlineStr">
        <is>
          <t>NULL</t>
        </is>
      </c>
      <c r="C1516" t="inlineStr">
        <is>
          <t>NULL</t>
        </is>
      </c>
      <c r="D1516" t="inlineStr">
        <is>
          <t>NULL</t>
        </is>
      </c>
      <c r="E1516" t="inlineStr">
        <is>
          <t>NULL</t>
        </is>
      </c>
      <c r="F1516" t="inlineStr">
        <is>
          <t>NULL</t>
        </is>
      </c>
      <c r="G1516" t="inlineStr">
        <is>
          <t>NULL</t>
        </is>
      </c>
      <c r="H1516" t="inlineStr">
        <is>
          <t>NULL</t>
        </is>
      </c>
      <c r="I1516" t="inlineStr">
        <is>
          <t>NULL</t>
        </is>
      </c>
      <c r="J1516" t="inlineStr">
        <is>
          <t>NULL</t>
        </is>
      </c>
      <c r="K1516" t="inlineStr">
        <is>
          <t>YES! 	 c_dt2_6列源备映射正确，源端为datetime2 None位	期望更改为datetime(n)	实际备端为datetime None位</t>
        </is>
      </c>
    </row>
    <row r="1517">
      <c r="B1517" t="inlineStr">
        <is>
          <t>NULL</t>
        </is>
      </c>
      <c r="C1517" t="inlineStr">
        <is>
          <t>NO!源None备NUL</t>
        </is>
      </c>
      <c r="D1517" t="inlineStr">
        <is>
          <t>NULL</t>
        </is>
      </c>
      <c r="E1517" t="inlineStr">
        <is>
          <t>NULL</t>
        </is>
      </c>
      <c r="F1517" t="inlineStr">
        <is>
          <t>NULL</t>
        </is>
      </c>
      <c r="G1517" t="inlineStr">
        <is>
          <t>NULL</t>
        </is>
      </c>
      <c r="H1517" t="inlineStr">
        <is>
          <t>NULL</t>
        </is>
      </c>
      <c r="I1517" t="inlineStr">
        <is>
          <t>NULL</t>
        </is>
      </c>
      <c r="J1517" t="inlineStr">
        <is>
          <t>NULL</t>
        </is>
      </c>
      <c r="K1517" t="inlineStr">
        <is>
          <t xml:space="preserve"> NO!  	 c_dt2列源备映射错误，源端为datetime2 None位	期望更改为datetime(n)	实际备端为varchar 136位</t>
        </is>
      </c>
    </row>
    <row r="1518">
      <c r="A1518" t="inlineStr">
        <is>
          <t>info_binary_dml_single_pk_drp</t>
        </is>
      </c>
      <c r="K1518" t="inlineStr">
        <is>
          <t>[0;34m info_binary_dml_single_pk_drp [0m源备字段数相同，源端字段：4 	备端字段4</t>
        </is>
      </c>
      <c r="W1518" t="inlineStr">
        <is>
          <t>YES 源备无差异</t>
        </is>
      </c>
      <c r="X1518">
        <f>A1518</f>
        <v/>
      </c>
    </row>
    <row r="1519">
      <c r="B1519" t="inlineStr">
        <is>
          <t>YES</t>
        </is>
      </c>
      <c r="C1519" t="inlineStr">
        <is>
          <t>NULL</t>
        </is>
      </c>
      <c r="D1519" t="inlineStr">
        <is>
          <t>NULL</t>
        </is>
      </c>
      <c r="E1519" t="inlineStr">
        <is>
          <t>NULL</t>
        </is>
      </c>
      <c r="F1519" t="inlineStr">
        <is>
          <t>NULL</t>
        </is>
      </c>
      <c r="G1519" t="inlineStr">
        <is>
          <t>NULL</t>
        </is>
      </c>
      <c r="H1519" t="inlineStr">
        <is>
          <t>NULL</t>
        </is>
      </c>
      <c r="I1519" t="inlineStr">
        <is>
          <t>YES!PK__info_bin__3213E83F5ED736A6</t>
        </is>
      </c>
      <c r="J1519" t="inlineStr">
        <is>
          <t>YES! 主键相关索引</t>
        </is>
      </c>
      <c r="K1519" t="inlineStr">
        <is>
          <t>YES! 	 id列源备映射正确，源端为int None位	期望更改为int	实际备端为int None位</t>
        </is>
      </c>
    </row>
    <row r="1520">
      <c r="B1520" t="inlineStr">
        <is>
          <t>NULL</t>
        </is>
      </c>
      <c r="C1520" t="inlineStr">
        <is>
          <t>NULL</t>
        </is>
      </c>
      <c r="D1520" t="inlineStr">
        <is>
          <t>NULL</t>
        </is>
      </c>
      <c r="E1520" t="inlineStr">
        <is>
          <t>NULL</t>
        </is>
      </c>
      <c r="F1520" t="inlineStr">
        <is>
          <t>NULL</t>
        </is>
      </c>
      <c r="G1520" t="inlineStr">
        <is>
          <t>NULL</t>
        </is>
      </c>
      <c r="H1520" t="inlineStr">
        <is>
          <t>NULL</t>
        </is>
      </c>
      <c r="I1520" t="inlineStr">
        <is>
          <t>NULL</t>
        </is>
      </c>
      <c r="J1520" t="inlineStr">
        <is>
          <t>NULL</t>
        </is>
      </c>
      <c r="K1520" t="inlineStr">
        <is>
          <t>YES! 	 c_binary列源备映射正确，源端为binary 1位	期望更改为binary(n)	实际备端为binary 1位</t>
        </is>
      </c>
    </row>
    <row r="1521">
      <c r="B1521" t="inlineStr">
        <is>
          <t>NULL</t>
        </is>
      </c>
      <c r="C1521" t="inlineStr">
        <is>
          <t>NULL</t>
        </is>
      </c>
      <c r="D1521" t="inlineStr">
        <is>
          <t>NULL</t>
        </is>
      </c>
      <c r="E1521" t="inlineStr">
        <is>
          <t>NULL</t>
        </is>
      </c>
      <c r="F1521" t="inlineStr">
        <is>
          <t>NULL</t>
        </is>
      </c>
      <c r="G1521" t="inlineStr">
        <is>
          <t>NULL</t>
        </is>
      </c>
      <c r="H1521" t="inlineStr">
        <is>
          <t>NULL</t>
        </is>
      </c>
      <c r="I1521" t="inlineStr">
        <is>
          <t>NULL</t>
        </is>
      </c>
      <c r="J1521" t="inlineStr">
        <is>
          <t>NULL</t>
        </is>
      </c>
      <c r="K1521" t="inlineStr">
        <is>
          <t>YES! 	 c_binary_20列源备映射正确，源端为binary 20位	期望更改为binary(n)	实际备端为binary 20位</t>
        </is>
      </c>
    </row>
    <row r="1522">
      <c r="B1522" t="inlineStr">
        <is>
          <t>NULL</t>
        </is>
      </c>
      <c r="C1522" t="inlineStr">
        <is>
          <t>NULL</t>
        </is>
      </c>
      <c r="D1522" t="inlineStr">
        <is>
          <t>NULL</t>
        </is>
      </c>
      <c r="E1522" t="inlineStr">
        <is>
          <t>NULL</t>
        </is>
      </c>
      <c r="F1522" t="inlineStr">
        <is>
          <t>NULL</t>
        </is>
      </c>
      <c r="G1522" t="inlineStr">
        <is>
          <t>NULL</t>
        </is>
      </c>
      <c r="H1522" t="inlineStr">
        <is>
          <t>NULL</t>
        </is>
      </c>
      <c r="I1522" t="inlineStr">
        <is>
          <t>NULL</t>
        </is>
      </c>
      <c r="J1522" t="inlineStr">
        <is>
          <t>NULL</t>
        </is>
      </c>
      <c r="K1522" t="inlineStr">
        <is>
          <t>YES! 	 c_binary_8000列源备映射正确，源端为binary 8000位	期望更改为longblob	实际备端为longblob 4294967295位</t>
        </is>
      </c>
    </row>
    <row r="1523">
      <c r="A1523" t="inlineStr">
        <is>
          <t>info_datetime2_dml_single_nopk</t>
        </is>
      </c>
      <c r="K1523" t="inlineStr">
        <is>
          <t>[0;34m info_datetime2_dml_single_nopk [0m源备字段数相同，源端字段：9 	备端字段9</t>
        </is>
      </c>
      <c r="W1523" t="inlineStr">
        <is>
          <t>YES 源备无差异</t>
        </is>
      </c>
      <c r="X1523">
        <f>A1523</f>
        <v/>
      </c>
    </row>
    <row r="1524">
      <c r="B1524" t="inlineStr">
        <is>
          <t>NULL</t>
        </is>
      </c>
      <c r="C1524" t="inlineStr">
        <is>
          <t>NULL</t>
        </is>
      </c>
      <c r="D1524" t="inlineStr">
        <is>
          <t>NULL</t>
        </is>
      </c>
      <c r="E1524" t="inlineStr">
        <is>
          <t>NULL</t>
        </is>
      </c>
      <c r="F1524" t="inlineStr">
        <is>
          <t>NULL</t>
        </is>
      </c>
      <c r="G1524" t="inlineStr">
        <is>
          <t>NULL</t>
        </is>
      </c>
      <c r="H1524" t="inlineStr">
        <is>
          <t>NULL</t>
        </is>
      </c>
      <c r="I1524" t="inlineStr">
        <is>
          <t>NULL</t>
        </is>
      </c>
      <c r="J1524" t="inlineStr">
        <is>
          <t>NULL</t>
        </is>
      </c>
      <c r="K1524" t="inlineStr">
        <is>
          <t>YES! 	 id列源备映射正确，源端为int None位	期望更改为int	实际备端为int None位</t>
        </is>
      </c>
    </row>
    <row r="1525">
      <c r="B1525" t="inlineStr">
        <is>
          <t>NULL</t>
        </is>
      </c>
      <c r="C1525" t="inlineStr">
        <is>
          <t>NULL</t>
        </is>
      </c>
      <c r="D1525" t="inlineStr">
        <is>
          <t>NULL</t>
        </is>
      </c>
      <c r="E1525" t="inlineStr">
        <is>
          <t>NULL</t>
        </is>
      </c>
      <c r="F1525" t="inlineStr">
        <is>
          <t>NULL</t>
        </is>
      </c>
      <c r="G1525" t="inlineStr">
        <is>
          <t>NULL</t>
        </is>
      </c>
      <c r="H1525" t="inlineStr">
        <is>
          <t>NULL</t>
        </is>
      </c>
      <c r="I1525" t="inlineStr">
        <is>
          <t>NULL</t>
        </is>
      </c>
      <c r="J1525" t="inlineStr">
        <is>
          <t>NULL</t>
        </is>
      </c>
      <c r="K1525" t="inlineStr">
        <is>
          <t>no,len不存在</t>
        </is>
      </c>
    </row>
    <row r="1526">
      <c r="B1526" t="inlineStr">
        <is>
          <t>NULL</t>
        </is>
      </c>
      <c r="C1526" t="inlineStr">
        <is>
          <t>NULL</t>
        </is>
      </c>
      <c r="D1526" t="inlineStr">
        <is>
          <t>NULL</t>
        </is>
      </c>
      <c r="E1526" t="inlineStr">
        <is>
          <t>NULL</t>
        </is>
      </c>
      <c r="F1526" t="inlineStr">
        <is>
          <t>NULL</t>
        </is>
      </c>
      <c r="G1526" t="inlineStr">
        <is>
          <t>NULL</t>
        </is>
      </c>
      <c r="H1526" t="inlineStr">
        <is>
          <t>NULL</t>
        </is>
      </c>
      <c r="I1526" t="inlineStr">
        <is>
          <t>NULL</t>
        </is>
      </c>
      <c r="J1526" t="inlineStr">
        <is>
          <t>NULL</t>
        </is>
      </c>
      <c r="K1526" t="inlineStr">
        <is>
          <t>YES! 	 c_dt2_1列源备映射正确，源端为datetime2 None位	期望更改为datetime(n)	实际备端为datetime None位</t>
        </is>
      </c>
    </row>
    <row r="1527">
      <c r="B1527" t="inlineStr">
        <is>
          <t>NULL</t>
        </is>
      </c>
      <c r="C1527" t="inlineStr">
        <is>
          <t>NULL</t>
        </is>
      </c>
      <c r="D1527" t="inlineStr">
        <is>
          <t>NULL</t>
        </is>
      </c>
      <c r="E1527" t="inlineStr">
        <is>
          <t>NULL</t>
        </is>
      </c>
      <c r="F1527" t="inlineStr">
        <is>
          <t>NULL</t>
        </is>
      </c>
      <c r="G1527" t="inlineStr">
        <is>
          <t>NULL</t>
        </is>
      </c>
      <c r="H1527" t="inlineStr">
        <is>
          <t>NULL</t>
        </is>
      </c>
      <c r="I1527" t="inlineStr">
        <is>
          <t>NULL</t>
        </is>
      </c>
      <c r="J1527" t="inlineStr">
        <is>
          <t>NULL</t>
        </is>
      </c>
      <c r="K1527" t="inlineStr">
        <is>
          <t>YES! 	 c_dt2_2列源备映射正确，源端为datetime2 None位	期望更改为datetime(n)	实际备端为datetime None位</t>
        </is>
      </c>
    </row>
    <row r="1528">
      <c r="B1528" t="inlineStr">
        <is>
          <t>NULL</t>
        </is>
      </c>
      <c r="C1528" t="inlineStr">
        <is>
          <t>NULL</t>
        </is>
      </c>
      <c r="D1528" t="inlineStr">
        <is>
          <t>NULL</t>
        </is>
      </c>
      <c r="E1528" t="inlineStr">
        <is>
          <t>NULL</t>
        </is>
      </c>
      <c r="F1528" t="inlineStr">
        <is>
          <t>NULL</t>
        </is>
      </c>
      <c r="G1528" t="inlineStr">
        <is>
          <t>NULL</t>
        </is>
      </c>
      <c r="H1528" t="inlineStr">
        <is>
          <t>NULL</t>
        </is>
      </c>
      <c r="I1528" t="inlineStr">
        <is>
          <t>NULL</t>
        </is>
      </c>
      <c r="J1528" t="inlineStr">
        <is>
          <t>NULL</t>
        </is>
      </c>
      <c r="K1528" t="inlineStr">
        <is>
          <t>YES! 	 c_dt2_3列源备映射正确，源端为datetime2 None位	期望更改为datetime(n)	实际备端为datetime None位</t>
        </is>
      </c>
    </row>
    <row r="1529">
      <c r="B1529" t="inlineStr">
        <is>
          <t>NULL</t>
        </is>
      </c>
      <c r="C1529" t="inlineStr">
        <is>
          <t>NULL</t>
        </is>
      </c>
      <c r="D1529" t="inlineStr">
        <is>
          <t>NULL</t>
        </is>
      </c>
      <c r="E1529" t="inlineStr">
        <is>
          <t>NULL</t>
        </is>
      </c>
      <c r="F1529" t="inlineStr">
        <is>
          <t>NULL</t>
        </is>
      </c>
      <c r="G1529" t="inlineStr">
        <is>
          <t>NULL</t>
        </is>
      </c>
      <c r="H1529" t="inlineStr">
        <is>
          <t>NULL</t>
        </is>
      </c>
      <c r="I1529" t="inlineStr">
        <is>
          <t>NULL</t>
        </is>
      </c>
      <c r="J1529" t="inlineStr">
        <is>
          <t>NULL</t>
        </is>
      </c>
      <c r="K1529" t="inlineStr">
        <is>
          <t>YES! 	 c_dt2_4列源备映射正确，源端为datetime2 None位	期望更改为datetime(n)	实际备端为datetime None位</t>
        </is>
      </c>
    </row>
    <row r="1530">
      <c r="B1530" t="inlineStr">
        <is>
          <t>NULL</t>
        </is>
      </c>
      <c r="C1530" t="inlineStr">
        <is>
          <t>NULL</t>
        </is>
      </c>
      <c r="D1530" t="inlineStr">
        <is>
          <t>NULL</t>
        </is>
      </c>
      <c r="E1530" t="inlineStr">
        <is>
          <t>NULL</t>
        </is>
      </c>
      <c r="F1530" t="inlineStr">
        <is>
          <t>NULL</t>
        </is>
      </c>
      <c r="G1530" t="inlineStr">
        <is>
          <t>NULL</t>
        </is>
      </c>
      <c r="H1530" t="inlineStr">
        <is>
          <t>NULL</t>
        </is>
      </c>
      <c r="I1530" t="inlineStr">
        <is>
          <t>NULL</t>
        </is>
      </c>
      <c r="J1530" t="inlineStr">
        <is>
          <t>NULL</t>
        </is>
      </c>
      <c r="K1530" t="inlineStr">
        <is>
          <t>YES! 	 c_dt2_5列源备映射正确，源端为datetime2 None位	期望更改为datetime(n)	实际备端为datetime None位</t>
        </is>
      </c>
    </row>
    <row r="1531">
      <c r="B1531" t="inlineStr">
        <is>
          <t>NULL</t>
        </is>
      </c>
      <c r="C1531" t="inlineStr">
        <is>
          <t>NULL</t>
        </is>
      </c>
      <c r="D1531" t="inlineStr">
        <is>
          <t>NULL</t>
        </is>
      </c>
      <c r="E1531" t="inlineStr">
        <is>
          <t>NULL</t>
        </is>
      </c>
      <c r="F1531" t="inlineStr">
        <is>
          <t>NULL</t>
        </is>
      </c>
      <c r="G1531" t="inlineStr">
        <is>
          <t>NULL</t>
        </is>
      </c>
      <c r="H1531" t="inlineStr">
        <is>
          <t>NULL</t>
        </is>
      </c>
      <c r="I1531" t="inlineStr">
        <is>
          <t>NULL</t>
        </is>
      </c>
      <c r="J1531" t="inlineStr">
        <is>
          <t>NULL</t>
        </is>
      </c>
      <c r="K1531" t="inlineStr">
        <is>
          <t>YES! 	 c_dt2_6列源备映射正确，源端为datetime2 None位	期望更改为datetime(n)	实际备端为datetime None位</t>
        </is>
      </c>
    </row>
    <row r="1532">
      <c r="B1532" t="inlineStr">
        <is>
          <t>NULL</t>
        </is>
      </c>
      <c r="C1532" t="inlineStr">
        <is>
          <t>NO!源None备NUL</t>
        </is>
      </c>
      <c r="D1532" t="inlineStr">
        <is>
          <t>NULL</t>
        </is>
      </c>
      <c r="E1532" t="inlineStr">
        <is>
          <t>NULL</t>
        </is>
      </c>
      <c r="F1532" t="inlineStr">
        <is>
          <t>NULL</t>
        </is>
      </c>
      <c r="G1532" t="inlineStr">
        <is>
          <t>NULL</t>
        </is>
      </c>
      <c r="H1532" t="inlineStr">
        <is>
          <t>NULL</t>
        </is>
      </c>
      <c r="I1532" t="inlineStr">
        <is>
          <t>NULL</t>
        </is>
      </c>
      <c r="J1532" t="inlineStr">
        <is>
          <t>NULL</t>
        </is>
      </c>
      <c r="K1532" t="inlineStr">
        <is>
          <t xml:space="preserve"> NO!  	 c_dt2列源备映射错误，源端为datetime2 None位	期望更改为datetime(n)	实际备端为varchar 136位</t>
        </is>
      </c>
    </row>
    <row r="1533">
      <c r="A1533" t="inlineStr">
        <is>
          <t>info_varcharmax_dml_batch1_pk_urp2</t>
        </is>
      </c>
      <c r="K1533" t="inlineStr">
        <is>
          <t>[0;34m info_varcharmax_dml_batch1_pk_urp2 [0m源备字段数相同，源端字段：3 	备端字段3</t>
        </is>
      </c>
      <c r="W1533" t="inlineStr">
        <is>
          <t>YES 源备无差异</t>
        </is>
      </c>
      <c r="X1533">
        <f>A1533</f>
        <v/>
      </c>
    </row>
    <row r="1534">
      <c r="B1534" t="inlineStr">
        <is>
          <t>YES</t>
        </is>
      </c>
      <c r="C1534" t="inlineStr">
        <is>
          <t>NULL</t>
        </is>
      </c>
      <c r="D1534" t="inlineStr">
        <is>
          <t>NULL</t>
        </is>
      </c>
      <c r="E1534" t="inlineStr">
        <is>
          <t>NULL</t>
        </is>
      </c>
      <c r="F1534" t="inlineStr">
        <is>
          <t>NULL</t>
        </is>
      </c>
      <c r="G1534" t="inlineStr">
        <is>
          <t>NULL</t>
        </is>
      </c>
      <c r="H1534" t="inlineStr">
        <is>
          <t>NULL</t>
        </is>
      </c>
      <c r="I1534" t="inlineStr">
        <is>
          <t>YES!PK__info_var__3213E83F08B8F603</t>
        </is>
      </c>
      <c r="J1534" t="inlineStr">
        <is>
          <t>YES! 主键相关索引</t>
        </is>
      </c>
      <c r="K1534" t="inlineStr">
        <is>
          <t>YES! 	 id列源备映射正确，源端为int None位	期望更改为int	实际备端为int None位</t>
        </is>
      </c>
    </row>
    <row r="1535">
      <c r="B1535" t="inlineStr">
        <is>
          <t>NULL</t>
        </is>
      </c>
      <c r="C1535" t="inlineStr">
        <is>
          <t>NULL</t>
        </is>
      </c>
      <c r="D1535" t="inlineStr">
        <is>
          <t>NULL</t>
        </is>
      </c>
      <c r="E1535" t="inlineStr">
        <is>
          <t>NULL</t>
        </is>
      </c>
      <c r="F1535" t="inlineStr">
        <is>
          <t>NULL</t>
        </is>
      </c>
      <c r="G1535" t="inlineStr">
        <is>
          <t>NULL</t>
        </is>
      </c>
      <c r="H1535" t="inlineStr">
        <is>
          <t>NULL</t>
        </is>
      </c>
      <c r="I1535" t="inlineStr">
        <is>
          <t>NULL</t>
        </is>
      </c>
      <c r="J1535" t="inlineStr">
        <is>
          <t>NULL</t>
        </is>
      </c>
      <c r="K1535" t="inlineStr">
        <is>
          <t>YES! 	 c_varchar_max列源备映射正确，源端为varchar -1位	期望更改为longtext	实际备端为longtext 4294967295位</t>
        </is>
      </c>
    </row>
    <row r="1536">
      <c r="B1536" t="inlineStr">
        <is>
          <t>NULL</t>
        </is>
      </c>
      <c r="C1536" t="inlineStr">
        <is>
          <t>NULL</t>
        </is>
      </c>
      <c r="D1536" t="inlineStr">
        <is>
          <t>NULL</t>
        </is>
      </c>
      <c r="E1536" t="inlineStr">
        <is>
          <t>NULL</t>
        </is>
      </c>
      <c r="F1536" t="inlineStr">
        <is>
          <t>NULL</t>
        </is>
      </c>
      <c r="G1536" t="inlineStr">
        <is>
          <t>NULL</t>
        </is>
      </c>
      <c r="H1536" t="inlineStr">
        <is>
          <t>NULL</t>
        </is>
      </c>
      <c r="I1536" t="inlineStr">
        <is>
          <t>NULL</t>
        </is>
      </c>
      <c r="J1536" t="inlineStr">
        <is>
          <t>NULL</t>
        </is>
      </c>
      <c r="K1536" t="inlineStr">
        <is>
          <t>YES! 	 c_nvarchar_max列源备映射正确，源端为nvarchar -1位	期望更改为longtext	实际备端为longtext 4294967295位</t>
        </is>
      </c>
    </row>
    <row r="1537">
      <c r="K1537" t="inlineStr">
        <is>
          <t>~ 空表</t>
        </is>
      </c>
    </row>
    <row r="1538">
      <c r="A1538" t="inlineStr">
        <is>
          <t>info_datetimeoffset_dml_single_pk</t>
        </is>
      </c>
      <c r="K1538" t="inlineStr">
        <is>
          <t>[0;34m info_datetimeoffset_dml_single_pk [0m源备字段数相同，源端字段：9 	备端字段9</t>
        </is>
      </c>
      <c r="W1538" t="inlineStr">
        <is>
          <t>YES 源备无差异</t>
        </is>
      </c>
      <c r="X1538">
        <f>A1538</f>
        <v/>
      </c>
    </row>
    <row r="1539">
      <c r="B1539" t="inlineStr">
        <is>
          <t>YES</t>
        </is>
      </c>
      <c r="C1539" t="inlineStr">
        <is>
          <t>NULL</t>
        </is>
      </c>
      <c r="D1539" t="inlineStr">
        <is>
          <t>NULL</t>
        </is>
      </c>
      <c r="E1539" t="inlineStr">
        <is>
          <t>NULL</t>
        </is>
      </c>
      <c r="F1539" t="inlineStr">
        <is>
          <t>NULL</t>
        </is>
      </c>
      <c r="G1539" t="inlineStr">
        <is>
          <t>NULL</t>
        </is>
      </c>
      <c r="H1539" t="inlineStr">
        <is>
          <t>NULL</t>
        </is>
      </c>
      <c r="I1539" t="inlineStr">
        <is>
          <t>YES!PK__info_dat__3213E83F4E94B57E</t>
        </is>
      </c>
      <c r="J1539" t="inlineStr">
        <is>
          <t>YES! 主键相关索引</t>
        </is>
      </c>
      <c r="K1539" t="inlineStr">
        <is>
          <t>YES! 	 id列源备映射正确，源端为int None位	期望更改为int	实际备端为int None位</t>
        </is>
      </c>
    </row>
    <row r="1540">
      <c r="B1540" t="inlineStr">
        <is>
          <t>NULL</t>
        </is>
      </c>
      <c r="C1540" t="inlineStr">
        <is>
          <t>NULL</t>
        </is>
      </c>
      <c r="D1540" t="inlineStr">
        <is>
          <t>NULL</t>
        </is>
      </c>
      <c r="E1540" t="inlineStr">
        <is>
          <t>NULL</t>
        </is>
      </c>
      <c r="F1540" t="inlineStr">
        <is>
          <t>NULL</t>
        </is>
      </c>
      <c r="G1540" t="inlineStr">
        <is>
          <t>NULL</t>
        </is>
      </c>
      <c r="H1540" t="inlineStr">
        <is>
          <t>NULL</t>
        </is>
      </c>
      <c r="I1540" t="inlineStr">
        <is>
          <t>NULL</t>
        </is>
      </c>
      <c r="J1540" t="inlineStr">
        <is>
          <t>NULL</t>
        </is>
      </c>
      <c r="K1540" t="inlineStr">
        <is>
          <t>[0;32m YES! [0m 	 c_dtoffset_0列源备映射正确，源端为datetimeoffset None位	期望更改为varchar(34)	实际备端为varchar 136位	位数精度不存在，通过长度比较</t>
        </is>
      </c>
    </row>
    <row r="1541">
      <c r="B1541" t="inlineStr">
        <is>
          <t>NULL</t>
        </is>
      </c>
      <c r="C1541" t="inlineStr">
        <is>
          <t>NULL</t>
        </is>
      </c>
      <c r="D1541" t="inlineStr">
        <is>
          <t>NULL</t>
        </is>
      </c>
      <c r="E1541" t="inlineStr">
        <is>
          <t>NULL</t>
        </is>
      </c>
      <c r="F1541" t="inlineStr">
        <is>
          <t>NULL</t>
        </is>
      </c>
      <c r="G1541" t="inlineStr">
        <is>
          <t>NULL</t>
        </is>
      </c>
      <c r="H1541" t="inlineStr">
        <is>
          <t>NULL</t>
        </is>
      </c>
      <c r="I1541" t="inlineStr">
        <is>
          <t>NULL</t>
        </is>
      </c>
      <c r="J1541" t="inlineStr">
        <is>
          <t>NULL</t>
        </is>
      </c>
      <c r="K1541" t="inlineStr">
        <is>
          <t>[0;32m YES! [0m 	 c_dtoffset_1列源备映射正确，源端为datetimeoffset None位	期望更改为varchar(34)	实际备端为varchar 136位	位数精度不存在，通过长度比较</t>
        </is>
      </c>
    </row>
    <row r="1542">
      <c r="B1542" t="inlineStr">
        <is>
          <t>NULL</t>
        </is>
      </c>
      <c r="C1542" t="inlineStr">
        <is>
          <t>NULL</t>
        </is>
      </c>
      <c r="D1542" t="inlineStr">
        <is>
          <t>NULL</t>
        </is>
      </c>
      <c r="E1542" t="inlineStr">
        <is>
          <t>NULL</t>
        </is>
      </c>
      <c r="F1542" t="inlineStr">
        <is>
          <t>NULL</t>
        </is>
      </c>
      <c r="G1542" t="inlineStr">
        <is>
          <t>NULL</t>
        </is>
      </c>
      <c r="H1542" t="inlineStr">
        <is>
          <t>NULL</t>
        </is>
      </c>
      <c r="I1542" t="inlineStr">
        <is>
          <t>NULL</t>
        </is>
      </c>
      <c r="J1542" t="inlineStr">
        <is>
          <t>NULL</t>
        </is>
      </c>
      <c r="K1542" t="inlineStr">
        <is>
          <t>[0;32m YES! [0m 	 c_dtoffset_2列源备映射正确，源端为datetimeoffset None位	期望更改为varchar(34)	实际备端为varchar 136位	位数精度不存在，通过长度比较</t>
        </is>
      </c>
    </row>
    <row r="1543">
      <c r="B1543" t="inlineStr">
        <is>
          <t>NULL</t>
        </is>
      </c>
      <c r="C1543" t="inlineStr">
        <is>
          <t>NULL</t>
        </is>
      </c>
      <c r="D1543" t="inlineStr">
        <is>
          <t>NULL</t>
        </is>
      </c>
      <c r="E1543" t="inlineStr">
        <is>
          <t>NULL</t>
        </is>
      </c>
      <c r="F1543" t="inlineStr">
        <is>
          <t>NULL</t>
        </is>
      </c>
      <c r="G1543" t="inlineStr">
        <is>
          <t>NULL</t>
        </is>
      </c>
      <c r="H1543" t="inlineStr">
        <is>
          <t>NULL</t>
        </is>
      </c>
      <c r="I1543" t="inlineStr">
        <is>
          <t>NULL</t>
        </is>
      </c>
      <c r="J1543" t="inlineStr">
        <is>
          <t>NULL</t>
        </is>
      </c>
      <c r="K1543" t="inlineStr">
        <is>
          <t>[0;32m YES! [0m 	 c_dtoffset_3列源备映射正确，源端为datetimeoffset None位	期望更改为varchar(34)	实际备端为varchar 136位	位数精度不存在，通过长度比较</t>
        </is>
      </c>
    </row>
    <row r="1544">
      <c r="B1544" t="inlineStr">
        <is>
          <t>NULL</t>
        </is>
      </c>
      <c r="C1544" t="inlineStr">
        <is>
          <t>NULL</t>
        </is>
      </c>
      <c r="D1544" t="inlineStr">
        <is>
          <t>NULL</t>
        </is>
      </c>
      <c r="E1544" t="inlineStr">
        <is>
          <t>NULL</t>
        </is>
      </c>
      <c r="F1544" t="inlineStr">
        <is>
          <t>NULL</t>
        </is>
      </c>
      <c r="G1544" t="inlineStr">
        <is>
          <t>NULL</t>
        </is>
      </c>
      <c r="H1544" t="inlineStr">
        <is>
          <t>NULL</t>
        </is>
      </c>
      <c r="I1544" t="inlineStr">
        <is>
          <t>NULL</t>
        </is>
      </c>
      <c r="J1544" t="inlineStr">
        <is>
          <t>NULL</t>
        </is>
      </c>
      <c r="K1544" t="inlineStr">
        <is>
          <t>[0;32m YES! [0m 	 c_dtoffset_4列源备映射正确，源端为datetimeoffset None位	期望更改为varchar(34)	实际备端为varchar 136位	位数精度不存在，通过长度比较</t>
        </is>
      </c>
    </row>
    <row r="1545">
      <c r="B1545" t="inlineStr">
        <is>
          <t>NULL</t>
        </is>
      </c>
      <c r="C1545" t="inlineStr">
        <is>
          <t>NULL</t>
        </is>
      </c>
      <c r="D1545" t="inlineStr">
        <is>
          <t>NULL</t>
        </is>
      </c>
      <c r="E1545" t="inlineStr">
        <is>
          <t>NULL</t>
        </is>
      </c>
      <c r="F1545" t="inlineStr">
        <is>
          <t>NULL</t>
        </is>
      </c>
      <c r="G1545" t="inlineStr">
        <is>
          <t>NULL</t>
        </is>
      </c>
      <c r="H1545" t="inlineStr">
        <is>
          <t>NULL</t>
        </is>
      </c>
      <c r="I1545" t="inlineStr">
        <is>
          <t>NULL</t>
        </is>
      </c>
      <c r="J1545" t="inlineStr">
        <is>
          <t>NULL</t>
        </is>
      </c>
      <c r="K1545" t="inlineStr">
        <is>
          <t>[0;32m YES! [0m 	 c_dtoffset_5列源备映射正确，源端为datetimeoffset None位	期望更改为varchar(34)	实际备端为varchar 136位	位数精度不存在，通过长度比较</t>
        </is>
      </c>
    </row>
    <row r="1546">
      <c r="B1546" t="inlineStr">
        <is>
          <t>NULL</t>
        </is>
      </c>
      <c r="C1546" t="inlineStr">
        <is>
          <t>NULL</t>
        </is>
      </c>
      <c r="D1546" t="inlineStr">
        <is>
          <t>NULL</t>
        </is>
      </c>
      <c r="E1546" t="inlineStr">
        <is>
          <t>NULL</t>
        </is>
      </c>
      <c r="F1546" t="inlineStr">
        <is>
          <t>NULL</t>
        </is>
      </c>
      <c r="G1546" t="inlineStr">
        <is>
          <t>NULL</t>
        </is>
      </c>
      <c r="H1546" t="inlineStr">
        <is>
          <t>NULL</t>
        </is>
      </c>
      <c r="I1546" t="inlineStr">
        <is>
          <t>NULL</t>
        </is>
      </c>
      <c r="J1546" t="inlineStr">
        <is>
          <t>NULL</t>
        </is>
      </c>
      <c r="K1546" t="inlineStr">
        <is>
          <t>[0;32m YES! [0m 	 c_dtoffset_6列源备映射正确，源端为datetimeoffset None位	期望更改为varchar(34)	实际备端为varchar 136位	位数精度不存在，通过长度比较</t>
        </is>
      </c>
    </row>
    <row r="1547">
      <c r="B1547" t="inlineStr">
        <is>
          <t>NULL</t>
        </is>
      </c>
      <c r="C1547" t="inlineStr">
        <is>
          <t>NULL</t>
        </is>
      </c>
      <c r="D1547" t="inlineStr">
        <is>
          <t>NULL</t>
        </is>
      </c>
      <c r="E1547" t="inlineStr">
        <is>
          <t>NULL</t>
        </is>
      </c>
      <c r="F1547" t="inlineStr">
        <is>
          <t>NULL</t>
        </is>
      </c>
      <c r="G1547" t="inlineStr">
        <is>
          <t>NULL</t>
        </is>
      </c>
      <c r="H1547" t="inlineStr">
        <is>
          <t>NULL</t>
        </is>
      </c>
      <c r="I1547" t="inlineStr">
        <is>
          <t>NULL</t>
        </is>
      </c>
      <c r="J1547" t="inlineStr">
        <is>
          <t>NULL</t>
        </is>
      </c>
      <c r="K1547" t="inlineStr">
        <is>
          <t>[0;32m YES! [0m 	 c_dtoffset列源备映射正确，源端为datetimeoffset None位	期望更改为varchar(34)	实际备端为varchar 136位	位数精度不存在，通过长度比较</t>
        </is>
      </c>
    </row>
    <row r="1548">
      <c r="A1548" t="inlineStr">
        <is>
          <t>info_datetimeoffset_dml_single_nopk_irp</t>
        </is>
      </c>
      <c r="K1548" t="inlineStr">
        <is>
          <t>[0;34m info_datetimeoffset_dml_single_nopk_irp [0m源备字段数相同，源端字段：9 	备端字段9</t>
        </is>
      </c>
      <c r="W1548" t="inlineStr">
        <is>
          <t>YES 源备无差异</t>
        </is>
      </c>
      <c r="X1548">
        <f>A1548</f>
        <v/>
      </c>
    </row>
    <row r="1549">
      <c r="B1549" t="inlineStr">
        <is>
          <t>NULL</t>
        </is>
      </c>
      <c r="C1549" t="inlineStr">
        <is>
          <t>NULL</t>
        </is>
      </c>
      <c r="D1549" t="inlineStr">
        <is>
          <t>NULL</t>
        </is>
      </c>
      <c r="E1549" t="inlineStr">
        <is>
          <t>NULL</t>
        </is>
      </c>
      <c r="F1549" t="inlineStr">
        <is>
          <t>NULL</t>
        </is>
      </c>
      <c r="G1549" t="inlineStr">
        <is>
          <t>NULL</t>
        </is>
      </c>
      <c r="H1549" t="inlineStr">
        <is>
          <t>NULL</t>
        </is>
      </c>
      <c r="I1549" t="inlineStr">
        <is>
          <t>NULL</t>
        </is>
      </c>
      <c r="J1549" t="inlineStr">
        <is>
          <t>NULL</t>
        </is>
      </c>
      <c r="K1549" t="inlineStr">
        <is>
          <t>YES! 	 id列源备映射正确，源端为int None位	期望更改为int	实际备端为int None位</t>
        </is>
      </c>
    </row>
    <row r="1550">
      <c r="B1550" t="inlineStr">
        <is>
          <t>NULL</t>
        </is>
      </c>
      <c r="C1550" t="inlineStr">
        <is>
          <t>NULL</t>
        </is>
      </c>
      <c r="D1550" t="inlineStr">
        <is>
          <t>NULL</t>
        </is>
      </c>
      <c r="E1550" t="inlineStr">
        <is>
          <t>NULL</t>
        </is>
      </c>
      <c r="F1550" t="inlineStr">
        <is>
          <t>NULL</t>
        </is>
      </c>
      <c r="G1550" t="inlineStr">
        <is>
          <t>NULL</t>
        </is>
      </c>
      <c r="H1550" t="inlineStr">
        <is>
          <t>NULL</t>
        </is>
      </c>
      <c r="I1550" t="inlineStr">
        <is>
          <t>NULL</t>
        </is>
      </c>
      <c r="J1550" t="inlineStr">
        <is>
          <t>NULL</t>
        </is>
      </c>
      <c r="K1550" t="inlineStr">
        <is>
          <t>[0;32m YES! [0m 	 c_dtoffset_0列源备映射正确，源端为datetimeoffset None位	期望更改为varchar(34)	实际备端为varchar 136位	位数精度不存在，通过长度比较</t>
        </is>
      </c>
    </row>
    <row r="1551">
      <c r="B1551" t="inlineStr">
        <is>
          <t>NULL</t>
        </is>
      </c>
      <c r="C1551" t="inlineStr">
        <is>
          <t>NULL</t>
        </is>
      </c>
      <c r="D1551" t="inlineStr">
        <is>
          <t>NULL</t>
        </is>
      </c>
      <c r="E1551" t="inlineStr">
        <is>
          <t>NULL</t>
        </is>
      </c>
      <c r="F1551" t="inlineStr">
        <is>
          <t>NULL</t>
        </is>
      </c>
      <c r="G1551" t="inlineStr">
        <is>
          <t>NULL</t>
        </is>
      </c>
      <c r="H1551" t="inlineStr">
        <is>
          <t>NULL</t>
        </is>
      </c>
      <c r="I1551" t="inlineStr">
        <is>
          <t>NULL</t>
        </is>
      </c>
      <c r="J1551" t="inlineStr">
        <is>
          <t>NULL</t>
        </is>
      </c>
      <c r="K1551" t="inlineStr">
        <is>
          <t>[0;32m YES! [0m 	 c_dtoffset_1列源备映射正确，源端为datetimeoffset None位	期望更改为varchar(34)	实际备端为varchar 136位	位数精度不存在，通过长度比较</t>
        </is>
      </c>
    </row>
    <row r="1552">
      <c r="B1552" t="inlineStr">
        <is>
          <t>NULL</t>
        </is>
      </c>
      <c r="C1552" t="inlineStr">
        <is>
          <t>NULL</t>
        </is>
      </c>
      <c r="D1552" t="inlineStr">
        <is>
          <t>NULL</t>
        </is>
      </c>
      <c r="E1552" t="inlineStr">
        <is>
          <t>NULL</t>
        </is>
      </c>
      <c r="F1552" t="inlineStr">
        <is>
          <t>NULL</t>
        </is>
      </c>
      <c r="G1552" t="inlineStr">
        <is>
          <t>NULL</t>
        </is>
      </c>
      <c r="H1552" t="inlineStr">
        <is>
          <t>NULL</t>
        </is>
      </c>
      <c r="I1552" t="inlineStr">
        <is>
          <t>NULL</t>
        </is>
      </c>
      <c r="J1552" t="inlineStr">
        <is>
          <t>NULL</t>
        </is>
      </c>
      <c r="K1552" t="inlineStr">
        <is>
          <t>[0;32m YES! [0m 	 c_dtoffset_2列源备映射正确，源端为datetimeoffset None位	期望更改为varchar(34)	实际备端为varchar 136位	位数精度不存在，通过长度比较</t>
        </is>
      </c>
    </row>
    <row r="1553">
      <c r="B1553" t="inlineStr">
        <is>
          <t>NULL</t>
        </is>
      </c>
      <c r="C1553" t="inlineStr">
        <is>
          <t>NULL</t>
        </is>
      </c>
      <c r="D1553" t="inlineStr">
        <is>
          <t>NULL</t>
        </is>
      </c>
      <c r="E1553" t="inlineStr">
        <is>
          <t>NULL</t>
        </is>
      </c>
      <c r="F1553" t="inlineStr">
        <is>
          <t>NULL</t>
        </is>
      </c>
      <c r="G1553" t="inlineStr">
        <is>
          <t>NULL</t>
        </is>
      </c>
      <c r="H1553" t="inlineStr">
        <is>
          <t>NULL</t>
        </is>
      </c>
      <c r="I1553" t="inlineStr">
        <is>
          <t>NULL</t>
        </is>
      </c>
      <c r="J1553" t="inlineStr">
        <is>
          <t>NULL</t>
        </is>
      </c>
      <c r="K1553" t="inlineStr">
        <is>
          <t>[0;32m YES! [0m 	 c_dtoffset_3列源备映射正确，源端为datetimeoffset None位	期望更改为varchar(34)	实际备端为varchar 136位	位数精度不存在，通过长度比较</t>
        </is>
      </c>
    </row>
    <row r="1554">
      <c r="B1554" t="inlineStr">
        <is>
          <t>NULL</t>
        </is>
      </c>
      <c r="C1554" t="inlineStr">
        <is>
          <t>NULL</t>
        </is>
      </c>
      <c r="D1554" t="inlineStr">
        <is>
          <t>NULL</t>
        </is>
      </c>
      <c r="E1554" t="inlineStr">
        <is>
          <t>NULL</t>
        </is>
      </c>
      <c r="F1554" t="inlineStr">
        <is>
          <t>NULL</t>
        </is>
      </c>
      <c r="G1554" t="inlineStr">
        <is>
          <t>NULL</t>
        </is>
      </c>
      <c r="H1554" t="inlineStr">
        <is>
          <t>NULL</t>
        </is>
      </c>
      <c r="I1554" t="inlineStr">
        <is>
          <t>NULL</t>
        </is>
      </c>
      <c r="J1554" t="inlineStr">
        <is>
          <t>NULL</t>
        </is>
      </c>
      <c r="K1554" t="inlineStr">
        <is>
          <t>[0;32m YES! [0m 	 c_dtoffset_4列源备映射正确，源端为datetimeoffset None位	期望更改为varchar(34)	实际备端为varchar 136位	位数精度不存在，通过长度比较</t>
        </is>
      </c>
    </row>
    <row r="1555">
      <c r="B1555" t="inlineStr">
        <is>
          <t>NULL</t>
        </is>
      </c>
      <c r="C1555" t="inlineStr">
        <is>
          <t>NULL</t>
        </is>
      </c>
      <c r="D1555" t="inlineStr">
        <is>
          <t>NULL</t>
        </is>
      </c>
      <c r="E1555" t="inlineStr">
        <is>
          <t>NULL</t>
        </is>
      </c>
      <c r="F1555" t="inlineStr">
        <is>
          <t>NULL</t>
        </is>
      </c>
      <c r="G1555" t="inlineStr">
        <is>
          <t>NULL</t>
        </is>
      </c>
      <c r="H1555" t="inlineStr">
        <is>
          <t>NULL</t>
        </is>
      </c>
      <c r="I1555" t="inlineStr">
        <is>
          <t>NULL</t>
        </is>
      </c>
      <c r="J1555" t="inlineStr">
        <is>
          <t>NULL</t>
        </is>
      </c>
      <c r="K1555" t="inlineStr">
        <is>
          <t>[0;32m YES! [0m 	 c_dtoffset_5列源备映射正确，源端为datetimeoffset None位	期望更改为varchar(34)	实际备端为varchar 136位	位数精度不存在，通过长度比较</t>
        </is>
      </c>
    </row>
    <row r="1556">
      <c r="B1556" t="inlineStr">
        <is>
          <t>NULL</t>
        </is>
      </c>
      <c r="C1556" t="inlineStr">
        <is>
          <t>NULL</t>
        </is>
      </c>
      <c r="D1556" t="inlineStr">
        <is>
          <t>NULL</t>
        </is>
      </c>
      <c r="E1556" t="inlineStr">
        <is>
          <t>NULL</t>
        </is>
      </c>
      <c r="F1556" t="inlineStr">
        <is>
          <t>NULL</t>
        </is>
      </c>
      <c r="G1556" t="inlineStr">
        <is>
          <t>NULL</t>
        </is>
      </c>
      <c r="H1556" t="inlineStr">
        <is>
          <t>NULL</t>
        </is>
      </c>
      <c r="I1556" t="inlineStr">
        <is>
          <t>NULL</t>
        </is>
      </c>
      <c r="J1556" t="inlineStr">
        <is>
          <t>NULL</t>
        </is>
      </c>
      <c r="K1556" t="inlineStr">
        <is>
          <t>[0;32m YES! [0m 	 c_dtoffset_6列源备映射正确，源端为datetimeoffset None位	期望更改为varchar(34)	实际备端为varchar 136位	位数精度不存在，通过长度比较</t>
        </is>
      </c>
    </row>
    <row r="1557">
      <c r="B1557" t="inlineStr">
        <is>
          <t>NULL</t>
        </is>
      </c>
      <c r="C1557" t="inlineStr">
        <is>
          <t>NO!源None备NUL</t>
        </is>
      </c>
      <c r="D1557" t="inlineStr">
        <is>
          <t>NULL</t>
        </is>
      </c>
      <c r="E1557" t="inlineStr">
        <is>
          <t>NULL</t>
        </is>
      </c>
      <c r="F1557" t="inlineStr">
        <is>
          <t>NULL</t>
        </is>
      </c>
      <c r="G1557" t="inlineStr">
        <is>
          <t>NULL</t>
        </is>
      </c>
      <c r="H1557" t="inlineStr">
        <is>
          <t>NULL</t>
        </is>
      </c>
      <c r="I1557" t="inlineStr">
        <is>
          <t>NULL</t>
        </is>
      </c>
      <c r="J1557" t="inlineStr">
        <is>
          <t>NULL</t>
        </is>
      </c>
      <c r="K1557" t="inlineStr">
        <is>
          <t>[0;32m YES! [0m 	 c_dtoffset列源备映射正确，源端为datetimeoffset None位	期望更改为varchar(34)	实际备端为varchar 136位	位数精度不存在，通过长度比较</t>
        </is>
      </c>
    </row>
    <row r="1558">
      <c r="A1558" t="inlineStr">
        <is>
          <t>info_datetimeoffset_dml_single_nopk_urp</t>
        </is>
      </c>
      <c r="K1558" t="inlineStr">
        <is>
          <t>[0;34m info_datetimeoffset_dml_single_nopk_urp [0m源备字段数相同，源端字段：9 	备端字段9</t>
        </is>
      </c>
      <c r="W1558" t="inlineStr">
        <is>
          <t>YES 源备无差异</t>
        </is>
      </c>
      <c r="X1558">
        <f>A1558</f>
        <v/>
      </c>
    </row>
    <row r="1559">
      <c r="B1559" t="inlineStr">
        <is>
          <t>NULL</t>
        </is>
      </c>
      <c r="C1559" t="inlineStr">
        <is>
          <t>NULL</t>
        </is>
      </c>
      <c r="D1559" t="inlineStr">
        <is>
          <t>NULL</t>
        </is>
      </c>
      <c r="E1559" t="inlineStr">
        <is>
          <t>NULL</t>
        </is>
      </c>
      <c r="F1559" t="inlineStr">
        <is>
          <t>NULL</t>
        </is>
      </c>
      <c r="G1559" t="inlineStr">
        <is>
          <t>NULL</t>
        </is>
      </c>
      <c r="H1559" t="inlineStr">
        <is>
          <t>NULL</t>
        </is>
      </c>
      <c r="I1559" t="inlineStr">
        <is>
          <t>NULL</t>
        </is>
      </c>
      <c r="J1559" t="inlineStr">
        <is>
          <t>NULL</t>
        </is>
      </c>
      <c r="K1559" t="inlineStr">
        <is>
          <t>YES! 	 id列源备映射正确，源端为int None位	期望更改为int	实际备端为int None位</t>
        </is>
      </c>
    </row>
    <row r="1560">
      <c r="B1560" t="inlineStr">
        <is>
          <t>NULL</t>
        </is>
      </c>
      <c r="C1560" t="inlineStr">
        <is>
          <t>NULL</t>
        </is>
      </c>
      <c r="D1560" t="inlineStr">
        <is>
          <t>NULL</t>
        </is>
      </c>
      <c r="E1560" t="inlineStr">
        <is>
          <t>NULL</t>
        </is>
      </c>
      <c r="F1560" t="inlineStr">
        <is>
          <t>NULL</t>
        </is>
      </c>
      <c r="G1560" t="inlineStr">
        <is>
          <t>NULL</t>
        </is>
      </c>
      <c r="H1560" t="inlineStr">
        <is>
          <t>NULL</t>
        </is>
      </c>
      <c r="I1560" t="inlineStr">
        <is>
          <t>NULL</t>
        </is>
      </c>
      <c r="J1560" t="inlineStr">
        <is>
          <t>NULL</t>
        </is>
      </c>
      <c r="K1560" t="inlineStr">
        <is>
          <t>[0;32m YES! [0m 	 c_dtoffset_0列源备映射正确，源端为datetimeoffset None位	期望更改为varchar(34)	实际备端为varchar 136位	位数精度不存在，通过长度比较</t>
        </is>
      </c>
    </row>
    <row r="1561">
      <c r="B1561" t="inlineStr">
        <is>
          <t>NULL</t>
        </is>
      </c>
      <c r="C1561" t="inlineStr">
        <is>
          <t>NULL</t>
        </is>
      </c>
      <c r="D1561" t="inlineStr">
        <is>
          <t>NULL</t>
        </is>
      </c>
      <c r="E1561" t="inlineStr">
        <is>
          <t>NULL</t>
        </is>
      </c>
      <c r="F1561" t="inlineStr">
        <is>
          <t>NULL</t>
        </is>
      </c>
      <c r="G1561" t="inlineStr">
        <is>
          <t>NULL</t>
        </is>
      </c>
      <c r="H1561" t="inlineStr">
        <is>
          <t>NULL</t>
        </is>
      </c>
      <c r="I1561" t="inlineStr">
        <is>
          <t>NULL</t>
        </is>
      </c>
      <c r="J1561" t="inlineStr">
        <is>
          <t>NULL</t>
        </is>
      </c>
      <c r="K1561" t="inlineStr">
        <is>
          <t>[0;32m YES! [0m 	 c_dtoffset_1列源备映射正确，源端为datetimeoffset None位	期望更改为varchar(34)	实际备端为varchar 136位	位数精度不存在，通过长度比较</t>
        </is>
      </c>
    </row>
    <row r="1562">
      <c r="B1562" t="inlineStr">
        <is>
          <t>NULL</t>
        </is>
      </c>
      <c r="C1562" t="inlineStr">
        <is>
          <t>NULL</t>
        </is>
      </c>
      <c r="D1562" t="inlineStr">
        <is>
          <t>NULL</t>
        </is>
      </c>
      <c r="E1562" t="inlineStr">
        <is>
          <t>NULL</t>
        </is>
      </c>
      <c r="F1562" t="inlineStr">
        <is>
          <t>NULL</t>
        </is>
      </c>
      <c r="G1562" t="inlineStr">
        <is>
          <t>NULL</t>
        </is>
      </c>
      <c r="H1562" t="inlineStr">
        <is>
          <t>NULL</t>
        </is>
      </c>
      <c r="I1562" t="inlineStr">
        <is>
          <t>NULL</t>
        </is>
      </c>
      <c r="J1562" t="inlineStr">
        <is>
          <t>NULL</t>
        </is>
      </c>
      <c r="K1562" t="inlineStr">
        <is>
          <t>[0;32m YES! [0m 	 c_dtoffset_2列源备映射正确，源端为datetimeoffset None位	期望更改为varchar(34)	实际备端为varchar 136位	位数精度不存在，通过长度比较</t>
        </is>
      </c>
    </row>
    <row r="1563">
      <c r="B1563" t="inlineStr">
        <is>
          <t>NULL</t>
        </is>
      </c>
      <c r="C1563" t="inlineStr">
        <is>
          <t>NULL</t>
        </is>
      </c>
      <c r="D1563" t="inlineStr">
        <is>
          <t>NULL</t>
        </is>
      </c>
      <c r="E1563" t="inlineStr">
        <is>
          <t>NULL</t>
        </is>
      </c>
      <c r="F1563" t="inlineStr">
        <is>
          <t>NULL</t>
        </is>
      </c>
      <c r="G1563" t="inlineStr">
        <is>
          <t>NULL</t>
        </is>
      </c>
      <c r="H1563" t="inlineStr">
        <is>
          <t>NULL</t>
        </is>
      </c>
      <c r="I1563" t="inlineStr">
        <is>
          <t>NULL</t>
        </is>
      </c>
      <c r="J1563" t="inlineStr">
        <is>
          <t>NULL</t>
        </is>
      </c>
      <c r="K1563" t="inlineStr">
        <is>
          <t>[0;32m YES! [0m 	 c_dtoffset_3列源备映射正确，源端为datetimeoffset None位	期望更改为varchar(34)	实际备端为varchar 136位	位数精度不存在，通过长度比较</t>
        </is>
      </c>
    </row>
    <row r="1564">
      <c r="B1564" t="inlineStr">
        <is>
          <t>NULL</t>
        </is>
      </c>
      <c r="C1564" t="inlineStr">
        <is>
          <t>NULL</t>
        </is>
      </c>
      <c r="D1564" t="inlineStr">
        <is>
          <t>NULL</t>
        </is>
      </c>
      <c r="E1564" t="inlineStr">
        <is>
          <t>NULL</t>
        </is>
      </c>
      <c r="F1564" t="inlineStr">
        <is>
          <t>NULL</t>
        </is>
      </c>
      <c r="G1564" t="inlineStr">
        <is>
          <t>NULL</t>
        </is>
      </c>
      <c r="H1564" t="inlineStr">
        <is>
          <t>NULL</t>
        </is>
      </c>
      <c r="I1564" t="inlineStr">
        <is>
          <t>NULL</t>
        </is>
      </c>
      <c r="J1564" t="inlineStr">
        <is>
          <t>NULL</t>
        </is>
      </c>
      <c r="K1564" t="inlineStr">
        <is>
          <t>[0;32m YES! [0m 	 c_dtoffset_4列源备映射正确，源端为datetimeoffset None位	期望更改为varchar(34)	实际备端为varchar 136位	位数精度不存在，通过长度比较</t>
        </is>
      </c>
    </row>
    <row r="1565">
      <c r="B1565" t="inlineStr">
        <is>
          <t>NULL</t>
        </is>
      </c>
      <c r="C1565" t="inlineStr">
        <is>
          <t>NULL</t>
        </is>
      </c>
      <c r="D1565" t="inlineStr">
        <is>
          <t>NULL</t>
        </is>
      </c>
      <c r="E1565" t="inlineStr">
        <is>
          <t>NULL</t>
        </is>
      </c>
      <c r="F1565" t="inlineStr">
        <is>
          <t>NULL</t>
        </is>
      </c>
      <c r="G1565" t="inlineStr">
        <is>
          <t>NULL</t>
        </is>
      </c>
      <c r="H1565" t="inlineStr">
        <is>
          <t>NULL</t>
        </is>
      </c>
      <c r="I1565" t="inlineStr">
        <is>
          <t>NULL</t>
        </is>
      </c>
      <c r="J1565" t="inlineStr">
        <is>
          <t>NULL</t>
        </is>
      </c>
      <c r="K1565" t="inlineStr">
        <is>
          <t>[0;32m YES! [0m 	 c_dtoffset_5列源备映射正确，源端为datetimeoffset None位	期望更改为varchar(34)	实际备端为varchar 136位	位数精度不存在，通过长度比较</t>
        </is>
      </c>
    </row>
    <row r="1566">
      <c r="B1566" t="inlineStr">
        <is>
          <t>NULL</t>
        </is>
      </c>
      <c r="C1566" t="inlineStr">
        <is>
          <t>NULL</t>
        </is>
      </c>
      <c r="D1566" t="inlineStr">
        <is>
          <t>NULL</t>
        </is>
      </c>
      <c r="E1566" t="inlineStr">
        <is>
          <t>NULL</t>
        </is>
      </c>
      <c r="F1566" t="inlineStr">
        <is>
          <t>NULL</t>
        </is>
      </c>
      <c r="G1566" t="inlineStr">
        <is>
          <t>NULL</t>
        </is>
      </c>
      <c r="H1566" t="inlineStr">
        <is>
          <t>NULL</t>
        </is>
      </c>
      <c r="I1566" t="inlineStr">
        <is>
          <t>NULL</t>
        </is>
      </c>
      <c r="J1566" t="inlineStr">
        <is>
          <t>NULL</t>
        </is>
      </c>
      <c r="K1566" t="inlineStr">
        <is>
          <t>[0;32m YES! [0m 	 c_dtoffset_6列源备映射正确，源端为datetimeoffset None位	期望更改为varchar(34)	实际备端为varchar 136位	位数精度不存在，通过长度比较</t>
        </is>
      </c>
    </row>
    <row r="1567">
      <c r="B1567" t="inlineStr">
        <is>
          <t>NULL</t>
        </is>
      </c>
      <c r="C1567" t="inlineStr">
        <is>
          <t>NO!源None备NUL</t>
        </is>
      </c>
      <c r="D1567" t="inlineStr">
        <is>
          <t>NULL</t>
        </is>
      </c>
      <c r="E1567" t="inlineStr">
        <is>
          <t>NULL</t>
        </is>
      </c>
      <c r="F1567" t="inlineStr">
        <is>
          <t>NULL</t>
        </is>
      </c>
      <c r="G1567" t="inlineStr">
        <is>
          <t>NULL</t>
        </is>
      </c>
      <c r="H1567" t="inlineStr">
        <is>
          <t>NULL</t>
        </is>
      </c>
      <c r="I1567" t="inlineStr">
        <is>
          <t>NULL</t>
        </is>
      </c>
      <c r="J1567" t="inlineStr">
        <is>
          <t>NULL</t>
        </is>
      </c>
      <c r="K1567" t="inlineStr">
        <is>
          <t>[0;32m YES! [0m 	 c_dtoffset列源备映射正确，源端为datetimeoffset None位	期望更改为varchar(34)	实际备端为varchar 136位	位数精度不存在，通过长度比较</t>
        </is>
      </c>
    </row>
    <row r="1568">
      <c r="A1568" t="inlineStr">
        <is>
          <t>info_varcharmax_dml_batch1_pk_drp1</t>
        </is>
      </c>
      <c r="K1568" t="inlineStr">
        <is>
          <t>[0;34m info_varcharmax_dml_batch1_pk_drp1 [0m源备字段数相同，源端字段：3 	备端字段3</t>
        </is>
      </c>
      <c r="W1568" t="inlineStr">
        <is>
          <t>YES 源备无差异</t>
        </is>
      </c>
      <c r="X1568">
        <f>A1568</f>
        <v/>
      </c>
    </row>
    <row r="1569">
      <c r="B1569" t="inlineStr">
        <is>
          <t>YES</t>
        </is>
      </c>
      <c r="C1569" t="inlineStr">
        <is>
          <t>NULL</t>
        </is>
      </c>
      <c r="D1569" t="inlineStr">
        <is>
          <t>NULL</t>
        </is>
      </c>
      <c r="E1569" t="inlineStr">
        <is>
          <t>NULL</t>
        </is>
      </c>
      <c r="F1569" t="inlineStr">
        <is>
          <t>NULL</t>
        </is>
      </c>
      <c r="G1569" t="inlineStr">
        <is>
          <t>NULL</t>
        </is>
      </c>
      <c r="H1569" t="inlineStr">
        <is>
          <t>NULL</t>
        </is>
      </c>
      <c r="I1569" t="inlineStr">
        <is>
          <t>YES!PK__info_var__3213E83FE68E1CD5</t>
        </is>
      </c>
      <c r="J1569" t="inlineStr">
        <is>
          <t>YES! 主键相关索引</t>
        </is>
      </c>
      <c r="K1569" t="inlineStr">
        <is>
          <t>YES! 	 id列源备映射正确，源端为int None位	期望更改为int	实际备端为int None位</t>
        </is>
      </c>
    </row>
    <row r="1570">
      <c r="B1570" t="inlineStr">
        <is>
          <t>NULL</t>
        </is>
      </c>
      <c r="C1570" t="inlineStr">
        <is>
          <t>NULL</t>
        </is>
      </c>
      <c r="D1570" t="inlineStr">
        <is>
          <t>NULL</t>
        </is>
      </c>
      <c r="E1570" t="inlineStr">
        <is>
          <t>NULL</t>
        </is>
      </c>
      <c r="F1570" t="inlineStr">
        <is>
          <t>NULL</t>
        </is>
      </c>
      <c r="G1570" t="inlineStr">
        <is>
          <t>NULL</t>
        </is>
      </c>
      <c r="H1570" t="inlineStr">
        <is>
          <t>NULL</t>
        </is>
      </c>
      <c r="I1570" t="inlineStr">
        <is>
          <t>NULL</t>
        </is>
      </c>
      <c r="J1570" t="inlineStr">
        <is>
          <t>NULL</t>
        </is>
      </c>
      <c r="K1570" t="inlineStr">
        <is>
          <t>YES! 	 c_varchar_max列源备映射正确，源端为varchar -1位	期望更改为longtext	实际备端为longtext 4294967295位</t>
        </is>
      </c>
    </row>
    <row r="1571">
      <c r="B1571" t="inlineStr">
        <is>
          <t>NULL</t>
        </is>
      </c>
      <c r="C1571" t="inlineStr">
        <is>
          <t>NULL</t>
        </is>
      </c>
      <c r="D1571" t="inlineStr">
        <is>
          <t>NULL</t>
        </is>
      </c>
      <c r="E1571" t="inlineStr">
        <is>
          <t>NULL</t>
        </is>
      </c>
      <c r="F1571" t="inlineStr">
        <is>
          <t>NULL</t>
        </is>
      </c>
      <c r="G1571" t="inlineStr">
        <is>
          <t>NULL</t>
        </is>
      </c>
      <c r="H1571" t="inlineStr">
        <is>
          <t>NULL</t>
        </is>
      </c>
      <c r="I1571" t="inlineStr">
        <is>
          <t>NULL</t>
        </is>
      </c>
      <c r="J1571" t="inlineStr">
        <is>
          <t>NULL</t>
        </is>
      </c>
      <c r="K1571" t="inlineStr">
        <is>
          <t>YES! 	 c_nvarchar_max列源备映射正确，源端为nvarchar -1位	期望更改为longtext	实际备端为longtext 4294967295位</t>
        </is>
      </c>
    </row>
    <row r="1572">
      <c r="K1572" t="inlineStr">
        <is>
          <t>~ 空表</t>
        </is>
      </c>
    </row>
    <row r="1573">
      <c r="A1573" t="inlineStr">
        <is>
          <t>info_binary_dml_single_pk</t>
        </is>
      </c>
      <c r="K1573" t="inlineStr">
        <is>
          <t>[0;34m info_binary_dml_single_pk [0m源备字段数相同，源端字段：4 	备端字段4</t>
        </is>
      </c>
      <c r="W1573" t="inlineStr">
        <is>
          <t>YES 源备无差异</t>
        </is>
      </c>
      <c r="X1573">
        <f>A1573</f>
        <v/>
      </c>
    </row>
    <row r="1574">
      <c r="B1574" t="inlineStr">
        <is>
          <t>YES</t>
        </is>
      </c>
      <c r="C1574" t="inlineStr">
        <is>
          <t>NULL</t>
        </is>
      </c>
      <c r="D1574" t="inlineStr">
        <is>
          <t>NULL</t>
        </is>
      </c>
      <c r="E1574" t="inlineStr">
        <is>
          <t>NULL</t>
        </is>
      </c>
      <c r="F1574" t="inlineStr">
        <is>
          <t>NULL</t>
        </is>
      </c>
      <c r="G1574" t="inlineStr">
        <is>
          <t>NULL</t>
        </is>
      </c>
      <c r="H1574" t="inlineStr">
        <is>
          <t>NULL</t>
        </is>
      </c>
      <c r="I1574" t="inlineStr">
        <is>
          <t>YES!PK__info_bin__3213E83F4311331F</t>
        </is>
      </c>
      <c r="J1574" t="inlineStr">
        <is>
          <t>YES! 主键相关索引</t>
        </is>
      </c>
      <c r="K1574" t="inlineStr">
        <is>
          <t>YES! 	 id列源备映射正确，源端为int None位	期望更改为int	实际备端为int None位</t>
        </is>
      </c>
    </row>
    <row r="1575">
      <c r="B1575" t="inlineStr">
        <is>
          <t>NULL</t>
        </is>
      </c>
      <c r="C1575" t="inlineStr">
        <is>
          <t>NULL</t>
        </is>
      </c>
      <c r="D1575" t="inlineStr">
        <is>
          <t>NULL</t>
        </is>
      </c>
      <c r="E1575" t="inlineStr">
        <is>
          <t>NULL</t>
        </is>
      </c>
      <c r="F1575" t="inlineStr">
        <is>
          <t>NULL</t>
        </is>
      </c>
      <c r="G1575" t="inlineStr">
        <is>
          <t>NULL</t>
        </is>
      </c>
      <c r="H1575" t="inlineStr">
        <is>
          <t>NULL</t>
        </is>
      </c>
      <c r="I1575" t="inlineStr">
        <is>
          <t>NULL</t>
        </is>
      </c>
      <c r="J1575" t="inlineStr">
        <is>
          <t>NULL</t>
        </is>
      </c>
      <c r="K1575" t="inlineStr">
        <is>
          <t>YES! 	 c_binary列源备映射正确，源端为binary 1位	期望更改为binary(n)	实际备端为binary 1位</t>
        </is>
      </c>
    </row>
    <row r="1576">
      <c r="B1576" t="inlineStr">
        <is>
          <t>NULL</t>
        </is>
      </c>
      <c r="C1576" t="inlineStr">
        <is>
          <t>NULL</t>
        </is>
      </c>
      <c r="D1576" t="inlineStr">
        <is>
          <t>NULL</t>
        </is>
      </c>
      <c r="E1576" t="inlineStr">
        <is>
          <t>NULL</t>
        </is>
      </c>
      <c r="F1576" t="inlineStr">
        <is>
          <t>NULL</t>
        </is>
      </c>
      <c r="G1576" t="inlineStr">
        <is>
          <t>NULL</t>
        </is>
      </c>
      <c r="H1576" t="inlineStr">
        <is>
          <t>NULL</t>
        </is>
      </c>
      <c r="I1576" t="inlineStr">
        <is>
          <t>NULL</t>
        </is>
      </c>
      <c r="J1576" t="inlineStr">
        <is>
          <t>NULL</t>
        </is>
      </c>
      <c r="K1576" t="inlineStr">
        <is>
          <t>YES! 	 c_binary_20列源备映射正确，源端为binary 20位	期望更改为binary(n)	实际备端为binary 20位</t>
        </is>
      </c>
    </row>
    <row r="1577">
      <c r="B1577" t="inlineStr">
        <is>
          <t>NULL</t>
        </is>
      </c>
      <c r="C1577" t="inlineStr">
        <is>
          <t>NULL</t>
        </is>
      </c>
      <c r="D1577" t="inlineStr">
        <is>
          <t>NULL</t>
        </is>
      </c>
      <c r="E1577" t="inlineStr">
        <is>
          <t>NULL</t>
        </is>
      </c>
      <c r="F1577" t="inlineStr">
        <is>
          <t>NULL</t>
        </is>
      </c>
      <c r="G1577" t="inlineStr">
        <is>
          <t>NULL</t>
        </is>
      </c>
      <c r="H1577" t="inlineStr">
        <is>
          <t>NULL</t>
        </is>
      </c>
      <c r="I1577" t="inlineStr">
        <is>
          <t>NULL</t>
        </is>
      </c>
      <c r="J1577" t="inlineStr">
        <is>
          <t>NULL</t>
        </is>
      </c>
      <c r="K1577" t="inlineStr">
        <is>
          <t>YES! 	 c_binary_8000列源备映射正确，源端为binary 8000位	期望更改为longblob	实际备端为longblob 4294967295位</t>
        </is>
      </c>
    </row>
    <row r="1578">
      <c r="A1578" t="inlineStr">
        <is>
          <t>info_varbinary_max_dml_single_nopk_urp</t>
        </is>
      </c>
      <c r="K1578" t="inlineStr">
        <is>
          <t>[0;34m info_varbinary_max_dml_single_nopk_urp [0m源备字段数相同，源端字段：4 	备端字段4</t>
        </is>
      </c>
      <c r="W1578" t="inlineStr">
        <is>
          <t>YES 源备无差异</t>
        </is>
      </c>
      <c r="X1578">
        <f>A1578</f>
        <v/>
      </c>
    </row>
    <row r="1579">
      <c r="B1579" t="inlineStr">
        <is>
          <t>NULL</t>
        </is>
      </c>
      <c r="C1579" t="inlineStr">
        <is>
          <t>NULL</t>
        </is>
      </c>
      <c r="D1579" t="inlineStr">
        <is>
          <t>NULL</t>
        </is>
      </c>
      <c r="E1579" t="inlineStr">
        <is>
          <t>NULL</t>
        </is>
      </c>
      <c r="F1579" t="inlineStr">
        <is>
          <t>NULL</t>
        </is>
      </c>
      <c r="G1579" t="inlineStr">
        <is>
          <t>NULL</t>
        </is>
      </c>
      <c r="H1579" t="inlineStr">
        <is>
          <t>NULL</t>
        </is>
      </c>
      <c r="I1579" t="inlineStr">
        <is>
          <t>NULL</t>
        </is>
      </c>
      <c r="J1579" t="inlineStr">
        <is>
          <t>NULL</t>
        </is>
      </c>
      <c r="K1579" t="inlineStr">
        <is>
          <t>YES! 	 id列源备映射正确，源端为int None位	期望更改为int	实际备端为int None位</t>
        </is>
      </c>
    </row>
    <row r="1580">
      <c r="B1580" t="inlineStr">
        <is>
          <t>NULL</t>
        </is>
      </c>
      <c r="C1580" t="inlineStr">
        <is>
          <t>NULL</t>
        </is>
      </c>
      <c r="D1580" t="inlineStr">
        <is>
          <t>NULL</t>
        </is>
      </c>
      <c r="E1580" t="inlineStr">
        <is>
          <t>NULL</t>
        </is>
      </c>
      <c r="F1580" t="inlineStr">
        <is>
          <t>NULL</t>
        </is>
      </c>
      <c r="G1580" t="inlineStr">
        <is>
          <t>NULL</t>
        </is>
      </c>
      <c r="H1580" t="inlineStr">
        <is>
          <t>NULL</t>
        </is>
      </c>
      <c r="I1580" t="inlineStr">
        <is>
          <t>NULL</t>
        </is>
      </c>
      <c r="J1580" t="inlineStr">
        <is>
          <t>NULL</t>
        </is>
      </c>
      <c r="K1580" t="inlineStr">
        <is>
          <t>YES! 	 c_varbinary_max1列源备映射正确，源端为varbinary -1位	期望更改为longblob	实际备端为longblob 4294967295位</t>
        </is>
      </c>
    </row>
    <row r="1581">
      <c r="B1581" t="inlineStr">
        <is>
          <t>NULL</t>
        </is>
      </c>
      <c r="C1581" t="inlineStr">
        <is>
          <t>NULL</t>
        </is>
      </c>
      <c r="D1581" t="inlineStr">
        <is>
          <t>NULL</t>
        </is>
      </c>
      <c r="E1581" t="inlineStr">
        <is>
          <t>NULL</t>
        </is>
      </c>
      <c r="F1581" t="inlineStr">
        <is>
          <t>NULL</t>
        </is>
      </c>
      <c r="G1581" t="inlineStr">
        <is>
          <t>NULL</t>
        </is>
      </c>
      <c r="H1581" t="inlineStr">
        <is>
          <t>NULL</t>
        </is>
      </c>
      <c r="I1581" t="inlineStr">
        <is>
          <t>NULL</t>
        </is>
      </c>
      <c r="J1581" t="inlineStr">
        <is>
          <t>NULL</t>
        </is>
      </c>
      <c r="K1581" t="inlineStr">
        <is>
          <t>YES! 	 c_varbinary_max2列源备映射正确，源端为varbinary -1位	期望更改为longblob	实际备端为longblob 4294967295位</t>
        </is>
      </c>
    </row>
    <row r="1582">
      <c r="B1582" t="inlineStr">
        <is>
          <t>NULL</t>
        </is>
      </c>
      <c r="C1582" t="inlineStr">
        <is>
          <t>NULL</t>
        </is>
      </c>
      <c r="D1582" t="inlineStr">
        <is>
          <t>NULL</t>
        </is>
      </c>
      <c r="E1582" t="inlineStr">
        <is>
          <t>NULL</t>
        </is>
      </c>
      <c r="F1582" t="inlineStr">
        <is>
          <t>NULL</t>
        </is>
      </c>
      <c r="G1582" t="inlineStr">
        <is>
          <t>NULL</t>
        </is>
      </c>
      <c r="H1582" t="inlineStr">
        <is>
          <t>NULL</t>
        </is>
      </c>
      <c r="I1582" t="inlineStr">
        <is>
          <t>NULL</t>
        </is>
      </c>
      <c r="J1582" t="inlineStr">
        <is>
          <t>NULL</t>
        </is>
      </c>
      <c r="K1582" t="inlineStr">
        <is>
          <t>YES! 	 c_image3列源备映射正确，源端为image 2147483647位	期望更改为longblob	实际备端为longblob 4294967295位</t>
        </is>
      </c>
    </row>
    <row r="1583">
      <c r="A1583" t="inlineStr">
        <is>
          <t>info_timestamp_dml_single_pk_irp</t>
        </is>
      </c>
      <c r="K1583" t="inlineStr">
        <is>
          <t>[0;34m info_timestamp_dml_single_pk_irp [0m源备字段数相同，源端字段：2 	备端字段2</t>
        </is>
      </c>
      <c r="W1583" t="inlineStr">
        <is>
          <t>YES 源备无差异</t>
        </is>
      </c>
      <c r="X1583">
        <f>A1583</f>
        <v/>
      </c>
    </row>
    <row r="1584">
      <c r="B1584" t="inlineStr">
        <is>
          <t>YES</t>
        </is>
      </c>
      <c r="C1584" t="inlineStr">
        <is>
          <t>NULL</t>
        </is>
      </c>
      <c r="D1584" t="inlineStr">
        <is>
          <t>NULL</t>
        </is>
      </c>
      <c r="E1584" t="inlineStr">
        <is>
          <t>NULL</t>
        </is>
      </c>
      <c r="F1584" t="inlineStr">
        <is>
          <t>NULL</t>
        </is>
      </c>
      <c r="G1584" t="inlineStr">
        <is>
          <t>NULL</t>
        </is>
      </c>
      <c r="H1584" t="inlineStr">
        <is>
          <t>NULL</t>
        </is>
      </c>
      <c r="I1584" t="inlineStr">
        <is>
          <t>YES!PK__info_tim__3213E83F0A74409F</t>
        </is>
      </c>
      <c r="J1584" t="inlineStr">
        <is>
          <t>YES! 主键相关索引</t>
        </is>
      </c>
      <c r="K1584" t="inlineStr">
        <is>
          <t>YES! 	 id列源备映射正确，源端为int None位	期望更改为int	实际备端为int None位</t>
        </is>
      </c>
    </row>
    <row r="1585">
      <c r="B1585" t="inlineStr">
        <is>
          <t>NULL</t>
        </is>
      </c>
      <c r="C1585" t="inlineStr">
        <is>
          <t>NULL</t>
        </is>
      </c>
      <c r="D1585" t="inlineStr">
        <is>
          <t>NULL</t>
        </is>
      </c>
      <c r="E1585" t="inlineStr">
        <is>
          <t>NULL</t>
        </is>
      </c>
      <c r="F1585" t="inlineStr">
        <is>
          <t>NULL</t>
        </is>
      </c>
      <c r="G1585" t="inlineStr">
        <is>
          <t>NULL</t>
        </is>
      </c>
      <c r="H1585" t="inlineStr">
        <is>
          <t>NULL</t>
        </is>
      </c>
      <c r="I1585" t="inlineStr">
        <is>
          <t>NULL</t>
        </is>
      </c>
      <c r="J1585" t="inlineStr">
        <is>
          <t>NULL</t>
        </is>
      </c>
      <c r="K1585" t="inlineStr">
        <is>
          <t>[0;32m YES! [0m 	 c_tiemstamp列源备映射正确，源端为timestamp None位	期望更改为binary(8)	实际备端为binary 8位	位数精度不存在，通过长度比较</t>
        </is>
      </c>
    </row>
    <row r="1586">
      <c r="A1586" t="inlineStr">
        <is>
          <t>info_datetimeoffset_dml_single_nopk_drp</t>
        </is>
      </c>
      <c r="K1586" t="inlineStr">
        <is>
          <t>[0;34m info_datetimeoffset_dml_single_nopk_drp [0m源备字段数相同，源端字段：9 	备端字段9</t>
        </is>
      </c>
      <c r="W1586" t="inlineStr">
        <is>
          <t>YES 源备无差异</t>
        </is>
      </c>
      <c r="X1586">
        <f>A1586</f>
        <v/>
      </c>
    </row>
    <row r="1587">
      <c r="B1587" t="inlineStr">
        <is>
          <t>NULL</t>
        </is>
      </c>
      <c r="C1587" t="inlineStr">
        <is>
          <t>NULL</t>
        </is>
      </c>
      <c r="D1587" t="inlineStr">
        <is>
          <t>NULL</t>
        </is>
      </c>
      <c r="E1587" t="inlineStr">
        <is>
          <t>NULL</t>
        </is>
      </c>
      <c r="F1587" t="inlineStr">
        <is>
          <t>NULL</t>
        </is>
      </c>
      <c r="G1587" t="inlineStr">
        <is>
          <t>NULL</t>
        </is>
      </c>
      <c r="H1587" t="inlineStr">
        <is>
          <t>NULL</t>
        </is>
      </c>
      <c r="I1587" t="inlineStr">
        <is>
          <t>NULL</t>
        </is>
      </c>
      <c r="J1587" t="inlineStr">
        <is>
          <t>NULL</t>
        </is>
      </c>
      <c r="K1587" t="inlineStr">
        <is>
          <t>YES! 	 id列源备映射正确，源端为int None位	期望更改为int	实际备端为int None位</t>
        </is>
      </c>
    </row>
    <row r="1588">
      <c r="B1588" t="inlineStr">
        <is>
          <t>NULL</t>
        </is>
      </c>
      <c r="C1588" t="inlineStr">
        <is>
          <t>NULL</t>
        </is>
      </c>
      <c r="D1588" t="inlineStr">
        <is>
          <t>NULL</t>
        </is>
      </c>
      <c r="E1588" t="inlineStr">
        <is>
          <t>NULL</t>
        </is>
      </c>
      <c r="F1588" t="inlineStr">
        <is>
          <t>NULL</t>
        </is>
      </c>
      <c r="G1588" t="inlineStr">
        <is>
          <t>NULL</t>
        </is>
      </c>
      <c r="H1588" t="inlineStr">
        <is>
          <t>NULL</t>
        </is>
      </c>
      <c r="I1588" t="inlineStr">
        <is>
          <t>NULL</t>
        </is>
      </c>
      <c r="J1588" t="inlineStr">
        <is>
          <t>NULL</t>
        </is>
      </c>
      <c r="K1588" t="inlineStr">
        <is>
          <t>[0;32m YES! [0m 	 c_dtoffset_0列源备映射正确，源端为datetimeoffset None位	期望更改为varchar(34)	实际备端为varchar 136位	位数精度不存在，通过长度比较</t>
        </is>
      </c>
    </row>
    <row r="1589">
      <c r="B1589" t="inlineStr">
        <is>
          <t>NULL</t>
        </is>
      </c>
      <c r="C1589" t="inlineStr">
        <is>
          <t>NULL</t>
        </is>
      </c>
      <c r="D1589" t="inlineStr">
        <is>
          <t>NULL</t>
        </is>
      </c>
      <c r="E1589" t="inlineStr">
        <is>
          <t>NULL</t>
        </is>
      </c>
      <c r="F1589" t="inlineStr">
        <is>
          <t>NULL</t>
        </is>
      </c>
      <c r="G1589" t="inlineStr">
        <is>
          <t>NULL</t>
        </is>
      </c>
      <c r="H1589" t="inlineStr">
        <is>
          <t>NULL</t>
        </is>
      </c>
      <c r="I1589" t="inlineStr">
        <is>
          <t>NULL</t>
        </is>
      </c>
      <c r="J1589" t="inlineStr">
        <is>
          <t>NULL</t>
        </is>
      </c>
      <c r="K1589" t="inlineStr">
        <is>
          <t>[0;32m YES! [0m 	 c_dtoffset_1列源备映射正确，源端为datetimeoffset None位	期望更改为varchar(34)	实际备端为varchar 136位	位数精度不存在，通过长度比较</t>
        </is>
      </c>
    </row>
    <row r="1590">
      <c r="B1590" t="inlineStr">
        <is>
          <t>NULL</t>
        </is>
      </c>
      <c r="C1590" t="inlineStr">
        <is>
          <t>NULL</t>
        </is>
      </c>
      <c r="D1590" t="inlineStr">
        <is>
          <t>NULL</t>
        </is>
      </c>
      <c r="E1590" t="inlineStr">
        <is>
          <t>NULL</t>
        </is>
      </c>
      <c r="F1590" t="inlineStr">
        <is>
          <t>NULL</t>
        </is>
      </c>
      <c r="G1590" t="inlineStr">
        <is>
          <t>NULL</t>
        </is>
      </c>
      <c r="H1590" t="inlineStr">
        <is>
          <t>NULL</t>
        </is>
      </c>
      <c r="I1590" t="inlineStr">
        <is>
          <t>NULL</t>
        </is>
      </c>
      <c r="J1590" t="inlineStr">
        <is>
          <t>NULL</t>
        </is>
      </c>
      <c r="K1590" t="inlineStr">
        <is>
          <t>[0;32m YES! [0m 	 c_dtoffset_2列源备映射正确，源端为datetimeoffset None位	期望更改为varchar(34)	实际备端为varchar 136位	位数精度不存在，通过长度比较</t>
        </is>
      </c>
    </row>
    <row r="1591">
      <c r="B1591" t="inlineStr">
        <is>
          <t>NULL</t>
        </is>
      </c>
      <c r="C1591" t="inlineStr">
        <is>
          <t>NULL</t>
        </is>
      </c>
      <c r="D1591" t="inlineStr">
        <is>
          <t>NULL</t>
        </is>
      </c>
      <c r="E1591" t="inlineStr">
        <is>
          <t>NULL</t>
        </is>
      </c>
      <c r="F1591" t="inlineStr">
        <is>
          <t>NULL</t>
        </is>
      </c>
      <c r="G1591" t="inlineStr">
        <is>
          <t>NULL</t>
        </is>
      </c>
      <c r="H1591" t="inlineStr">
        <is>
          <t>NULL</t>
        </is>
      </c>
      <c r="I1591" t="inlineStr">
        <is>
          <t>NULL</t>
        </is>
      </c>
      <c r="J1591" t="inlineStr">
        <is>
          <t>NULL</t>
        </is>
      </c>
      <c r="K1591" t="inlineStr">
        <is>
          <t>[0;32m YES! [0m 	 c_dtoffset_3列源备映射正确，源端为datetimeoffset None位	期望更改为varchar(34)	实际备端为varchar 136位	位数精度不存在，通过长度比较</t>
        </is>
      </c>
    </row>
    <row r="1592">
      <c r="B1592" t="inlineStr">
        <is>
          <t>NULL</t>
        </is>
      </c>
      <c r="C1592" t="inlineStr">
        <is>
          <t>NULL</t>
        </is>
      </c>
      <c r="D1592" t="inlineStr">
        <is>
          <t>NULL</t>
        </is>
      </c>
      <c r="E1592" t="inlineStr">
        <is>
          <t>NULL</t>
        </is>
      </c>
      <c r="F1592" t="inlineStr">
        <is>
          <t>NULL</t>
        </is>
      </c>
      <c r="G1592" t="inlineStr">
        <is>
          <t>NULL</t>
        </is>
      </c>
      <c r="H1592" t="inlineStr">
        <is>
          <t>NULL</t>
        </is>
      </c>
      <c r="I1592" t="inlineStr">
        <is>
          <t>NULL</t>
        </is>
      </c>
      <c r="J1592" t="inlineStr">
        <is>
          <t>NULL</t>
        </is>
      </c>
      <c r="K1592" t="inlineStr">
        <is>
          <t>[0;32m YES! [0m 	 c_dtoffset_4列源备映射正确，源端为datetimeoffset None位	期望更改为varchar(34)	实际备端为varchar 136位	位数精度不存在，通过长度比较</t>
        </is>
      </c>
    </row>
    <row r="1593">
      <c r="B1593" t="inlineStr">
        <is>
          <t>NULL</t>
        </is>
      </c>
      <c r="C1593" t="inlineStr">
        <is>
          <t>NULL</t>
        </is>
      </c>
      <c r="D1593" t="inlineStr">
        <is>
          <t>NULL</t>
        </is>
      </c>
      <c r="E1593" t="inlineStr">
        <is>
          <t>NULL</t>
        </is>
      </c>
      <c r="F1593" t="inlineStr">
        <is>
          <t>NULL</t>
        </is>
      </c>
      <c r="G1593" t="inlineStr">
        <is>
          <t>NULL</t>
        </is>
      </c>
      <c r="H1593" t="inlineStr">
        <is>
          <t>NULL</t>
        </is>
      </c>
      <c r="I1593" t="inlineStr">
        <is>
          <t>NULL</t>
        </is>
      </c>
      <c r="J1593" t="inlineStr">
        <is>
          <t>NULL</t>
        </is>
      </c>
      <c r="K1593" t="inlineStr">
        <is>
          <t>[0;32m YES! [0m 	 c_dtoffset_5列源备映射正确，源端为datetimeoffset None位	期望更改为varchar(34)	实际备端为varchar 136位	位数精度不存在，通过长度比较</t>
        </is>
      </c>
    </row>
    <row r="1594">
      <c r="B1594" t="inlineStr">
        <is>
          <t>NULL</t>
        </is>
      </c>
      <c r="C1594" t="inlineStr">
        <is>
          <t>NULL</t>
        </is>
      </c>
      <c r="D1594" t="inlineStr">
        <is>
          <t>NULL</t>
        </is>
      </c>
      <c r="E1594" t="inlineStr">
        <is>
          <t>NULL</t>
        </is>
      </c>
      <c r="F1594" t="inlineStr">
        <is>
          <t>NULL</t>
        </is>
      </c>
      <c r="G1594" t="inlineStr">
        <is>
          <t>NULL</t>
        </is>
      </c>
      <c r="H1594" t="inlineStr">
        <is>
          <t>NULL</t>
        </is>
      </c>
      <c r="I1594" t="inlineStr">
        <is>
          <t>NULL</t>
        </is>
      </c>
      <c r="J1594" t="inlineStr">
        <is>
          <t>NULL</t>
        </is>
      </c>
      <c r="K1594" t="inlineStr">
        <is>
          <t>[0;32m YES! [0m 	 c_dtoffset_6列源备映射正确，源端为datetimeoffset None位	期望更改为varchar(34)	实际备端为varchar 136位	位数精度不存在，通过长度比较</t>
        </is>
      </c>
    </row>
    <row r="1595">
      <c r="B1595" t="inlineStr">
        <is>
          <t>NULL</t>
        </is>
      </c>
      <c r="C1595" t="inlineStr">
        <is>
          <t>NO!源None备NUL</t>
        </is>
      </c>
      <c r="D1595" t="inlineStr">
        <is>
          <t>NULL</t>
        </is>
      </c>
      <c r="E1595" t="inlineStr">
        <is>
          <t>NULL</t>
        </is>
      </c>
      <c r="F1595" t="inlineStr">
        <is>
          <t>NULL</t>
        </is>
      </c>
      <c r="G1595" t="inlineStr">
        <is>
          <t>NULL</t>
        </is>
      </c>
      <c r="H1595" t="inlineStr">
        <is>
          <t>NULL</t>
        </is>
      </c>
      <c r="I1595" t="inlineStr">
        <is>
          <t>NULL</t>
        </is>
      </c>
      <c r="J1595" t="inlineStr">
        <is>
          <t>NULL</t>
        </is>
      </c>
      <c r="K1595" t="inlineStr">
        <is>
          <t>[0;32m YES! [0m 	 c_dtoffset列源备映射正确，源端为datetimeoffset None位	期望更改为varchar(34)	实际备端为varchar 136位	位数精度不存在，通过长度比较</t>
        </is>
      </c>
    </row>
    <row r="1596">
      <c r="A1596" t="inlineStr">
        <is>
          <t>info_varbinary_max_dml_single_nopk_drp</t>
        </is>
      </c>
      <c r="K1596" t="inlineStr">
        <is>
          <t>[0;34m info_varbinary_max_dml_single_nopk_drp [0m源备字段数相同，源端字段：4 	备端字段4</t>
        </is>
      </c>
      <c r="W1596" t="inlineStr">
        <is>
          <t>YES 源备无差异</t>
        </is>
      </c>
      <c r="X1596">
        <f>A1596</f>
        <v/>
      </c>
    </row>
    <row r="1597">
      <c r="B1597" t="inlineStr">
        <is>
          <t>NULL</t>
        </is>
      </c>
      <c r="C1597" t="inlineStr">
        <is>
          <t>NULL</t>
        </is>
      </c>
      <c r="D1597" t="inlineStr">
        <is>
          <t>NULL</t>
        </is>
      </c>
      <c r="E1597" t="inlineStr">
        <is>
          <t>NULL</t>
        </is>
      </c>
      <c r="F1597" t="inlineStr">
        <is>
          <t>NULL</t>
        </is>
      </c>
      <c r="G1597" t="inlineStr">
        <is>
          <t>NULL</t>
        </is>
      </c>
      <c r="H1597" t="inlineStr">
        <is>
          <t>NULL</t>
        </is>
      </c>
      <c r="I1597" t="inlineStr">
        <is>
          <t>NULL</t>
        </is>
      </c>
      <c r="J1597" t="inlineStr">
        <is>
          <t>NULL</t>
        </is>
      </c>
      <c r="K1597" t="inlineStr">
        <is>
          <t>YES! 	 id列源备映射正确，源端为int None位	期望更改为int	实际备端为int None位</t>
        </is>
      </c>
    </row>
    <row r="1598">
      <c r="B1598" t="inlineStr">
        <is>
          <t>NULL</t>
        </is>
      </c>
      <c r="C1598" t="inlineStr">
        <is>
          <t>NULL</t>
        </is>
      </c>
      <c r="D1598" t="inlineStr">
        <is>
          <t>NULL</t>
        </is>
      </c>
      <c r="E1598" t="inlineStr">
        <is>
          <t>NULL</t>
        </is>
      </c>
      <c r="F1598" t="inlineStr">
        <is>
          <t>NULL</t>
        </is>
      </c>
      <c r="G1598" t="inlineStr">
        <is>
          <t>NULL</t>
        </is>
      </c>
      <c r="H1598" t="inlineStr">
        <is>
          <t>NULL</t>
        </is>
      </c>
      <c r="I1598" t="inlineStr">
        <is>
          <t>NULL</t>
        </is>
      </c>
      <c r="J1598" t="inlineStr">
        <is>
          <t>NULL</t>
        </is>
      </c>
      <c r="K1598" t="inlineStr">
        <is>
          <t>YES! 	 c_varbinary_max1列源备映射正确，源端为varbinary -1位	期望更改为longblob	实际备端为longblob 4294967295位</t>
        </is>
      </c>
    </row>
    <row r="1599">
      <c r="B1599" t="inlineStr">
        <is>
          <t>NULL</t>
        </is>
      </c>
      <c r="C1599" t="inlineStr">
        <is>
          <t>NULL</t>
        </is>
      </c>
      <c r="D1599" t="inlineStr">
        <is>
          <t>NULL</t>
        </is>
      </c>
      <c r="E1599" t="inlineStr">
        <is>
          <t>NULL</t>
        </is>
      </c>
      <c r="F1599" t="inlineStr">
        <is>
          <t>NULL</t>
        </is>
      </c>
      <c r="G1599" t="inlineStr">
        <is>
          <t>NULL</t>
        </is>
      </c>
      <c r="H1599" t="inlineStr">
        <is>
          <t>NULL</t>
        </is>
      </c>
      <c r="I1599" t="inlineStr">
        <is>
          <t>NULL</t>
        </is>
      </c>
      <c r="J1599" t="inlineStr">
        <is>
          <t>NULL</t>
        </is>
      </c>
      <c r="K1599" t="inlineStr">
        <is>
          <t>YES! 	 c_varbinary_max2列源备映射正确，源端为varbinary -1位	期望更改为longblob	实际备端为longblob 4294967295位</t>
        </is>
      </c>
    </row>
    <row r="1600">
      <c r="B1600" t="inlineStr">
        <is>
          <t>NULL</t>
        </is>
      </c>
      <c r="C1600" t="inlineStr">
        <is>
          <t>NULL</t>
        </is>
      </c>
      <c r="D1600" t="inlineStr">
        <is>
          <t>NULL</t>
        </is>
      </c>
      <c r="E1600" t="inlineStr">
        <is>
          <t>NULL</t>
        </is>
      </c>
      <c r="F1600" t="inlineStr">
        <is>
          <t>NULL</t>
        </is>
      </c>
      <c r="G1600" t="inlineStr">
        <is>
          <t>NULL</t>
        </is>
      </c>
      <c r="H1600" t="inlineStr">
        <is>
          <t>NULL</t>
        </is>
      </c>
      <c r="I1600" t="inlineStr">
        <is>
          <t>NULL</t>
        </is>
      </c>
      <c r="J1600" t="inlineStr">
        <is>
          <t>NULL</t>
        </is>
      </c>
      <c r="K1600" t="inlineStr">
        <is>
          <t>YES! 	 c_image3列源备映射正确，源端为image 2147483647位	期望更改为longblob	实际备端为longblob 4294967295位</t>
        </is>
      </c>
    </row>
    <row r="1601">
      <c r="K1601" t="inlineStr">
        <is>
          <t>~ 空表</t>
        </is>
      </c>
    </row>
    <row r="1602">
      <c r="A1602" t="inlineStr">
        <is>
          <t>info_varcharmax_dml_batch1_pk_drp2</t>
        </is>
      </c>
      <c r="K1602" t="inlineStr">
        <is>
          <t>[0;34m info_varcharmax_dml_batch1_pk_drp2 [0m源备字段数相同，源端字段：3 	备端字段3</t>
        </is>
      </c>
      <c r="W1602" t="inlineStr">
        <is>
          <t>YES 源备无差异</t>
        </is>
      </c>
      <c r="X1602">
        <f>A1602</f>
        <v/>
      </c>
    </row>
    <row r="1603">
      <c r="B1603" t="inlineStr">
        <is>
          <t>YES</t>
        </is>
      </c>
      <c r="C1603" t="inlineStr">
        <is>
          <t>NULL</t>
        </is>
      </c>
      <c r="D1603" t="inlineStr">
        <is>
          <t>NULL</t>
        </is>
      </c>
      <c r="E1603" t="inlineStr">
        <is>
          <t>NULL</t>
        </is>
      </c>
      <c r="F1603" t="inlineStr">
        <is>
          <t>NULL</t>
        </is>
      </c>
      <c r="G1603" t="inlineStr">
        <is>
          <t>NULL</t>
        </is>
      </c>
      <c r="H1603" t="inlineStr">
        <is>
          <t>NULL</t>
        </is>
      </c>
      <c r="I1603" t="inlineStr">
        <is>
          <t>YES!PK__info_var__3213E83FD6AC8B5C</t>
        </is>
      </c>
      <c r="J1603" t="inlineStr">
        <is>
          <t>YES! 主键相关索引</t>
        </is>
      </c>
      <c r="K1603" t="inlineStr">
        <is>
          <t>YES! 	 id列源备映射正确，源端为int None位	期望更改为int	实际备端为int None位</t>
        </is>
      </c>
    </row>
    <row r="1604">
      <c r="B1604" t="inlineStr">
        <is>
          <t>NULL</t>
        </is>
      </c>
      <c r="C1604" t="inlineStr">
        <is>
          <t>NULL</t>
        </is>
      </c>
      <c r="D1604" t="inlineStr">
        <is>
          <t>NULL</t>
        </is>
      </c>
      <c r="E1604" t="inlineStr">
        <is>
          <t>NULL</t>
        </is>
      </c>
      <c r="F1604" t="inlineStr">
        <is>
          <t>NULL</t>
        </is>
      </c>
      <c r="G1604" t="inlineStr">
        <is>
          <t>NULL</t>
        </is>
      </c>
      <c r="H1604" t="inlineStr">
        <is>
          <t>NULL</t>
        </is>
      </c>
      <c r="I1604" t="inlineStr">
        <is>
          <t>NULL</t>
        </is>
      </c>
      <c r="J1604" t="inlineStr">
        <is>
          <t>NULL</t>
        </is>
      </c>
      <c r="K1604" t="inlineStr">
        <is>
          <t>YES! 	 c_varchar_max列源备映射正确，源端为varchar -1位	期望更改为longtext	实际备端为longtext 4294967295位</t>
        </is>
      </c>
    </row>
    <row r="1605">
      <c r="B1605" t="inlineStr">
        <is>
          <t>NULL</t>
        </is>
      </c>
      <c r="C1605" t="inlineStr">
        <is>
          <t>NULL</t>
        </is>
      </c>
      <c r="D1605" t="inlineStr">
        <is>
          <t>NULL</t>
        </is>
      </c>
      <c r="E1605" t="inlineStr">
        <is>
          <t>NULL</t>
        </is>
      </c>
      <c r="F1605" t="inlineStr">
        <is>
          <t>NULL</t>
        </is>
      </c>
      <c r="G1605" t="inlineStr">
        <is>
          <t>NULL</t>
        </is>
      </c>
      <c r="H1605" t="inlineStr">
        <is>
          <t>NULL</t>
        </is>
      </c>
      <c r="I1605" t="inlineStr">
        <is>
          <t>NULL</t>
        </is>
      </c>
      <c r="J1605" t="inlineStr">
        <is>
          <t>NULL</t>
        </is>
      </c>
      <c r="K1605" t="inlineStr">
        <is>
          <t>YES! 	 c_nvarchar_max列源备映射正确，源端为nvarchar -1位	期望更改为longtext	实际备端为longtext 4294967295位</t>
        </is>
      </c>
    </row>
    <row r="1606">
      <c r="K1606" t="inlineStr">
        <is>
          <t>~ 空表</t>
        </is>
      </c>
    </row>
    <row r="1607">
      <c r="A1607" t="inlineStr">
        <is>
          <t>info_timestamp_dml_single_pk_drp</t>
        </is>
      </c>
      <c r="K1607" t="inlineStr">
        <is>
          <t>[0;34m info_timestamp_dml_single_pk_drp [0m源备字段数相同，源端字段：2 	备端字段2</t>
        </is>
      </c>
      <c r="W1607" t="inlineStr">
        <is>
          <t>YES 源备无差异</t>
        </is>
      </c>
      <c r="X1607">
        <f>A1607</f>
        <v/>
      </c>
    </row>
    <row r="1608">
      <c r="B1608" t="inlineStr">
        <is>
          <t>YES</t>
        </is>
      </c>
      <c r="C1608" t="inlineStr">
        <is>
          <t>NULL</t>
        </is>
      </c>
      <c r="D1608" t="inlineStr">
        <is>
          <t>NULL</t>
        </is>
      </c>
      <c r="E1608" t="inlineStr">
        <is>
          <t>NULL</t>
        </is>
      </c>
      <c r="F1608" t="inlineStr">
        <is>
          <t>NULL</t>
        </is>
      </c>
      <c r="G1608" t="inlineStr">
        <is>
          <t>NULL</t>
        </is>
      </c>
      <c r="H1608" t="inlineStr">
        <is>
          <t>NULL</t>
        </is>
      </c>
      <c r="I1608" t="inlineStr">
        <is>
          <t>YES!PK__info_tim__3213E83FED4B4672</t>
        </is>
      </c>
      <c r="J1608" t="inlineStr">
        <is>
          <t>YES! 主键相关索引</t>
        </is>
      </c>
      <c r="K1608" t="inlineStr">
        <is>
          <t>YES! 	 id列源备映射正确，源端为int None位	期望更改为int	实际备端为int None位</t>
        </is>
      </c>
    </row>
    <row r="1609">
      <c r="B1609" t="inlineStr">
        <is>
          <t>NULL</t>
        </is>
      </c>
      <c r="C1609" t="inlineStr">
        <is>
          <t>NULL</t>
        </is>
      </c>
      <c r="D1609" t="inlineStr">
        <is>
          <t>NULL</t>
        </is>
      </c>
      <c r="E1609" t="inlineStr">
        <is>
          <t>NULL</t>
        </is>
      </c>
      <c r="F1609" t="inlineStr">
        <is>
          <t>NULL</t>
        </is>
      </c>
      <c r="G1609" t="inlineStr">
        <is>
          <t>NULL</t>
        </is>
      </c>
      <c r="H1609" t="inlineStr">
        <is>
          <t>NULL</t>
        </is>
      </c>
      <c r="I1609" t="inlineStr">
        <is>
          <t>NULL</t>
        </is>
      </c>
      <c r="J1609" t="inlineStr">
        <is>
          <t>NULL</t>
        </is>
      </c>
      <c r="K1609" t="inlineStr">
        <is>
          <t>[0;32m YES! [0m 	 c_tiemstamp列源备映射正确，源端为timestamp None位	期望更改为binary(8)	实际备端为binary 8位	位数精度不存在，通过长度比较</t>
        </is>
      </c>
    </row>
    <row r="1610">
      <c r="A1610" t="inlineStr">
        <is>
          <t>info_varbinary_dml_single_pk_irp</t>
        </is>
      </c>
      <c r="K1610" t="inlineStr">
        <is>
          <t>[0;34m info_varbinary_dml_single_pk_irp [0m源备字段数相同，源端字段：4 	备端字段4</t>
        </is>
      </c>
      <c r="W1610" t="inlineStr">
        <is>
          <t>YES 源备无差异</t>
        </is>
      </c>
      <c r="X1610">
        <f>A1610</f>
        <v/>
      </c>
    </row>
    <row r="1611">
      <c r="B1611" t="inlineStr">
        <is>
          <t>YES</t>
        </is>
      </c>
      <c r="C1611" t="inlineStr">
        <is>
          <t>NULL</t>
        </is>
      </c>
      <c r="D1611" t="inlineStr">
        <is>
          <t>NULL</t>
        </is>
      </c>
      <c r="E1611" t="inlineStr">
        <is>
          <t>NULL</t>
        </is>
      </c>
      <c r="F1611" t="inlineStr">
        <is>
          <t>NULL</t>
        </is>
      </c>
      <c r="G1611" t="inlineStr">
        <is>
          <t>NULL</t>
        </is>
      </c>
      <c r="H1611" t="inlineStr">
        <is>
          <t>NULL</t>
        </is>
      </c>
      <c r="I1611" t="inlineStr">
        <is>
          <t>YES!PK__info_var__3213E83F517D3015</t>
        </is>
      </c>
      <c r="J1611" t="inlineStr">
        <is>
          <t>YES! 主键相关索引</t>
        </is>
      </c>
      <c r="K1611" t="inlineStr">
        <is>
          <t>YES! 	 id列源备映射正确，源端为int None位	期望更改为int	实际备端为int None位</t>
        </is>
      </c>
    </row>
    <row r="1612">
      <c r="B1612" t="inlineStr">
        <is>
          <t>NULL</t>
        </is>
      </c>
      <c r="C1612" t="inlineStr">
        <is>
          <t>NULL</t>
        </is>
      </c>
      <c r="D1612" t="inlineStr">
        <is>
          <t>NULL</t>
        </is>
      </c>
      <c r="E1612" t="inlineStr">
        <is>
          <t>NULL</t>
        </is>
      </c>
      <c r="F1612" t="inlineStr">
        <is>
          <t>NULL</t>
        </is>
      </c>
      <c r="G1612" t="inlineStr">
        <is>
          <t>NULL</t>
        </is>
      </c>
      <c r="H1612" t="inlineStr">
        <is>
          <t>NULL</t>
        </is>
      </c>
      <c r="I1612" t="inlineStr">
        <is>
          <t>NULL</t>
        </is>
      </c>
      <c r="J1612" t="inlineStr">
        <is>
          <t>NULL</t>
        </is>
      </c>
      <c r="K1612" t="inlineStr">
        <is>
          <t>YES! 	 c_varbinary列源备映射正确，源端为varbinary 1位	期望更改为varbinary(n)	实际备端为varbinary 1位</t>
        </is>
      </c>
    </row>
    <row r="1613">
      <c r="B1613" t="inlineStr">
        <is>
          <t>NULL</t>
        </is>
      </c>
      <c r="C1613" t="inlineStr">
        <is>
          <t>NULL</t>
        </is>
      </c>
      <c r="D1613" t="inlineStr">
        <is>
          <t>NULL</t>
        </is>
      </c>
      <c r="E1613" t="inlineStr">
        <is>
          <t>NULL</t>
        </is>
      </c>
      <c r="F1613" t="inlineStr">
        <is>
          <t>NULL</t>
        </is>
      </c>
      <c r="G1613" t="inlineStr">
        <is>
          <t>NULL</t>
        </is>
      </c>
      <c r="H1613" t="inlineStr">
        <is>
          <t>NULL</t>
        </is>
      </c>
      <c r="I1613" t="inlineStr">
        <is>
          <t>NULL</t>
        </is>
      </c>
      <c r="J1613" t="inlineStr">
        <is>
          <t>NULL</t>
        </is>
      </c>
      <c r="K1613" t="inlineStr">
        <is>
          <t>YES! 	 c_varbinary_100列源备映射正确，源端为varbinary 100位	期望更改为varbinary(n)	实际备端为varbinary 100位</t>
        </is>
      </c>
    </row>
    <row r="1614">
      <c r="B1614" t="inlineStr">
        <is>
          <t>NULL</t>
        </is>
      </c>
      <c r="C1614" t="inlineStr">
        <is>
          <t>NULL</t>
        </is>
      </c>
      <c r="D1614" t="inlineStr">
        <is>
          <t>NULL</t>
        </is>
      </c>
      <c r="E1614" t="inlineStr">
        <is>
          <t>NULL</t>
        </is>
      </c>
      <c r="F1614" t="inlineStr">
        <is>
          <t>NULL</t>
        </is>
      </c>
      <c r="G1614" t="inlineStr">
        <is>
          <t>NULL</t>
        </is>
      </c>
      <c r="H1614" t="inlineStr">
        <is>
          <t>NULL</t>
        </is>
      </c>
      <c r="I1614" t="inlineStr">
        <is>
          <t>NULL</t>
        </is>
      </c>
      <c r="J1614" t="inlineStr">
        <is>
          <t>NULL</t>
        </is>
      </c>
      <c r="K1614" t="inlineStr">
        <is>
          <t>YES! 	 c_varbinary_8000列源备映射正确，源端为varbinary 8000位	期望更改为longblob	实际备端为longblob 4294967295位</t>
        </is>
      </c>
    </row>
    <row r="1615">
      <c r="A1615" t="inlineStr">
        <is>
          <t>info_varcharmax_dml_batch1_pk</t>
        </is>
      </c>
      <c r="K1615" t="inlineStr">
        <is>
          <t>[0;34m info_varcharmax_dml_batch1_pk [0m源备字段数相同，源端字段：3 	备端字段3</t>
        </is>
      </c>
      <c r="W1615" t="inlineStr">
        <is>
          <t>YES 源备无差异</t>
        </is>
      </c>
      <c r="X1615">
        <f>A1615</f>
        <v/>
      </c>
    </row>
    <row r="1616">
      <c r="B1616" t="inlineStr">
        <is>
          <t>YES</t>
        </is>
      </c>
      <c r="C1616" t="inlineStr">
        <is>
          <t>NULL</t>
        </is>
      </c>
      <c r="D1616" t="inlineStr">
        <is>
          <t>NULL</t>
        </is>
      </c>
      <c r="E1616" t="inlineStr">
        <is>
          <t>NULL</t>
        </is>
      </c>
      <c r="F1616" t="inlineStr">
        <is>
          <t>NULL</t>
        </is>
      </c>
      <c r="G1616" t="inlineStr">
        <is>
          <t>NULL</t>
        </is>
      </c>
      <c r="H1616" t="inlineStr">
        <is>
          <t>NULL</t>
        </is>
      </c>
      <c r="I1616" t="inlineStr">
        <is>
          <t>YES!PK__info_var__3213E83F1E5F20A4</t>
        </is>
      </c>
      <c r="J1616" t="inlineStr">
        <is>
          <t>YES! 主键相关索引</t>
        </is>
      </c>
      <c r="K1616" t="inlineStr">
        <is>
          <t>YES! 	 id列源备映射正确，源端为int None位	期望更改为int	实际备端为int None位</t>
        </is>
      </c>
    </row>
    <row r="1617">
      <c r="B1617" t="inlineStr">
        <is>
          <t>NULL</t>
        </is>
      </c>
      <c r="C1617" t="inlineStr">
        <is>
          <t>NULL</t>
        </is>
      </c>
      <c r="D1617" t="inlineStr">
        <is>
          <t>NULL</t>
        </is>
      </c>
      <c r="E1617" t="inlineStr">
        <is>
          <t>NULL</t>
        </is>
      </c>
      <c r="F1617" t="inlineStr">
        <is>
          <t>NULL</t>
        </is>
      </c>
      <c r="G1617" t="inlineStr">
        <is>
          <t>NULL</t>
        </is>
      </c>
      <c r="H1617" t="inlineStr">
        <is>
          <t>NULL</t>
        </is>
      </c>
      <c r="I1617" t="inlineStr">
        <is>
          <t>NULL</t>
        </is>
      </c>
      <c r="J1617" t="inlineStr">
        <is>
          <t>NULL</t>
        </is>
      </c>
      <c r="K1617" t="inlineStr">
        <is>
          <t>YES! 	 c_varchar_max列源备映射正确，源端为varchar -1位	期望更改为longtext	实际备端为longtext 4294967295位</t>
        </is>
      </c>
    </row>
    <row r="1618">
      <c r="B1618" t="inlineStr">
        <is>
          <t>NULL</t>
        </is>
      </c>
      <c r="C1618" t="inlineStr">
        <is>
          <t>NULL</t>
        </is>
      </c>
      <c r="D1618" t="inlineStr">
        <is>
          <t>NULL</t>
        </is>
      </c>
      <c r="E1618" t="inlineStr">
        <is>
          <t>NULL</t>
        </is>
      </c>
      <c r="F1618" t="inlineStr">
        <is>
          <t>NULL</t>
        </is>
      </c>
      <c r="G1618" t="inlineStr">
        <is>
          <t>NULL</t>
        </is>
      </c>
      <c r="H1618" t="inlineStr">
        <is>
          <t>NULL</t>
        </is>
      </c>
      <c r="I1618" t="inlineStr">
        <is>
          <t>NULL</t>
        </is>
      </c>
      <c r="J1618" t="inlineStr">
        <is>
          <t>NULL</t>
        </is>
      </c>
      <c r="K1618" t="inlineStr">
        <is>
          <t>YES! 	 c_nvarchar_max列源备映射正确，源端为nvarchar -1位	期望更改为longtext	实际备端为longtext 4294967295位</t>
        </is>
      </c>
    </row>
    <row r="1619">
      <c r="K1619" t="inlineStr">
        <is>
          <t>~ 空表</t>
        </is>
      </c>
    </row>
    <row r="1620">
      <c r="A1620" t="inlineStr">
        <is>
          <t>info_datetimeoffset_dml_single_nopk</t>
        </is>
      </c>
      <c r="K1620" t="inlineStr">
        <is>
          <t>[0;34m info_datetimeoffset_dml_single_nopk [0m源备字段数相同，源端字段：9 	备端字段9</t>
        </is>
      </c>
      <c r="W1620" t="inlineStr">
        <is>
          <t>YES 源备无差异</t>
        </is>
      </c>
      <c r="X1620">
        <f>A1620</f>
        <v/>
      </c>
    </row>
    <row r="1621">
      <c r="B1621" t="inlineStr">
        <is>
          <t>NULL</t>
        </is>
      </c>
      <c r="C1621" t="inlineStr">
        <is>
          <t>NULL</t>
        </is>
      </c>
      <c r="D1621" t="inlineStr">
        <is>
          <t>NULL</t>
        </is>
      </c>
      <c r="E1621" t="inlineStr">
        <is>
          <t>NULL</t>
        </is>
      </c>
      <c r="F1621" t="inlineStr">
        <is>
          <t>NULL</t>
        </is>
      </c>
      <c r="G1621" t="inlineStr">
        <is>
          <t>NULL</t>
        </is>
      </c>
      <c r="H1621" t="inlineStr">
        <is>
          <t>NULL</t>
        </is>
      </c>
      <c r="I1621" t="inlineStr">
        <is>
          <t>NULL</t>
        </is>
      </c>
      <c r="J1621" t="inlineStr">
        <is>
          <t>NULL</t>
        </is>
      </c>
      <c r="K1621" t="inlineStr">
        <is>
          <t>YES! 	 id列源备映射正确，源端为int None位	期望更改为int	实际备端为int None位</t>
        </is>
      </c>
    </row>
    <row r="1622">
      <c r="B1622" t="inlineStr">
        <is>
          <t>NULL</t>
        </is>
      </c>
      <c r="C1622" t="inlineStr">
        <is>
          <t>NULL</t>
        </is>
      </c>
      <c r="D1622" t="inlineStr">
        <is>
          <t>NULL</t>
        </is>
      </c>
      <c r="E1622" t="inlineStr">
        <is>
          <t>NULL</t>
        </is>
      </c>
      <c r="F1622" t="inlineStr">
        <is>
          <t>NULL</t>
        </is>
      </c>
      <c r="G1622" t="inlineStr">
        <is>
          <t>NULL</t>
        </is>
      </c>
      <c r="H1622" t="inlineStr">
        <is>
          <t>NULL</t>
        </is>
      </c>
      <c r="I1622" t="inlineStr">
        <is>
          <t>NULL</t>
        </is>
      </c>
      <c r="J1622" t="inlineStr">
        <is>
          <t>NULL</t>
        </is>
      </c>
      <c r="K1622" t="inlineStr">
        <is>
          <t>[0;32m YES! [0m 	 c_dtoffset_0列源备映射正确，源端为datetimeoffset None位	期望更改为varchar(34)	实际备端为varchar 136位	位数精度不存在，通过长度比较</t>
        </is>
      </c>
    </row>
    <row r="1623">
      <c r="B1623" t="inlineStr">
        <is>
          <t>NULL</t>
        </is>
      </c>
      <c r="C1623" t="inlineStr">
        <is>
          <t>NULL</t>
        </is>
      </c>
      <c r="D1623" t="inlineStr">
        <is>
          <t>NULL</t>
        </is>
      </c>
      <c r="E1623" t="inlineStr">
        <is>
          <t>NULL</t>
        </is>
      </c>
      <c r="F1623" t="inlineStr">
        <is>
          <t>NULL</t>
        </is>
      </c>
      <c r="G1623" t="inlineStr">
        <is>
          <t>NULL</t>
        </is>
      </c>
      <c r="H1623" t="inlineStr">
        <is>
          <t>NULL</t>
        </is>
      </c>
      <c r="I1623" t="inlineStr">
        <is>
          <t>NULL</t>
        </is>
      </c>
      <c r="J1623" t="inlineStr">
        <is>
          <t>NULL</t>
        </is>
      </c>
      <c r="K1623" t="inlineStr">
        <is>
          <t>[0;32m YES! [0m 	 c_dtoffset_1列源备映射正确，源端为datetimeoffset None位	期望更改为varchar(34)	实际备端为varchar 136位	位数精度不存在，通过长度比较</t>
        </is>
      </c>
    </row>
    <row r="1624">
      <c r="B1624" t="inlineStr">
        <is>
          <t>NULL</t>
        </is>
      </c>
      <c r="C1624" t="inlineStr">
        <is>
          <t>NULL</t>
        </is>
      </c>
      <c r="D1624" t="inlineStr">
        <is>
          <t>NULL</t>
        </is>
      </c>
      <c r="E1624" t="inlineStr">
        <is>
          <t>NULL</t>
        </is>
      </c>
      <c r="F1624" t="inlineStr">
        <is>
          <t>NULL</t>
        </is>
      </c>
      <c r="G1624" t="inlineStr">
        <is>
          <t>NULL</t>
        </is>
      </c>
      <c r="H1624" t="inlineStr">
        <is>
          <t>NULL</t>
        </is>
      </c>
      <c r="I1624" t="inlineStr">
        <is>
          <t>NULL</t>
        </is>
      </c>
      <c r="J1624" t="inlineStr">
        <is>
          <t>NULL</t>
        </is>
      </c>
      <c r="K1624" t="inlineStr">
        <is>
          <t>[0;32m YES! [0m 	 c_dtoffset_2列源备映射正确，源端为datetimeoffset None位	期望更改为varchar(34)	实际备端为varchar 136位	位数精度不存在，通过长度比较</t>
        </is>
      </c>
    </row>
    <row r="1625">
      <c r="B1625" t="inlineStr">
        <is>
          <t>NULL</t>
        </is>
      </c>
      <c r="C1625" t="inlineStr">
        <is>
          <t>NULL</t>
        </is>
      </c>
      <c r="D1625" t="inlineStr">
        <is>
          <t>NULL</t>
        </is>
      </c>
      <c r="E1625" t="inlineStr">
        <is>
          <t>NULL</t>
        </is>
      </c>
      <c r="F1625" t="inlineStr">
        <is>
          <t>NULL</t>
        </is>
      </c>
      <c r="G1625" t="inlineStr">
        <is>
          <t>NULL</t>
        </is>
      </c>
      <c r="H1625" t="inlineStr">
        <is>
          <t>NULL</t>
        </is>
      </c>
      <c r="I1625" t="inlineStr">
        <is>
          <t>NULL</t>
        </is>
      </c>
      <c r="J1625" t="inlineStr">
        <is>
          <t>NULL</t>
        </is>
      </c>
      <c r="K1625" t="inlineStr">
        <is>
          <t>[0;32m YES! [0m 	 c_dtoffset_3列源备映射正确，源端为datetimeoffset None位	期望更改为varchar(34)	实际备端为varchar 136位	位数精度不存在，通过长度比较</t>
        </is>
      </c>
    </row>
    <row r="1626">
      <c r="B1626" t="inlineStr">
        <is>
          <t>NULL</t>
        </is>
      </c>
      <c r="C1626" t="inlineStr">
        <is>
          <t>NULL</t>
        </is>
      </c>
      <c r="D1626" t="inlineStr">
        <is>
          <t>NULL</t>
        </is>
      </c>
      <c r="E1626" t="inlineStr">
        <is>
          <t>NULL</t>
        </is>
      </c>
      <c r="F1626" t="inlineStr">
        <is>
          <t>NULL</t>
        </is>
      </c>
      <c r="G1626" t="inlineStr">
        <is>
          <t>NULL</t>
        </is>
      </c>
      <c r="H1626" t="inlineStr">
        <is>
          <t>NULL</t>
        </is>
      </c>
      <c r="I1626" t="inlineStr">
        <is>
          <t>NULL</t>
        </is>
      </c>
      <c r="J1626" t="inlineStr">
        <is>
          <t>NULL</t>
        </is>
      </c>
      <c r="K1626" t="inlineStr">
        <is>
          <t>[0;32m YES! [0m 	 c_dtoffset_4列源备映射正确，源端为datetimeoffset None位	期望更改为varchar(34)	实际备端为varchar 136位	位数精度不存在，通过长度比较</t>
        </is>
      </c>
    </row>
    <row r="1627">
      <c r="B1627" t="inlineStr">
        <is>
          <t>NULL</t>
        </is>
      </c>
      <c r="C1627" t="inlineStr">
        <is>
          <t>NULL</t>
        </is>
      </c>
      <c r="D1627" t="inlineStr">
        <is>
          <t>NULL</t>
        </is>
      </c>
      <c r="E1627" t="inlineStr">
        <is>
          <t>NULL</t>
        </is>
      </c>
      <c r="F1627" t="inlineStr">
        <is>
          <t>NULL</t>
        </is>
      </c>
      <c r="G1627" t="inlineStr">
        <is>
          <t>NULL</t>
        </is>
      </c>
      <c r="H1627" t="inlineStr">
        <is>
          <t>NULL</t>
        </is>
      </c>
      <c r="I1627" t="inlineStr">
        <is>
          <t>NULL</t>
        </is>
      </c>
      <c r="J1627" t="inlineStr">
        <is>
          <t>NULL</t>
        </is>
      </c>
      <c r="K1627" t="inlineStr">
        <is>
          <t>[0;32m YES! [0m 	 c_dtoffset_5列源备映射正确，源端为datetimeoffset None位	期望更改为varchar(34)	实际备端为varchar 136位	位数精度不存在，通过长度比较</t>
        </is>
      </c>
    </row>
    <row r="1628">
      <c r="B1628" t="inlineStr">
        <is>
          <t>NULL</t>
        </is>
      </c>
      <c r="C1628" t="inlineStr">
        <is>
          <t>NULL</t>
        </is>
      </c>
      <c r="D1628" t="inlineStr">
        <is>
          <t>NULL</t>
        </is>
      </c>
      <c r="E1628" t="inlineStr">
        <is>
          <t>NULL</t>
        </is>
      </c>
      <c r="F1628" t="inlineStr">
        <is>
          <t>NULL</t>
        </is>
      </c>
      <c r="G1628" t="inlineStr">
        <is>
          <t>NULL</t>
        </is>
      </c>
      <c r="H1628" t="inlineStr">
        <is>
          <t>NULL</t>
        </is>
      </c>
      <c r="I1628" t="inlineStr">
        <is>
          <t>NULL</t>
        </is>
      </c>
      <c r="J1628" t="inlineStr">
        <is>
          <t>NULL</t>
        </is>
      </c>
      <c r="K1628" t="inlineStr">
        <is>
          <t>[0;32m YES! [0m 	 c_dtoffset_6列源备映射正确，源端为datetimeoffset None位	期望更改为varchar(34)	实际备端为varchar 136位	位数精度不存在，通过长度比较</t>
        </is>
      </c>
    </row>
    <row r="1629">
      <c r="B1629" t="inlineStr">
        <is>
          <t>NULL</t>
        </is>
      </c>
      <c r="C1629" t="inlineStr">
        <is>
          <t>NO!源None备NUL</t>
        </is>
      </c>
      <c r="D1629" t="inlineStr">
        <is>
          <t>NULL</t>
        </is>
      </c>
      <c r="E1629" t="inlineStr">
        <is>
          <t>NULL</t>
        </is>
      </c>
      <c r="F1629" t="inlineStr">
        <is>
          <t>NULL</t>
        </is>
      </c>
      <c r="G1629" t="inlineStr">
        <is>
          <t>NULL</t>
        </is>
      </c>
      <c r="H1629" t="inlineStr">
        <is>
          <t>NULL</t>
        </is>
      </c>
      <c r="I1629" t="inlineStr">
        <is>
          <t>NULL</t>
        </is>
      </c>
      <c r="J1629" t="inlineStr">
        <is>
          <t>NULL</t>
        </is>
      </c>
      <c r="K1629" t="inlineStr">
        <is>
          <t>[0;32m YES! [0m 	 c_dtoffset列源备映射正确，源端为datetimeoffset None位	期望更改为varchar(34)	实际备端为varchar 136位	位数精度不存在，通过长度比较</t>
        </is>
      </c>
    </row>
    <row r="1630">
      <c r="A1630" t="inlineStr">
        <is>
          <t>info_varbinary_dml_single_pk_urp</t>
        </is>
      </c>
      <c r="K1630" t="inlineStr">
        <is>
          <t>[0;34m info_varbinary_dml_single_pk_urp [0m源备字段数相同，源端字段：4 	备端字段4</t>
        </is>
      </c>
      <c r="W1630" t="inlineStr">
        <is>
          <t>YES 源备无差异</t>
        </is>
      </c>
      <c r="X1630">
        <f>A1630</f>
        <v/>
      </c>
    </row>
    <row r="1631">
      <c r="B1631" t="inlineStr">
        <is>
          <t>YES</t>
        </is>
      </c>
      <c r="C1631" t="inlineStr">
        <is>
          <t>NULL</t>
        </is>
      </c>
      <c r="D1631" t="inlineStr">
        <is>
          <t>NULL</t>
        </is>
      </c>
      <c r="E1631" t="inlineStr">
        <is>
          <t>NULL</t>
        </is>
      </c>
      <c r="F1631" t="inlineStr">
        <is>
          <t>NULL</t>
        </is>
      </c>
      <c r="G1631" t="inlineStr">
        <is>
          <t>NULL</t>
        </is>
      </c>
      <c r="H1631" t="inlineStr">
        <is>
          <t>NULL</t>
        </is>
      </c>
      <c r="I1631" t="inlineStr">
        <is>
          <t>YES!PK__info_var__3213E83FC68DCD0E</t>
        </is>
      </c>
      <c r="J1631" t="inlineStr">
        <is>
          <t>YES! 主键相关索引</t>
        </is>
      </c>
      <c r="K1631" t="inlineStr">
        <is>
          <t>YES! 	 id列源备映射正确，源端为int None位	期望更改为int	实际备端为int None位</t>
        </is>
      </c>
    </row>
    <row r="1632">
      <c r="B1632" t="inlineStr">
        <is>
          <t>NULL</t>
        </is>
      </c>
      <c r="C1632" t="inlineStr">
        <is>
          <t>NULL</t>
        </is>
      </c>
      <c r="D1632" t="inlineStr">
        <is>
          <t>NULL</t>
        </is>
      </c>
      <c r="E1632" t="inlineStr">
        <is>
          <t>NULL</t>
        </is>
      </c>
      <c r="F1632" t="inlineStr">
        <is>
          <t>NULL</t>
        </is>
      </c>
      <c r="G1632" t="inlineStr">
        <is>
          <t>NULL</t>
        </is>
      </c>
      <c r="H1632" t="inlineStr">
        <is>
          <t>NULL</t>
        </is>
      </c>
      <c r="I1632" t="inlineStr">
        <is>
          <t>NULL</t>
        </is>
      </c>
      <c r="J1632" t="inlineStr">
        <is>
          <t>NULL</t>
        </is>
      </c>
      <c r="K1632" t="inlineStr">
        <is>
          <t>YES! 	 c_varbinary列源备映射正确，源端为varbinary 1位	期望更改为varbinary(n)	实际备端为varbinary 1位</t>
        </is>
      </c>
    </row>
    <row r="1633">
      <c r="B1633" t="inlineStr">
        <is>
          <t>NULL</t>
        </is>
      </c>
      <c r="C1633" t="inlineStr">
        <is>
          <t>NULL</t>
        </is>
      </c>
      <c r="D1633" t="inlineStr">
        <is>
          <t>NULL</t>
        </is>
      </c>
      <c r="E1633" t="inlineStr">
        <is>
          <t>NULL</t>
        </is>
      </c>
      <c r="F1633" t="inlineStr">
        <is>
          <t>NULL</t>
        </is>
      </c>
      <c r="G1633" t="inlineStr">
        <is>
          <t>NULL</t>
        </is>
      </c>
      <c r="H1633" t="inlineStr">
        <is>
          <t>NULL</t>
        </is>
      </c>
      <c r="I1633" t="inlineStr">
        <is>
          <t>NULL</t>
        </is>
      </c>
      <c r="J1633" t="inlineStr">
        <is>
          <t>NULL</t>
        </is>
      </c>
      <c r="K1633" t="inlineStr">
        <is>
          <t>YES! 	 c_varbinary_100列源备映射正确，源端为varbinary 100位	期望更改为varbinary(n)	实际备端为varbinary 100位</t>
        </is>
      </c>
    </row>
    <row r="1634">
      <c r="B1634" t="inlineStr">
        <is>
          <t>NULL</t>
        </is>
      </c>
      <c r="C1634" t="inlineStr">
        <is>
          <t>NULL</t>
        </is>
      </c>
      <c r="D1634" t="inlineStr">
        <is>
          <t>NULL</t>
        </is>
      </c>
      <c r="E1634" t="inlineStr">
        <is>
          <t>NULL</t>
        </is>
      </c>
      <c r="F1634" t="inlineStr">
        <is>
          <t>NULL</t>
        </is>
      </c>
      <c r="G1634" t="inlineStr">
        <is>
          <t>NULL</t>
        </is>
      </c>
      <c r="H1634" t="inlineStr">
        <is>
          <t>NULL</t>
        </is>
      </c>
      <c r="I1634" t="inlineStr">
        <is>
          <t>NULL</t>
        </is>
      </c>
      <c r="J1634" t="inlineStr">
        <is>
          <t>NULL</t>
        </is>
      </c>
      <c r="K1634" t="inlineStr">
        <is>
          <t>YES! 	 c_varbinary_8000列源备映射正确，源端为varbinary 8000位	期望更改为longblob	实际备端为longblob 4294967295位</t>
        </is>
      </c>
    </row>
    <row r="1635">
      <c r="A1635" t="inlineStr">
        <is>
          <t>info_uniqueidentifier_dml_single_pk_irp</t>
        </is>
      </c>
      <c r="K1635" t="inlineStr">
        <is>
          <t>[0;34m info_uniqueidentifier_dml_single_pk_irp [0m源备字段数相同，源端字段：2 	备端字段2</t>
        </is>
      </c>
      <c r="W1635" t="inlineStr">
        <is>
          <t>YES 源备无差异</t>
        </is>
      </c>
      <c r="X1635">
        <f>A1635</f>
        <v/>
      </c>
    </row>
    <row r="1636">
      <c r="B1636" t="inlineStr">
        <is>
          <t>YES</t>
        </is>
      </c>
      <c r="C1636" t="inlineStr">
        <is>
          <t>NULL</t>
        </is>
      </c>
      <c r="D1636" t="inlineStr">
        <is>
          <t>NULL</t>
        </is>
      </c>
      <c r="E1636" t="inlineStr">
        <is>
          <t>NULL</t>
        </is>
      </c>
      <c r="F1636" t="inlineStr">
        <is>
          <t>NULL</t>
        </is>
      </c>
      <c r="G1636" t="inlineStr">
        <is>
          <t>NULL</t>
        </is>
      </c>
      <c r="H1636" t="inlineStr">
        <is>
          <t>NULL</t>
        </is>
      </c>
      <c r="I1636" t="inlineStr">
        <is>
          <t>YES!PK__info_uni__3213E83F0A588E05</t>
        </is>
      </c>
      <c r="J1636" t="inlineStr">
        <is>
          <t>YES! 主键相关索引</t>
        </is>
      </c>
      <c r="K1636" t="inlineStr">
        <is>
          <t>YES! 	 id列源备映射正确，源端为int None位	期望更改为int	实际备端为int None位</t>
        </is>
      </c>
    </row>
    <row r="1637">
      <c r="B1637" t="inlineStr">
        <is>
          <t>NULL</t>
        </is>
      </c>
      <c r="C1637" t="inlineStr">
        <is>
          <t>NULL</t>
        </is>
      </c>
      <c r="D1637" t="inlineStr">
        <is>
          <t>NULL</t>
        </is>
      </c>
      <c r="E1637" t="inlineStr">
        <is>
          <t>NULL</t>
        </is>
      </c>
      <c r="F1637" t="inlineStr">
        <is>
          <t>NULL</t>
        </is>
      </c>
      <c r="G1637" t="inlineStr">
        <is>
          <t>NULL</t>
        </is>
      </c>
      <c r="H1637" t="inlineStr">
        <is>
          <t>NULL</t>
        </is>
      </c>
      <c r="I1637" t="inlineStr">
        <is>
          <t>NULL</t>
        </is>
      </c>
      <c r="J1637" t="inlineStr">
        <is>
          <t>NULL</t>
        </is>
      </c>
      <c r="K1637" t="inlineStr">
        <is>
          <t>[0;32m YES! [0m 	 c_uniqueidentifier列源备映射正确，源端为uniqueidentifier None位	期望更改为VARCHAR(100)	实际备端为varchar 400位	位数精度不存在，通过长度比较</t>
        </is>
      </c>
    </row>
    <row r="1638">
      <c r="A1638" t="inlineStr">
        <is>
          <t>info_int_dml_batch1_pk_irp1</t>
        </is>
      </c>
      <c r="K1638" t="inlineStr">
        <is>
          <t>[0;34m info_int_dml_batch1_pk_irp1 [0m源备字段数相同，源端字段：20 	备端字段20</t>
        </is>
      </c>
      <c r="W1638" s="15">
        <f>HYPERLINK("#2026052610mysql0!BR2","NO 源备存在差异，共4个")</f>
        <v/>
      </c>
      <c r="X1638">
        <f>A1638</f>
        <v/>
      </c>
    </row>
    <row r="1639">
      <c r="B1639" t="inlineStr">
        <is>
          <t>YES</t>
        </is>
      </c>
      <c r="C1639" t="inlineStr">
        <is>
          <t>NULL</t>
        </is>
      </c>
      <c r="D1639" t="inlineStr">
        <is>
          <t>NULL</t>
        </is>
      </c>
      <c r="E1639" t="inlineStr">
        <is>
          <t>NULL</t>
        </is>
      </c>
      <c r="F1639" t="inlineStr">
        <is>
          <t>NULL</t>
        </is>
      </c>
      <c r="G1639" t="inlineStr">
        <is>
          <t>NULL</t>
        </is>
      </c>
      <c r="H1639" t="inlineStr">
        <is>
          <t>NULL</t>
        </is>
      </c>
      <c r="I1639" t="inlineStr">
        <is>
          <t>YES!PK__info_int__3213E83FE5FDAB4C</t>
        </is>
      </c>
      <c r="J1639" t="inlineStr">
        <is>
          <t>YES! 主键相关索引</t>
        </is>
      </c>
      <c r="K1639" t="inlineStr">
        <is>
          <t>YES! 	 id列源备映射正确，源端为int None位	期望更改为int	实际备端为int None位</t>
        </is>
      </c>
    </row>
    <row r="1640">
      <c r="B1640" t="inlineStr">
        <is>
          <t>NULL</t>
        </is>
      </c>
      <c r="C1640" t="inlineStr">
        <is>
          <t>NULL</t>
        </is>
      </c>
      <c r="D1640" t="inlineStr">
        <is>
          <t>NULL</t>
        </is>
      </c>
      <c r="E1640" t="inlineStr">
        <is>
          <t>NULL</t>
        </is>
      </c>
      <c r="F1640" t="inlineStr">
        <is>
          <t>NULL</t>
        </is>
      </c>
      <c r="G1640" t="inlineStr">
        <is>
          <t>NULL</t>
        </is>
      </c>
      <c r="H1640" t="inlineStr">
        <is>
          <t>NULL</t>
        </is>
      </c>
      <c r="I1640" t="inlineStr">
        <is>
          <t>NULL</t>
        </is>
      </c>
      <c r="J1640" t="inlineStr">
        <is>
          <t>NULL</t>
        </is>
      </c>
      <c r="K1640" t="inlineStr">
        <is>
          <t>YES! 	 c_tinyint列源备映射正确，源端为tinyint None位	期望更改为tinyint	实际备端为tinyint None位</t>
        </is>
      </c>
    </row>
    <row r="1641">
      <c r="B1641" t="inlineStr">
        <is>
          <t>NULL</t>
        </is>
      </c>
      <c r="C1641" t="inlineStr">
        <is>
          <t>NULL</t>
        </is>
      </c>
      <c r="D1641" t="inlineStr">
        <is>
          <t>NULL</t>
        </is>
      </c>
      <c r="E1641" t="inlineStr">
        <is>
          <t>NULL</t>
        </is>
      </c>
      <c r="F1641" t="inlineStr">
        <is>
          <t>NULL</t>
        </is>
      </c>
      <c r="G1641" t="inlineStr">
        <is>
          <t>NULL</t>
        </is>
      </c>
      <c r="H1641" t="inlineStr">
        <is>
          <t>NULL</t>
        </is>
      </c>
      <c r="I1641" t="inlineStr">
        <is>
          <t>NULL</t>
        </is>
      </c>
      <c r="J1641" t="inlineStr">
        <is>
          <t>NULL</t>
        </is>
      </c>
      <c r="K1641" t="inlineStr">
        <is>
          <t>YES! 	 c_smallint列源备映射正确，源端为smallint None位	期望更改为smallint	实际备端为smallint None位</t>
        </is>
      </c>
    </row>
    <row r="1642">
      <c r="B1642" t="inlineStr">
        <is>
          <t>NULL</t>
        </is>
      </c>
      <c r="C1642" t="inlineStr">
        <is>
          <t>NULL</t>
        </is>
      </c>
      <c r="D1642" t="inlineStr">
        <is>
          <t>NULL</t>
        </is>
      </c>
      <c r="E1642" t="inlineStr">
        <is>
          <t>NULL</t>
        </is>
      </c>
      <c r="F1642" t="inlineStr">
        <is>
          <t>NULL</t>
        </is>
      </c>
      <c r="G1642" t="inlineStr">
        <is>
          <t>NULL</t>
        </is>
      </c>
      <c r="H1642" t="inlineStr">
        <is>
          <t>NULL</t>
        </is>
      </c>
      <c r="I1642" t="inlineStr">
        <is>
          <t>NULL</t>
        </is>
      </c>
      <c r="J1642" t="inlineStr">
        <is>
          <t>NULL</t>
        </is>
      </c>
      <c r="K1642" t="inlineStr">
        <is>
          <t>YES! 	 c_int列源备映射正确，源端为int None位	期望更改为int	实际备端为int None位</t>
        </is>
      </c>
    </row>
    <row r="1643">
      <c r="B1643" t="inlineStr">
        <is>
          <t>NULL</t>
        </is>
      </c>
      <c r="C1643" t="inlineStr">
        <is>
          <t>NULL</t>
        </is>
      </c>
      <c r="D1643" t="inlineStr">
        <is>
          <t>NULL</t>
        </is>
      </c>
      <c r="E1643" t="inlineStr">
        <is>
          <t>NULL</t>
        </is>
      </c>
      <c r="F1643" t="inlineStr">
        <is>
          <t>NULL</t>
        </is>
      </c>
      <c r="G1643" t="inlineStr">
        <is>
          <t>NULL</t>
        </is>
      </c>
      <c r="H1643" t="inlineStr">
        <is>
          <t>NULL</t>
        </is>
      </c>
      <c r="I1643" t="inlineStr">
        <is>
          <t>NULL</t>
        </is>
      </c>
      <c r="J1643" t="inlineStr">
        <is>
          <t>NULL</t>
        </is>
      </c>
      <c r="K1643" t="inlineStr">
        <is>
          <t>YES! 	 c_bigint列源备映射正确，源端为bigint None位	期望更改为bigint	实际备端为bigint None位</t>
        </is>
      </c>
    </row>
    <row r="1644">
      <c r="B1644" t="inlineStr">
        <is>
          <t>NULL</t>
        </is>
      </c>
      <c r="C1644" t="inlineStr">
        <is>
          <t>NULL</t>
        </is>
      </c>
      <c r="D1644" t="inlineStr">
        <is>
          <t>NULL</t>
        </is>
      </c>
      <c r="E1644" t="inlineStr">
        <is>
          <t>NULL</t>
        </is>
      </c>
      <c r="F1644" t="inlineStr">
        <is>
          <t>NULL</t>
        </is>
      </c>
      <c r="G1644" t="inlineStr">
        <is>
          <t>NULL</t>
        </is>
      </c>
      <c r="H1644" t="inlineStr">
        <is>
          <t>NULL</t>
        </is>
      </c>
      <c r="I1644" t="inlineStr">
        <is>
          <t>NULL</t>
        </is>
      </c>
      <c r="J1644" t="inlineStr">
        <is>
          <t>NULL</t>
        </is>
      </c>
      <c r="K1644" t="inlineStr">
        <is>
          <t>YES! 	 c_decimal列源备映射正确，源端为decimal None位	期望更改为decimal(p,s)	实际备端为decimal None位</t>
        </is>
      </c>
    </row>
    <row r="1645">
      <c r="B1645" t="inlineStr">
        <is>
          <t>NULL</t>
        </is>
      </c>
      <c r="C1645" t="inlineStr">
        <is>
          <t>NULL</t>
        </is>
      </c>
      <c r="D1645" t="inlineStr">
        <is>
          <t>NULL</t>
        </is>
      </c>
      <c r="E1645" t="inlineStr">
        <is>
          <t>NULL</t>
        </is>
      </c>
      <c r="F1645" t="inlineStr">
        <is>
          <t>NULL</t>
        </is>
      </c>
      <c r="G1645" t="inlineStr">
        <is>
          <t>NULL</t>
        </is>
      </c>
      <c r="H1645" t="inlineStr">
        <is>
          <t>NULL</t>
        </is>
      </c>
      <c r="I1645" t="inlineStr">
        <is>
          <t>NULL</t>
        </is>
      </c>
      <c r="J1645" t="inlineStr">
        <is>
          <t>NULL</t>
        </is>
      </c>
      <c r="K1645" t="inlineStr">
        <is>
          <t>YES! 	 c_decimal38列源备映射正确，源端为decimal None位	期望更改为decimal(p,s)	实际备端为decimal None位</t>
        </is>
      </c>
    </row>
    <row r="1646">
      <c r="B1646" t="inlineStr">
        <is>
          <t>NULL</t>
        </is>
      </c>
      <c r="C1646" t="inlineStr">
        <is>
          <t>NULL</t>
        </is>
      </c>
      <c r="D1646" t="inlineStr">
        <is>
          <t>NULL</t>
        </is>
      </c>
      <c r="E1646" t="inlineStr">
        <is>
          <t>NULL</t>
        </is>
      </c>
      <c r="F1646" t="inlineStr">
        <is>
          <t>NULL</t>
        </is>
      </c>
      <c r="G1646" t="inlineStr">
        <is>
          <t>NULL</t>
        </is>
      </c>
      <c r="H1646" t="inlineStr">
        <is>
          <t>NULL</t>
        </is>
      </c>
      <c r="I1646" t="inlineStr">
        <is>
          <t>NULL</t>
        </is>
      </c>
      <c r="J1646" t="inlineStr">
        <is>
          <t>NULL</t>
        </is>
      </c>
      <c r="K1646" t="inlineStr">
        <is>
          <t xml:space="preserve"> NO!  	 c_decimal38_38列源备映射错误，源端为decimal None位	期望更改为decimal(p,s)	实际备端为varchar 168位</t>
        </is>
      </c>
    </row>
    <row r="1647">
      <c r="B1647" t="inlineStr">
        <is>
          <t>NULL</t>
        </is>
      </c>
      <c r="C1647" t="inlineStr">
        <is>
          <t>NULL</t>
        </is>
      </c>
      <c r="D1647" t="inlineStr">
        <is>
          <t>NULL</t>
        </is>
      </c>
      <c r="E1647" t="inlineStr">
        <is>
          <t>NULL</t>
        </is>
      </c>
      <c r="F1647" t="inlineStr">
        <is>
          <t>NULL</t>
        </is>
      </c>
      <c r="G1647" t="inlineStr">
        <is>
          <t>NULL</t>
        </is>
      </c>
      <c r="H1647" t="inlineStr">
        <is>
          <t>NULL</t>
        </is>
      </c>
      <c r="I1647" t="inlineStr">
        <is>
          <t>NULL</t>
        </is>
      </c>
      <c r="J1647" t="inlineStr">
        <is>
          <t>NULL</t>
        </is>
      </c>
      <c r="K1647" t="inlineStr">
        <is>
          <t>YES! 	 c_decimal38_10列源备映射正确，源端为decimal None位	期望更改为decimal(p,s)	实际备端为decimal None位</t>
        </is>
      </c>
    </row>
    <row r="1648">
      <c r="B1648" t="inlineStr">
        <is>
          <t>NULL</t>
        </is>
      </c>
      <c r="C1648" t="inlineStr">
        <is>
          <t>NULL</t>
        </is>
      </c>
      <c r="D1648" t="inlineStr">
        <is>
          <t>NULL</t>
        </is>
      </c>
      <c r="E1648" t="inlineStr">
        <is>
          <t>NULL</t>
        </is>
      </c>
      <c r="F1648" t="inlineStr">
        <is>
          <t>NULL</t>
        </is>
      </c>
      <c r="G1648" t="inlineStr">
        <is>
          <t>NULL</t>
        </is>
      </c>
      <c r="H1648" t="inlineStr">
        <is>
          <t>NULL</t>
        </is>
      </c>
      <c r="I1648" t="inlineStr">
        <is>
          <t>NULL</t>
        </is>
      </c>
      <c r="J1648" t="inlineStr">
        <is>
          <t>NULL</t>
        </is>
      </c>
      <c r="K1648" t="inlineStr">
        <is>
          <t>YES! 	 c_decimal19_4列源备映射正确，源端为decimal None位	期望更改为decimal(p,s)	实际备端为decimal None位</t>
        </is>
      </c>
    </row>
    <row r="1649">
      <c r="B1649" t="inlineStr">
        <is>
          <t>NULL</t>
        </is>
      </c>
      <c r="C1649" t="inlineStr">
        <is>
          <t>NULL</t>
        </is>
      </c>
      <c r="D1649" t="inlineStr">
        <is>
          <t>NULL</t>
        </is>
      </c>
      <c r="E1649" t="inlineStr">
        <is>
          <t>NULL</t>
        </is>
      </c>
      <c r="F1649" t="inlineStr">
        <is>
          <t>NULL</t>
        </is>
      </c>
      <c r="G1649" t="inlineStr">
        <is>
          <t>NULL</t>
        </is>
      </c>
      <c r="H1649" t="inlineStr">
        <is>
          <t>NULL</t>
        </is>
      </c>
      <c r="I1649" t="inlineStr">
        <is>
          <t>NULL</t>
        </is>
      </c>
      <c r="J1649" t="inlineStr">
        <is>
          <t>NULL</t>
        </is>
      </c>
      <c r="K1649" t="inlineStr">
        <is>
          <t>YES! 	 c_numeric列源备映射正确，源端为numeric None位	期望更改为decimal(p,s)	实际备端为decimal None位</t>
        </is>
      </c>
    </row>
    <row r="1650">
      <c r="B1650" t="inlineStr">
        <is>
          <t>NULL</t>
        </is>
      </c>
      <c r="C1650" t="inlineStr">
        <is>
          <t>NULL</t>
        </is>
      </c>
      <c r="D1650" t="inlineStr">
        <is>
          <t>NULL</t>
        </is>
      </c>
      <c r="E1650" t="inlineStr">
        <is>
          <t>NULL</t>
        </is>
      </c>
      <c r="F1650" t="inlineStr">
        <is>
          <t>NULL</t>
        </is>
      </c>
      <c r="G1650" t="inlineStr">
        <is>
          <t>NULL</t>
        </is>
      </c>
      <c r="H1650" t="inlineStr">
        <is>
          <t>NULL</t>
        </is>
      </c>
      <c r="I1650" t="inlineStr">
        <is>
          <t>NULL</t>
        </is>
      </c>
      <c r="J1650" t="inlineStr">
        <is>
          <t>NULL</t>
        </is>
      </c>
      <c r="K1650" t="inlineStr">
        <is>
          <t>YES! 	 c_numeric38列源备映射正确，源端为numeric None位	期望更改为decimal(p,s)	实际备端为decimal None位</t>
        </is>
      </c>
    </row>
    <row r="1651">
      <c r="B1651" t="inlineStr">
        <is>
          <t>NULL</t>
        </is>
      </c>
      <c r="C1651" t="inlineStr">
        <is>
          <t>NULL</t>
        </is>
      </c>
      <c r="D1651" t="inlineStr">
        <is>
          <t>NULL</t>
        </is>
      </c>
      <c r="E1651" t="inlineStr">
        <is>
          <t>NULL</t>
        </is>
      </c>
      <c r="F1651" t="inlineStr">
        <is>
          <t>NULL</t>
        </is>
      </c>
      <c r="G1651" t="inlineStr">
        <is>
          <t>NULL</t>
        </is>
      </c>
      <c r="H1651" t="inlineStr">
        <is>
          <t>NULL</t>
        </is>
      </c>
      <c r="I1651" t="inlineStr">
        <is>
          <t>NULL</t>
        </is>
      </c>
      <c r="J1651" t="inlineStr">
        <is>
          <t>NULL</t>
        </is>
      </c>
      <c r="K1651" t="inlineStr">
        <is>
          <t xml:space="preserve"> NO!  	 c_numeric38_38列源备映射错误，源端为numeric None位	期望更改为decimal(p,s)	实际备端为varchar 168位</t>
        </is>
      </c>
    </row>
    <row r="1652">
      <c r="B1652" t="inlineStr">
        <is>
          <t>NULL</t>
        </is>
      </c>
      <c r="C1652" t="inlineStr">
        <is>
          <t>NULL</t>
        </is>
      </c>
      <c r="D1652" t="inlineStr">
        <is>
          <t>NULL</t>
        </is>
      </c>
      <c r="E1652" t="inlineStr">
        <is>
          <t>NULL</t>
        </is>
      </c>
      <c r="F1652" t="inlineStr">
        <is>
          <t>NULL</t>
        </is>
      </c>
      <c r="G1652" t="inlineStr">
        <is>
          <t>NULL</t>
        </is>
      </c>
      <c r="H1652" t="inlineStr">
        <is>
          <t>NULL</t>
        </is>
      </c>
      <c r="I1652" t="inlineStr">
        <is>
          <t>NULL</t>
        </is>
      </c>
      <c r="J1652" t="inlineStr">
        <is>
          <t>NULL</t>
        </is>
      </c>
      <c r="K1652" t="inlineStr">
        <is>
          <t>YES! 	 c_numeric38_10列源备映射正确，源端为numeric None位	期望更改为decimal(p,s)	实际备端为decimal None位</t>
        </is>
      </c>
    </row>
    <row r="1653">
      <c r="B1653" t="inlineStr">
        <is>
          <t>NULL</t>
        </is>
      </c>
      <c r="C1653" t="inlineStr">
        <is>
          <t>NULL</t>
        </is>
      </c>
      <c r="D1653" t="inlineStr">
        <is>
          <t>NULL</t>
        </is>
      </c>
      <c r="E1653" t="inlineStr">
        <is>
          <t>NULL</t>
        </is>
      </c>
      <c r="F1653" t="inlineStr">
        <is>
          <t>NULL</t>
        </is>
      </c>
      <c r="G1653" t="inlineStr">
        <is>
          <t>NULL</t>
        </is>
      </c>
      <c r="H1653" t="inlineStr">
        <is>
          <t>NULL</t>
        </is>
      </c>
      <c r="I1653" t="inlineStr">
        <is>
          <t>NULL</t>
        </is>
      </c>
      <c r="J1653" t="inlineStr">
        <is>
          <t>NULL</t>
        </is>
      </c>
      <c r="K1653" t="inlineStr">
        <is>
          <t>YES! 	 c_numeric18_2列源备映射正确，源端为numeric None位	期望更改为decimal(p,s)	实际备端为decimal None位</t>
        </is>
      </c>
    </row>
    <row r="1654">
      <c r="B1654" t="inlineStr">
        <is>
          <t>NULL</t>
        </is>
      </c>
      <c r="C1654" t="inlineStr">
        <is>
          <t>NULL</t>
        </is>
      </c>
      <c r="D1654" t="inlineStr">
        <is>
          <t>NULL</t>
        </is>
      </c>
      <c r="E1654" t="inlineStr">
        <is>
          <t>NULL</t>
        </is>
      </c>
      <c r="F1654" t="inlineStr">
        <is>
          <t>NULL</t>
        </is>
      </c>
      <c r="G1654" t="inlineStr">
        <is>
          <t>NULL</t>
        </is>
      </c>
      <c r="H1654" t="inlineStr">
        <is>
          <t>NULL</t>
        </is>
      </c>
      <c r="I1654" t="inlineStr">
        <is>
          <t>NULL</t>
        </is>
      </c>
      <c r="J1654" t="inlineStr">
        <is>
          <t>NULL</t>
        </is>
      </c>
      <c r="K1654" t="inlineStr">
        <is>
          <t>YES! 	 c_float列源备映射正确，源端为float None位	期望更改为double	实际备端为double None位</t>
        </is>
      </c>
    </row>
    <row r="1655">
      <c r="B1655" t="inlineStr">
        <is>
          <t>NULL</t>
        </is>
      </c>
      <c r="C1655" t="inlineStr">
        <is>
          <t>NULL</t>
        </is>
      </c>
      <c r="D1655" t="inlineStr">
        <is>
          <t>NULL</t>
        </is>
      </c>
      <c r="E1655" t="inlineStr">
        <is>
          <t>NULL</t>
        </is>
      </c>
      <c r="F1655" t="inlineStr">
        <is>
          <t>NULL</t>
        </is>
      </c>
      <c r="G1655" t="inlineStr">
        <is>
          <t>NULL</t>
        </is>
      </c>
      <c r="H1655" t="inlineStr">
        <is>
          <t>NULL</t>
        </is>
      </c>
      <c r="I1655" t="inlineStr">
        <is>
          <t>NULL</t>
        </is>
      </c>
      <c r="J1655" t="inlineStr">
        <is>
          <t>NULL</t>
        </is>
      </c>
      <c r="K1655" t="inlineStr">
        <is>
          <t>YES! 	 c_real列源备映射正确，源端为real None位	期望更改为double	实际备端为double None位</t>
        </is>
      </c>
    </row>
    <row r="1656">
      <c r="B1656" t="inlineStr">
        <is>
          <t>NULL</t>
        </is>
      </c>
      <c r="C1656" t="inlineStr">
        <is>
          <t>NULL</t>
        </is>
      </c>
      <c r="D1656" t="inlineStr">
        <is>
          <t>NULL</t>
        </is>
      </c>
      <c r="E1656" t="inlineStr">
        <is>
          <t>NULL</t>
        </is>
      </c>
      <c r="F1656" t="inlineStr">
        <is>
          <t>NULL</t>
        </is>
      </c>
      <c r="G1656" t="inlineStr">
        <is>
          <t>NULL</t>
        </is>
      </c>
      <c r="H1656" t="inlineStr">
        <is>
          <t>NULL</t>
        </is>
      </c>
      <c r="I1656" t="inlineStr">
        <is>
          <t>NULL</t>
        </is>
      </c>
      <c r="J1656" t="inlineStr">
        <is>
          <t>NULL</t>
        </is>
      </c>
      <c r="K1656" t="inlineStr">
        <is>
          <t>YES! 	 c_money列源备映射正确，源端为money None位	期望更改为decimal(19,4)	实际备端为decimal None位</t>
        </is>
      </c>
    </row>
    <row r="1657">
      <c r="B1657" t="inlineStr">
        <is>
          <t>NULL</t>
        </is>
      </c>
      <c r="C1657" t="inlineStr">
        <is>
          <t>NULL</t>
        </is>
      </c>
      <c r="D1657" t="inlineStr">
        <is>
          <t>NULL</t>
        </is>
      </c>
      <c r="E1657" t="inlineStr">
        <is>
          <t>NULL</t>
        </is>
      </c>
      <c r="F1657" t="inlineStr">
        <is>
          <t>NULL</t>
        </is>
      </c>
      <c r="G1657" t="inlineStr">
        <is>
          <t>NULL</t>
        </is>
      </c>
      <c r="H1657" t="inlineStr">
        <is>
          <t>NULL</t>
        </is>
      </c>
      <c r="I1657" t="inlineStr">
        <is>
          <t>NULL</t>
        </is>
      </c>
      <c r="J1657" t="inlineStr">
        <is>
          <t>NULL</t>
        </is>
      </c>
      <c r="K1657" t="inlineStr">
        <is>
          <t>YES! 	 c_smallmoney列源备映射正确，源端为smallmoney None位	期望更改为decimal(10,4)	实际备端为decimal None位</t>
        </is>
      </c>
    </row>
    <row r="1658">
      <c r="B1658" t="inlineStr">
        <is>
          <t>NULL</t>
        </is>
      </c>
      <c r="C1658" t="inlineStr">
        <is>
          <t>NULL</t>
        </is>
      </c>
      <c r="D1658" t="inlineStr">
        <is>
          <t>NULL</t>
        </is>
      </c>
      <c r="E1658" t="inlineStr">
        <is>
          <t>NULL</t>
        </is>
      </c>
      <c r="F1658" t="inlineStr">
        <is>
          <t>NULL</t>
        </is>
      </c>
      <c r="G1658" t="inlineStr">
        <is>
          <t>NULL</t>
        </is>
      </c>
      <c r="H1658" t="inlineStr">
        <is>
          <t>NULL</t>
        </is>
      </c>
      <c r="I1658" t="inlineStr">
        <is>
          <t>NULL</t>
        </is>
      </c>
      <c r="J1658" t="inlineStr">
        <is>
          <t>NULL</t>
        </is>
      </c>
      <c r="K1658" t="inlineStr">
        <is>
          <t>YES! 	 c_bit列源备映射正确，源端为bit None位	期望更改为tinyint(1) 	实际备端为tinyint None位</t>
        </is>
      </c>
    </row>
    <row r="1659">
      <c r="A1659" t="inlineStr">
        <is>
          <t>info_uniqueidentifier_dml_single_pk_urp</t>
        </is>
      </c>
      <c r="K1659" t="inlineStr">
        <is>
          <t>[0;34m info_uniqueidentifier_dml_single_pk_urp [0m源备字段数相同，源端字段：2 	备端字段2</t>
        </is>
      </c>
      <c r="W1659" t="inlineStr">
        <is>
          <t>YES 源备无差异</t>
        </is>
      </c>
      <c r="X1659">
        <f>A1659</f>
        <v/>
      </c>
    </row>
    <row r="1660">
      <c r="B1660" t="inlineStr">
        <is>
          <t>YES</t>
        </is>
      </c>
      <c r="C1660" t="inlineStr">
        <is>
          <t>NULL</t>
        </is>
      </c>
      <c r="D1660" t="inlineStr">
        <is>
          <t>NULL</t>
        </is>
      </c>
      <c r="E1660" t="inlineStr">
        <is>
          <t>NULL</t>
        </is>
      </c>
      <c r="F1660" t="inlineStr">
        <is>
          <t>NULL</t>
        </is>
      </c>
      <c r="G1660" t="inlineStr">
        <is>
          <t>NULL</t>
        </is>
      </c>
      <c r="H1660" t="inlineStr">
        <is>
          <t>NULL</t>
        </is>
      </c>
      <c r="I1660" t="inlineStr">
        <is>
          <t>YES!PK__info_uni__3213E83F481CAA22</t>
        </is>
      </c>
      <c r="J1660" t="inlineStr">
        <is>
          <t>YES! 主键相关索引</t>
        </is>
      </c>
      <c r="K1660" t="inlineStr">
        <is>
          <t>YES! 	 id列源备映射正确，源端为int None位	期望更改为int	实际备端为int None位</t>
        </is>
      </c>
    </row>
    <row r="1661">
      <c r="B1661" t="inlineStr">
        <is>
          <t>NULL</t>
        </is>
      </c>
      <c r="C1661" t="inlineStr">
        <is>
          <t>NULL</t>
        </is>
      </c>
      <c r="D1661" t="inlineStr">
        <is>
          <t>NULL</t>
        </is>
      </c>
      <c r="E1661" t="inlineStr">
        <is>
          <t>NULL</t>
        </is>
      </c>
      <c r="F1661" t="inlineStr">
        <is>
          <t>NULL</t>
        </is>
      </c>
      <c r="G1661" t="inlineStr">
        <is>
          <t>NULL</t>
        </is>
      </c>
      <c r="H1661" t="inlineStr">
        <is>
          <t>NULL</t>
        </is>
      </c>
      <c r="I1661" t="inlineStr">
        <is>
          <t>NULL</t>
        </is>
      </c>
      <c r="J1661" t="inlineStr">
        <is>
          <t>NULL</t>
        </is>
      </c>
      <c r="K1661" t="inlineStr">
        <is>
          <t>[0;32m YES! [0m 	 c_uniqueidentifier列源备映射正确，源端为uniqueidentifier None位	期望更改为VARCHAR(100)	实际备端为varchar 400位	位数精度不存在，通过长度比较</t>
        </is>
      </c>
    </row>
    <row r="1662">
      <c r="A1662" t="inlineStr">
        <is>
          <t>info_varbinary_dml_single_pk_drp</t>
        </is>
      </c>
      <c r="K1662" t="inlineStr">
        <is>
          <t>[0;34m info_varbinary_dml_single_pk_drp [0m源备字段数相同，源端字段：4 	备端字段4</t>
        </is>
      </c>
      <c r="W1662" t="inlineStr">
        <is>
          <t>YES 源备无差异</t>
        </is>
      </c>
      <c r="X1662">
        <f>A1662</f>
        <v/>
      </c>
    </row>
    <row r="1663">
      <c r="B1663" t="inlineStr">
        <is>
          <t>YES</t>
        </is>
      </c>
      <c r="C1663" t="inlineStr">
        <is>
          <t>NULL</t>
        </is>
      </c>
      <c r="D1663" t="inlineStr">
        <is>
          <t>NULL</t>
        </is>
      </c>
      <c r="E1663" t="inlineStr">
        <is>
          <t>NULL</t>
        </is>
      </c>
      <c r="F1663" t="inlineStr">
        <is>
          <t>NULL</t>
        </is>
      </c>
      <c r="G1663" t="inlineStr">
        <is>
          <t>NULL</t>
        </is>
      </c>
      <c r="H1663" t="inlineStr">
        <is>
          <t>NULL</t>
        </is>
      </c>
      <c r="I1663" t="inlineStr">
        <is>
          <t>YES!PK__info_var__3213E83F2608C4C6</t>
        </is>
      </c>
      <c r="J1663" t="inlineStr">
        <is>
          <t>YES! 主键相关索引</t>
        </is>
      </c>
      <c r="K1663" t="inlineStr">
        <is>
          <t>YES! 	 id列源备映射正确，源端为int None位	期望更改为int	实际备端为int None位</t>
        </is>
      </c>
    </row>
    <row r="1664">
      <c r="B1664" t="inlineStr">
        <is>
          <t>NULL</t>
        </is>
      </c>
      <c r="C1664" t="inlineStr">
        <is>
          <t>NULL</t>
        </is>
      </c>
      <c r="D1664" t="inlineStr">
        <is>
          <t>NULL</t>
        </is>
      </c>
      <c r="E1664" t="inlineStr">
        <is>
          <t>NULL</t>
        </is>
      </c>
      <c r="F1664" t="inlineStr">
        <is>
          <t>NULL</t>
        </is>
      </c>
      <c r="G1664" t="inlineStr">
        <is>
          <t>NULL</t>
        </is>
      </c>
      <c r="H1664" t="inlineStr">
        <is>
          <t>NULL</t>
        </is>
      </c>
      <c r="I1664" t="inlineStr">
        <is>
          <t>NULL</t>
        </is>
      </c>
      <c r="J1664" t="inlineStr">
        <is>
          <t>NULL</t>
        </is>
      </c>
      <c r="K1664" t="inlineStr">
        <is>
          <t>YES! 	 c_varbinary列源备映射正确，源端为varbinary 1位	期望更改为varbinary(n)	实际备端为varbinary 1位</t>
        </is>
      </c>
    </row>
    <row r="1665">
      <c r="B1665" t="inlineStr">
        <is>
          <t>NULL</t>
        </is>
      </c>
      <c r="C1665" t="inlineStr">
        <is>
          <t>NULL</t>
        </is>
      </c>
      <c r="D1665" t="inlineStr">
        <is>
          <t>NULL</t>
        </is>
      </c>
      <c r="E1665" t="inlineStr">
        <is>
          <t>NULL</t>
        </is>
      </c>
      <c r="F1665" t="inlineStr">
        <is>
          <t>NULL</t>
        </is>
      </c>
      <c r="G1665" t="inlineStr">
        <is>
          <t>NULL</t>
        </is>
      </c>
      <c r="H1665" t="inlineStr">
        <is>
          <t>NULL</t>
        </is>
      </c>
      <c r="I1665" t="inlineStr">
        <is>
          <t>NULL</t>
        </is>
      </c>
      <c r="J1665" t="inlineStr">
        <is>
          <t>NULL</t>
        </is>
      </c>
      <c r="K1665" t="inlineStr">
        <is>
          <t>YES! 	 c_varbinary_100列源备映射正确，源端为varbinary 100位	期望更改为varbinary(n)	实际备端为varbinary 100位</t>
        </is>
      </c>
    </row>
    <row r="1666">
      <c r="B1666" t="inlineStr">
        <is>
          <t>NULL</t>
        </is>
      </c>
      <c r="C1666" t="inlineStr">
        <is>
          <t>NULL</t>
        </is>
      </c>
      <c r="D1666" t="inlineStr">
        <is>
          <t>NULL</t>
        </is>
      </c>
      <c r="E1666" t="inlineStr">
        <is>
          <t>NULL</t>
        </is>
      </c>
      <c r="F1666" t="inlineStr">
        <is>
          <t>NULL</t>
        </is>
      </c>
      <c r="G1666" t="inlineStr">
        <is>
          <t>NULL</t>
        </is>
      </c>
      <c r="H1666" t="inlineStr">
        <is>
          <t>NULL</t>
        </is>
      </c>
      <c r="I1666" t="inlineStr">
        <is>
          <t>NULL</t>
        </is>
      </c>
      <c r="J1666" t="inlineStr">
        <is>
          <t>NULL</t>
        </is>
      </c>
      <c r="K1666" t="inlineStr">
        <is>
          <t>YES! 	 c_varbinary_8000列源备映射正确，源端为varbinary 8000位	期望更改为longblob	实际备端为longblob 4294967295位</t>
        </is>
      </c>
    </row>
    <row r="1667">
      <c r="A1667" t="inlineStr">
        <is>
          <t>info_varbinary_max_dml_single_nopk</t>
        </is>
      </c>
      <c r="K1667" t="inlineStr">
        <is>
          <t>[0;34m info_varbinary_max_dml_single_nopk [0m源备字段数相同，源端字段：4 	备端字段4</t>
        </is>
      </c>
      <c r="W1667" t="inlineStr">
        <is>
          <t>YES 源备无差异</t>
        </is>
      </c>
      <c r="X1667">
        <f>A1667</f>
        <v/>
      </c>
    </row>
    <row r="1668">
      <c r="B1668" t="inlineStr">
        <is>
          <t>NULL</t>
        </is>
      </c>
      <c r="C1668" t="inlineStr">
        <is>
          <t>NULL</t>
        </is>
      </c>
      <c r="D1668" t="inlineStr">
        <is>
          <t>NULL</t>
        </is>
      </c>
      <c r="E1668" t="inlineStr">
        <is>
          <t>NULL</t>
        </is>
      </c>
      <c r="F1668" t="inlineStr">
        <is>
          <t>NULL</t>
        </is>
      </c>
      <c r="G1668" t="inlineStr">
        <is>
          <t>NULL</t>
        </is>
      </c>
      <c r="H1668" t="inlineStr">
        <is>
          <t>NULL</t>
        </is>
      </c>
      <c r="I1668" t="inlineStr">
        <is>
          <t>NULL</t>
        </is>
      </c>
      <c r="J1668" t="inlineStr">
        <is>
          <t>NULL</t>
        </is>
      </c>
      <c r="K1668" t="inlineStr">
        <is>
          <t>YES! 	 id列源备映射正确，源端为int None位	期望更改为int	实际备端为int None位</t>
        </is>
      </c>
    </row>
    <row r="1669">
      <c r="B1669" t="inlineStr">
        <is>
          <t>NULL</t>
        </is>
      </c>
      <c r="C1669" t="inlineStr">
        <is>
          <t>NULL</t>
        </is>
      </c>
      <c r="D1669" t="inlineStr">
        <is>
          <t>NULL</t>
        </is>
      </c>
      <c r="E1669" t="inlineStr">
        <is>
          <t>NULL</t>
        </is>
      </c>
      <c r="F1669" t="inlineStr">
        <is>
          <t>NULL</t>
        </is>
      </c>
      <c r="G1669" t="inlineStr">
        <is>
          <t>NULL</t>
        </is>
      </c>
      <c r="H1669" t="inlineStr">
        <is>
          <t>NULL</t>
        </is>
      </c>
      <c r="I1669" t="inlineStr">
        <is>
          <t>NULL</t>
        </is>
      </c>
      <c r="J1669" t="inlineStr">
        <is>
          <t>NULL</t>
        </is>
      </c>
      <c r="K1669" t="inlineStr">
        <is>
          <t>YES! 	 c_varbinary_max1列源备映射正确，源端为varbinary -1位	期望更改为longblob	实际备端为longblob 4294967295位</t>
        </is>
      </c>
    </row>
    <row r="1670">
      <c r="B1670" t="inlineStr">
        <is>
          <t>NULL</t>
        </is>
      </c>
      <c r="C1670" t="inlineStr">
        <is>
          <t>NULL</t>
        </is>
      </c>
      <c r="D1670" t="inlineStr">
        <is>
          <t>NULL</t>
        </is>
      </c>
      <c r="E1670" t="inlineStr">
        <is>
          <t>NULL</t>
        </is>
      </c>
      <c r="F1670" t="inlineStr">
        <is>
          <t>NULL</t>
        </is>
      </c>
      <c r="G1670" t="inlineStr">
        <is>
          <t>NULL</t>
        </is>
      </c>
      <c r="H1670" t="inlineStr">
        <is>
          <t>NULL</t>
        </is>
      </c>
      <c r="I1670" t="inlineStr">
        <is>
          <t>NULL</t>
        </is>
      </c>
      <c r="J1670" t="inlineStr">
        <is>
          <t>NULL</t>
        </is>
      </c>
      <c r="K1670" t="inlineStr">
        <is>
          <t>YES! 	 c_varbinary_max2列源备映射正确，源端为varbinary -1位	期望更改为longblob	实际备端为longblob 4294967295位</t>
        </is>
      </c>
    </row>
    <row r="1671">
      <c r="B1671" t="inlineStr">
        <is>
          <t>NULL</t>
        </is>
      </c>
      <c r="C1671" t="inlineStr">
        <is>
          <t>NULL</t>
        </is>
      </c>
      <c r="D1671" t="inlineStr">
        <is>
          <t>NULL</t>
        </is>
      </c>
      <c r="E1671" t="inlineStr">
        <is>
          <t>NULL</t>
        </is>
      </c>
      <c r="F1671" t="inlineStr">
        <is>
          <t>NULL</t>
        </is>
      </c>
      <c r="G1671" t="inlineStr">
        <is>
          <t>NULL</t>
        </is>
      </c>
      <c r="H1671" t="inlineStr">
        <is>
          <t>NULL</t>
        </is>
      </c>
      <c r="I1671" t="inlineStr">
        <is>
          <t>NULL</t>
        </is>
      </c>
      <c r="J1671" t="inlineStr">
        <is>
          <t>NULL</t>
        </is>
      </c>
      <c r="K1671" t="inlineStr">
        <is>
          <t>YES! 	 c_image3列源备映射正确，源端为image 2147483647位	期望更改为longblob	实际备端为longblob 4294967295位</t>
        </is>
      </c>
    </row>
    <row r="1672">
      <c r="A1672" t="inlineStr">
        <is>
          <t>info_uniqueidentifier_dml_single_pk_drp</t>
        </is>
      </c>
      <c r="K1672" t="inlineStr">
        <is>
          <t>[0;34m info_uniqueidentifier_dml_single_pk_drp [0m源备字段数相同，源端字段：2 	备端字段2</t>
        </is>
      </c>
      <c r="W1672" t="inlineStr">
        <is>
          <t>YES 源备无差异</t>
        </is>
      </c>
      <c r="X1672">
        <f>A1672</f>
        <v/>
      </c>
    </row>
    <row r="1673">
      <c r="B1673" t="inlineStr">
        <is>
          <t>YES</t>
        </is>
      </c>
      <c r="C1673" t="inlineStr">
        <is>
          <t>NULL</t>
        </is>
      </c>
      <c r="D1673" t="inlineStr">
        <is>
          <t>NULL</t>
        </is>
      </c>
      <c r="E1673" t="inlineStr">
        <is>
          <t>NULL</t>
        </is>
      </c>
      <c r="F1673" t="inlineStr">
        <is>
          <t>NULL</t>
        </is>
      </c>
      <c r="G1673" t="inlineStr">
        <is>
          <t>NULL</t>
        </is>
      </c>
      <c r="H1673" t="inlineStr">
        <is>
          <t>NULL</t>
        </is>
      </c>
      <c r="I1673" t="inlineStr">
        <is>
          <t>YES!PK__info_uni__3213E83F99C036A0</t>
        </is>
      </c>
      <c r="J1673" t="inlineStr">
        <is>
          <t>YES! 主键相关索引</t>
        </is>
      </c>
      <c r="K1673" t="inlineStr">
        <is>
          <t>YES! 	 id列源备映射正确，源端为int None位	期望更改为int	实际备端为int None位</t>
        </is>
      </c>
    </row>
    <row r="1674">
      <c r="B1674" t="inlineStr">
        <is>
          <t>NULL</t>
        </is>
      </c>
      <c r="C1674" t="inlineStr">
        <is>
          <t>NULL</t>
        </is>
      </c>
      <c r="D1674" t="inlineStr">
        <is>
          <t>NULL</t>
        </is>
      </c>
      <c r="E1674" t="inlineStr">
        <is>
          <t>NULL</t>
        </is>
      </c>
      <c r="F1674" t="inlineStr">
        <is>
          <t>NULL</t>
        </is>
      </c>
      <c r="G1674" t="inlineStr">
        <is>
          <t>NULL</t>
        </is>
      </c>
      <c r="H1674" t="inlineStr">
        <is>
          <t>NULL</t>
        </is>
      </c>
      <c r="I1674" t="inlineStr">
        <is>
          <t>NULL</t>
        </is>
      </c>
      <c r="J1674" t="inlineStr">
        <is>
          <t>NULL</t>
        </is>
      </c>
      <c r="K1674" t="inlineStr">
        <is>
          <t>[0;32m YES! [0m 	 c_uniqueidentifier列源备映射正确，源端为uniqueidentifier None位	期望更改为VARCHAR(100)	实际备端为varchar 400位	位数精度不存在，通过长度比较</t>
        </is>
      </c>
    </row>
    <row r="1675">
      <c r="A1675" t="inlineStr">
        <is>
          <t>info_int_dml_batch1_pk_irp2</t>
        </is>
      </c>
      <c r="K1675" t="inlineStr">
        <is>
          <t>[0;34m info_int_dml_batch1_pk_irp2 [0m源备字段数相同，源端字段：20 	备端字段20</t>
        </is>
      </c>
      <c r="W1675" s="15">
        <f>HYPERLINK("#2026052610mysql0!BS2","NO 源备存在差异，共8个")</f>
        <v/>
      </c>
      <c r="X1675">
        <f>A1675</f>
        <v/>
      </c>
    </row>
    <row r="1676">
      <c r="B1676" t="inlineStr">
        <is>
          <t>YES</t>
        </is>
      </c>
      <c r="C1676" t="inlineStr">
        <is>
          <t>NULL</t>
        </is>
      </c>
      <c r="D1676" t="inlineStr">
        <is>
          <t>NULL</t>
        </is>
      </c>
      <c r="E1676" t="inlineStr">
        <is>
          <t>NULL</t>
        </is>
      </c>
      <c r="F1676" t="inlineStr">
        <is>
          <t>NULL</t>
        </is>
      </c>
      <c r="G1676" t="inlineStr">
        <is>
          <t>NULL</t>
        </is>
      </c>
      <c r="H1676" t="inlineStr">
        <is>
          <t>NULL</t>
        </is>
      </c>
      <c r="I1676" t="inlineStr">
        <is>
          <t>YES!PK__info_int__3213E83F7FA2DB7C</t>
        </is>
      </c>
      <c r="J1676" t="inlineStr">
        <is>
          <t>YES! 主键相关索引</t>
        </is>
      </c>
      <c r="K1676" t="inlineStr">
        <is>
          <t>YES! 	 id列源备映射正确，源端为int None位	期望更改为int	实际备端为int None位</t>
        </is>
      </c>
    </row>
    <row r="1677">
      <c r="B1677" t="inlineStr">
        <is>
          <t>NULL</t>
        </is>
      </c>
      <c r="C1677" t="inlineStr">
        <is>
          <t>NULL</t>
        </is>
      </c>
      <c r="D1677" t="inlineStr">
        <is>
          <t>NULL</t>
        </is>
      </c>
      <c r="E1677" t="inlineStr">
        <is>
          <t>NULL</t>
        </is>
      </c>
      <c r="F1677" t="inlineStr">
        <is>
          <t>NULL</t>
        </is>
      </c>
      <c r="G1677" t="inlineStr">
        <is>
          <t>NULL</t>
        </is>
      </c>
      <c r="H1677" t="inlineStr">
        <is>
          <t>NULL</t>
        </is>
      </c>
      <c r="I1677" t="inlineStr">
        <is>
          <t>NULL</t>
        </is>
      </c>
      <c r="J1677" t="inlineStr">
        <is>
          <t>NULL</t>
        </is>
      </c>
      <c r="K1677" t="inlineStr">
        <is>
          <t>YES! 	 c_tinyint列源备映射正确，源端为tinyint None位	期望更改为tinyint	实际备端为tinyint None位</t>
        </is>
      </c>
    </row>
    <row r="1678">
      <c r="B1678" t="inlineStr">
        <is>
          <t>NULL</t>
        </is>
      </c>
      <c r="C1678" t="inlineStr">
        <is>
          <t>NULL</t>
        </is>
      </c>
      <c r="D1678" t="inlineStr">
        <is>
          <t>NULL</t>
        </is>
      </c>
      <c r="E1678" t="inlineStr">
        <is>
          <t>NULL</t>
        </is>
      </c>
      <c r="F1678" t="inlineStr">
        <is>
          <t>NULL</t>
        </is>
      </c>
      <c r="G1678" t="inlineStr">
        <is>
          <t>NULL</t>
        </is>
      </c>
      <c r="H1678" t="inlineStr">
        <is>
          <t>NULL</t>
        </is>
      </c>
      <c r="I1678" t="inlineStr">
        <is>
          <t>NULL</t>
        </is>
      </c>
      <c r="J1678" t="inlineStr">
        <is>
          <t>NULL</t>
        </is>
      </c>
      <c r="K1678" t="inlineStr">
        <is>
          <t>YES! 	 c_smallint列源备映射正确，源端为smallint None位	期望更改为smallint	实际备端为smallint None位</t>
        </is>
      </c>
    </row>
    <row r="1679">
      <c r="B1679" t="inlineStr">
        <is>
          <t>NULL</t>
        </is>
      </c>
      <c r="C1679" t="inlineStr">
        <is>
          <t>NULL</t>
        </is>
      </c>
      <c r="D1679" t="inlineStr">
        <is>
          <t>NULL</t>
        </is>
      </c>
      <c r="E1679" t="inlineStr">
        <is>
          <t>NULL</t>
        </is>
      </c>
      <c r="F1679" t="inlineStr">
        <is>
          <t>NULL</t>
        </is>
      </c>
      <c r="G1679" t="inlineStr">
        <is>
          <t>NULL</t>
        </is>
      </c>
      <c r="H1679" t="inlineStr">
        <is>
          <t>NULL</t>
        </is>
      </c>
      <c r="I1679" t="inlineStr">
        <is>
          <t>NULL</t>
        </is>
      </c>
      <c r="J1679" t="inlineStr">
        <is>
          <t>NULL</t>
        </is>
      </c>
      <c r="K1679" t="inlineStr">
        <is>
          <t>YES! 	 c_int列源备映射正确，源端为int None位	期望更改为int	实际备端为int None位</t>
        </is>
      </c>
    </row>
    <row r="1680">
      <c r="B1680" t="inlineStr">
        <is>
          <t>NULL</t>
        </is>
      </c>
      <c r="C1680" t="inlineStr">
        <is>
          <t>NULL</t>
        </is>
      </c>
      <c r="D1680" t="inlineStr">
        <is>
          <t>NULL</t>
        </is>
      </c>
      <c r="E1680" t="inlineStr">
        <is>
          <t>NULL</t>
        </is>
      </c>
      <c r="F1680" t="inlineStr">
        <is>
          <t>NULL</t>
        </is>
      </c>
      <c r="G1680" t="inlineStr">
        <is>
          <t>NULL</t>
        </is>
      </c>
      <c r="H1680" t="inlineStr">
        <is>
          <t>NULL</t>
        </is>
      </c>
      <c r="I1680" t="inlineStr">
        <is>
          <t>NULL</t>
        </is>
      </c>
      <c r="J1680" t="inlineStr">
        <is>
          <t>NULL</t>
        </is>
      </c>
      <c r="K1680" t="inlineStr">
        <is>
          <t>YES! 	 c_bigint列源备映射正确，源端为bigint None位	期望更改为bigint	实际备端为bigint None位</t>
        </is>
      </c>
    </row>
    <row r="1681">
      <c r="B1681" t="inlineStr">
        <is>
          <t>NULL</t>
        </is>
      </c>
      <c r="C1681" t="inlineStr">
        <is>
          <t>NULL</t>
        </is>
      </c>
      <c r="D1681" t="inlineStr">
        <is>
          <t>NULL</t>
        </is>
      </c>
      <c r="E1681" t="inlineStr">
        <is>
          <t>NULL</t>
        </is>
      </c>
      <c r="F1681" t="inlineStr">
        <is>
          <t>NULL</t>
        </is>
      </c>
      <c r="G1681" t="inlineStr">
        <is>
          <t>NULL</t>
        </is>
      </c>
      <c r="H1681" t="inlineStr">
        <is>
          <t>NULL</t>
        </is>
      </c>
      <c r="I1681" t="inlineStr">
        <is>
          <t>NULL</t>
        </is>
      </c>
      <c r="J1681" t="inlineStr">
        <is>
          <t>NULL</t>
        </is>
      </c>
      <c r="K1681" t="inlineStr">
        <is>
          <t>YES! 	 c_decimal列源备映射正确，源端为decimal None位	期望更改为decimal(p,s)	实际备端为decimal None位</t>
        </is>
      </c>
    </row>
    <row r="1682">
      <c r="B1682" t="inlineStr">
        <is>
          <t>NULL</t>
        </is>
      </c>
      <c r="C1682" t="inlineStr">
        <is>
          <t>NULL</t>
        </is>
      </c>
      <c r="D1682" t="inlineStr">
        <is>
          <t>NULL</t>
        </is>
      </c>
      <c r="E1682" t="inlineStr">
        <is>
          <t>NULL</t>
        </is>
      </c>
      <c r="F1682" t="inlineStr">
        <is>
          <t>NULL</t>
        </is>
      </c>
      <c r="G1682" t="inlineStr">
        <is>
          <t>NULL</t>
        </is>
      </c>
      <c r="H1682" t="inlineStr">
        <is>
          <t>NULL</t>
        </is>
      </c>
      <c r="I1682" t="inlineStr">
        <is>
          <t>NULL</t>
        </is>
      </c>
      <c r="J1682" t="inlineStr">
        <is>
          <t>NULL</t>
        </is>
      </c>
      <c r="K1682" t="inlineStr">
        <is>
          <t>YES! 	 c_decimal38列源备映射正确，源端为decimal None位	期望更改为decimal(p,s)	实际备端为decimal None位</t>
        </is>
      </c>
    </row>
    <row r="1683">
      <c r="B1683" t="inlineStr">
        <is>
          <t>NULL</t>
        </is>
      </c>
      <c r="C1683" t="inlineStr">
        <is>
          <t>NULL</t>
        </is>
      </c>
      <c r="D1683" t="inlineStr">
        <is>
          <t>NULL</t>
        </is>
      </c>
      <c r="E1683" t="inlineStr">
        <is>
          <t>NULL</t>
        </is>
      </c>
      <c r="F1683" t="inlineStr">
        <is>
          <t>NULL</t>
        </is>
      </c>
      <c r="G1683" t="inlineStr">
        <is>
          <t>NULL</t>
        </is>
      </c>
      <c r="H1683" t="inlineStr">
        <is>
          <t>NULL</t>
        </is>
      </c>
      <c r="I1683" t="inlineStr">
        <is>
          <t>NULL</t>
        </is>
      </c>
      <c r="J1683" t="inlineStr">
        <is>
          <t>NULL</t>
        </is>
      </c>
      <c r="K1683" t="inlineStr">
        <is>
          <t xml:space="preserve"> NO!  	 c_decimal38_38列源备映射错误，源端为decimal None位	期望更改为decimal(p,s)	实际备端为varchar 168位</t>
        </is>
      </c>
    </row>
    <row r="1684">
      <c r="B1684" t="inlineStr">
        <is>
          <t>NULL</t>
        </is>
      </c>
      <c r="C1684" t="inlineStr">
        <is>
          <t>NULL</t>
        </is>
      </c>
      <c r="D1684" t="inlineStr">
        <is>
          <t>NULL</t>
        </is>
      </c>
      <c r="E1684" t="inlineStr">
        <is>
          <t>NULL</t>
        </is>
      </c>
      <c r="F1684" t="inlineStr">
        <is>
          <t>NULL</t>
        </is>
      </c>
      <c r="G1684" t="inlineStr">
        <is>
          <t>NULL</t>
        </is>
      </c>
      <c r="H1684" t="inlineStr">
        <is>
          <t>NULL</t>
        </is>
      </c>
      <c r="I1684" t="inlineStr">
        <is>
          <t>NULL</t>
        </is>
      </c>
      <c r="J1684" t="inlineStr">
        <is>
          <t>NULL</t>
        </is>
      </c>
      <c r="K1684" t="inlineStr">
        <is>
          <t>YES! 	 c_decimal38_10列源备映射正确，源端为decimal None位	期望更改为decimal(p,s)	实际备端为decimal None位</t>
        </is>
      </c>
    </row>
    <row r="1685">
      <c r="B1685" t="inlineStr">
        <is>
          <t>NULL</t>
        </is>
      </c>
      <c r="C1685" t="inlineStr">
        <is>
          <t>NULL</t>
        </is>
      </c>
      <c r="D1685" t="inlineStr">
        <is>
          <t>NULL</t>
        </is>
      </c>
      <c r="E1685" t="inlineStr">
        <is>
          <t>NULL</t>
        </is>
      </c>
      <c r="F1685" t="inlineStr">
        <is>
          <t>NULL</t>
        </is>
      </c>
      <c r="G1685" t="inlineStr">
        <is>
          <t>NULL</t>
        </is>
      </c>
      <c r="H1685" t="inlineStr">
        <is>
          <t>NULL</t>
        </is>
      </c>
      <c r="I1685" t="inlineStr">
        <is>
          <t>NULL</t>
        </is>
      </c>
      <c r="J1685" t="inlineStr">
        <is>
          <t>NULL</t>
        </is>
      </c>
      <c r="K1685" t="inlineStr">
        <is>
          <t>YES! 	 c_decimal19_4列源备映射正确，源端为decimal None位	期望更改为decimal(p,s)	实际备端为decimal None位</t>
        </is>
      </c>
    </row>
    <row r="1686">
      <c r="B1686" t="inlineStr">
        <is>
          <t>NULL</t>
        </is>
      </c>
      <c r="C1686" t="inlineStr">
        <is>
          <t>NULL</t>
        </is>
      </c>
      <c r="D1686" t="inlineStr">
        <is>
          <t>NULL</t>
        </is>
      </c>
      <c r="E1686" t="inlineStr">
        <is>
          <t>NULL</t>
        </is>
      </c>
      <c r="F1686" t="inlineStr">
        <is>
          <t>NULL</t>
        </is>
      </c>
      <c r="G1686" t="inlineStr">
        <is>
          <t>NULL</t>
        </is>
      </c>
      <c r="H1686" t="inlineStr">
        <is>
          <t>NULL</t>
        </is>
      </c>
      <c r="I1686" t="inlineStr">
        <is>
          <t>NULL</t>
        </is>
      </c>
      <c r="J1686" t="inlineStr">
        <is>
          <t>NULL</t>
        </is>
      </c>
      <c r="K1686" t="inlineStr">
        <is>
          <t>YES! 	 c_numeric列源备映射正确，源端为numeric None位	期望更改为decimal(p,s)	实际备端为decimal None位</t>
        </is>
      </c>
    </row>
    <row r="1687">
      <c r="B1687" t="inlineStr">
        <is>
          <t>NULL</t>
        </is>
      </c>
      <c r="C1687" t="inlineStr">
        <is>
          <t>NULL</t>
        </is>
      </c>
      <c r="D1687" t="inlineStr">
        <is>
          <t>NULL</t>
        </is>
      </c>
      <c r="E1687" t="inlineStr">
        <is>
          <t>NULL</t>
        </is>
      </c>
      <c r="F1687" t="inlineStr">
        <is>
          <t>NULL</t>
        </is>
      </c>
      <c r="G1687" t="inlineStr">
        <is>
          <t>NULL</t>
        </is>
      </c>
      <c r="H1687" t="inlineStr">
        <is>
          <t>NULL</t>
        </is>
      </c>
      <c r="I1687" t="inlineStr">
        <is>
          <t>NULL</t>
        </is>
      </c>
      <c r="J1687" t="inlineStr">
        <is>
          <t>NULL</t>
        </is>
      </c>
      <c r="K1687" t="inlineStr">
        <is>
          <t>YES! 	 c_numeric38列源备映射正确，源端为numeric None位	期望更改为decimal(p,s)	实际备端为decimal None位</t>
        </is>
      </c>
    </row>
    <row r="1688">
      <c r="B1688" t="inlineStr">
        <is>
          <t>NULL</t>
        </is>
      </c>
      <c r="C1688" t="inlineStr">
        <is>
          <t>NULL</t>
        </is>
      </c>
      <c r="D1688" t="inlineStr">
        <is>
          <t>NULL</t>
        </is>
      </c>
      <c r="E1688" t="inlineStr">
        <is>
          <t>NULL</t>
        </is>
      </c>
      <c r="F1688" t="inlineStr">
        <is>
          <t>NULL</t>
        </is>
      </c>
      <c r="G1688" t="inlineStr">
        <is>
          <t>NULL</t>
        </is>
      </c>
      <c r="H1688" t="inlineStr">
        <is>
          <t>NULL</t>
        </is>
      </c>
      <c r="I1688" t="inlineStr">
        <is>
          <t>NULL</t>
        </is>
      </c>
      <c r="J1688" t="inlineStr">
        <is>
          <t>NULL</t>
        </is>
      </c>
      <c r="K1688" t="inlineStr">
        <is>
          <t xml:space="preserve"> NO!  	 c_numeric38_38列源备映射错误，源端为numeric None位	期望更改为decimal(p,s)	实际备端为varchar 168位</t>
        </is>
      </c>
    </row>
    <row r="1689">
      <c r="B1689" t="inlineStr">
        <is>
          <t>NULL</t>
        </is>
      </c>
      <c r="C1689" t="inlineStr">
        <is>
          <t>NULL</t>
        </is>
      </c>
      <c r="D1689" t="inlineStr">
        <is>
          <t>NULL</t>
        </is>
      </c>
      <c r="E1689" t="inlineStr">
        <is>
          <t>NULL</t>
        </is>
      </c>
      <c r="F1689" t="inlineStr">
        <is>
          <t>NULL</t>
        </is>
      </c>
      <c r="G1689" t="inlineStr">
        <is>
          <t>NULL</t>
        </is>
      </c>
      <c r="H1689" t="inlineStr">
        <is>
          <t>NULL</t>
        </is>
      </c>
      <c r="I1689" t="inlineStr">
        <is>
          <t>NULL</t>
        </is>
      </c>
      <c r="J1689" t="inlineStr">
        <is>
          <t>NULL</t>
        </is>
      </c>
      <c r="K1689" t="inlineStr">
        <is>
          <t>YES! 	 c_numeric38_10列源备映射正确，源端为numeric None位	期望更改为decimal(p,s)	实际备端为decimal None位</t>
        </is>
      </c>
    </row>
    <row r="1690">
      <c r="B1690" t="inlineStr">
        <is>
          <t>NULL</t>
        </is>
      </c>
      <c r="C1690" t="inlineStr">
        <is>
          <t>NULL</t>
        </is>
      </c>
      <c r="D1690" t="inlineStr">
        <is>
          <t>NULL</t>
        </is>
      </c>
      <c r="E1690" t="inlineStr">
        <is>
          <t>NULL</t>
        </is>
      </c>
      <c r="F1690" t="inlineStr">
        <is>
          <t>NULL</t>
        </is>
      </c>
      <c r="G1690" t="inlineStr">
        <is>
          <t>NULL</t>
        </is>
      </c>
      <c r="H1690" t="inlineStr">
        <is>
          <t>NULL</t>
        </is>
      </c>
      <c r="I1690" t="inlineStr">
        <is>
          <t>NULL</t>
        </is>
      </c>
      <c r="J1690" t="inlineStr">
        <is>
          <t>NULL</t>
        </is>
      </c>
      <c r="K1690" t="inlineStr">
        <is>
          <t>YES! 	 c_numeric18_2列源备映射正确，源端为numeric None位	期望更改为decimal(p,s)	实际备端为decimal None位</t>
        </is>
      </c>
    </row>
    <row r="1691">
      <c r="B1691" t="inlineStr">
        <is>
          <t>NULL</t>
        </is>
      </c>
      <c r="C1691" t="inlineStr">
        <is>
          <t>NULL</t>
        </is>
      </c>
      <c r="D1691" t="inlineStr">
        <is>
          <t>NULL</t>
        </is>
      </c>
      <c r="E1691" t="inlineStr">
        <is>
          <t>NULL</t>
        </is>
      </c>
      <c r="F1691" t="inlineStr">
        <is>
          <t>NULL</t>
        </is>
      </c>
      <c r="G1691" t="inlineStr">
        <is>
          <t>NULL</t>
        </is>
      </c>
      <c r="H1691" t="inlineStr">
        <is>
          <t>NULL</t>
        </is>
      </c>
      <c r="I1691" t="inlineStr">
        <is>
          <t>NULL</t>
        </is>
      </c>
      <c r="J1691" t="inlineStr">
        <is>
          <t>NULL</t>
        </is>
      </c>
      <c r="K1691" t="inlineStr">
        <is>
          <t>YES! 	 c_float列源备映射正确，源端为float None位	期望更改为double	实际备端为double None位</t>
        </is>
      </c>
    </row>
    <row r="1692">
      <c r="B1692" t="inlineStr">
        <is>
          <t>NULL</t>
        </is>
      </c>
      <c r="C1692" t="inlineStr">
        <is>
          <t>NULL</t>
        </is>
      </c>
      <c r="D1692" t="inlineStr">
        <is>
          <t>NULL</t>
        </is>
      </c>
      <c r="E1692" t="inlineStr">
        <is>
          <t>NULL</t>
        </is>
      </c>
      <c r="F1692" t="inlineStr">
        <is>
          <t>NULL</t>
        </is>
      </c>
      <c r="G1692" t="inlineStr">
        <is>
          <t>NULL</t>
        </is>
      </c>
      <c r="H1692" t="inlineStr">
        <is>
          <t>NULL</t>
        </is>
      </c>
      <c r="I1692" t="inlineStr">
        <is>
          <t>NULL</t>
        </is>
      </c>
      <c r="J1692" t="inlineStr">
        <is>
          <t>NULL</t>
        </is>
      </c>
      <c r="K1692" t="inlineStr">
        <is>
          <t>YES! 	 c_real列源备映射正确，源端为real None位	期望更改为double	实际备端为double None位</t>
        </is>
      </c>
    </row>
    <row r="1693">
      <c r="B1693" t="inlineStr">
        <is>
          <t>NULL</t>
        </is>
      </c>
      <c r="C1693" t="inlineStr">
        <is>
          <t>NULL</t>
        </is>
      </c>
      <c r="D1693" t="inlineStr">
        <is>
          <t>NULL</t>
        </is>
      </c>
      <c r="E1693" t="inlineStr">
        <is>
          <t>NULL</t>
        </is>
      </c>
      <c r="F1693" t="inlineStr">
        <is>
          <t>NULL</t>
        </is>
      </c>
      <c r="G1693" t="inlineStr">
        <is>
          <t>NULL</t>
        </is>
      </c>
      <c r="H1693" t="inlineStr">
        <is>
          <t>NULL</t>
        </is>
      </c>
      <c r="I1693" t="inlineStr">
        <is>
          <t>NULL</t>
        </is>
      </c>
      <c r="J1693" t="inlineStr">
        <is>
          <t>NULL</t>
        </is>
      </c>
      <c r="K1693" t="inlineStr">
        <is>
          <t>YES! 	 c_money列源备映射正确，源端为money None位	期望更改为decimal(19,4)	实际备端为decimal None位</t>
        </is>
      </c>
    </row>
    <row r="1694">
      <c r="B1694" t="inlineStr">
        <is>
          <t>NULL</t>
        </is>
      </c>
      <c r="C1694" t="inlineStr">
        <is>
          <t>NULL</t>
        </is>
      </c>
      <c r="D1694" t="inlineStr">
        <is>
          <t>NULL</t>
        </is>
      </c>
      <c r="E1694" t="inlineStr">
        <is>
          <t>NULL</t>
        </is>
      </c>
      <c r="F1694" t="inlineStr">
        <is>
          <t>NULL</t>
        </is>
      </c>
      <c r="G1694" t="inlineStr">
        <is>
          <t>NULL</t>
        </is>
      </c>
      <c r="H1694" t="inlineStr">
        <is>
          <t>NULL</t>
        </is>
      </c>
      <c r="I1694" t="inlineStr">
        <is>
          <t>NULL</t>
        </is>
      </c>
      <c r="J1694" t="inlineStr">
        <is>
          <t>NULL</t>
        </is>
      </c>
      <c r="K1694" t="inlineStr">
        <is>
          <t>YES! 	 c_smallmoney列源备映射正确，源端为smallmoney None位	期望更改为decimal(10,4)	实际备端为decimal None位</t>
        </is>
      </c>
    </row>
    <row r="1695">
      <c r="B1695" t="inlineStr">
        <is>
          <t>NULL</t>
        </is>
      </c>
      <c r="C1695" t="inlineStr">
        <is>
          <t>NULL</t>
        </is>
      </c>
      <c r="D1695" t="inlineStr">
        <is>
          <t>NULL</t>
        </is>
      </c>
      <c r="E1695" t="inlineStr">
        <is>
          <t>NULL</t>
        </is>
      </c>
      <c r="F1695" t="inlineStr">
        <is>
          <t>NULL</t>
        </is>
      </c>
      <c r="G1695" t="inlineStr">
        <is>
          <t>NULL</t>
        </is>
      </c>
      <c r="H1695" t="inlineStr">
        <is>
          <t>NULL</t>
        </is>
      </c>
      <c r="I1695" t="inlineStr">
        <is>
          <t>NULL</t>
        </is>
      </c>
      <c r="J1695" t="inlineStr">
        <is>
          <t>NULL</t>
        </is>
      </c>
      <c r="K1695" t="inlineStr">
        <is>
          <t>YES! 	 c_bit列源备映射正确，源端为bit None位	期望更改为tinyint(1) 	实际备端为tinyint None位</t>
        </is>
      </c>
    </row>
    <row r="1696">
      <c r="A1696" t="inlineStr">
        <is>
          <t>info_int_dml_batch2_pk_irp1</t>
        </is>
      </c>
      <c r="K1696" t="inlineStr">
        <is>
          <t>[0;34m info_int_dml_batch2_pk_irp1 [0m源备字段数相同，源端字段：20 	备端字段20</t>
        </is>
      </c>
      <c r="W1696" s="15">
        <f>HYPERLINK("#2026052610mysql0!BT2","NO 源备存在差异，共4个")</f>
        <v/>
      </c>
      <c r="X1696">
        <f>A1696</f>
        <v/>
      </c>
    </row>
    <row r="1697">
      <c r="B1697" t="inlineStr">
        <is>
          <t>YES</t>
        </is>
      </c>
      <c r="C1697" t="inlineStr">
        <is>
          <t>NULL</t>
        </is>
      </c>
      <c r="D1697" t="inlineStr">
        <is>
          <t>NULL</t>
        </is>
      </c>
      <c r="E1697" t="inlineStr">
        <is>
          <t>NULL</t>
        </is>
      </c>
      <c r="F1697" t="inlineStr">
        <is>
          <t>NULL</t>
        </is>
      </c>
      <c r="G1697" t="inlineStr">
        <is>
          <t>NULL</t>
        </is>
      </c>
      <c r="H1697" t="inlineStr">
        <is>
          <t>NULL</t>
        </is>
      </c>
      <c r="I1697" t="inlineStr">
        <is>
          <t>YES!PK__info_int__3213E83FC4381871</t>
        </is>
      </c>
      <c r="J1697" t="inlineStr">
        <is>
          <t>YES! 主键相关索引</t>
        </is>
      </c>
      <c r="K1697" t="inlineStr">
        <is>
          <t>YES! 	 id列源备映射正确，源端为int None位	期望更改为int	实际备端为int None位</t>
        </is>
      </c>
    </row>
    <row r="1698">
      <c r="B1698" t="inlineStr">
        <is>
          <t>NULL</t>
        </is>
      </c>
      <c r="C1698" t="inlineStr">
        <is>
          <t>NULL</t>
        </is>
      </c>
      <c r="D1698" t="inlineStr">
        <is>
          <t>NULL</t>
        </is>
      </c>
      <c r="E1698" t="inlineStr">
        <is>
          <t>NULL</t>
        </is>
      </c>
      <c r="F1698" t="inlineStr">
        <is>
          <t>NULL</t>
        </is>
      </c>
      <c r="G1698" t="inlineStr">
        <is>
          <t>NULL</t>
        </is>
      </c>
      <c r="H1698" t="inlineStr">
        <is>
          <t>NULL</t>
        </is>
      </c>
      <c r="I1698" t="inlineStr">
        <is>
          <t>NULL</t>
        </is>
      </c>
      <c r="J1698" t="inlineStr">
        <is>
          <t>NULL</t>
        </is>
      </c>
      <c r="K1698" t="inlineStr">
        <is>
          <t>YES! 	 c_tinyint列源备映射正确，源端为tinyint None位	期望更改为tinyint	实际备端为tinyint None位</t>
        </is>
      </c>
    </row>
    <row r="1699">
      <c r="B1699" t="inlineStr">
        <is>
          <t>NULL</t>
        </is>
      </c>
      <c r="C1699" t="inlineStr">
        <is>
          <t>NULL</t>
        </is>
      </c>
      <c r="D1699" t="inlineStr">
        <is>
          <t>NULL</t>
        </is>
      </c>
      <c r="E1699" t="inlineStr">
        <is>
          <t>NULL</t>
        </is>
      </c>
      <c r="F1699" t="inlineStr">
        <is>
          <t>NULL</t>
        </is>
      </c>
      <c r="G1699" t="inlineStr">
        <is>
          <t>NULL</t>
        </is>
      </c>
      <c r="H1699" t="inlineStr">
        <is>
          <t>NULL</t>
        </is>
      </c>
      <c r="I1699" t="inlineStr">
        <is>
          <t>NULL</t>
        </is>
      </c>
      <c r="J1699" t="inlineStr">
        <is>
          <t>NULL</t>
        </is>
      </c>
      <c r="K1699" t="inlineStr">
        <is>
          <t>YES! 	 c_smallint列源备映射正确，源端为smallint None位	期望更改为smallint	实际备端为smallint None位</t>
        </is>
      </c>
    </row>
    <row r="1700">
      <c r="B1700" t="inlineStr">
        <is>
          <t>NULL</t>
        </is>
      </c>
      <c r="C1700" t="inlineStr">
        <is>
          <t>NULL</t>
        </is>
      </c>
      <c r="D1700" t="inlineStr">
        <is>
          <t>NULL</t>
        </is>
      </c>
      <c r="E1700" t="inlineStr">
        <is>
          <t>NULL</t>
        </is>
      </c>
      <c r="F1700" t="inlineStr">
        <is>
          <t>NULL</t>
        </is>
      </c>
      <c r="G1700" t="inlineStr">
        <is>
          <t>NULL</t>
        </is>
      </c>
      <c r="H1700" t="inlineStr">
        <is>
          <t>NULL</t>
        </is>
      </c>
      <c r="I1700" t="inlineStr">
        <is>
          <t>NULL</t>
        </is>
      </c>
      <c r="J1700" t="inlineStr">
        <is>
          <t>NULL</t>
        </is>
      </c>
      <c r="K1700" t="inlineStr">
        <is>
          <t>YES! 	 c_int列源备映射正确，源端为int None位	期望更改为int	实际备端为int None位</t>
        </is>
      </c>
    </row>
    <row r="1701">
      <c r="B1701" t="inlineStr">
        <is>
          <t>NULL</t>
        </is>
      </c>
      <c r="C1701" t="inlineStr">
        <is>
          <t>NULL</t>
        </is>
      </c>
      <c r="D1701" t="inlineStr">
        <is>
          <t>NULL</t>
        </is>
      </c>
      <c r="E1701" t="inlineStr">
        <is>
          <t>NULL</t>
        </is>
      </c>
      <c r="F1701" t="inlineStr">
        <is>
          <t>NULL</t>
        </is>
      </c>
      <c r="G1701" t="inlineStr">
        <is>
          <t>NULL</t>
        </is>
      </c>
      <c r="H1701" t="inlineStr">
        <is>
          <t>NULL</t>
        </is>
      </c>
      <c r="I1701" t="inlineStr">
        <is>
          <t>NULL</t>
        </is>
      </c>
      <c r="J1701" t="inlineStr">
        <is>
          <t>NULL</t>
        </is>
      </c>
      <c r="K1701" t="inlineStr">
        <is>
          <t>YES! 	 c_bigint列源备映射正确，源端为bigint None位	期望更改为bigint	实际备端为bigint None位</t>
        </is>
      </c>
    </row>
    <row r="1702">
      <c r="B1702" t="inlineStr">
        <is>
          <t>NULL</t>
        </is>
      </c>
      <c r="C1702" t="inlineStr">
        <is>
          <t>NULL</t>
        </is>
      </c>
      <c r="D1702" t="inlineStr">
        <is>
          <t>NULL</t>
        </is>
      </c>
      <c r="E1702" t="inlineStr">
        <is>
          <t>NULL</t>
        </is>
      </c>
      <c r="F1702" t="inlineStr">
        <is>
          <t>NULL</t>
        </is>
      </c>
      <c r="G1702" t="inlineStr">
        <is>
          <t>NULL</t>
        </is>
      </c>
      <c r="H1702" t="inlineStr">
        <is>
          <t>NULL</t>
        </is>
      </c>
      <c r="I1702" t="inlineStr">
        <is>
          <t>NULL</t>
        </is>
      </c>
      <c r="J1702" t="inlineStr">
        <is>
          <t>NULL</t>
        </is>
      </c>
      <c r="K1702" t="inlineStr">
        <is>
          <t>YES! 	 c_decimal列源备映射正确，源端为decimal None位	期望更改为decimal(p,s)	实际备端为decimal None位</t>
        </is>
      </c>
    </row>
    <row r="1703">
      <c r="B1703" t="inlineStr">
        <is>
          <t>NULL</t>
        </is>
      </c>
      <c r="C1703" t="inlineStr">
        <is>
          <t>NULL</t>
        </is>
      </c>
      <c r="D1703" t="inlineStr">
        <is>
          <t>NULL</t>
        </is>
      </c>
      <c r="E1703" t="inlineStr">
        <is>
          <t>NULL</t>
        </is>
      </c>
      <c r="F1703" t="inlineStr">
        <is>
          <t>NULL</t>
        </is>
      </c>
      <c r="G1703" t="inlineStr">
        <is>
          <t>NULL</t>
        </is>
      </c>
      <c r="H1703" t="inlineStr">
        <is>
          <t>NULL</t>
        </is>
      </c>
      <c r="I1703" t="inlineStr">
        <is>
          <t>NULL</t>
        </is>
      </c>
      <c r="J1703" t="inlineStr">
        <is>
          <t>NULL</t>
        </is>
      </c>
      <c r="K1703" t="inlineStr">
        <is>
          <t>YES! 	 c_decimal38列源备映射正确，源端为decimal None位	期望更改为decimal(p,s)	实际备端为decimal None位</t>
        </is>
      </c>
    </row>
    <row r="1704">
      <c r="B1704" t="inlineStr">
        <is>
          <t>NULL</t>
        </is>
      </c>
      <c r="C1704" t="inlineStr">
        <is>
          <t>NULL</t>
        </is>
      </c>
      <c r="D1704" t="inlineStr">
        <is>
          <t>NULL</t>
        </is>
      </c>
      <c r="E1704" t="inlineStr">
        <is>
          <t>NULL</t>
        </is>
      </c>
      <c r="F1704" t="inlineStr">
        <is>
          <t>NULL</t>
        </is>
      </c>
      <c r="G1704" t="inlineStr">
        <is>
          <t>NULL</t>
        </is>
      </c>
      <c r="H1704" t="inlineStr">
        <is>
          <t>NULL</t>
        </is>
      </c>
      <c r="I1704" t="inlineStr">
        <is>
          <t>NULL</t>
        </is>
      </c>
      <c r="J1704" t="inlineStr">
        <is>
          <t>NULL</t>
        </is>
      </c>
      <c r="K1704" t="inlineStr">
        <is>
          <t xml:space="preserve"> NO!  	 c_decimal38_38列源备映射错误，源端为decimal None位	期望更改为decimal(p,s)	实际备端为varchar 168位</t>
        </is>
      </c>
    </row>
    <row r="1705">
      <c r="B1705" t="inlineStr">
        <is>
          <t>NULL</t>
        </is>
      </c>
      <c r="C1705" t="inlineStr">
        <is>
          <t>NULL</t>
        </is>
      </c>
      <c r="D1705" t="inlineStr">
        <is>
          <t>NULL</t>
        </is>
      </c>
      <c r="E1705" t="inlineStr">
        <is>
          <t>NULL</t>
        </is>
      </c>
      <c r="F1705" t="inlineStr">
        <is>
          <t>NULL</t>
        </is>
      </c>
      <c r="G1705" t="inlineStr">
        <is>
          <t>NULL</t>
        </is>
      </c>
      <c r="H1705" t="inlineStr">
        <is>
          <t>NULL</t>
        </is>
      </c>
      <c r="I1705" t="inlineStr">
        <is>
          <t>NULL</t>
        </is>
      </c>
      <c r="J1705" t="inlineStr">
        <is>
          <t>NULL</t>
        </is>
      </c>
      <c r="K1705" t="inlineStr">
        <is>
          <t>YES! 	 c_decimal38_10列源备映射正确，源端为decimal None位	期望更改为decimal(p,s)	实际备端为decimal None位</t>
        </is>
      </c>
    </row>
    <row r="1706">
      <c r="B1706" t="inlineStr">
        <is>
          <t>NULL</t>
        </is>
      </c>
      <c r="C1706" t="inlineStr">
        <is>
          <t>NULL</t>
        </is>
      </c>
      <c r="D1706" t="inlineStr">
        <is>
          <t>NULL</t>
        </is>
      </c>
      <c r="E1706" t="inlineStr">
        <is>
          <t>NULL</t>
        </is>
      </c>
      <c r="F1706" t="inlineStr">
        <is>
          <t>NULL</t>
        </is>
      </c>
      <c r="G1706" t="inlineStr">
        <is>
          <t>NULL</t>
        </is>
      </c>
      <c r="H1706" t="inlineStr">
        <is>
          <t>NULL</t>
        </is>
      </c>
      <c r="I1706" t="inlineStr">
        <is>
          <t>NULL</t>
        </is>
      </c>
      <c r="J1706" t="inlineStr">
        <is>
          <t>NULL</t>
        </is>
      </c>
      <c r="K1706" t="inlineStr">
        <is>
          <t>YES! 	 c_decimal19_4列源备映射正确，源端为decimal None位	期望更改为decimal(p,s)	实际备端为decimal None位</t>
        </is>
      </c>
    </row>
    <row r="1707">
      <c r="B1707" t="inlineStr">
        <is>
          <t>NULL</t>
        </is>
      </c>
      <c r="C1707" t="inlineStr">
        <is>
          <t>NULL</t>
        </is>
      </c>
      <c r="D1707" t="inlineStr">
        <is>
          <t>NULL</t>
        </is>
      </c>
      <c r="E1707" t="inlineStr">
        <is>
          <t>NULL</t>
        </is>
      </c>
      <c r="F1707" t="inlineStr">
        <is>
          <t>NULL</t>
        </is>
      </c>
      <c r="G1707" t="inlineStr">
        <is>
          <t>NULL</t>
        </is>
      </c>
      <c r="H1707" t="inlineStr">
        <is>
          <t>NULL</t>
        </is>
      </c>
      <c r="I1707" t="inlineStr">
        <is>
          <t>NULL</t>
        </is>
      </c>
      <c r="J1707" t="inlineStr">
        <is>
          <t>NULL</t>
        </is>
      </c>
      <c r="K1707" t="inlineStr">
        <is>
          <t>YES! 	 c_numeric列源备映射正确，源端为numeric None位	期望更改为decimal(p,s)	实际备端为decimal None位</t>
        </is>
      </c>
    </row>
    <row r="1708">
      <c r="B1708" t="inlineStr">
        <is>
          <t>NULL</t>
        </is>
      </c>
      <c r="C1708" t="inlineStr">
        <is>
          <t>NULL</t>
        </is>
      </c>
      <c r="D1708" t="inlineStr">
        <is>
          <t>NULL</t>
        </is>
      </c>
      <c r="E1708" t="inlineStr">
        <is>
          <t>NULL</t>
        </is>
      </c>
      <c r="F1708" t="inlineStr">
        <is>
          <t>NULL</t>
        </is>
      </c>
      <c r="G1708" t="inlineStr">
        <is>
          <t>NULL</t>
        </is>
      </c>
      <c r="H1708" t="inlineStr">
        <is>
          <t>NULL</t>
        </is>
      </c>
      <c r="I1708" t="inlineStr">
        <is>
          <t>NULL</t>
        </is>
      </c>
      <c r="J1708" t="inlineStr">
        <is>
          <t>NULL</t>
        </is>
      </c>
      <c r="K1708" t="inlineStr">
        <is>
          <t>YES! 	 c_numeric38列源备映射正确，源端为numeric None位	期望更改为decimal(p,s)	实际备端为decimal None位</t>
        </is>
      </c>
    </row>
    <row r="1709">
      <c r="B1709" t="inlineStr">
        <is>
          <t>NULL</t>
        </is>
      </c>
      <c r="C1709" t="inlineStr">
        <is>
          <t>NULL</t>
        </is>
      </c>
      <c r="D1709" t="inlineStr">
        <is>
          <t>NULL</t>
        </is>
      </c>
      <c r="E1709" t="inlineStr">
        <is>
          <t>NULL</t>
        </is>
      </c>
      <c r="F1709" t="inlineStr">
        <is>
          <t>NULL</t>
        </is>
      </c>
      <c r="G1709" t="inlineStr">
        <is>
          <t>NULL</t>
        </is>
      </c>
      <c r="H1709" t="inlineStr">
        <is>
          <t>NULL</t>
        </is>
      </c>
      <c r="I1709" t="inlineStr">
        <is>
          <t>NULL</t>
        </is>
      </c>
      <c r="J1709" t="inlineStr">
        <is>
          <t>NULL</t>
        </is>
      </c>
      <c r="K1709" t="inlineStr">
        <is>
          <t xml:space="preserve"> NO!  	 c_numeric38_38列源备映射错误，源端为numeric None位	期望更改为decimal(p,s)	实际备端为varchar 168位</t>
        </is>
      </c>
    </row>
    <row r="1710">
      <c r="B1710" t="inlineStr">
        <is>
          <t>NULL</t>
        </is>
      </c>
      <c r="C1710" t="inlineStr">
        <is>
          <t>NULL</t>
        </is>
      </c>
      <c r="D1710" t="inlineStr">
        <is>
          <t>NULL</t>
        </is>
      </c>
      <c r="E1710" t="inlineStr">
        <is>
          <t>NULL</t>
        </is>
      </c>
      <c r="F1710" t="inlineStr">
        <is>
          <t>NULL</t>
        </is>
      </c>
      <c r="G1710" t="inlineStr">
        <is>
          <t>NULL</t>
        </is>
      </c>
      <c r="H1710" t="inlineStr">
        <is>
          <t>NULL</t>
        </is>
      </c>
      <c r="I1710" t="inlineStr">
        <is>
          <t>NULL</t>
        </is>
      </c>
      <c r="J1710" t="inlineStr">
        <is>
          <t>NULL</t>
        </is>
      </c>
      <c r="K1710" t="inlineStr">
        <is>
          <t>YES! 	 c_numeric38_10列源备映射正确，源端为numeric None位	期望更改为decimal(p,s)	实际备端为decimal None位</t>
        </is>
      </c>
    </row>
    <row r="1711">
      <c r="B1711" t="inlineStr">
        <is>
          <t>NULL</t>
        </is>
      </c>
      <c r="C1711" t="inlineStr">
        <is>
          <t>NULL</t>
        </is>
      </c>
      <c r="D1711" t="inlineStr">
        <is>
          <t>NULL</t>
        </is>
      </c>
      <c r="E1711" t="inlineStr">
        <is>
          <t>NULL</t>
        </is>
      </c>
      <c r="F1711" t="inlineStr">
        <is>
          <t>NULL</t>
        </is>
      </c>
      <c r="G1711" t="inlineStr">
        <is>
          <t>NULL</t>
        </is>
      </c>
      <c r="H1711" t="inlineStr">
        <is>
          <t>NULL</t>
        </is>
      </c>
      <c r="I1711" t="inlineStr">
        <is>
          <t>NULL</t>
        </is>
      </c>
      <c r="J1711" t="inlineStr">
        <is>
          <t>NULL</t>
        </is>
      </c>
      <c r="K1711" t="inlineStr">
        <is>
          <t>YES! 	 c_numeric18_2列源备映射正确，源端为numeric None位	期望更改为decimal(p,s)	实际备端为decimal None位</t>
        </is>
      </c>
    </row>
    <row r="1712">
      <c r="B1712" t="inlineStr">
        <is>
          <t>NULL</t>
        </is>
      </c>
      <c r="C1712" t="inlineStr">
        <is>
          <t>NULL</t>
        </is>
      </c>
      <c r="D1712" t="inlineStr">
        <is>
          <t>NULL</t>
        </is>
      </c>
      <c r="E1712" t="inlineStr">
        <is>
          <t>NULL</t>
        </is>
      </c>
      <c r="F1712" t="inlineStr">
        <is>
          <t>NULL</t>
        </is>
      </c>
      <c r="G1712" t="inlineStr">
        <is>
          <t>NULL</t>
        </is>
      </c>
      <c r="H1712" t="inlineStr">
        <is>
          <t>NULL</t>
        </is>
      </c>
      <c r="I1712" t="inlineStr">
        <is>
          <t>NULL</t>
        </is>
      </c>
      <c r="J1712" t="inlineStr">
        <is>
          <t>NULL</t>
        </is>
      </c>
      <c r="K1712" t="inlineStr">
        <is>
          <t>YES! 	 c_float列源备映射正确，源端为float None位	期望更改为double	实际备端为double None位</t>
        </is>
      </c>
    </row>
    <row r="1713">
      <c r="B1713" t="inlineStr">
        <is>
          <t>NULL</t>
        </is>
      </c>
      <c r="C1713" t="inlineStr">
        <is>
          <t>NULL</t>
        </is>
      </c>
      <c r="D1713" t="inlineStr">
        <is>
          <t>NULL</t>
        </is>
      </c>
      <c r="E1713" t="inlineStr">
        <is>
          <t>NULL</t>
        </is>
      </c>
      <c r="F1713" t="inlineStr">
        <is>
          <t>NULL</t>
        </is>
      </c>
      <c r="G1713" t="inlineStr">
        <is>
          <t>NULL</t>
        </is>
      </c>
      <c r="H1713" t="inlineStr">
        <is>
          <t>NULL</t>
        </is>
      </c>
      <c r="I1713" t="inlineStr">
        <is>
          <t>NULL</t>
        </is>
      </c>
      <c r="J1713" t="inlineStr">
        <is>
          <t>NULL</t>
        </is>
      </c>
      <c r="K1713" t="inlineStr">
        <is>
          <t>YES! 	 c_real列源备映射正确，源端为real None位	期望更改为double	实际备端为double None位</t>
        </is>
      </c>
    </row>
    <row r="1714">
      <c r="B1714" t="inlineStr">
        <is>
          <t>NULL</t>
        </is>
      </c>
      <c r="C1714" t="inlineStr">
        <is>
          <t>NULL</t>
        </is>
      </c>
      <c r="D1714" t="inlineStr">
        <is>
          <t>NULL</t>
        </is>
      </c>
      <c r="E1714" t="inlineStr">
        <is>
          <t>NULL</t>
        </is>
      </c>
      <c r="F1714" t="inlineStr">
        <is>
          <t>NULL</t>
        </is>
      </c>
      <c r="G1714" t="inlineStr">
        <is>
          <t>NULL</t>
        </is>
      </c>
      <c r="H1714" t="inlineStr">
        <is>
          <t>NULL</t>
        </is>
      </c>
      <c r="I1714" t="inlineStr">
        <is>
          <t>NULL</t>
        </is>
      </c>
      <c r="J1714" t="inlineStr">
        <is>
          <t>NULL</t>
        </is>
      </c>
      <c r="K1714" t="inlineStr">
        <is>
          <t>YES! 	 c_money列源备映射正确，源端为money None位	期望更改为decimal(19,4)	实际备端为decimal None位</t>
        </is>
      </c>
    </row>
    <row r="1715">
      <c r="B1715" t="inlineStr">
        <is>
          <t>NULL</t>
        </is>
      </c>
      <c r="C1715" t="inlineStr">
        <is>
          <t>NULL</t>
        </is>
      </c>
      <c r="D1715" t="inlineStr">
        <is>
          <t>NULL</t>
        </is>
      </c>
      <c r="E1715" t="inlineStr">
        <is>
          <t>NULL</t>
        </is>
      </c>
      <c r="F1715" t="inlineStr">
        <is>
          <t>NULL</t>
        </is>
      </c>
      <c r="G1715" t="inlineStr">
        <is>
          <t>NULL</t>
        </is>
      </c>
      <c r="H1715" t="inlineStr">
        <is>
          <t>NULL</t>
        </is>
      </c>
      <c r="I1715" t="inlineStr">
        <is>
          <t>NULL</t>
        </is>
      </c>
      <c r="J1715" t="inlineStr">
        <is>
          <t>NULL</t>
        </is>
      </c>
      <c r="K1715" t="inlineStr">
        <is>
          <t>YES! 	 c_smallmoney列源备映射正确，源端为smallmoney None位	期望更改为decimal(10,4)	实际备端为decimal None位</t>
        </is>
      </c>
    </row>
    <row r="1716">
      <c r="B1716" t="inlineStr">
        <is>
          <t>NULL</t>
        </is>
      </c>
      <c r="C1716" t="inlineStr">
        <is>
          <t>NULL</t>
        </is>
      </c>
      <c r="D1716" t="inlineStr">
        <is>
          <t>NULL</t>
        </is>
      </c>
      <c r="E1716" t="inlineStr">
        <is>
          <t>NULL</t>
        </is>
      </c>
      <c r="F1716" t="inlineStr">
        <is>
          <t>NULL</t>
        </is>
      </c>
      <c r="G1716" t="inlineStr">
        <is>
          <t>NULL</t>
        </is>
      </c>
      <c r="H1716" t="inlineStr">
        <is>
          <t>NULL</t>
        </is>
      </c>
      <c r="I1716" t="inlineStr">
        <is>
          <t>NULL</t>
        </is>
      </c>
      <c r="J1716" t="inlineStr">
        <is>
          <t>NULL</t>
        </is>
      </c>
      <c r="K1716" t="inlineStr">
        <is>
          <t>YES! 	 c_bit列源备映射正确，源端为bit None位	期望更改为tinyint(1) 	实际备端为tinyint None位</t>
        </is>
      </c>
    </row>
    <row r="1717">
      <c r="A1717" t="inlineStr">
        <is>
          <t>info_varbinary_dml_single_pk</t>
        </is>
      </c>
      <c r="K1717" t="inlineStr">
        <is>
          <t>[0;34m info_varbinary_dml_single_pk [0m源备字段数相同，源端字段：4 	备端字段4</t>
        </is>
      </c>
      <c r="W1717" t="inlineStr">
        <is>
          <t>YES 源备无差异</t>
        </is>
      </c>
      <c r="X1717">
        <f>A1717</f>
        <v/>
      </c>
    </row>
    <row r="1718">
      <c r="B1718" t="inlineStr">
        <is>
          <t>YES</t>
        </is>
      </c>
      <c r="C1718" t="inlineStr">
        <is>
          <t>NULL</t>
        </is>
      </c>
      <c r="D1718" t="inlineStr">
        <is>
          <t>NULL</t>
        </is>
      </c>
      <c r="E1718" t="inlineStr">
        <is>
          <t>NULL</t>
        </is>
      </c>
      <c r="F1718" t="inlineStr">
        <is>
          <t>NULL</t>
        </is>
      </c>
      <c r="G1718" t="inlineStr">
        <is>
          <t>NULL</t>
        </is>
      </c>
      <c r="H1718" t="inlineStr">
        <is>
          <t>NULL</t>
        </is>
      </c>
      <c r="I1718" t="inlineStr">
        <is>
          <t>YES!PK__info_var__3213E83F5409CF8D</t>
        </is>
      </c>
      <c r="J1718" t="inlineStr">
        <is>
          <t>YES! 主键相关索引</t>
        </is>
      </c>
      <c r="K1718" t="inlineStr">
        <is>
          <t>YES! 	 id列源备映射正确，源端为int None位	期望更改为int	实际备端为int None位</t>
        </is>
      </c>
    </row>
    <row r="1719">
      <c r="B1719" t="inlineStr">
        <is>
          <t>NULL</t>
        </is>
      </c>
      <c r="C1719" t="inlineStr">
        <is>
          <t>NULL</t>
        </is>
      </c>
      <c r="D1719" t="inlineStr">
        <is>
          <t>NULL</t>
        </is>
      </c>
      <c r="E1719" t="inlineStr">
        <is>
          <t>NULL</t>
        </is>
      </c>
      <c r="F1719" t="inlineStr">
        <is>
          <t>NULL</t>
        </is>
      </c>
      <c r="G1719" t="inlineStr">
        <is>
          <t>NULL</t>
        </is>
      </c>
      <c r="H1719" t="inlineStr">
        <is>
          <t>NULL</t>
        </is>
      </c>
      <c r="I1719" t="inlineStr">
        <is>
          <t>NULL</t>
        </is>
      </c>
      <c r="J1719" t="inlineStr">
        <is>
          <t>NULL</t>
        </is>
      </c>
      <c r="K1719" t="inlineStr">
        <is>
          <t>YES! 	 c_varbinary列源备映射正确，源端为varbinary 1位	期望更改为varbinary(n)	实际备端为varbinary 1位</t>
        </is>
      </c>
    </row>
    <row r="1720">
      <c r="B1720" t="inlineStr">
        <is>
          <t>NULL</t>
        </is>
      </c>
      <c r="C1720" t="inlineStr">
        <is>
          <t>NULL</t>
        </is>
      </c>
      <c r="D1720" t="inlineStr">
        <is>
          <t>NULL</t>
        </is>
      </c>
      <c r="E1720" t="inlineStr">
        <is>
          <t>NULL</t>
        </is>
      </c>
      <c r="F1720" t="inlineStr">
        <is>
          <t>NULL</t>
        </is>
      </c>
      <c r="G1720" t="inlineStr">
        <is>
          <t>NULL</t>
        </is>
      </c>
      <c r="H1720" t="inlineStr">
        <is>
          <t>NULL</t>
        </is>
      </c>
      <c r="I1720" t="inlineStr">
        <is>
          <t>NULL</t>
        </is>
      </c>
      <c r="J1720" t="inlineStr">
        <is>
          <t>NULL</t>
        </is>
      </c>
      <c r="K1720" t="inlineStr">
        <is>
          <t>YES! 	 c_varbinary_100列源备映射正确，源端为varbinary 20位	期望更改为varbinary(n)	实际备端为varbinary 20位</t>
        </is>
      </c>
    </row>
    <row r="1721">
      <c r="B1721" t="inlineStr">
        <is>
          <t>NULL</t>
        </is>
      </c>
      <c r="C1721" t="inlineStr">
        <is>
          <t>NULL</t>
        </is>
      </c>
      <c r="D1721" t="inlineStr">
        <is>
          <t>NULL</t>
        </is>
      </c>
      <c r="E1721" t="inlineStr">
        <is>
          <t>NULL</t>
        </is>
      </c>
      <c r="F1721" t="inlineStr">
        <is>
          <t>NULL</t>
        </is>
      </c>
      <c r="G1721" t="inlineStr">
        <is>
          <t>NULL</t>
        </is>
      </c>
      <c r="H1721" t="inlineStr">
        <is>
          <t>NULL</t>
        </is>
      </c>
      <c r="I1721" t="inlineStr">
        <is>
          <t>NULL</t>
        </is>
      </c>
      <c r="J1721" t="inlineStr">
        <is>
          <t>NULL</t>
        </is>
      </c>
      <c r="K1721" t="inlineStr">
        <is>
          <t>YES! 	 c_varbinary_8000列源备映射正确，源端为varbinary 8000位	期望更改为longblob	实际备端为longblob 4294967295位</t>
        </is>
      </c>
    </row>
    <row r="1722">
      <c r="A1722" t="inlineStr">
        <is>
          <t>info_uniqueidentifier_dml_single_pk</t>
        </is>
      </c>
      <c r="K1722" t="inlineStr">
        <is>
          <t>[0;34m info_uniqueidentifier_dml_single_pk [0m源备字段数相同，源端字段：2 	备端字段2</t>
        </is>
      </c>
      <c r="W1722" t="inlineStr">
        <is>
          <t>YES 源备无差异</t>
        </is>
      </c>
      <c r="X1722">
        <f>A1722</f>
        <v/>
      </c>
    </row>
    <row r="1723">
      <c r="B1723" t="inlineStr">
        <is>
          <t>YES</t>
        </is>
      </c>
      <c r="C1723" t="inlineStr">
        <is>
          <t>NULL</t>
        </is>
      </c>
      <c r="D1723" t="inlineStr">
        <is>
          <t>NULL</t>
        </is>
      </c>
      <c r="E1723" t="inlineStr">
        <is>
          <t>NULL</t>
        </is>
      </c>
      <c r="F1723" t="inlineStr">
        <is>
          <t>NULL</t>
        </is>
      </c>
      <c r="G1723" t="inlineStr">
        <is>
          <t>NULL</t>
        </is>
      </c>
      <c r="H1723" t="inlineStr">
        <is>
          <t>NULL</t>
        </is>
      </c>
      <c r="I1723" t="inlineStr">
        <is>
          <t>YES!PK__info_uni__3213E83F8F66C056</t>
        </is>
      </c>
      <c r="J1723" t="inlineStr">
        <is>
          <t>YES! 主键相关索引</t>
        </is>
      </c>
      <c r="K1723" t="inlineStr">
        <is>
          <t>YES! 	 id列源备映射正确，源端为int None位	期望更改为int	实际备端为int None位</t>
        </is>
      </c>
    </row>
    <row r="1724">
      <c r="B1724" t="inlineStr">
        <is>
          <t>NULL</t>
        </is>
      </c>
      <c r="C1724" t="inlineStr">
        <is>
          <t>NULL</t>
        </is>
      </c>
      <c r="D1724" t="inlineStr">
        <is>
          <t>NULL</t>
        </is>
      </c>
      <c r="E1724" t="inlineStr">
        <is>
          <t>NULL</t>
        </is>
      </c>
      <c r="F1724" t="inlineStr">
        <is>
          <t>NULL</t>
        </is>
      </c>
      <c r="G1724" t="inlineStr">
        <is>
          <t>NULL</t>
        </is>
      </c>
      <c r="H1724" t="inlineStr">
        <is>
          <t>NULL</t>
        </is>
      </c>
      <c r="I1724" t="inlineStr">
        <is>
          <t>NULL</t>
        </is>
      </c>
      <c r="J1724" t="inlineStr">
        <is>
          <t>NULL</t>
        </is>
      </c>
      <c r="K1724" t="inlineStr">
        <is>
          <t>[0;32m YES! [0m 	 c_uniqueidentifier列源备映射正确，源端为uniqueidentifier None位	期望更改为VARCHAR(100)	实际备端为varchar 400位	位数精度不存在，通过长度比较</t>
        </is>
      </c>
    </row>
    <row r="1725">
      <c r="A1725" t="inlineStr">
        <is>
          <t>info_varbinary_max_dml_single_pk_irp</t>
        </is>
      </c>
      <c r="K1725" t="inlineStr">
        <is>
          <t>[0;34m info_varbinary_max_dml_single_pk_irp [0m源备字段数相同，源端字段：4 	备端字段4</t>
        </is>
      </c>
      <c r="W1725" t="inlineStr">
        <is>
          <t>YES 源备无差异</t>
        </is>
      </c>
      <c r="X1725">
        <f>A1725</f>
        <v/>
      </c>
    </row>
    <row r="1726">
      <c r="B1726" t="inlineStr">
        <is>
          <t>YES</t>
        </is>
      </c>
      <c r="C1726" t="inlineStr">
        <is>
          <t>NULL</t>
        </is>
      </c>
      <c r="D1726" t="inlineStr">
        <is>
          <t>NULL</t>
        </is>
      </c>
      <c r="E1726" t="inlineStr">
        <is>
          <t>NULL</t>
        </is>
      </c>
      <c r="F1726" t="inlineStr">
        <is>
          <t>NULL</t>
        </is>
      </c>
      <c r="G1726" t="inlineStr">
        <is>
          <t>NULL</t>
        </is>
      </c>
      <c r="H1726" t="inlineStr">
        <is>
          <t>NULL</t>
        </is>
      </c>
      <c r="I1726" t="inlineStr">
        <is>
          <t>YES!PK__info_var__3213E83F00D7D29D</t>
        </is>
      </c>
      <c r="J1726" t="inlineStr">
        <is>
          <t>YES! 主键相关索引</t>
        </is>
      </c>
      <c r="K1726" t="inlineStr">
        <is>
          <t>YES! 	 id列源备映射正确，源端为int None位	期望更改为int	实际备端为int None位</t>
        </is>
      </c>
    </row>
    <row r="1727">
      <c r="B1727" t="inlineStr">
        <is>
          <t>NULL</t>
        </is>
      </c>
      <c r="C1727" t="inlineStr">
        <is>
          <t>NULL</t>
        </is>
      </c>
      <c r="D1727" t="inlineStr">
        <is>
          <t>NULL</t>
        </is>
      </c>
      <c r="E1727" t="inlineStr">
        <is>
          <t>NULL</t>
        </is>
      </c>
      <c r="F1727" t="inlineStr">
        <is>
          <t>NULL</t>
        </is>
      </c>
      <c r="G1727" t="inlineStr">
        <is>
          <t>NULL</t>
        </is>
      </c>
      <c r="H1727" t="inlineStr">
        <is>
          <t>NULL</t>
        </is>
      </c>
      <c r="I1727" t="inlineStr">
        <is>
          <t>NULL</t>
        </is>
      </c>
      <c r="J1727" t="inlineStr">
        <is>
          <t>NULL</t>
        </is>
      </c>
      <c r="K1727" t="inlineStr">
        <is>
          <t>YES! 	 c_varbinary_max1列源备映射正确，源端为varbinary -1位	期望更改为longblob	实际备端为longblob 4294967295位</t>
        </is>
      </c>
    </row>
    <row r="1728">
      <c r="B1728" t="inlineStr">
        <is>
          <t>NULL</t>
        </is>
      </c>
      <c r="C1728" t="inlineStr">
        <is>
          <t>NULL</t>
        </is>
      </c>
      <c r="D1728" t="inlineStr">
        <is>
          <t>NULL</t>
        </is>
      </c>
      <c r="E1728" t="inlineStr">
        <is>
          <t>NULL</t>
        </is>
      </c>
      <c r="F1728" t="inlineStr">
        <is>
          <t>NULL</t>
        </is>
      </c>
      <c r="G1728" t="inlineStr">
        <is>
          <t>NULL</t>
        </is>
      </c>
      <c r="H1728" t="inlineStr">
        <is>
          <t>NULL</t>
        </is>
      </c>
      <c r="I1728" t="inlineStr">
        <is>
          <t>NULL</t>
        </is>
      </c>
      <c r="J1728" t="inlineStr">
        <is>
          <t>NULL</t>
        </is>
      </c>
      <c r="K1728" t="inlineStr">
        <is>
          <t>YES! 	 c_varbinary_max2列源备映射正确，源端为varbinary -1位	期望更改为longblob	实际备端为longblob 4294967295位</t>
        </is>
      </c>
    </row>
    <row r="1729">
      <c r="B1729" t="inlineStr">
        <is>
          <t>NULL</t>
        </is>
      </c>
      <c r="C1729" t="inlineStr">
        <is>
          <t>NULL</t>
        </is>
      </c>
      <c r="D1729" t="inlineStr">
        <is>
          <t>NULL</t>
        </is>
      </c>
      <c r="E1729" t="inlineStr">
        <is>
          <t>NULL</t>
        </is>
      </c>
      <c r="F1729" t="inlineStr">
        <is>
          <t>NULL</t>
        </is>
      </c>
      <c r="G1729" t="inlineStr">
        <is>
          <t>NULL</t>
        </is>
      </c>
      <c r="H1729" t="inlineStr">
        <is>
          <t>NULL</t>
        </is>
      </c>
      <c r="I1729" t="inlineStr">
        <is>
          <t>NULL</t>
        </is>
      </c>
      <c r="J1729" t="inlineStr">
        <is>
          <t>NULL</t>
        </is>
      </c>
      <c r="K1729" t="inlineStr">
        <is>
          <t>YES! 	 c_image3列源备映射正确，源端为image 2147483647位	期望更改为longblob	实际备端为longblob 4294967295位</t>
        </is>
      </c>
    </row>
    <row r="1730">
      <c r="A1730" t="inlineStr">
        <is>
          <t>info_xml_dml_single_pk_irp</t>
        </is>
      </c>
      <c r="K1730" t="inlineStr">
        <is>
          <t>[0;34m info_xml_dml_single_pk_irp [0m源备字段数相同，源端字段：2 	备端字段2</t>
        </is>
      </c>
      <c r="W1730" t="inlineStr">
        <is>
          <t>YES 源备无差异</t>
        </is>
      </c>
      <c r="X1730">
        <f>A1730</f>
        <v/>
      </c>
    </row>
    <row r="1731">
      <c r="B1731" t="inlineStr">
        <is>
          <t>YES</t>
        </is>
      </c>
      <c r="C1731" t="inlineStr">
        <is>
          <t>NULL</t>
        </is>
      </c>
      <c r="D1731" t="inlineStr">
        <is>
          <t>NULL</t>
        </is>
      </c>
      <c r="E1731" t="inlineStr">
        <is>
          <t>NULL</t>
        </is>
      </c>
      <c r="F1731" t="inlineStr">
        <is>
          <t>NULL</t>
        </is>
      </c>
      <c r="G1731" t="inlineStr">
        <is>
          <t>NULL</t>
        </is>
      </c>
      <c r="H1731" t="inlineStr">
        <is>
          <t>NULL</t>
        </is>
      </c>
      <c r="I1731" t="inlineStr">
        <is>
          <t>YES!PK__info_xml__3213E83F2267ADE4</t>
        </is>
      </c>
      <c r="J1731" t="inlineStr">
        <is>
          <t>YES! 主键相关索引</t>
        </is>
      </c>
      <c r="K1731" t="inlineStr">
        <is>
          <t>YES! 	 id列源备映射正确，源端为int None位	期望更改为int	实际备端为int None位</t>
        </is>
      </c>
    </row>
    <row r="1732">
      <c r="B1732" t="inlineStr">
        <is>
          <t>NULL</t>
        </is>
      </c>
      <c r="C1732" t="inlineStr">
        <is>
          <t>NULL</t>
        </is>
      </c>
      <c r="D1732" t="inlineStr">
        <is>
          <t>NULL</t>
        </is>
      </c>
      <c r="E1732" t="inlineStr">
        <is>
          <t>NULL</t>
        </is>
      </c>
      <c r="F1732" t="inlineStr">
        <is>
          <t>NULL</t>
        </is>
      </c>
      <c r="G1732" t="inlineStr">
        <is>
          <t>NULL</t>
        </is>
      </c>
      <c r="H1732" t="inlineStr">
        <is>
          <t>NULL</t>
        </is>
      </c>
      <c r="I1732" t="inlineStr">
        <is>
          <t>NULL</t>
        </is>
      </c>
      <c r="J1732" t="inlineStr">
        <is>
          <t>NULL</t>
        </is>
      </c>
      <c r="K1732" t="inlineStr">
        <is>
          <t>YES! 	 c_xml列源备映射正确，源端为xml -1位	期望更改为longtext	实际备端为longtext 4294967295位</t>
        </is>
      </c>
    </row>
    <row r="1733">
      <c r="A1733" t="inlineStr">
        <is>
          <t>info_varbinary_max_dml_single_pk_urp</t>
        </is>
      </c>
      <c r="K1733" t="inlineStr">
        <is>
          <t>[0;34m info_varbinary_max_dml_single_pk_urp [0m源备字段数相同，源端字段：4 	备端字段4</t>
        </is>
      </c>
      <c r="W1733" t="inlineStr">
        <is>
          <t>YES 源备无差异</t>
        </is>
      </c>
      <c r="X1733">
        <f>A1733</f>
        <v/>
      </c>
    </row>
    <row r="1734">
      <c r="B1734" t="inlineStr">
        <is>
          <t>YES</t>
        </is>
      </c>
      <c r="C1734" t="inlineStr">
        <is>
          <t>NULL</t>
        </is>
      </c>
      <c r="D1734" t="inlineStr">
        <is>
          <t>NULL</t>
        </is>
      </c>
      <c r="E1734" t="inlineStr">
        <is>
          <t>NULL</t>
        </is>
      </c>
      <c r="F1734" t="inlineStr">
        <is>
          <t>NULL</t>
        </is>
      </c>
      <c r="G1734" t="inlineStr">
        <is>
          <t>NULL</t>
        </is>
      </c>
      <c r="H1734" t="inlineStr">
        <is>
          <t>NULL</t>
        </is>
      </c>
      <c r="I1734" t="inlineStr">
        <is>
          <t>YES!PK__info_var__3213E83FE861EA08</t>
        </is>
      </c>
      <c r="J1734" t="inlineStr">
        <is>
          <t>YES! 主键相关索引</t>
        </is>
      </c>
      <c r="K1734" t="inlineStr">
        <is>
          <t>YES! 	 id列源备映射正确，源端为int None位	期望更改为int	实际备端为int None位</t>
        </is>
      </c>
    </row>
    <row r="1735">
      <c r="B1735" t="inlineStr">
        <is>
          <t>NULL</t>
        </is>
      </c>
      <c r="C1735" t="inlineStr">
        <is>
          <t>NULL</t>
        </is>
      </c>
      <c r="D1735" t="inlineStr">
        <is>
          <t>NULL</t>
        </is>
      </c>
      <c r="E1735" t="inlineStr">
        <is>
          <t>NULL</t>
        </is>
      </c>
      <c r="F1735" t="inlineStr">
        <is>
          <t>NULL</t>
        </is>
      </c>
      <c r="G1735" t="inlineStr">
        <is>
          <t>NULL</t>
        </is>
      </c>
      <c r="H1735" t="inlineStr">
        <is>
          <t>NULL</t>
        </is>
      </c>
      <c r="I1735" t="inlineStr">
        <is>
          <t>NULL</t>
        </is>
      </c>
      <c r="J1735" t="inlineStr">
        <is>
          <t>NULL</t>
        </is>
      </c>
      <c r="K1735" t="inlineStr">
        <is>
          <t>YES! 	 c_varbinary_max1列源备映射正确，源端为varbinary -1位	期望更改为longblob	实际备端为longblob 4294967295位</t>
        </is>
      </c>
    </row>
    <row r="1736">
      <c r="B1736" t="inlineStr">
        <is>
          <t>NULL</t>
        </is>
      </c>
      <c r="C1736" t="inlineStr">
        <is>
          <t>NULL</t>
        </is>
      </c>
      <c r="D1736" t="inlineStr">
        <is>
          <t>NULL</t>
        </is>
      </c>
      <c r="E1736" t="inlineStr">
        <is>
          <t>NULL</t>
        </is>
      </c>
      <c r="F1736" t="inlineStr">
        <is>
          <t>NULL</t>
        </is>
      </c>
      <c r="G1736" t="inlineStr">
        <is>
          <t>NULL</t>
        </is>
      </c>
      <c r="H1736" t="inlineStr">
        <is>
          <t>NULL</t>
        </is>
      </c>
      <c r="I1736" t="inlineStr">
        <is>
          <t>NULL</t>
        </is>
      </c>
      <c r="J1736" t="inlineStr">
        <is>
          <t>NULL</t>
        </is>
      </c>
      <c r="K1736" t="inlineStr">
        <is>
          <t>YES! 	 c_varbinary_max2列源备映射正确，源端为varbinary -1位	期望更改为longblob	实际备端为longblob 4294967295位</t>
        </is>
      </c>
    </row>
    <row r="1737">
      <c r="B1737" t="inlineStr">
        <is>
          <t>NULL</t>
        </is>
      </c>
      <c r="C1737" t="inlineStr">
        <is>
          <t>NULL</t>
        </is>
      </c>
      <c r="D1737" t="inlineStr">
        <is>
          <t>NULL</t>
        </is>
      </c>
      <c r="E1737" t="inlineStr">
        <is>
          <t>NULL</t>
        </is>
      </c>
      <c r="F1737" t="inlineStr">
        <is>
          <t>NULL</t>
        </is>
      </c>
      <c r="G1737" t="inlineStr">
        <is>
          <t>NULL</t>
        </is>
      </c>
      <c r="H1737" t="inlineStr">
        <is>
          <t>NULL</t>
        </is>
      </c>
      <c r="I1737" t="inlineStr">
        <is>
          <t>NULL</t>
        </is>
      </c>
      <c r="J1737" t="inlineStr">
        <is>
          <t>NULL</t>
        </is>
      </c>
      <c r="K1737" t="inlineStr">
        <is>
          <t>YES! 	 c_image3列源备映射正确，源端为image 2147483647位	期望更改为longblob	实际备端为longblob 4294967295位</t>
        </is>
      </c>
    </row>
    <row r="1738">
      <c r="A1738" t="inlineStr">
        <is>
          <t>info_int_dml_batch1_pk_urp1</t>
        </is>
      </c>
      <c r="K1738" t="inlineStr">
        <is>
          <t>[0;34m info_int_dml_batch1_pk_urp1 [0m源备字段数相同，源端字段：20 	备端字段20</t>
        </is>
      </c>
      <c r="W1738" t="inlineStr">
        <is>
          <t>YES 源备无差异</t>
        </is>
      </c>
      <c r="X1738">
        <f>A1738</f>
        <v/>
      </c>
    </row>
    <row r="1739">
      <c r="B1739" t="inlineStr">
        <is>
          <t>YES</t>
        </is>
      </c>
      <c r="C1739" t="inlineStr">
        <is>
          <t>NULL</t>
        </is>
      </c>
      <c r="D1739" t="inlineStr">
        <is>
          <t>NULL</t>
        </is>
      </c>
      <c r="E1739" t="inlineStr">
        <is>
          <t>NULL</t>
        </is>
      </c>
      <c r="F1739" t="inlineStr">
        <is>
          <t>NULL</t>
        </is>
      </c>
      <c r="G1739" t="inlineStr">
        <is>
          <t>NULL</t>
        </is>
      </c>
      <c r="H1739" t="inlineStr">
        <is>
          <t>NULL</t>
        </is>
      </c>
      <c r="I1739" t="inlineStr">
        <is>
          <t>YES!PK__info_int__3213E83FE0417859</t>
        </is>
      </c>
      <c r="J1739" t="inlineStr">
        <is>
          <t>YES! 主键相关索引</t>
        </is>
      </c>
      <c r="K1739" t="inlineStr">
        <is>
          <t>YES! 	 id列源备映射正确，源端为int None位	期望更改为int	实际备端为int None位</t>
        </is>
      </c>
    </row>
    <row r="1740">
      <c r="B1740" t="inlineStr">
        <is>
          <t>NULL</t>
        </is>
      </c>
      <c r="C1740" t="inlineStr">
        <is>
          <t>NULL</t>
        </is>
      </c>
      <c r="D1740" t="inlineStr">
        <is>
          <t>NULL</t>
        </is>
      </c>
      <c r="E1740" t="inlineStr">
        <is>
          <t>NULL</t>
        </is>
      </c>
      <c r="F1740" t="inlineStr">
        <is>
          <t>NULL</t>
        </is>
      </c>
      <c r="G1740" t="inlineStr">
        <is>
          <t>NULL</t>
        </is>
      </c>
      <c r="H1740" t="inlineStr">
        <is>
          <t>NULL</t>
        </is>
      </c>
      <c r="I1740" t="inlineStr">
        <is>
          <t>NULL</t>
        </is>
      </c>
      <c r="J1740" t="inlineStr">
        <is>
          <t>NULL</t>
        </is>
      </c>
      <c r="K1740" t="inlineStr">
        <is>
          <t>YES! 	 c_tinyint列源备映射正确，源端为tinyint None位	期望更改为tinyint	实际备端为tinyint None位</t>
        </is>
      </c>
    </row>
    <row r="1741">
      <c r="B1741" t="inlineStr">
        <is>
          <t>NULL</t>
        </is>
      </c>
      <c r="C1741" t="inlineStr">
        <is>
          <t>NULL</t>
        </is>
      </c>
      <c r="D1741" t="inlineStr">
        <is>
          <t>NULL</t>
        </is>
      </c>
      <c r="E1741" t="inlineStr">
        <is>
          <t>NULL</t>
        </is>
      </c>
      <c r="F1741" t="inlineStr">
        <is>
          <t>NULL</t>
        </is>
      </c>
      <c r="G1741" t="inlineStr">
        <is>
          <t>NULL</t>
        </is>
      </c>
      <c r="H1741" t="inlineStr">
        <is>
          <t>NULL</t>
        </is>
      </c>
      <c r="I1741" t="inlineStr">
        <is>
          <t>NULL</t>
        </is>
      </c>
      <c r="J1741" t="inlineStr">
        <is>
          <t>NULL</t>
        </is>
      </c>
      <c r="K1741" t="inlineStr">
        <is>
          <t>YES! 	 c_smallint列源备映射正确，源端为smallint None位	期望更改为smallint	实际备端为smallint None位</t>
        </is>
      </c>
    </row>
    <row r="1742">
      <c r="B1742" t="inlineStr">
        <is>
          <t>NULL</t>
        </is>
      </c>
      <c r="C1742" t="inlineStr">
        <is>
          <t>NULL</t>
        </is>
      </c>
      <c r="D1742" t="inlineStr">
        <is>
          <t>NULL</t>
        </is>
      </c>
      <c r="E1742" t="inlineStr">
        <is>
          <t>NULL</t>
        </is>
      </c>
      <c r="F1742" t="inlineStr">
        <is>
          <t>NULL</t>
        </is>
      </c>
      <c r="G1742" t="inlineStr">
        <is>
          <t>NULL</t>
        </is>
      </c>
      <c r="H1742" t="inlineStr">
        <is>
          <t>NULL</t>
        </is>
      </c>
      <c r="I1742" t="inlineStr">
        <is>
          <t>NULL</t>
        </is>
      </c>
      <c r="J1742" t="inlineStr">
        <is>
          <t>NULL</t>
        </is>
      </c>
      <c r="K1742" t="inlineStr">
        <is>
          <t>YES! 	 c_int列源备映射正确，源端为int None位	期望更改为int	实际备端为int None位</t>
        </is>
      </c>
    </row>
    <row r="1743">
      <c r="B1743" t="inlineStr">
        <is>
          <t>NULL</t>
        </is>
      </c>
      <c r="C1743" t="inlineStr">
        <is>
          <t>NULL</t>
        </is>
      </c>
      <c r="D1743" t="inlineStr">
        <is>
          <t>NULL</t>
        </is>
      </c>
      <c r="E1743" t="inlineStr">
        <is>
          <t>NULL</t>
        </is>
      </c>
      <c r="F1743" t="inlineStr">
        <is>
          <t>NULL</t>
        </is>
      </c>
      <c r="G1743" t="inlineStr">
        <is>
          <t>NULL</t>
        </is>
      </c>
      <c r="H1743" t="inlineStr">
        <is>
          <t>NULL</t>
        </is>
      </c>
      <c r="I1743" t="inlineStr">
        <is>
          <t>NULL</t>
        </is>
      </c>
      <c r="J1743" t="inlineStr">
        <is>
          <t>NULL</t>
        </is>
      </c>
      <c r="K1743" t="inlineStr">
        <is>
          <t>YES! 	 c_bigint列源备映射正确，源端为bigint None位	期望更改为bigint	实际备端为bigint None位</t>
        </is>
      </c>
    </row>
    <row r="1744">
      <c r="B1744" t="inlineStr">
        <is>
          <t>NULL</t>
        </is>
      </c>
      <c r="C1744" t="inlineStr">
        <is>
          <t>NULL</t>
        </is>
      </c>
      <c r="D1744" t="inlineStr">
        <is>
          <t>NULL</t>
        </is>
      </c>
      <c r="E1744" t="inlineStr">
        <is>
          <t>NULL</t>
        </is>
      </c>
      <c r="F1744" t="inlineStr">
        <is>
          <t>NULL</t>
        </is>
      </c>
      <c r="G1744" t="inlineStr">
        <is>
          <t>NULL</t>
        </is>
      </c>
      <c r="H1744" t="inlineStr">
        <is>
          <t>NULL</t>
        </is>
      </c>
      <c r="I1744" t="inlineStr">
        <is>
          <t>NULL</t>
        </is>
      </c>
      <c r="J1744" t="inlineStr">
        <is>
          <t>NULL</t>
        </is>
      </c>
      <c r="K1744" t="inlineStr">
        <is>
          <t>YES! 	 c_decimal列源备映射正确，源端为decimal None位	期望更改为decimal(p,s)	实际备端为decimal None位</t>
        </is>
      </c>
    </row>
    <row r="1745">
      <c r="B1745" t="inlineStr">
        <is>
          <t>NULL</t>
        </is>
      </c>
      <c r="C1745" t="inlineStr">
        <is>
          <t>NULL</t>
        </is>
      </c>
      <c r="D1745" t="inlineStr">
        <is>
          <t>NULL</t>
        </is>
      </c>
      <c r="E1745" t="inlineStr">
        <is>
          <t>NULL</t>
        </is>
      </c>
      <c r="F1745" t="inlineStr">
        <is>
          <t>NULL</t>
        </is>
      </c>
      <c r="G1745" t="inlineStr">
        <is>
          <t>NULL</t>
        </is>
      </c>
      <c r="H1745" t="inlineStr">
        <is>
          <t>NULL</t>
        </is>
      </c>
      <c r="I1745" t="inlineStr">
        <is>
          <t>NULL</t>
        </is>
      </c>
      <c r="J1745" t="inlineStr">
        <is>
          <t>NULL</t>
        </is>
      </c>
      <c r="K1745" t="inlineStr">
        <is>
          <t>YES! 	 c_decimal38列源备映射正确，源端为decimal None位	期望更改为decimal(p,s)	实际备端为decimal None位</t>
        </is>
      </c>
    </row>
    <row r="1746">
      <c r="B1746" t="inlineStr">
        <is>
          <t>NULL</t>
        </is>
      </c>
      <c r="C1746" t="inlineStr">
        <is>
          <t>NULL</t>
        </is>
      </c>
      <c r="D1746" t="inlineStr">
        <is>
          <t>NULL</t>
        </is>
      </c>
      <c r="E1746" t="inlineStr">
        <is>
          <t>NULL</t>
        </is>
      </c>
      <c r="F1746" t="inlineStr">
        <is>
          <t>NULL</t>
        </is>
      </c>
      <c r="G1746" t="inlineStr">
        <is>
          <t>NULL</t>
        </is>
      </c>
      <c r="H1746" t="inlineStr">
        <is>
          <t>NULL</t>
        </is>
      </c>
      <c r="I1746" t="inlineStr">
        <is>
          <t>NULL</t>
        </is>
      </c>
      <c r="J1746" t="inlineStr">
        <is>
          <t>NULL</t>
        </is>
      </c>
      <c r="K1746" t="inlineStr">
        <is>
          <t xml:space="preserve"> NO!  	 c_decimal38_38列源备映射错误，源端为decimal None位	期望更改为decimal(p,s)	实际备端为varchar 168位</t>
        </is>
      </c>
    </row>
    <row r="1747">
      <c r="B1747" t="inlineStr">
        <is>
          <t>NULL</t>
        </is>
      </c>
      <c r="C1747" t="inlineStr">
        <is>
          <t>NULL</t>
        </is>
      </c>
      <c r="D1747" t="inlineStr">
        <is>
          <t>NULL</t>
        </is>
      </c>
      <c r="E1747" t="inlineStr">
        <is>
          <t>NULL</t>
        </is>
      </c>
      <c r="F1747" t="inlineStr">
        <is>
          <t>NULL</t>
        </is>
      </c>
      <c r="G1747" t="inlineStr">
        <is>
          <t>NULL</t>
        </is>
      </c>
      <c r="H1747" t="inlineStr">
        <is>
          <t>NULL</t>
        </is>
      </c>
      <c r="I1747" t="inlineStr">
        <is>
          <t>NULL</t>
        </is>
      </c>
      <c r="J1747" t="inlineStr">
        <is>
          <t>NULL</t>
        </is>
      </c>
      <c r="K1747" t="inlineStr">
        <is>
          <t>YES! 	 c_decimal38_10列源备映射正确，源端为decimal None位	期望更改为decimal(p,s)	实际备端为decimal None位</t>
        </is>
      </c>
    </row>
    <row r="1748">
      <c r="B1748" t="inlineStr">
        <is>
          <t>NULL</t>
        </is>
      </c>
      <c r="C1748" t="inlineStr">
        <is>
          <t>NULL</t>
        </is>
      </c>
      <c r="D1748" t="inlineStr">
        <is>
          <t>NULL</t>
        </is>
      </c>
      <c r="E1748" t="inlineStr">
        <is>
          <t>NULL</t>
        </is>
      </c>
      <c r="F1748" t="inlineStr">
        <is>
          <t>NULL</t>
        </is>
      </c>
      <c r="G1748" t="inlineStr">
        <is>
          <t>NULL</t>
        </is>
      </c>
      <c r="H1748" t="inlineStr">
        <is>
          <t>NULL</t>
        </is>
      </c>
      <c r="I1748" t="inlineStr">
        <is>
          <t>NULL</t>
        </is>
      </c>
      <c r="J1748" t="inlineStr">
        <is>
          <t>NULL</t>
        </is>
      </c>
      <c r="K1748" t="inlineStr">
        <is>
          <t>YES! 	 c_decimal19_4列源备映射正确，源端为decimal None位	期望更改为decimal(p,s)	实际备端为decimal None位</t>
        </is>
      </c>
    </row>
    <row r="1749">
      <c r="B1749" t="inlineStr">
        <is>
          <t>NULL</t>
        </is>
      </c>
      <c r="C1749" t="inlineStr">
        <is>
          <t>NULL</t>
        </is>
      </c>
      <c r="D1749" t="inlineStr">
        <is>
          <t>NULL</t>
        </is>
      </c>
      <c r="E1749" t="inlineStr">
        <is>
          <t>NULL</t>
        </is>
      </c>
      <c r="F1749" t="inlineStr">
        <is>
          <t>NULL</t>
        </is>
      </c>
      <c r="G1749" t="inlineStr">
        <is>
          <t>NULL</t>
        </is>
      </c>
      <c r="H1749" t="inlineStr">
        <is>
          <t>NULL</t>
        </is>
      </c>
      <c r="I1749" t="inlineStr">
        <is>
          <t>NULL</t>
        </is>
      </c>
      <c r="J1749" t="inlineStr">
        <is>
          <t>NULL</t>
        </is>
      </c>
      <c r="K1749" t="inlineStr">
        <is>
          <t>YES! 	 c_numeric列源备映射正确，源端为numeric None位	期望更改为decimal(p,s)	实际备端为decimal None位</t>
        </is>
      </c>
    </row>
    <row r="1750">
      <c r="B1750" t="inlineStr">
        <is>
          <t>NULL</t>
        </is>
      </c>
      <c r="C1750" t="inlineStr">
        <is>
          <t>NULL</t>
        </is>
      </c>
      <c r="D1750" t="inlineStr">
        <is>
          <t>NULL</t>
        </is>
      </c>
      <c r="E1750" t="inlineStr">
        <is>
          <t>NULL</t>
        </is>
      </c>
      <c r="F1750" t="inlineStr">
        <is>
          <t>NULL</t>
        </is>
      </c>
      <c r="G1750" t="inlineStr">
        <is>
          <t>NULL</t>
        </is>
      </c>
      <c r="H1750" t="inlineStr">
        <is>
          <t>NULL</t>
        </is>
      </c>
      <c r="I1750" t="inlineStr">
        <is>
          <t>NULL</t>
        </is>
      </c>
      <c r="J1750" t="inlineStr">
        <is>
          <t>NULL</t>
        </is>
      </c>
      <c r="K1750" t="inlineStr">
        <is>
          <t>YES! 	 c_numeric38列源备映射正确，源端为numeric None位	期望更改为decimal(p,s)	实际备端为decimal None位</t>
        </is>
      </c>
    </row>
    <row r="1751">
      <c r="B1751" t="inlineStr">
        <is>
          <t>NULL</t>
        </is>
      </c>
      <c r="C1751" t="inlineStr">
        <is>
          <t>NULL</t>
        </is>
      </c>
      <c r="D1751" t="inlineStr">
        <is>
          <t>NULL</t>
        </is>
      </c>
      <c r="E1751" t="inlineStr">
        <is>
          <t>NULL</t>
        </is>
      </c>
      <c r="F1751" t="inlineStr">
        <is>
          <t>NULL</t>
        </is>
      </c>
      <c r="G1751" t="inlineStr">
        <is>
          <t>NULL</t>
        </is>
      </c>
      <c r="H1751" t="inlineStr">
        <is>
          <t>NULL</t>
        </is>
      </c>
      <c r="I1751" t="inlineStr">
        <is>
          <t>NULL</t>
        </is>
      </c>
      <c r="J1751" t="inlineStr">
        <is>
          <t>NULL</t>
        </is>
      </c>
      <c r="K1751" t="inlineStr">
        <is>
          <t xml:space="preserve"> NO!  	 c_numeric38_38列源备映射错误，源端为numeric None位	期望更改为decimal(p,s)	实际备端为varchar 168位</t>
        </is>
      </c>
    </row>
    <row r="1752">
      <c r="B1752" t="inlineStr">
        <is>
          <t>NULL</t>
        </is>
      </c>
      <c r="C1752" t="inlineStr">
        <is>
          <t>NULL</t>
        </is>
      </c>
      <c r="D1752" t="inlineStr">
        <is>
          <t>NULL</t>
        </is>
      </c>
      <c r="E1752" t="inlineStr">
        <is>
          <t>NULL</t>
        </is>
      </c>
      <c r="F1752" t="inlineStr">
        <is>
          <t>NULL</t>
        </is>
      </c>
      <c r="G1752" t="inlineStr">
        <is>
          <t>NULL</t>
        </is>
      </c>
      <c r="H1752" t="inlineStr">
        <is>
          <t>NULL</t>
        </is>
      </c>
      <c r="I1752" t="inlineStr">
        <is>
          <t>NULL</t>
        </is>
      </c>
      <c r="J1752" t="inlineStr">
        <is>
          <t>NULL</t>
        </is>
      </c>
      <c r="K1752" t="inlineStr">
        <is>
          <t>YES! 	 c_numeric38_10列源备映射正确，源端为numeric None位	期望更改为decimal(p,s)	实际备端为decimal None位</t>
        </is>
      </c>
    </row>
    <row r="1753">
      <c r="B1753" t="inlineStr">
        <is>
          <t>NULL</t>
        </is>
      </c>
      <c r="C1753" t="inlineStr">
        <is>
          <t>NULL</t>
        </is>
      </c>
      <c r="D1753" t="inlineStr">
        <is>
          <t>NULL</t>
        </is>
      </c>
      <c r="E1753" t="inlineStr">
        <is>
          <t>NULL</t>
        </is>
      </c>
      <c r="F1753" t="inlineStr">
        <is>
          <t>NULL</t>
        </is>
      </c>
      <c r="G1753" t="inlineStr">
        <is>
          <t>NULL</t>
        </is>
      </c>
      <c r="H1753" t="inlineStr">
        <is>
          <t>NULL</t>
        </is>
      </c>
      <c r="I1753" t="inlineStr">
        <is>
          <t>NULL</t>
        </is>
      </c>
      <c r="J1753" t="inlineStr">
        <is>
          <t>NULL</t>
        </is>
      </c>
      <c r="K1753" t="inlineStr">
        <is>
          <t>YES! 	 c_numeric18_2列源备映射正确，源端为numeric None位	期望更改为decimal(p,s)	实际备端为decimal None位</t>
        </is>
      </c>
    </row>
    <row r="1754">
      <c r="B1754" t="inlineStr">
        <is>
          <t>NULL</t>
        </is>
      </c>
      <c r="C1754" t="inlineStr">
        <is>
          <t>NULL</t>
        </is>
      </c>
      <c r="D1754" t="inlineStr">
        <is>
          <t>NULL</t>
        </is>
      </c>
      <c r="E1754" t="inlineStr">
        <is>
          <t>NULL</t>
        </is>
      </c>
      <c r="F1754" t="inlineStr">
        <is>
          <t>NULL</t>
        </is>
      </c>
      <c r="G1754" t="inlineStr">
        <is>
          <t>NULL</t>
        </is>
      </c>
      <c r="H1754" t="inlineStr">
        <is>
          <t>NULL</t>
        </is>
      </c>
      <c r="I1754" t="inlineStr">
        <is>
          <t>NULL</t>
        </is>
      </c>
      <c r="J1754" t="inlineStr">
        <is>
          <t>NULL</t>
        </is>
      </c>
      <c r="K1754" t="inlineStr">
        <is>
          <t>YES! 	 c_float列源备映射正确，源端为float None位	期望更改为double	实际备端为double None位</t>
        </is>
      </c>
    </row>
    <row r="1755">
      <c r="B1755" t="inlineStr">
        <is>
          <t>NULL</t>
        </is>
      </c>
      <c r="C1755" t="inlineStr">
        <is>
          <t>NULL</t>
        </is>
      </c>
      <c r="D1755" t="inlineStr">
        <is>
          <t>NULL</t>
        </is>
      </c>
      <c r="E1755" t="inlineStr">
        <is>
          <t>NULL</t>
        </is>
      </c>
      <c r="F1755" t="inlineStr">
        <is>
          <t>NULL</t>
        </is>
      </c>
      <c r="G1755" t="inlineStr">
        <is>
          <t>NULL</t>
        </is>
      </c>
      <c r="H1755" t="inlineStr">
        <is>
          <t>NULL</t>
        </is>
      </c>
      <c r="I1755" t="inlineStr">
        <is>
          <t>NULL</t>
        </is>
      </c>
      <c r="J1755" t="inlineStr">
        <is>
          <t>NULL</t>
        </is>
      </c>
      <c r="K1755" t="inlineStr">
        <is>
          <t>YES! 	 c_real列源备映射正确，源端为real None位	期望更改为double	实际备端为double None位</t>
        </is>
      </c>
    </row>
    <row r="1756">
      <c r="B1756" t="inlineStr">
        <is>
          <t>NULL</t>
        </is>
      </c>
      <c r="C1756" t="inlineStr">
        <is>
          <t>NULL</t>
        </is>
      </c>
      <c r="D1756" t="inlineStr">
        <is>
          <t>NULL</t>
        </is>
      </c>
      <c r="E1756" t="inlineStr">
        <is>
          <t>NULL</t>
        </is>
      </c>
      <c r="F1756" t="inlineStr">
        <is>
          <t>NULL</t>
        </is>
      </c>
      <c r="G1756" t="inlineStr">
        <is>
          <t>NULL</t>
        </is>
      </c>
      <c r="H1756" t="inlineStr">
        <is>
          <t>NULL</t>
        </is>
      </c>
      <c r="I1756" t="inlineStr">
        <is>
          <t>NULL</t>
        </is>
      </c>
      <c r="J1756" t="inlineStr">
        <is>
          <t>NULL</t>
        </is>
      </c>
      <c r="K1756" t="inlineStr">
        <is>
          <t>YES! 	 c_money列源备映射正确，源端为money None位	期望更改为decimal(19,4)	实际备端为decimal None位</t>
        </is>
      </c>
    </row>
    <row r="1757">
      <c r="B1757" t="inlineStr">
        <is>
          <t>NULL</t>
        </is>
      </c>
      <c r="C1757" t="inlineStr">
        <is>
          <t>NULL</t>
        </is>
      </c>
      <c r="D1757" t="inlineStr">
        <is>
          <t>NULL</t>
        </is>
      </c>
      <c r="E1757" t="inlineStr">
        <is>
          <t>NULL</t>
        </is>
      </c>
      <c r="F1757" t="inlineStr">
        <is>
          <t>NULL</t>
        </is>
      </c>
      <c r="G1757" t="inlineStr">
        <is>
          <t>NULL</t>
        </is>
      </c>
      <c r="H1757" t="inlineStr">
        <is>
          <t>NULL</t>
        </is>
      </c>
      <c r="I1757" t="inlineStr">
        <is>
          <t>NULL</t>
        </is>
      </c>
      <c r="J1757" t="inlineStr">
        <is>
          <t>NULL</t>
        </is>
      </c>
      <c r="K1757" t="inlineStr">
        <is>
          <t>YES! 	 c_smallmoney列源备映射正确，源端为smallmoney None位	期望更改为decimal(10,4)	实际备端为decimal None位</t>
        </is>
      </c>
    </row>
    <row r="1758">
      <c r="B1758" t="inlineStr">
        <is>
          <t>NULL</t>
        </is>
      </c>
      <c r="C1758" t="inlineStr">
        <is>
          <t>NULL</t>
        </is>
      </c>
      <c r="D1758" t="inlineStr">
        <is>
          <t>NULL</t>
        </is>
      </c>
      <c r="E1758" t="inlineStr">
        <is>
          <t>NULL</t>
        </is>
      </c>
      <c r="F1758" t="inlineStr">
        <is>
          <t>NULL</t>
        </is>
      </c>
      <c r="G1758" t="inlineStr">
        <is>
          <t>NULL</t>
        </is>
      </c>
      <c r="H1758" t="inlineStr">
        <is>
          <t>NULL</t>
        </is>
      </c>
      <c r="I1758" t="inlineStr">
        <is>
          <t>NULL</t>
        </is>
      </c>
      <c r="J1758" t="inlineStr">
        <is>
          <t>NULL</t>
        </is>
      </c>
      <c r="K1758" t="inlineStr">
        <is>
          <t>YES! 	 c_bit列源备映射正确，源端为bit None位	期望更改为tinyint(1) 	实际备端为tinyint None位</t>
        </is>
      </c>
    </row>
    <row r="1759">
      <c r="A1759" t="inlineStr">
        <is>
          <t>info_varbinary_max_dml_single_pk_drp</t>
        </is>
      </c>
      <c r="K1759" t="inlineStr">
        <is>
          <t>[0;34m info_varbinary_max_dml_single_pk_drp [0m源备字段数相同，源端字段：4 	备端字段4</t>
        </is>
      </c>
      <c r="W1759" t="inlineStr">
        <is>
          <t>YES 源备无差异</t>
        </is>
      </c>
      <c r="X1759">
        <f>A1759</f>
        <v/>
      </c>
    </row>
    <row r="1760">
      <c r="B1760" t="inlineStr">
        <is>
          <t>YES</t>
        </is>
      </c>
      <c r="C1760" t="inlineStr">
        <is>
          <t>NULL</t>
        </is>
      </c>
      <c r="D1760" t="inlineStr">
        <is>
          <t>NULL</t>
        </is>
      </c>
      <c r="E1760" t="inlineStr">
        <is>
          <t>NULL</t>
        </is>
      </c>
      <c r="F1760" t="inlineStr">
        <is>
          <t>NULL</t>
        </is>
      </c>
      <c r="G1760" t="inlineStr">
        <is>
          <t>NULL</t>
        </is>
      </c>
      <c r="H1760" t="inlineStr">
        <is>
          <t>NULL</t>
        </is>
      </c>
      <c r="I1760" t="inlineStr">
        <is>
          <t>YES!PK__info_var__3213E83FC08CB795</t>
        </is>
      </c>
      <c r="J1760" t="inlineStr">
        <is>
          <t>YES! 主键相关索引</t>
        </is>
      </c>
      <c r="K1760" t="inlineStr">
        <is>
          <t>YES! 	 id列源备映射正确，源端为int None位	期望更改为int	实际备端为int None位</t>
        </is>
      </c>
    </row>
    <row r="1761">
      <c r="B1761" t="inlineStr">
        <is>
          <t>NULL</t>
        </is>
      </c>
      <c r="C1761" t="inlineStr">
        <is>
          <t>NULL</t>
        </is>
      </c>
      <c r="D1761" t="inlineStr">
        <is>
          <t>NULL</t>
        </is>
      </c>
      <c r="E1761" t="inlineStr">
        <is>
          <t>NULL</t>
        </is>
      </c>
      <c r="F1761" t="inlineStr">
        <is>
          <t>NULL</t>
        </is>
      </c>
      <c r="G1761" t="inlineStr">
        <is>
          <t>NULL</t>
        </is>
      </c>
      <c r="H1761" t="inlineStr">
        <is>
          <t>NULL</t>
        </is>
      </c>
      <c r="I1761" t="inlineStr">
        <is>
          <t>NULL</t>
        </is>
      </c>
      <c r="J1761" t="inlineStr">
        <is>
          <t>NULL</t>
        </is>
      </c>
      <c r="K1761" t="inlineStr">
        <is>
          <t>YES! 	 c_varbinary_max1列源备映射正确，源端为varbinary -1位	期望更改为longblob	实际备端为longblob 4294967295位</t>
        </is>
      </c>
    </row>
    <row r="1762">
      <c r="B1762" t="inlineStr">
        <is>
          <t>NULL</t>
        </is>
      </c>
      <c r="C1762" t="inlineStr">
        <is>
          <t>NULL</t>
        </is>
      </c>
      <c r="D1762" t="inlineStr">
        <is>
          <t>NULL</t>
        </is>
      </c>
      <c r="E1762" t="inlineStr">
        <is>
          <t>NULL</t>
        </is>
      </c>
      <c r="F1762" t="inlineStr">
        <is>
          <t>NULL</t>
        </is>
      </c>
      <c r="G1762" t="inlineStr">
        <is>
          <t>NULL</t>
        </is>
      </c>
      <c r="H1762" t="inlineStr">
        <is>
          <t>NULL</t>
        </is>
      </c>
      <c r="I1762" t="inlineStr">
        <is>
          <t>NULL</t>
        </is>
      </c>
      <c r="J1762" t="inlineStr">
        <is>
          <t>NULL</t>
        </is>
      </c>
      <c r="K1762" t="inlineStr">
        <is>
          <t>YES! 	 c_varbinary_max2列源备映射正确，源端为varbinary -1位	期望更改为longblob	实际备端为longblob 4294967295位</t>
        </is>
      </c>
    </row>
    <row r="1763">
      <c r="B1763" t="inlineStr">
        <is>
          <t>NULL</t>
        </is>
      </c>
      <c r="C1763" t="inlineStr">
        <is>
          <t>NULL</t>
        </is>
      </c>
      <c r="D1763" t="inlineStr">
        <is>
          <t>NULL</t>
        </is>
      </c>
      <c r="E1763" t="inlineStr">
        <is>
          <t>NULL</t>
        </is>
      </c>
      <c r="F1763" t="inlineStr">
        <is>
          <t>NULL</t>
        </is>
      </c>
      <c r="G1763" t="inlineStr">
        <is>
          <t>NULL</t>
        </is>
      </c>
      <c r="H1763" t="inlineStr">
        <is>
          <t>NULL</t>
        </is>
      </c>
      <c r="I1763" t="inlineStr">
        <is>
          <t>NULL</t>
        </is>
      </c>
      <c r="J1763" t="inlineStr">
        <is>
          <t>NULL</t>
        </is>
      </c>
      <c r="K1763" t="inlineStr">
        <is>
          <t>YES! 	 c_image3列源备映射正确，源端为image 2147483647位	期望更改为longblob	实际备端为longblob 4294967295位</t>
        </is>
      </c>
    </row>
    <row r="1764">
      <c r="K1764" t="inlineStr">
        <is>
          <t>~ 空表</t>
        </is>
      </c>
    </row>
    <row r="1765">
      <c r="A1765" t="inlineStr">
        <is>
          <t>info_varbinary_max_dml_single_pk</t>
        </is>
      </c>
      <c r="K1765" t="inlineStr">
        <is>
          <t>[0;34m info_varbinary_max_dml_single_pk [0m源备字段数相同，源端字段：4 	备端字段4</t>
        </is>
      </c>
      <c r="W1765" t="inlineStr">
        <is>
          <t>YES 源备无差异</t>
        </is>
      </c>
      <c r="X1765">
        <f>A1765</f>
        <v/>
      </c>
    </row>
    <row r="1766">
      <c r="B1766" t="inlineStr">
        <is>
          <t>YES</t>
        </is>
      </c>
      <c r="C1766" t="inlineStr">
        <is>
          <t>NULL</t>
        </is>
      </c>
      <c r="D1766" t="inlineStr">
        <is>
          <t>NULL</t>
        </is>
      </c>
      <c r="E1766" t="inlineStr">
        <is>
          <t>NULL</t>
        </is>
      </c>
      <c r="F1766" t="inlineStr">
        <is>
          <t>NULL</t>
        </is>
      </c>
      <c r="G1766" t="inlineStr">
        <is>
          <t>NULL</t>
        </is>
      </c>
      <c r="H1766" t="inlineStr">
        <is>
          <t>NULL</t>
        </is>
      </c>
      <c r="I1766" t="inlineStr">
        <is>
          <t>YES!PK__info_var__3213E83FA466D81D</t>
        </is>
      </c>
      <c r="J1766" t="inlineStr">
        <is>
          <t>YES! 主键相关索引</t>
        </is>
      </c>
      <c r="K1766" t="inlineStr">
        <is>
          <t>YES! 	 id列源备映射正确，源端为int None位	期望更改为int	实际备端为int None位</t>
        </is>
      </c>
    </row>
    <row r="1767">
      <c r="B1767" t="inlineStr">
        <is>
          <t>NULL</t>
        </is>
      </c>
      <c r="C1767" t="inlineStr">
        <is>
          <t>NULL</t>
        </is>
      </c>
      <c r="D1767" t="inlineStr">
        <is>
          <t>NULL</t>
        </is>
      </c>
      <c r="E1767" t="inlineStr">
        <is>
          <t>NULL</t>
        </is>
      </c>
      <c r="F1767" t="inlineStr">
        <is>
          <t>NULL</t>
        </is>
      </c>
      <c r="G1767" t="inlineStr">
        <is>
          <t>NULL</t>
        </is>
      </c>
      <c r="H1767" t="inlineStr">
        <is>
          <t>NULL</t>
        </is>
      </c>
      <c r="I1767" t="inlineStr">
        <is>
          <t>NULL</t>
        </is>
      </c>
      <c r="J1767" t="inlineStr">
        <is>
          <t>NULL</t>
        </is>
      </c>
      <c r="K1767" t="inlineStr">
        <is>
          <t>YES! 	 c_varbinary_max1列源备映射正确，源端为varbinary -1位	期望更改为longblob	实际备端为longblob 4294967295位</t>
        </is>
      </c>
    </row>
    <row r="1768">
      <c r="B1768" t="inlineStr">
        <is>
          <t>NULL</t>
        </is>
      </c>
      <c r="C1768" t="inlineStr">
        <is>
          <t>NULL</t>
        </is>
      </c>
      <c r="D1768" t="inlineStr">
        <is>
          <t>NULL</t>
        </is>
      </c>
      <c r="E1768" t="inlineStr">
        <is>
          <t>NULL</t>
        </is>
      </c>
      <c r="F1768" t="inlineStr">
        <is>
          <t>NULL</t>
        </is>
      </c>
      <c r="G1768" t="inlineStr">
        <is>
          <t>NULL</t>
        </is>
      </c>
      <c r="H1768" t="inlineStr">
        <is>
          <t>NULL</t>
        </is>
      </c>
      <c r="I1768" t="inlineStr">
        <is>
          <t>NULL</t>
        </is>
      </c>
      <c r="J1768" t="inlineStr">
        <is>
          <t>NULL</t>
        </is>
      </c>
      <c r="K1768" t="inlineStr">
        <is>
          <t>YES! 	 c_varbinary_max2列源备映射正确，源端为varbinary -1位	期望更改为longblob	实际备端为longblob 4294967295位</t>
        </is>
      </c>
    </row>
    <row r="1769">
      <c r="B1769" t="inlineStr">
        <is>
          <t>NULL</t>
        </is>
      </c>
      <c r="C1769" t="inlineStr">
        <is>
          <t>NULL</t>
        </is>
      </c>
      <c r="D1769" t="inlineStr">
        <is>
          <t>NULL</t>
        </is>
      </c>
      <c r="E1769" t="inlineStr">
        <is>
          <t>NULL</t>
        </is>
      </c>
      <c r="F1769" t="inlineStr">
        <is>
          <t>NULL</t>
        </is>
      </c>
      <c r="G1769" t="inlineStr">
        <is>
          <t>NULL</t>
        </is>
      </c>
      <c r="H1769" t="inlineStr">
        <is>
          <t>NULL</t>
        </is>
      </c>
      <c r="I1769" t="inlineStr">
        <is>
          <t>NULL</t>
        </is>
      </c>
      <c r="J1769" t="inlineStr">
        <is>
          <t>NULL</t>
        </is>
      </c>
      <c r="K1769" t="inlineStr">
        <is>
          <t>YES! 	 c_image3列源备映射正确，源端为image 2147483647位	期望更改为longblob	实际备端为longblob 4294967295位</t>
        </is>
      </c>
    </row>
    <row r="1770">
      <c r="A1770" t="inlineStr">
        <is>
          <t>info_int_dml_batch2_pk_irp2</t>
        </is>
      </c>
      <c r="K1770" t="inlineStr">
        <is>
          <t>[0;34m info_int_dml_batch2_pk_irp2 [0m源备字段数相同，源端字段：20 	备端字段20</t>
        </is>
      </c>
      <c r="W1770" s="15">
        <f>HYPERLINK("#2026052610mysql0!BU2","NO 源备存在差异，共8个")</f>
        <v/>
      </c>
      <c r="X1770">
        <f>A1770</f>
        <v/>
      </c>
    </row>
    <row r="1771">
      <c r="B1771" t="inlineStr">
        <is>
          <t>YES</t>
        </is>
      </c>
      <c r="C1771" t="inlineStr">
        <is>
          <t>NULL</t>
        </is>
      </c>
      <c r="D1771" t="inlineStr">
        <is>
          <t>NULL</t>
        </is>
      </c>
      <c r="E1771" t="inlineStr">
        <is>
          <t>NULL</t>
        </is>
      </c>
      <c r="F1771" t="inlineStr">
        <is>
          <t>NULL</t>
        </is>
      </c>
      <c r="G1771" t="inlineStr">
        <is>
          <t>NULL</t>
        </is>
      </c>
      <c r="H1771" t="inlineStr">
        <is>
          <t>NULL</t>
        </is>
      </c>
      <c r="I1771" t="inlineStr">
        <is>
          <t>YES!PK__info_int__3213E83FE80A05E7</t>
        </is>
      </c>
      <c r="J1771" t="inlineStr">
        <is>
          <t>YES! 主键相关索引</t>
        </is>
      </c>
      <c r="K1771" t="inlineStr">
        <is>
          <t>YES! 	 id列源备映射正确，源端为int None位	期望更改为int	实际备端为int None位</t>
        </is>
      </c>
    </row>
    <row r="1772">
      <c r="B1772" t="inlineStr">
        <is>
          <t>NULL</t>
        </is>
      </c>
      <c r="C1772" t="inlineStr">
        <is>
          <t>NULL</t>
        </is>
      </c>
      <c r="D1772" t="inlineStr">
        <is>
          <t>NULL</t>
        </is>
      </c>
      <c r="E1772" t="inlineStr">
        <is>
          <t>NULL</t>
        </is>
      </c>
      <c r="F1772" t="inlineStr">
        <is>
          <t>NULL</t>
        </is>
      </c>
      <c r="G1772" t="inlineStr">
        <is>
          <t>NULL</t>
        </is>
      </c>
      <c r="H1772" t="inlineStr">
        <is>
          <t>NULL</t>
        </is>
      </c>
      <c r="I1772" t="inlineStr">
        <is>
          <t>NULL</t>
        </is>
      </c>
      <c r="J1772" t="inlineStr">
        <is>
          <t>NULL</t>
        </is>
      </c>
      <c r="K1772" t="inlineStr">
        <is>
          <t>YES! 	 c_tinyint列源备映射正确，源端为tinyint None位	期望更改为tinyint	实际备端为tinyint None位</t>
        </is>
      </c>
    </row>
    <row r="1773">
      <c r="B1773" t="inlineStr">
        <is>
          <t>NULL</t>
        </is>
      </c>
      <c r="C1773" t="inlineStr">
        <is>
          <t>NULL</t>
        </is>
      </c>
      <c r="D1773" t="inlineStr">
        <is>
          <t>NULL</t>
        </is>
      </c>
      <c r="E1773" t="inlineStr">
        <is>
          <t>NULL</t>
        </is>
      </c>
      <c r="F1773" t="inlineStr">
        <is>
          <t>NULL</t>
        </is>
      </c>
      <c r="G1773" t="inlineStr">
        <is>
          <t>NULL</t>
        </is>
      </c>
      <c r="H1773" t="inlineStr">
        <is>
          <t>NULL</t>
        </is>
      </c>
      <c r="I1773" t="inlineStr">
        <is>
          <t>NULL</t>
        </is>
      </c>
      <c r="J1773" t="inlineStr">
        <is>
          <t>NULL</t>
        </is>
      </c>
      <c r="K1773" t="inlineStr">
        <is>
          <t>YES! 	 c_smallint列源备映射正确，源端为smallint None位	期望更改为smallint	实际备端为smallint None位</t>
        </is>
      </c>
    </row>
    <row r="1774">
      <c r="B1774" t="inlineStr">
        <is>
          <t>NULL</t>
        </is>
      </c>
      <c r="C1774" t="inlineStr">
        <is>
          <t>NULL</t>
        </is>
      </c>
      <c r="D1774" t="inlineStr">
        <is>
          <t>NULL</t>
        </is>
      </c>
      <c r="E1774" t="inlineStr">
        <is>
          <t>NULL</t>
        </is>
      </c>
      <c r="F1774" t="inlineStr">
        <is>
          <t>NULL</t>
        </is>
      </c>
      <c r="G1774" t="inlineStr">
        <is>
          <t>NULL</t>
        </is>
      </c>
      <c r="H1774" t="inlineStr">
        <is>
          <t>NULL</t>
        </is>
      </c>
      <c r="I1774" t="inlineStr">
        <is>
          <t>NULL</t>
        </is>
      </c>
      <c r="J1774" t="inlineStr">
        <is>
          <t>NULL</t>
        </is>
      </c>
      <c r="K1774" t="inlineStr">
        <is>
          <t>YES! 	 c_int列源备映射正确，源端为int None位	期望更改为int	实际备端为int None位</t>
        </is>
      </c>
    </row>
    <row r="1775">
      <c r="B1775" t="inlineStr">
        <is>
          <t>NULL</t>
        </is>
      </c>
      <c r="C1775" t="inlineStr">
        <is>
          <t>NULL</t>
        </is>
      </c>
      <c r="D1775" t="inlineStr">
        <is>
          <t>NULL</t>
        </is>
      </c>
      <c r="E1775" t="inlineStr">
        <is>
          <t>NULL</t>
        </is>
      </c>
      <c r="F1775" t="inlineStr">
        <is>
          <t>NULL</t>
        </is>
      </c>
      <c r="G1775" t="inlineStr">
        <is>
          <t>NULL</t>
        </is>
      </c>
      <c r="H1775" t="inlineStr">
        <is>
          <t>NULL</t>
        </is>
      </c>
      <c r="I1775" t="inlineStr">
        <is>
          <t>NULL</t>
        </is>
      </c>
      <c r="J1775" t="inlineStr">
        <is>
          <t>NULL</t>
        </is>
      </c>
      <c r="K1775" t="inlineStr">
        <is>
          <t>YES! 	 c_bigint列源备映射正确，源端为bigint None位	期望更改为bigint	实际备端为bigint None位</t>
        </is>
      </c>
    </row>
    <row r="1776">
      <c r="B1776" t="inlineStr">
        <is>
          <t>NULL</t>
        </is>
      </c>
      <c r="C1776" t="inlineStr">
        <is>
          <t>NULL</t>
        </is>
      </c>
      <c r="D1776" t="inlineStr">
        <is>
          <t>NULL</t>
        </is>
      </c>
      <c r="E1776" t="inlineStr">
        <is>
          <t>NULL</t>
        </is>
      </c>
      <c r="F1776" t="inlineStr">
        <is>
          <t>NULL</t>
        </is>
      </c>
      <c r="G1776" t="inlineStr">
        <is>
          <t>NULL</t>
        </is>
      </c>
      <c r="H1776" t="inlineStr">
        <is>
          <t>NULL</t>
        </is>
      </c>
      <c r="I1776" t="inlineStr">
        <is>
          <t>NULL</t>
        </is>
      </c>
      <c r="J1776" t="inlineStr">
        <is>
          <t>NULL</t>
        </is>
      </c>
      <c r="K1776" t="inlineStr">
        <is>
          <t>YES! 	 c_decimal列源备映射正确，源端为decimal None位	期望更改为decimal(p,s)	实际备端为decimal None位</t>
        </is>
      </c>
    </row>
    <row r="1777">
      <c r="B1777" t="inlineStr">
        <is>
          <t>NULL</t>
        </is>
      </c>
      <c r="C1777" t="inlineStr">
        <is>
          <t>NULL</t>
        </is>
      </c>
      <c r="D1777" t="inlineStr">
        <is>
          <t>NULL</t>
        </is>
      </c>
      <c r="E1777" t="inlineStr">
        <is>
          <t>NULL</t>
        </is>
      </c>
      <c r="F1777" t="inlineStr">
        <is>
          <t>NULL</t>
        </is>
      </c>
      <c r="G1777" t="inlineStr">
        <is>
          <t>NULL</t>
        </is>
      </c>
      <c r="H1777" t="inlineStr">
        <is>
          <t>NULL</t>
        </is>
      </c>
      <c r="I1777" t="inlineStr">
        <is>
          <t>NULL</t>
        </is>
      </c>
      <c r="J1777" t="inlineStr">
        <is>
          <t>NULL</t>
        </is>
      </c>
      <c r="K1777" t="inlineStr">
        <is>
          <t>YES! 	 c_decimal38列源备映射正确，源端为decimal None位	期望更改为decimal(p,s)	实际备端为decimal None位</t>
        </is>
      </c>
    </row>
    <row r="1778">
      <c r="B1778" t="inlineStr">
        <is>
          <t>NULL</t>
        </is>
      </c>
      <c r="C1778" t="inlineStr">
        <is>
          <t>NULL</t>
        </is>
      </c>
      <c r="D1778" t="inlineStr">
        <is>
          <t>NULL</t>
        </is>
      </c>
      <c r="E1778" t="inlineStr">
        <is>
          <t>NULL</t>
        </is>
      </c>
      <c r="F1778" t="inlineStr">
        <is>
          <t>NULL</t>
        </is>
      </c>
      <c r="G1778" t="inlineStr">
        <is>
          <t>NULL</t>
        </is>
      </c>
      <c r="H1778" t="inlineStr">
        <is>
          <t>NULL</t>
        </is>
      </c>
      <c r="I1778" t="inlineStr">
        <is>
          <t>NULL</t>
        </is>
      </c>
      <c r="J1778" t="inlineStr">
        <is>
          <t>NULL</t>
        </is>
      </c>
      <c r="K1778" t="inlineStr">
        <is>
          <t xml:space="preserve"> NO!  	 c_decimal38_38列源备映射错误，源端为decimal None位	期望更改为decimal(p,s)	实际备端为varchar 168位</t>
        </is>
      </c>
    </row>
    <row r="1779">
      <c r="B1779" t="inlineStr">
        <is>
          <t>NULL</t>
        </is>
      </c>
      <c r="C1779" t="inlineStr">
        <is>
          <t>NULL</t>
        </is>
      </c>
      <c r="D1779" t="inlineStr">
        <is>
          <t>NULL</t>
        </is>
      </c>
      <c r="E1779" t="inlineStr">
        <is>
          <t>NULL</t>
        </is>
      </c>
      <c r="F1779" t="inlineStr">
        <is>
          <t>NULL</t>
        </is>
      </c>
      <c r="G1779" t="inlineStr">
        <is>
          <t>NULL</t>
        </is>
      </c>
      <c r="H1779" t="inlineStr">
        <is>
          <t>NULL</t>
        </is>
      </c>
      <c r="I1779" t="inlineStr">
        <is>
          <t>NULL</t>
        </is>
      </c>
      <c r="J1779" t="inlineStr">
        <is>
          <t>NULL</t>
        </is>
      </c>
      <c r="K1779" t="inlineStr">
        <is>
          <t>YES! 	 c_decimal38_10列源备映射正确，源端为decimal None位	期望更改为decimal(p,s)	实际备端为decimal None位</t>
        </is>
      </c>
    </row>
    <row r="1780">
      <c r="B1780" t="inlineStr">
        <is>
          <t>NULL</t>
        </is>
      </c>
      <c r="C1780" t="inlineStr">
        <is>
          <t>NULL</t>
        </is>
      </c>
      <c r="D1780" t="inlineStr">
        <is>
          <t>NULL</t>
        </is>
      </c>
      <c r="E1780" t="inlineStr">
        <is>
          <t>NULL</t>
        </is>
      </c>
      <c r="F1780" t="inlineStr">
        <is>
          <t>NULL</t>
        </is>
      </c>
      <c r="G1780" t="inlineStr">
        <is>
          <t>NULL</t>
        </is>
      </c>
      <c r="H1780" t="inlineStr">
        <is>
          <t>NULL</t>
        </is>
      </c>
      <c r="I1780" t="inlineStr">
        <is>
          <t>NULL</t>
        </is>
      </c>
      <c r="J1780" t="inlineStr">
        <is>
          <t>NULL</t>
        </is>
      </c>
      <c r="K1780" t="inlineStr">
        <is>
          <t>YES! 	 c_decimal19_4列源备映射正确，源端为decimal None位	期望更改为decimal(p,s)	实际备端为decimal None位</t>
        </is>
      </c>
    </row>
    <row r="1781">
      <c r="B1781" t="inlineStr">
        <is>
          <t>NULL</t>
        </is>
      </c>
      <c r="C1781" t="inlineStr">
        <is>
          <t>NULL</t>
        </is>
      </c>
      <c r="D1781" t="inlineStr">
        <is>
          <t>NULL</t>
        </is>
      </c>
      <c r="E1781" t="inlineStr">
        <is>
          <t>NULL</t>
        </is>
      </c>
      <c r="F1781" t="inlineStr">
        <is>
          <t>NULL</t>
        </is>
      </c>
      <c r="G1781" t="inlineStr">
        <is>
          <t>NULL</t>
        </is>
      </c>
      <c r="H1781" t="inlineStr">
        <is>
          <t>NULL</t>
        </is>
      </c>
      <c r="I1781" t="inlineStr">
        <is>
          <t>NULL</t>
        </is>
      </c>
      <c r="J1781" t="inlineStr">
        <is>
          <t>NULL</t>
        </is>
      </c>
      <c r="K1781" t="inlineStr">
        <is>
          <t>YES! 	 c_numeric列源备映射正确，源端为numeric None位	期望更改为decimal(p,s)	实际备端为decimal None位</t>
        </is>
      </c>
    </row>
    <row r="1782">
      <c r="B1782" t="inlineStr">
        <is>
          <t>NULL</t>
        </is>
      </c>
      <c r="C1782" t="inlineStr">
        <is>
          <t>NULL</t>
        </is>
      </c>
      <c r="D1782" t="inlineStr">
        <is>
          <t>NULL</t>
        </is>
      </c>
      <c r="E1782" t="inlineStr">
        <is>
          <t>NULL</t>
        </is>
      </c>
      <c r="F1782" t="inlineStr">
        <is>
          <t>NULL</t>
        </is>
      </c>
      <c r="G1782" t="inlineStr">
        <is>
          <t>NULL</t>
        </is>
      </c>
      <c r="H1782" t="inlineStr">
        <is>
          <t>NULL</t>
        </is>
      </c>
      <c r="I1782" t="inlineStr">
        <is>
          <t>NULL</t>
        </is>
      </c>
      <c r="J1782" t="inlineStr">
        <is>
          <t>NULL</t>
        </is>
      </c>
      <c r="K1782" t="inlineStr">
        <is>
          <t>YES! 	 c_numeric38列源备映射正确，源端为numeric None位	期望更改为decimal(p,s)	实际备端为decimal None位</t>
        </is>
      </c>
    </row>
    <row r="1783">
      <c r="B1783" t="inlineStr">
        <is>
          <t>NULL</t>
        </is>
      </c>
      <c r="C1783" t="inlineStr">
        <is>
          <t>NULL</t>
        </is>
      </c>
      <c r="D1783" t="inlineStr">
        <is>
          <t>NULL</t>
        </is>
      </c>
      <c r="E1783" t="inlineStr">
        <is>
          <t>NULL</t>
        </is>
      </c>
      <c r="F1783" t="inlineStr">
        <is>
          <t>NULL</t>
        </is>
      </c>
      <c r="G1783" t="inlineStr">
        <is>
          <t>NULL</t>
        </is>
      </c>
      <c r="H1783" t="inlineStr">
        <is>
          <t>NULL</t>
        </is>
      </c>
      <c r="I1783" t="inlineStr">
        <is>
          <t>NULL</t>
        </is>
      </c>
      <c r="J1783" t="inlineStr">
        <is>
          <t>NULL</t>
        </is>
      </c>
      <c r="K1783" t="inlineStr">
        <is>
          <t xml:space="preserve"> NO!  	 c_numeric38_38列源备映射错误，源端为numeric None位	期望更改为decimal(p,s)	实际备端为varchar 168位</t>
        </is>
      </c>
    </row>
    <row r="1784">
      <c r="B1784" t="inlineStr">
        <is>
          <t>NULL</t>
        </is>
      </c>
      <c r="C1784" t="inlineStr">
        <is>
          <t>NULL</t>
        </is>
      </c>
      <c r="D1784" t="inlineStr">
        <is>
          <t>NULL</t>
        </is>
      </c>
      <c r="E1784" t="inlineStr">
        <is>
          <t>NULL</t>
        </is>
      </c>
      <c r="F1784" t="inlineStr">
        <is>
          <t>NULL</t>
        </is>
      </c>
      <c r="G1784" t="inlineStr">
        <is>
          <t>NULL</t>
        </is>
      </c>
      <c r="H1784" t="inlineStr">
        <is>
          <t>NULL</t>
        </is>
      </c>
      <c r="I1784" t="inlineStr">
        <is>
          <t>NULL</t>
        </is>
      </c>
      <c r="J1784" t="inlineStr">
        <is>
          <t>NULL</t>
        </is>
      </c>
      <c r="K1784" t="inlineStr">
        <is>
          <t>YES! 	 c_numeric38_10列源备映射正确，源端为numeric None位	期望更改为decimal(p,s)	实际备端为decimal None位</t>
        </is>
      </c>
    </row>
    <row r="1785">
      <c r="B1785" t="inlineStr">
        <is>
          <t>NULL</t>
        </is>
      </c>
      <c r="C1785" t="inlineStr">
        <is>
          <t>NULL</t>
        </is>
      </c>
      <c r="D1785" t="inlineStr">
        <is>
          <t>NULL</t>
        </is>
      </c>
      <c r="E1785" t="inlineStr">
        <is>
          <t>NULL</t>
        </is>
      </c>
      <c r="F1785" t="inlineStr">
        <is>
          <t>NULL</t>
        </is>
      </c>
      <c r="G1785" t="inlineStr">
        <is>
          <t>NULL</t>
        </is>
      </c>
      <c r="H1785" t="inlineStr">
        <is>
          <t>NULL</t>
        </is>
      </c>
      <c r="I1785" t="inlineStr">
        <is>
          <t>NULL</t>
        </is>
      </c>
      <c r="J1785" t="inlineStr">
        <is>
          <t>NULL</t>
        </is>
      </c>
      <c r="K1785" t="inlineStr">
        <is>
          <t>YES! 	 c_numeric18_2列源备映射正确，源端为numeric None位	期望更改为decimal(p,s)	实际备端为decimal None位</t>
        </is>
      </c>
    </row>
    <row r="1786">
      <c r="B1786" t="inlineStr">
        <is>
          <t>NULL</t>
        </is>
      </c>
      <c r="C1786" t="inlineStr">
        <is>
          <t>NULL</t>
        </is>
      </c>
      <c r="D1786" t="inlineStr">
        <is>
          <t>NULL</t>
        </is>
      </c>
      <c r="E1786" t="inlineStr">
        <is>
          <t>NULL</t>
        </is>
      </c>
      <c r="F1786" t="inlineStr">
        <is>
          <t>NULL</t>
        </is>
      </c>
      <c r="G1786" t="inlineStr">
        <is>
          <t>NULL</t>
        </is>
      </c>
      <c r="H1786" t="inlineStr">
        <is>
          <t>NULL</t>
        </is>
      </c>
      <c r="I1786" t="inlineStr">
        <is>
          <t>NULL</t>
        </is>
      </c>
      <c r="J1786" t="inlineStr">
        <is>
          <t>NULL</t>
        </is>
      </c>
      <c r="K1786" t="inlineStr">
        <is>
          <t>YES! 	 c_float列源备映射正确，源端为float None位	期望更改为double	实际备端为double None位</t>
        </is>
      </c>
    </row>
    <row r="1787">
      <c r="B1787" t="inlineStr">
        <is>
          <t>NULL</t>
        </is>
      </c>
      <c r="C1787" t="inlineStr">
        <is>
          <t>NULL</t>
        </is>
      </c>
      <c r="D1787" t="inlineStr">
        <is>
          <t>NULL</t>
        </is>
      </c>
      <c r="E1787" t="inlineStr">
        <is>
          <t>NULL</t>
        </is>
      </c>
      <c r="F1787" t="inlineStr">
        <is>
          <t>NULL</t>
        </is>
      </c>
      <c r="G1787" t="inlineStr">
        <is>
          <t>NULL</t>
        </is>
      </c>
      <c r="H1787" t="inlineStr">
        <is>
          <t>NULL</t>
        </is>
      </c>
      <c r="I1787" t="inlineStr">
        <is>
          <t>NULL</t>
        </is>
      </c>
      <c r="J1787" t="inlineStr">
        <is>
          <t>NULL</t>
        </is>
      </c>
      <c r="K1787" t="inlineStr">
        <is>
          <t>YES! 	 c_real列源备映射正确，源端为real None位	期望更改为double	实际备端为double None位</t>
        </is>
      </c>
    </row>
    <row r="1788">
      <c r="B1788" t="inlineStr">
        <is>
          <t>NULL</t>
        </is>
      </c>
      <c r="C1788" t="inlineStr">
        <is>
          <t>NULL</t>
        </is>
      </c>
      <c r="D1788" t="inlineStr">
        <is>
          <t>NULL</t>
        </is>
      </c>
      <c r="E1788" t="inlineStr">
        <is>
          <t>NULL</t>
        </is>
      </c>
      <c r="F1788" t="inlineStr">
        <is>
          <t>NULL</t>
        </is>
      </c>
      <c r="G1788" t="inlineStr">
        <is>
          <t>NULL</t>
        </is>
      </c>
      <c r="H1788" t="inlineStr">
        <is>
          <t>NULL</t>
        </is>
      </c>
      <c r="I1788" t="inlineStr">
        <is>
          <t>NULL</t>
        </is>
      </c>
      <c r="J1788" t="inlineStr">
        <is>
          <t>NULL</t>
        </is>
      </c>
      <c r="K1788" t="inlineStr">
        <is>
          <t>YES! 	 c_money列源备映射正确，源端为money None位	期望更改为decimal(19,4)	实际备端为decimal None位</t>
        </is>
      </c>
    </row>
    <row r="1789">
      <c r="B1789" t="inlineStr">
        <is>
          <t>NULL</t>
        </is>
      </c>
      <c r="C1789" t="inlineStr">
        <is>
          <t>NULL</t>
        </is>
      </c>
      <c r="D1789" t="inlineStr">
        <is>
          <t>NULL</t>
        </is>
      </c>
      <c r="E1789" t="inlineStr">
        <is>
          <t>NULL</t>
        </is>
      </c>
      <c r="F1789" t="inlineStr">
        <is>
          <t>NULL</t>
        </is>
      </c>
      <c r="G1789" t="inlineStr">
        <is>
          <t>NULL</t>
        </is>
      </c>
      <c r="H1789" t="inlineStr">
        <is>
          <t>NULL</t>
        </is>
      </c>
      <c r="I1789" t="inlineStr">
        <is>
          <t>NULL</t>
        </is>
      </c>
      <c r="J1789" t="inlineStr">
        <is>
          <t>NULL</t>
        </is>
      </c>
      <c r="K1789" t="inlineStr">
        <is>
          <t>YES! 	 c_smallmoney列源备映射正确，源端为smallmoney None位	期望更改为decimal(10,4)	实际备端为decimal None位</t>
        </is>
      </c>
    </row>
    <row r="1790">
      <c r="B1790" t="inlineStr">
        <is>
          <t>NULL</t>
        </is>
      </c>
      <c r="C1790" t="inlineStr">
        <is>
          <t>NULL</t>
        </is>
      </c>
      <c r="D1790" t="inlineStr">
        <is>
          <t>NULL</t>
        </is>
      </c>
      <c r="E1790" t="inlineStr">
        <is>
          <t>NULL</t>
        </is>
      </c>
      <c r="F1790" t="inlineStr">
        <is>
          <t>NULL</t>
        </is>
      </c>
      <c r="G1790" t="inlineStr">
        <is>
          <t>NULL</t>
        </is>
      </c>
      <c r="H1790" t="inlineStr">
        <is>
          <t>NULL</t>
        </is>
      </c>
      <c r="I1790" t="inlineStr">
        <is>
          <t>NULL</t>
        </is>
      </c>
      <c r="J1790" t="inlineStr">
        <is>
          <t>NULL</t>
        </is>
      </c>
      <c r="K1790" t="inlineStr">
        <is>
          <t>YES! 	 c_bit列源备映射正确，源端为bit None位	期望更改为tinyint(1) 	实际备端为tinyint None位</t>
        </is>
      </c>
    </row>
    <row r="1791">
      <c r="A1791" t="inlineStr">
        <is>
          <t>info_int_dml_batch1_pk_drp1</t>
        </is>
      </c>
      <c r="K1791" t="inlineStr">
        <is>
          <t>[0;34m info_int_dml_batch1_pk_drp1 [0m源备字段数相同，源端字段：20 	备端字段20</t>
        </is>
      </c>
      <c r="W1791" t="inlineStr">
        <is>
          <t>YES 源备无差异</t>
        </is>
      </c>
      <c r="X1791">
        <f>A1791</f>
        <v/>
      </c>
    </row>
    <row r="1792">
      <c r="B1792" t="inlineStr">
        <is>
          <t>YES</t>
        </is>
      </c>
      <c r="C1792" t="inlineStr">
        <is>
          <t>NULL</t>
        </is>
      </c>
      <c r="D1792" t="inlineStr">
        <is>
          <t>NULL</t>
        </is>
      </c>
      <c r="E1792" t="inlineStr">
        <is>
          <t>NULL</t>
        </is>
      </c>
      <c r="F1792" t="inlineStr">
        <is>
          <t>NULL</t>
        </is>
      </c>
      <c r="G1792" t="inlineStr">
        <is>
          <t>NULL</t>
        </is>
      </c>
      <c r="H1792" t="inlineStr">
        <is>
          <t>NULL</t>
        </is>
      </c>
      <c r="I1792" t="inlineStr">
        <is>
          <t>YES!PK__info_int__3213E83F306EE40F</t>
        </is>
      </c>
      <c r="J1792" t="inlineStr">
        <is>
          <t>YES! 主键相关索引</t>
        </is>
      </c>
      <c r="K1792" t="inlineStr">
        <is>
          <t>YES! 	 id列源备映射正确，源端为int None位	期望更改为int	实际备端为int None位</t>
        </is>
      </c>
    </row>
    <row r="1793">
      <c r="B1793" t="inlineStr">
        <is>
          <t>NULL</t>
        </is>
      </c>
      <c r="C1793" t="inlineStr">
        <is>
          <t>NULL</t>
        </is>
      </c>
      <c r="D1793" t="inlineStr">
        <is>
          <t>NULL</t>
        </is>
      </c>
      <c r="E1793" t="inlineStr">
        <is>
          <t>NULL</t>
        </is>
      </c>
      <c r="F1793" t="inlineStr">
        <is>
          <t>NULL</t>
        </is>
      </c>
      <c r="G1793" t="inlineStr">
        <is>
          <t>NULL</t>
        </is>
      </c>
      <c r="H1793" t="inlineStr">
        <is>
          <t>NULL</t>
        </is>
      </c>
      <c r="I1793" t="inlineStr">
        <is>
          <t>NULL</t>
        </is>
      </c>
      <c r="J1793" t="inlineStr">
        <is>
          <t>NULL</t>
        </is>
      </c>
      <c r="K1793" t="inlineStr">
        <is>
          <t>YES! 	 c_tinyint列源备映射正确，源端为tinyint None位	期望更改为tinyint	实际备端为tinyint None位</t>
        </is>
      </c>
    </row>
    <row r="1794">
      <c r="B1794" t="inlineStr">
        <is>
          <t>NULL</t>
        </is>
      </c>
      <c r="C1794" t="inlineStr">
        <is>
          <t>NULL</t>
        </is>
      </c>
      <c r="D1794" t="inlineStr">
        <is>
          <t>NULL</t>
        </is>
      </c>
      <c r="E1794" t="inlineStr">
        <is>
          <t>NULL</t>
        </is>
      </c>
      <c r="F1794" t="inlineStr">
        <is>
          <t>NULL</t>
        </is>
      </c>
      <c r="G1794" t="inlineStr">
        <is>
          <t>NULL</t>
        </is>
      </c>
      <c r="H1794" t="inlineStr">
        <is>
          <t>NULL</t>
        </is>
      </c>
      <c r="I1794" t="inlineStr">
        <is>
          <t>NULL</t>
        </is>
      </c>
      <c r="J1794" t="inlineStr">
        <is>
          <t>NULL</t>
        </is>
      </c>
      <c r="K1794" t="inlineStr">
        <is>
          <t>YES! 	 c_smallint列源备映射正确，源端为smallint None位	期望更改为smallint	实际备端为smallint None位</t>
        </is>
      </c>
    </row>
    <row r="1795">
      <c r="B1795" t="inlineStr">
        <is>
          <t>NULL</t>
        </is>
      </c>
      <c r="C1795" t="inlineStr">
        <is>
          <t>NULL</t>
        </is>
      </c>
      <c r="D1795" t="inlineStr">
        <is>
          <t>NULL</t>
        </is>
      </c>
      <c r="E1795" t="inlineStr">
        <is>
          <t>NULL</t>
        </is>
      </c>
      <c r="F1795" t="inlineStr">
        <is>
          <t>NULL</t>
        </is>
      </c>
      <c r="G1795" t="inlineStr">
        <is>
          <t>NULL</t>
        </is>
      </c>
      <c r="H1795" t="inlineStr">
        <is>
          <t>NULL</t>
        </is>
      </c>
      <c r="I1795" t="inlineStr">
        <is>
          <t>NULL</t>
        </is>
      </c>
      <c r="J1795" t="inlineStr">
        <is>
          <t>NULL</t>
        </is>
      </c>
      <c r="K1795" t="inlineStr">
        <is>
          <t>YES! 	 c_int列源备映射正确，源端为int None位	期望更改为int	实际备端为int None位</t>
        </is>
      </c>
    </row>
    <row r="1796">
      <c r="B1796" t="inlineStr">
        <is>
          <t>NULL</t>
        </is>
      </c>
      <c r="C1796" t="inlineStr">
        <is>
          <t>NULL</t>
        </is>
      </c>
      <c r="D1796" t="inlineStr">
        <is>
          <t>NULL</t>
        </is>
      </c>
      <c r="E1796" t="inlineStr">
        <is>
          <t>NULL</t>
        </is>
      </c>
      <c r="F1796" t="inlineStr">
        <is>
          <t>NULL</t>
        </is>
      </c>
      <c r="G1796" t="inlineStr">
        <is>
          <t>NULL</t>
        </is>
      </c>
      <c r="H1796" t="inlineStr">
        <is>
          <t>NULL</t>
        </is>
      </c>
      <c r="I1796" t="inlineStr">
        <is>
          <t>NULL</t>
        </is>
      </c>
      <c r="J1796" t="inlineStr">
        <is>
          <t>NULL</t>
        </is>
      </c>
      <c r="K1796" t="inlineStr">
        <is>
          <t>YES! 	 c_bigint列源备映射正确，源端为bigint None位	期望更改为bigint	实际备端为bigint None位</t>
        </is>
      </c>
    </row>
    <row r="1797">
      <c r="B1797" t="inlineStr">
        <is>
          <t>NULL</t>
        </is>
      </c>
      <c r="C1797" t="inlineStr">
        <is>
          <t>NULL</t>
        </is>
      </c>
      <c r="D1797" t="inlineStr">
        <is>
          <t>NULL</t>
        </is>
      </c>
      <c r="E1797" t="inlineStr">
        <is>
          <t>NULL</t>
        </is>
      </c>
      <c r="F1797" t="inlineStr">
        <is>
          <t>NULL</t>
        </is>
      </c>
      <c r="G1797" t="inlineStr">
        <is>
          <t>NULL</t>
        </is>
      </c>
      <c r="H1797" t="inlineStr">
        <is>
          <t>NULL</t>
        </is>
      </c>
      <c r="I1797" t="inlineStr">
        <is>
          <t>NULL</t>
        </is>
      </c>
      <c r="J1797" t="inlineStr">
        <is>
          <t>NULL</t>
        </is>
      </c>
      <c r="K1797" t="inlineStr">
        <is>
          <t>YES! 	 c_decimal列源备映射正确，源端为decimal None位	期望更改为decimal(p,s)	实际备端为decimal None位</t>
        </is>
      </c>
    </row>
    <row r="1798">
      <c r="B1798" t="inlineStr">
        <is>
          <t>NULL</t>
        </is>
      </c>
      <c r="C1798" t="inlineStr">
        <is>
          <t>NULL</t>
        </is>
      </c>
      <c r="D1798" t="inlineStr">
        <is>
          <t>NULL</t>
        </is>
      </c>
      <c r="E1798" t="inlineStr">
        <is>
          <t>NULL</t>
        </is>
      </c>
      <c r="F1798" t="inlineStr">
        <is>
          <t>NULL</t>
        </is>
      </c>
      <c r="G1798" t="inlineStr">
        <is>
          <t>NULL</t>
        </is>
      </c>
      <c r="H1798" t="inlineStr">
        <is>
          <t>NULL</t>
        </is>
      </c>
      <c r="I1798" t="inlineStr">
        <is>
          <t>NULL</t>
        </is>
      </c>
      <c r="J1798" t="inlineStr">
        <is>
          <t>NULL</t>
        </is>
      </c>
      <c r="K1798" t="inlineStr">
        <is>
          <t>YES! 	 c_decimal38列源备映射正确，源端为decimal None位	期望更改为decimal(p,s)	实际备端为decimal None位</t>
        </is>
      </c>
    </row>
    <row r="1799">
      <c r="B1799" t="inlineStr">
        <is>
          <t>NULL</t>
        </is>
      </c>
      <c r="C1799" t="inlineStr">
        <is>
          <t>NULL</t>
        </is>
      </c>
      <c r="D1799" t="inlineStr">
        <is>
          <t>NULL</t>
        </is>
      </c>
      <c r="E1799" t="inlineStr">
        <is>
          <t>NULL</t>
        </is>
      </c>
      <c r="F1799" t="inlineStr">
        <is>
          <t>NULL</t>
        </is>
      </c>
      <c r="G1799" t="inlineStr">
        <is>
          <t>NULL</t>
        </is>
      </c>
      <c r="H1799" t="inlineStr">
        <is>
          <t>NULL</t>
        </is>
      </c>
      <c r="I1799" t="inlineStr">
        <is>
          <t>NULL</t>
        </is>
      </c>
      <c r="J1799" t="inlineStr">
        <is>
          <t>NULL</t>
        </is>
      </c>
      <c r="K1799" t="inlineStr">
        <is>
          <t xml:space="preserve"> NO!  	 c_decimal38_38列源备映射错误，源端为decimal None位	期望更改为decimal(p,s)	实际备端为varchar 168位</t>
        </is>
      </c>
    </row>
    <row r="1800">
      <c r="B1800" t="inlineStr">
        <is>
          <t>NULL</t>
        </is>
      </c>
      <c r="C1800" t="inlineStr">
        <is>
          <t>NULL</t>
        </is>
      </c>
      <c r="D1800" t="inlineStr">
        <is>
          <t>NULL</t>
        </is>
      </c>
      <c r="E1800" t="inlineStr">
        <is>
          <t>NULL</t>
        </is>
      </c>
      <c r="F1800" t="inlineStr">
        <is>
          <t>NULL</t>
        </is>
      </c>
      <c r="G1800" t="inlineStr">
        <is>
          <t>NULL</t>
        </is>
      </c>
      <c r="H1800" t="inlineStr">
        <is>
          <t>NULL</t>
        </is>
      </c>
      <c r="I1800" t="inlineStr">
        <is>
          <t>NULL</t>
        </is>
      </c>
      <c r="J1800" t="inlineStr">
        <is>
          <t>NULL</t>
        </is>
      </c>
      <c r="K1800" t="inlineStr">
        <is>
          <t>YES! 	 c_decimal38_10列源备映射正确，源端为decimal None位	期望更改为decimal(p,s)	实际备端为decimal None位</t>
        </is>
      </c>
    </row>
    <row r="1801">
      <c r="B1801" t="inlineStr">
        <is>
          <t>NULL</t>
        </is>
      </c>
      <c r="C1801" t="inlineStr">
        <is>
          <t>NULL</t>
        </is>
      </c>
      <c r="D1801" t="inlineStr">
        <is>
          <t>NULL</t>
        </is>
      </c>
      <c r="E1801" t="inlineStr">
        <is>
          <t>NULL</t>
        </is>
      </c>
      <c r="F1801" t="inlineStr">
        <is>
          <t>NULL</t>
        </is>
      </c>
      <c r="G1801" t="inlineStr">
        <is>
          <t>NULL</t>
        </is>
      </c>
      <c r="H1801" t="inlineStr">
        <is>
          <t>NULL</t>
        </is>
      </c>
      <c r="I1801" t="inlineStr">
        <is>
          <t>NULL</t>
        </is>
      </c>
      <c r="J1801" t="inlineStr">
        <is>
          <t>NULL</t>
        </is>
      </c>
      <c r="K1801" t="inlineStr">
        <is>
          <t>YES! 	 c_decimal19_4列源备映射正确，源端为decimal None位	期望更改为decimal(p,s)	实际备端为decimal None位</t>
        </is>
      </c>
    </row>
    <row r="1802">
      <c r="B1802" t="inlineStr">
        <is>
          <t>NULL</t>
        </is>
      </c>
      <c r="C1802" t="inlineStr">
        <is>
          <t>NULL</t>
        </is>
      </c>
      <c r="D1802" t="inlineStr">
        <is>
          <t>NULL</t>
        </is>
      </c>
      <c r="E1802" t="inlineStr">
        <is>
          <t>NULL</t>
        </is>
      </c>
      <c r="F1802" t="inlineStr">
        <is>
          <t>NULL</t>
        </is>
      </c>
      <c r="G1802" t="inlineStr">
        <is>
          <t>NULL</t>
        </is>
      </c>
      <c r="H1802" t="inlineStr">
        <is>
          <t>NULL</t>
        </is>
      </c>
      <c r="I1802" t="inlineStr">
        <is>
          <t>NULL</t>
        </is>
      </c>
      <c r="J1802" t="inlineStr">
        <is>
          <t>NULL</t>
        </is>
      </c>
      <c r="K1802" t="inlineStr">
        <is>
          <t>YES! 	 c_numeric列源备映射正确，源端为numeric None位	期望更改为decimal(p,s)	实际备端为decimal None位</t>
        </is>
      </c>
    </row>
    <row r="1803">
      <c r="B1803" t="inlineStr">
        <is>
          <t>NULL</t>
        </is>
      </c>
      <c r="C1803" t="inlineStr">
        <is>
          <t>NULL</t>
        </is>
      </c>
      <c r="D1803" t="inlineStr">
        <is>
          <t>NULL</t>
        </is>
      </c>
      <c r="E1803" t="inlineStr">
        <is>
          <t>NULL</t>
        </is>
      </c>
      <c r="F1803" t="inlineStr">
        <is>
          <t>NULL</t>
        </is>
      </c>
      <c r="G1803" t="inlineStr">
        <is>
          <t>NULL</t>
        </is>
      </c>
      <c r="H1803" t="inlineStr">
        <is>
          <t>NULL</t>
        </is>
      </c>
      <c r="I1803" t="inlineStr">
        <is>
          <t>NULL</t>
        </is>
      </c>
      <c r="J1803" t="inlineStr">
        <is>
          <t>NULL</t>
        </is>
      </c>
      <c r="K1803" t="inlineStr">
        <is>
          <t>YES! 	 c_numeric38列源备映射正确，源端为numeric None位	期望更改为decimal(p,s)	实际备端为decimal None位</t>
        </is>
      </c>
    </row>
    <row r="1804">
      <c r="B1804" t="inlineStr">
        <is>
          <t>NULL</t>
        </is>
      </c>
      <c r="C1804" t="inlineStr">
        <is>
          <t>NULL</t>
        </is>
      </c>
      <c r="D1804" t="inlineStr">
        <is>
          <t>NULL</t>
        </is>
      </c>
      <c r="E1804" t="inlineStr">
        <is>
          <t>NULL</t>
        </is>
      </c>
      <c r="F1804" t="inlineStr">
        <is>
          <t>NULL</t>
        </is>
      </c>
      <c r="G1804" t="inlineStr">
        <is>
          <t>NULL</t>
        </is>
      </c>
      <c r="H1804" t="inlineStr">
        <is>
          <t>NULL</t>
        </is>
      </c>
      <c r="I1804" t="inlineStr">
        <is>
          <t>NULL</t>
        </is>
      </c>
      <c r="J1804" t="inlineStr">
        <is>
          <t>NULL</t>
        </is>
      </c>
      <c r="K1804" t="inlineStr">
        <is>
          <t xml:space="preserve"> NO!  	 c_numeric38_38列源备映射错误，源端为numeric None位	期望更改为decimal(p,s)	实际备端为varchar 168位</t>
        </is>
      </c>
    </row>
    <row r="1805">
      <c r="B1805" t="inlineStr">
        <is>
          <t>NULL</t>
        </is>
      </c>
      <c r="C1805" t="inlineStr">
        <is>
          <t>NULL</t>
        </is>
      </c>
      <c r="D1805" t="inlineStr">
        <is>
          <t>NULL</t>
        </is>
      </c>
      <c r="E1805" t="inlineStr">
        <is>
          <t>NULL</t>
        </is>
      </c>
      <c r="F1805" t="inlineStr">
        <is>
          <t>NULL</t>
        </is>
      </c>
      <c r="G1805" t="inlineStr">
        <is>
          <t>NULL</t>
        </is>
      </c>
      <c r="H1805" t="inlineStr">
        <is>
          <t>NULL</t>
        </is>
      </c>
      <c r="I1805" t="inlineStr">
        <is>
          <t>NULL</t>
        </is>
      </c>
      <c r="J1805" t="inlineStr">
        <is>
          <t>NULL</t>
        </is>
      </c>
      <c r="K1805" t="inlineStr">
        <is>
          <t>YES! 	 c_numeric38_10列源备映射正确，源端为numeric None位	期望更改为decimal(p,s)	实际备端为decimal None位</t>
        </is>
      </c>
    </row>
    <row r="1806">
      <c r="B1806" t="inlineStr">
        <is>
          <t>NULL</t>
        </is>
      </c>
      <c r="C1806" t="inlineStr">
        <is>
          <t>NULL</t>
        </is>
      </c>
      <c r="D1806" t="inlineStr">
        <is>
          <t>NULL</t>
        </is>
      </c>
      <c r="E1806" t="inlineStr">
        <is>
          <t>NULL</t>
        </is>
      </c>
      <c r="F1806" t="inlineStr">
        <is>
          <t>NULL</t>
        </is>
      </c>
      <c r="G1806" t="inlineStr">
        <is>
          <t>NULL</t>
        </is>
      </c>
      <c r="H1806" t="inlineStr">
        <is>
          <t>NULL</t>
        </is>
      </c>
      <c r="I1806" t="inlineStr">
        <is>
          <t>NULL</t>
        </is>
      </c>
      <c r="J1806" t="inlineStr">
        <is>
          <t>NULL</t>
        </is>
      </c>
      <c r="K1806" t="inlineStr">
        <is>
          <t>YES! 	 c_numeric18_2列源备映射正确，源端为numeric None位	期望更改为decimal(p,s)	实际备端为decimal None位</t>
        </is>
      </c>
    </row>
    <row r="1807">
      <c r="B1807" t="inlineStr">
        <is>
          <t>NULL</t>
        </is>
      </c>
      <c r="C1807" t="inlineStr">
        <is>
          <t>NULL</t>
        </is>
      </c>
      <c r="D1807" t="inlineStr">
        <is>
          <t>NULL</t>
        </is>
      </c>
      <c r="E1807" t="inlineStr">
        <is>
          <t>NULL</t>
        </is>
      </c>
      <c r="F1807" t="inlineStr">
        <is>
          <t>NULL</t>
        </is>
      </c>
      <c r="G1807" t="inlineStr">
        <is>
          <t>NULL</t>
        </is>
      </c>
      <c r="H1807" t="inlineStr">
        <is>
          <t>NULL</t>
        </is>
      </c>
      <c r="I1807" t="inlineStr">
        <is>
          <t>NULL</t>
        </is>
      </c>
      <c r="J1807" t="inlineStr">
        <is>
          <t>NULL</t>
        </is>
      </c>
      <c r="K1807" t="inlineStr">
        <is>
          <t>YES! 	 c_float列源备映射正确，源端为float None位	期望更改为double	实际备端为double None位</t>
        </is>
      </c>
    </row>
    <row r="1808">
      <c r="B1808" t="inlineStr">
        <is>
          <t>NULL</t>
        </is>
      </c>
      <c r="C1808" t="inlineStr">
        <is>
          <t>NULL</t>
        </is>
      </c>
      <c r="D1808" t="inlineStr">
        <is>
          <t>NULL</t>
        </is>
      </c>
      <c r="E1808" t="inlineStr">
        <is>
          <t>NULL</t>
        </is>
      </c>
      <c r="F1808" t="inlineStr">
        <is>
          <t>NULL</t>
        </is>
      </c>
      <c r="G1808" t="inlineStr">
        <is>
          <t>NULL</t>
        </is>
      </c>
      <c r="H1808" t="inlineStr">
        <is>
          <t>NULL</t>
        </is>
      </c>
      <c r="I1808" t="inlineStr">
        <is>
          <t>NULL</t>
        </is>
      </c>
      <c r="J1808" t="inlineStr">
        <is>
          <t>NULL</t>
        </is>
      </c>
      <c r="K1808" t="inlineStr">
        <is>
          <t>YES! 	 c_real列源备映射正确，源端为real None位	期望更改为double	实际备端为double None位</t>
        </is>
      </c>
    </row>
    <row r="1809">
      <c r="B1809" t="inlineStr">
        <is>
          <t>NULL</t>
        </is>
      </c>
      <c r="C1809" t="inlineStr">
        <is>
          <t>NULL</t>
        </is>
      </c>
      <c r="D1809" t="inlineStr">
        <is>
          <t>NULL</t>
        </is>
      </c>
      <c r="E1809" t="inlineStr">
        <is>
          <t>NULL</t>
        </is>
      </c>
      <c r="F1809" t="inlineStr">
        <is>
          <t>NULL</t>
        </is>
      </c>
      <c r="G1809" t="inlineStr">
        <is>
          <t>NULL</t>
        </is>
      </c>
      <c r="H1809" t="inlineStr">
        <is>
          <t>NULL</t>
        </is>
      </c>
      <c r="I1809" t="inlineStr">
        <is>
          <t>NULL</t>
        </is>
      </c>
      <c r="J1809" t="inlineStr">
        <is>
          <t>NULL</t>
        </is>
      </c>
      <c r="K1809" t="inlineStr">
        <is>
          <t>YES! 	 c_money列源备映射正确，源端为money None位	期望更改为decimal(19,4)	实际备端为decimal None位</t>
        </is>
      </c>
    </row>
    <row r="1810">
      <c r="B1810" t="inlineStr">
        <is>
          <t>NULL</t>
        </is>
      </c>
      <c r="C1810" t="inlineStr">
        <is>
          <t>NULL</t>
        </is>
      </c>
      <c r="D1810" t="inlineStr">
        <is>
          <t>NULL</t>
        </is>
      </c>
      <c r="E1810" t="inlineStr">
        <is>
          <t>NULL</t>
        </is>
      </c>
      <c r="F1810" t="inlineStr">
        <is>
          <t>NULL</t>
        </is>
      </c>
      <c r="G1810" t="inlineStr">
        <is>
          <t>NULL</t>
        </is>
      </c>
      <c r="H1810" t="inlineStr">
        <is>
          <t>NULL</t>
        </is>
      </c>
      <c r="I1810" t="inlineStr">
        <is>
          <t>NULL</t>
        </is>
      </c>
      <c r="J1810" t="inlineStr">
        <is>
          <t>NULL</t>
        </is>
      </c>
      <c r="K1810" t="inlineStr">
        <is>
          <t>YES! 	 c_smallmoney列源备映射正确，源端为smallmoney None位	期望更改为decimal(10,4)	实际备端为decimal None位</t>
        </is>
      </c>
    </row>
    <row r="1811">
      <c r="B1811" t="inlineStr">
        <is>
          <t>NULL</t>
        </is>
      </c>
      <c r="C1811" t="inlineStr">
        <is>
          <t>NULL</t>
        </is>
      </c>
      <c r="D1811" t="inlineStr">
        <is>
          <t>NULL</t>
        </is>
      </c>
      <c r="E1811" t="inlineStr">
        <is>
          <t>NULL</t>
        </is>
      </c>
      <c r="F1811" t="inlineStr">
        <is>
          <t>NULL</t>
        </is>
      </c>
      <c r="G1811" t="inlineStr">
        <is>
          <t>NULL</t>
        </is>
      </c>
      <c r="H1811" t="inlineStr">
        <is>
          <t>NULL</t>
        </is>
      </c>
      <c r="I1811" t="inlineStr">
        <is>
          <t>NULL</t>
        </is>
      </c>
      <c r="J1811" t="inlineStr">
        <is>
          <t>NULL</t>
        </is>
      </c>
      <c r="K1811" t="inlineStr">
        <is>
          <t>YES! 	 c_bit列源备映射正确，源端为bit None位	期望更改为tinyint(1) 	实际备端为tinyint None位</t>
        </is>
      </c>
    </row>
    <row r="1812">
      <c r="K1812" t="inlineStr">
        <is>
          <t>~ 空表</t>
        </is>
      </c>
    </row>
    <row r="1813">
      <c r="A1813" t="inlineStr">
        <is>
          <t>info_xml_dml_single_pk_drp</t>
        </is>
      </c>
      <c r="K1813" t="inlineStr">
        <is>
          <t>[0;34m info_xml_dml_single_pk_drp [0m源备字段数相同，源端字段：2 	备端字段2</t>
        </is>
      </c>
      <c r="W1813" t="inlineStr">
        <is>
          <t>YES 源备无差异</t>
        </is>
      </c>
      <c r="X1813">
        <f>A1813</f>
        <v/>
      </c>
    </row>
    <row r="1814">
      <c r="B1814" t="inlineStr">
        <is>
          <t>YES</t>
        </is>
      </c>
      <c r="C1814" t="inlineStr">
        <is>
          <t>NULL</t>
        </is>
      </c>
      <c r="D1814" t="inlineStr">
        <is>
          <t>NULL</t>
        </is>
      </c>
      <c r="E1814" t="inlineStr">
        <is>
          <t>NULL</t>
        </is>
      </c>
      <c r="F1814" t="inlineStr">
        <is>
          <t>NULL</t>
        </is>
      </c>
      <c r="G1814" t="inlineStr">
        <is>
          <t>NULL</t>
        </is>
      </c>
      <c r="H1814" t="inlineStr">
        <is>
          <t>NULL</t>
        </is>
      </c>
      <c r="I1814" t="inlineStr">
        <is>
          <t>YES!PK__info_xml__3213E83F1BC1C943</t>
        </is>
      </c>
      <c r="J1814" t="inlineStr">
        <is>
          <t>YES! 主键相关索引</t>
        </is>
      </c>
      <c r="K1814" t="inlineStr">
        <is>
          <t>YES! 	 id列源备映射正确，源端为int None位	期望更改为int	实际备端为int None位</t>
        </is>
      </c>
    </row>
    <row r="1815">
      <c r="B1815" t="inlineStr">
        <is>
          <t>NULL</t>
        </is>
      </c>
      <c r="C1815" t="inlineStr">
        <is>
          <t>NULL</t>
        </is>
      </c>
      <c r="D1815" t="inlineStr">
        <is>
          <t>NULL</t>
        </is>
      </c>
      <c r="E1815" t="inlineStr">
        <is>
          <t>NULL</t>
        </is>
      </c>
      <c r="F1815" t="inlineStr">
        <is>
          <t>NULL</t>
        </is>
      </c>
      <c r="G1815" t="inlineStr">
        <is>
          <t>NULL</t>
        </is>
      </c>
      <c r="H1815" t="inlineStr">
        <is>
          <t>NULL</t>
        </is>
      </c>
      <c r="I1815" t="inlineStr">
        <is>
          <t>NULL</t>
        </is>
      </c>
      <c r="J1815" t="inlineStr">
        <is>
          <t>NULL</t>
        </is>
      </c>
      <c r="K1815" t="inlineStr">
        <is>
          <t>YES! 	 c_xml列源备映射正确，源端为xml -1位	期望更改为longtext	实际备端为longtext 4294967295位</t>
        </is>
      </c>
    </row>
    <row r="1816">
      <c r="A1816" t="inlineStr">
        <is>
          <t>info_xml_dml_single_pk_urp</t>
        </is>
      </c>
      <c r="K1816" t="inlineStr">
        <is>
          <t>[0;34m info_xml_dml_single_pk_urp [0m源备字段数相同，源端字段：2 	备端字段2</t>
        </is>
      </c>
      <c r="W1816" t="inlineStr">
        <is>
          <t>YES 源备无差异</t>
        </is>
      </c>
      <c r="X1816">
        <f>A1816</f>
        <v/>
      </c>
    </row>
    <row r="1817">
      <c r="B1817" t="inlineStr">
        <is>
          <t>YES</t>
        </is>
      </c>
      <c r="C1817" t="inlineStr">
        <is>
          <t>NULL</t>
        </is>
      </c>
      <c r="D1817" t="inlineStr">
        <is>
          <t>NULL</t>
        </is>
      </c>
      <c r="E1817" t="inlineStr">
        <is>
          <t>NULL</t>
        </is>
      </c>
      <c r="F1817" t="inlineStr">
        <is>
          <t>NULL</t>
        </is>
      </c>
      <c r="G1817" t="inlineStr">
        <is>
          <t>NULL</t>
        </is>
      </c>
      <c r="H1817" t="inlineStr">
        <is>
          <t>NULL</t>
        </is>
      </c>
      <c r="I1817" t="inlineStr">
        <is>
          <t>YES!PK__info_xml__3213E83F7193908E</t>
        </is>
      </c>
      <c r="J1817" t="inlineStr">
        <is>
          <t>YES! 主键相关索引</t>
        </is>
      </c>
      <c r="K1817" t="inlineStr">
        <is>
          <t>YES! 	 id列源备映射正确，源端为int None位	期望更改为int	实际备端为int None位</t>
        </is>
      </c>
    </row>
    <row r="1818">
      <c r="B1818" t="inlineStr">
        <is>
          <t>NULL</t>
        </is>
      </c>
      <c r="C1818" t="inlineStr">
        <is>
          <t>NULL</t>
        </is>
      </c>
      <c r="D1818" t="inlineStr">
        <is>
          <t>NULL</t>
        </is>
      </c>
      <c r="E1818" t="inlineStr">
        <is>
          <t>NULL</t>
        </is>
      </c>
      <c r="F1818" t="inlineStr">
        <is>
          <t>NULL</t>
        </is>
      </c>
      <c r="G1818" t="inlineStr">
        <is>
          <t>NULL</t>
        </is>
      </c>
      <c r="H1818" t="inlineStr">
        <is>
          <t>NULL</t>
        </is>
      </c>
      <c r="I1818" t="inlineStr">
        <is>
          <t>NULL</t>
        </is>
      </c>
      <c r="J1818" t="inlineStr">
        <is>
          <t>NULL</t>
        </is>
      </c>
      <c r="K1818" t="inlineStr">
        <is>
          <t>YES! 	 c_xml列源备映射正确，源端为xml -1位	期望更改为longtext	实际备端为longtext 4294967295位</t>
        </is>
      </c>
    </row>
    <row r="1819">
      <c r="A1819" t="inlineStr">
        <is>
          <t>info_xml_dml_single_pk</t>
        </is>
      </c>
      <c r="K1819" t="inlineStr">
        <is>
          <t>[0;34m info_xml_dml_single_pk [0m源备字段数相同，源端字段：2 	备端字段2</t>
        </is>
      </c>
      <c r="W1819" t="inlineStr">
        <is>
          <t>YES 源备无差异</t>
        </is>
      </c>
      <c r="X1819">
        <f>A1819</f>
        <v/>
      </c>
    </row>
    <row r="1820">
      <c r="B1820" t="inlineStr">
        <is>
          <t>YES</t>
        </is>
      </c>
      <c r="C1820" t="inlineStr">
        <is>
          <t>NULL</t>
        </is>
      </c>
      <c r="D1820" t="inlineStr">
        <is>
          <t>NULL</t>
        </is>
      </c>
      <c r="E1820" t="inlineStr">
        <is>
          <t>NULL</t>
        </is>
      </c>
      <c r="F1820" t="inlineStr">
        <is>
          <t>NULL</t>
        </is>
      </c>
      <c r="G1820" t="inlineStr">
        <is>
          <t>NULL</t>
        </is>
      </c>
      <c r="H1820" t="inlineStr">
        <is>
          <t>NULL</t>
        </is>
      </c>
      <c r="I1820" t="inlineStr">
        <is>
          <t>YES!PK__info_xml__3213E83F18208475</t>
        </is>
      </c>
      <c r="J1820" t="inlineStr">
        <is>
          <t>YES! 主键相关索引</t>
        </is>
      </c>
      <c r="K1820" t="inlineStr">
        <is>
          <t>YES! 	 id列源备映射正确，源端为int None位	期望更改为int	实际备端为int None位</t>
        </is>
      </c>
    </row>
    <row r="1821">
      <c r="B1821" t="inlineStr">
        <is>
          <t>NULL</t>
        </is>
      </c>
      <c r="C1821" t="inlineStr">
        <is>
          <t>NULL</t>
        </is>
      </c>
      <c r="D1821" t="inlineStr">
        <is>
          <t>NULL</t>
        </is>
      </c>
      <c r="E1821" t="inlineStr">
        <is>
          <t>NULL</t>
        </is>
      </c>
      <c r="F1821" t="inlineStr">
        <is>
          <t>NULL</t>
        </is>
      </c>
      <c r="G1821" t="inlineStr">
        <is>
          <t>NULL</t>
        </is>
      </c>
      <c r="H1821" t="inlineStr">
        <is>
          <t>NULL</t>
        </is>
      </c>
      <c r="I1821" t="inlineStr">
        <is>
          <t>NULL</t>
        </is>
      </c>
      <c r="J1821" t="inlineStr">
        <is>
          <t>NULL</t>
        </is>
      </c>
      <c r="K1821" t="inlineStr">
        <is>
          <t>YES! 	 c_xml列源备映射正确，源端为xml -1位	期望更改为longtext	实际备端为longtext 4294967295位</t>
        </is>
      </c>
    </row>
    <row r="1822">
      <c r="A1822" t="inlineStr">
        <is>
          <t>info_int_dml_batch1_pk_drp2</t>
        </is>
      </c>
      <c r="K1822" t="inlineStr">
        <is>
          <t>[0;34m info_int_dml_batch1_pk_drp2 [0m源备字段数相同，源端字段：20 	备端字段20</t>
        </is>
      </c>
      <c r="W1822" t="inlineStr">
        <is>
          <t>YES 源备无差异</t>
        </is>
      </c>
      <c r="X1822">
        <f>A1822</f>
        <v/>
      </c>
    </row>
    <row r="1823">
      <c r="B1823" t="inlineStr">
        <is>
          <t>YES</t>
        </is>
      </c>
      <c r="C1823" t="inlineStr">
        <is>
          <t>NULL</t>
        </is>
      </c>
      <c r="D1823" t="inlineStr">
        <is>
          <t>NULL</t>
        </is>
      </c>
      <c r="E1823" t="inlineStr">
        <is>
          <t>NULL</t>
        </is>
      </c>
      <c r="F1823" t="inlineStr">
        <is>
          <t>NULL</t>
        </is>
      </c>
      <c r="G1823" t="inlineStr">
        <is>
          <t>NULL</t>
        </is>
      </c>
      <c r="H1823" t="inlineStr">
        <is>
          <t>NULL</t>
        </is>
      </c>
      <c r="I1823" t="inlineStr">
        <is>
          <t>YES!PK__info_int__3213E83F7F818277</t>
        </is>
      </c>
      <c r="J1823" t="inlineStr">
        <is>
          <t>YES! 主键相关索引</t>
        </is>
      </c>
      <c r="K1823" t="inlineStr">
        <is>
          <t>YES! 	 id列源备映射正确，源端为int None位	期望更改为int	实际备端为int None位</t>
        </is>
      </c>
    </row>
    <row r="1824">
      <c r="B1824" t="inlineStr">
        <is>
          <t>NULL</t>
        </is>
      </c>
      <c r="C1824" t="inlineStr">
        <is>
          <t>NULL</t>
        </is>
      </c>
      <c r="D1824" t="inlineStr">
        <is>
          <t>NULL</t>
        </is>
      </c>
      <c r="E1824" t="inlineStr">
        <is>
          <t>NULL</t>
        </is>
      </c>
      <c r="F1824" t="inlineStr">
        <is>
          <t>NULL</t>
        </is>
      </c>
      <c r="G1824" t="inlineStr">
        <is>
          <t>NULL</t>
        </is>
      </c>
      <c r="H1824" t="inlineStr">
        <is>
          <t>NULL</t>
        </is>
      </c>
      <c r="I1824" t="inlineStr">
        <is>
          <t>NULL</t>
        </is>
      </c>
      <c r="J1824" t="inlineStr">
        <is>
          <t>NULL</t>
        </is>
      </c>
      <c r="K1824" t="inlineStr">
        <is>
          <t>YES! 	 c_tinyint列源备映射正确，源端为tinyint None位	期望更改为tinyint	实际备端为tinyint None位</t>
        </is>
      </c>
    </row>
    <row r="1825">
      <c r="B1825" t="inlineStr">
        <is>
          <t>NULL</t>
        </is>
      </c>
      <c r="C1825" t="inlineStr">
        <is>
          <t>NULL</t>
        </is>
      </c>
      <c r="D1825" t="inlineStr">
        <is>
          <t>NULL</t>
        </is>
      </c>
      <c r="E1825" t="inlineStr">
        <is>
          <t>NULL</t>
        </is>
      </c>
      <c r="F1825" t="inlineStr">
        <is>
          <t>NULL</t>
        </is>
      </c>
      <c r="G1825" t="inlineStr">
        <is>
          <t>NULL</t>
        </is>
      </c>
      <c r="H1825" t="inlineStr">
        <is>
          <t>NULL</t>
        </is>
      </c>
      <c r="I1825" t="inlineStr">
        <is>
          <t>NULL</t>
        </is>
      </c>
      <c r="J1825" t="inlineStr">
        <is>
          <t>NULL</t>
        </is>
      </c>
      <c r="K1825" t="inlineStr">
        <is>
          <t>YES! 	 c_smallint列源备映射正确，源端为smallint None位	期望更改为smallint	实际备端为smallint None位</t>
        </is>
      </c>
    </row>
    <row r="1826">
      <c r="B1826" t="inlineStr">
        <is>
          <t>NULL</t>
        </is>
      </c>
      <c r="C1826" t="inlineStr">
        <is>
          <t>NULL</t>
        </is>
      </c>
      <c r="D1826" t="inlineStr">
        <is>
          <t>NULL</t>
        </is>
      </c>
      <c r="E1826" t="inlineStr">
        <is>
          <t>NULL</t>
        </is>
      </c>
      <c r="F1826" t="inlineStr">
        <is>
          <t>NULL</t>
        </is>
      </c>
      <c r="G1826" t="inlineStr">
        <is>
          <t>NULL</t>
        </is>
      </c>
      <c r="H1826" t="inlineStr">
        <is>
          <t>NULL</t>
        </is>
      </c>
      <c r="I1826" t="inlineStr">
        <is>
          <t>NULL</t>
        </is>
      </c>
      <c r="J1826" t="inlineStr">
        <is>
          <t>NULL</t>
        </is>
      </c>
      <c r="K1826" t="inlineStr">
        <is>
          <t>YES! 	 c_int列源备映射正确，源端为int None位	期望更改为int	实际备端为int None位</t>
        </is>
      </c>
    </row>
    <row r="1827">
      <c r="B1827" t="inlineStr">
        <is>
          <t>NULL</t>
        </is>
      </c>
      <c r="C1827" t="inlineStr">
        <is>
          <t>NULL</t>
        </is>
      </c>
      <c r="D1827" t="inlineStr">
        <is>
          <t>NULL</t>
        </is>
      </c>
      <c r="E1827" t="inlineStr">
        <is>
          <t>NULL</t>
        </is>
      </c>
      <c r="F1827" t="inlineStr">
        <is>
          <t>NULL</t>
        </is>
      </c>
      <c r="G1827" t="inlineStr">
        <is>
          <t>NULL</t>
        </is>
      </c>
      <c r="H1827" t="inlineStr">
        <is>
          <t>NULL</t>
        </is>
      </c>
      <c r="I1827" t="inlineStr">
        <is>
          <t>NULL</t>
        </is>
      </c>
      <c r="J1827" t="inlineStr">
        <is>
          <t>NULL</t>
        </is>
      </c>
      <c r="K1827" t="inlineStr">
        <is>
          <t>YES! 	 c_bigint列源备映射正确，源端为bigint None位	期望更改为bigint	实际备端为bigint None位</t>
        </is>
      </c>
    </row>
    <row r="1828">
      <c r="B1828" t="inlineStr">
        <is>
          <t>NULL</t>
        </is>
      </c>
      <c r="C1828" t="inlineStr">
        <is>
          <t>NULL</t>
        </is>
      </c>
      <c r="D1828" t="inlineStr">
        <is>
          <t>NULL</t>
        </is>
      </c>
      <c r="E1828" t="inlineStr">
        <is>
          <t>NULL</t>
        </is>
      </c>
      <c r="F1828" t="inlineStr">
        <is>
          <t>NULL</t>
        </is>
      </c>
      <c r="G1828" t="inlineStr">
        <is>
          <t>NULL</t>
        </is>
      </c>
      <c r="H1828" t="inlineStr">
        <is>
          <t>NULL</t>
        </is>
      </c>
      <c r="I1828" t="inlineStr">
        <is>
          <t>NULL</t>
        </is>
      </c>
      <c r="J1828" t="inlineStr">
        <is>
          <t>NULL</t>
        </is>
      </c>
      <c r="K1828" t="inlineStr">
        <is>
          <t>YES! 	 c_decimal列源备映射正确，源端为decimal None位	期望更改为decimal(p,s)	实际备端为decimal None位</t>
        </is>
      </c>
    </row>
    <row r="1829">
      <c r="B1829" t="inlineStr">
        <is>
          <t>NULL</t>
        </is>
      </c>
      <c r="C1829" t="inlineStr">
        <is>
          <t>NULL</t>
        </is>
      </c>
      <c r="D1829" t="inlineStr">
        <is>
          <t>NULL</t>
        </is>
      </c>
      <c r="E1829" t="inlineStr">
        <is>
          <t>NULL</t>
        </is>
      </c>
      <c r="F1829" t="inlineStr">
        <is>
          <t>NULL</t>
        </is>
      </c>
      <c r="G1829" t="inlineStr">
        <is>
          <t>NULL</t>
        </is>
      </c>
      <c r="H1829" t="inlineStr">
        <is>
          <t>NULL</t>
        </is>
      </c>
      <c r="I1829" t="inlineStr">
        <is>
          <t>NULL</t>
        </is>
      </c>
      <c r="J1829" t="inlineStr">
        <is>
          <t>NULL</t>
        </is>
      </c>
      <c r="K1829" t="inlineStr">
        <is>
          <t>YES! 	 c_decimal38列源备映射正确，源端为decimal None位	期望更改为decimal(p,s)	实际备端为decimal None位</t>
        </is>
      </c>
    </row>
    <row r="1830">
      <c r="B1830" t="inlineStr">
        <is>
          <t>NULL</t>
        </is>
      </c>
      <c r="C1830" t="inlineStr">
        <is>
          <t>NULL</t>
        </is>
      </c>
      <c r="D1830" t="inlineStr">
        <is>
          <t>NULL</t>
        </is>
      </c>
      <c r="E1830" t="inlineStr">
        <is>
          <t>NULL</t>
        </is>
      </c>
      <c r="F1830" t="inlineStr">
        <is>
          <t>NULL</t>
        </is>
      </c>
      <c r="G1830" t="inlineStr">
        <is>
          <t>NULL</t>
        </is>
      </c>
      <c r="H1830" t="inlineStr">
        <is>
          <t>NULL</t>
        </is>
      </c>
      <c r="I1830" t="inlineStr">
        <is>
          <t>NULL</t>
        </is>
      </c>
      <c r="J1830" t="inlineStr">
        <is>
          <t>NULL</t>
        </is>
      </c>
      <c r="K1830" t="inlineStr">
        <is>
          <t xml:space="preserve"> NO!  	 c_decimal38_38列源备映射错误，源端为decimal None位	期望更改为decimal(p,s)	实际备端为varchar 168位</t>
        </is>
      </c>
    </row>
    <row r="1831">
      <c r="B1831" t="inlineStr">
        <is>
          <t>NULL</t>
        </is>
      </c>
      <c r="C1831" t="inlineStr">
        <is>
          <t>NULL</t>
        </is>
      </c>
      <c r="D1831" t="inlineStr">
        <is>
          <t>NULL</t>
        </is>
      </c>
      <c r="E1831" t="inlineStr">
        <is>
          <t>NULL</t>
        </is>
      </c>
      <c r="F1831" t="inlineStr">
        <is>
          <t>NULL</t>
        </is>
      </c>
      <c r="G1831" t="inlineStr">
        <is>
          <t>NULL</t>
        </is>
      </c>
      <c r="H1831" t="inlineStr">
        <is>
          <t>NULL</t>
        </is>
      </c>
      <c r="I1831" t="inlineStr">
        <is>
          <t>NULL</t>
        </is>
      </c>
      <c r="J1831" t="inlineStr">
        <is>
          <t>NULL</t>
        </is>
      </c>
      <c r="K1831" t="inlineStr">
        <is>
          <t>YES! 	 c_decimal38_10列源备映射正确，源端为decimal None位	期望更改为decimal(p,s)	实际备端为decimal None位</t>
        </is>
      </c>
    </row>
    <row r="1832">
      <c r="B1832" t="inlineStr">
        <is>
          <t>NULL</t>
        </is>
      </c>
      <c r="C1832" t="inlineStr">
        <is>
          <t>NULL</t>
        </is>
      </c>
      <c r="D1832" t="inlineStr">
        <is>
          <t>NULL</t>
        </is>
      </c>
      <c r="E1832" t="inlineStr">
        <is>
          <t>NULL</t>
        </is>
      </c>
      <c r="F1832" t="inlineStr">
        <is>
          <t>NULL</t>
        </is>
      </c>
      <c r="G1832" t="inlineStr">
        <is>
          <t>NULL</t>
        </is>
      </c>
      <c r="H1832" t="inlineStr">
        <is>
          <t>NULL</t>
        </is>
      </c>
      <c r="I1832" t="inlineStr">
        <is>
          <t>NULL</t>
        </is>
      </c>
      <c r="J1832" t="inlineStr">
        <is>
          <t>NULL</t>
        </is>
      </c>
      <c r="K1832" t="inlineStr">
        <is>
          <t>YES! 	 c_decimal19_4列源备映射正确，源端为decimal None位	期望更改为decimal(p,s)	实际备端为decimal None位</t>
        </is>
      </c>
    </row>
    <row r="1833">
      <c r="B1833" t="inlineStr">
        <is>
          <t>NULL</t>
        </is>
      </c>
      <c r="C1833" t="inlineStr">
        <is>
          <t>NULL</t>
        </is>
      </c>
      <c r="D1833" t="inlineStr">
        <is>
          <t>NULL</t>
        </is>
      </c>
      <c r="E1833" t="inlineStr">
        <is>
          <t>NULL</t>
        </is>
      </c>
      <c r="F1833" t="inlineStr">
        <is>
          <t>NULL</t>
        </is>
      </c>
      <c r="G1833" t="inlineStr">
        <is>
          <t>NULL</t>
        </is>
      </c>
      <c r="H1833" t="inlineStr">
        <is>
          <t>NULL</t>
        </is>
      </c>
      <c r="I1833" t="inlineStr">
        <is>
          <t>NULL</t>
        </is>
      </c>
      <c r="J1833" t="inlineStr">
        <is>
          <t>NULL</t>
        </is>
      </c>
      <c r="K1833" t="inlineStr">
        <is>
          <t>YES! 	 c_numeric列源备映射正确，源端为numeric None位	期望更改为decimal(p,s)	实际备端为decimal None位</t>
        </is>
      </c>
    </row>
    <row r="1834">
      <c r="B1834" t="inlineStr">
        <is>
          <t>NULL</t>
        </is>
      </c>
      <c r="C1834" t="inlineStr">
        <is>
          <t>NULL</t>
        </is>
      </c>
      <c r="D1834" t="inlineStr">
        <is>
          <t>NULL</t>
        </is>
      </c>
      <c r="E1834" t="inlineStr">
        <is>
          <t>NULL</t>
        </is>
      </c>
      <c r="F1834" t="inlineStr">
        <is>
          <t>NULL</t>
        </is>
      </c>
      <c r="G1834" t="inlineStr">
        <is>
          <t>NULL</t>
        </is>
      </c>
      <c r="H1834" t="inlineStr">
        <is>
          <t>NULL</t>
        </is>
      </c>
      <c r="I1834" t="inlineStr">
        <is>
          <t>NULL</t>
        </is>
      </c>
      <c r="J1834" t="inlineStr">
        <is>
          <t>NULL</t>
        </is>
      </c>
      <c r="K1834" t="inlineStr">
        <is>
          <t>YES! 	 c_numeric38列源备映射正确，源端为numeric None位	期望更改为decimal(p,s)	实际备端为decimal None位</t>
        </is>
      </c>
    </row>
    <row r="1835">
      <c r="B1835" t="inlineStr">
        <is>
          <t>NULL</t>
        </is>
      </c>
      <c r="C1835" t="inlineStr">
        <is>
          <t>NULL</t>
        </is>
      </c>
      <c r="D1835" t="inlineStr">
        <is>
          <t>NULL</t>
        </is>
      </c>
      <c r="E1835" t="inlineStr">
        <is>
          <t>NULL</t>
        </is>
      </c>
      <c r="F1835" t="inlineStr">
        <is>
          <t>NULL</t>
        </is>
      </c>
      <c r="G1835" t="inlineStr">
        <is>
          <t>NULL</t>
        </is>
      </c>
      <c r="H1835" t="inlineStr">
        <is>
          <t>NULL</t>
        </is>
      </c>
      <c r="I1835" t="inlineStr">
        <is>
          <t>NULL</t>
        </is>
      </c>
      <c r="J1835" t="inlineStr">
        <is>
          <t>NULL</t>
        </is>
      </c>
      <c r="K1835" t="inlineStr">
        <is>
          <t xml:space="preserve"> NO!  	 c_numeric38_38列源备映射错误，源端为numeric None位	期望更改为decimal(p,s)	实际备端为varchar 168位</t>
        </is>
      </c>
    </row>
    <row r="1836">
      <c r="B1836" t="inlineStr">
        <is>
          <t>NULL</t>
        </is>
      </c>
      <c r="C1836" t="inlineStr">
        <is>
          <t>NULL</t>
        </is>
      </c>
      <c r="D1836" t="inlineStr">
        <is>
          <t>NULL</t>
        </is>
      </c>
      <c r="E1836" t="inlineStr">
        <is>
          <t>NULL</t>
        </is>
      </c>
      <c r="F1836" t="inlineStr">
        <is>
          <t>NULL</t>
        </is>
      </c>
      <c r="G1836" t="inlineStr">
        <is>
          <t>NULL</t>
        </is>
      </c>
      <c r="H1836" t="inlineStr">
        <is>
          <t>NULL</t>
        </is>
      </c>
      <c r="I1836" t="inlineStr">
        <is>
          <t>NULL</t>
        </is>
      </c>
      <c r="J1836" t="inlineStr">
        <is>
          <t>NULL</t>
        </is>
      </c>
      <c r="K1836" t="inlineStr">
        <is>
          <t>YES! 	 c_numeric38_10列源备映射正确，源端为numeric None位	期望更改为decimal(p,s)	实际备端为decimal None位</t>
        </is>
      </c>
    </row>
    <row r="1837">
      <c r="B1837" t="inlineStr">
        <is>
          <t>NULL</t>
        </is>
      </c>
      <c r="C1837" t="inlineStr">
        <is>
          <t>NULL</t>
        </is>
      </c>
      <c r="D1837" t="inlineStr">
        <is>
          <t>NULL</t>
        </is>
      </c>
      <c r="E1837" t="inlineStr">
        <is>
          <t>NULL</t>
        </is>
      </c>
      <c r="F1837" t="inlineStr">
        <is>
          <t>NULL</t>
        </is>
      </c>
      <c r="G1837" t="inlineStr">
        <is>
          <t>NULL</t>
        </is>
      </c>
      <c r="H1837" t="inlineStr">
        <is>
          <t>NULL</t>
        </is>
      </c>
      <c r="I1837" t="inlineStr">
        <is>
          <t>NULL</t>
        </is>
      </c>
      <c r="J1837" t="inlineStr">
        <is>
          <t>NULL</t>
        </is>
      </c>
      <c r="K1837" t="inlineStr">
        <is>
          <t>YES! 	 c_numeric18_2列源备映射正确，源端为numeric None位	期望更改为decimal(p,s)	实际备端为decimal None位</t>
        </is>
      </c>
    </row>
    <row r="1838">
      <c r="B1838" t="inlineStr">
        <is>
          <t>NULL</t>
        </is>
      </c>
      <c r="C1838" t="inlineStr">
        <is>
          <t>NULL</t>
        </is>
      </c>
      <c r="D1838" t="inlineStr">
        <is>
          <t>NULL</t>
        </is>
      </c>
      <c r="E1838" t="inlineStr">
        <is>
          <t>NULL</t>
        </is>
      </c>
      <c r="F1838" t="inlineStr">
        <is>
          <t>NULL</t>
        </is>
      </c>
      <c r="G1838" t="inlineStr">
        <is>
          <t>NULL</t>
        </is>
      </c>
      <c r="H1838" t="inlineStr">
        <is>
          <t>NULL</t>
        </is>
      </c>
      <c r="I1838" t="inlineStr">
        <is>
          <t>NULL</t>
        </is>
      </c>
      <c r="J1838" t="inlineStr">
        <is>
          <t>NULL</t>
        </is>
      </c>
      <c r="K1838" t="inlineStr">
        <is>
          <t>YES! 	 c_float列源备映射正确，源端为float None位	期望更改为double	实际备端为double None位</t>
        </is>
      </c>
    </row>
    <row r="1839">
      <c r="B1839" t="inlineStr">
        <is>
          <t>NULL</t>
        </is>
      </c>
      <c r="C1839" t="inlineStr">
        <is>
          <t>NULL</t>
        </is>
      </c>
      <c r="D1839" t="inlineStr">
        <is>
          <t>NULL</t>
        </is>
      </c>
      <c r="E1839" t="inlineStr">
        <is>
          <t>NULL</t>
        </is>
      </c>
      <c r="F1839" t="inlineStr">
        <is>
          <t>NULL</t>
        </is>
      </c>
      <c r="G1839" t="inlineStr">
        <is>
          <t>NULL</t>
        </is>
      </c>
      <c r="H1839" t="inlineStr">
        <is>
          <t>NULL</t>
        </is>
      </c>
      <c r="I1839" t="inlineStr">
        <is>
          <t>NULL</t>
        </is>
      </c>
      <c r="J1839" t="inlineStr">
        <is>
          <t>NULL</t>
        </is>
      </c>
      <c r="K1839" t="inlineStr">
        <is>
          <t>YES! 	 c_real列源备映射正确，源端为real None位	期望更改为double	实际备端为double None位</t>
        </is>
      </c>
    </row>
    <row r="1840">
      <c r="B1840" t="inlineStr">
        <is>
          <t>NULL</t>
        </is>
      </c>
      <c r="C1840" t="inlineStr">
        <is>
          <t>NULL</t>
        </is>
      </c>
      <c r="D1840" t="inlineStr">
        <is>
          <t>NULL</t>
        </is>
      </c>
      <c r="E1840" t="inlineStr">
        <is>
          <t>NULL</t>
        </is>
      </c>
      <c r="F1840" t="inlineStr">
        <is>
          <t>NULL</t>
        </is>
      </c>
      <c r="G1840" t="inlineStr">
        <is>
          <t>NULL</t>
        </is>
      </c>
      <c r="H1840" t="inlineStr">
        <is>
          <t>NULL</t>
        </is>
      </c>
      <c r="I1840" t="inlineStr">
        <is>
          <t>NULL</t>
        </is>
      </c>
      <c r="J1840" t="inlineStr">
        <is>
          <t>NULL</t>
        </is>
      </c>
      <c r="K1840" t="inlineStr">
        <is>
          <t>YES! 	 c_money列源备映射正确，源端为money None位	期望更改为decimal(19,4)	实际备端为decimal None位</t>
        </is>
      </c>
    </row>
    <row r="1841">
      <c r="B1841" t="inlineStr">
        <is>
          <t>NULL</t>
        </is>
      </c>
      <c r="C1841" t="inlineStr">
        <is>
          <t>NULL</t>
        </is>
      </c>
      <c r="D1841" t="inlineStr">
        <is>
          <t>NULL</t>
        </is>
      </c>
      <c r="E1841" t="inlineStr">
        <is>
          <t>NULL</t>
        </is>
      </c>
      <c r="F1841" t="inlineStr">
        <is>
          <t>NULL</t>
        </is>
      </c>
      <c r="G1841" t="inlineStr">
        <is>
          <t>NULL</t>
        </is>
      </c>
      <c r="H1841" t="inlineStr">
        <is>
          <t>NULL</t>
        </is>
      </c>
      <c r="I1841" t="inlineStr">
        <is>
          <t>NULL</t>
        </is>
      </c>
      <c r="J1841" t="inlineStr">
        <is>
          <t>NULL</t>
        </is>
      </c>
      <c r="K1841" t="inlineStr">
        <is>
          <t>YES! 	 c_smallmoney列源备映射正确，源端为smallmoney None位	期望更改为decimal(10,4)	实际备端为decimal None位</t>
        </is>
      </c>
    </row>
    <row r="1842">
      <c r="B1842" t="inlineStr">
        <is>
          <t>NULL</t>
        </is>
      </c>
      <c r="C1842" t="inlineStr">
        <is>
          <t>NULL</t>
        </is>
      </c>
      <c r="D1842" t="inlineStr">
        <is>
          <t>NULL</t>
        </is>
      </c>
      <c r="E1842" t="inlineStr">
        <is>
          <t>NULL</t>
        </is>
      </c>
      <c r="F1842" t="inlineStr">
        <is>
          <t>NULL</t>
        </is>
      </c>
      <c r="G1842" t="inlineStr">
        <is>
          <t>NULL</t>
        </is>
      </c>
      <c r="H1842" t="inlineStr">
        <is>
          <t>NULL</t>
        </is>
      </c>
      <c r="I1842" t="inlineStr">
        <is>
          <t>NULL</t>
        </is>
      </c>
      <c r="J1842" t="inlineStr">
        <is>
          <t>NULL</t>
        </is>
      </c>
      <c r="K1842" t="inlineStr">
        <is>
          <t>YES! 	 c_bit列源备映射正确，源端为bit None位	期望更改为tinyint(1) 	实际备端为tinyint None位</t>
        </is>
      </c>
    </row>
    <row r="1843">
      <c r="A1843" t="inlineStr">
        <is>
          <t>info_int_dml_batch1_pk_urp2</t>
        </is>
      </c>
      <c r="K1843" t="inlineStr">
        <is>
          <t>[0;34m info_int_dml_batch1_pk_urp2 [0m源备字段数相同，源端字段：20 	备端字段20</t>
        </is>
      </c>
      <c r="W1843" t="inlineStr">
        <is>
          <t>YES 源备无差异</t>
        </is>
      </c>
      <c r="X1843">
        <f>A1843</f>
        <v/>
      </c>
    </row>
    <row r="1844">
      <c r="B1844" t="inlineStr">
        <is>
          <t>YES</t>
        </is>
      </c>
      <c r="C1844" t="inlineStr">
        <is>
          <t>NULL</t>
        </is>
      </c>
      <c r="D1844" t="inlineStr">
        <is>
          <t>NULL</t>
        </is>
      </c>
      <c r="E1844" t="inlineStr">
        <is>
          <t>NULL</t>
        </is>
      </c>
      <c r="F1844" t="inlineStr">
        <is>
          <t>NULL</t>
        </is>
      </c>
      <c r="G1844" t="inlineStr">
        <is>
          <t>NULL</t>
        </is>
      </c>
      <c r="H1844" t="inlineStr">
        <is>
          <t>NULL</t>
        </is>
      </c>
      <c r="I1844" t="inlineStr">
        <is>
          <t>YES!PK__info_int__3213E83F144F3BF9</t>
        </is>
      </c>
      <c r="J1844" t="inlineStr">
        <is>
          <t>YES! 主键相关索引</t>
        </is>
      </c>
      <c r="K1844" t="inlineStr">
        <is>
          <t>YES! 	 id列源备映射正确，源端为int None位	期望更改为int	实际备端为int None位</t>
        </is>
      </c>
    </row>
    <row r="1845">
      <c r="B1845" t="inlineStr">
        <is>
          <t>NULL</t>
        </is>
      </c>
      <c r="C1845" t="inlineStr">
        <is>
          <t>NULL</t>
        </is>
      </c>
      <c r="D1845" t="inlineStr">
        <is>
          <t>NULL</t>
        </is>
      </c>
      <c r="E1845" t="inlineStr">
        <is>
          <t>NULL</t>
        </is>
      </c>
      <c r="F1845" t="inlineStr">
        <is>
          <t>NULL</t>
        </is>
      </c>
      <c r="G1845" t="inlineStr">
        <is>
          <t>NULL</t>
        </is>
      </c>
      <c r="H1845" t="inlineStr">
        <is>
          <t>NULL</t>
        </is>
      </c>
      <c r="I1845" t="inlineStr">
        <is>
          <t>NULL</t>
        </is>
      </c>
      <c r="J1845" t="inlineStr">
        <is>
          <t>NULL</t>
        </is>
      </c>
      <c r="K1845" t="inlineStr">
        <is>
          <t>YES! 	 c_tinyint列源备映射正确，源端为tinyint None位	期望更改为tinyint	实际备端为tinyint None位</t>
        </is>
      </c>
    </row>
    <row r="1846">
      <c r="B1846" t="inlineStr">
        <is>
          <t>NULL</t>
        </is>
      </c>
      <c r="C1846" t="inlineStr">
        <is>
          <t>NULL</t>
        </is>
      </c>
      <c r="D1846" t="inlineStr">
        <is>
          <t>NULL</t>
        </is>
      </c>
      <c r="E1846" t="inlineStr">
        <is>
          <t>NULL</t>
        </is>
      </c>
      <c r="F1846" t="inlineStr">
        <is>
          <t>NULL</t>
        </is>
      </c>
      <c r="G1846" t="inlineStr">
        <is>
          <t>NULL</t>
        </is>
      </c>
      <c r="H1846" t="inlineStr">
        <is>
          <t>NULL</t>
        </is>
      </c>
      <c r="I1846" t="inlineStr">
        <is>
          <t>NULL</t>
        </is>
      </c>
      <c r="J1846" t="inlineStr">
        <is>
          <t>NULL</t>
        </is>
      </c>
      <c r="K1846" t="inlineStr">
        <is>
          <t>YES! 	 c_smallint列源备映射正确，源端为smallint None位	期望更改为smallint	实际备端为smallint None位</t>
        </is>
      </c>
    </row>
    <row r="1847">
      <c r="B1847" t="inlineStr">
        <is>
          <t>NULL</t>
        </is>
      </c>
      <c r="C1847" t="inlineStr">
        <is>
          <t>NULL</t>
        </is>
      </c>
      <c r="D1847" t="inlineStr">
        <is>
          <t>NULL</t>
        </is>
      </c>
      <c r="E1847" t="inlineStr">
        <is>
          <t>NULL</t>
        </is>
      </c>
      <c r="F1847" t="inlineStr">
        <is>
          <t>NULL</t>
        </is>
      </c>
      <c r="G1847" t="inlineStr">
        <is>
          <t>NULL</t>
        </is>
      </c>
      <c r="H1847" t="inlineStr">
        <is>
          <t>NULL</t>
        </is>
      </c>
      <c r="I1847" t="inlineStr">
        <is>
          <t>NULL</t>
        </is>
      </c>
      <c r="J1847" t="inlineStr">
        <is>
          <t>NULL</t>
        </is>
      </c>
      <c r="K1847" t="inlineStr">
        <is>
          <t>YES! 	 c_int列源备映射正确，源端为int None位	期望更改为int	实际备端为int None位</t>
        </is>
      </c>
    </row>
    <row r="1848">
      <c r="B1848" t="inlineStr">
        <is>
          <t>NULL</t>
        </is>
      </c>
      <c r="C1848" t="inlineStr">
        <is>
          <t>NULL</t>
        </is>
      </c>
      <c r="D1848" t="inlineStr">
        <is>
          <t>NULL</t>
        </is>
      </c>
      <c r="E1848" t="inlineStr">
        <is>
          <t>NULL</t>
        </is>
      </c>
      <c r="F1848" t="inlineStr">
        <is>
          <t>NULL</t>
        </is>
      </c>
      <c r="G1848" t="inlineStr">
        <is>
          <t>NULL</t>
        </is>
      </c>
      <c r="H1848" t="inlineStr">
        <is>
          <t>NULL</t>
        </is>
      </c>
      <c r="I1848" t="inlineStr">
        <is>
          <t>NULL</t>
        </is>
      </c>
      <c r="J1848" t="inlineStr">
        <is>
          <t>NULL</t>
        </is>
      </c>
      <c r="K1848" t="inlineStr">
        <is>
          <t>YES! 	 c_bigint列源备映射正确，源端为bigint None位	期望更改为bigint	实际备端为bigint None位</t>
        </is>
      </c>
    </row>
    <row r="1849">
      <c r="B1849" t="inlineStr">
        <is>
          <t>NULL</t>
        </is>
      </c>
      <c r="C1849" t="inlineStr">
        <is>
          <t>NULL</t>
        </is>
      </c>
      <c r="D1849" t="inlineStr">
        <is>
          <t>NULL</t>
        </is>
      </c>
      <c r="E1849" t="inlineStr">
        <is>
          <t>NULL</t>
        </is>
      </c>
      <c r="F1849" t="inlineStr">
        <is>
          <t>NULL</t>
        </is>
      </c>
      <c r="G1849" t="inlineStr">
        <is>
          <t>NULL</t>
        </is>
      </c>
      <c r="H1849" t="inlineStr">
        <is>
          <t>NULL</t>
        </is>
      </c>
      <c r="I1849" t="inlineStr">
        <is>
          <t>NULL</t>
        </is>
      </c>
      <c r="J1849" t="inlineStr">
        <is>
          <t>NULL</t>
        </is>
      </c>
      <c r="K1849" t="inlineStr">
        <is>
          <t>YES! 	 c_decimal列源备映射正确，源端为decimal None位	期望更改为decimal(p,s)	实际备端为decimal None位</t>
        </is>
      </c>
    </row>
    <row r="1850">
      <c r="B1850" t="inlineStr">
        <is>
          <t>NULL</t>
        </is>
      </c>
      <c r="C1850" t="inlineStr">
        <is>
          <t>NULL</t>
        </is>
      </c>
      <c r="D1850" t="inlineStr">
        <is>
          <t>NULL</t>
        </is>
      </c>
      <c r="E1850" t="inlineStr">
        <is>
          <t>NULL</t>
        </is>
      </c>
      <c r="F1850" t="inlineStr">
        <is>
          <t>NULL</t>
        </is>
      </c>
      <c r="G1850" t="inlineStr">
        <is>
          <t>NULL</t>
        </is>
      </c>
      <c r="H1850" t="inlineStr">
        <is>
          <t>NULL</t>
        </is>
      </c>
      <c r="I1850" t="inlineStr">
        <is>
          <t>NULL</t>
        </is>
      </c>
      <c r="J1850" t="inlineStr">
        <is>
          <t>NULL</t>
        </is>
      </c>
      <c r="K1850" t="inlineStr">
        <is>
          <t>YES! 	 c_decimal38列源备映射正确，源端为decimal None位	期望更改为decimal(p,s)	实际备端为decimal None位</t>
        </is>
      </c>
    </row>
    <row r="1851">
      <c r="B1851" t="inlineStr">
        <is>
          <t>NULL</t>
        </is>
      </c>
      <c r="C1851" t="inlineStr">
        <is>
          <t>NULL</t>
        </is>
      </c>
      <c r="D1851" t="inlineStr">
        <is>
          <t>NULL</t>
        </is>
      </c>
      <c r="E1851" t="inlineStr">
        <is>
          <t>NULL</t>
        </is>
      </c>
      <c r="F1851" t="inlineStr">
        <is>
          <t>NULL</t>
        </is>
      </c>
      <c r="G1851" t="inlineStr">
        <is>
          <t>NULL</t>
        </is>
      </c>
      <c r="H1851" t="inlineStr">
        <is>
          <t>NULL</t>
        </is>
      </c>
      <c r="I1851" t="inlineStr">
        <is>
          <t>NULL</t>
        </is>
      </c>
      <c r="J1851" t="inlineStr">
        <is>
          <t>NULL</t>
        </is>
      </c>
      <c r="K1851" t="inlineStr">
        <is>
          <t xml:space="preserve"> NO!  	 c_decimal38_38列源备映射错误，源端为decimal None位	期望更改为decimal(p,s)	实际备端为varchar 168位</t>
        </is>
      </c>
    </row>
    <row r="1852">
      <c r="B1852" t="inlineStr">
        <is>
          <t>NULL</t>
        </is>
      </c>
      <c r="C1852" t="inlineStr">
        <is>
          <t>NULL</t>
        </is>
      </c>
      <c r="D1852" t="inlineStr">
        <is>
          <t>NULL</t>
        </is>
      </c>
      <c r="E1852" t="inlineStr">
        <is>
          <t>NULL</t>
        </is>
      </c>
      <c r="F1852" t="inlineStr">
        <is>
          <t>NULL</t>
        </is>
      </c>
      <c r="G1852" t="inlineStr">
        <is>
          <t>NULL</t>
        </is>
      </c>
      <c r="H1852" t="inlineStr">
        <is>
          <t>NULL</t>
        </is>
      </c>
      <c r="I1852" t="inlineStr">
        <is>
          <t>NULL</t>
        </is>
      </c>
      <c r="J1852" t="inlineStr">
        <is>
          <t>NULL</t>
        </is>
      </c>
      <c r="K1852" t="inlineStr">
        <is>
          <t>YES! 	 c_decimal38_10列源备映射正确，源端为decimal None位	期望更改为decimal(p,s)	实际备端为decimal None位</t>
        </is>
      </c>
    </row>
    <row r="1853">
      <c r="B1853" t="inlineStr">
        <is>
          <t>NULL</t>
        </is>
      </c>
      <c r="C1853" t="inlineStr">
        <is>
          <t>NULL</t>
        </is>
      </c>
      <c r="D1853" t="inlineStr">
        <is>
          <t>NULL</t>
        </is>
      </c>
      <c r="E1853" t="inlineStr">
        <is>
          <t>NULL</t>
        </is>
      </c>
      <c r="F1853" t="inlineStr">
        <is>
          <t>NULL</t>
        </is>
      </c>
      <c r="G1853" t="inlineStr">
        <is>
          <t>NULL</t>
        </is>
      </c>
      <c r="H1853" t="inlineStr">
        <is>
          <t>NULL</t>
        </is>
      </c>
      <c r="I1853" t="inlineStr">
        <is>
          <t>NULL</t>
        </is>
      </c>
      <c r="J1853" t="inlineStr">
        <is>
          <t>NULL</t>
        </is>
      </c>
      <c r="K1853" t="inlineStr">
        <is>
          <t>YES! 	 c_decimal19_4列源备映射正确，源端为decimal None位	期望更改为decimal(p,s)	实际备端为decimal None位</t>
        </is>
      </c>
    </row>
    <row r="1854">
      <c r="B1854" t="inlineStr">
        <is>
          <t>NULL</t>
        </is>
      </c>
      <c r="C1854" t="inlineStr">
        <is>
          <t>NULL</t>
        </is>
      </c>
      <c r="D1854" t="inlineStr">
        <is>
          <t>NULL</t>
        </is>
      </c>
      <c r="E1854" t="inlineStr">
        <is>
          <t>NULL</t>
        </is>
      </c>
      <c r="F1854" t="inlineStr">
        <is>
          <t>NULL</t>
        </is>
      </c>
      <c r="G1854" t="inlineStr">
        <is>
          <t>NULL</t>
        </is>
      </c>
      <c r="H1854" t="inlineStr">
        <is>
          <t>NULL</t>
        </is>
      </c>
      <c r="I1854" t="inlineStr">
        <is>
          <t>NULL</t>
        </is>
      </c>
      <c r="J1854" t="inlineStr">
        <is>
          <t>NULL</t>
        </is>
      </c>
      <c r="K1854" t="inlineStr">
        <is>
          <t>YES! 	 c_numeric列源备映射正确，源端为numeric None位	期望更改为decimal(p,s)	实际备端为decimal None位</t>
        </is>
      </c>
    </row>
    <row r="1855">
      <c r="B1855" t="inlineStr">
        <is>
          <t>NULL</t>
        </is>
      </c>
      <c r="C1855" t="inlineStr">
        <is>
          <t>NULL</t>
        </is>
      </c>
      <c r="D1855" t="inlineStr">
        <is>
          <t>NULL</t>
        </is>
      </c>
      <c r="E1855" t="inlineStr">
        <is>
          <t>NULL</t>
        </is>
      </c>
      <c r="F1855" t="inlineStr">
        <is>
          <t>NULL</t>
        </is>
      </c>
      <c r="G1855" t="inlineStr">
        <is>
          <t>NULL</t>
        </is>
      </c>
      <c r="H1855" t="inlineStr">
        <is>
          <t>NULL</t>
        </is>
      </c>
      <c r="I1855" t="inlineStr">
        <is>
          <t>NULL</t>
        </is>
      </c>
      <c r="J1855" t="inlineStr">
        <is>
          <t>NULL</t>
        </is>
      </c>
      <c r="K1855" t="inlineStr">
        <is>
          <t>YES! 	 c_numeric38列源备映射正确，源端为numeric None位	期望更改为decimal(p,s)	实际备端为decimal None位</t>
        </is>
      </c>
    </row>
    <row r="1856">
      <c r="B1856" t="inlineStr">
        <is>
          <t>NULL</t>
        </is>
      </c>
      <c r="C1856" t="inlineStr">
        <is>
          <t>NULL</t>
        </is>
      </c>
      <c r="D1856" t="inlineStr">
        <is>
          <t>NULL</t>
        </is>
      </c>
      <c r="E1856" t="inlineStr">
        <is>
          <t>NULL</t>
        </is>
      </c>
      <c r="F1856" t="inlineStr">
        <is>
          <t>NULL</t>
        </is>
      </c>
      <c r="G1856" t="inlineStr">
        <is>
          <t>NULL</t>
        </is>
      </c>
      <c r="H1856" t="inlineStr">
        <is>
          <t>NULL</t>
        </is>
      </c>
      <c r="I1856" t="inlineStr">
        <is>
          <t>NULL</t>
        </is>
      </c>
      <c r="J1856" t="inlineStr">
        <is>
          <t>NULL</t>
        </is>
      </c>
      <c r="K1856" t="inlineStr">
        <is>
          <t xml:space="preserve"> NO!  	 c_numeric38_38列源备映射错误，源端为numeric None位	期望更改为decimal(p,s)	实际备端为varchar 168位</t>
        </is>
      </c>
    </row>
    <row r="1857">
      <c r="B1857" t="inlineStr">
        <is>
          <t>NULL</t>
        </is>
      </c>
      <c r="C1857" t="inlineStr">
        <is>
          <t>NULL</t>
        </is>
      </c>
      <c r="D1857" t="inlineStr">
        <is>
          <t>NULL</t>
        </is>
      </c>
      <c r="E1857" t="inlineStr">
        <is>
          <t>NULL</t>
        </is>
      </c>
      <c r="F1857" t="inlineStr">
        <is>
          <t>NULL</t>
        </is>
      </c>
      <c r="G1857" t="inlineStr">
        <is>
          <t>NULL</t>
        </is>
      </c>
      <c r="H1857" t="inlineStr">
        <is>
          <t>NULL</t>
        </is>
      </c>
      <c r="I1857" t="inlineStr">
        <is>
          <t>NULL</t>
        </is>
      </c>
      <c r="J1857" t="inlineStr">
        <is>
          <t>NULL</t>
        </is>
      </c>
      <c r="K1857" t="inlineStr">
        <is>
          <t>YES! 	 c_numeric38_10列源备映射正确，源端为numeric None位	期望更改为decimal(p,s)	实际备端为decimal None位</t>
        </is>
      </c>
    </row>
    <row r="1858">
      <c r="B1858" t="inlineStr">
        <is>
          <t>NULL</t>
        </is>
      </c>
      <c r="C1858" t="inlineStr">
        <is>
          <t>NULL</t>
        </is>
      </c>
      <c r="D1858" t="inlineStr">
        <is>
          <t>NULL</t>
        </is>
      </c>
      <c r="E1858" t="inlineStr">
        <is>
          <t>NULL</t>
        </is>
      </c>
      <c r="F1858" t="inlineStr">
        <is>
          <t>NULL</t>
        </is>
      </c>
      <c r="G1858" t="inlineStr">
        <is>
          <t>NULL</t>
        </is>
      </c>
      <c r="H1858" t="inlineStr">
        <is>
          <t>NULL</t>
        </is>
      </c>
      <c r="I1858" t="inlineStr">
        <is>
          <t>NULL</t>
        </is>
      </c>
      <c r="J1858" t="inlineStr">
        <is>
          <t>NULL</t>
        </is>
      </c>
      <c r="K1858" t="inlineStr">
        <is>
          <t>YES! 	 c_numeric18_2列源备映射正确，源端为numeric None位	期望更改为decimal(p,s)	实际备端为decimal None位</t>
        </is>
      </c>
    </row>
    <row r="1859">
      <c r="B1859" t="inlineStr">
        <is>
          <t>NULL</t>
        </is>
      </c>
      <c r="C1859" t="inlineStr">
        <is>
          <t>NULL</t>
        </is>
      </c>
      <c r="D1859" t="inlineStr">
        <is>
          <t>NULL</t>
        </is>
      </c>
      <c r="E1859" t="inlineStr">
        <is>
          <t>NULL</t>
        </is>
      </c>
      <c r="F1859" t="inlineStr">
        <is>
          <t>NULL</t>
        </is>
      </c>
      <c r="G1859" t="inlineStr">
        <is>
          <t>NULL</t>
        </is>
      </c>
      <c r="H1859" t="inlineStr">
        <is>
          <t>NULL</t>
        </is>
      </c>
      <c r="I1859" t="inlineStr">
        <is>
          <t>NULL</t>
        </is>
      </c>
      <c r="J1859" t="inlineStr">
        <is>
          <t>NULL</t>
        </is>
      </c>
      <c r="K1859" t="inlineStr">
        <is>
          <t>YES! 	 c_float列源备映射正确，源端为float None位	期望更改为double	实际备端为double None位</t>
        </is>
      </c>
    </row>
    <row r="1860">
      <c r="B1860" t="inlineStr">
        <is>
          <t>NULL</t>
        </is>
      </c>
      <c r="C1860" t="inlineStr">
        <is>
          <t>NULL</t>
        </is>
      </c>
      <c r="D1860" t="inlineStr">
        <is>
          <t>NULL</t>
        </is>
      </c>
      <c r="E1860" t="inlineStr">
        <is>
          <t>NULL</t>
        </is>
      </c>
      <c r="F1860" t="inlineStr">
        <is>
          <t>NULL</t>
        </is>
      </c>
      <c r="G1860" t="inlineStr">
        <is>
          <t>NULL</t>
        </is>
      </c>
      <c r="H1860" t="inlineStr">
        <is>
          <t>NULL</t>
        </is>
      </c>
      <c r="I1860" t="inlineStr">
        <is>
          <t>NULL</t>
        </is>
      </c>
      <c r="J1860" t="inlineStr">
        <is>
          <t>NULL</t>
        </is>
      </c>
      <c r="K1860" t="inlineStr">
        <is>
          <t>YES! 	 c_real列源备映射正确，源端为real None位	期望更改为double	实际备端为double None位</t>
        </is>
      </c>
    </row>
    <row r="1861">
      <c r="B1861" t="inlineStr">
        <is>
          <t>NULL</t>
        </is>
      </c>
      <c r="C1861" t="inlineStr">
        <is>
          <t>NULL</t>
        </is>
      </c>
      <c r="D1861" t="inlineStr">
        <is>
          <t>NULL</t>
        </is>
      </c>
      <c r="E1861" t="inlineStr">
        <is>
          <t>NULL</t>
        </is>
      </c>
      <c r="F1861" t="inlineStr">
        <is>
          <t>NULL</t>
        </is>
      </c>
      <c r="G1861" t="inlineStr">
        <is>
          <t>NULL</t>
        </is>
      </c>
      <c r="H1861" t="inlineStr">
        <is>
          <t>NULL</t>
        </is>
      </c>
      <c r="I1861" t="inlineStr">
        <is>
          <t>NULL</t>
        </is>
      </c>
      <c r="J1861" t="inlineStr">
        <is>
          <t>NULL</t>
        </is>
      </c>
      <c r="K1861" t="inlineStr">
        <is>
          <t>YES! 	 c_money列源备映射正确，源端为money None位	期望更改为decimal(19,4)	实际备端为decimal None位</t>
        </is>
      </c>
    </row>
    <row r="1862">
      <c r="B1862" t="inlineStr">
        <is>
          <t>NULL</t>
        </is>
      </c>
      <c r="C1862" t="inlineStr">
        <is>
          <t>NULL</t>
        </is>
      </c>
      <c r="D1862" t="inlineStr">
        <is>
          <t>NULL</t>
        </is>
      </c>
      <c r="E1862" t="inlineStr">
        <is>
          <t>NULL</t>
        </is>
      </c>
      <c r="F1862" t="inlineStr">
        <is>
          <t>NULL</t>
        </is>
      </c>
      <c r="G1862" t="inlineStr">
        <is>
          <t>NULL</t>
        </is>
      </c>
      <c r="H1862" t="inlineStr">
        <is>
          <t>NULL</t>
        </is>
      </c>
      <c r="I1862" t="inlineStr">
        <is>
          <t>NULL</t>
        </is>
      </c>
      <c r="J1862" t="inlineStr">
        <is>
          <t>NULL</t>
        </is>
      </c>
      <c r="K1862" t="inlineStr">
        <is>
          <t>YES! 	 c_smallmoney列源备映射正确，源端为smallmoney None位	期望更改为decimal(10,4)	实际备端为decimal None位</t>
        </is>
      </c>
    </row>
    <row r="1863">
      <c r="B1863" t="inlineStr">
        <is>
          <t>NULL</t>
        </is>
      </c>
      <c r="C1863" t="inlineStr">
        <is>
          <t>NULL</t>
        </is>
      </c>
      <c r="D1863" t="inlineStr">
        <is>
          <t>NULL</t>
        </is>
      </c>
      <c r="E1863" t="inlineStr">
        <is>
          <t>NULL</t>
        </is>
      </c>
      <c r="F1863" t="inlineStr">
        <is>
          <t>NULL</t>
        </is>
      </c>
      <c r="G1863" t="inlineStr">
        <is>
          <t>NULL</t>
        </is>
      </c>
      <c r="H1863" t="inlineStr">
        <is>
          <t>NULL</t>
        </is>
      </c>
      <c r="I1863" t="inlineStr">
        <is>
          <t>NULL</t>
        </is>
      </c>
      <c r="J1863" t="inlineStr">
        <is>
          <t>NULL</t>
        </is>
      </c>
      <c r="K1863" t="inlineStr">
        <is>
          <t>YES! 	 c_bit列源备映射正确，源端为bit None位	期望更改为tinyint(1) 	实际备端为tinyint None位</t>
        </is>
      </c>
    </row>
    <row r="1864">
      <c r="A1864" t="inlineStr">
        <is>
          <t>info_int_dml_batch1_pk</t>
        </is>
      </c>
      <c r="K1864" t="inlineStr">
        <is>
          <t>[0;34m info_int_dml_batch1_pk [0m源备字段数相同，源端字段：20 	备端字段20</t>
        </is>
      </c>
      <c r="W1864" t="inlineStr">
        <is>
          <t>YES 源备无差异</t>
        </is>
      </c>
      <c r="X1864">
        <f>A1864</f>
        <v/>
      </c>
    </row>
    <row r="1865">
      <c r="B1865" t="inlineStr">
        <is>
          <t>YES</t>
        </is>
      </c>
      <c r="C1865" t="inlineStr">
        <is>
          <t>NULL</t>
        </is>
      </c>
      <c r="D1865" t="inlineStr">
        <is>
          <t>NULL</t>
        </is>
      </c>
      <c r="E1865" t="inlineStr">
        <is>
          <t>NULL</t>
        </is>
      </c>
      <c r="F1865" t="inlineStr">
        <is>
          <t>NULL</t>
        </is>
      </c>
      <c r="G1865" t="inlineStr">
        <is>
          <t>NULL</t>
        </is>
      </c>
      <c r="H1865" t="inlineStr">
        <is>
          <t>NULL</t>
        </is>
      </c>
      <c r="I1865" t="inlineStr">
        <is>
          <t>YES!PK__info_int__3213E83FF3EC9625</t>
        </is>
      </c>
      <c r="J1865" t="inlineStr">
        <is>
          <t>YES! 主键相关索引</t>
        </is>
      </c>
      <c r="K1865" t="inlineStr">
        <is>
          <t>YES! 	 id列源备映射正确，源端为int None位	期望更改为int	实际备端为int None位</t>
        </is>
      </c>
    </row>
    <row r="1866">
      <c r="B1866" t="inlineStr">
        <is>
          <t>NULL</t>
        </is>
      </c>
      <c r="C1866" t="inlineStr">
        <is>
          <t>NULL</t>
        </is>
      </c>
      <c r="D1866" t="inlineStr">
        <is>
          <t>NULL</t>
        </is>
      </c>
      <c r="E1866" t="inlineStr">
        <is>
          <t>NULL</t>
        </is>
      </c>
      <c r="F1866" t="inlineStr">
        <is>
          <t>NULL</t>
        </is>
      </c>
      <c r="G1866" t="inlineStr">
        <is>
          <t>NULL</t>
        </is>
      </c>
      <c r="H1866" t="inlineStr">
        <is>
          <t>NULL</t>
        </is>
      </c>
      <c r="I1866" t="inlineStr">
        <is>
          <t>NULL</t>
        </is>
      </c>
      <c r="J1866" t="inlineStr">
        <is>
          <t>NULL</t>
        </is>
      </c>
      <c r="K1866" t="inlineStr">
        <is>
          <t>YES! 	 c_tinyint列源备映射正确，源端为tinyint None位	期望更改为tinyint	实际备端为tinyint None位</t>
        </is>
      </c>
    </row>
    <row r="1867">
      <c r="B1867" t="inlineStr">
        <is>
          <t>NULL</t>
        </is>
      </c>
      <c r="C1867" t="inlineStr">
        <is>
          <t>NULL</t>
        </is>
      </c>
      <c r="D1867" t="inlineStr">
        <is>
          <t>NULL</t>
        </is>
      </c>
      <c r="E1867" t="inlineStr">
        <is>
          <t>NULL</t>
        </is>
      </c>
      <c r="F1867" t="inlineStr">
        <is>
          <t>NULL</t>
        </is>
      </c>
      <c r="G1867" t="inlineStr">
        <is>
          <t>NULL</t>
        </is>
      </c>
      <c r="H1867" t="inlineStr">
        <is>
          <t>NULL</t>
        </is>
      </c>
      <c r="I1867" t="inlineStr">
        <is>
          <t>NULL</t>
        </is>
      </c>
      <c r="J1867" t="inlineStr">
        <is>
          <t>NULL</t>
        </is>
      </c>
      <c r="K1867" t="inlineStr">
        <is>
          <t>YES! 	 c_smallint列源备映射正确，源端为smallint None位	期望更改为smallint	实际备端为smallint None位</t>
        </is>
      </c>
    </row>
    <row r="1868">
      <c r="B1868" t="inlineStr">
        <is>
          <t>NULL</t>
        </is>
      </c>
      <c r="C1868" t="inlineStr">
        <is>
          <t>NULL</t>
        </is>
      </c>
      <c r="D1868" t="inlineStr">
        <is>
          <t>NULL</t>
        </is>
      </c>
      <c r="E1868" t="inlineStr">
        <is>
          <t>NULL</t>
        </is>
      </c>
      <c r="F1868" t="inlineStr">
        <is>
          <t>NULL</t>
        </is>
      </c>
      <c r="G1868" t="inlineStr">
        <is>
          <t>NULL</t>
        </is>
      </c>
      <c r="H1868" t="inlineStr">
        <is>
          <t>NULL</t>
        </is>
      </c>
      <c r="I1868" t="inlineStr">
        <is>
          <t>NULL</t>
        </is>
      </c>
      <c r="J1868" t="inlineStr">
        <is>
          <t>NULL</t>
        </is>
      </c>
      <c r="K1868" t="inlineStr">
        <is>
          <t>YES! 	 c_int列源备映射正确，源端为int None位	期望更改为int	实际备端为int None位</t>
        </is>
      </c>
    </row>
    <row r="1869">
      <c r="B1869" t="inlineStr">
        <is>
          <t>NULL</t>
        </is>
      </c>
      <c r="C1869" t="inlineStr">
        <is>
          <t>NULL</t>
        </is>
      </c>
      <c r="D1869" t="inlineStr">
        <is>
          <t>NULL</t>
        </is>
      </c>
      <c r="E1869" t="inlineStr">
        <is>
          <t>NULL</t>
        </is>
      </c>
      <c r="F1869" t="inlineStr">
        <is>
          <t>NULL</t>
        </is>
      </c>
      <c r="G1869" t="inlineStr">
        <is>
          <t>NULL</t>
        </is>
      </c>
      <c r="H1869" t="inlineStr">
        <is>
          <t>NULL</t>
        </is>
      </c>
      <c r="I1869" t="inlineStr">
        <is>
          <t>NULL</t>
        </is>
      </c>
      <c r="J1869" t="inlineStr">
        <is>
          <t>NULL</t>
        </is>
      </c>
      <c r="K1869" t="inlineStr">
        <is>
          <t>YES! 	 c_bigint列源备映射正确，源端为bigint None位	期望更改为bigint	实际备端为bigint None位</t>
        </is>
      </c>
    </row>
    <row r="1870">
      <c r="B1870" t="inlineStr">
        <is>
          <t>NULL</t>
        </is>
      </c>
      <c r="C1870" t="inlineStr">
        <is>
          <t>NULL</t>
        </is>
      </c>
      <c r="D1870" t="inlineStr">
        <is>
          <t>NULL</t>
        </is>
      </c>
      <c r="E1870" t="inlineStr">
        <is>
          <t>NULL</t>
        </is>
      </c>
      <c r="F1870" t="inlineStr">
        <is>
          <t>NULL</t>
        </is>
      </c>
      <c r="G1870" t="inlineStr">
        <is>
          <t>NULL</t>
        </is>
      </c>
      <c r="H1870" t="inlineStr">
        <is>
          <t>NULL</t>
        </is>
      </c>
      <c r="I1870" t="inlineStr">
        <is>
          <t>NULL</t>
        </is>
      </c>
      <c r="J1870" t="inlineStr">
        <is>
          <t>NULL</t>
        </is>
      </c>
      <c r="K1870" t="inlineStr">
        <is>
          <t>YES! 	 c_decimal列源备映射正确，源端为decimal None位	期望更改为decimal(p,s)	实际备端为decimal None位</t>
        </is>
      </c>
    </row>
    <row r="1871">
      <c r="B1871" t="inlineStr">
        <is>
          <t>NULL</t>
        </is>
      </c>
      <c r="C1871" t="inlineStr">
        <is>
          <t>NULL</t>
        </is>
      </c>
      <c r="D1871" t="inlineStr">
        <is>
          <t>NULL</t>
        </is>
      </c>
      <c r="E1871" t="inlineStr">
        <is>
          <t>NULL</t>
        </is>
      </c>
      <c r="F1871" t="inlineStr">
        <is>
          <t>NULL</t>
        </is>
      </c>
      <c r="G1871" t="inlineStr">
        <is>
          <t>NULL</t>
        </is>
      </c>
      <c r="H1871" t="inlineStr">
        <is>
          <t>NULL</t>
        </is>
      </c>
      <c r="I1871" t="inlineStr">
        <is>
          <t>NULL</t>
        </is>
      </c>
      <c r="J1871" t="inlineStr">
        <is>
          <t>NULL</t>
        </is>
      </c>
      <c r="K1871" t="inlineStr">
        <is>
          <t>YES! 	 c_decimal38列源备映射正确，源端为decimal None位	期望更改为decimal(p,s)	实际备端为decimal None位</t>
        </is>
      </c>
    </row>
    <row r="1872">
      <c r="B1872" t="inlineStr">
        <is>
          <t>NULL</t>
        </is>
      </c>
      <c r="C1872" t="inlineStr">
        <is>
          <t>NULL</t>
        </is>
      </c>
      <c r="D1872" t="inlineStr">
        <is>
          <t>NULL</t>
        </is>
      </c>
      <c r="E1872" t="inlineStr">
        <is>
          <t>NULL</t>
        </is>
      </c>
      <c r="F1872" t="inlineStr">
        <is>
          <t>NULL</t>
        </is>
      </c>
      <c r="G1872" t="inlineStr">
        <is>
          <t>NULL</t>
        </is>
      </c>
      <c r="H1872" t="inlineStr">
        <is>
          <t>NULL</t>
        </is>
      </c>
      <c r="I1872" t="inlineStr">
        <is>
          <t>NULL</t>
        </is>
      </c>
      <c r="J1872" t="inlineStr">
        <is>
          <t>NULL</t>
        </is>
      </c>
      <c r="K1872" t="inlineStr">
        <is>
          <t xml:space="preserve"> NO!  	 c_decimal38_38列源备映射错误，源端为decimal None位	期望更改为decimal(p,s)	实际备端为varchar 168位</t>
        </is>
      </c>
    </row>
    <row r="1873">
      <c r="B1873" t="inlineStr">
        <is>
          <t>NULL</t>
        </is>
      </c>
      <c r="C1873" t="inlineStr">
        <is>
          <t>NULL</t>
        </is>
      </c>
      <c r="D1873" t="inlineStr">
        <is>
          <t>NULL</t>
        </is>
      </c>
      <c r="E1873" t="inlineStr">
        <is>
          <t>NULL</t>
        </is>
      </c>
      <c r="F1873" t="inlineStr">
        <is>
          <t>NULL</t>
        </is>
      </c>
      <c r="G1873" t="inlineStr">
        <is>
          <t>NULL</t>
        </is>
      </c>
      <c r="H1873" t="inlineStr">
        <is>
          <t>NULL</t>
        </is>
      </c>
      <c r="I1873" t="inlineStr">
        <is>
          <t>NULL</t>
        </is>
      </c>
      <c r="J1873" t="inlineStr">
        <is>
          <t>NULL</t>
        </is>
      </c>
      <c r="K1873" t="inlineStr">
        <is>
          <t>YES! 	 c_decimal38_10列源备映射正确，源端为decimal None位	期望更改为decimal(p,s)	实际备端为decimal None位</t>
        </is>
      </c>
    </row>
    <row r="1874">
      <c r="B1874" t="inlineStr">
        <is>
          <t>NULL</t>
        </is>
      </c>
      <c r="C1874" t="inlineStr">
        <is>
          <t>NULL</t>
        </is>
      </c>
      <c r="D1874" t="inlineStr">
        <is>
          <t>NULL</t>
        </is>
      </c>
      <c r="E1874" t="inlineStr">
        <is>
          <t>NULL</t>
        </is>
      </c>
      <c r="F1874" t="inlineStr">
        <is>
          <t>NULL</t>
        </is>
      </c>
      <c r="G1874" t="inlineStr">
        <is>
          <t>NULL</t>
        </is>
      </c>
      <c r="H1874" t="inlineStr">
        <is>
          <t>NULL</t>
        </is>
      </c>
      <c r="I1874" t="inlineStr">
        <is>
          <t>NULL</t>
        </is>
      </c>
      <c r="J1874" t="inlineStr">
        <is>
          <t>NULL</t>
        </is>
      </c>
      <c r="K1874" t="inlineStr">
        <is>
          <t>YES! 	 c_decimal19_4列源备映射正确，源端为decimal None位	期望更改为decimal(p,s)	实际备端为decimal None位</t>
        </is>
      </c>
    </row>
    <row r="1875">
      <c r="B1875" t="inlineStr">
        <is>
          <t>NULL</t>
        </is>
      </c>
      <c r="C1875" t="inlineStr">
        <is>
          <t>NULL</t>
        </is>
      </c>
      <c r="D1875" t="inlineStr">
        <is>
          <t>NULL</t>
        </is>
      </c>
      <c r="E1875" t="inlineStr">
        <is>
          <t>NULL</t>
        </is>
      </c>
      <c r="F1875" t="inlineStr">
        <is>
          <t>NULL</t>
        </is>
      </c>
      <c r="G1875" t="inlineStr">
        <is>
          <t>NULL</t>
        </is>
      </c>
      <c r="H1875" t="inlineStr">
        <is>
          <t>NULL</t>
        </is>
      </c>
      <c r="I1875" t="inlineStr">
        <is>
          <t>NULL</t>
        </is>
      </c>
      <c r="J1875" t="inlineStr">
        <is>
          <t>NULL</t>
        </is>
      </c>
      <c r="K1875" t="inlineStr">
        <is>
          <t>YES! 	 c_numeric列源备映射正确，源端为numeric None位	期望更改为decimal(p,s)	实际备端为decimal None位</t>
        </is>
      </c>
    </row>
    <row r="1876">
      <c r="B1876" t="inlineStr">
        <is>
          <t>NULL</t>
        </is>
      </c>
      <c r="C1876" t="inlineStr">
        <is>
          <t>NULL</t>
        </is>
      </c>
      <c r="D1876" t="inlineStr">
        <is>
          <t>NULL</t>
        </is>
      </c>
      <c r="E1876" t="inlineStr">
        <is>
          <t>NULL</t>
        </is>
      </c>
      <c r="F1876" t="inlineStr">
        <is>
          <t>NULL</t>
        </is>
      </c>
      <c r="G1876" t="inlineStr">
        <is>
          <t>NULL</t>
        </is>
      </c>
      <c r="H1876" t="inlineStr">
        <is>
          <t>NULL</t>
        </is>
      </c>
      <c r="I1876" t="inlineStr">
        <is>
          <t>NULL</t>
        </is>
      </c>
      <c r="J1876" t="inlineStr">
        <is>
          <t>NULL</t>
        </is>
      </c>
      <c r="K1876" t="inlineStr">
        <is>
          <t>YES! 	 c_numeric38列源备映射正确，源端为numeric None位	期望更改为decimal(p,s)	实际备端为decimal None位</t>
        </is>
      </c>
    </row>
    <row r="1877">
      <c r="B1877" t="inlineStr">
        <is>
          <t>NULL</t>
        </is>
      </c>
      <c r="C1877" t="inlineStr">
        <is>
          <t>NULL</t>
        </is>
      </c>
      <c r="D1877" t="inlineStr">
        <is>
          <t>NULL</t>
        </is>
      </c>
      <c r="E1877" t="inlineStr">
        <is>
          <t>NULL</t>
        </is>
      </c>
      <c r="F1877" t="inlineStr">
        <is>
          <t>NULL</t>
        </is>
      </c>
      <c r="G1877" t="inlineStr">
        <is>
          <t>NULL</t>
        </is>
      </c>
      <c r="H1877" t="inlineStr">
        <is>
          <t>NULL</t>
        </is>
      </c>
      <c r="I1877" t="inlineStr">
        <is>
          <t>NULL</t>
        </is>
      </c>
      <c r="J1877" t="inlineStr">
        <is>
          <t>NULL</t>
        </is>
      </c>
      <c r="K1877" t="inlineStr">
        <is>
          <t xml:space="preserve"> NO!  	 c_numeric38_38列源备映射错误，源端为numeric None位	期望更改为decimal(p,s)	实际备端为varchar 168位</t>
        </is>
      </c>
    </row>
    <row r="1878">
      <c r="B1878" t="inlineStr">
        <is>
          <t>NULL</t>
        </is>
      </c>
      <c r="C1878" t="inlineStr">
        <is>
          <t>NULL</t>
        </is>
      </c>
      <c r="D1878" t="inlineStr">
        <is>
          <t>NULL</t>
        </is>
      </c>
      <c r="E1878" t="inlineStr">
        <is>
          <t>NULL</t>
        </is>
      </c>
      <c r="F1878" t="inlineStr">
        <is>
          <t>NULL</t>
        </is>
      </c>
      <c r="G1878" t="inlineStr">
        <is>
          <t>NULL</t>
        </is>
      </c>
      <c r="H1878" t="inlineStr">
        <is>
          <t>NULL</t>
        </is>
      </c>
      <c r="I1878" t="inlineStr">
        <is>
          <t>NULL</t>
        </is>
      </c>
      <c r="J1878" t="inlineStr">
        <is>
          <t>NULL</t>
        </is>
      </c>
      <c r="K1878" t="inlineStr">
        <is>
          <t>YES! 	 c_numeric38_10列源备映射正确，源端为numeric None位	期望更改为decimal(p,s)	实际备端为decimal None位</t>
        </is>
      </c>
    </row>
    <row r="1879">
      <c r="B1879" t="inlineStr">
        <is>
          <t>NULL</t>
        </is>
      </c>
      <c r="C1879" t="inlineStr">
        <is>
          <t>NULL</t>
        </is>
      </c>
      <c r="D1879" t="inlineStr">
        <is>
          <t>NULL</t>
        </is>
      </c>
      <c r="E1879" t="inlineStr">
        <is>
          <t>NULL</t>
        </is>
      </c>
      <c r="F1879" t="inlineStr">
        <is>
          <t>NULL</t>
        </is>
      </c>
      <c r="G1879" t="inlineStr">
        <is>
          <t>NULL</t>
        </is>
      </c>
      <c r="H1879" t="inlineStr">
        <is>
          <t>NULL</t>
        </is>
      </c>
      <c r="I1879" t="inlineStr">
        <is>
          <t>NULL</t>
        </is>
      </c>
      <c r="J1879" t="inlineStr">
        <is>
          <t>NULL</t>
        </is>
      </c>
      <c r="K1879" t="inlineStr">
        <is>
          <t>YES! 	 c_numeric18_2列源备映射正确，源端为numeric None位	期望更改为decimal(p,s)	实际备端为decimal None位</t>
        </is>
      </c>
    </row>
    <row r="1880">
      <c r="B1880" t="inlineStr">
        <is>
          <t>NULL</t>
        </is>
      </c>
      <c r="C1880" t="inlineStr">
        <is>
          <t>NULL</t>
        </is>
      </c>
      <c r="D1880" t="inlineStr">
        <is>
          <t>NULL</t>
        </is>
      </c>
      <c r="E1880" t="inlineStr">
        <is>
          <t>NULL</t>
        </is>
      </c>
      <c r="F1880" t="inlineStr">
        <is>
          <t>NULL</t>
        </is>
      </c>
      <c r="G1880" t="inlineStr">
        <is>
          <t>NULL</t>
        </is>
      </c>
      <c r="H1880" t="inlineStr">
        <is>
          <t>NULL</t>
        </is>
      </c>
      <c r="I1880" t="inlineStr">
        <is>
          <t>NULL</t>
        </is>
      </c>
      <c r="J1880" t="inlineStr">
        <is>
          <t>NULL</t>
        </is>
      </c>
      <c r="K1880" t="inlineStr">
        <is>
          <t>YES! 	 c_float列源备映射正确，源端为float None位	期望更改为double	实际备端为double None位</t>
        </is>
      </c>
    </row>
    <row r="1881">
      <c r="B1881" t="inlineStr">
        <is>
          <t>NULL</t>
        </is>
      </c>
      <c r="C1881" t="inlineStr">
        <is>
          <t>NULL</t>
        </is>
      </c>
      <c r="D1881" t="inlineStr">
        <is>
          <t>NULL</t>
        </is>
      </c>
      <c r="E1881" t="inlineStr">
        <is>
          <t>NULL</t>
        </is>
      </c>
      <c r="F1881" t="inlineStr">
        <is>
          <t>NULL</t>
        </is>
      </c>
      <c r="G1881" t="inlineStr">
        <is>
          <t>NULL</t>
        </is>
      </c>
      <c r="H1881" t="inlineStr">
        <is>
          <t>NULL</t>
        </is>
      </c>
      <c r="I1881" t="inlineStr">
        <is>
          <t>NULL</t>
        </is>
      </c>
      <c r="J1881" t="inlineStr">
        <is>
          <t>NULL</t>
        </is>
      </c>
      <c r="K1881" t="inlineStr">
        <is>
          <t>YES! 	 c_real列源备映射正确，源端为real None位	期望更改为double	实际备端为double None位</t>
        </is>
      </c>
    </row>
    <row r="1882">
      <c r="B1882" t="inlineStr">
        <is>
          <t>NULL</t>
        </is>
      </c>
      <c r="C1882" t="inlineStr">
        <is>
          <t>NULL</t>
        </is>
      </c>
      <c r="D1882" t="inlineStr">
        <is>
          <t>NULL</t>
        </is>
      </c>
      <c r="E1882" t="inlineStr">
        <is>
          <t>NULL</t>
        </is>
      </c>
      <c r="F1882" t="inlineStr">
        <is>
          <t>NULL</t>
        </is>
      </c>
      <c r="G1882" t="inlineStr">
        <is>
          <t>NULL</t>
        </is>
      </c>
      <c r="H1882" t="inlineStr">
        <is>
          <t>NULL</t>
        </is>
      </c>
      <c r="I1882" t="inlineStr">
        <is>
          <t>NULL</t>
        </is>
      </c>
      <c r="J1882" t="inlineStr">
        <is>
          <t>NULL</t>
        </is>
      </c>
      <c r="K1882" t="inlineStr">
        <is>
          <t>YES! 	 c_money列源备映射正确，源端为money None位	期望更改为decimal(19,4)	实际备端为decimal None位</t>
        </is>
      </c>
    </row>
    <row r="1883">
      <c r="B1883" t="inlineStr">
        <is>
          <t>NULL</t>
        </is>
      </c>
      <c r="C1883" t="inlineStr">
        <is>
          <t>NULL</t>
        </is>
      </c>
      <c r="D1883" t="inlineStr">
        <is>
          <t>NULL</t>
        </is>
      </c>
      <c r="E1883" t="inlineStr">
        <is>
          <t>NULL</t>
        </is>
      </c>
      <c r="F1883" t="inlineStr">
        <is>
          <t>NULL</t>
        </is>
      </c>
      <c r="G1883" t="inlineStr">
        <is>
          <t>NULL</t>
        </is>
      </c>
      <c r="H1883" t="inlineStr">
        <is>
          <t>NULL</t>
        </is>
      </c>
      <c r="I1883" t="inlineStr">
        <is>
          <t>NULL</t>
        </is>
      </c>
      <c r="J1883" t="inlineStr">
        <is>
          <t>NULL</t>
        </is>
      </c>
      <c r="K1883" t="inlineStr">
        <is>
          <t>YES! 	 c_smallmoney列源备映射正确，源端为smallmoney None位	期望更改为decimal(10,4)	实际备端为decimal None位</t>
        </is>
      </c>
    </row>
    <row r="1884">
      <c r="B1884" t="inlineStr">
        <is>
          <t>NULL</t>
        </is>
      </c>
      <c r="C1884" t="inlineStr">
        <is>
          <t>NULL</t>
        </is>
      </c>
      <c r="D1884" t="inlineStr">
        <is>
          <t>NULL</t>
        </is>
      </c>
      <c r="E1884" t="inlineStr">
        <is>
          <t>NULL</t>
        </is>
      </c>
      <c r="F1884" t="inlineStr">
        <is>
          <t>NULL</t>
        </is>
      </c>
      <c r="G1884" t="inlineStr">
        <is>
          <t>NULL</t>
        </is>
      </c>
      <c r="H1884" t="inlineStr">
        <is>
          <t>NULL</t>
        </is>
      </c>
      <c r="I1884" t="inlineStr">
        <is>
          <t>NULL</t>
        </is>
      </c>
      <c r="J1884" t="inlineStr">
        <is>
          <t>NULL</t>
        </is>
      </c>
      <c r="K1884" t="inlineStr">
        <is>
          <t>YES! 	 c_bit列源备映射正确，源端为bit None位	期望更改为tinyint(1) 	实际备端为tinyint None位</t>
        </is>
      </c>
    </row>
    <row r="1885">
      <c r="A1885" t="inlineStr">
        <is>
          <t>info_date_dml_batch1_pk_irp1</t>
        </is>
      </c>
      <c r="K1885" t="inlineStr">
        <is>
          <t>[0;34m info_date_dml_batch1_pk_irp1 [0m源备字段数相同，源端字段：2 	备端字段2</t>
        </is>
      </c>
      <c r="W1885" t="inlineStr">
        <is>
          <t>YES 源备无差异</t>
        </is>
      </c>
      <c r="X1885">
        <f>A1885</f>
        <v/>
      </c>
    </row>
    <row r="1886">
      <c r="B1886" t="inlineStr">
        <is>
          <t>YES</t>
        </is>
      </c>
      <c r="C1886" t="inlineStr">
        <is>
          <t>NULL</t>
        </is>
      </c>
      <c r="D1886" t="inlineStr">
        <is>
          <t>NULL</t>
        </is>
      </c>
      <c r="E1886" t="inlineStr">
        <is>
          <t>NULL</t>
        </is>
      </c>
      <c r="F1886" t="inlineStr">
        <is>
          <t>NULL</t>
        </is>
      </c>
      <c r="G1886" t="inlineStr">
        <is>
          <t>NULL</t>
        </is>
      </c>
      <c r="H1886" t="inlineStr">
        <is>
          <t>NULL</t>
        </is>
      </c>
      <c r="I1886" t="inlineStr">
        <is>
          <t>YES!PK__info_dat__3213E83F1F958682</t>
        </is>
      </c>
      <c r="J1886" t="inlineStr">
        <is>
          <t>YES! 主键相关索引</t>
        </is>
      </c>
      <c r="K1886" t="inlineStr">
        <is>
          <t>YES! 	 id列源备映射正确，源端为int None位	期望更改为int	实际备端为int None位</t>
        </is>
      </c>
    </row>
    <row r="1887">
      <c r="B1887" t="inlineStr">
        <is>
          <t>NULL</t>
        </is>
      </c>
      <c r="C1887" t="inlineStr">
        <is>
          <t>NULL</t>
        </is>
      </c>
      <c r="D1887" t="inlineStr">
        <is>
          <t>NULL</t>
        </is>
      </c>
      <c r="E1887" t="inlineStr">
        <is>
          <t>NULL</t>
        </is>
      </c>
      <c r="F1887" t="inlineStr">
        <is>
          <t>NULL</t>
        </is>
      </c>
      <c r="G1887" t="inlineStr">
        <is>
          <t>NULL</t>
        </is>
      </c>
      <c r="H1887" t="inlineStr">
        <is>
          <t>NULL</t>
        </is>
      </c>
      <c r="I1887" t="inlineStr">
        <is>
          <t>NULL</t>
        </is>
      </c>
      <c r="J1887" t="inlineStr">
        <is>
          <t>NULL</t>
        </is>
      </c>
      <c r="K1887" t="inlineStr">
        <is>
          <t>YES! 	 c_date列源备映射正确，源端为date None位	期望更改为date	实际备端为date None位</t>
        </is>
      </c>
    </row>
    <row r="1888">
      <c r="K1888" t="inlineStr">
        <is>
          <t>~ 空表</t>
        </is>
      </c>
    </row>
    <row r="1889">
      <c r="A1889" t="inlineStr">
        <is>
          <t>info_date_dml_batch1_pk_irp2</t>
        </is>
      </c>
      <c r="K1889" t="inlineStr">
        <is>
          <t>[0;34m info_date_dml_batch1_pk_irp2 [0m源备字段数相同，源端字段：2 	备端字段2</t>
        </is>
      </c>
      <c r="W1889" t="inlineStr">
        <is>
          <t>YES 源备无差异</t>
        </is>
      </c>
      <c r="X1889">
        <f>A1889</f>
        <v/>
      </c>
    </row>
    <row r="1890">
      <c r="B1890" t="inlineStr">
        <is>
          <t>YES</t>
        </is>
      </c>
      <c r="C1890" t="inlineStr">
        <is>
          <t>NULL</t>
        </is>
      </c>
      <c r="D1890" t="inlineStr">
        <is>
          <t>NULL</t>
        </is>
      </c>
      <c r="E1890" t="inlineStr">
        <is>
          <t>NULL</t>
        </is>
      </c>
      <c r="F1890" t="inlineStr">
        <is>
          <t>NULL</t>
        </is>
      </c>
      <c r="G1890" t="inlineStr">
        <is>
          <t>NULL</t>
        </is>
      </c>
      <c r="H1890" t="inlineStr">
        <is>
          <t>NULL</t>
        </is>
      </c>
      <c r="I1890" t="inlineStr">
        <is>
          <t>YES!PK__info_dat__3213E83FFDE92A62</t>
        </is>
      </c>
      <c r="J1890" t="inlineStr">
        <is>
          <t>YES! 主键相关索引</t>
        </is>
      </c>
      <c r="K1890" t="inlineStr">
        <is>
          <t>YES! 	 id列源备映射正确，源端为int None位	期望更改为int	实际备端为int None位</t>
        </is>
      </c>
    </row>
    <row r="1891">
      <c r="B1891" t="inlineStr">
        <is>
          <t>NULL</t>
        </is>
      </c>
      <c r="C1891" t="inlineStr">
        <is>
          <t>NULL</t>
        </is>
      </c>
      <c r="D1891" t="inlineStr">
        <is>
          <t>NULL</t>
        </is>
      </c>
      <c r="E1891" t="inlineStr">
        <is>
          <t>NULL</t>
        </is>
      </c>
      <c r="F1891" t="inlineStr">
        <is>
          <t>NULL</t>
        </is>
      </c>
      <c r="G1891" t="inlineStr">
        <is>
          <t>NULL</t>
        </is>
      </c>
      <c r="H1891" t="inlineStr">
        <is>
          <t>NULL</t>
        </is>
      </c>
      <c r="I1891" t="inlineStr">
        <is>
          <t>NULL</t>
        </is>
      </c>
      <c r="J1891" t="inlineStr">
        <is>
          <t>NULL</t>
        </is>
      </c>
      <c r="K1891" t="inlineStr">
        <is>
          <t>YES! 	 c_date列源备映射正确，源端为date None位	期望更改为date	实际备端为date None位</t>
        </is>
      </c>
    </row>
    <row r="1892">
      <c r="A1892" t="inlineStr">
        <is>
          <t>info_binary_dml_batch1_pk_irp1</t>
        </is>
      </c>
      <c r="K1892" t="inlineStr">
        <is>
          <t>[0;34m info_binary_dml_batch1_pk_irp1 [0m源备字段数相同，源端字段：4 	备端字段4</t>
        </is>
      </c>
      <c r="W1892" t="inlineStr">
        <is>
          <t>YES 源备无差异</t>
        </is>
      </c>
      <c r="X1892">
        <f>A1892</f>
        <v/>
      </c>
    </row>
    <row r="1893">
      <c r="B1893" t="inlineStr">
        <is>
          <t>YES</t>
        </is>
      </c>
      <c r="C1893" t="inlineStr">
        <is>
          <t>NULL</t>
        </is>
      </c>
      <c r="D1893" t="inlineStr">
        <is>
          <t>NULL</t>
        </is>
      </c>
      <c r="E1893" t="inlineStr">
        <is>
          <t>NULL</t>
        </is>
      </c>
      <c r="F1893" t="inlineStr">
        <is>
          <t>NULL</t>
        </is>
      </c>
      <c r="G1893" t="inlineStr">
        <is>
          <t>NULL</t>
        </is>
      </c>
      <c r="H1893" t="inlineStr">
        <is>
          <t>NULL</t>
        </is>
      </c>
      <c r="I1893" t="inlineStr">
        <is>
          <t>YES!PK__info_bin__3213E83F5AD451F2</t>
        </is>
      </c>
      <c r="J1893" t="inlineStr">
        <is>
          <t>YES! 主键相关索引</t>
        </is>
      </c>
      <c r="K1893" t="inlineStr">
        <is>
          <t>YES! 	 id列源备映射正确，源端为int None位	期望更改为int	实际备端为int None位</t>
        </is>
      </c>
    </row>
    <row r="1894">
      <c r="B1894" t="inlineStr">
        <is>
          <t>NULL</t>
        </is>
      </c>
      <c r="C1894" t="inlineStr">
        <is>
          <t>NULL</t>
        </is>
      </c>
      <c r="D1894" t="inlineStr">
        <is>
          <t>NULL</t>
        </is>
      </c>
      <c r="E1894" t="inlineStr">
        <is>
          <t>NULL</t>
        </is>
      </c>
      <c r="F1894" t="inlineStr">
        <is>
          <t>NULL</t>
        </is>
      </c>
      <c r="G1894" t="inlineStr">
        <is>
          <t>NULL</t>
        </is>
      </c>
      <c r="H1894" t="inlineStr">
        <is>
          <t>NULL</t>
        </is>
      </c>
      <c r="I1894" t="inlineStr">
        <is>
          <t>NULL</t>
        </is>
      </c>
      <c r="J1894" t="inlineStr">
        <is>
          <t>NULL</t>
        </is>
      </c>
      <c r="K1894" t="inlineStr">
        <is>
          <t>YES! 	 c_binary列源备映射正确，源端为binary 1位	期望更改为binary(n)	实际备端为binary 1位</t>
        </is>
      </c>
    </row>
    <row r="1895">
      <c r="B1895" t="inlineStr">
        <is>
          <t>NULL</t>
        </is>
      </c>
      <c r="C1895" t="inlineStr">
        <is>
          <t>NULL</t>
        </is>
      </c>
      <c r="D1895" t="inlineStr">
        <is>
          <t>NULL</t>
        </is>
      </c>
      <c r="E1895" t="inlineStr">
        <is>
          <t>NULL</t>
        </is>
      </c>
      <c r="F1895" t="inlineStr">
        <is>
          <t>NULL</t>
        </is>
      </c>
      <c r="G1895" t="inlineStr">
        <is>
          <t>NULL</t>
        </is>
      </c>
      <c r="H1895" t="inlineStr">
        <is>
          <t>NULL</t>
        </is>
      </c>
      <c r="I1895" t="inlineStr">
        <is>
          <t>NULL</t>
        </is>
      </c>
      <c r="J1895" t="inlineStr">
        <is>
          <t>NULL</t>
        </is>
      </c>
      <c r="K1895" t="inlineStr">
        <is>
          <t>YES! 	 c_binary_20列源备映射正确，源端为binary 20位	期望更改为binary(n)	实际备端为binary 20位</t>
        </is>
      </c>
    </row>
    <row r="1896">
      <c r="B1896" t="inlineStr">
        <is>
          <t>NULL</t>
        </is>
      </c>
      <c r="C1896" t="inlineStr">
        <is>
          <t>NULL</t>
        </is>
      </c>
      <c r="D1896" t="inlineStr">
        <is>
          <t>NULL</t>
        </is>
      </c>
      <c r="E1896" t="inlineStr">
        <is>
          <t>NULL</t>
        </is>
      </c>
      <c r="F1896" t="inlineStr">
        <is>
          <t>NULL</t>
        </is>
      </c>
      <c r="G1896" t="inlineStr">
        <is>
          <t>NULL</t>
        </is>
      </c>
      <c r="H1896" t="inlineStr">
        <is>
          <t>NULL</t>
        </is>
      </c>
      <c r="I1896" t="inlineStr">
        <is>
          <t>NULL</t>
        </is>
      </c>
      <c r="J1896" t="inlineStr">
        <is>
          <t>NULL</t>
        </is>
      </c>
      <c r="K1896" t="inlineStr">
        <is>
          <t>YES! 	 c_binary_8000列源备映射正确，源端为binary 8000位	期望更改为longblob	实际备端为longblob 4294967295位</t>
        </is>
      </c>
    </row>
    <row r="1897">
      <c r="A1897" t="inlineStr">
        <is>
          <t>info_binary_dml_batch2_pk_irp1</t>
        </is>
      </c>
      <c r="K1897" t="inlineStr">
        <is>
          <t>[0;34m info_binary_dml_batch2_pk_irp1 [0m源备字段数相同，源端字段：4 	备端字段4</t>
        </is>
      </c>
      <c r="W1897" t="inlineStr">
        <is>
          <t>YES 源备无差异</t>
        </is>
      </c>
      <c r="X1897">
        <f>A1897</f>
        <v/>
      </c>
    </row>
    <row r="1898">
      <c r="B1898" t="inlineStr">
        <is>
          <t>YES</t>
        </is>
      </c>
      <c r="C1898" t="inlineStr">
        <is>
          <t>NULL</t>
        </is>
      </c>
      <c r="D1898" t="inlineStr">
        <is>
          <t>NULL</t>
        </is>
      </c>
      <c r="E1898" t="inlineStr">
        <is>
          <t>NULL</t>
        </is>
      </c>
      <c r="F1898" t="inlineStr">
        <is>
          <t>NULL</t>
        </is>
      </c>
      <c r="G1898" t="inlineStr">
        <is>
          <t>NULL</t>
        </is>
      </c>
      <c r="H1898" t="inlineStr">
        <is>
          <t>NULL</t>
        </is>
      </c>
      <c r="I1898" t="inlineStr">
        <is>
          <t>YES!PK__info_bin__3213E83F840C6C46</t>
        </is>
      </c>
      <c r="J1898" t="inlineStr">
        <is>
          <t>YES! 主键相关索引</t>
        </is>
      </c>
      <c r="K1898" t="inlineStr">
        <is>
          <t>YES! 	 id列源备映射正确，源端为int None位	期望更改为int	实际备端为int None位</t>
        </is>
      </c>
    </row>
    <row r="1899">
      <c r="B1899" t="inlineStr">
        <is>
          <t>NULL</t>
        </is>
      </c>
      <c r="C1899" t="inlineStr">
        <is>
          <t>NULL</t>
        </is>
      </c>
      <c r="D1899" t="inlineStr">
        <is>
          <t>NULL</t>
        </is>
      </c>
      <c r="E1899" t="inlineStr">
        <is>
          <t>NULL</t>
        </is>
      </c>
      <c r="F1899" t="inlineStr">
        <is>
          <t>NULL</t>
        </is>
      </c>
      <c r="G1899" t="inlineStr">
        <is>
          <t>NULL</t>
        </is>
      </c>
      <c r="H1899" t="inlineStr">
        <is>
          <t>NULL</t>
        </is>
      </c>
      <c r="I1899" t="inlineStr">
        <is>
          <t>NULL</t>
        </is>
      </c>
      <c r="J1899" t="inlineStr">
        <is>
          <t>NULL</t>
        </is>
      </c>
      <c r="K1899" t="inlineStr">
        <is>
          <t>YES! 	 c_binary列源备映射正确，源端为binary 1位	期望更改为binary(n)	实际备端为binary 1位</t>
        </is>
      </c>
    </row>
    <row r="1900">
      <c r="B1900" t="inlineStr">
        <is>
          <t>NULL</t>
        </is>
      </c>
      <c r="C1900" t="inlineStr">
        <is>
          <t>NULL</t>
        </is>
      </c>
      <c r="D1900" t="inlineStr">
        <is>
          <t>NULL</t>
        </is>
      </c>
      <c r="E1900" t="inlineStr">
        <is>
          <t>NULL</t>
        </is>
      </c>
      <c r="F1900" t="inlineStr">
        <is>
          <t>NULL</t>
        </is>
      </c>
      <c r="G1900" t="inlineStr">
        <is>
          <t>NULL</t>
        </is>
      </c>
      <c r="H1900" t="inlineStr">
        <is>
          <t>NULL</t>
        </is>
      </c>
      <c r="I1900" t="inlineStr">
        <is>
          <t>NULL</t>
        </is>
      </c>
      <c r="J1900" t="inlineStr">
        <is>
          <t>NULL</t>
        </is>
      </c>
      <c r="K1900" t="inlineStr">
        <is>
          <t>YES! 	 c_binary_20列源备映射正确，源端为binary 20位	期望更改为binary(n)	实际备端为binary 20位</t>
        </is>
      </c>
    </row>
    <row r="1901">
      <c r="B1901" t="inlineStr">
        <is>
          <t>NULL</t>
        </is>
      </c>
      <c r="C1901" t="inlineStr">
        <is>
          <t>NULL</t>
        </is>
      </c>
      <c r="D1901" t="inlineStr">
        <is>
          <t>NULL</t>
        </is>
      </c>
      <c r="E1901" t="inlineStr">
        <is>
          <t>NULL</t>
        </is>
      </c>
      <c r="F1901" t="inlineStr">
        <is>
          <t>NULL</t>
        </is>
      </c>
      <c r="G1901" t="inlineStr">
        <is>
          <t>NULL</t>
        </is>
      </c>
      <c r="H1901" t="inlineStr">
        <is>
          <t>NULL</t>
        </is>
      </c>
      <c r="I1901" t="inlineStr">
        <is>
          <t>NULL</t>
        </is>
      </c>
      <c r="J1901" t="inlineStr">
        <is>
          <t>NULL</t>
        </is>
      </c>
      <c r="K1901" t="inlineStr">
        <is>
          <t>YES! 	 c_binary_8000列源备映射正确，源端为binary 8000位	期望更改为longblob	实际备端为longblob 4294967295位</t>
        </is>
      </c>
    </row>
    <row r="1902">
      <c r="A1902" t="inlineStr">
        <is>
          <t>info_date_dml_batch2_pk_irp1</t>
        </is>
      </c>
      <c r="K1902" t="inlineStr">
        <is>
          <t>[0;34m info_date_dml_batch2_pk_irp1 [0m源备字段数相同，源端字段：2 	备端字段2</t>
        </is>
      </c>
      <c r="W1902" t="inlineStr">
        <is>
          <t>YES 源备无差异</t>
        </is>
      </c>
      <c r="X1902">
        <f>A1902</f>
        <v/>
      </c>
    </row>
    <row r="1903">
      <c r="B1903" t="inlineStr">
        <is>
          <t>YES</t>
        </is>
      </c>
      <c r="C1903" t="inlineStr">
        <is>
          <t>NULL</t>
        </is>
      </c>
      <c r="D1903" t="inlineStr">
        <is>
          <t>NULL</t>
        </is>
      </c>
      <c r="E1903" t="inlineStr">
        <is>
          <t>NULL</t>
        </is>
      </c>
      <c r="F1903" t="inlineStr">
        <is>
          <t>NULL</t>
        </is>
      </c>
      <c r="G1903" t="inlineStr">
        <is>
          <t>NULL</t>
        </is>
      </c>
      <c r="H1903" t="inlineStr">
        <is>
          <t>NULL</t>
        </is>
      </c>
      <c r="I1903" t="inlineStr">
        <is>
          <t>YES!PK__info_dat__3213E83F33B1CB1D</t>
        </is>
      </c>
      <c r="J1903" t="inlineStr">
        <is>
          <t>YES! 主键相关索引</t>
        </is>
      </c>
      <c r="K1903" t="inlineStr">
        <is>
          <t>YES! 	 id列源备映射正确，源端为int None位	期望更改为int	实际备端为int None位</t>
        </is>
      </c>
    </row>
    <row r="1904">
      <c r="B1904" t="inlineStr">
        <is>
          <t>NULL</t>
        </is>
      </c>
      <c r="C1904" t="inlineStr">
        <is>
          <t>NULL</t>
        </is>
      </c>
      <c r="D1904" t="inlineStr">
        <is>
          <t>NULL</t>
        </is>
      </c>
      <c r="E1904" t="inlineStr">
        <is>
          <t>NULL</t>
        </is>
      </c>
      <c r="F1904" t="inlineStr">
        <is>
          <t>NULL</t>
        </is>
      </c>
      <c r="G1904" t="inlineStr">
        <is>
          <t>NULL</t>
        </is>
      </c>
      <c r="H1904" t="inlineStr">
        <is>
          <t>NULL</t>
        </is>
      </c>
      <c r="I1904" t="inlineStr">
        <is>
          <t>NULL</t>
        </is>
      </c>
      <c r="J1904" t="inlineStr">
        <is>
          <t>NULL</t>
        </is>
      </c>
      <c r="K1904" t="inlineStr">
        <is>
          <t>YES! 	 c_date列源备映射正确，源端为date None位	期望更改为date	实际备端为date None位</t>
        </is>
      </c>
    </row>
    <row r="1905">
      <c r="A1905" t="inlineStr">
        <is>
          <t>info_geography_dml_single_nopk_irp</t>
        </is>
      </c>
      <c r="K1905" t="inlineStr">
        <is>
          <t>[0;34m info_geography_dml_single_nopk_irp [0m源备字段数相同，源端字段：2 	备端字段2</t>
        </is>
      </c>
      <c r="W1905" t="inlineStr">
        <is>
          <t>YES 源备无差异</t>
        </is>
      </c>
      <c r="X1905">
        <f>A1905</f>
        <v/>
      </c>
    </row>
    <row r="1906">
      <c r="B1906" t="inlineStr">
        <is>
          <t>NULL</t>
        </is>
      </c>
      <c r="C1906" t="inlineStr">
        <is>
          <t>NULL</t>
        </is>
      </c>
      <c r="D1906" t="inlineStr">
        <is>
          <t>NULL</t>
        </is>
      </c>
      <c r="E1906" t="inlineStr">
        <is>
          <t>NULL</t>
        </is>
      </c>
      <c r="F1906" t="inlineStr">
        <is>
          <t>NULL</t>
        </is>
      </c>
      <c r="G1906" t="inlineStr">
        <is>
          <t>NULL</t>
        </is>
      </c>
      <c r="H1906" t="inlineStr">
        <is>
          <t>NULL</t>
        </is>
      </c>
      <c r="I1906" t="inlineStr">
        <is>
          <t>NULL</t>
        </is>
      </c>
      <c r="J1906" t="inlineStr">
        <is>
          <t>NULL</t>
        </is>
      </c>
      <c r="K1906" t="inlineStr">
        <is>
          <t>YES! 	 id列源备映射正确，源端为int None位	期望更改为int	实际备端为int None位</t>
        </is>
      </c>
    </row>
    <row r="1907">
      <c r="B1907" t="inlineStr">
        <is>
          <t>NULL</t>
        </is>
      </c>
      <c r="C1907" t="inlineStr">
        <is>
          <t>NULL</t>
        </is>
      </c>
      <c r="D1907" t="inlineStr">
        <is>
          <t>NULL</t>
        </is>
      </c>
      <c r="E1907" t="inlineStr">
        <is>
          <t>NULL</t>
        </is>
      </c>
      <c r="F1907" t="inlineStr">
        <is>
          <t>NULL</t>
        </is>
      </c>
      <c r="G1907" t="inlineStr">
        <is>
          <t>NULL</t>
        </is>
      </c>
      <c r="H1907" t="inlineStr">
        <is>
          <t>NULL</t>
        </is>
      </c>
      <c r="I1907" t="inlineStr">
        <is>
          <t>NULL</t>
        </is>
      </c>
      <c r="J1907" t="inlineStr">
        <is>
          <t>NULL</t>
        </is>
      </c>
      <c r="K1907" t="inlineStr">
        <is>
          <t>YES! 	 c_geography列源备映射正确，源端为geography -1位	期望更改为text	实际备端为text 65535位</t>
        </is>
      </c>
    </row>
    <row r="1908">
      <c r="A1908" t="inlineStr">
        <is>
          <t>info_date_dml_batch2_pk_irp2</t>
        </is>
      </c>
      <c r="K1908" t="inlineStr">
        <is>
          <t>[0;34m info_date_dml_batch2_pk_irp2 [0m源备字段数相同，源端字段：2 	备端字段2</t>
        </is>
      </c>
      <c r="W1908" t="inlineStr">
        <is>
          <t>YES 源备无差异</t>
        </is>
      </c>
      <c r="X1908">
        <f>A1908</f>
        <v/>
      </c>
    </row>
    <row r="1909">
      <c r="B1909" t="inlineStr">
        <is>
          <t>YES</t>
        </is>
      </c>
      <c r="C1909" t="inlineStr">
        <is>
          <t>NULL</t>
        </is>
      </c>
      <c r="D1909" t="inlineStr">
        <is>
          <t>NULL</t>
        </is>
      </c>
      <c r="E1909" t="inlineStr">
        <is>
          <t>NULL</t>
        </is>
      </c>
      <c r="F1909" t="inlineStr">
        <is>
          <t>NULL</t>
        </is>
      </c>
      <c r="G1909" t="inlineStr">
        <is>
          <t>NULL</t>
        </is>
      </c>
      <c r="H1909" t="inlineStr">
        <is>
          <t>NULL</t>
        </is>
      </c>
      <c r="I1909" t="inlineStr">
        <is>
          <t>YES!PK__info_dat__3213E83F431A717B</t>
        </is>
      </c>
      <c r="J1909" t="inlineStr">
        <is>
          <t>YES! 主键相关索引</t>
        </is>
      </c>
      <c r="K1909" t="inlineStr">
        <is>
          <t>YES! 	 id列源备映射正确，源端为int None位	期望更改为int	实际备端为int None位</t>
        </is>
      </c>
    </row>
    <row r="1910">
      <c r="B1910" t="inlineStr">
        <is>
          <t>NULL</t>
        </is>
      </c>
      <c r="C1910" t="inlineStr">
        <is>
          <t>NULL</t>
        </is>
      </c>
      <c r="D1910" t="inlineStr">
        <is>
          <t>NULL</t>
        </is>
      </c>
      <c r="E1910" t="inlineStr">
        <is>
          <t>NULL</t>
        </is>
      </c>
      <c r="F1910" t="inlineStr">
        <is>
          <t>NULL</t>
        </is>
      </c>
      <c r="G1910" t="inlineStr">
        <is>
          <t>NULL</t>
        </is>
      </c>
      <c r="H1910" t="inlineStr">
        <is>
          <t>NULL</t>
        </is>
      </c>
      <c r="I1910" t="inlineStr">
        <is>
          <t>NULL</t>
        </is>
      </c>
      <c r="J1910" t="inlineStr">
        <is>
          <t>NULL</t>
        </is>
      </c>
      <c r="K1910" t="inlineStr">
        <is>
          <t>YES! 	 c_date列源备映射正确，源端为date None位	期望更改为date	实际备端为date None位</t>
        </is>
      </c>
    </row>
    <row r="1911">
      <c r="A1911" t="inlineStr">
        <is>
          <t>info_binary_dml_batch2_pk_irp2</t>
        </is>
      </c>
      <c r="K1911" t="inlineStr">
        <is>
          <t>[0;34m info_binary_dml_batch2_pk_irp2 [0m源备字段数相同，源端字段：4 	备端字段4</t>
        </is>
      </c>
      <c r="W1911" t="inlineStr">
        <is>
          <t>YES 源备无差异</t>
        </is>
      </c>
      <c r="X1911">
        <f>A1911</f>
        <v/>
      </c>
    </row>
    <row r="1912">
      <c r="B1912" t="inlineStr">
        <is>
          <t>YES</t>
        </is>
      </c>
      <c r="C1912" t="inlineStr">
        <is>
          <t>NULL</t>
        </is>
      </c>
      <c r="D1912" t="inlineStr">
        <is>
          <t>NULL</t>
        </is>
      </c>
      <c r="E1912" t="inlineStr">
        <is>
          <t>NULL</t>
        </is>
      </c>
      <c r="F1912" t="inlineStr">
        <is>
          <t>NULL</t>
        </is>
      </c>
      <c r="G1912" t="inlineStr">
        <is>
          <t>NULL</t>
        </is>
      </c>
      <c r="H1912" t="inlineStr">
        <is>
          <t>NULL</t>
        </is>
      </c>
      <c r="I1912" t="inlineStr">
        <is>
          <t>YES!PK__info_bin__3213E83F8A446D33</t>
        </is>
      </c>
      <c r="J1912" t="inlineStr">
        <is>
          <t>YES! 主键相关索引</t>
        </is>
      </c>
      <c r="K1912" t="inlineStr">
        <is>
          <t>YES! 	 id列源备映射正确，源端为int None位	期望更改为int	实际备端为int None位</t>
        </is>
      </c>
    </row>
    <row r="1913">
      <c r="B1913" t="inlineStr">
        <is>
          <t>NULL</t>
        </is>
      </c>
      <c r="C1913" t="inlineStr">
        <is>
          <t>NULL</t>
        </is>
      </c>
      <c r="D1913" t="inlineStr">
        <is>
          <t>NULL</t>
        </is>
      </c>
      <c r="E1913" t="inlineStr">
        <is>
          <t>NULL</t>
        </is>
      </c>
      <c r="F1913" t="inlineStr">
        <is>
          <t>NULL</t>
        </is>
      </c>
      <c r="G1913" t="inlineStr">
        <is>
          <t>NULL</t>
        </is>
      </c>
      <c r="H1913" t="inlineStr">
        <is>
          <t>NULL</t>
        </is>
      </c>
      <c r="I1913" t="inlineStr">
        <is>
          <t>NULL</t>
        </is>
      </c>
      <c r="J1913" t="inlineStr">
        <is>
          <t>NULL</t>
        </is>
      </c>
      <c r="K1913" t="inlineStr">
        <is>
          <t>YES! 	 c_binary列源备映射正确，源端为binary 1位	期望更改为binary(n)	实际备端为binary 1位</t>
        </is>
      </c>
    </row>
    <row r="1914">
      <c r="B1914" t="inlineStr">
        <is>
          <t>NULL</t>
        </is>
      </c>
      <c r="C1914" t="inlineStr">
        <is>
          <t>NULL</t>
        </is>
      </c>
      <c r="D1914" t="inlineStr">
        <is>
          <t>NULL</t>
        </is>
      </c>
      <c r="E1914" t="inlineStr">
        <is>
          <t>NULL</t>
        </is>
      </c>
      <c r="F1914" t="inlineStr">
        <is>
          <t>NULL</t>
        </is>
      </c>
      <c r="G1914" t="inlineStr">
        <is>
          <t>NULL</t>
        </is>
      </c>
      <c r="H1914" t="inlineStr">
        <is>
          <t>NULL</t>
        </is>
      </c>
      <c r="I1914" t="inlineStr">
        <is>
          <t>NULL</t>
        </is>
      </c>
      <c r="J1914" t="inlineStr">
        <is>
          <t>NULL</t>
        </is>
      </c>
      <c r="K1914" t="inlineStr">
        <is>
          <t>YES! 	 c_binary_20列源备映射正确，源端为binary 20位	期望更改为binary(n)	实际备端为binary 20位</t>
        </is>
      </c>
    </row>
    <row r="1915">
      <c r="B1915" t="inlineStr">
        <is>
          <t>NULL</t>
        </is>
      </c>
      <c r="C1915" t="inlineStr">
        <is>
          <t>NULL</t>
        </is>
      </c>
      <c r="D1915" t="inlineStr">
        <is>
          <t>NULL</t>
        </is>
      </c>
      <c r="E1915" t="inlineStr">
        <is>
          <t>NULL</t>
        </is>
      </c>
      <c r="F1915" t="inlineStr">
        <is>
          <t>NULL</t>
        </is>
      </c>
      <c r="G1915" t="inlineStr">
        <is>
          <t>NULL</t>
        </is>
      </c>
      <c r="H1915" t="inlineStr">
        <is>
          <t>NULL</t>
        </is>
      </c>
      <c r="I1915" t="inlineStr">
        <is>
          <t>NULL</t>
        </is>
      </c>
      <c r="J1915" t="inlineStr">
        <is>
          <t>NULL</t>
        </is>
      </c>
      <c r="K1915" t="inlineStr">
        <is>
          <t>YES! 	 c_binary_8000列源备映射正确，源端为binary 8000位	期望更改为longblob	实际备端为longblob 4294967295位</t>
        </is>
      </c>
    </row>
    <row r="1916">
      <c r="A1916" t="inlineStr">
        <is>
          <t>info_geography_dml_single_nopk_urp</t>
        </is>
      </c>
      <c r="K1916" t="inlineStr">
        <is>
          <t>[0;34m info_geography_dml_single_nopk_urp [0m源备字段数相同，源端字段：2 	备端字段2</t>
        </is>
      </c>
      <c r="W1916" t="inlineStr">
        <is>
          <t>YES 源备无差异</t>
        </is>
      </c>
      <c r="X1916">
        <f>A1916</f>
        <v/>
      </c>
    </row>
    <row r="1917">
      <c r="B1917" t="inlineStr">
        <is>
          <t>NULL</t>
        </is>
      </c>
      <c r="C1917" t="inlineStr">
        <is>
          <t>NULL</t>
        </is>
      </c>
      <c r="D1917" t="inlineStr">
        <is>
          <t>NULL</t>
        </is>
      </c>
      <c r="E1917" t="inlineStr">
        <is>
          <t>NULL</t>
        </is>
      </c>
      <c r="F1917" t="inlineStr">
        <is>
          <t>NULL</t>
        </is>
      </c>
      <c r="G1917" t="inlineStr">
        <is>
          <t>NULL</t>
        </is>
      </c>
      <c r="H1917" t="inlineStr">
        <is>
          <t>NULL</t>
        </is>
      </c>
      <c r="I1917" t="inlineStr">
        <is>
          <t>NULL</t>
        </is>
      </c>
      <c r="J1917" t="inlineStr">
        <is>
          <t>NULL</t>
        </is>
      </c>
      <c r="K1917" t="inlineStr">
        <is>
          <t>YES! 	 id列源备映射正确，源端为int None位	期望更改为int	实际备端为int None位</t>
        </is>
      </c>
    </row>
    <row r="1918">
      <c r="B1918" t="inlineStr">
        <is>
          <t>NULL</t>
        </is>
      </c>
      <c r="C1918" t="inlineStr">
        <is>
          <t>NULL</t>
        </is>
      </c>
      <c r="D1918" t="inlineStr">
        <is>
          <t>NULL</t>
        </is>
      </c>
      <c r="E1918" t="inlineStr">
        <is>
          <t>NULL</t>
        </is>
      </c>
      <c r="F1918" t="inlineStr">
        <is>
          <t>NULL</t>
        </is>
      </c>
      <c r="G1918" t="inlineStr">
        <is>
          <t>NULL</t>
        </is>
      </c>
      <c r="H1918" t="inlineStr">
        <is>
          <t>NULL</t>
        </is>
      </c>
      <c r="I1918" t="inlineStr">
        <is>
          <t>NULL</t>
        </is>
      </c>
      <c r="J1918" t="inlineStr">
        <is>
          <t>NULL</t>
        </is>
      </c>
      <c r="K1918" t="inlineStr">
        <is>
          <t>YES! 	 c_geography列源备映射正确，源端为geography -1位	期望更改为text	实际备端为text 65535位</t>
        </is>
      </c>
    </row>
    <row r="1919">
      <c r="A1919" t="inlineStr">
        <is>
          <t>info_geography_dml_single_nopk_drp</t>
        </is>
      </c>
      <c r="K1919" t="inlineStr">
        <is>
          <t>[0;34m info_geography_dml_single_nopk_drp [0m源备字段数相同，源端字段：2 	备端字段2</t>
        </is>
      </c>
      <c r="W1919" t="inlineStr">
        <is>
          <t>YES 源备无差异</t>
        </is>
      </c>
      <c r="X1919">
        <f>A1919</f>
        <v/>
      </c>
    </row>
    <row r="1920">
      <c r="B1920" t="inlineStr">
        <is>
          <t>NULL</t>
        </is>
      </c>
      <c r="C1920" t="inlineStr">
        <is>
          <t>NULL</t>
        </is>
      </c>
      <c r="D1920" t="inlineStr">
        <is>
          <t>NULL</t>
        </is>
      </c>
      <c r="E1920" t="inlineStr">
        <is>
          <t>NULL</t>
        </is>
      </c>
      <c r="F1920" t="inlineStr">
        <is>
          <t>NULL</t>
        </is>
      </c>
      <c r="G1920" t="inlineStr">
        <is>
          <t>NULL</t>
        </is>
      </c>
      <c r="H1920" t="inlineStr">
        <is>
          <t>NULL</t>
        </is>
      </c>
      <c r="I1920" t="inlineStr">
        <is>
          <t>NULL</t>
        </is>
      </c>
      <c r="J1920" t="inlineStr">
        <is>
          <t>NULL</t>
        </is>
      </c>
      <c r="K1920" t="inlineStr">
        <is>
          <t>YES! 	 id列源备映射正确，源端为int None位	期望更改为int	实际备端为int None位</t>
        </is>
      </c>
    </row>
    <row r="1921">
      <c r="B1921" t="inlineStr">
        <is>
          <t>NULL</t>
        </is>
      </c>
      <c r="C1921" t="inlineStr">
        <is>
          <t>NULL</t>
        </is>
      </c>
      <c r="D1921" t="inlineStr">
        <is>
          <t>NULL</t>
        </is>
      </c>
      <c r="E1921" t="inlineStr">
        <is>
          <t>NULL</t>
        </is>
      </c>
      <c r="F1921" t="inlineStr">
        <is>
          <t>NULL</t>
        </is>
      </c>
      <c r="G1921" t="inlineStr">
        <is>
          <t>NULL</t>
        </is>
      </c>
      <c r="H1921" t="inlineStr">
        <is>
          <t>NULL</t>
        </is>
      </c>
      <c r="I1921" t="inlineStr">
        <is>
          <t>NULL</t>
        </is>
      </c>
      <c r="J1921" t="inlineStr">
        <is>
          <t>NULL</t>
        </is>
      </c>
      <c r="K1921" t="inlineStr">
        <is>
          <t>YES! 	 c_geography列源备映射正确，源端为geography -1位	期望更改为text	实际备端为text 65535位</t>
        </is>
      </c>
    </row>
    <row r="1922">
      <c r="A1922" t="inlineStr">
        <is>
          <t>info_date_dml_batch1_pk_urp1</t>
        </is>
      </c>
      <c r="K1922" t="inlineStr">
        <is>
          <t>[0;34m info_date_dml_batch1_pk_urp1 [0m源备字段数相同，源端字段：2 	备端字段2</t>
        </is>
      </c>
      <c r="W1922" t="inlineStr">
        <is>
          <t>YES 源备无差异</t>
        </is>
      </c>
      <c r="X1922">
        <f>A1922</f>
        <v/>
      </c>
    </row>
    <row r="1923">
      <c r="B1923" t="inlineStr">
        <is>
          <t>YES</t>
        </is>
      </c>
      <c r="C1923" t="inlineStr">
        <is>
          <t>NULL</t>
        </is>
      </c>
      <c r="D1923" t="inlineStr">
        <is>
          <t>NULL</t>
        </is>
      </c>
      <c r="E1923" t="inlineStr">
        <is>
          <t>NULL</t>
        </is>
      </c>
      <c r="F1923" t="inlineStr">
        <is>
          <t>NULL</t>
        </is>
      </c>
      <c r="G1923" t="inlineStr">
        <is>
          <t>NULL</t>
        </is>
      </c>
      <c r="H1923" t="inlineStr">
        <is>
          <t>NULL</t>
        </is>
      </c>
      <c r="I1923" t="inlineStr">
        <is>
          <t>YES!PK__info_dat__3213E83F255EEA90</t>
        </is>
      </c>
      <c r="J1923" t="inlineStr">
        <is>
          <t>YES! 主键相关索引</t>
        </is>
      </c>
      <c r="K1923" t="inlineStr">
        <is>
          <t>YES! 	 id列源备映射正确，源端为int None位	期望更改为int	实际备端为int None位</t>
        </is>
      </c>
    </row>
    <row r="1924">
      <c r="B1924" t="inlineStr">
        <is>
          <t>NULL</t>
        </is>
      </c>
      <c r="C1924" t="inlineStr">
        <is>
          <t>NULL</t>
        </is>
      </c>
      <c r="D1924" t="inlineStr">
        <is>
          <t>NULL</t>
        </is>
      </c>
      <c r="E1924" t="inlineStr">
        <is>
          <t>NULL</t>
        </is>
      </c>
      <c r="F1924" t="inlineStr">
        <is>
          <t>NULL</t>
        </is>
      </c>
      <c r="G1924" t="inlineStr">
        <is>
          <t>NULL</t>
        </is>
      </c>
      <c r="H1924" t="inlineStr">
        <is>
          <t>NULL</t>
        </is>
      </c>
      <c r="I1924" t="inlineStr">
        <is>
          <t>NULL</t>
        </is>
      </c>
      <c r="J1924" t="inlineStr">
        <is>
          <t>NULL</t>
        </is>
      </c>
      <c r="K1924" t="inlineStr">
        <is>
          <t>YES! 	 c_date列源备映射正确，源端为date None位	期望更改为date	实际备端为date None位</t>
        </is>
      </c>
    </row>
    <row r="1925">
      <c r="A1925" t="inlineStr">
        <is>
          <t>info_binary_dml_batch1_pk_urp2</t>
        </is>
      </c>
      <c r="K1925" t="inlineStr">
        <is>
          <t>[0;34m info_binary_dml_batch1_pk_urp2 [0m源备字段数相同，源端字段：4 	备端字段4</t>
        </is>
      </c>
      <c r="W1925" t="inlineStr">
        <is>
          <t>YES 源备无差异</t>
        </is>
      </c>
      <c r="X1925">
        <f>A1925</f>
        <v/>
      </c>
    </row>
    <row r="1926">
      <c r="B1926" t="inlineStr">
        <is>
          <t>YES</t>
        </is>
      </c>
      <c r="C1926" t="inlineStr">
        <is>
          <t>NULL</t>
        </is>
      </c>
      <c r="D1926" t="inlineStr">
        <is>
          <t>NULL</t>
        </is>
      </c>
      <c r="E1926" t="inlineStr">
        <is>
          <t>NULL</t>
        </is>
      </c>
      <c r="F1926" t="inlineStr">
        <is>
          <t>NULL</t>
        </is>
      </c>
      <c r="G1926" t="inlineStr">
        <is>
          <t>NULL</t>
        </is>
      </c>
      <c r="H1926" t="inlineStr">
        <is>
          <t>NULL</t>
        </is>
      </c>
      <c r="I1926" t="inlineStr">
        <is>
          <t>YES!PK__info_bin__3213E83F2CFFDD81</t>
        </is>
      </c>
      <c r="J1926" t="inlineStr">
        <is>
          <t>YES! 主键相关索引</t>
        </is>
      </c>
      <c r="K1926" t="inlineStr">
        <is>
          <t>YES! 	 id列源备映射正确，源端为int None位	期望更改为int	实际备端为int None位</t>
        </is>
      </c>
    </row>
    <row r="1927">
      <c r="B1927" t="inlineStr">
        <is>
          <t>NULL</t>
        </is>
      </c>
      <c r="C1927" t="inlineStr">
        <is>
          <t>NULL</t>
        </is>
      </c>
      <c r="D1927" t="inlineStr">
        <is>
          <t>NULL</t>
        </is>
      </c>
      <c r="E1927" t="inlineStr">
        <is>
          <t>NULL</t>
        </is>
      </c>
      <c r="F1927" t="inlineStr">
        <is>
          <t>NULL</t>
        </is>
      </c>
      <c r="G1927" t="inlineStr">
        <is>
          <t>NULL</t>
        </is>
      </c>
      <c r="H1927" t="inlineStr">
        <is>
          <t>NULL</t>
        </is>
      </c>
      <c r="I1927" t="inlineStr">
        <is>
          <t>NULL</t>
        </is>
      </c>
      <c r="J1927" t="inlineStr">
        <is>
          <t>NULL</t>
        </is>
      </c>
      <c r="K1927" t="inlineStr">
        <is>
          <t>YES! 	 c_binary列源备映射正确，源端为binary 1位	期望更改为binary(n)	实际备端为binary 1位</t>
        </is>
      </c>
    </row>
    <row r="1928">
      <c r="B1928" t="inlineStr">
        <is>
          <t>NULL</t>
        </is>
      </c>
      <c r="C1928" t="inlineStr">
        <is>
          <t>NULL</t>
        </is>
      </c>
      <c r="D1928" t="inlineStr">
        <is>
          <t>NULL</t>
        </is>
      </c>
      <c r="E1928" t="inlineStr">
        <is>
          <t>NULL</t>
        </is>
      </c>
      <c r="F1928" t="inlineStr">
        <is>
          <t>NULL</t>
        </is>
      </c>
      <c r="G1928" t="inlineStr">
        <is>
          <t>NULL</t>
        </is>
      </c>
      <c r="H1928" t="inlineStr">
        <is>
          <t>NULL</t>
        </is>
      </c>
      <c r="I1928" t="inlineStr">
        <is>
          <t>NULL</t>
        </is>
      </c>
      <c r="J1928" t="inlineStr">
        <is>
          <t>NULL</t>
        </is>
      </c>
      <c r="K1928" t="inlineStr">
        <is>
          <t>YES! 	 c_binary_20列源备映射正确，源端为binary 20位	期望更改为binary(n)	实际备端为binary 20位</t>
        </is>
      </c>
    </row>
    <row r="1929">
      <c r="B1929" t="inlineStr">
        <is>
          <t>NULL</t>
        </is>
      </c>
      <c r="C1929" t="inlineStr">
        <is>
          <t>NULL</t>
        </is>
      </c>
      <c r="D1929" t="inlineStr">
        <is>
          <t>NULL</t>
        </is>
      </c>
      <c r="E1929" t="inlineStr">
        <is>
          <t>NULL</t>
        </is>
      </c>
      <c r="F1929" t="inlineStr">
        <is>
          <t>NULL</t>
        </is>
      </c>
      <c r="G1929" t="inlineStr">
        <is>
          <t>NULL</t>
        </is>
      </c>
      <c r="H1929" t="inlineStr">
        <is>
          <t>NULL</t>
        </is>
      </c>
      <c r="I1929" t="inlineStr">
        <is>
          <t>NULL</t>
        </is>
      </c>
      <c r="J1929" t="inlineStr">
        <is>
          <t>NULL</t>
        </is>
      </c>
      <c r="K1929" t="inlineStr">
        <is>
          <t>YES! 	 c_binary_8000列源备映射正确，源端为binary 8000位	期望更改为longblob	实际备端为longblob 4294967295位</t>
        </is>
      </c>
    </row>
    <row r="1930">
      <c r="A1930" t="inlineStr">
        <is>
          <t>info_geography_dml_single_nopk</t>
        </is>
      </c>
      <c r="K1930" t="inlineStr">
        <is>
          <t>[0;34m info_geography_dml_single_nopk [0m源备字段数相同，源端字段：2 	备端字段2</t>
        </is>
      </c>
      <c r="W1930" t="inlineStr">
        <is>
          <t>YES 源备无差异</t>
        </is>
      </c>
      <c r="X1930">
        <f>A1930</f>
        <v/>
      </c>
    </row>
    <row r="1931">
      <c r="B1931" t="inlineStr">
        <is>
          <t>NULL</t>
        </is>
      </c>
      <c r="C1931" t="inlineStr">
        <is>
          <t>NULL</t>
        </is>
      </c>
      <c r="D1931" t="inlineStr">
        <is>
          <t>NULL</t>
        </is>
      </c>
      <c r="E1931" t="inlineStr">
        <is>
          <t>NULL</t>
        </is>
      </c>
      <c r="F1931" t="inlineStr">
        <is>
          <t>NULL</t>
        </is>
      </c>
      <c r="G1931" t="inlineStr">
        <is>
          <t>NULL</t>
        </is>
      </c>
      <c r="H1931" t="inlineStr">
        <is>
          <t>NULL</t>
        </is>
      </c>
      <c r="I1931" t="inlineStr">
        <is>
          <t>NULL</t>
        </is>
      </c>
      <c r="J1931" t="inlineStr">
        <is>
          <t>NULL</t>
        </is>
      </c>
      <c r="K1931" t="inlineStr">
        <is>
          <t>YES! 	 id列源备映射正确，源端为int None位	期望更改为int	实际备端为int None位</t>
        </is>
      </c>
    </row>
    <row r="1932">
      <c r="B1932" t="inlineStr">
        <is>
          <t>NULL</t>
        </is>
      </c>
      <c r="C1932" t="inlineStr">
        <is>
          <t>NULL</t>
        </is>
      </c>
      <c r="D1932" t="inlineStr">
        <is>
          <t>NULL</t>
        </is>
      </c>
      <c r="E1932" t="inlineStr">
        <is>
          <t>NULL</t>
        </is>
      </c>
      <c r="F1932" t="inlineStr">
        <is>
          <t>NULL</t>
        </is>
      </c>
      <c r="G1932" t="inlineStr">
        <is>
          <t>NULL</t>
        </is>
      </c>
      <c r="H1932" t="inlineStr">
        <is>
          <t>NULL</t>
        </is>
      </c>
      <c r="I1932" t="inlineStr">
        <is>
          <t>NULL</t>
        </is>
      </c>
      <c r="J1932" t="inlineStr">
        <is>
          <t>NULL</t>
        </is>
      </c>
      <c r="K1932" t="inlineStr">
        <is>
          <t>YES! 	 c_geography列源备映射正确，源端为geography -1位	期望更改为text	实际备端为text 65535位</t>
        </is>
      </c>
    </row>
    <row r="1933">
      <c r="A1933" t="inlineStr">
        <is>
          <t>info_binary_dml_batch1_pk_drp1</t>
        </is>
      </c>
      <c r="K1933" t="inlineStr">
        <is>
          <t>[0;34m info_binary_dml_batch1_pk_drp1 [0m源备字段数相同，源端字段：4 	备端字段4</t>
        </is>
      </c>
      <c r="W1933" t="inlineStr">
        <is>
          <t>YES 源备无差异</t>
        </is>
      </c>
      <c r="X1933">
        <f>A1933</f>
        <v/>
      </c>
    </row>
    <row r="1934">
      <c r="B1934" t="inlineStr">
        <is>
          <t>YES</t>
        </is>
      </c>
      <c r="C1934" t="inlineStr">
        <is>
          <t>NULL</t>
        </is>
      </c>
      <c r="D1934" t="inlineStr">
        <is>
          <t>NULL</t>
        </is>
      </c>
      <c r="E1934" t="inlineStr">
        <is>
          <t>NULL</t>
        </is>
      </c>
      <c r="F1934" t="inlineStr">
        <is>
          <t>NULL</t>
        </is>
      </c>
      <c r="G1934" t="inlineStr">
        <is>
          <t>NULL</t>
        </is>
      </c>
      <c r="H1934" t="inlineStr">
        <is>
          <t>NULL</t>
        </is>
      </c>
      <c r="I1934" t="inlineStr">
        <is>
          <t>YES!PK__info_bin__3213E83F4B9A4F56</t>
        </is>
      </c>
      <c r="J1934" t="inlineStr">
        <is>
          <t>YES! 主键相关索引</t>
        </is>
      </c>
      <c r="K1934" t="inlineStr">
        <is>
          <t>YES! 	 id列源备映射正确，源端为int None位	期望更改为int	实际备端为int None位</t>
        </is>
      </c>
    </row>
    <row r="1935">
      <c r="B1935" t="inlineStr">
        <is>
          <t>NULL</t>
        </is>
      </c>
      <c r="C1935" t="inlineStr">
        <is>
          <t>NULL</t>
        </is>
      </c>
      <c r="D1935" t="inlineStr">
        <is>
          <t>NULL</t>
        </is>
      </c>
      <c r="E1935" t="inlineStr">
        <is>
          <t>NULL</t>
        </is>
      </c>
      <c r="F1935" t="inlineStr">
        <is>
          <t>NULL</t>
        </is>
      </c>
      <c r="G1935" t="inlineStr">
        <is>
          <t>NULL</t>
        </is>
      </c>
      <c r="H1935" t="inlineStr">
        <is>
          <t>NULL</t>
        </is>
      </c>
      <c r="I1935" t="inlineStr">
        <is>
          <t>NULL</t>
        </is>
      </c>
      <c r="J1935" t="inlineStr">
        <is>
          <t>NULL</t>
        </is>
      </c>
      <c r="K1935" t="inlineStr">
        <is>
          <t>YES! 	 c_binary列源备映射正确，源端为binary 1位	期望更改为binary(n)	实际备端为binary 1位</t>
        </is>
      </c>
    </row>
    <row r="1936">
      <c r="B1936" t="inlineStr">
        <is>
          <t>NULL</t>
        </is>
      </c>
      <c r="C1936" t="inlineStr">
        <is>
          <t>NULL</t>
        </is>
      </c>
      <c r="D1936" t="inlineStr">
        <is>
          <t>NULL</t>
        </is>
      </c>
      <c r="E1936" t="inlineStr">
        <is>
          <t>NULL</t>
        </is>
      </c>
      <c r="F1936" t="inlineStr">
        <is>
          <t>NULL</t>
        </is>
      </c>
      <c r="G1936" t="inlineStr">
        <is>
          <t>NULL</t>
        </is>
      </c>
      <c r="H1936" t="inlineStr">
        <is>
          <t>NULL</t>
        </is>
      </c>
      <c r="I1936" t="inlineStr">
        <is>
          <t>NULL</t>
        </is>
      </c>
      <c r="J1936" t="inlineStr">
        <is>
          <t>NULL</t>
        </is>
      </c>
      <c r="K1936" t="inlineStr">
        <is>
          <t>YES! 	 c_binary_20列源备映射正确，源端为binary 20位	期望更改为binary(n)	实际备端为binary 20位</t>
        </is>
      </c>
    </row>
    <row r="1937">
      <c r="B1937" t="inlineStr">
        <is>
          <t>NULL</t>
        </is>
      </c>
      <c r="C1937" t="inlineStr">
        <is>
          <t>NULL</t>
        </is>
      </c>
      <c r="D1937" t="inlineStr">
        <is>
          <t>NULL</t>
        </is>
      </c>
      <c r="E1937" t="inlineStr">
        <is>
          <t>NULL</t>
        </is>
      </c>
      <c r="F1937" t="inlineStr">
        <is>
          <t>NULL</t>
        </is>
      </c>
      <c r="G1937" t="inlineStr">
        <is>
          <t>NULL</t>
        </is>
      </c>
      <c r="H1937" t="inlineStr">
        <is>
          <t>NULL</t>
        </is>
      </c>
      <c r="I1937" t="inlineStr">
        <is>
          <t>NULL</t>
        </is>
      </c>
      <c r="J1937" t="inlineStr">
        <is>
          <t>NULL</t>
        </is>
      </c>
      <c r="K1937" t="inlineStr">
        <is>
          <t>YES! 	 c_binary_8000列源备映射正确，源端为binary 8000位	期望更改为longblob	实际备端为longblob 4294967295位</t>
        </is>
      </c>
    </row>
    <row r="1938">
      <c r="K1938" t="inlineStr">
        <is>
          <t>~ 空表</t>
        </is>
      </c>
    </row>
    <row r="1939">
      <c r="A1939" t="inlineStr">
        <is>
          <t>info_binary_dml_batch1_pk_urp1</t>
        </is>
      </c>
      <c r="K1939" t="inlineStr">
        <is>
          <t>[0;34m info_binary_dml_batch1_pk_urp1 [0m源备字段数相同，源端字段：4 	备端字段4</t>
        </is>
      </c>
      <c r="W1939" t="inlineStr">
        <is>
          <t>YES 源备无差异</t>
        </is>
      </c>
      <c r="X1939">
        <f>A1939</f>
        <v/>
      </c>
    </row>
    <row r="1940">
      <c r="B1940" t="inlineStr">
        <is>
          <t>YES</t>
        </is>
      </c>
      <c r="C1940" t="inlineStr">
        <is>
          <t>NULL</t>
        </is>
      </c>
      <c r="D1940" t="inlineStr">
        <is>
          <t>NULL</t>
        </is>
      </c>
      <c r="E1940" t="inlineStr">
        <is>
          <t>NULL</t>
        </is>
      </c>
      <c r="F1940" t="inlineStr">
        <is>
          <t>NULL</t>
        </is>
      </c>
      <c r="G1940" t="inlineStr">
        <is>
          <t>NULL</t>
        </is>
      </c>
      <c r="H1940" t="inlineStr">
        <is>
          <t>NULL</t>
        </is>
      </c>
      <c r="I1940" t="inlineStr">
        <is>
          <t>YES!PK__info_bin__3213E83FC8D78F05</t>
        </is>
      </c>
      <c r="J1940" t="inlineStr">
        <is>
          <t>YES! 主键相关索引</t>
        </is>
      </c>
      <c r="K1940" t="inlineStr">
        <is>
          <t>YES! 	 id列源备映射正确，源端为int None位	期望更改为int	实际备端为int None位</t>
        </is>
      </c>
    </row>
    <row r="1941">
      <c r="B1941" t="inlineStr">
        <is>
          <t>NULL</t>
        </is>
      </c>
      <c r="C1941" t="inlineStr">
        <is>
          <t>NULL</t>
        </is>
      </c>
      <c r="D1941" t="inlineStr">
        <is>
          <t>NULL</t>
        </is>
      </c>
      <c r="E1941" t="inlineStr">
        <is>
          <t>NULL</t>
        </is>
      </c>
      <c r="F1941" t="inlineStr">
        <is>
          <t>NULL</t>
        </is>
      </c>
      <c r="G1941" t="inlineStr">
        <is>
          <t>NULL</t>
        </is>
      </c>
      <c r="H1941" t="inlineStr">
        <is>
          <t>NULL</t>
        </is>
      </c>
      <c r="I1941" t="inlineStr">
        <is>
          <t>NULL</t>
        </is>
      </c>
      <c r="J1941" t="inlineStr">
        <is>
          <t>NULL</t>
        </is>
      </c>
      <c r="K1941" t="inlineStr">
        <is>
          <t>YES! 	 c_binary列源备映射正确，源端为binary 1位	期望更改为binary(n)	实际备端为binary 1位</t>
        </is>
      </c>
    </row>
    <row r="1942">
      <c r="B1942" t="inlineStr">
        <is>
          <t>NULL</t>
        </is>
      </c>
      <c r="C1942" t="inlineStr">
        <is>
          <t>NULL</t>
        </is>
      </c>
      <c r="D1942" t="inlineStr">
        <is>
          <t>NULL</t>
        </is>
      </c>
      <c r="E1942" t="inlineStr">
        <is>
          <t>NULL</t>
        </is>
      </c>
      <c r="F1942" t="inlineStr">
        <is>
          <t>NULL</t>
        </is>
      </c>
      <c r="G1942" t="inlineStr">
        <is>
          <t>NULL</t>
        </is>
      </c>
      <c r="H1942" t="inlineStr">
        <is>
          <t>NULL</t>
        </is>
      </c>
      <c r="I1942" t="inlineStr">
        <is>
          <t>NULL</t>
        </is>
      </c>
      <c r="J1942" t="inlineStr">
        <is>
          <t>NULL</t>
        </is>
      </c>
      <c r="K1942" t="inlineStr">
        <is>
          <t>YES! 	 c_binary_20列源备映射正确，源端为binary 20位	期望更改为binary(n)	实际备端为binary 20位</t>
        </is>
      </c>
    </row>
    <row r="1943">
      <c r="B1943" t="inlineStr">
        <is>
          <t>NULL</t>
        </is>
      </c>
      <c r="C1943" t="inlineStr">
        <is>
          <t>NULL</t>
        </is>
      </c>
      <c r="D1943" t="inlineStr">
        <is>
          <t>NULL</t>
        </is>
      </c>
      <c r="E1943" t="inlineStr">
        <is>
          <t>NULL</t>
        </is>
      </c>
      <c r="F1943" t="inlineStr">
        <is>
          <t>NULL</t>
        </is>
      </c>
      <c r="G1943" t="inlineStr">
        <is>
          <t>NULL</t>
        </is>
      </c>
      <c r="H1943" t="inlineStr">
        <is>
          <t>NULL</t>
        </is>
      </c>
      <c r="I1943" t="inlineStr">
        <is>
          <t>NULL</t>
        </is>
      </c>
      <c r="J1943" t="inlineStr">
        <is>
          <t>NULL</t>
        </is>
      </c>
      <c r="K1943" t="inlineStr">
        <is>
          <t>YES! 	 c_binary_8000列源备映射正确，源端为binary 8000位	期望更改为longblob	实际备端为longblob 4294967295位</t>
        </is>
      </c>
    </row>
    <row r="1944">
      <c r="A1944" t="inlineStr">
        <is>
          <t>info_geometry_dml_single_nopk_irp</t>
        </is>
      </c>
      <c r="K1944" t="inlineStr">
        <is>
          <t>[0;34m info_geometry_dml_single_nopk_irp [0m源备字段数相同，源端字段：2 	备端字段2</t>
        </is>
      </c>
      <c r="W1944" t="inlineStr">
        <is>
          <t>YES 源备无差异</t>
        </is>
      </c>
      <c r="X1944">
        <f>A1944</f>
        <v/>
      </c>
    </row>
    <row r="1945">
      <c r="B1945" t="inlineStr">
        <is>
          <t>NULL</t>
        </is>
      </c>
      <c r="C1945" t="inlineStr">
        <is>
          <t>NULL</t>
        </is>
      </c>
      <c r="D1945" t="inlineStr">
        <is>
          <t>NULL</t>
        </is>
      </c>
      <c r="E1945" t="inlineStr">
        <is>
          <t>NULL</t>
        </is>
      </c>
      <c r="F1945" t="inlineStr">
        <is>
          <t>NULL</t>
        </is>
      </c>
      <c r="G1945" t="inlineStr">
        <is>
          <t>NULL</t>
        </is>
      </c>
      <c r="H1945" t="inlineStr">
        <is>
          <t>NULL</t>
        </is>
      </c>
      <c r="I1945" t="inlineStr">
        <is>
          <t>NULL</t>
        </is>
      </c>
      <c r="J1945" t="inlineStr">
        <is>
          <t>NULL</t>
        </is>
      </c>
      <c r="K1945" t="inlineStr">
        <is>
          <t>YES! 	 id列源备映射正确，源端为int None位	期望更改为int	实际备端为int None位</t>
        </is>
      </c>
    </row>
    <row r="1946">
      <c r="B1946" t="inlineStr">
        <is>
          <t>NULL</t>
        </is>
      </c>
      <c r="C1946" t="inlineStr">
        <is>
          <t>NULL</t>
        </is>
      </c>
      <c r="D1946" t="inlineStr">
        <is>
          <t>NULL</t>
        </is>
      </c>
      <c r="E1946" t="inlineStr">
        <is>
          <t>NULL</t>
        </is>
      </c>
      <c r="F1946" t="inlineStr">
        <is>
          <t>NULL</t>
        </is>
      </c>
      <c r="G1946" t="inlineStr">
        <is>
          <t>NULL</t>
        </is>
      </c>
      <c r="H1946" t="inlineStr">
        <is>
          <t>NULL</t>
        </is>
      </c>
      <c r="I1946" t="inlineStr">
        <is>
          <t>NULL</t>
        </is>
      </c>
      <c r="J1946" t="inlineStr">
        <is>
          <t>NULL</t>
        </is>
      </c>
      <c r="K1946" t="inlineStr">
        <is>
          <t>YES! 	 c_geometry列源备映射正确，源端为geometry -1位	期望更改为text	实际备端为text 65535位</t>
        </is>
      </c>
    </row>
    <row r="1947">
      <c r="A1947" t="inlineStr">
        <is>
          <t>info_date_dml_batch1_pk_urp2</t>
        </is>
      </c>
      <c r="K1947" t="inlineStr">
        <is>
          <t>[0;34m info_date_dml_batch1_pk_urp2 [0m源备字段数相同，源端字段：2 	备端字段2</t>
        </is>
      </c>
      <c r="W1947" t="inlineStr">
        <is>
          <t>YES 源备无差异</t>
        </is>
      </c>
      <c r="X1947">
        <f>A1947</f>
        <v/>
      </c>
    </row>
    <row r="1948">
      <c r="B1948" t="inlineStr">
        <is>
          <t>YES</t>
        </is>
      </c>
      <c r="C1948" t="inlineStr">
        <is>
          <t>NULL</t>
        </is>
      </c>
      <c r="D1948" t="inlineStr">
        <is>
          <t>NULL</t>
        </is>
      </c>
      <c r="E1948" t="inlineStr">
        <is>
          <t>NULL</t>
        </is>
      </c>
      <c r="F1948" t="inlineStr">
        <is>
          <t>NULL</t>
        </is>
      </c>
      <c r="G1948" t="inlineStr">
        <is>
          <t>NULL</t>
        </is>
      </c>
      <c r="H1948" t="inlineStr">
        <is>
          <t>NULL</t>
        </is>
      </c>
      <c r="I1948" t="inlineStr">
        <is>
          <t>YES!PK__info_dat__3213E83FC684ACA3</t>
        </is>
      </c>
      <c r="J1948" t="inlineStr">
        <is>
          <t>YES! 主键相关索引</t>
        </is>
      </c>
      <c r="K1948" t="inlineStr">
        <is>
          <t>YES! 	 id列源备映射正确，源端为int None位	期望更改为int	实际备端为int None位</t>
        </is>
      </c>
    </row>
    <row r="1949">
      <c r="B1949" t="inlineStr">
        <is>
          <t>NULL</t>
        </is>
      </c>
      <c r="C1949" t="inlineStr">
        <is>
          <t>NULL</t>
        </is>
      </c>
      <c r="D1949" t="inlineStr">
        <is>
          <t>NULL</t>
        </is>
      </c>
      <c r="E1949" t="inlineStr">
        <is>
          <t>NULL</t>
        </is>
      </c>
      <c r="F1949" t="inlineStr">
        <is>
          <t>NULL</t>
        </is>
      </c>
      <c r="G1949" t="inlineStr">
        <is>
          <t>NULL</t>
        </is>
      </c>
      <c r="H1949" t="inlineStr">
        <is>
          <t>NULL</t>
        </is>
      </c>
      <c r="I1949" t="inlineStr">
        <is>
          <t>NULL</t>
        </is>
      </c>
      <c r="J1949" t="inlineStr">
        <is>
          <t>NULL</t>
        </is>
      </c>
      <c r="K1949" t="inlineStr">
        <is>
          <t>YES! 	 c_date列源备映射正确，源端为date None位	期望更改为date	实际备端为date None位</t>
        </is>
      </c>
    </row>
    <row r="1950">
      <c r="A1950" t="inlineStr">
        <is>
          <t>info_geography_dml_single_pk_irp</t>
        </is>
      </c>
      <c r="K1950" t="inlineStr">
        <is>
          <t>[0;34m info_geography_dml_single_pk_irp [0m源备字段数相同，源端字段：2 	备端字段2</t>
        </is>
      </c>
      <c r="W1950" t="inlineStr">
        <is>
          <t>YES 源备无差异</t>
        </is>
      </c>
      <c r="X1950">
        <f>A1950</f>
        <v/>
      </c>
    </row>
    <row r="1951">
      <c r="B1951" t="inlineStr">
        <is>
          <t>YES</t>
        </is>
      </c>
      <c r="C1951" t="inlineStr">
        <is>
          <t>NULL</t>
        </is>
      </c>
      <c r="D1951" t="inlineStr">
        <is>
          <t>NULL</t>
        </is>
      </c>
      <c r="E1951" t="inlineStr">
        <is>
          <t>NULL</t>
        </is>
      </c>
      <c r="F1951" t="inlineStr">
        <is>
          <t>NULL</t>
        </is>
      </c>
      <c r="G1951" t="inlineStr">
        <is>
          <t>NULL</t>
        </is>
      </c>
      <c r="H1951" t="inlineStr">
        <is>
          <t>NULL</t>
        </is>
      </c>
      <c r="I1951" t="inlineStr">
        <is>
          <t>YES!PK__info_geo__3213E83F168AB9E6</t>
        </is>
      </c>
      <c r="J1951" t="inlineStr">
        <is>
          <t>YES! 主键相关索引</t>
        </is>
      </c>
      <c r="K1951" t="inlineStr">
        <is>
          <t>YES! 	 id列源备映射正确，源端为int None位	期望更改为int	实际备端为int None位</t>
        </is>
      </c>
    </row>
    <row r="1952">
      <c r="B1952" t="inlineStr">
        <is>
          <t>NULL</t>
        </is>
      </c>
      <c r="C1952" t="inlineStr">
        <is>
          <t>NULL</t>
        </is>
      </c>
      <c r="D1952" t="inlineStr">
        <is>
          <t>NULL</t>
        </is>
      </c>
      <c r="E1952" t="inlineStr">
        <is>
          <t>NULL</t>
        </is>
      </c>
      <c r="F1952" t="inlineStr">
        <is>
          <t>NULL</t>
        </is>
      </c>
      <c r="G1952" t="inlineStr">
        <is>
          <t>NULL</t>
        </is>
      </c>
      <c r="H1952" t="inlineStr">
        <is>
          <t>NULL</t>
        </is>
      </c>
      <c r="I1952" t="inlineStr">
        <is>
          <t>NULL</t>
        </is>
      </c>
      <c r="J1952" t="inlineStr">
        <is>
          <t>NULL</t>
        </is>
      </c>
      <c r="K1952" t="inlineStr">
        <is>
          <t>YES! 	 c_geography列源备映射正确，源端为geography -1位	期望更改为text	实际备端为text 65535位</t>
        </is>
      </c>
    </row>
    <row r="1953">
      <c r="A1953" t="inlineStr">
        <is>
          <t>info_geometry_dml_single_nopk_urp</t>
        </is>
      </c>
      <c r="K1953" t="inlineStr">
        <is>
          <t>[0;34m info_geometry_dml_single_nopk_urp [0m源备字段数相同，源端字段：2 	备端字段2</t>
        </is>
      </c>
      <c r="W1953" t="inlineStr">
        <is>
          <t>YES 源备无差异</t>
        </is>
      </c>
      <c r="X1953">
        <f>A1953</f>
        <v/>
      </c>
    </row>
    <row r="1954">
      <c r="B1954" t="inlineStr">
        <is>
          <t>NULL</t>
        </is>
      </c>
      <c r="C1954" t="inlineStr">
        <is>
          <t>NULL</t>
        </is>
      </c>
      <c r="D1954" t="inlineStr">
        <is>
          <t>NULL</t>
        </is>
      </c>
      <c r="E1954" t="inlineStr">
        <is>
          <t>NULL</t>
        </is>
      </c>
      <c r="F1954" t="inlineStr">
        <is>
          <t>NULL</t>
        </is>
      </c>
      <c r="G1954" t="inlineStr">
        <is>
          <t>NULL</t>
        </is>
      </c>
      <c r="H1954" t="inlineStr">
        <is>
          <t>NULL</t>
        </is>
      </c>
      <c r="I1954" t="inlineStr">
        <is>
          <t>NULL</t>
        </is>
      </c>
      <c r="J1954" t="inlineStr">
        <is>
          <t>NULL</t>
        </is>
      </c>
      <c r="K1954" t="inlineStr">
        <is>
          <t>YES! 	 id列源备映射正确，源端为int None位	期望更改为int	实际备端为int None位</t>
        </is>
      </c>
    </row>
    <row r="1955">
      <c r="B1955" t="inlineStr">
        <is>
          <t>NULL</t>
        </is>
      </c>
      <c r="C1955" t="inlineStr">
        <is>
          <t>NULL</t>
        </is>
      </c>
      <c r="D1955" t="inlineStr">
        <is>
          <t>NULL</t>
        </is>
      </c>
      <c r="E1955" t="inlineStr">
        <is>
          <t>NULL</t>
        </is>
      </c>
      <c r="F1955" t="inlineStr">
        <is>
          <t>NULL</t>
        </is>
      </c>
      <c r="G1955" t="inlineStr">
        <is>
          <t>NULL</t>
        </is>
      </c>
      <c r="H1955" t="inlineStr">
        <is>
          <t>NULL</t>
        </is>
      </c>
      <c r="I1955" t="inlineStr">
        <is>
          <t>NULL</t>
        </is>
      </c>
      <c r="J1955" t="inlineStr">
        <is>
          <t>NULL</t>
        </is>
      </c>
      <c r="K1955" t="inlineStr">
        <is>
          <t>YES! 	 c_geometry列源备映射正确，源端为geometry -1位	期望更改为text	实际备端为text 65535位</t>
        </is>
      </c>
    </row>
    <row r="1956">
      <c r="A1956" t="inlineStr">
        <is>
          <t>info_geometry_dml_single_nopk_drp</t>
        </is>
      </c>
      <c r="K1956" t="inlineStr">
        <is>
          <t>[0;34m info_geometry_dml_single_nopk_drp [0m源备字段数相同，源端字段：2 	备端字段2</t>
        </is>
      </c>
      <c r="W1956" t="inlineStr">
        <is>
          <t>YES 源备无差异</t>
        </is>
      </c>
      <c r="X1956">
        <f>A1956</f>
        <v/>
      </c>
    </row>
    <row r="1957">
      <c r="B1957" t="inlineStr">
        <is>
          <t>NULL</t>
        </is>
      </c>
      <c r="C1957" t="inlineStr">
        <is>
          <t>NULL</t>
        </is>
      </c>
      <c r="D1957" t="inlineStr">
        <is>
          <t>NULL</t>
        </is>
      </c>
      <c r="E1957" t="inlineStr">
        <is>
          <t>NULL</t>
        </is>
      </c>
      <c r="F1957" t="inlineStr">
        <is>
          <t>NULL</t>
        </is>
      </c>
      <c r="G1957" t="inlineStr">
        <is>
          <t>NULL</t>
        </is>
      </c>
      <c r="H1957" t="inlineStr">
        <is>
          <t>NULL</t>
        </is>
      </c>
      <c r="I1957" t="inlineStr">
        <is>
          <t>NULL</t>
        </is>
      </c>
      <c r="J1957" t="inlineStr">
        <is>
          <t>NULL</t>
        </is>
      </c>
      <c r="K1957" t="inlineStr">
        <is>
          <t>YES! 	 id列源备映射正确，源端为int None位	期望更改为int	实际备端为int None位</t>
        </is>
      </c>
    </row>
    <row r="1958">
      <c r="B1958" t="inlineStr">
        <is>
          <t>NULL</t>
        </is>
      </c>
      <c r="C1958" t="inlineStr">
        <is>
          <t>NULL</t>
        </is>
      </c>
      <c r="D1958" t="inlineStr">
        <is>
          <t>NULL</t>
        </is>
      </c>
      <c r="E1958" t="inlineStr">
        <is>
          <t>NULL</t>
        </is>
      </c>
      <c r="F1958" t="inlineStr">
        <is>
          <t>NULL</t>
        </is>
      </c>
      <c r="G1958" t="inlineStr">
        <is>
          <t>NULL</t>
        </is>
      </c>
      <c r="H1958" t="inlineStr">
        <is>
          <t>NULL</t>
        </is>
      </c>
      <c r="I1958" t="inlineStr">
        <is>
          <t>NULL</t>
        </is>
      </c>
      <c r="J1958" t="inlineStr">
        <is>
          <t>NULL</t>
        </is>
      </c>
      <c r="K1958" t="inlineStr">
        <is>
          <t>YES! 	 c_geometry列源备映射正确，源端为geometry -1位	期望更改为text	实际备端为text 65535位</t>
        </is>
      </c>
    </row>
    <row r="1959">
      <c r="A1959" t="inlineStr">
        <is>
          <t>info_binary_dml_batch1_pk_drp2</t>
        </is>
      </c>
      <c r="K1959" t="inlineStr">
        <is>
          <t>[0;34m info_binary_dml_batch1_pk_drp2 [0m源备字段数相同，源端字段：4 	备端字段4</t>
        </is>
      </c>
      <c r="W1959" t="inlineStr">
        <is>
          <t>YES 源备无差异</t>
        </is>
      </c>
      <c r="X1959">
        <f>A1959</f>
        <v/>
      </c>
    </row>
    <row r="1960">
      <c r="B1960" t="inlineStr">
        <is>
          <t>YES</t>
        </is>
      </c>
      <c r="C1960" t="inlineStr">
        <is>
          <t>NULL</t>
        </is>
      </c>
      <c r="D1960" t="inlineStr">
        <is>
          <t>NULL</t>
        </is>
      </c>
      <c r="E1960" t="inlineStr">
        <is>
          <t>NULL</t>
        </is>
      </c>
      <c r="F1960" t="inlineStr">
        <is>
          <t>NULL</t>
        </is>
      </c>
      <c r="G1960" t="inlineStr">
        <is>
          <t>NULL</t>
        </is>
      </c>
      <c r="H1960" t="inlineStr">
        <is>
          <t>NULL</t>
        </is>
      </c>
      <c r="I1960" t="inlineStr">
        <is>
          <t>YES!PK__info_bin__3213E83F14AE18E3</t>
        </is>
      </c>
      <c r="J1960" t="inlineStr">
        <is>
          <t>YES! 主键相关索引</t>
        </is>
      </c>
      <c r="K1960" t="inlineStr">
        <is>
          <t>YES! 	 id列源备映射正确，源端为int None位	期望更改为int	实际备端为int None位</t>
        </is>
      </c>
    </row>
    <row r="1961">
      <c r="B1961" t="inlineStr">
        <is>
          <t>NULL</t>
        </is>
      </c>
      <c r="C1961" t="inlineStr">
        <is>
          <t>NULL</t>
        </is>
      </c>
      <c r="D1961" t="inlineStr">
        <is>
          <t>NULL</t>
        </is>
      </c>
      <c r="E1961" t="inlineStr">
        <is>
          <t>NULL</t>
        </is>
      </c>
      <c r="F1961" t="inlineStr">
        <is>
          <t>NULL</t>
        </is>
      </c>
      <c r="G1961" t="inlineStr">
        <is>
          <t>NULL</t>
        </is>
      </c>
      <c r="H1961" t="inlineStr">
        <is>
          <t>NULL</t>
        </is>
      </c>
      <c r="I1961" t="inlineStr">
        <is>
          <t>NULL</t>
        </is>
      </c>
      <c r="J1961" t="inlineStr">
        <is>
          <t>NULL</t>
        </is>
      </c>
      <c r="K1961" t="inlineStr">
        <is>
          <t>YES! 	 c_binary列源备映射正确，源端为binary 1位	期望更改为binary(n)	实际备端为binary 1位</t>
        </is>
      </c>
    </row>
    <row r="1962">
      <c r="B1962" t="inlineStr">
        <is>
          <t>NULL</t>
        </is>
      </c>
      <c r="C1962" t="inlineStr">
        <is>
          <t>NULL</t>
        </is>
      </c>
      <c r="D1962" t="inlineStr">
        <is>
          <t>NULL</t>
        </is>
      </c>
      <c r="E1962" t="inlineStr">
        <is>
          <t>NULL</t>
        </is>
      </c>
      <c r="F1962" t="inlineStr">
        <is>
          <t>NULL</t>
        </is>
      </c>
      <c r="G1962" t="inlineStr">
        <is>
          <t>NULL</t>
        </is>
      </c>
      <c r="H1962" t="inlineStr">
        <is>
          <t>NULL</t>
        </is>
      </c>
      <c r="I1962" t="inlineStr">
        <is>
          <t>NULL</t>
        </is>
      </c>
      <c r="J1962" t="inlineStr">
        <is>
          <t>NULL</t>
        </is>
      </c>
      <c r="K1962" t="inlineStr">
        <is>
          <t>YES! 	 c_binary_20列源备映射正确，源端为binary 20位	期望更改为binary(n)	实际备端为binary 20位</t>
        </is>
      </c>
    </row>
    <row r="1963">
      <c r="B1963" t="inlineStr">
        <is>
          <t>NULL</t>
        </is>
      </c>
      <c r="C1963" t="inlineStr">
        <is>
          <t>NULL</t>
        </is>
      </c>
      <c r="D1963" t="inlineStr">
        <is>
          <t>NULL</t>
        </is>
      </c>
      <c r="E1963" t="inlineStr">
        <is>
          <t>NULL</t>
        </is>
      </c>
      <c r="F1963" t="inlineStr">
        <is>
          <t>NULL</t>
        </is>
      </c>
      <c r="G1963" t="inlineStr">
        <is>
          <t>NULL</t>
        </is>
      </c>
      <c r="H1963" t="inlineStr">
        <is>
          <t>NULL</t>
        </is>
      </c>
      <c r="I1963" t="inlineStr">
        <is>
          <t>NULL</t>
        </is>
      </c>
      <c r="J1963" t="inlineStr">
        <is>
          <t>NULL</t>
        </is>
      </c>
      <c r="K1963" t="inlineStr">
        <is>
          <t>YES! 	 c_binary_8000列源备映射正确，源端为binary 8000位	期望更改为longblob	实际备端为longblob 4294967295位</t>
        </is>
      </c>
    </row>
    <row r="1964">
      <c r="A1964" t="inlineStr">
        <is>
          <t>info_geography_dml_single_pk_urp</t>
        </is>
      </c>
      <c r="K1964" t="inlineStr">
        <is>
          <t>[0;34m info_geography_dml_single_pk_urp [0m源备字段数相同，源端字段：2 	备端字段2</t>
        </is>
      </c>
      <c r="W1964" t="inlineStr">
        <is>
          <t>YES 源备无差异</t>
        </is>
      </c>
      <c r="X1964">
        <f>A1964</f>
        <v/>
      </c>
    </row>
    <row r="1965">
      <c r="B1965" t="inlineStr">
        <is>
          <t>YES</t>
        </is>
      </c>
      <c r="C1965" t="inlineStr">
        <is>
          <t>NULL</t>
        </is>
      </c>
      <c r="D1965" t="inlineStr">
        <is>
          <t>NULL</t>
        </is>
      </c>
      <c r="E1965" t="inlineStr">
        <is>
          <t>NULL</t>
        </is>
      </c>
      <c r="F1965" t="inlineStr">
        <is>
          <t>NULL</t>
        </is>
      </c>
      <c r="G1965" t="inlineStr">
        <is>
          <t>NULL</t>
        </is>
      </c>
      <c r="H1965" t="inlineStr">
        <is>
          <t>NULL</t>
        </is>
      </c>
      <c r="I1965" t="inlineStr">
        <is>
          <t>YES!PK__info_geo__3213E83F016608C5</t>
        </is>
      </c>
      <c r="J1965" t="inlineStr">
        <is>
          <t>YES! 主键相关索引</t>
        </is>
      </c>
      <c r="K1965" t="inlineStr">
        <is>
          <t>YES! 	 id列源备映射正确，源端为int None位	期望更改为int	实际备端为int None位</t>
        </is>
      </c>
    </row>
    <row r="1966">
      <c r="B1966" t="inlineStr">
        <is>
          <t>NULL</t>
        </is>
      </c>
      <c r="C1966" t="inlineStr">
        <is>
          <t>NULL</t>
        </is>
      </c>
      <c r="D1966" t="inlineStr">
        <is>
          <t>NULL</t>
        </is>
      </c>
      <c r="E1966" t="inlineStr">
        <is>
          <t>NULL</t>
        </is>
      </c>
      <c r="F1966" t="inlineStr">
        <is>
          <t>NULL</t>
        </is>
      </c>
      <c r="G1966" t="inlineStr">
        <is>
          <t>NULL</t>
        </is>
      </c>
      <c r="H1966" t="inlineStr">
        <is>
          <t>NULL</t>
        </is>
      </c>
      <c r="I1966" t="inlineStr">
        <is>
          <t>NULL</t>
        </is>
      </c>
      <c r="J1966" t="inlineStr">
        <is>
          <t>NULL</t>
        </is>
      </c>
      <c r="K1966" t="inlineStr">
        <is>
          <t>YES! 	 c_geography列源备映射正确，源端为geography -1位	期望更改为text	实际备端为text 65535位</t>
        </is>
      </c>
    </row>
    <row r="1967">
      <c r="A1967" t="inlineStr">
        <is>
          <t>info_date_dml_batch1_pk_drp1</t>
        </is>
      </c>
      <c r="K1967" t="inlineStr">
        <is>
          <t>[0;34m info_date_dml_batch1_pk_drp1 [0m源备字段数相同，源端字段：2 	备端字段2</t>
        </is>
      </c>
      <c r="W1967" t="inlineStr">
        <is>
          <t>YES 源备无差异</t>
        </is>
      </c>
      <c r="X1967">
        <f>A1967</f>
        <v/>
      </c>
    </row>
    <row r="1968">
      <c r="B1968" t="inlineStr">
        <is>
          <t>YES</t>
        </is>
      </c>
      <c r="C1968" t="inlineStr">
        <is>
          <t>NULL</t>
        </is>
      </c>
      <c r="D1968" t="inlineStr">
        <is>
          <t>NULL</t>
        </is>
      </c>
      <c r="E1968" t="inlineStr">
        <is>
          <t>NULL</t>
        </is>
      </c>
      <c r="F1968" t="inlineStr">
        <is>
          <t>NULL</t>
        </is>
      </c>
      <c r="G1968" t="inlineStr">
        <is>
          <t>NULL</t>
        </is>
      </c>
      <c r="H1968" t="inlineStr">
        <is>
          <t>NULL</t>
        </is>
      </c>
      <c r="I1968" t="inlineStr">
        <is>
          <t>YES!PK__info_dat__3213E83F912DB1E0</t>
        </is>
      </c>
      <c r="J1968" t="inlineStr">
        <is>
          <t>YES! 主键相关索引</t>
        </is>
      </c>
      <c r="K1968" t="inlineStr">
        <is>
          <t>YES! 	 id列源备映射正确，源端为int None位	期望更改为int	实际备端为int None位</t>
        </is>
      </c>
    </row>
    <row r="1969">
      <c r="B1969" t="inlineStr">
        <is>
          <t>NULL</t>
        </is>
      </c>
      <c r="C1969" t="inlineStr">
        <is>
          <t>NULL</t>
        </is>
      </c>
      <c r="D1969" t="inlineStr">
        <is>
          <t>NULL</t>
        </is>
      </c>
      <c r="E1969" t="inlineStr">
        <is>
          <t>NULL</t>
        </is>
      </c>
      <c r="F1969" t="inlineStr">
        <is>
          <t>NULL</t>
        </is>
      </c>
      <c r="G1969" t="inlineStr">
        <is>
          <t>NULL</t>
        </is>
      </c>
      <c r="H1969" t="inlineStr">
        <is>
          <t>NULL</t>
        </is>
      </c>
      <c r="I1969" t="inlineStr">
        <is>
          <t>NULL</t>
        </is>
      </c>
      <c r="J1969" t="inlineStr">
        <is>
          <t>NULL</t>
        </is>
      </c>
      <c r="K1969" t="inlineStr">
        <is>
          <t>YES! 	 c_date列源备映射正确，源端为date None位	期望更改为date	实际备端为date None位</t>
        </is>
      </c>
    </row>
    <row r="1970">
      <c r="K1970" t="inlineStr">
        <is>
          <t>~ 空表</t>
        </is>
      </c>
    </row>
    <row r="1971">
      <c r="A1971" t="inlineStr">
        <is>
          <t>info_geometry_dml_single_nopk</t>
        </is>
      </c>
      <c r="K1971" t="inlineStr">
        <is>
          <t>[0;34m info_geometry_dml_single_nopk [0m源备字段数相同，源端字段：2 	备端字段2</t>
        </is>
      </c>
      <c r="W1971" t="inlineStr">
        <is>
          <t>YES 源备无差异</t>
        </is>
      </c>
      <c r="X1971">
        <f>A1971</f>
        <v/>
      </c>
    </row>
    <row r="1972">
      <c r="B1972" t="inlineStr">
        <is>
          <t>NULL</t>
        </is>
      </c>
      <c r="C1972" t="inlineStr">
        <is>
          <t>NULL</t>
        </is>
      </c>
      <c r="D1972" t="inlineStr">
        <is>
          <t>NULL</t>
        </is>
      </c>
      <c r="E1972" t="inlineStr">
        <is>
          <t>NULL</t>
        </is>
      </c>
      <c r="F1972" t="inlineStr">
        <is>
          <t>NULL</t>
        </is>
      </c>
      <c r="G1972" t="inlineStr">
        <is>
          <t>NULL</t>
        </is>
      </c>
      <c r="H1972" t="inlineStr">
        <is>
          <t>NULL</t>
        </is>
      </c>
      <c r="I1972" t="inlineStr">
        <is>
          <t>NULL</t>
        </is>
      </c>
      <c r="J1972" t="inlineStr">
        <is>
          <t>NULL</t>
        </is>
      </c>
      <c r="K1972" t="inlineStr">
        <is>
          <t>YES! 	 id列源备映射正确，源端为int None位	期望更改为int	实际备端为int None位</t>
        </is>
      </c>
    </row>
    <row r="1973">
      <c r="B1973" t="inlineStr">
        <is>
          <t>NULL</t>
        </is>
      </c>
      <c r="C1973" t="inlineStr">
        <is>
          <t>NULL</t>
        </is>
      </c>
      <c r="D1973" t="inlineStr">
        <is>
          <t>NULL</t>
        </is>
      </c>
      <c r="E1973" t="inlineStr">
        <is>
          <t>NULL</t>
        </is>
      </c>
      <c r="F1973" t="inlineStr">
        <is>
          <t>NULL</t>
        </is>
      </c>
      <c r="G1973" t="inlineStr">
        <is>
          <t>NULL</t>
        </is>
      </c>
      <c r="H1973" t="inlineStr">
        <is>
          <t>NULL</t>
        </is>
      </c>
      <c r="I1973" t="inlineStr">
        <is>
          <t>NULL</t>
        </is>
      </c>
      <c r="J1973" t="inlineStr">
        <is>
          <t>NULL</t>
        </is>
      </c>
      <c r="K1973" t="inlineStr">
        <is>
          <t>YES! 	 c_geometry列源备映射正确，源端为geometry -1位	期望更改为text	实际备端为text 65535位</t>
        </is>
      </c>
    </row>
    <row r="1974">
      <c r="A1974" t="inlineStr">
        <is>
          <t>info_geography_dml_single_pk_drp</t>
        </is>
      </c>
      <c r="K1974" t="inlineStr">
        <is>
          <t>[0;34m info_geography_dml_single_pk_drp [0m源备字段数相同，源端字段：2 	备端字段2</t>
        </is>
      </c>
      <c r="W1974" t="inlineStr">
        <is>
          <t>YES 源备无差异</t>
        </is>
      </c>
      <c r="X1974">
        <f>A1974</f>
        <v/>
      </c>
    </row>
    <row r="1975">
      <c r="B1975" t="inlineStr">
        <is>
          <t>YES</t>
        </is>
      </c>
      <c r="C1975" t="inlineStr">
        <is>
          <t>NULL</t>
        </is>
      </c>
      <c r="D1975" t="inlineStr">
        <is>
          <t>NULL</t>
        </is>
      </c>
      <c r="E1975" t="inlineStr">
        <is>
          <t>NULL</t>
        </is>
      </c>
      <c r="F1975" t="inlineStr">
        <is>
          <t>NULL</t>
        </is>
      </c>
      <c r="G1975" t="inlineStr">
        <is>
          <t>NULL</t>
        </is>
      </c>
      <c r="H1975" t="inlineStr">
        <is>
          <t>NULL</t>
        </is>
      </c>
      <c r="I1975" t="inlineStr">
        <is>
          <t>YES!PK__info_geo__3213E83FCAF7A129</t>
        </is>
      </c>
      <c r="J1975" t="inlineStr">
        <is>
          <t>YES! 主键相关索引</t>
        </is>
      </c>
      <c r="K1975" t="inlineStr">
        <is>
          <t>YES! 	 id列源备映射正确，源端为int None位	期望更改为int	实际备端为int None位</t>
        </is>
      </c>
    </row>
    <row r="1976">
      <c r="B1976" t="inlineStr">
        <is>
          <t>NULL</t>
        </is>
      </c>
      <c r="C1976" t="inlineStr">
        <is>
          <t>NULL</t>
        </is>
      </c>
      <c r="D1976" t="inlineStr">
        <is>
          <t>NULL</t>
        </is>
      </c>
      <c r="E1976" t="inlineStr">
        <is>
          <t>NULL</t>
        </is>
      </c>
      <c r="F1976" t="inlineStr">
        <is>
          <t>NULL</t>
        </is>
      </c>
      <c r="G1976" t="inlineStr">
        <is>
          <t>NULL</t>
        </is>
      </c>
      <c r="H1976" t="inlineStr">
        <is>
          <t>NULL</t>
        </is>
      </c>
      <c r="I1976" t="inlineStr">
        <is>
          <t>NULL</t>
        </is>
      </c>
      <c r="J1976" t="inlineStr">
        <is>
          <t>NULL</t>
        </is>
      </c>
      <c r="K1976" t="inlineStr">
        <is>
          <t>YES! 	 c_geography列源备映射正确，源端为geography -1位	期望更改为text	实际备端为text 65535位</t>
        </is>
      </c>
    </row>
    <row r="1977">
      <c r="A1977" t="inlineStr">
        <is>
          <t>info_date_dml_batch1_pk_drp2</t>
        </is>
      </c>
      <c r="K1977" t="inlineStr">
        <is>
          <t>[0;34m info_date_dml_batch1_pk_drp2 [0m源备字段数相同，源端字段：2 	备端字段2</t>
        </is>
      </c>
      <c r="W1977" t="inlineStr">
        <is>
          <t>YES 源备无差异</t>
        </is>
      </c>
      <c r="X1977">
        <f>A1977</f>
        <v/>
      </c>
    </row>
    <row r="1978">
      <c r="B1978" t="inlineStr">
        <is>
          <t>YES</t>
        </is>
      </c>
      <c r="C1978" t="inlineStr">
        <is>
          <t>NULL</t>
        </is>
      </c>
      <c r="D1978" t="inlineStr">
        <is>
          <t>NULL</t>
        </is>
      </c>
      <c r="E1978" t="inlineStr">
        <is>
          <t>NULL</t>
        </is>
      </c>
      <c r="F1978" t="inlineStr">
        <is>
          <t>NULL</t>
        </is>
      </c>
      <c r="G1978" t="inlineStr">
        <is>
          <t>NULL</t>
        </is>
      </c>
      <c r="H1978" t="inlineStr">
        <is>
          <t>NULL</t>
        </is>
      </c>
      <c r="I1978" t="inlineStr">
        <is>
          <t>YES!PK__info_dat__3213E83F25800C71</t>
        </is>
      </c>
      <c r="J1978" t="inlineStr">
        <is>
          <t>YES! 主键相关索引</t>
        </is>
      </c>
      <c r="K1978" t="inlineStr">
        <is>
          <t>YES! 	 id列源备映射正确，源端为int None位	期望更改为int	实际备端为int None位</t>
        </is>
      </c>
    </row>
    <row r="1979">
      <c r="B1979" t="inlineStr">
        <is>
          <t>NULL</t>
        </is>
      </c>
      <c r="C1979" t="inlineStr">
        <is>
          <t>NULL</t>
        </is>
      </c>
      <c r="D1979" t="inlineStr">
        <is>
          <t>NULL</t>
        </is>
      </c>
      <c r="E1979" t="inlineStr">
        <is>
          <t>NULL</t>
        </is>
      </c>
      <c r="F1979" t="inlineStr">
        <is>
          <t>NULL</t>
        </is>
      </c>
      <c r="G1979" t="inlineStr">
        <is>
          <t>NULL</t>
        </is>
      </c>
      <c r="H1979" t="inlineStr">
        <is>
          <t>NULL</t>
        </is>
      </c>
      <c r="I1979" t="inlineStr">
        <is>
          <t>NULL</t>
        </is>
      </c>
      <c r="J1979" t="inlineStr">
        <is>
          <t>NULL</t>
        </is>
      </c>
      <c r="K1979" t="inlineStr">
        <is>
          <t>YES! 	 c_date列源备映射正确，源端为date None位	期望更改为date	实际备端为date None位</t>
        </is>
      </c>
    </row>
    <row r="1980">
      <c r="A1980" t="inlineStr">
        <is>
          <t>info_geography_dml_single_pk</t>
        </is>
      </c>
      <c r="K1980" t="inlineStr">
        <is>
          <t>[0;34m info_geography_dml_single_pk [0m源备字段数相同，源端字段：2 	备端字段2</t>
        </is>
      </c>
      <c r="W1980" t="inlineStr">
        <is>
          <t>YES 源备无差异</t>
        </is>
      </c>
      <c r="X1980">
        <f>A1980</f>
        <v/>
      </c>
    </row>
    <row r="1981">
      <c r="B1981" t="inlineStr">
        <is>
          <t>YES</t>
        </is>
      </c>
      <c r="C1981" t="inlineStr">
        <is>
          <t>NULL</t>
        </is>
      </c>
      <c r="D1981" t="inlineStr">
        <is>
          <t>NULL</t>
        </is>
      </c>
      <c r="E1981" t="inlineStr">
        <is>
          <t>NULL</t>
        </is>
      </c>
      <c r="F1981" t="inlineStr">
        <is>
          <t>NULL</t>
        </is>
      </c>
      <c r="G1981" t="inlineStr">
        <is>
          <t>NULL</t>
        </is>
      </c>
      <c r="H1981" t="inlineStr">
        <is>
          <t>NULL</t>
        </is>
      </c>
      <c r="I1981" t="inlineStr">
        <is>
          <t>YES!PK__info_geo__3213E83FFD6B584B</t>
        </is>
      </c>
      <c r="J1981" t="inlineStr">
        <is>
          <t>YES! 主键相关索引</t>
        </is>
      </c>
      <c r="K1981" t="inlineStr">
        <is>
          <t>YES! 	 id列源备映射正确，源端为int None位	期望更改为int	实际备端为int None位</t>
        </is>
      </c>
    </row>
    <row r="1982">
      <c r="B1982" t="inlineStr">
        <is>
          <t>NULL</t>
        </is>
      </c>
      <c r="C1982" t="inlineStr">
        <is>
          <t>NULL</t>
        </is>
      </c>
      <c r="D1982" t="inlineStr">
        <is>
          <t>NULL</t>
        </is>
      </c>
      <c r="E1982" t="inlineStr">
        <is>
          <t>NULL</t>
        </is>
      </c>
      <c r="F1982" t="inlineStr">
        <is>
          <t>NULL</t>
        </is>
      </c>
      <c r="G1982" t="inlineStr">
        <is>
          <t>NULL</t>
        </is>
      </c>
      <c r="H1982" t="inlineStr">
        <is>
          <t>NULL</t>
        </is>
      </c>
      <c r="I1982" t="inlineStr">
        <is>
          <t>NULL</t>
        </is>
      </c>
      <c r="J1982" t="inlineStr">
        <is>
          <t>NULL</t>
        </is>
      </c>
      <c r="K1982" t="inlineStr">
        <is>
          <t>YES! 	 c_geography列源备映射正确，源端为geography -1位	期望更改为text	实际备端为text 65535位</t>
        </is>
      </c>
    </row>
    <row r="1983">
      <c r="A1983" t="inlineStr">
        <is>
          <t>info_binary_dml_batch1_pk</t>
        </is>
      </c>
      <c r="K1983" t="inlineStr">
        <is>
          <t>[0;34m info_binary_dml_batch1_pk [0m源备字段数相同，源端字段：4 	备端字段4</t>
        </is>
      </c>
      <c r="W1983" t="inlineStr">
        <is>
          <t>YES 源备无差异</t>
        </is>
      </c>
      <c r="X1983">
        <f>A1983</f>
        <v/>
      </c>
    </row>
    <row r="1984">
      <c r="B1984" t="inlineStr">
        <is>
          <t>YES</t>
        </is>
      </c>
      <c r="C1984" t="inlineStr">
        <is>
          <t>NULL</t>
        </is>
      </c>
      <c r="D1984" t="inlineStr">
        <is>
          <t>NULL</t>
        </is>
      </c>
      <c r="E1984" t="inlineStr">
        <is>
          <t>NULL</t>
        </is>
      </c>
      <c r="F1984" t="inlineStr">
        <is>
          <t>NULL</t>
        </is>
      </c>
      <c r="G1984" t="inlineStr">
        <is>
          <t>NULL</t>
        </is>
      </c>
      <c r="H1984" t="inlineStr">
        <is>
          <t>NULL</t>
        </is>
      </c>
      <c r="I1984" t="inlineStr">
        <is>
          <t>YES!PK__info_bin__3213E83FDCC0460B</t>
        </is>
      </c>
      <c r="J1984" t="inlineStr">
        <is>
          <t>YES! 主键相关索引</t>
        </is>
      </c>
      <c r="K1984" t="inlineStr">
        <is>
          <t>YES! 	 id列源备映射正确，源端为int None位	期望更改为int	实际备端为int None位</t>
        </is>
      </c>
    </row>
    <row r="1985">
      <c r="B1985" t="inlineStr">
        <is>
          <t>NULL</t>
        </is>
      </c>
      <c r="C1985" t="inlineStr">
        <is>
          <t>NULL</t>
        </is>
      </c>
      <c r="D1985" t="inlineStr">
        <is>
          <t>NULL</t>
        </is>
      </c>
      <c r="E1985" t="inlineStr">
        <is>
          <t>NULL</t>
        </is>
      </c>
      <c r="F1985" t="inlineStr">
        <is>
          <t>NULL</t>
        </is>
      </c>
      <c r="G1985" t="inlineStr">
        <is>
          <t>NULL</t>
        </is>
      </c>
      <c r="H1985" t="inlineStr">
        <is>
          <t>NULL</t>
        </is>
      </c>
      <c r="I1985" t="inlineStr">
        <is>
          <t>NULL</t>
        </is>
      </c>
      <c r="J1985" t="inlineStr">
        <is>
          <t>NULL</t>
        </is>
      </c>
      <c r="K1985" t="inlineStr">
        <is>
          <t>YES! 	 c_binary列源备映射正确，源端为binary 1位	期望更改为binary(n)	实际备端为binary 1位</t>
        </is>
      </c>
    </row>
    <row r="1986">
      <c r="B1986" t="inlineStr">
        <is>
          <t>NULL</t>
        </is>
      </c>
      <c r="C1986" t="inlineStr">
        <is>
          <t>NULL</t>
        </is>
      </c>
      <c r="D1986" t="inlineStr">
        <is>
          <t>NULL</t>
        </is>
      </c>
      <c r="E1986" t="inlineStr">
        <is>
          <t>NULL</t>
        </is>
      </c>
      <c r="F1986" t="inlineStr">
        <is>
          <t>NULL</t>
        </is>
      </c>
      <c r="G1986" t="inlineStr">
        <is>
          <t>NULL</t>
        </is>
      </c>
      <c r="H1986" t="inlineStr">
        <is>
          <t>NULL</t>
        </is>
      </c>
      <c r="I1986" t="inlineStr">
        <is>
          <t>NULL</t>
        </is>
      </c>
      <c r="J1986" t="inlineStr">
        <is>
          <t>NULL</t>
        </is>
      </c>
      <c r="K1986" t="inlineStr">
        <is>
          <t>YES! 	 c_binary_20列源备映射正确，源端为binary 20位	期望更改为binary(n)	实际备端为binary 20位</t>
        </is>
      </c>
    </row>
    <row r="1987">
      <c r="B1987" t="inlineStr">
        <is>
          <t>NULL</t>
        </is>
      </c>
      <c r="C1987" t="inlineStr">
        <is>
          <t>NULL</t>
        </is>
      </c>
      <c r="D1987" t="inlineStr">
        <is>
          <t>NULL</t>
        </is>
      </c>
      <c r="E1987" t="inlineStr">
        <is>
          <t>NULL</t>
        </is>
      </c>
      <c r="F1987" t="inlineStr">
        <is>
          <t>NULL</t>
        </is>
      </c>
      <c r="G1987" t="inlineStr">
        <is>
          <t>NULL</t>
        </is>
      </c>
      <c r="H1987" t="inlineStr">
        <is>
          <t>NULL</t>
        </is>
      </c>
      <c r="I1987" t="inlineStr">
        <is>
          <t>NULL</t>
        </is>
      </c>
      <c r="J1987" t="inlineStr">
        <is>
          <t>NULL</t>
        </is>
      </c>
      <c r="K1987" t="inlineStr">
        <is>
          <t>YES! 	 c_binary_8000列源备映射正确，源端为binary 8000位	期望更改为longblob	实际备端为longblob 4294967295位</t>
        </is>
      </c>
    </row>
    <row r="1988">
      <c r="A1988" t="inlineStr">
        <is>
          <t>info_date_dml_batch1_pk</t>
        </is>
      </c>
      <c r="K1988" t="inlineStr">
        <is>
          <t>[0;34m info_date_dml_batch1_pk [0m源备字段数相同，源端字段：2 	备端字段2</t>
        </is>
      </c>
      <c r="W1988" t="inlineStr">
        <is>
          <t>YES 源备无差异</t>
        </is>
      </c>
      <c r="X1988">
        <f>A1988</f>
        <v/>
      </c>
    </row>
    <row r="1989">
      <c r="B1989" t="inlineStr">
        <is>
          <t>YES</t>
        </is>
      </c>
      <c r="C1989" t="inlineStr">
        <is>
          <t>NULL</t>
        </is>
      </c>
      <c r="D1989" t="inlineStr">
        <is>
          <t>NULL</t>
        </is>
      </c>
      <c r="E1989" t="inlineStr">
        <is>
          <t>NULL</t>
        </is>
      </c>
      <c r="F1989" t="inlineStr">
        <is>
          <t>NULL</t>
        </is>
      </c>
      <c r="G1989" t="inlineStr">
        <is>
          <t>NULL</t>
        </is>
      </c>
      <c r="H1989" t="inlineStr">
        <is>
          <t>NULL</t>
        </is>
      </c>
      <c r="I1989" t="inlineStr">
        <is>
          <t>YES!PK__info_dat__3213E83F49C2F59F</t>
        </is>
      </c>
      <c r="J1989" t="inlineStr">
        <is>
          <t>YES! 主键相关索引</t>
        </is>
      </c>
      <c r="K1989" t="inlineStr">
        <is>
          <t>YES! 	 id列源备映射正确，源端为int None位	期望更改为int	实际备端为int None位</t>
        </is>
      </c>
    </row>
    <row r="1990">
      <c r="B1990" t="inlineStr">
        <is>
          <t>NULL</t>
        </is>
      </c>
      <c r="C1990" t="inlineStr">
        <is>
          <t>NULL</t>
        </is>
      </c>
      <c r="D1990" t="inlineStr">
        <is>
          <t>NULL</t>
        </is>
      </c>
      <c r="E1990" t="inlineStr">
        <is>
          <t>NULL</t>
        </is>
      </c>
      <c r="F1990" t="inlineStr">
        <is>
          <t>NULL</t>
        </is>
      </c>
      <c r="G1990" t="inlineStr">
        <is>
          <t>NULL</t>
        </is>
      </c>
      <c r="H1990" t="inlineStr">
        <is>
          <t>NULL</t>
        </is>
      </c>
      <c r="I1990" t="inlineStr">
        <is>
          <t>NULL</t>
        </is>
      </c>
      <c r="J1990" t="inlineStr">
        <is>
          <t>NULL</t>
        </is>
      </c>
      <c r="K1990" t="inlineStr">
        <is>
          <t>YES! 	 c_date列源备映射正确，源端为date None位	期望更改为date	实际备端为date None位</t>
        </is>
      </c>
    </row>
    <row r="1991">
      <c r="A1991" t="inlineStr">
        <is>
          <t>info_varbinary_dml_batch1_pk_irp1</t>
        </is>
      </c>
      <c r="K1991" t="inlineStr">
        <is>
          <t>[0;34m info_varbinary_dml_batch1_pk_irp1 [0m源备字段数相同，源端字段：4 	备端字段4</t>
        </is>
      </c>
      <c r="W1991" t="inlineStr">
        <is>
          <t>YES 源备无差异</t>
        </is>
      </c>
      <c r="X1991">
        <f>A1991</f>
        <v/>
      </c>
    </row>
    <row r="1992">
      <c r="B1992" t="inlineStr">
        <is>
          <t>YES</t>
        </is>
      </c>
      <c r="C1992" t="inlineStr">
        <is>
          <t>NULL</t>
        </is>
      </c>
      <c r="D1992" t="inlineStr">
        <is>
          <t>NULL</t>
        </is>
      </c>
      <c r="E1992" t="inlineStr">
        <is>
          <t>NULL</t>
        </is>
      </c>
      <c r="F1992" t="inlineStr">
        <is>
          <t>NULL</t>
        </is>
      </c>
      <c r="G1992" t="inlineStr">
        <is>
          <t>NULL</t>
        </is>
      </c>
      <c r="H1992" t="inlineStr">
        <is>
          <t>NULL</t>
        </is>
      </c>
      <c r="I1992" t="inlineStr">
        <is>
          <t>YES!PK__info_var__3213E83F1C6883B8</t>
        </is>
      </c>
      <c r="J1992" t="inlineStr">
        <is>
          <t>YES! 主键相关索引</t>
        </is>
      </c>
      <c r="K1992" t="inlineStr">
        <is>
          <t>YES! 	 id列源备映射正确，源端为int None位	期望更改为int	实际备端为int None位</t>
        </is>
      </c>
    </row>
    <row r="1993">
      <c r="B1993" t="inlineStr">
        <is>
          <t>NULL</t>
        </is>
      </c>
      <c r="C1993" t="inlineStr">
        <is>
          <t>NULL</t>
        </is>
      </c>
      <c r="D1993" t="inlineStr">
        <is>
          <t>NULL</t>
        </is>
      </c>
      <c r="E1993" t="inlineStr">
        <is>
          <t>NULL</t>
        </is>
      </c>
      <c r="F1993" t="inlineStr">
        <is>
          <t>NULL</t>
        </is>
      </c>
      <c r="G1993" t="inlineStr">
        <is>
          <t>NULL</t>
        </is>
      </c>
      <c r="H1993" t="inlineStr">
        <is>
          <t>NULL</t>
        </is>
      </c>
      <c r="I1993" t="inlineStr">
        <is>
          <t>NULL</t>
        </is>
      </c>
      <c r="J1993" t="inlineStr">
        <is>
          <t>NULL</t>
        </is>
      </c>
      <c r="K1993" t="inlineStr">
        <is>
          <t>YES! 	 c_varbinary列源备映射正确，源端为varbinary 1位	期望更改为varbinary(n)	实际备端为varbinary 1位</t>
        </is>
      </c>
    </row>
    <row r="1994">
      <c r="B1994" t="inlineStr">
        <is>
          <t>NULL</t>
        </is>
      </c>
      <c r="C1994" t="inlineStr">
        <is>
          <t>NULL</t>
        </is>
      </c>
      <c r="D1994" t="inlineStr">
        <is>
          <t>NULL</t>
        </is>
      </c>
      <c r="E1994" t="inlineStr">
        <is>
          <t>NULL</t>
        </is>
      </c>
      <c r="F1994" t="inlineStr">
        <is>
          <t>NULL</t>
        </is>
      </c>
      <c r="G1994" t="inlineStr">
        <is>
          <t>NULL</t>
        </is>
      </c>
      <c r="H1994" t="inlineStr">
        <is>
          <t>NULL</t>
        </is>
      </c>
      <c r="I1994" t="inlineStr">
        <is>
          <t>NULL</t>
        </is>
      </c>
      <c r="J1994" t="inlineStr">
        <is>
          <t>NULL</t>
        </is>
      </c>
      <c r="K1994" t="inlineStr">
        <is>
          <t>YES! 	 c_varbinary_100列源备映射正确，源端为varbinary 100位	期望更改为varbinary(n)	实际备端为varbinary 100位</t>
        </is>
      </c>
    </row>
    <row r="1995">
      <c r="B1995" t="inlineStr">
        <is>
          <t>NULL</t>
        </is>
      </c>
      <c r="C1995" t="inlineStr">
        <is>
          <t>NULL</t>
        </is>
      </c>
      <c r="D1995" t="inlineStr">
        <is>
          <t>NULL</t>
        </is>
      </c>
      <c r="E1995" t="inlineStr">
        <is>
          <t>NULL</t>
        </is>
      </c>
      <c r="F1995" t="inlineStr">
        <is>
          <t>NULL</t>
        </is>
      </c>
      <c r="G1995" t="inlineStr">
        <is>
          <t>NULL</t>
        </is>
      </c>
      <c r="H1995" t="inlineStr">
        <is>
          <t>NULL</t>
        </is>
      </c>
      <c r="I1995" t="inlineStr">
        <is>
          <t>NULL</t>
        </is>
      </c>
      <c r="J1995" t="inlineStr">
        <is>
          <t>NULL</t>
        </is>
      </c>
      <c r="K1995" t="inlineStr">
        <is>
          <t>YES! 	 c_varbinary_8000列源备映射正确，源端为varbinary 8000位	期望更改为longblob	实际备端为longblob 4294967295位</t>
        </is>
      </c>
    </row>
    <row r="1996">
      <c r="A1996" t="inlineStr">
        <is>
          <t>info_time_dml_batch1_pk_irp1</t>
        </is>
      </c>
      <c r="K1996" t="inlineStr">
        <is>
          <t>[0;34m info_time_dml_batch1_pk_irp1 [0m源备字段数相同，源端字段：9 	备端字段9</t>
        </is>
      </c>
      <c r="W1996" t="inlineStr">
        <is>
          <t>YES 源备无差异</t>
        </is>
      </c>
      <c r="X1996">
        <f>A1996</f>
        <v/>
      </c>
    </row>
    <row r="1997">
      <c r="B1997" t="inlineStr">
        <is>
          <t>YES</t>
        </is>
      </c>
      <c r="C1997" t="inlineStr">
        <is>
          <t>NULL</t>
        </is>
      </c>
      <c r="D1997" t="inlineStr">
        <is>
          <t>NULL</t>
        </is>
      </c>
      <c r="E1997" t="inlineStr">
        <is>
          <t>NULL</t>
        </is>
      </c>
      <c r="F1997" t="inlineStr">
        <is>
          <t>NULL</t>
        </is>
      </c>
      <c r="G1997" t="inlineStr">
        <is>
          <t>NULL</t>
        </is>
      </c>
      <c r="H1997" t="inlineStr">
        <is>
          <t>NULL</t>
        </is>
      </c>
      <c r="I1997" t="inlineStr">
        <is>
          <t>YES!PK__info_tim__3213E83FE72A75AF</t>
        </is>
      </c>
      <c r="J1997" t="inlineStr">
        <is>
          <t>YES! 主键相关索引</t>
        </is>
      </c>
      <c r="K1997" t="inlineStr">
        <is>
          <t>YES! 	 id列源备映射正确，源端为int None位	期望更改为int	实际备端为int None位</t>
        </is>
      </c>
    </row>
    <row r="1998">
      <c r="B1998" t="inlineStr">
        <is>
          <t>NULL</t>
        </is>
      </c>
      <c r="C1998" t="inlineStr">
        <is>
          <t>NULL</t>
        </is>
      </c>
      <c r="D1998" t="inlineStr">
        <is>
          <t>NULL</t>
        </is>
      </c>
      <c r="E1998" t="inlineStr">
        <is>
          <t>NULL</t>
        </is>
      </c>
      <c r="F1998" t="inlineStr">
        <is>
          <t>NULL</t>
        </is>
      </c>
      <c r="G1998" t="inlineStr">
        <is>
          <t>NULL</t>
        </is>
      </c>
      <c r="H1998" t="inlineStr">
        <is>
          <t>NULL</t>
        </is>
      </c>
      <c r="I1998" t="inlineStr">
        <is>
          <t>NULL</t>
        </is>
      </c>
      <c r="J1998" t="inlineStr">
        <is>
          <t>NULL</t>
        </is>
      </c>
      <c r="K1998" t="inlineStr">
        <is>
          <t>[0;32m YES! [0m 	 c_time0列源备映射正确，源端为time None位	期望更改为varchar(20)	实际备端为varchar 80位	位数精度不存在，通过长度比较</t>
        </is>
      </c>
    </row>
    <row r="1999">
      <c r="B1999" t="inlineStr">
        <is>
          <t>NULL</t>
        </is>
      </c>
      <c r="C1999" t="inlineStr">
        <is>
          <t>NULL</t>
        </is>
      </c>
      <c r="D1999" t="inlineStr">
        <is>
          <t>NULL</t>
        </is>
      </c>
      <c r="E1999" t="inlineStr">
        <is>
          <t>NULL</t>
        </is>
      </c>
      <c r="F1999" t="inlineStr">
        <is>
          <t>NULL</t>
        </is>
      </c>
      <c r="G1999" t="inlineStr">
        <is>
          <t>NULL</t>
        </is>
      </c>
      <c r="H1999" t="inlineStr">
        <is>
          <t>NULL</t>
        </is>
      </c>
      <c r="I1999" t="inlineStr">
        <is>
          <t>NULL</t>
        </is>
      </c>
      <c r="J1999" t="inlineStr">
        <is>
          <t>NULL</t>
        </is>
      </c>
      <c r="K1999" t="inlineStr">
        <is>
          <t>[0;32m YES! [0m 	 c_time1列源备映射正确，源端为time None位	期望更改为varchar(20)	实际备端为varchar 80位	位数精度不存在，通过长度比较</t>
        </is>
      </c>
    </row>
    <row r="2000">
      <c r="B2000" t="inlineStr">
        <is>
          <t>NULL</t>
        </is>
      </c>
      <c r="C2000" t="inlineStr">
        <is>
          <t>NULL</t>
        </is>
      </c>
      <c r="D2000" t="inlineStr">
        <is>
          <t>NULL</t>
        </is>
      </c>
      <c r="E2000" t="inlineStr">
        <is>
          <t>NULL</t>
        </is>
      </c>
      <c r="F2000" t="inlineStr">
        <is>
          <t>NULL</t>
        </is>
      </c>
      <c r="G2000" t="inlineStr">
        <is>
          <t>NULL</t>
        </is>
      </c>
      <c r="H2000" t="inlineStr">
        <is>
          <t>NULL</t>
        </is>
      </c>
      <c r="I2000" t="inlineStr">
        <is>
          <t>NULL</t>
        </is>
      </c>
      <c r="J2000" t="inlineStr">
        <is>
          <t>NULL</t>
        </is>
      </c>
      <c r="K2000" t="inlineStr">
        <is>
          <t>[0;32m YES! [0m 	 c_time2列源备映射正确，源端为time None位	期望更改为varchar(20)	实际备端为varchar 80位	位数精度不存在，通过长度比较</t>
        </is>
      </c>
    </row>
    <row r="2001">
      <c r="B2001" t="inlineStr">
        <is>
          <t>NULL</t>
        </is>
      </c>
      <c r="C2001" t="inlineStr">
        <is>
          <t>NULL</t>
        </is>
      </c>
      <c r="D2001" t="inlineStr">
        <is>
          <t>NULL</t>
        </is>
      </c>
      <c r="E2001" t="inlineStr">
        <is>
          <t>NULL</t>
        </is>
      </c>
      <c r="F2001" t="inlineStr">
        <is>
          <t>NULL</t>
        </is>
      </c>
      <c r="G2001" t="inlineStr">
        <is>
          <t>NULL</t>
        </is>
      </c>
      <c r="H2001" t="inlineStr">
        <is>
          <t>NULL</t>
        </is>
      </c>
      <c r="I2001" t="inlineStr">
        <is>
          <t>NULL</t>
        </is>
      </c>
      <c r="J2001" t="inlineStr">
        <is>
          <t>NULL</t>
        </is>
      </c>
      <c r="K2001" t="inlineStr">
        <is>
          <t>[0;32m YES! [0m 	 c_time3列源备映射正确，源端为time None位	期望更改为varchar(20)	实际备端为varchar 80位	位数精度不存在，通过长度比较</t>
        </is>
      </c>
    </row>
    <row r="2002">
      <c r="B2002" t="inlineStr">
        <is>
          <t>NULL</t>
        </is>
      </c>
      <c r="C2002" t="inlineStr">
        <is>
          <t>NULL</t>
        </is>
      </c>
      <c r="D2002" t="inlineStr">
        <is>
          <t>NULL</t>
        </is>
      </c>
      <c r="E2002" t="inlineStr">
        <is>
          <t>NULL</t>
        </is>
      </c>
      <c r="F2002" t="inlineStr">
        <is>
          <t>NULL</t>
        </is>
      </c>
      <c r="G2002" t="inlineStr">
        <is>
          <t>NULL</t>
        </is>
      </c>
      <c r="H2002" t="inlineStr">
        <is>
          <t>NULL</t>
        </is>
      </c>
      <c r="I2002" t="inlineStr">
        <is>
          <t>NULL</t>
        </is>
      </c>
      <c r="J2002" t="inlineStr">
        <is>
          <t>NULL</t>
        </is>
      </c>
      <c r="K2002" t="inlineStr">
        <is>
          <t>[0;32m YES! [0m 	 c_time4列源备映射正确，源端为time None位	期望更改为varchar(20)	实际备端为varchar 80位	位数精度不存在，通过长度比较</t>
        </is>
      </c>
    </row>
    <row r="2003">
      <c r="B2003" t="inlineStr">
        <is>
          <t>NULL</t>
        </is>
      </c>
      <c r="C2003" t="inlineStr">
        <is>
          <t>NULL</t>
        </is>
      </c>
      <c r="D2003" t="inlineStr">
        <is>
          <t>NULL</t>
        </is>
      </c>
      <c r="E2003" t="inlineStr">
        <is>
          <t>NULL</t>
        </is>
      </c>
      <c r="F2003" t="inlineStr">
        <is>
          <t>NULL</t>
        </is>
      </c>
      <c r="G2003" t="inlineStr">
        <is>
          <t>NULL</t>
        </is>
      </c>
      <c r="H2003" t="inlineStr">
        <is>
          <t>NULL</t>
        </is>
      </c>
      <c r="I2003" t="inlineStr">
        <is>
          <t>NULL</t>
        </is>
      </c>
      <c r="J2003" t="inlineStr">
        <is>
          <t>NULL</t>
        </is>
      </c>
      <c r="K2003" t="inlineStr">
        <is>
          <t>[0;32m YES! [0m 	 c_time5列源备映射正确，源端为time None位	期望更改为varchar(20)	实际备端为varchar 80位	位数精度不存在，通过长度比较</t>
        </is>
      </c>
    </row>
    <row r="2004">
      <c r="B2004" t="inlineStr">
        <is>
          <t>NULL</t>
        </is>
      </c>
      <c r="C2004" t="inlineStr">
        <is>
          <t>NULL</t>
        </is>
      </c>
      <c r="D2004" t="inlineStr">
        <is>
          <t>NULL</t>
        </is>
      </c>
      <c r="E2004" t="inlineStr">
        <is>
          <t>NULL</t>
        </is>
      </c>
      <c r="F2004" t="inlineStr">
        <is>
          <t>NULL</t>
        </is>
      </c>
      <c r="G2004" t="inlineStr">
        <is>
          <t>NULL</t>
        </is>
      </c>
      <c r="H2004" t="inlineStr">
        <is>
          <t>NULL</t>
        </is>
      </c>
      <c r="I2004" t="inlineStr">
        <is>
          <t>NULL</t>
        </is>
      </c>
      <c r="J2004" t="inlineStr">
        <is>
          <t>NULL</t>
        </is>
      </c>
      <c r="K2004" t="inlineStr">
        <is>
          <t>[0;32m YES! [0m 	 c_time6列源备映射正确，源端为time None位	期望更改为varchar(20)	实际备端为varchar 80位	位数精度不存在，通过长度比较</t>
        </is>
      </c>
    </row>
    <row r="2005">
      <c r="B2005" t="inlineStr">
        <is>
          <t>NULL</t>
        </is>
      </c>
      <c r="C2005" t="inlineStr">
        <is>
          <t>NULL</t>
        </is>
      </c>
      <c r="D2005" t="inlineStr">
        <is>
          <t>NULL</t>
        </is>
      </c>
      <c r="E2005" t="inlineStr">
        <is>
          <t>NULL</t>
        </is>
      </c>
      <c r="F2005" t="inlineStr">
        <is>
          <t>NULL</t>
        </is>
      </c>
      <c r="G2005" t="inlineStr">
        <is>
          <t>NULL</t>
        </is>
      </c>
      <c r="H2005" t="inlineStr">
        <is>
          <t>NULL</t>
        </is>
      </c>
      <c r="I2005" t="inlineStr">
        <is>
          <t>NULL</t>
        </is>
      </c>
      <c r="J2005" t="inlineStr">
        <is>
          <t>NULL</t>
        </is>
      </c>
      <c r="K2005" t="inlineStr">
        <is>
          <t>[0;32m YES! [0m 	 c_time列源备映射正确，源端为time None位	期望更改为varchar(20)	实际备端为varchar 80位	位数精度不存在，通过长度比较</t>
        </is>
      </c>
    </row>
    <row r="2006">
      <c r="A2006" t="inlineStr">
        <is>
          <t>info_geometry_dml_single_pk_irp</t>
        </is>
      </c>
      <c r="K2006" t="inlineStr">
        <is>
          <t>[0;34m info_geometry_dml_single_pk_irp [0m源备字段数相同，源端字段：2 	备端字段2</t>
        </is>
      </c>
      <c r="W2006" t="inlineStr">
        <is>
          <t>YES 源备无差异</t>
        </is>
      </c>
      <c r="X2006">
        <f>A2006</f>
        <v/>
      </c>
    </row>
    <row r="2007">
      <c r="B2007" t="inlineStr">
        <is>
          <t>YES</t>
        </is>
      </c>
      <c r="C2007" t="inlineStr">
        <is>
          <t>NULL</t>
        </is>
      </c>
      <c r="D2007" t="inlineStr">
        <is>
          <t>NULL</t>
        </is>
      </c>
      <c r="E2007" t="inlineStr">
        <is>
          <t>NULL</t>
        </is>
      </c>
      <c r="F2007" t="inlineStr">
        <is>
          <t>NULL</t>
        </is>
      </c>
      <c r="G2007" t="inlineStr">
        <is>
          <t>NULL</t>
        </is>
      </c>
      <c r="H2007" t="inlineStr">
        <is>
          <t>NULL</t>
        </is>
      </c>
      <c r="I2007" t="inlineStr">
        <is>
          <t>YES!PK__info_geo__3213E83F064D017F</t>
        </is>
      </c>
      <c r="J2007" t="inlineStr">
        <is>
          <t>YES! 主键相关索引</t>
        </is>
      </c>
      <c r="K2007" t="inlineStr">
        <is>
          <t>YES! 	 id列源备映射正确，源端为int None位	期望更改为int	实际备端为int None位</t>
        </is>
      </c>
    </row>
    <row r="2008">
      <c r="B2008" t="inlineStr">
        <is>
          <t>NULL</t>
        </is>
      </c>
      <c r="C2008" t="inlineStr">
        <is>
          <t>NULL</t>
        </is>
      </c>
      <c r="D2008" t="inlineStr">
        <is>
          <t>NULL</t>
        </is>
      </c>
      <c r="E2008" t="inlineStr">
        <is>
          <t>NULL</t>
        </is>
      </c>
      <c r="F2008" t="inlineStr">
        <is>
          <t>NULL</t>
        </is>
      </c>
      <c r="G2008" t="inlineStr">
        <is>
          <t>NULL</t>
        </is>
      </c>
      <c r="H2008" t="inlineStr">
        <is>
          <t>NULL</t>
        </is>
      </c>
      <c r="I2008" t="inlineStr">
        <is>
          <t>NULL</t>
        </is>
      </c>
      <c r="J2008" t="inlineStr">
        <is>
          <t>NULL</t>
        </is>
      </c>
      <c r="K2008" t="inlineStr">
        <is>
          <t>YES! 	 c_geometry列源备映射正确，源端为geometry -1位	期望更改为text	实际备端为text 65535位</t>
        </is>
      </c>
    </row>
    <row r="2009">
      <c r="A2009" t="inlineStr">
        <is>
          <t>info_binary_dml_batch1_pk_irp2</t>
        </is>
      </c>
      <c r="K2009" t="inlineStr">
        <is>
          <t>[0;34m info_binary_dml_batch1_pk_irp2 [0m源备字段数相同，源端字段：4 	备端字段4</t>
        </is>
      </c>
      <c r="W2009" t="inlineStr">
        <is>
          <t>YES 源备无差异</t>
        </is>
      </c>
      <c r="X2009">
        <f>A2009</f>
        <v/>
      </c>
    </row>
    <row r="2010">
      <c r="B2010" t="inlineStr">
        <is>
          <t>YES</t>
        </is>
      </c>
      <c r="C2010" t="inlineStr">
        <is>
          <t>NULL</t>
        </is>
      </c>
      <c r="D2010" t="inlineStr">
        <is>
          <t>NULL</t>
        </is>
      </c>
      <c r="E2010" t="inlineStr">
        <is>
          <t>NULL</t>
        </is>
      </c>
      <c r="F2010" t="inlineStr">
        <is>
          <t>NULL</t>
        </is>
      </c>
      <c r="G2010" t="inlineStr">
        <is>
          <t>NULL</t>
        </is>
      </c>
      <c r="H2010" t="inlineStr">
        <is>
          <t>NULL</t>
        </is>
      </c>
      <c r="I2010" t="inlineStr">
        <is>
          <t>YES!PK__info_bin__3213E83F477BD939</t>
        </is>
      </c>
      <c r="J2010" t="inlineStr">
        <is>
          <t>YES! 主键相关索引</t>
        </is>
      </c>
      <c r="K2010" t="inlineStr">
        <is>
          <t>YES! 	 id列源备映射正确，源端为int None位	期望更改为int	实际备端为int None位</t>
        </is>
      </c>
    </row>
    <row r="2011">
      <c r="B2011" t="inlineStr">
        <is>
          <t>NULL</t>
        </is>
      </c>
      <c r="C2011" t="inlineStr">
        <is>
          <t>NULL</t>
        </is>
      </c>
      <c r="D2011" t="inlineStr">
        <is>
          <t>NULL</t>
        </is>
      </c>
      <c r="E2011" t="inlineStr">
        <is>
          <t>NULL</t>
        </is>
      </c>
      <c r="F2011" t="inlineStr">
        <is>
          <t>NULL</t>
        </is>
      </c>
      <c r="G2011" t="inlineStr">
        <is>
          <t>NULL</t>
        </is>
      </c>
      <c r="H2011" t="inlineStr">
        <is>
          <t>NULL</t>
        </is>
      </c>
      <c r="I2011" t="inlineStr">
        <is>
          <t>NULL</t>
        </is>
      </c>
      <c r="J2011" t="inlineStr">
        <is>
          <t>NULL</t>
        </is>
      </c>
      <c r="K2011" t="inlineStr">
        <is>
          <t>YES! 	 c_binary列源备映射正确，源端为binary 1位	期望更改为binary(n)	实际备端为binary 1位</t>
        </is>
      </c>
    </row>
    <row r="2012">
      <c r="B2012" t="inlineStr">
        <is>
          <t>NULL</t>
        </is>
      </c>
      <c r="C2012" t="inlineStr">
        <is>
          <t>NULL</t>
        </is>
      </c>
      <c r="D2012" t="inlineStr">
        <is>
          <t>NULL</t>
        </is>
      </c>
      <c r="E2012" t="inlineStr">
        <is>
          <t>NULL</t>
        </is>
      </c>
      <c r="F2012" t="inlineStr">
        <is>
          <t>NULL</t>
        </is>
      </c>
      <c r="G2012" t="inlineStr">
        <is>
          <t>NULL</t>
        </is>
      </c>
      <c r="H2012" t="inlineStr">
        <is>
          <t>NULL</t>
        </is>
      </c>
      <c r="I2012" t="inlineStr">
        <is>
          <t>NULL</t>
        </is>
      </c>
      <c r="J2012" t="inlineStr">
        <is>
          <t>NULL</t>
        </is>
      </c>
      <c r="K2012" t="inlineStr">
        <is>
          <t>YES! 	 c_binary_20列源备映射正确，源端为binary 20位	期望更改为binary(n)	实际备端为binary 20位</t>
        </is>
      </c>
    </row>
    <row r="2013">
      <c r="B2013" t="inlineStr">
        <is>
          <t>NULL</t>
        </is>
      </c>
      <c r="C2013" t="inlineStr">
        <is>
          <t>NULL</t>
        </is>
      </c>
      <c r="D2013" t="inlineStr">
        <is>
          <t>NULL</t>
        </is>
      </c>
      <c r="E2013" t="inlineStr">
        <is>
          <t>NULL</t>
        </is>
      </c>
      <c r="F2013" t="inlineStr">
        <is>
          <t>NULL</t>
        </is>
      </c>
      <c r="G2013" t="inlineStr">
        <is>
          <t>NULL</t>
        </is>
      </c>
      <c r="H2013" t="inlineStr">
        <is>
          <t>NULL</t>
        </is>
      </c>
      <c r="I2013" t="inlineStr">
        <is>
          <t>NULL</t>
        </is>
      </c>
      <c r="J2013" t="inlineStr">
        <is>
          <t>NULL</t>
        </is>
      </c>
      <c r="K2013" t="inlineStr">
        <is>
          <t>YES! 	 c_binary_8000列源备映射正确，源端为binary 8000位	期望更改为longblob	实际备端为longblob 4294967295位</t>
        </is>
      </c>
    </row>
    <row r="2014">
      <c r="A2014" t="inlineStr">
        <is>
          <t>info_varbinary_dml_batch2_pk_irp1</t>
        </is>
      </c>
      <c r="K2014" t="inlineStr">
        <is>
          <t>[0;34m info_varbinary_dml_batch2_pk_irp1 [0m源备字段数相同，源端字段：4 	备端字段4</t>
        </is>
      </c>
      <c r="W2014" t="inlineStr">
        <is>
          <t>YES 源备无差异</t>
        </is>
      </c>
      <c r="X2014">
        <f>A2014</f>
        <v/>
      </c>
    </row>
    <row r="2015">
      <c r="B2015" t="inlineStr">
        <is>
          <t>YES</t>
        </is>
      </c>
      <c r="C2015" t="inlineStr">
        <is>
          <t>NULL</t>
        </is>
      </c>
      <c r="D2015" t="inlineStr">
        <is>
          <t>NULL</t>
        </is>
      </c>
      <c r="E2015" t="inlineStr">
        <is>
          <t>NULL</t>
        </is>
      </c>
      <c r="F2015" t="inlineStr">
        <is>
          <t>NULL</t>
        </is>
      </c>
      <c r="G2015" t="inlineStr">
        <is>
          <t>NULL</t>
        </is>
      </c>
      <c r="H2015" t="inlineStr">
        <is>
          <t>NULL</t>
        </is>
      </c>
      <c r="I2015" t="inlineStr">
        <is>
          <t>YES!PK__info_var__3213E83F593F6778</t>
        </is>
      </c>
      <c r="J2015" t="inlineStr">
        <is>
          <t>YES! 主键相关索引</t>
        </is>
      </c>
      <c r="K2015" t="inlineStr">
        <is>
          <t>YES! 	 id列源备映射正确，源端为int None位	期望更改为int	实际备端为int None位</t>
        </is>
      </c>
    </row>
    <row r="2016">
      <c r="B2016" t="inlineStr">
        <is>
          <t>NULL</t>
        </is>
      </c>
      <c r="C2016" t="inlineStr">
        <is>
          <t>NULL</t>
        </is>
      </c>
      <c r="D2016" t="inlineStr">
        <is>
          <t>NULL</t>
        </is>
      </c>
      <c r="E2016" t="inlineStr">
        <is>
          <t>NULL</t>
        </is>
      </c>
      <c r="F2016" t="inlineStr">
        <is>
          <t>NULL</t>
        </is>
      </c>
      <c r="G2016" t="inlineStr">
        <is>
          <t>NULL</t>
        </is>
      </c>
      <c r="H2016" t="inlineStr">
        <is>
          <t>NULL</t>
        </is>
      </c>
      <c r="I2016" t="inlineStr">
        <is>
          <t>NULL</t>
        </is>
      </c>
      <c r="J2016" t="inlineStr">
        <is>
          <t>NULL</t>
        </is>
      </c>
      <c r="K2016" t="inlineStr">
        <is>
          <t>YES! 	 c_varbinary列源备映射正确，源端为varbinary 1位	期望更改为varbinary(n)	实际备端为varbinary 1位</t>
        </is>
      </c>
    </row>
    <row r="2017">
      <c r="B2017" t="inlineStr">
        <is>
          <t>NULL</t>
        </is>
      </c>
      <c r="C2017" t="inlineStr">
        <is>
          <t>NULL</t>
        </is>
      </c>
      <c r="D2017" t="inlineStr">
        <is>
          <t>NULL</t>
        </is>
      </c>
      <c r="E2017" t="inlineStr">
        <is>
          <t>NULL</t>
        </is>
      </c>
      <c r="F2017" t="inlineStr">
        <is>
          <t>NULL</t>
        </is>
      </c>
      <c r="G2017" t="inlineStr">
        <is>
          <t>NULL</t>
        </is>
      </c>
      <c r="H2017" t="inlineStr">
        <is>
          <t>NULL</t>
        </is>
      </c>
      <c r="I2017" t="inlineStr">
        <is>
          <t>NULL</t>
        </is>
      </c>
      <c r="J2017" t="inlineStr">
        <is>
          <t>NULL</t>
        </is>
      </c>
      <c r="K2017" t="inlineStr">
        <is>
          <t>YES! 	 c_varbinary_100列源备映射正确，源端为varbinary 100位	期望更改为varbinary(n)	实际备端为varbinary 100位</t>
        </is>
      </c>
    </row>
    <row r="2018">
      <c r="B2018" t="inlineStr">
        <is>
          <t>NULL</t>
        </is>
      </c>
      <c r="C2018" t="inlineStr">
        <is>
          <t>NULL</t>
        </is>
      </c>
      <c r="D2018" t="inlineStr">
        <is>
          <t>NULL</t>
        </is>
      </c>
      <c r="E2018" t="inlineStr">
        <is>
          <t>NULL</t>
        </is>
      </c>
      <c r="F2018" t="inlineStr">
        <is>
          <t>NULL</t>
        </is>
      </c>
      <c r="G2018" t="inlineStr">
        <is>
          <t>NULL</t>
        </is>
      </c>
      <c r="H2018" t="inlineStr">
        <is>
          <t>NULL</t>
        </is>
      </c>
      <c r="I2018" t="inlineStr">
        <is>
          <t>NULL</t>
        </is>
      </c>
      <c r="J2018" t="inlineStr">
        <is>
          <t>NULL</t>
        </is>
      </c>
      <c r="K2018" t="inlineStr">
        <is>
          <t>YES! 	 c_varbinary_8000列源备映射正确，源端为varbinary 8000位	期望更改为longblob	实际备端为longblob 4294967295位</t>
        </is>
      </c>
    </row>
    <row r="2019">
      <c r="A2019" t="inlineStr">
        <is>
          <t>info_varbinary_dml_batch1_pk_irp2</t>
        </is>
      </c>
      <c r="K2019" t="inlineStr">
        <is>
          <t>[0;34m info_varbinary_dml_batch1_pk_irp2 [0m源备字段数相同，源端字段：4 	备端字段4</t>
        </is>
      </c>
      <c r="W2019" t="inlineStr">
        <is>
          <t>YES 源备无差异</t>
        </is>
      </c>
      <c r="X2019">
        <f>A2019</f>
        <v/>
      </c>
    </row>
    <row r="2020">
      <c r="B2020" t="inlineStr">
        <is>
          <t>YES</t>
        </is>
      </c>
      <c r="C2020" t="inlineStr">
        <is>
          <t>NULL</t>
        </is>
      </c>
      <c r="D2020" t="inlineStr">
        <is>
          <t>NULL</t>
        </is>
      </c>
      <c r="E2020" t="inlineStr">
        <is>
          <t>NULL</t>
        </is>
      </c>
      <c r="F2020" t="inlineStr">
        <is>
          <t>NULL</t>
        </is>
      </c>
      <c r="G2020" t="inlineStr">
        <is>
          <t>NULL</t>
        </is>
      </c>
      <c r="H2020" t="inlineStr">
        <is>
          <t>NULL</t>
        </is>
      </c>
      <c r="I2020" t="inlineStr">
        <is>
          <t>YES!PK__info_var__3213E83F34D14596</t>
        </is>
      </c>
      <c r="J2020" t="inlineStr">
        <is>
          <t>YES! 主键相关索引</t>
        </is>
      </c>
      <c r="K2020" t="inlineStr">
        <is>
          <t>YES! 	 id列源备映射正确，源端为int None位	期望更改为int	实际备端为int None位</t>
        </is>
      </c>
    </row>
    <row r="2021">
      <c r="B2021" t="inlineStr">
        <is>
          <t>NULL</t>
        </is>
      </c>
      <c r="C2021" t="inlineStr">
        <is>
          <t>NULL</t>
        </is>
      </c>
      <c r="D2021" t="inlineStr">
        <is>
          <t>NULL</t>
        </is>
      </c>
      <c r="E2021" t="inlineStr">
        <is>
          <t>NULL</t>
        </is>
      </c>
      <c r="F2021" t="inlineStr">
        <is>
          <t>NULL</t>
        </is>
      </c>
      <c r="G2021" t="inlineStr">
        <is>
          <t>NULL</t>
        </is>
      </c>
      <c r="H2021" t="inlineStr">
        <is>
          <t>NULL</t>
        </is>
      </c>
      <c r="I2021" t="inlineStr">
        <is>
          <t>NULL</t>
        </is>
      </c>
      <c r="J2021" t="inlineStr">
        <is>
          <t>NULL</t>
        </is>
      </c>
      <c r="K2021" t="inlineStr">
        <is>
          <t>YES! 	 c_varbinary列源备映射正确，源端为varbinary 1位	期望更改为varbinary(n)	实际备端为varbinary 1位</t>
        </is>
      </c>
    </row>
    <row r="2022">
      <c r="B2022" t="inlineStr">
        <is>
          <t>NULL</t>
        </is>
      </c>
      <c r="C2022" t="inlineStr">
        <is>
          <t>NULL</t>
        </is>
      </c>
      <c r="D2022" t="inlineStr">
        <is>
          <t>NULL</t>
        </is>
      </c>
      <c r="E2022" t="inlineStr">
        <is>
          <t>NULL</t>
        </is>
      </c>
      <c r="F2022" t="inlineStr">
        <is>
          <t>NULL</t>
        </is>
      </c>
      <c r="G2022" t="inlineStr">
        <is>
          <t>NULL</t>
        </is>
      </c>
      <c r="H2022" t="inlineStr">
        <is>
          <t>NULL</t>
        </is>
      </c>
      <c r="I2022" t="inlineStr">
        <is>
          <t>NULL</t>
        </is>
      </c>
      <c r="J2022" t="inlineStr">
        <is>
          <t>NULL</t>
        </is>
      </c>
      <c r="K2022" t="inlineStr">
        <is>
          <t>YES! 	 c_varbinary_100列源备映射正确，源端为varbinary 100位	期望更改为varbinary(n)	实际备端为varbinary 100位</t>
        </is>
      </c>
    </row>
    <row r="2023">
      <c r="B2023" t="inlineStr">
        <is>
          <t>NULL</t>
        </is>
      </c>
      <c r="C2023" t="inlineStr">
        <is>
          <t>NULL</t>
        </is>
      </c>
      <c r="D2023" t="inlineStr">
        <is>
          <t>NULL</t>
        </is>
      </c>
      <c r="E2023" t="inlineStr">
        <is>
          <t>NULL</t>
        </is>
      </c>
      <c r="F2023" t="inlineStr">
        <is>
          <t>NULL</t>
        </is>
      </c>
      <c r="G2023" t="inlineStr">
        <is>
          <t>NULL</t>
        </is>
      </c>
      <c r="H2023" t="inlineStr">
        <is>
          <t>NULL</t>
        </is>
      </c>
      <c r="I2023" t="inlineStr">
        <is>
          <t>NULL</t>
        </is>
      </c>
      <c r="J2023" t="inlineStr">
        <is>
          <t>NULL</t>
        </is>
      </c>
      <c r="K2023" t="inlineStr">
        <is>
          <t>YES! 	 c_varbinary_8000列源备映射正确，源端为varbinary 8000位	期望更改为longblob	实际备端为longblob 4294967295位</t>
        </is>
      </c>
    </row>
    <row r="2024"/>
  </sheetData>
  <mergeCells count="303">
    <mergeCell ref="A742:A745"/>
    <mergeCell ref="A21:A23"/>
    <mergeCell ref="A886:A895"/>
    <mergeCell ref="A587:A591"/>
    <mergeCell ref="A1027:A1029"/>
    <mergeCell ref="A663:A666"/>
    <mergeCell ref="A1098:A1100"/>
    <mergeCell ref="A1548:A1557"/>
    <mergeCell ref="A838:A842"/>
    <mergeCell ref="A1667:A1671"/>
    <mergeCell ref="A1568:A1572"/>
    <mergeCell ref="A1375:A1377"/>
    <mergeCell ref="A1908:A1910"/>
    <mergeCell ref="A1191:A1193"/>
    <mergeCell ref="A265:A267"/>
    <mergeCell ref="A13:A15"/>
    <mergeCell ref="A97:A101"/>
    <mergeCell ref="A579:A583"/>
    <mergeCell ref="A1004:A1006"/>
    <mergeCell ref="A1722:A1724"/>
    <mergeCell ref="A1939:A1943"/>
    <mergeCell ref="A680:A684"/>
    <mergeCell ref="A1389:A1393"/>
    <mergeCell ref="A1483:A1492"/>
    <mergeCell ref="A1125:A1127"/>
    <mergeCell ref="A77:A81"/>
    <mergeCell ref="A721:A725"/>
    <mergeCell ref="A707:A709"/>
    <mergeCell ref="A1950:A1952"/>
    <mergeCell ref="A1843:A1863"/>
    <mergeCell ref="A338:A342"/>
    <mergeCell ref="A944:A949"/>
    <mergeCell ref="A1696:A1716"/>
    <mergeCell ref="A1922:A1924"/>
    <mergeCell ref="A87:A96"/>
    <mergeCell ref="A132:A136"/>
    <mergeCell ref="A1508:A1517"/>
    <mergeCell ref="A1944:A1946"/>
    <mergeCell ref="A1919:A1921"/>
    <mergeCell ref="A691:A693"/>
    <mergeCell ref="A82:A86"/>
    <mergeCell ref="A260:A264"/>
    <mergeCell ref="A968:A977"/>
    <mergeCell ref="A1759:A1764"/>
    <mergeCell ref="A1336:A1338"/>
    <mergeCell ref="A1911:A1915"/>
    <mergeCell ref="A1930:A1932"/>
    <mergeCell ref="A1730:A1732"/>
    <mergeCell ref="A649:A653"/>
    <mergeCell ref="A498:A500"/>
    <mergeCell ref="A57:A66"/>
    <mergeCell ref="A1438:A1447"/>
    <mergeCell ref="A212:A216"/>
    <mergeCell ref="A16:A20"/>
    <mergeCell ref="A636:A640"/>
    <mergeCell ref="A658:A662"/>
    <mergeCell ref="A1209:A1213"/>
    <mergeCell ref="A1967:A1970"/>
    <mergeCell ref="A1578:A1582"/>
    <mergeCell ref="A699:A703"/>
    <mergeCell ref="A1146:A1148"/>
    <mergeCell ref="A2019:A2023"/>
    <mergeCell ref="A1225:A1234"/>
    <mergeCell ref="A1523:A1532"/>
    <mergeCell ref="A1897:A1901"/>
    <mergeCell ref="A1996:A2005"/>
    <mergeCell ref="A1030:A1033"/>
    <mergeCell ref="A1518:A1522"/>
    <mergeCell ref="A592:A596"/>
    <mergeCell ref="A1596:A1601"/>
    <mergeCell ref="A171:A180"/>
    <mergeCell ref="A1583:A1585"/>
    <mergeCell ref="A1062:A1071"/>
    <mergeCell ref="A1152:A1156"/>
    <mergeCell ref="A1864:A1884"/>
    <mergeCell ref="A1360:A1369"/>
    <mergeCell ref="A1819:A1821"/>
    <mergeCell ref="A278:A282"/>
    <mergeCell ref="A1977:A1979"/>
    <mergeCell ref="A1533:A1537"/>
    <mergeCell ref="A1427:A1429"/>
    <mergeCell ref="A1181:A1190"/>
    <mergeCell ref="A1573:A1577"/>
    <mergeCell ref="A1964:A1966"/>
    <mergeCell ref="A896:A900"/>
    <mergeCell ref="A1178:A1180"/>
    <mergeCell ref="A878:A882"/>
    <mergeCell ref="A229:A249"/>
    <mergeCell ref="A348:A350"/>
    <mergeCell ref="A1971:A1973"/>
    <mergeCell ref="A646:A648"/>
    <mergeCell ref="A411:A415"/>
    <mergeCell ref="A44:A48"/>
    <mergeCell ref="A1659:A1661"/>
    <mergeCell ref="A148:A157"/>
    <mergeCell ref="A1122:A1124"/>
    <mergeCell ref="A960:A964"/>
    <mergeCell ref="A987:A989"/>
    <mergeCell ref="A1394:A1403"/>
    <mergeCell ref="A372:A374"/>
    <mergeCell ref="A199:A203"/>
    <mergeCell ref="A1615:A1619"/>
    <mergeCell ref="A1468:A1477"/>
    <mergeCell ref="A915:A924"/>
    <mergeCell ref="A1059:A1061"/>
    <mergeCell ref="A186:A190"/>
    <mergeCell ref="A808:A811"/>
    <mergeCell ref="A553:A578"/>
    <mergeCell ref="A1007:A1016"/>
    <mergeCell ref="A1620:A1629"/>
    <mergeCell ref="A1051:A1053"/>
    <mergeCell ref="A1988:A1990"/>
    <mergeCell ref="A1458:A1467"/>
    <mergeCell ref="A1349:A1351"/>
    <mergeCell ref="A1283:A1292"/>
    <mergeCell ref="A1974:A1976"/>
    <mergeCell ref="A1478:A1482"/>
    <mergeCell ref="A250:A254"/>
    <mergeCell ref="A779:A804"/>
    <mergeCell ref="A1610:A1614"/>
    <mergeCell ref="A950:A959"/>
    <mergeCell ref="A54:A56"/>
    <mergeCell ref="A1902:A1904"/>
    <mergeCell ref="A1199:A1208"/>
    <mergeCell ref="A137:A139"/>
    <mergeCell ref="A1308:A1317"/>
    <mergeCell ref="A685:A690"/>
    <mergeCell ref="A1318:A1320"/>
    <mergeCell ref="A351:A371"/>
    <mergeCell ref="A1235:A1244"/>
    <mergeCell ref="A901:A904"/>
    <mergeCell ref="A1165:A1167"/>
    <mergeCell ref="A1194:A1198"/>
    <mergeCell ref="A1378:A1388"/>
    <mergeCell ref="A667:A669"/>
    <mergeCell ref="A1136:A1145"/>
    <mergeCell ref="A1293:A1302"/>
    <mergeCell ref="A268:A272"/>
    <mergeCell ref="A925:A929"/>
    <mergeCell ref="A1933:A1938"/>
    <mergeCell ref="A204:A208"/>
    <mergeCell ref="A375:A379"/>
    <mergeCell ref="A163:A165"/>
    <mergeCell ref="A1111:A1113"/>
    <mergeCell ref="A1022:A1026"/>
    <mergeCell ref="A994:A1003"/>
    <mergeCell ref="A1093:A1097"/>
    <mergeCell ref="A1072:A1082"/>
    <mergeCell ref="A1813:A1815"/>
    <mergeCell ref="A1220:A1224"/>
    <mergeCell ref="A750:A775"/>
    <mergeCell ref="A1258:A1262"/>
    <mergeCell ref="A1245:A1247"/>
    <mergeCell ref="A543:A547"/>
    <mergeCell ref="A843:A845"/>
    <mergeCell ref="A1947:A1949"/>
    <mergeCell ref="A1925:A1929"/>
    <mergeCell ref="A1119:A1121"/>
    <mergeCell ref="A675:A679"/>
    <mergeCell ref="A102:A104"/>
    <mergeCell ref="A67:A76"/>
    <mergeCell ref="A140:A144"/>
    <mergeCell ref="A421:A441"/>
    <mergeCell ref="A584:A586"/>
    <mergeCell ref="A1404:A1406"/>
    <mergeCell ref="A1128:A1132"/>
    <mergeCell ref="A24:A33"/>
    <mergeCell ref="A1370:A1374"/>
    <mergeCell ref="A416:A420"/>
    <mergeCell ref="A1047:A1050"/>
    <mergeCell ref="A1263:A1272"/>
    <mergeCell ref="A1034:A1036"/>
    <mergeCell ref="A1101:A1110"/>
    <mergeCell ref="A1662:A1666"/>
    <mergeCell ref="A1733:A1737"/>
    <mergeCell ref="A905:A914"/>
    <mergeCell ref="A34:A38"/>
    <mergeCell ref="A978:A981"/>
    <mergeCell ref="A1717:A1721"/>
    <mergeCell ref="A1321:A1330"/>
    <mergeCell ref="A623:A627"/>
    <mergeCell ref="A39:A43"/>
    <mergeCell ref="A694:A698"/>
    <mergeCell ref="A1248:A1257"/>
    <mergeCell ref="A166:A170"/>
    <mergeCell ref="A1114:A1118"/>
    <mergeCell ref="A1214:A1219"/>
    <mergeCell ref="A522:A542"/>
    <mergeCell ref="A191:A193"/>
    <mergeCell ref="A726:A730"/>
    <mergeCell ref="A1607:A1609"/>
    <mergeCell ref="A934:A943"/>
    <mergeCell ref="A2009:A2013"/>
    <mergeCell ref="A3:A12"/>
    <mergeCell ref="A442:A446"/>
    <mergeCell ref="A982:A986"/>
    <mergeCell ref="A718:A720"/>
    <mergeCell ref="A1331:A1335"/>
    <mergeCell ref="A1453:A1457"/>
    <mergeCell ref="A343:A347"/>
    <mergeCell ref="A734:A737"/>
    <mergeCell ref="A1273:A1282"/>
    <mergeCell ref="A597:A622"/>
    <mergeCell ref="A875:A877"/>
    <mergeCell ref="A1017:A1021"/>
    <mergeCell ref="A1430:A1432"/>
    <mergeCell ref="A2014:A2018"/>
    <mergeCell ref="A1357:A1359"/>
    <mergeCell ref="A1558:A1567"/>
    <mergeCell ref="A776:A778"/>
    <mergeCell ref="A217:A219"/>
    <mergeCell ref="A670:A674"/>
    <mergeCell ref="A255:A259"/>
    <mergeCell ref="A704:A706"/>
    <mergeCell ref="A273:A277"/>
    <mergeCell ref="A1638:A1658"/>
    <mergeCell ref="A145:A147"/>
    <mergeCell ref="A2006:A2008"/>
    <mergeCell ref="A1133:A1135"/>
    <mergeCell ref="A1738:A1758"/>
    <mergeCell ref="A307:A311"/>
    <mergeCell ref="A1602:A1606"/>
    <mergeCell ref="A1339:A1348"/>
    <mergeCell ref="A105:A109"/>
    <mergeCell ref="A451:A471"/>
    <mergeCell ref="A118:A128"/>
    <mergeCell ref="A872:A874"/>
    <mergeCell ref="A1083:A1087"/>
    <mergeCell ref="A812:A837"/>
    <mergeCell ref="A113:A117"/>
    <mergeCell ref="A406:A410"/>
    <mergeCell ref="A209:A211"/>
    <mergeCell ref="A1157:A1159"/>
    <mergeCell ref="A1303:A1307"/>
    <mergeCell ref="A631:A635"/>
    <mergeCell ref="A1635:A1637"/>
    <mergeCell ref="A1980:A1982"/>
    <mergeCell ref="A312:A316"/>
    <mergeCell ref="A194:A198"/>
    <mergeCell ref="A1173:A1177"/>
    <mergeCell ref="A1770:A1790"/>
    <mergeCell ref="A1054:A1058"/>
    <mergeCell ref="A883:A885"/>
    <mergeCell ref="A181:A185"/>
    <mergeCell ref="A746:A749"/>
    <mergeCell ref="A1352:A1356"/>
    <mergeCell ref="A641:A645"/>
    <mergeCell ref="A930:A933"/>
    <mergeCell ref="A1765:A1769"/>
    <mergeCell ref="A1822:A1842"/>
    <mergeCell ref="A220:A222"/>
    <mergeCell ref="A846:A871"/>
    <mergeCell ref="A1892:A1896"/>
    <mergeCell ref="A1983:A1987"/>
    <mergeCell ref="A1889:A1891"/>
    <mergeCell ref="A472:A497"/>
    <mergeCell ref="A447:A450"/>
    <mergeCell ref="A714:A717"/>
    <mergeCell ref="A965:A967"/>
    <mergeCell ref="A1149:A1151"/>
    <mergeCell ref="A304:A306"/>
    <mergeCell ref="A501:A521"/>
    <mergeCell ref="A1448:A1452"/>
    <mergeCell ref="A1498:A1507"/>
    <mergeCell ref="A283:A303"/>
    <mergeCell ref="A49:A53"/>
    <mergeCell ref="A1168:A1172"/>
    <mergeCell ref="A1538:A1547"/>
    <mergeCell ref="A1953:A1955"/>
    <mergeCell ref="A731:A733"/>
    <mergeCell ref="A738:A741"/>
    <mergeCell ref="A110:A112"/>
    <mergeCell ref="A1493:A1497"/>
    <mergeCell ref="A654:A657"/>
    <mergeCell ref="A223:A228"/>
    <mergeCell ref="A1816:A1818"/>
    <mergeCell ref="A1417:A1426"/>
    <mergeCell ref="A1675:A1695"/>
    <mergeCell ref="A1630:A1634"/>
    <mergeCell ref="A380:A405"/>
    <mergeCell ref="A1672:A1674"/>
    <mergeCell ref="A1959:A1963"/>
    <mergeCell ref="A1037:A1046"/>
    <mergeCell ref="A1991:A1995"/>
    <mergeCell ref="A628:A630"/>
    <mergeCell ref="A1407:A1416"/>
    <mergeCell ref="A317:A337"/>
    <mergeCell ref="A1905:A1907"/>
    <mergeCell ref="A1586:A1595"/>
    <mergeCell ref="A1160:A1164"/>
    <mergeCell ref="A1725:A1729"/>
    <mergeCell ref="A548:A552"/>
    <mergeCell ref="A1791:A1812"/>
    <mergeCell ref="A805:A807"/>
    <mergeCell ref="A1088:A1092"/>
    <mergeCell ref="A1433:A1437"/>
    <mergeCell ref="A990:A993"/>
    <mergeCell ref="A1916:A1918"/>
    <mergeCell ref="A1956:A1958"/>
    <mergeCell ref="A129:A131"/>
    <mergeCell ref="A710:A713"/>
    <mergeCell ref="A1885:A1888"/>
    <mergeCell ref="A158:A16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2026-05-26T02:55:37Z</dcterms:modified>
  <cp:lastModifiedBy xml:space="preserve">Notch </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9896186B3C1A42E4BB08D0119C829AAC_13</vt:lpwstr>
  </property>
  <property name="KSOProductBuildVer" fmtid="{D5CDD505-2E9C-101B-9397-08002B2CF9AE}" pid="3">
    <vt:lpwstr>2052-12.1.0.25865</vt:lpwstr>
  </property>
  <property name="CalculationRule" fmtid="{D5CDD505-2E9C-101B-9397-08002B2CF9AE}" pid="4">
    <vt:i4>0</vt:i4>
  </property>
</Properties>
</file>